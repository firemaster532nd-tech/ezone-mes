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20c05917788c47b/ezone-mes/upload/"/>
    </mc:Choice>
  </mc:AlternateContent>
  <xr:revisionPtr revIDLastSave="0" documentId="8_{494155F6-FF63-4668-97D8-9D35E911EFE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26.05.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1" l="1"/>
  <c r="H52" i="1"/>
  <c r="K88" i="1"/>
  <c r="E88" i="1"/>
  <c r="I55" i="1"/>
  <c r="H50" i="1"/>
  <c r="H38" i="1"/>
  <c r="A89" i="1" l="1"/>
</calcChain>
</file>

<file path=xl/sharedStrings.xml><?xml version="1.0" encoding="utf-8"?>
<sst xmlns="http://schemas.openxmlformats.org/spreadsheetml/2006/main" count="122" uniqueCount="63">
  <si>
    <t>발 주 서</t>
  </si>
  <si>
    <t>선우산업</t>
  </si>
  <si>
    <t>공
급
자</t>
  </si>
  <si>
    <t>사업자</t>
  </si>
  <si>
    <t>232 - 88 - 00624</t>
  </si>
  <si>
    <t>구매담당자</t>
  </si>
  <si>
    <t>상 호</t>
  </si>
  <si>
    <t>㈜ 이지원</t>
  </si>
  <si>
    <t>성명</t>
  </si>
  <si>
    <t>박 민 선</t>
  </si>
  <si>
    <t>주 소</t>
  </si>
  <si>
    <t>031-357-5661</t>
  </si>
  <si>
    <t>업 태</t>
  </si>
  <si>
    <t>종목</t>
  </si>
  <si>
    <t>방화재관련건설자재</t>
  </si>
  <si>
    <t>전화</t>
  </si>
  <si>
    <t>070-8870-0300</t>
  </si>
  <si>
    <t>FAX</t>
  </si>
  <si>
    <t>02-6455-0300</t>
  </si>
  <si>
    <t>E-MAIL</t>
  </si>
  <si>
    <t>cyj48612@gmail.com</t>
  </si>
  <si>
    <t>순번</t>
  </si>
  <si>
    <t>재질</t>
  </si>
  <si>
    <t>품명</t>
  </si>
  <si>
    <t>규격</t>
  </si>
  <si>
    <t>발주</t>
  </si>
  <si>
    <t>가로</t>
  </si>
  <si>
    <t>세로</t>
  </si>
  <si>
    <t>폭</t>
  </si>
  <si>
    <t>총합계</t>
  </si>
  <si>
    <t>비고</t>
  </si>
  <si>
    <t>납품장소</t>
  </si>
  <si>
    <t>수신자 연락처</t>
  </si>
  <si>
    <t>납품일자</t>
  </si>
  <si>
    <t>일자 확인 안내 요청</t>
  </si>
  <si>
    <t>비 고</t>
  </si>
  <si>
    <t>㈜ 이 지 원</t>
  </si>
  <si>
    <t>수 신:</t>
  </si>
  <si>
    <t>수 신 자:</t>
  </si>
  <si>
    <t>발주일자:</t>
  </si>
  <si>
    <t>경기도 화성시 장안면 수촌리 1028-21</t>
  </si>
  <si>
    <t>연 락 처:</t>
  </si>
  <si>
    <t>제조업, 도소매</t>
  </si>
  <si>
    <t>아래와 같이 발주합니다.</t>
  </si>
  <si>
    <t>비고(현장명)</t>
  </si>
  <si>
    <t>평철사이즈(일반형)</t>
  </si>
  <si>
    <t>*파렛트 적재 부탁드립니다*</t>
  </si>
  <si>
    <t>경기도 화성시 장안면 수촌리 166-18 ㈜이지원 2공장</t>
  </si>
  <si>
    <t>최윤정선임 : 010-8469-1332</t>
  </si>
  <si>
    <t>납품일정 변경시 미리 연락 바랍니다. 최윤정선임 : 010-8469-1332</t>
  </si>
  <si>
    <t>구조명</t>
    <phoneticPr fontId="15" type="noConversion"/>
  </si>
  <si>
    <t>VT-01 소계</t>
  </si>
  <si>
    <t>위치</t>
    <phoneticPr fontId="15" type="noConversion"/>
  </si>
  <si>
    <t>VT-049 소계</t>
    <phoneticPr fontId="15" type="noConversion"/>
  </si>
  <si>
    <t>VT-064 소계</t>
    <phoneticPr fontId="15" type="noConversion"/>
  </si>
  <si>
    <t>VA-064 소계</t>
    <phoneticPr fontId="15" type="noConversion"/>
  </si>
  <si>
    <t>재질</t>
    <phoneticPr fontId="15" type="noConversion"/>
  </si>
  <si>
    <t>일반형</t>
    <phoneticPr fontId="15" type="noConversion"/>
  </si>
  <si>
    <t>GI</t>
    <phoneticPr fontId="15" type="noConversion"/>
  </si>
  <si>
    <t>두깨</t>
    <phoneticPr fontId="15" type="noConversion"/>
  </si>
  <si>
    <t>폭</t>
    <phoneticPr fontId="15" type="noConversion"/>
  </si>
  <si>
    <t>길이</t>
    <phoneticPr fontId="15" type="noConversion"/>
  </si>
  <si>
    <t>수량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</si>
</sst>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\-_);_(@_)"/>
  </numFmts>
  <fonts count="24">
    <font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20"/>
      <color theme="1"/>
      <name val="Noto Sans CJK SC"/>
      <family val="2"/>
    </font>
    <font>
      <b/>
      <sz val="12"/>
      <color theme="1"/>
      <name val="Noto Sans CJK SC"/>
      <family val="2"/>
    </font>
    <font>
      <b/>
      <sz val="12"/>
      <color theme="1"/>
      <name val="Malgun Gothic"/>
      <family val="3"/>
      <charset val="129"/>
    </font>
    <font>
      <b/>
      <sz val="11"/>
      <color theme="1"/>
      <name val="Noto Sans CJK SC"/>
      <family val="2"/>
    </font>
    <font>
      <b/>
      <sz val="10"/>
      <color theme="1"/>
      <name val="Noto Sans CJK SC"/>
      <family val="2"/>
    </font>
    <font>
      <b/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</font>
    <font>
      <b/>
      <sz val="11"/>
      <color rgb="FFFF0000"/>
      <name val="Noto Sans CJK SC"/>
      <family val="2"/>
    </font>
    <font>
      <b/>
      <sz val="15"/>
      <color rgb="FFFF0000"/>
      <name val="Malgun Gothic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Malgun Gothic"/>
      <family val="3"/>
      <charset val="129"/>
    </font>
    <font>
      <sz val="12"/>
      <color theme="1"/>
      <name val="Noto Sans CJK SC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176" fontId="14" fillId="0" borderId="0">
      <alignment vertical="center"/>
    </xf>
  </cellStyleXfs>
  <cellXfs count="111">
    <xf numFmtId="0" fontId="0" fillId="0" borderId="0" xfId="0">
      <alignment vertical="center"/>
    </xf>
    <xf numFmtId="0" fontId="4" fillId="0" borderId="1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0" fontId="20" fillId="0" borderId="6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2" fillId="2" borderId="6" xfId="0" applyFont="1" applyFill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5" fillId="4" borderId="20" xfId="0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center" wrapText="1"/>
    </xf>
    <xf numFmtId="0" fontId="23" fillId="3" borderId="6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7" fillId="0" borderId="5" xfId="0" applyFont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17" fillId="0" borderId="18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7" fillId="3" borderId="6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wrapText="1"/>
    </xf>
    <xf numFmtId="0" fontId="5" fillId="4" borderId="20" xfId="0" applyFont="1" applyFill="1" applyBorder="1" applyAlignment="1">
      <alignment horizontal="center" wrapText="1"/>
    </xf>
    <xf numFmtId="0" fontId="5" fillId="4" borderId="19" xfId="0" applyFont="1" applyFill="1" applyBorder="1" applyAlignment="1">
      <alignment horizontal="center" wrapText="1"/>
    </xf>
    <xf numFmtId="0" fontId="11" fillId="3" borderId="18" xfId="0" applyFont="1" applyFill="1" applyBorder="1" applyAlignment="1">
      <alignment horizontal="center" wrapText="1"/>
    </xf>
    <xf numFmtId="0" fontId="11" fillId="3" borderId="20" xfId="0" applyFont="1" applyFill="1" applyBorder="1" applyAlignment="1">
      <alignment horizontal="center" wrapText="1"/>
    </xf>
    <xf numFmtId="0" fontId="11" fillId="3" borderId="19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wrapText="1"/>
    </xf>
    <xf numFmtId="0" fontId="4" fillId="3" borderId="20" xfId="0" applyFont="1" applyFill="1" applyBorder="1" applyAlignment="1">
      <alignment horizontal="center" wrapText="1"/>
    </xf>
    <xf numFmtId="0" fontId="4" fillId="3" borderId="19" xfId="0" applyFont="1" applyFill="1" applyBorder="1" applyAlignment="1">
      <alignment horizontal="center" wrapText="1"/>
    </xf>
    <xf numFmtId="0" fontId="17" fillId="3" borderId="18" xfId="0" applyFont="1" applyFill="1" applyBorder="1" applyAlignment="1">
      <alignment horizontal="center" wrapText="1"/>
    </xf>
    <xf numFmtId="0" fontId="17" fillId="3" borderId="20" xfId="0" applyFont="1" applyFill="1" applyBorder="1" applyAlignment="1">
      <alignment horizontal="center" wrapText="1"/>
    </xf>
    <xf numFmtId="0" fontId="17" fillId="3" borderId="19" xfId="0" applyFont="1" applyFill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14" fontId="18" fillId="0" borderId="3" xfId="0" applyNumberFormat="1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10" fillId="0" borderId="18" xfId="1" applyBorder="1" applyAlignment="1">
      <alignment horizontal="center" vertical="center"/>
    </xf>
    <xf numFmtId="0" fontId="10" fillId="0" borderId="20" xfId="1" applyBorder="1" applyAlignment="1">
      <alignment horizontal="center" vertical="center"/>
    </xf>
    <xf numFmtId="0" fontId="10" fillId="0" borderId="19" xfId="1" applyBorder="1" applyAlignment="1">
      <alignment horizontal="center" vertical="center"/>
    </xf>
    <xf numFmtId="0" fontId="19" fillId="3" borderId="18" xfId="0" applyFont="1" applyFill="1" applyBorder="1" applyAlignment="1">
      <alignment horizontal="center" wrapText="1"/>
    </xf>
    <xf numFmtId="0" fontId="19" fillId="3" borderId="20" xfId="0" applyFont="1" applyFill="1" applyBorder="1" applyAlignment="1">
      <alignment horizontal="center" wrapText="1"/>
    </xf>
    <xf numFmtId="0" fontId="19" fillId="3" borderId="19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13" fillId="2" borderId="18" xfId="0" applyFont="1" applyFill="1" applyBorder="1" applyAlignment="1">
      <alignment horizontal="center" wrapText="1"/>
    </xf>
    <xf numFmtId="0" fontId="13" fillId="2" borderId="20" xfId="0" applyFont="1" applyFill="1" applyBorder="1" applyAlignment="1">
      <alignment horizontal="center" wrapText="1"/>
    </xf>
    <xf numFmtId="0" fontId="13" fillId="2" borderId="19" xfId="0" applyFont="1" applyFill="1" applyBorder="1" applyAlignment="1">
      <alignment horizontal="center" wrapText="1"/>
    </xf>
  </cellXfs>
  <cellStyles count="4">
    <cellStyle name="Excel Built-in Comma [0]" xfId="3" xr:uid="{00000000-0005-0000-0000-000008000000}"/>
    <cellStyle name="표준" xfId="0" builtinId="0"/>
    <cellStyle name="표준 4" xfId="2" xr:uid="{00000000-0005-0000-0000-000006000000}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yj486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5"/>
  <sheetViews>
    <sheetView tabSelected="1" zoomScale="55" zoomScaleNormal="55" workbookViewId="0">
      <selection activeCell="R49" sqref="R49"/>
    </sheetView>
  </sheetViews>
  <sheetFormatPr defaultColWidth="8.5" defaultRowHeight="16.5"/>
  <cols>
    <col min="1" max="16384" width="8.5" style="25"/>
  </cols>
  <sheetData>
    <row r="1" spans="1:28" ht="17.25" customHeight="1" thickBo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30" customHeight="1" thickBot="1">
      <c r="A2" s="72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18" customHeight="1" thickBot="1">
      <c r="A3" s="24"/>
      <c r="B3" s="24"/>
      <c r="C3" s="1" t="s">
        <v>37</v>
      </c>
      <c r="D3" s="13"/>
      <c r="E3" s="13"/>
      <c r="F3" s="75" t="s">
        <v>1</v>
      </c>
      <c r="G3" s="76"/>
      <c r="H3" s="26"/>
      <c r="I3" s="77" t="s">
        <v>2</v>
      </c>
      <c r="J3" s="2" t="s">
        <v>3</v>
      </c>
      <c r="K3" s="80" t="s">
        <v>4</v>
      </c>
      <c r="L3" s="81"/>
      <c r="M3" s="81"/>
      <c r="N3" s="81"/>
      <c r="O3" s="81"/>
      <c r="P3" s="81"/>
      <c r="Q3" s="82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ht="18" customHeight="1" thickBot="1">
      <c r="A4" s="24"/>
      <c r="B4" s="24"/>
      <c r="C4" s="1" t="s">
        <v>38</v>
      </c>
      <c r="D4" s="13"/>
      <c r="E4" s="13"/>
      <c r="F4" s="75" t="s">
        <v>5</v>
      </c>
      <c r="G4" s="76"/>
      <c r="H4" s="26"/>
      <c r="I4" s="78"/>
      <c r="J4" s="2" t="s">
        <v>6</v>
      </c>
      <c r="K4" s="83" t="s">
        <v>7</v>
      </c>
      <c r="L4" s="84"/>
      <c r="M4" s="3" t="s">
        <v>8</v>
      </c>
      <c r="N4" s="83" t="s">
        <v>9</v>
      </c>
      <c r="O4" s="85"/>
      <c r="P4" s="85"/>
      <c r="Q4" s="8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35.25" customHeight="1" thickBot="1">
      <c r="A5" s="24"/>
      <c r="B5" s="24"/>
      <c r="C5" s="1" t="s">
        <v>39</v>
      </c>
      <c r="D5" s="13"/>
      <c r="E5" s="13"/>
      <c r="F5" s="86">
        <v>46162</v>
      </c>
      <c r="G5" s="87"/>
      <c r="H5" s="26"/>
      <c r="I5" s="78"/>
      <c r="J5" s="2" t="s">
        <v>10</v>
      </c>
      <c r="K5" s="83" t="s">
        <v>40</v>
      </c>
      <c r="L5" s="85"/>
      <c r="M5" s="85"/>
      <c r="N5" s="85"/>
      <c r="O5" s="85"/>
      <c r="P5" s="85"/>
      <c r="Q5" s="8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8" customHeight="1" thickBot="1">
      <c r="A6" s="24"/>
      <c r="B6" s="24"/>
      <c r="C6" s="1" t="s">
        <v>41</v>
      </c>
      <c r="D6" s="13"/>
      <c r="E6" s="13"/>
      <c r="F6" s="88" t="s">
        <v>11</v>
      </c>
      <c r="G6" s="89"/>
      <c r="H6" s="26"/>
      <c r="I6" s="78"/>
      <c r="J6" s="2" t="s">
        <v>12</v>
      </c>
      <c r="K6" s="83" t="s">
        <v>42</v>
      </c>
      <c r="L6" s="84"/>
      <c r="M6" s="3" t="s">
        <v>13</v>
      </c>
      <c r="N6" s="83" t="s">
        <v>14</v>
      </c>
      <c r="O6" s="85"/>
      <c r="P6" s="85"/>
      <c r="Q6" s="8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7.25" customHeight="1" thickBot="1">
      <c r="A7" s="24"/>
      <c r="B7" s="24"/>
      <c r="C7" s="24"/>
      <c r="D7" s="24"/>
      <c r="E7" s="24"/>
      <c r="F7" s="24"/>
      <c r="G7" s="24"/>
      <c r="H7" s="26"/>
      <c r="I7" s="78"/>
      <c r="J7" s="2" t="s">
        <v>15</v>
      </c>
      <c r="K7" s="90" t="s">
        <v>16</v>
      </c>
      <c r="L7" s="91"/>
      <c r="M7" s="4" t="s">
        <v>17</v>
      </c>
      <c r="N7" s="90" t="s">
        <v>18</v>
      </c>
      <c r="O7" s="92"/>
      <c r="P7" s="92"/>
      <c r="Q7" s="91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ht="18" customHeight="1" thickBot="1">
      <c r="A8" s="93" t="s">
        <v>43</v>
      </c>
      <c r="B8" s="94"/>
      <c r="C8" s="94"/>
      <c r="D8" s="94"/>
      <c r="E8" s="94"/>
      <c r="F8" s="94"/>
      <c r="G8" s="94"/>
      <c r="H8" s="95"/>
      <c r="I8" s="79"/>
      <c r="J8" s="5" t="s">
        <v>19</v>
      </c>
      <c r="K8" s="96" t="s">
        <v>20</v>
      </c>
      <c r="L8" s="97"/>
      <c r="M8" s="97"/>
      <c r="N8" s="97"/>
      <c r="O8" s="97"/>
      <c r="P8" s="97"/>
      <c r="Q8" s="98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7.25" customHeight="1" thickBot="1">
      <c r="A9" s="37" t="s">
        <v>21</v>
      </c>
      <c r="B9" s="37" t="s">
        <v>22</v>
      </c>
      <c r="C9" s="37" t="s">
        <v>23</v>
      </c>
      <c r="D9" s="37" t="s">
        <v>52</v>
      </c>
      <c r="E9" s="37" t="s">
        <v>50</v>
      </c>
      <c r="F9" s="60" t="s">
        <v>24</v>
      </c>
      <c r="G9" s="61"/>
      <c r="H9" s="62"/>
      <c r="I9" s="37" t="s">
        <v>25</v>
      </c>
      <c r="J9" s="45" t="s">
        <v>44</v>
      </c>
      <c r="K9" s="46"/>
      <c r="L9" s="46"/>
      <c r="M9" s="46"/>
      <c r="N9" s="46"/>
      <c r="O9" s="46"/>
      <c r="P9" s="46"/>
      <c r="Q9" s="47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7.25" customHeight="1" thickBot="1">
      <c r="A10" s="38"/>
      <c r="B10" s="38"/>
      <c r="C10" s="38"/>
      <c r="D10" s="38"/>
      <c r="E10" s="38"/>
      <c r="F10" s="6" t="s">
        <v>26</v>
      </c>
      <c r="G10" s="6" t="s">
        <v>27</v>
      </c>
      <c r="H10" s="6" t="s">
        <v>28</v>
      </c>
      <c r="I10" s="38"/>
      <c r="J10" s="48"/>
      <c r="K10" s="49"/>
      <c r="L10" s="49"/>
      <c r="M10" s="49"/>
      <c r="N10" s="49"/>
      <c r="O10" s="49"/>
      <c r="P10" s="49"/>
      <c r="Q10" s="50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7.25" customHeight="1" thickBot="1">
      <c r="A11" s="11">
        <v>1</v>
      </c>
      <c r="B11" s="12" t="s">
        <v>58</v>
      </c>
      <c r="C11" s="12" t="s">
        <v>57</v>
      </c>
      <c r="D11" s="12"/>
      <c r="E11" s="12"/>
      <c r="F11" s="6"/>
      <c r="G11" s="6"/>
      <c r="H11" s="6"/>
      <c r="I11" s="12"/>
      <c r="J11" s="63"/>
      <c r="K11" s="64"/>
      <c r="L11" s="64"/>
      <c r="M11" s="64"/>
      <c r="N11" s="64"/>
      <c r="O11" s="64"/>
      <c r="P11" s="64"/>
      <c r="Q11" s="65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17.25" customHeight="1" thickBot="1">
      <c r="A12" s="11">
        <v>2</v>
      </c>
      <c r="B12" s="12" t="s">
        <v>58</v>
      </c>
      <c r="C12" s="12" t="s">
        <v>57</v>
      </c>
      <c r="D12" s="12"/>
      <c r="E12" s="12"/>
      <c r="F12" s="6"/>
      <c r="G12" s="6"/>
      <c r="H12" s="6"/>
      <c r="I12" s="12"/>
      <c r="J12" s="66"/>
      <c r="K12" s="67"/>
      <c r="L12" s="67"/>
      <c r="M12" s="67"/>
      <c r="N12" s="67"/>
      <c r="O12" s="67"/>
      <c r="P12" s="67"/>
      <c r="Q12" s="68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ht="17.25" customHeight="1" thickBot="1">
      <c r="A13" s="11">
        <v>3</v>
      </c>
      <c r="B13" s="12" t="s">
        <v>58</v>
      </c>
      <c r="C13" s="12" t="s">
        <v>57</v>
      </c>
      <c r="D13" s="12"/>
      <c r="E13" s="12"/>
      <c r="F13" s="6"/>
      <c r="G13" s="6"/>
      <c r="H13" s="6"/>
      <c r="I13" s="12"/>
      <c r="J13" s="66"/>
      <c r="K13" s="67"/>
      <c r="L13" s="67"/>
      <c r="M13" s="67"/>
      <c r="N13" s="67"/>
      <c r="O13" s="67"/>
      <c r="P13" s="67"/>
      <c r="Q13" s="68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 ht="17.25" customHeight="1" thickBot="1">
      <c r="A14" s="11">
        <v>4</v>
      </c>
      <c r="B14" s="12" t="s">
        <v>58</v>
      </c>
      <c r="C14" s="12" t="s">
        <v>57</v>
      </c>
      <c r="D14" s="12"/>
      <c r="E14" s="12"/>
      <c r="F14" s="6"/>
      <c r="G14" s="6"/>
      <c r="H14" s="6"/>
      <c r="I14" s="12"/>
      <c r="J14" s="66"/>
      <c r="K14" s="67"/>
      <c r="L14" s="67"/>
      <c r="M14" s="67"/>
      <c r="N14" s="67"/>
      <c r="O14" s="67"/>
      <c r="P14" s="67"/>
      <c r="Q14" s="68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ht="17.25" customHeight="1" thickBot="1">
      <c r="A15" s="11">
        <v>5</v>
      </c>
      <c r="B15" s="12" t="s">
        <v>58</v>
      </c>
      <c r="C15" s="12" t="s">
        <v>57</v>
      </c>
      <c r="D15" s="12"/>
      <c r="E15" s="12"/>
      <c r="F15" s="6"/>
      <c r="G15" s="6"/>
      <c r="H15" s="6"/>
      <c r="I15" s="12"/>
      <c r="J15" s="66"/>
      <c r="K15" s="67"/>
      <c r="L15" s="67"/>
      <c r="M15" s="67"/>
      <c r="N15" s="67"/>
      <c r="O15" s="67"/>
      <c r="P15" s="67"/>
      <c r="Q15" s="68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7.25" customHeight="1" thickBot="1">
      <c r="A16" s="11">
        <v>6</v>
      </c>
      <c r="B16" s="12" t="s">
        <v>58</v>
      </c>
      <c r="C16" s="12" t="s">
        <v>57</v>
      </c>
      <c r="D16" s="12"/>
      <c r="E16" s="12"/>
      <c r="F16" s="6"/>
      <c r="G16" s="6"/>
      <c r="H16" s="6"/>
      <c r="I16" s="12"/>
      <c r="J16" s="66"/>
      <c r="K16" s="67"/>
      <c r="L16" s="67"/>
      <c r="M16" s="67"/>
      <c r="N16" s="67"/>
      <c r="O16" s="67"/>
      <c r="P16" s="67"/>
      <c r="Q16" s="68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7.25" customHeight="1" thickBot="1">
      <c r="A17" s="11">
        <v>7</v>
      </c>
      <c r="B17" s="12" t="s">
        <v>58</v>
      </c>
      <c r="C17" s="12" t="s">
        <v>57</v>
      </c>
      <c r="D17" s="12"/>
      <c r="E17" s="12"/>
      <c r="F17" s="6"/>
      <c r="G17" s="6"/>
      <c r="H17" s="6"/>
      <c r="I17" s="12"/>
      <c r="J17" s="66"/>
      <c r="K17" s="67"/>
      <c r="L17" s="67"/>
      <c r="M17" s="67"/>
      <c r="N17" s="67"/>
      <c r="O17" s="67"/>
      <c r="P17" s="67"/>
      <c r="Q17" s="68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7.25" customHeight="1" thickBot="1">
      <c r="A18" s="11">
        <v>8</v>
      </c>
      <c r="B18" s="12" t="s">
        <v>58</v>
      </c>
      <c r="C18" s="12" t="s">
        <v>57</v>
      </c>
      <c r="D18" s="12"/>
      <c r="E18" s="12"/>
      <c r="F18" s="6"/>
      <c r="G18" s="6"/>
      <c r="H18" s="6"/>
      <c r="I18" s="12"/>
      <c r="J18" s="66"/>
      <c r="K18" s="67"/>
      <c r="L18" s="67"/>
      <c r="M18" s="67"/>
      <c r="N18" s="67"/>
      <c r="O18" s="67"/>
      <c r="P18" s="67"/>
      <c r="Q18" s="68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ht="17.25" customHeight="1" thickBot="1">
      <c r="A19" s="11">
        <v>9</v>
      </c>
      <c r="B19" s="12" t="s">
        <v>58</v>
      </c>
      <c r="C19" s="12" t="s">
        <v>57</v>
      </c>
      <c r="D19" s="12"/>
      <c r="E19" s="12"/>
      <c r="F19" s="6"/>
      <c r="G19" s="6"/>
      <c r="H19" s="6"/>
      <c r="I19" s="12"/>
      <c r="J19" s="66"/>
      <c r="K19" s="67"/>
      <c r="L19" s="67"/>
      <c r="M19" s="67"/>
      <c r="N19" s="67"/>
      <c r="O19" s="67"/>
      <c r="P19" s="67"/>
      <c r="Q19" s="68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7.25" customHeight="1" thickBot="1">
      <c r="A20" s="11">
        <v>10</v>
      </c>
      <c r="B20" s="12" t="s">
        <v>58</v>
      </c>
      <c r="C20" s="12" t="s">
        <v>57</v>
      </c>
      <c r="D20" s="12"/>
      <c r="E20" s="12"/>
      <c r="F20" s="6"/>
      <c r="G20" s="6"/>
      <c r="H20" s="6"/>
      <c r="I20" s="12"/>
      <c r="J20" s="66"/>
      <c r="K20" s="67"/>
      <c r="L20" s="67"/>
      <c r="M20" s="67"/>
      <c r="N20" s="67"/>
      <c r="O20" s="67"/>
      <c r="P20" s="67"/>
      <c r="Q20" s="68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17.25" customHeight="1" thickBot="1">
      <c r="A21" s="11">
        <v>11</v>
      </c>
      <c r="B21" s="12" t="s">
        <v>58</v>
      </c>
      <c r="C21" s="12" t="s">
        <v>57</v>
      </c>
      <c r="D21" s="12"/>
      <c r="E21" s="12"/>
      <c r="F21" s="6"/>
      <c r="G21" s="6"/>
      <c r="H21" s="6"/>
      <c r="I21" s="12"/>
      <c r="J21" s="66"/>
      <c r="K21" s="67"/>
      <c r="L21" s="67"/>
      <c r="M21" s="67"/>
      <c r="N21" s="67"/>
      <c r="O21" s="67"/>
      <c r="P21" s="67"/>
      <c r="Q21" s="68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ht="17.25" customHeight="1" thickBot="1">
      <c r="A22" s="11">
        <v>12</v>
      </c>
      <c r="B22" s="12" t="s">
        <v>58</v>
      </c>
      <c r="C22" s="12" t="s">
        <v>57</v>
      </c>
      <c r="D22" s="12"/>
      <c r="E22" s="12"/>
      <c r="F22" s="6"/>
      <c r="G22" s="6"/>
      <c r="H22" s="6"/>
      <c r="I22" s="12"/>
      <c r="J22" s="66"/>
      <c r="K22" s="67"/>
      <c r="L22" s="67"/>
      <c r="M22" s="67"/>
      <c r="N22" s="67"/>
      <c r="O22" s="67"/>
      <c r="P22" s="67"/>
      <c r="Q22" s="68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ht="17.25" customHeight="1" thickBot="1">
      <c r="A23" s="11">
        <v>13</v>
      </c>
      <c r="B23" s="12" t="s">
        <v>58</v>
      </c>
      <c r="C23" s="12" t="s">
        <v>57</v>
      </c>
      <c r="D23" s="12"/>
      <c r="E23" s="12"/>
      <c r="F23" s="6"/>
      <c r="G23" s="6"/>
      <c r="H23" s="6"/>
      <c r="I23" s="12"/>
      <c r="J23" s="66"/>
      <c r="K23" s="67"/>
      <c r="L23" s="67"/>
      <c r="M23" s="67"/>
      <c r="N23" s="67"/>
      <c r="O23" s="67"/>
      <c r="P23" s="67"/>
      <c r="Q23" s="68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ht="17.25" customHeight="1" thickBot="1">
      <c r="A24" s="11">
        <v>14</v>
      </c>
      <c r="B24" s="12" t="s">
        <v>58</v>
      </c>
      <c r="C24" s="12" t="s">
        <v>57</v>
      </c>
      <c r="D24" s="12"/>
      <c r="E24" s="12"/>
      <c r="F24" s="6"/>
      <c r="G24" s="6"/>
      <c r="H24" s="6"/>
      <c r="I24" s="12"/>
      <c r="J24" s="66"/>
      <c r="K24" s="67"/>
      <c r="L24" s="67"/>
      <c r="M24" s="67"/>
      <c r="N24" s="67"/>
      <c r="O24" s="67"/>
      <c r="P24" s="67"/>
      <c r="Q24" s="68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ht="17.25" customHeight="1" thickBot="1">
      <c r="A25" s="11">
        <v>15</v>
      </c>
      <c r="B25" s="12" t="s">
        <v>58</v>
      </c>
      <c r="C25" s="12" t="s">
        <v>57</v>
      </c>
      <c r="D25" s="12"/>
      <c r="E25" s="12"/>
      <c r="F25" s="6"/>
      <c r="G25" s="6"/>
      <c r="H25" s="6"/>
      <c r="I25" s="12"/>
      <c r="J25" s="66"/>
      <c r="K25" s="67"/>
      <c r="L25" s="67"/>
      <c r="M25" s="67"/>
      <c r="N25" s="67"/>
      <c r="O25" s="67"/>
      <c r="P25" s="67"/>
      <c r="Q25" s="68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ht="17.25" customHeight="1" thickBot="1">
      <c r="A26" s="11">
        <v>16</v>
      </c>
      <c r="B26" s="12" t="s">
        <v>58</v>
      </c>
      <c r="C26" s="12" t="s">
        <v>57</v>
      </c>
      <c r="D26" s="12"/>
      <c r="E26" s="12"/>
      <c r="F26" s="6"/>
      <c r="G26" s="6"/>
      <c r="H26" s="6"/>
      <c r="I26" s="12"/>
      <c r="J26" s="66"/>
      <c r="K26" s="67"/>
      <c r="L26" s="67"/>
      <c r="M26" s="67"/>
      <c r="N26" s="67"/>
      <c r="O26" s="67"/>
      <c r="P26" s="67"/>
      <c r="Q26" s="68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ht="17.25" customHeight="1" thickBot="1">
      <c r="A27" s="11">
        <v>17</v>
      </c>
      <c r="B27" s="12" t="s">
        <v>58</v>
      </c>
      <c r="C27" s="12" t="s">
        <v>57</v>
      </c>
      <c r="D27" s="12"/>
      <c r="E27" s="12"/>
      <c r="F27" s="6"/>
      <c r="G27" s="6"/>
      <c r="H27" s="6"/>
      <c r="I27" s="12"/>
      <c r="J27" s="66"/>
      <c r="K27" s="67"/>
      <c r="L27" s="67"/>
      <c r="M27" s="67"/>
      <c r="N27" s="67"/>
      <c r="O27" s="67"/>
      <c r="P27" s="67"/>
      <c r="Q27" s="68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7.25" customHeight="1" thickBot="1">
      <c r="A28" s="11">
        <v>18</v>
      </c>
      <c r="B28" s="12" t="s">
        <v>58</v>
      </c>
      <c r="C28" s="12" t="s">
        <v>57</v>
      </c>
      <c r="D28" s="12"/>
      <c r="E28" s="12"/>
      <c r="F28" s="6"/>
      <c r="G28" s="6"/>
      <c r="H28" s="6"/>
      <c r="I28" s="12"/>
      <c r="J28" s="66"/>
      <c r="K28" s="67"/>
      <c r="L28" s="67"/>
      <c r="M28" s="67"/>
      <c r="N28" s="67"/>
      <c r="O28" s="67"/>
      <c r="P28" s="67"/>
      <c r="Q28" s="68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 ht="17.25" customHeight="1" thickBot="1">
      <c r="A29" s="11">
        <v>19</v>
      </c>
      <c r="B29" s="12" t="s">
        <v>58</v>
      </c>
      <c r="C29" s="12" t="s">
        <v>57</v>
      </c>
      <c r="D29" s="12"/>
      <c r="E29" s="12"/>
      <c r="F29" s="6"/>
      <c r="G29" s="6"/>
      <c r="H29" s="6"/>
      <c r="I29" s="12"/>
      <c r="J29" s="66"/>
      <c r="K29" s="67"/>
      <c r="L29" s="67"/>
      <c r="M29" s="67"/>
      <c r="N29" s="67"/>
      <c r="O29" s="67"/>
      <c r="P29" s="67"/>
      <c r="Q29" s="68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ht="17.25" customHeight="1" thickBot="1">
      <c r="A30" s="11">
        <v>20</v>
      </c>
      <c r="B30" s="12" t="s">
        <v>58</v>
      </c>
      <c r="C30" s="12" t="s">
        <v>57</v>
      </c>
      <c r="D30" s="12"/>
      <c r="E30" s="12"/>
      <c r="F30" s="6"/>
      <c r="G30" s="6"/>
      <c r="H30" s="6"/>
      <c r="I30" s="12"/>
      <c r="J30" s="66"/>
      <c r="K30" s="67"/>
      <c r="L30" s="67"/>
      <c r="M30" s="67"/>
      <c r="N30" s="67"/>
      <c r="O30" s="67"/>
      <c r="P30" s="67"/>
      <c r="Q30" s="68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ht="17.25" customHeight="1" thickBot="1">
      <c r="A31" s="11">
        <v>21</v>
      </c>
      <c r="B31" s="12" t="s">
        <v>58</v>
      </c>
      <c r="C31" s="12" t="s">
        <v>57</v>
      </c>
      <c r="D31" s="12"/>
      <c r="E31" s="12"/>
      <c r="F31" s="6"/>
      <c r="G31" s="6"/>
      <c r="H31" s="6"/>
      <c r="I31" s="12"/>
      <c r="J31" s="66"/>
      <c r="K31" s="67"/>
      <c r="L31" s="67"/>
      <c r="M31" s="67"/>
      <c r="N31" s="67"/>
      <c r="O31" s="67"/>
      <c r="P31" s="67"/>
      <c r="Q31" s="68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8" customHeight="1" thickBot="1">
      <c r="A32" s="11">
        <v>22</v>
      </c>
      <c r="B32" s="12" t="s">
        <v>58</v>
      </c>
      <c r="C32" s="12" t="s">
        <v>57</v>
      </c>
      <c r="D32" s="12"/>
      <c r="E32" s="27"/>
      <c r="F32" s="15"/>
      <c r="G32" s="15"/>
      <c r="H32" s="6"/>
      <c r="I32" s="15"/>
      <c r="J32" s="66"/>
      <c r="K32" s="67"/>
      <c r="L32" s="67"/>
      <c r="M32" s="67"/>
      <c r="N32" s="67"/>
      <c r="O32" s="67"/>
      <c r="P32" s="67"/>
      <c r="Q32" s="68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ht="18" customHeight="1" thickBot="1">
      <c r="A33" s="11">
        <v>23</v>
      </c>
      <c r="B33" s="12" t="s">
        <v>58</v>
      </c>
      <c r="C33" s="12" t="s">
        <v>57</v>
      </c>
      <c r="D33" s="12"/>
      <c r="E33" s="27"/>
      <c r="F33" s="15"/>
      <c r="G33" s="15"/>
      <c r="H33" s="6"/>
      <c r="I33" s="15"/>
      <c r="J33" s="66"/>
      <c r="K33" s="67"/>
      <c r="L33" s="67"/>
      <c r="M33" s="67"/>
      <c r="N33" s="67"/>
      <c r="O33" s="67"/>
      <c r="P33" s="67"/>
      <c r="Q33" s="68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ht="18" customHeight="1" thickBot="1">
      <c r="A34" s="11">
        <v>24</v>
      </c>
      <c r="B34" s="12" t="s">
        <v>58</v>
      </c>
      <c r="C34" s="12" t="s">
        <v>57</v>
      </c>
      <c r="D34" s="12"/>
      <c r="E34" s="27"/>
      <c r="F34" s="15"/>
      <c r="G34" s="15"/>
      <c r="H34" s="6"/>
      <c r="I34" s="15"/>
      <c r="J34" s="66"/>
      <c r="K34" s="67"/>
      <c r="L34" s="67"/>
      <c r="M34" s="67"/>
      <c r="N34" s="67"/>
      <c r="O34" s="67"/>
      <c r="P34" s="67"/>
      <c r="Q34" s="68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 ht="18" customHeight="1" thickBot="1">
      <c r="A35" s="11">
        <v>25</v>
      </c>
      <c r="B35" s="12" t="s">
        <v>58</v>
      </c>
      <c r="C35" s="12" t="s">
        <v>57</v>
      </c>
      <c r="D35" s="12"/>
      <c r="E35" s="27"/>
      <c r="F35" s="15"/>
      <c r="G35" s="15"/>
      <c r="H35" s="6"/>
      <c r="I35" s="15"/>
      <c r="J35" s="66"/>
      <c r="K35" s="67"/>
      <c r="L35" s="67"/>
      <c r="M35" s="67"/>
      <c r="N35" s="67"/>
      <c r="O35" s="67"/>
      <c r="P35" s="67"/>
      <c r="Q35" s="68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8" customHeight="1" thickBot="1">
      <c r="A36" s="11">
        <v>26</v>
      </c>
      <c r="B36" s="12" t="s">
        <v>58</v>
      </c>
      <c r="C36" s="12" t="s">
        <v>57</v>
      </c>
      <c r="D36" s="12"/>
      <c r="E36" s="27"/>
      <c r="F36" s="15"/>
      <c r="G36" s="15"/>
      <c r="H36" s="6"/>
      <c r="I36" s="15"/>
      <c r="J36" s="66"/>
      <c r="K36" s="67"/>
      <c r="L36" s="67"/>
      <c r="M36" s="67"/>
      <c r="N36" s="67"/>
      <c r="O36" s="67"/>
      <c r="P36" s="67"/>
      <c r="Q36" s="68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ht="18" customHeight="1" thickBot="1">
      <c r="A37" s="11">
        <v>27</v>
      </c>
      <c r="B37" s="12" t="s">
        <v>58</v>
      </c>
      <c r="C37" s="12" t="s">
        <v>57</v>
      </c>
      <c r="D37" s="12"/>
      <c r="E37" s="27"/>
      <c r="F37" s="15"/>
      <c r="G37" s="15"/>
      <c r="H37" s="6"/>
      <c r="I37" s="15"/>
      <c r="J37" s="66"/>
      <c r="K37" s="67"/>
      <c r="L37" s="67"/>
      <c r="M37" s="67"/>
      <c r="N37" s="67"/>
      <c r="O37" s="67"/>
      <c r="P37" s="67"/>
      <c r="Q37" s="6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ht="18" customHeight="1" thickBot="1">
      <c r="A38" s="39" t="s">
        <v>51</v>
      </c>
      <c r="B38" s="40"/>
      <c r="C38" s="40"/>
      <c r="D38" s="21"/>
      <c r="E38" s="21"/>
      <c r="F38" s="21"/>
      <c r="G38" s="21"/>
      <c r="H38" s="40">
        <f>SUM(I11:I37)</f>
        <v>0</v>
      </c>
      <c r="I38" s="41"/>
      <c r="J38" s="66"/>
      <c r="K38" s="67"/>
      <c r="L38" s="67"/>
      <c r="M38" s="67"/>
      <c r="N38" s="67"/>
      <c r="O38" s="67"/>
      <c r="P38" s="67"/>
      <c r="Q38" s="6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 ht="18" customHeight="1" thickBot="1">
      <c r="A39" s="10"/>
      <c r="B39" s="12"/>
      <c r="C39" s="12"/>
      <c r="D39" s="12"/>
      <c r="E39" s="17"/>
      <c r="F39" s="16"/>
      <c r="G39" s="16"/>
      <c r="H39" s="6"/>
      <c r="I39" s="16"/>
      <c r="J39" s="66"/>
      <c r="K39" s="67"/>
      <c r="L39" s="67"/>
      <c r="M39" s="67"/>
      <c r="N39" s="67"/>
      <c r="O39" s="67"/>
      <c r="P39" s="67"/>
      <c r="Q39" s="6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8" customHeight="1" thickBot="1">
      <c r="A40" s="10"/>
      <c r="B40" s="12"/>
      <c r="C40" s="12"/>
      <c r="D40" s="12"/>
      <c r="E40" s="17"/>
      <c r="F40" s="16"/>
      <c r="G40" s="16"/>
      <c r="H40" s="6"/>
      <c r="I40" s="16"/>
      <c r="J40" s="66"/>
      <c r="K40" s="67"/>
      <c r="L40" s="67"/>
      <c r="M40" s="67"/>
      <c r="N40" s="67"/>
      <c r="O40" s="67"/>
      <c r="P40" s="67"/>
      <c r="Q40" s="6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ht="18" customHeight="1" thickBot="1">
      <c r="A41" s="10"/>
      <c r="B41" s="12"/>
      <c r="C41" s="12"/>
      <c r="D41" s="12"/>
      <c r="E41" s="19"/>
      <c r="F41" s="20"/>
      <c r="G41" s="20"/>
      <c r="H41" s="6"/>
      <c r="I41" s="20"/>
      <c r="J41" s="66"/>
      <c r="K41" s="67"/>
      <c r="L41" s="67"/>
      <c r="M41" s="67"/>
      <c r="N41" s="67"/>
      <c r="O41" s="67"/>
      <c r="P41" s="67"/>
      <c r="Q41" s="6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ht="18" customHeight="1" thickBot="1">
      <c r="A42" s="10"/>
      <c r="B42" s="12"/>
      <c r="C42" s="12"/>
      <c r="D42" s="12"/>
      <c r="E42" s="19"/>
      <c r="F42" s="20"/>
      <c r="G42" s="20"/>
      <c r="H42" s="6"/>
      <c r="I42" s="20"/>
      <c r="J42" s="66"/>
      <c r="K42" s="67"/>
      <c r="L42" s="67"/>
      <c r="M42" s="67"/>
      <c r="N42" s="67"/>
      <c r="O42" s="67"/>
      <c r="P42" s="67"/>
      <c r="Q42" s="6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ht="18" customHeight="1" thickBot="1">
      <c r="A43" s="10"/>
      <c r="B43" s="12"/>
      <c r="C43" s="12"/>
      <c r="D43" s="12"/>
      <c r="E43" s="19"/>
      <c r="F43" s="20"/>
      <c r="G43" s="20"/>
      <c r="H43" s="6"/>
      <c r="I43" s="20"/>
      <c r="J43" s="66"/>
      <c r="K43" s="67"/>
      <c r="L43" s="67"/>
      <c r="M43" s="67"/>
      <c r="N43" s="67"/>
      <c r="O43" s="67"/>
      <c r="P43" s="67"/>
      <c r="Q43" s="6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8" customHeight="1" thickBot="1">
      <c r="A44" s="10"/>
      <c r="B44" s="12"/>
      <c r="C44" s="12"/>
      <c r="D44" s="12"/>
      <c r="E44" s="17"/>
      <c r="F44" s="16"/>
      <c r="G44" s="16"/>
      <c r="H44" s="6"/>
      <c r="I44" s="16"/>
      <c r="J44" s="66"/>
      <c r="K44" s="67"/>
      <c r="L44" s="67"/>
      <c r="M44" s="67"/>
      <c r="N44" s="67"/>
      <c r="O44" s="67"/>
      <c r="P44" s="67"/>
      <c r="Q44" s="6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1:28" ht="18" customHeight="1" thickBot="1">
      <c r="A45" s="10"/>
      <c r="B45" s="12"/>
      <c r="C45" s="12"/>
      <c r="D45" s="12"/>
      <c r="E45" s="19"/>
      <c r="F45" s="20"/>
      <c r="G45" s="20"/>
      <c r="H45" s="6"/>
      <c r="I45" s="20"/>
      <c r="J45" s="66"/>
      <c r="K45" s="67"/>
      <c r="L45" s="67"/>
      <c r="M45" s="67"/>
      <c r="N45" s="67"/>
      <c r="O45" s="67"/>
      <c r="P45" s="67"/>
      <c r="Q45" s="6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 spans="1:28" ht="18" customHeight="1" thickBot="1">
      <c r="A46" s="10"/>
      <c r="B46" s="12"/>
      <c r="C46" s="12"/>
      <c r="D46" s="12"/>
      <c r="E46" s="19"/>
      <c r="F46" s="20"/>
      <c r="G46" s="20"/>
      <c r="H46" s="6"/>
      <c r="I46" s="20"/>
      <c r="J46" s="66"/>
      <c r="K46" s="67"/>
      <c r="L46" s="67"/>
      <c r="M46" s="67"/>
      <c r="N46" s="67"/>
      <c r="O46" s="67"/>
      <c r="P46" s="67"/>
      <c r="Q46" s="6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spans="1:28" ht="18" customHeight="1" thickBot="1">
      <c r="A47" s="10"/>
      <c r="B47" s="12"/>
      <c r="C47" s="12"/>
      <c r="D47" s="12"/>
      <c r="E47" s="19"/>
      <c r="F47" s="20"/>
      <c r="G47" s="20"/>
      <c r="H47" s="6"/>
      <c r="I47" s="20"/>
      <c r="J47" s="66"/>
      <c r="K47" s="67"/>
      <c r="L47" s="67"/>
      <c r="M47" s="67"/>
      <c r="N47" s="67"/>
      <c r="O47" s="67"/>
      <c r="P47" s="67"/>
      <c r="Q47" s="6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spans="1:28" ht="18" customHeight="1" thickBot="1">
      <c r="A48" s="10"/>
      <c r="B48" s="12"/>
      <c r="C48" s="12"/>
      <c r="D48" s="12"/>
      <c r="E48" s="19"/>
      <c r="F48" s="20"/>
      <c r="G48" s="20"/>
      <c r="H48" s="6"/>
      <c r="I48" s="20"/>
      <c r="J48" s="66"/>
      <c r="K48" s="67"/>
      <c r="L48" s="67"/>
      <c r="M48" s="67"/>
      <c r="N48" s="67"/>
      <c r="O48" s="67"/>
      <c r="P48" s="67"/>
      <c r="Q48" s="6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1:28" ht="18" customHeight="1" thickBot="1">
      <c r="A49" s="10"/>
      <c r="B49" s="12"/>
      <c r="C49" s="12"/>
      <c r="D49" s="12"/>
      <c r="E49" s="19"/>
      <c r="F49" s="20"/>
      <c r="G49" s="20"/>
      <c r="H49" s="6"/>
      <c r="I49" s="20"/>
      <c r="J49" s="66"/>
      <c r="K49" s="67"/>
      <c r="L49" s="67"/>
      <c r="M49" s="67"/>
      <c r="N49" s="67"/>
      <c r="O49" s="67"/>
      <c r="P49" s="67"/>
      <c r="Q49" s="6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spans="1:28" ht="18" customHeight="1" thickBot="1">
      <c r="A50" s="39" t="s">
        <v>53</v>
      </c>
      <c r="B50" s="40"/>
      <c r="C50" s="40"/>
      <c r="D50" s="21"/>
      <c r="E50" s="21"/>
      <c r="F50" s="21"/>
      <c r="G50" s="21"/>
      <c r="H50" s="40">
        <f>SUM(I39:I49)</f>
        <v>0</v>
      </c>
      <c r="I50" s="41"/>
      <c r="J50" s="66"/>
      <c r="K50" s="67"/>
      <c r="L50" s="67"/>
      <c r="M50" s="67"/>
      <c r="N50" s="67"/>
      <c r="O50" s="67"/>
      <c r="P50" s="67"/>
      <c r="Q50" s="6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 spans="1:28" ht="18" customHeight="1" thickBot="1">
      <c r="A51" s="10"/>
      <c r="B51" s="12"/>
      <c r="C51" s="12"/>
      <c r="D51" s="12"/>
      <c r="E51" s="17"/>
      <c r="F51" s="16"/>
      <c r="G51" s="16"/>
      <c r="H51" s="6"/>
      <c r="I51" s="16"/>
      <c r="J51" s="66"/>
      <c r="K51" s="67"/>
      <c r="L51" s="67"/>
      <c r="M51" s="67"/>
      <c r="N51" s="67"/>
      <c r="O51" s="67"/>
      <c r="P51" s="67"/>
      <c r="Q51" s="6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 spans="1:28" ht="18" customHeight="1" thickBot="1">
      <c r="A52" s="39" t="s">
        <v>54</v>
      </c>
      <c r="B52" s="40"/>
      <c r="C52" s="40"/>
      <c r="D52" s="21"/>
      <c r="E52" s="21"/>
      <c r="F52" s="21"/>
      <c r="G52" s="21"/>
      <c r="H52" s="40">
        <f>SUM(I51)</f>
        <v>0</v>
      </c>
      <c r="I52" s="41"/>
      <c r="J52" s="66"/>
      <c r="K52" s="67"/>
      <c r="L52" s="67"/>
      <c r="M52" s="67"/>
      <c r="N52" s="67"/>
      <c r="O52" s="67"/>
      <c r="P52" s="67"/>
      <c r="Q52" s="6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 spans="1:28" ht="18" customHeight="1" thickBot="1">
      <c r="A53" s="18"/>
      <c r="B53" s="12"/>
      <c r="C53" s="12"/>
      <c r="D53" s="12"/>
      <c r="E53" s="19"/>
      <c r="F53" s="20"/>
      <c r="G53" s="20"/>
      <c r="H53" s="6"/>
      <c r="I53" s="20"/>
      <c r="J53" s="66"/>
      <c r="K53" s="67"/>
      <c r="L53" s="67"/>
      <c r="M53" s="67"/>
      <c r="N53" s="67"/>
      <c r="O53" s="67"/>
      <c r="P53" s="67"/>
      <c r="Q53" s="6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 spans="1:28" ht="18" customHeight="1" thickBot="1">
      <c r="A54" s="39" t="s">
        <v>55</v>
      </c>
      <c r="B54" s="40"/>
      <c r="C54" s="40"/>
      <c r="D54" s="21"/>
      <c r="E54" s="21"/>
      <c r="F54" s="21"/>
      <c r="G54" s="21"/>
      <c r="H54" s="40">
        <f>SUM(I53)</f>
        <v>0</v>
      </c>
      <c r="I54" s="41"/>
      <c r="J54" s="69"/>
      <c r="K54" s="70"/>
      <c r="L54" s="70"/>
      <c r="M54" s="70"/>
      <c r="N54" s="70"/>
      <c r="O54" s="70"/>
      <c r="P54" s="70"/>
      <c r="Q54" s="71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 spans="1:28" ht="18" customHeight="1" thickBot="1">
      <c r="A55" s="51" t="s">
        <v>29</v>
      </c>
      <c r="B55" s="52"/>
      <c r="C55" s="52"/>
      <c r="D55" s="52"/>
      <c r="E55" s="52"/>
      <c r="F55" s="52"/>
      <c r="G55" s="52"/>
      <c r="H55" s="53"/>
      <c r="I55" s="28">
        <f>SUM(I53,I51,I39:I49,I11:I37)</f>
        <v>0</v>
      </c>
      <c r="J55" s="54"/>
      <c r="K55" s="55"/>
      <c r="L55" s="55"/>
      <c r="M55" s="55"/>
      <c r="N55" s="55"/>
      <c r="O55" s="55"/>
      <c r="P55" s="55"/>
      <c r="Q55" s="56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 spans="1:28" ht="17.25" customHeight="1" thickBot="1">
      <c r="A56" s="57" t="s">
        <v>45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9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 spans="1:28" ht="17.25" customHeight="1" thickBot="1">
      <c r="A57" s="22" t="s">
        <v>56</v>
      </c>
      <c r="B57" s="8" t="s">
        <v>59</v>
      </c>
      <c r="C57" s="8" t="s">
        <v>60</v>
      </c>
      <c r="D57" s="23" t="s">
        <v>61</v>
      </c>
      <c r="E57" s="8" t="s">
        <v>62</v>
      </c>
      <c r="F57" s="22" t="s">
        <v>56</v>
      </c>
      <c r="G57" s="8" t="s">
        <v>59</v>
      </c>
      <c r="H57" s="8" t="s">
        <v>60</v>
      </c>
      <c r="I57" s="23" t="s">
        <v>61</v>
      </c>
      <c r="J57" s="8" t="s">
        <v>62</v>
      </c>
      <c r="K57" s="8"/>
      <c r="L57" s="42" t="s">
        <v>30</v>
      </c>
      <c r="M57" s="43"/>
      <c r="N57" s="43"/>
      <c r="O57" s="43"/>
      <c r="P57" s="43"/>
      <c r="Q57" s="4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 spans="1:28" ht="17.25" customHeight="1" thickBot="1">
      <c r="A58" s="12"/>
      <c r="B58" s="7"/>
      <c r="C58" s="5"/>
      <c r="D58" s="5"/>
      <c r="E58" s="5"/>
      <c r="F58" s="12"/>
      <c r="G58" s="12"/>
      <c r="H58" s="7"/>
      <c r="I58" s="16"/>
      <c r="J58" s="16"/>
      <c r="K58" s="16"/>
      <c r="L58" s="34"/>
      <c r="M58" s="35"/>
      <c r="N58" s="35"/>
      <c r="O58" s="35"/>
      <c r="P58" s="35"/>
      <c r="Q58" s="36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 spans="1:28" ht="17.25" customHeight="1" thickBot="1">
      <c r="A59" s="12"/>
      <c r="B59" s="7"/>
      <c r="C59" s="5"/>
      <c r="D59" s="5"/>
      <c r="E59" s="5"/>
      <c r="F59" s="12"/>
      <c r="G59" s="12"/>
      <c r="H59" s="7"/>
      <c r="I59" s="16"/>
      <c r="J59" s="16"/>
      <c r="K59" s="16"/>
      <c r="L59" s="29"/>
      <c r="M59" s="30"/>
      <c r="N59" s="30"/>
      <c r="O59" s="30"/>
      <c r="P59" s="30"/>
      <c r="Q59" s="31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7.25" customHeight="1" thickBot="1">
      <c r="A60" s="12"/>
      <c r="B60" s="7"/>
      <c r="C60" s="5"/>
      <c r="D60" s="5"/>
      <c r="E60" s="5"/>
      <c r="F60" s="12"/>
      <c r="G60" s="12"/>
      <c r="H60" s="7"/>
      <c r="I60" s="16"/>
      <c r="J60" s="16"/>
      <c r="K60" s="16"/>
      <c r="L60" s="29"/>
      <c r="M60" s="30"/>
      <c r="N60" s="30"/>
      <c r="O60" s="30"/>
      <c r="P60" s="30"/>
      <c r="Q60" s="31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7.25" customHeight="1" thickBot="1">
      <c r="A61" s="12"/>
      <c r="B61" s="7"/>
      <c r="C61" s="5"/>
      <c r="D61" s="5"/>
      <c r="E61" s="5"/>
      <c r="F61" s="12"/>
      <c r="G61" s="12"/>
      <c r="H61" s="7"/>
      <c r="I61" s="16"/>
      <c r="J61" s="16"/>
      <c r="K61" s="16"/>
      <c r="L61" s="29"/>
      <c r="M61" s="30"/>
      <c r="N61" s="30"/>
      <c r="O61" s="30"/>
      <c r="P61" s="30"/>
      <c r="Q61" s="31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7.25" customHeight="1" thickBot="1">
      <c r="A62" s="12"/>
      <c r="B62" s="7"/>
      <c r="C62" s="5"/>
      <c r="D62" s="5"/>
      <c r="E62" s="5"/>
      <c r="F62" s="12"/>
      <c r="G62" s="12"/>
      <c r="H62" s="7"/>
      <c r="I62" s="16"/>
      <c r="J62" s="16"/>
      <c r="K62" s="16"/>
      <c r="L62" s="29"/>
      <c r="M62" s="30"/>
      <c r="N62" s="30"/>
      <c r="O62" s="30"/>
      <c r="P62" s="30"/>
      <c r="Q62" s="31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7.25" customHeight="1" thickBot="1">
      <c r="A63" s="12"/>
      <c r="B63" s="7"/>
      <c r="C63" s="5"/>
      <c r="D63" s="5"/>
      <c r="E63" s="5"/>
      <c r="F63" s="12"/>
      <c r="G63" s="12"/>
      <c r="H63" s="7"/>
      <c r="I63" s="16"/>
      <c r="J63" s="16"/>
      <c r="K63" s="16"/>
      <c r="L63" s="29"/>
      <c r="M63" s="30"/>
      <c r="N63" s="30"/>
      <c r="O63" s="30"/>
      <c r="P63" s="30"/>
      <c r="Q63" s="31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7.25" customHeight="1" thickBot="1">
      <c r="A64" s="12"/>
      <c r="B64" s="7"/>
      <c r="C64" s="5"/>
      <c r="D64" s="5"/>
      <c r="E64" s="5"/>
      <c r="F64" s="12"/>
      <c r="G64" s="12"/>
      <c r="H64" s="7"/>
      <c r="I64" s="16"/>
      <c r="J64" s="16"/>
      <c r="K64" s="16"/>
      <c r="L64" s="29"/>
      <c r="M64" s="30"/>
      <c r="N64" s="30"/>
      <c r="O64" s="30"/>
      <c r="P64" s="30"/>
      <c r="Q64" s="31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7.25" customHeight="1" thickBot="1">
      <c r="A65" s="12"/>
      <c r="B65" s="7"/>
      <c r="C65" s="5"/>
      <c r="D65" s="5"/>
      <c r="E65" s="5"/>
      <c r="F65" s="12"/>
      <c r="G65" s="12"/>
      <c r="H65" s="7"/>
      <c r="I65" s="16"/>
      <c r="J65" s="16"/>
      <c r="K65" s="16"/>
      <c r="L65" s="29"/>
      <c r="M65" s="30"/>
      <c r="N65" s="30"/>
      <c r="O65" s="30"/>
      <c r="P65" s="30"/>
      <c r="Q65" s="31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7.25" customHeight="1" thickBot="1">
      <c r="A66" s="12"/>
      <c r="B66" s="7"/>
      <c r="C66" s="5"/>
      <c r="D66" s="5"/>
      <c r="E66" s="5"/>
      <c r="F66" s="12"/>
      <c r="G66" s="12"/>
      <c r="H66" s="7"/>
      <c r="I66" s="16"/>
      <c r="J66" s="16"/>
      <c r="K66" s="16"/>
      <c r="L66" s="29"/>
      <c r="M66" s="30"/>
      <c r="N66" s="30"/>
      <c r="O66" s="30"/>
      <c r="P66" s="30"/>
      <c r="Q66" s="31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7.25" customHeight="1" thickBot="1">
      <c r="A67" s="12"/>
      <c r="B67" s="7"/>
      <c r="C67" s="5"/>
      <c r="D67" s="5"/>
      <c r="E67" s="5"/>
      <c r="F67" s="12"/>
      <c r="G67" s="12"/>
      <c r="H67" s="7"/>
      <c r="I67" s="16"/>
      <c r="J67" s="16"/>
      <c r="K67" s="16"/>
      <c r="L67" s="29"/>
      <c r="M67" s="30"/>
      <c r="N67" s="30"/>
      <c r="O67" s="30"/>
      <c r="P67" s="30"/>
      <c r="Q67" s="31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7.25" customHeight="1" thickBot="1">
      <c r="A68" s="12"/>
      <c r="B68" s="7"/>
      <c r="C68" s="5"/>
      <c r="D68" s="5"/>
      <c r="E68" s="5"/>
      <c r="F68" s="12"/>
      <c r="G68" s="12"/>
      <c r="H68" s="7"/>
      <c r="I68" s="16"/>
      <c r="J68" s="16"/>
      <c r="K68" s="16"/>
      <c r="L68" s="29"/>
      <c r="M68" s="30"/>
      <c r="N68" s="30"/>
      <c r="O68" s="30"/>
      <c r="P68" s="30"/>
      <c r="Q68" s="31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7.25" customHeight="1" thickBot="1">
      <c r="A69" s="12"/>
      <c r="B69" s="7"/>
      <c r="C69" s="5"/>
      <c r="D69" s="5"/>
      <c r="E69" s="5"/>
      <c r="F69" s="12"/>
      <c r="G69" s="12"/>
      <c r="H69" s="7"/>
      <c r="I69" s="16"/>
      <c r="J69" s="16"/>
      <c r="K69" s="16"/>
      <c r="L69" s="29"/>
      <c r="M69" s="30"/>
      <c r="N69" s="30"/>
      <c r="O69" s="30"/>
      <c r="P69" s="30"/>
      <c r="Q69" s="31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7.25" customHeight="1" thickBot="1">
      <c r="A70" s="12"/>
      <c r="B70" s="7"/>
      <c r="C70" s="5"/>
      <c r="D70" s="5"/>
      <c r="E70" s="5"/>
      <c r="F70" s="12"/>
      <c r="G70" s="12"/>
      <c r="H70" s="7"/>
      <c r="I70" s="16"/>
      <c r="J70" s="16"/>
      <c r="K70" s="16"/>
      <c r="L70" s="29"/>
      <c r="M70" s="30"/>
      <c r="N70" s="30"/>
      <c r="O70" s="30"/>
      <c r="P70" s="30"/>
      <c r="Q70" s="31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7.25" customHeight="1" thickBot="1">
      <c r="A71" s="12"/>
      <c r="B71" s="7"/>
      <c r="C71" s="5"/>
      <c r="D71" s="5"/>
      <c r="E71" s="5"/>
      <c r="F71" s="12"/>
      <c r="G71" s="12"/>
      <c r="H71" s="7"/>
      <c r="I71" s="16"/>
      <c r="J71" s="16"/>
      <c r="K71" s="16"/>
      <c r="L71" s="29"/>
      <c r="M71" s="30"/>
      <c r="N71" s="30"/>
      <c r="O71" s="30"/>
      <c r="P71" s="30"/>
      <c r="Q71" s="31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7.25" customHeight="1" thickBot="1">
      <c r="A72" s="12"/>
      <c r="B72" s="7"/>
      <c r="C72" s="5"/>
      <c r="D72" s="5"/>
      <c r="E72" s="5"/>
      <c r="F72" s="5"/>
      <c r="G72" s="5"/>
      <c r="H72" s="7"/>
      <c r="I72" s="16"/>
      <c r="J72" s="16"/>
      <c r="K72" s="16"/>
      <c r="L72" s="29"/>
      <c r="M72" s="30"/>
      <c r="N72" s="30"/>
      <c r="O72" s="30"/>
      <c r="P72" s="30"/>
      <c r="Q72" s="31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7.25" customHeight="1" thickBot="1">
      <c r="A73" s="12"/>
      <c r="B73" s="7"/>
      <c r="C73" s="5"/>
      <c r="D73" s="5"/>
      <c r="E73" s="5"/>
      <c r="F73" s="5"/>
      <c r="G73" s="5"/>
      <c r="H73" s="7"/>
      <c r="I73" s="16"/>
      <c r="J73" s="16"/>
      <c r="K73" s="16"/>
      <c r="L73" s="29"/>
      <c r="M73" s="30"/>
      <c r="N73" s="30"/>
      <c r="O73" s="30"/>
      <c r="P73" s="30"/>
      <c r="Q73" s="31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7.25" customHeight="1" thickBot="1">
      <c r="A74" s="12"/>
      <c r="B74" s="7"/>
      <c r="C74" s="5"/>
      <c r="D74" s="5"/>
      <c r="E74" s="5"/>
      <c r="F74" s="5"/>
      <c r="G74" s="5"/>
      <c r="H74" s="7"/>
      <c r="I74" s="16"/>
      <c r="J74" s="16"/>
      <c r="K74" s="16"/>
      <c r="L74" s="29"/>
      <c r="M74" s="30"/>
      <c r="N74" s="30"/>
      <c r="O74" s="30"/>
      <c r="P74" s="30"/>
      <c r="Q74" s="31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7.25" customHeight="1" thickBot="1">
      <c r="A75" s="12"/>
      <c r="B75" s="7"/>
      <c r="C75" s="5"/>
      <c r="D75" s="5"/>
      <c r="E75" s="5"/>
      <c r="F75" s="5"/>
      <c r="G75" s="5"/>
      <c r="H75" s="7"/>
      <c r="I75" s="16"/>
      <c r="J75" s="16"/>
      <c r="K75" s="16"/>
      <c r="L75" s="29"/>
      <c r="M75" s="30"/>
      <c r="N75" s="30"/>
      <c r="O75" s="30"/>
      <c r="P75" s="30"/>
      <c r="Q75" s="31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7.25" customHeight="1" thickBot="1">
      <c r="A76" s="12"/>
      <c r="B76" s="7"/>
      <c r="C76" s="5"/>
      <c r="D76" s="5"/>
      <c r="E76" s="5"/>
      <c r="F76" s="5"/>
      <c r="G76" s="5"/>
      <c r="H76" s="7"/>
      <c r="I76" s="16"/>
      <c r="J76" s="16"/>
      <c r="K76" s="16"/>
      <c r="L76" s="29"/>
      <c r="M76" s="30"/>
      <c r="N76" s="30"/>
      <c r="O76" s="30"/>
      <c r="P76" s="30"/>
      <c r="Q76" s="31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7.25" customHeight="1" thickBot="1">
      <c r="A77" s="12"/>
      <c r="B77" s="7"/>
      <c r="C77" s="5"/>
      <c r="D77" s="5"/>
      <c r="E77" s="5"/>
      <c r="F77" s="5"/>
      <c r="G77" s="5"/>
      <c r="H77" s="7"/>
      <c r="I77" s="16"/>
      <c r="J77" s="16"/>
      <c r="K77" s="16"/>
      <c r="L77" s="29"/>
      <c r="M77" s="30"/>
      <c r="N77" s="30"/>
      <c r="O77" s="30"/>
      <c r="P77" s="30"/>
      <c r="Q77" s="31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7.25" customHeight="1" thickBot="1">
      <c r="A78" s="12"/>
      <c r="B78" s="7"/>
      <c r="C78" s="5"/>
      <c r="D78" s="5"/>
      <c r="E78" s="5"/>
      <c r="F78" s="5"/>
      <c r="G78" s="5"/>
      <c r="H78" s="7"/>
      <c r="I78" s="16"/>
      <c r="J78" s="16"/>
      <c r="K78" s="16"/>
      <c r="L78" s="29"/>
      <c r="M78" s="30"/>
      <c r="N78" s="30"/>
      <c r="O78" s="30"/>
      <c r="P78" s="30"/>
      <c r="Q78" s="31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7.25" customHeight="1" thickBot="1">
      <c r="A79" s="12"/>
      <c r="B79" s="7"/>
      <c r="C79" s="5"/>
      <c r="D79" s="5"/>
      <c r="E79" s="5"/>
      <c r="F79" s="5"/>
      <c r="G79" s="5"/>
      <c r="H79" s="7"/>
      <c r="I79" s="16"/>
      <c r="J79" s="16"/>
      <c r="K79" s="16"/>
      <c r="L79" s="29"/>
      <c r="M79" s="30"/>
      <c r="N79" s="30"/>
      <c r="O79" s="30"/>
      <c r="P79" s="30"/>
      <c r="Q79" s="31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7.25" customHeight="1" thickBot="1">
      <c r="A80" s="12"/>
      <c r="B80" s="7"/>
      <c r="C80" s="5"/>
      <c r="D80" s="5"/>
      <c r="E80" s="5"/>
      <c r="F80" s="5"/>
      <c r="G80" s="5"/>
      <c r="H80" s="7"/>
      <c r="I80" s="16"/>
      <c r="J80" s="16"/>
      <c r="K80" s="16"/>
      <c r="L80" s="29"/>
      <c r="M80" s="30"/>
      <c r="N80" s="30"/>
      <c r="O80" s="30"/>
      <c r="P80" s="30"/>
      <c r="Q80" s="31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7.25" customHeight="1" thickBot="1">
      <c r="A81" s="12"/>
      <c r="B81" s="7"/>
      <c r="C81" s="5"/>
      <c r="D81" s="5"/>
      <c r="E81" s="5"/>
      <c r="F81" s="5"/>
      <c r="G81" s="5"/>
      <c r="H81" s="7"/>
      <c r="I81" s="16"/>
      <c r="J81" s="16"/>
      <c r="K81" s="16"/>
      <c r="L81" s="29"/>
      <c r="M81" s="30"/>
      <c r="N81" s="30"/>
      <c r="O81" s="30"/>
      <c r="P81" s="30"/>
      <c r="Q81" s="31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7.25" customHeight="1" thickBot="1">
      <c r="A82" s="12"/>
      <c r="B82" s="7"/>
      <c r="C82" s="5"/>
      <c r="D82" s="5"/>
      <c r="E82" s="5"/>
      <c r="F82" s="5"/>
      <c r="G82" s="5"/>
      <c r="H82" s="7"/>
      <c r="I82" s="16"/>
      <c r="J82" s="16"/>
      <c r="K82" s="16"/>
      <c r="L82" s="29"/>
      <c r="M82" s="30"/>
      <c r="N82" s="30"/>
      <c r="O82" s="30"/>
      <c r="P82" s="30"/>
      <c r="Q82" s="31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7.25" customHeight="1" thickBot="1">
      <c r="A83" s="12"/>
      <c r="B83" s="7"/>
      <c r="C83" s="5"/>
      <c r="D83" s="5"/>
      <c r="E83" s="5"/>
      <c r="F83" s="5"/>
      <c r="G83" s="5"/>
      <c r="H83" s="7"/>
      <c r="I83" s="16"/>
      <c r="J83" s="16"/>
      <c r="K83" s="16"/>
      <c r="L83" s="29"/>
      <c r="M83" s="30"/>
      <c r="N83" s="30"/>
      <c r="O83" s="30"/>
      <c r="P83" s="30"/>
      <c r="Q83" s="31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7.25" customHeight="1" thickBot="1">
      <c r="A84" s="12"/>
      <c r="B84" s="7"/>
      <c r="C84" s="5"/>
      <c r="D84" s="5"/>
      <c r="E84" s="5"/>
      <c r="F84" s="5"/>
      <c r="G84" s="5"/>
      <c r="H84" s="7"/>
      <c r="I84" s="16"/>
      <c r="J84" s="16"/>
      <c r="K84" s="16"/>
      <c r="L84" s="29"/>
      <c r="M84" s="30"/>
      <c r="N84" s="30"/>
      <c r="O84" s="30"/>
      <c r="P84" s="30"/>
      <c r="Q84" s="31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7.25" customHeight="1" thickBot="1">
      <c r="A85" s="12"/>
      <c r="B85" s="7"/>
      <c r="C85" s="5"/>
      <c r="D85" s="5"/>
      <c r="E85" s="5"/>
      <c r="F85" s="5"/>
      <c r="G85" s="5"/>
      <c r="H85" s="7"/>
      <c r="I85" s="16"/>
      <c r="J85" s="16"/>
      <c r="K85" s="16"/>
      <c r="L85" s="29"/>
      <c r="M85" s="30"/>
      <c r="N85" s="30"/>
      <c r="O85" s="30"/>
      <c r="P85" s="30"/>
      <c r="Q85" s="31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7.25" customHeight="1" thickBot="1">
      <c r="A86" s="12"/>
      <c r="B86" s="7"/>
      <c r="C86" s="5"/>
      <c r="D86" s="5"/>
      <c r="E86" s="5"/>
      <c r="F86" s="5"/>
      <c r="G86" s="5"/>
      <c r="H86" s="7"/>
      <c r="I86" s="16"/>
      <c r="J86" s="16"/>
      <c r="K86" s="16"/>
      <c r="L86" s="29"/>
      <c r="M86" s="30"/>
      <c r="N86" s="30"/>
      <c r="O86" s="30"/>
      <c r="P86" s="30"/>
      <c r="Q86" s="31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7.25" customHeight="1" thickBot="1">
      <c r="A87" s="9"/>
      <c r="B87" s="7"/>
      <c r="C87" s="5"/>
      <c r="D87" s="5"/>
      <c r="E87" s="5"/>
      <c r="F87" s="5"/>
      <c r="G87" s="5"/>
      <c r="H87" s="7"/>
      <c r="I87" s="16"/>
      <c r="J87" s="16"/>
      <c r="K87" s="16"/>
      <c r="L87" s="29"/>
      <c r="M87" s="30"/>
      <c r="N87" s="30"/>
      <c r="O87" s="30"/>
      <c r="P87" s="30"/>
      <c r="Q87" s="31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7.25" customHeight="1" thickBot="1">
      <c r="A88" s="51" t="s">
        <v>29</v>
      </c>
      <c r="B88" s="52"/>
      <c r="C88" s="53"/>
      <c r="D88" s="14"/>
      <c r="E88" s="14">
        <f>SUM(E58:E87)</f>
        <v>0</v>
      </c>
      <c r="F88" s="32"/>
      <c r="G88" s="28">
        <v>36</v>
      </c>
      <c r="H88" s="51" t="s">
        <v>29</v>
      </c>
      <c r="I88" s="52"/>
      <c r="J88" s="53"/>
      <c r="K88" s="28">
        <f>SUM(J58:J71)</f>
        <v>0</v>
      </c>
      <c r="L88" s="54"/>
      <c r="M88" s="55"/>
      <c r="N88" s="55"/>
      <c r="O88" s="55"/>
      <c r="P88" s="55"/>
      <c r="Q88" s="56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7.25" customHeight="1" thickBot="1">
      <c r="A89" s="99">
        <f>SUM(E88+K88)</f>
        <v>0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1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23.1" customHeight="1" thickBot="1">
      <c r="A90" s="108" t="s">
        <v>46</v>
      </c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1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7.25" customHeight="1" thickBot="1">
      <c r="A91" s="102" t="s">
        <v>31</v>
      </c>
      <c r="B91" s="103"/>
      <c r="C91" s="103"/>
      <c r="D91" s="103"/>
      <c r="E91" s="103"/>
      <c r="F91" s="104"/>
      <c r="G91" s="102" t="s">
        <v>47</v>
      </c>
      <c r="H91" s="103"/>
      <c r="I91" s="103"/>
      <c r="J91" s="103"/>
      <c r="K91" s="103"/>
      <c r="L91" s="103"/>
      <c r="M91" s="103"/>
      <c r="N91" s="103"/>
      <c r="O91" s="103"/>
      <c r="P91" s="103"/>
      <c r="Q91" s="10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7.25" customHeight="1" thickBot="1">
      <c r="A92" s="102" t="s">
        <v>32</v>
      </c>
      <c r="B92" s="103"/>
      <c r="C92" s="103"/>
      <c r="D92" s="103"/>
      <c r="E92" s="103"/>
      <c r="F92" s="104"/>
      <c r="G92" s="83" t="s">
        <v>48</v>
      </c>
      <c r="H92" s="85"/>
      <c r="I92" s="85"/>
      <c r="J92" s="84"/>
      <c r="K92" s="102" t="s">
        <v>33</v>
      </c>
      <c r="L92" s="104"/>
      <c r="M92" s="102" t="s">
        <v>34</v>
      </c>
      <c r="N92" s="103"/>
      <c r="O92" s="103"/>
      <c r="P92" s="103"/>
      <c r="Q92" s="10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7.25" customHeight="1" thickBot="1">
      <c r="A93" s="102" t="s">
        <v>35</v>
      </c>
      <c r="B93" s="103"/>
      <c r="C93" s="103"/>
      <c r="D93" s="103"/>
      <c r="E93" s="103"/>
      <c r="F93" s="104"/>
      <c r="G93" s="102" t="s">
        <v>49</v>
      </c>
      <c r="H93" s="103"/>
      <c r="I93" s="103"/>
      <c r="J93" s="103"/>
      <c r="K93" s="103"/>
      <c r="L93" s="103"/>
      <c r="M93" s="103"/>
      <c r="N93" s="103"/>
      <c r="O93" s="103"/>
      <c r="P93" s="103"/>
      <c r="Q93" s="10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24.95" customHeight="1" thickBot="1">
      <c r="A94" s="105" t="s">
        <v>36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7.25" customHeight="1" thickBo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7.25" customHeight="1" thickBo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7.25" customHeight="1" thickBo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7.25" customHeight="1" thickBo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8" customHeight="1" thickBo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7.25" customHeight="1" thickBo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23.25" customHeight="1" thickBo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7.25" customHeight="1" thickBo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7.25" customHeight="1" thickBo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7.25" customHeight="1" thickBo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30" customHeight="1" thickBo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7.25" customHeight="1" thickBo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7.25" customHeight="1" thickBo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7.25" customHeight="1" thickBo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7.25" customHeight="1" thickBo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7.25" customHeight="1" thickBo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7.25" customHeight="1" thickBo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7.25" customHeight="1" thickBo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7.25" customHeight="1" thickBo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7.25" customHeight="1" thickBo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7.25" customHeight="1" thickBo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7.25" customHeight="1" thickBo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7.25" customHeight="1" thickBo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7.25" customHeight="1" thickBo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7.25" customHeight="1" thickBo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7.25" customHeight="1" thickBo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7.25" customHeight="1" thickBo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7.25" customHeight="1" thickBo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7.25" customHeight="1" thickBo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7.25" customHeight="1" thickBo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7.25" customHeight="1" thickBo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7.25" customHeight="1" thickBo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7.25" customHeight="1" thickBo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7.25" customHeight="1" thickBo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7.25" customHeight="1" thickBo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7.25" customHeight="1" thickBo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7.25" customHeight="1" thickBo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7.25" customHeight="1" thickBo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7.25" customHeight="1" thickBo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7.25" customHeight="1" thickBo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7.25" customHeight="1" thickBo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7.25" customHeight="1" thickBo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7.25" customHeight="1" thickBo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7.25" customHeight="1" thickBo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7.25" customHeight="1" thickBo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7.25" customHeight="1" thickBo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7.25" customHeight="1" thickBo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7.25" customHeight="1" thickBo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7.25" customHeight="1" thickBo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7.25" customHeight="1" thickBo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7.25" customHeight="1" thickBo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7.25" customHeight="1" thickBo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7.25" customHeight="1" thickBo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7.25" customHeight="1" thickBo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7.25" customHeight="1" thickBo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7.25" customHeight="1" thickBo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7.25" customHeight="1" thickBo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7.25" customHeight="1" thickBo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7.25" customHeight="1" thickBo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7.25" customHeight="1" thickBo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7.25" customHeight="1" thickBo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7.25" customHeight="1" thickBo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7.25" customHeight="1" thickBo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7.25" customHeight="1" thickBo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7.25" customHeight="1" thickBo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7.25" customHeight="1" thickBo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7.25" customHeight="1" thickBo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7.25" customHeight="1" thickBo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7.25" customHeight="1" thickBo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7.25" customHeight="1" thickBo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7.25" customHeight="1" thickBo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7.25" customHeight="1" thickBo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7.25" customHeight="1" thickBo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7.25" customHeight="1" thickBo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7.25" customHeight="1" thickBo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7.25" customHeight="1" thickBo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7.25" customHeight="1" thickBo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7.25" customHeight="1" thickBo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7.25" customHeight="1" thickBo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7.25" customHeight="1" thickBo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7.25" customHeight="1" thickBo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7.25" customHeight="1" thickBo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7.25" customHeight="1" thickBo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7.25" customHeight="1" thickBo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7.25" customHeight="1" thickBo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7.25" customHeight="1" thickBo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7.25" customHeight="1" thickBo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7.25" customHeight="1" thickBo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7.25" customHeight="1" thickBo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7.25" customHeight="1" thickBo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7.25" customHeight="1" thickBo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7.25" customHeight="1" thickBo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7.25" customHeight="1" thickBo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7.25" customHeight="1" thickBo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7.25" customHeight="1" thickBo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7.25" customHeight="1" thickBo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7.25" customHeight="1" thickBo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7.25" customHeight="1" thickBo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7.25" customHeight="1" thickBo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7.25" customHeight="1" thickBo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7.25" customHeight="1" thickBo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7.25" customHeight="1" thickBo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7.25" customHeight="1" thickBo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7.25" customHeight="1" thickBo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7.25" customHeight="1" thickBo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7.25" customHeight="1" thickBo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7.25" customHeight="1" thickBo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7.25" customHeight="1" thickBo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7.25" customHeight="1" thickBo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7.25" customHeight="1" thickBo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7.25" customHeight="1" thickBo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7.25" customHeight="1" thickBo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7.25" customHeight="1" thickBo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7.25" customHeight="1" thickBo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7.25" customHeight="1" thickBo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7.25" customHeight="1" thickBo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7.25" customHeight="1" thickBo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7.25" customHeight="1" thickBo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7.25" customHeight="1" thickBo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7.25" customHeight="1" thickBo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7.25" customHeight="1" thickBo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7.25" customHeight="1" thickBo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7.25" customHeight="1" thickBo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7.25" customHeight="1" thickBo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7.25" customHeight="1" thickBo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7.25" customHeight="1" thickBo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7.25" customHeight="1" thickBo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7.25" customHeight="1" thickBo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7.25" customHeight="1" thickBo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7.25" customHeight="1" thickBo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7.25" customHeight="1" thickBo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7.25" customHeight="1" thickBo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7.25" customHeight="1" thickBo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7.25" customHeight="1" thickBo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7.25" customHeight="1" thickBo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7.25" customHeight="1" thickBo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7.25" customHeight="1" thickBo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7.25" customHeight="1" thickBo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7.25" customHeight="1" thickBo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7.25" customHeight="1" thickBo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7.25" customHeight="1" thickBo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7.25" customHeight="1" thickBo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7.25" customHeight="1" thickBo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7.25" customHeight="1" thickBo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7.25" customHeight="1" thickBo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7.25" customHeight="1" thickBo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7.25" customHeight="1" thickBo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7.25" customHeight="1" thickBo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7.25" customHeight="1" thickBo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7.25" customHeight="1" thickBo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7.25" customHeight="1" thickBo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7.25" customHeight="1" thickBo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7.25" customHeight="1" thickBo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7.25" customHeight="1" thickBo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7.25" customHeight="1" thickBo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7.25" customHeight="1" thickBo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7.25" customHeight="1" thickBo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7.25" customHeight="1" thickBo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7.25" customHeight="1" thickBo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7.25" customHeight="1" thickBo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7.25" customHeight="1" thickBo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7.25" customHeight="1" thickBo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7.25" customHeight="1" thickBo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7.25" customHeight="1" thickBo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7.25" customHeight="1" thickBo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7.25" customHeight="1" thickBo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7.25" customHeight="1" thickBo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7.25" customHeight="1" thickBo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7.25" customHeight="1" thickBo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7.25" customHeight="1" thickBo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7.25" customHeight="1" thickBo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7.25" customHeight="1" thickBo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7.25" customHeight="1" thickBo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7.25" customHeight="1" thickBo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7.25" customHeight="1" thickBo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7.25" customHeight="1" thickBo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7.25" customHeight="1" thickBo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7.25" customHeight="1" thickBo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7.25" customHeight="1" thickBo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7.25" customHeight="1" thickBo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7.25" customHeight="1" thickBo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7.25" customHeight="1" thickBo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7.25" customHeight="1" thickBo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7.25" customHeight="1" thickBo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7.25" customHeight="1" thickBo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7.25" customHeight="1" thickBo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7.25" customHeight="1" thickBo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7.25" customHeight="1" thickBo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7.25" customHeight="1" thickBo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7.25" customHeight="1" thickBo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7.25" customHeight="1" thickBo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7.25" customHeight="1" thickBo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7.25" customHeight="1" thickBo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7.25" customHeight="1" thickBo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7.25" customHeight="1" thickBo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7.25" customHeight="1" thickBo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7.25" customHeight="1" thickBo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7.25" customHeight="1" thickBo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7.25" customHeight="1" thickBo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7.25" customHeight="1" thickBo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7.25" customHeight="1" thickBo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7.25" customHeight="1" thickBo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7.25" customHeight="1" thickBo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7.25" customHeight="1" thickBo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7.25" customHeight="1" thickBo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7.25" customHeight="1" thickBo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7.25" customHeight="1" thickBo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7.25" customHeight="1" thickBo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7.25" customHeight="1" thickBo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7.25" customHeight="1" thickBo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7.25" customHeight="1" thickBo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7.25" customHeight="1" thickBo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7.25" customHeight="1" thickBo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7.25" customHeight="1" thickBo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7.25" customHeight="1" thickBo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7.25" customHeight="1" thickBo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7.25" customHeight="1" thickBo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7.25" customHeight="1" thickBo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7.25" customHeight="1" thickBo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7.25" customHeight="1" thickBo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7.25" customHeight="1" thickBo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7.25" customHeight="1" thickBo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7.25" customHeight="1" thickBo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7.25" customHeight="1" thickBo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7.25" customHeight="1" thickBo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7.25" customHeight="1" thickBo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7.25" customHeight="1" thickBo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7.25" customHeight="1" thickBo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7.25" customHeight="1" thickBo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7.25" customHeight="1" thickBo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7.25" customHeight="1" thickBo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7.25" customHeight="1" thickBo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7.25" customHeight="1" thickBo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7.25" customHeight="1" thickBo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7.25" customHeight="1" thickBo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7.25" customHeight="1" thickBo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7.25" customHeight="1" thickBo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7.25" customHeight="1" thickBo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7.25" customHeight="1" thickBo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7.25" customHeight="1" thickBo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7.25" customHeight="1" thickBo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7.25" customHeight="1" thickBo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7.25" customHeight="1" thickBo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7.25" customHeight="1" thickBo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7.25" customHeight="1" thickBo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7.25" customHeight="1" thickBo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7.25" customHeight="1" thickBo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7.25" customHeight="1" thickBo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7.25" customHeight="1" thickBo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7.25" customHeight="1" thickBo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7.25" customHeight="1" thickBo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7.25" customHeight="1" thickBo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7.25" customHeight="1" thickBo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7.25" customHeight="1" thickBo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7.25" customHeight="1" thickBo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7.25" customHeight="1" thickBo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7.25" customHeight="1" thickBo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7.25" customHeight="1" thickBo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7.25" customHeight="1" thickBo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7.25" customHeight="1" thickBo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7.25" customHeight="1" thickBo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7.25" customHeight="1" thickBo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7.25" customHeight="1" thickBo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7.25" customHeight="1" thickBo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7.25" customHeight="1" thickBo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7.25" customHeight="1" thickBo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7.25" customHeight="1" thickBo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7.25" customHeight="1" thickBo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7.25" customHeight="1" thickBo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7.25" customHeight="1" thickBo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7.25" customHeight="1" thickBo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7.25" customHeight="1" thickBo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7.25" customHeight="1" thickBo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7.25" customHeight="1" thickBo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7.25" customHeight="1" thickBo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7.25" customHeight="1" thickBo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7.25" customHeight="1" thickBo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7.25" customHeight="1" thickBo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7.25" customHeight="1" thickBo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7.25" customHeight="1" thickBo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7.25" customHeight="1" thickBo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7.25" customHeight="1" thickBo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7.25" customHeight="1" thickBo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7.25" customHeight="1" thickBo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7.25" customHeight="1" thickBo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7.25" customHeight="1" thickBo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7.25" customHeight="1" thickBo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7.25" customHeight="1" thickBo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7.25" customHeight="1" thickBo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7.25" customHeight="1" thickBo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7.25" customHeight="1" thickBo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7.25" customHeight="1" thickBo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7.25" customHeight="1" thickBo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7.25" customHeight="1" thickBo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7.25" customHeight="1" thickBo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7.25" customHeight="1" thickBo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7.25" customHeight="1" thickBo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7.25" customHeight="1" thickBo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7.25" customHeight="1" thickBo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7.25" customHeight="1" thickBo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7.25" customHeight="1" thickBo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7.25" customHeight="1" thickBo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7.25" customHeight="1" thickBo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7.25" customHeight="1" thickBo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7.25" customHeight="1" thickBo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7.25" customHeight="1" thickBo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7.25" customHeight="1" thickBo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7.25" customHeight="1" thickBo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7.25" customHeight="1" thickBo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7.25" customHeight="1" thickBo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7.25" customHeight="1" thickBo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7.25" customHeight="1" thickBo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7.25" customHeight="1" thickBo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7.25" customHeight="1" thickBo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7.25" customHeight="1" thickBo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7.25" customHeight="1" thickBo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7.25" customHeight="1" thickBo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7.25" customHeight="1" thickBo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7.25" customHeight="1" thickBo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7.25" customHeight="1" thickBo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7.25" customHeight="1" thickBo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7.25" customHeight="1" thickBo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7.25" customHeight="1" thickBo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7.25" customHeight="1" thickBo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7.25" customHeight="1" thickBo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7.25" customHeight="1" thickBo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7.25" customHeight="1" thickBo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7.25" customHeight="1" thickBo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7.25" customHeight="1" thickBo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7.25" customHeight="1" thickBo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7.25" customHeight="1" thickBo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7.25" customHeight="1" thickBo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7.25" customHeight="1" thickBo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7.25" customHeight="1" thickBo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7.25" customHeight="1" thickBo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7.25" customHeight="1" thickBo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7.25" customHeight="1" thickBo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7.25" customHeight="1" thickBo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7.25" customHeight="1" thickBo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7.25" customHeight="1" thickBo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7.25" customHeight="1" thickBo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7.25" customHeight="1" thickBo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7.25" customHeight="1" thickBo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7.25" customHeight="1" thickBo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7.25" customHeight="1" thickBo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7.25" customHeight="1" thickBo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7.25" customHeight="1" thickBo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7.25" customHeight="1" thickBo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7.25" customHeight="1" thickBo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7.25" customHeight="1" thickBo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7.25" customHeight="1" thickBo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7.25" customHeight="1" thickBo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7.25" customHeight="1" thickBo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7.25" customHeight="1" thickBo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7.25" customHeight="1" thickBo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7.25" customHeight="1" thickBo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7.25" customHeight="1" thickBo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7.25" customHeight="1" thickBo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7.25" customHeight="1" thickBo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7.25" customHeight="1" thickBo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7.25" customHeight="1" thickBo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7.25" customHeight="1" thickBo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7.25" customHeight="1" thickBo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7.25" customHeight="1" thickBo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7.25" customHeight="1" thickBo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7.25" customHeight="1" thickBo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7.25" customHeight="1" thickBo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7.25" customHeight="1" thickBo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7.25" customHeight="1" thickBo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7.25" customHeight="1" thickBo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7.25" customHeight="1" thickBo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7.25" customHeight="1" thickBo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7.25" customHeight="1" thickBo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7.25" customHeight="1" thickBo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7.25" customHeight="1" thickBo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7.25" customHeight="1" thickBo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7.25" customHeight="1" thickBo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7.25" customHeight="1" thickBo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7.25" customHeight="1" thickBo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7.25" customHeight="1" thickBo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7.25" customHeight="1" thickBo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7.25" customHeight="1" thickBo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7.25" customHeight="1" thickBo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7.25" customHeight="1" thickBo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7.25" customHeight="1" thickBo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7.25" customHeight="1" thickBo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7.25" customHeight="1" thickBo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7.25" customHeight="1" thickBo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7.25" customHeight="1" thickBo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7.25" customHeight="1" thickBo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7.25" customHeight="1" thickBo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7.25" customHeight="1" thickBo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7.25" customHeight="1" thickBo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7.25" customHeight="1" thickBo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7.25" customHeight="1" thickBo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7.25" customHeight="1" thickBo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7.25" customHeight="1" thickBo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7.25" customHeight="1" thickBo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7.25" customHeight="1" thickBo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7.25" customHeight="1" thickBo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7.25" customHeight="1" thickBo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7.25" customHeight="1" thickBo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7.25" customHeight="1" thickBo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7.25" customHeight="1" thickBo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7.25" customHeight="1" thickBo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7.25" customHeight="1" thickBo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7.25" customHeight="1" thickBo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7.25" customHeight="1" thickBo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7.25" customHeight="1" thickBo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7.25" customHeight="1" thickBo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7.25" customHeight="1" thickBo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7.25" customHeight="1" thickBo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7.25" customHeight="1" thickBo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7.25" customHeight="1" thickBo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7.25" customHeight="1" thickBo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7.25" customHeight="1" thickBo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7.25" customHeight="1" thickBo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7.25" customHeight="1" thickBo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7.25" customHeight="1" thickBo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7.25" customHeight="1" thickBo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7.25" customHeight="1" thickBo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7.25" customHeight="1" thickBo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7.25" customHeight="1" thickBo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7.25" customHeight="1" thickBo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7.25" customHeight="1" thickBo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7.25" customHeight="1" thickBo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7.25" customHeight="1" thickBo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7.25" customHeight="1" thickBo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7.25" customHeight="1" thickBo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7.25" customHeight="1" thickBo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7.25" customHeight="1" thickBo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7.25" customHeight="1" thickBo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7.25" customHeight="1" thickBo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7.25" customHeight="1" thickBo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7.25" customHeight="1" thickBo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7.25" customHeight="1" thickBo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7.25" customHeight="1" thickBo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7.25" customHeight="1" thickBo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7.25" customHeight="1" thickBo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7.25" customHeight="1" thickBo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7.25" customHeight="1" thickBo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7.25" customHeight="1" thickBo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7.25" customHeight="1" thickBo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7.25" customHeight="1" thickBo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7.25" customHeight="1" thickBo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7.25" customHeight="1" thickBo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7.25" customHeight="1" thickBo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7.25" customHeight="1" thickBo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7.25" customHeight="1" thickBo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7.25" customHeight="1" thickBo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7.25" customHeight="1" thickBo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7.25" customHeight="1" thickBo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7.25" customHeight="1" thickBo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7.25" customHeight="1" thickBo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7.25" customHeight="1" thickBo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7.25" customHeight="1" thickBo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7.25" customHeight="1" thickBo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7.25" customHeight="1" thickBo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7.25" customHeight="1" thickBo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7.25" customHeight="1" thickBo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7.25" customHeight="1" thickBo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7.25" customHeight="1" thickBo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7.25" customHeight="1" thickBo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7.25" customHeight="1" thickBo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7.25" customHeight="1" thickBo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7.25" customHeight="1" thickBo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7.25" customHeight="1" thickBo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7.25" customHeight="1" thickBo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7.25" customHeight="1" thickBo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7.25" customHeight="1" thickBo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7.25" customHeight="1" thickBo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7.25" customHeight="1" thickBo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7.25" customHeight="1" thickBo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7.25" customHeight="1" thickBo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7.25" customHeight="1" thickBo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7.25" customHeight="1" thickBo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7.25" customHeight="1" thickBo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7.25" customHeight="1" thickBo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7.25" customHeight="1" thickBo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7.25" customHeight="1" thickBo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7.25" customHeight="1" thickBo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7.25" customHeight="1" thickBo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7.25" customHeight="1" thickBo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7.25" customHeight="1" thickBo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7.25" customHeight="1" thickBo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7.25" customHeight="1" thickBo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7.25" customHeight="1" thickBo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7.25" customHeight="1" thickBo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7.25" customHeight="1" thickBo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7.25" customHeight="1" thickBo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7.25" customHeight="1" thickBo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7.25" customHeight="1" thickBo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7.25" customHeight="1" thickBo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7.25" customHeight="1" thickBo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7.25" customHeight="1" thickBo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7.25" customHeight="1" thickBo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7.25" customHeight="1" thickBo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7.25" customHeight="1" thickBo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7.25" customHeight="1" thickBo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7.25" customHeight="1" thickBo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7.25" customHeight="1" thickBo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7.25" customHeight="1" thickBo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7.25" customHeight="1" thickBo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7.25" customHeight="1" thickBo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7.25" customHeight="1" thickBo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7.25" customHeight="1" thickBo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7.25" customHeight="1" thickBo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7.25" customHeight="1" thickBo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7.25" customHeight="1" thickBo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7.25" customHeight="1" thickBo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7.25" customHeight="1" thickBo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7.25" customHeight="1" thickBo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7.25" customHeight="1" thickBo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7.25" customHeight="1" thickBo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7.25" customHeight="1" thickBo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7.25" customHeight="1" thickBo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7.25" customHeight="1" thickBo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7.25" customHeight="1" thickBo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7.25" customHeight="1" thickBo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7.25" customHeight="1" thickBo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7.25" customHeight="1" thickBo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7.25" customHeight="1" thickBo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7.25" customHeight="1" thickBo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7.25" customHeight="1" thickBo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7.25" customHeight="1" thickBo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7.25" customHeight="1" thickBo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7.25" customHeight="1" thickBo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7.25" customHeight="1" thickBo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7.25" customHeight="1" thickBo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7.25" customHeight="1" thickBo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7.25" customHeight="1" thickBo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7.25" customHeight="1" thickBo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7.25" customHeight="1" thickBo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7.25" customHeight="1" thickBo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7.25" customHeight="1" thickBo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7.25" customHeight="1" thickBo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7.25" customHeight="1" thickBo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7.25" customHeight="1" thickBo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7.25" customHeight="1" thickBo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7.25" customHeight="1" thickBo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7.25" customHeight="1" thickBo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7.25" customHeight="1" thickBo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7.25" customHeight="1" thickBo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7.25" customHeight="1" thickBo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7.25" customHeight="1" thickBo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7.25" customHeight="1" thickBo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7.25" customHeight="1" thickBo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7.25" customHeight="1" thickBo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7.25" customHeight="1" thickBo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7.25" customHeight="1" thickBo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7.25" customHeight="1" thickBo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7.25" customHeight="1" thickBo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7.25" customHeight="1" thickBo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7.25" customHeight="1" thickBo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7.25" customHeight="1" thickBo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7.25" customHeight="1" thickBo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7.25" customHeight="1" thickBo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7.25" customHeight="1" thickBo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7.25" customHeight="1" thickBo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7.25" customHeight="1" thickBo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7.25" customHeight="1" thickBo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7.25" customHeight="1" thickBo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7.25" customHeight="1" thickBo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7.25" customHeight="1" thickBo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7.25" customHeight="1" thickBo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7.25" customHeight="1" thickBo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7.25" customHeight="1" thickBo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7.25" customHeight="1" thickBo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7.25" customHeight="1" thickBo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7.25" customHeight="1" thickBo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7.25" customHeight="1" thickBo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7.25" customHeight="1" thickBo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7.25" customHeight="1" thickBo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7.25" customHeight="1" thickBo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7.25" customHeight="1" thickBo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7.25" customHeight="1" thickBo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7.25" customHeight="1" thickBo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7.25" customHeight="1" thickBo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7.25" customHeight="1" thickBo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7.25" customHeight="1" thickBo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7.25" customHeight="1" thickBo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7.25" customHeight="1" thickBo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7.25" customHeight="1" thickBo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7.25" customHeight="1" thickBo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7.25" customHeight="1" thickBo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7.25" customHeight="1" thickBo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7.25" customHeight="1" thickBo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7.25" customHeight="1" thickBo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7.25" customHeight="1" thickBo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7.25" customHeight="1" thickBo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7.25" customHeight="1" thickBo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7.25" customHeight="1" thickBo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7.25" customHeight="1" thickBo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7.25" customHeight="1" thickBo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7.25" customHeight="1" thickBo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7.25" customHeight="1" thickBo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7.25" customHeight="1" thickBo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7.25" customHeight="1" thickBo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7.25" customHeight="1" thickBo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7.25" customHeight="1" thickBo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7.25" customHeight="1" thickBo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7.25" customHeight="1" thickBo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7.25" customHeight="1" thickBo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7.25" customHeight="1" thickBo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7.25" customHeight="1" thickBo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7.25" customHeight="1" thickBo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7.25" customHeight="1" thickBo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7.25" customHeight="1" thickBo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7.25" customHeight="1" thickBo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7.25" customHeight="1" thickBo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7.25" customHeight="1" thickBo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7.25" customHeight="1" thickBo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7.25" customHeight="1" thickBo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7.25" customHeight="1" thickBo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7.25" customHeight="1" thickBo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7.25" customHeight="1" thickBo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7.25" customHeight="1" thickBo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7.25" customHeight="1" thickBo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7.25" customHeight="1" thickBo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7.25" customHeight="1" thickBo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7.25" customHeight="1" thickBo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7.25" customHeight="1" thickBo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7.25" customHeight="1" thickBo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7.25" customHeight="1" thickBo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7.25" customHeight="1" thickBo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7.25" customHeight="1" thickBo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7.25" customHeight="1" thickBo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7.25" customHeight="1" thickBo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7.25" customHeight="1" thickBo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7.25" customHeight="1" thickBo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7.25" customHeight="1" thickBo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7.25" customHeight="1" thickBo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7.25" customHeight="1" thickBo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7.25" customHeight="1" thickBo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7.25" customHeight="1" thickBo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7.25" customHeight="1" thickBo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7.25" customHeight="1" thickBo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7.25" customHeight="1" thickBo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7.25" customHeight="1" thickBo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7.25" customHeight="1" thickBo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7.25" customHeight="1" thickBo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7.25" customHeight="1" thickBo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7.25" customHeight="1" thickBo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7.25" customHeight="1" thickBo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7.25" customHeight="1" thickBo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7.25" customHeight="1" thickBo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7.25" customHeight="1" thickBo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7.25" customHeight="1" thickBo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7.25" customHeight="1" thickBo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7.25" customHeight="1" thickBo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7.25" customHeight="1" thickBo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7.25" customHeight="1" thickBo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7.25" customHeight="1" thickBo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7.25" customHeight="1" thickBo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7.25" customHeight="1" thickBo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7.25" customHeight="1" thickBo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7.25" customHeight="1" thickBo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7.25" customHeight="1" thickBo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7.25" customHeight="1" thickBo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7.25" customHeight="1" thickBo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7.25" customHeight="1" thickBo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7.25" customHeight="1" thickBo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7.25" customHeight="1" thickBo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7.25" customHeight="1" thickBo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7.25" customHeight="1" thickBo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7.25" customHeight="1" thickBo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7.25" customHeight="1" thickBo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7.25" customHeight="1" thickBo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7.25" customHeight="1" thickBo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7.25" customHeight="1" thickBo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7.25" customHeight="1" thickBo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7.25" customHeight="1" thickBo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7.25" customHeight="1" thickBo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7.25" customHeight="1" thickBo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7.25" customHeight="1" thickBo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7.25" customHeight="1" thickBo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7.25" customHeight="1" thickBo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7.25" customHeight="1" thickBo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7.25" customHeight="1" thickBo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7.25" customHeight="1" thickBo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7.25" customHeight="1" thickBo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7.25" customHeight="1" thickBo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7.25" customHeight="1" thickBo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7.25" customHeight="1" thickBo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7.25" customHeight="1" thickBo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7.25" customHeight="1" thickBo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7.25" customHeight="1" thickBo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7.25" customHeight="1" thickBo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7.25" customHeight="1" thickBo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7.25" customHeight="1" thickBo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7.25" customHeight="1" thickBo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7.25" customHeight="1" thickBo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7.25" customHeight="1" thickBo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7.25" customHeight="1" thickBo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7.25" customHeight="1" thickBo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7.25" customHeight="1" thickBo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7.25" customHeight="1" thickBo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7.25" customHeight="1" thickBo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7.25" customHeight="1" thickBo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7.25" customHeight="1" thickBo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7.25" customHeight="1" thickBo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7.25" customHeight="1" thickBo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7.25" customHeight="1" thickBo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7.25" customHeight="1" thickBo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7.25" customHeight="1" thickBo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7.25" customHeight="1" thickBo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7.25" customHeight="1" thickBo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7.25" customHeight="1" thickBo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7.25" customHeight="1" thickBo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7.25" customHeight="1" thickBo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7.25" customHeight="1" thickBo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7.25" customHeight="1" thickBo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7.25" customHeight="1" thickBo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7.25" customHeight="1" thickBo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7.25" customHeight="1" thickBo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7.25" customHeight="1" thickBo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7.25" customHeight="1" thickBo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7.25" customHeight="1" thickBo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7.25" customHeight="1" thickBo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7.25" customHeight="1" thickBo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7.25" customHeight="1" thickBo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7.25" customHeight="1" thickBo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7.25" customHeight="1" thickBo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7.25" customHeight="1" thickBo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7.25" customHeight="1" thickBo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7.25" customHeight="1" thickBo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7.25" customHeight="1" thickBo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7.25" customHeight="1" thickBo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7.25" customHeight="1" thickBo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7.25" customHeight="1" thickBo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7.25" customHeight="1" thickBo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7.25" customHeight="1" thickBo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7.25" customHeight="1" thickBo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7.25" customHeight="1" thickBo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7.25" customHeight="1" thickBo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7.25" customHeight="1" thickBo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7.25" customHeight="1" thickBo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7.25" customHeight="1" thickBo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7.25" customHeight="1" thickBo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7.25" customHeight="1" thickBo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7.25" customHeight="1" thickBo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7.25" customHeight="1" thickBo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7.25" customHeight="1" thickBo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7.25" customHeight="1" thickBo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7.25" customHeight="1" thickBo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7.25" customHeight="1" thickBo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7.25" customHeight="1" thickBo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7.25" customHeight="1" thickBo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7.25" customHeight="1" thickBo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7.25" customHeight="1" thickBo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7.25" customHeight="1" thickBo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7.25" customHeight="1" thickBo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7.25" customHeight="1" thickBo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7.25" customHeight="1" thickBo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7.25" customHeight="1" thickBo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7.25" customHeight="1" thickBo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7.25" customHeight="1" thickBo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7.25" customHeight="1" thickBo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7.25" customHeight="1" thickBo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7.25" customHeight="1" thickBo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7.25" customHeight="1" thickBo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7.25" customHeight="1" thickBo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7.25" customHeight="1" thickBo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7.25" customHeight="1" thickBo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7.25" customHeight="1" thickBo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7.25" customHeight="1" thickBo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7.25" customHeight="1" thickBo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7.25" customHeight="1" thickBo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7.25" customHeight="1" thickBo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7.25" customHeight="1" thickBo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7.25" customHeight="1" thickBo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7.25" customHeight="1" thickBo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7.25" customHeight="1" thickBo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7.25" customHeight="1" thickBo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7.25" customHeight="1" thickBo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7.25" customHeight="1" thickBo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7.25" customHeight="1" thickBo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7.25" customHeight="1" thickBo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7.25" customHeight="1" thickBo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7.25" customHeight="1" thickBo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7.25" customHeight="1" thickBo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7.25" customHeight="1" thickBo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7.25" customHeight="1" thickBo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7.25" customHeight="1" thickBo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7.25" customHeight="1" thickBo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7.25" customHeight="1" thickBo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7.25" customHeight="1" thickBo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7.25" customHeight="1" thickBo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7.25" customHeight="1" thickBo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7.25" customHeight="1" thickBo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7.25" customHeight="1" thickBo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7.25" customHeight="1" thickBo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7.25" customHeight="1" thickBo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7.25" customHeight="1" thickBo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7.25" customHeight="1" thickBo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7.25" customHeight="1" thickBo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7.25" customHeight="1" thickBo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7.25" customHeight="1" thickBo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7.25" customHeight="1" thickBo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7.25" customHeight="1" thickBo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7.25" customHeight="1" thickBo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7.25" customHeight="1" thickBo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7.25" customHeight="1" thickBo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7.25" customHeight="1" thickBo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7.25" customHeight="1" thickBo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7.25" customHeight="1" thickBo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7.25" customHeight="1" thickBo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7.25" customHeight="1" thickBo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7.25" customHeight="1" thickBo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7.25" customHeight="1" thickBo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7.25" customHeight="1" thickBo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7.25" customHeight="1" thickBo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7.25" customHeight="1" thickBo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7.25" customHeight="1" thickBo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7.25" customHeight="1" thickBo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7.25" customHeight="1" thickBo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7.25" customHeight="1" thickBo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7.25" customHeight="1" thickBo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7.25" customHeight="1" thickBo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7.25" customHeight="1" thickBo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7.25" customHeight="1" thickBo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7.25" customHeight="1" thickBo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7.25" customHeight="1" thickBo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7.25" customHeight="1" thickBo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7.25" customHeight="1" thickBo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7.25" customHeight="1" thickBo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7.25" customHeight="1" thickBo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7.25" customHeight="1" thickBo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7.25" customHeight="1" thickBo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7.25" customHeight="1" thickBo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7.25" customHeight="1" thickBo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7.25" customHeight="1" thickBo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7.25" customHeight="1" thickBo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7.25" customHeight="1" thickBo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7.25" customHeight="1" thickBo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7.25" customHeight="1" thickBo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7.25" customHeight="1" thickBo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7.25" customHeight="1" thickBo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7.25" customHeight="1" thickBo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7.25" customHeight="1" thickBo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7.25" customHeight="1" thickBo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7.25" customHeight="1" thickBo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7.25" customHeight="1" thickBo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7.25" customHeight="1" thickBo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7.25" customHeight="1" thickBo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7.25" customHeight="1" thickBo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7.25" customHeight="1" thickBo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7.25" customHeight="1" thickBo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7.25" customHeight="1" thickBo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7.25" customHeight="1" thickBo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7.25" customHeight="1" thickBo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7.25" customHeight="1" thickBo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7.25" customHeight="1" thickBo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7.25" customHeight="1" thickBo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7.25" customHeight="1" thickBo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7.25" customHeight="1" thickBo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7.25" customHeight="1" thickBo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7.25" customHeight="1" thickBo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7.25" customHeight="1" thickBo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7.25" customHeight="1" thickBo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7.25" customHeight="1" thickBo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7.25" customHeight="1" thickBo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7.25" customHeight="1" thickBo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7.25" customHeight="1" thickBo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7.25" customHeight="1" thickBo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7.25" customHeight="1" thickBo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7.25" customHeight="1" thickBo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7.25" customHeight="1" thickBo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7.25" customHeight="1" thickBo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7.25" customHeight="1" thickBo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7.25" customHeight="1" thickBo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7.25" customHeight="1" thickBo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7.25" customHeight="1" thickBo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7.25" customHeight="1" thickBo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7.25" customHeight="1" thickBo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7.25" customHeight="1" thickBo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7.25" customHeight="1" thickBo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7.25" customHeight="1" thickBo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7.25" customHeight="1" thickBo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7.25" customHeight="1" thickBo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7.25" customHeight="1" thickBo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7.25" customHeight="1" thickBo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7.25" customHeight="1" thickBo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7.25" customHeight="1" thickBo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 spans="1:28" ht="17.25" customHeight="1" thickBo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 spans="1:28" ht="17.25" customHeight="1" thickBo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 spans="1:28" ht="17.25" customHeight="1" thickBo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 ht="17.25" customHeight="1" thickBo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 spans="1:28" ht="17.25" customHeight="1" thickBo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 spans="1:28" ht="17.25" customHeight="1" thickBo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 spans="1:28" ht="17.25" customHeight="1" thickBo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 spans="1:28" ht="17.25" customHeight="1" thickBo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 spans="1:28" ht="17.25" customHeight="1" thickBo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 spans="1:28" ht="17.25" customHeight="1" thickBo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 spans="1:28" ht="17.25" customHeight="1" thickBo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 spans="1:28" ht="17.25" customHeight="1" thickBo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 spans="1:28" ht="17.25" customHeight="1" thickBo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 spans="1:28" ht="17.25" customHeight="1" thickBo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 spans="1:28" ht="17.25" customHeight="1" thickBo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spans="1:28" ht="17.25" customHeight="1" thickBo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 spans="1:28" ht="17.25" customHeight="1" thickBo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 spans="1:28" ht="17.25" customHeight="1" thickBo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 spans="1:28" ht="17.25" customHeight="1" thickBo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 spans="1:28" ht="17.25" customHeight="1" thickBo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 spans="1:28" ht="17.25" customHeight="1" thickBo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 spans="1:28" ht="17.25" customHeight="1" thickBo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  <row r="1001" spans="1:28" ht="17.25" customHeight="1" thickBo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 spans="1:28" ht="17.25" customHeight="1" thickBo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</row>
    <row r="1003" spans="1:28" ht="17.25" customHeight="1" thickBo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</row>
    <row r="1004" spans="1:28" ht="17.25" customHeight="1" thickBo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</row>
    <row r="1005" spans="1:28" ht="17.25" customHeight="1" thickBo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</row>
    <row r="1006" spans="1:28" ht="17.25" customHeight="1" thickBo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</row>
    <row r="1007" spans="1:28" ht="17.25" customHeight="1" thickBo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</row>
    <row r="1008" spans="1:28" ht="17.25" customHeight="1" thickBo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</row>
    <row r="1009" spans="1:28" ht="17.25" customHeight="1" thickBo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</row>
    <row r="1010" spans="1:28" ht="17.25" customHeight="1" thickBo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</row>
    <row r="1011" spans="1:28" ht="17.25" customHeight="1" thickBo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</row>
    <row r="1012" spans="1:28" ht="17.25" customHeight="1" thickBo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</row>
    <row r="1013" spans="1:28" ht="17.25" customHeight="1" thickBo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</row>
    <row r="1014" spans="1:28" ht="17.25" customHeight="1" thickBo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</row>
    <row r="1015" spans="1:28" ht="17.25" customHeight="1" thickBo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</row>
    <row r="1016" spans="1:28" ht="17.25" customHeight="1" thickBo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</row>
    <row r="1017" spans="1:28" ht="17.25" customHeight="1" thickBo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</row>
    <row r="1018" spans="1:28" ht="17.25" customHeight="1" thickBo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</row>
    <row r="1019" spans="1:28" ht="17.25" customHeight="1" thickBo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 spans="1:28" ht="17.25" customHeight="1" thickBo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</row>
    <row r="1021" spans="1:28" ht="17.25" customHeight="1" thickBo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</row>
    <row r="1022" spans="1:28" ht="17.25" customHeight="1" thickBo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</row>
    <row r="1023" spans="1:28" ht="17.25" customHeight="1" thickBo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</row>
    <row r="1024" spans="1:28" ht="17.25" customHeight="1" thickBo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</row>
    <row r="1025" spans="1:28" ht="17.25" customHeight="1" thickBo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</row>
    <row r="1026" spans="1:28" ht="17.25" customHeight="1" thickBo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</row>
    <row r="1027" spans="1:28" ht="17.25" customHeight="1" thickBo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</row>
    <row r="1028" spans="1:28" ht="17.25" customHeight="1" thickBo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</row>
    <row r="1029" spans="1:28" ht="17.25" customHeight="1" thickBo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 spans="1:28" ht="17.25" customHeight="1" thickBo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</row>
    <row r="1031" spans="1:28" ht="17.25" customHeight="1" thickBo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</row>
    <row r="1032" spans="1:28" ht="17.25" customHeight="1" thickBo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</row>
    <row r="1033" spans="1:28" ht="17.25" customHeight="1" thickBo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</row>
    <row r="1034" spans="1:28" ht="17.25" customHeight="1" thickBo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</row>
    <row r="1035" spans="1:28" ht="17.25" customHeight="1" thickBo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</row>
    <row r="1036" spans="1:28" ht="17.25" customHeight="1" thickBo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</row>
    <row r="1037" spans="1:28" ht="17.25" customHeight="1" thickBo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</row>
    <row r="1038" spans="1:28" ht="17.25" customHeight="1" thickBo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</row>
    <row r="1039" spans="1:28" ht="17.25" customHeight="1" thickBo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</row>
    <row r="1040" spans="1:28" ht="17.25" customHeight="1" thickBo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</row>
    <row r="1041" spans="1:28" ht="17.25" customHeight="1" thickBo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</row>
    <row r="1042" spans="1:28" ht="17.25" customHeight="1" thickBo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</row>
    <row r="1043" spans="1:28" ht="17.25" customHeight="1" thickBo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</row>
    <row r="1044" spans="1:28" ht="17.25" customHeight="1" thickBo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</row>
    <row r="1045" spans="1:28" ht="17.25" customHeight="1" thickBo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</row>
    <row r="1046" spans="1:28" ht="17.25" customHeight="1" thickBo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</row>
    <row r="1047" spans="1:28" ht="17.25" customHeight="1" thickBo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</row>
    <row r="1048" spans="1:28" ht="17.25" customHeight="1" thickBo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</row>
    <row r="1049" spans="1:28" ht="17.25" customHeight="1" thickBo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</row>
    <row r="1050" spans="1:28" ht="17.25" customHeight="1" thickBo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</row>
    <row r="1051" spans="1:28" ht="17.25" customHeight="1" thickBo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</row>
    <row r="1052" spans="1:28" ht="17.25" customHeight="1" thickBo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</row>
    <row r="1053" spans="1:28" ht="17.25" customHeight="1" thickBo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</row>
    <row r="1054" spans="1:28" ht="17.25" customHeight="1" thickBo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</row>
    <row r="1055" spans="1:28" ht="17.25" customHeight="1" thickBo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</row>
    <row r="1056" spans="1:28" ht="17.25" customHeight="1" thickBo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</row>
    <row r="1057" spans="1:28" ht="17.25" customHeight="1" thickBo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</row>
    <row r="1058" spans="1:28" ht="17.25" customHeight="1" thickBo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</row>
    <row r="1059" spans="1:28" ht="17.25" customHeight="1" thickBo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</row>
    <row r="1060" spans="1:28" ht="17.25" customHeight="1" thickBo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</row>
    <row r="1061" spans="1:28" ht="17.25" customHeight="1" thickBo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</row>
    <row r="1062" spans="1:28" ht="17.25" customHeight="1" thickBo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</row>
    <row r="1063" spans="1:28" ht="17.25" customHeight="1" thickBo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</row>
    <row r="1064" spans="1:28" ht="17.25" customHeight="1" thickBo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</row>
    <row r="1065" spans="1:28" ht="17.25" customHeight="1" thickBot="1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</row>
    <row r="1066" spans="1:28" ht="17.25" customHeight="1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</row>
    <row r="1067" spans="1:28" ht="17.25" customHeight="1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</row>
    <row r="1068" spans="1:28" ht="17.25" customHeight="1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</row>
    <row r="1069" spans="1:28" ht="17.25" customHeight="1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</row>
    <row r="1070" spans="1:28" ht="17.25" customHeight="1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</row>
    <row r="1071" spans="1:28" ht="17.25" customHeight="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</row>
    <row r="1072" spans="1:28" ht="17.25" customHeight="1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</row>
    <row r="1073" spans="1:23" ht="17.25" customHeight="1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</row>
    <row r="1074" spans="1:23" ht="17.25" customHeight="1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</row>
    <row r="1075" spans="1:23" ht="17.25" customHeight="1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</row>
  </sheetData>
  <mergeCells count="52">
    <mergeCell ref="A94:Q94"/>
    <mergeCell ref="A90:Q90"/>
    <mergeCell ref="A91:F91"/>
    <mergeCell ref="G91:Q91"/>
    <mergeCell ref="A92:F92"/>
    <mergeCell ref="G92:J92"/>
    <mergeCell ref="K92:L92"/>
    <mergeCell ref="M92:Q92"/>
    <mergeCell ref="A88:C88"/>
    <mergeCell ref="H88:J88"/>
    <mergeCell ref="L88:Q88"/>
    <mergeCell ref="A89:Q89"/>
    <mergeCell ref="A93:F93"/>
    <mergeCell ref="G93:Q93"/>
    <mergeCell ref="A2:Q2"/>
    <mergeCell ref="F3:G3"/>
    <mergeCell ref="I3:I8"/>
    <mergeCell ref="K3:Q3"/>
    <mergeCell ref="F4:G4"/>
    <mergeCell ref="K4:L4"/>
    <mergeCell ref="N4:Q4"/>
    <mergeCell ref="F5:G5"/>
    <mergeCell ref="K5:Q5"/>
    <mergeCell ref="F6:G6"/>
    <mergeCell ref="K6:L6"/>
    <mergeCell ref="N6:Q6"/>
    <mergeCell ref="K7:L7"/>
    <mergeCell ref="N7:Q7"/>
    <mergeCell ref="A8:H8"/>
    <mergeCell ref="K8:Q8"/>
    <mergeCell ref="J11:Q54"/>
    <mergeCell ref="E9:E10"/>
    <mergeCell ref="A38:C38"/>
    <mergeCell ref="H38:I38"/>
    <mergeCell ref="A54:C54"/>
    <mergeCell ref="H54:I54"/>
    <mergeCell ref="L58:Q58"/>
    <mergeCell ref="D9:D10"/>
    <mergeCell ref="A50:C50"/>
    <mergeCell ref="H50:I50"/>
    <mergeCell ref="A52:C52"/>
    <mergeCell ref="H52:I52"/>
    <mergeCell ref="L57:Q57"/>
    <mergeCell ref="J9:Q10"/>
    <mergeCell ref="A55:H55"/>
    <mergeCell ref="J55:Q55"/>
    <mergeCell ref="A56:Q56"/>
    <mergeCell ref="A9:A10"/>
    <mergeCell ref="B9:B10"/>
    <mergeCell ref="C9:C10"/>
    <mergeCell ref="F9:H9"/>
    <mergeCell ref="I9:I10"/>
  </mergeCells>
  <phoneticPr fontId="15" type="noConversion"/>
  <hyperlinks>
    <hyperlink ref="K8" r:id="rId1" display="mailto:cyj48612@gmail.com" xr:uid="{B76E3C63-27EB-47DF-A82E-57D1D937FDAA}"/>
  </hyperlinks>
  <pageMargins left="0.7" right="0.7" top="0.75" bottom="0.75" header="0.511811023622047" footer="0.511811023622047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26.05.20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윤정 최</dc:creator>
  <dc:description/>
  <cp:lastModifiedBy>진영 최</cp:lastModifiedBy>
  <cp:revision>0</cp:revision>
  <dcterms:created xsi:type="dcterms:W3CDTF">2026-04-08T03:37:16Z</dcterms:created>
  <dcterms:modified xsi:type="dcterms:W3CDTF">2026-06-04T22:47:22Z</dcterms:modified>
  <dc:language>en-US</dc:language>
</cp:coreProperties>
</file>