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\\172.30.1.1\homes\1.생산관리부\01. 생산관리업무\1.생산계획\작업지시서\2026년\4월\"/>
    </mc:Choice>
  </mc:AlternateContent>
  <xr:revisionPtr revIDLastSave="0" documentId="13_ncr:1_{04AC7D43-E40A-4CA9-A64F-92AAC95585CC}" xr6:coauthVersionLast="47" xr6:coauthVersionMax="47" xr10:uidLastSave="{00000000-0000-0000-0000-000000000000}"/>
  <bookViews>
    <workbookView xWindow="-120" yWindow="-120" windowWidth="38640" windowHeight="21120" firstSheet="4" activeTab="9" xr2:uid="{00000000-000D-0000-FFFF-FFFF00000000}"/>
  </bookViews>
  <sheets>
    <sheet name="발주서정리" sheetId="11" r:id="rId1"/>
    <sheet name="1. 소켓인수검사" sheetId="1" r:id="rId2"/>
    <sheet name="2.재단(VM)작업" sheetId="12" r:id="rId3"/>
    <sheet name="2.1 재단작업(VT)" sheetId="3" r:id="rId4"/>
    <sheet name="차열재 재단(VM,VT)" sheetId="2" r:id="rId5"/>
    <sheet name="3. 1절곡(VM)" sheetId="5" r:id="rId6"/>
    <sheet name="3.2 절곡(VT)" sheetId="6" r:id="rId7"/>
    <sheet name="3.3 절곡(VT-보강대)" sheetId="7" r:id="rId8"/>
    <sheet name="5. 차열재 출하용(VM,VT,VAG)" sheetId="9" r:id="rId9"/>
    <sheet name="6. 라벨소요량" sheetId="10" r:id="rId10"/>
  </sheets>
  <definedNames>
    <definedName name="_xlnm._FilterDatabase" localSheetId="0" hidden="1">발주서정리!$C$4:$J$114</definedName>
    <definedName name="_xlnm.Print_Area" localSheetId="1">'1. 소켓인수검사'!$A$1:$P$118</definedName>
    <definedName name="_xlnm.Print_Titles" localSheetId="1">'1. 소켓인수검사'!$6:$8</definedName>
    <definedName name="_xlnm.Print_Titles" localSheetId="3">'2.1 재단작업(VT)'!$5:$7</definedName>
    <definedName name="_xlnm.Print_Titles" localSheetId="2">'2.재단(VM)작업'!$5:$7</definedName>
    <definedName name="_xlnm.Print_Titles" localSheetId="5">'3. 1절곡(VM)'!$1:$6</definedName>
    <definedName name="_xlnm.Print_Titles" localSheetId="6">'3.2 절곡(VT)'!$1:$6</definedName>
    <definedName name="_xlnm.Print_Titles" localSheetId="7">'3.3 절곡(VT-보강대)'!$1:$6</definedName>
    <definedName name="_xlnm.Print_Titles" localSheetId="8">'5. 차열재 출하용(VM,VT,VAG)'!$8:$9</definedName>
    <definedName name="_xlnm.Print_Titles" localSheetId="9">'6. 라벨소요량'!$5:$6</definedName>
    <definedName name="_xlnm.Print_Titles" localSheetId="4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0" l="1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7" i="10"/>
  <c r="H1" i="12"/>
  <c r="D51" i="12"/>
  <c r="M51" i="12" s="1"/>
  <c r="C51" i="12"/>
  <c r="D50" i="12"/>
  <c r="I50" i="12" s="1"/>
  <c r="C50" i="12"/>
  <c r="K50" i="12" s="1"/>
  <c r="D49" i="12"/>
  <c r="C49" i="12"/>
  <c r="K49" i="12" s="1"/>
  <c r="D48" i="12"/>
  <c r="I48" i="12" s="1"/>
  <c r="C48" i="12"/>
  <c r="G48" i="12" s="1"/>
  <c r="D47" i="12"/>
  <c r="I47" i="12" s="1"/>
  <c r="C47" i="12"/>
  <c r="D46" i="12"/>
  <c r="M46" i="12" s="1"/>
  <c r="C46" i="12"/>
  <c r="K46" i="12" s="1"/>
  <c r="D45" i="12"/>
  <c r="C45" i="12"/>
  <c r="K45" i="12" s="1"/>
  <c r="D44" i="12"/>
  <c r="I44" i="12" s="1"/>
  <c r="C44" i="12"/>
  <c r="G44" i="12" s="1"/>
  <c r="D43" i="12"/>
  <c r="M43" i="12" s="1"/>
  <c r="C43" i="12"/>
  <c r="D42" i="12"/>
  <c r="M42" i="12" s="1"/>
  <c r="C42" i="12"/>
  <c r="G42" i="12" s="1"/>
  <c r="D41" i="12"/>
  <c r="C41" i="12"/>
  <c r="G41" i="12" s="1"/>
  <c r="D40" i="12"/>
  <c r="I40" i="12" s="1"/>
  <c r="C40" i="12"/>
  <c r="K40" i="12" s="1"/>
  <c r="D39" i="12"/>
  <c r="M39" i="12" s="1"/>
  <c r="C39" i="12"/>
  <c r="D38" i="12"/>
  <c r="M38" i="12" s="1"/>
  <c r="C38" i="12"/>
  <c r="K38" i="12" s="1"/>
  <c r="D37" i="12"/>
  <c r="C37" i="12"/>
  <c r="G37" i="12" s="1"/>
  <c r="D36" i="12"/>
  <c r="I36" i="12" s="1"/>
  <c r="C36" i="12"/>
  <c r="G36" i="12" s="1"/>
  <c r="D35" i="12"/>
  <c r="M35" i="12" s="1"/>
  <c r="C35" i="12"/>
  <c r="D34" i="12"/>
  <c r="I34" i="12" s="1"/>
  <c r="C34" i="12"/>
  <c r="K34" i="12" s="1"/>
  <c r="D33" i="12"/>
  <c r="C33" i="12"/>
  <c r="K33" i="12" s="1"/>
  <c r="D32" i="12"/>
  <c r="I32" i="12" s="1"/>
  <c r="C32" i="12"/>
  <c r="K32" i="12" s="1"/>
  <c r="D31" i="12"/>
  <c r="M31" i="12" s="1"/>
  <c r="C31" i="12"/>
  <c r="D30" i="12"/>
  <c r="M30" i="12" s="1"/>
  <c r="C30" i="12"/>
  <c r="K30" i="12" s="1"/>
  <c r="D29" i="12"/>
  <c r="C29" i="12"/>
  <c r="G29" i="12" s="1"/>
  <c r="D28" i="12"/>
  <c r="I28" i="12" s="1"/>
  <c r="C28" i="12"/>
  <c r="K28" i="12" s="1"/>
  <c r="D27" i="12"/>
  <c r="M27" i="12" s="1"/>
  <c r="C27" i="12"/>
  <c r="D26" i="12"/>
  <c r="I26" i="12" s="1"/>
  <c r="C26" i="12"/>
  <c r="K26" i="12" s="1"/>
  <c r="D25" i="12"/>
  <c r="C25" i="12"/>
  <c r="K25" i="12" s="1"/>
  <c r="D24" i="12"/>
  <c r="I24" i="12" s="1"/>
  <c r="C24" i="12"/>
  <c r="K24" i="12" s="1"/>
  <c r="D23" i="12"/>
  <c r="M23" i="12" s="1"/>
  <c r="C23" i="12"/>
  <c r="D22" i="12"/>
  <c r="I22" i="12" s="1"/>
  <c r="C22" i="12"/>
  <c r="K22" i="12" s="1"/>
  <c r="D21" i="12"/>
  <c r="C21" i="12"/>
  <c r="K21" i="12" s="1"/>
  <c r="D20" i="12"/>
  <c r="I20" i="12" s="1"/>
  <c r="C20" i="12"/>
  <c r="G20" i="12" s="1"/>
  <c r="D19" i="12"/>
  <c r="I19" i="12" s="1"/>
  <c r="C19" i="12"/>
  <c r="D18" i="12"/>
  <c r="M18" i="12" s="1"/>
  <c r="C18" i="12"/>
  <c r="K18" i="12" s="1"/>
  <c r="D17" i="12"/>
  <c r="C17" i="12"/>
  <c r="K17" i="12" s="1"/>
  <c r="D16" i="12"/>
  <c r="I16" i="12" s="1"/>
  <c r="C16" i="12"/>
  <c r="K16" i="12" s="1"/>
  <c r="D15" i="12"/>
  <c r="M15" i="12" s="1"/>
  <c r="C15" i="12"/>
  <c r="D14" i="12"/>
  <c r="M14" i="12" s="1"/>
  <c r="C14" i="12"/>
  <c r="G14" i="12" s="1"/>
  <c r="D13" i="12"/>
  <c r="C13" i="12"/>
  <c r="K13" i="12" s="1"/>
  <c r="D12" i="12"/>
  <c r="I12" i="12" s="1"/>
  <c r="C12" i="12"/>
  <c r="G12" i="12" s="1"/>
  <c r="D11" i="12"/>
  <c r="I11" i="12" s="1"/>
  <c r="C11" i="12"/>
  <c r="D10" i="12"/>
  <c r="M10" i="12" s="1"/>
  <c r="C10" i="12"/>
  <c r="K10" i="12" s="1"/>
  <c r="D9" i="12"/>
  <c r="C9" i="12"/>
  <c r="G9" i="12" s="1"/>
  <c r="D8" i="12"/>
  <c r="I8" i="12" s="1"/>
  <c r="C8" i="12"/>
  <c r="G8" i="12" s="1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J51" i="12"/>
  <c r="H51" i="12"/>
  <c r="M50" i="12"/>
  <c r="J50" i="12"/>
  <c r="H50" i="12"/>
  <c r="J49" i="12"/>
  <c r="H49" i="12"/>
  <c r="J48" i="12"/>
  <c r="H48" i="12"/>
  <c r="K48" i="12"/>
  <c r="M47" i="12"/>
  <c r="J47" i="12"/>
  <c r="H47" i="12"/>
  <c r="J46" i="12"/>
  <c r="H46" i="12"/>
  <c r="G46" i="12"/>
  <c r="J45" i="12"/>
  <c r="H45" i="12"/>
  <c r="J44" i="12"/>
  <c r="H44" i="12"/>
  <c r="J43" i="12"/>
  <c r="H43" i="12"/>
  <c r="J42" i="12"/>
  <c r="H42" i="12"/>
  <c r="J41" i="12"/>
  <c r="H41" i="12"/>
  <c r="J40" i="12"/>
  <c r="H40" i="12"/>
  <c r="J39" i="12"/>
  <c r="H39" i="12"/>
  <c r="J38" i="12"/>
  <c r="H38" i="12"/>
  <c r="J37" i="12"/>
  <c r="H37" i="12"/>
  <c r="J36" i="12"/>
  <c r="H36" i="12"/>
  <c r="J35" i="12"/>
  <c r="H35" i="12"/>
  <c r="I35" i="12"/>
  <c r="J34" i="12"/>
  <c r="H34" i="12"/>
  <c r="J33" i="12"/>
  <c r="H33" i="12"/>
  <c r="J32" i="12"/>
  <c r="H32" i="12"/>
  <c r="J31" i="12"/>
  <c r="H31" i="12"/>
  <c r="J30" i="12"/>
  <c r="H30" i="12"/>
  <c r="G30" i="12"/>
  <c r="J29" i="12"/>
  <c r="H29" i="12"/>
  <c r="J28" i="12"/>
  <c r="H28" i="12"/>
  <c r="G28" i="12"/>
  <c r="J27" i="12"/>
  <c r="H27" i="12"/>
  <c r="J26" i="12"/>
  <c r="H26" i="12"/>
  <c r="J25" i="12"/>
  <c r="H25" i="12"/>
  <c r="J24" i="12"/>
  <c r="H24" i="12"/>
  <c r="J23" i="12"/>
  <c r="H23" i="12"/>
  <c r="J22" i="12"/>
  <c r="H22" i="12"/>
  <c r="J21" i="12"/>
  <c r="H21" i="12"/>
  <c r="J20" i="12"/>
  <c r="H20" i="12"/>
  <c r="J19" i="12"/>
  <c r="H19" i="12"/>
  <c r="J18" i="12"/>
  <c r="H18" i="12"/>
  <c r="J17" i="12"/>
  <c r="H17" i="12"/>
  <c r="J16" i="12"/>
  <c r="H16" i="12"/>
  <c r="G16" i="12"/>
  <c r="J15" i="12"/>
  <c r="H15" i="12"/>
  <c r="J14" i="12"/>
  <c r="H14" i="12"/>
  <c r="J13" i="12"/>
  <c r="H13" i="12"/>
  <c r="J12" i="12"/>
  <c r="H12" i="12"/>
  <c r="J11" i="12"/>
  <c r="H11" i="12"/>
  <c r="J10" i="12"/>
  <c r="H10" i="12"/>
  <c r="J9" i="12"/>
  <c r="H9" i="12"/>
  <c r="J8" i="12"/>
  <c r="H8" i="12"/>
  <c r="G1" i="2"/>
  <c r="D117" i="2"/>
  <c r="I117" i="2" s="1"/>
  <c r="C117" i="2"/>
  <c r="G117" i="2" s="1"/>
  <c r="D116" i="2"/>
  <c r="I116" i="2" s="1"/>
  <c r="C116" i="2"/>
  <c r="G116" i="2" s="1"/>
  <c r="D115" i="2"/>
  <c r="I115" i="2" s="1"/>
  <c r="C115" i="2"/>
  <c r="G115" i="2" s="1"/>
  <c r="D114" i="2"/>
  <c r="I114" i="2" s="1"/>
  <c r="C114" i="2"/>
  <c r="G114" i="2" s="1"/>
  <c r="D113" i="2"/>
  <c r="I113" i="2" s="1"/>
  <c r="C113" i="2"/>
  <c r="G113" i="2" s="1"/>
  <c r="D112" i="2"/>
  <c r="I112" i="2" s="1"/>
  <c r="C112" i="2"/>
  <c r="G112" i="2" s="1"/>
  <c r="D111" i="2"/>
  <c r="I111" i="2" s="1"/>
  <c r="C111" i="2"/>
  <c r="G111" i="2" s="1"/>
  <c r="D110" i="2"/>
  <c r="I110" i="2" s="1"/>
  <c r="C110" i="2"/>
  <c r="G110" i="2" s="1"/>
  <c r="D109" i="2"/>
  <c r="I109" i="2" s="1"/>
  <c r="C109" i="2"/>
  <c r="G109" i="2" s="1"/>
  <c r="D108" i="2"/>
  <c r="I108" i="2" s="1"/>
  <c r="C108" i="2"/>
  <c r="G108" i="2" s="1"/>
  <c r="D107" i="2"/>
  <c r="I107" i="2" s="1"/>
  <c r="C107" i="2"/>
  <c r="G107" i="2" s="1"/>
  <c r="D106" i="2"/>
  <c r="I106" i="2" s="1"/>
  <c r="C106" i="2"/>
  <c r="G106" i="2" s="1"/>
  <c r="D105" i="2"/>
  <c r="I105" i="2" s="1"/>
  <c r="C105" i="2"/>
  <c r="G105" i="2" s="1"/>
  <c r="D104" i="2"/>
  <c r="I104" i="2" s="1"/>
  <c r="C104" i="2"/>
  <c r="G104" i="2" s="1"/>
  <c r="D103" i="2"/>
  <c r="I103" i="2" s="1"/>
  <c r="C103" i="2"/>
  <c r="G103" i="2" s="1"/>
  <c r="D102" i="2"/>
  <c r="I102" i="2" s="1"/>
  <c r="C102" i="2"/>
  <c r="G102" i="2" s="1"/>
  <c r="D101" i="2"/>
  <c r="I101" i="2" s="1"/>
  <c r="C101" i="2"/>
  <c r="G101" i="2" s="1"/>
  <c r="D100" i="2"/>
  <c r="I100" i="2" s="1"/>
  <c r="C100" i="2"/>
  <c r="G100" i="2" s="1"/>
  <c r="D99" i="2"/>
  <c r="I99" i="2" s="1"/>
  <c r="C99" i="2"/>
  <c r="G99" i="2" s="1"/>
  <c r="D98" i="2"/>
  <c r="I98" i="2" s="1"/>
  <c r="C98" i="2"/>
  <c r="G98" i="2" s="1"/>
  <c r="D97" i="2"/>
  <c r="I97" i="2" s="1"/>
  <c r="C97" i="2"/>
  <c r="G97" i="2" s="1"/>
  <c r="D96" i="2"/>
  <c r="I96" i="2" s="1"/>
  <c r="C96" i="2"/>
  <c r="G96" i="2" s="1"/>
  <c r="D95" i="2"/>
  <c r="I95" i="2" s="1"/>
  <c r="C95" i="2"/>
  <c r="G95" i="2" s="1"/>
  <c r="D94" i="2"/>
  <c r="I94" i="2" s="1"/>
  <c r="C94" i="2"/>
  <c r="G94" i="2" s="1"/>
  <c r="D93" i="2"/>
  <c r="I93" i="2" s="1"/>
  <c r="C93" i="2"/>
  <c r="G93" i="2" s="1"/>
  <c r="D92" i="2"/>
  <c r="I92" i="2" s="1"/>
  <c r="C92" i="2"/>
  <c r="G92" i="2" s="1"/>
  <c r="D91" i="2"/>
  <c r="I91" i="2" s="1"/>
  <c r="C91" i="2"/>
  <c r="G91" i="2" s="1"/>
  <c r="D90" i="2"/>
  <c r="I90" i="2" s="1"/>
  <c r="C90" i="2"/>
  <c r="G90" i="2" s="1"/>
  <c r="D89" i="2"/>
  <c r="I89" i="2" s="1"/>
  <c r="C89" i="2"/>
  <c r="G89" i="2" s="1"/>
  <c r="D88" i="2"/>
  <c r="I88" i="2" s="1"/>
  <c r="C88" i="2"/>
  <c r="G88" i="2" s="1"/>
  <c r="D87" i="2"/>
  <c r="I87" i="2" s="1"/>
  <c r="C87" i="2"/>
  <c r="G87" i="2" s="1"/>
  <c r="D86" i="2"/>
  <c r="I86" i="2" s="1"/>
  <c r="C86" i="2"/>
  <c r="G86" i="2" s="1"/>
  <c r="D85" i="2"/>
  <c r="I85" i="2" s="1"/>
  <c r="C85" i="2"/>
  <c r="G85" i="2" s="1"/>
  <c r="D84" i="2"/>
  <c r="I84" i="2" s="1"/>
  <c r="C84" i="2"/>
  <c r="G84" i="2" s="1"/>
  <c r="D83" i="2"/>
  <c r="I83" i="2" s="1"/>
  <c r="C83" i="2"/>
  <c r="G83" i="2" s="1"/>
  <c r="D82" i="2"/>
  <c r="I82" i="2" s="1"/>
  <c r="C82" i="2"/>
  <c r="G82" i="2" s="1"/>
  <c r="D81" i="2"/>
  <c r="I81" i="2" s="1"/>
  <c r="C81" i="2"/>
  <c r="G81" i="2" s="1"/>
  <c r="D80" i="2"/>
  <c r="I80" i="2" s="1"/>
  <c r="C80" i="2"/>
  <c r="G80" i="2" s="1"/>
  <c r="D79" i="2"/>
  <c r="I79" i="2" s="1"/>
  <c r="C79" i="2"/>
  <c r="G79" i="2" s="1"/>
  <c r="D78" i="2"/>
  <c r="I78" i="2" s="1"/>
  <c r="C78" i="2"/>
  <c r="G78" i="2" s="1"/>
  <c r="D77" i="2"/>
  <c r="I77" i="2" s="1"/>
  <c r="C77" i="2"/>
  <c r="G77" i="2" s="1"/>
  <c r="D76" i="2"/>
  <c r="I76" i="2" s="1"/>
  <c r="C76" i="2"/>
  <c r="G76" i="2" s="1"/>
  <c r="D75" i="2"/>
  <c r="I75" i="2" s="1"/>
  <c r="C75" i="2"/>
  <c r="G75" i="2" s="1"/>
  <c r="D74" i="2"/>
  <c r="I74" i="2" s="1"/>
  <c r="C74" i="2"/>
  <c r="G74" i="2" s="1"/>
  <c r="D73" i="2"/>
  <c r="I73" i="2" s="1"/>
  <c r="C73" i="2"/>
  <c r="G73" i="2" s="1"/>
  <c r="D72" i="2"/>
  <c r="I72" i="2" s="1"/>
  <c r="C72" i="2"/>
  <c r="G72" i="2" s="1"/>
  <c r="D71" i="2"/>
  <c r="C71" i="2"/>
  <c r="G71" i="2" s="1"/>
  <c r="D70" i="2"/>
  <c r="I70" i="2" s="1"/>
  <c r="C70" i="2"/>
  <c r="G70" i="2" s="1"/>
  <c r="D69" i="2"/>
  <c r="I69" i="2" s="1"/>
  <c r="C69" i="2"/>
  <c r="G69" i="2" s="1"/>
  <c r="D68" i="2"/>
  <c r="I68" i="2" s="1"/>
  <c r="C68" i="2"/>
  <c r="G68" i="2" s="1"/>
  <c r="D67" i="2"/>
  <c r="I67" i="2" s="1"/>
  <c r="C67" i="2"/>
  <c r="G67" i="2" s="1"/>
  <c r="D66" i="2"/>
  <c r="I66" i="2" s="1"/>
  <c r="C66" i="2"/>
  <c r="G66" i="2" s="1"/>
  <c r="D65" i="2"/>
  <c r="I65" i="2" s="1"/>
  <c r="C65" i="2"/>
  <c r="G65" i="2" s="1"/>
  <c r="D64" i="2"/>
  <c r="I64" i="2" s="1"/>
  <c r="C64" i="2"/>
  <c r="G64" i="2" s="1"/>
  <c r="D63" i="2"/>
  <c r="I63" i="2" s="1"/>
  <c r="C63" i="2"/>
  <c r="G63" i="2" s="1"/>
  <c r="D62" i="2"/>
  <c r="I62" i="2" s="1"/>
  <c r="C62" i="2"/>
  <c r="G62" i="2" s="1"/>
  <c r="D61" i="2"/>
  <c r="I61" i="2" s="1"/>
  <c r="C61" i="2"/>
  <c r="G61" i="2" s="1"/>
  <c r="D60" i="2"/>
  <c r="I60" i="2" s="1"/>
  <c r="C60" i="2"/>
  <c r="G60" i="2" s="1"/>
  <c r="D59" i="2"/>
  <c r="I59" i="2" s="1"/>
  <c r="C59" i="2"/>
  <c r="G59" i="2" s="1"/>
  <c r="D58" i="2"/>
  <c r="I58" i="2" s="1"/>
  <c r="C58" i="2"/>
  <c r="G58" i="2" s="1"/>
  <c r="D57" i="2"/>
  <c r="I57" i="2" s="1"/>
  <c r="C57" i="2"/>
  <c r="G57" i="2" s="1"/>
  <c r="D56" i="2"/>
  <c r="I56" i="2" s="1"/>
  <c r="C56" i="2"/>
  <c r="G56" i="2" s="1"/>
  <c r="D55" i="2"/>
  <c r="I55" i="2" s="1"/>
  <c r="C55" i="2"/>
  <c r="G55" i="2" s="1"/>
  <c r="D54" i="2"/>
  <c r="I54" i="2" s="1"/>
  <c r="C54" i="2"/>
  <c r="G54" i="2" s="1"/>
  <c r="D53" i="2"/>
  <c r="I53" i="2" s="1"/>
  <c r="C53" i="2"/>
  <c r="G53" i="2" s="1"/>
  <c r="D52" i="2"/>
  <c r="I52" i="2" s="1"/>
  <c r="C52" i="2"/>
  <c r="G52" i="2" s="1"/>
  <c r="D51" i="2"/>
  <c r="C51" i="2"/>
  <c r="G51" i="2" s="1"/>
  <c r="D50" i="2"/>
  <c r="C50" i="2"/>
  <c r="D49" i="2"/>
  <c r="I49" i="2" s="1"/>
  <c r="C49" i="2"/>
  <c r="D48" i="2"/>
  <c r="C48" i="2"/>
  <c r="G48" i="2" s="1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I41" i="2" s="1"/>
  <c r="C41" i="2"/>
  <c r="D40" i="2"/>
  <c r="C40" i="2"/>
  <c r="D39" i="2"/>
  <c r="C39" i="2"/>
  <c r="G39" i="2" s="1"/>
  <c r="D38" i="2"/>
  <c r="C38" i="2"/>
  <c r="D37" i="2"/>
  <c r="I37" i="2" s="1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G26" i="2" s="1"/>
  <c r="D25" i="2"/>
  <c r="I25" i="2" s="1"/>
  <c r="C25" i="2"/>
  <c r="D24" i="2"/>
  <c r="C24" i="2"/>
  <c r="G24" i="2" s="1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I17" i="2" s="1"/>
  <c r="C17" i="2"/>
  <c r="D16" i="2"/>
  <c r="C16" i="2"/>
  <c r="D15" i="2"/>
  <c r="C15" i="2"/>
  <c r="G15" i="2" s="1"/>
  <c r="D14" i="2"/>
  <c r="C14" i="2"/>
  <c r="D13" i="2"/>
  <c r="I13" i="2" s="1"/>
  <c r="C13" i="2"/>
  <c r="D12" i="2"/>
  <c r="C12" i="2"/>
  <c r="D11" i="2"/>
  <c r="C11" i="2"/>
  <c r="D10" i="2"/>
  <c r="C10" i="2"/>
  <c r="D9" i="2"/>
  <c r="C9" i="2"/>
  <c r="D8" i="2"/>
  <c r="C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I71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C8" i="3"/>
  <c r="G8" i="3" s="1"/>
  <c r="K1" i="10"/>
  <c r="P5" i="9"/>
  <c r="O5" i="7"/>
  <c r="N5" i="6"/>
  <c r="N5" i="5"/>
  <c r="H1" i="3"/>
  <c r="D1" i="1"/>
  <c r="P117" i="10"/>
  <c r="H117" i="10"/>
  <c r="U116" i="10"/>
  <c r="D116" i="10"/>
  <c r="C116" i="10"/>
  <c r="A116" i="10"/>
  <c r="U115" i="10"/>
  <c r="D115" i="10"/>
  <c r="C115" i="10"/>
  <c r="A115" i="10"/>
  <c r="U114" i="10"/>
  <c r="D114" i="10"/>
  <c r="C114" i="10"/>
  <c r="A114" i="10"/>
  <c r="U113" i="10"/>
  <c r="D113" i="10"/>
  <c r="C113" i="10"/>
  <c r="A113" i="10"/>
  <c r="U112" i="10"/>
  <c r="D112" i="10"/>
  <c r="C112" i="10"/>
  <c r="A112" i="10"/>
  <c r="U111" i="10"/>
  <c r="D111" i="10"/>
  <c r="C111" i="10"/>
  <c r="A111" i="10"/>
  <c r="U110" i="10"/>
  <c r="D110" i="10"/>
  <c r="C110" i="10"/>
  <c r="A110" i="10"/>
  <c r="U109" i="10"/>
  <c r="D109" i="10"/>
  <c r="C109" i="10"/>
  <c r="A109" i="10"/>
  <c r="U108" i="10"/>
  <c r="D108" i="10"/>
  <c r="C108" i="10"/>
  <c r="A108" i="10"/>
  <c r="U107" i="10"/>
  <c r="D107" i="10"/>
  <c r="C107" i="10"/>
  <c r="A107" i="10"/>
  <c r="U106" i="10"/>
  <c r="D106" i="10"/>
  <c r="C106" i="10"/>
  <c r="A106" i="10"/>
  <c r="U105" i="10"/>
  <c r="D105" i="10"/>
  <c r="C105" i="10"/>
  <c r="A105" i="10"/>
  <c r="U104" i="10"/>
  <c r="D104" i="10"/>
  <c r="C104" i="10"/>
  <c r="A104" i="10"/>
  <c r="U103" i="10"/>
  <c r="D103" i="10"/>
  <c r="C103" i="10"/>
  <c r="A103" i="10"/>
  <c r="U102" i="10"/>
  <c r="D102" i="10"/>
  <c r="C102" i="10"/>
  <c r="A102" i="10"/>
  <c r="U101" i="10"/>
  <c r="D101" i="10"/>
  <c r="C101" i="10"/>
  <c r="A101" i="10"/>
  <c r="U100" i="10"/>
  <c r="D100" i="10"/>
  <c r="C100" i="10"/>
  <c r="A100" i="10"/>
  <c r="U99" i="10"/>
  <c r="D99" i="10"/>
  <c r="C99" i="10"/>
  <c r="A99" i="10"/>
  <c r="U98" i="10"/>
  <c r="D98" i="10"/>
  <c r="C98" i="10"/>
  <c r="A98" i="10"/>
  <c r="U97" i="10"/>
  <c r="D97" i="10"/>
  <c r="C97" i="10"/>
  <c r="A97" i="10"/>
  <c r="U96" i="10"/>
  <c r="D96" i="10"/>
  <c r="C96" i="10"/>
  <c r="A96" i="10"/>
  <c r="U95" i="10"/>
  <c r="D95" i="10"/>
  <c r="C95" i="10"/>
  <c r="A95" i="10"/>
  <c r="U94" i="10"/>
  <c r="D94" i="10"/>
  <c r="C94" i="10"/>
  <c r="A94" i="10"/>
  <c r="U93" i="10"/>
  <c r="D93" i="10"/>
  <c r="C93" i="10"/>
  <c r="A93" i="10"/>
  <c r="U92" i="10"/>
  <c r="D92" i="10"/>
  <c r="C92" i="10"/>
  <c r="A92" i="10"/>
  <c r="U91" i="10"/>
  <c r="D91" i="10"/>
  <c r="C91" i="10"/>
  <c r="A91" i="10"/>
  <c r="U90" i="10"/>
  <c r="D90" i="10"/>
  <c r="C90" i="10"/>
  <c r="A90" i="10"/>
  <c r="U89" i="10"/>
  <c r="D89" i="10"/>
  <c r="C89" i="10"/>
  <c r="A89" i="10"/>
  <c r="U88" i="10"/>
  <c r="D88" i="10"/>
  <c r="C88" i="10"/>
  <c r="A88" i="10"/>
  <c r="U87" i="10"/>
  <c r="D87" i="10"/>
  <c r="C87" i="10"/>
  <c r="A87" i="10"/>
  <c r="U86" i="10"/>
  <c r="D86" i="10"/>
  <c r="C86" i="10"/>
  <c r="A86" i="10"/>
  <c r="U85" i="10"/>
  <c r="D85" i="10"/>
  <c r="C85" i="10"/>
  <c r="A85" i="10"/>
  <c r="U84" i="10"/>
  <c r="D84" i="10"/>
  <c r="C84" i="10"/>
  <c r="A84" i="10"/>
  <c r="U83" i="10"/>
  <c r="D83" i="10"/>
  <c r="C83" i="10"/>
  <c r="A83" i="10"/>
  <c r="U82" i="10"/>
  <c r="D82" i="10"/>
  <c r="C82" i="10"/>
  <c r="A82" i="10"/>
  <c r="U81" i="10"/>
  <c r="D81" i="10"/>
  <c r="C81" i="10"/>
  <c r="A81" i="10"/>
  <c r="U80" i="10"/>
  <c r="D80" i="10"/>
  <c r="C80" i="10"/>
  <c r="A80" i="10"/>
  <c r="U79" i="10"/>
  <c r="D79" i="10"/>
  <c r="C79" i="10"/>
  <c r="A79" i="10"/>
  <c r="U78" i="10"/>
  <c r="D78" i="10"/>
  <c r="C78" i="10"/>
  <c r="A78" i="10"/>
  <c r="U77" i="10"/>
  <c r="D77" i="10"/>
  <c r="C77" i="10"/>
  <c r="A77" i="10"/>
  <c r="U76" i="10"/>
  <c r="D76" i="10"/>
  <c r="C76" i="10"/>
  <c r="A76" i="10"/>
  <c r="U75" i="10"/>
  <c r="D75" i="10"/>
  <c r="C75" i="10"/>
  <c r="A75" i="10"/>
  <c r="U74" i="10"/>
  <c r="D74" i="10"/>
  <c r="C74" i="10"/>
  <c r="A74" i="10"/>
  <c r="U73" i="10"/>
  <c r="D73" i="10"/>
  <c r="C73" i="10"/>
  <c r="A73" i="10"/>
  <c r="U72" i="10"/>
  <c r="D72" i="10"/>
  <c r="C72" i="10"/>
  <c r="A72" i="10"/>
  <c r="U71" i="10"/>
  <c r="D71" i="10"/>
  <c r="C71" i="10"/>
  <c r="A71" i="10"/>
  <c r="U70" i="10"/>
  <c r="D70" i="10"/>
  <c r="C70" i="10"/>
  <c r="A70" i="10"/>
  <c r="U69" i="10"/>
  <c r="D69" i="10"/>
  <c r="C69" i="10"/>
  <c r="A69" i="10"/>
  <c r="U68" i="10"/>
  <c r="D68" i="10"/>
  <c r="C68" i="10"/>
  <c r="A68" i="10"/>
  <c r="U67" i="10"/>
  <c r="D67" i="10"/>
  <c r="C67" i="10"/>
  <c r="A67" i="10"/>
  <c r="U66" i="10"/>
  <c r="D66" i="10"/>
  <c r="C66" i="10"/>
  <c r="A66" i="10"/>
  <c r="U65" i="10"/>
  <c r="D65" i="10"/>
  <c r="C65" i="10"/>
  <c r="A65" i="10"/>
  <c r="U64" i="10"/>
  <c r="D64" i="10"/>
  <c r="C64" i="10"/>
  <c r="A64" i="10"/>
  <c r="U63" i="10"/>
  <c r="D63" i="10"/>
  <c r="C63" i="10"/>
  <c r="A63" i="10"/>
  <c r="U62" i="10"/>
  <c r="D62" i="10"/>
  <c r="C62" i="10"/>
  <c r="A62" i="10"/>
  <c r="U61" i="10"/>
  <c r="D61" i="10"/>
  <c r="C61" i="10"/>
  <c r="A61" i="10"/>
  <c r="U60" i="10"/>
  <c r="D60" i="10"/>
  <c r="C60" i="10"/>
  <c r="A60" i="10"/>
  <c r="U59" i="10"/>
  <c r="D59" i="10"/>
  <c r="C59" i="10"/>
  <c r="A59" i="10"/>
  <c r="U58" i="10"/>
  <c r="D58" i="10"/>
  <c r="C58" i="10"/>
  <c r="A58" i="10"/>
  <c r="U57" i="10"/>
  <c r="D57" i="10"/>
  <c r="C57" i="10"/>
  <c r="A57" i="10"/>
  <c r="U56" i="10"/>
  <c r="D56" i="10"/>
  <c r="C56" i="10"/>
  <c r="A56" i="10"/>
  <c r="U55" i="10"/>
  <c r="D55" i="10"/>
  <c r="C55" i="10"/>
  <c r="A55" i="10"/>
  <c r="U54" i="10"/>
  <c r="D54" i="10"/>
  <c r="C54" i="10"/>
  <c r="A54" i="10"/>
  <c r="U53" i="10"/>
  <c r="D53" i="10"/>
  <c r="C53" i="10"/>
  <c r="A53" i="10"/>
  <c r="U52" i="10"/>
  <c r="D52" i="10"/>
  <c r="C52" i="10"/>
  <c r="A52" i="10"/>
  <c r="U51" i="10"/>
  <c r="D51" i="10"/>
  <c r="C51" i="10"/>
  <c r="A51" i="10"/>
  <c r="U50" i="10"/>
  <c r="D50" i="10"/>
  <c r="C50" i="10"/>
  <c r="A50" i="10"/>
  <c r="U49" i="10"/>
  <c r="D49" i="10"/>
  <c r="C49" i="10"/>
  <c r="A49" i="10"/>
  <c r="U48" i="10"/>
  <c r="D48" i="10"/>
  <c r="C48" i="10"/>
  <c r="A48" i="10"/>
  <c r="U47" i="10"/>
  <c r="D47" i="10"/>
  <c r="C47" i="10"/>
  <c r="A47" i="10"/>
  <c r="U46" i="10"/>
  <c r="D46" i="10"/>
  <c r="C46" i="10"/>
  <c r="A46" i="10"/>
  <c r="U45" i="10"/>
  <c r="D45" i="10"/>
  <c r="C45" i="10"/>
  <c r="A45" i="10"/>
  <c r="U44" i="10"/>
  <c r="D44" i="10"/>
  <c r="C44" i="10"/>
  <c r="A44" i="10"/>
  <c r="U43" i="10"/>
  <c r="D43" i="10"/>
  <c r="C43" i="10"/>
  <c r="A43" i="10"/>
  <c r="U42" i="10"/>
  <c r="D42" i="10"/>
  <c r="C42" i="10"/>
  <c r="A42" i="10"/>
  <c r="U41" i="10"/>
  <c r="D41" i="10"/>
  <c r="C41" i="10"/>
  <c r="A41" i="10"/>
  <c r="U40" i="10"/>
  <c r="D40" i="10"/>
  <c r="C40" i="10"/>
  <c r="A40" i="10"/>
  <c r="U39" i="10"/>
  <c r="D39" i="10"/>
  <c r="C39" i="10"/>
  <c r="A39" i="10"/>
  <c r="U38" i="10"/>
  <c r="D38" i="10"/>
  <c r="C38" i="10"/>
  <c r="A38" i="10"/>
  <c r="U37" i="10"/>
  <c r="D37" i="10"/>
  <c r="C37" i="10"/>
  <c r="A37" i="10"/>
  <c r="U36" i="10"/>
  <c r="D36" i="10"/>
  <c r="C36" i="10"/>
  <c r="A36" i="10"/>
  <c r="U35" i="10"/>
  <c r="D35" i="10"/>
  <c r="C35" i="10"/>
  <c r="A35" i="10"/>
  <c r="U34" i="10"/>
  <c r="D34" i="10"/>
  <c r="C34" i="10"/>
  <c r="A34" i="10"/>
  <c r="U33" i="10"/>
  <c r="D33" i="10"/>
  <c r="C33" i="10"/>
  <c r="A33" i="10"/>
  <c r="U32" i="10"/>
  <c r="D32" i="10"/>
  <c r="C32" i="10"/>
  <c r="A32" i="10"/>
  <c r="U31" i="10"/>
  <c r="D31" i="10"/>
  <c r="C31" i="10"/>
  <c r="A31" i="10"/>
  <c r="U30" i="10"/>
  <c r="D30" i="10"/>
  <c r="C30" i="10"/>
  <c r="A30" i="10"/>
  <c r="U29" i="10"/>
  <c r="D29" i="10"/>
  <c r="C29" i="10"/>
  <c r="A29" i="10"/>
  <c r="U28" i="10"/>
  <c r="D28" i="10"/>
  <c r="C28" i="10"/>
  <c r="A28" i="10"/>
  <c r="U27" i="10"/>
  <c r="D27" i="10"/>
  <c r="C27" i="10"/>
  <c r="A27" i="10"/>
  <c r="U26" i="10"/>
  <c r="D26" i="10"/>
  <c r="C26" i="10"/>
  <c r="A26" i="10"/>
  <c r="U25" i="10"/>
  <c r="D25" i="10"/>
  <c r="C25" i="10"/>
  <c r="A25" i="10"/>
  <c r="U24" i="10"/>
  <c r="D24" i="10"/>
  <c r="C24" i="10"/>
  <c r="A24" i="10"/>
  <c r="U23" i="10"/>
  <c r="D23" i="10"/>
  <c r="C23" i="10"/>
  <c r="A23" i="10"/>
  <c r="U22" i="10"/>
  <c r="D22" i="10"/>
  <c r="C22" i="10"/>
  <c r="A22" i="10"/>
  <c r="U21" i="10"/>
  <c r="D21" i="10"/>
  <c r="C21" i="10"/>
  <c r="A21" i="10"/>
  <c r="U20" i="10"/>
  <c r="D20" i="10"/>
  <c r="C20" i="10"/>
  <c r="A20" i="10"/>
  <c r="U19" i="10"/>
  <c r="D19" i="10"/>
  <c r="C19" i="10"/>
  <c r="A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119" i="9"/>
  <c r="B119" i="9"/>
  <c r="A119" i="9"/>
  <c r="C118" i="9"/>
  <c r="B118" i="9"/>
  <c r="A118" i="9"/>
  <c r="C117" i="9"/>
  <c r="B117" i="9"/>
  <c r="A117" i="9"/>
  <c r="C116" i="9"/>
  <c r="B116" i="9"/>
  <c r="A116" i="9"/>
  <c r="C115" i="9"/>
  <c r="B115" i="9"/>
  <c r="A115" i="9"/>
  <c r="C114" i="9"/>
  <c r="B114" i="9"/>
  <c r="A114" i="9"/>
  <c r="C113" i="9"/>
  <c r="B113" i="9"/>
  <c r="A113" i="9"/>
  <c r="C112" i="9"/>
  <c r="B112" i="9"/>
  <c r="A112" i="9"/>
  <c r="C111" i="9"/>
  <c r="B111" i="9"/>
  <c r="A111" i="9"/>
  <c r="C110" i="9"/>
  <c r="B110" i="9"/>
  <c r="A110" i="9"/>
  <c r="C109" i="9"/>
  <c r="B109" i="9"/>
  <c r="A109" i="9"/>
  <c r="C108" i="9"/>
  <c r="B108" i="9"/>
  <c r="A108" i="9"/>
  <c r="C107" i="9"/>
  <c r="B107" i="9"/>
  <c r="A107" i="9"/>
  <c r="C106" i="9"/>
  <c r="B106" i="9"/>
  <c r="A106" i="9"/>
  <c r="C105" i="9"/>
  <c r="B105" i="9"/>
  <c r="A105" i="9"/>
  <c r="C104" i="9"/>
  <c r="B104" i="9"/>
  <c r="A104" i="9"/>
  <c r="C103" i="9"/>
  <c r="B103" i="9"/>
  <c r="A103" i="9"/>
  <c r="C102" i="9"/>
  <c r="B102" i="9"/>
  <c r="A102" i="9"/>
  <c r="C101" i="9"/>
  <c r="B101" i="9"/>
  <c r="A101" i="9"/>
  <c r="C100" i="9"/>
  <c r="B100" i="9"/>
  <c r="A100" i="9"/>
  <c r="C99" i="9"/>
  <c r="B99" i="9"/>
  <c r="A99" i="9"/>
  <c r="C98" i="9"/>
  <c r="B98" i="9"/>
  <c r="A98" i="9"/>
  <c r="C97" i="9"/>
  <c r="B97" i="9"/>
  <c r="A97" i="9"/>
  <c r="C96" i="9"/>
  <c r="B96" i="9"/>
  <c r="A96" i="9"/>
  <c r="C95" i="9"/>
  <c r="B95" i="9"/>
  <c r="A95" i="9"/>
  <c r="C94" i="9"/>
  <c r="B94" i="9"/>
  <c r="A94" i="9"/>
  <c r="C93" i="9"/>
  <c r="B93" i="9"/>
  <c r="A93" i="9"/>
  <c r="C92" i="9"/>
  <c r="B92" i="9"/>
  <c r="A92" i="9"/>
  <c r="C91" i="9"/>
  <c r="B91" i="9"/>
  <c r="A91" i="9"/>
  <c r="C90" i="9"/>
  <c r="B90" i="9"/>
  <c r="A90" i="9"/>
  <c r="C89" i="9"/>
  <c r="B89" i="9"/>
  <c r="A89" i="9"/>
  <c r="C88" i="9"/>
  <c r="B88" i="9"/>
  <c r="A88" i="9"/>
  <c r="C87" i="9"/>
  <c r="B87" i="9"/>
  <c r="A87" i="9"/>
  <c r="C86" i="9"/>
  <c r="B86" i="9"/>
  <c r="A86" i="9"/>
  <c r="C85" i="9"/>
  <c r="B85" i="9"/>
  <c r="A85" i="9"/>
  <c r="C84" i="9"/>
  <c r="B84" i="9"/>
  <c r="A84" i="9"/>
  <c r="C83" i="9"/>
  <c r="B83" i="9"/>
  <c r="A83" i="9"/>
  <c r="C82" i="9"/>
  <c r="B82" i="9"/>
  <c r="A82" i="9"/>
  <c r="C81" i="9"/>
  <c r="B81" i="9"/>
  <c r="A81" i="9"/>
  <c r="C80" i="9"/>
  <c r="B80" i="9"/>
  <c r="A80" i="9"/>
  <c r="C79" i="9"/>
  <c r="B79" i="9"/>
  <c r="A79" i="9"/>
  <c r="C78" i="9"/>
  <c r="B78" i="9"/>
  <c r="A78" i="9"/>
  <c r="C77" i="9"/>
  <c r="B77" i="9"/>
  <c r="A77" i="9"/>
  <c r="C76" i="9"/>
  <c r="B76" i="9"/>
  <c r="A76" i="9"/>
  <c r="C75" i="9"/>
  <c r="B75" i="9"/>
  <c r="A75" i="9"/>
  <c r="C74" i="9"/>
  <c r="B74" i="9"/>
  <c r="A74" i="9"/>
  <c r="C73" i="9"/>
  <c r="B73" i="9"/>
  <c r="A73" i="9"/>
  <c r="C72" i="9"/>
  <c r="B72" i="9"/>
  <c r="A72" i="9"/>
  <c r="C71" i="9"/>
  <c r="B71" i="9"/>
  <c r="A71" i="9"/>
  <c r="C70" i="9"/>
  <c r="B70" i="9"/>
  <c r="A70" i="9"/>
  <c r="C69" i="9"/>
  <c r="B69" i="9"/>
  <c r="A69" i="9"/>
  <c r="C68" i="9"/>
  <c r="B68" i="9"/>
  <c r="A68" i="9"/>
  <c r="C67" i="9"/>
  <c r="B67" i="9"/>
  <c r="A67" i="9"/>
  <c r="C66" i="9"/>
  <c r="B66" i="9"/>
  <c r="A66" i="9"/>
  <c r="C65" i="9"/>
  <c r="B65" i="9"/>
  <c r="A65" i="9"/>
  <c r="C64" i="9"/>
  <c r="B64" i="9"/>
  <c r="A64" i="9"/>
  <c r="C63" i="9"/>
  <c r="B63" i="9"/>
  <c r="A63" i="9"/>
  <c r="C62" i="9"/>
  <c r="B62" i="9"/>
  <c r="A62" i="9"/>
  <c r="C61" i="9"/>
  <c r="B61" i="9"/>
  <c r="A61" i="9"/>
  <c r="C60" i="9"/>
  <c r="B60" i="9"/>
  <c r="A60" i="9"/>
  <c r="C59" i="9"/>
  <c r="B59" i="9"/>
  <c r="A59" i="9"/>
  <c r="C58" i="9"/>
  <c r="B58" i="9"/>
  <c r="A58" i="9"/>
  <c r="C57" i="9"/>
  <c r="B57" i="9"/>
  <c r="A57" i="9"/>
  <c r="C56" i="9"/>
  <c r="B56" i="9"/>
  <c r="A56" i="9"/>
  <c r="C55" i="9"/>
  <c r="B55" i="9"/>
  <c r="A55" i="9"/>
  <c r="C54" i="9"/>
  <c r="B54" i="9"/>
  <c r="A54" i="9"/>
  <c r="C53" i="9"/>
  <c r="B53" i="9"/>
  <c r="A53" i="9"/>
  <c r="C52" i="9"/>
  <c r="B52" i="9"/>
  <c r="A52" i="9"/>
  <c r="C51" i="9"/>
  <c r="B51" i="9"/>
  <c r="A51" i="9"/>
  <c r="C50" i="9"/>
  <c r="B50" i="9"/>
  <c r="A50" i="9"/>
  <c r="C49" i="9"/>
  <c r="B49" i="9"/>
  <c r="A49" i="9"/>
  <c r="C48" i="9"/>
  <c r="B48" i="9"/>
  <c r="A48" i="9"/>
  <c r="C47" i="9"/>
  <c r="B47" i="9"/>
  <c r="A47" i="9"/>
  <c r="C46" i="9"/>
  <c r="B46" i="9"/>
  <c r="A46" i="9"/>
  <c r="C45" i="9"/>
  <c r="B45" i="9"/>
  <c r="A45" i="9"/>
  <c r="C44" i="9"/>
  <c r="B44" i="9"/>
  <c r="A44" i="9"/>
  <c r="C43" i="9"/>
  <c r="B43" i="9"/>
  <c r="A43" i="9"/>
  <c r="C42" i="9"/>
  <c r="B42" i="9"/>
  <c r="A42" i="9"/>
  <c r="C41" i="9"/>
  <c r="B41" i="9"/>
  <c r="A41" i="9"/>
  <c r="C40" i="9"/>
  <c r="B40" i="9"/>
  <c r="A40" i="9"/>
  <c r="C39" i="9"/>
  <c r="B39" i="9"/>
  <c r="A39" i="9"/>
  <c r="C38" i="9"/>
  <c r="B38" i="9"/>
  <c r="A38" i="9"/>
  <c r="C37" i="9"/>
  <c r="B37" i="9"/>
  <c r="A37" i="9"/>
  <c r="C36" i="9"/>
  <c r="B36" i="9"/>
  <c r="A36" i="9"/>
  <c r="C35" i="9"/>
  <c r="B35" i="9"/>
  <c r="A35" i="9"/>
  <c r="C34" i="9"/>
  <c r="B34" i="9"/>
  <c r="A34" i="9"/>
  <c r="C33" i="9"/>
  <c r="B33" i="9"/>
  <c r="A33" i="9"/>
  <c r="C32" i="9"/>
  <c r="B32" i="9"/>
  <c r="A32" i="9"/>
  <c r="C31" i="9"/>
  <c r="B31" i="9"/>
  <c r="A31" i="9"/>
  <c r="C30" i="9"/>
  <c r="B30" i="9"/>
  <c r="A30" i="9"/>
  <c r="C29" i="9"/>
  <c r="B29" i="9"/>
  <c r="A29" i="9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O76" i="7"/>
  <c r="K76" i="7"/>
  <c r="I76" i="7"/>
  <c r="G76" i="7"/>
  <c r="C76" i="7"/>
  <c r="L76" i="7" s="1"/>
  <c r="B76" i="7"/>
  <c r="H76" i="7" s="1"/>
  <c r="A76" i="7"/>
  <c r="O75" i="7"/>
  <c r="K75" i="7"/>
  <c r="I75" i="7"/>
  <c r="G75" i="7"/>
  <c r="C75" i="7"/>
  <c r="L75" i="7" s="1"/>
  <c r="B75" i="7"/>
  <c r="H75" i="7" s="1"/>
  <c r="A75" i="7"/>
  <c r="O74" i="7"/>
  <c r="K74" i="7"/>
  <c r="I74" i="7"/>
  <c r="G74" i="7"/>
  <c r="C74" i="7"/>
  <c r="L74" i="7" s="1"/>
  <c r="B74" i="7"/>
  <c r="H74" i="7" s="1"/>
  <c r="A74" i="7"/>
  <c r="O73" i="7"/>
  <c r="K73" i="7"/>
  <c r="I73" i="7"/>
  <c r="G73" i="7"/>
  <c r="C73" i="7"/>
  <c r="L73" i="7" s="1"/>
  <c r="B73" i="7"/>
  <c r="H73" i="7" s="1"/>
  <c r="A73" i="7"/>
  <c r="O72" i="7"/>
  <c r="K72" i="7"/>
  <c r="I72" i="7"/>
  <c r="G72" i="7"/>
  <c r="C72" i="7"/>
  <c r="L72" i="7" s="1"/>
  <c r="B72" i="7"/>
  <c r="H72" i="7" s="1"/>
  <c r="A72" i="7"/>
  <c r="O71" i="7"/>
  <c r="K71" i="7"/>
  <c r="I71" i="7"/>
  <c r="G71" i="7"/>
  <c r="C71" i="7"/>
  <c r="L71" i="7" s="1"/>
  <c r="B71" i="7"/>
  <c r="H71" i="7" s="1"/>
  <c r="A71" i="7"/>
  <c r="O70" i="7"/>
  <c r="K70" i="7"/>
  <c r="I70" i="7"/>
  <c r="G70" i="7"/>
  <c r="C70" i="7"/>
  <c r="L70" i="7" s="1"/>
  <c r="B70" i="7"/>
  <c r="H70" i="7" s="1"/>
  <c r="A70" i="7"/>
  <c r="O69" i="7"/>
  <c r="K69" i="7"/>
  <c r="I69" i="7"/>
  <c r="G69" i="7"/>
  <c r="C69" i="7"/>
  <c r="L69" i="7" s="1"/>
  <c r="B69" i="7"/>
  <c r="H69" i="7" s="1"/>
  <c r="A69" i="7"/>
  <c r="O68" i="7"/>
  <c r="K68" i="7"/>
  <c r="I68" i="7"/>
  <c r="G68" i="7"/>
  <c r="C68" i="7"/>
  <c r="L68" i="7" s="1"/>
  <c r="B68" i="7"/>
  <c r="H68" i="7" s="1"/>
  <c r="A68" i="7"/>
  <c r="O67" i="7"/>
  <c r="K67" i="7"/>
  <c r="I67" i="7"/>
  <c r="G67" i="7"/>
  <c r="C67" i="7"/>
  <c r="L67" i="7" s="1"/>
  <c r="B67" i="7"/>
  <c r="H67" i="7" s="1"/>
  <c r="A67" i="7"/>
  <c r="O66" i="7"/>
  <c r="K66" i="7"/>
  <c r="I66" i="7"/>
  <c r="G66" i="7"/>
  <c r="C66" i="7"/>
  <c r="L66" i="7" s="1"/>
  <c r="B66" i="7"/>
  <c r="H66" i="7" s="1"/>
  <c r="A66" i="7"/>
  <c r="O65" i="7"/>
  <c r="K65" i="7"/>
  <c r="I65" i="7"/>
  <c r="G65" i="7"/>
  <c r="C65" i="7"/>
  <c r="L65" i="7" s="1"/>
  <c r="B65" i="7"/>
  <c r="H65" i="7" s="1"/>
  <c r="A65" i="7"/>
  <c r="O64" i="7"/>
  <c r="K64" i="7"/>
  <c r="I64" i="7"/>
  <c r="G64" i="7"/>
  <c r="C64" i="7"/>
  <c r="L64" i="7" s="1"/>
  <c r="B64" i="7"/>
  <c r="H64" i="7" s="1"/>
  <c r="A64" i="7"/>
  <c r="O63" i="7"/>
  <c r="K63" i="7"/>
  <c r="I63" i="7"/>
  <c r="G63" i="7"/>
  <c r="C63" i="7"/>
  <c r="L63" i="7" s="1"/>
  <c r="B63" i="7"/>
  <c r="H63" i="7" s="1"/>
  <c r="A63" i="7"/>
  <c r="O62" i="7"/>
  <c r="K62" i="7"/>
  <c r="I62" i="7"/>
  <c r="G62" i="7"/>
  <c r="C62" i="7"/>
  <c r="L62" i="7" s="1"/>
  <c r="B62" i="7"/>
  <c r="H62" i="7" s="1"/>
  <c r="A62" i="7"/>
  <c r="O61" i="7"/>
  <c r="K61" i="7"/>
  <c r="I61" i="7"/>
  <c r="G61" i="7"/>
  <c r="C61" i="7"/>
  <c r="L61" i="7" s="1"/>
  <c r="B61" i="7"/>
  <c r="H61" i="7" s="1"/>
  <c r="A61" i="7"/>
  <c r="O60" i="7"/>
  <c r="K60" i="7"/>
  <c r="I60" i="7"/>
  <c r="G60" i="7"/>
  <c r="C60" i="7"/>
  <c r="L60" i="7" s="1"/>
  <c r="B60" i="7"/>
  <c r="H60" i="7" s="1"/>
  <c r="A60" i="7"/>
  <c r="O59" i="7"/>
  <c r="K59" i="7"/>
  <c r="I59" i="7"/>
  <c r="G59" i="7"/>
  <c r="C59" i="7"/>
  <c r="L59" i="7" s="1"/>
  <c r="B59" i="7"/>
  <c r="H59" i="7" s="1"/>
  <c r="A59" i="7"/>
  <c r="O58" i="7"/>
  <c r="K58" i="7"/>
  <c r="I58" i="7"/>
  <c r="G58" i="7"/>
  <c r="C58" i="7"/>
  <c r="L58" i="7" s="1"/>
  <c r="B58" i="7"/>
  <c r="H58" i="7" s="1"/>
  <c r="A58" i="7"/>
  <c r="O57" i="7"/>
  <c r="K57" i="7"/>
  <c r="I57" i="7"/>
  <c r="G57" i="7"/>
  <c r="C57" i="7"/>
  <c r="L57" i="7" s="1"/>
  <c r="B57" i="7"/>
  <c r="H57" i="7" s="1"/>
  <c r="A57" i="7"/>
  <c r="O56" i="7"/>
  <c r="K56" i="7"/>
  <c r="I56" i="7"/>
  <c r="G56" i="7"/>
  <c r="C56" i="7"/>
  <c r="L56" i="7" s="1"/>
  <c r="B56" i="7"/>
  <c r="H56" i="7" s="1"/>
  <c r="A56" i="7"/>
  <c r="O55" i="7"/>
  <c r="K55" i="7"/>
  <c r="I55" i="7"/>
  <c r="G55" i="7"/>
  <c r="C55" i="7"/>
  <c r="L55" i="7" s="1"/>
  <c r="B55" i="7"/>
  <c r="H55" i="7" s="1"/>
  <c r="A55" i="7"/>
  <c r="O54" i="7"/>
  <c r="K54" i="7"/>
  <c r="I54" i="7"/>
  <c r="G54" i="7"/>
  <c r="C54" i="7"/>
  <c r="L54" i="7" s="1"/>
  <c r="B54" i="7"/>
  <c r="H54" i="7" s="1"/>
  <c r="A54" i="7"/>
  <c r="O53" i="7"/>
  <c r="K53" i="7"/>
  <c r="I53" i="7"/>
  <c r="G53" i="7"/>
  <c r="C53" i="7"/>
  <c r="L53" i="7" s="1"/>
  <c r="B53" i="7"/>
  <c r="H53" i="7" s="1"/>
  <c r="A53" i="7"/>
  <c r="O52" i="7"/>
  <c r="K52" i="7"/>
  <c r="I52" i="7"/>
  <c r="G52" i="7"/>
  <c r="C52" i="7"/>
  <c r="L52" i="7" s="1"/>
  <c r="B52" i="7"/>
  <c r="H52" i="7" s="1"/>
  <c r="A52" i="7"/>
  <c r="O51" i="7"/>
  <c r="K51" i="7"/>
  <c r="I51" i="7"/>
  <c r="G51" i="7"/>
  <c r="C51" i="7"/>
  <c r="L51" i="7" s="1"/>
  <c r="B51" i="7"/>
  <c r="H51" i="7" s="1"/>
  <c r="A51" i="7"/>
  <c r="O50" i="7"/>
  <c r="K50" i="7"/>
  <c r="I50" i="7"/>
  <c r="G50" i="7"/>
  <c r="C50" i="7"/>
  <c r="L50" i="7" s="1"/>
  <c r="B50" i="7"/>
  <c r="H50" i="7" s="1"/>
  <c r="A50" i="7"/>
  <c r="O49" i="7"/>
  <c r="K49" i="7"/>
  <c r="I49" i="7"/>
  <c r="G49" i="7"/>
  <c r="C49" i="7"/>
  <c r="L49" i="7" s="1"/>
  <c r="B49" i="7"/>
  <c r="H49" i="7" s="1"/>
  <c r="A49" i="7"/>
  <c r="O48" i="7"/>
  <c r="K48" i="7"/>
  <c r="I48" i="7"/>
  <c r="G48" i="7"/>
  <c r="C48" i="7"/>
  <c r="L48" i="7" s="1"/>
  <c r="B48" i="7"/>
  <c r="H48" i="7" s="1"/>
  <c r="A48" i="7"/>
  <c r="O47" i="7"/>
  <c r="K47" i="7"/>
  <c r="I47" i="7"/>
  <c r="G47" i="7"/>
  <c r="C47" i="7"/>
  <c r="L47" i="7" s="1"/>
  <c r="B47" i="7"/>
  <c r="H47" i="7" s="1"/>
  <c r="A47" i="7"/>
  <c r="O46" i="7"/>
  <c r="K46" i="7"/>
  <c r="I46" i="7"/>
  <c r="G46" i="7"/>
  <c r="C46" i="7"/>
  <c r="L46" i="7" s="1"/>
  <c r="B46" i="7"/>
  <c r="H46" i="7" s="1"/>
  <c r="A46" i="7"/>
  <c r="O45" i="7"/>
  <c r="K45" i="7"/>
  <c r="I45" i="7"/>
  <c r="G45" i="7"/>
  <c r="C45" i="7"/>
  <c r="L45" i="7" s="1"/>
  <c r="B45" i="7"/>
  <c r="H45" i="7" s="1"/>
  <c r="A45" i="7"/>
  <c r="O44" i="7"/>
  <c r="K44" i="7"/>
  <c r="I44" i="7"/>
  <c r="G44" i="7"/>
  <c r="C44" i="7"/>
  <c r="L44" i="7" s="1"/>
  <c r="B44" i="7"/>
  <c r="H44" i="7" s="1"/>
  <c r="A44" i="7"/>
  <c r="O43" i="7"/>
  <c r="K43" i="7"/>
  <c r="I43" i="7"/>
  <c r="G43" i="7"/>
  <c r="C43" i="7"/>
  <c r="L43" i="7" s="1"/>
  <c r="B43" i="7"/>
  <c r="H43" i="7" s="1"/>
  <c r="A43" i="7"/>
  <c r="O42" i="7"/>
  <c r="K42" i="7"/>
  <c r="I42" i="7"/>
  <c r="G42" i="7"/>
  <c r="C42" i="7"/>
  <c r="L42" i="7" s="1"/>
  <c r="B42" i="7"/>
  <c r="H42" i="7" s="1"/>
  <c r="A42" i="7"/>
  <c r="O41" i="7"/>
  <c r="K41" i="7"/>
  <c r="I41" i="7"/>
  <c r="G41" i="7"/>
  <c r="C41" i="7"/>
  <c r="L41" i="7" s="1"/>
  <c r="B41" i="7"/>
  <c r="H41" i="7" s="1"/>
  <c r="A41" i="7"/>
  <c r="O40" i="7"/>
  <c r="K40" i="7"/>
  <c r="I40" i="7"/>
  <c r="G40" i="7"/>
  <c r="C40" i="7"/>
  <c r="L40" i="7" s="1"/>
  <c r="B40" i="7"/>
  <c r="H40" i="7" s="1"/>
  <c r="A40" i="7"/>
  <c r="O39" i="7"/>
  <c r="K39" i="7"/>
  <c r="I39" i="7"/>
  <c r="G39" i="7"/>
  <c r="C39" i="7"/>
  <c r="L39" i="7" s="1"/>
  <c r="B39" i="7"/>
  <c r="H39" i="7" s="1"/>
  <c r="A39" i="7"/>
  <c r="O38" i="7"/>
  <c r="K38" i="7"/>
  <c r="I38" i="7"/>
  <c r="G38" i="7"/>
  <c r="C38" i="7"/>
  <c r="L38" i="7" s="1"/>
  <c r="B38" i="7"/>
  <c r="H38" i="7" s="1"/>
  <c r="A38" i="7"/>
  <c r="O37" i="7"/>
  <c r="K37" i="7"/>
  <c r="I37" i="7"/>
  <c r="G37" i="7"/>
  <c r="C37" i="7"/>
  <c r="L37" i="7" s="1"/>
  <c r="B37" i="7"/>
  <c r="H37" i="7" s="1"/>
  <c r="A37" i="7"/>
  <c r="O36" i="7"/>
  <c r="K36" i="7"/>
  <c r="I36" i="7"/>
  <c r="G36" i="7"/>
  <c r="C36" i="7"/>
  <c r="L36" i="7" s="1"/>
  <c r="B36" i="7"/>
  <c r="H36" i="7" s="1"/>
  <c r="A36" i="7"/>
  <c r="O35" i="7"/>
  <c r="K35" i="7"/>
  <c r="I35" i="7"/>
  <c r="G35" i="7"/>
  <c r="C35" i="7"/>
  <c r="L35" i="7" s="1"/>
  <c r="B35" i="7"/>
  <c r="H35" i="7" s="1"/>
  <c r="A35" i="7"/>
  <c r="O34" i="7"/>
  <c r="K34" i="7"/>
  <c r="I34" i="7"/>
  <c r="G34" i="7"/>
  <c r="C34" i="7"/>
  <c r="L34" i="7" s="1"/>
  <c r="B34" i="7"/>
  <c r="H34" i="7" s="1"/>
  <c r="A34" i="7"/>
  <c r="O33" i="7"/>
  <c r="K33" i="7"/>
  <c r="I33" i="7"/>
  <c r="G33" i="7"/>
  <c r="C33" i="7"/>
  <c r="L33" i="7" s="1"/>
  <c r="B33" i="7"/>
  <c r="H33" i="7" s="1"/>
  <c r="A33" i="7"/>
  <c r="O32" i="7"/>
  <c r="K32" i="7"/>
  <c r="I32" i="7"/>
  <c r="G32" i="7"/>
  <c r="C32" i="7"/>
  <c r="L32" i="7" s="1"/>
  <c r="B32" i="7"/>
  <c r="H32" i="7" s="1"/>
  <c r="A32" i="7"/>
  <c r="O31" i="7"/>
  <c r="K31" i="7"/>
  <c r="I31" i="7"/>
  <c r="G31" i="7"/>
  <c r="C31" i="7"/>
  <c r="L31" i="7" s="1"/>
  <c r="B31" i="7"/>
  <c r="H31" i="7" s="1"/>
  <c r="A31" i="7"/>
  <c r="O30" i="7"/>
  <c r="K30" i="7"/>
  <c r="I30" i="7"/>
  <c r="G30" i="7"/>
  <c r="C30" i="7"/>
  <c r="L30" i="7" s="1"/>
  <c r="B30" i="7"/>
  <c r="H30" i="7" s="1"/>
  <c r="A30" i="7"/>
  <c r="O29" i="7"/>
  <c r="K29" i="7"/>
  <c r="I29" i="7"/>
  <c r="G29" i="7"/>
  <c r="C29" i="7"/>
  <c r="L29" i="7" s="1"/>
  <c r="B29" i="7"/>
  <c r="H29" i="7" s="1"/>
  <c r="A29" i="7"/>
  <c r="O28" i="7"/>
  <c r="K28" i="7"/>
  <c r="I28" i="7"/>
  <c r="G28" i="7"/>
  <c r="C28" i="7"/>
  <c r="L28" i="7" s="1"/>
  <c r="B28" i="7"/>
  <c r="H28" i="7" s="1"/>
  <c r="A28" i="7"/>
  <c r="O27" i="7"/>
  <c r="K27" i="7"/>
  <c r="I27" i="7"/>
  <c r="G27" i="7"/>
  <c r="C27" i="7"/>
  <c r="L27" i="7" s="1"/>
  <c r="B27" i="7"/>
  <c r="H27" i="7" s="1"/>
  <c r="A27" i="7"/>
  <c r="O26" i="7"/>
  <c r="K26" i="7"/>
  <c r="I26" i="7"/>
  <c r="G26" i="7"/>
  <c r="C26" i="7"/>
  <c r="L26" i="7" s="1"/>
  <c r="B26" i="7"/>
  <c r="H26" i="7" s="1"/>
  <c r="A26" i="7"/>
  <c r="O25" i="7"/>
  <c r="K25" i="7"/>
  <c r="I25" i="7"/>
  <c r="G25" i="7"/>
  <c r="C25" i="7"/>
  <c r="L25" i="7" s="1"/>
  <c r="B25" i="7"/>
  <c r="H25" i="7" s="1"/>
  <c r="A25" i="7"/>
  <c r="O24" i="7"/>
  <c r="K24" i="7"/>
  <c r="I24" i="7"/>
  <c r="G24" i="7"/>
  <c r="C24" i="7"/>
  <c r="L24" i="7" s="1"/>
  <c r="B24" i="7"/>
  <c r="H24" i="7" s="1"/>
  <c r="A24" i="7"/>
  <c r="O23" i="7"/>
  <c r="K23" i="7"/>
  <c r="I23" i="7"/>
  <c r="G23" i="7"/>
  <c r="C23" i="7"/>
  <c r="L23" i="7" s="1"/>
  <c r="B23" i="7"/>
  <c r="H23" i="7" s="1"/>
  <c r="A23" i="7"/>
  <c r="O22" i="7"/>
  <c r="K22" i="7"/>
  <c r="I22" i="7"/>
  <c r="G22" i="7"/>
  <c r="C22" i="7"/>
  <c r="L22" i="7" s="1"/>
  <c r="B22" i="7"/>
  <c r="H22" i="7" s="1"/>
  <c r="A22" i="7"/>
  <c r="O21" i="7"/>
  <c r="K21" i="7"/>
  <c r="I21" i="7"/>
  <c r="G21" i="7"/>
  <c r="C21" i="7"/>
  <c r="L21" i="7" s="1"/>
  <c r="B21" i="7"/>
  <c r="H21" i="7" s="1"/>
  <c r="A21" i="7"/>
  <c r="O20" i="7"/>
  <c r="K20" i="7"/>
  <c r="I20" i="7"/>
  <c r="G20" i="7"/>
  <c r="C20" i="7"/>
  <c r="L20" i="7" s="1"/>
  <c r="B20" i="7"/>
  <c r="H20" i="7" s="1"/>
  <c r="A20" i="7"/>
  <c r="O19" i="7"/>
  <c r="K19" i="7"/>
  <c r="I19" i="7"/>
  <c r="G19" i="7"/>
  <c r="C19" i="7"/>
  <c r="L19" i="7" s="1"/>
  <c r="B19" i="7"/>
  <c r="H19" i="7" s="1"/>
  <c r="A19" i="7"/>
  <c r="O18" i="7"/>
  <c r="K18" i="7"/>
  <c r="I18" i="7"/>
  <c r="G18" i="7"/>
  <c r="C18" i="7"/>
  <c r="L18" i="7" s="1"/>
  <c r="B18" i="7"/>
  <c r="H18" i="7" s="1"/>
  <c r="A18" i="7"/>
  <c r="O17" i="7"/>
  <c r="K17" i="7"/>
  <c r="I17" i="7"/>
  <c r="G17" i="7"/>
  <c r="C17" i="7"/>
  <c r="L17" i="7" s="1"/>
  <c r="B17" i="7"/>
  <c r="H17" i="7" s="1"/>
  <c r="A17" i="7"/>
  <c r="O16" i="7"/>
  <c r="K16" i="7"/>
  <c r="I16" i="7"/>
  <c r="G16" i="7"/>
  <c r="C16" i="7"/>
  <c r="L16" i="7" s="1"/>
  <c r="B16" i="7"/>
  <c r="H16" i="7" s="1"/>
  <c r="A16" i="7"/>
  <c r="O15" i="7"/>
  <c r="K15" i="7"/>
  <c r="I15" i="7"/>
  <c r="G15" i="7"/>
  <c r="C15" i="7"/>
  <c r="L15" i="7" s="1"/>
  <c r="B15" i="7"/>
  <c r="H15" i="7" s="1"/>
  <c r="A15" i="7"/>
  <c r="O14" i="7"/>
  <c r="K14" i="7"/>
  <c r="I14" i="7"/>
  <c r="G14" i="7"/>
  <c r="C14" i="7"/>
  <c r="L14" i="7" s="1"/>
  <c r="B14" i="7"/>
  <c r="H14" i="7" s="1"/>
  <c r="A14" i="7"/>
  <c r="O13" i="7"/>
  <c r="K13" i="7"/>
  <c r="I13" i="7"/>
  <c r="G13" i="7"/>
  <c r="C13" i="7"/>
  <c r="L13" i="7" s="1"/>
  <c r="B13" i="7"/>
  <c r="H13" i="7" s="1"/>
  <c r="A13" i="7"/>
  <c r="O12" i="7"/>
  <c r="K12" i="7"/>
  <c r="I12" i="7"/>
  <c r="G12" i="7"/>
  <c r="C12" i="7"/>
  <c r="L12" i="7" s="1"/>
  <c r="B12" i="7"/>
  <c r="H12" i="7" s="1"/>
  <c r="A12" i="7"/>
  <c r="O11" i="7"/>
  <c r="K11" i="7"/>
  <c r="I11" i="7"/>
  <c r="G11" i="7"/>
  <c r="C11" i="7"/>
  <c r="L11" i="7" s="1"/>
  <c r="B11" i="7"/>
  <c r="H11" i="7" s="1"/>
  <c r="A11" i="7"/>
  <c r="N76" i="6"/>
  <c r="I76" i="6"/>
  <c r="C76" i="6"/>
  <c r="K76" i="6" s="1"/>
  <c r="B76" i="6"/>
  <c r="H76" i="6" s="1"/>
  <c r="A76" i="6"/>
  <c r="N75" i="6"/>
  <c r="I75" i="6"/>
  <c r="C75" i="6"/>
  <c r="K75" i="6" s="1"/>
  <c r="B75" i="6"/>
  <c r="H75" i="6" s="1"/>
  <c r="A75" i="6"/>
  <c r="N74" i="6"/>
  <c r="I74" i="6"/>
  <c r="C74" i="6"/>
  <c r="K74" i="6" s="1"/>
  <c r="B74" i="6"/>
  <c r="H74" i="6" s="1"/>
  <c r="A74" i="6"/>
  <c r="N73" i="6"/>
  <c r="I73" i="6"/>
  <c r="C73" i="6"/>
  <c r="K73" i="6" s="1"/>
  <c r="B73" i="6"/>
  <c r="H73" i="6" s="1"/>
  <c r="A73" i="6"/>
  <c r="N72" i="6"/>
  <c r="I72" i="6"/>
  <c r="C72" i="6"/>
  <c r="K72" i="6" s="1"/>
  <c r="B72" i="6"/>
  <c r="H72" i="6" s="1"/>
  <c r="A72" i="6"/>
  <c r="N71" i="6"/>
  <c r="I71" i="6"/>
  <c r="C71" i="6"/>
  <c r="K71" i="6" s="1"/>
  <c r="B71" i="6"/>
  <c r="H71" i="6" s="1"/>
  <c r="A71" i="6"/>
  <c r="N70" i="6"/>
  <c r="I70" i="6"/>
  <c r="C70" i="6"/>
  <c r="K70" i="6" s="1"/>
  <c r="B70" i="6"/>
  <c r="H70" i="6" s="1"/>
  <c r="A70" i="6"/>
  <c r="N69" i="6"/>
  <c r="I69" i="6"/>
  <c r="C69" i="6"/>
  <c r="K69" i="6" s="1"/>
  <c r="B69" i="6"/>
  <c r="H69" i="6" s="1"/>
  <c r="A69" i="6"/>
  <c r="N68" i="6"/>
  <c r="I68" i="6"/>
  <c r="C68" i="6"/>
  <c r="K68" i="6" s="1"/>
  <c r="B68" i="6"/>
  <c r="H68" i="6" s="1"/>
  <c r="A68" i="6"/>
  <c r="N67" i="6"/>
  <c r="I67" i="6"/>
  <c r="C67" i="6"/>
  <c r="K67" i="6" s="1"/>
  <c r="B67" i="6"/>
  <c r="H67" i="6" s="1"/>
  <c r="A67" i="6"/>
  <c r="N66" i="6"/>
  <c r="I66" i="6"/>
  <c r="C66" i="6"/>
  <c r="K66" i="6" s="1"/>
  <c r="B66" i="6"/>
  <c r="H66" i="6" s="1"/>
  <c r="A66" i="6"/>
  <c r="N65" i="6"/>
  <c r="I65" i="6"/>
  <c r="C65" i="6"/>
  <c r="K65" i="6" s="1"/>
  <c r="B65" i="6"/>
  <c r="H65" i="6" s="1"/>
  <c r="A65" i="6"/>
  <c r="N64" i="6"/>
  <c r="I64" i="6"/>
  <c r="C64" i="6"/>
  <c r="K64" i="6" s="1"/>
  <c r="B64" i="6"/>
  <c r="H64" i="6" s="1"/>
  <c r="A64" i="6"/>
  <c r="N63" i="6"/>
  <c r="I63" i="6"/>
  <c r="C63" i="6"/>
  <c r="K63" i="6" s="1"/>
  <c r="B63" i="6"/>
  <c r="H63" i="6" s="1"/>
  <c r="A63" i="6"/>
  <c r="N62" i="6"/>
  <c r="I62" i="6"/>
  <c r="C62" i="6"/>
  <c r="K62" i="6" s="1"/>
  <c r="B62" i="6"/>
  <c r="H62" i="6" s="1"/>
  <c r="A62" i="6"/>
  <c r="N61" i="6"/>
  <c r="I61" i="6"/>
  <c r="C61" i="6"/>
  <c r="K61" i="6" s="1"/>
  <c r="B61" i="6"/>
  <c r="H61" i="6" s="1"/>
  <c r="A61" i="6"/>
  <c r="N60" i="6"/>
  <c r="I60" i="6"/>
  <c r="C60" i="6"/>
  <c r="K60" i="6" s="1"/>
  <c r="B60" i="6"/>
  <c r="H60" i="6" s="1"/>
  <c r="A60" i="6"/>
  <c r="N59" i="6"/>
  <c r="I59" i="6"/>
  <c r="C59" i="6"/>
  <c r="K59" i="6" s="1"/>
  <c r="B59" i="6"/>
  <c r="H59" i="6" s="1"/>
  <c r="A59" i="6"/>
  <c r="N58" i="6"/>
  <c r="I58" i="6"/>
  <c r="C58" i="6"/>
  <c r="K58" i="6" s="1"/>
  <c r="B58" i="6"/>
  <c r="H58" i="6" s="1"/>
  <c r="A58" i="6"/>
  <c r="N57" i="6"/>
  <c r="I57" i="6"/>
  <c r="C57" i="6"/>
  <c r="K57" i="6" s="1"/>
  <c r="B57" i="6"/>
  <c r="H57" i="6" s="1"/>
  <c r="A57" i="6"/>
  <c r="N56" i="6"/>
  <c r="I56" i="6"/>
  <c r="C56" i="6"/>
  <c r="K56" i="6" s="1"/>
  <c r="B56" i="6"/>
  <c r="H56" i="6" s="1"/>
  <c r="A56" i="6"/>
  <c r="N55" i="6"/>
  <c r="I55" i="6"/>
  <c r="C55" i="6"/>
  <c r="K55" i="6" s="1"/>
  <c r="B55" i="6"/>
  <c r="H55" i="6" s="1"/>
  <c r="A55" i="6"/>
  <c r="N54" i="6"/>
  <c r="I54" i="6"/>
  <c r="C54" i="6"/>
  <c r="K54" i="6" s="1"/>
  <c r="B54" i="6"/>
  <c r="H54" i="6" s="1"/>
  <c r="A54" i="6"/>
  <c r="N53" i="6"/>
  <c r="I53" i="6"/>
  <c r="C53" i="6"/>
  <c r="K53" i="6" s="1"/>
  <c r="B53" i="6"/>
  <c r="H53" i="6" s="1"/>
  <c r="A53" i="6"/>
  <c r="N52" i="6"/>
  <c r="I52" i="6"/>
  <c r="C52" i="6"/>
  <c r="K52" i="6" s="1"/>
  <c r="B52" i="6"/>
  <c r="H52" i="6" s="1"/>
  <c r="A52" i="6"/>
  <c r="N51" i="6"/>
  <c r="I51" i="6"/>
  <c r="C51" i="6"/>
  <c r="K51" i="6" s="1"/>
  <c r="B51" i="6"/>
  <c r="H51" i="6" s="1"/>
  <c r="A51" i="6"/>
  <c r="N50" i="6"/>
  <c r="I50" i="6"/>
  <c r="C50" i="6"/>
  <c r="K50" i="6" s="1"/>
  <c r="B50" i="6"/>
  <c r="H50" i="6" s="1"/>
  <c r="A50" i="6"/>
  <c r="N49" i="6"/>
  <c r="I49" i="6"/>
  <c r="C49" i="6"/>
  <c r="K49" i="6" s="1"/>
  <c r="B49" i="6"/>
  <c r="H49" i="6" s="1"/>
  <c r="A49" i="6"/>
  <c r="N48" i="6"/>
  <c r="I48" i="6"/>
  <c r="C48" i="6"/>
  <c r="K48" i="6" s="1"/>
  <c r="B48" i="6"/>
  <c r="H48" i="6" s="1"/>
  <c r="A48" i="6"/>
  <c r="N47" i="6"/>
  <c r="I47" i="6"/>
  <c r="C47" i="6"/>
  <c r="K47" i="6" s="1"/>
  <c r="B47" i="6"/>
  <c r="H47" i="6" s="1"/>
  <c r="A47" i="6"/>
  <c r="N46" i="6"/>
  <c r="I46" i="6"/>
  <c r="C46" i="6"/>
  <c r="K46" i="6" s="1"/>
  <c r="B46" i="6"/>
  <c r="H46" i="6" s="1"/>
  <c r="A46" i="6"/>
  <c r="N45" i="6"/>
  <c r="I45" i="6"/>
  <c r="C45" i="6"/>
  <c r="K45" i="6" s="1"/>
  <c r="B45" i="6"/>
  <c r="H45" i="6" s="1"/>
  <c r="A45" i="6"/>
  <c r="N44" i="6"/>
  <c r="I44" i="6"/>
  <c r="C44" i="6"/>
  <c r="K44" i="6" s="1"/>
  <c r="B44" i="6"/>
  <c r="H44" i="6" s="1"/>
  <c r="A44" i="6"/>
  <c r="N43" i="6"/>
  <c r="I43" i="6"/>
  <c r="C43" i="6"/>
  <c r="K43" i="6" s="1"/>
  <c r="B43" i="6"/>
  <c r="H43" i="6" s="1"/>
  <c r="A43" i="6"/>
  <c r="N42" i="6"/>
  <c r="I42" i="6"/>
  <c r="C42" i="6"/>
  <c r="K42" i="6" s="1"/>
  <c r="B42" i="6"/>
  <c r="H42" i="6" s="1"/>
  <c r="A42" i="6"/>
  <c r="N41" i="6"/>
  <c r="I41" i="6"/>
  <c r="C41" i="6"/>
  <c r="K41" i="6" s="1"/>
  <c r="B41" i="6"/>
  <c r="H41" i="6" s="1"/>
  <c r="A41" i="6"/>
  <c r="N40" i="6"/>
  <c r="I40" i="6"/>
  <c r="C40" i="6"/>
  <c r="K40" i="6" s="1"/>
  <c r="B40" i="6"/>
  <c r="H40" i="6" s="1"/>
  <c r="A40" i="6"/>
  <c r="N39" i="6"/>
  <c r="I39" i="6"/>
  <c r="C39" i="6"/>
  <c r="K39" i="6" s="1"/>
  <c r="B39" i="6"/>
  <c r="H39" i="6" s="1"/>
  <c r="A39" i="6"/>
  <c r="N38" i="6"/>
  <c r="I38" i="6"/>
  <c r="C38" i="6"/>
  <c r="K38" i="6" s="1"/>
  <c r="B38" i="6"/>
  <c r="H38" i="6" s="1"/>
  <c r="A38" i="6"/>
  <c r="N37" i="6"/>
  <c r="I37" i="6"/>
  <c r="C37" i="6"/>
  <c r="K37" i="6" s="1"/>
  <c r="B37" i="6"/>
  <c r="H37" i="6" s="1"/>
  <c r="A37" i="6"/>
  <c r="N36" i="6"/>
  <c r="I36" i="6"/>
  <c r="C36" i="6"/>
  <c r="K36" i="6" s="1"/>
  <c r="B36" i="6"/>
  <c r="H36" i="6" s="1"/>
  <c r="A36" i="6"/>
  <c r="N35" i="6"/>
  <c r="I35" i="6"/>
  <c r="C35" i="6"/>
  <c r="K35" i="6" s="1"/>
  <c r="B35" i="6"/>
  <c r="H35" i="6" s="1"/>
  <c r="A35" i="6"/>
  <c r="N34" i="6"/>
  <c r="I34" i="6"/>
  <c r="C34" i="6"/>
  <c r="K34" i="6" s="1"/>
  <c r="B34" i="6"/>
  <c r="H34" i="6" s="1"/>
  <c r="A34" i="6"/>
  <c r="N33" i="6"/>
  <c r="I33" i="6"/>
  <c r="C33" i="6"/>
  <c r="K33" i="6" s="1"/>
  <c r="B33" i="6"/>
  <c r="H33" i="6" s="1"/>
  <c r="A33" i="6"/>
  <c r="N32" i="6"/>
  <c r="I32" i="6"/>
  <c r="C32" i="6"/>
  <c r="K32" i="6" s="1"/>
  <c r="B32" i="6"/>
  <c r="H32" i="6" s="1"/>
  <c r="A32" i="6"/>
  <c r="N31" i="6"/>
  <c r="I31" i="6"/>
  <c r="C31" i="6"/>
  <c r="K31" i="6" s="1"/>
  <c r="B31" i="6"/>
  <c r="H31" i="6" s="1"/>
  <c r="A31" i="6"/>
  <c r="N30" i="6"/>
  <c r="I30" i="6"/>
  <c r="C30" i="6"/>
  <c r="K30" i="6" s="1"/>
  <c r="B30" i="6"/>
  <c r="H30" i="6" s="1"/>
  <c r="A30" i="6"/>
  <c r="N29" i="6"/>
  <c r="I29" i="6"/>
  <c r="C29" i="6"/>
  <c r="K29" i="6" s="1"/>
  <c r="B29" i="6"/>
  <c r="H29" i="6" s="1"/>
  <c r="A29" i="6"/>
  <c r="N28" i="6"/>
  <c r="I28" i="6"/>
  <c r="C28" i="6"/>
  <c r="K28" i="6" s="1"/>
  <c r="B28" i="6"/>
  <c r="H28" i="6" s="1"/>
  <c r="A28" i="6"/>
  <c r="N27" i="6"/>
  <c r="I27" i="6"/>
  <c r="C27" i="6"/>
  <c r="K27" i="6" s="1"/>
  <c r="B27" i="6"/>
  <c r="H27" i="6" s="1"/>
  <c r="A27" i="6"/>
  <c r="N26" i="6"/>
  <c r="I26" i="6"/>
  <c r="C26" i="6"/>
  <c r="K26" i="6" s="1"/>
  <c r="B26" i="6"/>
  <c r="H26" i="6" s="1"/>
  <c r="A26" i="6"/>
  <c r="N25" i="6"/>
  <c r="I25" i="6"/>
  <c r="C25" i="6"/>
  <c r="K25" i="6" s="1"/>
  <c r="B25" i="6"/>
  <c r="H25" i="6" s="1"/>
  <c r="A25" i="6"/>
  <c r="N24" i="6"/>
  <c r="I24" i="6"/>
  <c r="C24" i="6"/>
  <c r="K24" i="6" s="1"/>
  <c r="B24" i="6"/>
  <c r="H24" i="6" s="1"/>
  <c r="A24" i="6"/>
  <c r="N23" i="6"/>
  <c r="I23" i="6"/>
  <c r="C23" i="6"/>
  <c r="K23" i="6" s="1"/>
  <c r="B23" i="6"/>
  <c r="H23" i="6" s="1"/>
  <c r="A23" i="6"/>
  <c r="N22" i="6"/>
  <c r="I22" i="6"/>
  <c r="C22" i="6"/>
  <c r="K22" i="6" s="1"/>
  <c r="B22" i="6"/>
  <c r="H22" i="6" s="1"/>
  <c r="A22" i="6"/>
  <c r="N21" i="6"/>
  <c r="I21" i="6"/>
  <c r="C21" i="6"/>
  <c r="K21" i="6" s="1"/>
  <c r="B21" i="6"/>
  <c r="H21" i="6" s="1"/>
  <c r="A21" i="6"/>
  <c r="N20" i="6"/>
  <c r="I20" i="6"/>
  <c r="C20" i="6"/>
  <c r="K20" i="6" s="1"/>
  <c r="B20" i="6"/>
  <c r="H20" i="6" s="1"/>
  <c r="A20" i="6"/>
  <c r="N19" i="6"/>
  <c r="I19" i="6"/>
  <c r="C19" i="6"/>
  <c r="K19" i="6" s="1"/>
  <c r="B19" i="6"/>
  <c r="H19" i="6" s="1"/>
  <c r="A19" i="6"/>
  <c r="N18" i="6"/>
  <c r="I18" i="6"/>
  <c r="C18" i="6"/>
  <c r="K18" i="6" s="1"/>
  <c r="B18" i="6"/>
  <c r="H18" i="6" s="1"/>
  <c r="A18" i="6"/>
  <c r="N17" i="6"/>
  <c r="I17" i="6"/>
  <c r="C17" i="6"/>
  <c r="K17" i="6" s="1"/>
  <c r="B17" i="6"/>
  <c r="H17" i="6" s="1"/>
  <c r="A17" i="6"/>
  <c r="N16" i="6"/>
  <c r="I16" i="6"/>
  <c r="C16" i="6"/>
  <c r="K16" i="6" s="1"/>
  <c r="B16" i="6"/>
  <c r="H16" i="6" s="1"/>
  <c r="A16" i="6"/>
  <c r="N15" i="6"/>
  <c r="I15" i="6"/>
  <c r="C15" i="6"/>
  <c r="K15" i="6" s="1"/>
  <c r="B15" i="6"/>
  <c r="H15" i="6" s="1"/>
  <c r="A15" i="6"/>
  <c r="N14" i="6"/>
  <c r="I14" i="6"/>
  <c r="C14" i="6"/>
  <c r="K14" i="6" s="1"/>
  <c r="B14" i="6"/>
  <c r="H14" i="6" s="1"/>
  <c r="A14" i="6"/>
  <c r="N13" i="6"/>
  <c r="I13" i="6"/>
  <c r="C13" i="6"/>
  <c r="K13" i="6" s="1"/>
  <c r="B13" i="6"/>
  <c r="H13" i="6" s="1"/>
  <c r="A13" i="6"/>
  <c r="N12" i="6"/>
  <c r="I12" i="6"/>
  <c r="C12" i="6"/>
  <c r="K12" i="6" s="1"/>
  <c r="B12" i="6"/>
  <c r="H12" i="6" s="1"/>
  <c r="A12" i="6"/>
  <c r="N11" i="6"/>
  <c r="I11" i="6"/>
  <c r="C11" i="6"/>
  <c r="K11" i="6" s="1"/>
  <c r="B11" i="6"/>
  <c r="H11" i="6" s="1"/>
  <c r="A11" i="6"/>
  <c r="N54" i="5"/>
  <c r="I54" i="5"/>
  <c r="C54" i="5"/>
  <c r="K54" i="5" s="1"/>
  <c r="B54" i="5"/>
  <c r="H54" i="5" s="1"/>
  <c r="A54" i="5"/>
  <c r="N53" i="5"/>
  <c r="I53" i="5"/>
  <c r="C53" i="5"/>
  <c r="K53" i="5" s="1"/>
  <c r="B53" i="5"/>
  <c r="H53" i="5" s="1"/>
  <c r="A53" i="5"/>
  <c r="N52" i="5"/>
  <c r="I52" i="5"/>
  <c r="C52" i="5"/>
  <c r="K52" i="5" s="1"/>
  <c r="B52" i="5"/>
  <c r="H52" i="5" s="1"/>
  <c r="A52" i="5"/>
  <c r="N51" i="5"/>
  <c r="I51" i="5"/>
  <c r="C51" i="5"/>
  <c r="K51" i="5" s="1"/>
  <c r="B51" i="5"/>
  <c r="H51" i="5" s="1"/>
  <c r="A51" i="5"/>
  <c r="N50" i="5"/>
  <c r="I50" i="5"/>
  <c r="C50" i="5"/>
  <c r="K50" i="5" s="1"/>
  <c r="B50" i="5"/>
  <c r="H50" i="5" s="1"/>
  <c r="A50" i="5"/>
  <c r="N49" i="5"/>
  <c r="I49" i="5"/>
  <c r="C49" i="5"/>
  <c r="K49" i="5" s="1"/>
  <c r="B49" i="5"/>
  <c r="H49" i="5" s="1"/>
  <c r="A49" i="5"/>
  <c r="N48" i="5"/>
  <c r="I48" i="5"/>
  <c r="C48" i="5"/>
  <c r="K48" i="5" s="1"/>
  <c r="B48" i="5"/>
  <c r="H48" i="5" s="1"/>
  <c r="A48" i="5"/>
  <c r="N47" i="5"/>
  <c r="I47" i="5"/>
  <c r="C47" i="5"/>
  <c r="K47" i="5" s="1"/>
  <c r="B47" i="5"/>
  <c r="H47" i="5" s="1"/>
  <c r="A47" i="5"/>
  <c r="N46" i="5"/>
  <c r="I46" i="5"/>
  <c r="C46" i="5"/>
  <c r="K46" i="5" s="1"/>
  <c r="B46" i="5"/>
  <c r="H46" i="5" s="1"/>
  <c r="A46" i="5"/>
  <c r="N45" i="5"/>
  <c r="I45" i="5"/>
  <c r="C45" i="5"/>
  <c r="K45" i="5" s="1"/>
  <c r="B45" i="5"/>
  <c r="H45" i="5" s="1"/>
  <c r="A45" i="5"/>
  <c r="N44" i="5"/>
  <c r="I44" i="5"/>
  <c r="C44" i="5"/>
  <c r="K44" i="5" s="1"/>
  <c r="B44" i="5"/>
  <c r="H44" i="5" s="1"/>
  <c r="A44" i="5"/>
  <c r="N43" i="5"/>
  <c r="I43" i="5"/>
  <c r="C43" i="5"/>
  <c r="K43" i="5" s="1"/>
  <c r="B43" i="5"/>
  <c r="H43" i="5" s="1"/>
  <c r="A43" i="5"/>
  <c r="N42" i="5"/>
  <c r="I42" i="5"/>
  <c r="C42" i="5"/>
  <c r="K42" i="5" s="1"/>
  <c r="B42" i="5"/>
  <c r="H42" i="5" s="1"/>
  <c r="A42" i="5"/>
  <c r="N41" i="5"/>
  <c r="I41" i="5"/>
  <c r="C41" i="5"/>
  <c r="K41" i="5" s="1"/>
  <c r="B41" i="5"/>
  <c r="H41" i="5" s="1"/>
  <c r="A41" i="5"/>
  <c r="N40" i="5"/>
  <c r="I40" i="5"/>
  <c r="C40" i="5"/>
  <c r="K40" i="5" s="1"/>
  <c r="B40" i="5"/>
  <c r="H40" i="5" s="1"/>
  <c r="A40" i="5"/>
  <c r="N39" i="5"/>
  <c r="I39" i="5"/>
  <c r="C39" i="5"/>
  <c r="K39" i="5" s="1"/>
  <c r="B39" i="5"/>
  <c r="H39" i="5" s="1"/>
  <c r="A39" i="5"/>
  <c r="N38" i="5"/>
  <c r="I38" i="5"/>
  <c r="C38" i="5"/>
  <c r="K38" i="5" s="1"/>
  <c r="B38" i="5"/>
  <c r="H38" i="5" s="1"/>
  <c r="A38" i="5"/>
  <c r="N37" i="5"/>
  <c r="I37" i="5"/>
  <c r="C37" i="5"/>
  <c r="K37" i="5" s="1"/>
  <c r="B37" i="5"/>
  <c r="H37" i="5" s="1"/>
  <c r="A37" i="5"/>
  <c r="N36" i="5"/>
  <c r="I36" i="5"/>
  <c r="C36" i="5"/>
  <c r="K36" i="5" s="1"/>
  <c r="B36" i="5"/>
  <c r="H36" i="5" s="1"/>
  <c r="A36" i="5"/>
  <c r="N35" i="5"/>
  <c r="I35" i="5"/>
  <c r="C35" i="5"/>
  <c r="K35" i="5" s="1"/>
  <c r="B35" i="5"/>
  <c r="H35" i="5" s="1"/>
  <c r="A35" i="5"/>
  <c r="N34" i="5"/>
  <c r="I34" i="5"/>
  <c r="C34" i="5"/>
  <c r="K34" i="5" s="1"/>
  <c r="B34" i="5"/>
  <c r="H34" i="5" s="1"/>
  <c r="A34" i="5"/>
  <c r="N33" i="5"/>
  <c r="I33" i="5"/>
  <c r="C33" i="5"/>
  <c r="K33" i="5" s="1"/>
  <c r="B33" i="5"/>
  <c r="H33" i="5" s="1"/>
  <c r="A33" i="5"/>
  <c r="N32" i="5"/>
  <c r="I32" i="5"/>
  <c r="C32" i="5"/>
  <c r="K32" i="5" s="1"/>
  <c r="B32" i="5"/>
  <c r="H32" i="5" s="1"/>
  <c r="A32" i="5"/>
  <c r="N31" i="5"/>
  <c r="I31" i="5"/>
  <c r="C31" i="5"/>
  <c r="K31" i="5" s="1"/>
  <c r="B31" i="5"/>
  <c r="H31" i="5" s="1"/>
  <c r="A31" i="5"/>
  <c r="N30" i="5"/>
  <c r="I30" i="5"/>
  <c r="C30" i="5"/>
  <c r="K30" i="5" s="1"/>
  <c r="B30" i="5"/>
  <c r="H30" i="5" s="1"/>
  <c r="A30" i="5"/>
  <c r="N29" i="5"/>
  <c r="I29" i="5"/>
  <c r="C29" i="5"/>
  <c r="K29" i="5" s="1"/>
  <c r="B29" i="5"/>
  <c r="H29" i="5" s="1"/>
  <c r="A29" i="5"/>
  <c r="N28" i="5"/>
  <c r="I28" i="5"/>
  <c r="C28" i="5"/>
  <c r="K28" i="5" s="1"/>
  <c r="B28" i="5"/>
  <c r="H28" i="5" s="1"/>
  <c r="A28" i="5"/>
  <c r="N27" i="5"/>
  <c r="I27" i="5"/>
  <c r="C27" i="5"/>
  <c r="K27" i="5" s="1"/>
  <c r="B27" i="5"/>
  <c r="H27" i="5" s="1"/>
  <c r="A27" i="5"/>
  <c r="N26" i="5"/>
  <c r="I26" i="5"/>
  <c r="C26" i="5"/>
  <c r="K26" i="5" s="1"/>
  <c r="B26" i="5"/>
  <c r="H26" i="5" s="1"/>
  <c r="A26" i="5"/>
  <c r="N25" i="5"/>
  <c r="I25" i="5"/>
  <c r="C25" i="5"/>
  <c r="K25" i="5" s="1"/>
  <c r="B25" i="5"/>
  <c r="H25" i="5" s="1"/>
  <c r="A25" i="5"/>
  <c r="N24" i="5"/>
  <c r="I24" i="5"/>
  <c r="C24" i="5"/>
  <c r="K24" i="5" s="1"/>
  <c r="B24" i="5"/>
  <c r="H24" i="5" s="1"/>
  <c r="A24" i="5"/>
  <c r="N23" i="5"/>
  <c r="I23" i="5"/>
  <c r="C23" i="5"/>
  <c r="K23" i="5" s="1"/>
  <c r="B23" i="5"/>
  <c r="H23" i="5" s="1"/>
  <c r="A23" i="5"/>
  <c r="N22" i="5"/>
  <c r="I22" i="5"/>
  <c r="C22" i="5"/>
  <c r="K22" i="5" s="1"/>
  <c r="B22" i="5"/>
  <c r="H22" i="5" s="1"/>
  <c r="A22" i="5"/>
  <c r="N21" i="5"/>
  <c r="I21" i="5"/>
  <c r="C21" i="5"/>
  <c r="K21" i="5" s="1"/>
  <c r="B21" i="5"/>
  <c r="H21" i="5" s="1"/>
  <c r="A21" i="5"/>
  <c r="N20" i="5"/>
  <c r="I20" i="5"/>
  <c r="C20" i="5"/>
  <c r="K20" i="5" s="1"/>
  <c r="B20" i="5"/>
  <c r="H20" i="5" s="1"/>
  <c r="A20" i="5"/>
  <c r="N19" i="5"/>
  <c r="I19" i="5"/>
  <c r="C19" i="5"/>
  <c r="K19" i="5" s="1"/>
  <c r="B19" i="5"/>
  <c r="H19" i="5" s="1"/>
  <c r="A19" i="5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N74" i="3"/>
  <c r="L74" i="3"/>
  <c r="J73" i="3"/>
  <c r="H73" i="3"/>
  <c r="D73" i="3"/>
  <c r="C73" i="3"/>
  <c r="A73" i="3"/>
  <c r="J72" i="3"/>
  <c r="H72" i="3"/>
  <c r="D72" i="3"/>
  <c r="C72" i="3"/>
  <c r="A72" i="3"/>
  <c r="J71" i="3"/>
  <c r="H71" i="3"/>
  <c r="D71" i="3"/>
  <c r="C71" i="3"/>
  <c r="A71" i="3"/>
  <c r="J70" i="3"/>
  <c r="H70" i="3"/>
  <c r="D70" i="3"/>
  <c r="M70" i="3" s="1"/>
  <c r="C70" i="3"/>
  <c r="G70" i="3" s="1"/>
  <c r="A70" i="3"/>
  <c r="J69" i="3"/>
  <c r="H69" i="3"/>
  <c r="D69" i="3"/>
  <c r="M69" i="3" s="1"/>
  <c r="C69" i="3"/>
  <c r="A69" i="3"/>
  <c r="J68" i="3"/>
  <c r="H68" i="3"/>
  <c r="D68" i="3"/>
  <c r="C68" i="3"/>
  <c r="A68" i="3"/>
  <c r="J67" i="3"/>
  <c r="H67" i="3"/>
  <c r="D67" i="3"/>
  <c r="C67" i="3"/>
  <c r="G67" i="3" s="1"/>
  <c r="A67" i="3"/>
  <c r="J66" i="3"/>
  <c r="H66" i="3"/>
  <c r="D66" i="3"/>
  <c r="I66" i="3" s="1"/>
  <c r="C66" i="3"/>
  <c r="G66" i="3" s="1"/>
  <c r="A66" i="3"/>
  <c r="J65" i="3"/>
  <c r="H65" i="3"/>
  <c r="D65" i="3"/>
  <c r="M65" i="3" s="1"/>
  <c r="C65" i="3"/>
  <c r="A65" i="3"/>
  <c r="J64" i="3"/>
  <c r="H64" i="3"/>
  <c r="D64" i="3"/>
  <c r="C64" i="3"/>
  <c r="A64" i="3"/>
  <c r="J63" i="3"/>
  <c r="H63" i="3"/>
  <c r="D63" i="3"/>
  <c r="C63" i="3"/>
  <c r="K63" i="3" s="1"/>
  <c r="A63" i="3"/>
  <c r="J62" i="3"/>
  <c r="H62" i="3"/>
  <c r="D62" i="3"/>
  <c r="C62" i="3"/>
  <c r="A62" i="3"/>
  <c r="J61" i="3"/>
  <c r="H61" i="3"/>
  <c r="D61" i="3"/>
  <c r="M61" i="3" s="1"/>
  <c r="C61" i="3"/>
  <c r="A61" i="3"/>
  <c r="J60" i="3"/>
  <c r="H60" i="3"/>
  <c r="D60" i="3"/>
  <c r="C60" i="3"/>
  <c r="A60" i="3"/>
  <c r="J59" i="3"/>
  <c r="H59" i="3"/>
  <c r="D59" i="3"/>
  <c r="I59" i="3" s="1"/>
  <c r="C59" i="3"/>
  <c r="A59" i="3"/>
  <c r="J58" i="3"/>
  <c r="H58" i="3"/>
  <c r="D58" i="3"/>
  <c r="C58" i="3"/>
  <c r="G58" i="3" s="1"/>
  <c r="A58" i="3"/>
  <c r="J57" i="3"/>
  <c r="H57" i="3"/>
  <c r="D57" i="3"/>
  <c r="M57" i="3" s="1"/>
  <c r="C57" i="3"/>
  <c r="A57" i="3"/>
  <c r="J56" i="3"/>
  <c r="H56" i="3"/>
  <c r="D56" i="3"/>
  <c r="I56" i="3" s="1"/>
  <c r="C56" i="3"/>
  <c r="A56" i="3"/>
  <c r="J55" i="3"/>
  <c r="H55" i="3"/>
  <c r="D55" i="3"/>
  <c r="M55" i="3" s="1"/>
  <c r="C55" i="3"/>
  <c r="G55" i="3" s="1"/>
  <c r="A55" i="3"/>
  <c r="J54" i="3"/>
  <c r="H54" i="3"/>
  <c r="D54" i="3"/>
  <c r="C54" i="3"/>
  <c r="G54" i="3" s="1"/>
  <c r="A54" i="3"/>
  <c r="J53" i="3"/>
  <c r="H53" i="3"/>
  <c r="D53" i="3"/>
  <c r="M53" i="3" s="1"/>
  <c r="C53" i="3"/>
  <c r="A53" i="3"/>
  <c r="J52" i="3"/>
  <c r="H52" i="3"/>
  <c r="D52" i="3"/>
  <c r="C52" i="3"/>
  <c r="A52" i="3"/>
  <c r="J51" i="3"/>
  <c r="H51" i="3"/>
  <c r="D51" i="3"/>
  <c r="C51" i="3"/>
  <c r="A51" i="3"/>
  <c r="J50" i="3"/>
  <c r="H50" i="3"/>
  <c r="D50" i="3"/>
  <c r="C50" i="3"/>
  <c r="G50" i="3" s="1"/>
  <c r="A50" i="3"/>
  <c r="J49" i="3"/>
  <c r="H49" i="3"/>
  <c r="D49" i="3"/>
  <c r="C49" i="3"/>
  <c r="A49" i="3"/>
  <c r="J48" i="3"/>
  <c r="H48" i="3"/>
  <c r="D48" i="3"/>
  <c r="C48" i="3"/>
  <c r="A48" i="3"/>
  <c r="J47" i="3"/>
  <c r="H47" i="3"/>
  <c r="D47" i="3"/>
  <c r="C47" i="3"/>
  <c r="A47" i="3"/>
  <c r="J46" i="3"/>
  <c r="H46" i="3"/>
  <c r="D46" i="3"/>
  <c r="C46" i="3"/>
  <c r="G46" i="3" s="1"/>
  <c r="A46" i="3"/>
  <c r="J45" i="3"/>
  <c r="H45" i="3"/>
  <c r="D45" i="3"/>
  <c r="M45" i="3" s="1"/>
  <c r="C45" i="3"/>
  <c r="A45" i="3"/>
  <c r="J44" i="3"/>
  <c r="H44" i="3"/>
  <c r="D44" i="3"/>
  <c r="C44" i="3"/>
  <c r="A44" i="3"/>
  <c r="J43" i="3"/>
  <c r="H43" i="3"/>
  <c r="D43" i="3"/>
  <c r="M43" i="3" s="1"/>
  <c r="C43" i="3"/>
  <c r="G43" i="3" s="1"/>
  <c r="A43" i="3"/>
  <c r="J42" i="3"/>
  <c r="H42" i="3"/>
  <c r="D42" i="3"/>
  <c r="C42" i="3"/>
  <c r="G42" i="3" s="1"/>
  <c r="A42" i="3"/>
  <c r="J41" i="3"/>
  <c r="H41" i="3"/>
  <c r="D41" i="3"/>
  <c r="M41" i="3" s="1"/>
  <c r="C41" i="3"/>
  <c r="A41" i="3"/>
  <c r="J40" i="3"/>
  <c r="H40" i="3"/>
  <c r="D40" i="3"/>
  <c r="C40" i="3"/>
  <c r="A40" i="3"/>
  <c r="J39" i="3"/>
  <c r="H39" i="3"/>
  <c r="D39" i="3"/>
  <c r="M39" i="3" s="1"/>
  <c r="C39" i="3"/>
  <c r="G39" i="3" s="1"/>
  <c r="A39" i="3"/>
  <c r="J38" i="3"/>
  <c r="H38" i="3"/>
  <c r="D38" i="3"/>
  <c r="C38" i="3"/>
  <c r="A38" i="3"/>
  <c r="J37" i="3"/>
  <c r="H37" i="3"/>
  <c r="D37" i="3"/>
  <c r="M37" i="3" s="1"/>
  <c r="C37" i="3"/>
  <c r="A37" i="3"/>
  <c r="J36" i="3"/>
  <c r="H36" i="3"/>
  <c r="D36" i="3"/>
  <c r="C36" i="3"/>
  <c r="A36" i="3"/>
  <c r="J35" i="3"/>
  <c r="H35" i="3"/>
  <c r="D35" i="3"/>
  <c r="C35" i="3"/>
  <c r="G35" i="3" s="1"/>
  <c r="A35" i="3"/>
  <c r="J34" i="3"/>
  <c r="H34" i="3"/>
  <c r="D34" i="3"/>
  <c r="C34" i="3"/>
  <c r="G34" i="3" s="1"/>
  <c r="A34" i="3"/>
  <c r="J33" i="3"/>
  <c r="H33" i="3"/>
  <c r="D33" i="3"/>
  <c r="M33" i="3" s="1"/>
  <c r="C33" i="3"/>
  <c r="A33" i="3"/>
  <c r="J32" i="3"/>
  <c r="H32" i="3"/>
  <c r="D32" i="3"/>
  <c r="I32" i="3" s="1"/>
  <c r="C32" i="3"/>
  <c r="A32" i="3"/>
  <c r="J31" i="3"/>
  <c r="H31" i="3"/>
  <c r="D31" i="3"/>
  <c r="M31" i="3" s="1"/>
  <c r="C31" i="3"/>
  <c r="A31" i="3"/>
  <c r="J30" i="3"/>
  <c r="H30" i="3"/>
  <c r="D30" i="3"/>
  <c r="C30" i="3"/>
  <c r="G30" i="3" s="1"/>
  <c r="A30" i="3"/>
  <c r="J29" i="3"/>
  <c r="H29" i="3"/>
  <c r="D29" i="3"/>
  <c r="M29" i="3" s="1"/>
  <c r="C29" i="3"/>
  <c r="A29" i="3"/>
  <c r="J28" i="3"/>
  <c r="H28" i="3"/>
  <c r="D28" i="3"/>
  <c r="C28" i="3"/>
  <c r="A28" i="3"/>
  <c r="J27" i="3"/>
  <c r="H27" i="3"/>
  <c r="D27" i="3"/>
  <c r="C27" i="3"/>
  <c r="G27" i="3" s="1"/>
  <c r="A27" i="3"/>
  <c r="J26" i="3"/>
  <c r="H26" i="3"/>
  <c r="D26" i="3"/>
  <c r="C26" i="3"/>
  <c r="G26" i="3" s="1"/>
  <c r="A26" i="3"/>
  <c r="J25" i="3"/>
  <c r="H25" i="3"/>
  <c r="D25" i="3"/>
  <c r="C25" i="3"/>
  <c r="A25" i="3"/>
  <c r="J24" i="3"/>
  <c r="H24" i="3"/>
  <c r="D24" i="3"/>
  <c r="C24" i="3"/>
  <c r="A24" i="3"/>
  <c r="J23" i="3"/>
  <c r="H23" i="3"/>
  <c r="D23" i="3"/>
  <c r="I23" i="3" s="1"/>
  <c r="C23" i="3"/>
  <c r="G23" i="3" s="1"/>
  <c r="A23" i="3"/>
  <c r="J22" i="3"/>
  <c r="H22" i="3"/>
  <c r="D22" i="3"/>
  <c r="C22" i="3"/>
  <c r="G22" i="3" s="1"/>
  <c r="A22" i="3"/>
  <c r="J21" i="3"/>
  <c r="H21" i="3"/>
  <c r="D21" i="3"/>
  <c r="M21" i="3" s="1"/>
  <c r="C21" i="3"/>
  <c r="A21" i="3"/>
  <c r="J20" i="3"/>
  <c r="H20" i="3"/>
  <c r="D20" i="3"/>
  <c r="I20" i="3" s="1"/>
  <c r="C20" i="3"/>
  <c r="A20" i="3"/>
  <c r="J19" i="3"/>
  <c r="H19" i="3"/>
  <c r="D19" i="3"/>
  <c r="M19" i="3" s="1"/>
  <c r="C19" i="3"/>
  <c r="G19" i="3" s="1"/>
  <c r="A19" i="3"/>
  <c r="J18" i="3"/>
  <c r="H18" i="3"/>
  <c r="D18" i="3"/>
  <c r="C18" i="3"/>
  <c r="G18" i="3" s="1"/>
  <c r="A18" i="3"/>
  <c r="J17" i="3"/>
  <c r="H17" i="3"/>
  <c r="D17" i="3"/>
  <c r="M17" i="3" s="1"/>
  <c r="C17" i="3"/>
  <c r="A17" i="3"/>
  <c r="J16" i="3"/>
  <c r="H16" i="3"/>
  <c r="D16" i="3"/>
  <c r="C16" i="3"/>
  <c r="A16" i="3"/>
  <c r="J15" i="3"/>
  <c r="H15" i="3"/>
  <c r="D15" i="3"/>
  <c r="M15" i="3" s="1"/>
  <c r="C15" i="3"/>
  <c r="A15" i="3"/>
  <c r="J14" i="3"/>
  <c r="H14" i="3"/>
  <c r="D14" i="3"/>
  <c r="C14" i="3"/>
  <c r="A14" i="3"/>
  <c r="J13" i="3"/>
  <c r="H13" i="3"/>
  <c r="D13" i="3"/>
  <c r="M13" i="3" s="1"/>
  <c r="C13" i="3"/>
  <c r="A13" i="3"/>
  <c r="J12" i="3"/>
  <c r="H12" i="3"/>
  <c r="D12" i="3"/>
  <c r="C12" i="3"/>
  <c r="A12" i="3"/>
  <c r="J11" i="3"/>
  <c r="H11" i="3"/>
  <c r="D11" i="3"/>
  <c r="I11" i="3" s="1"/>
  <c r="C11" i="3"/>
  <c r="G11" i="3" s="1"/>
  <c r="A11" i="3"/>
  <c r="J10" i="3"/>
  <c r="H10" i="3"/>
  <c r="D10" i="3"/>
  <c r="C10" i="3"/>
  <c r="G10" i="3" s="1"/>
  <c r="A10" i="3"/>
  <c r="J9" i="3"/>
  <c r="H9" i="3"/>
  <c r="D9" i="3"/>
  <c r="M9" i="3" s="1"/>
  <c r="C9" i="3"/>
  <c r="A9" i="3"/>
  <c r="J8" i="3"/>
  <c r="H8" i="3"/>
  <c r="D8" i="3"/>
  <c r="A8" i="3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I33" i="2"/>
  <c r="A33" i="2"/>
  <c r="A32" i="2"/>
  <c r="A31" i="2"/>
  <c r="A30" i="2"/>
  <c r="I29" i="2"/>
  <c r="A29" i="2"/>
  <c r="A28" i="2"/>
  <c r="A27" i="2"/>
  <c r="A26" i="2"/>
  <c r="A25" i="2"/>
  <c r="A24" i="2"/>
  <c r="A23" i="2"/>
  <c r="A22" i="2"/>
  <c r="I21" i="2"/>
  <c r="A21" i="2"/>
  <c r="A20" i="2"/>
  <c r="A19" i="2"/>
  <c r="A18" i="2"/>
  <c r="A17" i="2"/>
  <c r="A16" i="2"/>
  <c r="A15" i="2"/>
  <c r="A14" i="2"/>
  <c r="A13" i="2"/>
  <c r="A12" i="2"/>
  <c r="A11" i="2"/>
  <c r="A10" i="2"/>
  <c r="I9" i="2"/>
  <c r="A9" i="2"/>
  <c r="A8" i="2"/>
  <c r="K29" i="12" l="1"/>
  <c r="M34" i="12"/>
  <c r="M11" i="12"/>
  <c r="K36" i="12"/>
  <c r="K12" i="12"/>
  <c r="K41" i="12"/>
  <c r="I46" i="12"/>
  <c r="G17" i="12"/>
  <c r="K42" i="12"/>
  <c r="G24" i="12"/>
  <c r="G50" i="10"/>
  <c r="K50" i="10" s="1"/>
  <c r="I10" i="12"/>
  <c r="M22" i="12"/>
  <c r="E85" i="9"/>
  <c r="G25" i="12"/>
  <c r="G22" i="12"/>
  <c r="K9" i="12"/>
  <c r="E92" i="9"/>
  <c r="Q17" i="10"/>
  <c r="Q57" i="10"/>
  <c r="F99" i="10"/>
  <c r="G114" i="10"/>
  <c r="O114" i="10" s="1"/>
  <c r="G32" i="12"/>
  <c r="I14" i="12"/>
  <c r="M26" i="12"/>
  <c r="G40" i="12"/>
  <c r="G45" i="12"/>
  <c r="M19" i="12"/>
  <c r="I31" i="3"/>
  <c r="F14" i="9"/>
  <c r="M14" i="9" s="1"/>
  <c r="O14" i="9" s="1"/>
  <c r="F22" i="9"/>
  <c r="M22" i="9" s="1"/>
  <c r="O22" i="9" s="1"/>
  <c r="F26" i="9"/>
  <c r="M26" i="9" s="1"/>
  <c r="O26" i="9" s="1"/>
  <c r="E72" i="9"/>
  <c r="F84" i="9"/>
  <c r="P84" i="9" s="1"/>
  <c r="R84" i="9" s="1"/>
  <c r="G15" i="10"/>
  <c r="K15" i="10" s="1"/>
  <c r="Q27" i="10"/>
  <c r="F39" i="10"/>
  <c r="G26" i="12"/>
  <c r="I39" i="12"/>
  <c r="F58" i="10"/>
  <c r="Q85" i="10"/>
  <c r="I15" i="12"/>
  <c r="G63" i="10"/>
  <c r="O63" i="10" s="1"/>
  <c r="G50" i="12"/>
  <c r="G10" i="12"/>
  <c r="K20" i="12"/>
  <c r="I27" i="12"/>
  <c r="G34" i="12"/>
  <c r="I51" i="12"/>
  <c r="K8" i="12"/>
  <c r="G38" i="12"/>
  <c r="F52" i="9"/>
  <c r="M52" i="9" s="1"/>
  <c r="O52" i="9" s="1"/>
  <c r="F30" i="10"/>
  <c r="K14" i="12"/>
  <c r="I38" i="12"/>
  <c r="I42" i="12"/>
  <c r="K37" i="12"/>
  <c r="G18" i="12"/>
  <c r="G33" i="12"/>
  <c r="I43" i="12"/>
  <c r="I30" i="12"/>
  <c r="G13" i="12"/>
  <c r="I23" i="12"/>
  <c r="I18" i="12"/>
  <c r="G21" i="12"/>
  <c r="I31" i="12"/>
  <c r="K44" i="12"/>
  <c r="G49" i="12"/>
  <c r="K11" i="12"/>
  <c r="G11" i="12"/>
  <c r="K23" i="12"/>
  <c r="G23" i="12"/>
  <c r="K35" i="12"/>
  <c r="G35" i="12"/>
  <c r="K47" i="12"/>
  <c r="G47" i="12"/>
  <c r="M13" i="12"/>
  <c r="I13" i="12"/>
  <c r="M25" i="12"/>
  <c r="I25" i="12"/>
  <c r="M37" i="12"/>
  <c r="I37" i="12"/>
  <c r="M49" i="12"/>
  <c r="I49" i="12"/>
  <c r="K15" i="12"/>
  <c r="G15" i="12"/>
  <c r="K27" i="12"/>
  <c r="G27" i="12"/>
  <c r="K39" i="12"/>
  <c r="G39" i="12"/>
  <c r="K51" i="12"/>
  <c r="G51" i="12"/>
  <c r="M17" i="12"/>
  <c r="I17" i="12"/>
  <c r="M29" i="12"/>
  <c r="I29" i="12"/>
  <c r="M41" i="12"/>
  <c r="I41" i="12"/>
  <c r="K19" i="12"/>
  <c r="G19" i="12"/>
  <c r="K31" i="12"/>
  <c r="G31" i="12"/>
  <c r="K43" i="12"/>
  <c r="G43" i="12"/>
  <c r="M9" i="12"/>
  <c r="I9" i="12"/>
  <c r="M21" i="12"/>
  <c r="I21" i="12"/>
  <c r="M33" i="12"/>
  <c r="I33" i="12"/>
  <c r="M45" i="12"/>
  <c r="I45" i="12"/>
  <c r="M8" i="12"/>
  <c r="M12" i="12"/>
  <c r="M16" i="12"/>
  <c r="M20" i="12"/>
  <c r="M24" i="12"/>
  <c r="M28" i="12"/>
  <c r="M32" i="12"/>
  <c r="M36" i="12"/>
  <c r="M40" i="12"/>
  <c r="M44" i="12"/>
  <c r="M48" i="12"/>
  <c r="I61" i="3"/>
  <c r="K70" i="3"/>
  <c r="J74" i="3"/>
  <c r="I29" i="3"/>
  <c r="H74" i="3"/>
  <c r="I15" i="3"/>
  <c r="I53" i="3"/>
  <c r="G49" i="2"/>
  <c r="I45" i="2"/>
  <c r="G29" i="2"/>
  <c r="G25" i="2"/>
  <c r="E117" i="9"/>
  <c r="G30" i="10"/>
  <c r="K30" i="10" s="1"/>
  <c r="E99" i="9"/>
  <c r="E103" i="9"/>
  <c r="E107" i="9"/>
  <c r="Q68" i="10"/>
  <c r="Q113" i="10"/>
  <c r="G33" i="3"/>
  <c r="F80" i="9"/>
  <c r="G80" i="9" s="1"/>
  <c r="I80" i="9" s="1"/>
  <c r="M11" i="3"/>
  <c r="G63" i="3"/>
  <c r="M34" i="3"/>
  <c r="I9" i="3"/>
  <c r="I55" i="3"/>
  <c r="I57" i="3"/>
  <c r="E77" i="9"/>
  <c r="E108" i="9"/>
  <c r="M47" i="3"/>
  <c r="I37" i="3"/>
  <c r="I39" i="3"/>
  <c r="I41" i="3"/>
  <c r="I33" i="3"/>
  <c r="I43" i="3"/>
  <c r="I47" i="3"/>
  <c r="F28" i="9"/>
  <c r="M28" i="9" s="1"/>
  <c r="O28" i="9" s="1"/>
  <c r="F44" i="9"/>
  <c r="M44" i="9" s="1"/>
  <c r="O44" i="9" s="1"/>
  <c r="F101" i="9"/>
  <c r="F105" i="9"/>
  <c r="G105" i="9" s="1"/>
  <c r="I105" i="9" s="1"/>
  <c r="F109" i="9"/>
  <c r="P109" i="9" s="1"/>
  <c r="R109" i="9" s="1"/>
  <c r="F113" i="9"/>
  <c r="F34" i="10"/>
  <c r="K8" i="3"/>
  <c r="G19" i="10"/>
  <c r="K19" i="10" s="1"/>
  <c r="G26" i="10"/>
  <c r="K26" i="10" s="1"/>
  <c r="Q89" i="10"/>
  <c r="Q66" i="10"/>
  <c r="G69" i="10"/>
  <c r="Q95" i="10"/>
  <c r="G34" i="10"/>
  <c r="K34" i="10" s="1"/>
  <c r="G57" i="10"/>
  <c r="O57" i="10" s="1"/>
  <c r="Q14" i="10"/>
  <c r="F23" i="10"/>
  <c r="F87" i="10"/>
  <c r="Q114" i="10"/>
  <c r="Q43" i="10"/>
  <c r="G7" i="10"/>
  <c r="K7" i="10" s="1"/>
  <c r="F14" i="10"/>
  <c r="G23" i="10"/>
  <c r="K23" i="10" s="1"/>
  <c r="F22" i="10"/>
  <c r="G14" i="10"/>
  <c r="K14" i="10" s="1"/>
  <c r="F47" i="10"/>
  <c r="G112" i="10"/>
  <c r="I112" i="10" s="1"/>
  <c r="F36" i="9"/>
  <c r="M36" i="9" s="1"/>
  <c r="O36" i="9" s="1"/>
  <c r="E86" i="9"/>
  <c r="E10" i="9"/>
  <c r="F53" i="9"/>
  <c r="M53" i="9" s="1"/>
  <c r="O53" i="9" s="1"/>
  <c r="E80" i="9"/>
  <c r="E84" i="9"/>
  <c r="E18" i="9"/>
  <c r="E46" i="9"/>
  <c r="F46" i="9"/>
  <c r="M46" i="9" s="1"/>
  <c r="O46" i="9" s="1"/>
  <c r="F108" i="9"/>
  <c r="P108" i="9" s="1"/>
  <c r="R108" i="9" s="1"/>
  <c r="E66" i="9"/>
  <c r="G21" i="2"/>
  <c r="G45" i="2"/>
  <c r="G17" i="2"/>
  <c r="G41" i="2"/>
  <c r="G13" i="2"/>
  <c r="G37" i="2"/>
  <c r="G9" i="2"/>
  <c r="G33" i="2"/>
  <c r="I32" i="2"/>
  <c r="F83" i="10"/>
  <c r="Q83" i="10"/>
  <c r="I19" i="2"/>
  <c r="G28" i="2"/>
  <c r="G30" i="2"/>
  <c r="I43" i="2"/>
  <c r="K12" i="3"/>
  <c r="G12" i="3"/>
  <c r="G14" i="3"/>
  <c r="K16" i="3"/>
  <c r="G16" i="3"/>
  <c r="M49" i="3"/>
  <c r="I49" i="3"/>
  <c r="I28" i="2"/>
  <c r="I30" i="2"/>
  <c r="I8" i="3"/>
  <c r="M8" i="3"/>
  <c r="M10" i="3"/>
  <c r="I12" i="3"/>
  <c r="M12" i="3"/>
  <c r="M14" i="3"/>
  <c r="I28" i="3"/>
  <c r="M28" i="3"/>
  <c r="I45" i="3"/>
  <c r="M63" i="3"/>
  <c r="G65" i="3"/>
  <c r="M32" i="3"/>
  <c r="I15" i="2"/>
  <c r="G50" i="2"/>
  <c r="K24" i="3"/>
  <c r="G24" i="3"/>
  <c r="K32" i="3"/>
  <c r="G32" i="3"/>
  <c r="G73" i="3"/>
  <c r="I26" i="2"/>
  <c r="K36" i="3"/>
  <c r="G36" i="3"/>
  <c r="M67" i="3"/>
  <c r="I11" i="2"/>
  <c r="G20" i="2"/>
  <c r="G22" i="2"/>
  <c r="I35" i="2"/>
  <c r="G44" i="2"/>
  <c r="G46" i="2"/>
  <c r="I36" i="3"/>
  <c r="M36" i="3"/>
  <c r="M38" i="3"/>
  <c r="I52" i="3"/>
  <c r="M52" i="3"/>
  <c r="I65" i="3"/>
  <c r="M71" i="3"/>
  <c r="I71" i="3"/>
  <c r="M56" i="3"/>
  <c r="I20" i="2"/>
  <c r="I22" i="2"/>
  <c r="I46" i="2"/>
  <c r="G13" i="3"/>
  <c r="K15" i="3"/>
  <c r="G15" i="3"/>
  <c r="K48" i="3"/>
  <c r="G48" i="3"/>
  <c r="M54" i="3"/>
  <c r="K56" i="3"/>
  <c r="G56" i="3"/>
  <c r="I67" i="3"/>
  <c r="I69" i="3"/>
  <c r="I16" i="2"/>
  <c r="M59" i="3"/>
  <c r="G21" i="3"/>
  <c r="G69" i="3"/>
  <c r="M22" i="3"/>
  <c r="G38" i="3"/>
  <c r="G16" i="2"/>
  <c r="G18" i="2"/>
  <c r="I31" i="2"/>
  <c r="G40" i="2"/>
  <c r="G42" i="2"/>
  <c r="G29" i="3"/>
  <c r="M46" i="3"/>
  <c r="I48" i="3"/>
  <c r="M48" i="3"/>
  <c r="K60" i="3"/>
  <c r="G62" i="3"/>
  <c r="Q67" i="10"/>
  <c r="F67" i="10"/>
  <c r="G67" i="10"/>
  <c r="O67" i="10" s="1"/>
  <c r="I24" i="2"/>
  <c r="I48" i="2"/>
  <c r="K40" i="3"/>
  <c r="G40" i="3"/>
  <c r="E76" i="9"/>
  <c r="F76" i="9"/>
  <c r="P76" i="9" s="1"/>
  <c r="R76" i="9" s="1"/>
  <c r="I18" i="2"/>
  <c r="I42" i="2"/>
  <c r="M58" i="3"/>
  <c r="I60" i="3"/>
  <c r="M60" i="3"/>
  <c r="M62" i="3"/>
  <c r="Q109" i="10"/>
  <c r="G109" i="10"/>
  <c r="I109" i="10" s="1"/>
  <c r="I44" i="2"/>
  <c r="I10" i="2"/>
  <c r="G49" i="3"/>
  <c r="M51" i="3"/>
  <c r="I51" i="3"/>
  <c r="G61" i="3"/>
  <c r="I39" i="2"/>
  <c r="Q46" i="10"/>
  <c r="G46" i="10"/>
  <c r="K46" i="10" s="1"/>
  <c r="M73" i="3"/>
  <c r="I73" i="3"/>
  <c r="I40" i="2"/>
  <c r="G12" i="2"/>
  <c r="G14" i="2"/>
  <c r="I27" i="2"/>
  <c r="G36" i="2"/>
  <c r="G38" i="2"/>
  <c r="I51" i="2"/>
  <c r="I13" i="3"/>
  <c r="I17" i="3"/>
  <c r="G25" i="3"/>
  <c r="M27" i="3"/>
  <c r="I27" i="3"/>
  <c r="G37" i="3"/>
  <c r="K72" i="3"/>
  <c r="G72" i="3"/>
  <c r="Q91" i="10"/>
  <c r="F91" i="10"/>
  <c r="Q106" i="10"/>
  <c r="G106" i="10"/>
  <c r="I106" i="10" s="1"/>
  <c r="I8" i="2"/>
  <c r="I34" i="2"/>
  <c r="K47" i="3"/>
  <c r="G47" i="3"/>
  <c r="M30" i="3"/>
  <c r="I14" i="2"/>
  <c r="I36" i="2"/>
  <c r="I38" i="2"/>
  <c r="I19" i="3"/>
  <c r="M23" i="3"/>
  <c r="M25" i="3"/>
  <c r="I25" i="3"/>
  <c r="G53" i="3"/>
  <c r="F112" i="9"/>
  <c r="P112" i="9" s="1"/>
  <c r="R112" i="9" s="1"/>
  <c r="E112" i="9"/>
  <c r="G60" i="3"/>
  <c r="I50" i="2"/>
  <c r="I24" i="3"/>
  <c r="M24" i="3"/>
  <c r="G71" i="3"/>
  <c r="K71" i="3"/>
  <c r="I12" i="2"/>
  <c r="G8" i="2"/>
  <c r="G10" i="2"/>
  <c r="I23" i="2"/>
  <c r="G32" i="2"/>
  <c r="G34" i="2"/>
  <c r="I47" i="2"/>
  <c r="I21" i="3"/>
  <c r="M35" i="3"/>
  <c r="I35" i="3"/>
  <c r="G45" i="3"/>
  <c r="K51" i="3"/>
  <c r="G51" i="3"/>
  <c r="K62" i="3"/>
  <c r="I70" i="3"/>
  <c r="G115" i="10"/>
  <c r="I115" i="10" s="1"/>
  <c r="F68" i="9"/>
  <c r="E68" i="9"/>
  <c r="E20" i="9"/>
  <c r="F20" i="9"/>
  <c r="M20" i="9" s="1"/>
  <c r="O20" i="9" s="1"/>
  <c r="I16" i="3"/>
  <c r="M16" i="3"/>
  <c r="K31" i="3"/>
  <c r="G31" i="3"/>
  <c r="I40" i="3"/>
  <c r="M40" i="3"/>
  <c r="K64" i="3"/>
  <c r="G64" i="3"/>
  <c r="E88" i="9"/>
  <c r="F88" i="9"/>
  <c r="P88" i="9" s="1"/>
  <c r="R88" i="9" s="1"/>
  <c r="M20" i="3"/>
  <c r="G9" i="3"/>
  <c r="M18" i="3"/>
  <c r="K20" i="3"/>
  <c r="G20" i="3"/>
  <c r="K44" i="3"/>
  <c r="G44" i="3"/>
  <c r="I64" i="3"/>
  <c r="M64" i="3"/>
  <c r="K68" i="3"/>
  <c r="G68" i="3"/>
  <c r="F96" i="9"/>
  <c r="P96" i="9" s="1"/>
  <c r="R96" i="9" s="1"/>
  <c r="E96" i="9"/>
  <c r="F42" i="10"/>
  <c r="G42" i="10"/>
  <c r="K42" i="10" s="1"/>
  <c r="G11" i="2"/>
  <c r="G19" i="2"/>
  <c r="G23" i="2"/>
  <c r="G27" i="2"/>
  <c r="G31" i="2"/>
  <c r="G35" i="2"/>
  <c r="G43" i="2"/>
  <c r="G47" i="2"/>
  <c r="I44" i="3"/>
  <c r="M44" i="3"/>
  <c r="K59" i="3"/>
  <c r="G59" i="3"/>
  <c r="M66" i="3"/>
  <c r="I68" i="3"/>
  <c r="M68" i="3"/>
  <c r="F29" i="9"/>
  <c r="M29" i="9" s="1"/>
  <c r="O29" i="9" s="1"/>
  <c r="F33" i="9"/>
  <c r="M33" i="9" s="1"/>
  <c r="O33" i="9" s="1"/>
  <c r="F37" i="9"/>
  <c r="M37" i="9" s="1"/>
  <c r="O37" i="9" s="1"/>
  <c r="F70" i="9"/>
  <c r="P70" i="9" s="1"/>
  <c r="R70" i="9" s="1"/>
  <c r="E70" i="9"/>
  <c r="M26" i="3"/>
  <c r="G57" i="3"/>
  <c r="G17" i="3"/>
  <c r="K28" i="3"/>
  <c r="G28" i="3"/>
  <c r="G41" i="3"/>
  <c r="M50" i="3"/>
  <c r="K52" i="3"/>
  <c r="G52" i="3"/>
  <c r="I72" i="3"/>
  <c r="M72" i="3"/>
  <c r="G79" i="10"/>
  <c r="O79" i="10" s="1"/>
  <c r="Q79" i="10"/>
  <c r="F79" i="10"/>
  <c r="M42" i="3"/>
  <c r="F43" i="9"/>
  <c r="M43" i="9" s="1"/>
  <c r="O43" i="9" s="1"/>
  <c r="F72" i="9"/>
  <c r="P72" i="9" s="1"/>
  <c r="R72" i="9" s="1"/>
  <c r="F97" i="9"/>
  <c r="F10" i="10"/>
  <c r="G35" i="10"/>
  <c r="K35" i="10" s="1"/>
  <c r="F25" i="9"/>
  <c r="M25" i="9" s="1"/>
  <c r="O25" i="9" s="1"/>
  <c r="Q13" i="10"/>
  <c r="F15" i="10"/>
  <c r="G38" i="10"/>
  <c r="K38" i="10" s="1"/>
  <c r="F38" i="10"/>
  <c r="F85" i="9"/>
  <c r="P85" i="9" s="1"/>
  <c r="R85" i="9" s="1"/>
  <c r="F92" i="9"/>
  <c r="P92" i="9" s="1"/>
  <c r="R92" i="9" s="1"/>
  <c r="E95" i="9"/>
  <c r="Q11" i="10"/>
  <c r="F50" i="10"/>
  <c r="E30" i="9"/>
  <c r="E34" i="9"/>
  <c r="E38" i="9"/>
  <c r="F78" i="9"/>
  <c r="P78" i="9" s="1"/>
  <c r="R78" i="9" s="1"/>
  <c r="Q93" i="10"/>
  <c r="F38" i="9"/>
  <c r="M38" i="9" s="1"/>
  <c r="O38" i="9" s="1"/>
  <c r="E64" i="9"/>
  <c r="E78" i="9"/>
  <c r="E111" i="9"/>
  <c r="Q59" i="10"/>
  <c r="F70" i="10"/>
  <c r="F73" i="10"/>
  <c r="Q99" i="10"/>
  <c r="E12" i="9"/>
  <c r="F16" i="9"/>
  <c r="M16" i="9" s="1"/>
  <c r="O16" i="9" s="1"/>
  <c r="F27" i="9"/>
  <c r="M27" i="9" s="1"/>
  <c r="O27" i="9" s="1"/>
  <c r="F86" i="9"/>
  <c r="G86" i="9" s="1"/>
  <c r="I86" i="9" s="1"/>
  <c r="F93" i="9"/>
  <c r="E115" i="9"/>
  <c r="E119" i="9"/>
  <c r="G65" i="10"/>
  <c r="O65" i="10" s="1"/>
  <c r="F31" i="10"/>
  <c r="G54" i="10"/>
  <c r="I54" i="10" s="1"/>
  <c r="F63" i="10"/>
  <c r="G71" i="10"/>
  <c r="O71" i="10" s="1"/>
  <c r="G105" i="10"/>
  <c r="O105" i="10" s="1"/>
  <c r="F45" i="9"/>
  <c r="M45" i="9" s="1"/>
  <c r="O45" i="9" s="1"/>
  <c r="G18" i="10"/>
  <c r="K18" i="10" s="1"/>
  <c r="Q34" i="10"/>
  <c r="F77" i="9"/>
  <c r="P77" i="9" s="1"/>
  <c r="R77" i="9" s="1"/>
  <c r="Q30" i="10"/>
  <c r="F106" i="10"/>
  <c r="E54" i="9"/>
  <c r="F54" i="9"/>
  <c r="P54" i="9" s="1"/>
  <c r="R54" i="9" s="1"/>
  <c r="F18" i="10"/>
  <c r="Q39" i="10"/>
  <c r="F43" i="10"/>
  <c r="G43" i="10"/>
  <c r="K43" i="10" s="1"/>
  <c r="Q56" i="10"/>
  <c r="G56" i="10"/>
  <c r="O56" i="10" s="1"/>
  <c r="F59" i="10"/>
  <c r="G77" i="10"/>
  <c r="I77" i="10" s="1"/>
  <c r="Q77" i="10"/>
  <c r="Q18" i="10"/>
  <c r="G81" i="10"/>
  <c r="O81" i="10" s="1"/>
  <c r="Q81" i="10"/>
  <c r="G101" i="10"/>
  <c r="O101" i="10" s="1"/>
  <c r="F101" i="10"/>
  <c r="Q31" i="10"/>
  <c r="Q10" i="10"/>
  <c r="Q47" i="10"/>
  <c r="G10" i="10"/>
  <c r="K10" i="10" s="1"/>
  <c r="Q15" i="10"/>
  <c r="Q23" i="10"/>
  <c r="F27" i="10"/>
  <c r="G27" i="10"/>
  <c r="K27" i="10" s="1"/>
  <c r="Q38" i="10"/>
  <c r="Q42" i="10"/>
  <c r="G47" i="10"/>
  <c r="K47" i="10" s="1"/>
  <c r="Q50" i="10"/>
  <c r="Q52" i="10"/>
  <c r="G52" i="10"/>
  <c r="O52" i="10" s="1"/>
  <c r="F65" i="10"/>
  <c r="F81" i="10"/>
  <c r="Q87" i="10"/>
  <c r="F95" i="10"/>
  <c r="G97" i="10"/>
  <c r="O97" i="10" s="1"/>
  <c r="F97" i="10"/>
  <c r="Q97" i="10"/>
  <c r="Q101" i="10"/>
  <c r="F104" i="10"/>
  <c r="G104" i="10"/>
  <c r="O104" i="10" s="1"/>
  <c r="Q116" i="10"/>
  <c r="G116" i="10"/>
  <c r="O116" i="10" s="1"/>
  <c r="F7" i="10"/>
  <c r="Q7" i="10"/>
  <c r="Q9" i="10"/>
  <c r="F11" i="10"/>
  <c r="G11" i="10"/>
  <c r="K11" i="10" s="1"/>
  <c r="G22" i="10"/>
  <c r="K22" i="10" s="1"/>
  <c r="Q22" i="10"/>
  <c r="F26" i="10"/>
  <c r="Q26" i="10"/>
  <c r="G31" i="10"/>
  <c r="K31" i="10" s="1"/>
  <c r="G39" i="10"/>
  <c r="K39" i="10" s="1"/>
  <c r="F46" i="10"/>
  <c r="F57" i="10"/>
  <c r="G59" i="10"/>
  <c r="O59" i="10" s="1"/>
  <c r="G64" i="10"/>
  <c r="F64" i="10"/>
  <c r="F66" i="10"/>
  <c r="F69" i="10"/>
  <c r="G70" i="10"/>
  <c r="G74" i="10"/>
  <c r="F74" i="10"/>
  <c r="F77" i="10"/>
  <c r="G85" i="10"/>
  <c r="O85" i="10" s="1"/>
  <c r="F85" i="10"/>
  <c r="G93" i="10"/>
  <c r="I93" i="10" s="1"/>
  <c r="F93" i="10"/>
  <c r="G111" i="10"/>
  <c r="I111" i="10" s="1"/>
  <c r="N117" i="10"/>
  <c r="F17" i="10"/>
  <c r="F19" i="10"/>
  <c r="Q19" i="10"/>
  <c r="Q21" i="10"/>
  <c r="F35" i="10"/>
  <c r="Q35" i="10"/>
  <c r="Q54" i="10"/>
  <c r="G62" i="10"/>
  <c r="Q65" i="10"/>
  <c r="G73" i="10"/>
  <c r="G75" i="10"/>
  <c r="G89" i="10"/>
  <c r="O89" i="10" s="1"/>
  <c r="F89" i="10"/>
  <c r="G83" i="10"/>
  <c r="O83" i="10" s="1"/>
  <c r="G87" i="10"/>
  <c r="O87" i="10" s="1"/>
  <c r="G91" i="10"/>
  <c r="O91" i="10" s="1"/>
  <c r="G95" i="10"/>
  <c r="O95" i="10" s="1"/>
  <c r="G99" i="10"/>
  <c r="O99" i="10" s="1"/>
  <c r="Q112" i="10"/>
  <c r="G107" i="10"/>
  <c r="O107" i="10" s="1"/>
  <c r="Q111" i="10"/>
  <c r="G113" i="10"/>
  <c r="E42" i="9"/>
  <c r="F42" i="9"/>
  <c r="M42" i="9" s="1"/>
  <c r="O42" i="9" s="1"/>
  <c r="F12" i="9"/>
  <c r="M12" i="9" s="1"/>
  <c r="O12" i="9" s="1"/>
  <c r="F18" i="9"/>
  <c r="M18" i="9" s="1"/>
  <c r="O18" i="9" s="1"/>
  <c r="F58" i="9"/>
  <c r="G58" i="9" s="1"/>
  <c r="I58" i="9" s="1"/>
  <c r="E58" i="9"/>
  <c r="F62" i="9"/>
  <c r="P62" i="9" s="1"/>
  <c r="R62" i="9" s="1"/>
  <c r="E62" i="9"/>
  <c r="F100" i="9"/>
  <c r="P100" i="9" s="1"/>
  <c r="R100" i="9" s="1"/>
  <c r="E100" i="9"/>
  <c r="F104" i="9"/>
  <c r="P104" i="9" s="1"/>
  <c r="R104" i="9" s="1"/>
  <c r="E104" i="9"/>
  <c r="E24" i="9"/>
  <c r="F24" i="9"/>
  <c r="M24" i="9" s="1"/>
  <c r="O24" i="9" s="1"/>
  <c r="E16" i="9"/>
  <c r="E26" i="9"/>
  <c r="F30" i="9"/>
  <c r="M30" i="9" s="1"/>
  <c r="O30" i="9" s="1"/>
  <c r="F35" i="9"/>
  <c r="M35" i="9" s="1"/>
  <c r="O35" i="9" s="1"/>
  <c r="E40" i="9"/>
  <c r="F40" i="9"/>
  <c r="M40" i="9" s="1"/>
  <c r="O40" i="9" s="1"/>
  <c r="F41" i="9"/>
  <c r="M41" i="9" s="1"/>
  <c r="O41" i="9" s="1"/>
  <c r="E50" i="9"/>
  <c r="F50" i="9"/>
  <c r="M50" i="9" s="1"/>
  <c r="O50" i="9" s="1"/>
  <c r="F51" i="9"/>
  <c r="M51" i="9" s="1"/>
  <c r="O51" i="9" s="1"/>
  <c r="F56" i="9"/>
  <c r="E56" i="9"/>
  <c r="E48" i="9"/>
  <c r="F48" i="9"/>
  <c r="M48" i="9" s="1"/>
  <c r="O48" i="9" s="1"/>
  <c r="P101" i="9"/>
  <c r="R101" i="9" s="1"/>
  <c r="G101" i="9"/>
  <c r="I101" i="9" s="1"/>
  <c r="E32" i="9"/>
  <c r="F32" i="9"/>
  <c r="M32" i="9" s="1"/>
  <c r="O32" i="9" s="1"/>
  <c r="F34" i="9"/>
  <c r="M34" i="9" s="1"/>
  <c r="O34" i="9" s="1"/>
  <c r="F60" i="9"/>
  <c r="E60" i="9"/>
  <c r="F49" i="9"/>
  <c r="M49" i="9" s="1"/>
  <c r="O49" i="9" s="1"/>
  <c r="F10" i="9"/>
  <c r="M10" i="9" s="1"/>
  <c r="O10" i="9" s="1"/>
  <c r="E14" i="9"/>
  <c r="E22" i="9"/>
  <c r="F23" i="9"/>
  <c r="M23" i="9" s="1"/>
  <c r="O23" i="9" s="1"/>
  <c r="E28" i="9"/>
  <c r="F31" i="9"/>
  <c r="M31" i="9" s="1"/>
  <c r="O31" i="9" s="1"/>
  <c r="E36" i="9"/>
  <c r="F39" i="9"/>
  <c r="M39" i="9" s="1"/>
  <c r="O39" i="9" s="1"/>
  <c r="E44" i="9"/>
  <c r="F47" i="9"/>
  <c r="M47" i="9" s="1"/>
  <c r="O47" i="9" s="1"/>
  <c r="E52" i="9"/>
  <c r="F64" i="9"/>
  <c r="F66" i="9"/>
  <c r="G66" i="9" s="1"/>
  <c r="I66" i="9" s="1"/>
  <c r="E91" i="9"/>
  <c r="E71" i="9"/>
  <c r="E87" i="9"/>
  <c r="E79" i="9"/>
  <c r="F91" i="9"/>
  <c r="F95" i="9"/>
  <c r="F99" i="9"/>
  <c r="F103" i="9"/>
  <c r="F107" i="9"/>
  <c r="F111" i="9"/>
  <c r="F115" i="9"/>
  <c r="F117" i="9"/>
  <c r="F119" i="9"/>
  <c r="K11" i="3"/>
  <c r="K19" i="3"/>
  <c r="K23" i="3"/>
  <c r="K35" i="3"/>
  <c r="K39" i="3"/>
  <c r="K43" i="3"/>
  <c r="K55" i="3"/>
  <c r="I10" i="3"/>
  <c r="K10" i="3"/>
  <c r="I14" i="3"/>
  <c r="K14" i="3"/>
  <c r="I18" i="3"/>
  <c r="K18" i="3"/>
  <c r="I22" i="3"/>
  <c r="K22" i="3"/>
  <c r="I26" i="3"/>
  <c r="K26" i="3"/>
  <c r="I30" i="3"/>
  <c r="K30" i="3"/>
  <c r="I34" i="3"/>
  <c r="K34" i="3"/>
  <c r="I38" i="3"/>
  <c r="K38" i="3"/>
  <c r="I42" i="3"/>
  <c r="K42" i="3"/>
  <c r="I46" i="3"/>
  <c r="K46" i="3"/>
  <c r="I50" i="3"/>
  <c r="K50" i="3"/>
  <c r="I54" i="3"/>
  <c r="K54" i="3"/>
  <c r="I58" i="3"/>
  <c r="K58" i="3"/>
  <c r="I62" i="3"/>
  <c r="E15" i="9"/>
  <c r="F15" i="9"/>
  <c r="M15" i="9" s="1"/>
  <c r="O15" i="9" s="1"/>
  <c r="F81" i="9"/>
  <c r="E81" i="9"/>
  <c r="K27" i="3"/>
  <c r="E17" i="9"/>
  <c r="F17" i="9"/>
  <c r="M17" i="9" s="1"/>
  <c r="O17" i="9" s="1"/>
  <c r="K9" i="3"/>
  <c r="K13" i="3"/>
  <c r="K17" i="3"/>
  <c r="K21" i="3"/>
  <c r="K25" i="3"/>
  <c r="K29" i="3"/>
  <c r="K33" i="3"/>
  <c r="K37" i="3"/>
  <c r="K41" i="3"/>
  <c r="K45" i="3"/>
  <c r="K49" i="3"/>
  <c r="K53" i="3"/>
  <c r="K57" i="3"/>
  <c r="K61" i="3"/>
  <c r="E13" i="9"/>
  <c r="F13" i="9"/>
  <c r="M13" i="9" s="1"/>
  <c r="O13" i="9" s="1"/>
  <c r="E21" i="9"/>
  <c r="F21" i="9"/>
  <c r="M21" i="9" s="1"/>
  <c r="O21" i="9" s="1"/>
  <c r="I63" i="3"/>
  <c r="K66" i="3"/>
  <c r="K67" i="3"/>
  <c r="E11" i="9"/>
  <c r="F11" i="9"/>
  <c r="M11" i="9" s="1"/>
  <c r="O11" i="9" s="1"/>
  <c r="E19" i="9"/>
  <c r="F19" i="9"/>
  <c r="M19" i="9" s="1"/>
  <c r="O19" i="9" s="1"/>
  <c r="K65" i="3"/>
  <c r="K69" i="3"/>
  <c r="K73" i="3"/>
  <c r="G70" i="9"/>
  <c r="I70" i="9" s="1"/>
  <c r="F82" i="9"/>
  <c r="E82" i="9"/>
  <c r="E23" i="9"/>
  <c r="E27" i="9"/>
  <c r="E31" i="9"/>
  <c r="E35" i="9"/>
  <c r="E39" i="9"/>
  <c r="E43" i="9"/>
  <c r="E47" i="9"/>
  <c r="E51" i="9"/>
  <c r="F55" i="9"/>
  <c r="E55" i="9"/>
  <c r="F59" i="9"/>
  <c r="E59" i="9"/>
  <c r="F63" i="9"/>
  <c r="E63" i="9"/>
  <c r="F67" i="9"/>
  <c r="E67" i="9"/>
  <c r="F89" i="9"/>
  <c r="E89" i="9"/>
  <c r="F90" i="9"/>
  <c r="E90" i="9"/>
  <c r="F98" i="9"/>
  <c r="E98" i="9"/>
  <c r="F106" i="9"/>
  <c r="E106" i="9"/>
  <c r="F116" i="9"/>
  <c r="E116" i="9"/>
  <c r="E25" i="9"/>
  <c r="E29" i="9"/>
  <c r="E33" i="9"/>
  <c r="E37" i="9"/>
  <c r="E41" i="9"/>
  <c r="E45" i="9"/>
  <c r="E49" i="9"/>
  <c r="E53" i="9"/>
  <c r="F57" i="9"/>
  <c r="E57" i="9"/>
  <c r="F61" i="9"/>
  <c r="E61" i="9"/>
  <c r="F65" i="9"/>
  <c r="E65" i="9"/>
  <c r="F69" i="9"/>
  <c r="E69" i="9"/>
  <c r="F73" i="9"/>
  <c r="E73" i="9"/>
  <c r="F74" i="9"/>
  <c r="E74" i="9"/>
  <c r="F94" i="9"/>
  <c r="E94" i="9"/>
  <c r="F102" i="9"/>
  <c r="E102" i="9"/>
  <c r="F110" i="9"/>
  <c r="E110" i="9"/>
  <c r="F75" i="9"/>
  <c r="F83" i="9"/>
  <c r="G72" i="10"/>
  <c r="F72" i="10"/>
  <c r="Q72" i="10"/>
  <c r="F114" i="9"/>
  <c r="E114" i="9"/>
  <c r="F118" i="9"/>
  <c r="E118" i="9"/>
  <c r="F71" i="9"/>
  <c r="E75" i="9"/>
  <c r="F79" i="9"/>
  <c r="E83" i="9"/>
  <c r="F87" i="9"/>
  <c r="E93" i="9"/>
  <c r="E97" i="9"/>
  <c r="E101" i="9"/>
  <c r="E105" i="9"/>
  <c r="E109" i="9"/>
  <c r="E113" i="9"/>
  <c r="J117" i="10"/>
  <c r="L117" i="10"/>
  <c r="G92" i="10"/>
  <c r="Q92" i="10"/>
  <c r="F92" i="10"/>
  <c r="G55" i="10"/>
  <c r="Q55" i="10"/>
  <c r="F55" i="10"/>
  <c r="G60" i="10"/>
  <c r="F60" i="10"/>
  <c r="Q60" i="10"/>
  <c r="G100" i="10"/>
  <c r="Q100" i="10"/>
  <c r="F100" i="10"/>
  <c r="G53" i="10"/>
  <c r="Q53" i="10"/>
  <c r="F53" i="10"/>
  <c r="G61" i="10"/>
  <c r="F61" i="10"/>
  <c r="Q61" i="10"/>
  <c r="G68" i="10"/>
  <c r="F68" i="10"/>
  <c r="G76" i="10"/>
  <c r="Q76" i="10"/>
  <c r="F76" i="10"/>
  <c r="Q8" i="10"/>
  <c r="G8" i="10"/>
  <c r="F8" i="10"/>
  <c r="G9" i="10"/>
  <c r="F9" i="10"/>
  <c r="Q12" i="10"/>
  <c r="G12" i="10"/>
  <c r="F12" i="10"/>
  <c r="G13" i="10"/>
  <c r="F13" i="10"/>
  <c r="Q16" i="10"/>
  <c r="G16" i="10"/>
  <c r="F16" i="10"/>
  <c r="Q20" i="10"/>
  <c r="G20" i="10"/>
  <c r="F20" i="10"/>
  <c r="G21" i="10"/>
  <c r="F21" i="10"/>
  <c r="Q24" i="10"/>
  <c r="G24" i="10"/>
  <c r="F24" i="10"/>
  <c r="Q25" i="10"/>
  <c r="G25" i="10"/>
  <c r="F25" i="10"/>
  <c r="Q28" i="10"/>
  <c r="G28" i="10"/>
  <c r="F28" i="10"/>
  <c r="Q29" i="10"/>
  <c r="G29" i="10"/>
  <c r="F29" i="10"/>
  <c r="Q32" i="10"/>
  <c r="G32" i="10"/>
  <c r="F32" i="10"/>
  <c r="Q33" i="10"/>
  <c r="G33" i="10"/>
  <c r="F33" i="10"/>
  <c r="Q36" i="10"/>
  <c r="G36" i="10"/>
  <c r="F36" i="10"/>
  <c r="Q37" i="10"/>
  <c r="G37" i="10"/>
  <c r="F37" i="10"/>
  <c r="Q40" i="10"/>
  <c r="G40" i="10"/>
  <c r="F40" i="10"/>
  <c r="Q41" i="10"/>
  <c r="G41" i="10"/>
  <c r="F41" i="10"/>
  <c r="Q44" i="10"/>
  <c r="G44" i="10"/>
  <c r="F44" i="10"/>
  <c r="Q45" i="10"/>
  <c r="G45" i="10"/>
  <c r="F45" i="10"/>
  <c r="Q48" i="10"/>
  <c r="G48" i="10"/>
  <c r="F48" i="10"/>
  <c r="Q49" i="10"/>
  <c r="G49" i="10"/>
  <c r="F49" i="10"/>
  <c r="G51" i="10"/>
  <c r="Q51" i="10"/>
  <c r="F51" i="10"/>
  <c r="Q58" i="10"/>
  <c r="G84" i="10"/>
  <c r="Q84" i="10"/>
  <c r="F84" i="10"/>
  <c r="Q71" i="10"/>
  <c r="Q75" i="10"/>
  <c r="G82" i="10"/>
  <c r="Q82" i="10"/>
  <c r="F82" i="10"/>
  <c r="G90" i="10"/>
  <c r="Q90" i="10"/>
  <c r="F90" i="10"/>
  <c r="G98" i="10"/>
  <c r="Q98" i="10"/>
  <c r="F98" i="10"/>
  <c r="Q108" i="10"/>
  <c r="F108" i="10"/>
  <c r="G108" i="10"/>
  <c r="G17" i="10"/>
  <c r="Q62" i="10"/>
  <c r="Q63" i="10"/>
  <c r="Q70" i="10"/>
  <c r="Q74" i="10"/>
  <c r="G80" i="10"/>
  <c r="Q80" i="10"/>
  <c r="F80" i="10"/>
  <c r="G88" i="10"/>
  <c r="Q88" i="10"/>
  <c r="F88" i="10"/>
  <c r="G96" i="10"/>
  <c r="Q96" i="10"/>
  <c r="F96" i="10"/>
  <c r="F52" i="10"/>
  <c r="F54" i="10"/>
  <c r="F56" i="10"/>
  <c r="G58" i="10"/>
  <c r="F62" i="10"/>
  <c r="Q64" i="10"/>
  <c r="G66" i="10"/>
  <c r="Q69" i="10"/>
  <c r="F71" i="10"/>
  <c r="Q73" i="10"/>
  <c r="F75" i="10"/>
  <c r="G78" i="10"/>
  <c r="Q78" i="10"/>
  <c r="F78" i="10"/>
  <c r="G86" i="10"/>
  <c r="Q86" i="10"/>
  <c r="F86" i="10"/>
  <c r="G94" i="10"/>
  <c r="Q94" i="10"/>
  <c r="F94" i="10"/>
  <c r="G102" i="10"/>
  <c r="F102" i="10"/>
  <c r="Q102" i="10"/>
  <c r="I104" i="10"/>
  <c r="Q103" i="10"/>
  <c r="F103" i="10"/>
  <c r="Q104" i="10"/>
  <c r="Q105" i="10"/>
  <c r="F105" i="10"/>
  <c r="Q110" i="10"/>
  <c r="F110" i="10"/>
  <c r="G103" i="10"/>
  <c r="Q107" i="10"/>
  <c r="F107" i="10"/>
  <c r="G110" i="10"/>
  <c r="Q115" i="10"/>
  <c r="F109" i="10"/>
  <c r="F111" i="10"/>
  <c r="F113" i="10"/>
  <c r="F115" i="10"/>
  <c r="F112" i="10"/>
  <c r="F114" i="10"/>
  <c r="F116" i="10"/>
  <c r="I83" i="10" l="1"/>
  <c r="I63" i="10"/>
  <c r="I95" i="10"/>
  <c r="I114" i="10"/>
  <c r="P105" i="9"/>
  <c r="R105" i="9" s="1"/>
  <c r="G100" i="9"/>
  <c r="I100" i="9" s="1"/>
  <c r="P58" i="9"/>
  <c r="R58" i="9" s="1"/>
  <c r="P66" i="9"/>
  <c r="R66" i="9" s="1"/>
  <c r="O111" i="10"/>
  <c r="I79" i="10"/>
  <c r="I59" i="10"/>
  <c r="O54" i="10"/>
  <c r="P80" i="9"/>
  <c r="R80" i="9" s="1"/>
  <c r="G76" i="9"/>
  <c r="I76" i="9" s="1"/>
  <c r="O115" i="10"/>
  <c r="G84" i="9"/>
  <c r="I84" i="9" s="1"/>
  <c r="G88" i="9"/>
  <c r="I88" i="9" s="1"/>
  <c r="G62" i="9"/>
  <c r="I62" i="9" s="1"/>
  <c r="O112" i="10"/>
  <c r="I99" i="10"/>
  <c r="I65" i="10"/>
  <c r="I105" i="10"/>
  <c r="P86" i="9"/>
  <c r="R86" i="9" s="1"/>
  <c r="G54" i="9"/>
  <c r="I54" i="9" s="1"/>
  <c r="O93" i="10"/>
  <c r="G108" i="9"/>
  <c r="I108" i="9" s="1"/>
  <c r="G85" i="9"/>
  <c r="I85" i="9" s="1"/>
  <c r="O109" i="10"/>
  <c r="I52" i="10"/>
  <c r="G77" i="9"/>
  <c r="I77" i="9" s="1"/>
  <c r="G109" i="9"/>
  <c r="I109" i="9" s="1"/>
  <c r="G113" i="9"/>
  <c r="I113" i="9" s="1"/>
  <c r="P113" i="9"/>
  <c r="R113" i="9" s="1"/>
  <c r="O69" i="10"/>
  <c r="I69" i="10"/>
  <c r="I85" i="10"/>
  <c r="I81" i="10"/>
  <c r="I91" i="10"/>
  <c r="I56" i="10"/>
  <c r="I101" i="10"/>
  <c r="I57" i="10"/>
  <c r="O77" i="10"/>
  <c r="G72" i="9"/>
  <c r="I72" i="9" s="1"/>
  <c r="G112" i="9"/>
  <c r="I112" i="9" s="1"/>
  <c r="G92" i="9"/>
  <c r="I92" i="9" s="1"/>
  <c r="O120" i="9"/>
  <c r="G123" i="9" s="1"/>
  <c r="I97" i="10"/>
  <c r="I71" i="10"/>
  <c r="P97" i="9"/>
  <c r="R97" i="9" s="1"/>
  <c r="G97" i="9"/>
  <c r="I97" i="9" s="1"/>
  <c r="G78" i="9"/>
  <c r="I78" i="9" s="1"/>
  <c r="O106" i="10"/>
  <c r="G68" i="9"/>
  <c r="I68" i="9" s="1"/>
  <c r="P68" i="9"/>
  <c r="R68" i="9" s="1"/>
  <c r="P93" i="9"/>
  <c r="R93" i="9" s="1"/>
  <c r="G93" i="9"/>
  <c r="I93" i="9" s="1"/>
  <c r="I89" i="10"/>
  <c r="G104" i="9"/>
  <c r="I104" i="9" s="1"/>
  <c r="I67" i="10"/>
  <c r="I107" i="10"/>
  <c r="G96" i="9"/>
  <c r="I96" i="9" s="1"/>
  <c r="I116" i="10"/>
  <c r="I113" i="10"/>
  <c r="O113" i="10"/>
  <c r="O73" i="10"/>
  <c r="I73" i="10"/>
  <c r="O70" i="10"/>
  <c r="I70" i="10"/>
  <c r="O64" i="10"/>
  <c r="I64" i="10"/>
  <c r="O74" i="10"/>
  <c r="I74" i="10"/>
  <c r="I87" i="10"/>
  <c r="O75" i="10"/>
  <c r="I75" i="10"/>
  <c r="O62" i="10"/>
  <c r="I62" i="10"/>
  <c r="G115" i="9"/>
  <c r="I115" i="9" s="1"/>
  <c r="P115" i="9"/>
  <c r="R115" i="9" s="1"/>
  <c r="G64" i="9"/>
  <c r="I64" i="9" s="1"/>
  <c r="P64" i="9"/>
  <c r="R64" i="9" s="1"/>
  <c r="P111" i="9"/>
  <c r="R111" i="9" s="1"/>
  <c r="G111" i="9"/>
  <c r="I111" i="9" s="1"/>
  <c r="P95" i="9"/>
  <c r="R95" i="9" s="1"/>
  <c r="G95" i="9"/>
  <c r="I95" i="9" s="1"/>
  <c r="G119" i="9"/>
  <c r="I119" i="9" s="1"/>
  <c r="P119" i="9"/>
  <c r="R119" i="9" s="1"/>
  <c r="P107" i="9"/>
  <c r="R107" i="9" s="1"/>
  <c r="G107" i="9"/>
  <c r="I107" i="9" s="1"/>
  <c r="P91" i="9"/>
  <c r="R91" i="9" s="1"/>
  <c r="G91" i="9"/>
  <c r="I91" i="9" s="1"/>
  <c r="G60" i="9"/>
  <c r="I60" i="9" s="1"/>
  <c r="P60" i="9"/>
  <c r="R60" i="9" s="1"/>
  <c r="G56" i="9"/>
  <c r="I56" i="9" s="1"/>
  <c r="P56" i="9"/>
  <c r="R56" i="9" s="1"/>
  <c r="P99" i="9"/>
  <c r="R99" i="9" s="1"/>
  <c r="G99" i="9"/>
  <c r="I99" i="9" s="1"/>
  <c r="G117" i="9"/>
  <c r="I117" i="9" s="1"/>
  <c r="P117" i="9"/>
  <c r="R117" i="9" s="1"/>
  <c r="P103" i="9"/>
  <c r="R103" i="9" s="1"/>
  <c r="G103" i="9"/>
  <c r="I103" i="9" s="1"/>
  <c r="I102" i="10"/>
  <c r="O102" i="10"/>
  <c r="O88" i="10"/>
  <c r="I88" i="10"/>
  <c r="I108" i="10"/>
  <c r="O108" i="10"/>
  <c r="P82" i="9"/>
  <c r="R82" i="9" s="1"/>
  <c r="G82" i="9"/>
  <c r="I82" i="9" s="1"/>
  <c r="O94" i="10"/>
  <c r="I94" i="10"/>
  <c r="O66" i="10"/>
  <c r="I66" i="10"/>
  <c r="O58" i="10"/>
  <c r="I58" i="10"/>
  <c r="O80" i="10"/>
  <c r="I80" i="10"/>
  <c r="O82" i="10"/>
  <c r="I82" i="10"/>
  <c r="I51" i="10"/>
  <c r="O51" i="10"/>
  <c r="K48" i="10"/>
  <c r="K40" i="10"/>
  <c r="K32" i="10"/>
  <c r="K24" i="10"/>
  <c r="K16" i="10"/>
  <c r="K9" i="10"/>
  <c r="O76" i="10"/>
  <c r="I76" i="10"/>
  <c r="O92" i="10"/>
  <c r="I92" i="10"/>
  <c r="R117" i="10"/>
  <c r="P75" i="9"/>
  <c r="R75" i="9" s="1"/>
  <c r="G75" i="9"/>
  <c r="I75" i="9" s="1"/>
  <c r="G110" i="9"/>
  <c r="I110" i="9" s="1"/>
  <c r="P110" i="9"/>
  <c r="R110" i="9" s="1"/>
  <c r="G94" i="9"/>
  <c r="I94" i="9" s="1"/>
  <c r="P94" i="9"/>
  <c r="R94" i="9" s="1"/>
  <c r="G73" i="9"/>
  <c r="I73" i="9" s="1"/>
  <c r="P73" i="9"/>
  <c r="R73" i="9" s="1"/>
  <c r="P65" i="9"/>
  <c r="R65" i="9" s="1"/>
  <c r="G65" i="9"/>
  <c r="I65" i="9" s="1"/>
  <c r="P57" i="9"/>
  <c r="R57" i="9" s="1"/>
  <c r="G57" i="9"/>
  <c r="I57" i="9" s="1"/>
  <c r="P116" i="9"/>
  <c r="R116" i="9" s="1"/>
  <c r="G116" i="9"/>
  <c r="I116" i="9" s="1"/>
  <c r="G106" i="9"/>
  <c r="I106" i="9" s="1"/>
  <c r="P106" i="9"/>
  <c r="R106" i="9" s="1"/>
  <c r="G90" i="9"/>
  <c r="I90" i="9" s="1"/>
  <c r="P90" i="9"/>
  <c r="R90" i="9" s="1"/>
  <c r="P67" i="9"/>
  <c r="R67" i="9" s="1"/>
  <c r="G67" i="9"/>
  <c r="I67" i="9" s="1"/>
  <c r="P59" i="9"/>
  <c r="R59" i="9" s="1"/>
  <c r="G59" i="9"/>
  <c r="I59" i="9" s="1"/>
  <c r="G81" i="9"/>
  <c r="I81" i="9" s="1"/>
  <c r="P81" i="9"/>
  <c r="R81" i="9" s="1"/>
  <c r="K37" i="10"/>
  <c r="K21" i="10"/>
  <c r="K13" i="10"/>
  <c r="G71" i="9"/>
  <c r="I71" i="9" s="1"/>
  <c r="P71" i="9"/>
  <c r="R71" i="9" s="1"/>
  <c r="O103" i="10"/>
  <c r="I103" i="10"/>
  <c r="O86" i="10"/>
  <c r="I86" i="10"/>
  <c r="K49" i="10"/>
  <c r="K41" i="10"/>
  <c r="K33" i="10"/>
  <c r="K25" i="10"/>
  <c r="K20" i="10"/>
  <c r="K12" i="10"/>
  <c r="O100" i="10"/>
  <c r="I100" i="10"/>
  <c r="I55" i="10"/>
  <c r="O55" i="10"/>
  <c r="G79" i="9"/>
  <c r="I79" i="9" s="1"/>
  <c r="P79" i="9"/>
  <c r="R79" i="9" s="1"/>
  <c r="Q117" i="10"/>
  <c r="P118" i="9"/>
  <c r="R118" i="9" s="1"/>
  <c r="G118" i="9"/>
  <c r="I118" i="9" s="1"/>
  <c r="O90" i="10"/>
  <c r="I90" i="10"/>
  <c r="K45" i="10"/>
  <c r="K29" i="10"/>
  <c r="O61" i="10"/>
  <c r="I61" i="10"/>
  <c r="G87" i="9"/>
  <c r="I87" i="9" s="1"/>
  <c r="P87" i="9"/>
  <c r="R87" i="9" s="1"/>
  <c r="P114" i="9"/>
  <c r="R114" i="9" s="1"/>
  <c r="G114" i="9"/>
  <c r="I114" i="9" s="1"/>
  <c r="I110" i="10"/>
  <c r="O110" i="10"/>
  <c r="O78" i="10"/>
  <c r="I78" i="10"/>
  <c r="O96" i="10"/>
  <c r="I96" i="10"/>
  <c r="K17" i="10"/>
  <c r="O98" i="10"/>
  <c r="I98" i="10"/>
  <c r="O84" i="10"/>
  <c r="I84" i="10"/>
  <c r="K44" i="10"/>
  <c r="K36" i="10"/>
  <c r="K28" i="10"/>
  <c r="K8" i="10"/>
  <c r="O68" i="10"/>
  <c r="I68" i="10"/>
  <c r="I53" i="10"/>
  <c r="O53" i="10"/>
  <c r="I60" i="10"/>
  <c r="O60" i="10"/>
  <c r="O72" i="10"/>
  <c r="I72" i="10"/>
  <c r="P83" i="9"/>
  <c r="R83" i="9" s="1"/>
  <c r="G83" i="9"/>
  <c r="I83" i="9" s="1"/>
  <c r="G102" i="9"/>
  <c r="I102" i="9" s="1"/>
  <c r="P102" i="9"/>
  <c r="R102" i="9" s="1"/>
  <c r="P74" i="9"/>
  <c r="R74" i="9" s="1"/>
  <c r="G74" i="9"/>
  <c r="I74" i="9" s="1"/>
  <c r="P69" i="9"/>
  <c r="R69" i="9" s="1"/>
  <c r="G69" i="9"/>
  <c r="I69" i="9" s="1"/>
  <c r="P61" i="9"/>
  <c r="R61" i="9" s="1"/>
  <c r="G61" i="9"/>
  <c r="I61" i="9" s="1"/>
  <c r="G98" i="9"/>
  <c r="I98" i="9" s="1"/>
  <c r="P98" i="9"/>
  <c r="R98" i="9" s="1"/>
  <c r="G89" i="9"/>
  <c r="I89" i="9" s="1"/>
  <c r="P89" i="9"/>
  <c r="R89" i="9" s="1"/>
  <c r="P63" i="9"/>
  <c r="R63" i="9" s="1"/>
  <c r="G63" i="9"/>
  <c r="I63" i="9" s="1"/>
  <c r="P55" i="9"/>
  <c r="R55" i="9" s="1"/>
  <c r="G55" i="9"/>
  <c r="I55" i="9" s="1"/>
  <c r="I120" i="9" l="1"/>
  <c r="G121" i="9" s="1"/>
  <c r="R120" i="9"/>
  <c r="G124" i="9" s="1"/>
  <c r="L120" i="9"/>
  <c r="G122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19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1A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24" authorId="0" shapeId="0" xr:uid="{00000000-0006-0000-0000-00001B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26" authorId="0" shapeId="0" xr:uid="{00000000-0006-0000-0000-00001C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38" authorId="0" shapeId="0" xr:uid="{00000000-0006-0000-0000-00001D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40" authorId="0" shapeId="0" xr:uid="{00000000-0006-0000-0000-00001E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49" authorId="0" shapeId="0" xr:uid="{00000000-0006-0000-0000-00001F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51" authorId="0" shapeId="0" xr:uid="{00000000-0006-0000-0000-000020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<sst xmlns="http://schemas.openxmlformats.org/spreadsheetml/2006/main" count="1329" uniqueCount="314">
  <si>
    <t>차열재</t>
  </si>
  <si>
    <t>No</t>
  </si>
  <si>
    <t>비고</t>
  </si>
  <si>
    <t>합계</t>
  </si>
  <si>
    <t>규격</t>
  </si>
  <si>
    <t>TTL</t>
  </si>
  <si>
    <t>EZ F.B POSMAC Duct-VA-064</t>
  </si>
  <si>
    <t>EZ F.B POSMAC Duct-VT-01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</si>
  <si>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</si>
  <si>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</si>
  <si>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</si>
  <si>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</si>
  <si>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</si>
  <si>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</si>
  <si>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</si>
  <si>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절 곡 생 산 일 지(VT_보강대)</t>
  </si>
  <si>
    <t>특이사항 및
   조치사항</t>
  </si>
  <si>
    <t>설비번호</t>
  </si>
  <si>
    <t>설치위치</t>
  </si>
  <si>
    <t>세로(보강대)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</si>
  <si>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</si>
  <si>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</si>
  <si>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</si>
  <si>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</si>
  <si>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</si>
  <si>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</si>
  <si>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</si>
  <si>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</si>
  <si>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</si>
  <si>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</si>
  <si>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</si>
  <si>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</si>
  <si>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</si>
  <si>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</si>
  <si>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</si>
  <si>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</si>
  <si>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E267</t>
  </si>
  <si>
    <t>E268</t>
  </si>
  <si>
    <t>50*
400</t>
  </si>
  <si>
    <t>E266</t>
  </si>
  <si>
    <t>E263</t>
  </si>
  <si>
    <t>제품
번호</t>
  </si>
  <si>
    <t>50*
600</t>
  </si>
  <si>
    <t>재고여부</t>
  </si>
  <si>
    <t>E257</t>
  </si>
  <si>
    <t>E259</t>
  </si>
  <si>
    <t>E265</t>
  </si>
  <si>
    <t>방화
소켓</t>
  </si>
  <si>
    <t>E260</t>
  </si>
  <si>
    <t>E262</t>
  </si>
  <si>
    <t>E264</t>
  </si>
  <si>
    <t>분할구조</t>
  </si>
  <si>
    <t>E261</t>
  </si>
  <si>
    <t>E258</t>
  </si>
  <si>
    <t>FS-MP25-0310-1</t>
  </si>
  <si>
    <t>FS-MP25-0310-4</t>
  </si>
  <si>
    <t>차열재생산일지(출하용)</t>
  </si>
  <si>
    <t>특이사항 및
 조치사항</t>
  </si>
  <si>
    <t>특이사항 및   조치사항</t>
  </si>
  <si>
    <t>VT-01</t>
  </si>
  <si>
    <t>VA-064</t>
  </si>
  <si>
    <t>60mm</t>
  </si>
  <si>
    <t>1.6
이상</t>
  </si>
  <si>
    <t>가로(받침대)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</si>
  <si>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</si>
  <si>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</si>
  <si>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</si>
  <si>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</si>
  <si>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</si>
  <si>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</si>
  <si>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</si>
  <si>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</si>
  <si>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</si>
  <si>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</si>
  <si>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</si>
  <si>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</si>
  <si>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</si>
  <si>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</si>
  <si>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</si>
  <si>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</si>
  <si>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</si>
  <si>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31" type="noConversion"/>
  </si>
  <si>
    <t>재단작업지시서
(VT)</t>
    <phoneticPr fontId="31" type="noConversion"/>
  </si>
  <si>
    <t>재단작업지시서(VM)</t>
    <phoneticPr fontId="31" type="noConversion"/>
  </si>
  <si>
    <t>절 곡 생 산 일 지(VM)</t>
    <phoneticPr fontId="31" type="noConversion"/>
  </si>
  <si>
    <t>절 곡 생 산 일 지(VT_브라켓)</t>
    <phoneticPr fontId="31" type="noConversion"/>
  </si>
  <si>
    <t>라벨소요량</t>
    <phoneticPr fontId="31" type="noConversion"/>
  </si>
  <si>
    <t>25*
200</t>
    <phoneticPr fontId="31" type="noConversion"/>
  </si>
  <si>
    <t>구조체작업지시서</t>
    <phoneticPr fontId="31" type="noConversion"/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</si>
  <si>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</si>
  <si>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</si>
  <si>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</si>
  <si>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</si>
  <si>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</si>
  <si>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</si>
  <si>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</si>
  <si>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</si>
  <si>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</si>
  <si>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</si>
  <si>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</si>
  <si>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차열재 25T*200*7.4M</t>
    <phoneticPr fontId="31" type="noConversion"/>
  </si>
  <si>
    <t>01</t>
    <phoneticPr fontId="31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</si>
  <si>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</si>
  <si>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</si>
  <si>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</si>
  <si>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</si>
  <si>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</si>
  <si>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</si>
  <si>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</si>
  <si>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</si>
  <si>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</si>
  <si>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</si>
  <si>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</si>
  <si>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</si>
  <si>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</si>
  <si>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</si>
  <si>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</si>
  <si>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</si>
  <si>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</si>
  <si>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</si>
  <si>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</si>
  <si>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</si>
  <si>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</si>
  <si>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</si>
  <si>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</si>
  <si>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</si>
  <si>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</si>
  <si>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</si>
  <si>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</si>
  <si>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</si>
  <si>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</si>
  <si>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</si>
  <si>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</si>
  <si>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</si>
  <si>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</si>
  <si>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</si>
  <si>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</si>
  <si>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</si>
  <si>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</si>
  <si>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</si>
  <si>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</si>
  <si>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</si>
  <si>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</si>
  <si>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</si>
  <si>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</si>
  <si>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</si>
  <si>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</si>
  <si>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</si>
  <si>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</si>
  <si>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</si>
  <si>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</si>
  <si>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</si>
  <si>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</si>
  <si>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</si>
  <si>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</si>
  <si>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</si>
  <si>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</si>
  <si>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</si>
  <si>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</si>
  <si>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</si>
  <si>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</si>
  <si>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</si>
  <si>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</si>
  <si>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</si>
  <si>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</si>
  <si>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</si>
  <si>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</si>
  <si>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</si>
  <si>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</si>
  <si>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</si>
  <si>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</si>
  <si>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</si>
  <si>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</si>
  <si>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</si>
  <si>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</si>
  <si>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</si>
  <si>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</si>
  <si>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</si>
  <si>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</si>
  <si>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</si>
  <si>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</si>
  <si>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</si>
  <si>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</si>
  <si>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</si>
  <si>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</si>
  <si>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</si>
  <si>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</si>
  <si>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</si>
  <si>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</si>
  <si>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</si>
  <si>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</si>
  <si>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</si>
  <si>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</si>
  <si>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</si>
  <si>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</si>
  <si>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</si>
  <si>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</si>
  <si>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</si>
  <si>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</si>
  <si>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</si>
  <si>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규격 가로</t>
  </si>
  <si>
    <t>규격 세로</t>
  </si>
  <si>
    <t>구조명</t>
  </si>
  <si>
    <r>
      <t xml:space="preserve">26.04.24 </t>
    </r>
    <r>
      <rPr>
        <sz val="10"/>
        <color rgb="FF000000"/>
        <rFont val="맑은 고딕"/>
        <family val="3"/>
        <charset val="129"/>
      </rPr>
      <t>그린산업</t>
    </r>
    <r>
      <rPr>
        <sz val="10"/>
        <color rgb="FF000000"/>
        <rFont val="Arial"/>
        <family val="2"/>
      </rPr>
      <t xml:space="preserve">_ </t>
    </r>
    <r>
      <rPr>
        <sz val="10"/>
        <color rgb="FF000000"/>
        <rFont val="맑은 고딕"/>
        <family val="3"/>
        <charset val="129"/>
      </rPr>
      <t>일우엠이씨</t>
    </r>
    <r>
      <rPr>
        <sz val="10"/>
        <color rgb="FF000000"/>
        <rFont val="Arial"/>
        <family val="2"/>
      </rPr>
      <t>_GS</t>
    </r>
    <r>
      <rPr>
        <sz val="10"/>
        <color rgb="FF000000"/>
        <rFont val="맑은 고딕"/>
        <family val="3"/>
        <charset val="129"/>
      </rPr>
      <t>건설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아산탕정자이퍼스트시티</t>
    </r>
    <r>
      <rPr>
        <sz val="10"/>
        <color rgb="FF000000"/>
        <rFont val="Arial"/>
        <family val="2"/>
      </rPr>
      <t xml:space="preserve"> </t>
    </r>
    <phoneticPr fontId="31" type="noConversion"/>
  </si>
  <si>
    <t>CA001</t>
    <phoneticPr fontId="31" type="noConversion"/>
  </si>
  <si>
    <t>CA002</t>
  </si>
  <si>
    <t>CA003</t>
  </si>
  <si>
    <t>CA004</t>
  </si>
  <si>
    <t>CA005</t>
  </si>
  <si>
    <t>CA006</t>
  </si>
  <si>
    <t>CA007</t>
  </si>
  <si>
    <t>CA008</t>
  </si>
  <si>
    <t>CA009</t>
  </si>
  <si>
    <t>CA010</t>
  </si>
  <si>
    <t>CA011</t>
  </si>
  <si>
    <t>CA012</t>
  </si>
  <si>
    <t>CA013</t>
  </si>
  <si>
    <t>CA014</t>
  </si>
  <si>
    <t>CA015</t>
  </si>
  <si>
    <t>CA016</t>
  </si>
  <si>
    <t>CA017</t>
  </si>
  <si>
    <t>CA018</t>
  </si>
  <si>
    <t>CA019</t>
  </si>
  <si>
    <t>CA020</t>
  </si>
  <si>
    <t>CA021</t>
  </si>
  <si>
    <t>CA022</t>
  </si>
  <si>
    <t>CA023</t>
  </si>
  <si>
    <t>CA024</t>
  </si>
  <si>
    <t>CA025</t>
  </si>
  <si>
    <t>CA026</t>
  </si>
  <si>
    <t>CA027</t>
  </si>
  <si>
    <t>CA028</t>
  </si>
  <si>
    <t>CA029</t>
  </si>
  <si>
    <t>CA030</t>
  </si>
  <si>
    <t>CA031</t>
  </si>
  <si>
    <t>CA032</t>
  </si>
  <si>
    <t>CA033</t>
  </si>
  <si>
    <t>CA034</t>
  </si>
  <si>
    <t>CA035</t>
  </si>
  <si>
    <t>CA036</t>
  </si>
  <si>
    <t>CA037</t>
  </si>
  <si>
    <t>CA038</t>
  </si>
  <si>
    <t>CA039</t>
  </si>
  <si>
    <t>CA040</t>
  </si>
  <si>
    <t>CA041</t>
  </si>
  <si>
    <t>CA042</t>
  </si>
  <si>
    <t>CA043</t>
  </si>
  <si>
    <t>CA044</t>
  </si>
  <si>
    <t>CA045</t>
  </si>
  <si>
    <t>CA046</t>
  </si>
  <si>
    <t>CA047</t>
  </si>
  <si>
    <t>CA048</t>
  </si>
  <si>
    <t>CA049</t>
  </si>
  <si>
    <t>CA050</t>
  </si>
  <si>
    <t>CA051</t>
  </si>
  <si>
    <t>CA052</t>
  </si>
  <si>
    <t>CA053</t>
  </si>
  <si>
    <t>CA054</t>
  </si>
  <si>
    <t>CA055</t>
  </si>
  <si>
    <t>CA056</t>
  </si>
  <si>
    <t>CA057</t>
  </si>
  <si>
    <t>CA058</t>
  </si>
  <si>
    <t>CA059</t>
  </si>
  <si>
    <t>CA060</t>
  </si>
  <si>
    <t>CA061</t>
  </si>
  <si>
    <t>CA062</t>
  </si>
  <si>
    <t>CA063</t>
  </si>
  <si>
    <t>CA064</t>
  </si>
  <si>
    <t>CA065</t>
  </si>
  <si>
    <t>CA066</t>
  </si>
  <si>
    <t>CA067</t>
  </si>
  <si>
    <t>CA068</t>
  </si>
  <si>
    <t>CA069</t>
  </si>
  <si>
    <t>CA070</t>
  </si>
  <si>
    <t>CA071</t>
  </si>
  <si>
    <t>CA072</t>
  </si>
  <si>
    <t>CA073</t>
  </si>
  <si>
    <t>CA074</t>
  </si>
  <si>
    <t>CA075</t>
  </si>
  <si>
    <t>CA076</t>
  </si>
  <si>
    <t>CA077</t>
  </si>
  <si>
    <t>CA078</t>
  </si>
  <si>
    <t>CA079</t>
  </si>
  <si>
    <t>CA080</t>
  </si>
  <si>
    <t>CA081</t>
  </si>
  <si>
    <t>CA082</t>
  </si>
  <si>
    <t>CA083</t>
  </si>
  <si>
    <t>CA084</t>
  </si>
  <si>
    <t>CA085</t>
  </si>
  <si>
    <t>CA086</t>
  </si>
  <si>
    <t>CA087</t>
  </si>
  <si>
    <t>CA088</t>
  </si>
  <si>
    <t>CA089</t>
  </si>
  <si>
    <t>CA090</t>
  </si>
  <si>
    <t>CA091</t>
  </si>
  <si>
    <t>CA092</t>
  </si>
  <si>
    <t>CA093</t>
  </si>
  <si>
    <t>CA094</t>
  </si>
  <si>
    <t>CA095</t>
  </si>
  <si>
    <t>CA096</t>
  </si>
  <si>
    <t>CA097</t>
  </si>
  <si>
    <t>CA098</t>
  </si>
  <si>
    <t>CA099</t>
  </si>
  <si>
    <t>CA100</t>
  </si>
  <si>
    <t>CA101</t>
  </si>
  <si>
    <t>CA102</t>
  </si>
  <si>
    <t>CA103</t>
  </si>
  <si>
    <t>CA104</t>
  </si>
  <si>
    <t>CA105</t>
  </si>
  <si>
    <t>CA106</t>
  </si>
  <si>
    <t>CA107</t>
  </si>
  <si>
    <t>CA108</t>
  </si>
  <si>
    <t>CA109</t>
  </si>
  <si>
    <t>CA110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</si>
</sst>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40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sz val="10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7C7C7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b/>
      <sz val="10"/>
      <color rgb="FF002060"/>
      <name val="Helvetica Neue"/>
    </font>
    <font>
      <b/>
      <sz val="10"/>
      <color rgb="FFFF0000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b/>
      <sz val="11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>
      <alignment vertical="center"/>
    </xf>
    <xf numFmtId="0" fontId="0" fillId="0" borderId="1" xfId="0" applyBorder="1" applyAlignment="1">
      <alignment horizontal="center" vertical="center"/>
    </xf>
    <xf numFmtId="0" fontId="30" fillId="0" borderId="0">
      <alignment vertical="center"/>
    </xf>
    <xf numFmtId="176" fontId="30" fillId="0" borderId="0">
      <alignment vertical="center"/>
    </xf>
    <xf numFmtId="0" fontId="1" fillId="0" borderId="0">
      <alignment vertical="center"/>
    </xf>
  </cellStyleXfs>
  <cellXfs count="3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0" fillId="0" borderId="0" xfId="2">
      <alignment vertical="center"/>
    </xf>
    <xf numFmtId="0" fontId="30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30" fillId="0" borderId="5" xfId="3" applyBorder="1" applyAlignment="1">
      <alignment horizontal="center" vertical="center"/>
    </xf>
    <xf numFmtId="176" fontId="30" fillId="0" borderId="6" xfId="3" applyBorder="1" applyAlignment="1">
      <alignment horizontal="center" vertical="center"/>
    </xf>
    <xf numFmtId="176" fontId="30" fillId="0" borderId="7" xfId="3" applyBorder="1" applyAlignment="1">
      <alignment horizontal="center" vertical="center"/>
    </xf>
    <xf numFmtId="176" fontId="30" fillId="0" borderId="8" xfId="3" applyBorder="1" applyAlignment="1">
      <alignment horizontal="center" vertical="center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176" fontId="30" fillId="0" borderId="12" xfId="3" applyBorder="1" applyAlignment="1">
      <alignment horizontal="center" vertical="center"/>
    </xf>
    <xf numFmtId="176" fontId="30" fillId="0" borderId="10" xfId="3" applyBorder="1" applyAlignment="1">
      <alignment horizontal="center" vertical="center"/>
    </xf>
    <xf numFmtId="176" fontId="30" fillId="0" borderId="13" xfId="3" applyBorder="1" applyAlignment="1">
      <alignment horizontal="center" vertical="center"/>
    </xf>
    <xf numFmtId="176" fontId="30" fillId="0" borderId="14" xfId="3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30" fillId="0" borderId="17" xfId="2" applyBorder="1" applyAlignment="1">
      <alignment horizontal="center" vertical="center"/>
    </xf>
    <xf numFmtId="0" fontId="6" fillId="0" borderId="18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0" fillId="0" borderId="18" xfId="2" applyBorder="1" applyAlignment="1">
      <alignment horizontal="center" vertical="center" wrapText="1"/>
    </xf>
    <xf numFmtId="0" fontId="7" fillId="0" borderId="18" xfId="4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8" fillId="0" borderId="19" xfId="4" applyFont="1" applyBorder="1" applyAlignment="1">
      <alignment horizontal="center" vertical="center" shrinkToFit="1"/>
    </xf>
    <xf numFmtId="0" fontId="1" fillId="0" borderId="19" xfId="4" applyBorder="1" applyAlignment="1">
      <alignment horizontal="center" vertical="center" shrinkToFit="1"/>
    </xf>
    <xf numFmtId="0" fontId="30" fillId="0" borderId="19" xfId="2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9" fillId="0" borderId="18" xfId="4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10" fillId="5" borderId="18" xfId="0" applyFont="1" applyFill="1" applyBorder="1" applyAlignment="1">
      <alignment horizontal="center" vertical="center" wrapText="1"/>
    </xf>
    <xf numFmtId="0" fontId="14" fillId="5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wrapText="1"/>
    </xf>
    <xf numFmtId="0" fontId="9" fillId="0" borderId="20" xfId="4" applyFont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9" fillId="0" borderId="15" xfId="4" applyFont="1" applyBorder="1" applyAlignment="1">
      <alignment horizontal="center" vertical="center" wrapText="1"/>
    </xf>
    <xf numFmtId="0" fontId="30" fillId="0" borderId="15" xfId="2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7" fillId="6" borderId="18" xfId="4" applyFont="1" applyFill="1" applyBorder="1" applyAlignment="1">
      <alignment horizontal="center" vertical="center" wrapText="1"/>
    </xf>
    <xf numFmtId="0" fontId="17" fillId="7" borderId="18" xfId="4" applyFont="1" applyFill="1" applyBorder="1" applyAlignment="1">
      <alignment horizontal="center" vertical="center" wrapText="1"/>
    </xf>
    <xf numFmtId="0" fontId="20" fillId="0" borderId="18" xfId="2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/>
    </xf>
    <xf numFmtId="0" fontId="5" fillId="0" borderId="23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 wrapText="1"/>
    </xf>
    <xf numFmtId="0" fontId="30" fillId="0" borderId="16" xfId="2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30" fillId="0" borderId="15" xfId="2" applyBorder="1" applyAlignment="1">
      <alignment vertical="center" wrapText="1"/>
    </xf>
    <xf numFmtId="0" fontId="30" fillId="0" borderId="18" xfId="2" applyBorder="1" applyAlignment="1">
      <alignment vertical="center" wrapText="1"/>
    </xf>
    <xf numFmtId="0" fontId="21" fillId="0" borderId="15" xfId="4" applyFont="1" applyBorder="1" applyAlignment="1">
      <alignment horizontal="center" vertical="center" wrapText="1"/>
    </xf>
    <xf numFmtId="0" fontId="21" fillId="0" borderId="18" xfId="4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5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10" borderId="0" xfId="4" applyFill="1">
      <alignment vertical="center"/>
    </xf>
    <xf numFmtId="0" fontId="1" fillId="0" borderId="35" xfId="4" applyBorder="1" applyAlignment="1">
      <alignment vertical="top" wrapText="1"/>
    </xf>
    <xf numFmtId="0" fontId="2" fillId="0" borderId="18" xfId="4" applyFont="1" applyBorder="1" applyAlignment="1">
      <alignment horizontal="center" vertical="center" wrapText="1"/>
    </xf>
    <xf numFmtId="0" fontId="2" fillId="0" borderId="19" xfId="4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4" fillId="4" borderId="18" xfId="2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34" fillId="7" borderId="18" xfId="4" applyFont="1" applyFill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5" fillId="0" borderId="20" xfId="2" applyFont="1" applyBorder="1">
      <alignment vertical="center"/>
    </xf>
    <xf numFmtId="0" fontId="3" fillId="0" borderId="3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4" quotePrefix="1" applyBorder="1" applyAlignment="1">
      <alignment horizontal="center" vertical="center" wrapText="1"/>
    </xf>
    <xf numFmtId="178" fontId="20" fillId="0" borderId="18" xfId="2" applyNumberFormat="1" applyFont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18" fillId="0" borderId="18" xfId="2" applyFont="1" applyBorder="1" applyAlignment="1">
      <alignment horizontal="center" vertical="center" wrapText="1"/>
    </xf>
    <xf numFmtId="178" fontId="18" fillId="0" borderId="18" xfId="2" applyNumberFormat="1" applyFont="1" applyBorder="1" applyAlignment="1">
      <alignment horizontal="center" vertical="center" wrapText="1"/>
    </xf>
    <xf numFmtId="0" fontId="19" fillId="0" borderId="18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0" fontId="34" fillId="6" borderId="18" xfId="4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vertical="center" wrapText="1" readingOrder="1"/>
    </xf>
    <xf numFmtId="0" fontId="37" fillId="0" borderId="41" xfId="0" applyFont="1" applyBorder="1" applyAlignment="1">
      <alignment vertical="center" wrapText="1" readingOrder="1"/>
    </xf>
    <xf numFmtId="0" fontId="32" fillId="0" borderId="35" xfId="4" applyFont="1" applyBorder="1" applyAlignment="1">
      <alignment horizontal="center" vertical="center" wrapText="1"/>
    </xf>
    <xf numFmtId="0" fontId="32" fillId="0" borderId="37" xfId="4" applyFont="1" applyBorder="1" applyAlignment="1">
      <alignment horizontal="center" vertical="center" wrapText="1"/>
    </xf>
    <xf numFmtId="0" fontId="32" fillId="0" borderId="0" xfId="4" applyFont="1" applyAlignment="1">
      <alignment horizontal="center" vertical="center" wrapText="1"/>
    </xf>
    <xf numFmtId="0" fontId="32" fillId="0" borderId="39" xfId="4" applyFont="1" applyBorder="1" applyAlignment="1">
      <alignment horizontal="center" vertical="center" wrapText="1"/>
    </xf>
    <xf numFmtId="0" fontId="32" fillId="0" borderId="34" xfId="4" applyFont="1" applyBorder="1" applyAlignment="1">
      <alignment horizontal="center" vertical="center" wrapText="1"/>
    </xf>
    <xf numFmtId="0" fontId="33" fillId="0" borderId="35" xfId="4" applyFont="1" applyBorder="1" applyAlignment="1">
      <alignment horizontal="center" vertical="center" shrinkToFit="1"/>
    </xf>
    <xf numFmtId="0" fontId="33" fillId="0" borderId="36" xfId="4" applyFont="1" applyBorder="1" applyAlignment="1">
      <alignment horizontal="center" vertical="center" shrinkToFit="1"/>
    </xf>
    <xf numFmtId="0" fontId="33" fillId="0" borderId="0" xfId="4" applyFont="1" applyAlignment="1">
      <alignment horizontal="center" vertical="center" shrinkToFit="1"/>
    </xf>
    <xf numFmtId="0" fontId="33" fillId="0" borderId="38" xfId="4" applyFont="1" applyBorder="1" applyAlignment="1">
      <alignment horizontal="center" vertical="center" shrinkToFit="1"/>
    </xf>
    <xf numFmtId="0" fontId="33" fillId="0" borderId="34" xfId="4" applyFont="1" applyBorder="1" applyAlignment="1">
      <alignment horizontal="center" vertical="center" shrinkToFit="1"/>
    </xf>
    <xf numFmtId="0" fontId="33" fillId="0" borderId="40" xfId="4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1" fillId="8" borderId="17" xfId="4" applyFill="1" applyBorder="1" applyAlignment="1">
      <alignment horizontal="center" vertical="center" wrapText="1"/>
    </xf>
    <xf numFmtId="0" fontId="2" fillId="8" borderId="15" xfId="4" applyFont="1" applyFill="1" applyBorder="1" applyAlignment="1">
      <alignment horizontal="center" vertical="center" wrapText="1"/>
    </xf>
    <xf numFmtId="0" fontId="2" fillId="8" borderId="18" xfId="4" applyFont="1" applyFill="1" applyBorder="1" applyAlignment="1">
      <alignment horizontal="center" vertical="center" wrapText="1"/>
    </xf>
    <xf numFmtId="0" fontId="2" fillId="8" borderId="16" xfId="4" applyFont="1" applyFill="1" applyBorder="1" applyAlignment="1">
      <alignment horizontal="center" vertical="center" wrapText="1"/>
    </xf>
    <xf numFmtId="0" fontId="2" fillId="8" borderId="19" xfId="4" applyFont="1" applyFill="1" applyBorder="1" applyAlignment="1">
      <alignment horizontal="center" vertical="center" wrapText="1"/>
    </xf>
    <xf numFmtId="0" fontId="3" fillId="0" borderId="26" xfId="4" applyFont="1" applyBorder="1" applyAlignment="1">
      <alignment horizontal="left" vertical="center"/>
    </xf>
    <xf numFmtId="0" fontId="0" fillId="0" borderId="27" xfId="4" applyFont="1" applyBorder="1" applyAlignment="1">
      <alignment horizontal="center" vertical="center"/>
    </xf>
    <xf numFmtId="0" fontId="0" fillId="0" borderId="28" xfId="4" applyFont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 wrapText="1"/>
    </xf>
    <xf numFmtId="0" fontId="4" fillId="3" borderId="27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3" fillId="0" borderId="24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30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5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31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30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28" xfId="2" applyFont="1" applyFill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shrinkToFit="1"/>
    </xf>
    <xf numFmtId="0" fontId="25" fillId="0" borderId="3" xfId="0" applyFont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0" borderId="31" xfId="0" applyFont="1" applyBorder="1" applyAlignment="1">
      <alignment horizontal="center" vertical="center" shrinkToFit="1"/>
    </xf>
    <xf numFmtId="0" fontId="25" fillId="0" borderId="2" xfId="0" applyFont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18" xfId="2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25" xfId="0" applyFont="1" applyBorder="1" applyAlignment="1">
      <alignment horizontal="center" vertical="center" shrinkToFit="1"/>
    </xf>
    <xf numFmtId="0" fontId="6" fillId="0" borderId="18" xfId="2" applyFont="1" applyBorder="1" applyAlignment="1">
      <alignment horizontal="center" vertical="center" wrapText="1"/>
    </xf>
    <xf numFmtId="0" fontId="26" fillId="0" borderId="24" xfId="2" applyFont="1" applyBorder="1" applyAlignment="1">
      <alignment horizontal="center" vertical="center" shrinkToFit="1"/>
    </xf>
    <xf numFmtId="0" fontId="26" fillId="0" borderId="11" xfId="2" applyFont="1" applyBorder="1" applyAlignment="1">
      <alignment horizontal="center" vertical="center" shrinkToFit="1"/>
    </xf>
    <xf numFmtId="0" fontId="26" fillId="0" borderId="3" xfId="2" applyFont="1" applyBorder="1" applyAlignment="1">
      <alignment horizontal="center" vertical="center" shrinkToFit="1"/>
    </xf>
    <xf numFmtId="0" fontId="26" fillId="0" borderId="30" xfId="2" applyFont="1" applyBorder="1" applyAlignment="1">
      <alignment horizontal="center" vertical="center" shrinkToFit="1"/>
    </xf>
    <xf numFmtId="0" fontId="26" fillId="0" borderId="0" xfId="2" applyFont="1" applyAlignment="1">
      <alignment horizontal="center" vertical="center" shrinkToFit="1"/>
    </xf>
    <xf numFmtId="0" fontId="26" fillId="0" borderId="31" xfId="2" applyFont="1" applyBorder="1" applyAlignment="1">
      <alignment horizontal="center" vertical="center" shrinkToFit="1"/>
    </xf>
    <xf numFmtId="0" fontId="26" fillId="0" borderId="25" xfId="2" applyFont="1" applyBorder="1" applyAlignment="1">
      <alignment horizontal="center" vertical="center" shrinkToFit="1"/>
    </xf>
    <xf numFmtId="0" fontId="26" fillId="0" borderId="2" xfId="2" applyFont="1" applyBorder="1" applyAlignment="1">
      <alignment horizontal="center" vertical="center" shrinkToFit="1"/>
    </xf>
    <xf numFmtId="0" fontId="26" fillId="0" borderId="29" xfId="2" applyFont="1" applyBorder="1" applyAlignment="1">
      <alignment horizontal="center" vertical="center" shrinkToFit="1"/>
    </xf>
    <xf numFmtId="0" fontId="30" fillId="0" borderId="4" xfId="2" applyBorder="1" applyAlignment="1">
      <alignment horizontal="center" vertical="center"/>
    </xf>
    <xf numFmtId="0" fontId="30" fillId="0" borderId="28" xfId="2" applyBorder="1" applyAlignment="1">
      <alignment horizontal="center" vertical="center"/>
    </xf>
    <xf numFmtId="0" fontId="36" fillId="0" borderId="1" xfId="2" applyFont="1" applyBorder="1" applyAlignment="1">
      <alignment horizontal="center" vertical="center" wrapText="1"/>
    </xf>
    <xf numFmtId="178" fontId="30" fillId="0" borderId="18" xfId="2" applyNumberFormat="1" applyBorder="1" applyAlignment="1">
      <alignment horizontal="center" vertical="center" wrapText="1"/>
    </xf>
    <xf numFmtId="0" fontId="30" fillId="0" borderId="21" xfId="2" applyBorder="1" applyAlignment="1">
      <alignment horizontal="center" vertical="center"/>
    </xf>
    <xf numFmtId="0" fontId="30" fillId="0" borderId="17" xfId="2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0" fontId="30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6" fillId="0" borderId="30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31" xfId="2" applyFont="1" applyBorder="1" applyAlignment="1">
      <alignment horizontal="center" vertical="center" wrapText="1"/>
    </xf>
    <xf numFmtId="0" fontId="26" fillId="0" borderId="24" xfId="2" applyFont="1" applyBorder="1" applyAlignment="1">
      <alignment horizontal="center" vertical="center"/>
    </xf>
    <xf numFmtId="0" fontId="26" fillId="0" borderId="11" xfId="2" applyFont="1" applyBorder="1" applyAlignment="1">
      <alignment horizontal="center" vertical="center"/>
    </xf>
    <xf numFmtId="0" fontId="26" fillId="0" borderId="3" xfId="2" applyFont="1" applyBorder="1" applyAlignment="1">
      <alignment horizontal="center" vertical="center"/>
    </xf>
    <xf numFmtId="0" fontId="26" fillId="0" borderId="30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31" xfId="2" applyFont="1" applyBorder="1" applyAlignment="1">
      <alignment horizontal="center" vertical="center"/>
    </xf>
    <xf numFmtId="0" fontId="26" fillId="0" borderId="25" xfId="2" applyFont="1" applyBorder="1" applyAlignment="1">
      <alignment horizontal="center" vertical="center"/>
    </xf>
    <xf numFmtId="0" fontId="26" fillId="0" borderId="2" xfId="2" applyFont="1" applyBorder="1" applyAlignment="1">
      <alignment horizontal="center" vertical="center"/>
    </xf>
    <xf numFmtId="0" fontId="26" fillId="0" borderId="29" xfId="2" applyFont="1" applyBorder="1" applyAlignment="1">
      <alignment horizontal="center" vertical="center"/>
    </xf>
    <xf numFmtId="0" fontId="30" fillId="0" borderId="25" xfId="2" applyBorder="1" applyAlignment="1">
      <alignment horizontal="center" vertical="center"/>
    </xf>
    <xf numFmtId="0" fontId="30" fillId="0" borderId="29" xfId="2" applyBorder="1" applyAlignment="1">
      <alignment horizontal="center" vertical="center"/>
    </xf>
    <xf numFmtId="0" fontId="30" fillId="0" borderId="9" xfId="2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27" xfId="2" applyFont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36" fillId="0" borderId="1" xfId="2" applyFont="1" applyBorder="1" applyAlignment="1">
      <alignment horizontal="center" vertical="center" wrapText="1" shrinkToFit="1"/>
    </xf>
    <xf numFmtId="178" fontId="5" fillId="0" borderId="15" xfId="2" applyNumberFormat="1" applyFont="1" applyBorder="1" applyAlignment="1">
      <alignment horizontal="center" vertical="center" wrapText="1"/>
    </xf>
    <xf numFmtId="178" fontId="5" fillId="0" borderId="18" xfId="2" applyNumberFormat="1" applyFont="1" applyBorder="1" applyAlignment="1">
      <alignment horizontal="center" vertical="center" wrapText="1"/>
    </xf>
    <xf numFmtId="0" fontId="30" fillId="0" borderId="24" xfId="2" applyBorder="1" applyAlignment="1">
      <alignment horizontal="center" vertical="center"/>
    </xf>
    <xf numFmtId="0" fontId="30" fillId="0" borderId="3" xfId="2" applyBorder="1" applyAlignment="1">
      <alignment horizontal="center" vertical="center"/>
    </xf>
    <xf numFmtId="41" fontId="30" fillId="0" borderId="18" xfId="2" applyNumberFormat="1" applyBorder="1" applyAlignment="1">
      <alignment horizontal="left" vertical="center" wrapText="1"/>
    </xf>
    <xf numFmtId="0" fontId="30" fillId="0" borderId="18" xfId="2" applyBorder="1" applyAlignment="1">
      <alignment horizontal="left" vertical="center" wrapText="1"/>
    </xf>
    <xf numFmtId="41" fontId="30" fillId="0" borderId="15" xfId="2" applyNumberFormat="1" applyBorder="1" applyAlignment="1">
      <alignment horizontal="left" vertical="center" wrapText="1"/>
    </xf>
    <xf numFmtId="0" fontId="30" fillId="0" borderId="15" xfId="2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6" fillId="0" borderId="24" xfId="0" applyFont="1" applyBorder="1" applyAlignment="1">
      <alignment horizontal="center" vertical="center" wrapText="1" shrinkToFit="1"/>
    </xf>
    <xf numFmtId="0" fontId="36" fillId="0" borderId="11" xfId="0" applyFont="1" applyBorder="1" applyAlignment="1">
      <alignment horizontal="center" vertical="center" wrapText="1" shrinkToFit="1"/>
    </xf>
    <xf numFmtId="0" fontId="36" fillId="0" borderId="3" xfId="0" applyFont="1" applyBorder="1" applyAlignment="1">
      <alignment horizontal="center" vertical="center" wrapText="1" shrinkToFit="1"/>
    </xf>
    <xf numFmtId="0" fontId="36" fillId="0" borderId="25" xfId="0" applyFont="1" applyBorder="1" applyAlignment="1">
      <alignment horizontal="center" vertical="center" wrapText="1" shrinkToFit="1"/>
    </xf>
    <xf numFmtId="0" fontId="36" fillId="0" borderId="2" xfId="0" applyFont="1" applyBorder="1" applyAlignment="1">
      <alignment horizontal="center" vertical="center" wrapText="1" shrinkToFit="1"/>
    </xf>
    <xf numFmtId="0" fontId="36" fillId="0" borderId="29" xfId="0" applyFont="1" applyBorder="1" applyAlignment="1">
      <alignment horizontal="center" vertical="center" wrapText="1" shrinkToFi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177" fontId="0" fillId="2" borderId="28" xfId="0" applyNumberForma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 wrapText="1"/>
    </xf>
    <xf numFmtId="177" fontId="6" fillId="5" borderId="18" xfId="0" applyNumberFormat="1" applyFont="1" applyFill="1" applyBorder="1" applyAlignment="1">
      <alignment horizontal="center" vertical="center" wrapTex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590549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514350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 filterMode="1"/>
  <dimension ref="C3:F114"/>
  <sheetViews>
    <sheetView topLeftCell="A9" zoomScaleNormal="100" zoomScaleSheetLayoutView="100" workbookViewId="0">
      <selection activeCell="C5" sqref="C5:D101"/>
    </sheetView>
  </sheetViews>
  <sheetFormatPr defaultColWidth="9" defaultRowHeight="13.5"/>
  <cols>
    <col min="1" max="16384" width="9" style="89"/>
  </cols>
  <sheetData>
    <row r="3" spans="3:6" ht="14.25" thickBot="1"/>
    <row r="4" spans="3:6" ht="15.75" thickBot="1">
      <c r="C4" s="120" t="s">
        <v>200</v>
      </c>
      <c r="D4" s="120" t="s">
        <v>201</v>
      </c>
      <c r="E4" s="120" t="s">
        <v>68</v>
      </c>
      <c r="F4" s="120" t="s">
        <v>202</v>
      </c>
    </row>
    <row r="5" spans="3:6" ht="15" thickBot="1">
      <c r="C5" s="121">
        <v>900</v>
      </c>
      <c r="D5" s="121">
        <v>800</v>
      </c>
      <c r="E5" s="121">
        <v>1</v>
      </c>
      <c r="F5" s="121" t="s">
        <v>59</v>
      </c>
    </row>
    <row r="6" spans="3:6" ht="15" thickBot="1">
      <c r="C6" s="121">
        <v>900</v>
      </c>
      <c r="D6" s="121">
        <v>800</v>
      </c>
      <c r="E6" s="121">
        <v>1</v>
      </c>
      <c r="F6" s="121" t="s">
        <v>59</v>
      </c>
    </row>
    <row r="7" spans="3:6" ht="15" thickBot="1">
      <c r="C7" s="121">
        <v>900</v>
      </c>
      <c r="D7" s="121">
        <v>800</v>
      </c>
      <c r="E7" s="121">
        <v>1</v>
      </c>
      <c r="F7" s="121" t="s">
        <v>59</v>
      </c>
    </row>
    <row r="8" spans="3:6" ht="15" thickBot="1">
      <c r="C8" s="121">
        <v>900</v>
      </c>
      <c r="D8" s="121">
        <v>800</v>
      </c>
      <c r="E8" s="121">
        <v>1</v>
      </c>
      <c r="F8" s="121" t="s">
        <v>59</v>
      </c>
    </row>
    <row r="9" spans="3:6" ht="15" thickBot="1">
      <c r="C9" s="121">
        <v>900</v>
      </c>
      <c r="D9" s="121">
        <v>800</v>
      </c>
      <c r="E9" s="121">
        <v>1</v>
      </c>
      <c r="F9" s="121" t="s">
        <v>59</v>
      </c>
    </row>
    <row r="10" spans="3:6" ht="15" thickBot="1">
      <c r="C10" s="121">
        <v>900</v>
      </c>
      <c r="D10" s="121">
        <v>800</v>
      </c>
      <c r="E10" s="121">
        <v>1</v>
      </c>
      <c r="F10" s="121" t="s">
        <v>59</v>
      </c>
    </row>
    <row r="11" spans="3:6" ht="15" thickBot="1">
      <c r="C11" s="121">
        <v>900</v>
      </c>
      <c r="D11" s="121">
        <v>800</v>
      </c>
      <c r="E11" s="121">
        <v>1</v>
      </c>
      <c r="F11" s="121" t="s">
        <v>59</v>
      </c>
    </row>
    <row r="12" spans="3:6" ht="15" thickBot="1">
      <c r="C12" s="121">
        <v>900</v>
      </c>
      <c r="D12" s="121">
        <v>800</v>
      </c>
      <c r="E12" s="121">
        <v>1</v>
      </c>
      <c r="F12" s="121" t="s">
        <v>59</v>
      </c>
    </row>
    <row r="13" spans="3:6" ht="15" thickBot="1">
      <c r="C13" s="121">
        <v>950</v>
      </c>
      <c r="D13" s="121">
        <v>750</v>
      </c>
      <c r="E13" s="121">
        <v>1</v>
      </c>
      <c r="F13" s="121" t="s">
        <v>59</v>
      </c>
    </row>
    <row r="14" spans="3:6" ht="15" thickBot="1">
      <c r="C14" s="121">
        <v>950</v>
      </c>
      <c r="D14" s="121">
        <v>750</v>
      </c>
      <c r="E14" s="121">
        <v>1</v>
      </c>
      <c r="F14" s="121" t="s">
        <v>59</v>
      </c>
    </row>
    <row r="15" spans="3:6" ht="15" thickBot="1">
      <c r="C15" s="121">
        <v>950</v>
      </c>
      <c r="D15" s="121">
        <v>750</v>
      </c>
      <c r="E15" s="121">
        <v>1</v>
      </c>
      <c r="F15" s="121" t="s">
        <v>59</v>
      </c>
    </row>
    <row r="16" spans="3:6" ht="15" thickBot="1">
      <c r="C16" s="121">
        <v>950</v>
      </c>
      <c r="D16" s="121">
        <v>750</v>
      </c>
      <c r="E16" s="121">
        <v>1</v>
      </c>
      <c r="F16" s="121" t="s">
        <v>59</v>
      </c>
    </row>
    <row r="17" spans="3:6" ht="15" thickBot="1">
      <c r="C17" s="121">
        <v>950</v>
      </c>
      <c r="D17" s="121">
        <v>750</v>
      </c>
      <c r="E17" s="121">
        <v>1</v>
      </c>
      <c r="F17" s="121" t="s">
        <v>59</v>
      </c>
    </row>
    <row r="18" spans="3:6" ht="15" thickBot="1">
      <c r="C18" s="121">
        <v>1000</v>
      </c>
      <c r="D18" s="121">
        <v>650</v>
      </c>
      <c r="E18" s="121">
        <v>1</v>
      </c>
      <c r="F18" s="121" t="s">
        <v>59</v>
      </c>
    </row>
    <row r="19" spans="3:6" ht="15" thickBot="1">
      <c r="C19" s="121">
        <v>1000</v>
      </c>
      <c r="D19" s="121">
        <v>650</v>
      </c>
      <c r="E19" s="121">
        <v>1</v>
      </c>
      <c r="F19" s="121" t="s">
        <v>59</v>
      </c>
    </row>
    <row r="20" spans="3:6" ht="15" thickBot="1">
      <c r="C20" s="121">
        <v>1000</v>
      </c>
      <c r="D20" s="121">
        <v>650</v>
      </c>
      <c r="E20" s="121">
        <v>1</v>
      </c>
      <c r="F20" s="121" t="s">
        <v>59</v>
      </c>
    </row>
    <row r="21" spans="3:6" ht="15" thickBot="1">
      <c r="C21" s="121">
        <v>1000</v>
      </c>
      <c r="D21" s="121">
        <v>650</v>
      </c>
      <c r="E21" s="121">
        <v>1</v>
      </c>
      <c r="F21" s="121" t="s">
        <v>59</v>
      </c>
    </row>
    <row r="22" spans="3:6" ht="15" thickBot="1">
      <c r="C22" s="121">
        <v>1000</v>
      </c>
      <c r="D22" s="121">
        <v>650</v>
      </c>
      <c r="E22" s="121">
        <v>1</v>
      </c>
      <c r="F22" s="121" t="s">
        <v>59</v>
      </c>
    </row>
    <row r="23" spans="3:6" ht="15" thickBot="1">
      <c r="C23" s="121">
        <v>1000</v>
      </c>
      <c r="D23" s="121">
        <v>650</v>
      </c>
      <c r="E23" s="121">
        <v>1</v>
      </c>
      <c r="F23" s="121" t="s">
        <v>59</v>
      </c>
    </row>
    <row r="24" spans="3:6" ht="15" thickBot="1">
      <c r="C24" s="121">
        <v>1000</v>
      </c>
      <c r="D24" s="121">
        <v>650</v>
      </c>
      <c r="E24" s="121">
        <v>1</v>
      </c>
      <c r="F24" s="121" t="s">
        <v>59</v>
      </c>
    </row>
    <row r="25" spans="3:6" ht="15" thickBot="1">
      <c r="C25" s="121">
        <v>1000</v>
      </c>
      <c r="D25" s="121">
        <v>650</v>
      </c>
      <c r="E25" s="121">
        <v>1</v>
      </c>
      <c r="F25" s="121" t="s">
        <v>59</v>
      </c>
    </row>
    <row r="26" spans="3:6" ht="15" thickBot="1">
      <c r="C26" s="121">
        <v>1000</v>
      </c>
      <c r="D26" s="121">
        <v>650</v>
      </c>
      <c r="E26" s="121">
        <v>1</v>
      </c>
      <c r="F26" s="121" t="s">
        <v>59</v>
      </c>
    </row>
    <row r="27" spans="3:6" ht="15" thickBot="1">
      <c r="C27" s="121">
        <v>1000</v>
      </c>
      <c r="D27" s="121">
        <v>650</v>
      </c>
      <c r="E27" s="121">
        <v>1</v>
      </c>
      <c r="F27" s="121" t="s">
        <v>59</v>
      </c>
    </row>
    <row r="28" spans="3:6" ht="15" thickBot="1">
      <c r="C28" s="121">
        <v>1000</v>
      </c>
      <c r="D28" s="121">
        <v>650</v>
      </c>
      <c r="E28" s="121">
        <v>1</v>
      </c>
      <c r="F28" s="121" t="s">
        <v>59</v>
      </c>
    </row>
    <row r="29" spans="3:6" ht="15" thickBot="1">
      <c r="C29" s="121">
        <v>1000</v>
      </c>
      <c r="D29" s="121">
        <v>650</v>
      </c>
      <c r="E29" s="121">
        <v>1</v>
      </c>
      <c r="F29" s="121" t="s">
        <v>59</v>
      </c>
    </row>
    <row r="30" spans="3:6" ht="15" thickBot="1">
      <c r="C30" s="121">
        <v>1000</v>
      </c>
      <c r="D30" s="121">
        <v>750</v>
      </c>
      <c r="E30" s="121">
        <v>1</v>
      </c>
      <c r="F30" s="121" t="s">
        <v>59</v>
      </c>
    </row>
    <row r="31" spans="3:6" ht="15" thickBot="1">
      <c r="C31" s="121">
        <v>1000</v>
      </c>
      <c r="D31" s="121">
        <v>750</v>
      </c>
      <c r="E31" s="121">
        <v>1</v>
      </c>
      <c r="F31" s="121" t="s">
        <v>59</v>
      </c>
    </row>
    <row r="32" spans="3:6" ht="15" thickBot="1">
      <c r="C32" s="121">
        <v>1000</v>
      </c>
      <c r="D32" s="121">
        <v>750</v>
      </c>
      <c r="E32" s="121">
        <v>1</v>
      </c>
      <c r="F32" s="121" t="s">
        <v>59</v>
      </c>
    </row>
    <row r="33" spans="3:6" ht="15" thickBot="1">
      <c r="C33" s="121">
        <v>1000</v>
      </c>
      <c r="D33" s="121">
        <v>750</v>
      </c>
      <c r="E33" s="121">
        <v>1</v>
      </c>
      <c r="F33" s="121" t="s">
        <v>59</v>
      </c>
    </row>
    <row r="34" spans="3:6" ht="15" thickBot="1">
      <c r="C34" s="121">
        <v>1000</v>
      </c>
      <c r="D34" s="121">
        <v>750</v>
      </c>
      <c r="E34" s="121">
        <v>1</v>
      </c>
      <c r="F34" s="121" t="s">
        <v>59</v>
      </c>
    </row>
    <row r="35" spans="3:6" ht="15" thickBot="1">
      <c r="C35" s="121">
        <v>1000</v>
      </c>
      <c r="D35" s="121">
        <v>750</v>
      </c>
      <c r="E35" s="121">
        <v>1</v>
      </c>
      <c r="F35" s="121" t="s">
        <v>59</v>
      </c>
    </row>
    <row r="36" spans="3:6" ht="15" thickBot="1">
      <c r="C36" s="121">
        <v>1000</v>
      </c>
      <c r="D36" s="121">
        <v>800</v>
      </c>
      <c r="E36" s="121">
        <v>1</v>
      </c>
      <c r="F36" s="121" t="s">
        <v>59</v>
      </c>
    </row>
    <row r="37" spans="3:6" ht="15" thickBot="1">
      <c r="C37" s="121">
        <v>1000</v>
      </c>
      <c r="D37" s="121">
        <v>800</v>
      </c>
      <c r="E37" s="121">
        <v>1</v>
      </c>
      <c r="F37" s="121" t="s">
        <v>59</v>
      </c>
    </row>
    <row r="38" spans="3:6" ht="15" thickBot="1">
      <c r="C38" s="121">
        <v>1000</v>
      </c>
      <c r="D38" s="121">
        <v>800</v>
      </c>
      <c r="E38" s="121">
        <v>1</v>
      </c>
      <c r="F38" s="121" t="s">
        <v>59</v>
      </c>
    </row>
    <row r="39" spans="3:6" ht="15" thickBot="1">
      <c r="C39" s="121">
        <v>1000</v>
      </c>
      <c r="D39" s="121">
        <v>800</v>
      </c>
      <c r="E39" s="121">
        <v>1</v>
      </c>
      <c r="F39" s="121" t="s">
        <v>59</v>
      </c>
    </row>
    <row r="40" spans="3:6" ht="15" thickBot="1">
      <c r="C40" s="121">
        <v>1000</v>
      </c>
      <c r="D40" s="121">
        <v>800</v>
      </c>
      <c r="E40" s="121">
        <v>1</v>
      </c>
      <c r="F40" s="121" t="s">
        <v>59</v>
      </c>
    </row>
    <row r="41" spans="3:6" ht="15" thickBot="1">
      <c r="C41" s="121">
        <v>1000</v>
      </c>
      <c r="D41" s="121">
        <v>800</v>
      </c>
      <c r="E41" s="121">
        <v>1</v>
      </c>
      <c r="F41" s="121" t="s">
        <v>59</v>
      </c>
    </row>
    <row r="42" spans="3:6" ht="15" thickBot="1">
      <c r="C42" s="121">
        <v>1000</v>
      </c>
      <c r="D42" s="121">
        <v>800</v>
      </c>
      <c r="E42" s="121">
        <v>1</v>
      </c>
      <c r="F42" s="121" t="s">
        <v>59</v>
      </c>
    </row>
    <row r="43" spans="3:6" ht="15" thickBot="1">
      <c r="C43" s="121">
        <v>1000</v>
      </c>
      <c r="D43" s="121">
        <v>800</v>
      </c>
      <c r="E43" s="121">
        <v>1</v>
      </c>
      <c r="F43" s="121" t="s">
        <v>59</v>
      </c>
    </row>
    <row r="44" spans="3:6" ht="15" thickBot="1">
      <c r="C44" s="121">
        <v>1000</v>
      </c>
      <c r="D44" s="121">
        <v>800</v>
      </c>
      <c r="E44" s="121">
        <v>1</v>
      </c>
      <c r="F44" s="121" t="s">
        <v>59</v>
      </c>
    </row>
    <row r="45" spans="3:6" ht="15" thickBot="1">
      <c r="C45" s="121">
        <v>1000</v>
      </c>
      <c r="D45" s="121">
        <v>800</v>
      </c>
      <c r="E45" s="121">
        <v>1</v>
      </c>
      <c r="F45" s="121" t="s">
        <v>59</v>
      </c>
    </row>
    <row r="46" spans="3:6" ht="15" thickBot="1">
      <c r="C46" s="121">
        <v>1000</v>
      </c>
      <c r="D46" s="121">
        <v>800</v>
      </c>
      <c r="E46" s="121">
        <v>1</v>
      </c>
      <c r="F46" s="121" t="s">
        <v>59</v>
      </c>
    </row>
    <row r="47" spans="3:6" ht="15" thickBot="1">
      <c r="C47" s="121">
        <v>1000</v>
      </c>
      <c r="D47" s="121">
        <v>800</v>
      </c>
      <c r="E47" s="121">
        <v>1</v>
      </c>
      <c r="F47" s="121" t="s">
        <v>59</v>
      </c>
    </row>
    <row r="48" spans="3:6" ht="15" thickBot="1">
      <c r="C48" s="121">
        <v>1000</v>
      </c>
      <c r="D48" s="121">
        <v>800</v>
      </c>
      <c r="E48" s="121">
        <v>1</v>
      </c>
      <c r="F48" s="121" t="s">
        <v>59</v>
      </c>
    </row>
    <row r="49" spans="3:6" ht="15" thickBot="1">
      <c r="C49" s="121">
        <v>1000</v>
      </c>
      <c r="D49" s="121">
        <v>800</v>
      </c>
      <c r="E49" s="121">
        <v>1</v>
      </c>
      <c r="F49" s="121" t="s">
        <v>59</v>
      </c>
    </row>
    <row r="50" spans="3:6" ht="15" thickBot="1">
      <c r="C50" s="121">
        <v>1000</v>
      </c>
      <c r="D50" s="121">
        <v>800</v>
      </c>
      <c r="E50" s="121">
        <v>1</v>
      </c>
      <c r="F50" s="121" t="s">
        <v>59</v>
      </c>
    </row>
    <row r="51" spans="3:6" ht="15" thickBot="1">
      <c r="C51" s="121">
        <v>1000</v>
      </c>
      <c r="D51" s="121">
        <v>800</v>
      </c>
      <c r="E51" s="121">
        <v>1</v>
      </c>
      <c r="F51" s="121" t="s">
        <v>59</v>
      </c>
    </row>
    <row r="52" spans="3:6" ht="15" thickBot="1">
      <c r="C52" s="121">
        <v>1000</v>
      </c>
      <c r="D52" s="121">
        <v>800</v>
      </c>
      <c r="E52" s="121">
        <v>1</v>
      </c>
      <c r="F52" s="121" t="s">
        <v>59</v>
      </c>
    </row>
    <row r="53" spans="3:6" ht="15" thickBot="1">
      <c r="C53" s="121">
        <v>1000</v>
      </c>
      <c r="D53" s="121">
        <v>800</v>
      </c>
      <c r="E53" s="121">
        <v>1</v>
      </c>
      <c r="F53" s="121" t="s">
        <v>59</v>
      </c>
    </row>
    <row r="54" spans="3:6" ht="15" thickBot="1">
      <c r="C54" s="121">
        <v>1000</v>
      </c>
      <c r="D54" s="121">
        <v>800</v>
      </c>
      <c r="E54" s="121">
        <v>1</v>
      </c>
      <c r="F54" s="121" t="s">
        <v>59</v>
      </c>
    </row>
    <row r="55" spans="3:6" ht="15" thickBot="1">
      <c r="C55" s="121">
        <v>1000</v>
      </c>
      <c r="D55" s="121">
        <v>800</v>
      </c>
      <c r="E55" s="121">
        <v>1</v>
      </c>
      <c r="F55" s="121" t="s">
        <v>59</v>
      </c>
    </row>
    <row r="56" spans="3:6" ht="15" thickBot="1">
      <c r="C56" s="121">
        <v>1000</v>
      </c>
      <c r="D56" s="121">
        <v>800</v>
      </c>
      <c r="E56" s="121">
        <v>1</v>
      </c>
      <c r="F56" s="121" t="s">
        <v>59</v>
      </c>
    </row>
    <row r="57" spans="3:6" ht="15" thickBot="1">
      <c r="C57" s="121">
        <v>1000</v>
      </c>
      <c r="D57" s="121">
        <v>800</v>
      </c>
      <c r="E57" s="121">
        <v>1</v>
      </c>
      <c r="F57" s="121" t="s">
        <v>59</v>
      </c>
    </row>
    <row r="58" spans="3:6" ht="15" hidden="1" thickBot="1">
      <c r="C58" s="121">
        <v>850</v>
      </c>
      <c r="D58" s="121">
        <v>550</v>
      </c>
      <c r="E58" s="121">
        <v>1</v>
      </c>
      <c r="F58" s="121" t="s">
        <v>60</v>
      </c>
    </row>
    <row r="59" spans="3:6" ht="15" hidden="1" thickBot="1">
      <c r="C59" s="121">
        <v>850</v>
      </c>
      <c r="D59" s="121">
        <v>550</v>
      </c>
      <c r="E59" s="121">
        <v>1</v>
      </c>
      <c r="F59" s="121" t="s">
        <v>60</v>
      </c>
    </row>
    <row r="60" spans="3:6" ht="15" hidden="1" thickBot="1">
      <c r="C60" s="121">
        <v>850</v>
      </c>
      <c r="D60" s="121">
        <v>550</v>
      </c>
      <c r="E60" s="121">
        <v>1</v>
      </c>
      <c r="F60" s="121" t="s">
        <v>60</v>
      </c>
    </row>
    <row r="61" spans="3:6" ht="15" hidden="1" thickBot="1">
      <c r="C61" s="121">
        <v>850</v>
      </c>
      <c r="D61" s="121">
        <v>550</v>
      </c>
      <c r="E61" s="121">
        <v>1</v>
      </c>
      <c r="F61" s="121" t="s">
        <v>60</v>
      </c>
    </row>
    <row r="62" spans="3:6" ht="15" hidden="1" thickBot="1">
      <c r="C62" s="121">
        <v>900</v>
      </c>
      <c r="D62" s="121">
        <v>550</v>
      </c>
      <c r="E62" s="121">
        <v>1</v>
      </c>
      <c r="F62" s="121" t="s">
        <v>60</v>
      </c>
    </row>
    <row r="63" spans="3:6" ht="15" hidden="1" thickBot="1">
      <c r="C63" s="121">
        <v>900</v>
      </c>
      <c r="D63" s="121">
        <v>550</v>
      </c>
      <c r="E63" s="121">
        <v>1</v>
      </c>
      <c r="F63" s="121" t="s">
        <v>60</v>
      </c>
    </row>
    <row r="64" spans="3:6" ht="15" hidden="1" thickBot="1">
      <c r="C64" s="121">
        <v>900</v>
      </c>
      <c r="D64" s="121">
        <v>550</v>
      </c>
      <c r="E64" s="121">
        <v>1</v>
      </c>
      <c r="F64" s="121" t="s">
        <v>60</v>
      </c>
    </row>
    <row r="65" spans="3:6" ht="15" hidden="1" thickBot="1">
      <c r="C65" s="121">
        <v>900</v>
      </c>
      <c r="D65" s="121">
        <v>550</v>
      </c>
      <c r="E65" s="121">
        <v>1</v>
      </c>
      <c r="F65" s="121" t="s">
        <v>60</v>
      </c>
    </row>
    <row r="66" spans="3:6" ht="15" hidden="1" thickBot="1">
      <c r="C66" s="121">
        <v>900</v>
      </c>
      <c r="D66" s="121">
        <v>550</v>
      </c>
      <c r="E66" s="121">
        <v>1</v>
      </c>
      <c r="F66" s="121" t="s">
        <v>60</v>
      </c>
    </row>
    <row r="67" spans="3:6" ht="15" hidden="1" thickBot="1">
      <c r="C67" s="121">
        <v>900</v>
      </c>
      <c r="D67" s="121">
        <v>550</v>
      </c>
      <c r="E67" s="121">
        <v>1</v>
      </c>
      <c r="F67" s="121" t="s">
        <v>60</v>
      </c>
    </row>
    <row r="68" spans="3:6" ht="15" hidden="1" thickBot="1">
      <c r="C68" s="121">
        <v>900</v>
      </c>
      <c r="D68" s="121">
        <v>550</v>
      </c>
      <c r="E68" s="121">
        <v>1</v>
      </c>
      <c r="F68" s="121" t="s">
        <v>60</v>
      </c>
    </row>
    <row r="69" spans="3:6" ht="15" hidden="1" thickBot="1">
      <c r="C69" s="121">
        <v>900</v>
      </c>
      <c r="D69" s="121">
        <v>550</v>
      </c>
      <c r="E69" s="121">
        <v>1</v>
      </c>
      <c r="F69" s="121" t="s">
        <v>60</v>
      </c>
    </row>
    <row r="70" spans="3:6" ht="15" hidden="1" thickBot="1">
      <c r="C70" s="121">
        <v>900</v>
      </c>
      <c r="D70" s="121">
        <v>550</v>
      </c>
      <c r="E70" s="121">
        <v>1</v>
      </c>
      <c r="F70" s="121" t="s">
        <v>60</v>
      </c>
    </row>
    <row r="71" spans="3:6" ht="15" hidden="1" thickBot="1">
      <c r="C71" s="121">
        <v>950</v>
      </c>
      <c r="D71" s="121">
        <v>500</v>
      </c>
      <c r="E71" s="121">
        <v>1</v>
      </c>
      <c r="F71" s="121" t="s">
        <v>60</v>
      </c>
    </row>
    <row r="72" spans="3:6" ht="15" hidden="1" thickBot="1">
      <c r="C72" s="121">
        <v>950</v>
      </c>
      <c r="D72" s="121">
        <v>500</v>
      </c>
      <c r="E72" s="121">
        <v>1</v>
      </c>
      <c r="F72" s="121" t="s">
        <v>60</v>
      </c>
    </row>
    <row r="73" spans="3:6" ht="15" hidden="1" thickBot="1">
      <c r="C73" s="121">
        <v>950</v>
      </c>
      <c r="D73" s="121">
        <v>500</v>
      </c>
      <c r="E73" s="121">
        <v>1</v>
      </c>
      <c r="F73" s="121" t="s">
        <v>60</v>
      </c>
    </row>
    <row r="74" spans="3:6" ht="15" hidden="1" thickBot="1">
      <c r="C74" s="121">
        <v>950</v>
      </c>
      <c r="D74" s="121">
        <v>500</v>
      </c>
      <c r="E74" s="121">
        <v>1</v>
      </c>
      <c r="F74" s="121" t="s">
        <v>60</v>
      </c>
    </row>
    <row r="75" spans="3:6" ht="15" hidden="1" thickBot="1">
      <c r="C75" s="121">
        <v>1000</v>
      </c>
      <c r="D75" s="121">
        <v>450</v>
      </c>
      <c r="E75" s="121">
        <v>1</v>
      </c>
      <c r="F75" s="121" t="s">
        <v>60</v>
      </c>
    </row>
    <row r="76" spans="3:6" ht="15" hidden="1" thickBot="1">
      <c r="C76" s="121">
        <v>1000</v>
      </c>
      <c r="D76" s="121">
        <v>450</v>
      </c>
      <c r="E76" s="121">
        <v>1</v>
      </c>
      <c r="F76" s="121" t="s">
        <v>60</v>
      </c>
    </row>
    <row r="77" spans="3:6" ht="15" hidden="1" thickBot="1">
      <c r="C77" s="121">
        <v>1000</v>
      </c>
      <c r="D77" s="121">
        <v>450</v>
      </c>
      <c r="E77" s="121">
        <v>1</v>
      </c>
      <c r="F77" s="121" t="s">
        <v>60</v>
      </c>
    </row>
    <row r="78" spans="3:6" ht="15" hidden="1" thickBot="1">
      <c r="C78" s="121">
        <v>1000</v>
      </c>
      <c r="D78" s="121">
        <v>500</v>
      </c>
      <c r="E78" s="121">
        <v>1</v>
      </c>
      <c r="F78" s="121" t="s">
        <v>60</v>
      </c>
    </row>
    <row r="79" spans="3:6" ht="15" hidden="1" thickBot="1">
      <c r="C79" s="121">
        <v>1000</v>
      </c>
      <c r="D79" s="121">
        <v>500</v>
      </c>
      <c r="E79" s="121">
        <v>1</v>
      </c>
      <c r="F79" s="121" t="s">
        <v>60</v>
      </c>
    </row>
    <row r="80" spans="3:6" ht="15" hidden="1" thickBot="1">
      <c r="C80" s="121">
        <v>1000</v>
      </c>
      <c r="D80" s="121">
        <v>500</v>
      </c>
      <c r="E80" s="121">
        <v>1</v>
      </c>
      <c r="F80" s="121" t="s">
        <v>60</v>
      </c>
    </row>
    <row r="81" spans="3:6" ht="15" hidden="1" thickBot="1">
      <c r="C81" s="121">
        <v>1000</v>
      </c>
      <c r="D81" s="121">
        <v>500</v>
      </c>
      <c r="E81" s="121">
        <v>1</v>
      </c>
      <c r="F81" s="121" t="s">
        <v>60</v>
      </c>
    </row>
    <row r="82" spans="3:6" ht="15" hidden="1" thickBot="1">
      <c r="C82" s="121">
        <v>1000</v>
      </c>
      <c r="D82" s="121">
        <v>500</v>
      </c>
      <c r="E82" s="121">
        <v>1</v>
      </c>
      <c r="F82" s="121" t="s">
        <v>60</v>
      </c>
    </row>
    <row r="83" spans="3:6" ht="15" hidden="1" thickBot="1">
      <c r="C83" s="121">
        <v>1000</v>
      </c>
      <c r="D83" s="121">
        <v>500</v>
      </c>
      <c r="E83" s="121">
        <v>1</v>
      </c>
      <c r="F83" s="121" t="s">
        <v>60</v>
      </c>
    </row>
    <row r="84" spans="3:6" ht="15" hidden="1" thickBot="1">
      <c r="C84" s="121">
        <v>1000</v>
      </c>
      <c r="D84" s="121">
        <v>500</v>
      </c>
      <c r="E84" s="121">
        <v>1</v>
      </c>
      <c r="F84" s="121" t="s">
        <v>60</v>
      </c>
    </row>
    <row r="85" spans="3:6" ht="15" thickBot="1">
      <c r="C85" s="121">
        <v>1000</v>
      </c>
      <c r="D85" s="121">
        <v>800</v>
      </c>
      <c r="E85" s="121">
        <v>1</v>
      </c>
      <c r="F85" s="121" t="s">
        <v>59</v>
      </c>
    </row>
    <row r="86" spans="3:6" ht="15" thickBot="1">
      <c r="C86" s="121">
        <v>1200</v>
      </c>
      <c r="D86" s="121">
        <v>800</v>
      </c>
      <c r="E86" s="121">
        <v>1</v>
      </c>
      <c r="F86" s="121" t="s">
        <v>59</v>
      </c>
    </row>
    <row r="87" spans="3:6" ht="15" thickBot="1">
      <c r="C87" s="121">
        <v>1250</v>
      </c>
      <c r="D87" s="121">
        <v>800</v>
      </c>
      <c r="E87" s="121">
        <v>1</v>
      </c>
      <c r="F87" s="121" t="s">
        <v>59</v>
      </c>
    </row>
    <row r="88" spans="3:6" ht="15" thickBot="1">
      <c r="C88" s="121">
        <v>1250</v>
      </c>
      <c r="D88" s="121">
        <v>800</v>
      </c>
      <c r="E88" s="121">
        <v>1</v>
      </c>
      <c r="F88" s="121" t="s">
        <v>59</v>
      </c>
    </row>
    <row r="89" spans="3:6" ht="15" thickBot="1">
      <c r="C89" s="121">
        <v>1250</v>
      </c>
      <c r="D89" s="121">
        <v>800</v>
      </c>
      <c r="E89" s="121">
        <v>1</v>
      </c>
      <c r="F89" s="121" t="s">
        <v>59</v>
      </c>
    </row>
    <row r="90" spans="3:6" ht="15" hidden="1" thickBot="1">
      <c r="C90" s="121">
        <v>1000</v>
      </c>
      <c r="D90" s="121">
        <v>500</v>
      </c>
      <c r="E90" s="121">
        <v>1</v>
      </c>
      <c r="F90" s="121" t="s">
        <v>60</v>
      </c>
    </row>
    <row r="91" spans="3:6" ht="15" hidden="1" thickBot="1">
      <c r="C91" s="121">
        <v>1000</v>
      </c>
      <c r="D91" s="121">
        <v>500</v>
      </c>
      <c r="E91" s="121">
        <v>1</v>
      </c>
      <c r="F91" s="121" t="s">
        <v>60</v>
      </c>
    </row>
    <row r="92" spans="3:6" ht="15" hidden="1" thickBot="1">
      <c r="C92" s="121">
        <v>1000</v>
      </c>
      <c r="D92" s="121">
        <v>500</v>
      </c>
      <c r="E92" s="121">
        <v>1</v>
      </c>
      <c r="F92" s="121" t="s">
        <v>60</v>
      </c>
    </row>
    <row r="93" spans="3:6" ht="15" hidden="1" thickBot="1">
      <c r="C93" s="121">
        <v>1000</v>
      </c>
      <c r="D93" s="121">
        <v>500</v>
      </c>
      <c r="E93" s="121">
        <v>1</v>
      </c>
      <c r="F93" s="121" t="s">
        <v>60</v>
      </c>
    </row>
    <row r="94" spans="3:6" ht="15" thickBot="1">
      <c r="C94" s="121">
        <v>1250</v>
      </c>
      <c r="D94" s="121">
        <v>800</v>
      </c>
      <c r="E94" s="121">
        <v>1</v>
      </c>
      <c r="F94" s="121" t="s">
        <v>59</v>
      </c>
    </row>
    <row r="95" spans="3:6" ht="15" thickBot="1">
      <c r="C95" s="121">
        <v>1250</v>
      </c>
      <c r="D95" s="121">
        <v>800</v>
      </c>
      <c r="E95" s="121">
        <v>1</v>
      </c>
      <c r="F95" s="121" t="s">
        <v>59</v>
      </c>
    </row>
    <row r="96" spans="3:6" ht="15" thickBot="1">
      <c r="C96" s="121">
        <v>1250</v>
      </c>
      <c r="D96" s="121">
        <v>800</v>
      </c>
      <c r="E96" s="121">
        <v>1</v>
      </c>
      <c r="F96" s="121" t="s">
        <v>59</v>
      </c>
    </row>
    <row r="97" spans="3:6" ht="15" thickBot="1">
      <c r="C97" s="121">
        <v>1250</v>
      </c>
      <c r="D97" s="121">
        <v>800</v>
      </c>
      <c r="E97" s="121">
        <v>1</v>
      </c>
      <c r="F97" s="121" t="s">
        <v>59</v>
      </c>
    </row>
    <row r="98" spans="3:6" ht="15" thickBot="1">
      <c r="C98" s="121">
        <v>1250</v>
      </c>
      <c r="D98" s="121">
        <v>800</v>
      </c>
      <c r="E98" s="121">
        <v>1</v>
      </c>
      <c r="F98" s="121" t="s">
        <v>59</v>
      </c>
    </row>
    <row r="99" spans="3:6" ht="15" thickBot="1">
      <c r="C99" s="121">
        <v>1250</v>
      </c>
      <c r="D99" s="121">
        <v>800</v>
      </c>
      <c r="E99" s="121">
        <v>1</v>
      </c>
      <c r="F99" s="121" t="s">
        <v>59</v>
      </c>
    </row>
    <row r="100" spans="3:6" ht="15" thickBot="1">
      <c r="C100" s="121">
        <v>1250</v>
      </c>
      <c r="D100" s="121">
        <v>800</v>
      </c>
      <c r="E100" s="121">
        <v>1</v>
      </c>
      <c r="F100" s="121" t="s">
        <v>59</v>
      </c>
    </row>
    <row r="101" spans="3:6" ht="15" thickBot="1">
      <c r="C101" s="121">
        <v>1250</v>
      </c>
      <c r="D101" s="121">
        <v>800</v>
      </c>
      <c r="E101" s="121">
        <v>1</v>
      </c>
      <c r="F101" s="121" t="s">
        <v>59</v>
      </c>
    </row>
    <row r="102" spans="3:6" ht="15" hidden="1" thickBot="1">
      <c r="C102" s="121">
        <v>1000</v>
      </c>
      <c r="D102" s="121">
        <v>500</v>
      </c>
      <c r="E102" s="121">
        <v>1</v>
      </c>
      <c r="F102" s="121" t="s">
        <v>60</v>
      </c>
    </row>
    <row r="103" spans="3:6" ht="15" hidden="1" thickBot="1">
      <c r="C103" s="121">
        <v>1000</v>
      </c>
      <c r="D103" s="121">
        <v>500</v>
      </c>
      <c r="E103" s="121">
        <v>1</v>
      </c>
      <c r="F103" s="121" t="s">
        <v>60</v>
      </c>
    </row>
    <row r="104" spans="3:6" ht="15" hidden="1" thickBot="1">
      <c r="C104" s="121">
        <v>1000</v>
      </c>
      <c r="D104" s="121">
        <v>500</v>
      </c>
      <c r="E104" s="121">
        <v>1</v>
      </c>
      <c r="F104" s="121" t="s">
        <v>60</v>
      </c>
    </row>
    <row r="105" spans="3:6" ht="15" hidden="1" thickBot="1">
      <c r="C105" s="121">
        <v>1000</v>
      </c>
      <c r="D105" s="121">
        <v>550</v>
      </c>
      <c r="E105" s="121">
        <v>1</v>
      </c>
      <c r="F105" s="121" t="s">
        <v>60</v>
      </c>
    </row>
    <row r="106" spans="3:6" ht="15" hidden="1" thickBot="1">
      <c r="C106" s="121">
        <v>1000</v>
      </c>
      <c r="D106" s="121">
        <v>550</v>
      </c>
      <c r="E106" s="121">
        <v>1</v>
      </c>
      <c r="F106" s="121" t="s">
        <v>60</v>
      </c>
    </row>
    <row r="107" spans="3:6" ht="15" hidden="1" thickBot="1">
      <c r="C107" s="121">
        <v>1000</v>
      </c>
      <c r="D107" s="121">
        <v>550</v>
      </c>
      <c r="E107" s="121">
        <v>1</v>
      </c>
      <c r="F107" s="121" t="s">
        <v>60</v>
      </c>
    </row>
    <row r="108" spans="3:6" ht="15" hidden="1" thickBot="1">
      <c r="C108" s="121">
        <v>1000</v>
      </c>
      <c r="D108" s="121">
        <v>550</v>
      </c>
      <c r="E108" s="121">
        <v>1</v>
      </c>
      <c r="F108" s="121" t="s">
        <v>60</v>
      </c>
    </row>
    <row r="109" spans="3:6" ht="15" hidden="1" thickBot="1">
      <c r="C109" s="121">
        <v>1000</v>
      </c>
      <c r="D109" s="121">
        <v>550</v>
      </c>
      <c r="E109" s="121">
        <v>1</v>
      </c>
      <c r="F109" s="121" t="s">
        <v>60</v>
      </c>
    </row>
    <row r="110" spans="3:6" ht="15" hidden="1" thickBot="1">
      <c r="C110" s="121">
        <v>1000</v>
      </c>
      <c r="D110" s="121">
        <v>550</v>
      </c>
      <c r="E110" s="121">
        <v>1</v>
      </c>
      <c r="F110" s="121" t="s">
        <v>60</v>
      </c>
    </row>
    <row r="111" spans="3:6" ht="15" hidden="1" thickBot="1">
      <c r="C111" s="121">
        <v>1000</v>
      </c>
      <c r="D111" s="121">
        <v>550</v>
      </c>
      <c r="E111" s="121">
        <v>1</v>
      </c>
      <c r="F111" s="121" t="s">
        <v>60</v>
      </c>
    </row>
    <row r="112" spans="3:6" ht="15" hidden="1" thickBot="1">
      <c r="C112" s="121">
        <v>1000</v>
      </c>
      <c r="D112" s="121">
        <v>550</v>
      </c>
      <c r="E112" s="121">
        <v>1</v>
      </c>
      <c r="F112" s="121" t="s">
        <v>60</v>
      </c>
    </row>
    <row r="113" spans="3:6" ht="15" hidden="1" thickBot="1">
      <c r="C113" s="121">
        <v>1000</v>
      </c>
      <c r="D113" s="121">
        <v>550</v>
      </c>
      <c r="E113" s="121">
        <v>1</v>
      </c>
      <c r="F113" s="121" t="s">
        <v>60</v>
      </c>
    </row>
    <row r="114" spans="3:6" ht="15" hidden="1" thickBot="1">
      <c r="C114" s="121">
        <v>1000</v>
      </c>
      <c r="D114" s="121">
        <v>550</v>
      </c>
      <c r="E114" s="121">
        <v>1</v>
      </c>
      <c r="F114" s="121" t="s">
        <v>60</v>
      </c>
    </row>
  </sheetData>
  <autoFilter ref="C4:J114" xr:uid="{00000000-0001-0000-0A00-000000000000}">
    <filterColumn colId="3">
      <filters>
        <filter val="VT-01"/>
      </filters>
    </filterColumn>
    <sortState xmlns:xlrd2="http://schemas.microsoft.com/office/spreadsheetml/2017/richdata2" ref="C5:J101">
      <sortCondition ref="C4:C114"/>
    </sortState>
  </autoFilter>
  <phoneticPr fontId="31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118"/>
  <sheetViews>
    <sheetView view="pageBreakPreview" topLeftCell="B1" zoomScale="120" zoomScaleNormal="120" zoomScaleSheetLayoutView="120" workbookViewId="0">
      <pane ySplit="8" topLeftCell="A9" activePane="bottomLeft" state="frozen"/>
      <selection pane="bottomLeft" activeCell="C12" sqref="C12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" t="s">
        <v>88</v>
      </c>
      <c r="B1" s="122"/>
      <c r="C1" s="122"/>
      <c r="D1" s="127" t="str">
        <f>R2</f>
        <v xml:space="preserve">26.04.24 그린산업_ 일우엠이씨_GS건설_아산탕정자이퍼스트시티 </v>
      </c>
      <c r="E1" s="127"/>
      <c r="F1" s="127"/>
      <c r="G1" s="128"/>
      <c r="R1" s="8" t="s">
        <v>81</v>
      </c>
    </row>
    <row r="2" spans="1:18" ht="16.5" customHeight="1">
      <c r="A2" s="123"/>
      <c r="B2" s="124"/>
      <c r="C2" s="124"/>
      <c r="D2" s="129"/>
      <c r="E2" s="129"/>
      <c r="F2" s="129"/>
      <c r="G2" s="130"/>
      <c r="R2" s="90" t="s">
        <v>203</v>
      </c>
    </row>
    <row r="3" spans="1:18" ht="16.5" customHeight="1">
      <c r="A3" s="123"/>
      <c r="B3" s="124"/>
      <c r="C3" s="124"/>
      <c r="D3" s="129"/>
      <c r="E3" s="129"/>
      <c r="F3" s="129"/>
      <c r="G3" s="130"/>
    </row>
    <row r="4" spans="1:18" ht="17.25" customHeight="1" thickBot="1">
      <c r="A4" s="125"/>
      <c r="B4" s="126"/>
      <c r="C4" s="126"/>
      <c r="D4" s="131"/>
      <c r="E4" s="131"/>
      <c r="F4" s="131"/>
      <c r="G4" s="132"/>
    </row>
    <row r="5" spans="1:18" ht="6.75" customHeight="1" thickTop="1">
      <c r="A5" s="91"/>
      <c r="B5" s="91"/>
      <c r="C5" s="91"/>
      <c r="D5" s="91"/>
      <c r="E5" s="91"/>
      <c r="F5" s="91"/>
      <c r="G5" s="91"/>
    </row>
    <row r="6" spans="1:18" s="10" customFormat="1" ht="18" customHeight="1" thickBot="1">
      <c r="A6" s="133" t="s">
        <v>1</v>
      </c>
      <c r="B6" s="135" t="s">
        <v>80</v>
      </c>
      <c r="C6" s="135" t="s">
        <v>4</v>
      </c>
      <c r="D6" s="135"/>
      <c r="E6" s="135" t="s">
        <v>51</v>
      </c>
      <c r="F6" s="135" t="s">
        <v>43</v>
      </c>
      <c r="G6" s="137" t="s">
        <v>18</v>
      </c>
      <c r="H6" s="9"/>
      <c r="I6" s="139" t="s">
        <v>10</v>
      </c>
      <c r="J6" s="139"/>
      <c r="K6" s="139"/>
      <c r="L6" s="139"/>
      <c r="M6" s="139"/>
      <c r="N6" s="139"/>
      <c r="O6" s="8"/>
    </row>
    <row r="7" spans="1:18" s="10" customFormat="1" ht="18" customHeight="1">
      <c r="A7" s="134"/>
      <c r="B7" s="136"/>
      <c r="C7" s="136" t="s">
        <v>77</v>
      </c>
      <c r="D7" s="136" t="s">
        <v>75</v>
      </c>
      <c r="E7" s="136"/>
      <c r="F7" s="136"/>
      <c r="G7" s="138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34"/>
      <c r="B8" s="136"/>
      <c r="C8" s="136"/>
      <c r="D8" s="136"/>
      <c r="E8" s="136"/>
      <c r="F8" s="136"/>
      <c r="G8" s="138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08" t="s">
        <v>101</v>
      </c>
      <c r="B9" s="65" t="s">
        <v>60</v>
      </c>
      <c r="C9" s="34">
        <v>850</v>
      </c>
      <c r="D9" s="34">
        <v>550</v>
      </c>
      <c r="E9" s="92"/>
      <c r="F9" s="92"/>
      <c r="G9" s="93"/>
      <c r="H9" s="13"/>
      <c r="I9" s="28"/>
      <c r="J9" s="26"/>
      <c r="K9" s="20"/>
      <c r="L9" s="21"/>
      <c r="M9" s="22"/>
      <c r="N9" s="26"/>
      <c r="O9" s="8"/>
      <c r="Q9" s="10" t="s">
        <v>204</v>
      </c>
    </row>
    <row r="10" spans="1:18" s="10" customFormat="1" ht="18" customHeight="1" thickBot="1">
      <c r="A10" s="108" t="s">
        <v>102</v>
      </c>
      <c r="B10" s="65" t="s">
        <v>60</v>
      </c>
      <c r="C10" s="34">
        <v>850</v>
      </c>
      <c r="D10" s="34">
        <v>550</v>
      </c>
      <c r="E10" s="77"/>
      <c r="F10" s="92"/>
      <c r="G10" s="93"/>
      <c r="H10" s="13"/>
      <c r="I10" s="28"/>
      <c r="J10" s="26"/>
      <c r="K10" s="20"/>
      <c r="L10" s="21"/>
      <c r="M10" s="22"/>
      <c r="N10" s="26"/>
      <c r="O10" s="8"/>
      <c r="Q10" s="10" t="s">
        <v>205</v>
      </c>
    </row>
    <row r="11" spans="1:18" s="10" customFormat="1" ht="18" customHeight="1" thickBot="1">
      <c r="A11" s="108" t="s">
        <v>103</v>
      </c>
      <c r="B11" s="65" t="s">
        <v>60</v>
      </c>
      <c r="C11" s="34">
        <v>850</v>
      </c>
      <c r="D11" s="34">
        <v>550</v>
      </c>
      <c r="E11" s="77"/>
      <c r="F11" s="92"/>
      <c r="G11" s="93"/>
      <c r="H11" s="13"/>
      <c r="I11" s="28"/>
      <c r="J11" s="26"/>
      <c r="K11" s="20"/>
      <c r="L11" s="21"/>
      <c r="M11" s="22"/>
      <c r="N11" s="26"/>
      <c r="O11" s="8"/>
      <c r="Q11" s="10" t="s">
        <v>206</v>
      </c>
    </row>
    <row r="12" spans="1:18" s="10" customFormat="1" ht="18" customHeight="1" thickBot="1">
      <c r="A12" s="108" t="s">
        <v>104</v>
      </c>
      <c r="B12" s="65" t="s">
        <v>60</v>
      </c>
      <c r="C12" s="34">
        <v>850</v>
      </c>
      <c r="D12" s="34">
        <v>550</v>
      </c>
      <c r="E12" s="77"/>
      <c r="F12" s="92"/>
      <c r="G12" s="93"/>
      <c r="H12" s="13"/>
      <c r="I12" s="28"/>
      <c r="J12" s="26"/>
      <c r="K12" s="20"/>
      <c r="L12" s="21"/>
      <c r="M12" s="22"/>
      <c r="N12" s="26"/>
      <c r="O12" s="8"/>
      <c r="Q12" s="10" t="s">
        <v>207</v>
      </c>
    </row>
    <row r="13" spans="1:18" s="10" customFormat="1" ht="18" customHeight="1" thickBot="1">
      <c r="A13" s="108" t="s">
        <v>105</v>
      </c>
      <c r="B13" s="65" t="s">
        <v>60</v>
      </c>
      <c r="C13" s="34">
        <v>900</v>
      </c>
      <c r="D13" s="34">
        <v>550</v>
      </c>
      <c r="E13" s="77"/>
      <c r="F13" s="92"/>
      <c r="G13" s="93"/>
      <c r="H13" s="13"/>
      <c r="I13" s="12"/>
      <c r="J13" s="12"/>
      <c r="K13" s="20"/>
      <c r="L13" s="21"/>
      <c r="M13" s="22"/>
      <c r="N13" s="12"/>
      <c r="O13" s="8"/>
      <c r="Q13" s="10" t="s">
        <v>208</v>
      </c>
    </row>
    <row r="14" spans="1:18" s="10" customFormat="1" ht="18" customHeight="1" thickBot="1">
      <c r="A14" s="108" t="s">
        <v>106</v>
      </c>
      <c r="B14" s="65" t="s">
        <v>60</v>
      </c>
      <c r="C14" s="34">
        <v>900</v>
      </c>
      <c r="D14" s="34">
        <v>550</v>
      </c>
      <c r="E14" s="77"/>
      <c r="F14" s="92"/>
      <c r="G14" s="93"/>
      <c r="H14" s="13"/>
      <c r="I14" s="28"/>
      <c r="J14" s="26"/>
      <c r="K14" s="20"/>
      <c r="L14" s="21"/>
      <c r="M14" s="22"/>
      <c r="N14" s="26"/>
      <c r="O14" s="8"/>
      <c r="Q14" s="10" t="s">
        <v>209</v>
      </c>
    </row>
    <row r="15" spans="1:18" s="10" customFormat="1" ht="18" customHeight="1" thickBot="1">
      <c r="A15" s="108" t="s">
        <v>107</v>
      </c>
      <c r="B15" s="65" t="s">
        <v>60</v>
      </c>
      <c r="C15" s="34">
        <v>900</v>
      </c>
      <c r="D15" s="34">
        <v>550</v>
      </c>
      <c r="E15" s="77"/>
      <c r="F15" s="92"/>
      <c r="G15" s="93"/>
      <c r="H15" s="13"/>
      <c r="I15" s="27"/>
      <c r="J15" s="25"/>
      <c r="K15" s="20"/>
      <c r="L15" s="21"/>
      <c r="M15" s="22"/>
      <c r="N15" s="25"/>
      <c r="O15" s="8"/>
      <c r="Q15" s="10" t="s">
        <v>210</v>
      </c>
    </row>
    <row r="16" spans="1:18" s="10" customFormat="1" ht="18" customHeight="1" thickBot="1">
      <c r="A16" s="108" t="s">
        <v>108</v>
      </c>
      <c r="B16" s="65" t="s">
        <v>60</v>
      </c>
      <c r="C16" s="34">
        <v>900</v>
      </c>
      <c r="D16" s="34">
        <v>550</v>
      </c>
      <c r="E16" s="77"/>
      <c r="F16" s="92"/>
      <c r="G16" s="93"/>
      <c r="H16" s="13"/>
      <c r="I16" s="28"/>
      <c r="J16" s="26"/>
      <c r="K16" s="20"/>
      <c r="L16" s="21"/>
      <c r="M16" s="22"/>
      <c r="N16" s="26"/>
      <c r="O16" s="8"/>
      <c r="Q16" s="10" t="s">
        <v>211</v>
      </c>
    </row>
    <row r="17" spans="1:17" s="10" customFormat="1" ht="18" customHeight="1" thickBot="1">
      <c r="A17" s="108" t="s">
        <v>109</v>
      </c>
      <c r="B17" s="65" t="s">
        <v>60</v>
      </c>
      <c r="C17" s="34">
        <v>900</v>
      </c>
      <c r="D17" s="34">
        <v>550</v>
      </c>
      <c r="E17" s="77"/>
      <c r="F17" s="92"/>
      <c r="G17" s="93"/>
      <c r="H17" s="13"/>
      <c r="I17" s="28"/>
      <c r="J17" s="26"/>
      <c r="K17" s="20"/>
      <c r="L17" s="21"/>
      <c r="M17" s="22"/>
      <c r="N17" s="26"/>
      <c r="O17" s="8"/>
      <c r="Q17" s="10" t="s">
        <v>212</v>
      </c>
    </row>
    <row r="18" spans="1:17" s="10" customFormat="1" ht="18" customHeight="1" thickBot="1">
      <c r="A18" s="108" t="s">
        <v>110</v>
      </c>
      <c r="B18" s="65" t="s">
        <v>60</v>
      </c>
      <c r="C18" s="34">
        <v>900</v>
      </c>
      <c r="D18" s="34">
        <v>550</v>
      </c>
      <c r="E18" s="77"/>
      <c r="F18" s="92"/>
      <c r="G18" s="93"/>
      <c r="H18" s="13"/>
      <c r="I18" s="28"/>
      <c r="J18" s="26"/>
      <c r="K18" s="20"/>
      <c r="L18" s="21"/>
      <c r="M18" s="22"/>
      <c r="N18" s="26"/>
      <c r="O18" s="8"/>
      <c r="Q18" s="10" t="s">
        <v>213</v>
      </c>
    </row>
    <row r="19" spans="1:17" s="10" customFormat="1" ht="18" customHeight="1" thickBot="1">
      <c r="A19" s="108" t="s">
        <v>111</v>
      </c>
      <c r="B19" s="65" t="s">
        <v>60</v>
      </c>
      <c r="C19" s="34">
        <v>900</v>
      </c>
      <c r="D19" s="34">
        <v>550</v>
      </c>
      <c r="E19" s="77"/>
      <c r="F19" s="92"/>
      <c r="G19" s="93"/>
      <c r="H19" s="13"/>
      <c r="I19" s="28"/>
      <c r="J19" s="26"/>
      <c r="K19" s="20"/>
      <c r="L19" s="21"/>
      <c r="M19" s="22"/>
      <c r="N19" s="26"/>
      <c r="O19" s="8"/>
      <c r="Q19" s="10" t="s">
        <v>214</v>
      </c>
    </row>
    <row r="20" spans="1:17" s="10" customFormat="1" ht="18" customHeight="1" thickBot="1">
      <c r="A20" s="108" t="s">
        <v>112</v>
      </c>
      <c r="B20" s="65" t="s">
        <v>60</v>
      </c>
      <c r="C20" s="34">
        <v>900</v>
      </c>
      <c r="D20" s="34">
        <v>550</v>
      </c>
      <c r="E20" s="92"/>
      <c r="F20" s="92"/>
      <c r="G20" s="93"/>
      <c r="H20" s="13"/>
      <c r="I20" s="28"/>
      <c r="J20" s="26"/>
      <c r="K20" s="20"/>
      <c r="L20" s="21"/>
      <c r="M20" s="22"/>
      <c r="N20" s="26"/>
      <c r="O20" s="8"/>
      <c r="Q20" s="10" t="s">
        <v>215</v>
      </c>
    </row>
    <row r="21" spans="1:17" s="10" customFormat="1" ht="18" customHeight="1" thickBot="1">
      <c r="A21" s="108" t="s">
        <v>113</v>
      </c>
      <c r="B21" s="65" t="s">
        <v>60</v>
      </c>
      <c r="C21" s="34">
        <v>900</v>
      </c>
      <c r="D21" s="34">
        <v>550</v>
      </c>
      <c r="E21" s="92"/>
      <c r="F21" s="92"/>
      <c r="G21" s="93"/>
      <c r="H21" s="13"/>
      <c r="I21" s="28"/>
      <c r="J21" s="26"/>
      <c r="K21" s="20"/>
      <c r="L21" s="21"/>
      <c r="M21" s="22"/>
      <c r="N21" s="26"/>
      <c r="O21" s="8"/>
      <c r="Q21" s="10" t="s">
        <v>216</v>
      </c>
    </row>
    <row r="22" spans="1:17" s="10" customFormat="1" ht="18" customHeight="1" thickBot="1">
      <c r="A22" s="108" t="s">
        <v>114</v>
      </c>
      <c r="B22" s="65" t="s">
        <v>60</v>
      </c>
      <c r="C22" s="34">
        <v>950</v>
      </c>
      <c r="D22" s="34">
        <v>500</v>
      </c>
      <c r="E22" s="92"/>
      <c r="F22" s="92"/>
      <c r="G22" s="93"/>
      <c r="H22" s="13"/>
      <c r="I22" s="28"/>
      <c r="J22" s="26"/>
      <c r="K22" s="20"/>
      <c r="L22" s="21"/>
      <c r="M22" s="22"/>
      <c r="N22" s="26"/>
      <c r="O22" s="8"/>
      <c r="Q22" s="10" t="s">
        <v>217</v>
      </c>
    </row>
    <row r="23" spans="1:17" s="10" customFormat="1" ht="18" customHeight="1" thickBot="1">
      <c r="A23" s="108" t="s">
        <v>115</v>
      </c>
      <c r="B23" s="65" t="s">
        <v>60</v>
      </c>
      <c r="C23" s="34">
        <v>950</v>
      </c>
      <c r="D23" s="34">
        <v>500</v>
      </c>
      <c r="E23" s="77"/>
      <c r="F23" s="92"/>
      <c r="G23" s="93"/>
      <c r="H23" s="13"/>
      <c r="I23" s="28"/>
      <c r="J23" s="26"/>
      <c r="K23" s="20"/>
      <c r="L23" s="21"/>
      <c r="M23" s="22"/>
      <c r="N23" s="26"/>
      <c r="O23" s="8"/>
      <c r="Q23" s="10" t="s">
        <v>218</v>
      </c>
    </row>
    <row r="24" spans="1:17" s="10" customFormat="1" ht="18" customHeight="1" thickBot="1">
      <c r="A24" s="108" t="s">
        <v>116</v>
      </c>
      <c r="B24" s="65" t="s">
        <v>60</v>
      </c>
      <c r="C24" s="34">
        <v>950</v>
      </c>
      <c r="D24" s="34">
        <v>500</v>
      </c>
      <c r="E24" s="77"/>
      <c r="F24" s="92"/>
      <c r="G24" s="93"/>
      <c r="H24" s="13"/>
      <c r="I24" s="12"/>
      <c r="J24" s="12"/>
      <c r="K24" s="20"/>
      <c r="L24" s="21"/>
      <c r="M24" s="22"/>
      <c r="N24" s="12"/>
      <c r="O24" s="8"/>
      <c r="Q24" s="10" t="s">
        <v>219</v>
      </c>
    </row>
    <row r="25" spans="1:17" s="10" customFormat="1" ht="18" customHeight="1" thickBot="1">
      <c r="A25" s="108" t="s">
        <v>117</v>
      </c>
      <c r="B25" s="65" t="s">
        <v>60</v>
      </c>
      <c r="C25" s="34">
        <v>950</v>
      </c>
      <c r="D25" s="34">
        <v>500</v>
      </c>
      <c r="E25" s="77"/>
      <c r="F25" s="92"/>
      <c r="G25" s="93"/>
      <c r="H25" s="13"/>
      <c r="I25" s="28"/>
      <c r="J25" s="26"/>
      <c r="K25" s="20"/>
      <c r="L25" s="21"/>
      <c r="M25" s="22"/>
      <c r="N25" s="26"/>
      <c r="O25" s="8"/>
      <c r="Q25" s="10" t="s">
        <v>220</v>
      </c>
    </row>
    <row r="26" spans="1:17" s="10" customFormat="1" ht="18" customHeight="1" thickBot="1">
      <c r="A26" s="108" t="s">
        <v>118</v>
      </c>
      <c r="B26" s="65" t="s">
        <v>60</v>
      </c>
      <c r="C26" s="34">
        <v>1000</v>
      </c>
      <c r="D26" s="34">
        <v>450</v>
      </c>
      <c r="E26" s="77"/>
      <c r="F26" s="92"/>
      <c r="G26" s="93"/>
      <c r="H26" s="13"/>
      <c r="I26" s="27"/>
      <c r="J26" s="25"/>
      <c r="K26" s="20"/>
      <c r="L26" s="21"/>
      <c r="M26" s="22"/>
      <c r="N26" s="25"/>
      <c r="O26" s="8"/>
      <c r="Q26" s="10" t="s">
        <v>221</v>
      </c>
    </row>
    <row r="27" spans="1:17" s="10" customFormat="1" ht="18" customHeight="1" thickBot="1">
      <c r="A27" s="108" t="s">
        <v>119</v>
      </c>
      <c r="B27" s="65" t="s">
        <v>60</v>
      </c>
      <c r="C27" s="34">
        <v>1000</v>
      </c>
      <c r="D27" s="34">
        <v>450</v>
      </c>
      <c r="E27" s="77"/>
      <c r="F27" s="92"/>
      <c r="G27" s="93"/>
      <c r="H27" s="13"/>
      <c r="I27" s="28"/>
      <c r="J27" s="26"/>
      <c r="K27" s="20"/>
      <c r="L27" s="21"/>
      <c r="M27" s="22"/>
      <c r="N27" s="26"/>
      <c r="O27" s="8"/>
      <c r="Q27" s="10" t="s">
        <v>222</v>
      </c>
    </row>
    <row r="28" spans="1:17" s="10" customFormat="1" ht="18" customHeight="1" thickBot="1">
      <c r="A28" s="108" t="s">
        <v>120</v>
      </c>
      <c r="B28" s="65" t="s">
        <v>60</v>
      </c>
      <c r="C28" s="34">
        <v>1000</v>
      </c>
      <c r="D28" s="34">
        <v>450</v>
      </c>
      <c r="E28" s="77"/>
      <c r="F28" s="92"/>
      <c r="G28" s="93"/>
      <c r="H28" s="13"/>
      <c r="I28" s="28"/>
      <c r="J28" s="26"/>
      <c r="K28" s="20"/>
      <c r="L28" s="21"/>
      <c r="M28" s="22"/>
      <c r="N28" s="26"/>
      <c r="O28" s="8"/>
      <c r="Q28" s="10" t="s">
        <v>223</v>
      </c>
    </row>
    <row r="29" spans="1:17" s="10" customFormat="1" ht="18" customHeight="1" thickBot="1">
      <c r="A29" s="108" t="s">
        <v>121</v>
      </c>
      <c r="B29" s="65" t="s">
        <v>60</v>
      </c>
      <c r="C29" s="34">
        <v>1000</v>
      </c>
      <c r="D29" s="34">
        <v>500</v>
      </c>
      <c r="E29" s="77"/>
      <c r="F29" s="92"/>
      <c r="G29" s="93"/>
      <c r="H29" s="13"/>
      <c r="I29" s="28"/>
      <c r="J29" s="26"/>
      <c r="K29" s="20"/>
      <c r="L29" s="21"/>
      <c r="M29" s="22"/>
      <c r="N29" s="26"/>
      <c r="O29" s="8"/>
      <c r="Q29" s="10" t="s">
        <v>224</v>
      </c>
    </row>
    <row r="30" spans="1:17" s="10" customFormat="1" ht="18" customHeight="1" thickBot="1">
      <c r="A30" s="108" t="s">
        <v>122</v>
      </c>
      <c r="B30" s="65" t="s">
        <v>60</v>
      </c>
      <c r="C30" s="34">
        <v>1000</v>
      </c>
      <c r="D30" s="34">
        <v>500</v>
      </c>
      <c r="E30" s="77"/>
      <c r="F30" s="92"/>
      <c r="G30" s="93"/>
      <c r="H30" s="13"/>
      <c r="I30" s="28"/>
      <c r="J30" s="26"/>
      <c r="K30" s="20"/>
      <c r="L30" s="21"/>
      <c r="M30" s="22"/>
      <c r="N30" s="26"/>
      <c r="O30" s="8"/>
      <c r="Q30" s="10" t="s">
        <v>225</v>
      </c>
    </row>
    <row r="31" spans="1:17" s="10" customFormat="1" ht="18" customHeight="1" thickBot="1">
      <c r="A31" s="108" t="s">
        <v>123</v>
      </c>
      <c r="B31" s="65" t="s">
        <v>60</v>
      </c>
      <c r="C31" s="34">
        <v>1000</v>
      </c>
      <c r="D31" s="34">
        <v>500</v>
      </c>
      <c r="E31" s="92"/>
      <c r="F31" s="92"/>
      <c r="G31" s="93"/>
      <c r="H31" s="13"/>
      <c r="I31" s="28"/>
      <c r="J31" s="26"/>
      <c r="K31" s="20"/>
      <c r="L31" s="21"/>
      <c r="M31" s="22"/>
      <c r="N31" s="26"/>
      <c r="O31" s="8"/>
      <c r="Q31" s="10" t="s">
        <v>226</v>
      </c>
    </row>
    <row r="32" spans="1:17" s="10" customFormat="1" ht="18" customHeight="1" thickBot="1">
      <c r="A32" s="108" t="s">
        <v>124</v>
      </c>
      <c r="B32" s="65" t="s">
        <v>60</v>
      </c>
      <c r="C32" s="34">
        <v>1000</v>
      </c>
      <c r="D32" s="34">
        <v>500</v>
      </c>
      <c r="E32" s="92"/>
      <c r="F32" s="92"/>
      <c r="G32" s="93"/>
      <c r="H32" s="13"/>
      <c r="I32" s="28"/>
      <c r="J32" s="26"/>
      <c r="K32" s="20"/>
      <c r="L32" s="21"/>
      <c r="M32" s="22"/>
      <c r="N32" s="26"/>
      <c r="O32" s="8"/>
      <c r="Q32" s="10" t="s">
        <v>227</v>
      </c>
    </row>
    <row r="33" spans="1:17" s="10" customFormat="1" ht="18" customHeight="1" thickBot="1">
      <c r="A33" s="108" t="s">
        <v>125</v>
      </c>
      <c r="B33" s="65" t="s">
        <v>60</v>
      </c>
      <c r="C33" s="34">
        <v>1000</v>
      </c>
      <c r="D33" s="34">
        <v>500</v>
      </c>
      <c r="E33" s="92"/>
      <c r="F33" s="92"/>
      <c r="G33" s="93"/>
      <c r="H33" s="13"/>
      <c r="I33" s="28"/>
      <c r="J33" s="26"/>
      <c r="K33" s="20"/>
      <c r="L33" s="21"/>
      <c r="M33" s="22"/>
      <c r="N33" s="26"/>
      <c r="O33" s="8"/>
      <c r="Q33" s="10" t="s">
        <v>228</v>
      </c>
    </row>
    <row r="34" spans="1:17" s="10" customFormat="1" ht="18" customHeight="1" thickBot="1">
      <c r="A34" s="108" t="s">
        <v>126</v>
      </c>
      <c r="B34" s="65" t="s">
        <v>60</v>
      </c>
      <c r="C34" s="34">
        <v>1000</v>
      </c>
      <c r="D34" s="34">
        <v>500</v>
      </c>
      <c r="E34" s="92"/>
      <c r="F34" s="92"/>
      <c r="G34" s="93"/>
      <c r="H34" s="13"/>
      <c r="I34" s="28"/>
      <c r="J34" s="26"/>
      <c r="K34" s="20"/>
      <c r="L34" s="21"/>
      <c r="M34" s="22"/>
      <c r="N34" s="26"/>
      <c r="O34" s="8"/>
      <c r="Q34" s="10" t="s">
        <v>229</v>
      </c>
    </row>
    <row r="35" spans="1:17" s="10" customFormat="1" ht="18" customHeight="1" thickBot="1">
      <c r="A35" s="108" t="s">
        <v>127</v>
      </c>
      <c r="B35" s="65" t="s">
        <v>60</v>
      </c>
      <c r="C35" s="34">
        <v>1000</v>
      </c>
      <c r="D35" s="34">
        <v>500</v>
      </c>
      <c r="E35" s="77"/>
      <c r="F35" s="92"/>
      <c r="G35" s="93"/>
      <c r="H35" s="13"/>
      <c r="I35" s="28"/>
      <c r="J35" s="26"/>
      <c r="K35" s="20"/>
      <c r="L35" s="21"/>
      <c r="M35" s="22"/>
      <c r="N35" s="26"/>
      <c r="O35" s="8"/>
      <c r="Q35" s="10" t="s">
        <v>230</v>
      </c>
    </row>
    <row r="36" spans="1:17" s="10" customFormat="1" ht="18" customHeight="1" thickBot="1">
      <c r="A36" s="108" t="s">
        <v>128</v>
      </c>
      <c r="B36" s="65" t="s">
        <v>60</v>
      </c>
      <c r="C36" s="34">
        <v>1000</v>
      </c>
      <c r="D36" s="34">
        <v>500</v>
      </c>
      <c r="E36" s="77"/>
      <c r="F36" s="92"/>
      <c r="G36" s="93"/>
      <c r="H36" s="13"/>
      <c r="I36" s="28"/>
      <c r="J36" s="26"/>
      <c r="K36" s="20"/>
      <c r="L36" s="21"/>
      <c r="M36" s="22"/>
      <c r="N36" s="26"/>
      <c r="O36" s="8"/>
      <c r="Q36" s="10" t="s">
        <v>231</v>
      </c>
    </row>
    <row r="37" spans="1:17" s="10" customFormat="1" ht="18" customHeight="1" thickBot="1">
      <c r="A37" s="108" t="s">
        <v>129</v>
      </c>
      <c r="B37" s="65" t="s">
        <v>60</v>
      </c>
      <c r="C37" s="34">
        <v>1000</v>
      </c>
      <c r="D37" s="34">
        <v>500</v>
      </c>
      <c r="E37" s="77"/>
      <c r="F37" s="92"/>
      <c r="G37" s="93"/>
      <c r="H37" s="13"/>
      <c r="I37" s="28"/>
      <c r="J37" s="26"/>
      <c r="K37" s="20"/>
      <c r="L37" s="21"/>
      <c r="M37" s="22"/>
      <c r="N37" s="26"/>
      <c r="O37" s="8"/>
      <c r="Q37" s="10" t="s">
        <v>232</v>
      </c>
    </row>
    <row r="38" spans="1:17" s="10" customFormat="1" ht="18" customHeight="1" thickBot="1">
      <c r="A38" s="108" t="s">
        <v>130</v>
      </c>
      <c r="B38" s="65" t="s">
        <v>60</v>
      </c>
      <c r="C38" s="34">
        <v>1000</v>
      </c>
      <c r="D38" s="34">
        <v>500</v>
      </c>
      <c r="E38" s="77"/>
      <c r="F38" s="92"/>
      <c r="G38" s="93"/>
      <c r="H38" s="13"/>
      <c r="I38" s="12"/>
      <c r="J38" s="12"/>
      <c r="K38" s="20"/>
      <c r="L38" s="21"/>
      <c r="M38" s="22"/>
      <c r="N38" s="12"/>
      <c r="O38" s="8"/>
      <c r="Q38" s="10" t="s">
        <v>233</v>
      </c>
    </row>
    <row r="39" spans="1:17" s="10" customFormat="1" ht="18" customHeight="1" thickBot="1">
      <c r="A39" s="108" t="s">
        <v>131</v>
      </c>
      <c r="B39" s="65" t="s">
        <v>60</v>
      </c>
      <c r="C39" s="34">
        <v>1000</v>
      </c>
      <c r="D39" s="34">
        <v>500</v>
      </c>
      <c r="E39" s="77"/>
      <c r="F39" s="92"/>
      <c r="G39" s="93"/>
      <c r="H39" s="13"/>
      <c r="I39" s="28"/>
      <c r="J39" s="26"/>
      <c r="K39" s="20"/>
      <c r="L39" s="21"/>
      <c r="M39" s="22"/>
      <c r="N39" s="26"/>
      <c r="O39" s="8"/>
      <c r="Q39" s="10" t="s">
        <v>234</v>
      </c>
    </row>
    <row r="40" spans="1:17" s="10" customFormat="1" ht="18" customHeight="1" thickBot="1">
      <c r="A40" s="108" t="s">
        <v>132</v>
      </c>
      <c r="B40" s="65" t="s">
        <v>60</v>
      </c>
      <c r="C40" s="34">
        <v>1000</v>
      </c>
      <c r="D40" s="34">
        <v>500</v>
      </c>
      <c r="E40" s="77"/>
      <c r="F40" s="92"/>
      <c r="G40" s="93"/>
      <c r="H40" s="13"/>
      <c r="I40" s="27"/>
      <c r="J40" s="25"/>
      <c r="K40" s="20"/>
      <c r="L40" s="21"/>
      <c r="M40" s="22"/>
      <c r="N40" s="25"/>
      <c r="O40" s="8"/>
      <c r="Q40" s="10" t="s">
        <v>235</v>
      </c>
    </row>
    <row r="41" spans="1:17" s="10" customFormat="1" ht="18" customHeight="1" thickBot="1">
      <c r="A41" s="108" t="s">
        <v>133</v>
      </c>
      <c r="B41" s="65" t="s">
        <v>60</v>
      </c>
      <c r="C41" s="34">
        <v>1000</v>
      </c>
      <c r="D41" s="34">
        <v>500</v>
      </c>
      <c r="E41" s="77"/>
      <c r="F41" s="92"/>
      <c r="G41" s="93"/>
      <c r="H41" s="13"/>
      <c r="I41" s="28"/>
      <c r="J41" s="26"/>
      <c r="K41" s="20"/>
      <c r="L41" s="21"/>
      <c r="M41" s="22"/>
      <c r="N41" s="26"/>
      <c r="O41" s="8"/>
      <c r="Q41" s="10" t="s">
        <v>236</v>
      </c>
    </row>
    <row r="42" spans="1:17" s="10" customFormat="1" ht="18" customHeight="1" thickBot="1">
      <c r="A42" s="108" t="s">
        <v>134</v>
      </c>
      <c r="B42" s="65" t="s">
        <v>60</v>
      </c>
      <c r="C42" s="34">
        <v>1000</v>
      </c>
      <c r="D42" s="34">
        <v>500</v>
      </c>
      <c r="E42" s="77"/>
      <c r="F42" s="92"/>
      <c r="G42" s="93"/>
      <c r="H42" s="13"/>
      <c r="I42" s="28"/>
      <c r="J42" s="26"/>
      <c r="K42" s="20"/>
      <c r="L42" s="21"/>
      <c r="M42" s="22"/>
      <c r="N42" s="26"/>
      <c r="O42" s="8"/>
      <c r="Q42" s="10" t="s">
        <v>237</v>
      </c>
    </row>
    <row r="43" spans="1:17" s="10" customFormat="1" ht="18" customHeight="1" thickBot="1">
      <c r="A43" s="108" t="s">
        <v>135</v>
      </c>
      <c r="B43" s="65" t="s">
        <v>60</v>
      </c>
      <c r="C43" s="34">
        <v>1000</v>
      </c>
      <c r="D43" s="34">
        <v>550</v>
      </c>
      <c r="E43" s="77"/>
      <c r="F43" s="92"/>
      <c r="G43" s="93"/>
      <c r="H43" s="13"/>
      <c r="I43" s="28"/>
      <c r="J43" s="26"/>
      <c r="K43" s="20"/>
      <c r="L43" s="21"/>
      <c r="M43" s="22"/>
      <c r="N43" s="26"/>
      <c r="O43" s="8"/>
      <c r="Q43" s="10" t="s">
        <v>238</v>
      </c>
    </row>
    <row r="44" spans="1:17" s="10" customFormat="1" ht="18" customHeight="1" thickBot="1">
      <c r="A44" s="108" t="s">
        <v>136</v>
      </c>
      <c r="B44" s="65" t="s">
        <v>60</v>
      </c>
      <c r="C44" s="34">
        <v>1000</v>
      </c>
      <c r="D44" s="34">
        <v>550</v>
      </c>
      <c r="E44" s="77"/>
      <c r="F44" s="92"/>
      <c r="G44" s="93"/>
      <c r="H44" s="13"/>
      <c r="I44" s="28"/>
      <c r="J44" s="26"/>
      <c r="K44" s="20"/>
      <c r="L44" s="21"/>
      <c r="M44" s="22"/>
      <c r="N44" s="26"/>
      <c r="O44" s="8"/>
      <c r="Q44" s="10" t="s">
        <v>239</v>
      </c>
    </row>
    <row r="45" spans="1:17" s="10" customFormat="1" ht="18" customHeight="1" thickBot="1">
      <c r="A45" s="108" t="s">
        <v>137</v>
      </c>
      <c r="B45" s="65" t="s">
        <v>60</v>
      </c>
      <c r="C45" s="34">
        <v>1000</v>
      </c>
      <c r="D45" s="34">
        <v>550</v>
      </c>
      <c r="E45" s="92"/>
      <c r="F45" s="92"/>
      <c r="G45" s="93"/>
      <c r="H45" s="13"/>
      <c r="I45" s="28"/>
      <c r="J45" s="26"/>
      <c r="K45" s="20"/>
      <c r="L45" s="21"/>
      <c r="M45" s="22"/>
      <c r="N45" s="26"/>
      <c r="O45" s="8"/>
      <c r="Q45" s="10" t="s">
        <v>240</v>
      </c>
    </row>
    <row r="46" spans="1:17" s="10" customFormat="1" ht="18" customHeight="1" thickBot="1">
      <c r="A46" s="108" t="s">
        <v>138</v>
      </c>
      <c r="B46" s="65" t="s">
        <v>60</v>
      </c>
      <c r="C46" s="34">
        <v>1000</v>
      </c>
      <c r="D46" s="34">
        <v>550</v>
      </c>
      <c r="E46" s="92"/>
      <c r="F46" s="92"/>
      <c r="G46" s="93"/>
      <c r="H46" s="13"/>
      <c r="I46" s="28"/>
      <c r="J46" s="26"/>
      <c r="K46" s="20"/>
      <c r="L46" s="21"/>
      <c r="M46" s="22"/>
      <c r="N46" s="26"/>
      <c r="O46" s="8"/>
      <c r="Q46" s="10" t="s">
        <v>241</v>
      </c>
    </row>
    <row r="47" spans="1:17" s="10" customFormat="1" ht="18" customHeight="1" thickBot="1">
      <c r="A47" s="108" t="s">
        <v>139</v>
      </c>
      <c r="B47" s="65" t="s">
        <v>60</v>
      </c>
      <c r="C47" s="34">
        <v>1000</v>
      </c>
      <c r="D47" s="34">
        <v>550</v>
      </c>
      <c r="E47" s="92"/>
      <c r="F47" s="92"/>
      <c r="G47" s="93"/>
      <c r="H47" s="13"/>
      <c r="I47" s="28"/>
      <c r="J47" s="26"/>
      <c r="K47" s="20"/>
      <c r="L47" s="21"/>
      <c r="M47" s="22"/>
      <c r="N47" s="26"/>
      <c r="O47" s="8"/>
      <c r="Q47" s="10" t="s">
        <v>242</v>
      </c>
    </row>
    <row r="48" spans="1:17" s="10" customFormat="1" ht="18" customHeight="1" thickBot="1">
      <c r="A48" s="108" t="s">
        <v>140</v>
      </c>
      <c r="B48" s="65" t="s">
        <v>60</v>
      </c>
      <c r="C48" s="34">
        <v>1000</v>
      </c>
      <c r="D48" s="34">
        <v>550</v>
      </c>
      <c r="E48" s="77"/>
      <c r="F48" s="92"/>
      <c r="G48" s="93"/>
      <c r="H48" s="13"/>
      <c r="I48" s="28"/>
      <c r="J48" s="26"/>
      <c r="K48" s="20"/>
      <c r="L48" s="21"/>
      <c r="M48" s="22"/>
      <c r="N48" s="26"/>
      <c r="O48" s="8"/>
      <c r="Q48" s="10" t="s">
        <v>243</v>
      </c>
    </row>
    <row r="49" spans="1:17" s="10" customFormat="1" ht="18" customHeight="1" thickBot="1">
      <c r="A49" s="108" t="s">
        <v>141</v>
      </c>
      <c r="B49" s="65" t="s">
        <v>60</v>
      </c>
      <c r="C49" s="34">
        <v>1000</v>
      </c>
      <c r="D49" s="34">
        <v>550</v>
      </c>
      <c r="E49" s="77"/>
      <c r="F49" s="92"/>
      <c r="G49" s="93"/>
      <c r="H49" s="13"/>
      <c r="I49" s="12"/>
      <c r="J49" s="12"/>
      <c r="K49" s="20"/>
      <c r="L49" s="21"/>
      <c r="M49" s="22"/>
      <c r="N49" s="12"/>
      <c r="O49" s="8"/>
      <c r="Q49" s="10" t="s">
        <v>244</v>
      </c>
    </row>
    <row r="50" spans="1:17" s="10" customFormat="1" ht="18" customHeight="1" thickBot="1">
      <c r="A50" s="108" t="s">
        <v>142</v>
      </c>
      <c r="B50" s="65" t="s">
        <v>60</v>
      </c>
      <c r="C50" s="34">
        <v>1000</v>
      </c>
      <c r="D50" s="34">
        <v>550</v>
      </c>
      <c r="E50" s="77"/>
      <c r="F50" s="92"/>
      <c r="G50" s="93"/>
      <c r="H50" s="13"/>
      <c r="I50" s="28"/>
      <c r="J50" s="26"/>
      <c r="K50" s="20"/>
      <c r="L50" s="21"/>
      <c r="M50" s="22"/>
      <c r="N50" s="26"/>
      <c r="O50" s="8"/>
      <c r="Q50" s="10" t="s">
        <v>245</v>
      </c>
    </row>
    <row r="51" spans="1:17" s="10" customFormat="1" ht="18" customHeight="1" thickBot="1">
      <c r="A51" s="108" t="s">
        <v>143</v>
      </c>
      <c r="B51" s="65" t="s">
        <v>60</v>
      </c>
      <c r="C51" s="34">
        <v>1000</v>
      </c>
      <c r="D51" s="34">
        <v>550</v>
      </c>
      <c r="E51" s="77"/>
      <c r="F51" s="92"/>
      <c r="G51" s="93"/>
      <c r="H51" s="13"/>
      <c r="I51" s="27"/>
      <c r="J51" s="25"/>
      <c r="K51" s="20"/>
      <c r="L51" s="21"/>
      <c r="M51" s="22"/>
      <c r="N51" s="25"/>
      <c r="O51" s="8"/>
      <c r="Q51" s="10" t="s">
        <v>246</v>
      </c>
    </row>
    <row r="52" spans="1:17" s="10" customFormat="1" ht="18" customHeight="1" thickBot="1">
      <c r="A52" s="108" t="s">
        <v>144</v>
      </c>
      <c r="B52" s="65" t="s">
        <v>60</v>
      </c>
      <c r="C52" s="34">
        <v>1000</v>
      </c>
      <c r="D52" s="34">
        <v>550</v>
      </c>
      <c r="E52" s="77"/>
      <c r="F52" s="92"/>
      <c r="G52" s="93"/>
      <c r="H52" s="13"/>
      <c r="I52" s="28"/>
      <c r="J52" s="26"/>
      <c r="K52" s="20"/>
      <c r="L52" s="21"/>
      <c r="M52" s="22"/>
      <c r="N52" s="26"/>
      <c r="O52" s="8"/>
      <c r="Q52" s="10" t="s">
        <v>247</v>
      </c>
    </row>
    <row r="53" spans="1:17" s="10" customFormat="1" ht="16.5">
      <c r="A53" s="108" t="s">
        <v>145</v>
      </c>
      <c r="B53" s="66" t="s">
        <v>59</v>
      </c>
      <c r="C53" s="34">
        <v>900</v>
      </c>
      <c r="D53" s="34">
        <v>800</v>
      </c>
      <c r="E53" s="77"/>
      <c r="F53" s="92"/>
      <c r="G53" s="93"/>
      <c r="H53" s="13"/>
      <c r="I53" s="7"/>
      <c r="J53" s="7"/>
      <c r="K53" s="20"/>
      <c r="L53" s="21"/>
      <c r="M53" s="22"/>
      <c r="N53" s="7"/>
      <c r="O53" s="8"/>
      <c r="Q53" s="10" t="s">
        <v>248</v>
      </c>
    </row>
    <row r="54" spans="1:17" s="10" customFormat="1" ht="16.5">
      <c r="A54" s="108" t="s">
        <v>146</v>
      </c>
      <c r="B54" s="66" t="s">
        <v>59</v>
      </c>
      <c r="C54" s="34">
        <v>900</v>
      </c>
      <c r="D54" s="34">
        <v>800</v>
      </c>
      <c r="E54" s="77"/>
      <c r="F54" s="92"/>
      <c r="G54" s="93"/>
      <c r="H54" s="13"/>
      <c r="I54" s="7"/>
      <c r="J54" s="7"/>
      <c r="K54" s="19"/>
      <c r="L54" s="19"/>
      <c r="M54" s="19"/>
      <c r="N54" s="7"/>
      <c r="O54" s="8"/>
      <c r="Q54" s="10" t="s">
        <v>249</v>
      </c>
    </row>
    <row r="55" spans="1:17" s="10" customFormat="1" ht="17.25" thickBot="1">
      <c r="A55" s="108" t="s">
        <v>147</v>
      </c>
      <c r="B55" s="66" t="s">
        <v>59</v>
      </c>
      <c r="C55" s="34">
        <v>900</v>
      </c>
      <c r="D55" s="34">
        <v>800</v>
      </c>
      <c r="E55" s="92"/>
      <c r="F55" s="92"/>
      <c r="G55" s="93"/>
      <c r="H55" s="13"/>
      <c r="I55" s="1"/>
      <c r="J55" s="140"/>
      <c r="K55" s="141"/>
      <c r="L55" s="8"/>
      <c r="M55" s="1"/>
      <c r="N55" s="140"/>
      <c r="O55" s="141"/>
      <c r="Q55" s="10" t="s">
        <v>250</v>
      </c>
    </row>
    <row r="56" spans="1:17" s="10" customFormat="1" ht="16.5">
      <c r="A56" s="108" t="s">
        <v>148</v>
      </c>
      <c r="B56" s="66" t="s">
        <v>59</v>
      </c>
      <c r="C56" s="34">
        <v>900</v>
      </c>
      <c r="D56" s="34">
        <v>800</v>
      </c>
      <c r="E56" s="77"/>
      <c r="F56" s="92"/>
      <c r="G56" s="93"/>
      <c r="H56" s="13"/>
      <c r="I56" s="7"/>
      <c r="J56" s="7"/>
      <c r="K56" s="20"/>
      <c r="L56" s="21"/>
      <c r="M56" s="22"/>
      <c r="N56" s="7"/>
      <c r="O56" s="8"/>
      <c r="Q56" s="10" t="s">
        <v>251</v>
      </c>
    </row>
    <row r="57" spans="1:17" s="10" customFormat="1" ht="16.5">
      <c r="A57" s="108" t="s">
        <v>149</v>
      </c>
      <c r="B57" s="66" t="s">
        <v>59</v>
      </c>
      <c r="C57" s="34">
        <v>900</v>
      </c>
      <c r="D57" s="34">
        <v>800</v>
      </c>
      <c r="E57" s="77"/>
      <c r="F57" s="92"/>
      <c r="G57" s="93"/>
      <c r="H57" s="13"/>
      <c r="I57" s="7"/>
      <c r="J57" s="7"/>
      <c r="K57" s="19"/>
      <c r="L57" s="19"/>
      <c r="M57" s="19"/>
      <c r="N57" s="7"/>
      <c r="O57" s="8"/>
      <c r="Q57" s="10" t="s">
        <v>252</v>
      </c>
    </row>
    <row r="58" spans="1:17" s="10" customFormat="1" ht="17.25" thickBot="1">
      <c r="A58" s="108" t="s">
        <v>150</v>
      </c>
      <c r="B58" s="66" t="s">
        <v>59</v>
      </c>
      <c r="C58" s="34">
        <v>900</v>
      </c>
      <c r="D58" s="34">
        <v>800</v>
      </c>
      <c r="E58" s="92"/>
      <c r="F58" s="92"/>
      <c r="G58" s="93"/>
      <c r="H58" s="13"/>
      <c r="I58" s="1"/>
      <c r="J58" s="140"/>
      <c r="K58" s="141"/>
      <c r="L58" s="8"/>
      <c r="M58" s="1"/>
      <c r="N58" s="140"/>
      <c r="O58" s="141"/>
      <c r="Q58" s="10" t="s">
        <v>253</v>
      </c>
    </row>
    <row r="59" spans="1:17" s="10" customFormat="1" ht="16.5">
      <c r="A59" s="108" t="s">
        <v>151</v>
      </c>
      <c r="B59" s="66" t="s">
        <v>59</v>
      </c>
      <c r="C59" s="34">
        <v>900</v>
      </c>
      <c r="D59" s="34">
        <v>800</v>
      </c>
      <c r="E59" s="77"/>
      <c r="F59" s="92"/>
      <c r="G59" s="93"/>
      <c r="H59" s="13"/>
      <c r="I59" s="7"/>
      <c r="J59" s="7"/>
      <c r="K59" s="20"/>
      <c r="L59" s="21"/>
      <c r="M59" s="22"/>
      <c r="N59" s="7"/>
      <c r="O59" s="8"/>
      <c r="Q59" s="10" t="s">
        <v>254</v>
      </c>
    </row>
    <row r="60" spans="1:17" s="10" customFormat="1" ht="16.5">
      <c r="A60" s="108" t="s">
        <v>152</v>
      </c>
      <c r="B60" s="66" t="s">
        <v>59</v>
      </c>
      <c r="C60" s="34">
        <v>900</v>
      </c>
      <c r="D60" s="34">
        <v>800</v>
      </c>
      <c r="E60" s="77"/>
      <c r="F60" s="92"/>
      <c r="G60" s="93"/>
      <c r="H60" s="13"/>
      <c r="I60" s="7"/>
      <c r="J60" s="7"/>
      <c r="K60" s="19"/>
      <c r="L60" s="19"/>
      <c r="M60" s="19"/>
      <c r="N60" s="7"/>
      <c r="O60" s="8"/>
      <c r="Q60" s="10" t="s">
        <v>255</v>
      </c>
    </row>
    <row r="61" spans="1:17" s="10" customFormat="1" ht="17.25" thickBot="1">
      <c r="A61" s="108" t="s">
        <v>153</v>
      </c>
      <c r="B61" s="66" t="s">
        <v>59</v>
      </c>
      <c r="C61" s="34">
        <v>950</v>
      </c>
      <c r="D61" s="34">
        <v>750</v>
      </c>
      <c r="E61" s="92"/>
      <c r="F61" s="92"/>
      <c r="G61" s="93"/>
      <c r="H61" s="13"/>
      <c r="I61" s="1"/>
      <c r="J61" s="140"/>
      <c r="K61" s="141"/>
      <c r="L61" s="8"/>
      <c r="M61" s="1"/>
      <c r="N61" s="140"/>
      <c r="O61" s="141"/>
      <c r="Q61" s="10" t="s">
        <v>256</v>
      </c>
    </row>
    <row r="62" spans="1:17" s="10" customFormat="1" ht="16.5">
      <c r="A62" s="108" t="s">
        <v>154</v>
      </c>
      <c r="B62" s="66" t="s">
        <v>59</v>
      </c>
      <c r="C62" s="34">
        <v>950</v>
      </c>
      <c r="D62" s="34">
        <v>750</v>
      </c>
      <c r="E62" s="77"/>
      <c r="F62" s="92"/>
      <c r="G62" s="93"/>
      <c r="H62" s="13"/>
      <c r="I62" s="7"/>
      <c r="J62" s="7"/>
      <c r="K62" s="20"/>
      <c r="L62" s="21"/>
      <c r="M62" s="22"/>
      <c r="N62" s="7"/>
      <c r="O62" s="8"/>
      <c r="Q62" s="10" t="s">
        <v>257</v>
      </c>
    </row>
    <row r="63" spans="1:17" s="10" customFormat="1" ht="16.5">
      <c r="A63" s="108" t="s">
        <v>155</v>
      </c>
      <c r="B63" s="66" t="s">
        <v>59</v>
      </c>
      <c r="C63" s="34">
        <v>950</v>
      </c>
      <c r="D63" s="34">
        <v>750</v>
      </c>
      <c r="E63" s="77"/>
      <c r="F63" s="92"/>
      <c r="G63" s="93"/>
      <c r="H63" s="13"/>
      <c r="I63" s="7"/>
      <c r="J63" s="7"/>
      <c r="K63" s="19"/>
      <c r="L63" s="19"/>
      <c r="M63" s="19"/>
      <c r="N63" s="7"/>
      <c r="O63" s="8"/>
      <c r="Q63" s="10" t="s">
        <v>258</v>
      </c>
    </row>
    <row r="64" spans="1:17" s="10" customFormat="1" ht="17.25" thickBot="1">
      <c r="A64" s="108" t="s">
        <v>156</v>
      </c>
      <c r="B64" s="66" t="s">
        <v>59</v>
      </c>
      <c r="C64" s="34">
        <v>950</v>
      </c>
      <c r="D64" s="34">
        <v>750</v>
      </c>
      <c r="E64" s="92"/>
      <c r="F64" s="92"/>
      <c r="G64" s="93"/>
      <c r="H64" s="13"/>
      <c r="I64" s="1"/>
      <c r="J64" s="140"/>
      <c r="K64" s="141"/>
      <c r="L64" s="8"/>
      <c r="M64" s="1"/>
      <c r="N64" s="140"/>
      <c r="O64" s="141"/>
      <c r="Q64" s="10" t="s">
        <v>259</v>
      </c>
    </row>
    <row r="65" spans="1:17" s="10" customFormat="1" ht="16.5">
      <c r="A65" s="108" t="s">
        <v>157</v>
      </c>
      <c r="B65" s="66" t="s">
        <v>59</v>
      </c>
      <c r="C65" s="34">
        <v>950</v>
      </c>
      <c r="D65" s="34">
        <v>750</v>
      </c>
      <c r="E65" s="77"/>
      <c r="F65" s="92"/>
      <c r="G65" s="93"/>
      <c r="H65" s="13"/>
      <c r="I65" s="7"/>
      <c r="J65" s="7"/>
      <c r="K65" s="20"/>
      <c r="L65" s="21"/>
      <c r="M65" s="22"/>
      <c r="N65" s="7"/>
      <c r="O65" s="8"/>
      <c r="Q65" s="10" t="s">
        <v>260</v>
      </c>
    </row>
    <row r="66" spans="1:17" s="10" customFormat="1" ht="16.5">
      <c r="A66" s="108" t="s">
        <v>158</v>
      </c>
      <c r="B66" s="66" t="s">
        <v>59</v>
      </c>
      <c r="C66" s="34">
        <v>1000</v>
      </c>
      <c r="D66" s="34">
        <v>650</v>
      </c>
      <c r="E66" s="77"/>
      <c r="F66" s="92"/>
      <c r="G66" s="93"/>
      <c r="H66" s="13"/>
      <c r="I66" s="7"/>
      <c r="J66" s="7"/>
      <c r="K66" s="19"/>
      <c r="L66" s="19"/>
      <c r="M66" s="19"/>
      <c r="N66" s="7"/>
      <c r="O66" s="8"/>
      <c r="Q66" s="10" t="s">
        <v>261</v>
      </c>
    </row>
    <row r="67" spans="1:17" s="10" customFormat="1" ht="17.25" thickBot="1">
      <c r="A67" s="108" t="s">
        <v>159</v>
      </c>
      <c r="B67" s="66" t="s">
        <v>59</v>
      </c>
      <c r="C67" s="34">
        <v>1000</v>
      </c>
      <c r="D67" s="34">
        <v>650</v>
      </c>
      <c r="E67" s="92"/>
      <c r="F67" s="92"/>
      <c r="G67" s="93"/>
      <c r="H67" s="13"/>
      <c r="I67" s="1"/>
      <c r="J67" s="140"/>
      <c r="K67" s="141"/>
      <c r="L67" s="8"/>
      <c r="M67" s="1"/>
      <c r="N67" s="140"/>
      <c r="O67" s="141"/>
      <c r="Q67" s="10" t="s">
        <v>262</v>
      </c>
    </row>
    <row r="68" spans="1:17" s="10" customFormat="1" ht="16.5">
      <c r="A68" s="108" t="s">
        <v>160</v>
      </c>
      <c r="B68" s="66" t="s">
        <v>59</v>
      </c>
      <c r="C68" s="34">
        <v>1000</v>
      </c>
      <c r="D68" s="34">
        <v>650</v>
      </c>
      <c r="E68" s="77"/>
      <c r="F68" s="92"/>
      <c r="G68" s="93"/>
      <c r="H68" s="13"/>
      <c r="I68" s="7"/>
      <c r="J68" s="7"/>
      <c r="K68" s="20"/>
      <c r="L68" s="21"/>
      <c r="M68" s="22"/>
      <c r="N68" s="7"/>
      <c r="O68" s="8"/>
      <c r="Q68" s="10" t="s">
        <v>263</v>
      </c>
    </row>
    <row r="69" spans="1:17" s="10" customFormat="1" ht="16.5">
      <c r="A69" s="108" t="s">
        <v>161</v>
      </c>
      <c r="B69" s="66" t="s">
        <v>59</v>
      </c>
      <c r="C69" s="34">
        <v>1000</v>
      </c>
      <c r="D69" s="34">
        <v>650</v>
      </c>
      <c r="E69" s="77"/>
      <c r="F69" s="92"/>
      <c r="G69" s="93"/>
      <c r="H69" s="13"/>
      <c r="I69" s="7"/>
      <c r="J69" s="7"/>
      <c r="K69" s="19"/>
      <c r="L69" s="19"/>
      <c r="M69" s="19"/>
      <c r="N69" s="7"/>
      <c r="O69" s="8"/>
      <c r="Q69" s="10" t="s">
        <v>264</v>
      </c>
    </row>
    <row r="70" spans="1:17" s="10" customFormat="1" ht="17.25" thickBot="1">
      <c r="A70" s="108" t="s">
        <v>162</v>
      </c>
      <c r="B70" s="66" t="s">
        <v>59</v>
      </c>
      <c r="C70" s="34">
        <v>1000</v>
      </c>
      <c r="D70" s="34">
        <v>650</v>
      </c>
      <c r="E70" s="92"/>
      <c r="F70" s="92"/>
      <c r="G70" s="93"/>
      <c r="H70" s="13"/>
      <c r="I70" s="1"/>
      <c r="J70" s="140"/>
      <c r="K70" s="141"/>
      <c r="L70" s="8"/>
      <c r="M70" s="1"/>
      <c r="N70" s="140"/>
      <c r="O70" s="141"/>
      <c r="Q70" s="10" t="s">
        <v>265</v>
      </c>
    </row>
    <row r="71" spans="1:17" s="10" customFormat="1" ht="16.5">
      <c r="A71" s="108" t="s">
        <v>163</v>
      </c>
      <c r="B71" s="66" t="s">
        <v>59</v>
      </c>
      <c r="C71" s="34">
        <v>1000</v>
      </c>
      <c r="D71" s="34">
        <v>650</v>
      </c>
      <c r="E71" s="77"/>
      <c r="F71" s="92"/>
      <c r="G71" s="93"/>
      <c r="H71" s="13"/>
      <c r="I71" s="7"/>
      <c r="J71" s="7"/>
      <c r="K71" s="20"/>
      <c r="L71" s="21"/>
      <c r="M71" s="22"/>
      <c r="N71" s="7"/>
      <c r="O71" s="8"/>
      <c r="Q71" s="10" t="s">
        <v>266</v>
      </c>
    </row>
    <row r="72" spans="1:17" s="10" customFormat="1" ht="16.5">
      <c r="A72" s="108" t="s">
        <v>164</v>
      </c>
      <c r="B72" s="66" t="s">
        <v>59</v>
      </c>
      <c r="C72" s="34">
        <v>1000</v>
      </c>
      <c r="D72" s="34">
        <v>650</v>
      </c>
      <c r="E72" s="77"/>
      <c r="F72" s="92"/>
      <c r="G72" s="93"/>
      <c r="H72" s="13"/>
      <c r="I72" s="7"/>
      <c r="J72" s="7"/>
      <c r="K72" s="19"/>
      <c r="L72" s="19"/>
      <c r="M72" s="19"/>
      <c r="N72" s="7"/>
      <c r="O72" s="8"/>
      <c r="Q72" s="10" t="s">
        <v>267</v>
      </c>
    </row>
    <row r="73" spans="1:17" s="10" customFormat="1" ht="17.25" thickBot="1">
      <c r="A73" s="108" t="s">
        <v>165</v>
      </c>
      <c r="B73" s="66" t="s">
        <v>59</v>
      </c>
      <c r="C73" s="34">
        <v>1000</v>
      </c>
      <c r="D73" s="34">
        <v>650</v>
      </c>
      <c r="E73" s="92"/>
      <c r="F73" s="92"/>
      <c r="G73" s="93"/>
      <c r="H73" s="13"/>
      <c r="I73" s="1"/>
      <c r="J73" s="140"/>
      <c r="K73" s="141"/>
      <c r="L73" s="8"/>
      <c r="M73" s="1"/>
      <c r="N73" s="140"/>
      <c r="O73" s="141"/>
      <c r="Q73" s="10" t="s">
        <v>268</v>
      </c>
    </row>
    <row r="74" spans="1:17" s="10" customFormat="1" ht="16.5">
      <c r="A74" s="108" t="s">
        <v>166</v>
      </c>
      <c r="B74" s="66" t="s">
        <v>59</v>
      </c>
      <c r="C74" s="34">
        <v>1000</v>
      </c>
      <c r="D74" s="34">
        <v>650</v>
      </c>
      <c r="E74" s="77"/>
      <c r="F74" s="92"/>
      <c r="G74" s="93"/>
      <c r="H74" s="13"/>
      <c r="I74" s="7"/>
      <c r="J74" s="7"/>
      <c r="K74" s="20"/>
      <c r="L74" s="21"/>
      <c r="M74" s="22"/>
      <c r="N74" s="7"/>
      <c r="O74" s="8"/>
      <c r="Q74" s="10" t="s">
        <v>269</v>
      </c>
    </row>
    <row r="75" spans="1:17" s="10" customFormat="1" ht="16.5">
      <c r="A75" s="108" t="s">
        <v>167</v>
      </c>
      <c r="B75" s="66" t="s">
        <v>59</v>
      </c>
      <c r="C75" s="34">
        <v>1000</v>
      </c>
      <c r="D75" s="34">
        <v>650</v>
      </c>
      <c r="E75" s="77"/>
      <c r="F75" s="92"/>
      <c r="G75" s="93"/>
      <c r="H75" s="13"/>
      <c r="I75" s="7"/>
      <c r="J75" s="7"/>
      <c r="K75" s="19"/>
      <c r="L75" s="19"/>
      <c r="M75" s="19"/>
      <c r="N75" s="7"/>
      <c r="O75" s="8"/>
      <c r="Q75" s="10" t="s">
        <v>270</v>
      </c>
    </row>
    <row r="76" spans="1:17" s="10" customFormat="1" ht="17.25" thickBot="1">
      <c r="A76" s="108" t="s">
        <v>168</v>
      </c>
      <c r="B76" s="66" t="s">
        <v>59</v>
      </c>
      <c r="C76" s="34">
        <v>1000</v>
      </c>
      <c r="D76" s="34">
        <v>650</v>
      </c>
      <c r="E76" s="92"/>
      <c r="F76" s="92"/>
      <c r="G76" s="93"/>
      <c r="H76" s="13"/>
      <c r="I76" s="1"/>
      <c r="J76" s="140"/>
      <c r="K76" s="141"/>
      <c r="L76" s="8"/>
      <c r="M76" s="1"/>
      <c r="N76" s="140"/>
      <c r="O76" s="141"/>
      <c r="Q76" s="10" t="s">
        <v>271</v>
      </c>
    </row>
    <row r="77" spans="1:17" s="10" customFormat="1" ht="16.5">
      <c r="A77" s="108" t="s">
        <v>169</v>
      </c>
      <c r="B77" s="66" t="s">
        <v>59</v>
      </c>
      <c r="C77" s="34">
        <v>1000</v>
      </c>
      <c r="D77" s="34">
        <v>650</v>
      </c>
      <c r="E77" s="77"/>
      <c r="F77" s="92"/>
      <c r="G77" s="93"/>
      <c r="H77" s="13"/>
      <c r="I77" s="7"/>
      <c r="J77" s="7"/>
      <c r="K77" s="20"/>
      <c r="L77" s="21"/>
      <c r="M77" s="22"/>
      <c r="N77" s="7"/>
      <c r="O77" s="8"/>
      <c r="Q77" s="10" t="s">
        <v>272</v>
      </c>
    </row>
    <row r="78" spans="1:17" s="10" customFormat="1" ht="16.5">
      <c r="A78" s="108" t="s">
        <v>170</v>
      </c>
      <c r="B78" s="66" t="s">
        <v>59</v>
      </c>
      <c r="C78" s="34">
        <v>1000</v>
      </c>
      <c r="D78" s="34">
        <v>750</v>
      </c>
      <c r="E78" s="77"/>
      <c r="F78" s="92"/>
      <c r="G78" s="93"/>
      <c r="H78" s="13"/>
      <c r="I78" s="7"/>
      <c r="J78" s="7"/>
      <c r="K78" s="19"/>
      <c r="L78" s="19"/>
      <c r="M78" s="19"/>
      <c r="N78" s="7"/>
      <c r="O78" s="8"/>
      <c r="Q78" s="10" t="s">
        <v>273</v>
      </c>
    </row>
    <row r="79" spans="1:17" s="10" customFormat="1" ht="17.25" thickBot="1">
      <c r="A79" s="108" t="s">
        <v>171</v>
      </c>
      <c r="B79" s="66" t="s">
        <v>59</v>
      </c>
      <c r="C79" s="34">
        <v>1000</v>
      </c>
      <c r="D79" s="34">
        <v>750</v>
      </c>
      <c r="E79" s="92"/>
      <c r="F79" s="92"/>
      <c r="G79" s="93"/>
      <c r="H79" s="13"/>
      <c r="I79" s="1"/>
      <c r="J79" s="140"/>
      <c r="K79" s="141"/>
      <c r="L79" s="8"/>
      <c r="M79" s="1"/>
      <c r="N79" s="140"/>
      <c r="O79" s="141"/>
      <c r="Q79" s="10" t="s">
        <v>274</v>
      </c>
    </row>
    <row r="80" spans="1:17" s="10" customFormat="1" ht="16.5">
      <c r="A80" s="108" t="s">
        <v>172</v>
      </c>
      <c r="B80" s="66" t="s">
        <v>59</v>
      </c>
      <c r="C80" s="34">
        <v>1000</v>
      </c>
      <c r="D80" s="34">
        <v>750</v>
      </c>
      <c r="E80" s="77"/>
      <c r="F80" s="92"/>
      <c r="G80" s="93"/>
      <c r="H80" s="13"/>
      <c r="I80" s="7"/>
      <c r="J80" s="7"/>
      <c r="K80" s="20"/>
      <c r="L80" s="21"/>
      <c r="M80" s="22"/>
      <c r="N80" s="7"/>
      <c r="O80" s="8"/>
      <c r="Q80" s="10" t="s">
        <v>275</v>
      </c>
    </row>
    <row r="81" spans="1:17" s="10" customFormat="1" ht="16.5">
      <c r="A81" s="108" t="s">
        <v>173</v>
      </c>
      <c r="B81" s="66" t="s">
        <v>59</v>
      </c>
      <c r="C81" s="34">
        <v>1000</v>
      </c>
      <c r="D81" s="34">
        <v>750</v>
      </c>
      <c r="E81" s="77"/>
      <c r="F81" s="92"/>
      <c r="G81" s="93"/>
      <c r="H81" s="13"/>
      <c r="I81" s="7"/>
      <c r="J81" s="7"/>
      <c r="K81" s="19"/>
      <c r="L81" s="19"/>
      <c r="M81" s="19"/>
      <c r="N81" s="7"/>
      <c r="O81" s="8"/>
      <c r="Q81" s="10" t="s">
        <v>276</v>
      </c>
    </row>
    <row r="82" spans="1:17" s="10" customFormat="1" ht="17.25" thickBot="1">
      <c r="A82" s="108" t="s">
        <v>174</v>
      </c>
      <c r="B82" s="66" t="s">
        <v>59</v>
      </c>
      <c r="C82" s="34">
        <v>1000</v>
      </c>
      <c r="D82" s="34">
        <v>750</v>
      </c>
      <c r="E82" s="92"/>
      <c r="F82" s="92"/>
      <c r="G82" s="93"/>
      <c r="H82" s="13"/>
      <c r="I82" s="1"/>
      <c r="J82" s="140"/>
      <c r="K82" s="141"/>
      <c r="L82" s="8"/>
      <c r="M82" s="1"/>
      <c r="N82" s="140"/>
      <c r="O82" s="141"/>
      <c r="Q82" s="10" t="s">
        <v>277</v>
      </c>
    </row>
    <row r="83" spans="1:17" s="10" customFormat="1" ht="16.5">
      <c r="A83" s="108" t="s">
        <v>175</v>
      </c>
      <c r="B83" s="66" t="s">
        <v>59</v>
      </c>
      <c r="C83" s="34">
        <v>1000</v>
      </c>
      <c r="D83" s="34">
        <v>750</v>
      </c>
      <c r="E83" s="77"/>
      <c r="F83" s="92"/>
      <c r="G83" s="93"/>
      <c r="H83" s="13"/>
      <c r="I83" s="7"/>
      <c r="J83" s="7"/>
      <c r="K83" s="20"/>
      <c r="L83" s="21"/>
      <c r="M83" s="22"/>
      <c r="N83" s="7"/>
      <c r="O83" s="8"/>
      <c r="Q83" s="10" t="s">
        <v>278</v>
      </c>
    </row>
    <row r="84" spans="1:17" s="10" customFormat="1" ht="16.5">
      <c r="A84" s="108" t="s">
        <v>176</v>
      </c>
      <c r="B84" s="66" t="s">
        <v>59</v>
      </c>
      <c r="C84" s="34">
        <v>1000</v>
      </c>
      <c r="D84" s="34">
        <v>800</v>
      </c>
      <c r="E84" s="77"/>
      <c r="F84" s="92"/>
      <c r="G84" s="93"/>
      <c r="H84" s="13"/>
      <c r="I84" s="7"/>
      <c r="J84" s="7"/>
      <c r="K84" s="19"/>
      <c r="L84" s="19"/>
      <c r="M84" s="19"/>
      <c r="N84" s="7"/>
      <c r="O84" s="8"/>
      <c r="Q84" s="10" t="s">
        <v>279</v>
      </c>
    </row>
    <row r="85" spans="1:17" s="10" customFormat="1" ht="17.25" thickBot="1">
      <c r="A85" s="108" t="s">
        <v>177</v>
      </c>
      <c r="B85" s="66" t="s">
        <v>59</v>
      </c>
      <c r="C85" s="34">
        <v>1000</v>
      </c>
      <c r="D85" s="34">
        <v>800</v>
      </c>
      <c r="E85" s="92"/>
      <c r="F85" s="92"/>
      <c r="G85" s="93"/>
      <c r="H85" s="13"/>
      <c r="I85" s="1"/>
      <c r="J85" s="140"/>
      <c r="K85" s="141"/>
      <c r="L85" s="8"/>
      <c r="M85" s="1"/>
      <c r="N85" s="140"/>
      <c r="O85" s="141"/>
      <c r="Q85" s="10" t="s">
        <v>280</v>
      </c>
    </row>
    <row r="86" spans="1:17" s="10" customFormat="1" ht="16.5">
      <c r="A86" s="108" t="s">
        <v>178</v>
      </c>
      <c r="B86" s="66" t="s">
        <v>59</v>
      </c>
      <c r="C86" s="34">
        <v>1000</v>
      </c>
      <c r="D86" s="34">
        <v>800</v>
      </c>
      <c r="E86" s="77"/>
      <c r="F86" s="92"/>
      <c r="G86" s="93"/>
      <c r="H86" s="13"/>
      <c r="I86" s="7"/>
      <c r="J86" s="7"/>
      <c r="K86" s="20"/>
      <c r="L86" s="21"/>
      <c r="M86" s="22"/>
      <c r="N86" s="7"/>
      <c r="O86" s="8"/>
      <c r="Q86" s="10" t="s">
        <v>281</v>
      </c>
    </row>
    <row r="87" spans="1:17" s="10" customFormat="1" ht="16.5">
      <c r="A87" s="108" t="s">
        <v>179</v>
      </c>
      <c r="B87" s="66" t="s">
        <v>59</v>
      </c>
      <c r="C87" s="34">
        <v>1000</v>
      </c>
      <c r="D87" s="34">
        <v>800</v>
      </c>
      <c r="E87" s="77"/>
      <c r="F87" s="92"/>
      <c r="G87" s="93"/>
      <c r="H87" s="13"/>
      <c r="I87" s="7"/>
      <c r="J87" s="7"/>
      <c r="K87" s="19"/>
      <c r="L87" s="19"/>
      <c r="M87" s="19"/>
      <c r="N87" s="7"/>
      <c r="O87" s="8"/>
      <c r="Q87" s="10" t="s">
        <v>282</v>
      </c>
    </row>
    <row r="88" spans="1:17" s="10" customFormat="1" ht="17.25" thickBot="1">
      <c r="A88" s="108" t="s">
        <v>180</v>
      </c>
      <c r="B88" s="66" t="s">
        <v>59</v>
      </c>
      <c r="C88" s="34">
        <v>1000</v>
      </c>
      <c r="D88" s="34">
        <v>800</v>
      </c>
      <c r="E88" s="92"/>
      <c r="F88" s="92"/>
      <c r="G88" s="93"/>
      <c r="H88" s="13"/>
      <c r="I88" s="1"/>
      <c r="J88" s="140"/>
      <c r="K88" s="141"/>
      <c r="L88" s="8"/>
      <c r="M88" s="1"/>
      <c r="N88" s="140"/>
      <c r="O88" s="141"/>
      <c r="Q88" s="10" t="s">
        <v>283</v>
      </c>
    </row>
    <row r="89" spans="1:17" s="10" customFormat="1" ht="16.5">
      <c r="A89" s="108" t="s">
        <v>181</v>
      </c>
      <c r="B89" s="66" t="s">
        <v>59</v>
      </c>
      <c r="C89" s="34">
        <v>1000</v>
      </c>
      <c r="D89" s="34">
        <v>800</v>
      </c>
      <c r="E89" s="77"/>
      <c r="F89" s="92"/>
      <c r="G89" s="93"/>
      <c r="H89" s="13"/>
      <c r="I89" s="7"/>
      <c r="J89" s="7"/>
      <c r="K89" s="20"/>
      <c r="L89" s="21"/>
      <c r="M89" s="22"/>
      <c r="N89" s="7"/>
      <c r="O89" s="8"/>
      <c r="Q89" s="10" t="s">
        <v>284</v>
      </c>
    </row>
    <row r="90" spans="1:17" s="10" customFormat="1" ht="16.5">
      <c r="A90" s="108" t="s">
        <v>182</v>
      </c>
      <c r="B90" s="66" t="s">
        <v>59</v>
      </c>
      <c r="C90" s="34">
        <v>1000</v>
      </c>
      <c r="D90" s="34">
        <v>800</v>
      </c>
      <c r="E90" s="77"/>
      <c r="F90" s="92"/>
      <c r="G90" s="93"/>
      <c r="H90" s="13"/>
      <c r="I90" s="7"/>
      <c r="J90" s="7"/>
      <c r="K90" s="19"/>
      <c r="L90" s="19"/>
      <c r="M90" s="19"/>
      <c r="N90" s="7"/>
      <c r="O90" s="8"/>
      <c r="Q90" s="10" t="s">
        <v>285</v>
      </c>
    </row>
    <row r="91" spans="1:17" s="10" customFormat="1" ht="17.25" thickBot="1">
      <c r="A91" s="108" t="s">
        <v>183</v>
      </c>
      <c r="B91" s="66" t="s">
        <v>59</v>
      </c>
      <c r="C91" s="34">
        <v>1000</v>
      </c>
      <c r="D91" s="34">
        <v>800</v>
      </c>
      <c r="E91" s="92"/>
      <c r="F91" s="92"/>
      <c r="G91" s="93"/>
      <c r="H91" s="13"/>
      <c r="I91" s="1"/>
      <c r="J91" s="140"/>
      <c r="K91" s="141"/>
      <c r="L91" s="8"/>
      <c r="M91" s="1"/>
      <c r="N91" s="140"/>
      <c r="O91" s="141"/>
      <c r="Q91" s="10" t="s">
        <v>286</v>
      </c>
    </row>
    <row r="92" spans="1:17" s="10" customFormat="1" ht="16.5">
      <c r="A92" s="108" t="s">
        <v>184</v>
      </c>
      <c r="B92" s="66" t="s">
        <v>59</v>
      </c>
      <c r="C92" s="34">
        <v>1000</v>
      </c>
      <c r="D92" s="34">
        <v>800</v>
      </c>
      <c r="E92" s="77"/>
      <c r="F92" s="92"/>
      <c r="G92" s="93"/>
      <c r="H92" s="13"/>
      <c r="I92" s="7"/>
      <c r="J92" s="7"/>
      <c r="K92" s="20"/>
      <c r="L92" s="21"/>
      <c r="M92" s="22"/>
      <c r="N92" s="7"/>
      <c r="O92" s="8"/>
      <c r="Q92" s="10" t="s">
        <v>287</v>
      </c>
    </row>
    <row r="93" spans="1:17" s="10" customFormat="1" ht="16.5">
      <c r="A93" s="108" t="s">
        <v>185</v>
      </c>
      <c r="B93" s="66" t="s">
        <v>59</v>
      </c>
      <c r="C93" s="34">
        <v>1000</v>
      </c>
      <c r="D93" s="34">
        <v>800</v>
      </c>
      <c r="E93" s="77"/>
      <c r="F93" s="92"/>
      <c r="G93" s="93"/>
      <c r="H93" s="13"/>
      <c r="I93" s="7"/>
      <c r="J93" s="7"/>
      <c r="K93" s="19"/>
      <c r="L93" s="19"/>
      <c r="M93" s="19"/>
      <c r="N93" s="7"/>
      <c r="O93" s="8"/>
      <c r="Q93" s="10" t="s">
        <v>288</v>
      </c>
    </row>
    <row r="94" spans="1:17" s="10" customFormat="1" ht="17.25" thickBot="1">
      <c r="A94" s="108" t="s">
        <v>186</v>
      </c>
      <c r="B94" s="66" t="s">
        <v>59</v>
      </c>
      <c r="C94" s="34">
        <v>1000</v>
      </c>
      <c r="D94" s="34">
        <v>800</v>
      </c>
      <c r="E94" s="92"/>
      <c r="F94" s="92"/>
      <c r="G94" s="93"/>
      <c r="H94" s="13"/>
      <c r="I94" s="1"/>
      <c r="J94" s="140"/>
      <c r="K94" s="141"/>
      <c r="L94" s="8"/>
      <c r="M94" s="1"/>
      <c r="N94" s="140"/>
      <c r="O94" s="141"/>
      <c r="Q94" s="10" t="s">
        <v>289</v>
      </c>
    </row>
    <row r="95" spans="1:17" s="10" customFormat="1" ht="16.5">
      <c r="A95" s="108" t="s">
        <v>187</v>
      </c>
      <c r="B95" s="66" t="s">
        <v>59</v>
      </c>
      <c r="C95" s="34">
        <v>1000</v>
      </c>
      <c r="D95" s="34">
        <v>800</v>
      </c>
      <c r="E95" s="77"/>
      <c r="F95" s="92"/>
      <c r="G95" s="93"/>
      <c r="H95" s="13"/>
      <c r="I95" s="7"/>
      <c r="J95" s="7"/>
      <c r="K95" s="20"/>
      <c r="L95" s="21"/>
      <c r="M95" s="22"/>
      <c r="N95" s="7"/>
      <c r="O95" s="8"/>
      <c r="Q95" s="10" t="s">
        <v>290</v>
      </c>
    </row>
    <row r="96" spans="1:17" s="10" customFormat="1" ht="16.5">
      <c r="A96" s="108" t="s">
        <v>188</v>
      </c>
      <c r="B96" s="66" t="s">
        <v>59</v>
      </c>
      <c r="C96" s="34">
        <v>1000</v>
      </c>
      <c r="D96" s="34">
        <v>800</v>
      </c>
      <c r="E96" s="77"/>
      <c r="F96" s="92"/>
      <c r="G96" s="93"/>
      <c r="H96" s="13"/>
      <c r="I96" s="7"/>
      <c r="J96" s="7"/>
      <c r="K96" s="19"/>
      <c r="L96" s="19"/>
      <c r="M96" s="19"/>
      <c r="N96" s="7"/>
      <c r="O96" s="8"/>
      <c r="Q96" s="10" t="s">
        <v>291</v>
      </c>
    </row>
    <row r="97" spans="1:17" s="10" customFormat="1" ht="17.25" thickBot="1">
      <c r="A97" s="108" t="s">
        <v>189</v>
      </c>
      <c r="B97" s="66" t="s">
        <v>59</v>
      </c>
      <c r="C97" s="34">
        <v>1000</v>
      </c>
      <c r="D97" s="34">
        <v>800</v>
      </c>
      <c r="E97" s="92"/>
      <c r="F97" s="92"/>
      <c r="G97" s="93"/>
      <c r="H97" s="13"/>
      <c r="I97" s="1"/>
      <c r="J97" s="140"/>
      <c r="K97" s="141"/>
      <c r="L97" s="8"/>
      <c r="M97" s="1"/>
      <c r="N97" s="140"/>
      <c r="O97" s="141"/>
      <c r="Q97" s="10" t="s">
        <v>292</v>
      </c>
    </row>
    <row r="98" spans="1:17" s="10" customFormat="1" ht="16.5">
      <c r="A98" s="108" t="s">
        <v>190</v>
      </c>
      <c r="B98" s="66" t="s">
        <v>59</v>
      </c>
      <c r="C98" s="34">
        <v>1000</v>
      </c>
      <c r="D98" s="34">
        <v>800</v>
      </c>
      <c r="E98" s="77"/>
      <c r="F98" s="92"/>
      <c r="G98" s="93"/>
      <c r="H98" s="13"/>
      <c r="I98" s="7"/>
      <c r="J98" s="7"/>
      <c r="K98" s="20"/>
      <c r="L98" s="21"/>
      <c r="M98" s="22"/>
      <c r="N98" s="7"/>
      <c r="O98" s="8"/>
      <c r="Q98" s="10" t="s">
        <v>293</v>
      </c>
    </row>
    <row r="99" spans="1:17" s="10" customFormat="1" ht="16.5">
      <c r="A99" s="108" t="s">
        <v>191</v>
      </c>
      <c r="B99" s="66" t="s">
        <v>59</v>
      </c>
      <c r="C99" s="34">
        <v>1000</v>
      </c>
      <c r="D99" s="34">
        <v>800</v>
      </c>
      <c r="E99" s="77"/>
      <c r="F99" s="92"/>
      <c r="G99" s="93"/>
      <c r="H99" s="13"/>
      <c r="I99" s="7"/>
      <c r="J99" s="7"/>
      <c r="K99" s="19"/>
      <c r="L99" s="19"/>
      <c r="M99" s="19"/>
      <c r="N99" s="7"/>
      <c r="O99" s="8"/>
      <c r="Q99" s="10" t="s">
        <v>294</v>
      </c>
    </row>
    <row r="100" spans="1:17" s="10" customFormat="1" ht="17.25" thickBot="1">
      <c r="A100" s="108" t="s">
        <v>192</v>
      </c>
      <c r="B100" s="66" t="s">
        <v>59</v>
      </c>
      <c r="C100" s="34">
        <v>1000</v>
      </c>
      <c r="D100" s="34">
        <v>800</v>
      </c>
      <c r="E100" s="92"/>
      <c r="F100" s="92"/>
      <c r="G100" s="93"/>
      <c r="H100" s="13"/>
      <c r="I100" s="1"/>
      <c r="J100" s="140"/>
      <c r="K100" s="141"/>
      <c r="L100" s="8"/>
      <c r="M100" s="1"/>
      <c r="N100" s="140"/>
      <c r="O100" s="141"/>
      <c r="Q100" s="10" t="s">
        <v>295</v>
      </c>
    </row>
    <row r="101" spans="1:17" s="10" customFormat="1" ht="16.5">
      <c r="A101" s="108" t="s">
        <v>193</v>
      </c>
      <c r="B101" s="66" t="s">
        <v>59</v>
      </c>
      <c r="C101" s="34">
        <v>1000</v>
      </c>
      <c r="D101" s="34">
        <v>800</v>
      </c>
      <c r="E101" s="77"/>
      <c r="F101" s="92"/>
      <c r="G101" s="93"/>
      <c r="H101" s="13"/>
      <c r="I101" s="7"/>
      <c r="J101" s="7"/>
      <c r="K101" s="20"/>
      <c r="L101" s="21"/>
      <c r="M101" s="22"/>
      <c r="N101" s="7"/>
      <c r="O101" s="8"/>
      <c r="Q101" s="10" t="s">
        <v>296</v>
      </c>
    </row>
    <row r="102" spans="1:17" s="10" customFormat="1" ht="16.5">
      <c r="A102" s="108" t="s">
        <v>194</v>
      </c>
      <c r="B102" s="66" t="s">
        <v>59</v>
      </c>
      <c r="C102" s="34">
        <v>1000</v>
      </c>
      <c r="D102" s="34">
        <v>800</v>
      </c>
      <c r="E102" s="77"/>
      <c r="F102" s="92"/>
      <c r="G102" s="93"/>
      <c r="H102" s="13"/>
      <c r="I102" s="7"/>
      <c r="J102" s="7"/>
      <c r="K102" s="19"/>
      <c r="L102" s="19"/>
      <c r="M102" s="19"/>
      <c r="N102" s="7"/>
      <c r="O102" s="8"/>
      <c r="Q102" s="10" t="s">
        <v>297</v>
      </c>
    </row>
    <row r="103" spans="1:17" s="10" customFormat="1" ht="17.25" thickBot="1">
      <c r="A103" s="108" t="s">
        <v>195</v>
      </c>
      <c r="B103" s="66" t="s">
        <v>59</v>
      </c>
      <c r="C103" s="34">
        <v>1000</v>
      </c>
      <c r="D103" s="34">
        <v>800</v>
      </c>
      <c r="E103" s="92"/>
      <c r="F103" s="92"/>
      <c r="G103" s="93"/>
      <c r="H103" s="13"/>
      <c r="I103" s="1"/>
      <c r="J103" s="140"/>
      <c r="K103" s="141"/>
      <c r="L103" s="8"/>
      <c r="M103" s="1"/>
      <c r="N103" s="140"/>
      <c r="O103" s="141"/>
      <c r="Q103" s="10" t="s">
        <v>298</v>
      </c>
    </row>
    <row r="104" spans="1:17" s="10" customFormat="1" ht="16.5">
      <c r="A104" s="108" t="s">
        <v>196</v>
      </c>
      <c r="B104" s="66" t="s">
        <v>59</v>
      </c>
      <c r="C104" s="34">
        <v>1000</v>
      </c>
      <c r="D104" s="34">
        <v>800</v>
      </c>
      <c r="E104" s="77"/>
      <c r="F104" s="92"/>
      <c r="G104" s="93"/>
      <c r="H104" s="13"/>
      <c r="I104" s="7"/>
      <c r="J104" s="7"/>
      <c r="K104" s="20"/>
      <c r="L104" s="21"/>
      <c r="M104" s="22"/>
      <c r="N104" s="7"/>
      <c r="O104" s="8"/>
      <c r="Q104" s="10" t="s">
        <v>299</v>
      </c>
    </row>
    <row r="105" spans="1:17" s="10" customFormat="1" ht="16.5">
      <c r="A105" s="108" t="s">
        <v>197</v>
      </c>
      <c r="B105" s="66" t="s">
        <v>59</v>
      </c>
      <c r="C105" s="34">
        <v>1000</v>
      </c>
      <c r="D105" s="34">
        <v>800</v>
      </c>
      <c r="E105" s="77"/>
      <c r="F105" s="92"/>
      <c r="G105" s="93"/>
      <c r="H105" s="13"/>
      <c r="I105" s="7"/>
      <c r="J105" s="7"/>
      <c r="K105" s="19"/>
      <c r="L105" s="19"/>
      <c r="M105" s="19"/>
      <c r="N105" s="7"/>
      <c r="O105" s="8"/>
      <c r="Q105" s="10" t="s">
        <v>300</v>
      </c>
    </row>
    <row r="106" spans="1:17" s="10" customFormat="1" ht="17.25" thickBot="1">
      <c r="A106" s="108" t="s">
        <v>198</v>
      </c>
      <c r="B106" s="66" t="s">
        <v>59</v>
      </c>
      <c r="C106" s="34">
        <v>1000</v>
      </c>
      <c r="D106" s="34">
        <v>800</v>
      </c>
      <c r="E106" s="92"/>
      <c r="F106" s="92"/>
      <c r="G106" s="93"/>
      <c r="H106" s="13"/>
      <c r="I106" s="1"/>
      <c r="J106" s="140"/>
      <c r="K106" s="141"/>
      <c r="L106" s="8"/>
      <c r="M106" s="1"/>
      <c r="N106" s="140"/>
      <c r="O106" s="141"/>
      <c r="Q106" s="10" t="s">
        <v>301</v>
      </c>
    </row>
    <row r="107" spans="1:17" s="10" customFormat="1" ht="16.5">
      <c r="A107" s="108" t="s">
        <v>199</v>
      </c>
      <c r="B107" s="66" t="s">
        <v>59</v>
      </c>
      <c r="C107" s="34">
        <v>1200</v>
      </c>
      <c r="D107" s="34">
        <v>800</v>
      </c>
      <c r="E107" s="77"/>
      <c r="F107" s="92"/>
      <c r="G107" s="93"/>
      <c r="H107" s="13"/>
      <c r="I107" s="7"/>
      <c r="J107" s="7"/>
      <c r="K107" s="20"/>
      <c r="L107" s="21"/>
      <c r="M107" s="22"/>
      <c r="N107" s="7"/>
      <c r="O107" s="8"/>
      <c r="Q107" s="10" t="s">
        <v>302</v>
      </c>
    </row>
    <row r="108" spans="1:17" s="10" customFormat="1" ht="16.5">
      <c r="A108" s="108" t="s">
        <v>89</v>
      </c>
      <c r="B108" s="66" t="s">
        <v>59</v>
      </c>
      <c r="C108" s="34">
        <v>1250</v>
      </c>
      <c r="D108" s="34">
        <v>800</v>
      </c>
      <c r="E108" s="77"/>
      <c r="F108" s="92"/>
      <c r="G108" s="93"/>
      <c r="H108" s="13"/>
      <c r="I108" s="7"/>
      <c r="J108" s="7"/>
      <c r="K108" s="19"/>
      <c r="L108" s="19"/>
      <c r="M108" s="19"/>
      <c r="N108" s="7"/>
      <c r="O108" s="8"/>
      <c r="Q108" s="10" t="s">
        <v>303</v>
      </c>
    </row>
    <row r="109" spans="1:17" s="10" customFormat="1" ht="17.25" thickBot="1">
      <c r="A109" s="108" t="s">
        <v>90</v>
      </c>
      <c r="B109" s="66" t="s">
        <v>59</v>
      </c>
      <c r="C109" s="34">
        <v>1250</v>
      </c>
      <c r="D109" s="34">
        <v>800</v>
      </c>
      <c r="E109" s="92"/>
      <c r="F109" s="92"/>
      <c r="G109" s="93"/>
      <c r="H109" s="13"/>
      <c r="I109" s="1"/>
      <c r="J109" s="140"/>
      <c r="K109" s="141"/>
      <c r="L109" s="8"/>
      <c r="M109" s="1"/>
      <c r="N109" s="140"/>
      <c r="O109" s="141"/>
      <c r="Q109" s="10" t="s">
        <v>304</v>
      </c>
    </row>
    <row r="110" spans="1:17" s="10" customFormat="1" ht="16.5">
      <c r="A110" s="108" t="s">
        <v>91</v>
      </c>
      <c r="B110" s="66" t="s">
        <v>59</v>
      </c>
      <c r="C110" s="34">
        <v>1250</v>
      </c>
      <c r="D110" s="34">
        <v>800</v>
      </c>
      <c r="E110" s="77"/>
      <c r="F110" s="92"/>
      <c r="G110" s="93"/>
      <c r="H110" s="13"/>
      <c r="I110" s="7"/>
      <c r="J110" s="7"/>
      <c r="K110" s="20"/>
      <c r="L110" s="21"/>
      <c r="M110" s="22"/>
      <c r="N110" s="7"/>
      <c r="O110" s="8"/>
      <c r="Q110" s="10" t="s">
        <v>305</v>
      </c>
    </row>
    <row r="111" spans="1:17" s="10" customFormat="1" ht="16.5">
      <c r="A111" s="108" t="s">
        <v>92</v>
      </c>
      <c r="B111" s="66" t="s">
        <v>59</v>
      </c>
      <c r="C111" s="34">
        <v>1250</v>
      </c>
      <c r="D111" s="34">
        <v>800</v>
      </c>
      <c r="E111" s="77"/>
      <c r="F111" s="92"/>
      <c r="G111" s="93"/>
      <c r="H111" s="13"/>
      <c r="I111" s="7"/>
      <c r="J111" s="7"/>
      <c r="K111" s="19"/>
      <c r="L111" s="19"/>
      <c r="M111" s="19"/>
      <c r="N111" s="7"/>
      <c r="O111" s="8"/>
      <c r="Q111" s="10" t="s">
        <v>306</v>
      </c>
    </row>
    <row r="112" spans="1:17" s="10" customFormat="1" ht="16.5">
      <c r="A112" s="108" t="s">
        <v>93</v>
      </c>
      <c r="B112" s="66" t="s">
        <v>59</v>
      </c>
      <c r="C112" s="34">
        <v>1250</v>
      </c>
      <c r="D112" s="34">
        <v>800</v>
      </c>
      <c r="E112" s="92"/>
      <c r="F112" s="92"/>
      <c r="G112" s="93"/>
      <c r="H112" s="13"/>
      <c r="I112" s="1"/>
      <c r="J112" s="140"/>
      <c r="K112" s="141"/>
      <c r="L112" s="8"/>
      <c r="M112" s="1"/>
      <c r="N112" s="140"/>
      <c r="O112" s="141"/>
      <c r="Q112" s="10" t="s">
        <v>307</v>
      </c>
    </row>
    <row r="113" spans="1:17" s="10" customFormat="1" ht="16.5">
      <c r="A113" s="108" t="s">
        <v>94</v>
      </c>
      <c r="B113" s="66" t="s">
        <v>59</v>
      </c>
      <c r="C113" s="34">
        <v>1250</v>
      </c>
      <c r="D113" s="34">
        <v>800</v>
      </c>
      <c r="E113" s="77"/>
      <c r="F113" s="92"/>
      <c r="G113" s="93"/>
      <c r="H113" s="13"/>
      <c r="I113" s="7"/>
      <c r="J113" s="7"/>
      <c r="K113" s="19"/>
      <c r="L113" s="19"/>
      <c r="M113" s="19"/>
      <c r="N113" s="7"/>
      <c r="O113" s="8"/>
      <c r="Q113" s="10" t="s">
        <v>308</v>
      </c>
    </row>
    <row r="114" spans="1:17" s="10" customFormat="1" ht="16.5">
      <c r="A114" s="108" t="s">
        <v>95</v>
      </c>
      <c r="B114" s="66" t="s">
        <v>59</v>
      </c>
      <c r="C114" s="34">
        <v>1250</v>
      </c>
      <c r="D114" s="34">
        <v>800</v>
      </c>
      <c r="E114" s="92"/>
      <c r="F114" s="92"/>
      <c r="G114" s="93"/>
      <c r="H114" s="13"/>
      <c r="I114" s="1"/>
      <c r="J114" s="140"/>
      <c r="K114" s="141"/>
      <c r="L114" s="8"/>
      <c r="M114" s="1"/>
      <c r="N114" s="140"/>
      <c r="O114" s="141"/>
      <c r="Q114" s="10" t="s">
        <v>309</v>
      </c>
    </row>
    <row r="115" spans="1:17" ht="16.5">
      <c r="A115" s="108" t="s">
        <v>96</v>
      </c>
      <c r="B115" s="66" t="s">
        <v>59</v>
      </c>
      <c r="C115" s="34">
        <v>1250</v>
      </c>
      <c r="D115" s="34">
        <v>800</v>
      </c>
      <c r="E115" s="77"/>
      <c r="F115" s="92"/>
      <c r="G115" s="93"/>
      <c r="Q115" s="10" t="s">
        <v>310</v>
      </c>
    </row>
    <row r="116" spans="1:17" ht="16.5">
      <c r="A116" s="108" t="s">
        <v>97</v>
      </c>
      <c r="B116" s="66" t="s">
        <v>59</v>
      </c>
      <c r="C116" s="34">
        <v>1250</v>
      </c>
      <c r="D116" s="34">
        <v>800</v>
      </c>
      <c r="E116" s="77"/>
      <c r="F116" s="92"/>
      <c r="G116" s="93"/>
      <c r="Q116" s="10" t="s">
        <v>311</v>
      </c>
    </row>
    <row r="117" spans="1:17" ht="16.5">
      <c r="A117" s="108" t="s">
        <v>98</v>
      </c>
      <c r="B117" s="66" t="s">
        <v>59</v>
      </c>
      <c r="C117" s="34">
        <v>1250</v>
      </c>
      <c r="D117" s="34">
        <v>800</v>
      </c>
      <c r="E117" s="92"/>
      <c r="F117" s="92"/>
      <c r="G117" s="93"/>
      <c r="Q117" s="10" t="s">
        <v>312</v>
      </c>
    </row>
    <row r="118" spans="1:17" ht="16.5">
      <c r="A118" s="108" t="s">
        <v>99</v>
      </c>
      <c r="B118" s="66" t="s">
        <v>59</v>
      </c>
      <c r="C118" s="34">
        <v>1250</v>
      </c>
      <c r="D118" s="34">
        <v>800</v>
      </c>
      <c r="E118" s="77"/>
      <c r="F118" s="92"/>
      <c r="G118" s="93"/>
      <c r="Q118" s="10" t="s">
        <v>313</v>
      </c>
    </row>
  </sheetData>
  <mergeCells count="53">
    <mergeCell ref="I112:K112"/>
    <mergeCell ref="M112:O112"/>
    <mergeCell ref="I114:K114"/>
    <mergeCell ref="M114:O114"/>
    <mergeCell ref="I103:K103"/>
    <mergeCell ref="M103:O103"/>
    <mergeCell ref="I106:K106"/>
    <mergeCell ref="M106:O106"/>
    <mergeCell ref="I109:K109"/>
    <mergeCell ref="M109:O109"/>
    <mergeCell ref="I94:K94"/>
    <mergeCell ref="M94:O94"/>
    <mergeCell ref="I97:K97"/>
    <mergeCell ref="M97:O97"/>
    <mergeCell ref="I100:K100"/>
    <mergeCell ref="M100:O100"/>
    <mergeCell ref="I85:K85"/>
    <mergeCell ref="M85:O85"/>
    <mergeCell ref="I88:K88"/>
    <mergeCell ref="M88:O88"/>
    <mergeCell ref="I91:K91"/>
    <mergeCell ref="M91:O91"/>
    <mergeCell ref="I76:K76"/>
    <mergeCell ref="M76:O76"/>
    <mergeCell ref="I79:K79"/>
    <mergeCell ref="M79:O79"/>
    <mergeCell ref="I82:K82"/>
    <mergeCell ref="M82:O82"/>
    <mergeCell ref="I67:K67"/>
    <mergeCell ref="M67:O67"/>
    <mergeCell ref="I70:K70"/>
    <mergeCell ref="M70:O70"/>
    <mergeCell ref="I73:K73"/>
    <mergeCell ref="M73:O73"/>
    <mergeCell ref="I58:K58"/>
    <mergeCell ref="M58:O58"/>
    <mergeCell ref="I61:K61"/>
    <mergeCell ref="M61:O61"/>
    <mergeCell ref="I64:K64"/>
    <mergeCell ref="M64:O64"/>
    <mergeCell ref="I6:N6"/>
    <mergeCell ref="C7:C8"/>
    <mergeCell ref="D7:D8"/>
    <mergeCell ref="I55:K55"/>
    <mergeCell ref="M55:O55"/>
    <mergeCell ref="A1:C4"/>
    <mergeCell ref="D1:G4"/>
    <mergeCell ref="A6:A8"/>
    <mergeCell ref="B6:B8"/>
    <mergeCell ref="C6:D6"/>
    <mergeCell ref="E6:E8"/>
    <mergeCell ref="F6:F8"/>
    <mergeCell ref="G6:G8"/>
  </mergeCells>
  <phoneticPr fontId="31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55"/>
  <sheetViews>
    <sheetView topLeftCell="A37" zoomScaleNormal="100" zoomScaleSheetLayoutView="100" workbookViewId="0">
      <selection activeCell="G39" sqref="G39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"/>
      <c r="B1" s="1"/>
      <c r="C1" s="1"/>
      <c r="D1" s="1"/>
      <c r="E1" s="148" t="s">
        <v>83</v>
      </c>
      <c r="F1" s="149"/>
      <c r="G1" s="149"/>
      <c r="H1" s="149" t="str">
        <f>'1. 소켓인수검사'!R2</f>
        <v xml:space="preserve">26.04.24 그린산업_ 일우엠이씨_GS건설_아산탕정자이퍼스트시티 </v>
      </c>
      <c r="I1" s="149"/>
      <c r="J1" s="149"/>
      <c r="K1" s="149"/>
      <c r="L1" s="149"/>
      <c r="M1" s="149"/>
      <c r="N1" s="149"/>
      <c r="O1" s="154"/>
    </row>
    <row r="2" spans="1:15" ht="16.5" customHeight="1">
      <c r="A2" s="1"/>
      <c r="B2" s="1"/>
      <c r="C2" s="1"/>
      <c r="D2" s="1"/>
      <c r="E2" s="150"/>
      <c r="F2" s="151"/>
      <c r="G2" s="151"/>
      <c r="H2" s="151"/>
      <c r="I2" s="151"/>
      <c r="J2" s="151"/>
      <c r="K2" s="151"/>
      <c r="L2" s="151"/>
      <c r="M2" s="151"/>
      <c r="N2" s="151"/>
      <c r="O2" s="155"/>
    </row>
    <row r="3" spans="1:15" ht="16.5" customHeight="1">
      <c r="A3" s="1"/>
      <c r="B3" s="1"/>
      <c r="C3" s="1"/>
      <c r="D3" s="1"/>
      <c r="E3" s="152"/>
      <c r="F3" s="153"/>
      <c r="G3" s="153"/>
      <c r="H3" s="153"/>
      <c r="I3" s="153"/>
      <c r="J3" s="153"/>
      <c r="K3" s="153"/>
      <c r="L3" s="153"/>
      <c r="M3" s="153"/>
      <c r="N3" s="153"/>
      <c r="O3" s="156"/>
    </row>
    <row r="4" spans="1:15" ht="8.1" customHeight="1">
      <c r="A4" s="157"/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</row>
    <row r="5" spans="1:15" ht="26.45" customHeight="1">
      <c r="A5" s="158" t="s">
        <v>70</v>
      </c>
      <c r="B5" s="159" t="s">
        <v>80</v>
      </c>
      <c r="C5" s="147" t="s">
        <v>4</v>
      </c>
      <c r="D5" s="147"/>
      <c r="E5" s="147" t="s">
        <v>25</v>
      </c>
      <c r="F5" s="144" t="s">
        <v>68</v>
      </c>
      <c r="G5" s="142" t="s">
        <v>21</v>
      </c>
      <c r="H5" s="143"/>
      <c r="I5" s="143"/>
      <c r="J5" s="162"/>
      <c r="K5" s="142" t="s">
        <v>35</v>
      </c>
      <c r="L5" s="143"/>
      <c r="M5" s="143"/>
      <c r="N5" s="143"/>
      <c r="O5" s="144" t="s">
        <v>2</v>
      </c>
    </row>
    <row r="6" spans="1:15" ht="16.5" customHeight="1">
      <c r="A6" s="158"/>
      <c r="B6" s="160"/>
      <c r="C6" s="147" t="s">
        <v>77</v>
      </c>
      <c r="D6" s="147" t="s">
        <v>75</v>
      </c>
      <c r="E6" s="147"/>
      <c r="F6" s="145"/>
      <c r="G6" s="147" t="s">
        <v>77</v>
      </c>
      <c r="H6" s="147"/>
      <c r="I6" s="147" t="s">
        <v>75</v>
      </c>
      <c r="J6" s="147"/>
      <c r="K6" s="147" t="s">
        <v>79</v>
      </c>
      <c r="L6" s="147"/>
      <c r="M6" s="142" t="s">
        <v>76</v>
      </c>
      <c r="N6" s="143"/>
      <c r="O6" s="145"/>
    </row>
    <row r="7" spans="1:15">
      <c r="A7" s="158"/>
      <c r="B7" s="161"/>
      <c r="C7" s="147"/>
      <c r="D7" s="147"/>
      <c r="E7" s="147"/>
      <c r="F7" s="146"/>
      <c r="G7" s="110" t="s">
        <v>4</v>
      </c>
      <c r="H7" s="110" t="s">
        <v>32</v>
      </c>
      <c r="I7" s="113" t="s">
        <v>4</v>
      </c>
      <c r="J7" s="112" t="s">
        <v>32</v>
      </c>
      <c r="K7" s="110" t="s">
        <v>4</v>
      </c>
      <c r="L7" s="110" t="s">
        <v>68</v>
      </c>
      <c r="M7" s="110" t="s">
        <v>4</v>
      </c>
      <c r="N7" s="111" t="s">
        <v>68</v>
      </c>
      <c r="O7" s="146"/>
    </row>
    <row r="8" spans="1:15">
      <c r="A8" s="114" t="str">
        <f>'1. 소켓인수검사'!A9</f>
        <v>01</v>
      </c>
      <c r="B8" s="119" t="s">
        <v>60</v>
      </c>
      <c r="C8" s="73">
        <f>'1. 소켓인수검사'!C9</f>
        <v>850</v>
      </c>
      <c r="D8" s="73">
        <f>'1. 소켓인수검사'!D9</f>
        <v>550</v>
      </c>
      <c r="E8" s="44"/>
      <c r="F8" s="73">
        <v>1</v>
      </c>
      <c r="G8" s="115">
        <f t="shared" ref="G8:G51" si="0">C8-5</f>
        <v>845</v>
      </c>
      <c r="H8" s="73">
        <f t="shared" ref="H8:H51" si="1">F8*4</f>
        <v>4</v>
      </c>
      <c r="I8" s="116">
        <f t="shared" ref="I8:I51" si="2">D8-30</f>
        <v>520</v>
      </c>
      <c r="J8" s="73">
        <f t="shared" ref="J8:J51" si="3">F8*4</f>
        <v>4</v>
      </c>
      <c r="K8" s="117">
        <f t="shared" ref="K8:K51" si="4">C8+60</f>
        <v>910</v>
      </c>
      <c r="L8" s="73">
        <v>2</v>
      </c>
      <c r="M8" s="117">
        <f t="shared" ref="M8:M51" si="5">D8</f>
        <v>550</v>
      </c>
      <c r="N8" s="73">
        <v>2</v>
      </c>
      <c r="O8" s="118"/>
    </row>
    <row r="9" spans="1:15">
      <c r="A9" s="114" t="str">
        <f>'1. 소켓인수검사'!A10</f>
        <v>02</v>
      </c>
      <c r="B9" s="119" t="s">
        <v>60</v>
      </c>
      <c r="C9" s="73">
        <f>'1. 소켓인수검사'!C10</f>
        <v>850</v>
      </c>
      <c r="D9" s="73">
        <f>'1. 소켓인수검사'!D10</f>
        <v>550</v>
      </c>
      <c r="E9" s="44"/>
      <c r="F9" s="73">
        <v>1</v>
      </c>
      <c r="G9" s="115">
        <f t="shared" si="0"/>
        <v>845</v>
      </c>
      <c r="H9" s="73">
        <f t="shared" si="1"/>
        <v>4</v>
      </c>
      <c r="I9" s="116">
        <f t="shared" si="2"/>
        <v>520</v>
      </c>
      <c r="J9" s="73">
        <f t="shared" si="3"/>
        <v>4</v>
      </c>
      <c r="K9" s="117">
        <f t="shared" si="4"/>
        <v>910</v>
      </c>
      <c r="L9" s="73">
        <v>2</v>
      </c>
      <c r="M9" s="117">
        <f t="shared" si="5"/>
        <v>550</v>
      </c>
      <c r="N9" s="73">
        <v>2</v>
      </c>
      <c r="O9" s="118"/>
    </row>
    <row r="10" spans="1:15">
      <c r="A10" s="114" t="str">
        <f>'1. 소켓인수검사'!A11</f>
        <v>03</v>
      </c>
      <c r="B10" s="119" t="s">
        <v>60</v>
      </c>
      <c r="C10" s="73">
        <f>'1. 소켓인수검사'!C11</f>
        <v>850</v>
      </c>
      <c r="D10" s="73">
        <f>'1. 소켓인수검사'!D11</f>
        <v>550</v>
      </c>
      <c r="E10" s="44"/>
      <c r="F10" s="73">
        <v>1</v>
      </c>
      <c r="G10" s="115">
        <f t="shared" si="0"/>
        <v>845</v>
      </c>
      <c r="H10" s="73">
        <f t="shared" si="1"/>
        <v>4</v>
      </c>
      <c r="I10" s="116">
        <f t="shared" si="2"/>
        <v>520</v>
      </c>
      <c r="J10" s="73">
        <f t="shared" si="3"/>
        <v>4</v>
      </c>
      <c r="K10" s="117">
        <f t="shared" si="4"/>
        <v>910</v>
      </c>
      <c r="L10" s="73">
        <v>2</v>
      </c>
      <c r="M10" s="117">
        <f t="shared" si="5"/>
        <v>550</v>
      </c>
      <c r="N10" s="73">
        <v>2</v>
      </c>
      <c r="O10" s="118"/>
    </row>
    <row r="11" spans="1:15">
      <c r="A11" s="114" t="str">
        <f>'1. 소켓인수검사'!A12</f>
        <v>04</v>
      </c>
      <c r="B11" s="119" t="s">
        <v>60</v>
      </c>
      <c r="C11" s="73">
        <f>'1. 소켓인수검사'!C12</f>
        <v>850</v>
      </c>
      <c r="D11" s="73">
        <f>'1. 소켓인수검사'!D12</f>
        <v>550</v>
      </c>
      <c r="E11" s="44"/>
      <c r="F11" s="73">
        <v>1</v>
      </c>
      <c r="G11" s="115">
        <f t="shared" si="0"/>
        <v>845</v>
      </c>
      <c r="H11" s="73">
        <f t="shared" si="1"/>
        <v>4</v>
      </c>
      <c r="I11" s="116">
        <f t="shared" si="2"/>
        <v>520</v>
      </c>
      <c r="J11" s="73">
        <f t="shared" si="3"/>
        <v>4</v>
      </c>
      <c r="K11" s="117">
        <f t="shared" si="4"/>
        <v>910</v>
      </c>
      <c r="L11" s="73">
        <v>2</v>
      </c>
      <c r="M11" s="117">
        <f t="shared" si="5"/>
        <v>550</v>
      </c>
      <c r="N11" s="73">
        <v>2</v>
      </c>
      <c r="O11" s="118"/>
    </row>
    <row r="12" spans="1:15">
      <c r="A12" s="114" t="str">
        <f>'1. 소켓인수검사'!A13</f>
        <v>05</v>
      </c>
      <c r="B12" s="119" t="s">
        <v>60</v>
      </c>
      <c r="C12" s="73">
        <f>'1. 소켓인수검사'!C13</f>
        <v>900</v>
      </c>
      <c r="D12" s="73">
        <f>'1. 소켓인수검사'!D13</f>
        <v>550</v>
      </c>
      <c r="E12" s="44"/>
      <c r="F12" s="73">
        <v>1</v>
      </c>
      <c r="G12" s="115">
        <f t="shared" si="0"/>
        <v>895</v>
      </c>
      <c r="H12" s="73">
        <f t="shared" si="1"/>
        <v>4</v>
      </c>
      <c r="I12" s="116">
        <f t="shared" si="2"/>
        <v>520</v>
      </c>
      <c r="J12" s="73">
        <f t="shared" si="3"/>
        <v>4</v>
      </c>
      <c r="K12" s="117">
        <f t="shared" si="4"/>
        <v>960</v>
      </c>
      <c r="L12" s="73">
        <v>2</v>
      </c>
      <c r="M12" s="117">
        <f t="shared" si="5"/>
        <v>550</v>
      </c>
      <c r="N12" s="73">
        <v>2</v>
      </c>
      <c r="O12" s="118"/>
    </row>
    <row r="13" spans="1:15">
      <c r="A13" s="114" t="str">
        <f>'1. 소켓인수검사'!A14</f>
        <v>06</v>
      </c>
      <c r="B13" s="119" t="s">
        <v>60</v>
      </c>
      <c r="C13" s="73">
        <f>'1. 소켓인수검사'!C14</f>
        <v>900</v>
      </c>
      <c r="D13" s="73">
        <f>'1. 소켓인수검사'!D14</f>
        <v>550</v>
      </c>
      <c r="E13" s="44"/>
      <c r="F13" s="73">
        <v>1</v>
      </c>
      <c r="G13" s="115">
        <f t="shared" si="0"/>
        <v>895</v>
      </c>
      <c r="H13" s="73">
        <f t="shared" si="1"/>
        <v>4</v>
      </c>
      <c r="I13" s="116">
        <f t="shared" si="2"/>
        <v>520</v>
      </c>
      <c r="J13" s="73">
        <f t="shared" si="3"/>
        <v>4</v>
      </c>
      <c r="K13" s="117">
        <f t="shared" si="4"/>
        <v>960</v>
      </c>
      <c r="L13" s="73">
        <v>2</v>
      </c>
      <c r="M13" s="117">
        <f t="shared" si="5"/>
        <v>550</v>
      </c>
      <c r="N13" s="73">
        <v>2</v>
      </c>
      <c r="O13" s="118"/>
    </row>
    <row r="14" spans="1:15">
      <c r="A14" s="114" t="str">
        <f>'1. 소켓인수검사'!A15</f>
        <v>07</v>
      </c>
      <c r="B14" s="119" t="s">
        <v>60</v>
      </c>
      <c r="C14" s="73">
        <f>'1. 소켓인수검사'!C15</f>
        <v>900</v>
      </c>
      <c r="D14" s="73">
        <f>'1. 소켓인수검사'!D15</f>
        <v>550</v>
      </c>
      <c r="E14" s="44"/>
      <c r="F14" s="73">
        <v>1</v>
      </c>
      <c r="G14" s="115">
        <f t="shared" si="0"/>
        <v>895</v>
      </c>
      <c r="H14" s="73">
        <f t="shared" si="1"/>
        <v>4</v>
      </c>
      <c r="I14" s="116">
        <f t="shared" si="2"/>
        <v>520</v>
      </c>
      <c r="J14" s="73">
        <f t="shared" si="3"/>
        <v>4</v>
      </c>
      <c r="K14" s="117">
        <f t="shared" si="4"/>
        <v>960</v>
      </c>
      <c r="L14" s="73">
        <v>2</v>
      </c>
      <c r="M14" s="117">
        <f t="shared" si="5"/>
        <v>550</v>
      </c>
      <c r="N14" s="73">
        <v>2</v>
      </c>
      <c r="O14" s="118"/>
    </row>
    <row r="15" spans="1:15">
      <c r="A15" s="114" t="str">
        <f>'1. 소켓인수검사'!A16</f>
        <v>08</v>
      </c>
      <c r="B15" s="119" t="s">
        <v>60</v>
      </c>
      <c r="C15" s="73">
        <f>'1. 소켓인수검사'!C16</f>
        <v>900</v>
      </c>
      <c r="D15" s="73">
        <f>'1. 소켓인수검사'!D16</f>
        <v>550</v>
      </c>
      <c r="E15" s="44"/>
      <c r="F15" s="73">
        <v>1</v>
      </c>
      <c r="G15" s="115">
        <f t="shared" si="0"/>
        <v>895</v>
      </c>
      <c r="H15" s="73">
        <f t="shared" si="1"/>
        <v>4</v>
      </c>
      <c r="I15" s="116">
        <f t="shared" si="2"/>
        <v>520</v>
      </c>
      <c r="J15" s="73">
        <f t="shared" si="3"/>
        <v>4</v>
      </c>
      <c r="K15" s="117">
        <f t="shared" si="4"/>
        <v>960</v>
      </c>
      <c r="L15" s="73">
        <v>2</v>
      </c>
      <c r="M15" s="117">
        <f t="shared" si="5"/>
        <v>550</v>
      </c>
      <c r="N15" s="73">
        <v>2</v>
      </c>
      <c r="O15" s="118"/>
    </row>
    <row r="16" spans="1:15">
      <c r="A16" s="114" t="str">
        <f>'1. 소켓인수검사'!A17</f>
        <v>09</v>
      </c>
      <c r="B16" s="119" t="s">
        <v>60</v>
      </c>
      <c r="C16" s="73">
        <f>'1. 소켓인수검사'!C17</f>
        <v>900</v>
      </c>
      <c r="D16" s="73">
        <f>'1. 소켓인수검사'!D17</f>
        <v>550</v>
      </c>
      <c r="E16" s="44"/>
      <c r="F16" s="73">
        <v>1</v>
      </c>
      <c r="G16" s="115">
        <f t="shared" si="0"/>
        <v>895</v>
      </c>
      <c r="H16" s="73">
        <f t="shared" si="1"/>
        <v>4</v>
      </c>
      <c r="I16" s="116">
        <f t="shared" si="2"/>
        <v>520</v>
      </c>
      <c r="J16" s="73">
        <f t="shared" si="3"/>
        <v>4</v>
      </c>
      <c r="K16" s="117">
        <f t="shared" si="4"/>
        <v>960</v>
      </c>
      <c r="L16" s="73">
        <v>2</v>
      </c>
      <c r="M16" s="117">
        <f t="shared" si="5"/>
        <v>550</v>
      </c>
      <c r="N16" s="73">
        <v>2</v>
      </c>
      <c r="O16" s="118"/>
    </row>
    <row r="17" spans="1:15">
      <c r="A17" s="114" t="str">
        <f>'1. 소켓인수검사'!A18</f>
        <v>10</v>
      </c>
      <c r="B17" s="119" t="s">
        <v>60</v>
      </c>
      <c r="C17" s="73">
        <f>'1. 소켓인수검사'!C18</f>
        <v>900</v>
      </c>
      <c r="D17" s="73">
        <f>'1. 소켓인수검사'!D18</f>
        <v>550</v>
      </c>
      <c r="E17" s="44"/>
      <c r="F17" s="73">
        <v>1</v>
      </c>
      <c r="G17" s="115">
        <f t="shared" si="0"/>
        <v>895</v>
      </c>
      <c r="H17" s="73">
        <f t="shared" si="1"/>
        <v>4</v>
      </c>
      <c r="I17" s="116">
        <f t="shared" si="2"/>
        <v>520</v>
      </c>
      <c r="J17" s="73">
        <f t="shared" si="3"/>
        <v>4</v>
      </c>
      <c r="K17" s="117">
        <f t="shared" si="4"/>
        <v>960</v>
      </c>
      <c r="L17" s="73">
        <v>2</v>
      </c>
      <c r="M17" s="117">
        <f t="shared" si="5"/>
        <v>550</v>
      </c>
      <c r="N17" s="73">
        <v>2</v>
      </c>
      <c r="O17" s="118"/>
    </row>
    <row r="18" spans="1:15">
      <c r="A18" s="114" t="str">
        <f>'1. 소켓인수검사'!A19</f>
        <v>11</v>
      </c>
      <c r="B18" s="119" t="s">
        <v>60</v>
      </c>
      <c r="C18" s="73">
        <f>'1. 소켓인수검사'!C19</f>
        <v>900</v>
      </c>
      <c r="D18" s="73">
        <f>'1. 소켓인수검사'!D19</f>
        <v>550</v>
      </c>
      <c r="E18" s="44"/>
      <c r="F18" s="73">
        <v>1</v>
      </c>
      <c r="G18" s="115">
        <f t="shared" si="0"/>
        <v>895</v>
      </c>
      <c r="H18" s="73">
        <f t="shared" si="1"/>
        <v>4</v>
      </c>
      <c r="I18" s="116">
        <f t="shared" si="2"/>
        <v>520</v>
      </c>
      <c r="J18" s="73">
        <f t="shared" si="3"/>
        <v>4</v>
      </c>
      <c r="K18" s="117">
        <f t="shared" si="4"/>
        <v>960</v>
      </c>
      <c r="L18" s="73">
        <v>2</v>
      </c>
      <c r="M18" s="117">
        <f t="shared" si="5"/>
        <v>550</v>
      </c>
      <c r="N18" s="73">
        <v>2</v>
      </c>
      <c r="O18" s="118"/>
    </row>
    <row r="19" spans="1:15">
      <c r="A19" s="114" t="str">
        <f>'1. 소켓인수검사'!A20</f>
        <v>12</v>
      </c>
      <c r="B19" s="119" t="s">
        <v>60</v>
      </c>
      <c r="C19" s="73">
        <f>'1. 소켓인수검사'!C20</f>
        <v>900</v>
      </c>
      <c r="D19" s="73">
        <f>'1. 소켓인수검사'!D20</f>
        <v>550</v>
      </c>
      <c r="E19" s="44"/>
      <c r="F19" s="73">
        <v>1</v>
      </c>
      <c r="G19" s="115">
        <f t="shared" si="0"/>
        <v>895</v>
      </c>
      <c r="H19" s="73">
        <f t="shared" si="1"/>
        <v>4</v>
      </c>
      <c r="I19" s="116">
        <f t="shared" si="2"/>
        <v>520</v>
      </c>
      <c r="J19" s="73">
        <f t="shared" si="3"/>
        <v>4</v>
      </c>
      <c r="K19" s="117">
        <f t="shared" si="4"/>
        <v>960</v>
      </c>
      <c r="L19" s="73">
        <v>2</v>
      </c>
      <c r="M19" s="117">
        <f t="shared" si="5"/>
        <v>550</v>
      </c>
      <c r="N19" s="73">
        <v>2</v>
      </c>
      <c r="O19" s="118"/>
    </row>
    <row r="20" spans="1:15">
      <c r="A20" s="114" t="str">
        <f>'1. 소켓인수검사'!A21</f>
        <v>13</v>
      </c>
      <c r="B20" s="119" t="s">
        <v>60</v>
      </c>
      <c r="C20" s="73">
        <f>'1. 소켓인수검사'!C21</f>
        <v>900</v>
      </c>
      <c r="D20" s="73">
        <f>'1. 소켓인수검사'!D21</f>
        <v>550</v>
      </c>
      <c r="E20" s="44"/>
      <c r="F20" s="73">
        <v>1</v>
      </c>
      <c r="G20" s="115">
        <f t="shared" si="0"/>
        <v>895</v>
      </c>
      <c r="H20" s="73">
        <f t="shared" si="1"/>
        <v>4</v>
      </c>
      <c r="I20" s="116">
        <f t="shared" si="2"/>
        <v>520</v>
      </c>
      <c r="J20" s="73">
        <f t="shared" si="3"/>
        <v>4</v>
      </c>
      <c r="K20" s="117">
        <f t="shared" si="4"/>
        <v>960</v>
      </c>
      <c r="L20" s="73">
        <v>2</v>
      </c>
      <c r="M20" s="117">
        <f t="shared" si="5"/>
        <v>550</v>
      </c>
      <c r="N20" s="73">
        <v>2</v>
      </c>
      <c r="O20" s="118"/>
    </row>
    <row r="21" spans="1:15">
      <c r="A21" s="114" t="str">
        <f>'1. 소켓인수검사'!A22</f>
        <v>14</v>
      </c>
      <c r="B21" s="119" t="s">
        <v>60</v>
      </c>
      <c r="C21" s="73">
        <f>'1. 소켓인수검사'!C22</f>
        <v>950</v>
      </c>
      <c r="D21" s="73">
        <f>'1. 소켓인수검사'!D22</f>
        <v>500</v>
      </c>
      <c r="E21" s="44"/>
      <c r="F21" s="73">
        <v>1</v>
      </c>
      <c r="G21" s="115">
        <f t="shared" si="0"/>
        <v>945</v>
      </c>
      <c r="H21" s="73">
        <f t="shared" si="1"/>
        <v>4</v>
      </c>
      <c r="I21" s="116">
        <f t="shared" si="2"/>
        <v>470</v>
      </c>
      <c r="J21" s="73">
        <f t="shared" si="3"/>
        <v>4</v>
      </c>
      <c r="K21" s="117">
        <f t="shared" si="4"/>
        <v>1010</v>
      </c>
      <c r="L21" s="73">
        <v>2</v>
      </c>
      <c r="M21" s="117">
        <f t="shared" si="5"/>
        <v>500</v>
      </c>
      <c r="N21" s="73">
        <v>2</v>
      </c>
      <c r="O21" s="118"/>
    </row>
    <row r="22" spans="1:15">
      <c r="A22" s="114" t="str">
        <f>'1. 소켓인수검사'!A23</f>
        <v>15</v>
      </c>
      <c r="B22" s="119" t="s">
        <v>60</v>
      </c>
      <c r="C22" s="73">
        <f>'1. 소켓인수검사'!C23</f>
        <v>950</v>
      </c>
      <c r="D22" s="73">
        <f>'1. 소켓인수검사'!D23</f>
        <v>500</v>
      </c>
      <c r="E22" s="44"/>
      <c r="F22" s="73">
        <v>1</v>
      </c>
      <c r="G22" s="115">
        <f t="shared" si="0"/>
        <v>945</v>
      </c>
      <c r="H22" s="73">
        <f t="shared" si="1"/>
        <v>4</v>
      </c>
      <c r="I22" s="116">
        <f t="shared" si="2"/>
        <v>470</v>
      </c>
      <c r="J22" s="73">
        <f t="shared" si="3"/>
        <v>4</v>
      </c>
      <c r="K22" s="117">
        <f t="shared" si="4"/>
        <v>1010</v>
      </c>
      <c r="L22" s="73">
        <v>2</v>
      </c>
      <c r="M22" s="117">
        <f t="shared" si="5"/>
        <v>500</v>
      </c>
      <c r="N22" s="73">
        <v>2</v>
      </c>
      <c r="O22" s="118"/>
    </row>
    <row r="23" spans="1:15">
      <c r="A23" s="114" t="str">
        <f>'1. 소켓인수검사'!A24</f>
        <v>16</v>
      </c>
      <c r="B23" s="119" t="s">
        <v>60</v>
      </c>
      <c r="C23" s="73">
        <f>'1. 소켓인수검사'!C24</f>
        <v>950</v>
      </c>
      <c r="D23" s="73">
        <f>'1. 소켓인수검사'!D24</f>
        <v>500</v>
      </c>
      <c r="E23" s="44"/>
      <c r="F23" s="73">
        <v>1</v>
      </c>
      <c r="G23" s="115">
        <f t="shared" si="0"/>
        <v>945</v>
      </c>
      <c r="H23" s="73">
        <f t="shared" si="1"/>
        <v>4</v>
      </c>
      <c r="I23" s="116">
        <f t="shared" si="2"/>
        <v>470</v>
      </c>
      <c r="J23" s="73">
        <f t="shared" si="3"/>
        <v>4</v>
      </c>
      <c r="K23" s="117">
        <f t="shared" si="4"/>
        <v>1010</v>
      </c>
      <c r="L23" s="73">
        <v>2</v>
      </c>
      <c r="M23" s="117">
        <f t="shared" si="5"/>
        <v>500</v>
      </c>
      <c r="N23" s="73">
        <v>2</v>
      </c>
      <c r="O23" s="118"/>
    </row>
    <row r="24" spans="1:15">
      <c r="A24" s="114" t="str">
        <f>'1. 소켓인수검사'!A25</f>
        <v>17</v>
      </c>
      <c r="B24" s="119" t="s">
        <v>60</v>
      </c>
      <c r="C24" s="73">
        <f>'1. 소켓인수검사'!C25</f>
        <v>950</v>
      </c>
      <c r="D24" s="73">
        <f>'1. 소켓인수검사'!D25</f>
        <v>500</v>
      </c>
      <c r="E24" s="44"/>
      <c r="F24" s="73">
        <v>1</v>
      </c>
      <c r="G24" s="115">
        <f t="shared" si="0"/>
        <v>945</v>
      </c>
      <c r="H24" s="73">
        <f t="shared" si="1"/>
        <v>4</v>
      </c>
      <c r="I24" s="116">
        <f t="shared" si="2"/>
        <v>470</v>
      </c>
      <c r="J24" s="73">
        <f t="shared" si="3"/>
        <v>4</v>
      </c>
      <c r="K24" s="117">
        <f t="shared" si="4"/>
        <v>1010</v>
      </c>
      <c r="L24" s="73">
        <v>2</v>
      </c>
      <c r="M24" s="117">
        <f t="shared" si="5"/>
        <v>500</v>
      </c>
      <c r="N24" s="73">
        <v>2</v>
      </c>
      <c r="O24" s="118"/>
    </row>
    <row r="25" spans="1:15">
      <c r="A25" s="114" t="str">
        <f>'1. 소켓인수검사'!A26</f>
        <v>18</v>
      </c>
      <c r="B25" s="119" t="s">
        <v>60</v>
      </c>
      <c r="C25" s="73">
        <f>'1. 소켓인수검사'!C26</f>
        <v>1000</v>
      </c>
      <c r="D25" s="73">
        <f>'1. 소켓인수검사'!D26</f>
        <v>450</v>
      </c>
      <c r="E25" s="44"/>
      <c r="F25" s="73">
        <v>1</v>
      </c>
      <c r="G25" s="115">
        <f t="shared" si="0"/>
        <v>995</v>
      </c>
      <c r="H25" s="73">
        <f t="shared" si="1"/>
        <v>4</v>
      </c>
      <c r="I25" s="116">
        <f t="shared" si="2"/>
        <v>420</v>
      </c>
      <c r="J25" s="73">
        <f t="shared" si="3"/>
        <v>4</v>
      </c>
      <c r="K25" s="117">
        <f t="shared" si="4"/>
        <v>1060</v>
      </c>
      <c r="L25" s="73">
        <v>2</v>
      </c>
      <c r="M25" s="117">
        <f t="shared" si="5"/>
        <v>450</v>
      </c>
      <c r="N25" s="73">
        <v>2</v>
      </c>
      <c r="O25" s="118"/>
    </row>
    <row r="26" spans="1:15">
      <c r="A26" s="114" t="str">
        <f>'1. 소켓인수검사'!A27</f>
        <v>19</v>
      </c>
      <c r="B26" s="119" t="s">
        <v>60</v>
      </c>
      <c r="C26" s="73">
        <f>'1. 소켓인수검사'!C27</f>
        <v>1000</v>
      </c>
      <c r="D26" s="73">
        <f>'1. 소켓인수검사'!D27</f>
        <v>450</v>
      </c>
      <c r="E26" s="44"/>
      <c r="F26" s="73">
        <v>1</v>
      </c>
      <c r="G26" s="115">
        <f t="shared" si="0"/>
        <v>995</v>
      </c>
      <c r="H26" s="73">
        <f t="shared" si="1"/>
        <v>4</v>
      </c>
      <c r="I26" s="116">
        <f t="shared" si="2"/>
        <v>420</v>
      </c>
      <c r="J26" s="73">
        <f t="shared" si="3"/>
        <v>4</v>
      </c>
      <c r="K26" s="117">
        <f t="shared" si="4"/>
        <v>1060</v>
      </c>
      <c r="L26" s="73">
        <v>2</v>
      </c>
      <c r="M26" s="117">
        <f t="shared" si="5"/>
        <v>450</v>
      </c>
      <c r="N26" s="73">
        <v>2</v>
      </c>
      <c r="O26" s="118"/>
    </row>
    <row r="27" spans="1:15">
      <c r="A27" s="114" t="str">
        <f>'1. 소켓인수검사'!A28</f>
        <v>20</v>
      </c>
      <c r="B27" s="119" t="s">
        <v>60</v>
      </c>
      <c r="C27" s="73">
        <f>'1. 소켓인수검사'!C28</f>
        <v>1000</v>
      </c>
      <c r="D27" s="73">
        <f>'1. 소켓인수검사'!D28</f>
        <v>450</v>
      </c>
      <c r="E27" s="44"/>
      <c r="F27" s="73">
        <v>1</v>
      </c>
      <c r="G27" s="115">
        <f t="shared" si="0"/>
        <v>995</v>
      </c>
      <c r="H27" s="73">
        <f t="shared" si="1"/>
        <v>4</v>
      </c>
      <c r="I27" s="116">
        <f t="shared" si="2"/>
        <v>420</v>
      </c>
      <c r="J27" s="73">
        <f t="shared" si="3"/>
        <v>4</v>
      </c>
      <c r="K27" s="117">
        <f t="shared" si="4"/>
        <v>1060</v>
      </c>
      <c r="L27" s="73">
        <v>2</v>
      </c>
      <c r="M27" s="117">
        <f t="shared" si="5"/>
        <v>450</v>
      </c>
      <c r="N27" s="73">
        <v>2</v>
      </c>
      <c r="O27" s="118"/>
    </row>
    <row r="28" spans="1:15">
      <c r="A28" s="114" t="str">
        <f>'1. 소켓인수검사'!A29</f>
        <v>21</v>
      </c>
      <c r="B28" s="119" t="s">
        <v>60</v>
      </c>
      <c r="C28" s="73">
        <f>'1. 소켓인수검사'!C29</f>
        <v>1000</v>
      </c>
      <c r="D28" s="73">
        <f>'1. 소켓인수검사'!D29</f>
        <v>500</v>
      </c>
      <c r="E28" s="44"/>
      <c r="F28" s="73">
        <v>1</v>
      </c>
      <c r="G28" s="115">
        <f t="shared" si="0"/>
        <v>995</v>
      </c>
      <c r="H28" s="73">
        <f t="shared" si="1"/>
        <v>4</v>
      </c>
      <c r="I28" s="116">
        <f t="shared" si="2"/>
        <v>470</v>
      </c>
      <c r="J28" s="73">
        <f t="shared" si="3"/>
        <v>4</v>
      </c>
      <c r="K28" s="117">
        <f t="shared" si="4"/>
        <v>1060</v>
      </c>
      <c r="L28" s="73">
        <v>2</v>
      </c>
      <c r="M28" s="117">
        <f t="shared" si="5"/>
        <v>500</v>
      </c>
      <c r="N28" s="73">
        <v>2</v>
      </c>
      <c r="O28" s="118"/>
    </row>
    <row r="29" spans="1:15">
      <c r="A29" s="114" t="str">
        <f>'1. 소켓인수검사'!A30</f>
        <v>22</v>
      </c>
      <c r="B29" s="119" t="s">
        <v>60</v>
      </c>
      <c r="C29" s="73">
        <f>'1. 소켓인수검사'!C30</f>
        <v>1000</v>
      </c>
      <c r="D29" s="73">
        <f>'1. 소켓인수검사'!D30</f>
        <v>500</v>
      </c>
      <c r="E29" s="44"/>
      <c r="F29" s="73">
        <v>1</v>
      </c>
      <c r="G29" s="115">
        <f t="shared" si="0"/>
        <v>995</v>
      </c>
      <c r="H29" s="73">
        <f t="shared" si="1"/>
        <v>4</v>
      </c>
      <c r="I29" s="116">
        <f t="shared" si="2"/>
        <v>470</v>
      </c>
      <c r="J29" s="73">
        <f t="shared" si="3"/>
        <v>4</v>
      </c>
      <c r="K29" s="117">
        <f t="shared" si="4"/>
        <v>1060</v>
      </c>
      <c r="L29" s="73">
        <v>2</v>
      </c>
      <c r="M29" s="117">
        <f t="shared" si="5"/>
        <v>500</v>
      </c>
      <c r="N29" s="73">
        <v>2</v>
      </c>
      <c r="O29" s="118"/>
    </row>
    <row r="30" spans="1:15">
      <c r="A30" s="114" t="str">
        <f>'1. 소켓인수검사'!A31</f>
        <v>23</v>
      </c>
      <c r="B30" s="119" t="s">
        <v>60</v>
      </c>
      <c r="C30" s="73">
        <f>'1. 소켓인수검사'!C31</f>
        <v>1000</v>
      </c>
      <c r="D30" s="73">
        <f>'1. 소켓인수검사'!D31</f>
        <v>500</v>
      </c>
      <c r="E30" s="44"/>
      <c r="F30" s="73">
        <v>1</v>
      </c>
      <c r="G30" s="115">
        <f t="shared" si="0"/>
        <v>995</v>
      </c>
      <c r="H30" s="73">
        <f t="shared" si="1"/>
        <v>4</v>
      </c>
      <c r="I30" s="116">
        <f t="shared" si="2"/>
        <v>470</v>
      </c>
      <c r="J30" s="73">
        <f t="shared" si="3"/>
        <v>4</v>
      </c>
      <c r="K30" s="117">
        <f t="shared" si="4"/>
        <v>1060</v>
      </c>
      <c r="L30" s="73">
        <v>2</v>
      </c>
      <c r="M30" s="117">
        <f t="shared" si="5"/>
        <v>500</v>
      </c>
      <c r="N30" s="73">
        <v>2</v>
      </c>
      <c r="O30" s="118"/>
    </row>
    <row r="31" spans="1:15">
      <c r="A31" s="114" t="str">
        <f>'1. 소켓인수검사'!A32</f>
        <v>24</v>
      </c>
      <c r="B31" s="119" t="s">
        <v>60</v>
      </c>
      <c r="C31" s="73">
        <f>'1. 소켓인수검사'!C32</f>
        <v>1000</v>
      </c>
      <c r="D31" s="73">
        <f>'1. 소켓인수검사'!D32</f>
        <v>500</v>
      </c>
      <c r="E31" s="44"/>
      <c r="F31" s="73">
        <v>1</v>
      </c>
      <c r="G31" s="115">
        <f t="shared" si="0"/>
        <v>995</v>
      </c>
      <c r="H31" s="73">
        <f t="shared" si="1"/>
        <v>4</v>
      </c>
      <c r="I31" s="116">
        <f t="shared" si="2"/>
        <v>470</v>
      </c>
      <c r="J31" s="73">
        <f t="shared" si="3"/>
        <v>4</v>
      </c>
      <c r="K31" s="117">
        <f t="shared" si="4"/>
        <v>1060</v>
      </c>
      <c r="L31" s="73">
        <v>2</v>
      </c>
      <c r="M31" s="117">
        <f t="shared" si="5"/>
        <v>500</v>
      </c>
      <c r="N31" s="73">
        <v>2</v>
      </c>
      <c r="O31" s="118"/>
    </row>
    <row r="32" spans="1:15">
      <c r="A32" s="114" t="str">
        <f>'1. 소켓인수검사'!A33</f>
        <v>25</v>
      </c>
      <c r="B32" s="119" t="s">
        <v>60</v>
      </c>
      <c r="C32" s="73">
        <f>'1. 소켓인수검사'!C33</f>
        <v>1000</v>
      </c>
      <c r="D32" s="73">
        <f>'1. 소켓인수검사'!D33</f>
        <v>500</v>
      </c>
      <c r="E32" s="44"/>
      <c r="F32" s="73">
        <v>1</v>
      </c>
      <c r="G32" s="115">
        <f t="shared" si="0"/>
        <v>995</v>
      </c>
      <c r="H32" s="73">
        <f t="shared" si="1"/>
        <v>4</v>
      </c>
      <c r="I32" s="116">
        <f t="shared" si="2"/>
        <v>470</v>
      </c>
      <c r="J32" s="73">
        <f t="shared" si="3"/>
        <v>4</v>
      </c>
      <c r="K32" s="117">
        <f t="shared" si="4"/>
        <v>1060</v>
      </c>
      <c r="L32" s="73">
        <v>2</v>
      </c>
      <c r="M32" s="117">
        <f t="shared" si="5"/>
        <v>500</v>
      </c>
      <c r="N32" s="73">
        <v>2</v>
      </c>
      <c r="O32" s="118"/>
    </row>
    <row r="33" spans="1:15">
      <c r="A33" s="114" t="str">
        <f>'1. 소켓인수검사'!A34</f>
        <v>26</v>
      </c>
      <c r="B33" s="119" t="s">
        <v>60</v>
      </c>
      <c r="C33" s="73">
        <f>'1. 소켓인수검사'!C34</f>
        <v>1000</v>
      </c>
      <c r="D33" s="73">
        <f>'1. 소켓인수검사'!D34</f>
        <v>500</v>
      </c>
      <c r="E33" s="44"/>
      <c r="F33" s="73">
        <v>1</v>
      </c>
      <c r="G33" s="115">
        <f t="shared" si="0"/>
        <v>995</v>
      </c>
      <c r="H33" s="73">
        <f t="shared" si="1"/>
        <v>4</v>
      </c>
      <c r="I33" s="116">
        <f t="shared" si="2"/>
        <v>470</v>
      </c>
      <c r="J33" s="73">
        <f t="shared" si="3"/>
        <v>4</v>
      </c>
      <c r="K33" s="117">
        <f t="shared" si="4"/>
        <v>1060</v>
      </c>
      <c r="L33" s="73">
        <v>2</v>
      </c>
      <c r="M33" s="117">
        <f t="shared" si="5"/>
        <v>500</v>
      </c>
      <c r="N33" s="73">
        <v>2</v>
      </c>
      <c r="O33" s="118"/>
    </row>
    <row r="34" spans="1:15">
      <c r="A34" s="114" t="str">
        <f>'1. 소켓인수검사'!A35</f>
        <v>27</v>
      </c>
      <c r="B34" s="119" t="s">
        <v>60</v>
      </c>
      <c r="C34" s="73">
        <f>'1. 소켓인수검사'!C35</f>
        <v>1000</v>
      </c>
      <c r="D34" s="73">
        <f>'1. 소켓인수검사'!D35</f>
        <v>500</v>
      </c>
      <c r="E34" s="44"/>
      <c r="F34" s="73">
        <v>1</v>
      </c>
      <c r="G34" s="115">
        <f t="shared" si="0"/>
        <v>995</v>
      </c>
      <c r="H34" s="73">
        <f t="shared" si="1"/>
        <v>4</v>
      </c>
      <c r="I34" s="116">
        <f t="shared" si="2"/>
        <v>470</v>
      </c>
      <c r="J34" s="73">
        <f t="shared" si="3"/>
        <v>4</v>
      </c>
      <c r="K34" s="117">
        <f t="shared" si="4"/>
        <v>1060</v>
      </c>
      <c r="L34" s="73">
        <v>2</v>
      </c>
      <c r="M34" s="117">
        <f t="shared" si="5"/>
        <v>500</v>
      </c>
      <c r="N34" s="73">
        <v>2</v>
      </c>
      <c r="O34" s="118"/>
    </row>
    <row r="35" spans="1:15">
      <c r="A35" s="114" t="str">
        <f>'1. 소켓인수검사'!A36</f>
        <v>28</v>
      </c>
      <c r="B35" s="119" t="s">
        <v>60</v>
      </c>
      <c r="C35" s="73">
        <f>'1. 소켓인수검사'!C36</f>
        <v>1000</v>
      </c>
      <c r="D35" s="73">
        <f>'1. 소켓인수검사'!D36</f>
        <v>500</v>
      </c>
      <c r="E35" s="44"/>
      <c r="F35" s="73">
        <v>1</v>
      </c>
      <c r="G35" s="115">
        <f t="shared" si="0"/>
        <v>995</v>
      </c>
      <c r="H35" s="73">
        <f t="shared" si="1"/>
        <v>4</v>
      </c>
      <c r="I35" s="116">
        <f t="shared" si="2"/>
        <v>470</v>
      </c>
      <c r="J35" s="73">
        <f t="shared" si="3"/>
        <v>4</v>
      </c>
      <c r="K35" s="117">
        <f t="shared" si="4"/>
        <v>1060</v>
      </c>
      <c r="L35" s="73">
        <v>2</v>
      </c>
      <c r="M35" s="117">
        <f t="shared" si="5"/>
        <v>500</v>
      </c>
      <c r="N35" s="73">
        <v>2</v>
      </c>
      <c r="O35" s="118"/>
    </row>
    <row r="36" spans="1:15">
      <c r="A36" s="114" t="str">
        <f>'1. 소켓인수검사'!A37</f>
        <v>29</v>
      </c>
      <c r="B36" s="119" t="s">
        <v>60</v>
      </c>
      <c r="C36" s="73">
        <f>'1. 소켓인수검사'!C37</f>
        <v>1000</v>
      </c>
      <c r="D36" s="73">
        <f>'1. 소켓인수검사'!D37</f>
        <v>500</v>
      </c>
      <c r="E36" s="44"/>
      <c r="F36" s="73">
        <v>1</v>
      </c>
      <c r="G36" s="115">
        <f t="shared" si="0"/>
        <v>995</v>
      </c>
      <c r="H36" s="73">
        <f t="shared" si="1"/>
        <v>4</v>
      </c>
      <c r="I36" s="116">
        <f t="shared" si="2"/>
        <v>470</v>
      </c>
      <c r="J36" s="73">
        <f t="shared" si="3"/>
        <v>4</v>
      </c>
      <c r="K36" s="117">
        <f t="shared" si="4"/>
        <v>1060</v>
      </c>
      <c r="L36" s="73">
        <v>2</v>
      </c>
      <c r="M36" s="117">
        <f t="shared" si="5"/>
        <v>500</v>
      </c>
      <c r="N36" s="73">
        <v>2</v>
      </c>
      <c r="O36" s="118"/>
    </row>
    <row r="37" spans="1:15">
      <c r="A37" s="114" t="str">
        <f>'1. 소켓인수검사'!A38</f>
        <v>30</v>
      </c>
      <c r="B37" s="119" t="s">
        <v>60</v>
      </c>
      <c r="C37" s="73">
        <f>'1. 소켓인수검사'!C38</f>
        <v>1000</v>
      </c>
      <c r="D37" s="73">
        <f>'1. 소켓인수검사'!D38</f>
        <v>500</v>
      </c>
      <c r="E37" s="44"/>
      <c r="F37" s="73">
        <v>1</v>
      </c>
      <c r="G37" s="115">
        <f t="shared" si="0"/>
        <v>995</v>
      </c>
      <c r="H37" s="73">
        <f t="shared" si="1"/>
        <v>4</v>
      </c>
      <c r="I37" s="116">
        <f t="shared" si="2"/>
        <v>470</v>
      </c>
      <c r="J37" s="73">
        <f t="shared" si="3"/>
        <v>4</v>
      </c>
      <c r="K37" s="117">
        <f t="shared" si="4"/>
        <v>1060</v>
      </c>
      <c r="L37" s="73">
        <v>2</v>
      </c>
      <c r="M37" s="117">
        <f t="shared" si="5"/>
        <v>500</v>
      </c>
      <c r="N37" s="73">
        <v>2</v>
      </c>
      <c r="O37" s="118"/>
    </row>
    <row r="38" spans="1:15">
      <c r="A38" s="114" t="str">
        <f>'1. 소켓인수검사'!A39</f>
        <v>31</v>
      </c>
      <c r="B38" s="119" t="s">
        <v>60</v>
      </c>
      <c r="C38" s="73">
        <f>'1. 소켓인수검사'!C39</f>
        <v>1000</v>
      </c>
      <c r="D38" s="73">
        <f>'1. 소켓인수검사'!D39</f>
        <v>500</v>
      </c>
      <c r="E38" s="44"/>
      <c r="F38" s="73">
        <v>1</v>
      </c>
      <c r="G38" s="115">
        <f t="shared" si="0"/>
        <v>995</v>
      </c>
      <c r="H38" s="73">
        <f t="shared" si="1"/>
        <v>4</v>
      </c>
      <c r="I38" s="116">
        <f t="shared" si="2"/>
        <v>470</v>
      </c>
      <c r="J38" s="73">
        <f t="shared" si="3"/>
        <v>4</v>
      </c>
      <c r="K38" s="117">
        <f t="shared" si="4"/>
        <v>1060</v>
      </c>
      <c r="L38" s="73">
        <v>2</v>
      </c>
      <c r="M38" s="117">
        <f t="shared" si="5"/>
        <v>500</v>
      </c>
      <c r="N38" s="73">
        <v>2</v>
      </c>
      <c r="O38" s="118"/>
    </row>
    <row r="39" spans="1:15">
      <c r="A39" s="114" t="str">
        <f>'1. 소켓인수검사'!A40</f>
        <v>32</v>
      </c>
      <c r="B39" s="119" t="s">
        <v>60</v>
      </c>
      <c r="C39" s="73">
        <f>'1. 소켓인수검사'!C40</f>
        <v>1000</v>
      </c>
      <c r="D39" s="73">
        <f>'1. 소켓인수검사'!D40</f>
        <v>500</v>
      </c>
      <c r="E39" s="44"/>
      <c r="F39" s="73">
        <v>1</v>
      </c>
      <c r="G39" s="115">
        <f t="shared" si="0"/>
        <v>995</v>
      </c>
      <c r="H39" s="73">
        <f t="shared" si="1"/>
        <v>4</v>
      </c>
      <c r="I39" s="116">
        <f t="shared" si="2"/>
        <v>470</v>
      </c>
      <c r="J39" s="73">
        <f t="shared" si="3"/>
        <v>4</v>
      </c>
      <c r="K39" s="117">
        <f t="shared" si="4"/>
        <v>1060</v>
      </c>
      <c r="L39" s="73">
        <v>2</v>
      </c>
      <c r="M39" s="117">
        <f t="shared" si="5"/>
        <v>500</v>
      </c>
      <c r="N39" s="73">
        <v>2</v>
      </c>
      <c r="O39" s="118"/>
    </row>
    <row r="40" spans="1:15">
      <c r="A40" s="114" t="str">
        <f>'1. 소켓인수검사'!A41</f>
        <v>33</v>
      </c>
      <c r="B40" s="119" t="s">
        <v>60</v>
      </c>
      <c r="C40" s="73">
        <f>'1. 소켓인수검사'!C41</f>
        <v>1000</v>
      </c>
      <c r="D40" s="73">
        <f>'1. 소켓인수검사'!D41</f>
        <v>500</v>
      </c>
      <c r="E40" s="44"/>
      <c r="F40" s="73">
        <v>1</v>
      </c>
      <c r="G40" s="115">
        <f t="shared" si="0"/>
        <v>995</v>
      </c>
      <c r="H40" s="73">
        <f t="shared" si="1"/>
        <v>4</v>
      </c>
      <c r="I40" s="116">
        <f t="shared" si="2"/>
        <v>470</v>
      </c>
      <c r="J40" s="73">
        <f t="shared" si="3"/>
        <v>4</v>
      </c>
      <c r="K40" s="117">
        <f t="shared" si="4"/>
        <v>1060</v>
      </c>
      <c r="L40" s="73">
        <v>2</v>
      </c>
      <c r="M40" s="117">
        <f t="shared" si="5"/>
        <v>500</v>
      </c>
      <c r="N40" s="73">
        <v>2</v>
      </c>
      <c r="O40" s="118"/>
    </row>
    <row r="41" spans="1:15">
      <c r="A41" s="114" t="str">
        <f>'1. 소켓인수검사'!A42</f>
        <v>34</v>
      </c>
      <c r="B41" s="119" t="s">
        <v>60</v>
      </c>
      <c r="C41" s="73">
        <f>'1. 소켓인수검사'!C42</f>
        <v>1000</v>
      </c>
      <c r="D41" s="73">
        <f>'1. 소켓인수검사'!D42</f>
        <v>500</v>
      </c>
      <c r="E41" s="44"/>
      <c r="F41" s="73">
        <v>1</v>
      </c>
      <c r="G41" s="115">
        <f t="shared" si="0"/>
        <v>995</v>
      </c>
      <c r="H41" s="73">
        <f t="shared" si="1"/>
        <v>4</v>
      </c>
      <c r="I41" s="116">
        <f t="shared" si="2"/>
        <v>470</v>
      </c>
      <c r="J41" s="73">
        <f t="shared" si="3"/>
        <v>4</v>
      </c>
      <c r="K41" s="117">
        <f t="shared" si="4"/>
        <v>1060</v>
      </c>
      <c r="L41" s="73">
        <v>2</v>
      </c>
      <c r="M41" s="117">
        <f t="shared" si="5"/>
        <v>500</v>
      </c>
      <c r="N41" s="73">
        <v>2</v>
      </c>
      <c r="O41" s="118"/>
    </row>
    <row r="42" spans="1:15">
      <c r="A42" s="114" t="str">
        <f>'1. 소켓인수검사'!A43</f>
        <v>35</v>
      </c>
      <c r="B42" s="119" t="s">
        <v>60</v>
      </c>
      <c r="C42" s="73">
        <f>'1. 소켓인수검사'!C43</f>
        <v>1000</v>
      </c>
      <c r="D42" s="73">
        <f>'1. 소켓인수검사'!D43</f>
        <v>550</v>
      </c>
      <c r="E42" s="44"/>
      <c r="F42" s="73">
        <v>1</v>
      </c>
      <c r="G42" s="115">
        <f t="shared" si="0"/>
        <v>995</v>
      </c>
      <c r="H42" s="73">
        <f t="shared" si="1"/>
        <v>4</v>
      </c>
      <c r="I42" s="116">
        <f t="shared" si="2"/>
        <v>520</v>
      </c>
      <c r="J42" s="73">
        <f t="shared" si="3"/>
        <v>4</v>
      </c>
      <c r="K42" s="117">
        <f t="shared" si="4"/>
        <v>1060</v>
      </c>
      <c r="L42" s="73">
        <v>2</v>
      </c>
      <c r="M42" s="117">
        <f t="shared" si="5"/>
        <v>550</v>
      </c>
      <c r="N42" s="73">
        <v>2</v>
      </c>
      <c r="O42" s="118"/>
    </row>
    <row r="43" spans="1:15">
      <c r="A43" s="114" t="str">
        <f>'1. 소켓인수검사'!A44</f>
        <v>36</v>
      </c>
      <c r="B43" s="119" t="s">
        <v>60</v>
      </c>
      <c r="C43" s="73">
        <f>'1. 소켓인수검사'!C44</f>
        <v>1000</v>
      </c>
      <c r="D43" s="73">
        <f>'1. 소켓인수검사'!D44</f>
        <v>550</v>
      </c>
      <c r="E43" s="44"/>
      <c r="F43" s="73">
        <v>1</v>
      </c>
      <c r="G43" s="115">
        <f t="shared" si="0"/>
        <v>995</v>
      </c>
      <c r="H43" s="73">
        <f t="shared" si="1"/>
        <v>4</v>
      </c>
      <c r="I43" s="116">
        <f t="shared" si="2"/>
        <v>520</v>
      </c>
      <c r="J43" s="73">
        <f t="shared" si="3"/>
        <v>4</v>
      </c>
      <c r="K43" s="117">
        <f t="shared" si="4"/>
        <v>1060</v>
      </c>
      <c r="L43" s="73">
        <v>2</v>
      </c>
      <c r="M43" s="117">
        <f t="shared" si="5"/>
        <v>550</v>
      </c>
      <c r="N43" s="73">
        <v>2</v>
      </c>
      <c r="O43" s="118"/>
    </row>
    <row r="44" spans="1:15">
      <c r="A44" s="114" t="str">
        <f>'1. 소켓인수검사'!A45</f>
        <v>37</v>
      </c>
      <c r="B44" s="119" t="s">
        <v>60</v>
      </c>
      <c r="C44" s="73">
        <f>'1. 소켓인수검사'!C45</f>
        <v>1000</v>
      </c>
      <c r="D44" s="73">
        <f>'1. 소켓인수검사'!D45</f>
        <v>550</v>
      </c>
      <c r="E44" s="44"/>
      <c r="F44" s="73">
        <v>1</v>
      </c>
      <c r="G44" s="115">
        <f t="shared" si="0"/>
        <v>995</v>
      </c>
      <c r="H44" s="73">
        <f t="shared" si="1"/>
        <v>4</v>
      </c>
      <c r="I44" s="116">
        <f t="shared" si="2"/>
        <v>520</v>
      </c>
      <c r="J44" s="73">
        <f t="shared" si="3"/>
        <v>4</v>
      </c>
      <c r="K44" s="117">
        <f t="shared" si="4"/>
        <v>1060</v>
      </c>
      <c r="L44" s="73">
        <v>2</v>
      </c>
      <c r="M44" s="117">
        <f t="shared" si="5"/>
        <v>550</v>
      </c>
      <c r="N44" s="73">
        <v>2</v>
      </c>
      <c r="O44" s="118"/>
    </row>
    <row r="45" spans="1:15">
      <c r="A45" s="114" t="str">
        <f>'1. 소켓인수검사'!A46</f>
        <v>38</v>
      </c>
      <c r="B45" s="119" t="s">
        <v>60</v>
      </c>
      <c r="C45" s="73">
        <f>'1. 소켓인수검사'!C46</f>
        <v>1000</v>
      </c>
      <c r="D45" s="73">
        <f>'1. 소켓인수검사'!D46</f>
        <v>550</v>
      </c>
      <c r="E45" s="44"/>
      <c r="F45" s="73">
        <v>1</v>
      </c>
      <c r="G45" s="115">
        <f t="shared" si="0"/>
        <v>995</v>
      </c>
      <c r="H45" s="73">
        <f t="shared" si="1"/>
        <v>4</v>
      </c>
      <c r="I45" s="116">
        <f t="shared" si="2"/>
        <v>520</v>
      </c>
      <c r="J45" s="73">
        <f t="shared" si="3"/>
        <v>4</v>
      </c>
      <c r="K45" s="117">
        <f t="shared" si="4"/>
        <v>1060</v>
      </c>
      <c r="L45" s="73">
        <v>2</v>
      </c>
      <c r="M45" s="117">
        <f t="shared" si="5"/>
        <v>550</v>
      </c>
      <c r="N45" s="73">
        <v>2</v>
      </c>
      <c r="O45" s="118"/>
    </row>
    <row r="46" spans="1:15">
      <c r="A46" s="114" t="str">
        <f>'1. 소켓인수검사'!A47</f>
        <v>39</v>
      </c>
      <c r="B46" s="119" t="s">
        <v>60</v>
      </c>
      <c r="C46" s="73">
        <f>'1. 소켓인수검사'!C47</f>
        <v>1000</v>
      </c>
      <c r="D46" s="73">
        <f>'1. 소켓인수검사'!D47</f>
        <v>550</v>
      </c>
      <c r="E46" s="44"/>
      <c r="F46" s="73">
        <v>1</v>
      </c>
      <c r="G46" s="115">
        <f t="shared" si="0"/>
        <v>995</v>
      </c>
      <c r="H46" s="73">
        <f t="shared" si="1"/>
        <v>4</v>
      </c>
      <c r="I46" s="116">
        <f t="shared" si="2"/>
        <v>520</v>
      </c>
      <c r="J46" s="73">
        <f t="shared" si="3"/>
        <v>4</v>
      </c>
      <c r="K46" s="117">
        <f t="shared" si="4"/>
        <v>1060</v>
      </c>
      <c r="L46" s="73">
        <v>2</v>
      </c>
      <c r="M46" s="117">
        <f t="shared" si="5"/>
        <v>550</v>
      </c>
      <c r="N46" s="73">
        <v>2</v>
      </c>
      <c r="O46" s="118"/>
    </row>
    <row r="47" spans="1:15">
      <c r="A47" s="114" t="str">
        <f>'1. 소켓인수검사'!A48</f>
        <v>40</v>
      </c>
      <c r="B47" s="119" t="s">
        <v>60</v>
      </c>
      <c r="C47" s="73">
        <f>'1. 소켓인수검사'!C48</f>
        <v>1000</v>
      </c>
      <c r="D47" s="73">
        <f>'1. 소켓인수검사'!D48</f>
        <v>550</v>
      </c>
      <c r="E47" s="44"/>
      <c r="F47" s="73">
        <v>1</v>
      </c>
      <c r="G47" s="115">
        <f t="shared" si="0"/>
        <v>995</v>
      </c>
      <c r="H47" s="73">
        <f t="shared" si="1"/>
        <v>4</v>
      </c>
      <c r="I47" s="116">
        <f t="shared" si="2"/>
        <v>520</v>
      </c>
      <c r="J47" s="73">
        <f t="shared" si="3"/>
        <v>4</v>
      </c>
      <c r="K47" s="117">
        <f t="shared" si="4"/>
        <v>1060</v>
      </c>
      <c r="L47" s="73">
        <v>2</v>
      </c>
      <c r="M47" s="117">
        <f t="shared" si="5"/>
        <v>550</v>
      </c>
      <c r="N47" s="73">
        <v>2</v>
      </c>
      <c r="O47" s="118"/>
    </row>
    <row r="48" spans="1:15">
      <c r="A48" s="114" t="str">
        <f>'1. 소켓인수검사'!A49</f>
        <v>41</v>
      </c>
      <c r="B48" s="119" t="s">
        <v>60</v>
      </c>
      <c r="C48" s="73">
        <f>'1. 소켓인수검사'!C49</f>
        <v>1000</v>
      </c>
      <c r="D48" s="73">
        <f>'1. 소켓인수검사'!D49</f>
        <v>550</v>
      </c>
      <c r="E48" s="44"/>
      <c r="F48" s="73">
        <v>1</v>
      </c>
      <c r="G48" s="115">
        <f t="shared" si="0"/>
        <v>995</v>
      </c>
      <c r="H48" s="73">
        <f t="shared" si="1"/>
        <v>4</v>
      </c>
      <c r="I48" s="116">
        <f t="shared" si="2"/>
        <v>520</v>
      </c>
      <c r="J48" s="73">
        <f t="shared" si="3"/>
        <v>4</v>
      </c>
      <c r="K48" s="117">
        <f t="shared" si="4"/>
        <v>1060</v>
      </c>
      <c r="L48" s="73">
        <v>2</v>
      </c>
      <c r="M48" s="117">
        <f t="shared" si="5"/>
        <v>550</v>
      </c>
      <c r="N48" s="73">
        <v>2</v>
      </c>
      <c r="O48" s="118"/>
    </row>
    <row r="49" spans="1:15">
      <c r="A49" s="114" t="str">
        <f>'1. 소켓인수검사'!A50</f>
        <v>42</v>
      </c>
      <c r="B49" s="119" t="s">
        <v>60</v>
      </c>
      <c r="C49" s="73">
        <f>'1. 소켓인수검사'!C50</f>
        <v>1000</v>
      </c>
      <c r="D49" s="73">
        <f>'1. 소켓인수검사'!D50</f>
        <v>550</v>
      </c>
      <c r="E49" s="44"/>
      <c r="F49" s="73">
        <v>1</v>
      </c>
      <c r="G49" s="115">
        <f t="shared" si="0"/>
        <v>995</v>
      </c>
      <c r="H49" s="73">
        <f t="shared" si="1"/>
        <v>4</v>
      </c>
      <c r="I49" s="116">
        <f t="shared" si="2"/>
        <v>520</v>
      </c>
      <c r="J49" s="73">
        <f t="shared" si="3"/>
        <v>4</v>
      </c>
      <c r="K49" s="117">
        <f t="shared" si="4"/>
        <v>1060</v>
      </c>
      <c r="L49" s="73">
        <v>2</v>
      </c>
      <c r="M49" s="117">
        <f t="shared" si="5"/>
        <v>550</v>
      </c>
      <c r="N49" s="73">
        <v>2</v>
      </c>
      <c r="O49" s="118"/>
    </row>
    <row r="50" spans="1:15">
      <c r="A50" s="114" t="str">
        <f>'1. 소켓인수검사'!A51</f>
        <v>43</v>
      </c>
      <c r="B50" s="119" t="s">
        <v>60</v>
      </c>
      <c r="C50" s="73">
        <f>'1. 소켓인수검사'!C51</f>
        <v>1000</v>
      </c>
      <c r="D50" s="73">
        <f>'1. 소켓인수검사'!D51</f>
        <v>550</v>
      </c>
      <c r="E50" s="44"/>
      <c r="F50" s="73">
        <v>1</v>
      </c>
      <c r="G50" s="115">
        <f t="shared" si="0"/>
        <v>995</v>
      </c>
      <c r="H50" s="73">
        <f t="shared" si="1"/>
        <v>4</v>
      </c>
      <c r="I50" s="116">
        <f t="shared" si="2"/>
        <v>520</v>
      </c>
      <c r="J50" s="73">
        <f t="shared" si="3"/>
        <v>4</v>
      </c>
      <c r="K50" s="117">
        <f t="shared" si="4"/>
        <v>1060</v>
      </c>
      <c r="L50" s="73">
        <v>2</v>
      </c>
      <c r="M50" s="117">
        <f t="shared" si="5"/>
        <v>550</v>
      </c>
      <c r="N50" s="73">
        <v>2</v>
      </c>
      <c r="O50" s="118"/>
    </row>
    <row r="51" spans="1:15">
      <c r="A51" s="114" t="str">
        <f>'1. 소켓인수검사'!A52</f>
        <v>44</v>
      </c>
      <c r="B51" s="119" t="s">
        <v>60</v>
      </c>
      <c r="C51" s="73">
        <f>'1. 소켓인수검사'!C52</f>
        <v>1000</v>
      </c>
      <c r="D51" s="73">
        <f>'1. 소켓인수검사'!D52</f>
        <v>550</v>
      </c>
      <c r="E51" s="44"/>
      <c r="F51" s="73">
        <v>1</v>
      </c>
      <c r="G51" s="115">
        <f t="shared" si="0"/>
        <v>995</v>
      </c>
      <c r="H51" s="73">
        <f t="shared" si="1"/>
        <v>4</v>
      </c>
      <c r="I51" s="116">
        <f t="shared" si="2"/>
        <v>520</v>
      </c>
      <c r="J51" s="73">
        <f t="shared" si="3"/>
        <v>4</v>
      </c>
      <c r="K51" s="117">
        <f t="shared" si="4"/>
        <v>1060</v>
      </c>
      <c r="L51" s="73">
        <v>2</v>
      </c>
      <c r="M51" s="117">
        <f t="shared" si="5"/>
        <v>550</v>
      </c>
      <c r="N51" s="73">
        <v>2</v>
      </c>
      <c r="O51" s="118"/>
    </row>
    <row r="52" spans="1:15" ht="8.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 t="s">
        <v>57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</sheetData>
  <mergeCells count="21"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  <mergeCell ref="A52:O52"/>
    <mergeCell ref="A53:C55"/>
    <mergeCell ref="D53:O55"/>
    <mergeCell ref="K5:N5"/>
    <mergeCell ref="O5:O7"/>
    <mergeCell ref="C6:C7"/>
    <mergeCell ref="D6:D7"/>
    <mergeCell ref="G6:H6"/>
    <mergeCell ref="I6:J6"/>
    <mergeCell ref="K6:L6"/>
    <mergeCell ref="M6:N6"/>
  </mergeCells>
  <phoneticPr fontId="31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81"/>
  <sheetViews>
    <sheetView zoomScaleNormal="100" zoomScaleSheetLayoutView="100" workbookViewId="0">
      <selection activeCell="H16" sqref="H16"/>
    </sheetView>
  </sheetViews>
  <sheetFormatPr defaultColWidth="9" defaultRowHeight="16.5"/>
  <cols>
    <col min="1" max="1" width="5.125" bestFit="1" customWidth="1"/>
    <col min="2" max="2" width="6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9" width="5.25" style="5" bestFit="1" customWidth="1"/>
    <col min="10" max="10" width="8" style="5" customWidth="1"/>
    <col min="11" max="11" width="7.375" customWidth="1"/>
    <col min="12" max="12" width="5.875" customWidth="1"/>
    <col min="13" max="13" width="7.125" customWidth="1"/>
    <col min="14" max="14" width="6.25" customWidth="1"/>
    <col min="15" max="15" width="25.5" customWidth="1"/>
  </cols>
  <sheetData>
    <row r="1" spans="1:15" ht="16.5" customHeight="1">
      <c r="A1" s="1"/>
      <c r="B1" s="1"/>
      <c r="C1" s="1"/>
      <c r="D1" s="1"/>
      <c r="E1" s="163" t="s">
        <v>82</v>
      </c>
      <c r="F1" s="164"/>
      <c r="G1" s="164"/>
      <c r="H1" s="169" t="str">
        <f>'1. 소켓인수검사'!R2</f>
        <v xml:space="preserve">26.04.24 그린산업_ 일우엠이씨_GS건설_아산탕정자이퍼스트시티 </v>
      </c>
      <c r="I1" s="169"/>
      <c r="J1" s="169"/>
      <c r="K1" s="169"/>
      <c r="L1" s="169"/>
      <c r="M1" s="169"/>
      <c r="N1" s="169"/>
      <c r="O1" s="170"/>
    </row>
    <row r="2" spans="1:15" ht="38.25" customHeight="1">
      <c r="A2" s="1"/>
      <c r="B2" s="1"/>
      <c r="C2" s="1"/>
      <c r="D2" s="1"/>
      <c r="E2" s="165"/>
      <c r="F2" s="166"/>
      <c r="G2" s="166"/>
      <c r="H2" s="171"/>
      <c r="I2" s="171"/>
      <c r="J2" s="171"/>
      <c r="K2" s="171"/>
      <c r="L2" s="171"/>
      <c r="M2" s="171"/>
      <c r="N2" s="171"/>
      <c r="O2" s="172"/>
    </row>
    <row r="3" spans="1:15" ht="38.25" customHeight="1">
      <c r="A3" s="1"/>
      <c r="B3" s="1"/>
      <c r="C3" s="1"/>
      <c r="D3" s="1"/>
      <c r="E3" s="167"/>
      <c r="F3" s="168"/>
      <c r="G3" s="168"/>
      <c r="H3" s="173"/>
      <c r="I3" s="173"/>
      <c r="J3" s="173"/>
      <c r="K3" s="173"/>
      <c r="L3" s="173"/>
      <c r="M3" s="173"/>
      <c r="N3" s="173"/>
      <c r="O3" s="174"/>
    </row>
    <row r="4" spans="1:15" ht="8.1" customHeight="1">
      <c r="A4" s="175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7"/>
      <c r="O4" s="15"/>
    </row>
    <row r="5" spans="1:15" s="18" customFormat="1" ht="26.45" customHeight="1">
      <c r="A5" s="178" t="s">
        <v>70</v>
      </c>
      <c r="B5" s="180" t="s">
        <v>80</v>
      </c>
      <c r="C5" s="182" t="s">
        <v>4</v>
      </c>
      <c r="D5" s="182"/>
      <c r="E5" s="182" t="s">
        <v>25</v>
      </c>
      <c r="F5" s="182" t="s">
        <v>68</v>
      </c>
      <c r="G5" s="182" t="s">
        <v>21</v>
      </c>
      <c r="H5" s="182"/>
      <c r="I5" s="182"/>
      <c r="J5" s="182"/>
      <c r="K5" s="182" t="s">
        <v>35</v>
      </c>
      <c r="L5" s="182"/>
      <c r="M5" s="182"/>
      <c r="N5" s="182"/>
      <c r="O5" s="184" t="s">
        <v>2</v>
      </c>
    </row>
    <row r="6" spans="1:15" s="18" customFormat="1" ht="16.5" customHeight="1">
      <c r="A6" s="179"/>
      <c r="B6" s="181"/>
      <c r="C6" s="183" t="s">
        <v>77</v>
      </c>
      <c r="D6" s="183" t="s">
        <v>75</v>
      </c>
      <c r="E6" s="183"/>
      <c r="F6" s="183"/>
      <c r="G6" s="186" t="s">
        <v>77</v>
      </c>
      <c r="H6" s="186"/>
      <c r="I6" s="186" t="s">
        <v>75</v>
      </c>
      <c r="J6" s="186"/>
      <c r="K6" s="183" t="s">
        <v>79</v>
      </c>
      <c r="L6" s="183"/>
      <c r="M6" s="183" t="s">
        <v>76</v>
      </c>
      <c r="N6" s="183"/>
      <c r="O6" s="185"/>
    </row>
    <row r="7" spans="1:15" s="18" customFormat="1" ht="16.5" customHeight="1">
      <c r="A7" s="179"/>
      <c r="B7" s="181"/>
      <c r="C7" s="183"/>
      <c r="D7" s="183"/>
      <c r="E7" s="183"/>
      <c r="F7" s="183"/>
      <c r="G7" s="98" t="s">
        <v>4</v>
      </c>
      <c r="H7" s="98" t="s">
        <v>32</v>
      </c>
      <c r="I7" s="98" t="s">
        <v>4</v>
      </c>
      <c r="J7" s="98" t="s">
        <v>32</v>
      </c>
      <c r="K7" s="99" t="s">
        <v>4</v>
      </c>
      <c r="L7" s="99" t="s">
        <v>68</v>
      </c>
      <c r="M7" s="99" t="s">
        <v>4</v>
      </c>
      <c r="N7" s="99" t="s">
        <v>68</v>
      </c>
      <c r="O7" s="185"/>
    </row>
    <row r="8" spans="1:15">
      <c r="A8" s="94" t="str">
        <f>'1. 소켓인수검사'!A53</f>
        <v>45</v>
      </c>
      <c r="B8" s="100" t="s">
        <v>59</v>
      </c>
      <c r="C8" s="43">
        <f>'1. 소켓인수검사'!C53</f>
        <v>900</v>
      </c>
      <c r="D8" s="43">
        <f>'1. 소켓인수검사'!D53</f>
        <v>800</v>
      </c>
      <c r="E8" s="44"/>
      <c r="F8" s="43">
        <v>1</v>
      </c>
      <c r="G8" s="67">
        <f>(C8-30)/2-5</f>
        <v>430</v>
      </c>
      <c r="H8" s="73">
        <f>F8*8*2</f>
        <v>16</v>
      </c>
      <c r="I8" s="109">
        <f>(D8-20)/2-10</f>
        <v>380</v>
      </c>
      <c r="J8" s="73">
        <f>F8*16</f>
        <v>16</v>
      </c>
      <c r="K8" s="68">
        <f t="shared" ref="K8:K71" si="0">C8+60</f>
        <v>960</v>
      </c>
      <c r="L8" s="101">
        <v>4</v>
      </c>
      <c r="M8" s="68">
        <f>D8</f>
        <v>800</v>
      </c>
      <c r="N8" s="101">
        <v>4</v>
      </c>
      <c r="O8" s="63"/>
    </row>
    <row r="9" spans="1:15">
      <c r="A9" s="94" t="str">
        <f>'1. 소켓인수검사'!A54</f>
        <v>46</v>
      </c>
      <c r="B9" s="100" t="s">
        <v>59</v>
      </c>
      <c r="C9" s="43">
        <f>'1. 소켓인수검사'!C54</f>
        <v>900</v>
      </c>
      <c r="D9" s="43">
        <f>'1. 소켓인수검사'!D54</f>
        <v>800</v>
      </c>
      <c r="E9" s="44"/>
      <c r="F9" s="43">
        <v>1</v>
      </c>
      <c r="G9" s="67">
        <f t="shared" ref="G9:G72" si="1">(C9-30)/2-5</f>
        <v>430</v>
      </c>
      <c r="H9" s="73">
        <f>F9*8*2</f>
        <v>16</v>
      </c>
      <c r="I9" s="109">
        <f>(D9-20)/2-10</f>
        <v>380</v>
      </c>
      <c r="J9" s="73">
        <f>F9*16</f>
        <v>16</v>
      </c>
      <c r="K9" s="68">
        <f t="shared" si="0"/>
        <v>960</v>
      </c>
      <c r="L9" s="101">
        <v>4</v>
      </c>
      <c r="M9" s="68">
        <f t="shared" ref="M9:M72" si="2">D9</f>
        <v>800</v>
      </c>
      <c r="N9" s="101">
        <v>4</v>
      </c>
      <c r="O9" s="63"/>
    </row>
    <row r="10" spans="1:15">
      <c r="A10" s="94" t="str">
        <f>'1. 소켓인수검사'!A55</f>
        <v>47</v>
      </c>
      <c r="B10" s="100" t="s">
        <v>59</v>
      </c>
      <c r="C10" s="43">
        <f>'1. 소켓인수검사'!C55</f>
        <v>900</v>
      </c>
      <c r="D10" s="43">
        <f>'1. 소켓인수검사'!D55</f>
        <v>800</v>
      </c>
      <c r="E10" s="44"/>
      <c r="F10" s="43">
        <v>1</v>
      </c>
      <c r="G10" s="67">
        <f t="shared" si="1"/>
        <v>430</v>
      </c>
      <c r="H10" s="73">
        <f t="shared" ref="H10:H64" si="3">F10*8*2</f>
        <v>16</v>
      </c>
      <c r="I10" s="109">
        <f>(D10-20)/2-10</f>
        <v>380</v>
      </c>
      <c r="J10" s="73">
        <f t="shared" ref="J10:J64" si="4">F10*16</f>
        <v>16</v>
      </c>
      <c r="K10" s="68">
        <f t="shared" si="0"/>
        <v>960</v>
      </c>
      <c r="L10" s="101">
        <v>4</v>
      </c>
      <c r="M10" s="68">
        <f t="shared" si="2"/>
        <v>800</v>
      </c>
      <c r="N10" s="101">
        <v>4</v>
      </c>
      <c r="O10" s="63"/>
    </row>
    <row r="11" spans="1:15">
      <c r="A11" s="94" t="str">
        <f>'1. 소켓인수검사'!A56</f>
        <v>48</v>
      </c>
      <c r="B11" s="100" t="s">
        <v>59</v>
      </c>
      <c r="C11" s="43">
        <f>'1. 소켓인수검사'!C56</f>
        <v>900</v>
      </c>
      <c r="D11" s="43">
        <f>'1. 소켓인수검사'!D56</f>
        <v>800</v>
      </c>
      <c r="E11" s="44"/>
      <c r="F11" s="43">
        <v>1</v>
      </c>
      <c r="G11" s="67">
        <f t="shared" si="1"/>
        <v>430</v>
      </c>
      <c r="H11" s="73">
        <f t="shared" si="3"/>
        <v>16</v>
      </c>
      <c r="I11" s="109">
        <f t="shared" ref="I11:I64" si="5">(D11-20)/2-10</f>
        <v>380</v>
      </c>
      <c r="J11" s="73">
        <f t="shared" si="4"/>
        <v>16</v>
      </c>
      <c r="K11" s="68">
        <f t="shared" si="0"/>
        <v>960</v>
      </c>
      <c r="L11" s="101">
        <v>4</v>
      </c>
      <c r="M11" s="68">
        <f t="shared" si="2"/>
        <v>800</v>
      </c>
      <c r="N11" s="101">
        <v>4</v>
      </c>
      <c r="O11" s="63"/>
    </row>
    <row r="12" spans="1:15">
      <c r="A12" s="94" t="str">
        <f>'1. 소켓인수검사'!A57</f>
        <v>49</v>
      </c>
      <c r="B12" s="100" t="s">
        <v>59</v>
      </c>
      <c r="C12" s="43">
        <f>'1. 소켓인수검사'!C57</f>
        <v>900</v>
      </c>
      <c r="D12" s="43">
        <f>'1. 소켓인수검사'!D57</f>
        <v>800</v>
      </c>
      <c r="E12" s="44"/>
      <c r="F12" s="43">
        <v>1</v>
      </c>
      <c r="G12" s="67">
        <f t="shared" si="1"/>
        <v>430</v>
      </c>
      <c r="H12" s="73">
        <f t="shared" ref="H12:H15" si="6">F12*8*2</f>
        <v>16</v>
      </c>
      <c r="I12" s="109">
        <f t="shared" ref="I12:I15" si="7">(D12-20)/2-10</f>
        <v>380</v>
      </c>
      <c r="J12" s="73">
        <f t="shared" ref="J12:J15" si="8">F12*16</f>
        <v>16</v>
      </c>
      <c r="K12" s="68">
        <f t="shared" ref="K12:K33" si="9">C12+60</f>
        <v>960</v>
      </c>
      <c r="L12" s="101">
        <v>4</v>
      </c>
      <c r="M12" s="68">
        <f t="shared" si="2"/>
        <v>800</v>
      </c>
      <c r="N12" s="101">
        <v>4</v>
      </c>
      <c r="O12" s="63"/>
    </row>
    <row r="13" spans="1:15">
      <c r="A13" s="94" t="str">
        <f>'1. 소켓인수검사'!A58</f>
        <v>50</v>
      </c>
      <c r="B13" s="100" t="s">
        <v>59</v>
      </c>
      <c r="C13" s="43">
        <f>'1. 소켓인수검사'!C58</f>
        <v>900</v>
      </c>
      <c r="D13" s="43">
        <f>'1. 소켓인수검사'!D58</f>
        <v>800</v>
      </c>
      <c r="E13" s="44"/>
      <c r="F13" s="43">
        <v>1</v>
      </c>
      <c r="G13" s="67">
        <f t="shared" si="1"/>
        <v>430</v>
      </c>
      <c r="H13" s="73">
        <f t="shared" si="6"/>
        <v>16</v>
      </c>
      <c r="I13" s="109">
        <f t="shared" si="7"/>
        <v>380</v>
      </c>
      <c r="J13" s="73">
        <f t="shared" si="8"/>
        <v>16</v>
      </c>
      <c r="K13" s="68">
        <f t="shared" si="9"/>
        <v>960</v>
      </c>
      <c r="L13" s="101">
        <v>4</v>
      </c>
      <c r="M13" s="68">
        <f t="shared" si="2"/>
        <v>800</v>
      </c>
      <c r="N13" s="101">
        <v>4</v>
      </c>
      <c r="O13" s="63"/>
    </row>
    <row r="14" spans="1:15">
      <c r="A14" s="94" t="str">
        <f>'1. 소켓인수검사'!A59</f>
        <v>51</v>
      </c>
      <c r="B14" s="100" t="s">
        <v>59</v>
      </c>
      <c r="C14" s="43">
        <f>'1. 소켓인수검사'!C59</f>
        <v>900</v>
      </c>
      <c r="D14" s="43">
        <f>'1. 소켓인수검사'!D59</f>
        <v>800</v>
      </c>
      <c r="E14" s="44"/>
      <c r="F14" s="43">
        <v>1</v>
      </c>
      <c r="G14" s="67">
        <f t="shared" si="1"/>
        <v>430</v>
      </c>
      <c r="H14" s="73">
        <f t="shared" si="6"/>
        <v>16</v>
      </c>
      <c r="I14" s="109">
        <f t="shared" si="7"/>
        <v>380</v>
      </c>
      <c r="J14" s="73">
        <f t="shared" si="8"/>
        <v>16</v>
      </c>
      <c r="K14" s="68">
        <f t="shared" si="9"/>
        <v>960</v>
      </c>
      <c r="L14" s="101">
        <v>4</v>
      </c>
      <c r="M14" s="68">
        <f t="shared" si="2"/>
        <v>800</v>
      </c>
      <c r="N14" s="101">
        <v>4</v>
      </c>
      <c r="O14" s="63"/>
    </row>
    <row r="15" spans="1:15">
      <c r="A15" s="94" t="str">
        <f>'1. 소켓인수검사'!A60</f>
        <v>52</v>
      </c>
      <c r="B15" s="100" t="s">
        <v>59</v>
      </c>
      <c r="C15" s="43">
        <f>'1. 소켓인수검사'!C60</f>
        <v>900</v>
      </c>
      <c r="D15" s="43">
        <f>'1. 소켓인수검사'!D60</f>
        <v>800</v>
      </c>
      <c r="E15" s="44"/>
      <c r="F15" s="43">
        <v>1</v>
      </c>
      <c r="G15" s="67">
        <f t="shared" si="1"/>
        <v>430</v>
      </c>
      <c r="H15" s="73">
        <f t="shared" si="6"/>
        <v>16</v>
      </c>
      <c r="I15" s="109">
        <f t="shared" si="7"/>
        <v>380</v>
      </c>
      <c r="J15" s="73">
        <f t="shared" si="8"/>
        <v>16</v>
      </c>
      <c r="K15" s="68">
        <f t="shared" si="9"/>
        <v>960</v>
      </c>
      <c r="L15" s="101">
        <v>4</v>
      </c>
      <c r="M15" s="68">
        <f t="shared" si="2"/>
        <v>800</v>
      </c>
      <c r="N15" s="101">
        <v>4</v>
      </c>
      <c r="O15" s="63"/>
    </row>
    <row r="16" spans="1:15">
      <c r="A16" s="94" t="str">
        <f>'1. 소켓인수검사'!A61</f>
        <v>53</v>
      </c>
      <c r="B16" s="100" t="s">
        <v>59</v>
      </c>
      <c r="C16" s="43">
        <f>'1. 소켓인수검사'!C61</f>
        <v>950</v>
      </c>
      <c r="D16" s="43">
        <f>'1. 소켓인수검사'!D61</f>
        <v>750</v>
      </c>
      <c r="E16" s="44"/>
      <c r="F16" s="43">
        <v>1</v>
      </c>
      <c r="G16" s="67">
        <f t="shared" si="1"/>
        <v>455</v>
      </c>
      <c r="H16" s="73">
        <f>F16*8*2</f>
        <v>16</v>
      </c>
      <c r="I16" s="109">
        <f>(D16-20)/2-10</f>
        <v>355</v>
      </c>
      <c r="J16" s="73">
        <f>F16*16</f>
        <v>16</v>
      </c>
      <c r="K16" s="68">
        <f t="shared" si="9"/>
        <v>1010</v>
      </c>
      <c r="L16" s="101">
        <v>4</v>
      </c>
      <c r="M16" s="68">
        <f t="shared" si="2"/>
        <v>750</v>
      </c>
      <c r="N16" s="101">
        <v>4</v>
      </c>
      <c r="O16" s="63"/>
    </row>
    <row r="17" spans="1:15">
      <c r="A17" s="94" t="str">
        <f>'1. 소켓인수검사'!A62</f>
        <v>54</v>
      </c>
      <c r="B17" s="100" t="s">
        <v>59</v>
      </c>
      <c r="C17" s="43">
        <f>'1. 소켓인수검사'!C62</f>
        <v>950</v>
      </c>
      <c r="D17" s="43">
        <f>'1. 소켓인수검사'!D62</f>
        <v>750</v>
      </c>
      <c r="E17" s="44"/>
      <c r="F17" s="43">
        <v>1</v>
      </c>
      <c r="G17" s="67">
        <f t="shared" si="1"/>
        <v>455</v>
      </c>
      <c r="H17" s="73">
        <f>F17*8*2</f>
        <v>16</v>
      </c>
      <c r="I17" s="109">
        <f>(D17-20)/2-10</f>
        <v>355</v>
      </c>
      <c r="J17" s="73">
        <f>F17*16</f>
        <v>16</v>
      </c>
      <c r="K17" s="68">
        <f t="shared" si="9"/>
        <v>1010</v>
      </c>
      <c r="L17" s="101">
        <v>4</v>
      </c>
      <c r="M17" s="68">
        <f t="shared" si="2"/>
        <v>750</v>
      </c>
      <c r="N17" s="101">
        <v>4</v>
      </c>
      <c r="O17" s="63"/>
    </row>
    <row r="18" spans="1:15">
      <c r="A18" s="94" t="str">
        <f>'1. 소켓인수검사'!A63</f>
        <v>55</v>
      </c>
      <c r="B18" s="100" t="s">
        <v>59</v>
      </c>
      <c r="C18" s="43">
        <f>'1. 소켓인수검사'!C63</f>
        <v>950</v>
      </c>
      <c r="D18" s="43">
        <f>'1. 소켓인수검사'!D63</f>
        <v>750</v>
      </c>
      <c r="E18" s="44"/>
      <c r="F18" s="43">
        <v>1</v>
      </c>
      <c r="G18" s="67">
        <f t="shared" si="1"/>
        <v>455</v>
      </c>
      <c r="H18" s="73">
        <f t="shared" ref="H18:H22" si="10">F18*8*2</f>
        <v>16</v>
      </c>
      <c r="I18" s="109">
        <f>(D18-20)/2-10</f>
        <v>355</v>
      </c>
      <c r="J18" s="73">
        <f t="shared" ref="J18:J22" si="11">F18*16</f>
        <v>16</v>
      </c>
      <c r="K18" s="68">
        <f t="shared" si="9"/>
        <v>1010</v>
      </c>
      <c r="L18" s="101">
        <v>4</v>
      </c>
      <c r="M18" s="68">
        <f t="shared" si="2"/>
        <v>750</v>
      </c>
      <c r="N18" s="101">
        <v>4</v>
      </c>
      <c r="O18" s="63"/>
    </row>
    <row r="19" spans="1:15">
      <c r="A19" s="94" t="str">
        <f>'1. 소켓인수검사'!A64</f>
        <v>56</v>
      </c>
      <c r="B19" s="100" t="s">
        <v>59</v>
      </c>
      <c r="C19" s="43">
        <f>'1. 소켓인수검사'!C64</f>
        <v>950</v>
      </c>
      <c r="D19" s="43">
        <f>'1. 소켓인수검사'!D64</f>
        <v>750</v>
      </c>
      <c r="E19" s="44"/>
      <c r="F19" s="43">
        <v>1</v>
      </c>
      <c r="G19" s="67">
        <f t="shared" si="1"/>
        <v>455</v>
      </c>
      <c r="H19" s="73">
        <f t="shared" si="10"/>
        <v>16</v>
      </c>
      <c r="I19" s="109">
        <f t="shared" ref="I19:I22" si="12">(D19-20)/2-10</f>
        <v>355</v>
      </c>
      <c r="J19" s="73">
        <f t="shared" si="11"/>
        <v>16</v>
      </c>
      <c r="K19" s="68">
        <f t="shared" si="9"/>
        <v>1010</v>
      </c>
      <c r="L19" s="101">
        <v>4</v>
      </c>
      <c r="M19" s="68">
        <f t="shared" si="2"/>
        <v>750</v>
      </c>
      <c r="N19" s="101">
        <v>4</v>
      </c>
      <c r="O19" s="63"/>
    </row>
    <row r="20" spans="1:15">
      <c r="A20" s="94" t="str">
        <f>'1. 소켓인수검사'!A65</f>
        <v>57</v>
      </c>
      <c r="B20" s="100" t="s">
        <v>59</v>
      </c>
      <c r="C20" s="43">
        <f>'1. 소켓인수검사'!C65</f>
        <v>950</v>
      </c>
      <c r="D20" s="43">
        <f>'1. 소켓인수검사'!D65</f>
        <v>750</v>
      </c>
      <c r="E20" s="44"/>
      <c r="F20" s="43">
        <v>1</v>
      </c>
      <c r="G20" s="67">
        <f t="shared" si="1"/>
        <v>455</v>
      </c>
      <c r="H20" s="73">
        <f t="shared" si="10"/>
        <v>16</v>
      </c>
      <c r="I20" s="109">
        <f t="shared" si="12"/>
        <v>355</v>
      </c>
      <c r="J20" s="73">
        <f t="shared" si="11"/>
        <v>16</v>
      </c>
      <c r="K20" s="68">
        <f t="shared" si="9"/>
        <v>1010</v>
      </c>
      <c r="L20" s="101">
        <v>4</v>
      </c>
      <c r="M20" s="68">
        <f t="shared" si="2"/>
        <v>750</v>
      </c>
      <c r="N20" s="101">
        <v>4</v>
      </c>
      <c r="O20" s="63"/>
    </row>
    <row r="21" spans="1:15">
      <c r="A21" s="94" t="str">
        <f>'1. 소켓인수검사'!A66</f>
        <v>58</v>
      </c>
      <c r="B21" s="100" t="s">
        <v>59</v>
      </c>
      <c r="C21" s="43">
        <f>'1. 소켓인수검사'!C66</f>
        <v>1000</v>
      </c>
      <c r="D21" s="43">
        <f>'1. 소켓인수검사'!D66</f>
        <v>650</v>
      </c>
      <c r="E21" s="44"/>
      <c r="F21" s="43">
        <v>1</v>
      </c>
      <c r="G21" s="67">
        <f t="shared" si="1"/>
        <v>480</v>
      </c>
      <c r="H21" s="73">
        <f t="shared" si="10"/>
        <v>16</v>
      </c>
      <c r="I21" s="109">
        <f t="shared" si="12"/>
        <v>305</v>
      </c>
      <c r="J21" s="73">
        <f t="shared" si="11"/>
        <v>16</v>
      </c>
      <c r="K21" s="68">
        <f t="shared" si="9"/>
        <v>1060</v>
      </c>
      <c r="L21" s="101">
        <v>4</v>
      </c>
      <c r="M21" s="68">
        <f t="shared" si="2"/>
        <v>650</v>
      </c>
      <c r="N21" s="101">
        <v>4</v>
      </c>
      <c r="O21" s="63"/>
    </row>
    <row r="22" spans="1:15">
      <c r="A22" s="94" t="str">
        <f>'1. 소켓인수검사'!A67</f>
        <v>59</v>
      </c>
      <c r="B22" s="100" t="s">
        <v>59</v>
      </c>
      <c r="C22" s="43">
        <f>'1. 소켓인수검사'!C67</f>
        <v>1000</v>
      </c>
      <c r="D22" s="43">
        <f>'1. 소켓인수검사'!D67</f>
        <v>650</v>
      </c>
      <c r="E22" s="44"/>
      <c r="F22" s="43">
        <v>1</v>
      </c>
      <c r="G22" s="67">
        <f t="shared" si="1"/>
        <v>480</v>
      </c>
      <c r="H22" s="73">
        <f t="shared" si="10"/>
        <v>16</v>
      </c>
      <c r="I22" s="109">
        <f t="shared" si="12"/>
        <v>305</v>
      </c>
      <c r="J22" s="73">
        <f t="shared" si="11"/>
        <v>16</v>
      </c>
      <c r="K22" s="68">
        <f t="shared" si="9"/>
        <v>1060</v>
      </c>
      <c r="L22" s="101">
        <v>4</v>
      </c>
      <c r="M22" s="68">
        <f t="shared" si="2"/>
        <v>650</v>
      </c>
      <c r="N22" s="101">
        <v>4</v>
      </c>
      <c r="O22" s="63"/>
    </row>
    <row r="23" spans="1:15">
      <c r="A23" s="94" t="str">
        <f>'1. 소켓인수검사'!A68</f>
        <v>60</v>
      </c>
      <c r="B23" s="100" t="s">
        <v>59</v>
      </c>
      <c r="C23" s="43">
        <f>'1. 소켓인수검사'!C68</f>
        <v>1000</v>
      </c>
      <c r="D23" s="43">
        <f>'1. 소켓인수검사'!D68</f>
        <v>650</v>
      </c>
      <c r="E23" s="44"/>
      <c r="F23" s="43">
        <v>1</v>
      </c>
      <c r="G23" s="67">
        <f t="shared" si="1"/>
        <v>480</v>
      </c>
      <c r="H23" s="73">
        <f>F23*8*2</f>
        <v>16</v>
      </c>
      <c r="I23" s="109">
        <f>(D23-20)/2-10</f>
        <v>305</v>
      </c>
      <c r="J23" s="73">
        <f>F23*16</f>
        <v>16</v>
      </c>
      <c r="K23" s="68">
        <f t="shared" si="9"/>
        <v>1060</v>
      </c>
      <c r="L23" s="101">
        <v>4</v>
      </c>
      <c r="M23" s="68">
        <f t="shared" si="2"/>
        <v>650</v>
      </c>
      <c r="N23" s="101">
        <v>4</v>
      </c>
      <c r="O23" s="63"/>
    </row>
    <row r="24" spans="1:15">
      <c r="A24" s="94" t="str">
        <f>'1. 소켓인수검사'!A69</f>
        <v>61</v>
      </c>
      <c r="B24" s="100" t="s">
        <v>59</v>
      </c>
      <c r="C24" s="43">
        <f>'1. 소켓인수검사'!C69</f>
        <v>1000</v>
      </c>
      <c r="D24" s="43">
        <f>'1. 소켓인수검사'!D69</f>
        <v>650</v>
      </c>
      <c r="E24" s="44"/>
      <c r="F24" s="43">
        <v>1</v>
      </c>
      <c r="G24" s="67">
        <f t="shared" si="1"/>
        <v>480</v>
      </c>
      <c r="H24" s="73">
        <f>F24*8*2</f>
        <v>16</v>
      </c>
      <c r="I24" s="109">
        <f>(D24-20)/2-10</f>
        <v>305</v>
      </c>
      <c r="J24" s="73">
        <f>F24*16</f>
        <v>16</v>
      </c>
      <c r="K24" s="68">
        <f t="shared" si="9"/>
        <v>1060</v>
      </c>
      <c r="L24" s="101">
        <v>4</v>
      </c>
      <c r="M24" s="68">
        <f t="shared" si="2"/>
        <v>650</v>
      </c>
      <c r="N24" s="101">
        <v>4</v>
      </c>
      <c r="O24" s="63"/>
    </row>
    <row r="25" spans="1:15">
      <c r="A25" s="94" t="str">
        <f>'1. 소켓인수검사'!A70</f>
        <v>62</v>
      </c>
      <c r="B25" s="100" t="s">
        <v>59</v>
      </c>
      <c r="C25" s="43">
        <f>'1. 소켓인수검사'!C70</f>
        <v>1000</v>
      </c>
      <c r="D25" s="43">
        <f>'1. 소켓인수검사'!D70</f>
        <v>650</v>
      </c>
      <c r="E25" s="44"/>
      <c r="F25" s="43">
        <v>1</v>
      </c>
      <c r="G25" s="67">
        <f t="shared" si="1"/>
        <v>480</v>
      </c>
      <c r="H25" s="73">
        <f t="shared" ref="H25:H31" si="13">F25*8*2</f>
        <v>16</v>
      </c>
      <c r="I25" s="109">
        <f>(D25-20)/2-10</f>
        <v>305</v>
      </c>
      <c r="J25" s="73">
        <f t="shared" ref="J25:J31" si="14">F25*16</f>
        <v>16</v>
      </c>
      <c r="K25" s="68">
        <f t="shared" si="9"/>
        <v>1060</v>
      </c>
      <c r="L25" s="101">
        <v>4</v>
      </c>
      <c r="M25" s="68">
        <f t="shared" si="2"/>
        <v>650</v>
      </c>
      <c r="N25" s="101">
        <v>4</v>
      </c>
      <c r="O25" s="63"/>
    </row>
    <row r="26" spans="1:15">
      <c r="A26" s="94" t="str">
        <f>'1. 소켓인수검사'!A71</f>
        <v>63</v>
      </c>
      <c r="B26" s="100" t="s">
        <v>59</v>
      </c>
      <c r="C26" s="43">
        <f>'1. 소켓인수검사'!C71</f>
        <v>1000</v>
      </c>
      <c r="D26" s="43">
        <f>'1. 소켓인수검사'!D71</f>
        <v>650</v>
      </c>
      <c r="E26" s="44"/>
      <c r="F26" s="43">
        <v>1</v>
      </c>
      <c r="G26" s="67">
        <f t="shared" si="1"/>
        <v>480</v>
      </c>
      <c r="H26" s="73">
        <f t="shared" si="13"/>
        <v>16</v>
      </c>
      <c r="I26" s="109">
        <f t="shared" ref="I26:I31" si="15">(D26-20)/2-10</f>
        <v>305</v>
      </c>
      <c r="J26" s="73">
        <f t="shared" si="14"/>
        <v>16</v>
      </c>
      <c r="K26" s="68">
        <f t="shared" si="9"/>
        <v>1060</v>
      </c>
      <c r="L26" s="101">
        <v>4</v>
      </c>
      <c r="M26" s="68">
        <f t="shared" si="2"/>
        <v>650</v>
      </c>
      <c r="N26" s="101">
        <v>4</v>
      </c>
      <c r="O26" s="63"/>
    </row>
    <row r="27" spans="1:15">
      <c r="A27" s="94" t="str">
        <f>'1. 소켓인수검사'!A72</f>
        <v>64</v>
      </c>
      <c r="B27" s="100" t="s">
        <v>59</v>
      </c>
      <c r="C27" s="43">
        <f>'1. 소켓인수검사'!C72</f>
        <v>1000</v>
      </c>
      <c r="D27" s="43">
        <f>'1. 소켓인수검사'!D72</f>
        <v>650</v>
      </c>
      <c r="E27" s="44"/>
      <c r="F27" s="43">
        <v>1</v>
      </c>
      <c r="G27" s="67">
        <f t="shared" si="1"/>
        <v>480</v>
      </c>
      <c r="H27" s="73">
        <f t="shared" si="13"/>
        <v>16</v>
      </c>
      <c r="I27" s="109">
        <f t="shared" si="15"/>
        <v>305</v>
      </c>
      <c r="J27" s="73">
        <f t="shared" si="14"/>
        <v>16</v>
      </c>
      <c r="K27" s="68">
        <f t="shared" si="9"/>
        <v>1060</v>
      </c>
      <c r="L27" s="101">
        <v>4</v>
      </c>
      <c r="M27" s="68">
        <f t="shared" si="2"/>
        <v>650</v>
      </c>
      <c r="N27" s="101">
        <v>4</v>
      </c>
      <c r="O27" s="63"/>
    </row>
    <row r="28" spans="1:15">
      <c r="A28" s="94" t="str">
        <f>'1. 소켓인수검사'!A73</f>
        <v>65</v>
      </c>
      <c r="B28" s="100" t="s">
        <v>59</v>
      </c>
      <c r="C28" s="43">
        <f>'1. 소켓인수검사'!C73</f>
        <v>1000</v>
      </c>
      <c r="D28" s="43">
        <f>'1. 소켓인수검사'!D73</f>
        <v>650</v>
      </c>
      <c r="E28" s="44"/>
      <c r="F28" s="43">
        <v>1</v>
      </c>
      <c r="G28" s="67">
        <f t="shared" si="1"/>
        <v>480</v>
      </c>
      <c r="H28" s="73">
        <f t="shared" si="13"/>
        <v>16</v>
      </c>
      <c r="I28" s="109">
        <f t="shared" si="15"/>
        <v>305</v>
      </c>
      <c r="J28" s="73">
        <f t="shared" si="14"/>
        <v>16</v>
      </c>
      <c r="K28" s="68">
        <f t="shared" si="9"/>
        <v>1060</v>
      </c>
      <c r="L28" s="101">
        <v>4</v>
      </c>
      <c r="M28" s="68">
        <f t="shared" si="2"/>
        <v>650</v>
      </c>
      <c r="N28" s="101">
        <v>4</v>
      </c>
      <c r="O28" s="63"/>
    </row>
    <row r="29" spans="1:15">
      <c r="A29" s="94" t="str">
        <f>'1. 소켓인수검사'!A74</f>
        <v>66</v>
      </c>
      <c r="B29" s="100" t="s">
        <v>59</v>
      </c>
      <c r="C29" s="43">
        <f>'1. 소켓인수검사'!C74</f>
        <v>1000</v>
      </c>
      <c r="D29" s="43">
        <f>'1. 소켓인수검사'!D74</f>
        <v>650</v>
      </c>
      <c r="E29" s="44"/>
      <c r="F29" s="43">
        <v>1</v>
      </c>
      <c r="G29" s="67">
        <f t="shared" si="1"/>
        <v>480</v>
      </c>
      <c r="H29" s="73">
        <f t="shared" si="13"/>
        <v>16</v>
      </c>
      <c r="I29" s="109">
        <f t="shared" si="15"/>
        <v>305</v>
      </c>
      <c r="J29" s="73">
        <f t="shared" si="14"/>
        <v>16</v>
      </c>
      <c r="K29" s="68">
        <f t="shared" si="9"/>
        <v>1060</v>
      </c>
      <c r="L29" s="101">
        <v>4</v>
      </c>
      <c r="M29" s="68">
        <f t="shared" si="2"/>
        <v>650</v>
      </c>
      <c r="N29" s="101">
        <v>4</v>
      </c>
      <c r="O29" s="63"/>
    </row>
    <row r="30" spans="1:15">
      <c r="A30" s="94" t="str">
        <f>'1. 소켓인수검사'!A75</f>
        <v>67</v>
      </c>
      <c r="B30" s="100" t="s">
        <v>59</v>
      </c>
      <c r="C30" s="43">
        <f>'1. 소켓인수검사'!C75</f>
        <v>1000</v>
      </c>
      <c r="D30" s="43">
        <f>'1. 소켓인수검사'!D75</f>
        <v>650</v>
      </c>
      <c r="E30" s="44"/>
      <c r="F30" s="43">
        <v>1</v>
      </c>
      <c r="G30" s="67">
        <f t="shared" si="1"/>
        <v>480</v>
      </c>
      <c r="H30" s="73">
        <f t="shared" si="13"/>
        <v>16</v>
      </c>
      <c r="I30" s="109">
        <f t="shared" si="15"/>
        <v>305</v>
      </c>
      <c r="J30" s="73">
        <f t="shared" si="14"/>
        <v>16</v>
      </c>
      <c r="K30" s="68">
        <f t="shared" si="9"/>
        <v>1060</v>
      </c>
      <c r="L30" s="101">
        <v>4</v>
      </c>
      <c r="M30" s="68">
        <f t="shared" si="2"/>
        <v>650</v>
      </c>
      <c r="N30" s="101">
        <v>4</v>
      </c>
      <c r="O30" s="63"/>
    </row>
    <row r="31" spans="1:15">
      <c r="A31" s="94" t="str">
        <f>'1. 소켓인수검사'!A76</f>
        <v>68</v>
      </c>
      <c r="B31" s="100" t="s">
        <v>59</v>
      </c>
      <c r="C31" s="43">
        <f>'1. 소켓인수검사'!C76</f>
        <v>1000</v>
      </c>
      <c r="D31" s="43">
        <f>'1. 소켓인수검사'!D76</f>
        <v>650</v>
      </c>
      <c r="E31" s="44"/>
      <c r="F31" s="43">
        <v>1</v>
      </c>
      <c r="G31" s="67">
        <f t="shared" si="1"/>
        <v>480</v>
      </c>
      <c r="H31" s="73">
        <f t="shared" si="13"/>
        <v>16</v>
      </c>
      <c r="I31" s="109">
        <f t="shared" si="15"/>
        <v>305</v>
      </c>
      <c r="J31" s="73">
        <f t="shared" si="14"/>
        <v>16</v>
      </c>
      <c r="K31" s="68">
        <f t="shared" si="9"/>
        <v>1060</v>
      </c>
      <c r="L31" s="101">
        <v>4</v>
      </c>
      <c r="M31" s="68">
        <f t="shared" si="2"/>
        <v>650</v>
      </c>
      <c r="N31" s="101">
        <v>4</v>
      </c>
      <c r="O31" s="63"/>
    </row>
    <row r="32" spans="1:15">
      <c r="A32" s="94" t="str">
        <f>'1. 소켓인수검사'!A77</f>
        <v>69</v>
      </c>
      <c r="B32" s="100" t="s">
        <v>59</v>
      </c>
      <c r="C32" s="43">
        <f>'1. 소켓인수검사'!C77</f>
        <v>1000</v>
      </c>
      <c r="D32" s="43">
        <f>'1. 소켓인수검사'!D77</f>
        <v>650</v>
      </c>
      <c r="E32" s="44"/>
      <c r="F32" s="43">
        <v>1</v>
      </c>
      <c r="G32" s="67">
        <f t="shared" si="1"/>
        <v>480</v>
      </c>
      <c r="H32" s="73">
        <f>F32*8*2</f>
        <v>16</v>
      </c>
      <c r="I32" s="109">
        <f>(D32-20)/2-10</f>
        <v>305</v>
      </c>
      <c r="J32" s="73">
        <f>F32*16</f>
        <v>16</v>
      </c>
      <c r="K32" s="68">
        <f t="shared" si="9"/>
        <v>1060</v>
      </c>
      <c r="L32" s="101">
        <v>4</v>
      </c>
      <c r="M32" s="68">
        <f t="shared" si="2"/>
        <v>650</v>
      </c>
      <c r="N32" s="101">
        <v>4</v>
      </c>
      <c r="O32" s="63"/>
    </row>
    <row r="33" spans="1:15">
      <c r="A33" s="94" t="str">
        <f>'1. 소켓인수검사'!A78</f>
        <v>70</v>
      </c>
      <c r="B33" s="100" t="s">
        <v>59</v>
      </c>
      <c r="C33" s="43">
        <f>'1. 소켓인수검사'!C78</f>
        <v>1000</v>
      </c>
      <c r="D33" s="43">
        <f>'1. 소켓인수검사'!D78</f>
        <v>750</v>
      </c>
      <c r="E33" s="44"/>
      <c r="F33" s="43">
        <v>1</v>
      </c>
      <c r="G33" s="67">
        <f t="shared" si="1"/>
        <v>480</v>
      </c>
      <c r="H33" s="73">
        <f>F33*8*2</f>
        <v>16</v>
      </c>
      <c r="I33" s="109">
        <f>(D33-20)/2-10</f>
        <v>355</v>
      </c>
      <c r="J33" s="73">
        <f>F33*16</f>
        <v>16</v>
      </c>
      <c r="K33" s="68">
        <f t="shared" si="9"/>
        <v>1060</v>
      </c>
      <c r="L33" s="101">
        <v>4</v>
      </c>
      <c r="M33" s="68">
        <f t="shared" si="2"/>
        <v>750</v>
      </c>
      <c r="N33" s="101">
        <v>4</v>
      </c>
      <c r="O33" s="63"/>
    </row>
    <row r="34" spans="1:15">
      <c r="A34" s="94" t="str">
        <f>'1. 소켓인수검사'!A79</f>
        <v>71</v>
      </c>
      <c r="B34" s="100" t="s">
        <v>59</v>
      </c>
      <c r="C34" s="43">
        <f>'1. 소켓인수검사'!C79</f>
        <v>1000</v>
      </c>
      <c r="D34" s="43">
        <f>'1. 소켓인수검사'!D79</f>
        <v>750</v>
      </c>
      <c r="E34" s="44"/>
      <c r="F34" s="43">
        <v>1</v>
      </c>
      <c r="G34" s="67">
        <f t="shared" si="1"/>
        <v>480</v>
      </c>
      <c r="H34" s="73">
        <f t="shared" si="3"/>
        <v>16</v>
      </c>
      <c r="I34" s="109">
        <f t="shared" si="5"/>
        <v>355</v>
      </c>
      <c r="J34" s="73">
        <f t="shared" si="4"/>
        <v>16</v>
      </c>
      <c r="K34" s="68">
        <f t="shared" si="0"/>
        <v>1060</v>
      </c>
      <c r="L34" s="101">
        <v>4</v>
      </c>
      <c r="M34" s="68">
        <f t="shared" si="2"/>
        <v>750</v>
      </c>
      <c r="N34" s="101">
        <v>4</v>
      </c>
      <c r="O34" s="63"/>
    </row>
    <row r="35" spans="1:15">
      <c r="A35" s="94" t="str">
        <f>'1. 소켓인수검사'!A80</f>
        <v>72</v>
      </c>
      <c r="B35" s="100" t="s">
        <v>59</v>
      </c>
      <c r="C35" s="43">
        <f>'1. 소켓인수검사'!C80</f>
        <v>1000</v>
      </c>
      <c r="D35" s="43">
        <f>'1. 소켓인수검사'!D80</f>
        <v>750</v>
      </c>
      <c r="E35" s="44"/>
      <c r="F35" s="43">
        <v>1</v>
      </c>
      <c r="G35" s="67">
        <f t="shared" si="1"/>
        <v>480</v>
      </c>
      <c r="H35" s="73">
        <f t="shared" ref="H35:H37" si="16">F35*8*2</f>
        <v>16</v>
      </c>
      <c r="I35" s="109">
        <f t="shared" ref="I35:I37" si="17">(D35-20)/2-10</f>
        <v>355</v>
      </c>
      <c r="J35" s="73">
        <f t="shared" ref="J35:J37" si="18">F35*16</f>
        <v>16</v>
      </c>
      <c r="K35" s="68">
        <f t="shared" ref="K35:K60" si="19">C35+60</f>
        <v>1060</v>
      </c>
      <c r="L35" s="101">
        <v>4</v>
      </c>
      <c r="M35" s="68">
        <f t="shared" si="2"/>
        <v>750</v>
      </c>
      <c r="N35" s="101">
        <v>4</v>
      </c>
      <c r="O35" s="63"/>
    </row>
    <row r="36" spans="1:15">
      <c r="A36" s="94" t="str">
        <f>'1. 소켓인수검사'!A81</f>
        <v>73</v>
      </c>
      <c r="B36" s="100" t="s">
        <v>59</v>
      </c>
      <c r="C36" s="43">
        <f>'1. 소켓인수검사'!C81</f>
        <v>1000</v>
      </c>
      <c r="D36" s="43">
        <f>'1. 소켓인수검사'!D81</f>
        <v>750</v>
      </c>
      <c r="E36" s="44"/>
      <c r="F36" s="43">
        <v>1</v>
      </c>
      <c r="G36" s="67">
        <f t="shared" si="1"/>
        <v>480</v>
      </c>
      <c r="H36" s="73">
        <f t="shared" si="16"/>
        <v>16</v>
      </c>
      <c r="I36" s="109">
        <f t="shared" si="17"/>
        <v>355</v>
      </c>
      <c r="J36" s="73">
        <f t="shared" si="18"/>
        <v>16</v>
      </c>
      <c r="K36" s="68">
        <f t="shared" si="19"/>
        <v>1060</v>
      </c>
      <c r="L36" s="101">
        <v>4</v>
      </c>
      <c r="M36" s="68">
        <f t="shared" si="2"/>
        <v>750</v>
      </c>
      <c r="N36" s="101">
        <v>4</v>
      </c>
      <c r="O36" s="63"/>
    </row>
    <row r="37" spans="1:15">
      <c r="A37" s="94" t="str">
        <f>'1. 소켓인수검사'!A82</f>
        <v>74</v>
      </c>
      <c r="B37" s="100" t="s">
        <v>59</v>
      </c>
      <c r="C37" s="43">
        <f>'1. 소켓인수검사'!C82</f>
        <v>1000</v>
      </c>
      <c r="D37" s="43">
        <f>'1. 소켓인수검사'!D82</f>
        <v>750</v>
      </c>
      <c r="E37" s="44"/>
      <c r="F37" s="43">
        <v>1</v>
      </c>
      <c r="G37" s="67">
        <f t="shared" si="1"/>
        <v>480</v>
      </c>
      <c r="H37" s="73">
        <f t="shared" si="16"/>
        <v>16</v>
      </c>
      <c r="I37" s="109">
        <f t="shared" si="17"/>
        <v>355</v>
      </c>
      <c r="J37" s="73">
        <f t="shared" si="18"/>
        <v>16</v>
      </c>
      <c r="K37" s="68">
        <f t="shared" si="19"/>
        <v>1060</v>
      </c>
      <c r="L37" s="101">
        <v>4</v>
      </c>
      <c r="M37" s="68">
        <f t="shared" si="2"/>
        <v>750</v>
      </c>
      <c r="N37" s="101">
        <v>4</v>
      </c>
      <c r="O37" s="63"/>
    </row>
    <row r="38" spans="1:15">
      <c r="A38" s="94" t="str">
        <f>'1. 소켓인수검사'!A83</f>
        <v>75</v>
      </c>
      <c r="B38" s="100" t="s">
        <v>59</v>
      </c>
      <c r="C38" s="43">
        <f>'1. 소켓인수검사'!C83</f>
        <v>1000</v>
      </c>
      <c r="D38" s="43">
        <f>'1. 소켓인수검사'!D83</f>
        <v>750</v>
      </c>
      <c r="E38" s="44"/>
      <c r="F38" s="43">
        <v>1</v>
      </c>
      <c r="G38" s="67">
        <f t="shared" si="1"/>
        <v>480</v>
      </c>
      <c r="H38" s="73">
        <f>F38*8*2</f>
        <v>16</v>
      </c>
      <c r="I38" s="109">
        <f>(D38-20)/2-10</f>
        <v>355</v>
      </c>
      <c r="J38" s="73">
        <f>F38*16</f>
        <v>16</v>
      </c>
      <c r="K38" s="68">
        <f t="shared" si="19"/>
        <v>1060</v>
      </c>
      <c r="L38" s="101">
        <v>4</v>
      </c>
      <c r="M38" s="68">
        <f t="shared" si="2"/>
        <v>750</v>
      </c>
      <c r="N38" s="101">
        <v>4</v>
      </c>
      <c r="O38" s="63"/>
    </row>
    <row r="39" spans="1:15">
      <c r="A39" s="94" t="str">
        <f>'1. 소켓인수검사'!A84</f>
        <v>76</v>
      </c>
      <c r="B39" s="100" t="s">
        <v>59</v>
      </c>
      <c r="C39" s="43">
        <f>'1. 소켓인수검사'!C84</f>
        <v>1000</v>
      </c>
      <c r="D39" s="43">
        <f>'1. 소켓인수검사'!D84</f>
        <v>800</v>
      </c>
      <c r="E39" s="44"/>
      <c r="F39" s="43">
        <v>1</v>
      </c>
      <c r="G39" s="67">
        <f t="shared" si="1"/>
        <v>480</v>
      </c>
      <c r="H39" s="73">
        <f>F39*8*2</f>
        <v>16</v>
      </c>
      <c r="I39" s="109">
        <f>(D39-20)/2-10</f>
        <v>380</v>
      </c>
      <c r="J39" s="73">
        <f>F39*16</f>
        <v>16</v>
      </c>
      <c r="K39" s="68">
        <f t="shared" si="19"/>
        <v>1060</v>
      </c>
      <c r="L39" s="101">
        <v>4</v>
      </c>
      <c r="M39" s="68">
        <f t="shared" si="2"/>
        <v>800</v>
      </c>
      <c r="N39" s="101">
        <v>4</v>
      </c>
      <c r="O39" s="63"/>
    </row>
    <row r="40" spans="1:15">
      <c r="A40" s="94" t="str">
        <f>'1. 소켓인수검사'!A85</f>
        <v>77</v>
      </c>
      <c r="B40" s="100" t="s">
        <v>59</v>
      </c>
      <c r="C40" s="43">
        <f>'1. 소켓인수검사'!C85</f>
        <v>1000</v>
      </c>
      <c r="D40" s="43">
        <f>'1. 소켓인수검사'!D85</f>
        <v>800</v>
      </c>
      <c r="E40" s="44"/>
      <c r="F40" s="43">
        <v>1</v>
      </c>
      <c r="G40" s="67">
        <f t="shared" si="1"/>
        <v>480</v>
      </c>
      <c r="H40" s="73">
        <f t="shared" ref="H40:H44" si="20">F40*8*2</f>
        <v>16</v>
      </c>
      <c r="I40" s="109">
        <f>(D40-20)/2-10</f>
        <v>380</v>
      </c>
      <c r="J40" s="73">
        <f t="shared" ref="J40:J44" si="21">F40*16</f>
        <v>16</v>
      </c>
      <c r="K40" s="68">
        <f t="shared" si="19"/>
        <v>1060</v>
      </c>
      <c r="L40" s="101">
        <v>4</v>
      </c>
      <c r="M40" s="68">
        <f t="shared" si="2"/>
        <v>800</v>
      </c>
      <c r="N40" s="101">
        <v>4</v>
      </c>
      <c r="O40" s="63"/>
    </row>
    <row r="41" spans="1:15">
      <c r="A41" s="94" t="str">
        <f>'1. 소켓인수검사'!A86</f>
        <v>78</v>
      </c>
      <c r="B41" s="100" t="s">
        <v>59</v>
      </c>
      <c r="C41" s="43">
        <f>'1. 소켓인수검사'!C86</f>
        <v>1000</v>
      </c>
      <c r="D41" s="43">
        <f>'1. 소켓인수검사'!D86</f>
        <v>800</v>
      </c>
      <c r="E41" s="44"/>
      <c r="F41" s="43">
        <v>1</v>
      </c>
      <c r="G41" s="67">
        <f t="shared" si="1"/>
        <v>480</v>
      </c>
      <c r="H41" s="73">
        <f t="shared" si="20"/>
        <v>16</v>
      </c>
      <c r="I41" s="109">
        <f t="shared" ref="I41:I44" si="22">(D41-20)/2-10</f>
        <v>380</v>
      </c>
      <c r="J41" s="73">
        <f t="shared" si="21"/>
        <v>16</v>
      </c>
      <c r="K41" s="68">
        <f t="shared" si="19"/>
        <v>1060</v>
      </c>
      <c r="L41" s="101">
        <v>4</v>
      </c>
      <c r="M41" s="68">
        <f t="shared" si="2"/>
        <v>800</v>
      </c>
      <c r="N41" s="101">
        <v>4</v>
      </c>
      <c r="O41" s="63"/>
    </row>
    <row r="42" spans="1:15">
      <c r="A42" s="94" t="str">
        <f>'1. 소켓인수검사'!A87</f>
        <v>79</v>
      </c>
      <c r="B42" s="100" t="s">
        <v>59</v>
      </c>
      <c r="C42" s="43">
        <f>'1. 소켓인수검사'!C87</f>
        <v>1000</v>
      </c>
      <c r="D42" s="43">
        <f>'1. 소켓인수검사'!D87</f>
        <v>800</v>
      </c>
      <c r="E42" s="44"/>
      <c r="F42" s="43">
        <v>1</v>
      </c>
      <c r="G42" s="67">
        <f t="shared" si="1"/>
        <v>480</v>
      </c>
      <c r="H42" s="73">
        <f t="shared" si="20"/>
        <v>16</v>
      </c>
      <c r="I42" s="109">
        <f t="shared" si="22"/>
        <v>380</v>
      </c>
      <c r="J42" s="73">
        <f t="shared" si="21"/>
        <v>16</v>
      </c>
      <c r="K42" s="68">
        <f t="shared" si="19"/>
        <v>1060</v>
      </c>
      <c r="L42" s="101">
        <v>4</v>
      </c>
      <c r="M42" s="68">
        <f t="shared" si="2"/>
        <v>800</v>
      </c>
      <c r="N42" s="101">
        <v>4</v>
      </c>
      <c r="O42" s="63"/>
    </row>
    <row r="43" spans="1:15">
      <c r="A43" s="94" t="str">
        <f>'1. 소켓인수검사'!A88</f>
        <v>80</v>
      </c>
      <c r="B43" s="100" t="s">
        <v>59</v>
      </c>
      <c r="C43" s="43">
        <f>'1. 소켓인수검사'!C88</f>
        <v>1000</v>
      </c>
      <c r="D43" s="43">
        <f>'1. 소켓인수검사'!D88</f>
        <v>800</v>
      </c>
      <c r="E43" s="44"/>
      <c r="F43" s="43">
        <v>1</v>
      </c>
      <c r="G43" s="67">
        <f t="shared" si="1"/>
        <v>480</v>
      </c>
      <c r="H43" s="73">
        <f t="shared" si="20"/>
        <v>16</v>
      </c>
      <c r="I43" s="109">
        <f t="shared" si="22"/>
        <v>380</v>
      </c>
      <c r="J43" s="73">
        <f t="shared" si="21"/>
        <v>16</v>
      </c>
      <c r="K43" s="68">
        <f t="shared" si="19"/>
        <v>1060</v>
      </c>
      <c r="L43" s="101">
        <v>4</v>
      </c>
      <c r="M43" s="68">
        <f t="shared" si="2"/>
        <v>800</v>
      </c>
      <c r="N43" s="101">
        <v>4</v>
      </c>
      <c r="O43" s="63"/>
    </row>
    <row r="44" spans="1:15">
      <c r="A44" s="94" t="str">
        <f>'1. 소켓인수검사'!A89</f>
        <v>81</v>
      </c>
      <c r="B44" s="100" t="s">
        <v>59</v>
      </c>
      <c r="C44" s="43">
        <f>'1. 소켓인수검사'!C89</f>
        <v>1000</v>
      </c>
      <c r="D44" s="43">
        <f>'1. 소켓인수검사'!D89</f>
        <v>800</v>
      </c>
      <c r="E44" s="44"/>
      <c r="F44" s="43">
        <v>1</v>
      </c>
      <c r="G44" s="67">
        <f t="shared" si="1"/>
        <v>480</v>
      </c>
      <c r="H44" s="73">
        <f t="shared" si="20"/>
        <v>16</v>
      </c>
      <c r="I44" s="109">
        <f t="shared" si="22"/>
        <v>380</v>
      </c>
      <c r="J44" s="73">
        <f t="shared" si="21"/>
        <v>16</v>
      </c>
      <c r="K44" s="68">
        <f t="shared" si="19"/>
        <v>1060</v>
      </c>
      <c r="L44" s="101">
        <v>4</v>
      </c>
      <c r="M44" s="68">
        <f t="shared" si="2"/>
        <v>800</v>
      </c>
      <c r="N44" s="101">
        <v>4</v>
      </c>
      <c r="O44" s="63"/>
    </row>
    <row r="45" spans="1:15">
      <c r="A45" s="94" t="str">
        <f>'1. 소켓인수검사'!A90</f>
        <v>82</v>
      </c>
      <c r="B45" s="100" t="s">
        <v>59</v>
      </c>
      <c r="C45" s="43">
        <f>'1. 소켓인수검사'!C90</f>
        <v>1000</v>
      </c>
      <c r="D45" s="43">
        <f>'1. 소켓인수검사'!D90</f>
        <v>800</v>
      </c>
      <c r="E45" s="44"/>
      <c r="F45" s="43">
        <v>1</v>
      </c>
      <c r="G45" s="67">
        <f t="shared" si="1"/>
        <v>480</v>
      </c>
      <c r="H45" s="73">
        <f>F45*8*2</f>
        <v>16</v>
      </c>
      <c r="I45" s="109">
        <f>(D45-20)/2-10</f>
        <v>380</v>
      </c>
      <c r="J45" s="73">
        <f>F45*16</f>
        <v>16</v>
      </c>
      <c r="K45" s="68">
        <f t="shared" si="19"/>
        <v>1060</v>
      </c>
      <c r="L45" s="101">
        <v>4</v>
      </c>
      <c r="M45" s="68">
        <f t="shared" si="2"/>
        <v>800</v>
      </c>
      <c r="N45" s="101">
        <v>4</v>
      </c>
      <c r="O45" s="63"/>
    </row>
    <row r="46" spans="1:15">
      <c r="A46" s="94" t="str">
        <f>'1. 소켓인수검사'!A91</f>
        <v>83</v>
      </c>
      <c r="B46" s="100" t="s">
        <v>59</v>
      </c>
      <c r="C46" s="43">
        <f>'1. 소켓인수검사'!C91</f>
        <v>1000</v>
      </c>
      <c r="D46" s="43">
        <f>'1. 소켓인수검사'!D91</f>
        <v>800</v>
      </c>
      <c r="E46" s="44"/>
      <c r="F46" s="43">
        <v>1</v>
      </c>
      <c r="G46" s="67">
        <f t="shared" si="1"/>
        <v>480</v>
      </c>
      <c r="H46" s="73">
        <f>F46*8*2</f>
        <v>16</v>
      </c>
      <c r="I46" s="109">
        <f>(D46-20)/2-10</f>
        <v>380</v>
      </c>
      <c r="J46" s="73">
        <f>F46*16</f>
        <v>16</v>
      </c>
      <c r="K46" s="68">
        <f t="shared" si="19"/>
        <v>1060</v>
      </c>
      <c r="L46" s="101">
        <v>4</v>
      </c>
      <c r="M46" s="68">
        <f t="shared" si="2"/>
        <v>800</v>
      </c>
      <c r="N46" s="101">
        <v>4</v>
      </c>
      <c r="O46" s="63"/>
    </row>
    <row r="47" spans="1:15">
      <c r="A47" s="94" t="str">
        <f>'1. 소켓인수검사'!A92</f>
        <v>84</v>
      </c>
      <c r="B47" s="100" t="s">
        <v>59</v>
      </c>
      <c r="C47" s="43">
        <f>'1. 소켓인수검사'!C92</f>
        <v>1000</v>
      </c>
      <c r="D47" s="43">
        <f>'1. 소켓인수검사'!D92</f>
        <v>800</v>
      </c>
      <c r="E47" s="44"/>
      <c r="F47" s="43">
        <v>1</v>
      </c>
      <c r="G47" s="67">
        <f t="shared" si="1"/>
        <v>480</v>
      </c>
      <c r="H47" s="73">
        <f t="shared" ref="H47:H53" si="23">F47*8*2</f>
        <v>16</v>
      </c>
      <c r="I47" s="109">
        <f>(D47-20)/2-10</f>
        <v>380</v>
      </c>
      <c r="J47" s="73">
        <f t="shared" ref="J47:J53" si="24">F47*16</f>
        <v>16</v>
      </c>
      <c r="K47" s="68">
        <f t="shared" si="19"/>
        <v>1060</v>
      </c>
      <c r="L47" s="101">
        <v>4</v>
      </c>
      <c r="M47" s="68">
        <f t="shared" si="2"/>
        <v>800</v>
      </c>
      <c r="N47" s="101">
        <v>4</v>
      </c>
      <c r="O47" s="63"/>
    </row>
    <row r="48" spans="1:15">
      <c r="A48" s="94" t="str">
        <f>'1. 소켓인수검사'!A93</f>
        <v>85</v>
      </c>
      <c r="B48" s="100" t="s">
        <v>59</v>
      </c>
      <c r="C48" s="43">
        <f>'1. 소켓인수검사'!C93</f>
        <v>1000</v>
      </c>
      <c r="D48" s="43">
        <f>'1. 소켓인수검사'!D93</f>
        <v>800</v>
      </c>
      <c r="E48" s="44"/>
      <c r="F48" s="43">
        <v>1</v>
      </c>
      <c r="G48" s="67">
        <f t="shared" si="1"/>
        <v>480</v>
      </c>
      <c r="H48" s="73">
        <f t="shared" si="23"/>
        <v>16</v>
      </c>
      <c r="I48" s="109">
        <f t="shared" ref="I48:I53" si="25">(D48-20)/2-10</f>
        <v>380</v>
      </c>
      <c r="J48" s="73">
        <f t="shared" si="24"/>
        <v>16</v>
      </c>
      <c r="K48" s="68">
        <f t="shared" si="19"/>
        <v>1060</v>
      </c>
      <c r="L48" s="101">
        <v>4</v>
      </c>
      <c r="M48" s="68">
        <f t="shared" si="2"/>
        <v>800</v>
      </c>
      <c r="N48" s="101">
        <v>4</v>
      </c>
      <c r="O48" s="63"/>
    </row>
    <row r="49" spans="1:15">
      <c r="A49" s="94" t="str">
        <f>'1. 소켓인수검사'!A94</f>
        <v>86</v>
      </c>
      <c r="B49" s="100" t="s">
        <v>59</v>
      </c>
      <c r="C49" s="43">
        <f>'1. 소켓인수검사'!C94</f>
        <v>1000</v>
      </c>
      <c r="D49" s="43">
        <f>'1. 소켓인수검사'!D94</f>
        <v>800</v>
      </c>
      <c r="E49" s="44"/>
      <c r="F49" s="43">
        <v>1</v>
      </c>
      <c r="G49" s="67">
        <f t="shared" si="1"/>
        <v>480</v>
      </c>
      <c r="H49" s="73">
        <f t="shared" si="23"/>
        <v>16</v>
      </c>
      <c r="I49" s="109">
        <f t="shared" si="25"/>
        <v>380</v>
      </c>
      <c r="J49" s="73">
        <f t="shared" si="24"/>
        <v>16</v>
      </c>
      <c r="K49" s="68">
        <f t="shared" si="19"/>
        <v>1060</v>
      </c>
      <c r="L49" s="101">
        <v>4</v>
      </c>
      <c r="M49" s="68">
        <f t="shared" si="2"/>
        <v>800</v>
      </c>
      <c r="N49" s="101">
        <v>4</v>
      </c>
      <c r="O49" s="63"/>
    </row>
    <row r="50" spans="1:15">
      <c r="A50" s="94" t="str">
        <f>'1. 소켓인수검사'!A95</f>
        <v>87</v>
      </c>
      <c r="B50" s="100" t="s">
        <v>59</v>
      </c>
      <c r="C50" s="43">
        <f>'1. 소켓인수검사'!C95</f>
        <v>1000</v>
      </c>
      <c r="D50" s="43">
        <f>'1. 소켓인수검사'!D95</f>
        <v>800</v>
      </c>
      <c r="E50" s="44"/>
      <c r="F50" s="43">
        <v>1</v>
      </c>
      <c r="G50" s="67">
        <f t="shared" si="1"/>
        <v>480</v>
      </c>
      <c r="H50" s="73">
        <f t="shared" si="23"/>
        <v>16</v>
      </c>
      <c r="I50" s="109">
        <f t="shared" si="25"/>
        <v>380</v>
      </c>
      <c r="J50" s="73">
        <f t="shared" si="24"/>
        <v>16</v>
      </c>
      <c r="K50" s="68">
        <f t="shared" si="19"/>
        <v>1060</v>
      </c>
      <c r="L50" s="101">
        <v>4</v>
      </c>
      <c r="M50" s="68">
        <f t="shared" si="2"/>
        <v>800</v>
      </c>
      <c r="N50" s="101">
        <v>4</v>
      </c>
      <c r="O50" s="63"/>
    </row>
    <row r="51" spans="1:15">
      <c r="A51" s="94" t="str">
        <f>'1. 소켓인수검사'!A96</f>
        <v>88</v>
      </c>
      <c r="B51" s="100" t="s">
        <v>59</v>
      </c>
      <c r="C51" s="43">
        <f>'1. 소켓인수검사'!C96</f>
        <v>1000</v>
      </c>
      <c r="D51" s="43">
        <f>'1. 소켓인수검사'!D96</f>
        <v>800</v>
      </c>
      <c r="E51" s="44"/>
      <c r="F51" s="43">
        <v>1</v>
      </c>
      <c r="G51" s="67">
        <f t="shared" si="1"/>
        <v>480</v>
      </c>
      <c r="H51" s="73">
        <f t="shared" si="23"/>
        <v>16</v>
      </c>
      <c r="I51" s="109">
        <f t="shared" si="25"/>
        <v>380</v>
      </c>
      <c r="J51" s="73">
        <f t="shared" si="24"/>
        <v>16</v>
      </c>
      <c r="K51" s="68">
        <f t="shared" si="19"/>
        <v>1060</v>
      </c>
      <c r="L51" s="101">
        <v>4</v>
      </c>
      <c r="M51" s="68">
        <f t="shared" si="2"/>
        <v>800</v>
      </c>
      <c r="N51" s="101">
        <v>4</v>
      </c>
      <c r="O51" s="63"/>
    </row>
    <row r="52" spans="1:15">
      <c r="A52" s="94" t="str">
        <f>'1. 소켓인수검사'!A97</f>
        <v>89</v>
      </c>
      <c r="B52" s="100" t="s">
        <v>59</v>
      </c>
      <c r="C52" s="43">
        <f>'1. 소켓인수검사'!C97</f>
        <v>1000</v>
      </c>
      <c r="D52" s="43">
        <f>'1. 소켓인수검사'!D97</f>
        <v>800</v>
      </c>
      <c r="E52" s="44"/>
      <c r="F52" s="43">
        <v>1</v>
      </c>
      <c r="G52" s="67">
        <f t="shared" si="1"/>
        <v>480</v>
      </c>
      <c r="H52" s="73">
        <f t="shared" si="23"/>
        <v>16</v>
      </c>
      <c r="I52" s="109">
        <f t="shared" si="25"/>
        <v>380</v>
      </c>
      <c r="J52" s="73">
        <f t="shared" si="24"/>
        <v>16</v>
      </c>
      <c r="K52" s="68">
        <f t="shared" si="19"/>
        <v>1060</v>
      </c>
      <c r="L52" s="101">
        <v>4</v>
      </c>
      <c r="M52" s="68">
        <f t="shared" si="2"/>
        <v>800</v>
      </c>
      <c r="N52" s="101">
        <v>4</v>
      </c>
      <c r="O52" s="63"/>
    </row>
    <row r="53" spans="1:15">
      <c r="A53" s="94" t="str">
        <f>'1. 소켓인수검사'!A98</f>
        <v>90</v>
      </c>
      <c r="B53" s="100" t="s">
        <v>59</v>
      </c>
      <c r="C53" s="43">
        <f>'1. 소켓인수검사'!C98</f>
        <v>1000</v>
      </c>
      <c r="D53" s="43">
        <f>'1. 소켓인수검사'!D98</f>
        <v>800</v>
      </c>
      <c r="E53" s="44"/>
      <c r="F53" s="43">
        <v>1</v>
      </c>
      <c r="G53" s="67">
        <f t="shared" si="1"/>
        <v>480</v>
      </c>
      <c r="H53" s="73">
        <f t="shared" si="23"/>
        <v>16</v>
      </c>
      <c r="I53" s="109">
        <f t="shared" si="25"/>
        <v>380</v>
      </c>
      <c r="J53" s="73">
        <f t="shared" si="24"/>
        <v>16</v>
      </c>
      <c r="K53" s="68">
        <f t="shared" si="19"/>
        <v>1060</v>
      </c>
      <c r="L53" s="101">
        <v>4</v>
      </c>
      <c r="M53" s="68">
        <f t="shared" si="2"/>
        <v>800</v>
      </c>
      <c r="N53" s="101">
        <v>4</v>
      </c>
      <c r="O53" s="63"/>
    </row>
    <row r="54" spans="1:15">
      <c r="A54" s="94" t="str">
        <f>'1. 소켓인수검사'!A99</f>
        <v>91</v>
      </c>
      <c r="B54" s="100" t="s">
        <v>59</v>
      </c>
      <c r="C54" s="43">
        <f>'1. 소켓인수검사'!C99</f>
        <v>1000</v>
      </c>
      <c r="D54" s="43">
        <f>'1. 소켓인수검사'!D99</f>
        <v>800</v>
      </c>
      <c r="E54" s="44"/>
      <c r="F54" s="43">
        <v>1</v>
      </c>
      <c r="G54" s="67">
        <f t="shared" si="1"/>
        <v>480</v>
      </c>
      <c r="H54" s="73">
        <f>F54*8*2</f>
        <v>16</v>
      </c>
      <c r="I54" s="109">
        <f>(D54-20)/2-10</f>
        <v>380</v>
      </c>
      <c r="J54" s="73">
        <f>F54*16</f>
        <v>16</v>
      </c>
      <c r="K54" s="68">
        <f t="shared" si="19"/>
        <v>1060</v>
      </c>
      <c r="L54" s="101">
        <v>4</v>
      </c>
      <c r="M54" s="68">
        <f t="shared" si="2"/>
        <v>800</v>
      </c>
      <c r="N54" s="101">
        <v>4</v>
      </c>
      <c r="O54" s="63"/>
    </row>
    <row r="55" spans="1:15">
      <c r="A55" s="94" t="str">
        <f>'1. 소켓인수검사'!A100</f>
        <v>92</v>
      </c>
      <c r="B55" s="100" t="s">
        <v>59</v>
      </c>
      <c r="C55" s="43">
        <f>'1. 소켓인수검사'!C100</f>
        <v>1000</v>
      </c>
      <c r="D55" s="43">
        <f>'1. 소켓인수검사'!D100</f>
        <v>800</v>
      </c>
      <c r="E55" s="44"/>
      <c r="F55" s="43">
        <v>1</v>
      </c>
      <c r="G55" s="67">
        <f t="shared" si="1"/>
        <v>480</v>
      </c>
      <c r="H55" s="73">
        <f>F55*8*2</f>
        <v>16</v>
      </c>
      <c r="I55" s="109">
        <f>(D55-20)/2-10</f>
        <v>380</v>
      </c>
      <c r="J55" s="73">
        <f>F55*16</f>
        <v>16</v>
      </c>
      <c r="K55" s="68">
        <f t="shared" si="19"/>
        <v>1060</v>
      </c>
      <c r="L55" s="101">
        <v>4</v>
      </c>
      <c r="M55" s="68">
        <f t="shared" si="2"/>
        <v>800</v>
      </c>
      <c r="N55" s="101">
        <v>4</v>
      </c>
      <c r="O55" s="63"/>
    </row>
    <row r="56" spans="1:15">
      <c r="A56" s="94" t="str">
        <f>'1. 소켓인수검사'!A101</f>
        <v>93</v>
      </c>
      <c r="B56" s="100" t="s">
        <v>59</v>
      </c>
      <c r="C56" s="43">
        <f>'1. 소켓인수검사'!C101</f>
        <v>1000</v>
      </c>
      <c r="D56" s="43">
        <f>'1. 소켓인수검사'!D101</f>
        <v>800</v>
      </c>
      <c r="E56" s="44"/>
      <c r="F56" s="43">
        <v>1</v>
      </c>
      <c r="G56" s="67">
        <f t="shared" si="1"/>
        <v>480</v>
      </c>
      <c r="H56" s="73">
        <f t="shared" ref="H56:H60" si="26">F56*8*2</f>
        <v>16</v>
      </c>
      <c r="I56" s="109">
        <f>(D56-20)/2-10</f>
        <v>380</v>
      </c>
      <c r="J56" s="73">
        <f t="shared" ref="J56:J60" si="27">F56*16</f>
        <v>16</v>
      </c>
      <c r="K56" s="68">
        <f t="shared" si="19"/>
        <v>1060</v>
      </c>
      <c r="L56" s="101">
        <v>4</v>
      </c>
      <c r="M56" s="68">
        <f t="shared" si="2"/>
        <v>800</v>
      </c>
      <c r="N56" s="101">
        <v>4</v>
      </c>
      <c r="O56" s="63"/>
    </row>
    <row r="57" spans="1:15">
      <c r="A57" s="94" t="str">
        <f>'1. 소켓인수검사'!A102</f>
        <v>94</v>
      </c>
      <c r="B57" s="100" t="s">
        <v>59</v>
      </c>
      <c r="C57" s="43">
        <f>'1. 소켓인수검사'!C102</f>
        <v>1000</v>
      </c>
      <c r="D57" s="43">
        <f>'1. 소켓인수검사'!D102</f>
        <v>800</v>
      </c>
      <c r="E57" s="44"/>
      <c r="F57" s="43">
        <v>1</v>
      </c>
      <c r="G57" s="67">
        <f t="shared" si="1"/>
        <v>480</v>
      </c>
      <c r="H57" s="73">
        <f t="shared" si="26"/>
        <v>16</v>
      </c>
      <c r="I57" s="109">
        <f t="shared" ref="I57:I60" si="28">(D57-20)/2-10</f>
        <v>380</v>
      </c>
      <c r="J57" s="73">
        <f t="shared" si="27"/>
        <v>16</v>
      </c>
      <c r="K57" s="68">
        <f t="shared" si="19"/>
        <v>1060</v>
      </c>
      <c r="L57" s="101">
        <v>4</v>
      </c>
      <c r="M57" s="68">
        <f t="shared" si="2"/>
        <v>800</v>
      </c>
      <c r="N57" s="101">
        <v>4</v>
      </c>
      <c r="O57" s="63"/>
    </row>
    <row r="58" spans="1:15">
      <c r="A58" s="94" t="str">
        <f>'1. 소켓인수검사'!A103</f>
        <v>95</v>
      </c>
      <c r="B58" s="100" t="s">
        <v>59</v>
      </c>
      <c r="C58" s="43">
        <f>'1. 소켓인수검사'!C103</f>
        <v>1000</v>
      </c>
      <c r="D58" s="43">
        <f>'1. 소켓인수검사'!D103</f>
        <v>800</v>
      </c>
      <c r="E58" s="44"/>
      <c r="F58" s="43">
        <v>1</v>
      </c>
      <c r="G58" s="67">
        <f t="shared" si="1"/>
        <v>480</v>
      </c>
      <c r="H58" s="73">
        <f t="shared" si="26"/>
        <v>16</v>
      </c>
      <c r="I58" s="109">
        <f t="shared" si="28"/>
        <v>380</v>
      </c>
      <c r="J58" s="73">
        <f t="shared" si="27"/>
        <v>16</v>
      </c>
      <c r="K58" s="68">
        <f t="shared" si="19"/>
        <v>1060</v>
      </c>
      <c r="L58" s="101">
        <v>4</v>
      </c>
      <c r="M58" s="68">
        <f t="shared" si="2"/>
        <v>800</v>
      </c>
      <c r="N58" s="101">
        <v>4</v>
      </c>
      <c r="O58" s="63"/>
    </row>
    <row r="59" spans="1:15">
      <c r="A59" s="94" t="str">
        <f>'1. 소켓인수검사'!A104</f>
        <v>96</v>
      </c>
      <c r="B59" s="100" t="s">
        <v>59</v>
      </c>
      <c r="C59" s="43">
        <f>'1. 소켓인수검사'!C104</f>
        <v>1000</v>
      </c>
      <c r="D59" s="43">
        <f>'1. 소켓인수검사'!D104</f>
        <v>800</v>
      </c>
      <c r="E59" s="44"/>
      <c r="F59" s="43">
        <v>1</v>
      </c>
      <c r="G59" s="67">
        <f t="shared" si="1"/>
        <v>480</v>
      </c>
      <c r="H59" s="73">
        <f t="shared" si="26"/>
        <v>16</v>
      </c>
      <c r="I59" s="109">
        <f t="shared" si="28"/>
        <v>380</v>
      </c>
      <c r="J59" s="73">
        <f t="shared" si="27"/>
        <v>16</v>
      </c>
      <c r="K59" s="68">
        <f t="shared" si="19"/>
        <v>1060</v>
      </c>
      <c r="L59" s="101">
        <v>4</v>
      </c>
      <c r="M59" s="68">
        <f t="shared" si="2"/>
        <v>800</v>
      </c>
      <c r="N59" s="101">
        <v>4</v>
      </c>
      <c r="O59" s="63"/>
    </row>
    <row r="60" spans="1:15">
      <c r="A60" s="94" t="str">
        <f>'1. 소켓인수검사'!A105</f>
        <v>97</v>
      </c>
      <c r="B60" s="100" t="s">
        <v>59</v>
      </c>
      <c r="C60" s="43">
        <f>'1. 소켓인수검사'!C105</f>
        <v>1000</v>
      </c>
      <c r="D60" s="43">
        <f>'1. 소켓인수검사'!D105</f>
        <v>800</v>
      </c>
      <c r="E60" s="44"/>
      <c r="F60" s="43">
        <v>1</v>
      </c>
      <c r="G60" s="67">
        <f t="shared" si="1"/>
        <v>480</v>
      </c>
      <c r="H60" s="73">
        <f t="shared" si="26"/>
        <v>16</v>
      </c>
      <c r="I60" s="109">
        <f t="shared" si="28"/>
        <v>380</v>
      </c>
      <c r="J60" s="73">
        <f t="shared" si="27"/>
        <v>16</v>
      </c>
      <c r="K60" s="68">
        <f t="shared" si="19"/>
        <v>1060</v>
      </c>
      <c r="L60" s="101">
        <v>4</v>
      </c>
      <c r="M60" s="68">
        <f t="shared" si="2"/>
        <v>800</v>
      </c>
      <c r="N60" s="101">
        <v>4</v>
      </c>
      <c r="O60" s="63"/>
    </row>
    <row r="61" spans="1:15">
      <c r="A61" s="94" t="str">
        <f>'1. 소켓인수검사'!A106</f>
        <v>98</v>
      </c>
      <c r="B61" s="100" t="s">
        <v>59</v>
      </c>
      <c r="C61" s="43">
        <f>'1. 소켓인수검사'!C106</f>
        <v>1000</v>
      </c>
      <c r="D61" s="43">
        <f>'1. 소켓인수검사'!D106</f>
        <v>800</v>
      </c>
      <c r="E61" s="44"/>
      <c r="F61" s="43">
        <v>1</v>
      </c>
      <c r="G61" s="67">
        <f t="shared" si="1"/>
        <v>480</v>
      </c>
      <c r="H61" s="73">
        <f t="shared" si="3"/>
        <v>16</v>
      </c>
      <c r="I61" s="109">
        <f t="shared" si="5"/>
        <v>380</v>
      </c>
      <c r="J61" s="73">
        <f t="shared" si="4"/>
        <v>16</v>
      </c>
      <c r="K61" s="68">
        <f t="shared" si="0"/>
        <v>1060</v>
      </c>
      <c r="L61" s="101">
        <v>4</v>
      </c>
      <c r="M61" s="68">
        <f t="shared" si="2"/>
        <v>800</v>
      </c>
      <c r="N61" s="101">
        <v>4</v>
      </c>
      <c r="O61" s="63"/>
    </row>
    <row r="62" spans="1:15">
      <c r="A62" s="94" t="str">
        <f>'1. 소켓인수검사'!A107</f>
        <v>99</v>
      </c>
      <c r="B62" s="100" t="s">
        <v>59</v>
      </c>
      <c r="C62" s="43">
        <f>'1. 소켓인수검사'!C107</f>
        <v>1200</v>
      </c>
      <c r="D62" s="43">
        <f>'1. 소켓인수검사'!D107</f>
        <v>800</v>
      </c>
      <c r="E62" s="44"/>
      <c r="F62" s="43">
        <v>1</v>
      </c>
      <c r="G62" s="67">
        <f t="shared" si="1"/>
        <v>580</v>
      </c>
      <c r="H62" s="73">
        <f t="shared" si="3"/>
        <v>16</v>
      </c>
      <c r="I62" s="109">
        <f t="shared" si="5"/>
        <v>380</v>
      </c>
      <c r="J62" s="73">
        <f t="shared" si="4"/>
        <v>16</v>
      </c>
      <c r="K62" s="68">
        <f t="shared" si="0"/>
        <v>1260</v>
      </c>
      <c r="L62" s="101">
        <v>4</v>
      </c>
      <c r="M62" s="68">
        <f t="shared" si="2"/>
        <v>800</v>
      </c>
      <c r="N62" s="101">
        <v>4</v>
      </c>
      <c r="O62" s="63"/>
    </row>
    <row r="63" spans="1:15">
      <c r="A63" s="94" t="str">
        <f>'1. 소켓인수검사'!A108</f>
        <v>100</v>
      </c>
      <c r="B63" s="100" t="s">
        <v>59</v>
      </c>
      <c r="C63" s="43">
        <f>'1. 소켓인수검사'!C108</f>
        <v>1250</v>
      </c>
      <c r="D63" s="43">
        <f>'1. 소켓인수검사'!D108</f>
        <v>800</v>
      </c>
      <c r="E63" s="44"/>
      <c r="F63" s="43">
        <v>1</v>
      </c>
      <c r="G63" s="67">
        <f t="shared" si="1"/>
        <v>605</v>
      </c>
      <c r="H63" s="73">
        <f t="shared" si="3"/>
        <v>16</v>
      </c>
      <c r="I63" s="109">
        <f t="shared" si="5"/>
        <v>380</v>
      </c>
      <c r="J63" s="73">
        <f t="shared" si="4"/>
        <v>16</v>
      </c>
      <c r="K63" s="68">
        <f t="shared" si="0"/>
        <v>1310</v>
      </c>
      <c r="L63" s="101">
        <v>4</v>
      </c>
      <c r="M63" s="68">
        <f t="shared" si="2"/>
        <v>800</v>
      </c>
      <c r="N63" s="101">
        <v>4</v>
      </c>
      <c r="O63" s="63"/>
    </row>
    <row r="64" spans="1:15">
      <c r="A64" s="94" t="str">
        <f>'1. 소켓인수검사'!A109</f>
        <v>101</v>
      </c>
      <c r="B64" s="100" t="s">
        <v>59</v>
      </c>
      <c r="C64" s="43">
        <f>'1. 소켓인수검사'!C109</f>
        <v>1250</v>
      </c>
      <c r="D64" s="43">
        <f>'1. 소켓인수검사'!D109</f>
        <v>800</v>
      </c>
      <c r="E64" s="44"/>
      <c r="F64" s="43">
        <v>1</v>
      </c>
      <c r="G64" s="67">
        <f t="shared" si="1"/>
        <v>605</v>
      </c>
      <c r="H64" s="73">
        <f t="shared" si="3"/>
        <v>16</v>
      </c>
      <c r="I64" s="109">
        <f t="shared" si="5"/>
        <v>380</v>
      </c>
      <c r="J64" s="73">
        <f t="shared" si="4"/>
        <v>16</v>
      </c>
      <c r="K64" s="68">
        <f t="shared" si="0"/>
        <v>1310</v>
      </c>
      <c r="L64" s="101">
        <v>4</v>
      </c>
      <c r="M64" s="68">
        <f t="shared" si="2"/>
        <v>800</v>
      </c>
      <c r="N64" s="101">
        <v>4</v>
      </c>
      <c r="O64" s="63"/>
    </row>
    <row r="65" spans="1:15">
      <c r="A65" s="94" t="str">
        <f>'1. 소켓인수검사'!A110</f>
        <v>102</v>
      </c>
      <c r="B65" s="100" t="s">
        <v>59</v>
      </c>
      <c r="C65" s="43">
        <f>'1. 소켓인수검사'!C110</f>
        <v>1250</v>
      </c>
      <c r="D65" s="43">
        <f>'1. 소켓인수검사'!D110</f>
        <v>800</v>
      </c>
      <c r="E65" s="44"/>
      <c r="F65" s="43">
        <v>1</v>
      </c>
      <c r="G65" s="67">
        <f t="shared" si="1"/>
        <v>605</v>
      </c>
      <c r="H65" s="73">
        <f>F65*8*2</f>
        <v>16</v>
      </c>
      <c r="I65" s="109">
        <f>(D65-20)/2-10</f>
        <v>380</v>
      </c>
      <c r="J65" s="73">
        <f>F65*16</f>
        <v>16</v>
      </c>
      <c r="K65" s="68">
        <f t="shared" si="0"/>
        <v>1310</v>
      </c>
      <c r="L65" s="101">
        <v>4</v>
      </c>
      <c r="M65" s="68">
        <f t="shared" si="2"/>
        <v>800</v>
      </c>
      <c r="N65" s="101">
        <v>4</v>
      </c>
      <c r="O65" s="63"/>
    </row>
    <row r="66" spans="1:15">
      <c r="A66" s="94" t="str">
        <f>'1. 소켓인수검사'!A111</f>
        <v>103</v>
      </c>
      <c r="B66" s="100" t="s">
        <v>59</v>
      </c>
      <c r="C66" s="43">
        <f>'1. 소켓인수검사'!C111</f>
        <v>1250</v>
      </c>
      <c r="D66" s="43">
        <f>'1. 소켓인수검사'!D111</f>
        <v>800</v>
      </c>
      <c r="E66" s="44"/>
      <c r="F66" s="43">
        <v>1</v>
      </c>
      <c r="G66" s="67">
        <f t="shared" si="1"/>
        <v>605</v>
      </c>
      <c r="H66" s="73">
        <f>F66*8*2</f>
        <v>16</v>
      </c>
      <c r="I66" s="109">
        <f>(D66-20)/2-10</f>
        <v>380</v>
      </c>
      <c r="J66" s="73">
        <f>F66*16</f>
        <v>16</v>
      </c>
      <c r="K66" s="68">
        <f t="shared" si="0"/>
        <v>1310</v>
      </c>
      <c r="L66" s="101">
        <v>4</v>
      </c>
      <c r="M66" s="68">
        <f t="shared" si="2"/>
        <v>800</v>
      </c>
      <c r="N66" s="101">
        <v>4</v>
      </c>
      <c r="O66" s="63"/>
    </row>
    <row r="67" spans="1:15">
      <c r="A67" s="94" t="str">
        <f>'1. 소켓인수검사'!A112</f>
        <v>104</v>
      </c>
      <c r="B67" s="100" t="s">
        <v>59</v>
      </c>
      <c r="C67" s="43">
        <f>'1. 소켓인수검사'!C112</f>
        <v>1250</v>
      </c>
      <c r="D67" s="43">
        <f>'1. 소켓인수검사'!D112</f>
        <v>800</v>
      </c>
      <c r="E67" s="44"/>
      <c r="F67" s="43">
        <v>1</v>
      </c>
      <c r="G67" s="67">
        <f t="shared" si="1"/>
        <v>605</v>
      </c>
      <c r="H67" s="73">
        <f t="shared" ref="H67:H71" si="29">F67*8*2</f>
        <v>16</v>
      </c>
      <c r="I67" s="109">
        <f>(D67-20)/2-10</f>
        <v>380</v>
      </c>
      <c r="J67" s="73">
        <f t="shared" ref="J67:J71" si="30">F67*16</f>
        <v>16</v>
      </c>
      <c r="K67" s="68">
        <f t="shared" si="0"/>
        <v>1310</v>
      </c>
      <c r="L67" s="101">
        <v>4</v>
      </c>
      <c r="M67" s="68">
        <f t="shared" si="2"/>
        <v>800</v>
      </c>
      <c r="N67" s="101">
        <v>4</v>
      </c>
      <c r="O67" s="63"/>
    </row>
    <row r="68" spans="1:15">
      <c r="A68" s="94" t="str">
        <f>'1. 소켓인수검사'!A113</f>
        <v>105</v>
      </c>
      <c r="B68" s="100" t="s">
        <v>59</v>
      </c>
      <c r="C68" s="43">
        <f>'1. 소켓인수검사'!C113</f>
        <v>1250</v>
      </c>
      <c r="D68" s="43">
        <f>'1. 소켓인수검사'!D113</f>
        <v>800</v>
      </c>
      <c r="E68" s="44"/>
      <c r="F68" s="43">
        <v>1</v>
      </c>
      <c r="G68" s="67">
        <f t="shared" si="1"/>
        <v>605</v>
      </c>
      <c r="H68" s="73">
        <f t="shared" si="29"/>
        <v>16</v>
      </c>
      <c r="I68" s="109">
        <f t="shared" ref="I68:I71" si="31">(D68-20)/2-10</f>
        <v>380</v>
      </c>
      <c r="J68" s="73">
        <f t="shared" si="30"/>
        <v>16</v>
      </c>
      <c r="K68" s="68">
        <f t="shared" si="0"/>
        <v>1310</v>
      </c>
      <c r="L68" s="101">
        <v>4</v>
      </c>
      <c r="M68" s="68">
        <f t="shared" si="2"/>
        <v>800</v>
      </c>
      <c r="N68" s="101">
        <v>4</v>
      </c>
      <c r="O68" s="63"/>
    </row>
    <row r="69" spans="1:15">
      <c r="A69" s="94" t="str">
        <f>'1. 소켓인수검사'!A114</f>
        <v>106</v>
      </c>
      <c r="B69" s="100" t="s">
        <v>59</v>
      </c>
      <c r="C69" s="43">
        <f>'1. 소켓인수검사'!C114</f>
        <v>1250</v>
      </c>
      <c r="D69" s="43">
        <f>'1. 소켓인수검사'!D114</f>
        <v>800</v>
      </c>
      <c r="E69" s="44"/>
      <c r="F69" s="43">
        <v>1</v>
      </c>
      <c r="G69" s="67">
        <f t="shared" si="1"/>
        <v>605</v>
      </c>
      <c r="H69" s="73">
        <f t="shared" si="29"/>
        <v>16</v>
      </c>
      <c r="I69" s="109">
        <f t="shared" si="31"/>
        <v>380</v>
      </c>
      <c r="J69" s="73">
        <f t="shared" si="30"/>
        <v>16</v>
      </c>
      <c r="K69" s="68">
        <f t="shared" si="0"/>
        <v>1310</v>
      </c>
      <c r="L69" s="101">
        <v>4</v>
      </c>
      <c r="M69" s="68">
        <f t="shared" si="2"/>
        <v>800</v>
      </c>
      <c r="N69" s="101">
        <v>4</v>
      </c>
      <c r="O69" s="63"/>
    </row>
    <row r="70" spans="1:15">
      <c r="A70" s="94" t="str">
        <f>'1. 소켓인수검사'!A115</f>
        <v>107</v>
      </c>
      <c r="B70" s="100" t="s">
        <v>59</v>
      </c>
      <c r="C70" s="43">
        <f>'1. 소켓인수검사'!C115</f>
        <v>1250</v>
      </c>
      <c r="D70" s="43">
        <f>'1. 소켓인수검사'!D115</f>
        <v>800</v>
      </c>
      <c r="E70" s="44"/>
      <c r="F70" s="43">
        <v>1</v>
      </c>
      <c r="G70" s="67">
        <f t="shared" si="1"/>
        <v>605</v>
      </c>
      <c r="H70" s="73">
        <f t="shared" si="29"/>
        <v>16</v>
      </c>
      <c r="I70" s="109">
        <f t="shared" si="31"/>
        <v>380</v>
      </c>
      <c r="J70" s="73">
        <f t="shared" si="30"/>
        <v>16</v>
      </c>
      <c r="K70" s="68">
        <f t="shared" si="0"/>
        <v>1310</v>
      </c>
      <c r="L70" s="101">
        <v>4</v>
      </c>
      <c r="M70" s="68">
        <f t="shared" si="2"/>
        <v>800</v>
      </c>
      <c r="N70" s="101">
        <v>4</v>
      </c>
      <c r="O70" s="63"/>
    </row>
    <row r="71" spans="1:15">
      <c r="A71" s="94" t="str">
        <f>'1. 소켓인수검사'!A116</f>
        <v>108</v>
      </c>
      <c r="B71" s="100" t="s">
        <v>59</v>
      </c>
      <c r="C71" s="43">
        <f>'1. 소켓인수검사'!C116</f>
        <v>1250</v>
      </c>
      <c r="D71" s="43">
        <f>'1. 소켓인수검사'!D116</f>
        <v>800</v>
      </c>
      <c r="E71" s="44"/>
      <c r="F71" s="43">
        <v>1</v>
      </c>
      <c r="G71" s="67">
        <f t="shared" si="1"/>
        <v>605</v>
      </c>
      <c r="H71" s="73">
        <f t="shared" si="29"/>
        <v>16</v>
      </c>
      <c r="I71" s="109">
        <f t="shared" si="31"/>
        <v>380</v>
      </c>
      <c r="J71" s="73">
        <f t="shared" si="30"/>
        <v>16</v>
      </c>
      <c r="K71" s="68">
        <f t="shared" si="0"/>
        <v>1310</v>
      </c>
      <c r="L71" s="101">
        <v>4</v>
      </c>
      <c r="M71" s="68">
        <f t="shared" si="2"/>
        <v>800</v>
      </c>
      <c r="N71" s="101">
        <v>4</v>
      </c>
      <c r="O71" s="63"/>
    </row>
    <row r="72" spans="1:15">
      <c r="A72" s="94" t="str">
        <f>'1. 소켓인수검사'!A117</f>
        <v>109</v>
      </c>
      <c r="B72" s="100" t="s">
        <v>59</v>
      </c>
      <c r="C72" s="43">
        <f>'1. 소켓인수검사'!C117</f>
        <v>1250</v>
      </c>
      <c r="D72" s="43">
        <f>'1. 소켓인수검사'!D117</f>
        <v>800</v>
      </c>
      <c r="E72" s="44"/>
      <c r="F72" s="43">
        <v>1</v>
      </c>
      <c r="G72" s="67">
        <f t="shared" si="1"/>
        <v>605</v>
      </c>
      <c r="H72" s="73">
        <f>F72*8*2</f>
        <v>16</v>
      </c>
      <c r="I72" s="109">
        <f>(D72-20)/2-10</f>
        <v>380</v>
      </c>
      <c r="J72" s="73">
        <f>F72*16</f>
        <v>16</v>
      </c>
      <c r="K72" s="68">
        <f t="shared" ref="K72:K73" si="32">C72+60</f>
        <v>1310</v>
      </c>
      <c r="L72" s="101">
        <v>4</v>
      </c>
      <c r="M72" s="68">
        <f t="shared" si="2"/>
        <v>800</v>
      </c>
      <c r="N72" s="101">
        <v>4</v>
      </c>
      <c r="O72" s="63"/>
    </row>
    <row r="73" spans="1:15">
      <c r="A73" s="94" t="str">
        <f>'1. 소켓인수검사'!A118</f>
        <v>110</v>
      </c>
      <c r="B73" s="100" t="s">
        <v>59</v>
      </c>
      <c r="C73" s="43">
        <f>'1. 소켓인수검사'!C118</f>
        <v>1250</v>
      </c>
      <c r="D73" s="43">
        <f>'1. 소켓인수검사'!D118</f>
        <v>800</v>
      </c>
      <c r="E73" s="44"/>
      <c r="F73" s="43">
        <v>1</v>
      </c>
      <c r="G73" s="67">
        <f t="shared" ref="G73" si="33">(C73-30)/2-5</f>
        <v>605</v>
      </c>
      <c r="H73" s="73">
        <f>F73*8*2</f>
        <v>16</v>
      </c>
      <c r="I73" s="109">
        <f>(D73-20)/2-10</f>
        <v>380</v>
      </c>
      <c r="J73" s="73">
        <f>F73*16</f>
        <v>16</v>
      </c>
      <c r="K73" s="68">
        <f t="shared" si="32"/>
        <v>1310</v>
      </c>
      <c r="L73" s="101">
        <v>4</v>
      </c>
      <c r="M73" s="68">
        <f t="shared" ref="M73" si="34">D73</f>
        <v>800</v>
      </c>
      <c r="N73" s="101">
        <v>4</v>
      </c>
      <c r="O73" s="63"/>
    </row>
    <row r="74" spans="1:15">
      <c r="A74" s="193"/>
      <c r="B74" s="194"/>
      <c r="C74" s="194"/>
      <c r="D74" s="102"/>
      <c r="E74" s="103"/>
      <c r="F74" s="103"/>
      <c r="G74" s="104"/>
      <c r="H74" s="69">
        <f>SUM(H8:H73)</f>
        <v>1056</v>
      </c>
      <c r="I74" s="104"/>
      <c r="J74" s="69">
        <f>SUM(J8:J73)</f>
        <v>1056</v>
      </c>
      <c r="K74" s="102"/>
      <c r="L74" s="69">
        <f>SUM(L8:L73)</f>
        <v>264</v>
      </c>
      <c r="M74" s="102"/>
      <c r="N74" s="69">
        <f>SUM(N8:N73)</f>
        <v>264</v>
      </c>
      <c r="O74" s="70"/>
    </row>
    <row r="75" spans="1:15" ht="8.1" customHeight="1">
      <c r="A75" s="187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9"/>
      <c r="O75" s="4"/>
    </row>
    <row r="76" spans="1:15">
      <c r="A76" s="1" t="s">
        <v>16</v>
      </c>
      <c r="B76" s="1"/>
      <c r="C76" s="1"/>
      <c r="D76" s="187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9"/>
    </row>
    <row r="77" spans="1:15">
      <c r="A77" s="1"/>
      <c r="B77" s="1"/>
      <c r="C77" s="1"/>
      <c r="D77" s="175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7"/>
    </row>
    <row r="78" spans="1:15">
      <c r="A78" s="1"/>
      <c r="B78" s="1"/>
      <c r="C78" s="1"/>
      <c r="D78" s="175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7"/>
    </row>
    <row r="79" spans="1:15">
      <c r="A79" s="1"/>
      <c r="B79" s="1"/>
      <c r="C79" s="1"/>
      <c r="D79" s="175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7"/>
    </row>
    <row r="80" spans="1:15">
      <c r="A80" s="1"/>
      <c r="B80" s="1"/>
      <c r="C80" s="1"/>
      <c r="D80" s="175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7"/>
    </row>
    <row r="81" spans="1:15">
      <c r="A81" s="1"/>
      <c r="B81" s="1"/>
      <c r="C81" s="1"/>
      <c r="D81" s="190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2"/>
    </row>
  </sheetData>
  <mergeCells count="22">
    <mergeCell ref="K6:L6"/>
    <mergeCell ref="M6:N6"/>
    <mergeCell ref="A76:C81"/>
    <mergeCell ref="D76:O81"/>
    <mergeCell ref="A74:C74"/>
    <mergeCell ref="A75:N75"/>
    <mergeCell ref="E1:G3"/>
    <mergeCell ref="H1:O3"/>
    <mergeCell ref="A1:D3"/>
    <mergeCell ref="A4:N4"/>
    <mergeCell ref="A5:A7"/>
    <mergeCell ref="B5:B7"/>
    <mergeCell ref="C5:D5"/>
    <mergeCell ref="E5:E7"/>
    <mergeCell ref="F5:F7"/>
    <mergeCell ref="G5:J5"/>
    <mergeCell ref="K5:N5"/>
    <mergeCell ref="O5:O7"/>
    <mergeCell ref="C6:C7"/>
    <mergeCell ref="D6:D7"/>
    <mergeCell ref="G6:H6"/>
    <mergeCell ref="I6:J6"/>
  </mergeCells>
  <phoneticPr fontId="31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120"/>
  <sheetViews>
    <sheetView topLeftCell="A99" zoomScaleNormal="100" zoomScaleSheetLayoutView="100" workbookViewId="0">
      <selection activeCell="I13" sqref="I13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"/>
      <c r="B1" s="1"/>
      <c r="C1" s="1"/>
      <c r="D1" s="1"/>
      <c r="E1" s="211" t="s">
        <v>83</v>
      </c>
      <c r="F1" s="195"/>
      <c r="G1" s="195" t="str">
        <f>'1. 소켓인수검사'!R2</f>
        <v xml:space="preserve">26.04.24 그린산업_ 일우엠이씨_GS건설_아산탕정자이퍼스트시티 </v>
      </c>
      <c r="H1" s="195"/>
      <c r="I1" s="195"/>
      <c r="J1" s="195"/>
      <c r="K1" s="196"/>
    </row>
    <row r="2" spans="1:11" ht="16.5" customHeight="1">
      <c r="A2" s="1"/>
      <c r="B2" s="1"/>
      <c r="C2" s="1"/>
      <c r="D2" s="1"/>
      <c r="E2" s="212"/>
      <c r="F2" s="197"/>
      <c r="G2" s="197"/>
      <c r="H2" s="197"/>
      <c r="I2" s="197"/>
      <c r="J2" s="197"/>
      <c r="K2" s="198"/>
    </row>
    <row r="3" spans="1:11" ht="16.5" customHeight="1">
      <c r="A3" s="1"/>
      <c r="B3" s="1"/>
      <c r="C3" s="1"/>
      <c r="D3" s="1"/>
      <c r="E3" s="213"/>
      <c r="F3" s="199"/>
      <c r="G3" s="199"/>
      <c r="H3" s="199"/>
      <c r="I3" s="199"/>
      <c r="J3" s="199"/>
      <c r="K3" s="200"/>
    </row>
    <row r="4" spans="1:11" ht="8.1" customHeight="1">
      <c r="A4" s="191"/>
      <c r="B4" s="191"/>
      <c r="C4" s="191"/>
      <c r="D4" s="191"/>
      <c r="E4" s="191"/>
      <c r="F4" s="191"/>
      <c r="G4" s="191"/>
      <c r="H4" s="191"/>
      <c r="I4" s="191"/>
      <c r="J4" s="191"/>
      <c r="K4" s="191"/>
    </row>
    <row r="5" spans="1:11" ht="26.45" customHeight="1">
      <c r="A5" s="201" t="s">
        <v>70</v>
      </c>
      <c r="B5" s="202" t="s">
        <v>80</v>
      </c>
      <c r="C5" s="205" t="s">
        <v>4</v>
      </c>
      <c r="D5" s="205"/>
      <c r="E5" s="205" t="s">
        <v>25</v>
      </c>
      <c r="F5" s="206" t="s">
        <v>68</v>
      </c>
      <c r="G5" s="209" t="s">
        <v>35</v>
      </c>
      <c r="H5" s="210"/>
      <c r="I5" s="210"/>
      <c r="J5" s="210"/>
      <c r="K5" s="206" t="s">
        <v>2</v>
      </c>
    </row>
    <row r="6" spans="1:11" ht="16.5" customHeight="1">
      <c r="A6" s="201"/>
      <c r="B6" s="203"/>
      <c r="C6" s="205" t="s">
        <v>77</v>
      </c>
      <c r="D6" s="205" t="s">
        <v>75</v>
      </c>
      <c r="E6" s="205"/>
      <c r="F6" s="207"/>
      <c r="G6" s="205" t="s">
        <v>79</v>
      </c>
      <c r="H6" s="205"/>
      <c r="I6" s="209" t="s">
        <v>76</v>
      </c>
      <c r="J6" s="210"/>
      <c r="K6" s="207"/>
    </row>
    <row r="7" spans="1:11">
      <c r="A7" s="201"/>
      <c r="B7" s="204"/>
      <c r="C7" s="205"/>
      <c r="D7" s="205"/>
      <c r="E7" s="205"/>
      <c r="F7" s="208"/>
      <c r="G7" s="16" t="s">
        <v>4</v>
      </c>
      <c r="H7" s="16" t="s">
        <v>68</v>
      </c>
      <c r="I7" s="16" t="s">
        <v>4</v>
      </c>
      <c r="J7" s="17" t="s">
        <v>68</v>
      </c>
      <c r="K7" s="208"/>
    </row>
    <row r="8" spans="1:11">
      <c r="A8" s="94" t="str">
        <f>'1. 소켓인수검사'!A9</f>
        <v>01</v>
      </c>
      <c r="B8" s="65" t="s">
        <v>60</v>
      </c>
      <c r="C8" s="43">
        <f>'1. 소켓인수검사'!C9</f>
        <v>850</v>
      </c>
      <c r="D8" s="43">
        <f>'1. 소켓인수검사'!D9</f>
        <v>550</v>
      </c>
      <c r="E8" s="44"/>
      <c r="F8" s="43">
        <v>1</v>
      </c>
      <c r="G8" s="64">
        <f t="shared" ref="G8:G46" si="0">C8+60</f>
        <v>910</v>
      </c>
      <c r="H8" s="43">
        <v>2</v>
      </c>
      <c r="I8" s="64">
        <f t="shared" ref="I8:I51" si="1">D8</f>
        <v>550</v>
      </c>
      <c r="J8" s="43">
        <v>2</v>
      </c>
      <c r="K8" s="63"/>
    </row>
    <row r="9" spans="1:11">
      <c r="A9" s="94" t="str">
        <f>'1. 소켓인수검사'!A10</f>
        <v>02</v>
      </c>
      <c r="B9" s="65" t="s">
        <v>60</v>
      </c>
      <c r="C9" s="43">
        <f>'1. 소켓인수검사'!C10</f>
        <v>850</v>
      </c>
      <c r="D9" s="43">
        <f>'1. 소켓인수검사'!D10</f>
        <v>550</v>
      </c>
      <c r="E9" s="44"/>
      <c r="F9" s="43">
        <v>1</v>
      </c>
      <c r="G9" s="64">
        <f t="shared" si="0"/>
        <v>910</v>
      </c>
      <c r="H9" s="43">
        <v>2</v>
      </c>
      <c r="I9" s="64">
        <f t="shared" si="1"/>
        <v>550</v>
      </c>
      <c r="J9" s="43">
        <v>2</v>
      </c>
      <c r="K9" s="63"/>
    </row>
    <row r="10" spans="1:11">
      <c r="A10" s="94" t="str">
        <f>'1. 소켓인수검사'!A11</f>
        <v>03</v>
      </c>
      <c r="B10" s="65" t="s">
        <v>60</v>
      </c>
      <c r="C10" s="43">
        <f>'1. 소켓인수검사'!C11</f>
        <v>850</v>
      </c>
      <c r="D10" s="43">
        <f>'1. 소켓인수검사'!D11</f>
        <v>550</v>
      </c>
      <c r="E10" s="44"/>
      <c r="F10" s="43">
        <v>1</v>
      </c>
      <c r="G10" s="64">
        <f t="shared" si="0"/>
        <v>910</v>
      </c>
      <c r="H10" s="43">
        <v>2</v>
      </c>
      <c r="I10" s="64">
        <f t="shared" si="1"/>
        <v>550</v>
      </c>
      <c r="J10" s="43">
        <v>2</v>
      </c>
      <c r="K10" s="63"/>
    </row>
    <row r="11" spans="1:11">
      <c r="A11" s="94" t="str">
        <f>'1. 소켓인수검사'!A12</f>
        <v>04</v>
      </c>
      <c r="B11" s="65" t="s">
        <v>60</v>
      </c>
      <c r="C11" s="43">
        <f>'1. 소켓인수검사'!C12</f>
        <v>850</v>
      </c>
      <c r="D11" s="43">
        <f>'1. 소켓인수검사'!D12</f>
        <v>550</v>
      </c>
      <c r="E11" s="44"/>
      <c r="F11" s="43">
        <v>1</v>
      </c>
      <c r="G11" s="64">
        <f t="shared" si="0"/>
        <v>910</v>
      </c>
      <c r="H11" s="43">
        <v>2</v>
      </c>
      <c r="I11" s="64">
        <f t="shared" si="1"/>
        <v>550</v>
      </c>
      <c r="J11" s="43">
        <v>2</v>
      </c>
      <c r="K11" s="63"/>
    </row>
    <row r="12" spans="1:11">
      <c r="A12" s="94" t="str">
        <f>'1. 소켓인수검사'!A13</f>
        <v>05</v>
      </c>
      <c r="B12" s="65" t="s">
        <v>60</v>
      </c>
      <c r="C12" s="43">
        <f>'1. 소켓인수검사'!C13</f>
        <v>900</v>
      </c>
      <c r="D12" s="43">
        <f>'1. 소켓인수검사'!D13</f>
        <v>550</v>
      </c>
      <c r="E12" s="44"/>
      <c r="F12" s="43">
        <v>1</v>
      </c>
      <c r="G12" s="64">
        <f t="shared" si="0"/>
        <v>960</v>
      </c>
      <c r="H12" s="43">
        <v>2</v>
      </c>
      <c r="I12" s="64">
        <f t="shared" si="1"/>
        <v>550</v>
      </c>
      <c r="J12" s="43">
        <v>2</v>
      </c>
      <c r="K12" s="63"/>
    </row>
    <row r="13" spans="1:11">
      <c r="A13" s="94" t="str">
        <f>'1. 소켓인수검사'!A14</f>
        <v>06</v>
      </c>
      <c r="B13" s="65" t="s">
        <v>60</v>
      </c>
      <c r="C13" s="43">
        <f>'1. 소켓인수검사'!C14</f>
        <v>900</v>
      </c>
      <c r="D13" s="43">
        <f>'1. 소켓인수검사'!D14</f>
        <v>550</v>
      </c>
      <c r="E13" s="44"/>
      <c r="F13" s="43">
        <v>1</v>
      </c>
      <c r="G13" s="64">
        <f t="shared" si="0"/>
        <v>960</v>
      </c>
      <c r="H13" s="43">
        <v>2</v>
      </c>
      <c r="I13" s="64">
        <f t="shared" si="1"/>
        <v>550</v>
      </c>
      <c r="J13" s="43">
        <v>2</v>
      </c>
      <c r="K13" s="63"/>
    </row>
    <row r="14" spans="1:11">
      <c r="A14" s="94" t="str">
        <f>'1. 소켓인수검사'!A15</f>
        <v>07</v>
      </c>
      <c r="B14" s="65" t="s">
        <v>60</v>
      </c>
      <c r="C14" s="43">
        <f>'1. 소켓인수검사'!C15</f>
        <v>900</v>
      </c>
      <c r="D14" s="43">
        <f>'1. 소켓인수검사'!D15</f>
        <v>550</v>
      </c>
      <c r="E14" s="44"/>
      <c r="F14" s="43">
        <v>1</v>
      </c>
      <c r="G14" s="64">
        <f t="shared" si="0"/>
        <v>960</v>
      </c>
      <c r="H14" s="43">
        <v>2</v>
      </c>
      <c r="I14" s="64">
        <f t="shared" si="1"/>
        <v>550</v>
      </c>
      <c r="J14" s="43">
        <v>2</v>
      </c>
      <c r="K14" s="63"/>
    </row>
    <row r="15" spans="1:11">
      <c r="A15" s="94" t="str">
        <f>'1. 소켓인수검사'!A16</f>
        <v>08</v>
      </c>
      <c r="B15" s="65" t="s">
        <v>60</v>
      </c>
      <c r="C15" s="43">
        <f>'1. 소켓인수검사'!C16</f>
        <v>900</v>
      </c>
      <c r="D15" s="43">
        <f>'1. 소켓인수검사'!D16</f>
        <v>550</v>
      </c>
      <c r="E15" s="44"/>
      <c r="F15" s="43">
        <v>1</v>
      </c>
      <c r="G15" s="64">
        <f t="shared" si="0"/>
        <v>960</v>
      </c>
      <c r="H15" s="43">
        <v>2</v>
      </c>
      <c r="I15" s="64">
        <f t="shared" si="1"/>
        <v>550</v>
      </c>
      <c r="J15" s="43">
        <v>2</v>
      </c>
      <c r="K15" s="63"/>
    </row>
    <row r="16" spans="1:11">
      <c r="A16" s="94" t="str">
        <f>'1. 소켓인수검사'!A17</f>
        <v>09</v>
      </c>
      <c r="B16" s="65" t="s">
        <v>60</v>
      </c>
      <c r="C16" s="43">
        <f>'1. 소켓인수검사'!C17</f>
        <v>900</v>
      </c>
      <c r="D16" s="43">
        <f>'1. 소켓인수검사'!D17</f>
        <v>550</v>
      </c>
      <c r="E16" s="44"/>
      <c r="F16" s="43">
        <v>1</v>
      </c>
      <c r="G16" s="64">
        <f t="shared" si="0"/>
        <v>960</v>
      </c>
      <c r="H16" s="43">
        <v>2</v>
      </c>
      <c r="I16" s="64">
        <f t="shared" si="1"/>
        <v>550</v>
      </c>
      <c r="J16" s="43">
        <v>2</v>
      </c>
      <c r="K16" s="63"/>
    </row>
    <row r="17" spans="1:11">
      <c r="A17" s="94" t="str">
        <f>'1. 소켓인수검사'!A18</f>
        <v>10</v>
      </c>
      <c r="B17" s="65" t="s">
        <v>60</v>
      </c>
      <c r="C17" s="43">
        <f>'1. 소켓인수검사'!C18</f>
        <v>900</v>
      </c>
      <c r="D17" s="43">
        <f>'1. 소켓인수검사'!D18</f>
        <v>550</v>
      </c>
      <c r="E17" s="44"/>
      <c r="F17" s="43">
        <v>1</v>
      </c>
      <c r="G17" s="64">
        <f t="shared" si="0"/>
        <v>960</v>
      </c>
      <c r="H17" s="43">
        <v>2</v>
      </c>
      <c r="I17" s="64">
        <f t="shared" si="1"/>
        <v>550</v>
      </c>
      <c r="J17" s="43">
        <v>2</v>
      </c>
      <c r="K17" s="63"/>
    </row>
    <row r="18" spans="1:11">
      <c r="A18" s="94" t="str">
        <f>'1. 소켓인수검사'!A19</f>
        <v>11</v>
      </c>
      <c r="B18" s="65" t="s">
        <v>60</v>
      </c>
      <c r="C18" s="43">
        <f>'1. 소켓인수검사'!C19</f>
        <v>900</v>
      </c>
      <c r="D18" s="43">
        <f>'1. 소켓인수검사'!D19</f>
        <v>550</v>
      </c>
      <c r="E18" s="44"/>
      <c r="F18" s="43">
        <v>1</v>
      </c>
      <c r="G18" s="64">
        <f t="shared" si="0"/>
        <v>960</v>
      </c>
      <c r="H18" s="43">
        <v>2</v>
      </c>
      <c r="I18" s="64">
        <f t="shared" si="1"/>
        <v>550</v>
      </c>
      <c r="J18" s="43">
        <v>2</v>
      </c>
      <c r="K18" s="63"/>
    </row>
    <row r="19" spans="1:11">
      <c r="A19" s="94" t="str">
        <f>'1. 소켓인수검사'!A20</f>
        <v>12</v>
      </c>
      <c r="B19" s="65" t="s">
        <v>60</v>
      </c>
      <c r="C19" s="43">
        <f>'1. 소켓인수검사'!C20</f>
        <v>900</v>
      </c>
      <c r="D19" s="43">
        <f>'1. 소켓인수검사'!D20</f>
        <v>550</v>
      </c>
      <c r="E19" s="44"/>
      <c r="F19" s="43">
        <v>1</v>
      </c>
      <c r="G19" s="64">
        <f t="shared" si="0"/>
        <v>960</v>
      </c>
      <c r="H19" s="43">
        <v>2</v>
      </c>
      <c r="I19" s="64">
        <f t="shared" si="1"/>
        <v>550</v>
      </c>
      <c r="J19" s="43">
        <v>2</v>
      </c>
      <c r="K19" s="63"/>
    </row>
    <row r="20" spans="1:11">
      <c r="A20" s="94" t="str">
        <f>'1. 소켓인수검사'!A21</f>
        <v>13</v>
      </c>
      <c r="B20" s="65" t="s">
        <v>60</v>
      </c>
      <c r="C20" s="43">
        <f>'1. 소켓인수검사'!C21</f>
        <v>900</v>
      </c>
      <c r="D20" s="43">
        <f>'1. 소켓인수검사'!D21</f>
        <v>550</v>
      </c>
      <c r="E20" s="44"/>
      <c r="F20" s="43">
        <v>1</v>
      </c>
      <c r="G20" s="64">
        <f t="shared" si="0"/>
        <v>960</v>
      </c>
      <c r="H20" s="43">
        <v>2</v>
      </c>
      <c r="I20" s="64">
        <f t="shared" si="1"/>
        <v>550</v>
      </c>
      <c r="J20" s="43">
        <v>2</v>
      </c>
      <c r="K20" s="63"/>
    </row>
    <row r="21" spans="1:11">
      <c r="A21" s="94" t="str">
        <f>'1. 소켓인수검사'!A22</f>
        <v>14</v>
      </c>
      <c r="B21" s="65" t="s">
        <v>60</v>
      </c>
      <c r="C21" s="43">
        <f>'1. 소켓인수검사'!C22</f>
        <v>950</v>
      </c>
      <c r="D21" s="43">
        <f>'1. 소켓인수검사'!D22</f>
        <v>500</v>
      </c>
      <c r="E21" s="44"/>
      <c r="F21" s="43">
        <v>1</v>
      </c>
      <c r="G21" s="64">
        <f t="shared" si="0"/>
        <v>1010</v>
      </c>
      <c r="H21" s="43">
        <v>2</v>
      </c>
      <c r="I21" s="64">
        <f t="shared" si="1"/>
        <v>500</v>
      </c>
      <c r="J21" s="43">
        <v>2</v>
      </c>
      <c r="K21" s="63"/>
    </row>
    <row r="22" spans="1:11">
      <c r="A22" s="94" t="str">
        <f>'1. 소켓인수검사'!A23</f>
        <v>15</v>
      </c>
      <c r="B22" s="65" t="s">
        <v>60</v>
      </c>
      <c r="C22" s="43">
        <f>'1. 소켓인수검사'!C23</f>
        <v>950</v>
      </c>
      <c r="D22" s="43">
        <f>'1. 소켓인수검사'!D23</f>
        <v>500</v>
      </c>
      <c r="E22" s="44"/>
      <c r="F22" s="43">
        <v>1</v>
      </c>
      <c r="G22" s="64">
        <f t="shared" si="0"/>
        <v>1010</v>
      </c>
      <c r="H22" s="43">
        <v>2</v>
      </c>
      <c r="I22" s="64">
        <f t="shared" si="1"/>
        <v>500</v>
      </c>
      <c r="J22" s="43">
        <v>2</v>
      </c>
      <c r="K22" s="63"/>
    </row>
    <row r="23" spans="1:11">
      <c r="A23" s="94" t="str">
        <f>'1. 소켓인수검사'!A24</f>
        <v>16</v>
      </c>
      <c r="B23" s="65" t="s">
        <v>60</v>
      </c>
      <c r="C23" s="43">
        <f>'1. 소켓인수검사'!C24</f>
        <v>950</v>
      </c>
      <c r="D23" s="43">
        <f>'1. 소켓인수검사'!D24</f>
        <v>500</v>
      </c>
      <c r="E23" s="44"/>
      <c r="F23" s="43">
        <v>1</v>
      </c>
      <c r="G23" s="64">
        <f t="shared" si="0"/>
        <v>1010</v>
      </c>
      <c r="H23" s="43">
        <v>2</v>
      </c>
      <c r="I23" s="64">
        <f t="shared" si="1"/>
        <v>500</v>
      </c>
      <c r="J23" s="43">
        <v>2</v>
      </c>
      <c r="K23" s="63"/>
    </row>
    <row r="24" spans="1:11">
      <c r="A24" s="94" t="str">
        <f>'1. 소켓인수검사'!A25</f>
        <v>17</v>
      </c>
      <c r="B24" s="65" t="s">
        <v>60</v>
      </c>
      <c r="C24" s="43">
        <f>'1. 소켓인수검사'!C25</f>
        <v>950</v>
      </c>
      <c r="D24" s="43">
        <f>'1. 소켓인수검사'!D25</f>
        <v>500</v>
      </c>
      <c r="E24" s="44"/>
      <c r="F24" s="43">
        <v>1</v>
      </c>
      <c r="G24" s="64">
        <f t="shared" si="0"/>
        <v>1010</v>
      </c>
      <c r="H24" s="43">
        <v>2</v>
      </c>
      <c r="I24" s="64">
        <f t="shared" si="1"/>
        <v>500</v>
      </c>
      <c r="J24" s="43">
        <v>2</v>
      </c>
      <c r="K24" s="63"/>
    </row>
    <row r="25" spans="1:11">
      <c r="A25" s="94" t="str">
        <f>'1. 소켓인수검사'!A26</f>
        <v>18</v>
      </c>
      <c r="B25" s="65" t="s">
        <v>60</v>
      </c>
      <c r="C25" s="43">
        <f>'1. 소켓인수검사'!C26</f>
        <v>1000</v>
      </c>
      <c r="D25" s="43">
        <f>'1. 소켓인수검사'!D26</f>
        <v>450</v>
      </c>
      <c r="E25" s="44"/>
      <c r="F25" s="43">
        <v>1</v>
      </c>
      <c r="G25" s="64">
        <f t="shared" si="0"/>
        <v>1060</v>
      </c>
      <c r="H25" s="43">
        <v>2</v>
      </c>
      <c r="I25" s="64">
        <f t="shared" si="1"/>
        <v>450</v>
      </c>
      <c r="J25" s="43">
        <v>2</v>
      </c>
      <c r="K25" s="63"/>
    </row>
    <row r="26" spans="1:11">
      <c r="A26" s="94" t="str">
        <f>'1. 소켓인수검사'!A27</f>
        <v>19</v>
      </c>
      <c r="B26" s="65" t="s">
        <v>60</v>
      </c>
      <c r="C26" s="43">
        <f>'1. 소켓인수검사'!C27</f>
        <v>1000</v>
      </c>
      <c r="D26" s="43">
        <f>'1. 소켓인수검사'!D27</f>
        <v>450</v>
      </c>
      <c r="E26" s="44"/>
      <c r="F26" s="43">
        <v>1</v>
      </c>
      <c r="G26" s="64">
        <f t="shared" si="0"/>
        <v>1060</v>
      </c>
      <c r="H26" s="43">
        <v>2</v>
      </c>
      <c r="I26" s="64">
        <f t="shared" si="1"/>
        <v>450</v>
      </c>
      <c r="J26" s="43">
        <v>2</v>
      </c>
      <c r="K26" s="63"/>
    </row>
    <row r="27" spans="1:11">
      <c r="A27" s="94" t="str">
        <f>'1. 소켓인수검사'!A28</f>
        <v>20</v>
      </c>
      <c r="B27" s="65" t="s">
        <v>60</v>
      </c>
      <c r="C27" s="43">
        <f>'1. 소켓인수검사'!C28</f>
        <v>1000</v>
      </c>
      <c r="D27" s="43">
        <f>'1. 소켓인수검사'!D28</f>
        <v>450</v>
      </c>
      <c r="E27" s="44"/>
      <c r="F27" s="43">
        <v>1</v>
      </c>
      <c r="G27" s="64">
        <f t="shared" si="0"/>
        <v>1060</v>
      </c>
      <c r="H27" s="43">
        <v>2</v>
      </c>
      <c r="I27" s="64">
        <f t="shared" si="1"/>
        <v>450</v>
      </c>
      <c r="J27" s="43">
        <v>2</v>
      </c>
      <c r="K27" s="63"/>
    </row>
    <row r="28" spans="1:11">
      <c r="A28" s="94" t="str">
        <f>'1. 소켓인수검사'!A29</f>
        <v>21</v>
      </c>
      <c r="B28" s="65" t="s">
        <v>60</v>
      </c>
      <c r="C28" s="43">
        <f>'1. 소켓인수검사'!C29</f>
        <v>1000</v>
      </c>
      <c r="D28" s="43">
        <f>'1. 소켓인수검사'!D29</f>
        <v>500</v>
      </c>
      <c r="E28" s="44"/>
      <c r="F28" s="43">
        <v>1</v>
      </c>
      <c r="G28" s="64">
        <f t="shared" si="0"/>
        <v>1060</v>
      </c>
      <c r="H28" s="43">
        <v>2</v>
      </c>
      <c r="I28" s="64">
        <f t="shared" si="1"/>
        <v>500</v>
      </c>
      <c r="J28" s="43">
        <v>2</v>
      </c>
      <c r="K28" s="63"/>
    </row>
    <row r="29" spans="1:11">
      <c r="A29" s="94" t="str">
        <f>'1. 소켓인수검사'!A30</f>
        <v>22</v>
      </c>
      <c r="B29" s="65" t="s">
        <v>60</v>
      </c>
      <c r="C29" s="43">
        <f>'1. 소켓인수검사'!C30</f>
        <v>1000</v>
      </c>
      <c r="D29" s="43">
        <f>'1. 소켓인수검사'!D30</f>
        <v>500</v>
      </c>
      <c r="E29" s="44"/>
      <c r="F29" s="43">
        <v>1</v>
      </c>
      <c r="G29" s="64">
        <f t="shared" si="0"/>
        <v>1060</v>
      </c>
      <c r="H29" s="43">
        <v>2</v>
      </c>
      <c r="I29" s="64">
        <f t="shared" si="1"/>
        <v>500</v>
      </c>
      <c r="J29" s="43">
        <v>2</v>
      </c>
      <c r="K29" s="63"/>
    </row>
    <row r="30" spans="1:11">
      <c r="A30" s="94" t="str">
        <f>'1. 소켓인수검사'!A31</f>
        <v>23</v>
      </c>
      <c r="B30" s="65" t="s">
        <v>60</v>
      </c>
      <c r="C30" s="43">
        <f>'1. 소켓인수검사'!C31</f>
        <v>1000</v>
      </c>
      <c r="D30" s="43">
        <f>'1. 소켓인수검사'!D31</f>
        <v>500</v>
      </c>
      <c r="E30" s="44"/>
      <c r="F30" s="43">
        <v>1</v>
      </c>
      <c r="G30" s="64">
        <f t="shared" si="0"/>
        <v>1060</v>
      </c>
      <c r="H30" s="43">
        <v>2</v>
      </c>
      <c r="I30" s="64">
        <f t="shared" si="1"/>
        <v>500</v>
      </c>
      <c r="J30" s="43">
        <v>2</v>
      </c>
      <c r="K30" s="63"/>
    </row>
    <row r="31" spans="1:11">
      <c r="A31" s="94" t="str">
        <f>'1. 소켓인수검사'!A32</f>
        <v>24</v>
      </c>
      <c r="B31" s="65" t="s">
        <v>60</v>
      </c>
      <c r="C31" s="43">
        <f>'1. 소켓인수검사'!C32</f>
        <v>1000</v>
      </c>
      <c r="D31" s="43">
        <f>'1. 소켓인수검사'!D32</f>
        <v>500</v>
      </c>
      <c r="E31" s="44"/>
      <c r="F31" s="43">
        <v>1</v>
      </c>
      <c r="G31" s="64">
        <f t="shared" si="0"/>
        <v>1060</v>
      </c>
      <c r="H31" s="43">
        <v>2</v>
      </c>
      <c r="I31" s="64">
        <f t="shared" si="1"/>
        <v>500</v>
      </c>
      <c r="J31" s="43">
        <v>2</v>
      </c>
      <c r="K31" s="63"/>
    </row>
    <row r="32" spans="1:11">
      <c r="A32" s="94" t="str">
        <f>'1. 소켓인수검사'!A33</f>
        <v>25</v>
      </c>
      <c r="B32" s="65" t="s">
        <v>60</v>
      </c>
      <c r="C32" s="43">
        <f>'1. 소켓인수검사'!C33</f>
        <v>1000</v>
      </c>
      <c r="D32" s="43">
        <f>'1. 소켓인수검사'!D33</f>
        <v>500</v>
      </c>
      <c r="E32" s="44"/>
      <c r="F32" s="43">
        <v>1</v>
      </c>
      <c r="G32" s="64">
        <f t="shared" si="0"/>
        <v>1060</v>
      </c>
      <c r="H32" s="43">
        <v>2</v>
      </c>
      <c r="I32" s="64">
        <f t="shared" si="1"/>
        <v>500</v>
      </c>
      <c r="J32" s="43">
        <v>2</v>
      </c>
      <c r="K32" s="63"/>
    </row>
    <row r="33" spans="1:11">
      <c r="A33" s="94" t="str">
        <f>'1. 소켓인수검사'!A34</f>
        <v>26</v>
      </c>
      <c r="B33" s="65" t="s">
        <v>60</v>
      </c>
      <c r="C33" s="43">
        <f>'1. 소켓인수검사'!C34</f>
        <v>1000</v>
      </c>
      <c r="D33" s="43">
        <f>'1. 소켓인수검사'!D34</f>
        <v>500</v>
      </c>
      <c r="E33" s="44"/>
      <c r="F33" s="43">
        <v>1</v>
      </c>
      <c r="G33" s="64">
        <f t="shared" si="0"/>
        <v>1060</v>
      </c>
      <c r="H33" s="43">
        <v>2</v>
      </c>
      <c r="I33" s="64">
        <f t="shared" si="1"/>
        <v>500</v>
      </c>
      <c r="J33" s="43">
        <v>2</v>
      </c>
      <c r="K33" s="63"/>
    </row>
    <row r="34" spans="1:11">
      <c r="A34" s="94" t="str">
        <f>'1. 소켓인수검사'!A35</f>
        <v>27</v>
      </c>
      <c r="B34" s="65" t="s">
        <v>60</v>
      </c>
      <c r="C34" s="43">
        <f>'1. 소켓인수검사'!C35</f>
        <v>1000</v>
      </c>
      <c r="D34" s="43">
        <f>'1. 소켓인수검사'!D35</f>
        <v>500</v>
      </c>
      <c r="E34" s="44"/>
      <c r="F34" s="43">
        <v>1</v>
      </c>
      <c r="G34" s="64">
        <f t="shared" si="0"/>
        <v>1060</v>
      </c>
      <c r="H34" s="43">
        <v>2</v>
      </c>
      <c r="I34" s="64">
        <f t="shared" si="1"/>
        <v>500</v>
      </c>
      <c r="J34" s="43">
        <v>2</v>
      </c>
      <c r="K34" s="63"/>
    </row>
    <row r="35" spans="1:11">
      <c r="A35" s="94" t="str">
        <f>'1. 소켓인수검사'!A36</f>
        <v>28</v>
      </c>
      <c r="B35" s="65" t="s">
        <v>60</v>
      </c>
      <c r="C35" s="43">
        <f>'1. 소켓인수검사'!C36</f>
        <v>1000</v>
      </c>
      <c r="D35" s="43">
        <f>'1. 소켓인수검사'!D36</f>
        <v>500</v>
      </c>
      <c r="E35" s="44"/>
      <c r="F35" s="43">
        <v>1</v>
      </c>
      <c r="G35" s="64">
        <f t="shared" si="0"/>
        <v>1060</v>
      </c>
      <c r="H35" s="43">
        <v>2</v>
      </c>
      <c r="I35" s="64">
        <f t="shared" si="1"/>
        <v>500</v>
      </c>
      <c r="J35" s="43">
        <v>2</v>
      </c>
      <c r="K35" s="63"/>
    </row>
    <row r="36" spans="1:11">
      <c r="A36" s="94" t="str">
        <f>'1. 소켓인수검사'!A37</f>
        <v>29</v>
      </c>
      <c r="B36" s="65" t="s">
        <v>60</v>
      </c>
      <c r="C36" s="43">
        <f>'1. 소켓인수검사'!C37</f>
        <v>1000</v>
      </c>
      <c r="D36" s="43">
        <f>'1. 소켓인수검사'!D37</f>
        <v>500</v>
      </c>
      <c r="E36" s="44"/>
      <c r="F36" s="43">
        <v>1</v>
      </c>
      <c r="G36" s="64">
        <f t="shared" si="0"/>
        <v>1060</v>
      </c>
      <c r="H36" s="43">
        <v>2</v>
      </c>
      <c r="I36" s="64">
        <f t="shared" si="1"/>
        <v>500</v>
      </c>
      <c r="J36" s="43">
        <v>2</v>
      </c>
      <c r="K36" s="63"/>
    </row>
    <row r="37" spans="1:11">
      <c r="A37" s="94" t="str">
        <f>'1. 소켓인수검사'!A38</f>
        <v>30</v>
      </c>
      <c r="B37" s="65" t="s">
        <v>60</v>
      </c>
      <c r="C37" s="43">
        <f>'1. 소켓인수검사'!C38</f>
        <v>1000</v>
      </c>
      <c r="D37" s="43">
        <f>'1. 소켓인수검사'!D38</f>
        <v>500</v>
      </c>
      <c r="E37" s="44"/>
      <c r="F37" s="43">
        <v>1</v>
      </c>
      <c r="G37" s="64">
        <f t="shared" si="0"/>
        <v>1060</v>
      </c>
      <c r="H37" s="43">
        <v>2</v>
      </c>
      <c r="I37" s="64">
        <f t="shared" si="1"/>
        <v>500</v>
      </c>
      <c r="J37" s="43">
        <v>2</v>
      </c>
      <c r="K37" s="63"/>
    </row>
    <row r="38" spans="1:11">
      <c r="A38" s="94" t="str">
        <f>'1. 소켓인수검사'!A39</f>
        <v>31</v>
      </c>
      <c r="B38" s="65" t="s">
        <v>60</v>
      </c>
      <c r="C38" s="43">
        <f>'1. 소켓인수검사'!C39</f>
        <v>1000</v>
      </c>
      <c r="D38" s="43">
        <f>'1. 소켓인수검사'!D39</f>
        <v>500</v>
      </c>
      <c r="E38" s="44"/>
      <c r="F38" s="43">
        <v>1</v>
      </c>
      <c r="G38" s="64">
        <f t="shared" si="0"/>
        <v>1060</v>
      </c>
      <c r="H38" s="43">
        <v>2</v>
      </c>
      <c r="I38" s="64">
        <f t="shared" si="1"/>
        <v>500</v>
      </c>
      <c r="J38" s="43">
        <v>2</v>
      </c>
      <c r="K38" s="63"/>
    </row>
    <row r="39" spans="1:11">
      <c r="A39" s="94" t="str">
        <f>'1. 소켓인수검사'!A40</f>
        <v>32</v>
      </c>
      <c r="B39" s="65" t="s">
        <v>60</v>
      </c>
      <c r="C39" s="43">
        <f>'1. 소켓인수검사'!C40</f>
        <v>1000</v>
      </c>
      <c r="D39" s="43">
        <f>'1. 소켓인수검사'!D40</f>
        <v>500</v>
      </c>
      <c r="E39" s="44"/>
      <c r="F39" s="43">
        <v>1</v>
      </c>
      <c r="G39" s="64">
        <f t="shared" si="0"/>
        <v>1060</v>
      </c>
      <c r="H39" s="43">
        <v>2</v>
      </c>
      <c r="I39" s="64">
        <f t="shared" si="1"/>
        <v>500</v>
      </c>
      <c r="J39" s="43">
        <v>2</v>
      </c>
      <c r="K39" s="63"/>
    </row>
    <row r="40" spans="1:11">
      <c r="A40" s="94" t="str">
        <f>'1. 소켓인수검사'!A41</f>
        <v>33</v>
      </c>
      <c r="B40" s="65" t="s">
        <v>60</v>
      </c>
      <c r="C40" s="43">
        <f>'1. 소켓인수검사'!C41</f>
        <v>1000</v>
      </c>
      <c r="D40" s="43">
        <f>'1. 소켓인수검사'!D41</f>
        <v>500</v>
      </c>
      <c r="E40" s="44"/>
      <c r="F40" s="43">
        <v>1</v>
      </c>
      <c r="G40" s="64">
        <f t="shared" si="0"/>
        <v>1060</v>
      </c>
      <c r="H40" s="43">
        <v>2</v>
      </c>
      <c r="I40" s="64">
        <f t="shared" si="1"/>
        <v>500</v>
      </c>
      <c r="J40" s="43">
        <v>2</v>
      </c>
      <c r="K40" s="63"/>
    </row>
    <row r="41" spans="1:11">
      <c r="A41" s="94" t="str">
        <f>'1. 소켓인수검사'!A42</f>
        <v>34</v>
      </c>
      <c r="B41" s="65" t="s">
        <v>60</v>
      </c>
      <c r="C41" s="43">
        <f>'1. 소켓인수검사'!C42</f>
        <v>1000</v>
      </c>
      <c r="D41" s="43">
        <f>'1. 소켓인수검사'!D42</f>
        <v>500</v>
      </c>
      <c r="E41" s="44"/>
      <c r="F41" s="43">
        <v>1</v>
      </c>
      <c r="G41" s="64">
        <f t="shared" si="0"/>
        <v>1060</v>
      </c>
      <c r="H41" s="43">
        <v>2</v>
      </c>
      <c r="I41" s="64">
        <f t="shared" si="1"/>
        <v>500</v>
      </c>
      <c r="J41" s="43">
        <v>2</v>
      </c>
      <c r="K41" s="63"/>
    </row>
    <row r="42" spans="1:11">
      <c r="A42" s="94" t="str">
        <f>'1. 소켓인수검사'!A43</f>
        <v>35</v>
      </c>
      <c r="B42" s="65" t="s">
        <v>60</v>
      </c>
      <c r="C42" s="43">
        <f>'1. 소켓인수검사'!C43</f>
        <v>1000</v>
      </c>
      <c r="D42" s="43">
        <f>'1. 소켓인수검사'!D43</f>
        <v>550</v>
      </c>
      <c r="E42" s="44"/>
      <c r="F42" s="43">
        <v>1</v>
      </c>
      <c r="G42" s="64">
        <f t="shared" si="0"/>
        <v>1060</v>
      </c>
      <c r="H42" s="43">
        <v>2</v>
      </c>
      <c r="I42" s="64">
        <f t="shared" si="1"/>
        <v>550</v>
      </c>
      <c r="J42" s="43">
        <v>2</v>
      </c>
      <c r="K42" s="63"/>
    </row>
    <row r="43" spans="1:11">
      <c r="A43" s="94" t="str">
        <f>'1. 소켓인수검사'!A44</f>
        <v>36</v>
      </c>
      <c r="B43" s="65" t="s">
        <v>60</v>
      </c>
      <c r="C43" s="43">
        <f>'1. 소켓인수검사'!C44</f>
        <v>1000</v>
      </c>
      <c r="D43" s="43">
        <f>'1. 소켓인수검사'!D44</f>
        <v>550</v>
      </c>
      <c r="E43" s="44"/>
      <c r="F43" s="43">
        <v>1</v>
      </c>
      <c r="G43" s="64">
        <f t="shared" si="0"/>
        <v>1060</v>
      </c>
      <c r="H43" s="43">
        <v>2</v>
      </c>
      <c r="I43" s="64">
        <f t="shared" si="1"/>
        <v>550</v>
      </c>
      <c r="J43" s="43">
        <v>2</v>
      </c>
      <c r="K43" s="63"/>
    </row>
    <row r="44" spans="1:11">
      <c r="A44" s="94" t="str">
        <f>'1. 소켓인수검사'!A45</f>
        <v>37</v>
      </c>
      <c r="B44" s="65" t="s">
        <v>60</v>
      </c>
      <c r="C44" s="43">
        <f>'1. 소켓인수검사'!C45</f>
        <v>1000</v>
      </c>
      <c r="D44" s="43">
        <f>'1. 소켓인수검사'!D45</f>
        <v>550</v>
      </c>
      <c r="E44" s="44"/>
      <c r="F44" s="43">
        <v>1</v>
      </c>
      <c r="G44" s="64">
        <f t="shared" si="0"/>
        <v>1060</v>
      </c>
      <c r="H44" s="43">
        <v>2</v>
      </c>
      <c r="I44" s="64">
        <f t="shared" si="1"/>
        <v>550</v>
      </c>
      <c r="J44" s="43">
        <v>2</v>
      </c>
      <c r="K44" s="63"/>
    </row>
    <row r="45" spans="1:11">
      <c r="A45" s="94" t="str">
        <f>'1. 소켓인수검사'!A46</f>
        <v>38</v>
      </c>
      <c r="B45" s="65" t="s">
        <v>60</v>
      </c>
      <c r="C45" s="43">
        <f>'1. 소켓인수검사'!C46</f>
        <v>1000</v>
      </c>
      <c r="D45" s="43">
        <f>'1. 소켓인수검사'!D46</f>
        <v>550</v>
      </c>
      <c r="E45" s="44"/>
      <c r="F45" s="43">
        <v>1</v>
      </c>
      <c r="G45" s="64">
        <f t="shared" si="0"/>
        <v>1060</v>
      </c>
      <c r="H45" s="43">
        <v>2</v>
      </c>
      <c r="I45" s="64">
        <f t="shared" si="1"/>
        <v>550</v>
      </c>
      <c r="J45" s="43">
        <v>2</v>
      </c>
      <c r="K45" s="63"/>
    </row>
    <row r="46" spans="1:11">
      <c r="A46" s="94" t="str">
        <f>'1. 소켓인수검사'!A47</f>
        <v>39</v>
      </c>
      <c r="B46" s="65" t="s">
        <v>60</v>
      </c>
      <c r="C46" s="43">
        <f>'1. 소켓인수검사'!C47</f>
        <v>1000</v>
      </c>
      <c r="D46" s="43">
        <f>'1. 소켓인수검사'!D47</f>
        <v>550</v>
      </c>
      <c r="E46" s="44"/>
      <c r="F46" s="43">
        <v>1</v>
      </c>
      <c r="G46" s="64">
        <f t="shared" si="0"/>
        <v>1060</v>
      </c>
      <c r="H46" s="43">
        <v>2</v>
      </c>
      <c r="I46" s="64">
        <f t="shared" si="1"/>
        <v>550</v>
      </c>
      <c r="J46" s="43">
        <v>2</v>
      </c>
      <c r="K46" s="63"/>
    </row>
    <row r="47" spans="1:11">
      <c r="A47" s="94" t="str">
        <f>'1. 소켓인수검사'!A48</f>
        <v>40</v>
      </c>
      <c r="B47" s="65" t="s">
        <v>60</v>
      </c>
      <c r="C47" s="43">
        <f>'1. 소켓인수검사'!C48</f>
        <v>1000</v>
      </c>
      <c r="D47" s="43">
        <f>'1. 소켓인수검사'!D48</f>
        <v>550</v>
      </c>
      <c r="E47" s="44"/>
      <c r="F47" s="43">
        <v>1</v>
      </c>
      <c r="G47" s="64">
        <f t="shared" ref="G47:G51" si="2">C47+60</f>
        <v>1060</v>
      </c>
      <c r="H47" s="43">
        <v>2</v>
      </c>
      <c r="I47" s="64">
        <f t="shared" si="1"/>
        <v>550</v>
      </c>
      <c r="J47" s="43">
        <v>2</v>
      </c>
      <c r="K47" s="63"/>
    </row>
    <row r="48" spans="1:11">
      <c r="A48" s="94" t="str">
        <f>'1. 소켓인수검사'!A49</f>
        <v>41</v>
      </c>
      <c r="B48" s="65" t="s">
        <v>60</v>
      </c>
      <c r="C48" s="43">
        <f>'1. 소켓인수검사'!C49</f>
        <v>1000</v>
      </c>
      <c r="D48" s="43">
        <f>'1. 소켓인수검사'!D49</f>
        <v>550</v>
      </c>
      <c r="E48" s="44"/>
      <c r="F48" s="43">
        <v>1</v>
      </c>
      <c r="G48" s="64">
        <f t="shared" si="2"/>
        <v>1060</v>
      </c>
      <c r="H48" s="43">
        <v>2</v>
      </c>
      <c r="I48" s="64">
        <f t="shared" si="1"/>
        <v>550</v>
      </c>
      <c r="J48" s="43">
        <v>2</v>
      </c>
      <c r="K48" s="63"/>
    </row>
    <row r="49" spans="1:11">
      <c r="A49" s="94" t="str">
        <f>'1. 소켓인수검사'!A50</f>
        <v>42</v>
      </c>
      <c r="B49" s="65" t="s">
        <v>60</v>
      </c>
      <c r="C49" s="43">
        <f>'1. 소켓인수검사'!C50</f>
        <v>1000</v>
      </c>
      <c r="D49" s="43">
        <f>'1. 소켓인수검사'!D50</f>
        <v>550</v>
      </c>
      <c r="E49" s="44"/>
      <c r="F49" s="43">
        <v>1</v>
      </c>
      <c r="G49" s="64">
        <f t="shared" si="2"/>
        <v>1060</v>
      </c>
      <c r="H49" s="43">
        <v>2</v>
      </c>
      <c r="I49" s="64">
        <f t="shared" si="1"/>
        <v>550</v>
      </c>
      <c r="J49" s="43">
        <v>2</v>
      </c>
      <c r="K49" s="63"/>
    </row>
    <row r="50" spans="1:11">
      <c r="A50" s="94" t="str">
        <f>'1. 소켓인수검사'!A51</f>
        <v>43</v>
      </c>
      <c r="B50" s="65" t="s">
        <v>60</v>
      </c>
      <c r="C50" s="43">
        <f>'1. 소켓인수검사'!C51</f>
        <v>1000</v>
      </c>
      <c r="D50" s="43">
        <f>'1. 소켓인수검사'!D51</f>
        <v>550</v>
      </c>
      <c r="E50" s="44"/>
      <c r="F50" s="43">
        <v>1</v>
      </c>
      <c r="G50" s="64">
        <f t="shared" si="2"/>
        <v>1060</v>
      </c>
      <c r="H50" s="43">
        <v>2</v>
      </c>
      <c r="I50" s="64">
        <f t="shared" si="1"/>
        <v>550</v>
      </c>
      <c r="J50" s="43">
        <v>2</v>
      </c>
      <c r="K50" s="63"/>
    </row>
    <row r="51" spans="1:11">
      <c r="A51" s="94" t="str">
        <f>'1. 소켓인수검사'!A52</f>
        <v>44</v>
      </c>
      <c r="B51" s="65" t="s">
        <v>60</v>
      </c>
      <c r="C51" s="43">
        <f>'1. 소켓인수검사'!C52</f>
        <v>1000</v>
      </c>
      <c r="D51" s="43">
        <f>'1. 소켓인수검사'!D52</f>
        <v>550</v>
      </c>
      <c r="E51" s="44"/>
      <c r="F51" s="43">
        <v>1</v>
      </c>
      <c r="G51" s="64">
        <f t="shared" si="2"/>
        <v>1060</v>
      </c>
      <c r="H51" s="43">
        <v>2</v>
      </c>
      <c r="I51" s="64">
        <f t="shared" si="1"/>
        <v>550</v>
      </c>
      <c r="J51" s="43">
        <v>2</v>
      </c>
      <c r="K51" s="63"/>
    </row>
    <row r="52" spans="1:11">
      <c r="A52" s="95" t="str">
        <f>'1. 소켓인수검사'!A53</f>
        <v>45</v>
      </c>
      <c r="B52" s="66" t="s">
        <v>59</v>
      </c>
      <c r="C52" s="43">
        <f>'1. 소켓인수검사'!C53</f>
        <v>900</v>
      </c>
      <c r="D52" s="43">
        <f>'1. 소켓인수검사'!D53</f>
        <v>800</v>
      </c>
      <c r="E52" s="55"/>
      <c r="F52" s="54">
        <v>1</v>
      </c>
      <c r="G52" s="96">
        <f t="shared" ref="G52:G115" si="3">C52+60</f>
        <v>960</v>
      </c>
      <c r="H52" s="54">
        <v>2</v>
      </c>
      <c r="I52" s="96">
        <f t="shared" ref="I52:I115" si="4">D52</f>
        <v>800</v>
      </c>
      <c r="J52" s="54">
        <v>2</v>
      </c>
      <c r="K52" s="97"/>
    </row>
    <row r="53" spans="1:11">
      <c r="A53" s="95" t="str">
        <f>'1. 소켓인수검사'!A54</f>
        <v>46</v>
      </c>
      <c r="B53" s="66" t="s">
        <v>59</v>
      </c>
      <c r="C53" s="43">
        <f>'1. 소켓인수검사'!C54</f>
        <v>900</v>
      </c>
      <c r="D53" s="43">
        <f>'1. 소켓인수검사'!D54</f>
        <v>800</v>
      </c>
      <c r="E53" s="55"/>
      <c r="F53" s="54">
        <v>1</v>
      </c>
      <c r="G53" s="96">
        <f t="shared" si="3"/>
        <v>960</v>
      </c>
      <c r="H53" s="54">
        <v>2</v>
      </c>
      <c r="I53" s="96">
        <f t="shared" si="4"/>
        <v>800</v>
      </c>
      <c r="J53" s="54">
        <v>2</v>
      </c>
      <c r="K53" s="97"/>
    </row>
    <row r="54" spans="1:11">
      <c r="A54" s="95" t="str">
        <f>'1. 소켓인수검사'!A55</f>
        <v>47</v>
      </c>
      <c r="B54" s="66" t="s">
        <v>59</v>
      </c>
      <c r="C54" s="43">
        <f>'1. 소켓인수검사'!C55</f>
        <v>900</v>
      </c>
      <c r="D54" s="43">
        <f>'1. 소켓인수검사'!D55</f>
        <v>800</v>
      </c>
      <c r="E54" s="55"/>
      <c r="F54" s="54">
        <v>1</v>
      </c>
      <c r="G54" s="96">
        <f t="shared" si="3"/>
        <v>960</v>
      </c>
      <c r="H54" s="54">
        <v>2</v>
      </c>
      <c r="I54" s="96">
        <f t="shared" si="4"/>
        <v>800</v>
      </c>
      <c r="J54" s="54">
        <v>2</v>
      </c>
      <c r="K54" s="97"/>
    </row>
    <row r="55" spans="1:11">
      <c r="A55" s="95" t="str">
        <f>'1. 소켓인수검사'!A56</f>
        <v>48</v>
      </c>
      <c r="B55" s="66" t="s">
        <v>59</v>
      </c>
      <c r="C55" s="43">
        <f>'1. 소켓인수검사'!C56</f>
        <v>900</v>
      </c>
      <c r="D55" s="43">
        <f>'1. 소켓인수검사'!D56</f>
        <v>800</v>
      </c>
      <c r="E55" s="55"/>
      <c r="F55" s="54">
        <v>1</v>
      </c>
      <c r="G55" s="96">
        <f t="shared" si="3"/>
        <v>960</v>
      </c>
      <c r="H55" s="54">
        <v>2</v>
      </c>
      <c r="I55" s="96">
        <f t="shared" si="4"/>
        <v>800</v>
      </c>
      <c r="J55" s="54">
        <v>2</v>
      </c>
      <c r="K55" s="97"/>
    </row>
    <row r="56" spans="1:11">
      <c r="A56" s="95" t="str">
        <f>'1. 소켓인수검사'!A57</f>
        <v>49</v>
      </c>
      <c r="B56" s="66" t="s">
        <v>59</v>
      </c>
      <c r="C56" s="43">
        <f>'1. 소켓인수검사'!C57</f>
        <v>900</v>
      </c>
      <c r="D56" s="43">
        <f>'1. 소켓인수검사'!D57</f>
        <v>800</v>
      </c>
      <c r="E56" s="55"/>
      <c r="F56" s="54">
        <v>1</v>
      </c>
      <c r="G56" s="96">
        <f t="shared" si="3"/>
        <v>960</v>
      </c>
      <c r="H56" s="54">
        <v>2</v>
      </c>
      <c r="I56" s="96">
        <f t="shared" si="4"/>
        <v>800</v>
      </c>
      <c r="J56" s="54">
        <v>2</v>
      </c>
      <c r="K56" s="97"/>
    </row>
    <row r="57" spans="1:11">
      <c r="A57" s="95" t="str">
        <f>'1. 소켓인수검사'!A58</f>
        <v>50</v>
      </c>
      <c r="B57" s="66" t="s">
        <v>59</v>
      </c>
      <c r="C57" s="43">
        <f>'1. 소켓인수검사'!C58</f>
        <v>900</v>
      </c>
      <c r="D57" s="43">
        <f>'1. 소켓인수검사'!D58</f>
        <v>800</v>
      </c>
      <c r="E57" s="55"/>
      <c r="F57" s="54">
        <v>1</v>
      </c>
      <c r="G57" s="96">
        <f t="shared" si="3"/>
        <v>960</v>
      </c>
      <c r="H57" s="54">
        <v>2</v>
      </c>
      <c r="I57" s="96">
        <f t="shared" si="4"/>
        <v>800</v>
      </c>
      <c r="J57" s="54">
        <v>2</v>
      </c>
      <c r="K57" s="97"/>
    </row>
    <row r="58" spans="1:11">
      <c r="A58" s="95" t="str">
        <f>'1. 소켓인수검사'!A59</f>
        <v>51</v>
      </c>
      <c r="B58" s="66" t="s">
        <v>59</v>
      </c>
      <c r="C58" s="43">
        <f>'1. 소켓인수검사'!C59</f>
        <v>900</v>
      </c>
      <c r="D58" s="43">
        <f>'1. 소켓인수검사'!D59</f>
        <v>800</v>
      </c>
      <c r="E58" s="55"/>
      <c r="F58" s="54">
        <v>1</v>
      </c>
      <c r="G58" s="96">
        <f t="shared" si="3"/>
        <v>960</v>
      </c>
      <c r="H58" s="54">
        <v>2</v>
      </c>
      <c r="I58" s="96">
        <f t="shared" si="4"/>
        <v>800</v>
      </c>
      <c r="J58" s="54">
        <v>2</v>
      </c>
      <c r="K58" s="97"/>
    </row>
    <row r="59" spans="1:11">
      <c r="A59" s="95" t="str">
        <f>'1. 소켓인수검사'!A60</f>
        <v>52</v>
      </c>
      <c r="B59" s="66" t="s">
        <v>59</v>
      </c>
      <c r="C59" s="43">
        <f>'1. 소켓인수검사'!C60</f>
        <v>900</v>
      </c>
      <c r="D59" s="43">
        <f>'1. 소켓인수검사'!D60</f>
        <v>800</v>
      </c>
      <c r="E59" s="55"/>
      <c r="F59" s="54">
        <v>1</v>
      </c>
      <c r="G59" s="96">
        <f t="shared" si="3"/>
        <v>960</v>
      </c>
      <c r="H59" s="54">
        <v>2</v>
      </c>
      <c r="I59" s="96">
        <f t="shared" si="4"/>
        <v>800</v>
      </c>
      <c r="J59" s="54">
        <v>2</v>
      </c>
      <c r="K59" s="97"/>
    </row>
    <row r="60" spans="1:11">
      <c r="A60" s="95" t="str">
        <f>'1. 소켓인수검사'!A61</f>
        <v>53</v>
      </c>
      <c r="B60" s="66" t="s">
        <v>59</v>
      </c>
      <c r="C60" s="43">
        <f>'1. 소켓인수검사'!C61</f>
        <v>950</v>
      </c>
      <c r="D60" s="43">
        <f>'1. 소켓인수검사'!D61</f>
        <v>750</v>
      </c>
      <c r="E60" s="55"/>
      <c r="F60" s="54">
        <v>1</v>
      </c>
      <c r="G60" s="96">
        <f t="shared" si="3"/>
        <v>1010</v>
      </c>
      <c r="H60" s="54">
        <v>2</v>
      </c>
      <c r="I60" s="96">
        <f t="shared" si="4"/>
        <v>750</v>
      </c>
      <c r="J60" s="54">
        <v>2</v>
      </c>
      <c r="K60" s="97"/>
    </row>
    <row r="61" spans="1:11">
      <c r="A61" s="95" t="str">
        <f>'1. 소켓인수검사'!A62</f>
        <v>54</v>
      </c>
      <c r="B61" s="66" t="s">
        <v>59</v>
      </c>
      <c r="C61" s="43">
        <f>'1. 소켓인수검사'!C62</f>
        <v>950</v>
      </c>
      <c r="D61" s="43">
        <f>'1. 소켓인수검사'!D62</f>
        <v>750</v>
      </c>
      <c r="E61" s="55"/>
      <c r="F61" s="54">
        <v>1</v>
      </c>
      <c r="G61" s="96">
        <f t="shared" si="3"/>
        <v>1010</v>
      </c>
      <c r="H61" s="54">
        <v>2</v>
      </c>
      <c r="I61" s="96">
        <f t="shared" si="4"/>
        <v>750</v>
      </c>
      <c r="J61" s="54">
        <v>2</v>
      </c>
      <c r="K61" s="97"/>
    </row>
    <row r="62" spans="1:11">
      <c r="A62" s="95" t="str">
        <f>'1. 소켓인수검사'!A63</f>
        <v>55</v>
      </c>
      <c r="B62" s="66" t="s">
        <v>59</v>
      </c>
      <c r="C62" s="43">
        <f>'1. 소켓인수검사'!C63</f>
        <v>950</v>
      </c>
      <c r="D62" s="43">
        <f>'1. 소켓인수검사'!D63</f>
        <v>750</v>
      </c>
      <c r="E62" s="55"/>
      <c r="F62" s="54">
        <v>1</v>
      </c>
      <c r="G62" s="96">
        <f t="shared" si="3"/>
        <v>1010</v>
      </c>
      <c r="H62" s="54">
        <v>2</v>
      </c>
      <c r="I62" s="96">
        <f t="shared" si="4"/>
        <v>750</v>
      </c>
      <c r="J62" s="54">
        <v>2</v>
      </c>
      <c r="K62" s="97"/>
    </row>
    <row r="63" spans="1:11">
      <c r="A63" s="95" t="str">
        <f>'1. 소켓인수검사'!A64</f>
        <v>56</v>
      </c>
      <c r="B63" s="66" t="s">
        <v>59</v>
      </c>
      <c r="C63" s="43">
        <f>'1. 소켓인수검사'!C64</f>
        <v>950</v>
      </c>
      <c r="D63" s="43">
        <f>'1. 소켓인수검사'!D64</f>
        <v>750</v>
      </c>
      <c r="E63" s="55"/>
      <c r="F63" s="54">
        <v>1</v>
      </c>
      <c r="G63" s="96">
        <f t="shared" si="3"/>
        <v>1010</v>
      </c>
      <c r="H63" s="54">
        <v>2</v>
      </c>
      <c r="I63" s="96">
        <f t="shared" si="4"/>
        <v>750</v>
      </c>
      <c r="J63" s="54">
        <v>2</v>
      </c>
      <c r="K63" s="97"/>
    </row>
    <row r="64" spans="1:11">
      <c r="A64" s="95" t="str">
        <f>'1. 소켓인수검사'!A65</f>
        <v>57</v>
      </c>
      <c r="B64" s="66" t="s">
        <v>59</v>
      </c>
      <c r="C64" s="43">
        <f>'1. 소켓인수검사'!C65</f>
        <v>950</v>
      </c>
      <c r="D64" s="43">
        <f>'1. 소켓인수검사'!D65</f>
        <v>750</v>
      </c>
      <c r="E64" s="55"/>
      <c r="F64" s="54">
        <v>1</v>
      </c>
      <c r="G64" s="96">
        <f t="shared" si="3"/>
        <v>1010</v>
      </c>
      <c r="H64" s="54">
        <v>2</v>
      </c>
      <c r="I64" s="96">
        <f t="shared" si="4"/>
        <v>750</v>
      </c>
      <c r="J64" s="54">
        <v>2</v>
      </c>
      <c r="K64" s="97"/>
    </row>
    <row r="65" spans="1:11">
      <c r="A65" s="95" t="str">
        <f>'1. 소켓인수검사'!A66</f>
        <v>58</v>
      </c>
      <c r="B65" s="66" t="s">
        <v>59</v>
      </c>
      <c r="C65" s="43">
        <f>'1. 소켓인수검사'!C66</f>
        <v>1000</v>
      </c>
      <c r="D65" s="43">
        <f>'1. 소켓인수검사'!D66</f>
        <v>650</v>
      </c>
      <c r="E65" s="55"/>
      <c r="F65" s="54">
        <v>1</v>
      </c>
      <c r="G65" s="96">
        <f t="shared" si="3"/>
        <v>1060</v>
      </c>
      <c r="H65" s="54">
        <v>2</v>
      </c>
      <c r="I65" s="96">
        <f t="shared" si="4"/>
        <v>650</v>
      </c>
      <c r="J65" s="54">
        <v>2</v>
      </c>
      <c r="K65" s="97"/>
    </row>
    <row r="66" spans="1:11">
      <c r="A66" s="95" t="str">
        <f>'1. 소켓인수검사'!A67</f>
        <v>59</v>
      </c>
      <c r="B66" s="66" t="s">
        <v>59</v>
      </c>
      <c r="C66" s="43">
        <f>'1. 소켓인수검사'!C67</f>
        <v>1000</v>
      </c>
      <c r="D66" s="43">
        <f>'1. 소켓인수검사'!D67</f>
        <v>650</v>
      </c>
      <c r="E66" s="55"/>
      <c r="F66" s="54">
        <v>1</v>
      </c>
      <c r="G66" s="96">
        <f t="shared" si="3"/>
        <v>1060</v>
      </c>
      <c r="H66" s="54">
        <v>2</v>
      </c>
      <c r="I66" s="96">
        <f t="shared" si="4"/>
        <v>650</v>
      </c>
      <c r="J66" s="54">
        <v>2</v>
      </c>
      <c r="K66" s="97"/>
    </row>
    <row r="67" spans="1:11">
      <c r="A67" s="95" t="str">
        <f>'1. 소켓인수검사'!A68</f>
        <v>60</v>
      </c>
      <c r="B67" s="66" t="s">
        <v>59</v>
      </c>
      <c r="C67" s="43">
        <f>'1. 소켓인수검사'!C68</f>
        <v>1000</v>
      </c>
      <c r="D67" s="43">
        <f>'1. 소켓인수검사'!D68</f>
        <v>650</v>
      </c>
      <c r="E67" s="55"/>
      <c r="F67" s="54">
        <v>1</v>
      </c>
      <c r="G67" s="96">
        <f t="shared" si="3"/>
        <v>1060</v>
      </c>
      <c r="H67" s="54">
        <v>2</v>
      </c>
      <c r="I67" s="96">
        <f t="shared" si="4"/>
        <v>650</v>
      </c>
      <c r="J67" s="54">
        <v>2</v>
      </c>
      <c r="K67" s="97"/>
    </row>
    <row r="68" spans="1:11">
      <c r="A68" s="95" t="str">
        <f>'1. 소켓인수검사'!A69</f>
        <v>61</v>
      </c>
      <c r="B68" s="66" t="s">
        <v>59</v>
      </c>
      <c r="C68" s="43">
        <f>'1. 소켓인수검사'!C69</f>
        <v>1000</v>
      </c>
      <c r="D68" s="43">
        <f>'1. 소켓인수검사'!D69</f>
        <v>650</v>
      </c>
      <c r="E68" s="55"/>
      <c r="F68" s="54">
        <v>1</v>
      </c>
      <c r="G68" s="96">
        <f t="shared" si="3"/>
        <v>1060</v>
      </c>
      <c r="H68" s="54">
        <v>2</v>
      </c>
      <c r="I68" s="96">
        <f t="shared" si="4"/>
        <v>650</v>
      </c>
      <c r="J68" s="54">
        <v>2</v>
      </c>
      <c r="K68" s="97"/>
    </row>
    <row r="69" spans="1:11">
      <c r="A69" s="95" t="str">
        <f>'1. 소켓인수검사'!A70</f>
        <v>62</v>
      </c>
      <c r="B69" s="66" t="s">
        <v>59</v>
      </c>
      <c r="C69" s="43">
        <f>'1. 소켓인수검사'!C70</f>
        <v>1000</v>
      </c>
      <c r="D69" s="43">
        <f>'1. 소켓인수검사'!D70</f>
        <v>650</v>
      </c>
      <c r="E69" s="55"/>
      <c r="F69" s="54">
        <v>1</v>
      </c>
      <c r="G69" s="96">
        <f t="shared" si="3"/>
        <v>1060</v>
      </c>
      <c r="H69" s="54">
        <v>2</v>
      </c>
      <c r="I69" s="96">
        <f t="shared" si="4"/>
        <v>650</v>
      </c>
      <c r="J69" s="54">
        <v>2</v>
      </c>
      <c r="K69" s="97"/>
    </row>
    <row r="70" spans="1:11">
      <c r="A70" s="95" t="str">
        <f>'1. 소켓인수검사'!A71</f>
        <v>63</v>
      </c>
      <c r="B70" s="66" t="s">
        <v>59</v>
      </c>
      <c r="C70" s="43">
        <f>'1. 소켓인수검사'!C71</f>
        <v>1000</v>
      </c>
      <c r="D70" s="43">
        <f>'1. 소켓인수검사'!D71</f>
        <v>650</v>
      </c>
      <c r="E70" s="55"/>
      <c r="F70" s="54">
        <v>1</v>
      </c>
      <c r="G70" s="96">
        <f t="shared" si="3"/>
        <v>1060</v>
      </c>
      <c r="H70" s="54">
        <v>2</v>
      </c>
      <c r="I70" s="96">
        <f t="shared" si="4"/>
        <v>650</v>
      </c>
      <c r="J70" s="54">
        <v>2</v>
      </c>
      <c r="K70" s="97"/>
    </row>
    <row r="71" spans="1:11">
      <c r="A71" s="95" t="str">
        <f>'1. 소켓인수검사'!A72</f>
        <v>64</v>
      </c>
      <c r="B71" s="66" t="s">
        <v>59</v>
      </c>
      <c r="C71" s="43">
        <f>'1. 소켓인수검사'!C72</f>
        <v>1000</v>
      </c>
      <c r="D71" s="43">
        <f>'1. 소켓인수검사'!D72</f>
        <v>650</v>
      </c>
      <c r="E71" s="55"/>
      <c r="F71" s="54">
        <v>1</v>
      </c>
      <c r="G71" s="96">
        <f t="shared" si="3"/>
        <v>1060</v>
      </c>
      <c r="H71" s="54">
        <v>2</v>
      </c>
      <c r="I71" s="96">
        <f t="shared" si="4"/>
        <v>650</v>
      </c>
      <c r="J71" s="54">
        <v>2</v>
      </c>
      <c r="K71" s="97"/>
    </row>
    <row r="72" spans="1:11">
      <c r="A72" s="95" t="str">
        <f>'1. 소켓인수검사'!A73</f>
        <v>65</v>
      </c>
      <c r="B72" s="66" t="s">
        <v>59</v>
      </c>
      <c r="C72" s="43">
        <f>'1. 소켓인수검사'!C73</f>
        <v>1000</v>
      </c>
      <c r="D72" s="43">
        <f>'1. 소켓인수검사'!D73</f>
        <v>650</v>
      </c>
      <c r="E72" s="55"/>
      <c r="F72" s="54">
        <v>1</v>
      </c>
      <c r="G72" s="96">
        <f t="shared" si="3"/>
        <v>1060</v>
      </c>
      <c r="H72" s="54">
        <v>2</v>
      </c>
      <c r="I72" s="96">
        <f t="shared" si="4"/>
        <v>650</v>
      </c>
      <c r="J72" s="54">
        <v>2</v>
      </c>
      <c r="K72" s="97"/>
    </row>
    <row r="73" spans="1:11">
      <c r="A73" s="95" t="str">
        <f>'1. 소켓인수검사'!A74</f>
        <v>66</v>
      </c>
      <c r="B73" s="66" t="s">
        <v>59</v>
      </c>
      <c r="C73" s="43">
        <f>'1. 소켓인수검사'!C74</f>
        <v>1000</v>
      </c>
      <c r="D73" s="43">
        <f>'1. 소켓인수검사'!D74</f>
        <v>650</v>
      </c>
      <c r="E73" s="55"/>
      <c r="F73" s="54">
        <v>1</v>
      </c>
      <c r="G73" s="96">
        <f t="shared" si="3"/>
        <v>1060</v>
      </c>
      <c r="H73" s="54">
        <v>2</v>
      </c>
      <c r="I73" s="96">
        <f t="shared" si="4"/>
        <v>650</v>
      </c>
      <c r="J73" s="54">
        <v>2</v>
      </c>
      <c r="K73" s="97"/>
    </row>
    <row r="74" spans="1:11">
      <c r="A74" s="95" t="str">
        <f>'1. 소켓인수검사'!A75</f>
        <v>67</v>
      </c>
      <c r="B74" s="66" t="s">
        <v>59</v>
      </c>
      <c r="C74" s="43">
        <f>'1. 소켓인수검사'!C75</f>
        <v>1000</v>
      </c>
      <c r="D74" s="43">
        <f>'1. 소켓인수검사'!D75</f>
        <v>650</v>
      </c>
      <c r="E74" s="55"/>
      <c r="F74" s="54">
        <v>1</v>
      </c>
      <c r="G74" s="96">
        <f t="shared" si="3"/>
        <v>1060</v>
      </c>
      <c r="H74" s="54">
        <v>2</v>
      </c>
      <c r="I74" s="96">
        <f t="shared" si="4"/>
        <v>650</v>
      </c>
      <c r="J74" s="54">
        <v>2</v>
      </c>
      <c r="K74" s="97"/>
    </row>
    <row r="75" spans="1:11">
      <c r="A75" s="95" t="str">
        <f>'1. 소켓인수검사'!A76</f>
        <v>68</v>
      </c>
      <c r="B75" s="66" t="s">
        <v>59</v>
      </c>
      <c r="C75" s="43">
        <f>'1. 소켓인수검사'!C76</f>
        <v>1000</v>
      </c>
      <c r="D75" s="43">
        <f>'1. 소켓인수검사'!D76</f>
        <v>650</v>
      </c>
      <c r="E75" s="55"/>
      <c r="F75" s="54">
        <v>1</v>
      </c>
      <c r="G75" s="96">
        <f t="shared" si="3"/>
        <v>1060</v>
      </c>
      <c r="H75" s="54">
        <v>2</v>
      </c>
      <c r="I75" s="96">
        <f t="shared" si="4"/>
        <v>650</v>
      </c>
      <c r="J75" s="54">
        <v>2</v>
      </c>
      <c r="K75" s="97"/>
    </row>
    <row r="76" spans="1:11">
      <c r="A76" s="95" t="str">
        <f>'1. 소켓인수검사'!A77</f>
        <v>69</v>
      </c>
      <c r="B76" s="66" t="s">
        <v>59</v>
      </c>
      <c r="C76" s="43">
        <f>'1. 소켓인수검사'!C77</f>
        <v>1000</v>
      </c>
      <c r="D76" s="43">
        <f>'1. 소켓인수검사'!D77</f>
        <v>650</v>
      </c>
      <c r="E76" s="55"/>
      <c r="F76" s="54">
        <v>1</v>
      </c>
      <c r="G76" s="96">
        <f t="shared" si="3"/>
        <v>1060</v>
      </c>
      <c r="H76" s="54">
        <v>2</v>
      </c>
      <c r="I76" s="96">
        <f t="shared" si="4"/>
        <v>650</v>
      </c>
      <c r="J76" s="54">
        <v>2</v>
      </c>
      <c r="K76" s="97"/>
    </row>
    <row r="77" spans="1:11">
      <c r="A77" s="95" t="str">
        <f>'1. 소켓인수검사'!A78</f>
        <v>70</v>
      </c>
      <c r="B77" s="66" t="s">
        <v>59</v>
      </c>
      <c r="C77" s="43">
        <f>'1. 소켓인수검사'!C78</f>
        <v>1000</v>
      </c>
      <c r="D77" s="43">
        <f>'1. 소켓인수검사'!D78</f>
        <v>750</v>
      </c>
      <c r="E77" s="55"/>
      <c r="F77" s="54">
        <v>1</v>
      </c>
      <c r="G77" s="96">
        <f t="shared" si="3"/>
        <v>1060</v>
      </c>
      <c r="H77" s="54">
        <v>2</v>
      </c>
      <c r="I77" s="96">
        <f t="shared" si="4"/>
        <v>750</v>
      </c>
      <c r="J77" s="54">
        <v>2</v>
      </c>
      <c r="K77" s="97"/>
    </row>
    <row r="78" spans="1:11">
      <c r="A78" s="95" t="str">
        <f>'1. 소켓인수검사'!A79</f>
        <v>71</v>
      </c>
      <c r="B78" s="66" t="s">
        <v>59</v>
      </c>
      <c r="C78" s="43">
        <f>'1. 소켓인수검사'!C79</f>
        <v>1000</v>
      </c>
      <c r="D78" s="43">
        <f>'1. 소켓인수검사'!D79</f>
        <v>750</v>
      </c>
      <c r="E78" s="55"/>
      <c r="F78" s="54">
        <v>1</v>
      </c>
      <c r="G78" s="96">
        <f t="shared" si="3"/>
        <v>1060</v>
      </c>
      <c r="H78" s="54">
        <v>2</v>
      </c>
      <c r="I78" s="96">
        <f t="shared" si="4"/>
        <v>750</v>
      </c>
      <c r="J78" s="54">
        <v>2</v>
      </c>
      <c r="K78" s="97"/>
    </row>
    <row r="79" spans="1:11">
      <c r="A79" s="95" t="str">
        <f>'1. 소켓인수검사'!A80</f>
        <v>72</v>
      </c>
      <c r="B79" s="66" t="s">
        <v>59</v>
      </c>
      <c r="C79" s="43">
        <f>'1. 소켓인수검사'!C80</f>
        <v>1000</v>
      </c>
      <c r="D79" s="43">
        <f>'1. 소켓인수검사'!D80</f>
        <v>750</v>
      </c>
      <c r="E79" s="55"/>
      <c r="F79" s="54">
        <v>1</v>
      </c>
      <c r="G79" s="96">
        <f t="shared" si="3"/>
        <v>1060</v>
      </c>
      <c r="H79" s="54">
        <v>2</v>
      </c>
      <c r="I79" s="96">
        <f t="shared" si="4"/>
        <v>750</v>
      </c>
      <c r="J79" s="54">
        <v>2</v>
      </c>
      <c r="K79" s="97"/>
    </row>
    <row r="80" spans="1:11">
      <c r="A80" s="95" t="str">
        <f>'1. 소켓인수검사'!A81</f>
        <v>73</v>
      </c>
      <c r="B80" s="66" t="s">
        <v>59</v>
      </c>
      <c r="C80" s="43">
        <f>'1. 소켓인수검사'!C81</f>
        <v>1000</v>
      </c>
      <c r="D80" s="43">
        <f>'1. 소켓인수검사'!D81</f>
        <v>750</v>
      </c>
      <c r="E80" s="55"/>
      <c r="F80" s="54">
        <v>1</v>
      </c>
      <c r="G80" s="96">
        <f t="shared" si="3"/>
        <v>1060</v>
      </c>
      <c r="H80" s="54">
        <v>2</v>
      </c>
      <c r="I80" s="96">
        <f t="shared" si="4"/>
        <v>750</v>
      </c>
      <c r="J80" s="54">
        <v>2</v>
      </c>
      <c r="K80" s="97"/>
    </row>
    <row r="81" spans="1:11">
      <c r="A81" s="95" t="str">
        <f>'1. 소켓인수검사'!A82</f>
        <v>74</v>
      </c>
      <c r="B81" s="66" t="s">
        <v>59</v>
      </c>
      <c r="C81" s="43">
        <f>'1. 소켓인수검사'!C82</f>
        <v>1000</v>
      </c>
      <c r="D81" s="43">
        <f>'1. 소켓인수검사'!D82</f>
        <v>750</v>
      </c>
      <c r="E81" s="55"/>
      <c r="F81" s="54">
        <v>1</v>
      </c>
      <c r="G81" s="96">
        <f t="shared" si="3"/>
        <v>1060</v>
      </c>
      <c r="H81" s="54">
        <v>2</v>
      </c>
      <c r="I81" s="96">
        <f t="shared" si="4"/>
        <v>750</v>
      </c>
      <c r="J81" s="54">
        <v>2</v>
      </c>
      <c r="K81" s="97"/>
    </row>
    <row r="82" spans="1:11">
      <c r="A82" s="95" t="str">
        <f>'1. 소켓인수검사'!A83</f>
        <v>75</v>
      </c>
      <c r="B82" s="66" t="s">
        <v>59</v>
      </c>
      <c r="C82" s="43">
        <f>'1. 소켓인수검사'!C83</f>
        <v>1000</v>
      </c>
      <c r="D82" s="43">
        <f>'1. 소켓인수검사'!D83</f>
        <v>750</v>
      </c>
      <c r="E82" s="55"/>
      <c r="F82" s="54">
        <v>1</v>
      </c>
      <c r="G82" s="96">
        <f t="shared" si="3"/>
        <v>1060</v>
      </c>
      <c r="H82" s="54">
        <v>2</v>
      </c>
      <c r="I82" s="96">
        <f t="shared" si="4"/>
        <v>750</v>
      </c>
      <c r="J82" s="54">
        <v>2</v>
      </c>
      <c r="K82" s="97"/>
    </row>
    <row r="83" spans="1:11">
      <c r="A83" s="95" t="str">
        <f>'1. 소켓인수검사'!A84</f>
        <v>76</v>
      </c>
      <c r="B83" s="66" t="s">
        <v>59</v>
      </c>
      <c r="C83" s="43">
        <f>'1. 소켓인수검사'!C84</f>
        <v>1000</v>
      </c>
      <c r="D83" s="43">
        <f>'1. 소켓인수검사'!D84</f>
        <v>800</v>
      </c>
      <c r="E83" s="55"/>
      <c r="F83" s="54">
        <v>1</v>
      </c>
      <c r="G83" s="96">
        <f t="shared" si="3"/>
        <v>1060</v>
      </c>
      <c r="H83" s="54">
        <v>2</v>
      </c>
      <c r="I83" s="96">
        <f t="shared" si="4"/>
        <v>800</v>
      </c>
      <c r="J83" s="54">
        <v>2</v>
      </c>
      <c r="K83" s="97"/>
    </row>
    <row r="84" spans="1:11">
      <c r="A84" s="95" t="str">
        <f>'1. 소켓인수검사'!A85</f>
        <v>77</v>
      </c>
      <c r="B84" s="66" t="s">
        <v>59</v>
      </c>
      <c r="C84" s="43">
        <f>'1. 소켓인수검사'!C85</f>
        <v>1000</v>
      </c>
      <c r="D84" s="43">
        <f>'1. 소켓인수검사'!D85</f>
        <v>800</v>
      </c>
      <c r="E84" s="55"/>
      <c r="F84" s="54">
        <v>1</v>
      </c>
      <c r="G84" s="96">
        <f t="shared" si="3"/>
        <v>1060</v>
      </c>
      <c r="H84" s="54">
        <v>2</v>
      </c>
      <c r="I84" s="96">
        <f t="shared" si="4"/>
        <v>800</v>
      </c>
      <c r="J84" s="54">
        <v>2</v>
      </c>
      <c r="K84" s="97"/>
    </row>
    <row r="85" spans="1:11">
      <c r="A85" s="95" t="str">
        <f>'1. 소켓인수검사'!A86</f>
        <v>78</v>
      </c>
      <c r="B85" s="66" t="s">
        <v>59</v>
      </c>
      <c r="C85" s="43">
        <f>'1. 소켓인수검사'!C86</f>
        <v>1000</v>
      </c>
      <c r="D85" s="43">
        <f>'1. 소켓인수검사'!D86</f>
        <v>800</v>
      </c>
      <c r="E85" s="55"/>
      <c r="F85" s="54">
        <v>1</v>
      </c>
      <c r="G85" s="96">
        <f t="shared" si="3"/>
        <v>1060</v>
      </c>
      <c r="H85" s="54">
        <v>2</v>
      </c>
      <c r="I85" s="96">
        <f t="shared" si="4"/>
        <v>800</v>
      </c>
      <c r="J85" s="54">
        <v>2</v>
      </c>
      <c r="K85" s="97"/>
    </row>
    <row r="86" spans="1:11">
      <c r="A86" s="95" t="str">
        <f>'1. 소켓인수검사'!A87</f>
        <v>79</v>
      </c>
      <c r="B86" s="66" t="s">
        <v>59</v>
      </c>
      <c r="C86" s="43">
        <f>'1. 소켓인수검사'!C87</f>
        <v>1000</v>
      </c>
      <c r="D86" s="43">
        <f>'1. 소켓인수검사'!D87</f>
        <v>800</v>
      </c>
      <c r="E86" s="55"/>
      <c r="F86" s="54">
        <v>1</v>
      </c>
      <c r="G86" s="96">
        <f t="shared" si="3"/>
        <v>1060</v>
      </c>
      <c r="H86" s="54">
        <v>2</v>
      </c>
      <c r="I86" s="96">
        <f t="shared" si="4"/>
        <v>800</v>
      </c>
      <c r="J86" s="54">
        <v>2</v>
      </c>
      <c r="K86" s="97"/>
    </row>
    <row r="87" spans="1:11">
      <c r="A87" s="95" t="str">
        <f>'1. 소켓인수검사'!A88</f>
        <v>80</v>
      </c>
      <c r="B87" s="66" t="s">
        <v>59</v>
      </c>
      <c r="C87" s="43">
        <f>'1. 소켓인수검사'!C88</f>
        <v>1000</v>
      </c>
      <c r="D87" s="43">
        <f>'1. 소켓인수검사'!D88</f>
        <v>800</v>
      </c>
      <c r="E87" s="55"/>
      <c r="F87" s="54">
        <v>1</v>
      </c>
      <c r="G87" s="96">
        <f t="shared" si="3"/>
        <v>1060</v>
      </c>
      <c r="H87" s="54">
        <v>2</v>
      </c>
      <c r="I87" s="96">
        <f t="shared" si="4"/>
        <v>800</v>
      </c>
      <c r="J87" s="54">
        <v>2</v>
      </c>
      <c r="K87" s="97"/>
    </row>
    <row r="88" spans="1:11">
      <c r="A88" s="95" t="str">
        <f>'1. 소켓인수검사'!A89</f>
        <v>81</v>
      </c>
      <c r="B88" s="66" t="s">
        <v>59</v>
      </c>
      <c r="C88" s="43">
        <f>'1. 소켓인수검사'!C89</f>
        <v>1000</v>
      </c>
      <c r="D88" s="43">
        <f>'1. 소켓인수검사'!D89</f>
        <v>800</v>
      </c>
      <c r="E88" s="55"/>
      <c r="F88" s="54">
        <v>1</v>
      </c>
      <c r="G88" s="96">
        <f t="shared" si="3"/>
        <v>1060</v>
      </c>
      <c r="H88" s="54">
        <v>2</v>
      </c>
      <c r="I88" s="96">
        <f t="shared" si="4"/>
        <v>800</v>
      </c>
      <c r="J88" s="54">
        <v>2</v>
      </c>
      <c r="K88" s="97"/>
    </row>
    <row r="89" spans="1:11">
      <c r="A89" s="95" t="str">
        <f>'1. 소켓인수검사'!A90</f>
        <v>82</v>
      </c>
      <c r="B89" s="66" t="s">
        <v>59</v>
      </c>
      <c r="C89" s="43">
        <f>'1. 소켓인수검사'!C90</f>
        <v>1000</v>
      </c>
      <c r="D89" s="43">
        <f>'1. 소켓인수검사'!D90</f>
        <v>800</v>
      </c>
      <c r="E89" s="55"/>
      <c r="F89" s="54">
        <v>1</v>
      </c>
      <c r="G89" s="96">
        <f t="shared" si="3"/>
        <v>1060</v>
      </c>
      <c r="H89" s="54">
        <v>2</v>
      </c>
      <c r="I89" s="96">
        <f t="shared" si="4"/>
        <v>800</v>
      </c>
      <c r="J89" s="54">
        <v>2</v>
      </c>
      <c r="K89" s="97"/>
    </row>
    <row r="90" spans="1:11">
      <c r="A90" s="95" t="str">
        <f>'1. 소켓인수검사'!A91</f>
        <v>83</v>
      </c>
      <c r="B90" s="66" t="s">
        <v>59</v>
      </c>
      <c r="C90" s="43">
        <f>'1. 소켓인수검사'!C91</f>
        <v>1000</v>
      </c>
      <c r="D90" s="43">
        <f>'1. 소켓인수검사'!D91</f>
        <v>800</v>
      </c>
      <c r="E90" s="55"/>
      <c r="F90" s="54">
        <v>1</v>
      </c>
      <c r="G90" s="96">
        <f t="shared" si="3"/>
        <v>1060</v>
      </c>
      <c r="H90" s="54">
        <v>2</v>
      </c>
      <c r="I90" s="96">
        <f t="shared" si="4"/>
        <v>800</v>
      </c>
      <c r="J90" s="54">
        <v>2</v>
      </c>
      <c r="K90" s="97"/>
    </row>
    <row r="91" spans="1:11">
      <c r="A91" s="95" t="str">
        <f>'1. 소켓인수검사'!A92</f>
        <v>84</v>
      </c>
      <c r="B91" s="66" t="s">
        <v>59</v>
      </c>
      <c r="C91" s="43">
        <f>'1. 소켓인수검사'!C92</f>
        <v>1000</v>
      </c>
      <c r="D91" s="43">
        <f>'1. 소켓인수검사'!D92</f>
        <v>800</v>
      </c>
      <c r="E91" s="55"/>
      <c r="F91" s="54">
        <v>1</v>
      </c>
      <c r="G91" s="96">
        <f t="shared" si="3"/>
        <v>1060</v>
      </c>
      <c r="H91" s="54">
        <v>2</v>
      </c>
      <c r="I91" s="96">
        <f t="shared" si="4"/>
        <v>800</v>
      </c>
      <c r="J91" s="54">
        <v>2</v>
      </c>
      <c r="K91" s="97"/>
    </row>
    <row r="92" spans="1:11">
      <c r="A92" s="95" t="str">
        <f>'1. 소켓인수검사'!A93</f>
        <v>85</v>
      </c>
      <c r="B92" s="66" t="s">
        <v>59</v>
      </c>
      <c r="C92" s="43">
        <f>'1. 소켓인수검사'!C93</f>
        <v>1000</v>
      </c>
      <c r="D92" s="43">
        <f>'1. 소켓인수검사'!D93</f>
        <v>800</v>
      </c>
      <c r="E92" s="55"/>
      <c r="F92" s="54">
        <v>1</v>
      </c>
      <c r="G92" s="96">
        <f t="shared" si="3"/>
        <v>1060</v>
      </c>
      <c r="H92" s="54">
        <v>2</v>
      </c>
      <c r="I92" s="96">
        <f t="shared" si="4"/>
        <v>800</v>
      </c>
      <c r="J92" s="54">
        <v>2</v>
      </c>
      <c r="K92" s="97"/>
    </row>
    <row r="93" spans="1:11">
      <c r="A93" s="95" t="str">
        <f>'1. 소켓인수검사'!A94</f>
        <v>86</v>
      </c>
      <c r="B93" s="66" t="s">
        <v>59</v>
      </c>
      <c r="C93" s="43">
        <f>'1. 소켓인수검사'!C94</f>
        <v>1000</v>
      </c>
      <c r="D93" s="43">
        <f>'1. 소켓인수검사'!D94</f>
        <v>800</v>
      </c>
      <c r="E93" s="55"/>
      <c r="F93" s="54">
        <v>1</v>
      </c>
      <c r="G93" s="96">
        <f t="shared" si="3"/>
        <v>1060</v>
      </c>
      <c r="H93" s="54">
        <v>2</v>
      </c>
      <c r="I93" s="96">
        <f t="shared" si="4"/>
        <v>800</v>
      </c>
      <c r="J93" s="54">
        <v>2</v>
      </c>
      <c r="K93" s="97"/>
    </row>
    <row r="94" spans="1:11">
      <c r="A94" s="95" t="str">
        <f>'1. 소켓인수검사'!A95</f>
        <v>87</v>
      </c>
      <c r="B94" s="66" t="s">
        <v>59</v>
      </c>
      <c r="C94" s="43">
        <f>'1. 소켓인수검사'!C95</f>
        <v>1000</v>
      </c>
      <c r="D94" s="43">
        <f>'1. 소켓인수검사'!D95</f>
        <v>800</v>
      </c>
      <c r="E94" s="55"/>
      <c r="F94" s="54">
        <v>1</v>
      </c>
      <c r="G94" s="96">
        <f t="shared" si="3"/>
        <v>1060</v>
      </c>
      <c r="H94" s="54">
        <v>2</v>
      </c>
      <c r="I94" s="96">
        <f t="shared" si="4"/>
        <v>800</v>
      </c>
      <c r="J94" s="54">
        <v>2</v>
      </c>
      <c r="K94" s="97"/>
    </row>
    <row r="95" spans="1:11">
      <c r="A95" s="95" t="str">
        <f>'1. 소켓인수검사'!A96</f>
        <v>88</v>
      </c>
      <c r="B95" s="66" t="s">
        <v>59</v>
      </c>
      <c r="C95" s="43">
        <f>'1. 소켓인수검사'!C96</f>
        <v>1000</v>
      </c>
      <c r="D95" s="43">
        <f>'1. 소켓인수검사'!D96</f>
        <v>800</v>
      </c>
      <c r="E95" s="55"/>
      <c r="F95" s="54">
        <v>1</v>
      </c>
      <c r="G95" s="96">
        <f t="shared" si="3"/>
        <v>1060</v>
      </c>
      <c r="H95" s="54">
        <v>2</v>
      </c>
      <c r="I95" s="96">
        <f t="shared" si="4"/>
        <v>800</v>
      </c>
      <c r="J95" s="54">
        <v>2</v>
      </c>
      <c r="K95" s="97"/>
    </row>
    <row r="96" spans="1:11">
      <c r="A96" s="95" t="str">
        <f>'1. 소켓인수검사'!A97</f>
        <v>89</v>
      </c>
      <c r="B96" s="66" t="s">
        <v>59</v>
      </c>
      <c r="C96" s="43">
        <f>'1. 소켓인수검사'!C97</f>
        <v>1000</v>
      </c>
      <c r="D96" s="43">
        <f>'1. 소켓인수검사'!D97</f>
        <v>800</v>
      </c>
      <c r="E96" s="55"/>
      <c r="F96" s="54">
        <v>1</v>
      </c>
      <c r="G96" s="96">
        <f t="shared" si="3"/>
        <v>1060</v>
      </c>
      <c r="H96" s="54">
        <v>2</v>
      </c>
      <c r="I96" s="96">
        <f t="shared" si="4"/>
        <v>800</v>
      </c>
      <c r="J96" s="54">
        <v>2</v>
      </c>
      <c r="K96" s="97"/>
    </row>
    <row r="97" spans="1:11">
      <c r="A97" s="95" t="str">
        <f>'1. 소켓인수검사'!A98</f>
        <v>90</v>
      </c>
      <c r="B97" s="66" t="s">
        <v>59</v>
      </c>
      <c r="C97" s="43">
        <f>'1. 소켓인수검사'!C98</f>
        <v>1000</v>
      </c>
      <c r="D97" s="43">
        <f>'1. 소켓인수검사'!D98</f>
        <v>800</v>
      </c>
      <c r="E97" s="55"/>
      <c r="F97" s="54">
        <v>1</v>
      </c>
      <c r="G97" s="96">
        <f t="shared" si="3"/>
        <v>1060</v>
      </c>
      <c r="H97" s="54">
        <v>2</v>
      </c>
      <c r="I97" s="96">
        <f t="shared" si="4"/>
        <v>800</v>
      </c>
      <c r="J97" s="54">
        <v>2</v>
      </c>
      <c r="K97" s="97"/>
    </row>
    <row r="98" spans="1:11">
      <c r="A98" s="95" t="str">
        <f>'1. 소켓인수검사'!A99</f>
        <v>91</v>
      </c>
      <c r="B98" s="66" t="s">
        <v>59</v>
      </c>
      <c r="C98" s="43">
        <f>'1. 소켓인수검사'!C99</f>
        <v>1000</v>
      </c>
      <c r="D98" s="43">
        <f>'1. 소켓인수검사'!D99</f>
        <v>800</v>
      </c>
      <c r="E98" s="55"/>
      <c r="F98" s="54">
        <v>1</v>
      </c>
      <c r="G98" s="96">
        <f t="shared" si="3"/>
        <v>1060</v>
      </c>
      <c r="H98" s="54">
        <v>2</v>
      </c>
      <c r="I98" s="96">
        <f t="shared" si="4"/>
        <v>800</v>
      </c>
      <c r="J98" s="54">
        <v>2</v>
      </c>
      <c r="K98" s="97"/>
    </row>
    <row r="99" spans="1:11">
      <c r="A99" s="95" t="str">
        <f>'1. 소켓인수검사'!A100</f>
        <v>92</v>
      </c>
      <c r="B99" s="66" t="s">
        <v>59</v>
      </c>
      <c r="C99" s="43">
        <f>'1. 소켓인수검사'!C100</f>
        <v>1000</v>
      </c>
      <c r="D99" s="43">
        <f>'1. 소켓인수검사'!D100</f>
        <v>800</v>
      </c>
      <c r="E99" s="55"/>
      <c r="F99" s="54">
        <v>1</v>
      </c>
      <c r="G99" s="96">
        <f t="shared" si="3"/>
        <v>1060</v>
      </c>
      <c r="H99" s="54">
        <v>2</v>
      </c>
      <c r="I99" s="96">
        <f t="shared" si="4"/>
        <v>800</v>
      </c>
      <c r="J99" s="54">
        <v>2</v>
      </c>
      <c r="K99" s="97"/>
    </row>
    <row r="100" spans="1:11">
      <c r="A100" s="95" t="str">
        <f>'1. 소켓인수검사'!A101</f>
        <v>93</v>
      </c>
      <c r="B100" s="66" t="s">
        <v>59</v>
      </c>
      <c r="C100" s="43">
        <f>'1. 소켓인수검사'!C101</f>
        <v>1000</v>
      </c>
      <c r="D100" s="43">
        <f>'1. 소켓인수검사'!D101</f>
        <v>800</v>
      </c>
      <c r="E100" s="55"/>
      <c r="F100" s="54">
        <v>1</v>
      </c>
      <c r="G100" s="96">
        <f t="shared" si="3"/>
        <v>1060</v>
      </c>
      <c r="H100" s="54">
        <v>2</v>
      </c>
      <c r="I100" s="96">
        <f t="shared" si="4"/>
        <v>800</v>
      </c>
      <c r="J100" s="54">
        <v>2</v>
      </c>
      <c r="K100" s="97"/>
    </row>
    <row r="101" spans="1:11">
      <c r="A101" s="95" t="str">
        <f>'1. 소켓인수검사'!A102</f>
        <v>94</v>
      </c>
      <c r="B101" s="66" t="s">
        <v>59</v>
      </c>
      <c r="C101" s="43">
        <f>'1. 소켓인수검사'!C102</f>
        <v>1000</v>
      </c>
      <c r="D101" s="43">
        <f>'1. 소켓인수검사'!D102</f>
        <v>800</v>
      </c>
      <c r="E101" s="55"/>
      <c r="F101" s="54">
        <v>1</v>
      </c>
      <c r="G101" s="96">
        <f t="shared" si="3"/>
        <v>1060</v>
      </c>
      <c r="H101" s="54">
        <v>2</v>
      </c>
      <c r="I101" s="96">
        <f t="shared" si="4"/>
        <v>800</v>
      </c>
      <c r="J101" s="54">
        <v>2</v>
      </c>
      <c r="K101" s="97"/>
    </row>
    <row r="102" spans="1:11">
      <c r="A102" s="95" t="str">
        <f>'1. 소켓인수검사'!A103</f>
        <v>95</v>
      </c>
      <c r="B102" s="66" t="s">
        <v>59</v>
      </c>
      <c r="C102" s="43">
        <f>'1. 소켓인수검사'!C103</f>
        <v>1000</v>
      </c>
      <c r="D102" s="43">
        <f>'1. 소켓인수검사'!D103</f>
        <v>800</v>
      </c>
      <c r="E102" s="55"/>
      <c r="F102" s="54">
        <v>1</v>
      </c>
      <c r="G102" s="96">
        <f t="shared" si="3"/>
        <v>1060</v>
      </c>
      <c r="H102" s="54">
        <v>2</v>
      </c>
      <c r="I102" s="96">
        <f t="shared" si="4"/>
        <v>800</v>
      </c>
      <c r="J102" s="54">
        <v>2</v>
      </c>
      <c r="K102" s="97"/>
    </row>
    <row r="103" spans="1:11">
      <c r="A103" s="95" t="str">
        <f>'1. 소켓인수검사'!A104</f>
        <v>96</v>
      </c>
      <c r="B103" s="66" t="s">
        <v>59</v>
      </c>
      <c r="C103" s="43">
        <f>'1. 소켓인수검사'!C104</f>
        <v>1000</v>
      </c>
      <c r="D103" s="43">
        <f>'1. 소켓인수검사'!D104</f>
        <v>800</v>
      </c>
      <c r="E103" s="55"/>
      <c r="F103" s="54">
        <v>1</v>
      </c>
      <c r="G103" s="96">
        <f t="shared" si="3"/>
        <v>1060</v>
      </c>
      <c r="H103" s="54">
        <v>2</v>
      </c>
      <c r="I103" s="96">
        <f t="shared" si="4"/>
        <v>800</v>
      </c>
      <c r="J103" s="54">
        <v>2</v>
      </c>
      <c r="K103" s="97"/>
    </row>
    <row r="104" spans="1:11">
      <c r="A104" s="95" t="str">
        <f>'1. 소켓인수검사'!A105</f>
        <v>97</v>
      </c>
      <c r="B104" s="66" t="s">
        <v>59</v>
      </c>
      <c r="C104" s="43">
        <f>'1. 소켓인수검사'!C105</f>
        <v>1000</v>
      </c>
      <c r="D104" s="43">
        <f>'1. 소켓인수검사'!D105</f>
        <v>800</v>
      </c>
      <c r="E104" s="55"/>
      <c r="F104" s="54">
        <v>1</v>
      </c>
      <c r="G104" s="96">
        <f t="shared" si="3"/>
        <v>1060</v>
      </c>
      <c r="H104" s="54">
        <v>2</v>
      </c>
      <c r="I104" s="96">
        <f t="shared" si="4"/>
        <v>800</v>
      </c>
      <c r="J104" s="54">
        <v>2</v>
      </c>
      <c r="K104" s="97"/>
    </row>
    <row r="105" spans="1:11">
      <c r="A105" s="95" t="str">
        <f>'1. 소켓인수검사'!A106</f>
        <v>98</v>
      </c>
      <c r="B105" s="66" t="s">
        <v>59</v>
      </c>
      <c r="C105" s="43">
        <f>'1. 소켓인수검사'!C106</f>
        <v>1000</v>
      </c>
      <c r="D105" s="43">
        <f>'1. 소켓인수검사'!D106</f>
        <v>800</v>
      </c>
      <c r="E105" s="55"/>
      <c r="F105" s="54">
        <v>1</v>
      </c>
      <c r="G105" s="96">
        <f t="shared" si="3"/>
        <v>1060</v>
      </c>
      <c r="H105" s="54">
        <v>2</v>
      </c>
      <c r="I105" s="96">
        <f t="shared" si="4"/>
        <v>800</v>
      </c>
      <c r="J105" s="54">
        <v>2</v>
      </c>
      <c r="K105" s="97"/>
    </row>
    <row r="106" spans="1:11">
      <c r="A106" s="95" t="str">
        <f>'1. 소켓인수검사'!A107</f>
        <v>99</v>
      </c>
      <c r="B106" s="66" t="s">
        <v>59</v>
      </c>
      <c r="C106" s="43">
        <f>'1. 소켓인수검사'!C107</f>
        <v>1200</v>
      </c>
      <c r="D106" s="43">
        <f>'1. 소켓인수검사'!D107</f>
        <v>800</v>
      </c>
      <c r="E106" s="55"/>
      <c r="F106" s="54">
        <v>1</v>
      </c>
      <c r="G106" s="96">
        <f t="shared" si="3"/>
        <v>1260</v>
      </c>
      <c r="H106" s="54">
        <v>2</v>
      </c>
      <c r="I106" s="96">
        <f t="shared" si="4"/>
        <v>800</v>
      </c>
      <c r="J106" s="54">
        <v>2</v>
      </c>
      <c r="K106" s="97"/>
    </row>
    <row r="107" spans="1:11">
      <c r="A107" s="95" t="str">
        <f>'1. 소켓인수검사'!A108</f>
        <v>100</v>
      </c>
      <c r="B107" s="66" t="s">
        <v>59</v>
      </c>
      <c r="C107" s="43">
        <f>'1. 소켓인수검사'!C108</f>
        <v>1250</v>
      </c>
      <c r="D107" s="43">
        <f>'1. 소켓인수검사'!D108</f>
        <v>800</v>
      </c>
      <c r="E107" s="55"/>
      <c r="F107" s="54">
        <v>1</v>
      </c>
      <c r="G107" s="96">
        <f t="shared" si="3"/>
        <v>1310</v>
      </c>
      <c r="H107" s="54">
        <v>2</v>
      </c>
      <c r="I107" s="96">
        <f t="shared" si="4"/>
        <v>800</v>
      </c>
      <c r="J107" s="54">
        <v>2</v>
      </c>
      <c r="K107" s="97"/>
    </row>
    <row r="108" spans="1:11">
      <c r="A108" s="95" t="str">
        <f>'1. 소켓인수검사'!A109</f>
        <v>101</v>
      </c>
      <c r="B108" s="66" t="s">
        <v>59</v>
      </c>
      <c r="C108" s="43">
        <f>'1. 소켓인수검사'!C109</f>
        <v>1250</v>
      </c>
      <c r="D108" s="43">
        <f>'1. 소켓인수검사'!D109</f>
        <v>800</v>
      </c>
      <c r="E108" s="55"/>
      <c r="F108" s="54">
        <v>1</v>
      </c>
      <c r="G108" s="96">
        <f t="shared" si="3"/>
        <v>1310</v>
      </c>
      <c r="H108" s="54">
        <v>2</v>
      </c>
      <c r="I108" s="96">
        <f t="shared" si="4"/>
        <v>800</v>
      </c>
      <c r="J108" s="54">
        <v>2</v>
      </c>
      <c r="K108" s="97"/>
    </row>
    <row r="109" spans="1:11">
      <c r="A109" s="95" t="str">
        <f>'1. 소켓인수검사'!A110</f>
        <v>102</v>
      </c>
      <c r="B109" s="66" t="s">
        <v>59</v>
      </c>
      <c r="C109" s="43">
        <f>'1. 소켓인수검사'!C110</f>
        <v>1250</v>
      </c>
      <c r="D109" s="43">
        <f>'1. 소켓인수검사'!D110</f>
        <v>800</v>
      </c>
      <c r="E109" s="55"/>
      <c r="F109" s="54">
        <v>1</v>
      </c>
      <c r="G109" s="96">
        <f t="shared" si="3"/>
        <v>1310</v>
      </c>
      <c r="H109" s="54">
        <v>2</v>
      </c>
      <c r="I109" s="96">
        <f t="shared" si="4"/>
        <v>800</v>
      </c>
      <c r="J109" s="54">
        <v>2</v>
      </c>
      <c r="K109" s="97"/>
    </row>
    <row r="110" spans="1:11">
      <c r="A110" s="95" t="str">
        <f>'1. 소켓인수검사'!A111</f>
        <v>103</v>
      </c>
      <c r="B110" s="66" t="s">
        <v>59</v>
      </c>
      <c r="C110" s="43">
        <f>'1. 소켓인수검사'!C111</f>
        <v>1250</v>
      </c>
      <c r="D110" s="43">
        <f>'1. 소켓인수검사'!D111</f>
        <v>800</v>
      </c>
      <c r="E110" s="55"/>
      <c r="F110" s="54">
        <v>1</v>
      </c>
      <c r="G110" s="96">
        <f t="shared" si="3"/>
        <v>1310</v>
      </c>
      <c r="H110" s="54">
        <v>2</v>
      </c>
      <c r="I110" s="96">
        <f t="shared" si="4"/>
        <v>800</v>
      </c>
      <c r="J110" s="54">
        <v>2</v>
      </c>
      <c r="K110" s="97"/>
    </row>
    <row r="111" spans="1:11">
      <c r="A111" s="95" t="str">
        <f>'1. 소켓인수검사'!A112</f>
        <v>104</v>
      </c>
      <c r="B111" s="66" t="s">
        <v>59</v>
      </c>
      <c r="C111" s="43">
        <f>'1. 소켓인수검사'!C112</f>
        <v>1250</v>
      </c>
      <c r="D111" s="43">
        <f>'1. 소켓인수검사'!D112</f>
        <v>800</v>
      </c>
      <c r="E111" s="55"/>
      <c r="F111" s="54">
        <v>1</v>
      </c>
      <c r="G111" s="96">
        <f t="shared" si="3"/>
        <v>1310</v>
      </c>
      <c r="H111" s="54">
        <v>2</v>
      </c>
      <c r="I111" s="96">
        <f t="shared" si="4"/>
        <v>800</v>
      </c>
      <c r="J111" s="54">
        <v>2</v>
      </c>
      <c r="K111" s="97"/>
    </row>
    <row r="112" spans="1:11">
      <c r="A112" s="95" t="str">
        <f>'1. 소켓인수검사'!A113</f>
        <v>105</v>
      </c>
      <c r="B112" s="66" t="s">
        <v>59</v>
      </c>
      <c r="C112" s="43">
        <f>'1. 소켓인수검사'!C113</f>
        <v>1250</v>
      </c>
      <c r="D112" s="43">
        <f>'1. 소켓인수검사'!D113</f>
        <v>800</v>
      </c>
      <c r="E112" s="55"/>
      <c r="F112" s="54">
        <v>1</v>
      </c>
      <c r="G112" s="96">
        <f t="shared" si="3"/>
        <v>1310</v>
      </c>
      <c r="H112" s="54">
        <v>2</v>
      </c>
      <c r="I112" s="96">
        <f t="shared" si="4"/>
        <v>800</v>
      </c>
      <c r="J112" s="54">
        <v>2</v>
      </c>
      <c r="K112" s="97"/>
    </row>
    <row r="113" spans="1:11">
      <c r="A113" s="95" t="str">
        <f>'1. 소켓인수검사'!A114</f>
        <v>106</v>
      </c>
      <c r="B113" s="66" t="s">
        <v>59</v>
      </c>
      <c r="C113" s="43">
        <f>'1. 소켓인수검사'!C114</f>
        <v>1250</v>
      </c>
      <c r="D113" s="43">
        <f>'1. 소켓인수검사'!D114</f>
        <v>800</v>
      </c>
      <c r="E113" s="55"/>
      <c r="F113" s="54">
        <v>1</v>
      </c>
      <c r="G113" s="96">
        <f t="shared" si="3"/>
        <v>1310</v>
      </c>
      <c r="H113" s="54">
        <v>2</v>
      </c>
      <c r="I113" s="96">
        <f t="shared" si="4"/>
        <v>800</v>
      </c>
      <c r="J113" s="54">
        <v>2</v>
      </c>
      <c r="K113" s="97"/>
    </row>
    <row r="114" spans="1:11">
      <c r="A114" s="95" t="str">
        <f>'1. 소켓인수검사'!A115</f>
        <v>107</v>
      </c>
      <c r="B114" s="66" t="s">
        <v>59</v>
      </c>
      <c r="C114" s="43">
        <f>'1. 소켓인수검사'!C115</f>
        <v>1250</v>
      </c>
      <c r="D114" s="43">
        <f>'1. 소켓인수검사'!D115</f>
        <v>800</v>
      </c>
      <c r="E114" s="55"/>
      <c r="F114" s="54">
        <v>1</v>
      </c>
      <c r="G114" s="96">
        <f t="shared" si="3"/>
        <v>1310</v>
      </c>
      <c r="H114" s="54">
        <v>2</v>
      </c>
      <c r="I114" s="96">
        <f t="shared" si="4"/>
        <v>800</v>
      </c>
      <c r="J114" s="54">
        <v>2</v>
      </c>
      <c r="K114" s="97"/>
    </row>
    <row r="115" spans="1:11">
      <c r="A115" s="95" t="str">
        <f>'1. 소켓인수검사'!A116</f>
        <v>108</v>
      </c>
      <c r="B115" s="66" t="s">
        <v>59</v>
      </c>
      <c r="C115" s="43">
        <f>'1. 소켓인수검사'!C116</f>
        <v>1250</v>
      </c>
      <c r="D115" s="43">
        <f>'1. 소켓인수검사'!D116</f>
        <v>800</v>
      </c>
      <c r="E115" s="55"/>
      <c r="F115" s="54">
        <v>1</v>
      </c>
      <c r="G115" s="96">
        <f t="shared" si="3"/>
        <v>1310</v>
      </c>
      <c r="H115" s="54">
        <v>2</v>
      </c>
      <c r="I115" s="96">
        <f t="shared" si="4"/>
        <v>800</v>
      </c>
      <c r="J115" s="54">
        <v>2</v>
      </c>
      <c r="K115" s="97"/>
    </row>
    <row r="116" spans="1:11">
      <c r="A116" s="95" t="str">
        <f>'1. 소켓인수검사'!A117</f>
        <v>109</v>
      </c>
      <c r="B116" s="66" t="s">
        <v>59</v>
      </c>
      <c r="C116" s="43">
        <f>'1. 소켓인수검사'!C117</f>
        <v>1250</v>
      </c>
      <c r="D116" s="43">
        <f>'1. 소켓인수검사'!D117</f>
        <v>800</v>
      </c>
      <c r="E116" s="55"/>
      <c r="F116" s="54">
        <v>1</v>
      </c>
      <c r="G116" s="96">
        <f t="shared" ref="G116:G117" si="5">C116+60</f>
        <v>1310</v>
      </c>
      <c r="H116" s="54">
        <v>2</v>
      </c>
      <c r="I116" s="96">
        <f t="shared" ref="I116:I117" si="6">D116</f>
        <v>800</v>
      </c>
      <c r="J116" s="54">
        <v>2</v>
      </c>
      <c r="K116" s="97"/>
    </row>
    <row r="117" spans="1:11">
      <c r="A117" s="95" t="str">
        <f>'1. 소켓인수검사'!A118</f>
        <v>110</v>
      </c>
      <c r="B117" s="66" t="s">
        <v>59</v>
      </c>
      <c r="C117" s="43">
        <f>'1. 소켓인수검사'!C118</f>
        <v>1250</v>
      </c>
      <c r="D117" s="43">
        <f>'1. 소켓인수검사'!D118</f>
        <v>800</v>
      </c>
      <c r="E117" s="55"/>
      <c r="F117" s="54">
        <v>1</v>
      </c>
      <c r="G117" s="96">
        <f t="shared" si="5"/>
        <v>1310</v>
      </c>
      <c r="H117" s="54">
        <v>2</v>
      </c>
      <c r="I117" s="96">
        <f t="shared" si="6"/>
        <v>800</v>
      </c>
      <c r="J117" s="54">
        <v>2</v>
      </c>
      <c r="K117" s="97"/>
    </row>
    <row r="118" spans="1:11">
      <c r="A118" s="1" t="s">
        <v>57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</sheetData>
  <mergeCells count="17">
    <mergeCell ref="E1:F3"/>
    <mergeCell ref="G1:K3"/>
    <mergeCell ref="A118:C120"/>
    <mergeCell ref="D118:K120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  <mergeCell ref="G6:H6"/>
    <mergeCell ref="I6:J6"/>
  </mergeCells>
  <phoneticPr fontId="31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59"/>
  <sheetViews>
    <sheetView zoomScaleNormal="100" zoomScaleSheetLayoutView="100" workbookViewId="0">
      <selection activeCell="G11" sqref="G11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215" t="s">
        <v>84</v>
      </c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7"/>
    </row>
    <row r="2" spans="1:16" ht="16.5" customHeight="1">
      <c r="A2" s="1"/>
      <c r="B2" s="1"/>
      <c r="C2" s="1"/>
      <c r="D2" s="1"/>
      <c r="E2" s="218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20"/>
    </row>
    <row r="3" spans="1:16" ht="16.5" customHeight="1">
      <c r="A3" s="1"/>
      <c r="B3" s="1"/>
      <c r="C3" s="1"/>
      <c r="D3" s="1"/>
      <c r="E3" s="218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20"/>
    </row>
    <row r="4" spans="1:16" ht="16.5" customHeight="1">
      <c r="A4" s="1" t="s">
        <v>17</v>
      </c>
      <c r="B4" s="1"/>
      <c r="C4" s="224"/>
      <c r="D4" s="225"/>
      <c r="E4" s="221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3"/>
    </row>
    <row r="5" spans="1:16">
      <c r="A5" s="1" t="s">
        <v>27</v>
      </c>
      <c r="B5" s="1"/>
      <c r="C5" s="1"/>
      <c r="D5" s="1"/>
      <c r="E5" s="6" t="s">
        <v>33</v>
      </c>
      <c r="F5" s="1"/>
      <c r="G5" s="1"/>
      <c r="H5" s="1" t="s">
        <v>73</v>
      </c>
      <c r="I5" s="1"/>
      <c r="J5" s="1"/>
      <c r="K5" s="1" t="s">
        <v>69</v>
      </c>
      <c r="L5" s="1"/>
      <c r="M5" s="1"/>
      <c r="N5" s="226" t="str">
        <f>'1. 소켓인수검사'!R2</f>
        <v xml:space="preserve">26.04.24 그린산업_ 일우엠이씨_GS건설_아산탕정자이퍼스트시티 </v>
      </c>
      <c r="O5" s="226"/>
      <c r="P5" s="226"/>
    </row>
    <row r="6" spans="1:16">
      <c r="A6" s="1"/>
      <c r="B6" s="1"/>
      <c r="C6" s="1"/>
      <c r="D6" s="1"/>
      <c r="E6" s="6" t="s">
        <v>30</v>
      </c>
      <c r="F6" s="1"/>
      <c r="G6" s="1"/>
      <c r="H6" s="1"/>
      <c r="I6" s="1"/>
      <c r="J6" s="1"/>
      <c r="K6" s="1"/>
      <c r="L6" s="1"/>
      <c r="M6" s="1"/>
      <c r="N6" s="226"/>
      <c r="O6" s="226"/>
      <c r="P6" s="226"/>
    </row>
    <row r="7" spans="1:16" ht="8.1" customHeight="1">
      <c r="A7" s="157"/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</row>
    <row r="8" spans="1:16">
      <c r="A8" s="228" t="s">
        <v>70</v>
      </c>
      <c r="B8" s="230" t="s">
        <v>4</v>
      </c>
      <c r="C8" s="230"/>
      <c r="D8" s="230" t="s">
        <v>29</v>
      </c>
      <c r="E8" s="230" t="s">
        <v>25</v>
      </c>
      <c r="F8" s="230" t="s">
        <v>74</v>
      </c>
      <c r="G8" s="230" t="s">
        <v>28</v>
      </c>
      <c r="H8" s="230"/>
      <c r="I8" s="230"/>
      <c r="J8" s="230"/>
      <c r="K8" s="230"/>
      <c r="L8" s="230"/>
      <c r="M8" s="230"/>
      <c r="N8" s="230"/>
      <c r="O8" s="230"/>
      <c r="P8" s="231" t="s">
        <v>2</v>
      </c>
    </row>
    <row r="9" spans="1:16" ht="16.5" customHeight="1">
      <c r="A9" s="229"/>
      <c r="B9" s="214" t="s">
        <v>77</v>
      </c>
      <c r="C9" s="214" t="s">
        <v>75</v>
      </c>
      <c r="D9" s="214"/>
      <c r="E9" s="214"/>
      <c r="F9" s="214"/>
      <c r="G9" s="214" t="s">
        <v>71</v>
      </c>
      <c r="H9" s="214" t="s">
        <v>77</v>
      </c>
      <c r="I9" s="214"/>
      <c r="J9" s="214" t="s">
        <v>11</v>
      </c>
      <c r="K9" s="214" t="s">
        <v>75</v>
      </c>
      <c r="L9" s="214"/>
      <c r="M9" s="214"/>
      <c r="N9" s="214"/>
      <c r="O9" s="214" t="s">
        <v>11</v>
      </c>
      <c r="P9" s="232"/>
    </row>
    <row r="10" spans="1:16">
      <c r="A10" s="229"/>
      <c r="B10" s="214"/>
      <c r="C10" s="214"/>
      <c r="D10" s="214"/>
      <c r="E10" s="214"/>
      <c r="F10" s="214"/>
      <c r="G10" s="214"/>
      <c r="H10" s="32" t="s">
        <v>4</v>
      </c>
      <c r="I10" s="32" t="s">
        <v>32</v>
      </c>
      <c r="J10" s="214"/>
      <c r="K10" s="214" t="s">
        <v>4</v>
      </c>
      <c r="L10" s="214"/>
      <c r="M10" s="214"/>
      <c r="N10" s="32" t="s">
        <v>32</v>
      </c>
      <c r="O10" s="214"/>
      <c r="P10" s="232"/>
    </row>
    <row r="11" spans="1:16">
      <c r="A11" s="31" t="str">
        <f>'1. 소켓인수검사'!A9</f>
        <v>01</v>
      </c>
      <c r="B11" s="34">
        <f>'1. 소켓인수검사'!C9</f>
        <v>850</v>
      </c>
      <c r="C11" s="34">
        <f>'1. 소켓인수검사'!D9</f>
        <v>550</v>
      </c>
      <c r="D11" s="35">
        <v>1</v>
      </c>
      <c r="E11" s="36"/>
      <c r="F11" s="35">
        <v>1.6</v>
      </c>
      <c r="G11" s="35"/>
      <c r="H11" s="35">
        <f t="shared" ref="H11:H54" si="0">B11-1</f>
        <v>849</v>
      </c>
      <c r="I11" s="35">
        <f t="shared" ref="I11:I54" si="1">D11*4</f>
        <v>4</v>
      </c>
      <c r="J11" s="35"/>
      <c r="K11" s="227">
        <f t="shared" ref="K11:K54" si="2">C11-30</f>
        <v>520</v>
      </c>
      <c r="L11" s="227"/>
      <c r="M11" s="227"/>
      <c r="N11" s="35">
        <f t="shared" ref="N11:N54" si="3">D11*4</f>
        <v>4</v>
      </c>
      <c r="O11" s="35"/>
      <c r="P11" s="40"/>
    </row>
    <row r="12" spans="1:16">
      <c r="A12" s="31" t="str">
        <f>'1. 소켓인수검사'!A10</f>
        <v>02</v>
      </c>
      <c r="B12" s="34">
        <f>'1. 소켓인수검사'!C10</f>
        <v>850</v>
      </c>
      <c r="C12" s="34">
        <f>'1. 소켓인수검사'!D10</f>
        <v>550</v>
      </c>
      <c r="D12" s="35">
        <v>1</v>
      </c>
      <c r="E12" s="36"/>
      <c r="F12" s="35">
        <v>1.6</v>
      </c>
      <c r="G12" s="35"/>
      <c r="H12" s="35">
        <f t="shared" si="0"/>
        <v>849</v>
      </c>
      <c r="I12" s="35">
        <f t="shared" si="1"/>
        <v>4</v>
      </c>
      <c r="J12" s="35"/>
      <c r="K12" s="227">
        <f t="shared" si="2"/>
        <v>520</v>
      </c>
      <c r="L12" s="227"/>
      <c r="M12" s="227"/>
      <c r="N12" s="35">
        <f t="shared" si="3"/>
        <v>4</v>
      </c>
      <c r="O12" s="35"/>
      <c r="P12" s="40"/>
    </row>
    <row r="13" spans="1:16">
      <c r="A13" s="31" t="str">
        <f>'1. 소켓인수검사'!A11</f>
        <v>03</v>
      </c>
      <c r="B13" s="34">
        <f>'1. 소켓인수검사'!C11</f>
        <v>850</v>
      </c>
      <c r="C13" s="34">
        <f>'1. 소켓인수검사'!D11</f>
        <v>550</v>
      </c>
      <c r="D13" s="35">
        <v>1</v>
      </c>
      <c r="E13" s="36"/>
      <c r="F13" s="35">
        <v>1.6</v>
      </c>
      <c r="G13" s="35"/>
      <c r="H13" s="35">
        <f t="shared" si="0"/>
        <v>849</v>
      </c>
      <c r="I13" s="35">
        <f t="shared" si="1"/>
        <v>4</v>
      </c>
      <c r="J13" s="35"/>
      <c r="K13" s="227">
        <f t="shared" si="2"/>
        <v>520</v>
      </c>
      <c r="L13" s="227"/>
      <c r="M13" s="227"/>
      <c r="N13" s="35">
        <f t="shared" si="3"/>
        <v>4</v>
      </c>
      <c r="O13" s="35"/>
      <c r="P13" s="40"/>
    </row>
    <row r="14" spans="1:16">
      <c r="A14" s="31" t="str">
        <f>'1. 소켓인수검사'!A12</f>
        <v>04</v>
      </c>
      <c r="B14" s="34">
        <f>'1. 소켓인수검사'!C12</f>
        <v>850</v>
      </c>
      <c r="C14" s="34">
        <f>'1. 소켓인수검사'!D12</f>
        <v>550</v>
      </c>
      <c r="D14" s="35">
        <v>1</v>
      </c>
      <c r="E14" s="36"/>
      <c r="F14" s="35">
        <v>1.6</v>
      </c>
      <c r="G14" s="35"/>
      <c r="H14" s="35">
        <f t="shared" si="0"/>
        <v>849</v>
      </c>
      <c r="I14" s="35">
        <f t="shared" si="1"/>
        <v>4</v>
      </c>
      <c r="J14" s="35"/>
      <c r="K14" s="227">
        <f t="shared" si="2"/>
        <v>520</v>
      </c>
      <c r="L14" s="227"/>
      <c r="M14" s="227"/>
      <c r="N14" s="35">
        <f t="shared" si="3"/>
        <v>4</v>
      </c>
      <c r="O14" s="35"/>
      <c r="P14" s="40"/>
    </row>
    <row r="15" spans="1:16">
      <c r="A15" s="31" t="str">
        <f>'1. 소켓인수검사'!A13</f>
        <v>05</v>
      </c>
      <c r="B15" s="34">
        <f>'1. 소켓인수검사'!C13</f>
        <v>900</v>
      </c>
      <c r="C15" s="34">
        <f>'1. 소켓인수검사'!D13</f>
        <v>550</v>
      </c>
      <c r="D15" s="35">
        <v>1</v>
      </c>
      <c r="E15" s="36"/>
      <c r="F15" s="35">
        <v>1.6</v>
      </c>
      <c r="G15" s="35"/>
      <c r="H15" s="35">
        <f t="shared" si="0"/>
        <v>899</v>
      </c>
      <c r="I15" s="35">
        <f t="shared" si="1"/>
        <v>4</v>
      </c>
      <c r="J15" s="35"/>
      <c r="K15" s="227">
        <f t="shared" si="2"/>
        <v>520</v>
      </c>
      <c r="L15" s="227"/>
      <c r="M15" s="227"/>
      <c r="N15" s="35">
        <f t="shared" si="3"/>
        <v>4</v>
      </c>
      <c r="O15" s="35"/>
      <c r="P15" s="40"/>
    </row>
    <row r="16" spans="1:16">
      <c r="A16" s="31" t="str">
        <f>'1. 소켓인수검사'!A14</f>
        <v>06</v>
      </c>
      <c r="B16" s="34">
        <f>'1. 소켓인수검사'!C14</f>
        <v>900</v>
      </c>
      <c r="C16" s="34">
        <f>'1. 소켓인수검사'!D14</f>
        <v>550</v>
      </c>
      <c r="D16" s="35">
        <v>1</v>
      </c>
      <c r="E16" s="36"/>
      <c r="F16" s="35">
        <v>1.6</v>
      </c>
      <c r="G16" s="35"/>
      <c r="H16" s="35">
        <f t="shared" si="0"/>
        <v>899</v>
      </c>
      <c r="I16" s="35">
        <f t="shared" si="1"/>
        <v>4</v>
      </c>
      <c r="J16" s="35"/>
      <c r="K16" s="227">
        <f t="shared" si="2"/>
        <v>520</v>
      </c>
      <c r="L16" s="227"/>
      <c r="M16" s="227"/>
      <c r="N16" s="35">
        <f t="shared" si="3"/>
        <v>4</v>
      </c>
      <c r="O16" s="35"/>
      <c r="P16" s="40"/>
    </row>
    <row r="17" spans="1:16">
      <c r="A17" s="31" t="str">
        <f>'1. 소켓인수검사'!A15</f>
        <v>07</v>
      </c>
      <c r="B17" s="34">
        <f>'1. 소켓인수검사'!C15</f>
        <v>900</v>
      </c>
      <c r="C17" s="34">
        <f>'1. 소켓인수검사'!D15</f>
        <v>550</v>
      </c>
      <c r="D17" s="35">
        <v>1</v>
      </c>
      <c r="E17" s="36"/>
      <c r="F17" s="35">
        <v>1.6</v>
      </c>
      <c r="G17" s="35"/>
      <c r="H17" s="35">
        <f t="shared" si="0"/>
        <v>899</v>
      </c>
      <c r="I17" s="35">
        <f t="shared" si="1"/>
        <v>4</v>
      </c>
      <c r="J17" s="35"/>
      <c r="K17" s="227">
        <f t="shared" si="2"/>
        <v>520</v>
      </c>
      <c r="L17" s="227"/>
      <c r="M17" s="227"/>
      <c r="N17" s="35">
        <f t="shared" si="3"/>
        <v>4</v>
      </c>
      <c r="O17" s="35"/>
      <c r="P17" s="40"/>
    </row>
    <row r="18" spans="1:16">
      <c r="A18" s="31" t="str">
        <f>'1. 소켓인수검사'!A16</f>
        <v>08</v>
      </c>
      <c r="B18" s="34">
        <f>'1. 소켓인수검사'!C16</f>
        <v>900</v>
      </c>
      <c r="C18" s="34">
        <f>'1. 소켓인수검사'!D16</f>
        <v>550</v>
      </c>
      <c r="D18" s="35">
        <v>1</v>
      </c>
      <c r="E18" s="36"/>
      <c r="F18" s="35">
        <v>1.6</v>
      </c>
      <c r="G18" s="35"/>
      <c r="H18" s="35">
        <f t="shared" si="0"/>
        <v>899</v>
      </c>
      <c r="I18" s="35">
        <f t="shared" si="1"/>
        <v>4</v>
      </c>
      <c r="J18" s="35"/>
      <c r="K18" s="227">
        <f t="shared" si="2"/>
        <v>520</v>
      </c>
      <c r="L18" s="227"/>
      <c r="M18" s="227"/>
      <c r="N18" s="35">
        <f t="shared" si="3"/>
        <v>4</v>
      </c>
      <c r="O18" s="35"/>
      <c r="P18" s="40"/>
    </row>
    <row r="19" spans="1:16">
      <c r="A19" s="31" t="str">
        <f>'1. 소켓인수검사'!A17</f>
        <v>09</v>
      </c>
      <c r="B19" s="34">
        <f>'1. 소켓인수검사'!C17</f>
        <v>900</v>
      </c>
      <c r="C19" s="34">
        <f>'1. 소켓인수검사'!D17</f>
        <v>550</v>
      </c>
      <c r="D19" s="35">
        <v>1</v>
      </c>
      <c r="E19" s="36"/>
      <c r="F19" s="35">
        <v>1.6</v>
      </c>
      <c r="G19" s="35"/>
      <c r="H19" s="35">
        <f t="shared" si="0"/>
        <v>899</v>
      </c>
      <c r="I19" s="35">
        <f t="shared" si="1"/>
        <v>4</v>
      </c>
      <c r="J19" s="35"/>
      <c r="K19" s="227">
        <f t="shared" si="2"/>
        <v>520</v>
      </c>
      <c r="L19" s="227"/>
      <c r="M19" s="227"/>
      <c r="N19" s="35">
        <f t="shared" si="3"/>
        <v>4</v>
      </c>
      <c r="O19" s="35"/>
      <c r="P19" s="40"/>
    </row>
    <row r="20" spans="1:16">
      <c r="A20" s="31" t="str">
        <f>'1. 소켓인수검사'!A18</f>
        <v>10</v>
      </c>
      <c r="B20" s="34">
        <f>'1. 소켓인수검사'!C18</f>
        <v>900</v>
      </c>
      <c r="C20" s="34">
        <f>'1. 소켓인수검사'!D18</f>
        <v>550</v>
      </c>
      <c r="D20" s="35">
        <v>1</v>
      </c>
      <c r="E20" s="36"/>
      <c r="F20" s="35">
        <v>1.6</v>
      </c>
      <c r="G20" s="35"/>
      <c r="H20" s="35">
        <f t="shared" si="0"/>
        <v>899</v>
      </c>
      <c r="I20" s="35">
        <f t="shared" si="1"/>
        <v>4</v>
      </c>
      <c r="J20" s="35"/>
      <c r="K20" s="227">
        <f t="shared" si="2"/>
        <v>520</v>
      </c>
      <c r="L20" s="227"/>
      <c r="M20" s="227"/>
      <c r="N20" s="35">
        <f t="shared" si="3"/>
        <v>4</v>
      </c>
      <c r="O20" s="35"/>
      <c r="P20" s="40"/>
    </row>
    <row r="21" spans="1:16">
      <c r="A21" s="31" t="str">
        <f>'1. 소켓인수검사'!A19</f>
        <v>11</v>
      </c>
      <c r="B21" s="34">
        <f>'1. 소켓인수검사'!C19</f>
        <v>900</v>
      </c>
      <c r="C21" s="34">
        <f>'1. 소켓인수검사'!D19</f>
        <v>550</v>
      </c>
      <c r="D21" s="35">
        <v>1</v>
      </c>
      <c r="E21" s="36"/>
      <c r="F21" s="35">
        <v>1.6</v>
      </c>
      <c r="G21" s="35"/>
      <c r="H21" s="35">
        <f t="shared" si="0"/>
        <v>899</v>
      </c>
      <c r="I21" s="35">
        <f t="shared" si="1"/>
        <v>4</v>
      </c>
      <c r="J21" s="35"/>
      <c r="K21" s="227">
        <f t="shared" si="2"/>
        <v>520</v>
      </c>
      <c r="L21" s="227"/>
      <c r="M21" s="227"/>
      <c r="N21" s="35">
        <f t="shared" si="3"/>
        <v>4</v>
      </c>
      <c r="O21" s="35"/>
      <c r="P21" s="40"/>
    </row>
    <row r="22" spans="1:16">
      <c r="A22" s="31" t="str">
        <f>'1. 소켓인수검사'!A20</f>
        <v>12</v>
      </c>
      <c r="B22" s="34">
        <f>'1. 소켓인수검사'!C20</f>
        <v>900</v>
      </c>
      <c r="C22" s="34">
        <f>'1. 소켓인수검사'!D20</f>
        <v>550</v>
      </c>
      <c r="D22" s="35">
        <v>1</v>
      </c>
      <c r="E22" s="36"/>
      <c r="F22" s="35">
        <v>1.6</v>
      </c>
      <c r="G22" s="35"/>
      <c r="H22" s="35">
        <f t="shared" si="0"/>
        <v>899</v>
      </c>
      <c r="I22" s="35">
        <f t="shared" si="1"/>
        <v>4</v>
      </c>
      <c r="J22" s="35"/>
      <c r="K22" s="227">
        <f t="shared" si="2"/>
        <v>520</v>
      </c>
      <c r="L22" s="227"/>
      <c r="M22" s="227"/>
      <c r="N22" s="35">
        <f t="shared" si="3"/>
        <v>4</v>
      </c>
      <c r="O22" s="35"/>
      <c r="P22" s="37"/>
    </row>
    <row r="23" spans="1:16">
      <c r="A23" s="31" t="str">
        <f>'1. 소켓인수검사'!A21</f>
        <v>13</v>
      </c>
      <c r="B23" s="34">
        <f>'1. 소켓인수검사'!C21</f>
        <v>900</v>
      </c>
      <c r="C23" s="34">
        <f>'1. 소켓인수검사'!D21</f>
        <v>550</v>
      </c>
      <c r="D23" s="35">
        <v>1</v>
      </c>
      <c r="E23" s="36"/>
      <c r="F23" s="35">
        <v>1.6</v>
      </c>
      <c r="G23" s="35"/>
      <c r="H23" s="35">
        <f t="shared" si="0"/>
        <v>899</v>
      </c>
      <c r="I23" s="35">
        <f t="shared" si="1"/>
        <v>4</v>
      </c>
      <c r="J23" s="35"/>
      <c r="K23" s="227">
        <f t="shared" si="2"/>
        <v>520</v>
      </c>
      <c r="L23" s="227"/>
      <c r="M23" s="227"/>
      <c r="N23" s="35">
        <f t="shared" si="3"/>
        <v>4</v>
      </c>
      <c r="O23" s="35"/>
      <c r="P23" s="38"/>
    </row>
    <row r="24" spans="1:16">
      <c r="A24" s="31" t="str">
        <f>'1. 소켓인수검사'!A22</f>
        <v>14</v>
      </c>
      <c r="B24" s="34">
        <f>'1. 소켓인수검사'!C22</f>
        <v>950</v>
      </c>
      <c r="C24" s="34">
        <f>'1. 소켓인수검사'!D22</f>
        <v>500</v>
      </c>
      <c r="D24" s="35">
        <v>1</v>
      </c>
      <c r="E24" s="36"/>
      <c r="F24" s="35">
        <v>1.6</v>
      </c>
      <c r="G24" s="35"/>
      <c r="H24" s="35">
        <f t="shared" si="0"/>
        <v>949</v>
      </c>
      <c r="I24" s="35">
        <f t="shared" si="1"/>
        <v>4</v>
      </c>
      <c r="J24" s="35"/>
      <c r="K24" s="227">
        <f t="shared" si="2"/>
        <v>470</v>
      </c>
      <c r="L24" s="227"/>
      <c r="M24" s="227"/>
      <c r="N24" s="35">
        <f t="shared" si="3"/>
        <v>4</v>
      </c>
      <c r="O24" s="35"/>
      <c r="P24" s="38"/>
    </row>
    <row r="25" spans="1:16">
      <c r="A25" s="31" t="str">
        <f>'1. 소켓인수검사'!A23</f>
        <v>15</v>
      </c>
      <c r="B25" s="34">
        <f>'1. 소켓인수검사'!C23</f>
        <v>950</v>
      </c>
      <c r="C25" s="34">
        <f>'1. 소켓인수검사'!D23</f>
        <v>500</v>
      </c>
      <c r="D25" s="35">
        <v>1</v>
      </c>
      <c r="E25" s="36"/>
      <c r="F25" s="35">
        <v>1.6</v>
      </c>
      <c r="G25" s="35"/>
      <c r="H25" s="35">
        <f t="shared" si="0"/>
        <v>949</v>
      </c>
      <c r="I25" s="35">
        <f t="shared" si="1"/>
        <v>4</v>
      </c>
      <c r="J25" s="35"/>
      <c r="K25" s="227">
        <f t="shared" si="2"/>
        <v>470</v>
      </c>
      <c r="L25" s="227"/>
      <c r="M25" s="227"/>
      <c r="N25" s="35">
        <f t="shared" si="3"/>
        <v>4</v>
      </c>
      <c r="O25" s="35"/>
      <c r="P25" s="38"/>
    </row>
    <row r="26" spans="1:16">
      <c r="A26" s="31" t="str">
        <f>'1. 소켓인수검사'!A24</f>
        <v>16</v>
      </c>
      <c r="B26" s="34">
        <f>'1. 소켓인수검사'!C24</f>
        <v>950</v>
      </c>
      <c r="C26" s="34">
        <f>'1. 소켓인수검사'!D24</f>
        <v>500</v>
      </c>
      <c r="D26" s="35">
        <v>1</v>
      </c>
      <c r="E26" s="36"/>
      <c r="F26" s="35">
        <v>1.6</v>
      </c>
      <c r="G26" s="35"/>
      <c r="H26" s="35">
        <f t="shared" si="0"/>
        <v>949</v>
      </c>
      <c r="I26" s="35">
        <f t="shared" si="1"/>
        <v>4</v>
      </c>
      <c r="J26" s="35"/>
      <c r="K26" s="227">
        <f t="shared" si="2"/>
        <v>470</v>
      </c>
      <c r="L26" s="227"/>
      <c r="M26" s="227"/>
      <c r="N26" s="35">
        <f t="shared" si="3"/>
        <v>4</v>
      </c>
      <c r="O26" s="35"/>
      <c r="P26" s="38"/>
    </row>
    <row r="27" spans="1:16">
      <c r="A27" s="31" t="str">
        <f>'1. 소켓인수검사'!A25</f>
        <v>17</v>
      </c>
      <c r="B27" s="34">
        <f>'1. 소켓인수검사'!C25</f>
        <v>950</v>
      </c>
      <c r="C27" s="34">
        <f>'1. 소켓인수검사'!D25</f>
        <v>500</v>
      </c>
      <c r="D27" s="35">
        <v>1</v>
      </c>
      <c r="E27" s="36"/>
      <c r="F27" s="35">
        <v>1.6</v>
      </c>
      <c r="G27" s="35"/>
      <c r="H27" s="35">
        <f t="shared" si="0"/>
        <v>949</v>
      </c>
      <c r="I27" s="35">
        <f t="shared" si="1"/>
        <v>4</v>
      </c>
      <c r="J27" s="35"/>
      <c r="K27" s="227">
        <f t="shared" si="2"/>
        <v>470</v>
      </c>
      <c r="L27" s="227"/>
      <c r="M27" s="227"/>
      <c r="N27" s="35">
        <f t="shared" si="3"/>
        <v>4</v>
      </c>
      <c r="O27" s="35"/>
      <c r="P27" s="38"/>
    </row>
    <row r="28" spans="1:16">
      <c r="A28" s="31" t="str">
        <f>'1. 소켓인수검사'!A26</f>
        <v>18</v>
      </c>
      <c r="B28" s="34">
        <f>'1. 소켓인수검사'!C26</f>
        <v>1000</v>
      </c>
      <c r="C28" s="34">
        <f>'1. 소켓인수검사'!D26</f>
        <v>450</v>
      </c>
      <c r="D28" s="35">
        <v>1</v>
      </c>
      <c r="E28" s="36"/>
      <c r="F28" s="35">
        <v>1.6</v>
      </c>
      <c r="G28" s="35"/>
      <c r="H28" s="35">
        <f t="shared" si="0"/>
        <v>999</v>
      </c>
      <c r="I28" s="35">
        <f t="shared" si="1"/>
        <v>4</v>
      </c>
      <c r="J28" s="35"/>
      <c r="K28" s="227">
        <f t="shared" si="2"/>
        <v>420</v>
      </c>
      <c r="L28" s="227"/>
      <c r="M28" s="227"/>
      <c r="N28" s="35">
        <f t="shared" si="3"/>
        <v>4</v>
      </c>
      <c r="O28" s="35"/>
      <c r="P28" s="38"/>
    </row>
    <row r="29" spans="1:16">
      <c r="A29" s="31" t="str">
        <f>'1. 소켓인수검사'!A27</f>
        <v>19</v>
      </c>
      <c r="B29" s="34">
        <f>'1. 소켓인수검사'!C27</f>
        <v>1000</v>
      </c>
      <c r="C29" s="34">
        <f>'1. 소켓인수검사'!D27</f>
        <v>450</v>
      </c>
      <c r="D29" s="35">
        <v>1</v>
      </c>
      <c r="E29" s="36"/>
      <c r="F29" s="35">
        <v>1.6</v>
      </c>
      <c r="G29" s="35"/>
      <c r="H29" s="35">
        <f t="shared" si="0"/>
        <v>999</v>
      </c>
      <c r="I29" s="35">
        <f t="shared" si="1"/>
        <v>4</v>
      </c>
      <c r="J29" s="35"/>
      <c r="K29" s="227">
        <f t="shared" si="2"/>
        <v>420</v>
      </c>
      <c r="L29" s="227"/>
      <c r="M29" s="227"/>
      <c r="N29" s="35">
        <f t="shared" si="3"/>
        <v>4</v>
      </c>
      <c r="O29" s="35"/>
      <c r="P29" s="39"/>
    </row>
    <row r="30" spans="1:16">
      <c r="A30" s="31" t="str">
        <f>'1. 소켓인수검사'!A28</f>
        <v>20</v>
      </c>
      <c r="B30" s="34">
        <f>'1. 소켓인수검사'!C28</f>
        <v>1000</v>
      </c>
      <c r="C30" s="34">
        <f>'1. 소켓인수검사'!D28</f>
        <v>450</v>
      </c>
      <c r="D30" s="35">
        <v>1</v>
      </c>
      <c r="E30" s="36"/>
      <c r="F30" s="35">
        <v>1.6</v>
      </c>
      <c r="G30" s="35"/>
      <c r="H30" s="35">
        <f t="shared" si="0"/>
        <v>999</v>
      </c>
      <c r="I30" s="35">
        <f t="shared" si="1"/>
        <v>4</v>
      </c>
      <c r="J30" s="35"/>
      <c r="K30" s="227">
        <f t="shared" si="2"/>
        <v>420</v>
      </c>
      <c r="L30" s="227"/>
      <c r="M30" s="227"/>
      <c r="N30" s="35">
        <f t="shared" si="3"/>
        <v>4</v>
      </c>
      <c r="O30" s="35"/>
      <c r="P30" s="39"/>
    </row>
    <row r="31" spans="1:16">
      <c r="A31" s="31" t="str">
        <f>'1. 소켓인수검사'!A29</f>
        <v>21</v>
      </c>
      <c r="B31" s="34">
        <f>'1. 소켓인수검사'!C29</f>
        <v>1000</v>
      </c>
      <c r="C31" s="34">
        <f>'1. 소켓인수검사'!D29</f>
        <v>500</v>
      </c>
      <c r="D31" s="35">
        <v>1</v>
      </c>
      <c r="E31" s="36"/>
      <c r="F31" s="35">
        <v>1.6</v>
      </c>
      <c r="G31" s="35"/>
      <c r="H31" s="35">
        <f t="shared" si="0"/>
        <v>999</v>
      </c>
      <c r="I31" s="35">
        <f t="shared" si="1"/>
        <v>4</v>
      </c>
      <c r="J31" s="35"/>
      <c r="K31" s="227">
        <f t="shared" si="2"/>
        <v>470</v>
      </c>
      <c r="L31" s="227"/>
      <c r="M31" s="227"/>
      <c r="N31" s="35">
        <f t="shared" si="3"/>
        <v>4</v>
      </c>
      <c r="O31" s="35"/>
      <c r="P31" s="39"/>
    </row>
    <row r="32" spans="1:16">
      <c r="A32" s="31" t="str">
        <f>'1. 소켓인수검사'!A30</f>
        <v>22</v>
      </c>
      <c r="B32" s="34">
        <f>'1. 소켓인수검사'!C30</f>
        <v>1000</v>
      </c>
      <c r="C32" s="34">
        <f>'1. 소켓인수검사'!D30</f>
        <v>500</v>
      </c>
      <c r="D32" s="35">
        <v>1</v>
      </c>
      <c r="E32" s="36"/>
      <c r="F32" s="35">
        <v>1.6</v>
      </c>
      <c r="G32" s="35"/>
      <c r="H32" s="35">
        <f t="shared" si="0"/>
        <v>999</v>
      </c>
      <c r="I32" s="35">
        <f t="shared" si="1"/>
        <v>4</v>
      </c>
      <c r="J32" s="35"/>
      <c r="K32" s="227">
        <f t="shared" si="2"/>
        <v>470</v>
      </c>
      <c r="L32" s="227"/>
      <c r="M32" s="227"/>
      <c r="N32" s="35">
        <f t="shared" si="3"/>
        <v>4</v>
      </c>
      <c r="O32" s="35"/>
      <c r="P32" s="39"/>
    </row>
    <row r="33" spans="1:16">
      <c r="A33" s="31" t="str">
        <f>'1. 소켓인수검사'!A31</f>
        <v>23</v>
      </c>
      <c r="B33" s="34">
        <f>'1. 소켓인수검사'!C31</f>
        <v>1000</v>
      </c>
      <c r="C33" s="34">
        <f>'1. 소켓인수검사'!D31</f>
        <v>500</v>
      </c>
      <c r="D33" s="35">
        <v>1</v>
      </c>
      <c r="E33" s="36"/>
      <c r="F33" s="35">
        <v>1.6</v>
      </c>
      <c r="G33" s="35"/>
      <c r="H33" s="35">
        <f t="shared" si="0"/>
        <v>999</v>
      </c>
      <c r="I33" s="35">
        <f t="shared" si="1"/>
        <v>4</v>
      </c>
      <c r="J33" s="35"/>
      <c r="K33" s="227">
        <f t="shared" si="2"/>
        <v>470</v>
      </c>
      <c r="L33" s="227"/>
      <c r="M33" s="227"/>
      <c r="N33" s="35">
        <f t="shared" si="3"/>
        <v>4</v>
      </c>
      <c r="O33" s="35"/>
      <c r="P33" s="39"/>
    </row>
    <row r="34" spans="1:16">
      <c r="A34" s="31" t="str">
        <f>'1. 소켓인수검사'!A32</f>
        <v>24</v>
      </c>
      <c r="B34" s="34">
        <f>'1. 소켓인수검사'!C32</f>
        <v>1000</v>
      </c>
      <c r="C34" s="34">
        <f>'1. 소켓인수검사'!D32</f>
        <v>500</v>
      </c>
      <c r="D34" s="35">
        <v>1</v>
      </c>
      <c r="E34" s="36"/>
      <c r="F34" s="35">
        <v>1.6</v>
      </c>
      <c r="G34" s="35"/>
      <c r="H34" s="35">
        <f t="shared" si="0"/>
        <v>999</v>
      </c>
      <c r="I34" s="35">
        <f t="shared" si="1"/>
        <v>4</v>
      </c>
      <c r="J34" s="35"/>
      <c r="K34" s="227">
        <f t="shared" si="2"/>
        <v>470</v>
      </c>
      <c r="L34" s="227"/>
      <c r="M34" s="227"/>
      <c r="N34" s="35">
        <f t="shared" si="3"/>
        <v>4</v>
      </c>
      <c r="O34" s="35"/>
      <c r="P34" s="39"/>
    </row>
    <row r="35" spans="1:16">
      <c r="A35" s="31" t="str">
        <f>'1. 소켓인수검사'!A33</f>
        <v>25</v>
      </c>
      <c r="B35" s="34">
        <f>'1. 소켓인수검사'!C33</f>
        <v>1000</v>
      </c>
      <c r="C35" s="34">
        <f>'1. 소켓인수검사'!D33</f>
        <v>500</v>
      </c>
      <c r="D35" s="35">
        <v>1</v>
      </c>
      <c r="E35" s="36"/>
      <c r="F35" s="35">
        <v>1.6</v>
      </c>
      <c r="G35" s="35"/>
      <c r="H35" s="35">
        <f t="shared" si="0"/>
        <v>999</v>
      </c>
      <c r="I35" s="35">
        <f t="shared" si="1"/>
        <v>4</v>
      </c>
      <c r="J35" s="35"/>
      <c r="K35" s="227">
        <f t="shared" si="2"/>
        <v>470</v>
      </c>
      <c r="L35" s="227"/>
      <c r="M35" s="227"/>
      <c r="N35" s="35">
        <f t="shared" si="3"/>
        <v>4</v>
      </c>
      <c r="O35" s="35"/>
      <c r="P35" s="39"/>
    </row>
    <row r="36" spans="1:16">
      <c r="A36" s="31" t="str">
        <f>'1. 소켓인수검사'!A34</f>
        <v>26</v>
      </c>
      <c r="B36" s="34">
        <f>'1. 소켓인수검사'!C34</f>
        <v>1000</v>
      </c>
      <c r="C36" s="34">
        <f>'1. 소켓인수검사'!D34</f>
        <v>500</v>
      </c>
      <c r="D36" s="35">
        <v>1</v>
      </c>
      <c r="E36" s="36"/>
      <c r="F36" s="35">
        <v>1.6</v>
      </c>
      <c r="G36" s="35"/>
      <c r="H36" s="35">
        <f t="shared" si="0"/>
        <v>999</v>
      </c>
      <c r="I36" s="35">
        <f t="shared" si="1"/>
        <v>4</v>
      </c>
      <c r="J36" s="35"/>
      <c r="K36" s="227">
        <f t="shared" si="2"/>
        <v>470</v>
      </c>
      <c r="L36" s="227"/>
      <c r="M36" s="227"/>
      <c r="N36" s="35">
        <f t="shared" si="3"/>
        <v>4</v>
      </c>
      <c r="O36" s="35"/>
      <c r="P36" s="38"/>
    </row>
    <row r="37" spans="1:16">
      <c r="A37" s="31" t="str">
        <f>'1. 소켓인수검사'!A35</f>
        <v>27</v>
      </c>
      <c r="B37" s="34">
        <f>'1. 소켓인수검사'!C35</f>
        <v>1000</v>
      </c>
      <c r="C37" s="34">
        <f>'1. 소켓인수검사'!D35</f>
        <v>500</v>
      </c>
      <c r="D37" s="35">
        <v>1</v>
      </c>
      <c r="E37" s="36"/>
      <c r="F37" s="35">
        <v>1.6</v>
      </c>
      <c r="G37" s="35"/>
      <c r="H37" s="35">
        <f t="shared" si="0"/>
        <v>999</v>
      </c>
      <c r="I37" s="35">
        <f t="shared" si="1"/>
        <v>4</v>
      </c>
      <c r="J37" s="35"/>
      <c r="K37" s="227">
        <f t="shared" si="2"/>
        <v>470</v>
      </c>
      <c r="L37" s="227"/>
      <c r="M37" s="227"/>
      <c r="N37" s="35">
        <f t="shared" si="3"/>
        <v>4</v>
      </c>
      <c r="O37" s="35"/>
      <c r="P37" s="38"/>
    </row>
    <row r="38" spans="1:16">
      <c r="A38" s="31" t="str">
        <f>'1. 소켓인수검사'!A36</f>
        <v>28</v>
      </c>
      <c r="B38" s="34">
        <f>'1. 소켓인수검사'!C36</f>
        <v>1000</v>
      </c>
      <c r="C38" s="34">
        <f>'1. 소켓인수검사'!D36</f>
        <v>500</v>
      </c>
      <c r="D38" s="35">
        <v>1</v>
      </c>
      <c r="E38" s="36"/>
      <c r="F38" s="35">
        <v>1.6</v>
      </c>
      <c r="G38" s="35"/>
      <c r="H38" s="35">
        <f t="shared" si="0"/>
        <v>999</v>
      </c>
      <c r="I38" s="35">
        <f t="shared" si="1"/>
        <v>4</v>
      </c>
      <c r="J38" s="35"/>
      <c r="K38" s="227">
        <f t="shared" si="2"/>
        <v>470</v>
      </c>
      <c r="L38" s="227"/>
      <c r="M38" s="227"/>
      <c r="N38" s="35">
        <f t="shared" si="3"/>
        <v>4</v>
      </c>
      <c r="O38" s="35"/>
      <c r="P38" s="38"/>
    </row>
    <row r="39" spans="1:16">
      <c r="A39" s="31" t="str">
        <f>'1. 소켓인수검사'!A37</f>
        <v>29</v>
      </c>
      <c r="B39" s="34">
        <f>'1. 소켓인수검사'!C37</f>
        <v>1000</v>
      </c>
      <c r="C39" s="34">
        <f>'1. 소켓인수검사'!D37</f>
        <v>500</v>
      </c>
      <c r="D39" s="35">
        <v>1</v>
      </c>
      <c r="E39" s="36"/>
      <c r="F39" s="35">
        <v>1.6</v>
      </c>
      <c r="G39" s="35"/>
      <c r="H39" s="35">
        <f t="shared" si="0"/>
        <v>999</v>
      </c>
      <c r="I39" s="35">
        <f t="shared" si="1"/>
        <v>4</v>
      </c>
      <c r="J39" s="35"/>
      <c r="K39" s="227">
        <f t="shared" si="2"/>
        <v>470</v>
      </c>
      <c r="L39" s="227"/>
      <c r="M39" s="227"/>
      <c r="N39" s="35">
        <f t="shared" si="3"/>
        <v>4</v>
      </c>
      <c r="O39" s="35"/>
      <c r="P39" s="38"/>
    </row>
    <row r="40" spans="1:16">
      <c r="A40" s="31" t="str">
        <f>'1. 소켓인수검사'!A38</f>
        <v>30</v>
      </c>
      <c r="B40" s="34">
        <f>'1. 소켓인수검사'!C38</f>
        <v>1000</v>
      </c>
      <c r="C40" s="34">
        <f>'1. 소켓인수검사'!D38</f>
        <v>500</v>
      </c>
      <c r="D40" s="35">
        <v>1</v>
      </c>
      <c r="E40" s="36"/>
      <c r="F40" s="35">
        <v>1.6</v>
      </c>
      <c r="G40" s="35"/>
      <c r="H40" s="35">
        <f t="shared" si="0"/>
        <v>999</v>
      </c>
      <c r="I40" s="35">
        <f t="shared" si="1"/>
        <v>4</v>
      </c>
      <c r="J40" s="35"/>
      <c r="K40" s="227">
        <f t="shared" si="2"/>
        <v>470</v>
      </c>
      <c r="L40" s="227"/>
      <c r="M40" s="227"/>
      <c r="N40" s="35">
        <f t="shared" si="3"/>
        <v>4</v>
      </c>
      <c r="O40" s="35"/>
      <c r="P40" s="40"/>
    </row>
    <row r="41" spans="1:16">
      <c r="A41" s="31" t="str">
        <f>'1. 소켓인수검사'!A39</f>
        <v>31</v>
      </c>
      <c r="B41" s="34">
        <f>'1. 소켓인수검사'!C39</f>
        <v>1000</v>
      </c>
      <c r="C41" s="34">
        <f>'1. 소켓인수검사'!D39</f>
        <v>500</v>
      </c>
      <c r="D41" s="35">
        <v>1</v>
      </c>
      <c r="E41" s="36"/>
      <c r="F41" s="35">
        <v>1.6</v>
      </c>
      <c r="G41" s="35"/>
      <c r="H41" s="35">
        <f t="shared" si="0"/>
        <v>999</v>
      </c>
      <c r="I41" s="35">
        <f t="shared" si="1"/>
        <v>4</v>
      </c>
      <c r="J41" s="35"/>
      <c r="K41" s="227">
        <f t="shared" si="2"/>
        <v>470</v>
      </c>
      <c r="L41" s="227"/>
      <c r="M41" s="227"/>
      <c r="N41" s="35">
        <f t="shared" si="3"/>
        <v>4</v>
      </c>
      <c r="O41" s="35"/>
      <c r="P41" s="40"/>
    </row>
    <row r="42" spans="1:16">
      <c r="A42" s="31" t="str">
        <f>'1. 소켓인수검사'!A40</f>
        <v>32</v>
      </c>
      <c r="B42" s="34">
        <f>'1. 소켓인수검사'!C40</f>
        <v>1000</v>
      </c>
      <c r="C42" s="34">
        <f>'1. 소켓인수검사'!D40</f>
        <v>500</v>
      </c>
      <c r="D42" s="35">
        <v>1</v>
      </c>
      <c r="E42" s="36"/>
      <c r="F42" s="35">
        <v>1.6</v>
      </c>
      <c r="G42" s="35"/>
      <c r="H42" s="35">
        <f t="shared" si="0"/>
        <v>999</v>
      </c>
      <c r="I42" s="35">
        <f t="shared" si="1"/>
        <v>4</v>
      </c>
      <c r="J42" s="35"/>
      <c r="K42" s="227">
        <f t="shared" si="2"/>
        <v>470</v>
      </c>
      <c r="L42" s="227"/>
      <c r="M42" s="227"/>
      <c r="N42" s="35">
        <f t="shared" si="3"/>
        <v>4</v>
      </c>
      <c r="O42" s="35"/>
      <c r="P42" s="40"/>
    </row>
    <row r="43" spans="1:16">
      <c r="A43" s="31" t="str">
        <f>'1. 소켓인수검사'!A41</f>
        <v>33</v>
      </c>
      <c r="B43" s="34">
        <f>'1. 소켓인수검사'!C41</f>
        <v>1000</v>
      </c>
      <c r="C43" s="34">
        <f>'1. 소켓인수검사'!D41</f>
        <v>500</v>
      </c>
      <c r="D43" s="35">
        <v>1</v>
      </c>
      <c r="E43" s="36"/>
      <c r="F43" s="35">
        <v>1.6</v>
      </c>
      <c r="G43" s="35"/>
      <c r="H43" s="35">
        <f t="shared" si="0"/>
        <v>999</v>
      </c>
      <c r="I43" s="35">
        <f t="shared" si="1"/>
        <v>4</v>
      </c>
      <c r="J43" s="35"/>
      <c r="K43" s="227">
        <f t="shared" si="2"/>
        <v>470</v>
      </c>
      <c r="L43" s="227"/>
      <c r="M43" s="227"/>
      <c r="N43" s="35">
        <f t="shared" si="3"/>
        <v>4</v>
      </c>
      <c r="O43" s="35"/>
      <c r="P43" s="40"/>
    </row>
    <row r="44" spans="1:16">
      <c r="A44" s="31" t="str">
        <f>'1. 소켓인수검사'!A42</f>
        <v>34</v>
      </c>
      <c r="B44" s="34">
        <f>'1. 소켓인수검사'!C42</f>
        <v>1000</v>
      </c>
      <c r="C44" s="34">
        <f>'1. 소켓인수검사'!D42</f>
        <v>500</v>
      </c>
      <c r="D44" s="35">
        <v>1</v>
      </c>
      <c r="E44" s="36"/>
      <c r="F44" s="35">
        <v>1.6</v>
      </c>
      <c r="G44" s="35"/>
      <c r="H44" s="35">
        <f t="shared" si="0"/>
        <v>999</v>
      </c>
      <c r="I44" s="35">
        <f t="shared" si="1"/>
        <v>4</v>
      </c>
      <c r="J44" s="35"/>
      <c r="K44" s="227">
        <f t="shared" si="2"/>
        <v>470</v>
      </c>
      <c r="L44" s="227"/>
      <c r="M44" s="227"/>
      <c r="N44" s="35">
        <f t="shared" si="3"/>
        <v>4</v>
      </c>
      <c r="O44" s="35"/>
      <c r="P44" s="40"/>
    </row>
    <row r="45" spans="1:16" ht="16.5" customHeight="1">
      <c r="A45" s="31" t="str">
        <f>'1. 소켓인수검사'!A43</f>
        <v>35</v>
      </c>
      <c r="B45" s="34">
        <f>'1. 소켓인수검사'!C43</f>
        <v>1000</v>
      </c>
      <c r="C45" s="34">
        <f>'1. 소켓인수검사'!D43</f>
        <v>550</v>
      </c>
      <c r="D45" s="35">
        <v>1</v>
      </c>
      <c r="E45" s="36"/>
      <c r="F45" s="35">
        <v>1.6</v>
      </c>
      <c r="G45" s="35"/>
      <c r="H45" s="35">
        <f t="shared" si="0"/>
        <v>999</v>
      </c>
      <c r="I45" s="35">
        <f t="shared" si="1"/>
        <v>4</v>
      </c>
      <c r="J45" s="35"/>
      <c r="K45" s="227">
        <f t="shared" si="2"/>
        <v>520</v>
      </c>
      <c r="L45" s="227"/>
      <c r="M45" s="227"/>
      <c r="N45" s="35">
        <f t="shared" si="3"/>
        <v>4</v>
      </c>
      <c r="O45" s="35"/>
      <c r="P45" s="40"/>
    </row>
    <row r="46" spans="1:16">
      <c r="A46" s="31" t="str">
        <f>'1. 소켓인수검사'!A44</f>
        <v>36</v>
      </c>
      <c r="B46" s="34">
        <f>'1. 소켓인수검사'!C44</f>
        <v>1000</v>
      </c>
      <c r="C46" s="34">
        <f>'1. 소켓인수검사'!D44</f>
        <v>550</v>
      </c>
      <c r="D46" s="35">
        <v>1</v>
      </c>
      <c r="E46" s="36"/>
      <c r="F46" s="35">
        <v>1.6</v>
      </c>
      <c r="G46" s="35"/>
      <c r="H46" s="35">
        <f t="shared" si="0"/>
        <v>999</v>
      </c>
      <c r="I46" s="35">
        <f t="shared" si="1"/>
        <v>4</v>
      </c>
      <c r="J46" s="35"/>
      <c r="K46" s="227">
        <f t="shared" si="2"/>
        <v>520</v>
      </c>
      <c r="L46" s="227"/>
      <c r="M46" s="227"/>
      <c r="N46" s="35">
        <f t="shared" si="3"/>
        <v>4</v>
      </c>
      <c r="O46" s="35"/>
      <c r="P46" s="40"/>
    </row>
    <row r="47" spans="1:16">
      <c r="A47" s="31" t="str">
        <f>'1. 소켓인수검사'!A45</f>
        <v>37</v>
      </c>
      <c r="B47" s="34">
        <f>'1. 소켓인수검사'!C45</f>
        <v>1000</v>
      </c>
      <c r="C47" s="34">
        <f>'1. 소켓인수검사'!D45</f>
        <v>550</v>
      </c>
      <c r="D47" s="35">
        <v>1</v>
      </c>
      <c r="E47" s="36"/>
      <c r="F47" s="35">
        <v>1.6</v>
      </c>
      <c r="G47" s="35"/>
      <c r="H47" s="35">
        <f t="shared" si="0"/>
        <v>999</v>
      </c>
      <c r="I47" s="35">
        <f t="shared" si="1"/>
        <v>4</v>
      </c>
      <c r="J47" s="35"/>
      <c r="K47" s="227">
        <f t="shared" si="2"/>
        <v>520</v>
      </c>
      <c r="L47" s="227"/>
      <c r="M47" s="227"/>
      <c r="N47" s="35">
        <f t="shared" si="3"/>
        <v>4</v>
      </c>
      <c r="O47" s="35"/>
      <c r="P47" s="40"/>
    </row>
    <row r="48" spans="1:16">
      <c r="A48" s="31" t="str">
        <f>'1. 소켓인수검사'!A46</f>
        <v>38</v>
      </c>
      <c r="B48" s="34">
        <f>'1. 소켓인수검사'!C46</f>
        <v>1000</v>
      </c>
      <c r="C48" s="34">
        <f>'1. 소켓인수검사'!D46</f>
        <v>550</v>
      </c>
      <c r="D48" s="35">
        <v>1</v>
      </c>
      <c r="E48" s="36"/>
      <c r="F48" s="35">
        <v>1.6</v>
      </c>
      <c r="G48" s="35"/>
      <c r="H48" s="35">
        <f t="shared" si="0"/>
        <v>999</v>
      </c>
      <c r="I48" s="35">
        <f t="shared" si="1"/>
        <v>4</v>
      </c>
      <c r="J48" s="35"/>
      <c r="K48" s="227">
        <f t="shared" si="2"/>
        <v>520</v>
      </c>
      <c r="L48" s="227"/>
      <c r="M48" s="227"/>
      <c r="N48" s="35">
        <f t="shared" si="3"/>
        <v>4</v>
      </c>
      <c r="O48" s="35"/>
      <c r="P48" s="40"/>
    </row>
    <row r="49" spans="1:16">
      <c r="A49" s="31" t="str">
        <f>'1. 소켓인수검사'!A47</f>
        <v>39</v>
      </c>
      <c r="B49" s="34">
        <f>'1. 소켓인수검사'!C47</f>
        <v>1000</v>
      </c>
      <c r="C49" s="34">
        <f>'1. 소켓인수검사'!D47</f>
        <v>550</v>
      </c>
      <c r="D49" s="35">
        <v>1</v>
      </c>
      <c r="E49" s="36"/>
      <c r="F49" s="35">
        <v>1.6</v>
      </c>
      <c r="G49" s="35"/>
      <c r="H49" s="35">
        <f t="shared" si="0"/>
        <v>999</v>
      </c>
      <c r="I49" s="35">
        <f t="shared" si="1"/>
        <v>4</v>
      </c>
      <c r="J49" s="35"/>
      <c r="K49" s="227">
        <f t="shared" si="2"/>
        <v>520</v>
      </c>
      <c r="L49" s="227"/>
      <c r="M49" s="227"/>
      <c r="N49" s="35">
        <f t="shared" si="3"/>
        <v>4</v>
      </c>
      <c r="O49" s="35"/>
      <c r="P49" s="40"/>
    </row>
    <row r="50" spans="1:16">
      <c r="A50" s="31" t="str">
        <f>'1. 소켓인수검사'!A48</f>
        <v>40</v>
      </c>
      <c r="B50" s="34">
        <f>'1. 소켓인수검사'!C48</f>
        <v>1000</v>
      </c>
      <c r="C50" s="34">
        <f>'1. 소켓인수검사'!D48</f>
        <v>550</v>
      </c>
      <c r="D50" s="35">
        <v>1</v>
      </c>
      <c r="E50" s="36"/>
      <c r="F50" s="35">
        <v>1.6</v>
      </c>
      <c r="G50" s="35"/>
      <c r="H50" s="35">
        <f t="shared" si="0"/>
        <v>999</v>
      </c>
      <c r="I50" s="35">
        <f t="shared" si="1"/>
        <v>4</v>
      </c>
      <c r="J50" s="35"/>
      <c r="K50" s="227">
        <f t="shared" si="2"/>
        <v>520</v>
      </c>
      <c r="L50" s="227"/>
      <c r="M50" s="227"/>
      <c r="N50" s="35">
        <f t="shared" si="3"/>
        <v>4</v>
      </c>
      <c r="O50" s="35"/>
      <c r="P50" s="40"/>
    </row>
    <row r="51" spans="1:16">
      <c r="A51" s="31" t="str">
        <f>'1. 소켓인수검사'!A49</f>
        <v>41</v>
      </c>
      <c r="B51" s="34">
        <f>'1. 소켓인수검사'!C49</f>
        <v>1000</v>
      </c>
      <c r="C51" s="34">
        <f>'1. 소켓인수검사'!D49</f>
        <v>550</v>
      </c>
      <c r="D51" s="35">
        <v>1</v>
      </c>
      <c r="E51" s="36"/>
      <c r="F51" s="35">
        <v>1.6</v>
      </c>
      <c r="G51" s="35"/>
      <c r="H51" s="35">
        <f t="shared" si="0"/>
        <v>999</v>
      </c>
      <c r="I51" s="35">
        <f t="shared" si="1"/>
        <v>4</v>
      </c>
      <c r="J51" s="35"/>
      <c r="K51" s="227">
        <f t="shared" si="2"/>
        <v>520</v>
      </c>
      <c r="L51" s="227"/>
      <c r="M51" s="227"/>
      <c r="N51" s="35">
        <f t="shared" si="3"/>
        <v>4</v>
      </c>
      <c r="O51" s="35"/>
      <c r="P51" s="40"/>
    </row>
    <row r="52" spans="1:16">
      <c r="A52" s="31" t="str">
        <f>'1. 소켓인수검사'!A50</f>
        <v>42</v>
      </c>
      <c r="B52" s="34">
        <f>'1. 소켓인수검사'!C50</f>
        <v>1000</v>
      </c>
      <c r="C52" s="34">
        <f>'1. 소켓인수검사'!D50</f>
        <v>550</v>
      </c>
      <c r="D52" s="35">
        <v>1</v>
      </c>
      <c r="E52" s="36"/>
      <c r="F52" s="35">
        <v>1.6</v>
      </c>
      <c r="G52" s="35"/>
      <c r="H52" s="35">
        <f t="shared" si="0"/>
        <v>999</v>
      </c>
      <c r="I52" s="35">
        <f t="shared" si="1"/>
        <v>4</v>
      </c>
      <c r="J52" s="35"/>
      <c r="K52" s="227">
        <f t="shared" si="2"/>
        <v>520</v>
      </c>
      <c r="L52" s="227"/>
      <c r="M52" s="227"/>
      <c r="N52" s="35">
        <f t="shared" si="3"/>
        <v>4</v>
      </c>
      <c r="O52" s="35"/>
      <c r="P52" s="40"/>
    </row>
    <row r="53" spans="1:16">
      <c r="A53" s="31" t="str">
        <f>'1. 소켓인수검사'!A51</f>
        <v>43</v>
      </c>
      <c r="B53" s="34">
        <f>'1. 소켓인수검사'!C51</f>
        <v>1000</v>
      </c>
      <c r="C53" s="34">
        <f>'1. 소켓인수검사'!D51</f>
        <v>550</v>
      </c>
      <c r="D53" s="35">
        <v>1</v>
      </c>
      <c r="E53" s="36"/>
      <c r="F53" s="35">
        <v>1.6</v>
      </c>
      <c r="G53" s="35"/>
      <c r="H53" s="35">
        <f t="shared" si="0"/>
        <v>999</v>
      </c>
      <c r="I53" s="35">
        <f t="shared" si="1"/>
        <v>4</v>
      </c>
      <c r="J53" s="35"/>
      <c r="K53" s="227">
        <f t="shared" si="2"/>
        <v>520</v>
      </c>
      <c r="L53" s="227"/>
      <c r="M53" s="227"/>
      <c r="N53" s="35">
        <f t="shared" si="3"/>
        <v>4</v>
      </c>
      <c r="O53" s="35"/>
      <c r="P53" s="40"/>
    </row>
    <row r="54" spans="1:16">
      <c r="A54" s="31" t="str">
        <f>'1. 소켓인수검사'!A52</f>
        <v>44</v>
      </c>
      <c r="B54" s="34">
        <f>'1. 소켓인수검사'!C52</f>
        <v>1000</v>
      </c>
      <c r="C54" s="34">
        <f>'1. 소켓인수검사'!D52</f>
        <v>550</v>
      </c>
      <c r="D54" s="35">
        <v>1</v>
      </c>
      <c r="E54" s="36"/>
      <c r="F54" s="35">
        <v>1.6</v>
      </c>
      <c r="G54" s="35"/>
      <c r="H54" s="35">
        <f t="shared" si="0"/>
        <v>999</v>
      </c>
      <c r="I54" s="35">
        <f t="shared" si="1"/>
        <v>4</v>
      </c>
      <c r="J54" s="35"/>
      <c r="K54" s="227">
        <f t="shared" si="2"/>
        <v>520</v>
      </c>
      <c r="L54" s="227"/>
      <c r="M54" s="227"/>
      <c r="N54" s="35">
        <f t="shared" si="3"/>
        <v>4</v>
      </c>
      <c r="O54" s="35"/>
      <c r="P54" s="40"/>
    </row>
    <row r="55" spans="1:16" ht="8.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233" t="s">
        <v>58</v>
      </c>
      <c r="B56" s="233"/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</row>
    <row r="57" spans="1:16">
      <c r="A57" s="233"/>
      <c r="B57" s="233"/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</row>
    <row r="58" spans="1:16">
      <c r="A58" s="233"/>
      <c r="B58" s="233"/>
      <c r="C58" s="234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</row>
    <row r="59" spans="1:16">
      <c r="A59" s="233"/>
      <c r="B59" s="233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</row>
  </sheetData>
  <mergeCells count="75">
    <mergeCell ref="A55:P55"/>
    <mergeCell ref="A56:B59"/>
    <mergeCell ref="C56:P59"/>
    <mergeCell ref="K51:M51"/>
    <mergeCell ref="K52:M52"/>
    <mergeCell ref="K53:M53"/>
    <mergeCell ref="K54:M54"/>
    <mergeCell ref="K50:M50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27:M27"/>
    <mergeCell ref="K28:M28"/>
    <mergeCell ref="K47:M47"/>
    <mergeCell ref="K48:M48"/>
    <mergeCell ref="K49:M49"/>
    <mergeCell ref="K29:M29"/>
    <mergeCell ref="K30:M30"/>
    <mergeCell ref="K31:M31"/>
    <mergeCell ref="K32:M32"/>
    <mergeCell ref="K15:M15"/>
    <mergeCell ref="K16:M16"/>
    <mergeCell ref="K17:M17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11:M11"/>
    <mergeCell ref="K12:M12"/>
    <mergeCell ref="K13:M13"/>
    <mergeCell ref="K14:M14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</mergeCells>
  <phoneticPr fontId="31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P83"/>
  <sheetViews>
    <sheetView showGridLines="0" topLeftCell="A60" zoomScaleNormal="100" zoomScaleSheetLayoutView="100" workbookViewId="0">
      <selection activeCell="C78" sqref="C78:P83"/>
    </sheetView>
  </sheetViews>
  <sheetFormatPr defaultColWidth="9" defaultRowHeight="16.5"/>
  <cols>
    <col min="1" max="1" width="3.625" style="5" customWidth="1"/>
    <col min="2" max="3" width="9.625" style="5" customWidth="1"/>
    <col min="4" max="4" width="6.875" style="5" customWidth="1"/>
    <col min="5" max="5" width="19" style="5" bestFit="1" customWidth="1"/>
    <col min="6" max="6" width="6.375" style="5" customWidth="1"/>
    <col min="7" max="7" width="6.125" style="5" customWidth="1"/>
    <col min="8" max="9" width="9.625" style="5" customWidth="1"/>
    <col min="10" max="10" width="7.1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238" t="s">
        <v>85</v>
      </c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40"/>
    </row>
    <row r="2" spans="1:16" ht="16.5" customHeight="1">
      <c r="A2" s="1"/>
      <c r="B2" s="1"/>
      <c r="C2" s="1"/>
      <c r="D2" s="1"/>
      <c r="E2" s="241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</row>
    <row r="3" spans="1:16" ht="16.5" customHeight="1">
      <c r="A3" s="1"/>
      <c r="B3" s="1"/>
      <c r="C3" s="1"/>
      <c r="D3" s="1"/>
      <c r="E3" s="241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3"/>
    </row>
    <row r="4" spans="1:16" ht="16.5" customHeight="1">
      <c r="A4" s="1" t="s">
        <v>17</v>
      </c>
      <c r="B4" s="1"/>
      <c r="C4" s="1"/>
      <c r="D4" s="1"/>
      <c r="E4" s="244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6"/>
    </row>
    <row r="5" spans="1:16" ht="16.5" customHeight="1">
      <c r="A5" s="1" t="s">
        <v>27</v>
      </c>
      <c r="B5" s="1"/>
      <c r="C5" s="1"/>
      <c r="D5" s="1"/>
      <c r="E5" s="6" t="s">
        <v>33</v>
      </c>
      <c r="F5" s="1"/>
      <c r="G5" s="1"/>
      <c r="H5" s="1" t="s">
        <v>73</v>
      </c>
      <c r="I5" s="1"/>
      <c r="J5" s="1"/>
      <c r="K5" s="1" t="s">
        <v>69</v>
      </c>
      <c r="L5" s="1"/>
      <c r="M5" s="1"/>
      <c r="N5" s="257" t="str">
        <f>'1. 소켓인수검사'!R2</f>
        <v xml:space="preserve">26.04.24 그린산업_ 일우엠이씨_GS건설_아산탕정자이퍼스트시티 </v>
      </c>
      <c r="O5" s="257"/>
      <c r="P5" s="257"/>
    </row>
    <row r="6" spans="1:16">
      <c r="A6" s="1"/>
      <c r="B6" s="1"/>
      <c r="C6" s="1"/>
      <c r="D6" s="1"/>
      <c r="E6" s="6" t="s">
        <v>30</v>
      </c>
      <c r="F6" s="1"/>
      <c r="G6" s="1"/>
      <c r="H6" s="1"/>
      <c r="I6" s="1"/>
      <c r="J6" s="1"/>
      <c r="K6" s="1"/>
      <c r="L6" s="1"/>
      <c r="M6" s="1"/>
      <c r="N6" s="257"/>
      <c r="O6" s="257"/>
      <c r="P6" s="257"/>
    </row>
    <row r="7" spans="1:16" ht="8.1" customHeight="1">
      <c r="A7" s="247"/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248"/>
    </row>
    <row r="8" spans="1:16" ht="21" customHeight="1">
      <c r="A8" s="1" t="s">
        <v>70</v>
      </c>
      <c r="B8" s="250" t="s">
        <v>4</v>
      </c>
      <c r="C8" s="250"/>
      <c r="D8" s="250" t="s">
        <v>29</v>
      </c>
      <c r="E8" s="250" t="s">
        <v>25</v>
      </c>
      <c r="F8" s="250" t="s">
        <v>74</v>
      </c>
      <c r="G8" s="252" t="s">
        <v>28</v>
      </c>
      <c r="H8" s="253"/>
      <c r="I8" s="253"/>
      <c r="J8" s="253"/>
      <c r="K8" s="253"/>
      <c r="L8" s="253"/>
      <c r="M8" s="253"/>
      <c r="N8" s="253"/>
      <c r="O8" s="254"/>
      <c r="P8" s="250" t="s">
        <v>2</v>
      </c>
    </row>
    <row r="9" spans="1:16" ht="21" customHeight="1">
      <c r="A9" s="1"/>
      <c r="B9" s="252" t="s">
        <v>77</v>
      </c>
      <c r="C9" s="250" t="s">
        <v>75</v>
      </c>
      <c r="D9" s="250"/>
      <c r="E9" s="250"/>
      <c r="F9" s="250"/>
      <c r="G9" s="250" t="s">
        <v>71</v>
      </c>
      <c r="H9" s="250" t="s">
        <v>77</v>
      </c>
      <c r="I9" s="250"/>
      <c r="J9" s="251" t="s">
        <v>11</v>
      </c>
      <c r="K9" s="250" t="s">
        <v>75</v>
      </c>
      <c r="L9" s="250"/>
      <c r="M9" s="250"/>
      <c r="N9" s="250"/>
      <c r="O9" s="251" t="s">
        <v>11</v>
      </c>
      <c r="P9" s="250"/>
    </row>
    <row r="10" spans="1:16" ht="21" customHeight="1">
      <c r="A10" s="249"/>
      <c r="B10" s="255"/>
      <c r="C10" s="251"/>
      <c r="D10" s="251"/>
      <c r="E10" s="251"/>
      <c r="F10" s="251"/>
      <c r="G10" s="251"/>
      <c r="H10" s="23" t="s">
        <v>4</v>
      </c>
      <c r="I10" s="23" t="s">
        <v>32</v>
      </c>
      <c r="J10" s="256"/>
      <c r="K10" s="235" t="s">
        <v>4</v>
      </c>
      <c r="L10" s="236"/>
      <c r="M10" s="237"/>
      <c r="N10" s="24" t="s">
        <v>32</v>
      </c>
      <c r="O10" s="256"/>
      <c r="P10" s="251"/>
    </row>
    <row r="11" spans="1:16" ht="16.5" customHeight="1">
      <c r="A11" s="58" t="str">
        <f>'1. 소켓인수검사'!A53</f>
        <v>45</v>
      </c>
      <c r="B11" s="59">
        <f>'1. 소켓인수검사'!C53</f>
        <v>900</v>
      </c>
      <c r="C11" s="59">
        <f>'1. 소켓인수검사'!D53</f>
        <v>800</v>
      </c>
      <c r="D11" s="61">
        <v>1</v>
      </c>
      <c r="E11" s="60"/>
      <c r="F11" s="74" t="s">
        <v>62</v>
      </c>
      <c r="G11" s="61" t="s">
        <v>61</v>
      </c>
      <c r="H11" s="71">
        <f>(B11-30)/2-1</f>
        <v>434</v>
      </c>
      <c r="I11" s="61">
        <f>D11*8*2</f>
        <v>16</v>
      </c>
      <c r="J11" s="61"/>
      <c r="K11" s="258">
        <f>(C11-20)/2-10-1</f>
        <v>379</v>
      </c>
      <c r="L11" s="258"/>
      <c r="M11" s="258"/>
      <c r="N11" s="61">
        <f>D11*16*2</f>
        <v>32</v>
      </c>
      <c r="O11" s="61"/>
      <c r="P11" s="72"/>
    </row>
    <row r="12" spans="1:16">
      <c r="A12" s="62" t="str">
        <f>'1. 소켓인수검사'!A54</f>
        <v>46</v>
      </c>
      <c r="B12" s="43">
        <f>'1. 소켓인수검사'!C54</f>
        <v>900</v>
      </c>
      <c r="C12" s="43">
        <f>'1. 소켓인수검사'!D54</f>
        <v>800</v>
      </c>
      <c r="D12" s="35">
        <v>1</v>
      </c>
      <c r="E12" s="44"/>
      <c r="F12" s="75"/>
      <c r="G12" s="35"/>
      <c r="H12" s="73">
        <f t="shared" ref="H12:H76" si="0">(B12-30)/2-1</f>
        <v>434</v>
      </c>
      <c r="I12" s="35">
        <f>D12*8*2</f>
        <v>16</v>
      </c>
      <c r="J12" s="35"/>
      <c r="K12" s="259">
        <f>(C12-20)/2-10-1</f>
        <v>379</v>
      </c>
      <c r="L12" s="259"/>
      <c r="M12" s="259"/>
      <c r="N12" s="35">
        <f>D12*16*2</f>
        <v>32</v>
      </c>
      <c r="O12" s="35"/>
      <c r="P12" s="40"/>
    </row>
    <row r="13" spans="1:16">
      <c r="A13" s="62" t="str">
        <f>'1. 소켓인수검사'!A55</f>
        <v>47</v>
      </c>
      <c r="B13" s="43">
        <f>'1. 소켓인수검사'!C55</f>
        <v>900</v>
      </c>
      <c r="C13" s="43">
        <f>'1. 소켓인수검사'!D55</f>
        <v>800</v>
      </c>
      <c r="D13" s="35">
        <v>1</v>
      </c>
      <c r="E13" s="44"/>
      <c r="F13" s="75"/>
      <c r="G13" s="35"/>
      <c r="H13" s="73">
        <f t="shared" ref="H13:H61" si="1">(B13-30)/2-1</f>
        <v>434</v>
      </c>
      <c r="I13" s="35">
        <f>D13*8*2</f>
        <v>16</v>
      </c>
      <c r="J13" s="35"/>
      <c r="K13" s="259">
        <f t="shared" ref="K13:K76" si="2">(C13-20)/2-10-1</f>
        <v>379</v>
      </c>
      <c r="L13" s="259"/>
      <c r="M13" s="259"/>
      <c r="N13" s="35">
        <f>D13*16*2</f>
        <v>32</v>
      </c>
      <c r="O13" s="35"/>
      <c r="P13" s="40"/>
    </row>
    <row r="14" spans="1:16">
      <c r="A14" s="62" t="str">
        <f>'1. 소켓인수검사'!A56</f>
        <v>48</v>
      </c>
      <c r="B14" s="43">
        <f>'1. 소켓인수검사'!C56</f>
        <v>900</v>
      </c>
      <c r="C14" s="43">
        <f>'1. 소켓인수검사'!D56</f>
        <v>800</v>
      </c>
      <c r="D14" s="35">
        <v>1</v>
      </c>
      <c r="E14" s="44"/>
      <c r="F14" s="75"/>
      <c r="G14" s="35"/>
      <c r="H14" s="73">
        <f t="shared" si="1"/>
        <v>434</v>
      </c>
      <c r="I14" s="35">
        <f t="shared" ref="I14:I20" si="3">D14*8*2</f>
        <v>16</v>
      </c>
      <c r="J14" s="35"/>
      <c r="K14" s="259">
        <f t="shared" si="2"/>
        <v>379</v>
      </c>
      <c r="L14" s="259"/>
      <c r="M14" s="259"/>
      <c r="N14" s="35">
        <f t="shared" ref="N14:N20" si="4">D14*16*2</f>
        <v>32</v>
      </c>
      <c r="O14" s="35"/>
      <c r="P14" s="40"/>
    </row>
    <row r="15" spans="1:16">
      <c r="A15" s="62" t="str">
        <f>'1. 소켓인수검사'!A57</f>
        <v>49</v>
      </c>
      <c r="B15" s="43">
        <f>'1. 소켓인수검사'!C57</f>
        <v>900</v>
      </c>
      <c r="C15" s="43">
        <f>'1. 소켓인수검사'!D57</f>
        <v>800</v>
      </c>
      <c r="D15" s="35">
        <v>1</v>
      </c>
      <c r="E15" s="44"/>
      <c r="F15" s="75"/>
      <c r="G15" s="35"/>
      <c r="H15" s="73">
        <f t="shared" si="1"/>
        <v>434</v>
      </c>
      <c r="I15" s="35">
        <f t="shared" si="3"/>
        <v>16</v>
      </c>
      <c r="J15" s="35"/>
      <c r="K15" s="259">
        <f t="shared" si="2"/>
        <v>379</v>
      </c>
      <c r="L15" s="259"/>
      <c r="M15" s="259"/>
      <c r="N15" s="35">
        <f t="shared" si="4"/>
        <v>32</v>
      </c>
      <c r="O15" s="35"/>
      <c r="P15" s="40"/>
    </row>
    <row r="16" spans="1:16">
      <c r="A16" s="62" t="str">
        <f>'1. 소켓인수검사'!A58</f>
        <v>50</v>
      </c>
      <c r="B16" s="43">
        <f>'1. 소켓인수검사'!C58</f>
        <v>900</v>
      </c>
      <c r="C16" s="43">
        <f>'1. 소켓인수검사'!D58</f>
        <v>800</v>
      </c>
      <c r="D16" s="35">
        <v>1</v>
      </c>
      <c r="E16" s="44"/>
      <c r="F16" s="75"/>
      <c r="G16" s="35"/>
      <c r="H16" s="73">
        <f t="shared" si="1"/>
        <v>434</v>
      </c>
      <c r="I16" s="35">
        <f t="shared" si="3"/>
        <v>16</v>
      </c>
      <c r="J16" s="35"/>
      <c r="K16" s="259">
        <f t="shared" si="2"/>
        <v>379</v>
      </c>
      <c r="L16" s="259"/>
      <c r="M16" s="259"/>
      <c r="N16" s="35">
        <f t="shared" si="4"/>
        <v>32</v>
      </c>
      <c r="O16" s="35"/>
      <c r="P16" s="40"/>
    </row>
    <row r="17" spans="1:16">
      <c r="A17" s="62" t="str">
        <f>'1. 소켓인수검사'!A59</f>
        <v>51</v>
      </c>
      <c r="B17" s="43">
        <f>'1. 소켓인수검사'!C59</f>
        <v>900</v>
      </c>
      <c r="C17" s="43">
        <f>'1. 소켓인수검사'!D59</f>
        <v>800</v>
      </c>
      <c r="D17" s="35">
        <v>1</v>
      </c>
      <c r="E17" s="44"/>
      <c r="F17" s="75"/>
      <c r="G17" s="35"/>
      <c r="H17" s="73">
        <f t="shared" si="1"/>
        <v>434</v>
      </c>
      <c r="I17" s="35">
        <f t="shared" si="3"/>
        <v>16</v>
      </c>
      <c r="J17" s="35"/>
      <c r="K17" s="259">
        <f t="shared" si="2"/>
        <v>379</v>
      </c>
      <c r="L17" s="259"/>
      <c r="M17" s="259"/>
      <c r="N17" s="35">
        <f t="shared" si="4"/>
        <v>32</v>
      </c>
      <c r="O17" s="35"/>
      <c r="P17" s="40"/>
    </row>
    <row r="18" spans="1:16">
      <c r="A18" s="62" t="str">
        <f>'1. 소켓인수검사'!A60</f>
        <v>52</v>
      </c>
      <c r="B18" s="43">
        <f>'1. 소켓인수검사'!C60</f>
        <v>900</v>
      </c>
      <c r="C18" s="43">
        <f>'1. 소켓인수검사'!D60</f>
        <v>800</v>
      </c>
      <c r="D18" s="35">
        <v>1</v>
      </c>
      <c r="E18" s="44"/>
      <c r="F18" s="75"/>
      <c r="G18" s="35"/>
      <c r="H18" s="73">
        <f t="shared" si="1"/>
        <v>434</v>
      </c>
      <c r="I18" s="35">
        <f t="shared" si="3"/>
        <v>16</v>
      </c>
      <c r="J18" s="35"/>
      <c r="K18" s="259">
        <f t="shared" si="2"/>
        <v>379</v>
      </c>
      <c r="L18" s="259"/>
      <c r="M18" s="259"/>
      <c r="N18" s="35">
        <f t="shared" si="4"/>
        <v>32</v>
      </c>
      <c r="O18" s="35"/>
      <c r="P18" s="40"/>
    </row>
    <row r="19" spans="1:16">
      <c r="A19" s="62" t="str">
        <f>'1. 소켓인수검사'!A61</f>
        <v>53</v>
      </c>
      <c r="B19" s="43">
        <f>'1. 소켓인수검사'!C61</f>
        <v>950</v>
      </c>
      <c r="C19" s="43">
        <f>'1. 소켓인수검사'!D61</f>
        <v>750</v>
      </c>
      <c r="D19" s="35">
        <v>1</v>
      </c>
      <c r="E19" s="44"/>
      <c r="F19" s="75"/>
      <c r="G19" s="35"/>
      <c r="H19" s="73">
        <f t="shared" si="1"/>
        <v>459</v>
      </c>
      <c r="I19" s="35">
        <f t="shared" si="3"/>
        <v>16</v>
      </c>
      <c r="J19" s="35"/>
      <c r="K19" s="259">
        <f t="shared" si="2"/>
        <v>354</v>
      </c>
      <c r="L19" s="259"/>
      <c r="M19" s="259"/>
      <c r="N19" s="35">
        <f t="shared" si="4"/>
        <v>32</v>
      </c>
      <c r="O19" s="35"/>
      <c r="P19" s="40"/>
    </row>
    <row r="20" spans="1:16">
      <c r="A20" s="62" t="str">
        <f>'1. 소켓인수검사'!A62</f>
        <v>54</v>
      </c>
      <c r="B20" s="43">
        <f>'1. 소켓인수검사'!C62</f>
        <v>950</v>
      </c>
      <c r="C20" s="43">
        <f>'1. 소켓인수검사'!D62</f>
        <v>750</v>
      </c>
      <c r="D20" s="35">
        <v>1</v>
      </c>
      <c r="E20" s="44"/>
      <c r="F20" s="75"/>
      <c r="G20" s="35"/>
      <c r="H20" s="73">
        <f t="shared" si="1"/>
        <v>459</v>
      </c>
      <c r="I20" s="35">
        <f t="shared" si="3"/>
        <v>16</v>
      </c>
      <c r="J20" s="35"/>
      <c r="K20" s="259">
        <f t="shared" si="2"/>
        <v>354</v>
      </c>
      <c r="L20" s="259"/>
      <c r="M20" s="259"/>
      <c r="N20" s="35">
        <f t="shared" si="4"/>
        <v>32</v>
      </c>
      <c r="O20" s="35"/>
      <c r="P20" s="40"/>
    </row>
    <row r="21" spans="1:16">
      <c r="A21" s="62" t="str">
        <f>'1. 소켓인수검사'!A63</f>
        <v>55</v>
      </c>
      <c r="B21" s="43">
        <f>'1. 소켓인수검사'!C63</f>
        <v>950</v>
      </c>
      <c r="C21" s="43">
        <f>'1. 소켓인수검사'!D63</f>
        <v>750</v>
      </c>
      <c r="D21" s="35">
        <v>1</v>
      </c>
      <c r="E21" s="44"/>
      <c r="F21" s="75"/>
      <c r="G21" s="35"/>
      <c r="H21" s="73">
        <f t="shared" si="1"/>
        <v>459</v>
      </c>
      <c r="I21" s="35">
        <f>D21*8*2</f>
        <v>16</v>
      </c>
      <c r="J21" s="35"/>
      <c r="K21" s="259">
        <f t="shared" si="2"/>
        <v>354</v>
      </c>
      <c r="L21" s="259"/>
      <c r="M21" s="259"/>
      <c r="N21" s="35">
        <f>D21*16*2</f>
        <v>32</v>
      </c>
      <c r="O21" s="35"/>
      <c r="P21" s="40"/>
    </row>
    <row r="22" spans="1:16">
      <c r="A22" s="62" t="str">
        <f>'1. 소켓인수검사'!A64</f>
        <v>56</v>
      </c>
      <c r="B22" s="43">
        <f>'1. 소켓인수검사'!C64</f>
        <v>950</v>
      </c>
      <c r="C22" s="43">
        <f>'1. 소켓인수검사'!D64</f>
        <v>750</v>
      </c>
      <c r="D22" s="35">
        <v>1</v>
      </c>
      <c r="E22" s="44"/>
      <c r="F22" s="75"/>
      <c r="G22" s="35"/>
      <c r="H22" s="73">
        <f t="shared" si="1"/>
        <v>459</v>
      </c>
      <c r="I22" s="35">
        <f>D22*8*2</f>
        <v>16</v>
      </c>
      <c r="J22" s="35"/>
      <c r="K22" s="259">
        <f t="shared" si="2"/>
        <v>354</v>
      </c>
      <c r="L22" s="259"/>
      <c r="M22" s="259"/>
      <c r="N22" s="35">
        <f>D22*16*2</f>
        <v>32</v>
      </c>
      <c r="O22" s="35"/>
      <c r="P22" s="40"/>
    </row>
    <row r="23" spans="1:16">
      <c r="A23" s="62" t="str">
        <f>'1. 소켓인수검사'!A65</f>
        <v>57</v>
      </c>
      <c r="B23" s="43">
        <f>'1. 소켓인수검사'!C65</f>
        <v>950</v>
      </c>
      <c r="C23" s="43">
        <f>'1. 소켓인수검사'!D65</f>
        <v>750</v>
      </c>
      <c r="D23" s="35">
        <v>1</v>
      </c>
      <c r="E23" s="44"/>
      <c r="F23" s="75"/>
      <c r="G23" s="35"/>
      <c r="H23" s="73">
        <f t="shared" si="1"/>
        <v>459</v>
      </c>
      <c r="I23" s="35">
        <f t="shared" ref="I23:I29" si="5">D23*8*2</f>
        <v>16</v>
      </c>
      <c r="J23" s="35"/>
      <c r="K23" s="259">
        <f t="shared" si="2"/>
        <v>354</v>
      </c>
      <c r="L23" s="259"/>
      <c r="M23" s="259"/>
      <c r="N23" s="35">
        <f t="shared" ref="N23:N29" si="6">D23*16*2</f>
        <v>32</v>
      </c>
      <c r="O23" s="35"/>
      <c r="P23" s="40"/>
    </row>
    <row r="24" spans="1:16">
      <c r="A24" s="62" t="str">
        <f>'1. 소켓인수검사'!A66</f>
        <v>58</v>
      </c>
      <c r="B24" s="43">
        <f>'1. 소켓인수검사'!C66</f>
        <v>1000</v>
      </c>
      <c r="C24" s="43">
        <f>'1. 소켓인수검사'!D66</f>
        <v>650</v>
      </c>
      <c r="D24" s="35">
        <v>1</v>
      </c>
      <c r="E24" s="44"/>
      <c r="F24" s="75"/>
      <c r="G24" s="35"/>
      <c r="H24" s="73">
        <f t="shared" si="1"/>
        <v>484</v>
      </c>
      <c r="I24" s="35">
        <f t="shared" si="5"/>
        <v>16</v>
      </c>
      <c r="J24" s="35"/>
      <c r="K24" s="259">
        <f t="shared" si="2"/>
        <v>304</v>
      </c>
      <c r="L24" s="259"/>
      <c r="M24" s="259"/>
      <c r="N24" s="35">
        <f t="shared" si="6"/>
        <v>32</v>
      </c>
      <c r="O24" s="35"/>
      <c r="P24" s="40"/>
    </row>
    <row r="25" spans="1:16">
      <c r="A25" s="62" t="str">
        <f>'1. 소켓인수검사'!A67</f>
        <v>59</v>
      </c>
      <c r="B25" s="43">
        <f>'1. 소켓인수검사'!C67</f>
        <v>1000</v>
      </c>
      <c r="C25" s="43">
        <f>'1. 소켓인수검사'!D67</f>
        <v>650</v>
      </c>
      <c r="D25" s="35">
        <v>1</v>
      </c>
      <c r="E25" s="44"/>
      <c r="F25" s="75"/>
      <c r="G25" s="35"/>
      <c r="H25" s="73">
        <f t="shared" si="1"/>
        <v>484</v>
      </c>
      <c r="I25" s="35">
        <f t="shared" si="5"/>
        <v>16</v>
      </c>
      <c r="J25" s="35"/>
      <c r="K25" s="259">
        <f t="shared" si="2"/>
        <v>304</v>
      </c>
      <c r="L25" s="259"/>
      <c r="M25" s="259"/>
      <c r="N25" s="35">
        <f t="shared" si="6"/>
        <v>32</v>
      </c>
      <c r="O25" s="35"/>
      <c r="P25" s="40"/>
    </row>
    <row r="26" spans="1:16">
      <c r="A26" s="62" t="str">
        <f>'1. 소켓인수검사'!A68</f>
        <v>60</v>
      </c>
      <c r="B26" s="43">
        <f>'1. 소켓인수검사'!C68</f>
        <v>1000</v>
      </c>
      <c r="C26" s="43">
        <f>'1. 소켓인수검사'!D68</f>
        <v>650</v>
      </c>
      <c r="D26" s="35">
        <v>1</v>
      </c>
      <c r="E26" s="44"/>
      <c r="F26" s="75"/>
      <c r="G26" s="35"/>
      <c r="H26" s="73">
        <f t="shared" si="1"/>
        <v>484</v>
      </c>
      <c r="I26" s="35">
        <f t="shared" si="5"/>
        <v>16</v>
      </c>
      <c r="J26" s="35"/>
      <c r="K26" s="259">
        <f t="shared" si="2"/>
        <v>304</v>
      </c>
      <c r="L26" s="259"/>
      <c r="M26" s="259"/>
      <c r="N26" s="35">
        <f t="shared" si="6"/>
        <v>32</v>
      </c>
      <c r="O26" s="35"/>
      <c r="P26" s="40"/>
    </row>
    <row r="27" spans="1:16">
      <c r="A27" s="62" t="str">
        <f>'1. 소켓인수검사'!A69</f>
        <v>61</v>
      </c>
      <c r="B27" s="43">
        <f>'1. 소켓인수검사'!C69</f>
        <v>1000</v>
      </c>
      <c r="C27" s="43">
        <f>'1. 소켓인수검사'!D69</f>
        <v>650</v>
      </c>
      <c r="D27" s="35">
        <v>1</v>
      </c>
      <c r="E27" s="44"/>
      <c r="F27" s="75"/>
      <c r="G27" s="35"/>
      <c r="H27" s="73">
        <f t="shared" si="1"/>
        <v>484</v>
      </c>
      <c r="I27" s="35">
        <f t="shared" si="5"/>
        <v>16</v>
      </c>
      <c r="J27" s="35"/>
      <c r="K27" s="259">
        <f t="shared" si="2"/>
        <v>304</v>
      </c>
      <c r="L27" s="259"/>
      <c r="M27" s="259"/>
      <c r="N27" s="35">
        <f t="shared" si="6"/>
        <v>32</v>
      </c>
      <c r="O27" s="35"/>
      <c r="P27" s="40"/>
    </row>
    <row r="28" spans="1:16">
      <c r="A28" s="62" t="str">
        <f>'1. 소켓인수검사'!A70</f>
        <v>62</v>
      </c>
      <c r="B28" s="43">
        <f>'1. 소켓인수검사'!C70</f>
        <v>1000</v>
      </c>
      <c r="C28" s="43">
        <f>'1. 소켓인수검사'!D70</f>
        <v>650</v>
      </c>
      <c r="D28" s="35">
        <v>1</v>
      </c>
      <c r="E28" s="44"/>
      <c r="F28" s="75"/>
      <c r="G28" s="35"/>
      <c r="H28" s="73">
        <f t="shared" si="1"/>
        <v>484</v>
      </c>
      <c r="I28" s="35">
        <f t="shared" si="5"/>
        <v>16</v>
      </c>
      <c r="J28" s="35"/>
      <c r="K28" s="259">
        <f t="shared" si="2"/>
        <v>304</v>
      </c>
      <c r="L28" s="259"/>
      <c r="M28" s="259"/>
      <c r="N28" s="35">
        <f t="shared" si="6"/>
        <v>32</v>
      </c>
      <c r="O28" s="35"/>
      <c r="P28" s="40"/>
    </row>
    <row r="29" spans="1:16">
      <c r="A29" s="62" t="str">
        <f>'1. 소켓인수검사'!A71</f>
        <v>63</v>
      </c>
      <c r="B29" s="43">
        <f>'1. 소켓인수검사'!C71</f>
        <v>1000</v>
      </c>
      <c r="C29" s="43">
        <f>'1. 소켓인수검사'!D71</f>
        <v>650</v>
      </c>
      <c r="D29" s="35">
        <v>1</v>
      </c>
      <c r="E29" s="44"/>
      <c r="F29" s="75"/>
      <c r="G29" s="35"/>
      <c r="H29" s="73">
        <f t="shared" si="1"/>
        <v>484</v>
      </c>
      <c r="I29" s="35">
        <f t="shared" si="5"/>
        <v>16</v>
      </c>
      <c r="J29" s="35"/>
      <c r="K29" s="259">
        <f t="shared" si="2"/>
        <v>304</v>
      </c>
      <c r="L29" s="259"/>
      <c r="M29" s="259"/>
      <c r="N29" s="35">
        <f t="shared" si="6"/>
        <v>32</v>
      </c>
      <c r="O29" s="35"/>
      <c r="P29" s="40"/>
    </row>
    <row r="30" spans="1:16">
      <c r="A30" s="62" t="str">
        <f>'1. 소켓인수검사'!A72</f>
        <v>64</v>
      </c>
      <c r="B30" s="43">
        <f>'1. 소켓인수검사'!C72</f>
        <v>1000</v>
      </c>
      <c r="C30" s="43">
        <f>'1. 소켓인수검사'!D72</f>
        <v>650</v>
      </c>
      <c r="D30" s="35">
        <v>1</v>
      </c>
      <c r="E30" s="44"/>
      <c r="F30" s="75"/>
      <c r="G30" s="35"/>
      <c r="H30" s="73">
        <f t="shared" si="1"/>
        <v>484</v>
      </c>
      <c r="I30" s="35">
        <f>D30*8*2</f>
        <v>16</v>
      </c>
      <c r="J30" s="35"/>
      <c r="K30" s="259">
        <f t="shared" si="2"/>
        <v>304</v>
      </c>
      <c r="L30" s="259"/>
      <c r="M30" s="259"/>
      <c r="N30" s="35">
        <f>D30*16*2</f>
        <v>32</v>
      </c>
      <c r="O30" s="35"/>
      <c r="P30" s="40"/>
    </row>
    <row r="31" spans="1:16">
      <c r="A31" s="62" t="str">
        <f>'1. 소켓인수검사'!A73</f>
        <v>65</v>
      </c>
      <c r="B31" s="43">
        <f>'1. 소켓인수검사'!C73</f>
        <v>1000</v>
      </c>
      <c r="C31" s="43">
        <f>'1. 소켓인수검사'!D73</f>
        <v>650</v>
      </c>
      <c r="D31" s="35">
        <v>1</v>
      </c>
      <c r="E31" s="44"/>
      <c r="F31" s="75"/>
      <c r="G31" s="35"/>
      <c r="H31" s="73">
        <f t="shared" si="1"/>
        <v>484</v>
      </c>
      <c r="I31" s="35">
        <f>D31*8*2</f>
        <v>16</v>
      </c>
      <c r="J31" s="35"/>
      <c r="K31" s="259">
        <f t="shared" si="2"/>
        <v>304</v>
      </c>
      <c r="L31" s="259"/>
      <c r="M31" s="259"/>
      <c r="N31" s="35">
        <f>D31*16*2</f>
        <v>32</v>
      </c>
      <c r="O31" s="35"/>
      <c r="P31" s="40"/>
    </row>
    <row r="32" spans="1:16">
      <c r="A32" s="62" t="str">
        <f>'1. 소켓인수검사'!A74</f>
        <v>66</v>
      </c>
      <c r="B32" s="43">
        <f>'1. 소켓인수검사'!C74</f>
        <v>1000</v>
      </c>
      <c r="C32" s="43">
        <f>'1. 소켓인수검사'!D74</f>
        <v>650</v>
      </c>
      <c r="D32" s="35">
        <v>1</v>
      </c>
      <c r="E32" s="44"/>
      <c r="F32" s="75"/>
      <c r="G32" s="35"/>
      <c r="H32" s="73">
        <f t="shared" si="1"/>
        <v>484</v>
      </c>
      <c r="I32" s="35">
        <f t="shared" ref="I32:I38" si="7">D32*8*2</f>
        <v>16</v>
      </c>
      <c r="J32" s="35"/>
      <c r="K32" s="259">
        <f t="shared" si="2"/>
        <v>304</v>
      </c>
      <c r="L32" s="259"/>
      <c r="M32" s="259"/>
      <c r="N32" s="35">
        <f t="shared" ref="N32:N38" si="8">D32*16*2</f>
        <v>32</v>
      </c>
      <c r="O32" s="35"/>
      <c r="P32" s="40"/>
    </row>
    <row r="33" spans="1:16">
      <c r="A33" s="62" t="str">
        <f>'1. 소켓인수검사'!A75</f>
        <v>67</v>
      </c>
      <c r="B33" s="43">
        <f>'1. 소켓인수검사'!C75</f>
        <v>1000</v>
      </c>
      <c r="C33" s="43">
        <f>'1. 소켓인수검사'!D75</f>
        <v>650</v>
      </c>
      <c r="D33" s="35">
        <v>1</v>
      </c>
      <c r="E33" s="44"/>
      <c r="F33" s="75"/>
      <c r="G33" s="35"/>
      <c r="H33" s="73">
        <f t="shared" si="1"/>
        <v>484</v>
      </c>
      <c r="I33" s="35">
        <f t="shared" si="7"/>
        <v>16</v>
      </c>
      <c r="J33" s="35"/>
      <c r="K33" s="259">
        <f t="shared" si="2"/>
        <v>304</v>
      </c>
      <c r="L33" s="259"/>
      <c r="M33" s="259"/>
      <c r="N33" s="35">
        <f t="shared" si="8"/>
        <v>32</v>
      </c>
      <c r="O33" s="35"/>
      <c r="P33" s="40"/>
    </row>
    <row r="34" spans="1:16">
      <c r="A34" s="62" t="str">
        <f>'1. 소켓인수검사'!A76</f>
        <v>68</v>
      </c>
      <c r="B34" s="43">
        <f>'1. 소켓인수검사'!C76</f>
        <v>1000</v>
      </c>
      <c r="C34" s="43">
        <f>'1. 소켓인수검사'!D76</f>
        <v>650</v>
      </c>
      <c r="D34" s="35">
        <v>1</v>
      </c>
      <c r="E34" s="44"/>
      <c r="F34" s="75"/>
      <c r="G34" s="35"/>
      <c r="H34" s="73">
        <f t="shared" si="1"/>
        <v>484</v>
      </c>
      <c r="I34" s="35">
        <f t="shared" si="7"/>
        <v>16</v>
      </c>
      <c r="J34" s="35"/>
      <c r="K34" s="259">
        <f t="shared" si="2"/>
        <v>304</v>
      </c>
      <c r="L34" s="259"/>
      <c r="M34" s="259"/>
      <c r="N34" s="35">
        <f t="shared" si="8"/>
        <v>32</v>
      </c>
      <c r="O34" s="35"/>
      <c r="P34" s="40"/>
    </row>
    <row r="35" spans="1:16">
      <c r="A35" s="62" t="str">
        <f>'1. 소켓인수검사'!A77</f>
        <v>69</v>
      </c>
      <c r="B35" s="43">
        <f>'1. 소켓인수검사'!C77</f>
        <v>1000</v>
      </c>
      <c r="C35" s="43">
        <f>'1. 소켓인수검사'!D77</f>
        <v>650</v>
      </c>
      <c r="D35" s="35">
        <v>1</v>
      </c>
      <c r="E35" s="44"/>
      <c r="F35" s="75"/>
      <c r="G35" s="35"/>
      <c r="H35" s="73">
        <f t="shared" si="1"/>
        <v>484</v>
      </c>
      <c r="I35" s="35">
        <f t="shared" si="7"/>
        <v>16</v>
      </c>
      <c r="J35" s="35"/>
      <c r="K35" s="259">
        <f t="shared" si="2"/>
        <v>304</v>
      </c>
      <c r="L35" s="259"/>
      <c r="M35" s="259"/>
      <c r="N35" s="35">
        <f t="shared" si="8"/>
        <v>32</v>
      </c>
      <c r="O35" s="35"/>
      <c r="P35" s="40"/>
    </row>
    <row r="36" spans="1:16">
      <c r="A36" s="62" t="str">
        <f>'1. 소켓인수검사'!A78</f>
        <v>70</v>
      </c>
      <c r="B36" s="43">
        <f>'1. 소켓인수검사'!C78</f>
        <v>1000</v>
      </c>
      <c r="C36" s="43">
        <f>'1. 소켓인수검사'!D78</f>
        <v>750</v>
      </c>
      <c r="D36" s="35">
        <v>1</v>
      </c>
      <c r="E36" s="44"/>
      <c r="F36" s="75"/>
      <c r="G36" s="35"/>
      <c r="H36" s="73">
        <f t="shared" si="1"/>
        <v>484</v>
      </c>
      <c r="I36" s="35">
        <f t="shared" si="7"/>
        <v>16</v>
      </c>
      <c r="J36" s="35"/>
      <c r="K36" s="259">
        <f t="shared" si="2"/>
        <v>354</v>
      </c>
      <c r="L36" s="259"/>
      <c r="M36" s="259"/>
      <c r="N36" s="35">
        <f t="shared" si="8"/>
        <v>32</v>
      </c>
      <c r="O36" s="35"/>
      <c r="P36" s="40"/>
    </row>
    <row r="37" spans="1:16">
      <c r="A37" s="62" t="str">
        <f>'1. 소켓인수검사'!A79</f>
        <v>71</v>
      </c>
      <c r="B37" s="43">
        <f>'1. 소켓인수검사'!C79</f>
        <v>1000</v>
      </c>
      <c r="C37" s="43">
        <f>'1. 소켓인수검사'!D79</f>
        <v>750</v>
      </c>
      <c r="D37" s="35">
        <v>1</v>
      </c>
      <c r="E37" s="44"/>
      <c r="F37" s="75"/>
      <c r="G37" s="35"/>
      <c r="H37" s="73">
        <f t="shared" si="1"/>
        <v>484</v>
      </c>
      <c r="I37" s="35">
        <f t="shared" si="7"/>
        <v>16</v>
      </c>
      <c r="J37" s="35"/>
      <c r="K37" s="259">
        <f t="shared" si="2"/>
        <v>354</v>
      </c>
      <c r="L37" s="259"/>
      <c r="M37" s="259"/>
      <c r="N37" s="35">
        <f t="shared" si="8"/>
        <v>32</v>
      </c>
      <c r="O37" s="35"/>
      <c r="P37" s="40"/>
    </row>
    <row r="38" spans="1:16">
      <c r="A38" s="62" t="str">
        <f>'1. 소켓인수검사'!A80</f>
        <v>72</v>
      </c>
      <c r="B38" s="43">
        <f>'1. 소켓인수검사'!C80</f>
        <v>1000</v>
      </c>
      <c r="C38" s="43">
        <f>'1. 소켓인수검사'!D80</f>
        <v>750</v>
      </c>
      <c r="D38" s="35">
        <v>1</v>
      </c>
      <c r="E38" s="44"/>
      <c r="F38" s="75"/>
      <c r="G38" s="35"/>
      <c r="H38" s="73">
        <f t="shared" si="1"/>
        <v>484</v>
      </c>
      <c r="I38" s="35">
        <f t="shared" si="7"/>
        <v>16</v>
      </c>
      <c r="J38" s="35"/>
      <c r="K38" s="259">
        <f t="shared" si="2"/>
        <v>354</v>
      </c>
      <c r="L38" s="259"/>
      <c r="M38" s="259"/>
      <c r="N38" s="35">
        <f t="shared" si="8"/>
        <v>32</v>
      </c>
      <c r="O38" s="35"/>
      <c r="P38" s="40"/>
    </row>
    <row r="39" spans="1:16">
      <c r="A39" s="62" t="str">
        <f>'1. 소켓인수검사'!A81</f>
        <v>73</v>
      </c>
      <c r="B39" s="43">
        <f>'1. 소켓인수검사'!C81</f>
        <v>1000</v>
      </c>
      <c r="C39" s="43">
        <f>'1. 소켓인수검사'!D81</f>
        <v>750</v>
      </c>
      <c r="D39" s="35">
        <v>1</v>
      </c>
      <c r="E39" s="44"/>
      <c r="F39" s="75"/>
      <c r="G39" s="35"/>
      <c r="H39" s="73">
        <f t="shared" si="1"/>
        <v>484</v>
      </c>
      <c r="I39" s="35">
        <f>D39*8*2</f>
        <v>16</v>
      </c>
      <c r="J39" s="35"/>
      <c r="K39" s="259">
        <f t="shared" si="2"/>
        <v>354</v>
      </c>
      <c r="L39" s="259"/>
      <c r="M39" s="259"/>
      <c r="N39" s="35">
        <f>D39*16*2</f>
        <v>32</v>
      </c>
      <c r="O39" s="35"/>
      <c r="P39" s="40"/>
    </row>
    <row r="40" spans="1:16">
      <c r="A40" s="62" t="str">
        <f>'1. 소켓인수검사'!A82</f>
        <v>74</v>
      </c>
      <c r="B40" s="43">
        <f>'1. 소켓인수검사'!C82</f>
        <v>1000</v>
      </c>
      <c r="C40" s="43">
        <f>'1. 소켓인수검사'!D82</f>
        <v>750</v>
      </c>
      <c r="D40" s="35">
        <v>1</v>
      </c>
      <c r="E40" s="44"/>
      <c r="F40" s="75"/>
      <c r="G40" s="35"/>
      <c r="H40" s="73">
        <f t="shared" si="1"/>
        <v>484</v>
      </c>
      <c r="I40" s="35">
        <f>D40*8*2</f>
        <v>16</v>
      </c>
      <c r="J40" s="35"/>
      <c r="K40" s="259">
        <f t="shared" si="2"/>
        <v>354</v>
      </c>
      <c r="L40" s="259"/>
      <c r="M40" s="259"/>
      <c r="N40" s="35">
        <f>D40*16*2</f>
        <v>32</v>
      </c>
      <c r="O40" s="35"/>
      <c r="P40" s="40"/>
    </row>
    <row r="41" spans="1:16">
      <c r="A41" s="62" t="str">
        <f>'1. 소켓인수검사'!A83</f>
        <v>75</v>
      </c>
      <c r="B41" s="43">
        <f>'1. 소켓인수검사'!C83</f>
        <v>1000</v>
      </c>
      <c r="C41" s="43">
        <f>'1. 소켓인수검사'!D83</f>
        <v>750</v>
      </c>
      <c r="D41" s="35">
        <v>1</v>
      </c>
      <c r="E41" s="44"/>
      <c r="F41" s="75"/>
      <c r="G41" s="35"/>
      <c r="H41" s="73">
        <f t="shared" si="1"/>
        <v>484</v>
      </c>
      <c r="I41" s="35">
        <f t="shared" ref="I41:I46" si="9">D41*8*2</f>
        <v>16</v>
      </c>
      <c r="J41" s="35"/>
      <c r="K41" s="259">
        <f t="shared" si="2"/>
        <v>354</v>
      </c>
      <c r="L41" s="259"/>
      <c r="M41" s="259"/>
      <c r="N41" s="35">
        <f t="shared" ref="N41:N46" si="10">D41*16*2</f>
        <v>32</v>
      </c>
      <c r="O41" s="35"/>
      <c r="P41" s="40"/>
    </row>
    <row r="42" spans="1:16">
      <c r="A42" s="62" t="str">
        <f>'1. 소켓인수검사'!A84</f>
        <v>76</v>
      </c>
      <c r="B42" s="43">
        <f>'1. 소켓인수검사'!C84</f>
        <v>1000</v>
      </c>
      <c r="C42" s="43">
        <f>'1. 소켓인수검사'!D84</f>
        <v>800</v>
      </c>
      <c r="D42" s="35">
        <v>1</v>
      </c>
      <c r="E42" s="44"/>
      <c r="F42" s="75"/>
      <c r="G42" s="35"/>
      <c r="H42" s="73">
        <f t="shared" si="1"/>
        <v>484</v>
      </c>
      <c r="I42" s="35">
        <f t="shared" si="9"/>
        <v>16</v>
      </c>
      <c r="J42" s="35"/>
      <c r="K42" s="259">
        <f t="shared" si="2"/>
        <v>379</v>
      </c>
      <c r="L42" s="259"/>
      <c r="M42" s="259"/>
      <c r="N42" s="35">
        <f t="shared" si="10"/>
        <v>32</v>
      </c>
      <c r="O42" s="35"/>
      <c r="P42" s="40"/>
    </row>
    <row r="43" spans="1:16">
      <c r="A43" s="62" t="str">
        <f>'1. 소켓인수검사'!A85</f>
        <v>77</v>
      </c>
      <c r="B43" s="43">
        <f>'1. 소켓인수검사'!C85</f>
        <v>1000</v>
      </c>
      <c r="C43" s="43">
        <f>'1. 소켓인수검사'!D85</f>
        <v>800</v>
      </c>
      <c r="D43" s="35">
        <v>1</v>
      </c>
      <c r="E43" s="44"/>
      <c r="F43" s="75"/>
      <c r="G43" s="35"/>
      <c r="H43" s="73">
        <f t="shared" si="1"/>
        <v>484</v>
      </c>
      <c r="I43" s="35">
        <f t="shared" si="9"/>
        <v>16</v>
      </c>
      <c r="J43" s="35"/>
      <c r="K43" s="259">
        <f t="shared" si="2"/>
        <v>379</v>
      </c>
      <c r="L43" s="259"/>
      <c r="M43" s="259"/>
      <c r="N43" s="35">
        <f t="shared" si="10"/>
        <v>32</v>
      </c>
      <c r="O43" s="35"/>
      <c r="P43" s="40"/>
    </row>
    <row r="44" spans="1:16">
      <c r="A44" s="62" t="str">
        <f>'1. 소켓인수검사'!A86</f>
        <v>78</v>
      </c>
      <c r="B44" s="43">
        <f>'1. 소켓인수검사'!C86</f>
        <v>1000</v>
      </c>
      <c r="C44" s="43">
        <f>'1. 소켓인수검사'!D86</f>
        <v>800</v>
      </c>
      <c r="D44" s="35">
        <v>1</v>
      </c>
      <c r="E44" s="44"/>
      <c r="F44" s="75"/>
      <c r="G44" s="35"/>
      <c r="H44" s="73">
        <f t="shared" si="1"/>
        <v>484</v>
      </c>
      <c r="I44" s="35">
        <f t="shared" si="9"/>
        <v>16</v>
      </c>
      <c r="J44" s="35"/>
      <c r="K44" s="259">
        <f t="shared" si="2"/>
        <v>379</v>
      </c>
      <c r="L44" s="259"/>
      <c r="M44" s="259"/>
      <c r="N44" s="35">
        <f t="shared" si="10"/>
        <v>32</v>
      </c>
      <c r="O44" s="35"/>
      <c r="P44" s="40"/>
    </row>
    <row r="45" spans="1:16">
      <c r="A45" s="62" t="str">
        <f>'1. 소켓인수검사'!A87</f>
        <v>79</v>
      </c>
      <c r="B45" s="43">
        <f>'1. 소켓인수검사'!C87</f>
        <v>1000</v>
      </c>
      <c r="C45" s="43">
        <f>'1. 소켓인수검사'!D87</f>
        <v>800</v>
      </c>
      <c r="D45" s="35">
        <v>1</v>
      </c>
      <c r="E45" s="44"/>
      <c r="F45" s="75"/>
      <c r="G45" s="35"/>
      <c r="H45" s="73">
        <f t="shared" si="1"/>
        <v>484</v>
      </c>
      <c r="I45" s="35">
        <f t="shared" si="9"/>
        <v>16</v>
      </c>
      <c r="J45" s="35"/>
      <c r="K45" s="259">
        <f t="shared" si="2"/>
        <v>379</v>
      </c>
      <c r="L45" s="259"/>
      <c r="M45" s="259"/>
      <c r="N45" s="35">
        <f t="shared" si="10"/>
        <v>32</v>
      </c>
      <c r="O45" s="35"/>
      <c r="P45" s="40"/>
    </row>
    <row r="46" spans="1:16">
      <c r="A46" s="62" t="str">
        <f>'1. 소켓인수검사'!A88</f>
        <v>80</v>
      </c>
      <c r="B46" s="43">
        <f>'1. 소켓인수검사'!C88</f>
        <v>1000</v>
      </c>
      <c r="C46" s="43">
        <f>'1. 소켓인수검사'!D88</f>
        <v>800</v>
      </c>
      <c r="D46" s="35">
        <v>1</v>
      </c>
      <c r="E46" s="44"/>
      <c r="F46" s="75"/>
      <c r="G46" s="35"/>
      <c r="H46" s="73">
        <f t="shared" si="1"/>
        <v>484</v>
      </c>
      <c r="I46" s="35">
        <f t="shared" si="9"/>
        <v>16</v>
      </c>
      <c r="J46" s="35"/>
      <c r="K46" s="259">
        <f t="shared" si="2"/>
        <v>379</v>
      </c>
      <c r="L46" s="259"/>
      <c r="M46" s="259"/>
      <c r="N46" s="35">
        <f t="shared" si="10"/>
        <v>32</v>
      </c>
      <c r="O46" s="35"/>
      <c r="P46" s="40"/>
    </row>
    <row r="47" spans="1:16">
      <c r="A47" s="62" t="str">
        <f>'1. 소켓인수검사'!A89</f>
        <v>81</v>
      </c>
      <c r="B47" s="43">
        <f>'1. 소켓인수검사'!C89</f>
        <v>1000</v>
      </c>
      <c r="C47" s="43">
        <f>'1. 소켓인수검사'!D89</f>
        <v>800</v>
      </c>
      <c r="D47" s="35">
        <v>1</v>
      </c>
      <c r="E47" s="44"/>
      <c r="F47" s="75"/>
      <c r="G47" s="35"/>
      <c r="H47" s="73">
        <f t="shared" si="1"/>
        <v>484</v>
      </c>
      <c r="I47" s="35">
        <f>D47*8*2</f>
        <v>16</v>
      </c>
      <c r="J47" s="35"/>
      <c r="K47" s="259">
        <f t="shared" si="2"/>
        <v>379</v>
      </c>
      <c r="L47" s="259"/>
      <c r="M47" s="259"/>
      <c r="N47" s="35">
        <f>D47*16*2</f>
        <v>32</v>
      </c>
      <c r="O47" s="35"/>
      <c r="P47" s="40"/>
    </row>
    <row r="48" spans="1:16">
      <c r="A48" s="62" t="str">
        <f>'1. 소켓인수검사'!A90</f>
        <v>82</v>
      </c>
      <c r="B48" s="43">
        <f>'1. 소켓인수검사'!C90</f>
        <v>1000</v>
      </c>
      <c r="C48" s="43">
        <f>'1. 소켓인수검사'!D90</f>
        <v>800</v>
      </c>
      <c r="D48" s="35">
        <v>1</v>
      </c>
      <c r="E48" s="44"/>
      <c r="F48" s="75"/>
      <c r="G48" s="35"/>
      <c r="H48" s="73">
        <f t="shared" si="1"/>
        <v>484</v>
      </c>
      <c r="I48" s="35">
        <f>D48*8*2</f>
        <v>16</v>
      </c>
      <c r="J48" s="35"/>
      <c r="K48" s="259">
        <f t="shared" si="2"/>
        <v>379</v>
      </c>
      <c r="L48" s="259"/>
      <c r="M48" s="259"/>
      <c r="N48" s="35">
        <f>D48*16*2</f>
        <v>32</v>
      </c>
      <c r="O48" s="35"/>
      <c r="P48" s="40"/>
    </row>
    <row r="49" spans="1:16">
      <c r="A49" s="62" t="str">
        <f>'1. 소켓인수검사'!A91</f>
        <v>83</v>
      </c>
      <c r="B49" s="43">
        <f>'1. 소켓인수검사'!C91</f>
        <v>1000</v>
      </c>
      <c r="C49" s="43">
        <f>'1. 소켓인수검사'!D91</f>
        <v>800</v>
      </c>
      <c r="D49" s="35">
        <v>1</v>
      </c>
      <c r="E49" s="44"/>
      <c r="F49" s="75"/>
      <c r="G49" s="35"/>
      <c r="H49" s="73">
        <f t="shared" si="1"/>
        <v>484</v>
      </c>
      <c r="I49" s="35">
        <f t="shared" ref="I49:I55" si="11">D49*8*2</f>
        <v>16</v>
      </c>
      <c r="J49" s="35"/>
      <c r="K49" s="259">
        <f t="shared" si="2"/>
        <v>379</v>
      </c>
      <c r="L49" s="259"/>
      <c r="M49" s="259"/>
      <c r="N49" s="35">
        <f t="shared" ref="N49:N55" si="12">D49*16*2</f>
        <v>32</v>
      </c>
      <c r="O49" s="35"/>
      <c r="P49" s="40"/>
    </row>
    <row r="50" spans="1:16">
      <c r="A50" s="62" t="str">
        <f>'1. 소켓인수검사'!A92</f>
        <v>84</v>
      </c>
      <c r="B50" s="43">
        <f>'1. 소켓인수검사'!C92</f>
        <v>1000</v>
      </c>
      <c r="C50" s="43">
        <f>'1. 소켓인수검사'!D92</f>
        <v>800</v>
      </c>
      <c r="D50" s="35">
        <v>1</v>
      </c>
      <c r="E50" s="44"/>
      <c r="F50" s="75"/>
      <c r="G50" s="35"/>
      <c r="H50" s="73">
        <f t="shared" si="1"/>
        <v>484</v>
      </c>
      <c r="I50" s="35">
        <f t="shared" si="11"/>
        <v>16</v>
      </c>
      <c r="J50" s="35"/>
      <c r="K50" s="259">
        <f t="shared" si="2"/>
        <v>379</v>
      </c>
      <c r="L50" s="259"/>
      <c r="M50" s="259"/>
      <c r="N50" s="35">
        <f t="shared" si="12"/>
        <v>32</v>
      </c>
      <c r="O50" s="35"/>
      <c r="P50" s="40"/>
    </row>
    <row r="51" spans="1:16">
      <c r="A51" s="62" t="str">
        <f>'1. 소켓인수검사'!A93</f>
        <v>85</v>
      </c>
      <c r="B51" s="43">
        <f>'1. 소켓인수검사'!C93</f>
        <v>1000</v>
      </c>
      <c r="C51" s="43">
        <f>'1. 소켓인수검사'!D93</f>
        <v>800</v>
      </c>
      <c r="D51" s="35">
        <v>1</v>
      </c>
      <c r="E51" s="44"/>
      <c r="F51" s="75"/>
      <c r="G51" s="35"/>
      <c r="H51" s="73">
        <f t="shared" si="1"/>
        <v>484</v>
      </c>
      <c r="I51" s="35">
        <f t="shared" si="11"/>
        <v>16</v>
      </c>
      <c r="J51" s="35"/>
      <c r="K51" s="259">
        <f t="shared" si="2"/>
        <v>379</v>
      </c>
      <c r="L51" s="259"/>
      <c r="M51" s="259"/>
      <c r="N51" s="35">
        <f t="shared" si="12"/>
        <v>32</v>
      </c>
      <c r="O51" s="35"/>
      <c r="P51" s="40"/>
    </row>
    <row r="52" spans="1:16">
      <c r="A52" s="62" t="str">
        <f>'1. 소켓인수검사'!A94</f>
        <v>86</v>
      </c>
      <c r="B52" s="43">
        <f>'1. 소켓인수검사'!C94</f>
        <v>1000</v>
      </c>
      <c r="C52" s="43">
        <f>'1. 소켓인수검사'!D94</f>
        <v>800</v>
      </c>
      <c r="D52" s="35">
        <v>1</v>
      </c>
      <c r="E52" s="44"/>
      <c r="F52" s="75"/>
      <c r="G52" s="35"/>
      <c r="H52" s="73">
        <f t="shared" si="1"/>
        <v>484</v>
      </c>
      <c r="I52" s="35">
        <f t="shared" si="11"/>
        <v>16</v>
      </c>
      <c r="J52" s="35"/>
      <c r="K52" s="259">
        <f t="shared" si="2"/>
        <v>379</v>
      </c>
      <c r="L52" s="259"/>
      <c r="M52" s="259"/>
      <c r="N52" s="35">
        <f t="shared" si="12"/>
        <v>32</v>
      </c>
      <c r="O52" s="35"/>
      <c r="P52" s="40"/>
    </row>
    <row r="53" spans="1:16">
      <c r="A53" s="62" t="str">
        <f>'1. 소켓인수검사'!A95</f>
        <v>87</v>
      </c>
      <c r="B53" s="43">
        <f>'1. 소켓인수검사'!C95</f>
        <v>1000</v>
      </c>
      <c r="C53" s="43">
        <f>'1. 소켓인수검사'!D95</f>
        <v>800</v>
      </c>
      <c r="D53" s="35">
        <v>1</v>
      </c>
      <c r="E53" s="44"/>
      <c r="F53" s="75"/>
      <c r="G53" s="35"/>
      <c r="H53" s="73">
        <f t="shared" si="1"/>
        <v>484</v>
      </c>
      <c r="I53" s="35">
        <f t="shared" si="11"/>
        <v>16</v>
      </c>
      <c r="J53" s="35"/>
      <c r="K53" s="259">
        <f t="shared" si="2"/>
        <v>379</v>
      </c>
      <c r="L53" s="259"/>
      <c r="M53" s="259"/>
      <c r="N53" s="35">
        <f t="shared" si="12"/>
        <v>32</v>
      </c>
      <c r="O53" s="35"/>
      <c r="P53" s="40"/>
    </row>
    <row r="54" spans="1:16">
      <c r="A54" s="62" t="str">
        <f>'1. 소켓인수검사'!A96</f>
        <v>88</v>
      </c>
      <c r="B54" s="43">
        <f>'1. 소켓인수검사'!C96</f>
        <v>1000</v>
      </c>
      <c r="C54" s="43">
        <f>'1. 소켓인수검사'!D96</f>
        <v>800</v>
      </c>
      <c r="D54" s="35">
        <v>1</v>
      </c>
      <c r="E54" s="44"/>
      <c r="F54" s="75"/>
      <c r="G54" s="35"/>
      <c r="H54" s="73">
        <f t="shared" si="1"/>
        <v>484</v>
      </c>
      <c r="I54" s="35">
        <f t="shared" si="11"/>
        <v>16</v>
      </c>
      <c r="J54" s="35"/>
      <c r="K54" s="259">
        <f t="shared" si="2"/>
        <v>379</v>
      </c>
      <c r="L54" s="259"/>
      <c r="M54" s="259"/>
      <c r="N54" s="35">
        <f t="shared" si="12"/>
        <v>32</v>
      </c>
      <c r="O54" s="35"/>
      <c r="P54" s="40"/>
    </row>
    <row r="55" spans="1:16">
      <c r="A55" s="62" t="str">
        <f>'1. 소켓인수검사'!A97</f>
        <v>89</v>
      </c>
      <c r="B55" s="43">
        <f>'1. 소켓인수검사'!C97</f>
        <v>1000</v>
      </c>
      <c r="C55" s="43">
        <f>'1. 소켓인수검사'!D97</f>
        <v>800</v>
      </c>
      <c r="D55" s="35">
        <v>1</v>
      </c>
      <c r="E55" s="44"/>
      <c r="F55" s="75"/>
      <c r="G55" s="35"/>
      <c r="H55" s="73">
        <f t="shared" si="1"/>
        <v>484</v>
      </c>
      <c r="I55" s="35">
        <f t="shared" si="11"/>
        <v>16</v>
      </c>
      <c r="J55" s="35"/>
      <c r="K55" s="259">
        <f t="shared" si="2"/>
        <v>379</v>
      </c>
      <c r="L55" s="259"/>
      <c r="M55" s="259"/>
      <c r="N55" s="35">
        <f t="shared" si="12"/>
        <v>32</v>
      </c>
      <c r="O55" s="35"/>
      <c r="P55" s="40"/>
    </row>
    <row r="56" spans="1:16">
      <c r="A56" s="62" t="str">
        <f>'1. 소켓인수검사'!A98</f>
        <v>90</v>
      </c>
      <c r="B56" s="43">
        <f>'1. 소켓인수검사'!C98</f>
        <v>1000</v>
      </c>
      <c r="C56" s="43">
        <f>'1. 소켓인수검사'!D98</f>
        <v>800</v>
      </c>
      <c r="D56" s="35">
        <v>1</v>
      </c>
      <c r="E56" s="44"/>
      <c r="F56" s="75"/>
      <c r="G56" s="35"/>
      <c r="H56" s="73">
        <f t="shared" si="1"/>
        <v>484</v>
      </c>
      <c r="I56" s="35">
        <f>D56*8*2</f>
        <v>16</v>
      </c>
      <c r="J56" s="35"/>
      <c r="K56" s="259">
        <f t="shared" si="2"/>
        <v>379</v>
      </c>
      <c r="L56" s="259"/>
      <c r="M56" s="259"/>
      <c r="N56" s="35">
        <f>D56*16*2</f>
        <v>32</v>
      </c>
      <c r="O56" s="35"/>
      <c r="P56" s="40"/>
    </row>
    <row r="57" spans="1:16">
      <c r="A57" s="62" t="str">
        <f>'1. 소켓인수검사'!A99</f>
        <v>91</v>
      </c>
      <c r="B57" s="43">
        <f>'1. 소켓인수검사'!C99</f>
        <v>1000</v>
      </c>
      <c r="C57" s="43">
        <f>'1. 소켓인수검사'!D99</f>
        <v>800</v>
      </c>
      <c r="D57" s="35">
        <v>1</v>
      </c>
      <c r="E57" s="44"/>
      <c r="F57" s="75"/>
      <c r="G57" s="35"/>
      <c r="H57" s="73">
        <f t="shared" si="1"/>
        <v>484</v>
      </c>
      <c r="I57" s="35">
        <f>D57*8*2</f>
        <v>16</v>
      </c>
      <c r="J57" s="35"/>
      <c r="K57" s="259">
        <f t="shared" si="2"/>
        <v>379</v>
      </c>
      <c r="L57" s="259"/>
      <c r="M57" s="259"/>
      <c r="N57" s="35">
        <f>D57*16*2</f>
        <v>32</v>
      </c>
      <c r="O57" s="35"/>
      <c r="P57" s="40"/>
    </row>
    <row r="58" spans="1:16">
      <c r="A58" s="62" t="str">
        <f>'1. 소켓인수검사'!A100</f>
        <v>92</v>
      </c>
      <c r="B58" s="43">
        <f>'1. 소켓인수검사'!C100</f>
        <v>1000</v>
      </c>
      <c r="C58" s="43">
        <f>'1. 소켓인수검사'!D100</f>
        <v>800</v>
      </c>
      <c r="D58" s="35">
        <v>1</v>
      </c>
      <c r="E58" s="44"/>
      <c r="F58" s="75"/>
      <c r="G58" s="35"/>
      <c r="H58" s="73">
        <f t="shared" si="1"/>
        <v>484</v>
      </c>
      <c r="I58" s="35">
        <f t="shared" ref="I58:I61" si="13">D58*8*2</f>
        <v>16</v>
      </c>
      <c r="J58" s="35"/>
      <c r="K58" s="259">
        <f t="shared" si="2"/>
        <v>379</v>
      </c>
      <c r="L58" s="259"/>
      <c r="M58" s="259"/>
      <c r="N58" s="35">
        <f t="shared" ref="N58:N61" si="14">D58*16*2</f>
        <v>32</v>
      </c>
      <c r="O58" s="35"/>
      <c r="P58" s="40"/>
    </row>
    <row r="59" spans="1:16">
      <c r="A59" s="62" t="str">
        <f>'1. 소켓인수검사'!A101</f>
        <v>93</v>
      </c>
      <c r="B59" s="43">
        <f>'1. 소켓인수검사'!C101</f>
        <v>1000</v>
      </c>
      <c r="C59" s="43">
        <f>'1. 소켓인수검사'!D101</f>
        <v>800</v>
      </c>
      <c r="D59" s="35">
        <v>1</v>
      </c>
      <c r="E59" s="44"/>
      <c r="F59" s="75"/>
      <c r="G59" s="35"/>
      <c r="H59" s="73">
        <f t="shared" si="1"/>
        <v>484</v>
      </c>
      <c r="I59" s="35">
        <f t="shared" si="13"/>
        <v>16</v>
      </c>
      <c r="J59" s="35"/>
      <c r="K59" s="259">
        <f t="shared" si="2"/>
        <v>379</v>
      </c>
      <c r="L59" s="259"/>
      <c r="M59" s="259"/>
      <c r="N59" s="35">
        <f t="shared" si="14"/>
        <v>32</v>
      </c>
      <c r="O59" s="35"/>
      <c r="P59" s="40"/>
    </row>
    <row r="60" spans="1:16">
      <c r="A60" s="62" t="str">
        <f>'1. 소켓인수검사'!A102</f>
        <v>94</v>
      </c>
      <c r="B60" s="43">
        <f>'1. 소켓인수검사'!C102</f>
        <v>1000</v>
      </c>
      <c r="C60" s="43">
        <f>'1. 소켓인수검사'!D102</f>
        <v>800</v>
      </c>
      <c r="D60" s="35">
        <v>1</v>
      </c>
      <c r="E60" s="44"/>
      <c r="F60" s="75"/>
      <c r="G60" s="35"/>
      <c r="H60" s="73">
        <f t="shared" si="1"/>
        <v>484</v>
      </c>
      <c r="I60" s="35">
        <f t="shared" si="13"/>
        <v>16</v>
      </c>
      <c r="J60" s="35"/>
      <c r="K60" s="259">
        <f t="shared" si="2"/>
        <v>379</v>
      </c>
      <c r="L60" s="259"/>
      <c r="M60" s="259"/>
      <c r="N60" s="35">
        <f t="shared" si="14"/>
        <v>32</v>
      </c>
      <c r="O60" s="35"/>
      <c r="P60" s="40"/>
    </row>
    <row r="61" spans="1:16">
      <c r="A61" s="62" t="str">
        <f>'1. 소켓인수검사'!A103</f>
        <v>95</v>
      </c>
      <c r="B61" s="43">
        <f>'1. 소켓인수검사'!C103</f>
        <v>1000</v>
      </c>
      <c r="C61" s="43">
        <f>'1. 소켓인수검사'!D103</f>
        <v>800</v>
      </c>
      <c r="D61" s="35">
        <v>1</v>
      </c>
      <c r="E61" s="44"/>
      <c r="F61" s="75"/>
      <c r="G61" s="35"/>
      <c r="H61" s="73">
        <f t="shared" si="1"/>
        <v>484</v>
      </c>
      <c r="I61" s="35">
        <f t="shared" si="13"/>
        <v>16</v>
      </c>
      <c r="J61" s="35"/>
      <c r="K61" s="259">
        <f t="shared" si="2"/>
        <v>379</v>
      </c>
      <c r="L61" s="259"/>
      <c r="M61" s="259"/>
      <c r="N61" s="35">
        <f t="shared" si="14"/>
        <v>32</v>
      </c>
      <c r="O61" s="35"/>
      <c r="P61" s="40"/>
    </row>
    <row r="62" spans="1:16">
      <c r="A62" s="62" t="str">
        <f>'1. 소켓인수검사'!A104</f>
        <v>96</v>
      </c>
      <c r="B62" s="43">
        <f>'1. 소켓인수검사'!C104</f>
        <v>1000</v>
      </c>
      <c r="C62" s="43">
        <f>'1. 소켓인수검사'!D104</f>
        <v>800</v>
      </c>
      <c r="D62" s="35">
        <v>1</v>
      </c>
      <c r="E62" s="44"/>
      <c r="F62" s="75"/>
      <c r="G62" s="35"/>
      <c r="H62" s="73">
        <f t="shared" si="0"/>
        <v>484</v>
      </c>
      <c r="I62" s="35">
        <f>D62*8*2</f>
        <v>16</v>
      </c>
      <c r="J62" s="35"/>
      <c r="K62" s="259">
        <f t="shared" si="2"/>
        <v>379</v>
      </c>
      <c r="L62" s="259"/>
      <c r="M62" s="259"/>
      <c r="N62" s="35">
        <f>D62*16*2</f>
        <v>32</v>
      </c>
      <c r="O62" s="35"/>
      <c r="P62" s="40"/>
    </row>
    <row r="63" spans="1:16">
      <c r="A63" s="62" t="str">
        <f>'1. 소켓인수검사'!A105</f>
        <v>97</v>
      </c>
      <c r="B63" s="43">
        <f>'1. 소켓인수검사'!C105</f>
        <v>1000</v>
      </c>
      <c r="C63" s="43">
        <f>'1. 소켓인수검사'!D105</f>
        <v>800</v>
      </c>
      <c r="D63" s="35">
        <v>1</v>
      </c>
      <c r="E63" s="44"/>
      <c r="F63" s="75"/>
      <c r="G63" s="35"/>
      <c r="H63" s="73">
        <f t="shared" si="0"/>
        <v>484</v>
      </c>
      <c r="I63" s="35">
        <f t="shared" ref="I63:I69" si="15">D63*8*2</f>
        <v>16</v>
      </c>
      <c r="J63" s="35"/>
      <c r="K63" s="259">
        <f t="shared" si="2"/>
        <v>379</v>
      </c>
      <c r="L63" s="259"/>
      <c r="M63" s="259"/>
      <c r="N63" s="35">
        <f t="shared" ref="N63:N69" si="16">D63*16*2</f>
        <v>32</v>
      </c>
      <c r="O63" s="35"/>
      <c r="P63" s="40"/>
    </row>
    <row r="64" spans="1:16">
      <c r="A64" s="62" t="str">
        <f>'1. 소켓인수검사'!A106</f>
        <v>98</v>
      </c>
      <c r="B64" s="43">
        <f>'1. 소켓인수검사'!C106</f>
        <v>1000</v>
      </c>
      <c r="C64" s="43">
        <f>'1. 소켓인수검사'!D106</f>
        <v>800</v>
      </c>
      <c r="D64" s="35">
        <v>1</v>
      </c>
      <c r="E64" s="44"/>
      <c r="F64" s="75"/>
      <c r="G64" s="35"/>
      <c r="H64" s="73">
        <f t="shared" si="0"/>
        <v>484</v>
      </c>
      <c r="I64" s="35">
        <f t="shared" si="15"/>
        <v>16</v>
      </c>
      <c r="J64" s="35"/>
      <c r="K64" s="259">
        <f t="shared" si="2"/>
        <v>379</v>
      </c>
      <c r="L64" s="259"/>
      <c r="M64" s="259"/>
      <c r="N64" s="35">
        <f t="shared" si="16"/>
        <v>32</v>
      </c>
      <c r="O64" s="35"/>
      <c r="P64" s="40"/>
    </row>
    <row r="65" spans="1:16">
      <c r="A65" s="62" t="str">
        <f>'1. 소켓인수검사'!A107</f>
        <v>99</v>
      </c>
      <c r="B65" s="43">
        <f>'1. 소켓인수검사'!C107</f>
        <v>1200</v>
      </c>
      <c r="C65" s="43">
        <f>'1. 소켓인수검사'!D107</f>
        <v>800</v>
      </c>
      <c r="D65" s="35">
        <v>1</v>
      </c>
      <c r="E65" s="44"/>
      <c r="F65" s="75"/>
      <c r="G65" s="35"/>
      <c r="H65" s="73">
        <f t="shared" si="0"/>
        <v>584</v>
      </c>
      <c r="I65" s="35">
        <f t="shared" si="15"/>
        <v>16</v>
      </c>
      <c r="J65" s="35"/>
      <c r="K65" s="259">
        <f t="shared" si="2"/>
        <v>379</v>
      </c>
      <c r="L65" s="259"/>
      <c r="M65" s="259"/>
      <c r="N65" s="35">
        <f t="shared" si="16"/>
        <v>32</v>
      </c>
      <c r="O65" s="35"/>
      <c r="P65" s="40"/>
    </row>
    <row r="66" spans="1:16">
      <c r="A66" s="62" t="str">
        <f>'1. 소켓인수검사'!A108</f>
        <v>100</v>
      </c>
      <c r="B66" s="43">
        <f>'1. 소켓인수검사'!C108</f>
        <v>1250</v>
      </c>
      <c r="C66" s="43">
        <f>'1. 소켓인수검사'!D108</f>
        <v>800</v>
      </c>
      <c r="D66" s="35">
        <v>1</v>
      </c>
      <c r="E66" s="44"/>
      <c r="F66" s="75"/>
      <c r="G66" s="35"/>
      <c r="H66" s="73">
        <f t="shared" si="0"/>
        <v>609</v>
      </c>
      <c r="I66" s="35">
        <f t="shared" si="15"/>
        <v>16</v>
      </c>
      <c r="J66" s="35"/>
      <c r="K66" s="259">
        <f t="shared" si="2"/>
        <v>379</v>
      </c>
      <c r="L66" s="259"/>
      <c r="M66" s="259"/>
      <c r="N66" s="35">
        <f t="shared" si="16"/>
        <v>32</v>
      </c>
      <c r="O66" s="35"/>
      <c r="P66" s="40"/>
    </row>
    <row r="67" spans="1:16">
      <c r="A67" s="62" t="str">
        <f>'1. 소켓인수검사'!A109</f>
        <v>101</v>
      </c>
      <c r="B67" s="43">
        <f>'1. 소켓인수검사'!C109</f>
        <v>1250</v>
      </c>
      <c r="C67" s="43">
        <f>'1. 소켓인수검사'!D109</f>
        <v>800</v>
      </c>
      <c r="D67" s="35">
        <v>1</v>
      </c>
      <c r="E67" s="44"/>
      <c r="F67" s="75"/>
      <c r="G67" s="35"/>
      <c r="H67" s="73">
        <f t="shared" si="0"/>
        <v>609</v>
      </c>
      <c r="I67" s="35">
        <f t="shared" si="15"/>
        <v>16</v>
      </c>
      <c r="J67" s="35"/>
      <c r="K67" s="259">
        <f t="shared" si="2"/>
        <v>379</v>
      </c>
      <c r="L67" s="259"/>
      <c r="M67" s="259"/>
      <c r="N67" s="35">
        <f t="shared" si="16"/>
        <v>32</v>
      </c>
      <c r="O67" s="35"/>
      <c r="P67" s="40"/>
    </row>
    <row r="68" spans="1:16">
      <c r="A68" s="62" t="str">
        <f>'1. 소켓인수검사'!A110</f>
        <v>102</v>
      </c>
      <c r="B68" s="43">
        <f>'1. 소켓인수검사'!C110</f>
        <v>1250</v>
      </c>
      <c r="C68" s="43">
        <f>'1. 소켓인수검사'!D110</f>
        <v>800</v>
      </c>
      <c r="D68" s="35">
        <v>1</v>
      </c>
      <c r="E68" s="44"/>
      <c r="F68" s="75"/>
      <c r="G68" s="35"/>
      <c r="H68" s="73">
        <f t="shared" si="0"/>
        <v>609</v>
      </c>
      <c r="I68" s="35">
        <f t="shared" si="15"/>
        <v>16</v>
      </c>
      <c r="J68" s="35"/>
      <c r="K68" s="259">
        <f t="shared" si="2"/>
        <v>379</v>
      </c>
      <c r="L68" s="259"/>
      <c r="M68" s="259"/>
      <c r="N68" s="35">
        <f t="shared" si="16"/>
        <v>32</v>
      </c>
      <c r="O68" s="35"/>
      <c r="P68" s="40"/>
    </row>
    <row r="69" spans="1:16">
      <c r="A69" s="62" t="str">
        <f>'1. 소켓인수검사'!A111</f>
        <v>103</v>
      </c>
      <c r="B69" s="43">
        <f>'1. 소켓인수검사'!C111</f>
        <v>1250</v>
      </c>
      <c r="C69" s="43">
        <f>'1. 소켓인수검사'!D111</f>
        <v>800</v>
      </c>
      <c r="D69" s="35">
        <v>1</v>
      </c>
      <c r="E69" s="44"/>
      <c r="F69" s="75"/>
      <c r="G69" s="35"/>
      <c r="H69" s="73">
        <f t="shared" si="0"/>
        <v>609</v>
      </c>
      <c r="I69" s="35">
        <f t="shared" si="15"/>
        <v>16</v>
      </c>
      <c r="J69" s="35"/>
      <c r="K69" s="259">
        <f t="shared" si="2"/>
        <v>379</v>
      </c>
      <c r="L69" s="259"/>
      <c r="M69" s="259"/>
      <c r="N69" s="35">
        <f t="shared" si="16"/>
        <v>32</v>
      </c>
      <c r="O69" s="35"/>
      <c r="P69" s="40"/>
    </row>
    <row r="70" spans="1:16">
      <c r="A70" s="62" t="str">
        <f>'1. 소켓인수검사'!A112</f>
        <v>104</v>
      </c>
      <c r="B70" s="43">
        <f>'1. 소켓인수검사'!C112</f>
        <v>1250</v>
      </c>
      <c r="C70" s="43">
        <f>'1. 소켓인수검사'!D112</f>
        <v>800</v>
      </c>
      <c r="D70" s="35">
        <v>1</v>
      </c>
      <c r="E70" s="44"/>
      <c r="F70" s="75"/>
      <c r="G70" s="35"/>
      <c r="H70" s="73">
        <f t="shared" si="0"/>
        <v>609</v>
      </c>
      <c r="I70" s="35">
        <f>D70*8*2</f>
        <v>16</v>
      </c>
      <c r="J70" s="35"/>
      <c r="K70" s="259">
        <f t="shared" si="2"/>
        <v>379</v>
      </c>
      <c r="L70" s="259"/>
      <c r="M70" s="259"/>
      <c r="N70" s="35">
        <f>D70*16*2</f>
        <v>32</v>
      </c>
      <c r="O70" s="35"/>
      <c r="P70" s="40"/>
    </row>
    <row r="71" spans="1:16">
      <c r="A71" s="62" t="str">
        <f>'1. 소켓인수검사'!A113</f>
        <v>105</v>
      </c>
      <c r="B71" s="43">
        <f>'1. 소켓인수검사'!C113</f>
        <v>1250</v>
      </c>
      <c r="C71" s="43">
        <f>'1. 소켓인수검사'!D113</f>
        <v>800</v>
      </c>
      <c r="D71" s="35">
        <v>1</v>
      </c>
      <c r="E71" s="44"/>
      <c r="F71" s="75"/>
      <c r="G71" s="35"/>
      <c r="H71" s="73">
        <f t="shared" si="0"/>
        <v>609</v>
      </c>
      <c r="I71" s="35">
        <f>D71*8*2</f>
        <v>16</v>
      </c>
      <c r="J71" s="35"/>
      <c r="K71" s="259">
        <f t="shared" si="2"/>
        <v>379</v>
      </c>
      <c r="L71" s="259"/>
      <c r="M71" s="259"/>
      <c r="N71" s="35">
        <f>D71*16*2</f>
        <v>32</v>
      </c>
      <c r="O71" s="35"/>
      <c r="P71" s="40"/>
    </row>
    <row r="72" spans="1:16">
      <c r="A72" s="62" t="str">
        <f>'1. 소켓인수검사'!A114</f>
        <v>106</v>
      </c>
      <c r="B72" s="43">
        <f>'1. 소켓인수검사'!C114</f>
        <v>1250</v>
      </c>
      <c r="C72" s="43">
        <f>'1. 소켓인수검사'!D114</f>
        <v>800</v>
      </c>
      <c r="D72" s="35">
        <v>1</v>
      </c>
      <c r="E72" s="44"/>
      <c r="F72" s="75"/>
      <c r="G72" s="35"/>
      <c r="H72" s="73">
        <f t="shared" si="0"/>
        <v>609</v>
      </c>
      <c r="I72" s="35">
        <f t="shared" ref="I72:I76" si="17">D72*8*2</f>
        <v>16</v>
      </c>
      <c r="J72" s="35"/>
      <c r="K72" s="259">
        <f t="shared" si="2"/>
        <v>379</v>
      </c>
      <c r="L72" s="259"/>
      <c r="M72" s="259"/>
      <c r="N72" s="35">
        <f t="shared" ref="N72:N76" si="18">D72*16*2</f>
        <v>32</v>
      </c>
      <c r="O72" s="35"/>
      <c r="P72" s="40"/>
    </row>
    <row r="73" spans="1:16">
      <c r="A73" s="62" t="str">
        <f>'1. 소켓인수검사'!A115</f>
        <v>107</v>
      </c>
      <c r="B73" s="43">
        <f>'1. 소켓인수검사'!C115</f>
        <v>1250</v>
      </c>
      <c r="C73" s="43">
        <f>'1. 소켓인수검사'!D115</f>
        <v>800</v>
      </c>
      <c r="D73" s="35">
        <v>1</v>
      </c>
      <c r="E73" s="44"/>
      <c r="F73" s="75"/>
      <c r="G73" s="35"/>
      <c r="H73" s="73">
        <f t="shared" si="0"/>
        <v>609</v>
      </c>
      <c r="I73" s="35">
        <f t="shared" si="17"/>
        <v>16</v>
      </c>
      <c r="J73" s="35"/>
      <c r="K73" s="259">
        <f t="shared" si="2"/>
        <v>379</v>
      </c>
      <c r="L73" s="259"/>
      <c r="M73" s="259"/>
      <c r="N73" s="35">
        <f t="shared" si="18"/>
        <v>32</v>
      </c>
      <c r="O73" s="35"/>
      <c r="P73" s="40"/>
    </row>
    <row r="74" spans="1:16">
      <c r="A74" s="62" t="str">
        <f>'1. 소켓인수검사'!A116</f>
        <v>108</v>
      </c>
      <c r="B74" s="43">
        <f>'1. 소켓인수검사'!C116</f>
        <v>1250</v>
      </c>
      <c r="C74" s="43">
        <f>'1. 소켓인수검사'!D116</f>
        <v>800</v>
      </c>
      <c r="D74" s="35">
        <v>1</v>
      </c>
      <c r="E74" s="44"/>
      <c r="F74" s="75"/>
      <c r="G74" s="35"/>
      <c r="H74" s="73">
        <f t="shared" si="0"/>
        <v>609</v>
      </c>
      <c r="I74" s="35">
        <f t="shared" si="17"/>
        <v>16</v>
      </c>
      <c r="J74" s="35"/>
      <c r="K74" s="259">
        <f t="shared" si="2"/>
        <v>379</v>
      </c>
      <c r="L74" s="259"/>
      <c r="M74" s="259"/>
      <c r="N74" s="35">
        <f t="shared" si="18"/>
        <v>32</v>
      </c>
      <c r="O74" s="35"/>
      <c r="P74" s="40"/>
    </row>
    <row r="75" spans="1:16">
      <c r="A75" s="62" t="str">
        <f>'1. 소켓인수검사'!A117</f>
        <v>109</v>
      </c>
      <c r="B75" s="43">
        <f>'1. 소켓인수검사'!C117</f>
        <v>1250</v>
      </c>
      <c r="C75" s="43">
        <f>'1. 소켓인수검사'!D117</f>
        <v>800</v>
      </c>
      <c r="D75" s="35">
        <v>1</v>
      </c>
      <c r="E75" s="44"/>
      <c r="F75" s="75"/>
      <c r="G75" s="35"/>
      <c r="H75" s="73">
        <f t="shared" si="0"/>
        <v>609</v>
      </c>
      <c r="I75" s="35">
        <f t="shared" si="17"/>
        <v>16</v>
      </c>
      <c r="J75" s="35"/>
      <c r="K75" s="259">
        <f t="shared" si="2"/>
        <v>379</v>
      </c>
      <c r="L75" s="259"/>
      <c r="M75" s="259"/>
      <c r="N75" s="35">
        <f t="shared" si="18"/>
        <v>32</v>
      </c>
      <c r="O75" s="35"/>
      <c r="P75" s="40"/>
    </row>
    <row r="76" spans="1:16">
      <c r="A76" s="62" t="str">
        <f>'1. 소켓인수검사'!A118</f>
        <v>110</v>
      </c>
      <c r="B76" s="43">
        <f>'1. 소켓인수검사'!C118</f>
        <v>1250</v>
      </c>
      <c r="C76" s="43">
        <f>'1. 소켓인수검사'!D118</f>
        <v>800</v>
      </c>
      <c r="D76" s="35">
        <v>1</v>
      </c>
      <c r="E76" s="44"/>
      <c r="F76" s="75"/>
      <c r="G76" s="35"/>
      <c r="H76" s="73">
        <f t="shared" si="0"/>
        <v>609</v>
      </c>
      <c r="I76" s="35">
        <f t="shared" si="17"/>
        <v>16</v>
      </c>
      <c r="J76" s="35"/>
      <c r="K76" s="259">
        <f t="shared" si="2"/>
        <v>379</v>
      </c>
      <c r="L76" s="259"/>
      <c r="M76" s="259"/>
      <c r="N76" s="35">
        <f t="shared" si="18"/>
        <v>32</v>
      </c>
      <c r="O76" s="35"/>
      <c r="P76" s="40"/>
    </row>
    <row r="77" spans="1:16" ht="8.1" customHeight="1">
      <c r="A77" s="260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261"/>
    </row>
    <row r="78" spans="1:16">
      <c r="A78" s="233" t="s">
        <v>58</v>
      </c>
      <c r="B78" s="23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233"/>
      <c r="B79" s="23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233"/>
      <c r="B80" s="23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233"/>
      <c r="B81" s="23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233"/>
      <c r="B82" s="23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233"/>
      <c r="B83" s="23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</sheetData>
  <mergeCells count="97">
    <mergeCell ref="K64:M64"/>
    <mergeCell ref="K65:M65"/>
    <mergeCell ref="A77:P77"/>
    <mergeCell ref="A78:B83"/>
    <mergeCell ref="C78:P83"/>
    <mergeCell ref="K70:M70"/>
    <mergeCell ref="K71:M71"/>
    <mergeCell ref="K72:M72"/>
    <mergeCell ref="K73:M73"/>
    <mergeCell ref="K74:M74"/>
    <mergeCell ref="K75:M75"/>
    <mergeCell ref="K76:M76"/>
    <mergeCell ref="K66:M66"/>
    <mergeCell ref="K67:M67"/>
    <mergeCell ref="K68:M68"/>
    <mergeCell ref="K69:M69"/>
    <mergeCell ref="K52:M52"/>
    <mergeCell ref="K53:M53"/>
    <mergeCell ref="K54:M54"/>
    <mergeCell ref="K55:M55"/>
    <mergeCell ref="K56:M56"/>
    <mergeCell ref="K57:M57"/>
    <mergeCell ref="K58:M58"/>
    <mergeCell ref="K59:M59"/>
    <mergeCell ref="K60:M60"/>
    <mergeCell ref="K61:M61"/>
    <mergeCell ref="K62:M62"/>
    <mergeCell ref="K63:M63"/>
    <mergeCell ref="K51:M51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  <mergeCell ref="K28:M28"/>
    <mergeCell ref="K29:M29"/>
    <mergeCell ref="K48:M48"/>
    <mergeCell ref="K49:M49"/>
    <mergeCell ref="K50:M50"/>
    <mergeCell ref="K30:M30"/>
    <mergeCell ref="K31:M31"/>
    <mergeCell ref="K32:M32"/>
    <mergeCell ref="K33:M33"/>
    <mergeCell ref="K16:M16"/>
    <mergeCell ref="K17:M17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11:M11"/>
    <mergeCell ref="K12:M12"/>
    <mergeCell ref="K13:M13"/>
    <mergeCell ref="K14:M14"/>
    <mergeCell ref="K15:M15"/>
    <mergeCell ref="O9:O10"/>
    <mergeCell ref="F5:G5"/>
    <mergeCell ref="H5:H6"/>
    <mergeCell ref="I5:J6"/>
    <mergeCell ref="K5:M6"/>
    <mergeCell ref="N5:P6"/>
    <mergeCell ref="F6:G6"/>
    <mergeCell ref="C9:C10"/>
    <mergeCell ref="G9:G10"/>
    <mergeCell ref="H9:I9"/>
    <mergeCell ref="J9:J10"/>
    <mergeCell ref="K9:N9"/>
    <mergeCell ref="K10:M10"/>
    <mergeCell ref="A1:D3"/>
    <mergeCell ref="A4:B4"/>
    <mergeCell ref="C4:D4"/>
    <mergeCell ref="A5:B6"/>
    <mergeCell ref="C5:D6"/>
    <mergeCell ref="E1:P4"/>
    <mergeCell ref="A7:P7"/>
    <mergeCell ref="A8:A10"/>
    <mergeCell ref="B8:C8"/>
    <mergeCell ref="D8:D10"/>
    <mergeCell ref="E8:E10"/>
    <mergeCell ref="F8:F10"/>
    <mergeCell ref="G8:O8"/>
    <mergeCell ref="P8:P10"/>
    <mergeCell ref="B9:B10"/>
  </mergeCells>
  <phoneticPr fontId="31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Q83"/>
  <sheetViews>
    <sheetView showGridLines="0" zoomScaleNormal="100" zoomScaleSheetLayoutView="100" workbookViewId="0">
      <selection activeCell="H13" sqref="H13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6.625" style="5" customWidth="1"/>
    <col min="6" max="6" width="6.75" style="5" customWidth="1"/>
    <col min="7" max="7" width="6.625" style="5" customWidth="1"/>
    <col min="8" max="9" width="9.625" style="5" customWidth="1"/>
    <col min="10" max="10" width="7.125" style="5" customWidth="1"/>
    <col min="11" max="11" width="6.625" style="5" customWidth="1"/>
    <col min="12" max="14" width="3" style="5" customWidth="1"/>
    <col min="15" max="17" width="9.75" style="5" customWidth="1"/>
    <col min="18" max="16384" width="9" style="5"/>
  </cols>
  <sheetData>
    <row r="1" spans="1:17" ht="16.5" customHeight="1">
      <c r="A1" s="1"/>
      <c r="B1" s="1"/>
      <c r="C1" s="1"/>
      <c r="D1" s="1"/>
      <c r="E1" s="238" t="s">
        <v>15</v>
      </c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40"/>
    </row>
    <row r="2" spans="1:17" ht="16.5" customHeight="1">
      <c r="A2" s="1"/>
      <c r="B2" s="1"/>
      <c r="C2" s="1"/>
      <c r="D2" s="1"/>
      <c r="E2" s="241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3"/>
    </row>
    <row r="3" spans="1:17" ht="16.5" customHeight="1">
      <c r="A3" s="1"/>
      <c r="B3" s="1"/>
      <c r="C3" s="1"/>
      <c r="D3" s="1"/>
      <c r="E3" s="241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3"/>
    </row>
    <row r="4" spans="1:17" ht="16.5" customHeight="1">
      <c r="A4" s="1" t="s">
        <v>17</v>
      </c>
      <c r="B4" s="1"/>
      <c r="C4" s="1"/>
      <c r="D4" s="1"/>
      <c r="E4" s="244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6"/>
    </row>
    <row r="5" spans="1:17" ht="16.5" customHeight="1">
      <c r="A5" s="1" t="s">
        <v>27</v>
      </c>
      <c r="B5" s="1"/>
      <c r="C5" s="1"/>
      <c r="D5" s="1"/>
      <c r="E5" s="6" t="s">
        <v>33</v>
      </c>
      <c r="F5" s="1"/>
      <c r="G5" s="1"/>
      <c r="H5" s="1" t="s">
        <v>73</v>
      </c>
      <c r="I5" s="1"/>
      <c r="J5" s="1"/>
      <c r="K5" s="260" t="s">
        <v>69</v>
      </c>
      <c r="L5" s="1"/>
      <c r="M5" s="1"/>
      <c r="N5" s="261"/>
      <c r="O5" s="257" t="str">
        <f>'1. 소켓인수검사'!R2</f>
        <v xml:space="preserve">26.04.24 그린산업_ 일우엠이씨_GS건설_아산탕정자이퍼스트시티 </v>
      </c>
      <c r="P5" s="257"/>
      <c r="Q5" s="257"/>
    </row>
    <row r="6" spans="1:17">
      <c r="A6" s="1"/>
      <c r="B6" s="1"/>
      <c r="C6" s="1"/>
      <c r="D6" s="1"/>
      <c r="E6" s="6" t="s">
        <v>30</v>
      </c>
      <c r="F6" s="1"/>
      <c r="G6" s="1"/>
      <c r="H6" s="1"/>
      <c r="I6" s="1"/>
      <c r="J6" s="1"/>
      <c r="K6" s="247"/>
      <c r="L6" s="157"/>
      <c r="M6" s="157"/>
      <c r="N6" s="248"/>
      <c r="O6" s="257"/>
      <c r="P6" s="257"/>
      <c r="Q6" s="257"/>
    </row>
    <row r="7" spans="1:17" ht="8.1" customHeight="1">
      <c r="A7" s="247"/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248"/>
    </row>
    <row r="8" spans="1:17">
      <c r="A8" s="1" t="s">
        <v>70</v>
      </c>
      <c r="B8" s="250" t="s">
        <v>4</v>
      </c>
      <c r="C8" s="250"/>
      <c r="D8" s="250" t="s">
        <v>29</v>
      </c>
      <c r="E8" s="250" t="s">
        <v>25</v>
      </c>
      <c r="F8" s="250" t="s">
        <v>74</v>
      </c>
      <c r="G8" s="252" t="s">
        <v>28</v>
      </c>
      <c r="H8" s="253"/>
      <c r="I8" s="253"/>
      <c r="J8" s="253"/>
      <c r="K8" s="252"/>
      <c r="L8" s="253"/>
      <c r="M8" s="253"/>
      <c r="N8" s="253"/>
      <c r="O8" s="253"/>
      <c r="P8" s="254"/>
      <c r="Q8" s="250" t="s">
        <v>2</v>
      </c>
    </row>
    <row r="9" spans="1:17" ht="16.5" customHeight="1">
      <c r="A9" s="1"/>
      <c r="B9" s="252" t="s">
        <v>77</v>
      </c>
      <c r="C9" s="250" t="s">
        <v>75</v>
      </c>
      <c r="D9" s="250"/>
      <c r="E9" s="250"/>
      <c r="F9" s="250"/>
      <c r="G9" s="250" t="s">
        <v>71</v>
      </c>
      <c r="H9" s="250" t="s">
        <v>63</v>
      </c>
      <c r="I9" s="250"/>
      <c r="J9" s="251" t="s">
        <v>11</v>
      </c>
      <c r="K9" s="251" t="s">
        <v>71</v>
      </c>
      <c r="L9" s="250" t="s">
        <v>19</v>
      </c>
      <c r="M9" s="250"/>
      <c r="N9" s="250"/>
      <c r="O9" s="250"/>
      <c r="P9" s="251" t="s">
        <v>11</v>
      </c>
      <c r="Q9" s="250"/>
    </row>
    <row r="10" spans="1:17">
      <c r="A10" s="249"/>
      <c r="B10" s="255"/>
      <c r="C10" s="251"/>
      <c r="D10" s="251"/>
      <c r="E10" s="251"/>
      <c r="F10" s="251"/>
      <c r="G10" s="251"/>
      <c r="H10" s="23" t="s">
        <v>4</v>
      </c>
      <c r="I10" s="23" t="s">
        <v>32</v>
      </c>
      <c r="J10" s="256"/>
      <c r="K10" s="256"/>
      <c r="L10" s="235" t="s">
        <v>4</v>
      </c>
      <c r="M10" s="236"/>
      <c r="N10" s="237"/>
      <c r="O10" s="24" t="s">
        <v>32</v>
      </c>
      <c r="P10" s="256"/>
      <c r="Q10" s="251"/>
    </row>
    <row r="11" spans="1:17" ht="20.100000000000001" customHeight="1">
      <c r="A11" s="58" t="str">
        <f>'1. 소켓인수검사'!A53</f>
        <v>45</v>
      </c>
      <c r="B11" s="59">
        <f>'1. 소켓인수검사'!C53</f>
        <v>900</v>
      </c>
      <c r="C11" s="59">
        <f>'1. 소켓인수검사'!D53</f>
        <v>800</v>
      </c>
      <c r="D11" s="61">
        <v>1</v>
      </c>
      <c r="E11" s="76"/>
      <c r="F11" s="230" t="s">
        <v>62</v>
      </c>
      <c r="G11" s="71">
        <f>228-3</f>
        <v>225</v>
      </c>
      <c r="H11" s="61">
        <f>((B11-30)/2)-1</f>
        <v>434</v>
      </c>
      <c r="I11" s="61">
        <f t="shared" ref="I11:I74" si="0">D11*4*2</f>
        <v>8</v>
      </c>
      <c r="J11" s="61"/>
      <c r="K11" s="71">
        <f>240-3</f>
        <v>237</v>
      </c>
      <c r="L11" s="264">
        <f t="shared" ref="L11:L21" si="1">C11</f>
        <v>800</v>
      </c>
      <c r="M11" s="265"/>
      <c r="N11" s="265"/>
      <c r="O11" s="61">
        <f t="shared" ref="O11:O21" si="2">D11*2*2</f>
        <v>4</v>
      </c>
      <c r="P11" s="29"/>
      <c r="Q11" s="30"/>
    </row>
    <row r="12" spans="1:17" ht="19.5" customHeight="1">
      <c r="A12" s="62" t="str">
        <f>'1. 소켓인수검사'!A54</f>
        <v>46</v>
      </c>
      <c r="B12" s="43">
        <f>'1. 소켓인수검사'!C54</f>
        <v>900</v>
      </c>
      <c r="C12" s="43">
        <f>'1. 소켓인수검사'!D54</f>
        <v>800</v>
      </c>
      <c r="D12" s="35">
        <v>1</v>
      </c>
      <c r="E12" s="77"/>
      <c r="F12" s="214"/>
      <c r="G12" s="73">
        <f t="shared" ref="G12:G75" si="3">228-3</f>
        <v>225</v>
      </c>
      <c r="H12" s="35">
        <f>((B12-30)/2)-1</f>
        <v>434</v>
      </c>
      <c r="I12" s="35">
        <f t="shared" si="0"/>
        <v>8</v>
      </c>
      <c r="J12" s="35"/>
      <c r="K12" s="73">
        <f t="shared" ref="K12:K75" si="4">240-3</f>
        <v>237</v>
      </c>
      <c r="L12" s="262">
        <f t="shared" si="1"/>
        <v>800</v>
      </c>
      <c r="M12" s="263"/>
      <c r="N12" s="263"/>
      <c r="O12" s="35">
        <f t="shared" si="2"/>
        <v>4</v>
      </c>
      <c r="P12" s="32"/>
      <c r="Q12" s="33"/>
    </row>
    <row r="13" spans="1:17" ht="20.100000000000001" customHeight="1">
      <c r="A13" s="62" t="str">
        <f>'1. 소켓인수검사'!A55</f>
        <v>47</v>
      </c>
      <c r="B13" s="43">
        <f>'1. 소켓인수검사'!C55</f>
        <v>900</v>
      </c>
      <c r="C13" s="43">
        <f>'1. 소켓인수검사'!D55</f>
        <v>800</v>
      </c>
      <c r="D13" s="35">
        <v>1</v>
      </c>
      <c r="E13" s="77"/>
      <c r="F13" s="214"/>
      <c r="G13" s="73">
        <f t="shared" si="3"/>
        <v>225</v>
      </c>
      <c r="H13" s="35">
        <f t="shared" ref="H13:H21" si="5">((B13-30)/2)-1</f>
        <v>434</v>
      </c>
      <c r="I13" s="35">
        <f t="shared" si="0"/>
        <v>8</v>
      </c>
      <c r="J13" s="35"/>
      <c r="K13" s="73">
        <f t="shared" si="4"/>
        <v>237</v>
      </c>
      <c r="L13" s="262">
        <f t="shared" si="1"/>
        <v>800</v>
      </c>
      <c r="M13" s="263"/>
      <c r="N13" s="263"/>
      <c r="O13" s="35">
        <f t="shared" si="2"/>
        <v>4</v>
      </c>
      <c r="P13" s="32"/>
      <c r="Q13" s="33"/>
    </row>
    <row r="14" spans="1:17" ht="20.100000000000001" customHeight="1">
      <c r="A14" s="62" t="str">
        <f>'1. 소켓인수검사'!A56</f>
        <v>48</v>
      </c>
      <c r="B14" s="43">
        <f>'1. 소켓인수검사'!C56</f>
        <v>900</v>
      </c>
      <c r="C14" s="43">
        <f>'1. 소켓인수검사'!D56</f>
        <v>800</v>
      </c>
      <c r="D14" s="35">
        <v>1</v>
      </c>
      <c r="E14" s="77"/>
      <c r="F14" s="214"/>
      <c r="G14" s="73">
        <f t="shared" si="3"/>
        <v>225</v>
      </c>
      <c r="H14" s="35">
        <f t="shared" si="5"/>
        <v>434</v>
      </c>
      <c r="I14" s="35">
        <f t="shared" si="0"/>
        <v>8</v>
      </c>
      <c r="J14" s="35"/>
      <c r="K14" s="73">
        <f t="shared" si="4"/>
        <v>237</v>
      </c>
      <c r="L14" s="262">
        <f t="shared" si="1"/>
        <v>800</v>
      </c>
      <c r="M14" s="263"/>
      <c r="N14" s="263"/>
      <c r="O14" s="35">
        <f t="shared" si="2"/>
        <v>4</v>
      </c>
      <c r="P14" s="32"/>
      <c r="Q14" s="33"/>
    </row>
    <row r="15" spans="1:17" ht="20.100000000000001" customHeight="1">
      <c r="A15" s="62" t="str">
        <f>'1. 소켓인수검사'!A57</f>
        <v>49</v>
      </c>
      <c r="B15" s="43">
        <f>'1. 소켓인수검사'!C57</f>
        <v>900</v>
      </c>
      <c r="C15" s="43">
        <f>'1. 소켓인수검사'!D57</f>
        <v>800</v>
      </c>
      <c r="D15" s="35">
        <v>1</v>
      </c>
      <c r="E15" s="77"/>
      <c r="F15" s="214"/>
      <c r="G15" s="73">
        <f t="shared" si="3"/>
        <v>225</v>
      </c>
      <c r="H15" s="35">
        <f t="shared" si="5"/>
        <v>434</v>
      </c>
      <c r="I15" s="35">
        <f t="shared" si="0"/>
        <v>8</v>
      </c>
      <c r="J15" s="35"/>
      <c r="K15" s="73">
        <f t="shared" si="4"/>
        <v>237</v>
      </c>
      <c r="L15" s="262">
        <f t="shared" si="1"/>
        <v>800</v>
      </c>
      <c r="M15" s="263"/>
      <c r="N15" s="263"/>
      <c r="O15" s="35">
        <f t="shared" si="2"/>
        <v>4</v>
      </c>
      <c r="P15" s="32"/>
      <c r="Q15" s="78"/>
    </row>
    <row r="16" spans="1:17" ht="20.100000000000001" customHeight="1">
      <c r="A16" s="62" t="str">
        <f>'1. 소켓인수검사'!A58</f>
        <v>50</v>
      </c>
      <c r="B16" s="43">
        <f>'1. 소켓인수검사'!C58</f>
        <v>900</v>
      </c>
      <c r="C16" s="43">
        <f>'1. 소켓인수검사'!D58</f>
        <v>800</v>
      </c>
      <c r="D16" s="35">
        <v>1</v>
      </c>
      <c r="E16" s="77"/>
      <c r="F16" s="214"/>
      <c r="G16" s="73">
        <f t="shared" si="3"/>
        <v>225</v>
      </c>
      <c r="H16" s="35">
        <f t="shared" si="5"/>
        <v>434</v>
      </c>
      <c r="I16" s="35">
        <f t="shared" si="0"/>
        <v>8</v>
      </c>
      <c r="J16" s="35"/>
      <c r="K16" s="73">
        <f t="shared" si="4"/>
        <v>237</v>
      </c>
      <c r="L16" s="262">
        <f t="shared" si="1"/>
        <v>800</v>
      </c>
      <c r="M16" s="263"/>
      <c r="N16" s="263"/>
      <c r="O16" s="35">
        <f t="shared" si="2"/>
        <v>4</v>
      </c>
      <c r="P16" s="32"/>
      <c r="Q16" s="78"/>
    </row>
    <row r="17" spans="1:17" ht="20.100000000000001" customHeight="1">
      <c r="A17" s="62" t="str">
        <f>'1. 소켓인수검사'!A59</f>
        <v>51</v>
      </c>
      <c r="B17" s="43">
        <f>'1. 소켓인수검사'!C59</f>
        <v>900</v>
      </c>
      <c r="C17" s="43">
        <f>'1. 소켓인수검사'!D59</f>
        <v>800</v>
      </c>
      <c r="D17" s="35">
        <v>1</v>
      </c>
      <c r="E17" s="77"/>
      <c r="F17" s="214"/>
      <c r="G17" s="73">
        <f t="shared" si="3"/>
        <v>225</v>
      </c>
      <c r="H17" s="35">
        <f t="shared" si="5"/>
        <v>434</v>
      </c>
      <c r="I17" s="35">
        <f t="shared" si="0"/>
        <v>8</v>
      </c>
      <c r="J17" s="35"/>
      <c r="K17" s="73">
        <f t="shared" si="4"/>
        <v>237</v>
      </c>
      <c r="L17" s="262">
        <f t="shared" si="1"/>
        <v>800</v>
      </c>
      <c r="M17" s="263"/>
      <c r="N17" s="263"/>
      <c r="O17" s="35">
        <f t="shared" si="2"/>
        <v>4</v>
      </c>
      <c r="P17" s="32"/>
      <c r="Q17" s="33"/>
    </row>
    <row r="18" spans="1:17" ht="20.100000000000001" customHeight="1">
      <c r="A18" s="62" t="str">
        <f>'1. 소켓인수검사'!A60</f>
        <v>52</v>
      </c>
      <c r="B18" s="43">
        <f>'1. 소켓인수검사'!C60</f>
        <v>900</v>
      </c>
      <c r="C18" s="43">
        <f>'1. 소켓인수검사'!D60</f>
        <v>800</v>
      </c>
      <c r="D18" s="35">
        <v>1</v>
      </c>
      <c r="E18" s="77"/>
      <c r="F18" s="214"/>
      <c r="G18" s="73">
        <f t="shared" si="3"/>
        <v>225</v>
      </c>
      <c r="H18" s="35">
        <f t="shared" si="5"/>
        <v>434</v>
      </c>
      <c r="I18" s="35">
        <f t="shared" si="0"/>
        <v>8</v>
      </c>
      <c r="J18" s="35"/>
      <c r="K18" s="73">
        <f t="shared" si="4"/>
        <v>237</v>
      </c>
      <c r="L18" s="262">
        <f t="shared" si="1"/>
        <v>800</v>
      </c>
      <c r="M18" s="263"/>
      <c r="N18" s="263"/>
      <c r="O18" s="35">
        <f t="shared" si="2"/>
        <v>4</v>
      </c>
      <c r="P18" s="32"/>
      <c r="Q18" s="33"/>
    </row>
    <row r="19" spans="1:17" ht="20.100000000000001" customHeight="1">
      <c r="A19" s="62" t="str">
        <f>'1. 소켓인수검사'!A61</f>
        <v>53</v>
      </c>
      <c r="B19" s="43">
        <f>'1. 소켓인수검사'!C61</f>
        <v>950</v>
      </c>
      <c r="C19" s="43">
        <f>'1. 소켓인수검사'!D61</f>
        <v>750</v>
      </c>
      <c r="D19" s="35">
        <v>1</v>
      </c>
      <c r="E19" s="77"/>
      <c r="F19" s="214"/>
      <c r="G19" s="73">
        <f t="shared" si="3"/>
        <v>225</v>
      </c>
      <c r="H19" s="35">
        <f t="shared" si="5"/>
        <v>459</v>
      </c>
      <c r="I19" s="35">
        <f t="shared" si="0"/>
        <v>8</v>
      </c>
      <c r="J19" s="35"/>
      <c r="K19" s="73">
        <f t="shared" si="4"/>
        <v>237</v>
      </c>
      <c r="L19" s="262">
        <f t="shared" si="1"/>
        <v>750</v>
      </c>
      <c r="M19" s="263"/>
      <c r="N19" s="263"/>
      <c r="O19" s="35">
        <f t="shared" si="2"/>
        <v>4</v>
      </c>
      <c r="P19" s="32"/>
      <c r="Q19" s="33"/>
    </row>
    <row r="20" spans="1:17" ht="20.100000000000001" customHeight="1">
      <c r="A20" s="62" t="str">
        <f>'1. 소켓인수검사'!A62</f>
        <v>54</v>
      </c>
      <c r="B20" s="43">
        <f>'1. 소켓인수검사'!C62</f>
        <v>950</v>
      </c>
      <c r="C20" s="43">
        <f>'1. 소켓인수검사'!D62</f>
        <v>750</v>
      </c>
      <c r="D20" s="35">
        <v>1</v>
      </c>
      <c r="E20" s="77"/>
      <c r="F20" s="214"/>
      <c r="G20" s="73">
        <f t="shared" si="3"/>
        <v>225</v>
      </c>
      <c r="H20" s="35">
        <f t="shared" si="5"/>
        <v>459</v>
      </c>
      <c r="I20" s="35">
        <f t="shared" si="0"/>
        <v>8</v>
      </c>
      <c r="J20" s="35"/>
      <c r="K20" s="73">
        <f t="shared" si="4"/>
        <v>237</v>
      </c>
      <c r="L20" s="262">
        <f t="shared" si="1"/>
        <v>750</v>
      </c>
      <c r="M20" s="263"/>
      <c r="N20" s="263"/>
      <c r="O20" s="35">
        <f t="shared" si="2"/>
        <v>4</v>
      </c>
      <c r="P20" s="32"/>
      <c r="Q20" s="33"/>
    </row>
    <row r="21" spans="1:17" ht="20.100000000000001" customHeight="1">
      <c r="A21" s="62" t="str">
        <f>'1. 소켓인수검사'!A63</f>
        <v>55</v>
      </c>
      <c r="B21" s="43">
        <f>'1. 소켓인수검사'!C63</f>
        <v>950</v>
      </c>
      <c r="C21" s="43">
        <f>'1. 소켓인수검사'!D63</f>
        <v>750</v>
      </c>
      <c r="D21" s="35">
        <v>1</v>
      </c>
      <c r="E21" s="77"/>
      <c r="F21" s="214"/>
      <c r="G21" s="73">
        <f t="shared" si="3"/>
        <v>225</v>
      </c>
      <c r="H21" s="35">
        <f t="shared" si="5"/>
        <v>459</v>
      </c>
      <c r="I21" s="35">
        <f t="shared" si="0"/>
        <v>8</v>
      </c>
      <c r="J21" s="35"/>
      <c r="K21" s="73">
        <f t="shared" si="4"/>
        <v>237</v>
      </c>
      <c r="L21" s="262">
        <f t="shared" si="1"/>
        <v>750</v>
      </c>
      <c r="M21" s="263"/>
      <c r="N21" s="263"/>
      <c r="O21" s="35">
        <f t="shared" si="2"/>
        <v>4</v>
      </c>
      <c r="P21" s="32"/>
      <c r="Q21" s="33"/>
    </row>
    <row r="22" spans="1:17" ht="20.100000000000001" customHeight="1">
      <c r="A22" s="62" t="str">
        <f>'1. 소켓인수검사'!A64</f>
        <v>56</v>
      </c>
      <c r="B22" s="43">
        <f>'1. 소켓인수검사'!C64</f>
        <v>950</v>
      </c>
      <c r="C22" s="43">
        <f>'1. 소켓인수검사'!D64</f>
        <v>750</v>
      </c>
      <c r="D22" s="35">
        <v>1</v>
      </c>
      <c r="E22" s="77"/>
      <c r="F22" s="214"/>
      <c r="G22" s="73">
        <f t="shared" si="3"/>
        <v>225</v>
      </c>
      <c r="H22" s="35">
        <f>((B22-30)/2)-1</f>
        <v>459</v>
      </c>
      <c r="I22" s="35">
        <f t="shared" si="0"/>
        <v>8</v>
      </c>
      <c r="J22" s="35"/>
      <c r="K22" s="73">
        <f t="shared" si="4"/>
        <v>237</v>
      </c>
      <c r="L22" s="262">
        <f t="shared" ref="L22:L76" si="6">C22</f>
        <v>750</v>
      </c>
      <c r="M22" s="263"/>
      <c r="N22" s="263"/>
      <c r="O22" s="35">
        <f t="shared" ref="O22:O76" si="7">D22*2*2</f>
        <v>4</v>
      </c>
      <c r="P22" s="32"/>
      <c r="Q22" s="33"/>
    </row>
    <row r="23" spans="1:17" ht="20.100000000000001" customHeight="1">
      <c r="A23" s="62" t="str">
        <f>'1. 소켓인수검사'!A65</f>
        <v>57</v>
      </c>
      <c r="B23" s="43">
        <f>'1. 소켓인수검사'!C65</f>
        <v>950</v>
      </c>
      <c r="C23" s="43">
        <f>'1. 소켓인수검사'!D65</f>
        <v>750</v>
      </c>
      <c r="D23" s="35">
        <v>1</v>
      </c>
      <c r="E23" s="77"/>
      <c r="F23" s="214"/>
      <c r="G23" s="73">
        <f t="shared" si="3"/>
        <v>225</v>
      </c>
      <c r="H23" s="35">
        <f t="shared" ref="H23:H76" si="8">((B23-30)/2)-1</f>
        <v>459</v>
      </c>
      <c r="I23" s="35">
        <f t="shared" si="0"/>
        <v>8</v>
      </c>
      <c r="J23" s="35"/>
      <c r="K23" s="73">
        <f t="shared" si="4"/>
        <v>237</v>
      </c>
      <c r="L23" s="262">
        <f t="shared" si="6"/>
        <v>750</v>
      </c>
      <c r="M23" s="263"/>
      <c r="N23" s="263"/>
      <c r="O23" s="35">
        <f t="shared" si="7"/>
        <v>4</v>
      </c>
      <c r="P23" s="32"/>
      <c r="Q23" s="33"/>
    </row>
    <row r="24" spans="1:17" ht="20.100000000000001" customHeight="1">
      <c r="A24" s="62" t="str">
        <f>'1. 소켓인수검사'!A66</f>
        <v>58</v>
      </c>
      <c r="B24" s="43">
        <f>'1. 소켓인수검사'!C66</f>
        <v>1000</v>
      </c>
      <c r="C24" s="43">
        <f>'1. 소켓인수검사'!D66</f>
        <v>650</v>
      </c>
      <c r="D24" s="35">
        <v>1</v>
      </c>
      <c r="E24" s="77"/>
      <c r="F24" s="214"/>
      <c r="G24" s="73">
        <f t="shared" si="3"/>
        <v>225</v>
      </c>
      <c r="H24" s="35">
        <f t="shared" si="8"/>
        <v>484</v>
      </c>
      <c r="I24" s="35">
        <f t="shared" si="0"/>
        <v>8</v>
      </c>
      <c r="J24" s="35"/>
      <c r="K24" s="73">
        <f t="shared" si="4"/>
        <v>237</v>
      </c>
      <c r="L24" s="262">
        <f t="shared" si="6"/>
        <v>650</v>
      </c>
      <c r="M24" s="263"/>
      <c r="N24" s="263"/>
      <c r="O24" s="35">
        <f t="shared" si="7"/>
        <v>4</v>
      </c>
      <c r="P24" s="32"/>
      <c r="Q24" s="33"/>
    </row>
    <row r="25" spans="1:17" ht="20.100000000000001" customHeight="1">
      <c r="A25" s="62" t="str">
        <f>'1. 소켓인수검사'!A67</f>
        <v>59</v>
      </c>
      <c r="B25" s="43">
        <f>'1. 소켓인수검사'!C67</f>
        <v>1000</v>
      </c>
      <c r="C25" s="43">
        <f>'1. 소켓인수검사'!D67</f>
        <v>650</v>
      </c>
      <c r="D25" s="35">
        <v>1</v>
      </c>
      <c r="E25" s="77"/>
      <c r="F25" s="214"/>
      <c r="G25" s="73">
        <f t="shared" si="3"/>
        <v>225</v>
      </c>
      <c r="H25" s="35">
        <f t="shared" si="8"/>
        <v>484</v>
      </c>
      <c r="I25" s="35">
        <f t="shared" si="0"/>
        <v>8</v>
      </c>
      <c r="J25" s="35"/>
      <c r="K25" s="73">
        <f t="shared" si="4"/>
        <v>237</v>
      </c>
      <c r="L25" s="262">
        <f t="shared" si="6"/>
        <v>650</v>
      </c>
      <c r="M25" s="263"/>
      <c r="N25" s="263"/>
      <c r="O25" s="35">
        <f t="shared" si="7"/>
        <v>4</v>
      </c>
      <c r="P25" s="32"/>
      <c r="Q25" s="78"/>
    </row>
    <row r="26" spans="1:17" ht="20.100000000000001" customHeight="1">
      <c r="A26" s="62" t="str">
        <f>'1. 소켓인수검사'!A68</f>
        <v>60</v>
      </c>
      <c r="B26" s="43">
        <f>'1. 소켓인수검사'!C68</f>
        <v>1000</v>
      </c>
      <c r="C26" s="43">
        <f>'1. 소켓인수검사'!D68</f>
        <v>650</v>
      </c>
      <c r="D26" s="35">
        <v>1</v>
      </c>
      <c r="E26" s="77"/>
      <c r="F26" s="214"/>
      <c r="G26" s="73">
        <f t="shared" si="3"/>
        <v>225</v>
      </c>
      <c r="H26" s="35">
        <f t="shared" si="8"/>
        <v>484</v>
      </c>
      <c r="I26" s="35">
        <f t="shared" si="0"/>
        <v>8</v>
      </c>
      <c r="J26" s="35"/>
      <c r="K26" s="73">
        <f t="shared" si="4"/>
        <v>237</v>
      </c>
      <c r="L26" s="262">
        <f t="shared" si="6"/>
        <v>650</v>
      </c>
      <c r="M26" s="263"/>
      <c r="N26" s="263"/>
      <c r="O26" s="35">
        <f t="shared" si="7"/>
        <v>4</v>
      </c>
      <c r="P26" s="32"/>
      <c r="Q26" s="78"/>
    </row>
    <row r="27" spans="1:17" ht="20.100000000000001" customHeight="1">
      <c r="A27" s="62" t="str">
        <f>'1. 소켓인수검사'!A69</f>
        <v>61</v>
      </c>
      <c r="B27" s="43">
        <f>'1. 소켓인수검사'!C69</f>
        <v>1000</v>
      </c>
      <c r="C27" s="43">
        <f>'1. 소켓인수검사'!D69</f>
        <v>650</v>
      </c>
      <c r="D27" s="35">
        <v>1</v>
      </c>
      <c r="E27" s="77"/>
      <c r="F27" s="214"/>
      <c r="G27" s="73">
        <f t="shared" si="3"/>
        <v>225</v>
      </c>
      <c r="H27" s="35">
        <f t="shared" si="8"/>
        <v>484</v>
      </c>
      <c r="I27" s="35">
        <f t="shared" si="0"/>
        <v>8</v>
      </c>
      <c r="J27" s="35"/>
      <c r="K27" s="73">
        <f t="shared" si="4"/>
        <v>237</v>
      </c>
      <c r="L27" s="262">
        <f t="shared" si="6"/>
        <v>650</v>
      </c>
      <c r="M27" s="263"/>
      <c r="N27" s="263"/>
      <c r="O27" s="35">
        <f t="shared" si="7"/>
        <v>4</v>
      </c>
      <c r="P27" s="32"/>
      <c r="Q27" s="33"/>
    </row>
    <row r="28" spans="1:17" ht="19.5" customHeight="1">
      <c r="A28" s="62" t="str">
        <f>'1. 소켓인수검사'!A70</f>
        <v>62</v>
      </c>
      <c r="B28" s="43">
        <f>'1. 소켓인수검사'!C70</f>
        <v>1000</v>
      </c>
      <c r="C28" s="43">
        <f>'1. 소켓인수검사'!D70</f>
        <v>650</v>
      </c>
      <c r="D28" s="35">
        <v>1</v>
      </c>
      <c r="E28" s="77"/>
      <c r="F28" s="214"/>
      <c r="G28" s="73">
        <f t="shared" si="3"/>
        <v>225</v>
      </c>
      <c r="H28" s="35">
        <f>((B28-30)/2)-1</f>
        <v>484</v>
      </c>
      <c r="I28" s="35">
        <f t="shared" si="0"/>
        <v>8</v>
      </c>
      <c r="J28" s="35"/>
      <c r="K28" s="73">
        <f t="shared" si="4"/>
        <v>237</v>
      </c>
      <c r="L28" s="262">
        <f t="shared" si="6"/>
        <v>650</v>
      </c>
      <c r="M28" s="263"/>
      <c r="N28" s="263"/>
      <c r="O28" s="35">
        <f t="shared" si="7"/>
        <v>4</v>
      </c>
      <c r="P28" s="32"/>
      <c r="Q28" s="33"/>
    </row>
    <row r="29" spans="1:17" ht="20.100000000000001" customHeight="1">
      <c r="A29" s="62" t="str">
        <f>'1. 소켓인수검사'!A71</f>
        <v>63</v>
      </c>
      <c r="B29" s="43">
        <f>'1. 소켓인수검사'!C71</f>
        <v>1000</v>
      </c>
      <c r="C29" s="43">
        <f>'1. 소켓인수검사'!D71</f>
        <v>650</v>
      </c>
      <c r="D29" s="35">
        <v>1</v>
      </c>
      <c r="E29" s="77"/>
      <c r="F29" s="214"/>
      <c r="G29" s="73">
        <f t="shared" si="3"/>
        <v>225</v>
      </c>
      <c r="H29" s="35">
        <f t="shared" ref="H29:H41" si="9">((B29-30)/2)-1</f>
        <v>484</v>
      </c>
      <c r="I29" s="35">
        <f t="shared" si="0"/>
        <v>8</v>
      </c>
      <c r="J29" s="35"/>
      <c r="K29" s="73">
        <f t="shared" si="4"/>
        <v>237</v>
      </c>
      <c r="L29" s="262">
        <f t="shared" si="6"/>
        <v>650</v>
      </c>
      <c r="M29" s="263"/>
      <c r="N29" s="263"/>
      <c r="O29" s="35">
        <f t="shared" si="7"/>
        <v>4</v>
      </c>
      <c r="P29" s="32"/>
      <c r="Q29" s="33"/>
    </row>
    <row r="30" spans="1:17" ht="20.100000000000001" customHeight="1">
      <c r="A30" s="62" t="str">
        <f>'1. 소켓인수검사'!A72</f>
        <v>64</v>
      </c>
      <c r="B30" s="43">
        <f>'1. 소켓인수검사'!C72</f>
        <v>1000</v>
      </c>
      <c r="C30" s="43">
        <f>'1. 소켓인수검사'!D72</f>
        <v>650</v>
      </c>
      <c r="D30" s="35">
        <v>1</v>
      </c>
      <c r="E30" s="77"/>
      <c r="F30" s="214"/>
      <c r="G30" s="73">
        <f t="shared" si="3"/>
        <v>225</v>
      </c>
      <c r="H30" s="35">
        <f t="shared" si="9"/>
        <v>484</v>
      </c>
      <c r="I30" s="35">
        <f t="shared" si="0"/>
        <v>8</v>
      </c>
      <c r="J30" s="35"/>
      <c r="K30" s="73">
        <f t="shared" si="4"/>
        <v>237</v>
      </c>
      <c r="L30" s="262">
        <f t="shared" si="6"/>
        <v>650</v>
      </c>
      <c r="M30" s="263"/>
      <c r="N30" s="263"/>
      <c r="O30" s="35">
        <f t="shared" si="7"/>
        <v>4</v>
      </c>
      <c r="P30" s="32"/>
      <c r="Q30" s="33"/>
    </row>
    <row r="31" spans="1:17" ht="20.100000000000001" customHeight="1">
      <c r="A31" s="62" t="str">
        <f>'1. 소켓인수검사'!A73</f>
        <v>65</v>
      </c>
      <c r="B31" s="43">
        <f>'1. 소켓인수검사'!C73</f>
        <v>1000</v>
      </c>
      <c r="C31" s="43">
        <f>'1. 소켓인수검사'!D73</f>
        <v>650</v>
      </c>
      <c r="D31" s="35">
        <v>1</v>
      </c>
      <c r="E31" s="77"/>
      <c r="F31" s="214"/>
      <c r="G31" s="73">
        <f t="shared" si="3"/>
        <v>225</v>
      </c>
      <c r="H31" s="35">
        <f t="shared" si="9"/>
        <v>484</v>
      </c>
      <c r="I31" s="35">
        <f t="shared" si="0"/>
        <v>8</v>
      </c>
      <c r="J31" s="35"/>
      <c r="K31" s="73">
        <f t="shared" si="4"/>
        <v>237</v>
      </c>
      <c r="L31" s="262">
        <f t="shared" si="6"/>
        <v>650</v>
      </c>
      <c r="M31" s="263"/>
      <c r="N31" s="263"/>
      <c r="O31" s="35">
        <f t="shared" si="7"/>
        <v>4</v>
      </c>
      <c r="P31" s="32"/>
      <c r="Q31" s="78"/>
    </row>
    <row r="32" spans="1:17" ht="20.100000000000001" customHeight="1">
      <c r="A32" s="62" t="str">
        <f>'1. 소켓인수검사'!A74</f>
        <v>66</v>
      </c>
      <c r="B32" s="43">
        <f>'1. 소켓인수검사'!C74</f>
        <v>1000</v>
      </c>
      <c r="C32" s="43">
        <f>'1. 소켓인수검사'!D74</f>
        <v>650</v>
      </c>
      <c r="D32" s="35">
        <v>1</v>
      </c>
      <c r="E32" s="77"/>
      <c r="F32" s="214"/>
      <c r="G32" s="73">
        <f t="shared" si="3"/>
        <v>225</v>
      </c>
      <c r="H32" s="35">
        <f t="shared" si="9"/>
        <v>484</v>
      </c>
      <c r="I32" s="35">
        <f t="shared" si="0"/>
        <v>8</v>
      </c>
      <c r="J32" s="35"/>
      <c r="K32" s="73">
        <f t="shared" si="4"/>
        <v>237</v>
      </c>
      <c r="L32" s="262">
        <f t="shared" si="6"/>
        <v>650</v>
      </c>
      <c r="M32" s="263"/>
      <c r="N32" s="263"/>
      <c r="O32" s="35">
        <f t="shared" si="7"/>
        <v>4</v>
      </c>
      <c r="P32" s="32"/>
      <c r="Q32" s="78"/>
    </row>
    <row r="33" spans="1:17" ht="20.100000000000001" customHeight="1">
      <c r="A33" s="62" t="str">
        <f>'1. 소켓인수검사'!A75</f>
        <v>67</v>
      </c>
      <c r="B33" s="43">
        <f>'1. 소켓인수검사'!C75</f>
        <v>1000</v>
      </c>
      <c r="C33" s="43">
        <f>'1. 소켓인수검사'!D75</f>
        <v>650</v>
      </c>
      <c r="D33" s="35">
        <v>1</v>
      </c>
      <c r="E33" s="77"/>
      <c r="F33" s="214"/>
      <c r="G33" s="73">
        <f t="shared" si="3"/>
        <v>225</v>
      </c>
      <c r="H33" s="35">
        <f t="shared" si="9"/>
        <v>484</v>
      </c>
      <c r="I33" s="35">
        <f t="shared" si="0"/>
        <v>8</v>
      </c>
      <c r="J33" s="35"/>
      <c r="K33" s="73">
        <f t="shared" si="4"/>
        <v>237</v>
      </c>
      <c r="L33" s="262">
        <f t="shared" si="6"/>
        <v>650</v>
      </c>
      <c r="M33" s="263"/>
      <c r="N33" s="263"/>
      <c r="O33" s="35">
        <f t="shared" si="7"/>
        <v>4</v>
      </c>
      <c r="P33" s="32"/>
      <c r="Q33" s="33"/>
    </row>
    <row r="34" spans="1:17" ht="20.100000000000001" customHeight="1">
      <c r="A34" s="62" t="str">
        <f>'1. 소켓인수검사'!A76</f>
        <v>68</v>
      </c>
      <c r="B34" s="43">
        <f>'1. 소켓인수검사'!C76</f>
        <v>1000</v>
      </c>
      <c r="C34" s="43">
        <f>'1. 소켓인수검사'!D76</f>
        <v>650</v>
      </c>
      <c r="D34" s="35">
        <v>1</v>
      </c>
      <c r="E34" s="77"/>
      <c r="F34" s="214"/>
      <c r="G34" s="73">
        <f t="shared" si="3"/>
        <v>225</v>
      </c>
      <c r="H34" s="35">
        <f t="shared" si="9"/>
        <v>484</v>
      </c>
      <c r="I34" s="35">
        <f t="shared" si="0"/>
        <v>8</v>
      </c>
      <c r="J34" s="35"/>
      <c r="K34" s="73">
        <f t="shared" si="4"/>
        <v>237</v>
      </c>
      <c r="L34" s="262">
        <f t="shared" si="6"/>
        <v>650</v>
      </c>
      <c r="M34" s="263"/>
      <c r="N34" s="263"/>
      <c r="O34" s="35">
        <f t="shared" si="7"/>
        <v>4</v>
      </c>
      <c r="P34" s="32"/>
      <c r="Q34" s="33"/>
    </row>
    <row r="35" spans="1:17" ht="20.100000000000001" customHeight="1">
      <c r="A35" s="62" t="str">
        <f>'1. 소켓인수검사'!A77</f>
        <v>69</v>
      </c>
      <c r="B35" s="43">
        <f>'1. 소켓인수검사'!C77</f>
        <v>1000</v>
      </c>
      <c r="C35" s="43">
        <f>'1. 소켓인수검사'!D77</f>
        <v>650</v>
      </c>
      <c r="D35" s="35">
        <v>1</v>
      </c>
      <c r="E35" s="77"/>
      <c r="F35" s="214"/>
      <c r="G35" s="73">
        <f t="shared" si="3"/>
        <v>225</v>
      </c>
      <c r="H35" s="35">
        <f t="shared" si="9"/>
        <v>484</v>
      </c>
      <c r="I35" s="35">
        <f t="shared" si="0"/>
        <v>8</v>
      </c>
      <c r="J35" s="35"/>
      <c r="K35" s="73">
        <f t="shared" si="4"/>
        <v>237</v>
      </c>
      <c r="L35" s="262">
        <f t="shared" si="6"/>
        <v>650</v>
      </c>
      <c r="M35" s="263"/>
      <c r="N35" s="263"/>
      <c r="O35" s="35">
        <f t="shared" si="7"/>
        <v>4</v>
      </c>
      <c r="P35" s="32"/>
      <c r="Q35" s="33"/>
    </row>
    <row r="36" spans="1:17" ht="20.100000000000001" customHeight="1">
      <c r="A36" s="62" t="str">
        <f>'1. 소켓인수검사'!A78</f>
        <v>70</v>
      </c>
      <c r="B36" s="43">
        <f>'1. 소켓인수검사'!C78</f>
        <v>1000</v>
      </c>
      <c r="C36" s="43">
        <f>'1. 소켓인수검사'!D78</f>
        <v>750</v>
      </c>
      <c r="D36" s="35">
        <v>1</v>
      </c>
      <c r="E36" s="77"/>
      <c r="F36" s="214"/>
      <c r="G36" s="73">
        <f t="shared" si="3"/>
        <v>225</v>
      </c>
      <c r="H36" s="35">
        <f t="shared" si="9"/>
        <v>484</v>
      </c>
      <c r="I36" s="35">
        <f t="shared" si="0"/>
        <v>8</v>
      </c>
      <c r="J36" s="35"/>
      <c r="K36" s="73">
        <f t="shared" si="4"/>
        <v>237</v>
      </c>
      <c r="L36" s="262">
        <f t="shared" si="6"/>
        <v>750</v>
      </c>
      <c r="M36" s="263"/>
      <c r="N36" s="263"/>
      <c r="O36" s="35">
        <f t="shared" si="7"/>
        <v>4</v>
      </c>
      <c r="P36" s="32"/>
      <c r="Q36" s="33"/>
    </row>
    <row r="37" spans="1:17" ht="20.100000000000001" customHeight="1">
      <c r="A37" s="62" t="str">
        <f>'1. 소켓인수검사'!A79</f>
        <v>71</v>
      </c>
      <c r="B37" s="43">
        <f>'1. 소켓인수검사'!C79</f>
        <v>1000</v>
      </c>
      <c r="C37" s="43">
        <f>'1. 소켓인수검사'!D79</f>
        <v>750</v>
      </c>
      <c r="D37" s="35">
        <v>1</v>
      </c>
      <c r="E37" s="77"/>
      <c r="F37" s="214"/>
      <c r="G37" s="73">
        <f t="shared" si="3"/>
        <v>225</v>
      </c>
      <c r="H37" s="35">
        <f t="shared" si="9"/>
        <v>484</v>
      </c>
      <c r="I37" s="35">
        <f t="shared" si="0"/>
        <v>8</v>
      </c>
      <c r="J37" s="35"/>
      <c r="K37" s="73">
        <f t="shared" si="4"/>
        <v>237</v>
      </c>
      <c r="L37" s="262">
        <f t="shared" si="6"/>
        <v>750</v>
      </c>
      <c r="M37" s="263"/>
      <c r="N37" s="263"/>
      <c r="O37" s="35">
        <f t="shared" si="7"/>
        <v>4</v>
      </c>
      <c r="P37" s="32"/>
      <c r="Q37" s="33"/>
    </row>
    <row r="38" spans="1:17" ht="20.100000000000001" customHeight="1">
      <c r="A38" s="62" t="str">
        <f>'1. 소켓인수검사'!A80</f>
        <v>72</v>
      </c>
      <c r="B38" s="43">
        <f>'1. 소켓인수검사'!C80</f>
        <v>1000</v>
      </c>
      <c r="C38" s="43">
        <f>'1. 소켓인수검사'!D80</f>
        <v>750</v>
      </c>
      <c r="D38" s="35">
        <v>1</v>
      </c>
      <c r="E38" s="77"/>
      <c r="F38" s="214"/>
      <c r="G38" s="73">
        <f t="shared" si="3"/>
        <v>225</v>
      </c>
      <c r="H38" s="35">
        <f t="shared" si="9"/>
        <v>484</v>
      </c>
      <c r="I38" s="35">
        <f t="shared" si="0"/>
        <v>8</v>
      </c>
      <c r="J38" s="35"/>
      <c r="K38" s="73">
        <f t="shared" si="4"/>
        <v>237</v>
      </c>
      <c r="L38" s="262">
        <f t="shared" ref="L38:L61" si="10">C38</f>
        <v>750</v>
      </c>
      <c r="M38" s="263"/>
      <c r="N38" s="263"/>
      <c r="O38" s="35">
        <f t="shared" ref="O38:O61" si="11">D38*2*2</f>
        <v>4</v>
      </c>
      <c r="P38" s="32"/>
      <c r="Q38" s="33"/>
    </row>
    <row r="39" spans="1:17" ht="20.100000000000001" customHeight="1">
      <c r="A39" s="62" t="str">
        <f>'1. 소켓인수검사'!A81</f>
        <v>73</v>
      </c>
      <c r="B39" s="43">
        <f>'1. 소켓인수검사'!C81</f>
        <v>1000</v>
      </c>
      <c r="C39" s="43">
        <f>'1. 소켓인수검사'!D81</f>
        <v>750</v>
      </c>
      <c r="D39" s="35">
        <v>1</v>
      </c>
      <c r="E39" s="77"/>
      <c r="F39" s="214"/>
      <c r="G39" s="73">
        <f t="shared" si="3"/>
        <v>225</v>
      </c>
      <c r="H39" s="35">
        <f t="shared" si="9"/>
        <v>484</v>
      </c>
      <c r="I39" s="35">
        <f t="shared" si="0"/>
        <v>8</v>
      </c>
      <c r="J39" s="35"/>
      <c r="K39" s="73">
        <f t="shared" si="4"/>
        <v>237</v>
      </c>
      <c r="L39" s="262">
        <f t="shared" si="10"/>
        <v>750</v>
      </c>
      <c r="M39" s="263"/>
      <c r="N39" s="263"/>
      <c r="O39" s="35">
        <f t="shared" si="11"/>
        <v>4</v>
      </c>
      <c r="P39" s="32"/>
      <c r="Q39" s="78"/>
    </row>
    <row r="40" spans="1:17" ht="20.100000000000001" customHeight="1">
      <c r="A40" s="62" t="str">
        <f>'1. 소켓인수검사'!A82</f>
        <v>74</v>
      </c>
      <c r="B40" s="43">
        <f>'1. 소켓인수검사'!C82</f>
        <v>1000</v>
      </c>
      <c r="C40" s="43">
        <f>'1. 소켓인수검사'!D82</f>
        <v>750</v>
      </c>
      <c r="D40" s="35">
        <v>1</v>
      </c>
      <c r="E40" s="77"/>
      <c r="F40" s="214"/>
      <c r="G40" s="73">
        <f t="shared" si="3"/>
        <v>225</v>
      </c>
      <c r="H40" s="35">
        <f t="shared" si="9"/>
        <v>484</v>
      </c>
      <c r="I40" s="35">
        <f t="shared" si="0"/>
        <v>8</v>
      </c>
      <c r="J40" s="35"/>
      <c r="K40" s="73">
        <f t="shared" si="4"/>
        <v>237</v>
      </c>
      <c r="L40" s="262">
        <f t="shared" si="10"/>
        <v>750</v>
      </c>
      <c r="M40" s="263"/>
      <c r="N40" s="263"/>
      <c r="O40" s="35">
        <f t="shared" si="11"/>
        <v>4</v>
      </c>
      <c r="P40" s="32"/>
      <c r="Q40" s="78"/>
    </row>
    <row r="41" spans="1:17" ht="20.100000000000001" customHeight="1">
      <c r="A41" s="62" t="str">
        <f>'1. 소켓인수검사'!A83</f>
        <v>75</v>
      </c>
      <c r="B41" s="43">
        <f>'1. 소켓인수검사'!C83</f>
        <v>1000</v>
      </c>
      <c r="C41" s="43">
        <f>'1. 소켓인수검사'!D83</f>
        <v>750</v>
      </c>
      <c r="D41" s="35">
        <v>1</v>
      </c>
      <c r="E41" s="77"/>
      <c r="F41" s="214"/>
      <c r="G41" s="73">
        <f t="shared" si="3"/>
        <v>225</v>
      </c>
      <c r="H41" s="35">
        <f t="shared" si="9"/>
        <v>484</v>
      </c>
      <c r="I41" s="35">
        <f t="shared" si="0"/>
        <v>8</v>
      </c>
      <c r="J41" s="35"/>
      <c r="K41" s="73">
        <f t="shared" si="4"/>
        <v>237</v>
      </c>
      <c r="L41" s="262">
        <f t="shared" si="10"/>
        <v>750</v>
      </c>
      <c r="M41" s="263"/>
      <c r="N41" s="263"/>
      <c r="O41" s="35">
        <f t="shared" si="11"/>
        <v>4</v>
      </c>
      <c r="P41" s="32"/>
      <c r="Q41" s="33"/>
    </row>
    <row r="42" spans="1:17" ht="19.5" customHeight="1">
      <c r="A42" s="62" t="str">
        <f>'1. 소켓인수검사'!A84</f>
        <v>76</v>
      </c>
      <c r="B42" s="43">
        <f>'1. 소켓인수검사'!C84</f>
        <v>1000</v>
      </c>
      <c r="C42" s="43">
        <f>'1. 소켓인수검사'!D84</f>
        <v>800</v>
      </c>
      <c r="D42" s="35">
        <v>1</v>
      </c>
      <c r="E42" s="77"/>
      <c r="F42" s="214"/>
      <c r="G42" s="73">
        <f t="shared" si="3"/>
        <v>225</v>
      </c>
      <c r="H42" s="35">
        <f>((B42-30)/2)-1</f>
        <v>484</v>
      </c>
      <c r="I42" s="35">
        <f t="shared" si="0"/>
        <v>8</v>
      </c>
      <c r="J42" s="35"/>
      <c r="K42" s="73">
        <f t="shared" si="4"/>
        <v>237</v>
      </c>
      <c r="L42" s="262">
        <f t="shared" si="10"/>
        <v>800</v>
      </c>
      <c r="M42" s="263"/>
      <c r="N42" s="263"/>
      <c r="O42" s="35">
        <f t="shared" si="11"/>
        <v>4</v>
      </c>
      <c r="P42" s="32"/>
      <c r="Q42" s="33"/>
    </row>
    <row r="43" spans="1:17" ht="20.100000000000001" customHeight="1">
      <c r="A43" s="62" t="str">
        <f>'1. 소켓인수검사'!A85</f>
        <v>77</v>
      </c>
      <c r="B43" s="43">
        <f>'1. 소켓인수검사'!C85</f>
        <v>1000</v>
      </c>
      <c r="C43" s="43">
        <f>'1. 소켓인수검사'!D85</f>
        <v>800</v>
      </c>
      <c r="D43" s="35">
        <v>1</v>
      </c>
      <c r="E43" s="77"/>
      <c r="F43" s="214"/>
      <c r="G43" s="73">
        <f t="shared" si="3"/>
        <v>225</v>
      </c>
      <c r="H43" s="35">
        <f t="shared" ref="H43:H51" si="12">((B43-30)/2)-1</f>
        <v>484</v>
      </c>
      <c r="I43" s="35">
        <f t="shared" si="0"/>
        <v>8</v>
      </c>
      <c r="J43" s="35"/>
      <c r="K43" s="73">
        <f t="shared" si="4"/>
        <v>237</v>
      </c>
      <c r="L43" s="262">
        <f t="shared" si="10"/>
        <v>800</v>
      </c>
      <c r="M43" s="263"/>
      <c r="N43" s="263"/>
      <c r="O43" s="35">
        <f t="shared" si="11"/>
        <v>4</v>
      </c>
      <c r="P43" s="32"/>
      <c r="Q43" s="33"/>
    </row>
    <row r="44" spans="1:17" ht="20.100000000000001" customHeight="1">
      <c r="A44" s="62" t="str">
        <f>'1. 소켓인수검사'!A86</f>
        <v>78</v>
      </c>
      <c r="B44" s="43">
        <f>'1. 소켓인수검사'!C86</f>
        <v>1000</v>
      </c>
      <c r="C44" s="43">
        <f>'1. 소켓인수검사'!D86</f>
        <v>800</v>
      </c>
      <c r="D44" s="35">
        <v>1</v>
      </c>
      <c r="E44" s="77"/>
      <c r="F44" s="214"/>
      <c r="G44" s="73">
        <f t="shared" si="3"/>
        <v>225</v>
      </c>
      <c r="H44" s="35">
        <f t="shared" si="12"/>
        <v>484</v>
      </c>
      <c r="I44" s="35">
        <f t="shared" si="0"/>
        <v>8</v>
      </c>
      <c r="J44" s="35"/>
      <c r="K44" s="73">
        <f t="shared" si="4"/>
        <v>237</v>
      </c>
      <c r="L44" s="262">
        <f t="shared" si="10"/>
        <v>800</v>
      </c>
      <c r="M44" s="263"/>
      <c r="N44" s="263"/>
      <c r="O44" s="35">
        <f t="shared" si="11"/>
        <v>4</v>
      </c>
      <c r="P44" s="32"/>
      <c r="Q44" s="33"/>
    </row>
    <row r="45" spans="1:17" ht="20.100000000000001" customHeight="1">
      <c r="A45" s="62" t="str">
        <f>'1. 소켓인수검사'!A87</f>
        <v>79</v>
      </c>
      <c r="B45" s="43">
        <f>'1. 소켓인수검사'!C87</f>
        <v>1000</v>
      </c>
      <c r="C45" s="43">
        <f>'1. 소켓인수검사'!D87</f>
        <v>800</v>
      </c>
      <c r="D45" s="35">
        <v>1</v>
      </c>
      <c r="E45" s="77"/>
      <c r="F45" s="214"/>
      <c r="G45" s="73">
        <f t="shared" si="3"/>
        <v>225</v>
      </c>
      <c r="H45" s="35">
        <f t="shared" si="12"/>
        <v>484</v>
      </c>
      <c r="I45" s="35">
        <f t="shared" si="0"/>
        <v>8</v>
      </c>
      <c r="J45" s="35"/>
      <c r="K45" s="73">
        <f t="shared" si="4"/>
        <v>237</v>
      </c>
      <c r="L45" s="262">
        <f t="shared" si="10"/>
        <v>800</v>
      </c>
      <c r="M45" s="263"/>
      <c r="N45" s="263"/>
      <c r="O45" s="35">
        <f t="shared" si="11"/>
        <v>4</v>
      </c>
      <c r="P45" s="32"/>
      <c r="Q45" s="78"/>
    </row>
    <row r="46" spans="1:17" ht="20.100000000000001" customHeight="1">
      <c r="A46" s="62" t="str">
        <f>'1. 소켓인수검사'!A88</f>
        <v>80</v>
      </c>
      <c r="B46" s="43">
        <f>'1. 소켓인수검사'!C88</f>
        <v>1000</v>
      </c>
      <c r="C46" s="43">
        <f>'1. 소켓인수검사'!D88</f>
        <v>800</v>
      </c>
      <c r="D46" s="35">
        <v>1</v>
      </c>
      <c r="E46" s="77"/>
      <c r="F46" s="214"/>
      <c r="G46" s="73">
        <f t="shared" si="3"/>
        <v>225</v>
      </c>
      <c r="H46" s="35">
        <f t="shared" si="12"/>
        <v>484</v>
      </c>
      <c r="I46" s="35">
        <f t="shared" si="0"/>
        <v>8</v>
      </c>
      <c r="J46" s="35"/>
      <c r="K46" s="73">
        <f t="shared" si="4"/>
        <v>237</v>
      </c>
      <c r="L46" s="262">
        <f t="shared" si="10"/>
        <v>800</v>
      </c>
      <c r="M46" s="263"/>
      <c r="N46" s="263"/>
      <c r="O46" s="35">
        <f t="shared" si="11"/>
        <v>4</v>
      </c>
      <c r="P46" s="32"/>
      <c r="Q46" s="78"/>
    </row>
    <row r="47" spans="1:17" ht="20.100000000000001" customHeight="1">
      <c r="A47" s="62" t="str">
        <f>'1. 소켓인수검사'!A89</f>
        <v>81</v>
      </c>
      <c r="B47" s="43">
        <f>'1. 소켓인수검사'!C89</f>
        <v>1000</v>
      </c>
      <c r="C47" s="43">
        <f>'1. 소켓인수검사'!D89</f>
        <v>800</v>
      </c>
      <c r="D47" s="35">
        <v>1</v>
      </c>
      <c r="E47" s="77"/>
      <c r="F47" s="214"/>
      <c r="G47" s="73">
        <f t="shared" si="3"/>
        <v>225</v>
      </c>
      <c r="H47" s="35">
        <f t="shared" si="12"/>
        <v>484</v>
      </c>
      <c r="I47" s="35">
        <f t="shared" si="0"/>
        <v>8</v>
      </c>
      <c r="J47" s="35"/>
      <c r="K47" s="73">
        <f t="shared" si="4"/>
        <v>237</v>
      </c>
      <c r="L47" s="262">
        <f t="shared" si="10"/>
        <v>800</v>
      </c>
      <c r="M47" s="263"/>
      <c r="N47" s="263"/>
      <c r="O47" s="35">
        <f t="shared" si="11"/>
        <v>4</v>
      </c>
      <c r="P47" s="32"/>
      <c r="Q47" s="33"/>
    </row>
    <row r="48" spans="1:17" ht="20.100000000000001" customHeight="1">
      <c r="A48" s="62" t="str">
        <f>'1. 소켓인수검사'!A90</f>
        <v>82</v>
      </c>
      <c r="B48" s="43">
        <f>'1. 소켓인수검사'!C90</f>
        <v>1000</v>
      </c>
      <c r="C48" s="43">
        <f>'1. 소켓인수검사'!D90</f>
        <v>800</v>
      </c>
      <c r="D48" s="35">
        <v>1</v>
      </c>
      <c r="E48" s="77"/>
      <c r="F48" s="214"/>
      <c r="G48" s="73">
        <f t="shared" si="3"/>
        <v>225</v>
      </c>
      <c r="H48" s="35">
        <f t="shared" si="12"/>
        <v>484</v>
      </c>
      <c r="I48" s="35">
        <f t="shared" si="0"/>
        <v>8</v>
      </c>
      <c r="J48" s="35"/>
      <c r="K48" s="73">
        <f t="shared" si="4"/>
        <v>237</v>
      </c>
      <c r="L48" s="262">
        <f t="shared" si="10"/>
        <v>800</v>
      </c>
      <c r="M48" s="263"/>
      <c r="N48" s="263"/>
      <c r="O48" s="35">
        <f t="shared" si="11"/>
        <v>4</v>
      </c>
      <c r="P48" s="32"/>
      <c r="Q48" s="33"/>
    </row>
    <row r="49" spans="1:17" ht="20.100000000000001" customHeight="1">
      <c r="A49" s="62" t="str">
        <f>'1. 소켓인수검사'!A91</f>
        <v>83</v>
      </c>
      <c r="B49" s="43">
        <f>'1. 소켓인수검사'!C91</f>
        <v>1000</v>
      </c>
      <c r="C49" s="43">
        <f>'1. 소켓인수검사'!D91</f>
        <v>800</v>
      </c>
      <c r="D49" s="35">
        <v>1</v>
      </c>
      <c r="E49" s="77"/>
      <c r="F49" s="214"/>
      <c r="G49" s="73">
        <f t="shared" si="3"/>
        <v>225</v>
      </c>
      <c r="H49" s="35">
        <f t="shared" si="12"/>
        <v>484</v>
      </c>
      <c r="I49" s="35">
        <f t="shared" si="0"/>
        <v>8</v>
      </c>
      <c r="J49" s="35"/>
      <c r="K49" s="73">
        <f t="shared" si="4"/>
        <v>237</v>
      </c>
      <c r="L49" s="262">
        <f t="shared" si="10"/>
        <v>800</v>
      </c>
      <c r="M49" s="263"/>
      <c r="N49" s="263"/>
      <c r="O49" s="35">
        <f t="shared" si="11"/>
        <v>4</v>
      </c>
      <c r="P49" s="32"/>
      <c r="Q49" s="33"/>
    </row>
    <row r="50" spans="1:17" ht="20.100000000000001" customHeight="1">
      <c r="A50" s="62" t="str">
        <f>'1. 소켓인수검사'!A92</f>
        <v>84</v>
      </c>
      <c r="B50" s="43">
        <f>'1. 소켓인수검사'!C92</f>
        <v>1000</v>
      </c>
      <c r="C50" s="43">
        <f>'1. 소켓인수검사'!D92</f>
        <v>800</v>
      </c>
      <c r="D50" s="35">
        <v>1</v>
      </c>
      <c r="E50" s="77"/>
      <c r="F50" s="214"/>
      <c r="G50" s="73">
        <f t="shared" si="3"/>
        <v>225</v>
      </c>
      <c r="H50" s="35">
        <f t="shared" si="12"/>
        <v>484</v>
      </c>
      <c r="I50" s="35">
        <f t="shared" si="0"/>
        <v>8</v>
      </c>
      <c r="J50" s="35"/>
      <c r="K50" s="73">
        <f t="shared" si="4"/>
        <v>237</v>
      </c>
      <c r="L50" s="262">
        <f t="shared" si="10"/>
        <v>800</v>
      </c>
      <c r="M50" s="263"/>
      <c r="N50" s="263"/>
      <c r="O50" s="35">
        <f t="shared" si="11"/>
        <v>4</v>
      </c>
      <c r="P50" s="32"/>
      <c r="Q50" s="33"/>
    </row>
    <row r="51" spans="1:17" ht="20.100000000000001" customHeight="1">
      <c r="A51" s="62" t="str">
        <f>'1. 소켓인수검사'!A93</f>
        <v>85</v>
      </c>
      <c r="B51" s="43">
        <f>'1. 소켓인수검사'!C93</f>
        <v>1000</v>
      </c>
      <c r="C51" s="43">
        <f>'1. 소켓인수검사'!D93</f>
        <v>800</v>
      </c>
      <c r="D51" s="35">
        <v>1</v>
      </c>
      <c r="E51" s="77"/>
      <c r="F51" s="214"/>
      <c r="G51" s="73">
        <f t="shared" si="3"/>
        <v>225</v>
      </c>
      <c r="H51" s="35">
        <f t="shared" si="12"/>
        <v>484</v>
      </c>
      <c r="I51" s="35">
        <f t="shared" si="0"/>
        <v>8</v>
      </c>
      <c r="J51" s="35"/>
      <c r="K51" s="73">
        <f t="shared" si="4"/>
        <v>237</v>
      </c>
      <c r="L51" s="262">
        <f t="shared" si="10"/>
        <v>800</v>
      </c>
      <c r="M51" s="263"/>
      <c r="N51" s="263"/>
      <c r="O51" s="35">
        <f t="shared" si="11"/>
        <v>4</v>
      </c>
      <c r="P51" s="32"/>
      <c r="Q51" s="33"/>
    </row>
    <row r="52" spans="1:17" ht="20.100000000000001" customHeight="1">
      <c r="A52" s="62" t="str">
        <f>'1. 소켓인수검사'!A94</f>
        <v>86</v>
      </c>
      <c r="B52" s="43">
        <f>'1. 소켓인수검사'!C94</f>
        <v>1000</v>
      </c>
      <c r="C52" s="43">
        <f>'1. 소켓인수검사'!D94</f>
        <v>800</v>
      </c>
      <c r="D52" s="35">
        <v>1</v>
      </c>
      <c r="E52" s="77"/>
      <c r="F52" s="214"/>
      <c r="G52" s="73">
        <f t="shared" si="3"/>
        <v>225</v>
      </c>
      <c r="H52" s="35">
        <f>((B52-30)/2)-1</f>
        <v>484</v>
      </c>
      <c r="I52" s="35">
        <f t="shared" si="0"/>
        <v>8</v>
      </c>
      <c r="J52" s="35"/>
      <c r="K52" s="73">
        <f t="shared" si="4"/>
        <v>237</v>
      </c>
      <c r="L52" s="262">
        <f t="shared" si="10"/>
        <v>800</v>
      </c>
      <c r="M52" s="263"/>
      <c r="N52" s="263"/>
      <c r="O52" s="35">
        <f t="shared" si="11"/>
        <v>4</v>
      </c>
      <c r="P52" s="32"/>
      <c r="Q52" s="33"/>
    </row>
    <row r="53" spans="1:17" ht="20.100000000000001" customHeight="1">
      <c r="A53" s="62" t="str">
        <f>'1. 소켓인수검사'!A95</f>
        <v>87</v>
      </c>
      <c r="B53" s="43">
        <f>'1. 소켓인수검사'!C95</f>
        <v>1000</v>
      </c>
      <c r="C53" s="43">
        <f>'1. 소켓인수검사'!D95</f>
        <v>800</v>
      </c>
      <c r="D53" s="35">
        <v>1</v>
      </c>
      <c r="E53" s="77"/>
      <c r="F53" s="214"/>
      <c r="G53" s="73">
        <f t="shared" si="3"/>
        <v>225</v>
      </c>
      <c r="H53" s="35">
        <f t="shared" ref="H53:H61" si="13">((B53-30)/2)-1</f>
        <v>484</v>
      </c>
      <c r="I53" s="35">
        <f t="shared" si="0"/>
        <v>8</v>
      </c>
      <c r="J53" s="35"/>
      <c r="K53" s="73">
        <f t="shared" si="4"/>
        <v>237</v>
      </c>
      <c r="L53" s="262">
        <f t="shared" si="10"/>
        <v>800</v>
      </c>
      <c r="M53" s="263"/>
      <c r="N53" s="263"/>
      <c r="O53" s="35">
        <f t="shared" si="11"/>
        <v>4</v>
      </c>
      <c r="P53" s="32"/>
      <c r="Q53" s="33"/>
    </row>
    <row r="54" spans="1:17" ht="20.100000000000001" customHeight="1">
      <c r="A54" s="62" t="str">
        <f>'1. 소켓인수검사'!A96</f>
        <v>88</v>
      </c>
      <c r="B54" s="43">
        <f>'1. 소켓인수검사'!C96</f>
        <v>1000</v>
      </c>
      <c r="C54" s="43">
        <f>'1. 소켓인수검사'!D96</f>
        <v>800</v>
      </c>
      <c r="D54" s="35">
        <v>1</v>
      </c>
      <c r="E54" s="77"/>
      <c r="F54" s="214"/>
      <c r="G54" s="73">
        <f t="shared" si="3"/>
        <v>225</v>
      </c>
      <c r="H54" s="35">
        <f t="shared" si="13"/>
        <v>484</v>
      </c>
      <c r="I54" s="35">
        <f t="shared" si="0"/>
        <v>8</v>
      </c>
      <c r="J54" s="35"/>
      <c r="K54" s="73">
        <f t="shared" si="4"/>
        <v>237</v>
      </c>
      <c r="L54" s="262">
        <f t="shared" si="10"/>
        <v>800</v>
      </c>
      <c r="M54" s="263"/>
      <c r="N54" s="263"/>
      <c r="O54" s="35">
        <f t="shared" si="11"/>
        <v>4</v>
      </c>
      <c r="P54" s="32"/>
      <c r="Q54" s="33"/>
    </row>
    <row r="55" spans="1:17" ht="20.100000000000001" customHeight="1">
      <c r="A55" s="62" t="str">
        <f>'1. 소켓인수검사'!A97</f>
        <v>89</v>
      </c>
      <c r="B55" s="43">
        <f>'1. 소켓인수검사'!C97</f>
        <v>1000</v>
      </c>
      <c r="C55" s="43">
        <f>'1. 소켓인수검사'!D97</f>
        <v>800</v>
      </c>
      <c r="D55" s="35">
        <v>1</v>
      </c>
      <c r="E55" s="77"/>
      <c r="F55" s="214"/>
      <c r="G55" s="73">
        <f t="shared" si="3"/>
        <v>225</v>
      </c>
      <c r="H55" s="35">
        <f t="shared" si="13"/>
        <v>484</v>
      </c>
      <c r="I55" s="35">
        <f t="shared" si="0"/>
        <v>8</v>
      </c>
      <c r="J55" s="35"/>
      <c r="K55" s="73">
        <f t="shared" si="4"/>
        <v>237</v>
      </c>
      <c r="L55" s="262">
        <f t="shared" si="10"/>
        <v>800</v>
      </c>
      <c r="M55" s="263"/>
      <c r="N55" s="263"/>
      <c r="O55" s="35">
        <f t="shared" si="11"/>
        <v>4</v>
      </c>
      <c r="P55" s="32"/>
      <c r="Q55" s="78"/>
    </row>
    <row r="56" spans="1:17" ht="20.100000000000001" customHeight="1">
      <c r="A56" s="62" t="str">
        <f>'1. 소켓인수검사'!A98</f>
        <v>90</v>
      </c>
      <c r="B56" s="43">
        <f>'1. 소켓인수검사'!C98</f>
        <v>1000</v>
      </c>
      <c r="C56" s="43">
        <f>'1. 소켓인수검사'!D98</f>
        <v>800</v>
      </c>
      <c r="D56" s="35">
        <v>1</v>
      </c>
      <c r="E56" s="77"/>
      <c r="F56" s="214"/>
      <c r="G56" s="73">
        <f t="shared" si="3"/>
        <v>225</v>
      </c>
      <c r="H56" s="35">
        <f t="shared" si="13"/>
        <v>484</v>
      </c>
      <c r="I56" s="35">
        <f t="shared" si="0"/>
        <v>8</v>
      </c>
      <c r="J56" s="35"/>
      <c r="K56" s="73">
        <f t="shared" si="4"/>
        <v>237</v>
      </c>
      <c r="L56" s="262">
        <f t="shared" si="10"/>
        <v>800</v>
      </c>
      <c r="M56" s="263"/>
      <c r="N56" s="263"/>
      <c r="O56" s="35">
        <f t="shared" si="11"/>
        <v>4</v>
      </c>
      <c r="P56" s="32"/>
      <c r="Q56" s="78"/>
    </row>
    <row r="57" spans="1:17" ht="20.100000000000001" customHeight="1">
      <c r="A57" s="62" t="str">
        <f>'1. 소켓인수검사'!A99</f>
        <v>91</v>
      </c>
      <c r="B57" s="43">
        <f>'1. 소켓인수검사'!C99</f>
        <v>1000</v>
      </c>
      <c r="C57" s="43">
        <f>'1. 소켓인수검사'!D99</f>
        <v>800</v>
      </c>
      <c r="D57" s="35">
        <v>1</v>
      </c>
      <c r="E57" s="77"/>
      <c r="F57" s="214"/>
      <c r="G57" s="73">
        <f t="shared" si="3"/>
        <v>225</v>
      </c>
      <c r="H57" s="35">
        <f t="shared" si="13"/>
        <v>484</v>
      </c>
      <c r="I57" s="35">
        <f t="shared" si="0"/>
        <v>8</v>
      </c>
      <c r="J57" s="35"/>
      <c r="K57" s="73">
        <f t="shared" si="4"/>
        <v>237</v>
      </c>
      <c r="L57" s="262">
        <f t="shared" si="10"/>
        <v>800</v>
      </c>
      <c r="M57" s="263"/>
      <c r="N57" s="263"/>
      <c r="O57" s="35">
        <f t="shared" si="11"/>
        <v>4</v>
      </c>
      <c r="P57" s="32"/>
      <c r="Q57" s="33"/>
    </row>
    <row r="58" spans="1:17" ht="20.100000000000001" customHeight="1">
      <c r="A58" s="62" t="str">
        <f>'1. 소켓인수검사'!A100</f>
        <v>92</v>
      </c>
      <c r="B58" s="43">
        <f>'1. 소켓인수검사'!C100</f>
        <v>1000</v>
      </c>
      <c r="C58" s="43">
        <f>'1. 소켓인수검사'!D100</f>
        <v>800</v>
      </c>
      <c r="D58" s="35">
        <v>1</v>
      </c>
      <c r="E58" s="77"/>
      <c r="F58" s="214"/>
      <c r="G58" s="73">
        <f t="shared" si="3"/>
        <v>225</v>
      </c>
      <c r="H58" s="35">
        <f t="shared" si="13"/>
        <v>484</v>
      </c>
      <c r="I58" s="35">
        <f t="shared" si="0"/>
        <v>8</v>
      </c>
      <c r="J58" s="35"/>
      <c r="K58" s="73">
        <f t="shared" si="4"/>
        <v>237</v>
      </c>
      <c r="L58" s="262">
        <f t="shared" si="10"/>
        <v>800</v>
      </c>
      <c r="M58" s="263"/>
      <c r="N58" s="263"/>
      <c r="O58" s="35">
        <f t="shared" si="11"/>
        <v>4</v>
      </c>
      <c r="P58" s="32"/>
      <c r="Q58" s="33"/>
    </row>
    <row r="59" spans="1:17" ht="20.100000000000001" customHeight="1">
      <c r="A59" s="62" t="str">
        <f>'1. 소켓인수검사'!A101</f>
        <v>93</v>
      </c>
      <c r="B59" s="43">
        <f>'1. 소켓인수검사'!C101</f>
        <v>1000</v>
      </c>
      <c r="C59" s="43">
        <f>'1. 소켓인수검사'!D101</f>
        <v>800</v>
      </c>
      <c r="D59" s="35">
        <v>1</v>
      </c>
      <c r="E59" s="77"/>
      <c r="F59" s="214"/>
      <c r="G59" s="73">
        <f t="shared" si="3"/>
        <v>225</v>
      </c>
      <c r="H59" s="35">
        <f t="shared" si="13"/>
        <v>484</v>
      </c>
      <c r="I59" s="35">
        <f t="shared" si="0"/>
        <v>8</v>
      </c>
      <c r="J59" s="35"/>
      <c r="K59" s="73">
        <f t="shared" si="4"/>
        <v>237</v>
      </c>
      <c r="L59" s="262">
        <f t="shared" si="10"/>
        <v>800</v>
      </c>
      <c r="M59" s="263"/>
      <c r="N59" s="263"/>
      <c r="O59" s="35">
        <f t="shared" si="11"/>
        <v>4</v>
      </c>
      <c r="P59" s="32"/>
      <c r="Q59" s="33"/>
    </row>
    <row r="60" spans="1:17" ht="20.100000000000001" customHeight="1">
      <c r="A60" s="62" t="str">
        <f>'1. 소켓인수검사'!A102</f>
        <v>94</v>
      </c>
      <c r="B60" s="43">
        <f>'1. 소켓인수검사'!C102</f>
        <v>1000</v>
      </c>
      <c r="C60" s="43">
        <f>'1. 소켓인수검사'!D102</f>
        <v>800</v>
      </c>
      <c r="D60" s="35">
        <v>1</v>
      </c>
      <c r="E60" s="77"/>
      <c r="F60" s="214"/>
      <c r="G60" s="73">
        <f t="shared" si="3"/>
        <v>225</v>
      </c>
      <c r="H60" s="35">
        <f t="shared" si="13"/>
        <v>484</v>
      </c>
      <c r="I60" s="35">
        <f t="shared" si="0"/>
        <v>8</v>
      </c>
      <c r="J60" s="35"/>
      <c r="K60" s="73">
        <f t="shared" si="4"/>
        <v>237</v>
      </c>
      <c r="L60" s="262">
        <f t="shared" si="10"/>
        <v>800</v>
      </c>
      <c r="M60" s="263"/>
      <c r="N60" s="263"/>
      <c r="O60" s="35">
        <f t="shared" si="11"/>
        <v>4</v>
      </c>
      <c r="P60" s="32"/>
      <c r="Q60" s="33"/>
    </row>
    <row r="61" spans="1:17" ht="20.100000000000001" customHeight="1">
      <c r="A61" s="62" t="str">
        <f>'1. 소켓인수검사'!A103</f>
        <v>95</v>
      </c>
      <c r="B61" s="43">
        <f>'1. 소켓인수검사'!C103</f>
        <v>1000</v>
      </c>
      <c r="C61" s="43">
        <f>'1. 소켓인수검사'!D103</f>
        <v>800</v>
      </c>
      <c r="D61" s="35">
        <v>1</v>
      </c>
      <c r="E61" s="77"/>
      <c r="F61" s="214"/>
      <c r="G61" s="73">
        <f t="shared" si="3"/>
        <v>225</v>
      </c>
      <c r="H61" s="35">
        <f t="shared" si="13"/>
        <v>484</v>
      </c>
      <c r="I61" s="35">
        <f t="shared" si="0"/>
        <v>8</v>
      </c>
      <c r="J61" s="35"/>
      <c r="K61" s="73">
        <f t="shared" si="4"/>
        <v>237</v>
      </c>
      <c r="L61" s="262">
        <f t="shared" si="10"/>
        <v>800</v>
      </c>
      <c r="M61" s="263"/>
      <c r="N61" s="263"/>
      <c r="O61" s="35">
        <f t="shared" si="11"/>
        <v>4</v>
      </c>
      <c r="P61" s="32"/>
      <c r="Q61" s="33"/>
    </row>
    <row r="62" spans="1:17" ht="20.100000000000001" customHeight="1">
      <c r="A62" s="62" t="str">
        <f>'1. 소켓인수검사'!A104</f>
        <v>96</v>
      </c>
      <c r="B62" s="43">
        <f>'1. 소켓인수검사'!C104</f>
        <v>1000</v>
      </c>
      <c r="C62" s="43">
        <f>'1. 소켓인수검사'!D104</f>
        <v>800</v>
      </c>
      <c r="D62" s="35">
        <v>1</v>
      </c>
      <c r="E62" s="77"/>
      <c r="F62" s="214"/>
      <c r="G62" s="73">
        <f t="shared" si="3"/>
        <v>225</v>
      </c>
      <c r="H62" s="35">
        <f t="shared" ref="H62:H65" si="14">((B62-30)/2)-1</f>
        <v>484</v>
      </c>
      <c r="I62" s="35">
        <f t="shared" si="0"/>
        <v>8</v>
      </c>
      <c r="J62" s="35"/>
      <c r="K62" s="73">
        <f t="shared" si="4"/>
        <v>237</v>
      </c>
      <c r="L62" s="262">
        <f t="shared" ref="L62:L75" si="15">C62</f>
        <v>800</v>
      </c>
      <c r="M62" s="263"/>
      <c r="N62" s="263"/>
      <c r="O62" s="35">
        <f t="shared" ref="O62:O75" si="16">D62*2*2</f>
        <v>4</v>
      </c>
      <c r="P62" s="32"/>
      <c r="Q62" s="33"/>
    </row>
    <row r="63" spans="1:17" ht="20.100000000000001" customHeight="1">
      <c r="A63" s="62" t="str">
        <f>'1. 소켓인수검사'!A105</f>
        <v>97</v>
      </c>
      <c r="B63" s="43">
        <f>'1. 소켓인수검사'!C105</f>
        <v>1000</v>
      </c>
      <c r="C63" s="43">
        <f>'1. 소켓인수검사'!D105</f>
        <v>800</v>
      </c>
      <c r="D63" s="35">
        <v>1</v>
      </c>
      <c r="E63" s="77"/>
      <c r="F63" s="214"/>
      <c r="G63" s="73">
        <f t="shared" si="3"/>
        <v>225</v>
      </c>
      <c r="H63" s="35">
        <f t="shared" si="14"/>
        <v>484</v>
      </c>
      <c r="I63" s="35">
        <f t="shared" si="0"/>
        <v>8</v>
      </c>
      <c r="J63" s="35"/>
      <c r="K63" s="73">
        <f t="shared" si="4"/>
        <v>237</v>
      </c>
      <c r="L63" s="262">
        <f t="shared" si="15"/>
        <v>800</v>
      </c>
      <c r="M63" s="263"/>
      <c r="N63" s="263"/>
      <c r="O63" s="35">
        <f t="shared" si="16"/>
        <v>4</v>
      </c>
      <c r="P63" s="32"/>
      <c r="Q63" s="78"/>
    </row>
    <row r="64" spans="1:17" ht="20.100000000000001" customHeight="1">
      <c r="A64" s="62" t="str">
        <f>'1. 소켓인수검사'!A106</f>
        <v>98</v>
      </c>
      <c r="B64" s="43">
        <f>'1. 소켓인수검사'!C106</f>
        <v>1000</v>
      </c>
      <c r="C64" s="43">
        <f>'1. 소켓인수검사'!D106</f>
        <v>800</v>
      </c>
      <c r="D64" s="35">
        <v>1</v>
      </c>
      <c r="E64" s="77"/>
      <c r="F64" s="214"/>
      <c r="G64" s="73">
        <f t="shared" si="3"/>
        <v>225</v>
      </c>
      <c r="H64" s="35">
        <f t="shared" si="14"/>
        <v>484</v>
      </c>
      <c r="I64" s="35">
        <f t="shared" si="0"/>
        <v>8</v>
      </c>
      <c r="J64" s="35"/>
      <c r="K64" s="73">
        <f t="shared" si="4"/>
        <v>237</v>
      </c>
      <c r="L64" s="262">
        <f t="shared" si="15"/>
        <v>800</v>
      </c>
      <c r="M64" s="263"/>
      <c r="N64" s="263"/>
      <c r="O64" s="35">
        <f t="shared" si="16"/>
        <v>4</v>
      </c>
      <c r="P64" s="32"/>
      <c r="Q64" s="78"/>
    </row>
    <row r="65" spans="1:17" ht="20.100000000000001" customHeight="1">
      <c r="A65" s="62" t="str">
        <f>'1. 소켓인수검사'!A107</f>
        <v>99</v>
      </c>
      <c r="B65" s="43">
        <f>'1. 소켓인수검사'!C107</f>
        <v>1200</v>
      </c>
      <c r="C65" s="43">
        <f>'1. 소켓인수검사'!D107</f>
        <v>800</v>
      </c>
      <c r="D65" s="35">
        <v>1</v>
      </c>
      <c r="E65" s="77"/>
      <c r="F65" s="214"/>
      <c r="G65" s="73">
        <f t="shared" si="3"/>
        <v>225</v>
      </c>
      <c r="H65" s="35">
        <f t="shared" si="14"/>
        <v>584</v>
      </c>
      <c r="I65" s="35">
        <f t="shared" si="0"/>
        <v>8</v>
      </c>
      <c r="J65" s="35"/>
      <c r="K65" s="73">
        <f t="shared" si="4"/>
        <v>237</v>
      </c>
      <c r="L65" s="262">
        <f t="shared" si="15"/>
        <v>800</v>
      </c>
      <c r="M65" s="263"/>
      <c r="N65" s="263"/>
      <c r="O65" s="35">
        <f t="shared" si="16"/>
        <v>4</v>
      </c>
      <c r="P65" s="32"/>
      <c r="Q65" s="33"/>
    </row>
    <row r="66" spans="1:17" ht="19.5" customHeight="1">
      <c r="A66" s="62" t="str">
        <f>'1. 소켓인수검사'!A108</f>
        <v>100</v>
      </c>
      <c r="B66" s="43">
        <f>'1. 소켓인수검사'!C108</f>
        <v>1250</v>
      </c>
      <c r="C66" s="43">
        <f>'1. 소켓인수검사'!D108</f>
        <v>800</v>
      </c>
      <c r="D66" s="35">
        <v>1</v>
      </c>
      <c r="E66" s="77"/>
      <c r="F66" s="214"/>
      <c r="G66" s="73">
        <f t="shared" si="3"/>
        <v>225</v>
      </c>
      <c r="H66" s="35">
        <f>((B66-30)/2)-1</f>
        <v>609</v>
      </c>
      <c r="I66" s="35">
        <f t="shared" si="0"/>
        <v>8</v>
      </c>
      <c r="J66" s="35"/>
      <c r="K66" s="73">
        <f t="shared" si="4"/>
        <v>237</v>
      </c>
      <c r="L66" s="262">
        <f t="shared" si="15"/>
        <v>800</v>
      </c>
      <c r="M66" s="263"/>
      <c r="N66" s="263"/>
      <c r="O66" s="35">
        <f t="shared" si="16"/>
        <v>4</v>
      </c>
      <c r="P66" s="32"/>
      <c r="Q66" s="33"/>
    </row>
    <row r="67" spans="1:17" ht="20.100000000000001" customHeight="1">
      <c r="A67" s="62" t="str">
        <f>'1. 소켓인수검사'!A109</f>
        <v>101</v>
      </c>
      <c r="B67" s="43">
        <f>'1. 소켓인수검사'!C109</f>
        <v>1250</v>
      </c>
      <c r="C67" s="43">
        <f>'1. 소켓인수검사'!D109</f>
        <v>800</v>
      </c>
      <c r="D67" s="35">
        <v>1</v>
      </c>
      <c r="E67" s="77"/>
      <c r="F67" s="214"/>
      <c r="G67" s="73">
        <f t="shared" si="3"/>
        <v>225</v>
      </c>
      <c r="H67" s="35">
        <f t="shared" ref="H67:H75" si="17">((B67-30)/2)-1</f>
        <v>609</v>
      </c>
      <c r="I67" s="35">
        <f t="shared" si="0"/>
        <v>8</v>
      </c>
      <c r="J67" s="35"/>
      <c r="K67" s="73">
        <f t="shared" si="4"/>
        <v>237</v>
      </c>
      <c r="L67" s="262">
        <f t="shared" si="15"/>
        <v>800</v>
      </c>
      <c r="M67" s="263"/>
      <c r="N67" s="263"/>
      <c r="O67" s="35">
        <f t="shared" si="16"/>
        <v>4</v>
      </c>
      <c r="P67" s="32"/>
      <c r="Q67" s="33"/>
    </row>
    <row r="68" spans="1:17" ht="20.100000000000001" customHeight="1">
      <c r="A68" s="62" t="str">
        <f>'1. 소켓인수검사'!A110</f>
        <v>102</v>
      </c>
      <c r="B68" s="43">
        <f>'1. 소켓인수검사'!C110</f>
        <v>1250</v>
      </c>
      <c r="C68" s="43">
        <f>'1. 소켓인수검사'!D110</f>
        <v>800</v>
      </c>
      <c r="D68" s="35">
        <v>1</v>
      </c>
      <c r="E68" s="77"/>
      <c r="F68" s="214"/>
      <c r="G68" s="73">
        <f t="shared" si="3"/>
        <v>225</v>
      </c>
      <c r="H68" s="35">
        <f t="shared" si="17"/>
        <v>609</v>
      </c>
      <c r="I68" s="35">
        <f t="shared" si="0"/>
        <v>8</v>
      </c>
      <c r="J68" s="35"/>
      <c r="K68" s="73">
        <f t="shared" si="4"/>
        <v>237</v>
      </c>
      <c r="L68" s="262">
        <f t="shared" si="15"/>
        <v>800</v>
      </c>
      <c r="M68" s="263"/>
      <c r="N68" s="263"/>
      <c r="O68" s="35">
        <f t="shared" si="16"/>
        <v>4</v>
      </c>
      <c r="P68" s="32"/>
      <c r="Q68" s="33"/>
    </row>
    <row r="69" spans="1:17" ht="20.100000000000001" customHeight="1">
      <c r="A69" s="62" t="str">
        <f>'1. 소켓인수검사'!A111</f>
        <v>103</v>
      </c>
      <c r="B69" s="43">
        <f>'1. 소켓인수검사'!C111</f>
        <v>1250</v>
      </c>
      <c r="C69" s="43">
        <f>'1. 소켓인수검사'!D111</f>
        <v>800</v>
      </c>
      <c r="D69" s="35">
        <v>1</v>
      </c>
      <c r="E69" s="77"/>
      <c r="F69" s="214"/>
      <c r="G69" s="73">
        <f t="shared" si="3"/>
        <v>225</v>
      </c>
      <c r="H69" s="35">
        <f t="shared" si="17"/>
        <v>609</v>
      </c>
      <c r="I69" s="35">
        <f t="shared" si="0"/>
        <v>8</v>
      </c>
      <c r="J69" s="35"/>
      <c r="K69" s="73">
        <f t="shared" si="4"/>
        <v>237</v>
      </c>
      <c r="L69" s="262">
        <f t="shared" si="15"/>
        <v>800</v>
      </c>
      <c r="M69" s="263"/>
      <c r="N69" s="263"/>
      <c r="O69" s="35">
        <f t="shared" si="16"/>
        <v>4</v>
      </c>
      <c r="P69" s="32"/>
      <c r="Q69" s="78"/>
    </row>
    <row r="70" spans="1:17" ht="20.100000000000001" customHeight="1">
      <c r="A70" s="62" t="str">
        <f>'1. 소켓인수검사'!A112</f>
        <v>104</v>
      </c>
      <c r="B70" s="43">
        <f>'1. 소켓인수검사'!C112</f>
        <v>1250</v>
      </c>
      <c r="C70" s="43">
        <f>'1. 소켓인수검사'!D112</f>
        <v>800</v>
      </c>
      <c r="D70" s="35">
        <v>1</v>
      </c>
      <c r="E70" s="77"/>
      <c r="F70" s="214"/>
      <c r="G70" s="73">
        <f t="shared" si="3"/>
        <v>225</v>
      </c>
      <c r="H70" s="35">
        <f t="shared" si="17"/>
        <v>609</v>
      </c>
      <c r="I70" s="35">
        <f t="shared" si="0"/>
        <v>8</v>
      </c>
      <c r="J70" s="35"/>
      <c r="K70" s="73">
        <f t="shared" si="4"/>
        <v>237</v>
      </c>
      <c r="L70" s="262">
        <f t="shared" si="15"/>
        <v>800</v>
      </c>
      <c r="M70" s="263"/>
      <c r="N70" s="263"/>
      <c r="O70" s="35">
        <f t="shared" si="16"/>
        <v>4</v>
      </c>
      <c r="P70" s="32"/>
      <c r="Q70" s="78"/>
    </row>
    <row r="71" spans="1:17" ht="20.100000000000001" customHeight="1">
      <c r="A71" s="62" t="str">
        <f>'1. 소켓인수검사'!A113</f>
        <v>105</v>
      </c>
      <c r="B71" s="43">
        <f>'1. 소켓인수검사'!C113</f>
        <v>1250</v>
      </c>
      <c r="C71" s="43">
        <f>'1. 소켓인수검사'!D113</f>
        <v>800</v>
      </c>
      <c r="D71" s="35">
        <v>1</v>
      </c>
      <c r="E71" s="77"/>
      <c r="F71" s="214"/>
      <c r="G71" s="73">
        <f t="shared" si="3"/>
        <v>225</v>
      </c>
      <c r="H71" s="35">
        <f t="shared" si="17"/>
        <v>609</v>
      </c>
      <c r="I71" s="35">
        <f t="shared" si="0"/>
        <v>8</v>
      </c>
      <c r="J71" s="35"/>
      <c r="K71" s="73">
        <f t="shared" si="4"/>
        <v>237</v>
      </c>
      <c r="L71" s="262">
        <f t="shared" si="15"/>
        <v>800</v>
      </c>
      <c r="M71" s="263"/>
      <c r="N71" s="263"/>
      <c r="O71" s="35">
        <f t="shared" si="16"/>
        <v>4</v>
      </c>
      <c r="P71" s="32"/>
      <c r="Q71" s="33"/>
    </row>
    <row r="72" spans="1:17" ht="20.100000000000001" customHeight="1">
      <c r="A72" s="62" t="str">
        <f>'1. 소켓인수검사'!A114</f>
        <v>106</v>
      </c>
      <c r="B72" s="43">
        <f>'1. 소켓인수검사'!C114</f>
        <v>1250</v>
      </c>
      <c r="C72" s="43">
        <f>'1. 소켓인수검사'!D114</f>
        <v>800</v>
      </c>
      <c r="D72" s="35">
        <v>1</v>
      </c>
      <c r="E72" s="77"/>
      <c r="F72" s="214"/>
      <c r="G72" s="73">
        <f t="shared" si="3"/>
        <v>225</v>
      </c>
      <c r="H72" s="35">
        <f t="shared" si="17"/>
        <v>609</v>
      </c>
      <c r="I72" s="35">
        <f t="shared" si="0"/>
        <v>8</v>
      </c>
      <c r="J72" s="35"/>
      <c r="K72" s="73">
        <f t="shared" si="4"/>
        <v>237</v>
      </c>
      <c r="L72" s="262">
        <f t="shared" si="15"/>
        <v>800</v>
      </c>
      <c r="M72" s="263"/>
      <c r="N72" s="263"/>
      <c r="O72" s="35">
        <f t="shared" si="16"/>
        <v>4</v>
      </c>
      <c r="P72" s="32"/>
      <c r="Q72" s="33"/>
    </row>
    <row r="73" spans="1:17" ht="20.100000000000001" customHeight="1">
      <c r="A73" s="62" t="str">
        <f>'1. 소켓인수검사'!A115</f>
        <v>107</v>
      </c>
      <c r="B73" s="43">
        <f>'1. 소켓인수검사'!C115</f>
        <v>1250</v>
      </c>
      <c r="C73" s="43">
        <f>'1. 소켓인수검사'!D115</f>
        <v>800</v>
      </c>
      <c r="D73" s="35">
        <v>1</v>
      </c>
      <c r="E73" s="77"/>
      <c r="F73" s="214"/>
      <c r="G73" s="73">
        <f t="shared" si="3"/>
        <v>225</v>
      </c>
      <c r="H73" s="35">
        <f t="shared" si="17"/>
        <v>609</v>
      </c>
      <c r="I73" s="35">
        <f t="shared" si="0"/>
        <v>8</v>
      </c>
      <c r="J73" s="35"/>
      <c r="K73" s="73">
        <f t="shared" si="4"/>
        <v>237</v>
      </c>
      <c r="L73" s="262">
        <f t="shared" si="15"/>
        <v>800</v>
      </c>
      <c r="M73" s="263"/>
      <c r="N73" s="263"/>
      <c r="O73" s="35">
        <f t="shared" si="16"/>
        <v>4</v>
      </c>
      <c r="P73" s="32"/>
      <c r="Q73" s="33"/>
    </row>
    <row r="74" spans="1:17" ht="20.100000000000001" customHeight="1">
      <c r="A74" s="62" t="str">
        <f>'1. 소켓인수검사'!A116</f>
        <v>108</v>
      </c>
      <c r="B74" s="43">
        <f>'1. 소켓인수검사'!C116</f>
        <v>1250</v>
      </c>
      <c r="C74" s="43">
        <f>'1. 소켓인수검사'!D116</f>
        <v>800</v>
      </c>
      <c r="D74" s="35">
        <v>1</v>
      </c>
      <c r="E74" s="77"/>
      <c r="F74" s="214"/>
      <c r="G74" s="73">
        <f t="shared" si="3"/>
        <v>225</v>
      </c>
      <c r="H74" s="35">
        <f t="shared" si="17"/>
        <v>609</v>
      </c>
      <c r="I74" s="35">
        <f t="shared" si="0"/>
        <v>8</v>
      </c>
      <c r="J74" s="35"/>
      <c r="K74" s="73">
        <f t="shared" si="4"/>
        <v>237</v>
      </c>
      <c r="L74" s="262">
        <f t="shared" si="15"/>
        <v>800</v>
      </c>
      <c r="M74" s="263"/>
      <c r="N74" s="263"/>
      <c r="O74" s="35">
        <f t="shared" si="16"/>
        <v>4</v>
      </c>
      <c r="P74" s="32"/>
      <c r="Q74" s="33"/>
    </row>
    <row r="75" spans="1:17" ht="20.100000000000001" customHeight="1">
      <c r="A75" s="62" t="str">
        <f>'1. 소켓인수검사'!A117</f>
        <v>109</v>
      </c>
      <c r="B75" s="43">
        <f>'1. 소켓인수검사'!C117</f>
        <v>1250</v>
      </c>
      <c r="C75" s="43">
        <f>'1. 소켓인수검사'!D117</f>
        <v>800</v>
      </c>
      <c r="D75" s="35">
        <v>1</v>
      </c>
      <c r="E75" s="77"/>
      <c r="F75" s="214"/>
      <c r="G75" s="73">
        <f t="shared" si="3"/>
        <v>225</v>
      </c>
      <c r="H75" s="35">
        <f t="shared" si="17"/>
        <v>609</v>
      </c>
      <c r="I75" s="35">
        <f t="shared" ref="I75:I76" si="18">D75*4*2</f>
        <v>8</v>
      </c>
      <c r="J75" s="35"/>
      <c r="K75" s="73">
        <f t="shared" si="4"/>
        <v>237</v>
      </c>
      <c r="L75" s="262">
        <f t="shared" si="15"/>
        <v>800</v>
      </c>
      <c r="M75" s="263"/>
      <c r="N75" s="263"/>
      <c r="O75" s="35">
        <f t="shared" si="16"/>
        <v>4</v>
      </c>
      <c r="P75" s="32"/>
      <c r="Q75" s="33"/>
    </row>
    <row r="76" spans="1:17" ht="20.100000000000001" customHeight="1">
      <c r="A76" s="62" t="str">
        <f>'1. 소켓인수검사'!A118</f>
        <v>110</v>
      </c>
      <c r="B76" s="43">
        <f>'1. 소켓인수검사'!C118</f>
        <v>1250</v>
      </c>
      <c r="C76" s="43">
        <f>'1. 소켓인수검사'!D118</f>
        <v>800</v>
      </c>
      <c r="D76" s="35">
        <v>1</v>
      </c>
      <c r="E76" s="77"/>
      <c r="F76" s="214"/>
      <c r="G76" s="73">
        <f t="shared" ref="G76" si="19">228-3</f>
        <v>225</v>
      </c>
      <c r="H76" s="35">
        <f t="shared" si="8"/>
        <v>609</v>
      </c>
      <c r="I76" s="35">
        <f t="shared" si="18"/>
        <v>8</v>
      </c>
      <c r="J76" s="35"/>
      <c r="K76" s="73">
        <f t="shared" ref="K76" si="20">240-3</f>
        <v>237</v>
      </c>
      <c r="L76" s="262">
        <f t="shared" si="6"/>
        <v>800</v>
      </c>
      <c r="M76" s="263"/>
      <c r="N76" s="263"/>
      <c r="O76" s="35">
        <f t="shared" si="7"/>
        <v>4</v>
      </c>
      <c r="P76" s="32"/>
      <c r="Q76" s="33"/>
    </row>
    <row r="77" spans="1:17" ht="8.1" customHeight="1">
      <c r="A77" s="260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61"/>
    </row>
    <row r="78" spans="1:17">
      <c r="A78" s="233" t="s">
        <v>58</v>
      </c>
      <c r="B78" s="23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233"/>
      <c r="B79" s="23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233"/>
      <c r="B80" s="23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>
      <c r="A81" s="233"/>
      <c r="B81" s="23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>
      <c r="A82" s="233"/>
      <c r="B82" s="23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>
      <c r="A83" s="233"/>
      <c r="B83" s="23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</sheetData>
  <mergeCells count="99">
    <mergeCell ref="L69:N69"/>
    <mergeCell ref="A77:Q77"/>
    <mergeCell ref="A78:B83"/>
    <mergeCell ref="C78:Q83"/>
    <mergeCell ref="L70:N70"/>
    <mergeCell ref="L71:N71"/>
    <mergeCell ref="L72:N72"/>
    <mergeCell ref="L73:N73"/>
    <mergeCell ref="L74:N74"/>
    <mergeCell ref="L75:N75"/>
    <mergeCell ref="L76:N76"/>
    <mergeCell ref="F11:F76"/>
    <mergeCell ref="L11:N11"/>
    <mergeCell ref="L12:N12"/>
    <mergeCell ref="L13:N13"/>
    <mergeCell ref="L14:N14"/>
    <mergeCell ref="L15:N15"/>
    <mergeCell ref="L16:N16"/>
    <mergeCell ref="L17:N17"/>
    <mergeCell ref="L18:N18"/>
    <mergeCell ref="L60:N60"/>
    <mergeCell ref="L42:N42"/>
    <mergeCell ref="L43:N43"/>
    <mergeCell ref="L44:N44"/>
    <mergeCell ref="L45:N45"/>
    <mergeCell ref="L46:N46"/>
    <mergeCell ref="L47:N47"/>
    <mergeCell ref="L48:N48"/>
    <mergeCell ref="L49:N49"/>
    <mergeCell ref="L50:N50"/>
    <mergeCell ref="L28:N28"/>
    <mergeCell ref="L34:N34"/>
    <mergeCell ref="L67:N67"/>
    <mergeCell ref="L68:N68"/>
    <mergeCell ref="L51:N51"/>
    <mergeCell ref="L52:N52"/>
    <mergeCell ref="L53:N53"/>
    <mergeCell ref="L54:N54"/>
    <mergeCell ref="L55:N55"/>
    <mergeCell ref="L56:N56"/>
    <mergeCell ref="L57:N57"/>
    <mergeCell ref="L58:N58"/>
    <mergeCell ref="L59:N59"/>
    <mergeCell ref="L61:N61"/>
    <mergeCell ref="L62:N62"/>
    <mergeCell ref="L63:N63"/>
    <mergeCell ref="L64:N64"/>
    <mergeCell ref="L65:N65"/>
    <mergeCell ref="L36:N36"/>
    <mergeCell ref="L37:N37"/>
    <mergeCell ref="L38:N38"/>
    <mergeCell ref="L39:N39"/>
    <mergeCell ref="L66:N66"/>
    <mergeCell ref="L40:N40"/>
    <mergeCell ref="L41:N41"/>
    <mergeCell ref="L10:N10"/>
    <mergeCell ref="L20:N20"/>
    <mergeCell ref="L21:N21"/>
    <mergeCell ref="L22:N22"/>
    <mergeCell ref="L23:N23"/>
    <mergeCell ref="L24:N24"/>
    <mergeCell ref="L25:N25"/>
    <mergeCell ref="L26:N26"/>
    <mergeCell ref="L27:N27"/>
    <mergeCell ref="L19:N19"/>
    <mergeCell ref="L31:N31"/>
    <mergeCell ref="L32:N32"/>
    <mergeCell ref="L33:N33"/>
    <mergeCell ref="L35:N35"/>
    <mergeCell ref="O5:Q6"/>
    <mergeCell ref="F6:G6"/>
    <mergeCell ref="E1:Q4"/>
    <mergeCell ref="L29:N29"/>
    <mergeCell ref="L30:N30"/>
    <mergeCell ref="A7:Q7"/>
    <mergeCell ref="A8:A10"/>
    <mergeCell ref="B8:C8"/>
    <mergeCell ref="D8:D10"/>
    <mergeCell ref="E8:E10"/>
    <mergeCell ref="F8:F10"/>
    <mergeCell ref="G8:P8"/>
    <mergeCell ref="Q8:Q10"/>
    <mergeCell ref="B9:B10"/>
    <mergeCell ref="C9:C10"/>
    <mergeCell ref="G9:G10"/>
    <mergeCell ref="H9:I9"/>
    <mergeCell ref="J9:J10"/>
    <mergeCell ref="K9:K10"/>
    <mergeCell ref="L9:O9"/>
    <mergeCell ref="P9:P10"/>
    <mergeCell ref="F5:G5"/>
    <mergeCell ref="H5:H6"/>
    <mergeCell ref="I5:J6"/>
    <mergeCell ref="K5:N6"/>
    <mergeCell ref="A1:D3"/>
    <mergeCell ref="A4:B4"/>
    <mergeCell ref="C4:D4"/>
    <mergeCell ref="A5:B6"/>
    <mergeCell ref="C5:D6"/>
  </mergeCells>
  <phoneticPr fontId="31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129"/>
  <sheetViews>
    <sheetView zoomScaleNormal="100" zoomScaleSheetLayoutView="100" workbookViewId="0">
      <pane ySplit="9" topLeftCell="A109" activePane="bottomLeft" state="frozen"/>
      <selection pane="bottomLeft" activeCell="O117" sqref="O117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"/>
      <c r="B1" s="1"/>
      <c r="C1" s="1"/>
      <c r="D1" s="266" t="s">
        <v>56</v>
      </c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7"/>
      <c r="R1" s="268"/>
      <c r="S1" s="14"/>
    </row>
    <row r="2" spans="1:19">
      <c r="A2" s="1"/>
      <c r="B2" s="1"/>
      <c r="C2" s="1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7"/>
      <c r="R2" s="269"/>
      <c r="S2" s="270"/>
    </row>
    <row r="3" spans="1:19" ht="24" customHeight="1">
      <c r="A3" s="1"/>
      <c r="B3" s="1"/>
      <c r="C3" s="1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7"/>
      <c r="R3" s="269"/>
      <c r="S3" s="270"/>
    </row>
    <row r="4" spans="1:19">
      <c r="A4" s="1" t="s">
        <v>17</v>
      </c>
      <c r="B4" s="1"/>
      <c r="C4" s="1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7"/>
      <c r="R4" s="269"/>
      <c r="S4" s="270"/>
    </row>
    <row r="5" spans="1:19">
      <c r="A5" s="1" t="s">
        <v>27</v>
      </c>
      <c r="B5" s="1"/>
      <c r="C5" s="1"/>
      <c r="D5" s="2" t="s">
        <v>33</v>
      </c>
      <c r="E5" s="271"/>
      <c r="F5" s="272"/>
      <c r="G5" s="273" t="s">
        <v>73</v>
      </c>
      <c r="H5" s="187"/>
      <c r="I5" s="188"/>
      <c r="J5" s="188"/>
      <c r="K5" s="189"/>
      <c r="L5" s="273" t="s">
        <v>22</v>
      </c>
      <c r="M5" s="80"/>
      <c r="N5" s="80"/>
      <c r="O5" s="273" t="s">
        <v>22</v>
      </c>
      <c r="P5" s="275" t="str">
        <f>'1. 소켓인수검사'!R2</f>
        <v xml:space="preserve">26.04.24 그린산업_ 일우엠이씨_GS건설_아산탕정자이퍼스트시티 </v>
      </c>
      <c r="Q5" s="276"/>
      <c r="R5" s="276"/>
      <c r="S5" s="277"/>
    </row>
    <row r="6" spans="1:19">
      <c r="A6" s="1"/>
      <c r="B6" s="1"/>
      <c r="C6" s="1"/>
      <c r="D6" s="2" t="s">
        <v>30</v>
      </c>
      <c r="E6" s="271"/>
      <c r="F6" s="272"/>
      <c r="G6" s="274"/>
      <c r="H6" s="190"/>
      <c r="I6" s="191"/>
      <c r="J6" s="191"/>
      <c r="K6" s="192"/>
      <c r="L6" s="274"/>
      <c r="M6" s="81"/>
      <c r="N6" s="81"/>
      <c r="O6" s="274"/>
      <c r="P6" s="278"/>
      <c r="Q6" s="279"/>
      <c r="R6" s="279"/>
      <c r="S6" s="280"/>
    </row>
    <row r="7" spans="1:19" ht="8.1" customHeight="1">
      <c r="A7" s="190"/>
      <c r="B7" s="191"/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2"/>
    </row>
    <row r="8" spans="1:19" ht="16.5" customHeight="1">
      <c r="A8" s="133" t="s">
        <v>70</v>
      </c>
      <c r="B8" s="284" t="s">
        <v>77</v>
      </c>
      <c r="C8" s="284" t="s">
        <v>75</v>
      </c>
      <c r="D8" s="284" t="s">
        <v>80</v>
      </c>
      <c r="E8" s="284" t="s">
        <v>65</v>
      </c>
      <c r="F8" s="284" t="s">
        <v>72</v>
      </c>
      <c r="G8" s="284" t="s">
        <v>24</v>
      </c>
      <c r="H8" s="284"/>
      <c r="I8" s="284"/>
      <c r="J8" s="284" t="s">
        <v>0</v>
      </c>
      <c r="K8" s="284"/>
      <c r="L8" s="284"/>
      <c r="M8" s="284" t="s">
        <v>0</v>
      </c>
      <c r="N8" s="284"/>
      <c r="O8" s="284"/>
      <c r="P8" s="284" t="s">
        <v>0</v>
      </c>
      <c r="Q8" s="284"/>
      <c r="R8" s="284"/>
      <c r="S8" s="286"/>
    </row>
    <row r="9" spans="1:19" ht="33" customHeight="1">
      <c r="A9" s="283"/>
      <c r="B9" s="285"/>
      <c r="C9" s="285"/>
      <c r="D9" s="285"/>
      <c r="E9" s="285"/>
      <c r="F9" s="285"/>
      <c r="G9" s="83" t="s">
        <v>34</v>
      </c>
      <c r="H9" s="83" t="s">
        <v>68</v>
      </c>
      <c r="I9" s="83" t="s">
        <v>67</v>
      </c>
      <c r="J9" s="83" t="s">
        <v>20</v>
      </c>
      <c r="K9" s="83" t="s">
        <v>68</v>
      </c>
      <c r="L9" s="83" t="s">
        <v>67</v>
      </c>
      <c r="M9" s="83" t="s">
        <v>26</v>
      </c>
      <c r="N9" s="83" t="s">
        <v>68</v>
      </c>
      <c r="O9" s="83" t="s">
        <v>67</v>
      </c>
      <c r="P9" s="83" t="s">
        <v>23</v>
      </c>
      <c r="Q9" s="83" t="s">
        <v>68</v>
      </c>
      <c r="R9" s="285" t="s">
        <v>67</v>
      </c>
      <c r="S9" s="287"/>
    </row>
    <row r="10" spans="1:19">
      <c r="A10" s="62" t="str">
        <f>'1. 소켓인수검사'!A9</f>
        <v>01</v>
      </c>
      <c r="B10" s="43">
        <f>'1. 소켓인수검사'!C9</f>
        <v>850</v>
      </c>
      <c r="C10" s="43">
        <f>'1. 소켓인수검사'!D9</f>
        <v>550</v>
      </c>
      <c r="D10" s="65" t="s">
        <v>60</v>
      </c>
      <c r="E10" s="79">
        <f>B10*C10/1000000</f>
        <v>0.46750000000000003</v>
      </c>
      <c r="F10" s="79">
        <f>(B10+C10)*2/1000</f>
        <v>2.8</v>
      </c>
      <c r="G10" s="34"/>
      <c r="H10" s="43"/>
      <c r="I10" s="34"/>
      <c r="J10" s="34"/>
      <c r="K10" s="43"/>
      <c r="L10" s="34"/>
      <c r="M10" s="34">
        <f>F10+0.5</f>
        <v>3.3</v>
      </c>
      <c r="N10" s="43">
        <v>4</v>
      </c>
      <c r="O10" s="34">
        <f>+N10*M10</f>
        <v>13.2</v>
      </c>
      <c r="P10" s="34"/>
      <c r="Q10" s="43"/>
      <c r="R10" s="281"/>
      <c r="S10" s="282"/>
    </row>
    <row r="11" spans="1:19">
      <c r="A11" s="62" t="str">
        <f>'1. 소켓인수검사'!A10</f>
        <v>02</v>
      </c>
      <c r="B11" s="43">
        <f>'1. 소켓인수검사'!C10</f>
        <v>850</v>
      </c>
      <c r="C11" s="43">
        <f>'1. 소켓인수검사'!D10</f>
        <v>550</v>
      </c>
      <c r="D11" s="65" t="s">
        <v>60</v>
      </c>
      <c r="E11" s="79">
        <f>B11*C11/1000000</f>
        <v>0.46750000000000003</v>
      </c>
      <c r="F11" s="79">
        <f>(B11+C11)*2/1000</f>
        <v>2.8</v>
      </c>
      <c r="G11" s="34"/>
      <c r="H11" s="43"/>
      <c r="I11" s="34"/>
      <c r="J11" s="34"/>
      <c r="K11" s="43"/>
      <c r="L11" s="34"/>
      <c r="M11" s="34">
        <f t="shared" ref="M11:M53" si="0">F11+0.5</f>
        <v>3.3</v>
      </c>
      <c r="N11" s="43">
        <v>4</v>
      </c>
      <c r="O11" s="34">
        <f t="shared" ref="O11:O53" si="1">+N11*M11</f>
        <v>13.2</v>
      </c>
      <c r="P11" s="34"/>
      <c r="Q11" s="43"/>
      <c r="R11" s="281"/>
      <c r="S11" s="282"/>
    </row>
    <row r="12" spans="1:19">
      <c r="A12" s="62" t="str">
        <f>'1. 소켓인수검사'!A11</f>
        <v>03</v>
      </c>
      <c r="B12" s="43">
        <f>'1. 소켓인수검사'!C11</f>
        <v>850</v>
      </c>
      <c r="C12" s="43">
        <f>'1. 소켓인수검사'!D11</f>
        <v>550</v>
      </c>
      <c r="D12" s="65" t="s">
        <v>60</v>
      </c>
      <c r="E12" s="79">
        <f t="shared" ref="E12:E119" si="2">B12*C12/1000000</f>
        <v>0.46750000000000003</v>
      </c>
      <c r="F12" s="79">
        <f t="shared" ref="F12:F119" si="3">(B12+C12)*2/1000</f>
        <v>2.8</v>
      </c>
      <c r="G12" s="34"/>
      <c r="H12" s="43"/>
      <c r="I12" s="34"/>
      <c r="J12" s="34"/>
      <c r="K12" s="43"/>
      <c r="L12" s="34"/>
      <c r="M12" s="34">
        <f t="shared" si="0"/>
        <v>3.3</v>
      </c>
      <c r="N12" s="43">
        <v>4</v>
      </c>
      <c r="O12" s="34">
        <f t="shared" si="1"/>
        <v>13.2</v>
      </c>
      <c r="P12" s="34"/>
      <c r="Q12" s="43"/>
      <c r="R12" s="281"/>
      <c r="S12" s="282"/>
    </row>
    <row r="13" spans="1:19">
      <c r="A13" s="62" t="str">
        <f>'1. 소켓인수검사'!A12</f>
        <v>04</v>
      </c>
      <c r="B13" s="43">
        <f>'1. 소켓인수검사'!C12</f>
        <v>850</v>
      </c>
      <c r="C13" s="43">
        <f>'1. 소켓인수검사'!D12</f>
        <v>550</v>
      </c>
      <c r="D13" s="65" t="s">
        <v>60</v>
      </c>
      <c r="E13" s="79">
        <f t="shared" si="2"/>
        <v>0.46750000000000003</v>
      </c>
      <c r="F13" s="79">
        <f t="shared" si="3"/>
        <v>2.8</v>
      </c>
      <c r="G13" s="34"/>
      <c r="H13" s="43"/>
      <c r="I13" s="34"/>
      <c r="J13" s="34"/>
      <c r="K13" s="43"/>
      <c r="L13" s="34"/>
      <c r="M13" s="34">
        <f t="shared" si="0"/>
        <v>3.3</v>
      </c>
      <c r="N13" s="43">
        <v>4</v>
      </c>
      <c r="O13" s="34">
        <f t="shared" si="1"/>
        <v>13.2</v>
      </c>
      <c r="P13" s="34"/>
      <c r="Q13" s="43"/>
      <c r="R13" s="281"/>
      <c r="S13" s="282"/>
    </row>
    <row r="14" spans="1:19">
      <c r="A14" s="62" t="str">
        <f>'1. 소켓인수검사'!A13</f>
        <v>05</v>
      </c>
      <c r="B14" s="43">
        <f>'1. 소켓인수검사'!C13</f>
        <v>900</v>
      </c>
      <c r="C14" s="43">
        <f>'1. 소켓인수검사'!D13</f>
        <v>550</v>
      </c>
      <c r="D14" s="65" t="s">
        <v>60</v>
      </c>
      <c r="E14" s="79">
        <f t="shared" si="2"/>
        <v>0.495</v>
      </c>
      <c r="F14" s="79">
        <f t="shared" si="3"/>
        <v>2.9</v>
      </c>
      <c r="G14" s="34"/>
      <c r="H14" s="43"/>
      <c r="I14" s="34"/>
      <c r="J14" s="34"/>
      <c r="K14" s="43"/>
      <c r="L14" s="34"/>
      <c r="M14" s="34">
        <f t="shared" si="0"/>
        <v>3.4</v>
      </c>
      <c r="N14" s="43">
        <v>4</v>
      </c>
      <c r="O14" s="34">
        <f t="shared" si="1"/>
        <v>13.6</v>
      </c>
      <c r="P14" s="34"/>
      <c r="Q14" s="43"/>
      <c r="R14" s="281"/>
      <c r="S14" s="282"/>
    </row>
    <row r="15" spans="1:19">
      <c r="A15" s="62" t="str">
        <f>'1. 소켓인수검사'!A14</f>
        <v>06</v>
      </c>
      <c r="B15" s="43">
        <f>'1. 소켓인수검사'!C14</f>
        <v>900</v>
      </c>
      <c r="C15" s="43">
        <f>'1. 소켓인수검사'!D14</f>
        <v>550</v>
      </c>
      <c r="D15" s="65" t="s">
        <v>60</v>
      </c>
      <c r="E15" s="79">
        <f t="shared" si="2"/>
        <v>0.495</v>
      </c>
      <c r="F15" s="79">
        <f t="shared" si="3"/>
        <v>2.9</v>
      </c>
      <c r="G15" s="34"/>
      <c r="H15" s="43"/>
      <c r="I15" s="34"/>
      <c r="J15" s="34"/>
      <c r="K15" s="43"/>
      <c r="L15" s="34"/>
      <c r="M15" s="34">
        <f t="shared" si="0"/>
        <v>3.4</v>
      </c>
      <c r="N15" s="43">
        <v>4</v>
      </c>
      <c r="O15" s="34">
        <f t="shared" si="1"/>
        <v>13.6</v>
      </c>
      <c r="P15" s="34"/>
      <c r="Q15" s="34"/>
      <c r="R15" s="281"/>
      <c r="S15" s="282"/>
    </row>
    <row r="16" spans="1:19">
      <c r="A16" s="62" t="str">
        <f>'1. 소켓인수검사'!A15</f>
        <v>07</v>
      </c>
      <c r="B16" s="43">
        <f>'1. 소켓인수검사'!C15</f>
        <v>900</v>
      </c>
      <c r="C16" s="43">
        <f>'1. 소켓인수검사'!D15</f>
        <v>550</v>
      </c>
      <c r="D16" s="65" t="s">
        <v>60</v>
      </c>
      <c r="E16" s="79">
        <f t="shared" si="2"/>
        <v>0.495</v>
      </c>
      <c r="F16" s="79">
        <f t="shared" si="3"/>
        <v>2.9</v>
      </c>
      <c r="G16" s="34"/>
      <c r="H16" s="43"/>
      <c r="I16" s="34"/>
      <c r="J16" s="34"/>
      <c r="K16" s="43"/>
      <c r="L16" s="34"/>
      <c r="M16" s="34">
        <f t="shared" si="0"/>
        <v>3.4</v>
      </c>
      <c r="N16" s="43">
        <v>4</v>
      </c>
      <c r="O16" s="34">
        <f t="shared" si="1"/>
        <v>13.6</v>
      </c>
      <c r="P16" s="34"/>
      <c r="Q16" s="34"/>
      <c r="R16" s="281"/>
      <c r="S16" s="282"/>
    </row>
    <row r="17" spans="1:19">
      <c r="A17" s="62" t="str">
        <f>'1. 소켓인수검사'!A16</f>
        <v>08</v>
      </c>
      <c r="B17" s="43">
        <f>'1. 소켓인수검사'!C16</f>
        <v>900</v>
      </c>
      <c r="C17" s="43">
        <f>'1. 소켓인수검사'!D16</f>
        <v>550</v>
      </c>
      <c r="D17" s="65" t="s">
        <v>60</v>
      </c>
      <c r="E17" s="79">
        <f t="shared" si="2"/>
        <v>0.495</v>
      </c>
      <c r="F17" s="79">
        <f t="shared" si="3"/>
        <v>2.9</v>
      </c>
      <c r="G17" s="34"/>
      <c r="H17" s="43"/>
      <c r="I17" s="34"/>
      <c r="J17" s="34"/>
      <c r="K17" s="43"/>
      <c r="L17" s="34"/>
      <c r="M17" s="34">
        <f t="shared" si="0"/>
        <v>3.4</v>
      </c>
      <c r="N17" s="43">
        <v>4</v>
      </c>
      <c r="O17" s="34">
        <f t="shared" si="1"/>
        <v>13.6</v>
      </c>
      <c r="P17" s="34"/>
      <c r="Q17" s="34"/>
      <c r="R17" s="281"/>
      <c r="S17" s="282"/>
    </row>
    <row r="18" spans="1:19" ht="16.5" customHeight="1">
      <c r="A18" s="62" t="str">
        <f>'1. 소켓인수검사'!A17</f>
        <v>09</v>
      </c>
      <c r="B18" s="43">
        <f>'1. 소켓인수검사'!C17</f>
        <v>900</v>
      </c>
      <c r="C18" s="43">
        <f>'1. 소켓인수검사'!D17</f>
        <v>550</v>
      </c>
      <c r="D18" s="65" t="s">
        <v>60</v>
      </c>
      <c r="E18" s="79">
        <f t="shared" si="2"/>
        <v>0.495</v>
      </c>
      <c r="F18" s="79">
        <f t="shared" si="3"/>
        <v>2.9</v>
      </c>
      <c r="G18" s="34"/>
      <c r="H18" s="43"/>
      <c r="I18" s="34"/>
      <c r="J18" s="34"/>
      <c r="K18" s="43"/>
      <c r="L18" s="34"/>
      <c r="M18" s="34">
        <f t="shared" si="0"/>
        <v>3.4</v>
      </c>
      <c r="N18" s="43">
        <v>4</v>
      </c>
      <c r="O18" s="34">
        <f t="shared" si="1"/>
        <v>13.6</v>
      </c>
      <c r="P18" s="34"/>
      <c r="Q18" s="34"/>
      <c r="R18" s="281"/>
      <c r="S18" s="282"/>
    </row>
    <row r="19" spans="1:19">
      <c r="A19" s="62" t="str">
        <f>'1. 소켓인수검사'!A18</f>
        <v>10</v>
      </c>
      <c r="B19" s="43">
        <f>'1. 소켓인수검사'!C18</f>
        <v>900</v>
      </c>
      <c r="C19" s="43">
        <f>'1. 소켓인수검사'!D18</f>
        <v>550</v>
      </c>
      <c r="D19" s="65" t="s">
        <v>60</v>
      </c>
      <c r="E19" s="79">
        <f t="shared" si="2"/>
        <v>0.495</v>
      </c>
      <c r="F19" s="79">
        <f t="shared" si="3"/>
        <v>2.9</v>
      </c>
      <c r="G19" s="34"/>
      <c r="H19" s="43"/>
      <c r="I19" s="34"/>
      <c r="J19" s="34"/>
      <c r="K19" s="43"/>
      <c r="L19" s="34"/>
      <c r="M19" s="34">
        <f t="shared" si="0"/>
        <v>3.4</v>
      </c>
      <c r="N19" s="43">
        <v>4</v>
      </c>
      <c r="O19" s="34">
        <f t="shared" si="1"/>
        <v>13.6</v>
      </c>
      <c r="P19" s="34"/>
      <c r="Q19" s="34"/>
      <c r="R19" s="281"/>
      <c r="S19" s="282"/>
    </row>
    <row r="20" spans="1:19">
      <c r="A20" s="62" t="str">
        <f>'1. 소켓인수검사'!A19</f>
        <v>11</v>
      </c>
      <c r="B20" s="43">
        <f>'1. 소켓인수검사'!C19</f>
        <v>900</v>
      </c>
      <c r="C20" s="43">
        <f>'1. 소켓인수검사'!D19</f>
        <v>550</v>
      </c>
      <c r="D20" s="65" t="s">
        <v>60</v>
      </c>
      <c r="E20" s="79">
        <f t="shared" si="2"/>
        <v>0.495</v>
      </c>
      <c r="F20" s="79">
        <f t="shared" si="3"/>
        <v>2.9</v>
      </c>
      <c r="G20" s="34"/>
      <c r="H20" s="43"/>
      <c r="I20" s="34"/>
      <c r="J20" s="34"/>
      <c r="K20" s="43"/>
      <c r="L20" s="34"/>
      <c r="M20" s="34">
        <f t="shared" si="0"/>
        <v>3.4</v>
      </c>
      <c r="N20" s="43">
        <v>4</v>
      </c>
      <c r="O20" s="34">
        <f t="shared" si="1"/>
        <v>13.6</v>
      </c>
      <c r="P20" s="34"/>
      <c r="Q20" s="34"/>
      <c r="R20" s="281"/>
      <c r="S20" s="282"/>
    </row>
    <row r="21" spans="1:19">
      <c r="A21" s="62" t="str">
        <f>'1. 소켓인수검사'!A20</f>
        <v>12</v>
      </c>
      <c r="B21" s="43">
        <f>'1. 소켓인수검사'!C20</f>
        <v>900</v>
      </c>
      <c r="C21" s="43">
        <f>'1. 소켓인수검사'!D20</f>
        <v>550</v>
      </c>
      <c r="D21" s="65" t="s">
        <v>60</v>
      </c>
      <c r="E21" s="79">
        <f t="shared" si="2"/>
        <v>0.495</v>
      </c>
      <c r="F21" s="79">
        <f t="shared" si="3"/>
        <v>2.9</v>
      </c>
      <c r="G21" s="34"/>
      <c r="H21" s="34"/>
      <c r="I21" s="34"/>
      <c r="J21" s="34"/>
      <c r="K21" s="43"/>
      <c r="L21" s="34"/>
      <c r="M21" s="34">
        <f t="shared" si="0"/>
        <v>3.4</v>
      </c>
      <c r="N21" s="43">
        <v>4</v>
      </c>
      <c r="O21" s="34">
        <f t="shared" si="1"/>
        <v>13.6</v>
      </c>
      <c r="P21" s="34"/>
      <c r="Q21" s="34"/>
      <c r="R21" s="281"/>
      <c r="S21" s="282"/>
    </row>
    <row r="22" spans="1:19">
      <c r="A22" s="62" t="str">
        <f>'1. 소켓인수검사'!A21</f>
        <v>13</v>
      </c>
      <c r="B22" s="43">
        <f>'1. 소켓인수검사'!C21</f>
        <v>900</v>
      </c>
      <c r="C22" s="43">
        <f>'1. 소켓인수검사'!D21</f>
        <v>550</v>
      </c>
      <c r="D22" s="65" t="s">
        <v>60</v>
      </c>
      <c r="E22" s="79">
        <f t="shared" si="2"/>
        <v>0.495</v>
      </c>
      <c r="F22" s="79">
        <f t="shared" si="3"/>
        <v>2.9</v>
      </c>
      <c r="G22" s="34"/>
      <c r="H22" s="34"/>
      <c r="I22" s="34"/>
      <c r="J22" s="34"/>
      <c r="K22" s="43"/>
      <c r="L22" s="34"/>
      <c r="M22" s="34">
        <f t="shared" si="0"/>
        <v>3.4</v>
      </c>
      <c r="N22" s="43">
        <v>4</v>
      </c>
      <c r="O22" s="34">
        <f t="shared" si="1"/>
        <v>13.6</v>
      </c>
      <c r="P22" s="34"/>
      <c r="Q22" s="34"/>
      <c r="R22" s="281"/>
      <c r="S22" s="282"/>
    </row>
    <row r="23" spans="1:19">
      <c r="A23" s="62" t="str">
        <f>'1. 소켓인수검사'!A22</f>
        <v>14</v>
      </c>
      <c r="B23" s="43">
        <f>'1. 소켓인수검사'!C22</f>
        <v>950</v>
      </c>
      <c r="C23" s="43">
        <f>'1. 소켓인수검사'!D22</f>
        <v>500</v>
      </c>
      <c r="D23" s="65" t="s">
        <v>60</v>
      </c>
      <c r="E23" s="79">
        <f t="shared" ref="E23:E60" si="4">B23*C23/1000000</f>
        <v>0.47499999999999998</v>
      </c>
      <c r="F23" s="79">
        <f t="shared" ref="F23:F60" si="5">(B23+C23)*2/1000</f>
        <v>2.9</v>
      </c>
      <c r="G23" s="34"/>
      <c r="H23" s="34"/>
      <c r="I23" s="34"/>
      <c r="J23" s="34"/>
      <c r="K23" s="43"/>
      <c r="L23" s="34"/>
      <c r="M23" s="34">
        <f t="shared" si="0"/>
        <v>3.4</v>
      </c>
      <c r="N23" s="43">
        <v>4</v>
      </c>
      <c r="O23" s="34">
        <f t="shared" si="1"/>
        <v>13.6</v>
      </c>
      <c r="P23" s="34"/>
      <c r="Q23" s="34"/>
      <c r="R23" s="281"/>
      <c r="S23" s="282"/>
    </row>
    <row r="24" spans="1:19">
      <c r="A24" s="62" t="str">
        <f>'1. 소켓인수검사'!A23</f>
        <v>15</v>
      </c>
      <c r="B24" s="43">
        <f>'1. 소켓인수검사'!C23</f>
        <v>950</v>
      </c>
      <c r="C24" s="43">
        <f>'1. 소켓인수검사'!D23</f>
        <v>500</v>
      </c>
      <c r="D24" s="65" t="s">
        <v>60</v>
      </c>
      <c r="E24" s="79">
        <f t="shared" si="4"/>
        <v>0.47499999999999998</v>
      </c>
      <c r="F24" s="79">
        <f t="shared" si="5"/>
        <v>2.9</v>
      </c>
      <c r="G24" s="34"/>
      <c r="H24" s="34"/>
      <c r="I24" s="34"/>
      <c r="J24" s="34"/>
      <c r="K24" s="43"/>
      <c r="L24" s="34"/>
      <c r="M24" s="34">
        <f t="shared" si="0"/>
        <v>3.4</v>
      </c>
      <c r="N24" s="43">
        <v>4</v>
      </c>
      <c r="O24" s="34">
        <f t="shared" si="1"/>
        <v>13.6</v>
      </c>
      <c r="P24" s="34"/>
      <c r="Q24" s="34"/>
      <c r="R24" s="281"/>
      <c r="S24" s="282"/>
    </row>
    <row r="25" spans="1:19">
      <c r="A25" s="62" t="str">
        <f>'1. 소켓인수검사'!A24</f>
        <v>16</v>
      </c>
      <c r="B25" s="43">
        <f>'1. 소켓인수검사'!C24</f>
        <v>950</v>
      </c>
      <c r="C25" s="43">
        <f>'1. 소켓인수검사'!D24</f>
        <v>500</v>
      </c>
      <c r="D25" s="65" t="s">
        <v>60</v>
      </c>
      <c r="E25" s="79">
        <f t="shared" si="4"/>
        <v>0.47499999999999998</v>
      </c>
      <c r="F25" s="79">
        <f t="shared" si="5"/>
        <v>2.9</v>
      </c>
      <c r="G25" s="34"/>
      <c r="H25" s="34"/>
      <c r="I25" s="34"/>
      <c r="J25" s="34"/>
      <c r="K25" s="43"/>
      <c r="L25" s="34"/>
      <c r="M25" s="34">
        <f t="shared" si="0"/>
        <v>3.4</v>
      </c>
      <c r="N25" s="43">
        <v>4</v>
      </c>
      <c r="O25" s="34">
        <f t="shared" si="1"/>
        <v>13.6</v>
      </c>
      <c r="P25" s="34"/>
      <c r="Q25" s="34"/>
      <c r="R25" s="281"/>
      <c r="S25" s="282"/>
    </row>
    <row r="26" spans="1:19">
      <c r="A26" s="62" t="str">
        <f>'1. 소켓인수검사'!A25</f>
        <v>17</v>
      </c>
      <c r="B26" s="43">
        <f>'1. 소켓인수검사'!C25</f>
        <v>950</v>
      </c>
      <c r="C26" s="43">
        <f>'1. 소켓인수검사'!D25</f>
        <v>500</v>
      </c>
      <c r="D26" s="65" t="s">
        <v>60</v>
      </c>
      <c r="E26" s="79">
        <f t="shared" si="4"/>
        <v>0.47499999999999998</v>
      </c>
      <c r="F26" s="79">
        <f t="shared" si="5"/>
        <v>2.9</v>
      </c>
      <c r="G26" s="34"/>
      <c r="H26" s="34"/>
      <c r="I26" s="34"/>
      <c r="J26" s="34"/>
      <c r="K26" s="43"/>
      <c r="L26" s="34"/>
      <c r="M26" s="34">
        <f t="shared" si="0"/>
        <v>3.4</v>
      </c>
      <c r="N26" s="43">
        <v>4</v>
      </c>
      <c r="O26" s="34">
        <f t="shared" si="1"/>
        <v>13.6</v>
      </c>
      <c r="P26" s="34"/>
      <c r="Q26" s="34"/>
      <c r="R26" s="281"/>
      <c r="S26" s="282"/>
    </row>
    <row r="27" spans="1:19">
      <c r="A27" s="62" t="str">
        <f>'1. 소켓인수검사'!A26</f>
        <v>18</v>
      </c>
      <c r="B27" s="43">
        <f>'1. 소켓인수검사'!C26</f>
        <v>1000</v>
      </c>
      <c r="C27" s="43">
        <f>'1. 소켓인수검사'!D26</f>
        <v>450</v>
      </c>
      <c r="D27" s="65" t="s">
        <v>60</v>
      </c>
      <c r="E27" s="79">
        <f t="shared" si="4"/>
        <v>0.45</v>
      </c>
      <c r="F27" s="79">
        <f t="shared" si="5"/>
        <v>2.9</v>
      </c>
      <c r="G27" s="34"/>
      <c r="H27" s="34"/>
      <c r="I27" s="34"/>
      <c r="J27" s="34"/>
      <c r="K27" s="43"/>
      <c r="L27" s="34"/>
      <c r="M27" s="34">
        <f t="shared" si="0"/>
        <v>3.4</v>
      </c>
      <c r="N27" s="43">
        <v>4</v>
      </c>
      <c r="O27" s="34">
        <f t="shared" si="1"/>
        <v>13.6</v>
      </c>
      <c r="P27" s="34"/>
      <c r="Q27" s="34"/>
      <c r="R27" s="281"/>
      <c r="S27" s="282"/>
    </row>
    <row r="28" spans="1:19">
      <c r="A28" s="62" t="str">
        <f>'1. 소켓인수검사'!A27</f>
        <v>19</v>
      </c>
      <c r="B28" s="43">
        <f>'1. 소켓인수검사'!C27</f>
        <v>1000</v>
      </c>
      <c r="C28" s="43">
        <f>'1. 소켓인수검사'!D27</f>
        <v>450</v>
      </c>
      <c r="D28" s="65" t="s">
        <v>60</v>
      </c>
      <c r="E28" s="79">
        <f t="shared" si="4"/>
        <v>0.45</v>
      </c>
      <c r="F28" s="79">
        <f t="shared" si="5"/>
        <v>2.9</v>
      </c>
      <c r="G28" s="34"/>
      <c r="H28" s="34"/>
      <c r="I28" s="34"/>
      <c r="J28" s="34"/>
      <c r="K28" s="43"/>
      <c r="L28" s="34"/>
      <c r="M28" s="34">
        <f t="shared" si="0"/>
        <v>3.4</v>
      </c>
      <c r="N28" s="43">
        <v>4</v>
      </c>
      <c r="O28" s="34">
        <f t="shared" si="1"/>
        <v>13.6</v>
      </c>
      <c r="P28" s="34"/>
      <c r="Q28" s="34"/>
      <c r="R28" s="281"/>
      <c r="S28" s="282"/>
    </row>
    <row r="29" spans="1:19">
      <c r="A29" s="62" t="str">
        <f>'1. 소켓인수검사'!A28</f>
        <v>20</v>
      </c>
      <c r="B29" s="43">
        <f>'1. 소켓인수검사'!C28</f>
        <v>1000</v>
      </c>
      <c r="C29" s="43">
        <f>'1. 소켓인수검사'!D28</f>
        <v>450</v>
      </c>
      <c r="D29" s="65" t="s">
        <v>60</v>
      </c>
      <c r="E29" s="79">
        <f t="shared" si="4"/>
        <v>0.45</v>
      </c>
      <c r="F29" s="79">
        <f t="shared" si="5"/>
        <v>2.9</v>
      </c>
      <c r="G29" s="34"/>
      <c r="H29" s="34"/>
      <c r="I29" s="34"/>
      <c r="J29" s="34"/>
      <c r="K29" s="43"/>
      <c r="L29" s="34"/>
      <c r="M29" s="34">
        <f t="shared" si="0"/>
        <v>3.4</v>
      </c>
      <c r="N29" s="43">
        <v>4</v>
      </c>
      <c r="O29" s="34">
        <f t="shared" si="1"/>
        <v>13.6</v>
      </c>
      <c r="P29" s="34"/>
      <c r="Q29" s="34"/>
      <c r="R29" s="281"/>
      <c r="S29" s="282"/>
    </row>
    <row r="30" spans="1:19">
      <c r="A30" s="62" t="str">
        <f>'1. 소켓인수검사'!A29</f>
        <v>21</v>
      </c>
      <c r="B30" s="43">
        <f>'1. 소켓인수검사'!C29</f>
        <v>1000</v>
      </c>
      <c r="C30" s="43">
        <f>'1. 소켓인수검사'!D29</f>
        <v>500</v>
      </c>
      <c r="D30" s="65" t="s">
        <v>60</v>
      </c>
      <c r="E30" s="79">
        <f t="shared" si="4"/>
        <v>0.5</v>
      </c>
      <c r="F30" s="79">
        <f t="shared" si="5"/>
        <v>3</v>
      </c>
      <c r="G30" s="34"/>
      <c r="H30" s="34"/>
      <c r="I30" s="34"/>
      <c r="J30" s="34"/>
      <c r="K30" s="43"/>
      <c r="L30" s="34"/>
      <c r="M30" s="34">
        <f t="shared" si="0"/>
        <v>3.5</v>
      </c>
      <c r="N30" s="43">
        <v>4</v>
      </c>
      <c r="O30" s="34">
        <f t="shared" si="1"/>
        <v>14</v>
      </c>
      <c r="P30" s="34"/>
      <c r="Q30" s="34"/>
      <c r="R30" s="281"/>
      <c r="S30" s="282"/>
    </row>
    <row r="31" spans="1:19">
      <c r="A31" s="62" t="str">
        <f>'1. 소켓인수검사'!A30</f>
        <v>22</v>
      </c>
      <c r="B31" s="43">
        <f>'1. 소켓인수검사'!C30</f>
        <v>1000</v>
      </c>
      <c r="C31" s="43">
        <f>'1. 소켓인수검사'!D30</f>
        <v>500</v>
      </c>
      <c r="D31" s="65" t="s">
        <v>60</v>
      </c>
      <c r="E31" s="79">
        <f t="shared" si="4"/>
        <v>0.5</v>
      </c>
      <c r="F31" s="79">
        <f t="shared" si="5"/>
        <v>3</v>
      </c>
      <c r="G31" s="34"/>
      <c r="H31" s="34"/>
      <c r="I31" s="34"/>
      <c r="J31" s="34"/>
      <c r="K31" s="43"/>
      <c r="L31" s="34"/>
      <c r="M31" s="34">
        <f t="shared" si="0"/>
        <v>3.5</v>
      </c>
      <c r="N31" s="43">
        <v>4</v>
      </c>
      <c r="O31" s="34">
        <f t="shared" si="1"/>
        <v>14</v>
      </c>
      <c r="P31" s="34"/>
      <c r="Q31" s="34"/>
      <c r="R31" s="281"/>
      <c r="S31" s="282"/>
    </row>
    <row r="32" spans="1:19">
      <c r="A32" s="62" t="str">
        <f>'1. 소켓인수검사'!A31</f>
        <v>23</v>
      </c>
      <c r="B32" s="43">
        <f>'1. 소켓인수검사'!C31</f>
        <v>1000</v>
      </c>
      <c r="C32" s="43">
        <f>'1. 소켓인수검사'!D31</f>
        <v>500</v>
      </c>
      <c r="D32" s="65" t="s">
        <v>60</v>
      </c>
      <c r="E32" s="79">
        <f t="shared" si="4"/>
        <v>0.5</v>
      </c>
      <c r="F32" s="79">
        <f t="shared" si="5"/>
        <v>3</v>
      </c>
      <c r="G32" s="34"/>
      <c r="H32" s="34"/>
      <c r="I32" s="34"/>
      <c r="J32" s="34"/>
      <c r="K32" s="43"/>
      <c r="L32" s="34"/>
      <c r="M32" s="34">
        <f t="shared" si="0"/>
        <v>3.5</v>
      </c>
      <c r="N32" s="43">
        <v>4</v>
      </c>
      <c r="O32" s="34">
        <f t="shared" si="1"/>
        <v>14</v>
      </c>
      <c r="P32" s="34"/>
      <c r="Q32" s="34"/>
      <c r="R32" s="281"/>
      <c r="S32" s="282"/>
    </row>
    <row r="33" spans="1:19">
      <c r="A33" s="62" t="str">
        <f>'1. 소켓인수검사'!A32</f>
        <v>24</v>
      </c>
      <c r="B33" s="43">
        <f>'1. 소켓인수검사'!C32</f>
        <v>1000</v>
      </c>
      <c r="C33" s="43">
        <f>'1. 소켓인수검사'!D32</f>
        <v>500</v>
      </c>
      <c r="D33" s="65" t="s">
        <v>60</v>
      </c>
      <c r="E33" s="79">
        <f t="shared" si="4"/>
        <v>0.5</v>
      </c>
      <c r="F33" s="79">
        <f t="shared" si="5"/>
        <v>3</v>
      </c>
      <c r="G33" s="34"/>
      <c r="H33" s="34"/>
      <c r="I33" s="34"/>
      <c r="J33" s="34"/>
      <c r="K33" s="43"/>
      <c r="L33" s="34"/>
      <c r="M33" s="34">
        <f t="shared" si="0"/>
        <v>3.5</v>
      </c>
      <c r="N33" s="43">
        <v>4</v>
      </c>
      <c r="O33" s="34">
        <f t="shared" si="1"/>
        <v>14</v>
      </c>
      <c r="P33" s="34"/>
      <c r="Q33" s="34"/>
      <c r="R33" s="281"/>
      <c r="S33" s="282"/>
    </row>
    <row r="34" spans="1:19">
      <c r="A34" s="62" t="str">
        <f>'1. 소켓인수검사'!A33</f>
        <v>25</v>
      </c>
      <c r="B34" s="43">
        <f>'1. 소켓인수검사'!C33</f>
        <v>1000</v>
      </c>
      <c r="C34" s="43">
        <f>'1. 소켓인수검사'!D33</f>
        <v>500</v>
      </c>
      <c r="D34" s="65" t="s">
        <v>60</v>
      </c>
      <c r="E34" s="79">
        <f t="shared" si="4"/>
        <v>0.5</v>
      </c>
      <c r="F34" s="79">
        <f t="shared" si="5"/>
        <v>3</v>
      </c>
      <c r="G34" s="34"/>
      <c r="H34" s="34"/>
      <c r="I34" s="34"/>
      <c r="J34" s="34"/>
      <c r="K34" s="43"/>
      <c r="L34" s="34"/>
      <c r="M34" s="34">
        <f t="shared" si="0"/>
        <v>3.5</v>
      </c>
      <c r="N34" s="43">
        <v>4</v>
      </c>
      <c r="O34" s="34">
        <f t="shared" si="1"/>
        <v>14</v>
      </c>
      <c r="P34" s="34"/>
      <c r="Q34" s="34"/>
      <c r="R34" s="281"/>
      <c r="S34" s="282"/>
    </row>
    <row r="35" spans="1:19">
      <c r="A35" s="62" t="str">
        <f>'1. 소켓인수검사'!A34</f>
        <v>26</v>
      </c>
      <c r="B35" s="43">
        <f>'1. 소켓인수검사'!C34</f>
        <v>1000</v>
      </c>
      <c r="C35" s="43">
        <f>'1. 소켓인수검사'!D34</f>
        <v>500</v>
      </c>
      <c r="D35" s="65" t="s">
        <v>60</v>
      </c>
      <c r="E35" s="79">
        <f t="shared" si="4"/>
        <v>0.5</v>
      </c>
      <c r="F35" s="79">
        <f t="shared" si="5"/>
        <v>3</v>
      </c>
      <c r="G35" s="34"/>
      <c r="H35" s="34"/>
      <c r="I35" s="34"/>
      <c r="J35" s="34"/>
      <c r="K35" s="43"/>
      <c r="L35" s="34"/>
      <c r="M35" s="34">
        <f t="shared" si="0"/>
        <v>3.5</v>
      </c>
      <c r="N35" s="43">
        <v>4</v>
      </c>
      <c r="O35" s="34">
        <f t="shared" si="1"/>
        <v>14</v>
      </c>
      <c r="P35" s="34"/>
      <c r="Q35" s="34"/>
      <c r="R35" s="281"/>
      <c r="S35" s="282"/>
    </row>
    <row r="36" spans="1:19">
      <c r="A36" s="62" t="str">
        <f>'1. 소켓인수검사'!A35</f>
        <v>27</v>
      </c>
      <c r="B36" s="43">
        <f>'1. 소켓인수검사'!C35</f>
        <v>1000</v>
      </c>
      <c r="C36" s="43">
        <f>'1. 소켓인수검사'!D35</f>
        <v>500</v>
      </c>
      <c r="D36" s="65" t="s">
        <v>60</v>
      </c>
      <c r="E36" s="79">
        <f t="shared" si="4"/>
        <v>0.5</v>
      </c>
      <c r="F36" s="79">
        <f t="shared" si="5"/>
        <v>3</v>
      </c>
      <c r="G36" s="34"/>
      <c r="H36" s="34"/>
      <c r="I36" s="34"/>
      <c r="J36" s="34"/>
      <c r="K36" s="43"/>
      <c r="L36" s="34"/>
      <c r="M36" s="34">
        <f t="shared" si="0"/>
        <v>3.5</v>
      </c>
      <c r="N36" s="43">
        <v>4</v>
      </c>
      <c r="O36" s="34">
        <f t="shared" si="1"/>
        <v>14</v>
      </c>
      <c r="P36" s="34"/>
      <c r="Q36" s="34"/>
      <c r="R36" s="281"/>
      <c r="S36" s="282"/>
    </row>
    <row r="37" spans="1:19">
      <c r="A37" s="62" t="str">
        <f>'1. 소켓인수검사'!A36</f>
        <v>28</v>
      </c>
      <c r="B37" s="43">
        <f>'1. 소켓인수검사'!C36</f>
        <v>1000</v>
      </c>
      <c r="C37" s="43">
        <f>'1. 소켓인수검사'!D36</f>
        <v>500</v>
      </c>
      <c r="D37" s="65" t="s">
        <v>60</v>
      </c>
      <c r="E37" s="79">
        <f t="shared" si="4"/>
        <v>0.5</v>
      </c>
      <c r="F37" s="79">
        <f t="shared" si="5"/>
        <v>3</v>
      </c>
      <c r="G37" s="34"/>
      <c r="H37" s="34"/>
      <c r="I37" s="34"/>
      <c r="J37" s="34"/>
      <c r="K37" s="43"/>
      <c r="L37" s="34"/>
      <c r="M37" s="34">
        <f t="shared" si="0"/>
        <v>3.5</v>
      </c>
      <c r="N37" s="43">
        <v>4</v>
      </c>
      <c r="O37" s="34">
        <f t="shared" si="1"/>
        <v>14</v>
      </c>
      <c r="P37" s="34"/>
      <c r="Q37" s="34"/>
      <c r="R37" s="281"/>
      <c r="S37" s="282"/>
    </row>
    <row r="38" spans="1:19">
      <c r="A38" s="62" t="str">
        <f>'1. 소켓인수검사'!A37</f>
        <v>29</v>
      </c>
      <c r="B38" s="43">
        <f>'1. 소켓인수검사'!C37</f>
        <v>1000</v>
      </c>
      <c r="C38" s="43">
        <f>'1. 소켓인수검사'!D37</f>
        <v>500</v>
      </c>
      <c r="D38" s="65" t="s">
        <v>60</v>
      </c>
      <c r="E38" s="79">
        <f t="shared" si="4"/>
        <v>0.5</v>
      </c>
      <c r="F38" s="79">
        <f t="shared" si="5"/>
        <v>3</v>
      </c>
      <c r="G38" s="34"/>
      <c r="H38" s="34"/>
      <c r="I38" s="34"/>
      <c r="J38" s="34"/>
      <c r="K38" s="43"/>
      <c r="L38" s="34"/>
      <c r="M38" s="34">
        <f t="shared" si="0"/>
        <v>3.5</v>
      </c>
      <c r="N38" s="43">
        <v>4</v>
      </c>
      <c r="O38" s="34">
        <f t="shared" si="1"/>
        <v>14</v>
      </c>
      <c r="P38" s="34"/>
      <c r="Q38" s="34"/>
      <c r="R38" s="281"/>
      <c r="S38" s="282"/>
    </row>
    <row r="39" spans="1:19">
      <c r="A39" s="62" t="str">
        <f>'1. 소켓인수검사'!A38</f>
        <v>30</v>
      </c>
      <c r="B39" s="43">
        <f>'1. 소켓인수검사'!C38</f>
        <v>1000</v>
      </c>
      <c r="C39" s="43">
        <f>'1. 소켓인수검사'!D38</f>
        <v>500</v>
      </c>
      <c r="D39" s="65" t="s">
        <v>60</v>
      </c>
      <c r="E39" s="79">
        <f t="shared" si="4"/>
        <v>0.5</v>
      </c>
      <c r="F39" s="79">
        <f t="shared" si="5"/>
        <v>3</v>
      </c>
      <c r="G39" s="34"/>
      <c r="H39" s="34"/>
      <c r="I39" s="34"/>
      <c r="J39" s="34"/>
      <c r="K39" s="43"/>
      <c r="L39" s="34"/>
      <c r="M39" s="34">
        <f t="shared" si="0"/>
        <v>3.5</v>
      </c>
      <c r="N39" s="43">
        <v>4</v>
      </c>
      <c r="O39" s="34">
        <f t="shared" si="1"/>
        <v>14</v>
      </c>
      <c r="P39" s="34"/>
      <c r="Q39" s="34"/>
      <c r="R39" s="281"/>
      <c r="S39" s="282"/>
    </row>
    <row r="40" spans="1:19">
      <c r="A40" s="62" t="str">
        <f>'1. 소켓인수검사'!A39</f>
        <v>31</v>
      </c>
      <c r="B40" s="43">
        <f>'1. 소켓인수검사'!C39</f>
        <v>1000</v>
      </c>
      <c r="C40" s="43">
        <f>'1. 소켓인수검사'!D39</f>
        <v>500</v>
      </c>
      <c r="D40" s="65" t="s">
        <v>60</v>
      </c>
      <c r="E40" s="79">
        <f t="shared" si="4"/>
        <v>0.5</v>
      </c>
      <c r="F40" s="79">
        <f t="shared" si="5"/>
        <v>3</v>
      </c>
      <c r="G40" s="34"/>
      <c r="H40" s="34"/>
      <c r="I40" s="34"/>
      <c r="J40" s="34"/>
      <c r="K40" s="43"/>
      <c r="L40" s="34"/>
      <c r="M40" s="34">
        <f t="shared" si="0"/>
        <v>3.5</v>
      </c>
      <c r="N40" s="43">
        <v>4</v>
      </c>
      <c r="O40" s="34">
        <f t="shared" si="1"/>
        <v>14</v>
      </c>
      <c r="P40" s="34"/>
      <c r="Q40" s="34"/>
      <c r="R40" s="281"/>
      <c r="S40" s="282"/>
    </row>
    <row r="41" spans="1:19">
      <c r="A41" s="62" t="str">
        <f>'1. 소켓인수검사'!A40</f>
        <v>32</v>
      </c>
      <c r="B41" s="43">
        <f>'1. 소켓인수검사'!C40</f>
        <v>1000</v>
      </c>
      <c r="C41" s="43">
        <f>'1. 소켓인수검사'!D40</f>
        <v>500</v>
      </c>
      <c r="D41" s="65" t="s">
        <v>60</v>
      </c>
      <c r="E41" s="79">
        <f t="shared" si="4"/>
        <v>0.5</v>
      </c>
      <c r="F41" s="79">
        <f t="shared" si="5"/>
        <v>3</v>
      </c>
      <c r="G41" s="34"/>
      <c r="H41" s="34"/>
      <c r="I41" s="34"/>
      <c r="J41" s="34"/>
      <c r="K41" s="43"/>
      <c r="L41" s="34"/>
      <c r="M41" s="34">
        <f t="shared" si="0"/>
        <v>3.5</v>
      </c>
      <c r="N41" s="43">
        <v>4</v>
      </c>
      <c r="O41" s="34">
        <f t="shared" si="1"/>
        <v>14</v>
      </c>
      <c r="P41" s="34"/>
      <c r="Q41" s="34"/>
      <c r="R41" s="281"/>
      <c r="S41" s="282"/>
    </row>
    <row r="42" spans="1:19">
      <c r="A42" s="62" t="str">
        <f>'1. 소켓인수검사'!A41</f>
        <v>33</v>
      </c>
      <c r="B42" s="43">
        <f>'1. 소켓인수검사'!C41</f>
        <v>1000</v>
      </c>
      <c r="C42" s="43">
        <f>'1. 소켓인수검사'!D41</f>
        <v>500</v>
      </c>
      <c r="D42" s="65" t="s">
        <v>60</v>
      </c>
      <c r="E42" s="79">
        <f t="shared" si="4"/>
        <v>0.5</v>
      </c>
      <c r="F42" s="79">
        <f t="shared" si="5"/>
        <v>3</v>
      </c>
      <c r="G42" s="34"/>
      <c r="H42" s="34"/>
      <c r="I42" s="34"/>
      <c r="J42" s="34"/>
      <c r="K42" s="43"/>
      <c r="L42" s="34"/>
      <c r="M42" s="34">
        <f t="shared" si="0"/>
        <v>3.5</v>
      </c>
      <c r="N42" s="43">
        <v>4</v>
      </c>
      <c r="O42" s="34">
        <f t="shared" si="1"/>
        <v>14</v>
      </c>
      <c r="P42" s="34"/>
      <c r="Q42" s="34"/>
      <c r="R42" s="281"/>
      <c r="S42" s="282"/>
    </row>
    <row r="43" spans="1:19">
      <c r="A43" s="62" t="str">
        <f>'1. 소켓인수검사'!A42</f>
        <v>34</v>
      </c>
      <c r="B43" s="43">
        <f>'1. 소켓인수검사'!C42</f>
        <v>1000</v>
      </c>
      <c r="C43" s="43">
        <f>'1. 소켓인수검사'!D42</f>
        <v>500</v>
      </c>
      <c r="D43" s="65" t="s">
        <v>60</v>
      </c>
      <c r="E43" s="79">
        <f t="shared" si="4"/>
        <v>0.5</v>
      </c>
      <c r="F43" s="79">
        <f t="shared" si="5"/>
        <v>3</v>
      </c>
      <c r="G43" s="34"/>
      <c r="H43" s="34"/>
      <c r="I43" s="34"/>
      <c r="J43" s="34"/>
      <c r="K43" s="43"/>
      <c r="L43" s="34"/>
      <c r="M43" s="34">
        <f t="shared" si="0"/>
        <v>3.5</v>
      </c>
      <c r="N43" s="43">
        <v>4</v>
      </c>
      <c r="O43" s="34">
        <f t="shared" si="1"/>
        <v>14</v>
      </c>
      <c r="P43" s="34"/>
      <c r="Q43" s="34"/>
      <c r="R43" s="281"/>
      <c r="S43" s="282"/>
    </row>
    <row r="44" spans="1:19">
      <c r="A44" s="62" t="str">
        <f>'1. 소켓인수검사'!A43</f>
        <v>35</v>
      </c>
      <c r="B44" s="43">
        <f>'1. 소켓인수검사'!C43</f>
        <v>1000</v>
      </c>
      <c r="C44" s="43">
        <f>'1. 소켓인수검사'!D43</f>
        <v>550</v>
      </c>
      <c r="D44" s="65" t="s">
        <v>60</v>
      </c>
      <c r="E44" s="79">
        <f t="shared" si="4"/>
        <v>0.55000000000000004</v>
      </c>
      <c r="F44" s="79">
        <f t="shared" si="5"/>
        <v>3.1</v>
      </c>
      <c r="G44" s="34"/>
      <c r="H44" s="34"/>
      <c r="I44" s="34"/>
      <c r="J44" s="34"/>
      <c r="K44" s="43"/>
      <c r="L44" s="34"/>
      <c r="M44" s="34">
        <f t="shared" si="0"/>
        <v>3.6</v>
      </c>
      <c r="N44" s="43">
        <v>4</v>
      </c>
      <c r="O44" s="34">
        <f t="shared" si="1"/>
        <v>14.4</v>
      </c>
      <c r="P44" s="34"/>
      <c r="Q44" s="34"/>
      <c r="R44" s="281"/>
      <c r="S44" s="282"/>
    </row>
    <row r="45" spans="1:19">
      <c r="A45" s="62" t="str">
        <f>'1. 소켓인수검사'!A44</f>
        <v>36</v>
      </c>
      <c r="B45" s="43">
        <f>'1. 소켓인수검사'!C44</f>
        <v>1000</v>
      </c>
      <c r="C45" s="43">
        <f>'1. 소켓인수검사'!D44</f>
        <v>550</v>
      </c>
      <c r="D45" s="65" t="s">
        <v>60</v>
      </c>
      <c r="E45" s="79">
        <f t="shared" si="4"/>
        <v>0.55000000000000004</v>
      </c>
      <c r="F45" s="79">
        <f t="shared" si="5"/>
        <v>3.1</v>
      </c>
      <c r="G45" s="34"/>
      <c r="H45" s="34"/>
      <c r="I45" s="34"/>
      <c r="J45" s="34"/>
      <c r="K45" s="43"/>
      <c r="L45" s="34"/>
      <c r="M45" s="34">
        <f t="shared" si="0"/>
        <v>3.6</v>
      </c>
      <c r="N45" s="43">
        <v>4</v>
      </c>
      <c r="O45" s="34">
        <f t="shared" si="1"/>
        <v>14.4</v>
      </c>
      <c r="P45" s="34"/>
      <c r="Q45" s="34"/>
      <c r="R45" s="281"/>
      <c r="S45" s="282"/>
    </row>
    <row r="46" spans="1:19">
      <c r="A46" s="62" t="str">
        <f>'1. 소켓인수검사'!A45</f>
        <v>37</v>
      </c>
      <c r="B46" s="43">
        <f>'1. 소켓인수검사'!C45</f>
        <v>1000</v>
      </c>
      <c r="C46" s="43">
        <f>'1. 소켓인수검사'!D45</f>
        <v>550</v>
      </c>
      <c r="D46" s="65" t="s">
        <v>60</v>
      </c>
      <c r="E46" s="79">
        <f t="shared" si="4"/>
        <v>0.55000000000000004</v>
      </c>
      <c r="F46" s="79">
        <f t="shared" si="5"/>
        <v>3.1</v>
      </c>
      <c r="G46" s="34"/>
      <c r="H46" s="34"/>
      <c r="I46" s="34"/>
      <c r="J46" s="34"/>
      <c r="K46" s="43"/>
      <c r="L46" s="34"/>
      <c r="M46" s="34">
        <f t="shared" si="0"/>
        <v>3.6</v>
      </c>
      <c r="N46" s="43">
        <v>4</v>
      </c>
      <c r="O46" s="34">
        <f t="shared" si="1"/>
        <v>14.4</v>
      </c>
      <c r="P46" s="34"/>
      <c r="Q46" s="34"/>
      <c r="R46" s="281"/>
      <c r="S46" s="282"/>
    </row>
    <row r="47" spans="1:19">
      <c r="A47" s="62" t="str">
        <f>'1. 소켓인수검사'!A46</f>
        <v>38</v>
      </c>
      <c r="B47" s="43">
        <f>'1. 소켓인수검사'!C46</f>
        <v>1000</v>
      </c>
      <c r="C47" s="43">
        <f>'1. 소켓인수검사'!D46</f>
        <v>550</v>
      </c>
      <c r="D47" s="65" t="s">
        <v>60</v>
      </c>
      <c r="E47" s="79">
        <f t="shared" si="4"/>
        <v>0.55000000000000004</v>
      </c>
      <c r="F47" s="79">
        <f t="shared" si="5"/>
        <v>3.1</v>
      </c>
      <c r="G47" s="34"/>
      <c r="H47" s="34"/>
      <c r="I47" s="34"/>
      <c r="J47" s="34"/>
      <c r="K47" s="43"/>
      <c r="L47" s="34"/>
      <c r="M47" s="34">
        <f t="shared" si="0"/>
        <v>3.6</v>
      </c>
      <c r="N47" s="43">
        <v>4</v>
      </c>
      <c r="O47" s="34">
        <f t="shared" si="1"/>
        <v>14.4</v>
      </c>
      <c r="P47" s="34"/>
      <c r="Q47" s="34"/>
      <c r="R47" s="281"/>
      <c r="S47" s="282"/>
    </row>
    <row r="48" spans="1:19">
      <c r="A48" s="62" t="str">
        <f>'1. 소켓인수검사'!A47</f>
        <v>39</v>
      </c>
      <c r="B48" s="43">
        <f>'1. 소켓인수검사'!C47</f>
        <v>1000</v>
      </c>
      <c r="C48" s="43">
        <f>'1. 소켓인수검사'!D47</f>
        <v>550</v>
      </c>
      <c r="D48" s="65" t="s">
        <v>60</v>
      </c>
      <c r="E48" s="79">
        <f t="shared" si="4"/>
        <v>0.55000000000000004</v>
      </c>
      <c r="F48" s="79">
        <f t="shared" si="5"/>
        <v>3.1</v>
      </c>
      <c r="G48" s="34"/>
      <c r="H48" s="34"/>
      <c r="I48" s="34"/>
      <c r="J48" s="34"/>
      <c r="K48" s="43"/>
      <c r="L48" s="34"/>
      <c r="M48" s="34">
        <f t="shared" si="0"/>
        <v>3.6</v>
      </c>
      <c r="N48" s="43">
        <v>4</v>
      </c>
      <c r="O48" s="34">
        <f t="shared" si="1"/>
        <v>14.4</v>
      </c>
      <c r="P48" s="34"/>
      <c r="Q48" s="34"/>
      <c r="R48" s="281"/>
      <c r="S48" s="282"/>
    </row>
    <row r="49" spans="1:19">
      <c r="A49" s="62" t="str">
        <f>'1. 소켓인수검사'!A48</f>
        <v>40</v>
      </c>
      <c r="B49" s="43">
        <f>'1. 소켓인수검사'!C48</f>
        <v>1000</v>
      </c>
      <c r="C49" s="43">
        <f>'1. 소켓인수검사'!D48</f>
        <v>550</v>
      </c>
      <c r="D49" s="65" t="s">
        <v>60</v>
      </c>
      <c r="E49" s="79">
        <f t="shared" si="4"/>
        <v>0.55000000000000004</v>
      </c>
      <c r="F49" s="79">
        <f t="shared" si="5"/>
        <v>3.1</v>
      </c>
      <c r="G49" s="34"/>
      <c r="H49" s="34"/>
      <c r="I49" s="34"/>
      <c r="J49" s="34"/>
      <c r="K49" s="43"/>
      <c r="L49" s="34"/>
      <c r="M49" s="34">
        <f t="shared" si="0"/>
        <v>3.6</v>
      </c>
      <c r="N49" s="43">
        <v>4</v>
      </c>
      <c r="O49" s="34">
        <f t="shared" si="1"/>
        <v>14.4</v>
      </c>
      <c r="P49" s="34"/>
      <c r="Q49" s="34"/>
      <c r="R49" s="281"/>
      <c r="S49" s="282"/>
    </row>
    <row r="50" spans="1:19">
      <c r="A50" s="62" t="str">
        <f>'1. 소켓인수검사'!A49</f>
        <v>41</v>
      </c>
      <c r="B50" s="43">
        <f>'1. 소켓인수검사'!C49</f>
        <v>1000</v>
      </c>
      <c r="C50" s="43">
        <f>'1. 소켓인수검사'!D49</f>
        <v>550</v>
      </c>
      <c r="D50" s="65" t="s">
        <v>60</v>
      </c>
      <c r="E50" s="79">
        <f t="shared" si="4"/>
        <v>0.55000000000000004</v>
      </c>
      <c r="F50" s="79">
        <f t="shared" si="5"/>
        <v>3.1</v>
      </c>
      <c r="G50" s="34"/>
      <c r="H50" s="34"/>
      <c r="I50" s="34"/>
      <c r="J50" s="34"/>
      <c r="K50" s="43"/>
      <c r="L50" s="34"/>
      <c r="M50" s="34">
        <f t="shared" si="0"/>
        <v>3.6</v>
      </c>
      <c r="N50" s="43">
        <v>4</v>
      </c>
      <c r="O50" s="34">
        <f t="shared" si="1"/>
        <v>14.4</v>
      </c>
      <c r="P50" s="34"/>
      <c r="Q50" s="34"/>
      <c r="R50" s="281"/>
      <c r="S50" s="282"/>
    </row>
    <row r="51" spans="1:19">
      <c r="A51" s="62" t="str">
        <f>'1. 소켓인수검사'!A50</f>
        <v>42</v>
      </c>
      <c r="B51" s="43">
        <f>'1. 소켓인수검사'!C50</f>
        <v>1000</v>
      </c>
      <c r="C51" s="43">
        <f>'1. 소켓인수검사'!D50</f>
        <v>550</v>
      </c>
      <c r="D51" s="65" t="s">
        <v>60</v>
      </c>
      <c r="E51" s="79">
        <f t="shared" si="4"/>
        <v>0.55000000000000004</v>
      </c>
      <c r="F51" s="79">
        <f t="shared" si="5"/>
        <v>3.1</v>
      </c>
      <c r="G51" s="34"/>
      <c r="H51" s="34"/>
      <c r="I51" s="34"/>
      <c r="J51" s="34"/>
      <c r="K51" s="43"/>
      <c r="L51" s="34"/>
      <c r="M51" s="34">
        <f t="shared" si="0"/>
        <v>3.6</v>
      </c>
      <c r="N51" s="43">
        <v>4</v>
      </c>
      <c r="O51" s="34">
        <f t="shared" si="1"/>
        <v>14.4</v>
      </c>
      <c r="P51" s="34"/>
      <c r="Q51" s="34"/>
      <c r="R51" s="281"/>
      <c r="S51" s="282"/>
    </row>
    <row r="52" spans="1:19">
      <c r="A52" s="62" t="str">
        <f>'1. 소켓인수검사'!A51</f>
        <v>43</v>
      </c>
      <c r="B52" s="43">
        <f>'1. 소켓인수검사'!C51</f>
        <v>1000</v>
      </c>
      <c r="C52" s="43">
        <f>'1. 소켓인수검사'!D51</f>
        <v>550</v>
      </c>
      <c r="D52" s="65" t="s">
        <v>60</v>
      </c>
      <c r="E52" s="79">
        <f t="shared" si="4"/>
        <v>0.55000000000000004</v>
      </c>
      <c r="F52" s="79">
        <f t="shared" si="5"/>
        <v>3.1</v>
      </c>
      <c r="G52" s="34"/>
      <c r="H52" s="34"/>
      <c r="I52" s="34"/>
      <c r="J52" s="34"/>
      <c r="K52" s="43"/>
      <c r="L52" s="34"/>
      <c r="M52" s="34">
        <f t="shared" si="0"/>
        <v>3.6</v>
      </c>
      <c r="N52" s="43">
        <v>4</v>
      </c>
      <c r="O52" s="34">
        <f t="shared" si="1"/>
        <v>14.4</v>
      </c>
      <c r="P52" s="34"/>
      <c r="Q52" s="34"/>
      <c r="R52" s="281"/>
      <c r="S52" s="282"/>
    </row>
    <row r="53" spans="1:19" ht="18" customHeight="1">
      <c r="A53" s="62" t="str">
        <f>'1. 소켓인수검사'!A52</f>
        <v>44</v>
      </c>
      <c r="B53" s="43">
        <f>'1. 소켓인수검사'!C52</f>
        <v>1000</v>
      </c>
      <c r="C53" s="43">
        <f>'1. 소켓인수검사'!D52</f>
        <v>550</v>
      </c>
      <c r="D53" s="65" t="s">
        <v>60</v>
      </c>
      <c r="E53" s="79">
        <f t="shared" si="4"/>
        <v>0.55000000000000004</v>
      </c>
      <c r="F53" s="79">
        <f t="shared" si="5"/>
        <v>3.1</v>
      </c>
      <c r="G53" s="34"/>
      <c r="H53" s="34"/>
      <c r="I53" s="34"/>
      <c r="J53" s="34"/>
      <c r="K53" s="43"/>
      <c r="L53" s="34"/>
      <c r="M53" s="34">
        <f t="shared" si="0"/>
        <v>3.6</v>
      </c>
      <c r="N53" s="43">
        <v>4</v>
      </c>
      <c r="O53" s="34">
        <f t="shared" si="1"/>
        <v>14.4</v>
      </c>
      <c r="P53" s="34"/>
      <c r="Q53" s="34"/>
      <c r="R53" s="281"/>
      <c r="S53" s="282"/>
    </row>
    <row r="54" spans="1:19">
      <c r="A54" s="62" t="str">
        <f>'1. 소켓인수검사'!A53</f>
        <v>45</v>
      </c>
      <c r="B54" s="43">
        <f>'1. 소켓인수검사'!C53</f>
        <v>900</v>
      </c>
      <c r="C54" s="43">
        <f>'1. 소켓인수검사'!D53</f>
        <v>800</v>
      </c>
      <c r="D54" s="66" t="s">
        <v>59</v>
      </c>
      <c r="E54" s="79">
        <f t="shared" si="4"/>
        <v>0.72</v>
      </c>
      <c r="F54" s="79">
        <f t="shared" si="5"/>
        <v>3.4</v>
      </c>
      <c r="G54" s="34">
        <f t="shared" ref="G54:G117" si="6">(F54+0.4)</f>
        <v>3.8</v>
      </c>
      <c r="H54" s="43">
        <v>2</v>
      </c>
      <c r="I54" s="34">
        <f>G54*H54</f>
        <v>7.6</v>
      </c>
      <c r="J54" s="34"/>
      <c r="K54" s="34"/>
      <c r="L54" s="34"/>
      <c r="M54" s="34"/>
      <c r="N54" s="34"/>
      <c r="O54" s="34"/>
      <c r="P54" s="34">
        <f t="shared" ref="P54:P117" si="7">F54+0.5</f>
        <v>3.9</v>
      </c>
      <c r="Q54" s="34">
        <v>2</v>
      </c>
      <c r="R54" s="281">
        <f>P54*Q54</f>
        <v>7.8</v>
      </c>
      <c r="S54" s="282"/>
    </row>
    <row r="55" spans="1:19">
      <c r="A55" s="62" t="str">
        <f>'1. 소켓인수검사'!A54</f>
        <v>46</v>
      </c>
      <c r="B55" s="43">
        <f>'1. 소켓인수검사'!C54</f>
        <v>900</v>
      </c>
      <c r="C55" s="43">
        <f>'1. 소켓인수검사'!D54</f>
        <v>800</v>
      </c>
      <c r="D55" s="66" t="s">
        <v>59</v>
      </c>
      <c r="E55" s="79">
        <f t="shared" si="4"/>
        <v>0.72</v>
      </c>
      <c r="F55" s="79">
        <f t="shared" si="5"/>
        <v>3.4</v>
      </c>
      <c r="G55" s="34">
        <f t="shared" si="6"/>
        <v>3.8</v>
      </c>
      <c r="H55" s="43">
        <v>2</v>
      </c>
      <c r="I55" s="34">
        <f>G55*H55</f>
        <v>7.6</v>
      </c>
      <c r="J55" s="34"/>
      <c r="K55" s="34"/>
      <c r="L55" s="34"/>
      <c r="M55" s="34"/>
      <c r="N55" s="34"/>
      <c r="O55" s="34"/>
      <c r="P55" s="34">
        <f t="shared" si="7"/>
        <v>3.9</v>
      </c>
      <c r="Q55" s="34">
        <v>2</v>
      </c>
      <c r="R55" s="281">
        <f t="shared" ref="R55:R118" si="8">P55*Q55</f>
        <v>7.8</v>
      </c>
      <c r="S55" s="282"/>
    </row>
    <row r="56" spans="1:19">
      <c r="A56" s="62" t="str">
        <f>'1. 소켓인수검사'!A55</f>
        <v>47</v>
      </c>
      <c r="B56" s="43">
        <f>'1. 소켓인수검사'!C55</f>
        <v>900</v>
      </c>
      <c r="C56" s="43">
        <f>'1. 소켓인수검사'!D55</f>
        <v>800</v>
      </c>
      <c r="D56" s="66" t="s">
        <v>59</v>
      </c>
      <c r="E56" s="79">
        <f t="shared" si="4"/>
        <v>0.72</v>
      </c>
      <c r="F56" s="79">
        <f t="shared" si="5"/>
        <v>3.4</v>
      </c>
      <c r="G56" s="34">
        <f t="shared" si="6"/>
        <v>3.8</v>
      </c>
      <c r="H56" s="43">
        <v>2</v>
      </c>
      <c r="I56" s="34">
        <f t="shared" ref="I56:I119" si="9">G56*H56</f>
        <v>7.6</v>
      </c>
      <c r="J56" s="34"/>
      <c r="K56" s="34"/>
      <c r="L56" s="34"/>
      <c r="M56" s="34"/>
      <c r="N56" s="34"/>
      <c r="O56" s="34"/>
      <c r="P56" s="34">
        <f t="shared" si="7"/>
        <v>3.9</v>
      </c>
      <c r="Q56" s="34">
        <v>2</v>
      </c>
      <c r="R56" s="281">
        <f t="shared" si="8"/>
        <v>7.8</v>
      </c>
      <c r="S56" s="282"/>
    </row>
    <row r="57" spans="1:19">
      <c r="A57" s="62" t="str">
        <f>'1. 소켓인수검사'!A56</f>
        <v>48</v>
      </c>
      <c r="B57" s="43">
        <f>'1. 소켓인수검사'!C56</f>
        <v>900</v>
      </c>
      <c r="C57" s="43">
        <f>'1. 소켓인수검사'!D56</f>
        <v>800</v>
      </c>
      <c r="D57" s="66" t="s">
        <v>59</v>
      </c>
      <c r="E57" s="79">
        <f t="shared" si="4"/>
        <v>0.72</v>
      </c>
      <c r="F57" s="79">
        <f t="shared" si="5"/>
        <v>3.4</v>
      </c>
      <c r="G57" s="34">
        <f t="shared" si="6"/>
        <v>3.8</v>
      </c>
      <c r="H57" s="43">
        <v>2</v>
      </c>
      <c r="I57" s="34">
        <f t="shared" si="9"/>
        <v>7.6</v>
      </c>
      <c r="J57" s="34"/>
      <c r="K57" s="34"/>
      <c r="L57" s="34"/>
      <c r="M57" s="34"/>
      <c r="N57" s="34"/>
      <c r="O57" s="34"/>
      <c r="P57" s="34">
        <f t="shared" si="7"/>
        <v>3.9</v>
      </c>
      <c r="Q57" s="34">
        <v>2</v>
      </c>
      <c r="R57" s="281">
        <f t="shared" si="8"/>
        <v>7.8</v>
      </c>
      <c r="S57" s="282"/>
    </row>
    <row r="58" spans="1:19">
      <c r="A58" s="62" t="str">
        <f>'1. 소켓인수검사'!A57</f>
        <v>49</v>
      </c>
      <c r="B58" s="43">
        <f>'1. 소켓인수검사'!C57</f>
        <v>900</v>
      </c>
      <c r="C58" s="43">
        <f>'1. 소켓인수검사'!D57</f>
        <v>800</v>
      </c>
      <c r="D58" s="66" t="s">
        <v>59</v>
      </c>
      <c r="E58" s="79">
        <f t="shared" si="4"/>
        <v>0.72</v>
      </c>
      <c r="F58" s="79">
        <f t="shared" si="5"/>
        <v>3.4</v>
      </c>
      <c r="G58" s="34">
        <f t="shared" si="6"/>
        <v>3.8</v>
      </c>
      <c r="H58" s="43">
        <v>2</v>
      </c>
      <c r="I58" s="34">
        <f t="shared" si="9"/>
        <v>7.6</v>
      </c>
      <c r="J58" s="34"/>
      <c r="K58" s="34"/>
      <c r="L58" s="34"/>
      <c r="M58" s="34"/>
      <c r="N58" s="34"/>
      <c r="O58" s="34"/>
      <c r="P58" s="34">
        <f t="shared" si="7"/>
        <v>3.9</v>
      </c>
      <c r="Q58" s="34">
        <v>2</v>
      </c>
      <c r="R58" s="281">
        <f t="shared" si="8"/>
        <v>7.8</v>
      </c>
      <c r="S58" s="282"/>
    </row>
    <row r="59" spans="1:19">
      <c r="A59" s="62" t="str">
        <f>'1. 소켓인수검사'!A58</f>
        <v>50</v>
      </c>
      <c r="B59" s="43">
        <f>'1. 소켓인수검사'!C58</f>
        <v>900</v>
      </c>
      <c r="C59" s="43">
        <f>'1. 소켓인수검사'!D58</f>
        <v>800</v>
      </c>
      <c r="D59" s="66" t="s">
        <v>59</v>
      </c>
      <c r="E59" s="79">
        <f t="shared" si="4"/>
        <v>0.72</v>
      </c>
      <c r="F59" s="79">
        <f t="shared" si="5"/>
        <v>3.4</v>
      </c>
      <c r="G59" s="34">
        <f t="shared" si="6"/>
        <v>3.8</v>
      </c>
      <c r="H59" s="43">
        <v>2</v>
      </c>
      <c r="I59" s="34">
        <f t="shared" si="9"/>
        <v>7.6</v>
      </c>
      <c r="J59" s="34"/>
      <c r="K59" s="34"/>
      <c r="L59" s="34"/>
      <c r="M59" s="34"/>
      <c r="N59" s="34"/>
      <c r="O59" s="34"/>
      <c r="P59" s="34">
        <f t="shared" si="7"/>
        <v>3.9</v>
      </c>
      <c r="Q59" s="34">
        <v>2</v>
      </c>
      <c r="R59" s="281">
        <f t="shared" si="8"/>
        <v>7.8</v>
      </c>
      <c r="S59" s="282"/>
    </row>
    <row r="60" spans="1:19">
      <c r="A60" s="62" t="str">
        <f>'1. 소켓인수검사'!A59</f>
        <v>51</v>
      </c>
      <c r="B60" s="43">
        <f>'1. 소켓인수검사'!C59</f>
        <v>900</v>
      </c>
      <c r="C60" s="43">
        <f>'1. 소켓인수검사'!D59</f>
        <v>800</v>
      </c>
      <c r="D60" s="66" t="s">
        <v>59</v>
      </c>
      <c r="E60" s="79">
        <f t="shared" si="4"/>
        <v>0.72</v>
      </c>
      <c r="F60" s="79">
        <f t="shared" si="5"/>
        <v>3.4</v>
      </c>
      <c r="G60" s="34">
        <f t="shared" si="6"/>
        <v>3.8</v>
      </c>
      <c r="H60" s="43">
        <v>2</v>
      </c>
      <c r="I60" s="34">
        <f t="shared" si="9"/>
        <v>7.6</v>
      </c>
      <c r="J60" s="34"/>
      <c r="K60" s="34"/>
      <c r="L60" s="34"/>
      <c r="M60" s="34"/>
      <c r="N60" s="34"/>
      <c r="O60" s="34"/>
      <c r="P60" s="34">
        <f t="shared" si="7"/>
        <v>3.9</v>
      </c>
      <c r="Q60" s="34">
        <v>2</v>
      </c>
      <c r="R60" s="281">
        <f t="shared" si="8"/>
        <v>7.8</v>
      </c>
      <c r="S60" s="282"/>
    </row>
    <row r="61" spans="1:19">
      <c r="A61" s="62" t="str">
        <f>'1. 소켓인수검사'!A60</f>
        <v>52</v>
      </c>
      <c r="B61" s="43">
        <f>'1. 소켓인수검사'!C60</f>
        <v>900</v>
      </c>
      <c r="C61" s="43">
        <f>'1. 소켓인수검사'!D60</f>
        <v>800</v>
      </c>
      <c r="D61" s="66" t="s">
        <v>59</v>
      </c>
      <c r="E61" s="79">
        <f t="shared" ref="E61:E118" si="10">B61*C61/1000000</f>
        <v>0.72</v>
      </c>
      <c r="F61" s="79">
        <f t="shared" ref="F61:F118" si="11">(B61+C61)*2/1000</f>
        <v>3.4</v>
      </c>
      <c r="G61" s="34">
        <f t="shared" si="6"/>
        <v>3.8</v>
      </c>
      <c r="H61" s="43">
        <v>2</v>
      </c>
      <c r="I61" s="34">
        <f t="shared" si="9"/>
        <v>7.6</v>
      </c>
      <c r="J61" s="34"/>
      <c r="K61" s="34"/>
      <c r="L61" s="34"/>
      <c r="M61" s="34"/>
      <c r="N61" s="34"/>
      <c r="O61" s="34"/>
      <c r="P61" s="34">
        <f t="shared" si="7"/>
        <v>3.9</v>
      </c>
      <c r="Q61" s="34">
        <v>2</v>
      </c>
      <c r="R61" s="281">
        <f t="shared" si="8"/>
        <v>7.8</v>
      </c>
      <c r="S61" s="282"/>
    </row>
    <row r="62" spans="1:19">
      <c r="A62" s="62" t="str">
        <f>'1. 소켓인수검사'!A61</f>
        <v>53</v>
      </c>
      <c r="B62" s="43">
        <f>'1. 소켓인수검사'!C61</f>
        <v>950</v>
      </c>
      <c r="C62" s="43">
        <f>'1. 소켓인수검사'!D61</f>
        <v>750</v>
      </c>
      <c r="D62" s="66" t="s">
        <v>59</v>
      </c>
      <c r="E62" s="79">
        <f t="shared" ref="E62:E101" si="12">B62*C62/1000000</f>
        <v>0.71250000000000002</v>
      </c>
      <c r="F62" s="79">
        <f t="shared" ref="F62:F101" si="13">(B62+C62)*2/1000</f>
        <v>3.4</v>
      </c>
      <c r="G62" s="34">
        <f t="shared" si="6"/>
        <v>3.8</v>
      </c>
      <c r="H62" s="43">
        <v>2</v>
      </c>
      <c r="I62" s="34">
        <f t="shared" si="9"/>
        <v>7.6</v>
      </c>
      <c r="J62" s="34"/>
      <c r="K62" s="34"/>
      <c r="L62" s="34"/>
      <c r="M62" s="34"/>
      <c r="N62" s="34"/>
      <c r="O62" s="34"/>
      <c r="P62" s="34">
        <f t="shared" si="7"/>
        <v>3.9</v>
      </c>
      <c r="Q62" s="34">
        <v>2</v>
      </c>
      <c r="R62" s="281">
        <f t="shared" si="8"/>
        <v>7.8</v>
      </c>
      <c r="S62" s="282"/>
    </row>
    <row r="63" spans="1:19">
      <c r="A63" s="62" t="str">
        <f>'1. 소켓인수검사'!A62</f>
        <v>54</v>
      </c>
      <c r="B63" s="43">
        <f>'1. 소켓인수검사'!C62</f>
        <v>950</v>
      </c>
      <c r="C63" s="43">
        <f>'1. 소켓인수검사'!D62</f>
        <v>750</v>
      </c>
      <c r="D63" s="66" t="s">
        <v>59</v>
      </c>
      <c r="E63" s="79">
        <f t="shared" si="12"/>
        <v>0.71250000000000002</v>
      </c>
      <c r="F63" s="79">
        <f t="shared" si="13"/>
        <v>3.4</v>
      </c>
      <c r="G63" s="34">
        <f t="shared" si="6"/>
        <v>3.8</v>
      </c>
      <c r="H63" s="43">
        <v>2</v>
      </c>
      <c r="I63" s="34">
        <f t="shared" si="9"/>
        <v>7.6</v>
      </c>
      <c r="J63" s="34"/>
      <c r="K63" s="34"/>
      <c r="L63" s="34"/>
      <c r="M63" s="34"/>
      <c r="N63" s="34"/>
      <c r="O63" s="34"/>
      <c r="P63" s="34">
        <f t="shared" si="7"/>
        <v>3.9</v>
      </c>
      <c r="Q63" s="34">
        <v>2</v>
      </c>
      <c r="R63" s="281">
        <f t="shared" si="8"/>
        <v>7.8</v>
      </c>
      <c r="S63" s="282"/>
    </row>
    <row r="64" spans="1:19">
      <c r="A64" s="62" t="str">
        <f>'1. 소켓인수검사'!A63</f>
        <v>55</v>
      </c>
      <c r="B64" s="43">
        <f>'1. 소켓인수검사'!C63</f>
        <v>950</v>
      </c>
      <c r="C64" s="43">
        <f>'1. 소켓인수검사'!D63</f>
        <v>750</v>
      </c>
      <c r="D64" s="66" t="s">
        <v>59</v>
      </c>
      <c r="E64" s="79">
        <f t="shared" si="12"/>
        <v>0.71250000000000002</v>
      </c>
      <c r="F64" s="79">
        <f t="shared" si="13"/>
        <v>3.4</v>
      </c>
      <c r="G64" s="34">
        <f t="shared" si="6"/>
        <v>3.8</v>
      </c>
      <c r="H64" s="43">
        <v>2</v>
      </c>
      <c r="I64" s="34">
        <f t="shared" si="9"/>
        <v>7.6</v>
      </c>
      <c r="J64" s="34"/>
      <c r="K64" s="34"/>
      <c r="L64" s="34"/>
      <c r="M64" s="34"/>
      <c r="N64" s="34"/>
      <c r="O64" s="34"/>
      <c r="P64" s="34">
        <f t="shared" si="7"/>
        <v>3.9</v>
      </c>
      <c r="Q64" s="34">
        <v>2</v>
      </c>
      <c r="R64" s="281">
        <f t="shared" si="8"/>
        <v>7.8</v>
      </c>
      <c r="S64" s="282"/>
    </row>
    <row r="65" spans="1:19">
      <c r="A65" s="62" t="str">
        <f>'1. 소켓인수검사'!A64</f>
        <v>56</v>
      </c>
      <c r="B65" s="43">
        <f>'1. 소켓인수검사'!C64</f>
        <v>950</v>
      </c>
      <c r="C65" s="43">
        <f>'1. 소켓인수검사'!D64</f>
        <v>750</v>
      </c>
      <c r="D65" s="66" t="s">
        <v>59</v>
      </c>
      <c r="E65" s="79">
        <f t="shared" si="12"/>
        <v>0.71250000000000002</v>
      </c>
      <c r="F65" s="79">
        <f t="shared" si="13"/>
        <v>3.4</v>
      </c>
      <c r="G65" s="34">
        <f t="shared" si="6"/>
        <v>3.8</v>
      </c>
      <c r="H65" s="43">
        <v>2</v>
      </c>
      <c r="I65" s="34">
        <f t="shared" si="9"/>
        <v>7.6</v>
      </c>
      <c r="J65" s="34"/>
      <c r="K65" s="34"/>
      <c r="L65" s="34"/>
      <c r="M65" s="34"/>
      <c r="N65" s="34"/>
      <c r="O65" s="34"/>
      <c r="P65" s="34">
        <f t="shared" si="7"/>
        <v>3.9</v>
      </c>
      <c r="Q65" s="34">
        <v>2</v>
      </c>
      <c r="R65" s="281">
        <f t="shared" si="8"/>
        <v>7.8</v>
      </c>
      <c r="S65" s="282"/>
    </row>
    <row r="66" spans="1:19">
      <c r="A66" s="62" t="str">
        <f>'1. 소켓인수검사'!A65</f>
        <v>57</v>
      </c>
      <c r="B66" s="43">
        <f>'1. 소켓인수검사'!C65</f>
        <v>950</v>
      </c>
      <c r="C66" s="43">
        <f>'1. 소켓인수검사'!D65</f>
        <v>750</v>
      </c>
      <c r="D66" s="66" t="s">
        <v>59</v>
      </c>
      <c r="E66" s="79">
        <f t="shared" si="12"/>
        <v>0.71250000000000002</v>
      </c>
      <c r="F66" s="79">
        <f t="shared" si="13"/>
        <v>3.4</v>
      </c>
      <c r="G66" s="34">
        <f t="shared" si="6"/>
        <v>3.8</v>
      </c>
      <c r="H66" s="43">
        <v>2</v>
      </c>
      <c r="I66" s="34">
        <f t="shared" si="9"/>
        <v>7.6</v>
      </c>
      <c r="J66" s="34"/>
      <c r="K66" s="34"/>
      <c r="L66" s="34"/>
      <c r="M66" s="34"/>
      <c r="N66" s="34"/>
      <c r="O66" s="34"/>
      <c r="P66" s="34">
        <f t="shared" si="7"/>
        <v>3.9</v>
      </c>
      <c r="Q66" s="34">
        <v>2</v>
      </c>
      <c r="R66" s="281">
        <f t="shared" si="8"/>
        <v>7.8</v>
      </c>
      <c r="S66" s="282"/>
    </row>
    <row r="67" spans="1:19">
      <c r="A67" s="62" t="str">
        <f>'1. 소켓인수검사'!A66</f>
        <v>58</v>
      </c>
      <c r="B67" s="43">
        <f>'1. 소켓인수검사'!C66</f>
        <v>1000</v>
      </c>
      <c r="C67" s="43">
        <f>'1. 소켓인수검사'!D66</f>
        <v>650</v>
      </c>
      <c r="D67" s="66" t="s">
        <v>59</v>
      </c>
      <c r="E67" s="79">
        <f t="shared" si="12"/>
        <v>0.65</v>
      </c>
      <c r="F67" s="79">
        <f t="shared" si="13"/>
        <v>3.3</v>
      </c>
      <c r="G67" s="34">
        <f t="shared" si="6"/>
        <v>3.6999999999999997</v>
      </c>
      <c r="H67" s="43">
        <v>2</v>
      </c>
      <c r="I67" s="34">
        <f t="shared" si="9"/>
        <v>7.3999999999999995</v>
      </c>
      <c r="J67" s="34"/>
      <c r="K67" s="34"/>
      <c r="L67" s="34"/>
      <c r="M67" s="34"/>
      <c r="N67" s="34"/>
      <c r="O67" s="34"/>
      <c r="P67" s="34">
        <f t="shared" si="7"/>
        <v>3.8</v>
      </c>
      <c r="Q67" s="34">
        <v>2</v>
      </c>
      <c r="R67" s="281">
        <f t="shared" si="8"/>
        <v>7.6</v>
      </c>
      <c r="S67" s="282"/>
    </row>
    <row r="68" spans="1:19">
      <c r="A68" s="62" t="str">
        <f>'1. 소켓인수검사'!A67</f>
        <v>59</v>
      </c>
      <c r="B68" s="43">
        <f>'1. 소켓인수검사'!C67</f>
        <v>1000</v>
      </c>
      <c r="C68" s="43">
        <f>'1. 소켓인수검사'!D67</f>
        <v>650</v>
      </c>
      <c r="D68" s="66" t="s">
        <v>59</v>
      </c>
      <c r="E68" s="79">
        <f t="shared" si="12"/>
        <v>0.65</v>
      </c>
      <c r="F68" s="79">
        <f t="shared" si="13"/>
        <v>3.3</v>
      </c>
      <c r="G68" s="34">
        <f t="shared" si="6"/>
        <v>3.6999999999999997</v>
      </c>
      <c r="H68" s="43">
        <v>2</v>
      </c>
      <c r="I68" s="34">
        <f t="shared" si="9"/>
        <v>7.3999999999999995</v>
      </c>
      <c r="J68" s="34"/>
      <c r="K68" s="34"/>
      <c r="L68" s="34"/>
      <c r="M68" s="34"/>
      <c r="N68" s="34"/>
      <c r="O68" s="34"/>
      <c r="P68" s="34">
        <f t="shared" si="7"/>
        <v>3.8</v>
      </c>
      <c r="Q68" s="34">
        <v>2</v>
      </c>
      <c r="R68" s="281">
        <f t="shared" si="8"/>
        <v>7.6</v>
      </c>
      <c r="S68" s="282"/>
    </row>
    <row r="69" spans="1:19">
      <c r="A69" s="62" t="str">
        <f>'1. 소켓인수검사'!A68</f>
        <v>60</v>
      </c>
      <c r="B69" s="43">
        <f>'1. 소켓인수검사'!C68</f>
        <v>1000</v>
      </c>
      <c r="C69" s="43">
        <f>'1. 소켓인수검사'!D68</f>
        <v>650</v>
      </c>
      <c r="D69" s="66" t="s">
        <v>59</v>
      </c>
      <c r="E69" s="79">
        <f t="shared" si="12"/>
        <v>0.65</v>
      </c>
      <c r="F69" s="79">
        <f t="shared" si="13"/>
        <v>3.3</v>
      </c>
      <c r="G69" s="34">
        <f t="shared" si="6"/>
        <v>3.6999999999999997</v>
      </c>
      <c r="H69" s="43">
        <v>2</v>
      </c>
      <c r="I69" s="34">
        <f t="shared" si="9"/>
        <v>7.3999999999999995</v>
      </c>
      <c r="J69" s="34"/>
      <c r="K69" s="34"/>
      <c r="L69" s="34"/>
      <c r="M69" s="34"/>
      <c r="N69" s="34"/>
      <c r="O69" s="34"/>
      <c r="P69" s="34">
        <f t="shared" si="7"/>
        <v>3.8</v>
      </c>
      <c r="Q69" s="34">
        <v>2</v>
      </c>
      <c r="R69" s="281">
        <f t="shared" si="8"/>
        <v>7.6</v>
      </c>
      <c r="S69" s="282"/>
    </row>
    <row r="70" spans="1:19">
      <c r="A70" s="62" t="str">
        <f>'1. 소켓인수검사'!A69</f>
        <v>61</v>
      </c>
      <c r="B70" s="43">
        <f>'1. 소켓인수검사'!C69</f>
        <v>1000</v>
      </c>
      <c r="C70" s="43">
        <f>'1. 소켓인수검사'!D69</f>
        <v>650</v>
      </c>
      <c r="D70" s="66" t="s">
        <v>59</v>
      </c>
      <c r="E70" s="79">
        <f t="shared" si="12"/>
        <v>0.65</v>
      </c>
      <c r="F70" s="79">
        <f t="shared" si="13"/>
        <v>3.3</v>
      </c>
      <c r="G70" s="34">
        <f t="shared" si="6"/>
        <v>3.6999999999999997</v>
      </c>
      <c r="H70" s="43">
        <v>2</v>
      </c>
      <c r="I70" s="34">
        <f t="shared" si="9"/>
        <v>7.3999999999999995</v>
      </c>
      <c r="J70" s="34"/>
      <c r="K70" s="34"/>
      <c r="L70" s="34"/>
      <c r="M70" s="34"/>
      <c r="N70" s="34"/>
      <c r="O70" s="34"/>
      <c r="P70" s="34">
        <f t="shared" si="7"/>
        <v>3.8</v>
      </c>
      <c r="Q70" s="34">
        <v>2</v>
      </c>
      <c r="R70" s="281">
        <f t="shared" si="8"/>
        <v>7.6</v>
      </c>
      <c r="S70" s="282"/>
    </row>
    <row r="71" spans="1:19">
      <c r="A71" s="62" t="str">
        <f>'1. 소켓인수검사'!A70</f>
        <v>62</v>
      </c>
      <c r="B71" s="43">
        <f>'1. 소켓인수검사'!C70</f>
        <v>1000</v>
      </c>
      <c r="C71" s="43">
        <f>'1. 소켓인수검사'!D70</f>
        <v>650</v>
      </c>
      <c r="D71" s="66" t="s">
        <v>59</v>
      </c>
      <c r="E71" s="79">
        <f t="shared" si="12"/>
        <v>0.65</v>
      </c>
      <c r="F71" s="79">
        <f t="shared" si="13"/>
        <v>3.3</v>
      </c>
      <c r="G71" s="34">
        <f t="shared" si="6"/>
        <v>3.6999999999999997</v>
      </c>
      <c r="H71" s="43">
        <v>2</v>
      </c>
      <c r="I71" s="34">
        <f t="shared" si="9"/>
        <v>7.3999999999999995</v>
      </c>
      <c r="J71" s="34"/>
      <c r="K71" s="34"/>
      <c r="L71" s="34"/>
      <c r="M71" s="34"/>
      <c r="N71" s="34"/>
      <c r="O71" s="34"/>
      <c r="P71" s="34">
        <f t="shared" si="7"/>
        <v>3.8</v>
      </c>
      <c r="Q71" s="34">
        <v>2</v>
      </c>
      <c r="R71" s="281">
        <f t="shared" si="8"/>
        <v>7.6</v>
      </c>
      <c r="S71" s="282"/>
    </row>
    <row r="72" spans="1:19">
      <c r="A72" s="62" t="str">
        <f>'1. 소켓인수검사'!A71</f>
        <v>63</v>
      </c>
      <c r="B72" s="43">
        <f>'1. 소켓인수검사'!C71</f>
        <v>1000</v>
      </c>
      <c r="C72" s="43">
        <f>'1. 소켓인수검사'!D71</f>
        <v>650</v>
      </c>
      <c r="D72" s="66" t="s">
        <v>59</v>
      </c>
      <c r="E72" s="79">
        <f t="shared" si="12"/>
        <v>0.65</v>
      </c>
      <c r="F72" s="79">
        <f t="shared" si="13"/>
        <v>3.3</v>
      </c>
      <c r="G72" s="34">
        <f t="shared" si="6"/>
        <v>3.6999999999999997</v>
      </c>
      <c r="H72" s="43">
        <v>2</v>
      </c>
      <c r="I72" s="34">
        <f t="shared" si="9"/>
        <v>7.3999999999999995</v>
      </c>
      <c r="J72" s="34"/>
      <c r="K72" s="34"/>
      <c r="L72" s="34"/>
      <c r="M72" s="34"/>
      <c r="N72" s="34"/>
      <c r="O72" s="34"/>
      <c r="P72" s="34">
        <f t="shared" si="7"/>
        <v>3.8</v>
      </c>
      <c r="Q72" s="34">
        <v>2</v>
      </c>
      <c r="R72" s="281">
        <f t="shared" si="8"/>
        <v>7.6</v>
      </c>
      <c r="S72" s="282"/>
    </row>
    <row r="73" spans="1:19">
      <c r="A73" s="62" t="str">
        <f>'1. 소켓인수검사'!A72</f>
        <v>64</v>
      </c>
      <c r="B73" s="43">
        <f>'1. 소켓인수검사'!C72</f>
        <v>1000</v>
      </c>
      <c r="C73" s="43">
        <f>'1. 소켓인수검사'!D72</f>
        <v>650</v>
      </c>
      <c r="D73" s="66" t="s">
        <v>59</v>
      </c>
      <c r="E73" s="79">
        <f t="shared" si="12"/>
        <v>0.65</v>
      </c>
      <c r="F73" s="79">
        <f t="shared" si="13"/>
        <v>3.3</v>
      </c>
      <c r="G73" s="34">
        <f t="shared" si="6"/>
        <v>3.6999999999999997</v>
      </c>
      <c r="H73" s="43">
        <v>2</v>
      </c>
      <c r="I73" s="34">
        <f t="shared" si="9"/>
        <v>7.3999999999999995</v>
      </c>
      <c r="J73" s="34"/>
      <c r="K73" s="34"/>
      <c r="L73" s="34"/>
      <c r="M73" s="34"/>
      <c r="N73" s="34"/>
      <c r="O73" s="34"/>
      <c r="P73" s="34">
        <f t="shared" si="7"/>
        <v>3.8</v>
      </c>
      <c r="Q73" s="34">
        <v>2</v>
      </c>
      <c r="R73" s="281">
        <f t="shared" si="8"/>
        <v>7.6</v>
      </c>
      <c r="S73" s="282"/>
    </row>
    <row r="74" spans="1:19">
      <c r="A74" s="62" t="str">
        <f>'1. 소켓인수검사'!A73</f>
        <v>65</v>
      </c>
      <c r="B74" s="43">
        <f>'1. 소켓인수검사'!C73</f>
        <v>1000</v>
      </c>
      <c r="C74" s="43">
        <f>'1. 소켓인수검사'!D73</f>
        <v>650</v>
      </c>
      <c r="D74" s="66" t="s">
        <v>59</v>
      </c>
      <c r="E74" s="79">
        <f t="shared" si="12"/>
        <v>0.65</v>
      </c>
      <c r="F74" s="79">
        <f t="shared" si="13"/>
        <v>3.3</v>
      </c>
      <c r="G74" s="34">
        <f t="shared" si="6"/>
        <v>3.6999999999999997</v>
      </c>
      <c r="H74" s="43">
        <v>2</v>
      </c>
      <c r="I74" s="34">
        <f t="shared" si="9"/>
        <v>7.3999999999999995</v>
      </c>
      <c r="J74" s="34"/>
      <c r="K74" s="34"/>
      <c r="L74" s="34"/>
      <c r="M74" s="34"/>
      <c r="N74" s="34"/>
      <c r="O74" s="34"/>
      <c r="P74" s="34">
        <f t="shared" si="7"/>
        <v>3.8</v>
      </c>
      <c r="Q74" s="34">
        <v>2</v>
      </c>
      <c r="R74" s="281">
        <f t="shared" si="8"/>
        <v>7.6</v>
      </c>
      <c r="S74" s="282"/>
    </row>
    <row r="75" spans="1:19">
      <c r="A75" s="62" t="str">
        <f>'1. 소켓인수검사'!A74</f>
        <v>66</v>
      </c>
      <c r="B75" s="43">
        <f>'1. 소켓인수검사'!C74</f>
        <v>1000</v>
      </c>
      <c r="C75" s="43">
        <f>'1. 소켓인수검사'!D74</f>
        <v>650</v>
      </c>
      <c r="D75" s="66" t="s">
        <v>59</v>
      </c>
      <c r="E75" s="79">
        <f t="shared" si="12"/>
        <v>0.65</v>
      </c>
      <c r="F75" s="79">
        <f t="shared" si="13"/>
        <v>3.3</v>
      </c>
      <c r="G75" s="34">
        <f t="shared" si="6"/>
        <v>3.6999999999999997</v>
      </c>
      <c r="H75" s="43">
        <v>2</v>
      </c>
      <c r="I75" s="34">
        <f t="shared" si="9"/>
        <v>7.3999999999999995</v>
      </c>
      <c r="J75" s="34"/>
      <c r="K75" s="34"/>
      <c r="L75" s="34"/>
      <c r="M75" s="34"/>
      <c r="N75" s="34"/>
      <c r="O75" s="34"/>
      <c r="P75" s="34">
        <f t="shared" si="7"/>
        <v>3.8</v>
      </c>
      <c r="Q75" s="34">
        <v>2</v>
      </c>
      <c r="R75" s="281">
        <f t="shared" si="8"/>
        <v>7.6</v>
      </c>
      <c r="S75" s="282"/>
    </row>
    <row r="76" spans="1:19">
      <c r="A76" s="62" t="str">
        <f>'1. 소켓인수검사'!A75</f>
        <v>67</v>
      </c>
      <c r="B76" s="43">
        <f>'1. 소켓인수검사'!C75</f>
        <v>1000</v>
      </c>
      <c r="C76" s="43">
        <f>'1. 소켓인수검사'!D75</f>
        <v>650</v>
      </c>
      <c r="D76" s="66" t="s">
        <v>59</v>
      </c>
      <c r="E76" s="79">
        <f t="shared" si="12"/>
        <v>0.65</v>
      </c>
      <c r="F76" s="79">
        <f t="shared" si="13"/>
        <v>3.3</v>
      </c>
      <c r="G76" s="34">
        <f t="shared" si="6"/>
        <v>3.6999999999999997</v>
      </c>
      <c r="H76" s="43">
        <v>2</v>
      </c>
      <c r="I76" s="34">
        <f t="shared" si="9"/>
        <v>7.3999999999999995</v>
      </c>
      <c r="J76" s="34"/>
      <c r="K76" s="34"/>
      <c r="L76" s="34"/>
      <c r="M76" s="34"/>
      <c r="N76" s="34"/>
      <c r="O76" s="34"/>
      <c r="P76" s="34">
        <f t="shared" si="7"/>
        <v>3.8</v>
      </c>
      <c r="Q76" s="34">
        <v>2</v>
      </c>
      <c r="R76" s="281">
        <f t="shared" si="8"/>
        <v>7.6</v>
      </c>
      <c r="S76" s="282"/>
    </row>
    <row r="77" spans="1:19">
      <c r="A77" s="62" t="str">
        <f>'1. 소켓인수검사'!A76</f>
        <v>68</v>
      </c>
      <c r="B77" s="43">
        <f>'1. 소켓인수검사'!C76</f>
        <v>1000</v>
      </c>
      <c r="C77" s="43">
        <f>'1. 소켓인수검사'!D76</f>
        <v>650</v>
      </c>
      <c r="D77" s="66" t="s">
        <v>59</v>
      </c>
      <c r="E77" s="79">
        <f t="shared" si="12"/>
        <v>0.65</v>
      </c>
      <c r="F77" s="79">
        <f t="shared" si="13"/>
        <v>3.3</v>
      </c>
      <c r="G77" s="34">
        <f t="shared" si="6"/>
        <v>3.6999999999999997</v>
      </c>
      <c r="H77" s="43">
        <v>2</v>
      </c>
      <c r="I77" s="34">
        <f t="shared" si="9"/>
        <v>7.3999999999999995</v>
      </c>
      <c r="J77" s="34"/>
      <c r="K77" s="34"/>
      <c r="L77" s="34"/>
      <c r="M77" s="34"/>
      <c r="N77" s="34"/>
      <c r="O77" s="34"/>
      <c r="P77" s="34">
        <f t="shared" si="7"/>
        <v>3.8</v>
      </c>
      <c r="Q77" s="34">
        <v>2</v>
      </c>
      <c r="R77" s="281">
        <f t="shared" si="8"/>
        <v>7.6</v>
      </c>
      <c r="S77" s="282"/>
    </row>
    <row r="78" spans="1:19">
      <c r="A78" s="62" t="str">
        <f>'1. 소켓인수검사'!A77</f>
        <v>69</v>
      </c>
      <c r="B78" s="43">
        <f>'1. 소켓인수검사'!C77</f>
        <v>1000</v>
      </c>
      <c r="C78" s="43">
        <f>'1. 소켓인수검사'!D77</f>
        <v>650</v>
      </c>
      <c r="D78" s="66" t="s">
        <v>59</v>
      </c>
      <c r="E78" s="79">
        <f t="shared" si="12"/>
        <v>0.65</v>
      </c>
      <c r="F78" s="79">
        <f t="shared" si="13"/>
        <v>3.3</v>
      </c>
      <c r="G78" s="34">
        <f t="shared" si="6"/>
        <v>3.6999999999999997</v>
      </c>
      <c r="H78" s="43">
        <v>2</v>
      </c>
      <c r="I78" s="34">
        <f t="shared" si="9"/>
        <v>7.3999999999999995</v>
      </c>
      <c r="J78" s="34"/>
      <c r="K78" s="34"/>
      <c r="L78" s="34"/>
      <c r="M78" s="34"/>
      <c r="N78" s="34"/>
      <c r="O78" s="34"/>
      <c r="P78" s="34">
        <f t="shared" si="7"/>
        <v>3.8</v>
      </c>
      <c r="Q78" s="34">
        <v>2</v>
      </c>
      <c r="R78" s="281">
        <f t="shared" si="8"/>
        <v>7.6</v>
      </c>
      <c r="S78" s="282"/>
    </row>
    <row r="79" spans="1:19">
      <c r="A79" s="62" t="str">
        <f>'1. 소켓인수검사'!A78</f>
        <v>70</v>
      </c>
      <c r="B79" s="43">
        <f>'1. 소켓인수검사'!C78</f>
        <v>1000</v>
      </c>
      <c r="C79" s="43">
        <f>'1. 소켓인수검사'!D78</f>
        <v>750</v>
      </c>
      <c r="D79" s="66" t="s">
        <v>59</v>
      </c>
      <c r="E79" s="79">
        <f t="shared" si="12"/>
        <v>0.75</v>
      </c>
      <c r="F79" s="79">
        <f t="shared" si="13"/>
        <v>3.5</v>
      </c>
      <c r="G79" s="34">
        <f t="shared" si="6"/>
        <v>3.9</v>
      </c>
      <c r="H79" s="43">
        <v>2</v>
      </c>
      <c r="I79" s="34">
        <f t="shared" si="9"/>
        <v>7.8</v>
      </c>
      <c r="J79" s="34"/>
      <c r="K79" s="34"/>
      <c r="L79" s="34"/>
      <c r="M79" s="34"/>
      <c r="N79" s="34"/>
      <c r="O79" s="34"/>
      <c r="P79" s="34">
        <f t="shared" si="7"/>
        <v>4</v>
      </c>
      <c r="Q79" s="34">
        <v>2</v>
      </c>
      <c r="R79" s="281">
        <f t="shared" si="8"/>
        <v>8</v>
      </c>
      <c r="S79" s="282"/>
    </row>
    <row r="80" spans="1:19">
      <c r="A80" s="62" t="str">
        <f>'1. 소켓인수검사'!A79</f>
        <v>71</v>
      </c>
      <c r="B80" s="43">
        <f>'1. 소켓인수검사'!C79</f>
        <v>1000</v>
      </c>
      <c r="C80" s="43">
        <f>'1. 소켓인수검사'!D79</f>
        <v>750</v>
      </c>
      <c r="D80" s="66" t="s">
        <v>59</v>
      </c>
      <c r="E80" s="79">
        <f t="shared" si="12"/>
        <v>0.75</v>
      </c>
      <c r="F80" s="79">
        <f t="shared" si="13"/>
        <v>3.5</v>
      </c>
      <c r="G80" s="34">
        <f t="shared" si="6"/>
        <v>3.9</v>
      </c>
      <c r="H80" s="43">
        <v>2</v>
      </c>
      <c r="I80" s="34">
        <f t="shared" si="9"/>
        <v>7.8</v>
      </c>
      <c r="J80" s="34"/>
      <c r="K80" s="34"/>
      <c r="L80" s="34"/>
      <c r="M80" s="34"/>
      <c r="N80" s="34"/>
      <c r="O80" s="34"/>
      <c r="P80" s="34">
        <f t="shared" si="7"/>
        <v>4</v>
      </c>
      <c r="Q80" s="34">
        <v>2</v>
      </c>
      <c r="R80" s="281">
        <f t="shared" si="8"/>
        <v>8</v>
      </c>
      <c r="S80" s="282"/>
    </row>
    <row r="81" spans="1:19">
      <c r="A81" s="62" t="str">
        <f>'1. 소켓인수검사'!A80</f>
        <v>72</v>
      </c>
      <c r="B81" s="43">
        <f>'1. 소켓인수검사'!C80</f>
        <v>1000</v>
      </c>
      <c r="C81" s="43">
        <f>'1. 소켓인수검사'!D80</f>
        <v>750</v>
      </c>
      <c r="D81" s="66" t="s">
        <v>59</v>
      </c>
      <c r="E81" s="79">
        <f t="shared" si="12"/>
        <v>0.75</v>
      </c>
      <c r="F81" s="79">
        <f t="shared" si="13"/>
        <v>3.5</v>
      </c>
      <c r="G81" s="34">
        <f t="shared" si="6"/>
        <v>3.9</v>
      </c>
      <c r="H81" s="43">
        <v>2</v>
      </c>
      <c r="I81" s="34">
        <f t="shared" si="9"/>
        <v>7.8</v>
      </c>
      <c r="J81" s="34"/>
      <c r="K81" s="34"/>
      <c r="L81" s="34"/>
      <c r="M81" s="34"/>
      <c r="N81" s="34"/>
      <c r="O81" s="34"/>
      <c r="P81" s="34">
        <f t="shared" si="7"/>
        <v>4</v>
      </c>
      <c r="Q81" s="34">
        <v>2</v>
      </c>
      <c r="R81" s="281">
        <f t="shared" si="8"/>
        <v>8</v>
      </c>
      <c r="S81" s="282"/>
    </row>
    <row r="82" spans="1:19">
      <c r="A82" s="62" t="str">
        <f>'1. 소켓인수검사'!A81</f>
        <v>73</v>
      </c>
      <c r="B82" s="43">
        <f>'1. 소켓인수검사'!C81</f>
        <v>1000</v>
      </c>
      <c r="C82" s="43">
        <f>'1. 소켓인수검사'!D81</f>
        <v>750</v>
      </c>
      <c r="D82" s="66" t="s">
        <v>59</v>
      </c>
      <c r="E82" s="79">
        <f t="shared" si="12"/>
        <v>0.75</v>
      </c>
      <c r="F82" s="79">
        <f t="shared" si="13"/>
        <v>3.5</v>
      </c>
      <c r="G82" s="34">
        <f t="shared" si="6"/>
        <v>3.9</v>
      </c>
      <c r="H82" s="43">
        <v>2</v>
      </c>
      <c r="I82" s="34">
        <f t="shared" si="9"/>
        <v>7.8</v>
      </c>
      <c r="J82" s="34"/>
      <c r="K82" s="34"/>
      <c r="L82" s="34"/>
      <c r="M82" s="34"/>
      <c r="N82" s="34"/>
      <c r="O82" s="34"/>
      <c r="P82" s="34">
        <f t="shared" si="7"/>
        <v>4</v>
      </c>
      <c r="Q82" s="34">
        <v>2</v>
      </c>
      <c r="R82" s="281">
        <f t="shared" si="8"/>
        <v>8</v>
      </c>
      <c r="S82" s="282"/>
    </row>
    <row r="83" spans="1:19">
      <c r="A83" s="62" t="str">
        <f>'1. 소켓인수검사'!A82</f>
        <v>74</v>
      </c>
      <c r="B83" s="43">
        <f>'1. 소켓인수검사'!C82</f>
        <v>1000</v>
      </c>
      <c r="C83" s="43">
        <f>'1. 소켓인수검사'!D82</f>
        <v>750</v>
      </c>
      <c r="D83" s="66" t="s">
        <v>59</v>
      </c>
      <c r="E83" s="79">
        <f t="shared" si="12"/>
        <v>0.75</v>
      </c>
      <c r="F83" s="79">
        <f t="shared" si="13"/>
        <v>3.5</v>
      </c>
      <c r="G83" s="34">
        <f t="shared" si="6"/>
        <v>3.9</v>
      </c>
      <c r="H83" s="43">
        <v>2</v>
      </c>
      <c r="I83" s="34">
        <f t="shared" si="9"/>
        <v>7.8</v>
      </c>
      <c r="J83" s="34"/>
      <c r="K83" s="34"/>
      <c r="L83" s="34"/>
      <c r="M83" s="34"/>
      <c r="N83" s="34"/>
      <c r="O83" s="34"/>
      <c r="P83" s="34">
        <f t="shared" si="7"/>
        <v>4</v>
      </c>
      <c r="Q83" s="34">
        <v>2</v>
      </c>
      <c r="R83" s="281">
        <f t="shared" si="8"/>
        <v>8</v>
      </c>
      <c r="S83" s="282"/>
    </row>
    <row r="84" spans="1:19">
      <c r="A84" s="62" t="str">
        <f>'1. 소켓인수검사'!A83</f>
        <v>75</v>
      </c>
      <c r="B84" s="43">
        <f>'1. 소켓인수검사'!C83</f>
        <v>1000</v>
      </c>
      <c r="C84" s="43">
        <f>'1. 소켓인수검사'!D83</f>
        <v>750</v>
      </c>
      <c r="D84" s="66" t="s">
        <v>59</v>
      </c>
      <c r="E84" s="79">
        <f t="shared" si="12"/>
        <v>0.75</v>
      </c>
      <c r="F84" s="79">
        <f t="shared" si="13"/>
        <v>3.5</v>
      </c>
      <c r="G84" s="34">
        <f t="shared" si="6"/>
        <v>3.9</v>
      </c>
      <c r="H84" s="43">
        <v>2</v>
      </c>
      <c r="I84" s="34">
        <f t="shared" si="9"/>
        <v>7.8</v>
      </c>
      <c r="J84" s="34"/>
      <c r="K84" s="34"/>
      <c r="L84" s="34"/>
      <c r="M84" s="34"/>
      <c r="N84" s="34"/>
      <c r="O84" s="34"/>
      <c r="P84" s="34">
        <f t="shared" si="7"/>
        <v>4</v>
      </c>
      <c r="Q84" s="34">
        <v>2</v>
      </c>
      <c r="R84" s="281">
        <f t="shared" si="8"/>
        <v>8</v>
      </c>
      <c r="S84" s="282"/>
    </row>
    <row r="85" spans="1:19">
      <c r="A85" s="62" t="str">
        <f>'1. 소켓인수검사'!A84</f>
        <v>76</v>
      </c>
      <c r="B85" s="43">
        <f>'1. 소켓인수검사'!C84</f>
        <v>1000</v>
      </c>
      <c r="C85" s="43">
        <f>'1. 소켓인수검사'!D84</f>
        <v>800</v>
      </c>
      <c r="D85" s="66" t="s">
        <v>59</v>
      </c>
      <c r="E85" s="79">
        <f t="shared" si="12"/>
        <v>0.8</v>
      </c>
      <c r="F85" s="79">
        <f t="shared" si="13"/>
        <v>3.6</v>
      </c>
      <c r="G85" s="34">
        <f t="shared" si="6"/>
        <v>4</v>
      </c>
      <c r="H85" s="43">
        <v>2</v>
      </c>
      <c r="I85" s="34">
        <f t="shared" si="9"/>
        <v>8</v>
      </c>
      <c r="J85" s="34"/>
      <c r="K85" s="34"/>
      <c r="L85" s="34"/>
      <c r="M85" s="34"/>
      <c r="N85" s="34"/>
      <c r="O85" s="34"/>
      <c r="P85" s="34">
        <f t="shared" si="7"/>
        <v>4.0999999999999996</v>
      </c>
      <c r="Q85" s="34">
        <v>2</v>
      </c>
      <c r="R85" s="281">
        <f t="shared" si="8"/>
        <v>8.1999999999999993</v>
      </c>
      <c r="S85" s="282"/>
    </row>
    <row r="86" spans="1:19">
      <c r="A86" s="62" t="str">
        <f>'1. 소켓인수검사'!A85</f>
        <v>77</v>
      </c>
      <c r="B86" s="43">
        <f>'1. 소켓인수검사'!C85</f>
        <v>1000</v>
      </c>
      <c r="C86" s="43">
        <f>'1. 소켓인수검사'!D85</f>
        <v>800</v>
      </c>
      <c r="D86" s="66" t="s">
        <v>59</v>
      </c>
      <c r="E86" s="79">
        <f t="shared" si="12"/>
        <v>0.8</v>
      </c>
      <c r="F86" s="79">
        <f t="shared" si="13"/>
        <v>3.6</v>
      </c>
      <c r="G86" s="34">
        <f t="shared" si="6"/>
        <v>4</v>
      </c>
      <c r="H86" s="43">
        <v>2</v>
      </c>
      <c r="I86" s="34">
        <f t="shared" si="9"/>
        <v>8</v>
      </c>
      <c r="J86" s="34"/>
      <c r="K86" s="34"/>
      <c r="L86" s="34"/>
      <c r="M86" s="34"/>
      <c r="N86" s="34"/>
      <c r="O86" s="34"/>
      <c r="P86" s="34">
        <f t="shared" si="7"/>
        <v>4.0999999999999996</v>
      </c>
      <c r="Q86" s="34">
        <v>2</v>
      </c>
      <c r="R86" s="281">
        <f t="shared" si="8"/>
        <v>8.1999999999999993</v>
      </c>
      <c r="S86" s="282"/>
    </row>
    <row r="87" spans="1:19">
      <c r="A87" s="62" t="str">
        <f>'1. 소켓인수검사'!A86</f>
        <v>78</v>
      </c>
      <c r="B87" s="43">
        <f>'1. 소켓인수검사'!C86</f>
        <v>1000</v>
      </c>
      <c r="C87" s="43">
        <f>'1. 소켓인수검사'!D86</f>
        <v>800</v>
      </c>
      <c r="D87" s="66" t="s">
        <v>59</v>
      </c>
      <c r="E87" s="79">
        <f t="shared" si="12"/>
        <v>0.8</v>
      </c>
      <c r="F87" s="79">
        <f t="shared" si="13"/>
        <v>3.6</v>
      </c>
      <c r="G87" s="34">
        <f t="shared" si="6"/>
        <v>4</v>
      </c>
      <c r="H87" s="43">
        <v>2</v>
      </c>
      <c r="I87" s="34">
        <f t="shared" si="9"/>
        <v>8</v>
      </c>
      <c r="J87" s="34"/>
      <c r="K87" s="34"/>
      <c r="L87" s="34"/>
      <c r="M87" s="34"/>
      <c r="N87" s="34"/>
      <c r="O87" s="34"/>
      <c r="P87" s="34">
        <f t="shared" si="7"/>
        <v>4.0999999999999996</v>
      </c>
      <c r="Q87" s="34">
        <v>2</v>
      </c>
      <c r="R87" s="281">
        <f t="shared" si="8"/>
        <v>8.1999999999999993</v>
      </c>
      <c r="S87" s="282"/>
    </row>
    <row r="88" spans="1:19">
      <c r="A88" s="62" t="str">
        <f>'1. 소켓인수검사'!A87</f>
        <v>79</v>
      </c>
      <c r="B88" s="43">
        <f>'1. 소켓인수검사'!C87</f>
        <v>1000</v>
      </c>
      <c r="C88" s="43">
        <f>'1. 소켓인수검사'!D87</f>
        <v>800</v>
      </c>
      <c r="D88" s="66" t="s">
        <v>59</v>
      </c>
      <c r="E88" s="79">
        <f t="shared" si="12"/>
        <v>0.8</v>
      </c>
      <c r="F88" s="79">
        <f t="shared" si="13"/>
        <v>3.6</v>
      </c>
      <c r="G88" s="34">
        <f t="shared" si="6"/>
        <v>4</v>
      </c>
      <c r="H88" s="43">
        <v>2</v>
      </c>
      <c r="I88" s="34">
        <f t="shared" si="9"/>
        <v>8</v>
      </c>
      <c r="J88" s="34"/>
      <c r="K88" s="34"/>
      <c r="L88" s="34"/>
      <c r="M88" s="34"/>
      <c r="N88" s="34"/>
      <c r="O88" s="34"/>
      <c r="P88" s="34">
        <f t="shared" si="7"/>
        <v>4.0999999999999996</v>
      </c>
      <c r="Q88" s="34">
        <v>2</v>
      </c>
      <c r="R88" s="281">
        <f t="shared" si="8"/>
        <v>8.1999999999999993</v>
      </c>
      <c r="S88" s="282"/>
    </row>
    <row r="89" spans="1:19">
      <c r="A89" s="62" t="str">
        <f>'1. 소켓인수검사'!A88</f>
        <v>80</v>
      </c>
      <c r="B89" s="43">
        <f>'1. 소켓인수검사'!C88</f>
        <v>1000</v>
      </c>
      <c r="C89" s="43">
        <f>'1. 소켓인수검사'!D88</f>
        <v>800</v>
      </c>
      <c r="D89" s="66" t="s">
        <v>59</v>
      </c>
      <c r="E89" s="79">
        <f t="shared" si="12"/>
        <v>0.8</v>
      </c>
      <c r="F89" s="79">
        <f t="shared" si="13"/>
        <v>3.6</v>
      </c>
      <c r="G89" s="34">
        <f t="shared" si="6"/>
        <v>4</v>
      </c>
      <c r="H89" s="43">
        <v>2</v>
      </c>
      <c r="I89" s="34">
        <f t="shared" si="9"/>
        <v>8</v>
      </c>
      <c r="J89" s="34"/>
      <c r="K89" s="34"/>
      <c r="L89" s="34"/>
      <c r="M89" s="34"/>
      <c r="N89" s="34"/>
      <c r="O89" s="34"/>
      <c r="P89" s="34">
        <f t="shared" si="7"/>
        <v>4.0999999999999996</v>
      </c>
      <c r="Q89" s="34">
        <v>2</v>
      </c>
      <c r="R89" s="281">
        <f t="shared" si="8"/>
        <v>8.1999999999999993</v>
      </c>
      <c r="S89" s="282"/>
    </row>
    <row r="90" spans="1:19">
      <c r="A90" s="62" t="str">
        <f>'1. 소켓인수검사'!A89</f>
        <v>81</v>
      </c>
      <c r="B90" s="43">
        <f>'1. 소켓인수검사'!C89</f>
        <v>1000</v>
      </c>
      <c r="C90" s="43">
        <f>'1. 소켓인수검사'!D89</f>
        <v>800</v>
      </c>
      <c r="D90" s="66" t="s">
        <v>59</v>
      </c>
      <c r="E90" s="79">
        <f t="shared" si="12"/>
        <v>0.8</v>
      </c>
      <c r="F90" s="79">
        <f t="shared" si="13"/>
        <v>3.6</v>
      </c>
      <c r="G90" s="34">
        <f t="shared" si="6"/>
        <v>4</v>
      </c>
      <c r="H90" s="43">
        <v>2</v>
      </c>
      <c r="I90" s="34">
        <f t="shared" si="9"/>
        <v>8</v>
      </c>
      <c r="J90" s="34"/>
      <c r="K90" s="34"/>
      <c r="L90" s="34"/>
      <c r="M90" s="34"/>
      <c r="N90" s="34"/>
      <c r="O90" s="34"/>
      <c r="P90" s="34">
        <f t="shared" si="7"/>
        <v>4.0999999999999996</v>
      </c>
      <c r="Q90" s="34">
        <v>2</v>
      </c>
      <c r="R90" s="281">
        <f t="shared" si="8"/>
        <v>8.1999999999999993</v>
      </c>
      <c r="S90" s="282"/>
    </row>
    <row r="91" spans="1:19">
      <c r="A91" s="62" t="str">
        <f>'1. 소켓인수검사'!A90</f>
        <v>82</v>
      </c>
      <c r="B91" s="43">
        <f>'1. 소켓인수검사'!C90</f>
        <v>1000</v>
      </c>
      <c r="C91" s="43">
        <f>'1. 소켓인수검사'!D90</f>
        <v>800</v>
      </c>
      <c r="D91" s="66" t="s">
        <v>59</v>
      </c>
      <c r="E91" s="79">
        <f t="shared" si="12"/>
        <v>0.8</v>
      </c>
      <c r="F91" s="79">
        <f t="shared" si="13"/>
        <v>3.6</v>
      </c>
      <c r="G91" s="34">
        <f t="shared" si="6"/>
        <v>4</v>
      </c>
      <c r="H91" s="43">
        <v>2</v>
      </c>
      <c r="I91" s="34">
        <f t="shared" si="9"/>
        <v>8</v>
      </c>
      <c r="J91" s="34"/>
      <c r="K91" s="34"/>
      <c r="L91" s="34"/>
      <c r="M91" s="34"/>
      <c r="N91" s="34"/>
      <c r="O91" s="34"/>
      <c r="P91" s="34">
        <f t="shared" si="7"/>
        <v>4.0999999999999996</v>
      </c>
      <c r="Q91" s="34">
        <v>2</v>
      </c>
      <c r="R91" s="281">
        <f t="shared" si="8"/>
        <v>8.1999999999999993</v>
      </c>
      <c r="S91" s="282"/>
    </row>
    <row r="92" spans="1:19">
      <c r="A92" s="62" t="str">
        <f>'1. 소켓인수검사'!A91</f>
        <v>83</v>
      </c>
      <c r="B92" s="43">
        <f>'1. 소켓인수검사'!C91</f>
        <v>1000</v>
      </c>
      <c r="C92" s="43">
        <f>'1. 소켓인수검사'!D91</f>
        <v>800</v>
      </c>
      <c r="D92" s="66" t="s">
        <v>59</v>
      </c>
      <c r="E92" s="79">
        <f t="shared" si="12"/>
        <v>0.8</v>
      </c>
      <c r="F92" s="79">
        <f t="shared" si="13"/>
        <v>3.6</v>
      </c>
      <c r="G92" s="34">
        <f t="shared" si="6"/>
        <v>4</v>
      </c>
      <c r="H92" s="43">
        <v>2</v>
      </c>
      <c r="I92" s="34">
        <f t="shared" si="9"/>
        <v>8</v>
      </c>
      <c r="J92" s="34"/>
      <c r="K92" s="34"/>
      <c r="L92" s="34"/>
      <c r="M92" s="34"/>
      <c r="N92" s="34"/>
      <c r="O92" s="34"/>
      <c r="P92" s="34">
        <f t="shared" si="7"/>
        <v>4.0999999999999996</v>
      </c>
      <c r="Q92" s="34">
        <v>2</v>
      </c>
      <c r="R92" s="281">
        <f t="shared" si="8"/>
        <v>8.1999999999999993</v>
      </c>
      <c r="S92" s="282"/>
    </row>
    <row r="93" spans="1:19">
      <c r="A93" s="62" t="str">
        <f>'1. 소켓인수검사'!A92</f>
        <v>84</v>
      </c>
      <c r="B93" s="43">
        <f>'1. 소켓인수검사'!C92</f>
        <v>1000</v>
      </c>
      <c r="C93" s="43">
        <f>'1. 소켓인수검사'!D92</f>
        <v>800</v>
      </c>
      <c r="D93" s="66" t="s">
        <v>59</v>
      </c>
      <c r="E93" s="79">
        <f t="shared" si="12"/>
        <v>0.8</v>
      </c>
      <c r="F93" s="79">
        <f t="shared" si="13"/>
        <v>3.6</v>
      </c>
      <c r="G93" s="34">
        <f t="shared" si="6"/>
        <v>4</v>
      </c>
      <c r="H93" s="43">
        <v>2</v>
      </c>
      <c r="I93" s="34">
        <f t="shared" si="9"/>
        <v>8</v>
      </c>
      <c r="J93" s="34"/>
      <c r="K93" s="34"/>
      <c r="L93" s="34"/>
      <c r="M93" s="34"/>
      <c r="N93" s="34"/>
      <c r="O93" s="34"/>
      <c r="P93" s="34">
        <f t="shared" si="7"/>
        <v>4.0999999999999996</v>
      </c>
      <c r="Q93" s="34">
        <v>2</v>
      </c>
      <c r="R93" s="281">
        <f t="shared" si="8"/>
        <v>8.1999999999999993</v>
      </c>
      <c r="S93" s="282"/>
    </row>
    <row r="94" spans="1:19">
      <c r="A94" s="62" t="str">
        <f>'1. 소켓인수검사'!A93</f>
        <v>85</v>
      </c>
      <c r="B94" s="43">
        <f>'1. 소켓인수검사'!C93</f>
        <v>1000</v>
      </c>
      <c r="C94" s="43">
        <f>'1. 소켓인수검사'!D93</f>
        <v>800</v>
      </c>
      <c r="D94" s="66" t="s">
        <v>59</v>
      </c>
      <c r="E94" s="79">
        <f t="shared" si="12"/>
        <v>0.8</v>
      </c>
      <c r="F94" s="79">
        <f t="shared" si="13"/>
        <v>3.6</v>
      </c>
      <c r="G94" s="34">
        <f t="shared" si="6"/>
        <v>4</v>
      </c>
      <c r="H94" s="43">
        <v>2</v>
      </c>
      <c r="I94" s="34">
        <f t="shared" si="9"/>
        <v>8</v>
      </c>
      <c r="J94" s="34"/>
      <c r="K94" s="34"/>
      <c r="L94" s="34"/>
      <c r="M94" s="34"/>
      <c r="N94" s="34"/>
      <c r="O94" s="34"/>
      <c r="P94" s="34">
        <f t="shared" si="7"/>
        <v>4.0999999999999996</v>
      </c>
      <c r="Q94" s="34">
        <v>2</v>
      </c>
      <c r="R94" s="281">
        <f t="shared" si="8"/>
        <v>8.1999999999999993</v>
      </c>
      <c r="S94" s="282"/>
    </row>
    <row r="95" spans="1:19">
      <c r="A95" s="62" t="str">
        <f>'1. 소켓인수검사'!A94</f>
        <v>86</v>
      </c>
      <c r="B95" s="43">
        <f>'1. 소켓인수검사'!C94</f>
        <v>1000</v>
      </c>
      <c r="C95" s="43">
        <f>'1. 소켓인수검사'!D94</f>
        <v>800</v>
      </c>
      <c r="D95" s="66" t="s">
        <v>59</v>
      </c>
      <c r="E95" s="79">
        <f t="shared" si="12"/>
        <v>0.8</v>
      </c>
      <c r="F95" s="79">
        <f t="shared" si="13"/>
        <v>3.6</v>
      </c>
      <c r="G95" s="34">
        <f t="shared" si="6"/>
        <v>4</v>
      </c>
      <c r="H95" s="43">
        <v>2</v>
      </c>
      <c r="I95" s="34">
        <f t="shared" si="9"/>
        <v>8</v>
      </c>
      <c r="J95" s="34"/>
      <c r="K95" s="34"/>
      <c r="L95" s="34"/>
      <c r="M95" s="34"/>
      <c r="N95" s="34"/>
      <c r="O95" s="34"/>
      <c r="P95" s="34">
        <f t="shared" si="7"/>
        <v>4.0999999999999996</v>
      </c>
      <c r="Q95" s="34">
        <v>2</v>
      </c>
      <c r="R95" s="281">
        <f t="shared" si="8"/>
        <v>8.1999999999999993</v>
      </c>
      <c r="S95" s="282"/>
    </row>
    <row r="96" spans="1:19">
      <c r="A96" s="62" t="str">
        <f>'1. 소켓인수검사'!A95</f>
        <v>87</v>
      </c>
      <c r="B96" s="43">
        <f>'1. 소켓인수검사'!C95</f>
        <v>1000</v>
      </c>
      <c r="C96" s="43">
        <f>'1. 소켓인수검사'!D95</f>
        <v>800</v>
      </c>
      <c r="D96" s="66" t="s">
        <v>59</v>
      </c>
      <c r="E96" s="79">
        <f t="shared" si="12"/>
        <v>0.8</v>
      </c>
      <c r="F96" s="79">
        <f t="shared" si="13"/>
        <v>3.6</v>
      </c>
      <c r="G96" s="34">
        <f t="shared" si="6"/>
        <v>4</v>
      </c>
      <c r="H96" s="43">
        <v>2</v>
      </c>
      <c r="I96" s="34">
        <f t="shared" si="9"/>
        <v>8</v>
      </c>
      <c r="J96" s="34"/>
      <c r="K96" s="34"/>
      <c r="L96" s="34"/>
      <c r="M96" s="34"/>
      <c r="N96" s="34"/>
      <c r="O96" s="34"/>
      <c r="P96" s="34">
        <f t="shared" si="7"/>
        <v>4.0999999999999996</v>
      </c>
      <c r="Q96" s="34">
        <v>2</v>
      </c>
      <c r="R96" s="281">
        <f t="shared" si="8"/>
        <v>8.1999999999999993</v>
      </c>
      <c r="S96" s="282"/>
    </row>
    <row r="97" spans="1:19">
      <c r="A97" s="62" t="str">
        <f>'1. 소켓인수검사'!A96</f>
        <v>88</v>
      </c>
      <c r="B97" s="43">
        <f>'1. 소켓인수검사'!C96</f>
        <v>1000</v>
      </c>
      <c r="C97" s="43">
        <f>'1. 소켓인수검사'!D96</f>
        <v>800</v>
      </c>
      <c r="D97" s="66" t="s">
        <v>59</v>
      </c>
      <c r="E97" s="79">
        <f t="shared" si="12"/>
        <v>0.8</v>
      </c>
      <c r="F97" s="79">
        <f t="shared" si="13"/>
        <v>3.6</v>
      </c>
      <c r="G97" s="34">
        <f t="shared" si="6"/>
        <v>4</v>
      </c>
      <c r="H97" s="43">
        <v>2</v>
      </c>
      <c r="I97" s="34">
        <f t="shared" si="9"/>
        <v>8</v>
      </c>
      <c r="J97" s="34"/>
      <c r="K97" s="34"/>
      <c r="L97" s="34"/>
      <c r="M97" s="34"/>
      <c r="N97" s="34"/>
      <c r="O97" s="34"/>
      <c r="P97" s="34">
        <f t="shared" si="7"/>
        <v>4.0999999999999996</v>
      </c>
      <c r="Q97" s="34">
        <v>2</v>
      </c>
      <c r="R97" s="281">
        <f t="shared" si="8"/>
        <v>8.1999999999999993</v>
      </c>
      <c r="S97" s="282"/>
    </row>
    <row r="98" spans="1:19">
      <c r="A98" s="62" t="str">
        <f>'1. 소켓인수검사'!A97</f>
        <v>89</v>
      </c>
      <c r="B98" s="43">
        <f>'1. 소켓인수검사'!C97</f>
        <v>1000</v>
      </c>
      <c r="C98" s="43">
        <f>'1. 소켓인수검사'!D97</f>
        <v>800</v>
      </c>
      <c r="D98" s="66" t="s">
        <v>59</v>
      </c>
      <c r="E98" s="79">
        <f t="shared" si="12"/>
        <v>0.8</v>
      </c>
      <c r="F98" s="79">
        <f t="shared" si="13"/>
        <v>3.6</v>
      </c>
      <c r="G98" s="34">
        <f t="shared" si="6"/>
        <v>4</v>
      </c>
      <c r="H98" s="43">
        <v>2</v>
      </c>
      <c r="I98" s="34">
        <f t="shared" si="9"/>
        <v>8</v>
      </c>
      <c r="J98" s="34"/>
      <c r="K98" s="34"/>
      <c r="L98" s="34"/>
      <c r="M98" s="34"/>
      <c r="N98" s="34"/>
      <c r="O98" s="34"/>
      <c r="P98" s="34">
        <f t="shared" si="7"/>
        <v>4.0999999999999996</v>
      </c>
      <c r="Q98" s="34">
        <v>2</v>
      </c>
      <c r="R98" s="281">
        <f t="shared" si="8"/>
        <v>8.1999999999999993</v>
      </c>
      <c r="S98" s="282"/>
    </row>
    <row r="99" spans="1:19">
      <c r="A99" s="62" t="str">
        <f>'1. 소켓인수검사'!A98</f>
        <v>90</v>
      </c>
      <c r="B99" s="43">
        <f>'1. 소켓인수검사'!C98</f>
        <v>1000</v>
      </c>
      <c r="C99" s="43">
        <f>'1. 소켓인수검사'!D98</f>
        <v>800</v>
      </c>
      <c r="D99" s="66" t="s">
        <v>59</v>
      </c>
      <c r="E99" s="79">
        <f t="shared" si="12"/>
        <v>0.8</v>
      </c>
      <c r="F99" s="79">
        <f t="shared" si="13"/>
        <v>3.6</v>
      </c>
      <c r="G99" s="34">
        <f t="shared" si="6"/>
        <v>4</v>
      </c>
      <c r="H99" s="43">
        <v>2</v>
      </c>
      <c r="I99" s="34">
        <f t="shared" si="9"/>
        <v>8</v>
      </c>
      <c r="J99" s="34"/>
      <c r="K99" s="34"/>
      <c r="L99" s="34"/>
      <c r="M99" s="34"/>
      <c r="N99" s="34"/>
      <c r="O99" s="34"/>
      <c r="P99" s="34">
        <f t="shared" si="7"/>
        <v>4.0999999999999996</v>
      </c>
      <c r="Q99" s="34">
        <v>2</v>
      </c>
      <c r="R99" s="281">
        <f t="shared" si="8"/>
        <v>8.1999999999999993</v>
      </c>
      <c r="S99" s="282"/>
    </row>
    <row r="100" spans="1:19">
      <c r="A100" s="62" t="str">
        <f>'1. 소켓인수검사'!A99</f>
        <v>91</v>
      </c>
      <c r="B100" s="43">
        <f>'1. 소켓인수검사'!C99</f>
        <v>1000</v>
      </c>
      <c r="C100" s="43">
        <f>'1. 소켓인수검사'!D99</f>
        <v>800</v>
      </c>
      <c r="D100" s="66" t="s">
        <v>59</v>
      </c>
      <c r="E100" s="79">
        <f t="shared" si="12"/>
        <v>0.8</v>
      </c>
      <c r="F100" s="79">
        <f t="shared" si="13"/>
        <v>3.6</v>
      </c>
      <c r="G100" s="34">
        <f t="shared" si="6"/>
        <v>4</v>
      </c>
      <c r="H100" s="43">
        <v>2</v>
      </c>
      <c r="I100" s="34">
        <f t="shared" si="9"/>
        <v>8</v>
      </c>
      <c r="J100" s="34"/>
      <c r="K100" s="34"/>
      <c r="L100" s="34"/>
      <c r="M100" s="34"/>
      <c r="N100" s="34"/>
      <c r="O100" s="34"/>
      <c r="P100" s="34">
        <f t="shared" si="7"/>
        <v>4.0999999999999996</v>
      </c>
      <c r="Q100" s="34">
        <v>2</v>
      </c>
      <c r="R100" s="281">
        <f t="shared" si="8"/>
        <v>8.1999999999999993</v>
      </c>
      <c r="S100" s="282"/>
    </row>
    <row r="101" spans="1:19">
      <c r="A101" s="62" t="str">
        <f>'1. 소켓인수검사'!A100</f>
        <v>92</v>
      </c>
      <c r="B101" s="43">
        <f>'1. 소켓인수검사'!C100</f>
        <v>1000</v>
      </c>
      <c r="C101" s="43">
        <f>'1. 소켓인수검사'!D100</f>
        <v>800</v>
      </c>
      <c r="D101" s="66" t="s">
        <v>59</v>
      </c>
      <c r="E101" s="79">
        <f t="shared" si="12"/>
        <v>0.8</v>
      </c>
      <c r="F101" s="79">
        <f t="shared" si="13"/>
        <v>3.6</v>
      </c>
      <c r="G101" s="34">
        <f t="shared" si="6"/>
        <v>4</v>
      </c>
      <c r="H101" s="43">
        <v>2</v>
      </c>
      <c r="I101" s="34">
        <f t="shared" si="9"/>
        <v>8</v>
      </c>
      <c r="J101" s="34"/>
      <c r="K101" s="34"/>
      <c r="L101" s="34"/>
      <c r="M101" s="34"/>
      <c r="N101" s="34"/>
      <c r="O101" s="34"/>
      <c r="P101" s="34">
        <f t="shared" si="7"/>
        <v>4.0999999999999996</v>
      </c>
      <c r="Q101" s="34">
        <v>2</v>
      </c>
      <c r="R101" s="281">
        <f t="shared" si="8"/>
        <v>8.1999999999999993</v>
      </c>
      <c r="S101" s="282"/>
    </row>
    <row r="102" spans="1:19">
      <c r="A102" s="62" t="str">
        <f>'1. 소켓인수검사'!A101</f>
        <v>93</v>
      </c>
      <c r="B102" s="43">
        <f>'1. 소켓인수검사'!C101</f>
        <v>1000</v>
      </c>
      <c r="C102" s="43">
        <f>'1. 소켓인수검사'!D101</f>
        <v>800</v>
      </c>
      <c r="D102" s="66" t="s">
        <v>59</v>
      </c>
      <c r="E102" s="79">
        <f t="shared" si="10"/>
        <v>0.8</v>
      </c>
      <c r="F102" s="79">
        <f t="shared" si="11"/>
        <v>3.6</v>
      </c>
      <c r="G102" s="34">
        <f t="shared" si="6"/>
        <v>4</v>
      </c>
      <c r="H102" s="43">
        <v>2</v>
      </c>
      <c r="I102" s="34">
        <f t="shared" si="9"/>
        <v>8</v>
      </c>
      <c r="J102" s="34"/>
      <c r="K102" s="34"/>
      <c r="L102" s="34"/>
      <c r="M102" s="34"/>
      <c r="N102" s="34"/>
      <c r="O102" s="34"/>
      <c r="P102" s="34">
        <f t="shared" si="7"/>
        <v>4.0999999999999996</v>
      </c>
      <c r="Q102" s="34">
        <v>2</v>
      </c>
      <c r="R102" s="281">
        <f t="shared" si="8"/>
        <v>8.1999999999999993</v>
      </c>
      <c r="S102" s="282"/>
    </row>
    <row r="103" spans="1:19">
      <c r="A103" s="62" t="str">
        <f>'1. 소켓인수검사'!A102</f>
        <v>94</v>
      </c>
      <c r="B103" s="43">
        <f>'1. 소켓인수검사'!C102</f>
        <v>1000</v>
      </c>
      <c r="C103" s="43">
        <f>'1. 소켓인수검사'!D102</f>
        <v>800</v>
      </c>
      <c r="D103" s="66" t="s">
        <v>59</v>
      </c>
      <c r="E103" s="79">
        <f t="shared" si="10"/>
        <v>0.8</v>
      </c>
      <c r="F103" s="79">
        <f t="shared" si="11"/>
        <v>3.6</v>
      </c>
      <c r="G103" s="34">
        <f t="shared" si="6"/>
        <v>4</v>
      </c>
      <c r="H103" s="43">
        <v>2</v>
      </c>
      <c r="I103" s="34">
        <f t="shared" si="9"/>
        <v>8</v>
      </c>
      <c r="J103" s="34"/>
      <c r="K103" s="34"/>
      <c r="L103" s="34"/>
      <c r="M103" s="34"/>
      <c r="N103" s="34"/>
      <c r="O103" s="34"/>
      <c r="P103" s="34">
        <f t="shared" si="7"/>
        <v>4.0999999999999996</v>
      </c>
      <c r="Q103" s="34">
        <v>2</v>
      </c>
      <c r="R103" s="281">
        <f t="shared" si="8"/>
        <v>8.1999999999999993</v>
      </c>
      <c r="S103" s="282"/>
    </row>
    <row r="104" spans="1:19">
      <c r="A104" s="62" t="str">
        <f>'1. 소켓인수검사'!A103</f>
        <v>95</v>
      </c>
      <c r="B104" s="43">
        <f>'1. 소켓인수검사'!C103</f>
        <v>1000</v>
      </c>
      <c r="C104" s="43">
        <f>'1. 소켓인수검사'!D103</f>
        <v>800</v>
      </c>
      <c r="D104" s="66" t="s">
        <v>59</v>
      </c>
      <c r="E104" s="79">
        <f t="shared" si="10"/>
        <v>0.8</v>
      </c>
      <c r="F104" s="79">
        <f t="shared" si="11"/>
        <v>3.6</v>
      </c>
      <c r="G104" s="34">
        <f t="shared" si="6"/>
        <v>4</v>
      </c>
      <c r="H104" s="43">
        <v>2</v>
      </c>
      <c r="I104" s="34">
        <f t="shared" si="9"/>
        <v>8</v>
      </c>
      <c r="J104" s="34"/>
      <c r="K104" s="34"/>
      <c r="L104" s="34"/>
      <c r="M104" s="34"/>
      <c r="N104" s="34"/>
      <c r="O104" s="34"/>
      <c r="P104" s="34">
        <f t="shared" si="7"/>
        <v>4.0999999999999996</v>
      </c>
      <c r="Q104" s="34">
        <v>2</v>
      </c>
      <c r="R104" s="281">
        <f t="shared" si="8"/>
        <v>8.1999999999999993</v>
      </c>
      <c r="S104" s="282"/>
    </row>
    <row r="105" spans="1:19">
      <c r="A105" s="62" t="str">
        <f>'1. 소켓인수검사'!A104</f>
        <v>96</v>
      </c>
      <c r="B105" s="43">
        <f>'1. 소켓인수검사'!C104</f>
        <v>1000</v>
      </c>
      <c r="C105" s="43">
        <f>'1. 소켓인수검사'!D104</f>
        <v>800</v>
      </c>
      <c r="D105" s="66" t="s">
        <v>59</v>
      </c>
      <c r="E105" s="79">
        <f t="shared" si="10"/>
        <v>0.8</v>
      </c>
      <c r="F105" s="79">
        <f t="shared" si="11"/>
        <v>3.6</v>
      </c>
      <c r="G105" s="34">
        <f t="shared" si="6"/>
        <v>4</v>
      </c>
      <c r="H105" s="43">
        <v>2</v>
      </c>
      <c r="I105" s="34">
        <f t="shared" si="9"/>
        <v>8</v>
      </c>
      <c r="J105" s="34"/>
      <c r="K105" s="34"/>
      <c r="L105" s="34"/>
      <c r="M105" s="34"/>
      <c r="N105" s="34"/>
      <c r="O105" s="34"/>
      <c r="P105" s="34">
        <f t="shared" si="7"/>
        <v>4.0999999999999996</v>
      </c>
      <c r="Q105" s="34">
        <v>2</v>
      </c>
      <c r="R105" s="281">
        <f t="shared" si="8"/>
        <v>8.1999999999999993</v>
      </c>
      <c r="S105" s="282"/>
    </row>
    <row r="106" spans="1:19">
      <c r="A106" s="62" t="str">
        <f>'1. 소켓인수검사'!A105</f>
        <v>97</v>
      </c>
      <c r="B106" s="43">
        <f>'1. 소켓인수검사'!C105</f>
        <v>1000</v>
      </c>
      <c r="C106" s="43">
        <f>'1. 소켓인수검사'!D105</f>
        <v>800</v>
      </c>
      <c r="D106" s="66" t="s">
        <v>59</v>
      </c>
      <c r="E106" s="79">
        <f t="shared" si="10"/>
        <v>0.8</v>
      </c>
      <c r="F106" s="79">
        <f t="shared" si="11"/>
        <v>3.6</v>
      </c>
      <c r="G106" s="34">
        <f t="shared" si="6"/>
        <v>4</v>
      </c>
      <c r="H106" s="43">
        <v>2</v>
      </c>
      <c r="I106" s="34">
        <f t="shared" si="9"/>
        <v>8</v>
      </c>
      <c r="J106" s="34"/>
      <c r="K106" s="34"/>
      <c r="L106" s="34"/>
      <c r="M106" s="34"/>
      <c r="N106" s="34"/>
      <c r="O106" s="34"/>
      <c r="P106" s="34">
        <f t="shared" si="7"/>
        <v>4.0999999999999996</v>
      </c>
      <c r="Q106" s="34">
        <v>2</v>
      </c>
      <c r="R106" s="281">
        <f t="shared" si="8"/>
        <v>8.1999999999999993</v>
      </c>
      <c r="S106" s="282"/>
    </row>
    <row r="107" spans="1:19">
      <c r="A107" s="62" t="str">
        <f>'1. 소켓인수검사'!A106</f>
        <v>98</v>
      </c>
      <c r="B107" s="43">
        <f>'1. 소켓인수검사'!C106</f>
        <v>1000</v>
      </c>
      <c r="C107" s="43">
        <f>'1. 소켓인수검사'!D106</f>
        <v>800</v>
      </c>
      <c r="D107" s="66" t="s">
        <v>59</v>
      </c>
      <c r="E107" s="79">
        <f t="shared" si="10"/>
        <v>0.8</v>
      </c>
      <c r="F107" s="79">
        <f t="shared" si="11"/>
        <v>3.6</v>
      </c>
      <c r="G107" s="34">
        <f t="shared" si="6"/>
        <v>4</v>
      </c>
      <c r="H107" s="43">
        <v>2</v>
      </c>
      <c r="I107" s="34">
        <f t="shared" si="9"/>
        <v>8</v>
      </c>
      <c r="J107" s="34"/>
      <c r="K107" s="34"/>
      <c r="L107" s="34"/>
      <c r="M107" s="34"/>
      <c r="N107" s="34"/>
      <c r="O107" s="34"/>
      <c r="P107" s="34">
        <f t="shared" si="7"/>
        <v>4.0999999999999996</v>
      </c>
      <c r="Q107" s="34">
        <v>2</v>
      </c>
      <c r="R107" s="281">
        <f t="shared" si="8"/>
        <v>8.1999999999999993</v>
      </c>
      <c r="S107" s="282"/>
    </row>
    <row r="108" spans="1:19">
      <c r="A108" s="62" t="str">
        <f>'1. 소켓인수검사'!A107</f>
        <v>99</v>
      </c>
      <c r="B108" s="43">
        <f>'1. 소켓인수검사'!C107</f>
        <v>1200</v>
      </c>
      <c r="C108" s="43">
        <f>'1. 소켓인수검사'!D107</f>
        <v>800</v>
      </c>
      <c r="D108" s="66" t="s">
        <v>59</v>
      </c>
      <c r="E108" s="79">
        <f t="shared" si="10"/>
        <v>0.96</v>
      </c>
      <c r="F108" s="79">
        <f t="shared" si="11"/>
        <v>4</v>
      </c>
      <c r="G108" s="34">
        <f t="shared" si="6"/>
        <v>4.4000000000000004</v>
      </c>
      <c r="H108" s="43">
        <v>2</v>
      </c>
      <c r="I108" s="34">
        <f t="shared" si="9"/>
        <v>8.8000000000000007</v>
      </c>
      <c r="J108" s="34"/>
      <c r="K108" s="34"/>
      <c r="L108" s="34"/>
      <c r="M108" s="34"/>
      <c r="N108" s="34"/>
      <c r="O108" s="34"/>
      <c r="P108" s="34">
        <f t="shared" si="7"/>
        <v>4.5</v>
      </c>
      <c r="Q108" s="34">
        <v>2</v>
      </c>
      <c r="R108" s="281">
        <f t="shared" si="8"/>
        <v>9</v>
      </c>
      <c r="S108" s="282"/>
    </row>
    <row r="109" spans="1:19">
      <c r="A109" s="62" t="str">
        <f>'1. 소켓인수검사'!A108</f>
        <v>100</v>
      </c>
      <c r="B109" s="43">
        <f>'1. 소켓인수검사'!C108</f>
        <v>1250</v>
      </c>
      <c r="C109" s="43">
        <f>'1. 소켓인수검사'!D108</f>
        <v>800</v>
      </c>
      <c r="D109" s="66" t="s">
        <v>59</v>
      </c>
      <c r="E109" s="79">
        <f t="shared" si="10"/>
        <v>1</v>
      </c>
      <c r="F109" s="79">
        <f t="shared" si="11"/>
        <v>4.0999999999999996</v>
      </c>
      <c r="G109" s="34">
        <f t="shared" si="6"/>
        <v>4.5</v>
      </c>
      <c r="H109" s="43">
        <v>2</v>
      </c>
      <c r="I109" s="34">
        <f t="shared" si="9"/>
        <v>9</v>
      </c>
      <c r="J109" s="34"/>
      <c r="K109" s="34"/>
      <c r="L109" s="34"/>
      <c r="M109" s="34"/>
      <c r="N109" s="34"/>
      <c r="O109" s="34"/>
      <c r="P109" s="34">
        <f t="shared" si="7"/>
        <v>4.5999999999999996</v>
      </c>
      <c r="Q109" s="34">
        <v>2</v>
      </c>
      <c r="R109" s="281">
        <f t="shared" si="8"/>
        <v>9.1999999999999993</v>
      </c>
      <c r="S109" s="282"/>
    </row>
    <row r="110" spans="1:19">
      <c r="A110" s="62" t="str">
        <f>'1. 소켓인수검사'!A109</f>
        <v>101</v>
      </c>
      <c r="B110" s="43">
        <f>'1. 소켓인수검사'!C109</f>
        <v>1250</v>
      </c>
      <c r="C110" s="43">
        <f>'1. 소켓인수검사'!D109</f>
        <v>800</v>
      </c>
      <c r="D110" s="66" t="s">
        <v>59</v>
      </c>
      <c r="E110" s="79">
        <f t="shared" si="10"/>
        <v>1</v>
      </c>
      <c r="F110" s="79">
        <f t="shared" si="11"/>
        <v>4.0999999999999996</v>
      </c>
      <c r="G110" s="34">
        <f t="shared" si="6"/>
        <v>4.5</v>
      </c>
      <c r="H110" s="43">
        <v>2</v>
      </c>
      <c r="I110" s="34">
        <f t="shared" si="9"/>
        <v>9</v>
      </c>
      <c r="J110" s="34"/>
      <c r="K110" s="34"/>
      <c r="L110" s="34"/>
      <c r="M110" s="34"/>
      <c r="N110" s="34"/>
      <c r="O110" s="34"/>
      <c r="P110" s="34">
        <f t="shared" si="7"/>
        <v>4.5999999999999996</v>
      </c>
      <c r="Q110" s="34">
        <v>2</v>
      </c>
      <c r="R110" s="281">
        <f t="shared" si="8"/>
        <v>9.1999999999999993</v>
      </c>
      <c r="S110" s="282"/>
    </row>
    <row r="111" spans="1:19">
      <c r="A111" s="62" t="str">
        <f>'1. 소켓인수검사'!A110</f>
        <v>102</v>
      </c>
      <c r="B111" s="43">
        <f>'1. 소켓인수검사'!C110</f>
        <v>1250</v>
      </c>
      <c r="C111" s="43">
        <f>'1. 소켓인수검사'!D110</f>
        <v>800</v>
      </c>
      <c r="D111" s="66" t="s">
        <v>59</v>
      </c>
      <c r="E111" s="79">
        <f t="shared" si="10"/>
        <v>1</v>
      </c>
      <c r="F111" s="79">
        <f t="shared" si="11"/>
        <v>4.0999999999999996</v>
      </c>
      <c r="G111" s="34">
        <f t="shared" si="6"/>
        <v>4.5</v>
      </c>
      <c r="H111" s="43">
        <v>2</v>
      </c>
      <c r="I111" s="34">
        <f t="shared" si="9"/>
        <v>9</v>
      </c>
      <c r="J111" s="34"/>
      <c r="K111" s="34"/>
      <c r="L111" s="34"/>
      <c r="M111" s="34"/>
      <c r="N111" s="34"/>
      <c r="O111" s="34"/>
      <c r="P111" s="34">
        <f t="shared" si="7"/>
        <v>4.5999999999999996</v>
      </c>
      <c r="Q111" s="34">
        <v>2</v>
      </c>
      <c r="R111" s="281">
        <f t="shared" si="8"/>
        <v>9.1999999999999993</v>
      </c>
      <c r="S111" s="282"/>
    </row>
    <row r="112" spans="1:19">
      <c r="A112" s="62" t="str">
        <f>'1. 소켓인수검사'!A111</f>
        <v>103</v>
      </c>
      <c r="B112" s="43">
        <f>'1. 소켓인수검사'!C111</f>
        <v>1250</v>
      </c>
      <c r="C112" s="43">
        <f>'1. 소켓인수검사'!D111</f>
        <v>800</v>
      </c>
      <c r="D112" s="66" t="s">
        <v>59</v>
      </c>
      <c r="E112" s="79">
        <f t="shared" si="10"/>
        <v>1</v>
      </c>
      <c r="F112" s="79">
        <f t="shared" si="11"/>
        <v>4.0999999999999996</v>
      </c>
      <c r="G112" s="34">
        <f t="shared" si="6"/>
        <v>4.5</v>
      </c>
      <c r="H112" s="43">
        <v>2</v>
      </c>
      <c r="I112" s="34">
        <f t="shared" si="9"/>
        <v>9</v>
      </c>
      <c r="J112" s="34"/>
      <c r="K112" s="34"/>
      <c r="L112" s="34"/>
      <c r="M112" s="34"/>
      <c r="N112" s="34"/>
      <c r="O112" s="34"/>
      <c r="P112" s="34">
        <f t="shared" si="7"/>
        <v>4.5999999999999996</v>
      </c>
      <c r="Q112" s="34">
        <v>2</v>
      </c>
      <c r="R112" s="281">
        <f t="shared" si="8"/>
        <v>9.1999999999999993</v>
      </c>
      <c r="S112" s="282"/>
    </row>
    <row r="113" spans="1:19">
      <c r="A113" s="62" t="str">
        <f>'1. 소켓인수검사'!A112</f>
        <v>104</v>
      </c>
      <c r="B113" s="43">
        <f>'1. 소켓인수검사'!C112</f>
        <v>1250</v>
      </c>
      <c r="C113" s="43">
        <f>'1. 소켓인수검사'!D112</f>
        <v>800</v>
      </c>
      <c r="D113" s="66" t="s">
        <v>59</v>
      </c>
      <c r="E113" s="79">
        <f t="shared" si="10"/>
        <v>1</v>
      </c>
      <c r="F113" s="79">
        <f t="shared" si="11"/>
        <v>4.0999999999999996</v>
      </c>
      <c r="G113" s="34">
        <f t="shared" si="6"/>
        <v>4.5</v>
      </c>
      <c r="H113" s="43">
        <v>2</v>
      </c>
      <c r="I113" s="34">
        <f t="shared" si="9"/>
        <v>9</v>
      </c>
      <c r="J113" s="34"/>
      <c r="K113" s="34"/>
      <c r="L113" s="34"/>
      <c r="M113" s="34"/>
      <c r="N113" s="34"/>
      <c r="O113" s="34"/>
      <c r="P113" s="34">
        <f t="shared" si="7"/>
        <v>4.5999999999999996</v>
      </c>
      <c r="Q113" s="34">
        <v>2</v>
      </c>
      <c r="R113" s="281">
        <f t="shared" si="8"/>
        <v>9.1999999999999993</v>
      </c>
      <c r="S113" s="282"/>
    </row>
    <row r="114" spans="1:19">
      <c r="A114" s="62" t="str">
        <f>'1. 소켓인수검사'!A113</f>
        <v>105</v>
      </c>
      <c r="B114" s="43">
        <f>'1. 소켓인수검사'!C113</f>
        <v>1250</v>
      </c>
      <c r="C114" s="43">
        <f>'1. 소켓인수검사'!D113</f>
        <v>800</v>
      </c>
      <c r="D114" s="66" t="s">
        <v>59</v>
      </c>
      <c r="E114" s="79">
        <f t="shared" si="10"/>
        <v>1</v>
      </c>
      <c r="F114" s="79">
        <f t="shared" si="11"/>
        <v>4.0999999999999996</v>
      </c>
      <c r="G114" s="34">
        <f t="shared" si="6"/>
        <v>4.5</v>
      </c>
      <c r="H114" s="43">
        <v>2</v>
      </c>
      <c r="I114" s="34">
        <f t="shared" si="9"/>
        <v>9</v>
      </c>
      <c r="J114" s="34"/>
      <c r="K114" s="34"/>
      <c r="L114" s="34"/>
      <c r="M114" s="34"/>
      <c r="N114" s="34"/>
      <c r="O114" s="34"/>
      <c r="P114" s="34">
        <f t="shared" si="7"/>
        <v>4.5999999999999996</v>
      </c>
      <c r="Q114" s="34">
        <v>2</v>
      </c>
      <c r="R114" s="281">
        <f t="shared" si="8"/>
        <v>9.1999999999999993</v>
      </c>
      <c r="S114" s="282"/>
    </row>
    <row r="115" spans="1:19">
      <c r="A115" s="62" t="str">
        <f>'1. 소켓인수검사'!A114</f>
        <v>106</v>
      </c>
      <c r="B115" s="43">
        <f>'1. 소켓인수검사'!C114</f>
        <v>1250</v>
      </c>
      <c r="C115" s="43">
        <f>'1. 소켓인수검사'!D114</f>
        <v>800</v>
      </c>
      <c r="D115" s="66" t="s">
        <v>59</v>
      </c>
      <c r="E115" s="79">
        <f t="shared" si="10"/>
        <v>1</v>
      </c>
      <c r="F115" s="79">
        <f t="shared" si="11"/>
        <v>4.0999999999999996</v>
      </c>
      <c r="G115" s="34">
        <f t="shared" si="6"/>
        <v>4.5</v>
      </c>
      <c r="H115" s="43">
        <v>2</v>
      </c>
      <c r="I115" s="34">
        <f t="shared" si="9"/>
        <v>9</v>
      </c>
      <c r="J115" s="34"/>
      <c r="K115" s="34"/>
      <c r="L115" s="34"/>
      <c r="M115" s="34"/>
      <c r="N115" s="34"/>
      <c r="O115" s="34"/>
      <c r="P115" s="34">
        <f t="shared" si="7"/>
        <v>4.5999999999999996</v>
      </c>
      <c r="Q115" s="34">
        <v>2</v>
      </c>
      <c r="R115" s="281">
        <f t="shared" si="8"/>
        <v>9.1999999999999993</v>
      </c>
      <c r="S115" s="282"/>
    </row>
    <row r="116" spans="1:19">
      <c r="A116" s="62" t="str">
        <f>'1. 소켓인수검사'!A115</f>
        <v>107</v>
      </c>
      <c r="B116" s="43">
        <f>'1. 소켓인수검사'!C115</f>
        <v>1250</v>
      </c>
      <c r="C116" s="43">
        <f>'1. 소켓인수검사'!D115</f>
        <v>800</v>
      </c>
      <c r="D116" s="66" t="s">
        <v>59</v>
      </c>
      <c r="E116" s="79">
        <f t="shared" si="10"/>
        <v>1</v>
      </c>
      <c r="F116" s="79">
        <f t="shared" si="11"/>
        <v>4.0999999999999996</v>
      </c>
      <c r="G116" s="34">
        <f t="shared" si="6"/>
        <v>4.5</v>
      </c>
      <c r="H116" s="43">
        <v>2</v>
      </c>
      <c r="I116" s="34">
        <f t="shared" si="9"/>
        <v>9</v>
      </c>
      <c r="J116" s="34"/>
      <c r="K116" s="34"/>
      <c r="L116" s="34"/>
      <c r="M116" s="34"/>
      <c r="N116" s="34"/>
      <c r="O116" s="34"/>
      <c r="P116" s="34">
        <f t="shared" si="7"/>
        <v>4.5999999999999996</v>
      </c>
      <c r="Q116" s="34">
        <v>2</v>
      </c>
      <c r="R116" s="281">
        <f t="shared" si="8"/>
        <v>9.1999999999999993</v>
      </c>
      <c r="S116" s="282"/>
    </row>
    <row r="117" spans="1:19">
      <c r="A117" s="62" t="str">
        <f>'1. 소켓인수검사'!A116</f>
        <v>108</v>
      </c>
      <c r="B117" s="43">
        <f>'1. 소켓인수검사'!C116</f>
        <v>1250</v>
      </c>
      <c r="C117" s="43">
        <f>'1. 소켓인수검사'!D116</f>
        <v>800</v>
      </c>
      <c r="D117" s="66" t="s">
        <v>59</v>
      </c>
      <c r="E117" s="79">
        <f t="shared" si="10"/>
        <v>1</v>
      </c>
      <c r="F117" s="79">
        <f t="shared" si="11"/>
        <v>4.0999999999999996</v>
      </c>
      <c r="G117" s="34">
        <f t="shared" si="6"/>
        <v>4.5</v>
      </c>
      <c r="H117" s="43">
        <v>2</v>
      </c>
      <c r="I117" s="34">
        <f t="shared" si="9"/>
        <v>9</v>
      </c>
      <c r="J117" s="34"/>
      <c r="K117" s="34"/>
      <c r="L117" s="34"/>
      <c r="M117" s="34"/>
      <c r="N117" s="34"/>
      <c r="O117" s="34"/>
      <c r="P117" s="34">
        <f t="shared" si="7"/>
        <v>4.5999999999999996</v>
      </c>
      <c r="Q117" s="34">
        <v>2</v>
      </c>
      <c r="R117" s="281">
        <f t="shared" si="8"/>
        <v>9.1999999999999993</v>
      </c>
      <c r="S117" s="282"/>
    </row>
    <row r="118" spans="1:19">
      <c r="A118" s="62" t="str">
        <f>'1. 소켓인수검사'!A117</f>
        <v>109</v>
      </c>
      <c r="B118" s="43">
        <f>'1. 소켓인수검사'!C117</f>
        <v>1250</v>
      </c>
      <c r="C118" s="43">
        <f>'1. 소켓인수검사'!D117</f>
        <v>800</v>
      </c>
      <c r="D118" s="66" t="s">
        <v>59</v>
      </c>
      <c r="E118" s="79">
        <f t="shared" si="10"/>
        <v>1</v>
      </c>
      <c r="F118" s="79">
        <f t="shared" si="11"/>
        <v>4.0999999999999996</v>
      </c>
      <c r="G118" s="34">
        <f t="shared" ref="G118:G119" si="14">(F118+0.4)</f>
        <v>4.5</v>
      </c>
      <c r="H118" s="43">
        <v>2</v>
      </c>
      <c r="I118" s="34">
        <f t="shared" si="9"/>
        <v>9</v>
      </c>
      <c r="J118" s="34"/>
      <c r="K118" s="34"/>
      <c r="L118" s="34"/>
      <c r="M118" s="34"/>
      <c r="N118" s="34"/>
      <c r="O118" s="34"/>
      <c r="P118" s="34">
        <f t="shared" ref="P118:P119" si="15">F118+0.5</f>
        <v>4.5999999999999996</v>
      </c>
      <c r="Q118" s="34">
        <v>2</v>
      </c>
      <c r="R118" s="281">
        <f t="shared" si="8"/>
        <v>9.1999999999999993</v>
      </c>
      <c r="S118" s="282"/>
    </row>
    <row r="119" spans="1:19">
      <c r="A119" s="62" t="str">
        <f>'1. 소켓인수검사'!A118</f>
        <v>110</v>
      </c>
      <c r="B119" s="43">
        <f>'1. 소켓인수검사'!C118</f>
        <v>1250</v>
      </c>
      <c r="C119" s="43">
        <f>'1. 소켓인수검사'!D118</f>
        <v>800</v>
      </c>
      <c r="D119" s="66" t="s">
        <v>59</v>
      </c>
      <c r="E119" s="79">
        <f t="shared" si="2"/>
        <v>1</v>
      </c>
      <c r="F119" s="79">
        <f t="shared" si="3"/>
        <v>4.0999999999999996</v>
      </c>
      <c r="G119" s="34">
        <f t="shared" si="14"/>
        <v>4.5</v>
      </c>
      <c r="H119" s="43">
        <v>2</v>
      </c>
      <c r="I119" s="34">
        <f t="shared" si="9"/>
        <v>9</v>
      </c>
      <c r="J119" s="34"/>
      <c r="K119" s="34"/>
      <c r="L119" s="34"/>
      <c r="M119" s="34"/>
      <c r="N119" s="34"/>
      <c r="O119" s="34"/>
      <c r="P119" s="34">
        <f t="shared" si="15"/>
        <v>4.5999999999999996</v>
      </c>
      <c r="Q119" s="34">
        <v>2</v>
      </c>
      <c r="R119" s="281">
        <f t="shared" ref="R119" si="16">P119*Q119</f>
        <v>9.1999999999999993</v>
      </c>
      <c r="S119" s="282"/>
    </row>
    <row r="120" spans="1:19">
      <c r="A120" s="288" t="s">
        <v>3</v>
      </c>
      <c r="B120" s="289"/>
      <c r="C120" s="289"/>
      <c r="D120" s="289"/>
      <c r="E120" s="289"/>
      <c r="F120" s="290"/>
      <c r="G120" s="41"/>
      <c r="H120" s="54"/>
      <c r="I120" s="87">
        <f>SUM(I10:I119)</f>
        <v>526.20000000000005</v>
      </c>
      <c r="J120" s="41"/>
      <c r="K120" s="41"/>
      <c r="L120" s="87">
        <f>SUM(L10:L119)</f>
        <v>0</v>
      </c>
      <c r="M120" s="41"/>
      <c r="N120" s="41"/>
      <c r="O120" s="87">
        <f>SUM(O10:O119)</f>
        <v>610.39999999999975</v>
      </c>
      <c r="P120" s="41"/>
      <c r="Q120" s="41"/>
      <c r="R120" s="291">
        <f>SUM(R10:S119)</f>
        <v>539.39999999999964</v>
      </c>
      <c r="S120" s="292"/>
    </row>
    <row r="121" spans="1:19" ht="17.25" customHeight="1">
      <c r="A121" s="295" t="s">
        <v>13</v>
      </c>
      <c r="B121" s="296"/>
      <c r="C121" s="296"/>
      <c r="D121" s="296"/>
      <c r="E121" s="296"/>
      <c r="F121" s="297"/>
      <c r="G121" s="298">
        <f>I120/20</f>
        <v>26.310000000000002</v>
      </c>
      <c r="H121" s="299"/>
      <c r="I121" s="299"/>
      <c r="J121" s="299"/>
      <c r="K121" s="299"/>
      <c r="L121" s="299"/>
      <c r="M121" s="299"/>
      <c r="N121" s="299"/>
      <c r="O121" s="299"/>
      <c r="P121" s="299"/>
      <c r="Q121" s="299"/>
      <c r="R121" s="299"/>
      <c r="S121" s="300"/>
    </row>
    <row r="122" spans="1:19">
      <c r="A122" s="295" t="s">
        <v>12</v>
      </c>
      <c r="B122" s="296"/>
      <c r="C122" s="296"/>
      <c r="D122" s="296"/>
      <c r="E122" s="296"/>
      <c r="F122" s="297"/>
      <c r="G122" s="298">
        <f>L120/3.6</f>
        <v>0</v>
      </c>
      <c r="H122" s="299"/>
      <c r="I122" s="299"/>
      <c r="J122" s="299"/>
      <c r="K122" s="299"/>
      <c r="L122" s="299"/>
      <c r="M122" s="299"/>
      <c r="N122" s="299"/>
      <c r="O122" s="299"/>
      <c r="P122" s="299"/>
      <c r="Q122" s="299"/>
      <c r="R122" s="299"/>
      <c r="S122" s="300"/>
    </row>
    <row r="123" spans="1:19">
      <c r="A123" s="301" t="s">
        <v>100</v>
      </c>
      <c r="B123" s="296"/>
      <c r="C123" s="296"/>
      <c r="D123" s="296"/>
      <c r="E123" s="296"/>
      <c r="F123" s="297"/>
      <c r="G123" s="298">
        <f>O120/7.4</f>
        <v>82.486486486486456</v>
      </c>
      <c r="H123" s="299"/>
      <c r="I123" s="299"/>
      <c r="J123" s="299"/>
      <c r="K123" s="299"/>
      <c r="L123" s="299"/>
      <c r="M123" s="299"/>
      <c r="N123" s="299"/>
      <c r="O123" s="299"/>
      <c r="P123" s="299"/>
      <c r="Q123" s="299"/>
      <c r="R123" s="299"/>
      <c r="S123" s="300"/>
    </row>
    <row r="124" spans="1:19">
      <c r="A124" s="295" t="s">
        <v>14</v>
      </c>
      <c r="B124" s="296"/>
      <c r="C124" s="296"/>
      <c r="D124" s="296"/>
      <c r="E124" s="296"/>
      <c r="F124" s="297"/>
      <c r="G124" s="298">
        <f>R120/3.6</f>
        <v>149.83333333333323</v>
      </c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300"/>
    </row>
    <row r="125" spans="1:19" ht="8.1" customHeight="1">
      <c r="A125" s="188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</row>
    <row r="126" spans="1:19">
      <c r="A126" s="1" t="s">
        <v>58</v>
      </c>
      <c r="B126" s="1"/>
      <c r="C126" s="293"/>
      <c r="D126" s="294"/>
      <c r="E126" s="294"/>
      <c r="F126" s="294"/>
      <c r="G126" s="294"/>
      <c r="H126" s="294"/>
      <c r="I126" s="294"/>
      <c r="J126" s="294"/>
      <c r="K126" s="294"/>
      <c r="L126" s="294"/>
      <c r="M126" s="294"/>
      <c r="N126" s="294"/>
      <c r="O126" s="294"/>
      <c r="P126" s="294"/>
      <c r="Q126" s="294"/>
      <c r="R126" s="294"/>
      <c r="S126" s="294"/>
    </row>
    <row r="127" spans="1:19">
      <c r="A127" s="1"/>
      <c r="B127" s="1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294"/>
      <c r="P127" s="294"/>
      <c r="Q127" s="294"/>
      <c r="R127" s="294"/>
      <c r="S127" s="294"/>
    </row>
    <row r="128" spans="1:19">
      <c r="A128" s="1"/>
      <c r="B128" s="1"/>
      <c r="C128" s="294"/>
      <c r="D128" s="294"/>
      <c r="E128" s="294"/>
      <c r="F128" s="294"/>
      <c r="G128" s="294"/>
      <c r="H128" s="294"/>
      <c r="I128" s="294"/>
      <c r="J128" s="294"/>
      <c r="K128" s="294"/>
      <c r="L128" s="294"/>
      <c r="M128" s="294"/>
      <c r="N128" s="294"/>
      <c r="O128" s="294"/>
      <c r="P128" s="294"/>
      <c r="Q128" s="294"/>
      <c r="R128" s="294"/>
      <c r="S128" s="294"/>
    </row>
    <row r="129" spans="1:19">
      <c r="A129" s="1"/>
      <c r="B129" s="1"/>
      <c r="C129" s="294"/>
      <c r="D129" s="294"/>
      <c r="E129" s="294"/>
      <c r="F129" s="294"/>
      <c r="G129" s="294"/>
      <c r="H129" s="294"/>
      <c r="I129" s="294"/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</row>
  </sheetData>
  <mergeCells count="149">
    <mergeCell ref="A126:B129"/>
    <mergeCell ref="C126:S129"/>
    <mergeCell ref="A121:F121"/>
    <mergeCell ref="G121:S121"/>
    <mergeCell ref="A122:F122"/>
    <mergeCell ref="G122:S122"/>
    <mergeCell ref="A123:F123"/>
    <mergeCell ref="G123:S123"/>
    <mergeCell ref="A124:F124"/>
    <mergeCell ref="G124:S124"/>
    <mergeCell ref="A125:S125"/>
    <mergeCell ref="A120:F120"/>
    <mergeCell ref="R120:S120"/>
    <mergeCell ref="R114:S114"/>
    <mergeCell ref="R115:S115"/>
    <mergeCell ref="R116:S116"/>
    <mergeCell ref="R117:S117"/>
    <mergeCell ref="R118:S118"/>
    <mergeCell ref="R119:S119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96:S96"/>
    <mergeCell ref="R97:S97"/>
    <mergeCell ref="R98:S98"/>
    <mergeCell ref="R99:S99"/>
    <mergeCell ref="R100:S100"/>
    <mergeCell ref="R101:S101"/>
    <mergeCell ref="R102:S102"/>
    <mergeCell ref="R103:S103"/>
    <mergeCell ref="R104:S104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54:S54"/>
    <mergeCell ref="R55:S55"/>
    <mergeCell ref="R56:S56"/>
    <mergeCell ref="R57:S57"/>
    <mergeCell ref="R58:S58"/>
    <mergeCell ref="R59:S59"/>
    <mergeCell ref="R50:S50"/>
    <mergeCell ref="R51:S51"/>
    <mergeCell ref="R52:S52"/>
    <mergeCell ref="R53:S53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10:S10"/>
    <mergeCell ref="R11:S11"/>
    <mergeCell ref="R12:S12"/>
    <mergeCell ref="R13:S13"/>
    <mergeCell ref="A7:S7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A1:C3"/>
    <mergeCell ref="D1:Q4"/>
    <mergeCell ref="R1:R4"/>
    <mergeCell ref="S2:S4"/>
    <mergeCell ref="A4:B4"/>
    <mergeCell ref="A5:B6"/>
    <mergeCell ref="C5:C6"/>
    <mergeCell ref="E5:F5"/>
    <mergeCell ref="G5:G6"/>
    <mergeCell ref="H5:K6"/>
    <mergeCell ref="L5:L6"/>
    <mergeCell ref="O5:O6"/>
    <mergeCell ref="P5:S6"/>
    <mergeCell ref="E6:F6"/>
  </mergeCells>
  <phoneticPr fontId="31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124"/>
  <sheetViews>
    <sheetView tabSelected="1" zoomScale="85" zoomScaleNormal="85" zoomScaleSheetLayoutView="85" workbookViewId="0">
      <pane xSplit="4" ySplit="6" topLeftCell="E70" activePane="bottomRight" state="frozen"/>
      <selection pane="topRight"/>
      <selection pane="bottomLeft"/>
      <selection pane="bottomRight" activeCell="X106" sqref="X106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"/>
      <c r="B1" s="1"/>
      <c r="C1" s="1"/>
      <c r="D1" s="1"/>
      <c r="E1" s="106" t="s">
        <v>8</v>
      </c>
      <c r="F1" s="306" t="s">
        <v>86</v>
      </c>
      <c r="G1" s="306"/>
      <c r="H1" s="306"/>
      <c r="I1" s="306"/>
      <c r="J1" s="306"/>
      <c r="K1" s="195" t="str">
        <f>'1. 소켓인수검사'!R2</f>
        <v xml:space="preserve">26.04.24 그린산업_ 일우엠이씨_GS건설_아산탕정자이퍼스트시티 </v>
      </c>
      <c r="L1" s="195"/>
      <c r="M1" s="195"/>
      <c r="N1" s="195"/>
      <c r="O1" s="195"/>
      <c r="P1" s="195"/>
      <c r="Q1" s="195"/>
      <c r="R1" s="195"/>
      <c r="S1" s="195"/>
      <c r="T1" s="195"/>
      <c r="U1" s="196"/>
    </row>
    <row r="2" spans="1:21" ht="16.5" customHeight="1">
      <c r="A2" s="1"/>
      <c r="B2" s="1"/>
      <c r="C2" s="1"/>
      <c r="D2" s="1"/>
      <c r="E2" s="105"/>
      <c r="F2" s="307"/>
      <c r="G2" s="307"/>
      <c r="H2" s="307"/>
      <c r="I2" s="307"/>
      <c r="J2" s="30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8"/>
    </row>
    <row r="3" spans="1:21" ht="24" customHeight="1">
      <c r="A3" s="1"/>
      <c r="B3" s="1"/>
      <c r="C3" s="1"/>
      <c r="D3" s="1"/>
      <c r="E3" s="107"/>
      <c r="F3" s="308"/>
      <c r="G3" s="308"/>
      <c r="H3" s="308"/>
      <c r="I3" s="308"/>
      <c r="J3" s="308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200"/>
    </row>
    <row r="4" spans="1:21" ht="8.1" customHeight="1">
      <c r="A4" s="190"/>
      <c r="B4" s="191"/>
      <c r="C4" s="191"/>
      <c r="D4" s="191"/>
      <c r="E4" s="191"/>
      <c r="F4" s="191"/>
      <c r="G4" s="191"/>
      <c r="H4" s="190"/>
      <c r="I4" s="191"/>
      <c r="J4" s="191"/>
      <c r="K4" s="191"/>
      <c r="L4" s="191"/>
      <c r="M4" s="191"/>
      <c r="N4" s="191"/>
      <c r="O4" s="191"/>
      <c r="P4" s="191"/>
      <c r="Q4" s="3"/>
      <c r="S4" s="3"/>
      <c r="T4" s="3"/>
      <c r="U4" s="3"/>
    </row>
    <row r="5" spans="1:21" ht="16.5" customHeight="1">
      <c r="A5" s="133" t="s">
        <v>70</v>
      </c>
      <c r="B5" s="309" t="s">
        <v>41</v>
      </c>
      <c r="C5" s="284" t="s">
        <v>77</v>
      </c>
      <c r="D5" s="284" t="s">
        <v>75</v>
      </c>
      <c r="E5" s="284" t="s">
        <v>25</v>
      </c>
      <c r="F5" s="284" t="s">
        <v>65</v>
      </c>
      <c r="G5" s="284" t="s">
        <v>72</v>
      </c>
      <c r="H5" s="284" t="s">
        <v>47</v>
      </c>
      <c r="I5" s="284" t="s">
        <v>24</v>
      </c>
      <c r="J5" s="284"/>
      <c r="K5" s="284" t="s">
        <v>0</v>
      </c>
      <c r="L5" s="284"/>
      <c r="M5" s="284" t="s">
        <v>0</v>
      </c>
      <c r="N5" s="284"/>
      <c r="O5" s="284" t="s">
        <v>0</v>
      </c>
      <c r="P5" s="284"/>
      <c r="Q5" s="311" t="s">
        <v>64</v>
      </c>
      <c r="R5" s="311"/>
      <c r="S5" s="312" t="s">
        <v>31</v>
      </c>
      <c r="T5" s="312" t="s">
        <v>69</v>
      </c>
      <c r="U5" s="302" t="s">
        <v>18</v>
      </c>
    </row>
    <row r="6" spans="1:21" ht="26.45" customHeight="1">
      <c r="A6" s="283"/>
      <c r="B6" s="310"/>
      <c r="C6" s="285"/>
      <c r="D6" s="285"/>
      <c r="E6" s="285"/>
      <c r="F6" s="285"/>
      <c r="G6" s="285"/>
      <c r="H6" s="285"/>
      <c r="I6" s="83" t="s">
        <v>9</v>
      </c>
      <c r="J6" s="42" t="s">
        <v>68</v>
      </c>
      <c r="K6" s="83" t="s">
        <v>87</v>
      </c>
      <c r="L6" s="42" t="s">
        <v>68</v>
      </c>
      <c r="M6" s="83" t="s">
        <v>38</v>
      </c>
      <c r="N6" s="42" t="s">
        <v>68</v>
      </c>
      <c r="O6" s="83" t="s">
        <v>42</v>
      </c>
      <c r="P6" s="42" t="s">
        <v>68</v>
      </c>
      <c r="Q6" s="83" t="s">
        <v>66</v>
      </c>
      <c r="R6" s="42" t="s">
        <v>78</v>
      </c>
      <c r="S6" s="313"/>
      <c r="T6" s="313"/>
      <c r="U6" s="303"/>
    </row>
    <row r="7" spans="1:21">
      <c r="A7" s="62" t="str">
        <f>'1. 소켓인수검사'!A9</f>
        <v>01</v>
      </c>
      <c r="B7" s="84" t="s">
        <v>44</v>
      </c>
      <c r="C7" s="43">
        <f>'1. 소켓인수검사'!C9</f>
        <v>850</v>
      </c>
      <c r="D7" s="43">
        <f>'1. 소켓인수검사'!D9</f>
        <v>550</v>
      </c>
      <c r="E7" s="44"/>
      <c r="F7" s="45">
        <f t="shared" ref="F7:F50" si="0">C7*D7/1000000</f>
        <v>0.46750000000000003</v>
      </c>
      <c r="G7" s="45">
        <f t="shared" ref="G7:G50" si="1">(C7+D7)*2/1000</f>
        <v>2.8</v>
      </c>
      <c r="H7" s="50">
        <v>2</v>
      </c>
      <c r="I7" s="83"/>
      <c r="J7" s="42"/>
      <c r="K7" s="34">
        <f t="shared" ref="K7:K32" si="2">G7+0.5</f>
        <v>3.3</v>
      </c>
      <c r="L7" s="42">
        <v>4</v>
      </c>
      <c r="M7" s="34"/>
      <c r="N7" s="42"/>
      <c r="O7" s="34"/>
      <c r="P7" s="42"/>
      <c r="Q7" s="46">
        <f t="shared" ref="Q7:Q50" si="3">(((C7+60)+250+(D7+60))*2/1000)*2</f>
        <v>7.08</v>
      </c>
      <c r="R7" s="314">
        <f>Q7</f>
        <v>7.08</v>
      </c>
      <c r="S7" s="47" t="s">
        <v>55</v>
      </c>
      <c r="T7" s="48" t="s">
        <v>6</v>
      </c>
      <c r="U7" s="49">
        <f>'1. 소켓인수검사'!G9</f>
        <v>0</v>
      </c>
    </row>
    <row r="8" spans="1:21">
      <c r="A8" s="62" t="str">
        <f>'1. 소켓인수검사'!A10</f>
        <v>02</v>
      </c>
      <c r="B8" s="84" t="s">
        <v>44</v>
      </c>
      <c r="C8" s="43">
        <f>'1. 소켓인수검사'!C10</f>
        <v>850</v>
      </c>
      <c r="D8" s="43">
        <f>'1. 소켓인수검사'!D10</f>
        <v>550</v>
      </c>
      <c r="E8" s="44"/>
      <c r="F8" s="45">
        <f t="shared" si="0"/>
        <v>0.46750000000000003</v>
      </c>
      <c r="G8" s="45">
        <f t="shared" si="1"/>
        <v>2.8</v>
      </c>
      <c r="H8" s="50">
        <v>2</v>
      </c>
      <c r="I8" s="83"/>
      <c r="J8" s="42"/>
      <c r="K8" s="34">
        <f t="shared" si="2"/>
        <v>3.3</v>
      </c>
      <c r="L8" s="42">
        <v>4</v>
      </c>
      <c r="M8" s="34"/>
      <c r="N8" s="42"/>
      <c r="O8" s="34"/>
      <c r="P8" s="42"/>
      <c r="Q8" s="46">
        <f t="shared" si="3"/>
        <v>7.08</v>
      </c>
      <c r="R8" s="314">
        <f t="shared" ref="R8:R71" si="4">Q8</f>
        <v>7.08</v>
      </c>
      <c r="S8" s="47" t="s">
        <v>55</v>
      </c>
      <c r="T8" s="48" t="s">
        <v>6</v>
      </c>
      <c r="U8" s="49">
        <f>'1. 소켓인수검사'!G10</f>
        <v>0</v>
      </c>
    </row>
    <row r="9" spans="1:21">
      <c r="A9" s="62" t="str">
        <f>'1. 소켓인수검사'!A11</f>
        <v>03</v>
      </c>
      <c r="B9" s="84" t="s">
        <v>44</v>
      </c>
      <c r="C9" s="43">
        <f>'1. 소켓인수검사'!C11</f>
        <v>850</v>
      </c>
      <c r="D9" s="43">
        <f>'1. 소켓인수검사'!D11</f>
        <v>550</v>
      </c>
      <c r="E9" s="44"/>
      <c r="F9" s="45">
        <f t="shared" si="0"/>
        <v>0.46750000000000003</v>
      </c>
      <c r="G9" s="45">
        <f t="shared" si="1"/>
        <v>2.8</v>
      </c>
      <c r="H9" s="50">
        <v>2</v>
      </c>
      <c r="I9" s="83"/>
      <c r="J9" s="42"/>
      <c r="K9" s="34">
        <f t="shared" si="2"/>
        <v>3.3</v>
      </c>
      <c r="L9" s="42">
        <v>4</v>
      </c>
      <c r="M9" s="34"/>
      <c r="N9" s="42"/>
      <c r="O9" s="34"/>
      <c r="P9" s="42"/>
      <c r="Q9" s="46">
        <f t="shared" si="3"/>
        <v>7.08</v>
      </c>
      <c r="R9" s="314">
        <f t="shared" si="4"/>
        <v>7.08</v>
      </c>
      <c r="S9" s="47" t="s">
        <v>55</v>
      </c>
      <c r="T9" s="48" t="s">
        <v>6</v>
      </c>
      <c r="U9" s="49">
        <f>'1. 소켓인수검사'!G11</f>
        <v>0</v>
      </c>
    </row>
    <row r="10" spans="1:21">
      <c r="A10" s="62" t="str">
        <f>'1. 소켓인수검사'!A12</f>
        <v>04</v>
      </c>
      <c r="B10" s="84" t="s">
        <v>44</v>
      </c>
      <c r="C10" s="43">
        <f>'1. 소켓인수검사'!C12</f>
        <v>850</v>
      </c>
      <c r="D10" s="43">
        <f>'1. 소켓인수검사'!D12</f>
        <v>550</v>
      </c>
      <c r="E10" s="44"/>
      <c r="F10" s="45">
        <f t="shared" si="0"/>
        <v>0.46750000000000003</v>
      </c>
      <c r="G10" s="45">
        <f t="shared" si="1"/>
        <v>2.8</v>
      </c>
      <c r="H10" s="50">
        <v>2</v>
      </c>
      <c r="I10" s="83"/>
      <c r="J10" s="42"/>
      <c r="K10" s="34">
        <f t="shared" si="2"/>
        <v>3.3</v>
      </c>
      <c r="L10" s="42">
        <v>4</v>
      </c>
      <c r="M10" s="34"/>
      <c r="N10" s="42"/>
      <c r="O10" s="34"/>
      <c r="P10" s="42"/>
      <c r="Q10" s="46">
        <f t="shared" si="3"/>
        <v>7.08</v>
      </c>
      <c r="R10" s="314">
        <f t="shared" si="4"/>
        <v>7.08</v>
      </c>
      <c r="S10" s="47" t="s">
        <v>55</v>
      </c>
      <c r="T10" s="48" t="s">
        <v>6</v>
      </c>
      <c r="U10" s="49">
        <f>'1. 소켓인수검사'!G12</f>
        <v>0</v>
      </c>
    </row>
    <row r="11" spans="1:21">
      <c r="A11" s="62" t="str">
        <f>'1. 소켓인수검사'!A13</f>
        <v>05</v>
      </c>
      <c r="B11" s="84" t="s">
        <v>44</v>
      </c>
      <c r="C11" s="43">
        <f>'1. 소켓인수검사'!C13</f>
        <v>900</v>
      </c>
      <c r="D11" s="43">
        <f>'1. 소켓인수검사'!D13</f>
        <v>550</v>
      </c>
      <c r="E11" s="44"/>
      <c r="F11" s="45">
        <f t="shared" si="0"/>
        <v>0.495</v>
      </c>
      <c r="G11" s="45">
        <f t="shared" si="1"/>
        <v>2.9</v>
      </c>
      <c r="H11" s="50">
        <v>2</v>
      </c>
      <c r="I11" s="83"/>
      <c r="J11" s="42"/>
      <c r="K11" s="34">
        <f t="shared" si="2"/>
        <v>3.4</v>
      </c>
      <c r="L11" s="42">
        <v>4</v>
      </c>
      <c r="M11" s="34"/>
      <c r="N11" s="42"/>
      <c r="O11" s="34"/>
      <c r="P11" s="42"/>
      <c r="Q11" s="46">
        <f t="shared" si="3"/>
        <v>7.28</v>
      </c>
      <c r="R11" s="314">
        <f t="shared" si="4"/>
        <v>7.28</v>
      </c>
      <c r="S11" s="47" t="s">
        <v>55</v>
      </c>
      <c r="T11" s="48" t="s">
        <v>6</v>
      </c>
      <c r="U11" s="49">
        <f>'1. 소켓인수검사'!G13</f>
        <v>0</v>
      </c>
    </row>
    <row r="12" spans="1:21">
      <c r="A12" s="62" t="str">
        <f>'1. 소켓인수검사'!A14</f>
        <v>06</v>
      </c>
      <c r="B12" s="84" t="s">
        <v>44</v>
      </c>
      <c r="C12" s="43">
        <f>'1. 소켓인수검사'!C14</f>
        <v>900</v>
      </c>
      <c r="D12" s="43">
        <f>'1. 소켓인수검사'!D14</f>
        <v>550</v>
      </c>
      <c r="E12" s="44"/>
      <c r="F12" s="45">
        <f t="shared" si="0"/>
        <v>0.495</v>
      </c>
      <c r="G12" s="45">
        <f t="shared" si="1"/>
        <v>2.9</v>
      </c>
      <c r="H12" s="50">
        <v>2</v>
      </c>
      <c r="I12" s="83"/>
      <c r="J12" s="42"/>
      <c r="K12" s="34">
        <f t="shared" si="2"/>
        <v>3.4</v>
      </c>
      <c r="L12" s="42">
        <v>4</v>
      </c>
      <c r="M12" s="34"/>
      <c r="N12" s="42"/>
      <c r="O12" s="34"/>
      <c r="P12" s="42"/>
      <c r="Q12" s="46">
        <f t="shared" si="3"/>
        <v>7.28</v>
      </c>
      <c r="R12" s="314">
        <f t="shared" si="4"/>
        <v>7.28</v>
      </c>
      <c r="S12" s="47" t="s">
        <v>55</v>
      </c>
      <c r="T12" s="48" t="s">
        <v>6</v>
      </c>
      <c r="U12" s="49">
        <f>'1. 소켓인수검사'!G14</f>
        <v>0</v>
      </c>
    </row>
    <row r="13" spans="1:21">
      <c r="A13" s="62" t="str">
        <f>'1. 소켓인수검사'!A15</f>
        <v>07</v>
      </c>
      <c r="B13" s="84" t="s">
        <v>44</v>
      </c>
      <c r="C13" s="43">
        <f>'1. 소켓인수검사'!C15</f>
        <v>900</v>
      </c>
      <c r="D13" s="43">
        <f>'1. 소켓인수검사'!D15</f>
        <v>550</v>
      </c>
      <c r="E13" s="44"/>
      <c r="F13" s="45">
        <f t="shared" si="0"/>
        <v>0.495</v>
      </c>
      <c r="G13" s="45">
        <f t="shared" si="1"/>
        <v>2.9</v>
      </c>
      <c r="H13" s="50">
        <v>2</v>
      </c>
      <c r="I13" s="83"/>
      <c r="J13" s="42"/>
      <c r="K13" s="34">
        <f t="shared" si="2"/>
        <v>3.4</v>
      </c>
      <c r="L13" s="42">
        <v>4</v>
      </c>
      <c r="M13" s="34"/>
      <c r="N13" s="42"/>
      <c r="O13" s="34"/>
      <c r="P13" s="42"/>
      <c r="Q13" s="46">
        <f t="shared" si="3"/>
        <v>7.28</v>
      </c>
      <c r="R13" s="314">
        <f t="shared" si="4"/>
        <v>7.28</v>
      </c>
      <c r="S13" s="47" t="s">
        <v>55</v>
      </c>
      <c r="T13" s="48" t="s">
        <v>6</v>
      </c>
      <c r="U13" s="49">
        <f>'1. 소켓인수검사'!G15</f>
        <v>0</v>
      </c>
    </row>
    <row r="14" spans="1:21">
      <c r="A14" s="62" t="str">
        <f>'1. 소켓인수검사'!A16</f>
        <v>08</v>
      </c>
      <c r="B14" s="84" t="s">
        <v>44</v>
      </c>
      <c r="C14" s="43">
        <f>'1. 소켓인수검사'!C16</f>
        <v>900</v>
      </c>
      <c r="D14" s="43">
        <f>'1. 소켓인수검사'!D16</f>
        <v>550</v>
      </c>
      <c r="E14" s="44"/>
      <c r="F14" s="45">
        <f t="shared" si="0"/>
        <v>0.495</v>
      </c>
      <c r="G14" s="45">
        <f t="shared" si="1"/>
        <v>2.9</v>
      </c>
      <c r="H14" s="50">
        <v>2</v>
      </c>
      <c r="I14" s="83"/>
      <c r="J14" s="42"/>
      <c r="K14" s="34">
        <f t="shared" si="2"/>
        <v>3.4</v>
      </c>
      <c r="L14" s="42">
        <v>4</v>
      </c>
      <c r="M14" s="34"/>
      <c r="N14" s="42"/>
      <c r="O14" s="34"/>
      <c r="P14" s="42"/>
      <c r="Q14" s="46">
        <f t="shared" si="3"/>
        <v>7.28</v>
      </c>
      <c r="R14" s="314">
        <f t="shared" si="4"/>
        <v>7.28</v>
      </c>
      <c r="S14" s="47" t="s">
        <v>55</v>
      </c>
      <c r="T14" s="48" t="s">
        <v>6</v>
      </c>
      <c r="U14" s="49">
        <f>'1. 소켓인수검사'!G16</f>
        <v>0</v>
      </c>
    </row>
    <row r="15" spans="1:21">
      <c r="A15" s="62" t="str">
        <f>'1. 소켓인수검사'!A17</f>
        <v>09</v>
      </c>
      <c r="B15" s="84" t="s">
        <v>44</v>
      </c>
      <c r="C15" s="43">
        <f>'1. 소켓인수검사'!C17</f>
        <v>900</v>
      </c>
      <c r="D15" s="43">
        <f>'1. 소켓인수검사'!D17</f>
        <v>550</v>
      </c>
      <c r="E15" s="44"/>
      <c r="F15" s="45">
        <f t="shared" si="0"/>
        <v>0.495</v>
      </c>
      <c r="G15" s="45">
        <f t="shared" si="1"/>
        <v>2.9</v>
      </c>
      <c r="H15" s="50">
        <v>2</v>
      </c>
      <c r="I15" s="83"/>
      <c r="J15" s="42"/>
      <c r="K15" s="34">
        <f t="shared" si="2"/>
        <v>3.4</v>
      </c>
      <c r="L15" s="42">
        <v>4</v>
      </c>
      <c r="M15" s="34"/>
      <c r="N15" s="42"/>
      <c r="O15" s="34"/>
      <c r="P15" s="42"/>
      <c r="Q15" s="46">
        <f t="shared" si="3"/>
        <v>7.28</v>
      </c>
      <c r="R15" s="314">
        <f t="shared" si="4"/>
        <v>7.28</v>
      </c>
      <c r="S15" s="47" t="s">
        <v>55</v>
      </c>
      <c r="T15" s="48" t="s">
        <v>6</v>
      </c>
      <c r="U15" s="49">
        <f>'1. 소켓인수검사'!G17</f>
        <v>0</v>
      </c>
    </row>
    <row r="16" spans="1:21">
      <c r="A16" s="62" t="str">
        <f>'1. 소켓인수검사'!A18</f>
        <v>10</v>
      </c>
      <c r="B16" s="84" t="s">
        <v>44</v>
      </c>
      <c r="C16" s="43">
        <f>'1. 소켓인수검사'!C18</f>
        <v>900</v>
      </c>
      <c r="D16" s="43">
        <f>'1. 소켓인수검사'!D18</f>
        <v>550</v>
      </c>
      <c r="E16" s="44"/>
      <c r="F16" s="45">
        <f t="shared" si="0"/>
        <v>0.495</v>
      </c>
      <c r="G16" s="45">
        <f t="shared" si="1"/>
        <v>2.9</v>
      </c>
      <c r="H16" s="50">
        <v>2</v>
      </c>
      <c r="I16" s="83"/>
      <c r="J16" s="42"/>
      <c r="K16" s="34">
        <f t="shared" si="2"/>
        <v>3.4</v>
      </c>
      <c r="L16" s="42">
        <v>4</v>
      </c>
      <c r="M16" s="34"/>
      <c r="N16" s="42"/>
      <c r="O16" s="34"/>
      <c r="P16" s="42"/>
      <c r="Q16" s="46">
        <f t="shared" si="3"/>
        <v>7.28</v>
      </c>
      <c r="R16" s="314">
        <f t="shared" si="4"/>
        <v>7.28</v>
      </c>
      <c r="S16" s="47" t="s">
        <v>55</v>
      </c>
      <c r="T16" s="48" t="s">
        <v>6</v>
      </c>
      <c r="U16" s="49">
        <f>'1. 소켓인수검사'!G18</f>
        <v>0</v>
      </c>
    </row>
    <row r="17" spans="1:21">
      <c r="A17" s="62" t="str">
        <f>'1. 소켓인수검사'!A19</f>
        <v>11</v>
      </c>
      <c r="B17" s="84" t="s">
        <v>44</v>
      </c>
      <c r="C17" s="43">
        <f>'1. 소켓인수검사'!C19</f>
        <v>900</v>
      </c>
      <c r="D17" s="43">
        <f>'1. 소켓인수검사'!D19</f>
        <v>550</v>
      </c>
      <c r="E17" s="44"/>
      <c r="F17" s="45">
        <f t="shared" si="0"/>
        <v>0.495</v>
      </c>
      <c r="G17" s="45">
        <f t="shared" si="1"/>
        <v>2.9</v>
      </c>
      <c r="H17" s="50">
        <v>2</v>
      </c>
      <c r="I17" s="83"/>
      <c r="J17" s="42"/>
      <c r="K17" s="34">
        <f t="shared" si="2"/>
        <v>3.4</v>
      </c>
      <c r="L17" s="42">
        <v>4</v>
      </c>
      <c r="M17" s="34"/>
      <c r="N17" s="42"/>
      <c r="O17" s="34"/>
      <c r="P17" s="42"/>
      <c r="Q17" s="46">
        <f t="shared" si="3"/>
        <v>7.28</v>
      </c>
      <c r="R17" s="314">
        <f t="shared" si="4"/>
        <v>7.28</v>
      </c>
      <c r="S17" s="47" t="s">
        <v>55</v>
      </c>
      <c r="T17" s="48" t="s">
        <v>6</v>
      </c>
      <c r="U17" s="49">
        <f>'1. 소켓인수검사'!G19</f>
        <v>0</v>
      </c>
    </row>
    <row r="18" spans="1:21">
      <c r="A18" s="62" t="str">
        <f>'1. 소켓인수검사'!A20</f>
        <v>12</v>
      </c>
      <c r="B18" s="84" t="s">
        <v>44</v>
      </c>
      <c r="C18" s="43">
        <f>'1. 소켓인수검사'!C20</f>
        <v>900</v>
      </c>
      <c r="D18" s="43">
        <f>'1. 소켓인수검사'!D20</f>
        <v>550</v>
      </c>
      <c r="E18" s="44"/>
      <c r="F18" s="45">
        <f t="shared" si="0"/>
        <v>0.495</v>
      </c>
      <c r="G18" s="45">
        <f t="shared" si="1"/>
        <v>2.9</v>
      </c>
      <c r="H18" s="50">
        <v>2</v>
      </c>
      <c r="I18" s="83"/>
      <c r="J18" s="42"/>
      <c r="K18" s="34">
        <f t="shared" si="2"/>
        <v>3.4</v>
      </c>
      <c r="L18" s="42">
        <v>4</v>
      </c>
      <c r="M18" s="34"/>
      <c r="N18" s="42"/>
      <c r="O18" s="34"/>
      <c r="P18" s="42"/>
      <c r="Q18" s="46">
        <f t="shared" si="3"/>
        <v>7.28</v>
      </c>
      <c r="R18" s="314">
        <f t="shared" si="4"/>
        <v>7.28</v>
      </c>
      <c r="S18" s="47" t="s">
        <v>55</v>
      </c>
      <c r="T18" s="48" t="s">
        <v>6</v>
      </c>
      <c r="U18" s="49">
        <f>'1. 소켓인수검사'!G20</f>
        <v>0</v>
      </c>
    </row>
    <row r="19" spans="1:21">
      <c r="A19" s="62" t="str">
        <f>'1. 소켓인수검사'!A21</f>
        <v>13</v>
      </c>
      <c r="B19" s="84" t="s">
        <v>44</v>
      </c>
      <c r="C19" s="43">
        <f>'1. 소켓인수검사'!C21</f>
        <v>900</v>
      </c>
      <c r="D19" s="43">
        <f>'1. 소켓인수검사'!D21</f>
        <v>550</v>
      </c>
      <c r="E19" s="44"/>
      <c r="F19" s="45">
        <f t="shared" si="0"/>
        <v>0.495</v>
      </c>
      <c r="G19" s="45">
        <f t="shared" si="1"/>
        <v>2.9</v>
      </c>
      <c r="H19" s="50">
        <v>2</v>
      </c>
      <c r="I19" s="83"/>
      <c r="J19" s="42"/>
      <c r="K19" s="34">
        <f t="shared" si="2"/>
        <v>3.4</v>
      </c>
      <c r="L19" s="42">
        <v>4</v>
      </c>
      <c r="M19" s="34"/>
      <c r="N19" s="42"/>
      <c r="O19" s="34"/>
      <c r="P19" s="42"/>
      <c r="Q19" s="46">
        <f t="shared" si="3"/>
        <v>7.28</v>
      </c>
      <c r="R19" s="314">
        <f t="shared" si="4"/>
        <v>7.28</v>
      </c>
      <c r="S19" s="47" t="s">
        <v>55</v>
      </c>
      <c r="T19" s="48" t="s">
        <v>6</v>
      </c>
      <c r="U19" s="49">
        <f>'1. 소켓인수검사'!G21</f>
        <v>0</v>
      </c>
    </row>
    <row r="20" spans="1:21">
      <c r="A20" s="62" t="str">
        <f>'1. 소켓인수검사'!A22</f>
        <v>14</v>
      </c>
      <c r="B20" s="84" t="s">
        <v>44</v>
      </c>
      <c r="C20" s="43">
        <f>'1. 소켓인수검사'!C22</f>
        <v>950</v>
      </c>
      <c r="D20" s="43">
        <f>'1. 소켓인수검사'!D22</f>
        <v>500</v>
      </c>
      <c r="E20" s="44"/>
      <c r="F20" s="45">
        <f t="shared" si="0"/>
        <v>0.47499999999999998</v>
      </c>
      <c r="G20" s="45">
        <f t="shared" si="1"/>
        <v>2.9</v>
      </c>
      <c r="H20" s="50">
        <v>2</v>
      </c>
      <c r="I20" s="83"/>
      <c r="J20" s="42"/>
      <c r="K20" s="34">
        <f t="shared" si="2"/>
        <v>3.4</v>
      </c>
      <c r="L20" s="42">
        <v>4</v>
      </c>
      <c r="M20" s="34"/>
      <c r="N20" s="42"/>
      <c r="O20" s="34"/>
      <c r="P20" s="42"/>
      <c r="Q20" s="46">
        <f t="shared" si="3"/>
        <v>7.28</v>
      </c>
      <c r="R20" s="314">
        <f t="shared" si="4"/>
        <v>7.28</v>
      </c>
      <c r="S20" s="47" t="s">
        <v>55</v>
      </c>
      <c r="T20" s="48" t="s">
        <v>6</v>
      </c>
      <c r="U20" s="49">
        <f>'1. 소켓인수검사'!G22</f>
        <v>0</v>
      </c>
    </row>
    <row r="21" spans="1:21">
      <c r="A21" s="62" t="str">
        <f>'1. 소켓인수검사'!A23</f>
        <v>15</v>
      </c>
      <c r="B21" s="84" t="s">
        <v>44</v>
      </c>
      <c r="C21" s="43">
        <f>'1. 소켓인수검사'!C23</f>
        <v>950</v>
      </c>
      <c r="D21" s="43">
        <f>'1. 소켓인수검사'!D23</f>
        <v>500</v>
      </c>
      <c r="E21" s="44"/>
      <c r="F21" s="45">
        <f t="shared" si="0"/>
        <v>0.47499999999999998</v>
      </c>
      <c r="G21" s="45">
        <f t="shared" si="1"/>
        <v>2.9</v>
      </c>
      <c r="H21" s="50">
        <v>2</v>
      </c>
      <c r="I21" s="83"/>
      <c r="J21" s="42"/>
      <c r="K21" s="34">
        <f t="shared" si="2"/>
        <v>3.4</v>
      </c>
      <c r="L21" s="42">
        <v>4</v>
      </c>
      <c r="M21" s="34"/>
      <c r="N21" s="42"/>
      <c r="O21" s="34"/>
      <c r="P21" s="42"/>
      <c r="Q21" s="46">
        <f t="shared" si="3"/>
        <v>7.28</v>
      </c>
      <c r="R21" s="314">
        <f t="shared" si="4"/>
        <v>7.28</v>
      </c>
      <c r="S21" s="47" t="s">
        <v>55</v>
      </c>
      <c r="T21" s="48" t="s">
        <v>6</v>
      </c>
      <c r="U21" s="49">
        <f>'1. 소켓인수검사'!G23</f>
        <v>0</v>
      </c>
    </row>
    <row r="22" spans="1:21">
      <c r="A22" s="62" t="str">
        <f>'1. 소켓인수검사'!A24</f>
        <v>16</v>
      </c>
      <c r="B22" s="84" t="s">
        <v>44</v>
      </c>
      <c r="C22" s="43">
        <f>'1. 소켓인수검사'!C24</f>
        <v>950</v>
      </c>
      <c r="D22" s="43">
        <f>'1. 소켓인수검사'!D24</f>
        <v>500</v>
      </c>
      <c r="E22" s="44"/>
      <c r="F22" s="45">
        <f t="shared" si="0"/>
        <v>0.47499999999999998</v>
      </c>
      <c r="G22" s="45">
        <f t="shared" si="1"/>
        <v>2.9</v>
      </c>
      <c r="H22" s="50">
        <v>2</v>
      </c>
      <c r="I22" s="83"/>
      <c r="J22" s="42"/>
      <c r="K22" s="34">
        <f t="shared" si="2"/>
        <v>3.4</v>
      </c>
      <c r="L22" s="42">
        <v>4</v>
      </c>
      <c r="M22" s="34"/>
      <c r="N22" s="42"/>
      <c r="O22" s="34"/>
      <c r="P22" s="42"/>
      <c r="Q22" s="46">
        <f t="shared" si="3"/>
        <v>7.28</v>
      </c>
      <c r="R22" s="314">
        <f t="shared" si="4"/>
        <v>7.28</v>
      </c>
      <c r="S22" s="47" t="s">
        <v>55</v>
      </c>
      <c r="T22" s="48" t="s">
        <v>6</v>
      </c>
      <c r="U22" s="49">
        <f>'1. 소켓인수검사'!G24</f>
        <v>0</v>
      </c>
    </row>
    <row r="23" spans="1:21">
      <c r="A23" s="62" t="str">
        <f>'1. 소켓인수검사'!A25</f>
        <v>17</v>
      </c>
      <c r="B23" s="84" t="s">
        <v>44</v>
      </c>
      <c r="C23" s="43">
        <f>'1. 소켓인수검사'!C25</f>
        <v>950</v>
      </c>
      <c r="D23" s="43">
        <f>'1. 소켓인수검사'!D25</f>
        <v>500</v>
      </c>
      <c r="E23" s="44"/>
      <c r="F23" s="45">
        <f t="shared" si="0"/>
        <v>0.47499999999999998</v>
      </c>
      <c r="G23" s="45">
        <f t="shared" si="1"/>
        <v>2.9</v>
      </c>
      <c r="H23" s="50">
        <v>2</v>
      </c>
      <c r="I23" s="83"/>
      <c r="J23" s="42"/>
      <c r="K23" s="34">
        <f t="shared" si="2"/>
        <v>3.4</v>
      </c>
      <c r="L23" s="42">
        <v>4</v>
      </c>
      <c r="M23" s="34"/>
      <c r="N23" s="42"/>
      <c r="O23" s="34"/>
      <c r="P23" s="42"/>
      <c r="Q23" s="46">
        <f t="shared" si="3"/>
        <v>7.28</v>
      </c>
      <c r="R23" s="314">
        <f t="shared" si="4"/>
        <v>7.28</v>
      </c>
      <c r="S23" s="47" t="s">
        <v>55</v>
      </c>
      <c r="T23" s="48" t="s">
        <v>6</v>
      </c>
      <c r="U23" s="49">
        <f>'1. 소켓인수검사'!G25</f>
        <v>0</v>
      </c>
    </row>
    <row r="24" spans="1:21">
      <c r="A24" s="62" t="str">
        <f>'1. 소켓인수검사'!A26</f>
        <v>18</v>
      </c>
      <c r="B24" s="84" t="s">
        <v>44</v>
      </c>
      <c r="C24" s="43">
        <f>'1. 소켓인수검사'!C26</f>
        <v>1000</v>
      </c>
      <c r="D24" s="43">
        <f>'1. 소켓인수검사'!D26</f>
        <v>450</v>
      </c>
      <c r="E24" s="44"/>
      <c r="F24" s="45">
        <f t="shared" si="0"/>
        <v>0.45</v>
      </c>
      <c r="G24" s="45">
        <f t="shared" si="1"/>
        <v>2.9</v>
      </c>
      <c r="H24" s="50">
        <v>2</v>
      </c>
      <c r="I24" s="83"/>
      <c r="J24" s="42"/>
      <c r="K24" s="34">
        <f t="shared" si="2"/>
        <v>3.4</v>
      </c>
      <c r="L24" s="42">
        <v>4</v>
      </c>
      <c r="M24" s="34"/>
      <c r="N24" s="42"/>
      <c r="O24" s="34"/>
      <c r="P24" s="42"/>
      <c r="Q24" s="46">
        <f t="shared" si="3"/>
        <v>7.28</v>
      </c>
      <c r="R24" s="314">
        <f t="shared" si="4"/>
        <v>7.28</v>
      </c>
      <c r="S24" s="47" t="s">
        <v>55</v>
      </c>
      <c r="T24" s="48" t="s">
        <v>6</v>
      </c>
      <c r="U24" s="49">
        <f>'1. 소켓인수검사'!G26</f>
        <v>0</v>
      </c>
    </row>
    <row r="25" spans="1:21">
      <c r="A25" s="62" t="str">
        <f>'1. 소켓인수검사'!A27</f>
        <v>19</v>
      </c>
      <c r="B25" s="84" t="s">
        <v>44</v>
      </c>
      <c r="C25" s="43">
        <f>'1. 소켓인수검사'!C27</f>
        <v>1000</v>
      </c>
      <c r="D25" s="43">
        <f>'1. 소켓인수검사'!D27</f>
        <v>450</v>
      </c>
      <c r="E25" s="44"/>
      <c r="F25" s="45">
        <f t="shared" si="0"/>
        <v>0.45</v>
      </c>
      <c r="G25" s="45">
        <f t="shared" si="1"/>
        <v>2.9</v>
      </c>
      <c r="H25" s="50">
        <v>2</v>
      </c>
      <c r="I25" s="83"/>
      <c r="J25" s="42"/>
      <c r="K25" s="34">
        <f t="shared" si="2"/>
        <v>3.4</v>
      </c>
      <c r="L25" s="42">
        <v>4</v>
      </c>
      <c r="M25" s="34"/>
      <c r="N25" s="42"/>
      <c r="O25" s="34"/>
      <c r="P25" s="42"/>
      <c r="Q25" s="46">
        <f t="shared" si="3"/>
        <v>7.28</v>
      </c>
      <c r="R25" s="314">
        <f t="shared" si="4"/>
        <v>7.28</v>
      </c>
      <c r="S25" s="47" t="s">
        <v>55</v>
      </c>
      <c r="T25" s="48" t="s">
        <v>6</v>
      </c>
      <c r="U25" s="49">
        <f>'1. 소켓인수검사'!G27</f>
        <v>0</v>
      </c>
    </row>
    <row r="26" spans="1:21">
      <c r="A26" s="62" t="str">
        <f>'1. 소켓인수검사'!A28</f>
        <v>20</v>
      </c>
      <c r="B26" s="84" t="s">
        <v>44</v>
      </c>
      <c r="C26" s="43">
        <f>'1. 소켓인수검사'!C28</f>
        <v>1000</v>
      </c>
      <c r="D26" s="43">
        <f>'1. 소켓인수검사'!D28</f>
        <v>450</v>
      </c>
      <c r="E26" s="44"/>
      <c r="F26" s="45">
        <f t="shared" si="0"/>
        <v>0.45</v>
      </c>
      <c r="G26" s="45">
        <f t="shared" si="1"/>
        <v>2.9</v>
      </c>
      <c r="H26" s="50">
        <v>2</v>
      </c>
      <c r="I26" s="83"/>
      <c r="J26" s="42"/>
      <c r="K26" s="34">
        <f t="shared" si="2"/>
        <v>3.4</v>
      </c>
      <c r="L26" s="42">
        <v>4</v>
      </c>
      <c r="M26" s="34"/>
      <c r="N26" s="42"/>
      <c r="O26" s="34"/>
      <c r="P26" s="42"/>
      <c r="Q26" s="46">
        <f t="shared" si="3"/>
        <v>7.28</v>
      </c>
      <c r="R26" s="314">
        <f t="shared" si="4"/>
        <v>7.28</v>
      </c>
      <c r="S26" s="47" t="s">
        <v>55</v>
      </c>
      <c r="T26" s="48" t="s">
        <v>6</v>
      </c>
      <c r="U26" s="49">
        <f>'1. 소켓인수검사'!G28</f>
        <v>0</v>
      </c>
    </row>
    <row r="27" spans="1:21">
      <c r="A27" s="62" t="str">
        <f>'1. 소켓인수검사'!A29</f>
        <v>21</v>
      </c>
      <c r="B27" s="84" t="s">
        <v>44</v>
      </c>
      <c r="C27" s="43">
        <f>'1. 소켓인수검사'!C29</f>
        <v>1000</v>
      </c>
      <c r="D27" s="43">
        <f>'1. 소켓인수검사'!D29</f>
        <v>500</v>
      </c>
      <c r="E27" s="44"/>
      <c r="F27" s="45">
        <f t="shared" si="0"/>
        <v>0.5</v>
      </c>
      <c r="G27" s="45">
        <f t="shared" si="1"/>
        <v>3</v>
      </c>
      <c r="H27" s="50">
        <v>2</v>
      </c>
      <c r="I27" s="83"/>
      <c r="J27" s="42"/>
      <c r="K27" s="34">
        <f t="shared" si="2"/>
        <v>3.5</v>
      </c>
      <c r="L27" s="42">
        <v>4</v>
      </c>
      <c r="M27" s="34"/>
      <c r="N27" s="42"/>
      <c r="O27" s="34"/>
      <c r="P27" s="42"/>
      <c r="Q27" s="46">
        <f t="shared" si="3"/>
        <v>7.48</v>
      </c>
      <c r="R27" s="314">
        <f t="shared" si="4"/>
        <v>7.48</v>
      </c>
      <c r="S27" s="47" t="s">
        <v>55</v>
      </c>
      <c r="T27" s="48" t="s">
        <v>6</v>
      </c>
      <c r="U27" s="49">
        <f>'1. 소켓인수검사'!G29</f>
        <v>0</v>
      </c>
    </row>
    <row r="28" spans="1:21">
      <c r="A28" s="62" t="str">
        <f>'1. 소켓인수검사'!A30</f>
        <v>22</v>
      </c>
      <c r="B28" s="84" t="s">
        <v>44</v>
      </c>
      <c r="C28" s="43">
        <f>'1. 소켓인수검사'!C30</f>
        <v>1000</v>
      </c>
      <c r="D28" s="43">
        <f>'1. 소켓인수검사'!D30</f>
        <v>500</v>
      </c>
      <c r="E28" s="44"/>
      <c r="F28" s="45">
        <f t="shared" si="0"/>
        <v>0.5</v>
      </c>
      <c r="G28" s="45">
        <f t="shared" si="1"/>
        <v>3</v>
      </c>
      <c r="H28" s="50">
        <v>2</v>
      </c>
      <c r="I28" s="83"/>
      <c r="J28" s="42"/>
      <c r="K28" s="34">
        <f t="shared" si="2"/>
        <v>3.5</v>
      </c>
      <c r="L28" s="42">
        <v>4</v>
      </c>
      <c r="M28" s="34"/>
      <c r="N28" s="42"/>
      <c r="O28" s="34"/>
      <c r="P28" s="42"/>
      <c r="Q28" s="46">
        <f t="shared" si="3"/>
        <v>7.48</v>
      </c>
      <c r="R28" s="314">
        <f t="shared" si="4"/>
        <v>7.48</v>
      </c>
      <c r="S28" s="47" t="s">
        <v>55</v>
      </c>
      <c r="T28" s="48" t="s">
        <v>6</v>
      </c>
      <c r="U28" s="49">
        <f>'1. 소켓인수검사'!G30</f>
        <v>0</v>
      </c>
    </row>
    <row r="29" spans="1:21">
      <c r="A29" s="62" t="str">
        <f>'1. 소켓인수검사'!A31</f>
        <v>23</v>
      </c>
      <c r="B29" s="84" t="s">
        <v>44</v>
      </c>
      <c r="C29" s="43">
        <f>'1. 소켓인수검사'!C31</f>
        <v>1000</v>
      </c>
      <c r="D29" s="43">
        <f>'1. 소켓인수검사'!D31</f>
        <v>500</v>
      </c>
      <c r="E29" s="44"/>
      <c r="F29" s="45">
        <f t="shared" si="0"/>
        <v>0.5</v>
      </c>
      <c r="G29" s="45">
        <f t="shared" si="1"/>
        <v>3</v>
      </c>
      <c r="H29" s="50">
        <v>2</v>
      </c>
      <c r="I29" s="83"/>
      <c r="J29" s="42"/>
      <c r="K29" s="34">
        <f t="shared" si="2"/>
        <v>3.5</v>
      </c>
      <c r="L29" s="42">
        <v>4</v>
      </c>
      <c r="M29" s="34"/>
      <c r="N29" s="42"/>
      <c r="O29" s="34"/>
      <c r="P29" s="42"/>
      <c r="Q29" s="46">
        <f t="shared" si="3"/>
        <v>7.48</v>
      </c>
      <c r="R29" s="314">
        <f t="shared" si="4"/>
        <v>7.48</v>
      </c>
      <c r="S29" s="47" t="s">
        <v>55</v>
      </c>
      <c r="T29" s="48" t="s">
        <v>6</v>
      </c>
      <c r="U29" s="49">
        <f>'1. 소켓인수검사'!G31</f>
        <v>0</v>
      </c>
    </row>
    <row r="30" spans="1:21">
      <c r="A30" s="62" t="str">
        <f>'1. 소켓인수검사'!A32</f>
        <v>24</v>
      </c>
      <c r="B30" s="84" t="s">
        <v>44</v>
      </c>
      <c r="C30" s="43">
        <f>'1. 소켓인수검사'!C32</f>
        <v>1000</v>
      </c>
      <c r="D30" s="43">
        <f>'1. 소켓인수검사'!D32</f>
        <v>500</v>
      </c>
      <c r="E30" s="44"/>
      <c r="F30" s="45">
        <f t="shared" si="0"/>
        <v>0.5</v>
      </c>
      <c r="G30" s="45">
        <f t="shared" si="1"/>
        <v>3</v>
      </c>
      <c r="H30" s="50">
        <v>2</v>
      </c>
      <c r="I30" s="83"/>
      <c r="J30" s="42"/>
      <c r="K30" s="34">
        <f t="shared" si="2"/>
        <v>3.5</v>
      </c>
      <c r="L30" s="42">
        <v>4</v>
      </c>
      <c r="M30" s="34"/>
      <c r="N30" s="42"/>
      <c r="O30" s="34"/>
      <c r="P30" s="42"/>
      <c r="Q30" s="46">
        <f t="shared" si="3"/>
        <v>7.48</v>
      </c>
      <c r="R30" s="314">
        <f t="shared" si="4"/>
        <v>7.48</v>
      </c>
      <c r="S30" s="47" t="s">
        <v>55</v>
      </c>
      <c r="T30" s="48" t="s">
        <v>6</v>
      </c>
      <c r="U30" s="49">
        <f>'1. 소켓인수검사'!G32</f>
        <v>0</v>
      </c>
    </row>
    <row r="31" spans="1:21">
      <c r="A31" s="62" t="str">
        <f>'1. 소켓인수검사'!A33</f>
        <v>25</v>
      </c>
      <c r="B31" s="84" t="s">
        <v>44</v>
      </c>
      <c r="C31" s="43">
        <f>'1. 소켓인수검사'!C33</f>
        <v>1000</v>
      </c>
      <c r="D31" s="43">
        <f>'1. 소켓인수검사'!D33</f>
        <v>500</v>
      </c>
      <c r="E31" s="44"/>
      <c r="F31" s="45">
        <f t="shared" si="0"/>
        <v>0.5</v>
      </c>
      <c r="G31" s="45">
        <f t="shared" si="1"/>
        <v>3</v>
      </c>
      <c r="H31" s="50">
        <v>2</v>
      </c>
      <c r="I31" s="83"/>
      <c r="J31" s="42"/>
      <c r="K31" s="34">
        <f t="shared" si="2"/>
        <v>3.5</v>
      </c>
      <c r="L31" s="42">
        <v>4</v>
      </c>
      <c r="M31" s="34"/>
      <c r="N31" s="42"/>
      <c r="O31" s="34"/>
      <c r="P31" s="42"/>
      <c r="Q31" s="46">
        <f t="shared" si="3"/>
        <v>7.48</v>
      </c>
      <c r="R31" s="314">
        <f t="shared" si="4"/>
        <v>7.48</v>
      </c>
      <c r="S31" s="47" t="s">
        <v>55</v>
      </c>
      <c r="T31" s="48" t="s">
        <v>6</v>
      </c>
      <c r="U31" s="49">
        <f>'1. 소켓인수검사'!G33</f>
        <v>0</v>
      </c>
    </row>
    <row r="32" spans="1:21">
      <c r="A32" s="62" t="str">
        <f>'1. 소켓인수검사'!A34</f>
        <v>26</v>
      </c>
      <c r="B32" s="84" t="s">
        <v>44</v>
      </c>
      <c r="C32" s="43">
        <f>'1. 소켓인수검사'!C34</f>
        <v>1000</v>
      </c>
      <c r="D32" s="43">
        <f>'1. 소켓인수검사'!D34</f>
        <v>500</v>
      </c>
      <c r="E32" s="44"/>
      <c r="F32" s="45">
        <f t="shared" si="0"/>
        <v>0.5</v>
      </c>
      <c r="G32" s="45">
        <f t="shared" si="1"/>
        <v>3</v>
      </c>
      <c r="H32" s="50">
        <v>2</v>
      </c>
      <c r="I32" s="83"/>
      <c r="J32" s="42"/>
      <c r="K32" s="34">
        <f t="shared" si="2"/>
        <v>3.5</v>
      </c>
      <c r="L32" s="42">
        <v>4</v>
      </c>
      <c r="M32" s="34"/>
      <c r="N32" s="42"/>
      <c r="O32" s="34"/>
      <c r="P32" s="42"/>
      <c r="Q32" s="46">
        <f t="shared" si="3"/>
        <v>7.48</v>
      </c>
      <c r="R32" s="314">
        <f t="shared" si="4"/>
        <v>7.48</v>
      </c>
      <c r="S32" s="47" t="s">
        <v>55</v>
      </c>
      <c r="T32" s="48" t="s">
        <v>6</v>
      </c>
      <c r="U32" s="49">
        <f>'1. 소켓인수검사'!G34</f>
        <v>0</v>
      </c>
    </row>
    <row r="33" spans="1:21">
      <c r="A33" s="62" t="str">
        <f>'1. 소켓인수검사'!A35</f>
        <v>27</v>
      </c>
      <c r="B33" s="84" t="s">
        <v>44</v>
      </c>
      <c r="C33" s="43">
        <f>'1. 소켓인수검사'!C35</f>
        <v>1000</v>
      </c>
      <c r="D33" s="43">
        <f>'1. 소켓인수검사'!D35</f>
        <v>500</v>
      </c>
      <c r="E33" s="44"/>
      <c r="F33" s="45">
        <f t="shared" si="0"/>
        <v>0.5</v>
      </c>
      <c r="G33" s="45">
        <f t="shared" si="1"/>
        <v>3</v>
      </c>
      <c r="H33" s="50">
        <v>2</v>
      </c>
      <c r="I33" s="83"/>
      <c r="J33" s="42"/>
      <c r="K33" s="34">
        <f t="shared" ref="K33:K50" si="5">G33+0.5</f>
        <v>3.5</v>
      </c>
      <c r="L33" s="42">
        <v>4</v>
      </c>
      <c r="M33" s="34"/>
      <c r="N33" s="42"/>
      <c r="O33" s="34"/>
      <c r="P33" s="42"/>
      <c r="Q33" s="46">
        <f t="shared" si="3"/>
        <v>7.48</v>
      </c>
      <c r="R33" s="314">
        <f t="shared" si="4"/>
        <v>7.48</v>
      </c>
      <c r="S33" s="47" t="s">
        <v>55</v>
      </c>
      <c r="T33" s="48" t="s">
        <v>6</v>
      </c>
      <c r="U33" s="49">
        <f>'1. 소켓인수검사'!G35</f>
        <v>0</v>
      </c>
    </row>
    <row r="34" spans="1:21">
      <c r="A34" s="62" t="str">
        <f>'1. 소켓인수검사'!A36</f>
        <v>28</v>
      </c>
      <c r="B34" s="84" t="s">
        <v>44</v>
      </c>
      <c r="C34" s="43">
        <f>'1. 소켓인수검사'!C36</f>
        <v>1000</v>
      </c>
      <c r="D34" s="43">
        <f>'1. 소켓인수검사'!D36</f>
        <v>500</v>
      </c>
      <c r="E34" s="44"/>
      <c r="F34" s="45">
        <f t="shared" si="0"/>
        <v>0.5</v>
      </c>
      <c r="G34" s="45">
        <f t="shared" si="1"/>
        <v>3</v>
      </c>
      <c r="H34" s="50">
        <v>2</v>
      </c>
      <c r="I34" s="83"/>
      <c r="J34" s="42"/>
      <c r="K34" s="34">
        <f t="shared" si="5"/>
        <v>3.5</v>
      </c>
      <c r="L34" s="42">
        <v>4</v>
      </c>
      <c r="M34" s="34"/>
      <c r="N34" s="42"/>
      <c r="O34" s="34"/>
      <c r="P34" s="42"/>
      <c r="Q34" s="46">
        <f t="shared" si="3"/>
        <v>7.48</v>
      </c>
      <c r="R34" s="314">
        <f t="shared" si="4"/>
        <v>7.48</v>
      </c>
      <c r="S34" s="47" t="s">
        <v>55</v>
      </c>
      <c r="T34" s="48" t="s">
        <v>6</v>
      </c>
      <c r="U34" s="49">
        <f>'1. 소켓인수검사'!G36</f>
        <v>0</v>
      </c>
    </row>
    <row r="35" spans="1:21">
      <c r="A35" s="62" t="str">
        <f>'1. 소켓인수검사'!A37</f>
        <v>29</v>
      </c>
      <c r="B35" s="84" t="s">
        <v>44</v>
      </c>
      <c r="C35" s="43">
        <f>'1. 소켓인수검사'!C37</f>
        <v>1000</v>
      </c>
      <c r="D35" s="43">
        <f>'1. 소켓인수검사'!D37</f>
        <v>500</v>
      </c>
      <c r="E35" s="44"/>
      <c r="F35" s="45">
        <f t="shared" si="0"/>
        <v>0.5</v>
      </c>
      <c r="G35" s="45">
        <f t="shared" si="1"/>
        <v>3</v>
      </c>
      <c r="H35" s="50">
        <v>2</v>
      </c>
      <c r="I35" s="83"/>
      <c r="J35" s="42"/>
      <c r="K35" s="34">
        <f t="shared" si="5"/>
        <v>3.5</v>
      </c>
      <c r="L35" s="42">
        <v>4</v>
      </c>
      <c r="M35" s="34"/>
      <c r="N35" s="42"/>
      <c r="O35" s="34"/>
      <c r="P35" s="42"/>
      <c r="Q35" s="46">
        <f t="shared" si="3"/>
        <v>7.48</v>
      </c>
      <c r="R35" s="314">
        <f t="shared" si="4"/>
        <v>7.48</v>
      </c>
      <c r="S35" s="47" t="s">
        <v>55</v>
      </c>
      <c r="T35" s="48" t="s">
        <v>6</v>
      </c>
      <c r="U35" s="49">
        <f>'1. 소켓인수검사'!G37</f>
        <v>0</v>
      </c>
    </row>
    <row r="36" spans="1:21">
      <c r="A36" s="62" t="str">
        <f>'1. 소켓인수검사'!A38</f>
        <v>30</v>
      </c>
      <c r="B36" s="84" t="s">
        <v>44</v>
      </c>
      <c r="C36" s="43">
        <f>'1. 소켓인수검사'!C38</f>
        <v>1000</v>
      </c>
      <c r="D36" s="43">
        <f>'1. 소켓인수검사'!D38</f>
        <v>500</v>
      </c>
      <c r="E36" s="44"/>
      <c r="F36" s="45">
        <f t="shared" si="0"/>
        <v>0.5</v>
      </c>
      <c r="G36" s="45">
        <f t="shared" si="1"/>
        <v>3</v>
      </c>
      <c r="H36" s="50">
        <v>2</v>
      </c>
      <c r="I36" s="83"/>
      <c r="J36" s="42"/>
      <c r="K36" s="34">
        <f t="shared" si="5"/>
        <v>3.5</v>
      </c>
      <c r="L36" s="42">
        <v>4</v>
      </c>
      <c r="M36" s="34"/>
      <c r="N36" s="42"/>
      <c r="O36" s="34"/>
      <c r="P36" s="42"/>
      <c r="Q36" s="46">
        <f t="shared" si="3"/>
        <v>7.48</v>
      </c>
      <c r="R36" s="314">
        <f t="shared" si="4"/>
        <v>7.48</v>
      </c>
      <c r="S36" s="47" t="s">
        <v>55</v>
      </c>
      <c r="T36" s="48" t="s">
        <v>6</v>
      </c>
      <c r="U36" s="49">
        <f>'1. 소켓인수검사'!G38</f>
        <v>0</v>
      </c>
    </row>
    <row r="37" spans="1:21">
      <c r="A37" s="62" t="str">
        <f>'1. 소켓인수검사'!A39</f>
        <v>31</v>
      </c>
      <c r="B37" s="84" t="s">
        <v>44</v>
      </c>
      <c r="C37" s="43">
        <f>'1. 소켓인수검사'!C39</f>
        <v>1000</v>
      </c>
      <c r="D37" s="43">
        <f>'1. 소켓인수검사'!D39</f>
        <v>500</v>
      </c>
      <c r="E37" s="44"/>
      <c r="F37" s="45">
        <f t="shared" si="0"/>
        <v>0.5</v>
      </c>
      <c r="G37" s="45">
        <f t="shared" si="1"/>
        <v>3</v>
      </c>
      <c r="H37" s="50">
        <v>2</v>
      </c>
      <c r="I37" s="83"/>
      <c r="J37" s="42"/>
      <c r="K37" s="34">
        <f t="shared" si="5"/>
        <v>3.5</v>
      </c>
      <c r="L37" s="42">
        <v>4</v>
      </c>
      <c r="M37" s="34"/>
      <c r="N37" s="42"/>
      <c r="O37" s="34"/>
      <c r="P37" s="42"/>
      <c r="Q37" s="46">
        <f t="shared" si="3"/>
        <v>7.48</v>
      </c>
      <c r="R37" s="314">
        <f t="shared" si="4"/>
        <v>7.48</v>
      </c>
      <c r="S37" s="47" t="s">
        <v>55</v>
      </c>
      <c r="T37" s="48" t="s">
        <v>6</v>
      </c>
      <c r="U37" s="49">
        <f>'1. 소켓인수검사'!G39</f>
        <v>0</v>
      </c>
    </row>
    <row r="38" spans="1:21">
      <c r="A38" s="62" t="str">
        <f>'1. 소켓인수검사'!A40</f>
        <v>32</v>
      </c>
      <c r="B38" s="84" t="s">
        <v>44</v>
      </c>
      <c r="C38" s="43">
        <f>'1. 소켓인수검사'!C40</f>
        <v>1000</v>
      </c>
      <c r="D38" s="43">
        <f>'1. 소켓인수검사'!D40</f>
        <v>500</v>
      </c>
      <c r="E38" s="44"/>
      <c r="F38" s="45">
        <f t="shared" si="0"/>
        <v>0.5</v>
      </c>
      <c r="G38" s="45">
        <f t="shared" si="1"/>
        <v>3</v>
      </c>
      <c r="H38" s="50">
        <v>2</v>
      </c>
      <c r="I38" s="83"/>
      <c r="J38" s="42"/>
      <c r="K38" s="34">
        <f t="shared" si="5"/>
        <v>3.5</v>
      </c>
      <c r="L38" s="42">
        <v>4</v>
      </c>
      <c r="M38" s="34"/>
      <c r="N38" s="42"/>
      <c r="O38" s="34"/>
      <c r="P38" s="42"/>
      <c r="Q38" s="46">
        <f t="shared" si="3"/>
        <v>7.48</v>
      </c>
      <c r="R38" s="314">
        <f t="shared" si="4"/>
        <v>7.48</v>
      </c>
      <c r="S38" s="47" t="s">
        <v>55</v>
      </c>
      <c r="T38" s="48" t="s">
        <v>6</v>
      </c>
      <c r="U38" s="49">
        <f>'1. 소켓인수검사'!G40</f>
        <v>0</v>
      </c>
    </row>
    <row r="39" spans="1:21">
      <c r="A39" s="62" t="str">
        <f>'1. 소켓인수검사'!A41</f>
        <v>33</v>
      </c>
      <c r="B39" s="84" t="s">
        <v>44</v>
      </c>
      <c r="C39" s="43">
        <f>'1. 소켓인수검사'!C41</f>
        <v>1000</v>
      </c>
      <c r="D39" s="43">
        <f>'1. 소켓인수검사'!D41</f>
        <v>500</v>
      </c>
      <c r="E39" s="44"/>
      <c r="F39" s="45">
        <f t="shared" si="0"/>
        <v>0.5</v>
      </c>
      <c r="G39" s="45">
        <f t="shared" si="1"/>
        <v>3</v>
      </c>
      <c r="H39" s="50">
        <v>2</v>
      </c>
      <c r="I39" s="83"/>
      <c r="J39" s="42"/>
      <c r="K39" s="34">
        <f t="shared" si="5"/>
        <v>3.5</v>
      </c>
      <c r="L39" s="42">
        <v>4</v>
      </c>
      <c r="M39" s="34"/>
      <c r="N39" s="42"/>
      <c r="O39" s="34"/>
      <c r="P39" s="42"/>
      <c r="Q39" s="46">
        <f t="shared" si="3"/>
        <v>7.48</v>
      </c>
      <c r="R39" s="314">
        <f t="shared" si="4"/>
        <v>7.48</v>
      </c>
      <c r="S39" s="47" t="s">
        <v>55</v>
      </c>
      <c r="T39" s="48" t="s">
        <v>6</v>
      </c>
      <c r="U39" s="49">
        <f>'1. 소켓인수검사'!G41</f>
        <v>0</v>
      </c>
    </row>
    <row r="40" spans="1:21">
      <c r="A40" s="62" t="str">
        <f>'1. 소켓인수검사'!A42</f>
        <v>34</v>
      </c>
      <c r="B40" s="84" t="s">
        <v>44</v>
      </c>
      <c r="C40" s="43">
        <f>'1. 소켓인수검사'!C42</f>
        <v>1000</v>
      </c>
      <c r="D40" s="43">
        <f>'1. 소켓인수검사'!D42</f>
        <v>500</v>
      </c>
      <c r="E40" s="44"/>
      <c r="F40" s="45">
        <f t="shared" si="0"/>
        <v>0.5</v>
      </c>
      <c r="G40" s="45">
        <f t="shared" si="1"/>
        <v>3</v>
      </c>
      <c r="H40" s="50">
        <v>2</v>
      </c>
      <c r="I40" s="83"/>
      <c r="J40" s="42"/>
      <c r="K40" s="34">
        <f t="shared" si="5"/>
        <v>3.5</v>
      </c>
      <c r="L40" s="42">
        <v>4</v>
      </c>
      <c r="M40" s="34"/>
      <c r="N40" s="42"/>
      <c r="O40" s="34"/>
      <c r="P40" s="42"/>
      <c r="Q40" s="46">
        <f t="shared" si="3"/>
        <v>7.48</v>
      </c>
      <c r="R40" s="314">
        <f t="shared" si="4"/>
        <v>7.48</v>
      </c>
      <c r="S40" s="47" t="s">
        <v>55</v>
      </c>
      <c r="T40" s="48" t="s">
        <v>6</v>
      </c>
      <c r="U40" s="49">
        <f>'1. 소켓인수검사'!G42</f>
        <v>0</v>
      </c>
    </row>
    <row r="41" spans="1:21">
      <c r="A41" s="62" t="str">
        <f>'1. 소켓인수검사'!A43</f>
        <v>35</v>
      </c>
      <c r="B41" s="84" t="s">
        <v>44</v>
      </c>
      <c r="C41" s="43">
        <f>'1. 소켓인수검사'!C43</f>
        <v>1000</v>
      </c>
      <c r="D41" s="43">
        <f>'1. 소켓인수검사'!D43</f>
        <v>550</v>
      </c>
      <c r="E41" s="44"/>
      <c r="F41" s="45">
        <f t="shared" si="0"/>
        <v>0.55000000000000004</v>
      </c>
      <c r="G41" s="45">
        <f t="shared" si="1"/>
        <v>3.1</v>
      </c>
      <c r="H41" s="50">
        <v>2</v>
      </c>
      <c r="I41" s="83"/>
      <c r="J41" s="42"/>
      <c r="K41" s="34">
        <f t="shared" si="5"/>
        <v>3.6</v>
      </c>
      <c r="L41" s="42">
        <v>4</v>
      </c>
      <c r="M41" s="34"/>
      <c r="N41" s="42"/>
      <c r="O41" s="34"/>
      <c r="P41" s="42"/>
      <c r="Q41" s="46">
        <f t="shared" si="3"/>
        <v>7.68</v>
      </c>
      <c r="R41" s="314">
        <f t="shared" si="4"/>
        <v>7.68</v>
      </c>
      <c r="S41" s="47" t="s">
        <v>55</v>
      </c>
      <c r="T41" s="48" t="s">
        <v>6</v>
      </c>
      <c r="U41" s="49">
        <f>'1. 소켓인수검사'!G43</f>
        <v>0</v>
      </c>
    </row>
    <row r="42" spans="1:21">
      <c r="A42" s="62" t="str">
        <f>'1. 소켓인수검사'!A44</f>
        <v>36</v>
      </c>
      <c r="B42" s="84" t="s">
        <v>44</v>
      </c>
      <c r="C42" s="43">
        <f>'1. 소켓인수검사'!C44</f>
        <v>1000</v>
      </c>
      <c r="D42" s="43">
        <f>'1. 소켓인수검사'!D44</f>
        <v>550</v>
      </c>
      <c r="E42" s="44"/>
      <c r="F42" s="45">
        <f t="shared" si="0"/>
        <v>0.55000000000000004</v>
      </c>
      <c r="G42" s="45">
        <f t="shared" si="1"/>
        <v>3.1</v>
      </c>
      <c r="H42" s="50">
        <v>2</v>
      </c>
      <c r="I42" s="83"/>
      <c r="J42" s="42"/>
      <c r="K42" s="34">
        <f t="shared" si="5"/>
        <v>3.6</v>
      </c>
      <c r="L42" s="42">
        <v>4</v>
      </c>
      <c r="M42" s="34"/>
      <c r="N42" s="42"/>
      <c r="O42" s="34"/>
      <c r="P42" s="42"/>
      <c r="Q42" s="46">
        <f t="shared" si="3"/>
        <v>7.68</v>
      </c>
      <c r="R42" s="314">
        <f t="shared" si="4"/>
        <v>7.68</v>
      </c>
      <c r="S42" s="47" t="s">
        <v>55</v>
      </c>
      <c r="T42" s="48" t="s">
        <v>6</v>
      </c>
      <c r="U42" s="49">
        <f>'1. 소켓인수검사'!G44</f>
        <v>0</v>
      </c>
    </row>
    <row r="43" spans="1:21">
      <c r="A43" s="62" t="str">
        <f>'1. 소켓인수검사'!A45</f>
        <v>37</v>
      </c>
      <c r="B43" s="84" t="s">
        <v>44</v>
      </c>
      <c r="C43" s="43">
        <f>'1. 소켓인수검사'!C45</f>
        <v>1000</v>
      </c>
      <c r="D43" s="43">
        <f>'1. 소켓인수검사'!D45</f>
        <v>550</v>
      </c>
      <c r="E43" s="44"/>
      <c r="F43" s="45">
        <f t="shared" si="0"/>
        <v>0.55000000000000004</v>
      </c>
      <c r="G43" s="45">
        <f t="shared" si="1"/>
        <v>3.1</v>
      </c>
      <c r="H43" s="50">
        <v>2</v>
      </c>
      <c r="I43" s="83"/>
      <c r="J43" s="42"/>
      <c r="K43" s="34">
        <f t="shared" si="5"/>
        <v>3.6</v>
      </c>
      <c r="L43" s="42">
        <v>4</v>
      </c>
      <c r="M43" s="34"/>
      <c r="N43" s="42"/>
      <c r="O43" s="34"/>
      <c r="P43" s="42"/>
      <c r="Q43" s="46">
        <f t="shared" si="3"/>
        <v>7.68</v>
      </c>
      <c r="R43" s="314">
        <f t="shared" si="4"/>
        <v>7.68</v>
      </c>
      <c r="S43" s="47" t="s">
        <v>55</v>
      </c>
      <c r="T43" s="48" t="s">
        <v>6</v>
      </c>
      <c r="U43" s="49">
        <f>'1. 소켓인수검사'!G45</f>
        <v>0</v>
      </c>
    </row>
    <row r="44" spans="1:21">
      <c r="A44" s="62" t="str">
        <f>'1. 소켓인수검사'!A46</f>
        <v>38</v>
      </c>
      <c r="B44" s="84" t="s">
        <v>44</v>
      </c>
      <c r="C44" s="43">
        <f>'1. 소켓인수검사'!C46</f>
        <v>1000</v>
      </c>
      <c r="D44" s="43">
        <f>'1. 소켓인수검사'!D46</f>
        <v>550</v>
      </c>
      <c r="E44" s="44"/>
      <c r="F44" s="45">
        <f t="shared" si="0"/>
        <v>0.55000000000000004</v>
      </c>
      <c r="G44" s="45">
        <f t="shared" si="1"/>
        <v>3.1</v>
      </c>
      <c r="H44" s="50">
        <v>2</v>
      </c>
      <c r="I44" s="83"/>
      <c r="J44" s="42"/>
      <c r="K44" s="34">
        <f t="shared" si="5"/>
        <v>3.6</v>
      </c>
      <c r="L44" s="42">
        <v>4</v>
      </c>
      <c r="M44" s="34"/>
      <c r="N44" s="42"/>
      <c r="O44" s="34"/>
      <c r="P44" s="42"/>
      <c r="Q44" s="46">
        <f t="shared" si="3"/>
        <v>7.68</v>
      </c>
      <c r="R44" s="314">
        <f t="shared" si="4"/>
        <v>7.68</v>
      </c>
      <c r="S44" s="47" t="s">
        <v>55</v>
      </c>
      <c r="T44" s="48" t="s">
        <v>6</v>
      </c>
      <c r="U44" s="49">
        <f>'1. 소켓인수검사'!G46</f>
        <v>0</v>
      </c>
    </row>
    <row r="45" spans="1:21">
      <c r="A45" s="62" t="str">
        <f>'1. 소켓인수검사'!A47</f>
        <v>39</v>
      </c>
      <c r="B45" s="84" t="s">
        <v>44</v>
      </c>
      <c r="C45" s="43">
        <f>'1. 소켓인수검사'!C47</f>
        <v>1000</v>
      </c>
      <c r="D45" s="43">
        <f>'1. 소켓인수검사'!D47</f>
        <v>550</v>
      </c>
      <c r="E45" s="44"/>
      <c r="F45" s="45">
        <f t="shared" si="0"/>
        <v>0.55000000000000004</v>
      </c>
      <c r="G45" s="45">
        <f t="shared" si="1"/>
        <v>3.1</v>
      </c>
      <c r="H45" s="50">
        <v>2</v>
      </c>
      <c r="I45" s="83"/>
      <c r="J45" s="42"/>
      <c r="K45" s="34">
        <f t="shared" si="5"/>
        <v>3.6</v>
      </c>
      <c r="L45" s="42">
        <v>4</v>
      </c>
      <c r="M45" s="34"/>
      <c r="N45" s="42"/>
      <c r="O45" s="34"/>
      <c r="P45" s="42"/>
      <c r="Q45" s="46">
        <f t="shared" si="3"/>
        <v>7.68</v>
      </c>
      <c r="R45" s="314">
        <f t="shared" si="4"/>
        <v>7.68</v>
      </c>
      <c r="S45" s="47" t="s">
        <v>55</v>
      </c>
      <c r="T45" s="48" t="s">
        <v>6</v>
      </c>
      <c r="U45" s="49">
        <f>'1. 소켓인수검사'!G47</f>
        <v>0</v>
      </c>
    </row>
    <row r="46" spans="1:21">
      <c r="A46" s="62" t="str">
        <f>'1. 소켓인수검사'!A48</f>
        <v>40</v>
      </c>
      <c r="B46" s="84" t="s">
        <v>44</v>
      </c>
      <c r="C46" s="43">
        <f>'1. 소켓인수검사'!C48</f>
        <v>1000</v>
      </c>
      <c r="D46" s="43">
        <f>'1. 소켓인수검사'!D48</f>
        <v>550</v>
      </c>
      <c r="E46" s="44"/>
      <c r="F46" s="45">
        <f t="shared" si="0"/>
        <v>0.55000000000000004</v>
      </c>
      <c r="G46" s="45">
        <f t="shared" si="1"/>
        <v>3.1</v>
      </c>
      <c r="H46" s="50">
        <v>2</v>
      </c>
      <c r="I46" s="83"/>
      <c r="J46" s="42"/>
      <c r="K46" s="34">
        <f t="shared" si="5"/>
        <v>3.6</v>
      </c>
      <c r="L46" s="42">
        <v>4</v>
      </c>
      <c r="M46" s="34"/>
      <c r="N46" s="42"/>
      <c r="O46" s="34"/>
      <c r="P46" s="42"/>
      <c r="Q46" s="46">
        <f t="shared" si="3"/>
        <v>7.68</v>
      </c>
      <c r="R46" s="314">
        <f t="shared" si="4"/>
        <v>7.68</v>
      </c>
      <c r="S46" s="47" t="s">
        <v>55</v>
      </c>
      <c r="T46" s="48" t="s">
        <v>6</v>
      </c>
      <c r="U46" s="49">
        <f>'1. 소켓인수검사'!G48</f>
        <v>0</v>
      </c>
    </row>
    <row r="47" spans="1:21">
      <c r="A47" s="62" t="str">
        <f>'1. 소켓인수검사'!A49</f>
        <v>41</v>
      </c>
      <c r="B47" s="84" t="s">
        <v>44</v>
      </c>
      <c r="C47" s="43">
        <f>'1. 소켓인수검사'!C49</f>
        <v>1000</v>
      </c>
      <c r="D47" s="43">
        <f>'1. 소켓인수검사'!D49</f>
        <v>550</v>
      </c>
      <c r="E47" s="44"/>
      <c r="F47" s="45">
        <f t="shared" si="0"/>
        <v>0.55000000000000004</v>
      </c>
      <c r="G47" s="45">
        <f t="shared" si="1"/>
        <v>3.1</v>
      </c>
      <c r="H47" s="50">
        <v>2</v>
      </c>
      <c r="I47" s="83"/>
      <c r="J47" s="42"/>
      <c r="K47" s="34">
        <f t="shared" si="5"/>
        <v>3.6</v>
      </c>
      <c r="L47" s="42">
        <v>4</v>
      </c>
      <c r="M47" s="34"/>
      <c r="N47" s="42"/>
      <c r="O47" s="34"/>
      <c r="P47" s="42"/>
      <c r="Q47" s="46">
        <f t="shared" si="3"/>
        <v>7.68</v>
      </c>
      <c r="R47" s="314">
        <f t="shared" si="4"/>
        <v>7.68</v>
      </c>
      <c r="S47" s="47" t="s">
        <v>55</v>
      </c>
      <c r="T47" s="48" t="s">
        <v>6</v>
      </c>
      <c r="U47" s="49">
        <f>'1. 소켓인수검사'!G49</f>
        <v>0</v>
      </c>
    </row>
    <row r="48" spans="1:21">
      <c r="A48" s="62" t="str">
        <f>'1. 소켓인수검사'!A50</f>
        <v>42</v>
      </c>
      <c r="B48" s="84" t="s">
        <v>44</v>
      </c>
      <c r="C48" s="43">
        <f>'1. 소켓인수검사'!C50</f>
        <v>1000</v>
      </c>
      <c r="D48" s="43">
        <f>'1. 소켓인수검사'!D50</f>
        <v>550</v>
      </c>
      <c r="E48" s="44"/>
      <c r="F48" s="45">
        <f t="shared" si="0"/>
        <v>0.55000000000000004</v>
      </c>
      <c r="G48" s="45">
        <f t="shared" si="1"/>
        <v>3.1</v>
      </c>
      <c r="H48" s="50">
        <v>2</v>
      </c>
      <c r="I48" s="83"/>
      <c r="J48" s="42"/>
      <c r="K48" s="34">
        <f t="shared" si="5"/>
        <v>3.6</v>
      </c>
      <c r="L48" s="42">
        <v>4</v>
      </c>
      <c r="M48" s="34"/>
      <c r="N48" s="42"/>
      <c r="O48" s="34"/>
      <c r="P48" s="42"/>
      <c r="Q48" s="46">
        <f t="shared" si="3"/>
        <v>7.68</v>
      </c>
      <c r="R48" s="314">
        <f t="shared" si="4"/>
        <v>7.68</v>
      </c>
      <c r="S48" s="47" t="s">
        <v>55</v>
      </c>
      <c r="T48" s="48" t="s">
        <v>6</v>
      </c>
      <c r="U48" s="49">
        <f>'1. 소켓인수검사'!G50</f>
        <v>0</v>
      </c>
    </row>
    <row r="49" spans="1:21">
      <c r="A49" s="62" t="str">
        <f>'1. 소켓인수검사'!A51</f>
        <v>43</v>
      </c>
      <c r="B49" s="84" t="s">
        <v>44</v>
      </c>
      <c r="C49" s="43">
        <f>'1. 소켓인수검사'!C51</f>
        <v>1000</v>
      </c>
      <c r="D49" s="43">
        <f>'1. 소켓인수검사'!D51</f>
        <v>550</v>
      </c>
      <c r="E49" s="44"/>
      <c r="F49" s="45">
        <f t="shared" si="0"/>
        <v>0.55000000000000004</v>
      </c>
      <c r="G49" s="45">
        <f t="shared" si="1"/>
        <v>3.1</v>
      </c>
      <c r="H49" s="50">
        <v>2</v>
      </c>
      <c r="I49" s="83"/>
      <c r="J49" s="42"/>
      <c r="K49" s="34">
        <f t="shared" si="5"/>
        <v>3.6</v>
      </c>
      <c r="L49" s="42">
        <v>4</v>
      </c>
      <c r="M49" s="34"/>
      <c r="N49" s="42"/>
      <c r="O49" s="34"/>
      <c r="P49" s="42"/>
      <c r="Q49" s="46">
        <f t="shared" si="3"/>
        <v>7.68</v>
      </c>
      <c r="R49" s="314">
        <f t="shared" si="4"/>
        <v>7.68</v>
      </c>
      <c r="S49" s="47" t="s">
        <v>55</v>
      </c>
      <c r="T49" s="48" t="s">
        <v>6</v>
      </c>
      <c r="U49" s="49">
        <f>'1. 소켓인수검사'!G51</f>
        <v>0</v>
      </c>
    </row>
    <row r="50" spans="1:21">
      <c r="A50" s="62" t="str">
        <f>'1. 소켓인수검사'!A52</f>
        <v>44</v>
      </c>
      <c r="B50" s="84" t="s">
        <v>44</v>
      </c>
      <c r="C50" s="43">
        <f>'1. 소켓인수검사'!C52</f>
        <v>1000</v>
      </c>
      <c r="D50" s="43">
        <f>'1. 소켓인수검사'!D52</f>
        <v>550</v>
      </c>
      <c r="E50" s="44"/>
      <c r="F50" s="45">
        <f t="shared" si="0"/>
        <v>0.55000000000000004</v>
      </c>
      <c r="G50" s="45">
        <f t="shared" si="1"/>
        <v>3.1</v>
      </c>
      <c r="H50" s="50">
        <v>2</v>
      </c>
      <c r="I50" s="83"/>
      <c r="J50" s="42"/>
      <c r="K50" s="34">
        <f t="shared" si="5"/>
        <v>3.6</v>
      </c>
      <c r="L50" s="42">
        <v>4</v>
      </c>
      <c r="M50" s="34"/>
      <c r="N50" s="42"/>
      <c r="O50" s="34"/>
      <c r="P50" s="42"/>
      <c r="Q50" s="46">
        <f t="shared" si="3"/>
        <v>7.68</v>
      </c>
      <c r="R50" s="314">
        <f t="shared" si="4"/>
        <v>7.68</v>
      </c>
      <c r="S50" s="47" t="s">
        <v>55</v>
      </c>
      <c r="T50" s="48" t="s">
        <v>6</v>
      </c>
      <c r="U50" s="49">
        <f>'1. 소켓인수검사'!G52</f>
        <v>0</v>
      </c>
    </row>
    <row r="51" spans="1:21">
      <c r="A51" s="62" t="str">
        <f>'1. 소켓인수검사'!A53</f>
        <v>45</v>
      </c>
      <c r="B51" s="84" t="s">
        <v>44</v>
      </c>
      <c r="C51" s="43">
        <f>'1. 소켓인수검사'!C53</f>
        <v>900</v>
      </c>
      <c r="D51" s="43">
        <f>'1. 소켓인수검사'!D53</f>
        <v>800</v>
      </c>
      <c r="E51" s="44"/>
      <c r="F51" s="45">
        <f t="shared" ref="F51:F99" si="6">C51*D51/1000000</f>
        <v>0.72</v>
      </c>
      <c r="G51" s="45">
        <f t="shared" ref="G51:G99" si="7">(C51+D51)*2/1000</f>
        <v>3.4</v>
      </c>
      <c r="H51" s="50">
        <v>4</v>
      </c>
      <c r="I51" s="83">
        <f t="shared" ref="I51:I82" si="8">(G51+0.4)</f>
        <v>3.8</v>
      </c>
      <c r="J51" s="51">
        <v>2</v>
      </c>
      <c r="K51" s="34"/>
      <c r="L51" s="42"/>
      <c r="M51" s="34"/>
      <c r="N51" s="42"/>
      <c r="O51" s="83">
        <f t="shared" ref="O51:O82" si="9">(G51+0.5)</f>
        <v>3.9</v>
      </c>
      <c r="P51" s="51">
        <v>2</v>
      </c>
      <c r="Q51" s="46">
        <f t="shared" ref="Q51:Q97" si="10">(((C51+60)+250+(D51+60))*2/1000)*2</f>
        <v>8.2799999999999994</v>
      </c>
      <c r="R51" s="314">
        <f t="shared" si="4"/>
        <v>8.2799999999999994</v>
      </c>
      <c r="S51" s="52" t="s">
        <v>54</v>
      </c>
      <c r="T51" s="53" t="s">
        <v>7</v>
      </c>
      <c r="U51" s="49">
        <f>'1. 소켓인수검사'!G53</f>
        <v>0</v>
      </c>
    </row>
    <row r="52" spans="1:21">
      <c r="A52" s="62" t="str">
        <f>'1. 소켓인수검사'!A54</f>
        <v>46</v>
      </c>
      <c r="B52" s="84" t="s">
        <v>44</v>
      </c>
      <c r="C52" s="43">
        <f>'1. 소켓인수검사'!C54</f>
        <v>900</v>
      </c>
      <c r="D52" s="43">
        <f>'1. 소켓인수검사'!D54</f>
        <v>800</v>
      </c>
      <c r="E52" s="44"/>
      <c r="F52" s="45">
        <f t="shared" si="6"/>
        <v>0.72</v>
      </c>
      <c r="G52" s="45">
        <f t="shared" si="7"/>
        <v>3.4</v>
      </c>
      <c r="H52" s="50">
        <v>4</v>
      </c>
      <c r="I52" s="83">
        <f t="shared" si="8"/>
        <v>3.8</v>
      </c>
      <c r="J52" s="51">
        <v>2</v>
      </c>
      <c r="K52" s="34"/>
      <c r="L52" s="42"/>
      <c r="M52" s="34"/>
      <c r="N52" s="42"/>
      <c r="O52" s="83">
        <f t="shared" si="9"/>
        <v>3.9</v>
      </c>
      <c r="P52" s="51">
        <v>2</v>
      </c>
      <c r="Q52" s="46">
        <f t="shared" si="10"/>
        <v>8.2799999999999994</v>
      </c>
      <c r="R52" s="314">
        <f t="shared" si="4"/>
        <v>8.2799999999999994</v>
      </c>
      <c r="S52" s="52" t="s">
        <v>54</v>
      </c>
      <c r="T52" s="53" t="s">
        <v>7</v>
      </c>
      <c r="U52" s="49">
        <f>'1. 소켓인수검사'!G54</f>
        <v>0</v>
      </c>
    </row>
    <row r="53" spans="1:21">
      <c r="A53" s="62" t="str">
        <f>'1. 소켓인수검사'!A55</f>
        <v>47</v>
      </c>
      <c r="B53" s="84" t="s">
        <v>44</v>
      </c>
      <c r="C53" s="43">
        <f>'1. 소켓인수검사'!C55</f>
        <v>900</v>
      </c>
      <c r="D53" s="43">
        <f>'1. 소켓인수검사'!D55</f>
        <v>800</v>
      </c>
      <c r="E53" s="44"/>
      <c r="F53" s="45">
        <f t="shared" si="6"/>
        <v>0.72</v>
      </c>
      <c r="G53" s="45">
        <f t="shared" si="7"/>
        <v>3.4</v>
      </c>
      <c r="H53" s="50">
        <v>4</v>
      </c>
      <c r="I53" s="83">
        <f t="shared" si="8"/>
        <v>3.8</v>
      </c>
      <c r="J53" s="51">
        <v>2</v>
      </c>
      <c r="K53" s="34"/>
      <c r="L53" s="42"/>
      <c r="M53" s="34"/>
      <c r="N53" s="42"/>
      <c r="O53" s="83">
        <f t="shared" si="9"/>
        <v>3.9</v>
      </c>
      <c r="P53" s="51">
        <v>2</v>
      </c>
      <c r="Q53" s="46">
        <f t="shared" si="10"/>
        <v>8.2799999999999994</v>
      </c>
      <c r="R53" s="314">
        <f t="shared" si="4"/>
        <v>8.2799999999999994</v>
      </c>
      <c r="S53" s="52" t="s">
        <v>54</v>
      </c>
      <c r="T53" s="53" t="s">
        <v>7</v>
      </c>
      <c r="U53" s="49">
        <f>'1. 소켓인수검사'!G55</f>
        <v>0</v>
      </c>
    </row>
    <row r="54" spans="1:21">
      <c r="A54" s="62" t="str">
        <f>'1. 소켓인수검사'!A56</f>
        <v>48</v>
      </c>
      <c r="B54" s="84" t="s">
        <v>44</v>
      </c>
      <c r="C54" s="43">
        <f>'1. 소켓인수검사'!C56</f>
        <v>900</v>
      </c>
      <c r="D54" s="43">
        <f>'1. 소켓인수검사'!D56</f>
        <v>800</v>
      </c>
      <c r="E54" s="44"/>
      <c r="F54" s="45">
        <f t="shared" si="6"/>
        <v>0.72</v>
      </c>
      <c r="G54" s="45">
        <f t="shared" si="7"/>
        <v>3.4</v>
      </c>
      <c r="H54" s="50">
        <v>4</v>
      </c>
      <c r="I54" s="83">
        <f t="shared" si="8"/>
        <v>3.8</v>
      </c>
      <c r="J54" s="51">
        <v>2</v>
      </c>
      <c r="K54" s="34"/>
      <c r="L54" s="42"/>
      <c r="M54" s="34"/>
      <c r="N54" s="42"/>
      <c r="O54" s="83">
        <f t="shared" si="9"/>
        <v>3.9</v>
      </c>
      <c r="P54" s="51">
        <v>2</v>
      </c>
      <c r="Q54" s="46">
        <f t="shared" si="10"/>
        <v>8.2799999999999994</v>
      </c>
      <c r="R54" s="314">
        <f t="shared" si="4"/>
        <v>8.2799999999999994</v>
      </c>
      <c r="S54" s="52" t="s">
        <v>54</v>
      </c>
      <c r="T54" s="53" t="s">
        <v>7</v>
      </c>
      <c r="U54" s="49">
        <f>'1. 소켓인수검사'!G56</f>
        <v>0</v>
      </c>
    </row>
    <row r="55" spans="1:21">
      <c r="A55" s="62" t="str">
        <f>'1. 소켓인수검사'!A57</f>
        <v>49</v>
      </c>
      <c r="B55" s="84" t="s">
        <v>44</v>
      </c>
      <c r="C55" s="43">
        <f>'1. 소켓인수검사'!C57</f>
        <v>900</v>
      </c>
      <c r="D55" s="43">
        <f>'1. 소켓인수검사'!D57</f>
        <v>800</v>
      </c>
      <c r="E55" s="44"/>
      <c r="F55" s="45">
        <f t="shared" si="6"/>
        <v>0.72</v>
      </c>
      <c r="G55" s="45">
        <f t="shared" si="7"/>
        <v>3.4</v>
      </c>
      <c r="H55" s="50">
        <v>4</v>
      </c>
      <c r="I55" s="83">
        <f t="shared" si="8"/>
        <v>3.8</v>
      </c>
      <c r="J55" s="51">
        <v>2</v>
      </c>
      <c r="K55" s="34"/>
      <c r="L55" s="42"/>
      <c r="M55" s="34"/>
      <c r="N55" s="42"/>
      <c r="O55" s="83">
        <f t="shared" si="9"/>
        <v>3.9</v>
      </c>
      <c r="P55" s="51">
        <v>2</v>
      </c>
      <c r="Q55" s="46">
        <f t="shared" si="10"/>
        <v>8.2799999999999994</v>
      </c>
      <c r="R55" s="314">
        <f t="shared" si="4"/>
        <v>8.2799999999999994</v>
      </c>
      <c r="S55" s="52" t="s">
        <v>54</v>
      </c>
      <c r="T55" s="53" t="s">
        <v>7</v>
      </c>
      <c r="U55" s="49">
        <f>'1. 소켓인수검사'!G57</f>
        <v>0</v>
      </c>
    </row>
    <row r="56" spans="1:21">
      <c r="A56" s="62" t="str">
        <f>'1. 소켓인수검사'!A58</f>
        <v>50</v>
      </c>
      <c r="B56" s="84" t="s">
        <v>44</v>
      </c>
      <c r="C56" s="43">
        <f>'1. 소켓인수검사'!C58</f>
        <v>900</v>
      </c>
      <c r="D56" s="43">
        <f>'1. 소켓인수검사'!D58</f>
        <v>800</v>
      </c>
      <c r="E56" s="44"/>
      <c r="F56" s="45">
        <f t="shared" si="6"/>
        <v>0.72</v>
      </c>
      <c r="G56" s="45">
        <f t="shared" si="7"/>
        <v>3.4</v>
      </c>
      <c r="H56" s="50">
        <v>4</v>
      </c>
      <c r="I56" s="83">
        <f t="shared" si="8"/>
        <v>3.8</v>
      </c>
      <c r="J56" s="51">
        <v>2</v>
      </c>
      <c r="K56" s="34"/>
      <c r="L56" s="42"/>
      <c r="M56" s="34"/>
      <c r="N56" s="42"/>
      <c r="O56" s="83">
        <f t="shared" si="9"/>
        <v>3.9</v>
      </c>
      <c r="P56" s="51">
        <v>2</v>
      </c>
      <c r="Q56" s="46">
        <f t="shared" si="10"/>
        <v>8.2799999999999994</v>
      </c>
      <c r="R56" s="314">
        <f t="shared" si="4"/>
        <v>8.2799999999999994</v>
      </c>
      <c r="S56" s="52" t="s">
        <v>54</v>
      </c>
      <c r="T56" s="53" t="s">
        <v>7</v>
      </c>
      <c r="U56" s="49">
        <f>'1. 소켓인수검사'!G58</f>
        <v>0</v>
      </c>
    </row>
    <row r="57" spans="1:21">
      <c r="A57" s="62" t="str">
        <f>'1. 소켓인수검사'!A59</f>
        <v>51</v>
      </c>
      <c r="B57" s="84" t="s">
        <v>44</v>
      </c>
      <c r="C57" s="43">
        <f>'1. 소켓인수검사'!C59</f>
        <v>900</v>
      </c>
      <c r="D57" s="43">
        <f>'1. 소켓인수검사'!D59</f>
        <v>800</v>
      </c>
      <c r="E57" s="44"/>
      <c r="F57" s="45">
        <f t="shared" si="6"/>
        <v>0.72</v>
      </c>
      <c r="G57" s="45">
        <f t="shared" si="7"/>
        <v>3.4</v>
      </c>
      <c r="H57" s="50">
        <v>4</v>
      </c>
      <c r="I57" s="83">
        <f t="shared" si="8"/>
        <v>3.8</v>
      </c>
      <c r="J57" s="51">
        <v>2</v>
      </c>
      <c r="K57" s="34"/>
      <c r="L57" s="42"/>
      <c r="M57" s="34"/>
      <c r="N57" s="42"/>
      <c r="O57" s="83">
        <f t="shared" si="9"/>
        <v>3.9</v>
      </c>
      <c r="P57" s="51">
        <v>2</v>
      </c>
      <c r="Q57" s="46">
        <f t="shared" si="10"/>
        <v>8.2799999999999994</v>
      </c>
      <c r="R57" s="314">
        <f t="shared" si="4"/>
        <v>8.2799999999999994</v>
      </c>
      <c r="S57" s="52" t="s">
        <v>54</v>
      </c>
      <c r="T57" s="53" t="s">
        <v>7</v>
      </c>
      <c r="U57" s="49">
        <f>'1. 소켓인수검사'!G59</f>
        <v>0</v>
      </c>
    </row>
    <row r="58" spans="1:21">
      <c r="A58" s="62" t="str">
        <f>'1. 소켓인수검사'!A60</f>
        <v>52</v>
      </c>
      <c r="B58" s="84" t="s">
        <v>44</v>
      </c>
      <c r="C58" s="43">
        <f>'1. 소켓인수검사'!C60</f>
        <v>900</v>
      </c>
      <c r="D58" s="43">
        <f>'1. 소켓인수검사'!D60</f>
        <v>800</v>
      </c>
      <c r="E58" s="44"/>
      <c r="F58" s="45">
        <f t="shared" si="6"/>
        <v>0.72</v>
      </c>
      <c r="G58" s="45">
        <f t="shared" si="7"/>
        <v>3.4</v>
      </c>
      <c r="H58" s="50">
        <v>4</v>
      </c>
      <c r="I58" s="83">
        <f t="shared" si="8"/>
        <v>3.8</v>
      </c>
      <c r="J58" s="51">
        <v>2</v>
      </c>
      <c r="K58" s="34"/>
      <c r="L58" s="42"/>
      <c r="M58" s="34"/>
      <c r="N58" s="42"/>
      <c r="O58" s="83">
        <f t="shared" si="9"/>
        <v>3.9</v>
      </c>
      <c r="P58" s="51">
        <v>2</v>
      </c>
      <c r="Q58" s="46">
        <f t="shared" si="10"/>
        <v>8.2799999999999994</v>
      </c>
      <c r="R58" s="314">
        <f t="shared" si="4"/>
        <v>8.2799999999999994</v>
      </c>
      <c r="S58" s="52" t="s">
        <v>54</v>
      </c>
      <c r="T58" s="53" t="s">
        <v>7</v>
      </c>
      <c r="U58" s="49">
        <f>'1. 소켓인수검사'!G60</f>
        <v>0</v>
      </c>
    </row>
    <row r="59" spans="1:21">
      <c r="A59" s="62" t="str">
        <f>'1. 소켓인수검사'!A61</f>
        <v>53</v>
      </c>
      <c r="B59" s="84" t="s">
        <v>44</v>
      </c>
      <c r="C59" s="43">
        <f>'1. 소켓인수검사'!C61</f>
        <v>950</v>
      </c>
      <c r="D59" s="43">
        <f>'1. 소켓인수검사'!D61</f>
        <v>750</v>
      </c>
      <c r="E59" s="44"/>
      <c r="F59" s="45">
        <f t="shared" si="6"/>
        <v>0.71250000000000002</v>
      </c>
      <c r="G59" s="45">
        <f t="shared" si="7"/>
        <v>3.4</v>
      </c>
      <c r="H59" s="50">
        <v>4</v>
      </c>
      <c r="I59" s="83">
        <f t="shared" si="8"/>
        <v>3.8</v>
      </c>
      <c r="J59" s="51">
        <v>2</v>
      </c>
      <c r="K59" s="34"/>
      <c r="L59" s="42"/>
      <c r="M59" s="34"/>
      <c r="N59" s="42"/>
      <c r="O59" s="83">
        <f t="shared" si="9"/>
        <v>3.9</v>
      </c>
      <c r="P59" s="51">
        <v>2</v>
      </c>
      <c r="Q59" s="46">
        <f t="shared" si="10"/>
        <v>8.2799999999999994</v>
      </c>
      <c r="R59" s="314">
        <f t="shared" si="4"/>
        <v>8.2799999999999994</v>
      </c>
      <c r="S59" s="52" t="s">
        <v>54</v>
      </c>
      <c r="T59" s="53" t="s">
        <v>7</v>
      </c>
      <c r="U59" s="49">
        <f>'1. 소켓인수검사'!G61</f>
        <v>0</v>
      </c>
    </row>
    <row r="60" spans="1:21">
      <c r="A60" s="62" t="str">
        <f>'1. 소켓인수검사'!A62</f>
        <v>54</v>
      </c>
      <c r="B60" s="84" t="s">
        <v>44</v>
      </c>
      <c r="C60" s="43">
        <f>'1. 소켓인수검사'!C62</f>
        <v>950</v>
      </c>
      <c r="D60" s="43">
        <f>'1. 소켓인수검사'!D62</f>
        <v>750</v>
      </c>
      <c r="E60" s="44"/>
      <c r="F60" s="45">
        <f t="shared" si="6"/>
        <v>0.71250000000000002</v>
      </c>
      <c r="G60" s="45">
        <f t="shared" si="7"/>
        <v>3.4</v>
      </c>
      <c r="H60" s="50">
        <v>4</v>
      </c>
      <c r="I60" s="83">
        <f t="shared" si="8"/>
        <v>3.8</v>
      </c>
      <c r="J60" s="51">
        <v>2</v>
      </c>
      <c r="K60" s="34"/>
      <c r="L60" s="42"/>
      <c r="M60" s="34"/>
      <c r="N60" s="42"/>
      <c r="O60" s="83">
        <f t="shared" si="9"/>
        <v>3.9</v>
      </c>
      <c r="P60" s="51">
        <v>2</v>
      </c>
      <c r="Q60" s="46">
        <f t="shared" si="10"/>
        <v>8.2799999999999994</v>
      </c>
      <c r="R60" s="314">
        <f t="shared" si="4"/>
        <v>8.2799999999999994</v>
      </c>
      <c r="S60" s="52" t="s">
        <v>54</v>
      </c>
      <c r="T60" s="53" t="s">
        <v>7</v>
      </c>
      <c r="U60" s="49">
        <f>'1. 소켓인수검사'!G62</f>
        <v>0</v>
      </c>
    </row>
    <row r="61" spans="1:21">
      <c r="A61" s="62" t="str">
        <f>'1. 소켓인수검사'!A63</f>
        <v>55</v>
      </c>
      <c r="B61" s="84" t="s">
        <v>44</v>
      </c>
      <c r="C61" s="43">
        <f>'1. 소켓인수검사'!C63</f>
        <v>950</v>
      </c>
      <c r="D61" s="43">
        <f>'1. 소켓인수검사'!D63</f>
        <v>750</v>
      </c>
      <c r="E61" s="44"/>
      <c r="F61" s="45">
        <f t="shared" si="6"/>
        <v>0.71250000000000002</v>
      </c>
      <c r="G61" s="45">
        <f t="shared" si="7"/>
        <v>3.4</v>
      </c>
      <c r="H61" s="50">
        <v>4</v>
      </c>
      <c r="I61" s="83">
        <f t="shared" si="8"/>
        <v>3.8</v>
      </c>
      <c r="J61" s="51">
        <v>2</v>
      </c>
      <c r="K61" s="34"/>
      <c r="L61" s="42"/>
      <c r="M61" s="34"/>
      <c r="N61" s="42"/>
      <c r="O61" s="83">
        <f t="shared" si="9"/>
        <v>3.9</v>
      </c>
      <c r="P61" s="51">
        <v>2</v>
      </c>
      <c r="Q61" s="46">
        <f t="shared" si="10"/>
        <v>8.2799999999999994</v>
      </c>
      <c r="R61" s="314">
        <f t="shared" si="4"/>
        <v>8.2799999999999994</v>
      </c>
      <c r="S61" s="52" t="s">
        <v>54</v>
      </c>
      <c r="T61" s="53" t="s">
        <v>7</v>
      </c>
      <c r="U61" s="49">
        <f>'1. 소켓인수검사'!G63</f>
        <v>0</v>
      </c>
    </row>
    <row r="62" spans="1:21">
      <c r="A62" s="62" t="str">
        <f>'1. 소켓인수검사'!A64</f>
        <v>56</v>
      </c>
      <c r="B62" s="84" t="s">
        <v>44</v>
      </c>
      <c r="C62" s="43">
        <f>'1. 소켓인수검사'!C64</f>
        <v>950</v>
      </c>
      <c r="D62" s="43">
        <f>'1. 소켓인수검사'!D64</f>
        <v>750</v>
      </c>
      <c r="E62" s="44"/>
      <c r="F62" s="45">
        <f t="shared" si="6"/>
        <v>0.71250000000000002</v>
      </c>
      <c r="G62" s="45">
        <f t="shared" si="7"/>
        <v>3.4</v>
      </c>
      <c r="H62" s="50">
        <v>4</v>
      </c>
      <c r="I62" s="83">
        <f t="shared" si="8"/>
        <v>3.8</v>
      </c>
      <c r="J62" s="51">
        <v>2</v>
      </c>
      <c r="K62" s="34"/>
      <c r="L62" s="42"/>
      <c r="M62" s="34"/>
      <c r="N62" s="42"/>
      <c r="O62" s="83">
        <f t="shared" si="9"/>
        <v>3.9</v>
      </c>
      <c r="P62" s="51">
        <v>2</v>
      </c>
      <c r="Q62" s="46">
        <f t="shared" si="10"/>
        <v>8.2799999999999994</v>
      </c>
      <c r="R62" s="314">
        <f t="shared" si="4"/>
        <v>8.2799999999999994</v>
      </c>
      <c r="S62" s="52" t="s">
        <v>54</v>
      </c>
      <c r="T62" s="53" t="s">
        <v>7</v>
      </c>
      <c r="U62" s="49">
        <f>'1. 소켓인수검사'!G64</f>
        <v>0</v>
      </c>
    </row>
    <row r="63" spans="1:21">
      <c r="A63" s="62" t="str">
        <f>'1. 소켓인수검사'!A65</f>
        <v>57</v>
      </c>
      <c r="B63" s="84" t="s">
        <v>44</v>
      </c>
      <c r="C63" s="43">
        <f>'1. 소켓인수검사'!C65</f>
        <v>950</v>
      </c>
      <c r="D63" s="43">
        <f>'1. 소켓인수검사'!D65</f>
        <v>750</v>
      </c>
      <c r="E63" s="44"/>
      <c r="F63" s="45">
        <f t="shared" si="6"/>
        <v>0.71250000000000002</v>
      </c>
      <c r="G63" s="45">
        <f t="shared" si="7"/>
        <v>3.4</v>
      </c>
      <c r="H63" s="50">
        <v>4</v>
      </c>
      <c r="I63" s="83">
        <f t="shared" si="8"/>
        <v>3.8</v>
      </c>
      <c r="J63" s="51">
        <v>2</v>
      </c>
      <c r="K63" s="34"/>
      <c r="L63" s="42"/>
      <c r="M63" s="34"/>
      <c r="N63" s="42"/>
      <c r="O63" s="83">
        <f t="shared" si="9"/>
        <v>3.9</v>
      </c>
      <c r="P63" s="51">
        <v>2</v>
      </c>
      <c r="Q63" s="46">
        <f t="shared" si="10"/>
        <v>8.2799999999999994</v>
      </c>
      <c r="R63" s="314">
        <f t="shared" si="4"/>
        <v>8.2799999999999994</v>
      </c>
      <c r="S63" s="52" t="s">
        <v>54</v>
      </c>
      <c r="T63" s="53" t="s">
        <v>7</v>
      </c>
      <c r="U63" s="49">
        <f>'1. 소켓인수검사'!G65</f>
        <v>0</v>
      </c>
    </row>
    <row r="64" spans="1:21">
      <c r="A64" s="62" t="str">
        <f>'1. 소켓인수검사'!A66</f>
        <v>58</v>
      </c>
      <c r="B64" s="84" t="s">
        <v>44</v>
      </c>
      <c r="C64" s="43">
        <f>'1. 소켓인수검사'!C66</f>
        <v>1000</v>
      </c>
      <c r="D64" s="43">
        <f>'1. 소켓인수검사'!D66</f>
        <v>650</v>
      </c>
      <c r="E64" s="44"/>
      <c r="F64" s="45">
        <f t="shared" si="6"/>
        <v>0.65</v>
      </c>
      <c r="G64" s="45">
        <f t="shared" si="7"/>
        <v>3.3</v>
      </c>
      <c r="H64" s="50">
        <v>4</v>
      </c>
      <c r="I64" s="83">
        <f t="shared" si="8"/>
        <v>3.6999999999999997</v>
      </c>
      <c r="J64" s="51">
        <v>2</v>
      </c>
      <c r="K64" s="34"/>
      <c r="L64" s="42"/>
      <c r="M64" s="34"/>
      <c r="N64" s="42"/>
      <c r="O64" s="83">
        <f t="shared" si="9"/>
        <v>3.8</v>
      </c>
      <c r="P64" s="51">
        <v>2</v>
      </c>
      <c r="Q64" s="46">
        <f t="shared" si="10"/>
        <v>8.08</v>
      </c>
      <c r="R64" s="314">
        <f t="shared" si="4"/>
        <v>8.08</v>
      </c>
      <c r="S64" s="52" t="s">
        <v>54</v>
      </c>
      <c r="T64" s="53" t="s">
        <v>7</v>
      </c>
      <c r="U64" s="49">
        <f>'1. 소켓인수검사'!G66</f>
        <v>0</v>
      </c>
    </row>
    <row r="65" spans="1:21">
      <c r="A65" s="62" t="str">
        <f>'1. 소켓인수검사'!A67</f>
        <v>59</v>
      </c>
      <c r="B65" s="84" t="s">
        <v>44</v>
      </c>
      <c r="C65" s="43">
        <f>'1. 소켓인수검사'!C67</f>
        <v>1000</v>
      </c>
      <c r="D65" s="43">
        <f>'1. 소켓인수검사'!D67</f>
        <v>650</v>
      </c>
      <c r="E65" s="44"/>
      <c r="F65" s="45">
        <f t="shared" si="6"/>
        <v>0.65</v>
      </c>
      <c r="G65" s="45">
        <f t="shared" si="7"/>
        <v>3.3</v>
      </c>
      <c r="H65" s="50">
        <v>4</v>
      </c>
      <c r="I65" s="83">
        <f t="shared" si="8"/>
        <v>3.6999999999999997</v>
      </c>
      <c r="J65" s="51">
        <v>2</v>
      </c>
      <c r="K65" s="34"/>
      <c r="L65" s="42"/>
      <c r="M65" s="34"/>
      <c r="N65" s="42"/>
      <c r="O65" s="83">
        <f t="shared" si="9"/>
        <v>3.8</v>
      </c>
      <c r="P65" s="51">
        <v>2</v>
      </c>
      <c r="Q65" s="46">
        <f t="shared" si="10"/>
        <v>8.08</v>
      </c>
      <c r="R65" s="314">
        <f t="shared" si="4"/>
        <v>8.08</v>
      </c>
      <c r="S65" s="52" t="s">
        <v>54</v>
      </c>
      <c r="T65" s="53" t="s">
        <v>7</v>
      </c>
      <c r="U65" s="49">
        <f>'1. 소켓인수검사'!G67</f>
        <v>0</v>
      </c>
    </row>
    <row r="66" spans="1:21">
      <c r="A66" s="62" t="str">
        <f>'1. 소켓인수검사'!A68</f>
        <v>60</v>
      </c>
      <c r="B66" s="84" t="s">
        <v>44</v>
      </c>
      <c r="C66" s="43">
        <f>'1. 소켓인수검사'!C68</f>
        <v>1000</v>
      </c>
      <c r="D66" s="43">
        <f>'1. 소켓인수검사'!D68</f>
        <v>650</v>
      </c>
      <c r="E66" s="44"/>
      <c r="F66" s="45">
        <f t="shared" si="6"/>
        <v>0.65</v>
      </c>
      <c r="G66" s="45">
        <f t="shared" si="7"/>
        <v>3.3</v>
      </c>
      <c r="H66" s="50">
        <v>4</v>
      </c>
      <c r="I66" s="83">
        <f t="shared" si="8"/>
        <v>3.6999999999999997</v>
      </c>
      <c r="J66" s="51">
        <v>2</v>
      </c>
      <c r="K66" s="34"/>
      <c r="L66" s="42"/>
      <c r="M66" s="34"/>
      <c r="N66" s="42"/>
      <c r="O66" s="83">
        <f t="shared" si="9"/>
        <v>3.8</v>
      </c>
      <c r="P66" s="51">
        <v>2</v>
      </c>
      <c r="Q66" s="46">
        <f t="shared" si="10"/>
        <v>8.08</v>
      </c>
      <c r="R66" s="314">
        <f t="shared" si="4"/>
        <v>8.08</v>
      </c>
      <c r="S66" s="52" t="s">
        <v>54</v>
      </c>
      <c r="T66" s="53" t="s">
        <v>7</v>
      </c>
      <c r="U66" s="49">
        <f>'1. 소켓인수검사'!G68</f>
        <v>0</v>
      </c>
    </row>
    <row r="67" spans="1:21">
      <c r="A67" s="62" t="str">
        <f>'1. 소켓인수검사'!A69</f>
        <v>61</v>
      </c>
      <c r="B67" s="84" t="s">
        <v>44</v>
      </c>
      <c r="C67" s="43">
        <f>'1. 소켓인수검사'!C69</f>
        <v>1000</v>
      </c>
      <c r="D67" s="43">
        <f>'1. 소켓인수검사'!D69</f>
        <v>650</v>
      </c>
      <c r="E67" s="44"/>
      <c r="F67" s="45">
        <f t="shared" si="6"/>
        <v>0.65</v>
      </c>
      <c r="G67" s="45">
        <f t="shared" si="7"/>
        <v>3.3</v>
      </c>
      <c r="H67" s="50">
        <v>4</v>
      </c>
      <c r="I67" s="83">
        <f t="shared" si="8"/>
        <v>3.6999999999999997</v>
      </c>
      <c r="J67" s="51">
        <v>2</v>
      </c>
      <c r="K67" s="34"/>
      <c r="L67" s="42"/>
      <c r="M67" s="34"/>
      <c r="N67" s="42"/>
      <c r="O67" s="83">
        <f t="shared" si="9"/>
        <v>3.8</v>
      </c>
      <c r="P67" s="51">
        <v>2</v>
      </c>
      <c r="Q67" s="46">
        <f t="shared" si="10"/>
        <v>8.08</v>
      </c>
      <c r="R67" s="314">
        <f t="shared" si="4"/>
        <v>8.08</v>
      </c>
      <c r="S67" s="52" t="s">
        <v>54</v>
      </c>
      <c r="T67" s="53" t="s">
        <v>7</v>
      </c>
      <c r="U67" s="49">
        <f>'1. 소켓인수검사'!G69</f>
        <v>0</v>
      </c>
    </row>
    <row r="68" spans="1:21">
      <c r="A68" s="62" t="str">
        <f>'1. 소켓인수검사'!A70</f>
        <v>62</v>
      </c>
      <c r="B68" s="84" t="s">
        <v>44</v>
      </c>
      <c r="C68" s="43">
        <f>'1. 소켓인수검사'!C70</f>
        <v>1000</v>
      </c>
      <c r="D68" s="43">
        <f>'1. 소켓인수검사'!D70</f>
        <v>650</v>
      </c>
      <c r="E68" s="44"/>
      <c r="F68" s="45">
        <f t="shared" si="6"/>
        <v>0.65</v>
      </c>
      <c r="G68" s="45">
        <f t="shared" si="7"/>
        <v>3.3</v>
      </c>
      <c r="H68" s="50">
        <v>4</v>
      </c>
      <c r="I68" s="83">
        <f t="shared" si="8"/>
        <v>3.6999999999999997</v>
      </c>
      <c r="J68" s="51">
        <v>2</v>
      </c>
      <c r="K68" s="34"/>
      <c r="L68" s="42"/>
      <c r="M68" s="34"/>
      <c r="N68" s="42"/>
      <c r="O68" s="83">
        <f t="shared" si="9"/>
        <v>3.8</v>
      </c>
      <c r="P68" s="51">
        <v>2</v>
      </c>
      <c r="Q68" s="46">
        <f t="shared" si="10"/>
        <v>8.08</v>
      </c>
      <c r="R68" s="314">
        <f t="shared" si="4"/>
        <v>8.08</v>
      </c>
      <c r="S68" s="52" t="s">
        <v>54</v>
      </c>
      <c r="T68" s="53" t="s">
        <v>7</v>
      </c>
      <c r="U68" s="49">
        <f>'1. 소켓인수검사'!G70</f>
        <v>0</v>
      </c>
    </row>
    <row r="69" spans="1:21">
      <c r="A69" s="62" t="str">
        <f>'1. 소켓인수검사'!A71</f>
        <v>63</v>
      </c>
      <c r="B69" s="84" t="s">
        <v>44</v>
      </c>
      <c r="C69" s="43">
        <f>'1. 소켓인수검사'!C71</f>
        <v>1000</v>
      </c>
      <c r="D69" s="43">
        <f>'1. 소켓인수검사'!D71</f>
        <v>650</v>
      </c>
      <c r="E69" s="44"/>
      <c r="F69" s="45">
        <f t="shared" si="6"/>
        <v>0.65</v>
      </c>
      <c r="G69" s="45">
        <f t="shared" si="7"/>
        <v>3.3</v>
      </c>
      <c r="H69" s="50">
        <v>4</v>
      </c>
      <c r="I69" s="83">
        <f t="shared" si="8"/>
        <v>3.6999999999999997</v>
      </c>
      <c r="J69" s="51">
        <v>2</v>
      </c>
      <c r="K69" s="34"/>
      <c r="L69" s="42"/>
      <c r="M69" s="34"/>
      <c r="N69" s="42"/>
      <c r="O69" s="83">
        <f t="shared" si="9"/>
        <v>3.8</v>
      </c>
      <c r="P69" s="51">
        <v>2</v>
      </c>
      <c r="Q69" s="46">
        <f t="shared" si="10"/>
        <v>8.08</v>
      </c>
      <c r="R69" s="314">
        <f t="shared" si="4"/>
        <v>8.08</v>
      </c>
      <c r="S69" s="52" t="s">
        <v>54</v>
      </c>
      <c r="T69" s="53" t="s">
        <v>7</v>
      </c>
      <c r="U69" s="49">
        <f>'1. 소켓인수검사'!G71</f>
        <v>0</v>
      </c>
    </row>
    <row r="70" spans="1:21">
      <c r="A70" s="62" t="str">
        <f>'1. 소켓인수검사'!A72</f>
        <v>64</v>
      </c>
      <c r="B70" s="84" t="s">
        <v>44</v>
      </c>
      <c r="C70" s="43">
        <f>'1. 소켓인수검사'!C72</f>
        <v>1000</v>
      </c>
      <c r="D70" s="43">
        <f>'1. 소켓인수검사'!D72</f>
        <v>650</v>
      </c>
      <c r="E70" s="44"/>
      <c r="F70" s="45">
        <f t="shared" si="6"/>
        <v>0.65</v>
      </c>
      <c r="G70" s="45">
        <f t="shared" si="7"/>
        <v>3.3</v>
      </c>
      <c r="H70" s="50">
        <v>4</v>
      </c>
      <c r="I70" s="83">
        <f t="shared" si="8"/>
        <v>3.6999999999999997</v>
      </c>
      <c r="J70" s="51">
        <v>2</v>
      </c>
      <c r="K70" s="34"/>
      <c r="L70" s="42"/>
      <c r="M70" s="34"/>
      <c r="N70" s="42"/>
      <c r="O70" s="83">
        <f t="shared" si="9"/>
        <v>3.8</v>
      </c>
      <c r="P70" s="51">
        <v>2</v>
      </c>
      <c r="Q70" s="46">
        <f t="shared" si="10"/>
        <v>8.08</v>
      </c>
      <c r="R70" s="314">
        <f t="shared" si="4"/>
        <v>8.08</v>
      </c>
      <c r="S70" s="52" t="s">
        <v>54</v>
      </c>
      <c r="T70" s="53" t="s">
        <v>7</v>
      </c>
      <c r="U70" s="49">
        <f>'1. 소켓인수검사'!G72</f>
        <v>0</v>
      </c>
    </row>
    <row r="71" spans="1:21">
      <c r="A71" s="62" t="str">
        <f>'1. 소켓인수검사'!A73</f>
        <v>65</v>
      </c>
      <c r="B71" s="84" t="s">
        <v>44</v>
      </c>
      <c r="C71" s="43">
        <f>'1. 소켓인수검사'!C73</f>
        <v>1000</v>
      </c>
      <c r="D71" s="43">
        <f>'1. 소켓인수검사'!D73</f>
        <v>650</v>
      </c>
      <c r="E71" s="44"/>
      <c r="F71" s="45">
        <f t="shared" si="6"/>
        <v>0.65</v>
      </c>
      <c r="G71" s="45">
        <f t="shared" si="7"/>
        <v>3.3</v>
      </c>
      <c r="H71" s="50">
        <v>4</v>
      </c>
      <c r="I71" s="83">
        <f t="shared" si="8"/>
        <v>3.6999999999999997</v>
      </c>
      <c r="J71" s="51">
        <v>2</v>
      </c>
      <c r="K71" s="34"/>
      <c r="L71" s="42"/>
      <c r="M71" s="34"/>
      <c r="N71" s="42"/>
      <c r="O71" s="83">
        <f t="shared" si="9"/>
        <v>3.8</v>
      </c>
      <c r="P71" s="51">
        <v>2</v>
      </c>
      <c r="Q71" s="46">
        <f t="shared" si="10"/>
        <v>8.08</v>
      </c>
      <c r="R71" s="314">
        <f t="shared" si="4"/>
        <v>8.08</v>
      </c>
      <c r="S71" s="52" t="s">
        <v>54</v>
      </c>
      <c r="T71" s="53" t="s">
        <v>7</v>
      </c>
      <c r="U71" s="49">
        <f>'1. 소켓인수검사'!G73</f>
        <v>0</v>
      </c>
    </row>
    <row r="72" spans="1:21">
      <c r="A72" s="62" t="str">
        <f>'1. 소켓인수검사'!A74</f>
        <v>66</v>
      </c>
      <c r="B72" s="84" t="s">
        <v>44</v>
      </c>
      <c r="C72" s="43">
        <f>'1. 소켓인수검사'!C74</f>
        <v>1000</v>
      </c>
      <c r="D72" s="43">
        <f>'1. 소켓인수검사'!D74</f>
        <v>650</v>
      </c>
      <c r="E72" s="44"/>
      <c r="F72" s="45">
        <f t="shared" si="6"/>
        <v>0.65</v>
      </c>
      <c r="G72" s="45">
        <f t="shared" si="7"/>
        <v>3.3</v>
      </c>
      <c r="H72" s="50">
        <v>4</v>
      </c>
      <c r="I72" s="83">
        <f t="shared" si="8"/>
        <v>3.6999999999999997</v>
      </c>
      <c r="J72" s="51">
        <v>2</v>
      </c>
      <c r="K72" s="34"/>
      <c r="L72" s="42"/>
      <c r="M72" s="34"/>
      <c r="N72" s="42"/>
      <c r="O72" s="83">
        <f t="shared" si="9"/>
        <v>3.8</v>
      </c>
      <c r="P72" s="51">
        <v>2</v>
      </c>
      <c r="Q72" s="46">
        <f t="shared" si="10"/>
        <v>8.08</v>
      </c>
      <c r="R72" s="314">
        <f t="shared" ref="R72:R116" si="11">Q72</f>
        <v>8.08</v>
      </c>
      <c r="S72" s="52" t="s">
        <v>54</v>
      </c>
      <c r="T72" s="53" t="s">
        <v>7</v>
      </c>
      <c r="U72" s="49">
        <f>'1. 소켓인수검사'!G74</f>
        <v>0</v>
      </c>
    </row>
    <row r="73" spans="1:21">
      <c r="A73" s="62" t="str">
        <f>'1. 소켓인수검사'!A75</f>
        <v>67</v>
      </c>
      <c r="B73" s="84" t="s">
        <v>44</v>
      </c>
      <c r="C73" s="43">
        <f>'1. 소켓인수검사'!C75</f>
        <v>1000</v>
      </c>
      <c r="D73" s="43">
        <f>'1. 소켓인수검사'!D75</f>
        <v>650</v>
      </c>
      <c r="E73" s="44"/>
      <c r="F73" s="45">
        <f t="shared" si="6"/>
        <v>0.65</v>
      </c>
      <c r="G73" s="45">
        <f t="shared" si="7"/>
        <v>3.3</v>
      </c>
      <c r="H73" s="50">
        <v>4</v>
      </c>
      <c r="I73" s="83">
        <f t="shared" si="8"/>
        <v>3.6999999999999997</v>
      </c>
      <c r="J73" s="51">
        <v>2</v>
      </c>
      <c r="K73" s="34"/>
      <c r="L73" s="42"/>
      <c r="M73" s="34"/>
      <c r="N73" s="42"/>
      <c r="O73" s="83">
        <f t="shared" si="9"/>
        <v>3.8</v>
      </c>
      <c r="P73" s="51">
        <v>2</v>
      </c>
      <c r="Q73" s="46">
        <f t="shared" si="10"/>
        <v>8.08</v>
      </c>
      <c r="R73" s="314">
        <f t="shared" si="11"/>
        <v>8.08</v>
      </c>
      <c r="S73" s="52" t="s">
        <v>54</v>
      </c>
      <c r="T73" s="53" t="s">
        <v>7</v>
      </c>
      <c r="U73" s="49">
        <f>'1. 소켓인수검사'!G75</f>
        <v>0</v>
      </c>
    </row>
    <row r="74" spans="1:21">
      <c r="A74" s="62" t="str">
        <f>'1. 소켓인수검사'!A76</f>
        <v>68</v>
      </c>
      <c r="B74" s="84" t="s">
        <v>44</v>
      </c>
      <c r="C74" s="43">
        <f>'1. 소켓인수검사'!C76</f>
        <v>1000</v>
      </c>
      <c r="D74" s="43">
        <f>'1. 소켓인수검사'!D76</f>
        <v>650</v>
      </c>
      <c r="E74" s="44"/>
      <c r="F74" s="45">
        <f t="shared" si="6"/>
        <v>0.65</v>
      </c>
      <c r="G74" s="45">
        <f t="shared" si="7"/>
        <v>3.3</v>
      </c>
      <c r="H74" s="50">
        <v>4</v>
      </c>
      <c r="I74" s="83">
        <f t="shared" si="8"/>
        <v>3.6999999999999997</v>
      </c>
      <c r="J74" s="51">
        <v>2</v>
      </c>
      <c r="K74" s="34"/>
      <c r="L74" s="42"/>
      <c r="M74" s="34"/>
      <c r="N74" s="42"/>
      <c r="O74" s="83">
        <f t="shared" si="9"/>
        <v>3.8</v>
      </c>
      <c r="P74" s="51">
        <v>2</v>
      </c>
      <c r="Q74" s="46">
        <f t="shared" si="10"/>
        <v>8.08</v>
      </c>
      <c r="R74" s="314">
        <f t="shared" si="11"/>
        <v>8.08</v>
      </c>
      <c r="S74" s="52" t="s">
        <v>54</v>
      </c>
      <c r="T74" s="53" t="s">
        <v>7</v>
      </c>
      <c r="U74" s="49">
        <f>'1. 소켓인수검사'!G76</f>
        <v>0</v>
      </c>
    </row>
    <row r="75" spans="1:21">
      <c r="A75" s="62" t="str">
        <f>'1. 소켓인수검사'!A77</f>
        <v>69</v>
      </c>
      <c r="B75" s="84" t="s">
        <v>44</v>
      </c>
      <c r="C75" s="43">
        <f>'1. 소켓인수검사'!C77</f>
        <v>1000</v>
      </c>
      <c r="D75" s="43">
        <f>'1. 소켓인수검사'!D77</f>
        <v>650</v>
      </c>
      <c r="E75" s="44"/>
      <c r="F75" s="45">
        <f t="shared" si="6"/>
        <v>0.65</v>
      </c>
      <c r="G75" s="45">
        <f t="shared" si="7"/>
        <v>3.3</v>
      </c>
      <c r="H75" s="50">
        <v>4</v>
      </c>
      <c r="I75" s="83">
        <f t="shared" si="8"/>
        <v>3.6999999999999997</v>
      </c>
      <c r="J75" s="51">
        <v>2</v>
      </c>
      <c r="K75" s="34"/>
      <c r="L75" s="42"/>
      <c r="M75" s="34"/>
      <c r="N75" s="42"/>
      <c r="O75" s="83">
        <f t="shared" si="9"/>
        <v>3.8</v>
      </c>
      <c r="P75" s="51">
        <v>2</v>
      </c>
      <c r="Q75" s="46">
        <f t="shared" si="10"/>
        <v>8.08</v>
      </c>
      <c r="R75" s="314">
        <f t="shared" si="11"/>
        <v>8.08</v>
      </c>
      <c r="S75" s="52" t="s">
        <v>54</v>
      </c>
      <c r="T75" s="53" t="s">
        <v>7</v>
      </c>
      <c r="U75" s="49">
        <f>'1. 소켓인수검사'!G77</f>
        <v>0</v>
      </c>
    </row>
    <row r="76" spans="1:21">
      <c r="A76" s="62" t="str">
        <f>'1. 소켓인수검사'!A78</f>
        <v>70</v>
      </c>
      <c r="B76" s="84" t="s">
        <v>44</v>
      </c>
      <c r="C76" s="43">
        <f>'1. 소켓인수검사'!C78</f>
        <v>1000</v>
      </c>
      <c r="D76" s="43">
        <f>'1. 소켓인수검사'!D78</f>
        <v>750</v>
      </c>
      <c r="E76" s="44"/>
      <c r="F76" s="45">
        <f t="shared" si="6"/>
        <v>0.75</v>
      </c>
      <c r="G76" s="45">
        <f t="shared" si="7"/>
        <v>3.5</v>
      </c>
      <c r="H76" s="50">
        <v>4</v>
      </c>
      <c r="I76" s="83">
        <f t="shared" si="8"/>
        <v>3.9</v>
      </c>
      <c r="J76" s="51">
        <v>2</v>
      </c>
      <c r="K76" s="34"/>
      <c r="L76" s="42"/>
      <c r="M76" s="34"/>
      <c r="N76" s="42"/>
      <c r="O76" s="83">
        <f t="shared" si="9"/>
        <v>4</v>
      </c>
      <c r="P76" s="51">
        <v>2</v>
      </c>
      <c r="Q76" s="46">
        <f t="shared" si="10"/>
        <v>8.48</v>
      </c>
      <c r="R76" s="314">
        <f t="shared" si="11"/>
        <v>8.48</v>
      </c>
      <c r="S76" s="52" t="s">
        <v>54</v>
      </c>
      <c r="T76" s="53" t="s">
        <v>7</v>
      </c>
      <c r="U76" s="49">
        <f>'1. 소켓인수검사'!G78</f>
        <v>0</v>
      </c>
    </row>
    <row r="77" spans="1:21">
      <c r="A77" s="62" t="str">
        <f>'1. 소켓인수검사'!A79</f>
        <v>71</v>
      </c>
      <c r="B77" s="84" t="s">
        <v>44</v>
      </c>
      <c r="C77" s="43">
        <f>'1. 소켓인수검사'!C79</f>
        <v>1000</v>
      </c>
      <c r="D77" s="43">
        <f>'1. 소켓인수검사'!D79</f>
        <v>750</v>
      </c>
      <c r="E77" s="44"/>
      <c r="F77" s="45">
        <f t="shared" si="6"/>
        <v>0.75</v>
      </c>
      <c r="G77" s="45">
        <f t="shared" si="7"/>
        <v>3.5</v>
      </c>
      <c r="H77" s="50">
        <v>4</v>
      </c>
      <c r="I77" s="83">
        <f t="shared" si="8"/>
        <v>3.9</v>
      </c>
      <c r="J77" s="51">
        <v>2</v>
      </c>
      <c r="K77" s="34"/>
      <c r="L77" s="42"/>
      <c r="M77" s="34"/>
      <c r="N77" s="42"/>
      <c r="O77" s="83">
        <f t="shared" si="9"/>
        <v>4</v>
      </c>
      <c r="P77" s="51">
        <v>2</v>
      </c>
      <c r="Q77" s="46">
        <f t="shared" si="10"/>
        <v>8.48</v>
      </c>
      <c r="R77" s="314">
        <f t="shared" si="11"/>
        <v>8.48</v>
      </c>
      <c r="S77" s="52" t="s">
        <v>54</v>
      </c>
      <c r="T77" s="53" t="s">
        <v>7</v>
      </c>
      <c r="U77" s="49">
        <f>'1. 소켓인수검사'!G79</f>
        <v>0</v>
      </c>
    </row>
    <row r="78" spans="1:21">
      <c r="A78" s="62" t="str">
        <f>'1. 소켓인수검사'!A80</f>
        <v>72</v>
      </c>
      <c r="B78" s="84" t="s">
        <v>44</v>
      </c>
      <c r="C78" s="43">
        <f>'1. 소켓인수검사'!C80</f>
        <v>1000</v>
      </c>
      <c r="D78" s="43">
        <f>'1. 소켓인수검사'!D80</f>
        <v>750</v>
      </c>
      <c r="E78" s="44"/>
      <c r="F78" s="45">
        <f t="shared" si="6"/>
        <v>0.75</v>
      </c>
      <c r="G78" s="45">
        <f t="shared" si="7"/>
        <v>3.5</v>
      </c>
      <c r="H78" s="50">
        <v>4</v>
      </c>
      <c r="I78" s="83">
        <f t="shared" si="8"/>
        <v>3.9</v>
      </c>
      <c r="J78" s="51">
        <v>2</v>
      </c>
      <c r="K78" s="34"/>
      <c r="L78" s="42"/>
      <c r="M78" s="34"/>
      <c r="N78" s="42"/>
      <c r="O78" s="83">
        <f t="shared" si="9"/>
        <v>4</v>
      </c>
      <c r="P78" s="51">
        <v>2</v>
      </c>
      <c r="Q78" s="46">
        <f t="shared" si="10"/>
        <v>8.48</v>
      </c>
      <c r="R78" s="314">
        <f t="shared" si="11"/>
        <v>8.48</v>
      </c>
      <c r="S78" s="52" t="s">
        <v>54</v>
      </c>
      <c r="T78" s="53" t="s">
        <v>7</v>
      </c>
      <c r="U78" s="49">
        <f>'1. 소켓인수검사'!G80</f>
        <v>0</v>
      </c>
    </row>
    <row r="79" spans="1:21">
      <c r="A79" s="62" t="str">
        <f>'1. 소켓인수검사'!A81</f>
        <v>73</v>
      </c>
      <c r="B79" s="84" t="s">
        <v>44</v>
      </c>
      <c r="C79" s="43">
        <f>'1. 소켓인수검사'!C81</f>
        <v>1000</v>
      </c>
      <c r="D79" s="43">
        <f>'1. 소켓인수검사'!D81</f>
        <v>750</v>
      </c>
      <c r="E79" s="44"/>
      <c r="F79" s="45">
        <f t="shared" si="6"/>
        <v>0.75</v>
      </c>
      <c r="G79" s="45">
        <f t="shared" si="7"/>
        <v>3.5</v>
      </c>
      <c r="H79" s="50">
        <v>4</v>
      </c>
      <c r="I79" s="83">
        <f t="shared" si="8"/>
        <v>3.9</v>
      </c>
      <c r="J79" s="51">
        <v>2</v>
      </c>
      <c r="K79" s="34"/>
      <c r="L79" s="42"/>
      <c r="M79" s="34"/>
      <c r="N79" s="42"/>
      <c r="O79" s="83">
        <f t="shared" si="9"/>
        <v>4</v>
      </c>
      <c r="P79" s="51">
        <v>2</v>
      </c>
      <c r="Q79" s="46">
        <f t="shared" si="10"/>
        <v>8.48</v>
      </c>
      <c r="R79" s="314">
        <f t="shared" si="11"/>
        <v>8.48</v>
      </c>
      <c r="S79" s="52" t="s">
        <v>54</v>
      </c>
      <c r="T79" s="53" t="s">
        <v>7</v>
      </c>
      <c r="U79" s="49">
        <f>'1. 소켓인수검사'!G81</f>
        <v>0</v>
      </c>
    </row>
    <row r="80" spans="1:21">
      <c r="A80" s="62" t="str">
        <f>'1. 소켓인수검사'!A82</f>
        <v>74</v>
      </c>
      <c r="B80" s="84" t="s">
        <v>44</v>
      </c>
      <c r="C80" s="43">
        <f>'1. 소켓인수검사'!C82</f>
        <v>1000</v>
      </c>
      <c r="D80" s="43">
        <f>'1. 소켓인수검사'!D82</f>
        <v>750</v>
      </c>
      <c r="E80" s="44"/>
      <c r="F80" s="45">
        <f t="shared" si="6"/>
        <v>0.75</v>
      </c>
      <c r="G80" s="45">
        <f t="shared" si="7"/>
        <v>3.5</v>
      </c>
      <c r="H80" s="50">
        <v>4</v>
      </c>
      <c r="I80" s="83">
        <f t="shared" si="8"/>
        <v>3.9</v>
      </c>
      <c r="J80" s="51">
        <v>2</v>
      </c>
      <c r="K80" s="34"/>
      <c r="L80" s="42"/>
      <c r="M80" s="34"/>
      <c r="N80" s="42"/>
      <c r="O80" s="83">
        <f t="shared" si="9"/>
        <v>4</v>
      </c>
      <c r="P80" s="51">
        <v>2</v>
      </c>
      <c r="Q80" s="46">
        <f t="shared" si="10"/>
        <v>8.48</v>
      </c>
      <c r="R80" s="314">
        <f t="shared" si="11"/>
        <v>8.48</v>
      </c>
      <c r="S80" s="52" t="s">
        <v>54</v>
      </c>
      <c r="T80" s="53" t="s">
        <v>7</v>
      </c>
      <c r="U80" s="49">
        <f>'1. 소켓인수검사'!G82</f>
        <v>0</v>
      </c>
    </row>
    <row r="81" spans="1:21">
      <c r="A81" s="62" t="str">
        <f>'1. 소켓인수검사'!A83</f>
        <v>75</v>
      </c>
      <c r="B81" s="84" t="s">
        <v>44</v>
      </c>
      <c r="C81" s="43">
        <f>'1. 소켓인수검사'!C83</f>
        <v>1000</v>
      </c>
      <c r="D81" s="43">
        <f>'1. 소켓인수검사'!D83</f>
        <v>750</v>
      </c>
      <c r="E81" s="44"/>
      <c r="F81" s="45">
        <f t="shared" si="6"/>
        <v>0.75</v>
      </c>
      <c r="G81" s="45">
        <f t="shared" si="7"/>
        <v>3.5</v>
      </c>
      <c r="H81" s="50">
        <v>4</v>
      </c>
      <c r="I81" s="83">
        <f t="shared" si="8"/>
        <v>3.9</v>
      </c>
      <c r="J81" s="51">
        <v>2</v>
      </c>
      <c r="K81" s="34"/>
      <c r="L81" s="42"/>
      <c r="M81" s="34"/>
      <c r="N81" s="42"/>
      <c r="O81" s="83">
        <f t="shared" si="9"/>
        <v>4</v>
      </c>
      <c r="P81" s="51">
        <v>2</v>
      </c>
      <c r="Q81" s="46">
        <f t="shared" si="10"/>
        <v>8.48</v>
      </c>
      <c r="R81" s="314">
        <f t="shared" si="11"/>
        <v>8.48</v>
      </c>
      <c r="S81" s="52" t="s">
        <v>54</v>
      </c>
      <c r="T81" s="53" t="s">
        <v>7</v>
      </c>
      <c r="U81" s="49">
        <f>'1. 소켓인수검사'!G83</f>
        <v>0</v>
      </c>
    </row>
    <row r="82" spans="1:21">
      <c r="A82" s="62" t="str">
        <f>'1. 소켓인수검사'!A84</f>
        <v>76</v>
      </c>
      <c r="B82" s="84" t="s">
        <v>44</v>
      </c>
      <c r="C82" s="43">
        <f>'1. 소켓인수검사'!C84</f>
        <v>1000</v>
      </c>
      <c r="D82" s="43">
        <f>'1. 소켓인수검사'!D84</f>
        <v>800</v>
      </c>
      <c r="E82" s="44"/>
      <c r="F82" s="45">
        <f t="shared" si="6"/>
        <v>0.8</v>
      </c>
      <c r="G82" s="45">
        <f t="shared" si="7"/>
        <v>3.6</v>
      </c>
      <c r="H82" s="50">
        <v>4</v>
      </c>
      <c r="I82" s="83">
        <f t="shared" si="8"/>
        <v>4</v>
      </c>
      <c r="J82" s="51">
        <v>2</v>
      </c>
      <c r="K82" s="34"/>
      <c r="L82" s="42"/>
      <c r="M82" s="34"/>
      <c r="N82" s="42"/>
      <c r="O82" s="83">
        <f t="shared" si="9"/>
        <v>4.0999999999999996</v>
      </c>
      <c r="P82" s="51">
        <v>2</v>
      </c>
      <c r="Q82" s="46">
        <f t="shared" si="10"/>
        <v>8.68</v>
      </c>
      <c r="R82" s="314">
        <f t="shared" si="11"/>
        <v>8.68</v>
      </c>
      <c r="S82" s="52" t="s">
        <v>54</v>
      </c>
      <c r="T82" s="53" t="s">
        <v>7</v>
      </c>
      <c r="U82" s="49">
        <f>'1. 소켓인수검사'!G84</f>
        <v>0</v>
      </c>
    </row>
    <row r="83" spans="1:21">
      <c r="A83" s="62" t="str">
        <f>'1. 소켓인수검사'!A85</f>
        <v>77</v>
      </c>
      <c r="B83" s="84" t="s">
        <v>44</v>
      </c>
      <c r="C83" s="43">
        <f>'1. 소켓인수검사'!C85</f>
        <v>1000</v>
      </c>
      <c r="D83" s="43">
        <f>'1. 소켓인수검사'!D85</f>
        <v>800</v>
      </c>
      <c r="E83" s="44"/>
      <c r="F83" s="45">
        <f t="shared" si="6"/>
        <v>0.8</v>
      </c>
      <c r="G83" s="45">
        <f t="shared" si="7"/>
        <v>3.6</v>
      </c>
      <c r="H83" s="50">
        <v>4</v>
      </c>
      <c r="I83" s="83">
        <f t="shared" ref="I83:I114" si="12">(G83+0.4)</f>
        <v>4</v>
      </c>
      <c r="J83" s="51">
        <v>2</v>
      </c>
      <c r="K83" s="34"/>
      <c r="L83" s="42"/>
      <c r="M83" s="34"/>
      <c r="N83" s="42"/>
      <c r="O83" s="83">
        <f t="shared" ref="O83:O114" si="13">(G83+0.5)</f>
        <v>4.0999999999999996</v>
      </c>
      <c r="P83" s="51">
        <v>2</v>
      </c>
      <c r="Q83" s="46">
        <f t="shared" si="10"/>
        <v>8.68</v>
      </c>
      <c r="R83" s="314">
        <f t="shared" si="11"/>
        <v>8.68</v>
      </c>
      <c r="S83" s="52" t="s">
        <v>54</v>
      </c>
      <c r="T83" s="53" t="s">
        <v>7</v>
      </c>
      <c r="U83" s="49">
        <f>'1. 소켓인수검사'!G85</f>
        <v>0</v>
      </c>
    </row>
    <row r="84" spans="1:21">
      <c r="A84" s="62" t="str">
        <f>'1. 소켓인수검사'!A86</f>
        <v>78</v>
      </c>
      <c r="B84" s="84" t="s">
        <v>44</v>
      </c>
      <c r="C84" s="43">
        <f>'1. 소켓인수검사'!C86</f>
        <v>1000</v>
      </c>
      <c r="D84" s="43">
        <f>'1. 소켓인수검사'!D86</f>
        <v>800</v>
      </c>
      <c r="E84" s="44"/>
      <c r="F84" s="45">
        <f t="shared" si="6"/>
        <v>0.8</v>
      </c>
      <c r="G84" s="45">
        <f t="shared" si="7"/>
        <v>3.6</v>
      </c>
      <c r="H84" s="50">
        <v>4</v>
      </c>
      <c r="I84" s="83">
        <f t="shared" si="12"/>
        <v>4</v>
      </c>
      <c r="J84" s="51">
        <v>2</v>
      </c>
      <c r="K84" s="34"/>
      <c r="L84" s="42"/>
      <c r="M84" s="34"/>
      <c r="N84" s="42"/>
      <c r="O84" s="83">
        <f t="shared" si="13"/>
        <v>4.0999999999999996</v>
      </c>
      <c r="P84" s="51">
        <v>2</v>
      </c>
      <c r="Q84" s="46">
        <f t="shared" si="10"/>
        <v>8.68</v>
      </c>
      <c r="R84" s="314">
        <f t="shared" si="11"/>
        <v>8.68</v>
      </c>
      <c r="S84" s="52" t="s">
        <v>54</v>
      </c>
      <c r="T84" s="53" t="s">
        <v>7</v>
      </c>
      <c r="U84" s="49">
        <f>'1. 소켓인수검사'!G86</f>
        <v>0</v>
      </c>
    </row>
    <row r="85" spans="1:21">
      <c r="A85" s="62" t="str">
        <f>'1. 소켓인수검사'!A87</f>
        <v>79</v>
      </c>
      <c r="B85" s="84" t="s">
        <v>44</v>
      </c>
      <c r="C85" s="43">
        <f>'1. 소켓인수검사'!C87</f>
        <v>1000</v>
      </c>
      <c r="D85" s="43">
        <f>'1. 소켓인수검사'!D87</f>
        <v>800</v>
      </c>
      <c r="E85" s="44"/>
      <c r="F85" s="45">
        <f t="shared" si="6"/>
        <v>0.8</v>
      </c>
      <c r="G85" s="45">
        <f t="shared" si="7"/>
        <v>3.6</v>
      </c>
      <c r="H85" s="50">
        <v>4</v>
      </c>
      <c r="I85" s="83">
        <f t="shared" si="12"/>
        <v>4</v>
      </c>
      <c r="J85" s="51">
        <v>2</v>
      </c>
      <c r="K85" s="34"/>
      <c r="L85" s="42"/>
      <c r="M85" s="34"/>
      <c r="N85" s="42"/>
      <c r="O85" s="83">
        <f t="shared" si="13"/>
        <v>4.0999999999999996</v>
      </c>
      <c r="P85" s="51">
        <v>2</v>
      </c>
      <c r="Q85" s="46">
        <f t="shared" si="10"/>
        <v>8.68</v>
      </c>
      <c r="R85" s="314">
        <f t="shared" si="11"/>
        <v>8.68</v>
      </c>
      <c r="S85" s="52" t="s">
        <v>54</v>
      </c>
      <c r="T85" s="53" t="s">
        <v>7</v>
      </c>
      <c r="U85" s="49">
        <f>'1. 소켓인수검사'!G87</f>
        <v>0</v>
      </c>
    </row>
    <row r="86" spans="1:21">
      <c r="A86" s="62" t="str">
        <f>'1. 소켓인수검사'!A88</f>
        <v>80</v>
      </c>
      <c r="B86" s="84" t="s">
        <v>44</v>
      </c>
      <c r="C86" s="43">
        <f>'1. 소켓인수검사'!C88</f>
        <v>1000</v>
      </c>
      <c r="D86" s="43">
        <f>'1. 소켓인수검사'!D88</f>
        <v>800</v>
      </c>
      <c r="E86" s="44"/>
      <c r="F86" s="45">
        <f t="shared" si="6"/>
        <v>0.8</v>
      </c>
      <c r="G86" s="45">
        <f t="shared" si="7"/>
        <v>3.6</v>
      </c>
      <c r="H86" s="50">
        <v>4</v>
      </c>
      <c r="I86" s="83">
        <f t="shared" si="12"/>
        <v>4</v>
      </c>
      <c r="J86" s="51">
        <v>2</v>
      </c>
      <c r="K86" s="34"/>
      <c r="L86" s="42"/>
      <c r="M86" s="34"/>
      <c r="N86" s="42"/>
      <c r="O86" s="83">
        <f t="shared" si="13"/>
        <v>4.0999999999999996</v>
      </c>
      <c r="P86" s="51">
        <v>2</v>
      </c>
      <c r="Q86" s="46">
        <f t="shared" si="10"/>
        <v>8.68</v>
      </c>
      <c r="R86" s="314">
        <f t="shared" si="11"/>
        <v>8.68</v>
      </c>
      <c r="S86" s="52" t="s">
        <v>54</v>
      </c>
      <c r="T86" s="53" t="s">
        <v>7</v>
      </c>
      <c r="U86" s="49">
        <f>'1. 소켓인수검사'!G88</f>
        <v>0</v>
      </c>
    </row>
    <row r="87" spans="1:21">
      <c r="A87" s="62" t="str">
        <f>'1. 소켓인수검사'!A89</f>
        <v>81</v>
      </c>
      <c r="B87" s="84" t="s">
        <v>44</v>
      </c>
      <c r="C87" s="43">
        <f>'1. 소켓인수검사'!C89</f>
        <v>1000</v>
      </c>
      <c r="D87" s="43">
        <f>'1. 소켓인수검사'!D89</f>
        <v>800</v>
      </c>
      <c r="E87" s="44"/>
      <c r="F87" s="45">
        <f t="shared" si="6"/>
        <v>0.8</v>
      </c>
      <c r="G87" s="45">
        <f t="shared" si="7"/>
        <v>3.6</v>
      </c>
      <c r="H87" s="50">
        <v>4</v>
      </c>
      <c r="I87" s="83">
        <f t="shared" si="12"/>
        <v>4</v>
      </c>
      <c r="J87" s="51">
        <v>2</v>
      </c>
      <c r="K87" s="34"/>
      <c r="L87" s="42"/>
      <c r="M87" s="34"/>
      <c r="N87" s="42"/>
      <c r="O87" s="83">
        <f t="shared" si="13"/>
        <v>4.0999999999999996</v>
      </c>
      <c r="P87" s="51">
        <v>2</v>
      </c>
      <c r="Q87" s="46">
        <f t="shared" si="10"/>
        <v>8.68</v>
      </c>
      <c r="R87" s="314">
        <f t="shared" si="11"/>
        <v>8.68</v>
      </c>
      <c r="S87" s="52" t="s">
        <v>54</v>
      </c>
      <c r="T87" s="53" t="s">
        <v>7</v>
      </c>
      <c r="U87" s="49">
        <f>'1. 소켓인수검사'!G89</f>
        <v>0</v>
      </c>
    </row>
    <row r="88" spans="1:21">
      <c r="A88" s="62" t="str">
        <f>'1. 소켓인수검사'!A90</f>
        <v>82</v>
      </c>
      <c r="B88" s="84" t="s">
        <v>44</v>
      </c>
      <c r="C88" s="43">
        <f>'1. 소켓인수검사'!C90</f>
        <v>1000</v>
      </c>
      <c r="D88" s="43">
        <f>'1. 소켓인수검사'!D90</f>
        <v>800</v>
      </c>
      <c r="E88" s="44"/>
      <c r="F88" s="45">
        <f t="shared" si="6"/>
        <v>0.8</v>
      </c>
      <c r="G88" s="45">
        <f t="shared" si="7"/>
        <v>3.6</v>
      </c>
      <c r="H88" s="50">
        <v>4</v>
      </c>
      <c r="I88" s="83">
        <f t="shared" si="12"/>
        <v>4</v>
      </c>
      <c r="J88" s="51">
        <v>2</v>
      </c>
      <c r="K88" s="34"/>
      <c r="L88" s="42"/>
      <c r="M88" s="34"/>
      <c r="N88" s="42"/>
      <c r="O88" s="83">
        <f t="shared" si="13"/>
        <v>4.0999999999999996</v>
      </c>
      <c r="P88" s="51">
        <v>2</v>
      </c>
      <c r="Q88" s="46">
        <f t="shared" si="10"/>
        <v>8.68</v>
      </c>
      <c r="R88" s="314">
        <f t="shared" si="11"/>
        <v>8.68</v>
      </c>
      <c r="S88" s="52" t="s">
        <v>54</v>
      </c>
      <c r="T88" s="53" t="s">
        <v>7</v>
      </c>
      <c r="U88" s="49">
        <f>'1. 소켓인수검사'!G90</f>
        <v>0</v>
      </c>
    </row>
    <row r="89" spans="1:21">
      <c r="A89" s="62" t="str">
        <f>'1. 소켓인수검사'!A91</f>
        <v>83</v>
      </c>
      <c r="B89" s="84" t="s">
        <v>44</v>
      </c>
      <c r="C89" s="43">
        <f>'1. 소켓인수검사'!C91</f>
        <v>1000</v>
      </c>
      <c r="D89" s="43">
        <f>'1. 소켓인수검사'!D91</f>
        <v>800</v>
      </c>
      <c r="E89" s="44"/>
      <c r="F89" s="45">
        <f t="shared" si="6"/>
        <v>0.8</v>
      </c>
      <c r="G89" s="45">
        <f t="shared" si="7"/>
        <v>3.6</v>
      </c>
      <c r="H89" s="50">
        <v>4</v>
      </c>
      <c r="I89" s="83">
        <f t="shared" si="12"/>
        <v>4</v>
      </c>
      <c r="J89" s="51">
        <v>2</v>
      </c>
      <c r="K89" s="34"/>
      <c r="L89" s="42"/>
      <c r="M89" s="34"/>
      <c r="N89" s="42"/>
      <c r="O89" s="83">
        <f t="shared" si="13"/>
        <v>4.0999999999999996</v>
      </c>
      <c r="P89" s="51">
        <v>2</v>
      </c>
      <c r="Q89" s="46">
        <f t="shared" si="10"/>
        <v>8.68</v>
      </c>
      <c r="R89" s="314">
        <f t="shared" si="11"/>
        <v>8.68</v>
      </c>
      <c r="S89" s="52" t="s">
        <v>54</v>
      </c>
      <c r="T89" s="53" t="s">
        <v>7</v>
      </c>
      <c r="U89" s="49">
        <f>'1. 소켓인수검사'!G91</f>
        <v>0</v>
      </c>
    </row>
    <row r="90" spans="1:21">
      <c r="A90" s="62" t="str">
        <f>'1. 소켓인수검사'!A92</f>
        <v>84</v>
      </c>
      <c r="B90" s="84" t="s">
        <v>44</v>
      </c>
      <c r="C90" s="43">
        <f>'1. 소켓인수검사'!C92</f>
        <v>1000</v>
      </c>
      <c r="D90" s="43">
        <f>'1. 소켓인수검사'!D92</f>
        <v>800</v>
      </c>
      <c r="E90" s="44"/>
      <c r="F90" s="45">
        <f t="shared" si="6"/>
        <v>0.8</v>
      </c>
      <c r="G90" s="45">
        <f t="shared" si="7"/>
        <v>3.6</v>
      </c>
      <c r="H90" s="50">
        <v>4</v>
      </c>
      <c r="I90" s="83">
        <f t="shared" si="12"/>
        <v>4</v>
      </c>
      <c r="J90" s="51">
        <v>2</v>
      </c>
      <c r="K90" s="34"/>
      <c r="L90" s="42"/>
      <c r="M90" s="34"/>
      <c r="N90" s="42"/>
      <c r="O90" s="83">
        <f t="shared" si="13"/>
        <v>4.0999999999999996</v>
      </c>
      <c r="P90" s="51">
        <v>2</v>
      </c>
      <c r="Q90" s="46">
        <f t="shared" si="10"/>
        <v>8.68</v>
      </c>
      <c r="R90" s="314">
        <f t="shared" si="11"/>
        <v>8.68</v>
      </c>
      <c r="S90" s="52" t="s">
        <v>54</v>
      </c>
      <c r="T90" s="53" t="s">
        <v>7</v>
      </c>
      <c r="U90" s="49">
        <f>'1. 소켓인수검사'!G92</f>
        <v>0</v>
      </c>
    </row>
    <row r="91" spans="1:21">
      <c r="A91" s="62" t="str">
        <f>'1. 소켓인수검사'!A93</f>
        <v>85</v>
      </c>
      <c r="B91" s="84" t="s">
        <v>44</v>
      </c>
      <c r="C91" s="43">
        <f>'1. 소켓인수검사'!C93</f>
        <v>1000</v>
      </c>
      <c r="D91" s="43">
        <f>'1. 소켓인수검사'!D93</f>
        <v>800</v>
      </c>
      <c r="E91" s="44"/>
      <c r="F91" s="45">
        <f t="shared" si="6"/>
        <v>0.8</v>
      </c>
      <c r="G91" s="45">
        <f t="shared" si="7"/>
        <v>3.6</v>
      </c>
      <c r="H91" s="50">
        <v>4</v>
      </c>
      <c r="I91" s="83">
        <f t="shared" si="12"/>
        <v>4</v>
      </c>
      <c r="J91" s="51">
        <v>2</v>
      </c>
      <c r="K91" s="34"/>
      <c r="L91" s="42"/>
      <c r="M91" s="34"/>
      <c r="N91" s="42"/>
      <c r="O91" s="83">
        <f t="shared" si="13"/>
        <v>4.0999999999999996</v>
      </c>
      <c r="P91" s="51">
        <v>2</v>
      </c>
      <c r="Q91" s="46">
        <f t="shared" si="10"/>
        <v>8.68</v>
      </c>
      <c r="R91" s="314">
        <f t="shared" si="11"/>
        <v>8.68</v>
      </c>
      <c r="S91" s="52" t="s">
        <v>54</v>
      </c>
      <c r="T91" s="53" t="s">
        <v>7</v>
      </c>
      <c r="U91" s="49">
        <f>'1. 소켓인수검사'!G93</f>
        <v>0</v>
      </c>
    </row>
    <row r="92" spans="1:21">
      <c r="A92" s="62" t="str">
        <f>'1. 소켓인수검사'!A94</f>
        <v>86</v>
      </c>
      <c r="B92" s="84" t="s">
        <v>44</v>
      </c>
      <c r="C92" s="43">
        <f>'1. 소켓인수검사'!C94</f>
        <v>1000</v>
      </c>
      <c r="D92" s="43">
        <f>'1. 소켓인수검사'!D94</f>
        <v>800</v>
      </c>
      <c r="E92" s="44"/>
      <c r="F92" s="45">
        <f t="shared" si="6"/>
        <v>0.8</v>
      </c>
      <c r="G92" s="45">
        <f t="shared" si="7"/>
        <v>3.6</v>
      </c>
      <c r="H92" s="50">
        <v>4</v>
      </c>
      <c r="I92" s="83">
        <f t="shared" si="12"/>
        <v>4</v>
      </c>
      <c r="J92" s="51">
        <v>2</v>
      </c>
      <c r="K92" s="34"/>
      <c r="L92" s="42"/>
      <c r="M92" s="34"/>
      <c r="N92" s="42"/>
      <c r="O92" s="83">
        <f t="shared" si="13"/>
        <v>4.0999999999999996</v>
      </c>
      <c r="P92" s="51">
        <v>2</v>
      </c>
      <c r="Q92" s="46">
        <f t="shared" si="10"/>
        <v>8.68</v>
      </c>
      <c r="R92" s="314">
        <f t="shared" si="11"/>
        <v>8.68</v>
      </c>
      <c r="S92" s="52" t="s">
        <v>54</v>
      </c>
      <c r="T92" s="53" t="s">
        <v>7</v>
      </c>
      <c r="U92" s="49">
        <f>'1. 소켓인수검사'!G94</f>
        <v>0</v>
      </c>
    </row>
    <row r="93" spans="1:21">
      <c r="A93" s="62" t="str">
        <f>'1. 소켓인수검사'!A95</f>
        <v>87</v>
      </c>
      <c r="B93" s="84" t="s">
        <v>44</v>
      </c>
      <c r="C93" s="43">
        <f>'1. 소켓인수검사'!C95</f>
        <v>1000</v>
      </c>
      <c r="D93" s="43">
        <f>'1. 소켓인수검사'!D95</f>
        <v>800</v>
      </c>
      <c r="E93" s="44"/>
      <c r="F93" s="45">
        <f t="shared" si="6"/>
        <v>0.8</v>
      </c>
      <c r="G93" s="45">
        <f t="shared" si="7"/>
        <v>3.6</v>
      </c>
      <c r="H93" s="50">
        <v>4</v>
      </c>
      <c r="I93" s="83">
        <f t="shared" si="12"/>
        <v>4</v>
      </c>
      <c r="J93" s="51">
        <v>2</v>
      </c>
      <c r="K93" s="34"/>
      <c r="L93" s="42"/>
      <c r="M93" s="34"/>
      <c r="N93" s="42"/>
      <c r="O93" s="83">
        <f t="shared" si="13"/>
        <v>4.0999999999999996</v>
      </c>
      <c r="P93" s="51">
        <v>2</v>
      </c>
      <c r="Q93" s="46">
        <f t="shared" si="10"/>
        <v>8.68</v>
      </c>
      <c r="R93" s="314">
        <f t="shared" si="11"/>
        <v>8.68</v>
      </c>
      <c r="S93" s="52" t="s">
        <v>54</v>
      </c>
      <c r="T93" s="53" t="s">
        <v>7</v>
      </c>
      <c r="U93" s="49">
        <f>'1. 소켓인수검사'!G95</f>
        <v>0</v>
      </c>
    </row>
    <row r="94" spans="1:21">
      <c r="A94" s="62" t="str">
        <f>'1. 소켓인수검사'!A96</f>
        <v>88</v>
      </c>
      <c r="B94" s="84" t="s">
        <v>44</v>
      </c>
      <c r="C94" s="43">
        <f>'1. 소켓인수검사'!C96</f>
        <v>1000</v>
      </c>
      <c r="D94" s="43">
        <f>'1. 소켓인수검사'!D96</f>
        <v>800</v>
      </c>
      <c r="E94" s="44"/>
      <c r="F94" s="45">
        <f t="shared" si="6"/>
        <v>0.8</v>
      </c>
      <c r="G94" s="45">
        <f t="shared" si="7"/>
        <v>3.6</v>
      </c>
      <c r="H94" s="50">
        <v>4</v>
      </c>
      <c r="I94" s="83">
        <f t="shared" si="12"/>
        <v>4</v>
      </c>
      <c r="J94" s="51">
        <v>2</v>
      </c>
      <c r="K94" s="34"/>
      <c r="L94" s="42"/>
      <c r="M94" s="34"/>
      <c r="N94" s="42"/>
      <c r="O94" s="83">
        <f t="shared" si="13"/>
        <v>4.0999999999999996</v>
      </c>
      <c r="P94" s="51">
        <v>2</v>
      </c>
      <c r="Q94" s="46">
        <f t="shared" si="10"/>
        <v>8.68</v>
      </c>
      <c r="R94" s="314">
        <f t="shared" si="11"/>
        <v>8.68</v>
      </c>
      <c r="S94" s="52" t="s">
        <v>54</v>
      </c>
      <c r="T94" s="53" t="s">
        <v>7</v>
      </c>
      <c r="U94" s="49">
        <f>'1. 소켓인수검사'!G96</f>
        <v>0</v>
      </c>
    </row>
    <row r="95" spans="1:21">
      <c r="A95" s="62" t="str">
        <f>'1. 소켓인수검사'!A97</f>
        <v>89</v>
      </c>
      <c r="B95" s="84" t="s">
        <v>44</v>
      </c>
      <c r="C95" s="43">
        <f>'1. 소켓인수검사'!C97</f>
        <v>1000</v>
      </c>
      <c r="D95" s="43">
        <f>'1. 소켓인수검사'!D97</f>
        <v>800</v>
      </c>
      <c r="E95" s="44"/>
      <c r="F95" s="45">
        <f t="shared" si="6"/>
        <v>0.8</v>
      </c>
      <c r="G95" s="45">
        <f t="shared" si="7"/>
        <v>3.6</v>
      </c>
      <c r="H95" s="50">
        <v>4</v>
      </c>
      <c r="I95" s="83">
        <f t="shared" si="12"/>
        <v>4</v>
      </c>
      <c r="J95" s="51">
        <v>2</v>
      </c>
      <c r="K95" s="34"/>
      <c r="L95" s="42"/>
      <c r="M95" s="34"/>
      <c r="N95" s="42"/>
      <c r="O95" s="83">
        <f t="shared" si="13"/>
        <v>4.0999999999999996</v>
      </c>
      <c r="P95" s="51">
        <v>2</v>
      </c>
      <c r="Q95" s="46">
        <f t="shared" si="10"/>
        <v>8.68</v>
      </c>
      <c r="R95" s="314">
        <f t="shared" si="11"/>
        <v>8.68</v>
      </c>
      <c r="S95" s="52" t="s">
        <v>54</v>
      </c>
      <c r="T95" s="53" t="s">
        <v>7</v>
      </c>
      <c r="U95" s="49">
        <f>'1. 소켓인수검사'!G97</f>
        <v>0</v>
      </c>
    </row>
    <row r="96" spans="1:21">
      <c r="A96" s="62" t="str">
        <f>'1. 소켓인수검사'!A98</f>
        <v>90</v>
      </c>
      <c r="B96" s="84" t="s">
        <v>44</v>
      </c>
      <c r="C96" s="43">
        <f>'1. 소켓인수검사'!C98</f>
        <v>1000</v>
      </c>
      <c r="D96" s="43">
        <f>'1. 소켓인수검사'!D98</f>
        <v>800</v>
      </c>
      <c r="E96" s="44"/>
      <c r="F96" s="45">
        <f t="shared" si="6"/>
        <v>0.8</v>
      </c>
      <c r="G96" s="45">
        <f t="shared" si="7"/>
        <v>3.6</v>
      </c>
      <c r="H96" s="50">
        <v>4</v>
      </c>
      <c r="I96" s="83">
        <f t="shared" si="12"/>
        <v>4</v>
      </c>
      <c r="J96" s="51">
        <v>2</v>
      </c>
      <c r="K96" s="34"/>
      <c r="L96" s="42"/>
      <c r="M96" s="34"/>
      <c r="N96" s="42"/>
      <c r="O96" s="83">
        <f t="shared" si="13"/>
        <v>4.0999999999999996</v>
      </c>
      <c r="P96" s="51">
        <v>2</v>
      </c>
      <c r="Q96" s="46">
        <f t="shared" si="10"/>
        <v>8.68</v>
      </c>
      <c r="R96" s="314">
        <f t="shared" si="11"/>
        <v>8.68</v>
      </c>
      <c r="S96" s="52" t="s">
        <v>54</v>
      </c>
      <c r="T96" s="53" t="s">
        <v>7</v>
      </c>
      <c r="U96" s="49">
        <f>'1. 소켓인수검사'!G98</f>
        <v>0</v>
      </c>
    </row>
    <row r="97" spans="1:21">
      <c r="A97" s="62" t="str">
        <f>'1. 소켓인수검사'!A99</f>
        <v>91</v>
      </c>
      <c r="B97" s="84" t="s">
        <v>44</v>
      </c>
      <c r="C97" s="43">
        <f>'1. 소켓인수검사'!C99</f>
        <v>1000</v>
      </c>
      <c r="D97" s="43">
        <f>'1. 소켓인수검사'!D99</f>
        <v>800</v>
      </c>
      <c r="E97" s="44"/>
      <c r="F97" s="45">
        <f t="shared" si="6"/>
        <v>0.8</v>
      </c>
      <c r="G97" s="45">
        <f t="shared" si="7"/>
        <v>3.6</v>
      </c>
      <c r="H97" s="50">
        <v>4</v>
      </c>
      <c r="I97" s="83">
        <f t="shared" si="12"/>
        <v>4</v>
      </c>
      <c r="J97" s="51">
        <v>2</v>
      </c>
      <c r="K97" s="34"/>
      <c r="L97" s="42"/>
      <c r="M97" s="34"/>
      <c r="N97" s="42"/>
      <c r="O97" s="83">
        <f t="shared" si="13"/>
        <v>4.0999999999999996</v>
      </c>
      <c r="P97" s="51">
        <v>2</v>
      </c>
      <c r="Q97" s="46">
        <f t="shared" si="10"/>
        <v>8.68</v>
      </c>
      <c r="R97" s="314">
        <f t="shared" si="11"/>
        <v>8.68</v>
      </c>
      <c r="S97" s="52" t="s">
        <v>54</v>
      </c>
      <c r="T97" s="53" t="s">
        <v>7</v>
      </c>
      <c r="U97" s="49">
        <f>'1. 소켓인수검사'!G99</f>
        <v>0</v>
      </c>
    </row>
    <row r="98" spans="1:21">
      <c r="A98" s="62" t="str">
        <f>'1. 소켓인수검사'!A100</f>
        <v>92</v>
      </c>
      <c r="B98" s="84" t="s">
        <v>44</v>
      </c>
      <c r="C98" s="43">
        <f>'1. 소켓인수검사'!C100</f>
        <v>1000</v>
      </c>
      <c r="D98" s="43">
        <f>'1. 소켓인수검사'!D100</f>
        <v>800</v>
      </c>
      <c r="E98" s="44"/>
      <c r="F98" s="45">
        <f t="shared" si="6"/>
        <v>0.8</v>
      </c>
      <c r="G98" s="45">
        <f t="shared" si="7"/>
        <v>3.6</v>
      </c>
      <c r="H98" s="50">
        <v>4</v>
      </c>
      <c r="I98" s="83">
        <f t="shared" si="12"/>
        <v>4</v>
      </c>
      <c r="J98" s="51">
        <v>2</v>
      </c>
      <c r="K98" s="34"/>
      <c r="L98" s="42"/>
      <c r="M98" s="34"/>
      <c r="N98" s="42"/>
      <c r="O98" s="83">
        <f t="shared" si="13"/>
        <v>4.0999999999999996</v>
      </c>
      <c r="P98" s="51">
        <v>2</v>
      </c>
      <c r="Q98" s="46">
        <f t="shared" ref="Q98:Q116" si="14">(((C98+60)+250+(D98+60))*2/1000)*2</f>
        <v>8.68</v>
      </c>
      <c r="R98" s="314">
        <f t="shared" si="11"/>
        <v>8.68</v>
      </c>
      <c r="S98" s="52" t="s">
        <v>54</v>
      </c>
      <c r="T98" s="53" t="s">
        <v>7</v>
      </c>
      <c r="U98" s="49">
        <f>'1. 소켓인수검사'!G100</f>
        <v>0</v>
      </c>
    </row>
    <row r="99" spans="1:21">
      <c r="A99" s="62" t="str">
        <f>'1. 소켓인수검사'!A101</f>
        <v>93</v>
      </c>
      <c r="B99" s="84" t="s">
        <v>44</v>
      </c>
      <c r="C99" s="43">
        <f>'1. 소켓인수검사'!C101</f>
        <v>1000</v>
      </c>
      <c r="D99" s="43">
        <f>'1. 소켓인수검사'!D101</f>
        <v>800</v>
      </c>
      <c r="E99" s="44"/>
      <c r="F99" s="45">
        <f t="shared" si="6"/>
        <v>0.8</v>
      </c>
      <c r="G99" s="45">
        <f t="shared" si="7"/>
        <v>3.6</v>
      </c>
      <c r="H99" s="50">
        <v>4</v>
      </c>
      <c r="I99" s="83">
        <f t="shared" si="12"/>
        <v>4</v>
      </c>
      <c r="J99" s="51">
        <v>2</v>
      </c>
      <c r="K99" s="34"/>
      <c r="L99" s="42"/>
      <c r="M99" s="34"/>
      <c r="N99" s="42"/>
      <c r="O99" s="83">
        <f t="shared" si="13"/>
        <v>4.0999999999999996</v>
      </c>
      <c r="P99" s="51">
        <v>2</v>
      </c>
      <c r="Q99" s="46">
        <f t="shared" si="14"/>
        <v>8.68</v>
      </c>
      <c r="R99" s="314">
        <f t="shared" si="11"/>
        <v>8.68</v>
      </c>
      <c r="S99" s="52" t="s">
        <v>54</v>
      </c>
      <c r="T99" s="53" t="s">
        <v>7</v>
      </c>
      <c r="U99" s="49">
        <f>'1. 소켓인수검사'!G101</f>
        <v>0</v>
      </c>
    </row>
    <row r="100" spans="1:21">
      <c r="A100" s="62" t="str">
        <f>'1. 소켓인수검사'!A102</f>
        <v>94</v>
      </c>
      <c r="B100" s="84" t="s">
        <v>44</v>
      </c>
      <c r="C100" s="43">
        <f>'1. 소켓인수검사'!C102</f>
        <v>1000</v>
      </c>
      <c r="D100" s="43">
        <f>'1. 소켓인수검사'!D102</f>
        <v>800</v>
      </c>
      <c r="E100" s="44"/>
      <c r="F100" s="45">
        <f t="shared" ref="F100:F105" si="15">C100*D100/1000000</f>
        <v>0.8</v>
      </c>
      <c r="G100" s="45">
        <f t="shared" ref="G100:G105" si="16">(C100+D100)*2/1000</f>
        <v>3.6</v>
      </c>
      <c r="H100" s="50">
        <v>4</v>
      </c>
      <c r="I100" s="83">
        <f t="shared" si="12"/>
        <v>4</v>
      </c>
      <c r="J100" s="51">
        <v>2</v>
      </c>
      <c r="K100" s="34"/>
      <c r="L100" s="42"/>
      <c r="M100" s="34"/>
      <c r="N100" s="42"/>
      <c r="O100" s="83">
        <f t="shared" si="13"/>
        <v>4.0999999999999996</v>
      </c>
      <c r="P100" s="51">
        <v>2</v>
      </c>
      <c r="Q100" s="46">
        <f t="shared" si="14"/>
        <v>8.68</v>
      </c>
      <c r="R100" s="314">
        <f t="shared" si="11"/>
        <v>8.68</v>
      </c>
      <c r="S100" s="52" t="s">
        <v>54</v>
      </c>
      <c r="T100" s="53" t="s">
        <v>7</v>
      </c>
      <c r="U100" s="49">
        <f>'1. 소켓인수검사'!G102</f>
        <v>0</v>
      </c>
    </row>
    <row r="101" spans="1:21">
      <c r="A101" s="62" t="str">
        <f>'1. 소켓인수검사'!A103</f>
        <v>95</v>
      </c>
      <c r="B101" s="84" t="s">
        <v>44</v>
      </c>
      <c r="C101" s="43">
        <f>'1. 소켓인수검사'!C103</f>
        <v>1000</v>
      </c>
      <c r="D101" s="43">
        <f>'1. 소켓인수검사'!D103</f>
        <v>800</v>
      </c>
      <c r="E101" s="44"/>
      <c r="F101" s="45">
        <f t="shared" si="15"/>
        <v>0.8</v>
      </c>
      <c r="G101" s="45">
        <f t="shared" si="16"/>
        <v>3.6</v>
      </c>
      <c r="H101" s="50">
        <v>4</v>
      </c>
      <c r="I101" s="83">
        <f t="shared" si="12"/>
        <v>4</v>
      </c>
      <c r="J101" s="51">
        <v>2</v>
      </c>
      <c r="K101" s="34"/>
      <c r="L101" s="42"/>
      <c r="M101" s="34"/>
      <c r="N101" s="42"/>
      <c r="O101" s="83">
        <f t="shared" si="13"/>
        <v>4.0999999999999996</v>
      </c>
      <c r="P101" s="51">
        <v>2</v>
      </c>
      <c r="Q101" s="46">
        <f t="shared" si="14"/>
        <v>8.68</v>
      </c>
      <c r="R101" s="314">
        <f t="shared" si="11"/>
        <v>8.68</v>
      </c>
      <c r="S101" s="52" t="s">
        <v>54</v>
      </c>
      <c r="T101" s="53" t="s">
        <v>7</v>
      </c>
      <c r="U101" s="49">
        <f>'1. 소켓인수검사'!G103</f>
        <v>0</v>
      </c>
    </row>
    <row r="102" spans="1:21">
      <c r="A102" s="62" t="str">
        <f>'1. 소켓인수검사'!A104</f>
        <v>96</v>
      </c>
      <c r="B102" s="84" t="s">
        <v>44</v>
      </c>
      <c r="C102" s="43">
        <f>'1. 소켓인수검사'!C104</f>
        <v>1000</v>
      </c>
      <c r="D102" s="43">
        <f>'1. 소켓인수검사'!D104</f>
        <v>800</v>
      </c>
      <c r="E102" s="44"/>
      <c r="F102" s="45">
        <f t="shared" si="15"/>
        <v>0.8</v>
      </c>
      <c r="G102" s="45">
        <f t="shared" si="16"/>
        <v>3.6</v>
      </c>
      <c r="H102" s="50">
        <v>4</v>
      </c>
      <c r="I102" s="83">
        <f t="shared" si="12"/>
        <v>4</v>
      </c>
      <c r="J102" s="51">
        <v>2</v>
      </c>
      <c r="K102" s="34"/>
      <c r="L102" s="42"/>
      <c r="M102" s="34"/>
      <c r="N102" s="42"/>
      <c r="O102" s="83">
        <f t="shared" si="13"/>
        <v>4.0999999999999996</v>
      </c>
      <c r="P102" s="51">
        <v>2</v>
      </c>
      <c r="Q102" s="46">
        <f t="shared" si="14"/>
        <v>8.68</v>
      </c>
      <c r="R102" s="314">
        <f t="shared" si="11"/>
        <v>8.68</v>
      </c>
      <c r="S102" s="52" t="s">
        <v>54</v>
      </c>
      <c r="T102" s="53" t="s">
        <v>7</v>
      </c>
      <c r="U102" s="49">
        <f>'1. 소켓인수검사'!G104</f>
        <v>0</v>
      </c>
    </row>
    <row r="103" spans="1:21">
      <c r="A103" s="62" t="str">
        <f>'1. 소켓인수검사'!A105</f>
        <v>97</v>
      </c>
      <c r="B103" s="84" t="s">
        <v>44</v>
      </c>
      <c r="C103" s="43">
        <f>'1. 소켓인수검사'!C105</f>
        <v>1000</v>
      </c>
      <c r="D103" s="43">
        <f>'1. 소켓인수검사'!D105</f>
        <v>800</v>
      </c>
      <c r="E103" s="44"/>
      <c r="F103" s="45">
        <f t="shared" si="15"/>
        <v>0.8</v>
      </c>
      <c r="G103" s="45">
        <f t="shared" si="16"/>
        <v>3.6</v>
      </c>
      <c r="H103" s="50">
        <v>4</v>
      </c>
      <c r="I103" s="83">
        <f t="shared" si="12"/>
        <v>4</v>
      </c>
      <c r="J103" s="51">
        <v>2</v>
      </c>
      <c r="K103" s="34"/>
      <c r="L103" s="42"/>
      <c r="M103" s="34"/>
      <c r="N103" s="42"/>
      <c r="O103" s="83">
        <f t="shared" si="13"/>
        <v>4.0999999999999996</v>
      </c>
      <c r="P103" s="51">
        <v>2</v>
      </c>
      <c r="Q103" s="46">
        <f t="shared" si="14"/>
        <v>8.68</v>
      </c>
      <c r="R103" s="314">
        <f t="shared" si="11"/>
        <v>8.68</v>
      </c>
      <c r="S103" s="52" t="s">
        <v>54</v>
      </c>
      <c r="T103" s="53" t="s">
        <v>7</v>
      </c>
      <c r="U103" s="49">
        <f>'1. 소켓인수검사'!G105</f>
        <v>0</v>
      </c>
    </row>
    <row r="104" spans="1:21">
      <c r="A104" s="62" t="str">
        <f>'1. 소켓인수검사'!A106</f>
        <v>98</v>
      </c>
      <c r="B104" s="84" t="s">
        <v>44</v>
      </c>
      <c r="C104" s="43">
        <f>'1. 소켓인수검사'!C106</f>
        <v>1000</v>
      </c>
      <c r="D104" s="43">
        <f>'1. 소켓인수검사'!D106</f>
        <v>800</v>
      </c>
      <c r="E104" s="44"/>
      <c r="F104" s="45">
        <f t="shared" si="15"/>
        <v>0.8</v>
      </c>
      <c r="G104" s="45">
        <f t="shared" si="16"/>
        <v>3.6</v>
      </c>
      <c r="H104" s="50">
        <v>4</v>
      </c>
      <c r="I104" s="83">
        <f t="shared" si="12"/>
        <v>4</v>
      </c>
      <c r="J104" s="51">
        <v>2</v>
      </c>
      <c r="K104" s="34"/>
      <c r="L104" s="42"/>
      <c r="M104" s="34"/>
      <c r="N104" s="42"/>
      <c r="O104" s="83">
        <f t="shared" si="13"/>
        <v>4.0999999999999996</v>
      </c>
      <c r="P104" s="51">
        <v>2</v>
      </c>
      <c r="Q104" s="46">
        <f t="shared" si="14"/>
        <v>8.68</v>
      </c>
      <c r="R104" s="314">
        <f t="shared" si="11"/>
        <v>8.68</v>
      </c>
      <c r="S104" s="52" t="s">
        <v>54</v>
      </c>
      <c r="T104" s="53" t="s">
        <v>7</v>
      </c>
      <c r="U104" s="49">
        <f>'1. 소켓인수검사'!G106</f>
        <v>0</v>
      </c>
    </row>
    <row r="105" spans="1:21">
      <c r="A105" s="62" t="str">
        <f>'1. 소켓인수검사'!A107</f>
        <v>99</v>
      </c>
      <c r="B105" s="84" t="s">
        <v>44</v>
      </c>
      <c r="C105" s="43">
        <f>'1. 소켓인수검사'!C107</f>
        <v>1200</v>
      </c>
      <c r="D105" s="43">
        <f>'1. 소켓인수검사'!D107</f>
        <v>800</v>
      </c>
      <c r="E105" s="44"/>
      <c r="F105" s="45">
        <f t="shared" si="15"/>
        <v>0.96</v>
      </c>
      <c r="G105" s="45">
        <f t="shared" si="16"/>
        <v>4</v>
      </c>
      <c r="H105" s="50">
        <v>4</v>
      </c>
      <c r="I105" s="83">
        <f t="shared" si="12"/>
        <v>4.4000000000000004</v>
      </c>
      <c r="J105" s="51">
        <v>2</v>
      </c>
      <c r="K105" s="34"/>
      <c r="L105" s="42"/>
      <c r="M105" s="34"/>
      <c r="N105" s="42"/>
      <c r="O105" s="83">
        <f t="shared" si="13"/>
        <v>4.5</v>
      </c>
      <c r="P105" s="51">
        <v>2</v>
      </c>
      <c r="Q105" s="46">
        <f t="shared" si="14"/>
        <v>9.48</v>
      </c>
      <c r="R105" s="314">
        <f t="shared" si="11"/>
        <v>9.48</v>
      </c>
      <c r="S105" s="52" t="s">
        <v>54</v>
      </c>
      <c r="T105" s="53" t="s">
        <v>7</v>
      </c>
      <c r="U105" s="49">
        <f>'1. 소켓인수검사'!G107</f>
        <v>0</v>
      </c>
    </row>
    <row r="106" spans="1:21">
      <c r="A106" s="62" t="str">
        <f>'1. 소켓인수검사'!A108</f>
        <v>100</v>
      </c>
      <c r="B106" s="84" t="s">
        <v>53</v>
      </c>
      <c r="C106" s="43">
        <f>'1. 소켓인수검사'!C108</f>
        <v>1250</v>
      </c>
      <c r="D106" s="43">
        <f>'1. 소켓인수검사'!D108</f>
        <v>800</v>
      </c>
      <c r="E106" s="44"/>
      <c r="F106" s="45">
        <f t="shared" ref="F106:F116" si="17">C106*D106/1000000</f>
        <v>1</v>
      </c>
      <c r="G106" s="45">
        <f t="shared" ref="G106:G116" si="18">(C106+D106)*2/1000</f>
        <v>4.0999999999999996</v>
      </c>
      <c r="H106" s="50">
        <v>4</v>
      </c>
      <c r="I106" s="83">
        <f t="shared" si="12"/>
        <v>4.5</v>
      </c>
      <c r="J106" s="51">
        <v>2</v>
      </c>
      <c r="K106" s="34"/>
      <c r="L106" s="42"/>
      <c r="M106" s="34"/>
      <c r="N106" s="42"/>
      <c r="O106" s="83">
        <f t="shared" si="13"/>
        <v>4.5999999999999996</v>
      </c>
      <c r="P106" s="51">
        <v>2</v>
      </c>
      <c r="Q106" s="46">
        <f t="shared" si="14"/>
        <v>9.68</v>
      </c>
      <c r="R106" s="314">
        <f t="shared" si="11"/>
        <v>9.68</v>
      </c>
      <c r="S106" s="52" t="s">
        <v>54</v>
      </c>
      <c r="T106" s="53" t="s">
        <v>7</v>
      </c>
      <c r="U106" s="49">
        <f>'1. 소켓인수검사'!G108</f>
        <v>0</v>
      </c>
    </row>
    <row r="107" spans="1:21">
      <c r="A107" s="62" t="str">
        <f>'1. 소켓인수검사'!A109</f>
        <v>101</v>
      </c>
      <c r="B107" s="84" t="s">
        <v>45</v>
      </c>
      <c r="C107" s="43">
        <f>'1. 소켓인수검사'!C109</f>
        <v>1250</v>
      </c>
      <c r="D107" s="43">
        <f>'1. 소켓인수검사'!D109</f>
        <v>800</v>
      </c>
      <c r="E107" s="44"/>
      <c r="F107" s="45">
        <f t="shared" si="17"/>
        <v>1</v>
      </c>
      <c r="G107" s="45">
        <f t="shared" si="18"/>
        <v>4.0999999999999996</v>
      </c>
      <c r="H107" s="50">
        <v>4</v>
      </c>
      <c r="I107" s="83">
        <f t="shared" si="12"/>
        <v>4.5</v>
      </c>
      <c r="J107" s="51">
        <v>2</v>
      </c>
      <c r="K107" s="34"/>
      <c r="L107" s="42"/>
      <c r="M107" s="34"/>
      <c r="N107" s="42"/>
      <c r="O107" s="83">
        <f t="shared" si="13"/>
        <v>4.5999999999999996</v>
      </c>
      <c r="P107" s="51">
        <v>2</v>
      </c>
      <c r="Q107" s="46">
        <f t="shared" si="14"/>
        <v>9.68</v>
      </c>
      <c r="R107" s="314">
        <f t="shared" si="11"/>
        <v>9.68</v>
      </c>
      <c r="S107" s="52" t="s">
        <v>54</v>
      </c>
      <c r="T107" s="53" t="s">
        <v>7</v>
      </c>
      <c r="U107" s="49">
        <f>'1. 소켓인수검사'!G109</f>
        <v>0</v>
      </c>
    </row>
    <row r="108" spans="1:21">
      <c r="A108" s="62" t="str">
        <f>'1. 소켓인수검사'!A110</f>
        <v>102</v>
      </c>
      <c r="B108" s="84" t="s">
        <v>48</v>
      </c>
      <c r="C108" s="43">
        <f>'1. 소켓인수검사'!C110</f>
        <v>1250</v>
      </c>
      <c r="D108" s="43">
        <f>'1. 소켓인수검사'!D110</f>
        <v>800</v>
      </c>
      <c r="E108" s="44"/>
      <c r="F108" s="45">
        <f t="shared" si="17"/>
        <v>1</v>
      </c>
      <c r="G108" s="45">
        <f t="shared" si="18"/>
        <v>4.0999999999999996</v>
      </c>
      <c r="H108" s="50">
        <v>4</v>
      </c>
      <c r="I108" s="83">
        <f t="shared" si="12"/>
        <v>4.5</v>
      </c>
      <c r="J108" s="51">
        <v>2</v>
      </c>
      <c r="K108" s="34"/>
      <c r="L108" s="42"/>
      <c r="M108" s="34"/>
      <c r="N108" s="42"/>
      <c r="O108" s="83">
        <f t="shared" si="13"/>
        <v>4.5999999999999996</v>
      </c>
      <c r="P108" s="51">
        <v>2</v>
      </c>
      <c r="Q108" s="46">
        <f t="shared" si="14"/>
        <v>9.68</v>
      </c>
      <c r="R108" s="314">
        <f t="shared" si="11"/>
        <v>9.68</v>
      </c>
      <c r="S108" s="52" t="s">
        <v>54</v>
      </c>
      <c r="T108" s="53" t="s">
        <v>7</v>
      </c>
      <c r="U108" s="49">
        <f>'1. 소켓인수검사'!G110</f>
        <v>0</v>
      </c>
    </row>
    <row r="109" spans="1:21">
      <c r="A109" s="62" t="str">
        <f>'1. 소켓인수검사'!A111</f>
        <v>103</v>
      </c>
      <c r="B109" s="84" t="s">
        <v>52</v>
      </c>
      <c r="C109" s="43">
        <f>'1. 소켓인수검사'!C111</f>
        <v>1250</v>
      </c>
      <c r="D109" s="43">
        <f>'1. 소켓인수검사'!D111</f>
        <v>800</v>
      </c>
      <c r="E109" s="44"/>
      <c r="F109" s="45">
        <f t="shared" si="17"/>
        <v>1</v>
      </c>
      <c r="G109" s="45">
        <f t="shared" si="18"/>
        <v>4.0999999999999996</v>
      </c>
      <c r="H109" s="50">
        <v>4</v>
      </c>
      <c r="I109" s="83">
        <f t="shared" si="12"/>
        <v>4.5</v>
      </c>
      <c r="J109" s="51">
        <v>2</v>
      </c>
      <c r="K109" s="34"/>
      <c r="L109" s="42"/>
      <c r="M109" s="34"/>
      <c r="N109" s="42"/>
      <c r="O109" s="83">
        <f t="shared" si="13"/>
        <v>4.5999999999999996</v>
      </c>
      <c r="P109" s="51">
        <v>2</v>
      </c>
      <c r="Q109" s="46">
        <f t="shared" si="14"/>
        <v>9.68</v>
      </c>
      <c r="R109" s="314">
        <f t="shared" si="11"/>
        <v>9.68</v>
      </c>
      <c r="S109" s="52" t="s">
        <v>54</v>
      </c>
      <c r="T109" s="53" t="s">
        <v>7</v>
      </c>
      <c r="U109" s="49">
        <f>'1. 소켓인수검사'!G111</f>
        <v>0</v>
      </c>
    </row>
    <row r="110" spans="1:21">
      <c r="A110" s="62" t="str">
        <f>'1. 소켓인수검사'!A112</f>
        <v>104</v>
      </c>
      <c r="B110" s="84" t="s">
        <v>49</v>
      </c>
      <c r="C110" s="43">
        <f>'1. 소켓인수검사'!C112</f>
        <v>1250</v>
      </c>
      <c r="D110" s="43">
        <f>'1. 소켓인수검사'!D112</f>
        <v>800</v>
      </c>
      <c r="E110" s="44"/>
      <c r="F110" s="45">
        <f t="shared" si="17"/>
        <v>1</v>
      </c>
      <c r="G110" s="45">
        <f t="shared" si="18"/>
        <v>4.0999999999999996</v>
      </c>
      <c r="H110" s="50">
        <v>4</v>
      </c>
      <c r="I110" s="83">
        <f t="shared" si="12"/>
        <v>4.5</v>
      </c>
      <c r="J110" s="51">
        <v>2</v>
      </c>
      <c r="K110" s="34"/>
      <c r="L110" s="42"/>
      <c r="M110" s="34"/>
      <c r="N110" s="42"/>
      <c r="O110" s="83">
        <f t="shared" si="13"/>
        <v>4.5999999999999996</v>
      </c>
      <c r="P110" s="51">
        <v>2</v>
      </c>
      <c r="Q110" s="46">
        <f t="shared" si="14"/>
        <v>9.68</v>
      </c>
      <c r="R110" s="314">
        <f t="shared" si="11"/>
        <v>9.68</v>
      </c>
      <c r="S110" s="52" t="s">
        <v>54</v>
      </c>
      <c r="T110" s="53" t="s">
        <v>7</v>
      </c>
      <c r="U110" s="49">
        <f>'1. 소켓인수검사'!G112</f>
        <v>0</v>
      </c>
    </row>
    <row r="111" spans="1:21">
      <c r="A111" s="62" t="str">
        <f>'1. 소켓인수검사'!A113</f>
        <v>105</v>
      </c>
      <c r="B111" s="84" t="s">
        <v>40</v>
      </c>
      <c r="C111" s="43">
        <f>'1. 소켓인수검사'!C113</f>
        <v>1250</v>
      </c>
      <c r="D111" s="43">
        <f>'1. 소켓인수검사'!D113</f>
        <v>800</v>
      </c>
      <c r="E111" s="44"/>
      <c r="F111" s="45">
        <f t="shared" si="17"/>
        <v>1</v>
      </c>
      <c r="G111" s="45">
        <f t="shared" si="18"/>
        <v>4.0999999999999996</v>
      </c>
      <c r="H111" s="50">
        <v>4</v>
      </c>
      <c r="I111" s="83">
        <f t="shared" si="12"/>
        <v>4.5</v>
      </c>
      <c r="J111" s="51">
        <v>2</v>
      </c>
      <c r="K111" s="34"/>
      <c r="L111" s="42"/>
      <c r="M111" s="34"/>
      <c r="N111" s="42"/>
      <c r="O111" s="83">
        <f t="shared" si="13"/>
        <v>4.5999999999999996</v>
      </c>
      <c r="P111" s="51">
        <v>2</v>
      </c>
      <c r="Q111" s="46">
        <f t="shared" si="14"/>
        <v>9.68</v>
      </c>
      <c r="R111" s="314">
        <f t="shared" si="11"/>
        <v>9.68</v>
      </c>
      <c r="S111" s="52" t="s">
        <v>54</v>
      </c>
      <c r="T111" s="53" t="s">
        <v>7</v>
      </c>
      <c r="U111" s="49">
        <f>'1. 소켓인수검사'!G113</f>
        <v>0</v>
      </c>
    </row>
    <row r="112" spans="1:21">
      <c r="A112" s="62" t="str">
        <f>'1. 소켓인수검사'!A114</f>
        <v>106</v>
      </c>
      <c r="B112" s="84" t="s">
        <v>50</v>
      </c>
      <c r="C112" s="43">
        <f>'1. 소켓인수검사'!C114</f>
        <v>1250</v>
      </c>
      <c r="D112" s="43">
        <f>'1. 소켓인수검사'!D114</f>
        <v>800</v>
      </c>
      <c r="E112" s="44"/>
      <c r="F112" s="45">
        <f t="shared" si="17"/>
        <v>1</v>
      </c>
      <c r="G112" s="45">
        <f t="shared" si="18"/>
        <v>4.0999999999999996</v>
      </c>
      <c r="H112" s="50">
        <v>4</v>
      </c>
      <c r="I112" s="83">
        <f t="shared" si="12"/>
        <v>4.5</v>
      </c>
      <c r="J112" s="51">
        <v>2</v>
      </c>
      <c r="K112" s="34"/>
      <c r="L112" s="42"/>
      <c r="M112" s="34"/>
      <c r="N112" s="42"/>
      <c r="O112" s="83">
        <f t="shared" si="13"/>
        <v>4.5999999999999996</v>
      </c>
      <c r="P112" s="51">
        <v>2</v>
      </c>
      <c r="Q112" s="46">
        <f t="shared" si="14"/>
        <v>9.68</v>
      </c>
      <c r="R112" s="314">
        <f t="shared" si="11"/>
        <v>9.68</v>
      </c>
      <c r="S112" s="52" t="s">
        <v>54</v>
      </c>
      <c r="T112" s="53" t="s">
        <v>7</v>
      </c>
      <c r="U112" s="49">
        <f>'1. 소켓인수검사'!G114</f>
        <v>0</v>
      </c>
    </row>
    <row r="113" spans="1:21">
      <c r="A113" s="62" t="str">
        <f>'1. 소켓인수검사'!A115</f>
        <v>107</v>
      </c>
      <c r="B113" s="84" t="s">
        <v>46</v>
      </c>
      <c r="C113" s="43">
        <f>'1. 소켓인수검사'!C115</f>
        <v>1250</v>
      </c>
      <c r="D113" s="43">
        <f>'1. 소켓인수검사'!D115</f>
        <v>800</v>
      </c>
      <c r="E113" s="44"/>
      <c r="F113" s="45">
        <f t="shared" si="17"/>
        <v>1</v>
      </c>
      <c r="G113" s="45">
        <f t="shared" si="18"/>
        <v>4.0999999999999996</v>
      </c>
      <c r="H113" s="50">
        <v>4</v>
      </c>
      <c r="I113" s="83">
        <f t="shared" si="12"/>
        <v>4.5</v>
      </c>
      <c r="J113" s="51">
        <v>2</v>
      </c>
      <c r="K113" s="34"/>
      <c r="L113" s="42"/>
      <c r="M113" s="34"/>
      <c r="N113" s="42"/>
      <c r="O113" s="83">
        <f t="shared" si="13"/>
        <v>4.5999999999999996</v>
      </c>
      <c r="P113" s="51">
        <v>2</v>
      </c>
      <c r="Q113" s="46">
        <f t="shared" si="14"/>
        <v>9.68</v>
      </c>
      <c r="R113" s="314">
        <f t="shared" si="11"/>
        <v>9.68</v>
      </c>
      <c r="S113" s="52" t="s">
        <v>54</v>
      </c>
      <c r="T113" s="53" t="s">
        <v>7</v>
      </c>
      <c r="U113" s="49">
        <f>'1. 소켓인수검사'!G115</f>
        <v>0</v>
      </c>
    </row>
    <row r="114" spans="1:21">
      <c r="A114" s="62" t="str">
        <f>'1. 소켓인수검사'!A116</f>
        <v>108</v>
      </c>
      <c r="B114" s="84" t="s">
        <v>39</v>
      </c>
      <c r="C114" s="43">
        <f>'1. 소켓인수검사'!C116</f>
        <v>1250</v>
      </c>
      <c r="D114" s="43">
        <f>'1. 소켓인수검사'!D116</f>
        <v>800</v>
      </c>
      <c r="E114" s="44"/>
      <c r="F114" s="45">
        <f t="shared" si="17"/>
        <v>1</v>
      </c>
      <c r="G114" s="45">
        <f t="shared" si="18"/>
        <v>4.0999999999999996</v>
      </c>
      <c r="H114" s="50">
        <v>4</v>
      </c>
      <c r="I114" s="83">
        <f t="shared" si="12"/>
        <v>4.5</v>
      </c>
      <c r="J114" s="51">
        <v>2</v>
      </c>
      <c r="K114" s="83"/>
      <c r="L114" s="42"/>
      <c r="M114" s="83"/>
      <c r="N114" s="42"/>
      <c r="O114" s="83">
        <f t="shared" si="13"/>
        <v>4.5999999999999996</v>
      </c>
      <c r="P114" s="51">
        <v>2</v>
      </c>
      <c r="Q114" s="46">
        <f t="shared" si="14"/>
        <v>9.68</v>
      </c>
      <c r="R114" s="314">
        <f t="shared" si="11"/>
        <v>9.68</v>
      </c>
      <c r="S114" s="52" t="s">
        <v>54</v>
      </c>
      <c r="T114" s="53" t="s">
        <v>7</v>
      </c>
      <c r="U114" s="49">
        <f>'1. 소켓인수검사'!G116</f>
        <v>0</v>
      </c>
    </row>
    <row r="115" spans="1:21">
      <c r="A115" s="62" t="str">
        <f>'1. 소켓인수검사'!A117</f>
        <v>109</v>
      </c>
      <c r="B115" s="84" t="s">
        <v>36</v>
      </c>
      <c r="C115" s="43">
        <f>'1. 소켓인수검사'!C117</f>
        <v>1250</v>
      </c>
      <c r="D115" s="43">
        <f>'1. 소켓인수검사'!D117</f>
        <v>800</v>
      </c>
      <c r="E115" s="44"/>
      <c r="F115" s="45">
        <f t="shared" si="17"/>
        <v>1</v>
      </c>
      <c r="G115" s="45">
        <f t="shared" si="18"/>
        <v>4.0999999999999996</v>
      </c>
      <c r="H115" s="50">
        <v>4</v>
      </c>
      <c r="I115" s="83">
        <f t="shared" ref="I115:I116" si="19">(G115+0.4)</f>
        <v>4.5</v>
      </c>
      <c r="J115" s="51">
        <v>2</v>
      </c>
      <c r="K115" s="83"/>
      <c r="L115" s="42"/>
      <c r="M115" s="83"/>
      <c r="N115" s="42"/>
      <c r="O115" s="83">
        <f t="shared" ref="O115:O116" si="20">(G115+0.5)</f>
        <v>4.5999999999999996</v>
      </c>
      <c r="P115" s="51">
        <v>2</v>
      </c>
      <c r="Q115" s="46">
        <f t="shared" si="14"/>
        <v>9.68</v>
      </c>
      <c r="R115" s="314">
        <f t="shared" si="11"/>
        <v>9.68</v>
      </c>
      <c r="S115" s="52" t="s">
        <v>54</v>
      </c>
      <c r="T115" s="53" t="s">
        <v>7</v>
      </c>
      <c r="U115" s="49">
        <f>'1. 소켓인수검사'!G117</f>
        <v>0</v>
      </c>
    </row>
    <row r="116" spans="1:21">
      <c r="A116" s="62" t="str">
        <f>'1. 소켓인수검사'!A118</f>
        <v>110</v>
      </c>
      <c r="B116" s="84" t="s">
        <v>37</v>
      </c>
      <c r="C116" s="43">
        <f>'1. 소켓인수검사'!C118</f>
        <v>1250</v>
      </c>
      <c r="D116" s="43">
        <f>'1. 소켓인수검사'!D118</f>
        <v>800</v>
      </c>
      <c r="E116" s="44"/>
      <c r="F116" s="45">
        <f t="shared" si="17"/>
        <v>1</v>
      </c>
      <c r="G116" s="45">
        <f t="shared" si="18"/>
        <v>4.0999999999999996</v>
      </c>
      <c r="H116" s="50">
        <v>4</v>
      </c>
      <c r="I116" s="83">
        <f t="shared" si="19"/>
        <v>4.5</v>
      </c>
      <c r="J116" s="51">
        <v>2</v>
      </c>
      <c r="K116" s="34"/>
      <c r="L116" s="42"/>
      <c r="M116" s="34"/>
      <c r="N116" s="42"/>
      <c r="O116" s="83">
        <f t="shared" si="20"/>
        <v>4.5999999999999996</v>
      </c>
      <c r="P116" s="51">
        <v>2</v>
      </c>
      <c r="Q116" s="46">
        <f t="shared" si="14"/>
        <v>9.68</v>
      </c>
      <c r="R116" s="314">
        <f t="shared" si="11"/>
        <v>9.68</v>
      </c>
      <c r="S116" s="52" t="s">
        <v>54</v>
      </c>
      <c r="T116" s="53" t="s">
        <v>7</v>
      </c>
      <c r="U116" s="49">
        <f>'1. 소켓인수검사'!G118</f>
        <v>0</v>
      </c>
    </row>
    <row r="117" spans="1:21">
      <c r="A117" s="304" t="s">
        <v>5</v>
      </c>
      <c r="B117" s="305"/>
      <c r="C117" s="305"/>
      <c r="D117" s="82"/>
      <c r="E117" s="57"/>
      <c r="F117" s="57"/>
      <c r="G117" s="57"/>
      <c r="H117" s="56">
        <f>SUM(H7:H116)</f>
        <v>352</v>
      </c>
      <c r="I117" s="88"/>
      <c r="J117" s="56">
        <f>SUM(J7:J116)</f>
        <v>132</v>
      </c>
      <c r="K117" s="88"/>
      <c r="L117" s="56">
        <f>SUM(L7:L116)</f>
        <v>176</v>
      </c>
      <c r="M117" s="88"/>
      <c r="N117" s="56">
        <f>SUM(N7:N116)</f>
        <v>0</v>
      </c>
      <c r="O117" s="88"/>
      <c r="P117" s="56">
        <f>SUM(P7:P116)</f>
        <v>132</v>
      </c>
      <c r="Q117" s="88">
        <f>SUM(Q7:Q116)</f>
        <v>897.39999999999793</v>
      </c>
      <c r="R117" s="56">
        <f>SUM(R7:R116)</f>
        <v>897.39999999999793</v>
      </c>
      <c r="S117" s="85"/>
      <c r="T117" s="85"/>
      <c r="U117" s="86"/>
    </row>
    <row r="118" spans="1:21" ht="8.1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4"/>
    </row>
    <row r="119" spans="1:21">
      <c r="A119" s="1" t="s">
        <v>58</v>
      </c>
      <c r="B119" s="1"/>
      <c r="C119" s="1"/>
      <c r="D119" s="187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  <c r="R119" s="188"/>
      <c r="S119" s="188"/>
      <c r="T119" s="188"/>
      <c r="U119" s="189"/>
    </row>
    <row r="120" spans="1:21">
      <c r="A120" s="1"/>
      <c r="B120" s="1"/>
      <c r="C120" s="1"/>
      <c r="D120" s="175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7"/>
    </row>
    <row r="121" spans="1:21">
      <c r="A121" s="1"/>
      <c r="B121" s="1"/>
      <c r="C121" s="1"/>
      <c r="D121" s="175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7"/>
    </row>
    <row r="122" spans="1:21">
      <c r="A122" s="1"/>
      <c r="B122" s="1"/>
      <c r="C122" s="1"/>
      <c r="D122" s="175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7"/>
    </row>
    <row r="123" spans="1:21">
      <c r="A123" s="1"/>
      <c r="B123" s="1"/>
      <c r="C123" s="1"/>
      <c r="D123" s="175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7"/>
    </row>
    <row r="124" spans="1:21">
      <c r="A124" s="1"/>
      <c r="B124" s="1"/>
      <c r="C124" s="1"/>
      <c r="D124" s="190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2"/>
    </row>
  </sheetData>
  <mergeCells count="24">
    <mergeCell ref="A118:P118"/>
    <mergeCell ref="A119:C124"/>
    <mergeCell ref="Q5:R5"/>
    <mergeCell ref="S5:S6"/>
    <mergeCell ref="T5:T6"/>
    <mergeCell ref="K5:L5"/>
    <mergeCell ref="O5:P5"/>
    <mergeCell ref="M5:N5"/>
    <mergeCell ref="U5:U6"/>
    <mergeCell ref="A117:C117"/>
    <mergeCell ref="F1:J3"/>
    <mergeCell ref="K1:U3"/>
    <mergeCell ref="D119:U124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31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10</vt:i4>
      </vt:variant>
    </vt:vector>
  </HeadingPairs>
  <TitlesOfParts>
    <vt:vector size="20" baseType="lpstr">
      <vt:lpstr>발주서정리</vt:lpstr>
      <vt:lpstr>1. 소켓인수검사</vt:lpstr>
      <vt:lpstr>2.재단(VM)작업</vt:lpstr>
      <vt:lpstr>2.1 재단작업(VT)</vt:lpstr>
      <vt:lpstr>차열재 재단(VM,VT)</vt:lpstr>
      <vt:lpstr>3. 1절곡(VM)</vt:lpstr>
      <vt:lpstr>3.2 절곡(VT)</vt:lpstr>
      <vt:lpstr>3.3 절곡(VT-보강대)</vt:lpstr>
      <vt:lpstr>5. 차열재 출하용(VM,VT,VAG)</vt:lpstr>
      <vt:lpstr>6. 라벨소요량</vt:lpstr>
      <vt:lpstr>'1. 소켓인수검사'!Print_Area</vt:lpstr>
      <vt:lpstr>'1. 소켓인수검사'!Print_Titles</vt:lpstr>
      <vt:lpstr>'2.1 재단작업(VT)'!Print_Titles</vt:lpstr>
      <vt:lpstr>'2.재단(VM)작업'!Print_Titles</vt:lpstr>
      <vt:lpstr>'3. 1절곡(VM)'!Print_Titles</vt:lpstr>
      <vt:lpstr>'3.2 절곡(VT)'!Print_Titles</vt:lpstr>
      <vt:lpstr>'3.3 절곡(VT-보강대)'!Print_Titles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53</cp:revision>
  <cp:lastPrinted>2026-04-28T05:13:10Z</cp:lastPrinted>
  <dcterms:created xsi:type="dcterms:W3CDTF">2025-03-13T00:09:10Z</dcterms:created>
  <dcterms:modified xsi:type="dcterms:W3CDTF">2026-05-15T03:48:11Z</dcterms:modified>
  <cp:version>1200.0100.01</cp:version>
</cp:coreProperties>
</file>