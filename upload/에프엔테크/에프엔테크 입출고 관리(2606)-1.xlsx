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EZONE-NAS\homes\1.생산관리부\01. 생산관리업무\에프엔테크\에프엔테크 입출고관리\"/>
    </mc:Choice>
  </mc:AlternateContent>
  <xr:revisionPtr revIDLastSave="0" documentId="13_ncr:1_{C3605980-4FD4-4876-9361-1AC23D43522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입고(2606)" sheetId="12" r:id="rId1"/>
    <sheet name="출고(2606)" sheetId="13" r:id="rId2"/>
    <sheet name="생산량(2606)" sheetId="14" r:id="rId3"/>
    <sheet name="통합현황" sheetId="16" r:id="rId4"/>
  </sheets>
  <definedNames>
    <definedName name="_xlnm.Print_Area" localSheetId="3">통합현황!$A$1:$P$59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1" i="14" l="1"/>
  <c r="AF22" i="14"/>
  <c r="AF23" i="14"/>
  <c r="AF24" i="14"/>
  <c r="AE23" i="14"/>
  <c r="AE22" i="14"/>
  <c r="AE21" i="14"/>
  <c r="Y21" i="14"/>
  <c r="Z21" i="14"/>
  <c r="AA21" i="14"/>
  <c r="AB21" i="14"/>
  <c r="Y22" i="14"/>
  <c r="Z22" i="14"/>
  <c r="AA22" i="14"/>
  <c r="AB22" i="14"/>
  <c r="Y23" i="14"/>
  <c r="Z23" i="14"/>
  <c r="AA23" i="14"/>
  <c r="AB23" i="14"/>
  <c r="Y24" i="14"/>
  <c r="Z24" i="14"/>
  <c r="AA24" i="14"/>
  <c r="X23" i="14"/>
  <c r="X22" i="14"/>
  <c r="X21" i="14"/>
  <c r="R21" i="14"/>
  <c r="S21" i="14"/>
  <c r="T21" i="14"/>
  <c r="U21" i="14"/>
  <c r="R22" i="14"/>
  <c r="S22" i="14"/>
  <c r="T22" i="14"/>
  <c r="U22" i="14"/>
  <c r="R23" i="14"/>
  <c r="S23" i="14"/>
  <c r="T23" i="14"/>
  <c r="U23" i="14"/>
  <c r="R24" i="14"/>
  <c r="S24" i="14"/>
  <c r="T24" i="14"/>
  <c r="U24" i="14"/>
  <c r="Q23" i="14"/>
  <c r="Q22" i="14"/>
  <c r="Q21" i="14"/>
  <c r="K21" i="14"/>
  <c r="L21" i="14"/>
  <c r="M21" i="14"/>
  <c r="N21" i="14"/>
  <c r="K22" i="14"/>
  <c r="L22" i="14"/>
  <c r="M22" i="14"/>
  <c r="N22" i="14"/>
  <c r="K23" i="14"/>
  <c r="L23" i="14"/>
  <c r="M23" i="14"/>
  <c r="N23" i="14"/>
  <c r="K24" i="14"/>
  <c r="L24" i="14"/>
  <c r="M24" i="14"/>
  <c r="N24" i="14"/>
  <c r="J23" i="14"/>
  <c r="J22" i="14"/>
  <c r="J21" i="14"/>
  <c r="G23" i="14"/>
  <c r="G22" i="14"/>
  <c r="G21" i="14"/>
  <c r="F23" i="14"/>
  <c r="F22" i="14"/>
  <c r="F21" i="14"/>
  <c r="D23" i="14"/>
  <c r="D22" i="14"/>
  <c r="D21" i="14"/>
  <c r="C24" i="14"/>
  <c r="F19" i="16"/>
  <c r="F20" i="16"/>
  <c r="C23" i="14"/>
  <c r="C22" i="14"/>
  <c r="C21" i="14"/>
  <c r="C16" i="16"/>
  <c r="AE24" i="14" l="1"/>
  <c r="AB24" i="14"/>
  <c r="X24" i="14"/>
  <c r="Q24" i="14"/>
  <c r="J24" i="14"/>
  <c r="G24" i="14"/>
  <c r="F24" i="14"/>
  <c r="D24" i="14"/>
  <c r="D9" i="16"/>
  <c r="C9" i="16"/>
  <c r="AH12" i="14" l="1"/>
  <c r="G8" i="16" s="1"/>
  <c r="AH12" i="13"/>
  <c r="F8" i="16" s="1"/>
  <c r="AH12" i="12"/>
  <c r="E8" i="16" s="1"/>
  <c r="D8" i="16"/>
  <c r="C8" i="16"/>
  <c r="I8" i="16" l="1"/>
  <c r="I36" i="16" s="1"/>
  <c r="H8" i="16"/>
  <c r="J8" i="16" l="1"/>
  <c r="AH25" i="14"/>
  <c r="AH10" i="14"/>
  <c r="AH11" i="14"/>
  <c r="AH13" i="14"/>
  <c r="AH14" i="14"/>
  <c r="AH15" i="14"/>
  <c r="AH16" i="14"/>
  <c r="AH17" i="14"/>
  <c r="AH18" i="14"/>
  <c r="AH19" i="14"/>
  <c r="AH20" i="14"/>
  <c r="AH25" i="13"/>
  <c r="AH10" i="13"/>
  <c r="AH11" i="13"/>
  <c r="AH13" i="13"/>
  <c r="AH14" i="13"/>
  <c r="AH15" i="13"/>
  <c r="AH16" i="13"/>
  <c r="AH17" i="13"/>
  <c r="AH18" i="13"/>
  <c r="AH19" i="13"/>
  <c r="AH20" i="13"/>
  <c r="AH22" i="12"/>
  <c r="AH23" i="12"/>
  <c r="AH24" i="12"/>
  <c r="AH25" i="12"/>
  <c r="AH26" i="12"/>
  <c r="AH10" i="12"/>
  <c r="AH11" i="12"/>
  <c r="AH13" i="12"/>
  <c r="AH14" i="12"/>
  <c r="AH15" i="12"/>
  <c r="AH16" i="12"/>
  <c r="AH17" i="12"/>
  <c r="AH18" i="12"/>
  <c r="AH19" i="12"/>
  <c r="AH20" i="12"/>
  <c r="D12" i="16" l="1"/>
  <c r="C12" i="16"/>
  <c r="G12" i="16"/>
  <c r="F12" i="16"/>
  <c r="E12" i="16"/>
  <c r="I12" i="16" l="1"/>
  <c r="I47" i="16" s="1"/>
  <c r="H12" i="16"/>
  <c r="E9" i="16"/>
  <c r="G9" i="16"/>
  <c r="F9" i="16"/>
  <c r="H9" i="16" l="1"/>
  <c r="J12" i="16"/>
  <c r="I9" i="16"/>
  <c r="I38" i="16" s="1"/>
  <c r="F10" i="16"/>
  <c r="E10" i="16"/>
  <c r="G10" i="16"/>
  <c r="D10" i="16"/>
  <c r="C10" i="16"/>
  <c r="J9" i="16" l="1"/>
  <c r="I10" i="16"/>
  <c r="I40" i="16" s="1"/>
  <c r="H10" i="16"/>
  <c r="D7" i="16"/>
  <c r="C7" i="16"/>
  <c r="J10" i="16" l="1"/>
  <c r="G6" i="16"/>
  <c r="E6" i="16"/>
  <c r="F6" i="16"/>
  <c r="D6" i="16"/>
  <c r="C6" i="16"/>
  <c r="I6" i="16" l="1"/>
  <c r="I29" i="16" s="1"/>
  <c r="H6" i="16"/>
  <c r="J6" i="16" l="1"/>
  <c r="F13" i="16" l="1"/>
  <c r="E13" i="16"/>
  <c r="G13" i="16"/>
  <c r="D13" i="16"/>
  <c r="C13" i="16"/>
  <c r="H13" i="16" l="1"/>
  <c r="I13" i="16"/>
  <c r="I49" i="16" s="1"/>
  <c r="AH33" i="12"/>
  <c r="J13" i="16" l="1"/>
  <c r="D19" i="16"/>
  <c r="D20" i="16"/>
  <c r="D21" i="16"/>
  <c r="D18" i="16"/>
  <c r="D11" i="16"/>
  <c r="D14" i="16"/>
  <c r="D15" i="16"/>
  <c r="D16" i="16"/>
  <c r="D5" i="16"/>
  <c r="C11" i="16"/>
  <c r="G7" i="16"/>
  <c r="F7" i="16"/>
  <c r="E7" i="16"/>
  <c r="AH9" i="12"/>
  <c r="AH21" i="12"/>
  <c r="AH27" i="12"/>
  <c r="AH28" i="12"/>
  <c r="AH29" i="12"/>
  <c r="AH30" i="12"/>
  <c r="AH31" i="12"/>
  <c r="AH32" i="12"/>
  <c r="O34" i="12"/>
  <c r="S34" i="12"/>
  <c r="T34" i="12"/>
  <c r="V34" i="12"/>
  <c r="X34" i="12"/>
  <c r="AB34" i="12"/>
  <c r="AC34" i="12"/>
  <c r="AE34" i="12"/>
  <c r="AF34" i="12"/>
  <c r="E22" i="16" l="1"/>
  <c r="I7" i="16"/>
  <c r="I32" i="16" s="1"/>
  <c r="H7" i="16"/>
  <c r="J7" i="16" l="1"/>
  <c r="M5" i="16"/>
  <c r="M11" i="16"/>
  <c r="M14" i="16"/>
  <c r="AH22" i="14" l="1"/>
  <c r="C5" i="16"/>
  <c r="AH24" i="13" l="1"/>
  <c r="AH23" i="13"/>
  <c r="AH22" i="13"/>
  <c r="AH23" i="14"/>
  <c r="AH24" i="14"/>
  <c r="C14" i="16"/>
  <c r="C15" i="16"/>
  <c r="C18" i="16"/>
  <c r="C19" i="16"/>
  <c r="C20" i="16"/>
  <c r="C21" i="16"/>
  <c r="C22" i="16"/>
  <c r="G11" i="16" l="1"/>
  <c r="G14" i="16"/>
  <c r="AH21" i="14"/>
  <c r="G18" i="16" s="1"/>
  <c r="G19" i="16"/>
  <c r="G20" i="16"/>
  <c r="G21" i="16"/>
  <c r="G22" i="16"/>
  <c r="AH26" i="14"/>
  <c r="AH27" i="14"/>
  <c r="AH28" i="14"/>
  <c r="AH29" i="14"/>
  <c r="AH30" i="14"/>
  <c r="N5" i="16" s="1"/>
  <c r="AH31" i="14"/>
  <c r="N11" i="16" s="1"/>
  <c r="AH32" i="14"/>
  <c r="N14" i="16" s="1"/>
  <c r="AH33" i="14"/>
  <c r="P5" i="16" s="1"/>
  <c r="AH9" i="14"/>
  <c r="F11" i="16"/>
  <c r="F14" i="16"/>
  <c r="F15" i="16"/>
  <c r="F16" i="16"/>
  <c r="AH21" i="13"/>
  <c r="F21" i="16"/>
  <c r="AH26" i="13"/>
  <c r="AH27" i="13"/>
  <c r="AH28" i="13"/>
  <c r="AH29" i="13"/>
  <c r="AH30" i="13"/>
  <c r="AH31" i="13"/>
  <c r="AH32" i="13"/>
  <c r="AH33" i="13"/>
  <c r="AH9" i="13"/>
  <c r="E11" i="16"/>
  <c r="E14" i="16"/>
  <c r="E15" i="16"/>
  <c r="E16" i="16"/>
  <c r="E18" i="16"/>
  <c r="E19" i="16"/>
  <c r="E20" i="16"/>
  <c r="E21" i="16"/>
  <c r="E5" i="16"/>
  <c r="H21" i="16" l="1"/>
  <c r="F22" i="16"/>
  <c r="J22" i="16" s="1"/>
  <c r="O5" i="16"/>
  <c r="I11" i="16"/>
  <c r="I42" i="16" s="1"/>
  <c r="H11" i="16"/>
  <c r="G5" i="16"/>
  <c r="G15" i="16"/>
  <c r="I15" i="16" s="1"/>
  <c r="I54" i="16" s="1"/>
  <c r="O11" i="16"/>
  <c r="G16" i="16"/>
  <c r="I16" i="16" s="1"/>
  <c r="I56" i="16" s="1"/>
  <c r="O14" i="16"/>
  <c r="H14" i="16"/>
  <c r="F5" i="16"/>
  <c r="F18" i="16" s="1"/>
  <c r="H19" i="16"/>
  <c r="H20" i="16"/>
  <c r="H18" i="16"/>
  <c r="I14" i="16"/>
  <c r="I51" i="16" s="1"/>
  <c r="AF34" i="14"/>
  <c r="AE34" i="14"/>
  <c r="AC34" i="14"/>
  <c r="AB34" i="14"/>
  <c r="X34" i="14"/>
  <c r="V34" i="14"/>
  <c r="T34" i="14"/>
  <c r="S34" i="14"/>
  <c r="O34" i="14"/>
  <c r="AF34" i="13"/>
  <c r="AE34" i="13"/>
  <c r="AC34" i="13"/>
  <c r="AB34" i="13"/>
  <c r="X34" i="13"/>
  <c r="V34" i="13"/>
  <c r="T34" i="13"/>
  <c r="S34" i="13"/>
  <c r="O34" i="13"/>
  <c r="I20" i="16" l="1"/>
  <c r="J20" i="16" s="1"/>
  <c r="I19" i="16"/>
  <c r="J19" i="16" s="1"/>
  <c r="H5" i="16"/>
  <c r="I5" i="16"/>
  <c r="I25" i="16" s="1"/>
  <c r="H16" i="16"/>
  <c r="J16" i="16" s="1"/>
  <c r="H15" i="16"/>
  <c r="J15" i="16" s="1"/>
  <c r="J14" i="16"/>
  <c r="J11" i="16"/>
  <c r="I18" i="16" l="1"/>
  <c r="J5" i="16"/>
  <c r="I21" i="16" l="1"/>
  <c r="J21" i="16" s="1"/>
  <c r="J18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임병용</author>
    <author>ATIV</author>
  </authors>
  <commentList>
    <comment ref="D9" authorId="0" shapeId="0" xr:uid="{49DE9833-6097-4D82-8B40-EADF21F3C99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260602-FN-100(0961~1860)900
260602U002/260602GI001
260518-S06(778~1350)573
260518-S07(1~327)327
</t>
        </r>
      </text>
    </comment>
    <comment ref="G9" authorId="0" shapeId="0" xr:uid="{A28D2407-330D-466F-B7A0-B186C3B9E859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260605-FN-100(0961~1860)900
260605U002/260605GI001
260527-S04(488~1200)713
260527-S05(1~187)187</t>
        </r>
      </text>
    </comment>
    <comment ref="M9" authorId="0" shapeId="0" xr:uid="{B6A8579A-425A-4DA7-9D9F-BCE0635F46D5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260611-FN-100(1201~2100)900
260611U002/260611GI001
260602-S01(568~1400)833
260602-S02(1~67)67</t>
        </r>
      </text>
    </comment>
    <comment ref="S9" authorId="0" shapeId="0" xr:uid="{0C66C0B3-8E3D-4EAD-AA96-CE48AA994668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260617-FN-100(1201~2100)900
260617U002/260617GI001
260602-S04(298~1197)900</t>
        </r>
      </text>
    </comment>
    <comment ref="U9" authorId="0" shapeId="0" xr:uid="{14897F97-A924-4853-85BA-F109B04D21DF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260619-FN-100(1201~2100)900
260619U002/260619GI001
260602-S05(1198~1700)503
260602-S06(1~397)397</t>
        </r>
      </text>
    </comment>
    <comment ref="AE9" authorId="0" shapeId="0" xr:uid="{233D9BC2-756A-41CF-9D28-48447AEBE40B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260629-FN-100(1201~2100)900
20629U002/260629GI001
260623-S02(658~1350)693
260623-S04(1~207)207</t>
        </r>
      </text>
    </comment>
    <comment ref="D15" authorId="0" shapeId="0" xr:uid="{7ED59936-233A-468F-9AED-736822D1237F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260602-FN-100(0001~0960)960
260602U001/260602GI001
260518-S05(1118~1300)183
260518-S06(1~777)777
</t>
        </r>
      </text>
    </comment>
    <comment ref="G15" authorId="0" shapeId="0" xr:uid="{66C68630-B642-4A68-9831-1E745440BB4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260605-FN-100(0001~0960)960
260605U001/260605GI001
260518-S07(328~800)473
260527-S04(1~487)487</t>
        </r>
      </text>
    </comment>
    <comment ref="K15" authorId="0" shapeId="0" xr:uid="{0B4B6063-3626-4101-BDF0-99DF03D733A1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260609-FN-100(0001~1680)
260609U001/260609GI001
260527-S05(188~1250)1063
260527-S06(1~617)617</t>
        </r>
      </text>
    </comment>
    <comment ref="M15" authorId="0" shapeId="0" xr:uid="{5DDE8940-7C63-4B80-B6D0-177090D12B91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260611-FN-100(0001~1200)1200
260611U001/260611GI001
260527-S06(618~1250)633
260602-S01(1~567)567</t>
        </r>
      </text>
    </comment>
    <comment ref="Q15" authorId="0" shapeId="0" xr:uid="{95EB26C7-8D53-439A-A227-ED7F54E25C5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260615-FN-100(0001~1680)1680
260615U001/260615GI001
260602-S02(68~1450)1383
260602-S03(1~297)297</t>
        </r>
      </text>
    </comment>
    <comment ref="S15" authorId="0" shapeId="0" xr:uid="{5DADA13D-A5F3-4C0E-BAC7-C36CE9D529B7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260617-FN-100(0001~1200)1200
260617U001/260617GI001
260602-S03(298~1200)903
260602-S04(1~297)297</t>
        </r>
      </text>
    </comment>
    <comment ref="U15" authorId="0" shapeId="0" xr:uid="{3C79FC9B-C807-4B6E-84EB-DDE3F05DA812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260619-FN-100(0001~1200)1200
260619U001/260619GI001
260602-S04(1198~1200)3
260602-S05(1~1197)1197</t>
        </r>
      </text>
    </comment>
    <comment ref="Y15" authorId="0" shapeId="0" xr:uid="{58E680BB-FC6B-4F60-B9B3-32A9400A3446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260623-FN-100(0001~1680)1680
260623U001/260623GI001
260602-S06(398~1600)1203
260618-S12(1~477)477</t>
        </r>
      </text>
    </comment>
    <comment ref="AA15" authorId="0" shapeId="0" xr:uid="{5CA68C45-A444-4AEE-B704-ECA3715B10B1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260625-FN-100(0001~1680)1680
260625U001/260625GI001
260618-S12(478~1350)873
260623-S01(1~807)807</t>
        </r>
      </text>
    </comment>
    <comment ref="AE15" authorId="0" shapeId="0" xr:uid="{6815A205-6DD2-404A-8D0B-6DDA0AB4E39E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260629-FN-100(0001~1200)1200
20629U001/260629GI001
260623-S01(808~1350)543
260623-S02(1~657)657</t>
        </r>
      </text>
    </comment>
    <comment ref="D19" authorId="0" shapeId="0" xr:uid="{9A2E84DA-F915-49D1-ACD8-0B1EB2E6669E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260602-FN-75(0001~0960)960
260602U003/260602GI002
260420-S02(328~800)473
260518-S07(1~487)487</t>
        </r>
      </text>
    </comment>
    <comment ref="G20" authorId="0" shapeId="0" xr:uid="{4DBB92F0-AAA0-4257-A76E-EB36FC7C0E43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260605-FN-50(0001~1260)
260605U003/260605GI002
260420-S02(610-850)241</t>
        </r>
      </text>
    </comment>
    <comment ref="B21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250915GI001(436ea)</t>
        </r>
      </text>
    </comment>
    <comment ref="D21" authorId="0" shapeId="0" xr:uid="{196A22F0-8F16-4A39-9033-B8B29F70B80D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260602GI001</t>
        </r>
      </text>
    </comment>
    <comment ref="G21" authorId="0" shapeId="0" xr:uid="{B3ADF3C6-7BE4-4030-990A-72600F30A4C2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260605GI001</t>
        </r>
      </text>
    </comment>
    <comment ref="K21" authorId="0" shapeId="0" xr:uid="{ED9B3FC5-4DBD-4987-A792-12ED8817A675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260609GI001</t>
        </r>
      </text>
    </comment>
    <comment ref="M21" authorId="0" shapeId="0" xr:uid="{25F831C6-4336-4B80-AA3D-1D87910F9720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260611GI001</t>
        </r>
      </text>
    </comment>
    <comment ref="Q21" authorId="0" shapeId="0" xr:uid="{3208B53E-2159-4FEA-917F-2AAD08B91A71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260615GI001</t>
        </r>
      </text>
    </comment>
    <comment ref="S21" authorId="0" shapeId="0" xr:uid="{1B4A2160-86A4-4450-BDAC-6CC98D1ABBCD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260617GI001</t>
        </r>
      </text>
    </comment>
    <comment ref="U21" authorId="0" shapeId="0" xr:uid="{C0864C80-A3BE-49F0-9668-980A9E49F8A7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260619GI001</t>
        </r>
      </text>
    </comment>
    <comment ref="Y21" authorId="0" shapeId="0" xr:uid="{ED575BB4-7E4B-4745-BA81-C8551D56F044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260623GI001</t>
        </r>
      </text>
    </comment>
    <comment ref="AA21" authorId="0" shapeId="0" xr:uid="{89EDFF03-DE0A-44EB-9489-393F024B31A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260625GI001</t>
        </r>
      </text>
    </comment>
    <comment ref="AE21" authorId="0" shapeId="0" xr:uid="{43A1D657-4A55-41AE-B2BA-BDDE59F7C17D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260629GI001</t>
        </r>
      </text>
    </comment>
    <comment ref="B22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250915GI002(70ea)</t>
        </r>
      </text>
    </comment>
    <comment ref="D22" authorId="0" shapeId="0" xr:uid="{02BAC2A9-1DA7-4478-8927-17D601A52ACF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260602GI002</t>
        </r>
      </text>
    </comment>
    <comment ref="B23" authorId="1" shapeId="0" xr:uid="{00000000-0006-0000-0000-00001C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250915GI003(356ea)</t>
        </r>
      </text>
    </comment>
    <comment ref="G23" authorId="0" shapeId="0" xr:uid="{CAEBA1CC-40ED-45B6-8B2A-728389AE7204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260605GI002</t>
        </r>
      </text>
    </comment>
    <comment ref="B33" authorId="0" shapeId="0" xr:uid="{DC35308B-D3B9-4DB4-8B2B-99075569B162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260518-S06(34)
260518-S07(36)</t>
        </r>
      </text>
    </comment>
    <comment ref="G33" authorId="0" shapeId="0" xr:uid="{06058493-E23B-4270-BDAA-BDFAD735450C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260527-S04(31)
260527-S05(32)</t>
        </r>
      </text>
    </comment>
    <comment ref="J33" authorId="0" shapeId="0" xr:uid="{0DBC42CB-4CC4-44E3-88CB-18FB37BC3B8F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260527-S06(32)</t>
        </r>
      </text>
    </comment>
    <comment ref="M33" authorId="0" shapeId="0" xr:uid="{367703AE-853A-4ADB-9D22-7E9C72567C8E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260602-S01(36)
260602-S02(36)
260602-S03(38)
260602-S04(40)
260602-S05(43)
260602-S06(41)</t>
        </r>
      </text>
    </comment>
    <comment ref="Z33" authorId="0" shapeId="0" xr:uid="{8BDE720B-5187-44A5-894E-6C4B2F4AE25D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260618-S12</t>
        </r>
      </text>
    </comment>
    <comment ref="AB33" authorId="0" shapeId="0" xr:uid="{1DAD2E52-F3A2-42E7-B274-4FD255BD002C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260623-S01(35)
260623-S02(34)
260623-S03(34)
260623-S04(36)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임병용</author>
  </authors>
  <commentList>
    <comment ref="K9" authorId="0" shapeId="0" xr:uid="{78EC55FB-9C5C-46A6-84DA-B5F2808442AC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260602-FN-100(0961~1860)900
260605-FN-100(0961~1260)300
260602U002/260602GI001(900)
260605U002/260605GI001(300)
260518-S06(778~1350)573
260518-S07(1~327)327
260527-S04(488~787)300</t>
        </r>
      </text>
    </comment>
    <comment ref="M9" authorId="0" shapeId="0" xr:uid="{851603EA-2127-438C-80AB-3020BFF3BBB9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260605-FN-100(1261~1860)600
260605U002/260605GI001
260527-S04(788~1200)413
260527-S05(1~187)187</t>
        </r>
      </text>
    </comment>
    <comment ref="Q9" authorId="0" shapeId="0" xr:uid="{8248A28D-BE88-4B6E-BA56-23A39A60DCD0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260611-FN-100(1201~1500)300
260611U002/260611GI001
260602-S01(568~867)300</t>
        </r>
      </text>
    </comment>
    <comment ref="S9" authorId="0" shapeId="0" xr:uid="{7A2E0742-6489-43BE-9089-4BF3CC95BF84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260611-FN-100(1501~2100)600
260611U002/260611GI001
260602-S01(868~1400)533
260602-S02(1~67)67</t>
        </r>
      </text>
    </comment>
    <comment ref="U9" authorId="0" shapeId="0" xr:uid="{701F99B9-88BF-44DC-A8B8-073053A1ADCD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260617-FN-100(1201~1500)300
260617U002/260617GI001
260602-S04(298~597)300</t>
        </r>
      </text>
    </comment>
    <comment ref="Y9" authorId="0" shapeId="0" xr:uid="{D945FA69-4973-470E-AE32-FE9212799FED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260617-FN-100(1501~2100)600
260619-FN-100(1201~1500)300
260617U002/260617GI001(600)
260619U002/260619GI001(300)
260602-S04(598~1197)600
260602-S05(1198~1497)300</t>
        </r>
      </text>
    </comment>
    <comment ref="AA9" authorId="0" shapeId="0" xr:uid="{5907E892-A791-40B0-BEAB-F89070163CAB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260619-FN-100(1501~2100)600
260619U002/260619GI001
260602-S05(1498~1700)203
260602-S06(1~397)397</t>
        </r>
      </text>
    </comment>
    <comment ref="D15" authorId="0" shapeId="0" xr:uid="{09149724-0694-49DB-B9BE-F5FE7D350FD5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260528-FN-100(0001~1680)1680
260528U001/260528GI001
260518-S04(788~1350)563
260518-S05(1~1117)1117
</t>
        </r>
      </text>
    </comment>
    <comment ref="G15" authorId="0" shapeId="0" xr:uid="{6F978477-1915-41B0-AE90-858A8A3CB696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260602-FN-100(0001~0960)960
260602U001/260602GI001
260518-S05(1118~1300)183
260518-S06(1~777)777
</t>
        </r>
      </text>
    </comment>
    <comment ref="K15" authorId="0" shapeId="0" xr:uid="{EF0DAE47-34A3-40EB-B292-5529E07B7300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260605-FN-100(0001~0960)960
260605U001/260605GI001
260518-S07(328~800)473
260527-S04(1~487)487</t>
        </r>
      </text>
    </comment>
    <comment ref="M15" authorId="0" shapeId="0" xr:uid="{3A9D8077-2ED7-437E-8172-9312C4089E45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260609-FN-100(0001~1440)1440
260609U001/260609GI001
260527-S05(188~1250)1063
260527-S06(1~377)377</t>
        </r>
      </text>
    </comment>
    <comment ref="Q15" authorId="0" shapeId="0" xr:uid="{0368FF8D-8894-445C-8713-1AC8896C05B8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260609-FN-100(1441~1680)240
260611-FN-100(0001~1200)1200
260609U001/260609GI001(240)
260611U001/260611GI001(1200)
260527-S06(378~617)240
260527-S06(618~1250)633
260602-S01(1~567)567</t>
        </r>
      </text>
    </comment>
    <comment ref="S15" authorId="0" shapeId="0" xr:uid="{7DDD76CD-A543-4B63-86F4-F0A1BF21A6BB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260615-FN-100(0001~1440)1440
260615U001/260615GI001
260602-S02(68~1450)1383
260602-S03(1~57)57</t>
        </r>
      </text>
    </comment>
    <comment ref="U15" authorId="0" shapeId="0" xr:uid="{49647AEE-CC17-46E2-B3D1-4891815252A2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260615-FN-100(1441~1680)240
260617-FN-100(0001~1200)1200
260615U001/260615GI001(240)
260617U001/260617GI001(1200)
260602-S03(58~297)240
260602-S03(298~1200)903
260602-S04(1~297)297</t>
        </r>
      </text>
    </comment>
    <comment ref="Y15" authorId="0" shapeId="0" xr:uid="{B711091B-699E-445E-9A94-E675009633F8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260619-FN-100(0001~1200)1200
260619U001/260619GI001
260602-S04(1198~1200)3
260602-S05(1~1197)1197</t>
        </r>
      </text>
    </comment>
    <comment ref="AA15" authorId="0" shapeId="0" xr:uid="{11031196-C32A-445B-AA23-D94FAB7AF7CF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260623-FN-100(0001~1440)1440
260623U001/260623GI001
260602-S06(398~1600)1203
260618-S12(1~237)237</t>
        </r>
      </text>
    </comment>
    <comment ref="AE15" authorId="0" shapeId="0" xr:uid="{2E494494-0CB9-4BD4-9F42-1A2978D2A23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260623-FN-100(1441~1680)240
260625-FN-100(0001~1680)1680
260623U001/260623GI001(240)
260625U001/260625GI001(1680)
260618-S12(238~477)240
260618-S12(478~1350)873
260623-S01(1~807)807</t>
        </r>
      </text>
    </comment>
    <comment ref="G19" authorId="0" shapeId="0" xr:uid="{777B4AE0-4802-4492-8AD4-9E5D6A44D92D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260602-FN-75(0001~0960)960
260602U003/260602GI002
260420-S02(328~800)473
260518-S07(1~487)487</t>
        </r>
      </text>
    </comment>
    <comment ref="Q20" authorId="0" shapeId="0" xr:uid="{47A1AB84-8ACB-408C-8076-6CEBF77673E5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260605-FN-50(0001~0300)300
260605U003/260605GI002
260420-S02(610-850)241
260527-S0(1~59)59</t>
        </r>
      </text>
    </comment>
    <comment ref="U20" authorId="0" shapeId="0" xr:uid="{8D9DCEEB-E125-4CF6-97AF-BBF3ED76603D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260605-FN-50(0301~0780)480
260605U003/260605GI002
260602-S03(1~450)450
260602-S04(1~30)30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임병용</author>
  </authors>
  <commentList>
    <comment ref="G9" authorId="0" shapeId="0" xr:uid="{95DF05AD-7682-4D6C-9C90-0CF097360DCF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260602-FN-100(0961~1860)900
260602U002/260602GI001
260518-S06(778~1350)573
260518-S07(1~327)327
</t>
        </r>
      </text>
    </comment>
    <comment ref="J9" authorId="0" shapeId="0" xr:uid="{DD42212B-22B8-43BF-9B6D-E3139CDD2CDE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260605-FN-100(0961~1260)300
260605U002/260605GI001
260527-S04(488~787)300</t>
        </r>
      </text>
    </comment>
    <comment ref="K9" authorId="0" shapeId="0" xr:uid="{A69A6C42-F5DD-47AE-B682-2E64AE56CFE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260605-FN-100(1261~1860)600
260605U002/260605GI001
260527-S04(788~1200)413
260527-S05(1~187)187</t>
        </r>
      </text>
    </comment>
    <comment ref="N9" authorId="0" shapeId="0" xr:uid="{89EDB363-8132-431E-9587-EA7220CF4C75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260611-FN-100(1201~1500)300
260611U002/260611GI001
260602-S01(568~867)300</t>
        </r>
      </text>
    </comment>
    <comment ref="Q9" authorId="0" shapeId="0" xr:uid="{2BB37552-F176-4979-9691-63E8D3DA95BF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260611-FN-100(1501~2100)600
260611U002/260611GI001
260602-S01(868~1400)533
260602-S02(1~67)67</t>
        </r>
      </text>
    </comment>
    <comment ref="T9" authorId="0" shapeId="0" xr:uid="{D34FAAA0-FD54-4E88-BE36-8011D3507199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260617-FN-100(1201~1500)300
260617U002/260617GI001
260602-S04(298~597)300</t>
        </r>
      </text>
    </comment>
    <comment ref="U9" authorId="0" shapeId="0" xr:uid="{892E84C5-EFDD-427A-AD03-EE0B4C4B551B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260617-FN-100(1501~2100)600
260617U002/260617GI001
260602-S04(598~1197)600</t>
        </r>
      </text>
    </comment>
    <comment ref="X9" authorId="0" shapeId="0" xr:uid="{477A5F18-74FB-4B82-AE6A-C0BFAB581D4F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260619-FN-100(1201~1500)300
260619U002/260619GI001
260602-S05(1198~1497)300</t>
        </r>
      </text>
    </comment>
    <comment ref="Y9" authorId="0" shapeId="0" xr:uid="{002B3B2B-3B82-40BE-8DCC-B711FEE372B6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260619-FN-100(1501~2100)600
260619U002/260619GI001
260602-S05(1498~1700)203
260602-S06(1~397)397</t>
        </r>
      </text>
    </comment>
    <comment ref="AF9" authorId="0" shapeId="0" xr:uid="{CF6947D3-E302-44A3-8021-7DBF4D7552ED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260629-FN-100(1201~1800)600
260629U002/260629GI001
260623-S02(658~1257)600</t>
        </r>
      </text>
    </comment>
    <comment ref="C15" authorId="0" shapeId="0" xr:uid="{2359E704-67D8-4BEF-9484-A68FD5EB79EF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260528-FN-100(1001~1680)680
260528U001/260528GI001
260518-S05(438~1117)680</t>
        </r>
      </text>
    </comment>
    <comment ref="D15" authorId="0" shapeId="0" xr:uid="{C6B703C4-3B4E-4BEC-BB58-51AC7BAF221C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260602-FN-100(0001~0960)960
260602U001/260602GI001
260518-S05(1118~1300)183
260518-S06(1~777)777
</t>
        </r>
      </text>
    </comment>
    <comment ref="G15" authorId="0" shapeId="0" xr:uid="{BC90618B-D6B5-47B5-AE94-828003AD7A3E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260605-FN-100(0001~0240)240
260605U001/260605GI001
260518-S07(328~567)240</t>
        </r>
      </text>
    </comment>
    <comment ref="J15" authorId="0" shapeId="0" xr:uid="{550C3847-662A-4A75-BE65-47FEACD5BFF6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260605-FN-100(0241~0960)720
260605U001/260605GI001
260518-S07(568~800)233
260527-S04(1~487)487</t>
        </r>
      </text>
    </comment>
    <comment ref="K15" authorId="0" shapeId="0" xr:uid="{692F979B-AA15-4195-B190-C6276C40DE77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260609-FN-100(0001~0480)
260609U001/260609GI001
260527-S05(188~667)480
</t>
        </r>
      </text>
    </comment>
    <comment ref="L15" authorId="0" shapeId="0" xr:uid="{49DF4907-852E-4629-B7D5-220331F9FB23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260609-FN-100(0481~1440)960
260609U001/260609GI001
260527-S05(668~1250)583
260527-S06(1~377)377</t>
        </r>
      </text>
    </comment>
    <comment ref="M15" authorId="0" shapeId="0" xr:uid="{ABC09BB0-3563-427A-ABBF-5A3CA2C04A06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260609-FN-100(1441~1680)240
260611-FN-100(0001~0480)480
260609U001/260609GI001
260611U001/260611GI001
260527-S06(378~617)240
260527-S06(618~1097)480</t>
        </r>
      </text>
    </comment>
    <comment ref="N15" authorId="0" shapeId="0" xr:uid="{D20C5535-7EE2-4646-86F2-31D4432ABACC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260611-FN-100(0481~1200)720
260611U001/260611GI001
260527-S06(1098~1250)153
260602-S01(1~567)567</t>
        </r>
      </text>
    </comment>
    <comment ref="Q15" authorId="0" shapeId="0" xr:uid="{0A35BD52-2A08-4B40-9CFF-5EB822810774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260615-FN-100(0001~0480)480
260615U001/260615GI001
260602-S02(68~547)480
</t>
        </r>
      </text>
    </comment>
    <comment ref="R15" authorId="0" shapeId="0" xr:uid="{135BA329-F5D9-4BC6-B08B-95EDFEE73431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260615-FN-100(0481~1680)1200
260615U001/260615GI001
260602-S02(548~1450)903
260602-S03(1~297)297
</t>
        </r>
      </text>
    </comment>
    <comment ref="S15" authorId="0" shapeId="0" xr:uid="{B6F805AB-7B64-4772-9547-BDDFDCE0D299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260617-FN-100(0001~0480)480
260617U001/260617GI001
260602-S03(298~777)480</t>
        </r>
      </text>
    </comment>
    <comment ref="T15" authorId="0" shapeId="0" xr:uid="{AA040CC6-4630-4D1E-84FB-4FB3A6C12BE1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260617-FN-100(0481~1200)720
260617U001/260617GI001
260602-S03(778~1200)423
260602-S04(1~297)297</t>
        </r>
      </text>
    </comment>
    <comment ref="U15" authorId="0" shapeId="0" xr:uid="{39577C3F-3D0B-4C7E-96CA-1B4900612525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260619-FN-100(0001~0480)480
260619U001/260619GI001
260602-S04(1198~1200)3
260602-S05(1~477)477</t>
        </r>
      </text>
    </comment>
    <comment ref="X15" authorId="0" shapeId="0" xr:uid="{9655EB50-C70E-4F4D-BEAD-63B9A880D772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260619-FN-100(0481~1200)720
260619U001/260619GI001
260602-S05(478~1197)720</t>
        </r>
      </text>
    </comment>
    <comment ref="Y15" authorId="0" shapeId="0" xr:uid="{D17EA108-DADC-44FD-A930-057495EA0B1D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260623-FN-100(0001~0480)480
260623U001/260623GI001
260602-S06(398~877)480</t>
        </r>
      </text>
    </comment>
    <comment ref="Z15" authorId="0" shapeId="0" xr:uid="{072374E5-A59E-4F83-B806-2000DA59C204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260623-FN-100(0481~1440)960
260623U001/260623GI001
260602-S06(878~1600)723
260618-S12(1~237)237</t>
        </r>
      </text>
    </comment>
    <comment ref="AA15" authorId="0" shapeId="0" xr:uid="{77526EAD-68F0-474E-AF86-1ABFD55C7AE3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260623-FN-100(1441~1680)240
260625-FN-100(0001~0720)720
260623U001/260623GI001(240)
260625U001/260625GI001(720)
260618-S12(238~477)240
260618-S12(478~1197)720</t>
        </r>
      </text>
    </comment>
    <comment ref="AB15" authorId="0" shapeId="0" xr:uid="{32886487-9914-4192-B01B-F82DA3BB70E8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260625-FN-100(0721~1680)960
260625U001/260625GI001(960)
260618-S12(1198~1350)153
260623-S01(1~757)807</t>
        </r>
      </text>
    </comment>
    <comment ref="AE15" authorId="0" shapeId="0" xr:uid="{725B8E4A-6511-4C0C-8AE6-EAFE971C0AC1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260629-FN-100(0001~0720)720
260629U001/260629GI001
260623-S01(808~1350)543
260623-S02(1~177)177</t>
        </r>
      </text>
    </comment>
    <comment ref="AF15" authorId="0" shapeId="0" xr:uid="{BF0C0BA9-0683-449D-AE7F-436C8BB3D917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260629-FN-100(0721~1200)480
260629U001/260629GI001
260623-S02(178~657)480</t>
        </r>
      </text>
    </comment>
    <comment ref="F19" authorId="0" shapeId="0" xr:uid="{80419926-F57A-444C-99CF-B2C2A22C93E0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260602-FN-75(0001~0960)960
260602U003/260602GI002
260420-S02(328~800)473
260518-S07(1~487)487</t>
        </r>
      </text>
    </comment>
    <comment ref="M20" authorId="0" shapeId="0" xr:uid="{0B70A5F5-A699-4975-901A-E5748A6B731B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260605-FN-50(0001~0300)300
260605U003/260605GI002
260420-S02(610-909)300</t>
        </r>
      </text>
    </comment>
    <comment ref="S20" authorId="0" shapeId="0" xr:uid="{F03AD617-1E80-4C4C-B71E-E7DA2D553175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260605-FN-50(0301~0780)480
260605U003/260605GI002
260602-S03(1~450)450
260602-S04(1~30)30
</t>
        </r>
      </text>
    </comment>
    <comment ref="AE20" authorId="0" shapeId="0" xr:uid="{D5467A38-8278-4361-8827-CA9281EFD19C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260605-FN-50(0781~1260)480
260605U003/260605GI002
260602-S04(31~510)480 </t>
        </r>
      </text>
    </comment>
    <comment ref="D30" authorId="0" shapeId="0" xr:uid="{D6441B2C-79D7-4D70-9EBA-940B238E709B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260518-S06(1350)
260518-S07(800)</t>
        </r>
      </text>
    </comment>
    <comment ref="G30" authorId="0" shapeId="0" xr:uid="{24FC166B-8BEC-457E-A155-1176BB6740E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260527-S04(1200)
260527-S05(1250)</t>
        </r>
      </text>
    </comment>
    <comment ref="K30" authorId="0" shapeId="0" xr:uid="{65D1B3B8-80CF-4508-9BA7-1C66EB17CDFE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260527-S06(1250)</t>
        </r>
      </text>
    </comment>
    <comment ref="M30" authorId="0" shapeId="0" xr:uid="{88E339B0-5DDF-434D-B84E-463128AA6DD5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260602-S01(1450)</t>
        </r>
      </text>
    </comment>
    <comment ref="Q30" authorId="0" shapeId="0" xr:uid="{9E6A5D26-B9BA-48BA-B8A6-30E8EEF62D8B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260602-S02(1450)</t>
        </r>
      </text>
    </comment>
    <comment ref="R30" authorId="0" shapeId="0" xr:uid="{5D0D7CBC-0050-46C6-AF1A-590E374BBFBE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260602-S03(30)</t>
        </r>
      </text>
    </comment>
    <comment ref="S30" authorId="0" shapeId="0" xr:uid="{7562D2CA-C3C4-4204-A859-7165A3F1CD61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260602-S04(30)</t>
        </r>
      </text>
    </comment>
    <comment ref="U30" authorId="0" shapeId="0" xr:uid="{77868FB8-4BD9-4D42-8E9A-03A546DA1FB3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260602-S05(43)</t>
        </r>
      </text>
    </comment>
    <comment ref="X30" authorId="0" shapeId="0" xr:uid="{A8349694-7E53-4286-9340-7C537F298AC5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260602-S06(41)</t>
        </r>
      </text>
    </comment>
    <comment ref="Z30" authorId="0" shapeId="0" xr:uid="{7240631F-D1BB-441B-A596-5FE063701E74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260618-S12(34)</t>
        </r>
      </text>
    </comment>
    <comment ref="AB30" authorId="0" shapeId="0" xr:uid="{098F2A76-B9CF-4B55-AABF-81FBA4B4FF92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260623-S01(35)</t>
        </r>
      </text>
    </comment>
    <comment ref="AE30" authorId="0" shapeId="0" xr:uid="{DF41C124-DACA-4C62-94EF-5E63D96899F6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260623-S02(34)</t>
        </r>
      </text>
    </comment>
    <comment ref="AF30" authorId="0" shapeId="0" xr:uid="{B81AE607-926B-4D10-B5FC-7689847E4DB3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260623-S03(34)</t>
        </r>
      </text>
    </comment>
    <comment ref="F31" authorId="0" shapeId="0" xr:uid="{3102FC11-4AED-4D32-8FAA-A3AE69FB1DAC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260518-S07(600)</t>
        </r>
      </text>
    </comment>
    <comment ref="R32" authorId="0" shapeId="0" xr:uid="{74A2F41B-E42E-4AD3-929D-2D1FAAE2AC38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260602-S03(8)</t>
        </r>
      </text>
    </comment>
    <comment ref="S32" authorId="0" shapeId="0" xr:uid="{CFBFF783-3E57-4D24-B78A-FAFAD0BC8D77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260602-S04(10)</t>
        </r>
      </text>
    </comment>
    <comment ref="D33" authorId="0" shapeId="0" xr:uid="{E79C596C-81D1-4DF7-A72B-FA6807865192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260518-S06(34)
260518-S07(20)</t>
        </r>
      </text>
    </comment>
    <comment ref="F33" authorId="0" shapeId="0" xr:uid="{C0CF9CD4-ACF1-4A72-BFC8-6BF933A2BEF2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260518-S07(16)</t>
        </r>
      </text>
    </comment>
    <comment ref="G33" authorId="0" shapeId="0" xr:uid="{05D4F830-9A48-41E1-93EB-E1C91D02F91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260527-S04(31)
260527-S05(32)</t>
        </r>
      </text>
    </comment>
    <comment ref="K33" authorId="0" shapeId="0" xr:uid="{21FAB6A5-4113-4D28-9345-244A8A871E82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260527-S06(32)</t>
        </r>
      </text>
    </comment>
    <comment ref="M33" authorId="0" shapeId="0" xr:uid="{766418B6-7EA5-4189-A2F9-94F2332CEA55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260602-S01(36)</t>
        </r>
      </text>
    </comment>
    <comment ref="Q33" authorId="0" shapeId="0" xr:uid="{82A0BEAC-1532-4F6E-8B4A-2E2733162C73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260602-S02(36)</t>
        </r>
      </text>
    </comment>
    <comment ref="R33" authorId="0" shapeId="0" xr:uid="{08C70045-AB2E-4221-AEA5-CBBAB032C2B4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260602-S03(38)</t>
        </r>
      </text>
    </comment>
    <comment ref="S33" authorId="0" shapeId="0" xr:uid="{5FD346C4-5B6F-41D9-A6C7-97FB2D984029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260602-S04(40)</t>
        </r>
      </text>
    </comment>
    <comment ref="U33" authorId="0" shapeId="0" xr:uid="{988E1287-A981-447A-B124-BE3E7839B90D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260602-S05(43)</t>
        </r>
      </text>
    </comment>
    <comment ref="X33" authorId="0" shapeId="0" xr:uid="{0E0383A7-9212-4B77-9307-68AD45C96275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260602-S06(41)</t>
        </r>
      </text>
    </comment>
    <comment ref="Z33" authorId="0" shapeId="0" xr:uid="{E6A913D7-51F3-48D9-8800-B5A68EB3C3F9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260618-S12(34)</t>
        </r>
      </text>
    </comment>
    <comment ref="AB33" authorId="0" shapeId="0" xr:uid="{E7A87880-CEC5-4CDE-A99E-44D807089197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260623-S01(35)</t>
        </r>
      </text>
    </comment>
    <comment ref="AE33" authorId="0" shapeId="0" xr:uid="{D74FBE7A-5DA0-43BC-81D0-577B27786867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260623-S02</t>
        </r>
      </text>
    </comment>
    <comment ref="AF33" authorId="0" shapeId="0" xr:uid="{CC0C134C-2435-427F-9C3C-ADB554BE387A}">
      <text>
        <r>
          <rPr>
            <b/>
            <sz val="9"/>
            <color indexed="81"/>
            <rFont val="돋움"/>
            <family val="3"/>
            <charset val="129"/>
          </rPr>
          <t>임병용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260623-S03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ATIV</author>
  </authors>
  <commentList>
    <comment ref="C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250915GI001(436)</t>
        </r>
      </text>
    </comment>
    <comment ref="C19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250915GI002(70)</t>
        </r>
      </text>
    </comment>
    <comment ref="C2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ATIV:</t>
        </r>
        <r>
          <rPr>
            <sz val="9"/>
            <color indexed="81"/>
            <rFont val="Tahoma"/>
            <family val="2"/>
          </rPr>
          <t xml:space="preserve">
250915GI003(356)</t>
        </r>
      </text>
    </comment>
  </commentList>
</comments>
</file>

<file path=xl/sharedStrings.xml><?xml version="1.0" encoding="utf-8"?>
<sst xmlns="http://schemas.openxmlformats.org/spreadsheetml/2006/main" count="393" uniqueCount="160">
  <si>
    <t>품명</t>
    <phoneticPr fontId="2" type="noConversion"/>
  </si>
  <si>
    <t>보호철판 / 100</t>
    <phoneticPr fontId="2" type="noConversion"/>
  </si>
  <si>
    <t>볼트,너트,와샤</t>
    <phoneticPr fontId="2" type="noConversion"/>
  </si>
  <si>
    <t>한국파렛트</t>
    <phoneticPr fontId="2" type="noConversion"/>
  </si>
  <si>
    <t>12일</t>
    <phoneticPr fontId="2" type="noConversion"/>
  </si>
  <si>
    <t>13일</t>
    <phoneticPr fontId="2" type="noConversion"/>
  </si>
  <si>
    <t>14일</t>
  </si>
  <si>
    <t>15일</t>
  </si>
  <si>
    <t>16일</t>
  </si>
  <si>
    <t>17일</t>
  </si>
  <si>
    <t>21일</t>
  </si>
  <si>
    <t>22일</t>
  </si>
  <si>
    <t>23일</t>
  </si>
  <si>
    <t>24일</t>
  </si>
  <si>
    <t>28일</t>
  </si>
  <si>
    <t>합계</t>
    <phoneticPr fontId="2" type="noConversion"/>
  </si>
  <si>
    <t>발포소켓 몸체(75)</t>
    <phoneticPr fontId="2" type="noConversion"/>
  </si>
  <si>
    <t>발포소켓 몸체(50)</t>
    <phoneticPr fontId="2" type="noConversion"/>
  </si>
  <si>
    <t>보호철판 / 75</t>
    <phoneticPr fontId="2" type="noConversion"/>
  </si>
  <si>
    <t>보호철판 / 50</t>
    <phoneticPr fontId="2" type="noConversion"/>
  </si>
  <si>
    <t>화창파렛트</t>
    <phoneticPr fontId="2" type="noConversion"/>
  </si>
  <si>
    <t>박스/내화충전발포소켓(210)</t>
    <phoneticPr fontId="2" type="noConversion"/>
  </si>
  <si>
    <t>발포소켓 몸체(100)(210H)</t>
    <phoneticPr fontId="2" type="noConversion"/>
  </si>
  <si>
    <t>1일</t>
    <phoneticPr fontId="2" type="noConversion"/>
  </si>
  <si>
    <t>2일</t>
    <phoneticPr fontId="2" type="noConversion"/>
  </si>
  <si>
    <t>3일</t>
    <phoneticPr fontId="2" type="noConversion"/>
  </si>
  <si>
    <t>6일</t>
  </si>
  <si>
    <t>7일</t>
  </si>
  <si>
    <t>8일</t>
  </si>
  <si>
    <t>9일</t>
  </si>
  <si>
    <t>10일</t>
  </si>
  <si>
    <t>4일</t>
    <phoneticPr fontId="2" type="noConversion"/>
  </si>
  <si>
    <t>5일</t>
    <phoneticPr fontId="2" type="noConversion"/>
  </si>
  <si>
    <t>11일</t>
    <phoneticPr fontId="2" type="noConversion"/>
  </si>
  <si>
    <t>18일</t>
    <phoneticPr fontId="2" type="noConversion"/>
  </si>
  <si>
    <t>19일</t>
    <phoneticPr fontId="2" type="noConversion"/>
  </si>
  <si>
    <t>25일</t>
    <phoneticPr fontId="2" type="noConversion"/>
  </si>
  <si>
    <t>26일</t>
    <phoneticPr fontId="2" type="noConversion"/>
  </si>
  <si>
    <t>ES박스</t>
    <phoneticPr fontId="2" type="noConversion"/>
  </si>
  <si>
    <t>화창박스</t>
    <phoneticPr fontId="2" type="noConversion"/>
  </si>
  <si>
    <t>20일</t>
    <phoneticPr fontId="2" type="noConversion"/>
  </si>
  <si>
    <t>27일</t>
    <phoneticPr fontId="2" type="noConversion"/>
  </si>
  <si>
    <t>발포소켓 몸체(100)(260H)</t>
    <phoneticPr fontId="2" type="noConversion"/>
  </si>
  <si>
    <t xml:space="preserve">  </t>
  </si>
  <si>
    <t xml:space="preserve"> </t>
  </si>
  <si>
    <t>q</t>
  </si>
  <si>
    <t>100(210H)</t>
    <phoneticPr fontId="2" type="noConversion"/>
  </si>
  <si>
    <t>100(260H)</t>
    <phoneticPr fontId="2" type="noConversion"/>
  </si>
  <si>
    <t>100(몸통)</t>
    <phoneticPr fontId="2" type="noConversion"/>
  </si>
  <si>
    <t>보호철판(50)</t>
    <phoneticPr fontId="2" type="noConversion"/>
  </si>
  <si>
    <t>보호철판(75)</t>
    <phoneticPr fontId="2" type="noConversion"/>
  </si>
  <si>
    <t>보호철판(100)</t>
    <phoneticPr fontId="2" type="noConversion"/>
  </si>
  <si>
    <t>볼트,너트,와샤</t>
    <phoneticPr fontId="2" type="noConversion"/>
  </si>
  <si>
    <t>시트(압출)</t>
    <phoneticPr fontId="2" type="noConversion"/>
  </si>
  <si>
    <t>전월재고</t>
    <phoneticPr fontId="2" type="noConversion"/>
  </si>
  <si>
    <t>생산수량</t>
    <phoneticPr fontId="2" type="noConversion"/>
  </si>
  <si>
    <t>타입/현황</t>
    <phoneticPr fontId="2" type="noConversion"/>
  </si>
  <si>
    <t>시트(재단)100</t>
    <phoneticPr fontId="2" type="noConversion"/>
  </si>
  <si>
    <t>시트(재단)75</t>
    <phoneticPr fontId="2" type="noConversion"/>
  </si>
  <si>
    <t>시트(재단)50</t>
    <phoneticPr fontId="2" type="noConversion"/>
  </si>
  <si>
    <t>스티커부착작업</t>
    <phoneticPr fontId="2" type="noConversion"/>
  </si>
  <si>
    <t>스티커동봉</t>
    <phoneticPr fontId="2" type="noConversion"/>
  </si>
  <si>
    <t>박스스티커동봉</t>
    <phoneticPr fontId="2" type="noConversion"/>
  </si>
  <si>
    <t>최진영차장출력</t>
    <phoneticPr fontId="2" type="noConversion"/>
  </si>
  <si>
    <t>이윤호주임출력</t>
    <phoneticPr fontId="2" type="noConversion"/>
  </si>
  <si>
    <t>반제품, 완제품 현황</t>
    <phoneticPr fontId="2" type="noConversion"/>
  </si>
  <si>
    <t>총 합계</t>
    <phoneticPr fontId="2" type="noConversion"/>
  </si>
  <si>
    <t>전월재고(반제품)</t>
    <phoneticPr fontId="2" type="noConversion"/>
  </si>
  <si>
    <t>전월재고(완제품)</t>
    <phoneticPr fontId="2" type="noConversion"/>
  </si>
  <si>
    <t>생산수량(완제품)</t>
    <phoneticPr fontId="2" type="noConversion"/>
  </si>
  <si>
    <t>반제품 계</t>
    <phoneticPr fontId="2" type="noConversion"/>
  </si>
  <si>
    <t>완제품 계</t>
    <phoneticPr fontId="2" type="noConversion"/>
  </si>
  <si>
    <t>100(260H)</t>
    <phoneticPr fontId="2" type="noConversion"/>
  </si>
  <si>
    <t>100(몸통)</t>
    <phoneticPr fontId="2" type="noConversion"/>
  </si>
  <si>
    <t>재단시트재고</t>
    <phoneticPr fontId="2" type="noConversion"/>
  </si>
  <si>
    <t>압출시트재고</t>
    <phoneticPr fontId="2" type="noConversion"/>
  </si>
  <si>
    <t>출력여부</t>
    <phoneticPr fontId="2" type="noConversion"/>
  </si>
  <si>
    <t>1BOX/1PALLET</t>
    <phoneticPr fontId="2" type="noConversion"/>
  </si>
  <si>
    <t>시트 재고현황</t>
    <phoneticPr fontId="2" type="noConversion"/>
  </si>
  <si>
    <t>출고수량</t>
    <phoneticPr fontId="2" type="noConversion"/>
  </si>
  <si>
    <t>수량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</si>
  <si>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</si>
  <si>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</si>
  <si>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</si>
  <si>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</si>
  <si>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월</t>
    <phoneticPr fontId="2" type="noConversion"/>
  </si>
  <si>
    <t>화</t>
    <phoneticPr fontId="2" type="noConversion"/>
  </si>
  <si>
    <t>발포소켓 몸체(100)(170H)</t>
    <phoneticPr fontId="2" type="noConversion"/>
  </si>
  <si>
    <t>100(170H)</t>
    <phoneticPr fontId="2" type="noConversion"/>
  </si>
  <si>
    <t>(반제품)</t>
    <phoneticPr fontId="2" type="noConversion"/>
  </si>
  <si>
    <t>(완제품)</t>
    <phoneticPr fontId="2" type="noConversion"/>
  </si>
  <si>
    <t>시트(압출) - 재단수량</t>
    <phoneticPr fontId="2" type="noConversion"/>
  </si>
  <si>
    <t>시트(압출)</t>
    <phoneticPr fontId="2" type="noConversion"/>
  </si>
  <si>
    <t>발포소켓 몸체(100)(250H)</t>
    <phoneticPr fontId="2" type="noConversion"/>
  </si>
  <si>
    <t>100(250H)</t>
    <phoneticPr fontId="2" type="noConversion"/>
  </si>
  <si>
    <t>파렛트(한국,화창)</t>
    <phoneticPr fontId="2" type="noConversion"/>
  </si>
  <si>
    <t>스티커 O</t>
    <phoneticPr fontId="2" type="noConversion"/>
  </si>
  <si>
    <t>발포소켓 몸체(100)(150H)</t>
    <phoneticPr fontId="2" type="noConversion"/>
  </si>
  <si>
    <t>100(150H)</t>
    <phoneticPr fontId="2" type="noConversion"/>
  </si>
  <si>
    <t>발포소켓 몸체(100)(200H)</t>
    <phoneticPr fontId="2" type="noConversion"/>
  </si>
  <si>
    <t>발포소켓 몸체(100)-몸통</t>
    <phoneticPr fontId="2" type="noConversion"/>
  </si>
  <si>
    <t>100(200H)</t>
    <phoneticPr fontId="2" type="noConversion"/>
  </si>
  <si>
    <t>300EA</t>
    <phoneticPr fontId="2" type="noConversion"/>
  </si>
  <si>
    <t>12EA</t>
    <phoneticPr fontId="2" type="noConversion"/>
  </si>
  <si>
    <t>240EA</t>
    <phoneticPr fontId="2" type="noConversion"/>
  </si>
  <si>
    <t>240EA</t>
    <phoneticPr fontId="2" type="noConversion"/>
  </si>
  <si>
    <t>24EA</t>
    <phoneticPr fontId="2" type="noConversion"/>
  </si>
  <si>
    <t>960EA</t>
    <phoneticPr fontId="2" type="noConversion"/>
  </si>
  <si>
    <t>30EA</t>
    <phoneticPr fontId="2" type="noConversion"/>
  </si>
  <si>
    <t>1440EA</t>
    <phoneticPr fontId="2" type="noConversion"/>
  </si>
  <si>
    <t>발포소켓 몸체(100)(190H)</t>
    <phoneticPr fontId="2" type="noConversion"/>
  </si>
  <si>
    <t>100(190H)</t>
    <phoneticPr fontId="2" type="noConversion"/>
  </si>
  <si>
    <t>발포소켓 몸체(100)(240H)</t>
    <phoneticPr fontId="2" type="noConversion"/>
  </si>
  <si>
    <t>100(240H)</t>
    <phoneticPr fontId="2" type="noConversion"/>
  </si>
  <si>
    <t>100(240H)</t>
    <phoneticPr fontId="2" type="noConversion"/>
  </si>
  <si>
    <t>조립일정</t>
    <phoneticPr fontId="2" type="noConversion"/>
  </si>
  <si>
    <t>스티커</t>
    <phoneticPr fontId="2" type="noConversion"/>
  </si>
  <si>
    <t>발포소켓 몸체(100)(180H)</t>
    <phoneticPr fontId="2" type="noConversion"/>
  </si>
  <si>
    <t>100(180H)</t>
    <phoneticPr fontId="2" type="noConversion"/>
  </si>
  <si>
    <t>부착</t>
    <phoneticPr fontId="2" type="noConversion"/>
  </si>
  <si>
    <t>12EA</t>
    <phoneticPr fontId="2" type="noConversion"/>
  </si>
  <si>
    <t>화창파렛트(검정)</t>
    <phoneticPr fontId="2" type="noConversion"/>
  </si>
  <si>
    <t>한국파렛트(총수량)</t>
    <phoneticPr fontId="2" type="noConversion"/>
  </si>
  <si>
    <t>29일</t>
    <phoneticPr fontId="2" type="noConversion"/>
  </si>
  <si>
    <t>일</t>
    <phoneticPr fontId="2" type="noConversion"/>
  </si>
  <si>
    <t>30일</t>
    <phoneticPr fontId="2" type="noConversion"/>
  </si>
  <si>
    <t>생산LOT</t>
    <phoneticPr fontId="2" type="noConversion"/>
  </si>
  <si>
    <t>사용시트LOT</t>
    <phoneticPr fontId="2" type="noConversion"/>
  </si>
  <si>
    <t>재고정리</t>
    <phoneticPr fontId="2" type="noConversion"/>
  </si>
  <si>
    <t>재고</t>
    <phoneticPr fontId="2" type="noConversion"/>
  </si>
  <si>
    <t>부착중</t>
    <phoneticPr fontId="2" type="noConversion"/>
  </si>
  <si>
    <t>06월</t>
    <phoneticPr fontId="2" type="noConversion"/>
  </si>
  <si>
    <t>05월재고</t>
    <phoneticPr fontId="2" type="noConversion"/>
  </si>
  <si>
    <t>05월 재고</t>
    <phoneticPr fontId="2" type="noConversion"/>
  </si>
  <si>
    <t xml:space="preserve">05월 재고 </t>
    <phoneticPr fontId="2" type="noConversion"/>
  </si>
  <si>
    <t xml:space="preserve"> 2026년 06월 FN테크 제품현황</t>
    <phoneticPr fontId="15" type="noConversion"/>
  </si>
  <si>
    <t>06월입고</t>
    <phoneticPr fontId="2" type="noConversion"/>
  </si>
  <si>
    <t>06월출고</t>
    <phoneticPr fontId="2" type="noConversion"/>
  </si>
  <si>
    <t>출고시트LOT</t>
    <phoneticPr fontId="2" type="noConversion"/>
  </si>
  <si>
    <t>260605U003/260605GI002</t>
  </si>
  <si>
    <t>입고LOT</t>
    <phoneticPr fontId="2" type="noConversion"/>
  </si>
  <si>
    <t>260605-FN-50(0781~1260)</t>
    <phoneticPr fontId="2" type="noConversion"/>
  </si>
  <si>
    <t>260602-S04(31~510)480</t>
    <phoneticPr fontId="2" type="noConversion"/>
  </si>
  <si>
    <t>260623U001/260623GI001</t>
    <phoneticPr fontId="2" type="noConversion"/>
  </si>
  <si>
    <t>260623-FN-100(1441~1680)</t>
    <phoneticPr fontId="2" type="noConversion"/>
  </si>
  <si>
    <t>260618-S12(238~477)240</t>
    <phoneticPr fontId="2" type="noConversion"/>
  </si>
  <si>
    <t>260625U001/260625GI001</t>
    <phoneticPr fontId="2" type="noConversion"/>
  </si>
  <si>
    <t>260618-S12(478~1350)873</t>
    <phoneticPr fontId="2" type="noConversion"/>
  </si>
  <si>
    <t>260625-FN-100(0001~1680)</t>
    <phoneticPr fontId="2" type="noConversion"/>
  </si>
  <si>
    <t>260623-S01(1~807)807</t>
    <phoneticPr fontId="2" type="noConversion"/>
  </si>
  <si>
    <t>출고LOT(06/29)</t>
    <phoneticPr fontId="2" type="noConversion"/>
  </si>
  <si>
    <t>1920(8P)</t>
    <phoneticPr fontId="2" type="noConversion"/>
  </si>
  <si>
    <t>20629U002/260629GI001</t>
    <phoneticPr fontId="2" type="noConversion"/>
  </si>
  <si>
    <t>260623-S02(658~1350)693</t>
    <phoneticPr fontId="2" type="noConversion"/>
  </si>
  <si>
    <t>260623-S04(1~207)207</t>
    <phoneticPr fontId="2" type="noConversion"/>
  </si>
  <si>
    <t>260629-FN-100(1201~2100)</t>
    <phoneticPr fontId="2" type="noConversion"/>
  </si>
  <si>
    <t>260629-FN-100(0001~1200)</t>
    <phoneticPr fontId="2" type="noConversion"/>
  </si>
  <si>
    <t>20629U001/260629GI001</t>
    <phoneticPr fontId="2" type="noConversion"/>
  </si>
  <si>
    <t>260623-S01(808~1350)543</t>
    <phoneticPr fontId="2" type="noConversion"/>
  </si>
  <si>
    <t>260623-S02(1~657)657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</si>
</sst>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&quot; &quot;* #,##0&quot; &quot;;&quot;-&quot;* #,##0&quot; &quot;;&quot; &quot;* &quot;- &quot;;&quot; &quot;@&quot; &quot;"/>
  </numFmts>
  <fonts count="39">
    <font>
      <sz val="11"/>
      <color theme="1"/>
      <name val="맑은 고딕"/>
      <family val="2"/>
      <charset val="129"/>
      <scheme val="minor"/>
    </font>
    <font>
      <sz val="10"/>
      <color indexed="8"/>
      <name val="Helvetica Neue"/>
      <family val="3"/>
      <charset val="129"/>
    </font>
    <font>
      <sz val="8"/>
      <name val="맑은 고딕"/>
      <family val="2"/>
      <charset val="129"/>
      <scheme val="minor"/>
    </font>
    <font>
      <b/>
      <sz val="10"/>
      <color indexed="8"/>
      <name val="Helvetica Neue"/>
      <family val="3"/>
      <charset val="129"/>
    </font>
    <font>
      <b/>
      <sz val="10"/>
      <color rgb="FF002060"/>
      <name val="Helvetica Neue"/>
      <family val="3"/>
      <charset val="129"/>
    </font>
    <font>
      <b/>
      <sz val="10"/>
      <color theme="4"/>
      <name val="Helvetica Neue"/>
      <family val="3"/>
      <charset val="129"/>
    </font>
    <font>
      <b/>
      <sz val="10"/>
      <color rgb="FFFF0000"/>
      <name val="Helvetica Neue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indexed="8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theme="4"/>
      <name val="맑은 고딕"/>
      <family val="3"/>
      <charset val="129"/>
      <scheme val="major"/>
    </font>
    <font>
      <sz val="11"/>
      <color theme="5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3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  <scheme val="major"/>
    </font>
    <font>
      <sz val="8"/>
      <color indexed="8"/>
      <name val="맑은 고딕"/>
      <family val="3"/>
      <charset val="129"/>
      <scheme val="major"/>
    </font>
    <font>
      <sz val="8"/>
      <color theme="4"/>
      <name val="맑은 고딕"/>
      <family val="3"/>
      <charset val="129"/>
      <scheme val="major"/>
    </font>
    <font>
      <sz val="8"/>
      <color rgb="FF002060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6"/>
      <color indexed="8"/>
      <name val="Helvetica Neue"/>
      <family val="3"/>
      <charset val="129"/>
    </font>
    <font>
      <sz val="8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thick">
        <color rgb="FF00206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0" borderId="0" applyNumberFormat="0" applyFill="0" applyBorder="0" applyProtection="0">
      <alignment vertical="top" wrapText="1"/>
    </xf>
    <xf numFmtId="176" fontId="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167">
    <xf numFmtId="0" fontId="0" fillId="0" borderId="0" xfId="0">
      <alignment vertical="center"/>
    </xf>
    <xf numFmtId="0" fontId="1" fillId="0" borderId="0" xfId="1">
      <alignment vertical="top" wrapText="1"/>
    </xf>
    <xf numFmtId="0" fontId="1" fillId="0" borderId="1" xfId="1" applyBorder="1">
      <alignment vertical="top" wrapText="1"/>
    </xf>
    <xf numFmtId="0" fontId="1" fillId="0" borderId="0" xfId="1" applyAlignment="1">
      <alignment vertical="center" wrapText="1"/>
    </xf>
    <xf numFmtId="0" fontId="3" fillId="3" borderId="2" xfId="1" applyNumberFormat="1" applyFont="1" applyFill="1" applyBorder="1" applyAlignment="1">
      <alignment horizontal="center" vertical="center" wrapText="1"/>
    </xf>
    <xf numFmtId="0" fontId="4" fillId="3" borderId="2" xfId="1" applyNumberFormat="1" applyFont="1" applyFill="1" applyBorder="1" applyAlignment="1">
      <alignment horizontal="center" vertical="center" wrapText="1"/>
    </xf>
    <xf numFmtId="0" fontId="5" fillId="3" borderId="2" xfId="1" applyNumberFormat="1" applyFont="1" applyFill="1" applyBorder="1" applyAlignment="1">
      <alignment horizontal="center" vertical="center" wrapText="1"/>
    </xf>
    <xf numFmtId="1" fontId="6" fillId="3" borderId="2" xfId="1" applyNumberFormat="1" applyFont="1" applyFill="1" applyBorder="1" applyAlignment="1">
      <alignment horizontal="center" vertical="center" wrapText="1"/>
    </xf>
    <xf numFmtId="0" fontId="3" fillId="4" borderId="2" xfId="1" applyNumberFormat="1" applyFont="1" applyFill="1" applyBorder="1" applyAlignment="1">
      <alignment horizontal="center" vertical="center" wrapText="1"/>
    </xf>
    <xf numFmtId="0" fontId="4" fillId="4" borderId="2" xfId="1" applyNumberFormat="1" applyFont="1" applyFill="1" applyBorder="1" applyAlignment="1">
      <alignment horizontal="center" vertical="center" wrapText="1"/>
    </xf>
    <xf numFmtId="1" fontId="6" fillId="4" borderId="2" xfId="1" applyNumberFormat="1" applyFont="1" applyFill="1" applyBorder="1" applyAlignment="1">
      <alignment horizontal="center" vertical="center" wrapText="1"/>
    </xf>
    <xf numFmtId="0" fontId="5" fillId="4" borderId="2" xfId="1" applyNumberFormat="1" applyFont="1" applyFill="1" applyBorder="1" applyAlignment="1">
      <alignment horizontal="center" vertical="center" wrapText="1"/>
    </xf>
    <xf numFmtId="0" fontId="7" fillId="0" borderId="0" xfId="4" applyAlignment="1">
      <alignment horizontal="center" vertical="center"/>
    </xf>
    <xf numFmtId="0" fontId="16" fillId="0" borderId="0" xfId="4" applyFont="1">
      <alignment vertical="center"/>
    </xf>
    <xf numFmtId="0" fontId="16" fillId="0" borderId="0" xfId="4" applyFont="1" applyAlignment="1">
      <alignment horizontal="center" vertical="center"/>
    </xf>
    <xf numFmtId="0" fontId="17" fillId="7" borderId="8" xfId="4" applyFont="1" applyFill="1" applyBorder="1" applyAlignment="1">
      <alignment horizontal="center" vertical="center"/>
    </xf>
    <xf numFmtId="0" fontId="17" fillId="7" borderId="9" xfId="4" applyFont="1" applyFill="1" applyBorder="1" applyAlignment="1">
      <alignment horizontal="center" vertical="center"/>
    </xf>
    <xf numFmtId="0" fontId="17" fillId="7" borderId="10" xfId="4" applyFont="1" applyFill="1" applyBorder="1" applyAlignment="1">
      <alignment horizontal="center" vertical="center"/>
    </xf>
    <xf numFmtId="0" fontId="17" fillId="6" borderId="9" xfId="4" applyFont="1" applyFill="1" applyBorder="1" applyAlignment="1">
      <alignment horizontal="center" vertical="center"/>
    </xf>
    <xf numFmtId="0" fontId="17" fillId="10" borderId="9" xfId="4" applyFont="1" applyFill="1" applyBorder="1" applyAlignment="1">
      <alignment horizontal="center" vertical="center"/>
    </xf>
    <xf numFmtId="0" fontId="17" fillId="10" borderId="10" xfId="4" applyFont="1" applyFill="1" applyBorder="1" applyAlignment="1">
      <alignment horizontal="center" vertical="center"/>
    </xf>
    <xf numFmtId="0" fontId="17" fillId="7" borderId="11" xfId="4" applyFont="1" applyFill="1" applyBorder="1" applyAlignment="1">
      <alignment horizontal="center" vertical="center"/>
    </xf>
    <xf numFmtId="0" fontId="17" fillId="6" borderId="12" xfId="4" applyFont="1" applyFill="1" applyBorder="1" applyAlignment="1">
      <alignment horizontal="center" vertical="center"/>
    </xf>
    <xf numFmtId="0" fontId="18" fillId="10" borderId="12" xfId="4" applyFont="1" applyFill="1" applyBorder="1" applyAlignment="1">
      <alignment horizontal="center" vertical="center"/>
    </xf>
    <xf numFmtId="0" fontId="17" fillId="10" borderId="13" xfId="4" applyFont="1" applyFill="1" applyBorder="1" applyAlignment="1">
      <alignment horizontal="center" vertical="center"/>
    </xf>
    <xf numFmtId="0" fontId="17" fillId="7" borderId="14" xfId="4" applyFont="1" applyFill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8" fillId="0" borderId="0" xfId="4" applyFont="1" applyAlignment="1">
      <alignment horizontal="center" vertical="center"/>
    </xf>
    <xf numFmtId="41" fontId="21" fillId="6" borderId="9" xfId="4" applyNumberFormat="1" applyFont="1" applyFill="1" applyBorder="1" applyAlignment="1">
      <alignment horizontal="center" vertical="center"/>
    </xf>
    <xf numFmtId="41" fontId="21" fillId="9" borderId="9" xfId="4" applyNumberFormat="1" applyFont="1" applyFill="1" applyBorder="1" applyAlignment="1">
      <alignment horizontal="center" vertical="center"/>
    </xf>
    <xf numFmtId="41" fontId="21" fillId="9" borderId="10" xfId="4" applyNumberFormat="1" applyFont="1" applyFill="1" applyBorder="1" applyAlignment="1">
      <alignment horizontal="center" vertical="center"/>
    </xf>
    <xf numFmtId="41" fontId="21" fillId="6" borderId="12" xfId="4" applyNumberFormat="1" applyFont="1" applyFill="1" applyBorder="1" applyAlignment="1">
      <alignment horizontal="center" vertical="center"/>
    </xf>
    <xf numFmtId="41" fontId="21" fillId="9" borderId="12" xfId="4" applyNumberFormat="1" applyFont="1" applyFill="1" applyBorder="1" applyAlignment="1">
      <alignment horizontal="center" vertical="center"/>
    </xf>
    <xf numFmtId="41" fontId="21" fillId="9" borderId="13" xfId="4" applyNumberFormat="1" applyFont="1" applyFill="1" applyBorder="1" applyAlignment="1">
      <alignment horizontal="center" vertical="center"/>
    </xf>
    <xf numFmtId="0" fontId="21" fillId="7" borderId="8" xfId="4" applyFont="1" applyFill="1" applyBorder="1" applyAlignment="1">
      <alignment horizontal="center" vertical="center"/>
    </xf>
    <xf numFmtId="41" fontId="21" fillId="8" borderId="9" xfId="3" applyFont="1" applyFill="1" applyBorder="1" applyAlignment="1">
      <alignment horizontal="center" vertical="center"/>
    </xf>
    <xf numFmtId="41" fontId="21" fillId="8" borderId="14" xfId="3" applyFont="1" applyFill="1" applyBorder="1" applyAlignment="1">
      <alignment horizontal="center" vertical="center"/>
    </xf>
    <xf numFmtId="41" fontId="21" fillId="8" borderId="12" xfId="3" applyFont="1" applyFill="1" applyBorder="1" applyAlignment="1">
      <alignment horizontal="center" vertical="center"/>
    </xf>
    <xf numFmtId="41" fontId="21" fillId="8" borderId="15" xfId="3" applyFont="1" applyFill="1" applyBorder="1" applyAlignment="1">
      <alignment horizontal="center" vertical="center"/>
    </xf>
    <xf numFmtId="41" fontId="21" fillId="6" borderId="9" xfId="3" applyFont="1" applyFill="1" applyBorder="1" applyAlignment="1">
      <alignment horizontal="center" vertical="center"/>
    </xf>
    <xf numFmtId="41" fontId="21" fillId="10" borderId="9" xfId="3" applyFont="1" applyFill="1" applyBorder="1" applyAlignment="1">
      <alignment horizontal="center" vertical="center"/>
    </xf>
    <xf numFmtId="0" fontId="17" fillId="0" borderId="8" xfId="4" applyFont="1" applyBorder="1" applyAlignment="1">
      <alignment horizontal="center" vertical="center"/>
    </xf>
    <xf numFmtId="41" fontId="21" fillId="0" borderId="9" xfId="4" applyNumberFormat="1" applyFont="1" applyBorder="1" applyAlignment="1">
      <alignment horizontal="center" vertical="center"/>
    </xf>
    <xf numFmtId="41" fontId="21" fillId="0" borderId="9" xfId="3" applyFont="1" applyFill="1" applyBorder="1" applyAlignment="1">
      <alignment horizontal="center" vertical="center"/>
    </xf>
    <xf numFmtId="41" fontId="21" fillId="0" borderId="14" xfId="3" applyFont="1" applyFill="1" applyBorder="1" applyAlignment="1">
      <alignment horizontal="center" vertical="center"/>
    </xf>
    <xf numFmtId="41" fontId="21" fillId="0" borderId="10" xfId="4" applyNumberFormat="1" applyFont="1" applyBorder="1" applyAlignment="1">
      <alignment horizontal="center" vertical="center"/>
    </xf>
    <xf numFmtId="0" fontId="17" fillId="0" borderId="9" xfId="4" applyFont="1" applyBorder="1" applyAlignment="1">
      <alignment horizontal="center" vertical="center"/>
    </xf>
    <xf numFmtId="0" fontId="17" fillId="0" borderId="10" xfId="4" applyFont="1" applyBorder="1" applyAlignment="1">
      <alignment horizontal="center" vertical="center"/>
    </xf>
    <xf numFmtId="0" fontId="7" fillId="12" borderId="23" xfId="4" applyFill="1" applyBorder="1" applyAlignment="1">
      <alignment horizontal="center" vertical="center"/>
    </xf>
    <xf numFmtId="0" fontId="7" fillId="12" borderId="24" xfId="4" applyFill="1" applyBorder="1" applyAlignment="1">
      <alignment horizontal="center" vertical="center"/>
    </xf>
    <xf numFmtId="0" fontId="7" fillId="12" borderId="25" xfId="4" applyFill="1" applyBorder="1" applyAlignment="1">
      <alignment horizontal="center" vertical="center"/>
    </xf>
    <xf numFmtId="0" fontId="7" fillId="0" borderId="30" xfId="4" applyBorder="1" applyAlignment="1">
      <alignment horizontal="center" vertical="center"/>
    </xf>
    <xf numFmtId="0" fontId="3" fillId="0" borderId="2" xfId="1" applyNumberFormat="1" applyFont="1" applyFill="1" applyBorder="1" applyAlignment="1">
      <alignment horizontal="center" vertical="center" wrapText="1"/>
    </xf>
    <xf numFmtId="0" fontId="4" fillId="0" borderId="2" xfId="1" applyNumberFormat="1" applyFont="1" applyFill="1" applyBorder="1" applyAlignment="1">
      <alignment horizontal="center" vertical="center" wrapText="1"/>
    </xf>
    <xf numFmtId="0" fontId="1" fillId="0" borderId="0" xfId="1" applyFill="1">
      <alignment vertical="top" wrapText="1"/>
    </xf>
    <xf numFmtId="0" fontId="23" fillId="0" borderId="9" xfId="4" applyFont="1" applyBorder="1" applyAlignment="1">
      <alignment horizontal="center" vertical="center"/>
    </xf>
    <xf numFmtId="0" fontId="19" fillId="0" borderId="9" xfId="4" applyFont="1" applyBorder="1" applyAlignment="1">
      <alignment horizontal="center" vertical="center"/>
    </xf>
    <xf numFmtId="0" fontId="19" fillId="0" borderId="29" xfId="4" applyFont="1" applyBorder="1" applyAlignment="1">
      <alignment horizontal="center" vertical="center"/>
    </xf>
    <xf numFmtId="0" fontId="18" fillId="0" borderId="9" xfId="4" applyFont="1" applyBorder="1" applyAlignment="1">
      <alignment horizontal="center" vertical="center"/>
    </xf>
    <xf numFmtId="0" fontId="18" fillId="0" borderId="10" xfId="4" applyFont="1" applyBorder="1" applyAlignment="1">
      <alignment horizontal="center" vertical="center"/>
    </xf>
    <xf numFmtId="0" fontId="20" fillId="0" borderId="9" xfId="4" applyFont="1" applyBorder="1">
      <alignment vertical="center"/>
    </xf>
    <xf numFmtId="0" fontId="19" fillId="0" borderId="10" xfId="4" applyFont="1" applyBorder="1" applyAlignment="1">
      <alignment horizontal="center" vertical="center"/>
    </xf>
    <xf numFmtId="0" fontId="23" fillId="0" borderId="29" xfId="4" applyFont="1" applyBorder="1" applyAlignment="1">
      <alignment horizontal="center" vertical="center"/>
    </xf>
    <xf numFmtId="0" fontId="34" fillId="7" borderId="11" xfId="4" applyFont="1" applyFill="1" applyBorder="1" applyAlignment="1">
      <alignment horizontal="center" vertical="center"/>
    </xf>
    <xf numFmtId="0" fontId="19" fillId="0" borderId="14" xfId="4" applyFont="1" applyBorder="1" applyAlignment="1">
      <alignment horizontal="center" vertical="center"/>
    </xf>
    <xf numFmtId="0" fontId="23" fillId="0" borderId="12" xfId="4" applyFont="1" applyBorder="1" applyAlignment="1">
      <alignment horizontal="center" vertical="center"/>
    </xf>
    <xf numFmtId="0" fontId="19" fillId="0" borderId="12" xfId="4" applyFont="1" applyBorder="1" applyAlignment="1">
      <alignment horizontal="center" vertical="center"/>
    </xf>
    <xf numFmtId="0" fontId="19" fillId="0" borderId="13" xfId="4" applyFont="1" applyBorder="1" applyAlignment="1">
      <alignment horizontal="center" vertical="center"/>
    </xf>
    <xf numFmtId="0" fontId="17" fillId="0" borderId="11" xfId="4" applyFont="1" applyBorder="1" applyAlignment="1">
      <alignment horizontal="center" vertical="center"/>
    </xf>
    <xf numFmtId="0" fontId="18" fillId="0" borderId="12" xfId="4" applyFont="1" applyBorder="1" applyAlignment="1">
      <alignment horizontal="center" vertical="center"/>
    </xf>
    <xf numFmtId="0" fontId="18" fillId="0" borderId="13" xfId="4" applyFont="1" applyBorder="1" applyAlignment="1">
      <alignment horizontal="center" vertical="center"/>
    </xf>
    <xf numFmtId="14" fontId="19" fillId="0" borderId="9" xfId="4" applyNumberFormat="1" applyFont="1" applyBorder="1" applyAlignment="1">
      <alignment horizontal="center" vertical="center"/>
    </xf>
    <xf numFmtId="14" fontId="19" fillId="5" borderId="9" xfId="4" applyNumberFormat="1" applyFont="1" applyFill="1" applyBorder="1" applyAlignment="1">
      <alignment horizontal="center" vertical="center"/>
    </xf>
    <xf numFmtId="0" fontId="19" fillId="11" borderId="9" xfId="4" applyFont="1" applyFill="1" applyBorder="1" applyAlignment="1">
      <alignment horizontal="center" vertical="center"/>
    </xf>
    <xf numFmtId="0" fontId="1" fillId="14" borderId="0" xfId="1" applyFill="1">
      <alignment vertical="top" wrapText="1"/>
    </xf>
    <xf numFmtId="0" fontId="37" fillId="0" borderId="0" xfId="1" applyFont="1">
      <alignment vertical="top" wrapText="1"/>
    </xf>
    <xf numFmtId="0" fontId="1" fillId="0" borderId="0" xfId="1" applyFill="1" applyAlignment="1">
      <alignment vertical="center" wrapText="1"/>
    </xf>
    <xf numFmtId="41" fontId="24" fillId="0" borderId="36" xfId="3" applyFont="1" applyFill="1" applyBorder="1" applyAlignment="1">
      <alignment horizontal="center" vertical="center"/>
    </xf>
    <xf numFmtId="41" fontId="24" fillId="5" borderId="36" xfId="3" applyFont="1" applyFill="1" applyBorder="1" applyAlignment="1">
      <alignment horizontal="center" vertical="center"/>
    </xf>
    <xf numFmtId="41" fontId="30" fillId="0" borderId="36" xfId="3" applyFont="1" applyFill="1" applyBorder="1" applyAlignment="1">
      <alignment horizontal="center" vertical="center"/>
    </xf>
    <xf numFmtId="41" fontId="28" fillId="0" borderId="36" xfId="3" applyFont="1" applyBorder="1" applyAlignment="1">
      <alignment horizontal="center" vertical="center"/>
    </xf>
    <xf numFmtId="41" fontId="30" fillId="5" borderId="36" xfId="3" applyFont="1" applyFill="1" applyBorder="1" applyAlignment="1">
      <alignment horizontal="center" vertical="center"/>
    </xf>
    <xf numFmtId="41" fontId="24" fillId="11" borderId="36" xfId="3" applyFont="1" applyFill="1" applyBorder="1" applyAlignment="1">
      <alignment horizontal="center" vertical="center"/>
    </xf>
    <xf numFmtId="41" fontId="30" fillId="11" borderId="36" xfId="3" applyFont="1" applyFill="1" applyBorder="1" applyAlignment="1">
      <alignment horizontal="center" vertical="center"/>
    </xf>
    <xf numFmtId="41" fontId="28" fillId="11" borderId="36" xfId="3" applyFont="1" applyFill="1" applyBorder="1" applyAlignment="1">
      <alignment horizontal="center" vertical="center"/>
    </xf>
    <xf numFmtId="41" fontId="28" fillId="0" borderId="36" xfId="3" applyFont="1" applyFill="1" applyBorder="1" applyAlignment="1">
      <alignment horizontal="center" vertical="center"/>
    </xf>
    <xf numFmtId="0" fontId="8" fillId="2" borderId="36" xfId="1" applyFont="1" applyFill="1" applyBorder="1" applyAlignment="1">
      <alignment horizontal="center" vertical="center"/>
    </xf>
    <xf numFmtId="0" fontId="8" fillId="0" borderId="36" xfId="1" applyFont="1" applyFill="1" applyBorder="1" applyAlignment="1">
      <alignment horizontal="center" vertical="center" wrapText="1"/>
    </xf>
    <xf numFmtId="0" fontId="31" fillId="0" borderId="36" xfId="1" applyFont="1" applyFill="1" applyBorder="1" applyAlignment="1">
      <alignment horizontal="center" vertical="center" wrapText="1"/>
    </xf>
    <xf numFmtId="0" fontId="31" fillId="5" borderId="36" xfId="1" applyFont="1" applyFill="1" applyBorder="1" applyAlignment="1">
      <alignment horizontal="center" vertical="center" wrapText="1"/>
    </xf>
    <xf numFmtId="0" fontId="8" fillId="5" borderId="36" xfId="1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/>
    </xf>
    <xf numFmtId="41" fontId="32" fillId="0" borderId="36" xfId="3" applyFont="1" applyFill="1" applyBorder="1" applyAlignment="1">
      <alignment horizontal="center" vertical="center"/>
    </xf>
    <xf numFmtId="41" fontId="9" fillId="0" borderId="36" xfId="3" applyFont="1" applyFill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9" fillId="11" borderId="36" xfId="0" applyFont="1" applyFill="1" applyBorder="1" applyAlignment="1">
      <alignment horizontal="center" vertical="center"/>
    </xf>
    <xf numFmtId="41" fontId="32" fillId="11" borderId="36" xfId="3" applyFont="1" applyFill="1" applyBorder="1" applyAlignment="1">
      <alignment horizontal="center" vertical="center"/>
    </xf>
    <xf numFmtId="0" fontId="10" fillId="11" borderId="36" xfId="0" applyFont="1" applyFill="1" applyBorder="1" applyAlignment="1">
      <alignment horizontal="center" vertical="center"/>
    </xf>
    <xf numFmtId="0" fontId="11" fillId="11" borderId="36" xfId="0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 shrinkToFit="1"/>
    </xf>
    <xf numFmtId="41" fontId="32" fillId="0" borderId="36" xfId="3" applyFont="1" applyFill="1" applyBorder="1" applyAlignment="1">
      <alignment horizontal="center" vertical="center" shrinkToFit="1"/>
    </xf>
    <xf numFmtId="41" fontId="9" fillId="0" borderId="36" xfId="3" applyFont="1" applyBorder="1" applyAlignment="1">
      <alignment horizontal="center" vertical="center"/>
    </xf>
    <xf numFmtId="41" fontId="10" fillId="0" borderId="36" xfId="3" applyFont="1" applyBorder="1" applyAlignment="1">
      <alignment horizontal="center" vertical="center"/>
    </xf>
    <xf numFmtId="41" fontId="11" fillId="0" borderId="36" xfId="3" applyFont="1" applyBorder="1" applyAlignment="1">
      <alignment horizontal="center" vertical="center"/>
    </xf>
    <xf numFmtId="41" fontId="9" fillId="11" borderId="36" xfId="3" applyFont="1" applyFill="1" applyBorder="1" applyAlignment="1">
      <alignment horizontal="center" vertical="center"/>
    </xf>
    <xf numFmtId="41" fontId="10" fillId="11" borderId="36" xfId="3" applyFont="1" applyFill="1" applyBorder="1" applyAlignment="1">
      <alignment horizontal="center" vertical="center"/>
    </xf>
    <xf numFmtId="41" fontId="11" fillId="11" borderId="36" xfId="3" applyFont="1" applyFill="1" applyBorder="1" applyAlignment="1">
      <alignment horizontal="center" vertical="center"/>
    </xf>
    <xf numFmtId="41" fontId="9" fillId="0" borderId="36" xfId="3" applyFont="1" applyBorder="1" applyAlignment="1">
      <alignment horizontal="center" vertical="center" shrinkToFit="1"/>
    </xf>
    <xf numFmtId="41" fontId="32" fillId="0" borderId="36" xfId="3" applyFont="1" applyBorder="1" applyAlignment="1">
      <alignment horizontal="center" vertical="center"/>
    </xf>
    <xf numFmtId="41" fontId="32" fillId="0" borderId="36" xfId="3" applyFont="1" applyBorder="1" applyAlignment="1">
      <alignment horizontal="center" vertical="center" shrinkToFit="1"/>
    </xf>
    <xf numFmtId="41" fontId="30" fillId="0" borderId="9" xfId="3" applyFont="1" applyFill="1" applyBorder="1" applyAlignment="1">
      <alignment horizontal="center" vertical="center"/>
    </xf>
    <xf numFmtId="41" fontId="24" fillId="5" borderId="9" xfId="3" applyFont="1" applyFill="1" applyBorder="1" applyAlignment="1">
      <alignment horizontal="center" vertical="center"/>
    </xf>
    <xf numFmtId="41" fontId="24" fillId="0" borderId="9" xfId="3" applyFont="1" applyFill="1" applyBorder="1" applyAlignment="1">
      <alignment horizontal="center" vertical="center"/>
    </xf>
    <xf numFmtId="0" fontId="19" fillId="13" borderId="29" xfId="4" applyFont="1" applyFill="1" applyBorder="1" applyAlignment="1">
      <alignment horizontal="center" vertical="center" wrapText="1"/>
    </xf>
    <xf numFmtId="41" fontId="25" fillId="0" borderId="36" xfId="3" applyFont="1" applyFill="1" applyBorder="1" applyAlignment="1">
      <alignment horizontal="center" vertical="center"/>
    </xf>
    <xf numFmtId="41" fontId="26" fillId="0" borderId="36" xfId="3" applyFont="1" applyFill="1" applyBorder="1" applyAlignment="1">
      <alignment horizontal="center" vertical="center"/>
    </xf>
    <xf numFmtId="41" fontId="29" fillId="0" borderId="36" xfId="3" applyFont="1" applyFill="1" applyBorder="1" applyAlignment="1">
      <alignment horizontal="center" vertical="center"/>
    </xf>
    <xf numFmtId="41" fontId="27" fillId="0" borderId="9" xfId="3" applyFont="1" applyFill="1" applyBorder="1" applyAlignment="1">
      <alignment horizontal="center" vertical="center"/>
    </xf>
    <xf numFmtId="41" fontId="25" fillId="0" borderId="9" xfId="3" applyFont="1" applyFill="1" applyBorder="1" applyAlignment="1">
      <alignment horizontal="center" vertical="center"/>
    </xf>
    <xf numFmtId="41" fontId="29" fillId="0" borderId="9" xfId="3" applyFont="1" applyFill="1" applyBorder="1" applyAlignment="1">
      <alignment horizontal="center" vertical="center"/>
    </xf>
    <xf numFmtId="41" fontId="25" fillId="11" borderId="36" xfId="3" applyFont="1" applyFill="1" applyBorder="1" applyAlignment="1">
      <alignment horizontal="center" vertical="center"/>
    </xf>
    <xf numFmtId="41" fontId="27" fillId="11" borderId="36" xfId="3" applyFont="1" applyFill="1" applyBorder="1" applyAlignment="1">
      <alignment horizontal="center" vertical="center"/>
    </xf>
    <xf numFmtId="41" fontId="27" fillId="0" borderId="36" xfId="3" applyFont="1" applyFill="1" applyBorder="1" applyAlignment="1">
      <alignment horizontal="center" vertical="center"/>
    </xf>
    <xf numFmtId="41" fontId="38" fillId="5" borderId="9" xfId="3" applyFont="1" applyFill="1" applyBorder="1" applyAlignment="1">
      <alignment horizontal="center" vertical="center"/>
    </xf>
    <xf numFmtId="41" fontId="38" fillId="0" borderId="9" xfId="3" applyFont="1" applyFill="1" applyBorder="1" applyAlignment="1">
      <alignment horizontal="center" vertical="center"/>
    </xf>
    <xf numFmtId="14" fontId="19" fillId="5" borderId="9" xfId="4" applyNumberFormat="1" applyFont="1" applyFill="1" applyBorder="1" applyAlignment="1">
      <alignment horizontal="center" vertical="center" wrapText="1"/>
    </xf>
    <xf numFmtId="41" fontId="24" fillId="0" borderId="40" xfId="3" applyFont="1" applyFill="1" applyBorder="1" applyAlignment="1">
      <alignment horizontal="center" vertical="center"/>
    </xf>
    <xf numFmtId="41" fontId="24" fillId="0" borderId="41" xfId="3" applyFont="1" applyFill="1" applyBorder="1" applyAlignment="1">
      <alignment horizontal="center" vertical="center"/>
    </xf>
    <xf numFmtId="0" fontId="19" fillId="0" borderId="29" xfId="4" applyFont="1" applyBorder="1" applyAlignment="1">
      <alignment horizontal="center" vertical="center" wrapText="1"/>
    </xf>
    <xf numFmtId="0" fontId="7" fillId="0" borderId="9" xfId="4" applyBorder="1" applyAlignment="1">
      <alignment horizontal="center" vertical="center"/>
    </xf>
    <xf numFmtId="14" fontId="19" fillId="0" borderId="12" xfId="4" applyNumberFormat="1" applyFont="1" applyBorder="1" applyAlignment="1">
      <alignment horizontal="center" vertical="center"/>
    </xf>
    <xf numFmtId="41" fontId="26" fillId="0" borderId="41" xfId="3" applyFont="1" applyFill="1" applyBorder="1" applyAlignment="1">
      <alignment horizontal="center" vertical="center"/>
    </xf>
    <xf numFmtId="41" fontId="29" fillId="0" borderId="41" xfId="3" applyFont="1" applyFill="1" applyBorder="1" applyAlignment="1">
      <alignment horizontal="center" vertical="center"/>
    </xf>
    <xf numFmtId="14" fontId="19" fillId="0" borderId="9" xfId="4" applyNumberFormat="1" applyFont="1" applyBorder="1" applyAlignment="1">
      <alignment horizontal="center" vertical="center" wrapText="1"/>
    </xf>
    <xf numFmtId="41" fontId="30" fillId="0" borderId="41" xfId="3" applyFont="1" applyFill="1" applyBorder="1" applyAlignment="1">
      <alignment horizontal="center" vertical="center"/>
    </xf>
    <xf numFmtId="0" fontId="8" fillId="2" borderId="36" xfId="1" applyFont="1" applyFill="1" applyBorder="1" applyAlignment="1">
      <alignment horizontal="center" vertical="center"/>
    </xf>
    <xf numFmtId="0" fontId="8" fillId="2" borderId="36" xfId="1" applyFont="1" applyFill="1" applyBorder="1" applyAlignment="1">
      <alignment horizontal="center" vertical="center" wrapText="1"/>
    </xf>
    <xf numFmtId="0" fontId="8" fillId="2" borderId="37" xfId="1" quotePrefix="1" applyFont="1" applyFill="1" applyBorder="1" applyAlignment="1">
      <alignment horizontal="center" vertical="center"/>
    </xf>
    <xf numFmtId="0" fontId="8" fillId="2" borderId="38" xfId="1" quotePrefix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3" fillId="0" borderId="26" xfId="4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1" fontId="21" fillId="0" borderId="31" xfId="4" applyNumberFormat="1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21" fillId="0" borderId="32" xfId="4" applyNumberFormat="1" applyFont="1" applyBorder="1" applyAlignment="1">
      <alignment horizontal="center" vertical="center"/>
    </xf>
    <xf numFmtId="0" fontId="23" fillId="0" borderId="27" xfId="4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1" fontId="21" fillId="0" borderId="35" xfId="4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41" fontId="35" fillId="0" borderId="31" xfId="0" applyNumberFormat="1" applyFont="1" applyBorder="1" applyAlignment="1">
      <alignment horizontal="center" vertical="center"/>
    </xf>
    <xf numFmtId="0" fontId="14" fillId="6" borderId="3" xfId="4" applyFont="1" applyFill="1" applyBorder="1" applyAlignment="1">
      <alignment horizontal="center" vertical="center"/>
    </xf>
    <xf numFmtId="0" fontId="14" fillId="6" borderId="4" xfId="4" applyFont="1" applyFill="1" applyBorder="1" applyAlignment="1">
      <alignment horizontal="center" vertical="center"/>
    </xf>
    <xf numFmtId="0" fontId="14" fillId="6" borderId="19" xfId="4" applyFont="1" applyFill="1" applyBorder="1" applyAlignment="1">
      <alignment horizontal="center" vertical="center"/>
    </xf>
    <xf numFmtId="0" fontId="16" fillId="0" borderId="5" xfId="4" applyFont="1" applyBorder="1" applyAlignment="1">
      <alignment horizontal="center" vertical="center"/>
    </xf>
    <xf numFmtId="0" fontId="16" fillId="0" borderId="6" xfId="4" applyFont="1" applyBorder="1" applyAlignment="1">
      <alignment horizontal="center" vertical="center"/>
    </xf>
    <xf numFmtId="0" fontId="16" fillId="0" borderId="7" xfId="4" applyFont="1" applyBorder="1" applyAlignment="1">
      <alignment horizontal="center" vertical="center"/>
    </xf>
    <xf numFmtId="0" fontId="16" fillId="0" borderId="16" xfId="4" applyFont="1" applyBorder="1" applyAlignment="1">
      <alignment horizontal="center" vertical="center"/>
    </xf>
    <xf numFmtId="0" fontId="16" fillId="0" borderId="17" xfId="4" applyFont="1" applyBorder="1" applyAlignment="1">
      <alignment horizontal="center" vertical="center"/>
    </xf>
    <xf numFmtId="0" fontId="16" fillId="0" borderId="18" xfId="4" applyFont="1" applyBorder="1" applyAlignment="1">
      <alignment horizontal="center" vertical="center"/>
    </xf>
    <xf numFmtId="41" fontId="21" fillId="10" borderId="20" xfId="3" applyFont="1" applyFill="1" applyBorder="1" applyAlignment="1">
      <alignment horizontal="center" vertical="center"/>
    </xf>
    <xf numFmtId="41" fontId="21" fillId="10" borderId="21" xfId="3" applyFont="1" applyFill="1" applyBorder="1" applyAlignment="1">
      <alignment horizontal="center" vertical="center"/>
    </xf>
    <xf numFmtId="41" fontId="22" fillId="0" borderId="21" xfId="3" applyFont="1" applyBorder="1" applyAlignment="1">
      <alignment horizontal="center" vertical="center"/>
    </xf>
    <xf numFmtId="41" fontId="22" fillId="0" borderId="22" xfId="3" applyFont="1" applyBorder="1" applyAlignment="1">
      <alignment horizontal="center" vertical="center"/>
    </xf>
  </cellXfs>
  <cellStyles count="5">
    <cellStyle name="쉼표 [0]" xfId="3" builtinId="6"/>
    <cellStyle name="쉼표 [0] 2" xfId="2" xr:uid="{00000000-0005-0000-0000-000001000000}"/>
    <cellStyle name="표준" xfId="0" builtinId="0"/>
    <cellStyle name="표준 2" xfId="1" xr:uid="{00000000-0005-0000-0000-000003000000}"/>
    <cellStyle name="표준 3" xfId="4" xr:uid="{00000000-0005-0000-0000-000004000000}"/>
  </cellStyles>
  <dxfs count="0"/>
  <tableStyles count="0" defaultTableStyle="TableStyleMedium2" defaultPivotStyle="PivotStyleLight16"/>
  <colors>
    <mruColors>
      <color rgb="FF33CCCC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134935</xdr:colOff>
      <xdr:row>0</xdr:row>
      <xdr:rowOff>95249</xdr:rowOff>
    </xdr:from>
    <xdr:ext cx="3156482" cy="4573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84CBEF-1393-498C-A873-1727D5556C9A}"/>
            </a:ext>
          </a:extLst>
        </xdr:cNvPr>
        <xdr:cNvSpPr txBox="1"/>
      </xdr:nvSpPr>
      <xdr:spPr>
        <a:xfrm>
          <a:off x="134935" y="95249"/>
          <a:ext cx="3156482" cy="457305"/>
        </a:xfrm>
        <a:prstGeom prst="rect">
          <a:avLst/>
        </a:prstGeom>
        <a:noFill/>
        <a:ln w="12700" cap="flat">
          <a:solidFill>
            <a:schemeClr val="tx1"/>
          </a:solidFill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ko-KR" altLang="en-US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 내화충전발포소켓 입고</a:t>
          </a:r>
          <a:r>
            <a:rPr kumimoji="0" lang="en-US" altLang="ko-KR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(2606</a:t>
          </a:r>
          <a:r>
            <a:rPr kumimoji="0" lang="ko-KR" altLang="en-US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월</a:t>
          </a:r>
          <a:r>
            <a:rPr kumimoji="0" lang="en-US" altLang="ko-KR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)</a:t>
          </a:r>
          <a:endParaRPr kumimoji="0" lang="ko-KR" altLang="en-US" sz="16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134935</xdr:colOff>
      <xdr:row>0</xdr:row>
      <xdr:rowOff>95249</xdr:rowOff>
    </xdr:from>
    <xdr:ext cx="3235857" cy="4573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240910-E2E1-40E9-BC68-EEFA694F462D}"/>
            </a:ext>
          </a:extLst>
        </xdr:cNvPr>
        <xdr:cNvSpPr txBox="1"/>
      </xdr:nvSpPr>
      <xdr:spPr>
        <a:xfrm>
          <a:off x="134935" y="95249"/>
          <a:ext cx="3235857" cy="457305"/>
        </a:xfrm>
        <a:prstGeom prst="rect">
          <a:avLst/>
        </a:prstGeom>
        <a:noFill/>
        <a:ln w="12700" cap="flat">
          <a:solidFill>
            <a:schemeClr val="tx1"/>
          </a:solidFill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ko-KR" altLang="en-US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 내화충전발포소켓 출고</a:t>
          </a:r>
          <a:r>
            <a:rPr kumimoji="0" lang="en-US" altLang="ko-KR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(2606</a:t>
          </a:r>
          <a:r>
            <a:rPr kumimoji="0" lang="ko-KR" altLang="en-US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월</a:t>
          </a:r>
          <a:r>
            <a:rPr kumimoji="0" lang="en-US" altLang="ko-KR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)</a:t>
          </a:r>
          <a:endParaRPr kumimoji="0" lang="ko-KR" altLang="en-US" sz="16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134936</xdr:colOff>
      <xdr:row>0</xdr:row>
      <xdr:rowOff>95249</xdr:rowOff>
    </xdr:from>
    <xdr:ext cx="3352272" cy="45730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952215-D269-4E99-AB39-C326784CFA7D}"/>
            </a:ext>
          </a:extLst>
        </xdr:cNvPr>
        <xdr:cNvSpPr txBox="1"/>
      </xdr:nvSpPr>
      <xdr:spPr>
        <a:xfrm>
          <a:off x="134936" y="95249"/>
          <a:ext cx="3352272" cy="457305"/>
        </a:xfrm>
        <a:prstGeom prst="rect">
          <a:avLst/>
        </a:prstGeom>
        <a:noFill/>
        <a:ln w="12700" cap="flat">
          <a:solidFill>
            <a:schemeClr val="tx1"/>
          </a:solidFill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kumimoji="0" lang="ko-KR" altLang="en-US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 내화충전발포소켓 생산실적</a:t>
          </a:r>
          <a:r>
            <a:rPr kumimoji="0" lang="en-US" altLang="ko-KR" sz="16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n-lt"/>
              <a:ea typeface="+mn-ea"/>
              <a:cs typeface="+mn-cs"/>
              <a:sym typeface="Helvetica Neue"/>
            </a:rPr>
            <a:t>(2606)</a:t>
          </a:r>
          <a:endParaRPr kumimoji="0" lang="ko-KR" altLang="en-US" sz="16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4:AH34"/>
  <sheetViews>
    <sheetView zoomScaleNormal="100" workbookViewId="0">
      <pane xSplit="1" ySplit="8" topLeftCell="B9" activePane="bottomRight" state="frozen"/>
      <selection activeCell="P15" sqref="P15"/>
      <selection pane="topRight" activeCell="P15" sqref="P15"/>
      <selection pane="bottomLeft" activeCell="P15" sqref="P15"/>
      <selection pane="bottomRight" activeCell="AF20" sqref="AF20"/>
    </sheetView>
  </sheetViews>
  <sheetFormatPr defaultColWidth="7.75" defaultRowHeight="12"/>
  <cols>
    <col min="1" max="1" width="25.125" style="1" customWidth="1"/>
    <col min="2" max="2" width="10.625" style="1" customWidth="1"/>
    <col min="3" max="33" width="6.125" style="1" customWidth="1"/>
    <col min="34" max="34" width="8.75" style="1" customWidth="1"/>
    <col min="35" max="16384" width="7.75" style="1"/>
  </cols>
  <sheetData>
    <row r="4" spans="1:34" ht="12.75" thickBot="1">
      <c r="E4" s="74"/>
      <c r="F4" s="75" t="s">
        <v>128</v>
      </c>
    </row>
    <row r="5" spans="1:34" ht="6.75" customHeight="1" thickTop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s="3" customFormat="1" ht="18" customHeight="1">
      <c r="A6" s="136" t="s">
        <v>0</v>
      </c>
      <c r="B6" s="86"/>
      <c r="C6" s="138" t="s">
        <v>131</v>
      </c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40"/>
      <c r="AH6" s="137" t="s">
        <v>15</v>
      </c>
    </row>
    <row r="7" spans="1:34" s="3" customFormat="1" ht="16.5" customHeight="1">
      <c r="A7" s="136"/>
      <c r="B7" s="86" t="s">
        <v>132</v>
      </c>
      <c r="C7" s="87" t="s">
        <v>23</v>
      </c>
      <c r="D7" s="87" t="s">
        <v>24</v>
      </c>
      <c r="E7" s="89" t="s">
        <v>25</v>
      </c>
      <c r="F7" s="88" t="s">
        <v>31</v>
      </c>
      <c r="G7" s="87" t="s">
        <v>32</v>
      </c>
      <c r="H7" s="90" t="s">
        <v>26</v>
      </c>
      <c r="I7" s="90" t="s">
        <v>27</v>
      </c>
      <c r="J7" s="87" t="s">
        <v>28</v>
      </c>
      <c r="K7" s="87" t="s">
        <v>29</v>
      </c>
      <c r="L7" s="87" t="s">
        <v>30</v>
      </c>
      <c r="M7" s="87" t="s">
        <v>33</v>
      </c>
      <c r="N7" s="87" t="s">
        <v>4</v>
      </c>
      <c r="O7" s="90" t="s">
        <v>5</v>
      </c>
      <c r="P7" s="90" t="s">
        <v>6</v>
      </c>
      <c r="Q7" s="87" t="s">
        <v>7</v>
      </c>
      <c r="R7" s="87" t="s">
        <v>8</v>
      </c>
      <c r="S7" s="87" t="s">
        <v>9</v>
      </c>
      <c r="T7" s="87" t="s">
        <v>34</v>
      </c>
      <c r="U7" s="87" t="s">
        <v>35</v>
      </c>
      <c r="V7" s="90" t="s">
        <v>40</v>
      </c>
      <c r="W7" s="90" t="s">
        <v>10</v>
      </c>
      <c r="X7" s="87" t="s">
        <v>11</v>
      </c>
      <c r="Y7" s="87" t="s">
        <v>12</v>
      </c>
      <c r="Z7" s="87" t="s">
        <v>13</v>
      </c>
      <c r="AA7" s="87" t="s">
        <v>36</v>
      </c>
      <c r="AB7" s="87" t="s">
        <v>37</v>
      </c>
      <c r="AC7" s="90" t="s">
        <v>41</v>
      </c>
      <c r="AD7" s="90" t="s">
        <v>14</v>
      </c>
      <c r="AE7" s="87" t="s">
        <v>123</v>
      </c>
      <c r="AF7" s="87" t="s">
        <v>125</v>
      </c>
      <c r="AG7" s="87"/>
      <c r="AH7" s="137"/>
    </row>
    <row r="8" spans="1:34" s="3" customFormat="1" ht="16.5" customHeight="1">
      <c r="A8" s="136"/>
      <c r="B8" s="86" t="s">
        <v>89</v>
      </c>
      <c r="C8" s="87" t="s">
        <v>85</v>
      </c>
      <c r="D8" s="87" t="s">
        <v>86</v>
      </c>
      <c r="E8" s="90" t="s">
        <v>81</v>
      </c>
      <c r="F8" s="87" t="s">
        <v>82</v>
      </c>
      <c r="G8" s="88" t="s">
        <v>83</v>
      </c>
      <c r="H8" s="90" t="s">
        <v>84</v>
      </c>
      <c r="I8" s="90" t="s">
        <v>124</v>
      </c>
      <c r="J8" s="87" t="s">
        <v>85</v>
      </c>
      <c r="K8" s="87" t="s">
        <v>86</v>
      </c>
      <c r="L8" s="87" t="s">
        <v>81</v>
      </c>
      <c r="M8" s="87" t="s">
        <v>82</v>
      </c>
      <c r="N8" s="88" t="s">
        <v>83</v>
      </c>
      <c r="O8" s="90" t="s">
        <v>84</v>
      </c>
      <c r="P8" s="90" t="s">
        <v>124</v>
      </c>
      <c r="Q8" s="87" t="s">
        <v>85</v>
      </c>
      <c r="R8" s="87" t="s">
        <v>86</v>
      </c>
      <c r="S8" s="87" t="s">
        <v>81</v>
      </c>
      <c r="T8" s="87" t="s">
        <v>82</v>
      </c>
      <c r="U8" s="88" t="s">
        <v>83</v>
      </c>
      <c r="V8" s="90" t="s">
        <v>84</v>
      </c>
      <c r="W8" s="90" t="s">
        <v>124</v>
      </c>
      <c r="X8" s="87" t="s">
        <v>85</v>
      </c>
      <c r="Y8" s="87" t="s">
        <v>86</v>
      </c>
      <c r="Z8" s="87" t="s">
        <v>81</v>
      </c>
      <c r="AA8" s="87" t="s">
        <v>82</v>
      </c>
      <c r="AB8" s="88" t="s">
        <v>83</v>
      </c>
      <c r="AC8" s="90" t="s">
        <v>84</v>
      </c>
      <c r="AD8" s="90" t="s">
        <v>124</v>
      </c>
      <c r="AE8" s="87" t="s">
        <v>85</v>
      </c>
      <c r="AF8" s="87" t="s">
        <v>86</v>
      </c>
      <c r="AG8" s="87"/>
      <c r="AH8" s="137"/>
    </row>
    <row r="9" spans="1:34" s="3" customFormat="1" ht="18" customHeight="1">
      <c r="A9" s="91" t="s">
        <v>100</v>
      </c>
      <c r="B9" s="92">
        <v>0</v>
      </c>
      <c r="C9" s="77"/>
      <c r="D9" s="77">
        <v>900</v>
      </c>
      <c r="E9" s="81"/>
      <c r="F9" s="79"/>
      <c r="G9" s="77">
        <v>900</v>
      </c>
      <c r="H9" s="78"/>
      <c r="I9" s="78"/>
      <c r="J9" s="77"/>
      <c r="K9" s="77"/>
      <c r="L9" s="77"/>
      <c r="M9" s="113">
        <v>900</v>
      </c>
      <c r="N9" s="77"/>
      <c r="O9" s="112"/>
      <c r="P9" s="78"/>
      <c r="Q9" s="77"/>
      <c r="R9" s="115"/>
      <c r="S9" s="79">
        <v>900</v>
      </c>
      <c r="T9" s="113"/>
      <c r="U9" s="77">
        <v>900</v>
      </c>
      <c r="V9" s="78"/>
      <c r="W9" s="78"/>
      <c r="X9" s="77"/>
      <c r="Y9" s="111"/>
      <c r="Z9" s="115"/>
      <c r="AA9" s="77"/>
      <c r="AB9" s="113"/>
      <c r="AC9" s="78"/>
      <c r="AD9" s="78"/>
      <c r="AE9" s="77">
        <v>900</v>
      </c>
      <c r="AF9" s="117"/>
      <c r="AG9" s="117"/>
      <c r="AH9" s="80">
        <f t="shared" ref="AH9:AH32" si="0">SUM(C9:AF9)</f>
        <v>5400</v>
      </c>
    </row>
    <row r="10" spans="1:34" s="3" customFormat="1" ht="18" customHeight="1">
      <c r="A10" s="91" t="s">
        <v>97</v>
      </c>
      <c r="B10" s="92"/>
      <c r="C10" s="77"/>
      <c r="D10" s="77"/>
      <c r="E10" s="81"/>
      <c r="F10" s="79"/>
      <c r="G10" s="77"/>
      <c r="H10" s="78"/>
      <c r="I10" s="78"/>
      <c r="J10" s="77"/>
      <c r="K10" s="77"/>
      <c r="L10" s="77"/>
      <c r="M10" s="113"/>
      <c r="N10" s="77"/>
      <c r="O10" s="112"/>
      <c r="P10" s="78"/>
      <c r="Q10" s="77"/>
      <c r="R10" s="115"/>
      <c r="S10" s="116"/>
      <c r="T10" s="113"/>
      <c r="U10" s="77"/>
      <c r="V10" s="78"/>
      <c r="W10" s="78"/>
      <c r="X10" s="77"/>
      <c r="Y10" s="118"/>
      <c r="Z10" s="115"/>
      <c r="AA10" s="77"/>
      <c r="AB10" s="113"/>
      <c r="AC10" s="78"/>
      <c r="AD10" s="78"/>
      <c r="AE10" s="77"/>
      <c r="AF10" s="117"/>
      <c r="AG10" s="117"/>
      <c r="AH10" s="80">
        <f t="shared" si="0"/>
        <v>0</v>
      </c>
    </row>
    <row r="11" spans="1:34" s="3" customFormat="1" ht="18" customHeight="1">
      <c r="A11" s="91" t="s">
        <v>87</v>
      </c>
      <c r="B11" s="93"/>
      <c r="C11" s="77"/>
      <c r="D11" s="77"/>
      <c r="E11" s="78"/>
      <c r="F11" s="77"/>
      <c r="G11" s="77"/>
      <c r="H11" s="78"/>
      <c r="I11" s="78"/>
      <c r="J11" s="77"/>
      <c r="K11" s="77"/>
      <c r="L11" s="77"/>
      <c r="M11" s="113"/>
      <c r="N11" s="77"/>
      <c r="O11" s="112"/>
      <c r="P11" s="78"/>
      <c r="Q11" s="77"/>
      <c r="R11" s="119"/>
      <c r="S11" s="115"/>
      <c r="T11" s="113"/>
      <c r="U11" s="77"/>
      <c r="V11" s="78"/>
      <c r="W11" s="78"/>
      <c r="X11" s="77"/>
      <c r="Y11" s="111"/>
      <c r="Z11" s="77"/>
      <c r="AA11" s="77"/>
      <c r="AB11" s="113"/>
      <c r="AC11" s="78"/>
      <c r="AD11" s="78"/>
      <c r="AE11" s="77"/>
      <c r="AF11" s="79"/>
      <c r="AG11" s="79"/>
      <c r="AH11" s="80">
        <f t="shared" si="0"/>
        <v>0</v>
      </c>
    </row>
    <row r="12" spans="1:34" s="3" customFormat="1" ht="18" customHeight="1">
      <c r="A12" s="91" t="s">
        <v>117</v>
      </c>
      <c r="B12" s="93"/>
      <c r="C12" s="77"/>
      <c r="D12" s="77"/>
      <c r="E12" s="78"/>
      <c r="F12" s="77"/>
      <c r="G12" s="77"/>
      <c r="H12" s="78"/>
      <c r="I12" s="78"/>
      <c r="J12" s="77"/>
      <c r="K12" s="77"/>
      <c r="L12" s="77"/>
      <c r="M12" s="113"/>
      <c r="N12" s="77"/>
      <c r="O12" s="112"/>
      <c r="P12" s="78"/>
      <c r="Q12" s="77"/>
      <c r="R12" s="119"/>
      <c r="S12" s="113"/>
      <c r="T12" s="113"/>
      <c r="U12" s="77"/>
      <c r="V12" s="78"/>
      <c r="W12" s="78"/>
      <c r="X12" s="77"/>
      <c r="Y12" s="111"/>
      <c r="Z12" s="77"/>
      <c r="AA12" s="77"/>
      <c r="AB12" s="113"/>
      <c r="AC12" s="78"/>
      <c r="AD12" s="78"/>
      <c r="AE12" s="77"/>
      <c r="AF12" s="79"/>
      <c r="AG12" s="79"/>
      <c r="AH12" s="80">
        <f t="shared" si="0"/>
        <v>0</v>
      </c>
    </row>
    <row r="13" spans="1:34" s="3" customFormat="1" ht="18" customHeight="1">
      <c r="A13" s="91" t="s">
        <v>110</v>
      </c>
      <c r="B13" s="93"/>
      <c r="C13" s="77"/>
      <c r="D13" s="77"/>
      <c r="E13" s="78"/>
      <c r="F13" s="77"/>
      <c r="G13" s="77"/>
      <c r="H13" s="78"/>
      <c r="I13" s="78"/>
      <c r="J13" s="77"/>
      <c r="K13" s="77"/>
      <c r="L13" s="77"/>
      <c r="M13" s="113"/>
      <c r="N13" s="77"/>
      <c r="O13" s="112"/>
      <c r="P13" s="78"/>
      <c r="Q13" s="77"/>
      <c r="R13" s="119"/>
      <c r="S13" s="113"/>
      <c r="T13" s="113"/>
      <c r="U13" s="77"/>
      <c r="V13" s="78"/>
      <c r="W13" s="78"/>
      <c r="X13" s="77"/>
      <c r="Y13" s="111"/>
      <c r="Z13" s="77"/>
      <c r="AA13" s="77"/>
      <c r="AB13" s="113"/>
      <c r="AC13" s="78"/>
      <c r="AD13" s="78"/>
      <c r="AE13" s="77"/>
      <c r="AF13" s="79"/>
      <c r="AG13" s="79"/>
      <c r="AH13" s="80">
        <f t="shared" si="0"/>
        <v>0</v>
      </c>
    </row>
    <row r="14" spans="1:34" s="3" customFormat="1" ht="18" customHeight="1">
      <c r="A14" s="91" t="s">
        <v>99</v>
      </c>
      <c r="B14" s="92"/>
      <c r="C14" s="77"/>
      <c r="D14" s="77"/>
      <c r="E14" s="81"/>
      <c r="F14" s="79"/>
      <c r="G14" s="77"/>
      <c r="H14" s="78"/>
      <c r="I14" s="78"/>
      <c r="J14" s="77"/>
      <c r="K14" s="77"/>
      <c r="L14" s="77"/>
      <c r="M14" s="113"/>
      <c r="N14" s="77"/>
      <c r="O14" s="112"/>
      <c r="P14" s="78"/>
      <c r="Q14" s="77"/>
      <c r="R14" s="119"/>
      <c r="S14" s="113"/>
      <c r="T14" s="113"/>
      <c r="U14" s="77"/>
      <c r="V14" s="78"/>
      <c r="W14" s="78"/>
      <c r="X14" s="77"/>
      <c r="Y14" s="113"/>
      <c r="Z14" s="77"/>
      <c r="AA14" s="77"/>
      <c r="AB14" s="113"/>
      <c r="AC14" s="78"/>
      <c r="AD14" s="78"/>
      <c r="AE14" s="77"/>
      <c r="AF14" s="79"/>
      <c r="AG14" s="79"/>
      <c r="AH14" s="80">
        <f t="shared" si="0"/>
        <v>0</v>
      </c>
    </row>
    <row r="15" spans="1:34" s="3" customFormat="1" ht="18" customHeight="1">
      <c r="A15" s="91" t="s">
        <v>22</v>
      </c>
      <c r="B15" s="92">
        <v>680</v>
      </c>
      <c r="C15" s="77"/>
      <c r="D15" s="77">
        <v>960</v>
      </c>
      <c r="E15" s="81"/>
      <c r="F15" s="79"/>
      <c r="G15" s="77">
        <v>960</v>
      </c>
      <c r="H15" s="78"/>
      <c r="I15" s="78"/>
      <c r="J15" s="77"/>
      <c r="K15" s="113">
        <v>1680</v>
      </c>
      <c r="L15" s="77"/>
      <c r="M15" s="113">
        <v>1200</v>
      </c>
      <c r="N15" s="77"/>
      <c r="O15" s="112"/>
      <c r="P15" s="78"/>
      <c r="Q15" s="77">
        <v>1680</v>
      </c>
      <c r="R15" s="115"/>
      <c r="S15" s="120">
        <v>1200</v>
      </c>
      <c r="T15" s="113"/>
      <c r="U15" s="77">
        <v>1200</v>
      </c>
      <c r="V15" s="78"/>
      <c r="W15" s="78"/>
      <c r="X15" s="77"/>
      <c r="Y15" s="111">
        <v>1680</v>
      </c>
      <c r="Z15" s="115"/>
      <c r="AA15" s="111">
        <v>1680</v>
      </c>
      <c r="AB15" s="113"/>
      <c r="AC15" s="78"/>
      <c r="AD15" s="124"/>
      <c r="AE15" s="77">
        <v>1200</v>
      </c>
      <c r="AF15" s="117"/>
      <c r="AG15" s="117"/>
      <c r="AH15" s="80">
        <f t="shared" si="0"/>
        <v>13440</v>
      </c>
    </row>
    <row r="16" spans="1:34" s="3" customFormat="1" ht="18" customHeight="1">
      <c r="A16" s="91" t="s">
        <v>112</v>
      </c>
      <c r="B16" s="92"/>
      <c r="C16" s="77"/>
      <c r="D16" s="77"/>
      <c r="E16" s="81"/>
      <c r="F16" s="79"/>
      <c r="G16" s="77"/>
      <c r="H16" s="78"/>
      <c r="I16" s="78"/>
      <c r="J16" s="77"/>
      <c r="K16" s="77"/>
      <c r="L16" s="77"/>
      <c r="M16" s="77"/>
      <c r="N16" s="77"/>
      <c r="O16" s="78"/>
      <c r="P16" s="78"/>
      <c r="Q16" s="77"/>
      <c r="R16" s="119"/>
      <c r="S16" s="120"/>
      <c r="T16" s="77"/>
      <c r="U16" s="77"/>
      <c r="V16" s="78"/>
      <c r="W16" s="78"/>
      <c r="X16" s="77"/>
      <c r="Y16" s="79"/>
      <c r="Z16" s="115"/>
      <c r="AA16" s="77"/>
      <c r="AB16" s="77"/>
      <c r="AC16" s="78"/>
      <c r="AD16" s="78"/>
      <c r="AE16" s="77"/>
      <c r="AF16" s="117"/>
      <c r="AG16" s="117"/>
      <c r="AH16" s="80">
        <f t="shared" si="0"/>
        <v>0</v>
      </c>
    </row>
    <row r="17" spans="1:34" s="3" customFormat="1" ht="18" customHeight="1">
      <c r="A17" s="91" t="s">
        <v>93</v>
      </c>
      <c r="B17" s="92"/>
      <c r="C17" s="77"/>
      <c r="D17" s="77"/>
      <c r="E17" s="81"/>
      <c r="F17" s="79"/>
      <c r="G17" s="77"/>
      <c r="H17" s="78"/>
      <c r="I17" s="78"/>
      <c r="J17" s="77"/>
      <c r="K17" s="77"/>
      <c r="L17" s="77"/>
      <c r="M17" s="77"/>
      <c r="N17" s="77"/>
      <c r="O17" s="78"/>
      <c r="P17" s="78"/>
      <c r="Q17" s="77"/>
      <c r="R17" s="119"/>
      <c r="S17" s="120"/>
      <c r="T17" s="77"/>
      <c r="U17" s="77"/>
      <c r="V17" s="78"/>
      <c r="W17" s="78"/>
      <c r="X17" s="77"/>
      <c r="Y17" s="79"/>
      <c r="Z17" s="115"/>
      <c r="AA17" s="77"/>
      <c r="AB17" s="77"/>
      <c r="AC17" s="78"/>
      <c r="AD17" s="78"/>
      <c r="AE17" s="77"/>
      <c r="AF17" s="117"/>
      <c r="AG17" s="117"/>
      <c r="AH17" s="80">
        <f t="shared" si="0"/>
        <v>0</v>
      </c>
    </row>
    <row r="18" spans="1:34" s="3" customFormat="1" ht="18" customHeight="1">
      <c r="A18" s="91" t="s">
        <v>42</v>
      </c>
      <c r="B18" s="92"/>
      <c r="C18" s="77"/>
      <c r="D18" s="77"/>
      <c r="E18" s="81"/>
      <c r="F18" s="79"/>
      <c r="G18" s="77"/>
      <c r="H18" s="78"/>
      <c r="I18" s="78"/>
      <c r="J18" s="77"/>
      <c r="K18" s="77"/>
      <c r="L18" s="77"/>
      <c r="M18" s="77"/>
      <c r="N18" s="77"/>
      <c r="O18" s="78"/>
      <c r="P18" s="78"/>
      <c r="Q18" s="77"/>
      <c r="R18" s="115"/>
      <c r="S18" s="120"/>
      <c r="T18" s="77"/>
      <c r="U18" s="77"/>
      <c r="V18" s="78"/>
      <c r="W18" s="78"/>
      <c r="X18" s="77"/>
      <c r="Y18" s="79"/>
      <c r="Z18" s="115"/>
      <c r="AA18" s="77"/>
      <c r="AB18" s="77"/>
      <c r="AC18" s="78"/>
      <c r="AD18" s="78"/>
      <c r="AE18" s="77"/>
      <c r="AF18" s="117"/>
      <c r="AG18" s="117"/>
      <c r="AH18" s="80">
        <f t="shared" si="0"/>
        <v>0</v>
      </c>
    </row>
    <row r="19" spans="1:34" s="3" customFormat="1" ht="18" customHeight="1">
      <c r="A19" s="94" t="s">
        <v>16</v>
      </c>
      <c r="B19" s="92"/>
      <c r="C19" s="77"/>
      <c r="D19" s="77">
        <v>960</v>
      </c>
      <c r="E19" s="81"/>
      <c r="F19" s="79"/>
      <c r="G19" s="77"/>
      <c r="H19" s="78"/>
      <c r="I19" s="78"/>
      <c r="J19" s="77"/>
      <c r="K19" s="77"/>
      <c r="L19" s="77"/>
      <c r="M19" s="77"/>
      <c r="N19" s="77"/>
      <c r="O19" s="78"/>
      <c r="P19" s="78"/>
      <c r="Q19" s="77"/>
      <c r="R19" s="115"/>
      <c r="S19" s="117"/>
      <c r="T19" s="77"/>
      <c r="U19" s="77"/>
      <c r="V19" s="78"/>
      <c r="W19" s="78"/>
      <c r="X19" s="77"/>
      <c r="Y19" s="79"/>
      <c r="Z19" s="115"/>
      <c r="AA19" s="77"/>
      <c r="AB19" s="77"/>
      <c r="AC19" s="78"/>
      <c r="AD19" s="78"/>
      <c r="AE19" s="77"/>
      <c r="AF19" s="117"/>
      <c r="AG19" s="117"/>
      <c r="AH19" s="80">
        <f t="shared" si="0"/>
        <v>960</v>
      </c>
    </row>
    <row r="20" spans="1:34" s="3" customFormat="1" ht="18" customHeight="1">
      <c r="A20" s="95" t="s">
        <v>17</v>
      </c>
      <c r="B20" s="92"/>
      <c r="C20" s="77"/>
      <c r="D20" s="77"/>
      <c r="E20" s="81"/>
      <c r="F20" s="111"/>
      <c r="G20" s="77">
        <v>1260</v>
      </c>
      <c r="H20" s="78"/>
      <c r="I20" s="78"/>
      <c r="J20" s="77"/>
      <c r="K20" s="77"/>
      <c r="L20" s="77"/>
      <c r="M20" s="77"/>
      <c r="N20" s="77"/>
      <c r="O20" s="78"/>
      <c r="P20" s="78"/>
      <c r="Q20" s="77"/>
      <c r="R20" s="115"/>
      <c r="S20" s="117"/>
      <c r="T20" s="77"/>
      <c r="U20" s="77"/>
      <c r="V20" s="78"/>
      <c r="W20" s="78"/>
      <c r="X20" s="77"/>
      <c r="Y20" s="79"/>
      <c r="Z20" s="115"/>
      <c r="AA20" s="77"/>
      <c r="AB20" s="77"/>
      <c r="AC20" s="78"/>
      <c r="AD20" s="78"/>
      <c r="AE20" s="77"/>
      <c r="AF20" s="77"/>
      <c r="AG20" s="77"/>
      <c r="AH20" s="80">
        <f t="shared" si="0"/>
        <v>1260</v>
      </c>
    </row>
    <row r="21" spans="1:34" s="3" customFormat="1" ht="18" customHeight="1">
      <c r="A21" s="96" t="s">
        <v>1</v>
      </c>
      <c r="B21" s="97">
        <v>1139</v>
      </c>
      <c r="C21" s="82"/>
      <c r="D21" s="82">
        <v>1860</v>
      </c>
      <c r="E21" s="78"/>
      <c r="F21" s="82"/>
      <c r="G21" s="82">
        <v>1860</v>
      </c>
      <c r="H21" s="78"/>
      <c r="I21" s="78"/>
      <c r="J21" s="82"/>
      <c r="K21" s="82">
        <v>1680</v>
      </c>
      <c r="L21" s="82"/>
      <c r="M21" s="82">
        <v>2100</v>
      </c>
      <c r="N21" s="82"/>
      <c r="O21" s="78"/>
      <c r="P21" s="78"/>
      <c r="Q21" s="82">
        <v>1680</v>
      </c>
      <c r="R21" s="82"/>
      <c r="S21" s="82">
        <v>2100</v>
      </c>
      <c r="T21" s="82"/>
      <c r="U21" s="82">
        <v>2100</v>
      </c>
      <c r="V21" s="78"/>
      <c r="W21" s="78"/>
      <c r="X21" s="82"/>
      <c r="Y21" s="82">
        <v>1680</v>
      </c>
      <c r="Z21" s="82"/>
      <c r="AA21" s="82">
        <v>1680</v>
      </c>
      <c r="AB21" s="83"/>
      <c r="AC21" s="78"/>
      <c r="AD21" s="78"/>
      <c r="AE21" s="82">
        <v>2100</v>
      </c>
      <c r="AF21" s="82"/>
      <c r="AG21" s="82"/>
      <c r="AH21" s="84">
        <f t="shared" si="0"/>
        <v>18840</v>
      </c>
    </row>
    <row r="22" spans="1:34" s="3" customFormat="1" ht="18" customHeight="1">
      <c r="A22" s="98" t="s">
        <v>18</v>
      </c>
      <c r="B22" s="97">
        <v>70</v>
      </c>
      <c r="C22" s="82"/>
      <c r="D22" s="82">
        <v>960</v>
      </c>
      <c r="E22" s="78"/>
      <c r="F22" s="82"/>
      <c r="G22" s="82"/>
      <c r="H22" s="78"/>
      <c r="I22" s="78"/>
      <c r="J22" s="82"/>
      <c r="K22" s="82"/>
      <c r="L22" s="82"/>
      <c r="M22" s="82"/>
      <c r="N22" s="82"/>
      <c r="O22" s="78"/>
      <c r="P22" s="78"/>
      <c r="Q22" s="82"/>
      <c r="R22" s="82"/>
      <c r="S22" s="82"/>
      <c r="T22" s="82"/>
      <c r="U22" s="82"/>
      <c r="V22" s="78"/>
      <c r="W22" s="78"/>
      <c r="X22" s="82"/>
      <c r="Y22" s="82"/>
      <c r="Z22" s="82"/>
      <c r="AA22" s="82"/>
      <c r="AB22" s="83"/>
      <c r="AC22" s="78"/>
      <c r="AD22" s="78"/>
      <c r="AE22" s="82"/>
      <c r="AF22" s="82"/>
      <c r="AG22" s="82"/>
      <c r="AH22" s="84">
        <f t="shared" si="0"/>
        <v>960</v>
      </c>
    </row>
    <row r="23" spans="1:34" s="3" customFormat="1" ht="18" customHeight="1">
      <c r="A23" s="99" t="s">
        <v>19</v>
      </c>
      <c r="B23" s="97">
        <v>356</v>
      </c>
      <c r="C23" s="82"/>
      <c r="D23" s="82"/>
      <c r="E23" s="78"/>
      <c r="F23" s="82"/>
      <c r="G23" s="82">
        <v>1260</v>
      </c>
      <c r="H23" s="78"/>
      <c r="I23" s="78"/>
      <c r="J23" s="82"/>
      <c r="K23" s="82"/>
      <c r="L23" s="82"/>
      <c r="M23" s="82"/>
      <c r="N23" s="82"/>
      <c r="O23" s="78"/>
      <c r="P23" s="78"/>
      <c r="Q23" s="82"/>
      <c r="R23" s="82"/>
      <c r="S23" s="82"/>
      <c r="T23" s="82"/>
      <c r="U23" s="82"/>
      <c r="V23" s="78"/>
      <c r="W23" s="78"/>
      <c r="X23" s="82"/>
      <c r="Y23" s="82"/>
      <c r="Z23" s="82"/>
      <c r="AA23" s="82"/>
      <c r="AB23" s="83"/>
      <c r="AC23" s="78"/>
      <c r="AD23" s="78"/>
      <c r="AE23" s="82"/>
      <c r="AF23" s="82"/>
      <c r="AG23" s="82"/>
      <c r="AH23" s="84">
        <f t="shared" si="0"/>
        <v>1260</v>
      </c>
    </row>
    <row r="24" spans="1:34" s="3" customFormat="1" ht="18" customHeight="1">
      <c r="A24" s="96" t="s">
        <v>2</v>
      </c>
      <c r="B24" s="97">
        <v>3060</v>
      </c>
      <c r="C24" s="82"/>
      <c r="D24" s="82">
        <v>11500</v>
      </c>
      <c r="E24" s="78"/>
      <c r="F24" s="82"/>
      <c r="G24" s="82">
        <v>12500</v>
      </c>
      <c r="H24" s="78"/>
      <c r="I24" s="78"/>
      <c r="J24" s="82"/>
      <c r="K24" s="82">
        <v>6500</v>
      </c>
      <c r="L24" s="82"/>
      <c r="M24" s="82">
        <v>8500</v>
      </c>
      <c r="N24" s="82"/>
      <c r="O24" s="78"/>
      <c r="P24" s="78"/>
      <c r="Q24" s="82">
        <v>6500</v>
      </c>
      <c r="R24" s="82"/>
      <c r="S24" s="82">
        <v>8500</v>
      </c>
      <c r="T24" s="82"/>
      <c r="U24" s="82">
        <v>8500</v>
      </c>
      <c r="V24" s="78"/>
      <c r="W24" s="78"/>
      <c r="X24" s="82"/>
      <c r="Y24" s="82">
        <v>6500</v>
      </c>
      <c r="Z24" s="82"/>
      <c r="AA24" s="82">
        <v>6500</v>
      </c>
      <c r="AB24" s="83"/>
      <c r="AC24" s="78"/>
      <c r="AD24" s="78"/>
      <c r="AE24" s="82">
        <v>8500</v>
      </c>
      <c r="AF24" s="82"/>
      <c r="AG24" s="82"/>
      <c r="AH24" s="84">
        <f t="shared" si="0"/>
        <v>84000</v>
      </c>
    </row>
    <row r="25" spans="1:34" s="3" customFormat="1" ht="18" customHeight="1">
      <c r="A25" s="96" t="s">
        <v>122</v>
      </c>
      <c r="B25" s="97">
        <v>8</v>
      </c>
      <c r="C25" s="82"/>
      <c r="D25" s="82">
        <v>8</v>
      </c>
      <c r="E25" s="78"/>
      <c r="F25" s="82"/>
      <c r="G25" s="82">
        <v>8</v>
      </c>
      <c r="H25" s="78"/>
      <c r="I25" s="78"/>
      <c r="J25" s="82"/>
      <c r="K25" s="82">
        <v>7</v>
      </c>
      <c r="L25" s="82"/>
      <c r="M25" s="82">
        <v>9</v>
      </c>
      <c r="N25" s="82"/>
      <c r="O25" s="78"/>
      <c r="P25" s="78"/>
      <c r="Q25" s="82">
        <v>7</v>
      </c>
      <c r="R25" s="121"/>
      <c r="S25" s="82">
        <v>7</v>
      </c>
      <c r="T25" s="82"/>
      <c r="U25" s="82">
        <v>9</v>
      </c>
      <c r="V25" s="78"/>
      <c r="W25" s="78"/>
      <c r="X25" s="82"/>
      <c r="Y25" s="83">
        <v>7</v>
      </c>
      <c r="Z25" s="82"/>
      <c r="AA25" s="82">
        <v>7</v>
      </c>
      <c r="AB25" s="83"/>
      <c r="AC25" s="78"/>
      <c r="AD25" s="78"/>
      <c r="AE25" s="82">
        <v>9</v>
      </c>
      <c r="AF25" s="82"/>
      <c r="AG25" s="82"/>
      <c r="AH25" s="84">
        <f t="shared" si="0"/>
        <v>78</v>
      </c>
    </row>
    <row r="26" spans="1:34" s="3" customFormat="1" ht="18" customHeight="1">
      <c r="A26" s="96" t="s">
        <v>121</v>
      </c>
      <c r="B26" s="97"/>
      <c r="C26" s="82"/>
      <c r="D26" s="82"/>
      <c r="E26" s="78"/>
      <c r="F26" s="82"/>
      <c r="G26" s="82"/>
      <c r="H26" s="78"/>
      <c r="I26" s="78"/>
      <c r="J26" s="82"/>
      <c r="K26" s="82"/>
      <c r="L26" s="82"/>
      <c r="M26" s="82"/>
      <c r="N26" s="82"/>
      <c r="O26" s="78"/>
      <c r="P26" s="78"/>
      <c r="Q26" s="82"/>
      <c r="R26" s="121"/>
      <c r="S26" s="82"/>
      <c r="T26" s="82"/>
      <c r="U26" s="82"/>
      <c r="V26" s="78"/>
      <c r="W26" s="78"/>
      <c r="X26" s="82"/>
      <c r="Y26" s="83"/>
      <c r="Z26" s="82"/>
      <c r="AA26" s="82"/>
      <c r="AB26" s="82"/>
      <c r="AC26" s="78"/>
      <c r="AD26" s="78"/>
      <c r="AE26" s="82"/>
      <c r="AF26" s="82"/>
      <c r="AG26" s="82"/>
      <c r="AH26" s="84">
        <f t="shared" si="0"/>
        <v>0</v>
      </c>
    </row>
    <row r="27" spans="1:34" s="76" customFormat="1" ht="18" customHeight="1">
      <c r="A27" s="100" t="s">
        <v>21</v>
      </c>
      <c r="B27" s="101"/>
      <c r="C27" s="77"/>
      <c r="D27" s="77"/>
      <c r="E27" s="78"/>
      <c r="F27" s="77"/>
      <c r="G27" s="77"/>
      <c r="H27" s="78"/>
      <c r="I27" s="78"/>
      <c r="J27" s="77"/>
      <c r="K27" s="77"/>
      <c r="L27" s="77"/>
      <c r="M27" s="77"/>
      <c r="N27" s="77"/>
      <c r="O27" s="78"/>
      <c r="P27" s="78"/>
      <c r="Q27" s="77"/>
      <c r="R27" s="115"/>
      <c r="S27" s="77"/>
      <c r="T27" s="77"/>
      <c r="U27" s="77"/>
      <c r="V27" s="78"/>
      <c r="W27" s="78"/>
      <c r="X27" s="77"/>
      <c r="Y27" s="123"/>
      <c r="Z27" s="77"/>
      <c r="AA27" s="77"/>
      <c r="AB27" s="77"/>
      <c r="AC27" s="78"/>
      <c r="AD27" s="78"/>
      <c r="AE27" s="77"/>
      <c r="AF27" s="77"/>
      <c r="AG27" s="77"/>
      <c r="AH27" s="85">
        <f t="shared" si="0"/>
        <v>0</v>
      </c>
    </row>
    <row r="28" spans="1:34" s="76" customFormat="1" ht="18" customHeight="1">
      <c r="A28" s="91" t="s">
        <v>38</v>
      </c>
      <c r="B28" s="92"/>
      <c r="C28" s="77"/>
      <c r="D28" s="77"/>
      <c r="E28" s="78"/>
      <c r="F28" s="77"/>
      <c r="G28" s="77"/>
      <c r="H28" s="78"/>
      <c r="I28" s="78"/>
      <c r="J28" s="77"/>
      <c r="K28" s="77"/>
      <c r="L28" s="77"/>
      <c r="M28" s="77"/>
      <c r="N28" s="77"/>
      <c r="O28" s="78"/>
      <c r="P28" s="78"/>
      <c r="Q28" s="77"/>
      <c r="R28" s="115"/>
      <c r="S28" s="77"/>
      <c r="T28" s="77"/>
      <c r="U28" s="77"/>
      <c r="V28" s="78"/>
      <c r="W28" s="78"/>
      <c r="X28" s="77"/>
      <c r="Y28" s="123"/>
      <c r="Z28" s="77"/>
      <c r="AA28" s="77"/>
      <c r="AB28" s="77"/>
      <c r="AC28" s="78"/>
      <c r="AD28" s="78"/>
      <c r="AE28" s="77"/>
      <c r="AF28" s="77"/>
      <c r="AG28" s="77"/>
      <c r="AH28" s="85">
        <f t="shared" si="0"/>
        <v>0</v>
      </c>
    </row>
    <row r="29" spans="1:34" s="76" customFormat="1" ht="18" customHeight="1">
      <c r="A29" s="91" t="s">
        <v>39</v>
      </c>
      <c r="B29" s="92"/>
      <c r="C29" s="77"/>
      <c r="D29" s="77"/>
      <c r="E29" s="78"/>
      <c r="F29" s="77"/>
      <c r="G29" s="77"/>
      <c r="H29" s="78"/>
      <c r="I29" s="78"/>
      <c r="J29" s="77"/>
      <c r="K29" s="77"/>
      <c r="L29" s="77"/>
      <c r="M29" s="77"/>
      <c r="N29" s="77"/>
      <c r="O29" s="78"/>
      <c r="P29" s="78"/>
      <c r="Q29" s="77"/>
      <c r="R29" s="115"/>
      <c r="S29" s="77"/>
      <c r="T29" s="77"/>
      <c r="U29" s="77"/>
      <c r="V29" s="78"/>
      <c r="W29" s="78"/>
      <c r="X29" s="77"/>
      <c r="Y29" s="123"/>
      <c r="Z29" s="77"/>
      <c r="AA29" s="77"/>
      <c r="AB29" s="77"/>
      <c r="AC29" s="78"/>
      <c r="AD29" s="78"/>
      <c r="AE29" s="77"/>
      <c r="AF29" s="77"/>
      <c r="AG29" s="77"/>
      <c r="AH29" s="85">
        <f t="shared" si="0"/>
        <v>0</v>
      </c>
    </row>
    <row r="30" spans="1:34" s="3" customFormat="1" ht="18" customHeight="1">
      <c r="A30" s="96" t="s">
        <v>57</v>
      </c>
      <c r="B30" s="97"/>
      <c r="C30" s="82"/>
      <c r="D30" s="82"/>
      <c r="E30" s="78"/>
      <c r="F30" s="82"/>
      <c r="G30" s="82"/>
      <c r="H30" s="78"/>
      <c r="I30" s="78"/>
      <c r="J30" s="82"/>
      <c r="K30" s="82"/>
      <c r="L30" s="82"/>
      <c r="M30" s="82"/>
      <c r="N30" s="82"/>
      <c r="O30" s="78"/>
      <c r="P30" s="78"/>
      <c r="Q30" s="82"/>
      <c r="R30" s="121"/>
      <c r="S30" s="82"/>
      <c r="T30" s="82"/>
      <c r="U30" s="82"/>
      <c r="V30" s="78"/>
      <c r="W30" s="78"/>
      <c r="X30" s="82"/>
      <c r="Y30" s="82"/>
      <c r="Z30" s="82"/>
      <c r="AA30" s="82"/>
      <c r="AB30" s="82"/>
      <c r="AC30" s="78"/>
      <c r="AD30" s="78"/>
      <c r="AE30" s="82"/>
      <c r="AF30" s="82"/>
      <c r="AG30" s="82"/>
      <c r="AH30" s="84">
        <f t="shared" si="0"/>
        <v>0</v>
      </c>
    </row>
    <row r="31" spans="1:34" s="3" customFormat="1" ht="18" customHeight="1">
      <c r="A31" s="96" t="s">
        <v>58</v>
      </c>
      <c r="B31" s="97"/>
      <c r="C31" s="82"/>
      <c r="D31" s="82"/>
      <c r="E31" s="78"/>
      <c r="F31" s="82"/>
      <c r="G31" s="82"/>
      <c r="H31" s="78"/>
      <c r="I31" s="78"/>
      <c r="J31" s="82"/>
      <c r="K31" s="82"/>
      <c r="L31" s="82"/>
      <c r="M31" s="82"/>
      <c r="N31" s="82"/>
      <c r="O31" s="78"/>
      <c r="P31" s="78"/>
      <c r="Q31" s="82"/>
      <c r="R31" s="121"/>
      <c r="S31" s="82"/>
      <c r="T31" s="82"/>
      <c r="U31" s="82"/>
      <c r="V31" s="78"/>
      <c r="W31" s="78"/>
      <c r="X31" s="82"/>
      <c r="Y31" s="122"/>
      <c r="Z31" s="82"/>
      <c r="AA31" s="82"/>
      <c r="AB31" s="82"/>
      <c r="AC31" s="78"/>
      <c r="AD31" s="78"/>
      <c r="AE31" s="82"/>
      <c r="AF31" s="82"/>
      <c r="AG31" s="82"/>
      <c r="AH31" s="84">
        <f t="shared" si="0"/>
        <v>0</v>
      </c>
    </row>
    <row r="32" spans="1:34" s="3" customFormat="1" ht="18" customHeight="1">
      <c r="A32" s="96" t="s">
        <v>59</v>
      </c>
      <c r="B32" s="97"/>
      <c r="C32" s="82"/>
      <c r="D32" s="82"/>
      <c r="E32" s="78"/>
      <c r="F32" s="82"/>
      <c r="G32" s="82"/>
      <c r="H32" s="78"/>
      <c r="I32" s="78"/>
      <c r="J32" s="82"/>
      <c r="K32" s="82"/>
      <c r="L32" s="82"/>
      <c r="M32" s="82"/>
      <c r="N32" s="82"/>
      <c r="O32" s="78"/>
      <c r="P32" s="78"/>
      <c r="Q32" s="82"/>
      <c r="R32" s="121"/>
      <c r="S32" s="82"/>
      <c r="T32" s="82"/>
      <c r="U32" s="82"/>
      <c r="V32" s="78"/>
      <c r="W32" s="78"/>
      <c r="X32" s="82"/>
      <c r="Y32" s="122"/>
      <c r="Z32" s="82"/>
      <c r="AA32" s="82"/>
      <c r="AB32" s="82"/>
      <c r="AC32" s="78"/>
      <c r="AD32" s="78"/>
      <c r="AE32" s="82"/>
      <c r="AF32" s="82"/>
      <c r="AG32" s="82"/>
      <c r="AH32" s="84">
        <f t="shared" si="0"/>
        <v>0</v>
      </c>
    </row>
    <row r="33" spans="1:34" s="3" customFormat="1" ht="18" customHeight="1">
      <c r="A33" s="96" t="s">
        <v>92</v>
      </c>
      <c r="B33" s="97">
        <v>70</v>
      </c>
      <c r="C33" s="82"/>
      <c r="D33" s="82"/>
      <c r="E33" s="78"/>
      <c r="F33" s="82"/>
      <c r="G33" s="82">
        <v>63</v>
      </c>
      <c r="H33" s="78"/>
      <c r="I33" s="78"/>
      <c r="J33" s="82">
        <v>32</v>
      </c>
      <c r="K33" s="82"/>
      <c r="L33" s="82"/>
      <c r="M33" s="82">
        <v>234</v>
      </c>
      <c r="N33" s="82"/>
      <c r="O33" s="78"/>
      <c r="P33" s="78"/>
      <c r="Q33" s="82"/>
      <c r="R33" s="121"/>
      <c r="S33" s="82"/>
      <c r="T33" s="82"/>
      <c r="U33" s="82"/>
      <c r="V33" s="78"/>
      <c r="W33" s="78"/>
      <c r="X33" s="82"/>
      <c r="Y33" s="122"/>
      <c r="Z33" s="82">
        <v>34</v>
      </c>
      <c r="AA33" s="82"/>
      <c r="AB33" s="82">
        <v>139</v>
      </c>
      <c r="AC33" s="78"/>
      <c r="AD33" s="78"/>
      <c r="AE33" s="82"/>
      <c r="AF33" s="82"/>
      <c r="AG33" s="82"/>
      <c r="AH33" s="84">
        <f>SUM(B33:AF33)</f>
        <v>572</v>
      </c>
    </row>
    <row r="34" spans="1:34" s="3" customFormat="1" ht="18" hidden="1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8">
        <f>SUM(O9:O33)</f>
        <v>0</v>
      </c>
      <c r="P34" s="9"/>
      <c r="Q34" s="4"/>
      <c r="R34" s="4"/>
      <c r="S34" s="6">
        <f>SUM(S9:S33)</f>
        <v>12707</v>
      </c>
      <c r="T34" s="4">
        <f>SUM(T9:T33)</f>
        <v>0</v>
      </c>
      <c r="U34" s="4"/>
      <c r="V34" s="10">
        <f>SUM(V9:V33)</f>
        <v>0</v>
      </c>
      <c r="W34" s="8"/>
      <c r="X34" s="4">
        <f>SUM(X9:X33)</f>
        <v>0</v>
      </c>
      <c r="Y34" s="5"/>
      <c r="Z34" s="4"/>
      <c r="AA34" s="4"/>
      <c r="AB34" s="4">
        <f>SUM(AB9:AB33)</f>
        <v>139</v>
      </c>
      <c r="AC34" s="11">
        <f>SUM(AC9:AC33)</f>
        <v>0</v>
      </c>
      <c r="AD34" s="8"/>
      <c r="AE34" s="7">
        <f>SUM(AE9:AE33)</f>
        <v>12709</v>
      </c>
      <c r="AF34" s="7">
        <f>SUM(AF9:AF33)</f>
        <v>0</v>
      </c>
      <c r="AG34" s="7"/>
      <c r="AH34" s="7"/>
    </row>
  </sheetData>
  <mergeCells count="3">
    <mergeCell ref="A6:A8"/>
    <mergeCell ref="AH6:AH8"/>
    <mergeCell ref="C6:AG6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4:AH35"/>
  <sheetViews>
    <sheetView zoomScaleNormal="100" workbookViewId="0">
      <pane xSplit="1" ySplit="8" topLeftCell="B9" activePane="bottomRight" state="frozen"/>
      <selection activeCell="P15" sqref="P15"/>
      <selection pane="topRight" activeCell="P15" sqref="P15"/>
      <selection pane="bottomLeft" activeCell="P15" sqref="P15"/>
      <selection pane="bottomRight" activeCell="T21" sqref="T21"/>
    </sheetView>
  </sheetViews>
  <sheetFormatPr defaultColWidth="7.75" defaultRowHeight="12"/>
  <cols>
    <col min="1" max="1" width="25.125" style="1" customWidth="1"/>
    <col min="2" max="2" width="10.625" style="1" customWidth="1"/>
    <col min="3" max="33" width="6.125" style="1" customWidth="1"/>
    <col min="34" max="34" width="8.75" style="1" customWidth="1"/>
    <col min="35" max="16384" width="7.75" style="1"/>
  </cols>
  <sheetData>
    <row r="4" spans="1:34" ht="12.75" thickBot="1"/>
    <row r="5" spans="1:34" ht="6.75" customHeight="1" thickTop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s="3" customFormat="1" ht="18" customHeight="1">
      <c r="A6" s="136" t="s">
        <v>0</v>
      </c>
      <c r="B6" s="86"/>
      <c r="C6" s="138" t="s">
        <v>131</v>
      </c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40"/>
      <c r="AH6" s="137" t="s">
        <v>15</v>
      </c>
    </row>
    <row r="7" spans="1:34" s="3" customFormat="1" ht="16.5" customHeight="1">
      <c r="A7" s="136"/>
      <c r="B7" s="86" t="s">
        <v>133</v>
      </c>
      <c r="C7" s="87" t="s">
        <v>23</v>
      </c>
      <c r="D7" s="87" t="s">
        <v>24</v>
      </c>
      <c r="E7" s="89" t="s">
        <v>25</v>
      </c>
      <c r="F7" s="88" t="s">
        <v>31</v>
      </c>
      <c r="G7" s="87" t="s">
        <v>32</v>
      </c>
      <c r="H7" s="90" t="s">
        <v>26</v>
      </c>
      <c r="I7" s="90" t="s">
        <v>27</v>
      </c>
      <c r="J7" s="87" t="s">
        <v>28</v>
      </c>
      <c r="K7" s="87" t="s">
        <v>29</v>
      </c>
      <c r="L7" s="87" t="s">
        <v>30</v>
      </c>
      <c r="M7" s="87" t="s">
        <v>33</v>
      </c>
      <c r="N7" s="87" t="s">
        <v>4</v>
      </c>
      <c r="O7" s="90" t="s">
        <v>5</v>
      </c>
      <c r="P7" s="90" t="s">
        <v>6</v>
      </c>
      <c r="Q7" s="87" t="s">
        <v>7</v>
      </c>
      <c r="R7" s="87" t="s">
        <v>8</v>
      </c>
      <c r="S7" s="87" t="s">
        <v>9</v>
      </c>
      <c r="T7" s="87" t="s">
        <v>34</v>
      </c>
      <c r="U7" s="87" t="s">
        <v>35</v>
      </c>
      <c r="V7" s="90" t="s">
        <v>40</v>
      </c>
      <c r="W7" s="90" t="s">
        <v>10</v>
      </c>
      <c r="X7" s="87" t="s">
        <v>11</v>
      </c>
      <c r="Y7" s="87" t="s">
        <v>12</v>
      </c>
      <c r="Z7" s="87" t="s">
        <v>13</v>
      </c>
      <c r="AA7" s="87" t="s">
        <v>36</v>
      </c>
      <c r="AB7" s="87" t="s">
        <v>37</v>
      </c>
      <c r="AC7" s="90" t="s">
        <v>41</v>
      </c>
      <c r="AD7" s="90" t="s">
        <v>14</v>
      </c>
      <c r="AE7" s="87" t="s">
        <v>123</v>
      </c>
      <c r="AF7" s="87" t="s">
        <v>125</v>
      </c>
      <c r="AG7" s="87"/>
      <c r="AH7" s="137"/>
    </row>
    <row r="8" spans="1:34" s="3" customFormat="1" ht="16.5" customHeight="1">
      <c r="A8" s="136"/>
      <c r="B8" s="86"/>
      <c r="C8" s="87" t="s">
        <v>85</v>
      </c>
      <c r="D8" s="87" t="s">
        <v>86</v>
      </c>
      <c r="E8" s="90" t="s">
        <v>81</v>
      </c>
      <c r="F8" s="87" t="s">
        <v>82</v>
      </c>
      <c r="G8" s="88" t="s">
        <v>83</v>
      </c>
      <c r="H8" s="90" t="s">
        <v>84</v>
      </c>
      <c r="I8" s="90" t="s">
        <v>124</v>
      </c>
      <c r="J8" s="87" t="s">
        <v>85</v>
      </c>
      <c r="K8" s="87" t="s">
        <v>86</v>
      </c>
      <c r="L8" s="87" t="s">
        <v>81</v>
      </c>
      <c r="M8" s="87" t="s">
        <v>82</v>
      </c>
      <c r="N8" s="88" t="s">
        <v>83</v>
      </c>
      <c r="O8" s="90" t="s">
        <v>84</v>
      </c>
      <c r="P8" s="90" t="s">
        <v>124</v>
      </c>
      <c r="Q8" s="87" t="s">
        <v>85</v>
      </c>
      <c r="R8" s="87" t="s">
        <v>86</v>
      </c>
      <c r="S8" s="87" t="s">
        <v>81</v>
      </c>
      <c r="T8" s="87" t="s">
        <v>82</v>
      </c>
      <c r="U8" s="88" t="s">
        <v>83</v>
      </c>
      <c r="V8" s="90" t="s">
        <v>84</v>
      </c>
      <c r="W8" s="90" t="s">
        <v>124</v>
      </c>
      <c r="X8" s="87" t="s">
        <v>85</v>
      </c>
      <c r="Y8" s="87" t="s">
        <v>86</v>
      </c>
      <c r="Z8" s="87" t="s">
        <v>81</v>
      </c>
      <c r="AA8" s="87" t="s">
        <v>82</v>
      </c>
      <c r="AB8" s="88" t="s">
        <v>83</v>
      </c>
      <c r="AC8" s="90" t="s">
        <v>84</v>
      </c>
      <c r="AD8" s="90" t="s">
        <v>124</v>
      </c>
      <c r="AE8" s="87" t="s">
        <v>85</v>
      </c>
      <c r="AF8" s="87" t="s">
        <v>86</v>
      </c>
      <c r="AG8" s="87"/>
      <c r="AH8" s="137"/>
    </row>
    <row r="9" spans="1:34" s="3" customFormat="1" ht="18" customHeight="1">
      <c r="A9" s="91" t="s">
        <v>100</v>
      </c>
      <c r="B9" s="102"/>
      <c r="C9" s="77"/>
      <c r="D9" s="77"/>
      <c r="E9" s="81"/>
      <c r="F9" s="79"/>
      <c r="G9" s="77"/>
      <c r="H9" s="78"/>
      <c r="I9" s="78"/>
      <c r="J9" s="77"/>
      <c r="K9" s="77">
        <v>1200</v>
      </c>
      <c r="L9" s="77"/>
      <c r="M9" s="77">
        <v>600</v>
      </c>
      <c r="N9" s="77"/>
      <c r="O9" s="112"/>
      <c r="P9" s="78"/>
      <c r="Q9" s="77">
        <v>300</v>
      </c>
      <c r="R9" s="115"/>
      <c r="S9" s="77">
        <v>600</v>
      </c>
      <c r="T9" s="113"/>
      <c r="U9" s="113">
        <v>300</v>
      </c>
      <c r="V9" s="78"/>
      <c r="W9" s="78"/>
      <c r="X9" s="77"/>
      <c r="Y9" s="135">
        <v>900</v>
      </c>
      <c r="Z9" s="115"/>
      <c r="AA9" s="128">
        <v>600</v>
      </c>
      <c r="AB9" s="113"/>
      <c r="AC9" s="78"/>
      <c r="AD9" s="78"/>
      <c r="AE9" s="77"/>
      <c r="AF9" s="117"/>
      <c r="AG9" s="117"/>
      <c r="AH9" s="80">
        <f t="shared" ref="AH9:AH33" si="0">SUM(C9:AF9)</f>
        <v>4500</v>
      </c>
    </row>
    <row r="10" spans="1:34" s="3" customFormat="1" ht="18" customHeight="1">
      <c r="A10" s="91" t="s">
        <v>97</v>
      </c>
      <c r="B10" s="102"/>
      <c r="C10" s="77"/>
      <c r="D10" s="77"/>
      <c r="E10" s="81"/>
      <c r="F10" s="79"/>
      <c r="G10" s="77"/>
      <c r="H10" s="78"/>
      <c r="I10" s="78"/>
      <c r="J10" s="77"/>
      <c r="K10" s="128"/>
      <c r="L10" s="77"/>
      <c r="M10" s="128"/>
      <c r="N10" s="77"/>
      <c r="O10" s="112"/>
      <c r="P10" s="78"/>
      <c r="Q10" s="128"/>
      <c r="R10" s="115"/>
      <c r="S10" s="132"/>
      <c r="T10" s="113"/>
      <c r="U10" s="77"/>
      <c r="V10" s="78"/>
      <c r="W10" s="78"/>
      <c r="X10" s="77"/>
      <c r="Y10" s="118"/>
      <c r="Z10" s="115"/>
      <c r="AA10" s="128"/>
      <c r="AB10" s="113"/>
      <c r="AC10" s="78"/>
      <c r="AD10" s="78"/>
      <c r="AE10" s="77"/>
      <c r="AF10" s="117"/>
      <c r="AG10" s="117"/>
      <c r="AH10" s="80">
        <f t="shared" si="0"/>
        <v>0</v>
      </c>
    </row>
    <row r="11" spans="1:34" s="3" customFormat="1" ht="18" customHeight="1">
      <c r="A11" s="91" t="s">
        <v>87</v>
      </c>
      <c r="B11" s="102"/>
      <c r="C11" s="77"/>
      <c r="D11" s="77"/>
      <c r="E11" s="78"/>
      <c r="F11" s="77"/>
      <c r="G11" s="77"/>
      <c r="H11" s="78"/>
      <c r="I11" s="78"/>
      <c r="J11" s="77"/>
      <c r="K11" s="128"/>
      <c r="L11" s="77"/>
      <c r="M11" s="128"/>
      <c r="N11" s="77"/>
      <c r="O11" s="112"/>
      <c r="P11" s="78"/>
      <c r="Q11" s="128"/>
      <c r="R11" s="119"/>
      <c r="S11" s="128"/>
      <c r="T11" s="113"/>
      <c r="U11" s="77"/>
      <c r="V11" s="78"/>
      <c r="W11" s="78"/>
      <c r="X11" s="77"/>
      <c r="Y11" s="111"/>
      <c r="Z11" s="77"/>
      <c r="AA11" s="128"/>
      <c r="AB11" s="113"/>
      <c r="AC11" s="78"/>
      <c r="AD11" s="78"/>
      <c r="AE11" s="77"/>
      <c r="AF11" s="79"/>
      <c r="AG11" s="79"/>
      <c r="AH11" s="80">
        <f t="shared" si="0"/>
        <v>0</v>
      </c>
    </row>
    <row r="12" spans="1:34" s="3" customFormat="1" ht="18" customHeight="1">
      <c r="A12" s="91" t="s">
        <v>117</v>
      </c>
      <c r="B12" s="102"/>
      <c r="C12" s="77"/>
      <c r="D12" s="77"/>
      <c r="E12" s="78"/>
      <c r="F12" s="77"/>
      <c r="G12" s="77"/>
      <c r="H12" s="78"/>
      <c r="I12" s="78"/>
      <c r="J12" s="77"/>
      <c r="K12" s="128"/>
      <c r="L12" s="77"/>
      <c r="M12" s="128"/>
      <c r="N12" s="77"/>
      <c r="O12" s="112"/>
      <c r="P12" s="78"/>
      <c r="Q12" s="128"/>
      <c r="R12" s="119"/>
      <c r="S12" s="128"/>
      <c r="T12" s="113"/>
      <c r="U12" s="77"/>
      <c r="V12" s="78"/>
      <c r="W12" s="78"/>
      <c r="X12" s="77"/>
      <c r="Y12" s="111"/>
      <c r="Z12" s="77"/>
      <c r="AA12" s="128"/>
      <c r="AB12" s="113"/>
      <c r="AC12" s="78"/>
      <c r="AD12" s="78"/>
      <c r="AE12" s="77"/>
      <c r="AF12" s="79"/>
      <c r="AG12" s="79"/>
      <c r="AH12" s="80">
        <f t="shared" si="0"/>
        <v>0</v>
      </c>
    </row>
    <row r="13" spans="1:34" s="3" customFormat="1" ht="18" customHeight="1">
      <c r="A13" s="91" t="s">
        <v>110</v>
      </c>
      <c r="B13" s="102"/>
      <c r="C13" s="77"/>
      <c r="D13" s="77"/>
      <c r="E13" s="78"/>
      <c r="F13" s="77"/>
      <c r="G13" s="77"/>
      <c r="H13" s="78"/>
      <c r="I13" s="78"/>
      <c r="J13" s="77"/>
      <c r="K13" s="128"/>
      <c r="L13" s="77"/>
      <c r="M13" s="128"/>
      <c r="N13" s="77"/>
      <c r="O13" s="112"/>
      <c r="P13" s="78"/>
      <c r="Q13" s="128"/>
      <c r="R13" s="119"/>
      <c r="S13" s="128"/>
      <c r="T13" s="113"/>
      <c r="U13" s="77"/>
      <c r="V13" s="78"/>
      <c r="W13" s="78"/>
      <c r="X13" s="77"/>
      <c r="Y13" s="111"/>
      <c r="Z13" s="77"/>
      <c r="AA13" s="128"/>
      <c r="AB13" s="113"/>
      <c r="AC13" s="78"/>
      <c r="AD13" s="78"/>
      <c r="AE13" s="77"/>
      <c r="AF13" s="79"/>
      <c r="AG13" s="79"/>
      <c r="AH13" s="80">
        <f t="shared" si="0"/>
        <v>0</v>
      </c>
    </row>
    <row r="14" spans="1:34" s="3" customFormat="1" ht="18" customHeight="1">
      <c r="A14" s="91" t="s">
        <v>99</v>
      </c>
      <c r="B14" s="102"/>
      <c r="C14" s="77"/>
      <c r="D14" s="77"/>
      <c r="E14" s="81"/>
      <c r="F14" s="79"/>
      <c r="G14" s="77"/>
      <c r="H14" s="78"/>
      <c r="I14" s="78"/>
      <c r="J14" s="77"/>
      <c r="K14" s="128"/>
      <c r="L14" s="77"/>
      <c r="M14" s="128"/>
      <c r="N14" s="77"/>
      <c r="O14" s="112"/>
      <c r="P14" s="78"/>
      <c r="Q14" s="128"/>
      <c r="R14" s="119"/>
      <c r="S14" s="128"/>
      <c r="T14" s="113"/>
      <c r="U14" s="77"/>
      <c r="V14" s="78"/>
      <c r="W14" s="78"/>
      <c r="X14" s="77"/>
      <c r="Y14" s="113"/>
      <c r="Z14" s="77"/>
      <c r="AA14" s="128"/>
      <c r="AB14" s="113"/>
      <c r="AC14" s="78"/>
      <c r="AD14" s="78"/>
      <c r="AE14" s="77"/>
      <c r="AF14" s="79"/>
      <c r="AG14" s="79"/>
      <c r="AH14" s="80">
        <f t="shared" si="0"/>
        <v>0</v>
      </c>
    </row>
    <row r="15" spans="1:34" s="3" customFormat="1" ht="18" customHeight="1">
      <c r="A15" s="91" t="s">
        <v>22</v>
      </c>
      <c r="B15" s="102"/>
      <c r="C15" s="77"/>
      <c r="D15" s="125">
        <v>1680</v>
      </c>
      <c r="E15" s="81"/>
      <c r="F15" s="79"/>
      <c r="G15" s="77">
        <v>960</v>
      </c>
      <c r="H15" s="78"/>
      <c r="I15" s="78"/>
      <c r="J15" s="77"/>
      <c r="K15" s="77">
        <v>960</v>
      </c>
      <c r="L15" s="77"/>
      <c r="M15" s="77">
        <v>1440</v>
      </c>
      <c r="N15" s="77"/>
      <c r="O15" s="112"/>
      <c r="P15" s="78"/>
      <c r="Q15" s="77">
        <v>1440</v>
      </c>
      <c r="R15" s="115"/>
      <c r="S15" s="133">
        <v>1440</v>
      </c>
      <c r="T15" s="113"/>
      <c r="U15" s="120">
        <v>1440</v>
      </c>
      <c r="V15" s="78"/>
      <c r="W15" s="78"/>
      <c r="X15" s="77"/>
      <c r="Y15" s="111">
        <v>1200</v>
      </c>
      <c r="Z15" s="115"/>
      <c r="AA15" s="128">
        <v>1440</v>
      </c>
      <c r="AB15" s="113"/>
      <c r="AC15" s="78"/>
      <c r="AD15" s="124"/>
      <c r="AE15" s="128">
        <v>1920</v>
      </c>
      <c r="AF15" s="117"/>
      <c r="AG15" s="117"/>
      <c r="AH15" s="80">
        <f t="shared" si="0"/>
        <v>13920</v>
      </c>
    </row>
    <row r="16" spans="1:34" s="3" customFormat="1" ht="18" customHeight="1">
      <c r="A16" s="91" t="s">
        <v>112</v>
      </c>
      <c r="B16" s="102"/>
      <c r="C16" s="77"/>
      <c r="D16" s="77"/>
      <c r="E16" s="81"/>
      <c r="F16" s="79"/>
      <c r="G16" s="127"/>
      <c r="H16" s="78"/>
      <c r="I16" s="78"/>
      <c r="J16" s="77"/>
      <c r="K16" s="77"/>
      <c r="L16" s="77"/>
      <c r="M16" s="77"/>
      <c r="N16" s="77"/>
      <c r="O16" s="78"/>
      <c r="P16" s="78"/>
      <c r="Q16" s="128"/>
      <c r="R16" s="119"/>
      <c r="S16" s="120"/>
      <c r="T16" s="77"/>
      <c r="U16" s="77"/>
      <c r="V16" s="78"/>
      <c r="W16" s="78"/>
      <c r="X16" s="77"/>
      <c r="Y16" s="79"/>
      <c r="Z16" s="115"/>
      <c r="AA16" s="77"/>
      <c r="AB16" s="77"/>
      <c r="AC16" s="78"/>
      <c r="AD16" s="78"/>
      <c r="AE16" s="77"/>
      <c r="AF16" s="117"/>
      <c r="AG16" s="117"/>
      <c r="AH16" s="80">
        <f t="shared" si="0"/>
        <v>0</v>
      </c>
    </row>
    <row r="17" spans="1:34" s="3" customFormat="1" ht="18" customHeight="1">
      <c r="A17" s="91" t="s">
        <v>93</v>
      </c>
      <c r="B17" s="102"/>
      <c r="C17" s="77"/>
      <c r="D17" s="77"/>
      <c r="E17" s="81"/>
      <c r="F17" s="79"/>
      <c r="G17" s="127"/>
      <c r="H17" s="78"/>
      <c r="I17" s="78"/>
      <c r="J17" s="77"/>
      <c r="K17" s="77"/>
      <c r="L17" s="77"/>
      <c r="M17" s="77"/>
      <c r="N17" s="77"/>
      <c r="O17" s="78"/>
      <c r="P17" s="78"/>
      <c r="Q17" s="128"/>
      <c r="R17" s="119"/>
      <c r="S17" s="120"/>
      <c r="T17" s="77"/>
      <c r="U17" s="77"/>
      <c r="V17" s="78"/>
      <c r="W17" s="78"/>
      <c r="X17" s="77"/>
      <c r="Y17" s="79"/>
      <c r="Z17" s="115"/>
      <c r="AA17" s="77"/>
      <c r="AB17" s="77"/>
      <c r="AC17" s="78"/>
      <c r="AD17" s="78"/>
      <c r="AE17" s="77"/>
      <c r="AF17" s="117"/>
      <c r="AG17" s="117"/>
      <c r="AH17" s="80">
        <f t="shared" si="0"/>
        <v>0</v>
      </c>
    </row>
    <row r="18" spans="1:34" s="3" customFormat="1" ht="18" customHeight="1">
      <c r="A18" s="91" t="s">
        <v>42</v>
      </c>
      <c r="B18" s="102"/>
      <c r="C18" s="77"/>
      <c r="D18" s="77"/>
      <c r="E18" s="81"/>
      <c r="F18" s="79"/>
      <c r="G18" s="127"/>
      <c r="H18" s="78"/>
      <c r="I18" s="78"/>
      <c r="J18" s="77"/>
      <c r="K18" s="77"/>
      <c r="L18" s="77"/>
      <c r="M18" s="77"/>
      <c r="N18" s="77"/>
      <c r="O18" s="78"/>
      <c r="P18" s="78"/>
      <c r="Q18" s="128"/>
      <c r="R18" s="115"/>
      <c r="S18" s="120"/>
      <c r="T18" s="77"/>
      <c r="U18" s="77"/>
      <c r="V18" s="78"/>
      <c r="W18" s="78"/>
      <c r="X18" s="77"/>
      <c r="Y18" s="79"/>
      <c r="Z18" s="115"/>
      <c r="AA18" s="77"/>
      <c r="AB18" s="77"/>
      <c r="AC18" s="78"/>
      <c r="AD18" s="78"/>
      <c r="AE18" s="77"/>
      <c r="AF18" s="117"/>
      <c r="AG18" s="117"/>
      <c r="AH18" s="80">
        <f t="shared" si="0"/>
        <v>0</v>
      </c>
    </row>
    <row r="19" spans="1:34" s="3" customFormat="1" ht="18" customHeight="1">
      <c r="A19" s="94" t="s">
        <v>16</v>
      </c>
      <c r="B19" s="103"/>
      <c r="C19" s="77"/>
      <c r="D19" s="77"/>
      <c r="E19" s="81"/>
      <c r="F19" s="79"/>
      <c r="G19" s="77">
        <v>960</v>
      </c>
      <c r="H19" s="78"/>
      <c r="I19" s="78"/>
      <c r="J19" s="77"/>
      <c r="K19" s="77"/>
      <c r="L19" s="77"/>
      <c r="M19" s="77"/>
      <c r="N19" s="77"/>
      <c r="O19" s="78"/>
      <c r="P19" s="78"/>
      <c r="Q19" s="128"/>
      <c r="R19" s="115"/>
      <c r="S19" s="117"/>
      <c r="T19" s="77"/>
      <c r="U19" s="77"/>
      <c r="V19" s="78"/>
      <c r="W19" s="78"/>
      <c r="X19" s="77"/>
      <c r="Y19" s="79"/>
      <c r="Z19" s="115"/>
      <c r="AA19" s="77"/>
      <c r="AB19" s="77"/>
      <c r="AC19" s="78"/>
      <c r="AD19" s="78"/>
      <c r="AE19" s="77"/>
      <c r="AF19" s="117"/>
      <c r="AG19" s="117"/>
      <c r="AH19" s="80">
        <f t="shared" si="0"/>
        <v>960</v>
      </c>
    </row>
    <row r="20" spans="1:34" s="3" customFormat="1" ht="18" customHeight="1">
      <c r="A20" s="95" t="s">
        <v>17</v>
      </c>
      <c r="B20" s="104"/>
      <c r="C20" s="77"/>
      <c r="D20" s="77"/>
      <c r="E20" s="81"/>
      <c r="F20" s="111"/>
      <c r="G20" s="77"/>
      <c r="H20" s="78"/>
      <c r="I20" s="78"/>
      <c r="J20" s="77"/>
      <c r="K20" s="77"/>
      <c r="L20" s="77"/>
      <c r="M20" s="77"/>
      <c r="N20" s="77"/>
      <c r="O20" s="78"/>
      <c r="P20" s="78"/>
      <c r="Q20" s="77">
        <v>300</v>
      </c>
      <c r="R20" s="115"/>
      <c r="S20" s="117"/>
      <c r="T20" s="77"/>
      <c r="U20" s="77">
        <v>480</v>
      </c>
      <c r="V20" s="78"/>
      <c r="W20" s="78"/>
      <c r="X20" s="77"/>
      <c r="Y20" s="79"/>
      <c r="Z20" s="115"/>
      <c r="AA20" s="77"/>
      <c r="AB20" s="77"/>
      <c r="AC20" s="78"/>
      <c r="AD20" s="78"/>
      <c r="AE20" s="77"/>
      <c r="AF20" s="77"/>
      <c r="AG20" s="77"/>
      <c r="AH20" s="80">
        <f t="shared" si="0"/>
        <v>780</v>
      </c>
    </row>
    <row r="21" spans="1:34" s="3" customFormat="1" ht="18" customHeight="1">
      <c r="A21" s="96" t="s">
        <v>1</v>
      </c>
      <c r="B21" s="105"/>
      <c r="C21" s="82"/>
      <c r="D21" s="82"/>
      <c r="E21" s="78"/>
      <c r="F21" s="82"/>
      <c r="G21" s="82"/>
      <c r="H21" s="78"/>
      <c r="I21" s="78"/>
      <c r="J21" s="82"/>
      <c r="K21" s="82"/>
      <c r="L21" s="82"/>
      <c r="M21" s="82"/>
      <c r="N21" s="82"/>
      <c r="O21" s="78"/>
      <c r="P21" s="78"/>
      <c r="Q21" s="82"/>
      <c r="R21" s="82"/>
      <c r="S21" s="82"/>
      <c r="T21" s="82"/>
      <c r="U21" s="82"/>
      <c r="V21" s="78"/>
      <c r="W21" s="78"/>
      <c r="X21" s="82"/>
      <c r="Y21" s="82"/>
      <c r="Z21" s="82"/>
      <c r="AA21" s="82"/>
      <c r="AB21" s="83"/>
      <c r="AC21" s="78"/>
      <c r="AD21" s="78"/>
      <c r="AE21" s="82"/>
      <c r="AF21" s="82"/>
      <c r="AG21" s="82"/>
      <c r="AH21" s="84">
        <f t="shared" si="0"/>
        <v>0</v>
      </c>
    </row>
    <row r="22" spans="1:34" s="3" customFormat="1" ht="18" customHeight="1">
      <c r="A22" s="98" t="s">
        <v>18</v>
      </c>
      <c r="B22" s="106"/>
      <c r="C22" s="82"/>
      <c r="D22" s="82"/>
      <c r="E22" s="78"/>
      <c r="F22" s="82"/>
      <c r="G22" s="82"/>
      <c r="H22" s="78"/>
      <c r="I22" s="78"/>
      <c r="J22" s="82"/>
      <c r="K22" s="82"/>
      <c r="L22" s="82"/>
      <c r="M22" s="82"/>
      <c r="N22" s="82"/>
      <c r="O22" s="78"/>
      <c r="P22" s="78"/>
      <c r="Q22" s="82"/>
      <c r="R22" s="82"/>
      <c r="S22" s="82"/>
      <c r="T22" s="82"/>
      <c r="U22" s="82"/>
      <c r="V22" s="78"/>
      <c r="W22" s="78"/>
      <c r="X22" s="82"/>
      <c r="Y22" s="82"/>
      <c r="Z22" s="82"/>
      <c r="AA22" s="82"/>
      <c r="AB22" s="83"/>
      <c r="AC22" s="78"/>
      <c r="AD22" s="78"/>
      <c r="AE22" s="82"/>
      <c r="AF22" s="82"/>
      <c r="AG22" s="82"/>
      <c r="AH22" s="84">
        <f t="shared" si="0"/>
        <v>0</v>
      </c>
    </row>
    <row r="23" spans="1:34" s="3" customFormat="1" ht="18" customHeight="1">
      <c r="A23" s="99" t="s">
        <v>19</v>
      </c>
      <c r="B23" s="107"/>
      <c r="C23" s="82"/>
      <c r="D23" s="82"/>
      <c r="E23" s="78"/>
      <c r="F23" s="82"/>
      <c r="G23" s="82"/>
      <c r="H23" s="78"/>
      <c r="I23" s="78"/>
      <c r="J23" s="82"/>
      <c r="K23" s="82"/>
      <c r="L23" s="82"/>
      <c r="M23" s="82"/>
      <c r="N23" s="82"/>
      <c r="O23" s="78"/>
      <c r="P23" s="78"/>
      <c r="Q23" s="82"/>
      <c r="R23" s="82"/>
      <c r="S23" s="82"/>
      <c r="T23" s="82"/>
      <c r="U23" s="82"/>
      <c r="V23" s="78"/>
      <c r="W23" s="78"/>
      <c r="X23" s="82"/>
      <c r="Y23" s="82"/>
      <c r="Z23" s="82"/>
      <c r="AA23" s="82"/>
      <c r="AB23" s="83"/>
      <c r="AC23" s="78"/>
      <c r="AD23" s="78"/>
      <c r="AE23" s="82"/>
      <c r="AF23" s="82"/>
      <c r="AG23" s="82"/>
      <c r="AH23" s="84">
        <f t="shared" si="0"/>
        <v>0</v>
      </c>
    </row>
    <row r="24" spans="1:34" s="3" customFormat="1" ht="18" customHeight="1">
      <c r="A24" s="96" t="s">
        <v>2</v>
      </c>
      <c r="B24" s="105"/>
      <c r="C24" s="82"/>
      <c r="D24" s="82"/>
      <c r="E24" s="78"/>
      <c r="F24" s="82"/>
      <c r="G24" s="82"/>
      <c r="H24" s="78"/>
      <c r="I24" s="78"/>
      <c r="J24" s="82"/>
      <c r="K24" s="82"/>
      <c r="L24" s="82"/>
      <c r="M24" s="82"/>
      <c r="N24" s="82"/>
      <c r="O24" s="78"/>
      <c r="P24" s="78"/>
      <c r="Q24" s="82"/>
      <c r="R24" s="82"/>
      <c r="S24" s="82"/>
      <c r="T24" s="82"/>
      <c r="U24" s="82"/>
      <c r="V24" s="78"/>
      <c r="W24" s="78"/>
      <c r="X24" s="82"/>
      <c r="Y24" s="82"/>
      <c r="Z24" s="82"/>
      <c r="AA24" s="82"/>
      <c r="AB24" s="83"/>
      <c r="AC24" s="78"/>
      <c r="AD24" s="78"/>
      <c r="AE24" s="82"/>
      <c r="AF24" s="82"/>
      <c r="AG24" s="82"/>
      <c r="AH24" s="84">
        <f t="shared" si="0"/>
        <v>0</v>
      </c>
    </row>
    <row r="25" spans="1:34" s="3" customFormat="1" ht="18" customHeight="1">
      <c r="A25" s="96" t="s">
        <v>3</v>
      </c>
      <c r="B25" s="105"/>
      <c r="C25" s="82"/>
      <c r="D25" s="82">
        <v>7</v>
      </c>
      <c r="E25" s="78"/>
      <c r="F25" s="82"/>
      <c r="G25" s="82">
        <v>6</v>
      </c>
      <c r="H25" s="78"/>
      <c r="I25" s="78"/>
      <c r="J25" s="82"/>
      <c r="K25" s="82">
        <v>8</v>
      </c>
      <c r="L25" s="82"/>
      <c r="M25" s="82">
        <v>8</v>
      </c>
      <c r="N25" s="82"/>
      <c r="O25" s="78"/>
      <c r="P25" s="78"/>
      <c r="Q25" s="82">
        <v>8</v>
      </c>
      <c r="R25" s="121"/>
      <c r="S25" s="82">
        <v>8</v>
      </c>
      <c r="T25" s="82"/>
      <c r="U25" s="82">
        <v>8</v>
      </c>
      <c r="V25" s="78"/>
      <c r="W25" s="78"/>
      <c r="X25" s="82"/>
      <c r="Y25" s="83">
        <v>8</v>
      </c>
      <c r="Z25" s="82"/>
      <c r="AA25" s="82">
        <v>8</v>
      </c>
      <c r="AB25" s="83"/>
      <c r="AC25" s="78"/>
      <c r="AD25" s="78"/>
      <c r="AE25" s="82">
        <v>8</v>
      </c>
      <c r="AF25" s="82"/>
      <c r="AG25" s="82"/>
      <c r="AH25" s="84">
        <f t="shared" si="0"/>
        <v>77</v>
      </c>
    </row>
    <row r="26" spans="1:34" s="3" customFormat="1" ht="18" customHeight="1">
      <c r="A26" s="96" t="s">
        <v>20</v>
      </c>
      <c r="B26" s="105"/>
      <c r="C26" s="82"/>
      <c r="D26" s="82"/>
      <c r="E26" s="78"/>
      <c r="F26" s="82"/>
      <c r="G26" s="82"/>
      <c r="H26" s="78"/>
      <c r="I26" s="78"/>
      <c r="J26" s="82"/>
      <c r="K26" s="82"/>
      <c r="L26" s="82"/>
      <c r="M26" s="82"/>
      <c r="N26" s="82"/>
      <c r="O26" s="78"/>
      <c r="P26" s="78"/>
      <c r="Q26" s="82"/>
      <c r="R26" s="121"/>
      <c r="S26" s="82"/>
      <c r="T26" s="82"/>
      <c r="U26" s="82"/>
      <c r="V26" s="78"/>
      <c r="W26" s="78"/>
      <c r="X26" s="82"/>
      <c r="Y26" s="83"/>
      <c r="Z26" s="82"/>
      <c r="AA26" s="82"/>
      <c r="AB26" s="82"/>
      <c r="AC26" s="78"/>
      <c r="AD26" s="78"/>
      <c r="AE26" s="82"/>
      <c r="AF26" s="82"/>
      <c r="AG26" s="82"/>
      <c r="AH26" s="84">
        <f t="shared" si="0"/>
        <v>0</v>
      </c>
    </row>
    <row r="27" spans="1:34" s="3" customFormat="1" ht="18" customHeight="1">
      <c r="A27" s="100" t="s">
        <v>21</v>
      </c>
      <c r="B27" s="108"/>
      <c r="C27" s="77"/>
      <c r="D27" s="77"/>
      <c r="E27" s="78"/>
      <c r="F27" s="77"/>
      <c r="G27" s="77"/>
      <c r="H27" s="78"/>
      <c r="I27" s="78"/>
      <c r="J27" s="77"/>
      <c r="K27" s="77"/>
      <c r="L27" s="77"/>
      <c r="M27" s="77"/>
      <c r="N27" s="77"/>
      <c r="O27" s="78"/>
      <c r="P27" s="78"/>
      <c r="Q27" s="77"/>
      <c r="R27" s="115"/>
      <c r="S27" s="77"/>
      <c r="T27" s="77"/>
      <c r="U27" s="77"/>
      <c r="V27" s="78"/>
      <c r="W27" s="78"/>
      <c r="X27" s="77"/>
      <c r="Y27" s="123"/>
      <c r="Z27" s="77"/>
      <c r="AA27" s="77"/>
      <c r="AB27" s="77"/>
      <c r="AC27" s="78"/>
      <c r="AD27" s="78"/>
      <c r="AE27" s="77"/>
      <c r="AF27" s="77"/>
      <c r="AG27" s="77"/>
      <c r="AH27" s="80">
        <f t="shared" si="0"/>
        <v>0</v>
      </c>
    </row>
    <row r="28" spans="1:34" s="3" customFormat="1" ht="18" customHeight="1">
      <c r="A28" s="91" t="s">
        <v>38</v>
      </c>
      <c r="B28" s="102"/>
      <c r="C28" s="77"/>
      <c r="D28" s="77"/>
      <c r="E28" s="78"/>
      <c r="F28" s="77"/>
      <c r="G28" s="77"/>
      <c r="H28" s="78"/>
      <c r="I28" s="78"/>
      <c r="J28" s="77"/>
      <c r="K28" s="77"/>
      <c r="L28" s="77"/>
      <c r="M28" s="77"/>
      <c r="N28" s="77"/>
      <c r="O28" s="78"/>
      <c r="P28" s="78"/>
      <c r="Q28" s="77"/>
      <c r="R28" s="115"/>
      <c r="S28" s="77"/>
      <c r="T28" s="77"/>
      <c r="U28" s="77"/>
      <c r="V28" s="78"/>
      <c r="W28" s="78"/>
      <c r="X28" s="77"/>
      <c r="Y28" s="123"/>
      <c r="Z28" s="77"/>
      <c r="AA28" s="77"/>
      <c r="AB28" s="77"/>
      <c r="AC28" s="78"/>
      <c r="AD28" s="78"/>
      <c r="AE28" s="77"/>
      <c r="AF28" s="77"/>
      <c r="AG28" s="77"/>
      <c r="AH28" s="80">
        <f t="shared" si="0"/>
        <v>0</v>
      </c>
    </row>
    <row r="29" spans="1:34" s="3" customFormat="1" ht="18" customHeight="1">
      <c r="A29" s="91" t="s">
        <v>39</v>
      </c>
      <c r="B29" s="102"/>
      <c r="C29" s="77"/>
      <c r="D29" s="77"/>
      <c r="E29" s="78"/>
      <c r="F29" s="77"/>
      <c r="G29" s="77"/>
      <c r="H29" s="78"/>
      <c r="I29" s="78"/>
      <c r="J29" s="77"/>
      <c r="K29" s="77"/>
      <c r="L29" s="77"/>
      <c r="M29" s="77"/>
      <c r="N29" s="77"/>
      <c r="O29" s="78"/>
      <c r="P29" s="78"/>
      <c r="Q29" s="77"/>
      <c r="R29" s="115"/>
      <c r="S29" s="77"/>
      <c r="T29" s="77"/>
      <c r="U29" s="77"/>
      <c r="V29" s="78"/>
      <c r="W29" s="78"/>
      <c r="X29" s="77"/>
      <c r="Y29" s="123"/>
      <c r="Z29" s="77"/>
      <c r="AA29" s="77"/>
      <c r="AB29" s="77"/>
      <c r="AC29" s="78"/>
      <c r="AD29" s="78"/>
      <c r="AE29" s="77"/>
      <c r="AF29" s="77"/>
      <c r="AG29" s="77"/>
      <c r="AH29" s="80">
        <f t="shared" si="0"/>
        <v>0</v>
      </c>
    </row>
    <row r="30" spans="1:34" s="3" customFormat="1" ht="18" customHeight="1">
      <c r="A30" s="96" t="s">
        <v>57</v>
      </c>
      <c r="B30" s="107"/>
      <c r="C30" s="82"/>
      <c r="D30" s="82"/>
      <c r="E30" s="78"/>
      <c r="F30" s="82"/>
      <c r="G30" s="82"/>
      <c r="H30" s="78"/>
      <c r="I30" s="78"/>
      <c r="J30" s="82"/>
      <c r="K30" s="82"/>
      <c r="L30" s="82"/>
      <c r="M30" s="82"/>
      <c r="N30" s="82"/>
      <c r="O30" s="78"/>
      <c r="P30" s="78"/>
      <c r="Q30" s="82"/>
      <c r="R30" s="121"/>
      <c r="S30" s="82"/>
      <c r="T30" s="82"/>
      <c r="U30" s="82"/>
      <c r="V30" s="78"/>
      <c r="W30" s="78"/>
      <c r="X30" s="82"/>
      <c r="Y30" s="82"/>
      <c r="Z30" s="82"/>
      <c r="AA30" s="82"/>
      <c r="AB30" s="82"/>
      <c r="AC30" s="78"/>
      <c r="AD30" s="78"/>
      <c r="AE30" s="82"/>
      <c r="AF30" s="82"/>
      <c r="AG30" s="82"/>
      <c r="AH30" s="84">
        <f t="shared" si="0"/>
        <v>0</v>
      </c>
    </row>
    <row r="31" spans="1:34" s="3" customFormat="1" ht="18" customHeight="1">
      <c r="A31" s="96" t="s">
        <v>58</v>
      </c>
      <c r="B31" s="105"/>
      <c r="C31" s="82"/>
      <c r="D31" s="82"/>
      <c r="E31" s="78"/>
      <c r="F31" s="82"/>
      <c r="G31" s="82"/>
      <c r="H31" s="78"/>
      <c r="I31" s="78"/>
      <c r="J31" s="82"/>
      <c r="K31" s="82"/>
      <c r="L31" s="82"/>
      <c r="M31" s="82"/>
      <c r="N31" s="82"/>
      <c r="O31" s="78"/>
      <c r="P31" s="78"/>
      <c r="Q31" s="82"/>
      <c r="R31" s="121"/>
      <c r="S31" s="82"/>
      <c r="T31" s="82"/>
      <c r="U31" s="82"/>
      <c r="V31" s="78"/>
      <c r="W31" s="78"/>
      <c r="X31" s="82"/>
      <c r="Y31" s="122"/>
      <c r="Z31" s="82"/>
      <c r="AA31" s="82"/>
      <c r="AB31" s="82"/>
      <c r="AC31" s="78"/>
      <c r="AD31" s="78"/>
      <c r="AE31" s="82"/>
      <c r="AF31" s="82"/>
      <c r="AG31" s="82"/>
      <c r="AH31" s="84">
        <f t="shared" si="0"/>
        <v>0</v>
      </c>
    </row>
    <row r="32" spans="1:34" s="3" customFormat="1" ht="18" customHeight="1">
      <c r="A32" s="96" t="s">
        <v>59</v>
      </c>
      <c r="B32" s="105"/>
      <c r="C32" s="82"/>
      <c r="D32" s="82"/>
      <c r="E32" s="78"/>
      <c r="F32" s="82"/>
      <c r="G32" s="82"/>
      <c r="H32" s="78"/>
      <c r="I32" s="78"/>
      <c r="J32" s="82"/>
      <c r="K32" s="82"/>
      <c r="L32" s="82"/>
      <c r="M32" s="82"/>
      <c r="N32" s="82"/>
      <c r="O32" s="78"/>
      <c r="P32" s="78"/>
      <c r="Q32" s="82"/>
      <c r="R32" s="121"/>
      <c r="S32" s="82"/>
      <c r="T32" s="82"/>
      <c r="U32" s="82"/>
      <c r="V32" s="78"/>
      <c r="W32" s="78"/>
      <c r="X32" s="82"/>
      <c r="Y32" s="122"/>
      <c r="Z32" s="82"/>
      <c r="AA32" s="82"/>
      <c r="AB32" s="82"/>
      <c r="AC32" s="78"/>
      <c r="AD32" s="78"/>
      <c r="AE32" s="82"/>
      <c r="AF32" s="82"/>
      <c r="AG32" s="82"/>
      <c r="AH32" s="84">
        <f t="shared" si="0"/>
        <v>0</v>
      </c>
    </row>
    <row r="33" spans="1:34" s="3" customFormat="1" ht="18" customHeight="1">
      <c r="A33" s="96" t="s">
        <v>53</v>
      </c>
      <c r="B33" s="105"/>
      <c r="C33" s="82"/>
      <c r="D33" s="82"/>
      <c r="E33" s="78"/>
      <c r="F33" s="82"/>
      <c r="G33" s="82"/>
      <c r="H33" s="78"/>
      <c r="I33" s="78"/>
      <c r="J33" s="82"/>
      <c r="K33" s="82"/>
      <c r="L33" s="82"/>
      <c r="M33" s="82"/>
      <c r="N33" s="82"/>
      <c r="O33" s="78"/>
      <c r="P33" s="78"/>
      <c r="Q33" s="82"/>
      <c r="R33" s="121"/>
      <c r="S33" s="82"/>
      <c r="T33" s="82"/>
      <c r="U33" s="82"/>
      <c r="V33" s="78"/>
      <c r="W33" s="78"/>
      <c r="X33" s="82"/>
      <c r="Y33" s="122"/>
      <c r="Z33" s="82"/>
      <c r="AA33" s="82"/>
      <c r="AB33" s="82"/>
      <c r="AC33" s="78"/>
      <c r="AD33" s="78"/>
      <c r="AE33" s="82"/>
      <c r="AF33" s="82"/>
      <c r="AG33" s="82"/>
      <c r="AH33" s="84">
        <f t="shared" si="0"/>
        <v>0</v>
      </c>
    </row>
    <row r="34" spans="1:34" s="3" customFormat="1" ht="18" hidden="1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52">
        <f>SUM(O9:O33)</f>
        <v>0</v>
      </c>
      <c r="P34" s="53"/>
      <c r="Q34" s="4"/>
      <c r="R34" s="4"/>
      <c r="S34" s="6">
        <f>SUM(S9:S33)</f>
        <v>2048</v>
      </c>
      <c r="T34" s="4">
        <f>SUM(T9:T33)</f>
        <v>0</v>
      </c>
      <c r="U34" s="4"/>
      <c r="V34" s="10">
        <f>SUM(V9:V33)</f>
        <v>0</v>
      </c>
      <c r="W34" s="8"/>
      <c r="X34" s="4">
        <f>SUM(X9:X33)</f>
        <v>0</v>
      </c>
      <c r="Y34" s="5"/>
      <c r="Z34" s="4"/>
      <c r="AA34" s="4"/>
      <c r="AB34" s="4">
        <f>SUM(AB9:AB33)</f>
        <v>0</v>
      </c>
      <c r="AC34" s="11">
        <f>SUM(AC9:AC33)</f>
        <v>0</v>
      </c>
      <c r="AD34" s="8"/>
      <c r="AE34" s="7">
        <f>SUM(AE9:AE33)</f>
        <v>1928</v>
      </c>
      <c r="AF34" s="7">
        <f>SUM(AF9:AF33)</f>
        <v>0</v>
      </c>
      <c r="AG34" s="7"/>
      <c r="AH34" s="7"/>
    </row>
    <row r="35" spans="1:34">
      <c r="O35" s="54"/>
      <c r="P35" s="54"/>
    </row>
  </sheetData>
  <mergeCells count="3">
    <mergeCell ref="A6:A8"/>
    <mergeCell ref="AH6:AH8"/>
    <mergeCell ref="C6:AG6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4:AH34"/>
  <sheetViews>
    <sheetView tabSelected="1" zoomScaleNormal="100" workbookViewId="0">
      <pane xSplit="1" ySplit="8" topLeftCell="D9" activePane="bottomRight" state="frozen"/>
      <selection activeCell="P15" sqref="P15"/>
      <selection pane="topRight" activeCell="P15" sqref="P15"/>
      <selection pane="bottomLeft" activeCell="P15" sqref="P15"/>
      <selection pane="bottomRight" activeCell="AF9" sqref="AF9"/>
    </sheetView>
  </sheetViews>
  <sheetFormatPr defaultColWidth="7.75" defaultRowHeight="12"/>
  <cols>
    <col min="1" max="1" width="25.125" style="1" customWidth="1"/>
    <col min="2" max="2" width="10.625" style="1" customWidth="1"/>
    <col min="3" max="33" width="6.125" style="1" customWidth="1"/>
    <col min="34" max="34" width="8.75" style="1" customWidth="1"/>
    <col min="35" max="16384" width="7.75" style="1"/>
  </cols>
  <sheetData>
    <row r="4" spans="1:34" ht="12.75" thickBot="1">
      <c r="E4" s="74"/>
      <c r="F4" s="75" t="s">
        <v>128</v>
      </c>
    </row>
    <row r="5" spans="1:34" ht="6.75" customHeight="1" thickTop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s="3" customFormat="1" ht="18" customHeight="1">
      <c r="A6" s="136" t="s">
        <v>0</v>
      </c>
      <c r="B6" s="86"/>
      <c r="C6" s="138" t="s">
        <v>131</v>
      </c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40"/>
      <c r="AH6" s="137" t="s">
        <v>15</v>
      </c>
    </row>
    <row r="7" spans="1:34" s="3" customFormat="1" ht="16.5" customHeight="1">
      <c r="A7" s="136"/>
      <c r="B7" s="86" t="s">
        <v>134</v>
      </c>
      <c r="C7" s="87" t="s">
        <v>23</v>
      </c>
      <c r="D7" s="87" t="s">
        <v>24</v>
      </c>
      <c r="E7" s="89" t="s">
        <v>25</v>
      </c>
      <c r="F7" s="88" t="s">
        <v>31</v>
      </c>
      <c r="G7" s="87" t="s">
        <v>32</v>
      </c>
      <c r="H7" s="90" t="s">
        <v>26</v>
      </c>
      <c r="I7" s="90" t="s">
        <v>27</v>
      </c>
      <c r="J7" s="87" t="s">
        <v>28</v>
      </c>
      <c r="K7" s="87" t="s">
        <v>29</v>
      </c>
      <c r="L7" s="87" t="s">
        <v>30</v>
      </c>
      <c r="M7" s="87" t="s">
        <v>33</v>
      </c>
      <c r="N7" s="87" t="s">
        <v>4</v>
      </c>
      <c r="O7" s="90" t="s">
        <v>5</v>
      </c>
      <c r="P7" s="90" t="s">
        <v>6</v>
      </c>
      <c r="Q7" s="87" t="s">
        <v>7</v>
      </c>
      <c r="R7" s="87" t="s">
        <v>8</v>
      </c>
      <c r="S7" s="87" t="s">
        <v>9</v>
      </c>
      <c r="T7" s="87" t="s">
        <v>34</v>
      </c>
      <c r="U7" s="87" t="s">
        <v>35</v>
      </c>
      <c r="V7" s="90" t="s">
        <v>40</v>
      </c>
      <c r="W7" s="90" t="s">
        <v>10</v>
      </c>
      <c r="X7" s="87" t="s">
        <v>11</v>
      </c>
      <c r="Y7" s="87" t="s">
        <v>12</v>
      </c>
      <c r="Z7" s="87" t="s">
        <v>13</v>
      </c>
      <c r="AA7" s="87" t="s">
        <v>36</v>
      </c>
      <c r="AB7" s="87" t="s">
        <v>37</v>
      </c>
      <c r="AC7" s="90" t="s">
        <v>41</v>
      </c>
      <c r="AD7" s="90" t="s">
        <v>14</v>
      </c>
      <c r="AE7" s="87" t="s">
        <v>123</v>
      </c>
      <c r="AF7" s="87" t="s">
        <v>125</v>
      </c>
      <c r="AG7" s="87"/>
      <c r="AH7" s="137"/>
    </row>
    <row r="8" spans="1:34" s="3" customFormat="1" ht="16.5" customHeight="1">
      <c r="A8" s="136"/>
      <c r="B8" s="86" t="s">
        <v>90</v>
      </c>
      <c r="C8" s="87" t="s">
        <v>85</v>
      </c>
      <c r="D8" s="87" t="s">
        <v>86</v>
      </c>
      <c r="E8" s="90" t="s">
        <v>81</v>
      </c>
      <c r="F8" s="87" t="s">
        <v>82</v>
      </c>
      <c r="G8" s="88" t="s">
        <v>83</v>
      </c>
      <c r="H8" s="90" t="s">
        <v>84</v>
      </c>
      <c r="I8" s="90" t="s">
        <v>124</v>
      </c>
      <c r="J8" s="87" t="s">
        <v>85</v>
      </c>
      <c r="K8" s="87" t="s">
        <v>86</v>
      </c>
      <c r="L8" s="87" t="s">
        <v>81</v>
      </c>
      <c r="M8" s="87" t="s">
        <v>82</v>
      </c>
      <c r="N8" s="88" t="s">
        <v>83</v>
      </c>
      <c r="O8" s="90" t="s">
        <v>84</v>
      </c>
      <c r="P8" s="90" t="s">
        <v>124</v>
      </c>
      <c r="Q8" s="87" t="s">
        <v>85</v>
      </c>
      <c r="R8" s="87" t="s">
        <v>86</v>
      </c>
      <c r="S8" s="87" t="s">
        <v>81</v>
      </c>
      <c r="T8" s="87" t="s">
        <v>82</v>
      </c>
      <c r="U8" s="88" t="s">
        <v>83</v>
      </c>
      <c r="V8" s="90" t="s">
        <v>84</v>
      </c>
      <c r="W8" s="90" t="s">
        <v>124</v>
      </c>
      <c r="X8" s="87" t="s">
        <v>85</v>
      </c>
      <c r="Y8" s="87" t="s">
        <v>86</v>
      </c>
      <c r="Z8" s="87" t="s">
        <v>81</v>
      </c>
      <c r="AA8" s="87" t="s">
        <v>82</v>
      </c>
      <c r="AB8" s="88" t="s">
        <v>83</v>
      </c>
      <c r="AC8" s="90" t="s">
        <v>84</v>
      </c>
      <c r="AD8" s="90" t="s">
        <v>124</v>
      </c>
      <c r="AE8" s="87" t="s">
        <v>85</v>
      </c>
      <c r="AF8" s="87" t="s">
        <v>86</v>
      </c>
      <c r="AG8" s="87"/>
      <c r="AH8" s="137"/>
    </row>
    <row r="9" spans="1:34" s="3" customFormat="1" ht="18" customHeight="1">
      <c r="A9" s="91" t="s">
        <v>100</v>
      </c>
      <c r="B9" s="102"/>
      <c r="C9" s="77"/>
      <c r="D9" s="77"/>
      <c r="E9" s="81"/>
      <c r="F9" s="79"/>
      <c r="G9" s="79">
        <v>900</v>
      </c>
      <c r="H9" s="78"/>
      <c r="I9" s="78"/>
      <c r="J9" s="77">
        <v>300</v>
      </c>
      <c r="K9" s="77">
        <v>600</v>
      </c>
      <c r="L9" s="77"/>
      <c r="M9" s="77"/>
      <c r="N9" s="77">
        <v>300</v>
      </c>
      <c r="O9" s="112"/>
      <c r="P9" s="78"/>
      <c r="Q9" s="77">
        <v>600</v>
      </c>
      <c r="R9" s="115"/>
      <c r="S9" s="111"/>
      <c r="T9" s="113">
        <v>300</v>
      </c>
      <c r="U9" s="77">
        <v>600</v>
      </c>
      <c r="V9" s="78"/>
      <c r="W9" s="78"/>
      <c r="X9" s="77">
        <v>300</v>
      </c>
      <c r="Y9" s="111">
        <v>600</v>
      </c>
      <c r="Z9" s="115"/>
      <c r="AA9" s="77"/>
      <c r="AB9" s="113"/>
      <c r="AC9" s="78"/>
      <c r="AD9" s="78"/>
      <c r="AE9" s="77"/>
      <c r="AF9" s="77">
        <v>600</v>
      </c>
      <c r="AG9" s="117"/>
      <c r="AH9" s="80">
        <f t="shared" ref="AH9:AH33" si="0">SUM(C9:AF9)</f>
        <v>5100</v>
      </c>
    </row>
    <row r="10" spans="1:34" s="3" customFormat="1" ht="18" customHeight="1">
      <c r="A10" s="91" t="s">
        <v>97</v>
      </c>
      <c r="B10" s="102"/>
      <c r="C10" s="77"/>
      <c r="D10" s="77"/>
      <c r="E10" s="81"/>
      <c r="F10" s="79"/>
      <c r="G10" s="77"/>
      <c r="H10" s="78"/>
      <c r="I10" s="78"/>
      <c r="J10" s="77"/>
      <c r="K10" s="77"/>
      <c r="L10" s="77"/>
      <c r="M10" s="77"/>
      <c r="N10" s="77"/>
      <c r="O10" s="112"/>
      <c r="P10" s="78"/>
      <c r="Q10" s="77"/>
      <c r="R10" s="115"/>
      <c r="S10" s="111"/>
      <c r="T10" s="77"/>
      <c r="U10" s="77"/>
      <c r="V10" s="78"/>
      <c r="W10" s="78"/>
      <c r="X10" s="77"/>
      <c r="Y10" s="118"/>
      <c r="Z10" s="115"/>
      <c r="AA10" s="77"/>
      <c r="AB10" s="113"/>
      <c r="AC10" s="78"/>
      <c r="AD10" s="78"/>
      <c r="AE10" s="77"/>
      <c r="AF10" s="117"/>
      <c r="AG10" s="117"/>
      <c r="AH10" s="80">
        <f t="shared" si="0"/>
        <v>0</v>
      </c>
    </row>
    <row r="11" spans="1:34" s="3" customFormat="1" ht="18" customHeight="1">
      <c r="A11" s="91" t="s">
        <v>87</v>
      </c>
      <c r="B11" s="102"/>
      <c r="C11" s="77"/>
      <c r="D11" s="77"/>
      <c r="E11" s="78"/>
      <c r="F11" s="77"/>
      <c r="G11" s="77"/>
      <c r="H11" s="78"/>
      <c r="I11" s="78"/>
      <c r="J11" s="77"/>
      <c r="K11" s="77"/>
      <c r="L11" s="77"/>
      <c r="M11" s="77"/>
      <c r="N11" s="77"/>
      <c r="O11" s="112"/>
      <c r="P11" s="78"/>
      <c r="Q11" s="77"/>
      <c r="R11" s="119"/>
      <c r="S11" s="115"/>
      <c r="T11" s="77"/>
      <c r="U11" s="77"/>
      <c r="V11" s="78"/>
      <c r="W11" s="78"/>
      <c r="X11" s="77"/>
      <c r="Y11" s="111"/>
      <c r="Z11" s="77"/>
      <c r="AA11" s="77"/>
      <c r="AB11" s="113"/>
      <c r="AC11" s="78"/>
      <c r="AD11" s="78"/>
      <c r="AE11" s="77"/>
      <c r="AF11" s="79"/>
      <c r="AG11" s="79"/>
      <c r="AH11" s="80">
        <f t="shared" si="0"/>
        <v>0</v>
      </c>
    </row>
    <row r="12" spans="1:34" s="3" customFormat="1" ht="18" customHeight="1">
      <c r="A12" s="91" t="s">
        <v>117</v>
      </c>
      <c r="B12" s="102"/>
      <c r="C12" s="77"/>
      <c r="D12" s="77"/>
      <c r="E12" s="78"/>
      <c r="F12" s="77"/>
      <c r="G12" s="77"/>
      <c r="H12" s="78"/>
      <c r="I12" s="78"/>
      <c r="J12" s="77"/>
      <c r="K12" s="77"/>
      <c r="L12" s="77"/>
      <c r="M12" s="77"/>
      <c r="N12" s="77"/>
      <c r="O12" s="112"/>
      <c r="P12" s="78"/>
      <c r="Q12" s="77"/>
      <c r="R12" s="119"/>
      <c r="S12" s="113"/>
      <c r="T12" s="77"/>
      <c r="U12" s="77"/>
      <c r="V12" s="78"/>
      <c r="W12" s="78"/>
      <c r="X12" s="77"/>
      <c r="Y12" s="111"/>
      <c r="Z12" s="77"/>
      <c r="AA12" s="77"/>
      <c r="AB12" s="113"/>
      <c r="AC12" s="78"/>
      <c r="AD12" s="78"/>
      <c r="AE12" s="77"/>
      <c r="AF12" s="79"/>
      <c r="AG12" s="79"/>
      <c r="AH12" s="80">
        <f t="shared" si="0"/>
        <v>0</v>
      </c>
    </row>
    <row r="13" spans="1:34" s="3" customFormat="1" ht="18" customHeight="1">
      <c r="A13" s="91" t="s">
        <v>110</v>
      </c>
      <c r="B13" s="102"/>
      <c r="C13" s="77"/>
      <c r="D13" s="77"/>
      <c r="E13" s="78"/>
      <c r="F13" s="77"/>
      <c r="G13" s="77"/>
      <c r="H13" s="78"/>
      <c r="I13" s="78"/>
      <c r="J13" s="77"/>
      <c r="K13" s="77"/>
      <c r="L13" s="77"/>
      <c r="M13" s="77"/>
      <c r="N13" s="77"/>
      <c r="O13" s="112"/>
      <c r="P13" s="78"/>
      <c r="Q13" s="77"/>
      <c r="R13" s="119"/>
      <c r="S13" s="113"/>
      <c r="T13" s="77"/>
      <c r="U13" s="77"/>
      <c r="V13" s="78"/>
      <c r="W13" s="78"/>
      <c r="X13" s="77"/>
      <c r="Y13" s="111"/>
      <c r="Z13" s="77"/>
      <c r="AA13" s="77"/>
      <c r="AB13" s="113"/>
      <c r="AC13" s="78"/>
      <c r="AD13" s="78"/>
      <c r="AE13" s="77"/>
      <c r="AF13" s="79"/>
      <c r="AG13" s="79"/>
      <c r="AH13" s="80">
        <f t="shared" si="0"/>
        <v>0</v>
      </c>
    </row>
    <row r="14" spans="1:34" s="3" customFormat="1" ht="18" customHeight="1">
      <c r="A14" s="91" t="s">
        <v>99</v>
      </c>
      <c r="B14" s="102"/>
      <c r="C14" s="77"/>
      <c r="D14" s="77"/>
      <c r="E14" s="81"/>
      <c r="F14" s="79"/>
      <c r="G14" s="77"/>
      <c r="H14" s="78"/>
      <c r="I14" s="78"/>
      <c r="J14" s="77"/>
      <c r="K14" s="77"/>
      <c r="L14" s="77"/>
      <c r="M14" s="77"/>
      <c r="N14" s="77"/>
      <c r="O14" s="112"/>
      <c r="P14" s="78"/>
      <c r="Q14" s="77"/>
      <c r="R14" s="119"/>
      <c r="S14" s="113"/>
      <c r="T14" s="77"/>
      <c r="U14" s="77"/>
      <c r="V14" s="78"/>
      <c r="W14" s="78"/>
      <c r="X14" s="77"/>
      <c r="Y14" s="113"/>
      <c r="Z14" s="77"/>
      <c r="AA14" s="77"/>
      <c r="AB14" s="113"/>
      <c r="AC14" s="78"/>
      <c r="AD14" s="78"/>
      <c r="AE14" s="77"/>
      <c r="AF14" s="79"/>
      <c r="AG14" s="79"/>
      <c r="AH14" s="80">
        <f t="shared" si="0"/>
        <v>0</v>
      </c>
    </row>
    <row r="15" spans="1:34" s="3" customFormat="1" ht="18" customHeight="1">
      <c r="A15" s="91" t="s">
        <v>22</v>
      </c>
      <c r="B15" s="109">
        <v>1000</v>
      </c>
      <c r="C15" s="113">
        <v>680</v>
      </c>
      <c r="D15" s="77">
        <v>960</v>
      </c>
      <c r="E15" s="81"/>
      <c r="F15" s="79"/>
      <c r="G15" s="77">
        <v>240</v>
      </c>
      <c r="H15" s="78"/>
      <c r="I15" s="78"/>
      <c r="J15" s="77">
        <v>720</v>
      </c>
      <c r="K15" s="77">
        <v>480</v>
      </c>
      <c r="L15" s="77">
        <v>960</v>
      </c>
      <c r="M15" s="77">
        <v>720</v>
      </c>
      <c r="N15" s="77">
        <v>720</v>
      </c>
      <c r="O15" s="112"/>
      <c r="P15" s="78"/>
      <c r="Q15" s="77">
        <v>480</v>
      </c>
      <c r="R15" s="115">
        <v>1200</v>
      </c>
      <c r="S15" s="120">
        <v>480</v>
      </c>
      <c r="T15" s="77">
        <v>720</v>
      </c>
      <c r="U15" s="77">
        <v>480</v>
      </c>
      <c r="V15" s="78"/>
      <c r="W15" s="78"/>
      <c r="X15" s="77">
        <v>720</v>
      </c>
      <c r="Y15" s="111">
        <v>480</v>
      </c>
      <c r="Z15" s="115">
        <v>960</v>
      </c>
      <c r="AA15" s="79">
        <v>960</v>
      </c>
      <c r="AB15" s="79">
        <v>960</v>
      </c>
      <c r="AC15" s="78"/>
      <c r="AD15" s="124"/>
      <c r="AE15" s="77">
        <v>720</v>
      </c>
      <c r="AF15" s="117">
        <v>480</v>
      </c>
      <c r="AG15" s="117"/>
      <c r="AH15" s="80">
        <f t="shared" si="0"/>
        <v>14120</v>
      </c>
    </row>
    <row r="16" spans="1:34" s="3" customFormat="1" ht="18" customHeight="1">
      <c r="A16" s="91" t="s">
        <v>112</v>
      </c>
      <c r="B16" s="109"/>
      <c r="C16" s="77"/>
      <c r="D16" s="77"/>
      <c r="E16" s="81"/>
      <c r="F16" s="79"/>
      <c r="G16" s="77"/>
      <c r="H16" s="78"/>
      <c r="I16" s="78"/>
      <c r="J16" s="77"/>
      <c r="K16" s="77"/>
      <c r="L16" s="77"/>
      <c r="M16" s="77"/>
      <c r="N16" s="77"/>
      <c r="O16" s="78"/>
      <c r="P16" s="78"/>
      <c r="Q16" s="77"/>
      <c r="R16" s="119"/>
      <c r="S16" s="120"/>
      <c r="T16" s="113"/>
      <c r="U16" s="113"/>
      <c r="V16" s="112"/>
      <c r="W16" s="124"/>
      <c r="X16" s="125"/>
      <c r="Y16" s="111"/>
      <c r="Z16" s="115"/>
      <c r="AA16" s="77"/>
      <c r="AB16" s="77"/>
      <c r="AC16" s="78"/>
      <c r="AD16" s="78"/>
      <c r="AE16" s="77"/>
      <c r="AF16" s="117"/>
      <c r="AG16" s="117"/>
      <c r="AH16" s="80">
        <f t="shared" si="0"/>
        <v>0</v>
      </c>
    </row>
    <row r="17" spans="1:34" s="3" customFormat="1" ht="18" customHeight="1">
      <c r="A17" s="91" t="s">
        <v>93</v>
      </c>
      <c r="B17" s="109"/>
      <c r="C17" s="77"/>
      <c r="D17" s="77"/>
      <c r="E17" s="81"/>
      <c r="F17" s="79"/>
      <c r="G17" s="77"/>
      <c r="H17" s="78"/>
      <c r="I17" s="78"/>
      <c r="J17" s="77"/>
      <c r="K17" s="77"/>
      <c r="L17" s="77"/>
      <c r="M17" s="77"/>
      <c r="N17" s="77"/>
      <c r="O17" s="78"/>
      <c r="P17" s="78"/>
      <c r="Q17" s="77"/>
      <c r="R17" s="119"/>
      <c r="S17" s="120"/>
      <c r="T17" s="113"/>
      <c r="U17" s="113"/>
      <c r="V17" s="112"/>
      <c r="W17" s="124"/>
      <c r="X17" s="125"/>
      <c r="Y17" s="118"/>
      <c r="Z17" s="115"/>
      <c r="AA17" s="77"/>
      <c r="AB17" s="77"/>
      <c r="AC17" s="78"/>
      <c r="AD17" s="78"/>
      <c r="AE17" s="77"/>
      <c r="AF17" s="117"/>
      <c r="AG17" s="117"/>
      <c r="AH17" s="80">
        <f t="shared" si="0"/>
        <v>0</v>
      </c>
    </row>
    <row r="18" spans="1:34" s="3" customFormat="1" ht="18" customHeight="1">
      <c r="A18" s="91" t="s">
        <v>42</v>
      </c>
      <c r="B18" s="109"/>
      <c r="C18" s="77"/>
      <c r="D18" s="77"/>
      <c r="E18" s="81"/>
      <c r="F18" s="79"/>
      <c r="G18" s="77"/>
      <c r="H18" s="78"/>
      <c r="I18" s="78"/>
      <c r="J18" s="77"/>
      <c r="K18" s="77"/>
      <c r="L18" s="77"/>
      <c r="M18" s="77"/>
      <c r="N18" s="77"/>
      <c r="O18" s="78"/>
      <c r="P18" s="78"/>
      <c r="Q18" s="77"/>
      <c r="R18" s="115"/>
      <c r="S18" s="120"/>
      <c r="T18" s="113"/>
      <c r="U18" s="113"/>
      <c r="V18" s="112"/>
      <c r="W18" s="124"/>
      <c r="X18" s="125"/>
      <c r="Y18" s="118"/>
      <c r="Z18" s="115"/>
      <c r="AA18" s="77"/>
      <c r="AB18" s="77"/>
      <c r="AC18" s="78"/>
      <c r="AD18" s="78"/>
      <c r="AE18" s="77"/>
      <c r="AF18" s="117"/>
      <c r="AG18" s="117"/>
      <c r="AH18" s="80">
        <f t="shared" si="0"/>
        <v>0</v>
      </c>
    </row>
    <row r="19" spans="1:34" s="3" customFormat="1" ht="18" customHeight="1">
      <c r="A19" s="94" t="s">
        <v>16</v>
      </c>
      <c r="B19" s="109"/>
      <c r="C19" s="77"/>
      <c r="D19" s="77"/>
      <c r="E19" s="81"/>
      <c r="F19" s="77">
        <v>960</v>
      </c>
      <c r="G19" s="77"/>
      <c r="H19" s="78"/>
      <c r="I19" s="78"/>
      <c r="J19" s="77"/>
      <c r="K19" s="77"/>
      <c r="L19" s="77"/>
      <c r="M19" s="77"/>
      <c r="N19" s="77"/>
      <c r="O19" s="78"/>
      <c r="P19" s="78"/>
      <c r="Q19" s="77"/>
      <c r="R19" s="115"/>
      <c r="S19" s="120"/>
      <c r="T19" s="113"/>
      <c r="U19" s="113"/>
      <c r="V19" s="112"/>
      <c r="W19" s="124"/>
      <c r="X19" s="125"/>
      <c r="Y19" s="79"/>
      <c r="Z19" s="115"/>
      <c r="AA19" s="77"/>
      <c r="AB19" s="77"/>
      <c r="AC19" s="78"/>
      <c r="AD19" s="78"/>
      <c r="AE19" s="77"/>
      <c r="AF19" s="117"/>
      <c r="AG19" s="117"/>
      <c r="AH19" s="80">
        <f t="shared" si="0"/>
        <v>960</v>
      </c>
    </row>
    <row r="20" spans="1:34" s="3" customFormat="1" ht="18" customHeight="1">
      <c r="A20" s="95" t="s">
        <v>17</v>
      </c>
      <c r="B20" s="109"/>
      <c r="C20" s="77"/>
      <c r="D20" s="77"/>
      <c r="E20" s="81"/>
      <c r="F20" s="111"/>
      <c r="G20" s="77"/>
      <c r="H20" s="78"/>
      <c r="I20" s="78"/>
      <c r="J20" s="77"/>
      <c r="K20" s="77"/>
      <c r="L20" s="77"/>
      <c r="M20" s="77">
        <v>300</v>
      </c>
      <c r="N20" s="77"/>
      <c r="O20" s="112"/>
      <c r="P20" s="78"/>
      <c r="Q20" s="77"/>
      <c r="R20" s="77"/>
      <c r="S20" s="77">
        <v>480</v>
      </c>
      <c r="T20" s="77"/>
      <c r="U20" s="77"/>
      <c r="V20" s="112"/>
      <c r="W20" s="124"/>
      <c r="X20" s="125"/>
      <c r="Y20" s="77"/>
      <c r="Z20" s="115"/>
      <c r="AA20" s="77"/>
      <c r="AB20" s="77"/>
      <c r="AC20" s="78"/>
      <c r="AD20" s="78"/>
      <c r="AE20" s="77">
        <v>480</v>
      </c>
      <c r="AF20" s="77"/>
      <c r="AG20" s="77"/>
      <c r="AH20" s="80">
        <f t="shared" si="0"/>
        <v>1260</v>
      </c>
    </row>
    <row r="21" spans="1:34" s="3" customFormat="1" ht="18" customHeight="1">
      <c r="A21" s="96" t="s">
        <v>1</v>
      </c>
      <c r="B21" s="97">
        <v>1000</v>
      </c>
      <c r="C21" s="82">
        <f>SUM(C9:C18)</f>
        <v>680</v>
      </c>
      <c r="D21" s="82">
        <f>SUM(D9:D18)</f>
        <v>960</v>
      </c>
      <c r="E21" s="78"/>
      <c r="F21" s="82">
        <f>SUM(F9:F18)</f>
        <v>0</v>
      </c>
      <c r="G21" s="82">
        <f>SUM(G9:G18)</f>
        <v>1140</v>
      </c>
      <c r="H21" s="78"/>
      <c r="I21" s="78"/>
      <c r="J21" s="82">
        <f>SUM(J9:J18)</f>
        <v>1020</v>
      </c>
      <c r="K21" s="82">
        <f t="shared" ref="K21:N21" si="1">SUM(K9:K18)</f>
        <v>1080</v>
      </c>
      <c r="L21" s="82">
        <f t="shared" si="1"/>
        <v>960</v>
      </c>
      <c r="M21" s="82">
        <f t="shared" si="1"/>
        <v>720</v>
      </c>
      <c r="N21" s="82">
        <f t="shared" si="1"/>
        <v>1020</v>
      </c>
      <c r="O21" s="78"/>
      <c r="P21" s="78"/>
      <c r="Q21" s="82">
        <f t="shared" ref="Q21:U21" si="2">SUM(Q9:Q18)</f>
        <v>1080</v>
      </c>
      <c r="R21" s="82">
        <f t="shared" si="2"/>
        <v>1200</v>
      </c>
      <c r="S21" s="82">
        <f t="shared" si="2"/>
        <v>480</v>
      </c>
      <c r="T21" s="82">
        <f t="shared" si="2"/>
        <v>1020</v>
      </c>
      <c r="U21" s="82">
        <f t="shared" si="2"/>
        <v>1080</v>
      </c>
      <c r="V21" s="78"/>
      <c r="W21" s="78"/>
      <c r="X21" s="82">
        <f t="shared" ref="X21:AB21" si="3">SUM(X9:X18)</f>
        <v>1020</v>
      </c>
      <c r="Y21" s="82">
        <f t="shared" si="3"/>
        <v>1080</v>
      </c>
      <c r="Z21" s="82">
        <f t="shared" si="3"/>
        <v>960</v>
      </c>
      <c r="AA21" s="82">
        <f t="shared" si="3"/>
        <v>960</v>
      </c>
      <c r="AB21" s="82">
        <f t="shared" si="3"/>
        <v>960</v>
      </c>
      <c r="AC21" s="78"/>
      <c r="AD21" s="78"/>
      <c r="AE21" s="82">
        <f t="shared" ref="AE21:AF21" si="4">SUM(AE9:AE18)</f>
        <v>720</v>
      </c>
      <c r="AF21" s="82">
        <f t="shared" si="4"/>
        <v>1080</v>
      </c>
      <c r="AG21" s="82"/>
      <c r="AH21" s="84">
        <f t="shared" si="0"/>
        <v>19220</v>
      </c>
    </row>
    <row r="22" spans="1:34" s="3" customFormat="1" ht="18" customHeight="1">
      <c r="A22" s="98" t="s">
        <v>18</v>
      </c>
      <c r="B22" s="97"/>
      <c r="C22" s="82">
        <f>C19</f>
        <v>0</v>
      </c>
      <c r="D22" s="82">
        <f>D19</f>
        <v>0</v>
      </c>
      <c r="E22" s="78"/>
      <c r="F22" s="82">
        <f>F19</f>
        <v>960</v>
      </c>
      <c r="G22" s="82">
        <f>G19</f>
        <v>0</v>
      </c>
      <c r="H22" s="78"/>
      <c r="I22" s="78"/>
      <c r="J22" s="82">
        <f>J19</f>
        <v>0</v>
      </c>
      <c r="K22" s="82">
        <f t="shared" ref="K22:N22" si="5">K19</f>
        <v>0</v>
      </c>
      <c r="L22" s="82">
        <f t="shared" si="5"/>
        <v>0</v>
      </c>
      <c r="M22" s="82">
        <f t="shared" si="5"/>
        <v>0</v>
      </c>
      <c r="N22" s="82">
        <f t="shared" si="5"/>
        <v>0</v>
      </c>
      <c r="O22" s="78"/>
      <c r="P22" s="78"/>
      <c r="Q22" s="82">
        <f t="shared" ref="Q22:U22" si="6">Q19</f>
        <v>0</v>
      </c>
      <c r="R22" s="82">
        <f t="shared" si="6"/>
        <v>0</v>
      </c>
      <c r="S22" s="82">
        <f t="shared" si="6"/>
        <v>0</v>
      </c>
      <c r="T22" s="82">
        <f t="shared" si="6"/>
        <v>0</v>
      </c>
      <c r="U22" s="82">
        <f t="shared" si="6"/>
        <v>0</v>
      </c>
      <c r="V22" s="78"/>
      <c r="W22" s="78"/>
      <c r="X22" s="82">
        <f t="shared" ref="X22:AB22" si="7">X19</f>
        <v>0</v>
      </c>
      <c r="Y22" s="82">
        <f t="shared" si="7"/>
        <v>0</v>
      </c>
      <c r="Z22" s="82">
        <f t="shared" si="7"/>
        <v>0</v>
      </c>
      <c r="AA22" s="82">
        <f t="shared" si="7"/>
        <v>0</v>
      </c>
      <c r="AB22" s="82">
        <f t="shared" si="7"/>
        <v>0</v>
      </c>
      <c r="AC22" s="78"/>
      <c r="AD22" s="78"/>
      <c r="AE22" s="82">
        <f t="shared" ref="AE22:AF22" si="8">AE19</f>
        <v>0</v>
      </c>
      <c r="AF22" s="82">
        <f t="shared" si="8"/>
        <v>0</v>
      </c>
      <c r="AG22" s="82"/>
      <c r="AH22" s="84">
        <f t="shared" si="0"/>
        <v>960</v>
      </c>
    </row>
    <row r="23" spans="1:34" s="3" customFormat="1" ht="18" customHeight="1">
      <c r="A23" s="99" t="s">
        <v>19</v>
      </c>
      <c r="B23" s="97"/>
      <c r="C23" s="82">
        <f>C20</f>
        <v>0</v>
      </c>
      <c r="D23" s="82">
        <f>D20</f>
        <v>0</v>
      </c>
      <c r="E23" s="78"/>
      <c r="F23" s="82">
        <f>F20</f>
        <v>0</v>
      </c>
      <c r="G23" s="82">
        <f>G20</f>
        <v>0</v>
      </c>
      <c r="H23" s="78"/>
      <c r="I23" s="78"/>
      <c r="J23" s="82">
        <f>J20</f>
        <v>0</v>
      </c>
      <c r="K23" s="82">
        <f t="shared" ref="K23:N23" si="9">K20</f>
        <v>0</v>
      </c>
      <c r="L23" s="82">
        <f t="shared" si="9"/>
        <v>0</v>
      </c>
      <c r="M23" s="82">
        <f t="shared" si="9"/>
        <v>300</v>
      </c>
      <c r="N23" s="82">
        <f t="shared" si="9"/>
        <v>0</v>
      </c>
      <c r="O23" s="78"/>
      <c r="P23" s="78"/>
      <c r="Q23" s="82">
        <f t="shared" ref="Q23:U23" si="10">Q20</f>
        <v>0</v>
      </c>
      <c r="R23" s="82">
        <f t="shared" si="10"/>
        <v>0</v>
      </c>
      <c r="S23" s="82">
        <f t="shared" si="10"/>
        <v>480</v>
      </c>
      <c r="T23" s="82">
        <f t="shared" si="10"/>
        <v>0</v>
      </c>
      <c r="U23" s="82">
        <f t="shared" si="10"/>
        <v>0</v>
      </c>
      <c r="V23" s="78"/>
      <c r="W23" s="78"/>
      <c r="X23" s="82">
        <f t="shared" ref="X23:AB23" si="11">X20</f>
        <v>0</v>
      </c>
      <c r="Y23" s="82">
        <f t="shared" si="11"/>
        <v>0</v>
      </c>
      <c r="Z23" s="82">
        <f t="shared" si="11"/>
        <v>0</v>
      </c>
      <c r="AA23" s="82">
        <f t="shared" si="11"/>
        <v>0</v>
      </c>
      <c r="AB23" s="82">
        <f t="shared" si="11"/>
        <v>0</v>
      </c>
      <c r="AC23" s="78"/>
      <c r="AD23" s="78"/>
      <c r="AE23" s="82">
        <f t="shared" ref="AE23:AF23" si="12">AE20</f>
        <v>480</v>
      </c>
      <c r="AF23" s="82">
        <f t="shared" si="12"/>
        <v>0</v>
      </c>
      <c r="AG23" s="82"/>
      <c r="AH23" s="84">
        <f t="shared" si="0"/>
        <v>1260</v>
      </c>
    </row>
    <row r="24" spans="1:34" s="3" customFormat="1" ht="18" customHeight="1">
      <c r="A24" s="96" t="s">
        <v>2</v>
      </c>
      <c r="B24" s="97">
        <v>4000</v>
      </c>
      <c r="C24" s="82">
        <f>SUM(C21:C23)*4</f>
        <v>2720</v>
      </c>
      <c r="D24" s="82">
        <f>SUM(D21:D23)*4</f>
        <v>3840</v>
      </c>
      <c r="E24" s="78"/>
      <c r="F24" s="82">
        <f>SUM(F21:F23)*4</f>
        <v>3840</v>
      </c>
      <c r="G24" s="82">
        <f>SUM(G21:G23)*4</f>
        <v>4560</v>
      </c>
      <c r="H24" s="78"/>
      <c r="I24" s="78"/>
      <c r="J24" s="82">
        <f>SUM(J21:J23)*4</f>
        <v>4080</v>
      </c>
      <c r="K24" s="82">
        <f t="shared" ref="K24:N24" si="13">SUM(K21:K23)*4</f>
        <v>4320</v>
      </c>
      <c r="L24" s="82">
        <f t="shared" si="13"/>
        <v>3840</v>
      </c>
      <c r="M24" s="82">
        <f t="shared" si="13"/>
        <v>4080</v>
      </c>
      <c r="N24" s="82">
        <f t="shared" si="13"/>
        <v>4080</v>
      </c>
      <c r="O24" s="78"/>
      <c r="P24" s="78"/>
      <c r="Q24" s="82">
        <f t="shared" ref="Q24" si="14">SUM(Q21:Q23)*4</f>
        <v>4320</v>
      </c>
      <c r="R24" s="82">
        <f t="shared" ref="R24" si="15">SUM(R21:R23)*4</f>
        <v>4800</v>
      </c>
      <c r="S24" s="82">
        <f t="shared" ref="S24" si="16">SUM(S21:S23)*4</f>
        <v>3840</v>
      </c>
      <c r="T24" s="82">
        <f t="shared" ref="T24" si="17">SUM(T21:T23)*4</f>
        <v>4080</v>
      </c>
      <c r="U24" s="82">
        <f t="shared" ref="U24" si="18">SUM(U21:U23)*4</f>
        <v>4320</v>
      </c>
      <c r="V24" s="78"/>
      <c r="W24" s="78"/>
      <c r="X24" s="82">
        <f t="shared" ref="X24" si="19">SUM(X21:X23)*4</f>
        <v>4080</v>
      </c>
      <c r="Y24" s="82">
        <f t="shared" ref="Y24" si="20">SUM(Y21:Y23)*4</f>
        <v>4320</v>
      </c>
      <c r="Z24" s="82">
        <f t="shared" ref="Z24" si="21">SUM(Z21:Z23)*4</f>
        <v>3840</v>
      </c>
      <c r="AA24" s="82">
        <f t="shared" ref="AA24" si="22">SUM(AA21:AA23)*4</f>
        <v>3840</v>
      </c>
      <c r="AB24" s="82">
        <f t="shared" ref="AB24" si="23">SUM(AB21:AB23)*4</f>
        <v>3840</v>
      </c>
      <c r="AC24" s="78"/>
      <c r="AD24" s="78"/>
      <c r="AE24" s="82">
        <f t="shared" ref="AE24:AF24" si="24">SUM(AE21:AE23)*4</f>
        <v>4800</v>
      </c>
      <c r="AF24" s="82">
        <f t="shared" si="24"/>
        <v>4320</v>
      </c>
      <c r="AG24" s="82"/>
      <c r="AH24" s="84">
        <f t="shared" si="0"/>
        <v>85760</v>
      </c>
    </row>
    <row r="25" spans="1:34" s="3" customFormat="1" ht="18" customHeight="1">
      <c r="A25" s="96" t="s">
        <v>3</v>
      </c>
      <c r="B25" s="97"/>
      <c r="C25" s="82"/>
      <c r="D25" s="82"/>
      <c r="E25" s="78"/>
      <c r="F25" s="82"/>
      <c r="G25" s="82"/>
      <c r="H25" s="78"/>
      <c r="I25" s="78"/>
      <c r="J25" s="82"/>
      <c r="K25" s="82"/>
      <c r="L25" s="82"/>
      <c r="M25" s="82"/>
      <c r="N25" s="82"/>
      <c r="O25" s="78"/>
      <c r="P25" s="78"/>
      <c r="Q25" s="82"/>
      <c r="R25" s="121"/>
      <c r="S25" s="82"/>
      <c r="T25" s="82"/>
      <c r="U25" s="82"/>
      <c r="V25" s="78"/>
      <c r="W25" s="78"/>
      <c r="X25" s="82"/>
      <c r="Y25" s="83"/>
      <c r="Z25" s="82"/>
      <c r="AA25" s="82"/>
      <c r="AB25" s="83"/>
      <c r="AC25" s="78"/>
      <c r="AD25" s="78"/>
      <c r="AE25" s="82"/>
      <c r="AF25" s="82"/>
      <c r="AG25" s="82"/>
      <c r="AH25" s="84">
        <f t="shared" si="0"/>
        <v>0</v>
      </c>
    </row>
    <row r="26" spans="1:34" s="3" customFormat="1" ht="18" customHeight="1">
      <c r="A26" s="96" t="s">
        <v>20</v>
      </c>
      <c r="B26" s="97"/>
      <c r="C26" s="82"/>
      <c r="D26" s="82"/>
      <c r="E26" s="78"/>
      <c r="F26" s="82"/>
      <c r="G26" s="82"/>
      <c r="H26" s="78"/>
      <c r="I26" s="78"/>
      <c r="J26" s="82"/>
      <c r="K26" s="82"/>
      <c r="L26" s="82"/>
      <c r="M26" s="82"/>
      <c r="N26" s="82"/>
      <c r="O26" s="78"/>
      <c r="P26" s="78"/>
      <c r="Q26" s="82"/>
      <c r="R26" s="121"/>
      <c r="S26" s="82"/>
      <c r="T26" s="82"/>
      <c r="U26" s="82"/>
      <c r="V26" s="78"/>
      <c r="W26" s="78"/>
      <c r="X26" s="82"/>
      <c r="Y26" s="83"/>
      <c r="Z26" s="82"/>
      <c r="AA26" s="82"/>
      <c r="AB26" s="82"/>
      <c r="AC26" s="78"/>
      <c r="AD26" s="78"/>
      <c r="AE26" s="82"/>
      <c r="AF26" s="82"/>
      <c r="AG26" s="82"/>
      <c r="AH26" s="84">
        <f t="shared" si="0"/>
        <v>0</v>
      </c>
    </row>
    <row r="27" spans="1:34" s="3" customFormat="1" ht="18" customHeight="1">
      <c r="A27" s="100"/>
      <c r="B27" s="110"/>
      <c r="C27" s="77"/>
      <c r="D27" s="77"/>
      <c r="E27" s="78"/>
      <c r="F27" s="77"/>
      <c r="G27" s="77"/>
      <c r="H27" s="78"/>
      <c r="I27" s="78"/>
      <c r="J27" s="77"/>
      <c r="K27" s="77"/>
      <c r="L27" s="77"/>
      <c r="M27" s="77"/>
      <c r="N27" s="77"/>
      <c r="O27" s="78"/>
      <c r="P27" s="78"/>
      <c r="Q27" s="77"/>
      <c r="R27" s="115"/>
      <c r="S27" s="77"/>
      <c r="T27" s="77"/>
      <c r="U27" s="77"/>
      <c r="V27" s="78"/>
      <c r="W27" s="78"/>
      <c r="X27" s="77"/>
      <c r="Y27" s="123"/>
      <c r="Z27" s="77"/>
      <c r="AA27" s="77"/>
      <c r="AB27" s="77"/>
      <c r="AC27" s="78"/>
      <c r="AD27" s="78"/>
      <c r="AE27" s="77"/>
      <c r="AF27" s="77"/>
      <c r="AG27" s="77"/>
      <c r="AH27" s="80">
        <f t="shared" si="0"/>
        <v>0</v>
      </c>
    </row>
    <row r="28" spans="1:34" s="3" customFormat="1" ht="18" customHeight="1">
      <c r="A28" s="91"/>
      <c r="B28" s="109"/>
      <c r="C28" s="77"/>
      <c r="D28" s="77"/>
      <c r="E28" s="78"/>
      <c r="F28" s="77"/>
      <c r="G28" s="77"/>
      <c r="H28" s="78"/>
      <c r="I28" s="78"/>
      <c r="J28" s="77"/>
      <c r="K28" s="77"/>
      <c r="L28" s="77"/>
      <c r="M28" s="77"/>
      <c r="N28" s="77"/>
      <c r="O28" s="78"/>
      <c r="P28" s="78"/>
      <c r="Q28" s="77"/>
      <c r="R28" s="115"/>
      <c r="S28" s="77"/>
      <c r="T28" s="77"/>
      <c r="U28" s="77"/>
      <c r="V28" s="78"/>
      <c r="W28" s="78"/>
      <c r="X28" s="77"/>
      <c r="Y28" s="123"/>
      <c r="Z28" s="77"/>
      <c r="AA28" s="77"/>
      <c r="AB28" s="77"/>
      <c r="AC28" s="78"/>
      <c r="AD28" s="78"/>
      <c r="AE28" s="77"/>
      <c r="AF28" s="77"/>
      <c r="AG28" s="77"/>
      <c r="AH28" s="80">
        <f t="shared" si="0"/>
        <v>0</v>
      </c>
    </row>
    <row r="29" spans="1:34" s="3" customFormat="1" ht="18" customHeight="1">
      <c r="A29" s="91"/>
      <c r="B29" s="109"/>
      <c r="C29" s="77"/>
      <c r="D29" s="77"/>
      <c r="E29" s="78"/>
      <c r="F29" s="77"/>
      <c r="G29" s="77"/>
      <c r="H29" s="78"/>
      <c r="I29" s="78"/>
      <c r="J29" s="77"/>
      <c r="K29" s="77"/>
      <c r="L29" s="77"/>
      <c r="M29" s="77"/>
      <c r="N29" s="77"/>
      <c r="O29" s="78"/>
      <c r="P29" s="78"/>
      <c r="Q29" s="77"/>
      <c r="R29" s="115"/>
      <c r="S29" s="77"/>
      <c r="T29" s="77"/>
      <c r="U29" s="77"/>
      <c r="V29" s="78"/>
      <c r="W29" s="78"/>
      <c r="X29" s="77"/>
      <c r="Y29" s="123"/>
      <c r="Z29" s="77"/>
      <c r="AA29" s="77"/>
      <c r="AB29" s="77"/>
      <c r="AC29" s="78"/>
      <c r="AD29" s="78"/>
      <c r="AE29" s="77"/>
      <c r="AF29" s="77"/>
      <c r="AG29" s="77"/>
      <c r="AH29" s="80">
        <f t="shared" si="0"/>
        <v>0</v>
      </c>
    </row>
    <row r="30" spans="1:34" s="3" customFormat="1" ht="18" customHeight="1">
      <c r="A30" s="96" t="s">
        <v>57</v>
      </c>
      <c r="B30" s="97">
        <v>863</v>
      </c>
      <c r="C30" s="82"/>
      <c r="D30" s="82">
        <v>2150</v>
      </c>
      <c r="E30" s="78"/>
      <c r="F30" s="82"/>
      <c r="G30" s="82">
        <v>2450</v>
      </c>
      <c r="H30" s="78"/>
      <c r="I30" s="78"/>
      <c r="J30" s="82"/>
      <c r="K30" s="82">
        <v>1250</v>
      </c>
      <c r="L30" s="82"/>
      <c r="M30" s="82">
        <v>1450</v>
      </c>
      <c r="N30" s="82"/>
      <c r="O30" s="78"/>
      <c r="P30" s="78"/>
      <c r="Q30" s="82">
        <v>1450</v>
      </c>
      <c r="R30" s="121">
        <v>1200</v>
      </c>
      <c r="S30" s="82">
        <v>1200</v>
      </c>
      <c r="T30" s="82"/>
      <c r="U30" s="82">
        <v>1700</v>
      </c>
      <c r="V30" s="78"/>
      <c r="W30" s="78"/>
      <c r="X30" s="82">
        <v>1600</v>
      </c>
      <c r="Y30" s="82"/>
      <c r="Z30" s="82">
        <v>1350</v>
      </c>
      <c r="AA30" s="82"/>
      <c r="AB30" s="82">
        <v>1400</v>
      </c>
      <c r="AC30" s="78"/>
      <c r="AD30" s="78"/>
      <c r="AE30" s="82">
        <v>1350</v>
      </c>
      <c r="AF30" s="82">
        <v>1350</v>
      </c>
      <c r="AG30" s="82"/>
      <c r="AH30" s="84">
        <f t="shared" si="0"/>
        <v>19900</v>
      </c>
    </row>
    <row r="31" spans="1:34" s="3" customFormat="1" ht="18" customHeight="1">
      <c r="A31" s="96" t="s">
        <v>58</v>
      </c>
      <c r="B31" s="97">
        <v>473</v>
      </c>
      <c r="C31" s="82"/>
      <c r="D31" s="82"/>
      <c r="E31" s="78"/>
      <c r="F31" s="82">
        <v>500</v>
      </c>
      <c r="G31" s="82"/>
      <c r="H31" s="78"/>
      <c r="I31" s="78"/>
      <c r="J31" s="82"/>
      <c r="K31" s="82"/>
      <c r="L31" s="82"/>
      <c r="M31" s="82"/>
      <c r="N31" s="82"/>
      <c r="O31" s="78"/>
      <c r="P31" s="78"/>
      <c r="Q31" s="82"/>
      <c r="R31" s="121"/>
      <c r="S31" s="82"/>
      <c r="T31" s="82"/>
      <c r="U31" s="82"/>
      <c r="V31" s="78"/>
      <c r="W31" s="78"/>
      <c r="X31" s="82"/>
      <c r="Y31" s="122"/>
      <c r="Z31" s="82"/>
      <c r="AA31" s="82"/>
      <c r="AB31" s="82"/>
      <c r="AC31" s="78"/>
      <c r="AD31" s="78"/>
      <c r="AE31" s="82"/>
      <c r="AF31" s="82"/>
      <c r="AG31" s="82"/>
      <c r="AH31" s="84">
        <f t="shared" si="0"/>
        <v>500</v>
      </c>
    </row>
    <row r="32" spans="1:34" s="3" customFormat="1" ht="18" customHeight="1">
      <c r="A32" s="96" t="s">
        <v>59</v>
      </c>
      <c r="B32" s="97">
        <v>300</v>
      </c>
      <c r="C32" s="82"/>
      <c r="D32" s="82"/>
      <c r="E32" s="78"/>
      <c r="F32" s="82"/>
      <c r="G32" s="82"/>
      <c r="H32" s="78"/>
      <c r="I32" s="78"/>
      <c r="J32" s="82"/>
      <c r="K32" s="82"/>
      <c r="L32" s="82"/>
      <c r="M32" s="82"/>
      <c r="N32" s="82"/>
      <c r="O32" s="78"/>
      <c r="P32" s="78"/>
      <c r="Q32" s="82"/>
      <c r="R32" s="121">
        <v>450</v>
      </c>
      <c r="S32" s="82">
        <v>520</v>
      </c>
      <c r="T32" s="82"/>
      <c r="U32" s="82"/>
      <c r="V32" s="78"/>
      <c r="W32" s="78"/>
      <c r="X32" s="82"/>
      <c r="Y32" s="122"/>
      <c r="Z32" s="82"/>
      <c r="AA32" s="82"/>
      <c r="AB32" s="82"/>
      <c r="AC32" s="78"/>
      <c r="AD32" s="78"/>
      <c r="AE32" s="82"/>
      <c r="AF32" s="82"/>
      <c r="AG32" s="82"/>
      <c r="AH32" s="84">
        <f t="shared" si="0"/>
        <v>970</v>
      </c>
    </row>
    <row r="33" spans="1:34" s="3" customFormat="1" ht="18" customHeight="1">
      <c r="A33" s="96" t="s">
        <v>91</v>
      </c>
      <c r="B33" s="97"/>
      <c r="C33" s="82"/>
      <c r="D33" s="82">
        <v>54</v>
      </c>
      <c r="E33" s="78"/>
      <c r="F33" s="82">
        <v>16</v>
      </c>
      <c r="G33" s="82">
        <v>63</v>
      </c>
      <c r="H33" s="78"/>
      <c r="I33" s="78"/>
      <c r="J33" s="82"/>
      <c r="K33" s="82">
        <v>32</v>
      </c>
      <c r="L33" s="82"/>
      <c r="M33" s="82">
        <v>36</v>
      </c>
      <c r="N33" s="82"/>
      <c r="O33" s="78"/>
      <c r="P33" s="78"/>
      <c r="Q33" s="82">
        <v>36</v>
      </c>
      <c r="R33" s="121">
        <v>38</v>
      </c>
      <c r="S33" s="82">
        <v>40</v>
      </c>
      <c r="T33" s="82"/>
      <c r="U33" s="82">
        <v>43</v>
      </c>
      <c r="V33" s="78"/>
      <c r="W33" s="78"/>
      <c r="X33" s="82">
        <v>41</v>
      </c>
      <c r="Y33" s="122"/>
      <c r="Z33" s="82">
        <v>34</v>
      </c>
      <c r="AA33" s="82"/>
      <c r="AB33" s="82">
        <v>35</v>
      </c>
      <c r="AC33" s="78"/>
      <c r="AD33" s="78"/>
      <c r="AE33" s="82">
        <v>34</v>
      </c>
      <c r="AF33" s="82">
        <v>34</v>
      </c>
      <c r="AG33" s="82"/>
      <c r="AH33" s="84">
        <f t="shared" si="0"/>
        <v>536</v>
      </c>
    </row>
    <row r="34" spans="1:34" s="3" customFormat="1" ht="18" hidden="1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8">
        <f>SUM(O9:O33)</f>
        <v>0</v>
      </c>
      <c r="P34" s="9"/>
      <c r="Q34" s="4"/>
      <c r="R34" s="4"/>
      <c r="S34" s="6">
        <f>SUM(S9:S33)</f>
        <v>7520</v>
      </c>
      <c r="T34" s="4">
        <f>SUM(T9:T33)</f>
        <v>6120</v>
      </c>
      <c r="U34" s="4"/>
      <c r="V34" s="10">
        <f>SUM(V9:V33)</f>
        <v>0</v>
      </c>
      <c r="W34" s="8"/>
      <c r="X34" s="4">
        <f>SUM(X9:X33)</f>
        <v>7761</v>
      </c>
      <c r="Y34" s="5"/>
      <c r="Z34" s="4"/>
      <c r="AA34" s="4"/>
      <c r="AB34" s="4">
        <f>SUM(AB9:AB33)</f>
        <v>7195</v>
      </c>
      <c r="AC34" s="11">
        <f>SUM(AC9:AC33)</f>
        <v>0</v>
      </c>
      <c r="AD34" s="8"/>
      <c r="AE34" s="7">
        <f>SUM(AE9:AE33)</f>
        <v>8584</v>
      </c>
      <c r="AF34" s="7">
        <f>SUM(AF9:AF33)</f>
        <v>7864</v>
      </c>
      <c r="AG34" s="7"/>
      <c r="AH34" s="7"/>
    </row>
  </sheetData>
  <mergeCells count="3">
    <mergeCell ref="A6:A8"/>
    <mergeCell ref="AH6:AH8"/>
    <mergeCell ref="C6:AG6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DF2E4"/>
    <pageSetUpPr fitToPage="1"/>
  </sheetPr>
  <dimension ref="B1:AA74"/>
  <sheetViews>
    <sheetView topLeftCell="A10" zoomScaleNormal="100" zoomScaleSheetLayoutView="106" workbookViewId="0">
      <selection activeCell="O11" sqref="O11"/>
    </sheetView>
  </sheetViews>
  <sheetFormatPr defaultColWidth="9" defaultRowHeight="15" customHeight="1"/>
  <cols>
    <col min="1" max="1" width="1.375" style="12" customWidth="1"/>
    <col min="2" max="2" width="12.125" style="12" bestFit="1" customWidth="1"/>
    <col min="3" max="4" width="13.875" style="12" customWidth="1"/>
    <col min="5" max="10" width="18.375" style="12" customWidth="1"/>
    <col min="11" max="11" width="1.25" style="12" customWidth="1"/>
    <col min="12" max="16" width="13" style="12" customWidth="1"/>
    <col min="17" max="18" width="13.375" style="12" customWidth="1"/>
    <col min="19" max="16384" width="9" style="12"/>
  </cols>
  <sheetData>
    <row r="1" spans="2:18" ht="6.75" customHeight="1" thickBot="1"/>
    <row r="2" spans="2:18" ht="77.25" customHeight="1" thickBot="1">
      <c r="B2" s="154" t="s">
        <v>135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6"/>
    </row>
    <row r="3" spans="2:18" s="14" customFormat="1" ht="24.6" customHeight="1">
      <c r="B3" s="157" t="s">
        <v>65</v>
      </c>
      <c r="C3" s="158"/>
      <c r="D3" s="158"/>
      <c r="E3" s="158"/>
      <c r="F3" s="158"/>
      <c r="G3" s="158"/>
      <c r="H3" s="158"/>
      <c r="I3" s="158"/>
      <c r="J3" s="159"/>
      <c r="K3" s="13"/>
      <c r="L3" s="160" t="s">
        <v>78</v>
      </c>
      <c r="M3" s="161"/>
      <c r="N3" s="161"/>
      <c r="O3" s="161"/>
      <c r="P3" s="162"/>
    </row>
    <row r="4" spans="2:18" s="14" customFormat="1" ht="24.6" customHeight="1">
      <c r="B4" s="15" t="s">
        <v>56</v>
      </c>
      <c r="C4" s="16" t="s">
        <v>67</v>
      </c>
      <c r="D4" s="16" t="s">
        <v>68</v>
      </c>
      <c r="E4" s="16" t="s">
        <v>136</v>
      </c>
      <c r="F4" s="25" t="s">
        <v>137</v>
      </c>
      <c r="G4" s="25" t="s">
        <v>69</v>
      </c>
      <c r="H4" s="16" t="s">
        <v>70</v>
      </c>
      <c r="I4" s="16" t="s">
        <v>71</v>
      </c>
      <c r="J4" s="17" t="s">
        <v>66</v>
      </c>
      <c r="K4" s="26"/>
      <c r="L4" s="15" t="s">
        <v>56</v>
      </c>
      <c r="M4" s="16" t="s">
        <v>54</v>
      </c>
      <c r="N4" s="16" t="s">
        <v>55</v>
      </c>
      <c r="O4" s="16" t="s">
        <v>74</v>
      </c>
      <c r="P4" s="17" t="s">
        <v>75</v>
      </c>
    </row>
    <row r="5" spans="2:18" s="14" customFormat="1" ht="24.6" customHeight="1">
      <c r="B5" s="15" t="s">
        <v>48</v>
      </c>
      <c r="C5" s="28">
        <f>'입고(2606)'!B9</f>
        <v>0</v>
      </c>
      <c r="D5" s="28">
        <f>'생산량(2606)'!B9</f>
        <v>0</v>
      </c>
      <c r="E5" s="35">
        <f>'입고(2606)'!AH9</f>
        <v>5400</v>
      </c>
      <c r="F5" s="36">
        <f>'출고(2606)'!AH9</f>
        <v>4500</v>
      </c>
      <c r="G5" s="36">
        <f>'생산량(2606)'!AH9</f>
        <v>5100</v>
      </c>
      <c r="H5" s="29">
        <f t="shared" ref="H5:H10" si="0">(C5+E5)-G5</f>
        <v>300</v>
      </c>
      <c r="I5" s="29">
        <f>(D5+G5)-F5</f>
        <v>600</v>
      </c>
      <c r="J5" s="30">
        <f t="shared" ref="J5:J10" si="1">I5+H5</f>
        <v>900</v>
      </c>
      <c r="K5" s="26"/>
      <c r="L5" s="34">
        <v>100</v>
      </c>
      <c r="M5" s="39">
        <f>'생산량(2606)'!B30</f>
        <v>863</v>
      </c>
      <c r="N5" s="39">
        <f>'생산량(2606)'!AH30</f>
        <v>19900</v>
      </c>
      <c r="O5" s="40">
        <f>(N5+M5)-SUM('생산량(2606)'!AH9:AH18)</f>
        <v>1543</v>
      </c>
      <c r="P5" s="163">
        <f>'입고(2606)'!AH33-'생산량(2606)'!AH33</f>
        <v>36</v>
      </c>
      <c r="Q5" s="26" t="s">
        <v>61</v>
      </c>
      <c r="R5" s="26" t="s">
        <v>63</v>
      </c>
    </row>
    <row r="6" spans="2:18" s="14" customFormat="1" ht="24.6" customHeight="1">
      <c r="B6" s="15" t="s">
        <v>98</v>
      </c>
      <c r="C6" s="28">
        <f>'입고(2606)'!B10</f>
        <v>0</v>
      </c>
      <c r="D6" s="28">
        <f>'생산량(2606)'!B10</f>
        <v>0</v>
      </c>
      <c r="E6" s="35">
        <f>'입고(2606)'!AH10</f>
        <v>0</v>
      </c>
      <c r="F6" s="36">
        <f>'출고(2606)'!AH10</f>
        <v>0</v>
      </c>
      <c r="G6" s="36">
        <f>'생산량(2606)'!AH10</f>
        <v>0</v>
      </c>
      <c r="H6" s="29">
        <f t="shared" si="0"/>
        <v>0</v>
      </c>
      <c r="I6" s="29">
        <f>(D6+G6)-F6</f>
        <v>0</v>
      </c>
      <c r="J6" s="30">
        <f t="shared" si="1"/>
        <v>0</v>
      </c>
      <c r="K6" s="26"/>
      <c r="L6" s="34"/>
      <c r="M6" s="39"/>
      <c r="N6" s="39"/>
      <c r="O6" s="40"/>
      <c r="P6" s="164"/>
      <c r="Q6" s="26"/>
      <c r="R6" s="26"/>
    </row>
    <row r="7" spans="2:18" s="14" customFormat="1" ht="24.6" customHeight="1">
      <c r="B7" s="15" t="s">
        <v>88</v>
      </c>
      <c r="C7" s="28">
        <f>'입고(2606)'!B11</f>
        <v>0</v>
      </c>
      <c r="D7" s="28">
        <f>'생산량(2606)'!B11</f>
        <v>0</v>
      </c>
      <c r="E7" s="35">
        <f>'입고(2606)'!AH11</f>
        <v>0</v>
      </c>
      <c r="F7" s="36">
        <f>'출고(2606)'!AH11</f>
        <v>0</v>
      </c>
      <c r="G7" s="36">
        <f>'생산량(2606)'!AH11</f>
        <v>0</v>
      </c>
      <c r="H7" s="29">
        <f t="shared" si="0"/>
        <v>0</v>
      </c>
      <c r="I7" s="29">
        <f>(D7+G7)-F7</f>
        <v>0</v>
      </c>
      <c r="J7" s="30">
        <f t="shared" si="1"/>
        <v>0</v>
      </c>
      <c r="K7" s="26"/>
      <c r="L7" s="34"/>
      <c r="M7" s="39"/>
      <c r="N7" s="39"/>
      <c r="O7" s="40"/>
      <c r="P7" s="164"/>
      <c r="Q7" s="26"/>
      <c r="R7" s="26"/>
    </row>
    <row r="8" spans="2:18" s="14" customFormat="1" ht="24.6" customHeight="1">
      <c r="B8" s="15" t="s">
        <v>118</v>
      </c>
      <c r="C8" s="28">
        <f>'입고(2606)'!B12</f>
        <v>0</v>
      </c>
      <c r="D8" s="28">
        <f>'생산량(2606)'!B12</f>
        <v>0</v>
      </c>
      <c r="E8" s="35">
        <f>'입고(2606)'!AH12</f>
        <v>0</v>
      </c>
      <c r="F8" s="36">
        <f>'출고(2606)'!AH12</f>
        <v>0</v>
      </c>
      <c r="G8" s="36">
        <f>'생산량(2606)'!AH12</f>
        <v>0</v>
      </c>
      <c r="H8" s="29">
        <f t="shared" si="0"/>
        <v>0</v>
      </c>
      <c r="I8" s="29">
        <f>(D8+G8)-F8</f>
        <v>0</v>
      </c>
      <c r="J8" s="30">
        <f t="shared" si="1"/>
        <v>0</v>
      </c>
      <c r="K8" s="26"/>
      <c r="L8" s="34"/>
      <c r="M8" s="39"/>
      <c r="N8" s="39"/>
      <c r="O8" s="40"/>
      <c r="P8" s="164"/>
      <c r="Q8" s="26"/>
      <c r="R8" s="26"/>
    </row>
    <row r="9" spans="2:18" s="14" customFormat="1" ht="24.6" customHeight="1">
      <c r="B9" s="15" t="s">
        <v>111</v>
      </c>
      <c r="C9" s="28">
        <f>'입고(2606)'!B13</f>
        <v>0</v>
      </c>
      <c r="D9" s="28">
        <f>'생산량(2606)'!B13</f>
        <v>0</v>
      </c>
      <c r="E9" s="35">
        <f>'입고(2606)'!AH13</f>
        <v>0</v>
      </c>
      <c r="F9" s="36">
        <f>'출고(2606)'!AH13</f>
        <v>0</v>
      </c>
      <c r="G9" s="36">
        <f>'생산량(2606)'!AH13</f>
        <v>0</v>
      </c>
      <c r="H9" s="29">
        <f t="shared" si="0"/>
        <v>0</v>
      </c>
      <c r="I9" s="29">
        <f t="shared" ref="I9:I10" si="2">(D9+G9)-F9</f>
        <v>0</v>
      </c>
      <c r="J9" s="30">
        <f t="shared" si="1"/>
        <v>0</v>
      </c>
      <c r="K9" s="26"/>
      <c r="L9" s="34"/>
      <c r="M9" s="39"/>
      <c r="N9" s="39"/>
      <c r="O9" s="40"/>
      <c r="P9" s="164"/>
      <c r="Q9" s="26"/>
      <c r="R9" s="26"/>
    </row>
    <row r="10" spans="2:18" s="14" customFormat="1" ht="24.6" customHeight="1">
      <c r="B10" s="15" t="s">
        <v>101</v>
      </c>
      <c r="C10" s="28">
        <f>'입고(2606)'!B14</f>
        <v>0</v>
      </c>
      <c r="D10" s="28">
        <f>'생산량(2606)'!B14</f>
        <v>0</v>
      </c>
      <c r="E10" s="35">
        <f>'입고(2606)'!AH14</f>
        <v>0</v>
      </c>
      <c r="F10" s="36">
        <f>'출고(2606)'!AH14</f>
        <v>0</v>
      </c>
      <c r="G10" s="36">
        <f>'생산량(2606)'!AH14</f>
        <v>0</v>
      </c>
      <c r="H10" s="29">
        <f t="shared" si="0"/>
        <v>0</v>
      </c>
      <c r="I10" s="29">
        <f t="shared" si="2"/>
        <v>0</v>
      </c>
      <c r="J10" s="30">
        <f t="shared" si="1"/>
        <v>0</v>
      </c>
      <c r="K10" s="26"/>
      <c r="L10" s="34"/>
      <c r="M10" s="39"/>
      <c r="N10" s="39"/>
      <c r="O10" s="40"/>
      <c r="P10" s="164"/>
      <c r="Q10" s="26"/>
      <c r="R10" s="26"/>
    </row>
    <row r="11" spans="2:18" s="14" customFormat="1" ht="24.6" customHeight="1">
      <c r="B11" s="15" t="s">
        <v>46</v>
      </c>
      <c r="C11" s="28">
        <f>'입고(2606)'!B15</f>
        <v>680</v>
      </c>
      <c r="D11" s="28">
        <f>'생산량(2606)'!B15</f>
        <v>1000</v>
      </c>
      <c r="E11" s="35">
        <f>'입고(2606)'!AH15</f>
        <v>13440</v>
      </c>
      <c r="F11" s="36">
        <f>'출고(2606)'!AH15</f>
        <v>13920</v>
      </c>
      <c r="G11" s="36">
        <f>'생산량(2606)'!AH15</f>
        <v>14120</v>
      </c>
      <c r="H11" s="29">
        <f t="shared" ref="H11:H21" si="3">(C11+E11)-G11</f>
        <v>0</v>
      </c>
      <c r="I11" s="29">
        <f t="shared" ref="I11:I16" si="4">(D11+G11)-F11</f>
        <v>1200</v>
      </c>
      <c r="J11" s="30">
        <f t="shared" ref="J11:J21" si="5">I11+H11</f>
        <v>1200</v>
      </c>
      <c r="K11" s="26"/>
      <c r="L11" s="34">
        <v>75</v>
      </c>
      <c r="M11" s="39">
        <f>'생산량(2606)'!B31</f>
        <v>473</v>
      </c>
      <c r="N11" s="39">
        <f>'생산량(2606)'!AH31</f>
        <v>500</v>
      </c>
      <c r="O11" s="40">
        <f>(N11+M11)-'생산량(2606)'!AH19</f>
        <v>13</v>
      </c>
      <c r="P11" s="165"/>
      <c r="Q11" s="26" t="s">
        <v>60</v>
      </c>
      <c r="R11" s="26" t="s">
        <v>63</v>
      </c>
    </row>
    <row r="12" spans="2:18" s="14" customFormat="1" ht="24.6" customHeight="1">
      <c r="B12" s="15" t="s">
        <v>113</v>
      </c>
      <c r="C12" s="28">
        <f>'입고(2606)'!B16</f>
        <v>0</v>
      </c>
      <c r="D12" s="28">
        <f>'생산량(2606)'!B16</f>
        <v>0</v>
      </c>
      <c r="E12" s="35">
        <f>'입고(2606)'!AH16</f>
        <v>0</v>
      </c>
      <c r="F12" s="36">
        <f>'출고(2606)'!AH16</f>
        <v>0</v>
      </c>
      <c r="G12" s="36">
        <f>'생산량(2606)'!AH16</f>
        <v>0</v>
      </c>
      <c r="H12" s="29">
        <f t="shared" ref="H12" si="6">(C12+E12)-G12</f>
        <v>0</v>
      </c>
      <c r="I12" s="29">
        <f t="shared" ref="I12" si="7">(D12+G12)-F12</f>
        <v>0</v>
      </c>
      <c r="J12" s="30">
        <f t="shared" ref="J12" si="8">I12+H12</f>
        <v>0</v>
      </c>
      <c r="K12" s="26"/>
      <c r="L12" s="34"/>
      <c r="M12" s="39"/>
      <c r="N12" s="39"/>
      <c r="O12" s="40"/>
      <c r="P12" s="165"/>
      <c r="Q12" s="26"/>
      <c r="R12" s="26"/>
    </row>
    <row r="13" spans="2:18" s="14" customFormat="1" ht="24.6" customHeight="1">
      <c r="B13" s="15" t="s">
        <v>94</v>
      </c>
      <c r="C13" s="28">
        <f>'입고(2606)'!B17</f>
        <v>0</v>
      </c>
      <c r="D13" s="28">
        <f>'생산량(2606)'!B17</f>
        <v>0</v>
      </c>
      <c r="E13" s="35">
        <f>'입고(2606)'!AH17</f>
        <v>0</v>
      </c>
      <c r="F13" s="36">
        <f>'출고(2606)'!AH17</f>
        <v>0</v>
      </c>
      <c r="G13" s="36">
        <f>'생산량(2606)'!AH17</f>
        <v>0</v>
      </c>
      <c r="H13" s="29">
        <f t="shared" ref="H13" si="9">(C13+E13)-G13</f>
        <v>0</v>
      </c>
      <c r="I13" s="29">
        <f t="shared" ref="I13" si="10">(D13+G13)-F13</f>
        <v>0</v>
      </c>
      <c r="J13" s="30">
        <f t="shared" ref="J13" si="11">I13+H13</f>
        <v>0</v>
      </c>
      <c r="K13" s="26"/>
      <c r="L13" s="34"/>
      <c r="M13" s="39"/>
      <c r="N13" s="39"/>
      <c r="O13" s="40"/>
      <c r="P13" s="165"/>
      <c r="Q13" s="26"/>
      <c r="R13" s="26"/>
    </row>
    <row r="14" spans="2:18" s="14" customFormat="1" ht="24.6" customHeight="1">
      <c r="B14" s="15" t="s">
        <v>47</v>
      </c>
      <c r="C14" s="28">
        <f>'입고(2606)'!B18</f>
        <v>0</v>
      </c>
      <c r="D14" s="28">
        <f>'생산량(2606)'!B18</f>
        <v>0</v>
      </c>
      <c r="E14" s="35">
        <f>'입고(2606)'!AH18</f>
        <v>0</v>
      </c>
      <c r="F14" s="36">
        <f>'출고(2606)'!AH18</f>
        <v>0</v>
      </c>
      <c r="G14" s="36">
        <f>'생산량(2606)'!AH18</f>
        <v>0</v>
      </c>
      <c r="H14" s="29">
        <f t="shared" si="3"/>
        <v>0</v>
      </c>
      <c r="I14" s="29">
        <f t="shared" si="4"/>
        <v>0</v>
      </c>
      <c r="J14" s="30">
        <f t="shared" si="5"/>
        <v>0</v>
      </c>
      <c r="K14" s="26"/>
      <c r="L14" s="34">
        <v>50</v>
      </c>
      <c r="M14" s="39">
        <f>'생산량(2606)'!B32</f>
        <v>300</v>
      </c>
      <c r="N14" s="39">
        <f>'생산량(2606)'!AH32</f>
        <v>970</v>
      </c>
      <c r="O14" s="40">
        <f>(N14+M14)-'생산량(2606)'!AH20</f>
        <v>10</v>
      </c>
      <c r="P14" s="166"/>
      <c r="Q14" s="26" t="s">
        <v>61</v>
      </c>
      <c r="R14" s="26" t="s">
        <v>63</v>
      </c>
    </row>
    <row r="15" spans="2:18" s="14" customFormat="1" ht="24.6" customHeight="1">
      <c r="B15" s="15">
        <v>75</v>
      </c>
      <c r="C15" s="28">
        <f>'입고(2606)'!B19</f>
        <v>0</v>
      </c>
      <c r="D15" s="28">
        <f>'생산량(2606)'!B19</f>
        <v>0</v>
      </c>
      <c r="E15" s="35">
        <f>'입고(2606)'!AH19</f>
        <v>960</v>
      </c>
      <c r="F15" s="36">
        <f>'출고(2606)'!AH19</f>
        <v>960</v>
      </c>
      <c r="G15" s="36">
        <f>'생산량(2606)'!AH19</f>
        <v>960</v>
      </c>
      <c r="H15" s="29">
        <f t="shared" si="3"/>
        <v>0</v>
      </c>
      <c r="I15" s="29">
        <f t="shared" si="4"/>
        <v>0</v>
      </c>
      <c r="J15" s="30">
        <f t="shared" si="5"/>
        <v>0</v>
      </c>
      <c r="K15" s="26"/>
      <c r="L15" s="15"/>
      <c r="M15" s="18"/>
      <c r="N15" s="18"/>
      <c r="O15" s="19"/>
      <c r="P15" s="20"/>
      <c r="Q15" s="26" t="s">
        <v>61</v>
      </c>
      <c r="R15" s="26" t="s">
        <v>63</v>
      </c>
    </row>
    <row r="16" spans="2:18" s="14" customFormat="1" ht="24.6" customHeight="1">
      <c r="B16" s="15">
        <v>50</v>
      </c>
      <c r="C16" s="28">
        <f>'입고(2606)'!B20</f>
        <v>0</v>
      </c>
      <c r="D16" s="28">
        <f>'생산량(2606)'!B20</f>
        <v>0</v>
      </c>
      <c r="E16" s="35">
        <f>'입고(2606)'!AH20</f>
        <v>1260</v>
      </c>
      <c r="F16" s="36">
        <f>'출고(2606)'!AH20</f>
        <v>780</v>
      </c>
      <c r="G16" s="36">
        <f>'생산량(2606)'!AH20</f>
        <v>1260</v>
      </c>
      <c r="H16" s="29">
        <f t="shared" si="3"/>
        <v>0</v>
      </c>
      <c r="I16" s="29">
        <f t="shared" si="4"/>
        <v>480</v>
      </c>
      <c r="J16" s="30">
        <f t="shared" si="5"/>
        <v>480</v>
      </c>
      <c r="K16" s="26"/>
      <c r="L16" s="15"/>
      <c r="M16" s="18"/>
      <c r="N16" s="18"/>
      <c r="O16" s="19"/>
      <c r="P16" s="20"/>
      <c r="Q16" s="26" t="s">
        <v>61</v>
      </c>
      <c r="R16" s="26" t="s">
        <v>63</v>
      </c>
    </row>
    <row r="17" spans="2:18" s="14" customFormat="1" ht="6.6" customHeight="1">
      <c r="B17" s="41"/>
      <c r="C17" s="42"/>
      <c r="D17" s="42"/>
      <c r="E17" s="43"/>
      <c r="F17" s="44"/>
      <c r="G17" s="44"/>
      <c r="H17" s="42"/>
      <c r="I17" s="42"/>
      <c r="J17" s="45"/>
      <c r="K17" s="26"/>
      <c r="L17" s="41"/>
      <c r="M17" s="46"/>
      <c r="N17" s="46"/>
      <c r="O17" s="46"/>
      <c r="P17" s="47"/>
      <c r="Q17" s="26"/>
      <c r="R17" s="26"/>
    </row>
    <row r="18" spans="2:18" s="14" customFormat="1" ht="24.6" customHeight="1">
      <c r="B18" s="15" t="s">
        <v>51</v>
      </c>
      <c r="C18" s="28">
        <f>'입고(2606)'!B21</f>
        <v>1139</v>
      </c>
      <c r="D18" s="28">
        <f>'생산량(2606)'!B21</f>
        <v>1000</v>
      </c>
      <c r="E18" s="35">
        <f>'입고(2606)'!AH21</f>
        <v>18840</v>
      </c>
      <c r="F18" s="36">
        <f>SUM(F5:F14)</f>
        <v>18420</v>
      </c>
      <c r="G18" s="36">
        <f>'생산량(2606)'!AH21</f>
        <v>19220</v>
      </c>
      <c r="H18" s="29">
        <f t="shared" si="3"/>
        <v>759</v>
      </c>
      <c r="I18" s="29">
        <f>SUM(I5:I14)</f>
        <v>1800</v>
      </c>
      <c r="J18" s="30">
        <f t="shared" si="5"/>
        <v>2559</v>
      </c>
      <c r="K18" s="26"/>
      <c r="L18" s="15"/>
      <c r="M18" s="18"/>
      <c r="N18" s="18"/>
      <c r="O18" s="19"/>
      <c r="P18" s="20"/>
      <c r="Q18" s="26" t="s">
        <v>62</v>
      </c>
      <c r="R18" s="26" t="s">
        <v>64</v>
      </c>
    </row>
    <row r="19" spans="2:18" s="14" customFormat="1" ht="24.6" customHeight="1">
      <c r="B19" s="15" t="s">
        <v>50</v>
      </c>
      <c r="C19" s="28">
        <f>'입고(2606)'!B22</f>
        <v>70</v>
      </c>
      <c r="D19" s="28">
        <f>'생산량(2606)'!B22</f>
        <v>0</v>
      </c>
      <c r="E19" s="35">
        <f>'입고(2606)'!AH22</f>
        <v>960</v>
      </c>
      <c r="F19" s="36">
        <f>'출고(2606)'!AH22</f>
        <v>0</v>
      </c>
      <c r="G19" s="36">
        <f>'생산량(2606)'!AH22</f>
        <v>960</v>
      </c>
      <c r="H19" s="29">
        <f t="shared" si="3"/>
        <v>70</v>
      </c>
      <c r="I19" s="29">
        <f>I15</f>
        <v>0</v>
      </c>
      <c r="J19" s="30">
        <f t="shared" si="5"/>
        <v>70</v>
      </c>
      <c r="K19" s="26"/>
      <c r="L19" s="15"/>
      <c r="M19" s="18"/>
      <c r="N19" s="18"/>
      <c r="O19" s="19"/>
      <c r="P19" s="20"/>
    </row>
    <row r="20" spans="2:18" s="14" customFormat="1" ht="24.6" customHeight="1">
      <c r="B20" s="15" t="s">
        <v>49</v>
      </c>
      <c r="C20" s="28">
        <f>'입고(2606)'!B23</f>
        <v>356</v>
      </c>
      <c r="D20" s="28">
        <f>'생산량(2606)'!B23</f>
        <v>0</v>
      </c>
      <c r="E20" s="35">
        <f>'입고(2606)'!AH23</f>
        <v>1260</v>
      </c>
      <c r="F20" s="36">
        <f>'출고(2606)'!AH23</f>
        <v>0</v>
      </c>
      <c r="G20" s="36">
        <f>'생산량(2606)'!AH23</f>
        <v>1260</v>
      </c>
      <c r="H20" s="29">
        <f t="shared" si="3"/>
        <v>356</v>
      </c>
      <c r="I20" s="29">
        <f>I16</f>
        <v>480</v>
      </c>
      <c r="J20" s="30">
        <f t="shared" si="5"/>
        <v>836</v>
      </c>
      <c r="K20" s="26"/>
      <c r="L20" s="15"/>
      <c r="M20" s="18"/>
      <c r="N20" s="18"/>
      <c r="O20" s="19"/>
      <c r="P20" s="20"/>
    </row>
    <row r="21" spans="2:18" s="14" customFormat="1" ht="24.6" customHeight="1">
      <c r="B21" s="15" t="s">
        <v>52</v>
      </c>
      <c r="C21" s="28">
        <f>'입고(2606)'!B24</f>
        <v>3060</v>
      </c>
      <c r="D21" s="28">
        <f>'생산량(2606)'!B24</f>
        <v>4000</v>
      </c>
      <c r="E21" s="35">
        <f>'입고(2606)'!AH24</f>
        <v>84000</v>
      </c>
      <c r="F21" s="36">
        <f>'출고(2606)'!AH24</f>
        <v>0</v>
      </c>
      <c r="G21" s="36">
        <f>'생산량(2606)'!AH24</f>
        <v>85760</v>
      </c>
      <c r="H21" s="29">
        <f t="shared" si="3"/>
        <v>1300</v>
      </c>
      <c r="I21" s="29">
        <f>SUM(I18:I20)*4</f>
        <v>9120</v>
      </c>
      <c r="J21" s="30">
        <f t="shared" si="5"/>
        <v>10420</v>
      </c>
      <c r="K21" s="26"/>
      <c r="L21" s="15"/>
      <c r="M21" s="18"/>
      <c r="N21" s="18"/>
      <c r="O21" s="19"/>
      <c r="P21" s="20"/>
    </row>
    <row r="22" spans="2:18" ht="24.6" customHeight="1" thickBot="1">
      <c r="B22" s="63" t="s">
        <v>95</v>
      </c>
      <c r="C22" s="31">
        <f>'입고(2606)'!B25</f>
        <v>8</v>
      </c>
      <c r="D22" s="31"/>
      <c r="E22" s="37">
        <f>'입고(2606)'!AH25+'입고(2606)'!AH26</f>
        <v>78</v>
      </c>
      <c r="F22" s="38">
        <f>'출고(2606)'!AH25+'출고(2606)'!AH26</f>
        <v>77</v>
      </c>
      <c r="G22" s="38">
        <f>'생산량(2606)'!AH25</f>
        <v>0</v>
      </c>
      <c r="H22" s="32"/>
      <c r="I22" s="32"/>
      <c r="J22" s="33">
        <f>(C22+E22)-F22</f>
        <v>9</v>
      </c>
      <c r="K22" s="27"/>
      <c r="L22" s="21"/>
      <c r="M22" s="22"/>
      <c r="N22" s="22"/>
      <c r="O22" s="23"/>
      <c r="P22" s="24"/>
      <c r="R22" s="12" t="s">
        <v>43</v>
      </c>
    </row>
    <row r="23" spans="2:18" ht="24.6" customHeight="1" thickTop="1" thickBot="1"/>
    <row r="24" spans="2:18" ht="24.6" customHeight="1" thickTop="1">
      <c r="B24" s="48"/>
      <c r="C24" s="49" t="s">
        <v>77</v>
      </c>
      <c r="D24" s="49" t="s">
        <v>79</v>
      </c>
      <c r="E24" s="49" t="s">
        <v>150</v>
      </c>
      <c r="F24" s="49" t="s">
        <v>138</v>
      </c>
      <c r="G24" s="49" t="s">
        <v>140</v>
      </c>
      <c r="H24" s="49" t="s">
        <v>127</v>
      </c>
      <c r="I24" s="49" t="s">
        <v>80</v>
      </c>
      <c r="J24" s="50" t="s">
        <v>126</v>
      </c>
      <c r="K24" s="51"/>
      <c r="L24" s="48" t="s">
        <v>116</v>
      </c>
      <c r="M24" s="49" t="s">
        <v>76</v>
      </c>
      <c r="N24" s="50" t="s">
        <v>115</v>
      </c>
    </row>
    <row r="25" spans="2:18" ht="24.6" customHeight="1">
      <c r="B25" s="141" t="s">
        <v>73</v>
      </c>
      <c r="C25" s="55" t="s">
        <v>120</v>
      </c>
      <c r="D25" s="57"/>
      <c r="E25" s="73"/>
      <c r="F25" s="126"/>
      <c r="G25" s="114" t="s">
        <v>152</v>
      </c>
      <c r="H25" s="126" t="s">
        <v>153</v>
      </c>
      <c r="I25" s="144">
        <f>I5</f>
        <v>600</v>
      </c>
      <c r="J25" s="73" t="s">
        <v>155</v>
      </c>
      <c r="K25" s="51"/>
      <c r="L25" s="41" t="s">
        <v>96</v>
      </c>
      <c r="M25" s="58" t="s">
        <v>130</v>
      </c>
      <c r="N25" s="59"/>
      <c r="O25" s="27"/>
      <c r="P25" s="27"/>
    </row>
    <row r="26" spans="2:18" ht="24.6" customHeight="1">
      <c r="B26" s="142"/>
      <c r="C26" s="55" t="s">
        <v>102</v>
      </c>
      <c r="D26" s="62"/>
      <c r="E26" s="114"/>
      <c r="F26" s="126"/>
      <c r="G26" s="57"/>
      <c r="H26" s="126" t="s">
        <v>154</v>
      </c>
      <c r="I26" s="152"/>
      <c r="J26" s="56"/>
      <c r="K26" s="51"/>
      <c r="L26" s="41"/>
      <c r="M26" s="58"/>
      <c r="N26" s="59"/>
      <c r="O26" s="27"/>
      <c r="P26" s="27"/>
    </row>
    <row r="27" spans="2:18" ht="24.6" customHeight="1">
      <c r="B27" s="142"/>
      <c r="C27" s="55"/>
      <c r="D27" s="57"/>
      <c r="E27" s="56"/>
      <c r="F27" s="134"/>
      <c r="G27" s="129"/>
      <c r="H27" s="134"/>
      <c r="I27" s="152"/>
      <c r="J27" s="56"/>
      <c r="K27" s="51"/>
      <c r="L27" s="41"/>
      <c r="M27" s="58"/>
      <c r="N27" s="59"/>
      <c r="O27" s="27"/>
      <c r="P27" s="27"/>
    </row>
    <row r="28" spans="2:18" ht="24.6" customHeight="1">
      <c r="B28" s="143"/>
      <c r="C28" s="55"/>
      <c r="D28" s="62"/>
      <c r="E28" s="129"/>
      <c r="F28" s="134"/>
      <c r="G28" s="57"/>
      <c r="H28" s="134"/>
      <c r="I28" s="147"/>
      <c r="J28" s="56"/>
      <c r="K28" s="51"/>
      <c r="L28" s="41"/>
      <c r="M28" s="58"/>
      <c r="N28" s="59"/>
      <c r="O28" s="27"/>
      <c r="P28" s="27"/>
    </row>
    <row r="29" spans="2:18" ht="24.6" customHeight="1">
      <c r="B29" s="150" t="s">
        <v>98</v>
      </c>
      <c r="C29" s="55" t="s">
        <v>103</v>
      </c>
      <c r="D29" s="62"/>
      <c r="E29" s="56"/>
      <c r="F29" s="62"/>
      <c r="G29" s="57"/>
      <c r="H29" s="71"/>
      <c r="I29" s="144">
        <f>I6</f>
        <v>0</v>
      </c>
      <c r="J29" s="56"/>
      <c r="K29" s="51"/>
      <c r="L29" s="41"/>
      <c r="M29" s="58"/>
      <c r="N29" s="59"/>
      <c r="O29" s="27"/>
      <c r="P29" s="27"/>
    </row>
    <row r="30" spans="2:18" ht="24.6" customHeight="1">
      <c r="B30" s="142"/>
      <c r="C30" s="55" t="s">
        <v>102</v>
      </c>
      <c r="D30" s="62"/>
      <c r="E30" s="71"/>
      <c r="F30" s="62"/>
      <c r="G30" s="57"/>
      <c r="H30" s="71"/>
      <c r="I30" s="151"/>
      <c r="J30" s="64"/>
      <c r="K30" s="51"/>
      <c r="L30" s="41"/>
      <c r="M30" s="58"/>
      <c r="N30" s="59"/>
      <c r="O30" s="27"/>
      <c r="P30" s="27"/>
    </row>
    <row r="31" spans="2:18" ht="24.6" customHeight="1">
      <c r="B31" s="143"/>
      <c r="C31" s="55"/>
      <c r="D31" s="62"/>
      <c r="E31" s="71"/>
      <c r="F31" s="62"/>
      <c r="G31" s="57"/>
      <c r="H31" s="71"/>
      <c r="I31" s="147"/>
      <c r="J31" s="64"/>
      <c r="K31" s="51"/>
      <c r="L31" s="41"/>
      <c r="M31" s="58"/>
      <c r="N31" s="59"/>
      <c r="O31" s="27"/>
      <c r="P31" s="27"/>
    </row>
    <row r="32" spans="2:18" ht="24.6" customHeight="1">
      <c r="B32" s="150" t="s">
        <v>88</v>
      </c>
      <c r="C32" s="55" t="s">
        <v>103</v>
      </c>
      <c r="D32" s="57"/>
      <c r="E32" s="56"/>
      <c r="F32" s="71"/>
      <c r="G32" s="57"/>
      <c r="H32" s="71"/>
      <c r="I32" s="144">
        <f>I7</f>
        <v>0</v>
      </c>
      <c r="J32" s="56"/>
      <c r="K32" s="51"/>
      <c r="L32" s="41"/>
      <c r="M32" s="58"/>
      <c r="N32" s="59"/>
      <c r="O32" s="27"/>
      <c r="P32" s="27"/>
    </row>
    <row r="33" spans="2:16" ht="24.6" customHeight="1">
      <c r="B33" s="142"/>
      <c r="C33" s="55" t="s">
        <v>102</v>
      </c>
      <c r="D33" s="62"/>
      <c r="E33" s="57"/>
      <c r="F33" s="130"/>
      <c r="G33" s="56"/>
      <c r="H33" s="71"/>
      <c r="I33" s="151"/>
      <c r="J33" s="56"/>
      <c r="K33" s="51"/>
      <c r="L33" s="41"/>
      <c r="M33" s="58"/>
      <c r="N33" s="59"/>
      <c r="O33" s="27"/>
      <c r="P33" s="27"/>
    </row>
    <row r="34" spans="2:16" ht="24.6" customHeight="1">
      <c r="B34" s="142"/>
      <c r="C34" s="55"/>
      <c r="D34" s="57"/>
      <c r="E34" s="56"/>
      <c r="F34" s="71"/>
      <c r="G34" s="57"/>
      <c r="H34" s="71"/>
      <c r="I34" s="152"/>
      <c r="J34" s="56"/>
      <c r="K34" s="51"/>
      <c r="L34" s="41"/>
      <c r="M34" s="58"/>
      <c r="N34" s="59"/>
      <c r="O34" s="27"/>
      <c r="P34" s="27"/>
    </row>
    <row r="35" spans="2:16" ht="24.6" customHeight="1">
      <c r="B35" s="143"/>
      <c r="C35" s="55"/>
      <c r="D35" s="62"/>
      <c r="E35" s="57"/>
      <c r="F35" s="71"/>
      <c r="G35" s="57"/>
      <c r="H35" s="71"/>
      <c r="I35" s="147"/>
      <c r="J35" s="56"/>
      <c r="K35" s="51"/>
      <c r="L35" s="41"/>
      <c r="M35" s="58"/>
      <c r="N35" s="59"/>
      <c r="O35" s="27"/>
      <c r="P35" s="27"/>
    </row>
    <row r="36" spans="2:16" ht="24.6" customHeight="1">
      <c r="B36" s="141" t="s">
        <v>118</v>
      </c>
      <c r="C36" s="55" t="s">
        <v>103</v>
      </c>
      <c r="D36" s="62"/>
      <c r="E36" s="71"/>
      <c r="F36" s="62"/>
      <c r="G36" s="57"/>
      <c r="H36" s="71"/>
      <c r="I36" s="153">
        <f>I8-D36</f>
        <v>0</v>
      </c>
      <c r="J36" s="56"/>
      <c r="K36" s="51"/>
      <c r="L36" s="41"/>
      <c r="M36" s="58"/>
      <c r="N36" s="59"/>
      <c r="O36" s="27"/>
      <c r="P36" s="27"/>
    </row>
    <row r="37" spans="2:16" ht="24.6" customHeight="1">
      <c r="B37" s="143"/>
      <c r="C37" s="55" t="s">
        <v>104</v>
      </c>
      <c r="D37" s="62"/>
      <c r="E37" s="71"/>
      <c r="F37" s="62"/>
      <c r="G37" s="57"/>
      <c r="H37" s="71"/>
      <c r="I37" s="147"/>
      <c r="J37" s="64"/>
      <c r="K37" s="51"/>
      <c r="L37" s="41"/>
      <c r="M37" s="58"/>
      <c r="N37" s="59"/>
      <c r="O37" s="27"/>
      <c r="P37" s="27"/>
    </row>
    <row r="38" spans="2:16" ht="24.6" customHeight="1">
      <c r="B38" s="141" t="s">
        <v>111</v>
      </c>
      <c r="C38" s="55" t="s">
        <v>103</v>
      </c>
      <c r="D38" s="57"/>
      <c r="E38" s="56"/>
      <c r="F38" s="71"/>
      <c r="G38" s="57"/>
      <c r="H38" s="71"/>
      <c r="I38" s="153">
        <f>I9</f>
        <v>0</v>
      </c>
      <c r="J38" s="56"/>
      <c r="K38" s="51"/>
      <c r="L38" s="41"/>
      <c r="M38" s="58"/>
      <c r="N38" s="59"/>
      <c r="O38" s="27"/>
      <c r="P38" s="27"/>
    </row>
    <row r="39" spans="2:16" ht="24.6" customHeight="1">
      <c r="B39" s="143"/>
      <c r="C39" s="55" t="s">
        <v>104</v>
      </c>
      <c r="D39" s="62"/>
      <c r="E39" s="57"/>
      <c r="F39" s="71"/>
      <c r="G39" s="57"/>
      <c r="H39" s="71"/>
      <c r="I39" s="147"/>
      <c r="J39" s="64"/>
      <c r="K39" s="51"/>
      <c r="L39" s="41"/>
      <c r="M39" s="58"/>
      <c r="N39" s="59"/>
      <c r="O39" s="27"/>
      <c r="P39" s="27"/>
    </row>
    <row r="40" spans="2:16" ht="24.6" customHeight="1">
      <c r="B40" s="141" t="s">
        <v>101</v>
      </c>
      <c r="C40" s="55" t="s">
        <v>103</v>
      </c>
      <c r="D40" s="57"/>
      <c r="E40" s="56"/>
      <c r="F40" s="71"/>
      <c r="G40" s="57"/>
      <c r="H40" s="71"/>
      <c r="I40" s="153">
        <f>I10</f>
        <v>0</v>
      </c>
      <c r="J40" s="56"/>
      <c r="K40" s="51"/>
      <c r="L40" s="41" t="s">
        <v>96</v>
      </c>
      <c r="M40" s="58" t="s">
        <v>130</v>
      </c>
      <c r="N40" s="59"/>
      <c r="O40" s="27"/>
      <c r="P40" s="27"/>
    </row>
    <row r="41" spans="2:16" ht="24.6" customHeight="1">
      <c r="B41" s="143"/>
      <c r="C41" s="55" t="s">
        <v>105</v>
      </c>
      <c r="D41" s="57"/>
      <c r="E41" s="57"/>
      <c r="F41" s="71"/>
      <c r="G41" s="57"/>
      <c r="H41" s="71"/>
      <c r="I41" s="147"/>
      <c r="J41" s="64"/>
      <c r="K41" s="51"/>
      <c r="L41" s="41"/>
      <c r="M41" s="58"/>
      <c r="N41" s="59"/>
      <c r="O41" s="27"/>
      <c r="P41" s="27"/>
    </row>
    <row r="42" spans="2:16" ht="24.6" customHeight="1">
      <c r="B42" s="141" t="s">
        <v>46</v>
      </c>
      <c r="C42" s="55" t="s">
        <v>103</v>
      </c>
      <c r="D42" s="57" t="s">
        <v>151</v>
      </c>
      <c r="E42" s="73" t="s">
        <v>144</v>
      </c>
      <c r="F42" s="72" t="s">
        <v>145</v>
      </c>
      <c r="G42" s="114" t="s">
        <v>157</v>
      </c>
      <c r="H42" s="72" t="s">
        <v>158</v>
      </c>
      <c r="I42" s="144">
        <f>I11</f>
        <v>1200</v>
      </c>
      <c r="J42" s="73" t="s">
        <v>156</v>
      </c>
      <c r="K42" s="51"/>
      <c r="L42" s="41" t="s">
        <v>96</v>
      </c>
      <c r="M42" s="58" t="s">
        <v>119</v>
      </c>
      <c r="N42" s="59" t="s">
        <v>129</v>
      </c>
      <c r="O42" s="27"/>
      <c r="P42" s="27"/>
    </row>
    <row r="43" spans="2:16" ht="24.6" customHeight="1">
      <c r="B43" s="142"/>
      <c r="C43" s="55" t="s">
        <v>105</v>
      </c>
      <c r="D43" s="62"/>
      <c r="E43" s="114" t="s">
        <v>143</v>
      </c>
      <c r="F43" s="71"/>
      <c r="G43" s="57"/>
      <c r="H43" s="72" t="s">
        <v>159</v>
      </c>
      <c r="I43" s="152"/>
      <c r="J43" s="56"/>
      <c r="K43" s="51"/>
      <c r="L43" s="41"/>
      <c r="M43" s="58"/>
      <c r="N43" s="59"/>
      <c r="O43" s="27"/>
      <c r="P43" s="27"/>
    </row>
    <row r="44" spans="2:16" ht="24.6" customHeight="1">
      <c r="B44" s="142"/>
      <c r="C44" s="55"/>
      <c r="D44" s="57"/>
      <c r="E44" s="56"/>
      <c r="F44" s="71"/>
      <c r="G44" s="129"/>
      <c r="H44" s="71"/>
      <c r="I44" s="152"/>
      <c r="J44" s="56"/>
      <c r="K44" s="51"/>
      <c r="L44" s="41" t="s">
        <v>96</v>
      </c>
      <c r="M44" s="58" t="s">
        <v>130</v>
      </c>
      <c r="N44" s="59"/>
      <c r="O44" s="27"/>
      <c r="P44" s="27"/>
    </row>
    <row r="45" spans="2:16" ht="24.6" customHeight="1">
      <c r="B45" s="142"/>
      <c r="C45" s="55"/>
      <c r="D45" s="62"/>
      <c r="E45" s="73" t="s">
        <v>148</v>
      </c>
      <c r="F45" s="72" t="s">
        <v>147</v>
      </c>
      <c r="G45" s="57"/>
      <c r="H45" s="71"/>
      <c r="I45" s="152"/>
      <c r="J45" s="56"/>
      <c r="K45" s="51"/>
      <c r="L45" s="41"/>
      <c r="M45" s="58"/>
      <c r="N45" s="59"/>
      <c r="O45" s="27"/>
      <c r="P45" s="27"/>
    </row>
    <row r="46" spans="2:16" ht="24.6" customHeight="1">
      <c r="B46" s="143"/>
      <c r="C46" s="55"/>
      <c r="D46" s="62"/>
      <c r="E46" s="114" t="s">
        <v>146</v>
      </c>
      <c r="F46" s="72" t="s">
        <v>149</v>
      </c>
      <c r="G46" s="57"/>
      <c r="H46" s="71"/>
      <c r="I46" s="147"/>
      <c r="J46" s="56"/>
      <c r="K46" s="51"/>
      <c r="L46" s="41"/>
      <c r="M46" s="58"/>
      <c r="N46" s="59"/>
      <c r="O46" s="27"/>
      <c r="P46" s="27"/>
    </row>
    <row r="47" spans="2:16" ht="24.6" customHeight="1">
      <c r="B47" s="150" t="s">
        <v>114</v>
      </c>
      <c r="C47" s="55" t="s">
        <v>103</v>
      </c>
      <c r="D47" s="62"/>
      <c r="E47" s="71"/>
      <c r="F47" s="62"/>
      <c r="G47" s="57"/>
      <c r="H47" s="71"/>
      <c r="I47" s="153">
        <f>I12-D47</f>
        <v>0</v>
      </c>
      <c r="J47" s="56"/>
      <c r="K47" s="51"/>
      <c r="L47" s="41"/>
      <c r="M47" s="58"/>
      <c r="N47" s="59"/>
      <c r="O47" s="27"/>
      <c r="P47" s="27"/>
    </row>
    <row r="48" spans="2:16" ht="24.6" customHeight="1">
      <c r="B48" s="143"/>
      <c r="C48" s="55" t="s">
        <v>104</v>
      </c>
      <c r="D48" s="62"/>
      <c r="E48" s="71"/>
      <c r="F48" s="62"/>
      <c r="G48" s="57"/>
      <c r="H48" s="71"/>
      <c r="I48" s="147"/>
      <c r="J48" s="56"/>
      <c r="K48" s="51"/>
      <c r="L48" s="41"/>
      <c r="M48" s="58"/>
      <c r="N48" s="59"/>
      <c r="O48" s="27"/>
      <c r="P48" s="27"/>
    </row>
    <row r="49" spans="2:22" ht="24.6" customHeight="1">
      <c r="B49" s="141" t="s">
        <v>94</v>
      </c>
      <c r="C49" s="55" t="s">
        <v>103</v>
      </c>
      <c r="D49" s="62"/>
      <c r="E49" s="71"/>
      <c r="F49" s="62"/>
      <c r="G49" s="57"/>
      <c r="H49" s="71"/>
      <c r="I49" s="144">
        <f>I13-D49</f>
        <v>0</v>
      </c>
      <c r="J49" s="56"/>
      <c r="K49" s="51"/>
      <c r="L49" s="41"/>
      <c r="M49" s="58"/>
      <c r="N49" s="59"/>
      <c r="O49" s="27"/>
      <c r="P49" s="27"/>
    </row>
    <row r="50" spans="2:22" ht="24.6" customHeight="1">
      <c r="B50" s="149"/>
      <c r="C50" s="55" t="s">
        <v>105</v>
      </c>
      <c r="D50" s="62"/>
      <c r="E50" s="71"/>
      <c r="F50" s="62"/>
      <c r="G50" s="60"/>
      <c r="H50" s="71"/>
      <c r="I50" s="148"/>
      <c r="J50" s="61"/>
      <c r="K50" s="51"/>
      <c r="L50" s="41"/>
      <c r="M50" s="58"/>
      <c r="N50" s="59"/>
      <c r="O50" s="27"/>
      <c r="P50" s="27"/>
    </row>
    <row r="51" spans="2:22" ht="24.6" customHeight="1">
      <c r="B51" s="141" t="s">
        <v>72</v>
      </c>
      <c r="C51" s="55" t="s">
        <v>103</v>
      </c>
      <c r="D51" s="57"/>
      <c r="E51" s="56"/>
      <c r="F51" s="71"/>
      <c r="G51" s="57"/>
      <c r="H51" s="71"/>
      <c r="I51" s="144">
        <f>I14</f>
        <v>0</v>
      </c>
      <c r="J51" s="56"/>
      <c r="K51" s="51"/>
      <c r="L51" s="41"/>
      <c r="M51" s="58"/>
      <c r="N51" s="59"/>
      <c r="O51" s="27"/>
      <c r="P51" s="27"/>
    </row>
    <row r="52" spans="2:22" ht="24.6" customHeight="1">
      <c r="B52" s="142"/>
      <c r="C52" s="55" t="s">
        <v>105</v>
      </c>
      <c r="D52" s="62"/>
      <c r="E52" s="57"/>
      <c r="F52" s="62"/>
      <c r="G52" s="57"/>
      <c r="H52" s="71"/>
      <c r="I52" s="151"/>
      <c r="J52" s="56"/>
      <c r="K52" s="51"/>
      <c r="L52" s="41"/>
      <c r="M52" s="58"/>
      <c r="N52" s="59"/>
      <c r="O52" s="27"/>
      <c r="P52" s="27"/>
    </row>
    <row r="53" spans="2:22" ht="24.6" customHeight="1">
      <c r="B53" s="143"/>
      <c r="C53" s="55"/>
      <c r="D53" s="62"/>
      <c r="E53" s="71"/>
      <c r="F53" s="62"/>
      <c r="G53" s="57"/>
      <c r="H53" s="71"/>
      <c r="I53" s="147"/>
      <c r="J53" s="56"/>
      <c r="K53" s="51"/>
      <c r="L53" s="41"/>
      <c r="M53" s="58"/>
      <c r="N53" s="59"/>
      <c r="O53" s="27"/>
      <c r="P53" s="27"/>
    </row>
    <row r="54" spans="2:22" ht="24.6" customHeight="1">
      <c r="B54" s="141">
        <v>75</v>
      </c>
      <c r="C54" s="55" t="s">
        <v>106</v>
      </c>
      <c r="D54" s="57"/>
      <c r="E54" s="56"/>
      <c r="F54" s="71"/>
      <c r="G54" s="129"/>
      <c r="H54" s="71"/>
      <c r="I54" s="144">
        <f>I15</f>
        <v>0</v>
      </c>
      <c r="J54" s="56"/>
      <c r="K54" s="51"/>
      <c r="L54" s="41"/>
      <c r="M54" s="58"/>
      <c r="N54" s="59"/>
      <c r="O54" s="27" t="s">
        <v>43</v>
      </c>
      <c r="P54" s="27"/>
    </row>
    <row r="55" spans="2:22" ht="24.6" customHeight="1">
      <c r="B55" s="143"/>
      <c r="C55" s="62" t="s">
        <v>107</v>
      </c>
      <c r="D55" s="62"/>
      <c r="E55" s="129"/>
      <c r="F55" s="71"/>
      <c r="G55" s="56"/>
      <c r="H55" s="71"/>
      <c r="I55" s="147"/>
      <c r="J55" s="61"/>
      <c r="K55" s="51"/>
      <c r="L55" s="41"/>
      <c r="M55" s="58"/>
      <c r="N55" s="59"/>
      <c r="O55" s="27"/>
      <c r="P55" s="27"/>
    </row>
    <row r="56" spans="2:22" ht="24.6" customHeight="1">
      <c r="B56" s="141">
        <v>50</v>
      </c>
      <c r="C56" s="55" t="s">
        <v>108</v>
      </c>
      <c r="D56" s="57"/>
      <c r="E56" s="56"/>
      <c r="F56" s="71"/>
      <c r="G56" s="114" t="s">
        <v>139</v>
      </c>
      <c r="H56" s="72" t="s">
        <v>142</v>
      </c>
      <c r="I56" s="144">
        <f>I16</f>
        <v>480</v>
      </c>
      <c r="J56" s="73" t="s">
        <v>141</v>
      </c>
      <c r="K56" s="51"/>
      <c r="L56" s="41" t="s">
        <v>96</v>
      </c>
      <c r="M56" s="58" t="s">
        <v>119</v>
      </c>
      <c r="N56" s="59"/>
      <c r="O56" s="27"/>
      <c r="P56" s="27"/>
    </row>
    <row r="57" spans="2:22" ht="24.6" customHeight="1" thickBot="1">
      <c r="B57" s="146"/>
      <c r="C57" s="65" t="s">
        <v>109</v>
      </c>
      <c r="D57" s="65"/>
      <c r="E57" s="66"/>
      <c r="F57" s="131"/>
      <c r="G57" s="66"/>
      <c r="H57" s="131"/>
      <c r="I57" s="145"/>
      <c r="J57" s="67"/>
      <c r="K57" s="51"/>
      <c r="L57" s="68"/>
      <c r="M57" s="69"/>
      <c r="N57" s="70"/>
      <c r="O57" s="27"/>
      <c r="P57" s="27"/>
    </row>
    <row r="58" spans="2:22" ht="15" customHeight="1" thickTop="1"/>
    <row r="60" spans="2:22" ht="15" customHeight="1">
      <c r="L60" s="12" t="s">
        <v>44</v>
      </c>
    </row>
    <row r="64" spans="2:22" ht="15" customHeight="1">
      <c r="V64" s="12" t="s">
        <v>43</v>
      </c>
    </row>
    <row r="66" spans="10:27" ht="15" customHeight="1">
      <c r="J66" s="12" t="s">
        <v>44</v>
      </c>
    </row>
    <row r="74" spans="10:27" ht="15" customHeight="1">
      <c r="AA74" s="12" t="s">
        <v>45</v>
      </c>
    </row>
  </sheetData>
  <mergeCells count="28">
    <mergeCell ref="B29:B31"/>
    <mergeCell ref="B40:B41"/>
    <mergeCell ref="I29:I31"/>
    <mergeCell ref="I40:I41"/>
    <mergeCell ref="B38:B39"/>
    <mergeCell ref="I38:I39"/>
    <mergeCell ref="B36:B37"/>
    <mergeCell ref="I36:I37"/>
    <mergeCell ref="B32:B35"/>
    <mergeCell ref="I32:I35"/>
    <mergeCell ref="B2:P2"/>
    <mergeCell ref="B3:J3"/>
    <mergeCell ref="L3:P3"/>
    <mergeCell ref="P5:P14"/>
    <mergeCell ref="B25:B28"/>
    <mergeCell ref="I25:I28"/>
    <mergeCell ref="B42:B46"/>
    <mergeCell ref="I56:I57"/>
    <mergeCell ref="B54:B55"/>
    <mergeCell ref="B56:B57"/>
    <mergeCell ref="I54:I55"/>
    <mergeCell ref="B51:B53"/>
    <mergeCell ref="I49:I50"/>
    <mergeCell ref="B49:B50"/>
    <mergeCell ref="B47:B48"/>
    <mergeCell ref="I51:I53"/>
    <mergeCell ref="I42:I46"/>
    <mergeCell ref="I47:I48"/>
  </mergeCells>
  <phoneticPr fontId="2" type="noConversion"/>
  <pageMargins left="0.7086111307144165" right="0.7086111307144165" top="0.74750000238418579" bottom="0.74750000238418579" header="0.31486111879348755" footer="0.31486111879348755"/>
  <pageSetup scale="34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A46BCA2A2A064AB8C22D7505EED6E0" ma:contentTypeVersion="10" ma:contentTypeDescription="Create a new document." ma:contentTypeScope="" ma:versionID="52032b8115dd5cacb25badadd7a83ef4">
  <xsd:schema xmlns:xsd="http://www.w3.org/2001/XMLSchema" xmlns:xs="http://www.w3.org/2001/XMLSchema" xmlns:p="http://schemas.microsoft.com/office/2006/metadata/properties" xmlns:ns3="f378fdfc-9717-4a21-af0b-0c471d2d969c" targetNamespace="http://schemas.microsoft.com/office/2006/metadata/properties" ma:root="true" ma:fieldsID="dd4eafa4019b15d3246c75f2d915fe17" ns3:_="">
    <xsd:import namespace="f378fdfc-9717-4a21-af0b-0c471d2d969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8fdfc-9717-4a21-af0b-0c471d2d969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78fdfc-9717-4a21-af0b-0c471d2d969c" xsi:nil="true"/>
  </documentManagement>
</p:properties>
</file>

<file path=customXml/itemProps1.xml><?xml version="1.0" encoding="utf-8"?>
<ds:datastoreItem xmlns:ds="http://schemas.openxmlformats.org/officeDocument/2006/customXml" ds:itemID="{C4F2AD2A-5AF6-427C-928A-000FE39630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78fdfc-9717-4a21-af0b-0c471d2d96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CC0C55-5287-4288-BB03-D1FDA956EE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1EC1CD-A1A8-41DC-9E0D-726EDCD5417B}">
  <ds:schemaRefs>
    <ds:schemaRef ds:uri="http://schemas.microsoft.com/office/2006/metadata/properties"/>
    <ds:schemaRef ds:uri="http://schemas.microsoft.com/office/2006/documentManagement/types"/>
    <ds:schemaRef ds:uri="f378fdfc-9717-4a21-af0b-0c471d2d969c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입고(2606)</vt:lpstr>
      <vt:lpstr>출고(2606)</vt:lpstr>
      <vt:lpstr>생산량(2606)</vt:lpstr>
      <vt:lpstr>통합현황</vt:lpstr>
      <vt:lpstr>통합현황!Print_Area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</dc:creator>
  <cp:lastModifiedBy>k9847</cp:lastModifiedBy>
  <cp:lastPrinted>2026-01-12T22:15:47Z</cp:lastPrinted>
  <dcterms:created xsi:type="dcterms:W3CDTF">2025-09-14T22:29:15Z</dcterms:created>
  <dcterms:modified xsi:type="dcterms:W3CDTF">2026-07-14T05:58:55Z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0x010100A6A46BCA2A2A064AB8C22D7505EED6E0</vt:lpwstr>
  </property>
</Properties>
</file>