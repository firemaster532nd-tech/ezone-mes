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you\Desktop\업무\01. 생산관리업무\에프엔테크\에프엔테크 입출고관리\"/>
    </mc:Choice>
  </mc:AlternateContent>
  <xr:revisionPtr revIDLastSave="0" documentId="13_ncr:1_{530E88CA-C7DF-4698-B5F5-5A5A741EB30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입고(2607)" sheetId="12" r:id="rId1"/>
    <sheet name="출고(2607)" sheetId="13" r:id="rId2"/>
    <sheet name="생산량(2607)" sheetId="14" r:id="rId3"/>
    <sheet name="통합현황" sheetId="16" r:id="rId4"/>
  </sheets>
  <definedNames>
    <definedName name="_xlnm.Print_Area" localSheetId="3">통합현황!$A$1:$P$60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14" l="1"/>
  <c r="AA23" i="14"/>
  <c r="AB22" i="14"/>
  <c r="AA22" i="14"/>
  <c r="AB21" i="14"/>
  <c r="AA21" i="14"/>
  <c r="T21" i="14"/>
  <c r="U21" i="14"/>
  <c r="T22" i="14"/>
  <c r="U22" i="14"/>
  <c r="T23" i="14"/>
  <c r="U23" i="14"/>
  <c r="T24" i="14"/>
  <c r="U24" i="14"/>
  <c r="S23" i="14"/>
  <c r="S22" i="14"/>
  <c r="S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V21" i="14"/>
  <c r="W21" i="14"/>
  <c r="X21" i="14"/>
  <c r="Y21" i="14"/>
  <c r="Z21" i="14"/>
  <c r="AC21" i="14"/>
  <c r="AD21" i="14"/>
  <c r="AE21" i="14"/>
  <c r="AF21" i="14"/>
  <c r="AG21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V22" i="14"/>
  <c r="W22" i="14"/>
  <c r="X22" i="14"/>
  <c r="Y22" i="14"/>
  <c r="Z22" i="14"/>
  <c r="AC22" i="14"/>
  <c r="AD22" i="14"/>
  <c r="AE22" i="14"/>
  <c r="AF22" i="14"/>
  <c r="AG22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V23" i="14"/>
  <c r="W23" i="14"/>
  <c r="X23" i="14"/>
  <c r="Y23" i="14"/>
  <c r="Z23" i="14"/>
  <c r="AC23" i="14"/>
  <c r="AD23" i="14"/>
  <c r="AE23" i="14"/>
  <c r="AF23" i="14"/>
  <c r="AG23" i="14"/>
  <c r="AC24" i="14"/>
  <c r="AD24" i="14"/>
  <c r="AE24" i="14"/>
  <c r="AF24" i="14"/>
  <c r="AG24" i="14"/>
  <c r="C23" i="14"/>
  <c r="C22" i="14"/>
  <c r="C21" i="14"/>
  <c r="C16" i="16"/>
  <c r="AB24" i="14" l="1"/>
  <c r="AA24" i="14"/>
  <c r="S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V24" i="14"/>
  <c r="W24" i="14"/>
  <c r="X24" i="14"/>
  <c r="Y24" i="14"/>
  <c r="Z24" i="14"/>
  <c r="D24" i="14"/>
  <c r="C24" i="14"/>
  <c r="D9" i="16"/>
  <c r="C9" i="16"/>
  <c r="AH12" i="14" l="1"/>
  <c r="G8" i="16" s="1"/>
  <c r="AH12" i="13"/>
  <c r="F8" i="16" s="1"/>
  <c r="AH12" i="12"/>
  <c r="E8" i="16" s="1"/>
  <c r="D8" i="16"/>
  <c r="C8" i="16"/>
  <c r="I8" i="16" l="1"/>
  <c r="I37" i="16" s="1"/>
  <c r="H8" i="16"/>
  <c r="J8" i="16" l="1"/>
  <c r="AH25" i="14"/>
  <c r="AH10" i="14"/>
  <c r="AH11" i="14"/>
  <c r="AH13" i="14"/>
  <c r="AH14" i="14"/>
  <c r="AH15" i="14"/>
  <c r="AH16" i="14"/>
  <c r="AH17" i="14"/>
  <c r="AH18" i="14"/>
  <c r="AH19" i="14"/>
  <c r="AH20" i="14"/>
  <c r="AH25" i="13"/>
  <c r="AH10" i="13"/>
  <c r="AH11" i="13"/>
  <c r="AH13" i="13"/>
  <c r="AH14" i="13"/>
  <c r="AH15" i="13"/>
  <c r="AH16" i="13"/>
  <c r="AH17" i="13"/>
  <c r="AH18" i="13"/>
  <c r="AH19" i="13"/>
  <c r="AH20" i="13"/>
  <c r="AH22" i="12"/>
  <c r="AH23" i="12"/>
  <c r="AH24" i="12"/>
  <c r="AH25" i="12"/>
  <c r="AH26" i="12"/>
  <c r="AH10" i="12"/>
  <c r="AH11" i="12"/>
  <c r="AH13" i="12"/>
  <c r="AH14" i="12"/>
  <c r="AH15" i="12"/>
  <c r="AH16" i="12"/>
  <c r="AH17" i="12"/>
  <c r="AH18" i="12"/>
  <c r="AH19" i="12"/>
  <c r="AH20" i="12"/>
  <c r="D12" i="16" l="1"/>
  <c r="C12" i="16"/>
  <c r="G12" i="16"/>
  <c r="F12" i="16"/>
  <c r="E12" i="16"/>
  <c r="I12" i="16" l="1"/>
  <c r="I48" i="16" s="1"/>
  <c r="H12" i="16"/>
  <c r="E9" i="16"/>
  <c r="G9" i="16"/>
  <c r="F9" i="16"/>
  <c r="H9" i="16" l="1"/>
  <c r="J12" i="16"/>
  <c r="I9" i="16"/>
  <c r="I39" i="16" s="1"/>
  <c r="F10" i="16"/>
  <c r="E10" i="16"/>
  <c r="G10" i="16"/>
  <c r="D10" i="16"/>
  <c r="C10" i="16"/>
  <c r="J9" i="16" l="1"/>
  <c r="I10" i="16"/>
  <c r="I41" i="16" s="1"/>
  <c r="H10" i="16"/>
  <c r="D7" i="16"/>
  <c r="C7" i="16"/>
  <c r="J10" i="16" l="1"/>
  <c r="G6" i="16"/>
  <c r="E6" i="16"/>
  <c r="F6" i="16"/>
  <c r="D6" i="16"/>
  <c r="C6" i="16"/>
  <c r="I6" i="16" l="1"/>
  <c r="I30" i="16" s="1"/>
  <c r="H6" i="16"/>
  <c r="J6" i="16" l="1"/>
  <c r="F13" i="16" l="1"/>
  <c r="E13" i="16"/>
  <c r="G13" i="16"/>
  <c r="D13" i="16"/>
  <c r="C13" i="16"/>
  <c r="H13" i="16" l="1"/>
  <c r="I13" i="16"/>
  <c r="I50" i="16" s="1"/>
  <c r="AH33" i="12"/>
  <c r="J13" i="16" l="1"/>
  <c r="D19" i="16"/>
  <c r="D20" i="16"/>
  <c r="D21" i="16"/>
  <c r="D18" i="16"/>
  <c r="D11" i="16"/>
  <c r="D14" i="16"/>
  <c r="D15" i="16"/>
  <c r="D16" i="16"/>
  <c r="D5" i="16"/>
  <c r="C11" i="16"/>
  <c r="G7" i="16"/>
  <c r="F7" i="16"/>
  <c r="E7" i="16"/>
  <c r="AH9" i="12"/>
  <c r="AH21" i="12"/>
  <c r="AH27" i="12"/>
  <c r="AH28" i="12"/>
  <c r="AH29" i="12"/>
  <c r="AH30" i="12"/>
  <c r="AH31" i="12"/>
  <c r="AH32" i="12"/>
  <c r="O34" i="12"/>
  <c r="S34" i="12"/>
  <c r="T34" i="12"/>
  <c r="V34" i="12"/>
  <c r="X34" i="12"/>
  <c r="AB34" i="12"/>
  <c r="AC34" i="12"/>
  <c r="AE34" i="12"/>
  <c r="AF34" i="12"/>
  <c r="E22" i="16" l="1"/>
  <c r="I7" i="16"/>
  <c r="I33" i="16" s="1"/>
  <c r="H7" i="16"/>
  <c r="J7" i="16" l="1"/>
  <c r="M5" i="16"/>
  <c r="M11" i="16"/>
  <c r="M14" i="16"/>
  <c r="AH22" i="14" l="1"/>
  <c r="C5" i="16"/>
  <c r="AH24" i="13" l="1"/>
  <c r="AH23" i="13"/>
  <c r="AH22" i="13"/>
  <c r="AH23" i="14"/>
  <c r="AH24" i="14"/>
  <c r="C14" i="16"/>
  <c r="C15" i="16"/>
  <c r="C18" i="16"/>
  <c r="C19" i="16"/>
  <c r="C20" i="16"/>
  <c r="C21" i="16"/>
  <c r="C22" i="16"/>
  <c r="G11" i="16" l="1"/>
  <c r="G14" i="16"/>
  <c r="AH21" i="14"/>
  <c r="G18" i="16" s="1"/>
  <c r="G19" i="16"/>
  <c r="G20" i="16"/>
  <c r="G21" i="16"/>
  <c r="G22" i="16"/>
  <c r="AH26" i="14"/>
  <c r="AH27" i="14"/>
  <c r="AH28" i="14"/>
  <c r="AH29" i="14"/>
  <c r="AH30" i="14"/>
  <c r="N5" i="16" s="1"/>
  <c r="AH31" i="14"/>
  <c r="N11" i="16" s="1"/>
  <c r="AH32" i="14"/>
  <c r="N14" i="16" s="1"/>
  <c r="AH33" i="14"/>
  <c r="P5" i="16" s="1"/>
  <c r="AH9" i="14"/>
  <c r="F11" i="16"/>
  <c r="F14" i="16"/>
  <c r="F15" i="16"/>
  <c r="F16" i="16"/>
  <c r="AH21" i="13"/>
  <c r="F19" i="16"/>
  <c r="F20" i="16"/>
  <c r="F21" i="16"/>
  <c r="AH26" i="13"/>
  <c r="AH27" i="13"/>
  <c r="AH28" i="13"/>
  <c r="AH29" i="13"/>
  <c r="AH30" i="13"/>
  <c r="AH31" i="13"/>
  <c r="AH32" i="13"/>
  <c r="AH33" i="13"/>
  <c r="AH9" i="13"/>
  <c r="E11" i="16"/>
  <c r="E14" i="16"/>
  <c r="E15" i="16"/>
  <c r="E16" i="16"/>
  <c r="E18" i="16"/>
  <c r="E19" i="16"/>
  <c r="E20" i="16"/>
  <c r="E21" i="16"/>
  <c r="E5" i="16"/>
  <c r="H21" i="16" l="1"/>
  <c r="F22" i="16"/>
  <c r="J22" i="16" s="1"/>
  <c r="O5" i="16"/>
  <c r="I11" i="16"/>
  <c r="I43" i="16" s="1"/>
  <c r="H11" i="16"/>
  <c r="G5" i="16"/>
  <c r="G15" i="16"/>
  <c r="I15" i="16" s="1"/>
  <c r="I55" i="16" s="1"/>
  <c r="O11" i="16"/>
  <c r="G16" i="16"/>
  <c r="I16" i="16" s="1"/>
  <c r="I57" i="16" s="1"/>
  <c r="O14" i="16"/>
  <c r="H14" i="16"/>
  <c r="F5" i="16"/>
  <c r="F18" i="16" s="1"/>
  <c r="H19" i="16"/>
  <c r="H20" i="16"/>
  <c r="H18" i="16"/>
  <c r="I14" i="16"/>
  <c r="I52" i="16" s="1"/>
  <c r="AF34" i="14"/>
  <c r="AE34" i="14"/>
  <c r="AC34" i="14"/>
  <c r="AB34" i="14"/>
  <c r="X34" i="14"/>
  <c r="V34" i="14"/>
  <c r="T34" i="14"/>
  <c r="S34" i="14"/>
  <c r="O34" i="14"/>
  <c r="AF34" i="13"/>
  <c r="AE34" i="13"/>
  <c r="AC34" i="13"/>
  <c r="AB34" i="13"/>
  <c r="X34" i="13"/>
  <c r="V34" i="13"/>
  <c r="T34" i="13"/>
  <c r="S34" i="13"/>
  <c r="O34" i="13"/>
  <c r="I20" i="16" l="1"/>
  <c r="J20" i="16" s="1"/>
  <c r="I19" i="16"/>
  <c r="J19" i="16" s="1"/>
  <c r="H5" i="16"/>
  <c r="I5" i="16"/>
  <c r="I25" i="16" s="1"/>
  <c r="H16" i="16"/>
  <c r="J16" i="16" s="1"/>
  <c r="H15" i="16"/>
  <c r="J15" i="16" s="1"/>
  <c r="J14" i="16"/>
  <c r="J11" i="16"/>
  <c r="I18" i="16" l="1"/>
  <c r="J5" i="16"/>
  <c r="I21" i="16" l="1"/>
  <c r="J21" i="16" s="1"/>
  <c r="J1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  <author>ATIV</author>
  </authors>
  <commentList>
    <comment ref="C9" authorId="0" shapeId="0" xr:uid="{4073AE2E-4E50-4C5F-89BC-35DE4226523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260701-FN-100(0961~1860)900
260701U002/260701GI001
260623-S03(1168~1350)183
260623-S04(1~500)500
260623-S05(1~217)217</t>
        </r>
      </text>
    </comment>
    <comment ref="O9" authorId="0" shapeId="0" xr:uid="{5ECC79E0-196D-46A8-933A-D2D99C9012C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260713-FN-100(0999~1898)900
260713U002/260713GI001
260709-S01(986~1400)415
260709-S02(1~485)485</t>
        </r>
      </text>
    </comment>
    <comment ref="C15" authorId="0" shapeId="0" xr:uid="{E0773A1D-CA76-4A8B-A5DB-F0ABF6E6583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260701-FN-100(0001~0960)960
260701U001/260701GI001
260623-S03(208~1167)960
</t>
        </r>
      </text>
    </comment>
    <comment ref="E15" authorId="0" shapeId="0" xr:uid="{13A13558-F865-4519-8D87-316B5BFD409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260703-FN-100(0001~1680)1680
260703U001/260703GI001
260623-S05(218~1897)1680
</t>
        </r>
      </text>
    </comment>
    <comment ref="O15" authorId="0" shapeId="0" xr:uid="{BB23897D-4543-44D9-9E06-F6137CC1EAB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260713-FN-100(0001~998)998
260713U001/260713GI001
260623-S05(1898~1910)13
260709-S01(1~985)985</t>
        </r>
      </text>
    </comment>
    <comment ref="Q15" authorId="0" shapeId="0" xr:uid="{EEE753EF-EF66-4E82-8BB5-A52710215B2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260715-FN-100(0001~1440)1440
260715U001/260715GI001
260709-S02(486~1400)915
260709-S03(1~525)525</t>
        </r>
      </text>
    </comment>
    <comment ref="V15" authorId="0" shapeId="0" xr:uid="{D330C7B1-94A8-4012-A9A2-3E123AA6397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260720-FN-100(0001~1680)1680
260720U001/260720GI001
260709-S03(526~1550)1025
260709-S05(1~655)655</t>
        </r>
      </text>
    </comment>
    <comment ref="C19" authorId="0" shapeId="0" xr:uid="{30524390-2001-42A2-9B9A-F1024721AFC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260701-FN-75(0001~0960)960
260701U003/260701GI002
260518-S07(488~500)13
260623-S04(1~947)947</t>
        </r>
      </text>
    </comment>
    <comment ref="Q19" authorId="0" shapeId="0" xr:uid="{D305375C-3BC0-42B4-A8A2-B3AADC26421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260715-FN-75(0001~0642)642
260715U002/260715GI002
260623-S04(948~1050)103
260709-S04(1~539)539</t>
        </r>
      </text>
    </comment>
    <comment ref="Q20" authorId="0" shapeId="0" xr:uid="{641571F0-8B00-464E-B82A-721BEADDEB4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260715-FN-50(0001~0447)447
260715U003/260715GI003
260602-S04(511~520)10
260709-S04(1~437)437</t>
        </r>
      </text>
    </comment>
    <comment ref="B21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250915GI001(436ea)</t>
        </r>
      </text>
    </comment>
    <comment ref="C21" authorId="0" shapeId="0" xr:uid="{E73BB5C1-9FE2-4B62-AB0E-91DADCFF540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260701GI001
</t>
        </r>
      </text>
    </comment>
    <comment ref="E21" authorId="0" shapeId="0" xr:uid="{E19EF165-A887-416E-8077-C4AB464475F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260703GI001
</t>
        </r>
      </text>
    </comment>
    <comment ref="O21" authorId="0" shapeId="0" xr:uid="{34D774E5-0DB4-44E2-B7D4-40B7CAA745C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260713GI001</t>
        </r>
      </text>
    </comment>
    <comment ref="Q21" authorId="0" shapeId="0" xr:uid="{96C3E087-D9E2-4F09-AA29-000949127AD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260715GI001</t>
        </r>
      </text>
    </comment>
    <comment ref="V21" authorId="0" shapeId="0" xr:uid="{9F049696-0F2C-497E-A742-50586B76649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260720GI001</t>
        </r>
      </text>
    </comment>
    <comment ref="B2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250915GI002(70ea)</t>
        </r>
      </text>
    </comment>
    <comment ref="C22" authorId="0" shapeId="0" xr:uid="{37E79FB9-1614-41FC-AEB7-6B44E4CED5E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260701GI002</t>
        </r>
      </text>
    </comment>
    <comment ref="Q22" authorId="0" shapeId="0" xr:uid="{0E52694E-5F20-4FFA-A9EB-32027F37344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260715GI002</t>
        </r>
      </text>
    </comment>
    <comment ref="B23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250915GI003(356ea)</t>
        </r>
      </text>
    </comment>
    <comment ref="Q23" authorId="0" shapeId="0" xr:uid="{FC501928-3A4C-4FA0-AC35-B1EA04118D0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260715GI003</t>
        </r>
      </text>
    </comment>
    <comment ref="B33" authorId="0" shapeId="0" xr:uid="{DC35308B-D3B9-4DB4-8B2B-99075569B16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260623-S04(36)</t>
        </r>
      </text>
    </comment>
    <comment ref="C33" authorId="0" shapeId="0" xr:uid="{991E9A85-4A5E-4864-B7B6-F4E19BDC498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260623-S05(37)</t>
        </r>
      </text>
    </comment>
    <comment ref="O33" authorId="0" shapeId="0" xr:uid="{CBC52495-FE2A-45C3-AF87-E153571EFAF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260709-S01(35)
260709-S02(35)</t>
        </r>
      </text>
    </comment>
    <comment ref="P33" authorId="0" shapeId="0" xr:uid="{0FFA1F2A-6FB7-4045-BAAF-427C7B32C71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260709-S03(36)
260709-S04(37)</t>
        </r>
      </text>
    </comment>
    <comment ref="R33" authorId="0" shapeId="0" xr:uid="{79F72358-C76C-4BD4-9B76-EFC372AC9DD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260709-S05(37)
260709-S06(38)
260714-S01(40)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C9" authorId="0" shapeId="0" xr:uid="{CD4A3E53-7497-4259-8D7D-0160A57D808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260629-FN-100(1201~1800)600
20629U002/260629GI001
260623-S02(658~1257)600</t>
        </r>
      </text>
    </comment>
    <comment ref="E9" authorId="0" shapeId="0" xr:uid="{32875132-CE33-45DE-AFCA-C4BAA8F3E94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260629-FN-100(1801~2100)300
260629U002/260629GI001
260623-S02(1258~1350)93
260623-S03(1~207)207</t>
        </r>
      </text>
    </comment>
    <comment ref="O9" authorId="0" shapeId="0" xr:uid="{F2309BE7-6370-489A-A742-1916D0E4800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260701-FN-100(0961~1860)900
260701U002/260701GI001
260623-S03(1168~1350)183
260623-S04(1~500)500
260623-S05(1~217)217
</t>
        </r>
      </text>
    </comment>
    <comment ref="Q9" authorId="0" shapeId="0" xr:uid="{E0C9CD28-C012-4695-92E5-5A8DDD81F93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260713-FN-100(999~1298)300
260713U002/260713GI001
260709-S01(986~1285)300</t>
        </r>
      </text>
    </comment>
    <comment ref="V9" authorId="0" shapeId="0" xr:uid="{3855B92F-9FFB-40D3-B7BB-0EC4DF560E9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260713-FN-100(1299~1898)600
260713U002/260713GI001
260709-S01(1286~1400)115
260709-S02(1~485)485</t>
        </r>
      </text>
    </comment>
    <comment ref="C15" authorId="0" shapeId="0" xr:uid="{55502BA3-2FCC-4163-9820-4848FF66B33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260629-FN-100(0001~1200)1200
20629U001/260629GI001
260623-S01(808~1350)543
260623-S02(1~657)657</t>
        </r>
      </text>
    </comment>
    <comment ref="E15" authorId="0" shapeId="0" xr:uid="{F024C296-C90F-44CA-BD3E-CF1E905976E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260701-FN-100(0001~0960)960
260701U001/260701GI001
260623-S03(208~1167)960
</t>
        </r>
      </text>
    </comment>
    <comment ref="O15" authorId="0" shapeId="0" xr:uid="{86787F5E-8571-4805-9820-D498D66CD51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260703-FN-100(0001~1200)1200
260703U001/260703GI001
260623-S05(218~1417)1200</t>
        </r>
      </text>
    </comment>
    <comment ref="Q15" authorId="0" shapeId="0" xr:uid="{D4D71A78-7ABD-4C27-BA15-2CA0984031C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260703-FN-100(1201~1680)480
260713-FN-100(0001~998)998
260703U001/260703GI001(480)
260713U001/260713GI001(998)
260623-S05(1418~1897)480
260623-S05(1898~1910)13
260709-S01(1~985)985</t>
        </r>
      </text>
    </comment>
    <comment ref="V15" authorId="0" shapeId="0" xr:uid="{4DEC145B-3256-4D32-B04E-47FC1FB6841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260715-FN-100(0001~1440)1440
260715U001/260715GI001
260709-S02(486~1400)915
260709-S03(1~525)525</t>
        </r>
      </text>
    </comment>
    <comment ref="E19" authorId="0" shapeId="0" xr:uid="{53783B58-2D42-4B00-BADF-6DB6295094F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260701-FN-75(0001~0960)960
260701U003/260701GI002
260518-S07(488~500)13
260623-S04(1~947)947</t>
        </r>
      </text>
    </comment>
    <comment ref="C20" authorId="0" shapeId="0" xr:uid="{4A30AA71-6A63-4F0A-920B-5BF310D7264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260605-FN-50(0781~1260)480
260605U003/260605GI002
260602-S04(31~510)480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C9" authorId="0" shapeId="0" xr:uid="{6797A1F2-CC16-4AB2-B293-146D1331C91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260629-FN-100(1801~2100)300
260629U002/260629GI001
260623-S02(1258~1350)93
260623-S03(1~207)207</t>
        </r>
      </text>
    </comment>
    <comment ref="E9" authorId="0" shapeId="0" xr:uid="{5038DC8B-949D-4097-A9CD-57137A51957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260701-FN-100(0961~1860)900
260701U002/260701GI001
260623-S03(1168~1350)183
260623-S04(1~500)500
260623-S05(1~217)217
</t>
        </r>
      </text>
    </comment>
    <comment ref="P9" authorId="0" shapeId="0" xr:uid="{1BF9B729-7257-4C4F-8709-8B893C039F3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260713-FN-100(999~1898)900
260713U002/260713GI001
260709-S01(986~1400)415
260709-S02(1~485)485</t>
        </r>
      </text>
    </comment>
    <comment ref="D15" authorId="0" shapeId="0" xr:uid="{9294E655-3CD4-4204-BDEF-6D999E09C4D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260701-FN-100(0001~0960)960
260701U001/260701GI001
260623-S03(208~1167)960
</t>
        </r>
      </text>
    </comment>
    <comment ref="J15" authorId="0" shapeId="0" xr:uid="{F8A08E30-2022-4364-83B0-70698F0D982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260703-FN-100(0001~0960)960
260703U001/260703GI001
260623-S05(218~1177)960</t>
        </r>
      </text>
    </comment>
    <comment ref="K15" authorId="0" shapeId="0" xr:uid="{F604E9C9-8E2B-490D-93C8-527DDF73940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260703-FN-100(0961~1680)720
260703U001/260703GI001
260623-S05(1178~1897)720</t>
        </r>
      </text>
    </comment>
    <comment ref="O15" authorId="0" shapeId="0" xr:uid="{29EBADCB-4B68-4B33-9DD6-819C13AA369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260713-FN-100(0001~0998)998
260713U001/260713GI001
260623-S05(1898~1910)13
260709-S01(1~985)985</t>
        </r>
      </text>
    </comment>
    <comment ref="Q15" authorId="0" shapeId="0" xr:uid="{AFEDD8B3-DC5F-45AD-8E96-F835A9446DA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260715-FN-100(0001~0840)840
260715U001/260715GI001
260709-S02(486~1325)840
</t>
        </r>
      </text>
    </comment>
    <comment ref="R15" authorId="0" shapeId="0" xr:uid="{6432817C-4078-43FD-82CD-5B742B9C278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260715-FN-100(0841~1440)600
260715U001/260715GI001
260709-S02(1326~1400)75
260709-S03(1~525)525</t>
        </r>
      </text>
    </comment>
    <comment ref="V15" authorId="0" shapeId="0" xr:uid="{20FF682A-534A-4FD7-85F9-603A40B2F6D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260720-FN-100(0001~0720)720
260720U001/260720GI001
260709-S03(526~1245)720</t>
        </r>
      </text>
    </comment>
    <comment ref="W15" authorId="0" shapeId="0" xr:uid="{16B3D8E7-0D2F-4BE3-B84E-283D190A6A6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260720-FN-100(0721~1680)960
260720U001/260720GI001
260709-S03(1246~1550)305
260709-S05(1~655)655</t>
        </r>
      </text>
    </comment>
    <comment ref="C19" authorId="0" shapeId="0" xr:uid="{EECB7F88-09FF-4639-81B9-9DE8E574A0F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260701-FN-75(0001~0760)760
260701U003/260701GI002
260518-S07(488~500)13
260623-S04(1~747)747</t>
        </r>
      </text>
    </comment>
    <comment ref="D19" authorId="0" shapeId="0" xr:uid="{B75B4366-F906-4791-84BE-638F651FCA6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260701-FN-75(0761~0960)200
260701U003/260701GI002
260623-S04(748~947)200</t>
        </r>
      </text>
    </comment>
    <comment ref="R19" authorId="0" shapeId="0" xr:uid="{D66F6EC1-2181-413C-A3C2-38FAC885CDA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260715-FN-75(0001~0342)342
260715U002/260715GI002
260623-S04(948~1050)103
260709-S04(1~239)239</t>
        </r>
      </text>
    </comment>
    <comment ref="V19" authorId="0" shapeId="0" xr:uid="{26AC9895-E2EB-410E-8512-E43F8AF73EE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260715-FN-75(0343~0642)300
260715U002/260715GI002
260709-S04(240~539)300</t>
        </r>
      </text>
    </comment>
    <comment ref="X20" authorId="0" shapeId="0" xr:uid="{DD1CBEBE-9D78-4BD6-BACB-3E560266751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260715-FN-50(0001~0447)447
260715U003/260715GI003
260602-S04(511~520)10
260709-S04(1~437)437</t>
        </r>
      </text>
    </comment>
    <comment ref="C30" authorId="0" shapeId="0" xr:uid="{AC5E8697-9B12-406E-BB2D-1C09AE39DF7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260623-S04(12)</t>
        </r>
      </text>
    </comment>
    <comment ref="E30" authorId="0" shapeId="0" xr:uid="{D7576952-6909-4899-AF27-E9984E373B0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260623-S05(1910)</t>
        </r>
      </text>
    </comment>
    <comment ref="O30" authorId="0" shapeId="0" xr:uid="{75C3BFCE-4440-4132-967D-48D38AC4B99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260709-S01(1400)
260709-S02(1400)</t>
        </r>
      </text>
    </comment>
    <comment ref="P30" authorId="0" shapeId="0" xr:uid="{C9B88A98-E52A-4614-AEFD-9A018FDBAA8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260709-S03(1550)
</t>
        </r>
      </text>
    </comment>
    <comment ref="R30" authorId="0" shapeId="0" xr:uid="{A8904A03-E602-42B9-8FED-75FA6816F07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260709-S05(37)</t>
        </r>
      </text>
    </comment>
    <comment ref="C31" authorId="0" shapeId="0" xr:uid="{9D16320C-3D7B-4817-A995-77F0241C6CA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260623-S04(24)</t>
        </r>
      </text>
    </comment>
    <comment ref="P31" authorId="0" shapeId="0" xr:uid="{95DFB50C-56A9-4FDA-A148-57F9C45D4E3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260709-S04(25)</t>
        </r>
      </text>
    </comment>
    <comment ref="P32" authorId="0" shapeId="0" xr:uid="{4FF6D128-DE57-4BC2-9173-FCA6EA5C4AF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260709-S04(12)</t>
        </r>
      </text>
    </comment>
    <comment ref="C33" authorId="0" shapeId="0" xr:uid="{3DE1376A-3F0A-4B25-88E3-881E3820076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260623-S04(36)</t>
        </r>
      </text>
    </comment>
    <comment ref="E33" authorId="0" shapeId="0" xr:uid="{73C60AD4-6203-4896-A216-910C564374B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260623-S05(37)</t>
        </r>
      </text>
    </comment>
    <comment ref="O33" authorId="0" shapeId="0" xr:uid="{D88659A1-BD7A-432F-B9C7-CA863BCF2B6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260709-S01(35)
260709-S02(35)</t>
        </r>
      </text>
    </comment>
    <comment ref="P33" authorId="0" shapeId="0" xr:uid="{23930F65-4429-4473-9C13-87D05590DDF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260709-S03(36)
260709-S04(37)</t>
        </r>
      </text>
    </comment>
    <comment ref="R33" authorId="0" shapeId="0" xr:uid="{4BA7F04D-D433-4E34-B463-CF53A03676B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260709-S05(37)
260709-S06(38)
260714-S01(40)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ATIV</author>
  </authors>
  <commentList>
    <comment ref="C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250915GI001(436)</t>
        </r>
      </text>
    </comment>
    <comment ref="C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250915GI002(70)</t>
        </r>
      </text>
    </comment>
    <comment ref="C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250915GI003(356)</t>
        </r>
      </text>
    </comment>
  </commentList>
</comments>
</file>

<file path=xl/sharedStrings.xml><?xml version="1.0" encoding="utf-8"?>
<sst xmlns="http://schemas.openxmlformats.org/spreadsheetml/2006/main" count="402" uniqueCount="162">
  <si>
    <t>품명</t>
    <phoneticPr fontId="2" type="noConversion"/>
  </si>
  <si>
    <t>보호철판 / 100</t>
    <phoneticPr fontId="2" type="noConversion"/>
  </si>
  <si>
    <t>볼트,너트,와샤</t>
    <phoneticPr fontId="2" type="noConversion"/>
  </si>
  <si>
    <t>한국파렛트</t>
    <phoneticPr fontId="2" type="noConversion"/>
  </si>
  <si>
    <t>12일</t>
    <phoneticPr fontId="2" type="noConversion"/>
  </si>
  <si>
    <t>13일</t>
    <phoneticPr fontId="2" type="noConversion"/>
  </si>
  <si>
    <t>14일</t>
  </si>
  <si>
    <t>15일</t>
  </si>
  <si>
    <t>16일</t>
  </si>
  <si>
    <t>17일</t>
  </si>
  <si>
    <t>21일</t>
  </si>
  <si>
    <t>22일</t>
  </si>
  <si>
    <t>23일</t>
  </si>
  <si>
    <t>24일</t>
  </si>
  <si>
    <t>28일</t>
  </si>
  <si>
    <t>합계</t>
    <phoneticPr fontId="2" type="noConversion"/>
  </si>
  <si>
    <t>발포소켓 몸체(75)</t>
    <phoneticPr fontId="2" type="noConversion"/>
  </si>
  <si>
    <t>발포소켓 몸체(50)</t>
    <phoneticPr fontId="2" type="noConversion"/>
  </si>
  <si>
    <t>보호철판 / 75</t>
    <phoneticPr fontId="2" type="noConversion"/>
  </si>
  <si>
    <t>보호철판 / 50</t>
    <phoneticPr fontId="2" type="noConversion"/>
  </si>
  <si>
    <t>화창파렛트</t>
    <phoneticPr fontId="2" type="noConversion"/>
  </si>
  <si>
    <t>박스/내화충전발포소켓(210)</t>
    <phoneticPr fontId="2" type="noConversion"/>
  </si>
  <si>
    <t>발포소켓 몸체(100)(210H)</t>
    <phoneticPr fontId="2" type="noConversion"/>
  </si>
  <si>
    <t>1일</t>
    <phoneticPr fontId="2" type="noConversion"/>
  </si>
  <si>
    <t>2일</t>
    <phoneticPr fontId="2" type="noConversion"/>
  </si>
  <si>
    <t>3일</t>
    <phoneticPr fontId="2" type="noConversion"/>
  </si>
  <si>
    <t>6일</t>
  </si>
  <si>
    <t>7일</t>
  </si>
  <si>
    <t>8일</t>
  </si>
  <si>
    <t>9일</t>
  </si>
  <si>
    <t>10일</t>
  </si>
  <si>
    <t>4일</t>
    <phoneticPr fontId="2" type="noConversion"/>
  </si>
  <si>
    <t>5일</t>
    <phoneticPr fontId="2" type="noConversion"/>
  </si>
  <si>
    <t>11일</t>
    <phoneticPr fontId="2" type="noConversion"/>
  </si>
  <si>
    <t>18일</t>
    <phoneticPr fontId="2" type="noConversion"/>
  </si>
  <si>
    <t>19일</t>
    <phoneticPr fontId="2" type="noConversion"/>
  </si>
  <si>
    <t>25일</t>
    <phoneticPr fontId="2" type="noConversion"/>
  </si>
  <si>
    <t>26일</t>
    <phoneticPr fontId="2" type="noConversion"/>
  </si>
  <si>
    <t>ES박스</t>
    <phoneticPr fontId="2" type="noConversion"/>
  </si>
  <si>
    <t>화창박스</t>
    <phoneticPr fontId="2" type="noConversion"/>
  </si>
  <si>
    <t>20일</t>
    <phoneticPr fontId="2" type="noConversion"/>
  </si>
  <si>
    <t>27일</t>
    <phoneticPr fontId="2" type="noConversion"/>
  </si>
  <si>
    <t>발포소켓 몸체(100)(260H)</t>
    <phoneticPr fontId="2" type="noConversion"/>
  </si>
  <si>
    <t xml:space="preserve">  </t>
  </si>
  <si>
    <t xml:space="preserve"> </t>
  </si>
  <si>
    <t>q</t>
  </si>
  <si>
    <t>100(210H)</t>
    <phoneticPr fontId="2" type="noConversion"/>
  </si>
  <si>
    <t>100(260H)</t>
    <phoneticPr fontId="2" type="noConversion"/>
  </si>
  <si>
    <t>100(몸통)</t>
    <phoneticPr fontId="2" type="noConversion"/>
  </si>
  <si>
    <t>보호철판(50)</t>
    <phoneticPr fontId="2" type="noConversion"/>
  </si>
  <si>
    <t>보호철판(75)</t>
    <phoneticPr fontId="2" type="noConversion"/>
  </si>
  <si>
    <t>보호철판(100)</t>
    <phoneticPr fontId="2" type="noConversion"/>
  </si>
  <si>
    <t>볼트,너트,와샤</t>
    <phoneticPr fontId="2" type="noConversion"/>
  </si>
  <si>
    <t>시트(압출)</t>
    <phoneticPr fontId="2" type="noConversion"/>
  </si>
  <si>
    <t>전월재고</t>
    <phoneticPr fontId="2" type="noConversion"/>
  </si>
  <si>
    <t>생산수량</t>
    <phoneticPr fontId="2" type="noConversion"/>
  </si>
  <si>
    <t>타입/현황</t>
    <phoneticPr fontId="2" type="noConversion"/>
  </si>
  <si>
    <t>시트(재단)100</t>
    <phoneticPr fontId="2" type="noConversion"/>
  </si>
  <si>
    <t>시트(재단)75</t>
    <phoneticPr fontId="2" type="noConversion"/>
  </si>
  <si>
    <t>시트(재단)50</t>
    <phoneticPr fontId="2" type="noConversion"/>
  </si>
  <si>
    <t>스티커부착작업</t>
    <phoneticPr fontId="2" type="noConversion"/>
  </si>
  <si>
    <t>스티커동봉</t>
    <phoneticPr fontId="2" type="noConversion"/>
  </si>
  <si>
    <t>박스스티커동봉</t>
    <phoneticPr fontId="2" type="noConversion"/>
  </si>
  <si>
    <t>최진영차장출력</t>
    <phoneticPr fontId="2" type="noConversion"/>
  </si>
  <si>
    <t>이윤호주임출력</t>
    <phoneticPr fontId="2" type="noConversion"/>
  </si>
  <si>
    <t>반제품, 완제품 현황</t>
    <phoneticPr fontId="2" type="noConversion"/>
  </si>
  <si>
    <t>총 합계</t>
    <phoneticPr fontId="2" type="noConversion"/>
  </si>
  <si>
    <t>전월재고(반제품)</t>
    <phoneticPr fontId="2" type="noConversion"/>
  </si>
  <si>
    <t>전월재고(완제품)</t>
    <phoneticPr fontId="2" type="noConversion"/>
  </si>
  <si>
    <t>생산수량(완제품)</t>
    <phoneticPr fontId="2" type="noConversion"/>
  </si>
  <si>
    <t>반제품 계</t>
    <phoneticPr fontId="2" type="noConversion"/>
  </si>
  <si>
    <t>완제품 계</t>
    <phoneticPr fontId="2" type="noConversion"/>
  </si>
  <si>
    <t>100(260H)</t>
    <phoneticPr fontId="2" type="noConversion"/>
  </si>
  <si>
    <t>100(몸통)</t>
    <phoneticPr fontId="2" type="noConversion"/>
  </si>
  <si>
    <t>재단시트재고</t>
    <phoneticPr fontId="2" type="noConversion"/>
  </si>
  <si>
    <t>압출시트재고</t>
    <phoneticPr fontId="2" type="noConversion"/>
  </si>
  <si>
    <t>출력여부</t>
    <phoneticPr fontId="2" type="noConversion"/>
  </si>
  <si>
    <t>1BOX/1PALLET</t>
    <phoneticPr fontId="2" type="noConversion"/>
  </si>
  <si>
    <t>시트 재고현황</t>
    <phoneticPr fontId="2" type="noConversion"/>
  </si>
  <si>
    <t>출고수량</t>
    <phoneticPr fontId="2" type="noConversion"/>
  </si>
  <si>
    <t>수량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</si>
  <si>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</si>
  <si>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</si>
  <si>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</si>
  <si>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</si>
  <si>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월</t>
    <phoneticPr fontId="2" type="noConversion"/>
  </si>
  <si>
    <t>화</t>
    <phoneticPr fontId="2" type="noConversion"/>
  </si>
  <si>
    <t>발포소켓 몸체(100)(170H)</t>
    <phoneticPr fontId="2" type="noConversion"/>
  </si>
  <si>
    <t>100(170H)</t>
    <phoneticPr fontId="2" type="noConversion"/>
  </si>
  <si>
    <t>(반제품)</t>
    <phoneticPr fontId="2" type="noConversion"/>
  </si>
  <si>
    <t>(완제품)</t>
    <phoneticPr fontId="2" type="noConversion"/>
  </si>
  <si>
    <t>시트(압출) - 재단수량</t>
    <phoneticPr fontId="2" type="noConversion"/>
  </si>
  <si>
    <t>시트(압출)</t>
    <phoneticPr fontId="2" type="noConversion"/>
  </si>
  <si>
    <t>발포소켓 몸체(100)(250H)</t>
    <phoneticPr fontId="2" type="noConversion"/>
  </si>
  <si>
    <t>100(250H)</t>
    <phoneticPr fontId="2" type="noConversion"/>
  </si>
  <si>
    <t>파렛트(한국,화창)</t>
    <phoneticPr fontId="2" type="noConversion"/>
  </si>
  <si>
    <t>스티커 O</t>
    <phoneticPr fontId="2" type="noConversion"/>
  </si>
  <si>
    <t>발포소켓 몸체(100)(150H)</t>
    <phoneticPr fontId="2" type="noConversion"/>
  </si>
  <si>
    <t>100(150H)</t>
    <phoneticPr fontId="2" type="noConversion"/>
  </si>
  <si>
    <t>발포소켓 몸체(100)(200H)</t>
    <phoneticPr fontId="2" type="noConversion"/>
  </si>
  <si>
    <t>발포소켓 몸체(100)-몸통</t>
    <phoneticPr fontId="2" type="noConversion"/>
  </si>
  <si>
    <t>100(200H)</t>
    <phoneticPr fontId="2" type="noConversion"/>
  </si>
  <si>
    <t>300EA</t>
    <phoneticPr fontId="2" type="noConversion"/>
  </si>
  <si>
    <t>12EA</t>
    <phoneticPr fontId="2" type="noConversion"/>
  </si>
  <si>
    <t>240EA</t>
    <phoneticPr fontId="2" type="noConversion"/>
  </si>
  <si>
    <t>240EA</t>
    <phoneticPr fontId="2" type="noConversion"/>
  </si>
  <si>
    <t>24EA</t>
    <phoneticPr fontId="2" type="noConversion"/>
  </si>
  <si>
    <t>960EA</t>
    <phoneticPr fontId="2" type="noConversion"/>
  </si>
  <si>
    <t>30EA</t>
    <phoneticPr fontId="2" type="noConversion"/>
  </si>
  <si>
    <t>1440EA</t>
    <phoneticPr fontId="2" type="noConversion"/>
  </si>
  <si>
    <t>발포소켓 몸체(100)(190H)</t>
    <phoneticPr fontId="2" type="noConversion"/>
  </si>
  <si>
    <t>100(190H)</t>
    <phoneticPr fontId="2" type="noConversion"/>
  </si>
  <si>
    <t>발포소켓 몸체(100)(240H)</t>
    <phoneticPr fontId="2" type="noConversion"/>
  </si>
  <si>
    <t>100(240H)</t>
    <phoneticPr fontId="2" type="noConversion"/>
  </si>
  <si>
    <t>100(240H)</t>
    <phoneticPr fontId="2" type="noConversion"/>
  </si>
  <si>
    <t>조립일정</t>
    <phoneticPr fontId="2" type="noConversion"/>
  </si>
  <si>
    <t>스티커</t>
    <phoneticPr fontId="2" type="noConversion"/>
  </si>
  <si>
    <t>발포소켓 몸체(100)(180H)</t>
    <phoneticPr fontId="2" type="noConversion"/>
  </si>
  <si>
    <t>100(180H)</t>
    <phoneticPr fontId="2" type="noConversion"/>
  </si>
  <si>
    <t>부착</t>
    <phoneticPr fontId="2" type="noConversion"/>
  </si>
  <si>
    <t>12EA</t>
    <phoneticPr fontId="2" type="noConversion"/>
  </si>
  <si>
    <t>화창파렛트(검정)</t>
    <phoneticPr fontId="2" type="noConversion"/>
  </si>
  <si>
    <t>한국파렛트(총수량)</t>
    <phoneticPr fontId="2" type="noConversion"/>
  </si>
  <si>
    <t>29일</t>
    <phoneticPr fontId="2" type="noConversion"/>
  </si>
  <si>
    <t>일</t>
    <phoneticPr fontId="2" type="noConversion"/>
  </si>
  <si>
    <t>30일</t>
    <phoneticPr fontId="2" type="noConversion"/>
  </si>
  <si>
    <t>생산LOT</t>
    <phoneticPr fontId="2" type="noConversion"/>
  </si>
  <si>
    <t>사용시트LOT</t>
    <phoneticPr fontId="2" type="noConversion"/>
  </si>
  <si>
    <t>재고정리</t>
    <phoneticPr fontId="2" type="noConversion"/>
  </si>
  <si>
    <t>재고</t>
    <phoneticPr fontId="2" type="noConversion"/>
  </si>
  <si>
    <t>부착중</t>
    <phoneticPr fontId="2" type="noConversion"/>
  </si>
  <si>
    <t>06월입고</t>
    <phoneticPr fontId="2" type="noConversion"/>
  </si>
  <si>
    <t>06월출고</t>
    <phoneticPr fontId="2" type="noConversion"/>
  </si>
  <si>
    <t>출고시트LOT</t>
    <phoneticPr fontId="2" type="noConversion"/>
  </si>
  <si>
    <t xml:space="preserve"> 2026년 07월 FN테크 제품현황</t>
    <phoneticPr fontId="15" type="noConversion"/>
  </si>
  <si>
    <t>07월</t>
    <phoneticPr fontId="2" type="noConversion"/>
  </si>
  <si>
    <t>06월재고</t>
    <phoneticPr fontId="2" type="noConversion"/>
  </si>
  <si>
    <t>31일</t>
    <phoneticPr fontId="2" type="noConversion"/>
  </si>
  <si>
    <t>260713U002/260713GI001</t>
    <phoneticPr fontId="2" type="noConversion"/>
  </si>
  <si>
    <t>600(2P)</t>
    <phoneticPr fontId="2" type="noConversion"/>
  </si>
  <si>
    <t>260713-FN-100(1299~1898)</t>
    <phoneticPr fontId="2" type="noConversion"/>
  </si>
  <si>
    <t>260709-S02(1~485)485</t>
    <phoneticPr fontId="2" type="noConversion"/>
  </si>
  <si>
    <t>260709-S01(1286~1400)115</t>
    <phoneticPr fontId="2" type="noConversion"/>
  </si>
  <si>
    <t>260715-FN-100(0001~1440)</t>
    <phoneticPr fontId="2" type="noConversion"/>
  </si>
  <si>
    <t>260715U001/260715GI001</t>
    <phoneticPr fontId="2" type="noConversion"/>
  </si>
  <si>
    <t>260709-S02(486~1400)915</t>
  </si>
  <si>
    <t>260709-S03(1~525)525</t>
    <phoneticPr fontId="2" type="noConversion"/>
  </si>
  <si>
    <t>260705-FN-75(0001~0642)</t>
    <phoneticPr fontId="2" type="noConversion"/>
  </si>
  <si>
    <t>260715U002/260715GI002</t>
    <phoneticPr fontId="2" type="noConversion"/>
  </si>
  <si>
    <t>260623-S04(948~1050)103</t>
    <phoneticPr fontId="2" type="noConversion"/>
  </si>
  <si>
    <t>260709-S04(1~539)539</t>
    <phoneticPr fontId="2" type="noConversion"/>
  </si>
  <si>
    <t>260715-FN-50(0001~0267)</t>
    <phoneticPr fontId="2" type="noConversion"/>
  </si>
  <si>
    <t>260715U003/260715GI003</t>
    <phoneticPr fontId="2" type="noConversion"/>
  </si>
  <si>
    <t>260602-S04(511~520)10</t>
    <phoneticPr fontId="2" type="noConversion"/>
  </si>
  <si>
    <t>260709-S04(1~257)257</t>
    <phoneticPr fontId="2" type="noConversion"/>
  </si>
  <si>
    <t>출고LOT(07/20)</t>
    <phoneticPr fontId="2" type="noConversion"/>
  </si>
  <si>
    <t>1440(6P)</t>
    <phoneticPr fontId="2" type="noConversion"/>
  </si>
  <si>
    <t>260720-FN-100(0001~1680)</t>
    <phoneticPr fontId="2" type="noConversion"/>
  </si>
  <si>
    <t>260720U001/260720GI001</t>
    <phoneticPr fontId="2" type="noConversion"/>
  </si>
  <si>
    <t>260709-S03(526~1550)1025</t>
    <phoneticPr fontId="2" type="noConversion"/>
  </si>
  <si>
    <t>260709-S05(1~655)655</t>
    <phoneticPr fontId="2" type="noConversion"/>
  </si>
  <si>
    <t>입고LOT(07/20)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</si>
</sst>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 &quot;* #,##0&quot; &quot;;&quot;-&quot;* #,##0&quot; &quot;;&quot; &quot;* &quot;- &quot;;&quot; &quot;@&quot; &quot;"/>
  </numFmts>
  <fonts count="41">
    <font>
      <sz val="11"/>
      <color theme="1"/>
      <name val="맑은 고딕"/>
      <family val="2"/>
      <charset val="129"/>
      <scheme val="minor"/>
    </font>
    <font>
      <sz val="10"/>
      <color indexed="8"/>
      <name val="Helvetica Neue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8"/>
      <name val="Helvetica Neue"/>
      <family val="3"/>
      <charset val="129"/>
    </font>
    <font>
      <b/>
      <sz val="10"/>
      <color rgb="FF002060"/>
      <name val="Helvetica Neue"/>
      <family val="3"/>
      <charset val="129"/>
    </font>
    <font>
      <b/>
      <sz val="10"/>
      <color theme="4"/>
      <name val="Helvetica Neue"/>
      <family val="3"/>
      <charset val="129"/>
    </font>
    <font>
      <b/>
      <sz val="10"/>
      <color rgb="FFFF0000"/>
      <name val="Helvetica Neue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ajor"/>
    </font>
    <font>
      <sz val="11"/>
      <color theme="5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color theme="4"/>
      <name val="맑은 고딕"/>
      <family val="3"/>
      <charset val="129"/>
      <scheme val="major"/>
    </font>
    <font>
      <sz val="8"/>
      <color rgb="FF00206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6"/>
      <color indexed="8"/>
      <name val="Helvetica Neue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thick">
        <color rgb="FF00206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Protection="0">
      <alignment vertical="top" wrapText="1"/>
    </xf>
    <xf numFmtId="176" fontId="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75">
    <xf numFmtId="0" fontId="0" fillId="0" borderId="0" xfId="0">
      <alignment vertical="center"/>
    </xf>
    <xf numFmtId="0" fontId="1" fillId="0" borderId="0" xfId="1">
      <alignment vertical="top" wrapText="1"/>
    </xf>
    <xf numFmtId="0" fontId="1" fillId="0" borderId="1" xfId="1" applyBorder="1">
      <alignment vertical="top" wrapText="1"/>
    </xf>
    <xf numFmtId="0" fontId="1" fillId="0" borderId="0" xfId="1" applyAlignment="1">
      <alignment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1" fontId="6" fillId="3" borderId="2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4" fillId="4" borderId="2" xfId="1" applyNumberFormat="1" applyFont="1" applyFill="1" applyBorder="1" applyAlignment="1">
      <alignment horizontal="center" vertical="center" wrapText="1"/>
    </xf>
    <xf numFmtId="1" fontId="6" fillId="4" borderId="2" xfId="1" applyNumberFormat="1" applyFont="1" applyFill="1" applyBorder="1" applyAlignment="1">
      <alignment horizontal="center" vertical="center" wrapText="1"/>
    </xf>
    <xf numFmtId="0" fontId="5" fillId="4" borderId="2" xfId="1" applyNumberFormat="1" applyFont="1" applyFill="1" applyBorder="1" applyAlignment="1">
      <alignment horizontal="center" vertical="center" wrapText="1"/>
    </xf>
    <xf numFmtId="0" fontId="7" fillId="0" borderId="0" xfId="4" applyAlignment="1">
      <alignment horizontal="center" vertical="center"/>
    </xf>
    <xf numFmtId="0" fontId="16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7" fillId="7" borderId="8" xfId="4" applyFont="1" applyFill="1" applyBorder="1" applyAlignment="1">
      <alignment horizontal="center" vertical="center"/>
    </xf>
    <xf numFmtId="0" fontId="17" fillId="7" borderId="9" xfId="4" applyFont="1" applyFill="1" applyBorder="1" applyAlignment="1">
      <alignment horizontal="center" vertical="center"/>
    </xf>
    <xf numFmtId="0" fontId="17" fillId="7" borderId="10" xfId="4" applyFont="1" applyFill="1" applyBorder="1" applyAlignment="1">
      <alignment horizontal="center" vertical="center"/>
    </xf>
    <xf numFmtId="0" fontId="17" fillId="6" borderId="9" xfId="4" applyFont="1" applyFill="1" applyBorder="1" applyAlignment="1">
      <alignment horizontal="center" vertical="center"/>
    </xf>
    <xf numFmtId="0" fontId="17" fillId="10" borderId="9" xfId="4" applyFont="1" applyFill="1" applyBorder="1" applyAlignment="1">
      <alignment horizontal="center" vertical="center"/>
    </xf>
    <xf numFmtId="0" fontId="17" fillId="10" borderId="10" xfId="4" applyFont="1" applyFill="1" applyBorder="1" applyAlignment="1">
      <alignment horizontal="center" vertical="center"/>
    </xf>
    <xf numFmtId="0" fontId="17" fillId="7" borderId="11" xfId="4" applyFont="1" applyFill="1" applyBorder="1" applyAlignment="1">
      <alignment horizontal="center" vertical="center"/>
    </xf>
    <xf numFmtId="0" fontId="17" fillId="6" borderId="12" xfId="4" applyFont="1" applyFill="1" applyBorder="1" applyAlignment="1">
      <alignment horizontal="center" vertical="center"/>
    </xf>
    <xf numFmtId="0" fontId="18" fillId="10" borderId="12" xfId="4" applyFont="1" applyFill="1" applyBorder="1" applyAlignment="1">
      <alignment horizontal="center" vertical="center"/>
    </xf>
    <xf numFmtId="0" fontId="17" fillId="10" borderId="13" xfId="4" applyFont="1" applyFill="1" applyBorder="1" applyAlignment="1">
      <alignment horizontal="center" vertical="center"/>
    </xf>
    <xf numFmtId="0" fontId="17" fillId="7" borderId="14" xfId="4" applyFont="1" applyFill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41" fontId="21" fillId="6" borderId="9" xfId="4" applyNumberFormat="1" applyFont="1" applyFill="1" applyBorder="1" applyAlignment="1">
      <alignment horizontal="center" vertical="center"/>
    </xf>
    <xf numFmtId="41" fontId="21" fillId="9" borderId="9" xfId="4" applyNumberFormat="1" applyFont="1" applyFill="1" applyBorder="1" applyAlignment="1">
      <alignment horizontal="center" vertical="center"/>
    </xf>
    <xf numFmtId="41" fontId="21" fillId="9" borderId="10" xfId="4" applyNumberFormat="1" applyFont="1" applyFill="1" applyBorder="1" applyAlignment="1">
      <alignment horizontal="center" vertical="center"/>
    </xf>
    <xf numFmtId="41" fontId="21" fillId="6" borderId="12" xfId="4" applyNumberFormat="1" applyFont="1" applyFill="1" applyBorder="1" applyAlignment="1">
      <alignment horizontal="center" vertical="center"/>
    </xf>
    <xf numFmtId="41" fontId="21" fillId="9" borderId="12" xfId="4" applyNumberFormat="1" applyFont="1" applyFill="1" applyBorder="1" applyAlignment="1">
      <alignment horizontal="center" vertical="center"/>
    </xf>
    <xf numFmtId="41" fontId="21" fillId="9" borderId="13" xfId="4" applyNumberFormat="1" applyFont="1" applyFill="1" applyBorder="1" applyAlignment="1">
      <alignment horizontal="center" vertical="center"/>
    </xf>
    <xf numFmtId="0" fontId="21" fillId="7" borderId="8" xfId="4" applyFont="1" applyFill="1" applyBorder="1" applyAlignment="1">
      <alignment horizontal="center" vertical="center"/>
    </xf>
    <xf numFmtId="41" fontId="21" fillId="8" borderId="9" xfId="3" applyFont="1" applyFill="1" applyBorder="1" applyAlignment="1">
      <alignment horizontal="center" vertical="center"/>
    </xf>
    <xf numFmtId="41" fontId="21" fillId="8" borderId="14" xfId="3" applyFont="1" applyFill="1" applyBorder="1" applyAlignment="1">
      <alignment horizontal="center" vertical="center"/>
    </xf>
    <xf numFmtId="41" fontId="21" fillId="8" borderId="12" xfId="3" applyFont="1" applyFill="1" applyBorder="1" applyAlignment="1">
      <alignment horizontal="center" vertical="center"/>
    </xf>
    <xf numFmtId="41" fontId="21" fillId="8" borderId="15" xfId="3" applyFont="1" applyFill="1" applyBorder="1" applyAlignment="1">
      <alignment horizontal="center" vertical="center"/>
    </xf>
    <xf numFmtId="41" fontId="21" fillId="6" borderId="9" xfId="3" applyFont="1" applyFill="1" applyBorder="1" applyAlignment="1">
      <alignment horizontal="center" vertical="center"/>
    </xf>
    <xf numFmtId="41" fontId="21" fillId="10" borderId="9" xfId="3" applyFont="1" applyFill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41" fontId="21" fillId="0" borderId="9" xfId="4" applyNumberFormat="1" applyFont="1" applyBorder="1" applyAlignment="1">
      <alignment horizontal="center" vertical="center"/>
    </xf>
    <xf numFmtId="41" fontId="21" fillId="0" borderId="9" xfId="3" applyFont="1" applyFill="1" applyBorder="1" applyAlignment="1">
      <alignment horizontal="center" vertical="center"/>
    </xf>
    <xf numFmtId="41" fontId="21" fillId="0" borderId="14" xfId="3" applyFont="1" applyFill="1" applyBorder="1" applyAlignment="1">
      <alignment horizontal="center" vertical="center"/>
    </xf>
    <xf numFmtId="41" fontId="21" fillId="0" borderId="10" xfId="4" applyNumberFormat="1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7" fillId="12" borderId="23" xfId="4" applyFill="1" applyBorder="1" applyAlignment="1">
      <alignment horizontal="center" vertical="center"/>
    </xf>
    <xf numFmtId="0" fontId="7" fillId="12" borderId="24" xfId="4" applyFill="1" applyBorder="1" applyAlignment="1">
      <alignment horizontal="center" vertical="center"/>
    </xf>
    <xf numFmtId="0" fontId="7" fillId="12" borderId="25" xfId="4" applyFill="1" applyBorder="1" applyAlignment="1">
      <alignment horizontal="center" vertical="center"/>
    </xf>
    <xf numFmtId="0" fontId="7" fillId="0" borderId="30" xfId="4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1" fillId="0" borderId="0" xfId="1" applyFill="1">
      <alignment vertical="top" wrapText="1"/>
    </xf>
    <xf numFmtId="0" fontId="23" fillId="0" borderId="9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8" fillId="0" borderId="9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20" fillId="0" borderId="9" xfId="4" applyFont="1" applyBorder="1">
      <alignment vertical="center"/>
    </xf>
    <xf numFmtId="0" fontId="19" fillId="0" borderId="10" xfId="4" applyFont="1" applyBorder="1" applyAlignment="1">
      <alignment horizontal="center" vertical="center"/>
    </xf>
    <xf numFmtId="0" fontId="23" fillId="0" borderId="29" xfId="4" applyFont="1" applyBorder="1" applyAlignment="1">
      <alignment horizontal="center" vertical="center"/>
    </xf>
    <xf numFmtId="0" fontId="34" fillId="7" borderId="11" xfId="4" applyFont="1" applyFill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23" fillId="0" borderId="12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/>
    </xf>
    <xf numFmtId="0" fontId="19" fillId="11" borderId="9" xfId="4" applyFont="1" applyFill="1" applyBorder="1" applyAlignment="1">
      <alignment horizontal="center" vertical="center"/>
    </xf>
    <xf numFmtId="0" fontId="1" fillId="14" borderId="0" xfId="1" applyFill="1">
      <alignment vertical="top" wrapText="1"/>
    </xf>
    <xf numFmtId="0" fontId="37" fillId="0" borderId="0" xfId="1" applyFont="1">
      <alignment vertical="top" wrapText="1"/>
    </xf>
    <xf numFmtId="0" fontId="1" fillId="0" borderId="0" xfId="1" applyFill="1" applyAlignment="1">
      <alignment vertical="center" wrapText="1"/>
    </xf>
    <xf numFmtId="41" fontId="24" fillId="0" borderId="36" xfId="3" applyFont="1" applyFill="1" applyBorder="1" applyAlignment="1">
      <alignment horizontal="center" vertical="center"/>
    </xf>
    <xf numFmtId="41" fontId="24" fillId="5" borderId="36" xfId="3" applyFont="1" applyFill="1" applyBorder="1" applyAlignment="1">
      <alignment horizontal="center" vertical="center"/>
    </xf>
    <xf numFmtId="41" fontId="30" fillId="0" borderId="36" xfId="3" applyFont="1" applyFill="1" applyBorder="1" applyAlignment="1">
      <alignment horizontal="center" vertical="center"/>
    </xf>
    <xf numFmtId="41" fontId="28" fillId="0" borderId="36" xfId="3" applyFont="1" applyBorder="1" applyAlignment="1">
      <alignment horizontal="center" vertical="center"/>
    </xf>
    <xf numFmtId="41" fontId="30" fillId="5" borderId="36" xfId="3" applyFont="1" applyFill="1" applyBorder="1" applyAlignment="1">
      <alignment horizontal="center" vertical="center"/>
    </xf>
    <xf numFmtId="41" fontId="24" fillId="11" borderId="36" xfId="3" applyFont="1" applyFill="1" applyBorder="1" applyAlignment="1">
      <alignment horizontal="center" vertical="center"/>
    </xf>
    <xf numFmtId="41" fontId="30" fillId="11" borderId="36" xfId="3" applyFont="1" applyFill="1" applyBorder="1" applyAlignment="1">
      <alignment horizontal="center" vertical="center"/>
    </xf>
    <xf numFmtId="41" fontId="28" fillId="11" borderId="36" xfId="3" applyFont="1" applyFill="1" applyBorder="1" applyAlignment="1">
      <alignment horizontal="center" vertical="center"/>
    </xf>
    <xf numFmtId="41" fontId="28" fillId="0" borderId="36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 wrapText="1"/>
    </xf>
    <xf numFmtId="0" fontId="31" fillId="5" borderId="36" xfId="1" applyFont="1" applyFill="1" applyBorder="1" applyAlignment="1">
      <alignment horizontal="center" vertical="center" wrapText="1"/>
    </xf>
    <xf numFmtId="0" fontId="8" fillId="5" borderId="36" xfId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41" fontId="32" fillId="0" borderId="36" xfId="3" applyFont="1" applyFill="1" applyBorder="1" applyAlignment="1">
      <alignment horizontal="center" vertical="center"/>
    </xf>
    <xf numFmtId="41" fontId="9" fillId="0" borderId="36" xfId="3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41" fontId="32" fillId="11" borderId="36" xfId="3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 shrinkToFit="1"/>
    </xf>
    <xf numFmtId="41" fontId="32" fillId="0" borderId="36" xfId="3" applyFont="1" applyFill="1" applyBorder="1" applyAlignment="1">
      <alignment horizontal="center" vertical="center" shrinkToFit="1"/>
    </xf>
    <xf numFmtId="41" fontId="9" fillId="0" borderId="36" xfId="3" applyFont="1" applyBorder="1" applyAlignment="1">
      <alignment horizontal="center" vertical="center"/>
    </xf>
    <xf numFmtId="41" fontId="10" fillId="0" borderId="36" xfId="3" applyFont="1" applyBorder="1" applyAlignment="1">
      <alignment horizontal="center" vertical="center"/>
    </xf>
    <xf numFmtId="41" fontId="11" fillId="0" borderId="36" xfId="3" applyFont="1" applyBorder="1" applyAlignment="1">
      <alignment horizontal="center" vertical="center"/>
    </xf>
    <xf numFmtId="41" fontId="9" fillId="11" borderId="36" xfId="3" applyFont="1" applyFill="1" applyBorder="1" applyAlignment="1">
      <alignment horizontal="center" vertical="center"/>
    </xf>
    <xf numFmtId="41" fontId="10" fillId="11" borderId="36" xfId="3" applyFont="1" applyFill="1" applyBorder="1" applyAlignment="1">
      <alignment horizontal="center" vertical="center"/>
    </xf>
    <xf numFmtId="41" fontId="11" fillId="11" borderId="36" xfId="3" applyFont="1" applyFill="1" applyBorder="1" applyAlignment="1">
      <alignment horizontal="center" vertical="center"/>
    </xf>
    <xf numFmtId="41" fontId="9" fillId="0" borderId="36" xfId="3" applyFont="1" applyBorder="1" applyAlignment="1">
      <alignment horizontal="center" vertical="center" shrinkToFit="1"/>
    </xf>
    <xf numFmtId="41" fontId="32" fillId="0" borderId="36" xfId="3" applyFont="1" applyBorder="1" applyAlignment="1">
      <alignment horizontal="center" vertical="center"/>
    </xf>
    <xf numFmtId="41" fontId="32" fillId="0" borderId="36" xfId="3" applyFont="1" applyBorder="1" applyAlignment="1">
      <alignment horizontal="center" vertical="center" shrinkToFit="1"/>
    </xf>
    <xf numFmtId="41" fontId="30" fillId="0" borderId="9" xfId="3" applyFont="1" applyFill="1" applyBorder="1" applyAlignment="1">
      <alignment horizontal="center" vertical="center"/>
    </xf>
    <xf numFmtId="41" fontId="24" fillId="5" borderId="9" xfId="3" applyFont="1" applyFill="1" applyBorder="1" applyAlignment="1">
      <alignment horizontal="center" vertical="center"/>
    </xf>
    <xf numFmtId="41" fontId="24" fillId="0" borderId="9" xfId="3" applyFont="1" applyFill="1" applyBorder="1" applyAlignment="1">
      <alignment horizontal="center" vertical="center"/>
    </xf>
    <xf numFmtId="0" fontId="19" fillId="13" borderId="29" xfId="4" applyFont="1" applyFill="1" applyBorder="1" applyAlignment="1">
      <alignment horizontal="center" vertical="center" wrapText="1"/>
    </xf>
    <xf numFmtId="41" fontId="25" fillId="0" borderId="36" xfId="3" applyFont="1" applyFill="1" applyBorder="1" applyAlignment="1">
      <alignment horizontal="center" vertical="center"/>
    </xf>
    <xf numFmtId="41" fontId="29" fillId="0" borderId="36" xfId="3" applyFont="1" applyFill="1" applyBorder="1" applyAlignment="1">
      <alignment horizontal="center" vertical="center"/>
    </xf>
    <xf numFmtId="41" fontId="27" fillId="0" borderId="9" xfId="3" applyFont="1" applyFill="1" applyBorder="1" applyAlignment="1">
      <alignment horizontal="center" vertical="center"/>
    </xf>
    <xf numFmtId="41" fontId="25" fillId="0" borderId="9" xfId="3" applyFont="1" applyFill="1" applyBorder="1" applyAlignment="1">
      <alignment horizontal="center" vertical="center"/>
    </xf>
    <xf numFmtId="41" fontId="25" fillId="11" borderId="36" xfId="3" applyFont="1" applyFill="1" applyBorder="1" applyAlignment="1">
      <alignment horizontal="center" vertical="center"/>
    </xf>
    <xf numFmtId="41" fontId="27" fillId="11" borderId="36" xfId="3" applyFont="1" applyFill="1" applyBorder="1" applyAlignment="1">
      <alignment horizontal="center" vertical="center"/>
    </xf>
    <xf numFmtId="41" fontId="27" fillId="0" borderId="36" xfId="3" applyFont="1" applyFill="1" applyBorder="1" applyAlignment="1">
      <alignment horizontal="center" vertical="center"/>
    </xf>
    <xf numFmtId="41" fontId="38" fillId="0" borderId="9" xfId="3" applyFont="1" applyFill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 wrapText="1"/>
    </xf>
    <xf numFmtId="0" fontId="7" fillId="0" borderId="9" xfId="4" applyBorder="1" applyAlignment="1">
      <alignment horizontal="center" vertical="center"/>
    </xf>
    <xf numFmtId="14" fontId="19" fillId="0" borderId="12" xfId="4" applyNumberFormat="1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 wrapText="1"/>
    </xf>
    <xf numFmtId="41" fontId="30" fillId="5" borderId="9" xfId="3" applyFont="1" applyFill="1" applyBorder="1" applyAlignment="1">
      <alignment horizontal="center" vertical="center"/>
    </xf>
    <xf numFmtId="41" fontId="26" fillId="5" borderId="36" xfId="3" applyFont="1" applyFill="1" applyBorder="1" applyAlignment="1">
      <alignment horizontal="center" vertical="center"/>
    </xf>
    <xf numFmtId="41" fontId="25" fillId="5" borderId="36" xfId="3" applyFont="1" applyFill="1" applyBorder="1" applyAlignment="1">
      <alignment horizontal="center" vertical="center"/>
    </xf>
    <xf numFmtId="41" fontId="29" fillId="5" borderId="9" xfId="3" applyFont="1" applyFill="1" applyBorder="1" applyAlignment="1">
      <alignment horizontal="center" vertical="center"/>
    </xf>
    <xf numFmtId="41" fontId="29" fillId="5" borderId="36" xfId="3" applyFont="1" applyFill="1" applyBorder="1" applyAlignment="1">
      <alignment horizontal="center" vertical="center"/>
    </xf>
    <xf numFmtId="41" fontId="31" fillId="0" borderId="36" xfId="3" applyFont="1" applyFill="1" applyBorder="1" applyAlignment="1">
      <alignment horizontal="center" vertical="center"/>
    </xf>
    <xf numFmtId="41" fontId="39" fillId="11" borderId="36" xfId="3" applyFont="1" applyFill="1" applyBorder="1" applyAlignment="1">
      <alignment horizontal="center" vertical="center"/>
    </xf>
    <xf numFmtId="41" fontId="39" fillId="5" borderId="36" xfId="3" applyFont="1" applyFill="1" applyBorder="1" applyAlignment="1">
      <alignment horizontal="center" vertical="center"/>
    </xf>
    <xf numFmtId="41" fontId="24" fillId="0" borderId="40" xfId="3" applyFont="1" applyFill="1" applyBorder="1" applyAlignment="1">
      <alignment horizontal="center" vertical="center"/>
    </xf>
    <xf numFmtId="41" fontId="24" fillId="0" borderId="41" xfId="3" applyFont="1" applyFill="1" applyBorder="1" applyAlignment="1">
      <alignment horizontal="center" vertical="center"/>
    </xf>
    <xf numFmtId="41" fontId="25" fillId="0" borderId="41" xfId="3" applyFont="1" applyFill="1" applyBorder="1" applyAlignment="1">
      <alignment horizontal="center" vertical="center"/>
    </xf>
    <xf numFmtId="41" fontId="24" fillId="5" borderId="41" xfId="3" applyFont="1" applyFill="1" applyBorder="1" applyAlignment="1">
      <alignment horizontal="center" vertical="center"/>
    </xf>
    <xf numFmtId="41" fontId="26" fillId="5" borderId="41" xfId="3" applyFont="1" applyFill="1" applyBorder="1" applyAlignment="1">
      <alignment horizontal="center" vertical="center"/>
    </xf>
    <xf numFmtId="41" fontId="29" fillId="5" borderId="41" xfId="3" applyFont="1" applyFill="1" applyBorder="1" applyAlignment="1">
      <alignment horizontal="center" vertical="center"/>
    </xf>
    <xf numFmtId="14" fontId="19" fillId="5" borderId="12" xfId="4" applyNumberFormat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 wrapText="1"/>
    </xf>
    <xf numFmtId="0" fontId="8" fillId="2" borderId="37" xfId="1" quotePrefix="1" applyFont="1" applyFill="1" applyBorder="1" applyAlignment="1">
      <alignment horizontal="center" vertical="center"/>
    </xf>
    <xf numFmtId="0" fontId="8" fillId="2" borderId="38" xfId="1" quotePrefix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3" fillId="0" borderId="26" xfId="4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1" fontId="21" fillId="0" borderId="31" xfId="4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21" fillId="0" borderId="32" xfId="4" applyNumberFormat="1" applyFont="1" applyBorder="1" applyAlignment="1">
      <alignment horizontal="center" vertical="center"/>
    </xf>
    <xf numFmtId="0" fontId="23" fillId="0" borderId="27" xfId="4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21" fillId="0" borderId="35" xfId="4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1" fontId="35" fillId="0" borderId="31" xfId="0" applyNumberFormat="1" applyFont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4" xfId="4" applyFont="1" applyFill="1" applyBorder="1" applyAlignment="1">
      <alignment horizontal="center" vertical="center"/>
    </xf>
    <xf numFmtId="0" fontId="14" fillId="6" borderId="19" xfId="4" applyFont="1" applyFill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16" xfId="4" applyFont="1" applyBorder="1" applyAlignment="1">
      <alignment horizontal="center" vertical="center"/>
    </xf>
    <xf numFmtId="0" fontId="16" fillId="0" borderId="17" xfId="4" applyFont="1" applyBorder="1" applyAlignment="1">
      <alignment horizontal="center" vertical="center"/>
    </xf>
    <xf numFmtId="0" fontId="16" fillId="0" borderId="18" xfId="4" applyFont="1" applyBorder="1" applyAlignment="1">
      <alignment horizontal="center" vertical="center"/>
    </xf>
    <xf numFmtId="41" fontId="21" fillId="10" borderId="20" xfId="3" applyFont="1" applyFill="1" applyBorder="1" applyAlignment="1">
      <alignment horizontal="center" vertical="center"/>
    </xf>
    <xf numFmtId="41" fontId="21" fillId="10" borderId="21" xfId="3" applyFont="1" applyFill="1" applyBorder="1" applyAlignment="1">
      <alignment horizontal="center" vertical="center"/>
    </xf>
    <xf numFmtId="41" fontId="22" fillId="0" borderId="21" xfId="3" applyFont="1" applyBorder="1" applyAlignment="1">
      <alignment horizontal="center" vertical="center"/>
    </xf>
    <xf numFmtId="41" fontId="22" fillId="0" borderId="22" xfId="3" applyFont="1" applyBorder="1" applyAlignment="1">
      <alignment horizontal="center" vertical="center"/>
    </xf>
    <xf numFmtId="41" fontId="40" fillId="11" borderId="36" xfId="3" applyFont="1" applyFill="1" applyBorder="1" applyAlignment="1">
      <alignment horizontal="center" vertical="center"/>
    </xf>
  </cellXfs>
  <cellStyles count="5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  <cellStyle name="표준 3" xfId="4" xr:uid="{00000000-0005-0000-0000-000004000000}"/>
  </cellStyles>
  <dxfs count="0"/>
  <tableStyles count="0" defaultTableStyle="TableStyleMedium2" defaultPivotStyle="PivotStyleLight16"/>
  <colors>
    <mruColors>
      <color rgb="FF33CC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15648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84CBEF-1393-498C-A873-1727D5556C9A}"/>
            </a:ext>
          </a:extLst>
        </xdr:cNvPr>
        <xdr:cNvSpPr txBox="1"/>
      </xdr:nvSpPr>
      <xdr:spPr>
        <a:xfrm>
          <a:off x="134935" y="95249"/>
          <a:ext cx="315648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입고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(2607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235857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240910-E2E1-40E9-BC68-EEFA694F462D}"/>
            </a:ext>
          </a:extLst>
        </xdr:cNvPr>
        <xdr:cNvSpPr txBox="1"/>
      </xdr:nvSpPr>
      <xdr:spPr>
        <a:xfrm>
          <a:off x="134935" y="95249"/>
          <a:ext cx="3235857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출고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(2607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134936</xdr:colOff>
      <xdr:row>0</xdr:row>
      <xdr:rowOff>95249</xdr:rowOff>
    </xdr:from>
    <xdr:ext cx="335227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52215-D269-4E99-AB39-C326784CFA7D}"/>
            </a:ext>
          </a:extLst>
        </xdr:cNvPr>
        <xdr:cNvSpPr txBox="1"/>
      </xdr:nvSpPr>
      <xdr:spPr>
        <a:xfrm>
          <a:off x="134936" y="95249"/>
          <a:ext cx="335227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생산실적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(2607)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4:AH34"/>
  <sheetViews>
    <sheetView zoomScaleNormal="100" workbookViewId="0">
      <pane xSplit="1" ySplit="8" topLeftCell="B13" activePane="bottomRight" state="frozen"/>
      <selection activeCell="P15" sqref="P15"/>
      <selection pane="topRight" activeCell="P15" sqref="P15"/>
      <selection pane="bottomLeft" activeCell="P15" sqref="P15"/>
      <selection pane="bottomRight" activeCell="R33" sqref="R33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43" t="s">
        <v>0</v>
      </c>
      <c r="B6" s="86"/>
      <c r="C6" s="145" t="s">
        <v>135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7"/>
      <c r="AH6" s="144" t="s">
        <v>15</v>
      </c>
    </row>
    <row r="7" spans="1:34" s="3" customFormat="1" ht="16.5" customHeight="1">
      <c r="A7" s="143"/>
      <c r="B7" s="86" t="s">
        <v>136</v>
      </c>
      <c r="C7" s="87" t="s">
        <v>23</v>
      </c>
      <c r="D7" s="87" t="s">
        <v>24</v>
      </c>
      <c r="E7" s="88" t="s">
        <v>25</v>
      </c>
      <c r="F7" s="89" t="s">
        <v>31</v>
      </c>
      <c r="G7" s="90" t="s">
        <v>32</v>
      </c>
      <c r="H7" s="87" t="s">
        <v>26</v>
      </c>
      <c r="I7" s="87" t="s">
        <v>27</v>
      </c>
      <c r="J7" s="87" t="s">
        <v>28</v>
      </c>
      <c r="K7" s="87" t="s">
        <v>29</v>
      </c>
      <c r="L7" s="87" t="s">
        <v>30</v>
      </c>
      <c r="M7" s="90" t="s">
        <v>33</v>
      </c>
      <c r="N7" s="90" t="s">
        <v>4</v>
      </c>
      <c r="O7" s="87" t="s">
        <v>5</v>
      </c>
      <c r="P7" s="87" t="s">
        <v>6</v>
      </c>
      <c r="Q7" s="87" t="s">
        <v>7</v>
      </c>
      <c r="R7" s="87" t="s">
        <v>8</v>
      </c>
      <c r="S7" s="90" t="s">
        <v>9</v>
      </c>
      <c r="T7" s="90" t="s">
        <v>34</v>
      </c>
      <c r="U7" s="90" t="s">
        <v>35</v>
      </c>
      <c r="V7" s="87" t="s">
        <v>40</v>
      </c>
      <c r="W7" s="87" t="s">
        <v>10</v>
      </c>
      <c r="X7" s="87" t="s">
        <v>11</v>
      </c>
      <c r="Y7" s="87" t="s">
        <v>12</v>
      </c>
      <c r="Z7" s="87" t="s">
        <v>13</v>
      </c>
      <c r="AA7" s="90" t="s">
        <v>36</v>
      </c>
      <c r="AB7" s="90" t="s">
        <v>37</v>
      </c>
      <c r="AC7" s="87" t="s">
        <v>41</v>
      </c>
      <c r="AD7" s="87" t="s">
        <v>14</v>
      </c>
      <c r="AE7" s="87" t="s">
        <v>123</v>
      </c>
      <c r="AF7" s="87" t="s">
        <v>125</v>
      </c>
      <c r="AG7" s="87" t="s">
        <v>137</v>
      </c>
      <c r="AH7" s="144"/>
    </row>
    <row r="8" spans="1:34" s="3" customFormat="1" ht="16.5" customHeight="1">
      <c r="A8" s="143"/>
      <c r="B8" s="86" t="s">
        <v>89</v>
      </c>
      <c r="C8" s="87" t="s">
        <v>81</v>
      </c>
      <c r="D8" s="87" t="s">
        <v>82</v>
      </c>
      <c r="E8" s="87" t="s">
        <v>83</v>
      </c>
      <c r="F8" s="90" t="s">
        <v>84</v>
      </c>
      <c r="G8" s="89" t="s">
        <v>124</v>
      </c>
      <c r="H8" s="87" t="s">
        <v>85</v>
      </c>
      <c r="I8" s="87" t="s">
        <v>86</v>
      </c>
      <c r="J8" s="87" t="s">
        <v>81</v>
      </c>
      <c r="K8" s="87" t="s">
        <v>82</v>
      </c>
      <c r="L8" s="87" t="s">
        <v>83</v>
      </c>
      <c r="M8" s="90" t="s">
        <v>84</v>
      </c>
      <c r="N8" s="89" t="s">
        <v>124</v>
      </c>
      <c r="O8" s="87" t="s">
        <v>85</v>
      </c>
      <c r="P8" s="87" t="s">
        <v>86</v>
      </c>
      <c r="Q8" s="87" t="s">
        <v>81</v>
      </c>
      <c r="R8" s="87" t="s">
        <v>82</v>
      </c>
      <c r="S8" s="90" t="s">
        <v>83</v>
      </c>
      <c r="T8" s="90" t="s">
        <v>84</v>
      </c>
      <c r="U8" s="89" t="s">
        <v>124</v>
      </c>
      <c r="V8" s="87" t="s">
        <v>85</v>
      </c>
      <c r="W8" s="87" t="s">
        <v>86</v>
      </c>
      <c r="X8" s="87" t="s">
        <v>81</v>
      </c>
      <c r="Y8" s="87" t="s">
        <v>82</v>
      </c>
      <c r="Z8" s="87" t="s">
        <v>83</v>
      </c>
      <c r="AA8" s="90" t="s">
        <v>84</v>
      </c>
      <c r="AB8" s="89" t="s">
        <v>124</v>
      </c>
      <c r="AC8" s="87" t="s">
        <v>85</v>
      </c>
      <c r="AD8" s="87" t="s">
        <v>86</v>
      </c>
      <c r="AE8" s="87" t="s">
        <v>81</v>
      </c>
      <c r="AF8" s="87" t="s">
        <v>82</v>
      </c>
      <c r="AG8" s="87" t="s">
        <v>83</v>
      </c>
      <c r="AH8" s="144"/>
    </row>
    <row r="9" spans="1:34" s="3" customFormat="1" ht="18" customHeight="1">
      <c r="A9" s="91" t="s">
        <v>100</v>
      </c>
      <c r="B9" s="92">
        <v>300</v>
      </c>
      <c r="C9" s="77">
        <v>900</v>
      </c>
      <c r="D9" s="77"/>
      <c r="E9" s="79"/>
      <c r="F9" s="81"/>
      <c r="G9" s="78"/>
      <c r="H9" s="77"/>
      <c r="I9" s="77"/>
      <c r="J9" s="77"/>
      <c r="K9" s="77"/>
      <c r="L9" s="77"/>
      <c r="M9" s="112"/>
      <c r="N9" s="78"/>
      <c r="O9" s="113">
        <v>900</v>
      </c>
      <c r="P9" s="77"/>
      <c r="Q9" s="77"/>
      <c r="R9" s="115"/>
      <c r="S9" s="81"/>
      <c r="T9" s="112"/>
      <c r="U9" s="78"/>
      <c r="V9" s="77"/>
      <c r="W9" s="77"/>
      <c r="X9" s="77"/>
      <c r="Y9" s="111"/>
      <c r="Z9" s="115"/>
      <c r="AA9" s="78"/>
      <c r="AB9" s="112"/>
      <c r="AC9" s="77"/>
      <c r="AD9" s="77"/>
      <c r="AE9" s="77"/>
      <c r="AF9" s="116"/>
      <c r="AG9" s="116"/>
      <c r="AH9" s="80">
        <f t="shared" ref="AH9:AH32" si="0">SUM(C9:AF9)</f>
        <v>1800</v>
      </c>
    </row>
    <row r="10" spans="1:34" s="3" customFormat="1" ht="18" customHeight="1">
      <c r="A10" s="91" t="s">
        <v>97</v>
      </c>
      <c r="B10" s="92"/>
      <c r="C10" s="77"/>
      <c r="D10" s="77"/>
      <c r="E10" s="79"/>
      <c r="F10" s="81"/>
      <c r="G10" s="78"/>
      <c r="H10" s="77"/>
      <c r="I10" s="77"/>
      <c r="J10" s="77"/>
      <c r="K10" s="77"/>
      <c r="L10" s="77"/>
      <c r="M10" s="112"/>
      <c r="N10" s="78"/>
      <c r="O10" s="113"/>
      <c r="P10" s="77"/>
      <c r="Q10" s="77"/>
      <c r="R10" s="115"/>
      <c r="S10" s="129"/>
      <c r="T10" s="112"/>
      <c r="U10" s="78"/>
      <c r="V10" s="77"/>
      <c r="W10" s="77"/>
      <c r="X10" s="77"/>
      <c r="Y10" s="117"/>
      <c r="Z10" s="115"/>
      <c r="AA10" s="78"/>
      <c r="AB10" s="112"/>
      <c r="AC10" s="77"/>
      <c r="AD10" s="77"/>
      <c r="AE10" s="77"/>
      <c r="AF10" s="116"/>
      <c r="AG10" s="116"/>
      <c r="AH10" s="80">
        <f t="shared" si="0"/>
        <v>0</v>
      </c>
    </row>
    <row r="11" spans="1:34" s="3" customFormat="1" ht="18" customHeight="1">
      <c r="A11" s="91" t="s">
        <v>87</v>
      </c>
      <c r="B11" s="93"/>
      <c r="C11" s="77"/>
      <c r="D11" s="77"/>
      <c r="E11" s="77"/>
      <c r="F11" s="78"/>
      <c r="G11" s="78"/>
      <c r="H11" s="77"/>
      <c r="I11" s="77"/>
      <c r="J11" s="77"/>
      <c r="K11" s="77"/>
      <c r="L11" s="77"/>
      <c r="M11" s="112"/>
      <c r="N11" s="78"/>
      <c r="O11" s="113"/>
      <c r="P11" s="77"/>
      <c r="Q11" s="77"/>
      <c r="R11" s="118"/>
      <c r="S11" s="130"/>
      <c r="T11" s="112"/>
      <c r="U11" s="78"/>
      <c r="V11" s="77"/>
      <c r="W11" s="77"/>
      <c r="X11" s="77"/>
      <c r="Y11" s="111"/>
      <c r="Z11" s="77"/>
      <c r="AA11" s="78"/>
      <c r="AB11" s="112"/>
      <c r="AC11" s="77"/>
      <c r="AD11" s="77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93"/>
      <c r="C12" s="77"/>
      <c r="D12" s="77"/>
      <c r="E12" s="77"/>
      <c r="F12" s="78"/>
      <c r="G12" s="78"/>
      <c r="H12" s="77"/>
      <c r="I12" s="77"/>
      <c r="J12" s="77"/>
      <c r="K12" s="77"/>
      <c r="L12" s="77"/>
      <c r="M12" s="112"/>
      <c r="N12" s="78"/>
      <c r="O12" s="113"/>
      <c r="P12" s="77"/>
      <c r="Q12" s="77"/>
      <c r="R12" s="118"/>
      <c r="S12" s="112"/>
      <c r="T12" s="112"/>
      <c r="U12" s="78"/>
      <c r="V12" s="77"/>
      <c r="W12" s="77"/>
      <c r="X12" s="77"/>
      <c r="Y12" s="111"/>
      <c r="Z12" s="77"/>
      <c r="AA12" s="78"/>
      <c r="AB12" s="112"/>
      <c r="AC12" s="77"/>
      <c r="AD12" s="77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93"/>
      <c r="C13" s="77"/>
      <c r="D13" s="77"/>
      <c r="E13" s="77"/>
      <c r="F13" s="78"/>
      <c r="G13" s="78"/>
      <c r="H13" s="77"/>
      <c r="I13" s="77"/>
      <c r="J13" s="77"/>
      <c r="K13" s="77"/>
      <c r="L13" s="77"/>
      <c r="M13" s="112"/>
      <c r="N13" s="78"/>
      <c r="O13" s="113"/>
      <c r="P13" s="77"/>
      <c r="Q13" s="77"/>
      <c r="R13" s="118"/>
      <c r="S13" s="112"/>
      <c r="T13" s="112"/>
      <c r="U13" s="78"/>
      <c r="V13" s="77"/>
      <c r="W13" s="77"/>
      <c r="X13" s="77"/>
      <c r="Y13" s="111"/>
      <c r="Z13" s="77"/>
      <c r="AA13" s="78"/>
      <c r="AB13" s="112"/>
      <c r="AC13" s="77"/>
      <c r="AD13" s="77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92"/>
      <c r="C14" s="77"/>
      <c r="D14" s="77"/>
      <c r="E14" s="79"/>
      <c r="F14" s="81"/>
      <c r="G14" s="78"/>
      <c r="H14" s="133"/>
      <c r="I14" s="77"/>
      <c r="J14" s="77"/>
      <c r="K14" s="77"/>
      <c r="L14" s="77"/>
      <c r="M14" s="112"/>
      <c r="N14" s="78"/>
      <c r="O14" s="113"/>
      <c r="P14" s="77"/>
      <c r="Q14" s="77"/>
      <c r="R14" s="118"/>
      <c r="S14" s="112"/>
      <c r="T14" s="112"/>
      <c r="U14" s="78"/>
      <c r="V14" s="77"/>
      <c r="W14" s="77"/>
      <c r="X14" s="77"/>
      <c r="Y14" s="113"/>
      <c r="Z14" s="77"/>
      <c r="AA14" s="78"/>
      <c r="AB14" s="112"/>
      <c r="AC14" s="77"/>
      <c r="AD14" s="77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92"/>
      <c r="C15" s="77">
        <v>960</v>
      </c>
      <c r="D15" s="77"/>
      <c r="E15" s="79">
        <v>1680</v>
      </c>
      <c r="F15" s="81"/>
      <c r="G15" s="78"/>
      <c r="H15" s="77"/>
      <c r="I15" s="77"/>
      <c r="J15" s="77"/>
      <c r="K15" s="113"/>
      <c r="L15" s="77"/>
      <c r="M15" s="112"/>
      <c r="N15" s="78"/>
      <c r="O15" s="113">
        <v>998</v>
      </c>
      <c r="P15" s="77"/>
      <c r="Q15" s="77">
        <v>1440</v>
      </c>
      <c r="R15" s="115"/>
      <c r="S15" s="131"/>
      <c r="T15" s="112"/>
      <c r="U15" s="78"/>
      <c r="V15" s="77">
        <v>1680</v>
      </c>
      <c r="W15" s="77"/>
      <c r="X15" s="77"/>
      <c r="Y15" s="111"/>
      <c r="Z15" s="115"/>
      <c r="AA15" s="128"/>
      <c r="AB15" s="112"/>
      <c r="AC15" s="77"/>
      <c r="AD15" s="122"/>
      <c r="AE15" s="77"/>
      <c r="AF15" s="116"/>
      <c r="AG15" s="116"/>
      <c r="AH15" s="80">
        <f t="shared" si="0"/>
        <v>6758</v>
      </c>
    </row>
    <row r="16" spans="1:34" s="3" customFormat="1" ht="18" customHeight="1">
      <c r="A16" s="91" t="s">
        <v>112</v>
      </c>
      <c r="B16" s="92"/>
      <c r="C16" s="77"/>
      <c r="D16" s="77"/>
      <c r="E16" s="79"/>
      <c r="F16" s="81"/>
      <c r="G16" s="78"/>
      <c r="H16" s="77"/>
      <c r="I16" s="77"/>
      <c r="J16" s="77"/>
      <c r="K16" s="77"/>
      <c r="L16" s="77"/>
      <c r="M16" s="78"/>
      <c r="N16" s="78"/>
      <c r="O16" s="113"/>
      <c r="P16" s="77"/>
      <c r="Q16" s="122"/>
      <c r="R16" s="118"/>
      <c r="S16" s="131"/>
      <c r="T16" s="78"/>
      <c r="U16" s="78"/>
      <c r="V16" s="77"/>
      <c r="W16" s="77"/>
      <c r="X16" s="77"/>
      <c r="Y16" s="79"/>
      <c r="Z16" s="115"/>
      <c r="AA16" s="78"/>
      <c r="AB16" s="78"/>
      <c r="AC16" s="77"/>
      <c r="AD16" s="77"/>
      <c r="AE16" s="77"/>
      <c r="AF16" s="116"/>
      <c r="AG16" s="116"/>
      <c r="AH16" s="80">
        <f t="shared" si="0"/>
        <v>0</v>
      </c>
    </row>
    <row r="17" spans="1:34" s="3" customFormat="1" ht="18" customHeight="1">
      <c r="A17" s="91" t="s">
        <v>93</v>
      </c>
      <c r="B17" s="92"/>
      <c r="C17" s="77"/>
      <c r="D17" s="77"/>
      <c r="E17" s="79"/>
      <c r="F17" s="81"/>
      <c r="G17" s="78"/>
      <c r="H17" s="77"/>
      <c r="I17" s="77"/>
      <c r="J17" s="77"/>
      <c r="K17" s="77"/>
      <c r="L17" s="77"/>
      <c r="M17" s="78"/>
      <c r="N17" s="78"/>
      <c r="O17" s="77"/>
      <c r="P17" s="77"/>
      <c r="Q17" s="122"/>
      <c r="R17" s="118"/>
      <c r="S17" s="131"/>
      <c r="T17" s="78"/>
      <c r="U17" s="78"/>
      <c r="V17" s="77"/>
      <c r="W17" s="77"/>
      <c r="X17" s="77"/>
      <c r="Y17" s="79"/>
      <c r="Z17" s="115"/>
      <c r="AA17" s="78"/>
      <c r="AB17" s="78"/>
      <c r="AC17" s="77"/>
      <c r="AD17" s="77"/>
      <c r="AE17" s="77"/>
      <c r="AF17" s="116"/>
      <c r="AG17" s="116"/>
      <c r="AH17" s="80">
        <f t="shared" si="0"/>
        <v>0</v>
      </c>
    </row>
    <row r="18" spans="1:34" s="3" customFormat="1" ht="18" customHeight="1">
      <c r="A18" s="91" t="s">
        <v>42</v>
      </c>
      <c r="B18" s="92"/>
      <c r="C18" s="77"/>
      <c r="D18" s="77"/>
      <c r="E18" s="79"/>
      <c r="F18" s="81"/>
      <c r="G18" s="78"/>
      <c r="H18" s="77"/>
      <c r="I18" s="77"/>
      <c r="J18" s="77"/>
      <c r="K18" s="77"/>
      <c r="L18" s="77"/>
      <c r="M18" s="78"/>
      <c r="N18" s="78"/>
      <c r="O18" s="77"/>
      <c r="P18" s="77"/>
      <c r="Q18" s="122"/>
      <c r="R18" s="115"/>
      <c r="S18" s="131"/>
      <c r="T18" s="78"/>
      <c r="U18" s="78"/>
      <c r="V18" s="77"/>
      <c r="W18" s="77"/>
      <c r="X18" s="77"/>
      <c r="Y18" s="79"/>
      <c r="Z18" s="115"/>
      <c r="AA18" s="78"/>
      <c r="AB18" s="78"/>
      <c r="AC18" s="77"/>
      <c r="AD18" s="77"/>
      <c r="AE18" s="77"/>
      <c r="AF18" s="116"/>
      <c r="AG18" s="116"/>
      <c r="AH18" s="80">
        <f t="shared" si="0"/>
        <v>0</v>
      </c>
    </row>
    <row r="19" spans="1:34" s="3" customFormat="1" ht="18" customHeight="1">
      <c r="A19" s="94" t="s">
        <v>16</v>
      </c>
      <c r="B19" s="92"/>
      <c r="C19" s="77">
        <v>960</v>
      </c>
      <c r="D19" s="77"/>
      <c r="E19" s="79"/>
      <c r="F19" s="81"/>
      <c r="G19" s="78"/>
      <c r="H19" s="77"/>
      <c r="I19" s="77"/>
      <c r="J19" s="77"/>
      <c r="K19" s="77"/>
      <c r="L19" s="77"/>
      <c r="M19" s="78"/>
      <c r="N19" s="78"/>
      <c r="O19" s="77"/>
      <c r="P19" s="77"/>
      <c r="Q19" s="122">
        <v>642</v>
      </c>
      <c r="R19" s="115"/>
      <c r="S19" s="132"/>
      <c r="T19" s="78"/>
      <c r="U19" s="78"/>
      <c r="V19" s="77"/>
      <c r="W19" s="77"/>
      <c r="X19" s="77"/>
      <c r="Y19" s="79"/>
      <c r="Z19" s="115"/>
      <c r="AA19" s="78"/>
      <c r="AB19" s="78"/>
      <c r="AC19" s="77"/>
      <c r="AD19" s="77"/>
      <c r="AE19" s="77"/>
      <c r="AF19" s="116"/>
      <c r="AG19" s="116"/>
      <c r="AH19" s="80">
        <f t="shared" si="0"/>
        <v>1602</v>
      </c>
    </row>
    <row r="20" spans="1:34" s="3" customFormat="1" ht="18" customHeight="1">
      <c r="A20" s="95" t="s">
        <v>17</v>
      </c>
      <c r="B20" s="92"/>
      <c r="C20" s="77"/>
      <c r="D20" s="77"/>
      <c r="E20" s="79"/>
      <c r="F20" s="128"/>
      <c r="G20" s="78"/>
      <c r="H20" s="77"/>
      <c r="I20" s="77"/>
      <c r="J20" s="77"/>
      <c r="K20" s="77"/>
      <c r="L20" s="77"/>
      <c r="M20" s="78"/>
      <c r="N20" s="78"/>
      <c r="O20" s="77"/>
      <c r="P20" s="77"/>
      <c r="Q20" s="122">
        <v>447</v>
      </c>
      <c r="R20" s="115"/>
      <c r="S20" s="132"/>
      <c r="T20" s="78"/>
      <c r="U20" s="78"/>
      <c r="V20" s="77"/>
      <c r="W20" s="77"/>
      <c r="X20" s="77"/>
      <c r="Y20" s="79"/>
      <c r="Z20" s="115"/>
      <c r="AA20" s="78"/>
      <c r="AB20" s="78"/>
      <c r="AC20" s="77"/>
      <c r="AD20" s="77"/>
      <c r="AE20" s="77"/>
      <c r="AF20" s="77"/>
      <c r="AG20" s="77"/>
      <c r="AH20" s="80">
        <f t="shared" si="0"/>
        <v>447</v>
      </c>
    </row>
    <row r="21" spans="1:34" s="3" customFormat="1" ht="18" customHeight="1">
      <c r="A21" s="96" t="s">
        <v>1</v>
      </c>
      <c r="B21" s="97">
        <v>759</v>
      </c>
      <c r="C21" s="82">
        <v>1860</v>
      </c>
      <c r="D21" s="82"/>
      <c r="E21" s="82">
        <v>1680</v>
      </c>
      <c r="F21" s="78"/>
      <c r="G21" s="78"/>
      <c r="H21" s="82"/>
      <c r="I21" s="82"/>
      <c r="J21" s="82"/>
      <c r="K21" s="82"/>
      <c r="L21" s="82"/>
      <c r="M21" s="78"/>
      <c r="N21" s="78"/>
      <c r="O21" s="82">
        <v>2100</v>
      </c>
      <c r="P21" s="82"/>
      <c r="Q21" s="82">
        <v>1440</v>
      </c>
      <c r="R21" s="82"/>
      <c r="S21" s="78"/>
      <c r="T21" s="78"/>
      <c r="U21" s="78"/>
      <c r="V21" s="82">
        <v>1680</v>
      </c>
      <c r="W21" s="82"/>
      <c r="X21" s="82"/>
      <c r="Y21" s="82"/>
      <c r="Z21" s="82"/>
      <c r="AA21" s="78"/>
      <c r="AB21" s="78"/>
      <c r="AC21" s="82"/>
      <c r="AD21" s="82"/>
      <c r="AE21" s="82"/>
      <c r="AF21" s="82"/>
      <c r="AG21" s="82"/>
      <c r="AH21" s="84">
        <f t="shared" si="0"/>
        <v>8760</v>
      </c>
    </row>
    <row r="22" spans="1:34" s="3" customFormat="1" ht="18" customHeight="1">
      <c r="A22" s="98" t="s">
        <v>18</v>
      </c>
      <c r="B22" s="97">
        <v>70</v>
      </c>
      <c r="C22" s="82">
        <v>960</v>
      </c>
      <c r="D22" s="82"/>
      <c r="E22" s="82"/>
      <c r="F22" s="78"/>
      <c r="G22" s="78"/>
      <c r="H22" s="82"/>
      <c r="I22" s="82"/>
      <c r="J22" s="82"/>
      <c r="K22" s="82"/>
      <c r="L22" s="82"/>
      <c r="M22" s="78"/>
      <c r="N22" s="78"/>
      <c r="O22" s="82"/>
      <c r="P22" s="82"/>
      <c r="Q22" s="82">
        <v>642</v>
      </c>
      <c r="R22" s="82"/>
      <c r="S22" s="78"/>
      <c r="T22" s="78"/>
      <c r="U22" s="78"/>
      <c r="V22" s="82"/>
      <c r="W22" s="82"/>
      <c r="X22" s="82"/>
      <c r="Y22" s="82"/>
      <c r="Z22" s="82"/>
      <c r="AA22" s="78"/>
      <c r="AB22" s="78"/>
      <c r="AC22" s="82"/>
      <c r="AD22" s="82"/>
      <c r="AE22" s="82"/>
      <c r="AF22" s="82"/>
      <c r="AG22" s="82"/>
      <c r="AH22" s="84">
        <f t="shared" si="0"/>
        <v>1602</v>
      </c>
    </row>
    <row r="23" spans="1:34" s="3" customFormat="1" ht="18" customHeight="1">
      <c r="A23" s="99" t="s">
        <v>19</v>
      </c>
      <c r="B23" s="97">
        <v>356</v>
      </c>
      <c r="C23" s="82"/>
      <c r="D23" s="82"/>
      <c r="E23" s="82"/>
      <c r="F23" s="78"/>
      <c r="G23" s="78"/>
      <c r="H23" s="82"/>
      <c r="I23" s="82"/>
      <c r="J23" s="82"/>
      <c r="K23" s="82"/>
      <c r="L23" s="82"/>
      <c r="M23" s="78"/>
      <c r="N23" s="78"/>
      <c r="O23" s="82"/>
      <c r="P23" s="82"/>
      <c r="Q23" s="82">
        <v>447</v>
      </c>
      <c r="R23" s="82"/>
      <c r="S23" s="78"/>
      <c r="T23" s="78"/>
      <c r="U23" s="78"/>
      <c r="V23" s="82"/>
      <c r="W23" s="82"/>
      <c r="X23" s="82"/>
      <c r="Y23" s="82"/>
      <c r="Z23" s="82"/>
      <c r="AA23" s="78"/>
      <c r="AB23" s="78"/>
      <c r="AC23" s="82"/>
      <c r="AD23" s="82"/>
      <c r="AE23" s="82"/>
      <c r="AF23" s="82"/>
      <c r="AG23" s="82"/>
      <c r="AH23" s="84">
        <f t="shared" si="0"/>
        <v>447</v>
      </c>
    </row>
    <row r="24" spans="1:34" s="3" customFormat="1" ht="18" customHeight="1">
      <c r="A24" s="96" t="s">
        <v>2</v>
      </c>
      <c r="B24" s="97">
        <v>1300</v>
      </c>
      <c r="C24" s="82">
        <v>11000</v>
      </c>
      <c r="D24" s="82"/>
      <c r="E24" s="82">
        <v>8500</v>
      </c>
      <c r="F24" s="78"/>
      <c r="G24" s="78"/>
      <c r="H24" s="82"/>
      <c r="I24" s="82"/>
      <c r="J24" s="82"/>
      <c r="K24" s="82"/>
      <c r="L24" s="82"/>
      <c r="M24" s="78"/>
      <c r="N24" s="78"/>
      <c r="O24" s="82">
        <v>8500</v>
      </c>
      <c r="P24" s="82"/>
      <c r="Q24" s="82">
        <v>9500</v>
      </c>
      <c r="R24" s="82"/>
      <c r="S24" s="78"/>
      <c r="T24" s="78"/>
      <c r="U24" s="78"/>
      <c r="V24" s="82">
        <v>7000</v>
      </c>
      <c r="W24" s="82"/>
      <c r="X24" s="82"/>
      <c r="Y24" s="82"/>
      <c r="Z24" s="82"/>
      <c r="AA24" s="78"/>
      <c r="AB24" s="78"/>
      <c r="AC24" s="82"/>
      <c r="AD24" s="82"/>
      <c r="AE24" s="82"/>
      <c r="AF24" s="82"/>
      <c r="AG24" s="82"/>
      <c r="AH24" s="84">
        <f t="shared" si="0"/>
        <v>44500</v>
      </c>
    </row>
    <row r="25" spans="1:34" s="3" customFormat="1" ht="18" customHeight="1">
      <c r="A25" s="96" t="s">
        <v>122</v>
      </c>
      <c r="B25" s="97">
        <v>9</v>
      </c>
      <c r="C25" s="82">
        <v>8</v>
      </c>
      <c r="D25" s="82"/>
      <c r="E25" s="82">
        <v>7</v>
      </c>
      <c r="F25" s="78"/>
      <c r="G25" s="78"/>
      <c r="H25" s="82"/>
      <c r="I25" s="82"/>
      <c r="J25" s="82"/>
      <c r="K25" s="82"/>
      <c r="L25" s="82"/>
      <c r="M25" s="78"/>
      <c r="N25" s="78"/>
      <c r="O25" s="82">
        <v>7</v>
      </c>
      <c r="P25" s="82"/>
      <c r="Q25" s="82">
        <v>7</v>
      </c>
      <c r="R25" s="119"/>
      <c r="S25" s="78"/>
      <c r="T25" s="78"/>
      <c r="U25" s="78"/>
      <c r="V25" s="82">
        <v>7</v>
      </c>
      <c r="W25" s="82"/>
      <c r="X25" s="82"/>
      <c r="Y25" s="83"/>
      <c r="Z25" s="82"/>
      <c r="AA25" s="78"/>
      <c r="AB25" s="78"/>
      <c r="AC25" s="82"/>
      <c r="AD25" s="82"/>
      <c r="AE25" s="82"/>
      <c r="AF25" s="82"/>
      <c r="AG25" s="82"/>
      <c r="AH25" s="84">
        <f t="shared" si="0"/>
        <v>36</v>
      </c>
    </row>
    <row r="26" spans="1:34" s="3" customFormat="1" ht="18" customHeight="1">
      <c r="A26" s="96" t="s">
        <v>121</v>
      </c>
      <c r="B26" s="97"/>
      <c r="C26" s="82">
        <v>1</v>
      </c>
      <c r="D26" s="82"/>
      <c r="E26" s="82"/>
      <c r="F26" s="78"/>
      <c r="G26" s="78"/>
      <c r="H26" s="82"/>
      <c r="I26" s="82"/>
      <c r="J26" s="82"/>
      <c r="K26" s="82"/>
      <c r="L26" s="82"/>
      <c r="M26" s="78"/>
      <c r="N26" s="78"/>
      <c r="O26" s="82"/>
      <c r="P26" s="82"/>
      <c r="Q26" s="82"/>
      <c r="R26" s="119"/>
      <c r="S26" s="78"/>
      <c r="T26" s="78"/>
      <c r="U26" s="78"/>
      <c r="V26" s="82"/>
      <c r="W26" s="82"/>
      <c r="X26" s="82"/>
      <c r="Y26" s="83"/>
      <c r="Z26" s="82"/>
      <c r="AA26" s="78"/>
      <c r="AB26" s="78"/>
      <c r="AC26" s="82"/>
      <c r="AD26" s="82"/>
      <c r="AE26" s="82"/>
      <c r="AF26" s="82"/>
      <c r="AG26" s="82"/>
      <c r="AH26" s="84">
        <f t="shared" si="0"/>
        <v>1</v>
      </c>
    </row>
    <row r="27" spans="1:34" s="76" customFormat="1" ht="18" customHeight="1">
      <c r="A27" s="100" t="s">
        <v>21</v>
      </c>
      <c r="B27" s="101"/>
      <c r="C27" s="77"/>
      <c r="D27" s="77"/>
      <c r="E27" s="77"/>
      <c r="F27" s="78"/>
      <c r="G27" s="78"/>
      <c r="H27" s="77"/>
      <c r="I27" s="77"/>
      <c r="J27" s="77"/>
      <c r="K27" s="77"/>
      <c r="L27" s="77"/>
      <c r="M27" s="78"/>
      <c r="N27" s="78"/>
      <c r="O27" s="77"/>
      <c r="P27" s="77"/>
      <c r="Q27" s="77"/>
      <c r="R27" s="115"/>
      <c r="S27" s="78"/>
      <c r="T27" s="78"/>
      <c r="U27" s="78"/>
      <c r="V27" s="77"/>
      <c r="W27" s="77"/>
      <c r="X27" s="77"/>
      <c r="Y27" s="121"/>
      <c r="Z27" s="77"/>
      <c r="AA27" s="78"/>
      <c r="AB27" s="78"/>
      <c r="AC27" s="77"/>
      <c r="AD27" s="77"/>
      <c r="AE27" s="77"/>
      <c r="AF27" s="77"/>
      <c r="AG27" s="77"/>
      <c r="AH27" s="85">
        <f t="shared" si="0"/>
        <v>0</v>
      </c>
    </row>
    <row r="28" spans="1:34" s="76" customFormat="1" ht="18" customHeight="1">
      <c r="A28" s="91" t="s">
        <v>38</v>
      </c>
      <c r="B28" s="92"/>
      <c r="C28" s="77"/>
      <c r="D28" s="77"/>
      <c r="E28" s="77"/>
      <c r="F28" s="78"/>
      <c r="G28" s="78"/>
      <c r="H28" s="77"/>
      <c r="I28" s="77"/>
      <c r="J28" s="77"/>
      <c r="K28" s="77"/>
      <c r="L28" s="77"/>
      <c r="M28" s="78"/>
      <c r="N28" s="78"/>
      <c r="O28" s="77"/>
      <c r="P28" s="77"/>
      <c r="Q28" s="77"/>
      <c r="R28" s="115"/>
      <c r="S28" s="78"/>
      <c r="T28" s="78"/>
      <c r="U28" s="78"/>
      <c r="V28" s="77"/>
      <c r="W28" s="77"/>
      <c r="X28" s="77"/>
      <c r="Y28" s="121"/>
      <c r="Z28" s="77"/>
      <c r="AA28" s="78"/>
      <c r="AB28" s="78"/>
      <c r="AC28" s="77"/>
      <c r="AD28" s="77"/>
      <c r="AE28" s="77"/>
      <c r="AF28" s="77"/>
      <c r="AG28" s="77"/>
      <c r="AH28" s="85">
        <f t="shared" si="0"/>
        <v>0</v>
      </c>
    </row>
    <row r="29" spans="1:34" s="76" customFormat="1" ht="18" customHeight="1">
      <c r="A29" s="91" t="s">
        <v>39</v>
      </c>
      <c r="B29" s="92"/>
      <c r="C29" s="77"/>
      <c r="D29" s="77"/>
      <c r="E29" s="77"/>
      <c r="F29" s="78"/>
      <c r="G29" s="78"/>
      <c r="H29" s="77"/>
      <c r="I29" s="77"/>
      <c r="J29" s="77"/>
      <c r="K29" s="77"/>
      <c r="L29" s="77"/>
      <c r="M29" s="78"/>
      <c r="N29" s="78"/>
      <c r="O29" s="77"/>
      <c r="P29" s="77"/>
      <c r="Q29" s="77"/>
      <c r="R29" s="115"/>
      <c r="S29" s="78"/>
      <c r="T29" s="78"/>
      <c r="U29" s="78"/>
      <c r="V29" s="77"/>
      <c r="W29" s="77"/>
      <c r="X29" s="77"/>
      <c r="Y29" s="121"/>
      <c r="Z29" s="77"/>
      <c r="AA29" s="78"/>
      <c r="AB29" s="78"/>
      <c r="AC29" s="77"/>
      <c r="AD29" s="77"/>
      <c r="AE29" s="77"/>
      <c r="AF29" s="77"/>
      <c r="AG29" s="77"/>
      <c r="AH29" s="85">
        <f t="shared" si="0"/>
        <v>0</v>
      </c>
    </row>
    <row r="30" spans="1:34" s="3" customFormat="1" ht="18" customHeight="1">
      <c r="A30" s="96" t="s">
        <v>57</v>
      </c>
      <c r="B30" s="97"/>
      <c r="C30" s="82"/>
      <c r="D30" s="82"/>
      <c r="E30" s="82"/>
      <c r="F30" s="78"/>
      <c r="G30" s="78"/>
      <c r="H30" s="82"/>
      <c r="I30" s="82"/>
      <c r="J30" s="82"/>
      <c r="K30" s="82"/>
      <c r="L30" s="82"/>
      <c r="M30" s="78"/>
      <c r="N30" s="78"/>
      <c r="O30" s="82"/>
      <c r="P30" s="82"/>
      <c r="Q30" s="82"/>
      <c r="R30" s="119"/>
      <c r="S30" s="78"/>
      <c r="T30" s="78"/>
      <c r="U30" s="78"/>
      <c r="V30" s="82"/>
      <c r="W30" s="82"/>
      <c r="X30" s="82"/>
      <c r="Y30" s="82"/>
      <c r="Z30" s="82"/>
      <c r="AA30" s="78"/>
      <c r="AB30" s="78"/>
      <c r="AC30" s="82"/>
      <c r="AD30" s="82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97"/>
      <c r="C31" s="82"/>
      <c r="D31" s="82"/>
      <c r="E31" s="82"/>
      <c r="F31" s="78"/>
      <c r="G31" s="78"/>
      <c r="H31" s="82"/>
      <c r="I31" s="82"/>
      <c r="J31" s="82"/>
      <c r="K31" s="82"/>
      <c r="L31" s="82"/>
      <c r="M31" s="78"/>
      <c r="N31" s="78"/>
      <c r="O31" s="82"/>
      <c r="P31" s="82"/>
      <c r="Q31" s="82"/>
      <c r="R31" s="119"/>
      <c r="S31" s="78"/>
      <c r="T31" s="78"/>
      <c r="U31" s="78"/>
      <c r="V31" s="82"/>
      <c r="W31" s="82"/>
      <c r="X31" s="82"/>
      <c r="Y31" s="120"/>
      <c r="Z31" s="82"/>
      <c r="AA31" s="78"/>
      <c r="AB31" s="78"/>
      <c r="AC31" s="82"/>
      <c r="AD31" s="82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97"/>
      <c r="C32" s="82"/>
      <c r="D32" s="82"/>
      <c r="E32" s="82"/>
      <c r="F32" s="78"/>
      <c r="G32" s="78"/>
      <c r="H32" s="82"/>
      <c r="I32" s="82"/>
      <c r="J32" s="82"/>
      <c r="K32" s="82"/>
      <c r="L32" s="82"/>
      <c r="M32" s="78"/>
      <c r="N32" s="78"/>
      <c r="O32" s="82"/>
      <c r="P32" s="82"/>
      <c r="Q32" s="82"/>
      <c r="R32" s="119"/>
      <c r="S32" s="78"/>
      <c r="T32" s="78"/>
      <c r="U32" s="78"/>
      <c r="V32" s="82"/>
      <c r="W32" s="82"/>
      <c r="X32" s="82"/>
      <c r="Y32" s="120"/>
      <c r="Z32" s="82"/>
      <c r="AA32" s="78"/>
      <c r="AB32" s="78"/>
      <c r="AC32" s="82"/>
      <c r="AD32" s="82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92</v>
      </c>
      <c r="B33" s="97">
        <v>36</v>
      </c>
      <c r="C33" s="97">
        <v>37</v>
      </c>
      <c r="D33" s="82"/>
      <c r="E33" s="82"/>
      <c r="F33" s="78"/>
      <c r="G33" s="78"/>
      <c r="H33" s="82"/>
      <c r="I33" s="82"/>
      <c r="J33" s="82"/>
      <c r="K33" s="82"/>
      <c r="L33" s="82"/>
      <c r="M33" s="78"/>
      <c r="N33" s="78"/>
      <c r="O33" s="97">
        <v>70</v>
      </c>
      <c r="P33" s="97">
        <v>73</v>
      </c>
      <c r="Q33" s="82"/>
      <c r="R33" s="174">
        <v>115</v>
      </c>
      <c r="S33" s="78"/>
      <c r="T33" s="78"/>
      <c r="U33" s="78"/>
      <c r="V33" s="82"/>
      <c r="W33" s="82"/>
      <c r="X33" s="82"/>
      <c r="Y33" s="120"/>
      <c r="Z33" s="82"/>
      <c r="AA33" s="78"/>
      <c r="AB33" s="78"/>
      <c r="AC33" s="82"/>
      <c r="AD33" s="82"/>
      <c r="AE33" s="82"/>
      <c r="AF33" s="82"/>
      <c r="AG33" s="82"/>
      <c r="AH33" s="84">
        <f>SUM(B33:AF33)</f>
        <v>331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12575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10367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4:AH35"/>
  <sheetViews>
    <sheetView zoomScaleNormal="100" workbookViewId="0">
      <pane xSplit="1" ySplit="8" topLeftCell="B17" activePane="bottomRight" state="frozen"/>
      <selection activeCell="P15" sqref="P15"/>
      <selection pane="topRight" activeCell="P15" sqref="P15"/>
      <selection pane="bottomLeft" activeCell="P15" sqref="P15"/>
      <selection pane="bottomRight" activeCell="X31" sqref="X31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/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43" t="s">
        <v>0</v>
      </c>
      <c r="B6" s="86"/>
      <c r="C6" s="145" t="s">
        <v>135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7"/>
      <c r="AH6" s="144" t="s">
        <v>15</v>
      </c>
    </row>
    <row r="7" spans="1:34" s="3" customFormat="1" ht="16.5" customHeight="1">
      <c r="A7" s="143"/>
      <c r="B7" s="86" t="s">
        <v>136</v>
      </c>
      <c r="C7" s="87" t="s">
        <v>23</v>
      </c>
      <c r="D7" s="87" t="s">
        <v>24</v>
      </c>
      <c r="E7" s="88" t="s">
        <v>25</v>
      </c>
      <c r="F7" s="89" t="s">
        <v>31</v>
      </c>
      <c r="G7" s="90" t="s">
        <v>32</v>
      </c>
      <c r="H7" s="87" t="s">
        <v>26</v>
      </c>
      <c r="I7" s="87" t="s">
        <v>27</v>
      </c>
      <c r="J7" s="87" t="s">
        <v>28</v>
      </c>
      <c r="K7" s="87" t="s">
        <v>29</v>
      </c>
      <c r="L7" s="87" t="s">
        <v>30</v>
      </c>
      <c r="M7" s="90" t="s">
        <v>33</v>
      </c>
      <c r="N7" s="90" t="s">
        <v>4</v>
      </c>
      <c r="O7" s="87" t="s">
        <v>5</v>
      </c>
      <c r="P7" s="87" t="s">
        <v>6</v>
      </c>
      <c r="Q7" s="87" t="s">
        <v>7</v>
      </c>
      <c r="R7" s="87" t="s">
        <v>8</v>
      </c>
      <c r="S7" s="90" t="s">
        <v>9</v>
      </c>
      <c r="T7" s="90" t="s">
        <v>34</v>
      </c>
      <c r="U7" s="90" t="s">
        <v>35</v>
      </c>
      <c r="V7" s="87" t="s">
        <v>40</v>
      </c>
      <c r="W7" s="87" t="s">
        <v>10</v>
      </c>
      <c r="X7" s="87" t="s">
        <v>11</v>
      </c>
      <c r="Y7" s="87" t="s">
        <v>12</v>
      </c>
      <c r="Z7" s="87" t="s">
        <v>13</v>
      </c>
      <c r="AA7" s="90" t="s">
        <v>36</v>
      </c>
      <c r="AB7" s="90" t="s">
        <v>37</v>
      </c>
      <c r="AC7" s="87" t="s">
        <v>41</v>
      </c>
      <c r="AD7" s="87" t="s">
        <v>14</v>
      </c>
      <c r="AE7" s="87" t="s">
        <v>123</v>
      </c>
      <c r="AF7" s="87" t="s">
        <v>125</v>
      </c>
      <c r="AG7" s="87" t="s">
        <v>137</v>
      </c>
      <c r="AH7" s="144"/>
    </row>
    <row r="8" spans="1:34" s="3" customFormat="1" ht="16.5" customHeight="1">
      <c r="A8" s="143"/>
      <c r="B8" s="86"/>
      <c r="C8" s="87" t="s">
        <v>81</v>
      </c>
      <c r="D8" s="87" t="s">
        <v>82</v>
      </c>
      <c r="E8" s="87" t="s">
        <v>83</v>
      </c>
      <c r="F8" s="90" t="s">
        <v>84</v>
      </c>
      <c r="G8" s="89" t="s">
        <v>124</v>
      </c>
      <c r="H8" s="87" t="s">
        <v>85</v>
      </c>
      <c r="I8" s="87" t="s">
        <v>86</v>
      </c>
      <c r="J8" s="87" t="s">
        <v>81</v>
      </c>
      <c r="K8" s="87" t="s">
        <v>82</v>
      </c>
      <c r="L8" s="87" t="s">
        <v>83</v>
      </c>
      <c r="M8" s="90" t="s">
        <v>84</v>
      </c>
      <c r="N8" s="89" t="s">
        <v>124</v>
      </c>
      <c r="O8" s="87" t="s">
        <v>85</v>
      </c>
      <c r="P8" s="87" t="s">
        <v>86</v>
      </c>
      <c r="Q8" s="87" t="s">
        <v>81</v>
      </c>
      <c r="R8" s="87" t="s">
        <v>82</v>
      </c>
      <c r="S8" s="90" t="s">
        <v>83</v>
      </c>
      <c r="T8" s="90" t="s">
        <v>84</v>
      </c>
      <c r="U8" s="89" t="s">
        <v>124</v>
      </c>
      <c r="V8" s="87" t="s">
        <v>85</v>
      </c>
      <c r="W8" s="87" t="s">
        <v>86</v>
      </c>
      <c r="X8" s="87" t="s">
        <v>81</v>
      </c>
      <c r="Y8" s="87" t="s">
        <v>82</v>
      </c>
      <c r="Z8" s="87" t="s">
        <v>83</v>
      </c>
      <c r="AA8" s="90" t="s">
        <v>84</v>
      </c>
      <c r="AB8" s="89" t="s">
        <v>124</v>
      </c>
      <c r="AC8" s="87" t="s">
        <v>85</v>
      </c>
      <c r="AD8" s="87" t="s">
        <v>86</v>
      </c>
      <c r="AE8" s="87" t="s">
        <v>81</v>
      </c>
      <c r="AF8" s="87" t="s">
        <v>82</v>
      </c>
      <c r="AG8" s="87" t="s">
        <v>83</v>
      </c>
      <c r="AH8" s="144"/>
    </row>
    <row r="9" spans="1:34" s="3" customFormat="1" ht="18" customHeight="1">
      <c r="A9" s="91" t="s">
        <v>100</v>
      </c>
      <c r="B9" s="102"/>
      <c r="C9" s="77">
        <v>600</v>
      </c>
      <c r="D9" s="77"/>
      <c r="E9" s="113">
        <v>300</v>
      </c>
      <c r="F9" s="81"/>
      <c r="G9" s="78"/>
      <c r="H9" s="77"/>
      <c r="I9" s="77"/>
      <c r="J9" s="77"/>
      <c r="K9" s="77"/>
      <c r="L9" s="77"/>
      <c r="M9" s="112"/>
      <c r="N9" s="78"/>
      <c r="O9" s="79">
        <v>900</v>
      </c>
      <c r="P9" s="77"/>
      <c r="Q9" s="113">
        <v>300</v>
      </c>
      <c r="R9" s="138"/>
      <c r="S9" s="78"/>
      <c r="T9" s="139"/>
      <c r="U9" s="112"/>
      <c r="V9" s="113">
        <v>600</v>
      </c>
      <c r="W9" s="77"/>
      <c r="X9" s="77"/>
      <c r="Y9" s="111"/>
      <c r="Z9" s="115"/>
      <c r="AA9" s="78"/>
      <c r="AB9" s="112"/>
      <c r="AC9" s="77"/>
      <c r="AD9" s="77"/>
      <c r="AE9" s="77"/>
      <c r="AF9" s="116"/>
      <c r="AG9" s="116"/>
      <c r="AH9" s="80">
        <f t="shared" ref="AH9:AH33" si="0">SUM(C9:AF9)</f>
        <v>2700</v>
      </c>
    </row>
    <row r="10" spans="1:34" s="3" customFormat="1" ht="18" customHeight="1">
      <c r="A10" s="91" t="s">
        <v>97</v>
      </c>
      <c r="B10" s="102"/>
      <c r="C10" s="113"/>
      <c r="D10" s="77"/>
      <c r="E10" s="79"/>
      <c r="F10" s="81"/>
      <c r="G10" s="78"/>
      <c r="H10" s="77"/>
      <c r="I10" s="77"/>
      <c r="J10" s="77"/>
      <c r="K10" s="77"/>
      <c r="L10" s="77"/>
      <c r="M10" s="112"/>
      <c r="N10" s="78"/>
      <c r="O10" s="113"/>
      <c r="P10" s="77"/>
      <c r="Q10" s="137"/>
      <c r="R10" s="138"/>
      <c r="S10" s="140"/>
      <c r="T10" s="139"/>
      <c r="U10" s="139"/>
      <c r="V10" s="137"/>
      <c r="W10" s="77"/>
      <c r="X10" s="77"/>
      <c r="Y10" s="117"/>
      <c r="Z10" s="115"/>
      <c r="AA10" s="78"/>
      <c r="AB10" s="112"/>
      <c r="AC10" s="77"/>
      <c r="AD10" s="77"/>
      <c r="AE10" s="77"/>
      <c r="AF10" s="116"/>
      <c r="AG10" s="116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113"/>
      <c r="D11" s="77"/>
      <c r="E11" s="77"/>
      <c r="F11" s="78"/>
      <c r="G11" s="78"/>
      <c r="H11" s="77"/>
      <c r="I11" s="77"/>
      <c r="J11" s="77"/>
      <c r="K11" s="77"/>
      <c r="L11" s="77"/>
      <c r="M11" s="112"/>
      <c r="N11" s="78"/>
      <c r="O11" s="113"/>
      <c r="P11" s="77"/>
      <c r="Q11" s="137"/>
      <c r="R11" s="138"/>
      <c r="S11" s="139"/>
      <c r="T11" s="139"/>
      <c r="U11" s="139"/>
      <c r="V11" s="137"/>
      <c r="W11" s="77"/>
      <c r="X11" s="77"/>
      <c r="Y11" s="111"/>
      <c r="Z11" s="77"/>
      <c r="AA11" s="78"/>
      <c r="AB11" s="112"/>
      <c r="AC11" s="77"/>
      <c r="AD11" s="77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113"/>
      <c r="D12" s="77"/>
      <c r="E12" s="77"/>
      <c r="F12" s="78"/>
      <c r="G12" s="78"/>
      <c r="H12" s="77"/>
      <c r="I12" s="77"/>
      <c r="J12" s="77"/>
      <c r="K12" s="77"/>
      <c r="L12" s="77"/>
      <c r="M12" s="112"/>
      <c r="N12" s="78"/>
      <c r="O12" s="113"/>
      <c r="P12" s="77"/>
      <c r="Q12" s="137"/>
      <c r="R12" s="138"/>
      <c r="S12" s="139"/>
      <c r="T12" s="139"/>
      <c r="U12" s="139"/>
      <c r="V12" s="137"/>
      <c r="W12" s="77"/>
      <c r="X12" s="77"/>
      <c r="Y12" s="111"/>
      <c r="Z12" s="77"/>
      <c r="AA12" s="78"/>
      <c r="AB12" s="112"/>
      <c r="AC12" s="77"/>
      <c r="AD12" s="77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113"/>
      <c r="D13" s="77"/>
      <c r="E13" s="77"/>
      <c r="F13" s="78"/>
      <c r="G13" s="78"/>
      <c r="H13" s="77"/>
      <c r="I13" s="77"/>
      <c r="J13" s="77"/>
      <c r="K13" s="77"/>
      <c r="L13" s="77"/>
      <c r="M13" s="112"/>
      <c r="N13" s="78"/>
      <c r="O13" s="113"/>
      <c r="P13" s="77"/>
      <c r="Q13" s="137"/>
      <c r="R13" s="138"/>
      <c r="S13" s="139"/>
      <c r="T13" s="139"/>
      <c r="U13" s="139"/>
      <c r="V13" s="137"/>
      <c r="W13" s="77"/>
      <c r="X13" s="77"/>
      <c r="Y13" s="111"/>
      <c r="Z13" s="77"/>
      <c r="AA13" s="78"/>
      <c r="AB13" s="112"/>
      <c r="AC13" s="77"/>
      <c r="AD13" s="77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113"/>
      <c r="D14" s="77"/>
      <c r="E14" s="79"/>
      <c r="F14" s="81"/>
      <c r="G14" s="78"/>
      <c r="H14" s="133"/>
      <c r="I14" s="77"/>
      <c r="J14" s="77"/>
      <c r="K14" s="77"/>
      <c r="L14" s="77"/>
      <c r="M14" s="112"/>
      <c r="N14" s="78"/>
      <c r="O14" s="113"/>
      <c r="P14" s="77"/>
      <c r="Q14" s="137"/>
      <c r="R14" s="138"/>
      <c r="S14" s="139"/>
      <c r="T14" s="139"/>
      <c r="U14" s="139"/>
      <c r="V14" s="137"/>
      <c r="W14" s="77"/>
      <c r="X14" s="77"/>
      <c r="Y14" s="113"/>
      <c r="Z14" s="77"/>
      <c r="AA14" s="78"/>
      <c r="AB14" s="112"/>
      <c r="AC14" s="77"/>
      <c r="AD14" s="77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2"/>
      <c r="C15" s="77">
        <v>1200</v>
      </c>
      <c r="D15" s="77"/>
      <c r="E15" s="77">
        <v>960</v>
      </c>
      <c r="F15" s="81"/>
      <c r="G15" s="78"/>
      <c r="H15" s="77"/>
      <c r="I15" s="77"/>
      <c r="J15" s="77"/>
      <c r="K15" s="113"/>
      <c r="L15" s="77"/>
      <c r="M15" s="112"/>
      <c r="N15" s="78"/>
      <c r="O15" s="79">
        <v>1200</v>
      </c>
      <c r="P15" s="77"/>
      <c r="Q15" s="77">
        <v>1478</v>
      </c>
      <c r="R15" s="138"/>
      <c r="S15" s="141"/>
      <c r="T15" s="139"/>
      <c r="U15" s="131"/>
      <c r="V15" s="77">
        <v>1440</v>
      </c>
      <c r="W15" s="77"/>
      <c r="X15" s="77"/>
      <c r="Y15" s="111"/>
      <c r="Z15" s="115"/>
      <c r="AA15" s="128"/>
      <c r="AB15" s="112"/>
      <c r="AC15" s="77"/>
      <c r="AD15" s="122"/>
      <c r="AE15" s="77"/>
      <c r="AF15" s="116"/>
      <c r="AG15" s="116"/>
      <c r="AH15" s="80">
        <f t="shared" si="0"/>
        <v>6278</v>
      </c>
    </row>
    <row r="16" spans="1:34" s="3" customFormat="1" ht="18" customHeight="1">
      <c r="A16" s="91" t="s">
        <v>112</v>
      </c>
      <c r="B16" s="102"/>
      <c r="C16" s="113"/>
      <c r="D16" s="77"/>
      <c r="E16" s="79"/>
      <c r="F16" s="81"/>
      <c r="G16" s="78"/>
      <c r="H16" s="77"/>
      <c r="I16" s="77"/>
      <c r="J16" s="77"/>
      <c r="K16" s="77"/>
      <c r="L16" s="77"/>
      <c r="M16" s="78"/>
      <c r="N16" s="78"/>
      <c r="O16" s="77"/>
      <c r="P16" s="77"/>
      <c r="Q16" s="137"/>
      <c r="R16" s="118"/>
      <c r="S16" s="131"/>
      <c r="T16" s="78"/>
      <c r="U16" s="78"/>
      <c r="V16" s="77"/>
      <c r="W16" s="77"/>
      <c r="X16" s="77"/>
      <c r="Y16" s="79"/>
      <c r="Z16" s="115"/>
      <c r="AA16" s="78"/>
      <c r="AB16" s="78"/>
      <c r="AC16" s="77"/>
      <c r="AD16" s="77"/>
      <c r="AE16" s="77"/>
      <c r="AF16" s="116"/>
      <c r="AG16" s="116"/>
      <c r="AH16" s="80">
        <f t="shared" si="0"/>
        <v>0</v>
      </c>
    </row>
    <row r="17" spans="1:34" s="3" customFormat="1" ht="18" customHeight="1">
      <c r="A17" s="91" t="s">
        <v>93</v>
      </c>
      <c r="B17" s="102"/>
      <c r="C17" s="113"/>
      <c r="D17" s="77"/>
      <c r="E17" s="79"/>
      <c r="F17" s="81"/>
      <c r="G17" s="78"/>
      <c r="H17" s="77"/>
      <c r="I17" s="77"/>
      <c r="J17" s="77"/>
      <c r="K17" s="77"/>
      <c r="L17" s="77"/>
      <c r="M17" s="78"/>
      <c r="N17" s="78"/>
      <c r="O17" s="77"/>
      <c r="P17" s="77"/>
      <c r="Q17" s="77"/>
      <c r="R17" s="118"/>
      <c r="S17" s="131"/>
      <c r="T17" s="78"/>
      <c r="U17" s="78"/>
      <c r="V17" s="77"/>
      <c r="W17" s="77"/>
      <c r="X17" s="77"/>
      <c r="Y17" s="79"/>
      <c r="Z17" s="115"/>
      <c r="AA17" s="78"/>
      <c r="AB17" s="78"/>
      <c r="AC17" s="77"/>
      <c r="AD17" s="77"/>
      <c r="AE17" s="77"/>
      <c r="AF17" s="116"/>
      <c r="AG17" s="116"/>
      <c r="AH17" s="80">
        <f t="shared" si="0"/>
        <v>0</v>
      </c>
    </row>
    <row r="18" spans="1:34" s="3" customFormat="1" ht="18" customHeight="1">
      <c r="A18" s="91" t="s">
        <v>42</v>
      </c>
      <c r="B18" s="102"/>
      <c r="C18" s="113"/>
      <c r="D18" s="77"/>
      <c r="E18" s="79"/>
      <c r="F18" s="81"/>
      <c r="G18" s="78"/>
      <c r="H18" s="77"/>
      <c r="I18" s="77"/>
      <c r="J18" s="77"/>
      <c r="K18" s="77"/>
      <c r="L18" s="77"/>
      <c r="M18" s="78"/>
      <c r="N18" s="78"/>
      <c r="O18" s="77"/>
      <c r="P18" s="77"/>
      <c r="Q18" s="77"/>
      <c r="R18" s="115"/>
      <c r="S18" s="131"/>
      <c r="T18" s="78"/>
      <c r="U18" s="78"/>
      <c r="V18" s="77"/>
      <c r="W18" s="77"/>
      <c r="X18" s="77"/>
      <c r="Y18" s="79"/>
      <c r="Z18" s="115"/>
      <c r="AA18" s="78"/>
      <c r="AB18" s="78"/>
      <c r="AC18" s="77"/>
      <c r="AD18" s="77"/>
      <c r="AE18" s="77"/>
      <c r="AF18" s="116"/>
      <c r="AG18" s="116"/>
      <c r="AH18" s="80">
        <f t="shared" si="0"/>
        <v>0</v>
      </c>
    </row>
    <row r="19" spans="1:34" s="3" customFormat="1" ht="18" customHeight="1">
      <c r="A19" s="94" t="s">
        <v>16</v>
      </c>
      <c r="B19" s="103"/>
      <c r="C19" s="136"/>
      <c r="D19" s="77"/>
      <c r="E19" s="77">
        <v>960</v>
      </c>
      <c r="F19" s="81"/>
      <c r="G19" s="78"/>
      <c r="H19" s="77"/>
      <c r="I19" s="77"/>
      <c r="J19" s="77"/>
      <c r="K19" s="77"/>
      <c r="L19" s="77"/>
      <c r="M19" s="78"/>
      <c r="N19" s="78"/>
      <c r="O19" s="77"/>
      <c r="P19" s="77"/>
      <c r="Q19" s="77"/>
      <c r="R19" s="115"/>
      <c r="S19" s="132"/>
      <c r="T19" s="78"/>
      <c r="U19" s="78"/>
      <c r="V19" s="77"/>
      <c r="W19" s="77"/>
      <c r="X19" s="77"/>
      <c r="Y19" s="79"/>
      <c r="Z19" s="115"/>
      <c r="AA19" s="78"/>
      <c r="AB19" s="78"/>
      <c r="AC19" s="77"/>
      <c r="AD19" s="77"/>
      <c r="AE19" s="77"/>
      <c r="AF19" s="116"/>
      <c r="AG19" s="116"/>
      <c r="AH19" s="80">
        <f t="shared" si="0"/>
        <v>960</v>
      </c>
    </row>
    <row r="20" spans="1:34" s="3" customFormat="1" ht="18" customHeight="1">
      <c r="A20" s="95" t="s">
        <v>17</v>
      </c>
      <c r="B20" s="104"/>
      <c r="C20" s="77">
        <v>480</v>
      </c>
      <c r="D20" s="77"/>
      <c r="E20" s="79"/>
      <c r="F20" s="128"/>
      <c r="G20" s="78"/>
      <c r="H20" s="77"/>
      <c r="I20" s="77"/>
      <c r="J20" s="77"/>
      <c r="K20" s="77"/>
      <c r="L20" s="77"/>
      <c r="M20" s="78"/>
      <c r="N20" s="78"/>
      <c r="O20" s="77"/>
      <c r="P20" s="77"/>
      <c r="Q20" s="77"/>
      <c r="R20" s="115"/>
      <c r="S20" s="132"/>
      <c r="T20" s="78"/>
      <c r="U20" s="78"/>
      <c r="V20" s="77"/>
      <c r="W20" s="77"/>
      <c r="X20" s="77"/>
      <c r="Y20" s="79"/>
      <c r="Z20" s="115"/>
      <c r="AA20" s="78"/>
      <c r="AB20" s="78"/>
      <c r="AC20" s="77"/>
      <c r="AD20" s="77"/>
      <c r="AE20" s="77"/>
      <c r="AF20" s="77"/>
      <c r="AG20" s="77"/>
      <c r="AH20" s="80">
        <f t="shared" si="0"/>
        <v>480</v>
      </c>
    </row>
    <row r="21" spans="1:34" s="3" customFormat="1" ht="18" customHeight="1">
      <c r="A21" s="96" t="s">
        <v>1</v>
      </c>
      <c r="B21" s="105"/>
      <c r="C21" s="82"/>
      <c r="D21" s="82"/>
      <c r="E21" s="82"/>
      <c r="F21" s="78"/>
      <c r="G21" s="78"/>
      <c r="H21" s="82"/>
      <c r="I21" s="82"/>
      <c r="J21" s="82"/>
      <c r="K21" s="82"/>
      <c r="L21" s="82"/>
      <c r="M21" s="78"/>
      <c r="N21" s="78"/>
      <c r="O21" s="82"/>
      <c r="P21" s="82"/>
      <c r="Q21" s="82"/>
      <c r="R21" s="82"/>
      <c r="S21" s="78"/>
      <c r="T21" s="78"/>
      <c r="U21" s="78"/>
      <c r="V21" s="82"/>
      <c r="W21" s="82"/>
      <c r="X21" s="82"/>
      <c r="Y21" s="82"/>
      <c r="Z21" s="82"/>
      <c r="AA21" s="78"/>
      <c r="AB21" s="78"/>
      <c r="AC21" s="82"/>
      <c r="AD21" s="82"/>
      <c r="AE21" s="82"/>
      <c r="AF21" s="82"/>
      <c r="AG21" s="82"/>
      <c r="AH21" s="84">
        <f t="shared" si="0"/>
        <v>0</v>
      </c>
    </row>
    <row r="22" spans="1:34" s="3" customFormat="1" ht="18" customHeight="1">
      <c r="A22" s="98" t="s">
        <v>18</v>
      </c>
      <c r="B22" s="106"/>
      <c r="C22" s="82"/>
      <c r="D22" s="82"/>
      <c r="E22" s="82"/>
      <c r="F22" s="78"/>
      <c r="G22" s="78"/>
      <c r="H22" s="82"/>
      <c r="I22" s="82"/>
      <c r="J22" s="82"/>
      <c r="K22" s="82"/>
      <c r="L22" s="82"/>
      <c r="M22" s="78"/>
      <c r="N22" s="78"/>
      <c r="O22" s="82"/>
      <c r="P22" s="82"/>
      <c r="Q22" s="82"/>
      <c r="R22" s="82"/>
      <c r="S22" s="78"/>
      <c r="T22" s="78"/>
      <c r="U22" s="78"/>
      <c r="V22" s="82"/>
      <c r="W22" s="82"/>
      <c r="X22" s="82"/>
      <c r="Y22" s="82"/>
      <c r="Z22" s="82"/>
      <c r="AA22" s="78"/>
      <c r="AB22" s="78"/>
      <c r="AC22" s="82"/>
      <c r="AD22" s="82"/>
      <c r="AE22" s="82"/>
      <c r="AF22" s="82"/>
      <c r="AG22" s="82"/>
      <c r="AH22" s="84">
        <f t="shared" si="0"/>
        <v>0</v>
      </c>
    </row>
    <row r="23" spans="1:34" s="3" customFormat="1" ht="18" customHeight="1">
      <c r="A23" s="99" t="s">
        <v>19</v>
      </c>
      <c r="B23" s="107"/>
      <c r="C23" s="82"/>
      <c r="D23" s="82"/>
      <c r="E23" s="82"/>
      <c r="F23" s="78"/>
      <c r="G23" s="78"/>
      <c r="H23" s="82"/>
      <c r="I23" s="82"/>
      <c r="J23" s="82"/>
      <c r="K23" s="82"/>
      <c r="L23" s="82"/>
      <c r="M23" s="78"/>
      <c r="N23" s="78"/>
      <c r="O23" s="82"/>
      <c r="P23" s="82"/>
      <c r="Q23" s="82"/>
      <c r="R23" s="82"/>
      <c r="S23" s="78"/>
      <c r="T23" s="78"/>
      <c r="U23" s="78"/>
      <c r="V23" s="82"/>
      <c r="W23" s="82"/>
      <c r="X23" s="82"/>
      <c r="Y23" s="82"/>
      <c r="Z23" s="82"/>
      <c r="AA23" s="78"/>
      <c r="AB23" s="78"/>
      <c r="AC23" s="82"/>
      <c r="AD23" s="82"/>
      <c r="AE23" s="82"/>
      <c r="AF23" s="82"/>
      <c r="AG23" s="82"/>
      <c r="AH23" s="84">
        <f t="shared" si="0"/>
        <v>0</v>
      </c>
    </row>
    <row r="24" spans="1:34" s="3" customFormat="1" ht="18" customHeight="1">
      <c r="A24" s="96" t="s">
        <v>2</v>
      </c>
      <c r="B24" s="105"/>
      <c r="C24" s="82"/>
      <c r="D24" s="82"/>
      <c r="E24" s="82"/>
      <c r="F24" s="78"/>
      <c r="G24" s="78"/>
      <c r="H24" s="82"/>
      <c r="I24" s="82"/>
      <c r="J24" s="82"/>
      <c r="K24" s="82"/>
      <c r="L24" s="82"/>
      <c r="M24" s="78"/>
      <c r="N24" s="78"/>
      <c r="O24" s="82"/>
      <c r="P24" s="82"/>
      <c r="Q24" s="82"/>
      <c r="R24" s="82"/>
      <c r="S24" s="78"/>
      <c r="T24" s="78"/>
      <c r="U24" s="78"/>
      <c r="V24" s="82"/>
      <c r="W24" s="82"/>
      <c r="X24" s="82"/>
      <c r="Y24" s="82"/>
      <c r="Z24" s="82"/>
      <c r="AA24" s="78"/>
      <c r="AB24" s="78"/>
      <c r="AC24" s="82"/>
      <c r="AD24" s="82"/>
      <c r="AE24" s="82"/>
      <c r="AF24" s="82"/>
      <c r="AG24" s="82"/>
      <c r="AH24" s="84">
        <f t="shared" si="0"/>
        <v>0</v>
      </c>
    </row>
    <row r="25" spans="1:34" s="3" customFormat="1" ht="18" customHeight="1">
      <c r="A25" s="96" t="s">
        <v>3</v>
      </c>
      <c r="B25" s="105"/>
      <c r="C25" s="82">
        <v>8</v>
      </c>
      <c r="D25" s="82"/>
      <c r="E25" s="82">
        <v>7</v>
      </c>
      <c r="F25" s="78"/>
      <c r="G25" s="78"/>
      <c r="H25" s="82"/>
      <c r="I25" s="82"/>
      <c r="J25" s="82"/>
      <c r="K25" s="82"/>
      <c r="L25" s="82"/>
      <c r="M25" s="78"/>
      <c r="N25" s="78"/>
      <c r="O25" s="82">
        <v>7</v>
      </c>
      <c r="P25" s="82"/>
      <c r="Q25" s="82">
        <v>8</v>
      </c>
      <c r="R25" s="119"/>
      <c r="S25" s="78"/>
      <c r="T25" s="78"/>
      <c r="U25" s="78"/>
      <c r="V25" s="82">
        <v>8</v>
      </c>
      <c r="W25" s="82"/>
      <c r="X25" s="82"/>
      <c r="Y25" s="83"/>
      <c r="Z25" s="82"/>
      <c r="AA25" s="78"/>
      <c r="AB25" s="78"/>
      <c r="AC25" s="82"/>
      <c r="AD25" s="82"/>
      <c r="AE25" s="82"/>
      <c r="AF25" s="82"/>
      <c r="AG25" s="82"/>
      <c r="AH25" s="84">
        <f t="shared" si="0"/>
        <v>38</v>
      </c>
    </row>
    <row r="26" spans="1:34" s="3" customFormat="1" ht="18" customHeight="1">
      <c r="A26" s="96" t="s">
        <v>20</v>
      </c>
      <c r="B26" s="105"/>
      <c r="C26" s="82"/>
      <c r="D26" s="82"/>
      <c r="E26" s="82"/>
      <c r="F26" s="78"/>
      <c r="G26" s="78"/>
      <c r="H26" s="82"/>
      <c r="I26" s="82"/>
      <c r="J26" s="82"/>
      <c r="K26" s="82"/>
      <c r="L26" s="82"/>
      <c r="M26" s="78"/>
      <c r="N26" s="78"/>
      <c r="O26" s="82"/>
      <c r="P26" s="82"/>
      <c r="Q26" s="82"/>
      <c r="R26" s="119"/>
      <c r="S26" s="78"/>
      <c r="T26" s="78"/>
      <c r="U26" s="78"/>
      <c r="V26" s="82"/>
      <c r="W26" s="82"/>
      <c r="X26" s="82"/>
      <c r="Y26" s="83"/>
      <c r="Z26" s="82"/>
      <c r="AA26" s="78"/>
      <c r="AB26" s="78"/>
      <c r="AC26" s="82"/>
      <c r="AD26" s="82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 t="s">
        <v>21</v>
      </c>
      <c r="B27" s="108"/>
      <c r="C27" s="77"/>
      <c r="D27" s="77"/>
      <c r="E27" s="77"/>
      <c r="F27" s="78"/>
      <c r="G27" s="78"/>
      <c r="H27" s="77"/>
      <c r="I27" s="77"/>
      <c r="J27" s="77"/>
      <c r="K27" s="77"/>
      <c r="L27" s="77"/>
      <c r="M27" s="78"/>
      <c r="N27" s="78"/>
      <c r="O27" s="77"/>
      <c r="P27" s="77"/>
      <c r="Q27" s="77"/>
      <c r="R27" s="115"/>
      <c r="S27" s="78"/>
      <c r="T27" s="78"/>
      <c r="U27" s="78"/>
      <c r="V27" s="77"/>
      <c r="W27" s="77"/>
      <c r="X27" s="77"/>
      <c r="Y27" s="121"/>
      <c r="Z27" s="77"/>
      <c r="AA27" s="78"/>
      <c r="AB27" s="78"/>
      <c r="AC27" s="77"/>
      <c r="AD27" s="77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 t="s">
        <v>38</v>
      </c>
      <c r="B28" s="102"/>
      <c r="C28" s="77"/>
      <c r="D28" s="77"/>
      <c r="E28" s="77"/>
      <c r="F28" s="78"/>
      <c r="G28" s="78"/>
      <c r="H28" s="77"/>
      <c r="I28" s="77"/>
      <c r="J28" s="77"/>
      <c r="K28" s="77"/>
      <c r="L28" s="77"/>
      <c r="M28" s="78"/>
      <c r="N28" s="78"/>
      <c r="O28" s="77"/>
      <c r="P28" s="77"/>
      <c r="Q28" s="77"/>
      <c r="R28" s="115"/>
      <c r="S28" s="78"/>
      <c r="T28" s="78"/>
      <c r="U28" s="78"/>
      <c r="V28" s="77"/>
      <c r="W28" s="77"/>
      <c r="X28" s="77"/>
      <c r="Y28" s="121"/>
      <c r="Z28" s="77"/>
      <c r="AA28" s="78"/>
      <c r="AB28" s="78"/>
      <c r="AC28" s="77"/>
      <c r="AD28" s="77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 t="s">
        <v>39</v>
      </c>
      <c r="B29" s="102"/>
      <c r="C29" s="77"/>
      <c r="D29" s="77"/>
      <c r="E29" s="77"/>
      <c r="F29" s="78"/>
      <c r="G29" s="78"/>
      <c r="H29" s="77"/>
      <c r="I29" s="77"/>
      <c r="J29" s="77"/>
      <c r="K29" s="77"/>
      <c r="L29" s="77"/>
      <c r="M29" s="78"/>
      <c r="N29" s="78"/>
      <c r="O29" s="77"/>
      <c r="P29" s="77"/>
      <c r="Q29" s="77"/>
      <c r="R29" s="115"/>
      <c r="S29" s="78"/>
      <c r="T29" s="78"/>
      <c r="U29" s="78"/>
      <c r="V29" s="77"/>
      <c r="W29" s="77"/>
      <c r="X29" s="77"/>
      <c r="Y29" s="121"/>
      <c r="Z29" s="77"/>
      <c r="AA29" s="78"/>
      <c r="AB29" s="78"/>
      <c r="AC29" s="77"/>
      <c r="AD29" s="77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107"/>
      <c r="C30" s="82"/>
      <c r="D30" s="82"/>
      <c r="E30" s="82"/>
      <c r="F30" s="78"/>
      <c r="G30" s="78"/>
      <c r="H30" s="82"/>
      <c r="I30" s="82"/>
      <c r="J30" s="82"/>
      <c r="K30" s="82"/>
      <c r="L30" s="82"/>
      <c r="M30" s="78"/>
      <c r="N30" s="78"/>
      <c r="O30" s="82"/>
      <c r="P30" s="82"/>
      <c r="Q30" s="82"/>
      <c r="R30" s="119"/>
      <c r="S30" s="78"/>
      <c r="T30" s="78"/>
      <c r="U30" s="78"/>
      <c r="V30" s="82"/>
      <c r="W30" s="82"/>
      <c r="X30" s="82"/>
      <c r="Y30" s="82"/>
      <c r="Z30" s="82"/>
      <c r="AA30" s="78"/>
      <c r="AB30" s="78"/>
      <c r="AC30" s="82"/>
      <c r="AD30" s="82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105"/>
      <c r="C31" s="82"/>
      <c r="D31" s="82"/>
      <c r="E31" s="82"/>
      <c r="F31" s="78"/>
      <c r="G31" s="78"/>
      <c r="H31" s="82"/>
      <c r="I31" s="82"/>
      <c r="J31" s="82"/>
      <c r="K31" s="82"/>
      <c r="L31" s="82"/>
      <c r="M31" s="78"/>
      <c r="N31" s="78"/>
      <c r="O31" s="82"/>
      <c r="P31" s="82"/>
      <c r="Q31" s="82"/>
      <c r="R31" s="119"/>
      <c r="S31" s="78"/>
      <c r="T31" s="78"/>
      <c r="U31" s="78"/>
      <c r="V31" s="82"/>
      <c r="W31" s="82"/>
      <c r="X31" s="82"/>
      <c r="Y31" s="120"/>
      <c r="Z31" s="82"/>
      <c r="AA31" s="78"/>
      <c r="AB31" s="78"/>
      <c r="AC31" s="82"/>
      <c r="AD31" s="82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105"/>
      <c r="C32" s="82"/>
      <c r="D32" s="82"/>
      <c r="E32" s="82"/>
      <c r="F32" s="78"/>
      <c r="G32" s="78"/>
      <c r="H32" s="82"/>
      <c r="I32" s="82"/>
      <c r="J32" s="82"/>
      <c r="K32" s="82"/>
      <c r="L32" s="82"/>
      <c r="M32" s="78"/>
      <c r="N32" s="78"/>
      <c r="O32" s="82"/>
      <c r="P32" s="82"/>
      <c r="Q32" s="82"/>
      <c r="R32" s="119"/>
      <c r="S32" s="78"/>
      <c r="T32" s="78"/>
      <c r="U32" s="78"/>
      <c r="V32" s="82"/>
      <c r="W32" s="82"/>
      <c r="X32" s="82"/>
      <c r="Y32" s="120"/>
      <c r="Z32" s="82"/>
      <c r="AA32" s="78"/>
      <c r="AB32" s="78"/>
      <c r="AC32" s="82"/>
      <c r="AD32" s="82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53</v>
      </c>
      <c r="B33" s="105"/>
      <c r="C33" s="82"/>
      <c r="D33" s="82"/>
      <c r="E33" s="82"/>
      <c r="F33" s="78"/>
      <c r="G33" s="78"/>
      <c r="H33" s="82"/>
      <c r="I33" s="82"/>
      <c r="J33" s="82"/>
      <c r="K33" s="82"/>
      <c r="L33" s="82"/>
      <c r="M33" s="78"/>
      <c r="N33" s="78"/>
      <c r="O33" s="82"/>
      <c r="P33" s="82"/>
      <c r="Q33" s="82"/>
      <c r="R33" s="119"/>
      <c r="S33" s="78"/>
      <c r="T33" s="78"/>
      <c r="U33" s="78"/>
      <c r="V33" s="82"/>
      <c r="W33" s="82"/>
      <c r="X33" s="82"/>
      <c r="Y33" s="120"/>
      <c r="Z33" s="82"/>
      <c r="AA33" s="78"/>
      <c r="AB33" s="78"/>
      <c r="AC33" s="82"/>
      <c r="AD33" s="82"/>
      <c r="AE33" s="82"/>
      <c r="AF33" s="82"/>
      <c r="AG33" s="82"/>
      <c r="AH33" s="84">
        <f t="shared" si="0"/>
        <v>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2">
        <f>SUM(O9:O33)</f>
        <v>2107</v>
      </c>
      <c r="P34" s="53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2048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  <row r="35" spans="1:34">
      <c r="O35" s="54"/>
      <c r="P35" s="54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4:AH34"/>
  <sheetViews>
    <sheetView tabSelected="1" zoomScaleNormal="10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U37" sqref="U37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43" t="s">
        <v>0</v>
      </c>
      <c r="B6" s="86"/>
      <c r="C6" s="145" t="s">
        <v>135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7"/>
      <c r="AH6" s="144" t="s">
        <v>15</v>
      </c>
    </row>
    <row r="7" spans="1:34" s="3" customFormat="1" ht="16.5" customHeight="1">
      <c r="A7" s="143"/>
      <c r="B7" s="86" t="s">
        <v>136</v>
      </c>
      <c r="C7" s="87" t="s">
        <v>23</v>
      </c>
      <c r="D7" s="87" t="s">
        <v>24</v>
      </c>
      <c r="E7" s="88" t="s">
        <v>25</v>
      </c>
      <c r="F7" s="89" t="s">
        <v>31</v>
      </c>
      <c r="G7" s="90" t="s">
        <v>32</v>
      </c>
      <c r="H7" s="87" t="s">
        <v>26</v>
      </c>
      <c r="I7" s="87" t="s">
        <v>27</v>
      </c>
      <c r="J7" s="87" t="s">
        <v>28</v>
      </c>
      <c r="K7" s="87" t="s">
        <v>29</v>
      </c>
      <c r="L7" s="87" t="s">
        <v>30</v>
      </c>
      <c r="M7" s="90" t="s">
        <v>33</v>
      </c>
      <c r="N7" s="90" t="s">
        <v>4</v>
      </c>
      <c r="O7" s="87" t="s">
        <v>5</v>
      </c>
      <c r="P7" s="87" t="s">
        <v>6</v>
      </c>
      <c r="Q7" s="87" t="s">
        <v>7</v>
      </c>
      <c r="R7" s="87" t="s">
        <v>8</v>
      </c>
      <c r="S7" s="90" t="s">
        <v>9</v>
      </c>
      <c r="T7" s="90" t="s">
        <v>34</v>
      </c>
      <c r="U7" s="90" t="s">
        <v>35</v>
      </c>
      <c r="V7" s="87" t="s">
        <v>40</v>
      </c>
      <c r="W7" s="87" t="s">
        <v>10</v>
      </c>
      <c r="X7" s="87" t="s">
        <v>11</v>
      </c>
      <c r="Y7" s="87" t="s">
        <v>12</v>
      </c>
      <c r="Z7" s="87" t="s">
        <v>13</v>
      </c>
      <c r="AA7" s="90" t="s">
        <v>36</v>
      </c>
      <c r="AB7" s="90" t="s">
        <v>37</v>
      </c>
      <c r="AC7" s="87" t="s">
        <v>41</v>
      </c>
      <c r="AD7" s="87" t="s">
        <v>14</v>
      </c>
      <c r="AE7" s="87" t="s">
        <v>123</v>
      </c>
      <c r="AF7" s="87" t="s">
        <v>125</v>
      </c>
      <c r="AG7" s="87" t="s">
        <v>137</v>
      </c>
      <c r="AH7" s="144"/>
    </row>
    <row r="8" spans="1:34" s="3" customFormat="1" ht="16.5" customHeight="1">
      <c r="A8" s="143"/>
      <c r="B8" s="86" t="s">
        <v>90</v>
      </c>
      <c r="C8" s="87" t="s">
        <v>81</v>
      </c>
      <c r="D8" s="87" t="s">
        <v>82</v>
      </c>
      <c r="E8" s="87" t="s">
        <v>83</v>
      </c>
      <c r="F8" s="90" t="s">
        <v>84</v>
      </c>
      <c r="G8" s="89" t="s">
        <v>124</v>
      </c>
      <c r="H8" s="87" t="s">
        <v>85</v>
      </c>
      <c r="I8" s="87" t="s">
        <v>86</v>
      </c>
      <c r="J8" s="87" t="s">
        <v>81</v>
      </c>
      <c r="K8" s="87" t="s">
        <v>82</v>
      </c>
      <c r="L8" s="87" t="s">
        <v>83</v>
      </c>
      <c r="M8" s="90" t="s">
        <v>84</v>
      </c>
      <c r="N8" s="89" t="s">
        <v>124</v>
      </c>
      <c r="O8" s="87" t="s">
        <v>85</v>
      </c>
      <c r="P8" s="87" t="s">
        <v>86</v>
      </c>
      <c r="Q8" s="87" t="s">
        <v>81</v>
      </c>
      <c r="R8" s="87" t="s">
        <v>82</v>
      </c>
      <c r="S8" s="90" t="s">
        <v>83</v>
      </c>
      <c r="T8" s="90" t="s">
        <v>84</v>
      </c>
      <c r="U8" s="89" t="s">
        <v>124</v>
      </c>
      <c r="V8" s="87" t="s">
        <v>85</v>
      </c>
      <c r="W8" s="87" t="s">
        <v>86</v>
      </c>
      <c r="X8" s="87" t="s">
        <v>81</v>
      </c>
      <c r="Y8" s="87" t="s">
        <v>82</v>
      </c>
      <c r="Z8" s="87" t="s">
        <v>83</v>
      </c>
      <c r="AA8" s="90" t="s">
        <v>84</v>
      </c>
      <c r="AB8" s="89" t="s">
        <v>124</v>
      </c>
      <c r="AC8" s="87" t="s">
        <v>85</v>
      </c>
      <c r="AD8" s="87" t="s">
        <v>86</v>
      </c>
      <c r="AE8" s="87" t="s">
        <v>81</v>
      </c>
      <c r="AF8" s="87" t="s">
        <v>82</v>
      </c>
      <c r="AG8" s="87" t="s">
        <v>83</v>
      </c>
      <c r="AH8" s="144"/>
    </row>
    <row r="9" spans="1:34" s="3" customFormat="1" ht="18" customHeight="1">
      <c r="A9" s="91" t="s">
        <v>100</v>
      </c>
      <c r="B9" s="102">
        <v>600</v>
      </c>
      <c r="C9" s="113">
        <v>300</v>
      </c>
      <c r="D9" s="77"/>
      <c r="E9" s="79">
        <v>900</v>
      </c>
      <c r="F9" s="81"/>
      <c r="G9" s="78"/>
      <c r="H9" s="77"/>
      <c r="I9" s="77"/>
      <c r="J9" s="77"/>
      <c r="K9" s="77"/>
      <c r="L9" s="77"/>
      <c r="M9" s="112"/>
      <c r="N9" s="78"/>
      <c r="O9" s="113"/>
      <c r="P9" s="113">
        <v>900</v>
      </c>
      <c r="Q9" s="77"/>
      <c r="R9" s="115"/>
      <c r="S9" s="81"/>
      <c r="T9" s="112"/>
      <c r="U9" s="78"/>
      <c r="V9" s="77"/>
      <c r="W9" s="77"/>
      <c r="X9" s="77"/>
      <c r="Y9" s="111"/>
      <c r="Z9" s="115"/>
      <c r="AA9" s="78"/>
      <c r="AB9" s="112"/>
      <c r="AC9" s="77"/>
      <c r="AD9" s="77"/>
      <c r="AE9" s="77"/>
      <c r="AF9" s="116"/>
      <c r="AG9" s="116"/>
      <c r="AH9" s="80">
        <f t="shared" ref="AH9:AH33" si="0">SUM(C9:AF9)</f>
        <v>2100</v>
      </c>
    </row>
    <row r="10" spans="1:34" s="3" customFormat="1" ht="18" customHeight="1">
      <c r="A10" s="91" t="s">
        <v>97</v>
      </c>
      <c r="B10" s="102"/>
      <c r="C10" s="77"/>
      <c r="D10" s="77"/>
      <c r="E10" s="79"/>
      <c r="F10" s="81"/>
      <c r="G10" s="78"/>
      <c r="H10" s="77"/>
      <c r="I10" s="77"/>
      <c r="J10" s="77"/>
      <c r="K10" s="77"/>
      <c r="L10" s="77"/>
      <c r="M10" s="112"/>
      <c r="N10" s="78"/>
      <c r="O10" s="113"/>
      <c r="P10" s="77"/>
      <c r="Q10" s="77"/>
      <c r="R10" s="115"/>
      <c r="S10" s="129"/>
      <c r="T10" s="112"/>
      <c r="U10" s="78"/>
      <c r="V10" s="77"/>
      <c r="W10" s="77"/>
      <c r="X10" s="77"/>
      <c r="Y10" s="117"/>
      <c r="Z10" s="115"/>
      <c r="AA10" s="78"/>
      <c r="AB10" s="112"/>
      <c r="AC10" s="77"/>
      <c r="AD10" s="77"/>
      <c r="AE10" s="77"/>
      <c r="AF10" s="116"/>
      <c r="AG10" s="116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77"/>
      <c r="D11" s="77"/>
      <c r="E11" s="77"/>
      <c r="F11" s="78"/>
      <c r="G11" s="78"/>
      <c r="H11" s="77"/>
      <c r="I11" s="77"/>
      <c r="J11" s="77"/>
      <c r="K11" s="77"/>
      <c r="L11" s="77"/>
      <c r="M11" s="112"/>
      <c r="N11" s="78"/>
      <c r="O11" s="113"/>
      <c r="P11" s="77"/>
      <c r="Q11" s="77"/>
      <c r="R11" s="118"/>
      <c r="S11" s="130"/>
      <c r="T11" s="112"/>
      <c r="U11" s="78"/>
      <c r="V11" s="77"/>
      <c r="W11" s="77"/>
      <c r="X11" s="77"/>
      <c r="Y11" s="111"/>
      <c r="Z11" s="77"/>
      <c r="AA11" s="78"/>
      <c r="AB11" s="112"/>
      <c r="AC11" s="77"/>
      <c r="AD11" s="77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77"/>
      <c r="D12" s="77"/>
      <c r="E12" s="77"/>
      <c r="F12" s="78"/>
      <c r="G12" s="78"/>
      <c r="H12" s="77"/>
      <c r="I12" s="77"/>
      <c r="J12" s="77"/>
      <c r="K12" s="77"/>
      <c r="L12" s="77"/>
      <c r="M12" s="112"/>
      <c r="N12" s="78"/>
      <c r="O12" s="113"/>
      <c r="P12" s="77"/>
      <c r="Q12" s="77"/>
      <c r="R12" s="118"/>
      <c r="S12" s="112"/>
      <c r="T12" s="112"/>
      <c r="U12" s="78"/>
      <c r="V12" s="77"/>
      <c r="W12" s="77"/>
      <c r="X12" s="77"/>
      <c r="Y12" s="111"/>
      <c r="Z12" s="77"/>
      <c r="AA12" s="78"/>
      <c r="AB12" s="112"/>
      <c r="AC12" s="77"/>
      <c r="AD12" s="77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77"/>
      <c r="D13" s="77"/>
      <c r="E13" s="77"/>
      <c r="F13" s="78"/>
      <c r="G13" s="78"/>
      <c r="H13" s="77"/>
      <c r="I13" s="77"/>
      <c r="J13" s="77"/>
      <c r="K13" s="77"/>
      <c r="L13" s="77"/>
      <c r="M13" s="112"/>
      <c r="N13" s="78"/>
      <c r="O13" s="113"/>
      <c r="P13" s="77"/>
      <c r="Q13" s="77"/>
      <c r="R13" s="118"/>
      <c r="S13" s="112"/>
      <c r="T13" s="112"/>
      <c r="U13" s="78"/>
      <c r="V13" s="77"/>
      <c r="W13" s="77"/>
      <c r="X13" s="77"/>
      <c r="Y13" s="111"/>
      <c r="Z13" s="77"/>
      <c r="AA13" s="78"/>
      <c r="AB13" s="112"/>
      <c r="AC13" s="77"/>
      <c r="AD13" s="77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77"/>
      <c r="D14" s="77"/>
      <c r="E14" s="79"/>
      <c r="F14" s="81"/>
      <c r="G14" s="78"/>
      <c r="H14" s="133"/>
      <c r="I14" s="77"/>
      <c r="J14" s="77"/>
      <c r="K14" s="77"/>
      <c r="L14" s="77"/>
      <c r="M14" s="112"/>
      <c r="N14" s="78"/>
      <c r="O14" s="113"/>
      <c r="P14" s="77"/>
      <c r="Q14" s="77"/>
      <c r="R14" s="118"/>
      <c r="S14" s="112"/>
      <c r="T14" s="112"/>
      <c r="U14" s="78"/>
      <c r="V14" s="77"/>
      <c r="W14" s="77"/>
      <c r="X14" s="77"/>
      <c r="Y14" s="113"/>
      <c r="Z14" s="77"/>
      <c r="AA14" s="78"/>
      <c r="AB14" s="112"/>
      <c r="AC14" s="77"/>
      <c r="AD14" s="77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9">
        <v>1200</v>
      </c>
      <c r="C15" s="77"/>
      <c r="D15" s="77">
        <v>960</v>
      </c>
      <c r="E15" s="79"/>
      <c r="F15" s="81"/>
      <c r="G15" s="78"/>
      <c r="H15" s="79"/>
      <c r="I15" s="79"/>
      <c r="J15" s="79">
        <v>960</v>
      </c>
      <c r="K15" s="79">
        <v>720</v>
      </c>
      <c r="L15" s="77"/>
      <c r="M15" s="112"/>
      <c r="N15" s="78"/>
      <c r="O15" s="113">
        <v>998</v>
      </c>
      <c r="P15" s="77"/>
      <c r="Q15" s="77">
        <v>840</v>
      </c>
      <c r="R15" s="77">
        <v>600</v>
      </c>
      <c r="S15" s="131"/>
      <c r="T15" s="112"/>
      <c r="U15" s="78"/>
      <c r="V15" s="77">
        <v>720</v>
      </c>
      <c r="W15" s="77">
        <v>960</v>
      </c>
      <c r="X15" s="77"/>
      <c r="Y15" s="111"/>
      <c r="Z15" s="115"/>
      <c r="AA15" s="128"/>
      <c r="AB15" s="112"/>
      <c r="AC15" s="77"/>
      <c r="AD15" s="122"/>
      <c r="AE15" s="77"/>
      <c r="AF15" s="116"/>
      <c r="AG15" s="116"/>
      <c r="AH15" s="80">
        <f t="shared" si="0"/>
        <v>6758</v>
      </c>
    </row>
    <row r="16" spans="1:34" s="3" customFormat="1" ht="18" customHeight="1">
      <c r="A16" s="91" t="s">
        <v>112</v>
      </c>
      <c r="B16" s="109"/>
      <c r="C16" s="77"/>
      <c r="D16" s="77"/>
      <c r="E16" s="79"/>
      <c r="F16" s="81"/>
      <c r="G16" s="78"/>
      <c r="H16" s="77"/>
      <c r="I16" s="77"/>
      <c r="J16" s="77"/>
      <c r="K16" s="77"/>
      <c r="L16" s="77"/>
      <c r="M16" s="78"/>
      <c r="N16" s="78"/>
      <c r="O16" s="77"/>
      <c r="P16" s="77"/>
      <c r="Q16" s="77"/>
      <c r="R16" s="118"/>
      <c r="S16" s="131"/>
      <c r="T16" s="78"/>
      <c r="U16" s="78"/>
      <c r="V16" s="77"/>
      <c r="W16" s="77"/>
      <c r="X16" s="77"/>
      <c r="Y16" s="79"/>
      <c r="Z16" s="115"/>
      <c r="AA16" s="78"/>
      <c r="AB16" s="78"/>
      <c r="AC16" s="77"/>
      <c r="AD16" s="77"/>
      <c r="AE16" s="77"/>
      <c r="AF16" s="116"/>
      <c r="AG16" s="116"/>
      <c r="AH16" s="80">
        <f t="shared" si="0"/>
        <v>0</v>
      </c>
    </row>
    <row r="17" spans="1:34" s="3" customFormat="1" ht="18" customHeight="1">
      <c r="A17" s="91" t="s">
        <v>93</v>
      </c>
      <c r="B17" s="109"/>
      <c r="C17" s="77"/>
      <c r="D17" s="77"/>
      <c r="E17" s="79"/>
      <c r="F17" s="81"/>
      <c r="G17" s="78"/>
      <c r="H17" s="77"/>
      <c r="I17" s="77"/>
      <c r="J17" s="77"/>
      <c r="K17" s="77"/>
      <c r="L17" s="77"/>
      <c r="M17" s="78"/>
      <c r="N17" s="78"/>
      <c r="O17" s="77"/>
      <c r="P17" s="77"/>
      <c r="Q17" s="77"/>
      <c r="R17" s="118"/>
      <c r="S17" s="131"/>
      <c r="T17" s="78"/>
      <c r="U17" s="78"/>
      <c r="V17" s="77"/>
      <c r="W17" s="77"/>
      <c r="X17" s="77"/>
      <c r="Y17" s="79"/>
      <c r="Z17" s="115"/>
      <c r="AA17" s="78"/>
      <c r="AB17" s="78"/>
      <c r="AC17" s="77"/>
      <c r="AD17" s="77"/>
      <c r="AE17" s="77"/>
      <c r="AF17" s="116"/>
      <c r="AG17" s="116"/>
      <c r="AH17" s="80">
        <f t="shared" si="0"/>
        <v>0</v>
      </c>
    </row>
    <row r="18" spans="1:34" s="3" customFormat="1" ht="18" customHeight="1">
      <c r="A18" s="91" t="s">
        <v>42</v>
      </c>
      <c r="B18" s="109"/>
      <c r="C18" s="77"/>
      <c r="D18" s="77"/>
      <c r="E18" s="79"/>
      <c r="F18" s="81"/>
      <c r="G18" s="78"/>
      <c r="H18" s="77"/>
      <c r="I18" s="77"/>
      <c r="J18" s="77"/>
      <c r="K18" s="77"/>
      <c r="L18" s="77"/>
      <c r="M18" s="78"/>
      <c r="N18" s="78"/>
      <c r="O18" s="77"/>
      <c r="P18" s="77"/>
      <c r="Q18" s="77"/>
      <c r="R18" s="115"/>
      <c r="S18" s="131"/>
      <c r="T18" s="78"/>
      <c r="U18" s="78"/>
      <c r="V18" s="77"/>
      <c r="W18" s="77"/>
      <c r="X18" s="77"/>
      <c r="Y18" s="79"/>
      <c r="Z18" s="115"/>
      <c r="AA18" s="78"/>
      <c r="AB18" s="78"/>
      <c r="AC18" s="77"/>
      <c r="AD18" s="77"/>
      <c r="AE18" s="77"/>
      <c r="AF18" s="116"/>
      <c r="AG18" s="116"/>
      <c r="AH18" s="80">
        <f t="shared" si="0"/>
        <v>0</v>
      </c>
    </row>
    <row r="19" spans="1:34" s="3" customFormat="1" ht="18" customHeight="1">
      <c r="A19" s="94" t="s">
        <v>16</v>
      </c>
      <c r="B19" s="109"/>
      <c r="C19" s="77">
        <v>760</v>
      </c>
      <c r="D19" s="77">
        <v>200</v>
      </c>
      <c r="E19" s="79"/>
      <c r="F19" s="81"/>
      <c r="G19" s="78"/>
      <c r="H19" s="77"/>
      <c r="I19" s="77"/>
      <c r="J19" s="77"/>
      <c r="K19" s="77"/>
      <c r="L19" s="77"/>
      <c r="M19" s="78"/>
      <c r="N19" s="78"/>
      <c r="O19" s="77"/>
      <c r="P19" s="77"/>
      <c r="Q19" s="77"/>
      <c r="R19" s="122">
        <v>342</v>
      </c>
      <c r="S19" s="132"/>
      <c r="T19" s="78"/>
      <c r="U19" s="78"/>
      <c r="V19" s="122">
        <v>300</v>
      </c>
      <c r="W19" s="122"/>
      <c r="X19" s="77"/>
      <c r="Y19" s="79"/>
      <c r="Z19" s="115"/>
      <c r="AA19" s="78"/>
      <c r="AB19" s="78"/>
      <c r="AC19" s="77"/>
      <c r="AD19" s="77"/>
      <c r="AE19" s="77"/>
      <c r="AF19" s="116"/>
      <c r="AG19" s="116"/>
      <c r="AH19" s="80">
        <f t="shared" si="0"/>
        <v>1602</v>
      </c>
    </row>
    <row r="20" spans="1:34" s="3" customFormat="1" ht="18" customHeight="1">
      <c r="A20" s="95" t="s">
        <v>17</v>
      </c>
      <c r="B20" s="109">
        <v>480</v>
      </c>
      <c r="C20" s="77"/>
      <c r="D20" s="77"/>
      <c r="E20" s="79"/>
      <c r="F20" s="128"/>
      <c r="G20" s="78"/>
      <c r="H20" s="77"/>
      <c r="I20" s="77"/>
      <c r="J20" s="77"/>
      <c r="K20" s="77"/>
      <c r="L20" s="77"/>
      <c r="M20" s="78"/>
      <c r="N20" s="78"/>
      <c r="O20" s="77"/>
      <c r="P20" s="77"/>
      <c r="Q20" s="77"/>
      <c r="R20" s="77"/>
      <c r="S20" s="132"/>
      <c r="T20" s="78"/>
      <c r="U20" s="78"/>
      <c r="V20" s="122"/>
      <c r="W20" s="122"/>
      <c r="X20" s="122">
        <v>447</v>
      </c>
      <c r="Y20" s="79"/>
      <c r="Z20" s="115"/>
      <c r="AA20" s="78"/>
      <c r="AB20" s="78"/>
      <c r="AC20" s="77"/>
      <c r="AD20" s="77"/>
      <c r="AE20" s="77"/>
      <c r="AF20" s="77"/>
      <c r="AG20" s="77"/>
      <c r="AH20" s="80">
        <f t="shared" si="0"/>
        <v>447</v>
      </c>
    </row>
    <row r="21" spans="1:34" s="3" customFormat="1" ht="18" customHeight="1">
      <c r="A21" s="96" t="s">
        <v>1</v>
      </c>
      <c r="B21" s="97">
        <v>1800</v>
      </c>
      <c r="C21" s="134">
        <f>SUM(C9:C18)</f>
        <v>300</v>
      </c>
      <c r="D21" s="134">
        <f t="shared" ref="D21:AG21" si="1">SUM(D9:D18)</f>
        <v>960</v>
      </c>
      <c r="E21" s="134">
        <f t="shared" si="1"/>
        <v>900</v>
      </c>
      <c r="F21" s="135">
        <f t="shared" si="1"/>
        <v>0</v>
      </c>
      <c r="G21" s="135">
        <f t="shared" si="1"/>
        <v>0</v>
      </c>
      <c r="H21" s="134">
        <f t="shared" si="1"/>
        <v>0</v>
      </c>
      <c r="I21" s="134">
        <f t="shared" si="1"/>
        <v>0</v>
      </c>
      <c r="J21" s="134">
        <f t="shared" si="1"/>
        <v>960</v>
      </c>
      <c r="K21" s="134">
        <f t="shared" si="1"/>
        <v>720</v>
      </c>
      <c r="L21" s="134">
        <f t="shared" si="1"/>
        <v>0</v>
      </c>
      <c r="M21" s="135">
        <f t="shared" si="1"/>
        <v>0</v>
      </c>
      <c r="N21" s="135">
        <f t="shared" si="1"/>
        <v>0</v>
      </c>
      <c r="O21" s="134">
        <f t="shared" si="1"/>
        <v>998</v>
      </c>
      <c r="P21" s="134">
        <f t="shared" si="1"/>
        <v>900</v>
      </c>
      <c r="Q21" s="134">
        <f t="shared" si="1"/>
        <v>840</v>
      </c>
      <c r="R21" s="134">
        <f t="shared" si="1"/>
        <v>600</v>
      </c>
      <c r="S21" s="135">
        <f t="shared" ref="S21" si="2">SUM(S9:S18)</f>
        <v>0</v>
      </c>
      <c r="T21" s="135">
        <f t="shared" si="1"/>
        <v>0</v>
      </c>
      <c r="U21" s="135">
        <f t="shared" si="1"/>
        <v>0</v>
      </c>
      <c r="V21" s="134">
        <f t="shared" si="1"/>
        <v>720</v>
      </c>
      <c r="W21" s="134">
        <f t="shared" si="1"/>
        <v>960</v>
      </c>
      <c r="X21" s="134">
        <f t="shared" si="1"/>
        <v>0</v>
      </c>
      <c r="Y21" s="134">
        <f t="shared" si="1"/>
        <v>0</v>
      </c>
      <c r="Z21" s="134">
        <f t="shared" si="1"/>
        <v>0</v>
      </c>
      <c r="AA21" s="135">
        <f t="shared" ref="AA21:AB21" si="3">SUM(AA9:AA18)</f>
        <v>0</v>
      </c>
      <c r="AB21" s="135">
        <f t="shared" si="3"/>
        <v>0</v>
      </c>
      <c r="AC21" s="134">
        <f t="shared" si="1"/>
        <v>0</v>
      </c>
      <c r="AD21" s="134">
        <f t="shared" si="1"/>
        <v>0</v>
      </c>
      <c r="AE21" s="134">
        <f t="shared" si="1"/>
        <v>0</v>
      </c>
      <c r="AF21" s="134">
        <f t="shared" si="1"/>
        <v>0</v>
      </c>
      <c r="AG21" s="134">
        <f t="shared" si="1"/>
        <v>0</v>
      </c>
      <c r="AH21" s="84">
        <f t="shared" si="0"/>
        <v>8858</v>
      </c>
    </row>
    <row r="22" spans="1:34" s="3" customFormat="1" ht="18" customHeight="1">
      <c r="A22" s="98" t="s">
        <v>18</v>
      </c>
      <c r="B22" s="97"/>
      <c r="C22" s="134">
        <f>C19</f>
        <v>760</v>
      </c>
      <c r="D22" s="134">
        <f t="shared" ref="D22:AG22" si="4">D19</f>
        <v>200</v>
      </c>
      <c r="E22" s="134">
        <f t="shared" si="4"/>
        <v>0</v>
      </c>
      <c r="F22" s="135">
        <f t="shared" si="4"/>
        <v>0</v>
      </c>
      <c r="G22" s="135">
        <f t="shared" si="4"/>
        <v>0</v>
      </c>
      <c r="H22" s="134">
        <f t="shared" si="4"/>
        <v>0</v>
      </c>
      <c r="I22" s="134">
        <f t="shared" si="4"/>
        <v>0</v>
      </c>
      <c r="J22" s="134">
        <f t="shared" si="4"/>
        <v>0</v>
      </c>
      <c r="K22" s="134">
        <f t="shared" si="4"/>
        <v>0</v>
      </c>
      <c r="L22" s="134">
        <f t="shared" si="4"/>
        <v>0</v>
      </c>
      <c r="M22" s="135">
        <f t="shared" si="4"/>
        <v>0</v>
      </c>
      <c r="N22" s="135">
        <f t="shared" si="4"/>
        <v>0</v>
      </c>
      <c r="O22" s="134">
        <f t="shared" si="4"/>
        <v>0</v>
      </c>
      <c r="P22" s="134">
        <f t="shared" si="4"/>
        <v>0</v>
      </c>
      <c r="Q22" s="134">
        <f t="shared" si="4"/>
        <v>0</v>
      </c>
      <c r="R22" s="134">
        <f t="shared" si="4"/>
        <v>342</v>
      </c>
      <c r="S22" s="135">
        <f t="shared" ref="S22" si="5">S19</f>
        <v>0</v>
      </c>
      <c r="T22" s="135">
        <f t="shared" si="4"/>
        <v>0</v>
      </c>
      <c r="U22" s="135">
        <f t="shared" si="4"/>
        <v>0</v>
      </c>
      <c r="V22" s="134">
        <f t="shared" si="4"/>
        <v>300</v>
      </c>
      <c r="W22" s="134">
        <f t="shared" si="4"/>
        <v>0</v>
      </c>
      <c r="X22" s="134">
        <f t="shared" si="4"/>
        <v>0</v>
      </c>
      <c r="Y22" s="134">
        <f t="shared" si="4"/>
        <v>0</v>
      </c>
      <c r="Z22" s="134">
        <f t="shared" si="4"/>
        <v>0</v>
      </c>
      <c r="AA22" s="135">
        <f t="shared" ref="AA22:AB22" si="6">AA19</f>
        <v>0</v>
      </c>
      <c r="AB22" s="135">
        <f t="shared" si="6"/>
        <v>0</v>
      </c>
      <c r="AC22" s="134">
        <f t="shared" si="4"/>
        <v>0</v>
      </c>
      <c r="AD22" s="134">
        <f t="shared" si="4"/>
        <v>0</v>
      </c>
      <c r="AE22" s="134">
        <f t="shared" si="4"/>
        <v>0</v>
      </c>
      <c r="AF22" s="134">
        <f t="shared" si="4"/>
        <v>0</v>
      </c>
      <c r="AG22" s="134">
        <f t="shared" si="4"/>
        <v>0</v>
      </c>
      <c r="AH22" s="84">
        <f t="shared" si="0"/>
        <v>1602</v>
      </c>
    </row>
    <row r="23" spans="1:34" s="3" customFormat="1" ht="18" customHeight="1">
      <c r="A23" s="99" t="s">
        <v>19</v>
      </c>
      <c r="B23" s="97">
        <v>480</v>
      </c>
      <c r="C23" s="134">
        <f>C20</f>
        <v>0</v>
      </c>
      <c r="D23" s="134">
        <f t="shared" ref="D23:AG23" si="7">D20</f>
        <v>0</v>
      </c>
      <c r="E23" s="134">
        <f t="shared" si="7"/>
        <v>0</v>
      </c>
      <c r="F23" s="135">
        <f t="shared" si="7"/>
        <v>0</v>
      </c>
      <c r="G23" s="135">
        <f t="shared" si="7"/>
        <v>0</v>
      </c>
      <c r="H23" s="134">
        <f t="shared" si="7"/>
        <v>0</v>
      </c>
      <c r="I23" s="134">
        <f t="shared" si="7"/>
        <v>0</v>
      </c>
      <c r="J23" s="134">
        <f t="shared" si="7"/>
        <v>0</v>
      </c>
      <c r="K23" s="134">
        <f t="shared" si="7"/>
        <v>0</v>
      </c>
      <c r="L23" s="134">
        <f t="shared" si="7"/>
        <v>0</v>
      </c>
      <c r="M23" s="135">
        <f t="shared" si="7"/>
        <v>0</v>
      </c>
      <c r="N23" s="135">
        <f t="shared" si="7"/>
        <v>0</v>
      </c>
      <c r="O23" s="134">
        <f t="shared" si="7"/>
        <v>0</v>
      </c>
      <c r="P23" s="134">
        <f t="shared" si="7"/>
        <v>0</v>
      </c>
      <c r="Q23" s="134">
        <f t="shared" si="7"/>
        <v>0</v>
      </c>
      <c r="R23" s="134">
        <f t="shared" si="7"/>
        <v>0</v>
      </c>
      <c r="S23" s="135">
        <f t="shared" ref="S23" si="8">S20</f>
        <v>0</v>
      </c>
      <c r="T23" s="135">
        <f t="shared" si="7"/>
        <v>0</v>
      </c>
      <c r="U23" s="135">
        <f t="shared" si="7"/>
        <v>0</v>
      </c>
      <c r="V23" s="134">
        <f t="shared" si="7"/>
        <v>0</v>
      </c>
      <c r="W23" s="134">
        <f t="shared" si="7"/>
        <v>0</v>
      </c>
      <c r="X23" s="134">
        <f t="shared" si="7"/>
        <v>447</v>
      </c>
      <c r="Y23" s="134">
        <f t="shared" si="7"/>
        <v>0</v>
      </c>
      <c r="Z23" s="134">
        <f t="shared" si="7"/>
        <v>0</v>
      </c>
      <c r="AA23" s="135">
        <f t="shared" ref="AA23:AB23" si="9">AA20</f>
        <v>0</v>
      </c>
      <c r="AB23" s="135">
        <f t="shared" si="9"/>
        <v>0</v>
      </c>
      <c r="AC23" s="134">
        <f t="shared" si="7"/>
        <v>0</v>
      </c>
      <c r="AD23" s="134">
        <f t="shared" si="7"/>
        <v>0</v>
      </c>
      <c r="AE23" s="134">
        <f t="shared" si="7"/>
        <v>0</v>
      </c>
      <c r="AF23" s="134">
        <f t="shared" si="7"/>
        <v>0</v>
      </c>
      <c r="AG23" s="134">
        <f t="shared" si="7"/>
        <v>0</v>
      </c>
      <c r="AH23" s="84">
        <f t="shared" si="0"/>
        <v>447</v>
      </c>
    </row>
    <row r="24" spans="1:34" s="3" customFormat="1" ht="18" customHeight="1">
      <c r="A24" s="96" t="s">
        <v>2</v>
      </c>
      <c r="B24" s="97">
        <v>9120</v>
      </c>
      <c r="C24" s="134">
        <f>SUM(C21:C23)*4</f>
        <v>4240</v>
      </c>
      <c r="D24" s="134">
        <f t="shared" ref="D24:AG24" si="10">SUM(D21:D23)*4</f>
        <v>4640</v>
      </c>
      <c r="E24" s="134">
        <f t="shared" si="10"/>
        <v>3600</v>
      </c>
      <c r="F24" s="135">
        <f t="shared" si="10"/>
        <v>0</v>
      </c>
      <c r="G24" s="135">
        <f t="shared" si="10"/>
        <v>0</v>
      </c>
      <c r="H24" s="134">
        <f t="shared" si="10"/>
        <v>0</v>
      </c>
      <c r="I24" s="134">
        <f t="shared" si="10"/>
        <v>0</v>
      </c>
      <c r="J24" s="134">
        <f t="shared" si="10"/>
        <v>3840</v>
      </c>
      <c r="K24" s="134">
        <f t="shared" si="10"/>
        <v>2880</v>
      </c>
      <c r="L24" s="134">
        <f t="shared" si="10"/>
        <v>0</v>
      </c>
      <c r="M24" s="135">
        <f t="shared" si="10"/>
        <v>0</v>
      </c>
      <c r="N24" s="135">
        <f t="shared" si="10"/>
        <v>0</v>
      </c>
      <c r="O24" s="134">
        <f t="shared" si="10"/>
        <v>3992</v>
      </c>
      <c r="P24" s="134">
        <f t="shared" si="10"/>
        <v>3600</v>
      </c>
      <c r="Q24" s="134">
        <f t="shared" si="10"/>
        <v>3360</v>
      </c>
      <c r="R24" s="134">
        <f t="shared" si="10"/>
        <v>3768</v>
      </c>
      <c r="S24" s="135">
        <f t="shared" ref="S24" si="11">SUM(S21:S23)*4</f>
        <v>0</v>
      </c>
      <c r="T24" s="135">
        <f t="shared" ref="T24" si="12">SUM(T21:T23)*4</f>
        <v>0</v>
      </c>
      <c r="U24" s="135">
        <f t="shared" ref="U24" si="13">SUM(U21:U23)*4</f>
        <v>0</v>
      </c>
      <c r="V24" s="134">
        <f t="shared" si="10"/>
        <v>4080</v>
      </c>
      <c r="W24" s="134">
        <f t="shared" si="10"/>
        <v>3840</v>
      </c>
      <c r="X24" s="134">
        <f t="shared" si="10"/>
        <v>1788</v>
      </c>
      <c r="Y24" s="134">
        <f t="shared" si="10"/>
        <v>0</v>
      </c>
      <c r="Z24" s="134">
        <f t="shared" si="10"/>
        <v>0</v>
      </c>
      <c r="AA24" s="135">
        <f t="shared" ref="AA24" si="14">SUM(AA21:AA23)*4</f>
        <v>0</v>
      </c>
      <c r="AB24" s="135">
        <f t="shared" ref="AB24" si="15">SUM(AB21:AB23)*4</f>
        <v>0</v>
      </c>
      <c r="AC24" s="134">
        <f t="shared" si="10"/>
        <v>0</v>
      </c>
      <c r="AD24" s="134">
        <f t="shared" si="10"/>
        <v>0</v>
      </c>
      <c r="AE24" s="134">
        <f t="shared" si="10"/>
        <v>0</v>
      </c>
      <c r="AF24" s="134">
        <f t="shared" si="10"/>
        <v>0</v>
      </c>
      <c r="AG24" s="134">
        <f t="shared" si="10"/>
        <v>0</v>
      </c>
      <c r="AH24" s="84">
        <f t="shared" si="0"/>
        <v>43628</v>
      </c>
    </row>
    <row r="25" spans="1:34" s="3" customFormat="1" ht="18" customHeight="1">
      <c r="A25" s="96" t="s">
        <v>3</v>
      </c>
      <c r="B25" s="97">
        <v>9</v>
      </c>
      <c r="C25" s="82"/>
      <c r="D25" s="82"/>
      <c r="E25" s="82"/>
      <c r="F25" s="78"/>
      <c r="G25" s="78"/>
      <c r="H25" s="82"/>
      <c r="I25" s="82"/>
      <c r="J25" s="82"/>
      <c r="K25" s="82"/>
      <c r="L25" s="82"/>
      <c r="M25" s="78"/>
      <c r="N25" s="78"/>
      <c r="O25" s="82"/>
      <c r="P25" s="82"/>
      <c r="Q25" s="82"/>
      <c r="R25" s="119"/>
      <c r="S25" s="78"/>
      <c r="T25" s="78"/>
      <c r="U25" s="78"/>
      <c r="V25" s="82"/>
      <c r="W25" s="82"/>
      <c r="X25" s="82"/>
      <c r="Y25" s="83"/>
      <c r="Z25" s="82"/>
      <c r="AA25" s="78"/>
      <c r="AB25" s="78"/>
      <c r="AC25" s="82"/>
      <c r="AD25" s="82"/>
      <c r="AE25" s="82"/>
      <c r="AF25" s="82"/>
      <c r="AG25" s="82"/>
      <c r="AH25" s="84">
        <f t="shared" si="0"/>
        <v>0</v>
      </c>
    </row>
    <row r="26" spans="1:34" s="3" customFormat="1" ht="18" customHeight="1">
      <c r="A26" s="96" t="s">
        <v>20</v>
      </c>
      <c r="B26" s="97"/>
      <c r="C26" s="82"/>
      <c r="D26" s="82"/>
      <c r="E26" s="82"/>
      <c r="F26" s="78"/>
      <c r="G26" s="78"/>
      <c r="H26" s="82"/>
      <c r="I26" s="82"/>
      <c r="J26" s="82"/>
      <c r="K26" s="82"/>
      <c r="L26" s="82"/>
      <c r="M26" s="78"/>
      <c r="N26" s="78"/>
      <c r="O26" s="82"/>
      <c r="P26" s="82"/>
      <c r="Q26" s="82"/>
      <c r="R26" s="119"/>
      <c r="S26" s="78"/>
      <c r="T26" s="78"/>
      <c r="U26" s="78"/>
      <c r="V26" s="82"/>
      <c r="W26" s="82"/>
      <c r="X26" s="82"/>
      <c r="Y26" s="83"/>
      <c r="Z26" s="82"/>
      <c r="AA26" s="78"/>
      <c r="AB26" s="78"/>
      <c r="AC26" s="82"/>
      <c r="AD26" s="82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/>
      <c r="B27" s="110"/>
      <c r="C27" s="77"/>
      <c r="D27" s="77"/>
      <c r="E27" s="77"/>
      <c r="F27" s="78"/>
      <c r="G27" s="78"/>
      <c r="H27" s="77"/>
      <c r="I27" s="77"/>
      <c r="J27" s="77"/>
      <c r="K27" s="77"/>
      <c r="L27" s="77"/>
      <c r="M27" s="78"/>
      <c r="N27" s="78"/>
      <c r="O27" s="77"/>
      <c r="P27" s="77"/>
      <c r="Q27" s="77"/>
      <c r="R27" s="115"/>
      <c r="S27" s="78"/>
      <c r="T27" s="78"/>
      <c r="U27" s="78"/>
      <c r="V27" s="77"/>
      <c r="W27" s="77"/>
      <c r="X27" s="77"/>
      <c r="Y27" s="121"/>
      <c r="Z27" s="77"/>
      <c r="AA27" s="78"/>
      <c r="AB27" s="78"/>
      <c r="AC27" s="77"/>
      <c r="AD27" s="77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/>
      <c r="B28" s="109"/>
      <c r="C28" s="77"/>
      <c r="D28" s="77"/>
      <c r="E28" s="77"/>
      <c r="F28" s="78"/>
      <c r="G28" s="78"/>
      <c r="H28" s="77"/>
      <c r="I28" s="77"/>
      <c r="J28" s="77"/>
      <c r="K28" s="77"/>
      <c r="L28" s="77"/>
      <c r="M28" s="78"/>
      <c r="N28" s="78"/>
      <c r="O28" s="77"/>
      <c r="P28" s="77"/>
      <c r="Q28" s="77"/>
      <c r="R28" s="115"/>
      <c r="S28" s="78"/>
      <c r="T28" s="78"/>
      <c r="U28" s="78"/>
      <c r="V28" s="77"/>
      <c r="W28" s="77"/>
      <c r="X28" s="77"/>
      <c r="Y28" s="121"/>
      <c r="Z28" s="77"/>
      <c r="AA28" s="78"/>
      <c r="AB28" s="78"/>
      <c r="AC28" s="77"/>
      <c r="AD28" s="77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/>
      <c r="B29" s="109"/>
      <c r="C29" s="77"/>
      <c r="D29" s="77"/>
      <c r="E29" s="77"/>
      <c r="F29" s="78"/>
      <c r="G29" s="78"/>
      <c r="H29" s="77"/>
      <c r="I29" s="77"/>
      <c r="J29" s="77"/>
      <c r="K29" s="77"/>
      <c r="L29" s="77"/>
      <c r="M29" s="78"/>
      <c r="N29" s="78"/>
      <c r="O29" s="77"/>
      <c r="P29" s="77"/>
      <c r="Q29" s="77"/>
      <c r="R29" s="115"/>
      <c r="S29" s="78"/>
      <c r="T29" s="78"/>
      <c r="U29" s="78"/>
      <c r="V29" s="77"/>
      <c r="W29" s="77"/>
      <c r="X29" s="77"/>
      <c r="Y29" s="121"/>
      <c r="Z29" s="77"/>
      <c r="AA29" s="78"/>
      <c r="AB29" s="78"/>
      <c r="AC29" s="77"/>
      <c r="AD29" s="77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97">
        <v>1443</v>
      </c>
      <c r="C30" s="82">
        <v>500</v>
      </c>
      <c r="D30" s="82"/>
      <c r="E30" s="82">
        <v>1910</v>
      </c>
      <c r="F30" s="78"/>
      <c r="G30" s="78"/>
      <c r="H30" s="82"/>
      <c r="I30" s="82"/>
      <c r="J30" s="82"/>
      <c r="K30" s="82"/>
      <c r="L30" s="82"/>
      <c r="M30" s="78"/>
      <c r="N30" s="78"/>
      <c r="O30" s="82">
        <v>2800</v>
      </c>
      <c r="P30" s="82">
        <v>1550</v>
      </c>
      <c r="Q30" s="82"/>
      <c r="R30" s="119">
        <v>1450</v>
      </c>
      <c r="S30" s="78"/>
      <c r="T30" s="78"/>
      <c r="U30" s="78"/>
      <c r="V30" s="82"/>
      <c r="W30" s="82"/>
      <c r="X30" s="82"/>
      <c r="Y30" s="82"/>
      <c r="Z30" s="82"/>
      <c r="AA30" s="78"/>
      <c r="AB30" s="78"/>
      <c r="AC30" s="82"/>
      <c r="AD30" s="82"/>
      <c r="AE30" s="82"/>
      <c r="AF30" s="82"/>
      <c r="AG30" s="82"/>
      <c r="AH30" s="84">
        <f t="shared" si="0"/>
        <v>8210</v>
      </c>
    </row>
    <row r="31" spans="1:34" s="3" customFormat="1" ht="18" customHeight="1">
      <c r="A31" s="96" t="s">
        <v>58</v>
      </c>
      <c r="B31" s="97">
        <v>13</v>
      </c>
      <c r="C31" s="82">
        <v>1050</v>
      </c>
      <c r="D31" s="82"/>
      <c r="E31" s="82"/>
      <c r="F31" s="78"/>
      <c r="G31" s="78"/>
      <c r="H31" s="82"/>
      <c r="I31" s="82"/>
      <c r="J31" s="82"/>
      <c r="K31" s="82"/>
      <c r="L31" s="82"/>
      <c r="M31" s="78"/>
      <c r="N31" s="78"/>
      <c r="O31" s="82"/>
      <c r="P31" s="82">
        <v>1000</v>
      </c>
      <c r="Q31" s="82"/>
      <c r="R31" s="119"/>
      <c r="S31" s="78"/>
      <c r="T31" s="78"/>
      <c r="U31" s="78"/>
      <c r="V31" s="82"/>
      <c r="W31" s="82"/>
      <c r="X31" s="82"/>
      <c r="Y31" s="120"/>
      <c r="Z31" s="82"/>
      <c r="AA31" s="78"/>
      <c r="AB31" s="78"/>
      <c r="AC31" s="82"/>
      <c r="AD31" s="82"/>
      <c r="AE31" s="82"/>
      <c r="AF31" s="82"/>
      <c r="AG31" s="82"/>
      <c r="AH31" s="84">
        <f t="shared" si="0"/>
        <v>2050</v>
      </c>
    </row>
    <row r="32" spans="1:34" s="3" customFormat="1" ht="18" customHeight="1">
      <c r="A32" s="96" t="s">
        <v>59</v>
      </c>
      <c r="B32" s="97">
        <v>10</v>
      </c>
      <c r="C32" s="82"/>
      <c r="D32" s="82"/>
      <c r="E32" s="82"/>
      <c r="F32" s="78"/>
      <c r="G32" s="78"/>
      <c r="H32" s="82"/>
      <c r="I32" s="82"/>
      <c r="J32" s="82"/>
      <c r="K32" s="82"/>
      <c r="L32" s="82"/>
      <c r="M32" s="78"/>
      <c r="N32" s="78"/>
      <c r="O32" s="82"/>
      <c r="P32" s="82">
        <v>850</v>
      </c>
      <c r="Q32" s="82"/>
      <c r="R32" s="119"/>
      <c r="S32" s="78"/>
      <c r="T32" s="78"/>
      <c r="U32" s="78"/>
      <c r="V32" s="82"/>
      <c r="W32" s="82"/>
      <c r="X32" s="82"/>
      <c r="Y32" s="120"/>
      <c r="Z32" s="82"/>
      <c r="AA32" s="78"/>
      <c r="AB32" s="78"/>
      <c r="AC32" s="82"/>
      <c r="AD32" s="82"/>
      <c r="AE32" s="82"/>
      <c r="AF32" s="82"/>
      <c r="AG32" s="82"/>
      <c r="AH32" s="84">
        <f t="shared" si="0"/>
        <v>850</v>
      </c>
    </row>
    <row r="33" spans="1:34" s="3" customFormat="1" ht="18" customHeight="1">
      <c r="A33" s="96" t="s">
        <v>91</v>
      </c>
      <c r="B33" s="97"/>
      <c r="C33" s="97">
        <v>36</v>
      </c>
      <c r="D33" s="97"/>
      <c r="E33" s="97">
        <v>37</v>
      </c>
      <c r="F33" s="78"/>
      <c r="G33" s="78"/>
      <c r="H33" s="82"/>
      <c r="I33" s="82"/>
      <c r="J33" s="82"/>
      <c r="K33" s="82"/>
      <c r="L33" s="82"/>
      <c r="M33" s="78"/>
      <c r="N33" s="78"/>
      <c r="O33" s="97">
        <v>70</v>
      </c>
      <c r="P33" s="97">
        <v>73</v>
      </c>
      <c r="Q33" s="82"/>
      <c r="R33" s="174">
        <v>115</v>
      </c>
      <c r="S33" s="78"/>
      <c r="T33" s="78"/>
      <c r="U33" s="78"/>
      <c r="V33" s="82"/>
      <c r="W33" s="82"/>
      <c r="X33" s="82"/>
      <c r="Y33" s="120"/>
      <c r="Z33" s="82"/>
      <c r="AA33" s="78"/>
      <c r="AB33" s="78"/>
      <c r="AC33" s="82"/>
      <c r="AD33" s="82"/>
      <c r="AE33" s="82"/>
      <c r="AF33" s="82"/>
      <c r="AG33" s="82"/>
      <c r="AH33" s="84">
        <f t="shared" si="0"/>
        <v>331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8858</v>
      </c>
      <c r="P34" s="9"/>
      <c r="Q34" s="4"/>
      <c r="R34" s="4"/>
      <c r="S34" s="6">
        <f>SUM(S9:S33)</f>
        <v>0</v>
      </c>
      <c r="T34" s="4">
        <f>SUM(T9:T33)</f>
        <v>0</v>
      </c>
      <c r="U34" s="4"/>
      <c r="V34" s="10">
        <f>SUM(V9:V33)</f>
        <v>6120</v>
      </c>
      <c r="W34" s="8"/>
      <c r="X34" s="4">
        <f>SUM(X9:X33)</f>
        <v>2682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0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DF2E4"/>
    <pageSetUpPr fitToPage="1"/>
  </sheetPr>
  <dimension ref="B1:AA75"/>
  <sheetViews>
    <sheetView topLeftCell="A22" zoomScaleNormal="100" zoomScaleSheetLayoutView="106" workbookViewId="0">
      <selection activeCell="G31" sqref="G31"/>
    </sheetView>
  </sheetViews>
  <sheetFormatPr defaultColWidth="9" defaultRowHeight="15" customHeight="1"/>
  <cols>
    <col min="1" max="1" width="1.375" style="12" customWidth="1"/>
    <col min="2" max="2" width="12.125" style="12" bestFit="1" customWidth="1"/>
    <col min="3" max="4" width="13.875" style="12" customWidth="1"/>
    <col min="5" max="10" width="18.375" style="12" customWidth="1"/>
    <col min="11" max="11" width="1.25" style="12" customWidth="1"/>
    <col min="12" max="16" width="13" style="12" customWidth="1"/>
    <col min="17" max="18" width="13.375" style="12" customWidth="1"/>
    <col min="19" max="16384" width="9" style="12"/>
  </cols>
  <sheetData>
    <row r="1" spans="2:18" ht="6.75" customHeight="1" thickBot="1"/>
    <row r="2" spans="2:18" ht="77.25" customHeight="1" thickBot="1">
      <c r="B2" s="161" t="s">
        <v>134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3"/>
    </row>
    <row r="3" spans="2:18" s="14" customFormat="1" ht="24.6" customHeight="1">
      <c r="B3" s="164" t="s">
        <v>65</v>
      </c>
      <c r="C3" s="165"/>
      <c r="D3" s="165"/>
      <c r="E3" s="165"/>
      <c r="F3" s="165"/>
      <c r="G3" s="165"/>
      <c r="H3" s="165"/>
      <c r="I3" s="165"/>
      <c r="J3" s="166"/>
      <c r="K3" s="13"/>
      <c r="L3" s="167" t="s">
        <v>78</v>
      </c>
      <c r="M3" s="168"/>
      <c r="N3" s="168"/>
      <c r="O3" s="168"/>
      <c r="P3" s="169"/>
    </row>
    <row r="4" spans="2:18" s="14" customFormat="1" ht="24.6" customHeight="1">
      <c r="B4" s="15" t="s">
        <v>56</v>
      </c>
      <c r="C4" s="16" t="s">
        <v>67</v>
      </c>
      <c r="D4" s="16" t="s">
        <v>68</v>
      </c>
      <c r="E4" s="16" t="s">
        <v>131</v>
      </c>
      <c r="F4" s="25" t="s">
        <v>132</v>
      </c>
      <c r="G4" s="25" t="s">
        <v>69</v>
      </c>
      <c r="H4" s="16" t="s">
        <v>70</v>
      </c>
      <c r="I4" s="16" t="s">
        <v>71</v>
      </c>
      <c r="J4" s="17" t="s">
        <v>66</v>
      </c>
      <c r="K4" s="26"/>
      <c r="L4" s="15" t="s">
        <v>56</v>
      </c>
      <c r="M4" s="16" t="s">
        <v>54</v>
      </c>
      <c r="N4" s="16" t="s">
        <v>55</v>
      </c>
      <c r="O4" s="16" t="s">
        <v>74</v>
      </c>
      <c r="P4" s="17" t="s">
        <v>75</v>
      </c>
    </row>
    <row r="5" spans="2:18" s="14" customFormat="1" ht="24.6" customHeight="1">
      <c r="B5" s="15" t="s">
        <v>48</v>
      </c>
      <c r="C5" s="28">
        <f>'입고(2607)'!B9</f>
        <v>300</v>
      </c>
      <c r="D5" s="28">
        <f>'생산량(2607)'!B9</f>
        <v>600</v>
      </c>
      <c r="E5" s="35">
        <f>'입고(2607)'!AH9</f>
        <v>1800</v>
      </c>
      <c r="F5" s="36">
        <f>'출고(2607)'!AH9</f>
        <v>2700</v>
      </c>
      <c r="G5" s="36">
        <f>'생산량(2607)'!AH9</f>
        <v>2100</v>
      </c>
      <c r="H5" s="29">
        <f t="shared" ref="H5:H10" si="0">(C5+E5)-G5</f>
        <v>0</v>
      </c>
      <c r="I5" s="29">
        <f>(D5+G5)-F5</f>
        <v>0</v>
      </c>
      <c r="J5" s="30">
        <f t="shared" ref="J5:J10" si="1">I5+H5</f>
        <v>0</v>
      </c>
      <c r="K5" s="26"/>
      <c r="L5" s="34">
        <v>100</v>
      </c>
      <c r="M5" s="39">
        <f>'생산량(2607)'!B30</f>
        <v>1443</v>
      </c>
      <c r="N5" s="39">
        <f>'생산량(2607)'!AH30</f>
        <v>8210</v>
      </c>
      <c r="O5" s="40">
        <f>(N5+M5)-SUM('생산량(2607)'!AH9:AH18)</f>
        <v>795</v>
      </c>
      <c r="P5" s="170">
        <f>'입고(2607)'!AH33-'생산량(2607)'!AH33</f>
        <v>0</v>
      </c>
      <c r="Q5" s="26" t="s">
        <v>61</v>
      </c>
      <c r="R5" s="26" t="s">
        <v>63</v>
      </c>
    </row>
    <row r="6" spans="2:18" s="14" customFormat="1" ht="24.6" customHeight="1">
      <c r="B6" s="15" t="s">
        <v>98</v>
      </c>
      <c r="C6" s="28">
        <f>'입고(2607)'!B10</f>
        <v>0</v>
      </c>
      <c r="D6" s="28">
        <f>'생산량(2607)'!B10</f>
        <v>0</v>
      </c>
      <c r="E6" s="35">
        <f>'입고(2607)'!AH10</f>
        <v>0</v>
      </c>
      <c r="F6" s="36">
        <f>'출고(2607)'!AH10</f>
        <v>0</v>
      </c>
      <c r="G6" s="36">
        <f>'생산량(2607)'!AH10</f>
        <v>0</v>
      </c>
      <c r="H6" s="29">
        <f t="shared" si="0"/>
        <v>0</v>
      </c>
      <c r="I6" s="29">
        <f>(D6+G6)-F6</f>
        <v>0</v>
      </c>
      <c r="J6" s="30">
        <f t="shared" si="1"/>
        <v>0</v>
      </c>
      <c r="K6" s="26"/>
      <c r="L6" s="34"/>
      <c r="M6" s="39"/>
      <c r="N6" s="39"/>
      <c r="O6" s="40"/>
      <c r="P6" s="171"/>
      <c r="Q6" s="26"/>
      <c r="R6" s="26"/>
    </row>
    <row r="7" spans="2:18" s="14" customFormat="1" ht="24.6" customHeight="1">
      <c r="B7" s="15" t="s">
        <v>88</v>
      </c>
      <c r="C7" s="28">
        <f>'입고(2607)'!B11</f>
        <v>0</v>
      </c>
      <c r="D7" s="28">
        <f>'생산량(2607)'!B11</f>
        <v>0</v>
      </c>
      <c r="E7" s="35">
        <f>'입고(2607)'!AH11</f>
        <v>0</v>
      </c>
      <c r="F7" s="36">
        <f>'출고(2607)'!AH11</f>
        <v>0</v>
      </c>
      <c r="G7" s="36">
        <f>'생산량(2607)'!AH11</f>
        <v>0</v>
      </c>
      <c r="H7" s="29">
        <f t="shared" si="0"/>
        <v>0</v>
      </c>
      <c r="I7" s="29">
        <f>(D7+G7)-F7</f>
        <v>0</v>
      </c>
      <c r="J7" s="30">
        <f t="shared" si="1"/>
        <v>0</v>
      </c>
      <c r="K7" s="26"/>
      <c r="L7" s="34"/>
      <c r="M7" s="39"/>
      <c r="N7" s="39"/>
      <c r="O7" s="40"/>
      <c r="P7" s="171"/>
      <c r="Q7" s="26"/>
      <c r="R7" s="26"/>
    </row>
    <row r="8" spans="2:18" s="14" customFormat="1" ht="24.6" customHeight="1">
      <c r="B8" s="15" t="s">
        <v>118</v>
      </c>
      <c r="C8" s="28">
        <f>'입고(2607)'!B12</f>
        <v>0</v>
      </c>
      <c r="D8" s="28">
        <f>'생산량(2607)'!B12</f>
        <v>0</v>
      </c>
      <c r="E8" s="35">
        <f>'입고(2607)'!AH12</f>
        <v>0</v>
      </c>
      <c r="F8" s="36">
        <f>'출고(2607)'!AH12</f>
        <v>0</v>
      </c>
      <c r="G8" s="36">
        <f>'생산량(2607)'!AH12</f>
        <v>0</v>
      </c>
      <c r="H8" s="29">
        <f t="shared" si="0"/>
        <v>0</v>
      </c>
      <c r="I8" s="29">
        <f>(D8+G8)-F8</f>
        <v>0</v>
      </c>
      <c r="J8" s="30">
        <f t="shared" si="1"/>
        <v>0</v>
      </c>
      <c r="K8" s="26"/>
      <c r="L8" s="34"/>
      <c r="M8" s="39"/>
      <c r="N8" s="39"/>
      <c r="O8" s="40"/>
      <c r="P8" s="171"/>
      <c r="Q8" s="26"/>
      <c r="R8" s="26"/>
    </row>
    <row r="9" spans="2:18" s="14" customFormat="1" ht="24.6" customHeight="1">
      <c r="B9" s="15" t="s">
        <v>111</v>
      </c>
      <c r="C9" s="28">
        <f>'입고(2607)'!B13</f>
        <v>0</v>
      </c>
      <c r="D9" s="28">
        <f>'생산량(2607)'!B13</f>
        <v>0</v>
      </c>
      <c r="E9" s="35">
        <f>'입고(2607)'!AH13</f>
        <v>0</v>
      </c>
      <c r="F9" s="36">
        <f>'출고(2607)'!AH13</f>
        <v>0</v>
      </c>
      <c r="G9" s="36">
        <f>'생산량(2607)'!AH13</f>
        <v>0</v>
      </c>
      <c r="H9" s="29">
        <f t="shared" si="0"/>
        <v>0</v>
      </c>
      <c r="I9" s="29">
        <f t="shared" ref="I9:I10" si="2">(D9+G9)-F9</f>
        <v>0</v>
      </c>
      <c r="J9" s="30">
        <f t="shared" si="1"/>
        <v>0</v>
      </c>
      <c r="K9" s="26"/>
      <c r="L9" s="34"/>
      <c r="M9" s="39"/>
      <c r="N9" s="39"/>
      <c r="O9" s="40"/>
      <c r="P9" s="171"/>
      <c r="Q9" s="26"/>
      <c r="R9" s="26"/>
    </row>
    <row r="10" spans="2:18" s="14" customFormat="1" ht="24.6" customHeight="1">
      <c r="B10" s="15" t="s">
        <v>101</v>
      </c>
      <c r="C10" s="28">
        <f>'입고(2607)'!B14</f>
        <v>0</v>
      </c>
      <c r="D10" s="28">
        <f>'생산량(2607)'!B14</f>
        <v>0</v>
      </c>
      <c r="E10" s="35">
        <f>'입고(2607)'!AH14</f>
        <v>0</v>
      </c>
      <c r="F10" s="36">
        <f>'출고(2607)'!AH14</f>
        <v>0</v>
      </c>
      <c r="G10" s="36">
        <f>'생산량(2607)'!AH14</f>
        <v>0</v>
      </c>
      <c r="H10" s="29">
        <f t="shared" si="0"/>
        <v>0</v>
      </c>
      <c r="I10" s="29">
        <f t="shared" si="2"/>
        <v>0</v>
      </c>
      <c r="J10" s="30">
        <f t="shared" si="1"/>
        <v>0</v>
      </c>
      <c r="K10" s="26"/>
      <c r="L10" s="34"/>
      <c r="M10" s="39"/>
      <c r="N10" s="39"/>
      <c r="O10" s="40"/>
      <c r="P10" s="171"/>
      <c r="Q10" s="26"/>
      <c r="R10" s="26"/>
    </row>
    <row r="11" spans="2:18" s="14" customFormat="1" ht="24.6" customHeight="1">
      <c r="B11" s="15" t="s">
        <v>46</v>
      </c>
      <c r="C11" s="28">
        <f>'입고(2607)'!B15</f>
        <v>0</v>
      </c>
      <c r="D11" s="28">
        <f>'생산량(2607)'!B15</f>
        <v>1200</v>
      </c>
      <c r="E11" s="35">
        <f>'입고(2607)'!AH15</f>
        <v>6758</v>
      </c>
      <c r="F11" s="36">
        <f>'출고(2607)'!AH15</f>
        <v>6278</v>
      </c>
      <c r="G11" s="36">
        <f>'생산량(2607)'!AH15</f>
        <v>6758</v>
      </c>
      <c r="H11" s="29">
        <f t="shared" ref="H11:H21" si="3">(C11+E11)-G11</f>
        <v>0</v>
      </c>
      <c r="I11" s="29">
        <f t="shared" ref="I11:I16" si="4">(D11+G11)-F11</f>
        <v>1680</v>
      </c>
      <c r="J11" s="30">
        <f t="shared" ref="J11:J21" si="5">I11+H11</f>
        <v>1680</v>
      </c>
      <c r="K11" s="26"/>
      <c r="L11" s="34">
        <v>75</v>
      </c>
      <c r="M11" s="39">
        <f>'생산량(2607)'!B31</f>
        <v>13</v>
      </c>
      <c r="N11" s="39">
        <f>'생산량(2607)'!AH31</f>
        <v>2050</v>
      </c>
      <c r="O11" s="40">
        <f>(N11+M11)-'생산량(2607)'!AH19</f>
        <v>461</v>
      </c>
      <c r="P11" s="172"/>
      <c r="Q11" s="26" t="s">
        <v>60</v>
      </c>
      <c r="R11" s="26" t="s">
        <v>63</v>
      </c>
    </row>
    <row r="12" spans="2:18" s="14" customFormat="1" ht="24.6" customHeight="1">
      <c r="B12" s="15" t="s">
        <v>113</v>
      </c>
      <c r="C12" s="28">
        <f>'입고(2607)'!B16</f>
        <v>0</v>
      </c>
      <c r="D12" s="28">
        <f>'생산량(2607)'!B16</f>
        <v>0</v>
      </c>
      <c r="E12" s="35">
        <f>'입고(2607)'!AH16</f>
        <v>0</v>
      </c>
      <c r="F12" s="36">
        <f>'출고(2607)'!AH16</f>
        <v>0</v>
      </c>
      <c r="G12" s="36">
        <f>'생산량(2607)'!AH16</f>
        <v>0</v>
      </c>
      <c r="H12" s="29">
        <f t="shared" ref="H12" si="6">(C12+E12)-G12</f>
        <v>0</v>
      </c>
      <c r="I12" s="29">
        <f t="shared" ref="I12" si="7">(D12+G12)-F12</f>
        <v>0</v>
      </c>
      <c r="J12" s="30">
        <f t="shared" ref="J12" si="8">I12+H12</f>
        <v>0</v>
      </c>
      <c r="K12" s="26"/>
      <c r="L12" s="34"/>
      <c r="M12" s="39"/>
      <c r="N12" s="39"/>
      <c r="O12" s="40"/>
      <c r="P12" s="172"/>
      <c r="Q12" s="26"/>
      <c r="R12" s="26"/>
    </row>
    <row r="13" spans="2:18" s="14" customFormat="1" ht="24.6" customHeight="1">
      <c r="B13" s="15" t="s">
        <v>94</v>
      </c>
      <c r="C13" s="28">
        <f>'입고(2607)'!B17</f>
        <v>0</v>
      </c>
      <c r="D13" s="28">
        <f>'생산량(2607)'!B17</f>
        <v>0</v>
      </c>
      <c r="E13" s="35">
        <f>'입고(2607)'!AH17</f>
        <v>0</v>
      </c>
      <c r="F13" s="36">
        <f>'출고(2607)'!AH17</f>
        <v>0</v>
      </c>
      <c r="G13" s="36">
        <f>'생산량(2607)'!AH17</f>
        <v>0</v>
      </c>
      <c r="H13" s="29">
        <f t="shared" ref="H13" si="9">(C13+E13)-G13</f>
        <v>0</v>
      </c>
      <c r="I13" s="29">
        <f t="shared" ref="I13" si="10">(D13+G13)-F13</f>
        <v>0</v>
      </c>
      <c r="J13" s="30">
        <f t="shared" ref="J13" si="11">I13+H13</f>
        <v>0</v>
      </c>
      <c r="K13" s="26"/>
      <c r="L13" s="34"/>
      <c r="M13" s="39"/>
      <c r="N13" s="39"/>
      <c r="O13" s="40"/>
      <c r="P13" s="172"/>
      <c r="Q13" s="26"/>
      <c r="R13" s="26"/>
    </row>
    <row r="14" spans="2:18" s="14" customFormat="1" ht="24.6" customHeight="1">
      <c r="B14" s="15" t="s">
        <v>47</v>
      </c>
      <c r="C14" s="28">
        <f>'입고(2607)'!B18</f>
        <v>0</v>
      </c>
      <c r="D14" s="28">
        <f>'생산량(2607)'!B18</f>
        <v>0</v>
      </c>
      <c r="E14" s="35">
        <f>'입고(2607)'!AH18</f>
        <v>0</v>
      </c>
      <c r="F14" s="36">
        <f>'출고(2607)'!AH18</f>
        <v>0</v>
      </c>
      <c r="G14" s="36">
        <f>'생산량(2607)'!AH18</f>
        <v>0</v>
      </c>
      <c r="H14" s="29">
        <f t="shared" si="3"/>
        <v>0</v>
      </c>
      <c r="I14" s="29">
        <f t="shared" si="4"/>
        <v>0</v>
      </c>
      <c r="J14" s="30">
        <f t="shared" si="5"/>
        <v>0</v>
      </c>
      <c r="K14" s="26"/>
      <c r="L14" s="34">
        <v>50</v>
      </c>
      <c r="M14" s="39">
        <f>'생산량(2607)'!B32</f>
        <v>10</v>
      </c>
      <c r="N14" s="39">
        <f>'생산량(2607)'!AH32</f>
        <v>850</v>
      </c>
      <c r="O14" s="40">
        <f>(N14+M14)-'생산량(2607)'!AH20</f>
        <v>413</v>
      </c>
      <c r="P14" s="173"/>
      <c r="Q14" s="26" t="s">
        <v>61</v>
      </c>
      <c r="R14" s="26" t="s">
        <v>63</v>
      </c>
    </row>
    <row r="15" spans="2:18" s="14" customFormat="1" ht="24.6" customHeight="1">
      <c r="B15" s="15">
        <v>75</v>
      </c>
      <c r="C15" s="28">
        <f>'입고(2607)'!B19</f>
        <v>0</v>
      </c>
      <c r="D15" s="28">
        <f>'생산량(2607)'!B19</f>
        <v>0</v>
      </c>
      <c r="E15" s="35">
        <f>'입고(2607)'!AH19</f>
        <v>1602</v>
      </c>
      <c r="F15" s="36">
        <f>'출고(2607)'!AH19</f>
        <v>960</v>
      </c>
      <c r="G15" s="36">
        <f>'생산량(2607)'!AH19</f>
        <v>1602</v>
      </c>
      <c r="H15" s="29">
        <f t="shared" si="3"/>
        <v>0</v>
      </c>
      <c r="I15" s="29">
        <f t="shared" si="4"/>
        <v>642</v>
      </c>
      <c r="J15" s="30">
        <f t="shared" si="5"/>
        <v>642</v>
      </c>
      <c r="K15" s="26"/>
      <c r="L15" s="15"/>
      <c r="M15" s="18"/>
      <c r="N15" s="18"/>
      <c r="O15" s="19"/>
      <c r="P15" s="20"/>
      <c r="Q15" s="26" t="s">
        <v>61</v>
      </c>
      <c r="R15" s="26" t="s">
        <v>63</v>
      </c>
    </row>
    <row r="16" spans="2:18" s="14" customFormat="1" ht="24.6" customHeight="1">
      <c r="B16" s="15">
        <v>50</v>
      </c>
      <c r="C16" s="28">
        <f>'입고(2607)'!B20</f>
        <v>0</v>
      </c>
      <c r="D16" s="28">
        <f>'생산량(2607)'!B20</f>
        <v>480</v>
      </c>
      <c r="E16" s="35">
        <f>'입고(2607)'!AH20</f>
        <v>447</v>
      </c>
      <c r="F16" s="36">
        <f>'출고(2607)'!AH20</f>
        <v>480</v>
      </c>
      <c r="G16" s="36">
        <f>'생산량(2607)'!AH20</f>
        <v>447</v>
      </c>
      <c r="H16" s="29">
        <f t="shared" si="3"/>
        <v>0</v>
      </c>
      <c r="I16" s="29">
        <f t="shared" si="4"/>
        <v>447</v>
      </c>
      <c r="J16" s="30">
        <f t="shared" si="5"/>
        <v>447</v>
      </c>
      <c r="K16" s="26"/>
      <c r="L16" s="15"/>
      <c r="M16" s="18"/>
      <c r="N16" s="18"/>
      <c r="O16" s="19"/>
      <c r="P16" s="20"/>
      <c r="Q16" s="26" t="s">
        <v>61</v>
      </c>
      <c r="R16" s="26" t="s">
        <v>63</v>
      </c>
    </row>
    <row r="17" spans="2:18" s="14" customFormat="1" ht="6.6" customHeight="1">
      <c r="B17" s="41"/>
      <c r="C17" s="42"/>
      <c r="D17" s="42"/>
      <c r="E17" s="43"/>
      <c r="F17" s="44"/>
      <c r="G17" s="44"/>
      <c r="H17" s="42"/>
      <c r="I17" s="42"/>
      <c r="J17" s="45"/>
      <c r="K17" s="26"/>
      <c r="L17" s="41"/>
      <c r="M17" s="46"/>
      <c r="N17" s="46"/>
      <c r="O17" s="46"/>
      <c r="P17" s="47"/>
      <c r="Q17" s="26"/>
      <c r="R17" s="26"/>
    </row>
    <row r="18" spans="2:18" s="14" customFormat="1" ht="24.6" customHeight="1">
      <c r="B18" s="15" t="s">
        <v>51</v>
      </c>
      <c r="C18" s="28">
        <f>'입고(2607)'!B21</f>
        <v>759</v>
      </c>
      <c r="D18" s="28">
        <f>'생산량(2607)'!B21</f>
        <v>1800</v>
      </c>
      <c r="E18" s="35">
        <f>'입고(2607)'!AH21</f>
        <v>8760</v>
      </c>
      <c r="F18" s="36">
        <f>SUM(F5:F14)</f>
        <v>8978</v>
      </c>
      <c r="G18" s="36">
        <f>'생산량(2607)'!AH21</f>
        <v>8858</v>
      </c>
      <c r="H18" s="29">
        <f t="shared" si="3"/>
        <v>661</v>
      </c>
      <c r="I18" s="29">
        <f>SUM(I5:I14)</f>
        <v>1680</v>
      </c>
      <c r="J18" s="30">
        <f t="shared" si="5"/>
        <v>2341</v>
      </c>
      <c r="K18" s="26"/>
      <c r="L18" s="15"/>
      <c r="M18" s="18"/>
      <c r="N18" s="18"/>
      <c r="O18" s="19"/>
      <c r="P18" s="20"/>
      <c r="Q18" s="26" t="s">
        <v>62</v>
      </c>
      <c r="R18" s="26" t="s">
        <v>64</v>
      </c>
    </row>
    <row r="19" spans="2:18" s="14" customFormat="1" ht="24.6" customHeight="1">
      <c r="B19" s="15" t="s">
        <v>50</v>
      </c>
      <c r="C19" s="28">
        <f>'입고(2607)'!B22</f>
        <v>70</v>
      </c>
      <c r="D19" s="28">
        <f>'생산량(2607)'!B22</f>
        <v>0</v>
      </c>
      <c r="E19" s="35">
        <f>'입고(2607)'!AH22</f>
        <v>1602</v>
      </c>
      <c r="F19" s="36">
        <f>'출고(2607)'!AH22</f>
        <v>0</v>
      </c>
      <c r="G19" s="36">
        <f>'생산량(2607)'!AH22</f>
        <v>1602</v>
      </c>
      <c r="H19" s="29">
        <f t="shared" si="3"/>
        <v>70</v>
      </c>
      <c r="I19" s="29">
        <f>I15</f>
        <v>642</v>
      </c>
      <c r="J19" s="30">
        <f t="shared" si="5"/>
        <v>712</v>
      </c>
      <c r="K19" s="26"/>
      <c r="L19" s="15"/>
      <c r="M19" s="18"/>
      <c r="N19" s="18"/>
      <c r="O19" s="19"/>
      <c r="P19" s="20"/>
    </row>
    <row r="20" spans="2:18" s="14" customFormat="1" ht="24.6" customHeight="1">
      <c r="B20" s="15" t="s">
        <v>49</v>
      </c>
      <c r="C20" s="28">
        <f>'입고(2607)'!B23</f>
        <v>356</v>
      </c>
      <c r="D20" s="28">
        <f>'생산량(2607)'!B23</f>
        <v>480</v>
      </c>
      <c r="E20" s="35">
        <f>'입고(2607)'!AH23</f>
        <v>447</v>
      </c>
      <c r="F20" s="36">
        <f>'출고(2607)'!AH23</f>
        <v>0</v>
      </c>
      <c r="G20" s="36">
        <f>'생산량(2607)'!AH23</f>
        <v>447</v>
      </c>
      <c r="H20" s="29">
        <f t="shared" si="3"/>
        <v>356</v>
      </c>
      <c r="I20" s="29">
        <f>I16</f>
        <v>447</v>
      </c>
      <c r="J20" s="30">
        <f t="shared" si="5"/>
        <v>803</v>
      </c>
      <c r="K20" s="26"/>
      <c r="L20" s="15"/>
      <c r="M20" s="18"/>
      <c r="N20" s="18"/>
      <c r="O20" s="19"/>
      <c r="P20" s="20"/>
    </row>
    <row r="21" spans="2:18" s="14" customFormat="1" ht="24.6" customHeight="1">
      <c r="B21" s="15" t="s">
        <v>52</v>
      </c>
      <c r="C21" s="28">
        <f>'입고(2607)'!B24</f>
        <v>1300</v>
      </c>
      <c r="D21" s="28">
        <f>'생산량(2607)'!B24</f>
        <v>9120</v>
      </c>
      <c r="E21" s="35">
        <f>'입고(2607)'!AH24</f>
        <v>44500</v>
      </c>
      <c r="F21" s="36">
        <f>'출고(2607)'!AH24</f>
        <v>0</v>
      </c>
      <c r="G21" s="36">
        <f>'생산량(2607)'!AH24</f>
        <v>43628</v>
      </c>
      <c r="H21" s="29">
        <f t="shared" si="3"/>
        <v>2172</v>
      </c>
      <c r="I21" s="29">
        <f>SUM(I18:I20)*4</f>
        <v>11076</v>
      </c>
      <c r="J21" s="30">
        <f t="shared" si="5"/>
        <v>13248</v>
      </c>
      <c r="K21" s="26"/>
      <c r="L21" s="15"/>
      <c r="M21" s="18"/>
      <c r="N21" s="18"/>
      <c r="O21" s="19"/>
      <c r="P21" s="20"/>
    </row>
    <row r="22" spans="2:18" ht="24.6" customHeight="1" thickBot="1">
      <c r="B22" s="63" t="s">
        <v>95</v>
      </c>
      <c r="C22" s="31">
        <f>'입고(2607)'!B25</f>
        <v>9</v>
      </c>
      <c r="D22" s="31"/>
      <c r="E22" s="37">
        <f>'입고(2607)'!AH25+'입고(2607)'!AH26</f>
        <v>37</v>
      </c>
      <c r="F22" s="38">
        <f>'출고(2607)'!AH25+'출고(2607)'!AH26</f>
        <v>38</v>
      </c>
      <c r="G22" s="38">
        <f>'생산량(2607)'!AH25</f>
        <v>0</v>
      </c>
      <c r="H22" s="32"/>
      <c r="I22" s="32"/>
      <c r="J22" s="33">
        <f>(C22+E22)-F22</f>
        <v>8</v>
      </c>
      <c r="K22" s="27"/>
      <c r="L22" s="21"/>
      <c r="M22" s="22"/>
      <c r="N22" s="22"/>
      <c r="O22" s="23"/>
      <c r="P22" s="24"/>
      <c r="R22" s="12" t="s">
        <v>43</v>
      </c>
    </row>
    <row r="23" spans="2:18" ht="24.6" customHeight="1" thickTop="1" thickBot="1"/>
    <row r="24" spans="2:18" ht="24.6" customHeight="1" thickTop="1">
      <c r="B24" s="48"/>
      <c r="C24" s="49" t="s">
        <v>77</v>
      </c>
      <c r="D24" s="49" t="s">
        <v>79</v>
      </c>
      <c r="E24" s="49" t="s">
        <v>155</v>
      </c>
      <c r="F24" s="49" t="s">
        <v>133</v>
      </c>
      <c r="G24" s="49" t="s">
        <v>161</v>
      </c>
      <c r="H24" s="49" t="s">
        <v>127</v>
      </c>
      <c r="I24" s="49" t="s">
        <v>80</v>
      </c>
      <c r="J24" s="50" t="s">
        <v>126</v>
      </c>
      <c r="K24" s="51"/>
      <c r="L24" s="48" t="s">
        <v>116</v>
      </c>
      <c r="M24" s="49" t="s">
        <v>76</v>
      </c>
      <c r="N24" s="50" t="s">
        <v>115</v>
      </c>
    </row>
    <row r="25" spans="2:18" ht="24.6" customHeight="1">
      <c r="B25" s="148" t="s">
        <v>73</v>
      </c>
      <c r="C25" s="55" t="s">
        <v>120</v>
      </c>
      <c r="D25" s="57" t="s">
        <v>139</v>
      </c>
      <c r="E25" s="73" t="s">
        <v>140</v>
      </c>
      <c r="F25" s="123" t="s">
        <v>142</v>
      </c>
      <c r="G25" s="114"/>
      <c r="H25" s="123"/>
      <c r="I25" s="151">
        <f>I5</f>
        <v>0</v>
      </c>
      <c r="J25" s="73"/>
      <c r="K25" s="51"/>
      <c r="L25" s="41" t="s">
        <v>96</v>
      </c>
      <c r="M25" s="58" t="s">
        <v>130</v>
      </c>
      <c r="N25" s="59"/>
      <c r="O25" s="27"/>
      <c r="P25" s="27"/>
    </row>
    <row r="26" spans="2:18" ht="24.6" customHeight="1">
      <c r="B26" s="149"/>
      <c r="C26" s="55" t="s">
        <v>102</v>
      </c>
      <c r="D26" s="62"/>
      <c r="E26" s="114" t="s">
        <v>138</v>
      </c>
      <c r="F26" s="123" t="s">
        <v>141</v>
      </c>
      <c r="G26" s="57"/>
      <c r="H26" s="123"/>
      <c r="I26" s="159"/>
      <c r="J26" s="56"/>
      <c r="K26" s="51"/>
      <c r="L26" s="41"/>
      <c r="M26" s="58"/>
      <c r="N26" s="59"/>
      <c r="O26" s="27"/>
      <c r="P26" s="27"/>
    </row>
    <row r="27" spans="2:18" ht="24.6" customHeight="1">
      <c r="B27" s="149"/>
      <c r="C27" s="55"/>
      <c r="D27" s="57"/>
      <c r="E27" s="56"/>
      <c r="F27" s="127"/>
      <c r="G27" s="124"/>
      <c r="H27" s="127"/>
      <c r="I27" s="159"/>
      <c r="J27" s="56"/>
      <c r="K27" s="51"/>
      <c r="L27" s="41"/>
      <c r="M27" s="58"/>
      <c r="N27" s="59"/>
      <c r="O27" s="27"/>
      <c r="P27" s="27"/>
    </row>
    <row r="28" spans="2:18" ht="24.6" customHeight="1">
      <c r="B28" s="149"/>
      <c r="C28" s="55"/>
      <c r="D28" s="57"/>
      <c r="E28" s="57"/>
      <c r="F28" s="127"/>
      <c r="G28" s="124"/>
      <c r="H28" s="127"/>
      <c r="I28" s="159"/>
      <c r="J28" s="56"/>
      <c r="K28" s="51"/>
      <c r="L28" s="41"/>
      <c r="M28" s="58"/>
      <c r="N28" s="59"/>
      <c r="O28" s="27"/>
      <c r="P28" s="27"/>
    </row>
    <row r="29" spans="2:18" ht="24.6" customHeight="1">
      <c r="B29" s="150"/>
      <c r="C29" s="55"/>
      <c r="D29" s="62"/>
      <c r="E29" s="124"/>
      <c r="F29" s="127"/>
      <c r="G29" s="57"/>
      <c r="H29" s="127"/>
      <c r="I29" s="154"/>
      <c r="J29" s="56"/>
      <c r="K29" s="51"/>
      <c r="L29" s="41"/>
      <c r="M29" s="58"/>
      <c r="N29" s="59"/>
      <c r="O29" s="27"/>
      <c r="P29" s="27"/>
    </row>
    <row r="30" spans="2:18" ht="24.6" customHeight="1">
      <c r="B30" s="157" t="s">
        <v>98</v>
      </c>
      <c r="C30" s="55" t="s">
        <v>103</v>
      </c>
      <c r="D30" s="62"/>
      <c r="E30" s="56"/>
      <c r="F30" s="62"/>
      <c r="G30" s="57"/>
      <c r="H30" s="71"/>
      <c r="I30" s="151">
        <f>I6</f>
        <v>0</v>
      </c>
      <c r="J30" s="56"/>
      <c r="K30" s="51"/>
      <c r="L30" s="41"/>
      <c r="M30" s="58"/>
      <c r="N30" s="59"/>
      <c r="O30" s="27"/>
      <c r="P30" s="27"/>
    </row>
    <row r="31" spans="2:18" ht="24.6" customHeight="1">
      <c r="B31" s="149"/>
      <c r="C31" s="55" t="s">
        <v>102</v>
      </c>
      <c r="D31" s="62"/>
      <c r="E31" s="71"/>
      <c r="F31" s="62"/>
      <c r="G31" s="57"/>
      <c r="H31" s="71"/>
      <c r="I31" s="158"/>
      <c r="J31" s="64"/>
      <c r="K31" s="51"/>
      <c r="L31" s="41"/>
      <c r="M31" s="58"/>
      <c r="N31" s="59"/>
      <c r="O31" s="27"/>
      <c r="P31" s="27"/>
    </row>
    <row r="32" spans="2:18" ht="24.6" customHeight="1">
      <c r="B32" s="150"/>
      <c r="C32" s="55"/>
      <c r="D32" s="62"/>
      <c r="E32" s="71"/>
      <c r="F32" s="62"/>
      <c r="G32" s="57"/>
      <c r="H32" s="71"/>
      <c r="I32" s="154"/>
      <c r="J32" s="64"/>
      <c r="K32" s="51"/>
      <c r="L32" s="41"/>
      <c r="M32" s="58"/>
      <c r="N32" s="59"/>
      <c r="O32" s="27"/>
      <c r="P32" s="27"/>
    </row>
    <row r="33" spans="2:16" ht="24.6" customHeight="1">
      <c r="B33" s="157" t="s">
        <v>88</v>
      </c>
      <c r="C33" s="55" t="s">
        <v>103</v>
      </c>
      <c r="D33" s="57"/>
      <c r="E33" s="56"/>
      <c r="F33" s="71"/>
      <c r="G33" s="57"/>
      <c r="H33" s="71"/>
      <c r="I33" s="151">
        <f>I7</f>
        <v>0</v>
      </c>
      <c r="J33" s="56"/>
      <c r="K33" s="51"/>
      <c r="L33" s="41"/>
      <c r="M33" s="58"/>
      <c r="N33" s="59"/>
      <c r="O33" s="27"/>
      <c r="P33" s="27"/>
    </row>
    <row r="34" spans="2:16" ht="24.6" customHeight="1">
      <c r="B34" s="149"/>
      <c r="C34" s="55" t="s">
        <v>102</v>
      </c>
      <c r="D34" s="62"/>
      <c r="E34" s="57"/>
      <c r="F34" s="125"/>
      <c r="G34" s="56"/>
      <c r="H34" s="71"/>
      <c r="I34" s="158"/>
      <c r="J34" s="56"/>
      <c r="K34" s="51"/>
      <c r="L34" s="41"/>
      <c r="M34" s="58"/>
      <c r="N34" s="59"/>
      <c r="O34" s="27"/>
      <c r="P34" s="27"/>
    </row>
    <row r="35" spans="2:16" ht="24.6" customHeight="1">
      <c r="B35" s="149"/>
      <c r="C35" s="55"/>
      <c r="D35" s="57"/>
      <c r="E35" s="56"/>
      <c r="F35" s="71"/>
      <c r="G35" s="57"/>
      <c r="H35" s="71"/>
      <c r="I35" s="159"/>
      <c r="J35" s="56"/>
      <c r="K35" s="51"/>
      <c r="L35" s="41"/>
      <c r="M35" s="58"/>
      <c r="N35" s="59"/>
      <c r="O35" s="27"/>
      <c r="P35" s="27"/>
    </row>
    <row r="36" spans="2:16" ht="24.6" customHeight="1">
      <c r="B36" s="150"/>
      <c r="C36" s="55"/>
      <c r="D36" s="62"/>
      <c r="E36" s="57"/>
      <c r="F36" s="71"/>
      <c r="G36" s="57"/>
      <c r="H36" s="71"/>
      <c r="I36" s="154"/>
      <c r="J36" s="56"/>
      <c r="K36" s="51"/>
      <c r="L36" s="41"/>
      <c r="M36" s="58"/>
      <c r="N36" s="59"/>
      <c r="O36" s="27"/>
      <c r="P36" s="27"/>
    </row>
    <row r="37" spans="2:16" ht="24.6" customHeight="1">
      <c r="B37" s="148" t="s">
        <v>118</v>
      </c>
      <c r="C37" s="55" t="s">
        <v>103</v>
      </c>
      <c r="D37" s="62"/>
      <c r="E37" s="71"/>
      <c r="F37" s="62"/>
      <c r="G37" s="57"/>
      <c r="H37" s="71"/>
      <c r="I37" s="160">
        <f>I8-D37</f>
        <v>0</v>
      </c>
      <c r="J37" s="56"/>
      <c r="K37" s="51"/>
      <c r="L37" s="41"/>
      <c r="M37" s="58"/>
      <c r="N37" s="59"/>
      <c r="O37" s="27"/>
      <c r="P37" s="27"/>
    </row>
    <row r="38" spans="2:16" ht="24.6" customHeight="1">
      <c r="B38" s="150"/>
      <c r="C38" s="55" t="s">
        <v>104</v>
      </c>
      <c r="D38" s="62"/>
      <c r="E38" s="71"/>
      <c r="F38" s="62"/>
      <c r="G38" s="57"/>
      <c r="H38" s="71"/>
      <c r="I38" s="154"/>
      <c r="J38" s="64"/>
      <c r="K38" s="51"/>
      <c r="L38" s="41"/>
      <c r="M38" s="58"/>
      <c r="N38" s="59"/>
      <c r="O38" s="27"/>
      <c r="P38" s="27"/>
    </row>
    <row r="39" spans="2:16" ht="24.6" customHeight="1">
      <c r="B39" s="148" t="s">
        <v>111</v>
      </c>
      <c r="C39" s="55" t="s">
        <v>103</v>
      </c>
      <c r="D39" s="57"/>
      <c r="E39" s="56"/>
      <c r="F39" s="71"/>
      <c r="G39" s="57"/>
      <c r="H39" s="71"/>
      <c r="I39" s="160">
        <f>I9</f>
        <v>0</v>
      </c>
      <c r="J39" s="56"/>
      <c r="K39" s="51"/>
      <c r="L39" s="41"/>
      <c r="M39" s="58"/>
      <c r="N39" s="59"/>
      <c r="O39" s="27"/>
      <c r="P39" s="27"/>
    </row>
    <row r="40" spans="2:16" ht="24.6" customHeight="1">
      <c r="B40" s="150"/>
      <c r="C40" s="55" t="s">
        <v>104</v>
      </c>
      <c r="D40" s="62"/>
      <c r="E40" s="57"/>
      <c r="F40" s="71"/>
      <c r="G40" s="57"/>
      <c r="H40" s="71"/>
      <c r="I40" s="154"/>
      <c r="J40" s="64"/>
      <c r="K40" s="51"/>
      <c r="L40" s="41"/>
      <c r="M40" s="58"/>
      <c r="N40" s="59"/>
      <c r="O40" s="27"/>
      <c r="P40" s="27"/>
    </row>
    <row r="41" spans="2:16" ht="24.6" customHeight="1">
      <c r="B41" s="148" t="s">
        <v>101</v>
      </c>
      <c r="C41" s="55" t="s">
        <v>103</v>
      </c>
      <c r="D41" s="57"/>
      <c r="E41" s="56"/>
      <c r="F41" s="71"/>
      <c r="G41" s="57"/>
      <c r="H41" s="71"/>
      <c r="I41" s="160">
        <f>I10</f>
        <v>0</v>
      </c>
      <c r="J41" s="56"/>
      <c r="K41" s="51"/>
      <c r="L41" s="41" t="s">
        <v>96</v>
      </c>
      <c r="M41" s="58" t="s">
        <v>130</v>
      </c>
      <c r="N41" s="59"/>
      <c r="O41" s="27"/>
      <c r="P41" s="27"/>
    </row>
    <row r="42" spans="2:16" ht="24.6" customHeight="1">
      <c r="B42" s="150"/>
      <c r="C42" s="55" t="s">
        <v>105</v>
      </c>
      <c r="D42" s="57"/>
      <c r="E42" s="57"/>
      <c r="F42" s="71"/>
      <c r="G42" s="57"/>
      <c r="H42" s="71"/>
      <c r="I42" s="154"/>
      <c r="J42" s="64"/>
      <c r="K42" s="51"/>
      <c r="L42" s="41"/>
      <c r="M42" s="58"/>
      <c r="N42" s="59"/>
      <c r="O42" s="27"/>
      <c r="P42" s="27"/>
    </row>
    <row r="43" spans="2:16" ht="24.6" customHeight="1">
      <c r="B43" s="148" t="s">
        <v>46</v>
      </c>
      <c r="C43" s="55" t="s">
        <v>103</v>
      </c>
      <c r="D43" s="57" t="s">
        <v>156</v>
      </c>
      <c r="E43" s="73" t="s">
        <v>143</v>
      </c>
      <c r="F43" s="72" t="s">
        <v>145</v>
      </c>
      <c r="G43" s="114" t="s">
        <v>158</v>
      </c>
      <c r="H43" s="72" t="s">
        <v>159</v>
      </c>
      <c r="I43" s="151">
        <f>I11</f>
        <v>1680</v>
      </c>
      <c r="J43" s="73" t="s">
        <v>157</v>
      </c>
      <c r="K43" s="51"/>
      <c r="L43" s="41" t="s">
        <v>96</v>
      </c>
      <c r="M43" s="58" t="s">
        <v>119</v>
      </c>
      <c r="N43" s="59" t="s">
        <v>129</v>
      </c>
      <c r="O43" s="27"/>
      <c r="P43" s="27"/>
    </row>
    <row r="44" spans="2:16" ht="24.6" customHeight="1">
      <c r="B44" s="149"/>
      <c r="C44" s="55" t="s">
        <v>105</v>
      </c>
      <c r="D44" s="62"/>
      <c r="E44" s="114" t="s">
        <v>144</v>
      </c>
      <c r="F44" s="72" t="s">
        <v>146</v>
      </c>
      <c r="G44" s="57"/>
      <c r="H44" s="72" t="s">
        <v>160</v>
      </c>
      <c r="I44" s="159"/>
      <c r="J44" s="56"/>
      <c r="K44" s="51"/>
      <c r="L44" s="41"/>
      <c r="M44" s="58"/>
      <c r="N44" s="59"/>
      <c r="O44" s="27"/>
      <c r="P44" s="27"/>
    </row>
    <row r="45" spans="2:16" ht="24.6" customHeight="1">
      <c r="B45" s="149"/>
      <c r="C45" s="55"/>
      <c r="D45" s="57"/>
      <c r="E45" s="56"/>
      <c r="F45" s="71"/>
      <c r="G45" s="124"/>
      <c r="H45" s="71"/>
      <c r="I45" s="159"/>
      <c r="J45" s="56"/>
      <c r="K45" s="51"/>
      <c r="L45" s="41" t="s">
        <v>96</v>
      </c>
      <c r="M45" s="58" t="s">
        <v>130</v>
      </c>
      <c r="N45" s="59"/>
      <c r="O45" s="27"/>
      <c r="P45" s="27"/>
    </row>
    <row r="46" spans="2:16" ht="24.6" customHeight="1">
      <c r="B46" s="149"/>
      <c r="C46" s="55"/>
      <c r="D46" s="62"/>
      <c r="E46" s="124"/>
      <c r="F46" s="71"/>
      <c r="G46" s="57"/>
      <c r="H46" s="71"/>
      <c r="I46" s="159"/>
      <c r="J46" s="56"/>
      <c r="K46" s="51"/>
      <c r="L46" s="41"/>
      <c r="M46" s="58"/>
      <c r="N46" s="59"/>
      <c r="O46" s="27"/>
      <c r="P46" s="27"/>
    </row>
    <row r="47" spans="2:16" ht="24.6" customHeight="1">
      <c r="B47" s="150"/>
      <c r="C47" s="55"/>
      <c r="D47" s="62"/>
      <c r="E47" s="124"/>
      <c r="F47" s="71"/>
      <c r="G47" s="57"/>
      <c r="H47" s="71"/>
      <c r="I47" s="154"/>
      <c r="J47" s="56"/>
      <c r="K47" s="51"/>
      <c r="L47" s="41"/>
      <c r="M47" s="58"/>
      <c r="N47" s="59"/>
      <c r="O47" s="27"/>
      <c r="P47" s="27"/>
    </row>
    <row r="48" spans="2:16" ht="24.6" customHeight="1">
      <c r="B48" s="157" t="s">
        <v>114</v>
      </c>
      <c r="C48" s="55" t="s">
        <v>103</v>
      </c>
      <c r="D48" s="62"/>
      <c r="E48" s="71"/>
      <c r="F48" s="62"/>
      <c r="G48" s="57"/>
      <c r="H48" s="71"/>
      <c r="I48" s="160">
        <f>I12-D48</f>
        <v>0</v>
      </c>
      <c r="J48" s="56"/>
      <c r="K48" s="51"/>
      <c r="L48" s="41"/>
      <c r="M48" s="58"/>
      <c r="N48" s="59"/>
      <c r="O48" s="27"/>
      <c r="P48" s="27"/>
    </row>
    <row r="49" spans="2:16" ht="24.6" customHeight="1">
      <c r="B49" s="150"/>
      <c r="C49" s="55" t="s">
        <v>104</v>
      </c>
      <c r="D49" s="62"/>
      <c r="E49" s="71"/>
      <c r="F49" s="62"/>
      <c r="G49" s="57"/>
      <c r="H49" s="71"/>
      <c r="I49" s="154"/>
      <c r="J49" s="56"/>
      <c r="K49" s="51"/>
      <c r="L49" s="41"/>
      <c r="M49" s="58"/>
      <c r="N49" s="59"/>
      <c r="O49" s="27"/>
      <c r="P49" s="27"/>
    </row>
    <row r="50" spans="2:16" ht="24.6" customHeight="1">
      <c r="B50" s="148" t="s">
        <v>94</v>
      </c>
      <c r="C50" s="55" t="s">
        <v>103</v>
      </c>
      <c r="D50" s="62"/>
      <c r="E50" s="71"/>
      <c r="F50" s="62"/>
      <c r="G50" s="57"/>
      <c r="H50" s="71"/>
      <c r="I50" s="151">
        <f>I13-D50</f>
        <v>0</v>
      </c>
      <c r="J50" s="56"/>
      <c r="K50" s="51"/>
      <c r="L50" s="41"/>
      <c r="M50" s="58"/>
      <c r="N50" s="59"/>
      <c r="O50" s="27"/>
      <c r="P50" s="27"/>
    </row>
    <row r="51" spans="2:16" ht="24.6" customHeight="1">
      <c r="B51" s="156"/>
      <c r="C51" s="55" t="s">
        <v>105</v>
      </c>
      <c r="D51" s="62"/>
      <c r="E51" s="71"/>
      <c r="F51" s="62"/>
      <c r="G51" s="60"/>
      <c r="H51" s="71"/>
      <c r="I51" s="155"/>
      <c r="J51" s="61"/>
      <c r="K51" s="51"/>
      <c r="L51" s="41"/>
      <c r="M51" s="58"/>
      <c r="N51" s="59"/>
      <c r="O51" s="27"/>
      <c r="P51" s="27"/>
    </row>
    <row r="52" spans="2:16" ht="24.6" customHeight="1">
      <c r="B52" s="148" t="s">
        <v>72</v>
      </c>
      <c r="C52" s="55" t="s">
        <v>103</v>
      </c>
      <c r="D52" s="57"/>
      <c r="E52" s="56"/>
      <c r="F52" s="71"/>
      <c r="G52" s="57"/>
      <c r="H52" s="71"/>
      <c r="I52" s="151">
        <f>I14</f>
        <v>0</v>
      </c>
      <c r="J52" s="56"/>
      <c r="K52" s="51"/>
      <c r="L52" s="41"/>
      <c r="M52" s="58"/>
      <c r="N52" s="59"/>
      <c r="O52" s="27"/>
      <c r="P52" s="27"/>
    </row>
    <row r="53" spans="2:16" ht="24.6" customHeight="1">
      <c r="B53" s="149"/>
      <c r="C53" s="55" t="s">
        <v>105</v>
      </c>
      <c r="D53" s="62"/>
      <c r="E53" s="57"/>
      <c r="F53" s="62"/>
      <c r="G53" s="57"/>
      <c r="H53" s="71"/>
      <c r="I53" s="158"/>
      <c r="J53" s="56"/>
      <c r="K53" s="51"/>
      <c r="L53" s="41"/>
      <c r="M53" s="58"/>
      <c r="N53" s="59"/>
      <c r="O53" s="27"/>
      <c r="P53" s="27"/>
    </row>
    <row r="54" spans="2:16" ht="24.6" customHeight="1">
      <c r="B54" s="150"/>
      <c r="C54" s="55"/>
      <c r="D54" s="62"/>
      <c r="E54" s="71"/>
      <c r="F54" s="62"/>
      <c r="G54" s="57"/>
      <c r="H54" s="71"/>
      <c r="I54" s="154"/>
      <c r="J54" s="56"/>
      <c r="K54" s="51"/>
      <c r="L54" s="41"/>
      <c r="M54" s="58"/>
      <c r="N54" s="59"/>
      <c r="O54" s="27"/>
      <c r="P54" s="27"/>
    </row>
    <row r="55" spans="2:16" ht="24.6" customHeight="1">
      <c r="B55" s="148">
        <v>75</v>
      </c>
      <c r="C55" s="55" t="s">
        <v>106</v>
      </c>
      <c r="D55" s="57"/>
      <c r="E55" s="56"/>
      <c r="F55" s="71"/>
      <c r="G55" s="114" t="s">
        <v>148</v>
      </c>
      <c r="H55" s="72" t="s">
        <v>149</v>
      </c>
      <c r="I55" s="151">
        <f>I15</f>
        <v>642</v>
      </c>
      <c r="J55" s="73" t="s">
        <v>147</v>
      </c>
      <c r="K55" s="51"/>
      <c r="L55" s="41"/>
      <c r="M55" s="58"/>
      <c r="N55" s="59"/>
      <c r="O55" s="27" t="s">
        <v>43</v>
      </c>
      <c r="P55" s="27"/>
    </row>
    <row r="56" spans="2:16" ht="24.6" customHeight="1">
      <c r="B56" s="150"/>
      <c r="C56" s="62" t="s">
        <v>107</v>
      </c>
      <c r="D56" s="62"/>
      <c r="E56" s="124"/>
      <c r="F56" s="71"/>
      <c r="G56" s="57"/>
      <c r="H56" s="72" t="s">
        <v>150</v>
      </c>
      <c r="I56" s="154"/>
      <c r="J56" s="61"/>
      <c r="K56" s="51"/>
      <c r="L56" s="41"/>
      <c r="M56" s="58"/>
      <c r="N56" s="59"/>
      <c r="O56" s="27"/>
      <c r="P56" s="27"/>
    </row>
    <row r="57" spans="2:16" ht="24.6" customHeight="1">
      <c r="B57" s="148">
        <v>50</v>
      </c>
      <c r="C57" s="55" t="s">
        <v>108</v>
      </c>
      <c r="D57" s="57"/>
      <c r="E57" s="56"/>
      <c r="F57" s="71"/>
      <c r="G57" s="114" t="s">
        <v>152</v>
      </c>
      <c r="H57" s="72" t="s">
        <v>153</v>
      </c>
      <c r="I57" s="151">
        <f>I16</f>
        <v>447</v>
      </c>
      <c r="J57" s="73" t="s">
        <v>151</v>
      </c>
      <c r="K57" s="51"/>
      <c r="L57" s="41" t="s">
        <v>96</v>
      </c>
      <c r="M57" s="58" t="s">
        <v>119</v>
      </c>
      <c r="N57" s="59"/>
      <c r="O57" s="27"/>
      <c r="P57" s="27"/>
    </row>
    <row r="58" spans="2:16" ht="24.6" customHeight="1" thickBot="1">
      <c r="B58" s="153"/>
      <c r="C58" s="65" t="s">
        <v>109</v>
      </c>
      <c r="D58" s="65"/>
      <c r="E58" s="66"/>
      <c r="F58" s="126"/>
      <c r="G58" s="66"/>
      <c r="H58" s="142" t="s">
        <v>154</v>
      </c>
      <c r="I58" s="152"/>
      <c r="J58" s="67"/>
      <c r="K58" s="51"/>
      <c r="L58" s="68"/>
      <c r="M58" s="69"/>
      <c r="N58" s="70"/>
      <c r="O58" s="27"/>
      <c r="P58" s="27"/>
    </row>
    <row r="59" spans="2:16" ht="15" customHeight="1" thickTop="1"/>
    <row r="61" spans="2:16" ht="15" customHeight="1">
      <c r="L61" s="12" t="s">
        <v>44</v>
      </c>
    </row>
    <row r="65" spans="10:27" ht="15" customHeight="1">
      <c r="V65" s="12" t="s">
        <v>43</v>
      </c>
    </row>
    <row r="67" spans="10:27" ht="15" customHeight="1">
      <c r="J67" s="12" t="s">
        <v>44</v>
      </c>
    </row>
    <row r="75" spans="10:27" ht="15" customHeight="1">
      <c r="AA75" s="12" t="s">
        <v>45</v>
      </c>
    </row>
  </sheetData>
  <mergeCells count="28">
    <mergeCell ref="B30:B32"/>
    <mergeCell ref="B41:B42"/>
    <mergeCell ref="I30:I32"/>
    <mergeCell ref="I41:I42"/>
    <mergeCell ref="B39:B40"/>
    <mergeCell ref="I39:I40"/>
    <mergeCell ref="B37:B38"/>
    <mergeCell ref="I37:I38"/>
    <mergeCell ref="B33:B36"/>
    <mergeCell ref="I33:I36"/>
    <mergeCell ref="B2:P2"/>
    <mergeCell ref="B3:J3"/>
    <mergeCell ref="L3:P3"/>
    <mergeCell ref="P5:P14"/>
    <mergeCell ref="B25:B29"/>
    <mergeCell ref="I25:I29"/>
    <mergeCell ref="B43:B47"/>
    <mergeCell ref="I57:I58"/>
    <mergeCell ref="B55:B56"/>
    <mergeCell ref="B57:B58"/>
    <mergeCell ref="I55:I56"/>
    <mergeCell ref="B52:B54"/>
    <mergeCell ref="I50:I51"/>
    <mergeCell ref="B50:B51"/>
    <mergeCell ref="B48:B49"/>
    <mergeCell ref="I52:I54"/>
    <mergeCell ref="I43:I47"/>
    <mergeCell ref="I48:I49"/>
  </mergeCells>
  <phoneticPr fontId="2" type="noConversion"/>
  <pageMargins left="0.7086111307144165" right="0.7086111307144165" top="0.74750000238418579" bottom="0.74750000238418579" header="0.31486111879348755" footer="0.31486111879348755"/>
  <pageSetup scale="3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46BCA2A2A064AB8C22D7505EED6E0" ma:contentTypeVersion="10" ma:contentTypeDescription="Create a new document." ma:contentTypeScope="" ma:versionID="52032b8115dd5cacb25badadd7a83ef4">
  <xsd:schema xmlns:xsd="http://www.w3.org/2001/XMLSchema" xmlns:xs="http://www.w3.org/2001/XMLSchema" xmlns:p="http://schemas.microsoft.com/office/2006/metadata/properties" xmlns:ns3="f378fdfc-9717-4a21-af0b-0c471d2d969c" targetNamespace="http://schemas.microsoft.com/office/2006/metadata/properties" ma:root="true" ma:fieldsID="dd4eafa4019b15d3246c75f2d915fe17" ns3:_="">
    <xsd:import namespace="f378fdfc-9717-4a21-af0b-0c471d2d96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8fdfc-9717-4a21-af0b-0c471d2d96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78fdfc-9717-4a21-af0b-0c471d2d969c" xsi:nil="true"/>
  </documentManagement>
</p:properties>
</file>

<file path=customXml/itemProps1.xml><?xml version="1.0" encoding="utf-8"?>
<ds:datastoreItem xmlns:ds="http://schemas.openxmlformats.org/officeDocument/2006/customXml" ds:itemID="{C4F2AD2A-5AF6-427C-928A-000FE3963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8fdfc-9717-4a21-af0b-0c471d2d9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CC0C55-5287-4288-BB03-D1FDA956EE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1EC1CD-A1A8-41DC-9E0D-726EDCD5417B}">
  <ds:schemaRefs>
    <ds:schemaRef ds:uri="http://schemas.microsoft.com/office/2006/metadata/properties"/>
    <ds:schemaRef ds:uri="http://schemas.microsoft.com/office/2006/documentManagement/types"/>
    <ds:schemaRef ds:uri="f378fdfc-9717-4a21-af0b-0c471d2d969c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입고(2607)</vt:lpstr>
      <vt:lpstr>출고(2607)</vt:lpstr>
      <vt:lpstr>생산량(2607)</vt:lpstr>
      <vt:lpstr>통합현황</vt:lpstr>
      <vt:lpstr>통합현황!Print_Area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k9847</cp:lastModifiedBy>
  <cp:lastPrinted>2026-01-12T22:15:47Z</cp:lastPrinted>
  <dcterms:created xsi:type="dcterms:W3CDTF">2025-09-14T22:29:15Z</dcterms:created>
  <dcterms:modified xsi:type="dcterms:W3CDTF">2026-07-16T05:26:03Z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0x010100A6A46BCA2A2A064AB8C22D7505EED6E0</vt:lpwstr>
  </property>
</Properties>
</file>