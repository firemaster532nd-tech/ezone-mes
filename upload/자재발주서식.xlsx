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0c05917788c47b/ezone-mes/upload/"/>
    </mc:Choice>
  </mc:AlternateContent>
  <xr:revisionPtr revIDLastSave="0" documentId="8_{7DC9ECFD-9FE3-4055-9160-494D11C02FB9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벽체" sheetId="1" r:id="rId1"/>
    <sheet name="입상" sheetId="2" r:id="rId2"/>
  </sheets>
  <definedNames>
    <definedName name="_xlnm._FilterDatabase" localSheetId="0" hidden="1">벽체!$B$5:$V$25</definedName>
    <definedName name="_xlnm._FilterDatabase" localSheetId="1" hidden="1">입상!$B$5:$V$25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2" l="1"/>
  <c r="F58" i="2"/>
  <c r="E59" i="2"/>
  <c r="F59" i="2"/>
  <c r="E60" i="2"/>
  <c r="F60" i="2"/>
  <c r="E61" i="2"/>
  <c r="F61" i="2"/>
  <c r="E62" i="2"/>
  <c r="F62" i="2"/>
  <c r="R32" i="2" l="1"/>
  <c r="R33" i="2"/>
  <c r="R34" i="2"/>
  <c r="R35" i="2"/>
  <c r="R36" i="2"/>
  <c r="R37" i="2"/>
  <c r="R38" i="2"/>
  <c r="R39" i="2"/>
  <c r="R40" i="2"/>
  <c r="R31" i="2"/>
  <c r="J37" i="1"/>
  <c r="J38" i="1"/>
  <c r="J39" i="1"/>
  <c r="J40" i="1"/>
  <c r="J67" i="1" l="1"/>
  <c r="J66" i="1"/>
  <c r="J65" i="1"/>
  <c r="J64" i="1"/>
  <c r="J63" i="1"/>
  <c r="AE148" i="1"/>
  <c r="AD148" i="1"/>
  <c r="AE147" i="1"/>
  <c r="AD147" i="1"/>
  <c r="AE146" i="1"/>
  <c r="AD146" i="1"/>
  <c r="AE145" i="1"/>
  <c r="AD145" i="1"/>
  <c r="AE144" i="1"/>
  <c r="AD144" i="1"/>
  <c r="AE143" i="1"/>
  <c r="AD143" i="1"/>
  <c r="AE142" i="1"/>
  <c r="AD142" i="1"/>
  <c r="AE141" i="1"/>
  <c r="AD141" i="1"/>
  <c r="O107" i="2" l="1"/>
  <c r="K107" i="2"/>
  <c r="Z106" i="2"/>
  <c r="AA106" i="2" s="1"/>
  <c r="V106" i="2"/>
  <c r="W106" i="2" s="1"/>
  <c r="S106" i="2"/>
  <c r="Z105" i="2"/>
  <c r="AA105" i="2" s="1"/>
  <c r="V105" i="2"/>
  <c r="W105" i="2" s="1"/>
  <c r="S105" i="2"/>
  <c r="Z104" i="2"/>
  <c r="AA104" i="2" s="1"/>
  <c r="V104" i="2"/>
  <c r="W104" i="2" s="1"/>
  <c r="S104" i="2"/>
  <c r="Z103" i="2"/>
  <c r="AA103" i="2" s="1"/>
  <c r="V103" i="2"/>
  <c r="W103" i="2" s="1"/>
  <c r="S103" i="2"/>
  <c r="Z102" i="2"/>
  <c r="AA102" i="2" s="1"/>
  <c r="V102" i="2"/>
  <c r="W102" i="2" s="1"/>
  <c r="S102" i="2"/>
  <c r="Z101" i="2"/>
  <c r="AA101" i="2" s="1"/>
  <c r="V101" i="2"/>
  <c r="W101" i="2" s="1"/>
  <c r="S101" i="2"/>
  <c r="Z100" i="2"/>
  <c r="AA100" i="2" s="1"/>
  <c r="V100" i="2"/>
  <c r="W100" i="2" s="1"/>
  <c r="S100" i="2"/>
  <c r="Z99" i="2"/>
  <c r="AA99" i="2" s="1"/>
  <c r="V99" i="2"/>
  <c r="W99" i="2" s="1"/>
  <c r="S99" i="2"/>
  <c r="Z98" i="2"/>
  <c r="AA98" i="2" s="1"/>
  <c r="V98" i="2"/>
  <c r="W98" i="2" s="1"/>
  <c r="S98" i="2"/>
  <c r="Z97" i="2"/>
  <c r="AA97" i="2" s="1"/>
  <c r="V97" i="2"/>
  <c r="W97" i="2" s="1"/>
  <c r="S97" i="2"/>
  <c r="W94" i="2"/>
  <c r="V94" i="2"/>
  <c r="O94" i="2"/>
  <c r="N94" i="2"/>
  <c r="K94" i="2"/>
  <c r="G94" i="2"/>
  <c r="F94" i="2"/>
  <c r="E94" i="2"/>
  <c r="J94" i="2" s="1"/>
  <c r="A94" i="2"/>
  <c r="W93" i="2"/>
  <c r="V93" i="2"/>
  <c r="O93" i="2"/>
  <c r="N93" i="2"/>
  <c r="K93" i="2"/>
  <c r="G93" i="2"/>
  <c r="F93" i="2"/>
  <c r="E93" i="2"/>
  <c r="J93" i="2" s="1"/>
  <c r="A93" i="2"/>
  <c r="W92" i="2"/>
  <c r="V92" i="2"/>
  <c r="O92" i="2"/>
  <c r="N92" i="2"/>
  <c r="K92" i="2"/>
  <c r="G92" i="2"/>
  <c r="F92" i="2"/>
  <c r="E92" i="2"/>
  <c r="J92" i="2" s="1"/>
  <c r="A92" i="2"/>
  <c r="W91" i="2"/>
  <c r="V91" i="2"/>
  <c r="O91" i="2"/>
  <c r="N91" i="2"/>
  <c r="K91" i="2"/>
  <c r="G91" i="2"/>
  <c r="F91" i="2"/>
  <c r="E91" i="2"/>
  <c r="J91" i="2" s="1"/>
  <c r="A91" i="2"/>
  <c r="W90" i="2"/>
  <c r="V90" i="2"/>
  <c r="O90" i="2"/>
  <c r="N90" i="2"/>
  <c r="K90" i="2"/>
  <c r="G90" i="2"/>
  <c r="F90" i="2"/>
  <c r="E90" i="2"/>
  <c r="J90" i="2" s="1"/>
  <c r="A90" i="2"/>
  <c r="W89" i="2"/>
  <c r="V89" i="2"/>
  <c r="O89" i="2"/>
  <c r="N89" i="2"/>
  <c r="K89" i="2"/>
  <c r="G89" i="2"/>
  <c r="F89" i="2"/>
  <c r="E89" i="2"/>
  <c r="J89" i="2" s="1"/>
  <c r="A89" i="2"/>
  <c r="W88" i="2"/>
  <c r="V88" i="2"/>
  <c r="O88" i="2"/>
  <c r="N88" i="2"/>
  <c r="K88" i="2"/>
  <c r="G88" i="2"/>
  <c r="F88" i="2"/>
  <c r="E88" i="2"/>
  <c r="J88" i="2" s="1"/>
  <c r="A88" i="2"/>
  <c r="W87" i="2"/>
  <c r="V87" i="2"/>
  <c r="O87" i="2"/>
  <c r="N87" i="2"/>
  <c r="K87" i="2"/>
  <c r="G87" i="2"/>
  <c r="F87" i="2"/>
  <c r="E87" i="2"/>
  <c r="J87" i="2" s="1"/>
  <c r="A87" i="2"/>
  <c r="W86" i="2"/>
  <c r="V86" i="2"/>
  <c r="O86" i="2"/>
  <c r="N86" i="2"/>
  <c r="K86" i="2"/>
  <c r="G86" i="2"/>
  <c r="F86" i="2"/>
  <c r="E86" i="2"/>
  <c r="J86" i="2" s="1"/>
  <c r="A86" i="2"/>
  <c r="W85" i="2"/>
  <c r="V85" i="2"/>
  <c r="O85" i="2"/>
  <c r="N85" i="2"/>
  <c r="K85" i="2"/>
  <c r="G85" i="2"/>
  <c r="F85" i="2"/>
  <c r="E85" i="2"/>
  <c r="J85" i="2" s="1"/>
  <c r="A85" i="2"/>
  <c r="AD79" i="2"/>
  <c r="AE79" i="2" s="1"/>
  <c r="Z79" i="2"/>
  <c r="AA79" i="2" s="1"/>
  <c r="V79" i="2"/>
  <c r="W79" i="2" s="1"/>
  <c r="S79" i="2"/>
  <c r="K79" i="2"/>
  <c r="AD78" i="2"/>
  <c r="AE78" i="2" s="1"/>
  <c r="Z78" i="2"/>
  <c r="AA78" i="2" s="1"/>
  <c r="V78" i="2"/>
  <c r="W78" i="2" s="1"/>
  <c r="S78" i="2"/>
  <c r="K78" i="2"/>
  <c r="AD77" i="2"/>
  <c r="AE77" i="2" s="1"/>
  <c r="Z77" i="2"/>
  <c r="AA77" i="2" s="1"/>
  <c r="V77" i="2"/>
  <c r="W77" i="2" s="1"/>
  <c r="S77" i="2"/>
  <c r="K77" i="2"/>
  <c r="AD76" i="2"/>
  <c r="AE76" i="2" s="1"/>
  <c r="Z76" i="2"/>
  <c r="AA76" i="2" s="1"/>
  <c r="V76" i="2"/>
  <c r="W76" i="2" s="1"/>
  <c r="S76" i="2"/>
  <c r="K76" i="2"/>
  <c r="AD75" i="2"/>
  <c r="AE75" i="2" s="1"/>
  <c r="Z75" i="2"/>
  <c r="AA75" i="2" s="1"/>
  <c r="V75" i="2"/>
  <c r="W75" i="2" s="1"/>
  <c r="S75" i="2"/>
  <c r="K75" i="2"/>
  <c r="AD74" i="2"/>
  <c r="AE74" i="2" s="1"/>
  <c r="Z74" i="2"/>
  <c r="AA74" i="2" s="1"/>
  <c r="V74" i="2"/>
  <c r="W74" i="2" s="1"/>
  <c r="S74" i="2"/>
  <c r="K74" i="2"/>
  <c r="AD73" i="2"/>
  <c r="AE73" i="2" s="1"/>
  <c r="Z73" i="2"/>
  <c r="AA73" i="2" s="1"/>
  <c r="V73" i="2"/>
  <c r="W73" i="2" s="1"/>
  <c r="S73" i="2"/>
  <c r="K73" i="2"/>
  <c r="AD72" i="2"/>
  <c r="AE72" i="2" s="1"/>
  <c r="Z72" i="2"/>
  <c r="AA72" i="2" s="1"/>
  <c r="V72" i="2"/>
  <c r="W72" i="2" s="1"/>
  <c r="S72" i="2"/>
  <c r="K72" i="2"/>
  <c r="AD71" i="2"/>
  <c r="AE71" i="2" s="1"/>
  <c r="Z71" i="2"/>
  <c r="AA71" i="2" s="1"/>
  <c r="V71" i="2"/>
  <c r="W71" i="2" s="1"/>
  <c r="S71" i="2"/>
  <c r="K71" i="2"/>
  <c r="AD70" i="2"/>
  <c r="AE70" i="2" s="1"/>
  <c r="Z70" i="2"/>
  <c r="AA70" i="2" s="1"/>
  <c r="V70" i="2"/>
  <c r="W70" i="2" s="1"/>
  <c r="S70" i="2"/>
  <c r="K70" i="2"/>
  <c r="AE67" i="2"/>
  <c r="AD67" i="2"/>
  <c r="AA67" i="2"/>
  <c r="W67" i="2"/>
  <c r="S67" i="2"/>
  <c r="O67" i="2"/>
  <c r="K67" i="2"/>
  <c r="G67" i="2"/>
  <c r="F67" i="2"/>
  <c r="Z67" i="2" s="1"/>
  <c r="E67" i="2"/>
  <c r="N79" i="2" s="1"/>
  <c r="O79" i="2" s="1"/>
  <c r="A67" i="2"/>
  <c r="AE66" i="2"/>
  <c r="AD66" i="2"/>
  <c r="AA66" i="2"/>
  <c r="W66" i="2"/>
  <c r="S66" i="2"/>
  <c r="O66" i="2"/>
  <c r="K66" i="2"/>
  <c r="G66" i="2"/>
  <c r="F66" i="2"/>
  <c r="Z66" i="2" s="1"/>
  <c r="E66" i="2"/>
  <c r="A66" i="2"/>
  <c r="AE65" i="2"/>
  <c r="AD65" i="2"/>
  <c r="AA65" i="2"/>
  <c r="W65" i="2"/>
  <c r="S65" i="2"/>
  <c r="O65" i="2"/>
  <c r="K65" i="2"/>
  <c r="G65" i="2"/>
  <c r="F65" i="2"/>
  <c r="Z65" i="2" s="1"/>
  <c r="E65" i="2"/>
  <c r="R65" i="2" s="1"/>
  <c r="A65" i="2"/>
  <c r="AE64" i="2"/>
  <c r="AD64" i="2"/>
  <c r="AA64" i="2"/>
  <c r="W64" i="2"/>
  <c r="S64" i="2"/>
  <c r="R64" i="2"/>
  <c r="O64" i="2"/>
  <c r="N64" i="2"/>
  <c r="K64" i="2"/>
  <c r="G64" i="2"/>
  <c r="F64" i="2"/>
  <c r="Z64" i="2" s="1"/>
  <c r="E64" i="2"/>
  <c r="V64" i="2" s="1"/>
  <c r="A64" i="2"/>
  <c r="AE63" i="2"/>
  <c r="AD63" i="2"/>
  <c r="AA63" i="2"/>
  <c r="Z63" i="2"/>
  <c r="W63" i="2"/>
  <c r="V63" i="2"/>
  <c r="S63" i="2"/>
  <c r="O63" i="2"/>
  <c r="K63" i="2"/>
  <c r="G63" i="2"/>
  <c r="F63" i="2"/>
  <c r="E63" i="2"/>
  <c r="J63" i="2" s="1"/>
  <c r="A63" i="2"/>
  <c r="AE62" i="2"/>
  <c r="AD62" i="2"/>
  <c r="AA62" i="2"/>
  <c r="W62" i="2"/>
  <c r="S62" i="2"/>
  <c r="O62" i="2"/>
  <c r="K62" i="2"/>
  <c r="G62" i="2"/>
  <c r="Z62" i="2"/>
  <c r="R62" i="2"/>
  <c r="A62" i="2"/>
  <c r="AE61" i="2"/>
  <c r="AD61" i="2"/>
  <c r="AA61" i="2"/>
  <c r="W61" i="2"/>
  <c r="S61" i="2"/>
  <c r="O61" i="2"/>
  <c r="K61" i="2"/>
  <c r="G61" i="2"/>
  <c r="Z61" i="2"/>
  <c r="N73" i="2"/>
  <c r="O73" i="2" s="1"/>
  <c r="A61" i="2"/>
  <c r="AE60" i="2"/>
  <c r="AD60" i="2"/>
  <c r="AA60" i="2"/>
  <c r="W60" i="2"/>
  <c r="S60" i="2"/>
  <c r="O60" i="2"/>
  <c r="K60" i="2"/>
  <c r="G60" i="2"/>
  <c r="Z60" i="2"/>
  <c r="V60" i="2"/>
  <c r="A60" i="2"/>
  <c r="AE59" i="2"/>
  <c r="AD59" i="2"/>
  <c r="AA59" i="2"/>
  <c r="W59" i="2"/>
  <c r="S59" i="2"/>
  <c r="O59" i="2"/>
  <c r="K59" i="2"/>
  <c r="G59" i="2"/>
  <c r="Z59" i="2"/>
  <c r="R59" i="2"/>
  <c r="A59" i="2"/>
  <c r="AE58" i="2"/>
  <c r="AD58" i="2"/>
  <c r="AA58" i="2"/>
  <c r="W58" i="2"/>
  <c r="S58" i="2"/>
  <c r="O58" i="2"/>
  <c r="K58" i="2"/>
  <c r="G58" i="2"/>
  <c r="V58" i="2"/>
  <c r="A58" i="2"/>
  <c r="Z52" i="2"/>
  <c r="AA52" i="2" s="1"/>
  <c r="V52" i="2"/>
  <c r="W52" i="2" s="1"/>
  <c r="S52" i="2"/>
  <c r="N52" i="2"/>
  <c r="O52" i="2" s="1"/>
  <c r="K52" i="2"/>
  <c r="Z51" i="2"/>
  <c r="AA51" i="2" s="1"/>
  <c r="V51" i="2"/>
  <c r="W51" i="2" s="1"/>
  <c r="S51" i="2"/>
  <c r="N51" i="2"/>
  <c r="O51" i="2" s="1"/>
  <c r="K51" i="2"/>
  <c r="Z50" i="2"/>
  <c r="AA50" i="2" s="1"/>
  <c r="V50" i="2"/>
  <c r="W50" i="2" s="1"/>
  <c r="S50" i="2"/>
  <c r="N50" i="2"/>
  <c r="O50" i="2" s="1"/>
  <c r="K50" i="2"/>
  <c r="Z49" i="2"/>
  <c r="AA49" i="2" s="1"/>
  <c r="V49" i="2"/>
  <c r="W49" i="2" s="1"/>
  <c r="S49" i="2"/>
  <c r="N49" i="2"/>
  <c r="O49" i="2" s="1"/>
  <c r="K49" i="2"/>
  <c r="Z48" i="2"/>
  <c r="AA48" i="2" s="1"/>
  <c r="V48" i="2"/>
  <c r="W48" i="2" s="1"/>
  <c r="S48" i="2"/>
  <c r="N48" i="2"/>
  <c r="O48" i="2" s="1"/>
  <c r="K48" i="2"/>
  <c r="Z47" i="2"/>
  <c r="AA47" i="2" s="1"/>
  <c r="V47" i="2"/>
  <c r="W47" i="2" s="1"/>
  <c r="S47" i="2"/>
  <c r="N47" i="2"/>
  <c r="O47" i="2" s="1"/>
  <c r="K47" i="2"/>
  <c r="Z46" i="2"/>
  <c r="AA46" i="2" s="1"/>
  <c r="V46" i="2"/>
  <c r="W46" i="2" s="1"/>
  <c r="S46" i="2"/>
  <c r="N46" i="2"/>
  <c r="O46" i="2" s="1"/>
  <c r="K46" i="2"/>
  <c r="Z45" i="2"/>
  <c r="AA45" i="2" s="1"/>
  <c r="V45" i="2"/>
  <c r="W45" i="2" s="1"/>
  <c r="S45" i="2"/>
  <c r="N45" i="2"/>
  <c r="O45" i="2" s="1"/>
  <c r="K45" i="2"/>
  <c r="Z44" i="2"/>
  <c r="AA44" i="2" s="1"/>
  <c r="V44" i="2"/>
  <c r="W44" i="2" s="1"/>
  <c r="S44" i="2"/>
  <c r="N44" i="2"/>
  <c r="O44" i="2" s="1"/>
  <c r="K44" i="2"/>
  <c r="Z43" i="2"/>
  <c r="AA43" i="2" s="1"/>
  <c r="V43" i="2"/>
  <c r="W43" i="2" s="1"/>
  <c r="S43" i="2"/>
  <c r="N43" i="2"/>
  <c r="O43" i="2" s="1"/>
  <c r="K43" i="2"/>
  <c r="W40" i="2"/>
  <c r="V40" i="2"/>
  <c r="O40" i="2"/>
  <c r="N40" i="2"/>
  <c r="K40" i="2"/>
  <c r="G40" i="2"/>
  <c r="S40" i="2" s="1"/>
  <c r="F40" i="2"/>
  <c r="E40" i="2"/>
  <c r="J40" i="2" s="1"/>
  <c r="A40" i="2"/>
  <c r="W39" i="2"/>
  <c r="V39" i="2"/>
  <c r="O39" i="2"/>
  <c r="N39" i="2"/>
  <c r="K39" i="2"/>
  <c r="G39" i="2"/>
  <c r="S39" i="2" s="1"/>
  <c r="F39" i="2"/>
  <c r="E39" i="2"/>
  <c r="J39" i="2" s="1"/>
  <c r="A39" i="2"/>
  <c r="W38" i="2"/>
  <c r="V38" i="2"/>
  <c r="O38" i="2"/>
  <c r="N38" i="2"/>
  <c r="K38" i="2"/>
  <c r="G38" i="2"/>
  <c r="S38" i="2" s="1"/>
  <c r="F38" i="2"/>
  <c r="E38" i="2"/>
  <c r="J38" i="2" s="1"/>
  <c r="A38" i="2"/>
  <c r="W37" i="2"/>
  <c r="V37" i="2"/>
  <c r="O37" i="2"/>
  <c r="N37" i="2"/>
  <c r="K37" i="2"/>
  <c r="G37" i="2"/>
  <c r="S37" i="2" s="1"/>
  <c r="F37" i="2"/>
  <c r="E37" i="2"/>
  <c r="J37" i="2" s="1"/>
  <c r="A37" i="2"/>
  <c r="W36" i="2"/>
  <c r="V36" i="2"/>
  <c r="O36" i="2"/>
  <c r="N36" i="2"/>
  <c r="K36" i="2"/>
  <c r="G36" i="2"/>
  <c r="S36" i="2" s="1"/>
  <c r="F36" i="2"/>
  <c r="E36" i="2"/>
  <c r="J36" i="2" s="1"/>
  <c r="A36" i="2"/>
  <c r="W35" i="2"/>
  <c r="V35" i="2"/>
  <c r="O35" i="2"/>
  <c r="N35" i="2"/>
  <c r="K35" i="2"/>
  <c r="G35" i="2"/>
  <c r="S35" i="2" s="1"/>
  <c r="F35" i="2"/>
  <c r="E35" i="2"/>
  <c r="J35" i="2" s="1"/>
  <c r="A35" i="2"/>
  <c r="W34" i="2"/>
  <c r="V34" i="2"/>
  <c r="O34" i="2"/>
  <c r="N34" i="2"/>
  <c r="K34" i="2"/>
  <c r="G34" i="2"/>
  <c r="S34" i="2" s="1"/>
  <c r="F34" i="2"/>
  <c r="E34" i="2"/>
  <c r="J34" i="2" s="1"/>
  <c r="A34" i="2"/>
  <c r="W33" i="2"/>
  <c r="V33" i="2"/>
  <c r="O33" i="2"/>
  <c r="N33" i="2"/>
  <c r="K33" i="2"/>
  <c r="G33" i="2"/>
  <c r="S33" i="2" s="1"/>
  <c r="F33" i="2"/>
  <c r="E33" i="2"/>
  <c r="J33" i="2" s="1"/>
  <c r="A33" i="2"/>
  <c r="W32" i="2"/>
  <c r="V32" i="2"/>
  <c r="O32" i="2"/>
  <c r="N32" i="2"/>
  <c r="K32" i="2"/>
  <c r="G32" i="2"/>
  <c r="S32" i="2" s="1"/>
  <c r="F32" i="2"/>
  <c r="E32" i="2"/>
  <c r="J32" i="2" s="1"/>
  <c r="A32" i="2"/>
  <c r="W31" i="2"/>
  <c r="V31" i="2"/>
  <c r="O31" i="2"/>
  <c r="N31" i="2"/>
  <c r="K31" i="2"/>
  <c r="G31" i="2"/>
  <c r="S31" i="2" s="1"/>
  <c r="F31" i="2"/>
  <c r="E31" i="2"/>
  <c r="J31" i="2" s="1"/>
  <c r="A31" i="2"/>
  <c r="U25" i="2"/>
  <c r="T25" i="2"/>
  <c r="V25" i="2" s="1"/>
  <c r="N25" i="2"/>
  <c r="M25" i="2"/>
  <c r="O25" i="2" s="1"/>
  <c r="G25" i="2"/>
  <c r="F25" i="2"/>
  <c r="H25" i="2" s="1"/>
  <c r="U24" i="2"/>
  <c r="T24" i="2"/>
  <c r="V24" i="2" s="1"/>
  <c r="N24" i="2"/>
  <c r="M24" i="2"/>
  <c r="O24" i="2" s="1"/>
  <c r="G24" i="2"/>
  <c r="F24" i="2"/>
  <c r="H24" i="2" s="1"/>
  <c r="U23" i="2"/>
  <c r="T23" i="2"/>
  <c r="V23" i="2" s="1"/>
  <c r="N23" i="2"/>
  <c r="M23" i="2"/>
  <c r="O23" i="2" s="1"/>
  <c r="G23" i="2"/>
  <c r="F23" i="2"/>
  <c r="H23" i="2" s="1"/>
  <c r="U22" i="2"/>
  <c r="T22" i="2"/>
  <c r="V22" i="2" s="1"/>
  <c r="N22" i="2"/>
  <c r="M22" i="2"/>
  <c r="O22" i="2" s="1"/>
  <c r="G22" i="2"/>
  <c r="F22" i="2"/>
  <c r="H22" i="2" s="1"/>
  <c r="U21" i="2"/>
  <c r="T21" i="2"/>
  <c r="V21" i="2" s="1"/>
  <c r="N21" i="2"/>
  <c r="M21" i="2"/>
  <c r="O21" i="2" s="1"/>
  <c r="G21" i="2"/>
  <c r="F21" i="2"/>
  <c r="H21" i="2" s="1"/>
  <c r="U20" i="2"/>
  <c r="T20" i="2"/>
  <c r="V20" i="2" s="1"/>
  <c r="N20" i="2"/>
  <c r="M20" i="2"/>
  <c r="O20" i="2" s="1"/>
  <c r="G20" i="2"/>
  <c r="F20" i="2"/>
  <c r="H20" i="2" s="1"/>
  <c r="U19" i="2"/>
  <c r="T19" i="2"/>
  <c r="V19" i="2" s="1"/>
  <c r="N19" i="2"/>
  <c r="M19" i="2"/>
  <c r="O19" i="2" s="1"/>
  <c r="G19" i="2"/>
  <c r="F19" i="2"/>
  <c r="H19" i="2" s="1"/>
  <c r="U18" i="2"/>
  <c r="T18" i="2"/>
  <c r="V18" i="2" s="1"/>
  <c r="N18" i="2"/>
  <c r="M18" i="2"/>
  <c r="O18" i="2" s="1"/>
  <c r="G18" i="2"/>
  <c r="F18" i="2"/>
  <c r="H18" i="2" s="1"/>
  <c r="U17" i="2"/>
  <c r="T17" i="2"/>
  <c r="V17" i="2" s="1"/>
  <c r="N17" i="2"/>
  <c r="M17" i="2"/>
  <c r="O17" i="2" s="1"/>
  <c r="G17" i="2"/>
  <c r="F17" i="2"/>
  <c r="H17" i="2" s="1"/>
  <c r="U16" i="2"/>
  <c r="T16" i="2"/>
  <c r="V16" i="2" s="1"/>
  <c r="N16" i="2"/>
  <c r="M16" i="2"/>
  <c r="O16" i="2" s="1"/>
  <c r="G16" i="2"/>
  <c r="F16" i="2"/>
  <c r="H16" i="2" s="1"/>
  <c r="U15" i="2"/>
  <c r="T15" i="2"/>
  <c r="V15" i="2" s="1"/>
  <c r="N15" i="2"/>
  <c r="M15" i="2"/>
  <c r="O15" i="2" s="1"/>
  <c r="G15" i="2"/>
  <c r="F15" i="2"/>
  <c r="H15" i="2" s="1"/>
  <c r="U14" i="2"/>
  <c r="T14" i="2"/>
  <c r="V14" i="2" s="1"/>
  <c r="N14" i="2"/>
  <c r="M14" i="2"/>
  <c r="O14" i="2" s="1"/>
  <c r="G14" i="2"/>
  <c r="F14" i="2"/>
  <c r="H14" i="2" s="1"/>
  <c r="U13" i="2"/>
  <c r="T13" i="2"/>
  <c r="V13" i="2" s="1"/>
  <c r="O13" i="2"/>
  <c r="N13" i="2"/>
  <c r="M13" i="2"/>
  <c r="G13" i="2"/>
  <c r="F13" i="2"/>
  <c r="H13" i="2" s="1"/>
  <c r="U12" i="2"/>
  <c r="T12" i="2"/>
  <c r="V12" i="2" s="1"/>
  <c r="N12" i="2"/>
  <c r="M12" i="2"/>
  <c r="O12" i="2" s="1"/>
  <c r="G12" i="2"/>
  <c r="F12" i="2"/>
  <c r="H12" i="2" s="1"/>
  <c r="U11" i="2"/>
  <c r="T11" i="2"/>
  <c r="V11" i="2" s="1"/>
  <c r="N11" i="2"/>
  <c r="M11" i="2"/>
  <c r="O11" i="2" s="1"/>
  <c r="G11" i="2"/>
  <c r="F11" i="2"/>
  <c r="H11" i="2" s="1"/>
  <c r="U10" i="2"/>
  <c r="T10" i="2"/>
  <c r="V10" i="2" s="1"/>
  <c r="N10" i="2"/>
  <c r="M10" i="2"/>
  <c r="O10" i="2" s="1"/>
  <c r="G10" i="2"/>
  <c r="F10" i="2"/>
  <c r="H10" i="2" s="1"/>
  <c r="U9" i="2"/>
  <c r="T9" i="2"/>
  <c r="V9" i="2" s="1"/>
  <c r="N9" i="2"/>
  <c r="M9" i="2"/>
  <c r="O9" i="2" s="1"/>
  <c r="G9" i="2"/>
  <c r="F9" i="2"/>
  <c r="H9" i="2" s="1"/>
  <c r="U8" i="2"/>
  <c r="T8" i="2"/>
  <c r="V8" i="2" s="1"/>
  <c r="N8" i="2"/>
  <c r="M8" i="2"/>
  <c r="O8" i="2" s="1"/>
  <c r="G8" i="2"/>
  <c r="F8" i="2"/>
  <c r="H8" i="2" s="1"/>
  <c r="U7" i="2"/>
  <c r="T7" i="2"/>
  <c r="V7" i="2" s="1"/>
  <c r="N7" i="2"/>
  <c r="M7" i="2"/>
  <c r="O7" i="2" s="1"/>
  <c r="G7" i="2"/>
  <c r="F7" i="2"/>
  <c r="H7" i="2" s="1"/>
  <c r="U6" i="2"/>
  <c r="T6" i="2"/>
  <c r="V6" i="2" s="1"/>
  <c r="N6" i="2"/>
  <c r="M6" i="2"/>
  <c r="O6" i="2" s="1"/>
  <c r="G6" i="2"/>
  <c r="F6" i="2"/>
  <c r="H6" i="2" s="1"/>
  <c r="W161" i="1"/>
  <c r="S160" i="1"/>
  <c r="R160" i="1"/>
  <c r="O160" i="1"/>
  <c r="R159" i="1"/>
  <c r="S159" i="1" s="1"/>
  <c r="O159" i="1"/>
  <c r="J159" i="1"/>
  <c r="K159" i="1" s="1"/>
  <c r="R158" i="1"/>
  <c r="S158" i="1" s="1"/>
  <c r="O158" i="1"/>
  <c r="S157" i="1"/>
  <c r="R157" i="1"/>
  <c r="O157" i="1"/>
  <c r="R156" i="1"/>
  <c r="S156" i="1" s="1"/>
  <c r="O156" i="1"/>
  <c r="S155" i="1"/>
  <c r="R155" i="1"/>
  <c r="O155" i="1"/>
  <c r="R154" i="1"/>
  <c r="S154" i="1" s="1"/>
  <c r="O154" i="1"/>
  <c r="K154" i="1"/>
  <c r="J154" i="1"/>
  <c r="S153" i="1"/>
  <c r="R153" i="1"/>
  <c r="O153" i="1"/>
  <c r="R152" i="1"/>
  <c r="S152" i="1" s="1"/>
  <c r="O152" i="1"/>
  <c r="S151" i="1"/>
  <c r="R151" i="1"/>
  <c r="O151" i="1"/>
  <c r="AA148" i="1"/>
  <c r="Z148" i="1"/>
  <c r="W148" i="1"/>
  <c r="S148" i="1"/>
  <c r="R148" i="1"/>
  <c r="O148" i="1"/>
  <c r="N148" i="1"/>
  <c r="K148" i="1"/>
  <c r="J148" i="1"/>
  <c r="G148" i="1"/>
  <c r="F148" i="1"/>
  <c r="E148" i="1"/>
  <c r="J160" i="1" s="1"/>
  <c r="K160" i="1" s="1"/>
  <c r="A148" i="1"/>
  <c r="AA147" i="1"/>
  <c r="W147" i="1"/>
  <c r="V147" i="1"/>
  <c r="S147" i="1"/>
  <c r="R147" i="1"/>
  <c r="O147" i="1"/>
  <c r="N147" i="1"/>
  <c r="K147" i="1"/>
  <c r="J147" i="1"/>
  <c r="G147" i="1"/>
  <c r="F147" i="1"/>
  <c r="Z147" i="1" s="1"/>
  <c r="E147" i="1"/>
  <c r="A147" i="1"/>
  <c r="AA146" i="1"/>
  <c r="Z146" i="1"/>
  <c r="W146" i="1"/>
  <c r="V146" i="1"/>
  <c r="S146" i="1"/>
  <c r="O146" i="1"/>
  <c r="K146" i="1"/>
  <c r="G146" i="1"/>
  <c r="F146" i="1"/>
  <c r="E146" i="1"/>
  <c r="J158" i="1" s="1"/>
  <c r="K158" i="1" s="1"/>
  <c r="A146" i="1"/>
  <c r="AA145" i="1"/>
  <c r="Z145" i="1"/>
  <c r="W145" i="1"/>
  <c r="S145" i="1"/>
  <c r="O145" i="1"/>
  <c r="K145" i="1"/>
  <c r="G145" i="1"/>
  <c r="F145" i="1"/>
  <c r="E145" i="1"/>
  <c r="N145" i="1" s="1"/>
  <c r="A145" i="1"/>
  <c r="AA144" i="1"/>
  <c r="W144" i="1"/>
  <c r="S144" i="1"/>
  <c r="O144" i="1"/>
  <c r="K144" i="1"/>
  <c r="J144" i="1"/>
  <c r="G144" i="1"/>
  <c r="F144" i="1"/>
  <c r="Z144" i="1" s="1"/>
  <c r="E144" i="1"/>
  <c r="R144" i="1" s="1"/>
  <c r="A144" i="1"/>
  <c r="AA143" i="1"/>
  <c r="W143" i="1"/>
  <c r="V143" i="1"/>
  <c r="S143" i="1"/>
  <c r="O143" i="1"/>
  <c r="N143" i="1"/>
  <c r="K143" i="1"/>
  <c r="J143" i="1"/>
  <c r="G143" i="1"/>
  <c r="F143" i="1"/>
  <c r="Z143" i="1" s="1"/>
  <c r="E143" i="1"/>
  <c r="J155" i="1" s="1"/>
  <c r="K155" i="1" s="1"/>
  <c r="A143" i="1"/>
  <c r="AA142" i="1"/>
  <c r="Z142" i="1"/>
  <c r="W142" i="1"/>
  <c r="S142" i="1"/>
  <c r="R142" i="1"/>
  <c r="O142" i="1"/>
  <c r="N142" i="1"/>
  <c r="K142" i="1"/>
  <c r="J142" i="1"/>
  <c r="G142" i="1"/>
  <c r="F142" i="1"/>
  <c r="E142" i="1"/>
  <c r="V142" i="1" s="1"/>
  <c r="A142" i="1"/>
  <c r="AA141" i="1"/>
  <c r="W141" i="1"/>
  <c r="V141" i="1"/>
  <c r="S141" i="1"/>
  <c r="R141" i="1"/>
  <c r="O141" i="1"/>
  <c r="N141" i="1"/>
  <c r="K141" i="1"/>
  <c r="J141" i="1"/>
  <c r="G141" i="1"/>
  <c r="F141" i="1"/>
  <c r="J153" i="1" s="1"/>
  <c r="K153" i="1" s="1"/>
  <c r="E141" i="1"/>
  <c r="A141" i="1"/>
  <c r="AA140" i="1"/>
  <c r="W140" i="1"/>
  <c r="S140" i="1"/>
  <c r="O140" i="1"/>
  <c r="K140" i="1"/>
  <c r="G140" i="1"/>
  <c r="AE140" i="1" s="1"/>
  <c r="F140" i="1"/>
  <c r="AD140" i="1" s="1"/>
  <c r="E140" i="1"/>
  <c r="J140" i="1" s="1"/>
  <c r="A140" i="1"/>
  <c r="AA139" i="1"/>
  <c r="W139" i="1"/>
  <c r="S139" i="1"/>
  <c r="O139" i="1"/>
  <c r="K139" i="1"/>
  <c r="G139" i="1"/>
  <c r="AE139" i="1" s="1"/>
  <c r="F139" i="1"/>
  <c r="AD139" i="1" s="1"/>
  <c r="E139" i="1"/>
  <c r="N139" i="1" s="1"/>
  <c r="A139" i="1"/>
  <c r="V133" i="1"/>
  <c r="W133" i="1" s="1"/>
  <c r="R133" i="1"/>
  <c r="S133" i="1" s="1"/>
  <c r="O133" i="1"/>
  <c r="J133" i="1"/>
  <c r="K133" i="1" s="1"/>
  <c r="V132" i="1"/>
  <c r="W132" i="1" s="1"/>
  <c r="S132" i="1"/>
  <c r="R132" i="1"/>
  <c r="O132" i="1"/>
  <c r="J132" i="1"/>
  <c r="K132" i="1" s="1"/>
  <c r="V131" i="1"/>
  <c r="W131" i="1" s="1"/>
  <c r="R131" i="1"/>
  <c r="S131" i="1" s="1"/>
  <c r="O131" i="1"/>
  <c r="J131" i="1"/>
  <c r="K131" i="1" s="1"/>
  <c r="V130" i="1"/>
  <c r="W130" i="1" s="1"/>
  <c r="R130" i="1"/>
  <c r="S130" i="1" s="1"/>
  <c r="O130" i="1"/>
  <c r="J130" i="1"/>
  <c r="K130" i="1" s="1"/>
  <c r="V129" i="1"/>
  <c r="W129" i="1" s="1"/>
  <c r="R129" i="1"/>
  <c r="S129" i="1" s="1"/>
  <c r="O129" i="1"/>
  <c r="J129" i="1"/>
  <c r="K129" i="1" s="1"/>
  <c r="V128" i="1"/>
  <c r="W128" i="1" s="1"/>
  <c r="R128" i="1"/>
  <c r="S128" i="1" s="1"/>
  <c r="O128" i="1"/>
  <c r="J128" i="1"/>
  <c r="K128" i="1" s="1"/>
  <c r="V127" i="1"/>
  <c r="W127" i="1" s="1"/>
  <c r="R127" i="1"/>
  <c r="S127" i="1" s="1"/>
  <c r="O127" i="1"/>
  <c r="J127" i="1"/>
  <c r="K127" i="1" s="1"/>
  <c r="V126" i="1"/>
  <c r="W126" i="1" s="1"/>
  <c r="R126" i="1"/>
  <c r="S126" i="1" s="1"/>
  <c r="O126" i="1"/>
  <c r="J126" i="1"/>
  <c r="K126" i="1" s="1"/>
  <c r="V125" i="1"/>
  <c r="W125" i="1" s="1"/>
  <c r="R125" i="1"/>
  <c r="S125" i="1" s="1"/>
  <c r="O125" i="1"/>
  <c r="J125" i="1"/>
  <c r="K125" i="1" s="1"/>
  <c r="V124" i="1"/>
  <c r="W124" i="1" s="1"/>
  <c r="R124" i="1"/>
  <c r="S124" i="1" s="1"/>
  <c r="O124" i="1"/>
  <c r="J124" i="1"/>
  <c r="K124" i="1" s="1"/>
  <c r="W121" i="1"/>
  <c r="S121" i="1"/>
  <c r="O121" i="1"/>
  <c r="K121" i="1"/>
  <c r="G121" i="1"/>
  <c r="F121" i="1"/>
  <c r="N121" i="1" s="1"/>
  <c r="E121" i="1"/>
  <c r="R121" i="1" s="1"/>
  <c r="A121" i="1"/>
  <c r="W120" i="1"/>
  <c r="S120" i="1"/>
  <c r="O120" i="1"/>
  <c r="K120" i="1"/>
  <c r="J120" i="1"/>
  <c r="G120" i="1"/>
  <c r="F120" i="1"/>
  <c r="N120" i="1" s="1"/>
  <c r="E120" i="1"/>
  <c r="R120" i="1" s="1"/>
  <c r="A120" i="1"/>
  <c r="W119" i="1"/>
  <c r="S119" i="1"/>
  <c r="O119" i="1"/>
  <c r="K119" i="1"/>
  <c r="G119" i="1"/>
  <c r="F119" i="1"/>
  <c r="N119" i="1" s="1"/>
  <c r="E119" i="1"/>
  <c r="R119" i="1" s="1"/>
  <c r="A119" i="1"/>
  <c r="W118" i="1"/>
  <c r="S118" i="1"/>
  <c r="O118" i="1"/>
  <c r="K118" i="1"/>
  <c r="G118" i="1"/>
  <c r="F118" i="1"/>
  <c r="N118" i="1" s="1"/>
  <c r="E118" i="1"/>
  <c r="R118" i="1" s="1"/>
  <c r="A118" i="1"/>
  <c r="W117" i="1"/>
  <c r="S117" i="1"/>
  <c r="O117" i="1"/>
  <c r="K117" i="1"/>
  <c r="G117" i="1"/>
  <c r="F117" i="1"/>
  <c r="N117" i="1" s="1"/>
  <c r="E117" i="1"/>
  <c r="R117" i="1" s="1"/>
  <c r="A117" i="1"/>
  <c r="W116" i="1"/>
  <c r="S116" i="1"/>
  <c r="O116" i="1"/>
  <c r="K116" i="1"/>
  <c r="G116" i="1"/>
  <c r="F116" i="1"/>
  <c r="N116" i="1" s="1"/>
  <c r="E116" i="1"/>
  <c r="R116" i="1" s="1"/>
  <c r="A116" i="1"/>
  <c r="W115" i="1"/>
  <c r="S115" i="1"/>
  <c r="O115" i="1"/>
  <c r="K115" i="1"/>
  <c r="G115" i="1"/>
  <c r="F115" i="1"/>
  <c r="N115" i="1" s="1"/>
  <c r="E115" i="1"/>
  <c r="R115" i="1" s="1"/>
  <c r="A115" i="1"/>
  <c r="W114" i="1"/>
  <c r="S114" i="1"/>
  <c r="O114" i="1"/>
  <c r="K114" i="1"/>
  <c r="G114" i="1"/>
  <c r="F114" i="1"/>
  <c r="N114" i="1" s="1"/>
  <c r="E114" i="1"/>
  <c r="R114" i="1" s="1"/>
  <c r="A114" i="1"/>
  <c r="W113" i="1"/>
  <c r="S113" i="1"/>
  <c r="O113" i="1"/>
  <c r="K113" i="1"/>
  <c r="G113" i="1"/>
  <c r="F113" i="1"/>
  <c r="N113" i="1" s="1"/>
  <c r="E113" i="1"/>
  <c r="R113" i="1" s="1"/>
  <c r="A113" i="1"/>
  <c r="W112" i="1"/>
  <c r="S112" i="1"/>
  <c r="O112" i="1"/>
  <c r="K112" i="1"/>
  <c r="G112" i="1"/>
  <c r="F112" i="1"/>
  <c r="N112" i="1" s="1"/>
  <c r="E112" i="1"/>
  <c r="R112" i="1" s="1"/>
  <c r="A112" i="1"/>
  <c r="W107" i="1"/>
  <c r="R106" i="1"/>
  <c r="S106" i="1" s="1"/>
  <c r="O106" i="1"/>
  <c r="J106" i="1"/>
  <c r="K106" i="1" s="1"/>
  <c r="R105" i="1"/>
  <c r="S105" i="1" s="1"/>
  <c r="O105" i="1"/>
  <c r="J105" i="1"/>
  <c r="K105" i="1" s="1"/>
  <c r="R104" i="1"/>
  <c r="S104" i="1" s="1"/>
  <c r="O104" i="1"/>
  <c r="J104" i="1"/>
  <c r="K104" i="1" s="1"/>
  <c r="R103" i="1"/>
  <c r="S103" i="1" s="1"/>
  <c r="O103" i="1"/>
  <c r="J103" i="1"/>
  <c r="K103" i="1" s="1"/>
  <c r="S102" i="1"/>
  <c r="R102" i="1"/>
  <c r="O102" i="1"/>
  <c r="J102" i="1"/>
  <c r="K102" i="1" s="1"/>
  <c r="R101" i="1"/>
  <c r="S101" i="1" s="1"/>
  <c r="O101" i="1"/>
  <c r="J101" i="1"/>
  <c r="K101" i="1" s="1"/>
  <c r="R100" i="1"/>
  <c r="S100" i="1" s="1"/>
  <c r="O100" i="1"/>
  <c r="J100" i="1"/>
  <c r="K100" i="1" s="1"/>
  <c r="R99" i="1"/>
  <c r="S99" i="1" s="1"/>
  <c r="O99" i="1"/>
  <c r="J99" i="1"/>
  <c r="K99" i="1" s="1"/>
  <c r="R98" i="1"/>
  <c r="S98" i="1" s="1"/>
  <c r="O98" i="1"/>
  <c r="J98" i="1"/>
  <c r="K98" i="1" s="1"/>
  <c r="R97" i="1"/>
  <c r="S97" i="1" s="1"/>
  <c r="O97" i="1"/>
  <c r="J97" i="1"/>
  <c r="K97" i="1" s="1"/>
  <c r="O94" i="1"/>
  <c r="N94" i="1"/>
  <c r="K94" i="1"/>
  <c r="G94" i="1"/>
  <c r="F94" i="1"/>
  <c r="E94" i="1"/>
  <c r="J94" i="1" s="1"/>
  <c r="A94" i="1"/>
  <c r="O93" i="1"/>
  <c r="N93" i="1"/>
  <c r="K93" i="1"/>
  <c r="G93" i="1"/>
  <c r="F93" i="1"/>
  <c r="E93" i="1"/>
  <c r="J93" i="1" s="1"/>
  <c r="A93" i="1"/>
  <c r="O92" i="1"/>
  <c r="N92" i="1"/>
  <c r="K92" i="1"/>
  <c r="G92" i="1"/>
  <c r="F92" i="1"/>
  <c r="E92" i="1"/>
  <c r="J92" i="1" s="1"/>
  <c r="A92" i="1"/>
  <c r="O91" i="1"/>
  <c r="N91" i="1"/>
  <c r="K91" i="1"/>
  <c r="G91" i="1"/>
  <c r="F91" i="1"/>
  <c r="E91" i="1"/>
  <c r="J91" i="1" s="1"/>
  <c r="A91" i="1"/>
  <c r="O90" i="1"/>
  <c r="N90" i="1"/>
  <c r="K90" i="1"/>
  <c r="G90" i="1"/>
  <c r="F90" i="1"/>
  <c r="E90" i="1"/>
  <c r="J90" i="1" s="1"/>
  <c r="A90" i="1"/>
  <c r="O89" i="1"/>
  <c r="N89" i="1"/>
  <c r="K89" i="1"/>
  <c r="G89" i="1"/>
  <c r="F89" i="1"/>
  <c r="E89" i="1"/>
  <c r="J89" i="1" s="1"/>
  <c r="A89" i="1"/>
  <c r="O88" i="1"/>
  <c r="N88" i="1"/>
  <c r="K88" i="1"/>
  <c r="G88" i="1"/>
  <c r="F88" i="1"/>
  <c r="E88" i="1"/>
  <c r="J88" i="1" s="1"/>
  <c r="A88" i="1"/>
  <c r="O87" i="1"/>
  <c r="N87" i="1"/>
  <c r="K87" i="1"/>
  <c r="G87" i="1"/>
  <c r="F87" i="1"/>
  <c r="E87" i="1"/>
  <c r="J87" i="1" s="1"/>
  <c r="A87" i="1"/>
  <c r="O86" i="1"/>
  <c r="N86" i="1"/>
  <c r="K86" i="1"/>
  <c r="G86" i="1"/>
  <c r="F86" i="1"/>
  <c r="E86" i="1"/>
  <c r="J86" i="1" s="1"/>
  <c r="A86" i="1"/>
  <c r="O85" i="1"/>
  <c r="N85" i="1"/>
  <c r="K85" i="1"/>
  <c r="G85" i="1"/>
  <c r="F85" i="1"/>
  <c r="E85" i="1"/>
  <c r="J85" i="1" s="1"/>
  <c r="A85" i="1"/>
  <c r="V79" i="1"/>
  <c r="W79" i="1" s="1"/>
  <c r="R79" i="1"/>
  <c r="S79" i="1" s="1"/>
  <c r="O79" i="1"/>
  <c r="K79" i="1"/>
  <c r="J79" i="1"/>
  <c r="V78" i="1"/>
  <c r="W78" i="1" s="1"/>
  <c r="S78" i="1"/>
  <c r="R78" i="1"/>
  <c r="O78" i="1"/>
  <c r="J78" i="1"/>
  <c r="K78" i="1" s="1"/>
  <c r="V77" i="1"/>
  <c r="W77" i="1" s="1"/>
  <c r="R77" i="1"/>
  <c r="S77" i="1" s="1"/>
  <c r="O77" i="1"/>
  <c r="J77" i="1"/>
  <c r="K77" i="1" s="1"/>
  <c r="W76" i="1"/>
  <c r="V76" i="1"/>
  <c r="R76" i="1"/>
  <c r="S76" i="1" s="1"/>
  <c r="O76" i="1"/>
  <c r="J76" i="1"/>
  <c r="K76" i="1" s="1"/>
  <c r="V75" i="1"/>
  <c r="W75" i="1" s="1"/>
  <c r="S75" i="1"/>
  <c r="R75" i="1"/>
  <c r="O75" i="1"/>
  <c r="K75" i="1"/>
  <c r="J75" i="1"/>
  <c r="V74" i="1"/>
  <c r="W74" i="1" s="1"/>
  <c r="R74" i="1"/>
  <c r="S74" i="1" s="1"/>
  <c r="O74" i="1"/>
  <c r="J74" i="1"/>
  <c r="K74" i="1" s="1"/>
  <c r="V73" i="1"/>
  <c r="W73" i="1" s="1"/>
  <c r="R73" i="1"/>
  <c r="S73" i="1" s="1"/>
  <c r="O73" i="1"/>
  <c r="J73" i="1"/>
  <c r="K73" i="1" s="1"/>
  <c r="V72" i="1"/>
  <c r="W72" i="1" s="1"/>
  <c r="R72" i="1"/>
  <c r="S72" i="1" s="1"/>
  <c r="O72" i="1"/>
  <c r="K72" i="1"/>
  <c r="J72" i="1"/>
  <c r="V71" i="1"/>
  <c r="W71" i="1" s="1"/>
  <c r="R71" i="1"/>
  <c r="S71" i="1" s="1"/>
  <c r="O71" i="1"/>
  <c r="J71" i="1"/>
  <c r="K71" i="1" s="1"/>
  <c r="V70" i="1"/>
  <c r="W70" i="1" s="1"/>
  <c r="R70" i="1"/>
  <c r="S70" i="1" s="1"/>
  <c r="O70" i="1"/>
  <c r="J70" i="1"/>
  <c r="K70" i="1" s="1"/>
  <c r="O67" i="1"/>
  <c r="N67" i="1"/>
  <c r="K67" i="1"/>
  <c r="G67" i="1"/>
  <c r="F67" i="1"/>
  <c r="E67" i="1"/>
  <c r="A67" i="1"/>
  <c r="O66" i="1"/>
  <c r="N66" i="1"/>
  <c r="K66" i="1"/>
  <c r="G66" i="1"/>
  <c r="F66" i="1"/>
  <c r="E66" i="1"/>
  <c r="A66" i="1"/>
  <c r="O65" i="1"/>
  <c r="N65" i="1"/>
  <c r="K65" i="1"/>
  <c r="G65" i="1"/>
  <c r="F65" i="1"/>
  <c r="E65" i="1"/>
  <c r="A65" i="1"/>
  <c r="O64" i="1"/>
  <c r="N64" i="1"/>
  <c r="K64" i="1"/>
  <c r="G64" i="1"/>
  <c r="F64" i="1"/>
  <c r="E64" i="1"/>
  <c r="A64" i="1"/>
  <c r="O63" i="1"/>
  <c r="N63" i="1"/>
  <c r="K63" i="1"/>
  <c r="G63" i="1"/>
  <c r="F63" i="1"/>
  <c r="E63" i="1"/>
  <c r="A63" i="1"/>
  <c r="O62" i="1"/>
  <c r="N62" i="1"/>
  <c r="K62" i="1"/>
  <c r="G62" i="1"/>
  <c r="F62" i="1"/>
  <c r="E62" i="1"/>
  <c r="J62" i="1" s="1"/>
  <c r="A62" i="1"/>
  <c r="O61" i="1"/>
  <c r="N61" i="1"/>
  <c r="K61" i="1"/>
  <c r="G61" i="1"/>
  <c r="F61" i="1"/>
  <c r="E61" i="1"/>
  <c r="J61" i="1" s="1"/>
  <c r="A61" i="1"/>
  <c r="O60" i="1"/>
  <c r="N60" i="1"/>
  <c r="K60" i="1"/>
  <c r="G60" i="1"/>
  <c r="F60" i="1"/>
  <c r="E60" i="1"/>
  <c r="J60" i="1" s="1"/>
  <c r="A60" i="1"/>
  <c r="O59" i="1"/>
  <c r="N59" i="1"/>
  <c r="K59" i="1"/>
  <c r="G59" i="1"/>
  <c r="F59" i="1"/>
  <c r="E59" i="1"/>
  <c r="J59" i="1" s="1"/>
  <c r="A59" i="1"/>
  <c r="O58" i="1"/>
  <c r="N58" i="1"/>
  <c r="K58" i="1"/>
  <c r="G58" i="1"/>
  <c r="F58" i="1"/>
  <c r="E58" i="1"/>
  <c r="J58" i="1" s="1"/>
  <c r="A58" i="1"/>
  <c r="V52" i="1"/>
  <c r="W52" i="1" s="1"/>
  <c r="R52" i="1"/>
  <c r="S52" i="1" s="1"/>
  <c r="O52" i="1"/>
  <c r="K52" i="1"/>
  <c r="J52" i="1"/>
  <c r="W51" i="1"/>
  <c r="V51" i="1"/>
  <c r="R51" i="1"/>
  <c r="S51" i="1" s="1"/>
  <c r="O51" i="1"/>
  <c r="J51" i="1"/>
  <c r="K51" i="1" s="1"/>
  <c r="V50" i="1"/>
  <c r="W50" i="1" s="1"/>
  <c r="R50" i="1"/>
  <c r="S50" i="1" s="1"/>
  <c r="O50" i="1"/>
  <c r="K50" i="1"/>
  <c r="J50" i="1"/>
  <c r="V49" i="1"/>
  <c r="W49" i="1" s="1"/>
  <c r="R49" i="1"/>
  <c r="S49" i="1" s="1"/>
  <c r="O49" i="1"/>
  <c r="J49" i="1"/>
  <c r="K49" i="1" s="1"/>
  <c r="V48" i="1"/>
  <c r="W48" i="1" s="1"/>
  <c r="R48" i="1"/>
  <c r="S48" i="1" s="1"/>
  <c r="O48" i="1"/>
  <c r="J48" i="1"/>
  <c r="K48" i="1" s="1"/>
  <c r="V47" i="1"/>
  <c r="W47" i="1" s="1"/>
  <c r="R47" i="1"/>
  <c r="S47" i="1" s="1"/>
  <c r="O47" i="1"/>
  <c r="J47" i="1"/>
  <c r="K47" i="1" s="1"/>
  <c r="V46" i="1"/>
  <c r="W46" i="1" s="1"/>
  <c r="R46" i="1"/>
  <c r="S46" i="1" s="1"/>
  <c r="O46" i="1"/>
  <c r="J46" i="1"/>
  <c r="K46" i="1" s="1"/>
  <c r="V45" i="1"/>
  <c r="W45" i="1" s="1"/>
  <c r="R45" i="1"/>
  <c r="S45" i="1" s="1"/>
  <c r="O45" i="1"/>
  <c r="J45" i="1"/>
  <c r="K45" i="1" s="1"/>
  <c r="V44" i="1"/>
  <c r="W44" i="1" s="1"/>
  <c r="R44" i="1"/>
  <c r="S44" i="1" s="1"/>
  <c r="O44" i="1"/>
  <c r="J44" i="1"/>
  <c r="K44" i="1" s="1"/>
  <c r="V43" i="1"/>
  <c r="W43" i="1" s="1"/>
  <c r="R43" i="1"/>
  <c r="S43" i="1" s="1"/>
  <c r="O43" i="1"/>
  <c r="J43" i="1"/>
  <c r="K43" i="1" s="1"/>
  <c r="O40" i="1"/>
  <c r="N40" i="1"/>
  <c r="K40" i="1"/>
  <c r="G40" i="1"/>
  <c r="F40" i="1"/>
  <c r="E40" i="1"/>
  <c r="A40" i="1"/>
  <c r="O39" i="1"/>
  <c r="N39" i="1"/>
  <c r="K39" i="1"/>
  <c r="G39" i="1"/>
  <c r="F39" i="1"/>
  <c r="E39" i="1"/>
  <c r="A39" i="1"/>
  <c r="O38" i="1"/>
  <c r="N38" i="1"/>
  <c r="K38" i="1"/>
  <c r="G38" i="1"/>
  <c r="F38" i="1"/>
  <c r="E38" i="1"/>
  <c r="A38" i="1"/>
  <c r="O37" i="1"/>
  <c r="N37" i="1"/>
  <c r="K37" i="1"/>
  <c r="G37" i="1"/>
  <c r="F37" i="1"/>
  <c r="E37" i="1"/>
  <c r="A37" i="1"/>
  <c r="O36" i="1"/>
  <c r="N36" i="1"/>
  <c r="K36" i="1"/>
  <c r="G36" i="1"/>
  <c r="F36" i="1"/>
  <c r="E36" i="1"/>
  <c r="J36" i="1" s="1"/>
  <c r="A36" i="1"/>
  <c r="O35" i="1"/>
  <c r="N35" i="1"/>
  <c r="K35" i="1"/>
  <c r="G35" i="1"/>
  <c r="F35" i="1"/>
  <c r="E35" i="1"/>
  <c r="J35" i="1" s="1"/>
  <c r="A35" i="1"/>
  <c r="O34" i="1"/>
  <c r="N34" i="1"/>
  <c r="K34" i="1"/>
  <c r="G34" i="1"/>
  <c r="F34" i="1"/>
  <c r="E34" i="1"/>
  <c r="J34" i="1" s="1"/>
  <c r="A34" i="1"/>
  <c r="O33" i="1"/>
  <c r="N33" i="1"/>
  <c r="K33" i="1"/>
  <c r="G33" i="1"/>
  <c r="F33" i="1"/>
  <c r="E33" i="1"/>
  <c r="J33" i="1" s="1"/>
  <c r="A33" i="1"/>
  <c r="O32" i="1"/>
  <c r="N32" i="1"/>
  <c r="K32" i="1"/>
  <c r="G32" i="1"/>
  <c r="F32" i="1"/>
  <c r="E32" i="1"/>
  <c r="J32" i="1" s="1"/>
  <c r="A32" i="1"/>
  <c r="O31" i="1"/>
  <c r="N31" i="1"/>
  <c r="K31" i="1"/>
  <c r="G31" i="1"/>
  <c r="F31" i="1"/>
  <c r="E31" i="1"/>
  <c r="J31" i="1" s="1"/>
  <c r="A31" i="1"/>
  <c r="V25" i="1"/>
  <c r="U25" i="1"/>
  <c r="T25" i="1"/>
  <c r="N25" i="1"/>
  <c r="M25" i="1"/>
  <c r="O25" i="1" s="1"/>
  <c r="G25" i="1"/>
  <c r="F25" i="1"/>
  <c r="H25" i="1" s="1"/>
  <c r="U24" i="1"/>
  <c r="T24" i="1"/>
  <c r="V24" i="1" s="1"/>
  <c r="O24" i="1"/>
  <c r="N24" i="1"/>
  <c r="M24" i="1"/>
  <c r="G24" i="1"/>
  <c r="F24" i="1"/>
  <c r="H24" i="1" s="1"/>
  <c r="U23" i="1"/>
  <c r="T23" i="1"/>
  <c r="V23" i="1" s="1"/>
  <c r="N23" i="1"/>
  <c r="M23" i="1"/>
  <c r="O23" i="1" s="1"/>
  <c r="H23" i="1"/>
  <c r="G23" i="1"/>
  <c r="F23" i="1"/>
  <c r="U22" i="1"/>
  <c r="T22" i="1"/>
  <c r="V22" i="1" s="1"/>
  <c r="N22" i="1"/>
  <c r="M22" i="1"/>
  <c r="O22" i="1" s="1"/>
  <c r="G22" i="1"/>
  <c r="F22" i="1"/>
  <c r="H22" i="1" s="1"/>
  <c r="V21" i="1"/>
  <c r="U21" i="1"/>
  <c r="T21" i="1"/>
  <c r="N21" i="1"/>
  <c r="M21" i="1"/>
  <c r="O21" i="1" s="1"/>
  <c r="G21" i="1"/>
  <c r="F21" i="1"/>
  <c r="H21" i="1" s="1"/>
  <c r="U20" i="1"/>
  <c r="T20" i="1"/>
  <c r="V20" i="1" s="1"/>
  <c r="O20" i="1"/>
  <c r="N20" i="1"/>
  <c r="M20" i="1"/>
  <c r="G20" i="1"/>
  <c r="F20" i="1"/>
  <c r="H20" i="1" s="1"/>
  <c r="U19" i="1"/>
  <c r="T19" i="1"/>
  <c r="V19" i="1" s="1"/>
  <c r="N19" i="1"/>
  <c r="M19" i="1"/>
  <c r="O19" i="1" s="1"/>
  <c r="H19" i="1"/>
  <c r="G19" i="1"/>
  <c r="F19" i="1"/>
  <c r="U18" i="1"/>
  <c r="T18" i="1"/>
  <c r="V18" i="1" s="1"/>
  <c r="N18" i="1"/>
  <c r="M18" i="1"/>
  <c r="O18" i="1" s="1"/>
  <c r="G18" i="1"/>
  <c r="F18" i="1"/>
  <c r="H18" i="1" s="1"/>
  <c r="V17" i="1"/>
  <c r="U17" i="1"/>
  <c r="T17" i="1"/>
  <c r="N17" i="1"/>
  <c r="M17" i="1"/>
  <c r="O17" i="1" s="1"/>
  <c r="G17" i="1"/>
  <c r="F17" i="1"/>
  <c r="H17" i="1" s="1"/>
  <c r="U16" i="1"/>
  <c r="T16" i="1"/>
  <c r="V16" i="1" s="1"/>
  <c r="O16" i="1"/>
  <c r="N16" i="1"/>
  <c r="M16" i="1"/>
  <c r="G16" i="1"/>
  <c r="F16" i="1"/>
  <c r="H16" i="1" s="1"/>
  <c r="U15" i="1"/>
  <c r="T15" i="1"/>
  <c r="V15" i="1" s="1"/>
  <c r="N15" i="1"/>
  <c r="M15" i="1"/>
  <c r="O15" i="1" s="1"/>
  <c r="H15" i="1"/>
  <c r="G15" i="1"/>
  <c r="F15" i="1"/>
  <c r="U14" i="1"/>
  <c r="T14" i="1"/>
  <c r="V14" i="1" s="1"/>
  <c r="N14" i="1"/>
  <c r="M14" i="1"/>
  <c r="O14" i="1" s="1"/>
  <c r="G14" i="1"/>
  <c r="F14" i="1"/>
  <c r="H14" i="1" s="1"/>
  <c r="V13" i="1"/>
  <c r="U13" i="1"/>
  <c r="T13" i="1"/>
  <c r="N13" i="1"/>
  <c r="M13" i="1"/>
  <c r="O13" i="1" s="1"/>
  <c r="G13" i="1"/>
  <c r="F13" i="1"/>
  <c r="H13" i="1" s="1"/>
  <c r="U12" i="1"/>
  <c r="T12" i="1"/>
  <c r="V12" i="1" s="1"/>
  <c r="O12" i="1"/>
  <c r="N12" i="1"/>
  <c r="M12" i="1"/>
  <c r="G12" i="1"/>
  <c r="F12" i="1"/>
  <c r="H12" i="1" s="1"/>
  <c r="U11" i="1"/>
  <c r="T11" i="1"/>
  <c r="V11" i="1" s="1"/>
  <c r="N11" i="1"/>
  <c r="M11" i="1"/>
  <c r="O11" i="1" s="1"/>
  <c r="H11" i="1"/>
  <c r="G11" i="1"/>
  <c r="F11" i="1"/>
  <c r="U10" i="1"/>
  <c r="T10" i="1"/>
  <c r="V10" i="1" s="1"/>
  <c r="N10" i="1"/>
  <c r="M10" i="1"/>
  <c r="O10" i="1" s="1"/>
  <c r="G10" i="1"/>
  <c r="F10" i="1"/>
  <c r="H10" i="1" s="1"/>
  <c r="V9" i="1"/>
  <c r="U9" i="1"/>
  <c r="T9" i="1"/>
  <c r="N9" i="1"/>
  <c r="M9" i="1"/>
  <c r="O9" i="1" s="1"/>
  <c r="G9" i="1"/>
  <c r="F9" i="1"/>
  <c r="H9" i="1" s="1"/>
  <c r="U8" i="1"/>
  <c r="T8" i="1"/>
  <c r="V8" i="1" s="1"/>
  <c r="O8" i="1"/>
  <c r="N8" i="1"/>
  <c r="M8" i="1"/>
  <c r="G8" i="1"/>
  <c r="F8" i="1"/>
  <c r="H8" i="1" s="1"/>
  <c r="U7" i="1"/>
  <c r="T7" i="1"/>
  <c r="V7" i="1" s="1"/>
  <c r="N7" i="1"/>
  <c r="M7" i="1"/>
  <c r="O7" i="1" s="1"/>
  <c r="H7" i="1"/>
  <c r="G7" i="1"/>
  <c r="F7" i="1"/>
  <c r="U6" i="1"/>
  <c r="T6" i="1"/>
  <c r="V6" i="1" s="1"/>
  <c r="N6" i="1"/>
  <c r="M6" i="1"/>
  <c r="O6" i="1" s="1"/>
  <c r="G6" i="1"/>
  <c r="F6" i="1"/>
  <c r="H6" i="1" s="1"/>
  <c r="N78" i="2" l="1"/>
  <c r="O78" i="2" s="1"/>
  <c r="N75" i="2"/>
  <c r="O75" i="2" s="1"/>
  <c r="N63" i="2"/>
  <c r="R61" i="2"/>
  <c r="R63" i="2"/>
  <c r="J64" i="2"/>
  <c r="J60" i="2"/>
  <c r="K53" i="2"/>
  <c r="N76" i="2"/>
  <c r="O76" i="2" s="1"/>
  <c r="R66" i="2"/>
  <c r="R60" i="2"/>
  <c r="J61" i="2"/>
  <c r="V66" i="2"/>
  <c r="N67" i="2"/>
  <c r="N72" i="2"/>
  <c r="O72" i="2" s="1"/>
  <c r="N66" i="2"/>
  <c r="N60" i="2"/>
  <c r="J66" i="2"/>
  <c r="J67" i="2"/>
  <c r="N61" i="2"/>
  <c r="R67" i="2"/>
  <c r="J112" i="1"/>
  <c r="J116" i="1"/>
  <c r="J115" i="1"/>
  <c r="J119" i="1"/>
  <c r="J114" i="1"/>
  <c r="O134" i="1"/>
  <c r="S134" i="1"/>
  <c r="J118" i="1"/>
  <c r="J113" i="1"/>
  <c r="J117" i="1"/>
  <c r="J121" i="1"/>
  <c r="V140" i="1"/>
  <c r="Z140" i="1"/>
  <c r="J152" i="1"/>
  <c r="K152" i="1" s="1"/>
  <c r="Z139" i="1"/>
  <c r="O161" i="1"/>
  <c r="S107" i="2"/>
  <c r="AA107" i="2"/>
  <c r="K80" i="2"/>
  <c r="N70" i="2"/>
  <c r="O70" i="2" s="1"/>
  <c r="R58" i="2"/>
  <c r="Z58" i="2"/>
  <c r="J58" i="2"/>
  <c r="N58" i="2"/>
  <c r="O53" i="2"/>
  <c r="S53" i="2"/>
  <c r="AA53" i="2"/>
  <c r="S107" i="1"/>
  <c r="O107" i="1"/>
  <c r="O80" i="1"/>
  <c r="S53" i="1"/>
  <c r="O53" i="1"/>
  <c r="S80" i="2"/>
  <c r="W53" i="1"/>
  <c r="K80" i="1"/>
  <c r="K134" i="1"/>
  <c r="S80" i="1"/>
  <c r="S161" i="1"/>
  <c r="W80" i="2"/>
  <c r="W80" i="1"/>
  <c r="W134" i="1"/>
  <c r="K53" i="1"/>
  <c r="AA80" i="2"/>
  <c r="K107" i="1"/>
  <c r="W53" i="2"/>
  <c r="AE80" i="2"/>
  <c r="W107" i="2"/>
  <c r="J62" i="2"/>
  <c r="V112" i="1"/>
  <c r="V113" i="1"/>
  <c r="V114" i="1"/>
  <c r="V115" i="1"/>
  <c r="V116" i="1"/>
  <c r="V117" i="1"/>
  <c r="V118" i="1"/>
  <c r="V119" i="1"/>
  <c r="V120" i="1"/>
  <c r="V121" i="1"/>
  <c r="R139" i="1"/>
  <c r="N140" i="1"/>
  <c r="V144" i="1"/>
  <c r="R145" i="1"/>
  <c r="N146" i="1"/>
  <c r="J151" i="1"/>
  <c r="K151" i="1" s="1"/>
  <c r="K161" i="1" s="1"/>
  <c r="J156" i="1"/>
  <c r="K156" i="1" s="1"/>
  <c r="V59" i="2"/>
  <c r="V62" i="2"/>
  <c r="V65" i="2"/>
  <c r="V139" i="1"/>
  <c r="R140" i="1"/>
  <c r="V145" i="1"/>
  <c r="R146" i="1"/>
  <c r="N71" i="2"/>
  <c r="O71" i="2" s="1"/>
  <c r="N77" i="2"/>
  <c r="O77" i="2" s="1"/>
  <c r="J139" i="1"/>
  <c r="Z141" i="1"/>
  <c r="R143" i="1"/>
  <c r="N144" i="1"/>
  <c r="J145" i="1"/>
  <c r="V148" i="1"/>
  <c r="N74" i="2"/>
  <c r="O74" i="2" s="1"/>
  <c r="J157" i="1"/>
  <c r="K157" i="1" s="1"/>
  <c r="J59" i="2"/>
  <c r="J65" i="2"/>
  <c r="N59" i="2"/>
  <c r="V61" i="2"/>
  <c r="N62" i="2"/>
  <c r="N65" i="2"/>
  <c r="V67" i="2"/>
  <c r="J146" i="1"/>
  <c r="O80" i="2" l="1"/>
</calcChain>
</file>

<file path=xl/sharedStrings.xml><?xml version="1.0" encoding="utf-8"?>
<sst xmlns="http://schemas.openxmlformats.org/spreadsheetml/2006/main" count="554" uniqueCount="49">
  <si>
    <t>규격</t>
  </si>
  <si>
    <t>수량</t>
  </si>
  <si>
    <t>지지구조 주변 차열재 1단~3단</t>
  </si>
  <si>
    <t>지지구조 주변 2단 그라스울</t>
  </si>
  <si>
    <t>3. HTG-064(DC)</t>
  </si>
  <si>
    <t>브라켓(중앙받침대 2)</t>
  </si>
  <si>
    <t>지지구조 주변 1단 차열재</t>
  </si>
  <si>
    <t>지지구조 주변 1단 그라스울</t>
  </si>
  <si>
    <t>브라켓(중앙받침대 1)</t>
  </si>
  <si>
    <t>프레임 (높이 300H)</t>
  </si>
  <si>
    <r>
      <t xml:space="preserve">소켓외부 차열재 </t>
    </r>
    <r>
      <rPr>
        <sz val="11"/>
        <color rgb="FFFF0000"/>
        <rFont val="맑은 고딕"/>
        <family val="3"/>
        <charset val="129"/>
      </rPr>
      <t>(128K)</t>
    </r>
  </si>
  <si>
    <r>
      <t xml:space="preserve">소켓외부 차열재 </t>
    </r>
    <r>
      <rPr>
        <sz val="11"/>
        <color rgb="FFFF0000"/>
        <rFont val="맑은 고딕"/>
        <family val="3"/>
        <charset val="129"/>
      </rPr>
      <t>(96K)</t>
    </r>
  </si>
  <si>
    <t>2. HTG-1.69</t>
  </si>
  <si>
    <t>개구부 Z 클립</t>
  </si>
  <si>
    <t>방화플래싱 "Z형"</t>
  </si>
  <si>
    <t>1. VT-049</t>
  </si>
  <si>
    <t>5. VAG-1.69</t>
  </si>
  <si>
    <t>3. VA-064</t>
  </si>
  <si>
    <t>2. VT-064</t>
  </si>
  <si>
    <t>방화플래싱 "L형"</t>
  </si>
  <si>
    <t>4. VT-01</t>
  </si>
  <si>
    <t>브라켓(상하평철1)</t>
  </si>
  <si>
    <t>브라켓(상하평철2)</t>
  </si>
  <si>
    <t>브라켓(중앙받침대)</t>
  </si>
  <si>
    <t>방화플래싱 I형</t>
  </si>
  <si>
    <t>1. HTG-064</t>
  </si>
  <si>
    <t>보강대(소켓하부)</t>
  </si>
  <si>
    <t>수량(Roll)</t>
  </si>
  <si>
    <t>길이</t>
  </si>
  <si>
    <t>두께</t>
  </si>
  <si>
    <t>No</t>
  </si>
  <si>
    <t>가로</t>
  </si>
  <si>
    <t>구조</t>
  </si>
  <si>
    <t>프레임</t>
  </si>
  <si>
    <t>합계</t>
  </si>
  <si>
    <t>폭</t>
  </si>
  <si>
    <t>세로</t>
  </si>
  <si>
    <t>면적</t>
  </si>
  <si>
    <t>브라켓(상하)</t>
  </si>
  <si>
    <t>브라켓(중앙)</t>
  </si>
  <si>
    <t>결합철판</t>
  </si>
  <si>
    <t>둘레(m)</t>
  </si>
  <si>
    <t>보강대(세로)</t>
  </si>
  <si>
    <t>면적(㎡)</t>
  </si>
  <si>
    <t>세로보강대</t>
  </si>
  <si>
    <t>브라켓(좌우)</t>
  </si>
  <si>
    <t>길이(mm)</t>
  </si>
  <si>
    <t>브라켓(좌우)</t>
    <phoneticPr fontId="3" type="noConversion"/>
  </si>
  <si>
    <t>좌우 철판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</si>
</sst>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#,##0;\-#,##0;&quot;-&quot;;@"/>
  </numFmts>
  <fonts count="7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  <fill>
      <patternFill patternType="solid">
        <fgColor rgb="FFF4E5B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0" fillId="0" borderId="0" xfId="0" applyAlignment="1">
      <alignment horizontal="center"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176" fontId="0" fillId="3" borderId="25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0" fillId="0" borderId="0" xfId="1" applyNumberFormat="1" applyAlignment="1">
      <alignment vertical="center"/>
    </xf>
    <xf numFmtId="2" fontId="0" fillId="0" borderId="0" xfId="0" applyNumberFormat="1">
      <alignment vertical="center"/>
    </xf>
    <xf numFmtId="177" fontId="0" fillId="0" borderId="9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2" fontId="0" fillId="3" borderId="29" xfId="0" applyNumberForma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176" fontId="0" fillId="3" borderId="32" xfId="0" applyNumberFormat="1" applyFill="1" applyBorder="1" applyAlignment="1">
      <alignment horizontal="center" vertical="center"/>
    </xf>
    <xf numFmtId="2" fontId="0" fillId="0" borderId="6" xfId="1" applyNumberFormat="1" applyBorder="1">
      <alignment horizontal="center" vertical="center"/>
    </xf>
    <xf numFmtId="2" fontId="0" fillId="0" borderId="9" xfId="1" applyNumberFormat="1" applyBorder="1">
      <alignment horizontal="center" vertical="center"/>
    </xf>
    <xf numFmtId="2" fontId="0" fillId="0" borderId="12" xfId="1" applyNumberFormat="1" applyBorder="1">
      <alignment horizontal="center" vertical="center"/>
    </xf>
    <xf numFmtId="0" fontId="0" fillId="0" borderId="21" xfId="0" applyBorder="1">
      <alignment vertical="center"/>
    </xf>
    <xf numFmtId="0" fontId="5" fillId="0" borderId="21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AE161"/>
  <sheetViews>
    <sheetView tabSelected="1" topLeftCell="A87" zoomScale="85" zoomScaleNormal="85" zoomScaleSheetLayoutView="100" workbookViewId="0">
      <selection activeCell="C36" sqref="C36"/>
    </sheetView>
  </sheetViews>
  <sheetFormatPr defaultColWidth="9" defaultRowHeight="16.5" x14ac:dyDescent="0.3"/>
  <cols>
    <col min="1" max="2" width="9" bestFit="1" customWidth="1"/>
    <col min="3" max="27" width="9" customWidth="1"/>
  </cols>
  <sheetData>
    <row r="4" spans="2:22" x14ac:dyDescent="0.3">
      <c r="B4" s="1" t="s">
        <v>0</v>
      </c>
      <c r="C4" s="1"/>
      <c r="D4" s="1"/>
      <c r="E4" s="1"/>
      <c r="F4" s="1"/>
      <c r="G4" s="1"/>
      <c r="H4" s="1"/>
      <c r="I4" s="1" t="s">
        <v>0</v>
      </c>
      <c r="J4" s="1"/>
      <c r="K4" s="1"/>
      <c r="L4" s="1"/>
      <c r="M4" s="1"/>
      <c r="N4" s="1"/>
      <c r="O4" s="1"/>
      <c r="P4" s="1" t="s">
        <v>0</v>
      </c>
      <c r="Q4" s="1"/>
      <c r="R4" s="1"/>
      <c r="S4" s="1"/>
      <c r="T4" s="1"/>
      <c r="U4" s="1"/>
      <c r="V4" s="1"/>
    </row>
    <row r="5" spans="2:22" x14ac:dyDescent="0.3">
      <c r="B5" s="25" t="s">
        <v>30</v>
      </c>
      <c r="C5" s="25" t="s">
        <v>31</v>
      </c>
      <c r="D5" s="25" t="s">
        <v>36</v>
      </c>
      <c r="E5" s="25" t="s">
        <v>1</v>
      </c>
      <c r="F5" s="25" t="s">
        <v>43</v>
      </c>
      <c r="G5" s="25" t="s">
        <v>41</v>
      </c>
      <c r="H5" s="25" t="s">
        <v>32</v>
      </c>
      <c r="I5" s="25" t="s">
        <v>30</v>
      </c>
      <c r="J5" s="25" t="s">
        <v>31</v>
      </c>
      <c r="K5" s="25" t="s">
        <v>36</v>
      </c>
      <c r="L5" s="25" t="s">
        <v>1</v>
      </c>
      <c r="M5" s="25" t="s">
        <v>43</v>
      </c>
      <c r="N5" s="25" t="s">
        <v>41</v>
      </c>
      <c r="O5" s="25" t="s">
        <v>32</v>
      </c>
      <c r="P5" s="25" t="s">
        <v>30</v>
      </c>
      <c r="Q5" s="25" t="s">
        <v>31</v>
      </c>
      <c r="R5" s="25" t="s">
        <v>36</v>
      </c>
      <c r="S5" s="25" t="s">
        <v>1</v>
      </c>
      <c r="T5" s="25" t="s">
        <v>43</v>
      </c>
      <c r="U5" s="25" t="s">
        <v>41</v>
      </c>
      <c r="V5" s="25" t="s">
        <v>32</v>
      </c>
    </row>
    <row r="6" spans="2:22" x14ac:dyDescent="0.3">
      <c r="B6" s="24">
        <v>1</v>
      </c>
      <c r="C6" s="24">
        <v>1000</v>
      </c>
      <c r="D6" s="24">
        <v>250</v>
      </c>
      <c r="E6" s="24">
        <v>1</v>
      </c>
      <c r="F6" s="24">
        <f>C6*D6/1000000</f>
        <v>0.25</v>
      </c>
      <c r="G6" s="24">
        <f>(C6+D6)*2/1000</f>
        <v>2.5</v>
      </c>
      <c r="H6" s="24" t="str">
        <f>IF(F6&gt;0.64,"VT-01",IF(AND(0.49&lt;F6,F6&lt;=0.64),"VT-064",IF(AND(0&lt;F6,F6&lt;=0.49),"VT-049","")))</f>
        <v>VT-049</v>
      </c>
      <c r="I6" s="24">
        <v>21</v>
      </c>
      <c r="J6" s="24"/>
      <c r="K6" s="24"/>
      <c r="L6" s="24"/>
      <c r="M6" s="24">
        <f>J6*K6/1000000</f>
        <v>0</v>
      </c>
      <c r="N6" s="24">
        <f>(J6+K6)*2/1000</f>
        <v>0</v>
      </c>
      <c r="O6" s="24" t="str">
        <f>IF(M6&gt;0.64,"VT-01",IF(AND(0.49&lt;M6,M6&lt;=0.64),"VT-064",IF(AND(0&lt;M6,M6&lt;=0.49),"VT-049","")))</f>
        <v/>
      </c>
      <c r="P6" s="24">
        <v>41</v>
      </c>
      <c r="Q6" s="24"/>
      <c r="R6" s="24"/>
      <c r="S6" s="24"/>
      <c r="T6" s="24">
        <f>Q6*R6/1000000</f>
        <v>0</v>
      </c>
      <c r="U6" s="24">
        <f>(Q6+R6)*2/1000</f>
        <v>0</v>
      </c>
      <c r="V6" s="24" t="str">
        <f>IF(T6&gt;0.64,"VT-01",IF(AND(0.49&lt;T6,T6&lt;=0.64),"VT-064",IF(AND(0&lt;T6,T6&lt;=0.49),"VT-049","")))</f>
        <v/>
      </c>
    </row>
    <row r="7" spans="2:22" x14ac:dyDescent="0.3">
      <c r="B7" s="24">
        <v>2</v>
      </c>
      <c r="C7" s="24">
        <v>1500</v>
      </c>
      <c r="D7" s="24">
        <v>300</v>
      </c>
      <c r="E7" s="24">
        <v>1</v>
      </c>
      <c r="F7" s="24">
        <f t="shared" ref="F7:F25" si="0">C7*D7/1000000</f>
        <v>0.45</v>
      </c>
      <c r="G7" s="24">
        <f t="shared" ref="G7:G25" si="1">(C7+D7)*2/1000</f>
        <v>3.6</v>
      </c>
      <c r="H7" s="24" t="str">
        <f>IF(F7&gt;0.64,"VT-01",IF(AND(0.49&lt;F7,F7&lt;=0.64),"VT-064",IF(AND(0&lt;F7,F7&lt;=0.49),"VT-049","")))</f>
        <v>VT-049</v>
      </c>
      <c r="I7" s="24">
        <v>22</v>
      </c>
      <c r="J7" s="24"/>
      <c r="K7" s="24"/>
      <c r="L7" s="24"/>
      <c r="M7" s="24">
        <f t="shared" ref="M7:M25" si="2">J7*K7/1000000</f>
        <v>0</v>
      </c>
      <c r="N7" s="24">
        <f t="shared" ref="N7:N25" si="3">(J7+K7)*2/1000</f>
        <v>0</v>
      </c>
      <c r="O7" s="24" t="str">
        <f>IF(M7&gt;0.64,"VT-01",IF(AND(0.49&lt;M7,M7&lt;=0.64),"VT-064",IF(AND(0&lt;M7,M7&lt;=0.49),"VT-049","")))</f>
        <v/>
      </c>
      <c r="P7" s="24">
        <v>42</v>
      </c>
      <c r="Q7" s="24"/>
      <c r="R7" s="24"/>
      <c r="S7" s="24"/>
      <c r="T7" s="24">
        <f t="shared" ref="T7:T25" si="4">Q7*R7/1000000</f>
        <v>0</v>
      </c>
      <c r="U7" s="24">
        <f t="shared" ref="U7:U25" si="5">(Q7+R7)*2/1000</f>
        <v>0</v>
      </c>
      <c r="V7" s="24" t="str">
        <f>IF(T7&gt;0.64,"VT-01",IF(AND(0.49&lt;T7,T7&lt;=0.64),"VT-064",IF(AND(0&lt;T7,T7&lt;=0.49),"VT-049","")))</f>
        <v/>
      </c>
    </row>
    <row r="8" spans="2:22" x14ac:dyDescent="0.3">
      <c r="B8" s="24">
        <v>3</v>
      </c>
      <c r="C8" s="24">
        <v>900</v>
      </c>
      <c r="D8" s="24">
        <v>900</v>
      </c>
      <c r="E8" s="24">
        <v>1</v>
      </c>
      <c r="F8" s="24">
        <f t="shared" si="0"/>
        <v>0.81</v>
      </c>
      <c r="G8" s="24">
        <f t="shared" si="1"/>
        <v>3.6</v>
      </c>
      <c r="H8" s="24" t="str">
        <f>IF(F8&gt;0.64,"VT-01",IF(AND(0.49&lt;F8,F8&lt;=0.64),"VT-064",IF(AND(0&lt;F8,F8&lt;=0.49),"VT-049","")))</f>
        <v>VT-01</v>
      </c>
      <c r="I8" s="24">
        <v>23</v>
      </c>
      <c r="J8" s="24"/>
      <c r="K8" s="24"/>
      <c r="L8" s="24"/>
      <c r="M8" s="24">
        <f t="shared" si="2"/>
        <v>0</v>
      </c>
      <c r="N8" s="24">
        <f t="shared" si="3"/>
        <v>0</v>
      </c>
      <c r="O8" s="24" t="str">
        <f>IF(M8&gt;0.64,"VT-01",IF(AND(0.49&lt;M8,M8&lt;=0.64),"VT-064",IF(AND(0&lt;M8,M8&lt;=0.49),"VT-049","")))</f>
        <v/>
      </c>
      <c r="P8" s="24">
        <v>43</v>
      </c>
      <c r="Q8" s="24"/>
      <c r="R8" s="24"/>
      <c r="S8" s="24"/>
      <c r="T8" s="24">
        <f t="shared" si="4"/>
        <v>0</v>
      </c>
      <c r="U8" s="24">
        <f t="shared" si="5"/>
        <v>0</v>
      </c>
      <c r="V8" s="24" t="str">
        <f>IF(T8&gt;0.64,"VT-01",IF(AND(0.49&lt;T8,T8&lt;=0.64),"VT-064",IF(AND(0&lt;T8,T8&lt;=0.49),"VT-049","")))</f>
        <v/>
      </c>
    </row>
    <row r="9" spans="2:22" x14ac:dyDescent="0.3">
      <c r="B9" s="24">
        <v>4</v>
      </c>
      <c r="C9" s="24">
        <v>800</v>
      </c>
      <c r="D9" s="24">
        <v>700</v>
      </c>
      <c r="E9" s="24">
        <v>11</v>
      </c>
      <c r="F9" s="24">
        <f t="shared" si="0"/>
        <v>0.56000000000000005</v>
      </c>
      <c r="G9" s="24">
        <f t="shared" si="1"/>
        <v>3</v>
      </c>
      <c r="H9" s="24" t="str">
        <f t="shared" ref="H9:H25" si="6">IF(F9&gt;0.64,"VT-01",IF(AND(0.49&lt;F9,F9&lt;=0.64),"VT-064",IF(AND(0&lt;F9,F9&lt;=0.49),"VT-049","")))</f>
        <v>VT-064</v>
      </c>
      <c r="I9" s="24">
        <v>24</v>
      </c>
      <c r="J9" s="24"/>
      <c r="K9" s="24"/>
      <c r="L9" s="24"/>
      <c r="M9" s="24">
        <f t="shared" si="2"/>
        <v>0</v>
      </c>
      <c r="N9" s="24">
        <f t="shared" si="3"/>
        <v>0</v>
      </c>
      <c r="O9" s="24" t="str">
        <f t="shared" ref="O9:O25" si="7">IF(M9&gt;0.64,"VT-01",IF(AND(0.49&lt;M9,M9&lt;=0.64),"VT-064",IF(AND(0&lt;M9,M9&lt;=0.49),"VT-049","")))</f>
        <v/>
      </c>
      <c r="P9" s="24">
        <v>44</v>
      </c>
      <c r="Q9" s="24"/>
      <c r="R9" s="24"/>
      <c r="S9" s="24"/>
      <c r="T9" s="24">
        <f t="shared" si="4"/>
        <v>0</v>
      </c>
      <c r="U9" s="24">
        <f t="shared" si="5"/>
        <v>0</v>
      </c>
      <c r="V9" s="24" t="str">
        <f t="shared" ref="V9:V25" si="8">IF(T9&gt;0.64,"VT-01",IF(AND(0.49&lt;T9,T9&lt;=0.64),"VT-064",IF(AND(0&lt;T9,T9&lt;=0.49),"VT-049","")))</f>
        <v/>
      </c>
    </row>
    <row r="10" spans="2:22" x14ac:dyDescent="0.3">
      <c r="B10" s="24">
        <v>5</v>
      </c>
      <c r="C10" s="24">
        <v>900</v>
      </c>
      <c r="D10" s="24">
        <v>800</v>
      </c>
      <c r="E10" s="24">
        <v>1</v>
      </c>
      <c r="F10" s="24">
        <f t="shared" si="0"/>
        <v>0.72</v>
      </c>
      <c r="G10" s="24">
        <f t="shared" si="1"/>
        <v>3.4</v>
      </c>
      <c r="H10" s="24" t="str">
        <f t="shared" si="6"/>
        <v>VT-01</v>
      </c>
      <c r="I10" s="24">
        <v>25</v>
      </c>
      <c r="J10" s="24"/>
      <c r="K10" s="24"/>
      <c r="L10" s="24"/>
      <c r="M10" s="24">
        <f t="shared" si="2"/>
        <v>0</v>
      </c>
      <c r="N10" s="24">
        <f t="shared" si="3"/>
        <v>0</v>
      </c>
      <c r="O10" s="24" t="str">
        <f t="shared" si="7"/>
        <v/>
      </c>
      <c r="P10" s="24">
        <v>45</v>
      </c>
      <c r="Q10" s="24"/>
      <c r="R10" s="24"/>
      <c r="S10" s="24"/>
      <c r="T10" s="24">
        <f t="shared" si="4"/>
        <v>0</v>
      </c>
      <c r="U10" s="24">
        <f t="shared" si="5"/>
        <v>0</v>
      </c>
      <c r="V10" s="24" t="str">
        <f t="shared" si="8"/>
        <v/>
      </c>
    </row>
    <row r="11" spans="2:22" x14ac:dyDescent="0.3">
      <c r="B11" s="24">
        <v>6</v>
      </c>
      <c r="C11" s="24">
        <v>750</v>
      </c>
      <c r="D11" s="24">
        <v>850</v>
      </c>
      <c r="E11" s="24"/>
      <c r="F11" s="24">
        <f t="shared" si="0"/>
        <v>0.63749999999999996</v>
      </c>
      <c r="G11" s="24">
        <f t="shared" si="1"/>
        <v>3.2</v>
      </c>
      <c r="H11" s="24" t="str">
        <f t="shared" si="6"/>
        <v>VT-064</v>
      </c>
      <c r="I11" s="24">
        <v>26</v>
      </c>
      <c r="J11" s="24"/>
      <c r="K11" s="24"/>
      <c r="L11" s="24"/>
      <c r="M11" s="24">
        <f t="shared" si="2"/>
        <v>0</v>
      </c>
      <c r="N11" s="24">
        <f t="shared" si="3"/>
        <v>0</v>
      </c>
      <c r="O11" s="24" t="str">
        <f t="shared" si="7"/>
        <v/>
      </c>
      <c r="P11" s="24">
        <v>46</v>
      </c>
      <c r="Q11" s="24"/>
      <c r="R11" s="24"/>
      <c r="S11" s="24"/>
      <c r="T11" s="24">
        <f t="shared" si="4"/>
        <v>0</v>
      </c>
      <c r="U11" s="24">
        <f t="shared" si="5"/>
        <v>0</v>
      </c>
      <c r="V11" s="24" t="str">
        <f t="shared" si="8"/>
        <v/>
      </c>
    </row>
    <row r="12" spans="2:22" x14ac:dyDescent="0.3">
      <c r="B12" s="24">
        <v>7</v>
      </c>
      <c r="C12" s="24">
        <v>900</v>
      </c>
      <c r="D12" s="24">
        <v>450</v>
      </c>
      <c r="E12" s="24"/>
      <c r="F12" s="24">
        <f t="shared" si="0"/>
        <v>0.40500000000000003</v>
      </c>
      <c r="G12" s="24">
        <f t="shared" si="1"/>
        <v>2.7</v>
      </c>
      <c r="H12" s="24" t="str">
        <f t="shared" si="6"/>
        <v>VT-049</v>
      </c>
      <c r="I12" s="24">
        <v>27</v>
      </c>
      <c r="J12" s="24"/>
      <c r="K12" s="24"/>
      <c r="L12" s="24"/>
      <c r="M12" s="24">
        <f t="shared" si="2"/>
        <v>0</v>
      </c>
      <c r="N12" s="24">
        <f t="shared" si="3"/>
        <v>0</v>
      </c>
      <c r="O12" s="24" t="str">
        <f t="shared" si="7"/>
        <v/>
      </c>
      <c r="P12" s="24">
        <v>47</v>
      </c>
      <c r="Q12" s="24"/>
      <c r="R12" s="24"/>
      <c r="S12" s="24"/>
      <c r="T12" s="24">
        <f t="shared" si="4"/>
        <v>0</v>
      </c>
      <c r="U12" s="24">
        <f t="shared" si="5"/>
        <v>0</v>
      </c>
      <c r="V12" s="24" t="str">
        <f t="shared" si="8"/>
        <v/>
      </c>
    </row>
    <row r="13" spans="2:22" x14ac:dyDescent="0.3">
      <c r="B13" s="24">
        <v>8</v>
      </c>
      <c r="C13" s="24">
        <v>900</v>
      </c>
      <c r="D13" s="24">
        <v>700</v>
      </c>
      <c r="E13" s="24"/>
      <c r="F13" s="24">
        <f t="shared" si="0"/>
        <v>0.63</v>
      </c>
      <c r="G13" s="24">
        <f t="shared" si="1"/>
        <v>3.2</v>
      </c>
      <c r="H13" s="24" t="str">
        <f t="shared" si="6"/>
        <v>VT-064</v>
      </c>
      <c r="I13" s="24">
        <v>28</v>
      </c>
      <c r="J13" s="24"/>
      <c r="K13" s="24"/>
      <c r="L13" s="24"/>
      <c r="M13" s="24">
        <f t="shared" si="2"/>
        <v>0</v>
      </c>
      <c r="N13" s="24">
        <f t="shared" si="3"/>
        <v>0</v>
      </c>
      <c r="O13" s="24" t="str">
        <f t="shared" si="7"/>
        <v/>
      </c>
      <c r="P13" s="24">
        <v>48</v>
      </c>
      <c r="Q13" s="24"/>
      <c r="R13" s="24"/>
      <c r="S13" s="24"/>
      <c r="T13" s="24">
        <f t="shared" si="4"/>
        <v>0</v>
      </c>
      <c r="U13" s="24">
        <f t="shared" si="5"/>
        <v>0</v>
      </c>
      <c r="V13" s="24" t="str">
        <f t="shared" si="8"/>
        <v/>
      </c>
    </row>
    <row r="14" spans="2:22" x14ac:dyDescent="0.3">
      <c r="B14" s="24">
        <v>9</v>
      </c>
      <c r="C14" s="24">
        <v>500</v>
      </c>
      <c r="D14" s="24">
        <v>400</v>
      </c>
      <c r="E14" s="24"/>
      <c r="F14" s="24">
        <f t="shared" si="0"/>
        <v>0.2</v>
      </c>
      <c r="G14" s="24">
        <f t="shared" si="1"/>
        <v>1.8</v>
      </c>
      <c r="H14" s="24" t="str">
        <f t="shared" si="6"/>
        <v>VT-049</v>
      </c>
      <c r="I14" s="24">
        <v>29</v>
      </c>
      <c r="J14" s="24"/>
      <c r="K14" s="24"/>
      <c r="L14" s="24"/>
      <c r="M14" s="24">
        <f t="shared" si="2"/>
        <v>0</v>
      </c>
      <c r="N14" s="24">
        <f t="shared" si="3"/>
        <v>0</v>
      </c>
      <c r="O14" s="24" t="str">
        <f t="shared" si="7"/>
        <v/>
      </c>
      <c r="P14" s="24">
        <v>49</v>
      </c>
      <c r="Q14" s="24"/>
      <c r="R14" s="24"/>
      <c r="S14" s="24"/>
      <c r="T14" s="24">
        <f t="shared" si="4"/>
        <v>0</v>
      </c>
      <c r="U14" s="24">
        <f t="shared" si="5"/>
        <v>0</v>
      </c>
      <c r="V14" s="24" t="str">
        <f t="shared" si="8"/>
        <v/>
      </c>
    </row>
    <row r="15" spans="2:22" x14ac:dyDescent="0.3">
      <c r="B15" s="24">
        <v>10</v>
      </c>
      <c r="C15" s="24"/>
      <c r="D15" s="24"/>
      <c r="E15" s="24"/>
      <c r="F15" s="24">
        <f t="shared" si="0"/>
        <v>0</v>
      </c>
      <c r="G15" s="24">
        <f t="shared" si="1"/>
        <v>0</v>
      </c>
      <c r="H15" s="24" t="str">
        <f t="shared" si="6"/>
        <v/>
      </c>
      <c r="I15" s="24">
        <v>30</v>
      </c>
      <c r="J15" s="24"/>
      <c r="K15" s="24"/>
      <c r="L15" s="24"/>
      <c r="M15" s="24">
        <f t="shared" si="2"/>
        <v>0</v>
      </c>
      <c r="N15" s="24">
        <f t="shared" si="3"/>
        <v>0</v>
      </c>
      <c r="O15" s="24" t="str">
        <f t="shared" si="7"/>
        <v/>
      </c>
      <c r="P15" s="24">
        <v>50</v>
      </c>
      <c r="Q15" s="24"/>
      <c r="R15" s="24"/>
      <c r="S15" s="24"/>
      <c r="T15" s="24">
        <f t="shared" si="4"/>
        <v>0</v>
      </c>
      <c r="U15" s="24">
        <f t="shared" si="5"/>
        <v>0</v>
      </c>
      <c r="V15" s="24" t="str">
        <f t="shared" si="8"/>
        <v/>
      </c>
    </row>
    <row r="16" spans="2:22" x14ac:dyDescent="0.3">
      <c r="B16" s="24">
        <v>11</v>
      </c>
      <c r="C16" s="24"/>
      <c r="D16" s="24"/>
      <c r="E16" s="24"/>
      <c r="F16" s="24">
        <f t="shared" si="0"/>
        <v>0</v>
      </c>
      <c r="G16" s="24">
        <f t="shared" si="1"/>
        <v>0</v>
      </c>
      <c r="H16" s="24" t="str">
        <f t="shared" si="6"/>
        <v/>
      </c>
      <c r="I16" s="24">
        <v>31</v>
      </c>
      <c r="J16" s="24"/>
      <c r="K16" s="24"/>
      <c r="L16" s="24"/>
      <c r="M16" s="24">
        <f t="shared" si="2"/>
        <v>0</v>
      </c>
      <c r="N16" s="24">
        <f t="shared" si="3"/>
        <v>0</v>
      </c>
      <c r="O16" s="24" t="str">
        <f t="shared" si="7"/>
        <v/>
      </c>
      <c r="P16" s="24">
        <v>51</v>
      </c>
      <c r="Q16" s="24"/>
      <c r="R16" s="24"/>
      <c r="S16" s="24"/>
      <c r="T16" s="24">
        <f t="shared" si="4"/>
        <v>0</v>
      </c>
      <c r="U16" s="24">
        <f t="shared" si="5"/>
        <v>0</v>
      </c>
      <c r="V16" s="24" t="str">
        <f t="shared" si="8"/>
        <v/>
      </c>
    </row>
    <row r="17" spans="1:27" x14ac:dyDescent="0.3">
      <c r="B17" s="24">
        <v>12</v>
      </c>
      <c r="C17" s="24"/>
      <c r="D17" s="24"/>
      <c r="E17" s="24"/>
      <c r="F17" s="24">
        <f t="shared" si="0"/>
        <v>0</v>
      </c>
      <c r="G17" s="24">
        <f t="shared" si="1"/>
        <v>0</v>
      </c>
      <c r="H17" s="24" t="str">
        <f t="shared" si="6"/>
        <v/>
      </c>
      <c r="I17" s="24">
        <v>32</v>
      </c>
      <c r="J17" s="24"/>
      <c r="K17" s="24"/>
      <c r="L17" s="24"/>
      <c r="M17" s="24">
        <f t="shared" si="2"/>
        <v>0</v>
      </c>
      <c r="N17" s="24">
        <f t="shared" si="3"/>
        <v>0</v>
      </c>
      <c r="O17" s="24" t="str">
        <f t="shared" si="7"/>
        <v/>
      </c>
      <c r="P17" s="24">
        <v>52</v>
      </c>
      <c r="Q17" s="24"/>
      <c r="R17" s="24"/>
      <c r="S17" s="24"/>
      <c r="T17" s="24">
        <f t="shared" si="4"/>
        <v>0</v>
      </c>
      <c r="U17" s="24">
        <f t="shared" si="5"/>
        <v>0</v>
      </c>
      <c r="V17" s="24" t="str">
        <f t="shared" si="8"/>
        <v/>
      </c>
    </row>
    <row r="18" spans="1:27" x14ac:dyDescent="0.3">
      <c r="B18" s="24">
        <v>13</v>
      </c>
      <c r="C18" s="24"/>
      <c r="D18" s="24"/>
      <c r="E18" s="24"/>
      <c r="F18" s="24">
        <f t="shared" si="0"/>
        <v>0</v>
      </c>
      <c r="G18" s="24">
        <f t="shared" si="1"/>
        <v>0</v>
      </c>
      <c r="H18" s="24" t="str">
        <f t="shared" si="6"/>
        <v/>
      </c>
      <c r="I18" s="24">
        <v>33</v>
      </c>
      <c r="J18" s="24"/>
      <c r="K18" s="24"/>
      <c r="L18" s="24"/>
      <c r="M18" s="24">
        <f t="shared" si="2"/>
        <v>0</v>
      </c>
      <c r="N18" s="24">
        <f t="shared" si="3"/>
        <v>0</v>
      </c>
      <c r="O18" s="24" t="str">
        <f t="shared" si="7"/>
        <v/>
      </c>
      <c r="P18" s="24">
        <v>53</v>
      </c>
      <c r="Q18" s="24"/>
      <c r="R18" s="24"/>
      <c r="S18" s="24"/>
      <c r="T18" s="24">
        <f t="shared" si="4"/>
        <v>0</v>
      </c>
      <c r="U18" s="24">
        <f t="shared" si="5"/>
        <v>0</v>
      </c>
      <c r="V18" s="24" t="str">
        <f t="shared" si="8"/>
        <v/>
      </c>
    </row>
    <row r="19" spans="1:27" x14ac:dyDescent="0.3">
      <c r="B19" s="24">
        <v>14</v>
      </c>
      <c r="C19" s="24"/>
      <c r="D19" s="24"/>
      <c r="E19" s="24"/>
      <c r="F19" s="24">
        <f t="shared" si="0"/>
        <v>0</v>
      </c>
      <c r="G19" s="24">
        <f t="shared" si="1"/>
        <v>0</v>
      </c>
      <c r="H19" s="24" t="str">
        <f t="shared" si="6"/>
        <v/>
      </c>
      <c r="I19" s="24">
        <v>34</v>
      </c>
      <c r="J19" s="24"/>
      <c r="K19" s="24"/>
      <c r="L19" s="24"/>
      <c r="M19" s="24">
        <f t="shared" si="2"/>
        <v>0</v>
      </c>
      <c r="N19" s="24">
        <f t="shared" si="3"/>
        <v>0</v>
      </c>
      <c r="O19" s="24" t="str">
        <f t="shared" si="7"/>
        <v/>
      </c>
      <c r="P19" s="24">
        <v>54</v>
      </c>
      <c r="Q19" s="24"/>
      <c r="R19" s="24"/>
      <c r="S19" s="24"/>
      <c r="T19" s="24">
        <f t="shared" si="4"/>
        <v>0</v>
      </c>
      <c r="U19" s="24">
        <f t="shared" si="5"/>
        <v>0</v>
      </c>
      <c r="V19" s="24" t="str">
        <f t="shared" si="8"/>
        <v/>
      </c>
    </row>
    <row r="20" spans="1:27" x14ac:dyDescent="0.3">
      <c r="B20" s="24">
        <v>15</v>
      </c>
      <c r="C20" s="24"/>
      <c r="D20" s="24"/>
      <c r="E20" s="24"/>
      <c r="F20" s="24">
        <f t="shared" si="0"/>
        <v>0</v>
      </c>
      <c r="G20" s="24">
        <f t="shared" si="1"/>
        <v>0</v>
      </c>
      <c r="H20" s="24" t="str">
        <f t="shared" si="6"/>
        <v/>
      </c>
      <c r="I20" s="24">
        <v>35</v>
      </c>
      <c r="J20" s="24"/>
      <c r="K20" s="24"/>
      <c r="L20" s="24"/>
      <c r="M20" s="24">
        <f t="shared" si="2"/>
        <v>0</v>
      </c>
      <c r="N20" s="24">
        <f t="shared" si="3"/>
        <v>0</v>
      </c>
      <c r="O20" s="24" t="str">
        <f t="shared" si="7"/>
        <v/>
      </c>
      <c r="P20" s="24">
        <v>55</v>
      </c>
      <c r="Q20" s="24"/>
      <c r="R20" s="24"/>
      <c r="S20" s="24"/>
      <c r="T20" s="24">
        <f t="shared" si="4"/>
        <v>0</v>
      </c>
      <c r="U20" s="24">
        <f t="shared" si="5"/>
        <v>0</v>
      </c>
      <c r="V20" s="24" t="str">
        <f t="shared" si="8"/>
        <v/>
      </c>
    </row>
    <row r="21" spans="1:27" x14ac:dyDescent="0.3">
      <c r="B21" s="24">
        <v>16</v>
      </c>
      <c r="C21" s="24"/>
      <c r="D21" s="24"/>
      <c r="E21" s="24"/>
      <c r="F21" s="24">
        <f t="shared" si="0"/>
        <v>0</v>
      </c>
      <c r="G21" s="24">
        <f t="shared" si="1"/>
        <v>0</v>
      </c>
      <c r="H21" s="24" t="str">
        <f t="shared" si="6"/>
        <v/>
      </c>
      <c r="I21" s="24">
        <v>36</v>
      </c>
      <c r="J21" s="24"/>
      <c r="K21" s="24"/>
      <c r="L21" s="24"/>
      <c r="M21" s="24">
        <f t="shared" si="2"/>
        <v>0</v>
      </c>
      <c r="N21" s="24">
        <f t="shared" si="3"/>
        <v>0</v>
      </c>
      <c r="O21" s="24" t="str">
        <f t="shared" si="7"/>
        <v/>
      </c>
      <c r="P21" s="24">
        <v>56</v>
      </c>
      <c r="Q21" s="24"/>
      <c r="R21" s="24"/>
      <c r="S21" s="24"/>
      <c r="T21" s="24">
        <f t="shared" si="4"/>
        <v>0</v>
      </c>
      <c r="U21" s="24">
        <f t="shared" si="5"/>
        <v>0</v>
      </c>
      <c r="V21" s="24" t="str">
        <f t="shared" si="8"/>
        <v/>
      </c>
    </row>
    <row r="22" spans="1:27" x14ac:dyDescent="0.3">
      <c r="B22" s="24">
        <v>17</v>
      </c>
      <c r="C22" s="24"/>
      <c r="D22" s="24"/>
      <c r="E22" s="24"/>
      <c r="F22" s="24">
        <f t="shared" si="0"/>
        <v>0</v>
      </c>
      <c r="G22" s="24">
        <f t="shared" si="1"/>
        <v>0</v>
      </c>
      <c r="H22" s="24" t="str">
        <f t="shared" si="6"/>
        <v/>
      </c>
      <c r="I22" s="24">
        <v>37</v>
      </c>
      <c r="J22" s="24"/>
      <c r="K22" s="24"/>
      <c r="L22" s="24"/>
      <c r="M22" s="24">
        <f t="shared" si="2"/>
        <v>0</v>
      </c>
      <c r="N22" s="24">
        <f t="shared" si="3"/>
        <v>0</v>
      </c>
      <c r="O22" s="24" t="str">
        <f t="shared" si="7"/>
        <v/>
      </c>
      <c r="P22" s="24">
        <v>57</v>
      </c>
      <c r="Q22" s="24"/>
      <c r="R22" s="24"/>
      <c r="S22" s="24"/>
      <c r="T22" s="24">
        <f t="shared" si="4"/>
        <v>0</v>
      </c>
      <c r="U22" s="24">
        <f t="shared" si="5"/>
        <v>0</v>
      </c>
      <c r="V22" s="24" t="str">
        <f t="shared" si="8"/>
        <v/>
      </c>
    </row>
    <row r="23" spans="1:27" x14ac:dyDescent="0.3">
      <c r="B23" s="24">
        <v>18</v>
      </c>
      <c r="C23" s="24"/>
      <c r="D23" s="24"/>
      <c r="E23" s="24"/>
      <c r="F23" s="24">
        <f t="shared" si="0"/>
        <v>0</v>
      </c>
      <c r="G23" s="24">
        <f t="shared" si="1"/>
        <v>0</v>
      </c>
      <c r="H23" s="24" t="str">
        <f t="shared" si="6"/>
        <v/>
      </c>
      <c r="I23" s="24">
        <v>38</v>
      </c>
      <c r="J23" s="24"/>
      <c r="K23" s="24"/>
      <c r="L23" s="24"/>
      <c r="M23" s="24">
        <f t="shared" si="2"/>
        <v>0</v>
      </c>
      <c r="N23" s="24">
        <f t="shared" si="3"/>
        <v>0</v>
      </c>
      <c r="O23" s="24" t="str">
        <f t="shared" si="7"/>
        <v/>
      </c>
      <c r="P23" s="24">
        <v>58</v>
      </c>
      <c r="Q23" s="24"/>
      <c r="R23" s="24"/>
      <c r="S23" s="24"/>
      <c r="T23" s="24">
        <f t="shared" si="4"/>
        <v>0</v>
      </c>
      <c r="U23" s="24">
        <f t="shared" si="5"/>
        <v>0</v>
      </c>
      <c r="V23" s="24" t="str">
        <f t="shared" si="8"/>
        <v/>
      </c>
    </row>
    <row r="24" spans="1:27" x14ac:dyDescent="0.3">
      <c r="B24" s="24">
        <v>19</v>
      </c>
      <c r="C24" s="24"/>
      <c r="D24" s="24"/>
      <c r="E24" s="24"/>
      <c r="F24" s="24">
        <f t="shared" si="0"/>
        <v>0</v>
      </c>
      <c r="G24" s="24">
        <f t="shared" si="1"/>
        <v>0</v>
      </c>
      <c r="H24" s="24" t="str">
        <f t="shared" si="6"/>
        <v/>
      </c>
      <c r="I24" s="24">
        <v>39</v>
      </c>
      <c r="J24" s="24"/>
      <c r="K24" s="24"/>
      <c r="L24" s="24"/>
      <c r="M24" s="24">
        <f t="shared" si="2"/>
        <v>0</v>
      </c>
      <c r="N24" s="24">
        <f t="shared" si="3"/>
        <v>0</v>
      </c>
      <c r="O24" s="24" t="str">
        <f t="shared" si="7"/>
        <v/>
      </c>
      <c r="P24" s="24">
        <v>59</v>
      </c>
      <c r="Q24" s="24"/>
      <c r="R24" s="24"/>
      <c r="S24" s="24"/>
      <c r="T24" s="24">
        <f t="shared" si="4"/>
        <v>0</v>
      </c>
      <c r="U24" s="24">
        <f t="shared" si="5"/>
        <v>0</v>
      </c>
      <c r="V24" s="24" t="str">
        <f t="shared" si="8"/>
        <v/>
      </c>
    </row>
    <row r="25" spans="1:27" x14ac:dyDescent="0.3">
      <c r="B25" s="24">
        <v>20</v>
      </c>
      <c r="C25" s="24"/>
      <c r="D25" s="24"/>
      <c r="E25" s="24"/>
      <c r="F25" s="24">
        <f t="shared" si="0"/>
        <v>0</v>
      </c>
      <c r="G25" s="24">
        <f t="shared" si="1"/>
        <v>0</v>
      </c>
      <c r="H25" s="24" t="str">
        <f t="shared" si="6"/>
        <v/>
      </c>
      <c r="I25" s="24">
        <v>40</v>
      </c>
      <c r="J25" s="24"/>
      <c r="K25" s="24"/>
      <c r="L25" s="24"/>
      <c r="M25" s="24">
        <f t="shared" si="2"/>
        <v>0</v>
      </c>
      <c r="N25" s="24">
        <f t="shared" si="3"/>
        <v>0</v>
      </c>
      <c r="O25" s="24" t="str">
        <f t="shared" si="7"/>
        <v/>
      </c>
      <c r="P25" s="24">
        <v>60</v>
      </c>
      <c r="Q25" s="24"/>
      <c r="R25" s="24"/>
      <c r="S25" s="24"/>
      <c r="T25" s="24">
        <f t="shared" si="4"/>
        <v>0</v>
      </c>
      <c r="U25" s="24">
        <f t="shared" si="5"/>
        <v>0</v>
      </c>
      <c r="V25" s="24" t="str">
        <f t="shared" si="8"/>
        <v/>
      </c>
    </row>
    <row r="27" spans="1:27" x14ac:dyDescent="0.3">
      <c r="B27" s="26" t="s">
        <v>15</v>
      </c>
    </row>
    <row r="29" spans="1:27" ht="16.899999999999999" customHeight="1" x14ac:dyDescent="0.3">
      <c r="B29" s="1" t="s">
        <v>0</v>
      </c>
      <c r="C29" s="64"/>
      <c r="D29" s="73"/>
      <c r="E29" s="1" t="s">
        <v>33</v>
      </c>
      <c r="F29" s="64"/>
      <c r="G29" s="73"/>
      <c r="H29" s="1" t="s">
        <v>38</v>
      </c>
      <c r="I29" s="64"/>
      <c r="J29" s="64"/>
      <c r="K29" s="65"/>
      <c r="L29" s="1" t="s">
        <v>45</v>
      </c>
      <c r="M29" s="64"/>
      <c r="N29" s="64"/>
      <c r="O29" s="65"/>
      <c r="P29" s="1" t="s">
        <v>39</v>
      </c>
      <c r="Q29" s="64"/>
      <c r="R29" s="64"/>
      <c r="S29" s="65"/>
      <c r="T29" s="1" t="s">
        <v>42</v>
      </c>
      <c r="U29" s="64"/>
      <c r="V29" s="64"/>
      <c r="W29" s="65"/>
      <c r="X29" s="66" t="s">
        <v>40</v>
      </c>
      <c r="Y29" s="64"/>
      <c r="Z29" s="64"/>
      <c r="AA29" s="65"/>
    </row>
    <row r="30" spans="1:27" ht="17.25" thickBot="1" x14ac:dyDescent="0.35">
      <c r="A30" s="1" t="s">
        <v>37</v>
      </c>
      <c r="B30" s="17" t="s">
        <v>31</v>
      </c>
      <c r="C30" s="20" t="s">
        <v>36</v>
      </c>
      <c r="D30" s="18" t="s">
        <v>1</v>
      </c>
      <c r="E30" s="17" t="s">
        <v>31</v>
      </c>
      <c r="F30" s="20" t="s">
        <v>36</v>
      </c>
      <c r="G30" s="18" t="s">
        <v>1</v>
      </c>
      <c r="H30" s="17" t="s">
        <v>29</v>
      </c>
      <c r="I30" s="20" t="s">
        <v>35</v>
      </c>
      <c r="J30" s="20" t="s">
        <v>28</v>
      </c>
      <c r="K30" s="19" t="s">
        <v>1</v>
      </c>
      <c r="L30" s="17" t="s">
        <v>29</v>
      </c>
      <c r="M30" s="20" t="s">
        <v>35</v>
      </c>
      <c r="N30" s="20" t="s">
        <v>28</v>
      </c>
      <c r="O30" s="19" t="s">
        <v>1</v>
      </c>
      <c r="P30" s="17" t="s">
        <v>29</v>
      </c>
      <c r="Q30" s="20" t="s">
        <v>35</v>
      </c>
      <c r="R30" s="20" t="s">
        <v>28</v>
      </c>
      <c r="S30" s="19" t="s">
        <v>1</v>
      </c>
      <c r="T30" s="17" t="s">
        <v>29</v>
      </c>
      <c r="U30" s="20" t="s">
        <v>35</v>
      </c>
      <c r="V30" s="20" t="s">
        <v>28</v>
      </c>
      <c r="W30" s="19" t="s">
        <v>1</v>
      </c>
      <c r="X30" s="21" t="s">
        <v>29</v>
      </c>
      <c r="Y30" s="20" t="s">
        <v>35</v>
      </c>
      <c r="Z30" s="20" t="s">
        <v>28</v>
      </c>
      <c r="AA30" s="19" t="s">
        <v>1</v>
      </c>
    </row>
    <row r="31" spans="1:27" x14ac:dyDescent="0.3">
      <c r="A31" s="45">
        <f>B31*C31/1000000</f>
        <v>0.36</v>
      </c>
      <c r="B31" s="24">
        <v>1200</v>
      </c>
      <c r="C31" s="56">
        <v>300</v>
      </c>
      <c r="D31" s="7">
        <v>1</v>
      </c>
      <c r="E31" s="5">
        <f>B31</f>
        <v>1200</v>
      </c>
      <c r="F31" s="6">
        <f>C31</f>
        <v>300</v>
      </c>
      <c r="G31" s="7">
        <f>D31</f>
        <v>1</v>
      </c>
      <c r="H31" s="5">
        <v>1.6</v>
      </c>
      <c r="I31" s="6">
        <v>60</v>
      </c>
      <c r="J31" s="6">
        <f>E31-1</f>
        <v>1199</v>
      </c>
      <c r="K31" s="7">
        <f>D31*4</f>
        <v>4</v>
      </c>
      <c r="L31" s="5">
        <v>1.6</v>
      </c>
      <c r="M31" s="6">
        <v>60</v>
      </c>
      <c r="N31" s="6">
        <f>C31-30</f>
        <v>270</v>
      </c>
      <c r="O31" s="7">
        <f>D31*4</f>
        <v>4</v>
      </c>
      <c r="P31" s="5"/>
      <c r="Q31" s="6"/>
      <c r="R31" s="6"/>
      <c r="S31" s="7"/>
      <c r="T31" s="5"/>
      <c r="U31" s="6"/>
      <c r="V31" s="6"/>
      <c r="W31" s="7"/>
      <c r="X31" s="14"/>
      <c r="Y31" s="6"/>
      <c r="Z31" s="6"/>
      <c r="AA31" s="7"/>
    </row>
    <row r="32" spans="1:27" x14ac:dyDescent="0.3">
      <c r="A32" s="45">
        <f t="shared" ref="A32:A40" si="9">B32*C32/1000000</f>
        <v>0</v>
      </c>
      <c r="B32" s="24"/>
      <c r="C32" s="56"/>
      <c r="D32" s="10"/>
      <c r="E32" s="8">
        <f>B32</f>
        <v>0</v>
      </c>
      <c r="F32" s="9">
        <f>C32</f>
        <v>0</v>
      </c>
      <c r="G32" s="10">
        <f t="shared" ref="G32:G40" si="10">D32</f>
        <v>0</v>
      </c>
      <c r="H32" s="8">
        <v>1.6</v>
      </c>
      <c r="I32" s="9">
        <v>60</v>
      </c>
      <c r="J32" s="9">
        <f>E32-1</f>
        <v>-1</v>
      </c>
      <c r="K32" s="10">
        <f>D32*4</f>
        <v>0</v>
      </c>
      <c r="L32" s="8">
        <v>1.6</v>
      </c>
      <c r="M32" s="9">
        <v>60</v>
      </c>
      <c r="N32" s="9">
        <f>C32-30</f>
        <v>-30</v>
      </c>
      <c r="O32" s="10">
        <f>D32*4</f>
        <v>0</v>
      </c>
      <c r="P32" s="8"/>
      <c r="Q32" s="9"/>
      <c r="R32" s="9"/>
      <c r="S32" s="10"/>
      <c r="T32" s="8"/>
      <c r="U32" s="9"/>
      <c r="V32" s="9"/>
      <c r="W32" s="10"/>
      <c r="X32" s="15"/>
      <c r="Y32" s="9"/>
      <c r="Z32" s="9"/>
      <c r="AA32" s="10"/>
    </row>
    <row r="33" spans="1:27" x14ac:dyDescent="0.3">
      <c r="A33" s="45">
        <f t="shared" si="9"/>
        <v>0</v>
      </c>
      <c r="B33" s="24"/>
      <c r="C33" s="56"/>
      <c r="D33" s="10"/>
      <c r="E33" s="8">
        <f t="shared" ref="E33:F40" si="11">B33</f>
        <v>0</v>
      </c>
      <c r="F33" s="9">
        <f t="shared" si="11"/>
        <v>0</v>
      </c>
      <c r="G33" s="10">
        <f t="shared" si="10"/>
        <v>0</v>
      </c>
      <c r="H33" s="8">
        <v>1.6</v>
      </c>
      <c r="I33" s="9">
        <v>60</v>
      </c>
      <c r="J33" s="9">
        <f t="shared" ref="J33:J40" si="12">E33-1</f>
        <v>-1</v>
      </c>
      <c r="K33" s="10">
        <f t="shared" ref="K33:K40" si="13">D33*4</f>
        <v>0</v>
      </c>
      <c r="L33" s="8">
        <v>1.6</v>
      </c>
      <c r="M33" s="9">
        <v>60</v>
      </c>
      <c r="N33" s="9">
        <f t="shared" ref="N33:N40" si="14">C33-30</f>
        <v>-30</v>
      </c>
      <c r="O33" s="10">
        <f t="shared" ref="O33:O40" si="15">D33*4</f>
        <v>0</v>
      </c>
      <c r="P33" s="8"/>
      <c r="Q33" s="9"/>
      <c r="R33" s="9"/>
      <c r="S33" s="10"/>
      <c r="T33" s="8"/>
      <c r="U33" s="9"/>
      <c r="V33" s="9"/>
      <c r="W33" s="10"/>
      <c r="X33" s="15"/>
      <c r="Y33" s="9"/>
      <c r="Z33" s="9"/>
      <c r="AA33" s="10"/>
    </row>
    <row r="34" spans="1:27" x14ac:dyDescent="0.3">
      <c r="A34" s="45">
        <f t="shared" si="9"/>
        <v>0</v>
      </c>
      <c r="B34" s="8"/>
      <c r="C34" s="9"/>
      <c r="D34" s="10"/>
      <c r="E34" s="8">
        <f t="shared" si="11"/>
        <v>0</v>
      </c>
      <c r="F34" s="9">
        <f t="shared" si="11"/>
        <v>0</v>
      </c>
      <c r="G34" s="10">
        <f t="shared" si="10"/>
        <v>0</v>
      </c>
      <c r="H34" s="8">
        <v>1.6</v>
      </c>
      <c r="I34" s="9">
        <v>60</v>
      </c>
      <c r="J34" s="9">
        <f t="shared" si="12"/>
        <v>-1</v>
      </c>
      <c r="K34" s="10">
        <f t="shared" si="13"/>
        <v>0</v>
      </c>
      <c r="L34" s="8">
        <v>1.6</v>
      </c>
      <c r="M34" s="9">
        <v>60</v>
      </c>
      <c r="N34" s="9">
        <f t="shared" si="14"/>
        <v>-30</v>
      </c>
      <c r="O34" s="10">
        <f t="shared" si="15"/>
        <v>0</v>
      </c>
      <c r="P34" s="8"/>
      <c r="Q34" s="9"/>
      <c r="R34" s="9"/>
      <c r="S34" s="10"/>
      <c r="T34" s="8"/>
      <c r="U34" s="9"/>
      <c r="V34" s="9"/>
      <c r="W34" s="10"/>
      <c r="X34" s="15"/>
      <c r="Y34" s="9"/>
      <c r="Z34" s="9"/>
      <c r="AA34" s="10"/>
    </row>
    <row r="35" spans="1:27" x14ac:dyDescent="0.3">
      <c r="A35" s="45">
        <f t="shared" si="9"/>
        <v>0</v>
      </c>
      <c r="B35" s="8"/>
      <c r="C35" s="9"/>
      <c r="D35" s="10"/>
      <c r="E35" s="8">
        <f t="shared" si="11"/>
        <v>0</v>
      </c>
      <c r="F35" s="9">
        <f t="shared" si="11"/>
        <v>0</v>
      </c>
      <c r="G35" s="10">
        <f t="shared" si="10"/>
        <v>0</v>
      </c>
      <c r="H35" s="8">
        <v>1.6</v>
      </c>
      <c r="I35" s="9">
        <v>60</v>
      </c>
      <c r="J35" s="9">
        <f t="shared" si="12"/>
        <v>-1</v>
      </c>
      <c r="K35" s="10">
        <f t="shared" si="13"/>
        <v>0</v>
      </c>
      <c r="L35" s="8">
        <v>1.6</v>
      </c>
      <c r="M35" s="9">
        <v>60</v>
      </c>
      <c r="N35" s="9">
        <f t="shared" si="14"/>
        <v>-30</v>
      </c>
      <c r="O35" s="10">
        <f t="shared" si="15"/>
        <v>0</v>
      </c>
      <c r="P35" s="8"/>
      <c r="Q35" s="9"/>
      <c r="R35" s="9"/>
      <c r="S35" s="10"/>
      <c r="T35" s="8"/>
      <c r="U35" s="9"/>
      <c r="V35" s="9"/>
      <c r="W35" s="10"/>
      <c r="X35" s="15"/>
      <c r="Y35" s="9"/>
      <c r="Z35" s="9"/>
      <c r="AA35" s="10"/>
    </row>
    <row r="36" spans="1:27" x14ac:dyDescent="0.3">
      <c r="A36" s="45">
        <f t="shared" si="9"/>
        <v>0</v>
      </c>
      <c r="B36" s="8"/>
      <c r="C36" s="9"/>
      <c r="D36" s="10"/>
      <c r="E36" s="8">
        <f t="shared" si="11"/>
        <v>0</v>
      </c>
      <c r="F36" s="9">
        <f t="shared" si="11"/>
        <v>0</v>
      </c>
      <c r="G36" s="10">
        <f t="shared" si="10"/>
        <v>0</v>
      </c>
      <c r="H36" s="8">
        <v>1.6</v>
      </c>
      <c r="I36" s="9">
        <v>60</v>
      </c>
      <c r="J36" s="9">
        <f t="shared" si="12"/>
        <v>-1</v>
      </c>
      <c r="K36" s="10">
        <f t="shared" si="13"/>
        <v>0</v>
      </c>
      <c r="L36" s="8">
        <v>1.6</v>
      </c>
      <c r="M36" s="9">
        <v>60</v>
      </c>
      <c r="N36" s="9">
        <f t="shared" si="14"/>
        <v>-30</v>
      </c>
      <c r="O36" s="10">
        <f t="shared" si="15"/>
        <v>0</v>
      </c>
      <c r="P36" s="8"/>
      <c r="Q36" s="9"/>
      <c r="R36" s="9"/>
      <c r="S36" s="10"/>
      <c r="T36" s="8"/>
      <c r="U36" s="9"/>
      <c r="V36" s="9"/>
      <c r="W36" s="10"/>
      <c r="X36" s="15"/>
      <c r="Y36" s="9"/>
      <c r="Z36" s="9"/>
      <c r="AA36" s="10"/>
    </row>
    <row r="37" spans="1:27" x14ac:dyDescent="0.3">
      <c r="A37" s="45">
        <f t="shared" si="9"/>
        <v>0</v>
      </c>
      <c r="B37" s="8"/>
      <c r="C37" s="9"/>
      <c r="D37" s="10"/>
      <c r="E37" s="8">
        <f t="shared" si="11"/>
        <v>0</v>
      </c>
      <c r="F37" s="9">
        <f t="shared" si="11"/>
        <v>0</v>
      </c>
      <c r="G37" s="10">
        <f t="shared" si="10"/>
        <v>0</v>
      </c>
      <c r="H37" s="8">
        <v>1.6</v>
      </c>
      <c r="I37" s="9">
        <v>60</v>
      </c>
      <c r="J37" s="9">
        <f t="shared" si="12"/>
        <v>-1</v>
      </c>
      <c r="K37" s="10">
        <f t="shared" si="13"/>
        <v>0</v>
      </c>
      <c r="L37" s="8">
        <v>1.6</v>
      </c>
      <c r="M37" s="9">
        <v>60</v>
      </c>
      <c r="N37" s="9">
        <f t="shared" si="14"/>
        <v>-30</v>
      </c>
      <c r="O37" s="10">
        <f t="shared" si="15"/>
        <v>0</v>
      </c>
      <c r="P37" s="8"/>
      <c r="Q37" s="9"/>
      <c r="R37" s="9"/>
      <c r="S37" s="10"/>
      <c r="T37" s="8"/>
      <c r="U37" s="9"/>
      <c r="V37" s="9"/>
      <c r="W37" s="10"/>
      <c r="X37" s="15"/>
      <c r="Y37" s="9"/>
      <c r="Z37" s="9"/>
      <c r="AA37" s="10"/>
    </row>
    <row r="38" spans="1:27" x14ac:dyDescent="0.3">
      <c r="A38" s="45">
        <f t="shared" si="9"/>
        <v>0</v>
      </c>
      <c r="B38" s="8"/>
      <c r="C38" s="9"/>
      <c r="D38" s="10"/>
      <c r="E38" s="8">
        <f t="shared" si="11"/>
        <v>0</v>
      </c>
      <c r="F38" s="9">
        <f t="shared" si="11"/>
        <v>0</v>
      </c>
      <c r="G38" s="10">
        <f t="shared" si="10"/>
        <v>0</v>
      </c>
      <c r="H38" s="8">
        <v>1.6</v>
      </c>
      <c r="I38" s="9">
        <v>60</v>
      </c>
      <c r="J38" s="9">
        <f t="shared" si="12"/>
        <v>-1</v>
      </c>
      <c r="K38" s="10">
        <f t="shared" si="13"/>
        <v>0</v>
      </c>
      <c r="L38" s="8">
        <v>1.6</v>
      </c>
      <c r="M38" s="9">
        <v>60</v>
      </c>
      <c r="N38" s="9">
        <f t="shared" si="14"/>
        <v>-30</v>
      </c>
      <c r="O38" s="10">
        <f t="shared" si="15"/>
        <v>0</v>
      </c>
      <c r="P38" s="8"/>
      <c r="Q38" s="9"/>
      <c r="R38" s="9"/>
      <c r="S38" s="10"/>
      <c r="T38" s="8"/>
      <c r="U38" s="9"/>
      <c r="V38" s="9"/>
      <c r="W38" s="10"/>
      <c r="X38" s="15"/>
      <c r="Y38" s="9"/>
      <c r="Z38" s="9"/>
      <c r="AA38" s="10"/>
    </row>
    <row r="39" spans="1:27" x14ac:dyDescent="0.3">
      <c r="A39" s="45">
        <f t="shared" si="9"/>
        <v>0</v>
      </c>
      <c r="B39" s="8"/>
      <c r="C39" s="9"/>
      <c r="D39" s="10"/>
      <c r="E39" s="8">
        <f t="shared" si="11"/>
        <v>0</v>
      </c>
      <c r="F39" s="9">
        <f t="shared" si="11"/>
        <v>0</v>
      </c>
      <c r="G39" s="10">
        <f t="shared" si="10"/>
        <v>0</v>
      </c>
      <c r="H39" s="8">
        <v>1.6000000000000016</v>
      </c>
      <c r="I39" s="9">
        <v>60</v>
      </c>
      <c r="J39" s="9">
        <f t="shared" si="12"/>
        <v>-1</v>
      </c>
      <c r="K39" s="10">
        <f t="shared" si="13"/>
        <v>0</v>
      </c>
      <c r="L39" s="8">
        <v>1.6</v>
      </c>
      <c r="M39" s="9">
        <v>60</v>
      </c>
      <c r="N39" s="9">
        <f t="shared" si="14"/>
        <v>-30</v>
      </c>
      <c r="O39" s="10">
        <f t="shared" si="15"/>
        <v>0</v>
      </c>
      <c r="P39" s="8"/>
      <c r="Q39" s="9"/>
      <c r="R39" s="9"/>
      <c r="S39" s="10"/>
      <c r="T39" s="8"/>
      <c r="U39" s="9"/>
      <c r="V39" s="9"/>
      <c r="W39" s="10"/>
      <c r="X39" s="15"/>
      <c r="Y39" s="9"/>
      <c r="Z39" s="9"/>
      <c r="AA39" s="10"/>
    </row>
    <row r="40" spans="1:27" ht="17.25" thickBot="1" x14ac:dyDescent="0.35">
      <c r="A40" s="45">
        <f t="shared" si="9"/>
        <v>0</v>
      </c>
      <c r="B40" s="11"/>
      <c r="C40" s="12"/>
      <c r="D40" s="13"/>
      <c r="E40" s="11">
        <f t="shared" si="11"/>
        <v>0</v>
      </c>
      <c r="F40" s="12">
        <f t="shared" si="11"/>
        <v>0</v>
      </c>
      <c r="G40" s="13">
        <f t="shared" si="10"/>
        <v>0</v>
      </c>
      <c r="H40" s="11">
        <v>1.6000000000000019</v>
      </c>
      <c r="I40" s="12">
        <v>60</v>
      </c>
      <c r="J40" s="9">
        <f t="shared" si="12"/>
        <v>-1</v>
      </c>
      <c r="K40" s="44">
        <f t="shared" si="13"/>
        <v>0</v>
      </c>
      <c r="L40" s="42">
        <v>1.6</v>
      </c>
      <c r="M40" s="43">
        <v>60</v>
      </c>
      <c r="N40" s="43">
        <f t="shared" si="14"/>
        <v>-30</v>
      </c>
      <c r="O40" s="44">
        <f t="shared" si="15"/>
        <v>0</v>
      </c>
      <c r="P40" s="11"/>
      <c r="Q40" s="12"/>
      <c r="R40" s="12"/>
      <c r="S40" s="13"/>
      <c r="T40" s="11"/>
      <c r="U40" s="12"/>
      <c r="V40" s="12"/>
      <c r="W40" s="13"/>
      <c r="X40" s="16"/>
      <c r="Y40" s="12"/>
      <c r="Z40" s="12"/>
      <c r="AA40" s="13"/>
    </row>
    <row r="41" spans="1:27" ht="16.899999999999999" customHeight="1" x14ac:dyDescent="0.3">
      <c r="B41" s="67"/>
      <c r="C41" s="1"/>
      <c r="D41" s="1"/>
      <c r="E41" s="1"/>
      <c r="F41" s="1"/>
      <c r="G41" s="1"/>
      <c r="H41" s="70" t="s">
        <v>10</v>
      </c>
      <c r="I41" s="71"/>
      <c r="J41" s="71"/>
      <c r="K41" s="72"/>
      <c r="L41" s="70" t="s">
        <v>24</v>
      </c>
      <c r="M41" s="71"/>
      <c r="N41" s="71"/>
      <c r="O41" s="72"/>
      <c r="P41" s="70" t="s">
        <v>7</v>
      </c>
      <c r="Q41" s="71"/>
      <c r="R41" s="71"/>
      <c r="S41" s="72"/>
      <c r="T41" s="70" t="s">
        <v>3</v>
      </c>
      <c r="U41" s="71"/>
      <c r="V41" s="71"/>
      <c r="W41" s="72"/>
      <c r="X41" s="1"/>
      <c r="Y41" s="1"/>
      <c r="Z41" s="1"/>
      <c r="AA41" s="2"/>
    </row>
    <row r="42" spans="1:27" x14ac:dyDescent="0.3">
      <c r="B42" s="67"/>
      <c r="C42" s="1"/>
      <c r="D42" s="1"/>
      <c r="E42" s="1"/>
      <c r="F42" s="1"/>
      <c r="G42" s="1"/>
      <c r="H42" s="17" t="s">
        <v>29</v>
      </c>
      <c r="I42" s="20" t="s">
        <v>35</v>
      </c>
      <c r="J42" s="20" t="s">
        <v>28</v>
      </c>
      <c r="K42" s="29" t="s">
        <v>27</v>
      </c>
      <c r="L42" s="17" t="s">
        <v>29</v>
      </c>
      <c r="M42" s="20" t="s">
        <v>35</v>
      </c>
      <c r="N42" s="20" t="s">
        <v>28</v>
      </c>
      <c r="O42" s="19" t="s">
        <v>1</v>
      </c>
      <c r="P42" s="30" t="s">
        <v>29</v>
      </c>
      <c r="Q42" s="31" t="s">
        <v>35</v>
      </c>
      <c r="R42" s="31" t="s">
        <v>46</v>
      </c>
      <c r="S42" s="29" t="s">
        <v>27</v>
      </c>
      <c r="T42" s="30" t="s">
        <v>29</v>
      </c>
      <c r="U42" s="31" t="s">
        <v>35</v>
      </c>
      <c r="V42" s="31" t="s">
        <v>46</v>
      </c>
      <c r="W42" s="29" t="s">
        <v>27</v>
      </c>
      <c r="X42" s="1"/>
      <c r="Y42" s="1"/>
      <c r="Z42" s="1"/>
      <c r="AA42" s="2"/>
    </row>
    <row r="43" spans="1:27" x14ac:dyDescent="0.3">
      <c r="B43" s="67"/>
      <c r="C43" s="1"/>
      <c r="D43" s="1"/>
      <c r="E43" s="1"/>
      <c r="F43" s="1"/>
      <c r="G43" s="1"/>
      <c r="H43" s="5">
        <v>25</v>
      </c>
      <c r="I43" s="6">
        <v>200</v>
      </c>
      <c r="J43" s="6">
        <f>(((B31+60)*2)+(C31*2))*D31</f>
        <v>3120</v>
      </c>
      <c r="K43" s="38">
        <f>(J43/7320)</f>
        <v>0.42622950819672129</v>
      </c>
      <c r="L43" s="5">
        <v>0.5</v>
      </c>
      <c r="M43" s="6">
        <v>145</v>
      </c>
      <c r="N43" s="6">
        <v>1000</v>
      </c>
      <c r="O43" s="32">
        <f>((_xlfn.IFS((B31+310)&lt;=500,0.5,(B31+310)&lt;=1000,1,(B31+310)&lt;=1500,1.5,(B31+310)&lt;=2000,2,(B31+310)&lt;=2500,2.5,(B31+310)&lt;=3000,3)*2+(_xlfn.IFS((C31+60)&lt;=500,0.5,(C31+60)&lt;=1000,1,(C31+60)&lt;=1500,1.5,(C31+60)&lt;=2000,2,(C31+60)&lt;=2500,2.5,(C31+60)&lt;=3000,3))*2)*2)*D31</f>
        <v>10</v>
      </c>
      <c r="P43" s="5">
        <v>25</v>
      </c>
      <c r="Q43" s="6">
        <v>1400</v>
      </c>
      <c r="R43" s="6">
        <f>(((B31+C31)*2+300)*2)*D31</f>
        <v>6600</v>
      </c>
      <c r="S43" s="53">
        <f>(R43/20000)</f>
        <v>0.33</v>
      </c>
      <c r="T43" s="5">
        <v>25</v>
      </c>
      <c r="U43" s="6">
        <v>1400</v>
      </c>
      <c r="V43" s="6">
        <f>(((B31+C31)*2+300)*2)*D31</f>
        <v>6600</v>
      </c>
      <c r="W43" s="38">
        <f>(V43/20000)</f>
        <v>0.33</v>
      </c>
      <c r="X43" s="1"/>
      <c r="Y43" s="1"/>
      <c r="Z43" s="1"/>
      <c r="AA43" s="2"/>
    </row>
    <row r="44" spans="1:27" x14ac:dyDescent="0.3">
      <c r="B44" s="67"/>
      <c r="C44" s="1"/>
      <c r="D44" s="1"/>
      <c r="E44" s="1"/>
      <c r="F44" s="1"/>
      <c r="G44" s="1"/>
      <c r="H44" s="8">
        <v>25</v>
      </c>
      <c r="I44" s="9">
        <v>200</v>
      </c>
      <c r="J44" s="9">
        <f t="shared" ref="J44:J52" si="16">(((B32+60)*2)+(C32*2))*D32</f>
        <v>0</v>
      </c>
      <c r="K44" s="39">
        <f t="shared" ref="K44:K52" si="17">(J44/7320)</f>
        <v>0</v>
      </c>
      <c r="L44" s="8">
        <v>0.5</v>
      </c>
      <c r="M44" s="9">
        <v>145</v>
      </c>
      <c r="N44" s="9">
        <v>1000</v>
      </c>
      <c r="O44" s="33">
        <f t="shared" ref="O44:O52" si="18">((_xlfn.IFS((B32+310)&lt;=500,0.5,(B32+310)&lt;=1000,1,(B32+310)&lt;=1500,1.5,(B32+310)&lt;=2000,2,(B32+310)&lt;=2500,2.5,(B32+310)&lt;=3000,3)*2+(_xlfn.IFS((C32+60)&lt;=500,0.5,(C32+60)&lt;=1000,1,(C32+60)&lt;=1500,1.5,(C32+60)&lt;=2000,2,(C32+60)&lt;=2500,2.5,(C32+60)&lt;=3000,3))*2)*2)*D32</f>
        <v>0</v>
      </c>
      <c r="P44" s="8">
        <v>25</v>
      </c>
      <c r="Q44" s="9">
        <v>1400</v>
      </c>
      <c r="R44" s="9">
        <f t="shared" ref="R44:R52" si="19">(((B32+C32)*2+300)*2)*D32</f>
        <v>0</v>
      </c>
      <c r="S44" s="54">
        <f t="shared" ref="S44:S52" si="20">(R44/20000)</f>
        <v>0</v>
      </c>
      <c r="T44" s="8">
        <v>25</v>
      </c>
      <c r="U44" s="9">
        <v>1400</v>
      </c>
      <c r="V44" s="9">
        <f t="shared" ref="V44:V52" si="21">(((B32+C32)*2+300)*2)*D32</f>
        <v>0</v>
      </c>
      <c r="W44" s="39">
        <f t="shared" ref="W44:W52" si="22">(V44/20000)</f>
        <v>0</v>
      </c>
      <c r="X44" s="1"/>
      <c r="Y44" s="1"/>
      <c r="Z44" s="1"/>
      <c r="AA44" s="2"/>
    </row>
    <row r="45" spans="1:27" x14ac:dyDescent="0.3">
      <c r="B45" s="67"/>
      <c r="C45" s="1"/>
      <c r="D45" s="1"/>
      <c r="E45" s="1"/>
      <c r="F45" s="1"/>
      <c r="G45" s="1"/>
      <c r="H45" s="8">
        <v>25</v>
      </c>
      <c r="I45" s="9">
        <v>200</v>
      </c>
      <c r="J45" s="9">
        <f t="shared" si="16"/>
        <v>0</v>
      </c>
      <c r="K45" s="39">
        <f t="shared" si="17"/>
        <v>0</v>
      </c>
      <c r="L45" s="8">
        <v>0.5</v>
      </c>
      <c r="M45" s="9">
        <v>145</v>
      </c>
      <c r="N45" s="9">
        <v>1000</v>
      </c>
      <c r="O45" s="33">
        <f t="shared" si="18"/>
        <v>0</v>
      </c>
      <c r="P45" s="8">
        <v>25</v>
      </c>
      <c r="Q45" s="9">
        <v>1400</v>
      </c>
      <c r="R45" s="9">
        <f t="shared" si="19"/>
        <v>0</v>
      </c>
      <c r="S45" s="54">
        <f t="shared" si="20"/>
        <v>0</v>
      </c>
      <c r="T45" s="8">
        <v>25</v>
      </c>
      <c r="U45" s="9">
        <v>1400</v>
      </c>
      <c r="V45" s="9">
        <f t="shared" si="21"/>
        <v>0</v>
      </c>
      <c r="W45" s="39">
        <f t="shared" si="22"/>
        <v>0</v>
      </c>
      <c r="X45" s="1"/>
      <c r="Y45" s="1"/>
      <c r="Z45" s="1"/>
      <c r="AA45" s="2"/>
    </row>
    <row r="46" spans="1:27" x14ac:dyDescent="0.3">
      <c r="B46" s="67"/>
      <c r="C46" s="1"/>
      <c r="D46" s="1"/>
      <c r="E46" s="1"/>
      <c r="F46" s="1"/>
      <c r="G46" s="1"/>
      <c r="H46" s="8">
        <v>25</v>
      </c>
      <c r="I46" s="9">
        <v>200</v>
      </c>
      <c r="J46" s="9">
        <f t="shared" si="16"/>
        <v>0</v>
      </c>
      <c r="K46" s="39">
        <f t="shared" si="17"/>
        <v>0</v>
      </c>
      <c r="L46" s="8">
        <v>0.5</v>
      </c>
      <c r="M46" s="9">
        <v>145</v>
      </c>
      <c r="N46" s="9">
        <v>1000</v>
      </c>
      <c r="O46" s="33">
        <f t="shared" si="18"/>
        <v>0</v>
      </c>
      <c r="P46" s="8">
        <v>25</v>
      </c>
      <c r="Q46" s="9">
        <v>1400</v>
      </c>
      <c r="R46" s="9">
        <f t="shared" si="19"/>
        <v>0</v>
      </c>
      <c r="S46" s="54">
        <f t="shared" si="20"/>
        <v>0</v>
      </c>
      <c r="T46" s="8">
        <v>25</v>
      </c>
      <c r="U46" s="9">
        <v>1400</v>
      </c>
      <c r="V46" s="9">
        <f t="shared" si="21"/>
        <v>0</v>
      </c>
      <c r="W46" s="39">
        <f t="shared" si="22"/>
        <v>0</v>
      </c>
      <c r="X46" s="1"/>
      <c r="Y46" s="1"/>
      <c r="Z46" s="1"/>
      <c r="AA46" s="2"/>
    </row>
    <row r="47" spans="1:27" x14ac:dyDescent="0.3">
      <c r="B47" s="67"/>
      <c r="C47" s="1"/>
      <c r="D47" s="1"/>
      <c r="E47" s="1"/>
      <c r="F47" s="1"/>
      <c r="G47" s="1"/>
      <c r="H47" s="8">
        <v>25</v>
      </c>
      <c r="I47" s="9">
        <v>200</v>
      </c>
      <c r="J47" s="9">
        <f t="shared" si="16"/>
        <v>0</v>
      </c>
      <c r="K47" s="39">
        <f t="shared" si="17"/>
        <v>0</v>
      </c>
      <c r="L47" s="8">
        <v>0.5</v>
      </c>
      <c r="M47" s="9">
        <v>145</v>
      </c>
      <c r="N47" s="9">
        <v>1000</v>
      </c>
      <c r="O47" s="33">
        <f t="shared" si="18"/>
        <v>0</v>
      </c>
      <c r="P47" s="8">
        <v>25</v>
      </c>
      <c r="Q47" s="9">
        <v>1400</v>
      </c>
      <c r="R47" s="9">
        <f t="shared" si="19"/>
        <v>0</v>
      </c>
      <c r="S47" s="54">
        <f t="shared" si="20"/>
        <v>0</v>
      </c>
      <c r="T47" s="8">
        <v>25</v>
      </c>
      <c r="U47" s="9">
        <v>1400</v>
      </c>
      <c r="V47" s="9">
        <f t="shared" si="21"/>
        <v>0</v>
      </c>
      <c r="W47" s="39">
        <f t="shared" si="22"/>
        <v>0</v>
      </c>
      <c r="X47" s="1"/>
      <c r="Y47" s="1"/>
      <c r="Z47" s="1"/>
      <c r="AA47" s="2"/>
    </row>
    <row r="48" spans="1:27" x14ac:dyDescent="0.3">
      <c r="B48" s="67"/>
      <c r="C48" s="1"/>
      <c r="D48" s="1"/>
      <c r="E48" s="1"/>
      <c r="F48" s="1"/>
      <c r="G48" s="1"/>
      <c r="H48" s="8">
        <v>25</v>
      </c>
      <c r="I48" s="9">
        <v>200</v>
      </c>
      <c r="J48" s="9">
        <f t="shared" si="16"/>
        <v>0</v>
      </c>
      <c r="K48" s="39">
        <f t="shared" si="17"/>
        <v>0</v>
      </c>
      <c r="L48" s="8">
        <v>0.5</v>
      </c>
      <c r="M48" s="9">
        <v>145</v>
      </c>
      <c r="N48" s="9">
        <v>1000</v>
      </c>
      <c r="O48" s="33">
        <f t="shared" si="18"/>
        <v>0</v>
      </c>
      <c r="P48" s="8">
        <v>25</v>
      </c>
      <c r="Q48" s="9">
        <v>1400</v>
      </c>
      <c r="R48" s="9">
        <f t="shared" si="19"/>
        <v>0</v>
      </c>
      <c r="S48" s="54">
        <f t="shared" si="20"/>
        <v>0</v>
      </c>
      <c r="T48" s="8">
        <v>25</v>
      </c>
      <c r="U48" s="9">
        <v>1400</v>
      </c>
      <c r="V48" s="9">
        <f t="shared" si="21"/>
        <v>0</v>
      </c>
      <c r="W48" s="39">
        <f t="shared" si="22"/>
        <v>0</v>
      </c>
      <c r="X48" s="1"/>
      <c r="Y48" s="1"/>
      <c r="Z48" s="1"/>
      <c r="AA48" s="2"/>
    </row>
    <row r="49" spans="1:27" x14ac:dyDescent="0.3">
      <c r="B49" s="67"/>
      <c r="C49" s="1"/>
      <c r="D49" s="1"/>
      <c r="E49" s="1"/>
      <c r="F49" s="1"/>
      <c r="G49" s="1"/>
      <c r="H49" s="8">
        <v>25</v>
      </c>
      <c r="I49" s="9">
        <v>200</v>
      </c>
      <c r="J49" s="9">
        <f t="shared" si="16"/>
        <v>0</v>
      </c>
      <c r="K49" s="39">
        <f t="shared" si="17"/>
        <v>0</v>
      </c>
      <c r="L49" s="8">
        <v>0.5</v>
      </c>
      <c r="M49" s="9">
        <v>145</v>
      </c>
      <c r="N49" s="9">
        <v>1000</v>
      </c>
      <c r="O49" s="33">
        <f t="shared" si="18"/>
        <v>0</v>
      </c>
      <c r="P49" s="8">
        <v>25</v>
      </c>
      <c r="Q49" s="9">
        <v>1400</v>
      </c>
      <c r="R49" s="9">
        <f t="shared" si="19"/>
        <v>0</v>
      </c>
      <c r="S49" s="54">
        <f t="shared" si="20"/>
        <v>0</v>
      </c>
      <c r="T49" s="8">
        <v>25</v>
      </c>
      <c r="U49" s="9">
        <v>1400</v>
      </c>
      <c r="V49" s="9">
        <f t="shared" si="21"/>
        <v>0</v>
      </c>
      <c r="W49" s="39">
        <f t="shared" si="22"/>
        <v>0</v>
      </c>
      <c r="X49" s="1"/>
      <c r="Y49" s="1"/>
      <c r="Z49" s="1"/>
      <c r="AA49" s="2"/>
    </row>
    <row r="50" spans="1:27" x14ac:dyDescent="0.3">
      <c r="B50" s="67"/>
      <c r="C50" s="1"/>
      <c r="D50" s="1"/>
      <c r="E50" s="1"/>
      <c r="F50" s="1"/>
      <c r="G50" s="1"/>
      <c r="H50" s="8">
        <v>25</v>
      </c>
      <c r="I50" s="9">
        <v>200</v>
      </c>
      <c r="J50" s="9">
        <f t="shared" si="16"/>
        <v>0</v>
      </c>
      <c r="K50" s="39">
        <f t="shared" si="17"/>
        <v>0</v>
      </c>
      <c r="L50" s="8">
        <v>0.5</v>
      </c>
      <c r="M50" s="9">
        <v>145</v>
      </c>
      <c r="N50" s="9">
        <v>1000</v>
      </c>
      <c r="O50" s="33">
        <f t="shared" si="18"/>
        <v>0</v>
      </c>
      <c r="P50" s="8">
        <v>25</v>
      </c>
      <c r="Q50" s="9">
        <v>1400</v>
      </c>
      <c r="R50" s="9">
        <f t="shared" si="19"/>
        <v>0</v>
      </c>
      <c r="S50" s="54">
        <f t="shared" si="20"/>
        <v>0</v>
      </c>
      <c r="T50" s="8">
        <v>25</v>
      </c>
      <c r="U50" s="9">
        <v>1400</v>
      </c>
      <c r="V50" s="9">
        <f t="shared" si="21"/>
        <v>0</v>
      </c>
      <c r="W50" s="39">
        <f t="shared" si="22"/>
        <v>0</v>
      </c>
      <c r="X50" s="1"/>
      <c r="Y50" s="1"/>
      <c r="Z50" s="1"/>
      <c r="AA50" s="2"/>
    </row>
    <row r="51" spans="1:27" x14ac:dyDescent="0.3">
      <c r="B51" s="67"/>
      <c r="C51" s="1"/>
      <c r="D51" s="1"/>
      <c r="E51" s="1"/>
      <c r="F51" s="1"/>
      <c r="G51" s="1"/>
      <c r="H51" s="8">
        <v>25</v>
      </c>
      <c r="I51" s="9">
        <v>200</v>
      </c>
      <c r="J51" s="9">
        <f t="shared" si="16"/>
        <v>0</v>
      </c>
      <c r="K51" s="39">
        <f t="shared" si="17"/>
        <v>0</v>
      </c>
      <c r="L51" s="8">
        <v>0.5</v>
      </c>
      <c r="M51" s="9">
        <v>145</v>
      </c>
      <c r="N51" s="9">
        <v>1000</v>
      </c>
      <c r="O51" s="33">
        <f t="shared" si="18"/>
        <v>0</v>
      </c>
      <c r="P51" s="8">
        <v>25</v>
      </c>
      <c r="Q51" s="9">
        <v>1400</v>
      </c>
      <c r="R51" s="9">
        <f t="shared" si="19"/>
        <v>0</v>
      </c>
      <c r="S51" s="54">
        <f t="shared" si="20"/>
        <v>0</v>
      </c>
      <c r="T51" s="8">
        <v>25</v>
      </c>
      <c r="U51" s="9">
        <v>1400</v>
      </c>
      <c r="V51" s="9">
        <f t="shared" si="21"/>
        <v>0</v>
      </c>
      <c r="W51" s="39">
        <f t="shared" si="22"/>
        <v>0</v>
      </c>
      <c r="X51" s="1"/>
      <c r="Y51" s="1"/>
      <c r="Z51" s="1"/>
      <c r="AA51" s="2"/>
    </row>
    <row r="52" spans="1:27" x14ac:dyDescent="0.3">
      <c r="B52" s="68"/>
      <c r="C52" s="69"/>
      <c r="D52" s="69"/>
      <c r="E52" s="69"/>
      <c r="F52" s="69"/>
      <c r="G52" s="69"/>
      <c r="H52" s="11">
        <v>25</v>
      </c>
      <c r="I52" s="12">
        <v>200</v>
      </c>
      <c r="J52" s="12">
        <f t="shared" si="16"/>
        <v>0</v>
      </c>
      <c r="K52" s="40">
        <f t="shared" si="17"/>
        <v>0</v>
      </c>
      <c r="L52" s="11">
        <v>0.5</v>
      </c>
      <c r="M52" s="12">
        <v>145</v>
      </c>
      <c r="N52" s="12">
        <v>1000</v>
      </c>
      <c r="O52" s="34">
        <f t="shared" si="18"/>
        <v>0</v>
      </c>
      <c r="P52" s="11">
        <v>25</v>
      </c>
      <c r="Q52" s="12">
        <v>1400</v>
      </c>
      <c r="R52" s="12">
        <f t="shared" si="19"/>
        <v>0</v>
      </c>
      <c r="S52" s="55">
        <f t="shared" si="20"/>
        <v>0</v>
      </c>
      <c r="T52" s="11">
        <v>25</v>
      </c>
      <c r="U52" s="12">
        <v>1400</v>
      </c>
      <c r="V52" s="12">
        <f t="shared" si="21"/>
        <v>0</v>
      </c>
      <c r="W52" s="40">
        <f t="shared" si="22"/>
        <v>0</v>
      </c>
      <c r="X52" s="3"/>
      <c r="Y52" s="3"/>
      <c r="Z52" s="3"/>
      <c r="AA52" s="4"/>
    </row>
    <row r="53" spans="1:27" x14ac:dyDescent="0.3">
      <c r="B53" s="1"/>
      <c r="C53" s="1"/>
      <c r="D53" s="1"/>
      <c r="E53" s="1"/>
      <c r="F53" s="1"/>
      <c r="G53" s="1"/>
      <c r="J53" s="35" t="s">
        <v>34</v>
      </c>
      <c r="K53" s="37">
        <f>SUM(K43:K52)</f>
        <v>0.42622950819672129</v>
      </c>
      <c r="L53" s="1"/>
      <c r="M53" s="1"/>
      <c r="N53" s="35" t="s">
        <v>34</v>
      </c>
      <c r="O53" s="36">
        <f>SUM(O43:O52)</f>
        <v>10</v>
      </c>
      <c r="P53" s="1"/>
      <c r="Q53" s="1"/>
      <c r="R53" s="35" t="s">
        <v>34</v>
      </c>
      <c r="S53" s="37">
        <f>SUM(S43:S52)</f>
        <v>0.33</v>
      </c>
      <c r="T53" s="1"/>
      <c r="U53" s="1"/>
      <c r="V53" s="35" t="s">
        <v>34</v>
      </c>
      <c r="W53" s="37">
        <f>SUM(W43:W52)</f>
        <v>0.33</v>
      </c>
      <c r="X53" s="1"/>
      <c r="Y53" s="1"/>
      <c r="Z53" s="1"/>
      <c r="AA53" s="1"/>
    </row>
    <row r="54" spans="1:27" x14ac:dyDescent="0.3">
      <c r="B54" s="26" t="s">
        <v>18</v>
      </c>
    </row>
    <row r="56" spans="1:27" ht="16.899999999999999" customHeight="1" x14ac:dyDescent="0.3">
      <c r="B56" s="1" t="s">
        <v>0</v>
      </c>
      <c r="C56" s="64"/>
      <c r="D56" s="65"/>
      <c r="E56" s="74" t="s">
        <v>33</v>
      </c>
      <c r="F56" s="75"/>
      <c r="G56" s="75"/>
      <c r="H56" s="1" t="s">
        <v>38</v>
      </c>
      <c r="I56" s="64"/>
      <c r="J56" s="64"/>
      <c r="K56" s="65"/>
      <c r="L56" s="1" t="s">
        <v>45</v>
      </c>
      <c r="M56" s="64"/>
      <c r="N56" s="64"/>
      <c r="O56" s="65"/>
      <c r="P56" s="1" t="s">
        <v>39</v>
      </c>
      <c r="Q56" s="64"/>
      <c r="R56" s="64"/>
      <c r="S56" s="65"/>
      <c r="T56" s="1" t="s">
        <v>42</v>
      </c>
      <c r="U56" s="64"/>
      <c r="V56" s="64"/>
      <c r="W56" s="65"/>
      <c r="X56" s="66" t="s">
        <v>40</v>
      </c>
      <c r="Y56" s="64"/>
      <c r="Z56" s="64"/>
      <c r="AA56" s="65"/>
    </row>
    <row r="57" spans="1:27" x14ac:dyDescent="0.3">
      <c r="A57" s="1" t="s">
        <v>37</v>
      </c>
      <c r="B57" s="30" t="s">
        <v>31</v>
      </c>
      <c r="C57" s="31" t="s">
        <v>36</v>
      </c>
      <c r="D57" s="29" t="s">
        <v>1</v>
      </c>
      <c r="E57" s="17" t="s">
        <v>31</v>
      </c>
      <c r="F57" s="20" t="s">
        <v>36</v>
      </c>
      <c r="G57" s="18" t="s">
        <v>1</v>
      </c>
      <c r="H57" s="17" t="s">
        <v>29</v>
      </c>
      <c r="I57" s="20" t="s">
        <v>35</v>
      </c>
      <c r="J57" s="20" t="s">
        <v>28</v>
      </c>
      <c r="K57" s="19" t="s">
        <v>1</v>
      </c>
      <c r="L57" s="17" t="s">
        <v>29</v>
      </c>
      <c r="M57" s="20" t="s">
        <v>35</v>
      </c>
      <c r="N57" s="20" t="s">
        <v>28</v>
      </c>
      <c r="O57" s="19" t="s">
        <v>1</v>
      </c>
      <c r="P57" s="17" t="s">
        <v>29</v>
      </c>
      <c r="Q57" s="20" t="s">
        <v>35</v>
      </c>
      <c r="R57" s="20" t="s">
        <v>28</v>
      </c>
      <c r="S57" s="19" t="s">
        <v>1</v>
      </c>
      <c r="T57" s="17" t="s">
        <v>29</v>
      </c>
      <c r="U57" s="20" t="s">
        <v>35</v>
      </c>
      <c r="V57" s="20" t="s">
        <v>28</v>
      </c>
      <c r="W57" s="19" t="s">
        <v>1</v>
      </c>
      <c r="X57" s="21" t="s">
        <v>29</v>
      </c>
      <c r="Y57" s="20" t="s">
        <v>35</v>
      </c>
      <c r="Z57" s="20" t="s">
        <v>28</v>
      </c>
      <c r="AA57" s="19" t="s">
        <v>1</v>
      </c>
    </row>
    <row r="58" spans="1:27" x14ac:dyDescent="0.3">
      <c r="A58" s="45">
        <f>B58*C58/1000000</f>
        <v>0.52</v>
      </c>
      <c r="B58" s="5">
        <v>800</v>
      </c>
      <c r="C58" s="6">
        <v>650</v>
      </c>
      <c r="D58" s="7">
        <v>2</v>
      </c>
      <c r="E58" s="5">
        <f>B58</f>
        <v>800</v>
      </c>
      <c r="F58" s="6">
        <f>C58</f>
        <v>650</v>
      </c>
      <c r="G58" s="7">
        <f>D58</f>
        <v>2</v>
      </c>
      <c r="H58" s="5">
        <v>1.6</v>
      </c>
      <c r="I58" s="6">
        <v>60</v>
      </c>
      <c r="J58" s="6">
        <f>E58-1</f>
        <v>799</v>
      </c>
      <c r="K58" s="7">
        <f>D58*4</f>
        <v>8</v>
      </c>
      <c r="L58" s="5">
        <v>1.6</v>
      </c>
      <c r="M58" s="6">
        <v>60</v>
      </c>
      <c r="N58" s="6">
        <f>C58-30</f>
        <v>620</v>
      </c>
      <c r="O58" s="7">
        <f>D58*4</f>
        <v>8</v>
      </c>
      <c r="P58" s="5"/>
      <c r="Q58" s="6"/>
      <c r="R58" s="6"/>
      <c r="S58" s="7"/>
      <c r="T58" s="5"/>
      <c r="U58" s="6"/>
      <c r="V58" s="6"/>
      <c r="W58" s="7"/>
      <c r="X58" s="14"/>
      <c r="Y58" s="6"/>
      <c r="Z58" s="6"/>
      <c r="AA58" s="7"/>
    </row>
    <row r="59" spans="1:27" x14ac:dyDescent="0.3">
      <c r="A59" s="45">
        <f t="shared" ref="A59:A67" si="23">B59*C59/1000000</f>
        <v>0</v>
      </c>
      <c r="B59" s="8"/>
      <c r="C59" s="9"/>
      <c r="D59" s="10"/>
      <c r="E59" s="8">
        <f>B59</f>
        <v>0</v>
      </c>
      <c r="F59" s="9">
        <f>C59</f>
        <v>0</v>
      </c>
      <c r="G59" s="10">
        <f t="shared" ref="G59:G67" si="24">D59</f>
        <v>0</v>
      </c>
      <c r="H59" s="8">
        <v>1.6</v>
      </c>
      <c r="I59" s="9">
        <v>60</v>
      </c>
      <c r="J59" s="9">
        <f t="shared" ref="J59:J67" si="25">E59-1</f>
        <v>-1</v>
      </c>
      <c r="K59" s="10">
        <f>D59*4</f>
        <v>0</v>
      </c>
      <c r="L59" s="8">
        <v>1.6</v>
      </c>
      <c r="M59" s="9">
        <v>60</v>
      </c>
      <c r="N59" s="9">
        <f>C59-30</f>
        <v>-30</v>
      </c>
      <c r="O59" s="10">
        <f>D59*4</f>
        <v>0</v>
      </c>
      <c r="P59" s="8"/>
      <c r="Q59" s="9"/>
      <c r="R59" s="9"/>
      <c r="S59" s="10"/>
      <c r="T59" s="8"/>
      <c r="U59" s="9"/>
      <c r="V59" s="9"/>
      <c r="W59" s="10"/>
      <c r="X59" s="15"/>
      <c r="Y59" s="9"/>
      <c r="Z59" s="9"/>
      <c r="AA59" s="10"/>
    </row>
    <row r="60" spans="1:27" x14ac:dyDescent="0.3">
      <c r="A60" s="45">
        <f t="shared" si="23"/>
        <v>0</v>
      </c>
      <c r="B60" s="8"/>
      <c r="C60" s="9"/>
      <c r="D60" s="10"/>
      <c r="E60" s="8">
        <f t="shared" ref="E60:F67" si="26">B60</f>
        <v>0</v>
      </c>
      <c r="F60" s="9">
        <f t="shared" si="26"/>
        <v>0</v>
      </c>
      <c r="G60" s="10">
        <f t="shared" si="24"/>
        <v>0</v>
      </c>
      <c r="H60" s="8">
        <v>1.6</v>
      </c>
      <c r="I60" s="9">
        <v>60</v>
      </c>
      <c r="J60" s="9">
        <f t="shared" si="25"/>
        <v>-1</v>
      </c>
      <c r="K60" s="10">
        <f t="shared" ref="K60:K67" si="27">D60*4</f>
        <v>0</v>
      </c>
      <c r="L60" s="8">
        <v>1.6</v>
      </c>
      <c r="M60" s="9">
        <v>60</v>
      </c>
      <c r="N60" s="9">
        <f t="shared" ref="N60:N67" si="28">C60-30</f>
        <v>-30</v>
      </c>
      <c r="O60" s="10">
        <f t="shared" ref="O60:O67" si="29">D60*4</f>
        <v>0</v>
      </c>
      <c r="P60" s="8"/>
      <c r="Q60" s="9"/>
      <c r="R60" s="9"/>
      <c r="S60" s="10"/>
      <c r="T60" s="8"/>
      <c r="U60" s="9"/>
      <c r="V60" s="9"/>
      <c r="W60" s="10"/>
      <c r="X60" s="15"/>
      <c r="Y60" s="9"/>
      <c r="Z60" s="9"/>
      <c r="AA60" s="10"/>
    </row>
    <row r="61" spans="1:27" x14ac:dyDescent="0.3">
      <c r="A61" s="45">
        <f t="shared" si="23"/>
        <v>0</v>
      </c>
      <c r="B61" s="8"/>
      <c r="C61" s="9"/>
      <c r="D61" s="10"/>
      <c r="E61" s="8">
        <f t="shared" si="26"/>
        <v>0</v>
      </c>
      <c r="F61" s="9">
        <f t="shared" si="26"/>
        <v>0</v>
      </c>
      <c r="G61" s="10">
        <f t="shared" si="24"/>
        <v>0</v>
      </c>
      <c r="H61" s="8">
        <v>1.6</v>
      </c>
      <c r="I61" s="9">
        <v>60</v>
      </c>
      <c r="J61" s="9">
        <f t="shared" si="25"/>
        <v>-1</v>
      </c>
      <c r="K61" s="10">
        <f t="shared" si="27"/>
        <v>0</v>
      </c>
      <c r="L61" s="8">
        <v>1.6</v>
      </c>
      <c r="M61" s="9">
        <v>60</v>
      </c>
      <c r="N61" s="9">
        <f>(C61-30)</f>
        <v>-30</v>
      </c>
      <c r="O61" s="10">
        <f t="shared" si="29"/>
        <v>0</v>
      </c>
      <c r="P61" s="8"/>
      <c r="Q61" s="9"/>
      <c r="R61" s="9"/>
      <c r="S61" s="10"/>
      <c r="T61" s="8"/>
      <c r="U61" s="9"/>
      <c r="V61" s="9"/>
      <c r="W61" s="10"/>
      <c r="X61" s="15"/>
      <c r="Y61" s="9"/>
      <c r="Z61" s="9"/>
      <c r="AA61" s="10"/>
    </row>
    <row r="62" spans="1:27" x14ac:dyDescent="0.3">
      <c r="A62" s="45">
        <f t="shared" si="23"/>
        <v>0</v>
      </c>
      <c r="B62" s="8"/>
      <c r="C62" s="9"/>
      <c r="D62" s="10"/>
      <c r="E62" s="8">
        <f t="shared" si="26"/>
        <v>0</v>
      </c>
      <c r="F62" s="9">
        <f t="shared" si="26"/>
        <v>0</v>
      </c>
      <c r="G62" s="10">
        <f t="shared" si="24"/>
        <v>0</v>
      </c>
      <c r="H62" s="8">
        <v>1.6</v>
      </c>
      <c r="I62" s="9">
        <v>60</v>
      </c>
      <c r="J62" s="9">
        <f t="shared" si="25"/>
        <v>-1</v>
      </c>
      <c r="K62" s="10">
        <f t="shared" si="27"/>
        <v>0</v>
      </c>
      <c r="L62" s="8">
        <v>1.6</v>
      </c>
      <c r="M62" s="9">
        <v>60</v>
      </c>
      <c r="N62" s="9">
        <f t="shared" si="28"/>
        <v>-30</v>
      </c>
      <c r="O62" s="10">
        <f t="shared" si="29"/>
        <v>0</v>
      </c>
      <c r="P62" s="8"/>
      <c r="Q62" s="9"/>
      <c r="R62" s="9"/>
      <c r="S62" s="10"/>
      <c r="T62" s="8"/>
      <c r="U62" s="9"/>
      <c r="V62" s="9"/>
      <c r="W62" s="10"/>
      <c r="X62" s="15"/>
      <c r="Y62" s="9"/>
      <c r="Z62" s="9"/>
      <c r="AA62" s="10"/>
    </row>
    <row r="63" spans="1:27" x14ac:dyDescent="0.3">
      <c r="A63" s="45">
        <f t="shared" si="23"/>
        <v>0</v>
      </c>
      <c r="B63" s="8"/>
      <c r="C63" s="9"/>
      <c r="D63" s="10"/>
      <c r="E63" s="8">
        <f t="shared" si="26"/>
        <v>0</v>
      </c>
      <c r="F63" s="9">
        <f t="shared" si="26"/>
        <v>0</v>
      </c>
      <c r="G63" s="10">
        <f t="shared" si="24"/>
        <v>0</v>
      </c>
      <c r="H63" s="8">
        <v>1.6</v>
      </c>
      <c r="I63" s="9">
        <v>60</v>
      </c>
      <c r="J63" s="9">
        <f t="shared" si="25"/>
        <v>-1</v>
      </c>
      <c r="K63" s="10">
        <f t="shared" si="27"/>
        <v>0</v>
      </c>
      <c r="L63" s="8">
        <v>1.6</v>
      </c>
      <c r="M63" s="9">
        <v>60</v>
      </c>
      <c r="N63" s="9">
        <f t="shared" si="28"/>
        <v>-30</v>
      </c>
      <c r="O63" s="10">
        <f t="shared" si="29"/>
        <v>0</v>
      </c>
      <c r="P63" s="8"/>
      <c r="Q63" s="9"/>
      <c r="R63" s="9"/>
      <c r="S63" s="10"/>
      <c r="T63" s="8"/>
      <c r="U63" s="9"/>
      <c r="V63" s="9"/>
      <c r="W63" s="10"/>
      <c r="X63" s="15"/>
      <c r="Y63" s="9"/>
      <c r="Z63" s="9"/>
      <c r="AA63" s="10"/>
    </row>
    <row r="64" spans="1:27" x14ac:dyDescent="0.3">
      <c r="A64" s="45">
        <f t="shared" si="23"/>
        <v>0</v>
      </c>
      <c r="B64" s="8"/>
      <c r="C64" s="9"/>
      <c r="D64" s="10"/>
      <c r="E64" s="8">
        <f t="shared" si="26"/>
        <v>0</v>
      </c>
      <c r="F64" s="9">
        <f t="shared" si="26"/>
        <v>0</v>
      </c>
      <c r="G64" s="10">
        <f t="shared" si="24"/>
        <v>0</v>
      </c>
      <c r="H64" s="8">
        <v>1.6</v>
      </c>
      <c r="I64" s="9">
        <v>60</v>
      </c>
      <c r="J64" s="9">
        <f t="shared" si="25"/>
        <v>-1</v>
      </c>
      <c r="K64" s="10">
        <f t="shared" si="27"/>
        <v>0</v>
      </c>
      <c r="L64" s="8">
        <v>1.6</v>
      </c>
      <c r="M64" s="9">
        <v>60</v>
      </c>
      <c r="N64" s="9">
        <f t="shared" si="28"/>
        <v>-30</v>
      </c>
      <c r="O64" s="10">
        <f t="shared" si="29"/>
        <v>0</v>
      </c>
      <c r="P64" s="8"/>
      <c r="Q64" s="9"/>
      <c r="R64" s="9"/>
      <c r="S64" s="10"/>
      <c r="T64" s="8"/>
      <c r="U64" s="9"/>
      <c r="V64" s="9"/>
      <c r="W64" s="10"/>
      <c r="X64" s="15"/>
      <c r="Y64" s="9"/>
      <c r="Z64" s="9"/>
      <c r="AA64" s="10"/>
    </row>
    <row r="65" spans="1:27" x14ac:dyDescent="0.3">
      <c r="A65" s="45">
        <f t="shared" si="23"/>
        <v>0</v>
      </c>
      <c r="B65" s="8"/>
      <c r="C65" s="9"/>
      <c r="D65" s="10"/>
      <c r="E65" s="8">
        <f t="shared" si="26"/>
        <v>0</v>
      </c>
      <c r="F65" s="9">
        <f t="shared" si="26"/>
        <v>0</v>
      </c>
      <c r="G65" s="10">
        <f t="shared" si="24"/>
        <v>0</v>
      </c>
      <c r="H65" s="8">
        <v>1.6</v>
      </c>
      <c r="I65" s="9">
        <v>60</v>
      </c>
      <c r="J65" s="9">
        <f t="shared" si="25"/>
        <v>-1</v>
      </c>
      <c r="K65" s="10">
        <f t="shared" si="27"/>
        <v>0</v>
      </c>
      <c r="L65" s="8">
        <v>1.6</v>
      </c>
      <c r="M65" s="9">
        <v>60</v>
      </c>
      <c r="N65" s="9">
        <f t="shared" si="28"/>
        <v>-30</v>
      </c>
      <c r="O65" s="10">
        <f t="shared" si="29"/>
        <v>0</v>
      </c>
      <c r="P65" s="8"/>
      <c r="Q65" s="9"/>
      <c r="R65" s="9"/>
      <c r="S65" s="10"/>
      <c r="T65" s="8"/>
      <c r="U65" s="9"/>
      <c r="V65" s="9"/>
      <c r="W65" s="10"/>
      <c r="X65" s="15"/>
      <c r="Y65" s="9"/>
      <c r="Z65" s="9"/>
      <c r="AA65" s="10"/>
    </row>
    <row r="66" spans="1:27" x14ac:dyDescent="0.3">
      <c r="A66" s="45">
        <f t="shared" si="23"/>
        <v>0</v>
      </c>
      <c r="B66" s="8"/>
      <c r="C66" s="9"/>
      <c r="D66" s="10"/>
      <c r="E66" s="8">
        <f t="shared" si="26"/>
        <v>0</v>
      </c>
      <c r="F66" s="9">
        <f t="shared" si="26"/>
        <v>0</v>
      </c>
      <c r="G66" s="10">
        <f t="shared" si="24"/>
        <v>0</v>
      </c>
      <c r="H66" s="8">
        <v>1.6000000000000016</v>
      </c>
      <c r="I66" s="9">
        <v>60</v>
      </c>
      <c r="J66" s="9">
        <f t="shared" si="25"/>
        <v>-1</v>
      </c>
      <c r="K66" s="10">
        <f t="shared" si="27"/>
        <v>0</v>
      </c>
      <c r="L66" s="8">
        <v>1.6</v>
      </c>
      <c r="M66" s="9">
        <v>60</v>
      </c>
      <c r="N66" s="9">
        <f t="shared" si="28"/>
        <v>-30</v>
      </c>
      <c r="O66" s="10">
        <f t="shared" si="29"/>
        <v>0</v>
      </c>
      <c r="P66" s="8"/>
      <c r="Q66" s="9"/>
      <c r="R66" s="9"/>
      <c r="S66" s="10"/>
      <c r="T66" s="8"/>
      <c r="U66" s="9"/>
      <c r="V66" s="9"/>
      <c r="W66" s="10"/>
      <c r="X66" s="15"/>
      <c r="Y66" s="9"/>
      <c r="Z66" s="9"/>
      <c r="AA66" s="10"/>
    </row>
    <row r="67" spans="1:27" x14ac:dyDescent="0.3">
      <c r="A67" s="45">
        <f t="shared" si="23"/>
        <v>0</v>
      </c>
      <c r="B67" s="11"/>
      <c r="C67" s="12"/>
      <c r="D67" s="13"/>
      <c r="E67" s="11">
        <f t="shared" si="26"/>
        <v>0</v>
      </c>
      <c r="F67" s="12">
        <f t="shared" si="26"/>
        <v>0</v>
      </c>
      <c r="G67" s="13">
        <f t="shared" si="24"/>
        <v>0</v>
      </c>
      <c r="H67" s="11">
        <v>1.6000000000000019</v>
      </c>
      <c r="I67" s="12">
        <v>60</v>
      </c>
      <c r="J67" s="12">
        <f t="shared" si="25"/>
        <v>-1</v>
      </c>
      <c r="K67" s="44">
        <f t="shared" si="27"/>
        <v>0</v>
      </c>
      <c r="L67" s="42">
        <v>1.6</v>
      </c>
      <c r="M67" s="43">
        <v>60</v>
      </c>
      <c r="N67" s="43">
        <f t="shared" si="28"/>
        <v>-30</v>
      </c>
      <c r="O67" s="44">
        <f t="shared" si="29"/>
        <v>0</v>
      </c>
      <c r="P67" s="11"/>
      <c r="Q67" s="12"/>
      <c r="R67" s="12"/>
      <c r="S67" s="13"/>
      <c r="T67" s="11"/>
      <c r="U67" s="12"/>
      <c r="V67" s="12"/>
      <c r="W67" s="13"/>
      <c r="X67" s="16"/>
      <c r="Y67" s="12"/>
      <c r="Z67" s="12"/>
      <c r="AA67" s="13"/>
    </row>
    <row r="68" spans="1:27" ht="16.899999999999999" customHeight="1" x14ac:dyDescent="0.3">
      <c r="B68" s="67"/>
      <c r="C68" s="1"/>
      <c r="D68" s="1"/>
      <c r="E68" s="1"/>
      <c r="F68" s="1"/>
      <c r="G68" s="1"/>
      <c r="H68" s="70" t="s">
        <v>10</v>
      </c>
      <c r="I68" s="71"/>
      <c r="J68" s="71"/>
      <c r="K68" s="72"/>
      <c r="L68" s="70" t="s">
        <v>24</v>
      </c>
      <c r="M68" s="71"/>
      <c r="N68" s="71"/>
      <c r="O68" s="72"/>
      <c r="P68" s="70" t="s">
        <v>6</v>
      </c>
      <c r="Q68" s="71"/>
      <c r="R68" s="71"/>
      <c r="S68" s="72"/>
      <c r="T68" s="70" t="s">
        <v>3</v>
      </c>
      <c r="U68" s="71"/>
      <c r="V68" s="71"/>
      <c r="W68" s="72"/>
      <c r="X68" s="1"/>
      <c r="Y68" s="1"/>
      <c r="Z68" s="1"/>
      <c r="AA68" s="2"/>
    </row>
    <row r="69" spans="1:27" x14ac:dyDescent="0.3">
      <c r="B69" s="67"/>
      <c r="C69" s="1"/>
      <c r="D69" s="1"/>
      <c r="E69" s="1"/>
      <c r="F69" s="1"/>
      <c r="G69" s="1"/>
      <c r="H69" s="17" t="s">
        <v>29</v>
      </c>
      <c r="I69" s="20" t="s">
        <v>35</v>
      </c>
      <c r="J69" s="20" t="s">
        <v>28</v>
      </c>
      <c r="K69" s="29" t="s">
        <v>27</v>
      </c>
      <c r="L69" s="17" t="s">
        <v>29</v>
      </c>
      <c r="M69" s="20" t="s">
        <v>35</v>
      </c>
      <c r="N69" s="20" t="s">
        <v>28</v>
      </c>
      <c r="O69" s="19" t="s">
        <v>1</v>
      </c>
      <c r="P69" s="30" t="s">
        <v>29</v>
      </c>
      <c r="Q69" s="31" t="s">
        <v>35</v>
      </c>
      <c r="R69" s="31" t="s">
        <v>46</v>
      </c>
      <c r="S69" s="29" t="s">
        <v>27</v>
      </c>
      <c r="T69" s="30" t="s">
        <v>29</v>
      </c>
      <c r="U69" s="31" t="s">
        <v>35</v>
      </c>
      <c r="V69" s="31" t="s">
        <v>46</v>
      </c>
      <c r="W69" s="29" t="s">
        <v>27</v>
      </c>
      <c r="X69" s="1"/>
      <c r="Y69" s="1"/>
      <c r="Z69" s="1"/>
      <c r="AA69" s="2"/>
    </row>
    <row r="70" spans="1:27" x14ac:dyDescent="0.3">
      <c r="B70" s="67"/>
      <c r="C70" s="1"/>
      <c r="D70" s="1"/>
      <c r="E70" s="1"/>
      <c r="F70" s="1"/>
      <c r="G70" s="1"/>
      <c r="H70" s="5">
        <v>25</v>
      </c>
      <c r="I70" s="6">
        <v>200</v>
      </c>
      <c r="J70" s="6">
        <f>(((B58+60)*2)+(C58*2))*D58</f>
        <v>6040</v>
      </c>
      <c r="K70" s="38">
        <f>(J70/7320)</f>
        <v>0.82513661202185795</v>
      </c>
      <c r="L70" s="5">
        <v>0.5</v>
      </c>
      <c r="M70" s="6">
        <v>145</v>
      </c>
      <c r="N70" s="6">
        <v>1000</v>
      </c>
      <c r="O70" s="32">
        <f>((_xlfn.IFS((B58+310)&lt;=500,0.5,(B58+310)&lt;=1000,1,(B58+310)&lt;=1500,1.5,(B58+310)&lt;=2000,2,(B58+310)&lt;=2500,2.5,(B58+310)&lt;=3000,3)*2+(_xlfn.IFS((C58+60)&lt;=500,0.5,(C58+60)&lt;=1000,1,(C58+60)&lt;=1500,1.5,(C58+60)&lt;=2000,2,(C58+60)&lt;=2500,2.5,(C58+60)&lt;=3000,3))*2)*2)*D58</f>
        <v>20</v>
      </c>
      <c r="P70" s="5">
        <v>50</v>
      </c>
      <c r="Q70" s="6">
        <v>400</v>
      </c>
      <c r="R70" s="6">
        <f>(((B58+C58)*2+300)*2)*D58</f>
        <v>12800</v>
      </c>
      <c r="S70" s="38">
        <f>(R70/3600)</f>
        <v>3.5555555555555554</v>
      </c>
      <c r="T70" s="5">
        <v>25</v>
      </c>
      <c r="U70" s="6">
        <v>1400</v>
      </c>
      <c r="V70" s="6">
        <f>(((B58+C58)*2+300)*2)*D58</f>
        <v>12800</v>
      </c>
      <c r="W70" s="38">
        <f>(V70/20000)</f>
        <v>0.64</v>
      </c>
      <c r="X70" s="1"/>
      <c r="Y70" s="1"/>
      <c r="Z70" s="1"/>
      <c r="AA70" s="2"/>
    </row>
    <row r="71" spans="1:27" x14ac:dyDescent="0.3">
      <c r="B71" s="67"/>
      <c r="C71" s="1"/>
      <c r="D71" s="1"/>
      <c r="E71" s="1"/>
      <c r="F71" s="1"/>
      <c r="G71" s="1"/>
      <c r="H71" s="8">
        <v>25</v>
      </c>
      <c r="I71" s="9">
        <v>200</v>
      </c>
      <c r="J71" s="9">
        <f t="shared" ref="J71:J79" si="30">(((B59+60)*2)+(C59*2))*D59</f>
        <v>0</v>
      </c>
      <c r="K71" s="39">
        <f t="shared" ref="K71:K79" si="31">(J71/7320)</f>
        <v>0</v>
      </c>
      <c r="L71" s="8">
        <v>0.5</v>
      </c>
      <c r="M71" s="9">
        <v>145</v>
      </c>
      <c r="N71" s="9">
        <v>1000</v>
      </c>
      <c r="O71" s="33">
        <f t="shared" ref="O71:O79" si="32">((_xlfn.IFS((B59+310)&lt;=500,0.5,(B59+310)&lt;=1000,1,(B59+310)&lt;=1500,1.5,(B59+310)&lt;=2000,2,(B59+310)&lt;=2500,2.5,(B59+310)&lt;=3000,3)*2+(_xlfn.IFS((C59+60)&lt;=500,0.5,(C59+60)&lt;=1000,1,(C59+60)&lt;=1500,1.5,(C59+60)&lt;=2000,2,(C59+60)&lt;=2500,2.5,(C59+60)&lt;=3000,3))*2)*2)*D59</f>
        <v>0</v>
      </c>
      <c r="P71" s="8">
        <v>50</v>
      </c>
      <c r="Q71" s="9">
        <v>400</v>
      </c>
      <c r="R71" s="9">
        <f t="shared" ref="R71:R79" si="33">(((B59+C59)*2+300)*2)*D59</f>
        <v>0</v>
      </c>
      <c r="S71" s="39">
        <f t="shared" ref="S71:S79" si="34">(R71/3600)</f>
        <v>0</v>
      </c>
      <c r="T71" s="8">
        <v>25</v>
      </c>
      <c r="U71" s="9">
        <v>1000</v>
      </c>
      <c r="V71" s="9">
        <f t="shared" ref="V71:V79" si="35">(((B59+C59)*2+300)*2)*D59</f>
        <v>0</v>
      </c>
      <c r="W71" s="39">
        <f t="shared" ref="W71:W79" si="36">(V71/20000)</f>
        <v>0</v>
      </c>
      <c r="X71" s="1"/>
      <c r="Y71" s="1"/>
      <c r="Z71" s="1"/>
      <c r="AA71" s="2"/>
    </row>
    <row r="72" spans="1:27" x14ac:dyDescent="0.3">
      <c r="B72" s="67"/>
      <c r="C72" s="1"/>
      <c r="D72" s="1"/>
      <c r="E72" s="1"/>
      <c r="F72" s="1"/>
      <c r="G72" s="1"/>
      <c r="H72" s="8">
        <v>25</v>
      </c>
      <c r="I72" s="9">
        <v>200</v>
      </c>
      <c r="J72" s="9">
        <f t="shared" si="30"/>
        <v>0</v>
      </c>
      <c r="K72" s="39">
        <f t="shared" si="31"/>
        <v>0</v>
      </c>
      <c r="L72" s="8">
        <v>0.5</v>
      </c>
      <c r="M72" s="9">
        <v>145</v>
      </c>
      <c r="N72" s="9">
        <v>1000</v>
      </c>
      <c r="O72" s="33">
        <f t="shared" si="32"/>
        <v>0</v>
      </c>
      <c r="P72" s="8">
        <v>50</v>
      </c>
      <c r="Q72" s="9">
        <v>400</v>
      </c>
      <c r="R72" s="9">
        <f t="shared" si="33"/>
        <v>0</v>
      </c>
      <c r="S72" s="39">
        <f t="shared" si="34"/>
        <v>0</v>
      </c>
      <c r="T72" s="8">
        <v>25</v>
      </c>
      <c r="U72" s="9">
        <v>1000</v>
      </c>
      <c r="V72" s="9">
        <f t="shared" si="35"/>
        <v>0</v>
      </c>
      <c r="W72" s="39">
        <f t="shared" si="36"/>
        <v>0</v>
      </c>
      <c r="X72" s="1"/>
      <c r="Y72" s="1"/>
      <c r="Z72" s="1"/>
      <c r="AA72" s="2"/>
    </row>
    <row r="73" spans="1:27" x14ac:dyDescent="0.3">
      <c r="B73" s="67"/>
      <c r="C73" s="1"/>
      <c r="D73" s="1"/>
      <c r="E73" s="1"/>
      <c r="F73" s="1"/>
      <c r="G73" s="1"/>
      <c r="H73" s="8">
        <v>25</v>
      </c>
      <c r="I73" s="9">
        <v>200</v>
      </c>
      <c r="J73" s="9">
        <f t="shared" si="30"/>
        <v>0</v>
      </c>
      <c r="K73" s="39">
        <f t="shared" si="31"/>
        <v>0</v>
      </c>
      <c r="L73" s="8">
        <v>0.5</v>
      </c>
      <c r="M73" s="9">
        <v>145</v>
      </c>
      <c r="N73" s="9">
        <v>1000</v>
      </c>
      <c r="O73" s="33">
        <f t="shared" si="32"/>
        <v>0</v>
      </c>
      <c r="P73" s="8">
        <v>50</v>
      </c>
      <c r="Q73" s="9">
        <v>400</v>
      </c>
      <c r="R73" s="9">
        <f t="shared" si="33"/>
        <v>0</v>
      </c>
      <c r="S73" s="39">
        <f t="shared" si="34"/>
        <v>0</v>
      </c>
      <c r="T73" s="8">
        <v>25</v>
      </c>
      <c r="U73" s="9">
        <v>1000</v>
      </c>
      <c r="V73" s="9">
        <f t="shared" si="35"/>
        <v>0</v>
      </c>
      <c r="W73" s="39">
        <f t="shared" si="36"/>
        <v>0</v>
      </c>
      <c r="X73" s="1"/>
      <c r="Y73" s="1"/>
      <c r="Z73" s="1"/>
      <c r="AA73" s="2"/>
    </row>
    <row r="74" spans="1:27" x14ac:dyDescent="0.3">
      <c r="B74" s="67"/>
      <c r="C74" s="1"/>
      <c r="D74" s="1"/>
      <c r="E74" s="1"/>
      <c r="F74" s="1"/>
      <c r="G74" s="1"/>
      <c r="H74" s="8">
        <v>25</v>
      </c>
      <c r="I74" s="9">
        <v>200</v>
      </c>
      <c r="J74" s="9">
        <f t="shared" si="30"/>
        <v>0</v>
      </c>
      <c r="K74" s="39">
        <f t="shared" si="31"/>
        <v>0</v>
      </c>
      <c r="L74" s="8">
        <v>0.5</v>
      </c>
      <c r="M74" s="9">
        <v>145</v>
      </c>
      <c r="N74" s="9">
        <v>1000</v>
      </c>
      <c r="O74" s="33">
        <f t="shared" si="32"/>
        <v>0</v>
      </c>
      <c r="P74" s="8">
        <v>50</v>
      </c>
      <c r="Q74" s="9">
        <v>400</v>
      </c>
      <c r="R74" s="9">
        <f t="shared" si="33"/>
        <v>0</v>
      </c>
      <c r="S74" s="39">
        <f t="shared" si="34"/>
        <v>0</v>
      </c>
      <c r="T74" s="8">
        <v>25</v>
      </c>
      <c r="U74" s="9">
        <v>1000</v>
      </c>
      <c r="V74" s="9">
        <f t="shared" si="35"/>
        <v>0</v>
      </c>
      <c r="W74" s="39">
        <f t="shared" si="36"/>
        <v>0</v>
      </c>
      <c r="X74" s="1"/>
      <c r="Y74" s="1"/>
      <c r="Z74" s="1"/>
      <c r="AA74" s="2"/>
    </row>
    <row r="75" spans="1:27" x14ac:dyDescent="0.3">
      <c r="B75" s="67"/>
      <c r="C75" s="1"/>
      <c r="D75" s="1"/>
      <c r="E75" s="1"/>
      <c r="F75" s="1"/>
      <c r="G75" s="1"/>
      <c r="H75" s="8">
        <v>25</v>
      </c>
      <c r="I75" s="9">
        <v>200</v>
      </c>
      <c r="J75" s="9">
        <f t="shared" si="30"/>
        <v>0</v>
      </c>
      <c r="K75" s="39">
        <f t="shared" si="31"/>
        <v>0</v>
      </c>
      <c r="L75" s="8">
        <v>0.5</v>
      </c>
      <c r="M75" s="9">
        <v>145</v>
      </c>
      <c r="N75" s="9">
        <v>1000</v>
      </c>
      <c r="O75" s="33">
        <f t="shared" si="32"/>
        <v>0</v>
      </c>
      <c r="P75" s="8">
        <v>50</v>
      </c>
      <c r="Q75" s="9">
        <v>400</v>
      </c>
      <c r="R75" s="9">
        <f t="shared" si="33"/>
        <v>0</v>
      </c>
      <c r="S75" s="39">
        <f t="shared" si="34"/>
        <v>0</v>
      </c>
      <c r="T75" s="8">
        <v>25</v>
      </c>
      <c r="U75" s="9">
        <v>1000</v>
      </c>
      <c r="V75" s="9">
        <f t="shared" si="35"/>
        <v>0</v>
      </c>
      <c r="W75" s="39">
        <f t="shared" si="36"/>
        <v>0</v>
      </c>
      <c r="X75" s="1"/>
      <c r="Y75" s="1"/>
      <c r="Z75" s="1"/>
      <c r="AA75" s="2"/>
    </row>
    <row r="76" spans="1:27" x14ac:dyDescent="0.3">
      <c r="B76" s="67"/>
      <c r="C76" s="1"/>
      <c r="D76" s="1"/>
      <c r="E76" s="1"/>
      <c r="F76" s="1"/>
      <c r="G76" s="1"/>
      <c r="H76" s="8">
        <v>25</v>
      </c>
      <c r="I76" s="9">
        <v>200</v>
      </c>
      <c r="J76" s="9">
        <f t="shared" si="30"/>
        <v>0</v>
      </c>
      <c r="K76" s="39">
        <f t="shared" si="31"/>
        <v>0</v>
      </c>
      <c r="L76" s="8">
        <v>0.5</v>
      </c>
      <c r="M76" s="9">
        <v>145</v>
      </c>
      <c r="N76" s="9">
        <v>1000</v>
      </c>
      <c r="O76" s="33">
        <f t="shared" si="32"/>
        <v>0</v>
      </c>
      <c r="P76" s="8">
        <v>50</v>
      </c>
      <c r="Q76" s="9">
        <v>400</v>
      </c>
      <c r="R76" s="9">
        <f t="shared" si="33"/>
        <v>0</v>
      </c>
      <c r="S76" s="39">
        <f t="shared" si="34"/>
        <v>0</v>
      </c>
      <c r="T76" s="8">
        <v>25</v>
      </c>
      <c r="U76" s="9">
        <v>1000</v>
      </c>
      <c r="V76" s="9">
        <f t="shared" si="35"/>
        <v>0</v>
      </c>
      <c r="W76" s="39">
        <f t="shared" si="36"/>
        <v>0</v>
      </c>
      <c r="X76" s="1"/>
      <c r="Y76" s="1"/>
      <c r="Z76" s="1"/>
      <c r="AA76" s="2"/>
    </row>
    <row r="77" spans="1:27" x14ac:dyDescent="0.3">
      <c r="B77" s="67"/>
      <c r="C77" s="1"/>
      <c r="D77" s="1"/>
      <c r="E77" s="1"/>
      <c r="F77" s="1"/>
      <c r="G77" s="1"/>
      <c r="H77" s="8">
        <v>25</v>
      </c>
      <c r="I77" s="9">
        <v>200</v>
      </c>
      <c r="J77" s="9">
        <f t="shared" si="30"/>
        <v>0</v>
      </c>
      <c r="K77" s="39">
        <f t="shared" si="31"/>
        <v>0</v>
      </c>
      <c r="L77" s="8">
        <v>0.5</v>
      </c>
      <c r="M77" s="9">
        <v>145</v>
      </c>
      <c r="N77" s="9">
        <v>1000</v>
      </c>
      <c r="O77" s="33">
        <f t="shared" si="32"/>
        <v>0</v>
      </c>
      <c r="P77" s="8">
        <v>50</v>
      </c>
      <c r="Q77" s="9">
        <v>400</v>
      </c>
      <c r="R77" s="9">
        <f t="shared" si="33"/>
        <v>0</v>
      </c>
      <c r="S77" s="39">
        <f t="shared" si="34"/>
        <v>0</v>
      </c>
      <c r="T77" s="8">
        <v>25</v>
      </c>
      <c r="U77" s="9">
        <v>1000</v>
      </c>
      <c r="V77" s="9">
        <f t="shared" si="35"/>
        <v>0</v>
      </c>
      <c r="W77" s="39">
        <f t="shared" si="36"/>
        <v>0</v>
      </c>
      <c r="X77" s="1"/>
      <c r="Y77" s="1"/>
      <c r="Z77" s="1"/>
      <c r="AA77" s="2"/>
    </row>
    <row r="78" spans="1:27" x14ac:dyDescent="0.3">
      <c r="B78" s="67"/>
      <c r="C78" s="1"/>
      <c r="D78" s="1"/>
      <c r="E78" s="1"/>
      <c r="F78" s="1"/>
      <c r="G78" s="1"/>
      <c r="H78" s="8">
        <v>25</v>
      </c>
      <c r="I78" s="9">
        <v>200</v>
      </c>
      <c r="J78" s="9">
        <f t="shared" si="30"/>
        <v>0</v>
      </c>
      <c r="K78" s="39">
        <f t="shared" si="31"/>
        <v>0</v>
      </c>
      <c r="L78" s="8">
        <v>0.5</v>
      </c>
      <c r="M78" s="9">
        <v>145</v>
      </c>
      <c r="N78" s="9">
        <v>1000</v>
      </c>
      <c r="O78" s="33">
        <f t="shared" si="32"/>
        <v>0</v>
      </c>
      <c r="P78" s="8">
        <v>50</v>
      </c>
      <c r="Q78" s="9">
        <v>400</v>
      </c>
      <c r="R78" s="9">
        <f t="shared" si="33"/>
        <v>0</v>
      </c>
      <c r="S78" s="39">
        <f t="shared" si="34"/>
        <v>0</v>
      </c>
      <c r="T78" s="8">
        <v>25</v>
      </c>
      <c r="U78" s="9">
        <v>1000</v>
      </c>
      <c r="V78" s="9">
        <f t="shared" si="35"/>
        <v>0</v>
      </c>
      <c r="W78" s="39">
        <f t="shared" si="36"/>
        <v>0</v>
      </c>
      <c r="X78" s="1"/>
      <c r="Y78" s="1"/>
      <c r="Z78" s="1"/>
      <c r="AA78" s="2"/>
    </row>
    <row r="79" spans="1:27" x14ac:dyDescent="0.3">
      <c r="B79" s="68"/>
      <c r="C79" s="69"/>
      <c r="D79" s="69"/>
      <c r="E79" s="69"/>
      <c r="F79" s="69"/>
      <c r="G79" s="69"/>
      <c r="H79" s="11">
        <v>25</v>
      </c>
      <c r="I79" s="12">
        <v>200</v>
      </c>
      <c r="J79" s="12">
        <f t="shared" si="30"/>
        <v>0</v>
      </c>
      <c r="K79" s="40">
        <f t="shared" si="31"/>
        <v>0</v>
      </c>
      <c r="L79" s="11">
        <v>0.5</v>
      </c>
      <c r="M79" s="12">
        <v>145</v>
      </c>
      <c r="N79" s="12">
        <v>1000</v>
      </c>
      <c r="O79" s="34">
        <f t="shared" si="32"/>
        <v>0</v>
      </c>
      <c r="P79" s="11">
        <v>50</v>
      </c>
      <c r="Q79" s="12">
        <v>400</v>
      </c>
      <c r="R79" s="12">
        <f t="shared" si="33"/>
        <v>0</v>
      </c>
      <c r="S79" s="40">
        <f t="shared" si="34"/>
        <v>0</v>
      </c>
      <c r="T79" s="11">
        <v>25</v>
      </c>
      <c r="U79" s="12">
        <v>1000</v>
      </c>
      <c r="V79" s="12">
        <f t="shared" si="35"/>
        <v>0</v>
      </c>
      <c r="W79" s="40">
        <f t="shared" si="36"/>
        <v>0</v>
      </c>
      <c r="X79" s="3"/>
      <c r="Y79" s="3"/>
      <c r="Z79" s="3"/>
      <c r="AA79" s="4"/>
    </row>
    <row r="80" spans="1:27" x14ac:dyDescent="0.3">
      <c r="J80" s="35" t="s">
        <v>34</v>
      </c>
      <c r="K80" s="37">
        <f>SUM(K70:K79)</f>
        <v>0.82513661202185795</v>
      </c>
      <c r="N80" s="35" t="s">
        <v>34</v>
      </c>
      <c r="O80" s="36">
        <f>SUM(O70:O79)</f>
        <v>20</v>
      </c>
      <c r="P80" s="1"/>
      <c r="Q80" s="1"/>
      <c r="R80" s="35" t="s">
        <v>34</v>
      </c>
      <c r="S80" s="37">
        <f>SUM(S70:S79)</f>
        <v>3.5555555555555554</v>
      </c>
      <c r="T80" s="1"/>
      <c r="U80" s="1"/>
      <c r="V80" s="35" t="s">
        <v>34</v>
      </c>
      <c r="W80" s="37">
        <f>SUM(W70:W79)</f>
        <v>0.64</v>
      </c>
    </row>
    <row r="81" spans="1:27" x14ac:dyDescent="0.3">
      <c r="B81" s="26" t="s">
        <v>17</v>
      </c>
    </row>
    <row r="83" spans="1:27" ht="16.899999999999999" customHeight="1" x14ac:dyDescent="0.3">
      <c r="B83" s="74" t="s">
        <v>0</v>
      </c>
      <c r="C83" s="75"/>
      <c r="D83" s="75"/>
      <c r="E83" s="74" t="s">
        <v>33</v>
      </c>
      <c r="F83" s="75"/>
      <c r="G83" s="75"/>
      <c r="H83" s="1" t="s">
        <v>38</v>
      </c>
      <c r="I83" s="64"/>
      <c r="J83" s="64"/>
      <c r="K83" s="65"/>
      <c r="L83" s="1" t="s">
        <v>45</v>
      </c>
      <c r="M83" s="64"/>
      <c r="N83" s="64"/>
      <c r="O83" s="65"/>
      <c r="P83" s="1" t="s">
        <v>39</v>
      </c>
      <c r="Q83" s="64"/>
      <c r="R83" s="64"/>
      <c r="S83" s="65"/>
      <c r="T83" s="1" t="s">
        <v>42</v>
      </c>
      <c r="U83" s="64"/>
      <c r="V83" s="64"/>
      <c r="W83" s="65"/>
      <c r="X83" s="66" t="s">
        <v>40</v>
      </c>
      <c r="Y83" s="64"/>
      <c r="Z83" s="64"/>
      <c r="AA83" s="65"/>
    </row>
    <row r="84" spans="1:27" x14ac:dyDescent="0.3">
      <c r="A84" s="1" t="s">
        <v>37</v>
      </c>
      <c r="B84" s="17" t="s">
        <v>31</v>
      </c>
      <c r="C84" s="18" t="s">
        <v>36</v>
      </c>
      <c r="D84" s="29" t="s">
        <v>1</v>
      </c>
      <c r="E84" s="17" t="s">
        <v>31</v>
      </c>
      <c r="F84" s="20" t="s">
        <v>36</v>
      </c>
      <c r="G84" s="18" t="s">
        <v>1</v>
      </c>
      <c r="H84" s="17" t="s">
        <v>29</v>
      </c>
      <c r="I84" s="20" t="s">
        <v>35</v>
      </c>
      <c r="J84" s="20" t="s">
        <v>28</v>
      </c>
      <c r="K84" s="19" t="s">
        <v>1</v>
      </c>
      <c r="L84" s="17" t="s">
        <v>29</v>
      </c>
      <c r="M84" s="20" t="s">
        <v>35</v>
      </c>
      <c r="N84" s="20" t="s">
        <v>28</v>
      </c>
      <c r="O84" s="19" t="s">
        <v>1</v>
      </c>
      <c r="P84" s="17" t="s">
        <v>29</v>
      </c>
      <c r="Q84" s="20" t="s">
        <v>35</v>
      </c>
      <c r="R84" s="20" t="s">
        <v>28</v>
      </c>
      <c r="S84" s="19" t="s">
        <v>1</v>
      </c>
      <c r="T84" s="17" t="s">
        <v>29</v>
      </c>
      <c r="U84" s="20" t="s">
        <v>35</v>
      </c>
      <c r="V84" s="20" t="s">
        <v>28</v>
      </c>
      <c r="W84" s="19" t="s">
        <v>1</v>
      </c>
      <c r="X84" s="21" t="s">
        <v>29</v>
      </c>
      <c r="Y84" s="20" t="s">
        <v>35</v>
      </c>
      <c r="Z84" s="20" t="s">
        <v>28</v>
      </c>
      <c r="AA84" s="19" t="s">
        <v>1</v>
      </c>
    </row>
    <row r="85" spans="1:27" x14ac:dyDescent="0.3">
      <c r="A85" s="45">
        <f>B85*C85/1000000</f>
        <v>0.64</v>
      </c>
      <c r="B85" s="5">
        <v>800</v>
      </c>
      <c r="C85" s="6">
        <v>800</v>
      </c>
      <c r="D85" s="7">
        <v>1</v>
      </c>
      <c r="E85" s="5">
        <f>B85</f>
        <v>800</v>
      </c>
      <c r="F85" s="6">
        <f>C85</f>
        <v>800</v>
      </c>
      <c r="G85" s="7">
        <f>D85</f>
        <v>1</v>
      </c>
      <c r="H85" s="5">
        <v>1.6</v>
      </c>
      <c r="I85" s="6">
        <v>60</v>
      </c>
      <c r="J85" s="6">
        <f>E85-1</f>
        <v>799</v>
      </c>
      <c r="K85" s="7">
        <f>D85*4</f>
        <v>4</v>
      </c>
      <c r="L85" s="5">
        <v>1.6</v>
      </c>
      <c r="M85" s="6">
        <v>60</v>
      </c>
      <c r="N85" s="6">
        <f>C85-30</f>
        <v>770</v>
      </c>
      <c r="O85" s="7">
        <f>D85*4</f>
        <v>4</v>
      </c>
      <c r="P85" s="5"/>
      <c r="Q85" s="6"/>
      <c r="R85" s="6"/>
      <c r="S85" s="7"/>
      <c r="T85" s="5"/>
      <c r="U85" s="6"/>
      <c r="V85" s="6"/>
      <c r="W85" s="7"/>
      <c r="X85" s="14"/>
      <c r="Y85" s="6"/>
      <c r="Z85" s="6"/>
      <c r="AA85" s="7"/>
    </row>
    <row r="86" spans="1:27" x14ac:dyDescent="0.3">
      <c r="A86" s="45">
        <f t="shared" ref="A86:A94" si="37">B86*C86/1000000</f>
        <v>0.45</v>
      </c>
      <c r="B86" s="8">
        <v>750</v>
      </c>
      <c r="C86" s="9">
        <v>600</v>
      </c>
      <c r="D86" s="10">
        <v>1</v>
      </c>
      <c r="E86" s="8">
        <f>B86</f>
        <v>750</v>
      </c>
      <c r="F86" s="9">
        <f>C86</f>
        <v>600</v>
      </c>
      <c r="G86" s="10">
        <f t="shared" ref="G86:G94" si="38">D86</f>
        <v>1</v>
      </c>
      <c r="H86" s="8">
        <v>1.6</v>
      </c>
      <c r="I86" s="9">
        <v>60</v>
      </c>
      <c r="J86" s="9">
        <f t="shared" ref="J86:J94" si="39">E86-1</f>
        <v>749</v>
      </c>
      <c r="K86" s="10">
        <f>D86*4</f>
        <v>4</v>
      </c>
      <c r="L86" s="8">
        <v>1.6</v>
      </c>
      <c r="M86" s="9">
        <v>60</v>
      </c>
      <c r="N86" s="9">
        <f>C86-30</f>
        <v>570</v>
      </c>
      <c r="O86" s="10">
        <f>D86*4</f>
        <v>4</v>
      </c>
      <c r="P86" s="8"/>
      <c r="Q86" s="9"/>
      <c r="R86" s="9"/>
      <c r="S86" s="10"/>
      <c r="T86" s="8"/>
      <c r="U86" s="9"/>
      <c r="V86" s="9"/>
      <c r="W86" s="10"/>
      <c r="X86" s="15"/>
      <c r="Y86" s="9"/>
      <c r="Z86" s="9"/>
      <c r="AA86" s="10"/>
    </row>
    <row r="87" spans="1:27" x14ac:dyDescent="0.3">
      <c r="A87" s="45">
        <f t="shared" si="37"/>
        <v>0.56000000000000005</v>
      </c>
      <c r="B87" s="8">
        <v>700</v>
      </c>
      <c r="C87" s="9">
        <v>800</v>
      </c>
      <c r="D87" s="10">
        <v>1</v>
      </c>
      <c r="E87" s="8">
        <f t="shared" ref="E87:F94" si="40">B87</f>
        <v>700</v>
      </c>
      <c r="F87" s="9">
        <f t="shared" si="40"/>
        <v>800</v>
      </c>
      <c r="G87" s="10">
        <f t="shared" si="38"/>
        <v>1</v>
      </c>
      <c r="H87" s="8">
        <v>1.6</v>
      </c>
      <c r="I87" s="9">
        <v>60</v>
      </c>
      <c r="J87" s="9">
        <f t="shared" si="39"/>
        <v>699</v>
      </c>
      <c r="K87" s="10">
        <f t="shared" ref="K87:K94" si="41">D87*4</f>
        <v>4</v>
      </c>
      <c r="L87" s="8">
        <v>1.6</v>
      </c>
      <c r="M87" s="9">
        <v>60</v>
      </c>
      <c r="N87" s="9">
        <f t="shared" ref="N87:N94" si="42">C87-30</f>
        <v>770</v>
      </c>
      <c r="O87" s="10">
        <f t="shared" ref="O87:O94" si="43">D87*4</f>
        <v>4</v>
      </c>
      <c r="P87" s="8"/>
      <c r="Q87" s="9"/>
      <c r="R87" s="9"/>
      <c r="S87" s="10"/>
      <c r="T87" s="8"/>
      <c r="U87" s="9"/>
      <c r="V87" s="9"/>
      <c r="W87" s="10"/>
      <c r="X87" s="15"/>
      <c r="Y87" s="9"/>
      <c r="Z87" s="9"/>
      <c r="AA87" s="10"/>
    </row>
    <row r="88" spans="1:27" x14ac:dyDescent="0.3">
      <c r="A88" s="45">
        <f t="shared" si="37"/>
        <v>0.42</v>
      </c>
      <c r="B88" s="8">
        <v>700</v>
      </c>
      <c r="C88" s="9">
        <v>600</v>
      </c>
      <c r="D88" s="10">
        <v>1</v>
      </c>
      <c r="E88" s="8">
        <f t="shared" si="40"/>
        <v>700</v>
      </c>
      <c r="F88" s="9">
        <f t="shared" si="40"/>
        <v>600</v>
      </c>
      <c r="G88" s="10">
        <f t="shared" si="38"/>
        <v>1</v>
      </c>
      <c r="H88" s="8">
        <v>1.6</v>
      </c>
      <c r="I88" s="9">
        <v>60</v>
      </c>
      <c r="J88" s="9">
        <f t="shared" si="39"/>
        <v>699</v>
      </c>
      <c r="K88" s="10">
        <f t="shared" si="41"/>
        <v>4</v>
      </c>
      <c r="L88" s="8">
        <v>1.6</v>
      </c>
      <c r="M88" s="9">
        <v>60</v>
      </c>
      <c r="N88" s="9">
        <f t="shared" si="42"/>
        <v>570</v>
      </c>
      <c r="O88" s="10">
        <f t="shared" si="43"/>
        <v>4</v>
      </c>
      <c r="P88" s="8"/>
      <c r="Q88" s="9"/>
      <c r="R88" s="9"/>
      <c r="S88" s="10"/>
      <c r="T88" s="8"/>
      <c r="U88" s="9"/>
      <c r="V88" s="9"/>
      <c r="W88" s="10"/>
      <c r="X88" s="15"/>
      <c r="Y88" s="9"/>
      <c r="Z88" s="9"/>
      <c r="AA88" s="10"/>
    </row>
    <row r="89" spans="1:27" x14ac:dyDescent="0.3">
      <c r="A89" s="45">
        <f t="shared" si="37"/>
        <v>0</v>
      </c>
      <c r="B89" s="8"/>
      <c r="C89" s="9"/>
      <c r="D89" s="10"/>
      <c r="E89" s="8">
        <f t="shared" si="40"/>
        <v>0</v>
      </c>
      <c r="F89" s="9">
        <f t="shared" si="40"/>
        <v>0</v>
      </c>
      <c r="G89" s="10">
        <f t="shared" si="38"/>
        <v>0</v>
      </c>
      <c r="H89" s="8">
        <v>1.6</v>
      </c>
      <c r="I89" s="9">
        <v>60</v>
      </c>
      <c r="J89" s="9">
        <f t="shared" si="39"/>
        <v>-1</v>
      </c>
      <c r="K89" s="10">
        <f t="shared" si="41"/>
        <v>0</v>
      </c>
      <c r="L89" s="8">
        <v>1.6</v>
      </c>
      <c r="M89" s="9">
        <v>60</v>
      </c>
      <c r="N89" s="9">
        <f t="shared" si="42"/>
        <v>-30</v>
      </c>
      <c r="O89" s="10">
        <f t="shared" si="43"/>
        <v>0</v>
      </c>
      <c r="P89" s="8"/>
      <c r="Q89" s="9"/>
      <c r="R89" s="9"/>
      <c r="S89" s="10"/>
      <c r="T89" s="8"/>
      <c r="U89" s="9"/>
      <c r="V89" s="9"/>
      <c r="W89" s="10"/>
      <c r="X89" s="15"/>
      <c r="Y89" s="9"/>
      <c r="Z89" s="9"/>
      <c r="AA89" s="10"/>
    </row>
    <row r="90" spans="1:27" x14ac:dyDescent="0.3">
      <c r="A90" s="45">
        <f t="shared" si="37"/>
        <v>0</v>
      </c>
      <c r="B90" s="8"/>
      <c r="C90" s="9"/>
      <c r="D90" s="10"/>
      <c r="E90" s="8">
        <f t="shared" si="40"/>
        <v>0</v>
      </c>
      <c r="F90" s="9">
        <f t="shared" si="40"/>
        <v>0</v>
      </c>
      <c r="G90" s="10">
        <f t="shared" si="38"/>
        <v>0</v>
      </c>
      <c r="H90" s="8">
        <v>1.6</v>
      </c>
      <c r="I90" s="9">
        <v>60</v>
      </c>
      <c r="J90" s="9">
        <f t="shared" si="39"/>
        <v>-1</v>
      </c>
      <c r="K90" s="10">
        <f t="shared" si="41"/>
        <v>0</v>
      </c>
      <c r="L90" s="8">
        <v>1.6</v>
      </c>
      <c r="M90" s="9">
        <v>60</v>
      </c>
      <c r="N90" s="9">
        <f t="shared" si="42"/>
        <v>-30</v>
      </c>
      <c r="O90" s="10">
        <f t="shared" si="43"/>
        <v>0</v>
      </c>
      <c r="P90" s="8"/>
      <c r="Q90" s="9"/>
      <c r="R90" s="9"/>
      <c r="S90" s="10"/>
      <c r="T90" s="8"/>
      <c r="U90" s="9"/>
      <c r="V90" s="9"/>
      <c r="W90" s="10"/>
      <c r="X90" s="15"/>
      <c r="Y90" s="9"/>
      <c r="Z90" s="9"/>
      <c r="AA90" s="10"/>
    </row>
    <row r="91" spans="1:27" x14ac:dyDescent="0.3">
      <c r="A91" s="45">
        <f t="shared" si="37"/>
        <v>0</v>
      </c>
      <c r="B91" s="8"/>
      <c r="C91" s="9"/>
      <c r="D91" s="10"/>
      <c r="E91" s="8">
        <f t="shared" si="40"/>
        <v>0</v>
      </c>
      <c r="F91" s="9">
        <f t="shared" si="40"/>
        <v>0</v>
      </c>
      <c r="G91" s="10">
        <f t="shared" si="38"/>
        <v>0</v>
      </c>
      <c r="H91" s="8">
        <v>1.6</v>
      </c>
      <c r="I91" s="9">
        <v>60</v>
      </c>
      <c r="J91" s="9">
        <f t="shared" si="39"/>
        <v>-1</v>
      </c>
      <c r="K91" s="10">
        <f t="shared" si="41"/>
        <v>0</v>
      </c>
      <c r="L91" s="8">
        <v>1.6</v>
      </c>
      <c r="M91" s="9">
        <v>60</v>
      </c>
      <c r="N91" s="9">
        <f t="shared" si="42"/>
        <v>-30</v>
      </c>
      <c r="O91" s="10">
        <f t="shared" si="43"/>
        <v>0</v>
      </c>
      <c r="P91" s="8"/>
      <c r="Q91" s="9"/>
      <c r="R91" s="9"/>
      <c r="S91" s="10"/>
      <c r="T91" s="8"/>
      <c r="U91" s="9"/>
      <c r="V91" s="9"/>
      <c r="W91" s="10"/>
      <c r="X91" s="15"/>
      <c r="Y91" s="9"/>
      <c r="Z91" s="9"/>
      <c r="AA91" s="10"/>
    </row>
    <row r="92" spans="1:27" x14ac:dyDescent="0.3">
      <c r="A92" s="45">
        <f t="shared" si="37"/>
        <v>0</v>
      </c>
      <c r="B92" s="8"/>
      <c r="C92" s="9"/>
      <c r="D92" s="10"/>
      <c r="E92" s="8">
        <f t="shared" si="40"/>
        <v>0</v>
      </c>
      <c r="F92" s="9">
        <f t="shared" si="40"/>
        <v>0</v>
      </c>
      <c r="G92" s="10">
        <f t="shared" si="38"/>
        <v>0</v>
      </c>
      <c r="H92" s="8">
        <v>1.6</v>
      </c>
      <c r="I92" s="9">
        <v>60</v>
      </c>
      <c r="J92" s="9">
        <f t="shared" si="39"/>
        <v>-1</v>
      </c>
      <c r="K92" s="10">
        <f t="shared" si="41"/>
        <v>0</v>
      </c>
      <c r="L92" s="8">
        <v>1.6</v>
      </c>
      <c r="M92" s="9">
        <v>60</v>
      </c>
      <c r="N92" s="9">
        <f t="shared" si="42"/>
        <v>-30</v>
      </c>
      <c r="O92" s="10">
        <f t="shared" si="43"/>
        <v>0</v>
      </c>
      <c r="P92" s="8"/>
      <c r="Q92" s="9"/>
      <c r="R92" s="9"/>
      <c r="S92" s="10"/>
      <c r="T92" s="8"/>
      <c r="U92" s="9"/>
      <c r="V92" s="9"/>
      <c r="W92" s="10"/>
      <c r="X92" s="15"/>
      <c r="Y92" s="9"/>
      <c r="Z92" s="9"/>
      <c r="AA92" s="10"/>
    </row>
    <row r="93" spans="1:27" x14ac:dyDescent="0.3">
      <c r="A93" s="45">
        <f t="shared" si="37"/>
        <v>0</v>
      </c>
      <c r="B93" s="8"/>
      <c r="C93" s="9"/>
      <c r="D93" s="10"/>
      <c r="E93" s="8">
        <f t="shared" si="40"/>
        <v>0</v>
      </c>
      <c r="F93" s="9">
        <f t="shared" si="40"/>
        <v>0</v>
      </c>
      <c r="G93" s="10">
        <f t="shared" si="38"/>
        <v>0</v>
      </c>
      <c r="H93" s="8">
        <v>1.6000000000000016</v>
      </c>
      <c r="I93" s="9">
        <v>60</v>
      </c>
      <c r="J93" s="9">
        <f t="shared" si="39"/>
        <v>-1</v>
      </c>
      <c r="K93" s="10">
        <f t="shared" si="41"/>
        <v>0</v>
      </c>
      <c r="L93" s="8">
        <v>1.6</v>
      </c>
      <c r="M93" s="9">
        <v>60</v>
      </c>
      <c r="N93" s="9">
        <f t="shared" si="42"/>
        <v>-30</v>
      </c>
      <c r="O93" s="10">
        <f t="shared" si="43"/>
        <v>0</v>
      </c>
      <c r="P93" s="8"/>
      <c r="Q93" s="9"/>
      <c r="R93" s="9"/>
      <c r="S93" s="10"/>
      <c r="T93" s="8"/>
      <c r="U93" s="9"/>
      <c r="V93" s="9"/>
      <c r="W93" s="10"/>
      <c r="X93" s="15"/>
      <c r="Y93" s="9"/>
      <c r="Z93" s="9"/>
      <c r="AA93" s="10"/>
    </row>
    <row r="94" spans="1:27" x14ac:dyDescent="0.3">
      <c r="A94" s="45">
        <f t="shared" si="37"/>
        <v>0</v>
      </c>
      <c r="B94" s="11"/>
      <c r="C94" s="12"/>
      <c r="D94" s="13"/>
      <c r="E94" s="11">
        <f t="shared" si="40"/>
        <v>0</v>
      </c>
      <c r="F94" s="12">
        <f t="shared" si="40"/>
        <v>0</v>
      </c>
      <c r="G94" s="13">
        <f t="shared" si="38"/>
        <v>0</v>
      </c>
      <c r="H94" s="11">
        <v>1.6000000000000019</v>
      </c>
      <c r="I94" s="12">
        <v>60</v>
      </c>
      <c r="J94" s="12">
        <f t="shared" si="39"/>
        <v>-1</v>
      </c>
      <c r="K94" s="44">
        <f t="shared" si="41"/>
        <v>0</v>
      </c>
      <c r="L94" s="42">
        <v>1.6</v>
      </c>
      <c r="M94" s="43">
        <v>60</v>
      </c>
      <c r="N94" s="43">
        <f t="shared" si="42"/>
        <v>-30</v>
      </c>
      <c r="O94" s="44">
        <f t="shared" si="43"/>
        <v>0</v>
      </c>
      <c r="P94" s="11"/>
      <c r="Q94" s="12"/>
      <c r="R94" s="12"/>
      <c r="S94" s="13"/>
      <c r="T94" s="11"/>
      <c r="U94" s="12"/>
      <c r="V94" s="12"/>
      <c r="W94" s="13"/>
      <c r="X94" s="16"/>
      <c r="Y94" s="12"/>
      <c r="Z94" s="12"/>
      <c r="AA94" s="13"/>
    </row>
    <row r="95" spans="1:27" ht="16.899999999999999" customHeight="1" x14ac:dyDescent="0.3">
      <c r="B95" s="67"/>
      <c r="C95" s="1"/>
      <c r="D95" s="1"/>
      <c r="E95" s="1"/>
      <c r="F95" s="1"/>
      <c r="G95" s="1"/>
      <c r="H95" s="70" t="s">
        <v>10</v>
      </c>
      <c r="I95" s="71"/>
      <c r="J95" s="71"/>
      <c r="K95" s="72"/>
      <c r="L95" s="70" t="s">
        <v>24</v>
      </c>
      <c r="M95" s="71"/>
      <c r="N95" s="71"/>
      <c r="O95" s="72"/>
      <c r="P95" s="70" t="s">
        <v>6</v>
      </c>
      <c r="Q95" s="71"/>
      <c r="R95" s="71"/>
      <c r="S95" s="72"/>
      <c r="T95" s="70" t="s">
        <v>3</v>
      </c>
      <c r="U95" s="71"/>
      <c r="V95" s="71"/>
      <c r="W95" s="72"/>
      <c r="X95" s="1"/>
      <c r="Y95" s="1"/>
      <c r="Z95" s="1"/>
      <c r="AA95" s="2"/>
    </row>
    <row r="96" spans="1:27" x14ac:dyDescent="0.3">
      <c r="B96" s="67"/>
      <c r="C96" s="1"/>
      <c r="D96" s="1"/>
      <c r="E96" s="1"/>
      <c r="F96" s="1"/>
      <c r="G96" s="1"/>
      <c r="H96" s="17" t="s">
        <v>29</v>
      </c>
      <c r="I96" s="20" t="s">
        <v>35</v>
      </c>
      <c r="J96" s="20" t="s">
        <v>28</v>
      </c>
      <c r="K96" s="29" t="s">
        <v>27</v>
      </c>
      <c r="L96" s="17" t="s">
        <v>29</v>
      </c>
      <c r="M96" s="20" t="s">
        <v>35</v>
      </c>
      <c r="N96" s="20" t="s">
        <v>28</v>
      </c>
      <c r="O96" s="19" t="s">
        <v>1</v>
      </c>
      <c r="P96" s="30" t="s">
        <v>29</v>
      </c>
      <c r="Q96" s="31" t="s">
        <v>35</v>
      </c>
      <c r="R96" s="31" t="s">
        <v>46</v>
      </c>
      <c r="S96" s="29" t="s">
        <v>27</v>
      </c>
      <c r="T96" s="30" t="s">
        <v>29</v>
      </c>
      <c r="U96" s="31" t="s">
        <v>35</v>
      </c>
      <c r="V96" s="31" t="s">
        <v>46</v>
      </c>
      <c r="W96" s="29" t="s">
        <v>27</v>
      </c>
      <c r="X96" s="1"/>
      <c r="Y96" s="1"/>
      <c r="Z96" s="1"/>
      <c r="AA96" s="2"/>
    </row>
    <row r="97" spans="1:27" x14ac:dyDescent="0.3">
      <c r="B97" s="67"/>
      <c r="C97" s="1"/>
      <c r="D97" s="1"/>
      <c r="E97" s="1"/>
      <c r="F97" s="1"/>
      <c r="G97" s="1"/>
      <c r="H97" s="5">
        <v>25</v>
      </c>
      <c r="I97" s="6">
        <v>200</v>
      </c>
      <c r="J97" s="6">
        <f>(((B85+60)*2)+(C85*2))*D85</f>
        <v>3320</v>
      </c>
      <c r="K97" s="38">
        <f>(J97/7320)</f>
        <v>0.45355191256830601</v>
      </c>
      <c r="L97" s="5">
        <v>0.5</v>
      </c>
      <c r="M97" s="6">
        <v>145</v>
      </c>
      <c r="N97" s="6">
        <v>1000</v>
      </c>
      <c r="O97" s="32">
        <f>((_xlfn.IFS((B85+310)&lt;=500,0.5,(B85+310)&lt;=1000,1,(B85+310)&lt;=1500,1.5,(B85+310)&lt;=2000,2,(B85+310)&lt;=2500,2.5,(B85+310)&lt;=3000,3)*2+(_xlfn.IFS((C85+60)&lt;=500,0.5,(C85+60)&lt;=1000,1,(C85+60)&lt;=1500,1.5,(C85+60)&lt;=2000,2,(C85+60)&lt;=2500,2.5,(C85+60)&lt;=3000,3))*2)*2)*D85</f>
        <v>10</v>
      </c>
      <c r="P97" s="5">
        <v>25</v>
      </c>
      <c r="Q97" s="6">
        <v>200</v>
      </c>
      <c r="R97" s="6">
        <f>(((B85+C85)*2+300)*2)*D85</f>
        <v>7000</v>
      </c>
      <c r="S97" s="38">
        <f>(R97/7320*2)</f>
        <v>1.9125683060109289</v>
      </c>
      <c r="T97" s="5"/>
      <c r="U97" s="6"/>
      <c r="V97" s="6"/>
      <c r="W97" s="7"/>
      <c r="X97" s="1"/>
      <c r="Y97" s="1"/>
      <c r="Z97" s="1"/>
      <c r="AA97" s="2"/>
    </row>
    <row r="98" spans="1:27" x14ac:dyDescent="0.3">
      <c r="B98" s="67"/>
      <c r="C98" s="1"/>
      <c r="D98" s="1"/>
      <c r="E98" s="1"/>
      <c r="F98" s="1"/>
      <c r="G98" s="1"/>
      <c r="H98" s="8">
        <v>25</v>
      </c>
      <c r="I98" s="9">
        <v>200</v>
      </c>
      <c r="J98" s="9">
        <f t="shared" ref="J98:J106" si="44">(((B86+60)*2)+(C86*2))*D86</f>
        <v>2820</v>
      </c>
      <c r="K98" s="39">
        <f t="shared" ref="K98:K106" si="45">(J98/7320)</f>
        <v>0.38524590163934425</v>
      </c>
      <c r="L98" s="8">
        <v>0.5</v>
      </c>
      <c r="M98" s="9">
        <v>145</v>
      </c>
      <c r="N98" s="9">
        <v>1000</v>
      </c>
      <c r="O98" s="33">
        <f t="shared" ref="O98:O106" si="46">((_xlfn.IFS((B86+310)&lt;=500,0.5,(B86+310)&lt;=1000,1,(B86+310)&lt;=1500,1.5,(B86+310)&lt;=2000,2,(B86+310)&lt;=2500,2.5,(B86+310)&lt;=3000,3)*2+(_xlfn.IFS((C86+60)&lt;=500,0.5,(C86+60)&lt;=1000,1,(C86+60)&lt;=1500,1.5,(C86+60)&lt;=2000,2,(C86+60)&lt;=2500,2.5,(C86+60)&lt;=3000,3))*2)*2)*D86</f>
        <v>10</v>
      </c>
      <c r="P98" s="8">
        <v>25</v>
      </c>
      <c r="Q98" s="9">
        <v>200</v>
      </c>
      <c r="R98" s="9">
        <f t="shared" ref="R98:R106" si="47">(((B86+C86)*2+300)*2)*D86</f>
        <v>6000</v>
      </c>
      <c r="S98" s="39">
        <f t="shared" ref="S98:S106" si="48">(R98/7320*2)</f>
        <v>1.639344262295082</v>
      </c>
      <c r="T98" s="8"/>
      <c r="U98" s="9"/>
      <c r="V98" s="9"/>
      <c r="W98" s="10"/>
      <c r="X98" s="1"/>
      <c r="Y98" s="1"/>
      <c r="Z98" s="1"/>
      <c r="AA98" s="2"/>
    </row>
    <row r="99" spans="1:27" x14ac:dyDescent="0.3">
      <c r="B99" s="67"/>
      <c r="C99" s="1"/>
      <c r="D99" s="1"/>
      <c r="E99" s="1"/>
      <c r="F99" s="1"/>
      <c r="G99" s="1"/>
      <c r="H99" s="8">
        <v>25</v>
      </c>
      <c r="I99" s="9">
        <v>200</v>
      </c>
      <c r="J99" s="9">
        <f t="shared" si="44"/>
        <v>3120</v>
      </c>
      <c r="K99" s="39">
        <f t="shared" si="45"/>
        <v>0.42622950819672129</v>
      </c>
      <c r="L99" s="8">
        <v>0.5</v>
      </c>
      <c r="M99" s="9">
        <v>145</v>
      </c>
      <c r="N99" s="9">
        <v>1000</v>
      </c>
      <c r="O99" s="33">
        <f t="shared" si="46"/>
        <v>10</v>
      </c>
      <c r="P99" s="8">
        <v>25</v>
      </c>
      <c r="Q99" s="9">
        <v>200</v>
      </c>
      <c r="R99" s="9">
        <f t="shared" si="47"/>
        <v>6600</v>
      </c>
      <c r="S99" s="39">
        <f t="shared" si="48"/>
        <v>1.8032786885245902</v>
      </c>
      <c r="T99" s="8"/>
      <c r="U99" s="9"/>
      <c r="V99" s="9"/>
      <c r="W99" s="10"/>
      <c r="X99" s="1"/>
      <c r="Y99" s="1"/>
      <c r="Z99" s="1"/>
      <c r="AA99" s="2"/>
    </row>
    <row r="100" spans="1:27" x14ac:dyDescent="0.3">
      <c r="B100" s="67"/>
      <c r="C100" s="1"/>
      <c r="D100" s="1"/>
      <c r="E100" s="1"/>
      <c r="F100" s="1"/>
      <c r="G100" s="1"/>
      <c r="H100" s="8">
        <v>25</v>
      </c>
      <c r="I100" s="9">
        <v>200</v>
      </c>
      <c r="J100" s="9">
        <f t="shared" si="44"/>
        <v>2720</v>
      </c>
      <c r="K100" s="39">
        <f t="shared" si="45"/>
        <v>0.37158469945355194</v>
      </c>
      <c r="L100" s="8">
        <v>0.5</v>
      </c>
      <c r="M100" s="9">
        <v>145</v>
      </c>
      <c r="N100" s="9">
        <v>1000</v>
      </c>
      <c r="O100" s="33">
        <f t="shared" si="46"/>
        <v>10</v>
      </c>
      <c r="P100" s="8">
        <v>25</v>
      </c>
      <c r="Q100" s="9">
        <v>200</v>
      </c>
      <c r="R100" s="9">
        <f t="shared" si="47"/>
        <v>5800</v>
      </c>
      <c r="S100" s="39">
        <f t="shared" si="48"/>
        <v>1.5846994535519126</v>
      </c>
      <c r="T100" s="8"/>
      <c r="U100" s="9"/>
      <c r="V100" s="9"/>
      <c r="W100" s="10"/>
      <c r="X100" s="1"/>
      <c r="Y100" s="1"/>
      <c r="Z100" s="1"/>
      <c r="AA100" s="2"/>
    </row>
    <row r="101" spans="1:27" x14ac:dyDescent="0.3">
      <c r="B101" s="67"/>
      <c r="C101" s="1"/>
      <c r="D101" s="1"/>
      <c r="E101" s="1"/>
      <c r="F101" s="1"/>
      <c r="G101" s="1"/>
      <c r="H101" s="8">
        <v>25</v>
      </c>
      <c r="I101" s="9">
        <v>200</v>
      </c>
      <c r="J101" s="9">
        <f t="shared" si="44"/>
        <v>0</v>
      </c>
      <c r="K101" s="39">
        <f t="shared" si="45"/>
        <v>0</v>
      </c>
      <c r="L101" s="8">
        <v>0.5</v>
      </c>
      <c r="M101" s="9">
        <v>145</v>
      </c>
      <c r="N101" s="9">
        <v>1000</v>
      </c>
      <c r="O101" s="33">
        <f t="shared" si="46"/>
        <v>0</v>
      </c>
      <c r="P101" s="8">
        <v>25</v>
      </c>
      <c r="Q101" s="9">
        <v>200</v>
      </c>
      <c r="R101" s="9">
        <f t="shared" si="47"/>
        <v>0</v>
      </c>
      <c r="S101" s="39">
        <f t="shared" si="48"/>
        <v>0</v>
      </c>
      <c r="T101" s="8"/>
      <c r="U101" s="9"/>
      <c r="V101" s="9"/>
      <c r="W101" s="10"/>
      <c r="X101" s="1"/>
      <c r="Y101" s="1"/>
      <c r="Z101" s="1"/>
      <c r="AA101" s="2"/>
    </row>
    <row r="102" spans="1:27" x14ac:dyDescent="0.3">
      <c r="B102" s="67"/>
      <c r="C102" s="1"/>
      <c r="D102" s="1"/>
      <c r="E102" s="1"/>
      <c r="F102" s="1"/>
      <c r="G102" s="1"/>
      <c r="H102" s="8">
        <v>25</v>
      </c>
      <c r="I102" s="9">
        <v>200</v>
      </c>
      <c r="J102" s="9">
        <f t="shared" si="44"/>
        <v>0</v>
      </c>
      <c r="K102" s="39">
        <f t="shared" si="45"/>
        <v>0</v>
      </c>
      <c r="L102" s="8">
        <v>0.5</v>
      </c>
      <c r="M102" s="9">
        <v>145</v>
      </c>
      <c r="N102" s="9">
        <v>1000</v>
      </c>
      <c r="O102" s="33">
        <f t="shared" si="46"/>
        <v>0</v>
      </c>
      <c r="P102" s="8">
        <v>25</v>
      </c>
      <c r="Q102" s="9">
        <v>200</v>
      </c>
      <c r="R102" s="9">
        <f t="shared" si="47"/>
        <v>0</v>
      </c>
      <c r="S102" s="39">
        <f t="shared" si="48"/>
        <v>0</v>
      </c>
      <c r="T102" s="8"/>
      <c r="U102" s="9"/>
      <c r="V102" s="9"/>
      <c r="W102" s="10"/>
      <c r="X102" s="1"/>
      <c r="Y102" s="1"/>
      <c r="Z102" s="1"/>
      <c r="AA102" s="2"/>
    </row>
    <row r="103" spans="1:27" x14ac:dyDescent="0.3">
      <c r="B103" s="67"/>
      <c r="C103" s="1"/>
      <c r="D103" s="1"/>
      <c r="E103" s="1"/>
      <c r="F103" s="1"/>
      <c r="G103" s="1"/>
      <c r="H103" s="8">
        <v>25</v>
      </c>
      <c r="I103" s="9">
        <v>200</v>
      </c>
      <c r="J103" s="9">
        <f t="shared" si="44"/>
        <v>0</v>
      </c>
      <c r="K103" s="39">
        <f t="shared" si="45"/>
        <v>0</v>
      </c>
      <c r="L103" s="8">
        <v>0.5</v>
      </c>
      <c r="M103" s="9">
        <v>145</v>
      </c>
      <c r="N103" s="9">
        <v>1000</v>
      </c>
      <c r="O103" s="33">
        <f t="shared" si="46"/>
        <v>0</v>
      </c>
      <c r="P103" s="8">
        <v>25</v>
      </c>
      <c r="Q103" s="9">
        <v>200</v>
      </c>
      <c r="R103" s="9">
        <f t="shared" si="47"/>
        <v>0</v>
      </c>
      <c r="S103" s="39">
        <f t="shared" si="48"/>
        <v>0</v>
      </c>
      <c r="T103" s="8"/>
      <c r="U103" s="9"/>
      <c r="V103" s="9"/>
      <c r="W103" s="10"/>
      <c r="X103" s="1"/>
      <c r="Y103" s="1"/>
      <c r="Z103" s="1"/>
      <c r="AA103" s="2"/>
    </row>
    <row r="104" spans="1:27" x14ac:dyDescent="0.3">
      <c r="B104" s="67"/>
      <c r="C104" s="1"/>
      <c r="D104" s="1"/>
      <c r="E104" s="1"/>
      <c r="F104" s="1"/>
      <c r="G104" s="1"/>
      <c r="H104" s="8">
        <v>25</v>
      </c>
      <c r="I104" s="9">
        <v>200</v>
      </c>
      <c r="J104" s="9">
        <f t="shared" si="44"/>
        <v>0</v>
      </c>
      <c r="K104" s="39">
        <f t="shared" si="45"/>
        <v>0</v>
      </c>
      <c r="L104" s="8">
        <v>0.5</v>
      </c>
      <c r="M104" s="9">
        <v>145</v>
      </c>
      <c r="N104" s="9">
        <v>1000</v>
      </c>
      <c r="O104" s="33">
        <f t="shared" si="46"/>
        <v>0</v>
      </c>
      <c r="P104" s="8">
        <v>25</v>
      </c>
      <c r="Q104" s="9">
        <v>200</v>
      </c>
      <c r="R104" s="9">
        <f t="shared" si="47"/>
        <v>0</v>
      </c>
      <c r="S104" s="39">
        <f t="shared" si="48"/>
        <v>0</v>
      </c>
      <c r="T104" s="8"/>
      <c r="U104" s="9"/>
      <c r="V104" s="9"/>
      <c r="W104" s="10"/>
      <c r="X104" s="1"/>
      <c r="Y104" s="1"/>
      <c r="Z104" s="1"/>
      <c r="AA104" s="2"/>
    </row>
    <row r="105" spans="1:27" x14ac:dyDescent="0.3">
      <c r="B105" s="67"/>
      <c r="C105" s="1"/>
      <c r="D105" s="1"/>
      <c r="E105" s="1"/>
      <c r="F105" s="1"/>
      <c r="G105" s="1"/>
      <c r="H105" s="8">
        <v>25</v>
      </c>
      <c r="I105" s="9">
        <v>200</v>
      </c>
      <c r="J105" s="9">
        <f t="shared" si="44"/>
        <v>0</v>
      </c>
      <c r="K105" s="39">
        <f t="shared" si="45"/>
        <v>0</v>
      </c>
      <c r="L105" s="8">
        <v>0.5</v>
      </c>
      <c r="M105" s="9">
        <v>145</v>
      </c>
      <c r="N105" s="9">
        <v>1000</v>
      </c>
      <c r="O105" s="33">
        <f t="shared" si="46"/>
        <v>0</v>
      </c>
      <c r="P105" s="8">
        <v>25</v>
      </c>
      <c r="Q105" s="9">
        <v>200</v>
      </c>
      <c r="R105" s="9">
        <f t="shared" si="47"/>
        <v>0</v>
      </c>
      <c r="S105" s="39">
        <f t="shared" si="48"/>
        <v>0</v>
      </c>
      <c r="T105" s="8"/>
      <c r="U105" s="9"/>
      <c r="V105" s="9"/>
      <c r="W105" s="10"/>
      <c r="X105" s="1"/>
      <c r="Y105" s="1"/>
      <c r="Z105" s="1"/>
      <c r="AA105" s="2"/>
    </row>
    <row r="106" spans="1:27" x14ac:dyDescent="0.3">
      <c r="B106" s="68"/>
      <c r="C106" s="69"/>
      <c r="D106" s="69"/>
      <c r="E106" s="69"/>
      <c r="F106" s="69"/>
      <c r="G106" s="69"/>
      <c r="H106" s="11">
        <v>25</v>
      </c>
      <c r="I106" s="12">
        <v>200</v>
      </c>
      <c r="J106" s="12">
        <f t="shared" si="44"/>
        <v>0</v>
      </c>
      <c r="K106" s="40">
        <f t="shared" si="45"/>
        <v>0</v>
      </c>
      <c r="L106" s="11">
        <v>0.5</v>
      </c>
      <c r="M106" s="12">
        <v>145</v>
      </c>
      <c r="N106" s="12">
        <v>1000</v>
      </c>
      <c r="O106" s="34">
        <f t="shared" si="46"/>
        <v>0</v>
      </c>
      <c r="P106" s="11">
        <v>25</v>
      </c>
      <c r="Q106" s="12">
        <v>200</v>
      </c>
      <c r="R106" s="12">
        <f t="shared" si="47"/>
        <v>0</v>
      </c>
      <c r="S106" s="40">
        <f t="shared" si="48"/>
        <v>0</v>
      </c>
      <c r="T106" s="11"/>
      <c r="U106" s="12"/>
      <c r="V106" s="12"/>
      <c r="W106" s="13"/>
      <c r="X106" s="3"/>
      <c r="Y106" s="3"/>
      <c r="Z106" s="3"/>
      <c r="AA106" s="4"/>
    </row>
    <row r="107" spans="1:27" x14ac:dyDescent="0.3">
      <c r="J107" s="35" t="s">
        <v>34</v>
      </c>
      <c r="K107" s="37">
        <f>SUM(K97:K106)</f>
        <v>1.6366120218579234</v>
      </c>
      <c r="N107" s="35" t="s">
        <v>34</v>
      </c>
      <c r="O107" s="36">
        <f>SUM(O97:O106)</f>
        <v>40</v>
      </c>
      <c r="P107" s="1"/>
      <c r="Q107" s="1"/>
      <c r="R107" s="35" t="s">
        <v>34</v>
      </c>
      <c r="S107" s="37">
        <f>SUM(S97:S106)</f>
        <v>6.9398907103825138</v>
      </c>
      <c r="T107" s="1"/>
      <c r="U107" s="1"/>
      <c r="V107" s="35" t="s">
        <v>34</v>
      </c>
      <c r="W107" s="37">
        <f>SUM(W97:W106)</f>
        <v>0</v>
      </c>
    </row>
    <row r="108" spans="1:27" x14ac:dyDescent="0.3">
      <c r="B108" s="26" t="s">
        <v>20</v>
      </c>
    </row>
    <row r="110" spans="1:27" ht="16.899999999999999" customHeight="1" x14ac:dyDescent="0.3">
      <c r="B110" s="74" t="s">
        <v>0</v>
      </c>
      <c r="C110" s="75"/>
      <c r="D110" s="75"/>
      <c r="E110" s="74" t="s">
        <v>33</v>
      </c>
      <c r="F110" s="75"/>
      <c r="G110" s="75"/>
      <c r="H110" s="1" t="s">
        <v>38</v>
      </c>
      <c r="I110" s="64"/>
      <c r="J110" s="64"/>
      <c r="K110" s="65"/>
      <c r="L110" s="1" t="s">
        <v>45</v>
      </c>
      <c r="M110" s="64"/>
      <c r="N110" s="64"/>
      <c r="O110" s="65"/>
      <c r="P110" s="1" t="s">
        <v>23</v>
      </c>
      <c r="Q110" s="64"/>
      <c r="R110" s="64"/>
      <c r="S110" s="65"/>
      <c r="T110" s="1" t="s">
        <v>44</v>
      </c>
      <c r="U110" s="64"/>
      <c r="V110" s="64"/>
      <c r="W110" s="65"/>
      <c r="X110" s="66" t="s">
        <v>40</v>
      </c>
      <c r="Y110" s="64"/>
      <c r="Z110" s="64"/>
      <c r="AA110" s="65"/>
    </row>
    <row r="111" spans="1:27" ht="17.25" thickBot="1" x14ac:dyDescent="0.35">
      <c r="A111" s="1" t="s">
        <v>37</v>
      </c>
      <c r="B111" s="17" t="s">
        <v>31</v>
      </c>
      <c r="C111" s="18" t="s">
        <v>36</v>
      </c>
      <c r="D111" s="29" t="s">
        <v>1</v>
      </c>
      <c r="E111" s="17" t="s">
        <v>31</v>
      </c>
      <c r="F111" s="20" t="s">
        <v>36</v>
      </c>
      <c r="G111" s="18" t="s">
        <v>1</v>
      </c>
      <c r="H111" s="17" t="s">
        <v>29</v>
      </c>
      <c r="I111" s="20" t="s">
        <v>35</v>
      </c>
      <c r="J111" s="20" t="s">
        <v>28</v>
      </c>
      <c r="K111" s="19" t="s">
        <v>1</v>
      </c>
      <c r="L111" s="17" t="s">
        <v>29</v>
      </c>
      <c r="M111" s="20" t="s">
        <v>35</v>
      </c>
      <c r="N111" s="20" t="s">
        <v>28</v>
      </c>
      <c r="O111" s="19" t="s">
        <v>1</v>
      </c>
      <c r="P111" s="17" t="s">
        <v>29</v>
      </c>
      <c r="Q111" s="20" t="s">
        <v>35</v>
      </c>
      <c r="R111" s="20" t="s">
        <v>28</v>
      </c>
      <c r="S111" s="19" t="s">
        <v>1</v>
      </c>
      <c r="T111" s="17" t="s">
        <v>29</v>
      </c>
      <c r="U111" s="20" t="s">
        <v>35</v>
      </c>
      <c r="V111" s="20" t="s">
        <v>28</v>
      </c>
      <c r="W111" s="19" t="s">
        <v>1</v>
      </c>
      <c r="X111" s="21" t="s">
        <v>29</v>
      </c>
      <c r="Y111" s="20" t="s">
        <v>35</v>
      </c>
      <c r="Z111" s="20" t="s">
        <v>28</v>
      </c>
      <c r="AA111" s="19" t="s">
        <v>1</v>
      </c>
    </row>
    <row r="112" spans="1:27" x14ac:dyDescent="0.3">
      <c r="A112" s="45">
        <f>B112*C112/1000000</f>
        <v>2.1</v>
      </c>
      <c r="B112" s="24">
        <v>1500</v>
      </c>
      <c r="C112" s="56">
        <v>1400</v>
      </c>
      <c r="D112" s="56">
        <v>1</v>
      </c>
      <c r="E112" s="5">
        <f>B112</f>
        <v>1500</v>
      </c>
      <c r="F112" s="6">
        <f>C112</f>
        <v>1400</v>
      </c>
      <c r="G112" s="7">
        <f>D112*2</f>
        <v>2</v>
      </c>
      <c r="H112" s="5">
        <v>1.6</v>
      </c>
      <c r="I112" s="6">
        <v>60</v>
      </c>
      <c r="J112" s="6">
        <f>E112/2-16</f>
        <v>734</v>
      </c>
      <c r="K112" s="7">
        <f>D112*16</f>
        <v>16</v>
      </c>
      <c r="L112" s="5">
        <v>1.6</v>
      </c>
      <c r="M112" s="6">
        <v>60</v>
      </c>
      <c r="N112" s="6">
        <f>F112/2-20</f>
        <v>680</v>
      </c>
      <c r="O112" s="7">
        <f>D112*32</f>
        <v>32</v>
      </c>
      <c r="P112" s="5">
        <v>1.6</v>
      </c>
      <c r="Q112" s="6">
        <v>225</v>
      </c>
      <c r="R112" s="6">
        <f>E112/2-16</f>
        <v>734</v>
      </c>
      <c r="S112" s="7">
        <f>D112*8</f>
        <v>8</v>
      </c>
      <c r="T112" s="5">
        <v>1.6</v>
      </c>
      <c r="U112" s="6">
        <v>237</v>
      </c>
      <c r="V112" s="6">
        <f>F112-1</f>
        <v>1399</v>
      </c>
      <c r="W112" s="7">
        <f>D112*4</f>
        <v>4</v>
      </c>
      <c r="X112" s="14"/>
      <c r="Y112" s="6"/>
      <c r="Z112" s="6"/>
      <c r="AA112" s="7"/>
    </row>
    <row r="113" spans="1:27" x14ac:dyDescent="0.3">
      <c r="A113" s="45">
        <f t="shared" ref="A113:A121" si="49">B113*C113/1000000</f>
        <v>3.3</v>
      </c>
      <c r="B113" s="24">
        <v>1500</v>
      </c>
      <c r="C113" s="56">
        <v>2200</v>
      </c>
      <c r="D113" s="56">
        <v>1</v>
      </c>
      <c r="E113" s="8">
        <f>B113</f>
        <v>1500</v>
      </c>
      <c r="F113" s="9">
        <f>C113</f>
        <v>2200</v>
      </c>
      <c r="G113" s="10">
        <f t="shared" ref="G113:G121" si="50">D113*2</f>
        <v>2</v>
      </c>
      <c r="H113" s="8">
        <v>1.6</v>
      </c>
      <c r="I113" s="9">
        <v>60</v>
      </c>
      <c r="J113" s="9">
        <f>E113/2-16</f>
        <v>734</v>
      </c>
      <c r="K113" s="10">
        <f t="shared" ref="K113:K121" si="51">D113*16</f>
        <v>16</v>
      </c>
      <c r="L113" s="8">
        <v>1.6</v>
      </c>
      <c r="M113" s="9">
        <v>60</v>
      </c>
      <c r="N113" s="9">
        <f>F113/2-20</f>
        <v>1080</v>
      </c>
      <c r="O113" s="10">
        <f t="shared" ref="O113:O121" si="52">D113*32</f>
        <v>32</v>
      </c>
      <c r="P113" s="8">
        <v>1.6</v>
      </c>
      <c r="Q113" s="9">
        <v>225</v>
      </c>
      <c r="R113" s="9">
        <f>E113/2-16</f>
        <v>734</v>
      </c>
      <c r="S113" s="10">
        <f t="shared" ref="S113:S121" si="53">D113*8</f>
        <v>8</v>
      </c>
      <c r="T113" s="8">
        <v>1.6</v>
      </c>
      <c r="U113" s="9">
        <v>237</v>
      </c>
      <c r="V113" s="9">
        <f>F113-1</f>
        <v>2199</v>
      </c>
      <c r="W113" s="10">
        <f t="shared" ref="W113:W121" si="54">D113*4</f>
        <v>4</v>
      </c>
      <c r="X113" s="15"/>
      <c r="Y113" s="9"/>
      <c r="Z113" s="9"/>
      <c r="AA113" s="10"/>
    </row>
    <row r="114" spans="1:27" x14ac:dyDescent="0.3">
      <c r="A114" s="45">
        <f t="shared" si="49"/>
        <v>2.5350000000000001</v>
      </c>
      <c r="B114" s="24">
        <v>1950</v>
      </c>
      <c r="C114" s="56">
        <v>1300</v>
      </c>
      <c r="D114" s="56">
        <v>1</v>
      </c>
      <c r="E114" s="8">
        <f t="shared" ref="E114:F121" si="55">B114</f>
        <v>1950</v>
      </c>
      <c r="F114" s="9">
        <f t="shared" si="55"/>
        <v>1300</v>
      </c>
      <c r="G114" s="10">
        <f t="shared" si="50"/>
        <v>2</v>
      </c>
      <c r="H114" s="8">
        <v>1.6</v>
      </c>
      <c r="I114" s="9">
        <v>60</v>
      </c>
      <c r="J114" s="9">
        <f t="shared" ref="J114:J121" si="56">E114/2-16</f>
        <v>959</v>
      </c>
      <c r="K114" s="10">
        <f t="shared" si="51"/>
        <v>16</v>
      </c>
      <c r="L114" s="8">
        <v>1.6</v>
      </c>
      <c r="M114" s="9">
        <v>60</v>
      </c>
      <c r="N114" s="9">
        <f t="shared" ref="N114:N121" si="57">F114/2-20</f>
        <v>630</v>
      </c>
      <c r="O114" s="10">
        <f t="shared" si="52"/>
        <v>32</v>
      </c>
      <c r="P114" s="8">
        <v>1.6</v>
      </c>
      <c r="Q114" s="9">
        <v>225</v>
      </c>
      <c r="R114" s="9">
        <f t="shared" ref="R114:R121" si="58">E114/2-16</f>
        <v>959</v>
      </c>
      <c r="S114" s="10">
        <f t="shared" si="53"/>
        <v>8</v>
      </c>
      <c r="T114" s="8">
        <v>1.6</v>
      </c>
      <c r="U114" s="9">
        <v>237</v>
      </c>
      <c r="V114" s="9">
        <f t="shared" ref="V114:V121" si="59">F114-1</f>
        <v>1299</v>
      </c>
      <c r="W114" s="10">
        <f t="shared" si="54"/>
        <v>4</v>
      </c>
      <c r="X114" s="15"/>
      <c r="Y114" s="9"/>
      <c r="Z114" s="9"/>
      <c r="AA114" s="10"/>
    </row>
    <row r="115" spans="1:27" x14ac:dyDescent="0.3">
      <c r="A115" s="45">
        <f t="shared" si="49"/>
        <v>2.34</v>
      </c>
      <c r="B115" s="24">
        <v>1300</v>
      </c>
      <c r="C115" s="56">
        <v>1800</v>
      </c>
      <c r="D115" s="56">
        <v>1</v>
      </c>
      <c r="E115" s="8">
        <f t="shared" si="55"/>
        <v>1300</v>
      </c>
      <c r="F115" s="9">
        <f t="shared" si="55"/>
        <v>1800</v>
      </c>
      <c r="G115" s="10">
        <f t="shared" si="50"/>
        <v>2</v>
      </c>
      <c r="H115" s="8">
        <v>1.6</v>
      </c>
      <c r="I115" s="9">
        <v>60</v>
      </c>
      <c r="J115" s="9">
        <f t="shared" si="56"/>
        <v>634</v>
      </c>
      <c r="K115" s="10">
        <f t="shared" si="51"/>
        <v>16</v>
      </c>
      <c r="L115" s="8">
        <v>1.6</v>
      </c>
      <c r="M115" s="9">
        <v>60</v>
      </c>
      <c r="N115" s="9">
        <f t="shared" si="57"/>
        <v>880</v>
      </c>
      <c r="O115" s="10">
        <f t="shared" si="52"/>
        <v>32</v>
      </c>
      <c r="P115" s="8">
        <v>1.6</v>
      </c>
      <c r="Q115" s="9">
        <v>225</v>
      </c>
      <c r="R115" s="9">
        <f t="shared" si="58"/>
        <v>634</v>
      </c>
      <c r="S115" s="10">
        <f t="shared" si="53"/>
        <v>8</v>
      </c>
      <c r="T115" s="8">
        <v>1.6</v>
      </c>
      <c r="U115" s="9">
        <v>237</v>
      </c>
      <c r="V115" s="9">
        <f t="shared" si="59"/>
        <v>1799</v>
      </c>
      <c r="W115" s="10">
        <f t="shared" si="54"/>
        <v>4</v>
      </c>
      <c r="X115" s="15"/>
      <c r="Y115" s="9"/>
      <c r="Z115" s="9"/>
      <c r="AA115" s="10"/>
    </row>
    <row r="116" spans="1:27" x14ac:dyDescent="0.3">
      <c r="A116" s="45">
        <f t="shared" si="49"/>
        <v>0</v>
      </c>
      <c r="B116" s="24"/>
      <c r="C116" s="56"/>
      <c r="D116" s="56"/>
      <c r="E116" s="8">
        <f t="shared" si="55"/>
        <v>0</v>
      </c>
      <c r="F116" s="9">
        <f t="shared" si="55"/>
        <v>0</v>
      </c>
      <c r="G116" s="10">
        <f t="shared" si="50"/>
        <v>0</v>
      </c>
      <c r="H116" s="8">
        <v>1.6</v>
      </c>
      <c r="I116" s="9">
        <v>60</v>
      </c>
      <c r="J116" s="9">
        <f t="shared" si="56"/>
        <v>-16</v>
      </c>
      <c r="K116" s="10">
        <f t="shared" si="51"/>
        <v>0</v>
      </c>
      <c r="L116" s="8">
        <v>1.6</v>
      </c>
      <c r="M116" s="9">
        <v>60</v>
      </c>
      <c r="N116" s="9">
        <f t="shared" si="57"/>
        <v>-20</v>
      </c>
      <c r="O116" s="10">
        <f t="shared" si="52"/>
        <v>0</v>
      </c>
      <c r="P116" s="8">
        <v>1.6</v>
      </c>
      <c r="Q116" s="9">
        <v>225</v>
      </c>
      <c r="R116" s="9">
        <f t="shared" si="58"/>
        <v>-16</v>
      </c>
      <c r="S116" s="10">
        <f t="shared" si="53"/>
        <v>0</v>
      </c>
      <c r="T116" s="8">
        <v>1.6</v>
      </c>
      <c r="U116" s="9">
        <v>237</v>
      </c>
      <c r="V116" s="9">
        <f t="shared" si="59"/>
        <v>-1</v>
      </c>
      <c r="W116" s="10">
        <f t="shared" si="54"/>
        <v>0</v>
      </c>
      <c r="X116" s="15"/>
      <c r="Y116" s="9"/>
      <c r="Z116" s="9"/>
      <c r="AA116" s="10"/>
    </row>
    <row r="117" spans="1:27" x14ac:dyDescent="0.3">
      <c r="A117" s="45">
        <f t="shared" si="49"/>
        <v>0</v>
      </c>
      <c r="B117" s="8"/>
      <c r="C117" s="9"/>
      <c r="D117" s="10"/>
      <c r="E117" s="8">
        <f t="shared" si="55"/>
        <v>0</v>
      </c>
      <c r="F117" s="9">
        <f t="shared" si="55"/>
        <v>0</v>
      </c>
      <c r="G117" s="10">
        <f t="shared" si="50"/>
        <v>0</v>
      </c>
      <c r="H117" s="8">
        <v>1.6</v>
      </c>
      <c r="I117" s="9">
        <v>60</v>
      </c>
      <c r="J117" s="9">
        <f t="shared" si="56"/>
        <v>-16</v>
      </c>
      <c r="K117" s="10">
        <f t="shared" si="51"/>
        <v>0</v>
      </c>
      <c r="L117" s="8">
        <v>1.6</v>
      </c>
      <c r="M117" s="9">
        <v>60</v>
      </c>
      <c r="N117" s="9">
        <f t="shared" si="57"/>
        <v>-20</v>
      </c>
      <c r="O117" s="10">
        <f t="shared" si="52"/>
        <v>0</v>
      </c>
      <c r="P117" s="8">
        <v>1.6</v>
      </c>
      <c r="Q117" s="9">
        <v>225</v>
      </c>
      <c r="R117" s="9">
        <f t="shared" si="58"/>
        <v>-16</v>
      </c>
      <c r="S117" s="10">
        <f t="shared" si="53"/>
        <v>0</v>
      </c>
      <c r="T117" s="8">
        <v>1.6</v>
      </c>
      <c r="U117" s="9">
        <v>237</v>
      </c>
      <c r="V117" s="9">
        <f t="shared" si="59"/>
        <v>-1</v>
      </c>
      <c r="W117" s="10">
        <f t="shared" si="54"/>
        <v>0</v>
      </c>
      <c r="X117" s="15"/>
      <c r="Y117" s="9"/>
      <c r="Z117" s="9"/>
      <c r="AA117" s="10"/>
    </row>
    <row r="118" spans="1:27" x14ac:dyDescent="0.3">
      <c r="A118" s="45">
        <f t="shared" si="49"/>
        <v>0</v>
      </c>
      <c r="B118" s="8"/>
      <c r="C118" s="9"/>
      <c r="D118" s="10"/>
      <c r="E118" s="8">
        <f t="shared" si="55"/>
        <v>0</v>
      </c>
      <c r="F118" s="9">
        <f t="shared" si="55"/>
        <v>0</v>
      </c>
      <c r="G118" s="10">
        <f t="shared" si="50"/>
        <v>0</v>
      </c>
      <c r="H118" s="8">
        <v>1.6</v>
      </c>
      <c r="I118" s="9">
        <v>60</v>
      </c>
      <c r="J118" s="9">
        <f t="shared" si="56"/>
        <v>-16</v>
      </c>
      <c r="K118" s="10">
        <f t="shared" si="51"/>
        <v>0</v>
      </c>
      <c r="L118" s="8">
        <v>1.6</v>
      </c>
      <c r="M118" s="9">
        <v>60</v>
      </c>
      <c r="N118" s="9">
        <f t="shared" si="57"/>
        <v>-20</v>
      </c>
      <c r="O118" s="10">
        <f t="shared" si="52"/>
        <v>0</v>
      </c>
      <c r="P118" s="8">
        <v>1.6</v>
      </c>
      <c r="Q118" s="9">
        <v>225</v>
      </c>
      <c r="R118" s="9">
        <f t="shared" si="58"/>
        <v>-16</v>
      </c>
      <c r="S118" s="10">
        <f t="shared" si="53"/>
        <v>0</v>
      </c>
      <c r="T118" s="8">
        <v>1.6</v>
      </c>
      <c r="U118" s="9">
        <v>237</v>
      </c>
      <c r="V118" s="9">
        <f t="shared" si="59"/>
        <v>-1</v>
      </c>
      <c r="W118" s="10">
        <f t="shared" si="54"/>
        <v>0</v>
      </c>
      <c r="X118" s="15"/>
      <c r="Y118" s="9"/>
      <c r="Z118" s="9"/>
      <c r="AA118" s="10"/>
    </row>
    <row r="119" spans="1:27" x14ac:dyDescent="0.3">
      <c r="A119" s="45">
        <f t="shared" si="49"/>
        <v>0</v>
      </c>
      <c r="B119" s="8"/>
      <c r="C119" s="9"/>
      <c r="D119" s="10"/>
      <c r="E119" s="8">
        <f t="shared" si="55"/>
        <v>0</v>
      </c>
      <c r="F119" s="9">
        <f t="shared" si="55"/>
        <v>0</v>
      </c>
      <c r="G119" s="10">
        <f t="shared" si="50"/>
        <v>0</v>
      </c>
      <c r="H119" s="8">
        <v>1.6</v>
      </c>
      <c r="I119" s="9">
        <v>60</v>
      </c>
      <c r="J119" s="9">
        <f t="shared" si="56"/>
        <v>-16</v>
      </c>
      <c r="K119" s="10">
        <f t="shared" si="51"/>
        <v>0</v>
      </c>
      <c r="L119" s="8">
        <v>1.6</v>
      </c>
      <c r="M119" s="9">
        <v>60</v>
      </c>
      <c r="N119" s="9">
        <f t="shared" si="57"/>
        <v>-20</v>
      </c>
      <c r="O119" s="10">
        <f t="shared" si="52"/>
        <v>0</v>
      </c>
      <c r="P119" s="8">
        <v>1.6</v>
      </c>
      <c r="Q119" s="9">
        <v>225</v>
      </c>
      <c r="R119" s="9">
        <f t="shared" si="58"/>
        <v>-16</v>
      </c>
      <c r="S119" s="10">
        <f t="shared" si="53"/>
        <v>0</v>
      </c>
      <c r="T119" s="8">
        <v>1.6</v>
      </c>
      <c r="U119" s="9">
        <v>237</v>
      </c>
      <c r="V119" s="9">
        <f t="shared" si="59"/>
        <v>-1</v>
      </c>
      <c r="W119" s="10">
        <f t="shared" si="54"/>
        <v>0</v>
      </c>
      <c r="X119" s="15"/>
      <c r="Y119" s="9"/>
      <c r="Z119" s="9"/>
      <c r="AA119" s="10"/>
    </row>
    <row r="120" spans="1:27" x14ac:dyDescent="0.3">
      <c r="A120" s="45">
        <f t="shared" si="49"/>
        <v>0</v>
      </c>
      <c r="B120" s="22"/>
      <c r="C120" s="27"/>
      <c r="D120" s="10"/>
      <c r="E120" s="8">
        <f t="shared" si="55"/>
        <v>0</v>
      </c>
      <c r="F120" s="9">
        <f t="shared" si="55"/>
        <v>0</v>
      </c>
      <c r="G120" s="10">
        <f t="shared" si="50"/>
        <v>0</v>
      </c>
      <c r="H120" s="8">
        <v>1.6</v>
      </c>
      <c r="I120" s="9">
        <v>60</v>
      </c>
      <c r="J120" s="9">
        <f t="shared" si="56"/>
        <v>-16</v>
      </c>
      <c r="K120" s="10">
        <f t="shared" si="51"/>
        <v>0</v>
      </c>
      <c r="L120" s="8">
        <v>1.6</v>
      </c>
      <c r="M120" s="9">
        <v>60</v>
      </c>
      <c r="N120" s="9">
        <f t="shared" si="57"/>
        <v>-20</v>
      </c>
      <c r="O120" s="10">
        <f t="shared" si="52"/>
        <v>0</v>
      </c>
      <c r="P120" s="8">
        <v>1.6</v>
      </c>
      <c r="Q120" s="9">
        <v>225</v>
      </c>
      <c r="R120" s="9">
        <f t="shared" si="58"/>
        <v>-16</v>
      </c>
      <c r="S120" s="10">
        <f t="shared" si="53"/>
        <v>0</v>
      </c>
      <c r="T120" s="8">
        <v>1.6</v>
      </c>
      <c r="U120" s="9">
        <v>237</v>
      </c>
      <c r="V120" s="9">
        <f t="shared" si="59"/>
        <v>-1</v>
      </c>
      <c r="W120" s="10">
        <f t="shared" si="54"/>
        <v>0</v>
      </c>
      <c r="X120" s="15"/>
      <c r="Y120" s="9"/>
      <c r="Z120" s="9"/>
      <c r="AA120" s="10"/>
    </row>
    <row r="121" spans="1:27" x14ac:dyDescent="0.3">
      <c r="A121" s="45">
        <f t="shared" si="49"/>
        <v>0</v>
      </c>
      <c r="B121" s="23"/>
      <c r="C121" s="28"/>
      <c r="D121" s="13"/>
      <c r="E121" s="11">
        <f t="shared" si="55"/>
        <v>0</v>
      </c>
      <c r="F121" s="12">
        <f t="shared" si="55"/>
        <v>0</v>
      </c>
      <c r="G121" s="13">
        <f t="shared" si="50"/>
        <v>0</v>
      </c>
      <c r="H121" s="11">
        <v>1.6</v>
      </c>
      <c r="I121" s="12">
        <v>60</v>
      </c>
      <c r="J121" s="12">
        <f t="shared" si="56"/>
        <v>-16</v>
      </c>
      <c r="K121" s="13">
        <f t="shared" si="51"/>
        <v>0</v>
      </c>
      <c r="L121" s="11">
        <v>1.6</v>
      </c>
      <c r="M121" s="12">
        <v>60</v>
      </c>
      <c r="N121" s="12">
        <f t="shared" si="57"/>
        <v>-20</v>
      </c>
      <c r="O121" s="13">
        <f t="shared" si="52"/>
        <v>0</v>
      </c>
      <c r="P121" s="11">
        <v>1.6</v>
      </c>
      <c r="Q121" s="12">
        <v>225</v>
      </c>
      <c r="R121" s="12">
        <f t="shared" si="58"/>
        <v>-16</v>
      </c>
      <c r="S121" s="13">
        <f t="shared" si="53"/>
        <v>0</v>
      </c>
      <c r="T121" s="11">
        <v>1.6</v>
      </c>
      <c r="U121" s="12">
        <v>237</v>
      </c>
      <c r="V121" s="12">
        <f t="shared" si="59"/>
        <v>-1</v>
      </c>
      <c r="W121" s="13">
        <f t="shared" si="54"/>
        <v>0</v>
      </c>
      <c r="X121" s="16"/>
      <c r="Y121" s="12"/>
      <c r="Z121" s="12"/>
      <c r="AA121" s="13"/>
    </row>
    <row r="122" spans="1:27" ht="16.899999999999999" customHeight="1" x14ac:dyDescent="0.3">
      <c r="B122" s="67"/>
      <c r="C122" s="1"/>
      <c r="D122" s="1"/>
      <c r="E122" s="1"/>
      <c r="F122" s="1"/>
      <c r="G122" s="1"/>
      <c r="H122" s="70" t="s">
        <v>10</v>
      </c>
      <c r="I122" s="71"/>
      <c r="J122" s="71"/>
      <c r="K122" s="72"/>
      <c r="L122" s="70" t="s">
        <v>24</v>
      </c>
      <c r="M122" s="71"/>
      <c r="N122" s="71"/>
      <c r="O122" s="72"/>
      <c r="P122" s="70" t="s">
        <v>6</v>
      </c>
      <c r="Q122" s="71"/>
      <c r="R122" s="71"/>
      <c r="S122" s="72"/>
      <c r="T122" s="70" t="s">
        <v>3</v>
      </c>
      <c r="U122" s="71"/>
      <c r="V122" s="71"/>
      <c r="W122" s="72"/>
      <c r="X122" s="1"/>
      <c r="Y122" s="1"/>
      <c r="Z122" s="1"/>
      <c r="AA122" s="2"/>
    </row>
    <row r="123" spans="1:27" x14ac:dyDescent="0.3">
      <c r="B123" s="67"/>
      <c r="C123" s="1"/>
      <c r="D123" s="1"/>
      <c r="E123" s="1"/>
      <c r="F123" s="1"/>
      <c r="G123" s="1"/>
      <c r="H123" s="17" t="s">
        <v>29</v>
      </c>
      <c r="I123" s="20" t="s">
        <v>35</v>
      </c>
      <c r="J123" s="20" t="s">
        <v>28</v>
      </c>
      <c r="K123" s="29" t="s">
        <v>27</v>
      </c>
      <c r="L123" s="17" t="s">
        <v>29</v>
      </c>
      <c r="M123" s="20" t="s">
        <v>35</v>
      </c>
      <c r="N123" s="20" t="s">
        <v>28</v>
      </c>
      <c r="O123" s="19" t="s">
        <v>1</v>
      </c>
      <c r="P123" s="30" t="s">
        <v>29</v>
      </c>
      <c r="Q123" s="31" t="s">
        <v>35</v>
      </c>
      <c r="R123" s="31" t="s">
        <v>46</v>
      </c>
      <c r="S123" s="29" t="s">
        <v>27</v>
      </c>
      <c r="T123" s="30" t="s">
        <v>29</v>
      </c>
      <c r="U123" s="31" t="s">
        <v>35</v>
      </c>
      <c r="V123" s="31" t="s">
        <v>46</v>
      </c>
      <c r="W123" s="29" t="s">
        <v>27</v>
      </c>
      <c r="X123" s="1"/>
      <c r="Y123" s="1"/>
      <c r="Z123" s="1"/>
      <c r="AA123" s="2"/>
    </row>
    <row r="124" spans="1:27" x14ac:dyDescent="0.3">
      <c r="B124" s="67"/>
      <c r="C124" s="1"/>
      <c r="D124" s="1"/>
      <c r="E124" s="1"/>
      <c r="F124" s="1"/>
      <c r="G124" s="1"/>
      <c r="H124" s="5">
        <v>25</v>
      </c>
      <c r="I124" s="6">
        <v>200</v>
      </c>
      <c r="J124" s="6">
        <f>((((B112+60)*2)+(C112*2))*2)*D112</f>
        <v>11840</v>
      </c>
      <c r="K124" s="38">
        <f>(J124/7320)</f>
        <v>1.6174863387978142</v>
      </c>
      <c r="L124" s="5">
        <v>0.5</v>
      </c>
      <c r="M124" s="6">
        <v>145</v>
      </c>
      <c r="N124" s="6">
        <v>1000</v>
      </c>
      <c r="O124" s="32">
        <f>((_xlfn.IFS((B112+310)&lt;=500,0.5,(B112+310)&lt;=1000,1,(B112+310)&lt;=1500,1.5,(B112+310)&lt;=2000,2,(B112+310)&lt;=2500,2.5,(B112+310)&lt;=3000,3)*2+(_xlfn.IFS((C112+60)&lt;=500,0.5,(C112+60)&lt;=1000,1,(C112+60)&lt;=1500,1.5,(C112+60)&lt;=2000,2,(C112+60)&lt;=2500,2.5,(C112+60)&lt;=3000,3))*2)*2)*D112</f>
        <v>14</v>
      </c>
      <c r="P124" s="5">
        <v>50</v>
      </c>
      <c r="Q124" s="6">
        <v>600</v>
      </c>
      <c r="R124" s="6">
        <f>(((B112+C112)*2+300)*2)*D112</f>
        <v>12200</v>
      </c>
      <c r="S124" s="38">
        <f>(R124/3600)</f>
        <v>3.3888888888888888</v>
      </c>
      <c r="T124" s="5">
        <v>25</v>
      </c>
      <c r="U124" s="6">
        <v>1400</v>
      </c>
      <c r="V124" s="6">
        <f>(((B112+C112)*2+300)*2)*D112</f>
        <v>12200</v>
      </c>
      <c r="W124" s="7">
        <f>V124/20000</f>
        <v>0.61</v>
      </c>
      <c r="X124" s="1"/>
      <c r="Y124" s="1"/>
      <c r="Z124" s="1"/>
      <c r="AA124" s="2"/>
    </row>
    <row r="125" spans="1:27" x14ac:dyDescent="0.3">
      <c r="B125" s="67"/>
      <c r="C125" s="1"/>
      <c r="D125" s="1"/>
      <c r="E125" s="1"/>
      <c r="F125" s="1"/>
      <c r="G125" s="1"/>
      <c r="H125" s="8">
        <v>25</v>
      </c>
      <c r="I125" s="9">
        <v>200</v>
      </c>
      <c r="J125" s="9">
        <f t="shared" ref="J125:J133" si="60">(((B113+60)*2)+(C113*2))*2</f>
        <v>15040</v>
      </c>
      <c r="K125" s="39">
        <f t="shared" ref="K125:K133" si="61">(J125/7320)</f>
        <v>2.0546448087431695</v>
      </c>
      <c r="L125" s="8">
        <v>0.5</v>
      </c>
      <c r="M125" s="9">
        <v>145</v>
      </c>
      <c r="N125" s="9">
        <v>1000</v>
      </c>
      <c r="O125" s="33">
        <f t="shared" ref="O125:O133" si="62">((_xlfn.IFS((B113+310)&lt;=500,0.5,(B113+310)&lt;=1000,1,(B113+310)&lt;=1500,1.5,(B113+310)&lt;=2000,2,(B113+310)&lt;=2500,2.5,(B113+310)&lt;=3000,3)*2+(_xlfn.IFS((C113+60)&lt;=500,0.5,(C113+60)&lt;=1000,1,(C113+60)&lt;=1500,1.5,(C113+60)&lt;=2000,2,(C113+60)&lt;=2500,2.5,(C113+60)&lt;=3000,3))*2)*2)*D113</f>
        <v>18</v>
      </c>
      <c r="P125" s="8">
        <v>50</v>
      </c>
      <c r="Q125" s="9">
        <v>600</v>
      </c>
      <c r="R125" s="9">
        <f t="shared" ref="R125:R133" si="63">(((B113+C113)*2+300)*2)*D113</f>
        <v>15400</v>
      </c>
      <c r="S125" s="39">
        <f t="shared" ref="S125:S133" si="64">(R125/3600)</f>
        <v>4.2777777777777777</v>
      </c>
      <c r="T125" s="8">
        <v>25</v>
      </c>
      <c r="U125" s="9">
        <v>1000</v>
      </c>
      <c r="V125" s="9">
        <f t="shared" ref="V125:V133" si="65">(((B113+C113)*2+300)*2)*D113</f>
        <v>15400</v>
      </c>
      <c r="W125" s="10">
        <f t="shared" ref="W125:W133" si="66">V125/20000</f>
        <v>0.77</v>
      </c>
      <c r="X125" s="1"/>
      <c r="Y125" s="1"/>
      <c r="Z125" s="1"/>
      <c r="AA125" s="2"/>
    </row>
    <row r="126" spans="1:27" x14ac:dyDescent="0.3">
      <c r="B126" s="67"/>
      <c r="C126" s="1"/>
      <c r="D126" s="1"/>
      <c r="E126" s="1"/>
      <c r="F126" s="1"/>
      <c r="G126" s="1"/>
      <c r="H126" s="8">
        <v>25</v>
      </c>
      <c r="I126" s="9">
        <v>200</v>
      </c>
      <c r="J126" s="9">
        <f t="shared" si="60"/>
        <v>13240</v>
      </c>
      <c r="K126" s="39">
        <f t="shared" si="61"/>
        <v>1.8087431693989071</v>
      </c>
      <c r="L126" s="8">
        <v>0.5</v>
      </c>
      <c r="M126" s="9">
        <v>145</v>
      </c>
      <c r="N126" s="9">
        <v>1000</v>
      </c>
      <c r="O126" s="33">
        <f t="shared" si="62"/>
        <v>16</v>
      </c>
      <c r="P126" s="8">
        <v>50</v>
      </c>
      <c r="Q126" s="9">
        <v>600</v>
      </c>
      <c r="R126" s="9">
        <f t="shared" si="63"/>
        <v>13600</v>
      </c>
      <c r="S126" s="39">
        <f t="shared" si="64"/>
        <v>3.7777777777777777</v>
      </c>
      <c r="T126" s="8">
        <v>25</v>
      </c>
      <c r="U126" s="9">
        <v>1000</v>
      </c>
      <c r="V126" s="9">
        <f t="shared" si="65"/>
        <v>13600</v>
      </c>
      <c r="W126" s="10">
        <f t="shared" si="66"/>
        <v>0.68</v>
      </c>
      <c r="X126" s="1"/>
      <c r="Y126" s="1"/>
      <c r="Z126" s="1"/>
      <c r="AA126" s="2"/>
    </row>
    <row r="127" spans="1:27" x14ac:dyDescent="0.3">
      <c r="B127" s="67"/>
      <c r="C127" s="1"/>
      <c r="D127" s="1"/>
      <c r="E127" s="1"/>
      <c r="F127" s="1"/>
      <c r="G127" s="1"/>
      <c r="H127" s="8">
        <v>25</v>
      </c>
      <c r="I127" s="9">
        <v>200</v>
      </c>
      <c r="J127" s="9">
        <f t="shared" si="60"/>
        <v>12640</v>
      </c>
      <c r="K127" s="39">
        <f t="shared" si="61"/>
        <v>1.7267759562841529</v>
      </c>
      <c r="L127" s="8">
        <v>0.5</v>
      </c>
      <c r="M127" s="9">
        <v>145</v>
      </c>
      <c r="N127" s="9">
        <v>1000</v>
      </c>
      <c r="O127" s="33">
        <f t="shared" si="62"/>
        <v>16</v>
      </c>
      <c r="P127" s="8">
        <v>50</v>
      </c>
      <c r="Q127" s="9">
        <v>600</v>
      </c>
      <c r="R127" s="9">
        <f t="shared" si="63"/>
        <v>13000</v>
      </c>
      <c r="S127" s="39">
        <f t="shared" si="64"/>
        <v>3.6111111111111112</v>
      </c>
      <c r="T127" s="8">
        <v>25</v>
      </c>
      <c r="U127" s="9">
        <v>1000</v>
      </c>
      <c r="V127" s="9">
        <f t="shared" si="65"/>
        <v>13000</v>
      </c>
      <c r="W127" s="10">
        <f t="shared" si="66"/>
        <v>0.65</v>
      </c>
      <c r="X127" s="1"/>
      <c r="Y127" s="1"/>
      <c r="Z127" s="1"/>
      <c r="AA127" s="2"/>
    </row>
    <row r="128" spans="1:27" x14ac:dyDescent="0.3">
      <c r="B128" s="67"/>
      <c r="C128" s="1"/>
      <c r="D128" s="1"/>
      <c r="E128" s="1"/>
      <c r="F128" s="1"/>
      <c r="G128" s="1"/>
      <c r="H128" s="8">
        <v>25</v>
      </c>
      <c r="I128" s="9">
        <v>200</v>
      </c>
      <c r="J128" s="9">
        <f t="shared" si="60"/>
        <v>240</v>
      </c>
      <c r="K128" s="39">
        <f t="shared" si="61"/>
        <v>3.2786885245901641E-2</v>
      </c>
      <c r="L128" s="8">
        <v>0.5</v>
      </c>
      <c r="M128" s="9">
        <v>145</v>
      </c>
      <c r="N128" s="9">
        <v>1000</v>
      </c>
      <c r="O128" s="33">
        <f t="shared" si="62"/>
        <v>0</v>
      </c>
      <c r="P128" s="8">
        <v>50</v>
      </c>
      <c r="Q128" s="9">
        <v>600</v>
      </c>
      <c r="R128" s="9">
        <f t="shared" si="63"/>
        <v>0</v>
      </c>
      <c r="S128" s="39">
        <f t="shared" si="64"/>
        <v>0</v>
      </c>
      <c r="T128" s="8">
        <v>25</v>
      </c>
      <c r="U128" s="9">
        <v>1000</v>
      </c>
      <c r="V128" s="9">
        <f t="shared" si="65"/>
        <v>0</v>
      </c>
      <c r="W128" s="10">
        <f t="shared" si="66"/>
        <v>0</v>
      </c>
      <c r="X128" s="1"/>
      <c r="Y128" s="1"/>
      <c r="Z128" s="1"/>
      <c r="AA128" s="2"/>
    </row>
    <row r="129" spans="1:31" x14ac:dyDescent="0.3">
      <c r="B129" s="67"/>
      <c r="C129" s="1"/>
      <c r="D129" s="1"/>
      <c r="E129" s="1"/>
      <c r="F129" s="1"/>
      <c r="G129" s="1"/>
      <c r="H129" s="8">
        <v>25</v>
      </c>
      <c r="I129" s="9">
        <v>200</v>
      </c>
      <c r="J129" s="9">
        <f t="shared" si="60"/>
        <v>240</v>
      </c>
      <c r="K129" s="39">
        <f t="shared" si="61"/>
        <v>3.2786885245901641E-2</v>
      </c>
      <c r="L129" s="8">
        <v>0.5</v>
      </c>
      <c r="M129" s="9">
        <v>145</v>
      </c>
      <c r="N129" s="9">
        <v>1000</v>
      </c>
      <c r="O129" s="33">
        <f t="shared" si="62"/>
        <v>0</v>
      </c>
      <c r="P129" s="8">
        <v>50</v>
      </c>
      <c r="Q129" s="9">
        <v>600</v>
      </c>
      <c r="R129" s="9">
        <f t="shared" si="63"/>
        <v>0</v>
      </c>
      <c r="S129" s="39">
        <f t="shared" si="64"/>
        <v>0</v>
      </c>
      <c r="T129" s="8">
        <v>25</v>
      </c>
      <c r="U129" s="9">
        <v>1000</v>
      </c>
      <c r="V129" s="9">
        <f t="shared" si="65"/>
        <v>0</v>
      </c>
      <c r="W129" s="10">
        <f t="shared" si="66"/>
        <v>0</v>
      </c>
      <c r="X129" s="1"/>
      <c r="Y129" s="1"/>
      <c r="Z129" s="1"/>
      <c r="AA129" s="2"/>
    </row>
    <row r="130" spans="1:31" x14ac:dyDescent="0.3">
      <c r="B130" s="67"/>
      <c r="C130" s="1"/>
      <c r="D130" s="1"/>
      <c r="E130" s="1"/>
      <c r="F130" s="1"/>
      <c r="G130" s="1"/>
      <c r="H130" s="8">
        <v>25</v>
      </c>
      <c r="I130" s="9">
        <v>200</v>
      </c>
      <c r="J130" s="9">
        <f t="shared" si="60"/>
        <v>240</v>
      </c>
      <c r="K130" s="39">
        <f t="shared" si="61"/>
        <v>3.2786885245901641E-2</v>
      </c>
      <c r="L130" s="8">
        <v>0.5</v>
      </c>
      <c r="M130" s="9">
        <v>145</v>
      </c>
      <c r="N130" s="9">
        <v>1000</v>
      </c>
      <c r="O130" s="33">
        <f t="shared" si="62"/>
        <v>0</v>
      </c>
      <c r="P130" s="8">
        <v>50</v>
      </c>
      <c r="Q130" s="9">
        <v>600</v>
      </c>
      <c r="R130" s="9">
        <f t="shared" si="63"/>
        <v>0</v>
      </c>
      <c r="S130" s="39">
        <f t="shared" si="64"/>
        <v>0</v>
      </c>
      <c r="T130" s="8">
        <v>25</v>
      </c>
      <c r="U130" s="9">
        <v>1000</v>
      </c>
      <c r="V130" s="9">
        <f t="shared" si="65"/>
        <v>0</v>
      </c>
      <c r="W130" s="10">
        <f t="shared" si="66"/>
        <v>0</v>
      </c>
      <c r="X130" s="1"/>
      <c r="Y130" s="1"/>
      <c r="Z130" s="1"/>
      <c r="AA130" s="2"/>
    </row>
    <row r="131" spans="1:31" x14ac:dyDescent="0.3">
      <c r="B131" s="67"/>
      <c r="C131" s="1"/>
      <c r="D131" s="1"/>
      <c r="E131" s="1"/>
      <c r="F131" s="1"/>
      <c r="G131" s="1"/>
      <c r="H131" s="8">
        <v>25</v>
      </c>
      <c r="I131" s="9">
        <v>200</v>
      </c>
      <c r="J131" s="9">
        <f t="shared" si="60"/>
        <v>240</v>
      </c>
      <c r="K131" s="39">
        <f t="shared" si="61"/>
        <v>3.2786885245901641E-2</v>
      </c>
      <c r="L131" s="8">
        <v>0.5</v>
      </c>
      <c r="M131" s="9">
        <v>145</v>
      </c>
      <c r="N131" s="9">
        <v>1000</v>
      </c>
      <c r="O131" s="33">
        <f t="shared" si="62"/>
        <v>0</v>
      </c>
      <c r="P131" s="8">
        <v>50</v>
      </c>
      <c r="Q131" s="9">
        <v>600</v>
      </c>
      <c r="R131" s="9">
        <f t="shared" si="63"/>
        <v>0</v>
      </c>
      <c r="S131" s="39">
        <f t="shared" si="64"/>
        <v>0</v>
      </c>
      <c r="T131" s="8">
        <v>25</v>
      </c>
      <c r="U131" s="9">
        <v>1000</v>
      </c>
      <c r="V131" s="9">
        <f t="shared" si="65"/>
        <v>0</v>
      </c>
      <c r="W131" s="10">
        <f t="shared" si="66"/>
        <v>0</v>
      </c>
      <c r="X131" s="1"/>
      <c r="Y131" s="1"/>
      <c r="Z131" s="1"/>
      <c r="AA131" s="2"/>
    </row>
    <row r="132" spans="1:31" x14ac:dyDescent="0.3">
      <c r="B132" s="67"/>
      <c r="C132" s="1"/>
      <c r="D132" s="1"/>
      <c r="E132" s="1"/>
      <c r="F132" s="1"/>
      <c r="G132" s="1"/>
      <c r="H132" s="8">
        <v>25</v>
      </c>
      <c r="I132" s="9">
        <v>200</v>
      </c>
      <c r="J132" s="9">
        <f t="shared" si="60"/>
        <v>240</v>
      </c>
      <c r="K132" s="39">
        <f t="shared" si="61"/>
        <v>3.2786885245901641E-2</v>
      </c>
      <c r="L132" s="8">
        <v>0.5</v>
      </c>
      <c r="M132" s="9">
        <v>145</v>
      </c>
      <c r="N132" s="9">
        <v>1000</v>
      </c>
      <c r="O132" s="33">
        <f t="shared" si="62"/>
        <v>0</v>
      </c>
      <c r="P132" s="8">
        <v>50</v>
      </c>
      <c r="Q132" s="9">
        <v>600</v>
      </c>
      <c r="R132" s="9">
        <f t="shared" si="63"/>
        <v>0</v>
      </c>
      <c r="S132" s="39">
        <f t="shared" si="64"/>
        <v>0</v>
      </c>
      <c r="T132" s="8">
        <v>25</v>
      </c>
      <c r="U132" s="9">
        <v>1000</v>
      </c>
      <c r="V132" s="9">
        <f t="shared" si="65"/>
        <v>0</v>
      </c>
      <c r="W132" s="10">
        <f t="shared" si="66"/>
        <v>0</v>
      </c>
      <c r="X132" s="1"/>
      <c r="Y132" s="1"/>
      <c r="Z132" s="1"/>
      <c r="AA132" s="2"/>
    </row>
    <row r="133" spans="1:31" x14ac:dyDescent="0.3">
      <c r="B133" s="68"/>
      <c r="C133" s="69"/>
      <c r="D133" s="69"/>
      <c r="E133" s="69"/>
      <c r="F133" s="69"/>
      <c r="G133" s="69"/>
      <c r="H133" s="11">
        <v>25</v>
      </c>
      <c r="I133" s="12">
        <v>200</v>
      </c>
      <c r="J133" s="12">
        <f t="shared" si="60"/>
        <v>240</v>
      </c>
      <c r="K133" s="40">
        <f t="shared" si="61"/>
        <v>3.2786885245901641E-2</v>
      </c>
      <c r="L133" s="11">
        <v>0.5</v>
      </c>
      <c r="M133" s="12">
        <v>145</v>
      </c>
      <c r="N133" s="12">
        <v>1000</v>
      </c>
      <c r="O133" s="34">
        <f t="shared" si="62"/>
        <v>0</v>
      </c>
      <c r="P133" s="11">
        <v>50</v>
      </c>
      <c r="Q133" s="12">
        <v>600</v>
      </c>
      <c r="R133" s="12">
        <f t="shared" si="63"/>
        <v>0</v>
      </c>
      <c r="S133" s="40">
        <f t="shared" si="64"/>
        <v>0</v>
      </c>
      <c r="T133" s="11">
        <v>25</v>
      </c>
      <c r="U133" s="12">
        <v>1000</v>
      </c>
      <c r="V133" s="12">
        <f t="shared" si="65"/>
        <v>0</v>
      </c>
      <c r="W133" s="13">
        <f t="shared" si="66"/>
        <v>0</v>
      </c>
      <c r="X133" s="3"/>
      <c r="Y133" s="3"/>
      <c r="Z133" s="3"/>
      <c r="AA133" s="4"/>
    </row>
    <row r="134" spans="1:31" x14ac:dyDescent="0.3">
      <c r="J134" s="35" t="s">
        <v>34</v>
      </c>
      <c r="K134" s="37">
        <f>SUM(K124:K133)</f>
        <v>7.4043715846994518</v>
      </c>
      <c r="N134" s="35" t="s">
        <v>34</v>
      </c>
      <c r="O134" s="36">
        <f>SUM(O124:O133)</f>
        <v>64</v>
      </c>
      <c r="P134" s="1"/>
      <c r="Q134" s="1"/>
      <c r="R134" s="35" t="s">
        <v>34</v>
      </c>
      <c r="S134" s="37">
        <f>SUM(S124:S133)</f>
        <v>15.055555555555554</v>
      </c>
      <c r="T134" s="1"/>
      <c r="U134" s="1"/>
      <c r="V134" s="35" t="s">
        <v>34</v>
      </c>
      <c r="W134" s="37">
        <f>SUM(W124:W133)</f>
        <v>2.71</v>
      </c>
    </row>
    <row r="135" spans="1:31" x14ac:dyDescent="0.3">
      <c r="B135" s="26" t="s">
        <v>16</v>
      </c>
    </row>
    <row r="136" spans="1:31" ht="17.25" thickBot="1" x14ac:dyDescent="0.35"/>
    <row r="137" spans="1:31" ht="16.899999999999999" customHeight="1" x14ac:dyDescent="0.3">
      <c r="B137" s="74" t="s">
        <v>0</v>
      </c>
      <c r="C137" s="75"/>
      <c r="D137" s="75"/>
      <c r="E137" s="74" t="s">
        <v>33</v>
      </c>
      <c r="F137" s="75"/>
      <c r="G137" s="75"/>
      <c r="H137" s="1" t="s">
        <v>21</v>
      </c>
      <c r="I137" s="64"/>
      <c r="J137" s="64"/>
      <c r="K137" s="65"/>
      <c r="L137" s="1" t="s">
        <v>22</v>
      </c>
      <c r="M137" s="64"/>
      <c r="N137" s="64"/>
      <c r="O137" s="65"/>
      <c r="P137" s="1" t="s">
        <v>8</v>
      </c>
      <c r="Q137" s="64"/>
      <c r="R137" s="64"/>
      <c r="S137" s="65"/>
      <c r="T137" s="1" t="s">
        <v>5</v>
      </c>
      <c r="U137" s="64"/>
      <c r="V137" s="64"/>
      <c r="W137" s="65"/>
      <c r="X137" s="66" t="s">
        <v>40</v>
      </c>
      <c r="Y137" s="64"/>
      <c r="Z137" s="64"/>
      <c r="AA137" s="65"/>
      <c r="AB137" s="1" t="s">
        <v>48</v>
      </c>
      <c r="AC137" s="64"/>
      <c r="AD137" s="64"/>
      <c r="AE137" s="65"/>
    </row>
    <row r="138" spans="1:31" ht="17.25" thickBot="1" x14ac:dyDescent="0.35">
      <c r="A138" s="1" t="s">
        <v>37</v>
      </c>
      <c r="B138" s="17" t="s">
        <v>31</v>
      </c>
      <c r="C138" s="18" t="s">
        <v>36</v>
      </c>
      <c r="D138" s="29" t="s">
        <v>1</v>
      </c>
      <c r="E138" s="17" t="s">
        <v>31</v>
      </c>
      <c r="F138" s="20" t="s">
        <v>36</v>
      </c>
      <c r="G138" s="18" t="s">
        <v>1</v>
      </c>
      <c r="H138" s="17" t="s">
        <v>29</v>
      </c>
      <c r="I138" s="20" t="s">
        <v>35</v>
      </c>
      <c r="J138" s="20" t="s">
        <v>28</v>
      </c>
      <c r="K138" s="19" t="s">
        <v>1</v>
      </c>
      <c r="L138" s="17" t="s">
        <v>29</v>
      </c>
      <c r="M138" s="20" t="s">
        <v>35</v>
      </c>
      <c r="N138" s="20" t="s">
        <v>28</v>
      </c>
      <c r="O138" s="19" t="s">
        <v>1</v>
      </c>
      <c r="P138" s="17" t="s">
        <v>29</v>
      </c>
      <c r="Q138" s="20" t="s">
        <v>35</v>
      </c>
      <c r="R138" s="20" t="s">
        <v>28</v>
      </c>
      <c r="S138" s="19" t="s">
        <v>1</v>
      </c>
      <c r="T138" s="17" t="s">
        <v>29</v>
      </c>
      <c r="U138" s="20" t="s">
        <v>35</v>
      </c>
      <c r="V138" s="20" t="s">
        <v>28</v>
      </c>
      <c r="W138" s="19" t="s">
        <v>1</v>
      </c>
      <c r="X138" s="21" t="s">
        <v>29</v>
      </c>
      <c r="Y138" s="20" t="s">
        <v>35</v>
      </c>
      <c r="Z138" s="20" t="s">
        <v>28</v>
      </c>
      <c r="AA138" s="19" t="s">
        <v>1</v>
      </c>
      <c r="AB138" s="21" t="s">
        <v>29</v>
      </c>
      <c r="AC138" s="20" t="s">
        <v>35</v>
      </c>
      <c r="AD138" s="20" t="s">
        <v>28</v>
      </c>
      <c r="AE138" s="19" t="s">
        <v>1</v>
      </c>
    </row>
    <row r="139" spans="1:31" x14ac:dyDescent="0.3">
      <c r="A139" s="46">
        <f>B139*C139/1000000</f>
        <v>0</v>
      </c>
      <c r="B139" s="5"/>
      <c r="C139" s="6"/>
      <c r="D139" s="7"/>
      <c r="E139" s="5">
        <f>B139/2-30</f>
        <v>-30</v>
      </c>
      <c r="F139" s="6">
        <f>C139</f>
        <v>0</v>
      </c>
      <c r="G139" s="7">
        <f>D139*2</f>
        <v>0</v>
      </c>
      <c r="H139" s="5">
        <v>0.6</v>
      </c>
      <c r="I139" s="6">
        <v>60</v>
      </c>
      <c r="J139" s="6">
        <f>E139-5</f>
        <v>-35</v>
      </c>
      <c r="K139" s="7">
        <f>D139*4</f>
        <v>0</v>
      </c>
      <c r="L139" s="5">
        <v>0.6</v>
      </c>
      <c r="M139" s="6">
        <v>204</v>
      </c>
      <c r="N139" s="6">
        <f>E139-5</f>
        <v>-35</v>
      </c>
      <c r="O139" s="7">
        <f>D139*4</f>
        <v>0</v>
      </c>
      <c r="P139" s="5">
        <v>0.6</v>
      </c>
      <c r="Q139" s="6">
        <v>235</v>
      </c>
      <c r="R139" s="6">
        <f>E139</f>
        <v>-30</v>
      </c>
      <c r="S139" s="6">
        <f>D139*2</f>
        <v>0</v>
      </c>
      <c r="T139" s="6">
        <v>0.6</v>
      </c>
      <c r="U139" s="6">
        <v>190</v>
      </c>
      <c r="V139" s="6">
        <f>E139</f>
        <v>-30</v>
      </c>
      <c r="W139" s="7">
        <f>D139*2</f>
        <v>0</v>
      </c>
      <c r="X139" s="14">
        <v>1.6</v>
      </c>
      <c r="Y139" s="6">
        <v>60</v>
      </c>
      <c r="Z139" s="6">
        <f>F139</f>
        <v>0</v>
      </c>
      <c r="AA139" s="7">
        <f>D139*2</f>
        <v>0</v>
      </c>
      <c r="AB139" s="14">
        <v>1.6</v>
      </c>
      <c r="AC139" s="6">
        <v>60</v>
      </c>
      <c r="AD139" s="6">
        <f>F139-35</f>
        <v>-35</v>
      </c>
      <c r="AE139" s="7">
        <f>G139*4</f>
        <v>0</v>
      </c>
    </row>
    <row r="140" spans="1:31" x14ac:dyDescent="0.3">
      <c r="A140" s="46">
        <f t="shared" ref="A140:A148" si="67">B140*C140/1000000</f>
        <v>0</v>
      </c>
      <c r="B140" s="8"/>
      <c r="C140" s="9"/>
      <c r="D140" s="10"/>
      <c r="E140" s="8">
        <f>B140/2-30</f>
        <v>-30</v>
      </c>
      <c r="F140" s="9">
        <f>C140</f>
        <v>0</v>
      </c>
      <c r="G140" s="10">
        <f t="shared" ref="G140:G148" si="68">D140*2</f>
        <v>0</v>
      </c>
      <c r="H140" s="8">
        <v>0.6</v>
      </c>
      <c r="I140" s="9">
        <v>60</v>
      </c>
      <c r="J140" s="9">
        <f t="shared" ref="J140:J148" si="69">E140-5</f>
        <v>-35</v>
      </c>
      <c r="K140" s="10">
        <f>D140*4</f>
        <v>0</v>
      </c>
      <c r="L140" s="8">
        <v>0.6</v>
      </c>
      <c r="M140" s="9">
        <v>204</v>
      </c>
      <c r="N140" s="9">
        <f>E140-5</f>
        <v>-35</v>
      </c>
      <c r="O140" s="10">
        <f>D140*4</f>
        <v>0</v>
      </c>
      <c r="P140" s="8">
        <v>0.6</v>
      </c>
      <c r="Q140" s="9">
        <v>235</v>
      </c>
      <c r="R140" s="9">
        <f t="shared" ref="R140:R148" si="70">E140</f>
        <v>-30</v>
      </c>
      <c r="S140" s="9">
        <f>D140*2</f>
        <v>0</v>
      </c>
      <c r="T140" s="9">
        <v>0.6</v>
      </c>
      <c r="U140" s="9">
        <v>190</v>
      </c>
      <c r="V140" s="9">
        <f t="shared" ref="V140:V148" si="71">E140</f>
        <v>-30</v>
      </c>
      <c r="W140" s="10">
        <f>D140*2</f>
        <v>0</v>
      </c>
      <c r="X140" s="15">
        <v>1.6</v>
      </c>
      <c r="Y140" s="9">
        <v>60</v>
      </c>
      <c r="Z140" s="9">
        <f>F140</f>
        <v>0</v>
      </c>
      <c r="AA140" s="10">
        <f>D140*2</f>
        <v>0</v>
      </c>
      <c r="AB140" s="15">
        <v>1.6</v>
      </c>
      <c r="AC140" s="9">
        <v>60</v>
      </c>
      <c r="AD140" s="9">
        <f t="shared" ref="AD140:AD148" si="72">F140-35</f>
        <v>-35</v>
      </c>
      <c r="AE140" s="10">
        <f t="shared" ref="AE140:AE148" si="73">G140*4</f>
        <v>0</v>
      </c>
    </row>
    <row r="141" spans="1:31" x14ac:dyDescent="0.3">
      <c r="A141" s="46">
        <f t="shared" si="67"/>
        <v>0</v>
      </c>
      <c r="B141" s="8"/>
      <c r="C141" s="9"/>
      <c r="D141" s="10"/>
      <c r="E141" s="8">
        <f t="shared" ref="E141:E148" si="74">B141/2-30</f>
        <v>-30</v>
      </c>
      <c r="F141" s="9">
        <f t="shared" ref="F141:F148" si="75">C141</f>
        <v>0</v>
      </c>
      <c r="G141" s="10">
        <f t="shared" si="68"/>
        <v>0</v>
      </c>
      <c r="H141" s="8">
        <v>0.6</v>
      </c>
      <c r="I141" s="9">
        <v>60</v>
      </c>
      <c r="J141" s="9">
        <f t="shared" si="69"/>
        <v>-35</v>
      </c>
      <c r="K141" s="10">
        <f t="shared" ref="K141:K148" si="76">D141*4</f>
        <v>0</v>
      </c>
      <c r="L141" s="8">
        <v>0.6</v>
      </c>
      <c r="M141" s="9">
        <v>204</v>
      </c>
      <c r="N141" s="9">
        <f t="shared" ref="N141:N148" si="77">E141-5</f>
        <v>-35</v>
      </c>
      <c r="O141" s="10">
        <f t="shared" ref="O141:O148" si="78">D141*4</f>
        <v>0</v>
      </c>
      <c r="P141" s="8">
        <v>0.6</v>
      </c>
      <c r="Q141" s="9">
        <v>235</v>
      </c>
      <c r="R141" s="9">
        <f t="shared" si="70"/>
        <v>-30</v>
      </c>
      <c r="S141" s="9">
        <f t="shared" ref="S141:S148" si="79">D141*2</f>
        <v>0</v>
      </c>
      <c r="T141" s="9">
        <v>0.6</v>
      </c>
      <c r="U141" s="9">
        <v>190</v>
      </c>
      <c r="V141" s="9">
        <f t="shared" si="71"/>
        <v>-30</v>
      </c>
      <c r="W141" s="10">
        <f t="shared" ref="W141:W148" si="80">D141*2</f>
        <v>0</v>
      </c>
      <c r="X141" s="15">
        <v>1.6</v>
      </c>
      <c r="Y141" s="9">
        <v>60</v>
      </c>
      <c r="Z141" s="9">
        <f t="shared" ref="Z141:Z148" si="81">F141</f>
        <v>0</v>
      </c>
      <c r="AA141" s="10">
        <f t="shared" ref="AA141:AA148" si="82">D141*2</f>
        <v>0</v>
      </c>
      <c r="AB141" s="15">
        <v>1.6</v>
      </c>
      <c r="AC141" s="9">
        <v>60</v>
      </c>
      <c r="AD141" s="9">
        <f t="shared" si="72"/>
        <v>-35</v>
      </c>
      <c r="AE141" s="10">
        <f t="shared" si="73"/>
        <v>0</v>
      </c>
    </row>
    <row r="142" spans="1:31" x14ac:dyDescent="0.3">
      <c r="A142" s="46">
        <f t="shared" si="67"/>
        <v>0</v>
      </c>
      <c r="B142" s="8"/>
      <c r="C142" s="9"/>
      <c r="D142" s="10"/>
      <c r="E142" s="8">
        <f t="shared" si="74"/>
        <v>-30</v>
      </c>
      <c r="F142" s="9">
        <f t="shared" si="75"/>
        <v>0</v>
      </c>
      <c r="G142" s="10">
        <f t="shared" si="68"/>
        <v>0</v>
      </c>
      <c r="H142" s="8">
        <v>0.6</v>
      </c>
      <c r="I142" s="9">
        <v>60</v>
      </c>
      <c r="J142" s="9">
        <f t="shared" si="69"/>
        <v>-35</v>
      </c>
      <c r="K142" s="10">
        <f t="shared" si="76"/>
        <v>0</v>
      </c>
      <c r="L142" s="8">
        <v>0.6</v>
      </c>
      <c r="M142" s="9">
        <v>204</v>
      </c>
      <c r="N142" s="9">
        <f t="shared" si="77"/>
        <v>-35</v>
      </c>
      <c r="O142" s="10">
        <f t="shared" si="78"/>
        <v>0</v>
      </c>
      <c r="P142" s="8">
        <v>0.6</v>
      </c>
      <c r="Q142" s="9">
        <v>235</v>
      </c>
      <c r="R142" s="9">
        <f t="shared" si="70"/>
        <v>-30</v>
      </c>
      <c r="S142" s="9">
        <f t="shared" si="79"/>
        <v>0</v>
      </c>
      <c r="T142" s="9">
        <v>0.6</v>
      </c>
      <c r="U142" s="9">
        <v>190</v>
      </c>
      <c r="V142" s="9">
        <f t="shared" si="71"/>
        <v>-30</v>
      </c>
      <c r="W142" s="10">
        <f t="shared" si="80"/>
        <v>0</v>
      </c>
      <c r="X142" s="15">
        <v>1.6</v>
      </c>
      <c r="Y142" s="9">
        <v>60</v>
      </c>
      <c r="Z142" s="9">
        <f t="shared" si="81"/>
        <v>0</v>
      </c>
      <c r="AA142" s="10">
        <f t="shared" si="82"/>
        <v>0</v>
      </c>
      <c r="AB142" s="15">
        <v>1.6</v>
      </c>
      <c r="AC142" s="9">
        <v>60</v>
      </c>
      <c r="AD142" s="9">
        <f t="shared" si="72"/>
        <v>-35</v>
      </c>
      <c r="AE142" s="10">
        <f t="shared" si="73"/>
        <v>0</v>
      </c>
    </row>
    <row r="143" spans="1:31" x14ac:dyDescent="0.3">
      <c r="A143" s="46">
        <f t="shared" si="67"/>
        <v>0</v>
      </c>
      <c r="B143" s="8"/>
      <c r="C143" s="9"/>
      <c r="D143" s="10"/>
      <c r="E143" s="8">
        <f t="shared" si="74"/>
        <v>-30</v>
      </c>
      <c r="F143" s="9">
        <f t="shared" si="75"/>
        <v>0</v>
      </c>
      <c r="G143" s="10">
        <f t="shared" si="68"/>
        <v>0</v>
      </c>
      <c r="H143" s="8">
        <v>0.6</v>
      </c>
      <c r="I143" s="9">
        <v>60</v>
      </c>
      <c r="J143" s="9">
        <f t="shared" si="69"/>
        <v>-35</v>
      </c>
      <c r="K143" s="10">
        <f t="shared" si="76"/>
        <v>0</v>
      </c>
      <c r="L143" s="8">
        <v>0.6</v>
      </c>
      <c r="M143" s="9">
        <v>204</v>
      </c>
      <c r="N143" s="9">
        <f t="shared" si="77"/>
        <v>-35</v>
      </c>
      <c r="O143" s="10">
        <f t="shared" si="78"/>
        <v>0</v>
      </c>
      <c r="P143" s="8">
        <v>0.6</v>
      </c>
      <c r="Q143" s="9">
        <v>235</v>
      </c>
      <c r="R143" s="9">
        <f t="shared" si="70"/>
        <v>-30</v>
      </c>
      <c r="S143" s="9">
        <f t="shared" si="79"/>
        <v>0</v>
      </c>
      <c r="T143" s="9">
        <v>0.6</v>
      </c>
      <c r="U143" s="9">
        <v>190</v>
      </c>
      <c r="V143" s="9">
        <f t="shared" si="71"/>
        <v>-30</v>
      </c>
      <c r="W143" s="10">
        <f t="shared" si="80"/>
        <v>0</v>
      </c>
      <c r="X143" s="15">
        <v>1.6</v>
      </c>
      <c r="Y143" s="9">
        <v>60</v>
      </c>
      <c r="Z143" s="9">
        <f t="shared" si="81"/>
        <v>0</v>
      </c>
      <c r="AA143" s="10">
        <f t="shared" si="82"/>
        <v>0</v>
      </c>
      <c r="AB143" s="15">
        <v>1.6</v>
      </c>
      <c r="AC143" s="9">
        <v>60</v>
      </c>
      <c r="AD143" s="9">
        <f t="shared" si="72"/>
        <v>-35</v>
      </c>
      <c r="AE143" s="10">
        <f t="shared" si="73"/>
        <v>0</v>
      </c>
    </row>
    <row r="144" spans="1:31" x14ac:dyDescent="0.3">
      <c r="A144" s="46">
        <f t="shared" si="67"/>
        <v>0</v>
      </c>
      <c r="B144" s="8"/>
      <c r="C144" s="9"/>
      <c r="D144" s="10"/>
      <c r="E144" s="8">
        <f t="shared" si="74"/>
        <v>-30</v>
      </c>
      <c r="F144" s="9">
        <f t="shared" si="75"/>
        <v>0</v>
      </c>
      <c r="G144" s="10">
        <f t="shared" si="68"/>
        <v>0</v>
      </c>
      <c r="H144" s="8">
        <v>0.6</v>
      </c>
      <c r="I144" s="9">
        <v>60</v>
      </c>
      <c r="J144" s="9">
        <f t="shared" si="69"/>
        <v>-35</v>
      </c>
      <c r="K144" s="10">
        <f t="shared" si="76"/>
        <v>0</v>
      </c>
      <c r="L144" s="8">
        <v>0.6</v>
      </c>
      <c r="M144" s="9">
        <v>204</v>
      </c>
      <c r="N144" s="9">
        <f t="shared" si="77"/>
        <v>-35</v>
      </c>
      <c r="O144" s="10">
        <f t="shared" si="78"/>
        <v>0</v>
      </c>
      <c r="P144" s="8">
        <v>0.6</v>
      </c>
      <c r="Q144" s="9">
        <v>235</v>
      </c>
      <c r="R144" s="9">
        <f t="shared" si="70"/>
        <v>-30</v>
      </c>
      <c r="S144" s="9">
        <f t="shared" si="79"/>
        <v>0</v>
      </c>
      <c r="T144" s="9">
        <v>0.6</v>
      </c>
      <c r="U144" s="9">
        <v>190</v>
      </c>
      <c r="V144" s="9">
        <f t="shared" si="71"/>
        <v>-30</v>
      </c>
      <c r="W144" s="10">
        <f t="shared" si="80"/>
        <v>0</v>
      </c>
      <c r="X144" s="15">
        <v>1.6</v>
      </c>
      <c r="Y144" s="9">
        <v>60</v>
      </c>
      <c r="Z144" s="9">
        <f t="shared" si="81"/>
        <v>0</v>
      </c>
      <c r="AA144" s="10">
        <f t="shared" si="82"/>
        <v>0</v>
      </c>
      <c r="AB144" s="15">
        <v>1.6</v>
      </c>
      <c r="AC144" s="9">
        <v>60</v>
      </c>
      <c r="AD144" s="9">
        <f t="shared" si="72"/>
        <v>-35</v>
      </c>
      <c r="AE144" s="10">
        <f t="shared" si="73"/>
        <v>0</v>
      </c>
    </row>
    <row r="145" spans="1:31" x14ac:dyDescent="0.3">
      <c r="A145" s="46">
        <f t="shared" si="67"/>
        <v>0</v>
      </c>
      <c r="B145" s="8"/>
      <c r="C145" s="9"/>
      <c r="D145" s="10"/>
      <c r="E145" s="8">
        <f t="shared" si="74"/>
        <v>-30</v>
      </c>
      <c r="F145" s="9">
        <f t="shared" si="75"/>
        <v>0</v>
      </c>
      <c r="G145" s="10">
        <f t="shared" si="68"/>
        <v>0</v>
      </c>
      <c r="H145" s="8">
        <v>0.6</v>
      </c>
      <c r="I145" s="9">
        <v>60</v>
      </c>
      <c r="J145" s="9">
        <f t="shared" si="69"/>
        <v>-35</v>
      </c>
      <c r="K145" s="10">
        <f t="shared" si="76"/>
        <v>0</v>
      </c>
      <c r="L145" s="8">
        <v>0.6</v>
      </c>
      <c r="M145" s="9">
        <v>204</v>
      </c>
      <c r="N145" s="9">
        <f t="shared" si="77"/>
        <v>-35</v>
      </c>
      <c r="O145" s="10">
        <f t="shared" si="78"/>
        <v>0</v>
      </c>
      <c r="P145" s="8">
        <v>0.6</v>
      </c>
      <c r="Q145" s="9">
        <v>235</v>
      </c>
      <c r="R145" s="9">
        <f t="shared" si="70"/>
        <v>-30</v>
      </c>
      <c r="S145" s="9">
        <f t="shared" si="79"/>
        <v>0</v>
      </c>
      <c r="T145" s="9">
        <v>0.6</v>
      </c>
      <c r="U145" s="9">
        <v>190</v>
      </c>
      <c r="V145" s="9">
        <f t="shared" si="71"/>
        <v>-30</v>
      </c>
      <c r="W145" s="10">
        <f t="shared" si="80"/>
        <v>0</v>
      </c>
      <c r="X145" s="15">
        <v>1.6</v>
      </c>
      <c r="Y145" s="9">
        <v>60</v>
      </c>
      <c r="Z145" s="9">
        <f t="shared" si="81"/>
        <v>0</v>
      </c>
      <c r="AA145" s="10">
        <f t="shared" si="82"/>
        <v>0</v>
      </c>
      <c r="AB145" s="15">
        <v>1.6</v>
      </c>
      <c r="AC145" s="9">
        <v>60</v>
      </c>
      <c r="AD145" s="9">
        <f t="shared" si="72"/>
        <v>-35</v>
      </c>
      <c r="AE145" s="10">
        <f t="shared" si="73"/>
        <v>0</v>
      </c>
    </row>
    <row r="146" spans="1:31" x14ac:dyDescent="0.3">
      <c r="A146" s="46">
        <f t="shared" si="67"/>
        <v>0</v>
      </c>
      <c r="B146" s="8"/>
      <c r="C146" s="9"/>
      <c r="D146" s="10"/>
      <c r="E146" s="8">
        <f t="shared" si="74"/>
        <v>-30</v>
      </c>
      <c r="F146" s="9">
        <f t="shared" si="75"/>
        <v>0</v>
      </c>
      <c r="G146" s="10">
        <f t="shared" si="68"/>
        <v>0</v>
      </c>
      <c r="H146" s="8">
        <v>0.6</v>
      </c>
      <c r="I146" s="9">
        <v>60</v>
      </c>
      <c r="J146" s="9">
        <f t="shared" si="69"/>
        <v>-35</v>
      </c>
      <c r="K146" s="10">
        <f t="shared" si="76"/>
        <v>0</v>
      </c>
      <c r="L146" s="8">
        <v>0.6</v>
      </c>
      <c r="M146" s="9">
        <v>204</v>
      </c>
      <c r="N146" s="9">
        <f t="shared" si="77"/>
        <v>-35</v>
      </c>
      <c r="O146" s="10">
        <f t="shared" si="78"/>
        <v>0</v>
      </c>
      <c r="P146" s="8">
        <v>0.6</v>
      </c>
      <c r="Q146" s="9">
        <v>235</v>
      </c>
      <c r="R146" s="9">
        <f t="shared" si="70"/>
        <v>-30</v>
      </c>
      <c r="S146" s="9">
        <f t="shared" si="79"/>
        <v>0</v>
      </c>
      <c r="T146" s="9">
        <v>0.6</v>
      </c>
      <c r="U146" s="9">
        <v>190</v>
      </c>
      <c r="V146" s="9">
        <f t="shared" si="71"/>
        <v>-30</v>
      </c>
      <c r="W146" s="10">
        <f t="shared" si="80"/>
        <v>0</v>
      </c>
      <c r="X146" s="15">
        <v>1.6</v>
      </c>
      <c r="Y146" s="9">
        <v>60</v>
      </c>
      <c r="Z146" s="9">
        <f t="shared" si="81"/>
        <v>0</v>
      </c>
      <c r="AA146" s="10">
        <f t="shared" si="82"/>
        <v>0</v>
      </c>
      <c r="AB146" s="15">
        <v>1.6</v>
      </c>
      <c r="AC146" s="9">
        <v>60</v>
      </c>
      <c r="AD146" s="9">
        <f t="shared" si="72"/>
        <v>-35</v>
      </c>
      <c r="AE146" s="10">
        <f t="shared" si="73"/>
        <v>0</v>
      </c>
    </row>
    <row r="147" spans="1:31" x14ac:dyDescent="0.3">
      <c r="A147" s="46">
        <f t="shared" si="67"/>
        <v>0</v>
      </c>
      <c r="B147" s="22"/>
      <c r="C147" s="27"/>
      <c r="D147" s="10"/>
      <c r="E147" s="8">
        <f t="shared" si="74"/>
        <v>-30</v>
      </c>
      <c r="F147" s="9">
        <f t="shared" si="75"/>
        <v>0</v>
      </c>
      <c r="G147" s="10">
        <f t="shared" si="68"/>
        <v>0</v>
      </c>
      <c r="H147" s="8">
        <v>0.6</v>
      </c>
      <c r="I147" s="9">
        <v>60</v>
      </c>
      <c r="J147" s="9">
        <f t="shared" si="69"/>
        <v>-35</v>
      </c>
      <c r="K147" s="10">
        <f t="shared" si="76"/>
        <v>0</v>
      </c>
      <c r="L147" s="8">
        <v>0.6</v>
      </c>
      <c r="M147" s="9">
        <v>204</v>
      </c>
      <c r="N147" s="9">
        <f t="shared" si="77"/>
        <v>-35</v>
      </c>
      <c r="O147" s="10">
        <f t="shared" si="78"/>
        <v>0</v>
      </c>
      <c r="P147" s="8">
        <v>0.6</v>
      </c>
      <c r="Q147" s="9">
        <v>235</v>
      </c>
      <c r="R147" s="9">
        <f t="shared" si="70"/>
        <v>-30</v>
      </c>
      <c r="S147" s="9">
        <f t="shared" si="79"/>
        <v>0</v>
      </c>
      <c r="T147" s="9">
        <v>0.6</v>
      </c>
      <c r="U147" s="9">
        <v>190</v>
      </c>
      <c r="V147" s="9">
        <f t="shared" si="71"/>
        <v>-30</v>
      </c>
      <c r="W147" s="10">
        <f t="shared" si="80"/>
        <v>0</v>
      </c>
      <c r="X147" s="15">
        <v>1.6</v>
      </c>
      <c r="Y147" s="9">
        <v>60</v>
      </c>
      <c r="Z147" s="9">
        <f t="shared" si="81"/>
        <v>0</v>
      </c>
      <c r="AA147" s="10">
        <f t="shared" si="82"/>
        <v>0</v>
      </c>
      <c r="AB147" s="15">
        <v>1.6</v>
      </c>
      <c r="AC147" s="9">
        <v>60</v>
      </c>
      <c r="AD147" s="9">
        <f t="shared" si="72"/>
        <v>-35</v>
      </c>
      <c r="AE147" s="10">
        <f t="shared" si="73"/>
        <v>0</v>
      </c>
    </row>
    <row r="148" spans="1:31" ht="17.25" thickBot="1" x14ac:dyDescent="0.35">
      <c r="A148" s="46">
        <f t="shared" si="67"/>
        <v>0</v>
      </c>
      <c r="B148" s="23"/>
      <c r="C148" s="28"/>
      <c r="D148" s="13"/>
      <c r="E148" s="11">
        <f t="shared" si="74"/>
        <v>-30</v>
      </c>
      <c r="F148" s="12">
        <f t="shared" si="75"/>
        <v>0</v>
      </c>
      <c r="G148" s="13">
        <f t="shared" si="68"/>
        <v>0</v>
      </c>
      <c r="H148" s="11">
        <v>0.6</v>
      </c>
      <c r="I148" s="12">
        <v>60</v>
      </c>
      <c r="J148" s="12">
        <f t="shared" si="69"/>
        <v>-35</v>
      </c>
      <c r="K148" s="13">
        <f t="shared" si="76"/>
        <v>0</v>
      </c>
      <c r="L148" s="11">
        <v>0.6</v>
      </c>
      <c r="M148" s="12">
        <v>204</v>
      </c>
      <c r="N148" s="12">
        <f t="shared" si="77"/>
        <v>-35</v>
      </c>
      <c r="O148" s="13">
        <f t="shared" si="78"/>
        <v>0</v>
      </c>
      <c r="P148" s="11">
        <v>0.6</v>
      </c>
      <c r="Q148" s="12">
        <v>235</v>
      </c>
      <c r="R148" s="12">
        <f t="shared" si="70"/>
        <v>-30</v>
      </c>
      <c r="S148" s="12">
        <f t="shared" si="79"/>
        <v>0</v>
      </c>
      <c r="T148" s="12">
        <v>0.6</v>
      </c>
      <c r="U148" s="12">
        <v>190</v>
      </c>
      <c r="V148" s="12">
        <f t="shared" si="71"/>
        <v>-30</v>
      </c>
      <c r="W148" s="13">
        <f t="shared" si="80"/>
        <v>0</v>
      </c>
      <c r="X148" s="16">
        <v>1.6</v>
      </c>
      <c r="Y148" s="12">
        <v>60</v>
      </c>
      <c r="Z148" s="12">
        <f t="shared" si="81"/>
        <v>0</v>
      </c>
      <c r="AA148" s="13">
        <f t="shared" si="82"/>
        <v>0</v>
      </c>
      <c r="AB148" s="16">
        <v>1.6</v>
      </c>
      <c r="AC148" s="12">
        <v>60</v>
      </c>
      <c r="AD148" s="12">
        <f t="shared" si="72"/>
        <v>-35</v>
      </c>
      <c r="AE148" s="13">
        <f t="shared" si="73"/>
        <v>0</v>
      </c>
    </row>
    <row r="149" spans="1:31" ht="16.899999999999999" customHeight="1" x14ac:dyDescent="0.3">
      <c r="B149" s="67"/>
      <c r="C149" s="1"/>
      <c r="D149" s="1"/>
      <c r="E149" s="1"/>
      <c r="F149" s="1"/>
      <c r="G149" s="1"/>
      <c r="H149" s="70" t="s">
        <v>11</v>
      </c>
      <c r="I149" s="71"/>
      <c r="J149" s="71"/>
      <c r="K149" s="72"/>
      <c r="L149" s="70" t="s">
        <v>24</v>
      </c>
      <c r="M149" s="71"/>
      <c r="N149" s="71"/>
      <c r="O149" s="72"/>
      <c r="P149" s="70" t="s">
        <v>6</v>
      </c>
      <c r="Q149" s="71"/>
      <c r="R149" s="71"/>
      <c r="S149" s="72"/>
      <c r="T149" s="70" t="s">
        <v>3</v>
      </c>
      <c r="U149" s="71"/>
      <c r="V149" s="71"/>
      <c r="W149" s="72"/>
      <c r="X149" s="1"/>
      <c r="Y149" s="1"/>
      <c r="Z149" s="1"/>
      <c r="AA149" s="2"/>
    </row>
    <row r="150" spans="1:31" x14ac:dyDescent="0.3">
      <c r="B150" s="67"/>
      <c r="C150" s="1"/>
      <c r="D150" s="1"/>
      <c r="E150" s="1"/>
      <c r="F150" s="1"/>
      <c r="G150" s="1"/>
      <c r="H150" s="17" t="s">
        <v>29</v>
      </c>
      <c r="I150" s="20" t="s">
        <v>35</v>
      </c>
      <c r="J150" s="20" t="s">
        <v>28</v>
      </c>
      <c r="K150" s="29" t="s">
        <v>27</v>
      </c>
      <c r="L150" s="17" t="s">
        <v>29</v>
      </c>
      <c r="M150" s="20" t="s">
        <v>35</v>
      </c>
      <c r="N150" s="20" t="s">
        <v>28</v>
      </c>
      <c r="O150" s="19" t="s">
        <v>1</v>
      </c>
      <c r="P150" s="30" t="s">
        <v>29</v>
      </c>
      <c r="Q150" s="31" t="s">
        <v>35</v>
      </c>
      <c r="R150" s="31" t="s">
        <v>46</v>
      </c>
      <c r="S150" s="29" t="s">
        <v>27</v>
      </c>
      <c r="T150" s="30" t="s">
        <v>29</v>
      </c>
      <c r="U150" s="31" t="s">
        <v>35</v>
      </c>
      <c r="V150" s="31" t="s">
        <v>46</v>
      </c>
      <c r="W150" s="29" t="s">
        <v>27</v>
      </c>
      <c r="X150" s="1"/>
      <c r="Y150" s="1"/>
      <c r="Z150" s="1"/>
      <c r="AA150" s="2"/>
    </row>
    <row r="151" spans="1:31" x14ac:dyDescent="0.3">
      <c r="B151" s="67"/>
      <c r="C151" s="1"/>
      <c r="D151" s="1"/>
      <c r="E151" s="1"/>
      <c r="F151" s="1"/>
      <c r="G151" s="1"/>
      <c r="H151" s="5">
        <v>25</v>
      </c>
      <c r="I151" s="6">
        <v>200</v>
      </c>
      <c r="J151" s="6">
        <f>((((E139+60)*2)+(F139*2))*2)*D139</f>
        <v>0</v>
      </c>
      <c r="K151" s="38">
        <f>J151/7320</f>
        <v>0</v>
      </c>
      <c r="L151" s="5">
        <v>0.5</v>
      </c>
      <c r="M151" s="6">
        <v>145</v>
      </c>
      <c r="N151" s="6">
        <v>1000</v>
      </c>
      <c r="O151" s="32">
        <f>((_xlfn.IFS((B139+310)&lt;=500,0.5,(B139+310)&lt;=1000,1,(B139+310)&lt;=1500,1.5,(B139+310)&lt;=2000,2,(B139+310)&lt;=2500,2.5,(B139+310)&lt;=3000,3)*2+(_xlfn.IFS((C139+60)&lt;=500,0.5,(C139+60)&lt;=1000,1,(C139+60)&lt;=1500,1.5,(C139+60)&lt;=2000,2,(C139+60)&lt;=2500,2.5,(C139+60)&lt;=3000,3))*2)*2)*D139</f>
        <v>0</v>
      </c>
      <c r="P151" s="5">
        <v>50</v>
      </c>
      <c r="Q151" s="6">
        <v>400</v>
      </c>
      <c r="R151" s="6">
        <f>(((B139+C139)*2+300)*2)*D139</f>
        <v>0</v>
      </c>
      <c r="S151" s="38">
        <f>R151/3600</f>
        <v>0</v>
      </c>
      <c r="T151" s="5"/>
      <c r="U151" s="6"/>
      <c r="V151" s="6"/>
      <c r="W151" s="7"/>
      <c r="X151" s="1"/>
      <c r="Y151" s="1"/>
      <c r="Z151" s="1"/>
      <c r="AA151" s="2"/>
    </row>
    <row r="152" spans="1:31" x14ac:dyDescent="0.3">
      <c r="B152" s="67"/>
      <c r="C152" s="1"/>
      <c r="D152" s="1"/>
      <c r="E152" s="1"/>
      <c r="F152" s="1"/>
      <c r="G152" s="1"/>
      <c r="H152" s="8">
        <v>25</v>
      </c>
      <c r="I152" s="9">
        <v>200</v>
      </c>
      <c r="J152" s="9">
        <f t="shared" ref="J152:J160" si="83">((((E140+60)*2)+(F140*2))*2)*D140</f>
        <v>0</v>
      </c>
      <c r="K152" s="39">
        <f t="shared" ref="K152:K160" si="84">J152/7320</f>
        <v>0</v>
      </c>
      <c r="L152" s="8">
        <v>0.5</v>
      </c>
      <c r="M152" s="9">
        <v>145</v>
      </c>
      <c r="N152" s="9">
        <v>1000</v>
      </c>
      <c r="O152" s="33">
        <f t="shared" ref="O152:O160" si="85">((_xlfn.IFS((B140+310)&lt;=500,0.5,(B140+310)&lt;=1000,1,(B140+310)&lt;=1500,1.5,(B140+310)&lt;=2000,2,(B140+310)&lt;=2500,2.5,(B140+310)&lt;=3000,3)*2+(_xlfn.IFS((C140+60)&lt;=500,0.5,(C140+60)&lt;=1000,1,(C140+60)&lt;=1500,1.5,(C140+60)&lt;=2000,2,(C140+60)&lt;=2500,2.5,(C140+60)&lt;=3000,3))*2)*2)*D140</f>
        <v>0</v>
      </c>
      <c r="P152" s="8">
        <v>50</v>
      </c>
      <c r="Q152" s="9">
        <v>400</v>
      </c>
      <c r="R152" s="9">
        <f t="shared" ref="R152:R160" si="86">(((B140+C140)*2+300)*2)*D140</f>
        <v>0</v>
      </c>
      <c r="S152" s="39">
        <f t="shared" ref="S152:S160" si="87">R152/3600</f>
        <v>0</v>
      </c>
      <c r="T152" s="8"/>
      <c r="U152" s="9"/>
      <c r="V152" s="9"/>
      <c r="W152" s="10"/>
      <c r="X152" s="1"/>
      <c r="Y152" s="1"/>
      <c r="Z152" s="1"/>
      <c r="AA152" s="2"/>
    </row>
    <row r="153" spans="1:31" x14ac:dyDescent="0.3">
      <c r="B153" s="67"/>
      <c r="C153" s="1"/>
      <c r="D153" s="1"/>
      <c r="E153" s="1"/>
      <c r="F153" s="1"/>
      <c r="G153" s="1"/>
      <c r="H153" s="8">
        <v>25</v>
      </c>
      <c r="I153" s="9">
        <v>200</v>
      </c>
      <c r="J153" s="9">
        <f t="shared" si="83"/>
        <v>0</v>
      </c>
      <c r="K153" s="39">
        <f t="shared" si="84"/>
        <v>0</v>
      </c>
      <c r="L153" s="8">
        <v>0.5</v>
      </c>
      <c r="M153" s="9">
        <v>145</v>
      </c>
      <c r="N153" s="9">
        <v>1000</v>
      </c>
      <c r="O153" s="33">
        <f t="shared" si="85"/>
        <v>0</v>
      </c>
      <c r="P153" s="8">
        <v>50</v>
      </c>
      <c r="Q153" s="9">
        <v>400</v>
      </c>
      <c r="R153" s="9">
        <f t="shared" si="86"/>
        <v>0</v>
      </c>
      <c r="S153" s="39">
        <f t="shared" si="87"/>
        <v>0</v>
      </c>
      <c r="T153" s="8"/>
      <c r="U153" s="9"/>
      <c r="V153" s="9"/>
      <c r="W153" s="10"/>
      <c r="X153" s="1"/>
      <c r="Y153" s="1"/>
      <c r="Z153" s="1"/>
      <c r="AA153" s="2"/>
    </row>
    <row r="154" spans="1:31" x14ac:dyDescent="0.3">
      <c r="B154" s="67"/>
      <c r="C154" s="1"/>
      <c r="D154" s="1"/>
      <c r="E154" s="1"/>
      <c r="F154" s="1"/>
      <c r="G154" s="1"/>
      <c r="H154" s="8">
        <v>25</v>
      </c>
      <c r="I154" s="9">
        <v>200</v>
      </c>
      <c r="J154" s="9">
        <f t="shared" si="83"/>
        <v>0</v>
      </c>
      <c r="K154" s="39">
        <f t="shared" si="84"/>
        <v>0</v>
      </c>
      <c r="L154" s="8">
        <v>0.5</v>
      </c>
      <c r="M154" s="9">
        <v>145</v>
      </c>
      <c r="N154" s="9">
        <v>1000</v>
      </c>
      <c r="O154" s="33">
        <f t="shared" si="85"/>
        <v>0</v>
      </c>
      <c r="P154" s="8">
        <v>50</v>
      </c>
      <c r="Q154" s="9">
        <v>400</v>
      </c>
      <c r="R154" s="9">
        <f t="shared" si="86"/>
        <v>0</v>
      </c>
      <c r="S154" s="39">
        <f t="shared" si="87"/>
        <v>0</v>
      </c>
      <c r="T154" s="8"/>
      <c r="U154" s="9"/>
      <c r="V154" s="9"/>
      <c r="W154" s="10"/>
      <c r="X154" s="1"/>
      <c r="Y154" s="1"/>
      <c r="Z154" s="1"/>
      <c r="AA154" s="2"/>
    </row>
    <row r="155" spans="1:31" x14ac:dyDescent="0.3">
      <c r="B155" s="67"/>
      <c r="C155" s="1"/>
      <c r="D155" s="1"/>
      <c r="E155" s="1"/>
      <c r="F155" s="1"/>
      <c r="G155" s="1"/>
      <c r="H155" s="8">
        <v>25</v>
      </c>
      <c r="I155" s="9">
        <v>200</v>
      </c>
      <c r="J155" s="9">
        <f t="shared" si="83"/>
        <v>0</v>
      </c>
      <c r="K155" s="39">
        <f t="shared" si="84"/>
        <v>0</v>
      </c>
      <c r="L155" s="8">
        <v>0.5</v>
      </c>
      <c r="M155" s="9">
        <v>145</v>
      </c>
      <c r="N155" s="9">
        <v>1000</v>
      </c>
      <c r="O155" s="33">
        <f t="shared" si="85"/>
        <v>0</v>
      </c>
      <c r="P155" s="8">
        <v>50</v>
      </c>
      <c r="Q155" s="9">
        <v>400</v>
      </c>
      <c r="R155" s="9">
        <f t="shared" si="86"/>
        <v>0</v>
      </c>
      <c r="S155" s="39">
        <f t="shared" si="87"/>
        <v>0</v>
      </c>
      <c r="T155" s="8"/>
      <c r="U155" s="9"/>
      <c r="V155" s="9"/>
      <c r="W155" s="10"/>
      <c r="X155" s="1"/>
      <c r="Y155" s="1"/>
      <c r="Z155" s="1"/>
      <c r="AA155" s="2"/>
    </row>
    <row r="156" spans="1:31" x14ac:dyDescent="0.3">
      <c r="B156" s="67"/>
      <c r="C156" s="1"/>
      <c r="D156" s="1"/>
      <c r="E156" s="1"/>
      <c r="F156" s="1"/>
      <c r="G156" s="1"/>
      <c r="H156" s="8">
        <v>25</v>
      </c>
      <c r="I156" s="9">
        <v>200</v>
      </c>
      <c r="J156" s="9">
        <f t="shared" si="83"/>
        <v>0</v>
      </c>
      <c r="K156" s="39">
        <f t="shared" si="84"/>
        <v>0</v>
      </c>
      <c r="L156" s="8">
        <v>0.5</v>
      </c>
      <c r="M156" s="9">
        <v>145</v>
      </c>
      <c r="N156" s="9">
        <v>1000</v>
      </c>
      <c r="O156" s="33">
        <f t="shared" si="85"/>
        <v>0</v>
      </c>
      <c r="P156" s="8">
        <v>50</v>
      </c>
      <c r="Q156" s="9">
        <v>400</v>
      </c>
      <c r="R156" s="9">
        <f t="shared" si="86"/>
        <v>0</v>
      </c>
      <c r="S156" s="39">
        <f t="shared" si="87"/>
        <v>0</v>
      </c>
      <c r="T156" s="8"/>
      <c r="U156" s="9"/>
      <c r="V156" s="9"/>
      <c r="W156" s="10"/>
      <c r="X156" s="1"/>
      <c r="Y156" s="1"/>
      <c r="Z156" s="1"/>
      <c r="AA156" s="2"/>
    </row>
    <row r="157" spans="1:31" x14ac:dyDescent="0.3">
      <c r="B157" s="67"/>
      <c r="C157" s="1"/>
      <c r="D157" s="1"/>
      <c r="E157" s="1"/>
      <c r="F157" s="1"/>
      <c r="G157" s="1"/>
      <c r="H157" s="8">
        <v>25</v>
      </c>
      <c r="I157" s="9">
        <v>200</v>
      </c>
      <c r="J157" s="9">
        <f t="shared" si="83"/>
        <v>0</v>
      </c>
      <c r="K157" s="39">
        <f t="shared" si="84"/>
        <v>0</v>
      </c>
      <c r="L157" s="8">
        <v>0.5</v>
      </c>
      <c r="M157" s="9">
        <v>145</v>
      </c>
      <c r="N157" s="9">
        <v>1000</v>
      </c>
      <c r="O157" s="33">
        <f t="shared" si="85"/>
        <v>0</v>
      </c>
      <c r="P157" s="8">
        <v>50</v>
      </c>
      <c r="Q157" s="9">
        <v>400</v>
      </c>
      <c r="R157" s="9">
        <f t="shared" si="86"/>
        <v>0</v>
      </c>
      <c r="S157" s="39">
        <f t="shared" si="87"/>
        <v>0</v>
      </c>
      <c r="T157" s="8"/>
      <c r="U157" s="9"/>
      <c r="V157" s="9"/>
      <c r="W157" s="10"/>
      <c r="X157" s="1"/>
      <c r="Y157" s="1"/>
      <c r="Z157" s="1"/>
      <c r="AA157" s="2"/>
    </row>
    <row r="158" spans="1:31" x14ac:dyDescent="0.3">
      <c r="B158" s="67"/>
      <c r="C158" s="1"/>
      <c r="D158" s="1"/>
      <c r="E158" s="1"/>
      <c r="F158" s="1"/>
      <c r="G158" s="1"/>
      <c r="H158" s="8">
        <v>25</v>
      </c>
      <c r="I158" s="9">
        <v>200</v>
      </c>
      <c r="J158" s="9">
        <f t="shared" si="83"/>
        <v>0</v>
      </c>
      <c r="K158" s="39">
        <f t="shared" si="84"/>
        <v>0</v>
      </c>
      <c r="L158" s="8">
        <v>0.5</v>
      </c>
      <c r="M158" s="9">
        <v>145</v>
      </c>
      <c r="N158" s="9">
        <v>1000</v>
      </c>
      <c r="O158" s="33">
        <f t="shared" si="85"/>
        <v>0</v>
      </c>
      <c r="P158" s="8">
        <v>50</v>
      </c>
      <c r="Q158" s="9">
        <v>400</v>
      </c>
      <c r="R158" s="9">
        <f t="shared" si="86"/>
        <v>0</v>
      </c>
      <c r="S158" s="39">
        <f t="shared" si="87"/>
        <v>0</v>
      </c>
      <c r="T158" s="8"/>
      <c r="U158" s="9"/>
      <c r="V158" s="9"/>
      <c r="W158" s="10"/>
      <c r="X158" s="1"/>
      <c r="Y158" s="1"/>
      <c r="Z158" s="1"/>
      <c r="AA158" s="2"/>
    </row>
    <row r="159" spans="1:31" x14ac:dyDescent="0.3">
      <c r="B159" s="67"/>
      <c r="C159" s="1"/>
      <c r="D159" s="1"/>
      <c r="E159" s="1"/>
      <c r="F159" s="1"/>
      <c r="G159" s="1"/>
      <c r="H159" s="8">
        <v>25</v>
      </c>
      <c r="I159" s="9">
        <v>200</v>
      </c>
      <c r="J159" s="9">
        <f t="shared" si="83"/>
        <v>0</v>
      </c>
      <c r="K159" s="39">
        <f t="shared" si="84"/>
        <v>0</v>
      </c>
      <c r="L159" s="8">
        <v>0.5</v>
      </c>
      <c r="M159" s="9">
        <v>145</v>
      </c>
      <c r="N159" s="9">
        <v>1000</v>
      </c>
      <c r="O159" s="33">
        <f t="shared" si="85"/>
        <v>0</v>
      </c>
      <c r="P159" s="8">
        <v>50</v>
      </c>
      <c r="Q159" s="9">
        <v>400</v>
      </c>
      <c r="R159" s="9">
        <f t="shared" si="86"/>
        <v>0</v>
      </c>
      <c r="S159" s="39">
        <f t="shared" si="87"/>
        <v>0</v>
      </c>
      <c r="T159" s="8"/>
      <c r="U159" s="9"/>
      <c r="V159" s="9"/>
      <c r="W159" s="10"/>
      <c r="X159" s="1"/>
      <c r="Y159" s="1"/>
      <c r="Z159" s="1"/>
      <c r="AA159" s="2"/>
    </row>
    <row r="160" spans="1:31" x14ac:dyDescent="0.3">
      <c r="B160" s="68"/>
      <c r="C160" s="69"/>
      <c r="D160" s="69"/>
      <c r="E160" s="69"/>
      <c r="F160" s="69"/>
      <c r="G160" s="69"/>
      <c r="H160" s="11">
        <v>25</v>
      </c>
      <c r="I160" s="12">
        <v>200</v>
      </c>
      <c r="J160" s="12">
        <f t="shared" si="83"/>
        <v>0</v>
      </c>
      <c r="K160" s="40">
        <f t="shared" si="84"/>
        <v>0</v>
      </c>
      <c r="L160" s="11">
        <v>0.5</v>
      </c>
      <c r="M160" s="12">
        <v>145</v>
      </c>
      <c r="N160" s="12">
        <v>1000</v>
      </c>
      <c r="O160" s="34">
        <f t="shared" si="85"/>
        <v>0</v>
      </c>
      <c r="P160" s="11">
        <v>50</v>
      </c>
      <c r="Q160" s="12">
        <v>400</v>
      </c>
      <c r="R160" s="12">
        <f t="shared" si="86"/>
        <v>0</v>
      </c>
      <c r="S160" s="40">
        <f t="shared" si="87"/>
        <v>0</v>
      </c>
      <c r="T160" s="11"/>
      <c r="U160" s="12"/>
      <c r="V160" s="12"/>
      <c r="W160" s="13"/>
      <c r="X160" s="3"/>
      <c r="Y160" s="3"/>
      <c r="Z160" s="3"/>
      <c r="AA160" s="4"/>
    </row>
    <row r="161" spans="10:23" x14ac:dyDescent="0.3">
      <c r="J161" s="35" t="s">
        <v>34</v>
      </c>
      <c r="K161" s="37">
        <f>SUM(K151:K160)</f>
        <v>0</v>
      </c>
      <c r="N161" s="35" t="s">
        <v>34</v>
      </c>
      <c r="O161" s="36">
        <f>SUM(O151:O160)</f>
        <v>0</v>
      </c>
      <c r="P161" s="1"/>
      <c r="Q161" s="1"/>
      <c r="R161" s="35" t="s">
        <v>34</v>
      </c>
      <c r="S161" s="37">
        <f>SUM(S151:S160)</f>
        <v>0</v>
      </c>
      <c r="T161" s="1"/>
      <c r="U161" s="1"/>
      <c r="V161" s="35" t="s">
        <v>34</v>
      </c>
      <c r="W161" s="37">
        <f>SUM(W151:W160)</f>
        <v>0</v>
      </c>
    </row>
  </sheetData>
  <autoFilter ref="B5:V25" xr:uid="{00000000-0009-0000-0000-000000000000}"/>
  <mergeCells count="64">
    <mergeCell ref="AB137:AE137"/>
    <mergeCell ref="B4:H4"/>
    <mergeCell ref="I4:O4"/>
    <mergeCell ref="P4:V4"/>
    <mergeCell ref="B29:D29"/>
    <mergeCell ref="E29:G29"/>
    <mergeCell ref="H29:K29"/>
    <mergeCell ref="L29:O29"/>
    <mergeCell ref="P29:S29"/>
    <mergeCell ref="T29:W29"/>
    <mergeCell ref="X29:AA29"/>
    <mergeCell ref="B41:G52"/>
    <mergeCell ref="H41:K41"/>
    <mergeCell ref="L41:O41"/>
    <mergeCell ref="P41:S41"/>
    <mergeCell ref="T41:W41"/>
    <mergeCell ref="T56:W56"/>
    <mergeCell ref="X56:AA56"/>
    <mergeCell ref="B68:G79"/>
    <mergeCell ref="H68:K68"/>
    <mergeCell ref="L68:O68"/>
    <mergeCell ref="P68:S68"/>
    <mergeCell ref="T68:W68"/>
    <mergeCell ref="B56:D56"/>
    <mergeCell ref="E56:G56"/>
    <mergeCell ref="H56:K56"/>
    <mergeCell ref="L56:O56"/>
    <mergeCell ref="P56:S56"/>
    <mergeCell ref="T83:W83"/>
    <mergeCell ref="X83:AA83"/>
    <mergeCell ref="B95:G106"/>
    <mergeCell ref="H95:K95"/>
    <mergeCell ref="L95:O95"/>
    <mergeCell ref="P95:S95"/>
    <mergeCell ref="T95:W95"/>
    <mergeCell ref="B83:D83"/>
    <mergeCell ref="E83:G83"/>
    <mergeCell ref="H83:K83"/>
    <mergeCell ref="L83:O83"/>
    <mergeCell ref="P83:S83"/>
    <mergeCell ref="T110:W110"/>
    <mergeCell ref="X110:AA110"/>
    <mergeCell ref="B122:G133"/>
    <mergeCell ref="H122:K122"/>
    <mergeCell ref="L122:O122"/>
    <mergeCell ref="P122:S122"/>
    <mergeCell ref="T122:W122"/>
    <mergeCell ref="B110:D110"/>
    <mergeCell ref="E110:G110"/>
    <mergeCell ref="H110:K110"/>
    <mergeCell ref="L110:O110"/>
    <mergeCell ref="P110:S110"/>
    <mergeCell ref="T137:W137"/>
    <mergeCell ref="X137:AA137"/>
    <mergeCell ref="B149:G160"/>
    <mergeCell ref="H149:K149"/>
    <mergeCell ref="L149:O149"/>
    <mergeCell ref="P149:S149"/>
    <mergeCell ref="T149:W149"/>
    <mergeCell ref="B137:D137"/>
    <mergeCell ref="E137:G137"/>
    <mergeCell ref="H137:K137"/>
    <mergeCell ref="L137:O137"/>
    <mergeCell ref="P137:S137"/>
  </mergeCells>
  <phoneticPr fontId="3" type="noConversion"/>
  <pageMargins left="0.74805557727813721" right="0.74805557727813721" top="0.98430556058883667" bottom="0.98430556058883667" header="0.51138889789581299" footer="0.51138889789581299"/>
  <pageSetup paperSize="9" scale="49" fitToWidth="0" fitToHeight="0" orientation="portrait" horizontalDpi="0" verticalDpi="0"/>
  <colBreaks count="1" manualBreakCount="1">
    <brk id="20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4:AE107"/>
  <sheetViews>
    <sheetView topLeftCell="L1" zoomScale="85" zoomScaleNormal="85" zoomScaleSheetLayoutView="100" workbookViewId="0">
      <selection activeCell="T65" sqref="T65"/>
    </sheetView>
  </sheetViews>
  <sheetFormatPr defaultColWidth="9" defaultRowHeight="16.5" x14ac:dyDescent="0.3"/>
  <cols>
    <col min="1" max="2" width="9" bestFit="1" customWidth="1"/>
    <col min="3" max="27" width="9" customWidth="1"/>
    <col min="28" max="31" width="9" bestFit="1" customWidth="1"/>
  </cols>
  <sheetData>
    <row r="4" spans="2:22" x14ac:dyDescent="0.3">
      <c r="B4" s="1" t="s">
        <v>0</v>
      </c>
      <c r="C4" s="1"/>
      <c r="D4" s="1"/>
      <c r="E4" s="1"/>
      <c r="F4" s="1"/>
      <c r="G4" s="1"/>
      <c r="H4" s="1"/>
      <c r="I4" s="1" t="s">
        <v>0</v>
      </c>
      <c r="J4" s="1"/>
      <c r="K4" s="1"/>
      <c r="L4" s="1"/>
      <c r="M4" s="1"/>
      <c r="N4" s="1"/>
      <c r="O4" s="1"/>
      <c r="P4" s="1" t="s">
        <v>0</v>
      </c>
      <c r="Q4" s="1"/>
      <c r="R4" s="1"/>
      <c r="S4" s="1"/>
      <c r="T4" s="1"/>
      <c r="U4" s="1"/>
      <c r="V4" s="1"/>
    </row>
    <row r="5" spans="2:22" x14ac:dyDescent="0.3">
      <c r="B5" s="25" t="s">
        <v>30</v>
      </c>
      <c r="C5" s="25" t="s">
        <v>31</v>
      </c>
      <c r="D5" s="25" t="s">
        <v>36</v>
      </c>
      <c r="E5" s="25" t="s">
        <v>1</v>
      </c>
      <c r="F5" s="25" t="s">
        <v>43</v>
      </c>
      <c r="G5" s="25" t="s">
        <v>41</v>
      </c>
      <c r="H5" s="25" t="s">
        <v>32</v>
      </c>
      <c r="I5" s="25" t="s">
        <v>30</v>
      </c>
      <c r="J5" s="25" t="s">
        <v>31</v>
      </c>
      <c r="K5" s="25" t="s">
        <v>36</v>
      </c>
      <c r="L5" s="25" t="s">
        <v>1</v>
      </c>
      <c r="M5" s="25" t="s">
        <v>43</v>
      </c>
      <c r="N5" s="25" t="s">
        <v>41</v>
      </c>
      <c r="O5" s="25" t="s">
        <v>32</v>
      </c>
      <c r="P5" s="25" t="s">
        <v>30</v>
      </c>
      <c r="Q5" s="25" t="s">
        <v>31</v>
      </c>
      <c r="R5" s="25" t="s">
        <v>36</v>
      </c>
      <c r="S5" s="25" t="s">
        <v>1</v>
      </c>
      <c r="T5" s="25" t="s">
        <v>43</v>
      </c>
      <c r="U5" s="25" t="s">
        <v>41</v>
      </c>
      <c r="V5" s="25" t="s">
        <v>32</v>
      </c>
    </row>
    <row r="6" spans="2:22" x14ac:dyDescent="0.3">
      <c r="B6" s="24">
        <v>1</v>
      </c>
      <c r="C6" s="24">
        <v>1000</v>
      </c>
      <c r="D6" s="24">
        <v>250</v>
      </c>
      <c r="E6" s="24">
        <v>1</v>
      </c>
      <c r="F6" s="24">
        <f t="shared" ref="F6:F25" si="0">C6*D6/1000000</f>
        <v>0.25</v>
      </c>
      <c r="G6" s="24">
        <f t="shared" ref="G6:G25" si="1">(C6+D6)*2/1000</f>
        <v>2.5</v>
      </c>
      <c r="H6" s="24" t="str">
        <f>IF(F6&gt;0.64,"HTG-1.69",IF(AND(0&lt;F6,F6&lt;=0.64),"HTG-064",""))</f>
        <v>HTG-064</v>
      </c>
      <c r="I6" s="24">
        <v>21</v>
      </c>
      <c r="J6" s="24"/>
      <c r="K6" s="24"/>
      <c r="L6" s="24"/>
      <c r="M6" s="24">
        <f>J6*K6/1000000</f>
        <v>0</v>
      </c>
      <c r="N6" s="24">
        <f>(J6+K6)*2/1000</f>
        <v>0</v>
      </c>
      <c r="O6" s="24" t="str">
        <f>IF(M6&gt;0.64,"HTG-1.69",IF(AND(0&lt;M6,M6&lt;=0.64),"HTG-064",""))</f>
        <v/>
      </c>
      <c r="P6" s="24">
        <v>41</v>
      </c>
      <c r="Q6" s="24"/>
      <c r="R6" s="24"/>
      <c r="S6" s="24"/>
      <c r="T6" s="24">
        <f>Q6*R6/1000000</f>
        <v>0</v>
      </c>
      <c r="U6" s="24">
        <f>(Q6+R6)*2/1000</f>
        <v>0</v>
      </c>
      <c r="V6" s="24" t="str">
        <f>IF(T6&gt;0.64,"HTG-1.69",IF(AND(0&lt;T6,T6&lt;=0.64),"HTG-064",""))</f>
        <v/>
      </c>
    </row>
    <row r="7" spans="2:22" x14ac:dyDescent="0.3">
      <c r="B7" s="24">
        <v>2</v>
      </c>
      <c r="C7" s="24">
        <v>1500</v>
      </c>
      <c r="D7" s="24">
        <v>300</v>
      </c>
      <c r="E7" s="24">
        <v>1</v>
      </c>
      <c r="F7" s="24">
        <f t="shared" si="0"/>
        <v>0.45</v>
      </c>
      <c r="G7" s="24">
        <f t="shared" si="1"/>
        <v>3.6</v>
      </c>
      <c r="H7" s="24" t="str">
        <f t="shared" ref="H7:H25" si="2">IF(F7&gt;0.64,"HTG-1.69",IF(AND(0&lt;F7,F7&lt;=0.64),"HTG-064",""))</f>
        <v>HTG-064</v>
      </c>
      <c r="I7" s="24">
        <v>22</v>
      </c>
      <c r="J7" s="24"/>
      <c r="K7" s="24"/>
      <c r="L7" s="24"/>
      <c r="M7" s="24">
        <f t="shared" ref="M7:M25" si="3">J7*K7/1000000</f>
        <v>0</v>
      </c>
      <c r="N7" s="24">
        <f t="shared" ref="N7:N25" si="4">(J7+K7)*2/1000</f>
        <v>0</v>
      </c>
      <c r="O7" s="24" t="str">
        <f t="shared" ref="O7:O25" si="5">IF(M7&gt;0.64,"HTG-1.69",IF(AND(0&lt;M7,M7&lt;=0.64),"HTG-064",""))</f>
        <v/>
      </c>
      <c r="P7" s="24">
        <v>42</v>
      </c>
      <c r="Q7" s="24"/>
      <c r="R7" s="24"/>
      <c r="S7" s="24"/>
      <c r="T7" s="24">
        <f t="shared" ref="T7:T25" si="6">Q7*R7/1000000</f>
        <v>0</v>
      </c>
      <c r="U7" s="24">
        <f t="shared" ref="U7:U25" si="7">(Q7+R7)*2/1000</f>
        <v>0</v>
      </c>
      <c r="V7" s="24" t="str">
        <f t="shared" ref="V7:V25" si="8">IF(T7&gt;0.64,"HTG-1.69",IF(AND(0&lt;T7,T7&lt;=0.64),"HTG-064",""))</f>
        <v/>
      </c>
    </row>
    <row r="8" spans="2:22" x14ac:dyDescent="0.3">
      <c r="B8" s="24">
        <v>3</v>
      </c>
      <c r="C8" s="24">
        <v>900</v>
      </c>
      <c r="D8" s="24">
        <v>900</v>
      </c>
      <c r="E8" s="24">
        <v>2</v>
      </c>
      <c r="F8" s="24">
        <f t="shared" si="0"/>
        <v>0.81</v>
      </c>
      <c r="G8" s="24">
        <f t="shared" si="1"/>
        <v>3.6</v>
      </c>
      <c r="H8" s="24" t="str">
        <f t="shared" si="2"/>
        <v>HTG-1.69</v>
      </c>
      <c r="I8" s="24">
        <v>23</v>
      </c>
      <c r="J8" s="24"/>
      <c r="K8" s="24"/>
      <c r="L8" s="24"/>
      <c r="M8" s="24">
        <f t="shared" si="3"/>
        <v>0</v>
      </c>
      <c r="N8" s="24">
        <f t="shared" si="4"/>
        <v>0</v>
      </c>
      <c r="O8" s="24" t="str">
        <f t="shared" si="5"/>
        <v/>
      </c>
      <c r="P8" s="24">
        <v>43</v>
      </c>
      <c r="Q8" s="24"/>
      <c r="R8" s="24"/>
      <c r="S8" s="24"/>
      <c r="T8" s="24">
        <f t="shared" si="6"/>
        <v>0</v>
      </c>
      <c r="U8" s="24">
        <f t="shared" si="7"/>
        <v>0</v>
      </c>
      <c r="V8" s="24" t="str">
        <f t="shared" si="8"/>
        <v/>
      </c>
    </row>
    <row r="9" spans="2:22" x14ac:dyDescent="0.3">
      <c r="B9" s="24">
        <v>4</v>
      </c>
      <c r="C9" s="24">
        <v>800</v>
      </c>
      <c r="D9" s="24">
        <v>700</v>
      </c>
      <c r="E9" s="24">
        <v>5</v>
      </c>
      <c r="F9" s="24">
        <f t="shared" si="0"/>
        <v>0.56000000000000005</v>
      </c>
      <c r="G9" s="24">
        <f t="shared" si="1"/>
        <v>3</v>
      </c>
      <c r="H9" s="24" t="str">
        <f t="shared" si="2"/>
        <v>HTG-064</v>
      </c>
      <c r="I9" s="24">
        <v>24</v>
      </c>
      <c r="J9" s="24"/>
      <c r="K9" s="24"/>
      <c r="L9" s="24"/>
      <c r="M9" s="24">
        <f t="shared" si="3"/>
        <v>0</v>
      </c>
      <c r="N9" s="24">
        <f t="shared" si="4"/>
        <v>0</v>
      </c>
      <c r="O9" s="24" t="str">
        <f t="shared" si="5"/>
        <v/>
      </c>
      <c r="P9" s="24">
        <v>44</v>
      </c>
      <c r="Q9" s="24"/>
      <c r="R9" s="24"/>
      <c r="S9" s="24"/>
      <c r="T9" s="24">
        <f t="shared" si="6"/>
        <v>0</v>
      </c>
      <c r="U9" s="24">
        <f t="shared" si="7"/>
        <v>0</v>
      </c>
      <c r="V9" s="24" t="str">
        <f t="shared" si="8"/>
        <v/>
      </c>
    </row>
    <row r="10" spans="2:22" x14ac:dyDescent="0.3">
      <c r="B10" s="24">
        <v>5</v>
      </c>
      <c r="C10" s="24">
        <v>900</v>
      </c>
      <c r="D10" s="24">
        <v>800</v>
      </c>
      <c r="E10" s="24">
        <v>4</v>
      </c>
      <c r="F10" s="24">
        <f t="shared" si="0"/>
        <v>0.72</v>
      </c>
      <c r="G10" s="24">
        <f t="shared" si="1"/>
        <v>3.4</v>
      </c>
      <c r="H10" s="24" t="str">
        <f t="shared" si="2"/>
        <v>HTG-1.69</v>
      </c>
      <c r="I10" s="24">
        <v>25</v>
      </c>
      <c r="J10" s="24"/>
      <c r="K10" s="24"/>
      <c r="L10" s="24"/>
      <c r="M10" s="24">
        <f t="shared" si="3"/>
        <v>0</v>
      </c>
      <c r="N10" s="24">
        <f t="shared" si="4"/>
        <v>0</v>
      </c>
      <c r="O10" s="24" t="str">
        <f t="shared" si="5"/>
        <v/>
      </c>
      <c r="P10" s="24">
        <v>45</v>
      </c>
      <c r="Q10" s="24"/>
      <c r="R10" s="24"/>
      <c r="S10" s="24"/>
      <c r="T10" s="24">
        <f t="shared" si="6"/>
        <v>0</v>
      </c>
      <c r="U10" s="24">
        <f t="shared" si="7"/>
        <v>0</v>
      </c>
      <c r="V10" s="24" t="str">
        <f t="shared" si="8"/>
        <v/>
      </c>
    </row>
    <row r="11" spans="2:22" x14ac:dyDescent="0.3">
      <c r="B11" s="24">
        <v>6</v>
      </c>
      <c r="C11" s="24">
        <v>750</v>
      </c>
      <c r="D11" s="24">
        <v>850</v>
      </c>
      <c r="E11" s="24"/>
      <c r="F11" s="24">
        <f t="shared" si="0"/>
        <v>0.63749999999999996</v>
      </c>
      <c r="G11" s="24">
        <f t="shared" si="1"/>
        <v>3.2</v>
      </c>
      <c r="H11" s="24" t="str">
        <f t="shared" si="2"/>
        <v>HTG-064</v>
      </c>
      <c r="I11" s="24">
        <v>26</v>
      </c>
      <c r="J11" s="24"/>
      <c r="K11" s="24"/>
      <c r="L11" s="24"/>
      <c r="M11" s="24">
        <f t="shared" si="3"/>
        <v>0</v>
      </c>
      <c r="N11" s="24">
        <f t="shared" si="4"/>
        <v>0</v>
      </c>
      <c r="O11" s="24" t="str">
        <f t="shared" si="5"/>
        <v/>
      </c>
      <c r="P11" s="24">
        <v>46</v>
      </c>
      <c r="Q11" s="24"/>
      <c r="R11" s="24"/>
      <c r="S11" s="24"/>
      <c r="T11" s="24">
        <f t="shared" si="6"/>
        <v>0</v>
      </c>
      <c r="U11" s="24">
        <f t="shared" si="7"/>
        <v>0</v>
      </c>
      <c r="V11" s="24" t="str">
        <f t="shared" si="8"/>
        <v/>
      </c>
    </row>
    <row r="12" spans="2:22" x14ac:dyDescent="0.3">
      <c r="B12" s="24">
        <v>7</v>
      </c>
      <c r="C12" s="24">
        <v>900</v>
      </c>
      <c r="D12" s="24">
        <v>450</v>
      </c>
      <c r="E12" s="24"/>
      <c r="F12" s="24">
        <f t="shared" si="0"/>
        <v>0.40500000000000003</v>
      </c>
      <c r="G12" s="24">
        <f t="shared" si="1"/>
        <v>2.7</v>
      </c>
      <c r="H12" s="24" t="str">
        <f t="shared" si="2"/>
        <v>HTG-064</v>
      </c>
      <c r="I12" s="24">
        <v>27</v>
      </c>
      <c r="J12" s="24"/>
      <c r="K12" s="24"/>
      <c r="L12" s="24"/>
      <c r="M12" s="24">
        <f t="shared" si="3"/>
        <v>0</v>
      </c>
      <c r="N12" s="24">
        <f t="shared" si="4"/>
        <v>0</v>
      </c>
      <c r="O12" s="24" t="str">
        <f t="shared" si="5"/>
        <v/>
      </c>
      <c r="P12" s="24">
        <v>47</v>
      </c>
      <c r="Q12" s="24"/>
      <c r="R12" s="24"/>
      <c r="S12" s="24"/>
      <c r="T12" s="24">
        <f t="shared" si="6"/>
        <v>0</v>
      </c>
      <c r="U12" s="24">
        <f t="shared" si="7"/>
        <v>0</v>
      </c>
      <c r="V12" s="24" t="str">
        <f t="shared" si="8"/>
        <v/>
      </c>
    </row>
    <row r="13" spans="2:22" x14ac:dyDescent="0.3">
      <c r="B13" s="24">
        <v>8</v>
      </c>
      <c r="C13" s="24">
        <v>900</v>
      </c>
      <c r="D13" s="24">
        <v>700</v>
      </c>
      <c r="E13" s="24"/>
      <c r="F13" s="24">
        <f t="shared" si="0"/>
        <v>0.63</v>
      </c>
      <c r="G13" s="24">
        <f t="shared" si="1"/>
        <v>3.2</v>
      </c>
      <c r="H13" s="24" t="str">
        <f t="shared" si="2"/>
        <v>HTG-064</v>
      </c>
      <c r="I13" s="24">
        <v>28</v>
      </c>
      <c r="J13" s="24"/>
      <c r="K13" s="24"/>
      <c r="L13" s="24"/>
      <c r="M13" s="24">
        <f t="shared" si="3"/>
        <v>0</v>
      </c>
      <c r="N13" s="24">
        <f t="shared" si="4"/>
        <v>0</v>
      </c>
      <c r="O13" s="24" t="str">
        <f t="shared" si="5"/>
        <v/>
      </c>
      <c r="P13" s="24">
        <v>48</v>
      </c>
      <c r="Q13" s="24"/>
      <c r="R13" s="24"/>
      <c r="S13" s="24"/>
      <c r="T13" s="24">
        <f t="shared" si="6"/>
        <v>0</v>
      </c>
      <c r="U13" s="24">
        <f t="shared" si="7"/>
        <v>0</v>
      </c>
      <c r="V13" s="24" t="str">
        <f t="shared" si="8"/>
        <v/>
      </c>
    </row>
    <row r="14" spans="2:22" x14ac:dyDescent="0.3">
      <c r="B14" s="24">
        <v>9</v>
      </c>
      <c r="C14" s="24">
        <v>500</v>
      </c>
      <c r="D14" s="24">
        <v>400</v>
      </c>
      <c r="E14" s="24"/>
      <c r="F14" s="24">
        <f t="shared" si="0"/>
        <v>0.2</v>
      </c>
      <c r="G14" s="24">
        <f t="shared" si="1"/>
        <v>1.8</v>
      </c>
      <c r="H14" s="24" t="str">
        <f t="shared" si="2"/>
        <v>HTG-064</v>
      </c>
      <c r="I14" s="24">
        <v>29</v>
      </c>
      <c r="J14" s="24"/>
      <c r="K14" s="24"/>
      <c r="L14" s="24"/>
      <c r="M14" s="24">
        <f t="shared" si="3"/>
        <v>0</v>
      </c>
      <c r="N14" s="24">
        <f t="shared" si="4"/>
        <v>0</v>
      </c>
      <c r="O14" s="24" t="str">
        <f t="shared" si="5"/>
        <v/>
      </c>
      <c r="P14" s="24">
        <v>49</v>
      </c>
      <c r="Q14" s="24"/>
      <c r="R14" s="24"/>
      <c r="S14" s="24"/>
      <c r="T14" s="24">
        <f t="shared" si="6"/>
        <v>0</v>
      </c>
      <c r="U14" s="24">
        <f t="shared" si="7"/>
        <v>0</v>
      </c>
      <c r="V14" s="24" t="str">
        <f t="shared" si="8"/>
        <v/>
      </c>
    </row>
    <row r="15" spans="2:22" x14ac:dyDescent="0.3">
      <c r="B15" s="24">
        <v>10</v>
      </c>
      <c r="C15" s="24">
        <v>1000</v>
      </c>
      <c r="D15" s="24">
        <v>500</v>
      </c>
      <c r="E15" s="24"/>
      <c r="F15" s="24">
        <f t="shared" si="0"/>
        <v>0.5</v>
      </c>
      <c r="G15" s="24">
        <f t="shared" si="1"/>
        <v>3</v>
      </c>
      <c r="H15" s="24" t="str">
        <f t="shared" si="2"/>
        <v>HTG-064</v>
      </c>
      <c r="I15" s="24">
        <v>30</v>
      </c>
      <c r="J15" s="24"/>
      <c r="K15" s="24"/>
      <c r="L15" s="24"/>
      <c r="M15" s="24">
        <f t="shared" si="3"/>
        <v>0</v>
      </c>
      <c r="N15" s="24">
        <f t="shared" si="4"/>
        <v>0</v>
      </c>
      <c r="O15" s="24" t="str">
        <f t="shared" si="5"/>
        <v/>
      </c>
      <c r="P15" s="24">
        <v>50</v>
      </c>
      <c r="Q15" s="24"/>
      <c r="R15" s="24"/>
      <c r="S15" s="24"/>
      <c r="T15" s="24">
        <f t="shared" si="6"/>
        <v>0</v>
      </c>
      <c r="U15" s="24">
        <f t="shared" si="7"/>
        <v>0</v>
      </c>
      <c r="V15" s="24" t="str">
        <f t="shared" si="8"/>
        <v/>
      </c>
    </row>
    <row r="16" spans="2:22" x14ac:dyDescent="0.3">
      <c r="B16" s="24">
        <v>11</v>
      </c>
      <c r="C16" s="24"/>
      <c r="D16" s="24"/>
      <c r="E16" s="24"/>
      <c r="F16" s="24">
        <f t="shared" si="0"/>
        <v>0</v>
      </c>
      <c r="G16" s="24">
        <f t="shared" si="1"/>
        <v>0</v>
      </c>
      <c r="H16" s="24" t="str">
        <f t="shared" si="2"/>
        <v/>
      </c>
      <c r="I16" s="24">
        <v>31</v>
      </c>
      <c r="J16" s="24"/>
      <c r="K16" s="24"/>
      <c r="L16" s="24"/>
      <c r="M16" s="24">
        <f t="shared" si="3"/>
        <v>0</v>
      </c>
      <c r="N16" s="24">
        <f t="shared" si="4"/>
        <v>0</v>
      </c>
      <c r="O16" s="24" t="str">
        <f t="shared" si="5"/>
        <v/>
      </c>
      <c r="P16" s="24">
        <v>51</v>
      </c>
      <c r="Q16" s="24"/>
      <c r="R16" s="24"/>
      <c r="S16" s="24"/>
      <c r="T16" s="24">
        <f t="shared" si="6"/>
        <v>0</v>
      </c>
      <c r="U16" s="24">
        <f t="shared" si="7"/>
        <v>0</v>
      </c>
      <c r="V16" s="24" t="str">
        <f t="shared" si="8"/>
        <v/>
      </c>
    </row>
    <row r="17" spans="1:27" x14ac:dyDescent="0.3">
      <c r="B17" s="24">
        <v>12</v>
      </c>
      <c r="C17" s="24"/>
      <c r="D17" s="24"/>
      <c r="E17" s="24"/>
      <c r="F17" s="24">
        <f t="shared" si="0"/>
        <v>0</v>
      </c>
      <c r="G17" s="24">
        <f t="shared" si="1"/>
        <v>0</v>
      </c>
      <c r="H17" s="24" t="str">
        <f t="shared" si="2"/>
        <v/>
      </c>
      <c r="I17" s="24">
        <v>32</v>
      </c>
      <c r="J17" s="24"/>
      <c r="K17" s="24"/>
      <c r="L17" s="24"/>
      <c r="M17" s="24">
        <f t="shared" si="3"/>
        <v>0</v>
      </c>
      <c r="N17" s="24">
        <f t="shared" si="4"/>
        <v>0</v>
      </c>
      <c r="O17" s="24" t="str">
        <f t="shared" si="5"/>
        <v/>
      </c>
      <c r="P17" s="24">
        <v>52</v>
      </c>
      <c r="Q17" s="24"/>
      <c r="R17" s="24"/>
      <c r="S17" s="24"/>
      <c r="T17" s="24">
        <f t="shared" si="6"/>
        <v>0</v>
      </c>
      <c r="U17" s="24">
        <f t="shared" si="7"/>
        <v>0</v>
      </c>
      <c r="V17" s="24" t="str">
        <f t="shared" si="8"/>
        <v/>
      </c>
    </row>
    <row r="18" spans="1:27" x14ac:dyDescent="0.3">
      <c r="B18" s="24">
        <v>13</v>
      </c>
      <c r="C18" s="24"/>
      <c r="D18" s="24"/>
      <c r="E18" s="24"/>
      <c r="F18" s="24">
        <f t="shared" si="0"/>
        <v>0</v>
      </c>
      <c r="G18" s="24">
        <f t="shared" si="1"/>
        <v>0</v>
      </c>
      <c r="H18" s="24" t="str">
        <f t="shared" si="2"/>
        <v/>
      </c>
      <c r="I18" s="24">
        <v>33</v>
      </c>
      <c r="J18" s="24"/>
      <c r="K18" s="24"/>
      <c r="L18" s="24"/>
      <c r="M18" s="24">
        <f t="shared" si="3"/>
        <v>0</v>
      </c>
      <c r="N18" s="24">
        <f t="shared" si="4"/>
        <v>0</v>
      </c>
      <c r="O18" s="24" t="str">
        <f t="shared" si="5"/>
        <v/>
      </c>
      <c r="P18" s="24">
        <v>53</v>
      </c>
      <c r="Q18" s="24"/>
      <c r="R18" s="24"/>
      <c r="S18" s="24"/>
      <c r="T18" s="24">
        <f t="shared" si="6"/>
        <v>0</v>
      </c>
      <c r="U18" s="24">
        <f t="shared" si="7"/>
        <v>0</v>
      </c>
      <c r="V18" s="24" t="str">
        <f t="shared" si="8"/>
        <v/>
      </c>
    </row>
    <row r="19" spans="1:27" x14ac:dyDescent="0.3">
      <c r="B19" s="24">
        <v>14</v>
      </c>
      <c r="C19" s="24"/>
      <c r="D19" s="24"/>
      <c r="E19" s="24"/>
      <c r="F19" s="24">
        <f t="shared" si="0"/>
        <v>0</v>
      </c>
      <c r="G19" s="24">
        <f t="shared" si="1"/>
        <v>0</v>
      </c>
      <c r="H19" s="24" t="str">
        <f t="shared" si="2"/>
        <v/>
      </c>
      <c r="I19" s="24">
        <v>34</v>
      </c>
      <c r="J19" s="24"/>
      <c r="K19" s="24"/>
      <c r="L19" s="24"/>
      <c r="M19" s="24">
        <f t="shared" si="3"/>
        <v>0</v>
      </c>
      <c r="N19" s="24">
        <f t="shared" si="4"/>
        <v>0</v>
      </c>
      <c r="O19" s="24" t="str">
        <f t="shared" si="5"/>
        <v/>
      </c>
      <c r="P19" s="24">
        <v>54</v>
      </c>
      <c r="Q19" s="24"/>
      <c r="R19" s="24"/>
      <c r="S19" s="24"/>
      <c r="T19" s="24">
        <f t="shared" si="6"/>
        <v>0</v>
      </c>
      <c r="U19" s="24">
        <f t="shared" si="7"/>
        <v>0</v>
      </c>
      <c r="V19" s="24" t="str">
        <f t="shared" si="8"/>
        <v/>
      </c>
    </row>
    <row r="20" spans="1:27" x14ac:dyDescent="0.3">
      <c r="B20" s="24">
        <v>15</v>
      </c>
      <c r="C20" s="24"/>
      <c r="D20" s="24"/>
      <c r="E20" s="24"/>
      <c r="F20" s="24">
        <f t="shared" si="0"/>
        <v>0</v>
      </c>
      <c r="G20" s="24">
        <f t="shared" si="1"/>
        <v>0</v>
      </c>
      <c r="H20" s="24" t="str">
        <f t="shared" si="2"/>
        <v/>
      </c>
      <c r="I20" s="24">
        <v>35</v>
      </c>
      <c r="J20" s="24"/>
      <c r="K20" s="24"/>
      <c r="L20" s="24"/>
      <c r="M20" s="24">
        <f t="shared" si="3"/>
        <v>0</v>
      </c>
      <c r="N20" s="24">
        <f t="shared" si="4"/>
        <v>0</v>
      </c>
      <c r="O20" s="24" t="str">
        <f t="shared" si="5"/>
        <v/>
      </c>
      <c r="P20" s="24">
        <v>55</v>
      </c>
      <c r="Q20" s="24"/>
      <c r="R20" s="24"/>
      <c r="S20" s="24"/>
      <c r="T20" s="24">
        <f t="shared" si="6"/>
        <v>0</v>
      </c>
      <c r="U20" s="24">
        <f t="shared" si="7"/>
        <v>0</v>
      </c>
      <c r="V20" s="24" t="str">
        <f t="shared" si="8"/>
        <v/>
      </c>
    </row>
    <row r="21" spans="1:27" x14ac:dyDescent="0.3">
      <c r="B21" s="24">
        <v>16</v>
      </c>
      <c r="C21" s="24"/>
      <c r="D21" s="24"/>
      <c r="E21" s="24"/>
      <c r="F21" s="24">
        <f t="shared" si="0"/>
        <v>0</v>
      </c>
      <c r="G21" s="24">
        <f t="shared" si="1"/>
        <v>0</v>
      </c>
      <c r="H21" s="24" t="str">
        <f t="shared" si="2"/>
        <v/>
      </c>
      <c r="I21" s="24">
        <v>36</v>
      </c>
      <c r="J21" s="24"/>
      <c r="K21" s="24"/>
      <c r="L21" s="24"/>
      <c r="M21" s="24">
        <f t="shared" si="3"/>
        <v>0</v>
      </c>
      <c r="N21" s="24">
        <f t="shared" si="4"/>
        <v>0</v>
      </c>
      <c r="O21" s="24" t="str">
        <f t="shared" si="5"/>
        <v/>
      </c>
      <c r="P21" s="24">
        <v>56</v>
      </c>
      <c r="Q21" s="24"/>
      <c r="R21" s="24"/>
      <c r="S21" s="24"/>
      <c r="T21" s="24">
        <f t="shared" si="6"/>
        <v>0</v>
      </c>
      <c r="U21" s="24">
        <f t="shared" si="7"/>
        <v>0</v>
      </c>
      <c r="V21" s="24" t="str">
        <f t="shared" si="8"/>
        <v/>
      </c>
    </row>
    <row r="22" spans="1:27" x14ac:dyDescent="0.3">
      <c r="B22" s="24">
        <v>17</v>
      </c>
      <c r="C22" s="24"/>
      <c r="D22" s="24"/>
      <c r="E22" s="24"/>
      <c r="F22" s="24">
        <f t="shared" si="0"/>
        <v>0</v>
      </c>
      <c r="G22" s="24">
        <f t="shared" si="1"/>
        <v>0</v>
      </c>
      <c r="H22" s="24" t="str">
        <f t="shared" si="2"/>
        <v/>
      </c>
      <c r="I22" s="24">
        <v>37</v>
      </c>
      <c r="J22" s="24"/>
      <c r="K22" s="24"/>
      <c r="L22" s="24"/>
      <c r="M22" s="24">
        <f t="shared" si="3"/>
        <v>0</v>
      </c>
      <c r="N22" s="24">
        <f t="shared" si="4"/>
        <v>0</v>
      </c>
      <c r="O22" s="24" t="str">
        <f t="shared" si="5"/>
        <v/>
      </c>
      <c r="P22" s="24">
        <v>57</v>
      </c>
      <c r="Q22" s="24"/>
      <c r="R22" s="24"/>
      <c r="S22" s="24"/>
      <c r="T22" s="24">
        <f t="shared" si="6"/>
        <v>0</v>
      </c>
      <c r="U22" s="24">
        <f t="shared" si="7"/>
        <v>0</v>
      </c>
      <c r="V22" s="24" t="str">
        <f t="shared" si="8"/>
        <v/>
      </c>
    </row>
    <row r="23" spans="1:27" x14ac:dyDescent="0.3">
      <c r="B23" s="24">
        <v>18</v>
      </c>
      <c r="C23" s="24"/>
      <c r="D23" s="24"/>
      <c r="E23" s="24"/>
      <c r="F23" s="24">
        <f t="shared" si="0"/>
        <v>0</v>
      </c>
      <c r="G23" s="24">
        <f t="shared" si="1"/>
        <v>0</v>
      </c>
      <c r="H23" s="24" t="str">
        <f t="shared" si="2"/>
        <v/>
      </c>
      <c r="I23" s="24">
        <v>38</v>
      </c>
      <c r="J23" s="24"/>
      <c r="K23" s="24"/>
      <c r="L23" s="24"/>
      <c r="M23" s="24">
        <f t="shared" si="3"/>
        <v>0</v>
      </c>
      <c r="N23" s="24">
        <f t="shared" si="4"/>
        <v>0</v>
      </c>
      <c r="O23" s="24" t="str">
        <f t="shared" si="5"/>
        <v/>
      </c>
      <c r="P23" s="24">
        <v>58</v>
      </c>
      <c r="Q23" s="24"/>
      <c r="R23" s="24"/>
      <c r="S23" s="24"/>
      <c r="T23" s="24">
        <f t="shared" si="6"/>
        <v>0</v>
      </c>
      <c r="U23" s="24">
        <f t="shared" si="7"/>
        <v>0</v>
      </c>
      <c r="V23" s="24" t="str">
        <f t="shared" si="8"/>
        <v/>
      </c>
    </row>
    <row r="24" spans="1:27" x14ac:dyDescent="0.3">
      <c r="B24" s="24">
        <v>19</v>
      </c>
      <c r="C24" s="24"/>
      <c r="D24" s="24"/>
      <c r="E24" s="24"/>
      <c r="F24" s="24">
        <f t="shared" si="0"/>
        <v>0</v>
      </c>
      <c r="G24" s="24">
        <f t="shared" si="1"/>
        <v>0</v>
      </c>
      <c r="H24" s="24" t="str">
        <f t="shared" si="2"/>
        <v/>
      </c>
      <c r="I24" s="24">
        <v>39</v>
      </c>
      <c r="J24" s="24"/>
      <c r="K24" s="24"/>
      <c r="L24" s="24"/>
      <c r="M24" s="24">
        <f t="shared" si="3"/>
        <v>0</v>
      </c>
      <c r="N24" s="24">
        <f t="shared" si="4"/>
        <v>0</v>
      </c>
      <c r="O24" s="24" t="str">
        <f t="shared" si="5"/>
        <v/>
      </c>
      <c r="P24" s="24">
        <v>59</v>
      </c>
      <c r="Q24" s="24"/>
      <c r="R24" s="24"/>
      <c r="S24" s="24"/>
      <c r="T24" s="24">
        <f t="shared" si="6"/>
        <v>0</v>
      </c>
      <c r="U24" s="24">
        <f t="shared" si="7"/>
        <v>0</v>
      </c>
      <c r="V24" s="24" t="str">
        <f t="shared" si="8"/>
        <v/>
      </c>
    </row>
    <row r="25" spans="1:27" x14ac:dyDescent="0.3">
      <c r="B25" s="24">
        <v>20</v>
      </c>
      <c r="C25" s="24"/>
      <c r="D25" s="24"/>
      <c r="E25" s="24"/>
      <c r="F25" s="24">
        <f t="shared" si="0"/>
        <v>0</v>
      </c>
      <c r="G25" s="24">
        <f t="shared" si="1"/>
        <v>0</v>
      </c>
      <c r="H25" s="24" t="str">
        <f t="shared" si="2"/>
        <v/>
      </c>
      <c r="I25" s="24">
        <v>40</v>
      </c>
      <c r="J25" s="24"/>
      <c r="K25" s="24"/>
      <c r="L25" s="24"/>
      <c r="M25" s="24">
        <f t="shared" si="3"/>
        <v>0</v>
      </c>
      <c r="N25" s="24">
        <f t="shared" si="4"/>
        <v>0</v>
      </c>
      <c r="O25" s="24" t="str">
        <f t="shared" si="5"/>
        <v/>
      </c>
      <c r="P25" s="24">
        <v>60</v>
      </c>
      <c r="Q25" s="24"/>
      <c r="R25" s="24"/>
      <c r="S25" s="24"/>
      <c r="T25" s="24">
        <f t="shared" si="6"/>
        <v>0</v>
      </c>
      <c r="U25" s="24">
        <f t="shared" si="7"/>
        <v>0</v>
      </c>
      <c r="V25" s="24" t="str">
        <f t="shared" si="8"/>
        <v/>
      </c>
    </row>
    <row r="27" spans="1:27" x14ac:dyDescent="0.3">
      <c r="B27" s="26" t="s">
        <v>25</v>
      </c>
    </row>
    <row r="28" spans="1:27" ht="17.25" thickBot="1" x14ac:dyDescent="0.35"/>
    <row r="29" spans="1:27" ht="16.899999999999999" customHeight="1" x14ac:dyDescent="0.3">
      <c r="B29" s="1" t="s">
        <v>0</v>
      </c>
      <c r="C29" s="64"/>
      <c r="D29" s="73"/>
      <c r="E29" s="1" t="s">
        <v>9</v>
      </c>
      <c r="F29" s="64"/>
      <c r="G29" s="73"/>
      <c r="H29" s="1" t="s">
        <v>21</v>
      </c>
      <c r="I29" s="64"/>
      <c r="J29" s="64"/>
      <c r="K29" s="65"/>
      <c r="L29" s="1" t="s">
        <v>22</v>
      </c>
      <c r="M29" s="64"/>
      <c r="N29" s="64"/>
      <c r="O29" s="65"/>
      <c r="P29" s="77" t="s">
        <v>47</v>
      </c>
      <c r="Q29" s="64"/>
      <c r="R29" s="64"/>
      <c r="S29" s="65"/>
      <c r="T29" s="1" t="s">
        <v>26</v>
      </c>
      <c r="U29" s="64"/>
      <c r="V29" s="64"/>
      <c r="W29" s="65"/>
      <c r="X29" s="66" t="s">
        <v>40</v>
      </c>
      <c r="Y29" s="64"/>
      <c r="Z29" s="64"/>
      <c r="AA29" s="65"/>
    </row>
    <row r="30" spans="1:27" ht="17.25" thickBot="1" x14ac:dyDescent="0.35">
      <c r="A30" s="1" t="s">
        <v>37</v>
      </c>
      <c r="B30" s="17" t="s">
        <v>31</v>
      </c>
      <c r="C30" s="20" t="s">
        <v>36</v>
      </c>
      <c r="D30" s="18" t="s">
        <v>1</v>
      </c>
      <c r="E30" s="17" t="s">
        <v>31</v>
      </c>
      <c r="F30" s="20" t="s">
        <v>36</v>
      </c>
      <c r="G30" s="18" t="s">
        <v>1</v>
      </c>
      <c r="H30" s="17" t="s">
        <v>29</v>
      </c>
      <c r="I30" s="20" t="s">
        <v>35</v>
      </c>
      <c r="J30" s="20" t="s">
        <v>28</v>
      </c>
      <c r="K30" s="19" t="s">
        <v>1</v>
      </c>
      <c r="L30" s="17" t="s">
        <v>29</v>
      </c>
      <c r="M30" s="20" t="s">
        <v>35</v>
      </c>
      <c r="N30" s="20" t="s">
        <v>28</v>
      </c>
      <c r="O30" s="19" t="s">
        <v>1</v>
      </c>
      <c r="P30" s="30" t="s">
        <v>29</v>
      </c>
      <c r="Q30" s="31" t="s">
        <v>35</v>
      </c>
      <c r="R30" s="31" t="s">
        <v>28</v>
      </c>
      <c r="S30" s="29" t="s">
        <v>1</v>
      </c>
      <c r="T30" s="17" t="s">
        <v>29</v>
      </c>
      <c r="U30" s="20" t="s">
        <v>35</v>
      </c>
      <c r="V30" s="20" t="s">
        <v>28</v>
      </c>
      <c r="W30" s="19" t="s">
        <v>1</v>
      </c>
      <c r="X30" s="21" t="s">
        <v>29</v>
      </c>
      <c r="Y30" s="20" t="s">
        <v>35</v>
      </c>
      <c r="Z30" s="20" t="s">
        <v>28</v>
      </c>
      <c r="AA30" s="19" t="s">
        <v>1</v>
      </c>
    </row>
    <row r="31" spans="1:27" x14ac:dyDescent="0.3">
      <c r="A31" s="45">
        <f>B31*C31/1000000</f>
        <v>0.28000000000000003</v>
      </c>
      <c r="B31" s="57">
        <v>700</v>
      </c>
      <c r="C31" s="57">
        <v>400</v>
      </c>
      <c r="D31" s="59">
        <v>1</v>
      </c>
      <c r="E31" s="5">
        <f>B31</f>
        <v>700</v>
      </c>
      <c r="F31" s="6">
        <f>C31</f>
        <v>400</v>
      </c>
      <c r="G31" s="7">
        <f>D31</f>
        <v>1</v>
      </c>
      <c r="H31" s="5">
        <v>0.6</v>
      </c>
      <c r="I31" s="6">
        <v>60</v>
      </c>
      <c r="J31" s="6">
        <f>E31-5</f>
        <v>695</v>
      </c>
      <c r="K31" s="7">
        <f>D31*2</f>
        <v>2</v>
      </c>
      <c r="L31" s="5">
        <v>0.6</v>
      </c>
      <c r="M31" s="6">
        <v>274</v>
      </c>
      <c r="N31" s="6">
        <f>B31-5</f>
        <v>695</v>
      </c>
      <c r="O31" s="7">
        <f>D31*2</f>
        <v>2</v>
      </c>
      <c r="P31" s="61">
        <v>1.6</v>
      </c>
      <c r="Q31" s="62">
        <v>60</v>
      </c>
      <c r="R31" s="62">
        <f>C31-35</f>
        <v>365</v>
      </c>
      <c r="S31" s="63">
        <f>G31*4</f>
        <v>4</v>
      </c>
      <c r="T31" s="5">
        <v>1.6</v>
      </c>
      <c r="U31" s="6">
        <v>50</v>
      </c>
      <c r="V31" s="6">
        <f>C31</f>
        <v>400</v>
      </c>
      <c r="W31" s="7">
        <f>D31*3</f>
        <v>3</v>
      </c>
      <c r="X31" s="14"/>
      <c r="Y31" s="6"/>
      <c r="Z31" s="6"/>
      <c r="AA31" s="7"/>
    </row>
    <row r="32" spans="1:27" x14ac:dyDescent="0.3">
      <c r="A32" s="45">
        <f t="shared" ref="A32:A40" si="9">B32*C32/1000000</f>
        <v>0.42499999999999999</v>
      </c>
      <c r="B32" s="57">
        <v>850</v>
      </c>
      <c r="C32" s="57">
        <v>500</v>
      </c>
      <c r="D32" s="59">
        <v>1</v>
      </c>
      <c r="E32" s="8">
        <f>B32</f>
        <v>850</v>
      </c>
      <c r="F32" s="9">
        <f>C32</f>
        <v>500</v>
      </c>
      <c r="G32" s="10">
        <f t="shared" ref="G32:G40" si="10">D32</f>
        <v>1</v>
      </c>
      <c r="H32" s="8">
        <v>0.6</v>
      </c>
      <c r="I32" s="9">
        <v>60</v>
      </c>
      <c r="J32" s="9">
        <f t="shared" ref="J32:J40" si="11">E32-5</f>
        <v>845</v>
      </c>
      <c r="K32" s="10">
        <f t="shared" ref="K32:K40" si="12">D32*2</f>
        <v>2</v>
      </c>
      <c r="L32" s="8">
        <v>0.6</v>
      </c>
      <c r="M32" s="9">
        <v>274</v>
      </c>
      <c r="N32" s="9">
        <f t="shared" ref="N32:N40" si="13">B32-5</f>
        <v>845</v>
      </c>
      <c r="O32" s="10">
        <f t="shared" ref="O32:O40" si="14">D32*2</f>
        <v>2</v>
      </c>
      <c r="P32" s="8">
        <v>1.6</v>
      </c>
      <c r="Q32" s="9">
        <v>60</v>
      </c>
      <c r="R32" s="9">
        <f t="shared" ref="R32:R40" si="15">C32-35</f>
        <v>465</v>
      </c>
      <c r="S32" s="10">
        <f t="shared" ref="S32:S40" si="16">G32*4</f>
        <v>4</v>
      </c>
      <c r="T32" s="8">
        <v>1.6</v>
      </c>
      <c r="U32" s="9">
        <v>50</v>
      </c>
      <c r="V32" s="9">
        <f t="shared" ref="V32:V40" si="17">C32</f>
        <v>500</v>
      </c>
      <c r="W32" s="10">
        <f t="shared" ref="W32:W40" si="18">D32*3</f>
        <v>3</v>
      </c>
      <c r="X32" s="15"/>
      <c r="Y32" s="9"/>
      <c r="Z32" s="9"/>
      <c r="AA32" s="10"/>
    </row>
    <row r="33" spans="1:27" x14ac:dyDescent="0.3">
      <c r="A33" s="45">
        <f t="shared" si="9"/>
        <v>0</v>
      </c>
      <c r="B33" s="58"/>
      <c r="C33" s="58"/>
      <c r="D33" s="59"/>
      <c r="E33" s="8">
        <f t="shared" ref="E33:F40" si="19">B33</f>
        <v>0</v>
      </c>
      <c r="F33" s="9">
        <f t="shared" si="19"/>
        <v>0</v>
      </c>
      <c r="G33" s="10">
        <f t="shared" si="10"/>
        <v>0</v>
      </c>
      <c r="H33" s="8">
        <v>0.6</v>
      </c>
      <c r="I33" s="9">
        <v>60</v>
      </c>
      <c r="J33" s="9">
        <f t="shared" si="11"/>
        <v>-5</v>
      </c>
      <c r="K33" s="10">
        <f t="shared" si="12"/>
        <v>0</v>
      </c>
      <c r="L33" s="8">
        <v>0.6</v>
      </c>
      <c r="M33" s="9">
        <v>274</v>
      </c>
      <c r="N33" s="9">
        <f t="shared" si="13"/>
        <v>-5</v>
      </c>
      <c r="O33" s="10">
        <f t="shared" si="14"/>
        <v>0</v>
      </c>
      <c r="P33" s="8">
        <v>1.6</v>
      </c>
      <c r="Q33" s="9">
        <v>60</v>
      </c>
      <c r="R33" s="9">
        <f t="shared" si="15"/>
        <v>-35</v>
      </c>
      <c r="S33" s="10">
        <f t="shared" si="16"/>
        <v>0</v>
      </c>
      <c r="T33" s="8">
        <v>1.6</v>
      </c>
      <c r="U33" s="9">
        <v>50</v>
      </c>
      <c r="V33" s="9">
        <f t="shared" si="17"/>
        <v>0</v>
      </c>
      <c r="W33" s="10">
        <f t="shared" si="18"/>
        <v>0</v>
      </c>
      <c r="X33" s="15"/>
      <c r="Y33" s="9"/>
      <c r="Z33" s="9"/>
      <c r="AA33" s="10"/>
    </row>
    <row r="34" spans="1:27" x14ac:dyDescent="0.3">
      <c r="A34" s="45">
        <f t="shared" si="9"/>
        <v>0</v>
      </c>
      <c r="B34" s="58"/>
      <c r="C34" s="58"/>
      <c r="D34" s="60"/>
      <c r="E34" s="8">
        <f t="shared" si="19"/>
        <v>0</v>
      </c>
      <c r="F34" s="9">
        <f t="shared" si="19"/>
        <v>0</v>
      </c>
      <c r="G34" s="10">
        <f t="shared" si="10"/>
        <v>0</v>
      </c>
      <c r="H34" s="8">
        <v>0.6</v>
      </c>
      <c r="I34" s="9">
        <v>60</v>
      </c>
      <c r="J34" s="9">
        <f t="shared" si="11"/>
        <v>-5</v>
      </c>
      <c r="K34" s="10">
        <f t="shared" si="12"/>
        <v>0</v>
      </c>
      <c r="L34" s="8">
        <v>0.6</v>
      </c>
      <c r="M34" s="9">
        <v>274</v>
      </c>
      <c r="N34" s="9">
        <f t="shared" si="13"/>
        <v>-5</v>
      </c>
      <c r="O34" s="10">
        <f t="shared" si="14"/>
        <v>0</v>
      </c>
      <c r="P34" s="8">
        <v>1.6</v>
      </c>
      <c r="Q34" s="9">
        <v>60</v>
      </c>
      <c r="R34" s="9">
        <f t="shared" si="15"/>
        <v>-35</v>
      </c>
      <c r="S34" s="10">
        <f t="shared" si="16"/>
        <v>0</v>
      </c>
      <c r="T34" s="8">
        <v>1.6</v>
      </c>
      <c r="U34" s="9">
        <v>50</v>
      </c>
      <c r="V34" s="9">
        <f t="shared" si="17"/>
        <v>0</v>
      </c>
      <c r="W34" s="10">
        <f t="shared" si="18"/>
        <v>0</v>
      </c>
      <c r="X34" s="15"/>
      <c r="Y34" s="9"/>
      <c r="Z34" s="9"/>
      <c r="AA34" s="10"/>
    </row>
    <row r="35" spans="1:27" x14ac:dyDescent="0.3">
      <c r="A35" s="45">
        <f t="shared" si="9"/>
        <v>0</v>
      </c>
      <c r="B35" s="58"/>
      <c r="C35" s="58"/>
      <c r="D35" s="60"/>
      <c r="E35" s="8">
        <f t="shared" si="19"/>
        <v>0</v>
      </c>
      <c r="F35" s="9">
        <f t="shared" si="19"/>
        <v>0</v>
      </c>
      <c r="G35" s="10">
        <f t="shared" si="10"/>
        <v>0</v>
      </c>
      <c r="H35" s="8">
        <v>0.6</v>
      </c>
      <c r="I35" s="9">
        <v>60</v>
      </c>
      <c r="J35" s="9">
        <f t="shared" si="11"/>
        <v>-5</v>
      </c>
      <c r="K35" s="10">
        <f t="shared" si="12"/>
        <v>0</v>
      </c>
      <c r="L35" s="8">
        <v>0.6</v>
      </c>
      <c r="M35" s="9">
        <v>274</v>
      </c>
      <c r="N35" s="9">
        <f t="shared" si="13"/>
        <v>-5</v>
      </c>
      <c r="O35" s="10">
        <f t="shared" si="14"/>
        <v>0</v>
      </c>
      <c r="P35" s="8">
        <v>1.6</v>
      </c>
      <c r="Q35" s="9">
        <v>60</v>
      </c>
      <c r="R35" s="9">
        <f t="shared" si="15"/>
        <v>-35</v>
      </c>
      <c r="S35" s="10">
        <f t="shared" si="16"/>
        <v>0</v>
      </c>
      <c r="T35" s="8">
        <v>1.6</v>
      </c>
      <c r="U35" s="9">
        <v>50</v>
      </c>
      <c r="V35" s="9">
        <f t="shared" si="17"/>
        <v>0</v>
      </c>
      <c r="W35" s="10">
        <f t="shared" si="18"/>
        <v>0</v>
      </c>
      <c r="X35" s="15"/>
      <c r="Y35" s="9"/>
      <c r="Z35" s="9"/>
      <c r="AA35" s="10"/>
    </row>
    <row r="36" spans="1:27" x14ac:dyDescent="0.3">
      <c r="A36" s="45">
        <f t="shared" si="9"/>
        <v>0</v>
      </c>
      <c r="B36" s="58"/>
      <c r="C36" s="58"/>
      <c r="D36" s="60"/>
      <c r="E36" s="8">
        <f t="shared" si="19"/>
        <v>0</v>
      </c>
      <c r="F36" s="9">
        <f t="shared" si="19"/>
        <v>0</v>
      </c>
      <c r="G36" s="10">
        <f t="shared" si="10"/>
        <v>0</v>
      </c>
      <c r="H36" s="8">
        <v>0.6</v>
      </c>
      <c r="I36" s="9">
        <v>60</v>
      </c>
      <c r="J36" s="9">
        <f t="shared" si="11"/>
        <v>-5</v>
      </c>
      <c r="K36" s="10">
        <f t="shared" si="12"/>
        <v>0</v>
      </c>
      <c r="L36" s="8">
        <v>0.6</v>
      </c>
      <c r="M36" s="9">
        <v>274</v>
      </c>
      <c r="N36" s="9">
        <f t="shared" si="13"/>
        <v>-5</v>
      </c>
      <c r="O36" s="10">
        <f t="shared" si="14"/>
        <v>0</v>
      </c>
      <c r="P36" s="8">
        <v>1.6</v>
      </c>
      <c r="Q36" s="9">
        <v>60</v>
      </c>
      <c r="R36" s="9">
        <f t="shared" si="15"/>
        <v>-35</v>
      </c>
      <c r="S36" s="10">
        <f t="shared" si="16"/>
        <v>0</v>
      </c>
      <c r="T36" s="8">
        <v>1.6</v>
      </c>
      <c r="U36" s="9">
        <v>50</v>
      </c>
      <c r="V36" s="9">
        <f t="shared" si="17"/>
        <v>0</v>
      </c>
      <c r="W36" s="10">
        <f t="shared" si="18"/>
        <v>0</v>
      </c>
      <c r="X36" s="15"/>
      <c r="Y36" s="9"/>
      <c r="Z36" s="9"/>
      <c r="AA36" s="10"/>
    </row>
    <row r="37" spans="1:27" x14ac:dyDescent="0.3">
      <c r="A37" s="45">
        <f t="shared" si="9"/>
        <v>0</v>
      </c>
      <c r="B37" s="58"/>
      <c r="C37" s="58"/>
      <c r="D37" s="60"/>
      <c r="E37" s="8">
        <f t="shared" si="19"/>
        <v>0</v>
      </c>
      <c r="F37" s="9">
        <f t="shared" si="19"/>
        <v>0</v>
      </c>
      <c r="G37" s="10">
        <f t="shared" si="10"/>
        <v>0</v>
      </c>
      <c r="H37" s="8">
        <v>0.6</v>
      </c>
      <c r="I37" s="9">
        <v>60</v>
      </c>
      <c r="J37" s="9">
        <f t="shared" si="11"/>
        <v>-5</v>
      </c>
      <c r="K37" s="10">
        <f t="shared" si="12"/>
        <v>0</v>
      </c>
      <c r="L37" s="8">
        <v>0.6</v>
      </c>
      <c r="M37" s="9">
        <v>274</v>
      </c>
      <c r="N37" s="9">
        <f t="shared" si="13"/>
        <v>-5</v>
      </c>
      <c r="O37" s="10">
        <f t="shared" si="14"/>
        <v>0</v>
      </c>
      <c r="P37" s="8">
        <v>1.6</v>
      </c>
      <c r="Q37" s="9">
        <v>60</v>
      </c>
      <c r="R37" s="9">
        <f t="shared" si="15"/>
        <v>-35</v>
      </c>
      <c r="S37" s="10">
        <f t="shared" si="16"/>
        <v>0</v>
      </c>
      <c r="T37" s="8">
        <v>1.6</v>
      </c>
      <c r="U37" s="9">
        <v>50</v>
      </c>
      <c r="V37" s="9">
        <f t="shared" si="17"/>
        <v>0</v>
      </c>
      <c r="W37" s="10">
        <f t="shared" si="18"/>
        <v>0</v>
      </c>
      <c r="X37" s="15"/>
      <c r="Y37" s="9"/>
      <c r="Z37" s="9"/>
      <c r="AA37" s="10"/>
    </row>
    <row r="38" spans="1:27" x14ac:dyDescent="0.3">
      <c r="A38" s="45">
        <f t="shared" si="9"/>
        <v>0</v>
      </c>
      <c r="B38" s="58"/>
      <c r="C38" s="58"/>
      <c r="D38" s="60"/>
      <c r="E38" s="8">
        <f t="shared" si="19"/>
        <v>0</v>
      </c>
      <c r="F38" s="9">
        <f t="shared" si="19"/>
        <v>0</v>
      </c>
      <c r="G38" s="10">
        <f t="shared" si="10"/>
        <v>0</v>
      </c>
      <c r="H38" s="8">
        <v>0.6</v>
      </c>
      <c r="I38" s="9">
        <v>60</v>
      </c>
      <c r="J38" s="9">
        <f t="shared" si="11"/>
        <v>-5</v>
      </c>
      <c r="K38" s="10">
        <f t="shared" si="12"/>
        <v>0</v>
      </c>
      <c r="L38" s="8">
        <v>0.6</v>
      </c>
      <c r="M38" s="9">
        <v>274</v>
      </c>
      <c r="N38" s="9">
        <f t="shared" si="13"/>
        <v>-5</v>
      </c>
      <c r="O38" s="10">
        <f t="shared" si="14"/>
        <v>0</v>
      </c>
      <c r="P38" s="8">
        <v>1.6</v>
      </c>
      <c r="Q38" s="9">
        <v>60</v>
      </c>
      <c r="R38" s="9">
        <f t="shared" si="15"/>
        <v>-35</v>
      </c>
      <c r="S38" s="10">
        <f t="shared" si="16"/>
        <v>0</v>
      </c>
      <c r="T38" s="8">
        <v>1.6</v>
      </c>
      <c r="U38" s="9">
        <v>50</v>
      </c>
      <c r="V38" s="9">
        <f t="shared" si="17"/>
        <v>0</v>
      </c>
      <c r="W38" s="10">
        <f t="shared" si="18"/>
        <v>0</v>
      </c>
      <c r="X38" s="15"/>
      <c r="Y38" s="9"/>
      <c r="Z38" s="9"/>
      <c r="AA38" s="10"/>
    </row>
    <row r="39" spans="1:27" x14ac:dyDescent="0.3">
      <c r="A39" s="45">
        <f t="shared" si="9"/>
        <v>0</v>
      </c>
      <c r="B39" s="58"/>
      <c r="C39" s="58"/>
      <c r="D39" s="60"/>
      <c r="E39" s="8">
        <f t="shared" si="19"/>
        <v>0</v>
      </c>
      <c r="F39" s="9">
        <f t="shared" si="19"/>
        <v>0</v>
      </c>
      <c r="G39" s="10">
        <f t="shared" si="10"/>
        <v>0</v>
      </c>
      <c r="H39" s="8">
        <v>0.6</v>
      </c>
      <c r="I39" s="9">
        <v>60</v>
      </c>
      <c r="J39" s="9">
        <f t="shared" si="11"/>
        <v>-5</v>
      </c>
      <c r="K39" s="10">
        <f t="shared" si="12"/>
        <v>0</v>
      </c>
      <c r="L39" s="8">
        <v>0.6</v>
      </c>
      <c r="M39" s="9">
        <v>274</v>
      </c>
      <c r="N39" s="9">
        <f t="shared" si="13"/>
        <v>-5</v>
      </c>
      <c r="O39" s="10">
        <f t="shared" si="14"/>
        <v>0</v>
      </c>
      <c r="P39" s="8">
        <v>1.6</v>
      </c>
      <c r="Q39" s="9">
        <v>60</v>
      </c>
      <c r="R39" s="9">
        <f t="shared" si="15"/>
        <v>-35</v>
      </c>
      <c r="S39" s="10">
        <f t="shared" si="16"/>
        <v>0</v>
      </c>
      <c r="T39" s="8">
        <v>1.6</v>
      </c>
      <c r="U39" s="9">
        <v>50</v>
      </c>
      <c r="V39" s="9">
        <f t="shared" si="17"/>
        <v>0</v>
      </c>
      <c r="W39" s="10">
        <f t="shared" si="18"/>
        <v>0</v>
      </c>
      <c r="X39" s="15"/>
      <c r="Y39" s="9"/>
      <c r="Z39" s="9"/>
      <c r="AA39" s="10"/>
    </row>
    <row r="40" spans="1:27" ht="17.25" thickBot="1" x14ac:dyDescent="0.35">
      <c r="A40" s="45">
        <f t="shared" si="9"/>
        <v>0</v>
      </c>
      <c r="B40" s="58"/>
      <c r="C40" s="58"/>
      <c r="D40" s="60"/>
      <c r="E40" s="11">
        <f t="shared" si="19"/>
        <v>0</v>
      </c>
      <c r="F40" s="12">
        <f t="shared" si="19"/>
        <v>0</v>
      </c>
      <c r="G40" s="13">
        <f t="shared" si="10"/>
        <v>0</v>
      </c>
      <c r="H40" s="11">
        <v>0.6</v>
      </c>
      <c r="I40" s="12">
        <v>60</v>
      </c>
      <c r="J40" s="12">
        <f t="shared" si="11"/>
        <v>-5</v>
      </c>
      <c r="K40" s="13">
        <f t="shared" si="12"/>
        <v>0</v>
      </c>
      <c r="L40" s="11">
        <v>0.6</v>
      </c>
      <c r="M40" s="12">
        <v>274</v>
      </c>
      <c r="N40" s="12">
        <f t="shared" si="13"/>
        <v>-5</v>
      </c>
      <c r="O40" s="13">
        <f t="shared" si="14"/>
        <v>0</v>
      </c>
      <c r="P40" s="8">
        <v>1.6</v>
      </c>
      <c r="Q40" s="12">
        <v>60</v>
      </c>
      <c r="R40" s="9">
        <f t="shared" si="15"/>
        <v>-35</v>
      </c>
      <c r="S40" s="13">
        <f t="shared" si="16"/>
        <v>0</v>
      </c>
      <c r="T40" s="11">
        <v>1.6</v>
      </c>
      <c r="U40" s="12">
        <v>50</v>
      </c>
      <c r="V40" s="12">
        <f t="shared" si="17"/>
        <v>0</v>
      </c>
      <c r="W40" s="13">
        <f t="shared" si="18"/>
        <v>0</v>
      </c>
      <c r="X40" s="16"/>
      <c r="Y40" s="12"/>
      <c r="Z40" s="12"/>
      <c r="AA40" s="13"/>
    </row>
    <row r="41" spans="1:27" ht="16.899999999999999" customHeight="1" x14ac:dyDescent="0.3">
      <c r="B41" s="67"/>
      <c r="C41" s="1"/>
      <c r="D41" s="1"/>
      <c r="E41" s="1"/>
      <c r="F41" s="1"/>
      <c r="G41" s="1"/>
      <c r="H41" s="70" t="s">
        <v>13</v>
      </c>
      <c r="I41" s="71"/>
      <c r="J41" s="71"/>
      <c r="K41" s="72"/>
      <c r="L41" s="70" t="s">
        <v>11</v>
      </c>
      <c r="M41" s="71"/>
      <c r="N41" s="71"/>
      <c r="O41" s="72"/>
      <c r="P41" s="70" t="s">
        <v>14</v>
      </c>
      <c r="Q41" s="71"/>
      <c r="R41" s="76"/>
      <c r="S41" s="72"/>
      <c r="T41" s="70" t="s">
        <v>6</v>
      </c>
      <c r="U41" s="71"/>
      <c r="V41" s="71"/>
      <c r="W41" s="72"/>
      <c r="X41" s="70" t="s">
        <v>3</v>
      </c>
      <c r="Y41" s="71"/>
      <c r="Z41" s="71"/>
      <c r="AA41" s="72"/>
    </row>
    <row r="42" spans="1:27" ht="17.25" thickBot="1" x14ac:dyDescent="0.35">
      <c r="B42" s="67"/>
      <c r="C42" s="1"/>
      <c r="D42" s="1"/>
      <c r="E42" s="1"/>
      <c r="F42" s="1"/>
      <c r="G42" s="1"/>
      <c r="H42" s="17" t="s">
        <v>29</v>
      </c>
      <c r="I42" s="20" t="s">
        <v>35</v>
      </c>
      <c r="J42" s="20" t="s">
        <v>28</v>
      </c>
      <c r="K42" s="19" t="s">
        <v>1</v>
      </c>
      <c r="L42" s="17" t="s">
        <v>29</v>
      </c>
      <c r="M42" s="20" t="s">
        <v>35</v>
      </c>
      <c r="N42" s="20" t="s">
        <v>28</v>
      </c>
      <c r="O42" s="29" t="s">
        <v>27</v>
      </c>
      <c r="P42" s="17" t="s">
        <v>29</v>
      </c>
      <c r="Q42" s="20" t="s">
        <v>35</v>
      </c>
      <c r="R42" s="20" t="s">
        <v>28</v>
      </c>
      <c r="S42" s="19" t="s">
        <v>1</v>
      </c>
      <c r="T42" s="30" t="s">
        <v>29</v>
      </c>
      <c r="U42" s="31" t="s">
        <v>35</v>
      </c>
      <c r="V42" s="31" t="s">
        <v>46</v>
      </c>
      <c r="W42" s="29" t="s">
        <v>27</v>
      </c>
      <c r="X42" s="30" t="s">
        <v>29</v>
      </c>
      <c r="Y42" s="31" t="s">
        <v>35</v>
      </c>
      <c r="Z42" s="31" t="s">
        <v>46</v>
      </c>
      <c r="AA42" s="29" t="s">
        <v>27</v>
      </c>
    </row>
    <row r="43" spans="1:27" x14ac:dyDescent="0.3">
      <c r="B43" s="67"/>
      <c r="C43" s="1"/>
      <c r="D43" s="1"/>
      <c r="E43" s="1"/>
      <c r="F43" s="1"/>
      <c r="G43" s="1"/>
      <c r="H43" s="5">
        <v>0.5</v>
      </c>
      <c r="I43" s="6">
        <v>310</v>
      </c>
      <c r="J43" s="6">
        <v>1000</v>
      </c>
      <c r="K43" s="32">
        <f>((_xlfn.IFS((B31+100)&lt;=500,0.5,(B31+100)&lt;=1000,1,(B31+100)&lt;=1500,1.5,(B31+100)&lt;=2000,2,(B31+100)&lt;=2500,2.5,(B31+100)&lt;=3000,3)*2+(_xlfn.IFS((C31+20)&lt;=500,0.5,(C31+20)&lt;=1000,1,(C31+20)&lt;=1500,1.5,(C31+20)&lt;=2000,2,(C31+20)&lt;=2500,2.5,(C31+20)&lt;=3000,3))*2))*D31</f>
        <v>3</v>
      </c>
      <c r="L43" s="5">
        <v>25</v>
      </c>
      <c r="M43" s="6">
        <v>300</v>
      </c>
      <c r="N43" s="6">
        <f>(((B31+60)*2)+(C31*2))*D31</f>
        <v>2320</v>
      </c>
      <c r="O43" s="38">
        <f>N43/7320</f>
        <v>0.31693989071038253</v>
      </c>
      <c r="P43" s="5">
        <v>0.5</v>
      </c>
      <c r="Q43" s="6">
        <v>250</v>
      </c>
      <c r="R43" s="6">
        <v>1000</v>
      </c>
      <c r="S43" s="32">
        <f>((_xlfn.IFS((B31+340)&lt;=500,0.5,(B31+340)&lt;=1000,1,(B31+340)&lt;=1500,1.5,(B31+340)&lt;=2000,2,(B31+340)&lt;=2500,2.5,(B31+340)&lt;=3000,3)*2+(_xlfn.IFS((C31+340)&lt;=500,0.5,(C31+340)&lt;=1000,1,(C31+340)&lt;=1500,1.5,(C31+340)&lt;=2000,2,(C31+340)&lt;=2500,2.5,(C31+340)&lt;=3000,3))*2))*D31</f>
        <v>5</v>
      </c>
      <c r="T43" s="5">
        <v>50</v>
      </c>
      <c r="U43" s="6">
        <v>600</v>
      </c>
      <c r="V43" s="6">
        <f>((B31+C31)*2+300)*D31</f>
        <v>2500</v>
      </c>
      <c r="W43" s="38">
        <f>V43/3600</f>
        <v>0.69444444444444442</v>
      </c>
      <c r="X43" s="5">
        <v>25</v>
      </c>
      <c r="Y43" s="6">
        <v>1400</v>
      </c>
      <c r="Z43" s="6">
        <f>((B31+C31)*2+300)*D31</f>
        <v>2500</v>
      </c>
      <c r="AA43" s="38">
        <f>Z43/20000</f>
        <v>0.125</v>
      </c>
    </row>
    <row r="44" spans="1:27" x14ac:dyDescent="0.3">
      <c r="B44" s="67"/>
      <c r="C44" s="1"/>
      <c r="D44" s="1"/>
      <c r="E44" s="1"/>
      <c r="F44" s="1"/>
      <c r="G44" s="1"/>
      <c r="H44" s="8">
        <v>0.5</v>
      </c>
      <c r="I44" s="9">
        <v>310</v>
      </c>
      <c r="J44" s="9">
        <v>1000</v>
      </c>
      <c r="K44" s="33">
        <f t="shared" ref="K44:K52" si="20">((_xlfn.IFS((B32+100)&lt;=500,0.5,(B32+100)&lt;=1000,1,(B32+100)&lt;=1500,1.5,(B32+100)&lt;=2000,2,(B32+100)&lt;=2500,2.5,(B32+100)&lt;=3000,3)*2+(_xlfn.IFS((C32+20)&lt;=500,0.5,(C32+20)&lt;=1000,1,(C32+20)&lt;=1500,1.5,(C32+20)&lt;=2000,2,(C32+20)&lt;=2500,2.5,(C32+20)&lt;=3000,3))*2))*D32</f>
        <v>4</v>
      </c>
      <c r="L44" s="8">
        <v>25</v>
      </c>
      <c r="M44" s="9">
        <v>300</v>
      </c>
      <c r="N44" s="9">
        <f t="shared" ref="N44:N52" si="21">(((B32+60)*2)+(C32*2))*D32</f>
        <v>2820</v>
      </c>
      <c r="O44" s="39">
        <f t="shared" ref="O44:O52" si="22">N44/7320</f>
        <v>0.38524590163934425</v>
      </c>
      <c r="P44" s="8">
        <v>0.5</v>
      </c>
      <c r="Q44" s="9">
        <v>250</v>
      </c>
      <c r="R44" s="9">
        <v>1000</v>
      </c>
      <c r="S44" s="33">
        <f t="shared" ref="S44:S52" si="23">((_xlfn.IFS((B32+340)&lt;=500,0.5,(B32+340)&lt;=1000,1,(B32+340)&lt;=1500,1.5,(B32+340)&lt;=2000,2,(B32+340)&lt;=2500,2.5,(B32+340)&lt;=3000,3)*2+(_xlfn.IFS((C32+340)&lt;=500,0.5,(C32+340)&lt;=1000,1,(C32+340)&lt;=1500,1.5,(C32+340)&lt;=2000,2,(C32+340)&lt;=2500,2.5,(C32+340)&lt;=3000,3))*2))*D32</f>
        <v>5</v>
      </c>
      <c r="T44" s="8">
        <v>50</v>
      </c>
      <c r="U44" s="9">
        <v>600</v>
      </c>
      <c r="V44" s="9">
        <f t="shared" ref="V44:V52" si="24">((B32+C32)*2+300)*D32</f>
        <v>3000</v>
      </c>
      <c r="W44" s="39">
        <f t="shared" ref="W44:W52" si="25">V44/3600</f>
        <v>0.83333333333333337</v>
      </c>
      <c r="X44" s="8">
        <v>25</v>
      </c>
      <c r="Y44" s="9">
        <v>1400</v>
      </c>
      <c r="Z44" s="9">
        <f t="shared" ref="Z44:Z52" si="26">((B32+C32)*2+300)*D32</f>
        <v>3000</v>
      </c>
      <c r="AA44" s="39">
        <f t="shared" ref="AA44:AA52" si="27">Z44/20000</f>
        <v>0.15</v>
      </c>
    </row>
    <row r="45" spans="1:27" x14ac:dyDescent="0.3">
      <c r="B45" s="67"/>
      <c r="C45" s="1"/>
      <c r="D45" s="1"/>
      <c r="E45" s="1"/>
      <c r="F45" s="1"/>
      <c r="G45" s="1"/>
      <c r="H45" s="8">
        <v>0.5</v>
      </c>
      <c r="I45" s="9">
        <v>310</v>
      </c>
      <c r="J45" s="9">
        <v>1000</v>
      </c>
      <c r="K45" s="33">
        <f t="shared" si="20"/>
        <v>0</v>
      </c>
      <c r="L45" s="8">
        <v>25</v>
      </c>
      <c r="M45" s="9">
        <v>300</v>
      </c>
      <c r="N45" s="9">
        <f t="shared" si="21"/>
        <v>0</v>
      </c>
      <c r="O45" s="39">
        <f t="shared" si="22"/>
        <v>0</v>
      </c>
      <c r="P45" s="8">
        <v>0.5</v>
      </c>
      <c r="Q45" s="9">
        <v>250</v>
      </c>
      <c r="R45" s="9">
        <v>1000</v>
      </c>
      <c r="S45" s="33">
        <f t="shared" si="23"/>
        <v>0</v>
      </c>
      <c r="T45" s="8">
        <v>50</v>
      </c>
      <c r="U45" s="9">
        <v>600</v>
      </c>
      <c r="V45" s="9">
        <f t="shared" si="24"/>
        <v>0</v>
      </c>
      <c r="W45" s="39">
        <f t="shared" si="25"/>
        <v>0</v>
      </c>
      <c r="X45" s="8">
        <v>25</v>
      </c>
      <c r="Y45" s="9">
        <v>1400</v>
      </c>
      <c r="Z45" s="9">
        <f t="shared" si="26"/>
        <v>0</v>
      </c>
      <c r="AA45" s="39">
        <f t="shared" si="27"/>
        <v>0</v>
      </c>
    </row>
    <row r="46" spans="1:27" x14ac:dyDescent="0.3">
      <c r="B46" s="67"/>
      <c r="C46" s="1"/>
      <c r="D46" s="1"/>
      <c r="E46" s="1"/>
      <c r="F46" s="1"/>
      <c r="G46" s="1"/>
      <c r="H46" s="8">
        <v>0.5</v>
      </c>
      <c r="I46" s="9">
        <v>310</v>
      </c>
      <c r="J46" s="9">
        <v>1000</v>
      </c>
      <c r="K46" s="33">
        <f t="shared" si="20"/>
        <v>0</v>
      </c>
      <c r="L46" s="8">
        <v>25</v>
      </c>
      <c r="M46" s="9">
        <v>300</v>
      </c>
      <c r="N46" s="9">
        <f t="shared" si="21"/>
        <v>0</v>
      </c>
      <c r="O46" s="39">
        <f t="shared" si="22"/>
        <v>0</v>
      </c>
      <c r="P46" s="8">
        <v>0.5</v>
      </c>
      <c r="Q46" s="9">
        <v>250</v>
      </c>
      <c r="R46" s="9">
        <v>1000</v>
      </c>
      <c r="S46" s="33">
        <f t="shared" si="23"/>
        <v>0</v>
      </c>
      <c r="T46" s="8">
        <v>50</v>
      </c>
      <c r="U46" s="9">
        <v>600</v>
      </c>
      <c r="V46" s="9">
        <f t="shared" si="24"/>
        <v>0</v>
      </c>
      <c r="W46" s="39">
        <f t="shared" si="25"/>
        <v>0</v>
      </c>
      <c r="X46" s="8">
        <v>25</v>
      </c>
      <c r="Y46" s="9">
        <v>1400</v>
      </c>
      <c r="Z46" s="9">
        <f t="shared" si="26"/>
        <v>0</v>
      </c>
      <c r="AA46" s="39">
        <f t="shared" si="27"/>
        <v>0</v>
      </c>
    </row>
    <row r="47" spans="1:27" x14ac:dyDescent="0.3">
      <c r="B47" s="67"/>
      <c r="C47" s="1"/>
      <c r="D47" s="1"/>
      <c r="E47" s="1"/>
      <c r="F47" s="1"/>
      <c r="G47" s="1"/>
      <c r="H47" s="8">
        <v>0.5</v>
      </c>
      <c r="I47" s="9">
        <v>310</v>
      </c>
      <c r="J47" s="9">
        <v>1000</v>
      </c>
      <c r="K47" s="33">
        <f t="shared" si="20"/>
        <v>0</v>
      </c>
      <c r="L47" s="8">
        <v>25</v>
      </c>
      <c r="M47" s="9">
        <v>300</v>
      </c>
      <c r="N47" s="9">
        <f t="shared" si="21"/>
        <v>0</v>
      </c>
      <c r="O47" s="39">
        <f t="shared" si="22"/>
        <v>0</v>
      </c>
      <c r="P47" s="8">
        <v>0.5</v>
      </c>
      <c r="Q47" s="9">
        <v>250</v>
      </c>
      <c r="R47" s="9">
        <v>1000</v>
      </c>
      <c r="S47" s="33">
        <f t="shared" si="23"/>
        <v>0</v>
      </c>
      <c r="T47" s="8">
        <v>50</v>
      </c>
      <c r="U47" s="9">
        <v>600</v>
      </c>
      <c r="V47" s="9">
        <f t="shared" si="24"/>
        <v>0</v>
      </c>
      <c r="W47" s="39">
        <f t="shared" si="25"/>
        <v>0</v>
      </c>
      <c r="X47" s="8">
        <v>25</v>
      </c>
      <c r="Y47" s="9">
        <v>1400</v>
      </c>
      <c r="Z47" s="9">
        <f t="shared" si="26"/>
        <v>0</v>
      </c>
      <c r="AA47" s="39">
        <f t="shared" si="27"/>
        <v>0</v>
      </c>
    </row>
    <row r="48" spans="1:27" x14ac:dyDescent="0.3">
      <c r="B48" s="67"/>
      <c r="C48" s="1"/>
      <c r="D48" s="1"/>
      <c r="E48" s="1"/>
      <c r="F48" s="1"/>
      <c r="G48" s="1"/>
      <c r="H48" s="8">
        <v>0.5</v>
      </c>
      <c r="I48" s="9">
        <v>310</v>
      </c>
      <c r="J48" s="9">
        <v>1000</v>
      </c>
      <c r="K48" s="33">
        <f t="shared" si="20"/>
        <v>0</v>
      </c>
      <c r="L48" s="8">
        <v>25</v>
      </c>
      <c r="M48" s="9">
        <v>300</v>
      </c>
      <c r="N48" s="9">
        <f t="shared" si="21"/>
        <v>0</v>
      </c>
      <c r="O48" s="39">
        <f t="shared" si="22"/>
        <v>0</v>
      </c>
      <c r="P48" s="8">
        <v>0.5</v>
      </c>
      <c r="Q48" s="9">
        <v>250</v>
      </c>
      <c r="R48" s="9">
        <v>1000</v>
      </c>
      <c r="S48" s="33">
        <f t="shared" si="23"/>
        <v>0</v>
      </c>
      <c r="T48" s="8">
        <v>50</v>
      </c>
      <c r="U48" s="9">
        <v>600</v>
      </c>
      <c r="V48" s="9">
        <f t="shared" si="24"/>
        <v>0</v>
      </c>
      <c r="W48" s="39">
        <f t="shared" si="25"/>
        <v>0</v>
      </c>
      <c r="X48" s="8">
        <v>25</v>
      </c>
      <c r="Y48" s="9">
        <v>1400</v>
      </c>
      <c r="Z48" s="9">
        <f t="shared" si="26"/>
        <v>0</v>
      </c>
      <c r="AA48" s="39">
        <f t="shared" si="27"/>
        <v>0</v>
      </c>
    </row>
    <row r="49" spans="1:31" x14ac:dyDescent="0.3">
      <c r="B49" s="67"/>
      <c r="C49" s="1"/>
      <c r="D49" s="1"/>
      <c r="E49" s="1"/>
      <c r="F49" s="1"/>
      <c r="G49" s="1"/>
      <c r="H49" s="8">
        <v>0.5</v>
      </c>
      <c r="I49" s="9">
        <v>310</v>
      </c>
      <c r="J49" s="9">
        <v>1000</v>
      </c>
      <c r="K49" s="33">
        <f t="shared" si="20"/>
        <v>0</v>
      </c>
      <c r="L49" s="8">
        <v>25</v>
      </c>
      <c r="M49" s="9">
        <v>300</v>
      </c>
      <c r="N49" s="9">
        <f t="shared" si="21"/>
        <v>0</v>
      </c>
      <c r="O49" s="39">
        <f t="shared" si="22"/>
        <v>0</v>
      </c>
      <c r="P49" s="8">
        <v>0.5</v>
      </c>
      <c r="Q49" s="9">
        <v>250</v>
      </c>
      <c r="R49" s="9">
        <v>1000</v>
      </c>
      <c r="S49" s="33">
        <f t="shared" si="23"/>
        <v>0</v>
      </c>
      <c r="T49" s="8">
        <v>50</v>
      </c>
      <c r="U49" s="9">
        <v>600</v>
      </c>
      <c r="V49" s="9">
        <f t="shared" si="24"/>
        <v>0</v>
      </c>
      <c r="W49" s="39">
        <f t="shared" si="25"/>
        <v>0</v>
      </c>
      <c r="X49" s="8">
        <v>25</v>
      </c>
      <c r="Y49" s="9">
        <v>1400</v>
      </c>
      <c r="Z49" s="9">
        <f t="shared" si="26"/>
        <v>0</v>
      </c>
      <c r="AA49" s="39">
        <f t="shared" si="27"/>
        <v>0</v>
      </c>
    </row>
    <row r="50" spans="1:31" x14ac:dyDescent="0.3">
      <c r="B50" s="67"/>
      <c r="C50" s="1"/>
      <c r="D50" s="1"/>
      <c r="E50" s="1"/>
      <c r="F50" s="1"/>
      <c r="G50" s="1"/>
      <c r="H50" s="8">
        <v>0.5</v>
      </c>
      <c r="I50" s="9">
        <v>310</v>
      </c>
      <c r="J50" s="9">
        <v>1000</v>
      </c>
      <c r="K50" s="33">
        <f t="shared" si="20"/>
        <v>0</v>
      </c>
      <c r="L50" s="8">
        <v>25</v>
      </c>
      <c r="M50" s="9">
        <v>300</v>
      </c>
      <c r="N50" s="9">
        <f t="shared" si="21"/>
        <v>0</v>
      </c>
      <c r="O50" s="39">
        <f t="shared" si="22"/>
        <v>0</v>
      </c>
      <c r="P50" s="8">
        <v>0.5</v>
      </c>
      <c r="Q50" s="9">
        <v>250</v>
      </c>
      <c r="R50" s="9">
        <v>1000</v>
      </c>
      <c r="S50" s="33">
        <f t="shared" si="23"/>
        <v>0</v>
      </c>
      <c r="T50" s="8">
        <v>50</v>
      </c>
      <c r="U50" s="9">
        <v>600</v>
      </c>
      <c r="V50" s="9">
        <f t="shared" si="24"/>
        <v>0</v>
      </c>
      <c r="W50" s="39">
        <f t="shared" si="25"/>
        <v>0</v>
      </c>
      <c r="X50" s="8">
        <v>25</v>
      </c>
      <c r="Y50" s="9">
        <v>1400</v>
      </c>
      <c r="Z50" s="9">
        <f t="shared" si="26"/>
        <v>0</v>
      </c>
      <c r="AA50" s="39">
        <f t="shared" si="27"/>
        <v>0</v>
      </c>
    </row>
    <row r="51" spans="1:31" x14ac:dyDescent="0.3">
      <c r="B51" s="67"/>
      <c r="C51" s="1"/>
      <c r="D51" s="1"/>
      <c r="E51" s="1"/>
      <c r="F51" s="1"/>
      <c r="G51" s="1"/>
      <c r="H51" s="8">
        <v>0.5</v>
      </c>
      <c r="I51" s="9">
        <v>310</v>
      </c>
      <c r="J51" s="9">
        <v>1000</v>
      </c>
      <c r="K51" s="33">
        <f t="shared" si="20"/>
        <v>0</v>
      </c>
      <c r="L51" s="8">
        <v>25</v>
      </c>
      <c r="M51" s="9">
        <v>300</v>
      </c>
      <c r="N51" s="9">
        <f t="shared" si="21"/>
        <v>0</v>
      </c>
      <c r="O51" s="39">
        <f t="shared" si="22"/>
        <v>0</v>
      </c>
      <c r="P51" s="8">
        <v>0.5</v>
      </c>
      <c r="Q51" s="9">
        <v>250</v>
      </c>
      <c r="R51" s="9">
        <v>1000</v>
      </c>
      <c r="S51" s="33">
        <f t="shared" si="23"/>
        <v>0</v>
      </c>
      <c r="T51" s="8">
        <v>50</v>
      </c>
      <c r="U51" s="9">
        <v>600</v>
      </c>
      <c r="V51" s="9">
        <f t="shared" si="24"/>
        <v>0</v>
      </c>
      <c r="W51" s="39">
        <f t="shared" si="25"/>
        <v>0</v>
      </c>
      <c r="X51" s="8">
        <v>25</v>
      </c>
      <c r="Y51" s="9">
        <v>1400</v>
      </c>
      <c r="Z51" s="9">
        <f t="shared" si="26"/>
        <v>0</v>
      </c>
      <c r="AA51" s="39">
        <f t="shared" si="27"/>
        <v>0</v>
      </c>
    </row>
    <row r="52" spans="1:31" ht="17.25" thickBot="1" x14ac:dyDescent="0.35">
      <c r="B52" s="68"/>
      <c r="C52" s="69"/>
      <c r="D52" s="69"/>
      <c r="E52" s="69"/>
      <c r="F52" s="69"/>
      <c r="G52" s="69"/>
      <c r="H52" s="11">
        <v>0.5</v>
      </c>
      <c r="I52" s="12">
        <v>310</v>
      </c>
      <c r="J52" s="12">
        <v>1000</v>
      </c>
      <c r="K52" s="34">
        <f t="shared" si="20"/>
        <v>0</v>
      </c>
      <c r="L52" s="11">
        <v>25</v>
      </c>
      <c r="M52" s="12">
        <v>300</v>
      </c>
      <c r="N52" s="12">
        <f t="shared" si="21"/>
        <v>0</v>
      </c>
      <c r="O52" s="40">
        <f t="shared" si="22"/>
        <v>0</v>
      </c>
      <c r="P52" s="11">
        <v>0.5</v>
      </c>
      <c r="Q52" s="12">
        <v>250</v>
      </c>
      <c r="R52" s="12">
        <v>1000</v>
      </c>
      <c r="S52" s="34">
        <f t="shared" si="23"/>
        <v>0</v>
      </c>
      <c r="T52" s="11">
        <v>50</v>
      </c>
      <c r="U52" s="12">
        <v>600</v>
      </c>
      <c r="V52" s="12">
        <f t="shared" si="24"/>
        <v>0</v>
      </c>
      <c r="W52" s="40">
        <f t="shared" si="25"/>
        <v>0</v>
      </c>
      <c r="X52" s="11">
        <v>25</v>
      </c>
      <c r="Y52" s="12">
        <v>1400</v>
      </c>
      <c r="Z52" s="12">
        <f t="shared" si="26"/>
        <v>0</v>
      </c>
      <c r="AA52" s="40">
        <f t="shared" si="27"/>
        <v>0</v>
      </c>
    </row>
    <row r="53" spans="1:31" ht="17.25" thickBot="1" x14ac:dyDescent="0.35">
      <c r="B53" s="1"/>
      <c r="C53" s="1"/>
      <c r="D53" s="1"/>
      <c r="E53" s="1"/>
      <c r="F53" s="1"/>
      <c r="G53" s="1"/>
      <c r="H53" s="1"/>
      <c r="I53" s="1"/>
      <c r="J53" s="35" t="s">
        <v>34</v>
      </c>
      <c r="K53" s="36">
        <f>SUM(K43:K52)</f>
        <v>7</v>
      </c>
      <c r="N53" s="35" t="s">
        <v>34</v>
      </c>
      <c r="O53" s="49">
        <f>SUM(O43:O52)</f>
        <v>0.70218579234972678</v>
      </c>
      <c r="P53" s="50"/>
      <c r="Q53" s="3"/>
      <c r="R53" s="51" t="s">
        <v>34</v>
      </c>
      <c r="S53" s="52">
        <f>SUM(S43:S52)</f>
        <v>10</v>
      </c>
      <c r="T53" s="1"/>
      <c r="U53" s="1"/>
      <c r="V53" s="35" t="s">
        <v>34</v>
      </c>
      <c r="W53" s="37">
        <f>SUM(W43:W52)</f>
        <v>1.5277777777777777</v>
      </c>
      <c r="X53" s="1"/>
      <c r="Y53" s="1"/>
      <c r="Z53" s="35" t="s">
        <v>34</v>
      </c>
      <c r="AA53" s="37">
        <f>SUM(AA43:AA52)</f>
        <v>0.27500000000000002</v>
      </c>
    </row>
    <row r="54" spans="1:31" x14ac:dyDescent="0.3">
      <c r="B54" s="26" t="s">
        <v>12</v>
      </c>
    </row>
    <row r="55" spans="1:31" ht="17.25" thickBot="1" x14ac:dyDescent="0.35"/>
    <row r="56" spans="1:31" ht="16.899999999999999" customHeight="1" x14ac:dyDescent="0.3">
      <c r="B56" s="74" t="s">
        <v>0</v>
      </c>
      <c r="C56" s="75"/>
      <c r="D56" s="75"/>
      <c r="E56" s="1" t="s">
        <v>9</v>
      </c>
      <c r="F56" s="64"/>
      <c r="G56" s="73"/>
      <c r="H56" s="1" t="s">
        <v>21</v>
      </c>
      <c r="I56" s="64"/>
      <c r="J56" s="64"/>
      <c r="K56" s="65"/>
      <c r="L56" s="1" t="s">
        <v>22</v>
      </c>
      <c r="M56" s="64"/>
      <c r="N56" s="64"/>
      <c r="O56" s="65"/>
      <c r="P56" s="1" t="s">
        <v>8</v>
      </c>
      <c r="Q56" s="64"/>
      <c r="R56" s="64"/>
      <c r="S56" s="65"/>
      <c r="T56" s="1" t="s">
        <v>5</v>
      </c>
      <c r="U56" s="64"/>
      <c r="V56" s="64"/>
      <c r="W56" s="65"/>
      <c r="X56" s="66" t="s">
        <v>40</v>
      </c>
      <c r="Y56" s="64"/>
      <c r="Z56" s="64"/>
      <c r="AA56" s="65"/>
      <c r="AB56" s="66" t="s">
        <v>26</v>
      </c>
      <c r="AC56" s="64"/>
      <c r="AD56" s="64"/>
      <c r="AE56" s="65"/>
    </row>
    <row r="57" spans="1:31" ht="17.25" thickBot="1" x14ac:dyDescent="0.35">
      <c r="A57" s="1" t="s">
        <v>37</v>
      </c>
      <c r="B57" s="17" t="s">
        <v>31</v>
      </c>
      <c r="C57" s="18" t="s">
        <v>36</v>
      </c>
      <c r="D57" s="29" t="s">
        <v>1</v>
      </c>
      <c r="E57" s="17" t="s">
        <v>31</v>
      </c>
      <c r="F57" s="20" t="s">
        <v>36</v>
      </c>
      <c r="G57" s="18" t="s">
        <v>1</v>
      </c>
      <c r="H57" s="17" t="s">
        <v>29</v>
      </c>
      <c r="I57" s="20" t="s">
        <v>35</v>
      </c>
      <c r="J57" s="20" t="s">
        <v>28</v>
      </c>
      <c r="K57" s="19" t="s">
        <v>1</v>
      </c>
      <c r="L57" s="17" t="s">
        <v>29</v>
      </c>
      <c r="M57" s="20" t="s">
        <v>35</v>
      </c>
      <c r="N57" s="20" t="s">
        <v>28</v>
      </c>
      <c r="O57" s="19" t="s">
        <v>1</v>
      </c>
      <c r="P57" s="17" t="s">
        <v>29</v>
      </c>
      <c r="Q57" s="20" t="s">
        <v>35</v>
      </c>
      <c r="R57" s="20" t="s">
        <v>28</v>
      </c>
      <c r="S57" s="19" t="s">
        <v>1</v>
      </c>
      <c r="T57" s="17" t="s">
        <v>29</v>
      </c>
      <c r="U57" s="20" t="s">
        <v>35</v>
      </c>
      <c r="V57" s="20" t="s">
        <v>28</v>
      </c>
      <c r="W57" s="19" t="s">
        <v>1</v>
      </c>
      <c r="X57" s="21" t="s">
        <v>29</v>
      </c>
      <c r="Y57" s="20" t="s">
        <v>35</v>
      </c>
      <c r="Z57" s="20" t="s">
        <v>28</v>
      </c>
      <c r="AA57" s="19" t="s">
        <v>1</v>
      </c>
      <c r="AB57" s="21" t="s">
        <v>29</v>
      </c>
      <c r="AC57" s="20" t="s">
        <v>35</v>
      </c>
      <c r="AD57" s="20" t="s">
        <v>28</v>
      </c>
      <c r="AE57" s="19" t="s">
        <v>1</v>
      </c>
    </row>
    <row r="58" spans="1:31" x14ac:dyDescent="0.3">
      <c r="A58" s="45">
        <f>B58*C58/1000000</f>
        <v>1.28</v>
      </c>
      <c r="B58" s="57">
        <v>1600</v>
      </c>
      <c r="C58" s="57">
        <v>800</v>
      </c>
      <c r="D58" s="59">
        <v>1</v>
      </c>
      <c r="E58" s="5">
        <f>B58/2-30</f>
        <v>770</v>
      </c>
      <c r="F58" s="6">
        <f>C58</f>
        <v>800</v>
      </c>
      <c r="G58" s="7">
        <f>D58*2</f>
        <v>2</v>
      </c>
      <c r="H58" s="5">
        <v>0.6</v>
      </c>
      <c r="I58" s="6">
        <v>60</v>
      </c>
      <c r="J58" s="6">
        <f t="shared" ref="J58:J67" si="28">E58-5</f>
        <v>765</v>
      </c>
      <c r="K58" s="7">
        <f>D58*4</f>
        <v>4</v>
      </c>
      <c r="L58" s="5">
        <v>0.6</v>
      </c>
      <c r="M58" s="6">
        <v>274</v>
      </c>
      <c r="N58" s="6">
        <f t="shared" ref="N58:N67" si="29">E58-5</f>
        <v>765</v>
      </c>
      <c r="O58" s="7">
        <f>D58*4</f>
        <v>4</v>
      </c>
      <c r="P58" s="5">
        <v>0.6</v>
      </c>
      <c r="Q58" s="6">
        <v>318</v>
      </c>
      <c r="R58" s="6">
        <f t="shared" ref="R58:R67" si="30">E58</f>
        <v>770</v>
      </c>
      <c r="S58" s="7">
        <f>D58*8</f>
        <v>8</v>
      </c>
      <c r="T58" s="5">
        <v>0.6</v>
      </c>
      <c r="U58" s="6">
        <v>255</v>
      </c>
      <c r="V58" s="6">
        <f t="shared" ref="V58:V67" si="31">E58</f>
        <v>770</v>
      </c>
      <c r="W58" s="7">
        <f>D58*8</f>
        <v>8</v>
      </c>
      <c r="X58" s="14">
        <v>1.6</v>
      </c>
      <c r="Y58" s="6">
        <v>60</v>
      </c>
      <c r="Z58" s="6">
        <f t="shared" ref="Z58:Z67" si="32">F58</f>
        <v>800</v>
      </c>
      <c r="AA58" s="7">
        <f>D58*2</f>
        <v>2</v>
      </c>
      <c r="AB58" s="5">
        <v>1.6</v>
      </c>
      <c r="AC58" s="6">
        <v>50</v>
      </c>
      <c r="AD58" s="6">
        <f>C58</f>
        <v>800</v>
      </c>
      <c r="AE58" s="7">
        <f>D58*6</f>
        <v>6</v>
      </c>
    </row>
    <row r="59" spans="1:31" x14ac:dyDescent="0.3">
      <c r="A59" s="45">
        <f t="shared" ref="A59:A67" si="33">B59*C59/1000000</f>
        <v>2.5350000000000001</v>
      </c>
      <c r="B59" s="57">
        <v>1950</v>
      </c>
      <c r="C59" s="57">
        <v>1300</v>
      </c>
      <c r="D59" s="59">
        <v>1</v>
      </c>
      <c r="E59" s="8">
        <f>B59/2-30</f>
        <v>945</v>
      </c>
      <c r="F59" s="9">
        <f>C59</f>
        <v>1300</v>
      </c>
      <c r="G59" s="10">
        <f t="shared" ref="G59:G67" si="34">D59*2</f>
        <v>2</v>
      </c>
      <c r="H59" s="8">
        <v>0.6</v>
      </c>
      <c r="I59" s="9">
        <v>60</v>
      </c>
      <c r="J59" s="9">
        <f t="shared" si="28"/>
        <v>940</v>
      </c>
      <c r="K59" s="10">
        <f>D59*4</f>
        <v>4</v>
      </c>
      <c r="L59" s="8">
        <v>0.6</v>
      </c>
      <c r="M59" s="9">
        <v>274</v>
      </c>
      <c r="N59" s="9">
        <f t="shared" si="29"/>
        <v>940</v>
      </c>
      <c r="O59" s="10">
        <f>D59*4</f>
        <v>4</v>
      </c>
      <c r="P59" s="8">
        <v>0.6</v>
      </c>
      <c r="Q59" s="9">
        <v>318</v>
      </c>
      <c r="R59" s="9">
        <f t="shared" si="30"/>
        <v>945</v>
      </c>
      <c r="S59" s="10">
        <f t="shared" ref="S59:S67" si="35">D59*8</f>
        <v>8</v>
      </c>
      <c r="T59" s="8">
        <v>0.6</v>
      </c>
      <c r="U59" s="9">
        <v>255</v>
      </c>
      <c r="V59" s="9">
        <f t="shared" si="31"/>
        <v>945</v>
      </c>
      <c r="W59" s="10">
        <f t="shared" ref="W59:W67" si="36">D59*8</f>
        <v>8</v>
      </c>
      <c r="X59" s="15">
        <v>1.6</v>
      </c>
      <c r="Y59" s="9">
        <v>60</v>
      </c>
      <c r="Z59" s="9">
        <f t="shared" si="32"/>
        <v>1300</v>
      </c>
      <c r="AA59" s="10">
        <f>D59*2</f>
        <v>2</v>
      </c>
      <c r="AB59" s="8">
        <v>1.6</v>
      </c>
      <c r="AC59" s="9">
        <v>50</v>
      </c>
      <c r="AD59" s="9">
        <f t="shared" ref="AD59:AD67" si="37">C59</f>
        <v>1300</v>
      </c>
      <c r="AE59" s="10">
        <f t="shared" ref="AE59:AE67" si="38">D59*6</f>
        <v>6</v>
      </c>
    </row>
    <row r="60" spans="1:31" x14ac:dyDescent="0.3">
      <c r="A60" s="45">
        <f t="shared" si="33"/>
        <v>2.34</v>
      </c>
      <c r="B60" s="57">
        <v>1800</v>
      </c>
      <c r="C60" s="57">
        <v>1300</v>
      </c>
      <c r="D60" s="59">
        <v>1</v>
      </c>
      <c r="E60" s="8">
        <f>B60/2-30</f>
        <v>870</v>
      </c>
      <c r="F60" s="9">
        <f>C60</f>
        <v>1300</v>
      </c>
      <c r="G60" s="10">
        <f t="shared" si="34"/>
        <v>2</v>
      </c>
      <c r="H60" s="8">
        <v>0.6</v>
      </c>
      <c r="I60" s="9">
        <v>60</v>
      </c>
      <c r="J60" s="9">
        <f t="shared" si="28"/>
        <v>865</v>
      </c>
      <c r="K60" s="10">
        <f t="shared" ref="K60:K67" si="39">D60*4</f>
        <v>4</v>
      </c>
      <c r="L60" s="8">
        <v>0.6</v>
      </c>
      <c r="M60" s="9">
        <v>274</v>
      </c>
      <c r="N60" s="9">
        <f t="shared" si="29"/>
        <v>865</v>
      </c>
      <c r="O60" s="10">
        <f t="shared" ref="O60:O67" si="40">D60*4</f>
        <v>4</v>
      </c>
      <c r="P60" s="8">
        <v>0.6</v>
      </c>
      <c r="Q60" s="9">
        <v>318</v>
      </c>
      <c r="R60" s="9">
        <f t="shared" si="30"/>
        <v>870</v>
      </c>
      <c r="S60" s="10">
        <f t="shared" si="35"/>
        <v>8</v>
      </c>
      <c r="T60" s="8">
        <v>0.6</v>
      </c>
      <c r="U60" s="9">
        <v>255</v>
      </c>
      <c r="V60" s="9">
        <f t="shared" si="31"/>
        <v>870</v>
      </c>
      <c r="W60" s="10">
        <f t="shared" si="36"/>
        <v>8</v>
      </c>
      <c r="X60" s="15">
        <v>1.6</v>
      </c>
      <c r="Y60" s="9">
        <v>60</v>
      </c>
      <c r="Z60" s="9">
        <f t="shared" si="32"/>
        <v>1300</v>
      </c>
      <c r="AA60" s="10">
        <f t="shared" ref="AA60:AA67" si="41">D60*2</f>
        <v>2</v>
      </c>
      <c r="AB60" s="8">
        <v>1.6</v>
      </c>
      <c r="AC60" s="9">
        <v>50</v>
      </c>
      <c r="AD60" s="9">
        <f t="shared" si="37"/>
        <v>1300</v>
      </c>
      <c r="AE60" s="10">
        <f t="shared" si="38"/>
        <v>6</v>
      </c>
    </row>
    <row r="61" spans="1:31" x14ac:dyDescent="0.3">
      <c r="A61" s="45">
        <f t="shared" si="33"/>
        <v>2.76</v>
      </c>
      <c r="B61" s="57">
        <v>2300</v>
      </c>
      <c r="C61" s="57">
        <v>1200</v>
      </c>
      <c r="D61" s="59">
        <v>1</v>
      </c>
      <c r="E61" s="8">
        <f>B61/2-30</f>
        <v>1120</v>
      </c>
      <c r="F61" s="9">
        <f>C61</f>
        <v>1200</v>
      </c>
      <c r="G61" s="10">
        <f t="shared" si="34"/>
        <v>2</v>
      </c>
      <c r="H61" s="8">
        <v>0.6</v>
      </c>
      <c r="I61" s="9">
        <v>60</v>
      </c>
      <c r="J61" s="9">
        <f t="shared" si="28"/>
        <v>1115</v>
      </c>
      <c r="K61" s="10">
        <f t="shared" si="39"/>
        <v>4</v>
      </c>
      <c r="L61" s="8">
        <v>0.6</v>
      </c>
      <c r="M61" s="9">
        <v>274</v>
      </c>
      <c r="N61" s="9">
        <f t="shared" si="29"/>
        <v>1115</v>
      </c>
      <c r="O61" s="10">
        <f t="shared" si="40"/>
        <v>4</v>
      </c>
      <c r="P61" s="8">
        <v>0.6</v>
      </c>
      <c r="Q61" s="9">
        <v>318</v>
      </c>
      <c r="R61" s="9">
        <f t="shared" si="30"/>
        <v>1120</v>
      </c>
      <c r="S61" s="10">
        <f t="shared" si="35"/>
        <v>8</v>
      </c>
      <c r="T61" s="8">
        <v>0.6</v>
      </c>
      <c r="U61" s="9">
        <v>255</v>
      </c>
      <c r="V61" s="9">
        <f t="shared" si="31"/>
        <v>1120</v>
      </c>
      <c r="W61" s="10">
        <f t="shared" si="36"/>
        <v>8</v>
      </c>
      <c r="X61" s="15">
        <v>1.6</v>
      </c>
      <c r="Y61" s="9">
        <v>60</v>
      </c>
      <c r="Z61" s="9">
        <f t="shared" si="32"/>
        <v>1200</v>
      </c>
      <c r="AA61" s="10">
        <f t="shared" si="41"/>
        <v>2</v>
      </c>
      <c r="AB61" s="8">
        <v>1.6</v>
      </c>
      <c r="AC61" s="9">
        <v>50</v>
      </c>
      <c r="AD61" s="9">
        <f t="shared" si="37"/>
        <v>1200</v>
      </c>
      <c r="AE61" s="10">
        <f t="shared" si="38"/>
        <v>6</v>
      </c>
    </row>
    <row r="62" spans="1:31" x14ac:dyDescent="0.3">
      <c r="A62" s="45">
        <f t="shared" si="33"/>
        <v>1.02</v>
      </c>
      <c r="B62" s="57">
        <v>1200</v>
      </c>
      <c r="C62" s="57">
        <v>850</v>
      </c>
      <c r="D62" s="59">
        <v>1</v>
      </c>
      <c r="E62" s="8">
        <f>B62/2-30</f>
        <v>570</v>
      </c>
      <c r="F62" s="9">
        <f>C62</f>
        <v>850</v>
      </c>
      <c r="G62" s="10">
        <f t="shared" si="34"/>
        <v>2</v>
      </c>
      <c r="H62" s="8">
        <v>0.6</v>
      </c>
      <c r="I62" s="9">
        <v>60</v>
      </c>
      <c r="J62" s="9">
        <f t="shared" si="28"/>
        <v>565</v>
      </c>
      <c r="K62" s="10">
        <f t="shared" si="39"/>
        <v>4</v>
      </c>
      <c r="L62" s="8">
        <v>0.6</v>
      </c>
      <c r="M62" s="9">
        <v>274</v>
      </c>
      <c r="N62" s="9">
        <f t="shared" si="29"/>
        <v>565</v>
      </c>
      <c r="O62" s="10">
        <f t="shared" si="40"/>
        <v>4</v>
      </c>
      <c r="P62" s="8">
        <v>0.6</v>
      </c>
      <c r="Q62" s="9">
        <v>318</v>
      </c>
      <c r="R62" s="9">
        <f t="shared" si="30"/>
        <v>570</v>
      </c>
      <c r="S62" s="10">
        <f t="shared" si="35"/>
        <v>8</v>
      </c>
      <c r="T62" s="8">
        <v>0.6</v>
      </c>
      <c r="U62" s="9">
        <v>255</v>
      </c>
      <c r="V62" s="9">
        <f t="shared" si="31"/>
        <v>570</v>
      </c>
      <c r="W62" s="10">
        <f t="shared" si="36"/>
        <v>8</v>
      </c>
      <c r="X62" s="15">
        <v>1.6</v>
      </c>
      <c r="Y62" s="9">
        <v>60</v>
      </c>
      <c r="Z62" s="9">
        <f t="shared" si="32"/>
        <v>850</v>
      </c>
      <c r="AA62" s="10">
        <f t="shared" si="41"/>
        <v>2</v>
      </c>
      <c r="AB62" s="8">
        <v>1.6</v>
      </c>
      <c r="AC62" s="9">
        <v>50</v>
      </c>
      <c r="AD62" s="9">
        <f t="shared" si="37"/>
        <v>850</v>
      </c>
      <c r="AE62" s="10">
        <f t="shared" si="38"/>
        <v>6</v>
      </c>
    </row>
    <row r="63" spans="1:31" x14ac:dyDescent="0.3">
      <c r="A63" s="45">
        <f t="shared" si="33"/>
        <v>0</v>
      </c>
      <c r="B63" s="58"/>
      <c r="C63" s="58"/>
      <c r="D63" s="60"/>
      <c r="E63" s="8">
        <f t="shared" ref="E63:E67" si="42">B63/2-30</f>
        <v>-30</v>
      </c>
      <c r="F63" s="9">
        <f t="shared" ref="F63:F67" si="43">C63</f>
        <v>0</v>
      </c>
      <c r="G63" s="10">
        <f t="shared" si="34"/>
        <v>0</v>
      </c>
      <c r="H63" s="8">
        <v>0.6</v>
      </c>
      <c r="I63" s="9">
        <v>60</v>
      </c>
      <c r="J63" s="9">
        <f t="shared" si="28"/>
        <v>-35</v>
      </c>
      <c r="K63" s="10">
        <f t="shared" si="39"/>
        <v>0</v>
      </c>
      <c r="L63" s="8">
        <v>0.6</v>
      </c>
      <c r="M63" s="9">
        <v>274</v>
      </c>
      <c r="N63" s="9">
        <f t="shared" si="29"/>
        <v>-35</v>
      </c>
      <c r="O63" s="10">
        <f t="shared" si="40"/>
        <v>0</v>
      </c>
      <c r="P63" s="8">
        <v>0.6</v>
      </c>
      <c r="Q63" s="9">
        <v>318</v>
      </c>
      <c r="R63" s="9">
        <f t="shared" si="30"/>
        <v>-30</v>
      </c>
      <c r="S63" s="10">
        <f t="shared" si="35"/>
        <v>0</v>
      </c>
      <c r="T63" s="8">
        <v>0.6</v>
      </c>
      <c r="U63" s="9">
        <v>255</v>
      </c>
      <c r="V63" s="9">
        <f t="shared" si="31"/>
        <v>-30</v>
      </c>
      <c r="W63" s="10">
        <f t="shared" si="36"/>
        <v>0</v>
      </c>
      <c r="X63" s="15">
        <v>1.6</v>
      </c>
      <c r="Y63" s="9">
        <v>60</v>
      </c>
      <c r="Z63" s="9">
        <f t="shared" si="32"/>
        <v>0</v>
      </c>
      <c r="AA63" s="10">
        <f t="shared" si="41"/>
        <v>0</v>
      </c>
      <c r="AB63" s="8">
        <v>1.6</v>
      </c>
      <c r="AC63" s="9">
        <v>50</v>
      </c>
      <c r="AD63" s="9">
        <f t="shared" si="37"/>
        <v>0</v>
      </c>
      <c r="AE63" s="10">
        <f t="shared" si="38"/>
        <v>0</v>
      </c>
    </row>
    <row r="64" spans="1:31" x14ac:dyDescent="0.3">
      <c r="A64" s="45">
        <f t="shared" si="33"/>
        <v>0</v>
      </c>
      <c r="B64" s="58"/>
      <c r="C64" s="58"/>
      <c r="D64" s="60"/>
      <c r="E64" s="8">
        <f t="shared" si="42"/>
        <v>-30</v>
      </c>
      <c r="F64" s="9">
        <f t="shared" si="43"/>
        <v>0</v>
      </c>
      <c r="G64" s="10">
        <f t="shared" si="34"/>
        <v>0</v>
      </c>
      <c r="H64" s="8">
        <v>0.6</v>
      </c>
      <c r="I64" s="9">
        <v>60</v>
      </c>
      <c r="J64" s="9">
        <f t="shared" si="28"/>
        <v>-35</v>
      </c>
      <c r="K64" s="10">
        <f t="shared" si="39"/>
        <v>0</v>
      </c>
      <c r="L64" s="8">
        <v>0.6</v>
      </c>
      <c r="M64" s="9">
        <v>274</v>
      </c>
      <c r="N64" s="9">
        <f t="shared" si="29"/>
        <v>-35</v>
      </c>
      <c r="O64" s="10">
        <f t="shared" si="40"/>
        <v>0</v>
      </c>
      <c r="P64" s="8">
        <v>0.6</v>
      </c>
      <c r="Q64" s="9">
        <v>318</v>
      </c>
      <c r="R64" s="9">
        <f t="shared" si="30"/>
        <v>-30</v>
      </c>
      <c r="S64" s="10">
        <f t="shared" si="35"/>
        <v>0</v>
      </c>
      <c r="T64" s="8">
        <v>0.6</v>
      </c>
      <c r="U64" s="9">
        <v>255</v>
      </c>
      <c r="V64" s="9">
        <f t="shared" si="31"/>
        <v>-30</v>
      </c>
      <c r="W64" s="10">
        <f t="shared" si="36"/>
        <v>0</v>
      </c>
      <c r="X64" s="15">
        <v>1.6</v>
      </c>
      <c r="Y64" s="9">
        <v>60</v>
      </c>
      <c r="Z64" s="9">
        <f t="shared" si="32"/>
        <v>0</v>
      </c>
      <c r="AA64" s="10">
        <f t="shared" si="41"/>
        <v>0</v>
      </c>
      <c r="AB64" s="8">
        <v>1.6</v>
      </c>
      <c r="AC64" s="9">
        <v>50</v>
      </c>
      <c r="AD64" s="9">
        <f t="shared" si="37"/>
        <v>0</v>
      </c>
      <c r="AE64" s="10">
        <f t="shared" si="38"/>
        <v>0</v>
      </c>
    </row>
    <row r="65" spans="1:31" x14ac:dyDescent="0.3">
      <c r="A65" s="45">
        <f t="shared" si="33"/>
        <v>0</v>
      </c>
      <c r="B65" s="58"/>
      <c r="C65" s="58"/>
      <c r="D65" s="60"/>
      <c r="E65" s="8">
        <f t="shared" si="42"/>
        <v>-30</v>
      </c>
      <c r="F65" s="9">
        <f t="shared" si="43"/>
        <v>0</v>
      </c>
      <c r="G65" s="10">
        <f t="shared" si="34"/>
        <v>0</v>
      </c>
      <c r="H65" s="8">
        <v>0.6</v>
      </c>
      <c r="I65" s="9">
        <v>60</v>
      </c>
      <c r="J65" s="9">
        <f t="shared" si="28"/>
        <v>-35</v>
      </c>
      <c r="K65" s="10">
        <f t="shared" si="39"/>
        <v>0</v>
      </c>
      <c r="L65" s="8">
        <v>0.6</v>
      </c>
      <c r="M65" s="9">
        <v>274</v>
      </c>
      <c r="N65" s="9">
        <f t="shared" si="29"/>
        <v>-35</v>
      </c>
      <c r="O65" s="10">
        <f t="shared" si="40"/>
        <v>0</v>
      </c>
      <c r="P65" s="8">
        <v>0.6</v>
      </c>
      <c r="Q65" s="9">
        <v>318</v>
      </c>
      <c r="R65" s="9">
        <f t="shared" si="30"/>
        <v>-30</v>
      </c>
      <c r="S65" s="10">
        <f t="shared" si="35"/>
        <v>0</v>
      </c>
      <c r="T65" s="8">
        <v>0.6</v>
      </c>
      <c r="U65" s="9">
        <v>255</v>
      </c>
      <c r="V65" s="9">
        <f t="shared" si="31"/>
        <v>-30</v>
      </c>
      <c r="W65" s="10">
        <f t="shared" si="36"/>
        <v>0</v>
      </c>
      <c r="X65" s="15">
        <v>1.6</v>
      </c>
      <c r="Y65" s="9">
        <v>60</v>
      </c>
      <c r="Z65" s="9">
        <f t="shared" si="32"/>
        <v>0</v>
      </c>
      <c r="AA65" s="10">
        <f t="shared" si="41"/>
        <v>0</v>
      </c>
      <c r="AB65" s="8">
        <v>1.6</v>
      </c>
      <c r="AC65" s="9">
        <v>50</v>
      </c>
      <c r="AD65" s="9">
        <f t="shared" si="37"/>
        <v>0</v>
      </c>
      <c r="AE65" s="10">
        <f t="shared" si="38"/>
        <v>0</v>
      </c>
    </row>
    <row r="66" spans="1:31" x14ac:dyDescent="0.3">
      <c r="A66" s="45">
        <f t="shared" si="33"/>
        <v>0</v>
      </c>
      <c r="B66" s="58"/>
      <c r="C66" s="58"/>
      <c r="D66" s="60"/>
      <c r="E66" s="8">
        <f t="shared" si="42"/>
        <v>-30</v>
      </c>
      <c r="F66" s="9">
        <f t="shared" si="43"/>
        <v>0</v>
      </c>
      <c r="G66" s="10">
        <f t="shared" si="34"/>
        <v>0</v>
      </c>
      <c r="H66" s="8">
        <v>0.6</v>
      </c>
      <c r="I66" s="9">
        <v>60</v>
      </c>
      <c r="J66" s="9">
        <f t="shared" si="28"/>
        <v>-35</v>
      </c>
      <c r="K66" s="10">
        <f t="shared" si="39"/>
        <v>0</v>
      </c>
      <c r="L66" s="8">
        <v>0.6</v>
      </c>
      <c r="M66" s="9">
        <v>274</v>
      </c>
      <c r="N66" s="9">
        <f t="shared" si="29"/>
        <v>-35</v>
      </c>
      <c r="O66" s="10">
        <f t="shared" si="40"/>
        <v>0</v>
      </c>
      <c r="P66" s="8">
        <v>0.6</v>
      </c>
      <c r="Q66" s="9">
        <v>318</v>
      </c>
      <c r="R66" s="9">
        <f t="shared" si="30"/>
        <v>-30</v>
      </c>
      <c r="S66" s="10">
        <f t="shared" si="35"/>
        <v>0</v>
      </c>
      <c r="T66" s="8">
        <v>0.6</v>
      </c>
      <c r="U66" s="9">
        <v>255</v>
      </c>
      <c r="V66" s="9">
        <f t="shared" si="31"/>
        <v>-30</v>
      </c>
      <c r="W66" s="10">
        <f t="shared" si="36"/>
        <v>0</v>
      </c>
      <c r="X66" s="15">
        <v>1.6</v>
      </c>
      <c r="Y66" s="9">
        <v>60</v>
      </c>
      <c r="Z66" s="9">
        <f t="shared" si="32"/>
        <v>0</v>
      </c>
      <c r="AA66" s="10">
        <f t="shared" si="41"/>
        <v>0</v>
      </c>
      <c r="AB66" s="8">
        <v>1.6</v>
      </c>
      <c r="AC66" s="9">
        <v>50</v>
      </c>
      <c r="AD66" s="9">
        <f t="shared" si="37"/>
        <v>0</v>
      </c>
      <c r="AE66" s="10">
        <f t="shared" si="38"/>
        <v>0</v>
      </c>
    </row>
    <row r="67" spans="1:31" ht="17.25" thickBot="1" x14ac:dyDescent="0.35">
      <c r="A67" s="45">
        <f t="shared" si="33"/>
        <v>0</v>
      </c>
      <c r="B67" s="58"/>
      <c r="C67" s="58"/>
      <c r="D67" s="60"/>
      <c r="E67" s="11">
        <f t="shared" si="42"/>
        <v>-30</v>
      </c>
      <c r="F67" s="12">
        <f t="shared" si="43"/>
        <v>0</v>
      </c>
      <c r="G67" s="13">
        <f t="shared" si="34"/>
        <v>0</v>
      </c>
      <c r="H67" s="11">
        <v>0.6</v>
      </c>
      <c r="I67" s="12">
        <v>60</v>
      </c>
      <c r="J67" s="12">
        <f t="shared" si="28"/>
        <v>-35</v>
      </c>
      <c r="K67" s="13">
        <f t="shared" si="39"/>
        <v>0</v>
      </c>
      <c r="L67" s="11">
        <v>0.6</v>
      </c>
      <c r="M67" s="12">
        <v>274</v>
      </c>
      <c r="N67" s="12">
        <f t="shared" si="29"/>
        <v>-35</v>
      </c>
      <c r="O67" s="13">
        <f t="shared" si="40"/>
        <v>0</v>
      </c>
      <c r="P67" s="11">
        <v>0.6</v>
      </c>
      <c r="Q67" s="12">
        <v>318</v>
      </c>
      <c r="R67" s="12">
        <f t="shared" si="30"/>
        <v>-30</v>
      </c>
      <c r="S67" s="13">
        <f t="shared" si="35"/>
        <v>0</v>
      </c>
      <c r="T67" s="11">
        <v>0.6</v>
      </c>
      <c r="U67" s="12">
        <v>255</v>
      </c>
      <c r="V67" s="12">
        <f t="shared" si="31"/>
        <v>-30</v>
      </c>
      <c r="W67" s="13">
        <f t="shared" si="36"/>
        <v>0</v>
      </c>
      <c r="X67" s="16">
        <v>1.6</v>
      </c>
      <c r="Y67" s="12">
        <v>60</v>
      </c>
      <c r="Z67" s="12">
        <f t="shared" si="32"/>
        <v>0</v>
      </c>
      <c r="AA67" s="13">
        <f t="shared" si="41"/>
        <v>0</v>
      </c>
      <c r="AB67" s="11">
        <v>1.6</v>
      </c>
      <c r="AC67" s="12">
        <v>50</v>
      </c>
      <c r="AD67" s="12">
        <f t="shared" si="37"/>
        <v>0</v>
      </c>
      <c r="AE67" s="13">
        <f t="shared" si="38"/>
        <v>0</v>
      </c>
    </row>
    <row r="68" spans="1:31" ht="16.899999999999999" customHeight="1" x14ac:dyDescent="0.3">
      <c r="B68" s="67"/>
      <c r="C68" s="1"/>
      <c r="D68" s="1"/>
      <c r="E68" s="1"/>
      <c r="F68" s="1"/>
      <c r="G68" s="1"/>
      <c r="H68" s="70" t="s">
        <v>13</v>
      </c>
      <c r="I68" s="71"/>
      <c r="J68" s="71"/>
      <c r="K68" s="72"/>
      <c r="L68" s="70" t="s">
        <v>11</v>
      </c>
      <c r="M68" s="71"/>
      <c r="N68" s="71"/>
      <c r="O68" s="72"/>
      <c r="P68" s="70" t="s">
        <v>14</v>
      </c>
      <c r="Q68" s="71"/>
      <c r="R68" s="71"/>
      <c r="S68" s="72"/>
      <c r="T68" s="70" t="s">
        <v>2</v>
      </c>
      <c r="U68" s="71"/>
      <c r="V68" s="71"/>
      <c r="W68" s="72"/>
      <c r="X68" s="70" t="s">
        <v>7</v>
      </c>
      <c r="Y68" s="71"/>
      <c r="Z68" s="71"/>
      <c r="AA68" s="72"/>
      <c r="AB68" s="70" t="s">
        <v>3</v>
      </c>
      <c r="AC68" s="71"/>
      <c r="AD68" s="71"/>
      <c r="AE68" s="72"/>
    </row>
    <row r="69" spans="1:31" ht="17.25" thickBot="1" x14ac:dyDescent="0.35">
      <c r="B69" s="67"/>
      <c r="C69" s="1"/>
      <c r="D69" s="1"/>
      <c r="E69" s="1"/>
      <c r="F69" s="1"/>
      <c r="G69" s="1"/>
      <c r="H69" s="17" t="s">
        <v>29</v>
      </c>
      <c r="I69" s="20" t="s">
        <v>35</v>
      </c>
      <c r="J69" s="20" t="s">
        <v>28</v>
      </c>
      <c r="K69" s="19" t="s">
        <v>1</v>
      </c>
      <c r="L69" s="17" t="s">
        <v>29</v>
      </c>
      <c r="M69" s="20" t="s">
        <v>35</v>
      </c>
      <c r="N69" s="20" t="s">
        <v>28</v>
      </c>
      <c r="O69" s="29" t="s">
        <v>27</v>
      </c>
      <c r="P69" s="17" t="s">
        <v>29</v>
      </c>
      <c r="Q69" s="20" t="s">
        <v>35</v>
      </c>
      <c r="R69" s="20" t="s">
        <v>28</v>
      </c>
      <c r="S69" s="19" t="s">
        <v>1</v>
      </c>
      <c r="T69" s="30" t="s">
        <v>29</v>
      </c>
      <c r="U69" s="31" t="s">
        <v>35</v>
      </c>
      <c r="V69" s="31" t="s">
        <v>46</v>
      </c>
      <c r="W69" s="29" t="s">
        <v>27</v>
      </c>
      <c r="X69" s="30" t="s">
        <v>29</v>
      </c>
      <c r="Y69" s="31" t="s">
        <v>35</v>
      </c>
      <c r="Z69" s="31" t="s">
        <v>46</v>
      </c>
      <c r="AA69" s="29" t="s">
        <v>27</v>
      </c>
      <c r="AB69" s="30" t="s">
        <v>29</v>
      </c>
      <c r="AC69" s="31" t="s">
        <v>35</v>
      </c>
      <c r="AD69" s="31" t="s">
        <v>46</v>
      </c>
      <c r="AE69" s="29" t="s">
        <v>27</v>
      </c>
    </row>
    <row r="70" spans="1:31" x14ac:dyDescent="0.3">
      <c r="B70" s="67"/>
      <c r="C70" s="1"/>
      <c r="D70" s="1"/>
      <c r="E70" s="1"/>
      <c r="F70" s="1"/>
      <c r="G70" s="1"/>
      <c r="H70" s="5">
        <v>0.5</v>
      </c>
      <c r="I70" s="6">
        <v>310</v>
      </c>
      <c r="J70" s="6">
        <v>1000</v>
      </c>
      <c r="K70" s="41">
        <f>((_xlfn.IFS((B58+100)&lt;=500,0.5,(B58+100)&lt;=1000,1,(B58+100)&lt;=1500,1.5,(B58+100)&lt;=2000,2,(B58+100)&lt;=2500,2.5,(B58+100)&lt;=3000,3)*2+(_xlfn.IFS((C58+20)&lt;=500,0.5,(C58+20)&lt;=1000,1,(C58+20)&lt;=1500,1.5,(C58+20)&lt;=2000,2,(C58+20)&lt;=2500,2.5,(C58+20)&lt;=3000,3))*2))*D58</f>
        <v>6</v>
      </c>
      <c r="L70" s="5">
        <v>25</v>
      </c>
      <c r="M70" s="6">
        <v>300</v>
      </c>
      <c r="N70" s="6">
        <f t="shared" ref="N70:N79" si="44">((((E58+60)*2)+(F58*2))*2)*D58</f>
        <v>6520</v>
      </c>
      <c r="O70" s="38">
        <f>N70/7320</f>
        <v>0.89071038251366119</v>
      </c>
      <c r="P70" s="5">
        <v>0.5</v>
      </c>
      <c r="Q70" s="6">
        <v>250</v>
      </c>
      <c r="R70" s="6">
        <v>1000</v>
      </c>
      <c r="S70" s="32">
        <f>((_xlfn.IFS((B58+340)&lt;=500,0.5,(B58+340)&lt;=1000,1,(B58+340)&lt;=1500,1.5,(B58+340)&lt;=2000,2,(B58+340)&lt;=2500,2.5,(B58+340)&lt;=3000,3)*2+(_xlfn.IFS((C58+340)&lt;=500,0.5,(C58+340)&lt;=1000,1,(C58+340)&lt;=1500,1.5,(C58+340)&lt;=2000,2,(C58+340)&lt;=2500,2.5,(C58+340)&lt;=3000,3))*2))*D58</f>
        <v>7</v>
      </c>
      <c r="T70" s="5">
        <v>38</v>
      </c>
      <c r="U70" s="6">
        <v>600</v>
      </c>
      <c r="V70" s="6">
        <f>(((B58+C58)*2+300)*4)*D58</f>
        <v>20400</v>
      </c>
      <c r="W70" s="38">
        <f>V70/4800</f>
        <v>4.25</v>
      </c>
      <c r="X70" s="5">
        <v>25</v>
      </c>
      <c r="Y70" s="6">
        <v>1400</v>
      </c>
      <c r="Z70" s="6">
        <f>((B58+C58)*2+300)*D58</f>
        <v>5100</v>
      </c>
      <c r="AA70" s="38">
        <f>Z70/20000</f>
        <v>0.255</v>
      </c>
      <c r="AB70" s="5">
        <v>25</v>
      </c>
      <c r="AC70" s="6">
        <v>1000</v>
      </c>
      <c r="AD70" s="6">
        <f>((B58+C58)*2+300)*D58</f>
        <v>5100</v>
      </c>
      <c r="AE70" s="38">
        <f>AD70/20000</f>
        <v>0.255</v>
      </c>
    </row>
    <row r="71" spans="1:31" x14ac:dyDescent="0.3">
      <c r="B71" s="67"/>
      <c r="C71" s="1"/>
      <c r="D71" s="1"/>
      <c r="E71" s="1"/>
      <c r="F71" s="1"/>
      <c r="G71" s="1"/>
      <c r="H71" s="8">
        <v>0.5</v>
      </c>
      <c r="I71" s="9">
        <v>310</v>
      </c>
      <c r="J71" s="9">
        <v>1000</v>
      </c>
      <c r="K71" s="47">
        <f t="shared" ref="K71:K79" si="45">((_xlfn.IFS((B59+100)&lt;=500,0.5,(B59+100)&lt;=1000,1,(B59+100)&lt;=1500,1.5,(B59+100)&lt;=2000,2,(B59+100)&lt;=2500,2.5,(B59+100)&lt;=3000,3)*2+(_xlfn.IFS((C59+20)&lt;=500,0.5,(C59+20)&lt;=1000,1,(C59+20)&lt;=1500,1.5,(C59+20)&lt;=2000,2,(C59+20)&lt;=2500,2.5,(C59+20)&lt;=3000,3))*2))*D59</f>
        <v>8</v>
      </c>
      <c r="L71" s="8">
        <v>25</v>
      </c>
      <c r="M71" s="9">
        <v>300</v>
      </c>
      <c r="N71" s="9">
        <f t="shared" si="44"/>
        <v>9220</v>
      </c>
      <c r="O71" s="39">
        <f t="shared" ref="O71:O79" si="46">N71/7320</f>
        <v>1.2595628415300546</v>
      </c>
      <c r="P71" s="8">
        <v>0.5</v>
      </c>
      <c r="Q71" s="9">
        <v>250</v>
      </c>
      <c r="R71" s="9">
        <v>1000</v>
      </c>
      <c r="S71" s="33">
        <f t="shared" ref="S71:S79" si="47">((_xlfn.IFS((B59+340)&lt;=500,0.5,(B59+340)&lt;=1000,1,(B59+340)&lt;=1500,1.5,(B59+340)&lt;=2000,2,(B59+340)&lt;=2500,2.5,(B59+340)&lt;=3000,3)*2+(_xlfn.IFS((C59+340)&lt;=500,0.5,(C59+340)&lt;=1000,1,(C59+340)&lt;=1500,1.5,(C59+340)&lt;=2000,2,(C59+340)&lt;=2500,2.5,(C59+340)&lt;=3000,3))*2))*D59</f>
        <v>9</v>
      </c>
      <c r="T71" s="8">
        <v>38</v>
      </c>
      <c r="U71" s="9">
        <v>600</v>
      </c>
      <c r="V71" s="9">
        <f t="shared" ref="V71:V79" si="48">(((B59+C59)*2+300)*4)*D59</f>
        <v>27200</v>
      </c>
      <c r="W71" s="39">
        <f t="shared" ref="W71:W79" si="49">V71/4800</f>
        <v>5.666666666666667</v>
      </c>
      <c r="X71" s="8">
        <v>25</v>
      </c>
      <c r="Y71" s="9">
        <v>1400</v>
      </c>
      <c r="Z71" s="9">
        <f t="shared" ref="Z71:Z79" si="50">((B59+C59)*2+300)*D59</f>
        <v>6800</v>
      </c>
      <c r="AA71" s="39">
        <f t="shared" ref="AA71:AA79" si="51">Z71/20000</f>
        <v>0.34</v>
      </c>
      <c r="AB71" s="8">
        <v>25</v>
      </c>
      <c r="AC71" s="9">
        <v>1000</v>
      </c>
      <c r="AD71" s="9">
        <f t="shared" ref="AD71:AD79" si="52">((B59+C59)*2+300)*D59</f>
        <v>6800</v>
      </c>
      <c r="AE71" s="39">
        <f t="shared" ref="AE71:AE79" si="53">AD71/20000</f>
        <v>0.34</v>
      </c>
    </row>
    <row r="72" spans="1:31" x14ac:dyDescent="0.3">
      <c r="B72" s="67"/>
      <c r="C72" s="1"/>
      <c r="D72" s="1"/>
      <c r="E72" s="1"/>
      <c r="F72" s="1"/>
      <c r="G72" s="1"/>
      <c r="H72" s="8">
        <v>0.5</v>
      </c>
      <c r="I72" s="9">
        <v>310</v>
      </c>
      <c r="J72" s="9">
        <v>1000</v>
      </c>
      <c r="K72" s="47">
        <f t="shared" si="45"/>
        <v>7</v>
      </c>
      <c r="L72" s="8">
        <v>25</v>
      </c>
      <c r="M72" s="9">
        <v>300</v>
      </c>
      <c r="N72" s="9">
        <f t="shared" si="44"/>
        <v>8920</v>
      </c>
      <c r="O72" s="39">
        <f t="shared" si="46"/>
        <v>1.2185792349726776</v>
      </c>
      <c r="P72" s="8">
        <v>0.5</v>
      </c>
      <c r="Q72" s="9">
        <v>250</v>
      </c>
      <c r="R72" s="9">
        <v>1000</v>
      </c>
      <c r="S72" s="33">
        <f t="shared" si="47"/>
        <v>9</v>
      </c>
      <c r="T72" s="8">
        <v>38</v>
      </c>
      <c r="U72" s="9">
        <v>600</v>
      </c>
      <c r="V72" s="9">
        <f t="shared" si="48"/>
        <v>26000</v>
      </c>
      <c r="W72" s="39">
        <f t="shared" si="49"/>
        <v>5.416666666666667</v>
      </c>
      <c r="X72" s="8">
        <v>25</v>
      </c>
      <c r="Y72" s="9">
        <v>1400</v>
      </c>
      <c r="Z72" s="9">
        <f t="shared" si="50"/>
        <v>6500</v>
      </c>
      <c r="AA72" s="39">
        <f t="shared" si="51"/>
        <v>0.32500000000000001</v>
      </c>
      <c r="AB72" s="8">
        <v>25</v>
      </c>
      <c r="AC72" s="9">
        <v>1000</v>
      </c>
      <c r="AD72" s="9">
        <f t="shared" si="52"/>
        <v>6500</v>
      </c>
      <c r="AE72" s="39">
        <f t="shared" si="53"/>
        <v>0.32500000000000001</v>
      </c>
    </row>
    <row r="73" spans="1:31" x14ac:dyDescent="0.3">
      <c r="B73" s="67"/>
      <c r="C73" s="1"/>
      <c r="D73" s="1"/>
      <c r="E73" s="1"/>
      <c r="F73" s="1"/>
      <c r="G73" s="1"/>
      <c r="H73" s="8">
        <v>0.5</v>
      </c>
      <c r="I73" s="9">
        <v>310</v>
      </c>
      <c r="J73" s="9">
        <v>1000</v>
      </c>
      <c r="K73" s="47">
        <f t="shared" si="45"/>
        <v>8</v>
      </c>
      <c r="L73" s="8">
        <v>25</v>
      </c>
      <c r="M73" s="9">
        <v>300</v>
      </c>
      <c r="N73" s="9">
        <f t="shared" si="44"/>
        <v>9520</v>
      </c>
      <c r="O73" s="39">
        <f t="shared" si="46"/>
        <v>1.3005464480874316</v>
      </c>
      <c r="P73" s="8">
        <v>0.5</v>
      </c>
      <c r="Q73" s="9">
        <v>250</v>
      </c>
      <c r="R73" s="9">
        <v>1000</v>
      </c>
      <c r="S73" s="33">
        <f t="shared" si="47"/>
        <v>10</v>
      </c>
      <c r="T73" s="8">
        <v>38</v>
      </c>
      <c r="U73" s="9">
        <v>600</v>
      </c>
      <c r="V73" s="9">
        <f t="shared" si="48"/>
        <v>29200</v>
      </c>
      <c r="W73" s="39">
        <f t="shared" si="49"/>
        <v>6.083333333333333</v>
      </c>
      <c r="X73" s="8">
        <v>25</v>
      </c>
      <c r="Y73" s="9">
        <v>1400</v>
      </c>
      <c r="Z73" s="9">
        <f t="shared" si="50"/>
        <v>7300</v>
      </c>
      <c r="AA73" s="39">
        <f t="shared" si="51"/>
        <v>0.36499999999999999</v>
      </c>
      <c r="AB73" s="8">
        <v>25</v>
      </c>
      <c r="AC73" s="9">
        <v>1000</v>
      </c>
      <c r="AD73" s="9">
        <f t="shared" si="52"/>
        <v>7300</v>
      </c>
      <c r="AE73" s="39">
        <f t="shared" si="53"/>
        <v>0.36499999999999999</v>
      </c>
    </row>
    <row r="74" spans="1:31" x14ac:dyDescent="0.3">
      <c r="B74" s="67"/>
      <c r="C74" s="1"/>
      <c r="D74" s="1"/>
      <c r="E74" s="1"/>
      <c r="F74" s="1"/>
      <c r="G74" s="1"/>
      <c r="H74" s="8">
        <v>0.5</v>
      </c>
      <c r="I74" s="9">
        <v>310</v>
      </c>
      <c r="J74" s="9">
        <v>1000</v>
      </c>
      <c r="K74" s="47">
        <f t="shared" si="45"/>
        <v>5</v>
      </c>
      <c r="L74" s="8">
        <v>25</v>
      </c>
      <c r="M74" s="9">
        <v>300</v>
      </c>
      <c r="N74" s="9">
        <f t="shared" si="44"/>
        <v>5920</v>
      </c>
      <c r="O74" s="39">
        <f t="shared" si="46"/>
        <v>0.80874316939890711</v>
      </c>
      <c r="P74" s="8">
        <v>0.5</v>
      </c>
      <c r="Q74" s="9">
        <v>250</v>
      </c>
      <c r="R74" s="9">
        <v>1000</v>
      </c>
      <c r="S74" s="33">
        <f t="shared" si="47"/>
        <v>7</v>
      </c>
      <c r="T74" s="8">
        <v>38</v>
      </c>
      <c r="U74" s="9">
        <v>600</v>
      </c>
      <c r="V74" s="9">
        <f t="shared" si="48"/>
        <v>17600</v>
      </c>
      <c r="W74" s="39">
        <f t="shared" si="49"/>
        <v>3.6666666666666665</v>
      </c>
      <c r="X74" s="8">
        <v>25</v>
      </c>
      <c r="Y74" s="9">
        <v>1400</v>
      </c>
      <c r="Z74" s="9">
        <f t="shared" si="50"/>
        <v>4400</v>
      </c>
      <c r="AA74" s="39">
        <f t="shared" si="51"/>
        <v>0.22</v>
      </c>
      <c r="AB74" s="8">
        <v>25</v>
      </c>
      <c r="AC74" s="9">
        <v>1000</v>
      </c>
      <c r="AD74" s="9">
        <f t="shared" si="52"/>
        <v>4400</v>
      </c>
      <c r="AE74" s="39">
        <f t="shared" si="53"/>
        <v>0.22</v>
      </c>
    </row>
    <row r="75" spans="1:31" x14ac:dyDescent="0.3">
      <c r="B75" s="67"/>
      <c r="C75" s="1"/>
      <c r="D75" s="1"/>
      <c r="E75" s="1"/>
      <c r="F75" s="1"/>
      <c r="G75" s="1"/>
      <c r="H75" s="8">
        <v>0.5</v>
      </c>
      <c r="I75" s="9">
        <v>310</v>
      </c>
      <c r="J75" s="9">
        <v>1000</v>
      </c>
      <c r="K75" s="47">
        <f t="shared" si="45"/>
        <v>0</v>
      </c>
      <c r="L75" s="8">
        <v>25</v>
      </c>
      <c r="M75" s="9">
        <v>300</v>
      </c>
      <c r="N75" s="9">
        <f t="shared" si="44"/>
        <v>0</v>
      </c>
      <c r="O75" s="39">
        <f t="shared" si="46"/>
        <v>0</v>
      </c>
      <c r="P75" s="8">
        <v>0.5</v>
      </c>
      <c r="Q75" s="9">
        <v>250</v>
      </c>
      <c r="R75" s="9">
        <v>1000</v>
      </c>
      <c r="S75" s="33">
        <f t="shared" si="47"/>
        <v>0</v>
      </c>
      <c r="T75" s="8">
        <v>38</v>
      </c>
      <c r="U75" s="9">
        <v>600</v>
      </c>
      <c r="V75" s="9">
        <f t="shared" si="48"/>
        <v>0</v>
      </c>
      <c r="W75" s="39">
        <f t="shared" si="49"/>
        <v>0</v>
      </c>
      <c r="X75" s="8">
        <v>25</v>
      </c>
      <c r="Y75" s="9">
        <v>1400</v>
      </c>
      <c r="Z75" s="9">
        <f t="shared" si="50"/>
        <v>0</v>
      </c>
      <c r="AA75" s="39">
        <f t="shared" si="51"/>
        <v>0</v>
      </c>
      <c r="AB75" s="8">
        <v>25</v>
      </c>
      <c r="AC75" s="9">
        <v>1000</v>
      </c>
      <c r="AD75" s="9">
        <f t="shared" si="52"/>
        <v>0</v>
      </c>
      <c r="AE75" s="39">
        <f t="shared" si="53"/>
        <v>0</v>
      </c>
    </row>
    <row r="76" spans="1:31" x14ac:dyDescent="0.3">
      <c r="B76" s="67"/>
      <c r="C76" s="1"/>
      <c r="D76" s="1"/>
      <c r="E76" s="1"/>
      <c r="F76" s="1"/>
      <c r="G76" s="1"/>
      <c r="H76" s="8">
        <v>0.5</v>
      </c>
      <c r="I76" s="9">
        <v>310</v>
      </c>
      <c r="J76" s="9">
        <v>1000</v>
      </c>
      <c r="K76" s="47">
        <f t="shared" si="45"/>
        <v>0</v>
      </c>
      <c r="L76" s="8">
        <v>25</v>
      </c>
      <c r="M76" s="9">
        <v>300</v>
      </c>
      <c r="N76" s="9">
        <f t="shared" si="44"/>
        <v>0</v>
      </c>
      <c r="O76" s="39">
        <f t="shared" si="46"/>
        <v>0</v>
      </c>
      <c r="P76" s="8">
        <v>0.5</v>
      </c>
      <c r="Q76" s="9">
        <v>250</v>
      </c>
      <c r="R76" s="9">
        <v>1000</v>
      </c>
      <c r="S76" s="33">
        <f t="shared" si="47"/>
        <v>0</v>
      </c>
      <c r="T76" s="8">
        <v>38</v>
      </c>
      <c r="U76" s="9">
        <v>600</v>
      </c>
      <c r="V76" s="9">
        <f t="shared" si="48"/>
        <v>0</v>
      </c>
      <c r="W76" s="39">
        <f t="shared" si="49"/>
        <v>0</v>
      </c>
      <c r="X76" s="8">
        <v>25</v>
      </c>
      <c r="Y76" s="9">
        <v>1400</v>
      </c>
      <c r="Z76" s="9">
        <f t="shared" si="50"/>
        <v>0</v>
      </c>
      <c r="AA76" s="39">
        <f t="shared" si="51"/>
        <v>0</v>
      </c>
      <c r="AB76" s="8">
        <v>25</v>
      </c>
      <c r="AC76" s="9">
        <v>1000</v>
      </c>
      <c r="AD76" s="9">
        <f t="shared" si="52"/>
        <v>0</v>
      </c>
      <c r="AE76" s="39">
        <f t="shared" si="53"/>
        <v>0</v>
      </c>
    </row>
    <row r="77" spans="1:31" x14ac:dyDescent="0.3">
      <c r="B77" s="67"/>
      <c r="C77" s="1"/>
      <c r="D77" s="1"/>
      <c r="E77" s="1"/>
      <c r="F77" s="1"/>
      <c r="G77" s="1"/>
      <c r="H77" s="8">
        <v>0.5</v>
      </c>
      <c r="I77" s="9">
        <v>310</v>
      </c>
      <c r="J77" s="9">
        <v>1000</v>
      </c>
      <c r="K77" s="47">
        <f t="shared" si="45"/>
        <v>0</v>
      </c>
      <c r="L77" s="8">
        <v>25</v>
      </c>
      <c r="M77" s="9">
        <v>300</v>
      </c>
      <c r="N77" s="9">
        <f t="shared" si="44"/>
        <v>0</v>
      </c>
      <c r="O77" s="39">
        <f t="shared" si="46"/>
        <v>0</v>
      </c>
      <c r="P77" s="8">
        <v>0.5</v>
      </c>
      <c r="Q77" s="9">
        <v>250</v>
      </c>
      <c r="R77" s="9">
        <v>1000</v>
      </c>
      <c r="S77" s="33">
        <f t="shared" si="47"/>
        <v>0</v>
      </c>
      <c r="T77" s="8">
        <v>38</v>
      </c>
      <c r="U77" s="9">
        <v>600</v>
      </c>
      <c r="V77" s="9">
        <f t="shared" si="48"/>
        <v>0</v>
      </c>
      <c r="W77" s="39">
        <f t="shared" si="49"/>
        <v>0</v>
      </c>
      <c r="X77" s="8">
        <v>25</v>
      </c>
      <c r="Y77" s="9">
        <v>1400</v>
      </c>
      <c r="Z77" s="9">
        <f t="shared" si="50"/>
        <v>0</v>
      </c>
      <c r="AA77" s="39">
        <f t="shared" si="51"/>
        <v>0</v>
      </c>
      <c r="AB77" s="8">
        <v>25</v>
      </c>
      <c r="AC77" s="9">
        <v>1000</v>
      </c>
      <c r="AD77" s="9">
        <f t="shared" si="52"/>
        <v>0</v>
      </c>
      <c r="AE77" s="39">
        <f t="shared" si="53"/>
        <v>0</v>
      </c>
    </row>
    <row r="78" spans="1:31" x14ac:dyDescent="0.3">
      <c r="B78" s="67"/>
      <c r="C78" s="1"/>
      <c r="D78" s="1"/>
      <c r="E78" s="1"/>
      <c r="F78" s="1"/>
      <c r="G78" s="1"/>
      <c r="H78" s="8">
        <v>0.5</v>
      </c>
      <c r="I78" s="9">
        <v>310</v>
      </c>
      <c r="J78" s="9">
        <v>1000</v>
      </c>
      <c r="K78" s="47">
        <f t="shared" si="45"/>
        <v>0</v>
      </c>
      <c r="L78" s="8">
        <v>25</v>
      </c>
      <c r="M78" s="9">
        <v>300</v>
      </c>
      <c r="N78" s="9">
        <f t="shared" si="44"/>
        <v>0</v>
      </c>
      <c r="O78" s="39">
        <f t="shared" si="46"/>
        <v>0</v>
      </c>
      <c r="P78" s="8">
        <v>0.5</v>
      </c>
      <c r="Q78" s="9">
        <v>250</v>
      </c>
      <c r="R78" s="9">
        <v>1000</v>
      </c>
      <c r="S78" s="33">
        <f t="shared" si="47"/>
        <v>0</v>
      </c>
      <c r="T78" s="8">
        <v>38</v>
      </c>
      <c r="U78" s="9">
        <v>600</v>
      </c>
      <c r="V78" s="9">
        <f t="shared" si="48"/>
        <v>0</v>
      </c>
      <c r="W78" s="39">
        <f t="shared" si="49"/>
        <v>0</v>
      </c>
      <c r="X78" s="8">
        <v>25</v>
      </c>
      <c r="Y78" s="9">
        <v>1400</v>
      </c>
      <c r="Z78" s="9">
        <f t="shared" si="50"/>
        <v>0</v>
      </c>
      <c r="AA78" s="39">
        <f t="shared" si="51"/>
        <v>0</v>
      </c>
      <c r="AB78" s="8">
        <v>25</v>
      </c>
      <c r="AC78" s="9">
        <v>1000</v>
      </c>
      <c r="AD78" s="9">
        <f t="shared" si="52"/>
        <v>0</v>
      </c>
      <c r="AE78" s="39">
        <f t="shared" si="53"/>
        <v>0</v>
      </c>
    </row>
    <row r="79" spans="1:31" ht="17.25" thickBot="1" x14ac:dyDescent="0.35">
      <c r="B79" s="68"/>
      <c r="C79" s="69"/>
      <c r="D79" s="69"/>
      <c r="E79" s="69"/>
      <c r="F79" s="69"/>
      <c r="G79" s="69"/>
      <c r="H79" s="11">
        <v>0.5</v>
      </c>
      <c r="I79" s="12">
        <v>310</v>
      </c>
      <c r="J79" s="12">
        <v>1000</v>
      </c>
      <c r="K79" s="48">
        <f t="shared" si="45"/>
        <v>0</v>
      </c>
      <c r="L79" s="11">
        <v>25</v>
      </c>
      <c r="M79" s="12">
        <v>300</v>
      </c>
      <c r="N79" s="12">
        <f t="shared" si="44"/>
        <v>0</v>
      </c>
      <c r="O79" s="40">
        <f t="shared" si="46"/>
        <v>0</v>
      </c>
      <c r="P79" s="11">
        <v>0.5</v>
      </c>
      <c r="Q79" s="12">
        <v>250</v>
      </c>
      <c r="R79" s="12">
        <v>1000</v>
      </c>
      <c r="S79" s="34">
        <f t="shared" si="47"/>
        <v>0</v>
      </c>
      <c r="T79" s="11">
        <v>38</v>
      </c>
      <c r="U79" s="12">
        <v>600</v>
      </c>
      <c r="V79" s="12">
        <f t="shared" si="48"/>
        <v>0</v>
      </c>
      <c r="W79" s="40">
        <f t="shared" si="49"/>
        <v>0</v>
      </c>
      <c r="X79" s="11">
        <v>25</v>
      </c>
      <c r="Y79" s="12">
        <v>1400</v>
      </c>
      <c r="Z79" s="12">
        <f t="shared" si="50"/>
        <v>0</v>
      </c>
      <c r="AA79" s="40">
        <f t="shared" si="51"/>
        <v>0</v>
      </c>
      <c r="AB79" s="11">
        <v>25</v>
      </c>
      <c r="AC79" s="12">
        <v>1000</v>
      </c>
      <c r="AD79" s="12">
        <f t="shared" si="52"/>
        <v>0</v>
      </c>
      <c r="AE79" s="40">
        <f t="shared" si="53"/>
        <v>0</v>
      </c>
    </row>
    <row r="80" spans="1:31" x14ac:dyDescent="0.3">
      <c r="H80" s="1"/>
      <c r="I80" s="1"/>
      <c r="J80" s="35" t="s">
        <v>34</v>
      </c>
      <c r="K80" s="36">
        <f>SUM(K70:K79)</f>
        <v>34</v>
      </c>
      <c r="N80" s="35" t="s">
        <v>34</v>
      </c>
      <c r="O80" s="37">
        <f>SUM(O70:O79)</f>
        <v>5.4781420765027322</v>
      </c>
      <c r="P80" s="1"/>
      <c r="Q80" s="1"/>
      <c r="R80" s="35" t="s">
        <v>34</v>
      </c>
      <c r="S80" s="36">
        <f>SUM(S70:S79)</f>
        <v>42</v>
      </c>
      <c r="T80" s="1"/>
      <c r="U80" s="1"/>
      <c r="V80" s="35" t="s">
        <v>34</v>
      </c>
      <c r="W80" s="37">
        <f>SUM(W70:W79)</f>
        <v>25.083333333333336</v>
      </c>
      <c r="X80" s="1"/>
      <c r="Y80" s="1"/>
      <c r="Z80" s="35" t="s">
        <v>34</v>
      </c>
      <c r="AA80" s="37">
        <f>SUM(AA70:AA79)</f>
        <v>1.5049999999999999</v>
      </c>
      <c r="AB80" s="1"/>
      <c r="AC80" s="1"/>
      <c r="AD80" s="35" t="s">
        <v>34</v>
      </c>
      <c r="AE80" s="37">
        <f>SUM(AE70:AE79)</f>
        <v>1.5049999999999999</v>
      </c>
    </row>
    <row r="81" spans="1:27" x14ac:dyDescent="0.3">
      <c r="B81" s="26" t="s">
        <v>4</v>
      </c>
    </row>
    <row r="83" spans="1:27" ht="16.899999999999999" customHeight="1" x14ac:dyDescent="0.3">
      <c r="B83" s="1" t="s">
        <v>0</v>
      </c>
      <c r="C83" s="64"/>
      <c r="D83" s="73"/>
      <c r="E83" s="1" t="s">
        <v>9</v>
      </c>
      <c r="F83" s="64"/>
      <c r="G83" s="73"/>
      <c r="H83" s="1" t="s">
        <v>21</v>
      </c>
      <c r="I83" s="64"/>
      <c r="J83" s="64"/>
      <c r="K83" s="65"/>
      <c r="L83" s="1" t="s">
        <v>22</v>
      </c>
      <c r="M83" s="64"/>
      <c r="N83" s="64"/>
      <c r="O83" s="65"/>
      <c r="P83" s="1" t="s">
        <v>39</v>
      </c>
      <c r="Q83" s="64"/>
      <c r="R83" s="64"/>
      <c r="S83" s="65"/>
      <c r="T83" s="1" t="s">
        <v>26</v>
      </c>
      <c r="U83" s="64"/>
      <c r="V83" s="64"/>
      <c r="W83" s="65"/>
      <c r="X83" s="66" t="s">
        <v>40</v>
      </c>
      <c r="Y83" s="64"/>
      <c r="Z83" s="64"/>
      <c r="AA83" s="65"/>
    </row>
    <row r="84" spans="1:27" ht="17.25" thickBot="1" x14ac:dyDescent="0.35">
      <c r="A84" s="1" t="s">
        <v>37</v>
      </c>
      <c r="B84" s="17" t="s">
        <v>31</v>
      </c>
      <c r="C84" s="20" t="s">
        <v>36</v>
      </c>
      <c r="D84" s="18" t="s">
        <v>1</v>
      </c>
      <c r="E84" s="17" t="s">
        <v>31</v>
      </c>
      <c r="F84" s="20" t="s">
        <v>36</v>
      </c>
      <c r="G84" s="18" t="s">
        <v>1</v>
      </c>
      <c r="H84" s="17" t="s">
        <v>29</v>
      </c>
      <c r="I84" s="20" t="s">
        <v>35</v>
      </c>
      <c r="J84" s="20" t="s">
        <v>28</v>
      </c>
      <c r="K84" s="19" t="s">
        <v>1</v>
      </c>
      <c r="L84" s="17" t="s">
        <v>29</v>
      </c>
      <c r="M84" s="20" t="s">
        <v>35</v>
      </c>
      <c r="N84" s="20" t="s">
        <v>28</v>
      </c>
      <c r="O84" s="19" t="s">
        <v>1</v>
      </c>
      <c r="P84" s="17" t="s">
        <v>29</v>
      </c>
      <c r="Q84" s="20" t="s">
        <v>35</v>
      </c>
      <c r="R84" s="20" t="s">
        <v>28</v>
      </c>
      <c r="S84" s="19" t="s">
        <v>1</v>
      </c>
      <c r="T84" s="17" t="s">
        <v>29</v>
      </c>
      <c r="U84" s="20" t="s">
        <v>35</v>
      </c>
      <c r="V84" s="20" t="s">
        <v>28</v>
      </c>
      <c r="W84" s="19" t="s">
        <v>1</v>
      </c>
      <c r="X84" s="21" t="s">
        <v>29</v>
      </c>
      <c r="Y84" s="20" t="s">
        <v>35</v>
      </c>
      <c r="Z84" s="20" t="s">
        <v>28</v>
      </c>
      <c r="AA84" s="19" t="s">
        <v>1</v>
      </c>
    </row>
    <row r="85" spans="1:27" x14ac:dyDescent="0.3">
      <c r="A85" s="45">
        <f>B85*C85/1000000</f>
        <v>0</v>
      </c>
      <c r="B85" s="5"/>
      <c r="C85" s="6"/>
      <c r="D85" s="7"/>
      <c r="E85" s="5">
        <f>B85</f>
        <v>0</v>
      </c>
      <c r="F85" s="6">
        <f>C85</f>
        <v>0</v>
      </c>
      <c r="G85" s="7">
        <f>D85</f>
        <v>0</v>
      </c>
      <c r="H85" s="5">
        <v>0.6</v>
      </c>
      <c r="I85" s="6">
        <v>60</v>
      </c>
      <c r="J85" s="6">
        <f>E85-5</f>
        <v>-5</v>
      </c>
      <c r="K85" s="7">
        <f>D85*2</f>
        <v>0</v>
      </c>
      <c r="L85" s="5">
        <v>0.6</v>
      </c>
      <c r="M85" s="6">
        <v>274</v>
      </c>
      <c r="N85" s="6">
        <f>B85-5</f>
        <v>-5</v>
      </c>
      <c r="O85" s="7">
        <f>D85*2</f>
        <v>0</v>
      </c>
      <c r="P85" s="5"/>
      <c r="Q85" s="6"/>
      <c r="R85" s="6"/>
      <c r="S85" s="7"/>
      <c r="T85" s="5">
        <v>1.6</v>
      </c>
      <c r="U85" s="6">
        <v>50</v>
      </c>
      <c r="V85" s="6">
        <f>C85</f>
        <v>0</v>
      </c>
      <c r="W85" s="7">
        <f>D85*3</f>
        <v>0</v>
      </c>
      <c r="X85" s="14"/>
      <c r="Y85" s="6"/>
      <c r="Z85" s="6"/>
      <c r="AA85" s="7"/>
    </row>
    <row r="86" spans="1:27" x14ac:dyDescent="0.3">
      <c r="A86" s="45">
        <f t="shared" ref="A86:A94" si="54">B86*C86/1000000</f>
        <v>0</v>
      </c>
      <c r="B86" s="8"/>
      <c r="C86" s="9"/>
      <c r="D86" s="10"/>
      <c r="E86" s="8">
        <f>B86</f>
        <v>0</v>
      </c>
      <c r="F86" s="9">
        <f>C86</f>
        <v>0</v>
      </c>
      <c r="G86" s="10">
        <f t="shared" ref="G86:G94" si="55">D86</f>
        <v>0</v>
      </c>
      <c r="H86" s="8">
        <v>0.6</v>
      </c>
      <c r="I86" s="9">
        <v>60</v>
      </c>
      <c r="J86" s="9">
        <f t="shared" ref="J86:J94" si="56">E86-5</f>
        <v>-5</v>
      </c>
      <c r="K86" s="10">
        <f t="shared" ref="K86:K94" si="57">D86*2</f>
        <v>0</v>
      </c>
      <c r="L86" s="8">
        <v>0.6</v>
      </c>
      <c r="M86" s="9">
        <v>274</v>
      </c>
      <c r="N86" s="9">
        <f t="shared" ref="N86:N94" si="58">B86-5</f>
        <v>-5</v>
      </c>
      <c r="O86" s="10">
        <f t="shared" ref="O86:O94" si="59">D86*2</f>
        <v>0</v>
      </c>
      <c r="P86" s="8"/>
      <c r="Q86" s="9"/>
      <c r="R86" s="9"/>
      <c r="S86" s="10"/>
      <c r="T86" s="8">
        <v>1.6</v>
      </c>
      <c r="U86" s="9">
        <v>50</v>
      </c>
      <c r="V86" s="9">
        <f t="shared" ref="V86:V94" si="60">C86</f>
        <v>0</v>
      </c>
      <c r="W86" s="10">
        <f t="shared" ref="W86:W94" si="61">D86*3</f>
        <v>0</v>
      </c>
      <c r="X86" s="15"/>
      <c r="Y86" s="9"/>
      <c r="Z86" s="9"/>
      <c r="AA86" s="10"/>
    </row>
    <row r="87" spans="1:27" x14ac:dyDescent="0.3">
      <c r="A87" s="45">
        <f t="shared" si="54"/>
        <v>0</v>
      </c>
      <c r="B87" s="8"/>
      <c r="C87" s="9"/>
      <c r="D87" s="10"/>
      <c r="E87" s="8">
        <f t="shared" ref="E87:F94" si="62">B87</f>
        <v>0</v>
      </c>
      <c r="F87" s="9">
        <f t="shared" si="62"/>
        <v>0</v>
      </c>
      <c r="G87" s="10">
        <f t="shared" si="55"/>
        <v>0</v>
      </c>
      <c r="H87" s="8">
        <v>0.6</v>
      </c>
      <c r="I87" s="9">
        <v>60</v>
      </c>
      <c r="J87" s="9">
        <f t="shared" si="56"/>
        <v>-5</v>
      </c>
      <c r="K87" s="10">
        <f t="shared" si="57"/>
        <v>0</v>
      </c>
      <c r="L87" s="8">
        <v>0.6</v>
      </c>
      <c r="M87" s="9">
        <v>274</v>
      </c>
      <c r="N87" s="9">
        <f t="shared" si="58"/>
        <v>-5</v>
      </c>
      <c r="O87" s="10">
        <f t="shared" si="59"/>
        <v>0</v>
      </c>
      <c r="P87" s="8"/>
      <c r="Q87" s="9"/>
      <c r="R87" s="9"/>
      <c r="S87" s="10"/>
      <c r="T87" s="8">
        <v>1.6</v>
      </c>
      <c r="U87" s="9">
        <v>50</v>
      </c>
      <c r="V87" s="9">
        <f t="shared" si="60"/>
        <v>0</v>
      </c>
      <c r="W87" s="10">
        <f t="shared" si="61"/>
        <v>0</v>
      </c>
      <c r="X87" s="15"/>
      <c r="Y87" s="9"/>
      <c r="Z87" s="9"/>
      <c r="AA87" s="10"/>
    </row>
    <row r="88" spans="1:27" x14ac:dyDescent="0.3">
      <c r="A88" s="45">
        <f t="shared" si="54"/>
        <v>0</v>
      </c>
      <c r="B88" s="8"/>
      <c r="C88" s="9"/>
      <c r="D88" s="10"/>
      <c r="E88" s="8">
        <f t="shared" si="62"/>
        <v>0</v>
      </c>
      <c r="F88" s="9">
        <f t="shared" si="62"/>
        <v>0</v>
      </c>
      <c r="G88" s="10">
        <f t="shared" si="55"/>
        <v>0</v>
      </c>
      <c r="H88" s="8">
        <v>0.6</v>
      </c>
      <c r="I88" s="9">
        <v>60</v>
      </c>
      <c r="J88" s="9">
        <f t="shared" si="56"/>
        <v>-5</v>
      </c>
      <c r="K88" s="10">
        <f t="shared" si="57"/>
        <v>0</v>
      </c>
      <c r="L88" s="8">
        <v>0.6</v>
      </c>
      <c r="M88" s="9">
        <v>274</v>
      </c>
      <c r="N88" s="9">
        <f t="shared" si="58"/>
        <v>-5</v>
      </c>
      <c r="O88" s="10">
        <f t="shared" si="59"/>
        <v>0</v>
      </c>
      <c r="P88" s="8"/>
      <c r="Q88" s="9"/>
      <c r="R88" s="9"/>
      <c r="S88" s="10"/>
      <c r="T88" s="8">
        <v>1.6</v>
      </c>
      <c r="U88" s="9">
        <v>50</v>
      </c>
      <c r="V88" s="9">
        <f t="shared" si="60"/>
        <v>0</v>
      </c>
      <c r="W88" s="10">
        <f t="shared" si="61"/>
        <v>0</v>
      </c>
      <c r="X88" s="15"/>
      <c r="Y88" s="9"/>
      <c r="Z88" s="9"/>
      <c r="AA88" s="10"/>
    </row>
    <row r="89" spans="1:27" x14ac:dyDescent="0.3">
      <c r="A89" s="45">
        <f t="shared" si="54"/>
        <v>0</v>
      </c>
      <c r="B89" s="8"/>
      <c r="C89" s="9"/>
      <c r="D89" s="10"/>
      <c r="E89" s="8">
        <f t="shared" si="62"/>
        <v>0</v>
      </c>
      <c r="F89" s="9">
        <f t="shared" si="62"/>
        <v>0</v>
      </c>
      <c r="G89" s="10">
        <f t="shared" si="55"/>
        <v>0</v>
      </c>
      <c r="H89" s="8">
        <v>0.6</v>
      </c>
      <c r="I89" s="9">
        <v>60</v>
      </c>
      <c r="J89" s="9">
        <f t="shared" si="56"/>
        <v>-5</v>
      </c>
      <c r="K89" s="10">
        <f t="shared" si="57"/>
        <v>0</v>
      </c>
      <c r="L89" s="8">
        <v>0.6</v>
      </c>
      <c r="M89" s="9">
        <v>274</v>
      </c>
      <c r="N89" s="9">
        <f t="shared" si="58"/>
        <v>-5</v>
      </c>
      <c r="O89" s="10">
        <f t="shared" si="59"/>
        <v>0</v>
      </c>
      <c r="P89" s="8"/>
      <c r="Q89" s="9"/>
      <c r="R89" s="9"/>
      <c r="S89" s="10"/>
      <c r="T89" s="8">
        <v>1.6</v>
      </c>
      <c r="U89" s="9">
        <v>50</v>
      </c>
      <c r="V89" s="9">
        <f t="shared" si="60"/>
        <v>0</v>
      </c>
      <c r="W89" s="10">
        <f t="shared" si="61"/>
        <v>0</v>
      </c>
      <c r="X89" s="15"/>
      <c r="Y89" s="9"/>
      <c r="Z89" s="9"/>
      <c r="AA89" s="10"/>
    </row>
    <row r="90" spans="1:27" x14ac:dyDescent="0.3">
      <c r="A90" s="45">
        <f t="shared" si="54"/>
        <v>0</v>
      </c>
      <c r="B90" s="8"/>
      <c r="C90" s="9"/>
      <c r="D90" s="10"/>
      <c r="E90" s="8">
        <f t="shared" si="62"/>
        <v>0</v>
      </c>
      <c r="F90" s="9">
        <f t="shared" si="62"/>
        <v>0</v>
      </c>
      <c r="G90" s="10">
        <f t="shared" si="55"/>
        <v>0</v>
      </c>
      <c r="H90" s="8">
        <v>0.6</v>
      </c>
      <c r="I90" s="9">
        <v>60</v>
      </c>
      <c r="J90" s="9">
        <f t="shared" si="56"/>
        <v>-5</v>
      </c>
      <c r="K90" s="10">
        <f t="shared" si="57"/>
        <v>0</v>
      </c>
      <c r="L90" s="8">
        <v>0.6</v>
      </c>
      <c r="M90" s="9">
        <v>274</v>
      </c>
      <c r="N90" s="9">
        <f t="shared" si="58"/>
        <v>-5</v>
      </c>
      <c r="O90" s="10">
        <f t="shared" si="59"/>
        <v>0</v>
      </c>
      <c r="P90" s="8"/>
      <c r="Q90" s="9"/>
      <c r="R90" s="9"/>
      <c r="S90" s="10"/>
      <c r="T90" s="8">
        <v>1.6</v>
      </c>
      <c r="U90" s="9">
        <v>50</v>
      </c>
      <c r="V90" s="9">
        <f t="shared" si="60"/>
        <v>0</v>
      </c>
      <c r="W90" s="10">
        <f t="shared" si="61"/>
        <v>0</v>
      </c>
      <c r="X90" s="15"/>
      <c r="Y90" s="9"/>
      <c r="Z90" s="9"/>
      <c r="AA90" s="10"/>
    </row>
    <row r="91" spans="1:27" x14ac:dyDescent="0.3">
      <c r="A91" s="45">
        <f t="shared" si="54"/>
        <v>0</v>
      </c>
      <c r="B91" s="8"/>
      <c r="C91" s="9"/>
      <c r="D91" s="10"/>
      <c r="E91" s="8">
        <f t="shared" si="62"/>
        <v>0</v>
      </c>
      <c r="F91" s="9">
        <f t="shared" si="62"/>
        <v>0</v>
      </c>
      <c r="G91" s="10">
        <f t="shared" si="55"/>
        <v>0</v>
      </c>
      <c r="H91" s="8">
        <v>0.6</v>
      </c>
      <c r="I91" s="9">
        <v>60</v>
      </c>
      <c r="J91" s="9">
        <f t="shared" si="56"/>
        <v>-5</v>
      </c>
      <c r="K91" s="10">
        <f t="shared" si="57"/>
        <v>0</v>
      </c>
      <c r="L91" s="8">
        <v>0.6</v>
      </c>
      <c r="M91" s="9">
        <v>274</v>
      </c>
      <c r="N91" s="9">
        <f t="shared" si="58"/>
        <v>-5</v>
      </c>
      <c r="O91" s="10">
        <f t="shared" si="59"/>
        <v>0</v>
      </c>
      <c r="P91" s="8"/>
      <c r="Q91" s="9"/>
      <c r="R91" s="9"/>
      <c r="S91" s="10"/>
      <c r="T91" s="8">
        <v>1.6</v>
      </c>
      <c r="U91" s="9">
        <v>50</v>
      </c>
      <c r="V91" s="9">
        <f t="shared" si="60"/>
        <v>0</v>
      </c>
      <c r="W91" s="10">
        <f t="shared" si="61"/>
        <v>0</v>
      </c>
      <c r="X91" s="15"/>
      <c r="Y91" s="9"/>
      <c r="Z91" s="9"/>
      <c r="AA91" s="10"/>
    </row>
    <row r="92" spans="1:27" x14ac:dyDescent="0.3">
      <c r="A92" s="45">
        <f t="shared" si="54"/>
        <v>0</v>
      </c>
      <c r="B92" s="8"/>
      <c r="C92" s="9"/>
      <c r="D92" s="10"/>
      <c r="E92" s="8">
        <f t="shared" si="62"/>
        <v>0</v>
      </c>
      <c r="F92" s="9">
        <f t="shared" si="62"/>
        <v>0</v>
      </c>
      <c r="G92" s="10">
        <f t="shared" si="55"/>
        <v>0</v>
      </c>
      <c r="H92" s="8">
        <v>0.6</v>
      </c>
      <c r="I92" s="9">
        <v>60</v>
      </c>
      <c r="J92" s="9">
        <f t="shared" si="56"/>
        <v>-5</v>
      </c>
      <c r="K92" s="10">
        <f t="shared" si="57"/>
        <v>0</v>
      </c>
      <c r="L92" s="8">
        <v>0.6</v>
      </c>
      <c r="M92" s="9">
        <v>274</v>
      </c>
      <c r="N92" s="9">
        <f t="shared" si="58"/>
        <v>-5</v>
      </c>
      <c r="O92" s="10">
        <f t="shared" si="59"/>
        <v>0</v>
      </c>
      <c r="P92" s="8"/>
      <c r="Q92" s="9"/>
      <c r="R92" s="9"/>
      <c r="S92" s="10"/>
      <c r="T92" s="8">
        <v>1.6</v>
      </c>
      <c r="U92" s="9">
        <v>50</v>
      </c>
      <c r="V92" s="9">
        <f t="shared" si="60"/>
        <v>0</v>
      </c>
      <c r="W92" s="10">
        <f t="shared" si="61"/>
        <v>0</v>
      </c>
      <c r="X92" s="15"/>
      <c r="Y92" s="9"/>
      <c r="Z92" s="9"/>
      <c r="AA92" s="10"/>
    </row>
    <row r="93" spans="1:27" x14ac:dyDescent="0.3">
      <c r="A93" s="45">
        <f t="shared" si="54"/>
        <v>0</v>
      </c>
      <c r="B93" s="8"/>
      <c r="C93" s="9"/>
      <c r="D93" s="10"/>
      <c r="E93" s="8">
        <f t="shared" si="62"/>
        <v>0</v>
      </c>
      <c r="F93" s="9">
        <f t="shared" si="62"/>
        <v>0</v>
      </c>
      <c r="G93" s="10">
        <f t="shared" si="55"/>
        <v>0</v>
      </c>
      <c r="H93" s="8">
        <v>0.6</v>
      </c>
      <c r="I93" s="9">
        <v>60</v>
      </c>
      <c r="J93" s="9">
        <f t="shared" si="56"/>
        <v>-5</v>
      </c>
      <c r="K93" s="10">
        <f t="shared" si="57"/>
        <v>0</v>
      </c>
      <c r="L93" s="8">
        <v>0.6</v>
      </c>
      <c r="M93" s="9">
        <v>274</v>
      </c>
      <c r="N93" s="9">
        <f t="shared" si="58"/>
        <v>-5</v>
      </c>
      <c r="O93" s="10">
        <f t="shared" si="59"/>
        <v>0</v>
      </c>
      <c r="P93" s="8"/>
      <c r="Q93" s="9"/>
      <c r="R93" s="9"/>
      <c r="S93" s="10"/>
      <c r="T93" s="8">
        <v>1.6</v>
      </c>
      <c r="U93" s="9">
        <v>50</v>
      </c>
      <c r="V93" s="9">
        <f t="shared" si="60"/>
        <v>0</v>
      </c>
      <c r="W93" s="10">
        <f t="shared" si="61"/>
        <v>0</v>
      </c>
      <c r="X93" s="15"/>
      <c r="Y93" s="9"/>
      <c r="Z93" s="9"/>
      <c r="AA93" s="10"/>
    </row>
    <row r="94" spans="1:27" ht="17.25" thickBot="1" x14ac:dyDescent="0.35">
      <c r="A94" s="45">
        <f t="shared" si="54"/>
        <v>0</v>
      </c>
      <c r="B94" s="11"/>
      <c r="C94" s="12"/>
      <c r="D94" s="13"/>
      <c r="E94" s="11">
        <f t="shared" si="62"/>
        <v>0</v>
      </c>
      <c r="F94" s="12">
        <f t="shared" si="62"/>
        <v>0</v>
      </c>
      <c r="G94" s="13">
        <f t="shared" si="55"/>
        <v>0</v>
      </c>
      <c r="H94" s="11">
        <v>0.6</v>
      </c>
      <c r="I94" s="12">
        <v>60</v>
      </c>
      <c r="J94" s="12">
        <f t="shared" si="56"/>
        <v>-5</v>
      </c>
      <c r="K94" s="13">
        <f t="shared" si="57"/>
        <v>0</v>
      </c>
      <c r="L94" s="11">
        <v>0.6</v>
      </c>
      <c r="M94" s="12">
        <v>274</v>
      </c>
      <c r="N94" s="12">
        <f t="shared" si="58"/>
        <v>-5</v>
      </c>
      <c r="O94" s="13">
        <f t="shared" si="59"/>
        <v>0</v>
      </c>
      <c r="P94" s="11"/>
      <c r="Q94" s="12"/>
      <c r="R94" s="12"/>
      <c r="S94" s="13"/>
      <c r="T94" s="11">
        <v>1.6</v>
      </c>
      <c r="U94" s="12">
        <v>50</v>
      </c>
      <c r="V94" s="12">
        <f t="shared" si="60"/>
        <v>0</v>
      </c>
      <c r="W94" s="13">
        <f t="shared" si="61"/>
        <v>0</v>
      </c>
      <c r="X94" s="16"/>
      <c r="Y94" s="12"/>
      <c r="Z94" s="12"/>
      <c r="AA94" s="13"/>
    </row>
    <row r="95" spans="1:27" ht="16.899999999999999" customHeight="1" x14ac:dyDescent="0.3">
      <c r="B95" s="67"/>
      <c r="C95" s="1"/>
      <c r="D95" s="1"/>
      <c r="E95" s="1"/>
      <c r="F95" s="1"/>
      <c r="G95" s="1"/>
      <c r="H95" s="70" t="s">
        <v>13</v>
      </c>
      <c r="I95" s="71"/>
      <c r="J95" s="71"/>
      <c r="K95" s="72"/>
      <c r="L95" s="70" t="s">
        <v>11</v>
      </c>
      <c r="M95" s="71"/>
      <c r="N95" s="71"/>
      <c r="O95" s="72"/>
      <c r="P95" s="70" t="s">
        <v>19</v>
      </c>
      <c r="Q95" s="71"/>
      <c r="R95" s="71"/>
      <c r="S95" s="72"/>
      <c r="T95" s="70" t="s">
        <v>6</v>
      </c>
      <c r="U95" s="71"/>
      <c r="V95" s="71"/>
      <c r="W95" s="72"/>
      <c r="X95" s="70" t="s">
        <v>3</v>
      </c>
      <c r="Y95" s="71"/>
      <c r="Z95" s="71"/>
      <c r="AA95" s="72"/>
    </row>
    <row r="96" spans="1:27" ht="17.25" thickBot="1" x14ac:dyDescent="0.35">
      <c r="B96" s="67"/>
      <c r="C96" s="1"/>
      <c r="D96" s="1"/>
      <c r="E96" s="1"/>
      <c r="F96" s="1"/>
      <c r="G96" s="1"/>
      <c r="H96" s="17" t="s">
        <v>29</v>
      </c>
      <c r="I96" s="20" t="s">
        <v>35</v>
      </c>
      <c r="J96" s="20" t="s">
        <v>28</v>
      </c>
      <c r="K96" s="19" t="s">
        <v>1</v>
      </c>
      <c r="L96" s="17" t="s">
        <v>29</v>
      </c>
      <c r="M96" s="20" t="s">
        <v>35</v>
      </c>
      <c r="N96" s="20" t="s">
        <v>28</v>
      </c>
      <c r="O96" s="29" t="s">
        <v>27</v>
      </c>
      <c r="P96" s="17" t="s">
        <v>29</v>
      </c>
      <c r="Q96" s="20" t="s">
        <v>35</v>
      </c>
      <c r="R96" s="20" t="s">
        <v>28</v>
      </c>
      <c r="S96" s="19" t="s">
        <v>1</v>
      </c>
      <c r="T96" s="30" t="s">
        <v>29</v>
      </c>
      <c r="U96" s="31" t="s">
        <v>35</v>
      </c>
      <c r="V96" s="31" t="s">
        <v>46</v>
      </c>
      <c r="W96" s="29" t="s">
        <v>27</v>
      </c>
      <c r="X96" s="30" t="s">
        <v>29</v>
      </c>
      <c r="Y96" s="31" t="s">
        <v>35</v>
      </c>
      <c r="Z96" s="31" t="s">
        <v>46</v>
      </c>
      <c r="AA96" s="29" t="s">
        <v>27</v>
      </c>
    </row>
    <row r="97" spans="2:27" x14ac:dyDescent="0.3">
      <c r="B97" s="67"/>
      <c r="C97" s="1"/>
      <c r="D97" s="1"/>
      <c r="E97" s="1"/>
      <c r="F97" s="1"/>
      <c r="G97" s="1"/>
      <c r="H97" s="5"/>
      <c r="I97" s="6"/>
      <c r="J97" s="6"/>
      <c r="K97" s="32"/>
      <c r="L97" s="5"/>
      <c r="M97" s="6"/>
      <c r="N97" s="6"/>
      <c r="O97" s="38"/>
      <c r="P97" s="5">
        <v>0.5</v>
      </c>
      <c r="Q97" s="6">
        <v>250</v>
      </c>
      <c r="R97" s="6">
        <v>1000</v>
      </c>
      <c r="S97" s="32">
        <f>((_xlfn.IFS((B85+160)&lt;=500,0.5,(B85+160)&lt;=1000,1,(B85+160)&lt;=1500,1.5,(B85+160)&lt;=2000,2,(B85+160)&lt;=2500,2.5,(B85+160)&lt;=3000,3)*2+(_xlfn.IFS((C85)&lt;=500,0.5,(C85)&lt;=1000,1,(C85)&lt;=1500,1.5,(C85)&lt;=2000,2,(C85)&lt;=2500,2.5,(C85)&lt;=3000,3))*2))*D85</f>
        <v>0</v>
      </c>
      <c r="T97" s="5">
        <v>50</v>
      </c>
      <c r="U97" s="6">
        <v>600</v>
      </c>
      <c r="V97" s="6">
        <f>((B85+C85)*2+300)*D85</f>
        <v>0</v>
      </c>
      <c r="W97" s="38">
        <f>V97/3600</f>
        <v>0</v>
      </c>
      <c r="X97" s="5">
        <v>25</v>
      </c>
      <c r="Y97" s="6">
        <v>1400</v>
      </c>
      <c r="Z97" s="6">
        <f>((B85+C85)*2+300)*D85</f>
        <v>0</v>
      </c>
      <c r="AA97" s="38">
        <f>Z97/20000</f>
        <v>0</v>
      </c>
    </row>
    <row r="98" spans="2:27" x14ac:dyDescent="0.3">
      <c r="B98" s="67"/>
      <c r="C98" s="1"/>
      <c r="D98" s="1"/>
      <c r="E98" s="1"/>
      <c r="F98" s="1"/>
      <c r="G98" s="1"/>
      <c r="H98" s="8"/>
      <c r="I98" s="9"/>
      <c r="J98" s="9"/>
      <c r="K98" s="33"/>
      <c r="L98" s="8"/>
      <c r="M98" s="9"/>
      <c r="N98" s="9"/>
      <c r="O98" s="39"/>
      <c r="P98" s="8">
        <v>0.5</v>
      </c>
      <c r="Q98" s="9">
        <v>250</v>
      </c>
      <c r="R98" s="9">
        <v>1000</v>
      </c>
      <c r="S98" s="33">
        <f t="shared" ref="S98:S106" si="63">((_xlfn.IFS((B86+160)&lt;=500,0.5,(B86+160)&lt;=1000,1,(B86+160)&lt;=1500,1.5,(B86+160)&lt;=2000,2,(B86+160)&lt;=2500,2.5,(B86+160)&lt;=3000,3)*2+(_xlfn.IFS((C86)&lt;=500,0.5,(C86)&lt;=1000,1,(C86)&lt;=1500,1.5,(C86)&lt;=2000,2,(C86)&lt;=2500,2.5,(C86)&lt;=3000,3))*2))*D86</f>
        <v>0</v>
      </c>
      <c r="T98" s="8">
        <v>50</v>
      </c>
      <c r="U98" s="9">
        <v>600</v>
      </c>
      <c r="V98" s="9">
        <f t="shared" ref="V98:V106" si="64">((B86+C86)*2+300)*D86</f>
        <v>0</v>
      </c>
      <c r="W98" s="39">
        <f t="shared" ref="W98:W106" si="65">V98/3600</f>
        <v>0</v>
      </c>
      <c r="X98" s="8">
        <v>25</v>
      </c>
      <c r="Y98" s="9">
        <v>1400</v>
      </c>
      <c r="Z98" s="9">
        <f t="shared" ref="Z98:Z106" si="66">((B86+C86)*2+300)*D86</f>
        <v>0</v>
      </c>
      <c r="AA98" s="39">
        <f t="shared" ref="AA98:AA106" si="67">Z98/20000</f>
        <v>0</v>
      </c>
    </row>
    <row r="99" spans="2:27" x14ac:dyDescent="0.3">
      <c r="B99" s="67"/>
      <c r="C99" s="1"/>
      <c r="D99" s="1"/>
      <c r="E99" s="1"/>
      <c r="F99" s="1"/>
      <c r="G99" s="1"/>
      <c r="H99" s="8"/>
      <c r="I99" s="9"/>
      <c r="J99" s="9"/>
      <c r="K99" s="33"/>
      <c r="L99" s="8"/>
      <c r="M99" s="9"/>
      <c r="N99" s="9"/>
      <c r="O99" s="39"/>
      <c r="P99" s="8">
        <v>0.5</v>
      </c>
      <c r="Q99" s="9">
        <v>250</v>
      </c>
      <c r="R99" s="9">
        <v>1000</v>
      </c>
      <c r="S99" s="33">
        <f t="shared" si="63"/>
        <v>0</v>
      </c>
      <c r="T99" s="8">
        <v>50</v>
      </c>
      <c r="U99" s="9">
        <v>600</v>
      </c>
      <c r="V99" s="9">
        <f t="shared" si="64"/>
        <v>0</v>
      </c>
      <c r="W99" s="39">
        <f t="shared" si="65"/>
        <v>0</v>
      </c>
      <c r="X99" s="8">
        <v>25</v>
      </c>
      <c r="Y99" s="9">
        <v>1400</v>
      </c>
      <c r="Z99" s="9">
        <f t="shared" si="66"/>
        <v>0</v>
      </c>
      <c r="AA99" s="39">
        <f t="shared" si="67"/>
        <v>0</v>
      </c>
    </row>
    <row r="100" spans="2:27" x14ac:dyDescent="0.3">
      <c r="B100" s="67"/>
      <c r="C100" s="1"/>
      <c r="D100" s="1"/>
      <c r="E100" s="1"/>
      <c r="F100" s="1"/>
      <c r="G100" s="1"/>
      <c r="H100" s="8"/>
      <c r="I100" s="9"/>
      <c r="J100" s="9"/>
      <c r="K100" s="33"/>
      <c r="L100" s="8"/>
      <c r="M100" s="9"/>
      <c r="N100" s="9"/>
      <c r="O100" s="39"/>
      <c r="P100" s="8">
        <v>0.5</v>
      </c>
      <c r="Q100" s="9">
        <v>250</v>
      </c>
      <c r="R100" s="9">
        <v>1000</v>
      </c>
      <c r="S100" s="33">
        <f t="shared" si="63"/>
        <v>0</v>
      </c>
      <c r="T100" s="8">
        <v>50</v>
      </c>
      <c r="U100" s="9">
        <v>600</v>
      </c>
      <c r="V100" s="9">
        <f t="shared" si="64"/>
        <v>0</v>
      </c>
      <c r="W100" s="39">
        <f t="shared" si="65"/>
        <v>0</v>
      </c>
      <c r="X100" s="8">
        <v>25</v>
      </c>
      <c r="Y100" s="9">
        <v>1400</v>
      </c>
      <c r="Z100" s="9">
        <f t="shared" si="66"/>
        <v>0</v>
      </c>
      <c r="AA100" s="39">
        <f t="shared" si="67"/>
        <v>0</v>
      </c>
    </row>
    <row r="101" spans="2:27" x14ac:dyDescent="0.3">
      <c r="B101" s="67"/>
      <c r="C101" s="1"/>
      <c r="D101" s="1"/>
      <c r="E101" s="1"/>
      <c r="F101" s="1"/>
      <c r="G101" s="1"/>
      <c r="H101" s="8"/>
      <c r="I101" s="9"/>
      <c r="J101" s="9"/>
      <c r="K101" s="33"/>
      <c r="L101" s="8"/>
      <c r="M101" s="9"/>
      <c r="N101" s="9"/>
      <c r="O101" s="39"/>
      <c r="P101" s="8">
        <v>0.5</v>
      </c>
      <c r="Q101" s="9">
        <v>250</v>
      </c>
      <c r="R101" s="9">
        <v>1000</v>
      </c>
      <c r="S101" s="33">
        <f t="shared" si="63"/>
        <v>0</v>
      </c>
      <c r="T101" s="8">
        <v>50</v>
      </c>
      <c r="U101" s="9">
        <v>600</v>
      </c>
      <c r="V101" s="9">
        <f t="shared" si="64"/>
        <v>0</v>
      </c>
      <c r="W101" s="39">
        <f t="shared" si="65"/>
        <v>0</v>
      </c>
      <c r="X101" s="8">
        <v>25</v>
      </c>
      <c r="Y101" s="9">
        <v>1400</v>
      </c>
      <c r="Z101" s="9">
        <f t="shared" si="66"/>
        <v>0</v>
      </c>
      <c r="AA101" s="39">
        <f t="shared" si="67"/>
        <v>0</v>
      </c>
    </row>
    <row r="102" spans="2:27" x14ac:dyDescent="0.3">
      <c r="B102" s="67"/>
      <c r="C102" s="1"/>
      <c r="D102" s="1"/>
      <c r="E102" s="1"/>
      <c r="F102" s="1"/>
      <c r="G102" s="1"/>
      <c r="H102" s="8"/>
      <c r="I102" s="9"/>
      <c r="J102" s="9"/>
      <c r="K102" s="33"/>
      <c r="L102" s="8"/>
      <c r="M102" s="9"/>
      <c r="N102" s="9"/>
      <c r="O102" s="39"/>
      <c r="P102" s="8">
        <v>0.5</v>
      </c>
      <c r="Q102" s="9">
        <v>250</v>
      </c>
      <c r="R102" s="9">
        <v>1000</v>
      </c>
      <c r="S102" s="33">
        <f t="shared" si="63"/>
        <v>0</v>
      </c>
      <c r="T102" s="8">
        <v>50</v>
      </c>
      <c r="U102" s="9">
        <v>600</v>
      </c>
      <c r="V102" s="9">
        <f t="shared" si="64"/>
        <v>0</v>
      </c>
      <c r="W102" s="39">
        <f t="shared" si="65"/>
        <v>0</v>
      </c>
      <c r="X102" s="8">
        <v>25</v>
      </c>
      <c r="Y102" s="9">
        <v>1400</v>
      </c>
      <c r="Z102" s="9">
        <f t="shared" si="66"/>
        <v>0</v>
      </c>
      <c r="AA102" s="39">
        <f t="shared" si="67"/>
        <v>0</v>
      </c>
    </row>
    <row r="103" spans="2:27" x14ac:dyDescent="0.3">
      <c r="B103" s="67"/>
      <c r="C103" s="1"/>
      <c r="D103" s="1"/>
      <c r="E103" s="1"/>
      <c r="F103" s="1"/>
      <c r="G103" s="1"/>
      <c r="H103" s="8"/>
      <c r="I103" s="9"/>
      <c r="J103" s="9"/>
      <c r="K103" s="33"/>
      <c r="L103" s="8"/>
      <c r="M103" s="9"/>
      <c r="N103" s="9"/>
      <c r="O103" s="39"/>
      <c r="P103" s="8">
        <v>0.5</v>
      </c>
      <c r="Q103" s="9">
        <v>250</v>
      </c>
      <c r="R103" s="9">
        <v>1000</v>
      </c>
      <c r="S103" s="33">
        <f t="shared" si="63"/>
        <v>0</v>
      </c>
      <c r="T103" s="8">
        <v>50</v>
      </c>
      <c r="U103" s="9">
        <v>600</v>
      </c>
      <c r="V103" s="9">
        <f t="shared" si="64"/>
        <v>0</v>
      </c>
      <c r="W103" s="39">
        <f t="shared" si="65"/>
        <v>0</v>
      </c>
      <c r="X103" s="8">
        <v>25</v>
      </c>
      <c r="Y103" s="9">
        <v>1400</v>
      </c>
      <c r="Z103" s="9">
        <f t="shared" si="66"/>
        <v>0</v>
      </c>
      <c r="AA103" s="39">
        <f t="shared" si="67"/>
        <v>0</v>
      </c>
    </row>
    <row r="104" spans="2:27" x14ac:dyDescent="0.3">
      <c r="B104" s="67"/>
      <c r="C104" s="1"/>
      <c r="D104" s="1"/>
      <c r="E104" s="1"/>
      <c r="F104" s="1"/>
      <c r="G104" s="1"/>
      <c r="H104" s="8"/>
      <c r="I104" s="9"/>
      <c r="J104" s="9"/>
      <c r="K104" s="33"/>
      <c r="L104" s="8"/>
      <c r="M104" s="9"/>
      <c r="N104" s="9"/>
      <c r="O104" s="39"/>
      <c r="P104" s="8">
        <v>0.5</v>
      </c>
      <c r="Q104" s="9">
        <v>250</v>
      </c>
      <c r="R104" s="9">
        <v>1000</v>
      </c>
      <c r="S104" s="33">
        <f t="shared" si="63"/>
        <v>0</v>
      </c>
      <c r="T104" s="8">
        <v>50</v>
      </c>
      <c r="U104" s="9">
        <v>600</v>
      </c>
      <c r="V104" s="9">
        <f t="shared" si="64"/>
        <v>0</v>
      </c>
      <c r="W104" s="39">
        <f t="shared" si="65"/>
        <v>0</v>
      </c>
      <c r="X104" s="8">
        <v>25</v>
      </c>
      <c r="Y104" s="9">
        <v>1400</v>
      </c>
      <c r="Z104" s="9">
        <f t="shared" si="66"/>
        <v>0</v>
      </c>
      <c r="AA104" s="39">
        <f t="shared" si="67"/>
        <v>0</v>
      </c>
    </row>
    <row r="105" spans="2:27" x14ac:dyDescent="0.3">
      <c r="B105" s="67"/>
      <c r="C105" s="1"/>
      <c r="D105" s="1"/>
      <c r="E105" s="1"/>
      <c r="F105" s="1"/>
      <c r="G105" s="1"/>
      <c r="H105" s="8"/>
      <c r="I105" s="9"/>
      <c r="J105" s="9"/>
      <c r="K105" s="33"/>
      <c r="L105" s="8"/>
      <c r="M105" s="9"/>
      <c r="N105" s="9"/>
      <c r="O105" s="39"/>
      <c r="P105" s="8">
        <v>0.5</v>
      </c>
      <c r="Q105" s="9">
        <v>250</v>
      </c>
      <c r="R105" s="9">
        <v>1000</v>
      </c>
      <c r="S105" s="33">
        <f t="shared" si="63"/>
        <v>0</v>
      </c>
      <c r="T105" s="8">
        <v>50</v>
      </c>
      <c r="U105" s="9">
        <v>600</v>
      </c>
      <c r="V105" s="9">
        <f t="shared" si="64"/>
        <v>0</v>
      </c>
      <c r="W105" s="39">
        <f t="shared" si="65"/>
        <v>0</v>
      </c>
      <c r="X105" s="8">
        <v>25</v>
      </c>
      <c r="Y105" s="9">
        <v>1400</v>
      </c>
      <c r="Z105" s="9">
        <f t="shared" si="66"/>
        <v>0</v>
      </c>
      <c r="AA105" s="39">
        <f t="shared" si="67"/>
        <v>0</v>
      </c>
    </row>
    <row r="106" spans="2:27" ht="17.25" thickBot="1" x14ac:dyDescent="0.35">
      <c r="B106" s="68"/>
      <c r="C106" s="69"/>
      <c r="D106" s="69"/>
      <c r="E106" s="69"/>
      <c r="F106" s="69"/>
      <c r="G106" s="69"/>
      <c r="H106" s="11"/>
      <c r="I106" s="12"/>
      <c r="J106" s="12"/>
      <c r="K106" s="34"/>
      <c r="L106" s="11"/>
      <c r="M106" s="12"/>
      <c r="N106" s="12"/>
      <c r="O106" s="40"/>
      <c r="P106" s="11">
        <v>0.5</v>
      </c>
      <c r="Q106" s="12">
        <v>250</v>
      </c>
      <c r="R106" s="12">
        <v>1000</v>
      </c>
      <c r="S106" s="34">
        <f t="shared" si="63"/>
        <v>0</v>
      </c>
      <c r="T106" s="11">
        <v>50</v>
      </c>
      <c r="U106" s="12">
        <v>600</v>
      </c>
      <c r="V106" s="12">
        <f t="shared" si="64"/>
        <v>0</v>
      </c>
      <c r="W106" s="40">
        <f t="shared" si="65"/>
        <v>0</v>
      </c>
      <c r="X106" s="11">
        <v>25</v>
      </c>
      <c r="Y106" s="12">
        <v>1400</v>
      </c>
      <c r="Z106" s="12">
        <f t="shared" si="66"/>
        <v>0</v>
      </c>
      <c r="AA106" s="40">
        <f t="shared" si="67"/>
        <v>0</v>
      </c>
    </row>
    <row r="107" spans="2:27" x14ac:dyDescent="0.3">
      <c r="B107" s="1"/>
      <c r="C107" s="1"/>
      <c r="D107" s="1"/>
      <c r="E107" s="1"/>
      <c r="F107" s="1"/>
      <c r="G107" s="1"/>
      <c r="H107" s="1"/>
      <c r="I107" s="1"/>
      <c r="J107" s="35" t="s">
        <v>34</v>
      </c>
      <c r="K107" s="36">
        <f>SUM(K97:K106)</f>
        <v>0</v>
      </c>
      <c r="N107" s="35" t="s">
        <v>34</v>
      </c>
      <c r="O107" s="37">
        <f>SUM(O97:O106)</f>
        <v>0</v>
      </c>
      <c r="P107" s="1"/>
      <c r="Q107" s="1"/>
      <c r="R107" s="35" t="s">
        <v>34</v>
      </c>
      <c r="S107" s="36">
        <f>SUM(S97:S106)</f>
        <v>0</v>
      </c>
      <c r="T107" s="1"/>
      <c r="U107" s="1"/>
      <c r="V107" s="35" t="s">
        <v>34</v>
      </c>
      <c r="W107" s="37">
        <f>SUM(W97:W106)</f>
        <v>0</v>
      </c>
      <c r="X107" s="1"/>
      <c r="Y107" s="1"/>
      <c r="Z107" s="35" t="s">
        <v>34</v>
      </c>
      <c r="AA107" s="37">
        <f>SUM(AA97:AA106)</f>
        <v>0</v>
      </c>
    </row>
  </sheetData>
  <autoFilter ref="B5:V25" xr:uid="{00000000-0009-0000-0000-000001000000}"/>
  <mergeCells count="44">
    <mergeCell ref="B4:H4"/>
    <mergeCell ref="I4:O4"/>
    <mergeCell ref="P4:V4"/>
    <mergeCell ref="B29:D29"/>
    <mergeCell ref="E29:G29"/>
    <mergeCell ref="H29:K29"/>
    <mergeCell ref="L29:O29"/>
    <mergeCell ref="P29:S29"/>
    <mergeCell ref="T29:W29"/>
    <mergeCell ref="X29:AA29"/>
    <mergeCell ref="B41:G52"/>
    <mergeCell ref="H41:K41"/>
    <mergeCell ref="L41:O41"/>
    <mergeCell ref="P41:S41"/>
    <mergeCell ref="T41:W41"/>
    <mergeCell ref="X41:AA41"/>
    <mergeCell ref="T56:W56"/>
    <mergeCell ref="X56:AA56"/>
    <mergeCell ref="AB56:AE56"/>
    <mergeCell ref="B68:G79"/>
    <mergeCell ref="H68:K68"/>
    <mergeCell ref="L68:O68"/>
    <mergeCell ref="P68:S68"/>
    <mergeCell ref="T68:W68"/>
    <mergeCell ref="X68:AA68"/>
    <mergeCell ref="AB68:AE68"/>
    <mergeCell ref="B56:D56"/>
    <mergeCell ref="E56:G56"/>
    <mergeCell ref="H56:K56"/>
    <mergeCell ref="L56:O56"/>
    <mergeCell ref="P56:S56"/>
    <mergeCell ref="T83:W83"/>
    <mergeCell ref="X83:AA83"/>
    <mergeCell ref="B95:G106"/>
    <mergeCell ref="H95:K95"/>
    <mergeCell ref="L95:O95"/>
    <mergeCell ref="P95:S95"/>
    <mergeCell ref="T95:W95"/>
    <mergeCell ref="X95:AA95"/>
    <mergeCell ref="B83:D83"/>
    <mergeCell ref="E83:G83"/>
    <mergeCell ref="H83:K83"/>
    <mergeCell ref="L83:O83"/>
    <mergeCell ref="P83:S83"/>
  </mergeCells>
  <phoneticPr fontId="3" type="noConversion"/>
  <pageMargins left="0.74805557727813721" right="0.74805557727813721" top="0.98430556058883667" bottom="0.98430556058883667" header="0.51138889789581299" footer="0.51138889789581299"/>
  <pageSetup paperSize="9" scale="49" fitToWidth="0" fitToHeight="0" orientation="portrait" horizontalDpi="0" verticalDpi="0"/>
  <colBreaks count="1" manualBreakCount="1">
    <brk id="20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596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벽체</vt:lpstr>
      <vt:lpstr>입상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김형민</dc:creator>
  <cp:lastModifiedBy>진영 최</cp:lastModifiedBy>
  <cp:revision>221</cp:revision>
  <dcterms:created xsi:type="dcterms:W3CDTF">2025-12-10T03:57:03Z</dcterms:created>
  <dcterms:modified xsi:type="dcterms:W3CDTF">2026-06-04T22:46:49Z</dcterms:modified>
  <cp:version>1200.0100.01</cp:version>
</cp:coreProperties>
</file>