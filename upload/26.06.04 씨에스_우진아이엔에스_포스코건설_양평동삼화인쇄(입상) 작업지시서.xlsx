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A11AC583-0488-4D42-8975-D20A542EF579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소켓인수검사'!$A$1:$G$9</definedName>
    <definedName name="_xlnm.Print_Area" localSheetId="2">'3.1 절곡(HTG1.69)(브라켓,보강대,받침대)'!$A$1:$AY$9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7" i="6" l="1"/>
  <c r="V7" i="6"/>
  <c r="T7" i="6"/>
  <c r="R7" i="6"/>
  <c r="V9" i="3"/>
  <c r="J2" i="2"/>
  <c r="AA7" i="6" l="1"/>
  <c r="P8" i="6" l="1"/>
  <c r="N8" i="6"/>
  <c r="L8" i="6"/>
  <c r="J8" i="6"/>
  <c r="H8" i="6"/>
  <c r="K12" i="4"/>
  <c r="I12" i="4"/>
  <c r="AN9" i="3"/>
  <c r="AH9" i="3"/>
  <c r="P9" i="3"/>
  <c r="J9" i="3"/>
  <c r="J1" i="6"/>
  <c r="P5" i="5"/>
  <c r="M5" i="4"/>
  <c r="M1" i="3"/>
  <c r="D1" i="1"/>
  <c r="D7" i="6" l="1"/>
  <c r="C7" i="6"/>
  <c r="B7" i="6"/>
  <c r="A7" i="6"/>
  <c r="D10" i="5"/>
  <c r="C10" i="5"/>
  <c r="B10" i="5"/>
  <c r="A10" i="5"/>
  <c r="D11" i="4"/>
  <c r="J11" i="4" s="1"/>
  <c r="C11" i="4"/>
  <c r="H11" i="4" s="1"/>
  <c r="B11" i="4"/>
  <c r="A11" i="4"/>
  <c r="AA8" i="3"/>
  <c r="Z8" i="3"/>
  <c r="O8" i="3"/>
  <c r="N8" i="3"/>
  <c r="D8" i="3"/>
  <c r="C8" i="3"/>
  <c r="A8" i="3"/>
  <c r="H8" i="2"/>
  <c r="F8" i="2"/>
  <c r="D8" i="2"/>
  <c r="N8" i="2" s="1"/>
  <c r="C8" i="2"/>
  <c r="AB8" i="2" s="1"/>
  <c r="A8" i="2"/>
  <c r="Y8" i="3" l="1"/>
  <c r="S8" i="3"/>
  <c r="AB9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8" i="2"/>
  <c r="M8" i="3"/>
  <c r="I8" i="3"/>
  <c r="F10" i="5"/>
  <c r="G10" i="5" s="1"/>
  <c r="I10" i="5" s="1"/>
  <c r="E10" i="5"/>
  <c r="F7" i="6"/>
  <c r="G7" i="6"/>
  <c r="N10" i="5" l="1"/>
  <c r="U7" i="6"/>
  <c r="AS8" i="3"/>
  <c r="W7" i="6"/>
  <c r="S7" i="6"/>
  <c r="Q7" i="6"/>
  <c r="AY8" i="3"/>
  <c r="L11" i="5"/>
  <c r="S10" i="5"/>
  <c r="U10" i="5" s="1"/>
  <c r="I7" i="6"/>
  <c r="O7" i="6"/>
  <c r="Z9" i="2" l="1"/>
  <c r="T9" i="2"/>
  <c r="N11" i="5"/>
  <c r="I11" i="5"/>
  <c r="G12" i="5" s="1"/>
  <c r="R11" i="5"/>
  <c r="G14" i="5" s="1"/>
  <c r="U11" i="5"/>
  <c r="G15" i="5" s="1"/>
  <c r="G13" i="5"/>
  <c r="AY9" i="3" l="1"/>
  <c r="V8" i="6"/>
  <c r="R8" i="6"/>
  <c r="T8" i="6"/>
  <c r="AS9" i="3"/>
  <c r="X8" i="6"/>
</calcChain>
</file>

<file path=xl/sharedStrings.xml><?xml version="1.0" encoding="utf-8"?>
<sst xmlns="http://schemas.openxmlformats.org/spreadsheetml/2006/main" count="231" uniqueCount="111">
  <si>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</si>
  <si>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</si>
  <si>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</si>
  <si>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</si>
  <si>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</si>
  <si>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</si>
  <si>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</si>
  <si>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</si>
  <si>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</si>
  <si>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</si>
  <si>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</si>
  <si>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</si>
  <si>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</si>
  <si>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</si>
  <si>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</si>
  <si>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</si>
  <si>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</si>
  <si>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</si>
  <si>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</si>
  <si>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</si>
  <si>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</si>
  <si>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</si>
  <si>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</si>
  <si>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</si>
  <si>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</si>
  <si>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</si>
  <si>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</si>
  <si>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</si>
  <si>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</si>
  <si>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</si>
  <si>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</si>
  <si>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</si>
  <si>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</si>
  <si>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</si>
  <si>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</si>
  <si>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</si>
  <si>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</si>
  <si>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</si>
  <si>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</si>
  <si>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</si>
  <si>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</si>
  <si>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</si>
  <si>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</si>
  <si>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</si>
  <si>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</si>
  <si>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</si>
  <si>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</si>
  <si>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</si>
  <si>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</si>
  <si>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</si>
  <si>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</si>
  <si>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</si>
  <si>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</si>
  <si>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</si>
  <si>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</si>
  <si>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</si>
  <si>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</si>
  <si>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</si>
  <si>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</si>
  <si>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</si>
  <si>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</si>
  <si>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</si>
  <si>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</si>
  <si>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</si>
  <si>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</si>
  <si>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</si>
  <si>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</si>
  <si>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</si>
  <si>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</si>
  <si>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</si>
  <si>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</si>
  <si>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</si>
  <si>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</si>
  <si>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</si>
  <si>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</si>
  <si>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</si>
  <si>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</si>
  <si>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</si>
  <si>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</si>
  <si>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</si>
  <si>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</si>
  <si>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</si>
  <si>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</si>
  <si>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</si>
  <si>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</si>
  <si>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</si>
  <si>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</si>
  <si>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</si>
  <si>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</si>
  <si>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</si>
  <si>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</si>
  <si>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</si>
  <si>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</si>
  <si>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</si>
  <si>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</si>
  <si>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</si>
  <si>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</si>
  <si>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</si>
  <si>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</si>
  <si>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</si>
  <si>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</si>
  <si>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</si>
  <si>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</si>
  <si>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</si>
  <si>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</si>
  <si>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</si>
  <si>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B2F</t>
  </si>
  <si>
    <t>46</t>
    <phoneticPr fontId="33" type="noConversion"/>
  </si>
  <si>
    <t>26.06.04 씨에스_우진아이엔에스_포스코건설_양평동삼화인쇄</t>
    <phoneticPr fontId="33" type="noConversion"/>
  </si>
  <si>
    <t>P392</t>
    <phoneticPr fontId="33" type="noConversion"/>
  </si>
  <si>
    <t>HTG-064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</si>
</sst>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29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0" fontId="32" fillId="0" borderId="9" xfId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32" fillId="0" borderId="19" xfId="1" applyBorder="1" applyAlignment="1">
      <alignment horizontal="center" vertical="center" wrapText="1"/>
    </xf>
    <xf numFmtId="0" fontId="7" fillId="0" borderId="19" xfId="3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2" fillId="0" borderId="20" xfId="1" applyBorder="1">
      <alignment vertical="center"/>
    </xf>
    <xf numFmtId="0" fontId="13" fillId="0" borderId="19" xfId="3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/>
    </xf>
    <xf numFmtId="0" fontId="14" fillId="5" borderId="17" xfId="3" applyFont="1" applyFill="1" applyBorder="1" applyAlignment="1">
      <alignment horizontal="center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0" fillId="0" borderId="18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7" borderId="19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shrinkToFit="1"/>
    </xf>
    <xf numFmtId="0" fontId="21" fillId="0" borderId="19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0" xfId="1" applyFont="1" applyBorder="1" applyAlignment="1">
      <alignment horizontal="center" vertical="center" wrapText="1"/>
    </xf>
    <xf numFmtId="0" fontId="2" fillId="0" borderId="20" xfId="1" applyFont="1" applyBorder="1" applyAlignment="1">
      <alignment vertical="center" wrapText="1"/>
    </xf>
    <xf numFmtId="0" fontId="10" fillId="0" borderId="20" xfId="1" applyFont="1" applyBorder="1" applyAlignment="1">
      <alignment horizontal="center" vertical="center" wrapText="1"/>
    </xf>
    <xf numFmtId="0" fontId="32" fillId="0" borderId="23" xfId="1" applyBorder="1">
      <alignment vertical="center"/>
    </xf>
    <xf numFmtId="176" fontId="32" fillId="0" borderId="30" xfId="2" applyBorder="1" applyAlignment="1">
      <alignment horizontal="center" vertical="center"/>
    </xf>
    <xf numFmtId="176" fontId="32" fillId="0" borderId="12" xfId="2" applyBorder="1" applyAlignment="1">
      <alignment horizontal="center" vertical="center"/>
    </xf>
    <xf numFmtId="0" fontId="7" fillId="11" borderId="19" xfId="3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9" fillId="0" borderId="19" xfId="1" applyFont="1" applyBorder="1">
      <alignment vertical="center"/>
    </xf>
    <xf numFmtId="0" fontId="0" fillId="2" borderId="19" xfId="0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22" fillId="7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4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51" xfId="0" applyFont="1" applyBorder="1">
      <alignment vertical="center"/>
    </xf>
    <xf numFmtId="0" fontId="23" fillId="0" borderId="52" xfId="0" applyFont="1" applyBorder="1">
      <alignment vertical="center"/>
    </xf>
    <xf numFmtId="0" fontId="23" fillId="0" borderId="63" xfId="0" applyFont="1" applyBorder="1">
      <alignment vertical="center"/>
    </xf>
    <xf numFmtId="0" fontId="11" fillId="0" borderId="66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4" fillId="0" borderId="24" xfId="1" applyFont="1" applyBorder="1">
      <alignment vertical="center"/>
    </xf>
    <xf numFmtId="0" fontId="4" fillId="0" borderId="59" xfId="1" applyFont="1" applyBorder="1">
      <alignment vertical="center"/>
    </xf>
    <xf numFmtId="0" fontId="4" fillId="0" borderId="63" xfId="1" applyFont="1" applyBorder="1">
      <alignment vertical="center"/>
    </xf>
    <xf numFmtId="0" fontId="2" fillId="0" borderId="0" xfId="3" applyFont="1">
      <alignment vertical="center"/>
    </xf>
    <xf numFmtId="0" fontId="10" fillId="8" borderId="20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19" xfId="1" applyFont="1" applyBorder="1" applyAlignment="1">
      <alignment vertical="center" wrapText="1"/>
    </xf>
    <xf numFmtId="0" fontId="32" fillId="4" borderId="19" xfId="1" applyFill="1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19" xfId="1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32" fillId="0" borderId="19" xfId="1" applyBorder="1" applyAlignment="1">
      <alignment vertical="center" wrapText="1"/>
    </xf>
    <xf numFmtId="0" fontId="34" fillId="0" borderId="19" xfId="1" applyFont="1" applyBorder="1" applyAlignment="1">
      <alignment vertical="center" wrapText="1"/>
    </xf>
    <xf numFmtId="0" fontId="25" fillId="0" borderId="19" xfId="1" applyFont="1" applyBorder="1" applyAlignment="1">
      <alignment vertical="center" wrapText="1"/>
    </xf>
    <xf numFmtId="176" fontId="32" fillId="0" borderId="19" xfId="1" applyNumberFormat="1" applyBorder="1" applyAlignment="1">
      <alignment horizontal="center" vertical="center" wrapText="1"/>
    </xf>
    <xf numFmtId="0" fontId="22" fillId="7" borderId="19" xfId="0" applyFont="1" applyFill="1" applyBorder="1" applyAlignment="1">
      <alignment vertical="center" wrapText="1"/>
    </xf>
    <xf numFmtId="0" fontId="2" fillId="0" borderId="29" xfId="1" applyFont="1" applyBorder="1" applyAlignment="1">
      <alignment vertical="center" wrapText="1"/>
    </xf>
    <xf numFmtId="0" fontId="17" fillId="0" borderId="19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5" fillId="0" borderId="19" xfId="1" applyFont="1" applyBorder="1" applyAlignment="1">
      <alignment horizontal="center" vertical="center" wrapText="1"/>
    </xf>
    <xf numFmtId="0" fontId="4" fillId="0" borderId="33" xfId="3" applyFont="1" applyBorder="1" applyAlignment="1">
      <alignment horizontal="left" vertical="center"/>
    </xf>
    <xf numFmtId="0" fontId="3" fillId="9" borderId="34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2" xfId="3" applyFont="1" applyFill="1" applyBorder="1" applyAlignment="1">
      <alignment horizontal="center" vertical="center" wrapText="1"/>
    </xf>
    <xf numFmtId="0" fontId="4" fillId="0" borderId="50" xfId="3" applyFont="1" applyBorder="1" applyAlignment="1">
      <alignment horizontal="center" vertical="center" wrapText="1"/>
    </xf>
    <xf numFmtId="0" fontId="36" fillId="0" borderId="51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55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38" fillId="0" borderId="51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33" xfId="3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1" xfId="3" applyFill="1" applyBorder="1" applyAlignment="1">
      <alignment horizontal="center" vertical="center" wrapText="1"/>
    </xf>
    <xf numFmtId="0" fontId="1" fillId="9" borderId="32" xfId="3" applyFill="1" applyBorder="1" applyAlignment="1">
      <alignment horizontal="center" vertical="center" wrapText="1"/>
    </xf>
    <xf numFmtId="0" fontId="3" fillId="9" borderId="31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72" xfId="1" applyFont="1" applyFill="1" applyBorder="1" applyAlignment="1">
      <alignment horizontal="center" vertical="center" wrapText="1"/>
    </xf>
    <xf numFmtId="0" fontId="10" fillId="3" borderId="73" xfId="1" applyFont="1" applyFill="1" applyBorder="1" applyAlignment="1">
      <alignment horizontal="center" vertical="center" wrapText="1"/>
    </xf>
    <xf numFmtId="0" fontId="10" fillId="3" borderId="71" xfId="0" applyFont="1" applyFill="1" applyBorder="1" applyAlignment="1">
      <alignment horizontal="center" vertical="center" wrapText="1"/>
    </xf>
    <xf numFmtId="0" fontId="10" fillId="3" borderId="42" xfId="0" applyFont="1" applyFill="1" applyBorder="1" applyAlignment="1">
      <alignment horizontal="center" vertical="center" wrapText="1"/>
    </xf>
    <xf numFmtId="0" fontId="10" fillId="3" borderId="74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177" fontId="9" fillId="0" borderId="19" xfId="1" applyNumberFormat="1" applyFont="1" applyBorder="1" applyAlignment="1">
      <alignment horizontal="center" vertical="center" wrapText="1"/>
    </xf>
    <xf numFmtId="177" fontId="12" fillId="0" borderId="72" xfId="1" applyNumberFormat="1" applyFont="1" applyBorder="1" applyAlignment="1">
      <alignment horizontal="center" vertical="center" wrapText="1"/>
    </xf>
    <xf numFmtId="177" fontId="12" fillId="0" borderId="73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6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0" fontId="2" fillId="4" borderId="19" xfId="1" applyFont="1" applyFill="1" applyBorder="1" applyAlignment="1">
      <alignment horizontal="center" vertical="center" wrapText="1"/>
    </xf>
    <xf numFmtId="0" fontId="32" fillId="0" borderId="64" xfId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19" xfId="1" applyFill="1" applyBorder="1" applyAlignment="1">
      <alignment horizontal="center" vertical="center"/>
    </xf>
    <xf numFmtId="0" fontId="26" fillId="0" borderId="4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48" xfId="1" applyFont="1" applyBorder="1" applyAlignment="1">
      <alignment horizontal="center" vertical="center"/>
    </xf>
    <xf numFmtId="0" fontId="26" fillId="0" borderId="45" xfId="1" applyFont="1" applyBorder="1" applyAlignment="1">
      <alignment horizontal="center" vertical="center" wrapText="1"/>
    </xf>
    <xf numFmtId="0" fontId="26" fillId="0" borderId="4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47" xfId="1" applyFont="1" applyBorder="1" applyAlignment="1">
      <alignment horizontal="center" vertical="center" wrapText="1"/>
    </xf>
    <xf numFmtId="0" fontId="26" fillId="0" borderId="48" xfId="1" applyFont="1" applyBorder="1" applyAlignment="1">
      <alignment horizontal="center" vertical="center" wrapText="1"/>
    </xf>
    <xf numFmtId="0" fontId="26" fillId="0" borderId="49" xfId="1" applyFont="1" applyBorder="1" applyAlignment="1">
      <alignment horizontal="center" vertical="center" wrapText="1"/>
    </xf>
    <xf numFmtId="177" fontId="32" fillId="0" borderId="19" xfId="1" applyNumberForma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177" fontId="34" fillId="0" borderId="19" xfId="1" applyNumberFormat="1" applyFont="1" applyBorder="1" applyAlignment="1">
      <alignment horizontal="center" vertical="center"/>
    </xf>
    <xf numFmtId="0" fontId="17" fillId="2" borderId="19" xfId="1" applyFont="1" applyFill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32" fillId="0" borderId="19" xfId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 shrinkToFit="1"/>
    </xf>
    <xf numFmtId="0" fontId="0" fillId="0" borderId="37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38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7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2" fillId="0" borderId="36" xfId="1" applyBorder="1" applyAlignment="1">
      <alignment horizontal="center" vertical="center"/>
    </xf>
    <xf numFmtId="0" fontId="32" fillId="0" borderId="37" xfId="1" applyBorder="1" applyAlignment="1">
      <alignment horizontal="center" vertical="center"/>
    </xf>
    <xf numFmtId="0" fontId="32" fillId="0" borderId="24" xfId="1" applyBorder="1" applyAlignment="1">
      <alignment horizontal="center" vertical="center"/>
    </xf>
    <xf numFmtId="0" fontId="32" fillId="0" borderId="38" xfId="1" applyBorder="1" applyAlignment="1">
      <alignment horizontal="center" vertical="center"/>
    </xf>
    <xf numFmtId="0" fontId="32" fillId="0" borderId="15" xfId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0" fontId="4" fillId="0" borderId="54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32" fillId="0" borderId="57" xfId="1" applyBorder="1" applyAlignment="1">
      <alignment horizontal="center" vertical="center"/>
    </xf>
    <xf numFmtId="0" fontId="32" fillId="0" borderId="58" xfId="1" applyBorder="1" applyAlignment="1">
      <alignment horizontal="center" vertical="center"/>
    </xf>
    <xf numFmtId="0" fontId="32" fillId="0" borderId="60" xfId="1" applyBorder="1" applyAlignment="1">
      <alignment horizontal="center" vertical="center"/>
    </xf>
    <xf numFmtId="0" fontId="32" fillId="0" borderId="61" xfId="1" applyBorder="1" applyAlignment="1">
      <alignment horizontal="center" vertical="center"/>
    </xf>
    <xf numFmtId="0" fontId="32" fillId="0" borderId="62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32" fillId="0" borderId="17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10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9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24" t="s">
        <v>88</v>
      </c>
      <c r="B1" s="125"/>
      <c r="C1" s="125"/>
      <c r="D1" s="130" t="str">
        <f>R1</f>
        <v>26.06.04 씨에스_우진아이엔에스_포스코건설_양평동삼화인쇄</v>
      </c>
      <c r="E1" s="131"/>
      <c r="F1" s="131"/>
      <c r="G1" s="132"/>
      <c r="R1" s="92" t="s">
        <v>108</v>
      </c>
    </row>
    <row r="2" spans="1:18" ht="12.75" customHeight="1">
      <c r="A2" s="126"/>
      <c r="B2" s="127"/>
      <c r="C2" s="127"/>
      <c r="D2" s="133"/>
      <c r="E2" s="133"/>
      <c r="F2" s="133"/>
      <c r="G2" s="134"/>
    </row>
    <row r="3" spans="1:18" ht="13.5" customHeight="1">
      <c r="A3" s="126"/>
      <c r="B3" s="127"/>
      <c r="C3" s="127"/>
      <c r="D3" s="133"/>
      <c r="E3" s="133"/>
      <c r="F3" s="133"/>
      <c r="G3" s="134"/>
    </row>
    <row r="4" spans="1:18" ht="17.25" customHeight="1" thickBot="1">
      <c r="A4" s="128"/>
      <c r="B4" s="129"/>
      <c r="C4" s="129"/>
      <c r="D4" s="135"/>
      <c r="E4" s="135"/>
      <c r="F4" s="135"/>
      <c r="G4" s="136"/>
    </row>
    <row r="5" spans="1:18" ht="6.75" customHeight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37" t="s">
        <v>4</v>
      </c>
      <c r="B6" s="122" t="s">
        <v>32</v>
      </c>
      <c r="C6" s="141" t="s">
        <v>26</v>
      </c>
      <c r="D6" s="141"/>
      <c r="E6" s="141" t="s">
        <v>80</v>
      </c>
      <c r="F6" s="122" t="s">
        <v>45</v>
      </c>
      <c r="G6" s="122" t="s">
        <v>5</v>
      </c>
      <c r="H6" s="9"/>
      <c r="I6" s="119" t="s">
        <v>55</v>
      </c>
      <c r="J6" s="119"/>
      <c r="K6" s="119"/>
      <c r="L6" s="119"/>
      <c r="M6" s="119"/>
      <c r="N6" s="119"/>
      <c r="O6" s="8"/>
    </row>
    <row r="7" spans="1:18" s="10" customFormat="1" ht="18" customHeight="1">
      <c r="A7" s="138"/>
      <c r="B7" s="140"/>
      <c r="C7" s="120" t="s">
        <v>28</v>
      </c>
      <c r="D7" s="122" t="s">
        <v>16</v>
      </c>
      <c r="E7" s="141"/>
      <c r="F7" s="140"/>
      <c r="G7" s="14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9"/>
      <c r="B8" s="123"/>
      <c r="C8" s="121"/>
      <c r="D8" s="123"/>
      <c r="E8" s="141"/>
      <c r="F8" s="123"/>
      <c r="G8" s="123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>
      <c r="A9" s="94" t="s">
        <v>107</v>
      </c>
      <c r="B9" s="29" t="s">
        <v>110</v>
      </c>
      <c r="C9" s="23">
        <v>200</v>
      </c>
      <c r="D9" s="23">
        <v>150</v>
      </c>
      <c r="E9" s="13"/>
      <c r="F9" s="14"/>
      <c r="G9" s="14" t="s">
        <v>106</v>
      </c>
      <c r="H9" s="15"/>
      <c r="I9" s="64"/>
      <c r="J9" s="65"/>
      <c r="K9" s="16"/>
      <c r="L9" s="17"/>
      <c r="M9" s="18"/>
      <c r="N9" s="65"/>
      <c r="O9" s="8"/>
      <c r="Q9" s="10" t="s">
        <v>109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16"/>
  <sheetViews>
    <sheetView topLeftCell="A2" zoomScale="115" zoomScaleNormal="115" zoomScaleSheetLayoutView="115" workbookViewId="0">
      <pane ySplit="6" topLeftCell="A8" activePane="bottomLeft" state="frozen"/>
      <selection pane="bottomLeft" activeCell="S22" sqref="S22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42"/>
      <c r="B1" s="143"/>
      <c r="C1" s="143"/>
      <c r="D1" s="143"/>
      <c r="E1" s="83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5"/>
    </row>
    <row r="2" spans="1:37" ht="38.25" customHeight="1">
      <c r="A2" s="144"/>
      <c r="B2" s="145"/>
      <c r="C2" s="145"/>
      <c r="D2" s="145"/>
      <c r="E2" s="82"/>
      <c r="F2" s="156" t="s">
        <v>81</v>
      </c>
      <c r="G2" s="157"/>
      <c r="H2" s="157"/>
      <c r="I2" s="157"/>
      <c r="J2" s="160" t="str">
        <f>'1. 소켓인수검사'!R1</f>
        <v>26.06.04 씨에스_우진아이엔에스_포스코건설_양평동삼화인쇄</v>
      </c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1"/>
    </row>
    <row r="3" spans="1:37" ht="38.25" customHeight="1" thickBot="1">
      <c r="A3" s="146"/>
      <c r="B3" s="147"/>
      <c r="C3" s="147"/>
      <c r="D3" s="147"/>
      <c r="E3" s="86"/>
      <c r="F3" s="158"/>
      <c r="G3" s="159"/>
      <c r="H3" s="159"/>
      <c r="I3" s="159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3"/>
    </row>
    <row r="4" spans="1:37" ht="8.1" customHeight="1">
      <c r="A4" s="148"/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8"/>
    </row>
    <row r="5" spans="1:37" s="22" customFormat="1" ht="26.45" customHeight="1">
      <c r="A5" s="150" t="s">
        <v>27</v>
      </c>
      <c r="B5" s="152" t="s">
        <v>32</v>
      </c>
      <c r="C5" s="154" t="s">
        <v>26</v>
      </c>
      <c r="D5" s="154"/>
      <c r="E5" s="154" t="s">
        <v>43</v>
      </c>
      <c r="F5" s="167" t="s">
        <v>48</v>
      </c>
      <c r="G5" s="168"/>
      <c r="H5" s="168"/>
      <c r="I5" s="168"/>
      <c r="J5" s="168"/>
      <c r="K5" s="168"/>
      <c r="L5" s="168"/>
      <c r="M5" s="168"/>
      <c r="N5" s="168"/>
      <c r="O5" s="168"/>
      <c r="P5" s="169"/>
      <c r="Q5" s="154" t="s">
        <v>0</v>
      </c>
      <c r="R5" s="154"/>
      <c r="S5" s="154"/>
      <c r="T5" s="154"/>
      <c r="U5" s="154"/>
      <c r="V5" s="154"/>
      <c r="W5" s="154"/>
      <c r="X5" s="154"/>
      <c r="Y5" s="154"/>
      <c r="Z5" s="154"/>
      <c r="AA5" s="170" t="s">
        <v>5</v>
      </c>
      <c r="AB5" s="22">
        <v>15</v>
      </c>
      <c r="AC5" s="22">
        <v>50</v>
      </c>
    </row>
    <row r="6" spans="1:37" s="22" customFormat="1" ht="16.5" customHeight="1">
      <c r="A6" s="151"/>
      <c r="B6" s="153"/>
      <c r="C6" s="155" t="s">
        <v>28</v>
      </c>
      <c r="D6" s="155" t="s">
        <v>16</v>
      </c>
      <c r="E6" s="155"/>
      <c r="F6" s="164" t="s">
        <v>103</v>
      </c>
      <c r="G6" s="164"/>
      <c r="H6" s="164"/>
      <c r="I6" s="164" t="s">
        <v>104</v>
      </c>
      <c r="J6" s="164"/>
      <c r="K6" s="164"/>
      <c r="L6" s="164"/>
      <c r="M6" s="164" t="s">
        <v>105</v>
      </c>
      <c r="N6" s="164"/>
      <c r="O6" s="164"/>
      <c r="P6" s="164"/>
      <c r="Q6" s="164" t="s">
        <v>71</v>
      </c>
      <c r="R6" s="164"/>
      <c r="S6" s="164"/>
      <c r="T6" s="164"/>
      <c r="U6" s="164" t="s">
        <v>72</v>
      </c>
      <c r="V6" s="164"/>
      <c r="W6" s="164"/>
      <c r="X6" s="164"/>
      <c r="Y6" s="164"/>
      <c r="Z6" s="164"/>
      <c r="AA6" s="171"/>
      <c r="AG6" s="97" t="s">
        <v>100</v>
      </c>
      <c r="AK6" s="98" t="s">
        <v>99</v>
      </c>
    </row>
    <row r="7" spans="1:37" s="22" customFormat="1" ht="16.5" customHeight="1">
      <c r="A7" s="151"/>
      <c r="B7" s="153"/>
      <c r="C7" s="155"/>
      <c r="D7" s="155"/>
      <c r="E7" s="155"/>
      <c r="F7" s="72" t="s">
        <v>20</v>
      </c>
      <c r="G7" s="72" t="s">
        <v>26</v>
      </c>
      <c r="H7" s="72" t="s">
        <v>36</v>
      </c>
      <c r="I7" s="72" t="s">
        <v>20</v>
      </c>
      <c r="J7" s="165" t="s">
        <v>26</v>
      </c>
      <c r="K7" s="166"/>
      <c r="L7" s="72" t="s">
        <v>36</v>
      </c>
      <c r="M7" s="72" t="s">
        <v>20</v>
      </c>
      <c r="N7" s="165" t="s">
        <v>102</v>
      </c>
      <c r="O7" s="166"/>
      <c r="P7" s="72" t="s">
        <v>36</v>
      </c>
      <c r="Q7" s="72" t="s">
        <v>31</v>
      </c>
      <c r="R7" s="72" t="s">
        <v>20</v>
      </c>
      <c r="S7" s="72" t="s">
        <v>26</v>
      </c>
      <c r="T7" s="72" t="s">
        <v>36</v>
      </c>
      <c r="U7" s="72" t="s">
        <v>31</v>
      </c>
      <c r="V7" s="72" t="s">
        <v>20</v>
      </c>
      <c r="W7" s="164" t="s">
        <v>26</v>
      </c>
      <c r="X7" s="164"/>
      <c r="Y7" s="164"/>
      <c r="Z7" s="72" t="s">
        <v>36</v>
      </c>
      <c r="AA7" s="171"/>
      <c r="AB7" s="22" t="s">
        <v>89</v>
      </c>
      <c r="AC7" s="22" t="s">
        <v>90</v>
      </c>
      <c r="AD7" s="22" t="s">
        <v>91</v>
      </c>
      <c r="AE7" s="22" t="s">
        <v>92</v>
      </c>
      <c r="AF7" s="22" t="s">
        <v>93</v>
      </c>
      <c r="AG7" s="22" t="s">
        <v>94</v>
      </c>
      <c r="AH7" s="22" t="s">
        <v>95</v>
      </c>
      <c r="AI7" s="22" t="s">
        <v>96</v>
      </c>
      <c r="AJ7" s="22" t="s">
        <v>97</v>
      </c>
      <c r="AK7" s="22" t="s">
        <v>98</v>
      </c>
    </row>
    <row r="8" spans="1:37">
      <c r="A8" s="32" t="str">
        <f>'1. 소켓인수검사'!A9</f>
        <v>46</v>
      </c>
      <c r="B8" s="43" t="s">
        <v>1</v>
      </c>
      <c r="C8" s="36">
        <f>'1. 소켓인수검사'!C9</f>
        <v>200</v>
      </c>
      <c r="D8" s="36">
        <f>'1. 소켓인수검사'!D9</f>
        <v>150</v>
      </c>
      <c r="E8" s="34"/>
      <c r="F8" s="111">
        <f>255</f>
        <v>255</v>
      </c>
      <c r="G8" s="35">
        <f>C8-5</f>
        <v>195</v>
      </c>
      <c r="H8" s="36">
        <f>3*2</f>
        <v>6</v>
      </c>
      <c r="I8" s="111">
        <v>255</v>
      </c>
      <c r="J8" s="185"/>
      <c r="K8" s="186"/>
      <c r="L8" s="36"/>
      <c r="M8" s="111">
        <v>255</v>
      </c>
      <c r="N8" s="185">
        <f>D8-35</f>
        <v>115</v>
      </c>
      <c r="O8" s="186"/>
      <c r="P8" s="36">
        <v>2</v>
      </c>
      <c r="Q8" s="112" t="s">
        <v>10</v>
      </c>
      <c r="R8" s="113">
        <v>185</v>
      </c>
      <c r="S8" s="114">
        <v>1000</v>
      </c>
      <c r="T8" s="36">
        <f>+AK8*2</f>
        <v>4</v>
      </c>
      <c r="U8" s="112" t="s">
        <v>10</v>
      </c>
      <c r="V8" s="113">
        <v>125</v>
      </c>
      <c r="W8" s="187">
        <v>1000</v>
      </c>
      <c r="X8" s="188"/>
      <c r="Y8" s="189"/>
      <c r="Z8" s="36">
        <f>+AG8</f>
        <v>2</v>
      </c>
      <c r="AA8" s="40"/>
      <c r="AB8">
        <f xml:space="preserve"> C8+$AC$5*2</f>
        <v>300</v>
      </c>
      <c r="AC8">
        <f xml:space="preserve"> D8+$AC$5*2</f>
        <v>250</v>
      </c>
      <c r="AD8">
        <f>(AB8+AC8)*2</f>
        <v>1100</v>
      </c>
      <c r="AE8">
        <f>AD8/1000</f>
        <v>1.1000000000000001</v>
      </c>
      <c r="AF8" s="95">
        <f>AE8*(1+$AB$5/100)</f>
        <v>1.2649999999999999</v>
      </c>
      <c r="AG8" s="96">
        <f>CEILING(AF8,1)</f>
        <v>2</v>
      </c>
      <c r="AH8">
        <f>D8*2+AB8*2</f>
        <v>900</v>
      </c>
      <c r="AI8">
        <f>AH8/1000</f>
        <v>0.9</v>
      </c>
      <c r="AJ8" s="95">
        <f>AI8*(1+$AB$5/100)</f>
        <v>1.0349999999999999</v>
      </c>
      <c r="AK8" s="99">
        <f>CEILING(AJ8,1)</f>
        <v>2</v>
      </c>
    </row>
    <row r="9" spans="1:37">
      <c r="A9" s="182" t="s">
        <v>25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41">
        <f>SUM(T8:T8)</f>
        <v>4</v>
      </c>
      <c r="U9" s="73"/>
      <c r="V9" s="74"/>
      <c r="W9" s="184"/>
      <c r="X9" s="184"/>
      <c r="Y9" s="184"/>
      <c r="Z9" s="41">
        <f>SUM(Z8:Z8)</f>
        <v>2</v>
      </c>
      <c r="AA9" s="40"/>
    </row>
    <row r="10" spans="1:37" ht="8.1" customHeight="1">
      <c r="A10" s="148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5"/>
      <c r="N10" s="5"/>
      <c r="O10" s="5"/>
      <c r="P10" s="5"/>
      <c r="AA10" s="5"/>
    </row>
    <row r="11" spans="1:37">
      <c r="A11" s="172" t="s">
        <v>6</v>
      </c>
      <c r="B11" s="172"/>
      <c r="C11" s="172"/>
      <c r="D11" s="173" t="s">
        <v>61</v>
      </c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5"/>
    </row>
    <row r="12" spans="1:37">
      <c r="A12" s="172"/>
      <c r="B12" s="172"/>
      <c r="C12" s="172"/>
      <c r="D12" s="176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8"/>
    </row>
    <row r="13" spans="1:37">
      <c r="A13" s="172"/>
      <c r="B13" s="172"/>
      <c r="C13" s="172"/>
      <c r="D13" s="176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8"/>
    </row>
    <row r="14" spans="1:37">
      <c r="A14" s="172"/>
      <c r="B14" s="172"/>
      <c r="C14" s="172"/>
      <c r="D14" s="176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8"/>
    </row>
    <row r="15" spans="1:37">
      <c r="A15" s="172"/>
      <c r="B15" s="172"/>
      <c r="C15" s="172"/>
      <c r="D15" s="176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8"/>
    </row>
    <row r="16" spans="1:37">
      <c r="A16" s="172"/>
      <c r="B16" s="172"/>
      <c r="C16" s="172"/>
      <c r="D16" s="179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1"/>
    </row>
  </sheetData>
  <mergeCells count="29">
    <mergeCell ref="J8:K8"/>
    <mergeCell ref="W8:Y8"/>
    <mergeCell ref="N8:O8"/>
    <mergeCell ref="C6:C7"/>
    <mergeCell ref="D6:D7"/>
    <mergeCell ref="F6:H6"/>
    <mergeCell ref="I6:L6"/>
    <mergeCell ref="Q6:T6"/>
    <mergeCell ref="A10:L10"/>
    <mergeCell ref="A11:C16"/>
    <mergeCell ref="D11:AA16"/>
    <mergeCell ref="A9:S9"/>
    <mergeCell ref="W9:Y9"/>
    <mergeCell ref="A1:D3"/>
    <mergeCell ref="A4:L4"/>
    <mergeCell ref="A5:A7"/>
    <mergeCell ref="B5:B7"/>
    <mergeCell ref="C5:D5"/>
    <mergeCell ref="E5:E7"/>
    <mergeCell ref="F2:I3"/>
    <mergeCell ref="J2:AA3"/>
    <mergeCell ref="M6:P6"/>
    <mergeCell ref="N7:O7"/>
    <mergeCell ref="F5:P5"/>
    <mergeCell ref="Q5:Z5"/>
    <mergeCell ref="AA5:AA7"/>
    <mergeCell ref="U6:Z6"/>
    <mergeCell ref="J7:K7"/>
    <mergeCell ref="W7:Y7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9"/>
  <sheetViews>
    <sheetView view="pageBreakPreview" zoomScale="85" zoomScaleNormal="85" zoomScaleSheetLayoutView="85" workbookViewId="0">
      <pane ySplit="7" topLeftCell="A8" activePane="bottomLeft" state="frozen"/>
      <selection pane="bottomLeft" activeCell="A9" sqref="A9:XFD127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191"/>
      <c r="B1" s="192"/>
      <c r="C1" s="192"/>
      <c r="D1" s="192"/>
      <c r="E1" s="192"/>
      <c r="F1" s="87"/>
      <c r="G1" s="199" t="s">
        <v>82</v>
      </c>
      <c r="H1" s="199"/>
      <c r="I1" s="199"/>
      <c r="J1" s="199"/>
      <c r="K1" s="199"/>
      <c r="L1" s="199"/>
      <c r="M1" s="202" t="str">
        <f>'1. 소켓인수검사'!R1</f>
        <v>26.06.04 씨에스_우진아이엔에스_포스코건설_양평동삼화인쇄</v>
      </c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3"/>
    </row>
    <row r="2" spans="1:51" ht="41.25">
      <c r="A2" s="193"/>
      <c r="B2" s="194"/>
      <c r="C2" s="194"/>
      <c r="D2" s="194"/>
      <c r="E2" s="194"/>
      <c r="F2" s="26"/>
      <c r="G2" s="200"/>
      <c r="H2" s="200"/>
      <c r="I2" s="200"/>
      <c r="J2" s="200"/>
      <c r="K2" s="200"/>
      <c r="L2" s="200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5"/>
    </row>
    <row r="3" spans="1:51" ht="42" thickBot="1">
      <c r="A3" s="195"/>
      <c r="B3" s="196"/>
      <c r="C3" s="196"/>
      <c r="D3" s="196"/>
      <c r="E3" s="196"/>
      <c r="F3" s="88"/>
      <c r="G3" s="201"/>
      <c r="H3" s="201"/>
      <c r="I3" s="201"/>
      <c r="J3" s="201"/>
      <c r="K3" s="201"/>
      <c r="L3" s="201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7"/>
    </row>
    <row r="4" spans="1:51" ht="8.1" customHeight="1" thickTop="1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28"/>
      <c r="AQ4" s="28"/>
      <c r="AR4" s="28"/>
      <c r="AS4" s="28"/>
      <c r="AT4" s="28"/>
      <c r="AU4" s="28"/>
      <c r="AV4" s="28"/>
      <c r="AW4" s="28"/>
      <c r="AX4" s="28"/>
      <c r="AY4" s="28"/>
    </row>
    <row r="5" spans="1:51" ht="21" customHeight="1">
      <c r="A5" s="198" t="s">
        <v>27</v>
      </c>
      <c r="B5" s="101"/>
      <c r="C5" s="190" t="s">
        <v>26</v>
      </c>
      <c r="D5" s="190"/>
      <c r="E5" s="190" t="s">
        <v>39</v>
      </c>
      <c r="F5" s="190" t="s">
        <v>43</v>
      </c>
      <c r="G5" s="190" t="s">
        <v>46</v>
      </c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03" t="s">
        <v>12</v>
      </c>
      <c r="AP5" s="190" t="s">
        <v>46</v>
      </c>
      <c r="AQ5" s="190"/>
      <c r="AR5" s="190"/>
      <c r="AS5" s="190"/>
      <c r="AT5" s="190"/>
      <c r="AU5" s="190"/>
      <c r="AV5" s="190"/>
      <c r="AW5" s="190"/>
      <c r="AX5" s="190"/>
      <c r="AY5" s="190"/>
    </row>
    <row r="6" spans="1:51" ht="21" customHeight="1">
      <c r="A6" s="198"/>
      <c r="B6" s="190" t="s">
        <v>32</v>
      </c>
      <c r="C6" s="190" t="s">
        <v>28</v>
      </c>
      <c r="D6" s="190" t="s">
        <v>16</v>
      </c>
      <c r="E6" s="190"/>
      <c r="F6" s="190"/>
      <c r="G6" s="190" t="s">
        <v>11</v>
      </c>
      <c r="H6" s="190"/>
      <c r="I6" s="190"/>
      <c r="J6" s="190"/>
      <c r="K6" s="190" t="s">
        <v>14</v>
      </c>
      <c r="L6" s="190"/>
      <c r="M6" s="190"/>
      <c r="N6" s="190"/>
      <c r="O6" s="190"/>
      <c r="P6" s="190"/>
      <c r="Q6" s="190" t="s">
        <v>101</v>
      </c>
      <c r="R6" s="190"/>
      <c r="S6" s="190"/>
      <c r="T6" s="190"/>
      <c r="U6" s="190"/>
      <c r="V6" s="190"/>
      <c r="W6" s="190" t="s">
        <v>13</v>
      </c>
      <c r="X6" s="190"/>
      <c r="Y6" s="190"/>
      <c r="Z6" s="190"/>
      <c r="AA6" s="190"/>
      <c r="AB6" s="190"/>
      <c r="AC6" s="190" t="s">
        <v>67</v>
      </c>
      <c r="AD6" s="190"/>
      <c r="AE6" s="190"/>
      <c r="AF6" s="190"/>
      <c r="AG6" s="190"/>
      <c r="AH6" s="190"/>
      <c r="AI6" s="190" t="s">
        <v>73</v>
      </c>
      <c r="AJ6" s="190"/>
      <c r="AK6" s="190"/>
      <c r="AL6" s="190"/>
      <c r="AM6" s="190"/>
      <c r="AN6" s="190"/>
      <c r="AO6" s="103"/>
      <c r="AP6" s="190" t="s">
        <v>57</v>
      </c>
      <c r="AQ6" s="190"/>
      <c r="AR6" s="190"/>
      <c r="AS6" s="190"/>
      <c r="AT6" s="190" t="s">
        <v>59</v>
      </c>
      <c r="AU6" s="190"/>
      <c r="AV6" s="190"/>
      <c r="AW6" s="190"/>
      <c r="AX6" s="190"/>
      <c r="AY6" s="190"/>
    </row>
    <row r="7" spans="1:51" ht="24.75" customHeight="1">
      <c r="A7" s="198"/>
      <c r="B7" s="190"/>
      <c r="C7" s="190"/>
      <c r="D7" s="190"/>
      <c r="E7" s="190"/>
      <c r="F7" s="190"/>
      <c r="G7" s="102" t="s">
        <v>31</v>
      </c>
      <c r="H7" s="102" t="s">
        <v>20</v>
      </c>
      <c r="I7" s="102" t="s">
        <v>26</v>
      </c>
      <c r="J7" s="102" t="s">
        <v>39</v>
      </c>
      <c r="K7" s="102" t="s">
        <v>31</v>
      </c>
      <c r="L7" s="102" t="s">
        <v>20</v>
      </c>
      <c r="M7" s="190" t="s">
        <v>26</v>
      </c>
      <c r="N7" s="190"/>
      <c r="O7" s="190"/>
      <c r="P7" s="102" t="s">
        <v>36</v>
      </c>
      <c r="Q7" s="102" t="s">
        <v>31</v>
      </c>
      <c r="R7" s="102" t="s">
        <v>20</v>
      </c>
      <c r="S7" s="190" t="s">
        <v>26</v>
      </c>
      <c r="T7" s="190"/>
      <c r="U7" s="190"/>
      <c r="V7" s="102" t="s">
        <v>36</v>
      </c>
      <c r="W7" s="102" t="s">
        <v>31</v>
      </c>
      <c r="X7" s="102" t="s">
        <v>20</v>
      </c>
      <c r="Y7" s="190" t="s">
        <v>26</v>
      </c>
      <c r="Z7" s="190"/>
      <c r="AA7" s="190"/>
      <c r="AB7" s="102" t="s">
        <v>36</v>
      </c>
      <c r="AC7" s="102" t="s">
        <v>31</v>
      </c>
      <c r="AD7" s="102" t="s">
        <v>20</v>
      </c>
      <c r="AE7" s="190" t="s">
        <v>26</v>
      </c>
      <c r="AF7" s="190"/>
      <c r="AG7" s="190"/>
      <c r="AH7" s="102" t="s">
        <v>36</v>
      </c>
      <c r="AI7" s="102" t="s">
        <v>31</v>
      </c>
      <c r="AJ7" s="102" t="s">
        <v>20</v>
      </c>
      <c r="AK7" s="190" t="s">
        <v>26</v>
      </c>
      <c r="AL7" s="190"/>
      <c r="AM7" s="190"/>
      <c r="AN7" s="102" t="s">
        <v>36</v>
      </c>
      <c r="AO7" s="103"/>
      <c r="AP7" s="102" t="s">
        <v>31</v>
      </c>
      <c r="AQ7" s="102" t="s">
        <v>20</v>
      </c>
      <c r="AR7" s="102" t="s">
        <v>26</v>
      </c>
      <c r="AS7" s="102" t="s">
        <v>39</v>
      </c>
      <c r="AT7" s="102" t="s">
        <v>31</v>
      </c>
      <c r="AU7" s="102" t="s">
        <v>20</v>
      </c>
      <c r="AV7" s="190" t="s">
        <v>26</v>
      </c>
      <c r="AW7" s="190"/>
      <c r="AX7" s="190"/>
      <c r="AY7" s="102" t="s">
        <v>36</v>
      </c>
    </row>
    <row r="8" spans="1:51" ht="16.5" customHeight="1">
      <c r="A8" s="104" t="str">
        <f>'1. 소켓인수검사'!A9</f>
        <v>46</v>
      </c>
      <c r="B8" s="43" t="s">
        <v>1</v>
      </c>
      <c r="C8" s="36">
        <f>'1. 소켓인수검사'!C9</f>
        <v>200</v>
      </c>
      <c r="D8" s="36">
        <f>'1. 소켓인수검사'!D9</f>
        <v>150</v>
      </c>
      <c r="E8" s="33">
        <v>1</v>
      </c>
      <c r="F8" s="34"/>
      <c r="G8" s="115" t="s">
        <v>79</v>
      </c>
      <c r="H8" s="36">
        <v>60</v>
      </c>
      <c r="I8" s="33">
        <f>(C8)-5</f>
        <v>195</v>
      </c>
      <c r="J8" s="33">
        <v>2</v>
      </c>
      <c r="K8" s="115" t="s">
        <v>79</v>
      </c>
      <c r="L8" s="116">
        <v>274</v>
      </c>
      <c r="M8" s="208">
        <f>C8-5</f>
        <v>195</v>
      </c>
      <c r="N8" s="208" t="e">
        <f>(#REF!-20)/2-10</f>
        <v>#REF!</v>
      </c>
      <c r="O8" s="208" t="e">
        <f>(#REF!-20)/2-10</f>
        <v>#REF!</v>
      </c>
      <c r="P8" s="33">
        <v>2</v>
      </c>
      <c r="Q8" s="118" t="s">
        <v>69</v>
      </c>
      <c r="R8" s="117">
        <v>60</v>
      </c>
      <c r="S8" s="208">
        <f>D8-35</f>
        <v>115</v>
      </c>
      <c r="T8" s="208" t="e">
        <v>#REF!</v>
      </c>
      <c r="U8" s="208">
        <v>-19.5</v>
      </c>
      <c r="V8" s="33">
        <v>4</v>
      </c>
      <c r="W8" s="118" t="s">
        <v>69</v>
      </c>
      <c r="X8" s="117">
        <v>50</v>
      </c>
      <c r="Y8" s="208">
        <f>D8</f>
        <v>150</v>
      </c>
      <c r="Z8" s="208">
        <f>(F8-20)/2-10</f>
        <v>-20</v>
      </c>
      <c r="AA8" s="208" t="e">
        <f>(G8-20)/2-10</f>
        <v>#VALUE!</v>
      </c>
      <c r="AB8" s="33">
        <v>3</v>
      </c>
      <c r="AC8" s="115" t="s">
        <v>79</v>
      </c>
      <c r="AD8" s="211"/>
      <c r="AE8" s="211"/>
      <c r="AF8" s="211"/>
      <c r="AG8" s="211"/>
      <c r="AH8" s="211"/>
      <c r="AI8" s="115" t="s">
        <v>79</v>
      </c>
      <c r="AJ8" s="212"/>
      <c r="AK8" s="212"/>
      <c r="AL8" s="212"/>
      <c r="AM8" s="212"/>
      <c r="AN8" s="212"/>
      <c r="AO8" s="33"/>
      <c r="AP8" s="209" t="s">
        <v>68</v>
      </c>
      <c r="AQ8" s="105">
        <v>260</v>
      </c>
      <c r="AR8" s="106">
        <v>1000</v>
      </c>
      <c r="AS8" s="100">
        <f>'2.1 재단(1.69,064)'!T8/2</f>
        <v>2</v>
      </c>
      <c r="AT8" s="209" t="s">
        <v>68</v>
      </c>
      <c r="AU8" s="107">
        <v>310</v>
      </c>
      <c r="AV8" s="210">
        <v>1000</v>
      </c>
      <c r="AW8" s="210"/>
      <c r="AX8" s="210"/>
      <c r="AY8" s="100">
        <f>'2.1 재단(1.69,064)'!Z8</f>
        <v>2</v>
      </c>
    </row>
    <row r="9" spans="1:51">
      <c r="A9" s="213" t="s">
        <v>18</v>
      </c>
      <c r="B9" s="213"/>
      <c r="C9" s="213"/>
      <c r="D9" s="33"/>
      <c r="E9" s="108"/>
      <c r="F9" s="105"/>
      <c r="G9" s="33"/>
      <c r="H9" s="33"/>
      <c r="I9" s="33"/>
      <c r="J9" s="33">
        <f>SUM(J8:J8)</f>
        <v>2</v>
      </c>
      <c r="K9" s="33"/>
      <c r="L9" s="33"/>
      <c r="M9" s="213"/>
      <c r="N9" s="213"/>
      <c r="O9" s="213"/>
      <c r="P9" s="33">
        <f>SUM(P8:P8)</f>
        <v>2</v>
      </c>
      <c r="Q9" s="33"/>
      <c r="R9" s="33"/>
      <c r="S9" s="213"/>
      <c r="T9" s="213"/>
      <c r="U9" s="213"/>
      <c r="V9" s="33">
        <f>SUM(V8:V8)</f>
        <v>4</v>
      </c>
      <c r="W9" s="33"/>
      <c r="X9" s="33"/>
      <c r="Y9" s="213"/>
      <c r="Z9" s="213"/>
      <c r="AA9" s="213"/>
      <c r="AB9" s="33">
        <f>SUM(AB8:AB8)</f>
        <v>3</v>
      </c>
      <c r="AC9" s="33"/>
      <c r="AD9" s="33"/>
      <c r="AE9" s="213"/>
      <c r="AF9" s="213"/>
      <c r="AG9" s="213"/>
      <c r="AH9" s="33">
        <f>SUM(AH8:AH8)</f>
        <v>0</v>
      </c>
      <c r="AI9" s="33"/>
      <c r="AJ9" s="33"/>
      <c r="AK9" s="213"/>
      <c r="AL9" s="213"/>
      <c r="AM9" s="213"/>
      <c r="AN9" s="33">
        <f>SUM(AN8:AN8)</f>
        <v>0</v>
      </c>
      <c r="AO9" s="33"/>
      <c r="AP9" s="209"/>
      <c r="AQ9" s="33"/>
      <c r="AR9" s="36"/>
      <c r="AS9" s="33">
        <f>SUM(AS8:AS8)</f>
        <v>2</v>
      </c>
      <c r="AT9" s="209"/>
      <c r="AU9" s="33"/>
      <c r="AV9" s="184"/>
      <c r="AW9" s="184"/>
      <c r="AX9" s="184"/>
      <c r="AY9" s="33">
        <f>SUM(AY8:AY8)</f>
        <v>2</v>
      </c>
    </row>
  </sheetData>
  <mergeCells count="42">
    <mergeCell ref="A9:C9"/>
    <mergeCell ref="M9:O9"/>
    <mergeCell ref="Y9:AA9"/>
    <mergeCell ref="AE9:AG9"/>
    <mergeCell ref="AK9:AM9"/>
    <mergeCell ref="M8:O8"/>
    <mergeCell ref="Y8:AA8"/>
    <mergeCell ref="AP8:AP9"/>
    <mergeCell ref="AT8:AT9"/>
    <mergeCell ref="AV8:AX8"/>
    <mergeCell ref="AD8:AH8"/>
    <mergeCell ref="AJ8:AN8"/>
    <mergeCell ref="S8:U8"/>
    <mergeCell ref="S9:U9"/>
    <mergeCell ref="AV9:AX9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AP5:AY5"/>
    <mergeCell ref="B6:B7"/>
    <mergeCell ref="C6:C7"/>
    <mergeCell ref="D6:D7"/>
    <mergeCell ref="G6:J6"/>
    <mergeCell ref="AT6:AY6"/>
    <mergeCell ref="M7:O7"/>
    <mergeCell ref="Y7:AA7"/>
    <mergeCell ref="AE7:AG7"/>
    <mergeCell ref="AK7:AM7"/>
    <mergeCell ref="AV7:AX7"/>
    <mergeCell ref="K6:P6"/>
    <mergeCell ref="W6:AB6"/>
    <mergeCell ref="AC6:AH6"/>
    <mergeCell ref="AI6:AN6"/>
    <mergeCell ref="AP6:AS6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19"/>
  <sheetViews>
    <sheetView zoomScale="85" zoomScaleNormal="75" zoomScaleSheetLayoutView="85" workbookViewId="0">
      <selection activeCell="I33" sqref="I33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45"/>
      <c r="B1" s="145"/>
      <c r="C1" s="145"/>
      <c r="D1" s="145"/>
      <c r="E1" s="214" t="s">
        <v>83</v>
      </c>
      <c r="F1" s="215"/>
      <c r="G1" s="215"/>
      <c r="H1" s="215"/>
      <c r="I1" s="215"/>
      <c r="J1" s="215"/>
      <c r="K1" s="215"/>
      <c r="L1" s="215"/>
      <c r="M1" s="215"/>
      <c r="N1" s="215"/>
      <c r="O1" s="216"/>
    </row>
    <row r="2" spans="1:15" ht="16.5" customHeight="1">
      <c r="A2" s="145"/>
      <c r="B2" s="145"/>
      <c r="C2" s="145"/>
      <c r="D2" s="145"/>
      <c r="E2" s="217"/>
      <c r="F2" s="218"/>
      <c r="G2" s="218"/>
      <c r="H2" s="218"/>
      <c r="I2" s="218"/>
      <c r="J2" s="218"/>
      <c r="K2" s="218"/>
      <c r="L2" s="218"/>
      <c r="M2" s="218"/>
      <c r="N2" s="218"/>
      <c r="O2" s="219"/>
    </row>
    <row r="3" spans="1:15" ht="16.5" customHeight="1">
      <c r="A3" s="145"/>
      <c r="B3" s="145"/>
      <c r="C3" s="145"/>
      <c r="D3" s="145"/>
      <c r="E3" s="217"/>
      <c r="F3" s="218"/>
      <c r="G3" s="218"/>
      <c r="H3" s="218"/>
      <c r="I3" s="218"/>
      <c r="J3" s="218"/>
      <c r="K3" s="218"/>
      <c r="L3" s="218"/>
      <c r="M3" s="218"/>
      <c r="N3" s="218"/>
      <c r="O3" s="219"/>
    </row>
    <row r="4" spans="1:15" ht="16.5" customHeight="1">
      <c r="A4" s="145" t="s">
        <v>47</v>
      </c>
      <c r="B4" s="145"/>
      <c r="C4" s="145"/>
      <c r="D4" s="1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ht="16.5" customHeight="1">
      <c r="A5" s="145" t="s">
        <v>41</v>
      </c>
      <c r="B5" s="145"/>
      <c r="C5" s="145"/>
      <c r="D5" s="145"/>
      <c r="E5" s="2" t="s">
        <v>38</v>
      </c>
      <c r="F5" s="223"/>
      <c r="G5" s="224"/>
      <c r="H5" s="225" t="s">
        <v>23</v>
      </c>
      <c r="I5" s="227"/>
      <c r="J5" s="228"/>
      <c r="K5" s="227" t="s">
        <v>9</v>
      </c>
      <c r="L5" s="228"/>
      <c r="M5" s="231" t="str">
        <f>'1. 소켓인수검사'!R1</f>
        <v>26.06.04 씨에스_우진아이엔에스_포스코건설_양평동삼화인쇄</v>
      </c>
      <c r="N5" s="231"/>
      <c r="O5" s="231"/>
    </row>
    <row r="6" spans="1:15">
      <c r="A6" s="145"/>
      <c r="B6" s="145"/>
      <c r="C6" s="145"/>
      <c r="D6" s="145"/>
      <c r="E6" s="2" t="s">
        <v>35</v>
      </c>
      <c r="F6" s="223"/>
      <c r="G6" s="224"/>
      <c r="H6" s="226"/>
      <c r="I6" s="229"/>
      <c r="J6" s="230"/>
      <c r="K6" s="229"/>
      <c r="L6" s="230"/>
      <c r="M6" s="231"/>
      <c r="N6" s="231"/>
      <c r="O6" s="231"/>
    </row>
    <row r="7" spans="1:15" ht="8.1" customHeight="1">
      <c r="A7" s="235"/>
      <c r="B7" s="235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</row>
    <row r="8" spans="1:15" ht="26.45" customHeight="1">
      <c r="A8" s="236" t="s">
        <v>27</v>
      </c>
      <c r="B8" s="237" t="s">
        <v>32</v>
      </c>
      <c r="C8" s="240" t="s">
        <v>26</v>
      </c>
      <c r="D8" s="240"/>
      <c r="E8" s="240" t="s">
        <v>43</v>
      </c>
      <c r="F8" s="240" t="s">
        <v>31</v>
      </c>
      <c r="G8" s="240" t="s">
        <v>20</v>
      </c>
      <c r="H8" s="241" t="s">
        <v>64</v>
      </c>
      <c r="I8" s="241"/>
      <c r="J8" s="241"/>
      <c r="K8" s="241"/>
      <c r="L8" s="241"/>
      <c r="M8" s="241"/>
      <c r="N8" s="241"/>
      <c r="O8" s="240" t="s">
        <v>5</v>
      </c>
    </row>
    <row r="9" spans="1:15" ht="16.5" customHeight="1">
      <c r="A9" s="236"/>
      <c r="B9" s="238"/>
      <c r="C9" s="240" t="s">
        <v>28</v>
      </c>
      <c r="D9" s="240" t="s">
        <v>16</v>
      </c>
      <c r="E9" s="240"/>
      <c r="F9" s="240"/>
      <c r="G9" s="240"/>
      <c r="H9" s="240" t="s">
        <v>19</v>
      </c>
      <c r="I9" s="240"/>
      <c r="J9" s="240" t="s">
        <v>24</v>
      </c>
      <c r="K9" s="240"/>
      <c r="L9" s="242" t="s">
        <v>70</v>
      </c>
      <c r="M9" s="243"/>
      <c r="N9" s="244"/>
      <c r="O9" s="240"/>
    </row>
    <row r="10" spans="1:15">
      <c r="A10" s="236"/>
      <c r="B10" s="239"/>
      <c r="C10" s="240"/>
      <c r="D10" s="240"/>
      <c r="E10" s="240"/>
      <c r="F10" s="25">
        <v>25</v>
      </c>
      <c r="G10" s="25">
        <v>300</v>
      </c>
      <c r="H10" s="25" t="s">
        <v>26</v>
      </c>
      <c r="I10" s="25" t="s">
        <v>2</v>
      </c>
      <c r="J10" s="25" t="s">
        <v>26</v>
      </c>
      <c r="K10" s="25" t="s">
        <v>2</v>
      </c>
      <c r="L10" s="245"/>
      <c r="M10" s="246"/>
      <c r="N10" s="247"/>
      <c r="O10" s="240"/>
    </row>
    <row r="11" spans="1:15">
      <c r="A11" s="30" t="str">
        <f>'1. 소켓인수검사'!A9</f>
        <v>46</v>
      </c>
      <c r="B11" s="42" t="str">
        <f>'1. 소켓인수검사'!B9</f>
        <v>HTG-064</v>
      </c>
      <c r="C11" s="31">
        <f>'1. 소켓인수검사'!C9</f>
        <v>200</v>
      </c>
      <c r="D11" s="31">
        <f>'1. 소켓인수검사'!D9</f>
        <v>150</v>
      </c>
      <c r="E11" s="19"/>
      <c r="F11" s="20"/>
      <c r="G11" s="20"/>
      <c r="H11" s="21">
        <f>(C11+60)</f>
        <v>260</v>
      </c>
      <c r="I11" s="21">
        <v>2</v>
      </c>
      <c r="J11" s="21">
        <f>D11</f>
        <v>150</v>
      </c>
      <c r="K11" s="21">
        <v>2</v>
      </c>
      <c r="L11" s="232"/>
      <c r="M11" s="233"/>
      <c r="N11" s="234"/>
      <c r="O11" s="24"/>
    </row>
    <row r="12" spans="1:15">
      <c r="A12" s="248" t="s">
        <v>18</v>
      </c>
      <c r="B12" s="248"/>
      <c r="C12" s="248"/>
      <c r="D12" s="3"/>
      <c r="E12" s="4"/>
      <c r="F12" s="4"/>
      <c r="G12" s="4"/>
      <c r="H12" s="3"/>
      <c r="I12" s="3">
        <f>SUM(I11:I11)</f>
        <v>2</v>
      </c>
      <c r="J12" s="3"/>
      <c r="K12" s="3">
        <f>SUM(K11:K11)</f>
        <v>2</v>
      </c>
      <c r="L12" s="223"/>
      <c r="M12" s="249"/>
      <c r="N12" s="224"/>
      <c r="O12" s="3"/>
    </row>
    <row r="13" spans="1:15" ht="8.1" customHeight="1">
      <c r="A13" s="250"/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</row>
    <row r="14" spans="1:15">
      <c r="A14" s="172" t="s">
        <v>7</v>
      </c>
      <c r="B14" s="172"/>
      <c r="C14" s="172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</row>
    <row r="15" spans="1:15">
      <c r="A15" s="172"/>
      <c r="B15" s="172"/>
      <c r="C15" s="172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</row>
    <row r="16" spans="1:15">
      <c r="A16" s="172"/>
      <c r="B16" s="172"/>
      <c r="C16" s="172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</row>
    <row r="17" spans="1:15">
      <c r="A17" s="172"/>
      <c r="B17" s="172"/>
      <c r="C17" s="172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</row>
    <row r="18" spans="1:15">
      <c r="A18" s="172"/>
      <c r="B18" s="172"/>
      <c r="C18" s="172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</row>
    <row r="19" spans="1:15">
      <c r="A19" s="172"/>
      <c r="B19" s="172"/>
      <c r="C19" s="172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</row>
  </sheetData>
  <mergeCells count="31">
    <mergeCell ref="A14:C19"/>
    <mergeCell ref="D14:O19"/>
    <mergeCell ref="A12:C12"/>
    <mergeCell ref="L12:N12"/>
    <mergeCell ref="A13:O13"/>
    <mergeCell ref="L11:N11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19"/>
  <sheetViews>
    <sheetView view="pageBreakPreview" zoomScale="85" zoomScaleNormal="85" zoomScaleSheetLayoutView="85" workbookViewId="0">
      <pane ySplit="9" topLeftCell="A10" activePane="bottomLeft" state="frozen"/>
      <selection pane="bottomLeft" activeCell="P31" sqref="P31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45"/>
      <c r="B1" s="145"/>
      <c r="C1" s="145"/>
      <c r="D1" s="214" t="s">
        <v>8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6"/>
    </row>
    <row r="2" spans="1:21" ht="16.5" customHeight="1">
      <c r="A2" s="145"/>
      <c r="B2" s="145"/>
      <c r="C2" s="145"/>
      <c r="D2" s="217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9"/>
    </row>
    <row r="3" spans="1:21" ht="24" customHeight="1">
      <c r="A3" s="145"/>
      <c r="B3" s="145"/>
      <c r="C3" s="145"/>
      <c r="D3" s="217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9"/>
    </row>
    <row r="4" spans="1:21" ht="16.5" customHeight="1">
      <c r="A4" s="145" t="s">
        <v>47</v>
      </c>
      <c r="B4" s="145"/>
      <c r="C4" s="1"/>
      <c r="D4" s="217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9"/>
    </row>
    <row r="5" spans="1:21" ht="16.5" customHeight="1">
      <c r="A5" s="145" t="s">
        <v>41</v>
      </c>
      <c r="B5" s="145"/>
      <c r="C5" s="145"/>
      <c r="D5" s="2" t="s">
        <v>38</v>
      </c>
      <c r="E5" s="223"/>
      <c r="F5" s="224"/>
      <c r="G5" s="225" t="s">
        <v>23</v>
      </c>
      <c r="H5" s="67"/>
      <c r="I5" s="67"/>
      <c r="J5" s="225" t="s">
        <v>23</v>
      </c>
      <c r="K5" s="71"/>
      <c r="L5" s="227"/>
      <c r="M5" s="250"/>
      <c r="N5" s="228"/>
      <c r="O5" s="225" t="s">
        <v>34</v>
      </c>
      <c r="P5" s="251" t="str">
        <f>'1. 소켓인수검사'!R1</f>
        <v>26.06.04 씨에스_우진아이엔에스_포스코건설_양평동삼화인쇄</v>
      </c>
      <c r="Q5" s="252"/>
      <c r="R5" s="252"/>
      <c r="S5" s="252"/>
      <c r="T5" s="252"/>
      <c r="U5" s="253"/>
    </row>
    <row r="6" spans="1:21">
      <c r="A6" s="145"/>
      <c r="B6" s="145"/>
      <c r="C6" s="145"/>
      <c r="D6" s="2" t="s">
        <v>35</v>
      </c>
      <c r="E6" s="223"/>
      <c r="F6" s="224"/>
      <c r="G6" s="226"/>
      <c r="H6" s="69"/>
      <c r="I6" s="69"/>
      <c r="J6" s="226"/>
      <c r="K6" s="68"/>
      <c r="L6" s="229"/>
      <c r="M6" s="235"/>
      <c r="N6" s="230"/>
      <c r="O6" s="226"/>
      <c r="P6" s="254"/>
      <c r="Q6" s="255"/>
      <c r="R6" s="255"/>
      <c r="S6" s="255"/>
      <c r="T6" s="255"/>
      <c r="U6" s="256"/>
    </row>
    <row r="7" spans="1:21" ht="8.1" customHeight="1">
      <c r="A7" s="148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5"/>
      <c r="T7" s="5"/>
      <c r="U7" s="5"/>
    </row>
    <row r="8" spans="1:21" ht="29.25" customHeight="1">
      <c r="A8" s="257" t="s">
        <v>27</v>
      </c>
      <c r="B8" s="259" t="s">
        <v>28</v>
      </c>
      <c r="C8" s="259" t="s">
        <v>16</v>
      </c>
      <c r="D8" s="259" t="s">
        <v>32</v>
      </c>
      <c r="E8" s="259" t="s">
        <v>29</v>
      </c>
      <c r="F8" s="259" t="s">
        <v>21</v>
      </c>
      <c r="G8" s="259" t="s">
        <v>76</v>
      </c>
      <c r="H8" s="259"/>
      <c r="I8" s="259"/>
      <c r="J8" s="259"/>
      <c r="K8" s="259"/>
      <c r="L8" s="259"/>
      <c r="M8" s="259" t="s">
        <v>54</v>
      </c>
      <c r="N8" s="259"/>
      <c r="O8" s="259"/>
      <c r="P8" s="259" t="s">
        <v>63</v>
      </c>
      <c r="Q8" s="259"/>
      <c r="R8" s="259"/>
      <c r="S8" s="259"/>
      <c r="T8" s="261"/>
      <c r="U8" s="262"/>
    </row>
    <row r="9" spans="1:21" ht="26.45" customHeight="1">
      <c r="A9" s="258"/>
      <c r="B9" s="260"/>
      <c r="C9" s="260"/>
      <c r="D9" s="260"/>
      <c r="E9" s="260"/>
      <c r="F9" s="260"/>
      <c r="G9" s="70" t="s">
        <v>33</v>
      </c>
      <c r="H9" s="70" t="s">
        <v>2</v>
      </c>
      <c r="I9" s="70" t="s">
        <v>86</v>
      </c>
      <c r="J9" s="44" t="s">
        <v>66</v>
      </c>
      <c r="K9" s="70" t="s">
        <v>2</v>
      </c>
      <c r="L9" s="70" t="s">
        <v>86</v>
      </c>
      <c r="M9" s="70" t="s">
        <v>65</v>
      </c>
      <c r="N9" s="70" t="s">
        <v>2</v>
      </c>
      <c r="O9" s="70" t="s">
        <v>56</v>
      </c>
      <c r="P9" s="70" t="s">
        <v>77</v>
      </c>
      <c r="Q9" s="70" t="s">
        <v>2</v>
      </c>
      <c r="R9" s="70" t="s">
        <v>86</v>
      </c>
      <c r="S9" s="70" t="s">
        <v>42</v>
      </c>
      <c r="T9" s="45" t="s">
        <v>2</v>
      </c>
      <c r="U9" s="45" t="s">
        <v>86</v>
      </c>
    </row>
    <row r="10" spans="1:21" ht="16.5" customHeight="1">
      <c r="A10" s="32" t="str">
        <f>+'1. 소켓인수검사'!A9</f>
        <v>46</v>
      </c>
      <c r="B10" s="36">
        <f>+'1. 소켓인수검사'!C9</f>
        <v>200</v>
      </c>
      <c r="C10" s="36">
        <f>+'1. 소켓인수검사'!D9</f>
        <v>150</v>
      </c>
      <c r="D10" s="66" t="str">
        <f>+'1. 소켓인수검사'!B9</f>
        <v>HTG-064</v>
      </c>
      <c r="E10" s="46">
        <f>B10*C10/1000000</f>
        <v>0.03</v>
      </c>
      <c r="F10" s="46">
        <f>(B10+C10)*2/1000</f>
        <v>0.7</v>
      </c>
      <c r="G10" s="47">
        <f t="shared" ref="G10" si="0">F10+0.4</f>
        <v>1.1000000000000001</v>
      </c>
      <c r="H10" s="48">
        <v>1</v>
      </c>
      <c r="I10" s="48">
        <f>H10*G10</f>
        <v>1.1000000000000001</v>
      </c>
      <c r="J10" s="263"/>
      <c r="K10" s="263"/>
      <c r="L10" s="263"/>
      <c r="M10" s="47">
        <v>1</v>
      </c>
      <c r="N10" s="109">
        <f>'2.1 재단(1.69,064)'!T8/2</f>
        <v>2</v>
      </c>
      <c r="O10" s="37"/>
      <c r="P10" s="75"/>
      <c r="Q10" s="75"/>
      <c r="R10" s="75"/>
      <c r="S10" s="47">
        <f>F10+0.5</f>
        <v>1.2</v>
      </c>
      <c r="T10" s="49">
        <v>1</v>
      </c>
      <c r="U10" s="49">
        <f>T10*S10</f>
        <v>1.2</v>
      </c>
    </row>
    <row r="11" spans="1:21" ht="20.25">
      <c r="A11" s="264" t="s">
        <v>25</v>
      </c>
      <c r="B11" s="265"/>
      <c r="C11" s="265"/>
      <c r="D11" s="265"/>
      <c r="E11" s="265"/>
      <c r="F11" s="265"/>
      <c r="G11" s="76"/>
      <c r="H11" s="76"/>
      <c r="I11" s="77">
        <f>SUM(I10:I10)</f>
        <v>1.1000000000000001</v>
      </c>
      <c r="J11" s="76"/>
      <c r="K11" s="76"/>
      <c r="L11" s="77">
        <f>SUM(L10:L10)</f>
        <v>0</v>
      </c>
      <c r="M11" s="76"/>
      <c r="N11" s="78">
        <f>SUM(N10:N10)</f>
        <v>2</v>
      </c>
      <c r="O11" s="79"/>
      <c r="P11" s="76"/>
      <c r="Q11" s="76"/>
      <c r="R11" s="77">
        <f>SUM(R10:R10)</f>
        <v>0</v>
      </c>
      <c r="S11" s="80"/>
      <c r="T11" s="76"/>
      <c r="U11" s="77">
        <f>SUM(U10:U10)</f>
        <v>1.2</v>
      </c>
    </row>
    <row r="12" spans="1:21" ht="17.25" customHeight="1">
      <c r="A12" s="266" t="s">
        <v>53</v>
      </c>
      <c r="B12" s="266"/>
      <c r="C12" s="266"/>
      <c r="D12" s="266"/>
      <c r="E12" s="266"/>
      <c r="F12" s="266"/>
      <c r="G12" s="267">
        <f>I11/20</f>
        <v>5.5000000000000007E-2</v>
      </c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</row>
    <row r="13" spans="1:21" ht="17.25" customHeight="1">
      <c r="A13" s="266" t="s">
        <v>52</v>
      </c>
      <c r="B13" s="266"/>
      <c r="C13" s="266"/>
      <c r="D13" s="266"/>
      <c r="E13" s="266"/>
      <c r="F13" s="266"/>
      <c r="G13" s="267">
        <f>L11/20</f>
        <v>0</v>
      </c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</row>
    <row r="14" spans="1:21" ht="17.25" customHeight="1">
      <c r="A14" s="266" t="s">
        <v>51</v>
      </c>
      <c r="B14" s="266"/>
      <c r="C14" s="266"/>
      <c r="D14" s="266"/>
      <c r="E14" s="266"/>
      <c r="F14" s="266"/>
      <c r="G14" s="267">
        <f>R11/4.8</f>
        <v>0</v>
      </c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</row>
    <row r="15" spans="1:21" ht="17.25" customHeight="1">
      <c r="A15" s="266" t="s">
        <v>50</v>
      </c>
      <c r="B15" s="266"/>
      <c r="C15" s="266"/>
      <c r="D15" s="266"/>
      <c r="E15" s="266"/>
      <c r="F15" s="266"/>
      <c r="G15" s="267">
        <f>U11/3.6</f>
        <v>0.33333333333333331</v>
      </c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</row>
    <row r="16" spans="1:21" ht="20.25" customHeight="1">
      <c r="A16" s="172" t="s">
        <v>7</v>
      </c>
      <c r="B16" s="172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</row>
    <row r="17" spans="1:21" ht="20.25" customHeight="1">
      <c r="A17" s="172"/>
      <c r="B17" s="172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</row>
    <row r="18" spans="1:21" ht="20.25" customHeight="1">
      <c r="A18" s="172"/>
      <c r="B18" s="172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</row>
    <row r="19" spans="1:21" ht="20.25" customHeight="1">
      <c r="A19" s="172"/>
      <c r="B19" s="172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</row>
  </sheetData>
  <mergeCells count="34">
    <mergeCell ref="J10:L10"/>
    <mergeCell ref="A11:F11"/>
    <mergeCell ref="A12:F12"/>
    <mergeCell ref="G12:U12"/>
    <mergeCell ref="A16:B19"/>
    <mergeCell ref="C16:U19"/>
    <mergeCell ref="A13:F13"/>
    <mergeCell ref="G13:U13"/>
    <mergeCell ref="A14:F14"/>
    <mergeCell ref="G14:U14"/>
    <mergeCell ref="A15:F15"/>
    <mergeCell ref="G15:U15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15"/>
  <sheetViews>
    <sheetView tabSelected="1"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Z18" sqref="Z18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283"/>
      <c r="B1" s="284"/>
      <c r="C1" s="284"/>
      <c r="D1" s="284"/>
      <c r="E1" s="90" t="s">
        <v>84</v>
      </c>
      <c r="F1" s="277" t="s">
        <v>85</v>
      </c>
      <c r="G1" s="277"/>
      <c r="H1" s="277"/>
      <c r="I1" s="277"/>
      <c r="J1" s="277" t="str">
        <f>'1. 소켓인수검사'!R1</f>
        <v>26.06.04 씨에스_우진아이엔에스_포스코건설_양평동삼화인쇄</v>
      </c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80"/>
    </row>
    <row r="2" spans="1:27" ht="16.5" customHeight="1">
      <c r="A2" s="285"/>
      <c r="B2" s="194"/>
      <c r="C2" s="194"/>
      <c r="D2" s="194"/>
      <c r="E2" s="89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81"/>
    </row>
    <row r="3" spans="1:27" ht="24" customHeight="1" thickBot="1">
      <c r="A3" s="286"/>
      <c r="B3" s="287"/>
      <c r="C3" s="287"/>
      <c r="D3" s="287"/>
      <c r="E3" s="91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82"/>
    </row>
    <row r="4" spans="1:27" ht="8.1" customHeight="1">
      <c r="A4" s="275"/>
      <c r="B4" s="276"/>
      <c r="C4" s="276"/>
      <c r="D4" s="276"/>
      <c r="E4" s="276"/>
      <c r="F4" s="276"/>
      <c r="G4" s="276"/>
      <c r="H4" s="275"/>
      <c r="I4" s="276"/>
      <c r="J4" s="276"/>
      <c r="K4" s="276"/>
      <c r="L4" s="276"/>
      <c r="M4" s="276"/>
      <c r="N4" s="276"/>
      <c r="O4" s="27"/>
      <c r="P4" s="27"/>
      <c r="Q4" s="27"/>
      <c r="S4" s="27"/>
      <c r="U4" s="27"/>
      <c r="W4" s="27"/>
      <c r="Y4" s="27"/>
      <c r="Z4" s="27"/>
      <c r="AA4" s="27"/>
    </row>
    <row r="5" spans="1:27" ht="16.5" customHeight="1">
      <c r="A5" s="288" t="s">
        <v>27</v>
      </c>
      <c r="B5" s="269" t="s">
        <v>32</v>
      </c>
      <c r="C5" s="269" t="s">
        <v>28</v>
      </c>
      <c r="D5" s="269" t="s">
        <v>16</v>
      </c>
      <c r="E5" s="269" t="s">
        <v>43</v>
      </c>
      <c r="F5" s="269" t="s">
        <v>29</v>
      </c>
      <c r="G5" s="269" t="s">
        <v>21</v>
      </c>
      <c r="H5" s="291" t="s">
        <v>37</v>
      </c>
      <c r="I5" s="269" t="s">
        <v>76</v>
      </c>
      <c r="J5" s="269"/>
      <c r="K5" s="269" t="s">
        <v>76</v>
      </c>
      <c r="L5" s="269"/>
      <c r="M5" s="269" t="s">
        <v>3</v>
      </c>
      <c r="N5" s="269"/>
      <c r="O5" s="269" t="s">
        <v>3</v>
      </c>
      <c r="P5" s="269"/>
      <c r="Q5" s="297" t="s">
        <v>75</v>
      </c>
      <c r="R5" s="297"/>
      <c r="S5" s="297" t="s">
        <v>58</v>
      </c>
      <c r="T5" s="297"/>
      <c r="U5" s="297" t="s">
        <v>57</v>
      </c>
      <c r="V5" s="297"/>
      <c r="W5" s="297" t="s">
        <v>74</v>
      </c>
      <c r="X5" s="297"/>
      <c r="Y5" s="295" t="s">
        <v>40</v>
      </c>
      <c r="Z5" s="295" t="s">
        <v>22</v>
      </c>
      <c r="AA5" s="293" t="s">
        <v>44</v>
      </c>
    </row>
    <row r="6" spans="1:27" ht="26.45" customHeight="1">
      <c r="A6" s="289"/>
      <c r="B6" s="290"/>
      <c r="C6" s="290"/>
      <c r="D6" s="290"/>
      <c r="E6" s="290"/>
      <c r="F6" s="290"/>
      <c r="G6" s="290"/>
      <c r="H6" s="292"/>
      <c r="I6" s="50" t="s">
        <v>15</v>
      </c>
      <c r="J6" s="51" t="s">
        <v>2</v>
      </c>
      <c r="K6" s="50" t="s">
        <v>60</v>
      </c>
      <c r="L6" s="51" t="s">
        <v>2</v>
      </c>
      <c r="M6" s="50" t="s">
        <v>78</v>
      </c>
      <c r="N6" s="51" t="s">
        <v>2</v>
      </c>
      <c r="O6" s="50" t="s">
        <v>49</v>
      </c>
      <c r="P6" s="51" t="s">
        <v>2</v>
      </c>
      <c r="Q6" s="50" t="s">
        <v>17</v>
      </c>
      <c r="R6" s="51" t="s">
        <v>30</v>
      </c>
      <c r="S6" s="50" t="s">
        <v>17</v>
      </c>
      <c r="T6" s="51" t="s">
        <v>30</v>
      </c>
      <c r="U6" s="50" t="s">
        <v>17</v>
      </c>
      <c r="V6" s="51" t="s">
        <v>30</v>
      </c>
      <c r="W6" s="50" t="s">
        <v>17</v>
      </c>
      <c r="X6" s="51" t="s">
        <v>30</v>
      </c>
      <c r="Y6" s="296"/>
      <c r="Z6" s="296"/>
      <c r="AA6" s="294"/>
    </row>
    <row r="7" spans="1:27">
      <c r="A7" s="52" t="str">
        <f>'1. 소켓인수검사'!A9</f>
        <v>46</v>
      </c>
      <c r="B7" s="53" t="str">
        <f>'1. 소켓인수검사'!B9</f>
        <v>HTG-064</v>
      </c>
      <c r="C7" s="37">
        <f>'1. 소켓인수검사'!C9</f>
        <v>200</v>
      </c>
      <c r="D7" s="37">
        <f>'1. 소켓인수검사'!D9</f>
        <v>150</v>
      </c>
      <c r="E7" s="39"/>
      <c r="F7" s="54">
        <f>C7*D7/1000000</f>
        <v>0.03</v>
      </c>
      <c r="G7" s="54">
        <f>(C7+D7)*2/1000</f>
        <v>0.7</v>
      </c>
      <c r="H7" s="55">
        <v>2</v>
      </c>
      <c r="I7" s="50">
        <f>(G7+0.4)</f>
        <v>1.1000000000000001</v>
      </c>
      <c r="J7" s="51">
        <v>2</v>
      </c>
      <c r="K7" s="56"/>
      <c r="L7" s="56"/>
      <c r="M7" s="56"/>
      <c r="N7" s="56"/>
      <c r="O7" s="50">
        <f>G7+0.5</f>
        <v>1.2</v>
      </c>
      <c r="P7" s="51">
        <v>2</v>
      </c>
      <c r="Q7" s="110">
        <f>'2.1 재단(1.69,064)'!Z8</f>
        <v>2</v>
      </c>
      <c r="R7" s="51">
        <f>Q7*2</f>
        <v>4</v>
      </c>
      <c r="S7" s="110">
        <f>'2.1 재단(1.69,064)'!Z8</f>
        <v>2</v>
      </c>
      <c r="T7" s="51">
        <f>S7*2</f>
        <v>4</v>
      </c>
      <c r="U7" s="110">
        <f>'2.1 재단(1.69,064)'!T8/2</f>
        <v>2</v>
      </c>
      <c r="V7" s="51">
        <f>U7*2</f>
        <v>4</v>
      </c>
      <c r="W7" s="110">
        <f>'2.1 재단(1.69,064)'!T8/2</f>
        <v>2</v>
      </c>
      <c r="X7" s="51">
        <f>W7*2</f>
        <v>4</v>
      </c>
      <c r="Y7" s="57" t="s">
        <v>62</v>
      </c>
      <c r="Z7" s="58" t="s">
        <v>87</v>
      </c>
      <c r="AA7" s="59" t="str">
        <f>'1. 소켓인수검사'!G9</f>
        <v>B2F</v>
      </c>
    </row>
    <row r="8" spans="1:27">
      <c r="A8" s="270" t="s">
        <v>18</v>
      </c>
      <c r="B8" s="271"/>
      <c r="C8" s="271"/>
      <c r="D8" s="60"/>
      <c r="E8" s="61"/>
      <c r="F8" s="61"/>
      <c r="G8" s="61"/>
      <c r="H8" s="93">
        <f>SUM(H7:H7)</f>
        <v>2</v>
      </c>
      <c r="I8" s="60"/>
      <c r="J8" s="93">
        <f>SUM(J7:J7)</f>
        <v>2</v>
      </c>
      <c r="K8" s="60"/>
      <c r="L8" s="93">
        <f>SUM(L7:L7)</f>
        <v>0</v>
      </c>
      <c r="M8" s="62"/>
      <c r="N8" s="93">
        <f>SUM(N7:N7)</f>
        <v>0</v>
      </c>
      <c r="O8" s="62"/>
      <c r="P8" s="93">
        <f>SUM(P7:P7)</f>
        <v>2</v>
      </c>
      <c r="Q8" s="62"/>
      <c r="R8" s="93">
        <f>SUM(R7:R7)</f>
        <v>4</v>
      </c>
      <c r="S8" s="62"/>
      <c r="T8" s="93">
        <f>SUM(T7:T7)</f>
        <v>4</v>
      </c>
      <c r="U8" s="62"/>
      <c r="V8" s="93">
        <f>SUM(V7:V7)</f>
        <v>4</v>
      </c>
      <c r="W8" s="62"/>
      <c r="X8" s="93">
        <f>SUM(X7:X7)</f>
        <v>4</v>
      </c>
      <c r="Y8" s="38"/>
      <c r="Z8" s="38"/>
      <c r="AA8" s="63"/>
    </row>
    <row r="9" spans="1:27" ht="8.1" customHeight="1">
      <c r="A9" s="197"/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28"/>
      <c r="P9" s="28"/>
      <c r="Q9" s="28"/>
      <c r="S9" s="28"/>
      <c r="U9" s="28"/>
      <c r="W9" s="28"/>
    </row>
    <row r="10" spans="1:27" ht="16.5" hidden="1" customHeight="1">
      <c r="A10" s="231" t="s">
        <v>7</v>
      </c>
      <c r="B10" s="231"/>
      <c r="C10" s="231"/>
      <c r="D10" s="272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73"/>
      <c r="T10" s="273"/>
      <c r="U10" s="273"/>
      <c r="V10" s="273"/>
      <c r="W10" s="273"/>
      <c r="X10" s="273"/>
    </row>
    <row r="11" spans="1:27" ht="16.5" hidden="1" customHeight="1">
      <c r="A11" s="231"/>
      <c r="B11" s="231"/>
      <c r="C11" s="231"/>
      <c r="D11" s="274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</row>
    <row r="12" spans="1:27" ht="16.5" hidden="1" customHeight="1">
      <c r="A12" s="231"/>
      <c r="B12" s="231"/>
      <c r="C12" s="231"/>
      <c r="D12" s="274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</row>
    <row r="13" spans="1:27" ht="16.5" hidden="1" customHeight="1">
      <c r="A13" s="231"/>
      <c r="B13" s="231"/>
      <c r="C13" s="231"/>
      <c r="D13" s="274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</row>
    <row r="14" spans="1:27" ht="16.5" hidden="1" customHeight="1">
      <c r="A14" s="231"/>
      <c r="B14" s="231"/>
      <c r="C14" s="231"/>
      <c r="D14" s="274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</row>
    <row r="15" spans="1:27" ht="16.5" hidden="1" customHeight="1">
      <c r="A15" s="231"/>
      <c r="B15" s="231"/>
      <c r="C15" s="231"/>
      <c r="D15" s="275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</row>
  </sheetData>
  <mergeCells count="27">
    <mergeCell ref="Y5:Y6"/>
    <mergeCell ref="Z5:Z6"/>
    <mergeCell ref="Q5:R5"/>
    <mergeCell ref="S5:T5"/>
    <mergeCell ref="U5:V5"/>
    <mergeCell ref="W5:X5"/>
    <mergeCell ref="A9:N9"/>
    <mergeCell ref="A10:C15"/>
    <mergeCell ref="D10:X15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8:C8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2026-06-05T00:47:01Z</cp:lastPrinted>
  <dcterms:created xsi:type="dcterms:W3CDTF">2025-03-13T00:09:10Z</dcterms:created>
  <dcterms:modified xsi:type="dcterms:W3CDTF">2026-06-05T00:49:05Z</dcterms:modified>
  <cp:version>1200.0100.01</cp:version>
</cp:coreProperties>
</file>