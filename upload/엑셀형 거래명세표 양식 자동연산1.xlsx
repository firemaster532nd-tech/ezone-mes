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8_{10A5A631-4F4A-4FD1-9848-6735BCD5DBE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일반기입형" sheetId="1" r:id="rId1"/>
    <sheet name="자동연산형 거래명세서(종합)" sheetId="2" r:id="rId2"/>
  </sheets>
  <definedNames>
    <definedName name="_xlnm.Print_Area" localSheetId="0">일반기입형!$A$1:$N$37</definedName>
    <definedName name="_xlnm.Print_Area" localSheetId="1">'자동연산형 거래명세서(종합)'!$A$1:$Q$42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" l="1"/>
  <c r="J28" i="2"/>
  <c r="J22" i="2"/>
  <c r="J16" i="2"/>
  <c r="J25" i="2" l="1"/>
  <c r="J32" i="2"/>
  <c r="J31" i="2"/>
  <c r="H31" i="2"/>
  <c r="H32" i="2" s="1"/>
  <c r="G31" i="2"/>
  <c r="J27" i="2"/>
  <c r="J26" i="2"/>
  <c r="H26" i="2"/>
  <c r="H27" i="2" s="1"/>
  <c r="H25" i="2"/>
  <c r="G25" i="2"/>
  <c r="J21" i="2"/>
  <c r="J20" i="2"/>
  <c r="H19" i="2"/>
  <c r="G19" i="2"/>
  <c r="H14" i="2"/>
  <c r="G14" i="2"/>
  <c r="H20" i="2"/>
  <c r="H21" i="2" s="1"/>
  <c r="J19" i="2"/>
  <c r="J15" i="2"/>
  <c r="J14" i="2"/>
  <c r="H15" i="2"/>
  <c r="N39" i="2"/>
  <c r="L39" i="2"/>
  <c r="G34" i="1"/>
  <c r="J39" i="2" l="1"/>
  <c r="K34" i="1"/>
  <c r="I34" i="1"/>
</calcChain>
</file>

<file path=xl/sharedStrings.xml><?xml version="1.0" encoding="utf-8"?>
<sst xmlns="http://schemas.openxmlformats.org/spreadsheetml/2006/main" count="242" uniqueCount="80">
  <si>
    <t>비    고</t>
    <phoneticPr fontId="6" type="noConversion"/>
  </si>
  <si>
    <t>합   계</t>
    <phoneticPr fontId="6" type="noConversion"/>
  </si>
  <si>
    <t>비고</t>
    <phoneticPr fontId="6" type="noConversion"/>
  </si>
  <si>
    <t>수량</t>
    <phoneticPr fontId="3" type="noConversion"/>
  </si>
  <si>
    <t>규격</t>
    <phoneticPr fontId="3" type="noConversion"/>
  </si>
  <si>
    <t>품명</t>
    <phoneticPr fontId="3" type="noConversion"/>
  </si>
  <si>
    <t>순번</t>
    <phoneticPr fontId="6" type="noConversion"/>
  </si>
  <si>
    <t>) VAT포함</t>
    <phoneticPr fontId="3" type="noConversion"/>
  </si>
  <si>
    <t>(</t>
    <phoneticPr fontId="3" type="noConversion"/>
  </si>
  <si>
    <t>개  별  단  가</t>
    <phoneticPr fontId="3" type="noConversion"/>
  </si>
  <si>
    <t>합계금액:</t>
    <phoneticPr fontId="6" type="noConversion"/>
  </si>
  <si>
    <t>E-MAIL</t>
    <phoneticPr fontId="3" type="noConversion"/>
  </si>
  <si>
    <t>FAX</t>
    <phoneticPr fontId="3" type="noConversion"/>
  </si>
  <si>
    <t>전화</t>
    <phoneticPr fontId="3" type="noConversion"/>
  </si>
  <si>
    <t>종목</t>
    <phoneticPr fontId="6" type="noConversion"/>
  </si>
  <si>
    <t>업 태</t>
    <phoneticPr fontId="6" type="noConversion"/>
  </si>
  <si>
    <t>연 락 처:</t>
    <phoneticPr fontId="3" type="noConversion"/>
  </si>
  <si>
    <t>주 소</t>
    <phoneticPr fontId="6" type="noConversion"/>
  </si>
  <si>
    <t>성명</t>
    <phoneticPr fontId="6" type="noConversion"/>
  </si>
  <si>
    <t>상 호</t>
    <phoneticPr fontId="6" type="noConversion"/>
  </si>
  <si>
    <t>사업자</t>
    <phoneticPr fontId="6" type="noConversion"/>
  </si>
  <si>
    <t>공
급
자</t>
    <phoneticPr fontId="3" type="noConversion"/>
  </si>
  <si>
    <t>수     신:</t>
    <phoneticPr fontId="3" type="noConversion"/>
  </si>
  <si>
    <t>firemaster532nd@gmail.com</t>
    <phoneticPr fontId="3" type="noConversion"/>
  </si>
  <si>
    <t>단위</t>
    <phoneticPr fontId="3" type="noConversion"/>
  </si>
  <si>
    <t xml:space="preserve"> ㈜ 이지원</t>
    <phoneticPr fontId="6" type="noConversion"/>
  </si>
  <si>
    <t xml:space="preserve"> 박 민 선</t>
    <phoneticPr fontId="6" type="noConversion"/>
  </si>
  <si>
    <t>㈜  이 지 원</t>
    <phoneticPr fontId="3" type="noConversion"/>
  </si>
  <si>
    <t>232 - 88 - 00624</t>
    <phoneticPr fontId="3" type="noConversion"/>
  </si>
  <si>
    <t xml:space="preserve"> 제조업, 도소매</t>
    <phoneticPr fontId="6" type="noConversion"/>
  </si>
  <si>
    <t xml:space="preserve"> 02-6455-0300</t>
    <phoneticPr fontId="3" type="noConversion"/>
  </si>
  <si>
    <t xml:space="preserve"> 방화재관련건설자재</t>
    <phoneticPr fontId="6" type="noConversion"/>
  </si>
  <si>
    <t>납품장소</t>
    <phoneticPr fontId="3" type="noConversion"/>
  </si>
  <si>
    <t>인 수 자:</t>
    <phoneticPr fontId="3" type="noConversion"/>
  </si>
  <si>
    <t>인수서명</t>
    <phoneticPr fontId="3" type="noConversion"/>
  </si>
  <si>
    <t>070-8870-0300</t>
    <phoneticPr fontId="3" type="noConversion"/>
  </si>
  <si>
    <t>경기도 화상시 장안면 수촌리 1028-21</t>
    <phoneticPr fontId="3" type="noConversion"/>
  </si>
  <si>
    <t>거 래 명 세 표</t>
    <phoneticPr fontId="6" type="noConversion"/>
  </si>
  <si>
    <t>아래와 같이 납품합니다.</t>
    <phoneticPr fontId="6" type="noConversion"/>
  </si>
  <si>
    <t>DUCT VT-049</t>
    <phoneticPr fontId="3" type="noConversion"/>
  </si>
  <si>
    <t>VM200소켓</t>
    <phoneticPr fontId="3" type="noConversion"/>
  </si>
  <si>
    <t>그라스울보온재</t>
    <phoneticPr fontId="3" type="noConversion"/>
  </si>
  <si>
    <t>25T*1400* M</t>
    <phoneticPr fontId="3" type="noConversion"/>
  </si>
  <si>
    <t>EA</t>
    <phoneticPr fontId="3" type="noConversion"/>
  </si>
  <si>
    <t>EZ F.B 방화플래싱</t>
    <phoneticPr fontId="3" type="noConversion"/>
  </si>
  <si>
    <t>125W*1000L</t>
    <phoneticPr fontId="3" type="noConversion"/>
  </si>
  <si>
    <t>DUCT VT-064</t>
    <phoneticPr fontId="3" type="noConversion"/>
  </si>
  <si>
    <t>세라믹 차열재</t>
    <phoneticPr fontId="3" type="noConversion"/>
  </si>
  <si>
    <t>25T*200* M</t>
    <phoneticPr fontId="3" type="noConversion"/>
  </si>
  <si>
    <t>DUCT VT-01</t>
    <phoneticPr fontId="3" type="noConversion"/>
  </si>
  <si>
    <t>VT200소켓</t>
    <phoneticPr fontId="3" type="noConversion"/>
  </si>
  <si>
    <t>50T*400* M</t>
    <phoneticPr fontId="3" type="noConversion"/>
  </si>
  <si>
    <t>50T*600* M</t>
    <phoneticPr fontId="3" type="noConversion"/>
  </si>
  <si>
    <t>DUCT VA-064</t>
    <phoneticPr fontId="3" type="noConversion"/>
  </si>
  <si>
    <t>BOX</t>
    <phoneticPr fontId="3" type="noConversion"/>
  </si>
  <si>
    <t>F200 방화실란트</t>
    <phoneticPr fontId="3" type="noConversion"/>
  </si>
  <si>
    <t>300ML</t>
    <phoneticPr fontId="3" type="noConversion"/>
  </si>
  <si>
    <t>VM200소켓</t>
  </si>
  <si>
    <t>그라스울보온재</t>
  </si>
  <si>
    <t>EZ F.B 방화플래싱</t>
  </si>
  <si>
    <t>24K</t>
    <phoneticPr fontId="3" type="noConversion"/>
  </si>
  <si>
    <t>25T</t>
    <phoneticPr fontId="3" type="noConversion"/>
  </si>
  <si>
    <t>가로</t>
    <phoneticPr fontId="3" type="noConversion"/>
  </si>
  <si>
    <t>세로</t>
    <phoneticPr fontId="3" type="noConversion"/>
  </si>
  <si>
    <t>두께</t>
    <phoneticPr fontId="3" type="noConversion"/>
  </si>
  <si>
    <t>밀도</t>
    <phoneticPr fontId="3" type="noConversion"/>
  </si>
  <si>
    <t>세라믹 차열재</t>
  </si>
  <si>
    <t>DUCT</t>
    <phoneticPr fontId="3" type="noConversion"/>
  </si>
  <si>
    <t xml:space="preserve"> VT</t>
    <phoneticPr fontId="3" type="noConversion"/>
  </si>
  <si>
    <t>064</t>
    <phoneticPr fontId="3" type="noConversion"/>
  </si>
  <si>
    <t>049</t>
    <phoneticPr fontId="3" type="noConversion"/>
  </si>
  <si>
    <t>50T</t>
    <phoneticPr fontId="3" type="noConversion"/>
  </si>
  <si>
    <t>96K</t>
    <phoneticPr fontId="3" type="noConversion"/>
  </si>
  <si>
    <t>VT200소켓</t>
  </si>
  <si>
    <t>01</t>
    <phoneticPr fontId="3" type="noConversion"/>
  </si>
  <si>
    <t>F200 방화실란트</t>
  </si>
  <si>
    <t xml:space="preserve"> VA</t>
    <phoneticPr fontId="3" type="noConversion"/>
  </si>
  <si>
    <t>300ml</t>
    <phoneticPr fontId="3" type="noConversion"/>
  </si>
  <si>
    <t>box</t>
    <phoneticPr fontId="3" type="noConversion"/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</si>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</sst>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[$-F800]dddd\,\ mmmm\ dd\,\ yyyy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3"/>
      <color theme="1"/>
      <name val="Arial Unicode MS"/>
      <family val="3"/>
      <charset val="129"/>
    </font>
    <font>
      <sz val="13"/>
      <color theme="1"/>
      <name val="Arial Unicode MS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u/>
      <sz val="13"/>
      <color theme="10"/>
      <name val="맑은 고딕"/>
      <family val="2"/>
      <scheme val="minor"/>
    </font>
    <font>
      <b/>
      <sz val="16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9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1" fontId="2" fillId="0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1" fontId="8" fillId="0" borderId="4" xfId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2" fontId="10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left" vertical="center"/>
    </xf>
    <xf numFmtId="42" fontId="10" fillId="0" borderId="0" xfId="0" applyNumberFormat="1" applyFont="1" applyAlignment="1">
      <alignment horizontal="left" vertical="center" shrinkToFit="1"/>
    </xf>
    <xf numFmtId="0" fontId="9" fillId="0" borderId="1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shrinkToFit="1"/>
    </xf>
    <xf numFmtId="41" fontId="8" fillId="5" borderId="4" xfId="1" applyFont="1" applyFill="1" applyBorder="1" applyAlignment="1">
      <alignment horizontal="center" vertical="center"/>
    </xf>
    <xf numFmtId="41" fontId="8" fillId="5" borderId="6" xfId="1" applyFont="1" applyFill="1" applyBorder="1" applyAlignment="1">
      <alignment horizontal="center" vertical="center"/>
    </xf>
    <xf numFmtId="41" fontId="2" fillId="5" borderId="4" xfId="1" applyFont="1" applyFill="1" applyBorder="1" applyAlignment="1">
      <alignment horizontal="center" vertical="center"/>
    </xf>
    <xf numFmtId="41" fontId="8" fillId="5" borderId="36" xfId="1" applyFont="1" applyFill="1" applyBorder="1" applyAlignment="1">
      <alignment horizontal="center" vertical="center"/>
    </xf>
    <xf numFmtId="41" fontId="8" fillId="5" borderId="5" xfId="1" applyFont="1" applyFill="1" applyBorder="1" applyAlignment="1">
      <alignment horizontal="center" vertical="center"/>
    </xf>
    <xf numFmtId="41" fontId="8" fillId="5" borderId="37" xfId="1" applyFont="1" applyFill="1" applyBorder="1" applyAlignment="1">
      <alignment horizontal="center" vertical="center"/>
    </xf>
    <xf numFmtId="41" fontId="2" fillId="0" borderId="4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43" xfId="0" applyFont="1" applyBorder="1" applyAlignment="1">
      <alignment horizontal="center" vertical="center"/>
    </xf>
    <xf numFmtId="0" fontId="12" fillId="5" borderId="43" xfId="0" applyFont="1" applyFill="1" applyBorder="1" applyAlignment="1">
      <alignment horizontal="center" vertical="center"/>
    </xf>
    <xf numFmtId="0" fontId="2" fillId="0" borderId="44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0" borderId="45" xfId="0" quotePrefix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41" fontId="8" fillId="5" borderId="15" xfId="1" applyFont="1" applyFill="1" applyBorder="1" applyAlignment="1">
      <alignment horizontal="center" vertical="center"/>
    </xf>
    <xf numFmtId="41" fontId="8" fillId="5" borderId="2" xfId="1" applyFont="1" applyFill="1" applyBorder="1" applyAlignment="1">
      <alignment horizontal="center" vertical="center"/>
    </xf>
    <xf numFmtId="41" fontId="8" fillId="5" borderId="3" xfId="1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5" borderId="56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41" fontId="5" fillId="0" borderId="64" xfId="1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5" borderId="69" xfId="0" applyFont="1" applyFill="1" applyBorder="1" applyAlignment="1">
      <alignment horizontal="center" vertical="center"/>
    </xf>
    <xf numFmtId="0" fontId="2" fillId="5" borderId="70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2" fillId="5" borderId="73" xfId="0" applyFont="1" applyFill="1" applyBorder="1" applyAlignment="1">
      <alignment horizontal="center" vertical="center"/>
    </xf>
    <xf numFmtId="0" fontId="2" fillId="5" borderId="74" xfId="0" applyFont="1" applyFill="1" applyBorder="1" applyAlignment="1">
      <alignment horizontal="center" vertical="center"/>
    </xf>
    <xf numFmtId="0" fontId="2" fillId="5" borderId="75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12" fillId="5" borderId="77" xfId="0" applyFont="1" applyFill="1" applyBorder="1" applyAlignment="1">
      <alignment horizontal="center" vertical="center"/>
    </xf>
    <xf numFmtId="0" fontId="2" fillId="5" borderId="78" xfId="0" applyFont="1" applyFill="1" applyBorder="1" applyAlignment="1">
      <alignment horizontal="center" vertical="center"/>
    </xf>
    <xf numFmtId="0" fontId="2" fillId="5" borderId="79" xfId="0" applyFont="1" applyFill="1" applyBorder="1" applyAlignment="1">
      <alignment horizontal="center" vertical="center"/>
    </xf>
    <xf numFmtId="0" fontId="8" fillId="5" borderId="8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1" xfId="0" quotePrefix="1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5" fillId="4" borderId="83" xfId="0" applyFont="1" applyFill="1" applyBorder="1" applyAlignment="1">
      <alignment horizontal="center" vertical="center"/>
    </xf>
    <xf numFmtId="0" fontId="2" fillId="4" borderId="84" xfId="0" applyFont="1" applyFill="1" applyBorder="1" applyAlignment="1">
      <alignment horizontal="center" vertical="center"/>
    </xf>
    <xf numFmtId="0" fontId="5" fillId="4" borderId="85" xfId="0" applyFont="1" applyFill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2" fontId="10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shrinkToFit="1"/>
    </xf>
    <xf numFmtId="0" fontId="17" fillId="0" borderId="4" xfId="0" applyFont="1" applyBorder="1" applyAlignment="1">
      <alignment horizontal="left" vertical="center"/>
    </xf>
    <xf numFmtId="177" fontId="10" fillId="0" borderId="0" xfId="0" applyNumberFormat="1" applyFont="1" applyAlignment="1">
      <alignment horizontal="left" vertical="center"/>
    </xf>
    <xf numFmtId="42" fontId="10" fillId="0" borderId="0" xfId="0" applyNumberFormat="1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20" fillId="0" borderId="4" xfId="2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76" fontId="9" fillId="0" borderId="13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4" fontId="9" fillId="0" borderId="38" xfId="0" applyNumberFormat="1" applyFont="1" applyBorder="1" applyAlignment="1">
      <alignment horizontal="center" vertical="center"/>
    </xf>
    <xf numFmtId="14" fontId="9" fillId="0" borderId="4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1" fontId="8" fillId="0" borderId="6" xfId="1" applyFont="1" applyFill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1" fontId="8" fillId="0" borderId="15" xfId="1" applyFont="1" applyFill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15" xfId="1" applyFont="1" applyBorder="1" applyAlignment="1">
      <alignment horizontal="center" vertical="center"/>
    </xf>
    <xf numFmtId="41" fontId="8" fillId="0" borderId="3" xfId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21" fillId="2" borderId="28" xfId="1" applyFont="1" applyFill="1" applyBorder="1" applyAlignment="1">
      <alignment horizontal="center" textRotation="255" shrinkToFit="1"/>
    </xf>
    <xf numFmtId="41" fontId="21" fillId="2" borderId="32" xfId="1" applyFont="1" applyFill="1" applyBorder="1" applyAlignment="1">
      <alignment horizontal="center" textRotation="255" shrinkToFit="1"/>
    </xf>
    <xf numFmtId="41" fontId="21" fillId="2" borderId="34" xfId="1" applyFont="1" applyFill="1" applyBorder="1" applyAlignment="1">
      <alignment horizontal="center" textRotation="255" shrinkToFit="1"/>
    </xf>
    <xf numFmtId="41" fontId="8" fillId="0" borderId="29" xfId="1" applyFont="1" applyFill="1" applyBorder="1" applyAlignment="1">
      <alignment horizontal="center" vertical="center"/>
    </xf>
    <xf numFmtId="41" fontId="8" fillId="0" borderId="30" xfId="1" applyFont="1" applyFill="1" applyBorder="1" applyAlignment="1">
      <alignment horizontal="center" vertical="center"/>
    </xf>
    <xf numFmtId="41" fontId="8" fillId="0" borderId="31" xfId="1" applyFont="1" applyFill="1" applyBorder="1" applyAlignment="1">
      <alignment horizontal="center" vertical="center"/>
    </xf>
    <xf numFmtId="41" fontId="8" fillId="0" borderId="26" xfId="1" applyFont="1" applyFill="1" applyBorder="1" applyAlignment="1">
      <alignment horizontal="center" vertical="center"/>
    </xf>
    <xf numFmtId="41" fontId="8" fillId="0" borderId="0" xfId="1" applyFont="1" applyFill="1" applyBorder="1" applyAlignment="1">
      <alignment horizontal="center" vertical="center"/>
    </xf>
    <xf numFmtId="41" fontId="8" fillId="0" borderId="33" xfId="1" applyFont="1" applyFill="1" applyBorder="1" applyAlignment="1">
      <alignment horizontal="center" vertical="center"/>
    </xf>
    <xf numFmtId="41" fontId="8" fillId="0" borderId="20" xfId="1" applyFont="1" applyFill="1" applyBorder="1" applyAlignment="1">
      <alignment horizontal="center" vertical="center"/>
    </xf>
    <xf numFmtId="41" fontId="8" fillId="0" borderId="21" xfId="1" applyFont="1" applyFill="1" applyBorder="1" applyAlignment="1">
      <alignment horizontal="center" vertical="center"/>
    </xf>
    <xf numFmtId="41" fontId="8" fillId="0" borderId="35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14" fontId="15" fillId="0" borderId="66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67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1" fontId="5" fillId="0" borderId="9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65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141816</xdr:colOff>
      <xdr:row>2</xdr:row>
      <xdr:rowOff>48683</xdr:rowOff>
    </xdr:from>
    <xdr:to>
      <xdr:col>13</xdr:col>
      <xdr:colOff>666750</xdr:colOff>
      <xdr:row>3</xdr:row>
      <xdr:rowOff>285750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4A9B538-B15E-4B8B-93C4-575838BED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8" t="9756" r="28455" b="36585"/>
        <a:stretch/>
      </xdr:blipFill>
      <xdr:spPr>
        <a:xfrm>
          <a:off x="7878233" y="789516"/>
          <a:ext cx="524934" cy="57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141816</xdr:colOff>
      <xdr:row>2</xdr:row>
      <xdr:rowOff>48683</xdr:rowOff>
    </xdr:from>
    <xdr:to>
      <xdr:col>16</xdr:col>
      <xdr:colOff>673100</xdr:colOff>
      <xdr:row>3</xdr:row>
      <xdr:rowOff>292100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0C7A0C-9144-4BE6-8883-B15F25384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8" t="9756" r="28455" b="36585"/>
        <a:stretch/>
      </xdr:blipFill>
      <xdr:spPr>
        <a:xfrm>
          <a:off x="7850716" y="797983"/>
          <a:ext cx="531284" cy="565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emaster532n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iremaster532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zoomScale="90" zoomScaleNormal="90" workbookViewId="0">
      <selection activeCell="B23" sqref="B23:C23"/>
    </sheetView>
  </sheetViews>
  <sheetFormatPr defaultColWidth="9" defaultRowHeight="30" customHeight="1"/>
  <cols>
    <col min="1" max="1" width="5.625" style="2" bestFit="1" customWidth="1"/>
    <col min="2" max="2" width="14.125" style="1" customWidth="1"/>
    <col min="3" max="3" width="16.125" style="1" bestFit="1" customWidth="1"/>
    <col min="4" max="4" width="13.5" style="1" customWidth="1"/>
    <col min="5" max="5" width="5" style="1" customWidth="1"/>
    <col min="6" max="6" width="5.5" style="1" bestFit="1" customWidth="1"/>
    <col min="7" max="7" width="9" style="1" customWidth="1"/>
    <col min="8" max="8" width="10" style="1" customWidth="1"/>
    <col min="9" max="9" width="7.125" style="1" customWidth="1"/>
    <col min="10" max="10" width="4.625" style="1" bestFit="1" customWidth="1"/>
    <col min="11" max="11" width="6.625" style="1" customWidth="1"/>
    <col min="12" max="12" width="3.125" style="1" hidden="1" customWidth="1"/>
    <col min="13" max="13" width="3.5" style="1" customWidth="1"/>
    <col min="14" max="14" width="11.125" style="1" customWidth="1"/>
    <col min="15" max="16384" width="9" style="1"/>
  </cols>
  <sheetData>
    <row r="1" spans="1:14" ht="16.5"/>
    <row r="2" spans="1:14" s="3" customFormat="1" ht="42" customHeight="1">
      <c r="A2" s="113" t="s">
        <v>37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4" ht="26.25" customHeight="1">
      <c r="A3" s="24"/>
      <c r="B3" s="25" t="s">
        <v>22</v>
      </c>
      <c r="C3" s="114"/>
      <c r="D3" s="114"/>
      <c r="E3" s="26"/>
      <c r="F3" s="115" t="s">
        <v>21</v>
      </c>
      <c r="G3" s="27" t="s">
        <v>20</v>
      </c>
      <c r="H3" s="116" t="s">
        <v>28</v>
      </c>
      <c r="I3" s="116"/>
      <c r="J3" s="116"/>
      <c r="K3" s="116"/>
      <c r="L3" s="116"/>
      <c r="M3" s="116"/>
      <c r="N3" s="116"/>
    </row>
    <row r="4" spans="1:14" ht="26.25" customHeight="1">
      <c r="A4" s="24"/>
      <c r="B4" s="25" t="s">
        <v>33</v>
      </c>
      <c r="C4" s="114"/>
      <c r="D4" s="114"/>
      <c r="E4" s="26"/>
      <c r="F4" s="116"/>
      <c r="G4" s="27" t="s">
        <v>19</v>
      </c>
      <c r="H4" s="117" t="s">
        <v>25</v>
      </c>
      <c r="I4" s="117"/>
      <c r="J4" s="27" t="s">
        <v>18</v>
      </c>
      <c r="K4" s="118" t="s">
        <v>26</v>
      </c>
      <c r="L4" s="118"/>
      <c r="M4" s="118"/>
      <c r="N4" s="118"/>
    </row>
    <row r="5" spans="1:14" ht="26.25" customHeight="1">
      <c r="A5" s="24"/>
      <c r="B5" s="25" t="s">
        <v>16</v>
      </c>
      <c r="C5" s="119"/>
      <c r="D5" s="119"/>
      <c r="E5" s="26"/>
      <c r="F5" s="116"/>
      <c r="G5" s="27" t="s">
        <v>17</v>
      </c>
      <c r="H5" s="118" t="s">
        <v>36</v>
      </c>
      <c r="I5" s="118"/>
      <c r="J5" s="118"/>
      <c r="K5" s="118"/>
      <c r="L5" s="118"/>
      <c r="M5" s="118"/>
      <c r="N5" s="118"/>
    </row>
    <row r="6" spans="1:14" ht="26.25" customHeight="1">
      <c r="A6" s="24"/>
      <c r="C6" s="120"/>
      <c r="D6" s="120"/>
      <c r="E6" s="28"/>
      <c r="F6" s="116"/>
      <c r="G6" s="27" t="s">
        <v>15</v>
      </c>
      <c r="H6" s="118" t="s">
        <v>29</v>
      </c>
      <c r="I6" s="118"/>
      <c r="J6" s="27" t="s">
        <v>14</v>
      </c>
      <c r="K6" s="118" t="s">
        <v>31</v>
      </c>
      <c r="L6" s="118"/>
      <c r="M6" s="118"/>
      <c r="N6" s="118"/>
    </row>
    <row r="7" spans="1:14" ht="26.25" customHeight="1">
      <c r="A7" s="29"/>
      <c r="B7" s="29"/>
      <c r="C7" s="11"/>
      <c r="D7" s="10"/>
      <c r="E7" s="29"/>
      <c r="F7" s="116"/>
      <c r="G7" s="27" t="s">
        <v>13</v>
      </c>
      <c r="H7" s="118" t="s">
        <v>35</v>
      </c>
      <c r="I7" s="118"/>
      <c r="J7" s="27" t="s">
        <v>12</v>
      </c>
      <c r="K7" s="118" t="s">
        <v>30</v>
      </c>
      <c r="L7" s="118"/>
      <c r="M7" s="118"/>
      <c r="N7" s="118"/>
    </row>
    <row r="8" spans="1:14" ht="26.25" customHeight="1">
      <c r="A8" s="121" t="s">
        <v>38</v>
      </c>
      <c r="B8" s="121"/>
      <c r="C8" s="121"/>
      <c r="D8" s="121"/>
      <c r="E8" s="121"/>
      <c r="F8" s="116"/>
      <c r="G8" s="27" t="s">
        <v>11</v>
      </c>
      <c r="H8" s="122" t="s">
        <v>23</v>
      </c>
      <c r="I8" s="123"/>
      <c r="J8" s="123"/>
      <c r="K8" s="123"/>
      <c r="L8" s="123"/>
      <c r="M8" s="123"/>
      <c r="N8" s="123"/>
    </row>
    <row r="9" spans="1:14" ht="30" customHeight="1">
      <c r="A9" s="14"/>
      <c r="B9" s="14"/>
      <c r="C9" s="14"/>
      <c r="D9" s="14"/>
      <c r="E9" s="14"/>
      <c r="F9" s="14"/>
      <c r="G9" s="21"/>
      <c r="H9" s="22"/>
      <c r="I9" s="22"/>
      <c r="J9" s="22"/>
      <c r="K9" s="22"/>
      <c r="L9" s="22"/>
      <c r="M9" s="22"/>
      <c r="N9" s="23"/>
    </row>
    <row r="10" spans="1:14" ht="30" customHeight="1" thickBot="1">
      <c r="A10" s="124" t="s">
        <v>10</v>
      </c>
      <c r="B10" s="124"/>
      <c r="C10" s="124" t="s">
        <v>9</v>
      </c>
      <c r="D10" s="124"/>
      <c r="E10" s="124"/>
      <c r="F10" s="124"/>
      <c r="G10" s="124"/>
      <c r="H10" s="15" t="s">
        <v>8</v>
      </c>
      <c r="I10" s="125"/>
      <c r="J10" s="125"/>
      <c r="K10" s="125"/>
      <c r="L10" s="125"/>
      <c r="M10" s="125"/>
      <c r="N10" s="16" t="s">
        <v>7</v>
      </c>
    </row>
    <row r="11" spans="1:14" ht="30" customHeight="1" thickBot="1">
      <c r="A11" s="17" t="s">
        <v>6</v>
      </c>
      <c r="B11" s="184" t="s">
        <v>5</v>
      </c>
      <c r="C11" s="185"/>
      <c r="D11" s="184" t="s">
        <v>4</v>
      </c>
      <c r="E11" s="186"/>
      <c r="F11" s="18" t="s">
        <v>24</v>
      </c>
      <c r="G11" s="18" t="s">
        <v>3</v>
      </c>
      <c r="H11" s="187" t="s">
        <v>2</v>
      </c>
      <c r="I11" s="188"/>
      <c r="J11" s="188"/>
      <c r="K11" s="188"/>
      <c r="L11" s="188"/>
      <c r="M11" s="188"/>
      <c r="N11" s="189"/>
    </row>
    <row r="12" spans="1:14" ht="30" customHeight="1">
      <c r="A12" s="19">
        <v>1</v>
      </c>
      <c r="B12" s="183" t="s">
        <v>39</v>
      </c>
      <c r="C12" s="183"/>
      <c r="D12" s="137"/>
      <c r="E12" s="137"/>
      <c r="F12" s="20" t="s">
        <v>43</v>
      </c>
      <c r="G12" s="30"/>
      <c r="H12" s="9"/>
      <c r="I12" s="138"/>
      <c r="J12" s="138"/>
      <c r="K12" s="139"/>
      <c r="L12" s="139"/>
      <c r="M12" s="139"/>
      <c r="N12" s="7"/>
    </row>
    <row r="13" spans="1:14" ht="30" customHeight="1">
      <c r="A13" s="19">
        <v>2</v>
      </c>
      <c r="B13" s="137" t="s">
        <v>40</v>
      </c>
      <c r="C13" s="137"/>
      <c r="D13" s="137"/>
      <c r="E13" s="137"/>
      <c r="F13" s="20" t="s">
        <v>43</v>
      </c>
      <c r="G13" s="30"/>
      <c r="H13" s="9"/>
      <c r="I13" s="138"/>
      <c r="J13" s="138"/>
      <c r="K13" s="139"/>
      <c r="L13" s="139"/>
      <c r="M13" s="139"/>
      <c r="N13" s="7"/>
    </row>
    <row r="14" spans="1:14" ht="30" customHeight="1">
      <c r="A14" s="19">
        <v>3</v>
      </c>
      <c r="B14" s="137" t="s">
        <v>41</v>
      </c>
      <c r="C14" s="137"/>
      <c r="D14" s="137" t="s">
        <v>42</v>
      </c>
      <c r="E14" s="137"/>
      <c r="F14" s="20" t="s">
        <v>43</v>
      </c>
      <c r="G14" s="30"/>
      <c r="H14" s="9"/>
      <c r="I14" s="138"/>
      <c r="J14" s="138"/>
      <c r="K14" s="139"/>
      <c r="L14" s="139"/>
      <c r="M14" s="139"/>
      <c r="N14" s="7"/>
    </row>
    <row r="15" spans="1:14" ht="30" customHeight="1">
      <c r="A15" s="19">
        <v>4</v>
      </c>
      <c r="B15" s="137" t="s">
        <v>44</v>
      </c>
      <c r="C15" s="137"/>
      <c r="D15" s="137" t="s">
        <v>45</v>
      </c>
      <c r="E15" s="137"/>
      <c r="F15" s="20" t="s">
        <v>43</v>
      </c>
      <c r="G15" s="30"/>
      <c r="H15" s="9"/>
      <c r="I15" s="138"/>
      <c r="J15" s="138"/>
      <c r="K15" s="139"/>
      <c r="L15" s="139"/>
      <c r="M15" s="139"/>
      <c r="N15" s="7"/>
    </row>
    <row r="16" spans="1:14" ht="30" customHeight="1">
      <c r="A16" s="19">
        <v>5</v>
      </c>
      <c r="B16" s="183" t="s">
        <v>46</v>
      </c>
      <c r="C16" s="183"/>
      <c r="D16" s="137"/>
      <c r="E16" s="137"/>
      <c r="F16" s="20" t="s">
        <v>43</v>
      </c>
      <c r="G16" s="30"/>
      <c r="H16" s="9"/>
      <c r="I16" s="138"/>
      <c r="J16" s="138"/>
      <c r="K16" s="139"/>
      <c r="L16" s="139"/>
      <c r="M16" s="139"/>
      <c r="N16" s="7"/>
    </row>
    <row r="17" spans="1:14" ht="30" customHeight="1">
      <c r="A17" s="19">
        <v>6</v>
      </c>
      <c r="B17" s="140" t="s">
        <v>40</v>
      </c>
      <c r="C17" s="141"/>
      <c r="D17" s="137"/>
      <c r="E17" s="137"/>
      <c r="F17" s="20" t="s">
        <v>43</v>
      </c>
      <c r="G17" s="30"/>
      <c r="H17" s="9"/>
      <c r="I17" s="138"/>
      <c r="J17" s="138"/>
      <c r="K17" s="139"/>
      <c r="L17" s="139"/>
      <c r="M17" s="139"/>
      <c r="N17" s="7"/>
    </row>
    <row r="18" spans="1:14" ht="30" customHeight="1">
      <c r="A18" s="19">
        <v>7</v>
      </c>
      <c r="B18" s="137" t="s">
        <v>41</v>
      </c>
      <c r="C18" s="137"/>
      <c r="D18" s="137" t="s">
        <v>42</v>
      </c>
      <c r="E18" s="137"/>
      <c r="F18" s="20" t="s">
        <v>43</v>
      </c>
      <c r="G18" s="30"/>
      <c r="H18" s="9"/>
      <c r="I18" s="138"/>
      <c r="J18" s="138"/>
      <c r="K18" s="139"/>
      <c r="L18" s="139"/>
      <c r="M18" s="139"/>
      <c r="N18" s="7"/>
    </row>
    <row r="19" spans="1:14" ht="30" customHeight="1">
      <c r="A19" s="19">
        <v>8</v>
      </c>
      <c r="B19" s="137" t="s">
        <v>47</v>
      </c>
      <c r="C19" s="137"/>
      <c r="D19" s="137" t="s">
        <v>51</v>
      </c>
      <c r="E19" s="137"/>
      <c r="F19" s="20" t="s">
        <v>43</v>
      </c>
      <c r="G19" s="30"/>
      <c r="H19" s="9"/>
      <c r="I19" s="138"/>
      <c r="J19" s="138"/>
      <c r="K19" s="139"/>
      <c r="L19" s="139"/>
      <c r="M19" s="139"/>
      <c r="N19" s="7"/>
    </row>
    <row r="20" spans="1:14" ht="30" customHeight="1">
      <c r="A20" s="19">
        <v>9</v>
      </c>
      <c r="B20" s="137" t="s">
        <v>44</v>
      </c>
      <c r="C20" s="137"/>
      <c r="D20" s="137" t="s">
        <v>45</v>
      </c>
      <c r="E20" s="137"/>
      <c r="F20" s="20" t="s">
        <v>43</v>
      </c>
      <c r="G20" s="30"/>
      <c r="H20" s="9"/>
      <c r="I20" s="138"/>
      <c r="J20" s="138"/>
      <c r="K20" s="139"/>
      <c r="L20" s="139"/>
      <c r="M20" s="139"/>
      <c r="N20" s="7"/>
    </row>
    <row r="21" spans="1:14" ht="28.7" customHeight="1">
      <c r="A21" s="19">
        <v>10</v>
      </c>
      <c r="B21" s="183" t="s">
        <v>49</v>
      </c>
      <c r="C21" s="183"/>
      <c r="D21" s="140"/>
      <c r="E21" s="141"/>
      <c r="F21" s="20" t="s">
        <v>43</v>
      </c>
      <c r="G21" s="30"/>
      <c r="H21" s="9"/>
      <c r="I21" s="138"/>
      <c r="J21" s="138"/>
      <c r="K21" s="139"/>
      <c r="L21" s="139"/>
      <c r="M21" s="139"/>
      <c r="N21" s="7"/>
    </row>
    <row r="22" spans="1:14" ht="30" customHeight="1">
      <c r="A22" s="19">
        <v>11</v>
      </c>
      <c r="B22" s="137" t="s">
        <v>50</v>
      </c>
      <c r="C22" s="137"/>
      <c r="D22" s="137"/>
      <c r="E22" s="137"/>
      <c r="F22" s="20" t="s">
        <v>43</v>
      </c>
      <c r="G22" s="30"/>
      <c r="H22" s="9"/>
      <c r="I22" s="138"/>
      <c r="J22" s="138"/>
      <c r="K22" s="139"/>
      <c r="L22" s="139"/>
      <c r="M22" s="139"/>
      <c r="N22" s="7"/>
    </row>
    <row r="23" spans="1:14" ht="30" customHeight="1">
      <c r="A23" s="19">
        <v>12</v>
      </c>
      <c r="B23" s="137" t="s">
        <v>41</v>
      </c>
      <c r="C23" s="137"/>
      <c r="D23" s="137" t="s">
        <v>42</v>
      </c>
      <c r="E23" s="137"/>
      <c r="F23" s="20" t="s">
        <v>43</v>
      </c>
      <c r="G23" s="30"/>
      <c r="H23" s="9"/>
      <c r="I23" s="138"/>
      <c r="J23" s="138"/>
      <c r="K23" s="139"/>
      <c r="L23" s="139"/>
      <c r="M23" s="139"/>
      <c r="N23" s="7"/>
    </row>
    <row r="24" spans="1:14" ht="30" customHeight="1">
      <c r="A24" s="19">
        <v>13</v>
      </c>
      <c r="B24" s="140" t="s">
        <v>47</v>
      </c>
      <c r="C24" s="141"/>
      <c r="D24" s="137" t="s">
        <v>52</v>
      </c>
      <c r="E24" s="137"/>
      <c r="F24" s="20" t="s">
        <v>43</v>
      </c>
      <c r="G24" s="30"/>
      <c r="H24" s="9"/>
      <c r="I24" s="138"/>
      <c r="J24" s="138"/>
      <c r="K24" s="139"/>
      <c r="L24" s="139"/>
      <c r="M24" s="139"/>
      <c r="N24" s="7"/>
    </row>
    <row r="25" spans="1:14" ht="30" customHeight="1">
      <c r="A25" s="19">
        <v>14</v>
      </c>
      <c r="B25" s="140" t="s">
        <v>44</v>
      </c>
      <c r="C25" s="141"/>
      <c r="D25" s="137" t="s">
        <v>45</v>
      </c>
      <c r="E25" s="137"/>
      <c r="F25" s="20" t="s">
        <v>43</v>
      </c>
      <c r="G25" s="30"/>
      <c r="H25" s="9"/>
      <c r="I25" s="138"/>
      <c r="J25" s="138"/>
      <c r="K25" s="139"/>
      <c r="L25" s="139"/>
      <c r="M25" s="139"/>
      <c r="N25" s="7"/>
    </row>
    <row r="26" spans="1:14" ht="30" customHeight="1">
      <c r="A26" s="19">
        <v>15</v>
      </c>
      <c r="B26" s="195" t="s">
        <v>53</v>
      </c>
      <c r="C26" s="196"/>
      <c r="D26" s="137"/>
      <c r="E26" s="137"/>
      <c r="F26" s="20" t="s">
        <v>43</v>
      </c>
      <c r="G26" s="30"/>
      <c r="H26" s="9"/>
      <c r="I26" s="138"/>
      <c r="J26" s="138"/>
      <c r="K26" s="139"/>
      <c r="L26" s="139"/>
      <c r="M26" s="139"/>
      <c r="N26" s="7"/>
    </row>
    <row r="27" spans="1:14" ht="30" customHeight="1">
      <c r="A27" s="19">
        <v>16</v>
      </c>
      <c r="B27" s="140" t="s">
        <v>40</v>
      </c>
      <c r="C27" s="141"/>
      <c r="D27" s="137"/>
      <c r="E27" s="137"/>
      <c r="F27" s="20" t="s">
        <v>43</v>
      </c>
      <c r="G27" s="30"/>
      <c r="H27" s="9"/>
      <c r="I27" s="138"/>
      <c r="J27" s="138"/>
      <c r="K27" s="139"/>
      <c r="L27" s="139"/>
      <c r="M27" s="139"/>
      <c r="N27" s="7"/>
    </row>
    <row r="28" spans="1:14" ht="30" customHeight="1">
      <c r="A28" s="19">
        <v>17</v>
      </c>
      <c r="B28" s="140" t="s">
        <v>47</v>
      </c>
      <c r="C28" s="141"/>
      <c r="D28" s="137" t="s">
        <v>48</v>
      </c>
      <c r="E28" s="137"/>
      <c r="F28" s="20" t="s">
        <v>43</v>
      </c>
      <c r="G28" s="30"/>
      <c r="H28" s="9"/>
      <c r="I28" s="138"/>
      <c r="J28" s="138"/>
      <c r="K28" s="139"/>
      <c r="L28" s="139"/>
      <c r="M28" s="139"/>
      <c r="N28" s="7"/>
    </row>
    <row r="29" spans="1:14" ht="30" customHeight="1">
      <c r="A29" s="19">
        <v>18</v>
      </c>
      <c r="B29" s="140" t="s">
        <v>44</v>
      </c>
      <c r="C29" s="141"/>
      <c r="D29" s="137" t="s">
        <v>45</v>
      </c>
      <c r="E29" s="137"/>
      <c r="F29" s="20" t="s">
        <v>43</v>
      </c>
      <c r="G29" s="30"/>
      <c r="H29" s="9"/>
      <c r="I29" s="138"/>
      <c r="J29" s="138"/>
      <c r="K29" s="139"/>
      <c r="L29" s="139"/>
      <c r="M29" s="139"/>
      <c r="N29" s="7"/>
    </row>
    <row r="30" spans="1:14" ht="30" customHeight="1" thickBot="1">
      <c r="A30" s="19">
        <v>19</v>
      </c>
      <c r="B30" s="140" t="s">
        <v>55</v>
      </c>
      <c r="C30" s="141"/>
      <c r="D30" s="137" t="s">
        <v>56</v>
      </c>
      <c r="E30" s="137"/>
      <c r="F30" s="20" t="s">
        <v>54</v>
      </c>
      <c r="G30" s="30"/>
      <c r="H30" s="9"/>
      <c r="I30" s="138"/>
      <c r="J30" s="138"/>
      <c r="K30" s="139"/>
      <c r="L30" s="139"/>
      <c r="M30" s="139"/>
      <c r="N30" s="7"/>
    </row>
    <row r="31" spans="1:14" ht="30" customHeight="1">
      <c r="A31" s="8"/>
      <c r="B31" s="190"/>
      <c r="C31" s="190"/>
      <c r="D31" s="190"/>
      <c r="E31" s="190"/>
      <c r="F31" s="20" t="s">
        <v>43</v>
      </c>
      <c r="G31" s="31"/>
      <c r="H31" s="149" t="s">
        <v>34</v>
      </c>
      <c r="I31" s="152"/>
      <c r="J31" s="153"/>
      <c r="K31" s="153"/>
      <c r="L31" s="153"/>
      <c r="M31" s="153"/>
      <c r="N31" s="154"/>
    </row>
    <row r="32" spans="1:14" ht="30" customHeight="1">
      <c r="A32" s="8"/>
      <c r="B32" s="191"/>
      <c r="C32" s="192"/>
      <c r="D32" s="191"/>
      <c r="E32" s="192"/>
      <c r="F32" s="20" t="s">
        <v>43</v>
      </c>
      <c r="G32" s="31"/>
      <c r="H32" s="150"/>
      <c r="I32" s="155"/>
      <c r="J32" s="156"/>
      <c r="K32" s="156"/>
      <c r="L32" s="156"/>
      <c r="M32" s="156"/>
      <c r="N32" s="157"/>
    </row>
    <row r="33" spans="1:14" ht="30" customHeight="1" thickBot="1">
      <c r="A33" s="6"/>
      <c r="B33" s="193"/>
      <c r="C33" s="194"/>
      <c r="D33" s="193"/>
      <c r="E33" s="194"/>
      <c r="F33" s="20" t="s">
        <v>43</v>
      </c>
      <c r="G33" s="32"/>
      <c r="H33" s="151"/>
      <c r="I33" s="158"/>
      <c r="J33" s="159"/>
      <c r="K33" s="159"/>
      <c r="L33" s="159"/>
      <c r="M33" s="159"/>
      <c r="N33" s="160"/>
    </row>
    <row r="34" spans="1:14" ht="30" customHeight="1" thickBot="1">
      <c r="A34" s="201" t="s">
        <v>1</v>
      </c>
      <c r="B34" s="173"/>
      <c r="C34" s="173"/>
      <c r="D34" s="173"/>
      <c r="E34" s="174"/>
      <c r="F34" s="12"/>
      <c r="G34" s="13">
        <f>SUM(G12:G33)</f>
        <v>0</v>
      </c>
      <c r="H34" s="5"/>
      <c r="I34" s="175">
        <f>SUM(I21:I33)</f>
        <v>0</v>
      </c>
      <c r="J34" s="176"/>
      <c r="K34" s="177">
        <f>SUM(K21:K33)</f>
        <v>0</v>
      </c>
      <c r="L34" s="177"/>
      <c r="M34" s="177"/>
      <c r="N34" s="4"/>
    </row>
    <row r="35" spans="1:14" s="3" customFormat="1" ht="30" customHeight="1">
      <c r="A35" s="179" t="s">
        <v>32</v>
      </c>
      <c r="B35" s="179"/>
      <c r="C35" s="179"/>
      <c r="D35" s="180"/>
      <c r="E35" s="181"/>
      <c r="F35" s="181"/>
      <c r="G35" s="181"/>
      <c r="H35" s="181"/>
      <c r="I35" s="181"/>
      <c r="J35" s="181"/>
      <c r="K35" s="181"/>
      <c r="L35" s="181"/>
      <c r="M35" s="181"/>
      <c r="N35" s="199"/>
    </row>
    <row r="36" spans="1:14" s="3" customFormat="1" ht="30" customHeight="1">
      <c r="A36" s="165" t="s">
        <v>0</v>
      </c>
      <c r="B36" s="165"/>
      <c r="C36" s="165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200"/>
    </row>
    <row r="37" spans="1:14" ht="30" customHeight="1">
      <c r="A37" s="197" t="s">
        <v>27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</row>
  </sheetData>
  <mergeCells count="114">
    <mergeCell ref="I12:J12"/>
    <mergeCell ref="K12:M12"/>
    <mergeCell ref="I21:J21"/>
    <mergeCell ref="K21:M21"/>
    <mergeCell ref="I17:J17"/>
    <mergeCell ref="K17:M17"/>
    <mergeCell ref="D23:E23"/>
    <mergeCell ref="I23:J23"/>
    <mergeCell ref="I13:J13"/>
    <mergeCell ref="K13:M13"/>
    <mergeCell ref="A37:N37"/>
    <mergeCell ref="A35:C35"/>
    <mergeCell ref="D35:N35"/>
    <mergeCell ref="A36:C36"/>
    <mergeCell ref="D36:N36"/>
    <mergeCell ref="I34:J34"/>
    <mergeCell ref="K34:M34"/>
    <mergeCell ref="A34:E34"/>
    <mergeCell ref="H31:H33"/>
    <mergeCell ref="I31:N33"/>
    <mergeCell ref="B31:C31"/>
    <mergeCell ref="D31:E31"/>
    <mergeCell ref="B32:C32"/>
    <mergeCell ref="D32:E32"/>
    <mergeCell ref="B33:C33"/>
    <mergeCell ref="D33:E33"/>
    <mergeCell ref="B26:C26"/>
    <mergeCell ref="D26:E26"/>
    <mergeCell ref="B30:C30"/>
    <mergeCell ref="D30:E30"/>
    <mergeCell ref="B27:C27"/>
    <mergeCell ref="D27:E27"/>
    <mergeCell ref="I26:J26"/>
    <mergeCell ref="C10:G10"/>
    <mergeCell ref="I10:M10"/>
    <mergeCell ref="B12:C12"/>
    <mergeCell ref="A2:N2"/>
    <mergeCell ref="C3:D3"/>
    <mergeCell ref="F3:F8"/>
    <mergeCell ref="H3:N3"/>
    <mergeCell ref="C4:D4"/>
    <mergeCell ref="H4:I4"/>
    <mergeCell ref="K4:N4"/>
    <mergeCell ref="C5:D5"/>
    <mergeCell ref="H5:N5"/>
    <mergeCell ref="C6:D6"/>
    <mergeCell ref="H6:I6"/>
    <mergeCell ref="K6:N6"/>
    <mergeCell ref="H7:I7"/>
    <mergeCell ref="K7:N7"/>
    <mergeCell ref="A10:B10"/>
    <mergeCell ref="A8:E8"/>
    <mergeCell ref="H8:N8"/>
    <mergeCell ref="D12:E12"/>
    <mergeCell ref="B13:C13"/>
    <mergeCell ref="D13:E13"/>
    <mergeCell ref="B14:C14"/>
    <mergeCell ref="D14:E14"/>
    <mergeCell ref="I14:J14"/>
    <mergeCell ref="K14:M14"/>
    <mergeCell ref="B11:C11"/>
    <mergeCell ref="D11:E11"/>
    <mergeCell ref="H11:N11"/>
    <mergeCell ref="I27:J27"/>
    <mergeCell ref="K27:M27"/>
    <mergeCell ref="B18:C18"/>
    <mergeCell ref="D18:E18"/>
    <mergeCell ref="I19:J19"/>
    <mergeCell ref="K19:M19"/>
    <mergeCell ref="B15:C15"/>
    <mergeCell ref="D15:E15"/>
    <mergeCell ref="I15:J15"/>
    <mergeCell ref="K15:M15"/>
    <mergeCell ref="B16:C16"/>
    <mergeCell ref="D16:E16"/>
    <mergeCell ref="I16:J16"/>
    <mergeCell ref="K16:M16"/>
    <mergeCell ref="K26:M26"/>
    <mergeCell ref="B25:C25"/>
    <mergeCell ref="I25:J25"/>
    <mergeCell ref="K25:M25"/>
    <mergeCell ref="D25:E25"/>
    <mergeCell ref="K24:M24"/>
    <mergeCell ref="B24:C24"/>
    <mergeCell ref="B22:C22"/>
    <mergeCell ref="B21:C21"/>
    <mergeCell ref="K23:M23"/>
    <mergeCell ref="B17:C17"/>
    <mergeCell ref="D17:E17"/>
    <mergeCell ref="I18:J18"/>
    <mergeCell ref="K18:M18"/>
    <mergeCell ref="B19:C19"/>
    <mergeCell ref="D19:E19"/>
    <mergeCell ref="B20:C20"/>
    <mergeCell ref="D20:E20"/>
    <mergeCell ref="I20:J20"/>
    <mergeCell ref="K20:M20"/>
    <mergeCell ref="B23:C23"/>
    <mergeCell ref="I22:J22"/>
    <mergeCell ref="K22:M22"/>
    <mergeCell ref="D24:E24"/>
    <mergeCell ref="D22:E22"/>
    <mergeCell ref="I24:J24"/>
    <mergeCell ref="D21:E21"/>
    <mergeCell ref="I30:J30"/>
    <mergeCell ref="K30:M30"/>
    <mergeCell ref="B28:C28"/>
    <mergeCell ref="D28:E28"/>
    <mergeCell ref="I28:J28"/>
    <mergeCell ref="K28:M28"/>
    <mergeCell ref="B29:C29"/>
    <mergeCell ref="D29:E29"/>
    <mergeCell ref="I29:J29"/>
    <mergeCell ref="K29:M29"/>
  </mergeCells>
  <phoneticPr fontId="3" type="noConversion"/>
  <hyperlinks>
    <hyperlink ref="H8" r:id="rId1" xr:uid="{00000000-0004-0000-0000-000000000000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152F-5C18-4CD0-BFE0-3453A7367133}">
  <sheetPr>
    <pageSetUpPr fitToPage="1"/>
  </sheetPr>
  <dimension ref="A1:AI42"/>
  <sheetViews>
    <sheetView tabSelected="1" zoomScale="90" zoomScaleNormal="90" workbookViewId="0">
      <selection activeCell="T23" sqref="T23"/>
    </sheetView>
  </sheetViews>
  <sheetFormatPr defaultColWidth="9" defaultRowHeight="30" customHeight="1"/>
  <cols>
    <col min="1" max="1" width="5.625" style="2" bestFit="1" customWidth="1"/>
    <col min="2" max="2" width="17" style="1" customWidth="1"/>
    <col min="3" max="4" width="5.25" style="1" customWidth="1"/>
    <col min="5" max="7" width="6.75" style="1" customWidth="1"/>
    <col min="8" max="8" width="8.375" style="1" customWidth="1"/>
    <col min="9" max="9" width="6.625" style="1" customWidth="1"/>
    <col min="10" max="10" width="9" style="1" customWidth="1"/>
    <col min="11" max="11" width="10" style="1" customWidth="1"/>
    <col min="12" max="12" width="7.125" style="1" customWidth="1"/>
    <col min="13" max="13" width="4.625" style="1" bestFit="1" customWidth="1"/>
    <col min="14" max="14" width="6.625" style="1" customWidth="1"/>
    <col min="15" max="15" width="3.125" style="1" hidden="1" customWidth="1"/>
    <col min="16" max="16" width="3.5" style="1" customWidth="1"/>
    <col min="17" max="17" width="11.125" style="1" customWidth="1"/>
    <col min="18" max="23" width="9" style="1"/>
    <col min="24" max="24" width="48.875" style="1" hidden="1" customWidth="1"/>
    <col min="25" max="38" width="0" style="1" hidden="1" customWidth="1"/>
    <col min="39" max="16384" width="9" style="1"/>
  </cols>
  <sheetData>
    <row r="1" spans="1:35" ht="16.5"/>
    <row r="2" spans="1:35" s="3" customFormat="1" ht="42" customHeight="1">
      <c r="A2" s="113" t="s">
        <v>37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1:35" ht="26.25" customHeight="1">
      <c r="A3" s="24"/>
      <c r="B3" s="25" t="s">
        <v>22</v>
      </c>
      <c r="C3" s="25"/>
      <c r="D3" s="114"/>
      <c r="E3" s="114"/>
      <c r="F3" s="34"/>
      <c r="G3" s="34"/>
      <c r="H3" s="26"/>
      <c r="I3" s="115" t="s">
        <v>21</v>
      </c>
      <c r="J3" s="27" t="s">
        <v>20</v>
      </c>
      <c r="K3" s="116" t="s">
        <v>28</v>
      </c>
      <c r="L3" s="116"/>
      <c r="M3" s="116"/>
      <c r="N3" s="116"/>
      <c r="O3" s="116"/>
      <c r="P3" s="116"/>
      <c r="Q3" s="116"/>
    </row>
    <row r="4" spans="1:35" ht="26.25" customHeight="1">
      <c r="A4" s="24"/>
      <c r="B4" s="25" t="s">
        <v>33</v>
      </c>
      <c r="C4" s="25"/>
      <c r="D4" s="114"/>
      <c r="E4" s="114"/>
      <c r="F4" s="34"/>
      <c r="G4" s="34"/>
      <c r="H4" s="26"/>
      <c r="I4" s="116"/>
      <c r="J4" s="27" t="s">
        <v>19</v>
      </c>
      <c r="K4" s="117" t="s">
        <v>25</v>
      </c>
      <c r="L4" s="117"/>
      <c r="M4" s="27" t="s">
        <v>18</v>
      </c>
      <c r="N4" s="118" t="s">
        <v>26</v>
      </c>
      <c r="O4" s="118"/>
      <c r="P4" s="118"/>
      <c r="Q4" s="118"/>
    </row>
    <row r="5" spans="1:35" ht="26.25" customHeight="1">
      <c r="A5" s="24"/>
      <c r="B5" s="25" t="s">
        <v>16</v>
      </c>
      <c r="C5" s="25"/>
      <c r="D5" s="119"/>
      <c r="E5" s="119"/>
      <c r="F5" s="35"/>
      <c r="G5" s="35"/>
      <c r="H5" s="26"/>
      <c r="I5" s="116"/>
      <c r="J5" s="27" t="s">
        <v>17</v>
      </c>
      <c r="K5" s="118" t="s">
        <v>36</v>
      </c>
      <c r="L5" s="118"/>
      <c r="M5" s="118"/>
      <c r="N5" s="118"/>
      <c r="O5" s="118"/>
      <c r="P5" s="118"/>
      <c r="Q5" s="118"/>
    </row>
    <row r="6" spans="1:35" ht="26.25" customHeight="1">
      <c r="A6" s="24"/>
      <c r="D6" s="120"/>
      <c r="E6" s="120"/>
      <c r="F6" s="36"/>
      <c r="G6" s="36"/>
      <c r="H6" s="28"/>
      <c r="I6" s="116"/>
      <c r="J6" s="27" t="s">
        <v>15</v>
      </c>
      <c r="K6" s="118" t="s">
        <v>29</v>
      </c>
      <c r="L6" s="118"/>
      <c r="M6" s="27" t="s">
        <v>14</v>
      </c>
      <c r="N6" s="118" t="s">
        <v>31</v>
      </c>
      <c r="O6" s="118"/>
      <c r="P6" s="118"/>
      <c r="Q6" s="118"/>
    </row>
    <row r="7" spans="1:35" ht="26.25" customHeight="1">
      <c r="A7" s="29"/>
      <c r="B7" s="29"/>
      <c r="C7" s="29"/>
      <c r="D7" s="11"/>
      <c r="E7" s="10"/>
      <c r="F7" s="10"/>
      <c r="G7" s="10"/>
      <c r="H7" s="29"/>
      <c r="I7" s="116"/>
      <c r="J7" s="27" t="s">
        <v>13</v>
      </c>
      <c r="K7" s="118" t="s">
        <v>35</v>
      </c>
      <c r="L7" s="118"/>
      <c r="M7" s="27" t="s">
        <v>12</v>
      </c>
      <c r="N7" s="118" t="s">
        <v>30</v>
      </c>
      <c r="O7" s="118"/>
      <c r="P7" s="118"/>
      <c r="Q7" s="118"/>
    </row>
    <row r="8" spans="1:35" ht="26.25" customHeight="1">
      <c r="A8" s="121" t="s">
        <v>38</v>
      </c>
      <c r="B8" s="121"/>
      <c r="C8" s="121"/>
      <c r="D8" s="121"/>
      <c r="E8" s="121"/>
      <c r="F8" s="121"/>
      <c r="G8" s="121"/>
      <c r="H8" s="121"/>
      <c r="I8" s="116"/>
      <c r="J8" s="27" t="s">
        <v>11</v>
      </c>
      <c r="K8" s="122" t="s">
        <v>23</v>
      </c>
      <c r="L8" s="123"/>
      <c r="M8" s="123"/>
      <c r="N8" s="123"/>
      <c r="O8" s="123"/>
      <c r="P8" s="123"/>
      <c r="Q8" s="123"/>
    </row>
    <row r="9" spans="1:35" ht="30" customHeight="1">
      <c r="A9" s="14"/>
      <c r="B9" s="14"/>
      <c r="C9" s="14"/>
      <c r="D9" s="14"/>
      <c r="E9" s="14"/>
      <c r="F9" s="14"/>
      <c r="G9" s="14"/>
      <c r="H9" s="14"/>
      <c r="I9" s="14"/>
      <c r="J9" s="21"/>
      <c r="K9" s="22"/>
      <c r="L9" s="22"/>
      <c r="M9" s="22"/>
      <c r="N9" s="22"/>
      <c r="O9" s="22"/>
      <c r="P9" s="22"/>
      <c r="Q9" s="23"/>
    </row>
    <row r="10" spans="1:35" ht="30" customHeight="1" thickBot="1">
      <c r="A10" s="124" t="s">
        <v>10</v>
      </c>
      <c r="B10" s="124"/>
      <c r="C10" s="37"/>
      <c r="D10" s="124" t="s">
        <v>9</v>
      </c>
      <c r="E10" s="124"/>
      <c r="F10" s="124"/>
      <c r="G10" s="124"/>
      <c r="H10" s="124"/>
      <c r="I10" s="124"/>
      <c r="J10" s="124"/>
      <c r="K10" s="15" t="s">
        <v>8</v>
      </c>
      <c r="L10" s="125"/>
      <c r="M10" s="125"/>
      <c r="N10" s="125"/>
      <c r="O10" s="125"/>
      <c r="P10" s="125"/>
      <c r="Q10" s="16" t="s">
        <v>7</v>
      </c>
    </row>
    <row r="11" spans="1:35" ht="30" customHeight="1">
      <c r="A11" s="135" t="s">
        <v>6</v>
      </c>
      <c r="B11" s="131" t="s">
        <v>5</v>
      </c>
      <c r="C11" s="131"/>
      <c r="D11" s="132"/>
      <c r="E11" s="126" t="s">
        <v>4</v>
      </c>
      <c r="F11" s="127"/>
      <c r="G11" s="127"/>
      <c r="H11" s="127"/>
      <c r="I11" s="128"/>
      <c r="J11" s="129" t="s">
        <v>3</v>
      </c>
      <c r="K11" s="162" t="s">
        <v>2</v>
      </c>
      <c r="L11" s="131"/>
      <c r="M11" s="131"/>
      <c r="N11" s="131"/>
      <c r="O11" s="131"/>
      <c r="P11" s="131"/>
      <c r="Q11" s="132"/>
    </row>
    <row r="12" spans="1:35" ht="18" customHeight="1" thickBot="1">
      <c r="A12" s="136"/>
      <c r="B12" s="133"/>
      <c r="C12" s="133"/>
      <c r="D12" s="134"/>
      <c r="E12" s="110" t="s">
        <v>65</v>
      </c>
      <c r="F12" s="111" t="s">
        <v>64</v>
      </c>
      <c r="G12" s="111" t="s">
        <v>62</v>
      </c>
      <c r="H12" s="111" t="s">
        <v>63</v>
      </c>
      <c r="I12" s="112" t="s">
        <v>24</v>
      </c>
      <c r="J12" s="130"/>
      <c r="K12" s="163"/>
      <c r="L12" s="133"/>
      <c r="M12" s="133"/>
      <c r="N12" s="133"/>
      <c r="O12" s="133"/>
      <c r="P12" s="133"/>
      <c r="Q12" s="134"/>
    </row>
    <row r="13" spans="1:35" ht="30" customHeight="1">
      <c r="A13" s="85">
        <v>1</v>
      </c>
      <c r="B13" s="101" t="s">
        <v>67</v>
      </c>
      <c r="C13" s="101" t="s">
        <v>68</v>
      </c>
      <c r="D13" s="102" t="s">
        <v>70</v>
      </c>
      <c r="E13" s="103"/>
      <c r="F13" s="104"/>
      <c r="G13" s="105">
        <v>1300</v>
      </c>
      <c r="H13" s="105">
        <v>600</v>
      </c>
      <c r="I13" s="106" t="s">
        <v>79</v>
      </c>
      <c r="J13" s="107">
        <v>5</v>
      </c>
      <c r="K13" s="108"/>
      <c r="L13" s="108"/>
      <c r="M13" s="108"/>
      <c r="N13" s="108"/>
      <c r="O13" s="108"/>
      <c r="P13" s="108"/>
      <c r="Q13" s="109"/>
      <c r="X13" s="38" t="s">
        <v>39</v>
      </c>
      <c r="Y13" s="137"/>
      <c r="Z13" s="137"/>
      <c r="AA13" s="20" t="s">
        <v>43</v>
      </c>
      <c r="AB13" s="30"/>
      <c r="AC13" s="9"/>
      <c r="AD13" s="138"/>
      <c r="AE13" s="138"/>
      <c r="AF13" s="139"/>
      <c r="AG13" s="139"/>
      <c r="AH13" s="139"/>
      <c r="AI13" s="7"/>
    </row>
    <row r="14" spans="1:35" ht="30" customHeight="1">
      <c r="A14" s="52"/>
      <c r="B14" s="31" t="s">
        <v>57</v>
      </c>
      <c r="C14" s="55"/>
      <c r="D14" s="56"/>
      <c r="E14" s="61"/>
      <c r="F14" s="62"/>
      <c r="G14" s="62">
        <f>G13</f>
        <v>1300</v>
      </c>
      <c r="H14" s="62">
        <f>H13</f>
        <v>600</v>
      </c>
      <c r="I14" s="65" t="s">
        <v>79</v>
      </c>
      <c r="J14" s="76">
        <f>J13*1</f>
        <v>5</v>
      </c>
      <c r="K14" s="87"/>
      <c r="L14" s="87"/>
      <c r="M14" s="87"/>
      <c r="N14" s="87"/>
      <c r="O14" s="87"/>
      <c r="P14" s="87"/>
      <c r="Q14" s="88"/>
      <c r="X14" s="30" t="s">
        <v>40</v>
      </c>
      <c r="Y14" s="137"/>
      <c r="Z14" s="137"/>
      <c r="AA14" s="20" t="s">
        <v>43</v>
      </c>
      <c r="AB14" s="30"/>
      <c r="AC14" s="9"/>
      <c r="AD14" s="138"/>
      <c r="AE14" s="138"/>
      <c r="AF14" s="139"/>
      <c r="AG14" s="139"/>
      <c r="AH14" s="139"/>
      <c r="AI14" s="7"/>
    </row>
    <row r="15" spans="1:35" ht="30" customHeight="1">
      <c r="A15" s="52"/>
      <c r="B15" s="31" t="s">
        <v>58</v>
      </c>
      <c r="C15" s="55"/>
      <c r="D15" s="56"/>
      <c r="E15" s="61" t="s">
        <v>60</v>
      </c>
      <c r="F15" s="62" t="s">
        <v>61</v>
      </c>
      <c r="G15" s="62">
        <v>1400</v>
      </c>
      <c r="H15" s="62">
        <f>((G13+H13)*2/1000+0.4)*1000</f>
        <v>4200</v>
      </c>
      <c r="I15" s="65" t="s">
        <v>79</v>
      </c>
      <c r="J15" s="76">
        <f>J13*4</f>
        <v>20</v>
      </c>
      <c r="K15" s="87"/>
      <c r="L15" s="87"/>
      <c r="M15" s="87"/>
      <c r="N15" s="87"/>
      <c r="O15" s="87"/>
      <c r="P15" s="87"/>
      <c r="Q15" s="88"/>
      <c r="X15" s="30" t="s">
        <v>41</v>
      </c>
      <c r="Y15" s="137" t="s">
        <v>42</v>
      </c>
      <c r="Z15" s="137"/>
      <c r="AA15" s="20" t="s">
        <v>43</v>
      </c>
      <c r="AB15" s="30"/>
      <c r="AC15" s="9"/>
      <c r="AD15" s="138"/>
      <c r="AE15" s="138"/>
      <c r="AF15" s="139"/>
      <c r="AG15" s="139"/>
      <c r="AH15" s="139"/>
      <c r="AI15" s="7"/>
    </row>
    <row r="16" spans="1:35" ht="30" customHeight="1">
      <c r="A16" s="52"/>
      <c r="B16" s="31" t="s">
        <v>59</v>
      </c>
      <c r="C16" s="55"/>
      <c r="D16" s="56"/>
      <c r="E16" s="61"/>
      <c r="F16" s="62"/>
      <c r="G16" s="62">
        <v>125</v>
      </c>
      <c r="H16" s="62">
        <v>1000</v>
      </c>
      <c r="I16" s="65" t="s">
        <v>79</v>
      </c>
      <c r="J16" s="76">
        <f>ROUNDUP((((G13+60)+250+(H13+60))*2/1000)*2,0)*J13</f>
        <v>50</v>
      </c>
      <c r="K16" s="87"/>
      <c r="L16" s="87"/>
      <c r="M16" s="87"/>
      <c r="N16" s="87"/>
      <c r="O16" s="87"/>
      <c r="P16" s="87"/>
      <c r="Q16" s="88"/>
      <c r="X16" s="30" t="s">
        <v>44</v>
      </c>
      <c r="Y16" s="137" t="s">
        <v>45</v>
      </c>
      <c r="Z16" s="137"/>
      <c r="AA16" s="20" t="s">
        <v>43</v>
      </c>
      <c r="AB16" s="30"/>
      <c r="AC16" s="9"/>
      <c r="AD16" s="138"/>
      <c r="AE16" s="138"/>
      <c r="AF16" s="139"/>
      <c r="AG16" s="139"/>
      <c r="AH16" s="139"/>
      <c r="AI16" s="7"/>
    </row>
    <row r="17" spans="1:35" s="39" customFormat="1" ht="30" customHeight="1">
      <c r="A17" s="53"/>
      <c r="B17" s="57"/>
      <c r="C17" s="58"/>
      <c r="D17" s="59"/>
      <c r="E17" s="66"/>
      <c r="F17" s="67"/>
      <c r="G17" s="67"/>
      <c r="H17" s="67"/>
      <c r="I17" s="68"/>
      <c r="J17" s="77"/>
      <c r="K17" s="89"/>
      <c r="L17" s="89"/>
      <c r="M17" s="89"/>
      <c r="N17" s="89"/>
      <c r="O17" s="89"/>
      <c r="P17" s="89"/>
      <c r="Q17" s="90"/>
      <c r="X17" s="40"/>
      <c r="Y17" s="40"/>
      <c r="Z17" s="40"/>
      <c r="AA17" s="43"/>
      <c r="AB17" s="40"/>
      <c r="AC17" s="44"/>
      <c r="AD17" s="45"/>
      <c r="AE17" s="45"/>
      <c r="AF17" s="45"/>
      <c r="AG17" s="45"/>
      <c r="AH17" s="45"/>
      <c r="AI17" s="46"/>
    </row>
    <row r="18" spans="1:35" ht="30" customHeight="1">
      <c r="A18" s="52">
        <v>2</v>
      </c>
      <c r="B18" s="8" t="s">
        <v>67</v>
      </c>
      <c r="C18" s="8" t="s">
        <v>68</v>
      </c>
      <c r="D18" s="54" t="s">
        <v>69</v>
      </c>
      <c r="E18" s="61"/>
      <c r="F18" s="62"/>
      <c r="G18" s="63">
        <v>1300</v>
      </c>
      <c r="H18" s="63">
        <v>600</v>
      </c>
      <c r="I18" s="64" t="s">
        <v>79</v>
      </c>
      <c r="J18" s="75">
        <v>5</v>
      </c>
      <c r="K18" s="87"/>
      <c r="L18" s="87"/>
      <c r="M18" s="87"/>
      <c r="N18" s="87"/>
      <c r="O18" s="87"/>
      <c r="P18" s="87"/>
      <c r="Q18" s="88"/>
      <c r="X18" s="38" t="s">
        <v>46</v>
      </c>
      <c r="Y18" s="137"/>
      <c r="Z18" s="137"/>
      <c r="AA18" s="20" t="s">
        <v>43</v>
      </c>
      <c r="AB18" s="30"/>
      <c r="AC18" s="9"/>
      <c r="AD18" s="138"/>
      <c r="AE18" s="138"/>
      <c r="AF18" s="139"/>
      <c r="AG18" s="139"/>
      <c r="AH18" s="139"/>
      <c r="AI18" s="7"/>
    </row>
    <row r="19" spans="1:35" ht="30" customHeight="1">
      <c r="A19" s="52"/>
      <c r="B19" s="31" t="s">
        <v>57</v>
      </c>
      <c r="C19" s="55"/>
      <c r="D19" s="56"/>
      <c r="E19" s="61"/>
      <c r="F19" s="62"/>
      <c r="G19" s="62">
        <f>G18</f>
        <v>1300</v>
      </c>
      <c r="H19" s="62">
        <f>H18</f>
        <v>600</v>
      </c>
      <c r="I19" s="65" t="s">
        <v>79</v>
      </c>
      <c r="J19" s="76">
        <f>J18*1</f>
        <v>5</v>
      </c>
      <c r="K19" s="87"/>
      <c r="L19" s="87"/>
      <c r="M19" s="87"/>
      <c r="N19" s="87"/>
      <c r="O19" s="87"/>
      <c r="P19" s="87"/>
      <c r="Q19" s="88"/>
      <c r="X19" s="33" t="s">
        <v>40</v>
      </c>
      <c r="Y19" s="137"/>
      <c r="Z19" s="137"/>
      <c r="AA19" s="20" t="s">
        <v>43</v>
      </c>
      <c r="AB19" s="30"/>
      <c r="AC19" s="9"/>
      <c r="AD19" s="138"/>
      <c r="AE19" s="138"/>
      <c r="AF19" s="139"/>
      <c r="AG19" s="139"/>
      <c r="AH19" s="139"/>
      <c r="AI19" s="7"/>
    </row>
    <row r="20" spans="1:35" ht="30" customHeight="1">
      <c r="A20" s="52"/>
      <c r="B20" s="31" t="s">
        <v>58</v>
      </c>
      <c r="C20" s="55"/>
      <c r="D20" s="56"/>
      <c r="E20" s="61" t="s">
        <v>60</v>
      </c>
      <c r="F20" s="62" t="s">
        <v>61</v>
      </c>
      <c r="G20" s="62">
        <v>1400</v>
      </c>
      <c r="H20" s="62">
        <f>((G18+H18)*2/1000+0.4)*1000</f>
        <v>4200</v>
      </c>
      <c r="I20" s="65" t="s">
        <v>79</v>
      </c>
      <c r="J20" s="76">
        <f>J18*2</f>
        <v>10</v>
      </c>
      <c r="K20" s="87"/>
      <c r="L20" s="87"/>
      <c r="M20" s="87"/>
      <c r="N20" s="87"/>
      <c r="O20" s="87"/>
      <c r="P20" s="87"/>
      <c r="Q20" s="88"/>
      <c r="X20" s="30" t="s">
        <v>41</v>
      </c>
      <c r="Y20" s="137" t="s">
        <v>42</v>
      </c>
      <c r="Z20" s="137"/>
      <c r="AA20" s="20" t="s">
        <v>43</v>
      </c>
      <c r="AB20" s="30"/>
      <c r="AC20" s="9"/>
      <c r="AD20" s="138"/>
      <c r="AE20" s="138"/>
      <c r="AF20" s="139"/>
      <c r="AG20" s="139"/>
      <c r="AH20" s="139"/>
      <c r="AI20" s="7"/>
    </row>
    <row r="21" spans="1:35" ht="30" customHeight="1">
      <c r="A21" s="52"/>
      <c r="B21" s="31" t="s">
        <v>66</v>
      </c>
      <c r="C21" s="55"/>
      <c r="D21" s="56"/>
      <c r="E21" s="61" t="s">
        <v>72</v>
      </c>
      <c r="F21" s="62" t="s">
        <v>71</v>
      </c>
      <c r="G21" s="62">
        <v>400</v>
      </c>
      <c r="H21" s="62">
        <f>H20+100</f>
        <v>4300</v>
      </c>
      <c r="I21" s="65" t="s">
        <v>79</v>
      </c>
      <c r="J21" s="76">
        <f>J18*2</f>
        <v>10</v>
      </c>
      <c r="K21" s="87"/>
      <c r="L21" s="87"/>
      <c r="M21" s="87"/>
      <c r="N21" s="87"/>
      <c r="O21" s="87"/>
      <c r="P21" s="87"/>
      <c r="Q21" s="88"/>
      <c r="X21" s="30" t="s">
        <v>47</v>
      </c>
      <c r="Y21" s="137" t="s">
        <v>51</v>
      </c>
      <c r="Z21" s="137"/>
      <c r="AA21" s="20" t="s">
        <v>43</v>
      </c>
      <c r="AB21" s="30"/>
      <c r="AC21" s="9"/>
      <c r="AD21" s="138"/>
      <c r="AE21" s="138"/>
      <c r="AF21" s="139"/>
      <c r="AG21" s="139"/>
      <c r="AH21" s="139"/>
      <c r="AI21" s="7"/>
    </row>
    <row r="22" spans="1:35" ht="30" customHeight="1">
      <c r="A22" s="52"/>
      <c r="B22" s="31" t="s">
        <v>59</v>
      </c>
      <c r="C22" s="55"/>
      <c r="D22" s="56"/>
      <c r="E22" s="61"/>
      <c r="F22" s="62"/>
      <c r="G22" s="62">
        <v>125</v>
      </c>
      <c r="H22" s="62">
        <v>1000</v>
      </c>
      <c r="I22" s="65" t="s">
        <v>79</v>
      </c>
      <c r="J22" s="76">
        <f>ROUNDUP((((G18+60)+250+(H18+60))*2/1000)*2,0)*J18</f>
        <v>50</v>
      </c>
      <c r="K22" s="87"/>
      <c r="L22" s="87"/>
      <c r="M22" s="87"/>
      <c r="N22" s="87"/>
      <c r="O22" s="87"/>
      <c r="P22" s="87"/>
      <c r="Q22" s="88"/>
      <c r="X22" s="30" t="s">
        <v>44</v>
      </c>
      <c r="Y22" s="137" t="s">
        <v>45</v>
      </c>
      <c r="Z22" s="137"/>
      <c r="AA22" s="20" t="s">
        <v>43</v>
      </c>
      <c r="AB22" s="30"/>
      <c r="AC22" s="9"/>
      <c r="AD22" s="138"/>
      <c r="AE22" s="138"/>
      <c r="AF22" s="139"/>
      <c r="AG22" s="139"/>
      <c r="AH22" s="139"/>
      <c r="AI22" s="7"/>
    </row>
    <row r="23" spans="1:35" s="39" customFormat="1" ht="30" customHeight="1">
      <c r="A23" s="53"/>
      <c r="B23" s="57"/>
      <c r="C23" s="58"/>
      <c r="D23" s="59"/>
      <c r="E23" s="66"/>
      <c r="F23" s="67"/>
      <c r="G23" s="67"/>
      <c r="H23" s="67"/>
      <c r="I23" s="68"/>
      <c r="J23" s="77"/>
      <c r="K23" s="89"/>
      <c r="L23" s="89"/>
      <c r="M23" s="89"/>
      <c r="N23" s="89"/>
      <c r="O23" s="89"/>
      <c r="P23" s="89"/>
      <c r="Q23" s="90"/>
      <c r="X23" s="40"/>
      <c r="Y23" s="41"/>
      <c r="Z23" s="42"/>
      <c r="AA23" s="43"/>
      <c r="AB23" s="40"/>
      <c r="AC23" s="44"/>
      <c r="AD23" s="45"/>
      <c r="AE23" s="45"/>
      <c r="AF23" s="45"/>
      <c r="AG23" s="45"/>
      <c r="AH23" s="45"/>
      <c r="AI23" s="46"/>
    </row>
    <row r="24" spans="1:35" ht="28.7" customHeight="1">
      <c r="A24" s="52">
        <v>3</v>
      </c>
      <c r="B24" s="8" t="s">
        <v>67</v>
      </c>
      <c r="C24" s="8" t="s">
        <v>68</v>
      </c>
      <c r="D24" s="54" t="s">
        <v>74</v>
      </c>
      <c r="E24" s="61"/>
      <c r="F24" s="62"/>
      <c r="G24" s="63">
        <v>1300</v>
      </c>
      <c r="H24" s="63">
        <v>600</v>
      </c>
      <c r="I24" s="64" t="s">
        <v>79</v>
      </c>
      <c r="J24" s="75">
        <v>5</v>
      </c>
      <c r="K24" s="87"/>
      <c r="L24" s="87"/>
      <c r="M24" s="87"/>
      <c r="N24" s="87"/>
      <c r="O24" s="87"/>
      <c r="P24" s="87"/>
      <c r="Q24" s="88"/>
      <c r="X24" s="38" t="s">
        <v>49</v>
      </c>
      <c r="Y24" s="140"/>
      <c r="Z24" s="141"/>
      <c r="AA24" s="20" t="s">
        <v>43</v>
      </c>
      <c r="AB24" s="30"/>
      <c r="AC24" s="9"/>
      <c r="AD24" s="138"/>
      <c r="AE24" s="138"/>
      <c r="AF24" s="139"/>
      <c r="AG24" s="139"/>
      <c r="AH24" s="139"/>
      <c r="AI24" s="7"/>
    </row>
    <row r="25" spans="1:35" ht="30" customHeight="1">
      <c r="A25" s="52"/>
      <c r="B25" s="31" t="s">
        <v>73</v>
      </c>
      <c r="C25" s="55"/>
      <c r="D25" s="56"/>
      <c r="E25" s="61"/>
      <c r="F25" s="62"/>
      <c r="G25" s="62">
        <f>G24</f>
        <v>1300</v>
      </c>
      <c r="H25" s="62">
        <f>H24</f>
        <v>600</v>
      </c>
      <c r="I25" s="65" t="s">
        <v>79</v>
      </c>
      <c r="J25" s="76">
        <f>J24*2</f>
        <v>10</v>
      </c>
      <c r="K25" s="87"/>
      <c r="L25" s="87"/>
      <c r="M25" s="87"/>
      <c r="N25" s="87"/>
      <c r="O25" s="87"/>
      <c r="P25" s="87"/>
      <c r="Q25" s="88"/>
      <c r="X25" s="30" t="s">
        <v>50</v>
      </c>
      <c r="Y25" s="137"/>
      <c r="Z25" s="137"/>
      <c r="AA25" s="20" t="s">
        <v>43</v>
      </c>
      <c r="AB25" s="30"/>
      <c r="AC25" s="9"/>
      <c r="AD25" s="138"/>
      <c r="AE25" s="138"/>
      <c r="AF25" s="139"/>
      <c r="AG25" s="139"/>
      <c r="AH25" s="139"/>
      <c r="AI25" s="7"/>
    </row>
    <row r="26" spans="1:35" ht="30" customHeight="1">
      <c r="A26" s="52"/>
      <c r="B26" s="31" t="s">
        <v>58</v>
      </c>
      <c r="C26" s="55"/>
      <c r="D26" s="56"/>
      <c r="E26" s="61" t="s">
        <v>60</v>
      </c>
      <c r="F26" s="62" t="s">
        <v>61</v>
      </c>
      <c r="G26" s="62">
        <v>1400</v>
      </c>
      <c r="H26" s="62">
        <f>((G24+H24)*2/1000+0.4)*1000</f>
        <v>4200</v>
      </c>
      <c r="I26" s="65" t="s">
        <v>79</v>
      </c>
      <c r="J26" s="76">
        <f>J24*2</f>
        <v>10</v>
      </c>
      <c r="K26" s="87"/>
      <c r="L26" s="87"/>
      <c r="M26" s="87"/>
      <c r="N26" s="87"/>
      <c r="O26" s="87"/>
      <c r="P26" s="87"/>
      <c r="Q26" s="88"/>
      <c r="X26" s="30" t="s">
        <v>41</v>
      </c>
      <c r="Y26" s="137" t="s">
        <v>42</v>
      </c>
      <c r="Z26" s="137"/>
      <c r="AA26" s="20" t="s">
        <v>43</v>
      </c>
      <c r="AB26" s="30"/>
      <c r="AC26" s="9"/>
      <c r="AD26" s="138"/>
      <c r="AE26" s="138"/>
      <c r="AF26" s="139"/>
      <c r="AG26" s="139"/>
      <c r="AH26" s="139"/>
      <c r="AI26" s="7"/>
    </row>
    <row r="27" spans="1:35" ht="30" customHeight="1">
      <c r="A27" s="52"/>
      <c r="B27" s="31" t="s">
        <v>66</v>
      </c>
      <c r="C27" s="55"/>
      <c r="D27" s="56"/>
      <c r="E27" s="61" t="s">
        <v>72</v>
      </c>
      <c r="F27" s="62" t="s">
        <v>71</v>
      </c>
      <c r="G27" s="62">
        <v>400</v>
      </c>
      <c r="H27" s="62">
        <f>H26+100</f>
        <v>4300</v>
      </c>
      <c r="I27" s="65" t="s">
        <v>79</v>
      </c>
      <c r="J27" s="76">
        <f>J24*2</f>
        <v>10</v>
      </c>
      <c r="K27" s="87"/>
      <c r="L27" s="87"/>
      <c r="M27" s="87"/>
      <c r="N27" s="87"/>
      <c r="O27" s="87"/>
      <c r="P27" s="87"/>
      <c r="Q27" s="88"/>
      <c r="X27" s="33" t="s">
        <v>47</v>
      </c>
      <c r="Y27" s="137" t="s">
        <v>52</v>
      </c>
      <c r="Z27" s="137"/>
      <c r="AA27" s="20" t="s">
        <v>43</v>
      </c>
      <c r="AB27" s="30"/>
      <c r="AC27" s="9"/>
      <c r="AD27" s="138"/>
      <c r="AE27" s="138"/>
      <c r="AF27" s="139"/>
      <c r="AG27" s="139"/>
      <c r="AH27" s="139"/>
      <c r="AI27" s="7"/>
    </row>
    <row r="28" spans="1:35" ht="30" customHeight="1">
      <c r="A28" s="52"/>
      <c r="B28" s="31" t="s">
        <v>59</v>
      </c>
      <c r="C28" s="55"/>
      <c r="D28" s="56"/>
      <c r="E28" s="61"/>
      <c r="F28" s="62"/>
      <c r="G28" s="62">
        <v>125</v>
      </c>
      <c r="H28" s="62">
        <v>1000</v>
      </c>
      <c r="I28" s="65" t="s">
        <v>79</v>
      </c>
      <c r="J28" s="76">
        <f>ROUNDUP((((G24+60)+250+(H24+60))*2/1000)*2,0)*J24</f>
        <v>50</v>
      </c>
      <c r="K28" s="87"/>
      <c r="L28" s="87"/>
      <c r="M28" s="87"/>
      <c r="N28" s="87"/>
      <c r="O28" s="87"/>
      <c r="P28" s="87"/>
      <c r="Q28" s="88"/>
      <c r="X28" s="33" t="s">
        <v>44</v>
      </c>
      <c r="Y28" s="137" t="s">
        <v>45</v>
      </c>
      <c r="Z28" s="137"/>
      <c r="AA28" s="20" t="s">
        <v>43</v>
      </c>
      <c r="AB28" s="30"/>
      <c r="AC28" s="9"/>
      <c r="AD28" s="138"/>
      <c r="AE28" s="138"/>
      <c r="AF28" s="139"/>
      <c r="AG28" s="139"/>
      <c r="AH28" s="139"/>
      <c r="AI28" s="7"/>
    </row>
    <row r="29" spans="1:35" s="39" customFormat="1" ht="30" customHeight="1">
      <c r="A29" s="53"/>
      <c r="B29" s="57"/>
      <c r="C29" s="58"/>
      <c r="D29" s="59"/>
      <c r="E29" s="66"/>
      <c r="F29" s="67"/>
      <c r="G29" s="67"/>
      <c r="H29" s="67"/>
      <c r="I29" s="68"/>
      <c r="J29" s="77"/>
      <c r="K29" s="89"/>
      <c r="L29" s="89"/>
      <c r="M29" s="89"/>
      <c r="N29" s="89"/>
      <c r="O29" s="89"/>
      <c r="P29" s="89"/>
      <c r="Q29" s="90"/>
      <c r="X29" s="41"/>
      <c r="Y29" s="41"/>
      <c r="Z29" s="42"/>
      <c r="AA29" s="43"/>
      <c r="AB29" s="40"/>
      <c r="AC29" s="44"/>
      <c r="AD29" s="47"/>
      <c r="AE29" s="48"/>
      <c r="AF29" s="47"/>
      <c r="AG29" s="49"/>
      <c r="AH29" s="48"/>
      <c r="AI29" s="46"/>
    </row>
    <row r="30" spans="1:35" ht="30" customHeight="1">
      <c r="A30" s="52">
        <v>4</v>
      </c>
      <c r="B30" s="31" t="s">
        <v>67</v>
      </c>
      <c r="C30" s="55" t="s">
        <v>76</v>
      </c>
      <c r="D30" s="60" t="s">
        <v>69</v>
      </c>
      <c r="E30" s="61"/>
      <c r="F30" s="62"/>
      <c r="G30" s="63">
        <v>1300</v>
      </c>
      <c r="H30" s="63">
        <v>600</v>
      </c>
      <c r="I30" s="64" t="s">
        <v>79</v>
      </c>
      <c r="J30" s="75">
        <v>6</v>
      </c>
      <c r="K30" s="87"/>
      <c r="L30" s="87"/>
      <c r="M30" s="87"/>
      <c r="N30" s="87"/>
      <c r="O30" s="87"/>
      <c r="P30" s="87"/>
      <c r="Q30" s="88"/>
      <c r="X30" s="33" t="s">
        <v>53</v>
      </c>
      <c r="Y30" s="140"/>
      <c r="Z30" s="141"/>
      <c r="AA30" s="20" t="s">
        <v>43</v>
      </c>
      <c r="AB30" s="30"/>
      <c r="AC30" s="9"/>
      <c r="AD30" s="142"/>
      <c r="AE30" s="143"/>
      <c r="AF30" s="142"/>
      <c r="AG30" s="144"/>
      <c r="AH30" s="143"/>
      <c r="AI30" s="50"/>
    </row>
    <row r="31" spans="1:35" ht="30" customHeight="1">
      <c r="A31" s="52"/>
      <c r="B31" s="31" t="s">
        <v>57</v>
      </c>
      <c r="C31" s="55"/>
      <c r="D31" s="56"/>
      <c r="E31" s="61"/>
      <c r="F31" s="62"/>
      <c r="G31" s="62">
        <f>G30</f>
        <v>1300</v>
      </c>
      <c r="H31" s="62">
        <f>H30</f>
        <v>600</v>
      </c>
      <c r="I31" s="65" t="s">
        <v>79</v>
      </c>
      <c r="J31" s="76">
        <f>J30*1</f>
        <v>6</v>
      </c>
      <c r="K31" s="87"/>
      <c r="L31" s="87"/>
      <c r="M31" s="87"/>
      <c r="N31" s="87"/>
      <c r="O31" s="87"/>
      <c r="P31" s="87"/>
      <c r="Q31" s="88"/>
      <c r="X31" s="33" t="s">
        <v>40</v>
      </c>
      <c r="Y31" s="140"/>
      <c r="Z31" s="141"/>
      <c r="AA31" s="20" t="s">
        <v>43</v>
      </c>
      <c r="AB31" s="30"/>
      <c r="AC31" s="9"/>
      <c r="AD31" s="142"/>
      <c r="AE31" s="143"/>
      <c r="AF31" s="145"/>
      <c r="AG31" s="146"/>
      <c r="AH31" s="147"/>
      <c r="AI31" s="7"/>
    </row>
    <row r="32" spans="1:35" ht="30" customHeight="1">
      <c r="A32" s="52"/>
      <c r="B32" s="31" t="s">
        <v>66</v>
      </c>
      <c r="C32" s="55"/>
      <c r="D32" s="56"/>
      <c r="E32" s="61" t="s">
        <v>72</v>
      </c>
      <c r="F32" s="62" t="s">
        <v>71</v>
      </c>
      <c r="G32" s="62">
        <v>400</v>
      </c>
      <c r="H32" s="62">
        <f>H31+100</f>
        <v>700</v>
      </c>
      <c r="I32" s="65" t="s">
        <v>79</v>
      </c>
      <c r="J32" s="76">
        <f>J30*2</f>
        <v>12</v>
      </c>
      <c r="K32" s="87"/>
      <c r="L32" s="87"/>
      <c r="M32" s="87"/>
      <c r="N32" s="87"/>
      <c r="O32" s="87"/>
      <c r="P32" s="87"/>
      <c r="Q32" s="88"/>
      <c r="X32" s="33" t="s">
        <v>47</v>
      </c>
      <c r="Y32" s="140" t="s">
        <v>48</v>
      </c>
      <c r="Z32" s="141"/>
      <c r="AA32" s="20" t="s">
        <v>43</v>
      </c>
      <c r="AB32" s="30"/>
      <c r="AC32" s="9"/>
      <c r="AD32" s="142"/>
      <c r="AE32" s="143"/>
      <c r="AF32" s="145"/>
      <c r="AG32" s="146"/>
      <c r="AH32" s="147"/>
      <c r="AI32" s="7"/>
    </row>
    <row r="33" spans="1:35" ht="30" customHeight="1">
      <c r="A33" s="52"/>
      <c r="B33" s="31" t="s">
        <v>59</v>
      </c>
      <c r="C33" s="55"/>
      <c r="D33" s="56"/>
      <c r="E33" s="69"/>
      <c r="F33" s="70"/>
      <c r="G33" s="70">
        <v>125</v>
      </c>
      <c r="H33" s="70">
        <v>1000</v>
      </c>
      <c r="I33" s="71" t="s">
        <v>79</v>
      </c>
      <c r="J33" s="76">
        <f>ROUNDUP((((G30+60)+250+(H30+60))*2/1000)*2,0)*J30</f>
        <v>60</v>
      </c>
      <c r="K33" s="87"/>
      <c r="L33" s="87"/>
      <c r="M33" s="87"/>
      <c r="N33" s="87"/>
      <c r="O33" s="87"/>
      <c r="P33" s="87"/>
      <c r="Q33" s="88"/>
      <c r="X33" s="33" t="s">
        <v>44</v>
      </c>
      <c r="Y33" s="140" t="s">
        <v>45</v>
      </c>
      <c r="Z33" s="141"/>
      <c r="AA33" s="20" t="s">
        <v>43</v>
      </c>
      <c r="AB33" s="30"/>
      <c r="AC33" s="9"/>
      <c r="AD33" s="142"/>
      <c r="AE33" s="143"/>
      <c r="AF33" s="145"/>
      <c r="AG33" s="146"/>
      <c r="AH33" s="147"/>
      <c r="AI33" s="7"/>
    </row>
    <row r="34" spans="1:35" s="39" customFormat="1" ht="30" customHeight="1">
      <c r="A34" s="93"/>
      <c r="B34" s="94"/>
      <c r="C34" s="94"/>
      <c r="D34" s="95"/>
      <c r="E34" s="94"/>
      <c r="F34" s="94"/>
      <c r="G34" s="94"/>
      <c r="H34" s="94"/>
      <c r="I34" s="94"/>
      <c r="J34" s="96"/>
      <c r="K34" s="89"/>
      <c r="L34" s="89"/>
      <c r="M34" s="89"/>
      <c r="N34" s="89"/>
      <c r="O34" s="89"/>
      <c r="P34" s="89"/>
      <c r="Q34" s="90"/>
      <c r="X34" s="41"/>
      <c r="Y34" s="41"/>
      <c r="Z34" s="42"/>
      <c r="AA34" s="43"/>
      <c r="AB34" s="40"/>
      <c r="AC34" s="44"/>
      <c r="AD34" s="72"/>
      <c r="AE34" s="73"/>
      <c r="AF34" s="72"/>
      <c r="AG34" s="74"/>
      <c r="AH34" s="73"/>
      <c r="AI34" s="46"/>
    </row>
    <row r="35" spans="1:35" ht="30" customHeight="1" thickBot="1">
      <c r="A35" s="97"/>
      <c r="B35" s="98" t="s">
        <v>75</v>
      </c>
      <c r="C35" s="98"/>
      <c r="D35" s="99"/>
      <c r="E35" s="98" t="s">
        <v>77</v>
      </c>
      <c r="F35" s="98"/>
      <c r="G35" s="98"/>
      <c r="H35" s="98"/>
      <c r="I35" s="98" t="s">
        <v>78</v>
      </c>
      <c r="J35" s="100"/>
      <c r="K35" s="91"/>
      <c r="L35" s="91"/>
      <c r="M35" s="91"/>
      <c r="N35" s="91"/>
      <c r="O35" s="91"/>
      <c r="P35" s="91"/>
      <c r="Q35" s="92"/>
      <c r="X35" s="33" t="s">
        <v>55</v>
      </c>
      <c r="Y35" s="140" t="s">
        <v>56</v>
      </c>
      <c r="Z35" s="141"/>
      <c r="AA35" s="20" t="s">
        <v>54</v>
      </c>
      <c r="AB35" s="30"/>
      <c r="AC35" s="9"/>
      <c r="AD35" s="142"/>
      <c r="AE35" s="143"/>
      <c r="AF35" s="145"/>
      <c r="AG35" s="146"/>
      <c r="AH35" s="147"/>
      <c r="AI35" s="7"/>
    </row>
    <row r="36" spans="1:35" ht="30" customHeight="1">
      <c r="A36" s="81"/>
      <c r="B36" s="148"/>
      <c r="C36" s="148"/>
      <c r="D36" s="148"/>
      <c r="E36" s="148"/>
      <c r="F36" s="148"/>
      <c r="G36" s="148"/>
      <c r="H36" s="148"/>
      <c r="I36" s="51"/>
      <c r="J36" s="78"/>
      <c r="K36" s="149" t="s">
        <v>34</v>
      </c>
      <c r="L36" s="152"/>
      <c r="M36" s="153"/>
      <c r="N36" s="153"/>
      <c r="O36" s="153"/>
      <c r="P36" s="153"/>
      <c r="Q36" s="154"/>
    </row>
    <row r="37" spans="1:35" ht="30" customHeight="1">
      <c r="A37" s="82"/>
      <c r="B37" s="161"/>
      <c r="C37" s="161"/>
      <c r="D37" s="161"/>
      <c r="E37" s="161"/>
      <c r="F37" s="161"/>
      <c r="G37" s="161"/>
      <c r="H37" s="161"/>
      <c r="I37" s="51"/>
      <c r="J37" s="79"/>
      <c r="K37" s="150"/>
      <c r="L37" s="155"/>
      <c r="M37" s="156"/>
      <c r="N37" s="156"/>
      <c r="O37" s="156"/>
      <c r="P37" s="156"/>
      <c r="Q37" s="157"/>
    </row>
    <row r="38" spans="1:35" ht="30" customHeight="1" thickBot="1">
      <c r="A38" s="83"/>
      <c r="B38" s="171"/>
      <c r="C38" s="171"/>
      <c r="D38" s="171"/>
      <c r="E38" s="171"/>
      <c r="F38" s="171"/>
      <c r="G38" s="171"/>
      <c r="H38" s="171"/>
      <c r="I38" s="51"/>
      <c r="J38" s="80"/>
      <c r="K38" s="151"/>
      <c r="L38" s="158"/>
      <c r="M38" s="159"/>
      <c r="N38" s="159"/>
      <c r="O38" s="159"/>
      <c r="P38" s="159"/>
      <c r="Q38" s="160"/>
    </row>
    <row r="39" spans="1:35" ht="30" customHeight="1" thickBot="1">
      <c r="A39" s="172" t="s">
        <v>1</v>
      </c>
      <c r="B39" s="173"/>
      <c r="C39" s="173"/>
      <c r="D39" s="173"/>
      <c r="E39" s="173"/>
      <c r="F39" s="173"/>
      <c r="G39" s="173"/>
      <c r="H39" s="174"/>
      <c r="I39" s="86"/>
      <c r="J39" s="13">
        <f>SUM(J13:J38)</f>
        <v>329</v>
      </c>
      <c r="K39" s="5"/>
      <c r="L39" s="175">
        <f>SUM(L24:L38)</f>
        <v>0</v>
      </c>
      <c r="M39" s="176"/>
      <c r="N39" s="177">
        <f>SUM(N24:N38)</f>
        <v>0</v>
      </c>
      <c r="O39" s="177"/>
      <c r="P39" s="177"/>
      <c r="Q39" s="84"/>
    </row>
    <row r="40" spans="1:35" s="3" customFormat="1" ht="30" customHeight="1">
      <c r="A40" s="178" t="s">
        <v>32</v>
      </c>
      <c r="B40" s="179"/>
      <c r="C40" s="179"/>
      <c r="D40" s="179"/>
      <c r="E40" s="180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2"/>
    </row>
    <row r="41" spans="1:35" s="3" customFormat="1" ht="30" customHeight="1">
      <c r="A41" s="164" t="s">
        <v>0</v>
      </c>
      <c r="B41" s="165"/>
      <c r="C41" s="165"/>
      <c r="D41" s="165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7"/>
    </row>
    <row r="42" spans="1:35" ht="30" customHeight="1" thickBot="1">
      <c r="A42" s="168" t="s">
        <v>27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70"/>
    </row>
  </sheetData>
  <mergeCells count="97">
    <mergeCell ref="A41:D41"/>
    <mergeCell ref="E41:Q41"/>
    <mergeCell ref="A42:Q42"/>
    <mergeCell ref="B38:D38"/>
    <mergeCell ref="E38:H38"/>
    <mergeCell ref="A39:H39"/>
    <mergeCell ref="L39:M39"/>
    <mergeCell ref="N39:P39"/>
    <mergeCell ref="A40:D40"/>
    <mergeCell ref="E40:Q40"/>
    <mergeCell ref="Y35:Z35"/>
    <mergeCell ref="AD35:AE35"/>
    <mergeCell ref="AF35:AH35"/>
    <mergeCell ref="B36:D36"/>
    <mergeCell ref="E36:H36"/>
    <mergeCell ref="K36:K38"/>
    <mergeCell ref="L36:Q38"/>
    <mergeCell ref="B37:D37"/>
    <mergeCell ref="E37:H37"/>
    <mergeCell ref="Y32:Z32"/>
    <mergeCell ref="AD32:AE32"/>
    <mergeCell ref="AF32:AH32"/>
    <mergeCell ref="Y33:Z33"/>
    <mergeCell ref="AD33:AE33"/>
    <mergeCell ref="AF33:AH33"/>
    <mergeCell ref="Y30:Z30"/>
    <mergeCell ref="AD30:AE30"/>
    <mergeCell ref="AF30:AH30"/>
    <mergeCell ref="Y31:Z31"/>
    <mergeCell ref="AD31:AE31"/>
    <mergeCell ref="AF31:AH31"/>
    <mergeCell ref="Y27:Z27"/>
    <mergeCell ref="AD27:AE27"/>
    <mergeCell ref="AF27:AH27"/>
    <mergeCell ref="Y28:Z28"/>
    <mergeCell ref="AD28:AE28"/>
    <mergeCell ref="AF28:AH28"/>
    <mergeCell ref="Y25:Z25"/>
    <mergeCell ref="AD25:AE25"/>
    <mergeCell ref="AF25:AH25"/>
    <mergeCell ref="Y26:Z26"/>
    <mergeCell ref="AD26:AE26"/>
    <mergeCell ref="AF26:AH26"/>
    <mergeCell ref="Y22:Z22"/>
    <mergeCell ref="AD22:AE22"/>
    <mergeCell ref="AF22:AH22"/>
    <mergeCell ref="Y24:Z24"/>
    <mergeCell ref="AD24:AE24"/>
    <mergeCell ref="AF24:AH24"/>
    <mergeCell ref="Y20:Z20"/>
    <mergeCell ref="AD20:AE20"/>
    <mergeCell ref="AF20:AH20"/>
    <mergeCell ref="Y21:Z21"/>
    <mergeCell ref="AD21:AE21"/>
    <mergeCell ref="AF21:AH21"/>
    <mergeCell ref="Y18:Z18"/>
    <mergeCell ref="AD18:AE18"/>
    <mergeCell ref="AF18:AH18"/>
    <mergeCell ref="Y19:Z19"/>
    <mergeCell ref="AD19:AE19"/>
    <mergeCell ref="AF19:AH19"/>
    <mergeCell ref="Y15:Z15"/>
    <mergeCell ref="AD15:AE15"/>
    <mergeCell ref="AF15:AH15"/>
    <mergeCell ref="Y16:Z16"/>
    <mergeCell ref="AD16:AE16"/>
    <mergeCell ref="AF16:AH16"/>
    <mergeCell ref="Y13:Z13"/>
    <mergeCell ref="AD13:AE13"/>
    <mergeCell ref="AF13:AH13"/>
    <mergeCell ref="Y14:Z14"/>
    <mergeCell ref="AD14:AE14"/>
    <mergeCell ref="AF14:AH14"/>
    <mergeCell ref="A10:B10"/>
    <mergeCell ref="D10:J10"/>
    <mergeCell ref="L10:P10"/>
    <mergeCell ref="E11:I11"/>
    <mergeCell ref="J11:J12"/>
    <mergeCell ref="B11:D12"/>
    <mergeCell ref="A11:A12"/>
    <mergeCell ref="K11:Q12"/>
    <mergeCell ref="A2:Q2"/>
    <mergeCell ref="D3:E3"/>
    <mergeCell ref="I3:I8"/>
    <mergeCell ref="K3:Q3"/>
    <mergeCell ref="D4:E4"/>
    <mergeCell ref="K4:L4"/>
    <mergeCell ref="N4:Q4"/>
    <mergeCell ref="D5:E5"/>
    <mergeCell ref="K5:Q5"/>
    <mergeCell ref="D6:E6"/>
    <mergeCell ref="K6:L6"/>
    <mergeCell ref="N6:Q6"/>
    <mergeCell ref="K7:L7"/>
    <mergeCell ref="N7:Q7"/>
    <mergeCell ref="A8:H8"/>
    <mergeCell ref="K8:Q8"/>
  </mergeCells>
  <phoneticPr fontId="3" type="noConversion"/>
  <hyperlinks>
    <hyperlink ref="K8" r:id="rId1" xr:uid="{2E852A06-F300-40B7-BD7F-46A0E755F73F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일반기입형</vt:lpstr>
      <vt:lpstr>자동연산형 거래명세서(종합)</vt:lpstr>
      <vt:lpstr>일반기입형!Print_Area</vt:lpstr>
      <vt:lpstr>'자동연산형 거래명세서(종합)'!Print_Area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hhscj</dc:creator>
  <cp:lastModifiedBy>진영 최</cp:lastModifiedBy>
  <cp:lastPrinted>2025-07-16T08:58:42Z</cp:lastPrinted>
  <dcterms:created xsi:type="dcterms:W3CDTF">2018-02-17T02:06:54Z</dcterms:created>
  <dcterms:modified xsi:type="dcterms:W3CDTF">2026-05-27T06:33:56Z</dcterms:modified>
</cp:coreProperties>
</file>