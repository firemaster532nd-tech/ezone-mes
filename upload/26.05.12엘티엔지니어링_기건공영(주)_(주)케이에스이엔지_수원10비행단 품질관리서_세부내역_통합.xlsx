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hahab\OneDrive\바탕 화면\이윤호\0000. 작업중\26.05.12 엘티엔지니어링_기건공영(주)_(주)케이에스이엔지_수원10비행단\"/>
    </mc:Choice>
  </mc:AlternateContent>
  <xr:revisionPtr revIDLastSave="0" documentId="13_ncr:1_{E7DE1842-DBCE-402D-ABFD-7A0691C29920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현장품질관리서 - 세부내역" sheetId="2" r:id="rId1"/>
    <sheet name="품질관리서 - 세부내역" sheetId="1" r:id="rId2"/>
    <sheet name="LOT 추적" sheetId="3" r:id="rId3"/>
  </sheets>
  <definedNames>
    <definedName name="_xlnm.Print_Titles" localSheetId="0">'현장품질관리서 - 세부내역'!$1:$3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C10" i="1"/>
  <c r="C11" i="1"/>
  <c r="C12" i="1"/>
  <c r="C13" i="1"/>
  <c r="C14" i="1"/>
  <c r="C15" i="1"/>
  <c r="C16" i="1"/>
  <c r="C9" i="1"/>
  <c r="AZ7" i="3" l="1"/>
  <c r="AZ8" i="3"/>
  <c r="AZ9" i="3"/>
  <c r="AZ10" i="3"/>
  <c r="AZ11" i="3"/>
  <c r="AZ12" i="3"/>
  <c r="AZ13" i="3"/>
  <c r="AZ6" i="3"/>
  <c r="B5" i="1"/>
  <c r="B7" i="3"/>
  <c r="B8" i="3"/>
  <c r="B9" i="3"/>
  <c r="B10" i="3"/>
  <c r="B11" i="3"/>
  <c r="B12" i="3"/>
  <c r="B13" i="3"/>
  <c r="B6" i="3"/>
  <c r="I13" i="3"/>
  <c r="BA13" i="3" s="1"/>
  <c r="E13" i="3"/>
  <c r="D13" i="3"/>
  <c r="I12" i="3"/>
  <c r="BA12" i="3" s="1"/>
  <c r="E12" i="3"/>
  <c r="D12" i="3"/>
  <c r="I11" i="3"/>
  <c r="E11" i="3"/>
  <c r="D11" i="3"/>
  <c r="I10" i="3"/>
  <c r="J10" i="3" s="1"/>
  <c r="E10" i="3"/>
  <c r="D10" i="3"/>
  <c r="I9" i="3"/>
  <c r="E9" i="3"/>
  <c r="D9" i="3"/>
  <c r="I8" i="3"/>
  <c r="BA8" i="3" s="1"/>
  <c r="E8" i="3"/>
  <c r="D8" i="3"/>
  <c r="I7" i="3"/>
  <c r="E7" i="3"/>
  <c r="D7" i="3"/>
  <c r="I6" i="3"/>
  <c r="E6" i="3"/>
  <c r="D6" i="3"/>
  <c r="AH17" i="1"/>
  <c r="AG17" i="1" s="1"/>
  <c r="AF17" i="1"/>
  <c r="AE17" i="1" s="1"/>
  <c r="AD17" i="1"/>
  <c r="AC17" i="1" s="1"/>
  <c r="AB17" i="1"/>
  <c r="AA17" i="1" s="1"/>
  <c r="Z17" i="1"/>
  <c r="Y17" i="1" s="1"/>
  <c r="W17" i="1"/>
  <c r="V17" i="1"/>
  <c r="T17" i="1"/>
  <c r="S17" i="1" s="1"/>
  <c r="Q17" i="1"/>
  <c r="P17" i="1" s="1"/>
  <c r="N17" i="1"/>
  <c r="M17" i="1" s="1"/>
  <c r="K17" i="1"/>
  <c r="J17" i="1" s="1"/>
  <c r="AG16" i="1"/>
  <c r="AE16" i="1"/>
  <c r="U16" i="1"/>
  <c r="R16" i="1"/>
  <c r="O16" i="1"/>
  <c r="L16" i="1"/>
  <c r="H16" i="1"/>
  <c r="G16" i="1"/>
  <c r="F16" i="1"/>
  <c r="E16" i="1"/>
  <c r="D16" i="1"/>
  <c r="B16" i="1"/>
  <c r="A16" i="1"/>
  <c r="AG15" i="1"/>
  <c r="AE15" i="1"/>
  <c r="U15" i="1"/>
  <c r="R15" i="1"/>
  <c r="O15" i="1"/>
  <c r="L15" i="1"/>
  <c r="H15" i="1"/>
  <c r="G15" i="1"/>
  <c r="F15" i="1"/>
  <c r="E15" i="1"/>
  <c r="D15" i="1"/>
  <c r="B15" i="1"/>
  <c r="A15" i="1"/>
  <c r="AG14" i="1"/>
  <c r="AC14" i="1"/>
  <c r="AA14" i="1"/>
  <c r="X14" i="1"/>
  <c r="U14" i="1"/>
  <c r="R14" i="1"/>
  <c r="O14" i="1"/>
  <c r="L14" i="1"/>
  <c r="H14" i="1"/>
  <c r="G14" i="1"/>
  <c r="F14" i="1"/>
  <c r="E14" i="1"/>
  <c r="D14" i="1"/>
  <c r="B14" i="1"/>
  <c r="A14" i="1"/>
  <c r="AG13" i="1"/>
  <c r="AC13" i="1"/>
  <c r="AA13" i="1"/>
  <c r="X13" i="1"/>
  <c r="U13" i="1"/>
  <c r="R13" i="1"/>
  <c r="O13" i="1"/>
  <c r="L13" i="1"/>
  <c r="H13" i="1"/>
  <c r="G13" i="1"/>
  <c r="F13" i="1"/>
  <c r="E13" i="1"/>
  <c r="D13" i="1"/>
  <c r="B13" i="1"/>
  <c r="A13" i="1"/>
  <c r="AG12" i="1"/>
  <c r="AC12" i="1"/>
  <c r="AA12" i="1"/>
  <c r="X12" i="1"/>
  <c r="U12" i="1"/>
  <c r="R12" i="1"/>
  <c r="O12" i="1"/>
  <c r="L12" i="1"/>
  <c r="H12" i="1"/>
  <c r="G12" i="1"/>
  <c r="F12" i="1"/>
  <c r="E12" i="1"/>
  <c r="D12" i="1"/>
  <c r="B12" i="1"/>
  <c r="A12" i="1"/>
  <c r="AG11" i="1"/>
  <c r="AC11" i="1"/>
  <c r="AA11" i="1"/>
  <c r="X11" i="1"/>
  <c r="U11" i="1"/>
  <c r="R11" i="1"/>
  <c r="O11" i="1"/>
  <c r="L11" i="1"/>
  <c r="H11" i="1"/>
  <c r="G11" i="1"/>
  <c r="F11" i="1"/>
  <c r="E11" i="1"/>
  <c r="D11" i="1"/>
  <c r="B11" i="1"/>
  <c r="A11" i="1"/>
  <c r="AG10" i="1"/>
  <c r="AC10" i="1"/>
  <c r="AA10" i="1"/>
  <c r="X10" i="1"/>
  <c r="U10" i="1"/>
  <c r="R10" i="1"/>
  <c r="O10" i="1"/>
  <c r="L10" i="1"/>
  <c r="H10" i="1"/>
  <c r="G10" i="1"/>
  <c r="F10" i="1"/>
  <c r="E10" i="1"/>
  <c r="D10" i="1"/>
  <c r="B10" i="1"/>
  <c r="A10" i="1"/>
  <c r="AG9" i="1"/>
  <c r="AC9" i="1"/>
  <c r="AA9" i="1"/>
  <c r="X9" i="1"/>
  <c r="U9" i="1"/>
  <c r="R9" i="1"/>
  <c r="O9" i="1"/>
  <c r="L9" i="1"/>
  <c r="H9" i="1"/>
  <c r="G9" i="1"/>
  <c r="F9" i="1"/>
  <c r="D9" i="1"/>
  <c r="B9" i="1"/>
  <c r="A9" i="1"/>
  <c r="F5" i="1"/>
  <c r="D5" i="1"/>
  <c r="BC7" i="3" l="1"/>
  <c r="BK11" i="3"/>
  <c r="AU11" i="3" s="1"/>
  <c r="AT11" i="3" s="1"/>
  <c r="BF6" i="3"/>
  <c r="BK7" i="3"/>
  <c r="AU7" i="3" s="1"/>
  <c r="AT7" i="3" s="1"/>
  <c r="J6" i="3"/>
  <c r="BB9" i="3"/>
  <c r="BA6" i="3"/>
  <c r="BA11" i="3"/>
  <c r="BB6" i="3"/>
  <c r="BA10" i="3"/>
  <c r="BA9" i="3"/>
  <c r="BA7" i="3"/>
  <c r="G11" i="3"/>
  <c r="G7" i="3"/>
  <c r="BC11" i="3"/>
  <c r="BK10" i="3"/>
  <c r="AU10" i="3" s="1"/>
  <c r="AT10" i="3" s="1"/>
  <c r="BB10" i="3"/>
  <c r="BF10" i="3"/>
  <c r="BB13" i="3"/>
  <c r="BE9" i="3"/>
  <c r="BE13" i="3"/>
  <c r="BK6" i="3"/>
  <c r="AU6" i="3" s="1"/>
  <c r="AT6" i="3" s="1"/>
  <c r="BE8" i="3"/>
  <c r="BD8" i="3"/>
  <c r="BC8" i="3"/>
  <c r="BB8" i="3"/>
  <c r="J8" i="3"/>
  <c r="BK8" i="3"/>
  <c r="AU8" i="3" s="1"/>
  <c r="AT8" i="3" s="1"/>
  <c r="G8" i="3"/>
  <c r="BJ8" i="3"/>
  <c r="AO8" i="3" s="1"/>
  <c r="AN8" i="3" s="1"/>
  <c r="BI8" i="3"/>
  <c r="AI8" i="3" s="1"/>
  <c r="AH8" i="3" s="1"/>
  <c r="BH8" i="3"/>
  <c r="AB8" i="3" s="1"/>
  <c r="AA8" i="3" s="1"/>
  <c r="BG8" i="3"/>
  <c r="BF8" i="3"/>
  <c r="BI13" i="3"/>
  <c r="AI13" i="3" s="1"/>
  <c r="AH13" i="3" s="1"/>
  <c r="BE12" i="3"/>
  <c r="BD12" i="3"/>
  <c r="BC12" i="3"/>
  <c r="BB12" i="3"/>
  <c r="J12" i="3"/>
  <c r="BK12" i="3"/>
  <c r="AU12" i="3" s="1"/>
  <c r="AT12" i="3" s="1"/>
  <c r="G12" i="3"/>
  <c r="BJ12" i="3"/>
  <c r="AO12" i="3" s="1"/>
  <c r="AN12" i="3" s="1"/>
  <c r="BI12" i="3"/>
  <c r="AI12" i="3" s="1"/>
  <c r="AH12" i="3" s="1"/>
  <c r="BH12" i="3"/>
  <c r="AB12" i="3" s="1"/>
  <c r="AA12" i="3" s="1"/>
  <c r="BG12" i="3"/>
  <c r="BF12" i="3"/>
  <c r="BH11" i="3"/>
  <c r="AB11" i="3" s="1"/>
  <c r="AA11" i="3" s="1"/>
  <c r="BI9" i="3"/>
  <c r="AI9" i="3" s="1"/>
  <c r="AH9" i="3" s="1"/>
  <c r="BH7" i="3"/>
  <c r="AB7" i="3" s="1"/>
  <c r="AA7" i="3" s="1"/>
  <c r="BI7" i="3"/>
  <c r="AI7" i="3" s="1"/>
  <c r="AH7" i="3" s="1"/>
  <c r="BC9" i="3"/>
  <c r="BI11" i="3"/>
  <c r="AI11" i="3" s="1"/>
  <c r="AH11" i="3" s="1"/>
  <c r="BC13" i="3"/>
  <c r="BJ7" i="3"/>
  <c r="AO7" i="3" s="1"/>
  <c r="AN7" i="3" s="1"/>
  <c r="BD9" i="3"/>
  <c r="BJ11" i="3"/>
  <c r="AO11" i="3" s="1"/>
  <c r="AN11" i="3" s="1"/>
  <c r="BD13" i="3"/>
  <c r="BC6" i="3"/>
  <c r="BF9" i="3"/>
  <c r="BC10" i="3"/>
  <c r="BF13" i="3"/>
  <c r="BD6" i="3"/>
  <c r="J7" i="3"/>
  <c r="BG9" i="3"/>
  <c r="BD10" i="3"/>
  <c r="J11" i="3"/>
  <c r="BG13" i="3"/>
  <c r="BE6" i="3"/>
  <c r="BB7" i="3"/>
  <c r="BH9" i="3"/>
  <c r="AB9" i="3" s="1"/>
  <c r="AA9" i="3" s="1"/>
  <c r="BE10" i="3"/>
  <c r="BB11" i="3"/>
  <c r="BH13" i="3"/>
  <c r="AB13" i="3" s="1"/>
  <c r="AA13" i="3" s="1"/>
  <c r="BG6" i="3"/>
  <c r="BD7" i="3"/>
  <c r="BJ9" i="3"/>
  <c r="AO9" i="3" s="1"/>
  <c r="AN9" i="3" s="1"/>
  <c r="BG10" i="3"/>
  <c r="BD11" i="3"/>
  <c r="BJ13" i="3"/>
  <c r="AO13" i="3" s="1"/>
  <c r="AN13" i="3" s="1"/>
  <c r="BH6" i="3"/>
  <c r="AB6" i="3" s="1"/>
  <c r="AA6" i="3" s="1"/>
  <c r="BE7" i="3"/>
  <c r="G9" i="3"/>
  <c r="BK9" i="3"/>
  <c r="AU9" i="3" s="1"/>
  <c r="AT9" i="3" s="1"/>
  <c r="BH10" i="3"/>
  <c r="AB10" i="3" s="1"/>
  <c r="AA10" i="3" s="1"/>
  <c r="BE11" i="3"/>
  <c r="G13" i="3"/>
  <c r="BK13" i="3"/>
  <c r="AU13" i="3" s="1"/>
  <c r="AT13" i="3" s="1"/>
  <c r="BI6" i="3"/>
  <c r="AI6" i="3" s="1"/>
  <c r="AH6" i="3" s="1"/>
  <c r="BF7" i="3"/>
  <c r="BI10" i="3"/>
  <c r="AI10" i="3" s="1"/>
  <c r="AH10" i="3" s="1"/>
  <c r="BF11" i="3"/>
  <c r="BJ6" i="3"/>
  <c r="AO6" i="3" s="1"/>
  <c r="AN6" i="3" s="1"/>
  <c r="BG7" i="3"/>
  <c r="J9" i="3"/>
  <c r="BJ10" i="3"/>
  <c r="AO10" i="3" s="1"/>
  <c r="AN10" i="3" s="1"/>
  <c r="BG11" i="3"/>
  <c r="J13" i="3"/>
  <c r="G6" i="3"/>
  <c r="G10" i="3"/>
</calcChain>
</file>

<file path=xl/sharedStrings.xml><?xml version="1.0" encoding="utf-8"?>
<sst xmlns="http://schemas.openxmlformats.org/spreadsheetml/2006/main" count="618" uniqueCount="184">
  <si>
    <t>EZONE</t>
  </si>
  <si>
    <t>품질관리서 - 세부내역</t>
  </si>
  <si>
    <t>문서번호</t>
  </si>
  <si>
    <t>작성</t>
  </si>
  <si>
    <t>승인</t>
  </si>
  <si>
    <t>EZC-C-304-3 Rev.2</t>
  </si>
  <si>
    <t>출하일자</t>
  </si>
  <si>
    <t>납품업체</t>
  </si>
  <si>
    <t>현장명</t>
  </si>
  <si>
    <t>구조명/혼합</t>
  </si>
  <si>
    <t>No</t>
  </si>
  <si>
    <t>제품
번호</t>
  </si>
  <si>
    <t>설치 위치</t>
  </si>
  <si>
    <t>규격</t>
  </si>
  <si>
    <t>품명</t>
  </si>
  <si>
    <t>인정번호</t>
  </si>
  <si>
    <t>소켓명</t>
  </si>
  <si>
    <t>구조 LOT</t>
  </si>
  <si>
    <t>세라믹블랭킷
(25T×200)</t>
  </si>
  <si>
    <t>세라믹블랭킷
(38T×600)</t>
  </si>
  <si>
    <t>세라믹블랭킷
(50T×400)</t>
  </si>
  <si>
    <t>세라믹블랭킷
(50T×600)</t>
  </si>
  <si>
    <t>틈새
복합시트</t>
  </si>
  <si>
    <t>플래싱
(Z형)</t>
  </si>
  <si>
    <t>플래싱
(I형)5T</t>
  </si>
  <si>
    <t>플래싱
(I형)4T</t>
  </si>
  <si>
    <t>비고</t>
  </si>
  <si>
    <t>LOT</t>
  </si>
  <si>
    <t>크기(m)</t>
  </si>
  <si>
    <t>수량</t>
  </si>
  <si>
    <t>N/A</t>
  </si>
  <si>
    <t>EZC-C-304-3 (Tab 2) Rev.2</t>
  </si>
  <si>
    <t>(주) 이지원</t>
  </si>
  <si>
    <t>A4 가로(297×210)mm</t>
  </si>
  <si>
    <t xml:space="preserve">             </t>
  </si>
  <si>
    <t>품질현장관리 - 세부내역</t>
  </si>
  <si>
    <t>현 장 명</t>
  </si>
  <si>
    <t>No.</t>
  </si>
  <si>
    <t>방화             소켓명</t>
  </si>
  <si>
    <t>덕트내화채움구조 Lot</t>
  </si>
  <si>
    <t>설치  위치</t>
  </si>
  <si>
    <t>Lot</t>
  </si>
  <si>
    <t>제품번호</t>
  </si>
  <si>
    <t>NO.</t>
  </si>
  <si>
    <t>출하</t>
  </si>
  <si>
    <t>발주</t>
  </si>
  <si>
    <t>구조</t>
  </si>
  <si>
    <t>배합</t>
  </si>
  <si>
    <t>압출</t>
  </si>
  <si>
    <t>재단</t>
  </si>
  <si>
    <t>조립</t>
  </si>
  <si>
    <t>틈새복합시트</t>
  </si>
  <si>
    <t>플래싱(Z형)</t>
  </si>
  <si>
    <t>플래싱(I형) 5T</t>
  </si>
  <si>
    <t>플래싱(I형) 4T</t>
  </si>
  <si>
    <t>구조체 최종</t>
  </si>
  <si>
    <t>품질관리번호</t>
  </si>
  <si>
    <t>발주일자</t>
  </si>
  <si>
    <t>생산완료일자</t>
  </si>
  <si>
    <t>구조 LOT 번호</t>
  </si>
  <si>
    <t>배합 LOT 번호</t>
  </si>
  <si>
    <t>PE3005MB</t>
  </si>
  <si>
    <t>팽창흑연#50</t>
  </si>
  <si>
    <t>EVA EA33045</t>
  </si>
  <si>
    <t>EVA EP100</t>
  </si>
  <si>
    <t>압출 LOT 번호</t>
  </si>
  <si>
    <t>재단 LOT 번호</t>
  </si>
  <si>
    <t>조립 LOT 번호</t>
  </si>
  <si>
    <t>소켓</t>
  </si>
  <si>
    <t>시트</t>
  </si>
  <si>
    <t>차열재</t>
  </si>
  <si>
    <t>실란트</t>
  </si>
  <si>
    <t>세라믹블랭킷(25T*200)</t>
  </si>
  <si>
    <t>세라믹블랭킷(38T*600)</t>
  </si>
  <si>
    <t>세라믹블랭킷(50T*400)</t>
  </si>
  <si>
    <t>세라믹블랭킷(50T*600)</t>
  </si>
  <si>
    <t>플래싱(I형)5T</t>
  </si>
  <si>
    <t>플래싱(I형)4T</t>
  </si>
  <si>
    <t>특이사항 및
조치사항</t>
    <phoneticPr fontId="11" type="noConversion"/>
  </si>
  <si>
    <t>특이사항 및 
조치사항</t>
    <phoneticPr fontId="11" type="noConversion"/>
  </si>
  <si>
    <t>그라스울
(25T×1400)</t>
    <phoneticPr fontId="11" type="noConversion"/>
  </si>
  <si>
    <t>그라스울
(25T×1000)</t>
    <phoneticPr fontId="11" type="noConversion"/>
  </si>
  <si>
    <t>그라스울(25T*1400)</t>
    <phoneticPr fontId="11" type="noConversion"/>
  </si>
  <si>
    <t>그라스울(25T*1000)</t>
    <phoneticPr fontId="11" type="noConversion"/>
  </si>
  <si>
    <t>㈜엘티엔지니어링</t>
    <phoneticPr fontId="11" type="noConversion"/>
  </si>
  <si>
    <t>수원10비행단</t>
    <phoneticPr fontId="11" type="noConversion"/>
  </si>
  <si>
    <t>150X150</t>
  </si>
  <si>
    <t>200X200</t>
  </si>
  <si>
    <t>250X200</t>
  </si>
  <si>
    <t>250X250</t>
  </si>
  <si>
    <t>450X300</t>
  </si>
  <si>
    <t>600X350</t>
  </si>
  <si>
    <t>300X250</t>
  </si>
  <si>
    <t>350X200</t>
  </si>
  <si>
    <t>EZ F.B POSMAC Duct-VT-049</t>
  </si>
  <si>
    <t>EZ-F.B-POSMAC Duct-HTG-064</t>
  </si>
  <si>
    <t>FS-MP25-0310-3</t>
  </si>
  <si>
    <t>FS-MP25-0910-05</t>
  </si>
  <si>
    <t>VM200</t>
  </si>
  <si>
    <t>HMG300C</t>
  </si>
  <si>
    <t>260512-VT-049-001</t>
  </si>
  <si>
    <t>260512-VT-049-002</t>
  </si>
  <si>
    <t>260512-VT-049-003</t>
  </si>
  <si>
    <t>260512-VT-049-004</t>
  </si>
  <si>
    <t>260512-VT-049-005</t>
  </si>
  <si>
    <t>260512-VT-049-006</t>
  </si>
  <si>
    <t>260512-HTG-064-007</t>
  </si>
  <si>
    <t>260512-HTG-064-008</t>
  </si>
  <si>
    <t>CD001</t>
  </si>
  <si>
    <t>CD002</t>
  </si>
  <si>
    <t>CD003</t>
  </si>
  <si>
    <t>CD004</t>
  </si>
  <si>
    <t>CD005</t>
  </si>
  <si>
    <t>CD006</t>
  </si>
  <si>
    <t>CD007</t>
  </si>
  <si>
    <t>CD008</t>
  </si>
  <si>
    <t>260416GW001</t>
    <phoneticPr fontId="11" type="noConversion"/>
  </si>
  <si>
    <t>EZ F.B POSMAC Duct-VT-049, EZ-F.B-POSMAC Duct-HTG-064</t>
    <phoneticPr fontId="11" type="noConversion"/>
  </si>
  <si>
    <t>J260514F03</t>
  </si>
  <si>
    <t>J260406TS01</t>
  </si>
  <si>
    <t>J260330F02</t>
  </si>
  <si>
    <t>J260514F03</t>
    <phoneticPr fontId="11" type="noConversion"/>
  </si>
  <si>
    <t>260227CW002</t>
  </si>
  <si>
    <t>260227CW002</t>
    <phoneticPr fontId="11" type="noConversion"/>
  </si>
  <si>
    <t>J260406TS01</t>
    <phoneticPr fontId="11" type="noConversion"/>
  </si>
  <si>
    <t>J260330F02</t>
    <phoneticPr fontId="11" type="noConversion"/>
  </si>
  <si>
    <t>26. 05. 22</t>
    <phoneticPr fontId="11" type="noConversion"/>
  </si>
  <si>
    <t>260224GI001</t>
  </si>
  <si>
    <t>260507-S02</t>
  </si>
  <si>
    <t>260123GI005</t>
  </si>
  <si>
    <t>260119-S04</t>
  </si>
  <si>
    <t>260123GI004</t>
  </si>
  <si>
    <t>260227CW004</t>
  </si>
  <si>
    <t>260129-S08</t>
  </si>
  <si>
    <t>J260520D01</t>
  </si>
  <si>
    <t>J260520D02</t>
  </si>
  <si>
    <t>J260520D03</t>
  </si>
  <si>
    <t>J260520D04</t>
  </si>
  <si>
    <t>J260520D05</t>
  </si>
  <si>
    <t>J260520D06</t>
  </si>
  <si>
    <t>J260520D07</t>
  </si>
  <si>
    <t>J260520D08</t>
  </si>
  <si>
    <t>26. 05. 20</t>
  </si>
  <si>
    <t>260513GI009</t>
  </si>
  <si>
    <t>260513-S02</t>
  </si>
  <si>
    <t>260203CW002</t>
  </si>
  <si>
    <t>260220SS001</t>
  </si>
  <si>
    <t>260513GI010</t>
  </si>
  <si>
    <t>260513GI011</t>
  </si>
  <si>
    <t>260513-S02(200*2), 260513-S03</t>
  </si>
  <si>
    <t>260513GI012</t>
  </si>
  <si>
    <t>260513-S03(220*4, 310*2), 260513-S04</t>
  </si>
  <si>
    <t>260513GI013</t>
  </si>
  <si>
    <t>260513-S04(270*4, 510*1, 300*2), 260513-S08</t>
  </si>
  <si>
    <t>260513GI014</t>
  </si>
  <si>
    <t>260513-S04(320*4), 260513-S08</t>
  </si>
  <si>
    <t>260513GI015</t>
  </si>
  <si>
    <t>260427-S08</t>
  </si>
  <si>
    <t>260109CW002</t>
  </si>
  <si>
    <t>260513GI016</t>
  </si>
  <si>
    <t>(   26.05.12 엘티엔지니어링_기건공영(주)_(주)케이에스이엔지_수원10비행단  ) LOT 세부내역</t>
    <phoneticPr fontId="11" type="noConversion"/>
  </si>
  <si>
    <t>26. 05. 18</t>
  </si>
  <si>
    <t>260513-S02(200*2), 260513-S03</t>
    <phoneticPr fontId="11" type="noConversion"/>
  </si>
  <si>
    <t>260513-S02, 260513-S03</t>
  </si>
  <si>
    <t>260513-S02, 260513-S03</t>
    <phoneticPr fontId="11" type="noConversion"/>
  </si>
  <si>
    <t>260513-S03, 260513-S04</t>
  </si>
  <si>
    <t>260513-S03, 260513-S04</t>
    <phoneticPr fontId="11" type="noConversion"/>
  </si>
  <si>
    <t>260513-S04, 260513-S08</t>
  </si>
  <si>
    <t>260513-S04, 260513-S08</t>
    <phoneticPr fontId="11" type="noConversion"/>
  </si>
  <si>
    <t>260513-S02</t>
    <phoneticPr fontId="11" type="noConversion"/>
  </si>
  <si>
    <t>26.05.13</t>
  </si>
  <si>
    <t>26.05.14</t>
  </si>
  <si>
    <t>26.05.13</t>
    <phoneticPr fontId="11" type="noConversion"/>
  </si>
  <si>
    <t>26.05.13 /26.05.14</t>
    <phoneticPr fontId="11" type="noConversion"/>
  </si>
  <si>
    <t>260427-S08</t>
    <phoneticPr fontId="11" type="noConversion"/>
  </si>
  <si>
    <t>26.04.28</t>
  </si>
  <si>
    <t>260428MB001</t>
  </si>
  <si>
    <t>260403EG#5001</t>
  </si>
  <si>
    <t>260303EA001</t>
  </si>
  <si>
    <t>260325EP001</t>
  </si>
  <si>
    <t>26.04.27</t>
  </si>
  <si>
    <t>260325MB001</t>
  </si>
  <si>
    <t>260325EG#5001</t>
  </si>
  <si>
    <t>26. 05. 12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</si>
</sst>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맑은 고딕"/>
      <family val="2"/>
      <scheme val="minor"/>
    </font>
    <font>
      <b/>
      <sz val="13"/>
      <color rgb="FFDC2626"/>
      <name val="맑은 고딕"/>
      <family val="3"/>
      <charset val="129"/>
    </font>
    <font>
      <b/>
      <sz val="7"/>
      <name val="맑은 고딕"/>
      <family val="3"/>
      <charset val="129"/>
    </font>
    <font>
      <b/>
      <sz val="7"/>
      <color rgb="FF2E75B6"/>
      <name val="맑은 고딕"/>
      <family val="3"/>
      <charset val="129"/>
    </font>
    <font>
      <b/>
      <sz val="8"/>
      <color rgb="FF1F3864"/>
      <name val="맑은 고딕"/>
      <family val="3"/>
      <charset val="129"/>
    </font>
    <font>
      <sz val="9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b/>
      <sz val="7"/>
      <color rgb="FF333333"/>
      <name val="맑은 고딕"/>
      <family val="3"/>
      <charset val="129"/>
    </font>
    <font>
      <b/>
      <sz val="9"/>
      <color rgb="FF1E40AF"/>
      <name val="맑은 고딕"/>
      <family val="3"/>
      <charset val="129"/>
    </font>
    <font>
      <sz val="8"/>
      <color rgb="FF666666"/>
      <name val="맑은 고딕"/>
      <family val="3"/>
      <charset val="129"/>
    </font>
    <font>
      <sz val="7"/>
      <color rgb="FFAAAAAA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25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5"/>
      <color theme="1"/>
      <name val="Malgun Gothic"/>
      <family val="3"/>
      <charset val="129"/>
    </font>
    <font>
      <b/>
      <sz val="15"/>
      <color rgb="FFFFFFFF"/>
      <name val="Malgun Gothic"/>
      <family val="3"/>
      <charset val="129"/>
    </font>
    <font>
      <b/>
      <sz val="15"/>
      <color rgb="FF1F3864"/>
      <name val="Malgun Gothic"/>
      <family val="3"/>
      <charset val="129"/>
    </font>
    <font>
      <sz val="15"/>
      <color theme="1"/>
      <name val="Malgun Gothic"/>
      <family val="3"/>
      <charset val="129"/>
    </font>
    <font>
      <sz val="8"/>
      <color theme="1"/>
      <name val="맑은 고딕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EDEFF2"/>
      </patternFill>
    </fill>
    <fill>
      <patternFill patternType="solid">
        <fgColor rgb="FF1F3864"/>
      </patternFill>
    </fill>
    <fill>
      <patternFill patternType="solid">
        <fgColor rgb="FF1E40AF"/>
      </patternFill>
    </fill>
    <fill>
      <patternFill patternType="solid">
        <fgColor rgb="FF1B5E20"/>
      </patternFill>
    </fill>
    <fill>
      <patternFill patternType="solid">
        <fgColor rgb="FF4A148C"/>
      </patternFill>
    </fill>
    <fill>
      <patternFill patternType="solid">
        <fgColor rgb="FF795548"/>
      </patternFill>
    </fill>
    <fill>
      <patternFill patternType="solid">
        <fgColor rgb="FFBF360C"/>
      </patternFill>
    </fill>
    <fill>
      <patternFill patternType="solid">
        <fgColor rgb="FFD6DCE4"/>
      </patternFill>
    </fill>
    <fill>
      <patternFill patternType="solid">
        <fgColor rgb="FFFAFAFA"/>
      </patternFill>
    </fill>
    <fill>
      <patternFill patternType="solid">
        <fgColor rgb="FFE8F0FE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EFEBE9"/>
      </patternFill>
    </fill>
    <fill>
      <patternFill patternType="solid">
        <fgColor rgb="FFFBE9E7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F3864"/>
        <bgColor rgb="FF1F3864"/>
      </patternFill>
    </fill>
    <fill>
      <patternFill patternType="solid">
        <fgColor rgb="FF1E40AF"/>
        <bgColor rgb="FF1E40AF"/>
      </patternFill>
    </fill>
    <fill>
      <patternFill patternType="solid">
        <fgColor rgb="FF374151"/>
        <bgColor rgb="FF374151"/>
      </patternFill>
    </fill>
    <fill>
      <patternFill patternType="solid">
        <fgColor rgb="FF7C3AED"/>
        <bgColor rgb="FF7C3AED"/>
      </patternFill>
    </fill>
    <fill>
      <patternFill patternType="solid">
        <fgColor rgb="FF059669"/>
        <bgColor rgb="FF059669"/>
      </patternFill>
    </fill>
    <fill>
      <patternFill patternType="solid">
        <fgColor rgb="FF047857"/>
        <bgColor rgb="FF047857"/>
      </patternFill>
    </fill>
    <fill>
      <patternFill patternType="solid">
        <fgColor rgb="FF065F46"/>
        <bgColor rgb="FF065F46"/>
      </patternFill>
    </fill>
    <fill>
      <patternFill patternType="solid">
        <fgColor rgb="FFB45309"/>
        <bgColor rgb="FFB45309"/>
      </patternFill>
    </fill>
    <fill>
      <patternFill patternType="solid">
        <fgColor rgb="FF92400E"/>
        <bgColor rgb="FF92400E"/>
      </patternFill>
    </fill>
    <fill>
      <patternFill patternType="solid">
        <fgColor rgb="FF78350F"/>
        <bgColor rgb="FF78350F"/>
      </patternFill>
    </fill>
    <fill>
      <patternFill patternType="solid">
        <fgColor rgb="FF713F12"/>
        <bgColor rgb="FF713F12"/>
      </patternFill>
    </fill>
    <fill>
      <patternFill patternType="solid">
        <fgColor rgb="FF854D0E"/>
        <bgColor rgb="FF854D0E"/>
      </patternFill>
    </fill>
    <fill>
      <patternFill patternType="solid">
        <fgColor rgb="FF4338CA"/>
        <bgColor rgb="FF4338CA"/>
      </patternFill>
    </fill>
    <fill>
      <patternFill patternType="solid">
        <fgColor rgb="FFEFF6FF"/>
        <bgColor rgb="FFEFF6FF"/>
      </patternFill>
    </fill>
    <fill>
      <patternFill patternType="solid">
        <fgColor rgb="FFF9FAFB"/>
        <bgColor rgb="FFF9FAFB"/>
      </patternFill>
    </fill>
    <fill>
      <patternFill patternType="solid">
        <fgColor rgb="FFEEF2FF"/>
        <bgColor rgb="FFEEF2FF"/>
      </patternFill>
    </fill>
    <fill>
      <patternFill patternType="solid">
        <fgColor rgb="FFECFDF5"/>
        <bgColor rgb="FFECFDF5"/>
      </patternFill>
    </fill>
    <fill>
      <patternFill patternType="solid">
        <fgColor rgb="FFFFFBEB"/>
        <bgColor rgb="FFFFFBEB"/>
      </patternFill>
    </fill>
  </fills>
  <borders count="38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/>
      <diagonal/>
    </border>
    <border>
      <left/>
      <right/>
      <top style="medium">
        <color theme="3"/>
      </top>
      <bottom/>
      <diagonal/>
    </border>
    <border>
      <left/>
      <right style="thin">
        <color rgb="FFB0B0B0"/>
      </right>
      <top style="medium">
        <color theme="3"/>
      </top>
      <bottom/>
      <diagonal/>
    </border>
    <border>
      <left style="thin">
        <color rgb="FFB0B0B0"/>
      </left>
      <right style="thin">
        <color rgb="FFB0B0B0"/>
      </right>
      <top style="medium">
        <color theme="3"/>
      </top>
      <bottom style="thin">
        <color rgb="FFB0B0B0"/>
      </bottom>
      <diagonal/>
    </border>
    <border>
      <left/>
      <right/>
      <top/>
      <bottom style="medium">
        <color theme="3"/>
      </bottom>
      <diagonal/>
    </border>
    <border>
      <left/>
      <right style="thin">
        <color rgb="FFB0B0B0"/>
      </right>
      <top/>
      <bottom style="medium">
        <color theme="3"/>
      </bottom>
      <diagonal/>
    </border>
    <border>
      <left style="thin">
        <color rgb="FFB0B0B0"/>
      </left>
      <right style="thin">
        <color rgb="FFB0B0B0"/>
      </right>
      <top/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medium">
        <color theme="3"/>
      </bottom>
      <diagonal/>
    </border>
    <border>
      <left/>
      <right style="thin">
        <color rgb="FFB0B0B0"/>
      </right>
      <top style="medium">
        <color theme="3"/>
      </top>
      <bottom style="medium">
        <color theme="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4" fillId="0" borderId="0">
      <alignment vertical="center"/>
    </xf>
  </cellStyleXfs>
  <cellXfs count="12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10" fillId="0" borderId="0" xfId="0" applyFont="1" applyAlignment="1">
      <alignment horizontal="center"/>
    </xf>
    <xf numFmtId="0" fontId="17" fillId="0" borderId="12" xfId="1" applyFont="1" applyBorder="1" applyAlignment="1">
      <alignment horizontal="center" vertical="center"/>
    </xf>
    <xf numFmtId="0" fontId="14" fillId="0" borderId="0" xfId="1">
      <alignment vertical="center"/>
    </xf>
    <xf numFmtId="0" fontId="17" fillId="0" borderId="12" xfId="1" applyFont="1" applyBorder="1" applyAlignment="1">
      <alignment horizontal="center" vertical="center" wrapText="1"/>
    </xf>
    <xf numFmtId="0" fontId="14" fillId="0" borderId="0" xfId="1" applyAlignment="1">
      <alignment vertical="center" wrapText="1"/>
    </xf>
    <xf numFmtId="0" fontId="17" fillId="17" borderId="12" xfId="1" applyFont="1" applyFill="1" applyBorder="1" applyAlignment="1">
      <alignment horizontal="center" vertical="center" wrapText="1"/>
    </xf>
    <xf numFmtId="0" fontId="14" fillId="0" borderId="17" xfId="1" applyBorder="1" applyAlignment="1">
      <alignment horizontal="center" vertical="center"/>
    </xf>
    <xf numFmtId="0" fontId="18" fillId="0" borderId="17" xfId="1" applyFont="1" applyBorder="1" applyAlignment="1">
      <alignment horizontal="center" vertical="center" wrapText="1"/>
    </xf>
    <xf numFmtId="0" fontId="18" fillId="0" borderId="17" xfId="1" applyFont="1" applyBorder="1" applyAlignment="1">
      <alignment horizontal="center" vertical="center" shrinkToFit="1"/>
    </xf>
    <xf numFmtId="0" fontId="14" fillId="0" borderId="18" xfId="1" applyBorder="1" applyAlignment="1">
      <alignment horizontal="center" vertical="center"/>
    </xf>
    <xf numFmtId="0" fontId="18" fillId="0" borderId="18" xfId="1" applyFont="1" applyBorder="1" applyAlignment="1">
      <alignment horizontal="center" vertical="center" wrapText="1"/>
    </xf>
    <xf numFmtId="0" fontId="18" fillId="0" borderId="18" xfId="1" applyFont="1" applyBorder="1" applyAlignment="1">
      <alignment horizontal="center" vertical="center" shrinkToFit="1"/>
    </xf>
    <xf numFmtId="0" fontId="21" fillId="31" borderId="28" xfId="0" applyFont="1" applyFill="1" applyBorder="1" applyAlignment="1">
      <alignment horizontal="center" vertical="center" wrapText="1"/>
    </xf>
    <xf numFmtId="0" fontId="21" fillId="32" borderId="28" xfId="0" applyFont="1" applyFill="1" applyBorder="1" applyAlignment="1">
      <alignment horizontal="center" vertical="center" wrapText="1"/>
    </xf>
    <xf numFmtId="0" fontId="21" fillId="33" borderId="28" xfId="0" applyFont="1" applyFill="1" applyBorder="1" applyAlignment="1">
      <alignment horizontal="center" vertical="center" wrapText="1"/>
    </xf>
    <xf numFmtId="0" fontId="21" fillId="34" borderId="28" xfId="0" applyFont="1" applyFill="1" applyBorder="1" applyAlignment="1">
      <alignment horizontal="center" vertical="center" wrapText="1"/>
    </xf>
    <xf numFmtId="0" fontId="21" fillId="35" borderId="28" xfId="0" applyFont="1" applyFill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3" fillId="0" borderId="18" xfId="1" applyFont="1" applyBorder="1" applyAlignment="1">
      <alignment horizontal="center" vertical="center" wrapText="1"/>
    </xf>
    <xf numFmtId="0" fontId="14" fillId="0" borderId="36" xfId="1" applyBorder="1" applyAlignment="1">
      <alignment horizontal="center" vertical="center"/>
    </xf>
    <xf numFmtId="0" fontId="18" fillId="0" borderId="36" xfId="1" applyFont="1" applyBorder="1" applyAlignment="1">
      <alignment horizontal="center" vertical="center" wrapText="1"/>
    </xf>
    <xf numFmtId="0" fontId="23" fillId="0" borderId="36" xfId="1" applyFont="1" applyBorder="1" applyAlignment="1">
      <alignment horizontal="center" vertical="center" wrapText="1"/>
    </xf>
    <xf numFmtId="0" fontId="18" fillId="0" borderId="36" xfId="1" applyFont="1" applyBorder="1" applyAlignment="1">
      <alignment horizontal="center" vertical="center" shrinkToFit="1"/>
    </xf>
    <xf numFmtId="0" fontId="0" fillId="0" borderId="3" xfId="0" applyBorder="1"/>
    <xf numFmtId="0" fontId="0" fillId="0" borderId="4" xfId="0" applyBorder="1"/>
    <xf numFmtId="0" fontId="0" fillId="0" borderId="26" xfId="0" applyBorder="1" applyAlignment="1">
      <alignment horizontal="center"/>
    </xf>
    <xf numFmtId="0" fontId="0" fillId="0" borderId="11" xfId="0" applyBorder="1"/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6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3" fillId="0" borderId="26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17" fillId="17" borderId="24" xfId="1" applyFont="1" applyFill="1" applyBorder="1" applyAlignment="1">
      <alignment horizontal="center" vertical="center" wrapText="1"/>
    </xf>
    <xf numFmtId="0" fontId="0" fillId="0" borderId="16" xfId="0" applyBorder="1"/>
    <xf numFmtId="0" fontId="17" fillId="0" borderId="12" xfId="0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4" fillId="0" borderId="0" xfId="1">
      <alignment vertical="center"/>
    </xf>
    <xf numFmtId="0" fontId="14" fillId="0" borderId="0" xfId="1" applyAlignment="1">
      <alignment vertical="center" wrapText="1"/>
    </xf>
    <xf numFmtId="0" fontId="14" fillId="0" borderId="13" xfId="1" applyBorder="1" applyAlignment="1">
      <alignment horizontal="center" vertical="center"/>
    </xf>
    <xf numFmtId="0" fontId="0" fillId="0" borderId="13" xfId="0" applyBorder="1"/>
    <xf numFmtId="0" fontId="15" fillId="0" borderId="0" xfId="1" applyFont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4" fillId="0" borderId="35" xfId="1" applyBorder="1" applyAlignment="1">
      <alignment horizontal="center" vertical="center" wrapText="1"/>
    </xf>
    <xf numFmtId="0" fontId="14" fillId="0" borderId="14" xfId="1" applyBorder="1" applyAlignment="1">
      <alignment horizontal="center" vertical="center" wrapText="1"/>
    </xf>
    <xf numFmtId="0" fontId="14" fillId="0" borderId="20" xfId="1" applyBorder="1" applyAlignment="1">
      <alignment horizontal="center" vertical="center" wrapText="1"/>
    </xf>
    <xf numFmtId="0" fontId="14" fillId="0" borderId="21" xfId="1" applyBorder="1" applyAlignment="1">
      <alignment horizontal="center" vertical="center" wrapText="1"/>
    </xf>
    <xf numFmtId="0" fontId="14" fillId="0" borderId="22" xfId="1" applyBorder="1" applyAlignment="1">
      <alignment horizontal="center" vertical="center" wrapText="1"/>
    </xf>
    <xf numFmtId="0" fontId="14" fillId="0" borderId="16" xfId="1" applyBorder="1" applyAlignment="1">
      <alignment horizontal="center" vertical="center" wrapText="1"/>
    </xf>
    <xf numFmtId="0" fontId="17" fillId="17" borderId="12" xfId="1" applyFont="1" applyFill="1" applyBorder="1" applyAlignment="1">
      <alignment horizontal="center" vertical="center" wrapText="1"/>
    </xf>
    <xf numFmtId="0" fontId="14" fillId="17" borderId="12" xfId="1" applyFill="1" applyBorder="1" applyAlignment="1">
      <alignment horizontal="center" vertical="center"/>
    </xf>
    <xf numFmtId="0" fontId="0" fillId="0" borderId="15" xfId="0" applyBorder="1"/>
    <xf numFmtId="0" fontId="14" fillId="0" borderId="12" xfId="1" applyBorder="1" applyAlignment="1">
      <alignment horizontal="center" vertical="center"/>
    </xf>
    <xf numFmtId="0" fontId="0" fillId="0" borderId="19" xfId="0" applyBorder="1"/>
    <xf numFmtId="0" fontId="0" fillId="0" borderId="14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0" fillId="20" borderId="29" xfId="0" applyFont="1" applyFill="1" applyBorder="1" applyAlignment="1">
      <alignment horizontal="center" vertical="center" wrapText="1"/>
    </xf>
    <xf numFmtId="0" fontId="0" fillId="0" borderId="31" xfId="0" applyBorder="1" applyAlignment="1">
      <alignment vertical="center"/>
    </xf>
    <xf numFmtId="0" fontId="0" fillId="0" borderId="30" xfId="0" applyBorder="1" applyAlignment="1">
      <alignment vertical="center"/>
    </xf>
    <xf numFmtId="0" fontId="20" fillId="22" borderId="29" xfId="0" applyFont="1" applyFill="1" applyBorder="1" applyAlignment="1">
      <alignment horizontal="center" vertical="center" wrapText="1"/>
    </xf>
    <xf numFmtId="0" fontId="20" fillId="21" borderId="29" xfId="0" applyFont="1" applyFill="1" applyBorder="1" applyAlignment="1">
      <alignment horizontal="center" vertical="center" wrapText="1"/>
    </xf>
    <xf numFmtId="0" fontId="20" fillId="18" borderId="28" xfId="0" applyFont="1" applyFill="1" applyBorder="1" applyAlignment="1">
      <alignment horizontal="center" vertical="center" wrapText="1"/>
    </xf>
    <xf numFmtId="0" fontId="0" fillId="0" borderId="32" xfId="0" applyBorder="1" applyAlignment="1">
      <alignment vertical="center"/>
    </xf>
    <xf numFmtId="0" fontId="20" fillId="25" borderId="29" xfId="0" applyFont="1" applyFill="1" applyBorder="1" applyAlignment="1">
      <alignment horizontal="center" vertical="center" wrapText="1"/>
    </xf>
    <xf numFmtId="0" fontId="20" fillId="28" borderId="29" xfId="0" applyFont="1" applyFill="1" applyBorder="1" applyAlignment="1">
      <alignment horizontal="center" vertical="center" wrapText="1"/>
    </xf>
    <xf numFmtId="0" fontId="20" fillId="29" borderId="29" xfId="0" applyFont="1" applyFill="1" applyBorder="1" applyAlignment="1">
      <alignment horizontal="center" vertical="center" wrapText="1"/>
    </xf>
    <xf numFmtId="0" fontId="20" fillId="23" borderId="29" xfId="0" applyFont="1" applyFill="1" applyBorder="1" applyAlignment="1">
      <alignment horizontal="center" vertical="center" wrapText="1"/>
    </xf>
    <xf numFmtId="0" fontId="20" fillId="30" borderId="29" xfId="0" applyFont="1" applyFill="1" applyBorder="1" applyAlignment="1">
      <alignment horizontal="center" vertical="center" wrapText="1"/>
    </xf>
    <xf numFmtId="0" fontId="20" fillId="24" borderId="29" xfId="0" applyFont="1" applyFill="1" applyBorder="1" applyAlignment="1">
      <alignment horizontal="center" vertical="center" wrapText="1"/>
    </xf>
    <xf numFmtId="0" fontId="20" fillId="27" borderId="29" xfId="0" applyFont="1" applyFill="1" applyBorder="1" applyAlignment="1">
      <alignment horizontal="center" vertical="center" wrapText="1"/>
    </xf>
    <xf numFmtId="0" fontId="20" fillId="19" borderId="29" xfId="0" applyFont="1" applyFill="1" applyBorder="1" applyAlignment="1">
      <alignment horizontal="center" vertical="center" wrapText="1"/>
    </xf>
    <xf numFmtId="0" fontId="20" fillId="26" borderId="29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111124</xdr:rowOff>
    </xdr:from>
    <xdr:to>
      <xdr:col>1</xdr:col>
      <xdr:colOff>619125</xdr:colOff>
      <xdr:row>2</xdr:row>
      <xdr:rowOff>144460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111124"/>
          <a:ext cx="971550" cy="66198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21"/>
  <sheetViews>
    <sheetView zoomScale="130" zoomScaleNormal="130" zoomScaleSheetLayoutView="75" workbookViewId="0">
      <selection activeCell="L13" sqref="L13"/>
    </sheetView>
  </sheetViews>
  <sheetFormatPr defaultColWidth="9" defaultRowHeight="16.5"/>
  <cols>
    <col min="1" max="1" width="4.625" style="22" bestFit="1" customWidth="1"/>
    <col min="2" max="2" width="8.625" style="22" customWidth="1"/>
    <col min="3" max="3" width="14.375" style="22" customWidth="1"/>
    <col min="4" max="4" width="13.625" style="22" customWidth="1"/>
    <col min="5" max="5" width="8.625" style="22" customWidth="1"/>
    <col min="6" max="6" width="14.875" style="22" customWidth="1"/>
    <col min="7" max="7" width="7.625" style="22" customWidth="1"/>
    <col min="8" max="8" width="12.625" style="22" customWidth="1"/>
    <col min="9" max="9" width="7.375" style="22" customWidth="1"/>
    <col min="10" max="11" width="9" style="22" customWidth="1"/>
    <col min="12" max="16384" width="9" style="22"/>
  </cols>
  <sheetData>
    <row r="1" spans="1:9" ht="20.100000000000001" customHeight="1">
      <c r="A1" s="83" t="s">
        <v>34</v>
      </c>
      <c r="B1" s="79"/>
      <c r="C1" s="78" t="s">
        <v>35</v>
      </c>
      <c r="D1" s="79"/>
      <c r="E1" s="79"/>
      <c r="F1" s="21" t="s">
        <v>6</v>
      </c>
      <c r="G1" s="84" t="s">
        <v>126</v>
      </c>
      <c r="H1" s="85"/>
      <c r="I1" s="86"/>
    </row>
    <row r="2" spans="1:9" s="24" customFormat="1" ht="30" customHeight="1">
      <c r="A2" s="80"/>
      <c r="B2" s="80"/>
      <c r="C2" s="80"/>
      <c r="D2" s="80"/>
      <c r="E2" s="80"/>
      <c r="F2" s="23" t="s">
        <v>36</v>
      </c>
      <c r="G2" s="72" t="s">
        <v>85</v>
      </c>
      <c r="H2" s="73"/>
      <c r="I2" s="74"/>
    </row>
    <row r="3" spans="1:9" ht="20.100000000000001" customHeight="1">
      <c r="A3" s="79"/>
      <c r="B3" s="79"/>
      <c r="C3" s="79"/>
      <c r="D3" s="79"/>
      <c r="E3" s="79"/>
      <c r="F3" s="21" t="s">
        <v>7</v>
      </c>
      <c r="G3" s="77" t="s">
        <v>84</v>
      </c>
      <c r="H3" s="73"/>
      <c r="I3" s="74"/>
    </row>
    <row r="4" spans="1:9" ht="8.1" customHeight="1">
      <c r="A4" s="81"/>
      <c r="B4" s="82"/>
      <c r="C4" s="82"/>
      <c r="D4" s="82"/>
      <c r="E4" s="82"/>
      <c r="F4" s="82"/>
      <c r="G4" s="82"/>
      <c r="H4" s="82"/>
      <c r="I4" s="82"/>
    </row>
    <row r="5" spans="1:9" ht="16.5" customHeight="1">
      <c r="A5" s="94" t="s">
        <v>37</v>
      </c>
      <c r="B5" s="93" t="s">
        <v>13</v>
      </c>
      <c r="C5" s="93" t="s">
        <v>14</v>
      </c>
      <c r="D5" s="93" t="s">
        <v>15</v>
      </c>
      <c r="E5" s="93" t="s">
        <v>38</v>
      </c>
      <c r="F5" s="93" t="s">
        <v>39</v>
      </c>
      <c r="G5" s="74"/>
      <c r="H5" s="75" t="s">
        <v>40</v>
      </c>
      <c r="I5" s="94" t="s">
        <v>26</v>
      </c>
    </row>
    <row r="6" spans="1:9" ht="26.45" customHeight="1">
      <c r="A6" s="95"/>
      <c r="B6" s="95"/>
      <c r="C6" s="95"/>
      <c r="D6" s="95"/>
      <c r="E6" s="95"/>
      <c r="F6" s="25" t="s">
        <v>41</v>
      </c>
      <c r="G6" s="25" t="s">
        <v>42</v>
      </c>
      <c r="H6" s="76"/>
      <c r="I6" s="95"/>
    </row>
    <row r="7" spans="1:9" ht="24" customHeight="1">
      <c r="A7" s="26">
        <v>1</v>
      </c>
      <c r="B7" s="27" t="s">
        <v>86</v>
      </c>
      <c r="C7" s="27" t="s">
        <v>94</v>
      </c>
      <c r="D7" s="27" t="s">
        <v>96</v>
      </c>
      <c r="E7" s="27" t="s">
        <v>98</v>
      </c>
      <c r="F7" s="27" t="s">
        <v>100</v>
      </c>
      <c r="G7" s="27" t="s">
        <v>108</v>
      </c>
      <c r="H7" s="27"/>
      <c r="I7" s="28"/>
    </row>
    <row r="8" spans="1:9" ht="24" customHeight="1">
      <c r="A8" s="29">
        <v>2</v>
      </c>
      <c r="B8" s="30" t="s">
        <v>87</v>
      </c>
      <c r="C8" s="30" t="s">
        <v>94</v>
      </c>
      <c r="D8" s="30" t="s">
        <v>96</v>
      </c>
      <c r="E8" s="30" t="s">
        <v>98</v>
      </c>
      <c r="F8" s="30" t="s">
        <v>101</v>
      </c>
      <c r="G8" s="30" t="s">
        <v>109</v>
      </c>
      <c r="H8" s="30"/>
      <c r="I8" s="31"/>
    </row>
    <row r="9" spans="1:9" ht="24" customHeight="1">
      <c r="A9" s="29">
        <v>3</v>
      </c>
      <c r="B9" s="30" t="s">
        <v>88</v>
      </c>
      <c r="C9" s="30" t="s">
        <v>94</v>
      </c>
      <c r="D9" s="30" t="s">
        <v>96</v>
      </c>
      <c r="E9" s="30" t="s">
        <v>98</v>
      </c>
      <c r="F9" s="30" t="s">
        <v>102</v>
      </c>
      <c r="G9" s="30" t="s">
        <v>110</v>
      </c>
      <c r="H9" s="30"/>
      <c r="I9" s="31"/>
    </row>
    <row r="10" spans="1:9" ht="24" customHeight="1">
      <c r="A10" s="29">
        <v>4</v>
      </c>
      <c r="B10" s="30" t="s">
        <v>89</v>
      </c>
      <c r="C10" s="30" t="s">
        <v>94</v>
      </c>
      <c r="D10" s="30" t="s">
        <v>96</v>
      </c>
      <c r="E10" s="30" t="s">
        <v>98</v>
      </c>
      <c r="F10" s="30" t="s">
        <v>103</v>
      </c>
      <c r="G10" s="30" t="s">
        <v>111</v>
      </c>
      <c r="H10" s="30"/>
      <c r="I10" s="31"/>
    </row>
    <row r="11" spans="1:9" ht="24" customHeight="1">
      <c r="A11" s="29">
        <v>5</v>
      </c>
      <c r="B11" s="30" t="s">
        <v>90</v>
      </c>
      <c r="C11" s="30" t="s">
        <v>94</v>
      </c>
      <c r="D11" s="30" t="s">
        <v>96</v>
      </c>
      <c r="E11" s="30" t="s">
        <v>98</v>
      </c>
      <c r="F11" s="30" t="s">
        <v>104</v>
      </c>
      <c r="G11" s="30" t="s">
        <v>112</v>
      </c>
      <c r="H11" s="30"/>
      <c r="I11" s="31"/>
    </row>
    <row r="12" spans="1:9" ht="24" customHeight="1">
      <c r="A12" s="29">
        <v>6</v>
      </c>
      <c r="B12" s="30" t="s">
        <v>91</v>
      </c>
      <c r="C12" s="30" t="s">
        <v>94</v>
      </c>
      <c r="D12" s="30" t="s">
        <v>96</v>
      </c>
      <c r="E12" s="30" t="s">
        <v>98</v>
      </c>
      <c r="F12" s="30" t="s">
        <v>105</v>
      </c>
      <c r="G12" s="30" t="s">
        <v>113</v>
      </c>
      <c r="H12" s="30"/>
      <c r="I12" s="31"/>
    </row>
    <row r="13" spans="1:9" ht="24" customHeight="1">
      <c r="A13" s="29">
        <v>7</v>
      </c>
      <c r="B13" s="30" t="s">
        <v>92</v>
      </c>
      <c r="C13" s="30" t="s">
        <v>95</v>
      </c>
      <c r="D13" s="30" t="s">
        <v>97</v>
      </c>
      <c r="E13" s="30" t="s">
        <v>99</v>
      </c>
      <c r="F13" s="39" t="s">
        <v>106</v>
      </c>
      <c r="G13" s="30" t="s">
        <v>114</v>
      </c>
      <c r="H13" s="30"/>
      <c r="I13" s="31"/>
    </row>
    <row r="14" spans="1:9" ht="24" customHeight="1">
      <c r="A14" s="40">
        <v>8</v>
      </c>
      <c r="B14" s="41" t="s">
        <v>93</v>
      </c>
      <c r="C14" s="41" t="s">
        <v>95</v>
      </c>
      <c r="D14" s="41" t="s">
        <v>97</v>
      </c>
      <c r="E14" s="41" t="s">
        <v>99</v>
      </c>
      <c r="F14" s="42" t="s">
        <v>107</v>
      </c>
      <c r="G14" s="41" t="s">
        <v>115</v>
      </c>
      <c r="H14" s="41"/>
      <c r="I14" s="43"/>
    </row>
    <row r="15" spans="1:9" ht="8.1" customHeight="1">
      <c r="A15" s="81"/>
      <c r="B15" s="82"/>
      <c r="C15" s="82"/>
      <c r="D15" s="82"/>
      <c r="E15" s="82"/>
      <c r="F15" s="82"/>
      <c r="G15" s="82"/>
      <c r="H15" s="82"/>
      <c r="I15" s="82"/>
    </row>
    <row r="16" spans="1:9">
      <c r="A16" s="87" t="s">
        <v>79</v>
      </c>
      <c r="B16" s="88"/>
      <c r="C16" s="96"/>
      <c r="D16" s="97"/>
      <c r="E16" s="97"/>
      <c r="F16" s="97"/>
      <c r="G16" s="97"/>
      <c r="H16" s="97"/>
      <c r="I16" s="98"/>
    </row>
    <row r="17" spans="1:9">
      <c r="A17" s="89"/>
      <c r="B17" s="90"/>
      <c r="C17" s="99"/>
      <c r="D17" s="79"/>
      <c r="E17" s="79"/>
      <c r="F17" s="79"/>
      <c r="G17" s="79"/>
      <c r="H17" s="79"/>
      <c r="I17" s="100"/>
    </row>
    <row r="18" spans="1:9">
      <c r="A18" s="89"/>
      <c r="B18" s="90"/>
      <c r="C18" s="99"/>
      <c r="D18" s="79"/>
      <c r="E18" s="79"/>
      <c r="F18" s="79"/>
      <c r="G18" s="79"/>
      <c r="H18" s="79"/>
      <c r="I18" s="100"/>
    </row>
    <row r="19" spans="1:9">
      <c r="A19" s="89"/>
      <c r="B19" s="90"/>
      <c r="C19" s="99"/>
      <c r="D19" s="79"/>
      <c r="E19" s="79"/>
      <c r="F19" s="79"/>
      <c r="G19" s="79"/>
      <c r="H19" s="79"/>
      <c r="I19" s="100"/>
    </row>
    <row r="20" spans="1:9">
      <c r="A20" s="89"/>
      <c r="B20" s="90"/>
      <c r="C20" s="99"/>
      <c r="D20" s="79"/>
      <c r="E20" s="79"/>
      <c r="F20" s="79"/>
      <c r="G20" s="79"/>
      <c r="H20" s="79"/>
      <c r="I20" s="100"/>
    </row>
    <row r="21" spans="1:9">
      <c r="A21" s="91"/>
      <c r="B21" s="92"/>
      <c r="C21" s="101"/>
      <c r="D21" s="82"/>
      <c r="E21" s="82"/>
      <c r="F21" s="82"/>
      <c r="G21" s="82"/>
      <c r="H21" s="82"/>
      <c r="I21" s="76"/>
    </row>
  </sheetData>
  <mergeCells count="17">
    <mergeCell ref="A16:B21"/>
    <mergeCell ref="A15:I15"/>
    <mergeCell ref="F5:G5"/>
    <mergeCell ref="I5:I6"/>
    <mergeCell ref="C16:I21"/>
    <mergeCell ref="D5:D6"/>
    <mergeCell ref="B5:B6"/>
    <mergeCell ref="C5:C6"/>
    <mergeCell ref="A5:A6"/>
    <mergeCell ref="E5:E6"/>
    <mergeCell ref="G2:I2"/>
    <mergeCell ref="H5:H6"/>
    <mergeCell ref="G3:I3"/>
    <mergeCell ref="C1:E3"/>
    <mergeCell ref="A4:I4"/>
    <mergeCell ref="A1:B3"/>
    <mergeCell ref="G1:I1"/>
  </mergeCells>
  <phoneticPr fontId="11" type="noConversion"/>
  <pageMargins left="0.39347222447395319" right="0.19666667282581329" top="0.47236111760139471" bottom="0.31486111879348749" header="0.31486111879348749" footer="0.31486111879348749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J20"/>
  <sheetViews>
    <sheetView zoomScale="130" zoomScaleNormal="130" workbookViewId="0">
      <pane ySplit="8" topLeftCell="A9" activePane="bottomLeft" state="frozen"/>
      <selection pane="bottomLeft" activeCell="X14" sqref="X14"/>
    </sheetView>
  </sheetViews>
  <sheetFormatPr defaultRowHeight="16.5"/>
  <cols>
    <col min="1" max="1" width="7.875" style="15" customWidth="1"/>
    <col min="2" max="2" width="9.5" style="15" bestFit="1" customWidth="1"/>
    <col min="3" max="3" width="7.5" style="17" bestFit="1" customWidth="1"/>
    <col min="4" max="4" width="19.25" style="15" bestFit="1" customWidth="1"/>
    <col min="5" max="5" width="12.75" style="15" customWidth="1"/>
    <col min="6" max="6" width="25.125" style="15" bestFit="1" customWidth="1"/>
    <col min="7" max="7" width="9" style="15" bestFit="1" customWidth="1"/>
    <col min="8" max="8" width="24" style="15" customWidth="1"/>
    <col min="9" max="9" width="13" style="15" customWidth="1"/>
    <col min="10" max="10" width="5.5" style="15" customWidth="1"/>
    <col min="11" max="11" width="4.5" style="15" customWidth="1"/>
    <col min="12" max="12" width="13" style="15" hidden="1" customWidth="1"/>
    <col min="13" max="13" width="5.5" style="15" hidden="1" customWidth="1"/>
    <col min="14" max="14" width="4.5" style="15" hidden="1" customWidth="1"/>
    <col min="15" max="15" width="13" style="15" hidden="1" customWidth="1"/>
    <col min="16" max="16" width="5.5" style="15" hidden="1" customWidth="1"/>
    <col min="17" max="17" width="4.5" style="15" hidden="1" customWidth="1"/>
    <col min="18" max="18" width="13" style="15" hidden="1" customWidth="1"/>
    <col min="19" max="19" width="5.5" style="15" hidden="1" customWidth="1"/>
    <col min="20" max="20" width="4.5" style="15" hidden="1" customWidth="1"/>
    <col min="21" max="21" width="13" style="15" hidden="1" customWidth="1"/>
    <col min="22" max="22" width="5.5" style="15" hidden="1" customWidth="1"/>
    <col min="23" max="23" width="4.5" style="15" hidden="1" customWidth="1"/>
    <col min="24" max="24" width="13" style="15" customWidth="1"/>
    <col min="25" max="25" width="5.5" style="15" customWidth="1"/>
    <col min="26" max="26" width="4.5" style="15" customWidth="1"/>
    <col min="27" max="27" width="13" style="15" customWidth="1"/>
    <col min="28" max="28" width="4.5" style="15" customWidth="1"/>
    <col min="29" max="29" width="13" style="15" customWidth="1"/>
    <col min="30" max="30" width="4.5" style="15" customWidth="1"/>
    <col min="31" max="31" width="13" style="15" customWidth="1"/>
    <col min="32" max="32" width="4.5" style="15" customWidth="1"/>
    <col min="33" max="33" width="13" style="15" hidden="1" customWidth="1"/>
    <col min="34" max="34" width="4.5" style="15" hidden="1" customWidth="1"/>
    <col min="35" max="37" width="9" style="15" customWidth="1"/>
    <col min="38" max="16384" width="9" style="15"/>
  </cols>
  <sheetData>
    <row r="1" spans="1:35" ht="18" customHeight="1">
      <c r="A1" s="64" t="s">
        <v>0</v>
      </c>
      <c r="B1" s="56"/>
      <c r="C1" s="55" t="s">
        <v>1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7"/>
      <c r="AE1" s="10" t="s">
        <v>2</v>
      </c>
      <c r="AF1" s="10" t="s">
        <v>3</v>
      </c>
      <c r="AG1" s="18"/>
      <c r="AH1" s="18"/>
      <c r="AI1" s="10" t="s">
        <v>4</v>
      </c>
    </row>
    <row r="2" spans="1:35" ht="20.100000000000001" customHeight="1">
      <c r="A2" s="59"/>
      <c r="B2" s="59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60"/>
      <c r="AE2" s="63" t="s">
        <v>5</v>
      </c>
      <c r="AF2" s="46"/>
      <c r="AI2" s="46"/>
    </row>
    <row r="3" spans="1:35" ht="15.95" customHeight="1" thickBot="1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2"/>
      <c r="AE3" s="47"/>
      <c r="AF3" s="47"/>
      <c r="AG3" s="19"/>
      <c r="AH3" s="19"/>
      <c r="AI3" s="47"/>
    </row>
    <row r="5" spans="1:35" s="17" customFormat="1" ht="21.95" customHeight="1">
      <c r="A5" s="1" t="s">
        <v>6</v>
      </c>
      <c r="B5" s="16" t="str">
        <f>'현장품질관리서 - 세부내역'!G1</f>
        <v>26. 05. 22</v>
      </c>
      <c r="C5" s="1" t="s">
        <v>7</v>
      </c>
      <c r="D5" s="16" t="str">
        <f>'현장품질관리서 - 세부내역'!G3</f>
        <v>㈜엘티엔지니어링</v>
      </c>
      <c r="E5" s="1" t="s">
        <v>8</v>
      </c>
      <c r="F5" s="12" t="str">
        <f>'현장품질관리서 - 세부내역'!G2</f>
        <v>수원10비행단</v>
      </c>
      <c r="G5" s="1" t="s">
        <v>9</v>
      </c>
      <c r="H5" s="65" t="s">
        <v>117</v>
      </c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44"/>
      <c r="AH5" s="44"/>
      <c r="AI5" s="45"/>
    </row>
    <row r="7" spans="1:35" ht="27.95" customHeight="1">
      <c r="A7" s="53" t="s">
        <v>10</v>
      </c>
      <c r="B7" s="51" t="s">
        <v>11</v>
      </c>
      <c r="C7" s="51" t="s">
        <v>12</v>
      </c>
      <c r="D7" s="53" t="s">
        <v>13</v>
      </c>
      <c r="E7" s="53" t="s">
        <v>14</v>
      </c>
      <c r="F7" s="53" t="s">
        <v>15</v>
      </c>
      <c r="G7" s="53" t="s">
        <v>16</v>
      </c>
      <c r="H7" s="53" t="s">
        <v>17</v>
      </c>
      <c r="I7" s="48" t="s">
        <v>80</v>
      </c>
      <c r="J7" s="49"/>
      <c r="K7" s="50"/>
      <c r="L7" s="48" t="s">
        <v>81</v>
      </c>
      <c r="M7" s="49"/>
      <c r="N7" s="50"/>
      <c r="O7" s="54" t="s">
        <v>18</v>
      </c>
      <c r="P7" s="49"/>
      <c r="Q7" s="50"/>
      <c r="R7" s="54" t="s">
        <v>19</v>
      </c>
      <c r="S7" s="49"/>
      <c r="T7" s="50"/>
      <c r="U7" s="54" t="s">
        <v>20</v>
      </c>
      <c r="V7" s="49"/>
      <c r="W7" s="50"/>
      <c r="X7" s="54" t="s">
        <v>21</v>
      </c>
      <c r="Y7" s="49"/>
      <c r="Z7" s="50"/>
      <c r="AA7" s="70" t="s">
        <v>22</v>
      </c>
      <c r="AB7" s="50"/>
      <c r="AC7" s="71" t="s">
        <v>23</v>
      </c>
      <c r="AD7" s="50"/>
      <c r="AE7" s="71" t="s">
        <v>24</v>
      </c>
      <c r="AF7" s="50"/>
      <c r="AG7" s="71" t="s">
        <v>25</v>
      </c>
      <c r="AH7" s="50"/>
      <c r="AI7" s="53" t="s">
        <v>26</v>
      </c>
    </row>
    <row r="8" spans="1:35" ht="18" customHeight="1">
      <c r="A8" s="52"/>
      <c r="B8" s="52"/>
      <c r="C8" s="52"/>
      <c r="D8" s="52"/>
      <c r="E8" s="52"/>
      <c r="F8" s="52"/>
      <c r="G8" s="52"/>
      <c r="H8" s="52"/>
      <c r="I8" s="2" t="s">
        <v>27</v>
      </c>
      <c r="J8" s="2" t="s">
        <v>28</v>
      </c>
      <c r="K8" s="2" t="s">
        <v>29</v>
      </c>
      <c r="L8" s="2" t="s">
        <v>27</v>
      </c>
      <c r="M8" s="2" t="s">
        <v>28</v>
      </c>
      <c r="N8" s="2" t="s">
        <v>29</v>
      </c>
      <c r="O8" s="2" t="s">
        <v>27</v>
      </c>
      <c r="P8" s="2" t="s">
        <v>28</v>
      </c>
      <c r="Q8" s="2" t="s">
        <v>29</v>
      </c>
      <c r="R8" s="2" t="s">
        <v>27</v>
      </c>
      <c r="S8" s="2" t="s">
        <v>28</v>
      </c>
      <c r="T8" s="2" t="s">
        <v>29</v>
      </c>
      <c r="U8" s="2" t="s">
        <v>27</v>
      </c>
      <c r="V8" s="2" t="s">
        <v>28</v>
      </c>
      <c r="W8" s="2" t="s">
        <v>29</v>
      </c>
      <c r="X8" s="2" t="s">
        <v>27</v>
      </c>
      <c r="Y8" s="2" t="s">
        <v>28</v>
      </c>
      <c r="Z8" s="2" t="s">
        <v>29</v>
      </c>
      <c r="AA8" s="2" t="s">
        <v>27</v>
      </c>
      <c r="AB8" s="2" t="s">
        <v>29</v>
      </c>
      <c r="AC8" s="2" t="s">
        <v>27</v>
      </c>
      <c r="AD8" s="2" t="s">
        <v>29</v>
      </c>
      <c r="AE8" s="2" t="s">
        <v>27</v>
      </c>
      <c r="AF8" s="2" t="s">
        <v>29</v>
      </c>
      <c r="AG8" s="2" t="s">
        <v>27</v>
      </c>
      <c r="AH8" s="2" t="s">
        <v>29</v>
      </c>
      <c r="AI8" s="52"/>
    </row>
    <row r="9" spans="1:35" ht="23.25" customHeight="1">
      <c r="A9" s="3">
        <f>'현장품질관리서 - 세부내역'!A7</f>
        <v>1</v>
      </c>
      <c r="B9" s="4" t="str">
        <f>'현장품질관리서 - 세부내역'!G7</f>
        <v>CD001</v>
      </c>
      <c r="C9" s="14" t="str">
        <f>IF('현장품질관리서 - 세부내역'!H7="","",'현장품질관리서 - 세부내역'!H7)</f>
        <v/>
      </c>
      <c r="D9" s="5" t="str">
        <f>'현장품질관리서 - 세부내역'!B7</f>
        <v>150X150</v>
      </c>
      <c r="E9" s="5" t="str">
        <f>'현장품질관리서 - 세부내역'!C7</f>
        <v>EZ F.B POSMAC Duct-VT-049</v>
      </c>
      <c r="F9" s="5" t="str">
        <f>'현장품질관리서 - 세부내역'!D7</f>
        <v>FS-MP25-0310-3</v>
      </c>
      <c r="G9" s="5" t="str">
        <f>'현장품질관리서 - 세부내역'!E7</f>
        <v>VM200</v>
      </c>
      <c r="H9" s="5" t="str">
        <f>'현장품질관리서 - 세부내역'!F7</f>
        <v>260512-VT-049-001</v>
      </c>
      <c r="I9" s="6" t="s">
        <v>116</v>
      </c>
      <c r="J9" s="6">
        <v>1</v>
      </c>
      <c r="K9" s="6">
        <v>4</v>
      </c>
      <c r="L9" s="6" t="str">
        <f t="shared" ref="L9:L16" si="0">IF(M9="N/A","N/A"," ")</f>
        <v>N/A</v>
      </c>
      <c r="M9" s="6" t="s">
        <v>30</v>
      </c>
      <c r="N9" s="6" t="s">
        <v>30</v>
      </c>
      <c r="O9" s="7" t="str">
        <f t="shared" ref="O9:O16" si="1">IF(P9="N/A","N/A"," ")</f>
        <v>N/A</v>
      </c>
      <c r="P9" s="7" t="s">
        <v>30</v>
      </c>
      <c r="Q9" s="7" t="s">
        <v>30</v>
      </c>
      <c r="R9" s="7" t="str">
        <f t="shared" ref="R9:R16" si="2">IF(S9="N/A","N/A"," ")</f>
        <v>N/A</v>
      </c>
      <c r="S9" s="7" t="s">
        <v>30</v>
      </c>
      <c r="T9" s="7" t="s">
        <v>30</v>
      </c>
      <c r="U9" s="7" t="str">
        <f t="shared" ref="U9:U16" si="3">IF(V9="N/A","N/A"," ")</f>
        <v>N/A</v>
      </c>
      <c r="V9" s="7" t="s">
        <v>30</v>
      </c>
      <c r="W9" s="7" t="s">
        <v>30</v>
      </c>
      <c r="X9" s="7" t="str">
        <f t="shared" ref="X9:X14" si="4">IF(Y9="N/A","N/A"," ")</f>
        <v>N/A</v>
      </c>
      <c r="Y9" s="7" t="s">
        <v>30</v>
      </c>
      <c r="Z9" s="7" t="s">
        <v>30</v>
      </c>
      <c r="AA9" s="8" t="str">
        <f t="shared" ref="AA9:AA14" si="5">IF(AB9="N/A","N/A"," ")</f>
        <v>N/A</v>
      </c>
      <c r="AB9" s="8" t="s">
        <v>30</v>
      </c>
      <c r="AC9" s="9" t="str">
        <f t="shared" ref="AC9:AC14" si="6">IF(AD9="N/A","N/A"," ")</f>
        <v>N/A</v>
      </c>
      <c r="AD9" s="9" t="s">
        <v>30</v>
      </c>
      <c r="AE9" s="9" t="s">
        <v>118</v>
      </c>
      <c r="AF9" s="9">
        <v>2.68</v>
      </c>
      <c r="AG9" s="9" t="str">
        <f t="shared" ref="AG9:AG16" si="7">IF(AH9="N/A","N/A"," ")</f>
        <v>N/A</v>
      </c>
      <c r="AH9" s="9" t="s">
        <v>30</v>
      </c>
      <c r="AI9" s="11"/>
    </row>
    <row r="10" spans="1:35" ht="23.25" customHeight="1">
      <c r="A10" s="3">
        <f>'현장품질관리서 - 세부내역'!A8</f>
        <v>2</v>
      </c>
      <c r="B10" s="4" t="str">
        <f>'현장품질관리서 - 세부내역'!G8</f>
        <v>CD002</v>
      </c>
      <c r="C10" s="14" t="str">
        <f>IF('현장품질관리서 - 세부내역'!H8="","",'현장품질관리서 - 세부내역'!H8)</f>
        <v/>
      </c>
      <c r="D10" s="5" t="str">
        <f>'현장품질관리서 - 세부내역'!B8</f>
        <v>200X200</v>
      </c>
      <c r="E10" s="5" t="str">
        <f>'현장품질관리서 - 세부내역'!C8</f>
        <v>EZ F.B POSMAC Duct-VT-049</v>
      </c>
      <c r="F10" s="5" t="str">
        <f>'현장품질관리서 - 세부내역'!D8</f>
        <v>FS-MP25-0310-3</v>
      </c>
      <c r="G10" s="5" t="str">
        <f>'현장품질관리서 - 세부내역'!E8</f>
        <v>VM200</v>
      </c>
      <c r="H10" s="5" t="str">
        <f>'현장품질관리서 - 세부내역'!F8</f>
        <v>260512-VT-049-002</v>
      </c>
      <c r="I10" s="6" t="s">
        <v>116</v>
      </c>
      <c r="J10" s="6">
        <v>1.2000000000000002</v>
      </c>
      <c r="K10" s="6">
        <v>4</v>
      </c>
      <c r="L10" s="6" t="str">
        <f t="shared" si="0"/>
        <v>N/A</v>
      </c>
      <c r="M10" s="6" t="s">
        <v>30</v>
      </c>
      <c r="N10" s="6" t="s">
        <v>30</v>
      </c>
      <c r="O10" s="7" t="str">
        <f t="shared" si="1"/>
        <v>N/A</v>
      </c>
      <c r="P10" s="7" t="s">
        <v>30</v>
      </c>
      <c r="Q10" s="7" t="s">
        <v>30</v>
      </c>
      <c r="R10" s="7" t="str">
        <f t="shared" si="2"/>
        <v>N/A</v>
      </c>
      <c r="S10" s="7" t="s">
        <v>30</v>
      </c>
      <c r="T10" s="7" t="s">
        <v>30</v>
      </c>
      <c r="U10" s="7" t="str">
        <f t="shared" si="3"/>
        <v>N/A</v>
      </c>
      <c r="V10" s="7" t="s">
        <v>30</v>
      </c>
      <c r="W10" s="7" t="s">
        <v>30</v>
      </c>
      <c r="X10" s="7" t="str">
        <f t="shared" si="4"/>
        <v>N/A</v>
      </c>
      <c r="Y10" s="7" t="s">
        <v>30</v>
      </c>
      <c r="Z10" s="7" t="s">
        <v>30</v>
      </c>
      <c r="AA10" s="8" t="str">
        <f t="shared" si="5"/>
        <v>N/A</v>
      </c>
      <c r="AB10" s="8" t="s">
        <v>30</v>
      </c>
      <c r="AC10" s="9" t="str">
        <f t="shared" si="6"/>
        <v>N/A</v>
      </c>
      <c r="AD10" s="9" t="s">
        <v>30</v>
      </c>
      <c r="AE10" s="9" t="s">
        <v>118</v>
      </c>
      <c r="AF10" s="9">
        <v>3.08</v>
      </c>
      <c r="AG10" s="9" t="str">
        <f t="shared" si="7"/>
        <v>N/A</v>
      </c>
      <c r="AH10" s="9" t="s">
        <v>30</v>
      </c>
      <c r="AI10" s="11"/>
    </row>
    <row r="11" spans="1:35" ht="23.25" customHeight="1">
      <c r="A11" s="3">
        <f>'현장품질관리서 - 세부내역'!A9</f>
        <v>3</v>
      </c>
      <c r="B11" s="4" t="str">
        <f>'현장품질관리서 - 세부내역'!G9</f>
        <v>CD003</v>
      </c>
      <c r="C11" s="14" t="str">
        <f>IF('현장품질관리서 - 세부내역'!H9="","",'현장품질관리서 - 세부내역'!H9)</f>
        <v/>
      </c>
      <c r="D11" s="5" t="str">
        <f>'현장품질관리서 - 세부내역'!B9</f>
        <v>250X200</v>
      </c>
      <c r="E11" s="5" t="str">
        <f>'현장품질관리서 - 세부내역'!C9</f>
        <v>EZ F.B POSMAC Duct-VT-049</v>
      </c>
      <c r="F11" s="5" t="str">
        <f>'현장품질관리서 - 세부내역'!D9</f>
        <v>FS-MP25-0310-3</v>
      </c>
      <c r="G11" s="5" t="str">
        <f>'현장품질관리서 - 세부내역'!E9</f>
        <v>VM200</v>
      </c>
      <c r="H11" s="5" t="str">
        <f>'현장품질관리서 - 세부내역'!F9</f>
        <v>260512-VT-049-003</v>
      </c>
      <c r="I11" s="6" t="s">
        <v>116</v>
      </c>
      <c r="J11" s="6">
        <v>1.3</v>
      </c>
      <c r="K11" s="6">
        <v>4</v>
      </c>
      <c r="L11" s="6" t="str">
        <f t="shared" si="0"/>
        <v>N/A</v>
      </c>
      <c r="M11" s="6" t="s">
        <v>30</v>
      </c>
      <c r="N11" s="6" t="s">
        <v>30</v>
      </c>
      <c r="O11" s="7" t="str">
        <f t="shared" si="1"/>
        <v>N/A</v>
      </c>
      <c r="P11" s="7" t="s">
        <v>30</v>
      </c>
      <c r="Q11" s="7" t="s">
        <v>30</v>
      </c>
      <c r="R11" s="7" t="str">
        <f t="shared" si="2"/>
        <v>N/A</v>
      </c>
      <c r="S11" s="7" t="s">
        <v>30</v>
      </c>
      <c r="T11" s="7" t="s">
        <v>30</v>
      </c>
      <c r="U11" s="7" t="str">
        <f t="shared" si="3"/>
        <v>N/A</v>
      </c>
      <c r="V11" s="7" t="s">
        <v>30</v>
      </c>
      <c r="W11" s="7" t="s">
        <v>30</v>
      </c>
      <c r="X11" s="7" t="str">
        <f t="shared" si="4"/>
        <v>N/A</v>
      </c>
      <c r="Y11" s="7" t="s">
        <v>30</v>
      </c>
      <c r="Z11" s="7" t="s">
        <v>30</v>
      </c>
      <c r="AA11" s="8" t="str">
        <f t="shared" si="5"/>
        <v>N/A</v>
      </c>
      <c r="AB11" s="8" t="s">
        <v>30</v>
      </c>
      <c r="AC11" s="9" t="str">
        <f t="shared" si="6"/>
        <v>N/A</v>
      </c>
      <c r="AD11" s="9" t="s">
        <v>30</v>
      </c>
      <c r="AE11" s="9" t="s">
        <v>121</v>
      </c>
      <c r="AF11" s="9">
        <v>3.28</v>
      </c>
      <c r="AG11" s="9" t="str">
        <f t="shared" si="7"/>
        <v>N/A</v>
      </c>
      <c r="AH11" s="9" t="s">
        <v>30</v>
      </c>
      <c r="AI11" s="11"/>
    </row>
    <row r="12" spans="1:35" ht="23.25" customHeight="1">
      <c r="A12" s="3">
        <f>'현장품질관리서 - 세부내역'!A10</f>
        <v>4</v>
      </c>
      <c r="B12" s="4" t="str">
        <f>'현장품질관리서 - 세부내역'!G10</f>
        <v>CD004</v>
      </c>
      <c r="C12" s="14" t="str">
        <f>IF('현장품질관리서 - 세부내역'!H10="","",'현장품질관리서 - 세부내역'!H10)</f>
        <v/>
      </c>
      <c r="D12" s="5" t="str">
        <f>'현장품질관리서 - 세부내역'!B10</f>
        <v>250X250</v>
      </c>
      <c r="E12" s="5" t="str">
        <f>'현장품질관리서 - 세부내역'!C10</f>
        <v>EZ F.B POSMAC Duct-VT-049</v>
      </c>
      <c r="F12" s="5" t="str">
        <f>'현장품질관리서 - 세부내역'!D10</f>
        <v>FS-MP25-0310-3</v>
      </c>
      <c r="G12" s="5" t="str">
        <f>'현장품질관리서 - 세부내역'!E10</f>
        <v>VM200</v>
      </c>
      <c r="H12" s="5" t="str">
        <f>'현장품질관리서 - 세부내역'!F10</f>
        <v>260512-VT-049-004</v>
      </c>
      <c r="I12" s="6" t="s">
        <v>116</v>
      </c>
      <c r="J12" s="6">
        <v>1.4</v>
      </c>
      <c r="K12" s="6">
        <v>4</v>
      </c>
      <c r="L12" s="6" t="str">
        <f t="shared" si="0"/>
        <v>N/A</v>
      </c>
      <c r="M12" s="6" t="s">
        <v>30</v>
      </c>
      <c r="N12" s="6" t="s">
        <v>30</v>
      </c>
      <c r="O12" s="7" t="str">
        <f t="shared" si="1"/>
        <v>N/A</v>
      </c>
      <c r="P12" s="7" t="s">
        <v>30</v>
      </c>
      <c r="Q12" s="7" t="s">
        <v>30</v>
      </c>
      <c r="R12" s="7" t="str">
        <f t="shared" si="2"/>
        <v>N/A</v>
      </c>
      <c r="S12" s="7" t="s">
        <v>30</v>
      </c>
      <c r="T12" s="7" t="s">
        <v>30</v>
      </c>
      <c r="U12" s="7" t="str">
        <f t="shared" si="3"/>
        <v>N/A</v>
      </c>
      <c r="V12" s="7" t="s">
        <v>30</v>
      </c>
      <c r="W12" s="7" t="s">
        <v>30</v>
      </c>
      <c r="X12" s="7" t="str">
        <f t="shared" si="4"/>
        <v>N/A</v>
      </c>
      <c r="Y12" s="7" t="s">
        <v>30</v>
      </c>
      <c r="Z12" s="7" t="s">
        <v>30</v>
      </c>
      <c r="AA12" s="8" t="str">
        <f t="shared" si="5"/>
        <v>N/A</v>
      </c>
      <c r="AB12" s="8" t="s">
        <v>30</v>
      </c>
      <c r="AC12" s="9" t="str">
        <f t="shared" si="6"/>
        <v>N/A</v>
      </c>
      <c r="AD12" s="9" t="s">
        <v>30</v>
      </c>
      <c r="AE12" s="9" t="s">
        <v>118</v>
      </c>
      <c r="AF12" s="9">
        <v>3.48</v>
      </c>
      <c r="AG12" s="9" t="str">
        <f t="shared" si="7"/>
        <v>N/A</v>
      </c>
      <c r="AH12" s="9" t="s">
        <v>30</v>
      </c>
      <c r="AI12" s="11"/>
    </row>
    <row r="13" spans="1:35" ht="23.25" customHeight="1">
      <c r="A13" s="3">
        <f>'현장품질관리서 - 세부내역'!A11</f>
        <v>5</v>
      </c>
      <c r="B13" s="4" t="str">
        <f>'현장품질관리서 - 세부내역'!G11</f>
        <v>CD005</v>
      </c>
      <c r="C13" s="14" t="str">
        <f>IF('현장품질관리서 - 세부내역'!H11="","",'현장품질관리서 - 세부내역'!H11)</f>
        <v/>
      </c>
      <c r="D13" s="5" t="str">
        <f>'현장품질관리서 - 세부내역'!B11</f>
        <v>450X300</v>
      </c>
      <c r="E13" s="5" t="str">
        <f>'현장품질관리서 - 세부내역'!C11</f>
        <v>EZ F.B POSMAC Duct-VT-049</v>
      </c>
      <c r="F13" s="5" t="str">
        <f>'현장품질관리서 - 세부내역'!D11</f>
        <v>FS-MP25-0310-3</v>
      </c>
      <c r="G13" s="5" t="str">
        <f>'현장품질관리서 - 세부내역'!E11</f>
        <v>VM200</v>
      </c>
      <c r="H13" s="5" t="str">
        <f>'현장품질관리서 - 세부내역'!F11</f>
        <v>260512-VT-049-005</v>
      </c>
      <c r="I13" s="6" t="s">
        <v>116</v>
      </c>
      <c r="J13" s="6">
        <v>1.9</v>
      </c>
      <c r="K13" s="6">
        <v>4</v>
      </c>
      <c r="L13" s="6" t="str">
        <f t="shared" si="0"/>
        <v>N/A</v>
      </c>
      <c r="M13" s="6" t="s">
        <v>30</v>
      </c>
      <c r="N13" s="6" t="s">
        <v>30</v>
      </c>
      <c r="O13" s="7" t="str">
        <f t="shared" si="1"/>
        <v>N/A</v>
      </c>
      <c r="P13" s="7" t="s">
        <v>30</v>
      </c>
      <c r="Q13" s="7" t="s">
        <v>30</v>
      </c>
      <c r="R13" s="7" t="str">
        <f t="shared" si="2"/>
        <v>N/A</v>
      </c>
      <c r="S13" s="7" t="s">
        <v>30</v>
      </c>
      <c r="T13" s="7" t="s">
        <v>30</v>
      </c>
      <c r="U13" s="7" t="str">
        <f t="shared" si="3"/>
        <v>N/A</v>
      </c>
      <c r="V13" s="7" t="s">
        <v>30</v>
      </c>
      <c r="W13" s="7" t="s">
        <v>30</v>
      </c>
      <c r="X13" s="7" t="str">
        <f t="shared" si="4"/>
        <v>N/A</v>
      </c>
      <c r="Y13" s="7" t="s">
        <v>30</v>
      </c>
      <c r="Z13" s="7" t="s">
        <v>30</v>
      </c>
      <c r="AA13" s="8" t="str">
        <f t="shared" si="5"/>
        <v>N/A</v>
      </c>
      <c r="AB13" s="8" t="s">
        <v>30</v>
      </c>
      <c r="AC13" s="9" t="str">
        <f t="shared" si="6"/>
        <v>N/A</v>
      </c>
      <c r="AD13" s="9" t="s">
        <v>30</v>
      </c>
      <c r="AE13" s="9" t="s">
        <v>118</v>
      </c>
      <c r="AF13" s="9">
        <v>4.4800000000000004</v>
      </c>
      <c r="AG13" s="9" t="str">
        <f t="shared" si="7"/>
        <v>N/A</v>
      </c>
      <c r="AH13" s="9" t="s">
        <v>30</v>
      </c>
      <c r="AI13" s="11"/>
    </row>
    <row r="14" spans="1:35" ht="23.25" customHeight="1">
      <c r="A14" s="3">
        <f>'현장품질관리서 - 세부내역'!A12</f>
        <v>6</v>
      </c>
      <c r="B14" s="4" t="str">
        <f>'현장품질관리서 - 세부내역'!G12</f>
        <v>CD006</v>
      </c>
      <c r="C14" s="14" t="str">
        <f>IF('현장품질관리서 - 세부내역'!H12="","",'현장품질관리서 - 세부내역'!H12)</f>
        <v/>
      </c>
      <c r="D14" s="5" t="str">
        <f>'현장품질관리서 - 세부내역'!B12</f>
        <v>600X350</v>
      </c>
      <c r="E14" s="5" t="str">
        <f>'현장품질관리서 - 세부내역'!C12</f>
        <v>EZ F.B POSMAC Duct-VT-049</v>
      </c>
      <c r="F14" s="5" t="str">
        <f>'현장품질관리서 - 세부내역'!D12</f>
        <v>FS-MP25-0310-3</v>
      </c>
      <c r="G14" s="5" t="str">
        <f>'현장품질관리서 - 세부내역'!E12</f>
        <v>VM200</v>
      </c>
      <c r="H14" s="5" t="str">
        <f>'현장품질관리서 - 세부내역'!F12</f>
        <v>260512-VT-049-006</v>
      </c>
      <c r="I14" s="6" t="s">
        <v>116</v>
      </c>
      <c r="J14" s="6">
        <v>2.2999999999999998</v>
      </c>
      <c r="K14" s="6">
        <v>4</v>
      </c>
      <c r="L14" s="6" t="str">
        <f t="shared" si="0"/>
        <v>N/A</v>
      </c>
      <c r="M14" s="6" t="s">
        <v>30</v>
      </c>
      <c r="N14" s="6" t="s">
        <v>30</v>
      </c>
      <c r="O14" s="7" t="str">
        <f t="shared" si="1"/>
        <v>N/A</v>
      </c>
      <c r="P14" s="7" t="s">
        <v>30</v>
      </c>
      <c r="Q14" s="7" t="s">
        <v>30</v>
      </c>
      <c r="R14" s="7" t="str">
        <f t="shared" si="2"/>
        <v>N/A</v>
      </c>
      <c r="S14" s="7" t="s">
        <v>30</v>
      </c>
      <c r="T14" s="7" t="s">
        <v>30</v>
      </c>
      <c r="U14" s="7" t="str">
        <f t="shared" si="3"/>
        <v>N/A</v>
      </c>
      <c r="V14" s="7" t="s">
        <v>30</v>
      </c>
      <c r="W14" s="7" t="s">
        <v>30</v>
      </c>
      <c r="X14" s="7" t="str">
        <f t="shared" si="4"/>
        <v>N/A</v>
      </c>
      <c r="Y14" s="7" t="s">
        <v>30</v>
      </c>
      <c r="Z14" s="7" t="s">
        <v>30</v>
      </c>
      <c r="AA14" s="8" t="str">
        <f t="shared" si="5"/>
        <v>N/A</v>
      </c>
      <c r="AB14" s="8" t="s">
        <v>30</v>
      </c>
      <c r="AC14" s="9" t="str">
        <f t="shared" si="6"/>
        <v>N/A</v>
      </c>
      <c r="AD14" s="9" t="s">
        <v>30</v>
      </c>
      <c r="AE14" s="9" t="s">
        <v>118</v>
      </c>
      <c r="AF14" s="9">
        <v>5.28</v>
      </c>
      <c r="AG14" s="9" t="str">
        <f t="shared" si="7"/>
        <v>N/A</v>
      </c>
      <c r="AH14" s="9" t="s">
        <v>30</v>
      </c>
      <c r="AI14" s="11"/>
    </row>
    <row r="15" spans="1:35" ht="23.25" customHeight="1">
      <c r="A15" s="3">
        <f>'현장품질관리서 - 세부내역'!A13</f>
        <v>7</v>
      </c>
      <c r="B15" s="4" t="str">
        <f>'현장품질관리서 - 세부내역'!G13</f>
        <v>CD007</v>
      </c>
      <c r="C15" s="14" t="str">
        <f>IF('현장품질관리서 - 세부내역'!H13="","",'현장품질관리서 - 세부내역'!H13)</f>
        <v/>
      </c>
      <c r="D15" s="5" t="str">
        <f>'현장품질관리서 - 세부내역'!B13</f>
        <v>300X250</v>
      </c>
      <c r="E15" s="5" t="str">
        <f>'현장품질관리서 - 세부내역'!C13</f>
        <v>EZ-F.B-POSMAC Duct-HTG-064</v>
      </c>
      <c r="F15" s="5" t="str">
        <f>'현장품질관리서 - 세부내역'!D13</f>
        <v>FS-MP25-0910-05</v>
      </c>
      <c r="G15" s="5" t="str">
        <f>'현장품질관리서 - 세부내역'!E13</f>
        <v>HMG300C</v>
      </c>
      <c r="H15" s="5" t="str">
        <f>'현장품질관리서 - 세부내역'!F13</f>
        <v>260512-HTG-064-007</v>
      </c>
      <c r="I15" s="6" t="s">
        <v>116</v>
      </c>
      <c r="J15" s="6">
        <v>1.5</v>
      </c>
      <c r="K15" s="6">
        <v>1</v>
      </c>
      <c r="L15" s="6" t="str">
        <f t="shared" si="0"/>
        <v>N/A</v>
      </c>
      <c r="M15" s="6" t="s">
        <v>30</v>
      </c>
      <c r="N15" s="6" t="s">
        <v>30</v>
      </c>
      <c r="O15" s="7" t="str">
        <f t="shared" si="1"/>
        <v>N/A</v>
      </c>
      <c r="P15" s="7" t="s">
        <v>30</v>
      </c>
      <c r="Q15" s="7" t="s">
        <v>30</v>
      </c>
      <c r="R15" s="7" t="str">
        <f t="shared" si="2"/>
        <v>N/A</v>
      </c>
      <c r="S15" s="7" t="s">
        <v>30</v>
      </c>
      <c r="T15" s="7" t="s">
        <v>30</v>
      </c>
      <c r="U15" s="7" t="str">
        <f t="shared" si="3"/>
        <v>N/A</v>
      </c>
      <c r="V15" s="7" t="s">
        <v>30</v>
      </c>
      <c r="W15" s="7" t="s">
        <v>30</v>
      </c>
      <c r="X15" s="7" t="s">
        <v>123</v>
      </c>
      <c r="Y15" s="7">
        <v>1.6</v>
      </c>
      <c r="Z15" s="7">
        <v>1</v>
      </c>
      <c r="AA15" s="8" t="s">
        <v>124</v>
      </c>
      <c r="AB15" s="8">
        <v>2</v>
      </c>
      <c r="AC15" s="9" t="s">
        <v>125</v>
      </c>
      <c r="AD15" s="9">
        <v>2</v>
      </c>
      <c r="AE15" s="9" t="str">
        <f t="shared" ref="AE15:AE16" si="8">IF(AF15="N/A","N/A"," ")</f>
        <v>N/A</v>
      </c>
      <c r="AF15" s="9" t="s">
        <v>30</v>
      </c>
      <c r="AG15" s="9" t="str">
        <f t="shared" si="7"/>
        <v>N/A</v>
      </c>
      <c r="AH15" s="9" t="s">
        <v>30</v>
      </c>
      <c r="AI15" s="11"/>
    </row>
    <row r="16" spans="1:35" ht="23.25" customHeight="1">
      <c r="A16" s="3">
        <f>'현장품질관리서 - 세부내역'!A14</f>
        <v>8</v>
      </c>
      <c r="B16" s="4" t="str">
        <f>'현장품질관리서 - 세부내역'!G14</f>
        <v>CD008</v>
      </c>
      <c r="C16" s="14" t="str">
        <f>IF('현장품질관리서 - 세부내역'!H14="","",'현장품질관리서 - 세부내역'!H14)</f>
        <v/>
      </c>
      <c r="D16" s="5" t="str">
        <f>'현장품질관리서 - 세부내역'!B14</f>
        <v>350X200</v>
      </c>
      <c r="E16" s="5" t="str">
        <f>'현장품질관리서 - 세부내역'!C14</f>
        <v>EZ-F.B-POSMAC Duct-HTG-064</v>
      </c>
      <c r="F16" s="5" t="str">
        <f>'현장품질관리서 - 세부내역'!D14</f>
        <v>FS-MP25-0910-05</v>
      </c>
      <c r="G16" s="5" t="str">
        <f>'현장품질관리서 - 세부내역'!E14</f>
        <v>HMG300C</v>
      </c>
      <c r="H16" s="5" t="str">
        <f>'현장품질관리서 - 세부내역'!F14</f>
        <v>260512-HTG-064-008</v>
      </c>
      <c r="I16" s="6" t="s">
        <v>116</v>
      </c>
      <c r="J16" s="6">
        <v>1.5</v>
      </c>
      <c r="K16" s="6">
        <v>1</v>
      </c>
      <c r="L16" s="6" t="str">
        <f t="shared" si="0"/>
        <v>N/A</v>
      </c>
      <c r="M16" s="6" t="s">
        <v>30</v>
      </c>
      <c r="N16" s="6" t="s">
        <v>30</v>
      </c>
      <c r="O16" s="7" t="str">
        <f t="shared" si="1"/>
        <v>N/A</v>
      </c>
      <c r="P16" s="7" t="s">
        <v>30</v>
      </c>
      <c r="Q16" s="7" t="s">
        <v>30</v>
      </c>
      <c r="R16" s="7" t="str">
        <f t="shared" si="2"/>
        <v>N/A</v>
      </c>
      <c r="S16" s="7" t="s">
        <v>30</v>
      </c>
      <c r="T16" s="7" t="s">
        <v>30</v>
      </c>
      <c r="U16" s="7" t="str">
        <f t="shared" si="3"/>
        <v>N/A</v>
      </c>
      <c r="V16" s="7" t="s">
        <v>30</v>
      </c>
      <c r="W16" s="7" t="s">
        <v>30</v>
      </c>
      <c r="X16" s="7" t="s">
        <v>122</v>
      </c>
      <c r="Y16" s="7">
        <v>1.6</v>
      </c>
      <c r="Z16" s="7">
        <v>1</v>
      </c>
      <c r="AA16" s="8" t="s">
        <v>119</v>
      </c>
      <c r="AB16" s="8">
        <v>2</v>
      </c>
      <c r="AC16" s="9" t="s">
        <v>120</v>
      </c>
      <c r="AD16" s="9">
        <v>2</v>
      </c>
      <c r="AE16" s="9" t="str">
        <f t="shared" si="8"/>
        <v>N/A</v>
      </c>
      <c r="AF16" s="9" t="s">
        <v>30</v>
      </c>
      <c r="AG16" s="9" t="str">
        <f t="shared" si="7"/>
        <v>N/A</v>
      </c>
      <c r="AH16" s="9" t="s">
        <v>30</v>
      </c>
      <c r="AI16" s="11"/>
    </row>
    <row r="17" spans="1:36" s="13" customFormat="1" ht="12" customHeight="1">
      <c r="A17" s="12"/>
      <c r="B17" s="12"/>
      <c r="C17" s="12"/>
      <c r="D17" s="12"/>
      <c r="E17" s="12"/>
      <c r="F17" s="12"/>
      <c r="G17" s="12"/>
      <c r="H17" s="12"/>
      <c r="I17" s="12"/>
      <c r="J17" s="12" t="str">
        <f>IF(K17="", "", IF(K17&gt;0, "합계", ""))</f>
        <v>합계</v>
      </c>
      <c r="K17" s="13">
        <f>IF(SUMPRODUCT(J9:J16,K9:K16)=0,"",SUMPRODUCT(J9:J16,K9:K16))</f>
        <v>39.400000000000006</v>
      </c>
      <c r="L17" s="12"/>
      <c r="M17" s="12" t="str">
        <f>IF(N17="", "", IF(N17&gt;0, "합계", ""))</f>
        <v/>
      </c>
      <c r="N17" s="13" t="str">
        <f>IF(SUMPRODUCT(M9:M16,N9:N16)=0,"",SUMPRODUCT(M9:M16,N9:N16))</f>
        <v/>
      </c>
      <c r="O17" s="12"/>
      <c r="P17" s="12" t="str">
        <f>IF(Q17="", "", IF(Q17&gt;0, "합계", ""))</f>
        <v/>
      </c>
      <c r="Q17" s="13" t="str">
        <f>IF(SUMPRODUCT(P9:P16,Q9:Q16)=0,"",SUMPRODUCT(P9:P16,Q9:Q16))</f>
        <v/>
      </c>
      <c r="R17" s="12"/>
      <c r="S17" s="12" t="str">
        <f>IF(T17="", "", IF(T17&gt;0, "합계", ""))</f>
        <v/>
      </c>
      <c r="T17" s="13" t="str">
        <f>IF(SUMPRODUCT(S9:S16,T9:T16)=0,"",SUMPRODUCT(S9:S16,T9:T16))</f>
        <v/>
      </c>
      <c r="U17" s="12"/>
      <c r="V17" s="12" t="str">
        <f>IF(W17="", "", IF(W17&gt;0, "합계", ""))</f>
        <v/>
      </c>
      <c r="W17" s="13" t="str">
        <f>IF(SUMPRODUCT(V9:V16,W9:W16)=0,"",SUMPRODUCT(V9:V16,W9:W16))</f>
        <v/>
      </c>
      <c r="X17" s="12"/>
      <c r="Y17" s="12" t="str">
        <f>IF(Z17="", "", IF(Z17&gt;0, "합계", ""))</f>
        <v>합계</v>
      </c>
      <c r="Z17" s="13">
        <f>IF(SUMPRODUCT(Y9:Y16,Z9:Z16)=0,"",SUMPRODUCT(Y9:Y16,Z9:Z16))</f>
        <v>3.2</v>
      </c>
      <c r="AA17" s="12" t="str">
        <f>IF(AB17="", "", IF(AB17&gt;0, "합계", ""))</f>
        <v>합계</v>
      </c>
      <c r="AB17" s="12">
        <f>IF(COUNT(AB9:AB16)=0, "", IF(SUM(AB9:AB16)&gt;=0, ROUNDUP(SUM(AB9:AB16), 0), ""))</f>
        <v>4</v>
      </c>
      <c r="AC17" s="12" t="str">
        <f>IF(AD17="", "", IF(AD17&gt;0, "합계", ""))</f>
        <v>합계</v>
      </c>
      <c r="AD17" s="12">
        <f>IF(COUNT(AD9:AD16)=0, "", IF(SUM(AD9:AD16)&gt;=0, ROUNDUP(SUM(AD9:AD16), 0), ""))</f>
        <v>4</v>
      </c>
      <c r="AE17" s="12" t="str">
        <f>IF(AF17="", "", IF(AF17&gt;0, "합계", ""))</f>
        <v>합계</v>
      </c>
      <c r="AF17" s="12">
        <f>IF(COUNT(AF9:AF16)=0, "", IF(SUM(AF9:AF16)&gt;=0, ROUNDUP(SUM(AF9:AF16), 0), ""))</f>
        <v>23</v>
      </c>
      <c r="AG17" s="12" t="str">
        <f>IF(AH17="", "", IF(AH17&gt;0, "합계", ""))</f>
        <v/>
      </c>
      <c r="AH17" s="12" t="str">
        <f>IF(COUNT(AH9:AH16)=0, "", IF(SUM(AH9:AH16)&gt;=0, ROUNDUP(SUM(AH9:AH16), 0), ""))</f>
        <v/>
      </c>
      <c r="AI17" s="12"/>
      <c r="AJ17" s="15"/>
    </row>
    <row r="18" spans="1:36" ht="24" customHeight="1">
      <c r="A18" s="69" t="s">
        <v>78</v>
      </c>
      <c r="B18" s="50"/>
      <c r="C18" s="67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50"/>
    </row>
    <row r="20" spans="1:36">
      <c r="A20" s="20" t="s">
        <v>31</v>
      </c>
      <c r="N20" s="68" t="s">
        <v>32</v>
      </c>
      <c r="O20" s="59"/>
      <c r="P20" s="59"/>
      <c r="Q20" s="59"/>
      <c r="R20" s="59"/>
      <c r="AC20" s="68" t="s">
        <v>33</v>
      </c>
      <c r="AD20" s="59"/>
      <c r="AE20" s="59"/>
      <c r="AF20" s="59"/>
      <c r="AG20" s="59"/>
      <c r="AH20" s="59"/>
      <c r="AI20" s="59"/>
    </row>
  </sheetData>
  <mergeCells count="29">
    <mergeCell ref="C18:AI18"/>
    <mergeCell ref="N20:R20"/>
    <mergeCell ref="A18:B18"/>
    <mergeCell ref="D7:D8"/>
    <mergeCell ref="H7:H8"/>
    <mergeCell ref="AI7:AI8"/>
    <mergeCell ref="I7:K7"/>
    <mergeCell ref="AA7:AB7"/>
    <mergeCell ref="AG7:AH7"/>
    <mergeCell ref="C7:C8"/>
    <mergeCell ref="E7:E8"/>
    <mergeCell ref="O7:Q7"/>
    <mergeCell ref="AC20:AI20"/>
    <mergeCell ref="AC7:AD7"/>
    <mergeCell ref="AE7:AF7"/>
    <mergeCell ref="A7:A8"/>
    <mergeCell ref="AI2:AI3"/>
    <mergeCell ref="L7:N7"/>
    <mergeCell ref="B7:B8"/>
    <mergeCell ref="F7:F8"/>
    <mergeCell ref="R7:T7"/>
    <mergeCell ref="X7:Z7"/>
    <mergeCell ref="C1:AD3"/>
    <mergeCell ref="AF2:AF3"/>
    <mergeCell ref="G7:G8"/>
    <mergeCell ref="AE2:AE3"/>
    <mergeCell ref="U7:W7"/>
    <mergeCell ref="A1:B3"/>
    <mergeCell ref="H5:AF5"/>
  </mergeCells>
  <phoneticPr fontId="11" type="noConversion"/>
  <pageMargins left="0.75" right="0.75" top="1" bottom="1" header="0.5" footer="0.5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L13"/>
  <sheetViews>
    <sheetView tabSelected="1" topLeftCell="Y1" zoomScaleNormal="100" workbookViewId="0">
      <selection activeCell="AO19" sqref="AO19"/>
    </sheetView>
  </sheetViews>
  <sheetFormatPr defaultRowHeight="16.5"/>
  <cols>
    <col min="1" max="1" width="9" style="38" customWidth="1"/>
    <col min="2" max="2" width="13.5" style="38" customWidth="1"/>
    <col min="3" max="3" width="17.625" style="38" customWidth="1"/>
    <col min="4" max="4" width="28.5" style="38" bestFit="1" customWidth="1"/>
    <col min="5" max="5" width="62" style="38" customWidth="1"/>
    <col min="6" max="6" width="13.5" style="38" customWidth="1"/>
    <col min="7" max="7" width="18.875" style="38" customWidth="1"/>
    <col min="8" max="8" width="17.125" style="38" customWidth="1"/>
    <col min="9" max="9" width="29.25" style="38" customWidth="1"/>
    <col min="10" max="10" width="16.375" style="38" customWidth="1"/>
    <col min="11" max="11" width="12" style="38" customWidth="1"/>
    <col min="12" max="12" width="32" style="38" bestFit="1" customWidth="1"/>
    <col min="13" max="13" width="18" style="38" customWidth="1"/>
    <col min="14" max="14" width="19.5" style="38" customWidth="1"/>
    <col min="15" max="15" width="19.625" style="38" customWidth="1"/>
    <col min="16" max="16" width="18.875" style="38" customWidth="1"/>
    <col min="17" max="17" width="23.375" style="38" bestFit="1" customWidth="1"/>
    <col min="18" max="18" width="58.375" style="38" bestFit="1" customWidth="1"/>
    <col min="19" max="19" width="9" style="38"/>
    <col min="20" max="20" width="58.375" style="38" bestFit="1" customWidth="1"/>
    <col min="21" max="21" width="21.125" style="38" customWidth="1"/>
    <col min="22" max="22" width="9" style="38"/>
    <col min="23" max="23" width="15.875" style="38" customWidth="1"/>
    <col min="24" max="24" width="22" style="38" customWidth="1"/>
    <col min="25" max="25" width="20.375" style="38" customWidth="1"/>
    <col min="26" max="26" width="18.5" style="38" customWidth="1"/>
    <col min="27" max="27" width="19.25" style="38" customWidth="1"/>
    <col min="28" max="28" width="17" style="38" bestFit="1" customWidth="1"/>
    <col min="29" max="33" width="9" style="38"/>
    <col min="34" max="34" width="20.5" style="38" customWidth="1"/>
    <col min="35" max="35" width="15.375" style="38" bestFit="1" customWidth="1"/>
    <col min="36" max="39" width="9" style="38"/>
    <col min="40" max="40" width="16.125" style="38" customWidth="1"/>
    <col min="41" max="41" width="15.375" style="38" bestFit="1" customWidth="1"/>
    <col min="42" max="45" width="9" style="38"/>
    <col min="46" max="46" width="20.875" style="38" customWidth="1"/>
    <col min="47" max="47" width="9" style="38" customWidth="1"/>
    <col min="48" max="51" width="9" style="38"/>
    <col min="52" max="52" width="19.875" style="38" customWidth="1"/>
    <col min="53" max="64" width="9" style="38"/>
    <col min="65" max="65" width="9" style="38" customWidth="1"/>
    <col min="66" max="16384" width="9" style="38"/>
  </cols>
  <sheetData>
    <row r="1" spans="1:64">
      <c r="A1" s="102" t="s">
        <v>160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103"/>
      <c r="BJ1" s="103"/>
      <c r="BK1" s="103"/>
      <c r="BL1" s="103"/>
    </row>
    <row r="2" spans="1:64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</row>
    <row r="3" spans="1:64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</row>
    <row r="4" spans="1:64">
      <c r="A4" s="109" t="s">
        <v>43</v>
      </c>
      <c r="B4" s="118" t="s">
        <v>44</v>
      </c>
      <c r="C4" s="106"/>
      <c r="D4" s="104" t="s">
        <v>45</v>
      </c>
      <c r="E4" s="105"/>
      <c r="F4" s="106"/>
      <c r="G4" s="109" t="s">
        <v>13</v>
      </c>
      <c r="H4" s="108" t="s">
        <v>46</v>
      </c>
      <c r="I4" s="105"/>
      <c r="J4" s="106"/>
      <c r="K4" s="107" t="s">
        <v>47</v>
      </c>
      <c r="L4" s="105"/>
      <c r="M4" s="105"/>
      <c r="N4" s="105"/>
      <c r="O4" s="105"/>
      <c r="P4" s="106"/>
      <c r="Q4" s="114" t="s">
        <v>48</v>
      </c>
      <c r="R4" s="106"/>
      <c r="S4" s="116" t="s">
        <v>49</v>
      </c>
      <c r="T4" s="106"/>
      <c r="U4" s="111" t="s">
        <v>50</v>
      </c>
      <c r="V4" s="105"/>
      <c r="W4" s="105"/>
      <c r="X4" s="105"/>
      <c r="Y4" s="105"/>
      <c r="Z4" s="106"/>
      <c r="AA4" s="119" t="s">
        <v>51</v>
      </c>
      <c r="AB4" s="105"/>
      <c r="AC4" s="105"/>
      <c r="AD4" s="105"/>
      <c r="AE4" s="105"/>
      <c r="AF4" s="105"/>
      <c r="AG4" s="106"/>
      <c r="AH4" s="117" t="s">
        <v>52</v>
      </c>
      <c r="AI4" s="105"/>
      <c r="AJ4" s="105"/>
      <c r="AK4" s="105"/>
      <c r="AL4" s="105"/>
      <c r="AM4" s="106"/>
      <c r="AN4" s="112" t="s">
        <v>53</v>
      </c>
      <c r="AO4" s="105"/>
      <c r="AP4" s="105"/>
      <c r="AQ4" s="105"/>
      <c r="AR4" s="105"/>
      <c r="AS4" s="106"/>
      <c r="AT4" s="113" t="s">
        <v>54</v>
      </c>
      <c r="AU4" s="105"/>
      <c r="AV4" s="105"/>
      <c r="AW4" s="105"/>
      <c r="AX4" s="105"/>
      <c r="AY4" s="106"/>
      <c r="AZ4" s="115" t="s">
        <v>55</v>
      </c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6"/>
      <c r="BL4" s="109" t="s">
        <v>26</v>
      </c>
    </row>
    <row r="5" spans="1:64" ht="48" customHeight="1">
      <c r="A5" s="110"/>
      <c r="B5" s="32" t="s">
        <v>6</v>
      </c>
      <c r="C5" s="32" t="s">
        <v>56</v>
      </c>
      <c r="D5" s="33" t="s">
        <v>7</v>
      </c>
      <c r="E5" s="33" t="s">
        <v>8</v>
      </c>
      <c r="F5" s="33" t="s">
        <v>57</v>
      </c>
      <c r="G5" s="110"/>
      <c r="H5" s="34" t="s">
        <v>58</v>
      </c>
      <c r="I5" s="34" t="s">
        <v>59</v>
      </c>
      <c r="J5" s="34" t="s">
        <v>42</v>
      </c>
      <c r="K5" s="35" t="s">
        <v>58</v>
      </c>
      <c r="L5" s="35" t="s">
        <v>60</v>
      </c>
      <c r="M5" s="35" t="s">
        <v>61</v>
      </c>
      <c r="N5" s="35" t="s">
        <v>62</v>
      </c>
      <c r="O5" s="35" t="s">
        <v>63</v>
      </c>
      <c r="P5" s="35" t="s">
        <v>64</v>
      </c>
      <c r="Q5" s="35" t="s">
        <v>58</v>
      </c>
      <c r="R5" s="35" t="s">
        <v>65</v>
      </c>
      <c r="S5" s="35" t="s">
        <v>58</v>
      </c>
      <c r="T5" s="35" t="s">
        <v>66</v>
      </c>
      <c r="U5" s="36" t="s">
        <v>58</v>
      </c>
      <c r="V5" s="36" t="s">
        <v>67</v>
      </c>
      <c r="W5" s="36" t="s">
        <v>68</v>
      </c>
      <c r="X5" s="36" t="s">
        <v>69</v>
      </c>
      <c r="Y5" s="36" t="s">
        <v>70</v>
      </c>
      <c r="Z5" s="36" t="s">
        <v>71</v>
      </c>
      <c r="AA5" s="36" t="s">
        <v>58</v>
      </c>
      <c r="AB5" s="36" t="s">
        <v>50</v>
      </c>
      <c r="AC5" s="36" t="s">
        <v>70</v>
      </c>
      <c r="AD5" s="36" t="s">
        <v>68</v>
      </c>
      <c r="AE5" s="36" t="s">
        <v>47</v>
      </c>
      <c r="AF5" s="36" t="s">
        <v>48</v>
      </c>
      <c r="AG5" s="36" t="s">
        <v>49</v>
      </c>
      <c r="AH5" s="36" t="s">
        <v>58</v>
      </c>
      <c r="AI5" s="36" t="s">
        <v>50</v>
      </c>
      <c r="AJ5" s="36" t="s">
        <v>68</v>
      </c>
      <c r="AK5" s="36" t="s">
        <v>47</v>
      </c>
      <c r="AL5" s="36" t="s">
        <v>48</v>
      </c>
      <c r="AM5" s="36" t="s">
        <v>49</v>
      </c>
      <c r="AN5" s="36" t="s">
        <v>58</v>
      </c>
      <c r="AO5" s="36" t="s">
        <v>50</v>
      </c>
      <c r="AP5" s="36" t="s">
        <v>68</v>
      </c>
      <c r="AQ5" s="36" t="s">
        <v>47</v>
      </c>
      <c r="AR5" s="36" t="s">
        <v>48</v>
      </c>
      <c r="AS5" s="36" t="s">
        <v>49</v>
      </c>
      <c r="AT5" s="36" t="s">
        <v>58</v>
      </c>
      <c r="AU5" s="36" t="s">
        <v>50</v>
      </c>
      <c r="AV5" s="36" t="s">
        <v>68</v>
      </c>
      <c r="AW5" s="36" t="s">
        <v>47</v>
      </c>
      <c r="AX5" s="36" t="s">
        <v>48</v>
      </c>
      <c r="AY5" s="36" t="s">
        <v>49</v>
      </c>
      <c r="AZ5" s="34" t="s">
        <v>58</v>
      </c>
      <c r="BA5" s="34" t="s">
        <v>59</v>
      </c>
      <c r="BB5" s="34" t="s">
        <v>82</v>
      </c>
      <c r="BC5" s="34" t="s">
        <v>83</v>
      </c>
      <c r="BD5" s="34" t="s">
        <v>72</v>
      </c>
      <c r="BE5" s="34" t="s">
        <v>73</v>
      </c>
      <c r="BF5" s="34" t="s">
        <v>74</v>
      </c>
      <c r="BG5" s="34" t="s">
        <v>75</v>
      </c>
      <c r="BH5" s="34" t="s">
        <v>51</v>
      </c>
      <c r="BI5" s="34" t="s">
        <v>52</v>
      </c>
      <c r="BJ5" s="34" t="s">
        <v>76</v>
      </c>
      <c r="BK5" s="34" t="s">
        <v>77</v>
      </c>
      <c r="BL5" s="110"/>
    </row>
    <row r="6" spans="1:64" ht="24" customHeight="1">
      <c r="A6" s="37">
        <v>1</v>
      </c>
      <c r="B6" s="37" t="str">
        <f>'현장품질관리서 - 세부내역'!$G$1</f>
        <v>26. 05. 22</v>
      </c>
      <c r="C6" s="37" t="s">
        <v>30</v>
      </c>
      <c r="D6" s="37" t="str">
        <f>'현장품질관리서 - 세부내역'!$G$3</f>
        <v>㈜엘티엔지니어링</v>
      </c>
      <c r="E6" s="37" t="str">
        <f>'현장품질관리서 - 세부내역'!$G$2</f>
        <v>수원10비행단</v>
      </c>
      <c r="F6" s="37" t="s">
        <v>183</v>
      </c>
      <c r="G6" s="37" t="str">
        <f>IFERROR(INDEX('현장품질관리서 - 세부내역'!$B$7:$B$143,MATCH(I6,'현장품질관리서 - 세부내역'!$F$7:$F$143,0)),"N/A")</f>
        <v>150X150</v>
      </c>
      <c r="H6" s="37" t="s">
        <v>30</v>
      </c>
      <c r="I6" s="37" t="str">
        <f>'현장품질관리서 - 세부내역'!$F$7</f>
        <v>260512-VT-049-001</v>
      </c>
      <c r="J6" s="37" t="str">
        <f>IFERROR(VLOOKUP(I6,'현장품질관리서 - 세부내역'!$F$7:$G$143,2,0),"N/A")</f>
        <v>CD001</v>
      </c>
      <c r="K6" s="37" t="s">
        <v>170</v>
      </c>
      <c r="L6" s="37" t="s">
        <v>144</v>
      </c>
      <c r="M6" s="37" t="s">
        <v>176</v>
      </c>
      <c r="N6" s="37" t="s">
        <v>177</v>
      </c>
      <c r="O6" s="37" t="s">
        <v>178</v>
      </c>
      <c r="P6" s="37" t="s">
        <v>179</v>
      </c>
      <c r="Q6" s="37" t="s">
        <v>170</v>
      </c>
      <c r="R6" s="37" t="s">
        <v>169</v>
      </c>
      <c r="S6" s="37" t="s">
        <v>161</v>
      </c>
      <c r="T6" s="37" t="s">
        <v>144</v>
      </c>
      <c r="U6" s="37" t="s">
        <v>142</v>
      </c>
      <c r="V6" s="37" t="s">
        <v>134</v>
      </c>
      <c r="W6" s="37" t="s">
        <v>143</v>
      </c>
      <c r="X6" s="37" t="s">
        <v>144</v>
      </c>
      <c r="Y6" s="37" t="s">
        <v>145</v>
      </c>
      <c r="Z6" s="37" t="s">
        <v>146</v>
      </c>
      <c r="AA6" s="37" t="str">
        <f>IF(AB6="N/A","N/A",MID(AB6,2,2)&amp;". "&amp;MID(AB6,4,2)&amp;". "&amp;MID(AB6,6,2))</f>
        <v>N/A</v>
      </c>
      <c r="AB6" s="37" t="str">
        <f>BH6</f>
        <v>N/A</v>
      </c>
      <c r="AC6" s="37" t="s">
        <v>30</v>
      </c>
      <c r="AD6" s="37" t="s">
        <v>30</v>
      </c>
      <c r="AE6" s="37" t="s">
        <v>30</v>
      </c>
      <c r="AF6" s="37" t="s">
        <v>30</v>
      </c>
      <c r="AG6" s="37" t="s">
        <v>30</v>
      </c>
      <c r="AH6" s="37" t="str">
        <f>IF(AI6="N/A","N/A",MID(AI6,2,2)&amp;". "&amp;MID(AI6,4,2)&amp;". "&amp;MID(AI6,6,2))</f>
        <v>N/A</v>
      </c>
      <c r="AI6" s="37" t="str">
        <f>BI6</f>
        <v>N/A</v>
      </c>
      <c r="AJ6" s="37" t="s">
        <v>30</v>
      </c>
      <c r="AK6" s="37" t="s">
        <v>30</v>
      </c>
      <c r="AL6" s="37" t="s">
        <v>30</v>
      </c>
      <c r="AM6" s="37" t="s">
        <v>30</v>
      </c>
      <c r="AN6" s="37" t="str">
        <f>IF(AO6="N/A","N/A",MID(AO6,2,2)&amp;". "&amp;MID(AO6,4,2)&amp;". "&amp;MID(AO6,6,2))</f>
        <v>26. 05. 14</v>
      </c>
      <c r="AO6" s="37" t="str">
        <f>BJ6</f>
        <v>J260514F03</v>
      </c>
      <c r="AP6" s="37" t="s">
        <v>127</v>
      </c>
      <c r="AQ6" s="37" t="s">
        <v>128</v>
      </c>
      <c r="AR6" s="37" t="s">
        <v>128</v>
      </c>
      <c r="AS6" s="37" t="s">
        <v>128</v>
      </c>
      <c r="AT6" s="37" t="str">
        <f>IF(AU6="N/A","N/A",MID(AU6,2,2)&amp;". "&amp;MID(AU6,4,2)&amp;". "&amp;MID(AU6,6,2))</f>
        <v>N/A</v>
      </c>
      <c r="AU6" s="37" t="str">
        <f>BK6</f>
        <v>N/A</v>
      </c>
      <c r="AV6" s="37" t="s">
        <v>30</v>
      </c>
      <c r="AW6" s="37" t="s">
        <v>30</v>
      </c>
      <c r="AX6" s="37" t="s">
        <v>30</v>
      </c>
      <c r="AY6" s="37" t="s">
        <v>30</v>
      </c>
      <c r="AZ6" s="37" t="str">
        <f>H6</f>
        <v>N/A</v>
      </c>
      <c r="BA6" s="37" t="str">
        <f>I6</f>
        <v>260512-VT-049-001</v>
      </c>
      <c r="BB6" s="37" t="str">
        <f>IFERROR(VLOOKUP(I6,'품질관리서 - 세부내역'!$H$9:$I$143,2,0),"N/A")</f>
        <v>260416GW001</v>
      </c>
      <c r="BC6" s="37" t="str">
        <f>IFERROR(VLOOKUP(I6,'품질관리서 - 세부내역'!$H$9:$L$143,5,0),"N/A")</f>
        <v>N/A</v>
      </c>
      <c r="BD6" s="37" t="str">
        <f>IFERROR(VLOOKUP(I6,'품질관리서 - 세부내역'!$H$9:$O$143,8,0),"N/A")</f>
        <v>N/A</v>
      </c>
      <c r="BE6" s="37" t="str">
        <f>IFERROR(VLOOKUP(I6,'품질관리서 - 세부내역'!$H$9:$R$143,11,0),"N/A")</f>
        <v>N/A</v>
      </c>
      <c r="BF6" s="37" t="str">
        <f>IFERROR(VLOOKUP(I6,'품질관리서 - 세부내역'!$H$9:$U$143,14,0),"N/A")</f>
        <v>N/A</v>
      </c>
      <c r="BG6" s="37" t="str">
        <f>IFERROR(VLOOKUP(I6,'품질관리서 - 세부내역'!$H$9:$X$143,17,0),"N/A")</f>
        <v>N/A</v>
      </c>
      <c r="BH6" s="37" t="str">
        <f>IFERROR(VLOOKUP(I6,'품질관리서 - 세부내역'!$H$9:$AA$143,20,0),"N/A")</f>
        <v>N/A</v>
      </c>
      <c r="BI6" s="37" t="str">
        <f>IFERROR(VLOOKUP(I6,'품질관리서 - 세부내역'!$H$9:$AC$143,22,0),"N/A")</f>
        <v>N/A</v>
      </c>
      <c r="BJ6" s="37" t="str">
        <f>IFERROR(VLOOKUP(I6,'품질관리서 - 세부내역'!$H$9:$AE$143,24,0),"N/A")</f>
        <v>J260514F03</v>
      </c>
      <c r="BK6" s="37" t="str">
        <f>IFERROR(VLOOKUP(I6,'품질관리서 - 세부내역'!$H$9:$AG$143,26,0),"N/A")</f>
        <v>N/A</v>
      </c>
      <c r="BL6" s="37" t="s">
        <v>30</v>
      </c>
    </row>
    <row r="7" spans="1:64" ht="24" customHeight="1">
      <c r="A7" s="37">
        <v>2</v>
      </c>
      <c r="B7" s="37" t="str">
        <f>'현장품질관리서 - 세부내역'!$G$1</f>
        <v>26. 05. 22</v>
      </c>
      <c r="C7" s="37" t="s">
        <v>30</v>
      </c>
      <c r="D7" s="37" t="str">
        <f>'현장품질관리서 - 세부내역'!$G$3</f>
        <v>㈜엘티엔지니어링</v>
      </c>
      <c r="E7" s="37" t="str">
        <f>'현장품질관리서 - 세부내역'!$G$2</f>
        <v>수원10비행단</v>
      </c>
      <c r="F7" s="37" t="s">
        <v>183</v>
      </c>
      <c r="G7" s="37" t="str">
        <f>IFERROR(INDEX('현장품질관리서 - 세부내역'!$B$7:$B$143,MATCH(I7,'현장품질관리서 - 세부내역'!$F$7:$F$143,0)),"N/A")</f>
        <v>200X200</v>
      </c>
      <c r="H7" s="37" t="s">
        <v>30</v>
      </c>
      <c r="I7" s="37" t="str">
        <f>'현장품질관리서 - 세부내역'!$F$8</f>
        <v>260512-VT-049-002</v>
      </c>
      <c r="J7" s="37" t="str">
        <f>IFERROR(VLOOKUP(I7,'현장품질관리서 - 세부내역'!$F$7:$G$143,2,0),"N/A")</f>
        <v>CD002</v>
      </c>
      <c r="K7" s="37" t="s">
        <v>170</v>
      </c>
      <c r="L7" s="37" t="s">
        <v>144</v>
      </c>
      <c r="M7" s="37" t="s">
        <v>176</v>
      </c>
      <c r="N7" s="37" t="s">
        <v>177</v>
      </c>
      <c r="O7" s="37" t="s">
        <v>178</v>
      </c>
      <c r="P7" s="37" t="s">
        <v>179</v>
      </c>
      <c r="Q7" s="37" t="s">
        <v>170</v>
      </c>
      <c r="R7" s="37" t="s">
        <v>144</v>
      </c>
      <c r="S7" s="37" t="s">
        <v>161</v>
      </c>
      <c r="T7" s="37" t="s">
        <v>144</v>
      </c>
      <c r="U7" s="37" t="s">
        <v>142</v>
      </c>
      <c r="V7" s="37" t="s">
        <v>135</v>
      </c>
      <c r="W7" s="37" t="s">
        <v>147</v>
      </c>
      <c r="X7" s="37" t="s">
        <v>144</v>
      </c>
      <c r="Y7" s="37" t="s">
        <v>145</v>
      </c>
      <c r="Z7" s="37" t="s">
        <v>146</v>
      </c>
      <c r="AA7" s="37" t="str">
        <f t="shared" ref="AA7:AA13" si="0">IF(AB7="N/A","N/A",MID(AB7,2,2)&amp;". "&amp;MID(AB7,4,2)&amp;". "&amp;MID(AB7,6,2))</f>
        <v>N/A</v>
      </c>
      <c r="AB7" s="37" t="str">
        <f t="shared" ref="AB7:AB13" si="1">BH7</f>
        <v>N/A</v>
      </c>
      <c r="AC7" s="37" t="s">
        <v>30</v>
      </c>
      <c r="AD7" s="37" t="s">
        <v>30</v>
      </c>
      <c r="AE7" s="37" t="s">
        <v>30</v>
      </c>
      <c r="AF7" s="37" t="s">
        <v>30</v>
      </c>
      <c r="AG7" s="37" t="s">
        <v>30</v>
      </c>
      <c r="AH7" s="37" t="str">
        <f t="shared" ref="AH7:AH13" si="2">IF(AI7="N/A","N/A",MID(AI7,2,2)&amp;". "&amp;MID(AI7,4,2)&amp;". "&amp;MID(AI7,6,2))</f>
        <v>N/A</v>
      </c>
      <c r="AI7" s="37" t="str">
        <f t="shared" ref="AI7:AI13" si="3">BI7</f>
        <v>N/A</v>
      </c>
      <c r="AJ7" s="37" t="s">
        <v>30</v>
      </c>
      <c r="AK7" s="37" t="s">
        <v>30</v>
      </c>
      <c r="AL7" s="37" t="s">
        <v>30</v>
      </c>
      <c r="AM7" s="37" t="s">
        <v>30</v>
      </c>
      <c r="AN7" s="37" t="str">
        <f t="shared" ref="AN7:AN13" si="4">IF(AO7="N/A","N/A",MID(AO7,2,2)&amp;". "&amp;MID(AO7,4,2)&amp;". "&amp;MID(AO7,6,2))</f>
        <v>26. 05. 14</v>
      </c>
      <c r="AO7" s="37" t="str">
        <f t="shared" ref="AO7:AO13" si="5">BJ7</f>
        <v>J260514F03</v>
      </c>
      <c r="AP7" s="37" t="s">
        <v>127</v>
      </c>
      <c r="AQ7" s="37" t="s">
        <v>128</v>
      </c>
      <c r="AR7" s="37" t="s">
        <v>128</v>
      </c>
      <c r="AS7" s="37" t="s">
        <v>128</v>
      </c>
      <c r="AT7" s="37" t="str">
        <f t="shared" ref="AT7:AT13" si="6">IF(AU7="N/A","N/A",MID(AU7,2,2)&amp;". "&amp;MID(AU7,4,2)&amp;". "&amp;MID(AU7,6,2))</f>
        <v>N/A</v>
      </c>
      <c r="AU7" s="37" t="str">
        <f t="shared" ref="AU7:AU13" si="7">BK7</f>
        <v>N/A</v>
      </c>
      <c r="AV7" s="37" t="s">
        <v>30</v>
      </c>
      <c r="AW7" s="37" t="s">
        <v>30</v>
      </c>
      <c r="AX7" s="37" t="s">
        <v>30</v>
      </c>
      <c r="AY7" s="37" t="s">
        <v>30</v>
      </c>
      <c r="AZ7" s="37" t="str">
        <f t="shared" ref="AZ7:AZ13" si="8">H7</f>
        <v>N/A</v>
      </c>
      <c r="BA7" s="37" t="str">
        <f t="shared" ref="BA7:BA13" si="9">I7</f>
        <v>260512-VT-049-002</v>
      </c>
      <c r="BB7" s="37" t="str">
        <f>IFERROR(VLOOKUP(I7,'품질관리서 - 세부내역'!$H$9:$I$143,2,0),"N/A")</f>
        <v>260416GW001</v>
      </c>
      <c r="BC7" s="37" t="str">
        <f>IFERROR(VLOOKUP(I7,'품질관리서 - 세부내역'!$H$9:$L$143,5,0),"N/A")</f>
        <v>N/A</v>
      </c>
      <c r="BD7" s="37" t="str">
        <f>IFERROR(VLOOKUP(I7,'품질관리서 - 세부내역'!$H$9:$O$143,8,0),"N/A")</f>
        <v>N/A</v>
      </c>
      <c r="BE7" s="37" t="str">
        <f>IFERROR(VLOOKUP(I7,'품질관리서 - 세부내역'!$H$9:$R$143,11,0),"N/A")</f>
        <v>N/A</v>
      </c>
      <c r="BF7" s="37" t="str">
        <f>IFERROR(VLOOKUP(I7,'품질관리서 - 세부내역'!$H$9:$U$143,14,0),"N/A")</f>
        <v>N/A</v>
      </c>
      <c r="BG7" s="37" t="str">
        <f>IFERROR(VLOOKUP(I7,'품질관리서 - 세부내역'!$H$9:$X$143,17,0),"N/A")</f>
        <v>N/A</v>
      </c>
      <c r="BH7" s="37" t="str">
        <f>IFERROR(VLOOKUP(I7,'품질관리서 - 세부내역'!$H$9:$AA$143,20,0),"N/A")</f>
        <v>N/A</v>
      </c>
      <c r="BI7" s="37" t="str">
        <f>IFERROR(VLOOKUP(I7,'품질관리서 - 세부내역'!$H$9:$AC$143,22,0),"N/A")</f>
        <v>N/A</v>
      </c>
      <c r="BJ7" s="37" t="str">
        <f>IFERROR(VLOOKUP(I7,'품질관리서 - 세부내역'!$H$9:$AE$143,24,0),"N/A")</f>
        <v>J260514F03</v>
      </c>
      <c r="BK7" s="37" t="str">
        <f>IFERROR(VLOOKUP(I7,'품질관리서 - 세부내역'!$H$9:$AG$143,26,0),"N/A")</f>
        <v>N/A</v>
      </c>
      <c r="BL7" s="37" t="s">
        <v>30</v>
      </c>
    </row>
    <row r="8" spans="1:64" ht="24" customHeight="1">
      <c r="A8" s="37">
        <v>3</v>
      </c>
      <c r="B8" s="37" t="str">
        <f>'현장품질관리서 - 세부내역'!$G$1</f>
        <v>26. 05. 22</v>
      </c>
      <c r="C8" s="37" t="s">
        <v>30</v>
      </c>
      <c r="D8" s="37" t="str">
        <f>'현장품질관리서 - 세부내역'!$G$3</f>
        <v>㈜엘티엔지니어링</v>
      </c>
      <c r="E8" s="37" t="str">
        <f>'현장품질관리서 - 세부내역'!$G$2</f>
        <v>수원10비행단</v>
      </c>
      <c r="F8" s="37" t="s">
        <v>183</v>
      </c>
      <c r="G8" s="37" t="str">
        <f>IFERROR(INDEX('현장품질관리서 - 세부내역'!$B$7:$B$143,MATCH(I8,'현장품질관리서 - 세부내역'!$F$7:$F$143,0)),"N/A")</f>
        <v>250X200</v>
      </c>
      <c r="H8" s="37" t="s">
        <v>30</v>
      </c>
      <c r="I8" s="37" t="str">
        <f>'현장품질관리서 - 세부내역'!$F$9</f>
        <v>260512-VT-049-003</v>
      </c>
      <c r="J8" s="37" t="str">
        <f>IFERROR(VLOOKUP(I8,'현장품질관리서 - 세부내역'!$F$7:$G$143,2,0),"N/A")</f>
        <v>CD003</v>
      </c>
      <c r="K8" s="37" t="s">
        <v>170</v>
      </c>
      <c r="L8" s="37" t="s">
        <v>163</v>
      </c>
      <c r="M8" s="37" t="s">
        <v>176</v>
      </c>
      <c r="N8" s="37" t="s">
        <v>177</v>
      </c>
      <c r="O8" s="37" t="s">
        <v>178</v>
      </c>
      <c r="P8" s="37" t="s">
        <v>179</v>
      </c>
      <c r="Q8" s="37" t="s">
        <v>172</v>
      </c>
      <c r="R8" s="37" t="s">
        <v>164</v>
      </c>
      <c r="S8" s="37" t="s">
        <v>161</v>
      </c>
      <c r="T8" s="37" t="s">
        <v>162</v>
      </c>
      <c r="U8" s="37" t="s">
        <v>142</v>
      </c>
      <c r="V8" s="37" t="s">
        <v>136</v>
      </c>
      <c r="W8" s="37" t="s">
        <v>148</v>
      </c>
      <c r="X8" s="37" t="s">
        <v>149</v>
      </c>
      <c r="Y8" s="37" t="s">
        <v>145</v>
      </c>
      <c r="Z8" s="37" t="s">
        <v>146</v>
      </c>
      <c r="AA8" s="37" t="str">
        <f t="shared" si="0"/>
        <v>N/A</v>
      </c>
      <c r="AB8" s="37" t="str">
        <f t="shared" si="1"/>
        <v>N/A</v>
      </c>
      <c r="AC8" s="37" t="s">
        <v>30</v>
      </c>
      <c r="AD8" s="37" t="s">
        <v>30</v>
      </c>
      <c r="AE8" s="37" t="s">
        <v>30</v>
      </c>
      <c r="AF8" s="37" t="s">
        <v>30</v>
      </c>
      <c r="AG8" s="37" t="s">
        <v>30</v>
      </c>
      <c r="AH8" s="37" t="str">
        <f t="shared" si="2"/>
        <v>N/A</v>
      </c>
      <c r="AI8" s="37" t="str">
        <f t="shared" si="3"/>
        <v>N/A</v>
      </c>
      <c r="AJ8" s="37" t="s">
        <v>30</v>
      </c>
      <c r="AK8" s="37" t="s">
        <v>30</v>
      </c>
      <c r="AL8" s="37" t="s">
        <v>30</v>
      </c>
      <c r="AM8" s="37" t="s">
        <v>30</v>
      </c>
      <c r="AN8" s="37" t="str">
        <f t="shared" si="4"/>
        <v>26. 05. 14</v>
      </c>
      <c r="AO8" s="37" t="str">
        <f t="shared" si="5"/>
        <v>J260514F03</v>
      </c>
      <c r="AP8" s="37" t="s">
        <v>127</v>
      </c>
      <c r="AQ8" s="37" t="s">
        <v>128</v>
      </c>
      <c r="AR8" s="37" t="s">
        <v>128</v>
      </c>
      <c r="AS8" s="37" t="s">
        <v>128</v>
      </c>
      <c r="AT8" s="37" t="str">
        <f t="shared" si="6"/>
        <v>N/A</v>
      </c>
      <c r="AU8" s="37" t="str">
        <f t="shared" si="7"/>
        <v>N/A</v>
      </c>
      <c r="AV8" s="37" t="s">
        <v>30</v>
      </c>
      <c r="AW8" s="37" t="s">
        <v>30</v>
      </c>
      <c r="AX8" s="37" t="s">
        <v>30</v>
      </c>
      <c r="AY8" s="37" t="s">
        <v>30</v>
      </c>
      <c r="AZ8" s="37" t="str">
        <f t="shared" si="8"/>
        <v>N/A</v>
      </c>
      <c r="BA8" s="37" t="str">
        <f t="shared" si="9"/>
        <v>260512-VT-049-003</v>
      </c>
      <c r="BB8" s="37" t="str">
        <f>IFERROR(VLOOKUP(I8,'품질관리서 - 세부내역'!$H$9:$I$143,2,0),"N/A")</f>
        <v>260416GW001</v>
      </c>
      <c r="BC8" s="37" t="str">
        <f>IFERROR(VLOOKUP(I8,'품질관리서 - 세부내역'!$H$9:$L$143,5,0),"N/A")</f>
        <v>N/A</v>
      </c>
      <c r="BD8" s="37" t="str">
        <f>IFERROR(VLOOKUP(I8,'품질관리서 - 세부내역'!$H$9:$O$143,8,0),"N/A")</f>
        <v>N/A</v>
      </c>
      <c r="BE8" s="37" t="str">
        <f>IFERROR(VLOOKUP(I8,'품질관리서 - 세부내역'!$H$9:$R$143,11,0),"N/A")</f>
        <v>N/A</v>
      </c>
      <c r="BF8" s="37" t="str">
        <f>IFERROR(VLOOKUP(I8,'품질관리서 - 세부내역'!$H$9:$U$143,14,0),"N/A")</f>
        <v>N/A</v>
      </c>
      <c r="BG8" s="37" t="str">
        <f>IFERROR(VLOOKUP(I8,'품질관리서 - 세부내역'!$H$9:$X$143,17,0),"N/A")</f>
        <v>N/A</v>
      </c>
      <c r="BH8" s="37" t="str">
        <f>IFERROR(VLOOKUP(I8,'품질관리서 - 세부내역'!$H$9:$AA$143,20,0),"N/A")</f>
        <v>N/A</v>
      </c>
      <c r="BI8" s="37" t="str">
        <f>IFERROR(VLOOKUP(I8,'품질관리서 - 세부내역'!$H$9:$AC$143,22,0),"N/A")</f>
        <v>N/A</v>
      </c>
      <c r="BJ8" s="37" t="str">
        <f>IFERROR(VLOOKUP(I8,'품질관리서 - 세부내역'!$H$9:$AE$143,24,0),"N/A")</f>
        <v>J260514F03</v>
      </c>
      <c r="BK8" s="37" t="str">
        <f>IFERROR(VLOOKUP(I8,'품질관리서 - 세부내역'!$H$9:$AG$143,26,0),"N/A")</f>
        <v>N/A</v>
      </c>
      <c r="BL8" s="37" t="s">
        <v>30</v>
      </c>
    </row>
    <row r="9" spans="1:64" ht="24" customHeight="1">
      <c r="A9" s="37">
        <v>4</v>
      </c>
      <c r="B9" s="37" t="str">
        <f>'현장품질관리서 - 세부내역'!$G$1</f>
        <v>26. 05. 22</v>
      </c>
      <c r="C9" s="37" t="s">
        <v>30</v>
      </c>
      <c r="D9" s="37" t="str">
        <f>'현장품질관리서 - 세부내역'!$G$3</f>
        <v>㈜엘티엔지니어링</v>
      </c>
      <c r="E9" s="37" t="str">
        <f>'현장품질관리서 - 세부내역'!$G$2</f>
        <v>수원10비행단</v>
      </c>
      <c r="F9" s="37" t="s">
        <v>183</v>
      </c>
      <c r="G9" s="37" t="str">
        <f>IFERROR(INDEX('현장품질관리서 - 세부내역'!$B$7:$B$143,MATCH(I9,'현장품질관리서 - 세부내역'!$F$7:$F$143,0)),"N/A")</f>
        <v>250X250</v>
      </c>
      <c r="H9" s="37" t="s">
        <v>30</v>
      </c>
      <c r="I9" s="37" t="str">
        <f>'현장품질관리서 - 세부내역'!$F$10</f>
        <v>260512-VT-049-004</v>
      </c>
      <c r="J9" s="37" t="str">
        <f>IFERROR(VLOOKUP(I9,'현장품질관리서 - 세부내역'!$F$7:$G$143,2,0),"N/A")</f>
        <v>CD004</v>
      </c>
      <c r="K9" s="37" t="s">
        <v>170</v>
      </c>
      <c r="L9" s="37" t="s">
        <v>165</v>
      </c>
      <c r="M9" s="37" t="s">
        <v>176</v>
      </c>
      <c r="N9" s="37" t="s">
        <v>177</v>
      </c>
      <c r="O9" s="37" t="s">
        <v>178</v>
      </c>
      <c r="P9" s="37" t="s">
        <v>179</v>
      </c>
      <c r="Q9" s="37" t="s">
        <v>173</v>
      </c>
      <c r="R9" s="37" t="s">
        <v>166</v>
      </c>
      <c r="S9" s="37" t="s">
        <v>161</v>
      </c>
      <c r="T9" s="37" t="s">
        <v>151</v>
      </c>
      <c r="U9" s="37" t="s">
        <v>142</v>
      </c>
      <c r="V9" s="37" t="s">
        <v>137</v>
      </c>
      <c r="W9" s="37" t="s">
        <v>150</v>
      </c>
      <c r="X9" s="37" t="s">
        <v>151</v>
      </c>
      <c r="Y9" s="37" t="s">
        <v>145</v>
      </c>
      <c r="Z9" s="37" t="s">
        <v>146</v>
      </c>
      <c r="AA9" s="37" t="str">
        <f t="shared" si="0"/>
        <v>N/A</v>
      </c>
      <c r="AB9" s="37" t="str">
        <f t="shared" si="1"/>
        <v>N/A</v>
      </c>
      <c r="AC9" s="37" t="s">
        <v>30</v>
      </c>
      <c r="AD9" s="37" t="s">
        <v>30</v>
      </c>
      <c r="AE9" s="37" t="s">
        <v>30</v>
      </c>
      <c r="AF9" s="37" t="s">
        <v>30</v>
      </c>
      <c r="AG9" s="37" t="s">
        <v>30</v>
      </c>
      <c r="AH9" s="37" t="str">
        <f t="shared" si="2"/>
        <v>N/A</v>
      </c>
      <c r="AI9" s="37" t="str">
        <f t="shared" si="3"/>
        <v>N/A</v>
      </c>
      <c r="AJ9" s="37" t="s">
        <v>30</v>
      </c>
      <c r="AK9" s="37" t="s">
        <v>30</v>
      </c>
      <c r="AL9" s="37" t="s">
        <v>30</v>
      </c>
      <c r="AM9" s="37" t="s">
        <v>30</v>
      </c>
      <c r="AN9" s="37" t="str">
        <f t="shared" si="4"/>
        <v>26. 05. 14</v>
      </c>
      <c r="AO9" s="37" t="str">
        <f t="shared" si="5"/>
        <v>J260514F03</v>
      </c>
      <c r="AP9" s="37" t="s">
        <v>127</v>
      </c>
      <c r="AQ9" s="37" t="s">
        <v>128</v>
      </c>
      <c r="AR9" s="37" t="s">
        <v>128</v>
      </c>
      <c r="AS9" s="37" t="s">
        <v>128</v>
      </c>
      <c r="AT9" s="37" t="str">
        <f t="shared" si="6"/>
        <v>N/A</v>
      </c>
      <c r="AU9" s="37" t="str">
        <f t="shared" si="7"/>
        <v>N/A</v>
      </c>
      <c r="AV9" s="37" t="s">
        <v>30</v>
      </c>
      <c r="AW9" s="37" t="s">
        <v>30</v>
      </c>
      <c r="AX9" s="37" t="s">
        <v>30</v>
      </c>
      <c r="AY9" s="37" t="s">
        <v>30</v>
      </c>
      <c r="AZ9" s="37" t="str">
        <f t="shared" si="8"/>
        <v>N/A</v>
      </c>
      <c r="BA9" s="37" t="str">
        <f t="shared" si="9"/>
        <v>260512-VT-049-004</v>
      </c>
      <c r="BB9" s="37" t="str">
        <f>IFERROR(VLOOKUP(I9,'품질관리서 - 세부내역'!$H$9:$I$143,2,0),"N/A")</f>
        <v>260416GW001</v>
      </c>
      <c r="BC9" s="37" t="str">
        <f>IFERROR(VLOOKUP(I9,'품질관리서 - 세부내역'!$H$9:$L$143,5,0),"N/A")</f>
        <v>N/A</v>
      </c>
      <c r="BD9" s="37" t="str">
        <f>IFERROR(VLOOKUP(I9,'품질관리서 - 세부내역'!$H$9:$O$143,8,0),"N/A")</f>
        <v>N/A</v>
      </c>
      <c r="BE9" s="37" t="str">
        <f>IFERROR(VLOOKUP(I9,'품질관리서 - 세부내역'!$H$9:$R$143,11,0),"N/A")</f>
        <v>N/A</v>
      </c>
      <c r="BF9" s="37" t="str">
        <f>IFERROR(VLOOKUP(I9,'품질관리서 - 세부내역'!$H$9:$U$143,14,0),"N/A")</f>
        <v>N/A</v>
      </c>
      <c r="BG9" s="37" t="str">
        <f>IFERROR(VLOOKUP(I9,'품질관리서 - 세부내역'!$H$9:$X$143,17,0),"N/A")</f>
        <v>N/A</v>
      </c>
      <c r="BH9" s="37" t="str">
        <f>IFERROR(VLOOKUP(I9,'품질관리서 - 세부내역'!$H$9:$AA$143,20,0),"N/A")</f>
        <v>N/A</v>
      </c>
      <c r="BI9" s="37" t="str">
        <f>IFERROR(VLOOKUP(I9,'품질관리서 - 세부내역'!$H$9:$AC$143,22,0),"N/A")</f>
        <v>N/A</v>
      </c>
      <c r="BJ9" s="37" t="str">
        <f>IFERROR(VLOOKUP(I9,'품질관리서 - 세부내역'!$H$9:$AE$143,24,0),"N/A")</f>
        <v>J260514F03</v>
      </c>
      <c r="BK9" s="37" t="str">
        <f>IFERROR(VLOOKUP(I9,'품질관리서 - 세부내역'!$H$9:$AG$143,26,0),"N/A")</f>
        <v>N/A</v>
      </c>
      <c r="BL9" s="37" t="s">
        <v>30</v>
      </c>
    </row>
    <row r="10" spans="1:64" ht="24" customHeight="1">
      <c r="A10" s="37">
        <v>5</v>
      </c>
      <c r="B10" s="37" t="str">
        <f>'현장품질관리서 - 세부내역'!$G$1</f>
        <v>26. 05. 22</v>
      </c>
      <c r="C10" s="37" t="s">
        <v>30</v>
      </c>
      <c r="D10" s="37" t="str">
        <f>'현장품질관리서 - 세부내역'!$G$3</f>
        <v>㈜엘티엔지니어링</v>
      </c>
      <c r="E10" s="37" t="str">
        <f>'현장품질관리서 - 세부내역'!$G$2</f>
        <v>수원10비행단</v>
      </c>
      <c r="F10" s="37" t="s">
        <v>183</v>
      </c>
      <c r="G10" s="37" t="str">
        <f>IFERROR(INDEX('현장품질관리서 - 세부내역'!$B$7:$B$143,MATCH(I10,'현장품질관리서 - 세부내역'!$F$7:$F$143,0)),"N/A")</f>
        <v>450X300</v>
      </c>
      <c r="H10" s="37" t="s">
        <v>30</v>
      </c>
      <c r="I10" s="37" t="str">
        <f>'현장품질관리서 - 세부내역'!$F$11</f>
        <v>260512-VT-049-005</v>
      </c>
      <c r="J10" s="37" t="str">
        <f>IFERROR(VLOOKUP(I10,'현장품질관리서 - 세부내역'!$F$7:$G$143,2,0),"N/A")</f>
        <v>CD005</v>
      </c>
      <c r="K10" s="37" t="s">
        <v>170</v>
      </c>
      <c r="L10" s="37" t="s">
        <v>167</v>
      </c>
      <c r="M10" s="37" t="s">
        <v>176</v>
      </c>
      <c r="N10" s="37" t="s">
        <v>177</v>
      </c>
      <c r="O10" s="37" t="s">
        <v>178</v>
      </c>
      <c r="P10" s="37" t="s">
        <v>179</v>
      </c>
      <c r="Q10" s="37" t="s">
        <v>171</v>
      </c>
      <c r="R10" s="37" t="s">
        <v>168</v>
      </c>
      <c r="S10" s="37" t="s">
        <v>161</v>
      </c>
      <c r="T10" s="37" t="s">
        <v>153</v>
      </c>
      <c r="U10" s="37" t="s">
        <v>142</v>
      </c>
      <c r="V10" s="37" t="s">
        <v>138</v>
      </c>
      <c r="W10" s="37" t="s">
        <v>152</v>
      </c>
      <c r="X10" s="37" t="s">
        <v>153</v>
      </c>
      <c r="Y10" s="37" t="s">
        <v>145</v>
      </c>
      <c r="Z10" s="37" t="s">
        <v>146</v>
      </c>
      <c r="AA10" s="37" t="str">
        <f t="shared" si="0"/>
        <v>N/A</v>
      </c>
      <c r="AB10" s="37" t="str">
        <f t="shared" si="1"/>
        <v>N/A</v>
      </c>
      <c r="AC10" s="37" t="s">
        <v>30</v>
      </c>
      <c r="AD10" s="37" t="s">
        <v>30</v>
      </c>
      <c r="AE10" s="37" t="s">
        <v>30</v>
      </c>
      <c r="AF10" s="37" t="s">
        <v>30</v>
      </c>
      <c r="AG10" s="37" t="s">
        <v>30</v>
      </c>
      <c r="AH10" s="37" t="str">
        <f t="shared" si="2"/>
        <v>N/A</v>
      </c>
      <c r="AI10" s="37" t="str">
        <f t="shared" si="3"/>
        <v>N/A</v>
      </c>
      <c r="AJ10" s="37" t="s">
        <v>30</v>
      </c>
      <c r="AK10" s="37" t="s">
        <v>30</v>
      </c>
      <c r="AL10" s="37" t="s">
        <v>30</v>
      </c>
      <c r="AM10" s="37" t="s">
        <v>30</v>
      </c>
      <c r="AN10" s="37" t="str">
        <f t="shared" si="4"/>
        <v>26. 05. 14</v>
      </c>
      <c r="AO10" s="37" t="str">
        <f t="shared" si="5"/>
        <v>J260514F03</v>
      </c>
      <c r="AP10" s="37" t="s">
        <v>127</v>
      </c>
      <c r="AQ10" s="37" t="s">
        <v>128</v>
      </c>
      <c r="AR10" s="37" t="s">
        <v>128</v>
      </c>
      <c r="AS10" s="37" t="s">
        <v>128</v>
      </c>
      <c r="AT10" s="37" t="str">
        <f t="shared" si="6"/>
        <v>N/A</v>
      </c>
      <c r="AU10" s="37" t="str">
        <f t="shared" si="7"/>
        <v>N/A</v>
      </c>
      <c r="AV10" s="37" t="s">
        <v>30</v>
      </c>
      <c r="AW10" s="37" t="s">
        <v>30</v>
      </c>
      <c r="AX10" s="37" t="s">
        <v>30</v>
      </c>
      <c r="AY10" s="37" t="s">
        <v>30</v>
      </c>
      <c r="AZ10" s="37" t="str">
        <f t="shared" si="8"/>
        <v>N/A</v>
      </c>
      <c r="BA10" s="37" t="str">
        <f t="shared" si="9"/>
        <v>260512-VT-049-005</v>
      </c>
      <c r="BB10" s="37" t="str">
        <f>IFERROR(VLOOKUP(I10,'품질관리서 - 세부내역'!$H$9:$I$143,2,0),"N/A")</f>
        <v>260416GW001</v>
      </c>
      <c r="BC10" s="37" t="str">
        <f>IFERROR(VLOOKUP(I10,'품질관리서 - 세부내역'!$H$9:$L$143,5,0),"N/A")</f>
        <v>N/A</v>
      </c>
      <c r="BD10" s="37" t="str">
        <f>IFERROR(VLOOKUP(I10,'품질관리서 - 세부내역'!$H$9:$O$143,8,0),"N/A")</f>
        <v>N/A</v>
      </c>
      <c r="BE10" s="37" t="str">
        <f>IFERROR(VLOOKUP(I10,'품질관리서 - 세부내역'!$H$9:$R$143,11,0),"N/A")</f>
        <v>N/A</v>
      </c>
      <c r="BF10" s="37" t="str">
        <f>IFERROR(VLOOKUP(I10,'품질관리서 - 세부내역'!$H$9:$U$143,14,0),"N/A")</f>
        <v>N/A</v>
      </c>
      <c r="BG10" s="37" t="str">
        <f>IFERROR(VLOOKUP(I10,'품질관리서 - 세부내역'!$H$9:$X$143,17,0),"N/A")</f>
        <v>N/A</v>
      </c>
      <c r="BH10" s="37" t="str">
        <f>IFERROR(VLOOKUP(I10,'품질관리서 - 세부내역'!$H$9:$AA$143,20,0),"N/A")</f>
        <v>N/A</v>
      </c>
      <c r="BI10" s="37" t="str">
        <f>IFERROR(VLOOKUP(I10,'품질관리서 - 세부내역'!$H$9:$AC$143,22,0),"N/A")</f>
        <v>N/A</v>
      </c>
      <c r="BJ10" s="37" t="str">
        <f>IFERROR(VLOOKUP(I10,'품질관리서 - 세부내역'!$H$9:$AE$143,24,0),"N/A")</f>
        <v>J260514F03</v>
      </c>
      <c r="BK10" s="37" t="str">
        <f>IFERROR(VLOOKUP(I10,'품질관리서 - 세부내역'!$H$9:$AG$143,26,0),"N/A")</f>
        <v>N/A</v>
      </c>
      <c r="BL10" s="37" t="s">
        <v>30</v>
      </c>
    </row>
    <row r="11" spans="1:64" ht="24" customHeight="1">
      <c r="A11" s="37">
        <v>6</v>
      </c>
      <c r="B11" s="37" t="str">
        <f>'현장품질관리서 - 세부내역'!$G$1</f>
        <v>26. 05. 22</v>
      </c>
      <c r="C11" s="37" t="s">
        <v>30</v>
      </c>
      <c r="D11" s="37" t="str">
        <f>'현장품질관리서 - 세부내역'!$G$3</f>
        <v>㈜엘티엔지니어링</v>
      </c>
      <c r="E11" s="37" t="str">
        <f>'현장품질관리서 - 세부내역'!$G$2</f>
        <v>수원10비행단</v>
      </c>
      <c r="F11" s="37" t="s">
        <v>183</v>
      </c>
      <c r="G11" s="37" t="str">
        <f>IFERROR(INDEX('현장품질관리서 - 세부내역'!$B$7:$B$143,MATCH(I11,'현장품질관리서 - 세부내역'!$F$7:$F$143,0)),"N/A")</f>
        <v>600X350</v>
      </c>
      <c r="H11" s="37" t="s">
        <v>30</v>
      </c>
      <c r="I11" s="37" t="str">
        <f>'현장품질관리서 - 세부내역'!$F$12</f>
        <v>260512-VT-049-006</v>
      </c>
      <c r="J11" s="37" t="str">
        <f>IFERROR(VLOOKUP(I11,'현장품질관리서 - 세부내역'!$F$7:$G$143,2,0),"N/A")</f>
        <v>CD006</v>
      </c>
      <c r="K11" s="37" t="s">
        <v>170</v>
      </c>
      <c r="L11" s="37" t="s">
        <v>167</v>
      </c>
      <c r="M11" s="37" t="s">
        <v>176</v>
      </c>
      <c r="N11" s="37" t="s">
        <v>177</v>
      </c>
      <c r="O11" s="37" t="s">
        <v>178</v>
      </c>
      <c r="P11" s="37" t="s">
        <v>179</v>
      </c>
      <c r="Q11" s="37" t="s">
        <v>171</v>
      </c>
      <c r="R11" s="37" t="s">
        <v>168</v>
      </c>
      <c r="S11" s="37" t="s">
        <v>161</v>
      </c>
      <c r="T11" s="37" t="s">
        <v>155</v>
      </c>
      <c r="U11" s="37" t="s">
        <v>142</v>
      </c>
      <c r="V11" s="37" t="s">
        <v>139</v>
      </c>
      <c r="W11" s="37" t="s">
        <v>154</v>
      </c>
      <c r="X11" s="37" t="s">
        <v>155</v>
      </c>
      <c r="Y11" s="37" t="s">
        <v>145</v>
      </c>
      <c r="Z11" s="37" t="s">
        <v>146</v>
      </c>
      <c r="AA11" s="37" t="str">
        <f t="shared" si="0"/>
        <v>N/A</v>
      </c>
      <c r="AB11" s="37" t="str">
        <f t="shared" si="1"/>
        <v>N/A</v>
      </c>
      <c r="AC11" s="37" t="s">
        <v>30</v>
      </c>
      <c r="AD11" s="37" t="s">
        <v>30</v>
      </c>
      <c r="AE11" s="37" t="s">
        <v>30</v>
      </c>
      <c r="AF11" s="37" t="s">
        <v>30</v>
      </c>
      <c r="AG11" s="37" t="s">
        <v>30</v>
      </c>
      <c r="AH11" s="37" t="str">
        <f t="shared" si="2"/>
        <v>N/A</v>
      </c>
      <c r="AI11" s="37" t="str">
        <f t="shared" si="3"/>
        <v>N/A</v>
      </c>
      <c r="AJ11" s="37" t="s">
        <v>30</v>
      </c>
      <c r="AK11" s="37" t="s">
        <v>30</v>
      </c>
      <c r="AL11" s="37" t="s">
        <v>30</v>
      </c>
      <c r="AM11" s="37" t="s">
        <v>30</v>
      </c>
      <c r="AN11" s="37" t="str">
        <f t="shared" si="4"/>
        <v>26. 05. 14</v>
      </c>
      <c r="AO11" s="37" t="str">
        <f t="shared" si="5"/>
        <v>J260514F03</v>
      </c>
      <c r="AP11" s="37" t="s">
        <v>127</v>
      </c>
      <c r="AQ11" s="37" t="s">
        <v>128</v>
      </c>
      <c r="AR11" s="37" t="s">
        <v>128</v>
      </c>
      <c r="AS11" s="37" t="s">
        <v>128</v>
      </c>
      <c r="AT11" s="37" t="str">
        <f t="shared" si="6"/>
        <v>N/A</v>
      </c>
      <c r="AU11" s="37" t="str">
        <f t="shared" si="7"/>
        <v>N/A</v>
      </c>
      <c r="AV11" s="37" t="s">
        <v>30</v>
      </c>
      <c r="AW11" s="37" t="s">
        <v>30</v>
      </c>
      <c r="AX11" s="37" t="s">
        <v>30</v>
      </c>
      <c r="AY11" s="37" t="s">
        <v>30</v>
      </c>
      <c r="AZ11" s="37" t="str">
        <f t="shared" si="8"/>
        <v>N/A</v>
      </c>
      <c r="BA11" s="37" t="str">
        <f t="shared" si="9"/>
        <v>260512-VT-049-006</v>
      </c>
      <c r="BB11" s="37" t="str">
        <f>IFERROR(VLOOKUP(I11,'품질관리서 - 세부내역'!$H$9:$I$143,2,0),"N/A")</f>
        <v>260416GW001</v>
      </c>
      <c r="BC11" s="37" t="str">
        <f>IFERROR(VLOOKUP(I11,'품질관리서 - 세부내역'!$H$9:$L$143,5,0),"N/A")</f>
        <v>N/A</v>
      </c>
      <c r="BD11" s="37" t="str">
        <f>IFERROR(VLOOKUP(I11,'품질관리서 - 세부내역'!$H$9:$O$143,8,0),"N/A")</f>
        <v>N/A</v>
      </c>
      <c r="BE11" s="37" t="str">
        <f>IFERROR(VLOOKUP(I11,'품질관리서 - 세부내역'!$H$9:$R$143,11,0),"N/A")</f>
        <v>N/A</v>
      </c>
      <c r="BF11" s="37" t="str">
        <f>IFERROR(VLOOKUP(I11,'품질관리서 - 세부내역'!$H$9:$U$143,14,0),"N/A")</f>
        <v>N/A</v>
      </c>
      <c r="BG11" s="37" t="str">
        <f>IFERROR(VLOOKUP(I11,'품질관리서 - 세부내역'!$H$9:$X$143,17,0),"N/A")</f>
        <v>N/A</v>
      </c>
      <c r="BH11" s="37" t="str">
        <f>IFERROR(VLOOKUP(I11,'품질관리서 - 세부내역'!$H$9:$AA$143,20,0),"N/A")</f>
        <v>N/A</v>
      </c>
      <c r="BI11" s="37" t="str">
        <f>IFERROR(VLOOKUP(I11,'품질관리서 - 세부내역'!$H$9:$AC$143,22,0),"N/A")</f>
        <v>N/A</v>
      </c>
      <c r="BJ11" s="37" t="str">
        <f>IFERROR(VLOOKUP(I11,'품질관리서 - 세부내역'!$H$9:$AE$143,24,0),"N/A")</f>
        <v>J260514F03</v>
      </c>
      <c r="BK11" s="37" t="str">
        <f>IFERROR(VLOOKUP(I11,'품질관리서 - 세부내역'!$H$9:$AG$143,26,0),"N/A")</f>
        <v>N/A</v>
      </c>
      <c r="BL11" s="37" t="s">
        <v>30</v>
      </c>
    </row>
    <row r="12" spans="1:64" ht="24" customHeight="1">
      <c r="A12" s="37">
        <v>7</v>
      </c>
      <c r="B12" s="37" t="str">
        <f>'현장품질관리서 - 세부내역'!$G$1</f>
        <v>26. 05. 22</v>
      </c>
      <c r="C12" s="37" t="s">
        <v>30</v>
      </c>
      <c r="D12" s="37" t="str">
        <f>'현장품질관리서 - 세부내역'!$G$3</f>
        <v>㈜엘티엔지니어링</v>
      </c>
      <c r="E12" s="37" t="str">
        <f>'현장품질관리서 - 세부내역'!$G$2</f>
        <v>수원10비행단</v>
      </c>
      <c r="F12" s="37" t="s">
        <v>183</v>
      </c>
      <c r="G12" s="37" t="str">
        <f>IFERROR(INDEX('현장품질관리서 - 세부내역'!$B$7:$B$143,MATCH(I12,'현장품질관리서 - 세부내역'!$F$7:$F$143,0)),"N/A")</f>
        <v>300X250</v>
      </c>
      <c r="H12" s="37" t="s">
        <v>30</v>
      </c>
      <c r="I12" s="37" t="str">
        <f>'현장품질관리서 - 세부내역'!$F$13</f>
        <v>260512-HTG-064-007</v>
      </c>
      <c r="J12" s="37" t="str">
        <f>IFERROR(VLOOKUP(I12,'현장품질관리서 - 세부내역'!$F$7:$G$143,2,0),"N/A")</f>
        <v>CD007</v>
      </c>
      <c r="K12" s="37" t="s">
        <v>180</v>
      </c>
      <c r="L12" s="37" t="s">
        <v>157</v>
      </c>
      <c r="M12" s="37" t="s">
        <v>181</v>
      </c>
      <c r="N12" s="37" t="s">
        <v>182</v>
      </c>
      <c r="O12" s="37" t="s">
        <v>178</v>
      </c>
      <c r="P12" s="37" t="s">
        <v>179</v>
      </c>
      <c r="Q12" s="37" t="s">
        <v>175</v>
      </c>
      <c r="R12" s="37" t="s">
        <v>174</v>
      </c>
      <c r="S12" s="37" t="s">
        <v>161</v>
      </c>
      <c r="T12" s="37" t="s">
        <v>157</v>
      </c>
      <c r="U12" s="37" t="s">
        <v>142</v>
      </c>
      <c r="V12" s="37" t="s">
        <v>140</v>
      </c>
      <c r="W12" s="37" t="s">
        <v>156</v>
      </c>
      <c r="X12" s="37" t="s">
        <v>157</v>
      </c>
      <c r="Y12" s="37" t="s">
        <v>158</v>
      </c>
      <c r="Z12" s="37" t="s">
        <v>146</v>
      </c>
      <c r="AA12" s="37" t="str">
        <f t="shared" si="0"/>
        <v>26. 04. 06</v>
      </c>
      <c r="AB12" s="37" t="str">
        <f t="shared" si="1"/>
        <v>J260406TS01</v>
      </c>
      <c r="AC12" s="37" t="s">
        <v>132</v>
      </c>
      <c r="AD12" s="37" t="s">
        <v>131</v>
      </c>
      <c r="AE12" s="37" t="s">
        <v>133</v>
      </c>
      <c r="AF12" s="37" t="s">
        <v>133</v>
      </c>
      <c r="AG12" s="37" t="s">
        <v>133</v>
      </c>
      <c r="AH12" s="37" t="str">
        <f t="shared" si="2"/>
        <v>26. 03. 30</v>
      </c>
      <c r="AI12" s="37" t="str">
        <f t="shared" si="3"/>
        <v>J260330F02</v>
      </c>
      <c r="AJ12" s="37" t="s">
        <v>129</v>
      </c>
      <c r="AK12" s="37" t="s">
        <v>130</v>
      </c>
      <c r="AL12" s="37" t="s">
        <v>130</v>
      </c>
      <c r="AM12" s="37" t="s">
        <v>130</v>
      </c>
      <c r="AN12" s="37" t="str">
        <f t="shared" si="4"/>
        <v>N/A</v>
      </c>
      <c r="AO12" s="37" t="str">
        <f t="shared" si="5"/>
        <v>N/A</v>
      </c>
      <c r="AP12" s="37" t="s">
        <v>30</v>
      </c>
      <c r="AQ12" s="37" t="s">
        <v>30</v>
      </c>
      <c r="AR12" s="37" t="s">
        <v>30</v>
      </c>
      <c r="AS12" s="37" t="s">
        <v>30</v>
      </c>
      <c r="AT12" s="37" t="str">
        <f t="shared" si="6"/>
        <v>N/A</v>
      </c>
      <c r="AU12" s="37" t="str">
        <f t="shared" si="7"/>
        <v>N/A</v>
      </c>
      <c r="AV12" s="37" t="s">
        <v>30</v>
      </c>
      <c r="AW12" s="37" t="s">
        <v>30</v>
      </c>
      <c r="AX12" s="37" t="s">
        <v>30</v>
      </c>
      <c r="AY12" s="37" t="s">
        <v>30</v>
      </c>
      <c r="AZ12" s="37" t="str">
        <f t="shared" si="8"/>
        <v>N/A</v>
      </c>
      <c r="BA12" s="37" t="str">
        <f t="shared" si="9"/>
        <v>260512-HTG-064-007</v>
      </c>
      <c r="BB12" s="37" t="str">
        <f>IFERROR(VLOOKUP(I12,'품질관리서 - 세부내역'!$H$9:$I$143,2,0),"N/A")</f>
        <v>260416GW001</v>
      </c>
      <c r="BC12" s="37" t="str">
        <f>IFERROR(VLOOKUP(I12,'품질관리서 - 세부내역'!$H$9:$L$143,5,0),"N/A")</f>
        <v>N/A</v>
      </c>
      <c r="BD12" s="37" t="str">
        <f>IFERROR(VLOOKUP(I12,'품질관리서 - 세부내역'!$H$9:$O$143,8,0),"N/A")</f>
        <v>N/A</v>
      </c>
      <c r="BE12" s="37" t="str">
        <f>IFERROR(VLOOKUP(I12,'품질관리서 - 세부내역'!$H$9:$R$143,11,0),"N/A")</f>
        <v>N/A</v>
      </c>
      <c r="BF12" s="37" t="str">
        <f>IFERROR(VLOOKUP(I12,'품질관리서 - 세부내역'!$H$9:$U$143,14,0),"N/A")</f>
        <v>N/A</v>
      </c>
      <c r="BG12" s="37" t="str">
        <f>IFERROR(VLOOKUP(I12,'품질관리서 - 세부내역'!$H$9:$X$143,17,0),"N/A")</f>
        <v>260227CW002</v>
      </c>
      <c r="BH12" s="37" t="str">
        <f>IFERROR(VLOOKUP(I12,'품질관리서 - 세부내역'!$H$9:$AA$143,20,0),"N/A")</f>
        <v>J260406TS01</v>
      </c>
      <c r="BI12" s="37" t="str">
        <f>IFERROR(VLOOKUP(I12,'품질관리서 - 세부내역'!$H$9:$AC$143,22,0),"N/A")</f>
        <v>J260330F02</v>
      </c>
      <c r="BJ12" s="37" t="str">
        <f>IFERROR(VLOOKUP(I12,'품질관리서 - 세부내역'!$H$9:$AE$143,24,0),"N/A")</f>
        <v>N/A</v>
      </c>
      <c r="BK12" s="37" t="str">
        <f>IFERROR(VLOOKUP(I12,'품질관리서 - 세부내역'!$H$9:$AG$143,26,0),"N/A")</f>
        <v>N/A</v>
      </c>
      <c r="BL12" s="37" t="s">
        <v>30</v>
      </c>
    </row>
    <row r="13" spans="1:64" ht="24" customHeight="1">
      <c r="A13" s="37">
        <v>8</v>
      </c>
      <c r="B13" s="37" t="str">
        <f>'현장품질관리서 - 세부내역'!$G$1</f>
        <v>26. 05. 22</v>
      </c>
      <c r="C13" s="37" t="s">
        <v>30</v>
      </c>
      <c r="D13" s="37" t="str">
        <f>'현장품질관리서 - 세부내역'!$G$3</f>
        <v>㈜엘티엔지니어링</v>
      </c>
      <c r="E13" s="37" t="str">
        <f>'현장품질관리서 - 세부내역'!$G$2</f>
        <v>수원10비행단</v>
      </c>
      <c r="F13" s="37" t="s">
        <v>183</v>
      </c>
      <c r="G13" s="37" t="str">
        <f>IFERROR(INDEX('현장품질관리서 - 세부내역'!$B$7:$B$143,MATCH(I13,'현장품질관리서 - 세부내역'!$F$7:$F$143,0)),"N/A")</f>
        <v>350X200</v>
      </c>
      <c r="H13" s="37" t="s">
        <v>30</v>
      </c>
      <c r="I13" s="37" t="str">
        <f>'현장품질관리서 - 세부내역'!$F$14</f>
        <v>260512-HTG-064-008</v>
      </c>
      <c r="J13" s="37" t="str">
        <f>IFERROR(VLOOKUP(I13,'현장품질관리서 - 세부내역'!$F$7:$G$143,2,0),"N/A")</f>
        <v>CD008</v>
      </c>
      <c r="K13" s="37" t="s">
        <v>180</v>
      </c>
      <c r="L13" s="37" t="s">
        <v>157</v>
      </c>
      <c r="M13" s="37" t="s">
        <v>181</v>
      </c>
      <c r="N13" s="37" t="s">
        <v>182</v>
      </c>
      <c r="O13" s="37" t="s">
        <v>178</v>
      </c>
      <c r="P13" s="37" t="s">
        <v>179</v>
      </c>
      <c r="Q13" s="37" t="s">
        <v>175</v>
      </c>
      <c r="R13" s="37" t="s">
        <v>157</v>
      </c>
      <c r="S13" s="37" t="s">
        <v>161</v>
      </c>
      <c r="T13" s="37" t="s">
        <v>157</v>
      </c>
      <c r="U13" s="37" t="s">
        <v>142</v>
      </c>
      <c r="V13" s="37" t="s">
        <v>141</v>
      </c>
      <c r="W13" s="37" t="s">
        <v>159</v>
      </c>
      <c r="X13" s="37" t="s">
        <v>157</v>
      </c>
      <c r="Y13" s="37" t="s">
        <v>158</v>
      </c>
      <c r="Z13" s="37" t="s">
        <v>146</v>
      </c>
      <c r="AA13" s="37" t="str">
        <f t="shared" si="0"/>
        <v>26. 04. 06</v>
      </c>
      <c r="AB13" s="37" t="str">
        <f t="shared" si="1"/>
        <v>J260406TS01</v>
      </c>
      <c r="AC13" s="37" t="s">
        <v>132</v>
      </c>
      <c r="AD13" s="37" t="s">
        <v>131</v>
      </c>
      <c r="AE13" s="37" t="s">
        <v>133</v>
      </c>
      <c r="AF13" s="37" t="s">
        <v>133</v>
      </c>
      <c r="AG13" s="37" t="s">
        <v>133</v>
      </c>
      <c r="AH13" s="37" t="str">
        <f t="shared" si="2"/>
        <v>26. 03. 30</v>
      </c>
      <c r="AI13" s="37" t="str">
        <f t="shared" si="3"/>
        <v>J260330F02</v>
      </c>
      <c r="AJ13" s="37" t="s">
        <v>129</v>
      </c>
      <c r="AK13" s="37" t="s">
        <v>130</v>
      </c>
      <c r="AL13" s="37" t="s">
        <v>130</v>
      </c>
      <c r="AM13" s="37" t="s">
        <v>130</v>
      </c>
      <c r="AN13" s="37" t="str">
        <f t="shared" si="4"/>
        <v>N/A</v>
      </c>
      <c r="AO13" s="37" t="str">
        <f t="shared" si="5"/>
        <v>N/A</v>
      </c>
      <c r="AP13" s="37" t="s">
        <v>30</v>
      </c>
      <c r="AQ13" s="37" t="s">
        <v>30</v>
      </c>
      <c r="AR13" s="37" t="s">
        <v>30</v>
      </c>
      <c r="AS13" s="37" t="s">
        <v>30</v>
      </c>
      <c r="AT13" s="37" t="str">
        <f t="shared" si="6"/>
        <v>N/A</v>
      </c>
      <c r="AU13" s="37" t="str">
        <f t="shared" si="7"/>
        <v>N/A</v>
      </c>
      <c r="AV13" s="37" t="s">
        <v>30</v>
      </c>
      <c r="AW13" s="37" t="s">
        <v>30</v>
      </c>
      <c r="AX13" s="37" t="s">
        <v>30</v>
      </c>
      <c r="AY13" s="37" t="s">
        <v>30</v>
      </c>
      <c r="AZ13" s="37" t="str">
        <f t="shared" si="8"/>
        <v>N/A</v>
      </c>
      <c r="BA13" s="37" t="str">
        <f t="shared" si="9"/>
        <v>260512-HTG-064-008</v>
      </c>
      <c r="BB13" s="37" t="str">
        <f>IFERROR(VLOOKUP(I13,'품질관리서 - 세부내역'!$H$9:$I$143,2,0),"N/A")</f>
        <v>260416GW001</v>
      </c>
      <c r="BC13" s="37" t="str">
        <f>IFERROR(VLOOKUP(I13,'품질관리서 - 세부내역'!$H$9:$L$143,5,0),"N/A")</f>
        <v>N/A</v>
      </c>
      <c r="BD13" s="37" t="str">
        <f>IFERROR(VLOOKUP(I13,'품질관리서 - 세부내역'!$H$9:$O$143,8,0),"N/A")</f>
        <v>N/A</v>
      </c>
      <c r="BE13" s="37" t="str">
        <f>IFERROR(VLOOKUP(I13,'품질관리서 - 세부내역'!$H$9:$R$143,11,0),"N/A")</f>
        <v>N/A</v>
      </c>
      <c r="BF13" s="37" t="str">
        <f>IFERROR(VLOOKUP(I13,'품질관리서 - 세부내역'!$H$9:$U$143,14,0),"N/A")</f>
        <v>N/A</v>
      </c>
      <c r="BG13" s="37" t="str">
        <f>IFERROR(VLOOKUP(I13,'품질관리서 - 세부내역'!$H$9:$X$143,17,0),"N/A")</f>
        <v>260227CW002</v>
      </c>
      <c r="BH13" s="37" t="str">
        <f>IFERROR(VLOOKUP(I13,'품질관리서 - 세부내역'!$H$9:$AA$143,20,0),"N/A")</f>
        <v>J260406TS01</v>
      </c>
      <c r="BI13" s="37" t="str">
        <f>IFERROR(VLOOKUP(I13,'품질관리서 - 세부내역'!$H$9:$AC$143,22,0),"N/A")</f>
        <v>J260330F02</v>
      </c>
      <c r="BJ13" s="37" t="str">
        <f>IFERROR(VLOOKUP(I13,'품질관리서 - 세부내역'!$H$9:$AE$143,24,0),"N/A")</f>
        <v>N/A</v>
      </c>
      <c r="BK13" s="37" t="str">
        <f>IFERROR(VLOOKUP(I13,'품질관리서 - 세부내역'!$H$9:$AG$143,26,0),"N/A")</f>
        <v>N/A</v>
      </c>
      <c r="BL13" s="37" t="s">
        <v>30</v>
      </c>
    </row>
  </sheetData>
  <mergeCells count="16">
    <mergeCell ref="A1:BL3"/>
    <mergeCell ref="D4:F4"/>
    <mergeCell ref="K4:P4"/>
    <mergeCell ref="H4:J4"/>
    <mergeCell ref="G4:G5"/>
    <mergeCell ref="BL4:BL5"/>
    <mergeCell ref="U4:Z4"/>
    <mergeCell ref="AN4:AS4"/>
    <mergeCell ref="AT4:AY4"/>
    <mergeCell ref="Q4:R4"/>
    <mergeCell ref="AZ4:BK4"/>
    <mergeCell ref="S4:T4"/>
    <mergeCell ref="AH4:AM4"/>
    <mergeCell ref="B4:C4"/>
    <mergeCell ref="A4:A5"/>
    <mergeCell ref="AA4:AG4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현장품질관리서 - 세부내역</vt:lpstr>
      <vt:lpstr>품질관리서 - 세부내역</vt:lpstr>
      <vt:lpstr>LOT 추적</vt:lpstr>
      <vt:lpstr>'현장품질관리서 - 세부내역'!Print_Titles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t75693</dc:creator>
  <cp:lastModifiedBy>t75693</cp:lastModifiedBy>
  <cp:lastPrinted>2026-05-18T01:05:37Z</cp:lastPrinted>
  <dcterms:created xsi:type="dcterms:W3CDTF">2026-03-12T10:21:28Z</dcterms:created>
  <dcterms:modified xsi:type="dcterms:W3CDTF">2026-05-20T07:31:00Z</dcterms:modified>
</cp:coreProperties>
</file>