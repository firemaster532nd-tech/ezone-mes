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EZONE-NAS\homes\1.생산관리부\01. 생산관리업무\5.수불대장\"/>
    </mc:Choice>
  </mc:AlternateContent>
  <xr:revisionPtr revIDLastSave="0" documentId="13_ncr:1_{B8A63196-233E-43FC-B5E1-B391EC24C2BF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인덱스" sheetId="1" r:id="rId1"/>
    <sheet name="입고" sheetId="2" r:id="rId2"/>
    <sheet name="출고" sheetId="3" r:id="rId3"/>
    <sheet name="LOT조회" sheetId="4" r:id="rId4"/>
    <sheet name="마스터" sheetId="5" r:id="rId5"/>
    <sheet name="96K국산 25T × 200W × 7320L" sheetId="6" r:id="rId6"/>
    <sheet name="96K국산 25T × 300W × 7320L" sheetId="7" r:id="rId7"/>
    <sheet name="96K국산 38T × 600W × 4800L" sheetId="8" r:id="rId8"/>
    <sheet name="96K국산 50T × 400W × 3800L" sheetId="9" r:id="rId9"/>
    <sheet name="96K국산 50T × 610W × 3600L" sheetId="10" r:id="rId10"/>
    <sheet name="96K수입 25T × 150W × 7400L" sheetId="11" r:id="rId11"/>
    <sheet name="96K수입 38T × 150W × 4800L" sheetId="12" r:id="rId12"/>
    <sheet name="96K수입 50T × 150W × 3600L" sheetId="13" r:id="rId13"/>
    <sheet name="96K수입 50T × 400W × 3600L" sheetId="14" r:id="rId14"/>
    <sheet name="96K수입 50T × 600W × 3600L" sheetId="15" r:id="rId15"/>
    <sheet name="96K수입 50T × 1000W × 3600L" sheetId="16" r:id="rId16"/>
    <sheet name="100K수입 25T × 150W × 7400L" sheetId="17" r:id="rId17"/>
    <sheet name="100K수입 25T × 200W × 7400L" sheetId="18" r:id="rId18"/>
    <sheet name="100K수입 25T × 300W × 7400L" sheetId="19" r:id="rId19"/>
    <sheet name="100K수입 38T × 600W × 4800L" sheetId="20" r:id="rId20"/>
    <sheet name="100K수입 50T × 600W × 3600L" sheetId="21" r:id="rId21"/>
    <sheet name="128K수입 25T × 200W × 7400L" sheetId="22" r:id="rId2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D11" i="3"/>
  <c r="D12" i="3"/>
  <c r="F74" i="22" a="1"/>
  <c r="F74" i="22" s="1"/>
  <c r="E74" i="22" a="1"/>
  <c r="E74" i="22" s="1"/>
  <c r="D74" i="22" a="1"/>
  <c r="D74" i="22" s="1"/>
  <c r="C74" i="22" a="1"/>
  <c r="C74" i="22" s="1"/>
  <c r="B74" i="22" a="1"/>
  <c r="B74" i="22" s="1"/>
  <c r="G74" i="22" s="1"/>
  <c r="F73" i="22" a="1"/>
  <c r="F73" i="22" s="1"/>
  <c r="E73" i="22" a="1"/>
  <c r="E73" i="22" s="1"/>
  <c r="D73" i="22" a="1"/>
  <c r="D73" i="22" s="1"/>
  <c r="C73" i="22" a="1"/>
  <c r="C73" i="22" s="1"/>
  <c r="B73" i="22" a="1"/>
  <c r="B73" i="22" s="1"/>
  <c r="G73" i="22" s="1"/>
  <c r="F72" i="22" a="1"/>
  <c r="F72" i="22" s="1"/>
  <c r="E72" i="22" a="1"/>
  <c r="E72" i="22" s="1"/>
  <c r="D72" i="22" a="1"/>
  <c r="D72" i="22" s="1"/>
  <c r="C72" i="22" a="1"/>
  <c r="C72" i="22" s="1"/>
  <c r="B72" i="22" a="1"/>
  <c r="B72" i="22" s="1"/>
  <c r="G72" i="22" s="1"/>
  <c r="F71" i="22" a="1"/>
  <c r="F71" i="22" s="1"/>
  <c r="E71" i="22" a="1"/>
  <c r="E71" i="22" s="1"/>
  <c r="D71" i="22" a="1"/>
  <c r="D71" i="22" s="1"/>
  <c r="C71" i="22" a="1"/>
  <c r="C71" i="22" s="1"/>
  <c r="B71" i="22" a="1"/>
  <c r="B71" i="22" s="1"/>
  <c r="G71" i="22" s="1"/>
  <c r="F70" i="22" a="1"/>
  <c r="F70" i="22" s="1"/>
  <c r="E70" i="22" a="1"/>
  <c r="E70" i="22" s="1"/>
  <c r="D70" i="22" a="1"/>
  <c r="D70" i="22" s="1"/>
  <c r="C70" i="22" a="1"/>
  <c r="C70" i="22" s="1"/>
  <c r="B70" i="22" a="1"/>
  <c r="B70" i="22" s="1"/>
  <c r="G70" i="22" s="1"/>
  <c r="F69" i="22" a="1"/>
  <c r="F69" i="22" s="1"/>
  <c r="E69" i="22" a="1"/>
  <c r="E69" i="22" s="1"/>
  <c r="D69" i="22" a="1"/>
  <c r="D69" i="22" s="1"/>
  <c r="C69" i="22" a="1"/>
  <c r="C69" i="22" s="1"/>
  <c r="B69" i="22" a="1"/>
  <c r="B69" i="22" s="1"/>
  <c r="G69" i="22" s="1"/>
  <c r="F68" i="22" a="1"/>
  <c r="F68" i="22" s="1"/>
  <c r="E68" i="22" a="1"/>
  <c r="E68" i="22" s="1"/>
  <c r="D68" i="22" a="1"/>
  <c r="D68" i="22" s="1"/>
  <c r="C68" i="22" a="1"/>
  <c r="C68" i="22" s="1"/>
  <c r="B68" i="22" a="1"/>
  <c r="B68" i="22" s="1"/>
  <c r="F67" i="22" a="1"/>
  <c r="F67" i="22" s="1"/>
  <c r="E67" i="22" a="1"/>
  <c r="E67" i="22" s="1"/>
  <c r="D67" i="22" a="1"/>
  <c r="D67" i="22" s="1"/>
  <c r="C67" i="22" a="1"/>
  <c r="C67" i="22" s="1"/>
  <c r="B67" i="22" a="1"/>
  <c r="B67" i="22" s="1"/>
  <c r="G67" i="22" s="1"/>
  <c r="F66" i="22" a="1"/>
  <c r="F66" i="22" s="1"/>
  <c r="E66" i="22" a="1"/>
  <c r="E66" i="22" s="1"/>
  <c r="D66" i="22" a="1"/>
  <c r="D66" i="22" s="1"/>
  <c r="C66" i="22" a="1"/>
  <c r="C66" i="22" s="1"/>
  <c r="B66" i="22" a="1"/>
  <c r="B66" i="22" s="1"/>
  <c r="F65" i="22" a="1"/>
  <c r="F65" i="22" s="1"/>
  <c r="E65" i="22" a="1"/>
  <c r="E65" i="22" s="1"/>
  <c r="D65" i="22" a="1"/>
  <c r="D65" i="22" s="1"/>
  <c r="C65" i="22" a="1"/>
  <c r="C65" i="22" s="1"/>
  <c r="B65" i="22" a="1"/>
  <c r="B65" i="22" s="1"/>
  <c r="G65" i="22" s="1"/>
  <c r="F64" i="22" a="1"/>
  <c r="F64" i="22" s="1"/>
  <c r="E64" i="22" a="1"/>
  <c r="E64" i="22" s="1"/>
  <c r="D64" i="22" a="1"/>
  <c r="D64" i="22" s="1"/>
  <c r="C64" i="22" a="1"/>
  <c r="C64" i="22" s="1"/>
  <c r="B64" i="22" a="1"/>
  <c r="B64" i="22" s="1"/>
  <c r="F63" i="22" a="1"/>
  <c r="F63" i="22" s="1"/>
  <c r="E63" i="22" a="1"/>
  <c r="E63" i="22" s="1"/>
  <c r="D63" i="22" a="1"/>
  <c r="D63" i="22" s="1"/>
  <c r="C63" i="22" a="1"/>
  <c r="C63" i="22" s="1"/>
  <c r="B63" i="22" a="1"/>
  <c r="B63" i="22" s="1"/>
  <c r="A63" i="22" s="1"/>
  <c r="F62" i="22" a="1"/>
  <c r="F62" i="22" s="1"/>
  <c r="E62" i="22" a="1"/>
  <c r="E62" i="22" s="1"/>
  <c r="D62" i="22" a="1"/>
  <c r="D62" i="22" s="1"/>
  <c r="C62" i="22" a="1"/>
  <c r="C62" i="22" s="1"/>
  <c r="B62" i="22" a="1"/>
  <c r="B62" i="22" s="1"/>
  <c r="G62" i="22" s="1"/>
  <c r="F61" i="22" a="1"/>
  <c r="F61" i="22" s="1"/>
  <c r="E61" i="22" a="1"/>
  <c r="E61" i="22" s="1"/>
  <c r="D61" i="22" a="1"/>
  <c r="D61" i="22" s="1"/>
  <c r="C61" i="22" a="1"/>
  <c r="C61" i="22" s="1"/>
  <c r="B61" i="22" a="1"/>
  <c r="B61" i="22" s="1"/>
  <c r="G61" i="22" s="1"/>
  <c r="F60" i="22" a="1"/>
  <c r="F60" i="22" s="1"/>
  <c r="E60" i="22" a="1"/>
  <c r="E60" i="22" s="1"/>
  <c r="D60" i="22" a="1"/>
  <c r="D60" i="22" s="1"/>
  <c r="C60" i="22" a="1"/>
  <c r="C60" i="22" s="1"/>
  <c r="B60" i="22" a="1"/>
  <c r="B60" i="22" s="1"/>
  <c r="A60" i="22" s="1"/>
  <c r="F59" i="22" a="1"/>
  <c r="F59" i="22" s="1"/>
  <c r="E59" i="22" a="1"/>
  <c r="E59" i="22" s="1"/>
  <c r="D59" i="22" a="1"/>
  <c r="D59" i="22" s="1"/>
  <c r="C59" i="22" a="1"/>
  <c r="C59" i="22" s="1"/>
  <c r="B59" i="22" a="1"/>
  <c r="B59" i="22" s="1"/>
  <c r="G59" i="22" s="1"/>
  <c r="F58" i="22" a="1"/>
  <c r="F58" i="22" s="1"/>
  <c r="E58" i="22" a="1"/>
  <c r="E58" i="22" s="1"/>
  <c r="D58" i="22" a="1"/>
  <c r="D58" i="22" s="1"/>
  <c r="C58" i="22" a="1"/>
  <c r="C58" i="22" s="1"/>
  <c r="B58" i="22" a="1"/>
  <c r="B58" i="22" s="1"/>
  <c r="G58" i="22" s="1"/>
  <c r="F57" i="22" a="1"/>
  <c r="F57" i="22" s="1"/>
  <c r="E57" i="22" a="1"/>
  <c r="E57" i="22" s="1"/>
  <c r="D57" i="22" a="1"/>
  <c r="D57" i="22" s="1"/>
  <c r="C57" i="22" a="1"/>
  <c r="C57" i="22" s="1"/>
  <c r="B57" i="22" a="1"/>
  <c r="B57" i="22" s="1"/>
  <c r="G57" i="22" s="1"/>
  <c r="F56" i="22" a="1"/>
  <c r="F56" i="22" s="1"/>
  <c r="E56" i="22" a="1"/>
  <c r="E56" i="22" s="1"/>
  <c r="D56" i="22" a="1"/>
  <c r="D56" i="22" s="1"/>
  <c r="C56" i="22" a="1"/>
  <c r="C56" i="22" s="1"/>
  <c r="B56" i="22" a="1"/>
  <c r="B56" i="22" s="1"/>
  <c r="A56" i="22" s="1"/>
  <c r="F55" i="22" a="1"/>
  <c r="F55" i="22" s="1"/>
  <c r="E55" i="22" a="1"/>
  <c r="E55" i="22" s="1"/>
  <c r="D55" i="22" a="1"/>
  <c r="D55" i="22" s="1"/>
  <c r="C55" i="22" a="1"/>
  <c r="C55" i="22" s="1"/>
  <c r="B55" i="22" a="1"/>
  <c r="B55" i="22" s="1"/>
  <c r="G55" i="22" s="1"/>
  <c r="F54" i="22" a="1"/>
  <c r="F54" i="22" s="1"/>
  <c r="E54" i="22" a="1"/>
  <c r="E54" i="22" s="1"/>
  <c r="D54" i="22" a="1"/>
  <c r="D54" i="22" s="1"/>
  <c r="C54" i="22" a="1"/>
  <c r="C54" i="22" s="1"/>
  <c r="B54" i="22" a="1"/>
  <c r="B54" i="22" s="1"/>
  <c r="A54" i="22" s="1"/>
  <c r="F53" i="22" a="1"/>
  <c r="F53" i="22" s="1"/>
  <c r="E53" i="22" a="1"/>
  <c r="E53" i="22" s="1"/>
  <c r="D53" i="22" a="1"/>
  <c r="D53" i="22" s="1"/>
  <c r="C53" i="22" a="1"/>
  <c r="C53" i="22" s="1"/>
  <c r="B53" i="22" a="1"/>
  <c r="B53" i="22" s="1"/>
  <c r="G53" i="22" s="1"/>
  <c r="F52" i="22" a="1"/>
  <c r="F52" i="22" s="1"/>
  <c r="E52" i="22" a="1"/>
  <c r="E52" i="22" s="1"/>
  <c r="D52" i="22" a="1"/>
  <c r="D52" i="22" s="1"/>
  <c r="C52" i="22" a="1"/>
  <c r="C52" i="22" s="1"/>
  <c r="B52" i="22" a="1"/>
  <c r="B52" i="22" s="1"/>
  <c r="A52" i="22" s="1"/>
  <c r="F51" i="22" a="1"/>
  <c r="F51" i="22" s="1"/>
  <c r="E51" i="22" a="1"/>
  <c r="E51" i="22" s="1"/>
  <c r="D51" i="22" a="1"/>
  <c r="D51" i="22" s="1"/>
  <c r="C51" i="22" a="1"/>
  <c r="C51" i="22" s="1"/>
  <c r="B51" i="22" a="1"/>
  <c r="B51" i="22" s="1"/>
  <c r="G51" i="22" s="1"/>
  <c r="F50" i="22" a="1"/>
  <c r="F50" i="22" s="1"/>
  <c r="E50" i="22" a="1"/>
  <c r="E50" i="22" s="1"/>
  <c r="D50" i="22" a="1"/>
  <c r="D50" i="22" s="1"/>
  <c r="C50" i="22" a="1"/>
  <c r="C50" i="22" s="1"/>
  <c r="B50" i="22" a="1"/>
  <c r="B50" i="22" s="1"/>
  <c r="A50" i="22" s="1"/>
  <c r="F49" i="22" a="1"/>
  <c r="F49" i="22" s="1"/>
  <c r="E49" i="22" a="1"/>
  <c r="E49" i="22" s="1"/>
  <c r="D49" i="22" a="1"/>
  <c r="D49" i="22" s="1"/>
  <c r="C49" i="22" a="1"/>
  <c r="C49" i="22" s="1"/>
  <c r="B49" i="22" a="1"/>
  <c r="B49" i="22" s="1"/>
  <c r="G49" i="22" s="1"/>
  <c r="F48" i="22" a="1"/>
  <c r="F48" i="22" s="1"/>
  <c r="E48" i="22" a="1"/>
  <c r="E48" i="22" s="1"/>
  <c r="D48" i="22" a="1"/>
  <c r="D48" i="22" s="1"/>
  <c r="C48" i="22" a="1"/>
  <c r="C48" i="22" s="1"/>
  <c r="B48" i="22" a="1"/>
  <c r="B48" i="22" s="1"/>
  <c r="A48" i="22" s="1"/>
  <c r="F47" i="22" a="1"/>
  <c r="F47" i="22" s="1"/>
  <c r="E47" i="22" a="1"/>
  <c r="E47" i="22" s="1"/>
  <c r="D47" i="22" a="1"/>
  <c r="D47" i="22" s="1"/>
  <c r="C47" i="22" a="1"/>
  <c r="C47" i="22" s="1"/>
  <c r="B47" i="22" a="1"/>
  <c r="B47" i="22" s="1"/>
  <c r="F46" i="22" a="1"/>
  <c r="F46" i="22" s="1"/>
  <c r="E46" i="22" a="1"/>
  <c r="E46" i="22" s="1"/>
  <c r="D46" i="22" a="1"/>
  <c r="D46" i="22" s="1"/>
  <c r="C46" i="22" a="1"/>
  <c r="C46" i="22" s="1"/>
  <c r="B46" i="22" a="1"/>
  <c r="B46" i="22" s="1"/>
  <c r="F45" i="22" a="1"/>
  <c r="F45" i="22" s="1"/>
  <c r="E45" i="22" a="1"/>
  <c r="E45" i="22" s="1"/>
  <c r="D45" i="22" a="1"/>
  <c r="D45" i="22" s="1"/>
  <c r="C45" i="22" a="1"/>
  <c r="C45" i="22" s="1"/>
  <c r="B45" i="22" a="1"/>
  <c r="B45" i="22" s="1"/>
  <c r="G41" i="22"/>
  <c r="F41" i="22" a="1"/>
  <c r="F41" i="22" s="1"/>
  <c r="E41" i="22" a="1"/>
  <c r="E41" i="22" s="1"/>
  <c r="D41" i="22" a="1"/>
  <c r="D41" i="22" s="1"/>
  <c r="C41" i="22" a="1"/>
  <c r="C41" i="22" s="1"/>
  <c r="B41" i="22" a="1"/>
  <c r="B41" i="22" s="1"/>
  <c r="A41" i="22"/>
  <c r="F40" i="22" a="1"/>
  <c r="F40" i="22" s="1"/>
  <c r="E40" i="22" a="1"/>
  <c r="E40" i="22"/>
  <c r="D40" i="22" a="1"/>
  <c r="D40" i="22" s="1"/>
  <c r="C40" i="22" a="1"/>
  <c r="C40" i="22"/>
  <c r="B40" i="22" a="1"/>
  <c r="B40" i="22" s="1"/>
  <c r="F39" i="22" a="1"/>
  <c r="F39" i="22" s="1"/>
  <c r="E39" i="22" a="1"/>
  <c r="E39" i="22"/>
  <c r="D39" i="22" a="1"/>
  <c r="D39" i="22" s="1"/>
  <c r="C39" i="22" a="1"/>
  <c r="C39" i="22"/>
  <c r="B39" i="22" a="1"/>
  <c r="B39" i="22" s="1"/>
  <c r="F38" i="22" a="1"/>
  <c r="F38" i="22" s="1"/>
  <c r="E38" i="22" a="1"/>
  <c r="E38" i="22" s="1"/>
  <c r="D38" i="22" a="1"/>
  <c r="D38" i="22" s="1"/>
  <c r="C38" i="22" a="1"/>
  <c r="C38" i="22" s="1"/>
  <c r="B38" i="22" a="1"/>
  <c r="B38" i="22" s="1"/>
  <c r="F37" i="22" a="1"/>
  <c r="F37" i="22" s="1"/>
  <c r="E37" i="22" a="1"/>
  <c r="E37" i="22" s="1"/>
  <c r="D37" i="22" a="1"/>
  <c r="D37" i="22" s="1"/>
  <c r="C37" i="22" a="1"/>
  <c r="C37" i="22" s="1"/>
  <c r="B37" i="22" a="1"/>
  <c r="B37" i="22" s="1"/>
  <c r="F36" i="22" a="1"/>
  <c r="F36" i="22" s="1"/>
  <c r="E36" i="22" a="1"/>
  <c r="E36" i="22" s="1"/>
  <c r="D36" i="22" a="1"/>
  <c r="D36" i="22" s="1"/>
  <c r="C36" i="22" a="1"/>
  <c r="C36" i="22" s="1"/>
  <c r="B36" i="22" a="1"/>
  <c r="B36" i="22" s="1"/>
  <c r="F35" i="22" a="1"/>
  <c r="F35" i="22" s="1"/>
  <c r="E35" i="22" a="1"/>
  <c r="E35" i="22" s="1"/>
  <c r="D35" i="22" a="1"/>
  <c r="D35" i="22" s="1"/>
  <c r="C35" i="22" a="1"/>
  <c r="C35" i="22" s="1"/>
  <c r="B35" i="22" a="1"/>
  <c r="B35" i="22" s="1"/>
  <c r="F34" i="22" a="1"/>
  <c r="F34" i="22" s="1"/>
  <c r="E34" i="22" a="1"/>
  <c r="E34" i="22" s="1"/>
  <c r="D34" i="22" a="1"/>
  <c r="D34" i="22" s="1"/>
  <c r="C34" i="22" a="1"/>
  <c r="C34" i="22" s="1"/>
  <c r="B34" i="22" a="1"/>
  <c r="B34" i="22" s="1"/>
  <c r="F33" i="22" a="1"/>
  <c r="F33" i="22" s="1"/>
  <c r="E33" i="22" a="1"/>
  <c r="E33" i="22" s="1"/>
  <c r="D33" i="22" a="1"/>
  <c r="D33" i="22" s="1"/>
  <c r="C33" i="22" a="1"/>
  <c r="C33" i="22" s="1"/>
  <c r="B33" i="22" a="1"/>
  <c r="B33" i="22" s="1"/>
  <c r="F32" i="22" a="1"/>
  <c r="F32" i="22" s="1"/>
  <c r="E32" i="22" a="1"/>
  <c r="E32" i="22" s="1"/>
  <c r="D32" i="22" a="1"/>
  <c r="D32" i="22" s="1"/>
  <c r="C32" i="22" a="1"/>
  <c r="C32" i="22" s="1"/>
  <c r="B32" i="22" a="1"/>
  <c r="B32" i="22" s="1"/>
  <c r="F31" i="22" a="1"/>
  <c r="F31" i="22" s="1"/>
  <c r="E31" i="22" a="1"/>
  <c r="E31" i="22" s="1"/>
  <c r="D31" i="22" a="1"/>
  <c r="D31" i="22" s="1"/>
  <c r="C31" i="22" a="1"/>
  <c r="C31" i="22" s="1"/>
  <c r="B31" i="22" a="1"/>
  <c r="B31" i="22" s="1"/>
  <c r="F30" i="22" a="1"/>
  <c r="F30" i="22" s="1"/>
  <c r="E30" i="22" a="1"/>
  <c r="E30" i="22" s="1"/>
  <c r="D30" i="22" a="1"/>
  <c r="D30" i="22" s="1"/>
  <c r="C30" i="22" a="1"/>
  <c r="C30" i="22" s="1"/>
  <c r="B30" i="22" a="1"/>
  <c r="B30" i="22" s="1"/>
  <c r="F29" i="22" a="1"/>
  <c r="F29" i="22" s="1"/>
  <c r="E29" i="22" a="1"/>
  <c r="E29" i="22" s="1"/>
  <c r="D29" i="22" a="1"/>
  <c r="D29" i="22" s="1"/>
  <c r="C29" i="22" a="1"/>
  <c r="C29" i="22" s="1"/>
  <c r="B29" i="22" a="1"/>
  <c r="B29" i="22" s="1"/>
  <c r="F28" i="22" a="1"/>
  <c r="F28" i="22" s="1"/>
  <c r="E28" i="22" a="1"/>
  <c r="E28" i="22" s="1"/>
  <c r="D28" i="22" a="1"/>
  <c r="D28" i="22" s="1"/>
  <c r="C28" i="22" a="1"/>
  <c r="C28" i="22" s="1"/>
  <c r="B28" i="22" a="1"/>
  <c r="B28" i="22" s="1"/>
  <c r="F27" i="22" a="1"/>
  <c r="F27" i="22" s="1"/>
  <c r="E27" i="22" a="1"/>
  <c r="E27" i="22" s="1"/>
  <c r="D27" i="22" a="1"/>
  <c r="D27" i="22" s="1"/>
  <c r="C27" i="22" a="1"/>
  <c r="C27" i="22" s="1"/>
  <c r="B27" i="22" a="1"/>
  <c r="B27" i="22" s="1"/>
  <c r="F26" i="22" a="1"/>
  <c r="F26" i="22" s="1"/>
  <c r="E26" i="22" a="1"/>
  <c r="E26" i="22" s="1"/>
  <c r="D26" i="22" a="1"/>
  <c r="D26" i="22" s="1"/>
  <c r="C26" i="22" a="1"/>
  <c r="C26" i="22" s="1"/>
  <c r="B26" i="22" a="1"/>
  <c r="B26" i="22" s="1"/>
  <c r="F25" i="22" a="1"/>
  <c r="F25" i="22" s="1"/>
  <c r="E25" i="22" a="1"/>
  <c r="E25" i="22" s="1"/>
  <c r="D25" i="22" a="1"/>
  <c r="D25" i="22" s="1"/>
  <c r="C25" i="22" a="1"/>
  <c r="C25" i="22" s="1"/>
  <c r="B25" i="22" a="1"/>
  <c r="B25" i="22" s="1"/>
  <c r="F24" i="22" a="1"/>
  <c r="F24" i="22" s="1"/>
  <c r="E24" i="22" a="1"/>
  <c r="E24" i="22" s="1"/>
  <c r="D24" i="22" a="1"/>
  <c r="D24" i="22" s="1"/>
  <c r="C24" i="22" a="1"/>
  <c r="C24" i="22" s="1"/>
  <c r="B24" i="22" a="1"/>
  <c r="B24" i="22" s="1"/>
  <c r="F23" i="22" a="1"/>
  <c r="F23" i="22" s="1"/>
  <c r="E23" i="22" a="1"/>
  <c r="E23" i="22" s="1"/>
  <c r="D23" i="22" a="1"/>
  <c r="D23" i="22" s="1"/>
  <c r="C23" i="22" a="1"/>
  <c r="C23" i="22" s="1"/>
  <c r="B23" i="22" a="1"/>
  <c r="B23" i="22" s="1"/>
  <c r="F22" i="22" a="1"/>
  <c r="F22" i="22" s="1"/>
  <c r="E22" i="22" a="1"/>
  <c r="E22" i="22" s="1"/>
  <c r="D22" i="22" a="1"/>
  <c r="D22" i="22" s="1"/>
  <c r="C22" i="22" a="1"/>
  <c r="C22" i="22" s="1"/>
  <c r="B22" i="22" a="1"/>
  <c r="B22" i="22" s="1"/>
  <c r="F21" i="22" a="1"/>
  <c r="F21" i="22" s="1"/>
  <c r="E21" i="22" a="1"/>
  <c r="E21" i="22" s="1"/>
  <c r="D21" i="22" a="1"/>
  <c r="D21" i="22" s="1"/>
  <c r="C21" i="22" a="1"/>
  <c r="C21" i="22" s="1"/>
  <c r="B21" i="22" a="1"/>
  <c r="B21" i="22" s="1"/>
  <c r="F20" i="22" a="1"/>
  <c r="F20" i="22" s="1"/>
  <c r="E20" i="22" a="1"/>
  <c r="E20" i="22" s="1"/>
  <c r="D20" i="22" a="1"/>
  <c r="D20" i="22" s="1"/>
  <c r="C20" i="22" a="1"/>
  <c r="C20" i="22" s="1"/>
  <c r="B20" i="22" a="1"/>
  <c r="B20" i="22" s="1"/>
  <c r="F19" i="22" a="1"/>
  <c r="F19" i="22" s="1"/>
  <c r="E19" i="22" a="1"/>
  <c r="E19" i="22" s="1"/>
  <c r="D19" i="22" a="1"/>
  <c r="D19" i="22" s="1"/>
  <c r="C19" i="22" a="1"/>
  <c r="C19" i="22" s="1"/>
  <c r="B19" i="22" a="1"/>
  <c r="B19" i="22" s="1"/>
  <c r="F18" i="22" a="1"/>
  <c r="F18" i="22" s="1"/>
  <c r="E18" i="22" a="1"/>
  <c r="E18" i="22" s="1"/>
  <c r="D18" i="22" a="1"/>
  <c r="D18" i="22" s="1"/>
  <c r="C18" i="22" a="1"/>
  <c r="C18" i="22" s="1"/>
  <c r="B18" i="22" a="1"/>
  <c r="B18" i="22" s="1"/>
  <c r="F17" i="22" a="1"/>
  <c r="F17" i="22" s="1"/>
  <c r="E17" i="22" a="1"/>
  <c r="E17" i="22" s="1"/>
  <c r="D17" i="22" a="1"/>
  <c r="D17" i="22" s="1"/>
  <c r="C17" i="22" a="1"/>
  <c r="C17" i="22" s="1"/>
  <c r="B17" i="22" a="1"/>
  <c r="B17" i="22" s="1"/>
  <c r="F16" i="22" a="1"/>
  <c r="F16" i="22" s="1"/>
  <c r="E16" i="22" a="1"/>
  <c r="E16" i="22" s="1"/>
  <c r="D16" i="22" a="1"/>
  <c r="D16" i="22" s="1"/>
  <c r="C16" i="22" a="1"/>
  <c r="C16" i="22" s="1"/>
  <c r="B16" i="22" a="1"/>
  <c r="B16" i="22" s="1"/>
  <c r="F15" i="22" a="1"/>
  <c r="F15" i="22" s="1"/>
  <c r="E15" i="22" a="1"/>
  <c r="E15" i="22" s="1"/>
  <c r="D15" i="22" a="1"/>
  <c r="D15" i="22" s="1"/>
  <c r="C15" i="22" a="1"/>
  <c r="C15" i="22" s="1"/>
  <c r="B15" i="22" a="1"/>
  <c r="B15" i="22" s="1"/>
  <c r="F14" i="22" a="1"/>
  <c r="F14" i="22" s="1"/>
  <c r="E14" i="22" a="1"/>
  <c r="E14" i="22" s="1"/>
  <c r="D14" i="22" a="1"/>
  <c r="D14" i="22" s="1"/>
  <c r="C14" i="22" a="1"/>
  <c r="C14" i="22" s="1"/>
  <c r="B14" i="22" a="1"/>
  <c r="B14" i="22" s="1"/>
  <c r="F13" i="22" a="1"/>
  <c r="F13" i="22" s="1"/>
  <c r="E13" i="22" a="1"/>
  <c r="E13" i="22" s="1"/>
  <c r="D13" i="22" a="1"/>
  <c r="D13" i="22" s="1"/>
  <c r="C13" i="22" a="1"/>
  <c r="C13" i="22" s="1"/>
  <c r="B13" i="22" a="1"/>
  <c r="B13" i="22" s="1"/>
  <c r="F12" i="22" a="1"/>
  <c r="F12" i="22" s="1"/>
  <c r="E12" i="22" a="1"/>
  <c r="E12" i="22" s="1"/>
  <c r="D12" i="22" a="1"/>
  <c r="D12" i="22" s="1"/>
  <c r="C12" i="22" a="1"/>
  <c r="C12" i="22" s="1"/>
  <c r="B12" i="22" a="1"/>
  <c r="B12" i="22" s="1"/>
  <c r="E8" i="22" a="1"/>
  <c r="E8" i="22" s="1"/>
  <c r="B8" i="22"/>
  <c r="B7" i="22"/>
  <c r="B6" i="22"/>
  <c r="E5" i="22"/>
  <c r="E6" i="22" s="1"/>
  <c r="B5" i="22"/>
  <c r="E4" i="22"/>
  <c r="B4" i="22"/>
  <c r="I3" i="22"/>
  <c r="A1" i="22"/>
  <c r="F74" i="21" a="1"/>
  <c r="F74" i="21" s="1"/>
  <c r="E74" i="21" a="1"/>
  <c r="E74" i="21" s="1"/>
  <c r="D74" i="21" a="1"/>
  <c r="D74" i="21" s="1"/>
  <c r="C74" i="21" a="1"/>
  <c r="C74" i="21" s="1"/>
  <c r="B74" i="21" a="1"/>
  <c r="B74" i="21" s="1"/>
  <c r="A74" i="21" s="1"/>
  <c r="F73" i="21" a="1"/>
  <c r="F73" i="21" s="1"/>
  <c r="E73" i="21" a="1"/>
  <c r="E73" i="21" s="1"/>
  <c r="D73" i="21" a="1"/>
  <c r="D73" i="21" s="1"/>
  <c r="C73" i="21" a="1"/>
  <c r="C73" i="21" s="1"/>
  <c r="B73" i="21" a="1"/>
  <c r="B73" i="21" s="1"/>
  <c r="A73" i="21" s="1"/>
  <c r="F72" i="21" a="1"/>
  <c r="F72" i="21" s="1"/>
  <c r="E72" i="21" a="1"/>
  <c r="E72" i="21" s="1"/>
  <c r="D72" i="21" a="1"/>
  <c r="D72" i="21" s="1"/>
  <c r="C72" i="21" a="1"/>
  <c r="C72" i="21" s="1"/>
  <c r="B72" i="21" a="1"/>
  <c r="B72" i="21" s="1"/>
  <c r="A72" i="21" s="1"/>
  <c r="F71" i="21" a="1"/>
  <c r="F71" i="21" s="1"/>
  <c r="E71" i="21" a="1"/>
  <c r="E71" i="21" s="1"/>
  <c r="D71" i="21" a="1"/>
  <c r="D71" i="21" s="1"/>
  <c r="C71" i="21" a="1"/>
  <c r="C71" i="21" s="1"/>
  <c r="B71" i="21" a="1"/>
  <c r="B71" i="21" s="1"/>
  <c r="A71" i="21" s="1"/>
  <c r="F70" i="21" a="1"/>
  <c r="F70" i="21" s="1"/>
  <c r="E70" i="21" a="1"/>
  <c r="E70" i="21" s="1"/>
  <c r="D70" i="21" a="1"/>
  <c r="D70" i="21" s="1"/>
  <c r="C70" i="21" a="1"/>
  <c r="C70" i="21" s="1"/>
  <c r="B70" i="21" a="1"/>
  <c r="B70" i="21" s="1"/>
  <c r="F69" i="21" a="1"/>
  <c r="F69" i="21" s="1"/>
  <c r="E69" i="21" a="1"/>
  <c r="E69" i="21" s="1"/>
  <c r="D69" i="21" a="1"/>
  <c r="D69" i="21" s="1"/>
  <c r="C69" i="21" a="1"/>
  <c r="C69" i="21" s="1"/>
  <c r="B69" i="21" a="1"/>
  <c r="B69" i="21" s="1"/>
  <c r="F68" i="21" a="1"/>
  <c r="F68" i="21" s="1"/>
  <c r="E68" i="21" a="1"/>
  <c r="E68" i="21" s="1"/>
  <c r="D68" i="21" a="1"/>
  <c r="D68" i="21" s="1"/>
  <c r="C68" i="21" a="1"/>
  <c r="C68" i="21" s="1"/>
  <c r="B68" i="21" a="1"/>
  <c r="B68" i="21" s="1"/>
  <c r="A68" i="21" s="1"/>
  <c r="F67" i="21" a="1"/>
  <c r="F67" i="21" s="1"/>
  <c r="E67" i="21" a="1"/>
  <c r="E67" i="21" s="1"/>
  <c r="D67" i="21" a="1"/>
  <c r="D67" i="21" s="1"/>
  <c r="C67" i="21" a="1"/>
  <c r="C67" i="21" s="1"/>
  <c r="B67" i="21" a="1"/>
  <c r="B67" i="21" s="1"/>
  <c r="A67" i="21" s="1"/>
  <c r="F66" i="21" a="1"/>
  <c r="F66" i="21" s="1"/>
  <c r="E66" i="21" a="1"/>
  <c r="E66" i="21" s="1"/>
  <c r="D66" i="21" a="1"/>
  <c r="D66" i="21" s="1"/>
  <c r="C66" i="21" a="1"/>
  <c r="C66" i="21" s="1"/>
  <c r="B66" i="21" a="1"/>
  <c r="B66" i="21" s="1"/>
  <c r="A66" i="21" s="1"/>
  <c r="F65" i="21" a="1"/>
  <c r="F65" i="21" s="1"/>
  <c r="E65" i="21" a="1"/>
  <c r="E65" i="21" s="1"/>
  <c r="D65" i="21" a="1"/>
  <c r="D65" i="21" s="1"/>
  <c r="C65" i="21" a="1"/>
  <c r="C65" i="21" s="1"/>
  <c r="B65" i="21" a="1"/>
  <c r="B65" i="21" s="1"/>
  <c r="F64" i="21" a="1"/>
  <c r="F64" i="21" s="1"/>
  <c r="E64" i="21" a="1"/>
  <c r="E64" i="21" s="1"/>
  <c r="D64" i="21" a="1"/>
  <c r="D64" i="21" s="1"/>
  <c r="C64" i="21" a="1"/>
  <c r="C64" i="21" s="1"/>
  <c r="B64" i="21" a="1"/>
  <c r="B64" i="21" s="1"/>
  <c r="A64" i="21" s="1"/>
  <c r="F63" i="21" a="1"/>
  <c r="F63" i="21" s="1"/>
  <c r="E63" i="21" a="1"/>
  <c r="E63" i="21" s="1"/>
  <c r="D63" i="21" a="1"/>
  <c r="D63" i="21" s="1"/>
  <c r="C63" i="21" a="1"/>
  <c r="C63" i="21" s="1"/>
  <c r="B63" i="21" a="1"/>
  <c r="B63" i="21" s="1"/>
  <c r="A63" i="21" s="1"/>
  <c r="F62" i="21" a="1"/>
  <c r="F62" i="21" s="1"/>
  <c r="E62" i="21" a="1"/>
  <c r="E62" i="21" s="1"/>
  <c r="D62" i="21" a="1"/>
  <c r="D62" i="21" s="1"/>
  <c r="C62" i="21" a="1"/>
  <c r="C62" i="21" s="1"/>
  <c r="B62" i="21" a="1"/>
  <c r="B62" i="21" s="1"/>
  <c r="A62" i="21" s="1"/>
  <c r="F61" i="21" a="1"/>
  <c r="F61" i="21" s="1"/>
  <c r="E61" i="21" a="1"/>
  <c r="E61" i="21" s="1"/>
  <c r="D61" i="21" a="1"/>
  <c r="D61" i="21" s="1"/>
  <c r="C61" i="21" a="1"/>
  <c r="C61" i="21" s="1"/>
  <c r="B61" i="21" a="1"/>
  <c r="B61" i="21" s="1"/>
  <c r="F60" i="21" a="1"/>
  <c r="F60" i="21" s="1"/>
  <c r="E60" i="21" a="1"/>
  <c r="E60" i="21" s="1"/>
  <c r="D60" i="21" a="1"/>
  <c r="D60" i="21" s="1"/>
  <c r="C60" i="21" a="1"/>
  <c r="C60" i="21" s="1"/>
  <c r="B60" i="21" a="1"/>
  <c r="B60" i="21" s="1"/>
  <c r="A60" i="21" s="1"/>
  <c r="F59" i="21" a="1"/>
  <c r="F59" i="21" s="1"/>
  <c r="E59" i="21" a="1"/>
  <c r="E59" i="21" s="1"/>
  <c r="D59" i="21" a="1"/>
  <c r="D59" i="21" s="1"/>
  <c r="C59" i="21" a="1"/>
  <c r="C59" i="21" s="1"/>
  <c r="B59" i="21" a="1"/>
  <c r="B59" i="21" s="1"/>
  <c r="A59" i="21" s="1"/>
  <c r="F58" i="21" a="1"/>
  <c r="F58" i="21" s="1"/>
  <c r="E58" i="21" a="1"/>
  <c r="E58" i="21" s="1"/>
  <c r="D58" i="21" a="1"/>
  <c r="D58" i="21" s="1"/>
  <c r="C58" i="21" a="1"/>
  <c r="C58" i="21" s="1"/>
  <c r="B58" i="21" a="1"/>
  <c r="B58" i="21" s="1"/>
  <c r="F57" i="21" a="1"/>
  <c r="F57" i="21" s="1"/>
  <c r="E57" i="21" a="1"/>
  <c r="E57" i="21" s="1"/>
  <c r="D57" i="21" a="1"/>
  <c r="D57" i="21" s="1"/>
  <c r="C57" i="21" a="1"/>
  <c r="C57" i="21" s="1"/>
  <c r="B57" i="21" a="1"/>
  <c r="B57" i="21" s="1"/>
  <c r="F56" i="21" a="1"/>
  <c r="F56" i="21" s="1"/>
  <c r="E56" i="21" a="1"/>
  <c r="E56" i="21" s="1"/>
  <c r="D56" i="21" a="1"/>
  <c r="D56" i="21" s="1"/>
  <c r="C56" i="21" a="1"/>
  <c r="C56" i="21" s="1"/>
  <c r="B56" i="21" a="1"/>
  <c r="B56" i="21" s="1"/>
  <c r="F55" i="21" a="1"/>
  <c r="F55" i="21" s="1"/>
  <c r="E55" i="21" a="1"/>
  <c r="E55" i="21" s="1"/>
  <c r="D55" i="21" a="1"/>
  <c r="D55" i="21" s="1"/>
  <c r="C55" i="21" a="1"/>
  <c r="C55" i="21" s="1"/>
  <c r="B55" i="21" a="1"/>
  <c r="B55" i="21" s="1"/>
  <c r="A55" i="21" s="1"/>
  <c r="F54" i="21" a="1"/>
  <c r="F54" i="21" s="1"/>
  <c r="E54" i="21" a="1"/>
  <c r="E54" i="21" s="1"/>
  <c r="D54" i="21" a="1"/>
  <c r="D54" i="21" s="1"/>
  <c r="C54" i="21" a="1"/>
  <c r="C54" i="21" s="1"/>
  <c r="B54" i="21" a="1"/>
  <c r="B54" i="21" s="1"/>
  <c r="F53" i="21" a="1"/>
  <c r="F53" i="21" s="1"/>
  <c r="E53" i="21" a="1"/>
  <c r="E53" i="21" s="1"/>
  <c r="D53" i="21" a="1"/>
  <c r="D53" i="21" s="1"/>
  <c r="C53" i="21" a="1"/>
  <c r="C53" i="21" s="1"/>
  <c r="B53" i="21" a="1"/>
  <c r="B53" i="21" s="1"/>
  <c r="F52" i="21" a="1"/>
  <c r="F52" i="21" s="1"/>
  <c r="E52" i="21" a="1"/>
  <c r="E52" i="21" s="1"/>
  <c r="D52" i="21" a="1"/>
  <c r="D52" i="21" s="1"/>
  <c r="C52" i="21" a="1"/>
  <c r="C52" i="21" s="1"/>
  <c r="B52" i="21" a="1"/>
  <c r="B52" i="21" s="1"/>
  <c r="F51" i="21" a="1"/>
  <c r="F51" i="21" s="1"/>
  <c r="E51" i="21" a="1"/>
  <c r="E51" i="21" s="1"/>
  <c r="D51" i="21" a="1"/>
  <c r="D51" i="21" s="1"/>
  <c r="C51" i="21" a="1"/>
  <c r="C51" i="21" s="1"/>
  <c r="B51" i="21" a="1"/>
  <c r="B51" i="21" s="1"/>
  <c r="F50" i="21" a="1"/>
  <c r="F50" i="21" s="1"/>
  <c r="E50" i="21" a="1"/>
  <c r="E50" i="21" s="1"/>
  <c r="D50" i="21" a="1"/>
  <c r="D50" i="21" s="1"/>
  <c r="C50" i="21" a="1"/>
  <c r="C50" i="21" s="1"/>
  <c r="B50" i="21" a="1"/>
  <c r="B50" i="21" s="1"/>
  <c r="F49" i="21" a="1"/>
  <c r="F49" i="21" s="1"/>
  <c r="E49" i="21" a="1"/>
  <c r="E49" i="21" s="1"/>
  <c r="D49" i="21" a="1"/>
  <c r="D49" i="21" s="1"/>
  <c r="C49" i="21" a="1"/>
  <c r="C49" i="21" s="1"/>
  <c r="B49" i="21" a="1"/>
  <c r="B49" i="21" s="1"/>
  <c r="F48" i="21" a="1"/>
  <c r="F48" i="21" s="1"/>
  <c r="E48" i="21" a="1"/>
  <c r="E48" i="21" s="1"/>
  <c r="D48" i="21" a="1"/>
  <c r="D48" i="21" s="1"/>
  <c r="C48" i="21" a="1"/>
  <c r="C48" i="21" s="1"/>
  <c r="B48" i="21" a="1"/>
  <c r="B48" i="21" s="1"/>
  <c r="G48" i="21" s="1"/>
  <c r="F47" i="21" a="1"/>
  <c r="F47" i="21" s="1"/>
  <c r="E47" i="21" a="1"/>
  <c r="E47" i="21" s="1"/>
  <c r="D47" i="21" a="1"/>
  <c r="D47" i="21" s="1"/>
  <c r="C47" i="21" a="1"/>
  <c r="C47" i="21" s="1"/>
  <c r="B47" i="21" a="1"/>
  <c r="B47" i="21" s="1"/>
  <c r="G47" i="21" s="1"/>
  <c r="F46" i="21" a="1"/>
  <c r="F46" i="21" s="1"/>
  <c r="E46" i="21" a="1"/>
  <c r="E46" i="21" s="1"/>
  <c r="D46" i="21" a="1"/>
  <c r="D46" i="21" s="1"/>
  <c r="C46" i="21" a="1"/>
  <c r="C46" i="21" s="1"/>
  <c r="B46" i="21" a="1"/>
  <c r="B46" i="21" s="1"/>
  <c r="G46" i="21" s="1"/>
  <c r="F45" i="21" a="1"/>
  <c r="F45" i="21" s="1"/>
  <c r="E45" i="21" a="1"/>
  <c r="E45" i="21" s="1"/>
  <c r="D45" i="21" a="1"/>
  <c r="D45" i="21" s="1"/>
  <c r="C45" i="21" a="1"/>
  <c r="C45" i="21" s="1"/>
  <c r="B45" i="21" a="1"/>
  <c r="B45" i="21" s="1"/>
  <c r="G45" i="21" s="1"/>
  <c r="F41" i="21" a="1"/>
  <c r="F41" i="21" s="1"/>
  <c r="E41" i="21" a="1"/>
  <c r="E41" i="21" s="1"/>
  <c r="D41" i="21" a="1"/>
  <c r="D41" i="21" s="1"/>
  <c r="C41" i="21" a="1"/>
  <c r="C41" i="21" s="1"/>
  <c r="B41" i="21" a="1"/>
  <c r="B41" i="21" s="1"/>
  <c r="G41" i="21" s="1"/>
  <c r="F40" i="21" a="1"/>
  <c r="F40" i="21" s="1"/>
  <c r="E40" i="21" a="1"/>
  <c r="E40" i="21" s="1"/>
  <c r="D40" i="21" a="1"/>
  <c r="D40" i="21" s="1"/>
  <c r="C40" i="21" a="1"/>
  <c r="C40" i="21" s="1"/>
  <c r="B40" i="21" a="1"/>
  <c r="B40" i="21" s="1"/>
  <c r="G40" i="21" s="1"/>
  <c r="A40" i="21"/>
  <c r="F39" i="21" a="1"/>
  <c r="F39" i="21" s="1"/>
  <c r="E39" i="21" a="1"/>
  <c r="E39" i="21" s="1"/>
  <c r="D39" i="21" a="1"/>
  <c r="D39" i="21" s="1"/>
  <c r="C39" i="21" a="1"/>
  <c r="C39" i="21" s="1"/>
  <c r="B39" i="21" a="1"/>
  <c r="B39" i="21" s="1"/>
  <c r="G39" i="21" s="1"/>
  <c r="F38" i="21" a="1"/>
  <c r="F38" i="21" s="1"/>
  <c r="E38" i="21" a="1"/>
  <c r="E38" i="21" s="1"/>
  <c r="D38" i="21" a="1"/>
  <c r="D38" i="21" s="1"/>
  <c r="C38" i="21" a="1"/>
  <c r="C38" i="21" s="1"/>
  <c r="B38" i="21" a="1"/>
  <c r="B38" i="21" s="1"/>
  <c r="G38" i="21" s="1"/>
  <c r="A38" i="21"/>
  <c r="F37" i="21" a="1"/>
  <c r="F37" i="21" s="1"/>
  <c r="E37" i="21" a="1"/>
  <c r="E37" i="21" s="1"/>
  <c r="D37" i="21" a="1"/>
  <c r="D37" i="21" s="1"/>
  <c r="C37" i="21" a="1"/>
  <c r="C37" i="21" s="1"/>
  <c r="B37" i="21" a="1"/>
  <c r="B37" i="21" s="1"/>
  <c r="G37" i="21" s="1"/>
  <c r="F36" i="21" a="1"/>
  <c r="F36" i="21" s="1"/>
  <c r="E36" i="21" a="1"/>
  <c r="E36" i="21" s="1"/>
  <c r="D36" i="21" a="1"/>
  <c r="D36" i="21" s="1"/>
  <c r="C36" i="21" a="1"/>
  <c r="C36" i="21" s="1"/>
  <c r="B36" i="21" a="1"/>
  <c r="B36" i="21" s="1"/>
  <c r="G36" i="21" s="1"/>
  <c r="A36" i="21"/>
  <c r="F35" i="21" a="1"/>
  <c r="F35" i="21" s="1"/>
  <c r="E35" i="21" a="1"/>
  <c r="E35" i="21" s="1"/>
  <c r="D35" i="21" a="1"/>
  <c r="D35" i="21" s="1"/>
  <c r="C35" i="21" a="1"/>
  <c r="C35" i="21" s="1"/>
  <c r="B35" i="21" a="1"/>
  <c r="B35" i="21" s="1"/>
  <c r="G35" i="21" s="1"/>
  <c r="F34" i="21" a="1"/>
  <c r="F34" i="21" s="1"/>
  <c r="E34" i="21" a="1"/>
  <c r="E34" i="21" s="1"/>
  <c r="D34" i="21" a="1"/>
  <c r="D34" i="21" s="1"/>
  <c r="C34" i="21" a="1"/>
  <c r="C34" i="21" s="1"/>
  <c r="B34" i="21" a="1"/>
  <c r="B34" i="21" s="1"/>
  <c r="G34" i="21" s="1"/>
  <c r="A34" i="21"/>
  <c r="F33" i="21" a="1"/>
  <c r="F33" i="21" s="1"/>
  <c r="E33" i="21" a="1"/>
  <c r="E33" i="21" s="1"/>
  <c r="D33" i="21" a="1"/>
  <c r="D33" i="21" s="1"/>
  <c r="C33" i="21" a="1"/>
  <c r="C33" i="21" s="1"/>
  <c r="B33" i="21" a="1"/>
  <c r="B33" i="21" s="1"/>
  <c r="G33" i="21" s="1"/>
  <c r="F32" i="21" a="1"/>
  <c r="F32" i="21" s="1"/>
  <c r="E32" i="21" a="1"/>
  <c r="E32" i="21" s="1"/>
  <c r="D32" i="21" a="1"/>
  <c r="D32" i="21" s="1"/>
  <c r="C32" i="21" a="1"/>
  <c r="C32" i="21" s="1"/>
  <c r="B32" i="21" a="1"/>
  <c r="B32" i="21" s="1"/>
  <c r="G32" i="21" s="1"/>
  <c r="A32" i="21"/>
  <c r="F31" i="21" a="1"/>
  <c r="F31" i="21" s="1"/>
  <c r="E31" i="21" a="1"/>
  <c r="E31" i="21" s="1"/>
  <c r="D31" i="21" a="1"/>
  <c r="D31" i="21" s="1"/>
  <c r="C31" i="21" a="1"/>
  <c r="C31" i="21" s="1"/>
  <c r="B31" i="21" a="1"/>
  <c r="B31" i="21" s="1"/>
  <c r="G31" i="21" s="1"/>
  <c r="F30" i="21" a="1"/>
  <c r="F30" i="21" s="1"/>
  <c r="E30" i="21" a="1"/>
  <c r="E30" i="21" s="1"/>
  <c r="D30" i="21" a="1"/>
  <c r="D30" i="21" s="1"/>
  <c r="C30" i="21" a="1"/>
  <c r="C30" i="21" s="1"/>
  <c r="B30" i="21" a="1"/>
  <c r="B30" i="21" s="1"/>
  <c r="G30" i="21" s="1"/>
  <c r="A30" i="21"/>
  <c r="F29" i="21" a="1"/>
  <c r="F29" i="21" s="1"/>
  <c r="E29" i="21" a="1"/>
  <c r="E29" i="21" s="1"/>
  <c r="D29" i="21" a="1"/>
  <c r="D29" i="21" s="1"/>
  <c r="C29" i="21" a="1"/>
  <c r="C29" i="21" s="1"/>
  <c r="B29" i="21" a="1"/>
  <c r="B29" i="21" s="1"/>
  <c r="G29" i="21" s="1"/>
  <c r="F28" i="21" a="1"/>
  <c r="F28" i="21" s="1"/>
  <c r="E28" i="21" a="1"/>
  <c r="E28" i="21" s="1"/>
  <c r="D28" i="21" a="1"/>
  <c r="D28" i="21" s="1"/>
  <c r="C28" i="21" a="1"/>
  <c r="C28" i="21" s="1"/>
  <c r="B28" i="21" a="1"/>
  <c r="B28" i="21" s="1"/>
  <c r="G28" i="21" s="1"/>
  <c r="A28" i="21"/>
  <c r="F27" i="21" a="1"/>
  <c r="F27" i="21" s="1"/>
  <c r="E27" i="21" a="1"/>
  <c r="E27" i="21" s="1"/>
  <c r="D27" i="21" a="1"/>
  <c r="D27" i="21" s="1"/>
  <c r="C27" i="21" a="1"/>
  <c r="C27" i="21" s="1"/>
  <c r="B27" i="21" a="1"/>
  <c r="B27" i="21" s="1"/>
  <c r="G27" i="21" s="1"/>
  <c r="F26" i="21" a="1"/>
  <c r="F26" i="21" s="1"/>
  <c r="E26" i="21" a="1"/>
  <c r="E26" i="21" s="1"/>
  <c r="D26" i="21" a="1"/>
  <c r="D26" i="21" s="1"/>
  <c r="C26" i="21" a="1"/>
  <c r="C26" i="21" s="1"/>
  <c r="B26" i="21" a="1"/>
  <c r="B26" i="21" s="1"/>
  <c r="G26" i="21" s="1"/>
  <c r="A26" i="21"/>
  <c r="F25" i="21" a="1"/>
  <c r="F25" i="21" s="1"/>
  <c r="E25" i="21" a="1"/>
  <c r="E25" i="21" s="1"/>
  <c r="D25" i="21" a="1"/>
  <c r="D25" i="21" s="1"/>
  <c r="C25" i="21" a="1"/>
  <c r="C25" i="21" s="1"/>
  <c r="B25" i="21" a="1"/>
  <c r="B25" i="21" s="1"/>
  <c r="G25" i="21" s="1"/>
  <c r="F24" i="21" a="1"/>
  <c r="F24" i="21" s="1"/>
  <c r="E24" i="21" a="1"/>
  <c r="E24" i="21" s="1"/>
  <c r="D24" i="21" a="1"/>
  <c r="D24" i="21" s="1"/>
  <c r="C24" i="21" a="1"/>
  <c r="C24" i="21" s="1"/>
  <c r="B24" i="21" a="1"/>
  <c r="B24" i="21" s="1"/>
  <c r="G24" i="21" s="1"/>
  <c r="A24" i="21"/>
  <c r="F23" i="21" a="1"/>
  <c r="F23" i="21" s="1"/>
  <c r="E23" i="21" a="1"/>
  <c r="E23" i="21" s="1"/>
  <c r="D23" i="21" a="1"/>
  <c r="D23" i="21" s="1"/>
  <c r="C23" i="21" a="1"/>
  <c r="C23" i="21" s="1"/>
  <c r="B23" i="21" a="1"/>
  <c r="B23" i="21" s="1"/>
  <c r="G23" i="21" s="1"/>
  <c r="F22" i="21" a="1"/>
  <c r="F22" i="21" s="1"/>
  <c r="E22" i="21" a="1"/>
  <c r="E22" i="21" s="1"/>
  <c r="D22" i="21" a="1"/>
  <c r="D22" i="21" s="1"/>
  <c r="C22" i="21" a="1"/>
  <c r="C22" i="21" s="1"/>
  <c r="B22" i="21" a="1"/>
  <c r="B22" i="21" s="1"/>
  <c r="G22" i="21" s="1"/>
  <c r="F21" i="21" a="1"/>
  <c r="F21" i="21" s="1"/>
  <c r="E21" i="21" a="1"/>
  <c r="E21" i="21" s="1"/>
  <c r="D21" i="21" a="1"/>
  <c r="D21" i="21" s="1"/>
  <c r="C21" i="21" a="1"/>
  <c r="C21" i="21" s="1"/>
  <c r="B21" i="21" a="1"/>
  <c r="B21" i="21" s="1"/>
  <c r="F20" i="21" a="1"/>
  <c r="F20" i="21" s="1"/>
  <c r="E20" i="21" a="1"/>
  <c r="E20" i="21" s="1"/>
  <c r="D20" i="21" a="1"/>
  <c r="D20" i="21" s="1"/>
  <c r="C20" i="21" a="1"/>
  <c r="C20" i="21" s="1"/>
  <c r="B20" i="21" a="1"/>
  <c r="B20" i="21" s="1"/>
  <c r="G20" i="21" s="1"/>
  <c r="A20" i="21"/>
  <c r="F19" i="21" a="1"/>
  <c r="F19" i="21" s="1"/>
  <c r="E19" i="21" a="1"/>
  <c r="E19" i="21" s="1"/>
  <c r="D19" i="21" a="1"/>
  <c r="D19" i="21" s="1"/>
  <c r="C19" i="21" a="1"/>
  <c r="C19" i="21" s="1"/>
  <c r="B19" i="21" a="1"/>
  <c r="B19" i="21" s="1"/>
  <c r="F18" i="21" a="1"/>
  <c r="F18" i="21" s="1"/>
  <c r="E18" i="21" a="1"/>
  <c r="E18" i="21" s="1"/>
  <c r="D18" i="21" a="1"/>
  <c r="D18" i="21" s="1"/>
  <c r="C18" i="21" a="1"/>
  <c r="C18" i="21" s="1"/>
  <c r="B18" i="21" a="1"/>
  <c r="B18" i="21" s="1"/>
  <c r="G18" i="21" s="1"/>
  <c r="A18" i="21"/>
  <c r="F17" i="21" a="1"/>
  <c r="F17" i="21" s="1"/>
  <c r="E17" i="21" a="1"/>
  <c r="E17" i="21" s="1"/>
  <c r="D17" i="21" a="1"/>
  <c r="D17" i="21" s="1"/>
  <c r="C17" i="21" a="1"/>
  <c r="C17" i="21" s="1"/>
  <c r="B17" i="21" a="1"/>
  <c r="B17" i="21" s="1"/>
  <c r="F16" i="21" a="1"/>
  <c r="F16" i="21" s="1"/>
  <c r="E16" i="21" a="1"/>
  <c r="E16" i="21" s="1"/>
  <c r="D16" i="21" a="1"/>
  <c r="D16" i="21" s="1"/>
  <c r="C16" i="21" a="1"/>
  <c r="C16" i="21" s="1"/>
  <c r="B16" i="21" a="1"/>
  <c r="B16" i="21" s="1"/>
  <c r="G16" i="21" s="1"/>
  <c r="F15" i="21" a="1"/>
  <c r="F15" i="21" s="1"/>
  <c r="E15" i="21" a="1"/>
  <c r="E15" i="21" s="1"/>
  <c r="D15" i="21" a="1"/>
  <c r="D15" i="21" s="1"/>
  <c r="C15" i="21" a="1"/>
  <c r="C15" i="21" s="1"/>
  <c r="B15" i="21" a="1"/>
  <c r="B15" i="21" s="1"/>
  <c r="F14" i="21" a="1"/>
  <c r="F14" i="21" s="1"/>
  <c r="E14" i="21" a="1"/>
  <c r="E14" i="21" s="1"/>
  <c r="D14" i="21" a="1"/>
  <c r="D14" i="21" s="1"/>
  <c r="C14" i="21" a="1"/>
  <c r="C14" i="21" s="1"/>
  <c r="B14" i="21" a="1"/>
  <c r="B14" i="21" s="1"/>
  <c r="G14" i="21" s="1"/>
  <c r="F13" i="21" a="1"/>
  <c r="F13" i="21" s="1"/>
  <c r="E13" i="21" a="1"/>
  <c r="E13" i="21" s="1"/>
  <c r="D13" i="21" a="1"/>
  <c r="D13" i="21" s="1"/>
  <c r="C13" i="21" a="1"/>
  <c r="C13" i="21" s="1"/>
  <c r="B13" i="21" a="1"/>
  <c r="B13" i="21" s="1"/>
  <c r="F12" i="21" a="1"/>
  <c r="F12" i="21" s="1"/>
  <c r="E12" i="21" a="1"/>
  <c r="E12" i="21" s="1"/>
  <c r="D12" i="21" a="1"/>
  <c r="D12" i="21" s="1"/>
  <c r="C12" i="21" a="1"/>
  <c r="C12" i="21" s="1"/>
  <c r="B12" i="21" a="1"/>
  <c r="B12" i="21" s="1"/>
  <c r="G12" i="21" s="1"/>
  <c r="E8" i="21" a="1"/>
  <c r="E8" i="21" s="1"/>
  <c r="B8" i="21"/>
  <c r="B7" i="21"/>
  <c r="B6" i="21"/>
  <c r="E5" i="21"/>
  <c r="E6" i="21" s="1"/>
  <c r="B5" i="21"/>
  <c r="E4" i="21"/>
  <c r="B4" i="21"/>
  <c r="I3" i="21"/>
  <c r="A1" i="21"/>
  <c r="F74" i="20" a="1"/>
  <c r="F74" i="20" s="1"/>
  <c r="E74" i="20" a="1"/>
  <c r="E74" i="20" s="1"/>
  <c r="D74" i="20" a="1"/>
  <c r="D74" i="20" s="1"/>
  <c r="C74" i="20" a="1"/>
  <c r="C74" i="20" s="1"/>
  <c r="B74" i="20" a="1"/>
  <c r="B74" i="20" s="1"/>
  <c r="G74" i="20" s="1"/>
  <c r="F73" i="20" a="1"/>
  <c r="F73" i="20" s="1"/>
  <c r="E73" i="20" a="1"/>
  <c r="E73" i="20" s="1"/>
  <c r="D73" i="20" a="1"/>
  <c r="D73" i="20" s="1"/>
  <c r="C73" i="20" a="1"/>
  <c r="C73" i="20" s="1"/>
  <c r="B73" i="20" a="1"/>
  <c r="B73" i="20" s="1"/>
  <c r="G73" i="20" s="1"/>
  <c r="F72" i="20" a="1"/>
  <c r="F72" i="20" s="1"/>
  <c r="E72" i="20" a="1"/>
  <c r="E72" i="20" s="1"/>
  <c r="D72" i="20" a="1"/>
  <c r="D72" i="20" s="1"/>
  <c r="C72" i="20" a="1"/>
  <c r="C72" i="20" s="1"/>
  <c r="B72" i="20" a="1"/>
  <c r="B72" i="20" s="1"/>
  <c r="G72" i="20" s="1"/>
  <c r="F71" i="20" a="1"/>
  <c r="F71" i="20" s="1"/>
  <c r="E71" i="20" a="1"/>
  <c r="E71" i="20" s="1"/>
  <c r="D71" i="20" a="1"/>
  <c r="D71" i="20" s="1"/>
  <c r="C71" i="20" a="1"/>
  <c r="C71" i="20" s="1"/>
  <c r="B71" i="20" a="1"/>
  <c r="B71" i="20" s="1"/>
  <c r="A71" i="20" s="1"/>
  <c r="F70" i="20" a="1"/>
  <c r="F70" i="20" s="1"/>
  <c r="E70" i="20" a="1"/>
  <c r="E70" i="20" s="1"/>
  <c r="D70" i="20" a="1"/>
  <c r="D70" i="20" s="1"/>
  <c r="C70" i="20" a="1"/>
  <c r="C70" i="20" s="1"/>
  <c r="B70" i="20" a="1"/>
  <c r="B70" i="20" s="1"/>
  <c r="G70" i="20" s="1"/>
  <c r="F69" i="20" a="1"/>
  <c r="F69" i="20" s="1"/>
  <c r="E69" i="20" a="1"/>
  <c r="E69" i="20" s="1"/>
  <c r="D69" i="20" a="1"/>
  <c r="D69" i="20" s="1"/>
  <c r="C69" i="20" a="1"/>
  <c r="C69" i="20" s="1"/>
  <c r="B69" i="20" a="1"/>
  <c r="B69" i="20" s="1"/>
  <c r="G69" i="20" s="1"/>
  <c r="F68" i="20" a="1"/>
  <c r="F68" i="20" s="1"/>
  <c r="E68" i="20" a="1"/>
  <c r="E68" i="20" s="1"/>
  <c r="D68" i="20" a="1"/>
  <c r="D68" i="20" s="1"/>
  <c r="C68" i="20" a="1"/>
  <c r="C68" i="20" s="1"/>
  <c r="B68" i="20" a="1"/>
  <c r="B68" i="20" s="1"/>
  <c r="G68" i="20" s="1"/>
  <c r="F67" i="20" a="1"/>
  <c r="F67" i="20" s="1"/>
  <c r="E67" i="20" a="1"/>
  <c r="E67" i="20" s="1"/>
  <c r="D67" i="20" a="1"/>
  <c r="D67" i="20" s="1"/>
  <c r="C67" i="20" a="1"/>
  <c r="C67" i="20" s="1"/>
  <c r="B67" i="20" a="1"/>
  <c r="B67" i="20" s="1"/>
  <c r="A67" i="20" s="1"/>
  <c r="F66" i="20" a="1"/>
  <c r="F66" i="20" s="1"/>
  <c r="E66" i="20" a="1"/>
  <c r="E66" i="20" s="1"/>
  <c r="D66" i="20" a="1"/>
  <c r="D66" i="20" s="1"/>
  <c r="C66" i="20" a="1"/>
  <c r="C66" i="20" s="1"/>
  <c r="B66" i="20" a="1"/>
  <c r="B66" i="20" s="1"/>
  <c r="G66" i="20" s="1"/>
  <c r="F65" i="20" a="1"/>
  <c r="F65" i="20" s="1"/>
  <c r="E65" i="20" a="1"/>
  <c r="E65" i="20" s="1"/>
  <c r="D65" i="20" a="1"/>
  <c r="D65" i="20" s="1"/>
  <c r="C65" i="20" a="1"/>
  <c r="C65" i="20" s="1"/>
  <c r="B65" i="20" a="1"/>
  <c r="B65" i="20" s="1"/>
  <c r="G65" i="20" s="1"/>
  <c r="F64" i="20" a="1"/>
  <c r="F64" i="20" s="1"/>
  <c r="E64" i="20" a="1"/>
  <c r="E64" i="20" s="1"/>
  <c r="D64" i="20" a="1"/>
  <c r="D64" i="20" s="1"/>
  <c r="C64" i="20" a="1"/>
  <c r="C64" i="20" s="1"/>
  <c r="B64" i="20" a="1"/>
  <c r="B64" i="20" s="1"/>
  <c r="G64" i="20" s="1"/>
  <c r="F63" i="20" a="1"/>
  <c r="F63" i="20" s="1"/>
  <c r="E63" i="20" a="1"/>
  <c r="E63" i="20" s="1"/>
  <c r="D63" i="20" a="1"/>
  <c r="D63" i="20" s="1"/>
  <c r="C63" i="20" a="1"/>
  <c r="C63" i="20" s="1"/>
  <c r="B63" i="20" a="1"/>
  <c r="B63" i="20" s="1"/>
  <c r="G63" i="20" s="1"/>
  <c r="F62" i="20" a="1"/>
  <c r="F62" i="20" s="1"/>
  <c r="E62" i="20" a="1"/>
  <c r="E62" i="20" s="1"/>
  <c r="D62" i="20" a="1"/>
  <c r="D62" i="20" s="1"/>
  <c r="C62" i="20" a="1"/>
  <c r="C62" i="20" s="1"/>
  <c r="B62" i="20" a="1"/>
  <c r="B62" i="20" s="1"/>
  <c r="A62" i="20" s="1"/>
  <c r="F61" i="20" a="1"/>
  <c r="F61" i="20" s="1"/>
  <c r="E61" i="20" a="1"/>
  <c r="E61" i="20" s="1"/>
  <c r="D61" i="20" a="1"/>
  <c r="D61" i="20" s="1"/>
  <c r="C61" i="20" a="1"/>
  <c r="C61" i="20" s="1"/>
  <c r="B61" i="20" a="1"/>
  <c r="B61" i="20" s="1"/>
  <c r="A61" i="20" s="1"/>
  <c r="F60" i="20" a="1"/>
  <c r="F60" i="20" s="1"/>
  <c r="E60" i="20" a="1"/>
  <c r="E60" i="20" s="1"/>
  <c r="D60" i="20" a="1"/>
  <c r="D60" i="20" s="1"/>
  <c r="C60" i="20" a="1"/>
  <c r="C60" i="20" s="1"/>
  <c r="B60" i="20" a="1"/>
  <c r="B60" i="20" s="1"/>
  <c r="A60" i="20" s="1"/>
  <c r="F59" i="20" a="1"/>
  <c r="F59" i="20" s="1"/>
  <c r="E59" i="20" a="1"/>
  <c r="E59" i="20" s="1"/>
  <c r="D59" i="20" a="1"/>
  <c r="D59" i="20" s="1"/>
  <c r="C59" i="20" a="1"/>
  <c r="C59" i="20" s="1"/>
  <c r="B59" i="20" a="1"/>
  <c r="B59" i="20" s="1"/>
  <c r="A59" i="20" s="1"/>
  <c r="F58" i="20" a="1"/>
  <c r="F58" i="20" s="1"/>
  <c r="E58" i="20" a="1"/>
  <c r="E58" i="20" s="1"/>
  <c r="D58" i="20" a="1"/>
  <c r="D58" i="20" s="1"/>
  <c r="C58" i="20" a="1"/>
  <c r="C58" i="20" s="1"/>
  <c r="B58" i="20" a="1"/>
  <c r="B58" i="20" s="1"/>
  <c r="F57" i="20" a="1"/>
  <c r="F57" i="20" s="1"/>
  <c r="E57" i="20" a="1"/>
  <c r="E57" i="20" s="1"/>
  <c r="D57" i="20" a="1"/>
  <c r="D57" i="20" s="1"/>
  <c r="C57" i="20" a="1"/>
  <c r="C57" i="20" s="1"/>
  <c r="B57" i="20" a="1"/>
  <c r="B57" i="20" s="1"/>
  <c r="F56" i="20" a="1"/>
  <c r="F56" i="20" s="1"/>
  <c r="E56" i="20" a="1"/>
  <c r="E56" i="20" s="1"/>
  <c r="D56" i="20" a="1"/>
  <c r="D56" i="20" s="1"/>
  <c r="C56" i="20" a="1"/>
  <c r="C56" i="20" s="1"/>
  <c r="B56" i="20" a="1"/>
  <c r="B56" i="20" s="1"/>
  <c r="G56" i="20" s="1"/>
  <c r="F55" i="20" a="1"/>
  <c r="F55" i="20" s="1"/>
  <c r="E55" i="20" a="1"/>
  <c r="E55" i="20" s="1"/>
  <c r="D55" i="20" a="1"/>
  <c r="D55" i="20" s="1"/>
  <c r="C55" i="20" a="1"/>
  <c r="C55" i="20" s="1"/>
  <c r="B55" i="20" a="1"/>
  <c r="B55" i="20" s="1"/>
  <c r="G55" i="20" s="1"/>
  <c r="F54" i="20" a="1"/>
  <c r="F54" i="20" s="1"/>
  <c r="E54" i="20" a="1"/>
  <c r="E54" i="20" s="1"/>
  <c r="D54" i="20" a="1"/>
  <c r="D54" i="20" s="1"/>
  <c r="C54" i="20" a="1"/>
  <c r="C54" i="20" s="1"/>
  <c r="B54" i="20" a="1"/>
  <c r="B54" i="20" s="1"/>
  <c r="G54" i="20" s="1"/>
  <c r="F53" i="20" a="1"/>
  <c r="F53" i="20" s="1"/>
  <c r="E53" i="20" a="1"/>
  <c r="E53" i="20" s="1"/>
  <c r="D53" i="20" a="1"/>
  <c r="D53" i="20" s="1"/>
  <c r="C53" i="20" a="1"/>
  <c r="C53" i="20" s="1"/>
  <c r="B53" i="20" a="1"/>
  <c r="B53" i="20" s="1"/>
  <c r="G53" i="20" s="1"/>
  <c r="F52" i="20" a="1"/>
  <c r="F52" i="20" s="1"/>
  <c r="E52" i="20" a="1"/>
  <c r="E52" i="20" s="1"/>
  <c r="D52" i="20" a="1"/>
  <c r="D52" i="20" s="1"/>
  <c r="C52" i="20" a="1"/>
  <c r="C52" i="20" s="1"/>
  <c r="B52" i="20" a="1"/>
  <c r="B52" i="20" s="1"/>
  <c r="G52" i="20" s="1"/>
  <c r="F51" i="20" a="1"/>
  <c r="F51" i="20" s="1"/>
  <c r="E51" i="20" a="1"/>
  <c r="E51" i="20" s="1"/>
  <c r="D51" i="20" a="1"/>
  <c r="D51" i="20" s="1"/>
  <c r="C51" i="20" a="1"/>
  <c r="C51" i="20" s="1"/>
  <c r="B51" i="20" a="1"/>
  <c r="B51" i="20" s="1"/>
  <c r="G51" i="20" s="1"/>
  <c r="F50" i="20" a="1"/>
  <c r="F50" i="20" s="1"/>
  <c r="E50" i="20" a="1"/>
  <c r="E50" i="20" s="1"/>
  <c r="D50" i="20" a="1"/>
  <c r="D50" i="20" s="1"/>
  <c r="C50" i="20" a="1"/>
  <c r="C50" i="20" s="1"/>
  <c r="B50" i="20" a="1"/>
  <c r="B50" i="20" s="1"/>
  <c r="G50" i="20" s="1"/>
  <c r="F49" i="20" a="1"/>
  <c r="F49" i="20" s="1"/>
  <c r="E49" i="20" a="1"/>
  <c r="E49" i="20" s="1"/>
  <c r="D49" i="20" a="1"/>
  <c r="D49" i="20" s="1"/>
  <c r="C49" i="20" a="1"/>
  <c r="C49" i="20" s="1"/>
  <c r="B49" i="20" a="1"/>
  <c r="B49" i="20" s="1"/>
  <c r="G49" i="20" s="1"/>
  <c r="F48" i="20" a="1"/>
  <c r="F48" i="20" s="1"/>
  <c r="E48" i="20" a="1"/>
  <c r="E48" i="20" s="1"/>
  <c r="D48" i="20" a="1"/>
  <c r="D48" i="20" s="1"/>
  <c r="C48" i="20" a="1"/>
  <c r="C48" i="20" s="1"/>
  <c r="B48" i="20" a="1"/>
  <c r="B48" i="20" s="1"/>
  <c r="G48" i="20" s="1"/>
  <c r="F47" i="20" a="1"/>
  <c r="F47" i="20" s="1"/>
  <c r="E47" i="20" a="1"/>
  <c r="E47" i="20" s="1"/>
  <c r="D47" i="20" a="1"/>
  <c r="D47" i="20" s="1"/>
  <c r="C47" i="20" a="1"/>
  <c r="C47" i="20" s="1"/>
  <c r="B47" i="20" a="1"/>
  <c r="B47" i="20" s="1"/>
  <c r="G47" i="20" s="1"/>
  <c r="F46" i="20" a="1"/>
  <c r="F46" i="20" s="1"/>
  <c r="E46" i="20" a="1"/>
  <c r="E46" i="20" s="1"/>
  <c r="D46" i="20" a="1"/>
  <c r="D46" i="20" s="1"/>
  <c r="C46" i="20" a="1"/>
  <c r="C46" i="20" s="1"/>
  <c r="B46" i="20" a="1"/>
  <c r="B46" i="20" s="1"/>
  <c r="G46" i="20" s="1"/>
  <c r="F45" i="20" a="1"/>
  <c r="F45" i="20" s="1"/>
  <c r="E45" i="20" a="1"/>
  <c r="E45" i="20" s="1"/>
  <c r="D45" i="20" a="1"/>
  <c r="D45" i="20" s="1"/>
  <c r="C45" i="20" a="1"/>
  <c r="C45" i="20" s="1"/>
  <c r="B45" i="20" a="1"/>
  <c r="B45" i="20" s="1"/>
  <c r="G45" i="20" s="1"/>
  <c r="F41" i="20" a="1"/>
  <c r="F41" i="20" s="1"/>
  <c r="E41" i="20" a="1"/>
  <c r="E41" i="20" s="1"/>
  <c r="D41" i="20" a="1"/>
  <c r="D41" i="20" s="1"/>
  <c r="C41" i="20" a="1"/>
  <c r="C41" i="20" s="1"/>
  <c r="B41" i="20" a="1"/>
  <c r="B41" i="20" s="1"/>
  <c r="G41" i="20" s="1"/>
  <c r="A41" i="20"/>
  <c r="F40" i="20" a="1"/>
  <c r="F40" i="20" s="1"/>
  <c r="E40" i="20" a="1"/>
  <c r="E40" i="20" s="1"/>
  <c r="D40" i="20" a="1"/>
  <c r="D40" i="20" s="1"/>
  <c r="C40" i="20" a="1"/>
  <c r="C40" i="20" s="1"/>
  <c r="B40" i="20" a="1"/>
  <c r="B40" i="20" s="1"/>
  <c r="G40" i="20" s="1"/>
  <c r="F39" i="20" a="1"/>
  <c r="F39" i="20" s="1"/>
  <c r="E39" i="20" a="1"/>
  <c r="E39" i="20" s="1"/>
  <c r="D39" i="20" a="1"/>
  <c r="D39" i="20" s="1"/>
  <c r="C39" i="20" a="1"/>
  <c r="C39" i="20" s="1"/>
  <c r="B39" i="20" a="1"/>
  <c r="B39" i="20" s="1"/>
  <c r="G39" i="20" s="1"/>
  <c r="A39" i="20"/>
  <c r="F38" i="20" a="1"/>
  <c r="F38" i="20" s="1"/>
  <c r="E38" i="20" a="1"/>
  <c r="E38" i="20" s="1"/>
  <c r="D38" i="20" a="1"/>
  <c r="D38" i="20" s="1"/>
  <c r="C38" i="20" a="1"/>
  <c r="C38" i="20" s="1"/>
  <c r="B38" i="20" a="1"/>
  <c r="B38" i="20" s="1"/>
  <c r="G38" i="20" s="1"/>
  <c r="F37" i="20" a="1"/>
  <c r="F37" i="20" s="1"/>
  <c r="E37" i="20" a="1"/>
  <c r="E37" i="20" s="1"/>
  <c r="D37" i="20" a="1"/>
  <c r="D37" i="20" s="1"/>
  <c r="C37" i="20" a="1"/>
  <c r="C37" i="20" s="1"/>
  <c r="B37" i="20" a="1"/>
  <c r="B37" i="20" s="1"/>
  <c r="G37" i="20" s="1"/>
  <c r="A37" i="20"/>
  <c r="F36" i="20" a="1"/>
  <c r="F36" i="20" s="1"/>
  <c r="E36" i="20" a="1"/>
  <c r="E36" i="20" s="1"/>
  <c r="D36" i="20" a="1"/>
  <c r="D36" i="20" s="1"/>
  <c r="C36" i="20" a="1"/>
  <c r="C36" i="20" s="1"/>
  <c r="B36" i="20" a="1"/>
  <c r="B36" i="20" s="1"/>
  <c r="G36" i="20" s="1"/>
  <c r="F35" i="20" a="1"/>
  <c r="F35" i="20" s="1"/>
  <c r="E35" i="20" a="1"/>
  <c r="E35" i="20" s="1"/>
  <c r="D35" i="20" a="1"/>
  <c r="D35" i="20" s="1"/>
  <c r="C35" i="20" a="1"/>
  <c r="C35" i="20" s="1"/>
  <c r="B35" i="20" a="1"/>
  <c r="B35" i="20" s="1"/>
  <c r="G35" i="20" s="1"/>
  <c r="A35" i="20"/>
  <c r="F34" i="20" a="1"/>
  <c r="F34" i="20" s="1"/>
  <c r="E34" i="20" a="1"/>
  <c r="E34" i="20" s="1"/>
  <c r="D34" i="20" a="1"/>
  <c r="D34" i="20" s="1"/>
  <c r="C34" i="20" a="1"/>
  <c r="C34" i="20" s="1"/>
  <c r="B34" i="20" a="1"/>
  <c r="B34" i="20" s="1"/>
  <c r="G34" i="20" s="1"/>
  <c r="F33" i="20" a="1"/>
  <c r="F33" i="20" s="1"/>
  <c r="E33" i="20" a="1"/>
  <c r="E33" i="20" s="1"/>
  <c r="D33" i="20" a="1"/>
  <c r="D33" i="20" s="1"/>
  <c r="C33" i="20" a="1"/>
  <c r="C33" i="20" s="1"/>
  <c r="B33" i="20" a="1"/>
  <c r="B33" i="20" s="1"/>
  <c r="G33" i="20" s="1"/>
  <c r="A33" i="20"/>
  <c r="F32" i="20" a="1"/>
  <c r="F32" i="20" s="1"/>
  <c r="E32" i="20" a="1"/>
  <c r="E32" i="20" s="1"/>
  <c r="D32" i="20" a="1"/>
  <c r="D32" i="20" s="1"/>
  <c r="C32" i="20" a="1"/>
  <c r="C32" i="20" s="1"/>
  <c r="B32" i="20" a="1"/>
  <c r="B32" i="20" s="1"/>
  <c r="G32" i="20" s="1"/>
  <c r="F31" i="20" a="1"/>
  <c r="F31" i="20" s="1"/>
  <c r="E31" i="20" a="1"/>
  <c r="E31" i="20" s="1"/>
  <c r="D31" i="20" a="1"/>
  <c r="D31" i="20" s="1"/>
  <c r="C31" i="20" a="1"/>
  <c r="C31" i="20" s="1"/>
  <c r="B31" i="20" a="1"/>
  <c r="B31" i="20" s="1"/>
  <c r="G31" i="20" s="1"/>
  <c r="A31" i="20"/>
  <c r="F30" i="20" a="1"/>
  <c r="F30" i="20" s="1"/>
  <c r="E30" i="20" a="1"/>
  <c r="E30" i="20" s="1"/>
  <c r="D30" i="20" a="1"/>
  <c r="D30" i="20" s="1"/>
  <c r="C30" i="20" a="1"/>
  <c r="C30" i="20" s="1"/>
  <c r="B30" i="20" a="1"/>
  <c r="B30" i="20" s="1"/>
  <c r="G30" i="20" s="1"/>
  <c r="F29" i="20" a="1"/>
  <c r="F29" i="20" s="1"/>
  <c r="E29" i="20" a="1"/>
  <c r="E29" i="20" s="1"/>
  <c r="D29" i="20" a="1"/>
  <c r="D29" i="20" s="1"/>
  <c r="C29" i="20" a="1"/>
  <c r="C29" i="20" s="1"/>
  <c r="B29" i="20" a="1"/>
  <c r="B29" i="20" s="1"/>
  <c r="G29" i="20" s="1"/>
  <c r="A29" i="20"/>
  <c r="F28" i="20" a="1"/>
  <c r="F28" i="20" s="1"/>
  <c r="E28" i="20" a="1"/>
  <c r="E28" i="20" s="1"/>
  <c r="D28" i="20" a="1"/>
  <c r="D28" i="20" s="1"/>
  <c r="C28" i="20" a="1"/>
  <c r="C28" i="20" s="1"/>
  <c r="B28" i="20" a="1"/>
  <c r="B28" i="20" s="1"/>
  <c r="G28" i="20" s="1"/>
  <c r="F27" i="20" a="1"/>
  <c r="F27" i="20" s="1"/>
  <c r="E27" i="20" a="1"/>
  <c r="E27" i="20" s="1"/>
  <c r="D27" i="20" a="1"/>
  <c r="D27" i="20" s="1"/>
  <c r="C27" i="20" a="1"/>
  <c r="C27" i="20" s="1"/>
  <c r="B27" i="20" a="1"/>
  <c r="B27" i="20" s="1"/>
  <c r="G27" i="20" s="1"/>
  <c r="A27" i="20"/>
  <c r="F26" i="20" a="1"/>
  <c r="F26" i="20" s="1"/>
  <c r="E26" i="20" a="1"/>
  <c r="E26" i="20" s="1"/>
  <c r="D26" i="20" a="1"/>
  <c r="D26" i="20" s="1"/>
  <c r="C26" i="20" a="1"/>
  <c r="C26" i="20" s="1"/>
  <c r="B26" i="20" a="1"/>
  <c r="B26" i="20" s="1"/>
  <c r="G26" i="20" s="1"/>
  <c r="F25" i="20" a="1"/>
  <c r="F25" i="20" s="1"/>
  <c r="E25" i="20" a="1"/>
  <c r="E25" i="20" s="1"/>
  <c r="D25" i="20" a="1"/>
  <c r="D25" i="20" s="1"/>
  <c r="C25" i="20" a="1"/>
  <c r="C25" i="20" s="1"/>
  <c r="B25" i="20" a="1"/>
  <c r="B25" i="20" s="1"/>
  <c r="G25" i="20" s="1"/>
  <c r="A25" i="20"/>
  <c r="F24" i="20" a="1"/>
  <c r="F24" i="20" s="1"/>
  <c r="E24" i="20" a="1"/>
  <c r="E24" i="20" s="1"/>
  <c r="D24" i="20" a="1"/>
  <c r="D24" i="20" s="1"/>
  <c r="C24" i="20" a="1"/>
  <c r="C24" i="20" s="1"/>
  <c r="B24" i="20" a="1"/>
  <c r="B24" i="20" s="1"/>
  <c r="G24" i="20" s="1"/>
  <c r="F23" i="20" a="1"/>
  <c r="F23" i="20" s="1"/>
  <c r="E23" i="20" a="1"/>
  <c r="E23" i="20" s="1"/>
  <c r="D23" i="20" a="1"/>
  <c r="D23" i="20" s="1"/>
  <c r="C23" i="20" a="1"/>
  <c r="C23" i="20" s="1"/>
  <c r="B23" i="20" a="1"/>
  <c r="B23" i="20" s="1"/>
  <c r="G23" i="20" s="1"/>
  <c r="A23" i="20"/>
  <c r="F22" i="20" a="1"/>
  <c r="F22" i="20" s="1"/>
  <c r="E22" i="20" a="1"/>
  <c r="E22" i="20" s="1"/>
  <c r="D22" i="20" a="1"/>
  <c r="D22" i="20" s="1"/>
  <c r="C22" i="20" a="1"/>
  <c r="C22" i="20" s="1"/>
  <c r="B22" i="20" a="1"/>
  <c r="B22" i="20" s="1"/>
  <c r="G22" i="20" s="1"/>
  <c r="F21" i="20" a="1"/>
  <c r="F21" i="20" s="1"/>
  <c r="E21" i="20" a="1"/>
  <c r="E21" i="20" s="1"/>
  <c r="D21" i="20" a="1"/>
  <c r="D21" i="20" s="1"/>
  <c r="C21" i="20" a="1"/>
  <c r="C21" i="20" s="1"/>
  <c r="B21" i="20" a="1"/>
  <c r="B21" i="20" s="1"/>
  <c r="G21" i="20" s="1"/>
  <c r="A21" i="20"/>
  <c r="F20" i="20" a="1"/>
  <c r="F20" i="20" s="1"/>
  <c r="E20" i="20" a="1"/>
  <c r="E20" i="20" s="1"/>
  <c r="D20" i="20" a="1"/>
  <c r="D20" i="20" s="1"/>
  <c r="C20" i="20" a="1"/>
  <c r="C20" i="20" s="1"/>
  <c r="B20" i="20" a="1"/>
  <c r="B20" i="20" s="1"/>
  <c r="G20" i="20" s="1"/>
  <c r="F19" i="20" a="1"/>
  <c r="F19" i="20" s="1"/>
  <c r="E19" i="20" a="1"/>
  <c r="E19" i="20" s="1"/>
  <c r="D19" i="20" a="1"/>
  <c r="D19" i="20" s="1"/>
  <c r="C19" i="20" a="1"/>
  <c r="C19" i="20" s="1"/>
  <c r="B19" i="20" a="1"/>
  <c r="B19" i="20" s="1"/>
  <c r="G19" i="20" s="1"/>
  <c r="F18" i="20" a="1"/>
  <c r="F18" i="20" s="1"/>
  <c r="E18" i="20" a="1"/>
  <c r="E18" i="20" s="1"/>
  <c r="D18" i="20" a="1"/>
  <c r="D18" i="20" s="1"/>
  <c r="C18" i="20" a="1"/>
  <c r="C18" i="20" s="1"/>
  <c r="B18" i="20" a="1"/>
  <c r="B18" i="20" s="1"/>
  <c r="G18" i="20" s="1"/>
  <c r="F17" i="20" a="1"/>
  <c r="F17" i="20" s="1"/>
  <c r="E17" i="20" a="1"/>
  <c r="E17" i="20" s="1"/>
  <c r="D17" i="20" a="1"/>
  <c r="D17" i="20" s="1"/>
  <c r="C17" i="20" a="1"/>
  <c r="C17" i="20" s="1"/>
  <c r="B17" i="20" a="1"/>
  <c r="B17" i="20" s="1"/>
  <c r="G17" i="20" s="1"/>
  <c r="A17" i="20"/>
  <c r="F16" i="20" a="1"/>
  <c r="F16" i="20" s="1"/>
  <c r="E16" i="20" a="1"/>
  <c r="E16" i="20" s="1"/>
  <c r="D16" i="20" a="1"/>
  <c r="D16" i="20" s="1"/>
  <c r="C16" i="20" a="1"/>
  <c r="C16" i="20" s="1"/>
  <c r="B16" i="20" a="1"/>
  <c r="B16" i="20" s="1"/>
  <c r="G16" i="20" s="1"/>
  <c r="F15" i="20" a="1"/>
  <c r="F15" i="20" s="1"/>
  <c r="E15" i="20" a="1"/>
  <c r="E15" i="20" s="1"/>
  <c r="D15" i="20" a="1"/>
  <c r="D15" i="20" s="1"/>
  <c r="C15" i="20" a="1"/>
  <c r="C15" i="20" s="1"/>
  <c r="B15" i="20" a="1"/>
  <c r="B15" i="20" s="1"/>
  <c r="G15" i="20" s="1"/>
  <c r="A15" i="20"/>
  <c r="F14" i="20" a="1"/>
  <c r="F14" i="20" s="1"/>
  <c r="E14" i="20" a="1"/>
  <c r="E14" i="20" s="1"/>
  <c r="D14" i="20" a="1"/>
  <c r="D14" i="20" s="1"/>
  <c r="C14" i="20" a="1"/>
  <c r="C14" i="20" s="1"/>
  <c r="B14" i="20" a="1"/>
  <c r="B14" i="20" s="1"/>
  <c r="F13" i="20" a="1"/>
  <c r="F13" i="20" s="1"/>
  <c r="E13" i="20" a="1"/>
  <c r="E13" i="20" s="1"/>
  <c r="D13" i="20" a="1"/>
  <c r="D13" i="20" s="1"/>
  <c r="C13" i="20" a="1"/>
  <c r="C13" i="20" s="1"/>
  <c r="B13" i="20" a="1"/>
  <c r="B13" i="20" s="1"/>
  <c r="G13" i="20" s="1"/>
  <c r="A13" i="20"/>
  <c r="F12" i="20" a="1"/>
  <c r="F12" i="20" s="1"/>
  <c r="E12" i="20" a="1"/>
  <c r="E12" i="20" s="1"/>
  <c r="D12" i="20" a="1"/>
  <c r="D12" i="20" s="1"/>
  <c r="C12" i="20" a="1"/>
  <c r="C12" i="20" s="1"/>
  <c r="B12" i="20" a="1"/>
  <c r="B12" i="20" s="1"/>
  <c r="E8" i="20" a="1"/>
  <c r="E8" i="20" s="1"/>
  <c r="B8" i="20"/>
  <c r="B7" i="20"/>
  <c r="B6" i="20"/>
  <c r="E5" i="20"/>
  <c r="E6" i="20" s="1"/>
  <c r="B5" i="20"/>
  <c r="E4" i="20"/>
  <c r="B4" i="20"/>
  <c r="I3" i="20"/>
  <c r="A1" i="20"/>
  <c r="F74" i="19" a="1"/>
  <c r="F74" i="19" s="1"/>
  <c r="E74" i="19" a="1"/>
  <c r="E74" i="19" s="1"/>
  <c r="D74" i="19" a="1"/>
  <c r="D74" i="19" s="1"/>
  <c r="C74" i="19" a="1"/>
  <c r="C74" i="19" s="1"/>
  <c r="B74" i="19" a="1"/>
  <c r="B74" i="19" s="1"/>
  <c r="F73" i="19" a="1"/>
  <c r="F73" i="19" s="1"/>
  <c r="E73" i="19" a="1"/>
  <c r="E73" i="19" s="1"/>
  <c r="D73" i="19" a="1"/>
  <c r="D73" i="19" s="1"/>
  <c r="C73" i="19" a="1"/>
  <c r="C73" i="19" s="1"/>
  <c r="B73" i="19" a="1"/>
  <c r="B73" i="19" s="1"/>
  <c r="F72" i="19" a="1"/>
  <c r="F72" i="19" s="1"/>
  <c r="E72" i="19" a="1"/>
  <c r="E72" i="19" s="1"/>
  <c r="D72" i="19" a="1"/>
  <c r="D72" i="19" s="1"/>
  <c r="C72" i="19" a="1"/>
  <c r="C72" i="19" s="1"/>
  <c r="B72" i="19" a="1"/>
  <c r="B72" i="19" s="1"/>
  <c r="G72" i="19" s="1"/>
  <c r="F71" i="19" a="1"/>
  <c r="F71" i="19" s="1"/>
  <c r="E71" i="19" a="1"/>
  <c r="E71" i="19" s="1"/>
  <c r="D71" i="19" a="1"/>
  <c r="D71" i="19" s="1"/>
  <c r="C71" i="19" a="1"/>
  <c r="C71" i="19" s="1"/>
  <c r="B71" i="19" a="1"/>
  <c r="B71" i="19" s="1"/>
  <c r="F70" i="19" a="1"/>
  <c r="F70" i="19" s="1"/>
  <c r="E70" i="19" a="1"/>
  <c r="E70" i="19" s="1"/>
  <c r="D70" i="19" a="1"/>
  <c r="D70" i="19" s="1"/>
  <c r="C70" i="19" a="1"/>
  <c r="C70" i="19" s="1"/>
  <c r="B70" i="19" a="1"/>
  <c r="B70" i="19" s="1"/>
  <c r="G70" i="19" s="1"/>
  <c r="F69" i="19" a="1"/>
  <c r="F69" i="19" s="1"/>
  <c r="E69" i="19" a="1"/>
  <c r="E69" i="19" s="1"/>
  <c r="D69" i="19" a="1"/>
  <c r="D69" i="19" s="1"/>
  <c r="C69" i="19" a="1"/>
  <c r="C69" i="19" s="1"/>
  <c r="B69" i="19" a="1"/>
  <c r="B69" i="19" s="1"/>
  <c r="F68" i="19" a="1"/>
  <c r="F68" i="19" s="1"/>
  <c r="E68" i="19" a="1"/>
  <c r="E68" i="19" s="1"/>
  <c r="D68" i="19" a="1"/>
  <c r="D68" i="19" s="1"/>
  <c r="C68" i="19" a="1"/>
  <c r="C68" i="19" s="1"/>
  <c r="B68" i="19" a="1"/>
  <c r="B68" i="19" s="1"/>
  <c r="G68" i="19" s="1"/>
  <c r="F67" i="19" a="1"/>
  <c r="F67" i="19" s="1"/>
  <c r="E67" i="19" a="1"/>
  <c r="E67" i="19" s="1"/>
  <c r="D67" i="19" a="1"/>
  <c r="D67" i="19" s="1"/>
  <c r="C67" i="19" a="1"/>
  <c r="C67" i="19" s="1"/>
  <c r="B67" i="19" a="1"/>
  <c r="B67" i="19" s="1"/>
  <c r="F66" i="19" a="1"/>
  <c r="F66" i="19" s="1"/>
  <c r="E66" i="19" a="1"/>
  <c r="E66" i="19" s="1"/>
  <c r="D66" i="19" a="1"/>
  <c r="D66" i="19" s="1"/>
  <c r="C66" i="19" a="1"/>
  <c r="C66" i="19" s="1"/>
  <c r="B66" i="19" a="1"/>
  <c r="B66" i="19" s="1"/>
  <c r="G66" i="19" s="1"/>
  <c r="F65" i="19" a="1"/>
  <c r="F65" i="19" s="1"/>
  <c r="E65" i="19" a="1"/>
  <c r="E65" i="19" s="1"/>
  <c r="D65" i="19" a="1"/>
  <c r="D65" i="19" s="1"/>
  <c r="C65" i="19" a="1"/>
  <c r="C65" i="19" s="1"/>
  <c r="B65" i="19" a="1"/>
  <c r="B65" i="19" s="1"/>
  <c r="F64" i="19" a="1"/>
  <c r="F64" i="19" s="1"/>
  <c r="E64" i="19" a="1"/>
  <c r="E64" i="19" s="1"/>
  <c r="D64" i="19" a="1"/>
  <c r="D64" i="19" s="1"/>
  <c r="C64" i="19" a="1"/>
  <c r="C64" i="19" s="1"/>
  <c r="B64" i="19" a="1"/>
  <c r="B64" i="19" s="1"/>
  <c r="G64" i="19" s="1"/>
  <c r="F63" i="19" a="1"/>
  <c r="F63" i="19" s="1"/>
  <c r="E63" i="19" a="1"/>
  <c r="E63" i="19" s="1"/>
  <c r="D63" i="19" a="1"/>
  <c r="D63" i="19" s="1"/>
  <c r="C63" i="19" a="1"/>
  <c r="C63" i="19" s="1"/>
  <c r="B63" i="19" a="1"/>
  <c r="B63" i="19" s="1"/>
  <c r="F62" i="19" a="1"/>
  <c r="F62" i="19" s="1"/>
  <c r="E62" i="19" a="1"/>
  <c r="E62" i="19" s="1"/>
  <c r="D62" i="19" a="1"/>
  <c r="D62" i="19" s="1"/>
  <c r="C62" i="19" a="1"/>
  <c r="C62" i="19" s="1"/>
  <c r="B62" i="19" a="1"/>
  <c r="B62" i="19" s="1"/>
  <c r="G62" i="19" s="1"/>
  <c r="F61" i="19" a="1"/>
  <c r="F61" i="19" s="1"/>
  <c r="E61" i="19" a="1"/>
  <c r="E61" i="19" s="1"/>
  <c r="D61" i="19" a="1"/>
  <c r="D61" i="19" s="1"/>
  <c r="C61" i="19" a="1"/>
  <c r="C61" i="19" s="1"/>
  <c r="B61" i="19" a="1"/>
  <c r="B61" i="19" s="1"/>
  <c r="F60" i="19" a="1"/>
  <c r="F60" i="19" s="1"/>
  <c r="E60" i="19" a="1"/>
  <c r="E60" i="19" s="1"/>
  <c r="D60" i="19" a="1"/>
  <c r="D60" i="19" s="1"/>
  <c r="C60" i="19" a="1"/>
  <c r="C60" i="19" s="1"/>
  <c r="B60" i="19" a="1"/>
  <c r="B60" i="19" s="1"/>
  <c r="G60" i="19" s="1"/>
  <c r="F59" i="19" a="1"/>
  <c r="F59" i="19" s="1"/>
  <c r="E59" i="19" a="1"/>
  <c r="E59" i="19" s="1"/>
  <c r="D59" i="19" a="1"/>
  <c r="D59" i="19" s="1"/>
  <c r="C59" i="19" a="1"/>
  <c r="C59" i="19" s="1"/>
  <c r="B59" i="19" a="1"/>
  <c r="B59" i="19" s="1"/>
  <c r="F58" i="19" a="1"/>
  <c r="F58" i="19" s="1"/>
  <c r="E58" i="19" a="1"/>
  <c r="E58" i="19" s="1"/>
  <c r="D58" i="19" a="1"/>
  <c r="D58" i="19" s="1"/>
  <c r="C58" i="19" a="1"/>
  <c r="C58" i="19" s="1"/>
  <c r="B58" i="19" a="1"/>
  <c r="B58" i="19" s="1"/>
  <c r="G58" i="19" s="1"/>
  <c r="F57" i="19" a="1"/>
  <c r="F57" i="19" s="1"/>
  <c r="E57" i="19" a="1"/>
  <c r="E57" i="19" s="1"/>
  <c r="D57" i="19" a="1"/>
  <c r="D57" i="19" s="1"/>
  <c r="C57" i="19" a="1"/>
  <c r="C57" i="19" s="1"/>
  <c r="B57" i="19" a="1"/>
  <c r="B57" i="19" s="1"/>
  <c r="F56" i="19" a="1"/>
  <c r="F56" i="19" s="1"/>
  <c r="E56" i="19" a="1"/>
  <c r="E56" i="19" s="1"/>
  <c r="D56" i="19" a="1"/>
  <c r="D56" i="19" s="1"/>
  <c r="C56" i="19" a="1"/>
  <c r="C56" i="19" s="1"/>
  <c r="B56" i="19" a="1"/>
  <c r="B56" i="19" s="1"/>
  <c r="G56" i="19" s="1"/>
  <c r="F55" i="19" a="1"/>
  <c r="F55" i="19" s="1"/>
  <c r="E55" i="19" a="1"/>
  <c r="E55" i="19" s="1"/>
  <c r="D55" i="19" a="1"/>
  <c r="D55" i="19" s="1"/>
  <c r="C55" i="19" a="1"/>
  <c r="C55" i="19" s="1"/>
  <c r="B55" i="19" a="1"/>
  <c r="B55" i="19" s="1"/>
  <c r="F54" i="19" a="1"/>
  <c r="F54" i="19" s="1"/>
  <c r="E54" i="19" a="1"/>
  <c r="E54" i="19" s="1"/>
  <c r="D54" i="19" a="1"/>
  <c r="D54" i="19" s="1"/>
  <c r="C54" i="19" a="1"/>
  <c r="C54" i="19" s="1"/>
  <c r="B54" i="19" a="1"/>
  <c r="B54" i="19" s="1"/>
  <c r="G54" i="19" s="1"/>
  <c r="F53" i="19" a="1"/>
  <c r="F53" i="19" s="1"/>
  <c r="E53" i="19" a="1"/>
  <c r="E53" i="19" s="1"/>
  <c r="D53" i="19" a="1"/>
  <c r="D53" i="19" s="1"/>
  <c r="C53" i="19" a="1"/>
  <c r="C53" i="19" s="1"/>
  <c r="B53" i="19" a="1"/>
  <c r="B53" i="19" s="1"/>
  <c r="F52" i="19" a="1"/>
  <c r="F52" i="19" s="1"/>
  <c r="E52" i="19" a="1"/>
  <c r="E52" i="19" s="1"/>
  <c r="D52" i="19" a="1"/>
  <c r="D52" i="19" s="1"/>
  <c r="C52" i="19" a="1"/>
  <c r="C52" i="19" s="1"/>
  <c r="B52" i="19" a="1"/>
  <c r="B52" i="19" s="1"/>
  <c r="G52" i="19" s="1"/>
  <c r="F51" i="19" a="1"/>
  <c r="F51" i="19" s="1"/>
  <c r="E51" i="19" a="1"/>
  <c r="E51" i="19" s="1"/>
  <c r="D51" i="19" a="1"/>
  <c r="D51" i="19" s="1"/>
  <c r="C51" i="19" a="1"/>
  <c r="C51" i="19" s="1"/>
  <c r="B51" i="19" a="1"/>
  <c r="B51" i="19" s="1"/>
  <c r="F50" i="19" a="1"/>
  <c r="F50" i="19"/>
  <c r="E50" i="19" a="1"/>
  <c r="E50" i="19" s="1"/>
  <c r="D50" i="19" a="1"/>
  <c r="D50" i="19" s="1"/>
  <c r="C50" i="19" a="1"/>
  <c r="C50" i="19" s="1"/>
  <c r="B50" i="19" a="1"/>
  <c r="B50" i="19" s="1"/>
  <c r="G50" i="19" s="1"/>
  <c r="F49" i="19" a="1"/>
  <c r="F49" i="19" s="1"/>
  <c r="E49" i="19" a="1"/>
  <c r="E49" i="19" s="1"/>
  <c r="D49" i="19" a="1"/>
  <c r="D49" i="19" s="1"/>
  <c r="C49" i="19" a="1"/>
  <c r="C49" i="19" s="1"/>
  <c r="B49" i="19" a="1"/>
  <c r="B49" i="19" s="1"/>
  <c r="F48" i="19" a="1"/>
  <c r="F48" i="19" s="1"/>
  <c r="E48" i="19" a="1"/>
  <c r="E48" i="19" s="1"/>
  <c r="D48" i="19" a="1"/>
  <c r="D48" i="19" s="1"/>
  <c r="C48" i="19" a="1"/>
  <c r="C48" i="19" s="1"/>
  <c r="B48" i="19" a="1"/>
  <c r="B48" i="19" s="1"/>
  <c r="G48" i="19" s="1"/>
  <c r="F47" i="19" a="1"/>
  <c r="F47" i="19" s="1"/>
  <c r="E47" i="19" a="1"/>
  <c r="E47" i="19" s="1"/>
  <c r="D47" i="19" a="1"/>
  <c r="D47" i="19" s="1"/>
  <c r="C47" i="19" a="1"/>
  <c r="C47" i="19" s="1"/>
  <c r="B47" i="19" a="1"/>
  <c r="B47" i="19" s="1"/>
  <c r="F46" i="19" a="1"/>
  <c r="F46" i="19" s="1"/>
  <c r="E46" i="19" a="1"/>
  <c r="E46" i="19" s="1"/>
  <c r="D46" i="19" a="1"/>
  <c r="D46" i="19" s="1"/>
  <c r="C46" i="19" a="1"/>
  <c r="C46" i="19" s="1"/>
  <c r="B46" i="19" a="1"/>
  <c r="B46" i="19" s="1"/>
  <c r="G46" i="19" s="1"/>
  <c r="F45" i="19" a="1"/>
  <c r="F45" i="19" s="1"/>
  <c r="E45" i="19" a="1"/>
  <c r="E45" i="19" s="1"/>
  <c r="D45" i="19" a="1"/>
  <c r="D45" i="19" s="1"/>
  <c r="C45" i="19" a="1"/>
  <c r="C45" i="19" s="1"/>
  <c r="B45" i="19" a="1"/>
  <c r="B45" i="19" s="1"/>
  <c r="F41" i="19" a="1"/>
  <c r="F41" i="19"/>
  <c r="E41" i="19" a="1"/>
  <c r="E41" i="19" s="1"/>
  <c r="D41" i="19" a="1"/>
  <c r="D41" i="19" s="1"/>
  <c r="C41" i="19" a="1"/>
  <c r="C41" i="19" s="1"/>
  <c r="B41" i="19" a="1"/>
  <c r="B41" i="19"/>
  <c r="G41" i="19" s="1"/>
  <c r="F40" i="19" a="1"/>
  <c r="F40" i="19" s="1"/>
  <c r="E40" i="19" a="1"/>
  <c r="E40" i="19" s="1"/>
  <c r="D40" i="19" a="1"/>
  <c r="D40" i="19"/>
  <c r="C40" i="19" a="1"/>
  <c r="C40" i="19" s="1"/>
  <c r="B40" i="19" a="1"/>
  <c r="B40" i="19" s="1"/>
  <c r="F39" i="19" a="1"/>
  <c r="F39" i="19"/>
  <c r="E39" i="19" a="1"/>
  <c r="E39" i="19" s="1"/>
  <c r="D39" i="19" a="1"/>
  <c r="D39" i="19" s="1"/>
  <c r="C39" i="19" a="1"/>
  <c r="C39" i="19" s="1"/>
  <c r="B39" i="19" a="1"/>
  <c r="B39" i="19"/>
  <c r="G39" i="19" s="1"/>
  <c r="F38" i="19" a="1"/>
  <c r="F38" i="19" s="1"/>
  <c r="E38" i="19" a="1"/>
  <c r="E38" i="19" s="1"/>
  <c r="D38" i="19" a="1"/>
  <c r="D38" i="19"/>
  <c r="C38" i="19" a="1"/>
  <c r="C38" i="19" s="1"/>
  <c r="B38" i="19" a="1"/>
  <c r="B38" i="19" s="1"/>
  <c r="F37" i="19" a="1"/>
  <c r="F37" i="19"/>
  <c r="E37" i="19" a="1"/>
  <c r="E37" i="19" s="1"/>
  <c r="D37" i="19" a="1"/>
  <c r="D37" i="19" s="1"/>
  <c r="C37" i="19" a="1"/>
  <c r="C37" i="19" s="1"/>
  <c r="B37" i="19" a="1"/>
  <c r="B37" i="19"/>
  <c r="G37" i="19" s="1"/>
  <c r="F36" i="19" a="1"/>
  <c r="F36" i="19" s="1"/>
  <c r="E36" i="19" a="1"/>
  <c r="E36" i="19" s="1"/>
  <c r="D36" i="19" a="1"/>
  <c r="D36" i="19"/>
  <c r="C36" i="19" a="1"/>
  <c r="C36" i="19" s="1"/>
  <c r="B36" i="19" a="1"/>
  <c r="B36" i="19" s="1"/>
  <c r="F35" i="19" a="1"/>
  <c r="F35" i="19"/>
  <c r="E35" i="19" a="1"/>
  <c r="E35" i="19" s="1"/>
  <c r="D35" i="19" a="1"/>
  <c r="D35" i="19" s="1"/>
  <c r="C35" i="19" a="1"/>
  <c r="C35" i="19" s="1"/>
  <c r="B35" i="19" a="1"/>
  <c r="B35" i="19"/>
  <c r="G35" i="19" s="1"/>
  <c r="F34" i="19" a="1"/>
  <c r="F34" i="19" s="1"/>
  <c r="E34" i="19" a="1"/>
  <c r="E34" i="19" s="1"/>
  <c r="D34" i="19" a="1"/>
  <c r="D34" i="19"/>
  <c r="C34" i="19" a="1"/>
  <c r="C34" i="19" s="1"/>
  <c r="B34" i="19" a="1"/>
  <c r="B34" i="19" s="1"/>
  <c r="F33" i="19" a="1"/>
  <c r="F33" i="19"/>
  <c r="E33" i="19" a="1"/>
  <c r="E33" i="19" s="1"/>
  <c r="D33" i="19" a="1"/>
  <c r="D33" i="19" s="1"/>
  <c r="C33" i="19" a="1"/>
  <c r="C33" i="19" s="1"/>
  <c r="B33" i="19" a="1"/>
  <c r="B33" i="19"/>
  <c r="G33" i="19" s="1"/>
  <c r="F32" i="19" a="1"/>
  <c r="F32" i="19" s="1"/>
  <c r="E32" i="19" a="1"/>
  <c r="E32" i="19" s="1"/>
  <c r="D32" i="19" a="1"/>
  <c r="D32" i="19"/>
  <c r="C32" i="19" a="1"/>
  <c r="C32" i="19" s="1"/>
  <c r="B32" i="19" a="1"/>
  <c r="B32" i="19" s="1"/>
  <c r="F31" i="19" a="1"/>
  <c r="F31" i="19"/>
  <c r="E31" i="19" a="1"/>
  <c r="E31" i="19" s="1"/>
  <c r="D31" i="19" a="1"/>
  <c r="D31" i="19" s="1"/>
  <c r="C31" i="19" a="1"/>
  <c r="C31" i="19" s="1"/>
  <c r="B31" i="19" a="1"/>
  <c r="B31" i="19"/>
  <c r="G31" i="19" s="1"/>
  <c r="G30" i="19"/>
  <c r="F30" i="19" a="1"/>
  <c r="F30" i="19"/>
  <c r="E30" i="19" a="1"/>
  <c r="E30" i="19"/>
  <c r="D30" i="19" a="1"/>
  <c r="D30" i="19"/>
  <c r="C30" i="19" a="1"/>
  <c r="C30" i="19"/>
  <c r="B30" i="19" a="1"/>
  <c r="B30" i="19"/>
  <c r="A30" i="19" s="1"/>
  <c r="G29" i="19"/>
  <c r="F29" i="19" a="1"/>
  <c r="F29" i="19"/>
  <c r="E29" i="19" a="1"/>
  <c r="E29" i="19"/>
  <c r="D29" i="19" a="1"/>
  <c r="D29" i="19"/>
  <c r="C29" i="19" a="1"/>
  <c r="C29" i="19"/>
  <c r="B29" i="19" a="1"/>
  <c r="B29" i="19"/>
  <c r="A29" i="19" s="1"/>
  <c r="F28" i="19" a="1"/>
  <c r="F28" i="19" s="1"/>
  <c r="E28" i="19" a="1"/>
  <c r="E28" i="19"/>
  <c r="D28" i="19" a="1"/>
  <c r="D28" i="19" s="1"/>
  <c r="C28" i="19" a="1"/>
  <c r="C28" i="19"/>
  <c r="B28" i="19" a="1"/>
  <c r="B28" i="19" s="1"/>
  <c r="F27" i="19" a="1"/>
  <c r="F27" i="19" s="1"/>
  <c r="E27" i="19" a="1"/>
  <c r="E27" i="19"/>
  <c r="D27" i="19" a="1"/>
  <c r="D27" i="19" s="1"/>
  <c r="C27" i="19" a="1"/>
  <c r="C27" i="19"/>
  <c r="B27" i="19" a="1"/>
  <c r="B27" i="19" s="1"/>
  <c r="F26" i="19" a="1"/>
  <c r="F26" i="19" s="1"/>
  <c r="E26" i="19" a="1"/>
  <c r="E26" i="19"/>
  <c r="D26" i="19" a="1"/>
  <c r="D26" i="19" s="1"/>
  <c r="C26" i="19" a="1"/>
  <c r="C26" i="19"/>
  <c r="B26" i="19" a="1"/>
  <c r="B26" i="19" s="1"/>
  <c r="F25" i="19" a="1"/>
  <c r="F25" i="19" s="1"/>
  <c r="E25" i="19" a="1"/>
  <c r="E25" i="19"/>
  <c r="D25" i="19" a="1"/>
  <c r="D25" i="19" s="1"/>
  <c r="C25" i="19" a="1"/>
  <c r="C25" i="19"/>
  <c r="B25" i="19" a="1"/>
  <c r="B25" i="19" s="1"/>
  <c r="F24" i="19" a="1"/>
  <c r="F24" i="19" s="1"/>
  <c r="E24" i="19" a="1"/>
  <c r="E24" i="19"/>
  <c r="D24" i="19" a="1"/>
  <c r="D24" i="19" s="1"/>
  <c r="C24" i="19" a="1"/>
  <c r="C24" i="19" s="1"/>
  <c r="B24" i="19" a="1"/>
  <c r="B24" i="19" s="1"/>
  <c r="F23" i="19" a="1"/>
  <c r="F23" i="19" s="1"/>
  <c r="E23" i="19" a="1"/>
  <c r="E23" i="19" s="1"/>
  <c r="D23" i="19" a="1"/>
  <c r="D23" i="19" s="1"/>
  <c r="C23" i="19" a="1"/>
  <c r="C23" i="19" s="1"/>
  <c r="B23" i="19" a="1"/>
  <c r="B23" i="19" s="1"/>
  <c r="F22" i="19" a="1"/>
  <c r="F22" i="19" s="1"/>
  <c r="E22" i="19" a="1"/>
  <c r="E22" i="19" s="1"/>
  <c r="D22" i="19" a="1"/>
  <c r="D22" i="19" s="1"/>
  <c r="C22" i="19" a="1"/>
  <c r="C22" i="19" s="1"/>
  <c r="B22" i="19" a="1"/>
  <c r="B22" i="19" s="1"/>
  <c r="F21" i="19" a="1"/>
  <c r="F21" i="19" s="1"/>
  <c r="E21" i="19" a="1"/>
  <c r="E21" i="19" s="1"/>
  <c r="D21" i="19" a="1"/>
  <c r="D21" i="19" s="1"/>
  <c r="C21" i="19" a="1"/>
  <c r="C21" i="19" s="1"/>
  <c r="B21" i="19" a="1"/>
  <c r="B21" i="19" s="1"/>
  <c r="F20" i="19" a="1"/>
  <c r="F20" i="19" s="1"/>
  <c r="E20" i="19" a="1"/>
  <c r="E20" i="19" s="1"/>
  <c r="D20" i="19" a="1"/>
  <c r="D20" i="19" s="1"/>
  <c r="C20" i="19" a="1"/>
  <c r="C20" i="19" s="1"/>
  <c r="B20" i="19" a="1"/>
  <c r="B20" i="19" s="1"/>
  <c r="F19" i="19" a="1"/>
  <c r="F19" i="19" s="1"/>
  <c r="E19" i="19" a="1"/>
  <c r="E19" i="19" s="1"/>
  <c r="D19" i="19" a="1"/>
  <c r="D19" i="19" s="1"/>
  <c r="C19" i="19" a="1"/>
  <c r="C19" i="19" s="1"/>
  <c r="B19" i="19" a="1"/>
  <c r="B19" i="19" s="1"/>
  <c r="F18" i="19" a="1"/>
  <c r="F18" i="19" s="1"/>
  <c r="E18" i="19" a="1"/>
  <c r="E18" i="19" s="1"/>
  <c r="D18" i="19" a="1"/>
  <c r="D18" i="19" s="1"/>
  <c r="C18" i="19" a="1"/>
  <c r="C18" i="19" s="1"/>
  <c r="B18" i="19" a="1"/>
  <c r="B18" i="19" s="1"/>
  <c r="F17" i="19" a="1"/>
  <c r="F17" i="19" s="1"/>
  <c r="E17" i="19" a="1"/>
  <c r="E17" i="19" s="1"/>
  <c r="D17" i="19" a="1"/>
  <c r="D17" i="19" s="1"/>
  <c r="C17" i="19" a="1"/>
  <c r="C17" i="19" s="1"/>
  <c r="B17" i="19" a="1"/>
  <c r="B17" i="19" s="1"/>
  <c r="F16" i="19" a="1"/>
  <c r="F16" i="19" s="1"/>
  <c r="E16" i="19" a="1"/>
  <c r="E16" i="19" s="1"/>
  <c r="D16" i="19" a="1"/>
  <c r="D16" i="19" s="1"/>
  <c r="C16" i="19" a="1"/>
  <c r="C16" i="19" s="1"/>
  <c r="B16" i="19" a="1"/>
  <c r="B16" i="19" s="1"/>
  <c r="F15" i="19" a="1"/>
  <c r="F15" i="19" s="1"/>
  <c r="E15" i="19" a="1"/>
  <c r="E15" i="19" s="1"/>
  <c r="D15" i="19" a="1"/>
  <c r="D15" i="19" s="1"/>
  <c r="C15" i="19" a="1"/>
  <c r="C15" i="19" s="1"/>
  <c r="B15" i="19" a="1"/>
  <c r="B15" i="19" s="1"/>
  <c r="F14" i="19" a="1"/>
  <c r="F14" i="19" s="1"/>
  <c r="E14" i="19" a="1"/>
  <c r="E14" i="19" s="1"/>
  <c r="D14" i="19" a="1"/>
  <c r="D14" i="19" s="1"/>
  <c r="C14" i="19" a="1"/>
  <c r="C14" i="19" s="1"/>
  <c r="B14" i="19" a="1"/>
  <c r="B14" i="19" s="1"/>
  <c r="F13" i="19" a="1"/>
  <c r="F13" i="19" s="1"/>
  <c r="E13" i="19" a="1"/>
  <c r="E13" i="19" s="1"/>
  <c r="D13" i="19" a="1"/>
  <c r="D13" i="19" s="1"/>
  <c r="C13" i="19" a="1"/>
  <c r="C13" i="19" s="1"/>
  <c r="B13" i="19" a="1"/>
  <c r="B13" i="19" s="1"/>
  <c r="F12" i="19" a="1"/>
  <c r="F12" i="19" s="1"/>
  <c r="E12" i="19" a="1"/>
  <c r="E12" i="19" s="1"/>
  <c r="D12" i="19" a="1"/>
  <c r="D12" i="19" s="1"/>
  <c r="C12" i="19" a="1"/>
  <c r="C12" i="19" s="1"/>
  <c r="B12" i="19" a="1"/>
  <c r="B12" i="19" s="1"/>
  <c r="E8" i="19" a="1"/>
  <c r="E8" i="19" s="1"/>
  <c r="B8" i="19"/>
  <c r="B7" i="19"/>
  <c r="B6" i="19"/>
  <c r="E5" i="19"/>
  <c r="E6" i="19" s="1"/>
  <c r="B5" i="19"/>
  <c r="E4" i="19"/>
  <c r="B4" i="19"/>
  <c r="I3" i="19"/>
  <c r="A1" i="19"/>
  <c r="F74" i="18" a="1"/>
  <c r="F74" i="18" s="1"/>
  <c r="E74" i="18" a="1"/>
  <c r="E74" i="18" s="1"/>
  <c r="D74" i="18" a="1"/>
  <c r="D74" i="18" s="1"/>
  <c r="C74" i="18" a="1"/>
  <c r="C74" i="18" s="1"/>
  <c r="B74" i="18" a="1"/>
  <c r="B74" i="18" s="1"/>
  <c r="F73" i="18" a="1"/>
  <c r="F73" i="18" s="1"/>
  <c r="E73" i="18" a="1"/>
  <c r="E73" i="18" s="1"/>
  <c r="D73" i="18" a="1"/>
  <c r="D73" i="18" s="1"/>
  <c r="C73" i="18" a="1"/>
  <c r="C73" i="18" s="1"/>
  <c r="B73" i="18" a="1"/>
  <c r="B73" i="18" s="1"/>
  <c r="A73" i="18" s="1"/>
  <c r="F72" i="18" a="1"/>
  <c r="F72" i="18" s="1"/>
  <c r="E72" i="18" a="1"/>
  <c r="E72" i="18" s="1"/>
  <c r="D72" i="18" a="1"/>
  <c r="D72" i="18" s="1"/>
  <c r="C72" i="18" a="1"/>
  <c r="C72" i="18" s="1"/>
  <c r="B72" i="18" a="1"/>
  <c r="B72" i="18" s="1"/>
  <c r="A72" i="18" s="1"/>
  <c r="F71" i="18" a="1"/>
  <c r="F71" i="18" s="1"/>
  <c r="E71" i="18" a="1"/>
  <c r="E71" i="18" s="1"/>
  <c r="D71" i="18" a="1"/>
  <c r="D71" i="18" s="1"/>
  <c r="C71" i="18" a="1"/>
  <c r="C71" i="18" s="1"/>
  <c r="B71" i="18" a="1"/>
  <c r="B71" i="18" s="1"/>
  <c r="F70" i="18" a="1"/>
  <c r="F70" i="18" s="1"/>
  <c r="E70" i="18" a="1"/>
  <c r="E70" i="18" s="1"/>
  <c r="D70" i="18" a="1"/>
  <c r="D70" i="18" s="1"/>
  <c r="C70" i="18" a="1"/>
  <c r="C70" i="18" s="1"/>
  <c r="B70" i="18" a="1"/>
  <c r="B70" i="18" s="1"/>
  <c r="F69" i="18" a="1"/>
  <c r="F69" i="18" s="1"/>
  <c r="E69" i="18" a="1"/>
  <c r="E69" i="18" s="1"/>
  <c r="D69" i="18" a="1"/>
  <c r="D69" i="18" s="1"/>
  <c r="C69" i="18" a="1"/>
  <c r="C69" i="18" s="1"/>
  <c r="B69" i="18" a="1"/>
  <c r="B69" i="18" s="1"/>
  <c r="F68" i="18" a="1"/>
  <c r="F68" i="18" s="1"/>
  <c r="E68" i="18" a="1"/>
  <c r="E68" i="18" s="1"/>
  <c r="D68" i="18" a="1"/>
  <c r="D68" i="18" s="1"/>
  <c r="C68" i="18" a="1"/>
  <c r="C68" i="18" s="1"/>
  <c r="B68" i="18" a="1"/>
  <c r="B68" i="18" s="1"/>
  <c r="F67" i="18" a="1"/>
  <c r="F67" i="18" s="1"/>
  <c r="E67" i="18" a="1"/>
  <c r="E67" i="18" s="1"/>
  <c r="D67" i="18" a="1"/>
  <c r="D67" i="18" s="1"/>
  <c r="C67" i="18" a="1"/>
  <c r="C67" i="18" s="1"/>
  <c r="B67" i="18" a="1"/>
  <c r="B67" i="18" s="1"/>
  <c r="F66" i="18" a="1"/>
  <c r="F66" i="18" s="1"/>
  <c r="E66" i="18" a="1"/>
  <c r="E66" i="18" s="1"/>
  <c r="D66" i="18" a="1"/>
  <c r="D66" i="18" s="1"/>
  <c r="C66" i="18" a="1"/>
  <c r="C66" i="18" s="1"/>
  <c r="B66" i="18" a="1"/>
  <c r="B66" i="18" s="1"/>
  <c r="F65" i="18" a="1"/>
  <c r="F65" i="18" s="1"/>
  <c r="E65" i="18" a="1"/>
  <c r="E65" i="18" s="1"/>
  <c r="D65" i="18" a="1"/>
  <c r="D65" i="18" s="1"/>
  <c r="C65" i="18" a="1"/>
  <c r="C65" i="18" s="1"/>
  <c r="B65" i="18" a="1"/>
  <c r="B65" i="18" s="1"/>
  <c r="F64" i="18" a="1"/>
  <c r="F64" i="18" s="1"/>
  <c r="E64" i="18" a="1"/>
  <c r="E64" i="18" s="1"/>
  <c r="D64" i="18" a="1"/>
  <c r="D64" i="18" s="1"/>
  <c r="C64" i="18" a="1"/>
  <c r="C64" i="18" s="1"/>
  <c r="B64" i="18" a="1"/>
  <c r="B64" i="18" s="1"/>
  <c r="F63" i="18" a="1"/>
  <c r="F63" i="18" s="1"/>
  <c r="E63" i="18" a="1"/>
  <c r="E63" i="18" s="1"/>
  <c r="D63" i="18" a="1"/>
  <c r="D63" i="18" s="1"/>
  <c r="C63" i="18" a="1"/>
  <c r="C63" i="18" s="1"/>
  <c r="B63" i="18" a="1"/>
  <c r="B63" i="18" s="1"/>
  <c r="F62" i="18" a="1"/>
  <c r="F62" i="18" s="1"/>
  <c r="E62" i="18" a="1"/>
  <c r="E62" i="18" s="1"/>
  <c r="D62" i="18" a="1"/>
  <c r="D62" i="18" s="1"/>
  <c r="C62" i="18" a="1"/>
  <c r="C62" i="18" s="1"/>
  <c r="B62" i="18" a="1"/>
  <c r="B62" i="18" s="1"/>
  <c r="F61" i="18" a="1"/>
  <c r="F61" i="18" s="1"/>
  <c r="E61" i="18" a="1"/>
  <c r="E61" i="18" s="1"/>
  <c r="D61" i="18" a="1"/>
  <c r="D61" i="18" s="1"/>
  <c r="C61" i="18" a="1"/>
  <c r="C61" i="18" s="1"/>
  <c r="B61" i="18" a="1"/>
  <c r="B61" i="18" s="1"/>
  <c r="F60" i="18" a="1"/>
  <c r="F60" i="18" s="1"/>
  <c r="E60" i="18" a="1"/>
  <c r="E60" i="18" s="1"/>
  <c r="D60" i="18" a="1"/>
  <c r="D60" i="18" s="1"/>
  <c r="C60" i="18" a="1"/>
  <c r="C60" i="18" s="1"/>
  <c r="B60" i="18" a="1"/>
  <c r="B60" i="18" s="1"/>
  <c r="F59" i="18" a="1"/>
  <c r="F59" i="18" s="1"/>
  <c r="E59" i="18" a="1"/>
  <c r="E59" i="18" s="1"/>
  <c r="D59" i="18" a="1"/>
  <c r="D59" i="18" s="1"/>
  <c r="C59" i="18" a="1"/>
  <c r="C59" i="18" s="1"/>
  <c r="B59" i="18" a="1"/>
  <c r="B59" i="18" s="1"/>
  <c r="F58" i="18" a="1"/>
  <c r="F58" i="18" s="1"/>
  <c r="E58" i="18" a="1"/>
  <c r="E58" i="18" s="1"/>
  <c r="D58" i="18" a="1"/>
  <c r="D58" i="18" s="1"/>
  <c r="C58" i="18" a="1"/>
  <c r="C58" i="18" s="1"/>
  <c r="B58" i="18" a="1"/>
  <c r="B58" i="18" s="1"/>
  <c r="F57" i="18" a="1"/>
  <c r="F57" i="18" s="1"/>
  <c r="E57" i="18" a="1"/>
  <c r="E57" i="18" s="1"/>
  <c r="D57" i="18" a="1"/>
  <c r="D57" i="18" s="1"/>
  <c r="C57" i="18" a="1"/>
  <c r="C57" i="18" s="1"/>
  <c r="B57" i="18" a="1"/>
  <c r="B57" i="18" s="1"/>
  <c r="F56" i="18" a="1"/>
  <c r="F56" i="18" s="1"/>
  <c r="E56" i="18" a="1"/>
  <c r="E56" i="18" s="1"/>
  <c r="D56" i="18" a="1"/>
  <c r="D56" i="18" s="1"/>
  <c r="C56" i="18" a="1"/>
  <c r="C56" i="18" s="1"/>
  <c r="B56" i="18" a="1"/>
  <c r="B56" i="18" s="1"/>
  <c r="F55" i="18" a="1"/>
  <c r="F55" i="18" s="1"/>
  <c r="E55" i="18" a="1"/>
  <c r="E55" i="18" s="1"/>
  <c r="D55" i="18" a="1"/>
  <c r="D55" i="18" s="1"/>
  <c r="C55" i="18" a="1"/>
  <c r="C55" i="18" s="1"/>
  <c r="B55" i="18" a="1"/>
  <c r="B55" i="18" s="1"/>
  <c r="F54" i="18" a="1"/>
  <c r="F54" i="18" s="1"/>
  <c r="E54" i="18" a="1"/>
  <c r="E54" i="18" s="1"/>
  <c r="D54" i="18" a="1"/>
  <c r="D54" i="18" s="1"/>
  <c r="C54" i="18" a="1"/>
  <c r="C54" i="18" s="1"/>
  <c r="B54" i="18" a="1"/>
  <c r="B54" i="18" s="1"/>
  <c r="F53" i="18" a="1"/>
  <c r="F53" i="18" s="1"/>
  <c r="E53" i="18" a="1"/>
  <c r="E53" i="18" s="1"/>
  <c r="D53" i="18" a="1"/>
  <c r="D53" i="18" s="1"/>
  <c r="C53" i="18" a="1"/>
  <c r="C53" i="18" s="1"/>
  <c r="B53" i="18" a="1"/>
  <c r="B53" i="18" s="1"/>
  <c r="F52" i="18" a="1"/>
  <c r="F52" i="18" s="1"/>
  <c r="E52" i="18" a="1"/>
  <c r="E52" i="18" s="1"/>
  <c r="D52" i="18" a="1"/>
  <c r="D52" i="18" s="1"/>
  <c r="C52" i="18" a="1"/>
  <c r="C52" i="18" s="1"/>
  <c r="B52" i="18" a="1"/>
  <c r="B52" i="18" s="1"/>
  <c r="F51" i="18" a="1"/>
  <c r="F51" i="18" s="1"/>
  <c r="E51" i="18" a="1"/>
  <c r="E51" i="18" s="1"/>
  <c r="D51" i="18" a="1"/>
  <c r="D51" i="18" s="1"/>
  <c r="C51" i="18" a="1"/>
  <c r="C51" i="18" s="1"/>
  <c r="B51" i="18" a="1"/>
  <c r="B51" i="18" s="1"/>
  <c r="F50" i="18" a="1"/>
  <c r="F50" i="18" s="1"/>
  <c r="E50" i="18" a="1"/>
  <c r="E50" i="18" s="1"/>
  <c r="D50" i="18" a="1"/>
  <c r="D50" i="18" s="1"/>
  <c r="C50" i="18" a="1"/>
  <c r="C50" i="18" s="1"/>
  <c r="B50" i="18" a="1"/>
  <c r="B50" i="18" s="1"/>
  <c r="F49" i="18" a="1"/>
  <c r="F49" i="18" s="1"/>
  <c r="E49" i="18" a="1"/>
  <c r="E49" i="18" s="1"/>
  <c r="D49" i="18" a="1"/>
  <c r="D49" i="18" s="1"/>
  <c r="C49" i="18" a="1"/>
  <c r="C49" i="18" s="1"/>
  <c r="B49" i="18" a="1"/>
  <c r="B49" i="18" s="1"/>
  <c r="F48" i="18" a="1"/>
  <c r="F48" i="18" s="1"/>
  <c r="E48" i="18" a="1"/>
  <c r="E48" i="18" s="1"/>
  <c r="D48" i="18" a="1"/>
  <c r="D48" i="18" s="1"/>
  <c r="C48" i="18" a="1"/>
  <c r="C48" i="18" s="1"/>
  <c r="B48" i="18" a="1"/>
  <c r="B48" i="18" s="1"/>
  <c r="F47" i="18" a="1"/>
  <c r="F47" i="18" s="1"/>
  <c r="E47" i="18" a="1"/>
  <c r="E47" i="18" s="1"/>
  <c r="D47" i="18" a="1"/>
  <c r="D47" i="18" s="1"/>
  <c r="C47" i="18" a="1"/>
  <c r="C47" i="18" s="1"/>
  <c r="B47" i="18" a="1"/>
  <c r="B47" i="18" s="1"/>
  <c r="F46" i="18" a="1"/>
  <c r="F46" i="18" s="1"/>
  <c r="E46" i="18" a="1"/>
  <c r="E46" i="18" s="1"/>
  <c r="D46" i="18" a="1"/>
  <c r="D46" i="18" s="1"/>
  <c r="C46" i="18" a="1"/>
  <c r="C46" i="18" s="1"/>
  <c r="B46" i="18" a="1"/>
  <c r="B46" i="18" s="1"/>
  <c r="F45" i="18" a="1"/>
  <c r="F45" i="18" s="1"/>
  <c r="E45" i="18" a="1"/>
  <c r="E45" i="18" s="1"/>
  <c r="D45" i="18" a="1"/>
  <c r="D45" i="18" s="1"/>
  <c r="C45" i="18" a="1"/>
  <c r="C45" i="18" s="1"/>
  <c r="B45" i="18" a="1"/>
  <c r="B45" i="18" s="1"/>
  <c r="F41" i="18" a="1"/>
  <c r="F41" i="18" s="1"/>
  <c r="E41" i="18" a="1"/>
  <c r="E41" i="18" s="1"/>
  <c r="D41" i="18" a="1"/>
  <c r="D41" i="18" s="1"/>
  <c r="C41" i="18" a="1"/>
  <c r="C41" i="18" s="1"/>
  <c r="B41" i="18" a="1"/>
  <c r="B41" i="18" s="1"/>
  <c r="F40" i="18" a="1"/>
  <c r="F40" i="18" s="1"/>
  <c r="E40" i="18" a="1"/>
  <c r="E40" i="18" s="1"/>
  <c r="D40" i="18" a="1"/>
  <c r="D40" i="18" s="1"/>
  <c r="C40" i="18" a="1"/>
  <c r="C40" i="18" s="1"/>
  <c r="B40" i="18" a="1"/>
  <c r="B40" i="18" s="1"/>
  <c r="F39" i="18" a="1"/>
  <c r="F39" i="18" s="1"/>
  <c r="E39" i="18" a="1"/>
  <c r="E39" i="18" s="1"/>
  <c r="D39" i="18" a="1"/>
  <c r="D39" i="18" s="1"/>
  <c r="C39" i="18" a="1"/>
  <c r="C39" i="18" s="1"/>
  <c r="B39" i="18" a="1"/>
  <c r="B39" i="18" s="1"/>
  <c r="F38" i="18" a="1"/>
  <c r="F38" i="18" s="1"/>
  <c r="E38" i="18" a="1"/>
  <c r="E38" i="18" s="1"/>
  <c r="D38" i="18" a="1"/>
  <c r="D38" i="18" s="1"/>
  <c r="C38" i="18" a="1"/>
  <c r="C38" i="18" s="1"/>
  <c r="B38" i="18" a="1"/>
  <c r="B38" i="18" s="1"/>
  <c r="F37" i="18" a="1"/>
  <c r="F37" i="18" s="1"/>
  <c r="E37" i="18" a="1"/>
  <c r="E37" i="18" s="1"/>
  <c r="D37" i="18" a="1"/>
  <c r="D37" i="18" s="1"/>
  <c r="C37" i="18" a="1"/>
  <c r="C37" i="18" s="1"/>
  <c r="B37" i="18" a="1"/>
  <c r="B37" i="18" s="1"/>
  <c r="F36" i="18" a="1"/>
  <c r="F36" i="18" s="1"/>
  <c r="E36" i="18" a="1"/>
  <c r="E36" i="18" s="1"/>
  <c r="D36" i="18" a="1"/>
  <c r="D36" i="18" s="1"/>
  <c r="C36" i="18" a="1"/>
  <c r="C36" i="18" s="1"/>
  <c r="B36" i="18" a="1"/>
  <c r="B36" i="18" s="1"/>
  <c r="F35" i="18" a="1"/>
  <c r="F35" i="18" s="1"/>
  <c r="E35" i="18" a="1"/>
  <c r="E35" i="18" s="1"/>
  <c r="D35" i="18" a="1"/>
  <c r="D35" i="18" s="1"/>
  <c r="C35" i="18" a="1"/>
  <c r="C35" i="18" s="1"/>
  <c r="B35" i="18" a="1"/>
  <c r="B35" i="18" s="1"/>
  <c r="F34" i="18" a="1"/>
  <c r="F34" i="18" s="1"/>
  <c r="E34" i="18" a="1"/>
  <c r="E34" i="18" s="1"/>
  <c r="D34" i="18" a="1"/>
  <c r="D34" i="18" s="1"/>
  <c r="C34" i="18" a="1"/>
  <c r="C34" i="18" s="1"/>
  <c r="B34" i="18" a="1"/>
  <c r="B34" i="18" s="1"/>
  <c r="F33" i="18" a="1"/>
  <c r="F33" i="18" s="1"/>
  <c r="E33" i="18" a="1"/>
  <c r="E33" i="18" s="1"/>
  <c r="D33" i="18" a="1"/>
  <c r="D33" i="18" s="1"/>
  <c r="C33" i="18" a="1"/>
  <c r="C33" i="18" s="1"/>
  <c r="B33" i="18" a="1"/>
  <c r="B33" i="18" s="1"/>
  <c r="F32" i="18" a="1"/>
  <c r="F32" i="18" s="1"/>
  <c r="E32" i="18" a="1"/>
  <c r="E32" i="18" s="1"/>
  <c r="D32" i="18" a="1"/>
  <c r="D32" i="18" s="1"/>
  <c r="C32" i="18" a="1"/>
  <c r="C32" i="18" s="1"/>
  <c r="B32" i="18" a="1"/>
  <c r="B32" i="18" s="1"/>
  <c r="F31" i="18" a="1"/>
  <c r="F31" i="18" s="1"/>
  <c r="E31" i="18" a="1"/>
  <c r="E31" i="18" s="1"/>
  <c r="D31" i="18" a="1"/>
  <c r="D31" i="18" s="1"/>
  <c r="C31" i="18" a="1"/>
  <c r="C31" i="18" s="1"/>
  <c r="B31" i="18" a="1"/>
  <c r="B31" i="18" s="1"/>
  <c r="F30" i="18" a="1"/>
  <c r="F30" i="18" s="1"/>
  <c r="E30" i="18" a="1"/>
  <c r="E30" i="18" s="1"/>
  <c r="D30" i="18" a="1"/>
  <c r="D30" i="18" s="1"/>
  <c r="C30" i="18" a="1"/>
  <c r="C30" i="18" s="1"/>
  <c r="B30" i="18" a="1"/>
  <c r="B30" i="18" s="1"/>
  <c r="F29" i="18" a="1"/>
  <c r="F29" i="18" s="1"/>
  <c r="E29" i="18" a="1"/>
  <c r="E29" i="18" s="1"/>
  <c r="D29" i="18" a="1"/>
  <c r="D29" i="18" s="1"/>
  <c r="C29" i="18" a="1"/>
  <c r="C29" i="18" s="1"/>
  <c r="B29" i="18" a="1"/>
  <c r="B29" i="18" s="1"/>
  <c r="F28" i="18" a="1"/>
  <c r="F28" i="18" s="1"/>
  <c r="E28" i="18" a="1"/>
  <c r="E28" i="18" s="1"/>
  <c r="D28" i="18" a="1"/>
  <c r="D28" i="18" s="1"/>
  <c r="C28" i="18" a="1"/>
  <c r="C28" i="18" s="1"/>
  <c r="B28" i="18" a="1"/>
  <c r="B28" i="18" s="1"/>
  <c r="F27" i="18" a="1"/>
  <c r="F27" i="18" s="1"/>
  <c r="E27" i="18" a="1"/>
  <c r="E27" i="18" s="1"/>
  <c r="D27" i="18" a="1"/>
  <c r="D27" i="18" s="1"/>
  <c r="C27" i="18" a="1"/>
  <c r="C27" i="18" s="1"/>
  <c r="B27" i="18" a="1"/>
  <c r="B27" i="18" s="1"/>
  <c r="F26" i="18" a="1"/>
  <c r="F26" i="18" s="1"/>
  <c r="E26" i="18" a="1"/>
  <c r="E26" i="18" s="1"/>
  <c r="D26" i="18" a="1"/>
  <c r="D26" i="18" s="1"/>
  <c r="C26" i="18" a="1"/>
  <c r="C26" i="18" s="1"/>
  <c r="B26" i="18" a="1"/>
  <c r="B26" i="18" s="1"/>
  <c r="F25" i="18" a="1"/>
  <c r="F25" i="18" s="1"/>
  <c r="E25" i="18" a="1"/>
  <c r="E25" i="18" s="1"/>
  <c r="D25" i="18" a="1"/>
  <c r="D25" i="18" s="1"/>
  <c r="C25" i="18" a="1"/>
  <c r="C25" i="18" s="1"/>
  <c r="B25" i="18" a="1"/>
  <c r="B25" i="18" s="1"/>
  <c r="F24" i="18" a="1"/>
  <c r="F24" i="18" s="1"/>
  <c r="E24" i="18" a="1"/>
  <c r="E24" i="18" s="1"/>
  <c r="D24" i="18" a="1"/>
  <c r="D24" i="18" s="1"/>
  <c r="C24" i="18" a="1"/>
  <c r="C24" i="18" s="1"/>
  <c r="B24" i="18" a="1"/>
  <c r="B24" i="18" s="1"/>
  <c r="F23" i="18" a="1"/>
  <c r="F23" i="18" s="1"/>
  <c r="E23" i="18" a="1"/>
  <c r="E23" i="18" s="1"/>
  <c r="D23" i="18" a="1"/>
  <c r="D23" i="18" s="1"/>
  <c r="C23" i="18" a="1"/>
  <c r="C23" i="18" s="1"/>
  <c r="B23" i="18" a="1"/>
  <c r="B23" i="18" s="1"/>
  <c r="F22" i="18" a="1"/>
  <c r="F22" i="18" s="1"/>
  <c r="E22" i="18" a="1"/>
  <c r="E22" i="18" s="1"/>
  <c r="D22" i="18" a="1"/>
  <c r="D22" i="18" s="1"/>
  <c r="C22" i="18" a="1"/>
  <c r="C22" i="18" s="1"/>
  <c r="B22" i="18" a="1"/>
  <c r="B22" i="18" s="1"/>
  <c r="F21" i="18" a="1"/>
  <c r="F21" i="18" s="1"/>
  <c r="E21" i="18" a="1"/>
  <c r="E21" i="18" s="1"/>
  <c r="D21" i="18" a="1"/>
  <c r="D21" i="18" s="1"/>
  <c r="C21" i="18" a="1"/>
  <c r="C21" i="18" s="1"/>
  <c r="B21" i="18" a="1"/>
  <c r="B21" i="18" s="1"/>
  <c r="F20" i="18" a="1"/>
  <c r="F20" i="18" s="1"/>
  <c r="E20" i="18" a="1"/>
  <c r="E20" i="18" s="1"/>
  <c r="D20" i="18" a="1"/>
  <c r="D20" i="18" s="1"/>
  <c r="C20" i="18" a="1"/>
  <c r="C20" i="18" s="1"/>
  <c r="B20" i="18" a="1"/>
  <c r="B20" i="18" s="1"/>
  <c r="G20" i="18" s="1"/>
  <c r="F19" i="18" a="1"/>
  <c r="F19" i="18" s="1"/>
  <c r="E19" i="18" a="1"/>
  <c r="E19" i="18" s="1"/>
  <c r="D19" i="18" a="1"/>
  <c r="D19" i="18" s="1"/>
  <c r="C19" i="18" a="1"/>
  <c r="C19" i="18" s="1"/>
  <c r="B19" i="18" a="1"/>
  <c r="B19" i="18" s="1"/>
  <c r="G19" i="18" s="1"/>
  <c r="F18" i="18" a="1"/>
  <c r="F18" i="18" s="1"/>
  <c r="E18" i="18" a="1"/>
  <c r="E18" i="18" s="1"/>
  <c r="D18" i="18" a="1"/>
  <c r="D18" i="18" s="1"/>
  <c r="C18" i="18" a="1"/>
  <c r="C18" i="18" s="1"/>
  <c r="B18" i="18" a="1"/>
  <c r="B18" i="18" s="1"/>
  <c r="G18" i="18" s="1"/>
  <c r="F17" i="18" a="1"/>
  <c r="F17" i="18" s="1"/>
  <c r="E17" i="18" a="1"/>
  <c r="E17" i="18" s="1"/>
  <c r="D17" i="18" a="1"/>
  <c r="D17" i="18" s="1"/>
  <c r="C17" i="18" a="1"/>
  <c r="C17" i="18" s="1"/>
  <c r="B17" i="18" a="1"/>
  <c r="B17" i="18" s="1"/>
  <c r="G17" i="18" s="1"/>
  <c r="F16" i="18" a="1"/>
  <c r="F16" i="18" s="1"/>
  <c r="E16" i="18" a="1"/>
  <c r="E16" i="18" s="1"/>
  <c r="D16" i="18" a="1"/>
  <c r="D16" i="18" s="1"/>
  <c r="C16" i="18" a="1"/>
  <c r="C16" i="18" s="1"/>
  <c r="B16" i="18" a="1"/>
  <c r="B16" i="18" s="1"/>
  <c r="G16" i="18" s="1"/>
  <c r="F15" i="18" a="1"/>
  <c r="F15" i="18" s="1"/>
  <c r="E15" i="18" a="1"/>
  <c r="E15" i="18" s="1"/>
  <c r="D15" i="18" a="1"/>
  <c r="D15" i="18" s="1"/>
  <c r="C15" i="18" a="1"/>
  <c r="C15" i="18" s="1"/>
  <c r="B15" i="18" a="1"/>
  <c r="B15" i="18" s="1"/>
  <c r="G15" i="18" s="1"/>
  <c r="F14" i="18" a="1"/>
  <c r="F14" i="18" s="1"/>
  <c r="E14" i="18" a="1"/>
  <c r="E14" i="18" s="1"/>
  <c r="D14" i="18" a="1"/>
  <c r="D14" i="18" s="1"/>
  <c r="C14" i="18" a="1"/>
  <c r="C14" i="18" s="1"/>
  <c r="B14" i="18" a="1"/>
  <c r="B14" i="18" s="1"/>
  <c r="G14" i="18" s="1"/>
  <c r="F13" i="18" a="1"/>
  <c r="F13" i="18" s="1"/>
  <c r="E13" i="18" a="1"/>
  <c r="E13" i="18" s="1"/>
  <c r="D13" i="18" a="1"/>
  <c r="D13" i="18" s="1"/>
  <c r="C13" i="18" a="1"/>
  <c r="C13" i="18" s="1"/>
  <c r="B13" i="18" a="1"/>
  <c r="B13" i="18" s="1"/>
  <c r="G13" i="18" s="1"/>
  <c r="F12" i="18" a="1"/>
  <c r="F12" i="18" s="1"/>
  <c r="E12" i="18" a="1"/>
  <c r="E12" i="18" s="1"/>
  <c r="D12" i="18" a="1"/>
  <c r="D12" i="18" s="1"/>
  <c r="C12" i="18" a="1"/>
  <c r="C12" i="18" s="1"/>
  <c r="B12" i="18" a="1"/>
  <c r="B12" i="18" s="1"/>
  <c r="G12" i="18" s="1"/>
  <c r="E8" i="18" a="1"/>
  <c r="E8" i="18" s="1"/>
  <c r="B8" i="18"/>
  <c r="B7" i="18"/>
  <c r="B6" i="18"/>
  <c r="E5" i="18"/>
  <c r="E6" i="18" s="1"/>
  <c r="B5" i="18"/>
  <c r="E4" i="18"/>
  <c r="B4" i="18"/>
  <c r="I3" i="18"/>
  <c r="A1" i="18"/>
  <c r="F74" i="17" a="1"/>
  <c r="F74" i="17" s="1"/>
  <c r="E74" i="17" a="1"/>
  <c r="E74" i="17" s="1"/>
  <c r="D74" i="17" a="1"/>
  <c r="D74" i="17" s="1"/>
  <c r="C74" i="17" a="1"/>
  <c r="C74" i="17" s="1"/>
  <c r="B74" i="17" a="1"/>
  <c r="B74" i="17" s="1"/>
  <c r="A74" i="17" s="1"/>
  <c r="F73" i="17" a="1"/>
  <c r="F73" i="17" s="1"/>
  <c r="E73" i="17" a="1"/>
  <c r="E73" i="17" s="1"/>
  <c r="D73" i="17" a="1"/>
  <c r="D73" i="17" s="1"/>
  <c r="C73" i="17" a="1"/>
  <c r="C73" i="17" s="1"/>
  <c r="B73" i="17" a="1"/>
  <c r="B73" i="17" s="1"/>
  <c r="A73" i="17" s="1"/>
  <c r="F72" i="17" a="1"/>
  <c r="F72" i="17" s="1"/>
  <c r="E72" i="17" a="1"/>
  <c r="E72" i="17" s="1"/>
  <c r="D72" i="17" a="1"/>
  <c r="D72" i="17" s="1"/>
  <c r="C72" i="17" a="1"/>
  <c r="C72" i="17" s="1"/>
  <c r="B72" i="17" a="1"/>
  <c r="B72" i="17" s="1"/>
  <c r="A72" i="17" s="1"/>
  <c r="F71" i="17" a="1"/>
  <c r="F71" i="17" s="1"/>
  <c r="E71" i="17" a="1"/>
  <c r="E71" i="17" s="1"/>
  <c r="D71" i="17" a="1"/>
  <c r="D71" i="17" s="1"/>
  <c r="C71" i="17" a="1"/>
  <c r="C71" i="17" s="1"/>
  <c r="B71" i="17" a="1"/>
  <c r="B71" i="17" s="1"/>
  <c r="A71" i="17" s="1"/>
  <c r="F70" i="17" a="1"/>
  <c r="F70" i="17" s="1"/>
  <c r="E70" i="17" a="1"/>
  <c r="E70" i="17" s="1"/>
  <c r="D70" i="17" a="1"/>
  <c r="D70" i="17" s="1"/>
  <c r="C70" i="17" a="1"/>
  <c r="C70" i="17" s="1"/>
  <c r="B70" i="17" a="1"/>
  <c r="B70" i="17" s="1"/>
  <c r="F69" i="17" a="1"/>
  <c r="F69" i="17" s="1"/>
  <c r="E69" i="17" a="1"/>
  <c r="E69" i="17" s="1"/>
  <c r="D69" i="17" a="1"/>
  <c r="D69" i="17" s="1"/>
  <c r="C69" i="17" a="1"/>
  <c r="C69" i="17" s="1"/>
  <c r="B69" i="17" a="1"/>
  <c r="B69" i="17" s="1"/>
  <c r="A69" i="17" s="1"/>
  <c r="F68" i="17" a="1"/>
  <c r="F68" i="17" s="1"/>
  <c r="E68" i="17" a="1"/>
  <c r="E68" i="17" s="1"/>
  <c r="D68" i="17" a="1"/>
  <c r="D68" i="17" s="1"/>
  <c r="C68" i="17" a="1"/>
  <c r="C68" i="17" s="1"/>
  <c r="B68" i="17" a="1"/>
  <c r="B68" i="17" s="1"/>
  <c r="A68" i="17" s="1"/>
  <c r="F67" i="17" a="1"/>
  <c r="F67" i="17" s="1"/>
  <c r="E67" i="17" a="1"/>
  <c r="E67" i="17" s="1"/>
  <c r="D67" i="17" a="1"/>
  <c r="D67" i="17" s="1"/>
  <c r="C67" i="17" a="1"/>
  <c r="C67" i="17" s="1"/>
  <c r="B67" i="17" a="1"/>
  <c r="B67" i="17" s="1"/>
  <c r="A67" i="17" s="1"/>
  <c r="F66" i="17" a="1"/>
  <c r="F66" i="17" s="1"/>
  <c r="E66" i="17" a="1"/>
  <c r="E66" i="17" s="1"/>
  <c r="D66" i="17" a="1"/>
  <c r="D66" i="17" s="1"/>
  <c r="C66" i="17" a="1"/>
  <c r="C66" i="17" s="1"/>
  <c r="B66" i="17" a="1"/>
  <c r="B66" i="17" s="1"/>
  <c r="A66" i="17" s="1"/>
  <c r="F65" i="17" a="1"/>
  <c r="F65" i="17" s="1"/>
  <c r="E65" i="17" a="1"/>
  <c r="E65" i="17" s="1"/>
  <c r="D65" i="17" a="1"/>
  <c r="D65" i="17" s="1"/>
  <c r="C65" i="17" a="1"/>
  <c r="C65" i="17" s="1"/>
  <c r="B65" i="17" a="1"/>
  <c r="B65" i="17" s="1"/>
  <c r="A65" i="17" s="1"/>
  <c r="F64" i="17" a="1"/>
  <c r="F64" i="17" s="1"/>
  <c r="E64" i="17" a="1"/>
  <c r="E64" i="17" s="1"/>
  <c r="D64" i="17" a="1"/>
  <c r="D64" i="17" s="1"/>
  <c r="C64" i="17" a="1"/>
  <c r="C64" i="17" s="1"/>
  <c r="B64" i="17" a="1"/>
  <c r="B64" i="17" s="1"/>
  <c r="A64" i="17" s="1"/>
  <c r="F63" i="17" a="1"/>
  <c r="F63" i="17" s="1"/>
  <c r="E63" i="17" a="1"/>
  <c r="E63" i="17" s="1"/>
  <c r="D63" i="17" a="1"/>
  <c r="D63" i="17" s="1"/>
  <c r="C63" i="17" a="1"/>
  <c r="C63" i="17" s="1"/>
  <c r="B63" i="17" a="1"/>
  <c r="B63" i="17" s="1"/>
  <c r="A63" i="17" s="1"/>
  <c r="F62" i="17" a="1"/>
  <c r="F62" i="17" s="1"/>
  <c r="E62" i="17" a="1"/>
  <c r="E62" i="17" s="1"/>
  <c r="D62" i="17" a="1"/>
  <c r="D62" i="17" s="1"/>
  <c r="C62" i="17" a="1"/>
  <c r="C62" i="17" s="1"/>
  <c r="B62" i="17" a="1"/>
  <c r="B62" i="17" s="1"/>
  <c r="F61" i="17" a="1"/>
  <c r="F61" i="17" s="1"/>
  <c r="E61" i="17" a="1"/>
  <c r="E61" i="17" s="1"/>
  <c r="D61" i="17" a="1"/>
  <c r="D61" i="17" s="1"/>
  <c r="C61" i="17" a="1"/>
  <c r="C61" i="17" s="1"/>
  <c r="B61" i="17" a="1"/>
  <c r="B61" i="17" s="1"/>
  <c r="A61" i="17" s="1"/>
  <c r="F60" i="17" a="1"/>
  <c r="F60" i="17" s="1"/>
  <c r="E60" i="17" a="1"/>
  <c r="E60" i="17" s="1"/>
  <c r="D60" i="17" a="1"/>
  <c r="D60" i="17" s="1"/>
  <c r="C60" i="17" a="1"/>
  <c r="C60" i="17" s="1"/>
  <c r="B60" i="17" a="1"/>
  <c r="B60" i="17" s="1"/>
  <c r="A60" i="17" s="1"/>
  <c r="F59" i="17" a="1"/>
  <c r="F59" i="17" s="1"/>
  <c r="E59" i="17" a="1"/>
  <c r="E59" i="17" s="1"/>
  <c r="D59" i="17" a="1"/>
  <c r="D59" i="17" s="1"/>
  <c r="C59" i="17" a="1"/>
  <c r="C59" i="17" s="1"/>
  <c r="B59" i="17" a="1"/>
  <c r="B59" i="17" s="1"/>
  <c r="A59" i="17" s="1"/>
  <c r="F58" i="17" a="1"/>
  <c r="F58" i="17" s="1"/>
  <c r="E58" i="17" a="1"/>
  <c r="E58" i="17" s="1"/>
  <c r="D58" i="17" a="1"/>
  <c r="D58" i="17" s="1"/>
  <c r="C58" i="17" a="1"/>
  <c r="C58" i="17" s="1"/>
  <c r="B58" i="17" a="1"/>
  <c r="B58" i="17" s="1"/>
  <c r="A58" i="17" s="1"/>
  <c r="F57" i="17" a="1"/>
  <c r="F57" i="17" s="1"/>
  <c r="E57" i="17" a="1"/>
  <c r="E57" i="17" s="1"/>
  <c r="D57" i="17" a="1"/>
  <c r="D57" i="17" s="1"/>
  <c r="C57" i="17" a="1"/>
  <c r="C57" i="17" s="1"/>
  <c r="B57" i="17" a="1"/>
  <c r="B57" i="17" s="1"/>
  <c r="A57" i="17" s="1"/>
  <c r="F56" i="17" a="1"/>
  <c r="F56" i="17" s="1"/>
  <c r="E56" i="17" a="1"/>
  <c r="E56" i="17" s="1"/>
  <c r="D56" i="17" a="1"/>
  <c r="D56" i="17" s="1"/>
  <c r="C56" i="17" a="1"/>
  <c r="C56" i="17" s="1"/>
  <c r="B56" i="17" a="1"/>
  <c r="B56" i="17" s="1"/>
  <c r="A56" i="17" s="1"/>
  <c r="F55" i="17" a="1"/>
  <c r="F55" i="17" s="1"/>
  <c r="E55" i="17" a="1"/>
  <c r="E55" i="17" s="1"/>
  <c r="D55" i="17" a="1"/>
  <c r="D55" i="17" s="1"/>
  <c r="C55" i="17" a="1"/>
  <c r="C55" i="17" s="1"/>
  <c r="B55" i="17" a="1"/>
  <c r="B55" i="17" s="1"/>
  <c r="A55" i="17" s="1"/>
  <c r="F54" i="17" a="1"/>
  <c r="F54" i="17" s="1"/>
  <c r="E54" i="17" a="1"/>
  <c r="E54" i="17" s="1"/>
  <c r="D54" i="17" a="1"/>
  <c r="D54" i="17" s="1"/>
  <c r="C54" i="17" a="1"/>
  <c r="C54" i="17" s="1"/>
  <c r="B54" i="17" a="1"/>
  <c r="B54" i="17" s="1"/>
  <c r="F53" i="17" a="1"/>
  <c r="F53" i="17" s="1"/>
  <c r="E53" i="17" a="1"/>
  <c r="E53" i="17" s="1"/>
  <c r="D53" i="17" a="1"/>
  <c r="D53" i="17" s="1"/>
  <c r="C53" i="17" a="1"/>
  <c r="C53" i="17" s="1"/>
  <c r="B53" i="17" a="1"/>
  <c r="B53" i="17" s="1"/>
  <c r="F52" i="17" a="1"/>
  <c r="F52" i="17" s="1"/>
  <c r="E52" i="17" a="1"/>
  <c r="E52" i="17" s="1"/>
  <c r="D52" i="17" a="1"/>
  <c r="D52" i="17" s="1"/>
  <c r="C52" i="17" a="1"/>
  <c r="C52" i="17" s="1"/>
  <c r="B52" i="17" a="1"/>
  <c r="B52" i="17" s="1"/>
  <c r="A52" i="17" s="1"/>
  <c r="F51" i="17" a="1"/>
  <c r="F51" i="17" s="1"/>
  <c r="E51" i="17" a="1"/>
  <c r="E51" i="17" s="1"/>
  <c r="D51" i="17" a="1"/>
  <c r="D51" i="17" s="1"/>
  <c r="C51" i="17" a="1"/>
  <c r="C51" i="17" s="1"/>
  <c r="B51" i="17" a="1"/>
  <c r="B51" i="17" s="1"/>
  <c r="A51" i="17" s="1"/>
  <c r="F50" i="17" a="1"/>
  <c r="F50" i="17" s="1"/>
  <c r="E50" i="17" a="1"/>
  <c r="E50" i="17" s="1"/>
  <c r="D50" i="17" a="1"/>
  <c r="D50" i="17" s="1"/>
  <c r="C50" i="17" a="1"/>
  <c r="C50" i="17" s="1"/>
  <c r="B50" i="17" a="1"/>
  <c r="B50" i="17" s="1"/>
  <c r="A50" i="17" s="1"/>
  <c r="F49" i="17" a="1"/>
  <c r="F49" i="17" s="1"/>
  <c r="E49" i="17" a="1"/>
  <c r="E49" i="17" s="1"/>
  <c r="D49" i="17" a="1"/>
  <c r="D49" i="17" s="1"/>
  <c r="C49" i="17" a="1"/>
  <c r="C49" i="17" s="1"/>
  <c r="B49" i="17" a="1"/>
  <c r="B49" i="17" s="1"/>
  <c r="F48" i="17" a="1"/>
  <c r="F48" i="17" s="1"/>
  <c r="E48" i="17" a="1"/>
  <c r="E48" i="17" s="1"/>
  <c r="D48" i="17" a="1"/>
  <c r="D48" i="17" s="1"/>
  <c r="C48" i="17" a="1"/>
  <c r="C48" i="17" s="1"/>
  <c r="B48" i="17" a="1"/>
  <c r="B48" i="17" s="1"/>
  <c r="G48" i="17" s="1"/>
  <c r="F47" i="17" a="1"/>
  <c r="F47" i="17" s="1"/>
  <c r="E47" i="17" a="1"/>
  <c r="E47" i="17" s="1"/>
  <c r="D47" i="17" a="1"/>
  <c r="D47" i="17" s="1"/>
  <c r="C47" i="17" a="1"/>
  <c r="C47" i="17" s="1"/>
  <c r="B47" i="17" a="1"/>
  <c r="B47" i="17" s="1"/>
  <c r="F46" i="17" a="1"/>
  <c r="F46" i="17" s="1"/>
  <c r="E46" i="17" a="1"/>
  <c r="E46" i="17" s="1"/>
  <c r="D46" i="17" a="1"/>
  <c r="D46" i="17" s="1"/>
  <c r="C46" i="17" a="1"/>
  <c r="C46" i="17" s="1"/>
  <c r="B46" i="17" a="1"/>
  <c r="B46" i="17" s="1"/>
  <c r="F45" i="17" a="1"/>
  <c r="F45" i="17" s="1"/>
  <c r="E45" i="17" a="1"/>
  <c r="E45" i="17" s="1"/>
  <c r="D45" i="17" a="1"/>
  <c r="D45" i="17" s="1"/>
  <c r="C45" i="17" a="1"/>
  <c r="C45" i="17" s="1"/>
  <c r="B45" i="17" a="1"/>
  <c r="B45" i="17" s="1"/>
  <c r="F41" i="17" a="1"/>
  <c r="F41" i="17" s="1"/>
  <c r="E41" i="17" a="1"/>
  <c r="E41" i="17" s="1"/>
  <c r="D41" i="17" a="1"/>
  <c r="D41" i="17" s="1"/>
  <c r="C41" i="17" a="1"/>
  <c r="C41" i="17" s="1"/>
  <c r="B41" i="17" a="1"/>
  <c r="B41" i="17" s="1"/>
  <c r="F40" i="17" a="1"/>
  <c r="F40" i="17" s="1"/>
  <c r="E40" i="17" a="1"/>
  <c r="E40" i="17" s="1"/>
  <c r="D40" i="17" a="1"/>
  <c r="D40" i="17" s="1"/>
  <c r="C40" i="17" a="1"/>
  <c r="C40" i="17" s="1"/>
  <c r="B40" i="17" a="1"/>
  <c r="B40" i="17" s="1"/>
  <c r="F39" i="17" a="1"/>
  <c r="F39" i="17" s="1"/>
  <c r="E39" i="17" a="1"/>
  <c r="E39" i="17" s="1"/>
  <c r="D39" i="17" a="1"/>
  <c r="D39" i="17" s="1"/>
  <c r="C39" i="17" a="1"/>
  <c r="C39" i="17" s="1"/>
  <c r="B39" i="17" a="1"/>
  <c r="B39" i="17" s="1"/>
  <c r="F38" i="17" a="1"/>
  <c r="F38" i="17" s="1"/>
  <c r="E38" i="17" a="1"/>
  <c r="E38" i="17" s="1"/>
  <c r="D38" i="17" a="1"/>
  <c r="D38" i="17" s="1"/>
  <c r="C38" i="17" a="1"/>
  <c r="C38" i="17" s="1"/>
  <c r="B38" i="17" a="1"/>
  <c r="B38" i="17" s="1"/>
  <c r="F37" i="17" a="1"/>
  <c r="F37" i="17" s="1"/>
  <c r="E37" i="17" a="1"/>
  <c r="E37" i="17" s="1"/>
  <c r="D37" i="17" a="1"/>
  <c r="D37" i="17" s="1"/>
  <c r="C37" i="17" a="1"/>
  <c r="C37" i="17" s="1"/>
  <c r="B37" i="17" a="1"/>
  <c r="B37" i="17" s="1"/>
  <c r="F36" i="17" a="1"/>
  <c r="F36" i="17" s="1"/>
  <c r="E36" i="17" a="1"/>
  <c r="E36" i="17" s="1"/>
  <c r="D36" i="17" a="1"/>
  <c r="D36" i="17" s="1"/>
  <c r="C36" i="17" a="1"/>
  <c r="C36" i="17" s="1"/>
  <c r="B36" i="17" a="1"/>
  <c r="B36" i="17" s="1"/>
  <c r="F35" i="17" a="1"/>
  <c r="F35" i="17" s="1"/>
  <c r="E35" i="17" a="1"/>
  <c r="E35" i="17" s="1"/>
  <c r="D35" i="17" a="1"/>
  <c r="D35" i="17" s="1"/>
  <c r="C35" i="17" a="1"/>
  <c r="C35" i="17" s="1"/>
  <c r="B35" i="17" a="1"/>
  <c r="B35" i="17" s="1"/>
  <c r="F34" i="17" a="1"/>
  <c r="F34" i="17" s="1"/>
  <c r="E34" i="17" a="1"/>
  <c r="E34" i="17" s="1"/>
  <c r="D34" i="17" a="1"/>
  <c r="D34" i="17" s="1"/>
  <c r="C34" i="17" a="1"/>
  <c r="C34" i="17" s="1"/>
  <c r="B34" i="17" a="1"/>
  <c r="B34" i="17" s="1"/>
  <c r="F33" i="17" a="1"/>
  <c r="F33" i="17" s="1"/>
  <c r="E33" i="17" a="1"/>
  <c r="E33" i="17" s="1"/>
  <c r="D33" i="17" a="1"/>
  <c r="D33" i="17" s="1"/>
  <c r="C33" i="17" a="1"/>
  <c r="C33" i="17" s="1"/>
  <c r="B33" i="17" a="1"/>
  <c r="B33" i="17" s="1"/>
  <c r="F32" i="17" a="1"/>
  <c r="F32" i="17" s="1"/>
  <c r="E32" i="17" a="1"/>
  <c r="E32" i="17" s="1"/>
  <c r="D32" i="17" a="1"/>
  <c r="D32" i="17" s="1"/>
  <c r="C32" i="17" a="1"/>
  <c r="C32" i="17" s="1"/>
  <c r="B32" i="17" a="1"/>
  <c r="B32" i="17" s="1"/>
  <c r="F31" i="17" a="1"/>
  <c r="F31" i="17" s="1"/>
  <c r="E31" i="17" a="1"/>
  <c r="E31" i="17" s="1"/>
  <c r="D31" i="17" a="1"/>
  <c r="D31" i="17" s="1"/>
  <c r="C31" i="17" a="1"/>
  <c r="C31" i="17" s="1"/>
  <c r="B31" i="17" a="1"/>
  <c r="B31" i="17" s="1"/>
  <c r="F30" i="17" a="1"/>
  <c r="F30" i="17" s="1"/>
  <c r="E30" i="17" a="1"/>
  <c r="E30" i="17" s="1"/>
  <c r="D30" i="17" a="1"/>
  <c r="D30" i="17" s="1"/>
  <c r="C30" i="17" a="1"/>
  <c r="C30" i="17" s="1"/>
  <c r="B30" i="17" a="1"/>
  <c r="B30" i="17" s="1"/>
  <c r="F29" i="17" a="1"/>
  <c r="F29" i="17" s="1"/>
  <c r="E29" i="17" a="1"/>
  <c r="E29" i="17" s="1"/>
  <c r="D29" i="17" a="1"/>
  <c r="D29" i="17" s="1"/>
  <c r="C29" i="17" a="1"/>
  <c r="C29" i="17" s="1"/>
  <c r="B29" i="17" a="1"/>
  <c r="B29" i="17" s="1"/>
  <c r="F28" i="17" a="1"/>
  <c r="F28" i="17" s="1"/>
  <c r="E28" i="17" a="1"/>
  <c r="E28" i="17" s="1"/>
  <c r="D28" i="17" a="1"/>
  <c r="D28" i="17" s="1"/>
  <c r="C28" i="17" a="1"/>
  <c r="C28" i="17" s="1"/>
  <c r="B28" i="17" a="1"/>
  <c r="B28" i="17" s="1"/>
  <c r="F27" i="17" a="1"/>
  <c r="F27" i="17" s="1"/>
  <c r="E27" i="17" a="1"/>
  <c r="E27" i="17" s="1"/>
  <c r="D27" i="17" a="1"/>
  <c r="D27" i="17" s="1"/>
  <c r="C27" i="17" a="1"/>
  <c r="C27" i="17" s="1"/>
  <c r="B27" i="17" a="1"/>
  <c r="B27" i="17" s="1"/>
  <c r="F26" i="17" a="1"/>
  <c r="F26" i="17" s="1"/>
  <c r="E26" i="17" a="1"/>
  <c r="E26" i="17" s="1"/>
  <c r="D26" i="17" a="1"/>
  <c r="D26" i="17" s="1"/>
  <c r="C26" i="17" a="1"/>
  <c r="C26" i="17" s="1"/>
  <c r="B26" i="17" a="1"/>
  <c r="B26" i="17" s="1"/>
  <c r="F25" i="17" a="1"/>
  <c r="F25" i="17" s="1"/>
  <c r="E25" i="17" a="1"/>
  <c r="E25" i="17" s="1"/>
  <c r="D25" i="17" a="1"/>
  <c r="D25" i="17" s="1"/>
  <c r="C25" i="17" a="1"/>
  <c r="C25" i="17" s="1"/>
  <c r="B25" i="17" a="1"/>
  <c r="B25" i="17" s="1"/>
  <c r="F24" i="17" a="1"/>
  <c r="F24" i="17" s="1"/>
  <c r="E24" i="17" a="1"/>
  <c r="E24" i="17" s="1"/>
  <c r="D24" i="17" a="1"/>
  <c r="D24" i="17" s="1"/>
  <c r="C24" i="17" a="1"/>
  <c r="C24" i="17" s="1"/>
  <c r="B24" i="17" a="1"/>
  <c r="B24" i="17" s="1"/>
  <c r="F23" i="17" a="1"/>
  <c r="F23" i="17" s="1"/>
  <c r="E23" i="17" a="1"/>
  <c r="E23" i="17" s="1"/>
  <c r="D23" i="17" a="1"/>
  <c r="D23" i="17" s="1"/>
  <c r="C23" i="17" a="1"/>
  <c r="C23" i="17" s="1"/>
  <c r="B23" i="17" a="1"/>
  <c r="B23" i="17" s="1"/>
  <c r="F22" i="17" a="1"/>
  <c r="F22" i="17" s="1"/>
  <c r="E22" i="17" a="1"/>
  <c r="E22" i="17" s="1"/>
  <c r="D22" i="17" a="1"/>
  <c r="D22" i="17" s="1"/>
  <c r="C22" i="17" a="1"/>
  <c r="C22" i="17" s="1"/>
  <c r="B22" i="17" a="1"/>
  <c r="B22" i="17" s="1"/>
  <c r="F21" i="17" a="1"/>
  <c r="F21" i="17" s="1"/>
  <c r="E21" i="17" a="1"/>
  <c r="E21" i="17" s="1"/>
  <c r="D21" i="17" a="1"/>
  <c r="D21" i="17" s="1"/>
  <c r="C21" i="17" a="1"/>
  <c r="C21" i="17" s="1"/>
  <c r="B21" i="17" a="1"/>
  <c r="B21" i="17" s="1"/>
  <c r="F20" i="17" a="1"/>
  <c r="F20" i="17" s="1"/>
  <c r="E20" i="17" a="1"/>
  <c r="E20" i="17" s="1"/>
  <c r="D20" i="17" a="1"/>
  <c r="D20" i="17" s="1"/>
  <c r="C20" i="17" a="1"/>
  <c r="C20" i="17" s="1"/>
  <c r="B20" i="17" a="1"/>
  <c r="B20" i="17" s="1"/>
  <c r="F19" i="17" a="1"/>
  <c r="F19" i="17" s="1"/>
  <c r="E19" i="17" a="1"/>
  <c r="E19" i="17" s="1"/>
  <c r="D19" i="17" a="1"/>
  <c r="D19" i="17" s="1"/>
  <c r="C19" i="17" a="1"/>
  <c r="C19" i="17" s="1"/>
  <c r="B19" i="17" a="1"/>
  <c r="B19" i="17" s="1"/>
  <c r="F18" i="17" a="1"/>
  <c r="F18" i="17" s="1"/>
  <c r="E18" i="17" a="1"/>
  <c r="E18" i="17" s="1"/>
  <c r="D18" i="17" a="1"/>
  <c r="D18" i="17" s="1"/>
  <c r="C18" i="17" a="1"/>
  <c r="C18" i="17" s="1"/>
  <c r="B18" i="17" a="1"/>
  <c r="B18" i="17" s="1"/>
  <c r="F17" i="17" a="1"/>
  <c r="F17" i="17" s="1"/>
  <c r="E17" i="17" a="1"/>
  <c r="E17" i="17" s="1"/>
  <c r="D17" i="17" a="1"/>
  <c r="D17" i="17" s="1"/>
  <c r="C17" i="17" a="1"/>
  <c r="C17" i="17" s="1"/>
  <c r="B17" i="17" a="1"/>
  <c r="B17" i="17" s="1"/>
  <c r="F16" i="17" a="1"/>
  <c r="F16" i="17" s="1"/>
  <c r="E16" i="17" a="1"/>
  <c r="E16" i="17" s="1"/>
  <c r="D16" i="17" a="1"/>
  <c r="D16" i="17" s="1"/>
  <c r="C16" i="17" a="1"/>
  <c r="C16" i="17" s="1"/>
  <c r="B16" i="17" a="1"/>
  <c r="B16" i="17" s="1"/>
  <c r="F15" i="17" a="1"/>
  <c r="F15" i="17" s="1"/>
  <c r="E15" i="17" a="1"/>
  <c r="E15" i="17" s="1"/>
  <c r="D15" i="17" a="1"/>
  <c r="D15" i="17" s="1"/>
  <c r="C15" i="17" a="1"/>
  <c r="C15" i="17" s="1"/>
  <c r="B15" i="17" a="1"/>
  <c r="B15" i="17" s="1"/>
  <c r="F14" i="17" a="1"/>
  <c r="F14" i="17" s="1"/>
  <c r="E14" i="17" a="1"/>
  <c r="E14" i="17" s="1"/>
  <c r="D14" i="17" a="1"/>
  <c r="D14" i="17" s="1"/>
  <c r="C14" i="17" a="1"/>
  <c r="C14" i="17" s="1"/>
  <c r="B14" i="17" a="1"/>
  <c r="B14" i="17" s="1"/>
  <c r="F13" i="17" a="1"/>
  <c r="F13" i="17" s="1"/>
  <c r="E13" i="17" a="1"/>
  <c r="E13" i="17" s="1"/>
  <c r="D13" i="17" a="1"/>
  <c r="D13" i="17" s="1"/>
  <c r="C13" i="17" a="1"/>
  <c r="C13" i="17" s="1"/>
  <c r="B13" i="17" a="1"/>
  <c r="B13" i="17" s="1"/>
  <c r="F12" i="17" a="1"/>
  <c r="F12" i="17" s="1"/>
  <c r="E12" i="17" a="1"/>
  <c r="E12" i="17" s="1"/>
  <c r="D12" i="17" a="1"/>
  <c r="D12" i="17" s="1"/>
  <c r="C12" i="17" a="1"/>
  <c r="C12" i="17" s="1"/>
  <c r="B12" i="17" a="1"/>
  <c r="B12" i="17" s="1"/>
  <c r="E8" i="17" a="1"/>
  <c r="E8" i="17" s="1"/>
  <c r="B8" i="17"/>
  <c r="B7" i="17"/>
  <c r="B6" i="17"/>
  <c r="E5" i="17"/>
  <c r="E6" i="17" s="1"/>
  <c r="B5" i="17"/>
  <c r="E4" i="17"/>
  <c r="B4" i="17"/>
  <c r="I3" i="17"/>
  <c r="A1" i="17"/>
  <c r="F74" i="16" a="1"/>
  <c r="F74" i="16" s="1"/>
  <c r="E74" i="16" a="1"/>
  <c r="E74" i="16" s="1"/>
  <c r="D74" i="16" a="1"/>
  <c r="D74" i="16" s="1"/>
  <c r="C74" i="16" a="1"/>
  <c r="C74" i="16" s="1"/>
  <c r="B74" i="16" a="1"/>
  <c r="B74" i="16" s="1"/>
  <c r="A74" i="16" s="1"/>
  <c r="F73" i="16" a="1"/>
  <c r="F73" i="16" s="1"/>
  <c r="E73" i="16" a="1"/>
  <c r="E73" i="16" s="1"/>
  <c r="D73" i="16" a="1"/>
  <c r="D73" i="16" s="1"/>
  <c r="C73" i="16" a="1"/>
  <c r="C73" i="16" s="1"/>
  <c r="B73" i="16" a="1"/>
  <c r="B73" i="16" s="1"/>
  <c r="A73" i="16" s="1"/>
  <c r="F72" i="16" a="1"/>
  <c r="F72" i="16" s="1"/>
  <c r="E72" i="16" a="1"/>
  <c r="E72" i="16" s="1"/>
  <c r="D72" i="16" a="1"/>
  <c r="D72" i="16" s="1"/>
  <c r="C72" i="16" a="1"/>
  <c r="C72" i="16" s="1"/>
  <c r="B72" i="16" a="1"/>
  <c r="B72" i="16" s="1"/>
  <c r="F71" i="16" a="1"/>
  <c r="F71" i="16" s="1"/>
  <c r="E71" i="16" a="1"/>
  <c r="E71" i="16" s="1"/>
  <c r="D71" i="16" a="1"/>
  <c r="D71" i="16" s="1"/>
  <c r="C71" i="16" a="1"/>
  <c r="C71" i="16" s="1"/>
  <c r="B71" i="16" a="1"/>
  <c r="B71" i="16" s="1"/>
  <c r="F70" i="16" a="1"/>
  <c r="F70" i="16" s="1"/>
  <c r="E70" i="16" a="1"/>
  <c r="E70" i="16" s="1"/>
  <c r="D70" i="16" a="1"/>
  <c r="D70" i="16" s="1"/>
  <c r="C70" i="16" a="1"/>
  <c r="C70" i="16" s="1"/>
  <c r="B70" i="16" a="1"/>
  <c r="B70" i="16" s="1"/>
  <c r="A70" i="16" s="1"/>
  <c r="F69" i="16" a="1"/>
  <c r="F69" i="16" s="1"/>
  <c r="E69" i="16" a="1"/>
  <c r="E69" i="16" s="1"/>
  <c r="D69" i="16" a="1"/>
  <c r="D69" i="16" s="1"/>
  <c r="C69" i="16" a="1"/>
  <c r="C69" i="16" s="1"/>
  <c r="B69" i="16" a="1"/>
  <c r="B69" i="16" s="1"/>
  <c r="A69" i="16" s="1"/>
  <c r="F68" i="16" a="1"/>
  <c r="F68" i="16" s="1"/>
  <c r="E68" i="16" a="1"/>
  <c r="E68" i="16" s="1"/>
  <c r="D68" i="16" a="1"/>
  <c r="D68" i="16" s="1"/>
  <c r="C68" i="16" a="1"/>
  <c r="C68" i="16" s="1"/>
  <c r="B68" i="16" a="1"/>
  <c r="B68" i="16" s="1"/>
  <c r="F67" i="16" a="1"/>
  <c r="F67" i="16" s="1"/>
  <c r="E67" i="16" a="1"/>
  <c r="E67" i="16" s="1"/>
  <c r="D67" i="16" a="1"/>
  <c r="D67" i="16" s="1"/>
  <c r="C67" i="16" a="1"/>
  <c r="C67" i="16" s="1"/>
  <c r="B67" i="16" a="1"/>
  <c r="B67" i="16" s="1"/>
  <c r="F66" i="16" a="1"/>
  <c r="F66" i="16" s="1"/>
  <c r="E66" i="16" a="1"/>
  <c r="E66" i="16" s="1"/>
  <c r="D66" i="16" a="1"/>
  <c r="D66" i="16" s="1"/>
  <c r="C66" i="16" a="1"/>
  <c r="C66" i="16" s="1"/>
  <c r="B66" i="16" a="1"/>
  <c r="B66" i="16" s="1"/>
  <c r="A66" i="16" s="1"/>
  <c r="F65" i="16" a="1"/>
  <c r="F65" i="16" s="1"/>
  <c r="E65" i="16" a="1"/>
  <c r="E65" i="16" s="1"/>
  <c r="D65" i="16" a="1"/>
  <c r="D65" i="16" s="1"/>
  <c r="C65" i="16" a="1"/>
  <c r="C65" i="16" s="1"/>
  <c r="B65" i="16" a="1"/>
  <c r="B65" i="16" s="1"/>
  <c r="A65" i="16" s="1"/>
  <c r="F64" i="16" a="1"/>
  <c r="F64" i="16" s="1"/>
  <c r="E64" i="16" a="1"/>
  <c r="E64" i="16" s="1"/>
  <c r="D64" i="16" a="1"/>
  <c r="D64" i="16" s="1"/>
  <c r="C64" i="16" a="1"/>
  <c r="C64" i="16" s="1"/>
  <c r="B64" i="16" a="1"/>
  <c r="B64" i="16" s="1"/>
  <c r="F63" i="16" a="1"/>
  <c r="F63" i="16" s="1"/>
  <c r="E63" i="16" a="1"/>
  <c r="E63" i="16" s="1"/>
  <c r="D63" i="16" a="1"/>
  <c r="D63" i="16" s="1"/>
  <c r="C63" i="16" a="1"/>
  <c r="C63" i="16" s="1"/>
  <c r="B63" i="16" a="1"/>
  <c r="B63" i="16" s="1"/>
  <c r="F62" i="16" a="1"/>
  <c r="F62" i="16" s="1"/>
  <c r="E62" i="16" a="1"/>
  <c r="E62" i="16" s="1"/>
  <c r="D62" i="16" a="1"/>
  <c r="D62" i="16" s="1"/>
  <c r="C62" i="16" a="1"/>
  <c r="C62" i="16" s="1"/>
  <c r="B62" i="16" a="1"/>
  <c r="B62" i="16" s="1"/>
  <c r="A62" i="16" s="1"/>
  <c r="F61" i="16" a="1"/>
  <c r="F61" i="16" s="1"/>
  <c r="E61" i="16" a="1"/>
  <c r="E61" i="16" s="1"/>
  <c r="D61" i="16" a="1"/>
  <c r="D61" i="16" s="1"/>
  <c r="C61" i="16" a="1"/>
  <c r="C61" i="16" s="1"/>
  <c r="B61" i="16" a="1"/>
  <c r="B61" i="16" s="1"/>
  <c r="A61" i="16" s="1"/>
  <c r="F60" i="16" a="1"/>
  <c r="F60" i="16" s="1"/>
  <c r="E60" i="16" a="1"/>
  <c r="E60" i="16" s="1"/>
  <c r="D60" i="16" a="1"/>
  <c r="D60" i="16" s="1"/>
  <c r="C60" i="16" a="1"/>
  <c r="C60" i="16" s="1"/>
  <c r="B60" i="16" a="1"/>
  <c r="B60" i="16" s="1"/>
  <c r="F59" i="16" a="1"/>
  <c r="F59" i="16" s="1"/>
  <c r="E59" i="16" a="1"/>
  <c r="E59" i="16" s="1"/>
  <c r="D59" i="16" a="1"/>
  <c r="D59" i="16" s="1"/>
  <c r="C59" i="16" a="1"/>
  <c r="C59" i="16" s="1"/>
  <c r="B59" i="16" a="1"/>
  <c r="B59" i="16" s="1"/>
  <c r="F58" i="16" a="1"/>
  <c r="F58" i="16" s="1"/>
  <c r="E58" i="16" a="1"/>
  <c r="E58" i="16" s="1"/>
  <c r="D58" i="16" a="1"/>
  <c r="D58" i="16" s="1"/>
  <c r="C58" i="16" a="1"/>
  <c r="C58" i="16" s="1"/>
  <c r="B58" i="16" a="1"/>
  <c r="B58" i="16" s="1"/>
  <c r="F57" i="16" a="1"/>
  <c r="F57" i="16" s="1"/>
  <c r="E57" i="16" a="1"/>
  <c r="E57" i="16" s="1"/>
  <c r="D57" i="16" a="1"/>
  <c r="D57" i="16" s="1"/>
  <c r="C57" i="16" a="1"/>
  <c r="C57" i="16" s="1"/>
  <c r="B57" i="16" a="1"/>
  <c r="B57" i="16" s="1"/>
  <c r="A57" i="16" s="1"/>
  <c r="F56" i="16" a="1"/>
  <c r="F56" i="16" s="1"/>
  <c r="E56" i="16" a="1"/>
  <c r="E56" i="16" s="1"/>
  <c r="D56" i="16" a="1"/>
  <c r="D56" i="16" s="1"/>
  <c r="C56" i="16" a="1"/>
  <c r="C56" i="16" s="1"/>
  <c r="B56" i="16" a="1"/>
  <c r="B56" i="16" s="1"/>
  <c r="F55" i="16" a="1"/>
  <c r="F55" i="16" s="1"/>
  <c r="E55" i="16" a="1"/>
  <c r="E55" i="16" s="1"/>
  <c r="D55" i="16" a="1"/>
  <c r="D55" i="16" s="1"/>
  <c r="C55" i="16" a="1"/>
  <c r="C55" i="16" s="1"/>
  <c r="B55" i="16" a="1"/>
  <c r="B55" i="16" s="1"/>
  <c r="F54" i="16" a="1"/>
  <c r="F54" i="16" s="1"/>
  <c r="E54" i="16" a="1"/>
  <c r="E54" i="16" s="1"/>
  <c r="D54" i="16" a="1"/>
  <c r="D54" i="16" s="1"/>
  <c r="C54" i="16" a="1"/>
  <c r="C54" i="16" s="1"/>
  <c r="B54" i="16" a="1"/>
  <c r="B54" i="16" s="1"/>
  <c r="F53" i="16" a="1"/>
  <c r="F53" i="16" s="1"/>
  <c r="E53" i="16" a="1"/>
  <c r="E53" i="16" s="1"/>
  <c r="D53" i="16" a="1"/>
  <c r="D53" i="16" s="1"/>
  <c r="C53" i="16" a="1"/>
  <c r="C53" i="16" s="1"/>
  <c r="B53" i="16" a="1"/>
  <c r="B53" i="16" s="1"/>
  <c r="F52" i="16" a="1"/>
  <c r="F52" i="16" s="1"/>
  <c r="E52" i="16" a="1"/>
  <c r="E52" i="16" s="1"/>
  <c r="D52" i="16" a="1"/>
  <c r="D52" i="16" s="1"/>
  <c r="C52" i="16" a="1"/>
  <c r="C52" i="16" s="1"/>
  <c r="B52" i="16" a="1"/>
  <c r="B52" i="16" s="1"/>
  <c r="F51" i="16" a="1"/>
  <c r="F51" i="16" s="1"/>
  <c r="E51" i="16" a="1"/>
  <c r="E51" i="16" s="1"/>
  <c r="D51" i="16" a="1"/>
  <c r="D51" i="16" s="1"/>
  <c r="C51" i="16" a="1"/>
  <c r="C51" i="16" s="1"/>
  <c r="B51" i="16" a="1"/>
  <c r="B51" i="16" s="1"/>
  <c r="F50" i="16" a="1"/>
  <c r="F50" i="16" s="1"/>
  <c r="E50" i="16" a="1"/>
  <c r="E50" i="16" s="1"/>
  <c r="D50" i="16" a="1"/>
  <c r="D50" i="16" s="1"/>
  <c r="C50" i="16" a="1"/>
  <c r="C50" i="16" s="1"/>
  <c r="B50" i="16" a="1"/>
  <c r="B50" i="16" s="1"/>
  <c r="F49" i="16" a="1"/>
  <c r="F49" i="16" s="1"/>
  <c r="E49" i="16" a="1"/>
  <c r="E49" i="16" s="1"/>
  <c r="D49" i="16" a="1"/>
  <c r="D49" i="16" s="1"/>
  <c r="C49" i="16" a="1"/>
  <c r="C49" i="16" s="1"/>
  <c r="B49" i="16" a="1"/>
  <c r="B49" i="16" s="1"/>
  <c r="F48" i="16" a="1"/>
  <c r="F48" i="16" s="1"/>
  <c r="E48" i="16" a="1"/>
  <c r="E48" i="16" s="1"/>
  <c r="D48" i="16" a="1"/>
  <c r="D48" i="16" s="1"/>
  <c r="C48" i="16" a="1"/>
  <c r="C48" i="16" s="1"/>
  <c r="B48" i="16" a="1"/>
  <c r="B48" i="16" s="1"/>
  <c r="F47" i="16" a="1"/>
  <c r="F47" i="16" s="1"/>
  <c r="E47" i="16" a="1"/>
  <c r="E47" i="16" s="1"/>
  <c r="D47" i="16" a="1"/>
  <c r="D47" i="16" s="1"/>
  <c r="C47" i="16" a="1"/>
  <c r="C47" i="16" s="1"/>
  <c r="B47" i="16" a="1"/>
  <c r="B47" i="16" s="1"/>
  <c r="F46" i="16" a="1"/>
  <c r="F46" i="16" s="1"/>
  <c r="E46" i="16" a="1"/>
  <c r="E46" i="16" s="1"/>
  <c r="D46" i="16" a="1"/>
  <c r="D46" i="16" s="1"/>
  <c r="C46" i="16" a="1"/>
  <c r="C46" i="16" s="1"/>
  <c r="B46" i="16" a="1"/>
  <c r="B46" i="16" s="1"/>
  <c r="F45" i="16" a="1"/>
  <c r="F45" i="16" s="1"/>
  <c r="E45" i="16" a="1"/>
  <c r="E45" i="16" s="1"/>
  <c r="D45" i="16" a="1"/>
  <c r="D45" i="16" s="1"/>
  <c r="C45" i="16" a="1"/>
  <c r="C45" i="16" s="1"/>
  <c r="B45" i="16" a="1"/>
  <c r="B45" i="16" s="1"/>
  <c r="F41" i="16" a="1"/>
  <c r="F41" i="16" s="1"/>
  <c r="E41" i="16" a="1"/>
  <c r="E41" i="16"/>
  <c r="D41" i="16" a="1"/>
  <c r="D41" i="16" s="1"/>
  <c r="C41" i="16" a="1"/>
  <c r="C41" i="16"/>
  <c r="B41" i="16" a="1"/>
  <c r="B41" i="16" s="1"/>
  <c r="F40" i="16" a="1"/>
  <c r="F40" i="16" s="1"/>
  <c r="E40" i="16" a="1"/>
  <c r="E40" i="16"/>
  <c r="D40" i="16" a="1"/>
  <c r="D40" i="16" s="1"/>
  <c r="C40" i="16" a="1"/>
  <c r="C40" i="16"/>
  <c r="B40" i="16" a="1"/>
  <c r="B40" i="16" s="1"/>
  <c r="F39" i="16" a="1"/>
  <c r="F39" i="16" s="1"/>
  <c r="E39" i="16" a="1"/>
  <c r="E39" i="16"/>
  <c r="D39" i="16" a="1"/>
  <c r="D39" i="16" s="1"/>
  <c r="C39" i="16" a="1"/>
  <c r="C39" i="16"/>
  <c r="B39" i="16" a="1"/>
  <c r="B39" i="16" s="1"/>
  <c r="F38" i="16" a="1"/>
  <c r="F38" i="16" s="1"/>
  <c r="E38" i="16" a="1"/>
  <c r="E38" i="16"/>
  <c r="D38" i="16" a="1"/>
  <c r="D38" i="16" s="1"/>
  <c r="C38" i="16" a="1"/>
  <c r="C38" i="16"/>
  <c r="B38" i="16" a="1"/>
  <c r="B38" i="16" s="1"/>
  <c r="F37" i="16" a="1"/>
  <c r="F37" i="16" s="1"/>
  <c r="E37" i="16" a="1"/>
  <c r="E37" i="16"/>
  <c r="D37" i="16" a="1"/>
  <c r="D37" i="16" s="1"/>
  <c r="C37" i="16" a="1"/>
  <c r="C37" i="16"/>
  <c r="B37" i="16" a="1"/>
  <c r="B37" i="16" s="1"/>
  <c r="F36" i="16" a="1"/>
  <c r="F36" i="16" s="1"/>
  <c r="E36" i="16" a="1"/>
  <c r="E36" i="16"/>
  <c r="D36" i="16" a="1"/>
  <c r="D36" i="16" s="1"/>
  <c r="C36" i="16" a="1"/>
  <c r="C36" i="16"/>
  <c r="B36" i="16" a="1"/>
  <c r="B36" i="16" s="1"/>
  <c r="F35" i="16" a="1"/>
  <c r="F35" i="16" s="1"/>
  <c r="E35" i="16" a="1"/>
  <c r="E35" i="16"/>
  <c r="D35" i="16" a="1"/>
  <c r="D35" i="16" s="1"/>
  <c r="C35" i="16" a="1"/>
  <c r="C35" i="16"/>
  <c r="B35" i="16" a="1"/>
  <c r="B35" i="16" s="1"/>
  <c r="F34" i="16" a="1"/>
  <c r="F34" i="16" s="1"/>
  <c r="E34" i="16" a="1"/>
  <c r="E34" i="16"/>
  <c r="D34" i="16" a="1"/>
  <c r="D34" i="16" s="1"/>
  <c r="C34" i="16" a="1"/>
  <c r="C34" i="16"/>
  <c r="B34" i="16" a="1"/>
  <c r="B34" i="16" s="1"/>
  <c r="F33" i="16" a="1"/>
  <c r="F33" i="16" s="1"/>
  <c r="E33" i="16" a="1"/>
  <c r="E33" i="16"/>
  <c r="D33" i="16" a="1"/>
  <c r="D33" i="16" s="1"/>
  <c r="C33" i="16" a="1"/>
  <c r="C33" i="16"/>
  <c r="B33" i="16" a="1"/>
  <c r="B33" i="16" s="1"/>
  <c r="F32" i="16" a="1"/>
  <c r="F32" i="16" s="1"/>
  <c r="E32" i="16" a="1"/>
  <c r="E32" i="16"/>
  <c r="D32" i="16" a="1"/>
  <c r="D32" i="16" s="1"/>
  <c r="C32" i="16" a="1"/>
  <c r="C32" i="16"/>
  <c r="B32" i="16" a="1"/>
  <c r="B32" i="16" s="1"/>
  <c r="F31" i="16" a="1"/>
  <c r="F31" i="16" s="1"/>
  <c r="E31" i="16" a="1"/>
  <c r="E31" i="16"/>
  <c r="D31" i="16" a="1"/>
  <c r="D31" i="16" s="1"/>
  <c r="C31" i="16" a="1"/>
  <c r="C31" i="16"/>
  <c r="B31" i="16" a="1"/>
  <c r="B31" i="16" s="1"/>
  <c r="F30" i="16" a="1"/>
  <c r="F30" i="16" s="1"/>
  <c r="E30" i="16" a="1"/>
  <c r="E30" i="16"/>
  <c r="D30" i="16" a="1"/>
  <c r="D30" i="16" s="1"/>
  <c r="C30" i="16" a="1"/>
  <c r="C30" i="16"/>
  <c r="B30" i="16" a="1"/>
  <c r="B30" i="16" s="1"/>
  <c r="F29" i="16" a="1"/>
  <c r="F29" i="16" s="1"/>
  <c r="E29" i="16" a="1"/>
  <c r="E29" i="16"/>
  <c r="D29" i="16" a="1"/>
  <c r="D29" i="16" s="1"/>
  <c r="C29" i="16" a="1"/>
  <c r="C29" i="16"/>
  <c r="B29" i="16" a="1"/>
  <c r="B29" i="16" s="1"/>
  <c r="F28" i="16" a="1"/>
  <c r="F28" i="16" s="1"/>
  <c r="E28" i="16" a="1"/>
  <c r="E28" i="16"/>
  <c r="D28" i="16" a="1"/>
  <c r="D28" i="16" s="1"/>
  <c r="C28" i="16" a="1"/>
  <c r="C28" i="16"/>
  <c r="B28" i="16" a="1"/>
  <c r="B28" i="16" s="1"/>
  <c r="F27" i="16" a="1"/>
  <c r="F27" i="16" s="1"/>
  <c r="E27" i="16" a="1"/>
  <c r="E27" i="16"/>
  <c r="D27" i="16" a="1"/>
  <c r="D27" i="16" s="1"/>
  <c r="C27" i="16" a="1"/>
  <c r="C27" i="16"/>
  <c r="B27" i="16" a="1"/>
  <c r="B27" i="16" s="1"/>
  <c r="F26" i="16" a="1"/>
  <c r="F26" i="16" s="1"/>
  <c r="E26" i="16" a="1"/>
  <c r="E26" i="16"/>
  <c r="D26" i="16" a="1"/>
  <c r="D26" i="16" s="1"/>
  <c r="C26" i="16" a="1"/>
  <c r="C26" i="16"/>
  <c r="B26" i="16" a="1"/>
  <c r="B26" i="16" s="1"/>
  <c r="F25" i="16" a="1"/>
  <c r="F25" i="16" s="1"/>
  <c r="E25" i="16" a="1"/>
  <c r="E25" i="16"/>
  <c r="D25" i="16" a="1"/>
  <c r="D25" i="16" s="1"/>
  <c r="C25" i="16" a="1"/>
  <c r="C25" i="16" s="1"/>
  <c r="B25" i="16" a="1"/>
  <c r="B25" i="16" s="1"/>
  <c r="F24" i="16" a="1"/>
  <c r="F24" i="16" s="1"/>
  <c r="E24" i="16" a="1"/>
  <c r="E24" i="16" s="1"/>
  <c r="D24" i="16" a="1"/>
  <c r="D24" i="16" s="1"/>
  <c r="C24" i="16" a="1"/>
  <c r="C24" i="16" s="1"/>
  <c r="B24" i="16" a="1"/>
  <c r="B24" i="16" s="1"/>
  <c r="F23" i="16" a="1"/>
  <c r="F23" i="16" s="1"/>
  <c r="E23" i="16" a="1"/>
  <c r="E23" i="16" s="1"/>
  <c r="D23" i="16" a="1"/>
  <c r="D23" i="16" s="1"/>
  <c r="C23" i="16" a="1"/>
  <c r="C23" i="16" s="1"/>
  <c r="B23" i="16" a="1"/>
  <c r="B23" i="16" s="1"/>
  <c r="F22" i="16" a="1"/>
  <c r="F22" i="16" s="1"/>
  <c r="E22" i="16" a="1"/>
  <c r="E22" i="16" s="1"/>
  <c r="D22" i="16" a="1"/>
  <c r="D22" i="16" s="1"/>
  <c r="C22" i="16" a="1"/>
  <c r="C22" i="16" s="1"/>
  <c r="B22" i="16" a="1"/>
  <c r="B22" i="16" s="1"/>
  <c r="F21" i="16" a="1"/>
  <c r="F21" i="16" s="1"/>
  <c r="E21" i="16" a="1"/>
  <c r="E21" i="16" s="1"/>
  <c r="D21" i="16" a="1"/>
  <c r="D21" i="16" s="1"/>
  <c r="C21" i="16" a="1"/>
  <c r="C21" i="16" s="1"/>
  <c r="B21" i="16" a="1"/>
  <c r="B21" i="16" s="1"/>
  <c r="F20" i="16" a="1"/>
  <c r="F20" i="16" s="1"/>
  <c r="E20" i="16" a="1"/>
  <c r="E20" i="16" s="1"/>
  <c r="D20" i="16" a="1"/>
  <c r="D20" i="16" s="1"/>
  <c r="C20" i="16" a="1"/>
  <c r="C20" i="16" s="1"/>
  <c r="B20" i="16" a="1"/>
  <c r="B20" i="16" s="1"/>
  <c r="F19" i="16" a="1"/>
  <c r="F19" i="16" s="1"/>
  <c r="E19" i="16" a="1"/>
  <c r="E19" i="16" s="1"/>
  <c r="D19" i="16" a="1"/>
  <c r="D19" i="16" s="1"/>
  <c r="C19" i="16" a="1"/>
  <c r="C19" i="16" s="1"/>
  <c r="B19" i="16" a="1"/>
  <c r="B19" i="16" s="1"/>
  <c r="F18" i="16" a="1"/>
  <c r="F18" i="16" s="1"/>
  <c r="E18" i="16" a="1"/>
  <c r="E18" i="16" s="1"/>
  <c r="D18" i="16" a="1"/>
  <c r="D18" i="16" s="1"/>
  <c r="C18" i="16" a="1"/>
  <c r="C18" i="16" s="1"/>
  <c r="B18" i="16" a="1"/>
  <c r="B18" i="16" s="1"/>
  <c r="F17" i="16" a="1"/>
  <c r="F17" i="16" s="1"/>
  <c r="E17" i="16" a="1"/>
  <c r="E17" i="16" s="1"/>
  <c r="D17" i="16" a="1"/>
  <c r="D17" i="16" s="1"/>
  <c r="C17" i="16" a="1"/>
  <c r="C17" i="16" s="1"/>
  <c r="B17" i="16" a="1"/>
  <c r="B17" i="16" s="1"/>
  <c r="F16" i="16" a="1"/>
  <c r="F16" i="16" s="1"/>
  <c r="E16" i="16" a="1"/>
  <c r="E16" i="16" s="1"/>
  <c r="D16" i="16" a="1"/>
  <c r="D16" i="16" s="1"/>
  <c r="C16" i="16" a="1"/>
  <c r="C16" i="16" s="1"/>
  <c r="B16" i="16" a="1"/>
  <c r="B16" i="16" s="1"/>
  <c r="F15" i="16" a="1"/>
  <c r="F15" i="16" s="1"/>
  <c r="E15" i="16" a="1"/>
  <c r="E15" i="16" s="1"/>
  <c r="D15" i="16" a="1"/>
  <c r="D15" i="16" s="1"/>
  <c r="C15" i="16" a="1"/>
  <c r="C15" i="16" s="1"/>
  <c r="B15" i="16" a="1"/>
  <c r="B15" i="16" s="1"/>
  <c r="F14" i="16" a="1"/>
  <c r="F14" i="16" s="1"/>
  <c r="E14" i="16" a="1"/>
  <c r="E14" i="16" s="1"/>
  <c r="D14" i="16" a="1"/>
  <c r="D14" i="16" s="1"/>
  <c r="C14" i="16" a="1"/>
  <c r="C14" i="16" s="1"/>
  <c r="B14" i="16" a="1"/>
  <c r="B14" i="16" s="1"/>
  <c r="F13" i="16" a="1"/>
  <c r="F13" i="16" s="1"/>
  <c r="E13" i="16" a="1"/>
  <c r="E13" i="16" s="1"/>
  <c r="D13" i="16" a="1"/>
  <c r="D13" i="16" s="1"/>
  <c r="C13" i="16" a="1"/>
  <c r="C13" i="16" s="1"/>
  <c r="B13" i="16" a="1"/>
  <c r="B13" i="16" s="1"/>
  <c r="F12" i="16" a="1"/>
  <c r="F12" i="16" s="1"/>
  <c r="E12" i="16" a="1"/>
  <c r="E12" i="16" s="1"/>
  <c r="D12" i="16" a="1"/>
  <c r="D12" i="16" s="1"/>
  <c r="C12" i="16" a="1"/>
  <c r="C12" i="16" s="1"/>
  <c r="B12" i="16" a="1"/>
  <c r="B12" i="16" s="1"/>
  <c r="E8" i="16" a="1"/>
  <c r="E8" i="16" s="1"/>
  <c r="B8" i="16"/>
  <c r="B7" i="16"/>
  <c r="B6" i="16"/>
  <c r="E5" i="16"/>
  <c r="E6" i="16" s="1"/>
  <c r="B5" i="16"/>
  <c r="E4" i="16"/>
  <c r="B4" i="16"/>
  <c r="I3" i="16"/>
  <c r="A1" i="16"/>
  <c r="F74" i="15" a="1"/>
  <c r="F74" i="15" s="1"/>
  <c r="E74" i="15" a="1"/>
  <c r="E74" i="15" s="1"/>
  <c r="D74" i="15" a="1"/>
  <c r="D74" i="15" s="1"/>
  <c r="C74" i="15" a="1"/>
  <c r="C74" i="15" s="1"/>
  <c r="B74" i="15" a="1"/>
  <c r="B74" i="15" s="1"/>
  <c r="F73" i="15" a="1"/>
  <c r="F73" i="15" s="1"/>
  <c r="E73" i="15" a="1"/>
  <c r="E73" i="15" s="1"/>
  <c r="D73" i="15" a="1"/>
  <c r="D73" i="15" s="1"/>
  <c r="C73" i="15" a="1"/>
  <c r="C73" i="15" s="1"/>
  <c r="B73" i="15" a="1"/>
  <c r="B73" i="15" s="1"/>
  <c r="A73" i="15" s="1"/>
  <c r="F72" i="15" a="1"/>
  <c r="F72" i="15" s="1"/>
  <c r="E72" i="15" a="1"/>
  <c r="E72" i="15" s="1"/>
  <c r="D72" i="15" a="1"/>
  <c r="D72" i="15" s="1"/>
  <c r="C72" i="15" a="1"/>
  <c r="C72" i="15" s="1"/>
  <c r="B72" i="15" a="1"/>
  <c r="B72" i="15" s="1"/>
  <c r="F71" i="15" a="1"/>
  <c r="F71" i="15" s="1"/>
  <c r="E71" i="15" a="1"/>
  <c r="E71" i="15" s="1"/>
  <c r="D71" i="15" a="1"/>
  <c r="D71" i="15" s="1"/>
  <c r="C71" i="15" a="1"/>
  <c r="C71" i="15" s="1"/>
  <c r="B71" i="15" a="1"/>
  <c r="B71" i="15" s="1"/>
  <c r="F70" i="15" a="1"/>
  <c r="F70" i="15" s="1"/>
  <c r="E70" i="15" a="1"/>
  <c r="E70" i="15" s="1"/>
  <c r="D70" i="15" a="1"/>
  <c r="D70" i="15" s="1"/>
  <c r="C70" i="15" a="1"/>
  <c r="C70" i="15" s="1"/>
  <c r="B70" i="15" a="1"/>
  <c r="B70" i="15" s="1"/>
  <c r="A70" i="15" s="1"/>
  <c r="F69" i="15" a="1"/>
  <c r="F69" i="15" s="1"/>
  <c r="E69" i="15" a="1"/>
  <c r="E69" i="15" s="1"/>
  <c r="D69" i="15" a="1"/>
  <c r="D69" i="15" s="1"/>
  <c r="C69" i="15" a="1"/>
  <c r="C69" i="15" s="1"/>
  <c r="B69" i="15" a="1"/>
  <c r="B69" i="15" s="1"/>
  <c r="A69" i="15" s="1"/>
  <c r="F68" i="15" a="1"/>
  <c r="F68" i="15" s="1"/>
  <c r="E68" i="15" a="1"/>
  <c r="E68" i="15" s="1"/>
  <c r="D68" i="15" a="1"/>
  <c r="D68" i="15" s="1"/>
  <c r="C68" i="15" a="1"/>
  <c r="C68" i="15" s="1"/>
  <c r="B68" i="15" a="1"/>
  <c r="B68" i="15" s="1"/>
  <c r="F67" i="15" a="1"/>
  <c r="F67" i="15" s="1"/>
  <c r="E67" i="15" a="1"/>
  <c r="E67" i="15" s="1"/>
  <c r="D67" i="15" a="1"/>
  <c r="D67" i="15" s="1"/>
  <c r="C67" i="15" a="1"/>
  <c r="C67" i="15" s="1"/>
  <c r="B67" i="15" a="1"/>
  <c r="B67" i="15" s="1"/>
  <c r="G67" i="15" s="1"/>
  <c r="F66" i="15" a="1"/>
  <c r="F66" i="15" s="1"/>
  <c r="E66" i="15" a="1"/>
  <c r="E66" i="15" s="1"/>
  <c r="D66" i="15" a="1"/>
  <c r="D66" i="15" s="1"/>
  <c r="C66" i="15" a="1"/>
  <c r="C66" i="15" s="1"/>
  <c r="B66" i="15" a="1"/>
  <c r="B66" i="15" s="1"/>
  <c r="F65" i="15" a="1"/>
  <c r="F65" i="15" s="1"/>
  <c r="E65" i="15" a="1"/>
  <c r="E65" i="15" s="1"/>
  <c r="D65" i="15" a="1"/>
  <c r="D65" i="15" s="1"/>
  <c r="C65" i="15" a="1"/>
  <c r="C65" i="15" s="1"/>
  <c r="B65" i="15" a="1"/>
  <c r="B65" i="15" s="1"/>
  <c r="G65" i="15" s="1"/>
  <c r="F64" i="15" a="1"/>
  <c r="F64" i="15" s="1"/>
  <c r="E64" i="15" a="1"/>
  <c r="E64" i="15" s="1"/>
  <c r="D64" i="15" a="1"/>
  <c r="D64" i="15" s="1"/>
  <c r="C64" i="15" a="1"/>
  <c r="C64" i="15" s="1"/>
  <c r="B64" i="15" a="1"/>
  <c r="B64" i="15" s="1"/>
  <c r="F63" i="15" a="1"/>
  <c r="F63" i="15" s="1"/>
  <c r="E63" i="15" a="1"/>
  <c r="E63" i="15" s="1"/>
  <c r="D63" i="15" a="1"/>
  <c r="D63" i="15" s="1"/>
  <c r="C63" i="15" a="1"/>
  <c r="C63" i="15" s="1"/>
  <c r="B63" i="15" a="1"/>
  <c r="B63" i="15" s="1"/>
  <c r="G63" i="15" s="1"/>
  <c r="F62" i="15" a="1"/>
  <c r="F62" i="15" s="1"/>
  <c r="E62" i="15" a="1"/>
  <c r="E62" i="15" s="1"/>
  <c r="D62" i="15" a="1"/>
  <c r="D62" i="15" s="1"/>
  <c r="C62" i="15" a="1"/>
  <c r="C62" i="15" s="1"/>
  <c r="B62" i="15" a="1"/>
  <c r="B62" i="15" s="1"/>
  <c r="F61" i="15" a="1"/>
  <c r="F61" i="15" s="1"/>
  <c r="E61" i="15" a="1"/>
  <c r="E61" i="15" s="1"/>
  <c r="D61" i="15" a="1"/>
  <c r="D61" i="15" s="1"/>
  <c r="C61" i="15" a="1"/>
  <c r="C61" i="15" s="1"/>
  <c r="B61" i="15" a="1"/>
  <c r="B61" i="15" s="1"/>
  <c r="G61" i="15" s="1"/>
  <c r="F60" i="15" a="1"/>
  <c r="F60" i="15" s="1"/>
  <c r="E60" i="15" a="1"/>
  <c r="E60" i="15" s="1"/>
  <c r="D60" i="15" a="1"/>
  <c r="D60" i="15" s="1"/>
  <c r="C60" i="15" a="1"/>
  <c r="C60" i="15" s="1"/>
  <c r="B60" i="15" a="1"/>
  <c r="B60" i="15" s="1"/>
  <c r="F59" i="15" a="1"/>
  <c r="F59" i="15" s="1"/>
  <c r="E59" i="15" a="1"/>
  <c r="E59" i="15" s="1"/>
  <c r="D59" i="15" a="1"/>
  <c r="D59" i="15" s="1"/>
  <c r="C59" i="15" a="1"/>
  <c r="C59" i="15" s="1"/>
  <c r="B59" i="15" a="1"/>
  <c r="B59" i="15" s="1"/>
  <c r="A59" i="15" s="1"/>
  <c r="F58" i="15" a="1"/>
  <c r="F58" i="15" s="1"/>
  <c r="E58" i="15" a="1"/>
  <c r="E58" i="15" s="1"/>
  <c r="D58" i="15" a="1"/>
  <c r="D58" i="15" s="1"/>
  <c r="C58" i="15" a="1"/>
  <c r="C58" i="15" s="1"/>
  <c r="B58" i="15" a="1"/>
  <c r="B58" i="15" s="1"/>
  <c r="F57" i="15" a="1"/>
  <c r="F57" i="15" s="1"/>
  <c r="E57" i="15" a="1"/>
  <c r="E57" i="15" s="1"/>
  <c r="D57" i="15" a="1"/>
  <c r="D57" i="15" s="1"/>
  <c r="C57" i="15" a="1"/>
  <c r="C57" i="15" s="1"/>
  <c r="B57" i="15" a="1"/>
  <c r="B57" i="15" s="1"/>
  <c r="G57" i="15" s="1"/>
  <c r="F56" i="15" a="1"/>
  <c r="F56" i="15" s="1"/>
  <c r="E56" i="15" a="1"/>
  <c r="E56" i="15" s="1"/>
  <c r="D56" i="15" a="1"/>
  <c r="D56" i="15" s="1"/>
  <c r="C56" i="15" a="1"/>
  <c r="C56" i="15" s="1"/>
  <c r="B56" i="15" a="1"/>
  <c r="B56" i="15" s="1"/>
  <c r="F55" i="15" a="1"/>
  <c r="F55" i="15" s="1"/>
  <c r="E55" i="15" a="1"/>
  <c r="E55" i="15" s="1"/>
  <c r="D55" i="15" a="1"/>
  <c r="D55" i="15" s="1"/>
  <c r="C55" i="15" a="1"/>
  <c r="C55" i="15" s="1"/>
  <c r="B55" i="15" a="1"/>
  <c r="B55" i="15" s="1"/>
  <c r="F54" i="15" a="1"/>
  <c r="F54" i="15" s="1"/>
  <c r="E54" i="15" a="1"/>
  <c r="E54" i="15" s="1"/>
  <c r="D54" i="15" a="1"/>
  <c r="D54" i="15" s="1"/>
  <c r="C54" i="15" a="1"/>
  <c r="C54" i="15" s="1"/>
  <c r="B54" i="15" a="1"/>
  <c r="B54" i="15" s="1"/>
  <c r="G54" i="15" s="1"/>
  <c r="F53" i="15" a="1"/>
  <c r="F53" i="15" s="1"/>
  <c r="E53" i="15" a="1"/>
  <c r="E53" i="15" s="1"/>
  <c r="D53" i="15" a="1"/>
  <c r="D53" i="15" s="1"/>
  <c r="C53" i="15" a="1"/>
  <c r="C53" i="15" s="1"/>
  <c r="B53" i="15" a="1"/>
  <c r="B53" i="15" s="1"/>
  <c r="A53" i="15" s="1"/>
  <c r="F52" i="15" a="1"/>
  <c r="F52" i="15" s="1"/>
  <c r="E52" i="15" a="1"/>
  <c r="E52" i="15" s="1"/>
  <c r="D52" i="15" a="1"/>
  <c r="D52" i="15" s="1"/>
  <c r="C52" i="15" a="1"/>
  <c r="C52" i="15" s="1"/>
  <c r="B52" i="15" a="1"/>
  <c r="B52" i="15" s="1"/>
  <c r="G52" i="15" s="1"/>
  <c r="F51" i="15" a="1"/>
  <c r="F51" i="15" s="1"/>
  <c r="E51" i="15" a="1"/>
  <c r="E51" i="15" s="1"/>
  <c r="D51" i="15" a="1"/>
  <c r="D51" i="15" s="1"/>
  <c r="C51" i="15" a="1"/>
  <c r="C51" i="15" s="1"/>
  <c r="B51" i="15" a="1"/>
  <c r="B51" i="15" s="1"/>
  <c r="G51" i="15" s="1"/>
  <c r="F50" i="15" a="1"/>
  <c r="F50" i="15" s="1"/>
  <c r="E50" i="15" a="1"/>
  <c r="E50" i="15" s="1"/>
  <c r="D50" i="15" a="1"/>
  <c r="D50" i="15" s="1"/>
  <c r="C50" i="15" a="1"/>
  <c r="C50" i="15" s="1"/>
  <c r="B50" i="15" a="1"/>
  <c r="B50" i="15" s="1"/>
  <c r="G50" i="15" s="1"/>
  <c r="F49" i="15" a="1"/>
  <c r="F49" i="15" s="1"/>
  <c r="E49" i="15" a="1"/>
  <c r="E49" i="15" s="1"/>
  <c r="D49" i="15" a="1"/>
  <c r="D49" i="15" s="1"/>
  <c r="C49" i="15" a="1"/>
  <c r="C49" i="15" s="1"/>
  <c r="B49" i="15" a="1"/>
  <c r="B49" i="15" s="1"/>
  <c r="F48" i="15" a="1"/>
  <c r="F48" i="15" s="1"/>
  <c r="E48" i="15" a="1"/>
  <c r="E48" i="15" s="1"/>
  <c r="D48" i="15" a="1"/>
  <c r="D48" i="15" s="1"/>
  <c r="C48" i="15" a="1"/>
  <c r="C48" i="15" s="1"/>
  <c r="B48" i="15" a="1"/>
  <c r="B48" i="15" s="1"/>
  <c r="G48" i="15" s="1"/>
  <c r="F47" i="15" a="1"/>
  <c r="F47" i="15" s="1"/>
  <c r="E47" i="15" a="1"/>
  <c r="E47" i="15" s="1"/>
  <c r="D47" i="15" a="1"/>
  <c r="D47" i="15" s="1"/>
  <c r="C47" i="15" a="1"/>
  <c r="C47" i="15" s="1"/>
  <c r="B47" i="15" a="1"/>
  <c r="B47" i="15" s="1"/>
  <c r="G47" i="15" s="1"/>
  <c r="F46" i="15" a="1"/>
  <c r="F46" i="15" s="1"/>
  <c r="E46" i="15" a="1"/>
  <c r="E46" i="15" s="1"/>
  <c r="D46" i="15" a="1"/>
  <c r="D46" i="15" s="1"/>
  <c r="C46" i="15" a="1"/>
  <c r="C46" i="15" s="1"/>
  <c r="B46" i="15" a="1"/>
  <c r="B46" i="15" s="1"/>
  <c r="G46" i="15" s="1"/>
  <c r="F45" i="15" a="1"/>
  <c r="F45" i="15" s="1"/>
  <c r="E45" i="15" a="1"/>
  <c r="E45" i="15" s="1"/>
  <c r="D45" i="15" a="1"/>
  <c r="D45" i="15" s="1"/>
  <c r="C45" i="15" a="1"/>
  <c r="C45" i="15" s="1"/>
  <c r="B45" i="15" a="1"/>
  <c r="B45" i="15" s="1"/>
  <c r="A45" i="15" s="1"/>
  <c r="F41" i="15" a="1"/>
  <c r="F41" i="15" s="1"/>
  <c r="E41" i="15" a="1"/>
  <c r="E41" i="15"/>
  <c r="D41" i="15" a="1"/>
  <c r="D41" i="15" s="1"/>
  <c r="C41" i="15" a="1"/>
  <c r="C41" i="15" s="1"/>
  <c r="B41" i="15" a="1"/>
  <c r="B41" i="15" s="1"/>
  <c r="G41" i="15" s="1"/>
  <c r="G40" i="15"/>
  <c r="F40" i="15" a="1"/>
  <c r="F40" i="15" s="1"/>
  <c r="E40" i="15" a="1"/>
  <c r="E40" i="15" s="1"/>
  <c r="D40" i="15" a="1"/>
  <c r="D40" i="15" s="1"/>
  <c r="C40" i="15" a="1"/>
  <c r="C40" i="15"/>
  <c r="B40" i="15" a="1"/>
  <c r="B40" i="15" s="1"/>
  <c r="A40" i="15"/>
  <c r="F39" i="15" a="1"/>
  <c r="F39" i="15" s="1"/>
  <c r="E39" i="15" a="1"/>
  <c r="E39" i="15"/>
  <c r="D39" i="15" a="1"/>
  <c r="D39" i="15" s="1"/>
  <c r="C39" i="15" a="1"/>
  <c r="C39" i="15" s="1"/>
  <c r="B39" i="15" a="1"/>
  <c r="B39" i="15" s="1"/>
  <c r="G39" i="15" s="1"/>
  <c r="G38" i="15"/>
  <c r="F38" i="15" a="1"/>
  <c r="F38" i="15" s="1"/>
  <c r="E38" i="15" a="1"/>
  <c r="E38" i="15" s="1"/>
  <c r="D38" i="15" a="1"/>
  <c r="D38" i="15" s="1"/>
  <c r="C38" i="15" a="1"/>
  <c r="C38" i="15"/>
  <c r="B38" i="15" a="1"/>
  <c r="B38" i="15" s="1"/>
  <c r="A38" i="15"/>
  <c r="F37" i="15" a="1"/>
  <c r="F37" i="15" s="1"/>
  <c r="E37" i="15" a="1"/>
  <c r="E37" i="15"/>
  <c r="D37" i="15" a="1"/>
  <c r="D37" i="15" s="1"/>
  <c r="C37" i="15" a="1"/>
  <c r="C37" i="15" s="1"/>
  <c r="B37" i="15" a="1"/>
  <c r="B37" i="15" s="1"/>
  <c r="G37" i="15" s="1"/>
  <c r="G36" i="15"/>
  <c r="F36" i="15" a="1"/>
  <c r="F36" i="15" s="1"/>
  <c r="E36" i="15" a="1"/>
  <c r="E36" i="15" s="1"/>
  <c r="D36" i="15" a="1"/>
  <c r="D36" i="15" s="1"/>
  <c r="C36" i="15" a="1"/>
  <c r="C36" i="15"/>
  <c r="B36" i="15" a="1"/>
  <c r="B36" i="15" s="1"/>
  <c r="A36" i="15"/>
  <c r="F35" i="15" a="1"/>
  <c r="F35" i="15" s="1"/>
  <c r="E35" i="15" a="1"/>
  <c r="E35" i="15" s="1"/>
  <c r="D35" i="15" a="1"/>
  <c r="D35" i="15" s="1"/>
  <c r="C35" i="15" a="1"/>
  <c r="C35" i="15" s="1"/>
  <c r="B35" i="15" a="1"/>
  <c r="B35" i="15" s="1"/>
  <c r="F34" i="15" a="1"/>
  <c r="F34" i="15" s="1"/>
  <c r="E34" i="15" a="1"/>
  <c r="E34" i="15" s="1"/>
  <c r="D34" i="15" a="1"/>
  <c r="D34" i="15" s="1"/>
  <c r="C34" i="15" a="1"/>
  <c r="C34" i="15" s="1"/>
  <c r="B34" i="15" a="1"/>
  <c r="B34" i="15" s="1"/>
  <c r="F33" i="15" a="1"/>
  <c r="F33" i="15" s="1"/>
  <c r="E33" i="15" a="1"/>
  <c r="E33" i="15" s="1"/>
  <c r="D33" i="15" a="1"/>
  <c r="D33" i="15" s="1"/>
  <c r="C33" i="15" a="1"/>
  <c r="C33" i="15" s="1"/>
  <c r="B33" i="15" a="1"/>
  <c r="B33" i="15" s="1"/>
  <c r="F32" i="15" a="1"/>
  <c r="F32" i="15" s="1"/>
  <c r="E32" i="15" a="1"/>
  <c r="E32" i="15" s="1"/>
  <c r="D32" i="15" a="1"/>
  <c r="D32" i="15" s="1"/>
  <c r="C32" i="15" a="1"/>
  <c r="C32" i="15" s="1"/>
  <c r="B32" i="15" a="1"/>
  <c r="B32" i="15" s="1"/>
  <c r="F31" i="15" a="1"/>
  <c r="F31" i="15" s="1"/>
  <c r="E31" i="15" a="1"/>
  <c r="E31" i="15" s="1"/>
  <c r="D31" i="15" a="1"/>
  <c r="D31" i="15" s="1"/>
  <c r="C31" i="15" a="1"/>
  <c r="C31" i="15" s="1"/>
  <c r="B31" i="15" a="1"/>
  <c r="B31" i="15" s="1"/>
  <c r="F30" i="15" a="1"/>
  <c r="F30" i="15" s="1"/>
  <c r="E30" i="15" a="1"/>
  <c r="E30" i="15" s="1"/>
  <c r="D30" i="15" a="1"/>
  <c r="D30" i="15" s="1"/>
  <c r="C30" i="15" a="1"/>
  <c r="C30" i="15" s="1"/>
  <c r="B30" i="15" a="1"/>
  <c r="B30" i="15" s="1"/>
  <c r="F29" i="15" a="1"/>
  <c r="F29" i="15" s="1"/>
  <c r="E29" i="15" a="1"/>
  <c r="E29" i="15" s="1"/>
  <c r="D29" i="15" a="1"/>
  <c r="D29" i="15" s="1"/>
  <c r="C29" i="15" a="1"/>
  <c r="C29" i="15" s="1"/>
  <c r="B29" i="15" a="1"/>
  <c r="B29" i="15" s="1"/>
  <c r="F28" i="15" a="1"/>
  <c r="F28" i="15" s="1"/>
  <c r="E28" i="15" a="1"/>
  <c r="E28" i="15" s="1"/>
  <c r="D28" i="15" a="1"/>
  <c r="D28" i="15" s="1"/>
  <c r="C28" i="15" a="1"/>
  <c r="C28" i="15" s="1"/>
  <c r="B28" i="15" a="1"/>
  <c r="B28" i="15" s="1"/>
  <c r="F27" i="15" a="1"/>
  <c r="F27" i="15" s="1"/>
  <c r="E27" i="15" a="1"/>
  <c r="E27" i="15" s="1"/>
  <c r="D27" i="15" a="1"/>
  <c r="D27" i="15" s="1"/>
  <c r="C27" i="15" a="1"/>
  <c r="C27" i="15" s="1"/>
  <c r="B27" i="15" a="1"/>
  <c r="B27" i="15" s="1"/>
  <c r="F26" i="15" a="1"/>
  <c r="F26" i="15" s="1"/>
  <c r="E26" i="15" a="1"/>
  <c r="E26" i="15" s="1"/>
  <c r="D26" i="15" a="1"/>
  <c r="D26" i="15" s="1"/>
  <c r="C26" i="15" a="1"/>
  <c r="C26" i="15" s="1"/>
  <c r="B26" i="15" a="1"/>
  <c r="B26" i="15" s="1"/>
  <c r="F25" i="15" a="1"/>
  <c r="F25" i="15" s="1"/>
  <c r="E25" i="15" a="1"/>
  <c r="E25" i="15" s="1"/>
  <c r="D25" i="15" a="1"/>
  <c r="D25" i="15" s="1"/>
  <c r="C25" i="15" a="1"/>
  <c r="C25" i="15" s="1"/>
  <c r="B25" i="15" a="1"/>
  <c r="B25" i="15" s="1"/>
  <c r="F24" i="15" a="1"/>
  <c r="F24" i="15" s="1"/>
  <c r="E24" i="15" a="1"/>
  <c r="E24" i="15" s="1"/>
  <c r="D24" i="15" a="1"/>
  <c r="D24" i="15" s="1"/>
  <c r="C24" i="15" a="1"/>
  <c r="C24" i="15" s="1"/>
  <c r="B24" i="15" a="1"/>
  <c r="B24" i="15" s="1"/>
  <c r="F23" i="15" a="1"/>
  <c r="F23" i="15" s="1"/>
  <c r="E23" i="15" a="1"/>
  <c r="E23" i="15" s="1"/>
  <c r="D23" i="15" a="1"/>
  <c r="D23" i="15" s="1"/>
  <c r="C23" i="15" a="1"/>
  <c r="C23" i="15" s="1"/>
  <c r="B23" i="15" a="1"/>
  <c r="B23" i="15" s="1"/>
  <c r="F22" i="15" a="1"/>
  <c r="F22" i="15" s="1"/>
  <c r="E22" i="15" a="1"/>
  <c r="E22" i="15" s="1"/>
  <c r="D22" i="15" a="1"/>
  <c r="D22" i="15" s="1"/>
  <c r="C22" i="15" a="1"/>
  <c r="C22" i="15" s="1"/>
  <c r="B22" i="15" a="1"/>
  <c r="B22" i="15" s="1"/>
  <c r="F21" i="15" a="1"/>
  <c r="F21" i="15" s="1"/>
  <c r="E21" i="15" a="1"/>
  <c r="E21" i="15" s="1"/>
  <c r="D21" i="15" a="1"/>
  <c r="D21" i="15" s="1"/>
  <c r="C21" i="15" a="1"/>
  <c r="C21" i="15" s="1"/>
  <c r="B21" i="15" a="1"/>
  <c r="B21" i="15" s="1"/>
  <c r="F20" i="15" a="1"/>
  <c r="F20" i="15" s="1"/>
  <c r="E20" i="15" a="1"/>
  <c r="E20" i="15" s="1"/>
  <c r="D20" i="15" a="1"/>
  <c r="D20" i="15" s="1"/>
  <c r="C20" i="15" a="1"/>
  <c r="C20" i="15" s="1"/>
  <c r="B20" i="15" a="1"/>
  <c r="B20" i="15" s="1"/>
  <c r="F19" i="15" a="1"/>
  <c r="F19" i="15" s="1"/>
  <c r="E19" i="15" a="1"/>
  <c r="E19" i="15" s="1"/>
  <c r="D19" i="15" a="1"/>
  <c r="D19" i="15" s="1"/>
  <c r="C19" i="15" a="1"/>
  <c r="C19" i="15" s="1"/>
  <c r="B19" i="15" a="1"/>
  <c r="B19" i="15" s="1"/>
  <c r="F18" i="15" a="1"/>
  <c r="F18" i="15" s="1"/>
  <c r="E18" i="15" a="1"/>
  <c r="E18" i="15" s="1"/>
  <c r="D18" i="15" a="1"/>
  <c r="D18" i="15" s="1"/>
  <c r="C18" i="15" a="1"/>
  <c r="C18" i="15" s="1"/>
  <c r="B18" i="15" a="1"/>
  <c r="B18" i="15" s="1"/>
  <c r="F17" i="15" a="1"/>
  <c r="F17" i="15" s="1"/>
  <c r="E17" i="15" a="1"/>
  <c r="E17" i="15" s="1"/>
  <c r="D17" i="15" a="1"/>
  <c r="D17" i="15" s="1"/>
  <c r="C17" i="15" a="1"/>
  <c r="C17" i="15" s="1"/>
  <c r="B17" i="15" a="1"/>
  <c r="B17" i="15" s="1"/>
  <c r="F16" i="15" a="1"/>
  <c r="F16" i="15" s="1"/>
  <c r="E16" i="15" a="1"/>
  <c r="E16" i="15" s="1"/>
  <c r="D16" i="15" a="1"/>
  <c r="D16" i="15" s="1"/>
  <c r="C16" i="15" a="1"/>
  <c r="C16" i="15" s="1"/>
  <c r="B16" i="15" a="1"/>
  <c r="B16" i="15" s="1"/>
  <c r="F15" i="15" a="1"/>
  <c r="F15" i="15" s="1"/>
  <c r="E15" i="15" a="1"/>
  <c r="E15" i="15" s="1"/>
  <c r="D15" i="15" a="1"/>
  <c r="D15" i="15" s="1"/>
  <c r="C15" i="15" a="1"/>
  <c r="C15" i="15" s="1"/>
  <c r="B15" i="15" a="1"/>
  <c r="B15" i="15" s="1"/>
  <c r="F14" i="15" a="1"/>
  <c r="F14" i="15" s="1"/>
  <c r="E14" i="15" a="1"/>
  <c r="E14" i="15" s="1"/>
  <c r="D14" i="15" a="1"/>
  <c r="D14" i="15" s="1"/>
  <c r="C14" i="15" a="1"/>
  <c r="C14" i="15" s="1"/>
  <c r="B14" i="15" a="1"/>
  <c r="B14" i="15" s="1"/>
  <c r="F13" i="15" a="1"/>
  <c r="F13" i="15" s="1"/>
  <c r="E13" i="15" a="1"/>
  <c r="E13" i="15" s="1"/>
  <c r="D13" i="15" a="1"/>
  <c r="D13" i="15" s="1"/>
  <c r="C13" i="15" a="1"/>
  <c r="C13" i="15" s="1"/>
  <c r="B13" i="15" a="1"/>
  <c r="B13" i="15" s="1"/>
  <c r="F12" i="15" a="1"/>
  <c r="F12" i="15" s="1"/>
  <c r="E12" i="15" a="1"/>
  <c r="E12" i="15" s="1"/>
  <c r="D12" i="15" a="1"/>
  <c r="D12" i="15" s="1"/>
  <c r="C12" i="15" a="1"/>
  <c r="C12" i="15" s="1"/>
  <c r="B12" i="15" a="1"/>
  <c r="B12" i="15" s="1"/>
  <c r="E8" i="15" a="1"/>
  <c r="E8" i="15" s="1"/>
  <c r="B8" i="15"/>
  <c r="B7" i="15"/>
  <c r="B6" i="15"/>
  <c r="E5" i="15"/>
  <c r="E6" i="15" s="1"/>
  <c r="B5" i="15"/>
  <c r="E4" i="15"/>
  <c r="B4" i="15"/>
  <c r="I3" i="15"/>
  <c r="A1" i="15"/>
  <c r="F74" i="14" a="1"/>
  <c r="F74" i="14" s="1"/>
  <c r="E74" i="14" a="1"/>
  <c r="E74" i="14" s="1"/>
  <c r="D74" i="14" a="1"/>
  <c r="D74" i="14" s="1"/>
  <c r="C74" i="14" a="1"/>
  <c r="C74" i="14" s="1"/>
  <c r="B74" i="14" a="1"/>
  <c r="B74" i="14" s="1"/>
  <c r="F73" i="14" a="1"/>
  <c r="F73" i="14" s="1"/>
  <c r="E73" i="14" a="1"/>
  <c r="E73" i="14" s="1"/>
  <c r="D73" i="14" a="1"/>
  <c r="D73" i="14" s="1"/>
  <c r="C73" i="14" a="1"/>
  <c r="C73" i="14" s="1"/>
  <c r="B73" i="14" a="1"/>
  <c r="B73" i="14" s="1"/>
  <c r="F72" i="14" a="1"/>
  <c r="F72" i="14" s="1"/>
  <c r="E72" i="14" a="1"/>
  <c r="E72" i="14" s="1"/>
  <c r="D72" i="14" a="1"/>
  <c r="D72" i="14" s="1"/>
  <c r="C72" i="14" a="1"/>
  <c r="C72" i="14" s="1"/>
  <c r="B72" i="14" a="1"/>
  <c r="B72" i="14" s="1"/>
  <c r="A72" i="14" s="1"/>
  <c r="F71" i="14" a="1"/>
  <c r="F71" i="14" s="1"/>
  <c r="E71" i="14" a="1"/>
  <c r="E71" i="14" s="1"/>
  <c r="D71" i="14" a="1"/>
  <c r="D71" i="14" s="1"/>
  <c r="C71" i="14" a="1"/>
  <c r="C71" i="14" s="1"/>
  <c r="B71" i="14" a="1"/>
  <c r="B71" i="14" s="1"/>
  <c r="F70" i="14" a="1"/>
  <c r="F70" i="14" s="1"/>
  <c r="E70" i="14" a="1"/>
  <c r="E70" i="14" s="1"/>
  <c r="D70" i="14" a="1"/>
  <c r="D70" i="14" s="1"/>
  <c r="C70" i="14" a="1"/>
  <c r="C70" i="14" s="1"/>
  <c r="B70" i="14" a="1"/>
  <c r="B70" i="14" s="1"/>
  <c r="F69" i="14" a="1"/>
  <c r="F69" i="14" s="1"/>
  <c r="E69" i="14" a="1"/>
  <c r="E69" i="14" s="1"/>
  <c r="D69" i="14" a="1"/>
  <c r="D69" i="14" s="1"/>
  <c r="C69" i="14" a="1"/>
  <c r="C69" i="14" s="1"/>
  <c r="B69" i="14" a="1"/>
  <c r="B69" i="14" s="1"/>
  <c r="F68" i="14" a="1"/>
  <c r="F68" i="14" s="1"/>
  <c r="E68" i="14" a="1"/>
  <c r="E68" i="14" s="1"/>
  <c r="D68" i="14" a="1"/>
  <c r="D68" i="14" s="1"/>
  <c r="C68" i="14" a="1"/>
  <c r="C68" i="14" s="1"/>
  <c r="B68" i="14" a="1"/>
  <c r="B68" i="14" s="1"/>
  <c r="A68" i="14" s="1"/>
  <c r="F67" i="14" a="1"/>
  <c r="F67" i="14" s="1"/>
  <c r="E67" i="14" a="1"/>
  <c r="E67" i="14" s="1"/>
  <c r="D67" i="14" a="1"/>
  <c r="D67" i="14" s="1"/>
  <c r="C67" i="14" a="1"/>
  <c r="C67" i="14" s="1"/>
  <c r="B67" i="14" a="1"/>
  <c r="B67" i="14" s="1"/>
  <c r="F66" i="14" a="1"/>
  <c r="F66" i="14" s="1"/>
  <c r="E66" i="14" a="1"/>
  <c r="E66" i="14" s="1"/>
  <c r="D66" i="14" a="1"/>
  <c r="D66" i="14" s="1"/>
  <c r="C66" i="14" a="1"/>
  <c r="C66" i="14" s="1"/>
  <c r="B66" i="14" a="1"/>
  <c r="B66" i="14" s="1"/>
  <c r="F65" i="14" a="1"/>
  <c r="F65" i="14" s="1"/>
  <c r="E65" i="14" a="1"/>
  <c r="E65" i="14" s="1"/>
  <c r="D65" i="14" a="1"/>
  <c r="D65" i="14" s="1"/>
  <c r="C65" i="14" a="1"/>
  <c r="C65" i="14" s="1"/>
  <c r="B65" i="14" a="1"/>
  <c r="B65" i="14" s="1"/>
  <c r="A65" i="14" s="1"/>
  <c r="F64" i="14" a="1"/>
  <c r="F64" i="14" s="1"/>
  <c r="E64" i="14" a="1"/>
  <c r="E64" i="14" s="1"/>
  <c r="D64" i="14" a="1"/>
  <c r="D64" i="14" s="1"/>
  <c r="C64" i="14" a="1"/>
  <c r="C64" i="14" s="1"/>
  <c r="B64" i="14" a="1"/>
  <c r="B64" i="14" s="1"/>
  <c r="F63" i="14" a="1"/>
  <c r="F63" i="14" s="1"/>
  <c r="E63" i="14" a="1"/>
  <c r="E63" i="14" s="1"/>
  <c r="D63" i="14" a="1"/>
  <c r="D63" i="14" s="1"/>
  <c r="C63" i="14" a="1"/>
  <c r="C63" i="14" s="1"/>
  <c r="B63" i="14" a="1"/>
  <c r="B63" i="14" s="1"/>
  <c r="F62" i="14" a="1"/>
  <c r="F62" i="14" s="1"/>
  <c r="E62" i="14" a="1"/>
  <c r="E62" i="14" s="1"/>
  <c r="D62" i="14" a="1"/>
  <c r="D62" i="14" s="1"/>
  <c r="C62" i="14" a="1"/>
  <c r="C62" i="14" s="1"/>
  <c r="B62" i="14" a="1"/>
  <c r="B62" i="14" s="1"/>
  <c r="F61" i="14" a="1"/>
  <c r="F61" i="14" s="1"/>
  <c r="E61" i="14" a="1"/>
  <c r="E61" i="14" s="1"/>
  <c r="D61" i="14" a="1"/>
  <c r="D61" i="14" s="1"/>
  <c r="C61" i="14" a="1"/>
  <c r="C61" i="14" s="1"/>
  <c r="B61" i="14" a="1"/>
  <c r="B61" i="14" s="1"/>
  <c r="F60" i="14" a="1"/>
  <c r="F60" i="14" s="1"/>
  <c r="E60" i="14" a="1"/>
  <c r="E60" i="14" s="1"/>
  <c r="D60" i="14" a="1"/>
  <c r="D60" i="14" s="1"/>
  <c r="C60" i="14" a="1"/>
  <c r="C60" i="14" s="1"/>
  <c r="B60" i="14" a="1"/>
  <c r="B60" i="14" s="1"/>
  <c r="A60" i="14" s="1"/>
  <c r="F59" i="14" a="1"/>
  <c r="F59" i="14" s="1"/>
  <c r="E59" i="14" a="1"/>
  <c r="E59" i="14" s="1"/>
  <c r="D59" i="14" a="1"/>
  <c r="D59" i="14" s="1"/>
  <c r="C59" i="14" a="1"/>
  <c r="C59" i="14" s="1"/>
  <c r="B59" i="14" a="1"/>
  <c r="B59" i="14" s="1"/>
  <c r="F58" i="14" a="1"/>
  <c r="F58" i="14" s="1"/>
  <c r="E58" i="14" a="1"/>
  <c r="E58" i="14" s="1"/>
  <c r="D58" i="14" a="1"/>
  <c r="D58" i="14" s="1"/>
  <c r="C58" i="14" a="1"/>
  <c r="C58" i="14" s="1"/>
  <c r="B58" i="14" a="1"/>
  <c r="B58" i="14" s="1"/>
  <c r="F57" i="14" a="1"/>
  <c r="F57" i="14" s="1"/>
  <c r="E57" i="14" a="1"/>
  <c r="E57" i="14" s="1"/>
  <c r="D57" i="14" a="1"/>
  <c r="D57" i="14" s="1"/>
  <c r="C57" i="14" a="1"/>
  <c r="C57" i="14" s="1"/>
  <c r="B57" i="14" a="1"/>
  <c r="B57" i="14" s="1"/>
  <c r="A57" i="14" s="1"/>
  <c r="F56" i="14" a="1"/>
  <c r="F56" i="14" s="1"/>
  <c r="E56" i="14" a="1"/>
  <c r="E56" i="14" s="1"/>
  <c r="D56" i="14" a="1"/>
  <c r="D56" i="14" s="1"/>
  <c r="C56" i="14" a="1"/>
  <c r="C56" i="14" s="1"/>
  <c r="B56" i="14" a="1"/>
  <c r="B56" i="14" s="1"/>
  <c r="A56" i="14" s="1"/>
  <c r="F55" i="14" a="1"/>
  <c r="F55" i="14" s="1"/>
  <c r="E55" i="14" a="1"/>
  <c r="E55" i="14" s="1"/>
  <c r="D55" i="14" a="1"/>
  <c r="D55" i="14" s="1"/>
  <c r="C55" i="14" a="1"/>
  <c r="C55" i="14" s="1"/>
  <c r="B55" i="14" a="1"/>
  <c r="B55" i="14" s="1"/>
  <c r="F54" i="14" a="1"/>
  <c r="F54" i="14" s="1"/>
  <c r="E54" i="14" a="1"/>
  <c r="E54" i="14" s="1"/>
  <c r="D54" i="14" a="1"/>
  <c r="D54" i="14" s="1"/>
  <c r="C54" i="14" a="1"/>
  <c r="C54" i="14" s="1"/>
  <c r="B54" i="14" a="1"/>
  <c r="B54" i="14" s="1"/>
  <c r="F53" i="14" a="1"/>
  <c r="F53" i="14" s="1"/>
  <c r="E53" i="14" a="1"/>
  <c r="E53" i="14" s="1"/>
  <c r="D53" i="14" a="1"/>
  <c r="D53" i="14" s="1"/>
  <c r="C53" i="14" a="1"/>
  <c r="C53" i="14" s="1"/>
  <c r="B53" i="14" a="1"/>
  <c r="B53" i="14" s="1"/>
  <c r="A53" i="14" s="1"/>
  <c r="F52" i="14" a="1"/>
  <c r="F52" i="14" s="1"/>
  <c r="E52" i="14" a="1"/>
  <c r="E52" i="14" s="1"/>
  <c r="D52" i="14" a="1"/>
  <c r="D52" i="14" s="1"/>
  <c r="C52" i="14" a="1"/>
  <c r="C52" i="14" s="1"/>
  <c r="B52" i="14" a="1"/>
  <c r="B52" i="14" s="1"/>
  <c r="A52" i="14" s="1"/>
  <c r="F51" i="14" a="1"/>
  <c r="F51" i="14" s="1"/>
  <c r="E51" i="14" a="1"/>
  <c r="E51" i="14" s="1"/>
  <c r="D51" i="14" a="1"/>
  <c r="D51" i="14" s="1"/>
  <c r="C51" i="14" a="1"/>
  <c r="C51" i="14" s="1"/>
  <c r="B51" i="14" a="1"/>
  <c r="B51" i="14" s="1"/>
  <c r="F50" i="14" a="1"/>
  <c r="F50" i="14" s="1"/>
  <c r="E50" i="14" a="1"/>
  <c r="E50" i="14" s="1"/>
  <c r="D50" i="14" a="1"/>
  <c r="D50" i="14" s="1"/>
  <c r="C50" i="14" a="1"/>
  <c r="C50" i="14" s="1"/>
  <c r="B50" i="14" a="1"/>
  <c r="B50" i="14" s="1"/>
  <c r="F49" i="14" a="1"/>
  <c r="F49" i="14" s="1"/>
  <c r="E49" i="14" a="1"/>
  <c r="E49" i="14" s="1"/>
  <c r="D49" i="14" a="1"/>
  <c r="D49" i="14" s="1"/>
  <c r="C49" i="14" a="1"/>
  <c r="C49" i="14" s="1"/>
  <c r="B49" i="14" a="1"/>
  <c r="B49" i="14" s="1"/>
  <c r="A49" i="14" s="1"/>
  <c r="F48" i="14" a="1"/>
  <c r="F48" i="14" s="1"/>
  <c r="E48" i="14" a="1"/>
  <c r="E48" i="14" s="1"/>
  <c r="D48" i="14" a="1"/>
  <c r="D48" i="14" s="1"/>
  <c r="C48" i="14" a="1"/>
  <c r="C48" i="14" s="1"/>
  <c r="B48" i="14" a="1"/>
  <c r="B48" i="14" s="1"/>
  <c r="A48" i="14" s="1"/>
  <c r="F47" i="14" a="1"/>
  <c r="F47" i="14" s="1"/>
  <c r="E47" i="14" a="1"/>
  <c r="E47" i="14" s="1"/>
  <c r="D47" i="14" a="1"/>
  <c r="D47" i="14" s="1"/>
  <c r="C47" i="14" a="1"/>
  <c r="C47" i="14" s="1"/>
  <c r="B47" i="14" a="1"/>
  <c r="B47" i="14" s="1"/>
  <c r="F46" i="14" a="1"/>
  <c r="F46" i="14" s="1"/>
  <c r="E46" i="14" a="1"/>
  <c r="E46" i="14" s="1"/>
  <c r="D46" i="14" a="1"/>
  <c r="D46" i="14" s="1"/>
  <c r="C46" i="14" a="1"/>
  <c r="C46" i="14" s="1"/>
  <c r="B46" i="14" a="1"/>
  <c r="B46" i="14" s="1"/>
  <c r="F45" i="14" a="1"/>
  <c r="F45" i="14" s="1"/>
  <c r="E45" i="14" a="1"/>
  <c r="E45" i="14" s="1"/>
  <c r="D45" i="14" a="1"/>
  <c r="D45" i="14" s="1"/>
  <c r="C45" i="14" a="1"/>
  <c r="C45" i="14" s="1"/>
  <c r="B45" i="14" a="1"/>
  <c r="B45" i="14" s="1"/>
  <c r="F41" i="14" a="1"/>
  <c r="F41" i="14" s="1"/>
  <c r="E41" i="14" a="1"/>
  <c r="E41" i="14"/>
  <c r="D41" i="14" a="1"/>
  <c r="D41" i="14" s="1"/>
  <c r="C41" i="14" a="1"/>
  <c r="C41" i="14"/>
  <c r="B41" i="14" a="1"/>
  <c r="B41" i="14" s="1"/>
  <c r="F40" i="14" a="1"/>
  <c r="F40" i="14" s="1"/>
  <c r="E40" i="14" a="1"/>
  <c r="E40" i="14"/>
  <c r="D40" i="14" a="1"/>
  <c r="D40" i="14" s="1"/>
  <c r="C40" i="14" a="1"/>
  <c r="C40" i="14"/>
  <c r="B40" i="14" a="1"/>
  <c r="B40" i="14" s="1"/>
  <c r="F39" i="14" a="1"/>
  <c r="F39" i="14" s="1"/>
  <c r="E39" i="14" a="1"/>
  <c r="E39" i="14"/>
  <c r="D39" i="14" a="1"/>
  <c r="D39" i="14" s="1"/>
  <c r="C39" i="14" a="1"/>
  <c r="C39" i="14"/>
  <c r="B39" i="14" a="1"/>
  <c r="B39" i="14" s="1"/>
  <c r="F38" i="14" a="1"/>
  <c r="F38" i="14" s="1"/>
  <c r="E38" i="14" a="1"/>
  <c r="E38" i="14"/>
  <c r="D38" i="14" a="1"/>
  <c r="D38" i="14" s="1"/>
  <c r="C38" i="14" a="1"/>
  <c r="C38" i="14"/>
  <c r="B38" i="14" a="1"/>
  <c r="B38" i="14" s="1"/>
  <c r="F37" i="14" a="1"/>
  <c r="F37" i="14" s="1"/>
  <c r="E37" i="14" a="1"/>
  <c r="E37" i="14"/>
  <c r="D37" i="14" a="1"/>
  <c r="D37" i="14" s="1"/>
  <c r="C37" i="14" a="1"/>
  <c r="C37" i="14"/>
  <c r="B37" i="14" a="1"/>
  <c r="B37" i="14" s="1"/>
  <c r="F36" i="14" a="1"/>
  <c r="F36" i="14" s="1"/>
  <c r="E36" i="14" a="1"/>
  <c r="E36" i="14"/>
  <c r="D36" i="14" a="1"/>
  <c r="D36" i="14" s="1"/>
  <c r="C36" i="14" a="1"/>
  <c r="C36" i="14"/>
  <c r="B36" i="14" a="1"/>
  <c r="B36" i="14" s="1"/>
  <c r="F35" i="14" a="1"/>
  <c r="F35" i="14" s="1"/>
  <c r="E35" i="14" a="1"/>
  <c r="E35" i="14"/>
  <c r="D35" i="14" a="1"/>
  <c r="D35" i="14" s="1"/>
  <c r="C35" i="14" a="1"/>
  <c r="C35" i="14"/>
  <c r="B35" i="14" a="1"/>
  <c r="B35" i="14" s="1"/>
  <c r="F34" i="14" a="1"/>
  <c r="F34" i="14" s="1"/>
  <c r="E34" i="14" a="1"/>
  <c r="E34" i="14"/>
  <c r="D34" i="14" a="1"/>
  <c r="D34" i="14" s="1"/>
  <c r="C34" i="14" a="1"/>
  <c r="C34" i="14"/>
  <c r="B34" i="14" a="1"/>
  <c r="B34" i="14" s="1"/>
  <c r="F33" i="14" a="1"/>
  <c r="F33" i="14" s="1"/>
  <c r="E33" i="14" a="1"/>
  <c r="E33" i="14"/>
  <c r="D33" i="14" a="1"/>
  <c r="D33" i="14" s="1"/>
  <c r="C33" i="14" a="1"/>
  <c r="C33" i="14"/>
  <c r="B33" i="14" a="1"/>
  <c r="B33" i="14" s="1"/>
  <c r="F32" i="14" a="1"/>
  <c r="F32" i="14" s="1"/>
  <c r="E32" i="14" a="1"/>
  <c r="E32" i="14"/>
  <c r="D32" i="14" a="1"/>
  <c r="D32" i="14" s="1"/>
  <c r="C32" i="14" a="1"/>
  <c r="C32" i="14"/>
  <c r="B32" i="14" a="1"/>
  <c r="B32" i="14" s="1"/>
  <c r="F31" i="14" a="1"/>
  <c r="F31" i="14" s="1"/>
  <c r="E31" i="14" a="1"/>
  <c r="E31" i="14" s="1"/>
  <c r="D31" i="14" a="1"/>
  <c r="D31" i="14" s="1"/>
  <c r="C31" i="14" a="1"/>
  <c r="C31" i="14" s="1"/>
  <c r="B31" i="14" a="1"/>
  <c r="B31" i="14" s="1"/>
  <c r="F30" i="14" a="1"/>
  <c r="F30" i="14" s="1"/>
  <c r="E30" i="14" a="1"/>
  <c r="E30" i="14" s="1"/>
  <c r="D30" i="14" a="1"/>
  <c r="D30" i="14" s="1"/>
  <c r="C30" i="14" a="1"/>
  <c r="C30" i="14" s="1"/>
  <c r="B30" i="14" a="1"/>
  <c r="B30" i="14" s="1"/>
  <c r="F29" i="14" a="1"/>
  <c r="F29" i="14" s="1"/>
  <c r="E29" i="14" a="1"/>
  <c r="E29" i="14" s="1"/>
  <c r="D29" i="14" a="1"/>
  <c r="D29" i="14" s="1"/>
  <c r="C29" i="14" a="1"/>
  <c r="C29" i="14" s="1"/>
  <c r="B29" i="14" a="1"/>
  <c r="B29" i="14" s="1"/>
  <c r="F28" i="14" a="1"/>
  <c r="F28" i="14" s="1"/>
  <c r="E28" i="14" a="1"/>
  <c r="E28" i="14" s="1"/>
  <c r="D28" i="14" a="1"/>
  <c r="D28" i="14" s="1"/>
  <c r="C28" i="14" a="1"/>
  <c r="C28" i="14" s="1"/>
  <c r="B28" i="14" a="1"/>
  <c r="B28" i="14" s="1"/>
  <c r="F27" i="14" a="1"/>
  <c r="F27" i="14" s="1"/>
  <c r="E27" i="14" a="1"/>
  <c r="E27" i="14" s="1"/>
  <c r="D27" i="14" a="1"/>
  <c r="D27" i="14" s="1"/>
  <c r="C27" i="14" a="1"/>
  <c r="C27" i="14" s="1"/>
  <c r="B27" i="14" a="1"/>
  <c r="B27" i="14" s="1"/>
  <c r="F26" i="14" a="1"/>
  <c r="F26" i="14" s="1"/>
  <c r="E26" i="14" a="1"/>
  <c r="E26" i="14" s="1"/>
  <c r="D26" i="14" a="1"/>
  <c r="D26" i="14" s="1"/>
  <c r="C26" i="14" a="1"/>
  <c r="C26" i="14" s="1"/>
  <c r="B26" i="14" a="1"/>
  <c r="B26" i="14" s="1"/>
  <c r="F25" i="14" a="1"/>
  <c r="F25" i="14" s="1"/>
  <c r="E25" i="14" a="1"/>
  <c r="E25" i="14" s="1"/>
  <c r="D25" i="14" a="1"/>
  <c r="D25" i="14" s="1"/>
  <c r="C25" i="14" a="1"/>
  <c r="C25" i="14" s="1"/>
  <c r="B25" i="14" a="1"/>
  <c r="B25" i="14" s="1"/>
  <c r="F24" i="14" a="1"/>
  <c r="F24" i="14" s="1"/>
  <c r="E24" i="14" a="1"/>
  <c r="E24" i="14" s="1"/>
  <c r="D24" i="14" a="1"/>
  <c r="D24" i="14" s="1"/>
  <c r="C24" i="14" a="1"/>
  <c r="C24" i="14" s="1"/>
  <c r="B24" i="14" a="1"/>
  <c r="B24" i="14" s="1"/>
  <c r="F23" i="14" a="1"/>
  <c r="F23" i="14" s="1"/>
  <c r="E23" i="14" a="1"/>
  <c r="E23" i="14" s="1"/>
  <c r="D23" i="14" a="1"/>
  <c r="D23" i="14" s="1"/>
  <c r="C23" i="14" a="1"/>
  <c r="C23" i="14" s="1"/>
  <c r="B23" i="14" a="1"/>
  <c r="B23" i="14" s="1"/>
  <c r="F22" i="14" a="1"/>
  <c r="F22" i="14" s="1"/>
  <c r="E22" i="14" a="1"/>
  <c r="E22" i="14" s="1"/>
  <c r="D22" i="14" a="1"/>
  <c r="D22" i="14" s="1"/>
  <c r="C22" i="14" a="1"/>
  <c r="C22" i="14" s="1"/>
  <c r="B22" i="14" a="1"/>
  <c r="B22" i="14" s="1"/>
  <c r="F21" i="14" a="1"/>
  <c r="F21" i="14" s="1"/>
  <c r="E21" i="14" a="1"/>
  <c r="E21" i="14" s="1"/>
  <c r="D21" i="14" a="1"/>
  <c r="D21" i="14" s="1"/>
  <c r="C21" i="14" a="1"/>
  <c r="C21" i="14" s="1"/>
  <c r="B21" i="14" a="1"/>
  <c r="B21" i="14" s="1"/>
  <c r="F20" i="14" a="1"/>
  <c r="F20" i="14" s="1"/>
  <c r="E20" i="14" a="1"/>
  <c r="E20" i="14" s="1"/>
  <c r="D20" i="14" a="1"/>
  <c r="D20" i="14" s="1"/>
  <c r="C20" i="14" a="1"/>
  <c r="C20" i="14" s="1"/>
  <c r="B20" i="14" a="1"/>
  <c r="B20" i="14" s="1"/>
  <c r="F19" i="14" a="1"/>
  <c r="F19" i="14" s="1"/>
  <c r="E19" i="14" a="1"/>
  <c r="E19" i="14" s="1"/>
  <c r="D19" i="14" a="1"/>
  <c r="D19" i="14" s="1"/>
  <c r="C19" i="14" a="1"/>
  <c r="C19" i="14" s="1"/>
  <c r="B19" i="14" a="1"/>
  <c r="B19" i="14" s="1"/>
  <c r="F18" i="14" a="1"/>
  <c r="F18" i="14" s="1"/>
  <c r="E18" i="14" a="1"/>
  <c r="E18" i="14" s="1"/>
  <c r="D18" i="14" a="1"/>
  <c r="D18" i="14" s="1"/>
  <c r="C18" i="14" a="1"/>
  <c r="C18" i="14" s="1"/>
  <c r="B18" i="14" a="1"/>
  <c r="B18" i="14" s="1"/>
  <c r="F17" i="14" a="1"/>
  <c r="F17" i="14" s="1"/>
  <c r="E17" i="14" a="1"/>
  <c r="E17" i="14" s="1"/>
  <c r="D17" i="14" a="1"/>
  <c r="D17" i="14" s="1"/>
  <c r="C17" i="14" a="1"/>
  <c r="C17" i="14" s="1"/>
  <c r="B17" i="14" a="1"/>
  <c r="B17" i="14" s="1"/>
  <c r="F16" i="14" a="1"/>
  <c r="F16" i="14" s="1"/>
  <c r="E16" i="14" a="1"/>
  <c r="E16" i="14" s="1"/>
  <c r="D16" i="14" a="1"/>
  <c r="D16" i="14" s="1"/>
  <c r="C16" i="14" a="1"/>
  <c r="C16" i="14" s="1"/>
  <c r="B16" i="14" a="1"/>
  <c r="B16" i="14" s="1"/>
  <c r="F15" i="14" a="1"/>
  <c r="F15" i="14" s="1"/>
  <c r="E15" i="14" a="1"/>
  <c r="E15" i="14" s="1"/>
  <c r="D15" i="14" a="1"/>
  <c r="D15" i="14" s="1"/>
  <c r="C15" i="14" a="1"/>
  <c r="C15" i="14" s="1"/>
  <c r="B15" i="14" a="1"/>
  <c r="B15" i="14" s="1"/>
  <c r="F14" i="14" a="1"/>
  <c r="F14" i="14" s="1"/>
  <c r="E14" i="14" a="1"/>
  <c r="E14" i="14" s="1"/>
  <c r="D14" i="14" a="1"/>
  <c r="D14" i="14" s="1"/>
  <c r="C14" i="14" a="1"/>
  <c r="C14" i="14" s="1"/>
  <c r="B14" i="14" a="1"/>
  <c r="B14" i="14" s="1"/>
  <c r="F13" i="14" a="1"/>
  <c r="F13" i="14" s="1"/>
  <c r="E13" i="14" a="1"/>
  <c r="E13" i="14" s="1"/>
  <c r="D13" i="14" a="1"/>
  <c r="D13" i="14" s="1"/>
  <c r="C13" i="14" a="1"/>
  <c r="C13" i="14" s="1"/>
  <c r="B13" i="14" a="1"/>
  <c r="B13" i="14" s="1"/>
  <c r="F12" i="14" a="1"/>
  <c r="F12" i="14" s="1"/>
  <c r="E12" i="14" a="1"/>
  <c r="E12" i="14" s="1"/>
  <c r="D12" i="14" a="1"/>
  <c r="D12" i="14" s="1"/>
  <c r="C12" i="14" a="1"/>
  <c r="C12" i="14" s="1"/>
  <c r="B12" i="14" a="1"/>
  <c r="B12" i="14" s="1"/>
  <c r="E8" i="14" a="1"/>
  <c r="E8" i="14" s="1"/>
  <c r="B8" i="14"/>
  <c r="B7" i="14"/>
  <c r="B6" i="14"/>
  <c r="E5" i="14"/>
  <c r="E6" i="14" s="1"/>
  <c r="B5" i="14"/>
  <c r="E4" i="14"/>
  <c r="B4" i="14"/>
  <c r="I3" i="14"/>
  <c r="A1" i="14"/>
  <c r="F74" i="13" a="1"/>
  <c r="F74" i="13" s="1"/>
  <c r="E74" i="13" a="1"/>
  <c r="E74" i="13" s="1"/>
  <c r="D74" i="13" a="1"/>
  <c r="D74" i="13" s="1"/>
  <c r="C74" i="13" a="1"/>
  <c r="C74" i="13" s="1"/>
  <c r="B74" i="13" a="1"/>
  <c r="B74" i="13" s="1"/>
  <c r="A74" i="13" s="1"/>
  <c r="F73" i="13" a="1"/>
  <c r="F73" i="13" s="1"/>
  <c r="E73" i="13" a="1"/>
  <c r="E73" i="13" s="1"/>
  <c r="D73" i="13" a="1"/>
  <c r="D73" i="13" s="1"/>
  <c r="C73" i="13" a="1"/>
  <c r="C73" i="13" s="1"/>
  <c r="B73" i="13" a="1"/>
  <c r="B73" i="13" s="1"/>
  <c r="F72" i="13" a="1"/>
  <c r="F72" i="13" s="1"/>
  <c r="E72" i="13" a="1"/>
  <c r="E72" i="13" s="1"/>
  <c r="D72" i="13" a="1"/>
  <c r="D72" i="13" s="1"/>
  <c r="C72" i="13" a="1"/>
  <c r="C72" i="13" s="1"/>
  <c r="B72" i="13" a="1"/>
  <c r="B72" i="13" s="1"/>
  <c r="F71" i="13" a="1"/>
  <c r="F71" i="13" s="1"/>
  <c r="E71" i="13" a="1"/>
  <c r="E71" i="13" s="1"/>
  <c r="D71" i="13" a="1"/>
  <c r="D71" i="13" s="1"/>
  <c r="C71" i="13" a="1"/>
  <c r="C71" i="13" s="1"/>
  <c r="B71" i="13" a="1"/>
  <c r="B71" i="13" s="1"/>
  <c r="F70" i="13" a="1"/>
  <c r="F70" i="13" s="1"/>
  <c r="E70" i="13" a="1"/>
  <c r="E70" i="13" s="1"/>
  <c r="D70" i="13" a="1"/>
  <c r="D70" i="13" s="1"/>
  <c r="C70" i="13" a="1"/>
  <c r="C70" i="13" s="1"/>
  <c r="B70" i="13" a="1"/>
  <c r="B70" i="13" s="1"/>
  <c r="A70" i="13" s="1"/>
  <c r="F69" i="13" a="1"/>
  <c r="F69" i="13" s="1"/>
  <c r="E69" i="13" a="1"/>
  <c r="E69" i="13" s="1"/>
  <c r="D69" i="13" a="1"/>
  <c r="D69" i="13" s="1"/>
  <c r="C69" i="13" a="1"/>
  <c r="C69" i="13" s="1"/>
  <c r="B69" i="13" a="1"/>
  <c r="B69" i="13" s="1"/>
  <c r="F68" i="13" a="1"/>
  <c r="F68" i="13" s="1"/>
  <c r="E68" i="13" a="1"/>
  <c r="E68" i="13" s="1"/>
  <c r="D68" i="13" a="1"/>
  <c r="D68" i="13" s="1"/>
  <c r="C68" i="13" a="1"/>
  <c r="C68" i="13" s="1"/>
  <c r="B68" i="13" a="1"/>
  <c r="B68" i="13" s="1"/>
  <c r="F67" i="13" a="1"/>
  <c r="F67" i="13" s="1"/>
  <c r="E67" i="13" a="1"/>
  <c r="E67" i="13" s="1"/>
  <c r="D67" i="13" a="1"/>
  <c r="D67" i="13" s="1"/>
  <c r="C67" i="13" a="1"/>
  <c r="C67" i="13" s="1"/>
  <c r="B67" i="13" a="1"/>
  <c r="B67" i="13" s="1"/>
  <c r="A67" i="13" s="1"/>
  <c r="F66" i="13" a="1"/>
  <c r="F66" i="13" s="1"/>
  <c r="E66" i="13" a="1"/>
  <c r="E66" i="13" s="1"/>
  <c r="D66" i="13" a="1"/>
  <c r="D66" i="13" s="1"/>
  <c r="C66" i="13" a="1"/>
  <c r="C66" i="13" s="1"/>
  <c r="B66" i="13" a="1"/>
  <c r="B66" i="13" s="1"/>
  <c r="A66" i="13" s="1"/>
  <c r="F65" i="13" a="1"/>
  <c r="F65" i="13" s="1"/>
  <c r="E65" i="13" a="1"/>
  <c r="E65" i="13" s="1"/>
  <c r="D65" i="13" a="1"/>
  <c r="D65" i="13" s="1"/>
  <c r="C65" i="13" a="1"/>
  <c r="C65" i="13" s="1"/>
  <c r="B65" i="13" a="1"/>
  <c r="B65" i="13" s="1"/>
  <c r="F64" i="13" a="1"/>
  <c r="F64" i="13" s="1"/>
  <c r="E64" i="13" a="1"/>
  <c r="E64" i="13" s="1"/>
  <c r="D64" i="13" a="1"/>
  <c r="D64" i="13" s="1"/>
  <c r="C64" i="13" a="1"/>
  <c r="C64" i="13" s="1"/>
  <c r="B64" i="13" a="1"/>
  <c r="B64" i="13" s="1"/>
  <c r="F63" i="13" a="1"/>
  <c r="F63" i="13" s="1"/>
  <c r="E63" i="13" a="1"/>
  <c r="E63" i="13" s="1"/>
  <c r="D63" i="13" a="1"/>
  <c r="D63" i="13" s="1"/>
  <c r="C63" i="13" a="1"/>
  <c r="C63" i="13" s="1"/>
  <c r="B63" i="13" a="1"/>
  <c r="B63" i="13" s="1"/>
  <c r="A63" i="13" s="1"/>
  <c r="F62" i="13" a="1"/>
  <c r="F62" i="13" s="1"/>
  <c r="E62" i="13" a="1"/>
  <c r="E62" i="13" s="1"/>
  <c r="D62" i="13" a="1"/>
  <c r="D62" i="13" s="1"/>
  <c r="C62" i="13" a="1"/>
  <c r="C62" i="13" s="1"/>
  <c r="B62" i="13" a="1"/>
  <c r="B62" i="13" s="1"/>
  <c r="A62" i="13" s="1"/>
  <c r="F61" i="13" a="1"/>
  <c r="F61" i="13" s="1"/>
  <c r="E61" i="13" a="1"/>
  <c r="E61" i="13" s="1"/>
  <c r="D61" i="13" a="1"/>
  <c r="D61" i="13" s="1"/>
  <c r="C61" i="13" a="1"/>
  <c r="C61" i="13" s="1"/>
  <c r="B61" i="13" a="1"/>
  <c r="B61" i="13" s="1"/>
  <c r="A61" i="13" s="1"/>
  <c r="F60" i="13" a="1"/>
  <c r="F60" i="13" s="1"/>
  <c r="E60" i="13" a="1"/>
  <c r="E60" i="13" s="1"/>
  <c r="D60" i="13" a="1"/>
  <c r="D60" i="13" s="1"/>
  <c r="C60" i="13" a="1"/>
  <c r="C60" i="13" s="1"/>
  <c r="B60" i="13" a="1"/>
  <c r="B60" i="13" s="1"/>
  <c r="A60" i="13" s="1"/>
  <c r="F59" i="13" a="1"/>
  <c r="F59" i="13" s="1"/>
  <c r="E59" i="13" a="1"/>
  <c r="E59" i="13" s="1"/>
  <c r="D59" i="13" a="1"/>
  <c r="D59" i="13" s="1"/>
  <c r="C59" i="13" a="1"/>
  <c r="C59" i="13" s="1"/>
  <c r="B59" i="13" a="1"/>
  <c r="B59" i="13" s="1"/>
  <c r="A59" i="13" s="1"/>
  <c r="F58" i="13" a="1"/>
  <c r="F58" i="13" s="1"/>
  <c r="E58" i="13" a="1"/>
  <c r="E58" i="13" s="1"/>
  <c r="D58" i="13" a="1"/>
  <c r="D58" i="13" s="1"/>
  <c r="C58" i="13" a="1"/>
  <c r="C58" i="13" s="1"/>
  <c r="B58" i="13" a="1"/>
  <c r="B58" i="13" s="1"/>
  <c r="A58" i="13" s="1"/>
  <c r="F57" i="13" a="1"/>
  <c r="F57" i="13" s="1"/>
  <c r="E57" i="13" a="1"/>
  <c r="E57" i="13" s="1"/>
  <c r="D57" i="13" a="1"/>
  <c r="D57" i="13" s="1"/>
  <c r="C57" i="13" a="1"/>
  <c r="C57" i="13" s="1"/>
  <c r="B57" i="13" a="1"/>
  <c r="B57" i="13" s="1"/>
  <c r="G57" i="13" s="1"/>
  <c r="F56" i="13" a="1"/>
  <c r="F56" i="13" s="1"/>
  <c r="E56" i="13" a="1"/>
  <c r="E56" i="13" s="1"/>
  <c r="D56" i="13" a="1"/>
  <c r="D56" i="13" s="1"/>
  <c r="C56" i="13" a="1"/>
  <c r="C56" i="13" s="1"/>
  <c r="B56" i="13" a="1"/>
  <c r="B56" i="13" s="1"/>
  <c r="G56" i="13" s="1"/>
  <c r="F55" i="13" a="1"/>
  <c r="F55" i="13" s="1"/>
  <c r="E55" i="13" a="1"/>
  <c r="E55" i="13" s="1"/>
  <c r="D55" i="13" a="1"/>
  <c r="D55" i="13" s="1"/>
  <c r="C55" i="13" a="1"/>
  <c r="C55" i="13" s="1"/>
  <c r="B55" i="13" a="1"/>
  <c r="B55" i="13" s="1"/>
  <c r="G55" i="13" s="1"/>
  <c r="F54" i="13" a="1"/>
  <c r="F54" i="13" s="1"/>
  <c r="E54" i="13" a="1"/>
  <c r="E54" i="13" s="1"/>
  <c r="D54" i="13" a="1"/>
  <c r="D54" i="13" s="1"/>
  <c r="C54" i="13" a="1"/>
  <c r="C54" i="13" s="1"/>
  <c r="B54" i="13" a="1"/>
  <c r="B54" i="13" s="1"/>
  <c r="G54" i="13" s="1"/>
  <c r="F53" i="13" a="1"/>
  <c r="F53" i="13" s="1"/>
  <c r="E53" i="13" a="1"/>
  <c r="E53" i="13" s="1"/>
  <c r="D53" i="13" a="1"/>
  <c r="D53" i="13" s="1"/>
  <c r="C53" i="13" a="1"/>
  <c r="C53" i="13" s="1"/>
  <c r="B53" i="13" a="1"/>
  <c r="B53" i="13" s="1"/>
  <c r="G53" i="13" s="1"/>
  <c r="F52" i="13" a="1"/>
  <c r="F52" i="13" s="1"/>
  <c r="E52" i="13" a="1"/>
  <c r="E52" i="13" s="1"/>
  <c r="D52" i="13" a="1"/>
  <c r="D52" i="13" s="1"/>
  <c r="C52" i="13" a="1"/>
  <c r="C52" i="13" s="1"/>
  <c r="B52" i="13" a="1"/>
  <c r="B52" i="13" s="1"/>
  <c r="G52" i="13" s="1"/>
  <c r="F51" i="13" a="1"/>
  <c r="F51" i="13" s="1"/>
  <c r="E51" i="13" a="1"/>
  <c r="E51" i="13" s="1"/>
  <c r="D51" i="13" a="1"/>
  <c r="D51" i="13" s="1"/>
  <c r="C51" i="13" a="1"/>
  <c r="C51" i="13" s="1"/>
  <c r="B51" i="13" a="1"/>
  <c r="B51" i="13" s="1"/>
  <c r="G51" i="13" s="1"/>
  <c r="F50" i="13" a="1"/>
  <c r="F50" i="13" s="1"/>
  <c r="E50" i="13" a="1"/>
  <c r="E50" i="13" s="1"/>
  <c r="D50" i="13" a="1"/>
  <c r="D50" i="13" s="1"/>
  <c r="C50" i="13" a="1"/>
  <c r="C50" i="13" s="1"/>
  <c r="B50" i="13" a="1"/>
  <c r="B50" i="13" s="1"/>
  <c r="A50" i="13" s="1"/>
  <c r="F49" i="13" a="1"/>
  <c r="F49" i="13" s="1"/>
  <c r="E49" i="13" a="1"/>
  <c r="E49" i="13" s="1"/>
  <c r="D49" i="13" a="1"/>
  <c r="D49" i="13" s="1"/>
  <c r="C49" i="13" a="1"/>
  <c r="C49" i="13" s="1"/>
  <c r="B49" i="13" a="1"/>
  <c r="B49" i="13" s="1"/>
  <c r="G49" i="13" s="1"/>
  <c r="F48" i="13" a="1"/>
  <c r="F48" i="13" s="1"/>
  <c r="E48" i="13" a="1"/>
  <c r="E48" i="13" s="1"/>
  <c r="D48" i="13" a="1"/>
  <c r="D48" i="13" s="1"/>
  <c r="C48" i="13" a="1"/>
  <c r="C48" i="13" s="1"/>
  <c r="B48" i="13" a="1"/>
  <c r="B48" i="13" s="1"/>
  <c r="A48" i="13" s="1"/>
  <c r="F47" i="13" a="1"/>
  <c r="F47" i="13" s="1"/>
  <c r="E47" i="13" a="1"/>
  <c r="E47" i="13" s="1"/>
  <c r="D47" i="13" a="1"/>
  <c r="D47" i="13" s="1"/>
  <c r="C47" i="13" a="1"/>
  <c r="C47" i="13" s="1"/>
  <c r="B47" i="13" a="1"/>
  <c r="B47" i="13" s="1"/>
  <c r="G47" i="13" s="1"/>
  <c r="F46" i="13" a="1"/>
  <c r="F46" i="13" s="1"/>
  <c r="E46" i="13" a="1"/>
  <c r="E46" i="13" s="1"/>
  <c r="D46" i="13" a="1"/>
  <c r="D46" i="13" s="1"/>
  <c r="C46" i="13" a="1"/>
  <c r="C46" i="13" s="1"/>
  <c r="B46" i="13" a="1"/>
  <c r="B46" i="13" s="1"/>
  <c r="A46" i="13" s="1"/>
  <c r="F45" i="13" a="1"/>
  <c r="F45" i="13" s="1"/>
  <c r="E45" i="13" a="1"/>
  <c r="E45" i="13" s="1"/>
  <c r="D45" i="13" a="1"/>
  <c r="D45" i="13" s="1"/>
  <c r="C45" i="13" a="1"/>
  <c r="C45" i="13" s="1"/>
  <c r="B45" i="13" a="1"/>
  <c r="B45" i="13" s="1"/>
  <c r="G45" i="13" s="1"/>
  <c r="G41" i="13"/>
  <c r="F41" i="13" a="1"/>
  <c r="F41" i="13" s="1"/>
  <c r="E41" i="13" a="1"/>
  <c r="E41" i="13" s="1"/>
  <c r="D41" i="13" a="1"/>
  <c r="D41" i="13" s="1"/>
  <c r="C41" i="13" a="1"/>
  <c r="C41" i="13"/>
  <c r="B41" i="13" a="1"/>
  <c r="B41" i="13" s="1"/>
  <c r="A41" i="13"/>
  <c r="F40" i="13" a="1"/>
  <c r="F40" i="13" s="1"/>
  <c r="E40" i="13" a="1"/>
  <c r="E40" i="13"/>
  <c r="D40" i="13" a="1"/>
  <c r="D40" i="13" s="1"/>
  <c r="C40" i="13" a="1"/>
  <c r="C40" i="13" s="1"/>
  <c r="B40" i="13" a="1"/>
  <c r="B40" i="13" s="1"/>
  <c r="F39" i="13" a="1"/>
  <c r="F39" i="13" s="1"/>
  <c r="E39" i="13" a="1"/>
  <c r="E39" i="13" s="1"/>
  <c r="D39" i="13" a="1"/>
  <c r="D39" i="13" s="1"/>
  <c r="C39" i="13" a="1"/>
  <c r="C39" i="13" s="1"/>
  <c r="B39" i="13" a="1"/>
  <c r="B39" i="13" s="1"/>
  <c r="F38" i="13" a="1"/>
  <c r="F38" i="13" s="1"/>
  <c r="E38" i="13" a="1"/>
  <c r="E38" i="13" s="1"/>
  <c r="D38" i="13" a="1"/>
  <c r="D38" i="13" s="1"/>
  <c r="C38" i="13" a="1"/>
  <c r="C38" i="13" s="1"/>
  <c r="B38" i="13" a="1"/>
  <c r="B38" i="13" s="1"/>
  <c r="F37" i="13" a="1"/>
  <c r="F37" i="13" s="1"/>
  <c r="E37" i="13" a="1"/>
  <c r="E37" i="13" s="1"/>
  <c r="D37" i="13" a="1"/>
  <c r="D37" i="13" s="1"/>
  <c r="C37" i="13" a="1"/>
  <c r="C37" i="13" s="1"/>
  <c r="B37" i="13" a="1"/>
  <c r="B37" i="13" s="1"/>
  <c r="F36" i="13" a="1"/>
  <c r="F36" i="13" s="1"/>
  <c r="E36" i="13" a="1"/>
  <c r="E36" i="13" s="1"/>
  <c r="D36" i="13" a="1"/>
  <c r="D36" i="13" s="1"/>
  <c r="C36" i="13" a="1"/>
  <c r="C36" i="13" s="1"/>
  <c r="B36" i="13" a="1"/>
  <c r="B36" i="13" s="1"/>
  <c r="F35" i="13" a="1"/>
  <c r="F35" i="13" s="1"/>
  <c r="E35" i="13" a="1"/>
  <c r="E35" i="13" s="1"/>
  <c r="D35" i="13" a="1"/>
  <c r="D35" i="13" s="1"/>
  <c r="C35" i="13" a="1"/>
  <c r="C35" i="13" s="1"/>
  <c r="B35" i="13" a="1"/>
  <c r="B35" i="13" s="1"/>
  <c r="F34" i="13" a="1"/>
  <c r="F34" i="13" s="1"/>
  <c r="E34" i="13" a="1"/>
  <c r="E34" i="13" s="1"/>
  <c r="D34" i="13" a="1"/>
  <c r="D34" i="13" s="1"/>
  <c r="C34" i="13" a="1"/>
  <c r="C34" i="13" s="1"/>
  <c r="B34" i="13" a="1"/>
  <c r="B34" i="13" s="1"/>
  <c r="F33" i="13" a="1"/>
  <c r="F33" i="13" s="1"/>
  <c r="E33" i="13" a="1"/>
  <c r="E33" i="13" s="1"/>
  <c r="D33" i="13" a="1"/>
  <c r="D33" i="13" s="1"/>
  <c r="C33" i="13" a="1"/>
  <c r="C33" i="13" s="1"/>
  <c r="B33" i="13" a="1"/>
  <c r="B33" i="13" s="1"/>
  <c r="F32" i="13" a="1"/>
  <c r="F32" i="13" s="1"/>
  <c r="E32" i="13" a="1"/>
  <c r="E32" i="13" s="1"/>
  <c r="D32" i="13" a="1"/>
  <c r="D32" i="13" s="1"/>
  <c r="C32" i="13" a="1"/>
  <c r="C32" i="13" s="1"/>
  <c r="B32" i="13" a="1"/>
  <c r="B32" i="13" s="1"/>
  <c r="F31" i="13" a="1"/>
  <c r="F31" i="13" s="1"/>
  <c r="E31" i="13" a="1"/>
  <c r="E31" i="13" s="1"/>
  <c r="D31" i="13" a="1"/>
  <c r="D31" i="13" s="1"/>
  <c r="C31" i="13" a="1"/>
  <c r="C31" i="13" s="1"/>
  <c r="B31" i="13" a="1"/>
  <c r="B31" i="13" s="1"/>
  <c r="F30" i="13" a="1"/>
  <c r="F30" i="13" s="1"/>
  <c r="E30" i="13" a="1"/>
  <c r="E30" i="13" s="1"/>
  <c r="D30" i="13" a="1"/>
  <c r="D30" i="13" s="1"/>
  <c r="C30" i="13" a="1"/>
  <c r="C30" i="13" s="1"/>
  <c r="B30" i="13" a="1"/>
  <c r="B30" i="13" s="1"/>
  <c r="F29" i="13" a="1"/>
  <c r="F29" i="13" s="1"/>
  <c r="E29" i="13" a="1"/>
  <c r="E29" i="13" s="1"/>
  <c r="D29" i="13" a="1"/>
  <c r="D29" i="13" s="1"/>
  <c r="C29" i="13" a="1"/>
  <c r="C29" i="13" s="1"/>
  <c r="B29" i="13" a="1"/>
  <c r="B29" i="13" s="1"/>
  <c r="F28" i="13" a="1"/>
  <c r="F28" i="13" s="1"/>
  <c r="E28" i="13" a="1"/>
  <c r="E28" i="13" s="1"/>
  <c r="D28" i="13" a="1"/>
  <c r="D28" i="13" s="1"/>
  <c r="C28" i="13" a="1"/>
  <c r="C28" i="13" s="1"/>
  <c r="B28" i="13" a="1"/>
  <c r="B28" i="13" s="1"/>
  <c r="F27" i="13" a="1"/>
  <c r="F27" i="13" s="1"/>
  <c r="E27" i="13" a="1"/>
  <c r="E27" i="13" s="1"/>
  <c r="D27" i="13" a="1"/>
  <c r="D27" i="13" s="1"/>
  <c r="C27" i="13" a="1"/>
  <c r="C27" i="13" s="1"/>
  <c r="B27" i="13" a="1"/>
  <c r="B27" i="13" s="1"/>
  <c r="F26" i="13" a="1"/>
  <c r="F26" i="13" s="1"/>
  <c r="E26" i="13" a="1"/>
  <c r="E26" i="13" s="1"/>
  <c r="D26" i="13" a="1"/>
  <c r="D26" i="13" s="1"/>
  <c r="C26" i="13" a="1"/>
  <c r="C26" i="13" s="1"/>
  <c r="B26" i="13" a="1"/>
  <c r="B26" i="13" s="1"/>
  <c r="F25" i="13" a="1"/>
  <c r="F25" i="13" s="1"/>
  <c r="E25" i="13" a="1"/>
  <c r="E25" i="13" s="1"/>
  <c r="D25" i="13" a="1"/>
  <c r="D25" i="13" s="1"/>
  <c r="C25" i="13" a="1"/>
  <c r="C25" i="13" s="1"/>
  <c r="B25" i="13" a="1"/>
  <c r="B25" i="13" s="1"/>
  <c r="F24" i="13" a="1"/>
  <c r="F24" i="13" s="1"/>
  <c r="E24" i="13" a="1"/>
  <c r="E24" i="13" s="1"/>
  <c r="D24" i="13" a="1"/>
  <c r="D24" i="13" s="1"/>
  <c r="C24" i="13" a="1"/>
  <c r="C24" i="13" s="1"/>
  <c r="B24" i="13" a="1"/>
  <c r="B24" i="13" s="1"/>
  <c r="F23" i="13" a="1"/>
  <c r="F23" i="13" s="1"/>
  <c r="E23" i="13" a="1"/>
  <c r="E23" i="13" s="1"/>
  <c r="D23" i="13" a="1"/>
  <c r="D23" i="13" s="1"/>
  <c r="C23" i="13" a="1"/>
  <c r="C23" i="13" s="1"/>
  <c r="B23" i="13" a="1"/>
  <c r="B23" i="13" s="1"/>
  <c r="F22" i="13" a="1"/>
  <c r="F22" i="13" s="1"/>
  <c r="E22" i="13" a="1"/>
  <c r="E22" i="13" s="1"/>
  <c r="D22" i="13" a="1"/>
  <c r="D22" i="13" s="1"/>
  <c r="C22" i="13" a="1"/>
  <c r="C22" i="13" s="1"/>
  <c r="B22" i="13" a="1"/>
  <c r="B22" i="13" s="1"/>
  <c r="F21" i="13" a="1"/>
  <c r="F21" i="13" s="1"/>
  <c r="E21" i="13" a="1"/>
  <c r="E21" i="13" s="1"/>
  <c r="D21" i="13" a="1"/>
  <c r="D21" i="13" s="1"/>
  <c r="C21" i="13" a="1"/>
  <c r="C21" i="13" s="1"/>
  <c r="B21" i="13" a="1"/>
  <c r="B21" i="13" s="1"/>
  <c r="F20" i="13" a="1"/>
  <c r="F20" i="13" s="1"/>
  <c r="E20" i="13" a="1"/>
  <c r="E20" i="13" s="1"/>
  <c r="D20" i="13" a="1"/>
  <c r="D20" i="13" s="1"/>
  <c r="C20" i="13" a="1"/>
  <c r="C20" i="13" s="1"/>
  <c r="B20" i="13" a="1"/>
  <c r="B20" i="13" s="1"/>
  <c r="F19" i="13" a="1"/>
  <c r="F19" i="13" s="1"/>
  <c r="E19" i="13" a="1"/>
  <c r="E19" i="13" s="1"/>
  <c r="D19" i="13" a="1"/>
  <c r="D19" i="13" s="1"/>
  <c r="C19" i="13" a="1"/>
  <c r="C19" i="13" s="1"/>
  <c r="B19" i="13" a="1"/>
  <c r="B19" i="13" s="1"/>
  <c r="F18" i="13" a="1"/>
  <c r="F18" i="13" s="1"/>
  <c r="E18" i="13" a="1"/>
  <c r="E18" i="13" s="1"/>
  <c r="D18" i="13" a="1"/>
  <c r="D18" i="13" s="1"/>
  <c r="C18" i="13" a="1"/>
  <c r="C18" i="13" s="1"/>
  <c r="B18" i="13" a="1"/>
  <c r="B18" i="13" s="1"/>
  <c r="F17" i="13" a="1"/>
  <c r="F17" i="13" s="1"/>
  <c r="E17" i="13" a="1"/>
  <c r="E17" i="13" s="1"/>
  <c r="D17" i="13" a="1"/>
  <c r="D17" i="13" s="1"/>
  <c r="C17" i="13" a="1"/>
  <c r="C17" i="13" s="1"/>
  <c r="B17" i="13" a="1"/>
  <c r="B17" i="13" s="1"/>
  <c r="F16" i="13" a="1"/>
  <c r="F16" i="13" s="1"/>
  <c r="E16" i="13" a="1"/>
  <c r="E16" i="13" s="1"/>
  <c r="D16" i="13" a="1"/>
  <c r="D16" i="13" s="1"/>
  <c r="C16" i="13" a="1"/>
  <c r="C16" i="13" s="1"/>
  <c r="B16" i="13" a="1"/>
  <c r="B16" i="13" s="1"/>
  <c r="F15" i="13" a="1"/>
  <c r="F15" i="13" s="1"/>
  <c r="E15" i="13" a="1"/>
  <c r="E15" i="13" s="1"/>
  <c r="D15" i="13" a="1"/>
  <c r="D15" i="13" s="1"/>
  <c r="C15" i="13" a="1"/>
  <c r="C15" i="13" s="1"/>
  <c r="B15" i="13" a="1"/>
  <c r="B15" i="13" s="1"/>
  <c r="F14" i="13" a="1"/>
  <c r="F14" i="13" s="1"/>
  <c r="E14" i="13" a="1"/>
  <c r="E14" i="13" s="1"/>
  <c r="D14" i="13" a="1"/>
  <c r="D14" i="13" s="1"/>
  <c r="C14" i="13" a="1"/>
  <c r="C14" i="13" s="1"/>
  <c r="B14" i="13" a="1"/>
  <c r="B14" i="13" s="1"/>
  <c r="F13" i="13" a="1"/>
  <c r="F13" i="13" s="1"/>
  <c r="E13" i="13" a="1"/>
  <c r="E13" i="13" s="1"/>
  <c r="D13" i="13" a="1"/>
  <c r="D13" i="13" s="1"/>
  <c r="C13" i="13" a="1"/>
  <c r="C13" i="13" s="1"/>
  <c r="B13" i="13" a="1"/>
  <c r="B13" i="13" s="1"/>
  <c r="F12" i="13" a="1"/>
  <c r="F12" i="13" s="1"/>
  <c r="E12" i="13" a="1"/>
  <c r="E12" i="13" s="1"/>
  <c r="D12" i="13" a="1"/>
  <c r="D12" i="13" s="1"/>
  <c r="C12" i="13" a="1"/>
  <c r="C12" i="13" s="1"/>
  <c r="B12" i="13" a="1"/>
  <c r="B12" i="13" s="1"/>
  <c r="E8" i="13" a="1"/>
  <c r="E8" i="13" s="1"/>
  <c r="B8" i="13"/>
  <c r="B7" i="13"/>
  <c r="B6" i="13"/>
  <c r="E5" i="13"/>
  <c r="E6" i="13" s="1"/>
  <c r="B5" i="13"/>
  <c r="E4" i="13"/>
  <c r="B4" i="13"/>
  <c r="I3" i="13"/>
  <c r="A1" i="13"/>
  <c r="F74" i="12" a="1"/>
  <c r="F74" i="12" s="1"/>
  <c r="E74" i="12" a="1"/>
  <c r="E74" i="12" s="1"/>
  <c r="D74" i="12" a="1"/>
  <c r="D74" i="12" s="1"/>
  <c r="C74" i="12" a="1"/>
  <c r="C74" i="12" s="1"/>
  <c r="B74" i="12" a="1"/>
  <c r="B74" i="12" s="1"/>
  <c r="F73" i="12" a="1"/>
  <c r="F73" i="12" s="1"/>
  <c r="E73" i="12" a="1"/>
  <c r="E73" i="12" s="1"/>
  <c r="D73" i="12" a="1"/>
  <c r="D73" i="12" s="1"/>
  <c r="C73" i="12" a="1"/>
  <c r="C73" i="12" s="1"/>
  <c r="B73" i="12" a="1"/>
  <c r="B73" i="12" s="1"/>
  <c r="F72" i="12" a="1"/>
  <c r="F72" i="12" s="1"/>
  <c r="E72" i="12" a="1"/>
  <c r="E72" i="12" s="1"/>
  <c r="D72" i="12" a="1"/>
  <c r="D72" i="12" s="1"/>
  <c r="C72" i="12" a="1"/>
  <c r="C72" i="12" s="1"/>
  <c r="B72" i="12" a="1"/>
  <c r="B72" i="12" s="1"/>
  <c r="A72" i="12" s="1"/>
  <c r="F71" i="12" a="1"/>
  <c r="F71" i="12" s="1"/>
  <c r="E71" i="12" a="1"/>
  <c r="E71" i="12" s="1"/>
  <c r="D71" i="12" a="1"/>
  <c r="D71" i="12" s="1"/>
  <c r="C71" i="12" a="1"/>
  <c r="C71" i="12" s="1"/>
  <c r="B71" i="12" a="1"/>
  <c r="B71" i="12" s="1"/>
  <c r="A71" i="12" s="1"/>
  <c r="F70" i="12" a="1"/>
  <c r="F70" i="12" s="1"/>
  <c r="E70" i="12" a="1"/>
  <c r="E70" i="12" s="1"/>
  <c r="D70" i="12" a="1"/>
  <c r="D70" i="12" s="1"/>
  <c r="C70" i="12" a="1"/>
  <c r="C70" i="12" s="1"/>
  <c r="B70" i="12" a="1"/>
  <c r="B70" i="12" s="1"/>
  <c r="A70" i="12" s="1"/>
  <c r="F69" i="12" a="1"/>
  <c r="F69" i="12" s="1"/>
  <c r="E69" i="12" a="1"/>
  <c r="E69" i="12" s="1"/>
  <c r="D69" i="12" a="1"/>
  <c r="D69" i="12" s="1"/>
  <c r="C69" i="12" a="1"/>
  <c r="C69" i="12" s="1"/>
  <c r="B69" i="12" a="1"/>
  <c r="B69" i="12" s="1"/>
  <c r="A69" i="12" s="1"/>
  <c r="F68" i="12" a="1"/>
  <c r="F68" i="12" s="1"/>
  <c r="E68" i="12" a="1"/>
  <c r="E68" i="12" s="1"/>
  <c r="D68" i="12" a="1"/>
  <c r="D68" i="12" s="1"/>
  <c r="C68" i="12" a="1"/>
  <c r="C68" i="12" s="1"/>
  <c r="B68" i="12" a="1"/>
  <c r="B68" i="12" s="1"/>
  <c r="F67" i="12" a="1"/>
  <c r="F67" i="12" s="1"/>
  <c r="E67" i="12" a="1"/>
  <c r="E67" i="12" s="1"/>
  <c r="D67" i="12" a="1"/>
  <c r="D67" i="12" s="1"/>
  <c r="C67" i="12" a="1"/>
  <c r="C67" i="12" s="1"/>
  <c r="B67" i="12" a="1"/>
  <c r="B67" i="12" s="1"/>
  <c r="F66" i="12" a="1"/>
  <c r="F66" i="12" s="1"/>
  <c r="E66" i="12" a="1"/>
  <c r="E66" i="12" s="1"/>
  <c r="D66" i="12" a="1"/>
  <c r="D66" i="12" s="1"/>
  <c r="C66" i="12" a="1"/>
  <c r="C66" i="12" s="1"/>
  <c r="B66" i="12" a="1"/>
  <c r="B66" i="12" s="1"/>
  <c r="A66" i="12" s="1"/>
  <c r="F65" i="12" a="1"/>
  <c r="F65" i="12" s="1"/>
  <c r="E65" i="12" a="1"/>
  <c r="E65" i="12" s="1"/>
  <c r="D65" i="12" a="1"/>
  <c r="D65" i="12" s="1"/>
  <c r="C65" i="12" a="1"/>
  <c r="C65" i="12" s="1"/>
  <c r="B65" i="12" a="1"/>
  <c r="B65" i="12" s="1"/>
  <c r="A65" i="12" s="1"/>
  <c r="F64" i="12" a="1"/>
  <c r="F64" i="12" s="1"/>
  <c r="E64" i="12" a="1"/>
  <c r="E64" i="12" s="1"/>
  <c r="D64" i="12" a="1"/>
  <c r="D64" i="12" s="1"/>
  <c r="C64" i="12" a="1"/>
  <c r="C64" i="12" s="1"/>
  <c r="B64" i="12" a="1"/>
  <c r="B64" i="12" s="1"/>
  <c r="F63" i="12" a="1"/>
  <c r="F63" i="12" s="1"/>
  <c r="E63" i="12" a="1"/>
  <c r="E63" i="12" s="1"/>
  <c r="D63" i="12" a="1"/>
  <c r="D63" i="12" s="1"/>
  <c r="C63" i="12" a="1"/>
  <c r="C63" i="12" s="1"/>
  <c r="B63" i="12" a="1"/>
  <c r="B63" i="12" s="1"/>
  <c r="F62" i="12" a="1"/>
  <c r="F62" i="12" s="1"/>
  <c r="E62" i="12" a="1"/>
  <c r="E62" i="12" s="1"/>
  <c r="D62" i="12" a="1"/>
  <c r="D62" i="12" s="1"/>
  <c r="C62" i="12" a="1"/>
  <c r="C62" i="12" s="1"/>
  <c r="B62" i="12" a="1"/>
  <c r="B62" i="12" s="1"/>
  <c r="A62" i="12" s="1"/>
  <c r="F61" i="12" a="1"/>
  <c r="F61" i="12" s="1"/>
  <c r="E61" i="12" a="1"/>
  <c r="E61" i="12" s="1"/>
  <c r="D61" i="12" a="1"/>
  <c r="D61" i="12" s="1"/>
  <c r="C61" i="12" a="1"/>
  <c r="C61" i="12" s="1"/>
  <c r="B61" i="12" a="1"/>
  <c r="B61" i="12" s="1"/>
  <c r="A61" i="12" s="1"/>
  <c r="F60" i="12" a="1"/>
  <c r="F60" i="12" s="1"/>
  <c r="E60" i="12" a="1"/>
  <c r="E60" i="12" s="1"/>
  <c r="D60" i="12" a="1"/>
  <c r="D60" i="12" s="1"/>
  <c r="C60" i="12" a="1"/>
  <c r="C60" i="12" s="1"/>
  <c r="B60" i="12" a="1"/>
  <c r="B60" i="12" s="1"/>
  <c r="F59" i="12" a="1"/>
  <c r="F59" i="12" s="1"/>
  <c r="E59" i="12" a="1"/>
  <c r="E59" i="12" s="1"/>
  <c r="D59" i="12" a="1"/>
  <c r="D59" i="12" s="1"/>
  <c r="C59" i="12" a="1"/>
  <c r="C59" i="12" s="1"/>
  <c r="B59" i="12" a="1"/>
  <c r="B59" i="12" s="1"/>
  <c r="F58" i="12" a="1"/>
  <c r="F58" i="12" s="1"/>
  <c r="E58" i="12" a="1"/>
  <c r="E58" i="12" s="1"/>
  <c r="D58" i="12" a="1"/>
  <c r="D58" i="12" s="1"/>
  <c r="C58" i="12" a="1"/>
  <c r="C58" i="12" s="1"/>
  <c r="B58" i="12" a="1"/>
  <c r="B58" i="12" s="1"/>
  <c r="A58" i="12" s="1"/>
  <c r="F57" i="12" a="1"/>
  <c r="F57" i="12" s="1"/>
  <c r="E57" i="12" a="1"/>
  <c r="E57" i="12" s="1"/>
  <c r="D57" i="12" a="1"/>
  <c r="D57" i="12" s="1"/>
  <c r="C57" i="12" a="1"/>
  <c r="C57" i="12" s="1"/>
  <c r="B57" i="12" a="1"/>
  <c r="B57" i="12" s="1"/>
  <c r="A57" i="12" s="1"/>
  <c r="F56" i="12" a="1"/>
  <c r="F56" i="12" s="1"/>
  <c r="E56" i="12" a="1"/>
  <c r="E56" i="12" s="1"/>
  <c r="D56" i="12" a="1"/>
  <c r="D56" i="12" s="1"/>
  <c r="C56" i="12" a="1"/>
  <c r="C56" i="12" s="1"/>
  <c r="B56" i="12" a="1"/>
  <c r="B56" i="12" s="1"/>
  <c r="F55" i="12" a="1"/>
  <c r="F55" i="12" s="1"/>
  <c r="E55" i="12" a="1"/>
  <c r="E55" i="12" s="1"/>
  <c r="D55" i="12" a="1"/>
  <c r="D55" i="12" s="1"/>
  <c r="C55" i="12" a="1"/>
  <c r="C55" i="12" s="1"/>
  <c r="B55" i="12" a="1"/>
  <c r="B55" i="12" s="1"/>
  <c r="F54" i="12" a="1"/>
  <c r="F54" i="12" s="1"/>
  <c r="E54" i="12" a="1"/>
  <c r="E54" i="12" s="1"/>
  <c r="D54" i="12" a="1"/>
  <c r="D54" i="12" s="1"/>
  <c r="C54" i="12" a="1"/>
  <c r="C54" i="12" s="1"/>
  <c r="B54" i="12" a="1"/>
  <c r="B54" i="12" s="1"/>
  <c r="F53" i="12" a="1"/>
  <c r="F53" i="12" s="1"/>
  <c r="E53" i="12" a="1"/>
  <c r="E53" i="12" s="1"/>
  <c r="D53" i="12" a="1"/>
  <c r="D53" i="12" s="1"/>
  <c r="C53" i="12" a="1"/>
  <c r="C53" i="12" s="1"/>
  <c r="B53" i="12" a="1"/>
  <c r="B53" i="12" s="1"/>
  <c r="F52" i="12" a="1"/>
  <c r="F52" i="12" s="1"/>
  <c r="E52" i="12" a="1"/>
  <c r="E52" i="12" s="1"/>
  <c r="D52" i="12" a="1"/>
  <c r="D52" i="12" s="1"/>
  <c r="C52" i="12" a="1"/>
  <c r="C52" i="12" s="1"/>
  <c r="B52" i="12" a="1"/>
  <c r="B52" i="12" s="1"/>
  <c r="F51" i="12" a="1"/>
  <c r="F51" i="12" s="1"/>
  <c r="E51" i="12" a="1"/>
  <c r="E51" i="12" s="1"/>
  <c r="D51" i="12" a="1"/>
  <c r="D51" i="12" s="1"/>
  <c r="C51" i="12" a="1"/>
  <c r="C51" i="12" s="1"/>
  <c r="B51" i="12" a="1"/>
  <c r="B51" i="12" s="1"/>
  <c r="F50" i="12" a="1"/>
  <c r="F50" i="12" s="1"/>
  <c r="E50" i="12" a="1"/>
  <c r="E50" i="12" s="1"/>
  <c r="D50" i="12" a="1"/>
  <c r="D50" i="12" s="1"/>
  <c r="C50" i="12" a="1"/>
  <c r="C50" i="12" s="1"/>
  <c r="B50" i="12" a="1"/>
  <c r="B50" i="12" s="1"/>
  <c r="F49" i="12" a="1"/>
  <c r="F49" i="12" s="1"/>
  <c r="E49" i="12" a="1"/>
  <c r="E49" i="12" s="1"/>
  <c r="D49" i="12" a="1"/>
  <c r="D49" i="12" s="1"/>
  <c r="C49" i="12" a="1"/>
  <c r="C49" i="12" s="1"/>
  <c r="B49" i="12" a="1"/>
  <c r="B49" i="12" s="1"/>
  <c r="F48" i="12" a="1"/>
  <c r="F48" i="12" s="1"/>
  <c r="E48" i="12" a="1"/>
  <c r="E48" i="12" s="1"/>
  <c r="D48" i="12" a="1"/>
  <c r="D48" i="12" s="1"/>
  <c r="C48" i="12" a="1"/>
  <c r="C48" i="12" s="1"/>
  <c r="B48" i="12" a="1"/>
  <c r="B48" i="12" s="1"/>
  <c r="F47" i="12" a="1"/>
  <c r="F47" i="12" s="1"/>
  <c r="E47" i="12" a="1"/>
  <c r="E47" i="12" s="1"/>
  <c r="D47" i="12" a="1"/>
  <c r="D47" i="12" s="1"/>
  <c r="C47" i="12" a="1"/>
  <c r="C47" i="12" s="1"/>
  <c r="B47" i="12" a="1"/>
  <c r="B47" i="12" s="1"/>
  <c r="F46" i="12" a="1"/>
  <c r="F46" i="12" s="1"/>
  <c r="E46" i="12" a="1"/>
  <c r="E46" i="12" s="1"/>
  <c r="D46" i="12" a="1"/>
  <c r="D46" i="12" s="1"/>
  <c r="C46" i="12" a="1"/>
  <c r="C46" i="12" s="1"/>
  <c r="B46" i="12" a="1"/>
  <c r="B46" i="12" s="1"/>
  <c r="F45" i="12" a="1"/>
  <c r="F45" i="12" s="1"/>
  <c r="E45" i="12" a="1"/>
  <c r="E45" i="12" s="1"/>
  <c r="D45" i="12" a="1"/>
  <c r="D45" i="12" s="1"/>
  <c r="C45" i="12" a="1"/>
  <c r="C45" i="12" s="1"/>
  <c r="B45" i="12" a="1"/>
  <c r="B45" i="12" s="1"/>
  <c r="F41" i="12" a="1"/>
  <c r="F41" i="12" s="1"/>
  <c r="E41" i="12" a="1"/>
  <c r="E41" i="12"/>
  <c r="D41" i="12" a="1"/>
  <c r="D41" i="12" s="1"/>
  <c r="C41" i="12" a="1"/>
  <c r="C41" i="12"/>
  <c r="B41" i="12" a="1"/>
  <c r="B41" i="12" s="1"/>
  <c r="F40" i="12" a="1"/>
  <c r="F40" i="12" s="1"/>
  <c r="E40" i="12" a="1"/>
  <c r="E40" i="12"/>
  <c r="D40" i="12" a="1"/>
  <c r="D40" i="12" s="1"/>
  <c r="C40" i="12" a="1"/>
  <c r="C40" i="12"/>
  <c r="B40" i="12" a="1"/>
  <c r="B40" i="12" s="1"/>
  <c r="F39" i="12" a="1"/>
  <c r="F39" i="12" s="1"/>
  <c r="E39" i="12" a="1"/>
  <c r="E39" i="12"/>
  <c r="D39" i="12" a="1"/>
  <c r="D39" i="12" s="1"/>
  <c r="C39" i="12" a="1"/>
  <c r="C39" i="12"/>
  <c r="B39" i="12" a="1"/>
  <c r="B39" i="12" s="1"/>
  <c r="F38" i="12" a="1"/>
  <c r="F38" i="12" s="1"/>
  <c r="E38" i="12" a="1"/>
  <c r="E38" i="12"/>
  <c r="D38" i="12" a="1"/>
  <c r="D38" i="12" s="1"/>
  <c r="C38" i="12" a="1"/>
  <c r="C38" i="12"/>
  <c r="B38" i="12" a="1"/>
  <c r="B38" i="12" s="1"/>
  <c r="F37" i="12" a="1"/>
  <c r="F37" i="12" s="1"/>
  <c r="E37" i="12" a="1"/>
  <c r="E37" i="12"/>
  <c r="D37" i="12" a="1"/>
  <c r="D37" i="12" s="1"/>
  <c r="C37" i="12" a="1"/>
  <c r="C37" i="12"/>
  <c r="B37" i="12" a="1"/>
  <c r="B37" i="12" s="1"/>
  <c r="F36" i="12" a="1"/>
  <c r="F36" i="12" s="1"/>
  <c r="E36" i="12" a="1"/>
  <c r="E36" i="12"/>
  <c r="D36" i="12" a="1"/>
  <c r="D36" i="12" s="1"/>
  <c r="C36" i="12" a="1"/>
  <c r="C36" i="12"/>
  <c r="B36" i="12" a="1"/>
  <c r="B36" i="12" s="1"/>
  <c r="F35" i="12" a="1"/>
  <c r="F35" i="12" s="1"/>
  <c r="E35" i="12" a="1"/>
  <c r="E35" i="12" s="1"/>
  <c r="D35" i="12" a="1"/>
  <c r="D35" i="12" s="1"/>
  <c r="C35" i="12" a="1"/>
  <c r="C35" i="12" s="1"/>
  <c r="B35" i="12" a="1"/>
  <c r="B35" i="12" s="1"/>
  <c r="F34" i="12" a="1"/>
  <c r="F34" i="12" s="1"/>
  <c r="E34" i="12" a="1"/>
  <c r="E34" i="12" s="1"/>
  <c r="D34" i="12" a="1"/>
  <c r="D34" i="12" s="1"/>
  <c r="C34" i="12" a="1"/>
  <c r="C34" i="12" s="1"/>
  <c r="B34" i="12" a="1"/>
  <c r="B34" i="12" s="1"/>
  <c r="F33" i="12" a="1"/>
  <c r="F33" i="12" s="1"/>
  <c r="E33" i="12" a="1"/>
  <c r="E33" i="12" s="1"/>
  <c r="D33" i="12" a="1"/>
  <c r="D33" i="12" s="1"/>
  <c r="C33" i="12" a="1"/>
  <c r="C33" i="12" s="1"/>
  <c r="B33" i="12" a="1"/>
  <c r="B33" i="12" s="1"/>
  <c r="F32" i="12" a="1"/>
  <c r="F32" i="12" s="1"/>
  <c r="E32" i="12" a="1"/>
  <c r="E32" i="12" s="1"/>
  <c r="D32" i="12" a="1"/>
  <c r="D32" i="12" s="1"/>
  <c r="C32" i="12" a="1"/>
  <c r="C32" i="12" s="1"/>
  <c r="B32" i="12" a="1"/>
  <c r="B32" i="12" s="1"/>
  <c r="F31" i="12" a="1"/>
  <c r="F31" i="12" s="1"/>
  <c r="E31" i="12" a="1"/>
  <c r="E31" i="12" s="1"/>
  <c r="D31" i="12" a="1"/>
  <c r="D31" i="12" s="1"/>
  <c r="C31" i="12" a="1"/>
  <c r="C31" i="12" s="1"/>
  <c r="B31" i="12" a="1"/>
  <c r="B31" i="12" s="1"/>
  <c r="F30" i="12" a="1"/>
  <c r="F30" i="12" s="1"/>
  <c r="E30" i="12" a="1"/>
  <c r="E30" i="12" s="1"/>
  <c r="D30" i="12" a="1"/>
  <c r="D30" i="12" s="1"/>
  <c r="C30" i="12" a="1"/>
  <c r="C30" i="12" s="1"/>
  <c r="B30" i="12" a="1"/>
  <c r="B30" i="12" s="1"/>
  <c r="F29" i="12" a="1"/>
  <c r="F29" i="12" s="1"/>
  <c r="E29" i="12" a="1"/>
  <c r="E29" i="12" s="1"/>
  <c r="D29" i="12" a="1"/>
  <c r="D29" i="12" s="1"/>
  <c r="C29" i="12" a="1"/>
  <c r="C29" i="12" s="1"/>
  <c r="B29" i="12" a="1"/>
  <c r="B29" i="12" s="1"/>
  <c r="F28" i="12" a="1"/>
  <c r="F28" i="12" s="1"/>
  <c r="E28" i="12" a="1"/>
  <c r="E28" i="12" s="1"/>
  <c r="D28" i="12" a="1"/>
  <c r="D28" i="12" s="1"/>
  <c r="C28" i="12" a="1"/>
  <c r="C28" i="12" s="1"/>
  <c r="B28" i="12" a="1"/>
  <c r="B28" i="12" s="1"/>
  <c r="F27" i="12" a="1"/>
  <c r="F27" i="12" s="1"/>
  <c r="E27" i="12" a="1"/>
  <c r="E27" i="12" s="1"/>
  <c r="D27" i="12" a="1"/>
  <c r="D27" i="12" s="1"/>
  <c r="C27" i="12" a="1"/>
  <c r="C27" i="12" s="1"/>
  <c r="B27" i="12" a="1"/>
  <c r="B27" i="12" s="1"/>
  <c r="F26" i="12" a="1"/>
  <c r="F26" i="12" s="1"/>
  <c r="E26" i="12" a="1"/>
  <c r="E26" i="12" s="1"/>
  <c r="D26" i="12" a="1"/>
  <c r="D26" i="12" s="1"/>
  <c r="C26" i="12" a="1"/>
  <c r="C26" i="12" s="1"/>
  <c r="B26" i="12" a="1"/>
  <c r="B26" i="12" s="1"/>
  <c r="F25" i="12" a="1"/>
  <c r="F25" i="12" s="1"/>
  <c r="E25" i="12" a="1"/>
  <c r="E25" i="12" s="1"/>
  <c r="D25" i="12" a="1"/>
  <c r="D25" i="12" s="1"/>
  <c r="C25" i="12" a="1"/>
  <c r="C25" i="12" s="1"/>
  <c r="B25" i="12" a="1"/>
  <c r="B25" i="12" s="1"/>
  <c r="F24" i="12" a="1"/>
  <c r="F24" i="12" s="1"/>
  <c r="E24" i="12" a="1"/>
  <c r="E24" i="12" s="1"/>
  <c r="D24" i="12" a="1"/>
  <c r="D24" i="12" s="1"/>
  <c r="C24" i="12" a="1"/>
  <c r="C24" i="12" s="1"/>
  <c r="B24" i="12" a="1"/>
  <c r="B24" i="12" s="1"/>
  <c r="F23" i="12" a="1"/>
  <c r="F23" i="12" s="1"/>
  <c r="E23" i="12" a="1"/>
  <c r="E23" i="12" s="1"/>
  <c r="D23" i="12" a="1"/>
  <c r="D23" i="12" s="1"/>
  <c r="C23" i="12" a="1"/>
  <c r="C23" i="12" s="1"/>
  <c r="B23" i="12" a="1"/>
  <c r="B23" i="12" s="1"/>
  <c r="F22" i="12" a="1"/>
  <c r="F22" i="12" s="1"/>
  <c r="E22" i="12" a="1"/>
  <c r="E22" i="12" s="1"/>
  <c r="D22" i="12" a="1"/>
  <c r="D22" i="12" s="1"/>
  <c r="C22" i="12" a="1"/>
  <c r="C22" i="12" s="1"/>
  <c r="B22" i="12" a="1"/>
  <c r="B22" i="12" s="1"/>
  <c r="F21" i="12" a="1"/>
  <c r="F21" i="12" s="1"/>
  <c r="E21" i="12" a="1"/>
  <c r="E21" i="12" s="1"/>
  <c r="D21" i="12" a="1"/>
  <c r="D21" i="12" s="1"/>
  <c r="C21" i="12" a="1"/>
  <c r="C21" i="12" s="1"/>
  <c r="B21" i="12" a="1"/>
  <c r="B21" i="12" s="1"/>
  <c r="F20" i="12" a="1"/>
  <c r="F20" i="12" s="1"/>
  <c r="E20" i="12" a="1"/>
  <c r="E20" i="12" s="1"/>
  <c r="D20" i="12" a="1"/>
  <c r="D20" i="12" s="1"/>
  <c r="C20" i="12" a="1"/>
  <c r="C20" i="12" s="1"/>
  <c r="B20" i="12" a="1"/>
  <c r="B20" i="12" s="1"/>
  <c r="F19" i="12" a="1"/>
  <c r="F19" i="12" s="1"/>
  <c r="E19" i="12" a="1"/>
  <c r="E19" i="12" s="1"/>
  <c r="D19" i="12" a="1"/>
  <c r="D19" i="12" s="1"/>
  <c r="C19" i="12" a="1"/>
  <c r="C19" i="12" s="1"/>
  <c r="B19" i="12" a="1"/>
  <c r="B19" i="12" s="1"/>
  <c r="F18" i="12" a="1"/>
  <c r="F18" i="12" s="1"/>
  <c r="E18" i="12" a="1"/>
  <c r="E18" i="12" s="1"/>
  <c r="D18" i="12" a="1"/>
  <c r="D18" i="12" s="1"/>
  <c r="C18" i="12" a="1"/>
  <c r="C18" i="12" s="1"/>
  <c r="B18" i="12" a="1"/>
  <c r="B18" i="12" s="1"/>
  <c r="F17" i="12" a="1"/>
  <c r="F17" i="12" s="1"/>
  <c r="E17" i="12" a="1"/>
  <c r="E17" i="12" s="1"/>
  <c r="D17" i="12" a="1"/>
  <c r="D17" i="12" s="1"/>
  <c r="C17" i="12" a="1"/>
  <c r="C17" i="12" s="1"/>
  <c r="B17" i="12" a="1"/>
  <c r="B17" i="12" s="1"/>
  <c r="F16" i="12" a="1"/>
  <c r="F16" i="12" s="1"/>
  <c r="E16" i="12" a="1"/>
  <c r="E16" i="12" s="1"/>
  <c r="D16" i="12" a="1"/>
  <c r="D16" i="12" s="1"/>
  <c r="C16" i="12" a="1"/>
  <c r="C16" i="12" s="1"/>
  <c r="B16" i="12" a="1"/>
  <c r="B16" i="12" s="1"/>
  <c r="F15" i="12" a="1"/>
  <c r="F15" i="12" s="1"/>
  <c r="E15" i="12" a="1"/>
  <c r="E15" i="12" s="1"/>
  <c r="D15" i="12" a="1"/>
  <c r="D15" i="12" s="1"/>
  <c r="C15" i="12" a="1"/>
  <c r="C15" i="12" s="1"/>
  <c r="B15" i="12" a="1"/>
  <c r="B15" i="12" s="1"/>
  <c r="F14" i="12" a="1"/>
  <c r="F14" i="12" s="1"/>
  <c r="E14" i="12" a="1"/>
  <c r="E14" i="12" s="1"/>
  <c r="D14" i="12" a="1"/>
  <c r="D14" i="12" s="1"/>
  <c r="C14" i="12" a="1"/>
  <c r="C14" i="12" s="1"/>
  <c r="B14" i="12" a="1"/>
  <c r="B14" i="12" s="1"/>
  <c r="F13" i="12" a="1"/>
  <c r="F13" i="12" s="1"/>
  <c r="E13" i="12" a="1"/>
  <c r="E13" i="12" s="1"/>
  <c r="D13" i="12" a="1"/>
  <c r="D13" i="12" s="1"/>
  <c r="C13" i="12" a="1"/>
  <c r="C13" i="12" s="1"/>
  <c r="B13" i="12" a="1"/>
  <c r="B13" i="12" s="1"/>
  <c r="F12" i="12" a="1"/>
  <c r="F12" i="12" s="1"/>
  <c r="E12" i="12" a="1"/>
  <c r="E12" i="12" s="1"/>
  <c r="D12" i="12" a="1"/>
  <c r="D12" i="12" s="1"/>
  <c r="C12" i="12" a="1"/>
  <c r="C12" i="12" s="1"/>
  <c r="B12" i="12" a="1"/>
  <c r="B12" i="12" s="1"/>
  <c r="E8" i="12" a="1"/>
  <c r="E8" i="12" s="1"/>
  <c r="B8" i="12"/>
  <c r="B7" i="12"/>
  <c r="B6" i="12"/>
  <c r="E5" i="12"/>
  <c r="E6" i="12" s="1"/>
  <c r="B5" i="12"/>
  <c r="E4" i="12"/>
  <c r="B4" i="12"/>
  <c r="I3" i="12"/>
  <c r="A1" i="12"/>
  <c r="F74" i="11" a="1"/>
  <c r="F74" i="11" s="1"/>
  <c r="E74" i="11" a="1"/>
  <c r="E74" i="11" s="1"/>
  <c r="D74" i="11" a="1"/>
  <c r="D74" i="11" s="1"/>
  <c r="C74" i="11" a="1"/>
  <c r="C74" i="11" s="1"/>
  <c r="B74" i="11" a="1"/>
  <c r="B74" i="11" s="1"/>
  <c r="A74" i="11" s="1"/>
  <c r="F73" i="11" a="1"/>
  <c r="F73" i="11" s="1"/>
  <c r="E73" i="11" a="1"/>
  <c r="E73" i="11" s="1"/>
  <c r="D73" i="11" a="1"/>
  <c r="D73" i="11" s="1"/>
  <c r="C73" i="11" a="1"/>
  <c r="C73" i="11" s="1"/>
  <c r="B73" i="11" a="1"/>
  <c r="B73" i="11" s="1"/>
  <c r="A73" i="11" s="1"/>
  <c r="F72" i="11" a="1"/>
  <c r="F72" i="11" s="1"/>
  <c r="E72" i="11" a="1"/>
  <c r="E72" i="11" s="1"/>
  <c r="D72" i="11" a="1"/>
  <c r="D72" i="11" s="1"/>
  <c r="C72" i="11" a="1"/>
  <c r="C72" i="11" s="1"/>
  <c r="B72" i="11" a="1"/>
  <c r="B72" i="11" s="1"/>
  <c r="F71" i="11" a="1"/>
  <c r="F71" i="11" s="1"/>
  <c r="E71" i="11" a="1"/>
  <c r="E71" i="11" s="1"/>
  <c r="D71" i="11" a="1"/>
  <c r="D71" i="11" s="1"/>
  <c r="C71" i="11" a="1"/>
  <c r="C71" i="11" s="1"/>
  <c r="B71" i="11" a="1"/>
  <c r="B71" i="11" s="1"/>
  <c r="F70" i="11" a="1"/>
  <c r="F70" i="11" s="1"/>
  <c r="E70" i="11" a="1"/>
  <c r="E70" i="11" s="1"/>
  <c r="D70" i="11" a="1"/>
  <c r="D70" i="11" s="1"/>
  <c r="C70" i="11" a="1"/>
  <c r="C70" i="11" s="1"/>
  <c r="B70" i="11" a="1"/>
  <c r="B70" i="11" s="1"/>
  <c r="A70" i="11" s="1"/>
  <c r="F69" i="11" a="1"/>
  <c r="F69" i="11" s="1"/>
  <c r="E69" i="11" a="1"/>
  <c r="E69" i="11" s="1"/>
  <c r="D69" i="11" a="1"/>
  <c r="D69" i="11" s="1"/>
  <c r="C69" i="11" a="1"/>
  <c r="C69" i="11" s="1"/>
  <c r="B69" i="11" a="1"/>
  <c r="B69" i="11" s="1"/>
  <c r="A69" i="11" s="1"/>
  <c r="F68" i="11" a="1"/>
  <c r="F68" i="11" s="1"/>
  <c r="E68" i="11" a="1"/>
  <c r="E68" i="11" s="1"/>
  <c r="D68" i="11" a="1"/>
  <c r="D68" i="11" s="1"/>
  <c r="C68" i="11" a="1"/>
  <c r="C68" i="11" s="1"/>
  <c r="B68" i="11" a="1"/>
  <c r="B68" i="11" s="1"/>
  <c r="F67" i="11" a="1"/>
  <c r="F67" i="11" s="1"/>
  <c r="E67" i="11" a="1"/>
  <c r="E67" i="11" s="1"/>
  <c r="D67" i="11" a="1"/>
  <c r="D67" i="11" s="1"/>
  <c r="C67" i="11" a="1"/>
  <c r="C67" i="11" s="1"/>
  <c r="B67" i="11" a="1"/>
  <c r="B67" i="11" s="1"/>
  <c r="F66" i="11" a="1"/>
  <c r="F66" i="11" s="1"/>
  <c r="E66" i="11" a="1"/>
  <c r="E66" i="11" s="1"/>
  <c r="D66" i="11" a="1"/>
  <c r="D66" i="11" s="1"/>
  <c r="C66" i="11" a="1"/>
  <c r="C66" i="11" s="1"/>
  <c r="B66" i="11" a="1"/>
  <c r="B66" i="11" s="1"/>
  <c r="A66" i="11" s="1"/>
  <c r="F65" i="11" a="1"/>
  <c r="F65" i="11" s="1"/>
  <c r="E65" i="11" a="1"/>
  <c r="E65" i="11" s="1"/>
  <c r="D65" i="11" a="1"/>
  <c r="D65" i="11" s="1"/>
  <c r="C65" i="11" a="1"/>
  <c r="C65" i="11" s="1"/>
  <c r="B65" i="11" a="1"/>
  <c r="B65" i="11" s="1"/>
  <c r="A65" i="11" s="1"/>
  <c r="F64" i="11" a="1"/>
  <c r="F64" i="11" s="1"/>
  <c r="E64" i="11" a="1"/>
  <c r="E64" i="11" s="1"/>
  <c r="D64" i="11" a="1"/>
  <c r="D64" i="11" s="1"/>
  <c r="C64" i="11" a="1"/>
  <c r="C64" i="11" s="1"/>
  <c r="B64" i="11" a="1"/>
  <c r="B64" i="11" s="1"/>
  <c r="F63" i="11" a="1"/>
  <c r="F63" i="11" s="1"/>
  <c r="E63" i="11" a="1"/>
  <c r="E63" i="11" s="1"/>
  <c r="D63" i="11" a="1"/>
  <c r="D63" i="11" s="1"/>
  <c r="C63" i="11" a="1"/>
  <c r="C63" i="11" s="1"/>
  <c r="B63" i="11" a="1"/>
  <c r="B63" i="11" s="1"/>
  <c r="F62" i="11" a="1"/>
  <c r="F62" i="11" s="1"/>
  <c r="E62" i="11" a="1"/>
  <c r="E62" i="11" s="1"/>
  <c r="D62" i="11" a="1"/>
  <c r="D62" i="11" s="1"/>
  <c r="C62" i="11" a="1"/>
  <c r="C62" i="11" s="1"/>
  <c r="B62" i="11" a="1"/>
  <c r="B62" i="11" s="1"/>
  <c r="A62" i="11" s="1"/>
  <c r="F61" i="11" a="1"/>
  <c r="F61" i="11" s="1"/>
  <c r="E61" i="11" a="1"/>
  <c r="E61" i="11" s="1"/>
  <c r="D61" i="11" a="1"/>
  <c r="D61" i="11" s="1"/>
  <c r="C61" i="11" a="1"/>
  <c r="C61" i="11" s="1"/>
  <c r="B61" i="11" a="1"/>
  <c r="B61" i="11" s="1"/>
  <c r="A61" i="11" s="1"/>
  <c r="F60" i="11" a="1"/>
  <c r="F60" i="11" s="1"/>
  <c r="E60" i="11" a="1"/>
  <c r="E60" i="11" s="1"/>
  <c r="D60" i="11" a="1"/>
  <c r="D60" i="11" s="1"/>
  <c r="C60" i="11" a="1"/>
  <c r="C60" i="11" s="1"/>
  <c r="B60" i="11" a="1"/>
  <c r="B60" i="11" s="1"/>
  <c r="F59" i="11" a="1"/>
  <c r="F59" i="11" s="1"/>
  <c r="E59" i="11" a="1"/>
  <c r="E59" i="11" s="1"/>
  <c r="D59" i="11" a="1"/>
  <c r="D59" i="11" s="1"/>
  <c r="C59" i="11" a="1"/>
  <c r="C59" i="11" s="1"/>
  <c r="B59" i="11" a="1"/>
  <c r="B59" i="11" s="1"/>
  <c r="F58" i="11" a="1"/>
  <c r="F58" i="11" s="1"/>
  <c r="E58" i="11" a="1"/>
  <c r="E58" i="11" s="1"/>
  <c r="D58" i="11" a="1"/>
  <c r="D58" i="11" s="1"/>
  <c r="C58" i="11" a="1"/>
  <c r="C58" i="11" s="1"/>
  <c r="B58" i="11" a="1"/>
  <c r="B58" i="11" s="1"/>
  <c r="A58" i="11" s="1"/>
  <c r="F57" i="11" a="1"/>
  <c r="F57" i="11" s="1"/>
  <c r="E57" i="11" a="1"/>
  <c r="E57" i="11" s="1"/>
  <c r="D57" i="11" a="1"/>
  <c r="D57" i="11" s="1"/>
  <c r="C57" i="11" a="1"/>
  <c r="C57" i="11" s="1"/>
  <c r="B57" i="11" a="1"/>
  <c r="B57" i="11" s="1"/>
  <c r="A57" i="11" s="1"/>
  <c r="F56" i="11" a="1"/>
  <c r="F56" i="11" s="1"/>
  <c r="E56" i="11" a="1"/>
  <c r="E56" i="11" s="1"/>
  <c r="D56" i="11" a="1"/>
  <c r="D56" i="11" s="1"/>
  <c r="C56" i="11" a="1"/>
  <c r="C56" i="11" s="1"/>
  <c r="B56" i="11" a="1"/>
  <c r="B56" i="11" s="1"/>
  <c r="F55" i="11" a="1"/>
  <c r="F55" i="11" s="1"/>
  <c r="E55" i="11" a="1"/>
  <c r="E55" i="11" s="1"/>
  <c r="D55" i="11" a="1"/>
  <c r="D55" i="11" s="1"/>
  <c r="C55" i="11" a="1"/>
  <c r="C55" i="11" s="1"/>
  <c r="B55" i="11" a="1"/>
  <c r="B55" i="11" s="1"/>
  <c r="F54" i="11" a="1"/>
  <c r="F54" i="11" s="1"/>
  <c r="E54" i="11" a="1"/>
  <c r="E54" i="11" s="1"/>
  <c r="D54" i="11" a="1"/>
  <c r="D54" i="11" s="1"/>
  <c r="C54" i="11" a="1"/>
  <c r="C54" i="11" s="1"/>
  <c r="B54" i="11" a="1"/>
  <c r="B54" i="11" s="1"/>
  <c r="F53" i="11" a="1"/>
  <c r="F53" i="11" s="1"/>
  <c r="E53" i="11" a="1"/>
  <c r="E53" i="11" s="1"/>
  <c r="D53" i="11" a="1"/>
  <c r="D53" i="11" s="1"/>
  <c r="C53" i="11" a="1"/>
  <c r="C53" i="11" s="1"/>
  <c r="B53" i="11" a="1"/>
  <c r="B53" i="11" s="1"/>
  <c r="F52" i="11" a="1"/>
  <c r="F52" i="11" s="1"/>
  <c r="E52" i="11" a="1"/>
  <c r="E52" i="11" s="1"/>
  <c r="D52" i="11" a="1"/>
  <c r="D52" i="11" s="1"/>
  <c r="C52" i="11" a="1"/>
  <c r="C52" i="11" s="1"/>
  <c r="B52" i="11" a="1"/>
  <c r="B52" i="11" s="1"/>
  <c r="F51" i="11" a="1"/>
  <c r="F51" i="11" s="1"/>
  <c r="E51" i="11" a="1"/>
  <c r="E51" i="11" s="1"/>
  <c r="D51" i="11" a="1"/>
  <c r="D51" i="11" s="1"/>
  <c r="C51" i="11" a="1"/>
  <c r="C51" i="11" s="1"/>
  <c r="B51" i="11" a="1"/>
  <c r="B51" i="11" s="1"/>
  <c r="F50" i="11" a="1"/>
  <c r="F50" i="11" s="1"/>
  <c r="E50" i="11" a="1"/>
  <c r="E50" i="11" s="1"/>
  <c r="D50" i="11" a="1"/>
  <c r="D50" i="11" s="1"/>
  <c r="C50" i="11" a="1"/>
  <c r="C50" i="11" s="1"/>
  <c r="B50" i="11" a="1"/>
  <c r="B50" i="11" s="1"/>
  <c r="F49" i="11" a="1"/>
  <c r="F49" i="11" s="1"/>
  <c r="E49" i="11" a="1"/>
  <c r="E49" i="11" s="1"/>
  <c r="D49" i="11" a="1"/>
  <c r="D49" i="11" s="1"/>
  <c r="C49" i="11" a="1"/>
  <c r="C49" i="11" s="1"/>
  <c r="B49" i="11" a="1"/>
  <c r="B49" i="11" s="1"/>
  <c r="F48" i="11" a="1"/>
  <c r="F48" i="11" s="1"/>
  <c r="E48" i="11" a="1"/>
  <c r="E48" i="11" s="1"/>
  <c r="D48" i="11" a="1"/>
  <c r="D48" i="11" s="1"/>
  <c r="C48" i="11" a="1"/>
  <c r="C48" i="11" s="1"/>
  <c r="B48" i="11" a="1"/>
  <c r="B48" i="11" s="1"/>
  <c r="F47" i="11" a="1"/>
  <c r="F47" i="11" s="1"/>
  <c r="E47" i="11" a="1"/>
  <c r="E47" i="11" s="1"/>
  <c r="D47" i="11" a="1"/>
  <c r="D47" i="11" s="1"/>
  <c r="C47" i="11" a="1"/>
  <c r="C47" i="11" s="1"/>
  <c r="B47" i="11" a="1"/>
  <c r="B47" i="11" s="1"/>
  <c r="F46" i="11" a="1"/>
  <c r="F46" i="11" s="1"/>
  <c r="E46" i="11" a="1"/>
  <c r="E46" i="11" s="1"/>
  <c r="D46" i="11" a="1"/>
  <c r="D46" i="11" s="1"/>
  <c r="C46" i="11" a="1"/>
  <c r="C46" i="11" s="1"/>
  <c r="B46" i="11" a="1"/>
  <c r="B46" i="11" s="1"/>
  <c r="F45" i="11" a="1"/>
  <c r="F45" i="11" s="1"/>
  <c r="E45" i="11" a="1"/>
  <c r="E45" i="11" s="1"/>
  <c r="D45" i="11" a="1"/>
  <c r="D45" i="11" s="1"/>
  <c r="C45" i="11" a="1"/>
  <c r="C45" i="11" s="1"/>
  <c r="B45" i="11" a="1"/>
  <c r="B45" i="11" s="1"/>
  <c r="F41" i="11" a="1"/>
  <c r="F41" i="11" s="1"/>
  <c r="E41" i="11" a="1"/>
  <c r="E41" i="11"/>
  <c r="D41" i="11" a="1"/>
  <c r="D41" i="11" s="1"/>
  <c r="C41" i="11" a="1"/>
  <c r="C41" i="11"/>
  <c r="B41" i="11" a="1"/>
  <c r="B41" i="11" s="1"/>
  <c r="F40" i="11" a="1"/>
  <c r="F40" i="11" s="1"/>
  <c r="E40" i="11" a="1"/>
  <c r="E40" i="11"/>
  <c r="D40" i="11" a="1"/>
  <c r="D40" i="11" s="1"/>
  <c r="C40" i="11" a="1"/>
  <c r="C40" i="11"/>
  <c r="B40" i="11" a="1"/>
  <c r="B40" i="11" s="1"/>
  <c r="F39" i="11" a="1"/>
  <c r="F39" i="11" s="1"/>
  <c r="E39" i="11" a="1"/>
  <c r="E39" i="11"/>
  <c r="D39" i="11" a="1"/>
  <c r="D39" i="11" s="1"/>
  <c r="C39" i="11" a="1"/>
  <c r="C39" i="11"/>
  <c r="B39" i="11" a="1"/>
  <c r="B39" i="11" s="1"/>
  <c r="F38" i="11" a="1"/>
  <c r="F38" i="11" s="1"/>
  <c r="E38" i="11" a="1"/>
  <c r="E38" i="11"/>
  <c r="D38" i="11" a="1"/>
  <c r="D38" i="11" s="1"/>
  <c r="C38" i="11" a="1"/>
  <c r="C38" i="11"/>
  <c r="B38" i="11" a="1"/>
  <c r="B38" i="11" s="1"/>
  <c r="F37" i="11" a="1"/>
  <c r="F37" i="11" s="1"/>
  <c r="E37" i="11" a="1"/>
  <c r="E37" i="11"/>
  <c r="D37" i="11" a="1"/>
  <c r="D37" i="11" s="1"/>
  <c r="C37" i="11" a="1"/>
  <c r="C37" i="11"/>
  <c r="B37" i="11" a="1"/>
  <c r="B37" i="11" s="1"/>
  <c r="F36" i="11" a="1"/>
  <c r="F36" i="11" s="1"/>
  <c r="E36" i="11" a="1"/>
  <c r="E36" i="11"/>
  <c r="D36" i="11" a="1"/>
  <c r="D36" i="11" s="1"/>
  <c r="C36" i="11" a="1"/>
  <c r="C36" i="11"/>
  <c r="B36" i="11" a="1"/>
  <c r="B36" i="11" s="1"/>
  <c r="F35" i="11" a="1"/>
  <c r="F35" i="11" s="1"/>
  <c r="E35" i="11" a="1"/>
  <c r="E35" i="11"/>
  <c r="D35" i="11" a="1"/>
  <c r="D35" i="11" s="1"/>
  <c r="C35" i="11" a="1"/>
  <c r="C35" i="11"/>
  <c r="B35" i="11" a="1"/>
  <c r="B35" i="11" s="1"/>
  <c r="F34" i="11" a="1"/>
  <c r="F34" i="11" s="1"/>
  <c r="E34" i="11" a="1"/>
  <c r="E34" i="11"/>
  <c r="D34" i="11" a="1"/>
  <c r="D34" i="11" s="1"/>
  <c r="C34" i="11" a="1"/>
  <c r="C34" i="11"/>
  <c r="B34" i="11" a="1"/>
  <c r="B34" i="11" s="1"/>
  <c r="F33" i="11" a="1"/>
  <c r="F33" i="11" s="1"/>
  <c r="E33" i="11" a="1"/>
  <c r="E33" i="11"/>
  <c r="D33" i="11" a="1"/>
  <c r="D33" i="11" s="1"/>
  <c r="C33" i="11" a="1"/>
  <c r="C33" i="11"/>
  <c r="B33" i="11" a="1"/>
  <c r="B33" i="11" s="1"/>
  <c r="F32" i="11" a="1"/>
  <c r="F32" i="11" s="1"/>
  <c r="E32" i="11" a="1"/>
  <c r="E32" i="11"/>
  <c r="D32" i="11" a="1"/>
  <c r="D32" i="11" s="1"/>
  <c r="C32" i="11" a="1"/>
  <c r="C32" i="11"/>
  <c r="B32" i="11" a="1"/>
  <c r="B32" i="11" s="1"/>
  <c r="F31" i="11" a="1"/>
  <c r="F31" i="11" s="1"/>
  <c r="E31" i="11" a="1"/>
  <c r="E31" i="11"/>
  <c r="D31" i="11" a="1"/>
  <c r="D31" i="11" s="1"/>
  <c r="C31" i="11" a="1"/>
  <c r="C31" i="11"/>
  <c r="B31" i="11" a="1"/>
  <c r="B31" i="11" s="1"/>
  <c r="F30" i="11" a="1"/>
  <c r="F30" i="11" s="1"/>
  <c r="E30" i="11" a="1"/>
  <c r="E30" i="11"/>
  <c r="D30" i="11" a="1"/>
  <c r="D30" i="11" s="1"/>
  <c r="C30" i="11" a="1"/>
  <c r="C30" i="11"/>
  <c r="B30" i="11" a="1"/>
  <c r="B30" i="11" s="1"/>
  <c r="F29" i="11" a="1"/>
  <c r="F29" i="11" s="1"/>
  <c r="E29" i="11" a="1"/>
  <c r="E29" i="11"/>
  <c r="D29" i="11" a="1"/>
  <c r="D29" i="11" s="1"/>
  <c r="C29" i="11" a="1"/>
  <c r="C29" i="11"/>
  <c r="B29" i="11" a="1"/>
  <c r="B29" i="11" s="1"/>
  <c r="F28" i="11" a="1"/>
  <c r="F28" i="11" s="1"/>
  <c r="E28" i="11" a="1"/>
  <c r="E28" i="11"/>
  <c r="D28" i="11" a="1"/>
  <c r="D28" i="11" s="1"/>
  <c r="C28" i="11" a="1"/>
  <c r="C28" i="11"/>
  <c r="B28" i="11" a="1"/>
  <c r="B28" i="11" s="1"/>
  <c r="F27" i="11" a="1"/>
  <c r="F27" i="11" s="1"/>
  <c r="E27" i="11" a="1"/>
  <c r="E27" i="11"/>
  <c r="D27" i="11" a="1"/>
  <c r="D27" i="11" s="1"/>
  <c r="C27" i="11" a="1"/>
  <c r="C27" i="11"/>
  <c r="B27" i="11" a="1"/>
  <c r="B27" i="11" s="1"/>
  <c r="F26" i="11" a="1"/>
  <c r="F26" i="11" s="1"/>
  <c r="E26" i="11" a="1"/>
  <c r="E26" i="11"/>
  <c r="D26" i="11" a="1"/>
  <c r="D26" i="11" s="1"/>
  <c r="C26" i="11" a="1"/>
  <c r="C26" i="11"/>
  <c r="B26" i="11" a="1"/>
  <c r="B26" i="11" s="1"/>
  <c r="F25" i="11" a="1"/>
  <c r="F25" i="11" s="1"/>
  <c r="E25" i="11" a="1"/>
  <c r="E25" i="11"/>
  <c r="D25" i="11" a="1"/>
  <c r="D25" i="11" s="1"/>
  <c r="C25" i="11" a="1"/>
  <c r="C25" i="11"/>
  <c r="B25" i="11" a="1"/>
  <c r="B25" i="11" s="1"/>
  <c r="F24" i="11" a="1"/>
  <c r="F24" i="11" s="1"/>
  <c r="E24" i="11" a="1"/>
  <c r="E24" i="11"/>
  <c r="D24" i="11" a="1"/>
  <c r="D24" i="11" s="1"/>
  <c r="C24" i="11" a="1"/>
  <c r="C24" i="11"/>
  <c r="B24" i="11" a="1"/>
  <c r="B24" i="11" s="1"/>
  <c r="F23" i="11" a="1"/>
  <c r="F23" i="11" s="1"/>
  <c r="E23" i="11" a="1"/>
  <c r="E23" i="11"/>
  <c r="D23" i="11" a="1"/>
  <c r="D23" i="11" s="1"/>
  <c r="C23" i="11" a="1"/>
  <c r="C23" i="11" s="1"/>
  <c r="B23" i="11" a="1"/>
  <c r="B23" i="11" s="1"/>
  <c r="F22" i="11" a="1"/>
  <c r="F22" i="11" s="1"/>
  <c r="E22" i="11" a="1"/>
  <c r="E22" i="11" s="1"/>
  <c r="D22" i="11" a="1"/>
  <c r="D22" i="11" s="1"/>
  <c r="C22" i="11" a="1"/>
  <c r="C22" i="11" s="1"/>
  <c r="B22" i="11" a="1"/>
  <c r="B22" i="11" s="1"/>
  <c r="F21" i="11" a="1"/>
  <c r="F21" i="11" s="1"/>
  <c r="E21" i="11" a="1"/>
  <c r="E21" i="11" s="1"/>
  <c r="D21" i="11" a="1"/>
  <c r="D21" i="11" s="1"/>
  <c r="C21" i="11" a="1"/>
  <c r="C21" i="11" s="1"/>
  <c r="B21" i="11" a="1"/>
  <c r="B21" i="11" s="1"/>
  <c r="F20" i="11" a="1"/>
  <c r="F20" i="11" s="1"/>
  <c r="E20" i="11" a="1"/>
  <c r="E20" i="11" s="1"/>
  <c r="D20" i="11" a="1"/>
  <c r="D20" i="11" s="1"/>
  <c r="C20" i="11" a="1"/>
  <c r="C20" i="11" s="1"/>
  <c r="B20" i="11" a="1"/>
  <c r="B20" i="11" s="1"/>
  <c r="F19" i="11" a="1"/>
  <c r="F19" i="11" s="1"/>
  <c r="E19" i="11" a="1"/>
  <c r="E19" i="11" s="1"/>
  <c r="D19" i="11" a="1"/>
  <c r="D19" i="11" s="1"/>
  <c r="C19" i="11" a="1"/>
  <c r="C19" i="11" s="1"/>
  <c r="B19" i="11" a="1"/>
  <c r="B19" i="11" s="1"/>
  <c r="F18" i="11" a="1"/>
  <c r="F18" i="11" s="1"/>
  <c r="E18" i="11" a="1"/>
  <c r="E18" i="11" s="1"/>
  <c r="D18" i="11" a="1"/>
  <c r="D18" i="11" s="1"/>
  <c r="C18" i="11" a="1"/>
  <c r="C18" i="11" s="1"/>
  <c r="B18" i="11" a="1"/>
  <c r="B18" i="11" s="1"/>
  <c r="F17" i="11" a="1"/>
  <c r="F17" i="11" s="1"/>
  <c r="E17" i="11" a="1"/>
  <c r="E17" i="11" s="1"/>
  <c r="D17" i="11" a="1"/>
  <c r="D17" i="11" s="1"/>
  <c r="C17" i="11" a="1"/>
  <c r="C17" i="11" s="1"/>
  <c r="B17" i="11" a="1"/>
  <c r="B17" i="11" s="1"/>
  <c r="F16" i="11" a="1"/>
  <c r="F16" i="11" s="1"/>
  <c r="E16" i="11" a="1"/>
  <c r="E16" i="11" s="1"/>
  <c r="D16" i="11" a="1"/>
  <c r="D16" i="11" s="1"/>
  <c r="C16" i="11" a="1"/>
  <c r="C16" i="11" s="1"/>
  <c r="B16" i="11" a="1"/>
  <c r="B16" i="11" s="1"/>
  <c r="F15" i="11" a="1"/>
  <c r="F15" i="11" s="1"/>
  <c r="E15" i="11" a="1"/>
  <c r="E15" i="11" s="1"/>
  <c r="D15" i="11" a="1"/>
  <c r="D15" i="11" s="1"/>
  <c r="C15" i="11" a="1"/>
  <c r="C15" i="11" s="1"/>
  <c r="B15" i="11" a="1"/>
  <c r="B15" i="11" s="1"/>
  <c r="F14" i="11" a="1"/>
  <c r="F14" i="11" s="1"/>
  <c r="E14" i="11" a="1"/>
  <c r="E14" i="11" s="1"/>
  <c r="D14" i="11" a="1"/>
  <c r="D14" i="11" s="1"/>
  <c r="C14" i="11" a="1"/>
  <c r="C14" i="11" s="1"/>
  <c r="B14" i="11" a="1"/>
  <c r="B14" i="11" s="1"/>
  <c r="F13" i="11" a="1"/>
  <c r="F13" i="11" s="1"/>
  <c r="E13" i="11" a="1"/>
  <c r="E13" i="11" s="1"/>
  <c r="D13" i="11" a="1"/>
  <c r="D13" i="11" s="1"/>
  <c r="C13" i="11" a="1"/>
  <c r="C13" i="11" s="1"/>
  <c r="B13" i="11" a="1"/>
  <c r="B13" i="11" s="1"/>
  <c r="F12" i="11" a="1"/>
  <c r="F12" i="11" s="1"/>
  <c r="E12" i="11" a="1"/>
  <c r="E12" i="11" s="1"/>
  <c r="D12" i="11" a="1"/>
  <c r="D12" i="11" s="1"/>
  <c r="C12" i="11" a="1"/>
  <c r="C12" i="11" s="1"/>
  <c r="B12" i="11" a="1"/>
  <c r="B12" i="11" s="1"/>
  <c r="E8" i="11" a="1"/>
  <c r="E8" i="11" s="1"/>
  <c r="B8" i="11"/>
  <c r="B7" i="11"/>
  <c r="B6" i="11"/>
  <c r="E5" i="11"/>
  <c r="E6" i="11" s="1"/>
  <c r="B5" i="11"/>
  <c r="E4" i="11"/>
  <c r="B4" i="11"/>
  <c r="I3" i="11"/>
  <c r="A1" i="11"/>
  <c r="F74" i="10" a="1"/>
  <c r="F74" i="10" s="1"/>
  <c r="E74" i="10" a="1"/>
  <c r="E74" i="10" s="1"/>
  <c r="D74" i="10" a="1"/>
  <c r="D74" i="10" s="1"/>
  <c r="C74" i="10" a="1"/>
  <c r="C74" i="10" s="1"/>
  <c r="B74" i="10" a="1"/>
  <c r="B74" i="10" s="1"/>
  <c r="A74" i="10" s="1"/>
  <c r="F73" i="10" a="1"/>
  <c r="F73" i="10" s="1"/>
  <c r="E73" i="10" a="1"/>
  <c r="E73" i="10" s="1"/>
  <c r="D73" i="10" a="1"/>
  <c r="D73" i="10" s="1"/>
  <c r="C73" i="10" a="1"/>
  <c r="C73" i="10" s="1"/>
  <c r="B73" i="10" a="1"/>
  <c r="B73" i="10" s="1"/>
  <c r="A73" i="10" s="1"/>
  <c r="F72" i="10" a="1"/>
  <c r="F72" i="10" s="1"/>
  <c r="E72" i="10" a="1"/>
  <c r="E72" i="10" s="1"/>
  <c r="D72" i="10" a="1"/>
  <c r="D72" i="10" s="1"/>
  <c r="C72" i="10" a="1"/>
  <c r="C72" i="10" s="1"/>
  <c r="B72" i="10" a="1"/>
  <c r="B72" i="10" s="1"/>
  <c r="F71" i="10" a="1"/>
  <c r="F71" i="10" s="1"/>
  <c r="E71" i="10" a="1"/>
  <c r="E71" i="10" s="1"/>
  <c r="D71" i="10" a="1"/>
  <c r="D71" i="10" s="1"/>
  <c r="C71" i="10" a="1"/>
  <c r="C71" i="10" s="1"/>
  <c r="B71" i="10" a="1"/>
  <c r="B71" i="10" s="1"/>
  <c r="F70" i="10" a="1"/>
  <c r="F70" i="10" s="1"/>
  <c r="E70" i="10" a="1"/>
  <c r="E70" i="10" s="1"/>
  <c r="D70" i="10" a="1"/>
  <c r="D70" i="10" s="1"/>
  <c r="C70" i="10" a="1"/>
  <c r="C70" i="10" s="1"/>
  <c r="B70" i="10" a="1"/>
  <c r="B70" i="10" s="1"/>
  <c r="A70" i="10" s="1"/>
  <c r="F69" i="10" a="1"/>
  <c r="F69" i="10" s="1"/>
  <c r="E69" i="10" a="1"/>
  <c r="E69" i="10" s="1"/>
  <c r="D69" i="10" a="1"/>
  <c r="D69" i="10" s="1"/>
  <c r="C69" i="10" a="1"/>
  <c r="C69" i="10" s="1"/>
  <c r="B69" i="10" a="1"/>
  <c r="B69" i="10" s="1"/>
  <c r="A69" i="10" s="1"/>
  <c r="F68" i="10" a="1"/>
  <c r="F68" i="10" s="1"/>
  <c r="E68" i="10" a="1"/>
  <c r="E68" i="10" s="1"/>
  <c r="D68" i="10" a="1"/>
  <c r="D68" i="10" s="1"/>
  <c r="C68" i="10" a="1"/>
  <c r="C68" i="10" s="1"/>
  <c r="B68" i="10" a="1"/>
  <c r="B68" i="10" s="1"/>
  <c r="A68" i="10" s="1"/>
  <c r="F67" i="10" a="1"/>
  <c r="F67" i="10" s="1"/>
  <c r="E67" i="10" a="1"/>
  <c r="E67" i="10" s="1"/>
  <c r="D67" i="10" a="1"/>
  <c r="D67" i="10" s="1"/>
  <c r="C67" i="10" a="1"/>
  <c r="C67" i="10" s="1"/>
  <c r="B67" i="10" a="1"/>
  <c r="B67" i="10" s="1"/>
  <c r="A67" i="10" s="1"/>
  <c r="F66" i="10" a="1"/>
  <c r="F66" i="10" s="1"/>
  <c r="E66" i="10" a="1"/>
  <c r="E66" i="10" s="1"/>
  <c r="D66" i="10" a="1"/>
  <c r="D66" i="10" s="1"/>
  <c r="C66" i="10" a="1"/>
  <c r="C66" i="10" s="1"/>
  <c r="B66" i="10" a="1"/>
  <c r="B66" i="10" s="1"/>
  <c r="A66" i="10" s="1"/>
  <c r="F65" i="10" a="1"/>
  <c r="F65" i="10" s="1"/>
  <c r="E65" i="10" a="1"/>
  <c r="E65" i="10" s="1"/>
  <c r="D65" i="10" a="1"/>
  <c r="D65" i="10" s="1"/>
  <c r="C65" i="10" a="1"/>
  <c r="C65" i="10" s="1"/>
  <c r="B65" i="10" a="1"/>
  <c r="B65" i="10" s="1"/>
  <c r="A65" i="10" s="1"/>
  <c r="F64" i="10" a="1"/>
  <c r="F64" i="10" s="1"/>
  <c r="E64" i="10" a="1"/>
  <c r="E64" i="10" s="1"/>
  <c r="D64" i="10" a="1"/>
  <c r="D64" i="10" s="1"/>
  <c r="C64" i="10" a="1"/>
  <c r="C64" i="10" s="1"/>
  <c r="B64" i="10" a="1"/>
  <c r="B64" i="10" s="1"/>
  <c r="A64" i="10" s="1"/>
  <c r="F63" i="10" a="1"/>
  <c r="F63" i="10" s="1"/>
  <c r="E63" i="10" a="1"/>
  <c r="E63" i="10" s="1"/>
  <c r="D63" i="10" a="1"/>
  <c r="D63" i="10" s="1"/>
  <c r="C63" i="10" a="1"/>
  <c r="C63" i="10" s="1"/>
  <c r="B63" i="10" a="1"/>
  <c r="B63" i="10" s="1"/>
  <c r="F62" i="10" a="1"/>
  <c r="F62" i="10" s="1"/>
  <c r="E62" i="10" a="1"/>
  <c r="E62" i="10" s="1"/>
  <c r="D62" i="10" a="1"/>
  <c r="D62" i="10" s="1"/>
  <c r="C62" i="10" a="1"/>
  <c r="C62" i="10" s="1"/>
  <c r="B62" i="10" a="1"/>
  <c r="B62" i="10" s="1"/>
  <c r="F61" i="10" a="1"/>
  <c r="F61" i="10" s="1"/>
  <c r="E61" i="10" a="1"/>
  <c r="E61" i="10" s="1"/>
  <c r="D61" i="10" a="1"/>
  <c r="D61" i="10" s="1"/>
  <c r="C61" i="10" a="1"/>
  <c r="C61" i="10" s="1"/>
  <c r="B61" i="10" a="1"/>
  <c r="B61" i="10" s="1"/>
  <c r="F60" i="10" a="1"/>
  <c r="F60" i="10" s="1"/>
  <c r="E60" i="10" a="1"/>
  <c r="E60" i="10" s="1"/>
  <c r="D60" i="10" a="1"/>
  <c r="D60" i="10" s="1"/>
  <c r="C60" i="10" a="1"/>
  <c r="C60" i="10" s="1"/>
  <c r="B60" i="10" a="1"/>
  <c r="B60" i="10" s="1"/>
  <c r="F59" i="10" a="1"/>
  <c r="F59" i="10" s="1"/>
  <c r="E59" i="10" a="1"/>
  <c r="E59" i="10" s="1"/>
  <c r="D59" i="10" a="1"/>
  <c r="D59" i="10" s="1"/>
  <c r="C59" i="10" a="1"/>
  <c r="C59" i="10" s="1"/>
  <c r="B59" i="10" a="1"/>
  <c r="B59" i="10" s="1"/>
  <c r="F58" i="10" a="1"/>
  <c r="F58" i="10" s="1"/>
  <c r="E58" i="10" a="1"/>
  <c r="E58" i="10" s="1"/>
  <c r="D58" i="10" a="1"/>
  <c r="D58" i="10" s="1"/>
  <c r="C58" i="10" a="1"/>
  <c r="C58" i="10" s="1"/>
  <c r="B58" i="10" a="1"/>
  <c r="B58" i="10" s="1"/>
  <c r="F57" i="10" a="1"/>
  <c r="F57" i="10" s="1"/>
  <c r="E57" i="10" a="1"/>
  <c r="E57" i="10" s="1"/>
  <c r="D57" i="10" a="1"/>
  <c r="D57" i="10" s="1"/>
  <c r="C57" i="10" a="1"/>
  <c r="C57" i="10" s="1"/>
  <c r="B57" i="10" a="1"/>
  <c r="B57" i="10" s="1"/>
  <c r="F56" i="10" a="1"/>
  <c r="F56" i="10" s="1"/>
  <c r="E56" i="10" a="1"/>
  <c r="E56" i="10" s="1"/>
  <c r="D56" i="10" a="1"/>
  <c r="D56" i="10" s="1"/>
  <c r="C56" i="10" a="1"/>
  <c r="C56" i="10" s="1"/>
  <c r="B56" i="10" a="1"/>
  <c r="B56" i="10" s="1"/>
  <c r="F55" i="10" a="1"/>
  <c r="F55" i="10" s="1"/>
  <c r="E55" i="10" a="1"/>
  <c r="E55" i="10" s="1"/>
  <c r="D55" i="10" a="1"/>
  <c r="D55" i="10" s="1"/>
  <c r="C55" i="10" a="1"/>
  <c r="C55" i="10" s="1"/>
  <c r="B55" i="10" a="1"/>
  <c r="B55" i="10" s="1"/>
  <c r="F54" i="10" a="1"/>
  <c r="F54" i="10" s="1"/>
  <c r="E54" i="10" a="1"/>
  <c r="E54" i="10" s="1"/>
  <c r="D54" i="10" a="1"/>
  <c r="D54" i="10" s="1"/>
  <c r="C54" i="10" a="1"/>
  <c r="C54" i="10" s="1"/>
  <c r="B54" i="10" a="1"/>
  <c r="B54" i="10" s="1"/>
  <c r="F53" i="10" a="1"/>
  <c r="F53" i="10" s="1"/>
  <c r="E53" i="10" a="1"/>
  <c r="E53" i="10" s="1"/>
  <c r="D53" i="10" a="1"/>
  <c r="D53" i="10" s="1"/>
  <c r="C53" i="10" a="1"/>
  <c r="C53" i="10" s="1"/>
  <c r="B53" i="10" a="1"/>
  <c r="B53" i="10" s="1"/>
  <c r="F52" i="10" a="1"/>
  <c r="F52" i="10" s="1"/>
  <c r="E52" i="10" a="1"/>
  <c r="E52" i="10" s="1"/>
  <c r="D52" i="10" a="1"/>
  <c r="D52" i="10" s="1"/>
  <c r="C52" i="10" a="1"/>
  <c r="C52" i="10" s="1"/>
  <c r="B52" i="10" a="1"/>
  <c r="B52" i="10" s="1"/>
  <c r="F51" i="10" a="1"/>
  <c r="F51" i="10" s="1"/>
  <c r="E51" i="10" a="1"/>
  <c r="E51" i="10" s="1"/>
  <c r="D51" i="10" a="1"/>
  <c r="D51" i="10" s="1"/>
  <c r="C51" i="10" a="1"/>
  <c r="C51" i="10" s="1"/>
  <c r="B51" i="10" a="1"/>
  <c r="B51" i="10" s="1"/>
  <c r="F50" i="10" a="1"/>
  <c r="F50" i="10" s="1"/>
  <c r="E50" i="10" a="1"/>
  <c r="E50" i="10" s="1"/>
  <c r="D50" i="10" a="1"/>
  <c r="D50" i="10" s="1"/>
  <c r="C50" i="10" a="1"/>
  <c r="C50" i="10" s="1"/>
  <c r="B50" i="10" a="1"/>
  <c r="B50" i="10" s="1"/>
  <c r="G50" i="10" s="1"/>
  <c r="F49" i="10" a="1"/>
  <c r="F49" i="10" s="1"/>
  <c r="E49" i="10" a="1"/>
  <c r="E49" i="10" s="1"/>
  <c r="D49" i="10" a="1"/>
  <c r="D49" i="10" s="1"/>
  <c r="C49" i="10" a="1"/>
  <c r="C49" i="10" s="1"/>
  <c r="B49" i="10" a="1"/>
  <c r="B49" i="10" s="1"/>
  <c r="G49" i="10" s="1"/>
  <c r="F48" i="10" a="1"/>
  <c r="F48" i="10" s="1"/>
  <c r="E48" i="10" a="1"/>
  <c r="E48" i="10" s="1"/>
  <c r="D48" i="10" a="1"/>
  <c r="D48" i="10" s="1"/>
  <c r="C48" i="10" a="1"/>
  <c r="C48" i="10" s="1"/>
  <c r="B48" i="10" a="1"/>
  <c r="B48" i="10" s="1"/>
  <c r="G48" i="10" s="1"/>
  <c r="F47" i="10" a="1"/>
  <c r="F47" i="10" s="1"/>
  <c r="E47" i="10" a="1"/>
  <c r="E47" i="10" s="1"/>
  <c r="D47" i="10" a="1"/>
  <c r="D47" i="10" s="1"/>
  <c r="C47" i="10" a="1"/>
  <c r="C47" i="10" s="1"/>
  <c r="B47" i="10" a="1"/>
  <c r="B47" i="10" s="1"/>
  <c r="G47" i="10" s="1"/>
  <c r="F46" i="10" a="1"/>
  <c r="F46" i="10" s="1"/>
  <c r="E46" i="10" a="1"/>
  <c r="E46" i="10" s="1"/>
  <c r="D46" i="10" a="1"/>
  <c r="D46" i="10" s="1"/>
  <c r="C46" i="10" a="1"/>
  <c r="C46" i="10" s="1"/>
  <c r="B46" i="10" a="1"/>
  <c r="B46" i="10" s="1"/>
  <c r="G46" i="10" s="1"/>
  <c r="F45" i="10" a="1"/>
  <c r="F45" i="10" s="1"/>
  <c r="E45" i="10" a="1"/>
  <c r="E45" i="10" s="1"/>
  <c r="D45" i="10" a="1"/>
  <c r="D45" i="10" s="1"/>
  <c r="C45" i="10" a="1"/>
  <c r="C45" i="10" s="1"/>
  <c r="B45" i="10" a="1"/>
  <c r="B45" i="10" s="1"/>
  <c r="G45" i="10" s="1"/>
  <c r="F41" i="10" a="1"/>
  <c r="F41" i="10" s="1"/>
  <c r="E41" i="10" a="1"/>
  <c r="E41" i="10" s="1"/>
  <c r="D41" i="10" a="1"/>
  <c r="D41" i="10" s="1"/>
  <c r="C41" i="10" a="1"/>
  <c r="C41" i="10" s="1"/>
  <c r="B41" i="10" a="1"/>
  <c r="B41" i="10" s="1"/>
  <c r="G41" i="10" s="1"/>
  <c r="A41" i="10"/>
  <c r="F40" i="10" a="1"/>
  <c r="F40" i="10" s="1"/>
  <c r="E40" i="10" a="1"/>
  <c r="E40" i="10" s="1"/>
  <c r="D40" i="10" a="1"/>
  <c r="D40" i="10" s="1"/>
  <c r="C40" i="10" a="1"/>
  <c r="C40" i="10" s="1"/>
  <c r="B40" i="10" a="1"/>
  <c r="B40" i="10" s="1"/>
  <c r="G40" i="10" s="1"/>
  <c r="A40" i="10"/>
  <c r="F39" i="10" a="1"/>
  <c r="F39" i="10" s="1"/>
  <c r="E39" i="10" a="1"/>
  <c r="E39" i="10" s="1"/>
  <c r="D39" i="10" a="1"/>
  <c r="D39" i="10" s="1"/>
  <c r="C39" i="10" a="1"/>
  <c r="C39" i="10" s="1"/>
  <c r="B39" i="10" a="1"/>
  <c r="B39" i="10" s="1"/>
  <c r="G39" i="10" s="1"/>
  <c r="A39" i="10"/>
  <c r="F38" i="10" a="1"/>
  <c r="F38" i="10" s="1"/>
  <c r="E38" i="10" a="1"/>
  <c r="E38" i="10" s="1"/>
  <c r="D38" i="10" a="1"/>
  <c r="D38" i="10" s="1"/>
  <c r="C38" i="10" a="1"/>
  <c r="C38" i="10" s="1"/>
  <c r="B38" i="10" a="1"/>
  <c r="B38" i="10" s="1"/>
  <c r="G38" i="10" s="1"/>
  <c r="A38" i="10"/>
  <c r="F37" i="10" a="1"/>
  <c r="F37" i="10" s="1"/>
  <c r="E37" i="10" a="1"/>
  <c r="E37" i="10" s="1"/>
  <c r="D37" i="10" a="1"/>
  <c r="D37" i="10" s="1"/>
  <c r="C37" i="10" a="1"/>
  <c r="C37" i="10" s="1"/>
  <c r="B37" i="10" a="1"/>
  <c r="B37" i="10" s="1"/>
  <c r="G37" i="10" s="1"/>
  <c r="A37" i="10"/>
  <c r="F36" i="10" a="1"/>
  <c r="F36" i="10" s="1"/>
  <c r="E36" i="10" a="1"/>
  <c r="E36" i="10" s="1"/>
  <c r="D36" i="10" a="1"/>
  <c r="D36" i="10" s="1"/>
  <c r="C36" i="10" a="1"/>
  <c r="C36" i="10" s="1"/>
  <c r="B36" i="10" a="1"/>
  <c r="B36" i="10" s="1"/>
  <c r="G36" i="10" s="1"/>
  <c r="A36" i="10"/>
  <c r="F35" i="10" a="1"/>
  <c r="F35" i="10" s="1"/>
  <c r="E35" i="10" a="1"/>
  <c r="E35" i="10"/>
  <c r="D35" i="10" a="1"/>
  <c r="D35" i="10" s="1"/>
  <c r="C35" i="10" a="1"/>
  <c r="C35" i="10" s="1"/>
  <c r="B35" i="10" a="1"/>
  <c r="B35" i="10" s="1"/>
  <c r="G35" i="10" s="1"/>
  <c r="G34" i="10"/>
  <c r="F34" i="10" a="1"/>
  <c r="F34" i="10" s="1"/>
  <c r="E34" i="10" a="1"/>
  <c r="E34" i="10" s="1"/>
  <c r="D34" i="10" a="1"/>
  <c r="D34" i="10" s="1"/>
  <c r="C34" i="10" a="1"/>
  <c r="C34" i="10"/>
  <c r="B34" i="10" a="1"/>
  <c r="B34" i="10" s="1"/>
  <c r="A34" i="10"/>
  <c r="F33" i="10" a="1"/>
  <c r="F33" i="10" s="1"/>
  <c r="E33" i="10" a="1"/>
  <c r="E33" i="10"/>
  <c r="D33" i="10" a="1"/>
  <c r="D33" i="10" s="1"/>
  <c r="C33" i="10" a="1"/>
  <c r="C33" i="10" s="1"/>
  <c r="B33" i="10" a="1"/>
  <c r="B33" i="10" s="1"/>
  <c r="G33" i="10" s="1"/>
  <c r="G32" i="10"/>
  <c r="F32" i="10" a="1"/>
  <c r="F32" i="10" s="1"/>
  <c r="E32" i="10" a="1"/>
  <c r="E32" i="10" s="1"/>
  <c r="D32" i="10" a="1"/>
  <c r="D32" i="10" s="1"/>
  <c r="C32" i="10" a="1"/>
  <c r="C32" i="10"/>
  <c r="B32" i="10" a="1"/>
  <c r="B32" i="10" s="1"/>
  <c r="A32" i="10"/>
  <c r="F31" i="10" a="1"/>
  <c r="F31" i="10" s="1"/>
  <c r="E31" i="10" a="1"/>
  <c r="E31" i="10"/>
  <c r="D31" i="10" a="1"/>
  <c r="D31" i="10" s="1"/>
  <c r="C31" i="10" a="1"/>
  <c r="C31" i="10" s="1"/>
  <c r="B31" i="10" a="1"/>
  <c r="B31" i="10" s="1"/>
  <c r="G31" i="10" s="1"/>
  <c r="G30" i="10"/>
  <c r="F30" i="10" a="1"/>
  <c r="F30" i="10" s="1"/>
  <c r="E30" i="10" a="1"/>
  <c r="E30" i="10" s="1"/>
  <c r="D30" i="10" a="1"/>
  <c r="D30" i="10" s="1"/>
  <c r="C30" i="10" a="1"/>
  <c r="C30" i="10"/>
  <c r="B30" i="10" a="1"/>
  <c r="B30" i="10" s="1"/>
  <c r="A30" i="10"/>
  <c r="F29" i="10" a="1"/>
  <c r="F29" i="10" s="1"/>
  <c r="E29" i="10" a="1"/>
  <c r="E29" i="10"/>
  <c r="D29" i="10" a="1"/>
  <c r="D29" i="10" s="1"/>
  <c r="C29" i="10" a="1"/>
  <c r="C29" i="10" s="1"/>
  <c r="B29" i="10" a="1"/>
  <c r="B29" i="10" s="1"/>
  <c r="G29" i="10" s="1"/>
  <c r="G28" i="10"/>
  <c r="F28" i="10" a="1"/>
  <c r="F28" i="10" s="1"/>
  <c r="E28" i="10" a="1"/>
  <c r="E28" i="10" s="1"/>
  <c r="D28" i="10" a="1"/>
  <c r="D28" i="10" s="1"/>
  <c r="C28" i="10" a="1"/>
  <c r="C28" i="10"/>
  <c r="B28" i="10" a="1"/>
  <c r="B28" i="10" s="1"/>
  <c r="A28" i="10"/>
  <c r="F27" i="10" a="1"/>
  <c r="F27" i="10" s="1"/>
  <c r="E27" i="10" a="1"/>
  <c r="E27" i="10"/>
  <c r="D27" i="10" a="1"/>
  <c r="D27" i="10" s="1"/>
  <c r="C27" i="10" a="1"/>
  <c r="C27" i="10" s="1"/>
  <c r="B27" i="10" a="1"/>
  <c r="B27" i="10" s="1"/>
  <c r="G27" i="10" s="1"/>
  <c r="G26" i="10"/>
  <c r="F26" i="10" a="1"/>
  <c r="F26" i="10" s="1"/>
  <c r="E26" i="10" a="1"/>
  <c r="E26" i="10" s="1"/>
  <c r="D26" i="10" a="1"/>
  <c r="D26" i="10" s="1"/>
  <c r="C26" i="10" a="1"/>
  <c r="C26" i="10"/>
  <c r="B26" i="10" a="1"/>
  <c r="B26" i="10" s="1"/>
  <c r="A26" i="10"/>
  <c r="F25" i="10" a="1"/>
  <c r="F25" i="10" s="1"/>
  <c r="E25" i="10" a="1"/>
  <c r="E25" i="10"/>
  <c r="D25" i="10" a="1"/>
  <c r="D25" i="10" s="1"/>
  <c r="C25" i="10" a="1"/>
  <c r="C25" i="10" s="1"/>
  <c r="B25" i="10" a="1"/>
  <c r="B25" i="10" s="1"/>
  <c r="G25" i="10" s="1"/>
  <c r="G24" i="10"/>
  <c r="F24" i="10" a="1"/>
  <c r="F24" i="10" s="1"/>
  <c r="E24" i="10" a="1"/>
  <c r="E24" i="10" s="1"/>
  <c r="D24" i="10" a="1"/>
  <c r="D24" i="10" s="1"/>
  <c r="C24" i="10" a="1"/>
  <c r="C24" i="10"/>
  <c r="B24" i="10" a="1"/>
  <c r="B24" i="10" s="1"/>
  <c r="A24" i="10"/>
  <c r="F23" i="10" a="1"/>
  <c r="F23" i="10" s="1"/>
  <c r="E23" i="10" a="1"/>
  <c r="E23" i="10"/>
  <c r="D23" i="10" a="1"/>
  <c r="D23" i="10" s="1"/>
  <c r="C23" i="10" a="1"/>
  <c r="C23" i="10" s="1"/>
  <c r="B23" i="10" a="1"/>
  <c r="B23" i="10" s="1"/>
  <c r="G23" i="10" s="1"/>
  <c r="G22" i="10"/>
  <c r="F22" i="10" a="1"/>
  <c r="F22" i="10" s="1"/>
  <c r="E22" i="10" a="1"/>
  <c r="E22" i="10" s="1"/>
  <c r="D22" i="10" a="1"/>
  <c r="D22" i="10" s="1"/>
  <c r="C22" i="10" a="1"/>
  <c r="C22" i="10"/>
  <c r="B22" i="10" a="1"/>
  <c r="B22" i="10" s="1"/>
  <c r="A22" i="10"/>
  <c r="F21" i="10" a="1"/>
  <c r="F21" i="10" s="1"/>
  <c r="E21" i="10" a="1"/>
  <c r="E21" i="10"/>
  <c r="D21" i="10" a="1"/>
  <c r="D21" i="10" s="1"/>
  <c r="C21" i="10" a="1"/>
  <c r="C21" i="10" s="1"/>
  <c r="B21" i="10" a="1"/>
  <c r="B21" i="10" s="1"/>
  <c r="G21" i="10" s="1"/>
  <c r="G20" i="10"/>
  <c r="F20" i="10" a="1"/>
  <c r="F20" i="10" s="1"/>
  <c r="E20" i="10" a="1"/>
  <c r="E20" i="10" s="1"/>
  <c r="D20" i="10" a="1"/>
  <c r="D20" i="10" s="1"/>
  <c r="C20" i="10" a="1"/>
  <c r="C20" i="10"/>
  <c r="B20" i="10" a="1"/>
  <c r="B20" i="10" s="1"/>
  <c r="A20" i="10"/>
  <c r="F19" i="10" a="1"/>
  <c r="F19" i="10" s="1"/>
  <c r="E19" i="10" a="1"/>
  <c r="E19" i="10"/>
  <c r="D19" i="10" a="1"/>
  <c r="D19" i="10" s="1"/>
  <c r="C19" i="10" a="1"/>
  <c r="C19" i="10" s="1"/>
  <c r="B19" i="10" a="1"/>
  <c r="B19" i="10" s="1"/>
  <c r="G19" i="10" s="1"/>
  <c r="G18" i="10"/>
  <c r="F18" i="10" a="1"/>
  <c r="F18" i="10" s="1"/>
  <c r="E18" i="10" a="1"/>
  <c r="E18" i="10" s="1"/>
  <c r="D18" i="10" a="1"/>
  <c r="D18" i="10" s="1"/>
  <c r="C18" i="10" a="1"/>
  <c r="C18" i="10"/>
  <c r="B18" i="10" a="1"/>
  <c r="B18" i="10" s="1"/>
  <c r="A18" i="10"/>
  <c r="F17" i="10" a="1"/>
  <c r="F17" i="10" s="1"/>
  <c r="E17" i="10" a="1"/>
  <c r="E17" i="10"/>
  <c r="D17" i="10" a="1"/>
  <c r="D17" i="10" s="1"/>
  <c r="C17" i="10" a="1"/>
  <c r="C17" i="10" s="1"/>
  <c r="B17" i="10" a="1"/>
  <c r="B17" i="10" s="1"/>
  <c r="G17" i="10" s="1"/>
  <c r="G16" i="10"/>
  <c r="F16" i="10" a="1"/>
  <c r="F16" i="10" s="1"/>
  <c r="E16" i="10" a="1"/>
  <c r="E16" i="10" s="1"/>
  <c r="D16" i="10" a="1"/>
  <c r="D16" i="10" s="1"/>
  <c r="C16" i="10" a="1"/>
  <c r="C16" i="10"/>
  <c r="B16" i="10" a="1"/>
  <c r="B16" i="10" s="1"/>
  <c r="A16" i="10"/>
  <c r="F15" i="10" a="1"/>
  <c r="F15" i="10" s="1"/>
  <c r="E15" i="10" a="1"/>
  <c r="E15" i="10"/>
  <c r="D15" i="10" a="1"/>
  <c r="D15" i="10" s="1"/>
  <c r="C15" i="10" a="1"/>
  <c r="C15" i="10" s="1"/>
  <c r="B15" i="10" a="1"/>
  <c r="B15" i="10" s="1"/>
  <c r="G15" i="10" s="1"/>
  <c r="G14" i="10"/>
  <c r="F14" i="10" a="1"/>
  <c r="F14" i="10" s="1"/>
  <c r="E14" i="10" a="1"/>
  <c r="E14" i="10" s="1"/>
  <c r="D14" i="10" a="1"/>
  <c r="D14" i="10" s="1"/>
  <c r="C14" i="10" a="1"/>
  <c r="C14" i="10"/>
  <c r="B14" i="10" a="1"/>
  <c r="B14" i="10" s="1"/>
  <c r="A14" i="10"/>
  <c r="F13" i="10" a="1"/>
  <c r="F13" i="10" s="1"/>
  <c r="E13" i="10" a="1"/>
  <c r="E13" i="10"/>
  <c r="D13" i="10" a="1"/>
  <c r="D13" i="10" s="1"/>
  <c r="C13" i="10" a="1"/>
  <c r="C13" i="10" s="1"/>
  <c r="B13" i="10" a="1"/>
  <c r="B13" i="10" s="1"/>
  <c r="G13" i="10" s="1"/>
  <c r="G12" i="10"/>
  <c r="F12" i="10" a="1"/>
  <c r="F12" i="10" s="1"/>
  <c r="E12" i="10" a="1"/>
  <c r="E12" i="10" s="1"/>
  <c r="D12" i="10" a="1"/>
  <c r="D12" i="10" s="1"/>
  <c r="C12" i="10" a="1"/>
  <c r="C12" i="10"/>
  <c r="B12" i="10" a="1"/>
  <c r="B12" i="10" s="1"/>
  <c r="A12" i="10"/>
  <c r="E8" i="10" a="1"/>
  <c r="E8" i="10" s="1"/>
  <c r="B8" i="10"/>
  <c r="B7" i="10"/>
  <c r="B6" i="10"/>
  <c r="E5" i="10"/>
  <c r="E6" i="10" s="1"/>
  <c r="B5" i="10"/>
  <c r="E4" i="10"/>
  <c r="B4" i="10"/>
  <c r="I3" i="10"/>
  <c r="A1" i="10"/>
  <c r="F74" i="9" a="1"/>
  <c r="F74" i="9" s="1"/>
  <c r="E74" i="9" a="1"/>
  <c r="E74" i="9" s="1"/>
  <c r="D74" i="9" a="1"/>
  <c r="D74" i="9" s="1"/>
  <c r="C74" i="9" a="1"/>
  <c r="C74" i="9" s="1"/>
  <c r="B74" i="9" a="1"/>
  <c r="B74" i="9" s="1"/>
  <c r="F73" i="9" a="1"/>
  <c r="F73" i="9" s="1"/>
  <c r="E73" i="9" a="1"/>
  <c r="E73" i="9" s="1"/>
  <c r="D73" i="9" a="1"/>
  <c r="D73" i="9" s="1"/>
  <c r="C73" i="9" a="1"/>
  <c r="C73" i="9" s="1"/>
  <c r="B73" i="9" a="1"/>
  <c r="B73" i="9" s="1"/>
  <c r="A73" i="9" s="1"/>
  <c r="F72" i="9" a="1"/>
  <c r="F72" i="9" s="1"/>
  <c r="E72" i="9" a="1"/>
  <c r="E72" i="9" s="1"/>
  <c r="D72" i="9" a="1"/>
  <c r="D72" i="9" s="1"/>
  <c r="C72" i="9" a="1"/>
  <c r="C72" i="9" s="1"/>
  <c r="B72" i="9" a="1"/>
  <c r="B72" i="9" s="1"/>
  <c r="F71" i="9" a="1"/>
  <c r="F71" i="9" s="1"/>
  <c r="E71" i="9" a="1"/>
  <c r="E71" i="9" s="1"/>
  <c r="D71" i="9" a="1"/>
  <c r="D71" i="9" s="1"/>
  <c r="C71" i="9" a="1"/>
  <c r="C71" i="9" s="1"/>
  <c r="B71" i="9" a="1"/>
  <c r="B71" i="9" s="1"/>
  <c r="A71" i="9" s="1"/>
  <c r="F70" i="9" a="1"/>
  <c r="F70" i="9" s="1"/>
  <c r="E70" i="9" a="1"/>
  <c r="E70" i="9" s="1"/>
  <c r="D70" i="9" a="1"/>
  <c r="D70" i="9" s="1"/>
  <c r="C70" i="9" a="1"/>
  <c r="C70" i="9" s="1"/>
  <c r="B70" i="9" a="1"/>
  <c r="B70" i="9" s="1"/>
  <c r="F69" i="9" a="1"/>
  <c r="F69" i="9" s="1"/>
  <c r="E69" i="9" a="1"/>
  <c r="E69" i="9" s="1"/>
  <c r="D69" i="9" a="1"/>
  <c r="D69" i="9" s="1"/>
  <c r="C69" i="9" a="1"/>
  <c r="C69" i="9" s="1"/>
  <c r="B69" i="9" a="1"/>
  <c r="B69" i="9" s="1"/>
  <c r="G69" i="9" s="1"/>
  <c r="F68" i="9" a="1"/>
  <c r="F68" i="9" s="1"/>
  <c r="E68" i="9" a="1"/>
  <c r="E68" i="9" s="1"/>
  <c r="D68" i="9" a="1"/>
  <c r="D68" i="9" s="1"/>
  <c r="C68" i="9" a="1"/>
  <c r="C68" i="9" s="1"/>
  <c r="B68" i="9" a="1"/>
  <c r="B68" i="9" s="1"/>
  <c r="F67" i="9" a="1"/>
  <c r="F67" i="9" s="1"/>
  <c r="E67" i="9" a="1"/>
  <c r="E67" i="9" s="1"/>
  <c r="D67" i="9" a="1"/>
  <c r="D67" i="9" s="1"/>
  <c r="C67" i="9" a="1"/>
  <c r="C67" i="9" s="1"/>
  <c r="B67" i="9" a="1"/>
  <c r="B67" i="9" s="1"/>
  <c r="G67" i="9" s="1"/>
  <c r="F66" i="9" a="1"/>
  <c r="F66" i="9" s="1"/>
  <c r="E66" i="9" a="1"/>
  <c r="E66" i="9" s="1"/>
  <c r="D66" i="9" a="1"/>
  <c r="D66" i="9" s="1"/>
  <c r="C66" i="9" a="1"/>
  <c r="C66" i="9" s="1"/>
  <c r="B66" i="9" a="1"/>
  <c r="B66" i="9" s="1"/>
  <c r="F65" i="9" a="1"/>
  <c r="F65" i="9" s="1"/>
  <c r="E65" i="9" a="1"/>
  <c r="E65" i="9" s="1"/>
  <c r="D65" i="9" a="1"/>
  <c r="D65" i="9" s="1"/>
  <c r="C65" i="9" a="1"/>
  <c r="C65" i="9" s="1"/>
  <c r="B65" i="9" a="1"/>
  <c r="B65" i="9" s="1"/>
  <c r="G65" i="9" s="1"/>
  <c r="F64" i="9" a="1"/>
  <c r="F64" i="9" s="1"/>
  <c r="E64" i="9" a="1"/>
  <c r="E64" i="9" s="1"/>
  <c r="D64" i="9" a="1"/>
  <c r="D64" i="9" s="1"/>
  <c r="C64" i="9" a="1"/>
  <c r="C64" i="9" s="1"/>
  <c r="B64" i="9" a="1"/>
  <c r="B64" i="9" s="1"/>
  <c r="F63" i="9" a="1"/>
  <c r="F63" i="9" s="1"/>
  <c r="E63" i="9" a="1"/>
  <c r="E63" i="9" s="1"/>
  <c r="D63" i="9" a="1"/>
  <c r="D63" i="9" s="1"/>
  <c r="C63" i="9" a="1"/>
  <c r="C63" i="9" s="1"/>
  <c r="B63" i="9" a="1"/>
  <c r="B63" i="9" s="1"/>
  <c r="F62" i="9" a="1"/>
  <c r="F62" i="9" s="1"/>
  <c r="E62" i="9" a="1"/>
  <c r="E62" i="9" s="1"/>
  <c r="D62" i="9" a="1"/>
  <c r="D62" i="9" s="1"/>
  <c r="C62" i="9" a="1"/>
  <c r="C62" i="9" s="1"/>
  <c r="B62" i="9" a="1"/>
  <c r="B62" i="9" s="1"/>
  <c r="F61" i="9" a="1"/>
  <c r="F61" i="9" s="1"/>
  <c r="E61" i="9" a="1"/>
  <c r="E61" i="9" s="1"/>
  <c r="D61" i="9" a="1"/>
  <c r="D61" i="9" s="1"/>
  <c r="C61" i="9" a="1"/>
  <c r="C61" i="9" s="1"/>
  <c r="B61" i="9" a="1"/>
  <c r="B61" i="9" s="1"/>
  <c r="F60" i="9" a="1"/>
  <c r="F60" i="9" s="1"/>
  <c r="E60" i="9" a="1"/>
  <c r="E60" i="9" s="1"/>
  <c r="D60" i="9" a="1"/>
  <c r="D60" i="9" s="1"/>
  <c r="C60" i="9" a="1"/>
  <c r="C60" i="9" s="1"/>
  <c r="B60" i="9" a="1"/>
  <c r="B60" i="9" s="1"/>
  <c r="F59" i="9" a="1"/>
  <c r="F59" i="9" s="1"/>
  <c r="E59" i="9" a="1"/>
  <c r="E59" i="9" s="1"/>
  <c r="D59" i="9" a="1"/>
  <c r="D59" i="9" s="1"/>
  <c r="C59" i="9" a="1"/>
  <c r="C59" i="9" s="1"/>
  <c r="B59" i="9" a="1"/>
  <c r="B59" i="9" s="1"/>
  <c r="F58" i="9" a="1"/>
  <c r="F58" i="9" s="1"/>
  <c r="E58" i="9" a="1"/>
  <c r="E58" i="9" s="1"/>
  <c r="D58" i="9" a="1"/>
  <c r="D58" i="9" s="1"/>
  <c r="C58" i="9" a="1"/>
  <c r="C58" i="9" s="1"/>
  <c r="B58" i="9" a="1"/>
  <c r="B58" i="9" s="1"/>
  <c r="F57" i="9" a="1"/>
  <c r="F57" i="9" s="1"/>
  <c r="E57" i="9" a="1"/>
  <c r="E57" i="9" s="1"/>
  <c r="D57" i="9" a="1"/>
  <c r="D57" i="9" s="1"/>
  <c r="C57" i="9" a="1"/>
  <c r="C57" i="9" s="1"/>
  <c r="B57" i="9" a="1"/>
  <c r="B57" i="9" s="1"/>
  <c r="F56" i="9" a="1"/>
  <c r="F56" i="9" s="1"/>
  <c r="E56" i="9" a="1"/>
  <c r="E56" i="9" s="1"/>
  <c r="D56" i="9" a="1"/>
  <c r="D56" i="9" s="1"/>
  <c r="C56" i="9" a="1"/>
  <c r="C56" i="9" s="1"/>
  <c r="B56" i="9" a="1"/>
  <c r="B56" i="9" s="1"/>
  <c r="F55" i="9" a="1"/>
  <c r="F55" i="9" s="1"/>
  <c r="E55" i="9" a="1"/>
  <c r="E55" i="9" s="1"/>
  <c r="D55" i="9" a="1"/>
  <c r="D55" i="9" s="1"/>
  <c r="C55" i="9" a="1"/>
  <c r="C55" i="9" s="1"/>
  <c r="B55" i="9" a="1"/>
  <c r="B55" i="9" s="1"/>
  <c r="F54" i="9" a="1"/>
  <c r="F54" i="9" s="1"/>
  <c r="E54" i="9" a="1"/>
  <c r="E54" i="9" s="1"/>
  <c r="D54" i="9" a="1"/>
  <c r="D54" i="9" s="1"/>
  <c r="C54" i="9" a="1"/>
  <c r="C54" i="9" s="1"/>
  <c r="B54" i="9" a="1"/>
  <c r="B54" i="9" s="1"/>
  <c r="F53" i="9" a="1"/>
  <c r="F53" i="9" s="1"/>
  <c r="E53" i="9" a="1"/>
  <c r="E53" i="9" s="1"/>
  <c r="D53" i="9" a="1"/>
  <c r="D53" i="9" s="1"/>
  <c r="C53" i="9" a="1"/>
  <c r="C53" i="9" s="1"/>
  <c r="B53" i="9" a="1"/>
  <c r="B53" i="9" s="1"/>
  <c r="F52" i="9" a="1"/>
  <c r="F52" i="9" s="1"/>
  <c r="E52" i="9" a="1"/>
  <c r="E52" i="9" s="1"/>
  <c r="D52" i="9" a="1"/>
  <c r="D52" i="9" s="1"/>
  <c r="C52" i="9" a="1"/>
  <c r="C52" i="9" s="1"/>
  <c r="B52" i="9" a="1"/>
  <c r="B52" i="9" s="1"/>
  <c r="F51" i="9" a="1"/>
  <c r="F51" i="9" s="1"/>
  <c r="E51" i="9" a="1"/>
  <c r="E51" i="9" s="1"/>
  <c r="D51" i="9" a="1"/>
  <c r="D51" i="9" s="1"/>
  <c r="C51" i="9" a="1"/>
  <c r="C51" i="9" s="1"/>
  <c r="B51" i="9" a="1"/>
  <c r="B51" i="9" s="1"/>
  <c r="F50" i="9" a="1"/>
  <c r="F50" i="9" s="1"/>
  <c r="E50" i="9" a="1"/>
  <c r="E50" i="9" s="1"/>
  <c r="D50" i="9" a="1"/>
  <c r="D50" i="9" s="1"/>
  <c r="C50" i="9" a="1"/>
  <c r="C50" i="9" s="1"/>
  <c r="B50" i="9" a="1"/>
  <c r="B50" i="9" s="1"/>
  <c r="F49" i="9" a="1"/>
  <c r="F49" i="9" s="1"/>
  <c r="E49" i="9" a="1"/>
  <c r="E49" i="9" s="1"/>
  <c r="D49" i="9" a="1"/>
  <c r="D49" i="9" s="1"/>
  <c r="C49" i="9" a="1"/>
  <c r="C49" i="9" s="1"/>
  <c r="B49" i="9" a="1"/>
  <c r="B49" i="9" s="1"/>
  <c r="F48" i="9" a="1"/>
  <c r="F48" i="9" s="1"/>
  <c r="E48" i="9" a="1"/>
  <c r="E48" i="9" s="1"/>
  <c r="D48" i="9" a="1"/>
  <c r="D48" i="9" s="1"/>
  <c r="C48" i="9" a="1"/>
  <c r="C48" i="9" s="1"/>
  <c r="B48" i="9" a="1"/>
  <c r="B48" i="9" s="1"/>
  <c r="F47" i="9" a="1"/>
  <c r="F47" i="9" s="1"/>
  <c r="E47" i="9" a="1"/>
  <c r="E47" i="9" s="1"/>
  <c r="D47" i="9" a="1"/>
  <c r="D47" i="9" s="1"/>
  <c r="C47" i="9" a="1"/>
  <c r="C47" i="9" s="1"/>
  <c r="B47" i="9" a="1"/>
  <c r="B47" i="9" s="1"/>
  <c r="F46" i="9" a="1"/>
  <c r="F46" i="9" s="1"/>
  <c r="E46" i="9" a="1"/>
  <c r="E46" i="9" s="1"/>
  <c r="D46" i="9" a="1"/>
  <c r="D46" i="9" s="1"/>
  <c r="C46" i="9" a="1"/>
  <c r="C46" i="9" s="1"/>
  <c r="B46" i="9" a="1"/>
  <c r="B46" i="9" s="1"/>
  <c r="F45" i="9" a="1"/>
  <c r="F45" i="9" s="1"/>
  <c r="E45" i="9" a="1"/>
  <c r="E45" i="9" s="1"/>
  <c r="D45" i="9" a="1"/>
  <c r="D45" i="9" s="1"/>
  <c r="C45" i="9" a="1"/>
  <c r="C45" i="9" s="1"/>
  <c r="B45" i="9" a="1"/>
  <c r="B45" i="9" s="1"/>
  <c r="F41" i="9" a="1"/>
  <c r="F41" i="9" s="1"/>
  <c r="E41" i="9" a="1"/>
  <c r="E41" i="9" s="1"/>
  <c r="D41" i="9" a="1"/>
  <c r="D41" i="9" s="1"/>
  <c r="C41" i="9" a="1"/>
  <c r="C41" i="9" s="1"/>
  <c r="B41" i="9" a="1"/>
  <c r="B41" i="9" s="1"/>
  <c r="F40" i="9" a="1"/>
  <c r="F40" i="9" s="1"/>
  <c r="E40" i="9" a="1"/>
  <c r="E40" i="9" s="1"/>
  <c r="D40" i="9" a="1"/>
  <c r="D40" i="9" s="1"/>
  <c r="C40" i="9" a="1"/>
  <c r="C40" i="9" s="1"/>
  <c r="B40" i="9" a="1"/>
  <c r="B40" i="9" s="1"/>
  <c r="F39" i="9" a="1"/>
  <c r="F39" i="9" s="1"/>
  <c r="E39" i="9" a="1"/>
  <c r="E39" i="9" s="1"/>
  <c r="D39" i="9" a="1"/>
  <c r="D39" i="9" s="1"/>
  <c r="C39" i="9" a="1"/>
  <c r="C39" i="9" s="1"/>
  <c r="B39" i="9" a="1"/>
  <c r="B39" i="9" s="1"/>
  <c r="F38" i="9" a="1"/>
  <c r="F38" i="9" s="1"/>
  <c r="E38" i="9" a="1"/>
  <c r="E38" i="9" s="1"/>
  <c r="D38" i="9" a="1"/>
  <c r="D38" i="9" s="1"/>
  <c r="C38" i="9" a="1"/>
  <c r="C38" i="9" s="1"/>
  <c r="B38" i="9" a="1"/>
  <c r="B38" i="9" s="1"/>
  <c r="F37" i="9" a="1"/>
  <c r="F37" i="9" s="1"/>
  <c r="E37" i="9" a="1"/>
  <c r="E37" i="9" s="1"/>
  <c r="D37" i="9" a="1"/>
  <c r="D37" i="9" s="1"/>
  <c r="C37" i="9" a="1"/>
  <c r="C37" i="9" s="1"/>
  <c r="B37" i="9" a="1"/>
  <c r="B37" i="9" s="1"/>
  <c r="F36" i="9" a="1"/>
  <c r="F36" i="9" s="1"/>
  <c r="E36" i="9" a="1"/>
  <c r="E36" i="9" s="1"/>
  <c r="D36" i="9" a="1"/>
  <c r="D36" i="9" s="1"/>
  <c r="C36" i="9" a="1"/>
  <c r="C36" i="9" s="1"/>
  <c r="B36" i="9" a="1"/>
  <c r="B36" i="9" s="1"/>
  <c r="F35" i="9" a="1"/>
  <c r="F35" i="9" s="1"/>
  <c r="E35" i="9" a="1"/>
  <c r="E35" i="9" s="1"/>
  <c r="D35" i="9" a="1"/>
  <c r="D35" i="9" s="1"/>
  <c r="C35" i="9" a="1"/>
  <c r="C35" i="9" s="1"/>
  <c r="B35" i="9" a="1"/>
  <c r="B35" i="9" s="1"/>
  <c r="F34" i="9" a="1"/>
  <c r="F34" i="9" s="1"/>
  <c r="E34" i="9" a="1"/>
  <c r="E34" i="9" s="1"/>
  <c r="D34" i="9" a="1"/>
  <c r="D34" i="9" s="1"/>
  <c r="C34" i="9" a="1"/>
  <c r="C34" i="9" s="1"/>
  <c r="B34" i="9" a="1"/>
  <c r="B34" i="9" s="1"/>
  <c r="F33" i="9" a="1"/>
  <c r="F33" i="9" s="1"/>
  <c r="E33" i="9" a="1"/>
  <c r="E33" i="9" s="1"/>
  <c r="D33" i="9" a="1"/>
  <c r="D33" i="9" s="1"/>
  <c r="C33" i="9" a="1"/>
  <c r="C33" i="9" s="1"/>
  <c r="B33" i="9" a="1"/>
  <c r="B33" i="9" s="1"/>
  <c r="F32" i="9" a="1"/>
  <c r="F32" i="9" s="1"/>
  <c r="E32" i="9" a="1"/>
  <c r="E32" i="9" s="1"/>
  <c r="D32" i="9" a="1"/>
  <c r="D32" i="9" s="1"/>
  <c r="C32" i="9" a="1"/>
  <c r="C32" i="9" s="1"/>
  <c r="B32" i="9" a="1"/>
  <c r="B32" i="9" s="1"/>
  <c r="F31" i="9" a="1"/>
  <c r="F31" i="9" s="1"/>
  <c r="E31" i="9" a="1"/>
  <c r="E31" i="9" s="1"/>
  <c r="D31" i="9" a="1"/>
  <c r="D31" i="9" s="1"/>
  <c r="C31" i="9" a="1"/>
  <c r="C31" i="9" s="1"/>
  <c r="B31" i="9" a="1"/>
  <c r="B31" i="9" s="1"/>
  <c r="F30" i="9" a="1"/>
  <c r="F30" i="9" s="1"/>
  <c r="E30" i="9" a="1"/>
  <c r="E30" i="9" s="1"/>
  <c r="D30" i="9" a="1"/>
  <c r="D30" i="9" s="1"/>
  <c r="C30" i="9" a="1"/>
  <c r="C30" i="9" s="1"/>
  <c r="B30" i="9" a="1"/>
  <c r="B30" i="9" s="1"/>
  <c r="F29" i="9" a="1"/>
  <c r="F29" i="9" s="1"/>
  <c r="E29" i="9" a="1"/>
  <c r="E29" i="9" s="1"/>
  <c r="D29" i="9" a="1"/>
  <c r="D29" i="9" s="1"/>
  <c r="C29" i="9" a="1"/>
  <c r="C29" i="9" s="1"/>
  <c r="B29" i="9" a="1"/>
  <c r="B29" i="9" s="1"/>
  <c r="F28" i="9" a="1"/>
  <c r="F28" i="9" s="1"/>
  <c r="E28" i="9" a="1"/>
  <c r="E28" i="9" s="1"/>
  <c r="D28" i="9" a="1"/>
  <c r="D28" i="9" s="1"/>
  <c r="C28" i="9" a="1"/>
  <c r="C28" i="9" s="1"/>
  <c r="B28" i="9" a="1"/>
  <c r="B28" i="9" s="1"/>
  <c r="F27" i="9" a="1"/>
  <c r="F27" i="9" s="1"/>
  <c r="E27" i="9" a="1"/>
  <c r="E27" i="9" s="1"/>
  <c r="D27" i="9" a="1"/>
  <c r="D27" i="9" s="1"/>
  <c r="C27" i="9" a="1"/>
  <c r="C27" i="9" s="1"/>
  <c r="B27" i="9" a="1"/>
  <c r="B27" i="9" s="1"/>
  <c r="F26" i="9" a="1"/>
  <c r="F26" i="9" s="1"/>
  <c r="E26" i="9" a="1"/>
  <c r="E26" i="9" s="1"/>
  <c r="D26" i="9" a="1"/>
  <c r="D26" i="9" s="1"/>
  <c r="C26" i="9" a="1"/>
  <c r="C26" i="9" s="1"/>
  <c r="B26" i="9" a="1"/>
  <c r="B26" i="9" s="1"/>
  <c r="F25" i="9" a="1"/>
  <c r="F25" i="9" s="1"/>
  <c r="E25" i="9" a="1"/>
  <c r="E25" i="9" s="1"/>
  <c r="D25" i="9" a="1"/>
  <c r="D25" i="9" s="1"/>
  <c r="C25" i="9" a="1"/>
  <c r="C25" i="9" s="1"/>
  <c r="B25" i="9" a="1"/>
  <c r="B25" i="9" s="1"/>
  <c r="F24" i="9" a="1"/>
  <c r="F24" i="9" s="1"/>
  <c r="E24" i="9" a="1"/>
  <c r="E24" i="9" s="1"/>
  <c r="D24" i="9" a="1"/>
  <c r="D24" i="9" s="1"/>
  <c r="C24" i="9" a="1"/>
  <c r="C24" i="9" s="1"/>
  <c r="B24" i="9" a="1"/>
  <c r="B24" i="9" s="1"/>
  <c r="F23" i="9" a="1"/>
  <c r="F23" i="9" s="1"/>
  <c r="E23" i="9" a="1"/>
  <c r="E23" i="9" s="1"/>
  <c r="D23" i="9" a="1"/>
  <c r="D23" i="9" s="1"/>
  <c r="C23" i="9" a="1"/>
  <c r="C23" i="9" s="1"/>
  <c r="B23" i="9" a="1"/>
  <c r="B23" i="9" s="1"/>
  <c r="F22" i="9" a="1"/>
  <c r="F22" i="9" s="1"/>
  <c r="E22" i="9" a="1"/>
  <c r="E22" i="9" s="1"/>
  <c r="D22" i="9" a="1"/>
  <c r="D22" i="9" s="1"/>
  <c r="C22" i="9" a="1"/>
  <c r="C22" i="9" s="1"/>
  <c r="B22" i="9" a="1"/>
  <c r="B22" i="9" s="1"/>
  <c r="F21" i="9" a="1"/>
  <c r="F21" i="9" s="1"/>
  <c r="E21" i="9" a="1"/>
  <c r="E21" i="9" s="1"/>
  <c r="D21" i="9" a="1"/>
  <c r="D21" i="9" s="1"/>
  <c r="C21" i="9" a="1"/>
  <c r="C21" i="9" s="1"/>
  <c r="B21" i="9" a="1"/>
  <c r="B21" i="9" s="1"/>
  <c r="F20" i="9" a="1"/>
  <c r="F20" i="9" s="1"/>
  <c r="E20" i="9" a="1"/>
  <c r="E20" i="9" s="1"/>
  <c r="D20" i="9" a="1"/>
  <c r="D20" i="9" s="1"/>
  <c r="C20" i="9" a="1"/>
  <c r="C20" i="9" s="1"/>
  <c r="B20" i="9" a="1"/>
  <c r="B20" i="9" s="1"/>
  <c r="F19" i="9" a="1"/>
  <c r="F19" i="9" s="1"/>
  <c r="E19" i="9" a="1"/>
  <c r="E19" i="9" s="1"/>
  <c r="D19" i="9" a="1"/>
  <c r="D19" i="9" s="1"/>
  <c r="C19" i="9" a="1"/>
  <c r="C19" i="9" s="1"/>
  <c r="B19" i="9" a="1"/>
  <c r="B19" i="9" s="1"/>
  <c r="F18" i="9" a="1"/>
  <c r="F18" i="9" s="1"/>
  <c r="E18" i="9" a="1"/>
  <c r="E18" i="9" s="1"/>
  <c r="D18" i="9" a="1"/>
  <c r="D18" i="9" s="1"/>
  <c r="C18" i="9" a="1"/>
  <c r="C18" i="9" s="1"/>
  <c r="B18" i="9" a="1"/>
  <c r="B18" i="9" s="1"/>
  <c r="F17" i="9" a="1"/>
  <c r="F17" i="9" s="1"/>
  <c r="E17" i="9" a="1"/>
  <c r="E17" i="9" s="1"/>
  <c r="D17" i="9" a="1"/>
  <c r="D17" i="9" s="1"/>
  <c r="C17" i="9" a="1"/>
  <c r="C17" i="9" s="1"/>
  <c r="B17" i="9" a="1"/>
  <c r="B17" i="9" s="1"/>
  <c r="F16" i="9" a="1"/>
  <c r="F16" i="9" s="1"/>
  <c r="E16" i="9" a="1"/>
  <c r="E16" i="9" s="1"/>
  <c r="D16" i="9" a="1"/>
  <c r="D16" i="9" s="1"/>
  <c r="C16" i="9" a="1"/>
  <c r="C16" i="9" s="1"/>
  <c r="B16" i="9" a="1"/>
  <c r="B16" i="9" s="1"/>
  <c r="F15" i="9" a="1"/>
  <c r="F15" i="9" s="1"/>
  <c r="E15" i="9" a="1"/>
  <c r="E15" i="9" s="1"/>
  <c r="D15" i="9" a="1"/>
  <c r="D15" i="9" s="1"/>
  <c r="C15" i="9" a="1"/>
  <c r="C15" i="9" s="1"/>
  <c r="B15" i="9" a="1"/>
  <c r="B15" i="9" s="1"/>
  <c r="F14" i="9" a="1"/>
  <c r="F14" i="9" s="1"/>
  <c r="E14" i="9" a="1"/>
  <c r="E14" i="9" s="1"/>
  <c r="D14" i="9" a="1"/>
  <c r="D14" i="9" s="1"/>
  <c r="C14" i="9" a="1"/>
  <c r="C14" i="9" s="1"/>
  <c r="B14" i="9" a="1"/>
  <c r="B14" i="9" s="1"/>
  <c r="F13" i="9" a="1"/>
  <c r="F13" i="9" s="1"/>
  <c r="E13" i="9" a="1"/>
  <c r="E13" i="9" s="1"/>
  <c r="D13" i="9" a="1"/>
  <c r="D13" i="9" s="1"/>
  <c r="C13" i="9" a="1"/>
  <c r="C13" i="9" s="1"/>
  <c r="B13" i="9" a="1"/>
  <c r="B13" i="9" s="1"/>
  <c r="F12" i="9" a="1"/>
  <c r="F12" i="9" s="1"/>
  <c r="E12" i="9" a="1"/>
  <c r="E12" i="9" s="1"/>
  <c r="D12" i="9" a="1"/>
  <c r="D12" i="9" s="1"/>
  <c r="C12" i="9" a="1"/>
  <c r="C12" i="9" s="1"/>
  <c r="B12" i="9" a="1"/>
  <c r="B12" i="9" s="1"/>
  <c r="E8" i="9" a="1"/>
  <c r="E8" i="9" s="1"/>
  <c r="B8" i="9"/>
  <c r="B7" i="9"/>
  <c r="B6" i="9"/>
  <c r="E5" i="9"/>
  <c r="E6" i="9" s="1"/>
  <c r="B5" i="9"/>
  <c r="E4" i="9"/>
  <c r="B4" i="9"/>
  <c r="I3" i="9"/>
  <c r="A1" i="9"/>
  <c r="F74" i="8" a="1"/>
  <c r="F74" i="8" s="1"/>
  <c r="E74" i="8" a="1"/>
  <c r="E74" i="8" s="1"/>
  <c r="D74" i="8" a="1"/>
  <c r="D74" i="8" s="1"/>
  <c r="C74" i="8" a="1"/>
  <c r="C74" i="8" s="1"/>
  <c r="B74" i="8" a="1"/>
  <c r="B74" i="8" s="1"/>
  <c r="F73" i="8" a="1"/>
  <c r="F73" i="8" s="1"/>
  <c r="E73" i="8" a="1"/>
  <c r="E73" i="8" s="1"/>
  <c r="D73" i="8" a="1"/>
  <c r="D73" i="8" s="1"/>
  <c r="C73" i="8" a="1"/>
  <c r="C73" i="8" s="1"/>
  <c r="B73" i="8" a="1"/>
  <c r="B73" i="8" s="1"/>
  <c r="A73" i="8" s="1"/>
  <c r="F72" i="8" a="1"/>
  <c r="F72" i="8" s="1"/>
  <c r="E72" i="8" a="1"/>
  <c r="E72" i="8" s="1"/>
  <c r="D72" i="8" a="1"/>
  <c r="D72" i="8" s="1"/>
  <c r="C72" i="8" a="1"/>
  <c r="C72" i="8" s="1"/>
  <c r="B72" i="8" a="1"/>
  <c r="B72" i="8" s="1"/>
  <c r="F71" i="8" a="1"/>
  <c r="F71" i="8" s="1"/>
  <c r="E71" i="8" a="1"/>
  <c r="E71" i="8" s="1"/>
  <c r="D71" i="8" a="1"/>
  <c r="D71" i="8" s="1"/>
  <c r="C71" i="8" a="1"/>
  <c r="C71" i="8" s="1"/>
  <c r="B71" i="8" a="1"/>
  <c r="B71" i="8" s="1"/>
  <c r="F70" i="8" a="1"/>
  <c r="F70" i="8" s="1"/>
  <c r="E70" i="8" a="1"/>
  <c r="E70" i="8" s="1"/>
  <c r="D70" i="8" a="1"/>
  <c r="D70" i="8" s="1"/>
  <c r="C70" i="8" a="1"/>
  <c r="C70" i="8" s="1"/>
  <c r="B70" i="8" a="1"/>
  <c r="B70" i="8" s="1"/>
  <c r="F69" i="8" a="1"/>
  <c r="F69" i="8" s="1"/>
  <c r="E69" i="8" a="1"/>
  <c r="E69" i="8" s="1"/>
  <c r="D69" i="8" a="1"/>
  <c r="D69" i="8" s="1"/>
  <c r="C69" i="8" a="1"/>
  <c r="C69" i="8" s="1"/>
  <c r="B69" i="8" a="1"/>
  <c r="B69" i="8" s="1"/>
  <c r="A69" i="8" s="1"/>
  <c r="F68" i="8" a="1"/>
  <c r="F68" i="8" s="1"/>
  <c r="E68" i="8" a="1"/>
  <c r="E68" i="8" s="1"/>
  <c r="D68" i="8" a="1"/>
  <c r="D68" i="8" s="1"/>
  <c r="C68" i="8" a="1"/>
  <c r="C68" i="8" s="1"/>
  <c r="B68" i="8" a="1"/>
  <c r="B68" i="8" s="1"/>
  <c r="F67" i="8" a="1"/>
  <c r="F67" i="8" s="1"/>
  <c r="E67" i="8" a="1"/>
  <c r="E67" i="8" s="1"/>
  <c r="D67" i="8" a="1"/>
  <c r="D67" i="8" s="1"/>
  <c r="C67" i="8" a="1"/>
  <c r="C67" i="8" s="1"/>
  <c r="B67" i="8" a="1"/>
  <c r="B67" i="8" s="1"/>
  <c r="F66" i="8" a="1"/>
  <c r="F66" i="8" s="1"/>
  <c r="E66" i="8" a="1"/>
  <c r="E66" i="8" s="1"/>
  <c r="D66" i="8" a="1"/>
  <c r="D66" i="8" s="1"/>
  <c r="C66" i="8" a="1"/>
  <c r="C66" i="8" s="1"/>
  <c r="B66" i="8" a="1"/>
  <c r="B66" i="8" s="1"/>
  <c r="A66" i="8" s="1"/>
  <c r="F65" i="8" a="1"/>
  <c r="F65" i="8" s="1"/>
  <c r="E65" i="8" a="1"/>
  <c r="E65" i="8" s="1"/>
  <c r="D65" i="8" a="1"/>
  <c r="D65" i="8" s="1"/>
  <c r="C65" i="8" a="1"/>
  <c r="C65" i="8" s="1"/>
  <c r="B65" i="8" a="1"/>
  <c r="B65" i="8" s="1"/>
  <c r="A65" i="8" s="1"/>
  <c r="F64" i="8" a="1"/>
  <c r="F64" i="8" s="1"/>
  <c r="E64" i="8" a="1"/>
  <c r="E64" i="8" s="1"/>
  <c r="D64" i="8" a="1"/>
  <c r="D64" i="8" s="1"/>
  <c r="C64" i="8" a="1"/>
  <c r="C64" i="8" s="1"/>
  <c r="B64" i="8" a="1"/>
  <c r="B64" i="8" s="1"/>
  <c r="F63" i="8" a="1"/>
  <c r="F63" i="8" s="1"/>
  <c r="E63" i="8" a="1"/>
  <c r="E63" i="8" s="1"/>
  <c r="D63" i="8" a="1"/>
  <c r="D63" i="8" s="1"/>
  <c r="C63" i="8" a="1"/>
  <c r="C63" i="8" s="1"/>
  <c r="B63" i="8" a="1"/>
  <c r="B63" i="8" s="1"/>
  <c r="F62" i="8" a="1"/>
  <c r="F62" i="8" s="1"/>
  <c r="E62" i="8" a="1"/>
  <c r="E62" i="8" s="1"/>
  <c r="D62" i="8" a="1"/>
  <c r="D62" i="8" s="1"/>
  <c r="C62" i="8" a="1"/>
  <c r="C62" i="8" s="1"/>
  <c r="B62" i="8" a="1"/>
  <c r="B62" i="8" s="1"/>
  <c r="F61" i="8" a="1"/>
  <c r="F61" i="8" s="1"/>
  <c r="E61" i="8" a="1"/>
  <c r="E61" i="8" s="1"/>
  <c r="D61" i="8" a="1"/>
  <c r="D61" i="8" s="1"/>
  <c r="C61" i="8" a="1"/>
  <c r="C61" i="8" s="1"/>
  <c r="B61" i="8" a="1"/>
  <c r="B61" i="8" s="1"/>
  <c r="A61" i="8" s="1"/>
  <c r="F60" i="8" a="1"/>
  <c r="F60" i="8" s="1"/>
  <c r="E60" i="8" a="1"/>
  <c r="E60" i="8" s="1"/>
  <c r="D60" i="8" a="1"/>
  <c r="D60" i="8" s="1"/>
  <c r="C60" i="8" a="1"/>
  <c r="C60" i="8" s="1"/>
  <c r="B60" i="8" a="1"/>
  <c r="B60" i="8" s="1"/>
  <c r="F59" i="8" a="1"/>
  <c r="F59" i="8" s="1"/>
  <c r="E59" i="8" a="1"/>
  <c r="E59" i="8" s="1"/>
  <c r="D59" i="8" a="1"/>
  <c r="D59" i="8" s="1"/>
  <c r="C59" i="8" a="1"/>
  <c r="C59" i="8" s="1"/>
  <c r="B59" i="8" a="1"/>
  <c r="B59" i="8" s="1"/>
  <c r="F58" i="8" a="1"/>
  <c r="F58" i="8" s="1"/>
  <c r="E58" i="8" a="1"/>
  <c r="E58" i="8" s="1"/>
  <c r="D58" i="8" a="1"/>
  <c r="D58" i="8" s="1"/>
  <c r="C58" i="8" a="1"/>
  <c r="C58" i="8" s="1"/>
  <c r="B58" i="8" a="1"/>
  <c r="B58" i="8" s="1"/>
  <c r="F57" i="8" a="1"/>
  <c r="F57" i="8" s="1"/>
  <c r="E57" i="8" a="1"/>
  <c r="E57" i="8" s="1"/>
  <c r="D57" i="8" a="1"/>
  <c r="D57" i="8" s="1"/>
  <c r="C57" i="8" a="1"/>
  <c r="C57" i="8" s="1"/>
  <c r="B57" i="8" a="1"/>
  <c r="B57" i="8" s="1"/>
  <c r="A57" i="8" s="1"/>
  <c r="F56" i="8" a="1"/>
  <c r="F56" i="8" s="1"/>
  <c r="E56" i="8" a="1"/>
  <c r="E56" i="8" s="1"/>
  <c r="D56" i="8" a="1"/>
  <c r="D56" i="8" s="1"/>
  <c r="C56" i="8" a="1"/>
  <c r="C56" i="8" s="1"/>
  <c r="B56" i="8" a="1"/>
  <c r="B56" i="8" s="1"/>
  <c r="F55" i="8" a="1"/>
  <c r="F55" i="8" s="1"/>
  <c r="E55" i="8" a="1"/>
  <c r="E55" i="8" s="1"/>
  <c r="D55" i="8" a="1"/>
  <c r="D55" i="8" s="1"/>
  <c r="C55" i="8" a="1"/>
  <c r="C55" i="8" s="1"/>
  <c r="B55" i="8" a="1"/>
  <c r="B55" i="8" s="1"/>
  <c r="F54" i="8" a="1"/>
  <c r="F54" i="8" s="1"/>
  <c r="E54" i="8" a="1"/>
  <c r="E54" i="8" s="1"/>
  <c r="D54" i="8" a="1"/>
  <c r="D54" i="8" s="1"/>
  <c r="C54" i="8" a="1"/>
  <c r="C54" i="8" s="1"/>
  <c r="B54" i="8" a="1"/>
  <c r="B54" i="8" s="1"/>
  <c r="F53" i="8" a="1"/>
  <c r="F53" i="8" s="1"/>
  <c r="E53" i="8" a="1"/>
  <c r="E53" i="8" s="1"/>
  <c r="D53" i="8" a="1"/>
  <c r="D53" i="8" s="1"/>
  <c r="C53" i="8" a="1"/>
  <c r="C53" i="8" s="1"/>
  <c r="B53" i="8" a="1"/>
  <c r="B53" i="8" s="1"/>
  <c r="A53" i="8" s="1"/>
  <c r="F52" i="8" a="1"/>
  <c r="F52" i="8" s="1"/>
  <c r="E52" i="8" a="1"/>
  <c r="E52" i="8" s="1"/>
  <c r="D52" i="8" a="1"/>
  <c r="D52" i="8" s="1"/>
  <c r="C52" i="8" a="1"/>
  <c r="C52" i="8" s="1"/>
  <c r="B52" i="8" a="1"/>
  <c r="B52" i="8" s="1"/>
  <c r="F51" i="8" a="1"/>
  <c r="F51" i="8" s="1"/>
  <c r="E51" i="8" a="1"/>
  <c r="E51" i="8" s="1"/>
  <c r="D51" i="8" a="1"/>
  <c r="D51" i="8" s="1"/>
  <c r="C51" i="8" a="1"/>
  <c r="C51" i="8" s="1"/>
  <c r="B51" i="8" a="1"/>
  <c r="B51" i="8" s="1"/>
  <c r="F50" i="8" a="1"/>
  <c r="F50" i="8" s="1"/>
  <c r="E50" i="8" a="1"/>
  <c r="E50" i="8" s="1"/>
  <c r="D50" i="8" a="1"/>
  <c r="D50" i="8" s="1"/>
  <c r="C50" i="8" a="1"/>
  <c r="C50" i="8" s="1"/>
  <c r="B50" i="8" a="1"/>
  <c r="B50" i="8" s="1"/>
  <c r="A50" i="8" s="1"/>
  <c r="F49" i="8" a="1"/>
  <c r="F49" i="8" s="1"/>
  <c r="E49" i="8" a="1"/>
  <c r="E49" i="8" s="1"/>
  <c r="D49" i="8" a="1"/>
  <c r="D49" i="8" s="1"/>
  <c r="C49" i="8" a="1"/>
  <c r="C49" i="8" s="1"/>
  <c r="B49" i="8" a="1"/>
  <c r="B49" i="8" s="1"/>
  <c r="A49" i="8" s="1"/>
  <c r="F48" i="8" a="1"/>
  <c r="F48" i="8" s="1"/>
  <c r="E48" i="8" a="1"/>
  <c r="E48" i="8" s="1"/>
  <c r="D48" i="8" a="1"/>
  <c r="D48" i="8" s="1"/>
  <c r="C48" i="8" a="1"/>
  <c r="C48" i="8" s="1"/>
  <c r="B48" i="8" a="1"/>
  <c r="B48" i="8" s="1"/>
  <c r="F47" i="8" a="1"/>
  <c r="F47" i="8" s="1"/>
  <c r="E47" i="8" a="1"/>
  <c r="E47" i="8" s="1"/>
  <c r="D47" i="8" a="1"/>
  <c r="D47" i="8" s="1"/>
  <c r="C47" i="8" a="1"/>
  <c r="C47" i="8" s="1"/>
  <c r="B47" i="8" a="1"/>
  <c r="B47" i="8" s="1"/>
  <c r="F46" i="8" a="1"/>
  <c r="F46" i="8" s="1"/>
  <c r="E46" i="8" a="1"/>
  <c r="E46" i="8" s="1"/>
  <c r="D46" i="8" a="1"/>
  <c r="D46" i="8" s="1"/>
  <c r="C46" i="8" a="1"/>
  <c r="C46" i="8" s="1"/>
  <c r="B46" i="8" a="1"/>
  <c r="B46" i="8" s="1"/>
  <c r="F45" i="8" a="1"/>
  <c r="F45" i="8" s="1"/>
  <c r="E45" i="8" a="1"/>
  <c r="E45" i="8" s="1"/>
  <c r="D45" i="8" a="1"/>
  <c r="D45" i="8" s="1"/>
  <c r="C45" i="8" a="1"/>
  <c r="C45" i="8" s="1"/>
  <c r="B45" i="8" a="1"/>
  <c r="B45" i="8" s="1"/>
  <c r="A45" i="8" s="1"/>
  <c r="G41" i="8"/>
  <c r="F41" i="8" a="1"/>
  <c r="F41" i="8"/>
  <c r="E41" i="8" a="1"/>
  <c r="E41" i="8"/>
  <c r="D41" i="8" a="1"/>
  <c r="D41" i="8"/>
  <c r="C41" i="8" a="1"/>
  <c r="C41" i="8"/>
  <c r="B41" i="8" a="1"/>
  <c r="B41" i="8"/>
  <c r="A41" i="8" s="1"/>
  <c r="G40" i="8"/>
  <c r="F40" i="8" a="1"/>
  <c r="F40" i="8"/>
  <c r="E40" i="8" a="1"/>
  <c r="E40" i="8"/>
  <c r="D40" i="8" a="1"/>
  <c r="D40" i="8"/>
  <c r="C40" i="8" a="1"/>
  <c r="C40" i="8"/>
  <c r="B40" i="8" a="1"/>
  <c r="B40" i="8"/>
  <c r="A40" i="8" s="1"/>
  <c r="G39" i="8"/>
  <c r="F39" i="8" a="1"/>
  <c r="F39" i="8"/>
  <c r="E39" i="8" a="1"/>
  <c r="E39" i="8"/>
  <c r="D39" i="8" a="1"/>
  <c r="D39" i="8"/>
  <c r="C39" i="8" a="1"/>
  <c r="C39" i="8"/>
  <c r="B39" i="8" a="1"/>
  <c r="B39" i="8"/>
  <c r="A39" i="8" s="1"/>
  <c r="G38" i="8"/>
  <c r="F38" i="8" a="1"/>
  <c r="F38" i="8"/>
  <c r="E38" i="8" a="1"/>
  <c r="E38" i="8"/>
  <c r="D38" i="8" a="1"/>
  <c r="D38" i="8"/>
  <c r="C38" i="8" a="1"/>
  <c r="C38" i="8"/>
  <c r="B38" i="8" a="1"/>
  <c r="B38" i="8"/>
  <c r="A38" i="8" s="1"/>
  <c r="G37" i="8"/>
  <c r="F37" i="8" a="1"/>
  <c r="F37" i="8"/>
  <c r="E37" i="8" a="1"/>
  <c r="E37" i="8"/>
  <c r="D37" i="8" a="1"/>
  <c r="D37" i="8"/>
  <c r="C37" i="8" a="1"/>
  <c r="C37" i="8"/>
  <c r="B37" i="8" a="1"/>
  <c r="B37" i="8"/>
  <c r="A37" i="8" s="1"/>
  <c r="G36" i="8"/>
  <c r="F36" i="8" a="1"/>
  <c r="F36" i="8"/>
  <c r="E36" i="8" a="1"/>
  <c r="E36" i="8"/>
  <c r="D36" i="8" a="1"/>
  <c r="D36" i="8"/>
  <c r="C36" i="8" a="1"/>
  <c r="C36" i="8"/>
  <c r="B36" i="8" a="1"/>
  <c r="B36" i="8"/>
  <c r="A36" i="8" s="1"/>
  <c r="G35" i="8"/>
  <c r="F35" i="8" a="1"/>
  <c r="F35" i="8"/>
  <c r="E35" i="8" a="1"/>
  <c r="E35" i="8"/>
  <c r="D35" i="8" a="1"/>
  <c r="D35" i="8"/>
  <c r="C35" i="8" a="1"/>
  <c r="C35" i="8"/>
  <c r="B35" i="8" a="1"/>
  <c r="B35" i="8"/>
  <c r="A35" i="8" s="1"/>
  <c r="G34" i="8"/>
  <c r="F34" i="8" a="1"/>
  <c r="F34" i="8"/>
  <c r="E34" i="8" a="1"/>
  <c r="E34" i="8"/>
  <c r="D34" i="8" a="1"/>
  <c r="D34" i="8"/>
  <c r="C34" i="8" a="1"/>
  <c r="C34" i="8"/>
  <c r="B34" i="8" a="1"/>
  <c r="B34" i="8"/>
  <c r="A34" i="8" s="1"/>
  <c r="G33" i="8"/>
  <c r="F33" i="8" a="1"/>
  <c r="F33" i="8"/>
  <c r="E33" i="8" a="1"/>
  <c r="E33" i="8"/>
  <c r="D33" i="8" a="1"/>
  <c r="D33" i="8"/>
  <c r="C33" i="8" a="1"/>
  <c r="C33" i="8"/>
  <c r="B33" i="8" a="1"/>
  <c r="B33" i="8"/>
  <c r="A33" i="8" s="1"/>
  <c r="G32" i="8"/>
  <c r="F32" i="8" a="1"/>
  <c r="F32" i="8"/>
  <c r="E32" i="8" a="1"/>
  <c r="E32" i="8"/>
  <c r="D32" i="8" a="1"/>
  <c r="D32" i="8"/>
  <c r="C32" i="8" a="1"/>
  <c r="C32" i="8"/>
  <c r="B32" i="8" a="1"/>
  <c r="B32" i="8"/>
  <c r="A32" i="8" s="1"/>
  <c r="G31" i="8"/>
  <c r="F31" i="8" a="1"/>
  <c r="F31" i="8"/>
  <c r="E31" i="8" a="1"/>
  <c r="E31" i="8"/>
  <c r="D31" i="8" a="1"/>
  <c r="D31" i="8"/>
  <c r="C31" i="8" a="1"/>
  <c r="C31" i="8"/>
  <c r="B31" i="8" a="1"/>
  <c r="B31" i="8"/>
  <c r="A31" i="8" s="1"/>
  <c r="F30" i="8" a="1"/>
  <c r="F30" i="8" s="1"/>
  <c r="E30" i="8" a="1"/>
  <c r="E30" i="8"/>
  <c r="D30" i="8" a="1"/>
  <c r="D30" i="8" s="1"/>
  <c r="C30" i="8" a="1"/>
  <c r="C30" i="8"/>
  <c r="B30" i="8" a="1"/>
  <c r="B30" i="8" s="1"/>
  <c r="F29" i="8" a="1"/>
  <c r="F29" i="8" s="1"/>
  <c r="E29" i="8" a="1"/>
  <c r="E29" i="8"/>
  <c r="D29" i="8" a="1"/>
  <c r="D29" i="8" s="1"/>
  <c r="C29" i="8" a="1"/>
  <c r="C29" i="8"/>
  <c r="B29" i="8" a="1"/>
  <c r="B29" i="8" s="1"/>
  <c r="F28" i="8" a="1"/>
  <c r="F28" i="8" s="1"/>
  <c r="E28" i="8" a="1"/>
  <c r="E28" i="8"/>
  <c r="D28" i="8" a="1"/>
  <c r="D28" i="8" s="1"/>
  <c r="C28" i="8" a="1"/>
  <c r="C28" i="8"/>
  <c r="B28" i="8" a="1"/>
  <c r="B28" i="8" s="1"/>
  <c r="F27" i="8" a="1"/>
  <c r="F27" i="8" s="1"/>
  <c r="E27" i="8" a="1"/>
  <c r="E27" i="8"/>
  <c r="D27" i="8" a="1"/>
  <c r="D27" i="8" s="1"/>
  <c r="C27" i="8" a="1"/>
  <c r="C27" i="8"/>
  <c r="B27" i="8" a="1"/>
  <c r="B27" i="8" s="1"/>
  <c r="F26" i="8" a="1"/>
  <c r="F26" i="8" s="1"/>
  <c r="E26" i="8" a="1"/>
  <c r="E26" i="8"/>
  <c r="D26" i="8" a="1"/>
  <c r="D26" i="8" s="1"/>
  <c r="C26" i="8" a="1"/>
  <c r="C26" i="8"/>
  <c r="B26" i="8" a="1"/>
  <c r="B26" i="8" s="1"/>
  <c r="F25" i="8" a="1"/>
  <c r="F25" i="8" s="1"/>
  <c r="E25" i="8" a="1"/>
  <c r="E25" i="8"/>
  <c r="D25" i="8" a="1"/>
  <c r="D25" i="8" s="1"/>
  <c r="C25" i="8" a="1"/>
  <c r="C25" i="8"/>
  <c r="B25" i="8" a="1"/>
  <c r="B25" i="8" s="1"/>
  <c r="F24" i="8" a="1"/>
  <c r="F24" i="8" s="1"/>
  <c r="E24" i="8" a="1"/>
  <c r="E24" i="8"/>
  <c r="D24" i="8" a="1"/>
  <c r="D24" i="8" s="1"/>
  <c r="C24" i="8" a="1"/>
  <c r="C24" i="8"/>
  <c r="B24" i="8" a="1"/>
  <c r="B24" i="8" s="1"/>
  <c r="F23" i="8" a="1"/>
  <c r="F23" i="8" s="1"/>
  <c r="E23" i="8" a="1"/>
  <c r="E23" i="8"/>
  <c r="D23" i="8" a="1"/>
  <c r="D23" i="8" s="1"/>
  <c r="C23" i="8" a="1"/>
  <c r="C23" i="8"/>
  <c r="B23" i="8" a="1"/>
  <c r="B23" i="8" s="1"/>
  <c r="F22" i="8" a="1"/>
  <c r="F22" i="8" s="1"/>
  <c r="E22" i="8" a="1"/>
  <c r="E22" i="8"/>
  <c r="D22" i="8" a="1"/>
  <c r="D22" i="8" s="1"/>
  <c r="C22" i="8" a="1"/>
  <c r="C22" i="8"/>
  <c r="B22" i="8" a="1"/>
  <c r="B22" i="8" s="1"/>
  <c r="F21" i="8" a="1"/>
  <c r="F21" i="8" s="1"/>
  <c r="E21" i="8" a="1"/>
  <c r="E21" i="8"/>
  <c r="D21" i="8" a="1"/>
  <c r="D21" i="8" s="1"/>
  <c r="C21" i="8" a="1"/>
  <c r="C21" i="8"/>
  <c r="B21" i="8" a="1"/>
  <c r="B21" i="8" s="1"/>
  <c r="F20" i="8" a="1"/>
  <c r="F20" i="8" s="1"/>
  <c r="E20" i="8" a="1"/>
  <c r="E20" i="8"/>
  <c r="D20" i="8" a="1"/>
  <c r="D20" i="8" s="1"/>
  <c r="C20" i="8" a="1"/>
  <c r="C20" i="8"/>
  <c r="B20" i="8" a="1"/>
  <c r="B20" i="8" s="1"/>
  <c r="F19" i="8" a="1"/>
  <c r="F19" i="8" s="1"/>
  <c r="E19" i="8" a="1"/>
  <c r="E19" i="8"/>
  <c r="D19" i="8" a="1"/>
  <c r="D19" i="8" s="1"/>
  <c r="C19" i="8" a="1"/>
  <c r="C19" i="8"/>
  <c r="B19" i="8" a="1"/>
  <c r="B19" i="8" s="1"/>
  <c r="F18" i="8" a="1"/>
  <c r="F18" i="8" s="1"/>
  <c r="E18" i="8" a="1"/>
  <c r="E18" i="8"/>
  <c r="D18" i="8" a="1"/>
  <c r="D18" i="8" s="1"/>
  <c r="C18" i="8" a="1"/>
  <c r="C18" i="8"/>
  <c r="B18" i="8" a="1"/>
  <c r="B18" i="8" s="1"/>
  <c r="F17" i="8" a="1"/>
  <c r="F17" i="8" s="1"/>
  <c r="E17" i="8" a="1"/>
  <c r="E17" i="8"/>
  <c r="D17" i="8" a="1"/>
  <c r="D17" i="8" s="1"/>
  <c r="C17" i="8" a="1"/>
  <c r="C17" i="8"/>
  <c r="B17" i="8" a="1"/>
  <c r="B17" i="8" s="1"/>
  <c r="F16" i="8" a="1"/>
  <c r="F16" i="8" s="1"/>
  <c r="E16" i="8" a="1"/>
  <c r="E16" i="8"/>
  <c r="D16" i="8" a="1"/>
  <c r="D16" i="8" s="1"/>
  <c r="C16" i="8" a="1"/>
  <c r="C16" i="8"/>
  <c r="B16" i="8" a="1"/>
  <c r="B16" i="8" s="1"/>
  <c r="F15" i="8" a="1"/>
  <c r="F15" i="8" s="1"/>
  <c r="E15" i="8" a="1"/>
  <c r="E15" i="8"/>
  <c r="D15" i="8" a="1"/>
  <c r="D15" i="8" s="1"/>
  <c r="C15" i="8" a="1"/>
  <c r="C15" i="8"/>
  <c r="B15" i="8" a="1"/>
  <c r="B15" i="8" s="1"/>
  <c r="F14" i="8" a="1"/>
  <c r="F14" i="8" s="1"/>
  <c r="E14" i="8" a="1"/>
  <c r="E14" i="8"/>
  <c r="D14" i="8" a="1"/>
  <c r="D14" i="8" s="1"/>
  <c r="C14" i="8" a="1"/>
  <c r="C14" i="8" s="1"/>
  <c r="B14" i="8" a="1"/>
  <c r="B14" i="8" s="1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E8" i="8" a="1"/>
  <c r="E8" i="8" s="1"/>
  <c r="B8" i="8"/>
  <c r="B7" i="8"/>
  <c r="B6" i="8"/>
  <c r="E5" i="8"/>
  <c r="E6" i="8" s="1"/>
  <c r="B5" i="8"/>
  <c r="E4" i="8"/>
  <c r="B4" i="8"/>
  <c r="I3" i="8"/>
  <c r="A1" i="8"/>
  <c r="F74" i="7" a="1"/>
  <c r="F74" i="7" s="1"/>
  <c r="E74" i="7" a="1"/>
  <c r="E74" i="7" s="1"/>
  <c r="D74" i="7" a="1"/>
  <c r="D74" i="7" s="1"/>
  <c r="C74" i="7" a="1"/>
  <c r="C74" i="7" s="1"/>
  <c r="B74" i="7" a="1"/>
  <c r="B74" i="7" s="1"/>
  <c r="A74" i="7" s="1"/>
  <c r="F73" i="7" a="1"/>
  <c r="F73" i="7" s="1"/>
  <c r="E73" i="7" a="1"/>
  <c r="E73" i="7" s="1"/>
  <c r="D73" i="7" a="1"/>
  <c r="D73" i="7" s="1"/>
  <c r="C73" i="7" a="1"/>
  <c r="C73" i="7" s="1"/>
  <c r="B73" i="7" a="1"/>
  <c r="B73" i="7" s="1"/>
  <c r="A73" i="7" s="1"/>
  <c r="F72" i="7" a="1"/>
  <c r="F72" i="7" s="1"/>
  <c r="E72" i="7" a="1"/>
  <c r="E72" i="7" s="1"/>
  <c r="D72" i="7" a="1"/>
  <c r="D72" i="7" s="1"/>
  <c r="C72" i="7" a="1"/>
  <c r="C72" i="7" s="1"/>
  <c r="B72" i="7" a="1"/>
  <c r="B72" i="7" s="1"/>
  <c r="A72" i="7" s="1"/>
  <c r="F71" i="7" a="1"/>
  <c r="F71" i="7" s="1"/>
  <c r="E71" i="7" a="1"/>
  <c r="E71" i="7" s="1"/>
  <c r="D71" i="7" a="1"/>
  <c r="D71" i="7" s="1"/>
  <c r="C71" i="7" a="1"/>
  <c r="C71" i="7" s="1"/>
  <c r="B71" i="7" a="1"/>
  <c r="B71" i="7" s="1"/>
  <c r="A71" i="7" s="1"/>
  <c r="F70" i="7" a="1"/>
  <c r="F70" i="7" s="1"/>
  <c r="E70" i="7" a="1"/>
  <c r="E70" i="7" s="1"/>
  <c r="D70" i="7" a="1"/>
  <c r="D70" i="7" s="1"/>
  <c r="C70" i="7" a="1"/>
  <c r="C70" i="7" s="1"/>
  <c r="B70" i="7" a="1"/>
  <c r="B70" i="7" s="1"/>
  <c r="A70" i="7" s="1"/>
  <c r="F69" i="7" a="1"/>
  <c r="F69" i="7" s="1"/>
  <c r="E69" i="7" a="1"/>
  <c r="E69" i="7" s="1"/>
  <c r="D69" i="7" a="1"/>
  <c r="D69" i="7" s="1"/>
  <c r="C69" i="7" a="1"/>
  <c r="C69" i="7" s="1"/>
  <c r="B69" i="7" a="1"/>
  <c r="B69" i="7" s="1"/>
  <c r="A69" i="7" s="1"/>
  <c r="F68" i="7" a="1"/>
  <c r="F68" i="7" s="1"/>
  <c r="E68" i="7" a="1"/>
  <c r="E68" i="7" s="1"/>
  <c r="D68" i="7" a="1"/>
  <c r="D68" i="7" s="1"/>
  <c r="C68" i="7" a="1"/>
  <c r="C68" i="7" s="1"/>
  <c r="B68" i="7" a="1"/>
  <c r="B68" i="7" s="1"/>
  <c r="A68" i="7" s="1"/>
  <c r="F67" i="7" a="1"/>
  <c r="F67" i="7" s="1"/>
  <c r="E67" i="7" a="1"/>
  <c r="E67" i="7" s="1"/>
  <c r="D67" i="7" a="1"/>
  <c r="D67" i="7" s="1"/>
  <c r="C67" i="7" a="1"/>
  <c r="C67" i="7" s="1"/>
  <c r="B67" i="7" a="1"/>
  <c r="B67" i="7" s="1"/>
  <c r="G67" i="7" s="1"/>
  <c r="F66" i="7" a="1"/>
  <c r="F66" i="7" s="1"/>
  <c r="E66" i="7" a="1"/>
  <c r="E66" i="7" s="1"/>
  <c r="D66" i="7" a="1"/>
  <c r="D66" i="7" s="1"/>
  <c r="C66" i="7" a="1"/>
  <c r="C66" i="7" s="1"/>
  <c r="B66" i="7" a="1"/>
  <c r="B66" i="7" s="1"/>
  <c r="F65" i="7" a="1"/>
  <c r="F65" i="7" s="1"/>
  <c r="E65" i="7" a="1"/>
  <c r="E65" i="7" s="1"/>
  <c r="D65" i="7" a="1"/>
  <c r="D65" i="7" s="1"/>
  <c r="C65" i="7" a="1"/>
  <c r="C65" i="7" s="1"/>
  <c r="B65" i="7" a="1"/>
  <c r="B65" i="7" s="1"/>
  <c r="G65" i="7" s="1"/>
  <c r="F64" i="7" a="1"/>
  <c r="F64" i="7" s="1"/>
  <c r="E64" i="7" a="1"/>
  <c r="E64" i="7" s="1"/>
  <c r="D64" i="7" a="1"/>
  <c r="D64" i="7" s="1"/>
  <c r="C64" i="7" a="1"/>
  <c r="C64" i="7" s="1"/>
  <c r="B64" i="7" a="1"/>
  <c r="B64" i="7" s="1"/>
  <c r="G64" i="7" s="1"/>
  <c r="F63" i="7" a="1"/>
  <c r="F63" i="7" s="1"/>
  <c r="E63" i="7" a="1"/>
  <c r="E63" i="7" s="1"/>
  <c r="D63" i="7" a="1"/>
  <c r="D63" i="7" s="1"/>
  <c r="C63" i="7" a="1"/>
  <c r="C63" i="7" s="1"/>
  <c r="B63" i="7" a="1"/>
  <c r="B63" i="7" s="1"/>
  <c r="G63" i="7" s="1"/>
  <c r="F62" i="7" a="1"/>
  <c r="F62" i="7" s="1"/>
  <c r="E62" i="7" a="1"/>
  <c r="E62" i="7" s="1"/>
  <c r="D62" i="7" a="1"/>
  <c r="D62" i="7" s="1"/>
  <c r="C62" i="7" a="1"/>
  <c r="C62" i="7" s="1"/>
  <c r="B62" i="7" a="1"/>
  <c r="B62" i="7" s="1"/>
  <c r="G62" i="7" s="1"/>
  <c r="F61" i="7" a="1"/>
  <c r="F61" i="7" s="1"/>
  <c r="E61" i="7" a="1"/>
  <c r="E61" i="7" s="1"/>
  <c r="D61" i="7" a="1"/>
  <c r="D61" i="7" s="1"/>
  <c r="C61" i="7" a="1"/>
  <c r="C61" i="7" s="1"/>
  <c r="B61" i="7" a="1"/>
  <c r="B61" i="7" s="1"/>
  <c r="G61" i="7" s="1"/>
  <c r="F60" i="7" a="1"/>
  <c r="F60" i="7" s="1"/>
  <c r="E60" i="7" a="1"/>
  <c r="E60" i="7" s="1"/>
  <c r="D60" i="7" a="1"/>
  <c r="D60" i="7" s="1"/>
  <c r="C60" i="7" a="1"/>
  <c r="C60" i="7" s="1"/>
  <c r="B60" i="7" a="1"/>
  <c r="B60" i="7" s="1"/>
  <c r="G60" i="7" s="1"/>
  <c r="F59" i="7" a="1"/>
  <c r="F59" i="7" s="1"/>
  <c r="E59" i="7" a="1"/>
  <c r="E59" i="7" s="1"/>
  <c r="D59" i="7" a="1"/>
  <c r="D59" i="7" s="1"/>
  <c r="C59" i="7" a="1"/>
  <c r="C59" i="7" s="1"/>
  <c r="B59" i="7" a="1"/>
  <c r="B59" i="7" s="1"/>
  <c r="F58" i="7" a="1"/>
  <c r="F58" i="7" s="1"/>
  <c r="E58" i="7" a="1"/>
  <c r="E58" i="7" s="1"/>
  <c r="D58" i="7" a="1"/>
  <c r="D58" i="7" s="1"/>
  <c r="C58" i="7" a="1"/>
  <c r="C58" i="7" s="1"/>
  <c r="B58" i="7" a="1"/>
  <c r="B58" i="7" s="1"/>
  <c r="G58" i="7" s="1"/>
  <c r="F57" i="7" a="1"/>
  <c r="F57" i="7" s="1"/>
  <c r="E57" i="7" a="1"/>
  <c r="E57" i="7" s="1"/>
  <c r="D57" i="7" a="1"/>
  <c r="D57" i="7" s="1"/>
  <c r="C57" i="7" a="1"/>
  <c r="C57" i="7" s="1"/>
  <c r="B57" i="7" a="1"/>
  <c r="B57" i="7" s="1"/>
  <c r="G57" i="7" s="1"/>
  <c r="F56" i="7" a="1"/>
  <c r="F56" i="7" s="1"/>
  <c r="E56" i="7" a="1"/>
  <c r="E56" i="7" s="1"/>
  <c r="D56" i="7" a="1"/>
  <c r="D56" i="7" s="1"/>
  <c r="C56" i="7" a="1"/>
  <c r="C56" i="7" s="1"/>
  <c r="B56" i="7" a="1"/>
  <c r="B56" i="7" s="1"/>
  <c r="G56" i="7" s="1"/>
  <c r="F55" i="7" a="1"/>
  <c r="F55" i="7" s="1"/>
  <c r="E55" i="7" a="1"/>
  <c r="E55" i="7" s="1"/>
  <c r="D55" i="7" a="1"/>
  <c r="D55" i="7" s="1"/>
  <c r="C55" i="7" a="1"/>
  <c r="C55" i="7" s="1"/>
  <c r="B55" i="7" a="1"/>
  <c r="B55" i="7" s="1"/>
  <c r="F54" i="7" a="1"/>
  <c r="F54" i="7" s="1"/>
  <c r="E54" i="7" a="1"/>
  <c r="E54" i="7" s="1"/>
  <c r="D54" i="7" a="1"/>
  <c r="D54" i="7" s="1"/>
  <c r="C54" i="7" a="1"/>
  <c r="C54" i="7" s="1"/>
  <c r="B54" i="7" a="1"/>
  <c r="B54" i="7" s="1"/>
  <c r="G54" i="7" s="1"/>
  <c r="F53" i="7" a="1"/>
  <c r="F53" i="7" s="1"/>
  <c r="E53" i="7" a="1"/>
  <c r="E53" i="7" s="1"/>
  <c r="D53" i="7" a="1"/>
  <c r="D53" i="7" s="1"/>
  <c r="C53" i="7" a="1"/>
  <c r="C53" i="7" s="1"/>
  <c r="B53" i="7" a="1"/>
  <c r="B53" i="7" s="1"/>
  <c r="A53" i="7" s="1"/>
  <c r="F52" i="7" a="1"/>
  <c r="F52" i="7" s="1"/>
  <c r="E52" i="7" a="1"/>
  <c r="E52" i="7" s="1"/>
  <c r="D52" i="7" a="1"/>
  <c r="D52" i="7" s="1"/>
  <c r="C52" i="7" a="1"/>
  <c r="C52" i="7" s="1"/>
  <c r="B52" i="7" a="1"/>
  <c r="B52" i="7" s="1"/>
  <c r="G52" i="7" s="1"/>
  <c r="F51" i="7" a="1"/>
  <c r="F51" i="7" s="1"/>
  <c r="E51" i="7" a="1"/>
  <c r="E51" i="7" s="1"/>
  <c r="D51" i="7" a="1"/>
  <c r="D51" i="7" s="1"/>
  <c r="C51" i="7" a="1"/>
  <c r="C51" i="7" s="1"/>
  <c r="B51" i="7" a="1"/>
  <c r="B51" i="7" s="1"/>
  <c r="F50" i="7" a="1"/>
  <c r="F50" i="7" s="1"/>
  <c r="E50" i="7" a="1"/>
  <c r="E50" i="7" s="1"/>
  <c r="D50" i="7" a="1"/>
  <c r="D50" i="7" s="1"/>
  <c r="C50" i="7" a="1"/>
  <c r="C50" i="7" s="1"/>
  <c r="B50" i="7" a="1"/>
  <c r="B50" i="7" s="1"/>
  <c r="G50" i="7" s="1"/>
  <c r="F49" i="7" a="1"/>
  <c r="F49" i="7" s="1"/>
  <c r="E49" i="7" a="1"/>
  <c r="E49" i="7" s="1"/>
  <c r="D49" i="7" a="1"/>
  <c r="D49" i="7" s="1"/>
  <c r="C49" i="7" a="1"/>
  <c r="C49" i="7" s="1"/>
  <c r="B49" i="7" a="1"/>
  <c r="B49" i="7" s="1"/>
  <c r="G49" i="7" s="1"/>
  <c r="F48" i="7" a="1"/>
  <c r="F48" i="7" s="1"/>
  <c r="E48" i="7" a="1"/>
  <c r="E48" i="7" s="1"/>
  <c r="D48" i="7" a="1"/>
  <c r="D48" i="7" s="1"/>
  <c r="C48" i="7" a="1"/>
  <c r="C48" i="7" s="1"/>
  <c r="B48" i="7" a="1"/>
  <c r="B48" i="7" s="1"/>
  <c r="G48" i="7" s="1"/>
  <c r="F47" i="7" a="1"/>
  <c r="F47" i="7" s="1"/>
  <c r="E47" i="7" a="1"/>
  <c r="E47" i="7" s="1"/>
  <c r="D47" i="7" a="1"/>
  <c r="D47" i="7" s="1"/>
  <c r="C47" i="7" a="1"/>
  <c r="C47" i="7" s="1"/>
  <c r="B47" i="7" a="1"/>
  <c r="B47" i="7" s="1"/>
  <c r="G47" i="7" s="1"/>
  <c r="F46" i="7" a="1"/>
  <c r="F46" i="7" s="1"/>
  <c r="E46" i="7" a="1"/>
  <c r="E46" i="7" s="1"/>
  <c r="D46" i="7" a="1"/>
  <c r="D46" i="7" s="1"/>
  <c r="C46" i="7" a="1"/>
  <c r="C46" i="7" s="1"/>
  <c r="B46" i="7" a="1"/>
  <c r="B46" i="7" s="1"/>
  <c r="G46" i="7" s="1"/>
  <c r="F45" i="7" a="1"/>
  <c r="F45" i="7" s="1"/>
  <c r="E45" i="7" a="1"/>
  <c r="E45" i="7" s="1"/>
  <c r="D45" i="7" a="1"/>
  <c r="D45" i="7" s="1"/>
  <c r="C45" i="7" a="1"/>
  <c r="C45" i="7" s="1"/>
  <c r="B45" i="7" a="1"/>
  <c r="B45" i="7" s="1"/>
  <c r="A45" i="7" s="1"/>
  <c r="F41" i="7" a="1"/>
  <c r="F41" i="7" s="1"/>
  <c r="E41" i="7" a="1"/>
  <c r="E41" i="7"/>
  <c r="D41" i="7" a="1"/>
  <c r="D41" i="7" s="1"/>
  <c r="C41" i="7" a="1"/>
  <c r="C41" i="7" s="1"/>
  <c r="B41" i="7" a="1"/>
  <c r="B41" i="7" s="1"/>
  <c r="G41" i="7" s="1"/>
  <c r="G40" i="7"/>
  <c r="F40" i="7" a="1"/>
  <c r="F40" i="7" s="1"/>
  <c r="E40" i="7" a="1"/>
  <c r="E40" i="7" s="1"/>
  <c r="D40" i="7" a="1"/>
  <c r="D40" i="7" s="1"/>
  <c r="C40" i="7" a="1"/>
  <c r="C40" i="7"/>
  <c r="B40" i="7" a="1"/>
  <c r="B40" i="7" s="1"/>
  <c r="A40" i="7"/>
  <c r="F39" i="7" a="1"/>
  <c r="F39" i="7" s="1"/>
  <c r="E39" i="7" a="1"/>
  <c r="E39" i="7"/>
  <c r="D39" i="7" a="1"/>
  <c r="D39" i="7" s="1"/>
  <c r="C39" i="7" a="1"/>
  <c r="C39" i="7" s="1"/>
  <c r="B39" i="7" a="1"/>
  <c r="B39" i="7" s="1"/>
  <c r="G39" i="7" s="1"/>
  <c r="G38" i="7"/>
  <c r="F38" i="7" a="1"/>
  <c r="F38" i="7" s="1"/>
  <c r="E38" i="7" a="1"/>
  <c r="E38" i="7" s="1"/>
  <c r="D38" i="7" a="1"/>
  <c r="D38" i="7" s="1"/>
  <c r="C38" i="7" a="1"/>
  <c r="C38" i="7"/>
  <c r="B38" i="7" a="1"/>
  <c r="B38" i="7" s="1"/>
  <c r="A38" i="7"/>
  <c r="F37" i="7" a="1"/>
  <c r="F37" i="7" s="1"/>
  <c r="E37" i="7" a="1"/>
  <c r="E37" i="7"/>
  <c r="D37" i="7" a="1"/>
  <c r="D37" i="7" s="1"/>
  <c r="C37" i="7" a="1"/>
  <c r="C37" i="7" s="1"/>
  <c r="B37" i="7" a="1"/>
  <c r="B37" i="7" s="1"/>
  <c r="G37" i="7" s="1"/>
  <c r="G36" i="7"/>
  <c r="F36" i="7" a="1"/>
  <c r="F36" i="7" s="1"/>
  <c r="E36" i="7" a="1"/>
  <c r="E36" i="7" s="1"/>
  <c r="D36" i="7" a="1"/>
  <c r="D36" i="7" s="1"/>
  <c r="C36" i="7" a="1"/>
  <c r="C36" i="7"/>
  <c r="B36" i="7" a="1"/>
  <c r="B36" i="7" s="1"/>
  <c r="A36" i="7"/>
  <c r="F35" i="7" a="1"/>
  <c r="F35" i="7" s="1"/>
  <c r="E35" i="7" a="1"/>
  <c r="E35" i="7"/>
  <c r="D35" i="7" a="1"/>
  <c r="D35" i="7" s="1"/>
  <c r="C35" i="7" a="1"/>
  <c r="C35" i="7" s="1"/>
  <c r="B35" i="7" a="1"/>
  <c r="B35" i="7" s="1"/>
  <c r="G35" i="7" s="1"/>
  <c r="G34" i="7"/>
  <c r="F34" i="7" a="1"/>
  <c r="F34" i="7" s="1"/>
  <c r="E34" i="7" a="1"/>
  <c r="E34" i="7" s="1"/>
  <c r="D34" i="7" a="1"/>
  <c r="D34" i="7" s="1"/>
  <c r="C34" i="7" a="1"/>
  <c r="C34" i="7"/>
  <c r="B34" i="7" a="1"/>
  <c r="B34" i="7" s="1"/>
  <c r="A34" i="7"/>
  <c r="F33" i="7" a="1"/>
  <c r="F33" i="7" s="1"/>
  <c r="E33" i="7" a="1"/>
  <c r="E33" i="7"/>
  <c r="D33" i="7" a="1"/>
  <c r="D33" i="7" s="1"/>
  <c r="C33" i="7" a="1"/>
  <c r="C33" i="7" s="1"/>
  <c r="B33" i="7" a="1"/>
  <c r="B33" i="7" s="1"/>
  <c r="G33" i="7" s="1"/>
  <c r="G32" i="7"/>
  <c r="F32" i="7" a="1"/>
  <c r="F32" i="7" s="1"/>
  <c r="E32" i="7" a="1"/>
  <c r="E32" i="7" s="1"/>
  <c r="D32" i="7" a="1"/>
  <c r="D32" i="7" s="1"/>
  <c r="C32" i="7" a="1"/>
  <c r="C32" i="7"/>
  <c r="B32" i="7" a="1"/>
  <c r="B32" i="7" s="1"/>
  <c r="A32" i="7"/>
  <c r="F31" i="7" a="1"/>
  <c r="F31" i="7" s="1"/>
  <c r="E31" i="7" a="1"/>
  <c r="E31" i="7"/>
  <c r="D31" i="7" a="1"/>
  <c r="D31" i="7" s="1"/>
  <c r="C31" i="7" a="1"/>
  <c r="C31" i="7" s="1"/>
  <c r="B31" i="7" a="1"/>
  <c r="B31" i="7" s="1"/>
  <c r="G31" i="7" s="1"/>
  <c r="G30" i="7"/>
  <c r="F30" i="7" a="1"/>
  <c r="F30" i="7" s="1"/>
  <c r="E30" i="7" a="1"/>
  <c r="E30" i="7" s="1"/>
  <c r="D30" i="7" a="1"/>
  <c r="D30" i="7" s="1"/>
  <c r="C30" i="7" a="1"/>
  <c r="C30" i="7"/>
  <c r="B30" i="7" a="1"/>
  <c r="B30" i="7" s="1"/>
  <c r="A30" i="7"/>
  <c r="F29" i="7" a="1"/>
  <c r="F29" i="7" s="1"/>
  <c r="E29" i="7" a="1"/>
  <c r="E29" i="7"/>
  <c r="D29" i="7" a="1"/>
  <c r="D29" i="7" s="1"/>
  <c r="C29" i="7" a="1"/>
  <c r="C29" i="7" s="1"/>
  <c r="B29" i="7" a="1"/>
  <c r="B29" i="7" s="1"/>
  <c r="G29" i="7" s="1"/>
  <c r="G28" i="7"/>
  <c r="F28" i="7" a="1"/>
  <c r="F28" i="7" s="1"/>
  <c r="E28" i="7" a="1"/>
  <c r="E28" i="7" s="1"/>
  <c r="D28" i="7" a="1"/>
  <c r="D28" i="7" s="1"/>
  <c r="C28" i="7" a="1"/>
  <c r="C28" i="7"/>
  <c r="B28" i="7" a="1"/>
  <c r="B28" i="7" s="1"/>
  <c r="A28" i="7"/>
  <c r="F27" i="7" a="1"/>
  <c r="F27" i="7" s="1"/>
  <c r="E27" i="7" a="1"/>
  <c r="E27" i="7"/>
  <c r="D27" i="7" a="1"/>
  <c r="D27" i="7" s="1"/>
  <c r="C27" i="7" a="1"/>
  <c r="C27" i="7" s="1"/>
  <c r="B27" i="7" a="1"/>
  <c r="B27" i="7" s="1"/>
  <c r="G27" i="7" s="1"/>
  <c r="G26" i="7"/>
  <c r="F26" i="7" a="1"/>
  <c r="F26" i="7" s="1"/>
  <c r="E26" i="7" a="1"/>
  <c r="E26" i="7" s="1"/>
  <c r="D26" i="7" a="1"/>
  <c r="D26" i="7" s="1"/>
  <c r="C26" i="7" a="1"/>
  <c r="C26" i="7"/>
  <c r="B26" i="7" a="1"/>
  <c r="B26" i="7" s="1"/>
  <c r="A26" i="7"/>
  <c r="F25" i="7" a="1"/>
  <c r="F25" i="7" s="1"/>
  <c r="E25" i="7" a="1"/>
  <c r="E25" i="7"/>
  <c r="D25" i="7" a="1"/>
  <c r="D25" i="7" s="1"/>
  <c r="C25" i="7" a="1"/>
  <c r="C25" i="7" s="1"/>
  <c r="B25" i="7" a="1"/>
  <c r="B25" i="7" s="1"/>
  <c r="G25" i="7" s="1"/>
  <c r="G24" i="7"/>
  <c r="F24" i="7" a="1"/>
  <c r="F24" i="7" s="1"/>
  <c r="E24" i="7" a="1"/>
  <c r="E24" i="7" s="1"/>
  <c r="D24" i="7" a="1"/>
  <c r="D24" i="7" s="1"/>
  <c r="C24" i="7" a="1"/>
  <c r="C24" i="7"/>
  <c r="B24" i="7" a="1"/>
  <c r="B24" i="7" s="1"/>
  <c r="A24" i="7"/>
  <c r="F23" i="7" a="1"/>
  <c r="F23" i="7" s="1"/>
  <c r="E23" i="7" a="1"/>
  <c r="E23" i="7"/>
  <c r="D23" i="7" a="1"/>
  <c r="D23" i="7" s="1"/>
  <c r="C23" i="7" a="1"/>
  <c r="C23" i="7" s="1"/>
  <c r="B23" i="7" a="1"/>
  <c r="B23" i="7" s="1"/>
  <c r="G23" i="7" s="1"/>
  <c r="G22" i="7"/>
  <c r="F22" i="7" a="1"/>
  <c r="F22" i="7" s="1"/>
  <c r="E22" i="7" a="1"/>
  <c r="E22" i="7" s="1"/>
  <c r="D22" i="7" a="1"/>
  <c r="D22" i="7" s="1"/>
  <c r="C22" i="7" a="1"/>
  <c r="C22" i="7"/>
  <c r="B22" i="7" a="1"/>
  <c r="B22" i="7" s="1"/>
  <c r="A22" i="7"/>
  <c r="F21" i="7" a="1"/>
  <c r="F21" i="7" s="1"/>
  <c r="E21" i="7" a="1"/>
  <c r="E21" i="7"/>
  <c r="D21" i="7" a="1"/>
  <c r="D21" i="7" s="1"/>
  <c r="C21" i="7" a="1"/>
  <c r="C21" i="7" s="1"/>
  <c r="B21" i="7" a="1"/>
  <c r="B21" i="7" s="1"/>
  <c r="G21" i="7" s="1"/>
  <c r="G20" i="7"/>
  <c r="F20" i="7" a="1"/>
  <c r="F20" i="7" s="1"/>
  <c r="E20" i="7" a="1"/>
  <c r="E20" i="7" s="1"/>
  <c r="D20" i="7" a="1"/>
  <c r="D20" i="7" s="1"/>
  <c r="C20" i="7" a="1"/>
  <c r="C20" i="7"/>
  <c r="B20" i="7" a="1"/>
  <c r="B20" i="7" s="1"/>
  <c r="A20" i="7"/>
  <c r="F19" i="7" a="1"/>
  <c r="F19" i="7" s="1"/>
  <c r="E19" i="7" a="1"/>
  <c r="E19" i="7"/>
  <c r="D19" i="7" a="1"/>
  <c r="D19" i="7" s="1"/>
  <c r="C19" i="7" a="1"/>
  <c r="C19" i="7" s="1"/>
  <c r="B19" i="7" a="1"/>
  <c r="B19" i="7" s="1"/>
  <c r="G19" i="7" s="1"/>
  <c r="G18" i="7"/>
  <c r="F18" i="7" a="1"/>
  <c r="F18" i="7" s="1"/>
  <c r="E18" i="7" a="1"/>
  <c r="E18" i="7" s="1"/>
  <c r="D18" i="7" a="1"/>
  <c r="D18" i="7" s="1"/>
  <c r="C18" i="7" a="1"/>
  <c r="C18" i="7"/>
  <c r="B18" i="7" a="1"/>
  <c r="B18" i="7" s="1"/>
  <c r="A18" i="7"/>
  <c r="F17" i="7" a="1"/>
  <c r="F17" i="7" s="1"/>
  <c r="E17" i="7" a="1"/>
  <c r="E17" i="7"/>
  <c r="D17" i="7" a="1"/>
  <c r="D17" i="7" s="1"/>
  <c r="C17" i="7" a="1"/>
  <c r="C17" i="7" s="1"/>
  <c r="B17" i="7" a="1"/>
  <c r="B17" i="7" s="1"/>
  <c r="G17" i="7" s="1"/>
  <c r="G16" i="7"/>
  <c r="F16" i="7" a="1"/>
  <c r="F16" i="7" s="1"/>
  <c r="E16" i="7" a="1"/>
  <c r="E16" i="7" s="1"/>
  <c r="D16" i="7" a="1"/>
  <c r="D16" i="7" s="1"/>
  <c r="C16" i="7" a="1"/>
  <c r="C16" i="7"/>
  <c r="B16" i="7" a="1"/>
  <c r="B16" i="7" s="1"/>
  <c r="A16" i="7"/>
  <c r="F15" i="7" a="1"/>
  <c r="F15" i="7" s="1"/>
  <c r="E15" i="7" a="1"/>
  <c r="E15" i="7"/>
  <c r="D15" i="7" a="1"/>
  <c r="D15" i="7" s="1"/>
  <c r="C15" i="7" a="1"/>
  <c r="C15" i="7" s="1"/>
  <c r="B15" i="7" a="1"/>
  <c r="B15" i="7" s="1"/>
  <c r="G15" i="7" s="1"/>
  <c r="G14" i="7"/>
  <c r="F14" i="7" a="1"/>
  <c r="F14" i="7" s="1"/>
  <c r="E14" i="7" a="1"/>
  <c r="E14" i="7" s="1"/>
  <c r="D14" i="7" a="1"/>
  <c r="D14" i="7" s="1"/>
  <c r="C14" i="7" a="1"/>
  <c r="C14" i="7"/>
  <c r="B14" i="7" a="1"/>
  <c r="B14" i="7" s="1"/>
  <c r="A14" i="7"/>
  <c r="F13" i="7" a="1"/>
  <c r="F13" i="7" s="1"/>
  <c r="E13" i="7" a="1"/>
  <c r="E13" i="7"/>
  <c r="D13" i="7" a="1"/>
  <c r="D13" i="7" s="1"/>
  <c r="C13" i="7" a="1"/>
  <c r="C13" i="7" s="1"/>
  <c r="B13" i="7" a="1"/>
  <c r="B13" i="7" s="1"/>
  <c r="G13" i="7" s="1"/>
  <c r="F12" i="7" a="1"/>
  <c r="F12" i="7" s="1"/>
  <c r="E12" i="7" a="1"/>
  <c r="E12" i="7" s="1"/>
  <c r="D12" i="7" a="1"/>
  <c r="D12" i="7" s="1"/>
  <c r="G12" i="7" s="1"/>
  <c r="C12" i="7" a="1"/>
  <c r="C12" i="7"/>
  <c r="B12" i="7" a="1"/>
  <c r="B12" i="7" s="1"/>
  <c r="A12" i="7"/>
  <c r="E8" i="7" a="1"/>
  <c r="E8" i="7" s="1"/>
  <c r="B8" i="7"/>
  <c r="B7" i="7"/>
  <c r="B6" i="7"/>
  <c r="E5" i="7"/>
  <c r="E6" i="7" s="1"/>
  <c r="B5" i="7"/>
  <c r="E4" i="7"/>
  <c r="B4" i="7"/>
  <c r="I3" i="7"/>
  <c r="A1" i="7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G74" i="6" s="1"/>
  <c r="F73" i="6" a="1"/>
  <c r="F73" i="6" s="1"/>
  <c r="E73" i="6" a="1"/>
  <c r="E73" i="6" s="1"/>
  <c r="D73" i="6" a="1"/>
  <c r="D73" i="6" s="1"/>
  <c r="C73" i="6" a="1"/>
  <c r="C73" i="6" s="1"/>
  <c r="B73" i="6" a="1"/>
  <c r="B73" i="6" s="1"/>
  <c r="G73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F71" i="6" a="1"/>
  <c r="F71" i="6" s="1"/>
  <c r="E71" i="6" a="1"/>
  <c r="E71" i="6" s="1"/>
  <c r="D71" i="6" a="1"/>
  <c r="D71" i="6" s="1"/>
  <c r="C71" i="6" a="1"/>
  <c r="C71" i="6" s="1"/>
  <c r="B71" i="6" a="1"/>
  <c r="B71" i="6" s="1"/>
  <c r="G71" i="6" s="1"/>
  <c r="F70" i="6" a="1"/>
  <c r="F70" i="6" s="1"/>
  <c r="E70" i="6" a="1"/>
  <c r="E70" i="6" s="1"/>
  <c r="D70" i="6" a="1"/>
  <c r="D70" i="6" s="1"/>
  <c r="C70" i="6" a="1"/>
  <c r="C70" i="6" s="1"/>
  <c r="B70" i="6" a="1"/>
  <c r="B70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F68" i="6" a="1"/>
  <c r="F68" i="6" s="1"/>
  <c r="E68" i="6" a="1"/>
  <c r="E68" i="6" s="1"/>
  <c r="D68" i="6" a="1"/>
  <c r="D68" i="6" s="1"/>
  <c r="C68" i="6" a="1"/>
  <c r="C68" i="6" s="1"/>
  <c r="B68" i="6" a="1"/>
  <c r="B68" i="6" s="1"/>
  <c r="F67" i="6" a="1"/>
  <c r="F67" i="6" s="1"/>
  <c r="E67" i="6" a="1"/>
  <c r="E67" i="6" s="1"/>
  <c r="D67" i="6" a="1"/>
  <c r="D67" i="6" s="1"/>
  <c r="C67" i="6" a="1"/>
  <c r="C67" i="6" s="1"/>
  <c r="B67" i="6" a="1"/>
  <c r="B67" i="6" s="1"/>
  <c r="F66" i="6" a="1"/>
  <c r="F66" i="6" s="1"/>
  <c r="E66" i="6" a="1"/>
  <c r="E66" i="6" s="1"/>
  <c r="D66" i="6" a="1"/>
  <c r="D66" i="6" s="1"/>
  <c r="C66" i="6" a="1"/>
  <c r="C66" i="6" s="1"/>
  <c r="B66" i="6" a="1"/>
  <c r="B66" i="6" s="1"/>
  <c r="F65" i="6" a="1"/>
  <c r="F65" i="6" s="1"/>
  <c r="E65" i="6" a="1"/>
  <c r="E65" i="6" s="1"/>
  <c r="D65" i="6" a="1"/>
  <c r="D65" i="6" s="1"/>
  <c r="C65" i="6" a="1"/>
  <c r="C65" i="6" s="1"/>
  <c r="B65" i="6" a="1"/>
  <c r="B65" i="6" s="1"/>
  <c r="F64" i="6" a="1"/>
  <c r="F64" i="6" s="1"/>
  <c r="E64" i="6" a="1"/>
  <c r="E64" i="6" s="1"/>
  <c r="D64" i="6" a="1"/>
  <c r="D64" i="6" s="1"/>
  <c r="C64" i="6" a="1"/>
  <c r="C64" i="6" s="1"/>
  <c r="B64" i="6" a="1"/>
  <c r="B64" i="6" s="1"/>
  <c r="F63" i="6" a="1"/>
  <c r="F63" i="6" s="1"/>
  <c r="E63" i="6" a="1"/>
  <c r="E63" i="6" s="1"/>
  <c r="D63" i="6" a="1"/>
  <c r="D63" i="6" s="1"/>
  <c r="C63" i="6" a="1"/>
  <c r="C63" i="6" s="1"/>
  <c r="B63" i="6" a="1"/>
  <c r="B63" i="6" s="1"/>
  <c r="F62" i="6" a="1"/>
  <c r="F62" i="6" s="1"/>
  <c r="E62" i="6" a="1"/>
  <c r="E62" i="6" s="1"/>
  <c r="D62" i="6" a="1"/>
  <c r="D62" i="6" s="1"/>
  <c r="C62" i="6" a="1"/>
  <c r="C62" i="6" s="1"/>
  <c r="B62" i="6" a="1"/>
  <c r="B62" i="6" s="1"/>
  <c r="F61" i="6" a="1"/>
  <c r="F61" i="6" s="1"/>
  <c r="E61" i="6" a="1"/>
  <c r="E61" i="6" s="1"/>
  <c r="D61" i="6" a="1"/>
  <c r="D61" i="6" s="1"/>
  <c r="C61" i="6" a="1"/>
  <c r="C61" i="6" s="1"/>
  <c r="B61" i="6" a="1"/>
  <c r="B61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F57" i="6" a="1"/>
  <c r="F57" i="6" s="1"/>
  <c r="E57" i="6" a="1"/>
  <c r="E57" i="6" s="1"/>
  <c r="D57" i="6" a="1"/>
  <c r="D57" i="6" s="1"/>
  <c r="C57" i="6" a="1"/>
  <c r="C57" i="6" s="1"/>
  <c r="B57" i="6" a="1"/>
  <c r="B57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F55" i="6" a="1"/>
  <c r="F55" i="6" s="1"/>
  <c r="E55" i="6" a="1"/>
  <c r="E55" i="6" s="1"/>
  <c r="D55" i="6" a="1"/>
  <c r="D55" i="6" s="1"/>
  <c r="C55" i="6" a="1"/>
  <c r="C55" i="6" s="1"/>
  <c r="B55" i="6" a="1"/>
  <c r="B55" i="6" s="1"/>
  <c r="F54" i="6" a="1"/>
  <c r="F54" i="6" s="1"/>
  <c r="E54" i="6" a="1"/>
  <c r="E54" i="6" s="1"/>
  <c r="D54" i="6" a="1"/>
  <c r="D54" i="6" s="1"/>
  <c r="C54" i="6" a="1"/>
  <c r="C54" i="6" s="1"/>
  <c r="B54" i="6" a="1"/>
  <c r="B54" i="6" s="1"/>
  <c r="F53" i="6" a="1"/>
  <c r="F53" i="6" s="1"/>
  <c r="E53" i="6" a="1"/>
  <c r="E53" i="6" s="1"/>
  <c r="D53" i="6" a="1"/>
  <c r="D53" i="6" s="1"/>
  <c r="C53" i="6" a="1"/>
  <c r="C53" i="6" s="1"/>
  <c r="B53" i="6" a="1"/>
  <c r="B53" i="6" s="1"/>
  <c r="F52" i="6" a="1"/>
  <c r="F52" i="6" s="1"/>
  <c r="E52" i="6" a="1"/>
  <c r="E52" i="6" s="1"/>
  <c r="D52" i="6" a="1"/>
  <c r="D52" i="6" s="1"/>
  <c r="C52" i="6" a="1"/>
  <c r="C52" i="6" s="1"/>
  <c r="B52" i="6" a="1"/>
  <c r="B52" i="6" s="1"/>
  <c r="F51" i="6" a="1"/>
  <c r="F51" i="6" s="1"/>
  <c r="E51" i="6" a="1"/>
  <c r="E51" i="6" s="1"/>
  <c r="D51" i="6" a="1"/>
  <c r="D51" i="6" s="1"/>
  <c r="C51" i="6" a="1"/>
  <c r="C51" i="6" s="1"/>
  <c r="B51" i="6" a="1"/>
  <c r="B51" i="6" s="1"/>
  <c r="F50" i="6" a="1"/>
  <c r="F50" i="6" s="1"/>
  <c r="E50" i="6" a="1"/>
  <c r="E50" i="6" s="1"/>
  <c r="D50" i="6" a="1"/>
  <c r="D50" i="6" s="1"/>
  <c r="C50" i="6" a="1"/>
  <c r="C50" i="6" s="1"/>
  <c r="B50" i="6" a="1"/>
  <c r="B50" i="6" s="1"/>
  <c r="F49" i="6" a="1"/>
  <c r="F49" i="6" s="1"/>
  <c r="E49" i="6" a="1"/>
  <c r="E49" i="6" s="1"/>
  <c r="D49" i="6" a="1"/>
  <c r="D49" i="6" s="1"/>
  <c r="C49" i="6" a="1"/>
  <c r="C49" i="6" s="1"/>
  <c r="B49" i="6" a="1"/>
  <c r="B49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E8" i="6" a="1"/>
  <c r="E8" i="6" s="1"/>
  <c r="B8" i="6"/>
  <c r="B7" i="6"/>
  <c r="B6" i="6"/>
  <c r="E5" i="6"/>
  <c r="E6" i="6" s="1"/>
  <c r="B5" i="6"/>
  <c r="E4" i="6"/>
  <c r="B4" i="6"/>
  <c r="I3" i="6"/>
  <c r="A1" i="6"/>
  <c r="G6" i="4"/>
  <c r="E6" i="4"/>
  <c r="G5" i="4"/>
  <c r="E5" i="4"/>
  <c r="H3" i="4"/>
  <c r="G1013" i="3"/>
  <c r="D1013" i="3"/>
  <c r="A1013" i="3"/>
  <c r="G1012" i="3"/>
  <c r="D1012" i="3"/>
  <c r="A1012" i="3"/>
  <c r="G1011" i="3"/>
  <c r="D1011" i="3"/>
  <c r="A1011" i="3"/>
  <c r="G1010" i="3"/>
  <c r="D1010" i="3"/>
  <c r="A1010" i="3"/>
  <c r="G1009" i="3"/>
  <c r="D1009" i="3"/>
  <c r="A1009" i="3"/>
  <c r="G1008" i="3"/>
  <c r="D1008" i="3"/>
  <c r="A1008" i="3"/>
  <c r="G1007" i="3"/>
  <c r="D1007" i="3"/>
  <c r="A1007" i="3"/>
  <c r="G1006" i="3"/>
  <c r="D1006" i="3"/>
  <c r="A1006" i="3"/>
  <c r="G1005" i="3"/>
  <c r="D1005" i="3"/>
  <c r="A1005" i="3"/>
  <c r="G1004" i="3"/>
  <c r="D1004" i="3"/>
  <c r="A1004" i="3"/>
  <c r="G1003" i="3"/>
  <c r="D1003" i="3"/>
  <c r="A1003" i="3"/>
  <c r="G1002" i="3"/>
  <c r="D1002" i="3"/>
  <c r="A1002" i="3"/>
  <c r="G1001" i="3"/>
  <c r="D1001" i="3"/>
  <c r="A1001" i="3"/>
  <c r="G1000" i="3"/>
  <c r="D1000" i="3"/>
  <c r="A1000" i="3"/>
  <c r="G999" i="3"/>
  <c r="D999" i="3"/>
  <c r="A999" i="3"/>
  <c r="G998" i="3"/>
  <c r="D998" i="3"/>
  <c r="A998" i="3"/>
  <c r="G997" i="3"/>
  <c r="D997" i="3"/>
  <c r="A997" i="3"/>
  <c r="G996" i="3"/>
  <c r="D996" i="3"/>
  <c r="A996" i="3"/>
  <c r="G995" i="3"/>
  <c r="D995" i="3"/>
  <c r="A995" i="3"/>
  <c r="G994" i="3"/>
  <c r="D994" i="3"/>
  <c r="A994" i="3"/>
  <c r="G993" i="3"/>
  <c r="D993" i="3"/>
  <c r="A993" i="3"/>
  <c r="G992" i="3"/>
  <c r="D992" i="3"/>
  <c r="A992" i="3"/>
  <c r="G991" i="3"/>
  <c r="D991" i="3"/>
  <c r="A991" i="3"/>
  <c r="G990" i="3"/>
  <c r="D990" i="3"/>
  <c r="A990" i="3"/>
  <c r="G989" i="3"/>
  <c r="D989" i="3"/>
  <c r="A989" i="3"/>
  <c r="G988" i="3"/>
  <c r="D988" i="3"/>
  <c r="A988" i="3"/>
  <c r="G987" i="3"/>
  <c r="D987" i="3"/>
  <c r="A987" i="3"/>
  <c r="G986" i="3"/>
  <c r="D986" i="3"/>
  <c r="A986" i="3"/>
  <c r="G985" i="3"/>
  <c r="D985" i="3"/>
  <c r="A985" i="3"/>
  <c r="G984" i="3"/>
  <c r="D984" i="3"/>
  <c r="A984" i="3"/>
  <c r="G983" i="3"/>
  <c r="D983" i="3"/>
  <c r="A983" i="3"/>
  <c r="G982" i="3"/>
  <c r="D982" i="3"/>
  <c r="A982" i="3"/>
  <c r="G981" i="3"/>
  <c r="D981" i="3"/>
  <c r="A981" i="3"/>
  <c r="G980" i="3"/>
  <c r="D980" i="3"/>
  <c r="A980" i="3"/>
  <c r="G979" i="3"/>
  <c r="D979" i="3"/>
  <c r="A979" i="3"/>
  <c r="G978" i="3"/>
  <c r="D978" i="3"/>
  <c r="A978" i="3"/>
  <c r="G977" i="3"/>
  <c r="D977" i="3"/>
  <c r="A977" i="3"/>
  <c r="G976" i="3"/>
  <c r="D976" i="3"/>
  <c r="A976" i="3"/>
  <c r="G975" i="3"/>
  <c r="D975" i="3"/>
  <c r="A975" i="3"/>
  <c r="G974" i="3"/>
  <c r="D974" i="3"/>
  <c r="A974" i="3"/>
  <c r="G973" i="3"/>
  <c r="D973" i="3"/>
  <c r="A973" i="3"/>
  <c r="G972" i="3"/>
  <c r="D972" i="3"/>
  <c r="A972" i="3"/>
  <c r="G971" i="3"/>
  <c r="D971" i="3"/>
  <c r="A971" i="3"/>
  <c r="G970" i="3"/>
  <c r="D970" i="3"/>
  <c r="A970" i="3"/>
  <c r="G969" i="3"/>
  <c r="D969" i="3"/>
  <c r="A969" i="3"/>
  <c r="G968" i="3"/>
  <c r="D968" i="3"/>
  <c r="A968" i="3"/>
  <c r="G967" i="3"/>
  <c r="D967" i="3"/>
  <c r="A967" i="3"/>
  <c r="G966" i="3"/>
  <c r="D966" i="3"/>
  <c r="A966" i="3"/>
  <c r="G965" i="3"/>
  <c r="D965" i="3"/>
  <c r="A965" i="3"/>
  <c r="G964" i="3"/>
  <c r="D964" i="3"/>
  <c r="A964" i="3"/>
  <c r="G963" i="3"/>
  <c r="D963" i="3"/>
  <c r="A963" i="3"/>
  <c r="G962" i="3"/>
  <c r="D962" i="3"/>
  <c r="A962" i="3"/>
  <c r="G961" i="3"/>
  <c r="D961" i="3"/>
  <c r="A961" i="3"/>
  <c r="G960" i="3"/>
  <c r="D960" i="3"/>
  <c r="A960" i="3"/>
  <c r="G959" i="3"/>
  <c r="D959" i="3"/>
  <c r="A959" i="3"/>
  <c r="G958" i="3"/>
  <c r="D958" i="3"/>
  <c r="A958" i="3"/>
  <c r="G957" i="3"/>
  <c r="D957" i="3"/>
  <c r="A957" i="3"/>
  <c r="G956" i="3"/>
  <c r="D956" i="3"/>
  <c r="A956" i="3"/>
  <c r="G955" i="3"/>
  <c r="D955" i="3"/>
  <c r="A955" i="3"/>
  <c r="G954" i="3"/>
  <c r="D954" i="3"/>
  <c r="A954" i="3"/>
  <c r="G953" i="3"/>
  <c r="D953" i="3"/>
  <c r="A953" i="3"/>
  <c r="G952" i="3"/>
  <c r="D952" i="3"/>
  <c r="A952" i="3"/>
  <c r="G951" i="3"/>
  <c r="D951" i="3"/>
  <c r="A951" i="3"/>
  <c r="G950" i="3"/>
  <c r="D950" i="3"/>
  <c r="A950" i="3"/>
  <c r="G949" i="3"/>
  <c r="D949" i="3"/>
  <c r="A949" i="3"/>
  <c r="G948" i="3"/>
  <c r="D948" i="3"/>
  <c r="A948" i="3"/>
  <c r="G947" i="3"/>
  <c r="D947" i="3"/>
  <c r="A947" i="3"/>
  <c r="G946" i="3"/>
  <c r="D946" i="3"/>
  <c r="A946" i="3"/>
  <c r="G945" i="3"/>
  <c r="D945" i="3"/>
  <c r="A945" i="3"/>
  <c r="G944" i="3"/>
  <c r="D944" i="3"/>
  <c r="A944" i="3"/>
  <c r="G943" i="3"/>
  <c r="D943" i="3"/>
  <c r="A943" i="3"/>
  <c r="G942" i="3"/>
  <c r="D942" i="3"/>
  <c r="A942" i="3"/>
  <c r="G941" i="3"/>
  <c r="D941" i="3"/>
  <c r="A941" i="3"/>
  <c r="G940" i="3"/>
  <c r="D940" i="3"/>
  <c r="A940" i="3"/>
  <c r="G939" i="3"/>
  <c r="D939" i="3"/>
  <c r="A939" i="3"/>
  <c r="G938" i="3"/>
  <c r="D938" i="3"/>
  <c r="A938" i="3"/>
  <c r="G937" i="3"/>
  <c r="D937" i="3"/>
  <c r="A937" i="3"/>
  <c r="G936" i="3"/>
  <c r="D936" i="3"/>
  <c r="A936" i="3"/>
  <c r="G935" i="3"/>
  <c r="D935" i="3"/>
  <c r="A935" i="3"/>
  <c r="G934" i="3"/>
  <c r="D934" i="3"/>
  <c r="A934" i="3"/>
  <c r="G933" i="3"/>
  <c r="D933" i="3"/>
  <c r="A933" i="3"/>
  <c r="G932" i="3"/>
  <c r="D932" i="3"/>
  <c r="A932" i="3"/>
  <c r="G931" i="3"/>
  <c r="D931" i="3"/>
  <c r="A931" i="3"/>
  <c r="G930" i="3"/>
  <c r="D930" i="3"/>
  <c r="A930" i="3"/>
  <c r="G929" i="3"/>
  <c r="D929" i="3"/>
  <c r="A929" i="3"/>
  <c r="G928" i="3"/>
  <c r="D928" i="3"/>
  <c r="A928" i="3"/>
  <c r="G927" i="3"/>
  <c r="D927" i="3"/>
  <c r="A927" i="3"/>
  <c r="G926" i="3"/>
  <c r="D926" i="3"/>
  <c r="A926" i="3"/>
  <c r="G925" i="3"/>
  <c r="D925" i="3"/>
  <c r="A925" i="3"/>
  <c r="G924" i="3"/>
  <c r="D924" i="3"/>
  <c r="A924" i="3"/>
  <c r="G923" i="3"/>
  <c r="D923" i="3"/>
  <c r="A923" i="3"/>
  <c r="G922" i="3"/>
  <c r="D922" i="3"/>
  <c r="A922" i="3"/>
  <c r="G921" i="3"/>
  <c r="D921" i="3"/>
  <c r="A921" i="3"/>
  <c r="G920" i="3"/>
  <c r="D920" i="3"/>
  <c r="A920" i="3"/>
  <c r="G919" i="3"/>
  <c r="D919" i="3"/>
  <c r="A919" i="3"/>
  <c r="G918" i="3"/>
  <c r="D918" i="3"/>
  <c r="A918" i="3"/>
  <c r="G917" i="3"/>
  <c r="D917" i="3"/>
  <c r="A917" i="3"/>
  <c r="G916" i="3"/>
  <c r="D916" i="3"/>
  <c r="A916" i="3"/>
  <c r="G915" i="3"/>
  <c r="D915" i="3"/>
  <c r="A915" i="3"/>
  <c r="G914" i="3"/>
  <c r="D914" i="3"/>
  <c r="A914" i="3"/>
  <c r="G913" i="3"/>
  <c r="D913" i="3"/>
  <c r="A913" i="3"/>
  <c r="G912" i="3"/>
  <c r="D912" i="3"/>
  <c r="A912" i="3"/>
  <c r="G911" i="3"/>
  <c r="D911" i="3"/>
  <c r="A911" i="3"/>
  <c r="G910" i="3"/>
  <c r="D910" i="3"/>
  <c r="A910" i="3"/>
  <c r="G909" i="3"/>
  <c r="D909" i="3"/>
  <c r="A909" i="3"/>
  <c r="G908" i="3"/>
  <c r="D908" i="3"/>
  <c r="A908" i="3"/>
  <c r="G907" i="3"/>
  <c r="D907" i="3"/>
  <c r="A907" i="3"/>
  <c r="G906" i="3"/>
  <c r="D906" i="3"/>
  <c r="A906" i="3"/>
  <c r="G905" i="3"/>
  <c r="D905" i="3"/>
  <c r="A905" i="3"/>
  <c r="G904" i="3"/>
  <c r="D904" i="3"/>
  <c r="A904" i="3"/>
  <c r="G903" i="3"/>
  <c r="D903" i="3"/>
  <c r="A903" i="3"/>
  <c r="G902" i="3"/>
  <c r="D902" i="3"/>
  <c r="A902" i="3"/>
  <c r="G901" i="3"/>
  <c r="D901" i="3"/>
  <c r="A901" i="3"/>
  <c r="G900" i="3"/>
  <c r="D900" i="3"/>
  <c r="A900" i="3"/>
  <c r="G899" i="3"/>
  <c r="D899" i="3"/>
  <c r="A899" i="3"/>
  <c r="G898" i="3"/>
  <c r="D898" i="3"/>
  <c r="A898" i="3"/>
  <c r="G897" i="3"/>
  <c r="D897" i="3"/>
  <c r="A897" i="3"/>
  <c r="G896" i="3"/>
  <c r="D896" i="3"/>
  <c r="A896" i="3"/>
  <c r="G895" i="3"/>
  <c r="D895" i="3"/>
  <c r="A895" i="3"/>
  <c r="G894" i="3"/>
  <c r="D894" i="3"/>
  <c r="A894" i="3"/>
  <c r="G893" i="3"/>
  <c r="D893" i="3"/>
  <c r="A893" i="3"/>
  <c r="G892" i="3"/>
  <c r="D892" i="3"/>
  <c r="A892" i="3"/>
  <c r="G891" i="3"/>
  <c r="D891" i="3"/>
  <c r="A891" i="3"/>
  <c r="G890" i="3"/>
  <c r="D890" i="3"/>
  <c r="A890" i="3"/>
  <c r="G889" i="3"/>
  <c r="D889" i="3"/>
  <c r="A889" i="3"/>
  <c r="G888" i="3"/>
  <c r="D888" i="3"/>
  <c r="A888" i="3"/>
  <c r="G887" i="3"/>
  <c r="D887" i="3"/>
  <c r="A887" i="3"/>
  <c r="G886" i="3"/>
  <c r="D886" i="3"/>
  <c r="A886" i="3"/>
  <c r="G885" i="3"/>
  <c r="D885" i="3"/>
  <c r="A885" i="3"/>
  <c r="G884" i="3"/>
  <c r="D884" i="3"/>
  <c r="A884" i="3"/>
  <c r="G883" i="3"/>
  <c r="D883" i="3"/>
  <c r="A883" i="3"/>
  <c r="G882" i="3"/>
  <c r="D882" i="3"/>
  <c r="A882" i="3"/>
  <c r="G881" i="3"/>
  <c r="D881" i="3"/>
  <c r="A881" i="3"/>
  <c r="G880" i="3"/>
  <c r="D880" i="3"/>
  <c r="A880" i="3"/>
  <c r="G879" i="3"/>
  <c r="D879" i="3"/>
  <c r="A879" i="3"/>
  <c r="G878" i="3"/>
  <c r="D878" i="3"/>
  <c r="A878" i="3"/>
  <c r="G877" i="3"/>
  <c r="D877" i="3"/>
  <c r="A877" i="3"/>
  <c r="G876" i="3"/>
  <c r="D876" i="3"/>
  <c r="A876" i="3"/>
  <c r="G875" i="3"/>
  <c r="D875" i="3"/>
  <c r="A875" i="3"/>
  <c r="G874" i="3"/>
  <c r="D874" i="3"/>
  <c r="A874" i="3"/>
  <c r="G873" i="3"/>
  <c r="D873" i="3"/>
  <c r="A873" i="3"/>
  <c r="G872" i="3"/>
  <c r="D872" i="3"/>
  <c r="A872" i="3"/>
  <c r="G871" i="3"/>
  <c r="D871" i="3"/>
  <c r="A871" i="3"/>
  <c r="G870" i="3"/>
  <c r="D870" i="3"/>
  <c r="A870" i="3"/>
  <c r="G869" i="3"/>
  <c r="D869" i="3"/>
  <c r="A869" i="3"/>
  <c r="G868" i="3"/>
  <c r="D868" i="3"/>
  <c r="A868" i="3"/>
  <c r="G867" i="3"/>
  <c r="D867" i="3"/>
  <c r="A867" i="3"/>
  <c r="G866" i="3"/>
  <c r="D866" i="3"/>
  <c r="A866" i="3"/>
  <c r="G865" i="3"/>
  <c r="D865" i="3"/>
  <c r="A865" i="3"/>
  <c r="G864" i="3"/>
  <c r="D864" i="3"/>
  <c r="A864" i="3"/>
  <c r="G863" i="3"/>
  <c r="D863" i="3"/>
  <c r="A863" i="3"/>
  <c r="G862" i="3"/>
  <c r="D862" i="3"/>
  <c r="A862" i="3"/>
  <c r="G861" i="3"/>
  <c r="D861" i="3"/>
  <c r="A861" i="3"/>
  <c r="G860" i="3"/>
  <c r="D860" i="3"/>
  <c r="A860" i="3"/>
  <c r="G859" i="3"/>
  <c r="D859" i="3"/>
  <c r="A859" i="3"/>
  <c r="G858" i="3"/>
  <c r="D858" i="3"/>
  <c r="A858" i="3"/>
  <c r="G857" i="3"/>
  <c r="D857" i="3"/>
  <c r="A857" i="3"/>
  <c r="G856" i="3"/>
  <c r="D856" i="3"/>
  <c r="A856" i="3"/>
  <c r="G855" i="3"/>
  <c r="D855" i="3"/>
  <c r="A855" i="3"/>
  <c r="G854" i="3"/>
  <c r="D854" i="3"/>
  <c r="A854" i="3"/>
  <c r="G853" i="3"/>
  <c r="D853" i="3"/>
  <c r="A853" i="3"/>
  <c r="G852" i="3"/>
  <c r="D852" i="3"/>
  <c r="A852" i="3"/>
  <c r="G851" i="3"/>
  <c r="D851" i="3"/>
  <c r="A851" i="3"/>
  <c r="G850" i="3"/>
  <c r="D850" i="3"/>
  <c r="A850" i="3"/>
  <c r="G849" i="3"/>
  <c r="D849" i="3"/>
  <c r="A849" i="3"/>
  <c r="G848" i="3"/>
  <c r="D848" i="3"/>
  <c r="A848" i="3"/>
  <c r="G847" i="3"/>
  <c r="D847" i="3"/>
  <c r="A847" i="3"/>
  <c r="G846" i="3"/>
  <c r="D846" i="3"/>
  <c r="A846" i="3"/>
  <c r="G845" i="3"/>
  <c r="D845" i="3"/>
  <c r="A845" i="3"/>
  <c r="G844" i="3"/>
  <c r="D844" i="3"/>
  <c r="A844" i="3"/>
  <c r="G843" i="3"/>
  <c r="D843" i="3"/>
  <c r="A843" i="3"/>
  <c r="G842" i="3"/>
  <c r="D842" i="3"/>
  <c r="A842" i="3"/>
  <c r="G841" i="3"/>
  <c r="D841" i="3"/>
  <c r="A841" i="3"/>
  <c r="G840" i="3"/>
  <c r="D840" i="3"/>
  <c r="A840" i="3"/>
  <c r="G839" i="3"/>
  <c r="D839" i="3"/>
  <c r="A839" i="3"/>
  <c r="G838" i="3"/>
  <c r="D838" i="3"/>
  <c r="A838" i="3"/>
  <c r="G837" i="3"/>
  <c r="D837" i="3"/>
  <c r="A837" i="3"/>
  <c r="G836" i="3"/>
  <c r="D836" i="3"/>
  <c r="A836" i="3"/>
  <c r="G835" i="3"/>
  <c r="D835" i="3"/>
  <c r="A835" i="3"/>
  <c r="G834" i="3"/>
  <c r="D834" i="3"/>
  <c r="A834" i="3"/>
  <c r="G833" i="3"/>
  <c r="D833" i="3"/>
  <c r="A833" i="3"/>
  <c r="G832" i="3"/>
  <c r="D832" i="3"/>
  <c r="A832" i="3"/>
  <c r="G831" i="3"/>
  <c r="D831" i="3"/>
  <c r="A831" i="3"/>
  <c r="G830" i="3"/>
  <c r="D830" i="3"/>
  <c r="A830" i="3"/>
  <c r="G829" i="3"/>
  <c r="D829" i="3"/>
  <c r="A829" i="3"/>
  <c r="G828" i="3"/>
  <c r="D828" i="3"/>
  <c r="A828" i="3"/>
  <c r="G827" i="3"/>
  <c r="D827" i="3"/>
  <c r="A827" i="3"/>
  <c r="G826" i="3"/>
  <c r="D826" i="3"/>
  <c r="A826" i="3"/>
  <c r="G825" i="3"/>
  <c r="D825" i="3"/>
  <c r="A825" i="3"/>
  <c r="G824" i="3"/>
  <c r="D824" i="3"/>
  <c r="A824" i="3"/>
  <c r="G823" i="3"/>
  <c r="D823" i="3"/>
  <c r="A823" i="3"/>
  <c r="G822" i="3"/>
  <c r="D822" i="3"/>
  <c r="A822" i="3"/>
  <c r="G821" i="3"/>
  <c r="D821" i="3"/>
  <c r="A821" i="3"/>
  <c r="G820" i="3"/>
  <c r="D820" i="3"/>
  <c r="A820" i="3"/>
  <c r="G819" i="3"/>
  <c r="D819" i="3"/>
  <c r="A819" i="3"/>
  <c r="G818" i="3"/>
  <c r="D818" i="3"/>
  <c r="A818" i="3"/>
  <c r="G817" i="3"/>
  <c r="D817" i="3"/>
  <c r="A817" i="3"/>
  <c r="G816" i="3"/>
  <c r="D816" i="3"/>
  <c r="A816" i="3"/>
  <c r="G815" i="3"/>
  <c r="D815" i="3"/>
  <c r="A815" i="3"/>
  <c r="G814" i="3"/>
  <c r="D814" i="3"/>
  <c r="A814" i="3"/>
  <c r="G813" i="3"/>
  <c r="D813" i="3"/>
  <c r="A813" i="3"/>
  <c r="G812" i="3"/>
  <c r="D812" i="3"/>
  <c r="A812" i="3"/>
  <c r="G811" i="3"/>
  <c r="D811" i="3"/>
  <c r="A811" i="3"/>
  <c r="G810" i="3"/>
  <c r="D810" i="3"/>
  <c r="A810" i="3"/>
  <c r="G809" i="3"/>
  <c r="D809" i="3"/>
  <c r="A809" i="3"/>
  <c r="G808" i="3"/>
  <c r="D808" i="3"/>
  <c r="A808" i="3"/>
  <c r="G807" i="3"/>
  <c r="D807" i="3"/>
  <c r="A807" i="3"/>
  <c r="G806" i="3"/>
  <c r="D806" i="3"/>
  <c r="A806" i="3"/>
  <c r="G805" i="3"/>
  <c r="D805" i="3"/>
  <c r="A805" i="3"/>
  <c r="G804" i="3"/>
  <c r="D804" i="3"/>
  <c r="A804" i="3"/>
  <c r="G803" i="3"/>
  <c r="D803" i="3"/>
  <c r="A803" i="3"/>
  <c r="G802" i="3"/>
  <c r="D802" i="3"/>
  <c r="A802" i="3"/>
  <c r="G801" i="3"/>
  <c r="D801" i="3"/>
  <c r="A801" i="3"/>
  <c r="G800" i="3"/>
  <c r="D800" i="3"/>
  <c r="A800" i="3"/>
  <c r="G799" i="3"/>
  <c r="D799" i="3"/>
  <c r="A799" i="3"/>
  <c r="G798" i="3"/>
  <c r="D798" i="3"/>
  <c r="A798" i="3"/>
  <c r="G797" i="3"/>
  <c r="D797" i="3"/>
  <c r="A797" i="3"/>
  <c r="G796" i="3"/>
  <c r="D796" i="3"/>
  <c r="A796" i="3"/>
  <c r="G795" i="3"/>
  <c r="D795" i="3"/>
  <c r="A795" i="3"/>
  <c r="G794" i="3"/>
  <c r="D794" i="3"/>
  <c r="A794" i="3"/>
  <c r="G793" i="3"/>
  <c r="D793" i="3"/>
  <c r="A793" i="3"/>
  <c r="G792" i="3"/>
  <c r="D792" i="3"/>
  <c r="A792" i="3"/>
  <c r="G791" i="3"/>
  <c r="D791" i="3"/>
  <c r="A791" i="3"/>
  <c r="G790" i="3"/>
  <c r="D790" i="3"/>
  <c r="A790" i="3"/>
  <c r="G789" i="3"/>
  <c r="D789" i="3"/>
  <c r="A789" i="3"/>
  <c r="G788" i="3"/>
  <c r="D788" i="3"/>
  <c r="A788" i="3"/>
  <c r="G787" i="3"/>
  <c r="D787" i="3"/>
  <c r="A787" i="3"/>
  <c r="G786" i="3"/>
  <c r="D786" i="3"/>
  <c r="A786" i="3"/>
  <c r="G785" i="3"/>
  <c r="D785" i="3"/>
  <c r="A785" i="3"/>
  <c r="G784" i="3"/>
  <c r="D784" i="3"/>
  <c r="A784" i="3"/>
  <c r="G783" i="3"/>
  <c r="D783" i="3"/>
  <c r="A783" i="3"/>
  <c r="G782" i="3"/>
  <c r="D782" i="3"/>
  <c r="A782" i="3"/>
  <c r="G781" i="3"/>
  <c r="D781" i="3"/>
  <c r="A781" i="3"/>
  <c r="G780" i="3"/>
  <c r="D780" i="3"/>
  <c r="A780" i="3"/>
  <c r="G779" i="3"/>
  <c r="D779" i="3"/>
  <c r="A779" i="3"/>
  <c r="G778" i="3"/>
  <c r="D778" i="3"/>
  <c r="A778" i="3"/>
  <c r="G777" i="3"/>
  <c r="D777" i="3"/>
  <c r="A777" i="3"/>
  <c r="G776" i="3"/>
  <c r="D776" i="3"/>
  <c r="A776" i="3"/>
  <c r="G775" i="3"/>
  <c r="D775" i="3"/>
  <c r="A775" i="3"/>
  <c r="G774" i="3"/>
  <c r="D774" i="3"/>
  <c r="A774" i="3"/>
  <c r="G773" i="3"/>
  <c r="D773" i="3"/>
  <c r="A773" i="3"/>
  <c r="G772" i="3"/>
  <c r="D772" i="3"/>
  <c r="A772" i="3"/>
  <c r="G771" i="3"/>
  <c r="D771" i="3"/>
  <c r="A771" i="3"/>
  <c r="G770" i="3"/>
  <c r="D770" i="3"/>
  <c r="A770" i="3"/>
  <c r="G769" i="3"/>
  <c r="D769" i="3"/>
  <c r="A769" i="3"/>
  <c r="G768" i="3"/>
  <c r="D768" i="3"/>
  <c r="A768" i="3"/>
  <c r="G767" i="3"/>
  <c r="D767" i="3"/>
  <c r="A767" i="3"/>
  <c r="G766" i="3"/>
  <c r="D766" i="3"/>
  <c r="A766" i="3"/>
  <c r="G765" i="3"/>
  <c r="D765" i="3"/>
  <c r="A765" i="3"/>
  <c r="G764" i="3"/>
  <c r="D764" i="3"/>
  <c r="A764" i="3"/>
  <c r="G763" i="3"/>
  <c r="D763" i="3"/>
  <c r="A763" i="3"/>
  <c r="G762" i="3"/>
  <c r="D762" i="3"/>
  <c r="A762" i="3"/>
  <c r="G761" i="3"/>
  <c r="D761" i="3"/>
  <c r="A761" i="3"/>
  <c r="G760" i="3"/>
  <c r="D760" i="3"/>
  <c r="A760" i="3"/>
  <c r="G759" i="3"/>
  <c r="D759" i="3"/>
  <c r="A759" i="3"/>
  <c r="G758" i="3"/>
  <c r="D758" i="3"/>
  <c r="A758" i="3"/>
  <c r="G757" i="3"/>
  <c r="D757" i="3"/>
  <c r="A757" i="3"/>
  <c r="G756" i="3"/>
  <c r="D756" i="3"/>
  <c r="A756" i="3"/>
  <c r="G755" i="3"/>
  <c r="D755" i="3"/>
  <c r="A755" i="3"/>
  <c r="G754" i="3"/>
  <c r="D754" i="3"/>
  <c r="A754" i="3"/>
  <c r="G753" i="3"/>
  <c r="D753" i="3"/>
  <c r="A753" i="3"/>
  <c r="G752" i="3"/>
  <c r="D752" i="3"/>
  <c r="A752" i="3"/>
  <c r="G751" i="3"/>
  <c r="D751" i="3"/>
  <c r="A751" i="3"/>
  <c r="G750" i="3"/>
  <c r="D750" i="3"/>
  <c r="A750" i="3"/>
  <c r="G749" i="3"/>
  <c r="D749" i="3"/>
  <c r="A749" i="3"/>
  <c r="G748" i="3"/>
  <c r="D748" i="3"/>
  <c r="A748" i="3"/>
  <c r="G747" i="3"/>
  <c r="D747" i="3"/>
  <c r="A747" i="3"/>
  <c r="G746" i="3"/>
  <c r="D746" i="3"/>
  <c r="A746" i="3"/>
  <c r="G745" i="3"/>
  <c r="D745" i="3"/>
  <c r="A745" i="3"/>
  <c r="G744" i="3"/>
  <c r="D744" i="3"/>
  <c r="A744" i="3"/>
  <c r="G743" i="3"/>
  <c r="D743" i="3"/>
  <c r="A743" i="3"/>
  <c r="G742" i="3"/>
  <c r="D742" i="3"/>
  <c r="A742" i="3"/>
  <c r="G741" i="3"/>
  <c r="D741" i="3"/>
  <c r="A741" i="3"/>
  <c r="G740" i="3"/>
  <c r="D740" i="3"/>
  <c r="A740" i="3"/>
  <c r="G739" i="3"/>
  <c r="D739" i="3"/>
  <c r="A739" i="3"/>
  <c r="G738" i="3"/>
  <c r="D738" i="3"/>
  <c r="A738" i="3"/>
  <c r="G737" i="3"/>
  <c r="D737" i="3"/>
  <c r="A737" i="3"/>
  <c r="G736" i="3"/>
  <c r="D736" i="3"/>
  <c r="A736" i="3"/>
  <c r="G735" i="3"/>
  <c r="D735" i="3"/>
  <c r="A735" i="3"/>
  <c r="G734" i="3"/>
  <c r="D734" i="3"/>
  <c r="A734" i="3"/>
  <c r="G733" i="3"/>
  <c r="D733" i="3"/>
  <c r="A733" i="3"/>
  <c r="G732" i="3"/>
  <c r="D732" i="3"/>
  <c r="A732" i="3"/>
  <c r="G731" i="3"/>
  <c r="D731" i="3"/>
  <c r="A731" i="3"/>
  <c r="G730" i="3"/>
  <c r="D730" i="3"/>
  <c r="A730" i="3"/>
  <c r="G729" i="3"/>
  <c r="D729" i="3"/>
  <c r="A729" i="3"/>
  <c r="G728" i="3"/>
  <c r="D728" i="3"/>
  <c r="A728" i="3"/>
  <c r="G727" i="3"/>
  <c r="D727" i="3"/>
  <c r="A727" i="3"/>
  <c r="G726" i="3"/>
  <c r="D726" i="3"/>
  <c r="A726" i="3"/>
  <c r="G725" i="3"/>
  <c r="D725" i="3"/>
  <c r="A725" i="3"/>
  <c r="G724" i="3"/>
  <c r="D724" i="3"/>
  <c r="A724" i="3"/>
  <c r="G723" i="3"/>
  <c r="D723" i="3"/>
  <c r="A723" i="3"/>
  <c r="G722" i="3"/>
  <c r="D722" i="3"/>
  <c r="A722" i="3"/>
  <c r="G721" i="3"/>
  <c r="D721" i="3"/>
  <c r="A721" i="3"/>
  <c r="G720" i="3"/>
  <c r="D720" i="3"/>
  <c r="A720" i="3"/>
  <c r="G719" i="3"/>
  <c r="D719" i="3"/>
  <c r="A719" i="3"/>
  <c r="G718" i="3"/>
  <c r="D718" i="3"/>
  <c r="A718" i="3"/>
  <c r="G717" i="3"/>
  <c r="D717" i="3"/>
  <c r="A717" i="3"/>
  <c r="G716" i="3"/>
  <c r="D716" i="3"/>
  <c r="A716" i="3"/>
  <c r="G715" i="3"/>
  <c r="D715" i="3"/>
  <c r="A715" i="3"/>
  <c r="G714" i="3"/>
  <c r="D714" i="3"/>
  <c r="A714" i="3"/>
  <c r="G713" i="3"/>
  <c r="D713" i="3"/>
  <c r="A713" i="3"/>
  <c r="G712" i="3"/>
  <c r="D712" i="3"/>
  <c r="A712" i="3"/>
  <c r="G711" i="3"/>
  <c r="D711" i="3"/>
  <c r="A711" i="3"/>
  <c r="G710" i="3"/>
  <c r="D710" i="3"/>
  <c r="A710" i="3"/>
  <c r="G709" i="3"/>
  <c r="D709" i="3"/>
  <c r="A709" i="3"/>
  <c r="G708" i="3"/>
  <c r="D708" i="3"/>
  <c r="A708" i="3"/>
  <c r="G707" i="3"/>
  <c r="D707" i="3"/>
  <c r="A707" i="3"/>
  <c r="G706" i="3"/>
  <c r="D706" i="3"/>
  <c r="A706" i="3"/>
  <c r="G705" i="3"/>
  <c r="D705" i="3"/>
  <c r="A705" i="3"/>
  <c r="G704" i="3"/>
  <c r="D704" i="3"/>
  <c r="A704" i="3"/>
  <c r="G703" i="3"/>
  <c r="D703" i="3"/>
  <c r="A703" i="3"/>
  <c r="G702" i="3"/>
  <c r="D702" i="3"/>
  <c r="A702" i="3"/>
  <c r="G701" i="3"/>
  <c r="D701" i="3"/>
  <c r="A701" i="3"/>
  <c r="G700" i="3"/>
  <c r="D700" i="3"/>
  <c r="A700" i="3"/>
  <c r="G699" i="3"/>
  <c r="D699" i="3"/>
  <c r="A699" i="3"/>
  <c r="G698" i="3"/>
  <c r="D698" i="3"/>
  <c r="A698" i="3"/>
  <c r="G697" i="3"/>
  <c r="D697" i="3"/>
  <c r="A697" i="3"/>
  <c r="G696" i="3"/>
  <c r="D696" i="3"/>
  <c r="A696" i="3"/>
  <c r="G695" i="3"/>
  <c r="D695" i="3"/>
  <c r="A695" i="3"/>
  <c r="G694" i="3"/>
  <c r="D694" i="3"/>
  <c r="A694" i="3"/>
  <c r="G693" i="3"/>
  <c r="D693" i="3"/>
  <c r="A693" i="3"/>
  <c r="G692" i="3"/>
  <c r="D692" i="3"/>
  <c r="A692" i="3"/>
  <c r="G691" i="3"/>
  <c r="D691" i="3"/>
  <c r="A691" i="3"/>
  <c r="G690" i="3"/>
  <c r="D690" i="3"/>
  <c r="A690" i="3"/>
  <c r="G689" i="3"/>
  <c r="D689" i="3"/>
  <c r="A689" i="3"/>
  <c r="G688" i="3"/>
  <c r="D688" i="3"/>
  <c r="A688" i="3"/>
  <c r="G687" i="3"/>
  <c r="D687" i="3"/>
  <c r="A687" i="3"/>
  <c r="G686" i="3"/>
  <c r="D686" i="3"/>
  <c r="A686" i="3"/>
  <c r="G685" i="3"/>
  <c r="D685" i="3"/>
  <c r="A685" i="3"/>
  <c r="G684" i="3"/>
  <c r="D684" i="3"/>
  <c r="A684" i="3"/>
  <c r="G683" i="3"/>
  <c r="D683" i="3"/>
  <c r="A683" i="3"/>
  <c r="G682" i="3"/>
  <c r="D682" i="3"/>
  <c r="A682" i="3"/>
  <c r="G681" i="3"/>
  <c r="D681" i="3"/>
  <c r="A681" i="3"/>
  <c r="G680" i="3"/>
  <c r="D680" i="3"/>
  <c r="A680" i="3"/>
  <c r="G679" i="3"/>
  <c r="D679" i="3"/>
  <c r="A679" i="3"/>
  <c r="G678" i="3"/>
  <c r="D678" i="3"/>
  <c r="A678" i="3"/>
  <c r="G677" i="3"/>
  <c r="D677" i="3"/>
  <c r="A677" i="3"/>
  <c r="G676" i="3"/>
  <c r="D676" i="3"/>
  <c r="A676" i="3"/>
  <c r="G675" i="3"/>
  <c r="D675" i="3"/>
  <c r="A675" i="3"/>
  <c r="G674" i="3"/>
  <c r="D674" i="3"/>
  <c r="A674" i="3"/>
  <c r="G673" i="3"/>
  <c r="D673" i="3"/>
  <c r="A673" i="3"/>
  <c r="G672" i="3"/>
  <c r="D672" i="3"/>
  <c r="A672" i="3"/>
  <c r="G671" i="3"/>
  <c r="D671" i="3"/>
  <c r="A671" i="3"/>
  <c r="G670" i="3"/>
  <c r="D670" i="3"/>
  <c r="A670" i="3"/>
  <c r="G669" i="3"/>
  <c r="D669" i="3"/>
  <c r="A669" i="3"/>
  <c r="G668" i="3"/>
  <c r="D668" i="3"/>
  <c r="A668" i="3"/>
  <c r="G667" i="3"/>
  <c r="D667" i="3"/>
  <c r="A667" i="3"/>
  <c r="G666" i="3"/>
  <c r="D666" i="3"/>
  <c r="A666" i="3"/>
  <c r="G665" i="3"/>
  <c r="D665" i="3"/>
  <c r="A665" i="3"/>
  <c r="G664" i="3"/>
  <c r="D664" i="3"/>
  <c r="A664" i="3"/>
  <c r="G663" i="3"/>
  <c r="D663" i="3"/>
  <c r="A663" i="3"/>
  <c r="G662" i="3"/>
  <c r="D662" i="3"/>
  <c r="A662" i="3"/>
  <c r="G661" i="3"/>
  <c r="D661" i="3"/>
  <c r="A661" i="3"/>
  <c r="G660" i="3"/>
  <c r="D660" i="3"/>
  <c r="A660" i="3"/>
  <c r="G659" i="3"/>
  <c r="D659" i="3"/>
  <c r="A659" i="3"/>
  <c r="G658" i="3"/>
  <c r="D658" i="3"/>
  <c r="A658" i="3"/>
  <c r="G657" i="3"/>
  <c r="D657" i="3"/>
  <c r="A657" i="3"/>
  <c r="G656" i="3"/>
  <c r="D656" i="3"/>
  <c r="A656" i="3"/>
  <c r="G655" i="3"/>
  <c r="D655" i="3"/>
  <c r="A655" i="3"/>
  <c r="G654" i="3"/>
  <c r="D654" i="3"/>
  <c r="A654" i="3"/>
  <c r="G653" i="3"/>
  <c r="D653" i="3"/>
  <c r="A653" i="3"/>
  <c r="G652" i="3"/>
  <c r="D652" i="3"/>
  <c r="A652" i="3"/>
  <c r="G651" i="3"/>
  <c r="D651" i="3"/>
  <c r="A651" i="3"/>
  <c r="G650" i="3"/>
  <c r="D650" i="3"/>
  <c r="A650" i="3"/>
  <c r="G649" i="3"/>
  <c r="D649" i="3"/>
  <c r="A649" i="3"/>
  <c r="G648" i="3"/>
  <c r="D648" i="3"/>
  <c r="A648" i="3"/>
  <c r="G647" i="3"/>
  <c r="D647" i="3"/>
  <c r="A647" i="3"/>
  <c r="G646" i="3"/>
  <c r="D646" i="3"/>
  <c r="A646" i="3"/>
  <c r="G645" i="3"/>
  <c r="D645" i="3"/>
  <c r="A645" i="3"/>
  <c r="G644" i="3"/>
  <c r="D644" i="3"/>
  <c r="A644" i="3"/>
  <c r="G643" i="3"/>
  <c r="D643" i="3"/>
  <c r="A643" i="3"/>
  <c r="G642" i="3"/>
  <c r="D642" i="3"/>
  <c r="A642" i="3"/>
  <c r="G641" i="3"/>
  <c r="D641" i="3"/>
  <c r="A641" i="3"/>
  <c r="G640" i="3"/>
  <c r="D640" i="3"/>
  <c r="A640" i="3"/>
  <c r="G639" i="3"/>
  <c r="D639" i="3"/>
  <c r="A639" i="3"/>
  <c r="G638" i="3"/>
  <c r="D638" i="3"/>
  <c r="A638" i="3"/>
  <c r="G637" i="3"/>
  <c r="D637" i="3"/>
  <c r="A637" i="3"/>
  <c r="G636" i="3"/>
  <c r="D636" i="3"/>
  <c r="A636" i="3"/>
  <c r="G635" i="3"/>
  <c r="D635" i="3"/>
  <c r="A635" i="3"/>
  <c r="G634" i="3"/>
  <c r="D634" i="3"/>
  <c r="A634" i="3"/>
  <c r="G633" i="3"/>
  <c r="D633" i="3"/>
  <c r="A633" i="3"/>
  <c r="G632" i="3"/>
  <c r="D632" i="3"/>
  <c r="A632" i="3"/>
  <c r="G631" i="3"/>
  <c r="D631" i="3"/>
  <c r="A631" i="3"/>
  <c r="G630" i="3"/>
  <c r="D630" i="3"/>
  <c r="A630" i="3"/>
  <c r="G629" i="3"/>
  <c r="D629" i="3"/>
  <c r="A629" i="3"/>
  <c r="G628" i="3"/>
  <c r="D628" i="3"/>
  <c r="A628" i="3"/>
  <c r="G627" i="3"/>
  <c r="D627" i="3"/>
  <c r="A627" i="3"/>
  <c r="G626" i="3"/>
  <c r="D626" i="3"/>
  <c r="A626" i="3"/>
  <c r="G625" i="3"/>
  <c r="D625" i="3"/>
  <c r="A625" i="3"/>
  <c r="G624" i="3"/>
  <c r="D624" i="3"/>
  <c r="A624" i="3"/>
  <c r="G623" i="3"/>
  <c r="D623" i="3"/>
  <c r="A623" i="3"/>
  <c r="G622" i="3"/>
  <c r="D622" i="3"/>
  <c r="A622" i="3"/>
  <c r="G621" i="3"/>
  <c r="D621" i="3"/>
  <c r="A621" i="3"/>
  <c r="G620" i="3"/>
  <c r="D620" i="3"/>
  <c r="A620" i="3"/>
  <c r="G619" i="3"/>
  <c r="D619" i="3"/>
  <c r="A619" i="3"/>
  <c r="G618" i="3"/>
  <c r="D618" i="3"/>
  <c r="A618" i="3"/>
  <c r="G617" i="3"/>
  <c r="D617" i="3"/>
  <c r="A617" i="3"/>
  <c r="G616" i="3"/>
  <c r="D616" i="3"/>
  <c r="A616" i="3"/>
  <c r="G615" i="3"/>
  <c r="D615" i="3"/>
  <c r="A615" i="3"/>
  <c r="G614" i="3"/>
  <c r="D614" i="3"/>
  <c r="A614" i="3"/>
  <c r="G613" i="3"/>
  <c r="D613" i="3"/>
  <c r="A613" i="3"/>
  <c r="G612" i="3"/>
  <c r="D612" i="3"/>
  <c r="A612" i="3"/>
  <c r="G611" i="3"/>
  <c r="D611" i="3"/>
  <c r="A611" i="3"/>
  <c r="G610" i="3"/>
  <c r="D610" i="3"/>
  <c r="A610" i="3"/>
  <c r="G609" i="3"/>
  <c r="D609" i="3"/>
  <c r="A609" i="3"/>
  <c r="G608" i="3"/>
  <c r="D608" i="3"/>
  <c r="A608" i="3"/>
  <c r="G607" i="3"/>
  <c r="D607" i="3"/>
  <c r="A607" i="3"/>
  <c r="G606" i="3"/>
  <c r="D606" i="3"/>
  <c r="A606" i="3"/>
  <c r="G605" i="3"/>
  <c r="D605" i="3"/>
  <c r="A605" i="3"/>
  <c r="G604" i="3"/>
  <c r="D604" i="3"/>
  <c r="A604" i="3"/>
  <c r="G603" i="3"/>
  <c r="D603" i="3"/>
  <c r="A603" i="3"/>
  <c r="G602" i="3"/>
  <c r="D602" i="3"/>
  <c r="A602" i="3"/>
  <c r="G601" i="3"/>
  <c r="D601" i="3"/>
  <c r="A601" i="3"/>
  <c r="G600" i="3"/>
  <c r="D600" i="3"/>
  <c r="A600" i="3"/>
  <c r="G599" i="3"/>
  <c r="D599" i="3"/>
  <c r="A599" i="3"/>
  <c r="G598" i="3"/>
  <c r="D598" i="3"/>
  <c r="A598" i="3"/>
  <c r="G597" i="3"/>
  <c r="D597" i="3"/>
  <c r="A597" i="3"/>
  <c r="G596" i="3"/>
  <c r="D596" i="3"/>
  <c r="A596" i="3"/>
  <c r="G595" i="3"/>
  <c r="D595" i="3"/>
  <c r="A595" i="3"/>
  <c r="G594" i="3"/>
  <c r="D594" i="3"/>
  <c r="A594" i="3"/>
  <c r="G593" i="3"/>
  <c r="D593" i="3"/>
  <c r="A593" i="3"/>
  <c r="G592" i="3"/>
  <c r="D592" i="3"/>
  <c r="A592" i="3"/>
  <c r="G591" i="3"/>
  <c r="D591" i="3"/>
  <c r="A591" i="3"/>
  <c r="G590" i="3"/>
  <c r="D590" i="3"/>
  <c r="A590" i="3"/>
  <c r="G589" i="3"/>
  <c r="D589" i="3"/>
  <c r="A589" i="3"/>
  <c r="G588" i="3"/>
  <c r="D588" i="3"/>
  <c r="A588" i="3"/>
  <c r="G587" i="3"/>
  <c r="D587" i="3"/>
  <c r="A587" i="3"/>
  <c r="G586" i="3"/>
  <c r="D586" i="3"/>
  <c r="A586" i="3"/>
  <c r="G585" i="3"/>
  <c r="D585" i="3"/>
  <c r="A585" i="3"/>
  <c r="G584" i="3"/>
  <c r="D584" i="3"/>
  <c r="A584" i="3"/>
  <c r="G583" i="3"/>
  <c r="D583" i="3"/>
  <c r="A583" i="3"/>
  <c r="G582" i="3"/>
  <c r="D582" i="3"/>
  <c r="A582" i="3"/>
  <c r="G581" i="3"/>
  <c r="D581" i="3"/>
  <c r="A581" i="3"/>
  <c r="G580" i="3"/>
  <c r="D580" i="3"/>
  <c r="A580" i="3"/>
  <c r="G579" i="3"/>
  <c r="D579" i="3"/>
  <c r="A579" i="3"/>
  <c r="G578" i="3"/>
  <c r="D578" i="3"/>
  <c r="A578" i="3"/>
  <c r="G577" i="3"/>
  <c r="D577" i="3"/>
  <c r="A577" i="3"/>
  <c r="G576" i="3"/>
  <c r="D576" i="3"/>
  <c r="A576" i="3"/>
  <c r="G575" i="3"/>
  <c r="D575" i="3"/>
  <c r="A575" i="3"/>
  <c r="G574" i="3"/>
  <c r="D574" i="3"/>
  <c r="A574" i="3"/>
  <c r="G573" i="3"/>
  <c r="D573" i="3"/>
  <c r="A573" i="3"/>
  <c r="G572" i="3"/>
  <c r="D572" i="3"/>
  <c r="A572" i="3"/>
  <c r="G571" i="3"/>
  <c r="D571" i="3"/>
  <c r="A571" i="3"/>
  <c r="G570" i="3"/>
  <c r="D570" i="3"/>
  <c r="A570" i="3"/>
  <c r="G569" i="3"/>
  <c r="D569" i="3"/>
  <c r="A569" i="3"/>
  <c r="G568" i="3"/>
  <c r="D568" i="3"/>
  <c r="A568" i="3"/>
  <c r="G567" i="3"/>
  <c r="D567" i="3"/>
  <c r="A567" i="3"/>
  <c r="G566" i="3"/>
  <c r="D566" i="3"/>
  <c r="A566" i="3"/>
  <c r="G565" i="3"/>
  <c r="D565" i="3"/>
  <c r="A565" i="3"/>
  <c r="G564" i="3"/>
  <c r="D564" i="3"/>
  <c r="A564" i="3"/>
  <c r="G563" i="3"/>
  <c r="D563" i="3"/>
  <c r="A563" i="3"/>
  <c r="G562" i="3"/>
  <c r="D562" i="3"/>
  <c r="A562" i="3"/>
  <c r="G561" i="3"/>
  <c r="D561" i="3"/>
  <c r="A561" i="3"/>
  <c r="G560" i="3"/>
  <c r="D560" i="3"/>
  <c r="A560" i="3"/>
  <c r="G559" i="3"/>
  <c r="D559" i="3"/>
  <c r="A559" i="3"/>
  <c r="G558" i="3"/>
  <c r="D558" i="3"/>
  <c r="A558" i="3"/>
  <c r="G557" i="3"/>
  <c r="D557" i="3"/>
  <c r="A557" i="3"/>
  <c r="G556" i="3"/>
  <c r="D556" i="3"/>
  <c r="A556" i="3"/>
  <c r="G555" i="3"/>
  <c r="D555" i="3"/>
  <c r="A555" i="3"/>
  <c r="G554" i="3"/>
  <c r="D554" i="3"/>
  <c r="A554" i="3"/>
  <c r="G553" i="3"/>
  <c r="D553" i="3"/>
  <c r="A553" i="3"/>
  <c r="G552" i="3"/>
  <c r="D552" i="3"/>
  <c r="A552" i="3"/>
  <c r="G551" i="3"/>
  <c r="D551" i="3"/>
  <c r="A551" i="3"/>
  <c r="G550" i="3"/>
  <c r="D550" i="3"/>
  <c r="A550" i="3"/>
  <c r="G549" i="3"/>
  <c r="D549" i="3"/>
  <c r="A549" i="3"/>
  <c r="G548" i="3"/>
  <c r="D548" i="3"/>
  <c r="A548" i="3"/>
  <c r="G547" i="3"/>
  <c r="D547" i="3"/>
  <c r="A547" i="3"/>
  <c r="G546" i="3"/>
  <c r="D546" i="3"/>
  <c r="A546" i="3"/>
  <c r="G545" i="3"/>
  <c r="D545" i="3"/>
  <c r="A545" i="3"/>
  <c r="G544" i="3"/>
  <c r="D544" i="3"/>
  <c r="A544" i="3"/>
  <c r="G543" i="3"/>
  <c r="D543" i="3"/>
  <c r="A543" i="3"/>
  <c r="G542" i="3"/>
  <c r="D542" i="3"/>
  <c r="A542" i="3"/>
  <c r="G541" i="3"/>
  <c r="D541" i="3"/>
  <c r="A541" i="3"/>
  <c r="G540" i="3"/>
  <c r="D540" i="3"/>
  <c r="A540" i="3"/>
  <c r="G539" i="3"/>
  <c r="D539" i="3"/>
  <c r="A539" i="3"/>
  <c r="G538" i="3"/>
  <c r="D538" i="3"/>
  <c r="A538" i="3"/>
  <c r="G537" i="3"/>
  <c r="D537" i="3"/>
  <c r="A537" i="3"/>
  <c r="G536" i="3"/>
  <c r="D536" i="3"/>
  <c r="A536" i="3"/>
  <c r="G535" i="3"/>
  <c r="D535" i="3"/>
  <c r="A535" i="3"/>
  <c r="G534" i="3"/>
  <c r="D534" i="3"/>
  <c r="A534" i="3"/>
  <c r="G533" i="3"/>
  <c r="D533" i="3"/>
  <c r="A533" i="3"/>
  <c r="G532" i="3"/>
  <c r="D532" i="3"/>
  <c r="A532" i="3"/>
  <c r="G531" i="3"/>
  <c r="D531" i="3"/>
  <c r="A531" i="3"/>
  <c r="G530" i="3"/>
  <c r="D530" i="3"/>
  <c r="A530" i="3"/>
  <c r="G529" i="3"/>
  <c r="D529" i="3"/>
  <c r="A529" i="3"/>
  <c r="G528" i="3"/>
  <c r="D528" i="3"/>
  <c r="A528" i="3"/>
  <c r="G527" i="3"/>
  <c r="D527" i="3"/>
  <c r="A527" i="3"/>
  <c r="G526" i="3"/>
  <c r="D526" i="3"/>
  <c r="A526" i="3"/>
  <c r="G525" i="3"/>
  <c r="D525" i="3"/>
  <c r="A525" i="3"/>
  <c r="G524" i="3"/>
  <c r="D524" i="3"/>
  <c r="A524" i="3"/>
  <c r="G523" i="3"/>
  <c r="D523" i="3"/>
  <c r="A523" i="3"/>
  <c r="G522" i="3"/>
  <c r="D522" i="3"/>
  <c r="A522" i="3"/>
  <c r="G521" i="3"/>
  <c r="D521" i="3"/>
  <c r="A521" i="3"/>
  <c r="G520" i="3"/>
  <c r="D520" i="3"/>
  <c r="A520" i="3"/>
  <c r="G519" i="3"/>
  <c r="D519" i="3"/>
  <c r="A519" i="3"/>
  <c r="G518" i="3"/>
  <c r="D518" i="3"/>
  <c r="A518" i="3"/>
  <c r="G517" i="3"/>
  <c r="D517" i="3"/>
  <c r="A517" i="3"/>
  <c r="G516" i="3"/>
  <c r="D516" i="3"/>
  <c r="A516" i="3"/>
  <c r="G515" i="3"/>
  <c r="D515" i="3"/>
  <c r="A515" i="3"/>
  <c r="G514" i="3"/>
  <c r="D514" i="3"/>
  <c r="A514" i="3"/>
  <c r="G513" i="3"/>
  <c r="D513" i="3"/>
  <c r="A513" i="3"/>
  <c r="G512" i="3"/>
  <c r="D512" i="3"/>
  <c r="A512" i="3"/>
  <c r="G511" i="3"/>
  <c r="D511" i="3"/>
  <c r="A511" i="3"/>
  <c r="G510" i="3"/>
  <c r="D510" i="3"/>
  <c r="A510" i="3"/>
  <c r="G509" i="3"/>
  <c r="D509" i="3"/>
  <c r="A509" i="3"/>
  <c r="G508" i="3"/>
  <c r="D508" i="3"/>
  <c r="A508" i="3"/>
  <c r="G507" i="3"/>
  <c r="D507" i="3"/>
  <c r="A507" i="3"/>
  <c r="G506" i="3"/>
  <c r="D506" i="3"/>
  <c r="A506" i="3"/>
  <c r="G505" i="3"/>
  <c r="D505" i="3"/>
  <c r="A505" i="3"/>
  <c r="G504" i="3"/>
  <c r="D504" i="3"/>
  <c r="A504" i="3"/>
  <c r="G503" i="3"/>
  <c r="D503" i="3"/>
  <c r="A503" i="3"/>
  <c r="G502" i="3"/>
  <c r="D502" i="3"/>
  <c r="A502" i="3"/>
  <c r="G501" i="3"/>
  <c r="D501" i="3"/>
  <c r="A501" i="3"/>
  <c r="G500" i="3"/>
  <c r="D500" i="3"/>
  <c r="A500" i="3"/>
  <c r="G499" i="3"/>
  <c r="D499" i="3"/>
  <c r="A499" i="3"/>
  <c r="G498" i="3"/>
  <c r="D498" i="3"/>
  <c r="A498" i="3"/>
  <c r="G497" i="3"/>
  <c r="D497" i="3"/>
  <c r="A497" i="3"/>
  <c r="G496" i="3"/>
  <c r="D496" i="3"/>
  <c r="A496" i="3"/>
  <c r="G495" i="3"/>
  <c r="D495" i="3"/>
  <c r="A495" i="3"/>
  <c r="G494" i="3"/>
  <c r="D494" i="3"/>
  <c r="A494" i="3"/>
  <c r="G493" i="3"/>
  <c r="D493" i="3"/>
  <c r="A493" i="3"/>
  <c r="G492" i="3"/>
  <c r="D492" i="3"/>
  <c r="A492" i="3"/>
  <c r="G491" i="3"/>
  <c r="D491" i="3"/>
  <c r="A491" i="3"/>
  <c r="G490" i="3"/>
  <c r="D490" i="3"/>
  <c r="A490" i="3"/>
  <c r="G489" i="3"/>
  <c r="D489" i="3"/>
  <c r="A489" i="3"/>
  <c r="G488" i="3"/>
  <c r="D488" i="3"/>
  <c r="A488" i="3"/>
  <c r="G487" i="3"/>
  <c r="D487" i="3"/>
  <c r="A487" i="3"/>
  <c r="G486" i="3"/>
  <c r="D486" i="3"/>
  <c r="A486" i="3"/>
  <c r="G485" i="3"/>
  <c r="D485" i="3"/>
  <c r="A485" i="3"/>
  <c r="G484" i="3"/>
  <c r="D484" i="3"/>
  <c r="A484" i="3"/>
  <c r="G483" i="3"/>
  <c r="D483" i="3"/>
  <c r="A483" i="3"/>
  <c r="G482" i="3"/>
  <c r="D482" i="3"/>
  <c r="A482" i="3"/>
  <c r="G481" i="3"/>
  <c r="D481" i="3"/>
  <c r="A481" i="3"/>
  <c r="G480" i="3"/>
  <c r="D480" i="3"/>
  <c r="A480" i="3"/>
  <c r="G479" i="3"/>
  <c r="D479" i="3"/>
  <c r="A479" i="3"/>
  <c r="G478" i="3"/>
  <c r="D478" i="3"/>
  <c r="A478" i="3"/>
  <c r="G477" i="3"/>
  <c r="D477" i="3"/>
  <c r="A477" i="3"/>
  <c r="G476" i="3"/>
  <c r="D476" i="3"/>
  <c r="A476" i="3"/>
  <c r="G475" i="3"/>
  <c r="D475" i="3"/>
  <c r="A475" i="3"/>
  <c r="G474" i="3"/>
  <c r="D474" i="3"/>
  <c r="A474" i="3"/>
  <c r="G473" i="3"/>
  <c r="D473" i="3"/>
  <c r="A473" i="3"/>
  <c r="G472" i="3"/>
  <c r="D472" i="3"/>
  <c r="A472" i="3"/>
  <c r="G471" i="3"/>
  <c r="D471" i="3"/>
  <c r="A471" i="3"/>
  <c r="G470" i="3"/>
  <c r="D470" i="3"/>
  <c r="A470" i="3"/>
  <c r="G469" i="3"/>
  <c r="D469" i="3"/>
  <c r="A469" i="3"/>
  <c r="G468" i="3"/>
  <c r="D468" i="3"/>
  <c r="A468" i="3"/>
  <c r="G467" i="3"/>
  <c r="D467" i="3"/>
  <c r="A467" i="3"/>
  <c r="G466" i="3"/>
  <c r="D466" i="3"/>
  <c r="A466" i="3"/>
  <c r="G465" i="3"/>
  <c r="D465" i="3"/>
  <c r="A465" i="3"/>
  <c r="G464" i="3"/>
  <c r="D464" i="3"/>
  <c r="A464" i="3"/>
  <c r="G463" i="3"/>
  <c r="D463" i="3"/>
  <c r="A463" i="3"/>
  <c r="G462" i="3"/>
  <c r="D462" i="3"/>
  <c r="A462" i="3"/>
  <c r="G461" i="3"/>
  <c r="D461" i="3"/>
  <c r="A461" i="3"/>
  <c r="G460" i="3"/>
  <c r="D460" i="3"/>
  <c r="A460" i="3"/>
  <c r="G459" i="3"/>
  <c r="D459" i="3"/>
  <c r="A459" i="3"/>
  <c r="G458" i="3"/>
  <c r="D458" i="3"/>
  <c r="A458" i="3"/>
  <c r="G457" i="3"/>
  <c r="D457" i="3"/>
  <c r="A457" i="3"/>
  <c r="G456" i="3"/>
  <c r="D456" i="3"/>
  <c r="A456" i="3"/>
  <c r="G455" i="3"/>
  <c r="D455" i="3"/>
  <c r="A455" i="3"/>
  <c r="G454" i="3"/>
  <c r="D454" i="3"/>
  <c r="A454" i="3"/>
  <c r="G453" i="3"/>
  <c r="D453" i="3"/>
  <c r="A453" i="3"/>
  <c r="G452" i="3"/>
  <c r="D452" i="3"/>
  <c r="A452" i="3"/>
  <c r="G451" i="3"/>
  <c r="D451" i="3"/>
  <c r="A451" i="3"/>
  <c r="G450" i="3"/>
  <c r="D450" i="3"/>
  <c r="A450" i="3"/>
  <c r="G449" i="3"/>
  <c r="D449" i="3"/>
  <c r="A449" i="3"/>
  <c r="G448" i="3"/>
  <c r="D448" i="3"/>
  <c r="A448" i="3"/>
  <c r="G447" i="3"/>
  <c r="D447" i="3"/>
  <c r="A447" i="3"/>
  <c r="G446" i="3"/>
  <c r="D446" i="3"/>
  <c r="A446" i="3"/>
  <c r="G445" i="3"/>
  <c r="D445" i="3"/>
  <c r="A445" i="3"/>
  <c r="G444" i="3"/>
  <c r="D444" i="3"/>
  <c r="A444" i="3"/>
  <c r="G443" i="3"/>
  <c r="D443" i="3"/>
  <c r="A443" i="3"/>
  <c r="G442" i="3"/>
  <c r="D442" i="3"/>
  <c r="A442" i="3"/>
  <c r="G441" i="3"/>
  <c r="D441" i="3"/>
  <c r="A441" i="3"/>
  <c r="G440" i="3"/>
  <c r="D440" i="3"/>
  <c r="A440" i="3"/>
  <c r="G439" i="3"/>
  <c r="D439" i="3"/>
  <c r="A439" i="3"/>
  <c r="G438" i="3"/>
  <c r="D438" i="3"/>
  <c r="A438" i="3"/>
  <c r="G437" i="3"/>
  <c r="D437" i="3"/>
  <c r="A437" i="3"/>
  <c r="G436" i="3"/>
  <c r="D436" i="3"/>
  <c r="A436" i="3"/>
  <c r="G435" i="3"/>
  <c r="D435" i="3"/>
  <c r="A435" i="3"/>
  <c r="G434" i="3"/>
  <c r="D434" i="3"/>
  <c r="A434" i="3"/>
  <c r="G433" i="3"/>
  <c r="D433" i="3"/>
  <c r="A433" i="3"/>
  <c r="G432" i="3"/>
  <c r="D432" i="3"/>
  <c r="A432" i="3"/>
  <c r="G431" i="3"/>
  <c r="D431" i="3"/>
  <c r="A431" i="3"/>
  <c r="G430" i="3"/>
  <c r="D430" i="3"/>
  <c r="A430" i="3"/>
  <c r="G429" i="3"/>
  <c r="D429" i="3"/>
  <c r="A429" i="3"/>
  <c r="G428" i="3"/>
  <c r="D428" i="3"/>
  <c r="A428" i="3"/>
  <c r="G427" i="3"/>
  <c r="D427" i="3"/>
  <c r="A427" i="3"/>
  <c r="G426" i="3"/>
  <c r="D426" i="3"/>
  <c r="A426" i="3"/>
  <c r="G425" i="3"/>
  <c r="D425" i="3"/>
  <c r="A425" i="3"/>
  <c r="G424" i="3"/>
  <c r="D424" i="3"/>
  <c r="A424" i="3"/>
  <c r="G423" i="3"/>
  <c r="D423" i="3"/>
  <c r="A423" i="3"/>
  <c r="G422" i="3"/>
  <c r="D422" i="3"/>
  <c r="A422" i="3"/>
  <c r="G421" i="3"/>
  <c r="D421" i="3"/>
  <c r="A421" i="3"/>
  <c r="G420" i="3"/>
  <c r="D420" i="3"/>
  <c r="A420" i="3"/>
  <c r="G419" i="3"/>
  <c r="D419" i="3"/>
  <c r="A419" i="3"/>
  <c r="G418" i="3"/>
  <c r="D418" i="3"/>
  <c r="A418" i="3"/>
  <c r="G417" i="3"/>
  <c r="D417" i="3"/>
  <c r="A417" i="3"/>
  <c r="G416" i="3"/>
  <c r="D416" i="3"/>
  <c r="A416" i="3"/>
  <c r="G415" i="3"/>
  <c r="D415" i="3"/>
  <c r="A415" i="3"/>
  <c r="G414" i="3"/>
  <c r="D414" i="3"/>
  <c r="A414" i="3"/>
  <c r="G413" i="3"/>
  <c r="D413" i="3"/>
  <c r="A413" i="3"/>
  <c r="G412" i="3"/>
  <c r="D412" i="3"/>
  <c r="A412" i="3"/>
  <c r="G411" i="3"/>
  <c r="D411" i="3"/>
  <c r="A411" i="3"/>
  <c r="G410" i="3"/>
  <c r="D410" i="3"/>
  <c r="A410" i="3"/>
  <c r="G409" i="3"/>
  <c r="D409" i="3"/>
  <c r="A409" i="3"/>
  <c r="G408" i="3"/>
  <c r="D408" i="3"/>
  <c r="A408" i="3"/>
  <c r="G407" i="3"/>
  <c r="D407" i="3"/>
  <c r="A407" i="3"/>
  <c r="G406" i="3"/>
  <c r="D406" i="3"/>
  <c r="A406" i="3"/>
  <c r="G405" i="3"/>
  <c r="D405" i="3"/>
  <c r="A405" i="3"/>
  <c r="G404" i="3"/>
  <c r="D404" i="3"/>
  <c r="A404" i="3"/>
  <c r="G403" i="3"/>
  <c r="D403" i="3"/>
  <c r="A403" i="3"/>
  <c r="G402" i="3"/>
  <c r="D402" i="3"/>
  <c r="A402" i="3"/>
  <c r="G401" i="3"/>
  <c r="D401" i="3"/>
  <c r="A401" i="3"/>
  <c r="G400" i="3"/>
  <c r="D400" i="3"/>
  <c r="A400" i="3"/>
  <c r="G399" i="3"/>
  <c r="D399" i="3"/>
  <c r="A399" i="3"/>
  <c r="G398" i="3"/>
  <c r="D398" i="3"/>
  <c r="A398" i="3"/>
  <c r="G397" i="3"/>
  <c r="D397" i="3"/>
  <c r="A397" i="3"/>
  <c r="G396" i="3"/>
  <c r="D396" i="3"/>
  <c r="A396" i="3"/>
  <c r="G395" i="3"/>
  <c r="D395" i="3"/>
  <c r="A395" i="3"/>
  <c r="G394" i="3"/>
  <c r="D394" i="3"/>
  <c r="A394" i="3"/>
  <c r="G393" i="3"/>
  <c r="D393" i="3"/>
  <c r="A393" i="3"/>
  <c r="G392" i="3"/>
  <c r="D392" i="3"/>
  <c r="A392" i="3"/>
  <c r="G391" i="3"/>
  <c r="D391" i="3"/>
  <c r="A391" i="3"/>
  <c r="G390" i="3"/>
  <c r="D390" i="3"/>
  <c r="A390" i="3"/>
  <c r="G389" i="3"/>
  <c r="D389" i="3"/>
  <c r="A389" i="3"/>
  <c r="G388" i="3"/>
  <c r="D388" i="3"/>
  <c r="A388" i="3"/>
  <c r="G387" i="3"/>
  <c r="D387" i="3"/>
  <c r="A387" i="3"/>
  <c r="G386" i="3"/>
  <c r="D386" i="3"/>
  <c r="A386" i="3"/>
  <c r="G385" i="3"/>
  <c r="D385" i="3"/>
  <c r="A385" i="3"/>
  <c r="G384" i="3"/>
  <c r="D384" i="3"/>
  <c r="A384" i="3"/>
  <c r="G383" i="3"/>
  <c r="D383" i="3"/>
  <c r="A383" i="3"/>
  <c r="G382" i="3"/>
  <c r="D382" i="3"/>
  <c r="A382" i="3"/>
  <c r="G381" i="3"/>
  <c r="D381" i="3"/>
  <c r="A381" i="3"/>
  <c r="G380" i="3"/>
  <c r="D380" i="3"/>
  <c r="A380" i="3"/>
  <c r="G379" i="3"/>
  <c r="D379" i="3"/>
  <c r="A379" i="3"/>
  <c r="G378" i="3"/>
  <c r="D378" i="3"/>
  <c r="A378" i="3"/>
  <c r="G377" i="3"/>
  <c r="D377" i="3"/>
  <c r="A377" i="3"/>
  <c r="G376" i="3"/>
  <c r="D376" i="3"/>
  <c r="A376" i="3"/>
  <c r="G375" i="3"/>
  <c r="D375" i="3"/>
  <c r="A375" i="3"/>
  <c r="G374" i="3"/>
  <c r="D374" i="3"/>
  <c r="A374" i="3"/>
  <c r="G373" i="3"/>
  <c r="D373" i="3"/>
  <c r="A373" i="3"/>
  <c r="G372" i="3"/>
  <c r="D372" i="3"/>
  <c r="A372" i="3"/>
  <c r="G371" i="3"/>
  <c r="D371" i="3"/>
  <c r="A371" i="3"/>
  <c r="G370" i="3"/>
  <c r="D370" i="3"/>
  <c r="A370" i="3"/>
  <c r="G369" i="3"/>
  <c r="D369" i="3"/>
  <c r="A369" i="3"/>
  <c r="G368" i="3"/>
  <c r="D368" i="3"/>
  <c r="A368" i="3"/>
  <c r="G367" i="3"/>
  <c r="D367" i="3"/>
  <c r="A367" i="3"/>
  <c r="G366" i="3"/>
  <c r="D366" i="3"/>
  <c r="A366" i="3"/>
  <c r="G365" i="3"/>
  <c r="D365" i="3"/>
  <c r="A365" i="3"/>
  <c r="G364" i="3"/>
  <c r="D364" i="3"/>
  <c r="A364" i="3"/>
  <c r="G363" i="3"/>
  <c r="D363" i="3"/>
  <c r="A363" i="3"/>
  <c r="G362" i="3"/>
  <c r="D362" i="3"/>
  <c r="A362" i="3"/>
  <c r="G361" i="3"/>
  <c r="D361" i="3"/>
  <c r="A361" i="3"/>
  <c r="G360" i="3"/>
  <c r="D360" i="3"/>
  <c r="A360" i="3"/>
  <c r="G359" i="3"/>
  <c r="D359" i="3"/>
  <c r="A359" i="3"/>
  <c r="G358" i="3"/>
  <c r="D358" i="3"/>
  <c r="A358" i="3"/>
  <c r="G357" i="3"/>
  <c r="D357" i="3"/>
  <c r="A357" i="3"/>
  <c r="G356" i="3"/>
  <c r="D356" i="3"/>
  <c r="A356" i="3"/>
  <c r="G355" i="3"/>
  <c r="D355" i="3"/>
  <c r="A355" i="3"/>
  <c r="G354" i="3"/>
  <c r="D354" i="3"/>
  <c r="A354" i="3"/>
  <c r="G353" i="3"/>
  <c r="D353" i="3"/>
  <c r="A353" i="3"/>
  <c r="G352" i="3"/>
  <c r="D352" i="3"/>
  <c r="A352" i="3"/>
  <c r="G351" i="3"/>
  <c r="D351" i="3"/>
  <c r="A351" i="3"/>
  <c r="G350" i="3"/>
  <c r="D350" i="3"/>
  <c r="A350" i="3"/>
  <c r="G349" i="3"/>
  <c r="D349" i="3"/>
  <c r="A349" i="3"/>
  <c r="G348" i="3"/>
  <c r="D348" i="3"/>
  <c r="A348" i="3"/>
  <c r="G347" i="3"/>
  <c r="D347" i="3"/>
  <c r="A347" i="3"/>
  <c r="G346" i="3"/>
  <c r="D346" i="3"/>
  <c r="A346" i="3"/>
  <c r="G345" i="3"/>
  <c r="D345" i="3"/>
  <c r="A345" i="3"/>
  <c r="G344" i="3"/>
  <c r="D344" i="3"/>
  <c r="A344" i="3"/>
  <c r="G343" i="3"/>
  <c r="D343" i="3"/>
  <c r="A343" i="3"/>
  <c r="G342" i="3"/>
  <c r="D342" i="3"/>
  <c r="A342" i="3"/>
  <c r="G341" i="3"/>
  <c r="D341" i="3"/>
  <c r="A341" i="3"/>
  <c r="G340" i="3"/>
  <c r="D340" i="3"/>
  <c r="A340" i="3"/>
  <c r="G339" i="3"/>
  <c r="D339" i="3"/>
  <c r="A339" i="3"/>
  <c r="G338" i="3"/>
  <c r="D338" i="3"/>
  <c r="A338" i="3"/>
  <c r="G337" i="3"/>
  <c r="D337" i="3"/>
  <c r="A337" i="3"/>
  <c r="G336" i="3"/>
  <c r="D336" i="3"/>
  <c r="A336" i="3"/>
  <c r="G335" i="3"/>
  <c r="D335" i="3"/>
  <c r="A335" i="3"/>
  <c r="G334" i="3"/>
  <c r="D334" i="3"/>
  <c r="A334" i="3"/>
  <c r="G333" i="3"/>
  <c r="D333" i="3"/>
  <c r="A333" i="3"/>
  <c r="G332" i="3"/>
  <c r="D332" i="3"/>
  <c r="A332" i="3"/>
  <c r="G331" i="3"/>
  <c r="D331" i="3"/>
  <c r="A331" i="3"/>
  <c r="G330" i="3"/>
  <c r="D330" i="3"/>
  <c r="A330" i="3"/>
  <c r="G329" i="3"/>
  <c r="D329" i="3"/>
  <c r="A329" i="3"/>
  <c r="G328" i="3"/>
  <c r="D328" i="3"/>
  <c r="A328" i="3"/>
  <c r="G327" i="3"/>
  <c r="D327" i="3"/>
  <c r="A327" i="3"/>
  <c r="G326" i="3"/>
  <c r="D326" i="3"/>
  <c r="A326" i="3"/>
  <c r="G325" i="3"/>
  <c r="D325" i="3"/>
  <c r="A325" i="3"/>
  <c r="G324" i="3"/>
  <c r="D324" i="3"/>
  <c r="A324" i="3"/>
  <c r="G323" i="3"/>
  <c r="D323" i="3"/>
  <c r="A323" i="3"/>
  <c r="G322" i="3"/>
  <c r="D322" i="3"/>
  <c r="A322" i="3"/>
  <c r="G321" i="3"/>
  <c r="D321" i="3"/>
  <c r="A321" i="3"/>
  <c r="G320" i="3"/>
  <c r="D320" i="3"/>
  <c r="A320" i="3"/>
  <c r="G319" i="3"/>
  <c r="D319" i="3"/>
  <c r="A319" i="3"/>
  <c r="G318" i="3"/>
  <c r="D318" i="3"/>
  <c r="A318" i="3"/>
  <c r="G317" i="3"/>
  <c r="D317" i="3"/>
  <c r="A317" i="3"/>
  <c r="G316" i="3"/>
  <c r="D316" i="3"/>
  <c r="A316" i="3"/>
  <c r="G315" i="3"/>
  <c r="D315" i="3"/>
  <c r="A315" i="3"/>
  <c r="G314" i="3"/>
  <c r="D314" i="3"/>
  <c r="A314" i="3"/>
  <c r="G313" i="3"/>
  <c r="D313" i="3"/>
  <c r="A313" i="3"/>
  <c r="G312" i="3"/>
  <c r="D312" i="3"/>
  <c r="A312" i="3"/>
  <c r="G311" i="3"/>
  <c r="D311" i="3"/>
  <c r="A311" i="3"/>
  <c r="G310" i="3"/>
  <c r="D310" i="3"/>
  <c r="A310" i="3"/>
  <c r="G309" i="3"/>
  <c r="D309" i="3"/>
  <c r="A309" i="3"/>
  <c r="G308" i="3"/>
  <c r="D308" i="3"/>
  <c r="A308" i="3"/>
  <c r="G307" i="3"/>
  <c r="D307" i="3"/>
  <c r="A307" i="3"/>
  <c r="G306" i="3"/>
  <c r="D306" i="3"/>
  <c r="A306" i="3"/>
  <c r="G305" i="3"/>
  <c r="D305" i="3"/>
  <c r="A305" i="3"/>
  <c r="G304" i="3"/>
  <c r="D304" i="3"/>
  <c r="A304" i="3"/>
  <c r="G303" i="3"/>
  <c r="D303" i="3"/>
  <c r="A303" i="3"/>
  <c r="G302" i="3"/>
  <c r="D302" i="3"/>
  <c r="A302" i="3"/>
  <c r="G301" i="3"/>
  <c r="D301" i="3"/>
  <c r="A301" i="3"/>
  <c r="G300" i="3"/>
  <c r="D300" i="3"/>
  <c r="A300" i="3"/>
  <c r="G299" i="3"/>
  <c r="D299" i="3"/>
  <c r="A299" i="3"/>
  <c r="G298" i="3"/>
  <c r="D298" i="3"/>
  <c r="A298" i="3"/>
  <c r="G297" i="3"/>
  <c r="D297" i="3"/>
  <c r="A297" i="3"/>
  <c r="G296" i="3"/>
  <c r="D296" i="3"/>
  <c r="A296" i="3"/>
  <c r="G295" i="3"/>
  <c r="D295" i="3"/>
  <c r="A295" i="3"/>
  <c r="G294" i="3"/>
  <c r="D294" i="3"/>
  <c r="A294" i="3"/>
  <c r="G293" i="3"/>
  <c r="D293" i="3"/>
  <c r="A293" i="3"/>
  <c r="G292" i="3"/>
  <c r="D292" i="3"/>
  <c r="A292" i="3"/>
  <c r="G291" i="3"/>
  <c r="D291" i="3"/>
  <c r="A291" i="3"/>
  <c r="G290" i="3"/>
  <c r="D290" i="3"/>
  <c r="A290" i="3"/>
  <c r="G289" i="3"/>
  <c r="D289" i="3"/>
  <c r="A289" i="3"/>
  <c r="G288" i="3"/>
  <c r="D288" i="3"/>
  <c r="A288" i="3"/>
  <c r="G287" i="3"/>
  <c r="D287" i="3"/>
  <c r="A287" i="3"/>
  <c r="G286" i="3"/>
  <c r="D286" i="3"/>
  <c r="A286" i="3"/>
  <c r="G285" i="3"/>
  <c r="D285" i="3"/>
  <c r="A285" i="3"/>
  <c r="G284" i="3"/>
  <c r="D284" i="3"/>
  <c r="A284" i="3"/>
  <c r="G283" i="3"/>
  <c r="D283" i="3"/>
  <c r="A283" i="3"/>
  <c r="G282" i="3"/>
  <c r="D282" i="3"/>
  <c r="A282" i="3"/>
  <c r="G281" i="3"/>
  <c r="D281" i="3"/>
  <c r="A281" i="3"/>
  <c r="G280" i="3"/>
  <c r="D280" i="3"/>
  <c r="A280" i="3"/>
  <c r="G279" i="3"/>
  <c r="D279" i="3"/>
  <c r="A279" i="3"/>
  <c r="G278" i="3"/>
  <c r="D278" i="3"/>
  <c r="A278" i="3"/>
  <c r="G277" i="3"/>
  <c r="D277" i="3"/>
  <c r="A277" i="3"/>
  <c r="G276" i="3"/>
  <c r="D276" i="3"/>
  <c r="A276" i="3"/>
  <c r="G275" i="3"/>
  <c r="D275" i="3"/>
  <c r="A275" i="3"/>
  <c r="G274" i="3"/>
  <c r="D274" i="3"/>
  <c r="A274" i="3"/>
  <c r="G273" i="3"/>
  <c r="D273" i="3"/>
  <c r="A273" i="3"/>
  <c r="G272" i="3"/>
  <c r="D272" i="3"/>
  <c r="A272" i="3"/>
  <c r="G271" i="3"/>
  <c r="D271" i="3"/>
  <c r="A271" i="3"/>
  <c r="G270" i="3"/>
  <c r="D270" i="3"/>
  <c r="A270" i="3"/>
  <c r="G269" i="3"/>
  <c r="D269" i="3"/>
  <c r="A269" i="3"/>
  <c r="G268" i="3"/>
  <c r="D268" i="3"/>
  <c r="A268" i="3"/>
  <c r="G267" i="3"/>
  <c r="D267" i="3"/>
  <c r="A267" i="3"/>
  <c r="G266" i="3"/>
  <c r="D266" i="3"/>
  <c r="A266" i="3"/>
  <c r="G265" i="3"/>
  <c r="D265" i="3"/>
  <c r="A265" i="3"/>
  <c r="G264" i="3"/>
  <c r="D264" i="3"/>
  <c r="A264" i="3"/>
  <c r="G263" i="3"/>
  <c r="D263" i="3"/>
  <c r="A263" i="3"/>
  <c r="G262" i="3"/>
  <c r="D262" i="3"/>
  <c r="A262" i="3"/>
  <c r="G261" i="3"/>
  <c r="D261" i="3"/>
  <c r="A261" i="3"/>
  <c r="G260" i="3"/>
  <c r="D260" i="3"/>
  <c r="A260" i="3"/>
  <c r="G259" i="3"/>
  <c r="D259" i="3"/>
  <c r="A259" i="3"/>
  <c r="G258" i="3"/>
  <c r="D258" i="3"/>
  <c r="A258" i="3"/>
  <c r="G257" i="3"/>
  <c r="D257" i="3"/>
  <c r="A257" i="3"/>
  <c r="G256" i="3"/>
  <c r="D256" i="3"/>
  <c r="A256" i="3"/>
  <c r="G255" i="3"/>
  <c r="D255" i="3"/>
  <c r="A255" i="3"/>
  <c r="G254" i="3"/>
  <c r="D254" i="3"/>
  <c r="A254" i="3"/>
  <c r="G253" i="3"/>
  <c r="D253" i="3"/>
  <c r="A253" i="3"/>
  <c r="G252" i="3"/>
  <c r="D252" i="3"/>
  <c r="A252" i="3"/>
  <c r="G251" i="3"/>
  <c r="D251" i="3"/>
  <c r="A251" i="3"/>
  <c r="G250" i="3"/>
  <c r="D250" i="3"/>
  <c r="A250" i="3"/>
  <c r="G249" i="3"/>
  <c r="D249" i="3"/>
  <c r="A249" i="3"/>
  <c r="G248" i="3"/>
  <c r="D248" i="3"/>
  <c r="A248" i="3"/>
  <c r="G247" i="3"/>
  <c r="D247" i="3"/>
  <c r="A247" i="3"/>
  <c r="G246" i="3"/>
  <c r="D246" i="3"/>
  <c r="A246" i="3"/>
  <c r="G245" i="3"/>
  <c r="D245" i="3"/>
  <c r="A245" i="3"/>
  <c r="G244" i="3"/>
  <c r="D244" i="3"/>
  <c r="A244" i="3"/>
  <c r="G243" i="3"/>
  <c r="D243" i="3"/>
  <c r="A243" i="3"/>
  <c r="G242" i="3"/>
  <c r="D242" i="3"/>
  <c r="A242" i="3"/>
  <c r="G241" i="3"/>
  <c r="D241" i="3"/>
  <c r="A241" i="3"/>
  <c r="G240" i="3"/>
  <c r="D240" i="3"/>
  <c r="A240" i="3"/>
  <c r="G239" i="3"/>
  <c r="D239" i="3"/>
  <c r="A239" i="3"/>
  <c r="G238" i="3"/>
  <c r="D238" i="3"/>
  <c r="A238" i="3"/>
  <c r="G237" i="3"/>
  <c r="D237" i="3"/>
  <c r="A237" i="3"/>
  <c r="G236" i="3"/>
  <c r="D236" i="3"/>
  <c r="A236" i="3"/>
  <c r="G235" i="3"/>
  <c r="D235" i="3"/>
  <c r="A235" i="3"/>
  <c r="G234" i="3"/>
  <c r="D234" i="3"/>
  <c r="A234" i="3"/>
  <c r="G233" i="3"/>
  <c r="D233" i="3"/>
  <c r="A233" i="3"/>
  <c r="G232" i="3"/>
  <c r="D232" i="3"/>
  <c r="A232" i="3"/>
  <c r="G231" i="3"/>
  <c r="D231" i="3"/>
  <c r="A231" i="3"/>
  <c r="G230" i="3"/>
  <c r="D230" i="3"/>
  <c r="A230" i="3"/>
  <c r="G229" i="3"/>
  <c r="D229" i="3"/>
  <c r="A229" i="3"/>
  <c r="G228" i="3"/>
  <c r="D228" i="3"/>
  <c r="A228" i="3"/>
  <c r="G227" i="3"/>
  <c r="D227" i="3"/>
  <c r="A227" i="3"/>
  <c r="G226" i="3"/>
  <c r="D226" i="3"/>
  <c r="A226" i="3"/>
  <c r="G225" i="3"/>
  <c r="D225" i="3"/>
  <c r="A225" i="3"/>
  <c r="G224" i="3"/>
  <c r="D224" i="3"/>
  <c r="A224" i="3"/>
  <c r="G223" i="3"/>
  <c r="D223" i="3"/>
  <c r="A223" i="3"/>
  <c r="G222" i="3"/>
  <c r="D222" i="3"/>
  <c r="A222" i="3"/>
  <c r="G221" i="3"/>
  <c r="D221" i="3"/>
  <c r="A221" i="3"/>
  <c r="G220" i="3"/>
  <c r="D220" i="3"/>
  <c r="A220" i="3"/>
  <c r="G219" i="3"/>
  <c r="D219" i="3"/>
  <c r="A219" i="3"/>
  <c r="G218" i="3"/>
  <c r="D218" i="3"/>
  <c r="A218" i="3"/>
  <c r="G217" i="3"/>
  <c r="D217" i="3"/>
  <c r="A217" i="3"/>
  <c r="G216" i="3"/>
  <c r="D216" i="3"/>
  <c r="A216" i="3"/>
  <c r="G215" i="3"/>
  <c r="D215" i="3"/>
  <c r="A215" i="3"/>
  <c r="G214" i="3"/>
  <c r="D214" i="3"/>
  <c r="A214" i="3"/>
  <c r="G213" i="3"/>
  <c r="D213" i="3"/>
  <c r="A213" i="3"/>
  <c r="G212" i="3"/>
  <c r="D212" i="3"/>
  <c r="A212" i="3"/>
  <c r="G211" i="3"/>
  <c r="D211" i="3"/>
  <c r="A211" i="3"/>
  <c r="G210" i="3"/>
  <c r="D210" i="3"/>
  <c r="A210" i="3"/>
  <c r="G209" i="3"/>
  <c r="D209" i="3"/>
  <c r="A209" i="3"/>
  <c r="G208" i="3"/>
  <c r="D208" i="3"/>
  <c r="A208" i="3"/>
  <c r="G207" i="3"/>
  <c r="D207" i="3"/>
  <c r="A207" i="3"/>
  <c r="G206" i="3"/>
  <c r="D206" i="3"/>
  <c r="A206" i="3"/>
  <c r="G205" i="3"/>
  <c r="D205" i="3"/>
  <c r="A205" i="3"/>
  <c r="G204" i="3"/>
  <c r="D204" i="3"/>
  <c r="A204" i="3"/>
  <c r="G203" i="3"/>
  <c r="D203" i="3"/>
  <c r="A203" i="3"/>
  <c r="G202" i="3"/>
  <c r="D202" i="3"/>
  <c r="A202" i="3"/>
  <c r="G201" i="3"/>
  <c r="D201" i="3"/>
  <c r="A201" i="3"/>
  <c r="G200" i="3"/>
  <c r="D200" i="3"/>
  <c r="A200" i="3"/>
  <c r="G199" i="3"/>
  <c r="D199" i="3"/>
  <c r="A199" i="3"/>
  <c r="G198" i="3"/>
  <c r="D198" i="3"/>
  <c r="A198" i="3"/>
  <c r="G197" i="3"/>
  <c r="D197" i="3"/>
  <c r="A197" i="3"/>
  <c r="G196" i="3"/>
  <c r="D196" i="3"/>
  <c r="A196" i="3"/>
  <c r="G195" i="3"/>
  <c r="D195" i="3"/>
  <c r="A195" i="3"/>
  <c r="G194" i="3"/>
  <c r="D194" i="3"/>
  <c r="A194" i="3"/>
  <c r="G193" i="3"/>
  <c r="D193" i="3"/>
  <c r="A193" i="3"/>
  <c r="G192" i="3"/>
  <c r="D192" i="3"/>
  <c r="A192" i="3"/>
  <c r="G191" i="3"/>
  <c r="D191" i="3"/>
  <c r="A191" i="3"/>
  <c r="G190" i="3"/>
  <c r="D190" i="3"/>
  <c r="A190" i="3"/>
  <c r="G189" i="3"/>
  <c r="D189" i="3"/>
  <c r="A189" i="3"/>
  <c r="G188" i="3"/>
  <c r="D188" i="3"/>
  <c r="A188" i="3"/>
  <c r="G187" i="3"/>
  <c r="D187" i="3"/>
  <c r="A187" i="3"/>
  <c r="G186" i="3"/>
  <c r="D186" i="3"/>
  <c r="A186" i="3"/>
  <c r="G185" i="3"/>
  <c r="D185" i="3"/>
  <c r="A185" i="3"/>
  <c r="G184" i="3"/>
  <c r="D184" i="3"/>
  <c r="A184" i="3"/>
  <c r="G183" i="3"/>
  <c r="D183" i="3"/>
  <c r="A183" i="3"/>
  <c r="G182" i="3"/>
  <c r="D182" i="3"/>
  <c r="A182" i="3"/>
  <c r="G181" i="3"/>
  <c r="D181" i="3"/>
  <c r="A181" i="3"/>
  <c r="G180" i="3"/>
  <c r="D180" i="3"/>
  <c r="A180" i="3"/>
  <c r="G179" i="3"/>
  <c r="D179" i="3"/>
  <c r="A179" i="3"/>
  <c r="G178" i="3"/>
  <c r="D178" i="3"/>
  <c r="A178" i="3"/>
  <c r="G177" i="3"/>
  <c r="D177" i="3"/>
  <c r="A177" i="3"/>
  <c r="G176" i="3"/>
  <c r="D176" i="3"/>
  <c r="A176" i="3"/>
  <c r="G175" i="3"/>
  <c r="D175" i="3"/>
  <c r="A175" i="3"/>
  <c r="G174" i="3"/>
  <c r="D174" i="3"/>
  <c r="A174" i="3"/>
  <c r="G173" i="3"/>
  <c r="D173" i="3"/>
  <c r="A173" i="3"/>
  <c r="G172" i="3"/>
  <c r="D172" i="3"/>
  <c r="A172" i="3"/>
  <c r="G171" i="3"/>
  <c r="D171" i="3"/>
  <c r="A171" i="3"/>
  <c r="G170" i="3"/>
  <c r="D170" i="3"/>
  <c r="A170" i="3"/>
  <c r="G169" i="3"/>
  <c r="D169" i="3"/>
  <c r="A169" i="3"/>
  <c r="G168" i="3"/>
  <c r="D168" i="3"/>
  <c r="A168" i="3"/>
  <c r="G167" i="3"/>
  <c r="D167" i="3"/>
  <c r="A167" i="3"/>
  <c r="G166" i="3"/>
  <c r="D166" i="3"/>
  <c r="A166" i="3"/>
  <c r="G165" i="3"/>
  <c r="D165" i="3"/>
  <c r="A165" i="3"/>
  <c r="G164" i="3"/>
  <c r="D164" i="3"/>
  <c r="A164" i="3"/>
  <c r="G163" i="3"/>
  <c r="D163" i="3"/>
  <c r="A163" i="3"/>
  <c r="G162" i="3"/>
  <c r="D162" i="3"/>
  <c r="A162" i="3"/>
  <c r="G161" i="3"/>
  <c r="D161" i="3"/>
  <c r="A161" i="3"/>
  <c r="G160" i="3"/>
  <c r="D160" i="3"/>
  <c r="A160" i="3"/>
  <c r="G159" i="3"/>
  <c r="D159" i="3"/>
  <c r="A159" i="3"/>
  <c r="G158" i="3"/>
  <c r="D158" i="3"/>
  <c r="A158" i="3"/>
  <c r="G157" i="3"/>
  <c r="D157" i="3"/>
  <c r="A157" i="3"/>
  <c r="G156" i="3"/>
  <c r="D156" i="3"/>
  <c r="A156" i="3"/>
  <c r="G155" i="3"/>
  <c r="D155" i="3"/>
  <c r="A155" i="3"/>
  <c r="G154" i="3"/>
  <c r="D154" i="3"/>
  <c r="A154" i="3"/>
  <c r="G153" i="3"/>
  <c r="D153" i="3"/>
  <c r="A153" i="3"/>
  <c r="G152" i="3"/>
  <c r="D152" i="3"/>
  <c r="A152" i="3"/>
  <c r="G151" i="3"/>
  <c r="D151" i="3"/>
  <c r="A151" i="3"/>
  <c r="G150" i="3"/>
  <c r="D150" i="3"/>
  <c r="A150" i="3"/>
  <c r="G149" i="3"/>
  <c r="D149" i="3"/>
  <c r="A149" i="3"/>
  <c r="G148" i="3"/>
  <c r="D148" i="3"/>
  <c r="A148" i="3"/>
  <c r="G147" i="3"/>
  <c r="D147" i="3"/>
  <c r="A147" i="3"/>
  <c r="G146" i="3"/>
  <c r="D146" i="3"/>
  <c r="A146" i="3"/>
  <c r="G145" i="3"/>
  <c r="D145" i="3"/>
  <c r="A145" i="3"/>
  <c r="G144" i="3"/>
  <c r="D144" i="3"/>
  <c r="A144" i="3"/>
  <c r="G143" i="3"/>
  <c r="D143" i="3"/>
  <c r="A143" i="3"/>
  <c r="G142" i="3"/>
  <c r="D142" i="3"/>
  <c r="A142" i="3"/>
  <c r="G141" i="3"/>
  <c r="D141" i="3"/>
  <c r="A141" i="3"/>
  <c r="G140" i="3"/>
  <c r="D140" i="3"/>
  <c r="A140" i="3"/>
  <c r="G139" i="3"/>
  <c r="D139" i="3"/>
  <c r="A139" i="3"/>
  <c r="G138" i="3"/>
  <c r="D138" i="3"/>
  <c r="A138" i="3"/>
  <c r="G137" i="3"/>
  <c r="D137" i="3"/>
  <c r="A137" i="3"/>
  <c r="G136" i="3"/>
  <c r="D136" i="3"/>
  <c r="A136" i="3"/>
  <c r="G135" i="3"/>
  <c r="D135" i="3"/>
  <c r="A135" i="3"/>
  <c r="G134" i="3"/>
  <c r="D134" i="3"/>
  <c r="A134" i="3"/>
  <c r="G133" i="3"/>
  <c r="D133" i="3"/>
  <c r="A133" i="3"/>
  <c r="G132" i="3"/>
  <c r="D132" i="3"/>
  <c r="A132" i="3"/>
  <c r="G131" i="3"/>
  <c r="D131" i="3"/>
  <c r="A131" i="3"/>
  <c r="G130" i="3"/>
  <c r="D130" i="3"/>
  <c r="A130" i="3"/>
  <c r="G129" i="3"/>
  <c r="D129" i="3"/>
  <c r="A129" i="3"/>
  <c r="G128" i="3"/>
  <c r="D128" i="3"/>
  <c r="A128" i="3"/>
  <c r="G127" i="3"/>
  <c r="D127" i="3"/>
  <c r="A127" i="3"/>
  <c r="G126" i="3"/>
  <c r="D126" i="3"/>
  <c r="A126" i="3"/>
  <c r="G125" i="3"/>
  <c r="D125" i="3"/>
  <c r="A125" i="3"/>
  <c r="G124" i="3"/>
  <c r="D124" i="3"/>
  <c r="A124" i="3"/>
  <c r="G123" i="3"/>
  <c r="D123" i="3"/>
  <c r="A123" i="3"/>
  <c r="G122" i="3"/>
  <c r="D122" i="3"/>
  <c r="A122" i="3"/>
  <c r="G121" i="3"/>
  <c r="D121" i="3"/>
  <c r="A121" i="3"/>
  <c r="G120" i="3"/>
  <c r="D120" i="3"/>
  <c r="A120" i="3"/>
  <c r="G119" i="3"/>
  <c r="D119" i="3"/>
  <c r="A119" i="3"/>
  <c r="G118" i="3"/>
  <c r="D118" i="3"/>
  <c r="A118" i="3"/>
  <c r="G117" i="3"/>
  <c r="D117" i="3"/>
  <c r="A117" i="3"/>
  <c r="G116" i="3"/>
  <c r="D116" i="3"/>
  <c r="A116" i="3"/>
  <c r="G115" i="3"/>
  <c r="D115" i="3"/>
  <c r="A115" i="3"/>
  <c r="G114" i="3"/>
  <c r="D114" i="3"/>
  <c r="A114" i="3"/>
  <c r="G113" i="3"/>
  <c r="D113" i="3"/>
  <c r="A113" i="3"/>
  <c r="G112" i="3"/>
  <c r="D112" i="3"/>
  <c r="A112" i="3"/>
  <c r="G111" i="3"/>
  <c r="D111" i="3"/>
  <c r="A111" i="3"/>
  <c r="G110" i="3"/>
  <c r="D110" i="3"/>
  <c r="A110" i="3"/>
  <c r="G109" i="3"/>
  <c r="D109" i="3"/>
  <c r="A109" i="3"/>
  <c r="G108" i="3"/>
  <c r="D108" i="3"/>
  <c r="A108" i="3"/>
  <c r="G107" i="3"/>
  <c r="D107" i="3"/>
  <c r="A107" i="3"/>
  <c r="G106" i="3"/>
  <c r="D106" i="3"/>
  <c r="A106" i="3"/>
  <c r="G105" i="3"/>
  <c r="D105" i="3"/>
  <c r="A105" i="3"/>
  <c r="G104" i="3"/>
  <c r="D104" i="3"/>
  <c r="A104" i="3"/>
  <c r="G103" i="3"/>
  <c r="D103" i="3"/>
  <c r="A103" i="3"/>
  <c r="G102" i="3"/>
  <c r="D102" i="3"/>
  <c r="A102" i="3"/>
  <c r="G101" i="3"/>
  <c r="D101" i="3"/>
  <c r="A101" i="3"/>
  <c r="G100" i="3"/>
  <c r="D100" i="3"/>
  <c r="A100" i="3"/>
  <c r="G99" i="3"/>
  <c r="D99" i="3"/>
  <c r="A99" i="3"/>
  <c r="G98" i="3"/>
  <c r="D98" i="3"/>
  <c r="A98" i="3"/>
  <c r="G97" i="3"/>
  <c r="D97" i="3"/>
  <c r="A97" i="3"/>
  <c r="G96" i="3"/>
  <c r="D96" i="3"/>
  <c r="A96" i="3"/>
  <c r="G95" i="3"/>
  <c r="D95" i="3"/>
  <c r="A95" i="3"/>
  <c r="G94" i="3"/>
  <c r="D94" i="3"/>
  <c r="A94" i="3"/>
  <c r="G93" i="3"/>
  <c r="D93" i="3"/>
  <c r="A93" i="3"/>
  <c r="G92" i="3"/>
  <c r="D92" i="3"/>
  <c r="A92" i="3"/>
  <c r="G91" i="3"/>
  <c r="D91" i="3"/>
  <c r="A91" i="3"/>
  <c r="G90" i="3"/>
  <c r="D90" i="3"/>
  <c r="A90" i="3"/>
  <c r="G89" i="3"/>
  <c r="D89" i="3"/>
  <c r="A89" i="3"/>
  <c r="G88" i="3"/>
  <c r="D88" i="3"/>
  <c r="A88" i="3"/>
  <c r="G87" i="3"/>
  <c r="D87" i="3"/>
  <c r="A87" i="3"/>
  <c r="G86" i="3"/>
  <c r="D86" i="3"/>
  <c r="A86" i="3"/>
  <c r="G85" i="3"/>
  <c r="D85" i="3"/>
  <c r="A85" i="3"/>
  <c r="G84" i="3"/>
  <c r="D84" i="3"/>
  <c r="A84" i="3"/>
  <c r="G83" i="3"/>
  <c r="D83" i="3"/>
  <c r="A83" i="3"/>
  <c r="G82" i="3"/>
  <c r="D82" i="3"/>
  <c r="A82" i="3"/>
  <c r="G81" i="3"/>
  <c r="D81" i="3"/>
  <c r="A81" i="3"/>
  <c r="G80" i="3"/>
  <c r="D80" i="3"/>
  <c r="A80" i="3"/>
  <c r="G79" i="3"/>
  <c r="D79" i="3"/>
  <c r="A79" i="3"/>
  <c r="G78" i="3"/>
  <c r="D78" i="3"/>
  <c r="A78" i="3"/>
  <c r="G77" i="3"/>
  <c r="D77" i="3"/>
  <c r="A77" i="3"/>
  <c r="G76" i="3"/>
  <c r="D76" i="3"/>
  <c r="A76" i="3"/>
  <c r="G75" i="3"/>
  <c r="D75" i="3"/>
  <c r="A75" i="3"/>
  <c r="G74" i="3"/>
  <c r="D74" i="3"/>
  <c r="A74" i="3"/>
  <c r="G73" i="3"/>
  <c r="D73" i="3"/>
  <c r="A73" i="3"/>
  <c r="G72" i="3"/>
  <c r="D72" i="3"/>
  <c r="A72" i="3"/>
  <c r="G71" i="3"/>
  <c r="D71" i="3"/>
  <c r="A71" i="3"/>
  <c r="G70" i="3"/>
  <c r="D70" i="3"/>
  <c r="A70" i="3"/>
  <c r="G69" i="3"/>
  <c r="D69" i="3"/>
  <c r="A69" i="3"/>
  <c r="G68" i="3"/>
  <c r="D68" i="3"/>
  <c r="A68" i="3"/>
  <c r="G67" i="3"/>
  <c r="D67" i="3"/>
  <c r="A67" i="3"/>
  <c r="G66" i="3"/>
  <c r="D66" i="3"/>
  <c r="A66" i="3"/>
  <c r="G65" i="3"/>
  <c r="D65" i="3"/>
  <c r="A65" i="3"/>
  <c r="G64" i="3"/>
  <c r="D64" i="3"/>
  <c r="A64" i="3"/>
  <c r="G63" i="3"/>
  <c r="D63" i="3"/>
  <c r="A63" i="3"/>
  <c r="G62" i="3"/>
  <c r="D62" i="3"/>
  <c r="A62" i="3"/>
  <c r="G61" i="3"/>
  <c r="D61" i="3"/>
  <c r="A61" i="3"/>
  <c r="G60" i="3"/>
  <c r="D60" i="3"/>
  <c r="A60" i="3"/>
  <c r="G59" i="3"/>
  <c r="D59" i="3"/>
  <c r="A59" i="3"/>
  <c r="G58" i="3"/>
  <c r="D58" i="3"/>
  <c r="A58" i="3"/>
  <c r="G57" i="3"/>
  <c r="D57" i="3"/>
  <c r="A57" i="3"/>
  <c r="G56" i="3"/>
  <c r="D56" i="3"/>
  <c r="A56" i="3"/>
  <c r="G55" i="3"/>
  <c r="D55" i="3"/>
  <c r="A55" i="3"/>
  <c r="G54" i="3"/>
  <c r="D54" i="3"/>
  <c r="A54" i="3"/>
  <c r="G53" i="3"/>
  <c r="D53" i="3"/>
  <c r="A53" i="3"/>
  <c r="G52" i="3"/>
  <c r="D52" i="3"/>
  <c r="A52" i="3"/>
  <c r="G51" i="3"/>
  <c r="D51" i="3"/>
  <c r="A51" i="3"/>
  <c r="G50" i="3"/>
  <c r="D50" i="3"/>
  <c r="A50" i="3"/>
  <c r="G49" i="3"/>
  <c r="D49" i="3"/>
  <c r="A49" i="3"/>
  <c r="G48" i="3"/>
  <c r="D48" i="3"/>
  <c r="A48" i="3"/>
  <c r="G47" i="3"/>
  <c r="D47" i="3"/>
  <c r="A47" i="3"/>
  <c r="G46" i="3"/>
  <c r="D46" i="3"/>
  <c r="A46" i="3"/>
  <c r="G45" i="3"/>
  <c r="D45" i="3"/>
  <c r="A45" i="3"/>
  <c r="G44" i="3"/>
  <c r="D44" i="3"/>
  <c r="A44" i="3"/>
  <c r="G43" i="3"/>
  <c r="D43" i="3"/>
  <c r="A43" i="3"/>
  <c r="G42" i="3"/>
  <c r="D42" i="3"/>
  <c r="A42" i="3"/>
  <c r="G41" i="3"/>
  <c r="D41" i="3"/>
  <c r="A41" i="3"/>
  <c r="G40" i="3"/>
  <c r="D40" i="3"/>
  <c r="A40" i="3"/>
  <c r="G39" i="3"/>
  <c r="D39" i="3"/>
  <c r="A39" i="3"/>
  <c r="G38" i="3"/>
  <c r="D38" i="3"/>
  <c r="A38" i="3"/>
  <c r="G37" i="3"/>
  <c r="D37" i="3"/>
  <c r="A37" i="3"/>
  <c r="G36" i="3"/>
  <c r="D36" i="3"/>
  <c r="A36" i="3"/>
  <c r="G35" i="3"/>
  <c r="D35" i="3"/>
  <c r="A35" i="3"/>
  <c r="G34" i="3"/>
  <c r="D34" i="3"/>
  <c r="A34" i="3"/>
  <c r="G33" i="3"/>
  <c r="D33" i="3"/>
  <c r="A33" i="3"/>
  <c r="G32" i="3"/>
  <c r="D32" i="3"/>
  <c r="A32" i="3"/>
  <c r="G31" i="3"/>
  <c r="D31" i="3"/>
  <c r="A31" i="3"/>
  <c r="G30" i="3"/>
  <c r="D30" i="3"/>
  <c r="A30" i="3"/>
  <c r="G29" i="3"/>
  <c r="D29" i="3"/>
  <c r="A29" i="3"/>
  <c r="G28" i="3"/>
  <c r="D28" i="3"/>
  <c r="A28" i="3"/>
  <c r="G27" i="3"/>
  <c r="D27" i="3"/>
  <c r="A27" i="3"/>
  <c r="G26" i="3"/>
  <c r="D26" i="3"/>
  <c r="A26" i="3"/>
  <c r="G25" i="3"/>
  <c r="D25" i="3"/>
  <c r="A25" i="3"/>
  <c r="G24" i="3"/>
  <c r="D24" i="3"/>
  <c r="A24" i="3"/>
  <c r="G23" i="3"/>
  <c r="D23" i="3"/>
  <c r="A23" i="3"/>
  <c r="G22" i="3"/>
  <c r="D22" i="3"/>
  <c r="A22" i="3"/>
  <c r="G21" i="3"/>
  <c r="D21" i="3"/>
  <c r="A21" i="3"/>
  <c r="G20" i="3"/>
  <c r="D20" i="3"/>
  <c r="A20" i="3"/>
  <c r="G19" i="3"/>
  <c r="D19" i="3"/>
  <c r="A19" i="3"/>
  <c r="G18" i="3"/>
  <c r="D18" i="3"/>
  <c r="A18" i="3"/>
  <c r="G17" i="3"/>
  <c r="D17" i="3"/>
  <c r="A17" i="3"/>
  <c r="G16" i="3"/>
  <c r="D16" i="3"/>
  <c r="A16" i="3"/>
  <c r="G15" i="3"/>
  <c r="D15" i="3"/>
  <c r="A15" i="3"/>
  <c r="G14" i="3"/>
  <c r="D14" i="3"/>
  <c r="A14" i="3"/>
  <c r="G13" i="3"/>
  <c r="D13" i="3"/>
  <c r="A13" i="3"/>
  <c r="G12" i="3"/>
  <c r="A12" i="3"/>
  <c r="G11" i="3"/>
  <c r="A11" i="3"/>
  <c r="G10" i="3"/>
  <c r="A10" i="3"/>
  <c r="G9" i="3"/>
  <c r="D9" i="3"/>
  <c r="A9" i="3"/>
  <c r="G8" i="3"/>
  <c r="D8" i="3"/>
  <c r="A8" i="3"/>
  <c r="G5" i="3"/>
  <c r="L4" i="3"/>
  <c r="G4" i="3"/>
  <c r="D4" i="3"/>
  <c r="A4" i="3"/>
  <c r="AC1013" i="2"/>
  <c r="G1013" i="2"/>
  <c r="D1013" i="2"/>
  <c r="A1013" i="2"/>
  <c r="AC1012" i="2"/>
  <c r="G1012" i="2"/>
  <c r="D1012" i="2"/>
  <c r="A1012" i="2"/>
  <c r="AC1011" i="2"/>
  <c r="G1011" i="2"/>
  <c r="D1011" i="2"/>
  <c r="A1011" i="2"/>
  <c r="AC1010" i="2"/>
  <c r="G1010" i="2"/>
  <c r="D1010" i="2"/>
  <c r="A1010" i="2"/>
  <c r="AC1009" i="2"/>
  <c r="G1009" i="2"/>
  <c r="D1009" i="2"/>
  <c r="A1009" i="2"/>
  <c r="AC1008" i="2"/>
  <c r="G1008" i="2"/>
  <c r="D1008" i="2"/>
  <c r="A1008" i="2"/>
  <c r="AC1007" i="2"/>
  <c r="G1007" i="2"/>
  <c r="D1007" i="2"/>
  <c r="A1007" i="2"/>
  <c r="AC1006" i="2"/>
  <c r="G1006" i="2"/>
  <c r="D1006" i="2"/>
  <c r="A1006" i="2"/>
  <c r="AC1005" i="2"/>
  <c r="G1005" i="2"/>
  <c r="D1005" i="2"/>
  <c r="A1005" i="2"/>
  <c r="AC1004" i="2"/>
  <c r="G1004" i="2"/>
  <c r="D1004" i="2"/>
  <c r="A1004" i="2"/>
  <c r="AC1003" i="2"/>
  <c r="G1003" i="2"/>
  <c r="D1003" i="2"/>
  <c r="A1003" i="2"/>
  <c r="AC1002" i="2"/>
  <c r="G1002" i="2"/>
  <c r="D1002" i="2"/>
  <c r="A1002" i="2"/>
  <c r="AC1001" i="2"/>
  <c r="G1001" i="2"/>
  <c r="D1001" i="2"/>
  <c r="A1001" i="2"/>
  <c r="AC1000" i="2"/>
  <c r="G1000" i="2"/>
  <c r="D1000" i="2"/>
  <c r="A1000" i="2"/>
  <c r="AC999" i="2"/>
  <c r="G999" i="2"/>
  <c r="D999" i="2"/>
  <c r="A999" i="2"/>
  <c r="AC998" i="2"/>
  <c r="G998" i="2"/>
  <c r="D998" i="2"/>
  <c r="A998" i="2"/>
  <c r="AC997" i="2"/>
  <c r="G997" i="2"/>
  <c r="D997" i="2"/>
  <c r="A997" i="2"/>
  <c r="AC996" i="2"/>
  <c r="G996" i="2"/>
  <c r="D996" i="2"/>
  <c r="A996" i="2"/>
  <c r="AC995" i="2"/>
  <c r="G995" i="2"/>
  <c r="D995" i="2"/>
  <c r="A995" i="2"/>
  <c r="AC994" i="2"/>
  <c r="G994" i="2"/>
  <c r="D994" i="2"/>
  <c r="A994" i="2"/>
  <c r="AC993" i="2"/>
  <c r="G993" i="2"/>
  <c r="D993" i="2"/>
  <c r="A993" i="2"/>
  <c r="AC992" i="2"/>
  <c r="G992" i="2"/>
  <c r="D992" i="2"/>
  <c r="A992" i="2"/>
  <c r="AC991" i="2"/>
  <c r="G991" i="2"/>
  <c r="D991" i="2"/>
  <c r="A991" i="2"/>
  <c r="AC990" i="2"/>
  <c r="G990" i="2"/>
  <c r="D990" i="2"/>
  <c r="A990" i="2"/>
  <c r="AC989" i="2"/>
  <c r="G989" i="2"/>
  <c r="D989" i="2"/>
  <c r="A989" i="2"/>
  <c r="AC988" i="2"/>
  <c r="G988" i="2"/>
  <c r="D988" i="2"/>
  <c r="A988" i="2"/>
  <c r="AC987" i="2"/>
  <c r="G987" i="2"/>
  <c r="D987" i="2"/>
  <c r="A987" i="2"/>
  <c r="AC986" i="2"/>
  <c r="G986" i="2"/>
  <c r="D986" i="2"/>
  <c r="A986" i="2"/>
  <c r="AC985" i="2"/>
  <c r="G985" i="2"/>
  <c r="D985" i="2"/>
  <c r="A985" i="2"/>
  <c r="AC984" i="2"/>
  <c r="G984" i="2"/>
  <c r="D984" i="2"/>
  <c r="A984" i="2"/>
  <c r="AC983" i="2"/>
  <c r="G983" i="2"/>
  <c r="D983" i="2"/>
  <c r="A983" i="2"/>
  <c r="AC982" i="2"/>
  <c r="G982" i="2"/>
  <c r="D982" i="2"/>
  <c r="A982" i="2"/>
  <c r="AC981" i="2"/>
  <c r="G981" i="2"/>
  <c r="D981" i="2"/>
  <c r="A981" i="2"/>
  <c r="AC980" i="2"/>
  <c r="G980" i="2"/>
  <c r="D980" i="2"/>
  <c r="A980" i="2"/>
  <c r="AC979" i="2"/>
  <c r="G979" i="2"/>
  <c r="D979" i="2"/>
  <c r="A979" i="2"/>
  <c r="AC978" i="2"/>
  <c r="G978" i="2"/>
  <c r="D978" i="2"/>
  <c r="A978" i="2"/>
  <c r="AC977" i="2"/>
  <c r="G977" i="2"/>
  <c r="D977" i="2"/>
  <c r="A977" i="2"/>
  <c r="AC976" i="2"/>
  <c r="G976" i="2"/>
  <c r="D976" i="2"/>
  <c r="A976" i="2"/>
  <c r="AC975" i="2"/>
  <c r="G975" i="2"/>
  <c r="D975" i="2"/>
  <c r="A975" i="2"/>
  <c r="AC974" i="2"/>
  <c r="G974" i="2"/>
  <c r="D974" i="2"/>
  <c r="A974" i="2"/>
  <c r="AC973" i="2"/>
  <c r="G973" i="2"/>
  <c r="D973" i="2"/>
  <c r="A973" i="2"/>
  <c r="AC972" i="2"/>
  <c r="G972" i="2"/>
  <c r="D972" i="2"/>
  <c r="A972" i="2"/>
  <c r="AC971" i="2"/>
  <c r="G971" i="2"/>
  <c r="D971" i="2"/>
  <c r="A971" i="2"/>
  <c r="AC970" i="2"/>
  <c r="G970" i="2"/>
  <c r="D970" i="2"/>
  <c r="A970" i="2"/>
  <c r="AC969" i="2"/>
  <c r="G969" i="2"/>
  <c r="D969" i="2"/>
  <c r="A969" i="2"/>
  <c r="AC968" i="2"/>
  <c r="G968" i="2"/>
  <c r="D968" i="2"/>
  <c r="A968" i="2"/>
  <c r="AC967" i="2"/>
  <c r="G967" i="2"/>
  <c r="D967" i="2"/>
  <c r="A967" i="2"/>
  <c r="AC966" i="2"/>
  <c r="G966" i="2"/>
  <c r="D966" i="2"/>
  <c r="A966" i="2"/>
  <c r="AC965" i="2"/>
  <c r="G965" i="2"/>
  <c r="D965" i="2"/>
  <c r="A965" i="2"/>
  <c r="AC964" i="2"/>
  <c r="G964" i="2"/>
  <c r="D964" i="2"/>
  <c r="A964" i="2"/>
  <c r="AC963" i="2"/>
  <c r="G963" i="2"/>
  <c r="D963" i="2"/>
  <c r="A963" i="2"/>
  <c r="AC962" i="2"/>
  <c r="G962" i="2"/>
  <c r="D962" i="2"/>
  <c r="A962" i="2"/>
  <c r="AC961" i="2"/>
  <c r="G961" i="2"/>
  <c r="D961" i="2"/>
  <c r="A961" i="2"/>
  <c r="AC960" i="2"/>
  <c r="G960" i="2"/>
  <c r="D960" i="2"/>
  <c r="A960" i="2"/>
  <c r="AC959" i="2"/>
  <c r="G959" i="2"/>
  <c r="D959" i="2"/>
  <c r="A959" i="2"/>
  <c r="AC958" i="2"/>
  <c r="G958" i="2"/>
  <c r="D958" i="2"/>
  <c r="A958" i="2"/>
  <c r="AC957" i="2"/>
  <c r="G957" i="2"/>
  <c r="D957" i="2"/>
  <c r="A957" i="2"/>
  <c r="AC956" i="2"/>
  <c r="G956" i="2"/>
  <c r="D956" i="2"/>
  <c r="A956" i="2"/>
  <c r="AC955" i="2"/>
  <c r="G955" i="2"/>
  <c r="D955" i="2"/>
  <c r="A955" i="2"/>
  <c r="AC954" i="2"/>
  <c r="G954" i="2"/>
  <c r="D954" i="2"/>
  <c r="A954" i="2"/>
  <c r="AC953" i="2"/>
  <c r="G953" i="2"/>
  <c r="D953" i="2"/>
  <c r="A953" i="2"/>
  <c r="AC952" i="2"/>
  <c r="G952" i="2"/>
  <c r="D952" i="2"/>
  <c r="A952" i="2"/>
  <c r="AC951" i="2"/>
  <c r="G951" i="2"/>
  <c r="D951" i="2"/>
  <c r="A951" i="2"/>
  <c r="AC950" i="2"/>
  <c r="G950" i="2"/>
  <c r="D950" i="2"/>
  <c r="A950" i="2"/>
  <c r="AC949" i="2"/>
  <c r="G949" i="2"/>
  <c r="D949" i="2"/>
  <c r="A949" i="2"/>
  <c r="AC948" i="2"/>
  <c r="G948" i="2"/>
  <c r="D948" i="2"/>
  <c r="A948" i="2"/>
  <c r="AC947" i="2"/>
  <c r="G947" i="2"/>
  <c r="D947" i="2"/>
  <c r="A947" i="2"/>
  <c r="AC946" i="2"/>
  <c r="G946" i="2"/>
  <c r="D946" i="2"/>
  <c r="A946" i="2"/>
  <c r="AC945" i="2"/>
  <c r="G945" i="2"/>
  <c r="D945" i="2"/>
  <c r="A945" i="2"/>
  <c r="AC944" i="2"/>
  <c r="G944" i="2"/>
  <c r="D944" i="2"/>
  <c r="A944" i="2"/>
  <c r="AC943" i="2"/>
  <c r="G943" i="2"/>
  <c r="D943" i="2"/>
  <c r="A943" i="2"/>
  <c r="AC942" i="2"/>
  <c r="G942" i="2"/>
  <c r="D942" i="2"/>
  <c r="A942" i="2"/>
  <c r="AC941" i="2"/>
  <c r="G941" i="2"/>
  <c r="D941" i="2"/>
  <c r="A941" i="2"/>
  <c r="AC940" i="2"/>
  <c r="G940" i="2"/>
  <c r="D940" i="2"/>
  <c r="A940" i="2"/>
  <c r="AC939" i="2"/>
  <c r="G939" i="2"/>
  <c r="D939" i="2"/>
  <c r="A939" i="2"/>
  <c r="AC938" i="2"/>
  <c r="G938" i="2"/>
  <c r="D938" i="2"/>
  <c r="A938" i="2"/>
  <c r="AC937" i="2"/>
  <c r="G937" i="2"/>
  <c r="D937" i="2"/>
  <c r="A937" i="2"/>
  <c r="AC936" i="2"/>
  <c r="G936" i="2"/>
  <c r="D936" i="2"/>
  <c r="A936" i="2"/>
  <c r="AC935" i="2"/>
  <c r="G935" i="2"/>
  <c r="D935" i="2"/>
  <c r="A935" i="2"/>
  <c r="AC934" i="2"/>
  <c r="G934" i="2"/>
  <c r="D934" i="2"/>
  <c r="A934" i="2"/>
  <c r="AC933" i="2"/>
  <c r="G933" i="2"/>
  <c r="D933" i="2"/>
  <c r="A933" i="2"/>
  <c r="AC932" i="2"/>
  <c r="G932" i="2"/>
  <c r="D932" i="2"/>
  <c r="A932" i="2"/>
  <c r="AC931" i="2"/>
  <c r="G931" i="2"/>
  <c r="D931" i="2"/>
  <c r="A931" i="2"/>
  <c r="AC930" i="2"/>
  <c r="G930" i="2"/>
  <c r="D930" i="2"/>
  <c r="A930" i="2"/>
  <c r="AC929" i="2"/>
  <c r="G929" i="2"/>
  <c r="D929" i="2"/>
  <c r="A929" i="2"/>
  <c r="AC928" i="2"/>
  <c r="G928" i="2"/>
  <c r="D928" i="2"/>
  <c r="A928" i="2"/>
  <c r="AC927" i="2"/>
  <c r="G927" i="2"/>
  <c r="D927" i="2"/>
  <c r="A927" i="2"/>
  <c r="AC926" i="2"/>
  <c r="G926" i="2"/>
  <c r="D926" i="2"/>
  <c r="A926" i="2"/>
  <c r="AC925" i="2"/>
  <c r="G925" i="2"/>
  <c r="D925" i="2"/>
  <c r="A925" i="2"/>
  <c r="AC924" i="2"/>
  <c r="G924" i="2"/>
  <c r="D924" i="2"/>
  <c r="A924" i="2"/>
  <c r="AC923" i="2"/>
  <c r="G923" i="2"/>
  <c r="D923" i="2"/>
  <c r="A923" i="2"/>
  <c r="AC922" i="2"/>
  <c r="G922" i="2"/>
  <c r="D922" i="2"/>
  <c r="A922" i="2"/>
  <c r="AC921" i="2"/>
  <c r="G921" i="2"/>
  <c r="D921" i="2"/>
  <c r="A921" i="2"/>
  <c r="AC920" i="2"/>
  <c r="G920" i="2"/>
  <c r="D920" i="2"/>
  <c r="A920" i="2"/>
  <c r="AC919" i="2"/>
  <c r="G919" i="2"/>
  <c r="D919" i="2"/>
  <c r="A919" i="2"/>
  <c r="AC918" i="2"/>
  <c r="G918" i="2"/>
  <c r="D918" i="2"/>
  <c r="A918" i="2"/>
  <c r="AC917" i="2"/>
  <c r="G917" i="2"/>
  <c r="D917" i="2"/>
  <c r="A917" i="2"/>
  <c r="AC916" i="2"/>
  <c r="G916" i="2"/>
  <c r="D916" i="2"/>
  <c r="A916" i="2"/>
  <c r="AC915" i="2"/>
  <c r="G915" i="2"/>
  <c r="D915" i="2"/>
  <c r="A915" i="2"/>
  <c r="AC914" i="2"/>
  <c r="G914" i="2"/>
  <c r="D914" i="2"/>
  <c r="A914" i="2"/>
  <c r="AC913" i="2"/>
  <c r="G913" i="2"/>
  <c r="D913" i="2"/>
  <c r="A913" i="2"/>
  <c r="AC912" i="2"/>
  <c r="G912" i="2"/>
  <c r="D912" i="2"/>
  <c r="A912" i="2"/>
  <c r="AC911" i="2"/>
  <c r="G911" i="2"/>
  <c r="D911" i="2"/>
  <c r="A911" i="2"/>
  <c r="AC910" i="2"/>
  <c r="G910" i="2"/>
  <c r="D910" i="2"/>
  <c r="A910" i="2"/>
  <c r="AC909" i="2"/>
  <c r="G909" i="2"/>
  <c r="D909" i="2"/>
  <c r="A909" i="2"/>
  <c r="AC908" i="2"/>
  <c r="G908" i="2"/>
  <c r="D908" i="2"/>
  <c r="A908" i="2"/>
  <c r="AC907" i="2"/>
  <c r="G907" i="2"/>
  <c r="D907" i="2"/>
  <c r="A907" i="2"/>
  <c r="AC906" i="2"/>
  <c r="G906" i="2"/>
  <c r="D906" i="2"/>
  <c r="A906" i="2"/>
  <c r="AC905" i="2"/>
  <c r="G905" i="2"/>
  <c r="D905" i="2"/>
  <c r="A905" i="2"/>
  <c r="AC904" i="2"/>
  <c r="G904" i="2"/>
  <c r="D904" i="2"/>
  <c r="A904" i="2"/>
  <c r="AC903" i="2"/>
  <c r="G903" i="2"/>
  <c r="D903" i="2"/>
  <c r="A903" i="2"/>
  <c r="AC902" i="2"/>
  <c r="G902" i="2"/>
  <c r="D902" i="2"/>
  <c r="A902" i="2"/>
  <c r="AC901" i="2"/>
  <c r="G901" i="2"/>
  <c r="D901" i="2"/>
  <c r="A901" i="2"/>
  <c r="AC900" i="2"/>
  <c r="G900" i="2"/>
  <c r="D900" i="2"/>
  <c r="A900" i="2"/>
  <c r="AC899" i="2"/>
  <c r="G899" i="2"/>
  <c r="D899" i="2"/>
  <c r="A899" i="2"/>
  <c r="AC898" i="2"/>
  <c r="G898" i="2"/>
  <c r="D898" i="2"/>
  <c r="A898" i="2"/>
  <c r="AC897" i="2"/>
  <c r="G897" i="2"/>
  <c r="D897" i="2"/>
  <c r="A897" i="2"/>
  <c r="AC896" i="2"/>
  <c r="G896" i="2"/>
  <c r="D896" i="2"/>
  <c r="A896" i="2"/>
  <c r="AC895" i="2"/>
  <c r="G895" i="2"/>
  <c r="D895" i="2"/>
  <c r="A895" i="2"/>
  <c r="AC894" i="2"/>
  <c r="G894" i="2"/>
  <c r="D894" i="2"/>
  <c r="A894" i="2"/>
  <c r="AC893" i="2"/>
  <c r="G893" i="2"/>
  <c r="D893" i="2"/>
  <c r="A893" i="2"/>
  <c r="AC892" i="2"/>
  <c r="G892" i="2"/>
  <c r="D892" i="2"/>
  <c r="A892" i="2"/>
  <c r="AC891" i="2"/>
  <c r="G891" i="2"/>
  <c r="D891" i="2"/>
  <c r="A891" i="2"/>
  <c r="AC890" i="2"/>
  <c r="G890" i="2"/>
  <c r="D890" i="2"/>
  <c r="A890" i="2"/>
  <c r="AC889" i="2"/>
  <c r="G889" i="2"/>
  <c r="D889" i="2"/>
  <c r="A889" i="2"/>
  <c r="AC888" i="2"/>
  <c r="G888" i="2"/>
  <c r="D888" i="2"/>
  <c r="A888" i="2"/>
  <c r="AC887" i="2"/>
  <c r="G887" i="2"/>
  <c r="D887" i="2"/>
  <c r="A887" i="2"/>
  <c r="AC886" i="2"/>
  <c r="G886" i="2"/>
  <c r="D886" i="2"/>
  <c r="A886" i="2"/>
  <c r="AC885" i="2"/>
  <c r="G885" i="2"/>
  <c r="D885" i="2"/>
  <c r="A885" i="2"/>
  <c r="AC884" i="2"/>
  <c r="G884" i="2"/>
  <c r="D884" i="2"/>
  <c r="A884" i="2"/>
  <c r="AC883" i="2"/>
  <c r="G883" i="2"/>
  <c r="D883" i="2"/>
  <c r="A883" i="2"/>
  <c r="AC882" i="2"/>
  <c r="G882" i="2"/>
  <c r="D882" i="2"/>
  <c r="A882" i="2"/>
  <c r="AC881" i="2"/>
  <c r="G881" i="2"/>
  <c r="D881" i="2"/>
  <c r="A881" i="2"/>
  <c r="AC880" i="2"/>
  <c r="G880" i="2"/>
  <c r="D880" i="2"/>
  <c r="A880" i="2"/>
  <c r="AC879" i="2"/>
  <c r="G879" i="2"/>
  <c r="D879" i="2"/>
  <c r="A879" i="2"/>
  <c r="AC878" i="2"/>
  <c r="G878" i="2"/>
  <c r="D878" i="2"/>
  <c r="A878" i="2"/>
  <c r="AC877" i="2"/>
  <c r="G877" i="2"/>
  <c r="D877" i="2"/>
  <c r="A877" i="2"/>
  <c r="AC876" i="2"/>
  <c r="G876" i="2"/>
  <c r="D876" i="2"/>
  <c r="A876" i="2"/>
  <c r="AC875" i="2"/>
  <c r="G875" i="2"/>
  <c r="D875" i="2"/>
  <c r="A875" i="2"/>
  <c r="AC874" i="2"/>
  <c r="G874" i="2"/>
  <c r="D874" i="2"/>
  <c r="A874" i="2"/>
  <c r="AC873" i="2"/>
  <c r="G873" i="2"/>
  <c r="D873" i="2"/>
  <c r="A873" i="2"/>
  <c r="AC872" i="2"/>
  <c r="G872" i="2"/>
  <c r="D872" i="2"/>
  <c r="A872" i="2"/>
  <c r="AC871" i="2"/>
  <c r="G871" i="2"/>
  <c r="D871" i="2"/>
  <c r="A871" i="2"/>
  <c r="AC870" i="2"/>
  <c r="G870" i="2"/>
  <c r="D870" i="2"/>
  <c r="A870" i="2"/>
  <c r="AC869" i="2"/>
  <c r="G869" i="2"/>
  <c r="D869" i="2"/>
  <c r="A869" i="2"/>
  <c r="AC868" i="2"/>
  <c r="G868" i="2"/>
  <c r="D868" i="2"/>
  <c r="A868" i="2"/>
  <c r="AC867" i="2"/>
  <c r="G867" i="2"/>
  <c r="D867" i="2"/>
  <c r="A867" i="2"/>
  <c r="AC866" i="2"/>
  <c r="G866" i="2"/>
  <c r="D866" i="2"/>
  <c r="A866" i="2"/>
  <c r="AC865" i="2"/>
  <c r="G865" i="2"/>
  <c r="D865" i="2"/>
  <c r="A865" i="2"/>
  <c r="AC864" i="2"/>
  <c r="G864" i="2"/>
  <c r="D864" i="2"/>
  <c r="A864" i="2"/>
  <c r="AC863" i="2"/>
  <c r="G863" i="2"/>
  <c r="D863" i="2"/>
  <c r="A863" i="2"/>
  <c r="AC862" i="2"/>
  <c r="G862" i="2"/>
  <c r="D862" i="2"/>
  <c r="A862" i="2"/>
  <c r="AC861" i="2"/>
  <c r="G861" i="2"/>
  <c r="D861" i="2"/>
  <c r="A861" i="2"/>
  <c r="AC860" i="2"/>
  <c r="G860" i="2"/>
  <c r="D860" i="2"/>
  <c r="A860" i="2"/>
  <c r="AC859" i="2"/>
  <c r="G859" i="2"/>
  <c r="D859" i="2"/>
  <c r="A859" i="2"/>
  <c r="AC858" i="2"/>
  <c r="G858" i="2"/>
  <c r="D858" i="2"/>
  <c r="A858" i="2"/>
  <c r="AC857" i="2"/>
  <c r="G857" i="2"/>
  <c r="D857" i="2"/>
  <c r="A857" i="2"/>
  <c r="AC856" i="2"/>
  <c r="G856" i="2"/>
  <c r="D856" i="2"/>
  <c r="A856" i="2"/>
  <c r="AC855" i="2"/>
  <c r="G855" i="2"/>
  <c r="D855" i="2"/>
  <c r="A855" i="2"/>
  <c r="AC854" i="2"/>
  <c r="G854" i="2"/>
  <c r="D854" i="2"/>
  <c r="A854" i="2"/>
  <c r="AC853" i="2"/>
  <c r="G853" i="2"/>
  <c r="D853" i="2"/>
  <c r="A853" i="2"/>
  <c r="AC852" i="2"/>
  <c r="G852" i="2"/>
  <c r="D852" i="2"/>
  <c r="A852" i="2"/>
  <c r="AC851" i="2"/>
  <c r="G851" i="2"/>
  <c r="D851" i="2"/>
  <c r="A851" i="2"/>
  <c r="AC850" i="2"/>
  <c r="G850" i="2"/>
  <c r="D850" i="2"/>
  <c r="A850" i="2"/>
  <c r="AC849" i="2"/>
  <c r="G849" i="2"/>
  <c r="D849" i="2"/>
  <c r="A849" i="2"/>
  <c r="AC848" i="2"/>
  <c r="G848" i="2"/>
  <c r="D848" i="2"/>
  <c r="A848" i="2"/>
  <c r="AC847" i="2"/>
  <c r="G847" i="2"/>
  <c r="D847" i="2"/>
  <c r="A847" i="2"/>
  <c r="AC846" i="2"/>
  <c r="G846" i="2"/>
  <c r="D846" i="2"/>
  <c r="A846" i="2"/>
  <c r="AC845" i="2"/>
  <c r="G845" i="2"/>
  <c r="D845" i="2"/>
  <c r="A845" i="2"/>
  <c r="AC844" i="2"/>
  <c r="G844" i="2"/>
  <c r="D844" i="2"/>
  <c r="A844" i="2"/>
  <c r="AC843" i="2"/>
  <c r="G843" i="2"/>
  <c r="D843" i="2"/>
  <c r="A843" i="2"/>
  <c r="AC842" i="2"/>
  <c r="G842" i="2"/>
  <c r="D842" i="2"/>
  <c r="A842" i="2"/>
  <c r="AC841" i="2"/>
  <c r="G841" i="2"/>
  <c r="D841" i="2"/>
  <c r="A841" i="2"/>
  <c r="AC840" i="2"/>
  <c r="G840" i="2"/>
  <c r="D840" i="2"/>
  <c r="A840" i="2"/>
  <c r="AC839" i="2"/>
  <c r="G839" i="2"/>
  <c r="D839" i="2"/>
  <c r="A839" i="2"/>
  <c r="AC838" i="2"/>
  <c r="G838" i="2"/>
  <c r="D838" i="2"/>
  <c r="A838" i="2"/>
  <c r="AC837" i="2"/>
  <c r="G837" i="2"/>
  <c r="D837" i="2"/>
  <c r="A837" i="2"/>
  <c r="AC836" i="2"/>
  <c r="G836" i="2"/>
  <c r="D836" i="2"/>
  <c r="A836" i="2"/>
  <c r="AC835" i="2"/>
  <c r="G835" i="2"/>
  <c r="D835" i="2"/>
  <c r="A835" i="2"/>
  <c r="AC834" i="2"/>
  <c r="G834" i="2"/>
  <c r="D834" i="2"/>
  <c r="A834" i="2"/>
  <c r="AC833" i="2"/>
  <c r="G833" i="2"/>
  <c r="D833" i="2"/>
  <c r="A833" i="2"/>
  <c r="AC832" i="2"/>
  <c r="G832" i="2"/>
  <c r="D832" i="2"/>
  <c r="A832" i="2"/>
  <c r="AC831" i="2"/>
  <c r="G831" i="2"/>
  <c r="D831" i="2"/>
  <c r="A831" i="2"/>
  <c r="AC830" i="2"/>
  <c r="G830" i="2"/>
  <c r="D830" i="2"/>
  <c r="A830" i="2"/>
  <c r="AC829" i="2"/>
  <c r="G829" i="2"/>
  <c r="D829" i="2"/>
  <c r="A829" i="2"/>
  <c r="AC828" i="2"/>
  <c r="G828" i="2"/>
  <c r="D828" i="2"/>
  <c r="A828" i="2"/>
  <c r="AC827" i="2"/>
  <c r="G827" i="2"/>
  <c r="D827" i="2"/>
  <c r="A827" i="2"/>
  <c r="AC826" i="2"/>
  <c r="G826" i="2"/>
  <c r="D826" i="2"/>
  <c r="A826" i="2"/>
  <c r="AC825" i="2"/>
  <c r="G825" i="2"/>
  <c r="D825" i="2"/>
  <c r="A825" i="2"/>
  <c r="AC824" i="2"/>
  <c r="G824" i="2"/>
  <c r="D824" i="2"/>
  <c r="A824" i="2"/>
  <c r="AC823" i="2"/>
  <c r="G823" i="2"/>
  <c r="D823" i="2"/>
  <c r="A823" i="2"/>
  <c r="AC822" i="2"/>
  <c r="G822" i="2"/>
  <c r="D822" i="2"/>
  <c r="A822" i="2"/>
  <c r="AC821" i="2"/>
  <c r="G821" i="2"/>
  <c r="D821" i="2"/>
  <c r="A821" i="2"/>
  <c r="AC820" i="2"/>
  <c r="G820" i="2"/>
  <c r="D820" i="2"/>
  <c r="A820" i="2"/>
  <c r="AC819" i="2"/>
  <c r="G819" i="2"/>
  <c r="D819" i="2"/>
  <c r="A819" i="2"/>
  <c r="AC818" i="2"/>
  <c r="G818" i="2"/>
  <c r="D818" i="2"/>
  <c r="A818" i="2"/>
  <c r="AC817" i="2"/>
  <c r="G817" i="2"/>
  <c r="D817" i="2"/>
  <c r="A817" i="2"/>
  <c r="AC816" i="2"/>
  <c r="G816" i="2"/>
  <c r="D816" i="2"/>
  <c r="A816" i="2"/>
  <c r="AC815" i="2"/>
  <c r="G815" i="2"/>
  <c r="D815" i="2"/>
  <c r="A815" i="2"/>
  <c r="AC814" i="2"/>
  <c r="G814" i="2"/>
  <c r="D814" i="2"/>
  <c r="A814" i="2"/>
  <c r="AC813" i="2"/>
  <c r="G813" i="2"/>
  <c r="D813" i="2"/>
  <c r="A813" i="2"/>
  <c r="AC812" i="2"/>
  <c r="G812" i="2"/>
  <c r="D812" i="2"/>
  <c r="A812" i="2"/>
  <c r="AC811" i="2"/>
  <c r="G811" i="2"/>
  <c r="D811" i="2"/>
  <c r="A811" i="2"/>
  <c r="AC810" i="2"/>
  <c r="G810" i="2"/>
  <c r="D810" i="2"/>
  <c r="A810" i="2"/>
  <c r="AC809" i="2"/>
  <c r="G809" i="2"/>
  <c r="D809" i="2"/>
  <c r="A809" i="2"/>
  <c r="AC808" i="2"/>
  <c r="G808" i="2"/>
  <c r="D808" i="2"/>
  <c r="A808" i="2"/>
  <c r="AC807" i="2"/>
  <c r="G807" i="2"/>
  <c r="D807" i="2"/>
  <c r="A807" i="2"/>
  <c r="AC806" i="2"/>
  <c r="G806" i="2"/>
  <c r="D806" i="2"/>
  <c r="A806" i="2"/>
  <c r="AC805" i="2"/>
  <c r="G805" i="2"/>
  <c r="D805" i="2"/>
  <c r="A805" i="2"/>
  <c r="AC804" i="2"/>
  <c r="G804" i="2"/>
  <c r="D804" i="2"/>
  <c r="A804" i="2"/>
  <c r="AC803" i="2"/>
  <c r="G803" i="2"/>
  <c r="D803" i="2"/>
  <c r="A803" i="2"/>
  <c r="AC802" i="2"/>
  <c r="G802" i="2"/>
  <c r="D802" i="2"/>
  <c r="A802" i="2"/>
  <c r="AC801" i="2"/>
  <c r="G801" i="2"/>
  <c r="D801" i="2"/>
  <c r="A801" i="2"/>
  <c r="AC800" i="2"/>
  <c r="G800" i="2"/>
  <c r="D800" i="2"/>
  <c r="A800" i="2"/>
  <c r="AC799" i="2"/>
  <c r="G799" i="2"/>
  <c r="D799" i="2"/>
  <c r="A799" i="2"/>
  <c r="AC798" i="2"/>
  <c r="G798" i="2"/>
  <c r="D798" i="2"/>
  <c r="A798" i="2"/>
  <c r="AC797" i="2"/>
  <c r="G797" i="2"/>
  <c r="D797" i="2"/>
  <c r="A797" i="2"/>
  <c r="AC796" i="2"/>
  <c r="G796" i="2"/>
  <c r="D796" i="2"/>
  <c r="A796" i="2"/>
  <c r="AC795" i="2"/>
  <c r="G795" i="2"/>
  <c r="D795" i="2"/>
  <c r="A795" i="2"/>
  <c r="AC794" i="2"/>
  <c r="G794" i="2"/>
  <c r="D794" i="2"/>
  <c r="A794" i="2"/>
  <c r="AC793" i="2"/>
  <c r="G793" i="2"/>
  <c r="D793" i="2"/>
  <c r="A793" i="2"/>
  <c r="AC792" i="2"/>
  <c r="G792" i="2"/>
  <c r="D792" i="2"/>
  <c r="A792" i="2"/>
  <c r="AC791" i="2"/>
  <c r="G791" i="2"/>
  <c r="D791" i="2"/>
  <c r="A791" i="2"/>
  <c r="AC790" i="2"/>
  <c r="G790" i="2"/>
  <c r="D790" i="2"/>
  <c r="A790" i="2"/>
  <c r="AC789" i="2"/>
  <c r="G789" i="2"/>
  <c r="D789" i="2"/>
  <c r="A789" i="2"/>
  <c r="AC788" i="2"/>
  <c r="G788" i="2"/>
  <c r="D788" i="2"/>
  <c r="A788" i="2"/>
  <c r="AC787" i="2"/>
  <c r="G787" i="2"/>
  <c r="D787" i="2"/>
  <c r="A787" i="2"/>
  <c r="AC786" i="2"/>
  <c r="G786" i="2"/>
  <c r="D786" i="2"/>
  <c r="A786" i="2"/>
  <c r="AC785" i="2"/>
  <c r="G785" i="2"/>
  <c r="D785" i="2"/>
  <c r="A785" i="2"/>
  <c r="AC784" i="2"/>
  <c r="G784" i="2"/>
  <c r="D784" i="2"/>
  <c r="A784" i="2"/>
  <c r="AC783" i="2"/>
  <c r="G783" i="2"/>
  <c r="D783" i="2"/>
  <c r="A783" i="2"/>
  <c r="AC782" i="2"/>
  <c r="G782" i="2"/>
  <c r="D782" i="2"/>
  <c r="A782" i="2"/>
  <c r="AC781" i="2"/>
  <c r="G781" i="2"/>
  <c r="D781" i="2"/>
  <c r="A781" i="2"/>
  <c r="AC780" i="2"/>
  <c r="G780" i="2"/>
  <c r="D780" i="2"/>
  <c r="A780" i="2"/>
  <c r="AC779" i="2"/>
  <c r="G779" i="2"/>
  <c r="D779" i="2"/>
  <c r="A779" i="2"/>
  <c r="AC778" i="2"/>
  <c r="G778" i="2"/>
  <c r="D778" i="2"/>
  <c r="A778" i="2"/>
  <c r="AC777" i="2"/>
  <c r="G777" i="2"/>
  <c r="D777" i="2"/>
  <c r="A777" i="2"/>
  <c r="AC776" i="2"/>
  <c r="G776" i="2"/>
  <c r="D776" i="2"/>
  <c r="A776" i="2"/>
  <c r="AC775" i="2"/>
  <c r="G775" i="2"/>
  <c r="D775" i="2"/>
  <c r="A775" i="2"/>
  <c r="AC774" i="2"/>
  <c r="G774" i="2"/>
  <c r="D774" i="2"/>
  <c r="A774" i="2"/>
  <c r="AC773" i="2"/>
  <c r="G773" i="2"/>
  <c r="D773" i="2"/>
  <c r="A773" i="2"/>
  <c r="AC772" i="2"/>
  <c r="G772" i="2"/>
  <c r="D772" i="2"/>
  <c r="A772" i="2"/>
  <c r="AC771" i="2"/>
  <c r="G771" i="2"/>
  <c r="D771" i="2"/>
  <c r="A771" i="2"/>
  <c r="AC770" i="2"/>
  <c r="G770" i="2"/>
  <c r="D770" i="2"/>
  <c r="A770" i="2"/>
  <c r="AC769" i="2"/>
  <c r="G769" i="2"/>
  <c r="D769" i="2"/>
  <c r="A769" i="2"/>
  <c r="AC768" i="2"/>
  <c r="G768" i="2"/>
  <c r="D768" i="2"/>
  <c r="A768" i="2"/>
  <c r="AC767" i="2"/>
  <c r="G767" i="2"/>
  <c r="D767" i="2"/>
  <c r="A767" i="2"/>
  <c r="AC766" i="2"/>
  <c r="G766" i="2"/>
  <c r="D766" i="2"/>
  <c r="A766" i="2"/>
  <c r="AC765" i="2"/>
  <c r="G765" i="2"/>
  <c r="D765" i="2"/>
  <c r="A765" i="2"/>
  <c r="AC764" i="2"/>
  <c r="G764" i="2"/>
  <c r="D764" i="2"/>
  <c r="A764" i="2"/>
  <c r="AC763" i="2"/>
  <c r="G763" i="2"/>
  <c r="D763" i="2"/>
  <c r="A763" i="2"/>
  <c r="AC762" i="2"/>
  <c r="G762" i="2"/>
  <c r="D762" i="2"/>
  <c r="A762" i="2"/>
  <c r="AC761" i="2"/>
  <c r="G761" i="2"/>
  <c r="D761" i="2"/>
  <c r="A761" i="2"/>
  <c r="AC760" i="2"/>
  <c r="G760" i="2"/>
  <c r="D760" i="2"/>
  <c r="A760" i="2"/>
  <c r="AC759" i="2"/>
  <c r="G759" i="2"/>
  <c r="D759" i="2"/>
  <c r="A759" i="2"/>
  <c r="AC758" i="2"/>
  <c r="G758" i="2"/>
  <c r="D758" i="2"/>
  <c r="A758" i="2"/>
  <c r="AC757" i="2"/>
  <c r="G757" i="2"/>
  <c r="D757" i="2"/>
  <c r="A757" i="2"/>
  <c r="AC756" i="2"/>
  <c r="G756" i="2"/>
  <c r="D756" i="2"/>
  <c r="A756" i="2"/>
  <c r="AC755" i="2"/>
  <c r="G755" i="2"/>
  <c r="D755" i="2"/>
  <c r="A755" i="2"/>
  <c r="AC754" i="2"/>
  <c r="G754" i="2"/>
  <c r="D754" i="2"/>
  <c r="A754" i="2"/>
  <c r="AC753" i="2"/>
  <c r="G753" i="2"/>
  <c r="D753" i="2"/>
  <c r="A753" i="2"/>
  <c r="AC752" i="2"/>
  <c r="G752" i="2"/>
  <c r="D752" i="2"/>
  <c r="A752" i="2"/>
  <c r="AC751" i="2"/>
  <c r="G751" i="2"/>
  <c r="D751" i="2"/>
  <c r="A751" i="2"/>
  <c r="AC750" i="2"/>
  <c r="G750" i="2"/>
  <c r="D750" i="2"/>
  <c r="A750" i="2"/>
  <c r="AC749" i="2"/>
  <c r="G749" i="2"/>
  <c r="D749" i="2"/>
  <c r="A749" i="2"/>
  <c r="AC748" i="2"/>
  <c r="G748" i="2"/>
  <c r="D748" i="2"/>
  <c r="A748" i="2"/>
  <c r="AC747" i="2"/>
  <c r="G747" i="2"/>
  <c r="D747" i="2"/>
  <c r="A747" i="2"/>
  <c r="AC746" i="2"/>
  <c r="G746" i="2"/>
  <c r="D746" i="2"/>
  <c r="A746" i="2"/>
  <c r="AC745" i="2"/>
  <c r="G745" i="2"/>
  <c r="D745" i="2"/>
  <c r="A745" i="2"/>
  <c r="AC744" i="2"/>
  <c r="G744" i="2"/>
  <c r="D744" i="2"/>
  <c r="A744" i="2"/>
  <c r="AC743" i="2"/>
  <c r="G743" i="2"/>
  <c r="D743" i="2"/>
  <c r="A743" i="2"/>
  <c r="AC742" i="2"/>
  <c r="G742" i="2"/>
  <c r="D742" i="2"/>
  <c r="A742" i="2"/>
  <c r="AC741" i="2"/>
  <c r="G741" i="2"/>
  <c r="D741" i="2"/>
  <c r="A741" i="2"/>
  <c r="AC740" i="2"/>
  <c r="G740" i="2"/>
  <c r="D740" i="2"/>
  <c r="A740" i="2"/>
  <c r="AC739" i="2"/>
  <c r="G739" i="2"/>
  <c r="D739" i="2"/>
  <c r="A739" i="2"/>
  <c r="AC738" i="2"/>
  <c r="G738" i="2"/>
  <c r="D738" i="2"/>
  <c r="A738" i="2"/>
  <c r="AC737" i="2"/>
  <c r="G737" i="2"/>
  <c r="D737" i="2"/>
  <c r="A737" i="2"/>
  <c r="AC736" i="2"/>
  <c r="G736" i="2"/>
  <c r="D736" i="2"/>
  <c r="A736" i="2"/>
  <c r="AC735" i="2"/>
  <c r="G735" i="2"/>
  <c r="D735" i="2"/>
  <c r="A735" i="2"/>
  <c r="AC734" i="2"/>
  <c r="G734" i="2"/>
  <c r="D734" i="2"/>
  <c r="A734" i="2"/>
  <c r="AC733" i="2"/>
  <c r="G733" i="2"/>
  <c r="D733" i="2"/>
  <c r="A733" i="2"/>
  <c r="AC732" i="2"/>
  <c r="G732" i="2"/>
  <c r="D732" i="2"/>
  <c r="A732" i="2"/>
  <c r="AC731" i="2"/>
  <c r="G731" i="2"/>
  <c r="D731" i="2"/>
  <c r="A731" i="2"/>
  <c r="AC730" i="2"/>
  <c r="G730" i="2"/>
  <c r="D730" i="2"/>
  <c r="A730" i="2"/>
  <c r="AC729" i="2"/>
  <c r="G729" i="2"/>
  <c r="D729" i="2"/>
  <c r="A729" i="2"/>
  <c r="AC728" i="2"/>
  <c r="G728" i="2"/>
  <c r="D728" i="2"/>
  <c r="A728" i="2"/>
  <c r="AC727" i="2"/>
  <c r="G727" i="2"/>
  <c r="D727" i="2"/>
  <c r="A727" i="2"/>
  <c r="AC726" i="2"/>
  <c r="G726" i="2"/>
  <c r="D726" i="2"/>
  <c r="A726" i="2"/>
  <c r="AC725" i="2"/>
  <c r="G725" i="2"/>
  <c r="D725" i="2"/>
  <c r="A725" i="2"/>
  <c r="AC724" i="2"/>
  <c r="G724" i="2"/>
  <c r="D724" i="2"/>
  <c r="A724" i="2"/>
  <c r="AC723" i="2"/>
  <c r="G723" i="2"/>
  <c r="D723" i="2"/>
  <c r="A723" i="2"/>
  <c r="AC722" i="2"/>
  <c r="G722" i="2"/>
  <c r="D722" i="2"/>
  <c r="A722" i="2"/>
  <c r="AC721" i="2"/>
  <c r="G721" i="2"/>
  <c r="D721" i="2"/>
  <c r="A721" i="2"/>
  <c r="AC720" i="2"/>
  <c r="G720" i="2"/>
  <c r="D720" i="2"/>
  <c r="A720" i="2"/>
  <c r="AC719" i="2"/>
  <c r="G719" i="2"/>
  <c r="D719" i="2"/>
  <c r="A719" i="2"/>
  <c r="AC718" i="2"/>
  <c r="G718" i="2"/>
  <c r="D718" i="2"/>
  <c r="A718" i="2"/>
  <c r="AC717" i="2"/>
  <c r="G717" i="2"/>
  <c r="D717" i="2"/>
  <c r="A717" i="2"/>
  <c r="AC716" i="2"/>
  <c r="G716" i="2"/>
  <c r="D716" i="2"/>
  <c r="A716" i="2"/>
  <c r="AC715" i="2"/>
  <c r="G715" i="2"/>
  <c r="D715" i="2"/>
  <c r="A715" i="2"/>
  <c r="AC714" i="2"/>
  <c r="G714" i="2"/>
  <c r="D714" i="2"/>
  <c r="A714" i="2"/>
  <c r="AC713" i="2"/>
  <c r="G713" i="2"/>
  <c r="D713" i="2"/>
  <c r="A713" i="2"/>
  <c r="AC712" i="2"/>
  <c r="G712" i="2"/>
  <c r="D712" i="2"/>
  <c r="A712" i="2"/>
  <c r="AC711" i="2"/>
  <c r="G711" i="2"/>
  <c r="D711" i="2"/>
  <c r="A711" i="2"/>
  <c r="AC710" i="2"/>
  <c r="G710" i="2"/>
  <c r="D710" i="2"/>
  <c r="A710" i="2"/>
  <c r="AC709" i="2"/>
  <c r="G709" i="2"/>
  <c r="D709" i="2"/>
  <c r="A709" i="2"/>
  <c r="AC708" i="2"/>
  <c r="G708" i="2"/>
  <c r="D708" i="2"/>
  <c r="A708" i="2"/>
  <c r="AC707" i="2"/>
  <c r="G707" i="2"/>
  <c r="D707" i="2"/>
  <c r="A707" i="2"/>
  <c r="AC706" i="2"/>
  <c r="G706" i="2"/>
  <c r="D706" i="2"/>
  <c r="A706" i="2"/>
  <c r="AC705" i="2"/>
  <c r="G705" i="2"/>
  <c r="D705" i="2"/>
  <c r="A705" i="2"/>
  <c r="AC704" i="2"/>
  <c r="G704" i="2"/>
  <c r="D704" i="2"/>
  <c r="A704" i="2"/>
  <c r="AC703" i="2"/>
  <c r="G703" i="2"/>
  <c r="D703" i="2"/>
  <c r="A703" i="2"/>
  <c r="AC702" i="2"/>
  <c r="G702" i="2"/>
  <c r="D702" i="2"/>
  <c r="A702" i="2"/>
  <c r="AC701" i="2"/>
  <c r="G701" i="2"/>
  <c r="D701" i="2"/>
  <c r="A701" i="2"/>
  <c r="AC700" i="2"/>
  <c r="G700" i="2"/>
  <c r="D700" i="2"/>
  <c r="A700" i="2"/>
  <c r="AC699" i="2"/>
  <c r="G699" i="2"/>
  <c r="D699" i="2"/>
  <c r="A699" i="2"/>
  <c r="AC698" i="2"/>
  <c r="G698" i="2"/>
  <c r="D698" i="2"/>
  <c r="A698" i="2"/>
  <c r="AC697" i="2"/>
  <c r="G697" i="2"/>
  <c r="D697" i="2"/>
  <c r="A697" i="2"/>
  <c r="AC696" i="2"/>
  <c r="G696" i="2"/>
  <c r="D696" i="2"/>
  <c r="A696" i="2"/>
  <c r="AC695" i="2"/>
  <c r="G695" i="2"/>
  <c r="D695" i="2"/>
  <c r="A695" i="2"/>
  <c r="AC694" i="2"/>
  <c r="G694" i="2"/>
  <c r="D694" i="2"/>
  <c r="A694" i="2"/>
  <c r="AC693" i="2"/>
  <c r="G693" i="2"/>
  <c r="D693" i="2"/>
  <c r="A693" i="2"/>
  <c r="AC692" i="2"/>
  <c r="G692" i="2"/>
  <c r="D692" i="2"/>
  <c r="A692" i="2"/>
  <c r="AC691" i="2"/>
  <c r="G691" i="2"/>
  <c r="D691" i="2"/>
  <c r="A691" i="2"/>
  <c r="AC690" i="2"/>
  <c r="G690" i="2"/>
  <c r="D690" i="2"/>
  <c r="A690" i="2"/>
  <c r="AC689" i="2"/>
  <c r="G689" i="2"/>
  <c r="D689" i="2"/>
  <c r="A689" i="2"/>
  <c r="AC688" i="2"/>
  <c r="G688" i="2"/>
  <c r="D688" i="2"/>
  <c r="A688" i="2"/>
  <c r="AC687" i="2"/>
  <c r="G687" i="2"/>
  <c r="D687" i="2"/>
  <c r="A687" i="2"/>
  <c r="AC686" i="2"/>
  <c r="G686" i="2"/>
  <c r="D686" i="2"/>
  <c r="A686" i="2"/>
  <c r="AC685" i="2"/>
  <c r="G685" i="2"/>
  <c r="D685" i="2"/>
  <c r="A685" i="2"/>
  <c r="AC684" i="2"/>
  <c r="G684" i="2"/>
  <c r="D684" i="2"/>
  <c r="A684" i="2"/>
  <c r="AC683" i="2"/>
  <c r="G683" i="2"/>
  <c r="D683" i="2"/>
  <c r="A683" i="2"/>
  <c r="AC682" i="2"/>
  <c r="G682" i="2"/>
  <c r="D682" i="2"/>
  <c r="A682" i="2"/>
  <c r="AC681" i="2"/>
  <c r="G681" i="2"/>
  <c r="D681" i="2"/>
  <c r="A681" i="2"/>
  <c r="AC680" i="2"/>
  <c r="G680" i="2"/>
  <c r="D680" i="2"/>
  <c r="A680" i="2"/>
  <c r="AC679" i="2"/>
  <c r="G679" i="2"/>
  <c r="D679" i="2"/>
  <c r="A679" i="2"/>
  <c r="AC678" i="2"/>
  <c r="G678" i="2"/>
  <c r="D678" i="2"/>
  <c r="A678" i="2"/>
  <c r="AC677" i="2"/>
  <c r="G677" i="2"/>
  <c r="D677" i="2"/>
  <c r="A677" i="2"/>
  <c r="AC676" i="2"/>
  <c r="G676" i="2"/>
  <c r="D676" i="2"/>
  <c r="A676" i="2"/>
  <c r="AC675" i="2"/>
  <c r="G675" i="2"/>
  <c r="D675" i="2"/>
  <c r="A675" i="2"/>
  <c r="AC674" i="2"/>
  <c r="G674" i="2"/>
  <c r="D674" i="2"/>
  <c r="A674" i="2"/>
  <c r="AC673" i="2"/>
  <c r="G673" i="2"/>
  <c r="D673" i="2"/>
  <c r="A673" i="2"/>
  <c r="AC672" i="2"/>
  <c r="G672" i="2"/>
  <c r="D672" i="2"/>
  <c r="A672" i="2"/>
  <c r="AC671" i="2"/>
  <c r="G671" i="2"/>
  <c r="D671" i="2"/>
  <c r="A671" i="2"/>
  <c r="AC670" i="2"/>
  <c r="G670" i="2"/>
  <c r="D670" i="2"/>
  <c r="A670" i="2"/>
  <c r="AC669" i="2"/>
  <c r="G669" i="2"/>
  <c r="D669" i="2"/>
  <c r="A669" i="2"/>
  <c r="AC668" i="2"/>
  <c r="G668" i="2"/>
  <c r="D668" i="2"/>
  <c r="A668" i="2"/>
  <c r="AC667" i="2"/>
  <c r="G667" i="2"/>
  <c r="D667" i="2"/>
  <c r="A667" i="2"/>
  <c r="AC666" i="2"/>
  <c r="G666" i="2"/>
  <c r="D666" i="2"/>
  <c r="A666" i="2"/>
  <c r="AC665" i="2"/>
  <c r="G665" i="2"/>
  <c r="D665" i="2"/>
  <c r="A665" i="2"/>
  <c r="AC664" i="2"/>
  <c r="G664" i="2"/>
  <c r="D664" i="2"/>
  <c r="A664" i="2"/>
  <c r="AC663" i="2"/>
  <c r="G663" i="2"/>
  <c r="D663" i="2"/>
  <c r="A663" i="2"/>
  <c r="AC662" i="2"/>
  <c r="G662" i="2"/>
  <c r="D662" i="2"/>
  <c r="A662" i="2"/>
  <c r="AC661" i="2"/>
  <c r="G661" i="2"/>
  <c r="D661" i="2"/>
  <c r="A661" i="2"/>
  <c r="AC660" i="2"/>
  <c r="G660" i="2"/>
  <c r="D660" i="2"/>
  <c r="A660" i="2"/>
  <c r="AC659" i="2"/>
  <c r="G659" i="2"/>
  <c r="D659" i="2"/>
  <c r="A659" i="2"/>
  <c r="AC658" i="2"/>
  <c r="G658" i="2"/>
  <c r="D658" i="2"/>
  <c r="A658" i="2"/>
  <c r="AC657" i="2"/>
  <c r="G657" i="2"/>
  <c r="D657" i="2"/>
  <c r="A657" i="2"/>
  <c r="AC656" i="2"/>
  <c r="G656" i="2"/>
  <c r="D656" i="2"/>
  <c r="A656" i="2"/>
  <c r="AC655" i="2"/>
  <c r="G655" i="2"/>
  <c r="D655" i="2"/>
  <c r="A655" i="2"/>
  <c r="AC654" i="2"/>
  <c r="G654" i="2"/>
  <c r="D654" i="2"/>
  <c r="A654" i="2"/>
  <c r="AC653" i="2"/>
  <c r="G653" i="2"/>
  <c r="D653" i="2"/>
  <c r="A653" i="2"/>
  <c r="AC652" i="2"/>
  <c r="G652" i="2"/>
  <c r="D652" i="2"/>
  <c r="A652" i="2"/>
  <c r="AC651" i="2"/>
  <c r="G651" i="2"/>
  <c r="D651" i="2"/>
  <c r="A651" i="2"/>
  <c r="AC650" i="2"/>
  <c r="G650" i="2"/>
  <c r="D650" i="2"/>
  <c r="A650" i="2"/>
  <c r="AC649" i="2"/>
  <c r="G649" i="2"/>
  <c r="D649" i="2"/>
  <c r="A649" i="2"/>
  <c r="AC648" i="2"/>
  <c r="G648" i="2"/>
  <c r="D648" i="2"/>
  <c r="A648" i="2"/>
  <c r="AC647" i="2"/>
  <c r="G647" i="2"/>
  <c r="D647" i="2"/>
  <c r="A647" i="2"/>
  <c r="AC646" i="2"/>
  <c r="G646" i="2"/>
  <c r="D646" i="2"/>
  <c r="A646" i="2"/>
  <c r="AC645" i="2"/>
  <c r="G645" i="2"/>
  <c r="D645" i="2"/>
  <c r="A645" i="2"/>
  <c r="AC644" i="2"/>
  <c r="G644" i="2"/>
  <c r="D644" i="2"/>
  <c r="A644" i="2"/>
  <c r="AC643" i="2"/>
  <c r="G643" i="2"/>
  <c r="D643" i="2"/>
  <c r="A643" i="2"/>
  <c r="AC642" i="2"/>
  <c r="G642" i="2"/>
  <c r="D642" i="2"/>
  <c r="A642" i="2"/>
  <c r="AC641" i="2"/>
  <c r="G641" i="2"/>
  <c r="D641" i="2"/>
  <c r="A641" i="2"/>
  <c r="AC640" i="2"/>
  <c r="G640" i="2"/>
  <c r="D640" i="2"/>
  <c r="A640" i="2"/>
  <c r="AC639" i="2"/>
  <c r="G639" i="2"/>
  <c r="D639" i="2"/>
  <c r="A639" i="2"/>
  <c r="AC638" i="2"/>
  <c r="G638" i="2"/>
  <c r="D638" i="2"/>
  <c r="A638" i="2"/>
  <c r="AC637" i="2"/>
  <c r="G637" i="2"/>
  <c r="D637" i="2"/>
  <c r="A637" i="2"/>
  <c r="AC636" i="2"/>
  <c r="G636" i="2"/>
  <c r="D636" i="2"/>
  <c r="A636" i="2"/>
  <c r="AC635" i="2"/>
  <c r="G635" i="2"/>
  <c r="D635" i="2"/>
  <c r="A635" i="2"/>
  <c r="AC634" i="2"/>
  <c r="G634" i="2"/>
  <c r="D634" i="2"/>
  <c r="A634" i="2"/>
  <c r="AC633" i="2"/>
  <c r="G633" i="2"/>
  <c r="D633" i="2"/>
  <c r="A633" i="2"/>
  <c r="AC632" i="2"/>
  <c r="G632" i="2"/>
  <c r="D632" i="2"/>
  <c r="A632" i="2"/>
  <c r="AC631" i="2"/>
  <c r="G631" i="2"/>
  <c r="D631" i="2"/>
  <c r="A631" i="2"/>
  <c r="AC630" i="2"/>
  <c r="G630" i="2"/>
  <c r="D630" i="2"/>
  <c r="A630" i="2"/>
  <c r="AC629" i="2"/>
  <c r="G629" i="2"/>
  <c r="D629" i="2"/>
  <c r="A629" i="2"/>
  <c r="AC628" i="2"/>
  <c r="G628" i="2"/>
  <c r="D628" i="2"/>
  <c r="A628" i="2"/>
  <c r="AC627" i="2"/>
  <c r="G627" i="2"/>
  <c r="D627" i="2"/>
  <c r="A627" i="2"/>
  <c r="AC626" i="2"/>
  <c r="G626" i="2"/>
  <c r="D626" i="2"/>
  <c r="A626" i="2"/>
  <c r="AC625" i="2"/>
  <c r="G625" i="2"/>
  <c r="D625" i="2"/>
  <c r="A625" i="2"/>
  <c r="AC624" i="2"/>
  <c r="G624" i="2"/>
  <c r="D624" i="2"/>
  <c r="A624" i="2"/>
  <c r="AC623" i="2"/>
  <c r="G623" i="2"/>
  <c r="D623" i="2"/>
  <c r="A623" i="2"/>
  <c r="AC622" i="2"/>
  <c r="G622" i="2"/>
  <c r="D622" i="2"/>
  <c r="A622" i="2"/>
  <c r="AC621" i="2"/>
  <c r="G621" i="2"/>
  <c r="D621" i="2"/>
  <c r="A621" i="2"/>
  <c r="AC620" i="2"/>
  <c r="G620" i="2"/>
  <c r="D620" i="2"/>
  <c r="A620" i="2"/>
  <c r="AC619" i="2"/>
  <c r="G619" i="2"/>
  <c r="D619" i="2"/>
  <c r="A619" i="2"/>
  <c r="AC618" i="2"/>
  <c r="G618" i="2"/>
  <c r="D618" i="2"/>
  <c r="A618" i="2"/>
  <c r="AC617" i="2"/>
  <c r="G617" i="2"/>
  <c r="D617" i="2"/>
  <c r="A617" i="2"/>
  <c r="AC616" i="2"/>
  <c r="G616" i="2"/>
  <c r="D616" i="2"/>
  <c r="A616" i="2"/>
  <c r="AC615" i="2"/>
  <c r="G615" i="2"/>
  <c r="D615" i="2"/>
  <c r="A615" i="2"/>
  <c r="AC614" i="2"/>
  <c r="G614" i="2"/>
  <c r="D614" i="2"/>
  <c r="A614" i="2"/>
  <c r="AC613" i="2"/>
  <c r="G613" i="2"/>
  <c r="D613" i="2"/>
  <c r="A613" i="2"/>
  <c r="AC612" i="2"/>
  <c r="G612" i="2"/>
  <c r="D612" i="2"/>
  <c r="A612" i="2"/>
  <c r="AC611" i="2"/>
  <c r="G611" i="2"/>
  <c r="D611" i="2"/>
  <c r="A611" i="2"/>
  <c r="AC610" i="2"/>
  <c r="G610" i="2"/>
  <c r="D610" i="2"/>
  <c r="A610" i="2"/>
  <c r="AC609" i="2"/>
  <c r="G609" i="2"/>
  <c r="D609" i="2"/>
  <c r="A609" i="2"/>
  <c r="AC608" i="2"/>
  <c r="G608" i="2"/>
  <c r="D608" i="2"/>
  <c r="A608" i="2"/>
  <c r="AC607" i="2"/>
  <c r="G607" i="2"/>
  <c r="D607" i="2"/>
  <c r="A607" i="2"/>
  <c r="AC606" i="2"/>
  <c r="G606" i="2"/>
  <c r="D606" i="2"/>
  <c r="A606" i="2"/>
  <c r="AC605" i="2"/>
  <c r="G605" i="2"/>
  <c r="D605" i="2"/>
  <c r="A605" i="2"/>
  <c r="AC604" i="2"/>
  <c r="G604" i="2"/>
  <c r="D604" i="2"/>
  <c r="A604" i="2"/>
  <c r="AC603" i="2"/>
  <c r="G603" i="2"/>
  <c r="D603" i="2"/>
  <c r="A603" i="2"/>
  <c r="AC602" i="2"/>
  <c r="G602" i="2"/>
  <c r="D602" i="2"/>
  <c r="A602" i="2"/>
  <c r="AC601" i="2"/>
  <c r="G601" i="2"/>
  <c r="D601" i="2"/>
  <c r="A601" i="2"/>
  <c r="AC600" i="2"/>
  <c r="G600" i="2"/>
  <c r="D600" i="2"/>
  <c r="A600" i="2"/>
  <c r="AC599" i="2"/>
  <c r="G599" i="2"/>
  <c r="D599" i="2"/>
  <c r="A599" i="2"/>
  <c r="AC598" i="2"/>
  <c r="G598" i="2"/>
  <c r="D598" i="2"/>
  <c r="A598" i="2"/>
  <c r="AC597" i="2"/>
  <c r="G597" i="2"/>
  <c r="D597" i="2"/>
  <c r="A597" i="2"/>
  <c r="AC596" i="2"/>
  <c r="G596" i="2"/>
  <c r="D596" i="2"/>
  <c r="A596" i="2"/>
  <c r="AC595" i="2"/>
  <c r="G595" i="2"/>
  <c r="D595" i="2"/>
  <c r="A595" i="2"/>
  <c r="AC594" i="2"/>
  <c r="G594" i="2"/>
  <c r="D594" i="2"/>
  <c r="A594" i="2"/>
  <c r="AC593" i="2"/>
  <c r="G593" i="2"/>
  <c r="D593" i="2"/>
  <c r="A593" i="2"/>
  <c r="AC592" i="2"/>
  <c r="G592" i="2"/>
  <c r="D592" i="2"/>
  <c r="A592" i="2"/>
  <c r="AC591" i="2"/>
  <c r="G591" i="2"/>
  <c r="D591" i="2"/>
  <c r="A591" i="2"/>
  <c r="AC590" i="2"/>
  <c r="G590" i="2"/>
  <c r="D590" i="2"/>
  <c r="A590" i="2"/>
  <c r="AC589" i="2"/>
  <c r="G589" i="2"/>
  <c r="D589" i="2"/>
  <c r="A589" i="2"/>
  <c r="AC588" i="2"/>
  <c r="G588" i="2"/>
  <c r="D588" i="2"/>
  <c r="A588" i="2"/>
  <c r="AC587" i="2"/>
  <c r="G587" i="2"/>
  <c r="D587" i="2"/>
  <c r="A587" i="2"/>
  <c r="AC586" i="2"/>
  <c r="G586" i="2"/>
  <c r="D586" i="2"/>
  <c r="A586" i="2"/>
  <c r="AC585" i="2"/>
  <c r="G585" i="2"/>
  <c r="D585" i="2"/>
  <c r="A585" i="2"/>
  <c r="AC584" i="2"/>
  <c r="G584" i="2"/>
  <c r="D584" i="2"/>
  <c r="A584" i="2"/>
  <c r="AC583" i="2"/>
  <c r="G583" i="2"/>
  <c r="D583" i="2"/>
  <c r="A583" i="2"/>
  <c r="AC582" i="2"/>
  <c r="G582" i="2"/>
  <c r="D582" i="2"/>
  <c r="A582" i="2"/>
  <c r="AC581" i="2"/>
  <c r="G581" i="2"/>
  <c r="D581" i="2"/>
  <c r="A581" i="2"/>
  <c r="AC580" i="2"/>
  <c r="G580" i="2"/>
  <c r="D580" i="2"/>
  <c r="A580" i="2"/>
  <c r="AC579" i="2"/>
  <c r="G579" i="2"/>
  <c r="D579" i="2"/>
  <c r="A579" i="2"/>
  <c r="AC578" i="2"/>
  <c r="G578" i="2"/>
  <c r="D578" i="2"/>
  <c r="A578" i="2"/>
  <c r="AC577" i="2"/>
  <c r="G577" i="2"/>
  <c r="D577" i="2"/>
  <c r="A577" i="2"/>
  <c r="AC576" i="2"/>
  <c r="G576" i="2"/>
  <c r="D576" i="2"/>
  <c r="A576" i="2"/>
  <c r="AC575" i="2"/>
  <c r="G575" i="2"/>
  <c r="D575" i="2"/>
  <c r="A575" i="2"/>
  <c r="AC574" i="2"/>
  <c r="G574" i="2"/>
  <c r="D574" i="2"/>
  <c r="A574" i="2"/>
  <c r="AC573" i="2"/>
  <c r="G573" i="2"/>
  <c r="D573" i="2"/>
  <c r="A573" i="2"/>
  <c r="AC572" i="2"/>
  <c r="G572" i="2"/>
  <c r="D572" i="2"/>
  <c r="A572" i="2"/>
  <c r="AC571" i="2"/>
  <c r="G571" i="2"/>
  <c r="D571" i="2"/>
  <c r="A571" i="2"/>
  <c r="AC570" i="2"/>
  <c r="G570" i="2"/>
  <c r="D570" i="2"/>
  <c r="A570" i="2"/>
  <c r="AC569" i="2"/>
  <c r="G569" i="2"/>
  <c r="D569" i="2"/>
  <c r="A569" i="2"/>
  <c r="AC568" i="2"/>
  <c r="G568" i="2"/>
  <c r="D568" i="2"/>
  <c r="A568" i="2"/>
  <c r="AC567" i="2"/>
  <c r="G567" i="2"/>
  <c r="D567" i="2"/>
  <c r="A567" i="2"/>
  <c r="AC566" i="2"/>
  <c r="G566" i="2"/>
  <c r="D566" i="2"/>
  <c r="A566" i="2"/>
  <c r="AC565" i="2"/>
  <c r="G565" i="2"/>
  <c r="D565" i="2"/>
  <c r="A565" i="2"/>
  <c r="AC564" i="2"/>
  <c r="G564" i="2"/>
  <c r="D564" i="2"/>
  <c r="A564" i="2"/>
  <c r="AC563" i="2"/>
  <c r="G563" i="2"/>
  <c r="D563" i="2"/>
  <c r="A563" i="2"/>
  <c r="AC562" i="2"/>
  <c r="G562" i="2"/>
  <c r="D562" i="2"/>
  <c r="A562" i="2"/>
  <c r="AC561" i="2"/>
  <c r="G561" i="2"/>
  <c r="D561" i="2"/>
  <c r="A561" i="2"/>
  <c r="AC560" i="2"/>
  <c r="G560" i="2"/>
  <c r="D560" i="2"/>
  <c r="A560" i="2"/>
  <c r="AC559" i="2"/>
  <c r="G559" i="2"/>
  <c r="D559" i="2"/>
  <c r="A559" i="2"/>
  <c r="AC558" i="2"/>
  <c r="G558" i="2"/>
  <c r="D558" i="2"/>
  <c r="A558" i="2"/>
  <c r="AC557" i="2"/>
  <c r="G557" i="2"/>
  <c r="D557" i="2"/>
  <c r="A557" i="2"/>
  <c r="AC556" i="2"/>
  <c r="G556" i="2"/>
  <c r="D556" i="2"/>
  <c r="A556" i="2"/>
  <c r="AC555" i="2"/>
  <c r="G555" i="2"/>
  <c r="D555" i="2"/>
  <c r="A555" i="2"/>
  <c r="AC554" i="2"/>
  <c r="G554" i="2"/>
  <c r="D554" i="2"/>
  <c r="A554" i="2"/>
  <c r="AC553" i="2"/>
  <c r="G553" i="2"/>
  <c r="D553" i="2"/>
  <c r="A553" i="2"/>
  <c r="AC552" i="2"/>
  <c r="G552" i="2"/>
  <c r="D552" i="2"/>
  <c r="A552" i="2"/>
  <c r="AC551" i="2"/>
  <c r="G551" i="2"/>
  <c r="D551" i="2"/>
  <c r="A551" i="2"/>
  <c r="AC550" i="2"/>
  <c r="G550" i="2"/>
  <c r="D550" i="2"/>
  <c r="A550" i="2"/>
  <c r="AC549" i="2"/>
  <c r="G549" i="2"/>
  <c r="D549" i="2"/>
  <c r="A549" i="2"/>
  <c r="AC548" i="2"/>
  <c r="G548" i="2"/>
  <c r="D548" i="2"/>
  <c r="A548" i="2"/>
  <c r="AC547" i="2"/>
  <c r="G547" i="2"/>
  <c r="D547" i="2"/>
  <c r="A547" i="2"/>
  <c r="AC546" i="2"/>
  <c r="G546" i="2"/>
  <c r="D546" i="2"/>
  <c r="A546" i="2"/>
  <c r="AC545" i="2"/>
  <c r="G545" i="2"/>
  <c r="D545" i="2"/>
  <c r="A545" i="2"/>
  <c r="AC544" i="2"/>
  <c r="G544" i="2"/>
  <c r="D544" i="2"/>
  <c r="A544" i="2"/>
  <c r="AC543" i="2"/>
  <c r="G543" i="2"/>
  <c r="D543" i="2"/>
  <c r="A543" i="2"/>
  <c r="AC542" i="2"/>
  <c r="G542" i="2"/>
  <c r="D542" i="2"/>
  <c r="A542" i="2"/>
  <c r="AC541" i="2"/>
  <c r="G541" i="2"/>
  <c r="D541" i="2"/>
  <c r="A541" i="2"/>
  <c r="AC540" i="2"/>
  <c r="G540" i="2"/>
  <c r="D540" i="2"/>
  <c r="A540" i="2"/>
  <c r="AC539" i="2"/>
  <c r="G539" i="2"/>
  <c r="D539" i="2"/>
  <c r="A539" i="2"/>
  <c r="AC538" i="2"/>
  <c r="G538" i="2"/>
  <c r="D538" i="2"/>
  <c r="A538" i="2"/>
  <c r="AC537" i="2"/>
  <c r="G537" i="2"/>
  <c r="D537" i="2"/>
  <c r="A537" i="2"/>
  <c r="AC536" i="2"/>
  <c r="G536" i="2"/>
  <c r="D536" i="2"/>
  <c r="A536" i="2"/>
  <c r="AC535" i="2"/>
  <c r="G535" i="2"/>
  <c r="D535" i="2"/>
  <c r="A535" i="2"/>
  <c r="AC534" i="2"/>
  <c r="G534" i="2"/>
  <c r="D534" i="2"/>
  <c r="A534" i="2"/>
  <c r="AC533" i="2"/>
  <c r="G533" i="2"/>
  <c r="D533" i="2"/>
  <c r="A533" i="2"/>
  <c r="AC532" i="2"/>
  <c r="G532" i="2"/>
  <c r="D532" i="2"/>
  <c r="A532" i="2"/>
  <c r="AC531" i="2"/>
  <c r="G531" i="2"/>
  <c r="D531" i="2"/>
  <c r="A531" i="2"/>
  <c r="AC530" i="2"/>
  <c r="G530" i="2"/>
  <c r="D530" i="2"/>
  <c r="A530" i="2"/>
  <c r="AC529" i="2"/>
  <c r="G529" i="2"/>
  <c r="D529" i="2"/>
  <c r="A529" i="2"/>
  <c r="AC528" i="2"/>
  <c r="G528" i="2"/>
  <c r="D528" i="2"/>
  <c r="A528" i="2"/>
  <c r="AC527" i="2"/>
  <c r="G527" i="2"/>
  <c r="D527" i="2"/>
  <c r="A527" i="2"/>
  <c r="AC526" i="2"/>
  <c r="G526" i="2"/>
  <c r="D526" i="2"/>
  <c r="A526" i="2"/>
  <c r="AC525" i="2"/>
  <c r="G525" i="2"/>
  <c r="D525" i="2"/>
  <c r="A525" i="2"/>
  <c r="AC524" i="2"/>
  <c r="G524" i="2"/>
  <c r="D524" i="2"/>
  <c r="A524" i="2"/>
  <c r="AC523" i="2"/>
  <c r="G523" i="2"/>
  <c r="D523" i="2"/>
  <c r="A523" i="2"/>
  <c r="AC522" i="2"/>
  <c r="G522" i="2"/>
  <c r="D522" i="2"/>
  <c r="A522" i="2"/>
  <c r="AC521" i="2"/>
  <c r="G521" i="2"/>
  <c r="D521" i="2"/>
  <c r="A521" i="2"/>
  <c r="AC520" i="2"/>
  <c r="G520" i="2"/>
  <c r="D520" i="2"/>
  <c r="A520" i="2"/>
  <c r="AC519" i="2"/>
  <c r="G519" i="2"/>
  <c r="D519" i="2"/>
  <c r="A519" i="2"/>
  <c r="AC518" i="2"/>
  <c r="G518" i="2"/>
  <c r="D518" i="2"/>
  <c r="A518" i="2"/>
  <c r="AC517" i="2"/>
  <c r="G517" i="2"/>
  <c r="D517" i="2"/>
  <c r="A517" i="2"/>
  <c r="AC516" i="2"/>
  <c r="G516" i="2"/>
  <c r="D516" i="2"/>
  <c r="A516" i="2"/>
  <c r="AC515" i="2"/>
  <c r="G515" i="2"/>
  <c r="D515" i="2"/>
  <c r="A515" i="2"/>
  <c r="AC514" i="2"/>
  <c r="G514" i="2"/>
  <c r="D514" i="2"/>
  <c r="A514" i="2"/>
  <c r="AC513" i="2"/>
  <c r="G513" i="2"/>
  <c r="D513" i="2"/>
  <c r="A513" i="2"/>
  <c r="AC512" i="2"/>
  <c r="G512" i="2"/>
  <c r="D512" i="2"/>
  <c r="A512" i="2"/>
  <c r="AC511" i="2"/>
  <c r="G511" i="2"/>
  <c r="D511" i="2"/>
  <c r="A511" i="2"/>
  <c r="AC510" i="2"/>
  <c r="G510" i="2"/>
  <c r="D510" i="2"/>
  <c r="A510" i="2"/>
  <c r="AC509" i="2"/>
  <c r="G509" i="2"/>
  <c r="D509" i="2"/>
  <c r="A509" i="2"/>
  <c r="AC508" i="2"/>
  <c r="G508" i="2"/>
  <c r="D508" i="2"/>
  <c r="A508" i="2"/>
  <c r="AC507" i="2"/>
  <c r="G507" i="2"/>
  <c r="D507" i="2"/>
  <c r="A507" i="2"/>
  <c r="AC506" i="2"/>
  <c r="G506" i="2"/>
  <c r="D506" i="2"/>
  <c r="A506" i="2"/>
  <c r="AC505" i="2"/>
  <c r="G505" i="2"/>
  <c r="D505" i="2"/>
  <c r="A505" i="2"/>
  <c r="AC504" i="2"/>
  <c r="G504" i="2"/>
  <c r="D504" i="2"/>
  <c r="A504" i="2"/>
  <c r="AC503" i="2"/>
  <c r="G503" i="2"/>
  <c r="D503" i="2"/>
  <c r="A503" i="2"/>
  <c r="AC502" i="2"/>
  <c r="G502" i="2"/>
  <c r="D502" i="2"/>
  <c r="A502" i="2"/>
  <c r="AC501" i="2"/>
  <c r="G501" i="2"/>
  <c r="D501" i="2"/>
  <c r="A501" i="2"/>
  <c r="AC500" i="2"/>
  <c r="G500" i="2"/>
  <c r="D500" i="2"/>
  <c r="A500" i="2"/>
  <c r="AC499" i="2"/>
  <c r="G499" i="2"/>
  <c r="D499" i="2"/>
  <c r="A499" i="2"/>
  <c r="AC498" i="2"/>
  <c r="G498" i="2"/>
  <c r="D498" i="2"/>
  <c r="A498" i="2"/>
  <c r="AC497" i="2"/>
  <c r="G497" i="2"/>
  <c r="D497" i="2"/>
  <c r="A497" i="2"/>
  <c r="AC496" i="2"/>
  <c r="G496" i="2"/>
  <c r="D496" i="2"/>
  <c r="A496" i="2"/>
  <c r="AC495" i="2"/>
  <c r="G495" i="2"/>
  <c r="D495" i="2"/>
  <c r="A495" i="2"/>
  <c r="AC494" i="2"/>
  <c r="G494" i="2"/>
  <c r="D494" i="2"/>
  <c r="A494" i="2"/>
  <c r="AC493" i="2"/>
  <c r="G493" i="2"/>
  <c r="D493" i="2"/>
  <c r="A493" i="2"/>
  <c r="AC492" i="2"/>
  <c r="G492" i="2"/>
  <c r="D492" i="2"/>
  <c r="A492" i="2"/>
  <c r="AC491" i="2"/>
  <c r="G491" i="2"/>
  <c r="D491" i="2"/>
  <c r="A491" i="2"/>
  <c r="AC490" i="2"/>
  <c r="G490" i="2"/>
  <c r="D490" i="2"/>
  <c r="A490" i="2"/>
  <c r="AC489" i="2"/>
  <c r="G489" i="2"/>
  <c r="D489" i="2"/>
  <c r="A489" i="2"/>
  <c r="AC488" i="2"/>
  <c r="G488" i="2"/>
  <c r="D488" i="2"/>
  <c r="A488" i="2"/>
  <c r="AC487" i="2"/>
  <c r="G487" i="2"/>
  <c r="D487" i="2"/>
  <c r="A487" i="2"/>
  <c r="AC486" i="2"/>
  <c r="G486" i="2"/>
  <c r="D486" i="2"/>
  <c r="A486" i="2"/>
  <c r="AC485" i="2"/>
  <c r="G485" i="2"/>
  <c r="D485" i="2"/>
  <c r="A485" i="2"/>
  <c r="AC484" i="2"/>
  <c r="G484" i="2"/>
  <c r="D484" i="2"/>
  <c r="A484" i="2"/>
  <c r="AC483" i="2"/>
  <c r="G483" i="2"/>
  <c r="D483" i="2"/>
  <c r="A483" i="2"/>
  <c r="AC482" i="2"/>
  <c r="G482" i="2"/>
  <c r="D482" i="2"/>
  <c r="A482" i="2"/>
  <c r="AC481" i="2"/>
  <c r="G481" i="2"/>
  <c r="D481" i="2"/>
  <c r="A481" i="2"/>
  <c r="AC480" i="2"/>
  <c r="G480" i="2"/>
  <c r="D480" i="2"/>
  <c r="A480" i="2"/>
  <c r="AC479" i="2"/>
  <c r="G479" i="2"/>
  <c r="D479" i="2"/>
  <c r="A479" i="2"/>
  <c r="AC478" i="2"/>
  <c r="G478" i="2"/>
  <c r="D478" i="2"/>
  <c r="A478" i="2"/>
  <c r="AC477" i="2"/>
  <c r="G477" i="2"/>
  <c r="D477" i="2"/>
  <c r="A477" i="2"/>
  <c r="AC476" i="2"/>
  <c r="G476" i="2"/>
  <c r="D476" i="2"/>
  <c r="A476" i="2"/>
  <c r="AC475" i="2"/>
  <c r="G475" i="2"/>
  <c r="D475" i="2"/>
  <c r="A475" i="2"/>
  <c r="AC474" i="2"/>
  <c r="G474" i="2"/>
  <c r="D474" i="2"/>
  <c r="A474" i="2"/>
  <c r="AC473" i="2"/>
  <c r="G473" i="2"/>
  <c r="D473" i="2"/>
  <c r="A473" i="2"/>
  <c r="AC472" i="2"/>
  <c r="G472" i="2"/>
  <c r="D472" i="2"/>
  <c r="A472" i="2"/>
  <c r="AC471" i="2"/>
  <c r="G471" i="2"/>
  <c r="D471" i="2"/>
  <c r="A471" i="2"/>
  <c r="AC470" i="2"/>
  <c r="G470" i="2"/>
  <c r="D470" i="2"/>
  <c r="A470" i="2"/>
  <c r="AC469" i="2"/>
  <c r="G469" i="2"/>
  <c r="D469" i="2"/>
  <c r="A469" i="2"/>
  <c r="AC468" i="2"/>
  <c r="G468" i="2"/>
  <c r="D468" i="2"/>
  <c r="A468" i="2"/>
  <c r="AC467" i="2"/>
  <c r="G467" i="2"/>
  <c r="D467" i="2"/>
  <c r="A467" i="2"/>
  <c r="AC466" i="2"/>
  <c r="G466" i="2"/>
  <c r="D466" i="2"/>
  <c r="A466" i="2"/>
  <c r="AC465" i="2"/>
  <c r="G465" i="2"/>
  <c r="D465" i="2"/>
  <c r="A465" i="2"/>
  <c r="AC464" i="2"/>
  <c r="G464" i="2"/>
  <c r="D464" i="2"/>
  <c r="A464" i="2"/>
  <c r="AC463" i="2"/>
  <c r="G463" i="2"/>
  <c r="D463" i="2"/>
  <c r="A463" i="2"/>
  <c r="AC462" i="2"/>
  <c r="G462" i="2"/>
  <c r="D462" i="2"/>
  <c r="A462" i="2"/>
  <c r="AC461" i="2"/>
  <c r="G461" i="2"/>
  <c r="D461" i="2"/>
  <c r="A461" i="2"/>
  <c r="AC460" i="2"/>
  <c r="G460" i="2"/>
  <c r="D460" i="2"/>
  <c r="A460" i="2"/>
  <c r="AC459" i="2"/>
  <c r="G459" i="2"/>
  <c r="D459" i="2"/>
  <c r="A459" i="2"/>
  <c r="AC458" i="2"/>
  <c r="G458" i="2"/>
  <c r="D458" i="2"/>
  <c r="A458" i="2"/>
  <c r="AC457" i="2"/>
  <c r="G457" i="2"/>
  <c r="D457" i="2"/>
  <c r="A457" i="2"/>
  <c r="AC456" i="2"/>
  <c r="G456" i="2"/>
  <c r="D456" i="2"/>
  <c r="A456" i="2"/>
  <c r="AC455" i="2"/>
  <c r="G455" i="2"/>
  <c r="D455" i="2"/>
  <c r="A455" i="2"/>
  <c r="AC454" i="2"/>
  <c r="G454" i="2"/>
  <c r="D454" i="2"/>
  <c r="A454" i="2"/>
  <c r="AC453" i="2"/>
  <c r="G453" i="2"/>
  <c r="D453" i="2"/>
  <c r="A453" i="2"/>
  <c r="AC452" i="2"/>
  <c r="G452" i="2"/>
  <c r="D452" i="2"/>
  <c r="A452" i="2"/>
  <c r="AC451" i="2"/>
  <c r="G451" i="2"/>
  <c r="D451" i="2"/>
  <c r="A451" i="2"/>
  <c r="AC450" i="2"/>
  <c r="G450" i="2"/>
  <c r="D450" i="2"/>
  <c r="A450" i="2"/>
  <c r="AC449" i="2"/>
  <c r="G449" i="2"/>
  <c r="D449" i="2"/>
  <c r="A449" i="2"/>
  <c r="AC448" i="2"/>
  <c r="G448" i="2"/>
  <c r="D448" i="2"/>
  <c r="A448" i="2"/>
  <c r="AC447" i="2"/>
  <c r="G447" i="2"/>
  <c r="D447" i="2"/>
  <c r="A447" i="2"/>
  <c r="AC446" i="2"/>
  <c r="G446" i="2"/>
  <c r="D446" i="2"/>
  <c r="A446" i="2"/>
  <c r="AC445" i="2"/>
  <c r="G445" i="2"/>
  <c r="D445" i="2"/>
  <c r="A445" i="2"/>
  <c r="AC444" i="2"/>
  <c r="G444" i="2"/>
  <c r="D444" i="2"/>
  <c r="A444" i="2"/>
  <c r="AC443" i="2"/>
  <c r="G443" i="2"/>
  <c r="D443" i="2"/>
  <c r="A443" i="2"/>
  <c r="AC442" i="2"/>
  <c r="G442" i="2"/>
  <c r="D442" i="2"/>
  <c r="A442" i="2"/>
  <c r="AC441" i="2"/>
  <c r="G441" i="2"/>
  <c r="D441" i="2"/>
  <c r="A441" i="2"/>
  <c r="AC440" i="2"/>
  <c r="G440" i="2"/>
  <c r="D440" i="2"/>
  <c r="A440" i="2"/>
  <c r="AC439" i="2"/>
  <c r="G439" i="2"/>
  <c r="D439" i="2"/>
  <c r="A439" i="2"/>
  <c r="AC438" i="2"/>
  <c r="G438" i="2"/>
  <c r="D438" i="2"/>
  <c r="A438" i="2"/>
  <c r="AC437" i="2"/>
  <c r="G437" i="2"/>
  <c r="D437" i="2"/>
  <c r="A437" i="2"/>
  <c r="AC436" i="2"/>
  <c r="G436" i="2"/>
  <c r="D436" i="2"/>
  <c r="A436" i="2"/>
  <c r="AC435" i="2"/>
  <c r="G435" i="2"/>
  <c r="D435" i="2"/>
  <c r="A435" i="2"/>
  <c r="AC434" i="2"/>
  <c r="G434" i="2"/>
  <c r="D434" i="2"/>
  <c r="A434" i="2"/>
  <c r="AC433" i="2"/>
  <c r="G433" i="2"/>
  <c r="D433" i="2"/>
  <c r="A433" i="2"/>
  <c r="AC432" i="2"/>
  <c r="G432" i="2"/>
  <c r="D432" i="2"/>
  <c r="A432" i="2"/>
  <c r="AC431" i="2"/>
  <c r="G431" i="2"/>
  <c r="D431" i="2"/>
  <c r="A431" i="2"/>
  <c r="AC430" i="2"/>
  <c r="G430" i="2"/>
  <c r="D430" i="2"/>
  <c r="A430" i="2"/>
  <c r="AC429" i="2"/>
  <c r="G429" i="2"/>
  <c r="D429" i="2"/>
  <c r="A429" i="2"/>
  <c r="AC428" i="2"/>
  <c r="G428" i="2"/>
  <c r="D428" i="2"/>
  <c r="A428" i="2"/>
  <c r="AC427" i="2"/>
  <c r="G427" i="2"/>
  <c r="D427" i="2"/>
  <c r="A427" i="2"/>
  <c r="AC426" i="2"/>
  <c r="G426" i="2"/>
  <c r="D426" i="2"/>
  <c r="A426" i="2"/>
  <c r="AC425" i="2"/>
  <c r="G425" i="2"/>
  <c r="D425" i="2"/>
  <c r="A425" i="2"/>
  <c r="AC424" i="2"/>
  <c r="G424" i="2"/>
  <c r="D424" i="2"/>
  <c r="A424" i="2"/>
  <c r="AC423" i="2"/>
  <c r="G423" i="2"/>
  <c r="D423" i="2"/>
  <c r="A423" i="2"/>
  <c r="AC422" i="2"/>
  <c r="G422" i="2"/>
  <c r="D422" i="2"/>
  <c r="A422" i="2"/>
  <c r="AC421" i="2"/>
  <c r="G421" i="2"/>
  <c r="D421" i="2"/>
  <c r="A421" i="2"/>
  <c r="AC420" i="2"/>
  <c r="G420" i="2"/>
  <c r="D420" i="2"/>
  <c r="A420" i="2"/>
  <c r="AC419" i="2"/>
  <c r="G419" i="2"/>
  <c r="D419" i="2"/>
  <c r="A419" i="2"/>
  <c r="AC418" i="2"/>
  <c r="G418" i="2"/>
  <c r="D418" i="2"/>
  <c r="A418" i="2"/>
  <c r="AC417" i="2"/>
  <c r="G417" i="2"/>
  <c r="D417" i="2"/>
  <c r="A417" i="2"/>
  <c r="AC416" i="2"/>
  <c r="G416" i="2"/>
  <c r="D416" i="2"/>
  <c r="A416" i="2"/>
  <c r="AC415" i="2"/>
  <c r="G415" i="2"/>
  <c r="D415" i="2"/>
  <c r="A415" i="2"/>
  <c r="AC414" i="2"/>
  <c r="G414" i="2"/>
  <c r="D414" i="2"/>
  <c r="A414" i="2"/>
  <c r="AC413" i="2"/>
  <c r="G413" i="2"/>
  <c r="D413" i="2"/>
  <c r="A413" i="2"/>
  <c r="AC412" i="2"/>
  <c r="G412" i="2"/>
  <c r="D412" i="2"/>
  <c r="A412" i="2"/>
  <c r="AC411" i="2"/>
  <c r="G411" i="2"/>
  <c r="D411" i="2"/>
  <c r="A411" i="2"/>
  <c r="AC410" i="2"/>
  <c r="G410" i="2"/>
  <c r="D410" i="2"/>
  <c r="A410" i="2"/>
  <c r="AC409" i="2"/>
  <c r="G409" i="2"/>
  <c r="D409" i="2"/>
  <c r="A409" i="2"/>
  <c r="AC408" i="2"/>
  <c r="G408" i="2"/>
  <c r="D408" i="2"/>
  <c r="A408" i="2"/>
  <c r="AC407" i="2"/>
  <c r="G407" i="2"/>
  <c r="D407" i="2"/>
  <c r="A407" i="2"/>
  <c r="AC406" i="2"/>
  <c r="G406" i="2"/>
  <c r="D406" i="2"/>
  <c r="A406" i="2"/>
  <c r="AC405" i="2"/>
  <c r="G405" i="2"/>
  <c r="D405" i="2"/>
  <c r="A405" i="2"/>
  <c r="AC404" i="2"/>
  <c r="G404" i="2"/>
  <c r="D404" i="2"/>
  <c r="A404" i="2"/>
  <c r="AC403" i="2"/>
  <c r="G403" i="2"/>
  <c r="D403" i="2"/>
  <c r="A403" i="2"/>
  <c r="AC402" i="2"/>
  <c r="G402" i="2"/>
  <c r="D402" i="2"/>
  <c r="A402" i="2"/>
  <c r="AC401" i="2"/>
  <c r="G401" i="2"/>
  <c r="D401" i="2"/>
  <c r="A401" i="2"/>
  <c r="AC400" i="2"/>
  <c r="G400" i="2"/>
  <c r="D400" i="2"/>
  <c r="A400" i="2"/>
  <c r="AC399" i="2"/>
  <c r="G399" i="2"/>
  <c r="D399" i="2"/>
  <c r="A399" i="2"/>
  <c r="AC398" i="2"/>
  <c r="G398" i="2"/>
  <c r="D398" i="2"/>
  <c r="A398" i="2"/>
  <c r="AC397" i="2"/>
  <c r="G397" i="2"/>
  <c r="D397" i="2"/>
  <c r="A397" i="2"/>
  <c r="AC396" i="2"/>
  <c r="G396" i="2"/>
  <c r="D396" i="2"/>
  <c r="A396" i="2"/>
  <c r="AC395" i="2"/>
  <c r="G395" i="2"/>
  <c r="D395" i="2"/>
  <c r="A395" i="2"/>
  <c r="AC394" i="2"/>
  <c r="G394" i="2"/>
  <c r="D394" i="2"/>
  <c r="A394" i="2"/>
  <c r="AC393" i="2"/>
  <c r="G393" i="2"/>
  <c r="D393" i="2"/>
  <c r="A393" i="2"/>
  <c r="AC392" i="2"/>
  <c r="G392" i="2"/>
  <c r="D392" i="2"/>
  <c r="A392" i="2"/>
  <c r="AC391" i="2"/>
  <c r="G391" i="2"/>
  <c r="D391" i="2"/>
  <c r="A391" i="2"/>
  <c r="AC390" i="2"/>
  <c r="G390" i="2"/>
  <c r="D390" i="2"/>
  <c r="A390" i="2"/>
  <c r="AC389" i="2"/>
  <c r="G389" i="2"/>
  <c r="D389" i="2"/>
  <c r="A389" i="2"/>
  <c r="AC388" i="2"/>
  <c r="G388" i="2"/>
  <c r="D388" i="2"/>
  <c r="A388" i="2"/>
  <c r="AC387" i="2"/>
  <c r="G387" i="2"/>
  <c r="D387" i="2"/>
  <c r="A387" i="2"/>
  <c r="AC386" i="2"/>
  <c r="G386" i="2"/>
  <c r="D386" i="2"/>
  <c r="A386" i="2"/>
  <c r="AC385" i="2"/>
  <c r="G385" i="2"/>
  <c r="D385" i="2"/>
  <c r="A385" i="2"/>
  <c r="AC384" i="2"/>
  <c r="G384" i="2"/>
  <c r="D384" i="2"/>
  <c r="A384" i="2"/>
  <c r="AC383" i="2"/>
  <c r="G383" i="2"/>
  <c r="D383" i="2"/>
  <c r="A383" i="2"/>
  <c r="AC382" i="2"/>
  <c r="G382" i="2"/>
  <c r="D382" i="2"/>
  <c r="A382" i="2"/>
  <c r="AC381" i="2"/>
  <c r="G381" i="2"/>
  <c r="D381" i="2"/>
  <c r="A381" i="2"/>
  <c r="AC380" i="2"/>
  <c r="G380" i="2"/>
  <c r="D380" i="2"/>
  <c r="A380" i="2"/>
  <c r="AC379" i="2"/>
  <c r="G379" i="2"/>
  <c r="D379" i="2"/>
  <c r="A379" i="2"/>
  <c r="AC378" i="2"/>
  <c r="G378" i="2"/>
  <c r="D378" i="2"/>
  <c r="A378" i="2"/>
  <c r="AC377" i="2"/>
  <c r="G377" i="2"/>
  <c r="D377" i="2"/>
  <c r="A377" i="2"/>
  <c r="AC376" i="2"/>
  <c r="G376" i="2"/>
  <c r="D376" i="2"/>
  <c r="A376" i="2"/>
  <c r="AC375" i="2"/>
  <c r="G375" i="2"/>
  <c r="D375" i="2"/>
  <c r="A375" i="2"/>
  <c r="AC374" i="2"/>
  <c r="G374" i="2"/>
  <c r="D374" i="2"/>
  <c r="A374" i="2"/>
  <c r="AC373" i="2"/>
  <c r="G373" i="2"/>
  <c r="D373" i="2"/>
  <c r="A373" i="2"/>
  <c r="AC372" i="2"/>
  <c r="G372" i="2"/>
  <c r="D372" i="2"/>
  <c r="A372" i="2"/>
  <c r="AC371" i="2"/>
  <c r="G371" i="2"/>
  <c r="D371" i="2"/>
  <c r="A371" i="2"/>
  <c r="AC370" i="2"/>
  <c r="G370" i="2"/>
  <c r="D370" i="2"/>
  <c r="A370" i="2"/>
  <c r="AC369" i="2"/>
  <c r="G369" i="2"/>
  <c r="D369" i="2"/>
  <c r="A369" i="2"/>
  <c r="AC368" i="2"/>
  <c r="G368" i="2"/>
  <c r="D368" i="2"/>
  <c r="A368" i="2"/>
  <c r="AC367" i="2"/>
  <c r="G367" i="2"/>
  <c r="D367" i="2"/>
  <c r="A367" i="2"/>
  <c r="AC366" i="2"/>
  <c r="G366" i="2"/>
  <c r="D366" i="2"/>
  <c r="A366" i="2"/>
  <c r="AC365" i="2"/>
  <c r="G365" i="2"/>
  <c r="D365" i="2"/>
  <c r="A365" i="2"/>
  <c r="AC364" i="2"/>
  <c r="G364" i="2"/>
  <c r="D364" i="2"/>
  <c r="A364" i="2"/>
  <c r="AC363" i="2"/>
  <c r="G363" i="2"/>
  <c r="D363" i="2"/>
  <c r="A363" i="2"/>
  <c r="AC362" i="2"/>
  <c r="G362" i="2"/>
  <c r="D362" i="2"/>
  <c r="A362" i="2"/>
  <c r="AC361" i="2"/>
  <c r="G361" i="2"/>
  <c r="D361" i="2"/>
  <c r="A361" i="2"/>
  <c r="AC360" i="2"/>
  <c r="G360" i="2"/>
  <c r="D360" i="2"/>
  <c r="A360" i="2"/>
  <c r="AC359" i="2"/>
  <c r="G359" i="2"/>
  <c r="D359" i="2"/>
  <c r="A359" i="2"/>
  <c r="AC358" i="2"/>
  <c r="G358" i="2"/>
  <c r="D358" i="2"/>
  <c r="A358" i="2"/>
  <c r="AC357" i="2"/>
  <c r="G357" i="2"/>
  <c r="D357" i="2"/>
  <c r="A357" i="2"/>
  <c r="AC356" i="2"/>
  <c r="G356" i="2"/>
  <c r="D356" i="2"/>
  <c r="A356" i="2"/>
  <c r="AC355" i="2"/>
  <c r="G355" i="2"/>
  <c r="D355" i="2"/>
  <c r="A355" i="2"/>
  <c r="AC354" i="2"/>
  <c r="G354" i="2"/>
  <c r="D354" i="2"/>
  <c r="A354" i="2"/>
  <c r="AC353" i="2"/>
  <c r="G353" i="2"/>
  <c r="D353" i="2"/>
  <c r="A353" i="2"/>
  <c r="AC352" i="2"/>
  <c r="G352" i="2"/>
  <c r="D352" i="2"/>
  <c r="A352" i="2"/>
  <c r="AC351" i="2"/>
  <c r="G351" i="2"/>
  <c r="D351" i="2"/>
  <c r="A351" i="2"/>
  <c r="AC350" i="2"/>
  <c r="G350" i="2"/>
  <c r="D350" i="2"/>
  <c r="A350" i="2"/>
  <c r="AC349" i="2"/>
  <c r="G349" i="2"/>
  <c r="D349" i="2"/>
  <c r="A349" i="2"/>
  <c r="AC348" i="2"/>
  <c r="G348" i="2"/>
  <c r="D348" i="2"/>
  <c r="A348" i="2"/>
  <c r="AC347" i="2"/>
  <c r="G347" i="2"/>
  <c r="D347" i="2"/>
  <c r="A347" i="2"/>
  <c r="AC346" i="2"/>
  <c r="G346" i="2"/>
  <c r="D346" i="2"/>
  <c r="A346" i="2"/>
  <c r="AC345" i="2"/>
  <c r="G345" i="2"/>
  <c r="D345" i="2"/>
  <c r="A345" i="2"/>
  <c r="AC344" i="2"/>
  <c r="G344" i="2"/>
  <c r="D344" i="2"/>
  <c r="A344" i="2"/>
  <c r="AC343" i="2"/>
  <c r="G343" i="2"/>
  <c r="D343" i="2"/>
  <c r="A343" i="2"/>
  <c r="AC342" i="2"/>
  <c r="G342" i="2"/>
  <c r="D342" i="2"/>
  <c r="A342" i="2"/>
  <c r="AC341" i="2"/>
  <c r="G341" i="2"/>
  <c r="D341" i="2"/>
  <c r="A341" i="2"/>
  <c r="AC340" i="2"/>
  <c r="G340" i="2"/>
  <c r="D340" i="2"/>
  <c r="A340" i="2"/>
  <c r="AC339" i="2"/>
  <c r="G339" i="2"/>
  <c r="D339" i="2"/>
  <c r="A339" i="2"/>
  <c r="AC338" i="2"/>
  <c r="G338" i="2"/>
  <c r="D338" i="2"/>
  <c r="A338" i="2"/>
  <c r="AC337" i="2"/>
  <c r="G337" i="2"/>
  <c r="D337" i="2"/>
  <c r="A337" i="2"/>
  <c r="AC336" i="2"/>
  <c r="G336" i="2"/>
  <c r="D336" i="2"/>
  <c r="A336" i="2"/>
  <c r="AC335" i="2"/>
  <c r="G335" i="2"/>
  <c r="D335" i="2"/>
  <c r="A335" i="2"/>
  <c r="AC334" i="2"/>
  <c r="G334" i="2"/>
  <c r="D334" i="2"/>
  <c r="A334" i="2"/>
  <c r="AC333" i="2"/>
  <c r="G333" i="2"/>
  <c r="D333" i="2"/>
  <c r="A333" i="2"/>
  <c r="AC332" i="2"/>
  <c r="G332" i="2"/>
  <c r="D332" i="2"/>
  <c r="A332" i="2"/>
  <c r="AC331" i="2"/>
  <c r="G331" i="2"/>
  <c r="D331" i="2"/>
  <c r="A331" i="2"/>
  <c r="AC330" i="2"/>
  <c r="G330" i="2"/>
  <c r="D330" i="2"/>
  <c r="A330" i="2"/>
  <c r="AC329" i="2"/>
  <c r="G329" i="2"/>
  <c r="D329" i="2"/>
  <c r="A329" i="2"/>
  <c r="AC328" i="2"/>
  <c r="G328" i="2"/>
  <c r="D328" i="2"/>
  <c r="A328" i="2"/>
  <c r="AC327" i="2"/>
  <c r="G327" i="2"/>
  <c r="D327" i="2"/>
  <c r="A327" i="2"/>
  <c r="AC326" i="2"/>
  <c r="G326" i="2"/>
  <c r="D326" i="2"/>
  <c r="A326" i="2"/>
  <c r="AC325" i="2"/>
  <c r="G325" i="2"/>
  <c r="D325" i="2"/>
  <c r="A325" i="2"/>
  <c r="AC324" i="2"/>
  <c r="G324" i="2"/>
  <c r="D324" i="2"/>
  <c r="A324" i="2"/>
  <c r="AC323" i="2"/>
  <c r="G323" i="2"/>
  <c r="D323" i="2"/>
  <c r="A323" i="2"/>
  <c r="AC322" i="2"/>
  <c r="G322" i="2"/>
  <c r="D322" i="2"/>
  <c r="A322" i="2"/>
  <c r="AC321" i="2"/>
  <c r="G321" i="2"/>
  <c r="D321" i="2"/>
  <c r="A321" i="2"/>
  <c r="AC320" i="2"/>
  <c r="G320" i="2"/>
  <c r="D320" i="2"/>
  <c r="A320" i="2"/>
  <c r="AC319" i="2"/>
  <c r="G319" i="2"/>
  <c r="D319" i="2"/>
  <c r="A319" i="2"/>
  <c r="AC318" i="2"/>
  <c r="G318" i="2"/>
  <c r="D318" i="2"/>
  <c r="A318" i="2"/>
  <c r="AC317" i="2"/>
  <c r="G317" i="2"/>
  <c r="D317" i="2"/>
  <c r="A317" i="2"/>
  <c r="AC316" i="2"/>
  <c r="G316" i="2"/>
  <c r="D316" i="2"/>
  <c r="A316" i="2"/>
  <c r="AC315" i="2"/>
  <c r="G315" i="2"/>
  <c r="D315" i="2"/>
  <c r="A315" i="2"/>
  <c r="AC314" i="2"/>
  <c r="G314" i="2"/>
  <c r="D314" i="2"/>
  <c r="A314" i="2"/>
  <c r="AC313" i="2"/>
  <c r="G313" i="2"/>
  <c r="D313" i="2"/>
  <c r="A313" i="2"/>
  <c r="AC312" i="2"/>
  <c r="G312" i="2"/>
  <c r="D312" i="2"/>
  <c r="A312" i="2"/>
  <c r="AC311" i="2"/>
  <c r="G311" i="2"/>
  <c r="D311" i="2"/>
  <c r="A311" i="2"/>
  <c r="AC310" i="2"/>
  <c r="G310" i="2"/>
  <c r="D310" i="2"/>
  <c r="A310" i="2"/>
  <c r="AC309" i="2"/>
  <c r="G309" i="2"/>
  <c r="D309" i="2"/>
  <c r="A309" i="2"/>
  <c r="AC308" i="2"/>
  <c r="G308" i="2"/>
  <c r="D308" i="2"/>
  <c r="A308" i="2"/>
  <c r="AC307" i="2"/>
  <c r="G307" i="2"/>
  <c r="D307" i="2"/>
  <c r="A307" i="2"/>
  <c r="AC306" i="2"/>
  <c r="G306" i="2"/>
  <c r="D306" i="2"/>
  <c r="A306" i="2"/>
  <c r="AC305" i="2"/>
  <c r="G305" i="2"/>
  <c r="D305" i="2"/>
  <c r="A305" i="2"/>
  <c r="AC304" i="2"/>
  <c r="G304" i="2"/>
  <c r="D304" i="2"/>
  <c r="A304" i="2"/>
  <c r="AC303" i="2"/>
  <c r="G303" i="2"/>
  <c r="D303" i="2"/>
  <c r="A303" i="2"/>
  <c r="AC302" i="2"/>
  <c r="G302" i="2"/>
  <c r="D302" i="2"/>
  <c r="A302" i="2"/>
  <c r="AC301" i="2"/>
  <c r="G301" i="2"/>
  <c r="D301" i="2"/>
  <c r="A301" i="2"/>
  <c r="AC300" i="2"/>
  <c r="G300" i="2"/>
  <c r="D300" i="2"/>
  <c r="A300" i="2"/>
  <c r="AC299" i="2"/>
  <c r="G299" i="2"/>
  <c r="D299" i="2"/>
  <c r="A299" i="2"/>
  <c r="AC298" i="2"/>
  <c r="G298" i="2"/>
  <c r="D298" i="2"/>
  <c r="A298" i="2"/>
  <c r="AC297" i="2"/>
  <c r="G297" i="2"/>
  <c r="D297" i="2"/>
  <c r="A297" i="2"/>
  <c r="AC296" i="2"/>
  <c r="G296" i="2"/>
  <c r="D296" i="2"/>
  <c r="A296" i="2"/>
  <c r="AC295" i="2"/>
  <c r="G295" i="2"/>
  <c r="D295" i="2"/>
  <c r="A295" i="2"/>
  <c r="AC294" i="2"/>
  <c r="G294" i="2"/>
  <c r="D294" i="2"/>
  <c r="A294" i="2"/>
  <c r="AC293" i="2"/>
  <c r="G293" i="2"/>
  <c r="D293" i="2"/>
  <c r="A293" i="2"/>
  <c r="AC292" i="2"/>
  <c r="G292" i="2"/>
  <c r="D292" i="2"/>
  <c r="A292" i="2"/>
  <c r="AC291" i="2"/>
  <c r="G291" i="2"/>
  <c r="D291" i="2"/>
  <c r="A291" i="2"/>
  <c r="AC290" i="2"/>
  <c r="G290" i="2"/>
  <c r="D290" i="2"/>
  <c r="A290" i="2"/>
  <c r="AC289" i="2"/>
  <c r="G289" i="2"/>
  <c r="D289" i="2"/>
  <c r="A289" i="2"/>
  <c r="AC288" i="2"/>
  <c r="G288" i="2"/>
  <c r="D288" i="2"/>
  <c r="A288" i="2"/>
  <c r="AC287" i="2"/>
  <c r="G287" i="2"/>
  <c r="D287" i="2"/>
  <c r="A287" i="2"/>
  <c r="AC286" i="2"/>
  <c r="G286" i="2"/>
  <c r="D286" i="2"/>
  <c r="A286" i="2"/>
  <c r="AC285" i="2"/>
  <c r="G285" i="2"/>
  <c r="D285" i="2"/>
  <c r="A285" i="2"/>
  <c r="AC284" i="2"/>
  <c r="G284" i="2"/>
  <c r="D284" i="2"/>
  <c r="A284" i="2"/>
  <c r="AC283" i="2"/>
  <c r="G283" i="2"/>
  <c r="D283" i="2"/>
  <c r="A283" i="2"/>
  <c r="AC282" i="2"/>
  <c r="G282" i="2"/>
  <c r="D282" i="2"/>
  <c r="A282" i="2"/>
  <c r="AC281" i="2"/>
  <c r="G281" i="2"/>
  <c r="D281" i="2"/>
  <c r="A281" i="2"/>
  <c r="AC280" i="2"/>
  <c r="G280" i="2"/>
  <c r="D280" i="2"/>
  <c r="A280" i="2"/>
  <c r="AC279" i="2"/>
  <c r="G279" i="2"/>
  <c r="D279" i="2"/>
  <c r="A279" i="2"/>
  <c r="AC278" i="2"/>
  <c r="G278" i="2"/>
  <c r="D278" i="2"/>
  <c r="A278" i="2"/>
  <c r="AC277" i="2"/>
  <c r="G277" i="2"/>
  <c r="D277" i="2"/>
  <c r="A277" i="2"/>
  <c r="AC276" i="2"/>
  <c r="G276" i="2"/>
  <c r="D276" i="2"/>
  <c r="A276" i="2"/>
  <c r="AC275" i="2"/>
  <c r="G275" i="2"/>
  <c r="D275" i="2"/>
  <c r="A275" i="2"/>
  <c r="AC274" i="2"/>
  <c r="G274" i="2"/>
  <c r="D274" i="2"/>
  <c r="A274" i="2"/>
  <c r="AC273" i="2"/>
  <c r="G273" i="2"/>
  <c r="D273" i="2"/>
  <c r="A273" i="2"/>
  <c r="AC272" i="2"/>
  <c r="G272" i="2"/>
  <c r="D272" i="2"/>
  <c r="A272" i="2"/>
  <c r="AC271" i="2"/>
  <c r="G271" i="2"/>
  <c r="D271" i="2"/>
  <c r="A271" i="2"/>
  <c r="AC270" i="2"/>
  <c r="G270" i="2"/>
  <c r="D270" i="2"/>
  <c r="A270" i="2"/>
  <c r="AC269" i="2"/>
  <c r="G269" i="2"/>
  <c r="D269" i="2"/>
  <c r="A269" i="2"/>
  <c r="AC268" i="2"/>
  <c r="G268" i="2"/>
  <c r="D268" i="2"/>
  <c r="A268" i="2"/>
  <c r="AC267" i="2"/>
  <c r="G267" i="2"/>
  <c r="D267" i="2"/>
  <c r="A267" i="2"/>
  <c r="AC266" i="2"/>
  <c r="G266" i="2"/>
  <c r="D266" i="2"/>
  <c r="A266" i="2"/>
  <c r="AC265" i="2"/>
  <c r="G265" i="2"/>
  <c r="D265" i="2"/>
  <c r="A265" i="2"/>
  <c r="AC264" i="2"/>
  <c r="G264" i="2"/>
  <c r="D264" i="2"/>
  <c r="A264" i="2"/>
  <c r="AC263" i="2"/>
  <c r="G263" i="2"/>
  <c r="D263" i="2"/>
  <c r="A263" i="2"/>
  <c r="AC262" i="2"/>
  <c r="G262" i="2"/>
  <c r="D262" i="2"/>
  <c r="A262" i="2"/>
  <c r="AC261" i="2"/>
  <c r="G261" i="2"/>
  <c r="D261" i="2"/>
  <c r="A261" i="2"/>
  <c r="AC260" i="2"/>
  <c r="G260" i="2"/>
  <c r="D260" i="2"/>
  <c r="A260" i="2"/>
  <c r="AC259" i="2"/>
  <c r="G259" i="2"/>
  <c r="D259" i="2"/>
  <c r="A259" i="2"/>
  <c r="AC258" i="2"/>
  <c r="G258" i="2"/>
  <c r="D258" i="2"/>
  <c r="A258" i="2"/>
  <c r="AC257" i="2"/>
  <c r="G257" i="2"/>
  <c r="D257" i="2"/>
  <c r="A257" i="2"/>
  <c r="AC256" i="2"/>
  <c r="G256" i="2"/>
  <c r="D256" i="2"/>
  <c r="A256" i="2"/>
  <c r="AC255" i="2"/>
  <c r="G255" i="2"/>
  <c r="D255" i="2"/>
  <c r="A255" i="2"/>
  <c r="AC254" i="2"/>
  <c r="G254" i="2"/>
  <c r="D254" i="2"/>
  <c r="A254" i="2"/>
  <c r="AC253" i="2"/>
  <c r="G253" i="2"/>
  <c r="D253" i="2"/>
  <c r="A253" i="2"/>
  <c r="AC252" i="2"/>
  <c r="G252" i="2"/>
  <c r="D252" i="2"/>
  <c r="A252" i="2"/>
  <c r="AC251" i="2"/>
  <c r="G251" i="2"/>
  <c r="D251" i="2"/>
  <c r="A251" i="2"/>
  <c r="AC250" i="2"/>
  <c r="G250" i="2"/>
  <c r="D250" i="2"/>
  <c r="A250" i="2"/>
  <c r="AC249" i="2"/>
  <c r="G249" i="2"/>
  <c r="D249" i="2"/>
  <c r="A249" i="2"/>
  <c r="AC248" i="2"/>
  <c r="G248" i="2"/>
  <c r="D248" i="2"/>
  <c r="A248" i="2"/>
  <c r="AC247" i="2"/>
  <c r="G247" i="2"/>
  <c r="D247" i="2"/>
  <c r="A247" i="2"/>
  <c r="AC246" i="2"/>
  <c r="G246" i="2"/>
  <c r="D246" i="2"/>
  <c r="A246" i="2"/>
  <c r="AC245" i="2"/>
  <c r="G245" i="2"/>
  <c r="D245" i="2"/>
  <c r="A245" i="2"/>
  <c r="AC244" i="2"/>
  <c r="G244" i="2"/>
  <c r="D244" i="2"/>
  <c r="A244" i="2"/>
  <c r="AC243" i="2"/>
  <c r="G243" i="2"/>
  <c r="D243" i="2"/>
  <c r="A243" i="2"/>
  <c r="AC242" i="2"/>
  <c r="G242" i="2"/>
  <c r="D242" i="2"/>
  <c r="A242" i="2"/>
  <c r="AC241" i="2"/>
  <c r="G241" i="2"/>
  <c r="D241" i="2"/>
  <c r="A241" i="2"/>
  <c r="AC240" i="2"/>
  <c r="G240" i="2"/>
  <c r="D240" i="2"/>
  <c r="A240" i="2"/>
  <c r="AC239" i="2"/>
  <c r="G239" i="2"/>
  <c r="D239" i="2"/>
  <c r="A239" i="2"/>
  <c r="AC238" i="2"/>
  <c r="G238" i="2"/>
  <c r="D238" i="2"/>
  <c r="A238" i="2"/>
  <c r="AC237" i="2"/>
  <c r="G237" i="2"/>
  <c r="D237" i="2"/>
  <c r="A237" i="2"/>
  <c r="AC236" i="2"/>
  <c r="G236" i="2"/>
  <c r="D236" i="2"/>
  <c r="A236" i="2"/>
  <c r="AC235" i="2"/>
  <c r="G235" i="2"/>
  <c r="D235" i="2"/>
  <c r="A235" i="2"/>
  <c r="AC234" i="2"/>
  <c r="G234" i="2"/>
  <c r="D234" i="2"/>
  <c r="A234" i="2"/>
  <c r="AC233" i="2"/>
  <c r="G233" i="2"/>
  <c r="D233" i="2"/>
  <c r="A233" i="2"/>
  <c r="AC232" i="2"/>
  <c r="G232" i="2"/>
  <c r="D232" i="2"/>
  <c r="A232" i="2"/>
  <c r="AC231" i="2"/>
  <c r="G231" i="2"/>
  <c r="D231" i="2"/>
  <c r="A231" i="2"/>
  <c r="AC230" i="2"/>
  <c r="G230" i="2"/>
  <c r="D230" i="2"/>
  <c r="A230" i="2"/>
  <c r="AC229" i="2"/>
  <c r="G229" i="2"/>
  <c r="D229" i="2"/>
  <c r="A229" i="2"/>
  <c r="AC228" i="2"/>
  <c r="G228" i="2"/>
  <c r="D228" i="2"/>
  <c r="A228" i="2"/>
  <c r="AC227" i="2"/>
  <c r="G227" i="2"/>
  <c r="D227" i="2"/>
  <c r="A227" i="2"/>
  <c r="AC226" i="2"/>
  <c r="G226" i="2"/>
  <c r="D226" i="2"/>
  <c r="A226" i="2"/>
  <c r="AC225" i="2"/>
  <c r="G225" i="2"/>
  <c r="D225" i="2"/>
  <c r="A225" i="2"/>
  <c r="AC224" i="2"/>
  <c r="G224" i="2"/>
  <c r="D224" i="2"/>
  <c r="A224" i="2"/>
  <c r="AC223" i="2"/>
  <c r="G223" i="2"/>
  <c r="D223" i="2"/>
  <c r="A223" i="2"/>
  <c r="AC222" i="2"/>
  <c r="G222" i="2"/>
  <c r="D222" i="2"/>
  <c r="A222" i="2"/>
  <c r="AC221" i="2"/>
  <c r="G221" i="2"/>
  <c r="D221" i="2"/>
  <c r="A221" i="2"/>
  <c r="AC220" i="2"/>
  <c r="G220" i="2"/>
  <c r="D220" i="2"/>
  <c r="A220" i="2"/>
  <c r="AC219" i="2"/>
  <c r="G219" i="2"/>
  <c r="D219" i="2"/>
  <c r="A219" i="2"/>
  <c r="AC218" i="2"/>
  <c r="G218" i="2"/>
  <c r="D218" i="2"/>
  <c r="A218" i="2"/>
  <c r="AC217" i="2"/>
  <c r="G217" i="2"/>
  <c r="D217" i="2"/>
  <c r="A217" i="2"/>
  <c r="AC216" i="2"/>
  <c r="G216" i="2"/>
  <c r="D216" i="2"/>
  <c r="A216" i="2"/>
  <c r="AC215" i="2"/>
  <c r="G215" i="2"/>
  <c r="D215" i="2"/>
  <c r="A215" i="2"/>
  <c r="AC214" i="2"/>
  <c r="G214" i="2"/>
  <c r="D214" i="2"/>
  <c r="A214" i="2"/>
  <c r="AC213" i="2"/>
  <c r="G213" i="2"/>
  <c r="D213" i="2"/>
  <c r="A213" i="2"/>
  <c r="AC212" i="2"/>
  <c r="G212" i="2"/>
  <c r="D212" i="2"/>
  <c r="A212" i="2"/>
  <c r="AC211" i="2"/>
  <c r="G211" i="2"/>
  <c r="D211" i="2"/>
  <c r="A211" i="2"/>
  <c r="AC210" i="2"/>
  <c r="G210" i="2"/>
  <c r="D210" i="2"/>
  <c r="A210" i="2"/>
  <c r="AC209" i="2"/>
  <c r="G209" i="2"/>
  <c r="D209" i="2"/>
  <c r="A209" i="2"/>
  <c r="AC208" i="2"/>
  <c r="G208" i="2"/>
  <c r="D208" i="2"/>
  <c r="A208" i="2"/>
  <c r="AC207" i="2"/>
  <c r="G207" i="2"/>
  <c r="D207" i="2"/>
  <c r="A207" i="2"/>
  <c r="AC206" i="2"/>
  <c r="G206" i="2"/>
  <c r="D206" i="2"/>
  <c r="A206" i="2"/>
  <c r="AC205" i="2"/>
  <c r="G205" i="2"/>
  <c r="D205" i="2"/>
  <c r="A205" i="2"/>
  <c r="AC204" i="2"/>
  <c r="G204" i="2"/>
  <c r="D204" i="2"/>
  <c r="A204" i="2"/>
  <c r="AC203" i="2"/>
  <c r="G203" i="2"/>
  <c r="D203" i="2"/>
  <c r="A203" i="2"/>
  <c r="AC202" i="2"/>
  <c r="G202" i="2"/>
  <c r="D202" i="2"/>
  <c r="A202" i="2"/>
  <c r="AC201" i="2"/>
  <c r="G201" i="2"/>
  <c r="D201" i="2"/>
  <c r="A201" i="2"/>
  <c r="AC200" i="2"/>
  <c r="G200" i="2"/>
  <c r="D200" i="2"/>
  <c r="A200" i="2"/>
  <c r="AC199" i="2"/>
  <c r="G199" i="2"/>
  <c r="D199" i="2"/>
  <c r="A199" i="2"/>
  <c r="AC198" i="2"/>
  <c r="G198" i="2"/>
  <c r="D198" i="2"/>
  <c r="A198" i="2"/>
  <c r="AC197" i="2"/>
  <c r="G197" i="2"/>
  <c r="D197" i="2"/>
  <c r="A197" i="2"/>
  <c r="AC196" i="2"/>
  <c r="G196" i="2"/>
  <c r="D196" i="2"/>
  <c r="A196" i="2"/>
  <c r="AC195" i="2"/>
  <c r="G195" i="2"/>
  <c r="D195" i="2"/>
  <c r="A195" i="2"/>
  <c r="AC194" i="2"/>
  <c r="G194" i="2"/>
  <c r="D194" i="2"/>
  <c r="A194" i="2"/>
  <c r="AC193" i="2"/>
  <c r="G193" i="2"/>
  <c r="D193" i="2"/>
  <c r="A193" i="2"/>
  <c r="AC192" i="2"/>
  <c r="G192" i="2"/>
  <c r="D192" i="2"/>
  <c r="A192" i="2"/>
  <c r="AC191" i="2"/>
  <c r="G191" i="2"/>
  <c r="D191" i="2"/>
  <c r="A191" i="2"/>
  <c r="AC190" i="2"/>
  <c r="G190" i="2"/>
  <c r="D190" i="2"/>
  <c r="A190" i="2"/>
  <c r="AC189" i="2"/>
  <c r="G189" i="2"/>
  <c r="D189" i="2"/>
  <c r="A189" i="2"/>
  <c r="AC188" i="2"/>
  <c r="G188" i="2"/>
  <c r="D188" i="2"/>
  <c r="A188" i="2"/>
  <c r="AC187" i="2"/>
  <c r="G187" i="2"/>
  <c r="D187" i="2"/>
  <c r="A187" i="2"/>
  <c r="AC186" i="2"/>
  <c r="G186" i="2"/>
  <c r="D186" i="2"/>
  <c r="A186" i="2"/>
  <c r="AC185" i="2"/>
  <c r="G185" i="2"/>
  <c r="D185" i="2"/>
  <c r="A185" i="2"/>
  <c r="AC184" i="2"/>
  <c r="G184" i="2"/>
  <c r="D184" i="2"/>
  <c r="A184" i="2"/>
  <c r="AC183" i="2"/>
  <c r="G183" i="2"/>
  <c r="D183" i="2"/>
  <c r="A183" i="2"/>
  <c r="AC182" i="2"/>
  <c r="G182" i="2"/>
  <c r="D182" i="2"/>
  <c r="A182" i="2"/>
  <c r="AC181" i="2"/>
  <c r="G181" i="2"/>
  <c r="D181" i="2"/>
  <c r="A181" i="2"/>
  <c r="AC180" i="2"/>
  <c r="G180" i="2"/>
  <c r="D180" i="2"/>
  <c r="A180" i="2"/>
  <c r="AC179" i="2"/>
  <c r="G179" i="2"/>
  <c r="D179" i="2"/>
  <c r="A179" i="2"/>
  <c r="AC178" i="2"/>
  <c r="G178" i="2"/>
  <c r="D178" i="2"/>
  <c r="A178" i="2"/>
  <c r="AC177" i="2"/>
  <c r="G177" i="2"/>
  <c r="D177" i="2"/>
  <c r="A177" i="2"/>
  <c r="AC176" i="2"/>
  <c r="G176" i="2"/>
  <c r="D176" i="2"/>
  <c r="A176" i="2"/>
  <c r="AC175" i="2"/>
  <c r="G175" i="2"/>
  <c r="D175" i="2"/>
  <c r="A175" i="2"/>
  <c r="AC174" i="2"/>
  <c r="G174" i="2"/>
  <c r="D174" i="2"/>
  <c r="A174" i="2"/>
  <c r="AC173" i="2"/>
  <c r="G173" i="2"/>
  <c r="D173" i="2"/>
  <c r="A173" i="2"/>
  <c r="AC172" i="2"/>
  <c r="G172" i="2"/>
  <c r="D172" i="2"/>
  <c r="A172" i="2"/>
  <c r="AC171" i="2"/>
  <c r="G171" i="2"/>
  <c r="D171" i="2"/>
  <c r="A171" i="2"/>
  <c r="AC170" i="2"/>
  <c r="G170" i="2"/>
  <c r="D170" i="2"/>
  <c r="A170" i="2"/>
  <c r="AC169" i="2"/>
  <c r="G169" i="2"/>
  <c r="D169" i="2"/>
  <c r="A169" i="2"/>
  <c r="AC168" i="2"/>
  <c r="G168" i="2"/>
  <c r="D168" i="2"/>
  <c r="A168" i="2"/>
  <c r="AC167" i="2"/>
  <c r="G167" i="2"/>
  <c r="D167" i="2"/>
  <c r="A167" i="2"/>
  <c r="AC166" i="2"/>
  <c r="G166" i="2"/>
  <c r="D166" i="2"/>
  <c r="A166" i="2"/>
  <c r="AC165" i="2"/>
  <c r="G165" i="2"/>
  <c r="D165" i="2"/>
  <c r="A165" i="2"/>
  <c r="AC164" i="2"/>
  <c r="G164" i="2"/>
  <c r="D164" i="2"/>
  <c r="A164" i="2"/>
  <c r="AC163" i="2"/>
  <c r="G163" i="2"/>
  <c r="D163" i="2"/>
  <c r="A163" i="2"/>
  <c r="AC162" i="2"/>
  <c r="G162" i="2"/>
  <c r="D162" i="2"/>
  <c r="A162" i="2"/>
  <c r="AC161" i="2"/>
  <c r="G161" i="2"/>
  <c r="D161" i="2"/>
  <c r="A161" i="2"/>
  <c r="AC160" i="2"/>
  <c r="G160" i="2"/>
  <c r="D160" i="2"/>
  <c r="A160" i="2"/>
  <c r="AC159" i="2"/>
  <c r="G159" i="2"/>
  <c r="D159" i="2"/>
  <c r="A159" i="2"/>
  <c r="AC158" i="2"/>
  <c r="G158" i="2"/>
  <c r="D158" i="2"/>
  <c r="A158" i="2"/>
  <c r="AC157" i="2"/>
  <c r="G157" i="2"/>
  <c r="D157" i="2"/>
  <c r="A157" i="2"/>
  <c r="AC156" i="2"/>
  <c r="G156" i="2"/>
  <c r="D156" i="2"/>
  <c r="A156" i="2"/>
  <c r="AC155" i="2"/>
  <c r="G155" i="2"/>
  <c r="D155" i="2"/>
  <c r="A155" i="2"/>
  <c r="AC154" i="2"/>
  <c r="G154" i="2"/>
  <c r="D154" i="2"/>
  <c r="A154" i="2"/>
  <c r="AC153" i="2"/>
  <c r="G153" i="2"/>
  <c r="D153" i="2"/>
  <c r="A153" i="2"/>
  <c r="AC152" i="2"/>
  <c r="G152" i="2"/>
  <c r="D152" i="2"/>
  <c r="A152" i="2"/>
  <c r="AC151" i="2"/>
  <c r="G151" i="2"/>
  <c r="D151" i="2"/>
  <c r="A151" i="2"/>
  <c r="AC150" i="2"/>
  <c r="G150" i="2"/>
  <c r="D150" i="2"/>
  <c r="A150" i="2"/>
  <c r="AC149" i="2"/>
  <c r="G149" i="2"/>
  <c r="D149" i="2"/>
  <c r="A149" i="2"/>
  <c r="AC148" i="2"/>
  <c r="G148" i="2"/>
  <c r="D148" i="2"/>
  <c r="A148" i="2"/>
  <c r="AC147" i="2"/>
  <c r="G147" i="2"/>
  <c r="D147" i="2"/>
  <c r="A147" i="2"/>
  <c r="AC146" i="2"/>
  <c r="G146" i="2"/>
  <c r="D146" i="2"/>
  <c r="A146" i="2"/>
  <c r="AC145" i="2"/>
  <c r="G145" i="2"/>
  <c r="D145" i="2"/>
  <c r="A145" i="2"/>
  <c r="AC144" i="2"/>
  <c r="G144" i="2"/>
  <c r="D144" i="2"/>
  <c r="A144" i="2"/>
  <c r="AC143" i="2"/>
  <c r="G143" i="2"/>
  <c r="D143" i="2"/>
  <c r="A143" i="2"/>
  <c r="AC142" i="2"/>
  <c r="G142" i="2"/>
  <c r="D142" i="2"/>
  <c r="A142" i="2"/>
  <c r="AC141" i="2"/>
  <c r="G141" i="2"/>
  <c r="D141" i="2"/>
  <c r="A141" i="2"/>
  <c r="AC140" i="2"/>
  <c r="G140" i="2"/>
  <c r="D140" i="2"/>
  <c r="A140" i="2"/>
  <c r="AC139" i="2"/>
  <c r="G139" i="2"/>
  <c r="D139" i="2"/>
  <c r="A139" i="2"/>
  <c r="AC138" i="2"/>
  <c r="G138" i="2"/>
  <c r="D138" i="2"/>
  <c r="A138" i="2"/>
  <c r="AC137" i="2"/>
  <c r="G137" i="2"/>
  <c r="D137" i="2"/>
  <c r="A137" i="2"/>
  <c r="AC136" i="2"/>
  <c r="G136" i="2"/>
  <c r="D136" i="2"/>
  <c r="A136" i="2"/>
  <c r="AC135" i="2"/>
  <c r="G135" i="2"/>
  <c r="D135" i="2"/>
  <c r="A135" i="2"/>
  <c r="AC134" i="2"/>
  <c r="G134" i="2"/>
  <c r="D134" i="2"/>
  <c r="A134" i="2"/>
  <c r="AC133" i="2"/>
  <c r="G133" i="2"/>
  <c r="D133" i="2"/>
  <c r="A133" i="2"/>
  <c r="AC132" i="2"/>
  <c r="G132" i="2"/>
  <c r="D132" i="2"/>
  <c r="A132" i="2"/>
  <c r="AC131" i="2"/>
  <c r="G131" i="2"/>
  <c r="D131" i="2"/>
  <c r="A131" i="2"/>
  <c r="AC130" i="2"/>
  <c r="G130" i="2"/>
  <c r="D130" i="2"/>
  <c r="A130" i="2"/>
  <c r="AC129" i="2"/>
  <c r="G129" i="2"/>
  <c r="D129" i="2"/>
  <c r="A129" i="2"/>
  <c r="AC128" i="2"/>
  <c r="G128" i="2"/>
  <c r="D128" i="2"/>
  <c r="A128" i="2"/>
  <c r="AC127" i="2"/>
  <c r="G127" i="2"/>
  <c r="D127" i="2"/>
  <c r="A127" i="2"/>
  <c r="AC126" i="2"/>
  <c r="G126" i="2"/>
  <c r="D126" i="2"/>
  <c r="A126" i="2"/>
  <c r="AC125" i="2"/>
  <c r="G125" i="2"/>
  <c r="D125" i="2"/>
  <c r="A125" i="2"/>
  <c r="AC124" i="2"/>
  <c r="G124" i="2"/>
  <c r="D124" i="2"/>
  <c r="A124" i="2"/>
  <c r="AC123" i="2"/>
  <c r="G123" i="2"/>
  <c r="D123" i="2"/>
  <c r="A123" i="2"/>
  <c r="AC122" i="2"/>
  <c r="G122" i="2"/>
  <c r="D122" i="2"/>
  <c r="A122" i="2"/>
  <c r="AC121" i="2"/>
  <c r="G121" i="2"/>
  <c r="D121" i="2"/>
  <c r="A121" i="2"/>
  <c r="AC120" i="2"/>
  <c r="G120" i="2"/>
  <c r="D120" i="2"/>
  <c r="A120" i="2"/>
  <c r="AC119" i="2"/>
  <c r="G119" i="2"/>
  <c r="D119" i="2"/>
  <c r="A119" i="2"/>
  <c r="AC118" i="2"/>
  <c r="G118" i="2"/>
  <c r="D118" i="2"/>
  <c r="A118" i="2"/>
  <c r="AC117" i="2"/>
  <c r="G117" i="2"/>
  <c r="D117" i="2"/>
  <c r="A117" i="2"/>
  <c r="AC116" i="2"/>
  <c r="G116" i="2"/>
  <c r="D116" i="2"/>
  <c r="A116" i="2"/>
  <c r="AC115" i="2"/>
  <c r="G115" i="2"/>
  <c r="D115" i="2"/>
  <c r="A115" i="2"/>
  <c r="AC114" i="2"/>
  <c r="G114" i="2"/>
  <c r="D114" i="2"/>
  <c r="A114" i="2"/>
  <c r="AC113" i="2"/>
  <c r="G113" i="2"/>
  <c r="D113" i="2"/>
  <c r="A113" i="2"/>
  <c r="AC112" i="2"/>
  <c r="G112" i="2"/>
  <c r="D112" i="2"/>
  <c r="A112" i="2"/>
  <c r="AC111" i="2"/>
  <c r="G111" i="2"/>
  <c r="D111" i="2"/>
  <c r="A111" i="2"/>
  <c r="AC110" i="2"/>
  <c r="G110" i="2"/>
  <c r="D110" i="2"/>
  <c r="A110" i="2"/>
  <c r="AC109" i="2"/>
  <c r="G109" i="2"/>
  <c r="D109" i="2"/>
  <c r="A109" i="2"/>
  <c r="AC108" i="2"/>
  <c r="G108" i="2"/>
  <c r="D108" i="2"/>
  <c r="A108" i="2"/>
  <c r="AC107" i="2"/>
  <c r="G107" i="2"/>
  <c r="D107" i="2"/>
  <c r="A107" i="2"/>
  <c r="AC106" i="2"/>
  <c r="G106" i="2"/>
  <c r="D106" i="2"/>
  <c r="A106" i="2"/>
  <c r="AC105" i="2"/>
  <c r="G105" i="2"/>
  <c r="D105" i="2"/>
  <c r="A105" i="2"/>
  <c r="AC104" i="2"/>
  <c r="G104" i="2"/>
  <c r="D104" i="2"/>
  <c r="A104" i="2"/>
  <c r="AC103" i="2"/>
  <c r="G103" i="2"/>
  <c r="D103" i="2"/>
  <c r="A103" i="2"/>
  <c r="AC102" i="2"/>
  <c r="G102" i="2"/>
  <c r="D102" i="2"/>
  <c r="A102" i="2"/>
  <c r="AC101" i="2"/>
  <c r="G101" i="2"/>
  <c r="D101" i="2"/>
  <c r="A101" i="2"/>
  <c r="AC100" i="2"/>
  <c r="G100" i="2"/>
  <c r="D100" i="2"/>
  <c r="A100" i="2"/>
  <c r="AC99" i="2"/>
  <c r="G99" i="2"/>
  <c r="D99" i="2"/>
  <c r="A99" i="2"/>
  <c r="AC98" i="2"/>
  <c r="G98" i="2"/>
  <c r="D98" i="2"/>
  <c r="A98" i="2"/>
  <c r="AC97" i="2"/>
  <c r="G97" i="2"/>
  <c r="D97" i="2"/>
  <c r="A97" i="2"/>
  <c r="AC96" i="2"/>
  <c r="G96" i="2"/>
  <c r="D96" i="2"/>
  <c r="A96" i="2"/>
  <c r="AC95" i="2"/>
  <c r="G95" i="2"/>
  <c r="D95" i="2"/>
  <c r="A95" i="2"/>
  <c r="AC94" i="2"/>
  <c r="G94" i="2"/>
  <c r="D94" i="2"/>
  <c r="A94" i="2"/>
  <c r="AC93" i="2"/>
  <c r="G93" i="2"/>
  <c r="D93" i="2"/>
  <c r="A93" i="2"/>
  <c r="AC92" i="2"/>
  <c r="G92" i="2"/>
  <c r="D92" i="2"/>
  <c r="A92" i="2"/>
  <c r="AC91" i="2"/>
  <c r="G91" i="2"/>
  <c r="D91" i="2"/>
  <c r="A91" i="2"/>
  <c r="AC90" i="2"/>
  <c r="G90" i="2"/>
  <c r="D90" i="2"/>
  <c r="A90" i="2"/>
  <c r="AC89" i="2"/>
  <c r="G89" i="2"/>
  <c r="D89" i="2"/>
  <c r="A89" i="2"/>
  <c r="AC88" i="2"/>
  <c r="G88" i="2"/>
  <c r="D88" i="2"/>
  <c r="A88" i="2"/>
  <c r="AC87" i="2"/>
  <c r="G87" i="2"/>
  <c r="D87" i="2"/>
  <c r="A87" i="2"/>
  <c r="AC86" i="2"/>
  <c r="G86" i="2"/>
  <c r="D86" i="2"/>
  <c r="A86" i="2"/>
  <c r="AC85" i="2"/>
  <c r="G85" i="2"/>
  <c r="D85" i="2"/>
  <c r="A85" i="2"/>
  <c r="AC84" i="2"/>
  <c r="G84" i="2"/>
  <c r="D84" i="2"/>
  <c r="A84" i="2"/>
  <c r="AC83" i="2"/>
  <c r="G83" i="2"/>
  <c r="D83" i="2"/>
  <c r="A83" i="2"/>
  <c r="AC82" i="2"/>
  <c r="G82" i="2"/>
  <c r="D82" i="2"/>
  <c r="A82" i="2"/>
  <c r="AC81" i="2"/>
  <c r="G81" i="2"/>
  <c r="D81" i="2"/>
  <c r="A81" i="2"/>
  <c r="AC80" i="2"/>
  <c r="G80" i="2"/>
  <c r="D80" i="2"/>
  <c r="A80" i="2"/>
  <c r="AC79" i="2"/>
  <c r="G79" i="2"/>
  <c r="D79" i="2"/>
  <c r="A79" i="2"/>
  <c r="AC78" i="2"/>
  <c r="G78" i="2"/>
  <c r="D78" i="2"/>
  <c r="A78" i="2"/>
  <c r="AC77" i="2"/>
  <c r="G77" i="2"/>
  <c r="D77" i="2"/>
  <c r="A77" i="2"/>
  <c r="AC76" i="2"/>
  <c r="G76" i="2"/>
  <c r="D76" i="2"/>
  <c r="A76" i="2"/>
  <c r="AC75" i="2"/>
  <c r="G75" i="2"/>
  <c r="D75" i="2"/>
  <c r="A75" i="2"/>
  <c r="AC74" i="2"/>
  <c r="G74" i="2"/>
  <c r="D74" i="2"/>
  <c r="A74" i="2"/>
  <c r="AC73" i="2"/>
  <c r="G73" i="2"/>
  <c r="D73" i="2"/>
  <c r="A73" i="2"/>
  <c r="AC72" i="2"/>
  <c r="G72" i="2"/>
  <c r="D72" i="2"/>
  <c r="A72" i="2"/>
  <c r="AC71" i="2"/>
  <c r="G71" i="2"/>
  <c r="D71" i="2"/>
  <c r="A71" i="2"/>
  <c r="AC70" i="2"/>
  <c r="G70" i="2"/>
  <c r="D70" i="2"/>
  <c r="A70" i="2"/>
  <c r="AC69" i="2"/>
  <c r="G69" i="2"/>
  <c r="D69" i="2"/>
  <c r="A69" i="2"/>
  <c r="AC68" i="2"/>
  <c r="G68" i="2"/>
  <c r="D68" i="2"/>
  <c r="A68" i="2"/>
  <c r="AC67" i="2"/>
  <c r="G67" i="2"/>
  <c r="D67" i="2"/>
  <c r="A67" i="2"/>
  <c r="AC66" i="2"/>
  <c r="G66" i="2"/>
  <c r="D66" i="2"/>
  <c r="A66" i="2"/>
  <c r="AC65" i="2"/>
  <c r="G65" i="2"/>
  <c r="D65" i="2"/>
  <c r="A65" i="2"/>
  <c r="AC64" i="2"/>
  <c r="G64" i="2"/>
  <c r="D64" i="2"/>
  <c r="A64" i="2"/>
  <c r="AC63" i="2"/>
  <c r="G63" i="2"/>
  <c r="D63" i="2"/>
  <c r="A63" i="2"/>
  <c r="AC62" i="2"/>
  <c r="G62" i="2"/>
  <c r="D62" i="2"/>
  <c r="A62" i="2"/>
  <c r="AC61" i="2"/>
  <c r="G61" i="2"/>
  <c r="D61" i="2"/>
  <c r="A61" i="2"/>
  <c r="AC60" i="2"/>
  <c r="G60" i="2"/>
  <c r="D60" i="2"/>
  <c r="A60" i="2"/>
  <c r="AC59" i="2"/>
  <c r="G59" i="2"/>
  <c r="D59" i="2"/>
  <c r="A59" i="2"/>
  <c r="AC58" i="2"/>
  <c r="G58" i="2"/>
  <c r="D58" i="2"/>
  <c r="A58" i="2"/>
  <c r="AC57" i="2"/>
  <c r="G57" i="2"/>
  <c r="D57" i="2"/>
  <c r="A57" i="2"/>
  <c r="AC56" i="2"/>
  <c r="G56" i="2"/>
  <c r="D56" i="2"/>
  <c r="A56" i="2"/>
  <c r="AC55" i="2"/>
  <c r="G55" i="2"/>
  <c r="D55" i="2"/>
  <c r="A55" i="2"/>
  <c r="AC54" i="2"/>
  <c r="G54" i="2"/>
  <c r="D54" i="2"/>
  <c r="A54" i="2"/>
  <c r="AC53" i="2"/>
  <c r="G53" i="2"/>
  <c r="D53" i="2"/>
  <c r="A53" i="2"/>
  <c r="AC52" i="2"/>
  <c r="G52" i="2"/>
  <c r="D52" i="2"/>
  <c r="A52" i="2"/>
  <c r="AC51" i="2"/>
  <c r="G51" i="2"/>
  <c r="D51" i="2"/>
  <c r="A51" i="2"/>
  <c r="AC50" i="2"/>
  <c r="G50" i="2"/>
  <c r="D50" i="2"/>
  <c r="A50" i="2"/>
  <c r="AC49" i="2"/>
  <c r="A49" i="2"/>
  <c r="AC48" i="2"/>
  <c r="A48" i="2"/>
  <c r="AC47" i="2"/>
  <c r="A47" i="2"/>
  <c r="AC46" i="2"/>
  <c r="A46" i="2"/>
  <c r="AC45" i="2"/>
  <c r="A45" i="2"/>
  <c r="AC44" i="2"/>
  <c r="A44" i="2"/>
  <c r="AC43" i="2"/>
  <c r="A43" i="2"/>
  <c r="AC42" i="2"/>
  <c r="A42" i="2"/>
  <c r="AC41" i="2"/>
  <c r="A41" i="2"/>
  <c r="AC40" i="2"/>
  <c r="A40" i="2"/>
  <c r="AC39" i="2"/>
  <c r="A39" i="2"/>
  <c r="AC38" i="2"/>
  <c r="A38" i="2"/>
  <c r="AC37" i="2"/>
  <c r="A37" i="2"/>
  <c r="AC36" i="2"/>
  <c r="A36" i="2"/>
  <c r="AC35" i="2"/>
  <c r="A35" i="2"/>
  <c r="AC34" i="2"/>
  <c r="A34" i="2"/>
  <c r="AC33" i="2"/>
  <c r="A33" i="2"/>
  <c r="AC32" i="2"/>
  <c r="A32" i="2"/>
  <c r="AC31" i="2"/>
  <c r="A31" i="2"/>
  <c r="AC30" i="2"/>
  <c r="A30" i="2"/>
  <c r="AC29" i="2"/>
  <c r="A29" i="2"/>
  <c r="AC28" i="2"/>
  <c r="A28" i="2"/>
  <c r="AC27" i="2"/>
  <c r="A27" i="2"/>
  <c r="AC26" i="2"/>
  <c r="A26" i="2"/>
  <c r="AC25" i="2"/>
  <c r="A25" i="2"/>
  <c r="AC24" i="2"/>
  <c r="A24" i="2"/>
  <c r="AC23" i="2"/>
  <c r="A23" i="2"/>
  <c r="AC22" i="2"/>
  <c r="A22" i="2"/>
  <c r="AC21" i="2"/>
  <c r="A21" i="2"/>
  <c r="AC20" i="2"/>
  <c r="A20" i="2"/>
  <c r="AC19" i="2"/>
  <c r="A19" i="2"/>
  <c r="AC18" i="2"/>
  <c r="A18" i="2"/>
  <c r="AC17" i="2"/>
  <c r="A17" i="2"/>
  <c r="AC16" i="2"/>
  <c r="A16" i="2"/>
  <c r="AC15" i="2"/>
  <c r="A15" i="2"/>
  <c r="AC14" i="2"/>
  <c r="A14" i="2"/>
  <c r="AC13" i="2"/>
  <c r="A13" i="2"/>
  <c r="AC12" i="2"/>
  <c r="A12" i="2"/>
  <c r="AC11" i="2"/>
  <c r="A11" i="2"/>
  <c r="AC10" i="2"/>
  <c r="A10" i="2"/>
  <c r="AC9" i="2"/>
  <c r="A9" i="2"/>
  <c r="AC8" i="2"/>
  <c r="B103" i="6" s="1" a="1"/>
  <c r="B103" i="6" s="1"/>
  <c r="A8" i="2"/>
  <c r="G5" i="2"/>
  <c r="L4" i="2"/>
  <c r="G4" i="2"/>
  <c r="D4" i="2"/>
  <c r="A4" i="2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N11" i="1"/>
  <c r="H11" i="1"/>
  <c r="G11" i="1"/>
  <c r="F11" i="1"/>
  <c r="E11" i="1"/>
  <c r="D11" i="1"/>
  <c r="C11" i="1"/>
  <c r="B11" i="1"/>
  <c r="N10" i="1"/>
  <c r="H10" i="1"/>
  <c r="G10" i="1"/>
  <c r="G27" i="1" s="1"/>
  <c r="F10" i="1"/>
  <c r="E10" i="1"/>
  <c r="D10" i="1"/>
  <c r="C10" i="1"/>
  <c r="B10" i="1"/>
  <c r="N9" i="1"/>
  <c r="K5" i="1"/>
  <c r="I5" i="1"/>
  <c r="E5" i="1"/>
  <c r="A5" i="1"/>
  <c r="A3" i="1"/>
  <c r="A61" i="7" l="1"/>
  <c r="I10" i="1"/>
  <c r="I12" i="1"/>
  <c r="I16" i="1"/>
  <c r="I20" i="1"/>
  <c r="I24" i="1"/>
  <c r="G74" i="7"/>
  <c r="E7" i="8"/>
  <c r="A65" i="7"/>
  <c r="G45" i="8"/>
  <c r="A58" i="22"/>
  <c r="A63" i="7"/>
  <c r="G52" i="14"/>
  <c r="I11" i="1"/>
  <c r="E7" i="7"/>
  <c r="A56" i="13"/>
  <c r="G68" i="14"/>
  <c r="G45" i="15"/>
  <c r="A49" i="7"/>
  <c r="A62" i="7"/>
  <c r="A64" i="7"/>
  <c r="E7" i="14"/>
  <c r="E7" i="12"/>
  <c r="G53" i="15"/>
  <c r="G45" i="22"/>
  <c r="G46" i="22" s="1"/>
  <c r="G47" i="22" s="1"/>
  <c r="G62" i="21"/>
  <c r="A46" i="22"/>
  <c r="A74" i="8"/>
  <c r="G74" i="8"/>
  <c r="A58" i="8"/>
  <c r="G58" i="8"/>
  <c r="A73" i="14"/>
  <c r="G73" i="14"/>
  <c r="G61" i="8"/>
  <c r="A48" i="10"/>
  <c r="G70" i="13"/>
  <c r="G45" i="7"/>
  <c r="G53" i="7"/>
  <c r="G70" i="7"/>
  <c r="A52" i="13"/>
  <c r="G53" i="14"/>
  <c r="A67" i="22"/>
  <c r="I21" i="1"/>
  <c r="I25" i="1"/>
  <c r="E7" i="9"/>
  <c r="I13" i="1"/>
  <c r="I17" i="1"/>
  <c r="E7" i="13"/>
  <c r="E7" i="17"/>
  <c r="E7" i="20"/>
  <c r="I15" i="1"/>
  <c r="I19" i="1"/>
  <c r="I23" i="1"/>
  <c r="E7" i="6"/>
  <c r="A71" i="6"/>
  <c r="A74" i="6"/>
  <c r="G59" i="7"/>
  <c r="A59" i="7"/>
  <c r="A46" i="8"/>
  <c r="G46" i="8"/>
  <c r="H27" i="1"/>
  <c r="I14" i="1"/>
  <c r="A70" i="8"/>
  <c r="G70" i="8"/>
  <c r="A54" i="8"/>
  <c r="G54" i="8"/>
  <c r="A62" i="8"/>
  <c r="G62" i="8"/>
  <c r="A71" i="13"/>
  <c r="G71" i="13"/>
  <c r="G71" i="12"/>
  <c r="G48" i="14"/>
  <c r="G57" i="14"/>
  <c r="A64" i="14"/>
  <c r="G64" i="14"/>
  <c r="A69" i="14"/>
  <c r="G69" i="14"/>
  <c r="G55" i="15"/>
  <c r="A55" i="15"/>
  <c r="A67" i="7"/>
  <c r="G72" i="7"/>
  <c r="A50" i="10"/>
  <c r="A49" i="15"/>
  <c r="G49" i="15"/>
  <c r="A74" i="15"/>
  <c r="G74" i="15"/>
  <c r="G50" i="8"/>
  <c r="G66" i="8"/>
  <c r="E7" i="10"/>
  <c r="E7" i="11"/>
  <c r="A54" i="13"/>
  <c r="G74" i="13"/>
  <c r="G47" i="17"/>
  <c r="A47" i="17"/>
  <c r="I18" i="1"/>
  <c r="I22" i="1"/>
  <c r="I26" i="1"/>
  <c r="G68" i="7"/>
  <c r="G49" i="8"/>
  <c r="G65" i="8"/>
  <c r="A65" i="9"/>
  <c r="A46" i="10"/>
  <c r="G48" i="13"/>
  <c r="G67" i="13"/>
  <c r="G49" i="14"/>
  <c r="A61" i="14"/>
  <c r="G61" i="14"/>
  <c r="G65" i="14"/>
  <c r="E7" i="15"/>
  <c r="G70" i="15"/>
  <c r="A71" i="18"/>
  <c r="G71" i="18"/>
  <c r="A48" i="17"/>
  <c r="G57" i="16"/>
  <c r="G61" i="16"/>
  <c r="G65" i="16"/>
  <c r="G69" i="16"/>
  <c r="G73" i="16"/>
  <c r="A61" i="15"/>
  <c r="A63" i="15"/>
  <c r="E7" i="16"/>
  <c r="G57" i="17"/>
  <c r="G65" i="17"/>
  <c r="A70" i="21"/>
  <c r="G70" i="21"/>
  <c r="G73" i="17"/>
  <c r="G54" i="22"/>
  <c r="A62" i="22"/>
  <c r="E7" i="18"/>
  <c r="E7" i="19"/>
  <c r="E7" i="22"/>
  <c r="G50" i="22"/>
  <c r="A48" i="20"/>
  <c r="A71" i="22"/>
  <c r="G72" i="6"/>
  <c r="A72" i="6"/>
  <c r="A56" i="8"/>
  <c r="G56" i="8"/>
  <c r="A72" i="8"/>
  <c r="G72" i="8"/>
  <c r="A52" i="8"/>
  <c r="G52" i="8"/>
  <c r="A68" i="8"/>
  <c r="G68" i="8"/>
  <c r="A60" i="8"/>
  <c r="G60" i="8"/>
  <c r="A67" i="8"/>
  <c r="G67" i="8"/>
  <c r="G70" i="9"/>
  <c r="A70" i="9"/>
  <c r="G71" i="9"/>
  <c r="G73" i="9"/>
  <c r="A52" i="10"/>
  <c r="G52" i="10"/>
  <c r="A56" i="10"/>
  <c r="G56" i="10"/>
  <c r="A60" i="10"/>
  <c r="G60" i="10"/>
  <c r="A55" i="11"/>
  <c r="G55" i="11"/>
  <c r="A63" i="11"/>
  <c r="G63" i="11"/>
  <c r="A71" i="11"/>
  <c r="G71" i="11"/>
  <c r="A63" i="12"/>
  <c r="G63" i="12"/>
  <c r="A65" i="13"/>
  <c r="G65" i="13"/>
  <c r="A55" i="14"/>
  <c r="G55" i="14"/>
  <c r="A71" i="14"/>
  <c r="G71" i="14"/>
  <c r="A51" i="8"/>
  <c r="G51" i="8"/>
  <c r="A51" i="7"/>
  <c r="G51" i="7"/>
  <c r="A48" i="8"/>
  <c r="G48" i="8"/>
  <c r="G53" i="8"/>
  <c r="A55" i="8"/>
  <c r="G55" i="8"/>
  <c r="A64" i="8"/>
  <c r="G64" i="8"/>
  <c r="G69" i="8"/>
  <c r="A71" i="8"/>
  <c r="G71" i="8"/>
  <c r="A67" i="9"/>
  <c r="G72" i="9"/>
  <c r="A72" i="9"/>
  <c r="G74" i="9"/>
  <c r="A74" i="9"/>
  <c r="A53" i="10"/>
  <c r="G53" i="10"/>
  <c r="A57" i="10"/>
  <c r="G57" i="10"/>
  <c r="A61" i="10"/>
  <c r="G61" i="10"/>
  <c r="A56" i="11"/>
  <c r="G56" i="11"/>
  <c r="A64" i="11"/>
  <c r="G64" i="11"/>
  <c r="A72" i="11"/>
  <c r="G72" i="11"/>
  <c r="A56" i="12"/>
  <c r="G56" i="12"/>
  <c r="A64" i="12"/>
  <c r="G64" i="12"/>
  <c r="A72" i="15"/>
  <c r="G72" i="15"/>
  <c r="A47" i="7"/>
  <c r="A57" i="7"/>
  <c r="G66" i="7"/>
  <c r="A66" i="7"/>
  <c r="G69" i="7"/>
  <c r="G71" i="7"/>
  <c r="G73" i="7"/>
  <c r="G57" i="8"/>
  <c r="A59" i="8"/>
  <c r="G59" i="8"/>
  <c r="G73" i="8"/>
  <c r="G66" i="9"/>
  <c r="A66" i="9"/>
  <c r="A69" i="9"/>
  <c r="A54" i="10"/>
  <c r="G54" i="10"/>
  <c r="A58" i="10"/>
  <c r="G58" i="10"/>
  <c r="A62" i="10"/>
  <c r="G62" i="10"/>
  <c r="A71" i="10"/>
  <c r="G71" i="10"/>
  <c r="A59" i="11"/>
  <c r="G59" i="11"/>
  <c r="A67" i="11"/>
  <c r="G67" i="11"/>
  <c r="A59" i="12"/>
  <c r="G59" i="12"/>
  <c r="A67" i="12"/>
  <c r="G67" i="12"/>
  <c r="A74" i="12"/>
  <c r="G74" i="12"/>
  <c r="A68" i="15"/>
  <c r="G68" i="15"/>
  <c r="A73" i="6"/>
  <c r="G55" i="7"/>
  <c r="A55" i="7"/>
  <c r="A47" i="8"/>
  <c r="G47" i="8"/>
  <c r="A63" i="8"/>
  <c r="G63" i="8"/>
  <c r="G68" i="9"/>
  <c r="A68" i="9"/>
  <c r="A55" i="10"/>
  <c r="G55" i="10"/>
  <c r="A59" i="10"/>
  <c r="G59" i="10"/>
  <c r="A63" i="10"/>
  <c r="G63" i="10"/>
  <c r="A72" i="10"/>
  <c r="G72" i="10"/>
  <c r="A54" i="11"/>
  <c r="G54" i="11"/>
  <c r="A60" i="11"/>
  <c r="G60" i="11"/>
  <c r="A68" i="11"/>
  <c r="G68" i="11"/>
  <c r="A60" i="12"/>
  <c r="G60" i="12"/>
  <c r="A68" i="12"/>
  <c r="G68" i="12"/>
  <c r="A59" i="14"/>
  <c r="G59" i="14"/>
  <c r="A73" i="12"/>
  <c r="G73" i="12"/>
  <c r="A64" i="13"/>
  <c r="G64" i="13"/>
  <c r="A69" i="13"/>
  <c r="G69" i="13"/>
  <c r="A54" i="14"/>
  <c r="G54" i="14"/>
  <c r="A63" i="14"/>
  <c r="G63" i="14"/>
  <c r="A70" i="14"/>
  <c r="G70" i="14"/>
  <c r="G58" i="15"/>
  <c r="A58" i="15"/>
  <c r="G59" i="15"/>
  <c r="G66" i="15"/>
  <c r="A66" i="15"/>
  <c r="G49" i="17"/>
  <c r="A49" i="17"/>
  <c r="A69" i="21"/>
  <c r="G69" i="21"/>
  <c r="A73" i="13"/>
  <c r="G73" i="13"/>
  <c r="A51" i="14"/>
  <c r="G51" i="14"/>
  <c r="G56" i="14"/>
  <c r="A58" i="14"/>
  <c r="G58" i="14"/>
  <c r="A67" i="14"/>
  <c r="G67" i="14"/>
  <c r="G72" i="14"/>
  <c r="A74" i="14"/>
  <c r="G74" i="14"/>
  <c r="G60" i="15"/>
  <c r="A60" i="15"/>
  <c r="G69" i="15"/>
  <c r="A71" i="15"/>
  <c r="G71" i="15"/>
  <c r="A58" i="16"/>
  <c r="G58" i="16"/>
  <c r="A60" i="16"/>
  <c r="G60" i="16"/>
  <c r="A64" i="16"/>
  <c r="G64" i="16"/>
  <c r="A68" i="16"/>
  <c r="G68" i="16"/>
  <c r="A72" i="16"/>
  <c r="G72" i="16"/>
  <c r="A54" i="17"/>
  <c r="G54" i="17"/>
  <c r="A62" i="17"/>
  <c r="G62" i="17"/>
  <c r="A70" i="17"/>
  <c r="G70" i="17"/>
  <c r="A61" i="21"/>
  <c r="G61" i="21"/>
  <c r="A56" i="7"/>
  <c r="A58" i="7"/>
  <c r="A60" i="7"/>
  <c r="G64" i="10"/>
  <c r="G65" i="10"/>
  <c r="G66" i="10"/>
  <c r="G67" i="10"/>
  <c r="G68" i="10"/>
  <c r="G69" i="10"/>
  <c r="G70" i="10"/>
  <c r="G74" i="10"/>
  <c r="G58" i="11"/>
  <c r="G62" i="11"/>
  <c r="G66" i="11"/>
  <c r="G70" i="11"/>
  <c r="G74" i="11"/>
  <c r="G58" i="12"/>
  <c r="G62" i="12"/>
  <c r="G66" i="12"/>
  <c r="G70" i="12"/>
  <c r="G50" i="13"/>
  <c r="G66" i="13"/>
  <c r="A68" i="13"/>
  <c r="G68" i="13"/>
  <c r="G60" i="14"/>
  <c r="A62" i="14"/>
  <c r="G62" i="14"/>
  <c r="A51" i="15"/>
  <c r="A57" i="15"/>
  <c r="G62" i="15"/>
  <c r="A62" i="15"/>
  <c r="A65" i="15"/>
  <c r="G73" i="15"/>
  <c r="G46" i="17"/>
  <c r="A46" i="17"/>
  <c r="A70" i="18"/>
  <c r="G70" i="18"/>
  <c r="A74" i="18"/>
  <c r="G74" i="18"/>
  <c r="A45" i="10"/>
  <c r="A47" i="10"/>
  <c r="A49" i="10"/>
  <c r="G73" i="10"/>
  <c r="G57" i="11"/>
  <c r="G61" i="11"/>
  <c r="G65" i="11"/>
  <c r="G69" i="11"/>
  <c r="G73" i="11"/>
  <c r="G57" i="12"/>
  <c r="G61" i="12"/>
  <c r="G65" i="12"/>
  <c r="G69" i="12"/>
  <c r="G72" i="12"/>
  <c r="G46" i="13"/>
  <c r="A72" i="13"/>
  <c r="G72" i="13"/>
  <c r="A50" i="14"/>
  <c r="G50" i="14"/>
  <c r="A66" i="14"/>
  <c r="G66" i="14"/>
  <c r="A47" i="15"/>
  <c r="G56" i="15"/>
  <c r="A56" i="15"/>
  <c r="G64" i="15"/>
  <c r="A64" i="15"/>
  <c r="A67" i="15"/>
  <c r="A59" i="16"/>
  <c r="G59" i="16"/>
  <c r="A63" i="16"/>
  <c r="G63" i="16"/>
  <c r="A67" i="16"/>
  <c r="G67" i="16"/>
  <c r="A71" i="16"/>
  <c r="G71" i="16"/>
  <c r="A53" i="17"/>
  <c r="G53" i="17"/>
  <c r="A65" i="21"/>
  <c r="G65" i="21"/>
  <c r="G67" i="20"/>
  <c r="G71" i="20"/>
  <c r="A47" i="21"/>
  <c r="G60" i="22"/>
  <c r="A73" i="22"/>
  <c r="G61" i="17"/>
  <c r="G69" i="17"/>
  <c r="G73" i="18"/>
  <c r="G66" i="21"/>
  <c r="G74" i="21"/>
  <c r="G48" i="22"/>
  <c r="G52" i="22"/>
  <c r="G56" i="22"/>
  <c r="G63" i="22"/>
  <c r="G62" i="16"/>
  <c r="G66" i="16"/>
  <c r="G70" i="16"/>
  <c r="G74" i="16"/>
  <c r="G58" i="17"/>
  <c r="G66" i="17"/>
  <c r="G74" i="17"/>
  <c r="G72" i="18"/>
  <c r="A46" i="20"/>
  <c r="G73" i="21"/>
  <c r="A69" i="22"/>
  <c r="D103" i="6"/>
  <c r="A103" i="6"/>
  <c r="E103" i="6"/>
  <c r="C103" i="6"/>
  <c r="A13" i="6"/>
  <c r="G13" i="6"/>
  <c r="A17" i="6"/>
  <c r="G17" i="6"/>
  <c r="A21" i="6"/>
  <c r="G21" i="6"/>
  <c r="A25" i="6"/>
  <c r="G25" i="6"/>
  <c r="A29" i="6"/>
  <c r="G29" i="6"/>
  <c r="A33" i="6"/>
  <c r="G33" i="6"/>
  <c r="A37" i="6"/>
  <c r="G37" i="6"/>
  <c r="A41" i="6"/>
  <c r="G41" i="6"/>
  <c r="A48" i="6"/>
  <c r="G48" i="6"/>
  <c r="A52" i="6"/>
  <c r="G52" i="6"/>
  <c r="A56" i="6"/>
  <c r="G56" i="6"/>
  <c r="A60" i="6"/>
  <c r="G60" i="6"/>
  <c r="A64" i="6"/>
  <c r="G64" i="6"/>
  <c r="A68" i="6"/>
  <c r="G68" i="6"/>
  <c r="A14" i="6"/>
  <c r="G14" i="6"/>
  <c r="A18" i="6"/>
  <c r="G18" i="6"/>
  <c r="A22" i="6"/>
  <c r="G22" i="6"/>
  <c r="A26" i="6"/>
  <c r="G26" i="6"/>
  <c r="A30" i="6"/>
  <c r="G30" i="6"/>
  <c r="A34" i="6"/>
  <c r="G34" i="6"/>
  <c r="A38" i="6"/>
  <c r="G38" i="6"/>
  <c r="A45" i="6"/>
  <c r="G45" i="6"/>
  <c r="A49" i="6"/>
  <c r="G49" i="6"/>
  <c r="A53" i="6"/>
  <c r="G53" i="6"/>
  <c r="A57" i="6"/>
  <c r="G57" i="6"/>
  <c r="A61" i="6"/>
  <c r="G61" i="6"/>
  <c r="A65" i="6"/>
  <c r="G65" i="6"/>
  <c r="A69" i="6"/>
  <c r="G69" i="6"/>
  <c r="A15" i="6"/>
  <c r="G15" i="6"/>
  <c r="A19" i="6"/>
  <c r="G19" i="6"/>
  <c r="A23" i="6"/>
  <c r="G23" i="6"/>
  <c r="A27" i="6"/>
  <c r="G27" i="6"/>
  <c r="A31" i="6"/>
  <c r="G31" i="6"/>
  <c r="A35" i="6"/>
  <c r="G35" i="6"/>
  <c r="A39" i="6"/>
  <c r="G39" i="6"/>
  <c r="A46" i="6"/>
  <c r="G46" i="6"/>
  <c r="A50" i="6"/>
  <c r="G50" i="6"/>
  <c r="A54" i="6"/>
  <c r="G54" i="6"/>
  <c r="A58" i="6"/>
  <c r="G58" i="6"/>
  <c r="A62" i="6"/>
  <c r="G62" i="6"/>
  <c r="A66" i="6"/>
  <c r="G66" i="6"/>
  <c r="A70" i="6"/>
  <c r="G70" i="6"/>
  <c r="A12" i="6"/>
  <c r="G12" i="6"/>
  <c r="A16" i="6"/>
  <c r="G16" i="6"/>
  <c r="A20" i="6"/>
  <c r="G20" i="6"/>
  <c r="A24" i="6"/>
  <c r="G24" i="6"/>
  <c r="A28" i="6"/>
  <c r="G28" i="6"/>
  <c r="A32" i="6"/>
  <c r="G32" i="6"/>
  <c r="A36" i="6"/>
  <c r="G36" i="6"/>
  <c r="A40" i="6"/>
  <c r="G40" i="6"/>
  <c r="A47" i="6"/>
  <c r="G47" i="6"/>
  <c r="A51" i="6"/>
  <c r="G51" i="6"/>
  <c r="A55" i="6"/>
  <c r="G55" i="6"/>
  <c r="A59" i="6"/>
  <c r="G59" i="6"/>
  <c r="A63" i="6"/>
  <c r="G63" i="6"/>
  <c r="A67" i="6"/>
  <c r="G67" i="6"/>
  <c r="F27" i="1"/>
  <c r="Q9" i="5" a="1"/>
  <c r="Q9" i="5" s="1"/>
  <c r="P9" i="5" s="1"/>
  <c r="Q17" i="5" a="1"/>
  <c r="Q17" i="5" s="1"/>
  <c r="P17" i="5" s="1"/>
  <c r="Q25" i="5" a="1"/>
  <c r="Q25" i="5" s="1"/>
  <c r="P25" i="5" s="1"/>
  <c r="Q33" i="5" a="1"/>
  <c r="Q33" i="5" s="1"/>
  <c r="P33" i="5" s="1"/>
  <c r="Q41" i="5" a="1"/>
  <c r="Q41" i="5" s="1"/>
  <c r="P41" i="5" s="1"/>
  <c r="Q49" i="5" a="1"/>
  <c r="Q49" i="5" s="1"/>
  <c r="P49" i="5" s="1"/>
  <c r="Q57" i="5" a="1"/>
  <c r="Q57" i="5" s="1"/>
  <c r="P57" i="5" s="1"/>
  <c r="Q65" i="5" a="1"/>
  <c r="Q65" i="5" s="1"/>
  <c r="P65" i="5" s="1"/>
  <c r="Q73" i="5" a="1"/>
  <c r="Q73" i="5" s="1"/>
  <c r="P73" i="5" s="1"/>
  <c r="Q81" i="5" a="1"/>
  <c r="Q81" i="5" s="1"/>
  <c r="P81" i="5" s="1"/>
  <c r="Q89" i="5" a="1"/>
  <c r="Q89" i="5" s="1"/>
  <c r="P89" i="5" s="1"/>
  <c r="Q97" i="5" a="1"/>
  <c r="Q97" i="5" s="1"/>
  <c r="P97" i="5" s="1"/>
  <c r="Q105" i="5" a="1"/>
  <c r="Q105" i="5" s="1"/>
  <c r="P105" i="5" s="1"/>
  <c r="Q113" i="5" a="1"/>
  <c r="Q113" i="5" s="1"/>
  <c r="P113" i="5" s="1"/>
  <c r="Q121" i="5" a="1"/>
  <c r="Q121" i="5" s="1"/>
  <c r="P121" i="5" s="1"/>
  <c r="Q129" i="5" a="1"/>
  <c r="Q129" i="5" s="1"/>
  <c r="P129" i="5" s="1"/>
  <c r="Q137" i="5" a="1"/>
  <c r="Q137" i="5" s="1"/>
  <c r="P137" i="5" s="1"/>
  <c r="Q145" i="5" a="1"/>
  <c r="Q145" i="5" s="1"/>
  <c r="P145" i="5" s="1"/>
  <c r="Q153" i="5" a="1"/>
  <c r="Q153" i="5" s="1"/>
  <c r="P153" i="5" s="1"/>
  <c r="Q161" i="5" a="1"/>
  <c r="Q161" i="5" s="1"/>
  <c r="P161" i="5" s="1"/>
  <c r="Q169" i="5" a="1"/>
  <c r="Q169" i="5" s="1"/>
  <c r="P169" i="5" s="1"/>
  <c r="B79" i="6" a="1"/>
  <c r="B79" i="6" s="1"/>
  <c r="B87" i="6" a="1"/>
  <c r="B87" i="6" s="1"/>
  <c r="B95" i="6" a="1"/>
  <c r="B95" i="6" s="1"/>
  <c r="A14" i="8"/>
  <c r="G14" i="8"/>
  <c r="A17" i="8"/>
  <c r="G17" i="8"/>
  <c r="A21" i="8"/>
  <c r="G21" i="8"/>
  <c r="A25" i="8"/>
  <c r="G25" i="8"/>
  <c r="A29" i="8"/>
  <c r="G29" i="8"/>
  <c r="A15" i="9"/>
  <c r="G15" i="9"/>
  <c r="A19" i="9"/>
  <c r="G19" i="9"/>
  <c r="A23" i="9"/>
  <c r="G23" i="9"/>
  <c r="A27" i="9"/>
  <c r="G27" i="9"/>
  <c r="A31" i="9"/>
  <c r="G31" i="9"/>
  <c r="A35" i="9"/>
  <c r="G35" i="9"/>
  <c r="A39" i="9"/>
  <c r="G39" i="9"/>
  <c r="A46" i="9"/>
  <c r="G46" i="9"/>
  <c r="A50" i="9"/>
  <c r="G50" i="9"/>
  <c r="A54" i="9"/>
  <c r="G54" i="9"/>
  <c r="A58" i="9"/>
  <c r="G58" i="9"/>
  <c r="A62" i="9"/>
  <c r="G62" i="9"/>
  <c r="B106" i="22" a="1"/>
  <c r="B106" i="22" s="1"/>
  <c r="B107" i="22" a="1"/>
  <c r="B107" i="22" s="1"/>
  <c r="B105" i="22" a="1"/>
  <c r="B105" i="22" s="1"/>
  <c r="B101" i="22" a="1"/>
  <c r="B101" i="22" s="1"/>
  <c r="B97" i="22" a="1"/>
  <c r="B97" i="22" s="1"/>
  <c r="B93" i="22" a="1"/>
  <c r="B93" i="22" s="1"/>
  <c r="B89" i="22" a="1"/>
  <c r="B89" i="22" s="1"/>
  <c r="B85" i="22" a="1"/>
  <c r="B85" i="22" s="1"/>
  <c r="B81" i="22" a="1"/>
  <c r="B81" i="22" s="1"/>
  <c r="B102" i="22" a="1"/>
  <c r="B102" i="22" s="1"/>
  <c r="B98" i="22" a="1"/>
  <c r="B98" i="22" s="1"/>
  <c r="B94" i="22" a="1"/>
  <c r="B94" i="22" s="1"/>
  <c r="B90" i="22" a="1"/>
  <c r="B90" i="22" s="1"/>
  <c r="B86" i="22" a="1"/>
  <c r="B86" i="22" s="1"/>
  <c r="B82" i="22" a="1"/>
  <c r="B82" i="22" s="1"/>
  <c r="B78" i="22" a="1"/>
  <c r="B78" i="22" s="1"/>
  <c r="B103" i="22" a="1"/>
  <c r="B103" i="22" s="1"/>
  <c r="B99" i="22" a="1"/>
  <c r="B99" i="22" s="1"/>
  <c r="B95" i="22" a="1"/>
  <c r="B95" i="22" s="1"/>
  <c r="B91" i="22" a="1"/>
  <c r="B91" i="22" s="1"/>
  <c r="B87" i="22" a="1"/>
  <c r="B87" i="22" s="1"/>
  <c r="B83" i="22" a="1"/>
  <c r="B83" i="22" s="1"/>
  <c r="B79" i="22" a="1"/>
  <c r="B79" i="22" s="1"/>
  <c r="B104" i="22" a="1"/>
  <c r="B104" i="22" s="1"/>
  <c r="B100" i="22" a="1"/>
  <c r="B100" i="22" s="1"/>
  <c r="B96" i="22" a="1"/>
  <c r="B96" i="22" s="1"/>
  <c r="B92" i="22" a="1"/>
  <c r="B92" i="22" s="1"/>
  <c r="B88" i="22" a="1"/>
  <c r="B88" i="22" s="1"/>
  <c r="B84" i="22" a="1"/>
  <c r="B84" i="22" s="1"/>
  <c r="B80" i="22" a="1"/>
  <c r="B80" i="22" s="1"/>
  <c r="B107" i="21" a="1"/>
  <c r="B107" i="21" s="1"/>
  <c r="B105" i="21" a="1"/>
  <c r="B105" i="21" s="1"/>
  <c r="B103" i="21" a="1"/>
  <c r="B103" i="21" s="1"/>
  <c r="B101" i="21" a="1"/>
  <c r="B101" i="21" s="1"/>
  <c r="B99" i="21" a="1"/>
  <c r="B99" i="21" s="1"/>
  <c r="B97" i="21" a="1"/>
  <c r="B97" i="21" s="1"/>
  <c r="B95" i="21" a="1"/>
  <c r="B95" i="21" s="1"/>
  <c r="B93" i="21" a="1"/>
  <c r="B93" i="21" s="1"/>
  <c r="B91" i="21" a="1"/>
  <c r="B91" i="21" s="1"/>
  <c r="B89" i="21" a="1"/>
  <c r="B89" i="21" s="1"/>
  <c r="B87" i="21" a="1"/>
  <c r="B87" i="21" s="1"/>
  <c r="B85" i="21" a="1"/>
  <c r="B85" i="21" s="1"/>
  <c r="B83" i="21" a="1"/>
  <c r="B83" i="21" s="1"/>
  <c r="B81" i="21" a="1"/>
  <c r="B81" i="21" s="1"/>
  <c r="B79" i="21" a="1"/>
  <c r="B79" i="21" s="1"/>
  <c r="B106" i="21" a="1"/>
  <c r="B106" i="21" s="1"/>
  <c r="B104" i="21" a="1"/>
  <c r="B104" i="21" s="1"/>
  <c r="B102" i="21" a="1"/>
  <c r="B102" i="21" s="1"/>
  <c r="B100" i="21" a="1"/>
  <c r="B100" i="21" s="1"/>
  <c r="B98" i="21" a="1"/>
  <c r="B98" i="21" s="1"/>
  <c r="B96" i="21" a="1"/>
  <c r="B96" i="21" s="1"/>
  <c r="B94" i="21" a="1"/>
  <c r="B94" i="21" s="1"/>
  <c r="B92" i="21" a="1"/>
  <c r="B92" i="21" s="1"/>
  <c r="B90" i="21" a="1"/>
  <c r="B90" i="21" s="1"/>
  <c r="B88" i="21" a="1"/>
  <c r="B88" i="21" s="1"/>
  <c r="B86" i="21" a="1"/>
  <c r="B86" i="21" s="1"/>
  <c r="B84" i="21" a="1"/>
  <c r="B84" i="21" s="1"/>
  <c r="B82" i="21" a="1"/>
  <c r="B82" i="21" s="1"/>
  <c r="B80" i="21" a="1"/>
  <c r="B80" i="21" s="1"/>
  <c r="B78" i="21" a="1"/>
  <c r="B78" i="21" s="1"/>
  <c r="B107" i="20" a="1"/>
  <c r="B107" i="20" s="1"/>
  <c r="B105" i="20" a="1"/>
  <c r="B105" i="20" s="1"/>
  <c r="B103" i="20" a="1"/>
  <c r="B103" i="20" s="1"/>
  <c r="B101" i="20" a="1"/>
  <c r="B101" i="20" s="1"/>
  <c r="B99" i="20" a="1"/>
  <c r="B99" i="20" s="1"/>
  <c r="B97" i="20" a="1"/>
  <c r="B97" i="20" s="1"/>
  <c r="B95" i="20" a="1"/>
  <c r="B95" i="20" s="1"/>
  <c r="B93" i="20" a="1"/>
  <c r="B93" i="20" s="1"/>
  <c r="B91" i="20" a="1"/>
  <c r="B91" i="20" s="1"/>
  <c r="B106" i="20" a="1"/>
  <c r="B106" i="20" s="1"/>
  <c r="B104" i="20" a="1"/>
  <c r="B104" i="20" s="1"/>
  <c r="B102" i="20" a="1"/>
  <c r="B102" i="20" s="1"/>
  <c r="B100" i="20" a="1"/>
  <c r="B100" i="20" s="1"/>
  <c r="B98" i="20" a="1"/>
  <c r="B98" i="20" s="1"/>
  <c r="B96" i="20" a="1"/>
  <c r="B96" i="20" s="1"/>
  <c r="B94" i="20" a="1"/>
  <c r="B94" i="20" s="1"/>
  <c r="B92" i="20" a="1"/>
  <c r="B92" i="20" s="1"/>
  <c r="B90" i="20" a="1"/>
  <c r="B90" i="20" s="1"/>
  <c r="B88" i="20" a="1"/>
  <c r="B88" i="20" s="1"/>
  <c r="B86" i="20" a="1"/>
  <c r="B86" i="20" s="1"/>
  <c r="B87" i="20" a="1"/>
  <c r="B87" i="20" s="1"/>
  <c r="B84" i="20" a="1"/>
  <c r="B84" i="20" s="1"/>
  <c r="B83" i="20" a="1"/>
  <c r="B83" i="20" s="1"/>
  <c r="B106" i="19" a="1"/>
  <c r="B106" i="19" s="1"/>
  <c r="B104" i="19" a="1"/>
  <c r="B104" i="19" s="1"/>
  <c r="B102" i="19" a="1"/>
  <c r="B102" i="19" s="1"/>
  <c r="B100" i="19" a="1"/>
  <c r="B100" i="19" s="1"/>
  <c r="B98" i="19" a="1"/>
  <c r="B98" i="19" s="1"/>
  <c r="B89" i="20" a="1"/>
  <c r="B89" i="20" s="1"/>
  <c r="B82" i="20" a="1"/>
  <c r="B82" i="20" s="1"/>
  <c r="B81" i="20" a="1"/>
  <c r="B81" i="20" s="1"/>
  <c r="B80" i="20" a="1"/>
  <c r="B80" i="20" s="1"/>
  <c r="B79" i="20" a="1"/>
  <c r="B79" i="20" s="1"/>
  <c r="B107" i="19" a="1"/>
  <c r="B107" i="19" s="1"/>
  <c r="B105" i="19" a="1"/>
  <c r="B105" i="19" s="1"/>
  <c r="B103" i="19" a="1"/>
  <c r="B103" i="19" s="1"/>
  <c r="B101" i="19" a="1"/>
  <c r="B101" i="19" s="1"/>
  <c r="B99" i="19" a="1"/>
  <c r="B99" i="19" s="1"/>
  <c r="B97" i="19" a="1"/>
  <c r="B97" i="19" s="1"/>
  <c r="B95" i="19" a="1"/>
  <c r="B95" i="19" s="1"/>
  <c r="B93" i="19" a="1"/>
  <c r="B93" i="19" s="1"/>
  <c r="B91" i="19" a="1"/>
  <c r="B91" i="19" s="1"/>
  <c r="B89" i="19" a="1"/>
  <c r="B89" i="19" s="1"/>
  <c r="B87" i="19" a="1"/>
  <c r="B87" i="19" s="1"/>
  <c r="B85" i="19" a="1"/>
  <c r="B85" i="19" s="1"/>
  <c r="B83" i="19" a="1"/>
  <c r="B83" i="19" s="1"/>
  <c r="B81" i="19" a="1"/>
  <c r="B81" i="19" s="1"/>
  <c r="B79" i="19" a="1"/>
  <c r="B79" i="19" s="1"/>
  <c r="B85" i="20" a="1"/>
  <c r="B85" i="20" s="1"/>
  <c r="B78" i="20" a="1"/>
  <c r="B78" i="20" s="1"/>
  <c r="B92" i="19" a="1"/>
  <c r="B92" i="19" s="1"/>
  <c r="B84" i="19" a="1"/>
  <c r="B84" i="19" s="1"/>
  <c r="B86" i="19" a="1"/>
  <c r="B86" i="19" s="1"/>
  <c r="B80" i="19" a="1"/>
  <c r="B80" i="19" s="1"/>
  <c r="B106" i="17" a="1"/>
  <c r="B106" i="17" s="1"/>
  <c r="B104" i="17" a="1"/>
  <c r="B104" i="17" s="1"/>
  <c r="B102" i="17" a="1"/>
  <c r="B102" i="17" s="1"/>
  <c r="B100" i="17" a="1"/>
  <c r="B100" i="17" s="1"/>
  <c r="B98" i="17" a="1"/>
  <c r="B98" i="17" s="1"/>
  <c r="B96" i="17" a="1"/>
  <c r="B96" i="17" s="1"/>
  <c r="B94" i="17" a="1"/>
  <c r="B94" i="17" s="1"/>
  <c r="B92" i="17" a="1"/>
  <c r="B92" i="17" s="1"/>
  <c r="B90" i="17" a="1"/>
  <c r="B90" i="17" s="1"/>
  <c r="B88" i="17" a="1"/>
  <c r="B88" i="17" s="1"/>
  <c r="B86" i="17" a="1"/>
  <c r="B86" i="17" s="1"/>
  <c r="B84" i="17" a="1"/>
  <c r="B84" i="17" s="1"/>
  <c r="B82" i="17" a="1"/>
  <c r="B82" i="17" s="1"/>
  <c r="B80" i="17" a="1"/>
  <c r="B80" i="17" s="1"/>
  <c r="B78" i="17" a="1"/>
  <c r="B78" i="17" s="1"/>
  <c r="B94" i="19" a="1"/>
  <c r="B94" i="19" s="1"/>
  <c r="B88" i="19" a="1"/>
  <c r="B88" i="19" s="1"/>
  <c r="B82" i="19" a="1"/>
  <c r="B82" i="19" s="1"/>
  <c r="B107" i="18" a="1"/>
  <c r="B107" i="18" s="1"/>
  <c r="B105" i="18" a="1"/>
  <c r="B105" i="18" s="1"/>
  <c r="B103" i="18" a="1"/>
  <c r="B103" i="18" s="1"/>
  <c r="B101" i="18" a="1"/>
  <c r="B101" i="18" s="1"/>
  <c r="B99" i="18" a="1"/>
  <c r="B99" i="18" s="1"/>
  <c r="B97" i="18" a="1"/>
  <c r="B97" i="18" s="1"/>
  <c r="B95" i="18" a="1"/>
  <c r="B95" i="18" s="1"/>
  <c r="B93" i="18" a="1"/>
  <c r="B93" i="18" s="1"/>
  <c r="B91" i="18" a="1"/>
  <c r="B91" i="18" s="1"/>
  <c r="B89" i="18" a="1"/>
  <c r="B89" i="18" s="1"/>
  <c r="B87" i="18" a="1"/>
  <c r="B87" i="18" s="1"/>
  <c r="B85" i="18" a="1"/>
  <c r="B85" i="18" s="1"/>
  <c r="B83" i="18" a="1"/>
  <c r="B83" i="18" s="1"/>
  <c r="B81" i="18" a="1"/>
  <c r="B81" i="18" s="1"/>
  <c r="B79" i="18" a="1"/>
  <c r="B79" i="18" s="1"/>
  <c r="B96" i="19" a="1"/>
  <c r="B96" i="19" s="1"/>
  <c r="B90" i="19" a="1"/>
  <c r="B90" i="19" s="1"/>
  <c r="B107" i="17" a="1"/>
  <c r="B107" i="17" s="1"/>
  <c r="B105" i="17" a="1"/>
  <c r="B105" i="17" s="1"/>
  <c r="B103" i="17" a="1"/>
  <c r="B103" i="17" s="1"/>
  <c r="B101" i="17" a="1"/>
  <c r="B101" i="17" s="1"/>
  <c r="B99" i="17" a="1"/>
  <c r="B99" i="17" s="1"/>
  <c r="B97" i="17" a="1"/>
  <c r="B97" i="17" s="1"/>
  <c r="B95" i="17" a="1"/>
  <c r="B95" i="17" s="1"/>
  <c r="B93" i="17" a="1"/>
  <c r="B93" i="17" s="1"/>
  <c r="B91" i="17" a="1"/>
  <c r="B91" i="17" s="1"/>
  <c r="B89" i="17" a="1"/>
  <c r="B89" i="17" s="1"/>
  <c r="B87" i="17" a="1"/>
  <c r="B87" i="17" s="1"/>
  <c r="B85" i="17" a="1"/>
  <c r="B85" i="17" s="1"/>
  <c r="B83" i="17" a="1"/>
  <c r="B83" i="17" s="1"/>
  <c r="B81" i="17" a="1"/>
  <c r="B81" i="17" s="1"/>
  <c r="B79" i="17" a="1"/>
  <c r="B79" i="17" s="1"/>
  <c r="B78" i="19" a="1"/>
  <c r="B78" i="19" s="1"/>
  <c r="B106" i="18" a="1"/>
  <c r="B106" i="18" s="1"/>
  <c r="B104" i="18" a="1"/>
  <c r="B104" i="18" s="1"/>
  <c r="B102" i="18" a="1"/>
  <c r="B102" i="18" s="1"/>
  <c r="B100" i="18" a="1"/>
  <c r="B100" i="18" s="1"/>
  <c r="B98" i="18" a="1"/>
  <c r="B98" i="18" s="1"/>
  <c r="B96" i="18" a="1"/>
  <c r="B96" i="18" s="1"/>
  <c r="B94" i="18" a="1"/>
  <c r="B94" i="18" s="1"/>
  <c r="B92" i="18" a="1"/>
  <c r="B92" i="18" s="1"/>
  <c r="B90" i="18" a="1"/>
  <c r="B90" i="18" s="1"/>
  <c r="B88" i="18" a="1"/>
  <c r="B88" i="18" s="1"/>
  <c r="B86" i="18" a="1"/>
  <c r="B86" i="18" s="1"/>
  <c r="B84" i="18" a="1"/>
  <c r="B84" i="18" s="1"/>
  <c r="B82" i="18" a="1"/>
  <c r="B82" i="18" s="1"/>
  <c r="B80" i="18" a="1"/>
  <c r="B80" i="18" s="1"/>
  <c r="B78" i="18" a="1"/>
  <c r="B78" i="18" s="1"/>
  <c r="B106" i="16" a="1"/>
  <c r="B106" i="16" s="1"/>
  <c r="B104" i="16" a="1"/>
  <c r="B104" i="16" s="1"/>
  <c r="B102" i="16" a="1"/>
  <c r="B102" i="16" s="1"/>
  <c r="B100" i="16" a="1"/>
  <c r="B100" i="16" s="1"/>
  <c r="B98" i="16" a="1"/>
  <c r="B98" i="16" s="1"/>
  <c r="B96" i="16" a="1"/>
  <c r="B96" i="16" s="1"/>
  <c r="B94" i="16" a="1"/>
  <c r="B94" i="16" s="1"/>
  <c r="B92" i="16" a="1"/>
  <c r="B92" i="16" s="1"/>
  <c r="B90" i="16" a="1"/>
  <c r="B90" i="16" s="1"/>
  <c r="B88" i="16" a="1"/>
  <c r="B88" i="16" s="1"/>
  <c r="B86" i="16" a="1"/>
  <c r="B86" i="16" s="1"/>
  <c r="B84" i="16" a="1"/>
  <c r="B84" i="16" s="1"/>
  <c r="B82" i="16" a="1"/>
  <c r="B82" i="16" s="1"/>
  <c r="B80" i="16" a="1"/>
  <c r="B80" i="16" s="1"/>
  <c r="B78" i="16" a="1"/>
  <c r="B78" i="16" s="1"/>
  <c r="B106" i="15" a="1"/>
  <c r="B106" i="15" s="1"/>
  <c r="B104" i="15" a="1"/>
  <c r="B104" i="15" s="1"/>
  <c r="B102" i="15" a="1"/>
  <c r="B102" i="15" s="1"/>
  <c r="B100" i="15" a="1"/>
  <c r="B100" i="15" s="1"/>
  <c r="B98" i="15" a="1"/>
  <c r="B98" i="15" s="1"/>
  <c r="B96" i="15" a="1"/>
  <c r="B96" i="15" s="1"/>
  <c r="B94" i="15" a="1"/>
  <c r="B94" i="15" s="1"/>
  <c r="B92" i="15" a="1"/>
  <c r="B92" i="15" s="1"/>
  <c r="B90" i="15" a="1"/>
  <c r="B90" i="15" s="1"/>
  <c r="B88" i="15" a="1"/>
  <c r="B88" i="15" s="1"/>
  <c r="B86" i="15" a="1"/>
  <c r="B86" i="15" s="1"/>
  <c r="B84" i="15" a="1"/>
  <c r="B84" i="15" s="1"/>
  <c r="B82" i="15" a="1"/>
  <c r="B82" i="15" s="1"/>
  <c r="B80" i="15" a="1"/>
  <c r="B80" i="15" s="1"/>
  <c r="B78" i="15" a="1"/>
  <c r="B78" i="15" s="1"/>
  <c r="B107" i="16" a="1"/>
  <c r="B107" i="16" s="1"/>
  <c r="B105" i="16" a="1"/>
  <c r="B105" i="16" s="1"/>
  <c r="B103" i="16" a="1"/>
  <c r="B103" i="16" s="1"/>
  <c r="B101" i="16" a="1"/>
  <c r="B101" i="16" s="1"/>
  <c r="B99" i="16" a="1"/>
  <c r="B99" i="16" s="1"/>
  <c r="B97" i="16" a="1"/>
  <c r="B97" i="16" s="1"/>
  <c r="B95" i="16" a="1"/>
  <c r="B95" i="16" s="1"/>
  <c r="B93" i="16" a="1"/>
  <c r="B93" i="16" s="1"/>
  <c r="B91" i="16" a="1"/>
  <c r="B91" i="16" s="1"/>
  <c r="B89" i="16" a="1"/>
  <c r="B89" i="16" s="1"/>
  <c r="B87" i="16" a="1"/>
  <c r="B87" i="16" s="1"/>
  <c r="B85" i="16" a="1"/>
  <c r="B85" i="16" s="1"/>
  <c r="B83" i="16" a="1"/>
  <c r="B83" i="16" s="1"/>
  <c r="B81" i="16" a="1"/>
  <c r="B81" i="16" s="1"/>
  <c r="B79" i="16" a="1"/>
  <c r="B79" i="16" s="1"/>
  <c r="B107" i="15" a="1"/>
  <c r="B107" i="15" s="1"/>
  <c r="B105" i="15" a="1"/>
  <c r="B105" i="15" s="1"/>
  <c r="B103" i="15" a="1"/>
  <c r="B103" i="15" s="1"/>
  <c r="B101" i="15" a="1"/>
  <c r="B101" i="15" s="1"/>
  <c r="B99" i="15" a="1"/>
  <c r="B99" i="15" s="1"/>
  <c r="B97" i="15" a="1"/>
  <c r="B97" i="15" s="1"/>
  <c r="B95" i="15" a="1"/>
  <c r="B95" i="15" s="1"/>
  <c r="B93" i="15" a="1"/>
  <c r="B93" i="15" s="1"/>
  <c r="B91" i="15" a="1"/>
  <c r="B91" i="15" s="1"/>
  <c r="B89" i="15" a="1"/>
  <c r="B89" i="15" s="1"/>
  <c r="B87" i="15" a="1"/>
  <c r="B87" i="15" s="1"/>
  <c r="B85" i="15" a="1"/>
  <c r="B85" i="15" s="1"/>
  <c r="B83" i="15" a="1"/>
  <c r="B83" i="15" s="1"/>
  <c r="B81" i="15" a="1"/>
  <c r="B81" i="15" s="1"/>
  <c r="B79" i="15" a="1"/>
  <c r="B79" i="15" s="1"/>
  <c r="B106" i="13" a="1"/>
  <c r="B106" i="13" s="1"/>
  <c r="B104" i="13" a="1"/>
  <c r="B104" i="13" s="1"/>
  <c r="B102" i="13" a="1"/>
  <c r="B102" i="13" s="1"/>
  <c r="B100" i="13" a="1"/>
  <c r="B100" i="13" s="1"/>
  <c r="B98" i="13" a="1"/>
  <c r="B98" i="13" s="1"/>
  <c r="B96" i="13" a="1"/>
  <c r="B96" i="13" s="1"/>
  <c r="B94" i="13" a="1"/>
  <c r="B94" i="13" s="1"/>
  <c r="B92" i="13" a="1"/>
  <c r="B92" i="13" s="1"/>
  <c r="B90" i="13" a="1"/>
  <c r="B90" i="13" s="1"/>
  <c r="B88" i="13" a="1"/>
  <c r="B88" i="13" s="1"/>
  <c r="B86" i="13" a="1"/>
  <c r="B86" i="13" s="1"/>
  <c r="B84" i="13" a="1"/>
  <c r="B84" i="13" s="1"/>
  <c r="B82" i="13" a="1"/>
  <c r="B82" i="13" s="1"/>
  <c r="B80" i="13" a="1"/>
  <c r="B80" i="13" s="1"/>
  <c r="B78" i="13" a="1"/>
  <c r="B78" i="13" s="1"/>
  <c r="B107" i="14" a="1"/>
  <c r="B107" i="14" s="1"/>
  <c r="B105" i="14" a="1"/>
  <c r="B105" i="14" s="1"/>
  <c r="B103" i="14" a="1"/>
  <c r="B103" i="14" s="1"/>
  <c r="B101" i="14" a="1"/>
  <c r="B101" i="14" s="1"/>
  <c r="B99" i="14" a="1"/>
  <c r="B99" i="14" s="1"/>
  <c r="B97" i="14" a="1"/>
  <c r="B97" i="14" s="1"/>
  <c r="B95" i="14" a="1"/>
  <c r="B95" i="14" s="1"/>
  <c r="B93" i="14" a="1"/>
  <c r="B93" i="14" s="1"/>
  <c r="B91" i="14" a="1"/>
  <c r="B91" i="14" s="1"/>
  <c r="B89" i="14" a="1"/>
  <c r="B89" i="14" s="1"/>
  <c r="B87" i="14" a="1"/>
  <c r="B87" i="14" s="1"/>
  <c r="B85" i="14" a="1"/>
  <c r="B85" i="14" s="1"/>
  <c r="B83" i="14" a="1"/>
  <c r="B83" i="14" s="1"/>
  <c r="B81" i="14" a="1"/>
  <c r="B81" i="14" s="1"/>
  <c r="B79" i="14" a="1"/>
  <c r="B79" i="14" s="1"/>
  <c r="B107" i="13" a="1"/>
  <c r="B107" i="13" s="1"/>
  <c r="B105" i="13" a="1"/>
  <c r="B105" i="13" s="1"/>
  <c r="B103" i="13" a="1"/>
  <c r="B103" i="13" s="1"/>
  <c r="B101" i="13" a="1"/>
  <c r="B101" i="13" s="1"/>
  <c r="B99" i="13" a="1"/>
  <c r="B99" i="13" s="1"/>
  <c r="B97" i="13" a="1"/>
  <c r="B97" i="13" s="1"/>
  <c r="B95" i="13" a="1"/>
  <c r="B95" i="13" s="1"/>
  <c r="B93" i="13" a="1"/>
  <c r="B93" i="13" s="1"/>
  <c r="B91" i="13" a="1"/>
  <c r="B91" i="13" s="1"/>
  <c r="B89" i="13" a="1"/>
  <c r="B89" i="13" s="1"/>
  <c r="B87" i="13" a="1"/>
  <c r="B87" i="13" s="1"/>
  <c r="B85" i="13" a="1"/>
  <c r="B85" i="13" s="1"/>
  <c r="B83" i="13" a="1"/>
  <c r="B83" i="13" s="1"/>
  <c r="B81" i="13" a="1"/>
  <c r="B81" i="13" s="1"/>
  <c r="B79" i="13" a="1"/>
  <c r="B79" i="13" s="1"/>
  <c r="B106" i="14" a="1"/>
  <c r="B106" i="14" s="1"/>
  <c r="B104" i="14" a="1"/>
  <c r="B104" i="14" s="1"/>
  <c r="B102" i="14" a="1"/>
  <c r="B102" i="14" s="1"/>
  <c r="B100" i="14" a="1"/>
  <c r="B100" i="14" s="1"/>
  <c r="B98" i="14" a="1"/>
  <c r="B98" i="14" s="1"/>
  <c r="B96" i="14" a="1"/>
  <c r="B96" i="14" s="1"/>
  <c r="B94" i="14" a="1"/>
  <c r="B94" i="14" s="1"/>
  <c r="B92" i="14" a="1"/>
  <c r="B92" i="14" s="1"/>
  <c r="B90" i="14" a="1"/>
  <c r="B90" i="14" s="1"/>
  <c r="B88" i="14" a="1"/>
  <c r="B88" i="14" s="1"/>
  <c r="B86" i="14" a="1"/>
  <c r="B86" i="14" s="1"/>
  <c r="B84" i="14" a="1"/>
  <c r="B84" i="14" s="1"/>
  <c r="B82" i="14" a="1"/>
  <c r="B82" i="14" s="1"/>
  <c r="B80" i="14" a="1"/>
  <c r="B80" i="14" s="1"/>
  <c r="B78" i="14" a="1"/>
  <c r="B78" i="14" s="1"/>
  <c r="B106" i="11" a="1"/>
  <c r="B106" i="11" s="1"/>
  <c r="B104" i="11" a="1"/>
  <c r="B104" i="11" s="1"/>
  <c r="B102" i="11" a="1"/>
  <c r="B102" i="11" s="1"/>
  <c r="B100" i="11" a="1"/>
  <c r="B100" i="11" s="1"/>
  <c r="B98" i="11" a="1"/>
  <c r="B98" i="11" s="1"/>
  <c r="B96" i="11" a="1"/>
  <c r="B96" i="11" s="1"/>
  <c r="B94" i="11" a="1"/>
  <c r="B94" i="11" s="1"/>
  <c r="B92" i="11" a="1"/>
  <c r="B92" i="11" s="1"/>
  <c r="B90" i="11" a="1"/>
  <c r="B90" i="11" s="1"/>
  <c r="B88" i="11" a="1"/>
  <c r="B88" i="11" s="1"/>
  <c r="B86" i="11" a="1"/>
  <c r="B86" i="11" s="1"/>
  <c r="B84" i="11" a="1"/>
  <c r="B84" i="11" s="1"/>
  <c r="B82" i="11" a="1"/>
  <c r="B82" i="11" s="1"/>
  <c r="B80" i="11" a="1"/>
  <c r="B80" i="11" s="1"/>
  <c r="B78" i="11" a="1"/>
  <c r="B78" i="11" s="1"/>
  <c r="B107" i="12" a="1"/>
  <c r="B107" i="12" s="1"/>
  <c r="B105" i="12" a="1"/>
  <c r="B105" i="12" s="1"/>
  <c r="B103" i="12" a="1"/>
  <c r="B103" i="12" s="1"/>
  <c r="B101" i="12" a="1"/>
  <c r="B101" i="12" s="1"/>
  <c r="B99" i="12" a="1"/>
  <c r="B99" i="12" s="1"/>
  <c r="B97" i="12" a="1"/>
  <c r="B97" i="12" s="1"/>
  <c r="B95" i="12" a="1"/>
  <c r="B95" i="12" s="1"/>
  <c r="B93" i="12" a="1"/>
  <c r="B93" i="12" s="1"/>
  <c r="B91" i="12" a="1"/>
  <c r="B91" i="12" s="1"/>
  <c r="B89" i="12" a="1"/>
  <c r="B89" i="12" s="1"/>
  <c r="B87" i="12" a="1"/>
  <c r="B87" i="12" s="1"/>
  <c r="B85" i="12" a="1"/>
  <c r="B85" i="12" s="1"/>
  <c r="B83" i="12" a="1"/>
  <c r="B83" i="12" s="1"/>
  <c r="B81" i="12" a="1"/>
  <c r="B81" i="12" s="1"/>
  <c r="B79" i="12" a="1"/>
  <c r="B79" i="12" s="1"/>
  <c r="B106" i="10" a="1"/>
  <c r="B106" i="10" s="1"/>
  <c r="B104" i="10" a="1"/>
  <c r="B104" i="10" s="1"/>
  <c r="B102" i="10" a="1"/>
  <c r="B102" i="10" s="1"/>
  <c r="B100" i="10" a="1"/>
  <c r="B100" i="10" s="1"/>
  <c r="B98" i="10" a="1"/>
  <c r="B98" i="10" s="1"/>
  <c r="B96" i="10" a="1"/>
  <c r="B96" i="10" s="1"/>
  <c r="B94" i="10" a="1"/>
  <c r="B94" i="10" s="1"/>
  <c r="B92" i="10" a="1"/>
  <c r="B92" i="10" s="1"/>
  <c r="B90" i="10" a="1"/>
  <c r="B90" i="10" s="1"/>
  <c r="B88" i="10" a="1"/>
  <c r="B88" i="10" s="1"/>
  <c r="B86" i="10" a="1"/>
  <c r="B86" i="10" s="1"/>
  <c r="B84" i="10" a="1"/>
  <c r="B84" i="10" s="1"/>
  <c r="B82" i="10" a="1"/>
  <c r="B82" i="10" s="1"/>
  <c r="B80" i="10" a="1"/>
  <c r="B80" i="10" s="1"/>
  <c r="B78" i="10" a="1"/>
  <c r="B78" i="10" s="1"/>
  <c r="B107" i="11" a="1"/>
  <c r="B107" i="11" s="1"/>
  <c r="B105" i="11" a="1"/>
  <c r="B105" i="11" s="1"/>
  <c r="B103" i="11" a="1"/>
  <c r="B103" i="11" s="1"/>
  <c r="B101" i="11" a="1"/>
  <c r="B101" i="11" s="1"/>
  <c r="B99" i="11" a="1"/>
  <c r="B99" i="11" s="1"/>
  <c r="B97" i="11" a="1"/>
  <c r="B97" i="11" s="1"/>
  <c r="B95" i="11" a="1"/>
  <c r="B95" i="11" s="1"/>
  <c r="B93" i="11" a="1"/>
  <c r="B93" i="11" s="1"/>
  <c r="B91" i="11" a="1"/>
  <c r="B91" i="11" s="1"/>
  <c r="B89" i="11" a="1"/>
  <c r="B89" i="11" s="1"/>
  <c r="B87" i="11" a="1"/>
  <c r="B87" i="11" s="1"/>
  <c r="B85" i="11" a="1"/>
  <c r="B85" i="11" s="1"/>
  <c r="B83" i="11" a="1"/>
  <c r="B83" i="11" s="1"/>
  <c r="B81" i="11" a="1"/>
  <c r="B81" i="11" s="1"/>
  <c r="B79" i="11" a="1"/>
  <c r="B79" i="11" s="1"/>
  <c r="B106" i="9" a="1"/>
  <c r="B106" i="9" s="1"/>
  <c r="B104" i="9" a="1"/>
  <c r="B104" i="9" s="1"/>
  <c r="B102" i="9" a="1"/>
  <c r="B102" i="9" s="1"/>
  <c r="B100" i="9" a="1"/>
  <c r="B100" i="9" s="1"/>
  <c r="B98" i="9" a="1"/>
  <c r="B98" i="9" s="1"/>
  <c r="B96" i="9" a="1"/>
  <c r="B96" i="9" s="1"/>
  <c r="B94" i="9" a="1"/>
  <c r="B94" i="9" s="1"/>
  <c r="B92" i="9" a="1"/>
  <c r="B92" i="9" s="1"/>
  <c r="B90" i="9" a="1"/>
  <c r="B90" i="9" s="1"/>
  <c r="B88" i="9" a="1"/>
  <c r="B88" i="9" s="1"/>
  <c r="B86" i="9" a="1"/>
  <c r="B86" i="9" s="1"/>
  <c r="B84" i="9" a="1"/>
  <c r="B84" i="9" s="1"/>
  <c r="B82" i="9" a="1"/>
  <c r="B82" i="9" s="1"/>
  <c r="B80" i="9" a="1"/>
  <c r="B80" i="9" s="1"/>
  <c r="B78" i="9" a="1"/>
  <c r="B78" i="9" s="1"/>
  <c r="B106" i="12" a="1"/>
  <c r="B106" i="12" s="1"/>
  <c r="B104" i="12" a="1"/>
  <c r="B104" i="12" s="1"/>
  <c r="B102" i="12" a="1"/>
  <c r="B102" i="12" s="1"/>
  <c r="B100" i="12" a="1"/>
  <c r="B100" i="12" s="1"/>
  <c r="B98" i="12" a="1"/>
  <c r="B98" i="12" s="1"/>
  <c r="B96" i="12" a="1"/>
  <c r="B96" i="12" s="1"/>
  <c r="B94" i="12" a="1"/>
  <c r="B94" i="12" s="1"/>
  <c r="B92" i="12" a="1"/>
  <c r="B92" i="12" s="1"/>
  <c r="B90" i="12" a="1"/>
  <c r="B90" i="12" s="1"/>
  <c r="B88" i="12" a="1"/>
  <c r="B88" i="12" s="1"/>
  <c r="B86" i="12" a="1"/>
  <c r="B86" i="12" s="1"/>
  <c r="B84" i="12" a="1"/>
  <c r="B84" i="12" s="1"/>
  <c r="B82" i="12" a="1"/>
  <c r="B82" i="12" s="1"/>
  <c r="B80" i="12" a="1"/>
  <c r="B80" i="12" s="1"/>
  <c r="B78" i="12" a="1"/>
  <c r="B78" i="12" s="1"/>
  <c r="B107" i="10" a="1"/>
  <c r="B107" i="10" s="1"/>
  <c r="B105" i="10" a="1"/>
  <c r="B105" i="10" s="1"/>
  <c r="B103" i="10" a="1"/>
  <c r="B103" i="10" s="1"/>
  <c r="B101" i="10" a="1"/>
  <c r="B101" i="10" s="1"/>
  <c r="B99" i="10" a="1"/>
  <c r="B99" i="10" s="1"/>
  <c r="B97" i="10" a="1"/>
  <c r="B97" i="10" s="1"/>
  <c r="B95" i="10" a="1"/>
  <c r="B95" i="10" s="1"/>
  <c r="B93" i="10" a="1"/>
  <c r="B93" i="10" s="1"/>
  <c r="B91" i="10" a="1"/>
  <c r="B91" i="10" s="1"/>
  <c r="B89" i="10" a="1"/>
  <c r="B89" i="10" s="1"/>
  <c r="B87" i="10" a="1"/>
  <c r="B87" i="10" s="1"/>
  <c r="B85" i="10" a="1"/>
  <c r="B85" i="10" s="1"/>
  <c r="B83" i="10" a="1"/>
  <c r="B83" i="10" s="1"/>
  <c r="B81" i="10" a="1"/>
  <c r="B81" i="10" s="1"/>
  <c r="B79" i="10" a="1"/>
  <c r="B79" i="10" s="1"/>
  <c r="B107" i="9" a="1"/>
  <c r="B107" i="9" s="1"/>
  <c r="B99" i="9" a="1"/>
  <c r="B99" i="9" s="1"/>
  <c r="B91" i="9" a="1"/>
  <c r="B91" i="9" s="1"/>
  <c r="B83" i="9" a="1"/>
  <c r="B83" i="9" s="1"/>
  <c r="B106" i="7" a="1"/>
  <c r="B106" i="7" s="1"/>
  <c r="B104" i="7" a="1"/>
  <c r="B104" i="7" s="1"/>
  <c r="B102" i="7" a="1"/>
  <c r="B102" i="7" s="1"/>
  <c r="B100" i="7" a="1"/>
  <c r="B100" i="7" s="1"/>
  <c r="B98" i="7" a="1"/>
  <c r="B98" i="7" s="1"/>
  <c r="B96" i="7" a="1"/>
  <c r="B96" i="7" s="1"/>
  <c r="B94" i="7" a="1"/>
  <c r="B94" i="7" s="1"/>
  <c r="B92" i="7" a="1"/>
  <c r="B92" i="7" s="1"/>
  <c r="B90" i="7" a="1"/>
  <c r="B90" i="7" s="1"/>
  <c r="B88" i="7" a="1"/>
  <c r="B88" i="7" s="1"/>
  <c r="B86" i="7" a="1"/>
  <c r="B86" i="7" s="1"/>
  <c r="B84" i="7" a="1"/>
  <c r="B84" i="7" s="1"/>
  <c r="B82" i="7" a="1"/>
  <c r="B82" i="7" s="1"/>
  <c r="B80" i="7" a="1"/>
  <c r="B80" i="7" s="1"/>
  <c r="B78" i="7" a="1"/>
  <c r="B78" i="7" s="1"/>
  <c r="B105" i="9" a="1"/>
  <c r="B105" i="9" s="1"/>
  <c r="B97" i="9" a="1"/>
  <c r="B97" i="9" s="1"/>
  <c r="B89" i="9" a="1"/>
  <c r="B89" i="9" s="1"/>
  <c r="B81" i="9" a="1"/>
  <c r="B81" i="9" s="1"/>
  <c r="B107" i="8" a="1"/>
  <c r="B107" i="8" s="1"/>
  <c r="B105" i="8" a="1"/>
  <c r="B105" i="8" s="1"/>
  <c r="B103" i="8" a="1"/>
  <c r="B103" i="8" s="1"/>
  <c r="B101" i="8" a="1"/>
  <c r="B101" i="8" s="1"/>
  <c r="B99" i="8" a="1"/>
  <c r="B99" i="8" s="1"/>
  <c r="B97" i="8" a="1"/>
  <c r="B97" i="8" s="1"/>
  <c r="B95" i="8" a="1"/>
  <c r="B95" i="8" s="1"/>
  <c r="B93" i="8" a="1"/>
  <c r="B93" i="8" s="1"/>
  <c r="B91" i="8" a="1"/>
  <c r="B91" i="8" s="1"/>
  <c r="B89" i="8" a="1"/>
  <c r="B89" i="8" s="1"/>
  <c r="B87" i="8" a="1"/>
  <c r="B87" i="8" s="1"/>
  <c r="B85" i="8" a="1"/>
  <c r="B85" i="8" s="1"/>
  <c r="B83" i="8" a="1"/>
  <c r="B83" i="8" s="1"/>
  <c r="B81" i="8" a="1"/>
  <c r="B81" i="8" s="1"/>
  <c r="B79" i="8" a="1"/>
  <c r="B79" i="8" s="1"/>
  <c r="B106" i="6" a="1"/>
  <c r="B106" i="6" s="1"/>
  <c r="B104" i="6" a="1"/>
  <c r="B104" i="6" s="1"/>
  <c r="B102" i="6" a="1"/>
  <c r="B102" i="6" s="1"/>
  <c r="B100" i="6" a="1"/>
  <c r="B100" i="6" s="1"/>
  <c r="B98" i="6" a="1"/>
  <c r="B98" i="6" s="1"/>
  <c r="B96" i="6" a="1"/>
  <c r="B96" i="6" s="1"/>
  <c r="B94" i="6" a="1"/>
  <c r="B94" i="6" s="1"/>
  <c r="B92" i="6" a="1"/>
  <c r="B92" i="6" s="1"/>
  <c r="B90" i="6" a="1"/>
  <c r="B90" i="6" s="1"/>
  <c r="B88" i="6" a="1"/>
  <c r="B88" i="6" s="1"/>
  <c r="B86" i="6" a="1"/>
  <c r="B86" i="6" s="1"/>
  <c r="B84" i="6" a="1"/>
  <c r="B84" i="6" s="1"/>
  <c r="B82" i="6" a="1"/>
  <c r="B82" i="6" s="1"/>
  <c r="B80" i="6" a="1"/>
  <c r="B80" i="6" s="1"/>
  <c r="B78" i="6" a="1"/>
  <c r="B78" i="6" s="1"/>
  <c r="B103" i="9" a="1"/>
  <c r="B103" i="9" s="1"/>
  <c r="B95" i="9" a="1"/>
  <c r="B95" i="9" s="1"/>
  <c r="B87" i="9" a="1"/>
  <c r="B87" i="9" s="1"/>
  <c r="B79" i="9" a="1"/>
  <c r="B79" i="9" s="1"/>
  <c r="B107" i="7" a="1"/>
  <c r="B107" i="7" s="1"/>
  <c r="B105" i="7" a="1"/>
  <c r="B105" i="7" s="1"/>
  <c r="B103" i="7" a="1"/>
  <c r="B103" i="7" s="1"/>
  <c r="B101" i="7" a="1"/>
  <c r="B101" i="7" s="1"/>
  <c r="B99" i="7" a="1"/>
  <c r="B99" i="7" s="1"/>
  <c r="B97" i="7" a="1"/>
  <c r="B97" i="7" s="1"/>
  <c r="B95" i="7" a="1"/>
  <c r="B95" i="7" s="1"/>
  <c r="B93" i="7" a="1"/>
  <c r="B93" i="7" s="1"/>
  <c r="B91" i="7" a="1"/>
  <c r="B91" i="7" s="1"/>
  <c r="B89" i="7" a="1"/>
  <c r="B89" i="7" s="1"/>
  <c r="B87" i="7" a="1"/>
  <c r="B87" i="7" s="1"/>
  <c r="B85" i="7" a="1"/>
  <c r="B85" i="7" s="1"/>
  <c r="B83" i="7" a="1"/>
  <c r="B83" i="7" s="1"/>
  <c r="B81" i="7" a="1"/>
  <c r="B81" i="7" s="1"/>
  <c r="B79" i="7" a="1"/>
  <c r="B79" i="7" s="1"/>
  <c r="B101" i="9" a="1"/>
  <c r="B101" i="9" s="1"/>
  <c r="B93" i="9" a="1"/>
  <c r="B93" i="9" s="1"/>
  <c r="B85" i="9" a="1"/>
  <c r="B85" i="9" s="1"/>
  <c r="B106" i="8" a="1"/>
  <c r="B106" i="8" s="1"/>
  <c r="B104" i="8" a="1"/>
  <c r="B104" i="8" s="1"/>
  <c r="B102" i="8" a="1"/>
  <c r="B102" i="8" s="1"/>
  <c r="B100" i="8" a="1"/>
  <c r="B100" i="8" s="1"/>
  <c r="B98" i="8" a="1"/>
  <c r="B98" i="8" s="1"/>
  <c r="B96" i="8" a="1"/>
  <c r="B96" i="8" s="1"/>
  <c r="B94" i="8" a="1"/>
  <c r="B94" i="8" s="1"/>
  <c r="B92" i="8" a="1"/>
  <c r="B92" i="8" s="1"/>
  <c r="B90" i="8" a="1"/>
  <c r="B90" i="8" s="1"/>
  <c r="B88" i="8" a="1"/>
  <c r="B88" i="8" s="1"/>
  <c r="B86" i="8" a="1"/>
  <c r="B86" i="8" s="1"/>
  <c r="B84" i="8" a="1"/>
  <c r="B84" i="8" s="1"/>
  <c r="B82" i="8" a="1"/>
  <c r="B82" i="8" s="1"/>
  <c r="B80" i="8" a="1"/>
  <c r="B80" i="8" s="1"/>
  <c r="B78" i="8" a="1"/>
  <c r="B78" i="8" s="1"/>
  <c r="Q5" i="5" a="1"/>
  <c r="Q5" i="5" s="1"/>
  <c r="P5" i="5" s="1"/>
  <c r="Q13" i="5" a="1"/>
  <c r="Q13" i="5" s="1"/>
  <c r="P13" i="5" s="1"/>
  <c r="Q21" i="5" a="1"/>
  <c r="Q21" i="5" s="1"/>
  <c r="P21" i="5" s="1"/>
  <c r="Q29" i="5" a="1"/>
  <c r="Q29" i="5" s="1"/>
  <c r="P29" i="5" s="1"/>
  <c r="Q37" i="5" a="1"/>
  <c r="Q37" i="5" s="1"/>
  <c r="P37" i="5" s="1"/>
  <c r="Q45" i="5" a="1"/>
  <c r="Q45" i="5" s="1"/>
  <c r="P45" i="5" s="1"/>
  <c r="Q53" i="5" a="1"/>
  <c r="Q53" i="5" s="1"/>
  <c r="P53" i="5" s="1"/>
  <c r="Q61" i="5" a="1"/>
  <c r="Q61" i="5" s="1"/>
  <c r="P61" i="5" s="1"/>
  <c r="Q69" i="5" a="1"/>
  <c r="Q69" i="5" s="1"/>
  <c r="P69" i="5" s="1"/>
  <c r="Q77" i="5" a="1"/>
  <c r="Q77" i="5" s="1"/>
  <c r="P77" i="5" s="1"/>
  <c r="Q85" i="5" a="1"/>
  <c r="Q85" i="5" s="1"/>
  <c r="P85" i="5" s="1"/>
  <c r="Q93" i="5" a="1"/>
  <c r="Q93" i="5" s="1"/>
  <c r="P93" i="5" s="1"/>
  <c r="Q101" i="5" a="1"/>
  <c r="Q101" i="5" s="1"/>
  <c r="P101" i="5" s="1"/>
  <c r="Q109" i="5" a="1"/>
  <c r="Q109" i="5" s="1"/>
  <c r="P109" i="5" s="1"/>
  <c r="Q117" i="5" a="1"/>
  <c r="Q117" i="5" s="1"/>
  <c r="P117" i="5" s="1"/>
  <c r="Q125" i="5" a="1"/>
  <c r="Q125" i="5" s="1"/>
  <c r="P125" i="5" s="1"/>
  <c r="Q133" i="5" a="1"/>
  <c r="Q133" i="5" s="1"/>
  <c r="P133" i="5" s="1"/>
  <c r="Q141" i="5" a="1"/>
  <c r="Q141" i="5" s="1"/>
  <c r="P141" i="5" s="1"/>
  <c r="Q149" i="5" a="1"/>
  <c r="Q149" i="5" s="1"/>
  <c r="P149" i="5" s="1"/>
  <c r="Q157" i="5" a="1"/>
  <c r="Q157" i="5" s="1"/>
  <c r="P157" i="5" s="1"/>
  <c r="Q165" i="5" a="1"/>
  <c r="Q165" i="5" s="1"/>
  <c r="P165" i="5" s="1"/>
  <c r="Q173" i="5" a="1"/>
  <c r="Q173" i="5" s="1"/>
  <c r="P173" i="5" s="1"/>
  <c r="B11" i="4" a="1"/>
  <c r="B11" i="4" s="1"/>
  <c r="B13" i="4" a="1"/>
  <c r="B13" i="4" s="1"/>
  <c r="B15" i="4" a="1"/>
  <c r="B15" i="4" s="1"/>
  <c r="B17" i="4" a="1"/>
  <c r="B17" i="4" s="1"/>
  <c r="B19" i="4" a="1"/>
  <c r="B19" i="4" s="1"/>
  <c r="B21" i="4" a="1"/>
  <c r="B21" i="4" s="1"/>
  <c r="B23" i="4" a="1"/>
  <c r="B23" i="4" s="1"/>
  <c r="B25" i="4" a="1"/>
  <c r="B25" i="4" s="1"/>
  <c r="B27" i="4" a="1"/>
  <c r="B27" i="4" s="1"/>
  <c r="B29" i="4" a="1"/>
  <c r="B29" i="4" s="1"/>
  <c r="B31" i="4" a="1"/>
  <c r="B31" i="4" s="1"/>
  <c r="B33" i="4" a="1"/>
  <c r="B33" i="4" s="1"/>
  <c r="B35" i="4" a="1"/>
  <c r="B35" i="4" s="1"/>
  <c r="B37" i="4" a="1"/>
  <c r="B37" i="4" s="1"/>
  <c r="B39" i="4" a="1"/>
  <c r="B39" i="4" s="1"/>
  <c r="B41" i="4" a="1"/>
  <c r="B41" i="4" s="1"/>
  <c r="B43" i="4" a="1"/>
  <c r="B43" i="4" s="1"/>
  <c r="B45" i="4" a="1"/>
  <c r="B45" i="4" s="1"/>
  <c r="B47" i="4" a="1"/>
  <c r="B47" i="4" s="1"/>
  <c r="B49" i="4" a="1"/>
  <c r="B49" i="4" s="1"/>
  <c r="B51" i="4" a="1"/>
  <c r="B51" i="4" s="1"/>
  <c r="B53" i="4" a="1"/>
  <c r="B53" i="4" s="1"/>
  <c r="B55" i="4" a="1"/>
  <c r="B55" i="4" s="1"/>
  <c r="B57" i="4" a="1"/>
  <c r="B57" i="4" s="1"/>
  <c r="B59" i="4" a="1"/>
  <c r="B59" i="4" s="1"/>
  <c r="Q4" i="5" a="1"/>
  <c r="Q4" i="5" s="1"/>
  <c r="P4" i="5" s="1"/>
  <c r="Q8" i="5" a="1"/>
  <c r="Q8" i="5" s="1"/>
  <c r="P8" i="5" s="1"/>
  <c r="Q12" i="5" a="1"/>
  <c r="Q12" i="5" s="1"/>
  <c r="P12" i="5" s="1"/>
  <c r="Q16" i="5" a="1"/>
  <c r="Q16" i="5" s="1"/>
  <c r="P16" i="5" s="1"/>
  <c r="Q20" i="5" a="1"/>
  <c r="Q20" i="5" s="1"/>
  <c r="P20" i="5" s="1"/>
  <c r="Q24" i="5" a="1"/>
  <c r="Q24" i="5" s="1"/>
  <c r="P24" i="5" s="1"/>
  <c r="Q28" i="5" a="1"/>
  <c r="Q28" i="5" s="1"/>
  <c r="P28" i="5" s="1"/>
  <c r="Q32" i="5" a="1"/>
  <c r="Q32" i="5" s="1"/>
  <c r="P32" i="5" s="1"/>
  <c r="Q36" i="5" a="1"/>
  <c r="Q36" i="5" s="1"/>
  <c r="P36" i="5" s="1"/>
  <c r="Q40" i="5" a="1"/>
  <c r="Q40" i="5" s="1"/>
  <c r="P40" i="5" s="1"/>
  <c r="Q44" i="5" a="1"/>
  <c r="Q44" i="5" s="1"/>
  <c r="P44" i="5" s="1"/>
  <c r="Q48" i="5" a="1"/>
  <c r="Q48" i="5" s="1"/>
  <c r="P48" i="5" s="1"/>
  <c r="Q52" i="5" a="1"/>
  <c r="Q52" i="5" s="1"/>
  <c r="P52" i="5" s="1"/>
  <c r="Q56" i="5" a="1"/>
  <c r="Q56" i="5" s="1"/>
  <c r="P56" i="5" s="1"/>
  <c r="Q60" i="5" a="1"/>
  <c r="Q60" i="5" s="1"/>
  <c r="P60" i="5" s="1"/>
  <c r="Q64" i="5" a="1"/>
  <c r="Q64" i="5" s="1"/>
  <c r="P64" i="5" s="1"/>
  <c r="Q68" i="5" a="1"/>
  <c r="Q68" i="5" s="1"/>
  <c r="P68" i="5" s="1"/>
  <c r="Q72" i="5" a="1"/>
  <c r="Q72" i="5" s="1"/>
  <c r="P72" i="5" s="1"/>
  <c r="Q76" i="5" a="1"/>
  <c r="Q76" i="5" s="1"/>
  <c r="P76" i="5" s="1"/>
  <c r="Q80" i="5" a="1"/>
  <c r="Q80" i="5" s="1"/>
  <c r="P80" i="5" s="1"/>
  <c r="Q84" i="5" a="1"/>
  <c r="Q84" i="5" s="1"/>
  <c r="P84" i="5" s="1"/>
  <c r="Q88" i="5" a="1"/>
  <c r="Q88" i="5" s="1"/>
  <c r="P88" i="5" s="1"/>
  <c r="Q92" i="5" a="1"/>
  <c r="Q92" i="5" s="1"/>
  <c r="P92" i="5" s="1"/>
  <c r="Q96" i="5" a="1"/>
  <c r="Q96" i="5" s="1"/>
  <c r="P96" i="5" s="1"/>
  <c r="Q100" i="5" a="1"/>
  <c r="Q100" i="5" s="1"/>
  <c r="P100" i="5" s="1"/>
  <c r="Q104" i="5" a="1"/>
  <c r="Q104" i="5" s="1"/>
  <c r="P104" i="5" s="1"/>
  <c r="Q108" i="5" a="1"/>
  <c r="Q108" i="5" s="1"/>
  <c r="P108" i="5" s="1"/>
  <c r="Q112" i="5" a="1"/>
  <c r="Q112" i="5" s="1"/>
  <c r="P112" i="5" s="1"/>
  <c r="Q116" i="5" a="1"/>
  <c r="Q116" i="5" s="1"/>
  <c r="P116" i="5" s="1"/>
  <c r="Q120" i="5" a="1"/>
  <c r="Q120" i="5" s="1"/>
  <c r="P120" i="5" s="1"/>
  <c r="Q124" i="5" a="1"/>
  <c r="Q124" i="5" s="1"/>
  <c r="P124" i="5" s="1"/>
  <c r="Q128" i="5" a="1"/>
  <c r="Q128" i="5" s="1"/>
  <c r="P128" i="5" s="1"/>
  <c r="Q132" i="5" a="1"/>
  <c r="Q132" i="5" s="1"/>
  <c r="P132" i="5" s="1"/>
  <c r="Q136" i="5" a="1"/>
  <c r="Q136" i="5" s="1"/>
  <c r="P136" i="5" s="1"/>
  <c r="Q140" i="5" a="1"/>
  <c r="Q140" i="5" s="1"/>
  <c r="P140" i="5" s="1"/>
  <c r="Q144" i="5" a="1"/>
  <c r="Q144" i="5" s="1"/>
  <c r="P144" i="5" s="1"/>
  <c r="Q148" i="5" a="1"/>
  <c r="Q148" i="5" s="1"/>
  <c r="P148" i="5" s="1"/>
  <c r="Q152" i="5" a="1"/>
  <c r="Q152" i="5" s="1"/>
  <c r="P152" i="5" s="1"/>
  <c r="Q156" i="5" a="1"/>
  <c r="Q156" i="5" s="1"/>
  <c r="P156" i="5" s="1"/>
  <c r="Q160" i="5" a="1"/>
  <c r="Q160" i="5" s="1"/>
  <c r="P160" i="5" s="1"/>
  <c r="Q164" i="5" a="1"/>
  <c r="Q164" i="5" s="1"/>
  <c r="P164" i="5" s="1"/>
  <c r="Q168" i="5" a="1"/>
  <c r="Q168" i="5" s="1"/>
  <c r="P168" i="5" s="1"/>
  <c r="Q172" i="5" a="1"/>
  <c r="Q172" i="5" s="1"/>
  <c r="P172" i="5" s="1"/>
  <c r="B81" i="6" a="1"/>
  <c r="B81" i="6" s="1"/>
  <c r="B89" i="6" a="1"/>
  <c r="B89" i="6" s="1"/>
  <c r="B97" i="6" a="1"/>
  <c r="B97" i="6" s="1"/>
  <c r="B105" i="6" a="1"/>
  <c r="B105" i="6" s="1"/>
  <c r="A15" i="7"/>
  <c r="A19" i="7"/>
  <c r="A23" i="7"/>
  <c r="A27" i="7"/>
  <c r="A31" i="7"/>
  <c r="A35" i="7"/>
  <c r="A39" i="7"/>
  <c r="A46" i="7"/>
  <c r="A50" i="7"/>
  <c r="A54" i="7"/>
  <c r="A16" i="8"/>
  <c r="G16" i="8"/>
  <c r="A20" i="8"/>
  <c r="G20" i="8"/>
  <c r="A24" i="8"/>
  <c r="G24" i="8"/>
  <c r="A28" i="8"/>
  <c r="G28" i="8"/>
  <c r="A12" i="9"/>
  <c r="G12" i="9"/>
  <c r="A16" i="9"/>
  <c r="G16" i="9"/>
  <c r="A20" i="9"/>
  <c r="G20" i="9"/>
  <c r="A24" i="9"/>
  <c r="G24" i="9"/>
  <c r="A28" i="9"/>
  <c r="G28" i="9"/>
  <c r="A32" i="9"/>
  <c r="G32" i="9"/>
  <c r="A36" i="9"/>
  <c r="G36" i="9"/>
  <c r="A40" i="9"/>
  <c r="G40" i="9"/>
  <c r="A47" i="9"/>
  <c r="G47" i="9"/>
  <c r="A51" i="9"/>
  <c r="G51" i="9"/>
  <c r="A55" i="9"/>
  <c r="G55" i="9"/>
  <c r="A59" i="9"/>
  <c r="G59" i="9"/>
  <c r="A63" i="9"/>
  <c r="G63" i="9"/>
  <c r="Q11" i="5" a="1"/>
  <c r="Q11" i="5" s="1"/>
  <c r="P11" i="5" s="1"/>
  <c r="Q19" i="5" a="1"/>
  <c r="Q19" i="5" s="1"/>
  <c r="P19" i="5" s="1"/>
  <c r="Q27" i="5" a="1"/>
  <c r="Q27" i="5" s="1"/>
  <c r="P27" i="5" s="1"/>
  <c r="Q35" i="5" a="1"/>
  <c r="Q35" i="5" s="1"/>
  <c r="P35" i="5" s="1"/>
  <c r="Q43" i="5" a="1"/>
  <c r="Q43" i="5" s="1"/>
  <c r="P43" i="5" s="1"/>
  <c r="Q51" i="5" a="1"/>
  <c r="Q51" i="5" s="1"/>
  <c r="P51" i="5" s="1"/>
  <c r="Q59" i="5" a="1"/>
  <c r="Q59" i="5" s="1"/>
  <c r="P59" i="5" s="1"/>
  <c r="Q67" i="5" a="1"/>
  <c r="Q67" i="5" s="1"/>
  <c r="P67" i="5" s="1"/>
  <c r="Q75" i="5" a="1"/>
  <c r="Q75" i="5" s="1"/>
  <c r="P75" i="5" s="1"/>
  <c r="Q83" i="5" a="1"/>
  <c r="Q83" i="5" s="1"/>
  <c r="P83" i="5" s="1"/>
  <c r="Q91" i="5" a="1"/>
  <c r="Q91" i="5" s="1"/>
  <c r="P91" i="5" s="1"/>
  <c r="Q99" i="5" a="1"/>
  <c r="Q99" i="5" s="1"/>
  <c r="P99" i="5" s="1"/>
  <c r="Q107" i="5" a="1"/>
  <c r="Q107" i="5" s="1"/>
  <c r="P107" i="5" s="1"/>
  <c r="Q115" i="5" a="1"/>
  <c r="Q115" i="5" s="1"/>
  <c r="P115" i="5" s="1"/>
  <c r="Q123" i="5" a="1"/>
  <c r="Q123" i="5" s="1"/>
  <c r="P123" i="5" s="1"/>
  <c r="Q131" i="5" a="1"/>
  <c r="Q131" i="5" s="1"/>
  <c r="P131" i="5" s="1"/>
  <c r="Q139" i="5" a="1"/>
  <c r="Q139" i="5" s="1"/>
  <c r="P139" i="5" s="1"/>
  <c r="Q147" i="5" a="1"/>
  <c r="Q147" i="5" s="1"/>
  <c r="P147" i="5" s="1"/>
  <c r="Q155" i="5" a="1"/>
  <c r="Q155" i="5" s="1"/>
  <c r="P155" i="5" s="1"/>
  <c r="Q163" i="5" a="1"/>
  <c r="Q163" i="5" s="1"/>
  <c r="P163" i="5" s="1"/>
  <c r="Q167" i="5" a="1"/>
  <c r="Q167" i="5" s="1"/>
  <c r="P167" i="5" s="1"/>
  <c r="B83" i="6" a="1"/>
  <c r="B83" i="6" s="1"/>
  <c r="B91" i="6" a="1"/>
  <c r="B91" i="6" s="1"/>
  <c r="B99" i="6" a="1"/>
  <c r="B99" i="6" s="1"/>
  <c r="B107" i="6" a="1"/>
  <c r="B107" i="6" s="1"/>
  <c r="A12" i="8"/>
  <c r="G12" i="8"/>
  <c r="A15" i="8"/>
  <c r="G15" i="8"/>
  <c r="A19" i="8"/>
  <c r="G19" i="8"/>
  <c r="A23" i="8"/>
  <c r="G23" i="8"/>
  <c r="A27" i="8"/>
  <c r="G27" i="8"/>
  <c r="A13" i="9"/>
  <c r="G13" i="9"/>
  <c r="A17" i="9"/>
  <c r="G17" i="9"/>
  <c r="A21" i="9"/>
  <c r="G21" i="9"/>
  <c r="A25" i="9"/>
  <c r="G25" i="9"/>
  <c r="A29" i="9"/>
  <c r="G29" i="9"/>
  <c r="A33" i="9"/>
  <c r="G33" i="9"/>
  <c r="A37" i="9"/>
  <c r="G37" i="9"/>
  <c r="A41" i="9"/>
  <c r="G41" i="9"/>
  <c r="A48" i="9"/>
  <c r="G48" i="9"/>
  <c r="A52" i="9"/>
  <c r="G52" i="9"/>
  <c r="A56" i="9"/>
  <c r="G56" i="9"/>
  <c r="A60" i="9"/>
  <c r="G60" i="9"/>
  <c r="A64" i="9"/>
  <c r="G64" i="9"/>
  <c r="Q7" i="5" a="1"/>
  <c r="Q7" i="5" s="1"/>
  <c r="P7" i="5" s="1"/>
  <c r="Q15" i="5" a="1"/>
  <c r="Q15" i="5" s="1"/>
  <c r="P15" i="5" s="1"/>
  <c r="Q23" i="5" a="1"/>
  <c r="Q23" i="5" s="1"/>
  <c r="P23" i="5" s="1"/>
  <c r="Q31" i="5" a="1"/>
  <c r="Q31" i="5" s="1"/>
  <c r="P31" i="5" s="1"/>
  <c r="Q39" i="5" a="1"/>
  <c r="Q39" i="5" s="1"/>
  <c r="P39" i="5" s="1"/>
  <c r="Q47" i="5" a="1"/>
  <c r="Q47" i="5" s="1"/>
  <c r="P47" i="5" s="1"/>
  <c r="Q55" i="5" a="1"/>
  <c r="Q55" i="5" s="1"/>
  <c r="P55" i="5" s="1"/>
  <c r="Q63" i="5" a="1"/>
  <c r="Q63" i="5" s="1"/>
  <c r="P63" i="5" s="1"/>
  <c r="Q71" i="5" a="1"/>
  <c r="Q71" i="5" s="1"/>
  <c r="P71" i="5" s="1"/>
  <c r="Q79" i="5" a="1"/>
  <c r="Q79" i="5" s="1"/>
  <c r="P79" i="5" s="1"/>
  <c r="Q87" i="5" a="1"/>
  <c r="Q87" i="5" s="1"/>
  <c r="P87" i="5" s="1"/>
  <c r="Q95" i="5" a="1"/>
  <c r="Q95" i="5" s="1"/>
  <c r="P95" i="5" s="1"/>
  <c r="Q103" i="5" a="1"/>
  <c r="Q103" i="5" s="1"/>
  <c r="P103" i="5" s="1"/>
  <c r="Q111" i="5" a="1"/>
  <c r="Q111" i="5" s="1"/>
  <c r="P111" i="5" s="1"/>
  <c r="Q119" i="5" a="1"/>
  <c r="Q119" i="5" s="1"/>
  <c r="P119" i="5" s="1"/>
  <c r="Q127" i="5" a="1"/>
  <c r="Q127" i="5" s="1"/>
  <c r="P127" i="5" s="1"/>
  <c r="Q135" i="5" a="1"/>
  <c r="Q135" i="5" s="1"/>
  <c r="P135" i="5" s="1"/>
  <c r="Q143" i="5" a="1"/>
  <c r="Q143" i="5" s="1"/>
  <c r="P143" i="5" s="1"/>
  <c r="Q151" i="5" a="1"/>
  <c r="Q151" i="5" s="1"/>
  <c r="P151" i="5" s="1"/>
  <c r="Q159" i="5" a="1"/>
  <c r="Q159" i="5" s="1"/>
  <c r="P159" i="5" s="1"/>
  <c r="Q171" i="5" a="1"/>
  <c r="Q171" i="5" s="1"/>
  <c r="P171" i="5" s="1"/>
  <c r="B12" i="4" a="1"/>
  <c r="B12" i="4" s="1"/>
  <c r="B14" i="4" a="1"/>
  <c r="B14" i="4" s="1"/>
  <c r="B16" i="4" a="1"/>
  <c r="B16" i="4" s="1"/>
  <c r="B18" i="4" a="1"/>
  <c r="B18" i="4" s="1"/>
  <c r="B20" i="4" a="1"/>
  <c r="B20" i="4" s="1"/>
  <c r="B22" i="4" a="1"/>
  <c r="B22" i="4" s="1"/>
  <c r="B24" i="4" a="1"/>
  <c r="B24" i="4" s="1"/>
  <c r="B26" i="4" a="1"/>
  <c r="B26" i="4" s="1"/>
  <c r="B28" i="4" a="1"/>
  <c r="B28" i="4" s="1"/>
  <c r="B30" i="4" a="1"/>
  <c r="B30" i="4" s="1"/>
  <c r="B32" i="4" a="1"/>
  <c r="B32" i="4" s="1"/>
  <c r="B34" i="4" a="1"/>
  <c r="B34" i="4" s="1"/>
  <c r="B36" i="4" a="1"/>
  <c r="B36" i="4" s="1"/>
  <c r="B38" i="4" a="1"/>
  <c r="B38" i="4" s="1"/>
  <c r="B40" i="4" a="1"/>
  <c r="B40" i="4" s="1"/>
  <c r="B42" i="4" a="1"/>
  <c r="B42" i="4" s="1"/>
  <c r="B44" i="4" a="1"/>
  <c r="B44" i="4" s="1"/>
  <c r="B46" i="4" a="1"/>
  <c r="B46" i="4" s="1"/>
  <c r="B48" i="4" a="1"/>
  <c r="B48" i="4" s="1"/>
  <c r="B50" i="4" a="1"/>
  <c r="B50" i="4" s="1"/>
  <c r="B52" i="4" a="1"/>
  <c r="B52" i="4" s="1"/>
  <c r="B54" i="4" a="1"/>
  <c r="B54" i="4" s="1"/>
  <c r="B56" i="4" a="1"/>
  <c r="B56" i="4" s="1"/>
  <c r="B58" i="4" a="1"/>
  <c r="B58" i="4" s="1"/>
  <c r="B60" i="4" a="1"/>
  <c r="B60" i="4" s="1"/>
  <c r="Q6" i="5" a="1"/>
  <c r="Q6" i="5" s="1"/>
  <c r="P6" i="5" s="1"/>
  <c r="Q10" i="5" a="1"/>
  <c r="Q10" i="5" s="1"/>
  <c r="P10" i="5" s="1"/>
  <c r="Q14" i="5" a="1"/>
  <c r="Q14" i="5" s="1"/>
  <c r="P14" i="5" s="1"/>
  <c r="Q18" i="5" a="1"/>
  <c r="Q18" i="5" s="1"/>
  <c r="P18" i="5" s="1"/>
  <c r="Q22" i="5" a="1"/>
  <c r="Q22" i="5" s="1"/>
  <c r="P22" i="5" s="1"/>
  <c r="Q26" i="5" a="1"/>
  <c r="Q26" i="5" s="1"/>
  <c r="P26" i="5" s="1"/>
  <c r="Q30" i="5" a="1"/>
  <c r="Q30" i="5" s="1"/>
  <c r="P30" i="5" s="1"/>
  <c r="Q34" i="5" a="1"/>
  <c r="Q34" i="5" s="1"/>
  <c r="P34" i="5" s="1"/>
  <c r="Q38" i="5" a="1"/>
  <c r="Q38" i="5" s="1"/>
  <c r="P38" i="5" s="1"/>
  <c r="Q42" i="5" a="1"/>
  <c r="Q42" i="5" s="1"/>
  <c r="P42" i="5" s="1"/>
  <c r="Q46" i="5" a="1"/>
  <c r="Q46" i="5" s="1"/>
  <c r="P46" i="5" s="1"/>
  <c r="Q50" i="5" a="1"/>
  <c r="Q50" i="5" s="1"/>
  <c r="P50" i="5" s="1"/>
  <c r="Q54" i="5" a="1"/>
  <c r="Q54" i="5" s="1"/>
  <c r="P54" i="5" s="1"/>
  <c r="Q58" i="5" a="1"/>
  <c r="Q58" i="5" s="1"/>
  <c r="P58" i="5" s="1"/>
  <c r="Q62" i="5" a="1"/>
  <c r="Q62" i="5" s="1"/>
  <c r="P62" i="5" s="1"/>
  <c r="Q66" i="5" a="1"/>
  <c r="Q66" i="5" s="1"/>
  <c r="P66" i="5" s="1"/>
  <c r="Q70" i="5" a="1"/>
  <c r="Q70" i="5" s="1"/>
  <c r="P70" i="5" s="1"/>
  <c r="Q74" i="5" a="1"/>
  <c r="Q74" i="5" s="1"/>
  <c r="P74" i="5" s="1"/>
  <c r="Q78" i="5" a="1"/>
  <c r="Q78" i="5" s="1"/>
  <c r="P78" i="5" s="1"/>
  <c r="Q82" i="5" a="1"/>
  <c r="Q82" i="5" s="1"/>
  <c r="P82" i="5" s="1"/>
  <c r="Q86" i="5" a="1"/>
  <c r="Q86" i="5" s="1"/>
  <c r="P86" i="5" s="1"/>
  <c r="Q90" i="5" a="1"/>
  <c r="Q90" i="5" s="1"/>
  <c r="P90" i="5" s="1"/>
  <c r="Q94" i="5" a="1"/>
  <c r="Q94" i="5" s="1"/>
  <c r="P94" i="5" s="1"/>
  <c r="Q98" i="5" a="1"/>
  <c r="Q98" i="5" s="1"/>
  <c r="P98" i="5" s="1"/>
  <c r="Q102" i="5" a="1"/>
  <c r="Q102" i="5" s="1"/>
  <c r="P102" i="5" s="1"/>
  <c r="Q106" i="5" a="1"/>
  <c r="Q106" i="5" s="1"/>
  <c r="P106" i="5" s="1"/>
  <c r="Q110" i="5" a="1"/>
  <c r="Q110" i="5" s="1"/>
  <c r="P110" i="5" s="1"/>
  <c r="Q114" i="5" a="1"/>
  <c r="Q114" i="5" s="1"/>
  <c r="P114" i="5" s="1"/>
  <c r="Q118" i="5" a="1"/>
  <c r="Q118" i="5" s="1"/>
  <c r="P118" i="5" s="1"/>
  <c r="Q122" i="5" a="1"/>
  <c r="Q122" i="5" s="1"/>
  <c r="P122" i="5" s="1"/>
  <c r="Q126" i="5" a="1"/>
  <c r="Q126" i="5" s="1"/>
  <c r="P126" i="5" s="1"/>
  <c r="Q130" i="5" a="1"/>
  <c r="Q130" i="5" s="1"/>
  <c r="P130" i="5" s="1"/>
  <c r="Q134" i="5" a="1"/>
  <c r="Q134" i="5" s="1"/>
  <c r="P134" i="5" s="1"/>
  <c r="Q138" i="5" a="1"/>
  <c r="Q138" i="5" s="1"/>
  <c r="P138" i="5" s="1"/>
  <c r="Q142" i="5" a="1"/>
  <c r="Q142" i="5" s="1"/>
  <c r="P142" i="5" s="1"/>
  <c r="Q146" i="5" a="1"/>
  <c r="Q146" i="5" s="1"/>
  <c r="P146" i="5" s="1"/>
  <c r="Q150" i="5" a="1"/>
  <c r="Q150" i="5" s="1"/>
  <c r="P150" i="5" s="1"/>
  <c r="Q154" i="5" a="1"/>
  <c r="Q154" i="5" s="1"/>
  <c r="P154" i="5" s="1"/>
  <c r="Q158" i="5" a="1"/>
  <c r="Q158" i="5" s="1"/>
  <c r="P158" i="5" s="1"/>
  <c r="Q162" i="5" a="1"/>
  <c r="Q162" i="5" s="1"/>
  <c r="P162" i="5" s="1"/>
  <c r="Q166" i="5" a="1"/>
  <c r="Q166" i="5" s="1"/>
  <c r="P166" i="5" s="1"/>
  <c r="Q170" i="5" a="1"/>
  <c r="Q170" i="5" s="1"/>
  <c r="P170" i="5" s="1"/>
  <c r="B85" i="6" a="1"/>
  <c r="B85" i="6" s="1"/>
  <c r="B93" i="6" a="1"/>
  <c r="B93" i="6" s="1"/>
  <c r="B101" i="6" a="1"/>
  <c r="B101" i="6" s="1"/>
  <c r="A13" i="7"/>
  <c r="A17" i="7"/>
  <c r="A21" i="7"/>
  <c r="A25" i="7"/>
  <c r="A29" i="7"/>
  <c r="A33" i="7"/>
  <c r="A37" i="7"/>
  <c r="A41" i="7"/>
  <c r="A48" i="7"/>
  <c r="A52" i="7"/>
  <c r="A13" i="8"/>
  <c r="G13" i="8"/>
  <c r="A18" i="8"/>
  <c r="G18" i="8"/>
  <c r="A22" i="8"/>
  <c r="G22" i="8"/>
  <c r="A26" i="8"/>
  <c r="G26" i="8"/>
  <c r="A30" i="8"/>
  <c r="G30" i="8"/>
  <c r="A14" i="9"/>
  <c r="G14" i="9"/>
  <c r="A18" i="9"/>
  <c r="G18" i="9"/>
  <c r="A22" i="9"/>
  <c r="G22" i="9"/>
  <c r="A26" i="9"/>
  <c r="G26" i="9"/>
  <c r="A30" i="9"/>
  <c r="G30" i="9"/>
  <c r="A34" i="9"/>
  <c r="G34" i="9"/>
  <c r="A38" i="9"/>
  <c r="G38" i="9"/>
  <c r="A45" i="9"/>
  <c r="G45" i="9"/>
  <c r="A49" i="9"/>
  <c r="G49" i="9"/>
  <c r="A53" i="9"/>
  <c r="G53" i="9"/>
  <c r="A57" i="9"/>
  <c r="G57" i="9"/>
  <c r="A61" i="9"/>
  <c r="G61" i="9"/>
  <c r="A13" i="10"/>
  <c r="A17" i="10"/>
  <c r="A21" i="10"/>
  <c r="A25" i="10"/>
  <c r="A29" i="10"/>
  <c r="A33" i="10"/>
  <c r="G51" i="10"/>
  <c r="A51" i="10"/>
  <c r="A13" i="11"/>
  <c r="G13" i="11"/>
  <c r="A17" i="11"/>
  <c r="G17" i="11"/>
  <c r="A21" i="11"/>
  <c r="G21" i="11"/>
  <c r="A24" i="11"/>
  <c r="G24" i="11"/>
  <c r="A28" i="11"/>
  <c r="G28" i="11"/>
  <c r="A32" i="11"/>
  <c r="G32" i="11"/>
  <c r="A36" i="11"/>
  <c r="G36" i="11"/>
  <c r="A40" i="11"/>
  <c r="G40" i="11"/>
  <c r="A47" i="11"/>
  <c r="G47" i="11"/>
  <c r="A51" i="11"/>
  <c r="G51" i="11"/>
  <c r="A13" i="12"/>
  <c r="G13" i="12"/>
  <c r="A17" i="12"/>
  <c r="G17" i="12"/>
  <c r="A21" i="12"/>
  <c r="G21" i="12"/>
  <c r="A25" i="12"/>
  <c r="G25" i="12"/>
  <c r="A29" i="12"/>
  <c r="G29" i="12"/>
  <c r="A33" i="12"/>
  <c r="G33" i="12"/>
  <c r="A39" i="12"/>
  <c r="G39" i="12"/>
  <c r="A46" i="12"/>
  <c r="G46" i="12"/>
  <c r="A50" i="12"/>
  <c r="G50" i="12"/>
  <c r="A54" i="12"/>
  <c r="G54" i="12"/>
  <c r="A13" i="13"/>
  <c r="G13" i="13"/>
  <c r="A17" i="13"/>
  <c r="G17" i="13"/>
  <c r="A21" i="13"/>
  <c r="G21" i="13"/>
  <c r="A25" i="13"/>
  <c r="G25" i="13"/>
  <c r="A29" i="13"/>
  <c r="G29" i="13"/>
  <c r="A33" i="13"/>
  <c r="G33" i="13"/>
  <c r="A37" i="13"/>
  <c r="G37" i="13"/>
  <c r="A14" i="11"/>
  <c r="G14" i="11"/>
  <c r="A18" i="11"/>
  <c r="G18" i="11"/>
  <c r="A22" i="11"/>
  <c r="G22" i="11"/>
  <c r="A27" i="11"/>
  <c r="G27" i="11"/>
  <c r="A31" i="11"/>
  <c r="G31" i="11"/>
  <c r="A35" i="11"/>
  <c r="G35" i="11"/>
  <c r="A39" i="11"/>
  <c r="G39" i="11"/>
  <c r="A46" i="11"/>
  <c r="G46" i="11"/>
  <c r="A50" i="11"/>
  <c r="G50" i="11"/>
  <c r="A14" i="12"/>
  <c r="G14" i="12"/>
  <c r="A18" i="12"/>
  <c r="G18" i="12"/>
  <c r="A22" i="12"/>
  <c r="G22" i="12"/>
  <c r="A26" i="12"/>
  <c r="G26" i="12"/>
  <c r="A30" i="12"/>
  <c r="G30" i="12"/>
  <c r="A34" i="12"/>
  <c r="G34" i="12"/>
  <c r="A38" i="12"/>
  <c r="G38" i="12"/>
  <c r="A45" i="12"/>
  <c r="G45" i="12"/>
  <c r="A49" i="12"/>
  <c r="G49" i="12"/>
  <c r="A53" i="12"/>
  <c r="G53" i="12"/>
  <c r="A14" i="13"/>
  <c r="G14" i="13"/>
  <c r="A18" i="13"/>
  <c r="G18" i="13"/>
  <c r="A22" i="13"/>
  <c r="G22" i="13"/>
  <c r="A26" i="13"/>
  <c r="G26" i="13"/>
  <c r="A30" i="13"/>
  <c r="G30" i="13"/>
  <c r="A34" i="13"/>
  <c r="G34" i="13"/>
  <c r="A38" i="13"/>
  <c r="G38" i="13"/>
  <c r="A15" i="10"/>
  <c r="A19" i="10"/>
  <c r="A23" i="10"/>
  <c r="A27" i="10"/>
  <c r="A31" i="10"/>
  <c r="A35" i="10"/>
  <c r="A15" i="11"/>
  <c r="G15" i="11"/>
  <c r="A19" i="11"/>
  <c r="G19" i="11"/>
  <c r="A23" i="11"/>
  <c r="G23" i="11"/>
  <c r="A26" i="11"/>
  <c r="G26" i="11"/>
  <c r="A30" i="11"/>
  <c r="G30" i="11"/>
  <c r="A34" i="11"/>
  <c r="G34" i="11"/>
  <c r="A38" i="11"/>
  <c r="G38" i="11"/>
  <c r="A45" i="11"/>
  <c r="G45" i="11"/>
  <c r="A49" i="11"/>
  <c r="G49" i="11"/>
  <c r="A53" i="11"/>
  <c r="G53" i="11"/>
  <c r="A15" i="12"/>
  <c r="G15" i="12"/>
  <c r="A19" i="12"/>
  <c r="G19" i="12"/>
  <c r="A23" i="12"/>
  <c r="G23" i="12"/>
  <c r="A27" i="12"/>
  <c r="G27" i="12"/>
  <c r="A31" i="12"/>
  <c r="G31" i="12"/>
  <c r="A35" i="12"/>
  <c r="G35" i="12"/>
  <c r="A37" i="12"/>
  <c r="G37" i="12"/>
  <c r="A41" i="12"/>
  <c r="G41" i="12"/>
  <c r="A48" i="12"/>
  <c r="G48" i="12"/>
  <c r="A52" i="12"/>
  <c r="G52" i="12"/>
  <c r="A15" i="13"/>
  <c r="G15" i="13"/>
  <c r="A19" i="13"/>
  <c r="G19" i="13"/>
  <c r="A23" i="13"/>
  <c r="G23" i="13"/>
  <c r="A27" i="13"/>
  <c r="G27" i="13"/>
  <c r="A31" i="13"/>
  <c r="G31" i="13"/>
  <c r="A35" i="13"/>
  <c r="G35" i="13"/>
  <c r="A39" i="13"/>
  <c r="G39" i="13"/>
  <c r="A12" i="11"/>
  <c r="G12" i="11"/>
  <c r="A16" i="11"/>
  <c r="G16" i="11"/>
  <c r="A20" i="11"/>
  <c r="G20" i="11"/>
  <c r="A25" i="11"/>
  <c r="G25" i="11"/>
  <c r="A29" i="11"/>
  <c r="G29" i="11"/>
  <c r="A33" i="11"/>
  <c r="G33" i="11"/>
  <c r="A37" i="11"/>
  <c r="G37" i="11"/>
  <c r="A41" i="11"/>
  <c r="G41" i="11"/>
  <c r="A48" i="11"/>
  <c r="G48" i="11"/>
  <c r="A52" i="11"/>
  <c r="G52" i="11"/>
  <c r="A12" i="12"/>
  <c r="G12" i="12"/>
  <c r="A16" i="12"/>
  <c r="G16" i="12"/>
  <c r="A20" i="12"/>
  <c r="G20" i="12"/>
  <c r="A24" i="12"/>
  <c r="G24" i="12"/>
  <c r="A28" i="12"/>
  <c r="G28" i="12"/>
  <c r="A32" i="12"/>
  <c r="G32" i="12"/>
  <c r="A36" i="12"/>
  <c r="G36" i="12"/>
  <c r="A40" i="12"/>
  <c r="G40" i="12"/>
  <c r="A47" i="12"/>
  <c r="G47" i="12"/>
  <c r="A51" i="12"/>
  <c r="G51" i="12"/>
  <c r="A55" i="12"/>
  <c r="G55" i="12"/>
  <c r="A12" i="13"/>
  <c r="G12" i="13"/>
  <c r="A16" i="13"/>
  <c r="G16" i="13"/>
  <c r="A20" i="13"/>
  <c r="G20" i="13"/>
  <c r="A24" i="13"/>
  <c r="G24" i="13"/>
  <c r="A28" i="13"/>
  <c r="G28" i="13"/>
  <c r="A32" i="13"/>
  <c r="G32" i="13"/>
  <c r="A36" i="13"/>
  <c r="G36" i="13"/>
  <c r="A40" i="13"/>
  <c r="G40" i="13"/>
  <c r="A47" i="13"/>
  <c r="A51" i="13"/>
  <c r="A55" i="13"/>
  <c r="A14" i="14"/>
  <c r="G14" i="14"/>
  <c r="A18" i="14"/>
  <c r="G18" i="14"/>
  <c r="A22" i="14"/>
  <c r="G22" i="14"/>
  <c r="A26" i="14"/>
  <c r="G26" i="14"/>
  <c r="A30" i="14"/>
  <c r="G30" i="14"/>
  <c r="A34" i="14"/>
  <c r="G34" i="14"/>
  <c r="A38" i="14"/>
  <c r="G38" i="14"/>
  <c r="A45" i="14"/>
  <c r="G45" i="14"/>
  <c r="A12" i="15"/>
  <c r="G12" i="15"/>
  <c r="A16" i="15"/>
  <c r="G16" i="15"/>
  <c r="A20" i="15"/>
  <c r="G20" i="15"/>
  <c r="A24" i="15"/>
  <c r="G24" i="15"/>
  <c r="A28" i="15"/>
  <c r="G28" i="15"/>
  <c r="A32" i="15"/>
  <c r="G32" i="15"/>
  <c r="A15" i="14"/>
  <c r="G15" i="14"/>
  <c r="A19" i="14"/>
  <c r="G19" i="14"/>
  <c r="A23" i="14"/>
  <c r="G23" i="14"/>
  <c r="A27" i="14"/>
  <c r="G27" i="14"/>
  <c r="A31" i="14"/>
  <c r="G31" i="14"/>
  <c r="A33" i="14"/>
  <c r="G33" i="14"/>
  <c r="A37" i="14"/>
  <c r="G37" i="14"/>
  <c r="A41" i="14"/>
  <c r="G41" i="14"/>
  <c r="A13" i="15"/>
  <c r="G13" i="15"/>
  <c r="A17" i="15"/>
  <c r="G17" i="15"/>
  <c r="A21" i="15"/>
  <c r="G21" i="15"/>
  <c r="A25" i="15"/>
  <c r="G25" i="15"/>
  <c r="A29" i="15"/>
  <c r="G29" i="15"/>
  <c r="A33" i="15"/>
  <c r="G33" i="15"/>
  <c r="A45" i="13"/>
  <c r="A49" i="13"/>
  <c r="A53" i="13"/>
  <c r="A57" i="13"/>
  <c r="G58" i="13"/>
  <c r="G59" i="13"/>
  <c r="G60" i="13"/>
  <c r="G61" i="13"/>
  <c r="G62" i="13"/>
  <c r="A12" i="14"/>
  <c r="G12" i="14"/>
  <c r="G13" i="14" s="1"/>
  <c r="A16" i="14"/>
  <c r="G16" i="14"/>
  <c r="A20" i="14"/>
  <c r="G20" i="14"/>
  <c r="A24" i="14"/>
  <c r="G24" i="14"/>
  <c r="A28" i="14"/>
  <c r="G28" i="14"/>
  <c r="A32" i="14"/>
  <c r="G32" i="14"/>
  <c r="A36" i="14"/>
  <c r="G36" i="14"/>
  <c r="A40" i="14"/>
  <c r="G40" i="14"/>
  <c r="A47" i="14"/>
  <c r="G47" i="14"/>
  <c r="A14" i="15"/>
  <c r="G14" i="15"/>
  <c r="A18" i="15"/>
  <c r="G18" i="15"/>
  <c r="A22" i="15"/>
  <c r="G22" i="15"/>
  <c r="A26" i="15"/>
  <c r="G26" i="15"/>
  <c r="A30" i="15"/>
  <c r="G30" i="15"/>
  <c r="A34" i="15"/>
  <c r="G34" i="15"/>
  <c r="G63" i="13"/>
  <c r="A13" i="14"/>
  <c r="A17" i="14"/>
  <c r="G17" i="14"/>
  <c r="A21" i="14"/>
  <c r="G21" i="14"/>
  <c r="A25" i="14"/>
  <c r="G25" i="14"/>
  <c r="A29" i="14"/>
  <c r="G29" i="14"/>
  <c r="A35" i="14"/>
  <c r="G35" i="14"/>
  <c r="A39" i="14"/>
  <c r="G39" i="14"/>
  <c r="A46" i="14"/>
  <c r="G46" i="14"/>
  <c r="A15" i="15"/>
  <c r="G15" i="15"/>
  <c r="A19" i="15"/>
  <c r="G19" i="15"/>
  <c r="A23" i="15"/>
  <c r="G23" i="15"/>
  <c r="A27" i="15"/>
  <c r="G27" i="15"/>
  <c r="A31" i="15"/>
  <c r="G31" i="15"/>
  <c r="A35" i="15"/>
  <c r="G35" i="15"/>
  <c r="A37" i="15"/>
  <c r="A41" i="15"/>
  <c r="A48" i="15"/>
  <c r="A52" i="15"/>
  <c r="A15" i="16"/>
  <c r="G15" i="16"/>
  <c r="A19" i="16"/>
  <c r="G19" i="16"/>
  <c r="A23" i="16"/>
  <c r="G23" i="16"/>
  <c r="A26" i="16"/>
  <c r="G26" i="16"/>
  <c r="A30" i="16"/>
  <c r="G30" i="16"/>
  <c r="A34" i="16"/>
  <c r="G34" i="16"/>
  <c r="A38" i="16"/>
  <c r="G38" i="16"/>
  <c r="A45" i="16"/>
  <c r="G45" i="16"/>
  <c r="A49" i="16"/>
  <c r="G49" i="16"/>
  <c r="A53" i="16"/>
  <c r="G53" i="16"/>
  <c r="A12" i="17"/>
  <c r="G12" i="17"/>
  <c r="A16" i="17"/>
  <c r="G16" i="17"/>
  <c r="A20" i="17"/>
  <c r="G20" i="17"/>
  <c r="A24" i="17"/>
  <c r="G24" i="17"/>
  <c r="A28" i="17"/>
  <c r="G28" i="17"/>
  <c r="A32" i="17"/>
  <c r="G32" i="17"/>
  <c r="A36" i="17"/>
  <c r="G36" i="17"/>
  <c r="A40" i="17"/>
  <c r="G40" i="17"/>
  <c r="A12" i="16"/>
  <c r="G12" i="16"/>
  <c r="A16" i="16"/>
  <c r="G16" i="16"/>
  <c r="A20" i="16"/>
  <c r="G20" i="16"/>
  <c r="A24" i="16"/>
  <c r="G24" i="16"/>
  <c r="A29" i="16"/>
  <c r="G29" i="16"/>
  <c r="A33" i="16"/>
  <c r="G33" i="16"/>
  <c r="A37" i="16"/>
  <c r="G37" i="16"/>
  <c r="A41" i="16"/>
  <c r="G41" i="16"/>
  <c r="A48" i="16"/>
  <c r="G48" i="16"/>
  <c r="A52" i="16"/>
  <c r="G52" i="16"/>
  <c r="A56" i="16"/>
  <c r="G56" i="16"/>
  <c r="A13" i="17"/>
  <c r="G13" i="17"/>
  <c r="A17" i="17"/>
  <c r="G17" i="17"/>
  <c r="A21" i="17"/>
  <c r="G21" i="17"/>
  <c r="A25" i="17"/>
  <c r="G25" i="17"/>
  <c r="A29" i="17"/>
  <c r="G29" i="17"/>
  <c r="A33" i="17"/>
  <c r="G33" i="17"/>
  <c r="A37" i="17"/>
  <c r="G37" i="17"/>
  <c r="A41" i="17"/>
  <c r="G41" i="17"/>
  <c r="A39" i="15"/>
  <c r="A46" i="15"/>
  <c r="A50" i="15"/>
  <c r="A54" i="15"/>
  <c r="A13" i="16"/>
  <c r="G13" i="16"/>
  <c r="A17" i="16"/>
  <c r="G17" i="16"/>
  <c r="A21" i="16"/>
  <c r="G21" i="16"/>
  <c r="A25" i="16"/>
  <c r="G25" i="16"/>
  <c r="A28" i="16"/>
  <c r="G28" i="16"/>
  <c r="A32" i="16"/>
  <c r="G32" i="16"/>
  <c r="A36" i="16"/>
  <c r="G36" i="16"/>
  <c r="A40" i="16"/>
  <c r="G40" i="16"/>
  <c r="A47" i="16"/>
  <c r="G47" i="16"/>
  <c r="A51" i="16"/>
  <c r="G51" i="16"/>
  <c r="A55" i="16"/>
  <c r="G55" i="16"/>
  <c r="A14" i="17"/>
  <c r="G14" i="17"/>
  <c r="A18" i="17"/>
  <c r="G18" i="17"/>
  <c r="A22" i="17"/>
  <c r="G22" i="17"/>
  <c r="A26" i="17"/>
  <c r="G26" i="17"/>
  <c r="A30" i="17"/>
  <c r="G30" i="17"/>
  <c r="A34" i="17"/>
  <c r="G34" i="17"/>
  <c r="A38" i="17"/>
  <c r="G38" i="17"/>
  <c r="A45" i="17"/>
  <c r="G45" i="17"/>
  <c r="A14" i="16"/>
  <c r="G14" i="16"/>
  <c r="A18" i="16"/>
  <c r="G18" i="16"/>
  <c r="A22" i="16"/>
  <c r="G22" i="16"/>
  <c r="A27" i="16"/>
  <c r="G27" i="16"/>
  <c r="A31" i="16"/>
  <c r="G31" i="16"/>
  <c r="A35" i="16"/>
  <c r="G35" i="16"/>
  <c r="A39" i="16"/>
  <c r="G39" i="16"/>
  <c r="A46" i="16"/>
  <c r="G46" i="16"/>
  <c r="A50" i="16"/>
  <c r="G50" i="16"/>
  <c r="A54" i="16"/>
  <c r="G54" i="16"/>
  <c r="A15" i="17"/>
  <c r="G15" i="17"/>
  <c r="A19" i="17"/>
  <c r="G19" i="17"/>
  <c r="A23" i="17"/>
  <c r="G23" i="17"/>
  <c r="A27" i="17"/>
  <c r="G27" i="17"/>
  <c r="A31" i="17"/>
  <c r="G31" i="17"/>
  <c r="A35" i="17"/>
  <c r="G35" i="17"/>
  <c r="A39" i="17"/>
  <c r="G39" i="17"/>
  <c r="G52" i="17"/>
  <c r="G56" i="17"/>
  <c r="G60" i="17"/>
  <c r="G64" i="17"/>
  <c r="G68" i="17"/>
  <c r="G72" i="17"/>
  <c r="A13" i="18"/>
  <c r="A15" i="18"/>
  <c r="A17" i="18"/>
  <c r="A19" i="18"/>
  <c r="A21" i="18"/>
  <c r="G21" i="18"/>
  <c r="A25" i="18"/>
  <c r="G25" i="18"/>
  <c r="A29" i="18"/>
  <c r="G29" i="18"/>
  <c r="A33" i="18"/>
  <c r="G33" i="18"/>
  <c r="A37" i="18"/>
  <c r="G37" i="18"/>
  <c r="A41" i="18"/>
  <c r="G41" i="18"/>
  <c r="A48" i="18"/>
  <c r="G48" i="18"/>
  <c r="A52" i="18"/>
  <c r="G52" i="18"/>
  <c r="A56" i="18"/>
  <c r="G56" i="18"/>
  <c r="A60" i="18"/>
  <c r="G60" i="18"/>
  <c r="A64" i="18"/>
  <c r="G64" i="18"/>
  <c r="A68" i="18"/>
  <c r="G68" i="18"/>
  <c r="A14" i="19"/>
  <c r="G14" i="19"/>
  <c r="A18" i="19"/>
  <c r="G18" i="19"/>
  <c r="A22" i="19"/>
  <c r="G22" i="19"/>
  <c r="A25" i="19"/>
  <c r="G25" i="19"/>
  <c r="G38" i="19"/>
  <c r="A38" i="19"/>
  <c r="G49" i="19"/>
  <c r="A49" i="19"/>
  <c r="G57" i="19"/>
  <c r="A57" i="19"/>
  <c r="G65" i="19"/>
  <c r="A65" i="19"/>
  <c r="G73" i="19"/>
  <c r="A73" i="19"/>
  <c r="G50" i="17"/>
  <c r="G51" i="17"/>
  <c r="G55" i="17"/>
  <c r="G59" i="17"/>
  <c r="G63" i="17"/>
  <c r="G67" i="17"/>
  <c r="G71" i="17"/>
  <c r="A22" i="18"/>
  <c r="G22" i="18"/>
  <c r="A26" i="18"/>
  <c r="G26" i="18"/>
  <c r="A30" i="18"/>
  <c r="G30" i="18"/>
  <c r="A34" i="18"/>
  <c r="G34" i="18"/>
  <c r="A38" i="18"/>
  <c r="G38" i="18"/>
  <c r="A45" i="18"/>
  <c r="G45" i="18"/>
  <c r="A49" i="18"/>
  <c r="G49" i="18"/>
  <c r="A53" i="18"/>
  <c r="G53" i="18"/>
  <c r="A55" i="18"/>
  <c r="G55" i="18"/>
  <c r="A59" i="18"/>
  <c r="G59" i="18"/>
  <c r="A63" i="18"/>
  <c r="G63" i="18"/>
  <c r="A67" i="18"/>
  <c r="G67" i="18"/>
  <c r="A15" i="19"/>
  <c r="G15" i="19"/>
  <c r="A19" i="19"/>
  <c r="G19" i="19"/>
  <c r="A23" i="19"/>
  <c r="G23" i="19"/>
  <c r="A28" i="19"/>
  <c r="G28" i="19"/>
  <c r="G32" i="19"/>
  <c r="A32" i="19"/>
  <c r="G40" i="19"/>
  <c r="A40" i="19"/>
  <c r="G51" i="19"/>
  <c r="A51" i="19"/>
  <c r="G59" i="19"/>
  <c r="A59" i="19"/>
  <c r="G67" i="19"/>
  <c r="A67" i="19"/>
  <c r="A12" i="18"/>
  <c r="A14" i="18"/>
  <c r="A16" i="18"/>
  <c r="A18" i="18"/>
  <c r="A20" i="18"/>
  <c r="A23" i="18"/>
  <c r="G23" i="18"/>
  <c r="A27" i="18"/>
  <c r="G27" i="18"/>
  <c r="A31" i="18"/>
  <c r="G31" i="18"/>
  <c r="A35" i="18"/>
  <c r="G35" i="18"/>
  <c r="A39" i="18"/>
  <c r="G39" i="18"/>
  <c r="A46" i="18"/>
  <c r="G46" i="18"/>
  <c r="A50" i="18"/>
  <c r="G50" i="18"/>
  <c r="A54" i="18"/>
  <c r="G54" i="18"/>
  <c r="A58" i="18"/>
  <c r="G58" i="18"/>
  <c r="A62" i="18"/>
  <c r="G62" i="18"/>
  <c r="A66" i="18"/>
  <c r="G66" i="18"/>
  <c r="A12" i="19"/>
  <c r="G12" i="19"/>
  <c r="A16" i="19"/>
  <c r="G16" i="19"/>
  <c r="A20" i="19"/>
  <c r="G20" i="19"/>
  <c r="A24" i="19"/>
  <c r="G24" i="19"/>
  <c r="A27" i="19"/>
  <c r="G27" i="19"/>
  <c r="G34" i="19"/>
  <c r="A34" i="19"/>
  <c r="G45" i="19"/>
  <c r="A45" i="19"/>
  <c r="G53" i="19"/>
  <c r="A53" i="19"/>
  <c r="G61" i="19"/>
  <c r="A61" i="19"/>
  <c r="G69" i="19"/>
  <c r="A69" i="19"/>
  <c r="A24" i="18"/>
  <c r="G24" i="18"/>
  <c r="A28" i="18"/>
  <c r="G28" i="18"/>
  <c r="A32" i="18"/>
  <c r="G32" i="18"/>
  <c r="A36" i="18"/>
  <c r="G36" i="18"/>
  <c r="A40" i="18"/>
  <c r="G40" i="18"/>
  <c r="A47" i="18"/>
  <c r="G47" i="18"/>
  <c r="A51" i="18"/>
  <c r="G51" i="18"/>
  <c r="A57" i="18"/>
  <c r="G57" i="18"/>
  <c r="A61" i="18"/>
  <c r="G61" i="18"/>
  <c r="A65" i="18"/>
  <c r="G65" i="18"/>
  <c r="A69" i="18"/>
  <c r="G69" i="18"/>
  <c r="A13" i="19"/>
  <c r="G13" i="19"/>
  <c r="A17" i="19"/>
  <c r="G17" i="19"/>
  <c r="A21" i="19"/>
  <c r="G21" i="19"/>
  <c r="A26" i="19"/>
  <c r="G26" i="19"/>
  <c r="G36" i="19"/>
  <c r="A36" i="19"/>
  <c r="G47" i="19"/>
  <c r="A47" i="19"/>
  <c r="G55" i="19"/>
  <c r="A55" i="19"/>
  <c r="G63" i="19"/>
  <c r="A63" i="19"/>
  <c r="G71" i="19"/>
  <c r="A71" i="19"/>
  <c r="A74" i="19"/>
  <c r="G74" i="19"/>
  <c r="G14" i="20"/>
  <c r="A14" i="20"/>
  <c r="A33" i="19"/>
  <c r="A37" i="19"/>
  <c r="A41" i="19"/>
  <c r="A48" i="19"/>
  <c r="A52" i="19"/>
  <c r="A56" i="19"/>
  <c r="A60" i="19"/>
  <c r="A64" i="19"/>
  <c r="A68" i="19"/>
  <c r="A72" i="19"/>
  <c r="G12" i="20"/>
  <c r="A12" i="20"/>
  <c r="A31" i="19"/>
  <c r="A35" i="19"/>
  <c r="A39" i="19"/>
  <c r="A46" i="19"/>
  <c r="A50" i="19"/>
  <c r="A54" i="19"/>
  <c r="A58" i="19"/>
  <c r="A62" i="19"/>
  <c r="A66" i="19"/>
  <c r="A70" i="19"/>
  <c r="A19" i="20"/>
  <c r="A16" i="20"/>
  <c r="A18" i="20"/>
  <c r="A20" i="20"/>
  <c r="A22" i="20"/>
  <c r="A24" i="20"/>
  <c r="A26" i="20"/>
  <c r="A28" i="20"/>
  <c r="A30" i="20"/>
  <c r="A32" i="20"/>
  <c r="A34" i="20"/>
  <c r="A36" i="20"/>
  <c r="A38" i="20"/>
  <c r="A40" i="20"/>
  <c r="A45" i="20"/>
  <c r="A47" i="20"/>
  <c r="A49" i="20"/>
  <c r="A51" i="20"/>
  <c r="A53" i="20"/>
  <c r="A55" i="20"/>
  <c r="A57" i="20"/>
  <c r="G57" i="20"/>
  <c r="A58" i="20"/>
  <c r="G58" i="20"/>
  <c r="A50" i="20"/>
  <c r="A52" i="20"/>
  <c r="A54" i="20"/>
  <c r="A56" i="20"/>
  <c r="A64" i="20"/>
  <c r="A68" i="20"/>
  <c r="A72" i="20"/>
  <c r="G13" i="21"/>
  <c r="A13" i="21"/>
  <c r="A16" i="21"/>
  <c r="G21" i="21"/>
  <c r="A21" i="21"/>
  <c r="G59" i="20"/>
  <c r="G60" i="20"/>
  <c r="G61" i="20"/>
  <c r="G62" i="20"/>
  <c r="A65" i="20"/>
  <c r="A69" i="20"/>
  <c r="A73" i="20"/>
  <c r="A14" i="21"/>
  <c r="G19" i="21"/>
  <c r="A19" i="21"/>
  <c r="A22" i="21"/>
  <c r="A63" i="20"/>
  <c r="A66" i="20"/>
  <c r="A70" i="20"/>
  <c r="A74" i="20"/>
  <c r="E7" i="21"/>
  <c r="A12" i="21"/>
  <c r="G17" i="21"/>
  <c r="A17" i="21"/>
  <c r="G15" i="21"/>
  <c r="A15" i="21"/>
  <c r="A45" i="21"/>
  <c r="G49" i="21"/>
  <c r="A49" i="21"/>
  <c r="G53" i="21"/>
  <c r="A53" i="21"/>
  <c r="A54" i="21"/>
  <c r="G54" i="21"/>
  <c r="G50" i="21"/>
  <c r="A50" i="21"/>
  <c r="A23" i="21"/>
  <c r="A25" i="21"/>
  <c r="A27" i="21"/>
  <c r="A29" i="21"/>
  <c r="A31" i="21"/>
  <c r="A33" i="21"/>
  <c r="A35" i="21"/>
  <c r="A37" i="21"/>
  <c r="A39" i="21"/>
  <c r="A41" i="21"/>
  <c r="A46" i="21"/>
  <c r="A48" i="21"/>
  <c r="G51" i="21"/>
  <c r="A51" i="21"/>
  <c r="A56" i="21"/>
  <c r="G56" i="21"/>
  <c r="A57" i="21"/>
  <c r="G57" i="21"/>
  <c r="G52" i="21"/>
  <c r="A52" i="21"/>
  <c r="A58" i="21"/>
  <c r="G58" i="21"/>
  <c r="G60" i="21"/>
  <c r="G64" i="21"/>
  <c r="G68" i="21"/>
  <c r="G72" i="21"/>
  <c r="G13" i="22"/>
  <c r="A13" i="22"/>
  <c r="G17" i="22"/>
  <c r="A17" i="22"/>
  <c r="G21" i="22"/>
  <c r="A21" i="22"/>
  <c r="G25" i="22"/>
  <c r="A25" i="22"/>
  <c r="G29" i="22"/>
  <c r="A29" i="22"/>
  <c r="G33" i="22"/>
  <c r="A33" i="22"/>
  <c r="G37" i="22"/>
  <c r="A37" i="22"/>
  <c r="G55" i="21"/>
  <c r="G59" i="21"/>
  <c r="G63" i="21"/>
  <c r="G67" i="21"/>
  <c r="G71" i="21"/>
  <c r="G14" i="22"/>
  <c r="A14" i="22"/>
  <c r="G18" i="22"/>
  <c r="A18" i="22"/>
  <c r="G22" i="22"/>
  <c r="A22" i="22"/>
  <c r="G26" i="22"/>
  <c r="A26" i="22"/>
  <c r="G30" i="22"/>
  <c r="A30" i="22"/>
  <c r="G34" i="22"/>
  <c r="A34" i="22"/>
  <c r="G38" i="22"/>
  <c r="A38" i="22"/>
  <c r="G40" i="22"/>
  <c r="A40" i="22"/>
  <c r="G15" i="22"/>
  <c r="A15" i="22"/>
  <c r="G19" i="22"/>
  <c r="A19" i="22"/>
  <c r="G23" i="22"/>
  <c r="A23" i="22"/>
  <c r="G27" i="22"/>
  <c r="A27" i="22"/>
  <c r="G31" i="22"/>
  <c r="A31" i="22"/>
  <c r="G35" i="22"/>
  <c r="A35" i="22"/>
  <c r="G39" i="22"/>
  <c r="A39" i="22"/>
  <c r="G12" i="22"/>
  <c r="A12" i="22"/>
  <c r="G16" i="22"/>
  <c r="A16" i="22"/>
  <c r="G20" i="22"/>
  <c r="A20" i="22"/>
  <c r="G24" i="22"/>
  <c r="A24" i="22"/>
  <c r="G28" i="22"/>
  <c r="A28" i="22"/>
  <c r="G32" i="22"/>
  <c r="A32" i="22"/>
  <c r="G36" i="22"/>
  <c r="A36" i="22"/>
  <c r="A45" i="22"/>
  <c r="A49" i="22"/>
  <c r="A53" i="22"/>
  <c r="A57" i="22"/>
  <c r="A61" i="22"/>
  <c r="A65" i="22"/>
  <c r="G64" i="22"/>
  <c r="A64" i="22"/>
  <c r="A47" i="22"/>
  <c r="A51" i="22"/>
  <c r="A55" i="22"/>
  <c r="A59" i="22"/>
  <c r="G68" i="22"/>
  <c r="A68" i="22"/>
  <c r="G66" i="22"/>
  <c r="A66" i="22"/>
  <c r="A70" i="22"/>
  <c r="A72" i="22"/>
  <c r="A74" i="22"/>
  <c r="I27" i="1" l="1"/>
  <c r="D101" i="6"/>
  <c r="A101" i="6"/>
  <c r="E101" i="6"/>
  <c r="C101" i="6"/>
  <c r="E60" i="4"/>
  <c r="D60" i="4"/>
  <c r="A60" i="4"/>
  <c r="C60" i="4"/>
  <c r="E52" i="4"/>
  <c r="D52" i="4"/>
  <c r="A52" i="4"/>
  <c r="C52" i="4"/>
  <c r="E44" i="4"/>
  <c r="D44" i="4"/>
  <c r="A44" i="4"/>
  <c r="C44" i="4"/>
  <c r="E36" i="4"/>
  <c r="D36" i="4"/>
  <c r="A36" i="4"/>
  <c r="C36" i="4"/>
  <c r="E28" i="4"/>
  <c r="D28" i="4"/>
  <c r="A28" i="4"/>
  <c r="C28" i="4"/>
  <c r="E20" i="4"/>
  <c r="D20" i="4"/>
  <c r="A20" i="4"/>
  <c r="C20" i="4"/>
  <c r="E12" i="4"/>
  <c r="D12" i="4"/>
  <c r="A12" i="4"/>
  <c r="C12" i="4"/>
  <c r="D91" i="6"/>
  <c r="A91" i="6"/>
  <c r="C91" i="6"/>
  <c r="E91" i="6"/>
  <c r="D97" i="6"/>
  <c r="A97" i="6"/>
  <c r="E97" i="6"/>
  <c r="C97" i="6"/>
  <c r="D55" i="4"/>
  <c r="A55" i="4"/>
  <c r="C55" i="4"/>
  <c r="E55" i="4"/>
  <c r="D47" i="4"/>
  <c r="A47" i="4"/>
  <c r="C47" i="4"/>
  <c r="E47" i="4"/>
  <c r="D39" i="4"/>
  <c r="A39" i="4"/>
  <c r="C39" i="4"/>
  <c r="E39" i="4"/>
  <c r="D31" i="4"/>
  <c r="A31" i="4"/>
  <c r="C31" i="4"/>
  <c r="E31" i="4"/>
  <c r="D23" i="4"/>
  <c r="A23" i="4"/>
  <c r="C23" i="4"/>
  <c r="E23" i="4"/>
  <c r="D15" i="4"/>
  <c r="A15" i="4"/>
  <c r="C15" i="4"/>
  <c r="E15" i="4"/>
  <c r="E84" i="8"/>
  <c r="D84" i="8"/>
  <c r="A84" i="8"/>
  <c r="C84" i="8"/>
  <c r="E92" i="8"/>
  <c r="D92" i="8"/>
  <c r="A92" i="8"/>
  <c r="C92" i="8"/>
  <c r="E100" i="8"/>
  <c r="D100" i="8"/>
  <c r="A100" i="8"/>
  <c r="C100" i="8"/>
  <c r="D85" i="9"/>
  <c r="A85" i="9"/>
  <c r="E85" i="9"/>
  <c r="C85" i="9"/>
  <c r="D81" i="7"/>
  <c r="A81" i="7"/>
  <c r="C81" i="7"/>
  <c r="E81" i="7"/>
  <c r="D89" i="7"/>
  <c r="A89" i="7"/>
  <c r="C89" i="7"/>
  <c r="E89" i="7"/>
  <c r="D97" i="7"/>
  <c r="A97" i="7"/>
  <c r="C97" i="7"/>
  <c r="E97" i="7"/>
  <c r="D105" i="7"/>
  <c r="A105" i="7"/>
  <c r="C105" i="7"/>
  <c r="E105" i="7"/>
  <c r="D95" i="9"/>
  <c r="A95" i="9"/>
  <c r="E95" i="9"/>
  <c r="C95" i="9"/>
  <c r="D82" i="6"/>
  <c r="C82" i="6"/>
  <c r="E82" i="6"/>
  <c r="A82" i="6"/>
  <c r="D90" i="6"/>
  <c r="C90" i="6"/>
  <c r="E90" i="6"/>
  <c r="A90" i="6"/>
  <c r="D98" i="6"/>
  <c r="C98" i="6"/>
  <c r="E98" i="6"/>
  <c r="A98" i="6"/>
  <c r="D106" i="6"/>
  <c r="C106" i="6"/>
  <c r="E106" i="6"/>
  <c r="A106" i="6"/>
  <c r="C85" i="8"/>
  <c r="E85" i="8"/>
  <c r="D85" i="8"/>
  <c r="A85" i="8"/>
  <c r="C93" i="8"/>
  <c r="E93" i="8"/>
  <c r="D93" i="8"/>
  <c r="A93" i="8"/>
  <c r="C101" i="8"/>
  <c r="E101" i="8"/>
  <c r="D101" i="8"/>
  <c r="A101" i="8"/>
  <c r="D81" i="9"/>
  <c r="A81" i="9"/>
  <c r="C81" i="9"/>
  <c r="E81" i="9"/>
  <c r="D78" i="7"/>
  <c r="A78" i="7"/>
  <c r="C78" i="7"/>
  <c r="E86" i="7"/>
  <c r="D86" i="7"/>
  <c r="A86" i="7"/>
  <c r="C86" i="7"/>
  <c r="E94" i="7"/>
  <c r="D94" i="7"/>
  <c r="A94" i="7"/>
  <c r="C94" i="7"/>
  <c r="E102" i="7"/>
  <c r="D102" i="7"/>
  <c r="A102" i="7"/>
  <c r="C102" i="7"/>
  <c r="D91" i="9"/>
  <c r="A91" i="9"/>
  <c r="E91" i="9"/>
  <c r="C91" i="9"/>
  <c r="E81" i="10"/>
  <c r="D81" i="10"/>
  <c r="A81" i="10"/>
  <c r="C81" i="10"/>
  <c r="E89" i="10"/>
  <c r="D89" i="10"/>
  <c r="A89" i="10"/>
  <c r="C89" i="10"/>
  <c r="E97" i="10"/>
  <c r="D97" i="10"/>
  <c r="A97" i="10"/>
  <c r="C97" i="10"/>
  <c r="E105" i="10"/>
  <c r="D105" i="10"/>
  <c r="A105" i="10"/>
  <c r="C105" i="10"/>
  <c r="E82" i="12"/>
  <c r="D82" i="12"/>
  <c r="A82" i="12"/>
  <c r="C82" i="12"/>
  <c r="E90" i="12"/>
  <c r="D90" i="12"/>
  <c r="A90" i="12"/>
  <c r="C90" i="12"/>
  <c r="E98" i="12"/>
  <c r="D98" i="12"/>
  <c r="A98" i="12"/>
  <c r="C98" i="12"/>
  <c r="E106" i="12"/>
  <c r="D106" i="12"/>
  <c r="A106" i="12"/>
  <c r="C106" i="12"/>
  <c r="E84" i="9"/>
  <c r="A84" i="9"/>
  <c r="D84" i="9"/>
  <c r="C84" i="9"/>
  <c r="E92" i="9"/>
  <c r="A92" i="9"/>
  <c r="D92" i="9"/>
  <c r="C92" i="9"/>
  <c r="E100" i="9"/>
  <c r="A100" i="9"/>
  <c r="D100" i="9"/>
  <c r="C100" i="9"/>
  <c r="D79" i="11"/>
  <c r="A79" i="11"/>
  <c r="C79" i="11"/>
  <c r="E79" i="11"/>
  <c r="D87" i="11"/>
  <c r="A87" i="11"/>
  <c r="C87" i="11"/>
  <c r="E87" i="11"/>
  <c r="D95" i="11"/>
  <c r="A95" i="11"/>
  <c r="C95" i="11"/>
  <c r="E95" i="11"/>
  <c r="D103" i="11"/>
  <c r="A103" i="11"/>
  <c r="C103" i="11"/>
  <c r="E103" i="11"/>
  <c r="C80" i="10"/>
  <c r="E80" i="10"/>
  <c r="D80" i="10"/>
  <c r="A80" i="10"/>
  <c r="C88" i="10"/>
  <c r="E88" i="10"/>
  <c r="D88" i="10"/>
  <c r="A88" i="10"/>
  <c r="C96" i="10"/>
  <c r="E96" i="10"/>
  <c r="D96" i="10"/>
  <c r="A96" i="10"/>
  <c r="C104" i="10"/>
  <c r="E104" i="10"/>
  <c r="D104" i="10"/>
  <c r="A104" i="10"/>
  <c r="C83" i="12"/>
  <c r="E83" i="12"/>
  <c r="D83" i="12"/>
  <c r="A83" i="12"/>
  <c r="C91" i="12"/>
  <c r="E91" i="12"/>
  <c r="D91" i="12"/>
  <c r="A91" i="12"/>
  <c r="C99" i="12"/>
  <c r="E99" i="12"/>
  <c r="D99" i="12"/>
  <c r="A99" i="12"/>
  <c r="C107" i="12"/>
  <c r="E107" i="12"/>
  <c r="D107" i="12"/>
  <c r="A107" i="12"/>
  <c r="E84" i="11"/>
  <c r="D84" i="11"/>
  <c r="A84" i="11"/>
  <c r="C84" i="11"/>
  <c r="E92" i="11"/>
  <c r="D92" i="11"/>
  <c r="A92" i="11"/>
  <c r="C92" i="11"/>
  <c r="E100" i="11"/>
  <c r="D100" i="11"/>
  <c r="A100" i="11"/>
  <c r="C100" i="11"/>
  <c r="D78" i="14"/>
  <c r="A78" i="14"/>
  <c r="C78" i="14"/>
  <c r="E86" i="14"/>
  <c r="D86" i="14"/>
  <c r="A86" i="14"/>
  <c r="C86" i="14"/>
  <c r="E94" i="14"/>
  <c r="D94" i="14"/>
  <c r="A94" i="14"/>
  <c r="C94" i="14"/>
  <c r="E102" i="14"/>
  <c r="D102" i="14"/>
  <c r="A102" i="14"/>
  <c r="C102" i="14"/>
  <c r="D81" i="13"/>
  <c r="A81" i="13"/>
  <c r="C81" i="13"/>
  <c r="E81" i="13"/>
  <c r="D89" i="13"/>
  <c r="A89" i="13"/>
  <c r="C89" i="13"/>
  <c r="E89" i="13"/>
  <c r="D97" i="13"/>
  <c r="A97" i="13"/>
  <c r="C97" i="13"/>
  <c r="E97" i="13"/>
  <c r="D105" i="13"/>
  <c r="A105" i="13"/>
  <c r="C105" i="13"/>
  <c r="E105" i="13"/>
  <c r="C83" i="14"/>
  <c r="E83" i="14"/>
  <c r="D83" i="14"/>
  <c r="A83" i="14"/>
  <c r="C91" i="14"/>
  <c r="E91" i="14"/>
  <c r="D91" i="14"/>
  <c r="A91" i="14"/>
  <c r="C99" i="14"/>
  <c r="E99" i="14"/>
  <c r="D99" i="14"/>
  <c r="A99" i="14"/>
  <c r="C107" i="14"/>
  <c r="E107" i="14"/>
  <c r="D107" i="14"/>
  <c r="A107" i="14"/>
  <c r="E84" i="13"/>
  <c r="D84" i="13"/>
  <c r="A84" i="13"/>
  <c r="C84" i="13"/>
  <c r="E92" i="13"/>
  <c r="D92" i="13"/>
  <c r="A92" i="13"/>
  <c r="C92" i="13"/>
  <c r="E100" i="13"/>
  <c r="D100" i="13"/>
  <c r="A100" i="13"/>
  <c r="C100" i="13"/>
  <c r="D79" i="15"/>
  <c r="E79" i="15" s="1"/>
  <c r="A79" i="15"/>
  <c r="C79" i="15"/>
  <c r="D87" i="15"/>
  <c r="A87" i="15"/>
  <c r="C87" i="15"/>
  <c r="E87" i="15"/>
  <c r="D95" i="15"/>
  <c r="A95" i="15"/>
  <c r="C95" i="15"/>
  <c r="E95" i="15"/>
  <c r="D103" i="15"/>
  <c r="A103" i="15"/>
  <c r="C103" i="15"/>
  <c r="E103" i="15"/>
  <c r="D81" i="16"/>
  <c r="A81" i="16"/>
  <c r="C81" i="16"/>
  <c r="E81" i="16"/>
  <c r="D89" i="16"/>
  <c r="A89" i="16"/>
  <c r="C89" i="16"/>
  <c r="E89" i="16"/>
  <c r="D97" i="16"/>
  <c r="A97" i="16"/>
  <c r="C97" i="16"/>
  <c r="E97" i="16"/>
  <c r="D105" i="16"/>
  <c r="A105" i="16"/>
  <c r="C105" i="16"/>
  <c r="E105" i="16"/>
  <c r="E82" i="15"/>
  <c r="D82" i="15"/>
  <c r="A82" i="15"/>
  <c r="C82" i="15"/>
  <c r="E90" i="15"/>
  <c r="D90" i="15"/>
  <c r="A90" i="15"/>
  <c r="C90" i="15"/>
  <c r="E98" i="15"/>
  <c r="D98" i="15"/>
  <c r="A98" i="15"/>
  <c r="C98" i="15"/>
  <c r="E106" i="15"/>
  <c r="D106" i="15"/>
  <c r="A106" i="15"/>
  <c r="C106" i="15"/>
  <c r="E84" i="16"/>
  <c r="D84" i="16"/>
  <c r="A84" i="16"/>
  <c r="C84" i="16"/>
  <c r="E92" i="16"/>
  <c r="D92" i="16"/>
  <c r="A92" i="16"/>
  <c r="C92" i="16"/>
  <c r="E100" i="16"/>
  <c r="D100" i="16"/>
  <c r="A100" i="16"/>
  <c r="C100" i="16"/>
  <c r="D78" i="18"/>
  <c r="A78" i="18"/>
  <c r="C78" i="18"/>
  <c r="E86" i="18"/>
  <c r="D86" i="18"/>
  <c r="A86" i="18"/>
  <c r="C86" i="18"/>
  <c r="E94" i="18"/>
  <c r="D94" i="18"/>
  <c r="A94" i="18"/>
  <c r="C94" i="18"/>
  <c r="E102" i="18"/>
  <c r="D102" i="18"/>
  <c r="A102" i="18"/>
  <c r="C102" i="18"/>
  <c r="D79" i="17"/>
  <c r="A79" i="17"/>
  <c r="C79" i="17"/>
  <c r="E79" i="17"/>
  <c r="D87" i="17"/>
  <c r="A87" i="17"/>
  <c r="C87" i="17"/>
  <c r="E87" i="17"/>
  <c r="D95" i="17"/>
  <c r="A95" i="17"/>
  <c r="C95" i="17"/>
  <c r="E95" i="17"/>
  <c r="D103" i="17"/>
  <c r="A103" i="17"/>
  <c r="C103" i="17"/>
  <c r="E103" i="17"/>
  <c r="D96" i="19"/>
  <c r="A96" i="19"/>
  <c r="E96" i="19"/>
  <c r="C96" i="19"/>
  <c r="C85" i="18"/>
  <c r="E85" i="18"/>
  <c r="D85" i="18"/>
  <c r="A85" i="18"/>
  <c r="C93" i="18"/>
  <c r="E93" i="18"/>
  <c r="D93" i="18"/>
  <c r="A93" i="18"/>
  <c r="C101" i="18"/>
  <c r="E101" i="18"/>
  <c r="D101" i="18"/>
  <c r="A101" i="18"/>
  <c r="D82" i="19"/>
  <c r="A82" i="19"/>
  <c r="C82" i="19"/>
  <c r="E82" i="19"/>
  <c r="D80" i="17"/>
  <c r="A80" i="17"/>
  <c r="E80" i="17"/>
  <c r="C80" i="17"/>
  <c r="D88" i="17"/>
  <c r="A88" i="17"/>
  <c r="E88" i="17"/>
  <c r="C88" i="17"/>
  <c r="D96" i="17"/>
  <c r="A96" i="17"/>
  <c r="E96" i="17"/>
  <c r="C96" i="17"/>
  <c r="D104" i="17"/>
  <c r="A104" i="17"/>
  <c r="E104" i="17"/>
  <c r="C104" i="17"/>
  <c r="D84" i="19"/>
  <c r="A84" i="19"/>
  <c r="E84" i="19"/>
  <c r="C84" i="19"/>
  <c r="E79" i="19"/>
  <c r="A79" i="19"/>
  <c r="D79" i="19"/>
  <c r="C79" i="19"/>
  <c r="E87" i="19"/>
  <c r="A87" i="19"/>
  <c r="C87" i="19"/>
  <c r="D87" i="19"/>
  <c r="E95" i="19"/>
  <c r="A95" i="19"/>
  <c r="D95" i="19"/>
  <c r="C95" i="19"/>
  <c r="D103" i="19"/>
  <c r="A103" i="19"/>
  <c r="E103" i="19"/>
  <c r="C103" i="19"/>
  <c r="E80" i="20"/>
  <c r="D80" i="20"/>
  <c r="C80" i="20"/>
  <c r="A80" i="20"/>
  <c r="D98" i="19"/>
  <c r="A98" i="19"/>
  <c r="C98" i="19"/>
  <c r="E98" i="19"/>
  <c r="D106" i="19"/>
  <c r="A106" i="19"/>
  <c r="E106" i="19"/>
  <c r="C106" i="19"/>
  <c r="A86" i="20"/>
  <c r="E86" i="20"/>
  <c r="D86" i="20"/>
  <c r="C86" i="20"/>
  <c r="D94" i="20"/>
  <c r="A94" i="20"/>
  <c r="C94" i="20"/>
  <c r="E94" i="20"/>
  <c r="D102" i="20"/>
  <c r="A102" i="20"/>
  <c r="C102" i="20"/>
  <c r="E102" i="20"/>
  <c r="D93" i="20"/>
  <c r="A93" i="20"/>
  <c r="E93" i="20"/>
  <c r="C93" i="20"/>
  <c r="D101" i="20"/>
  <c r="A101" i="20"/>
  <c r="C101" i="20"/>
  <c r="E101" i="20"/>
  <c r="D78" i="21"/>
  <c r="A78" i="21"/>
  <c r="E78" i="21"/>
  <c r="C78" i="21"/>
  <c r="D86" i="21"/>
  <c r="A86" i="21"/>
  <c r="E86" i="21"/>
  <c r="C86" i="21"/>
  <c r="D94" i="21"/>
  <c r="A94" i="21"/>
  <c r="E94" i="21"/>
  <c r="C94" i="21"/>
  <c r="D102" i="21"/>
  <c r="A102" i="21"/>
  <c r="E102" i="21"/>
  <c r="C102" i="21"/>
  <c r="D81" i="21"/>
  <c r="A81" i="21"/>
  <c r="E81" i="21"/>
  <c r="C81" i="21"/>
  <c r="D89" i="21"/>
  <c r="A89" i="21"/>
  <c r="C89" i="21"/>
  <c r="E89" i="21"/>
  <c r="D97" i="21"/>
  <c r="A97" i="21"/>
  <c r="C97" i="21"/>
  <c r="E97" i="21"/>
  <c r="D105" i="21"/>
  <c r="A105" i="21"/>
  <c r="C105" i="21"/>
  <c r="E105" i="21"/>
  <c r="C88" i="22"/>
  <c r="E88" i="22"/>
  <c r="A88" i="22"/>
  <c r="D88" i="22"/>
  <c r="C104" i="22"/>
  <c r="E104" i="22"/>
  <c r="A104" i="22"/>
  <c r="D104" i="22"/>
  <c r="E91" i="22"/>
  <c r="C91" i="22"/>
  <c r="D91" i="22"/>
  <c r="A91" i="22"/>
  <c r="C78" i="22"/>
  <c r="D78" i="22"/>
  <c r="E78" i="22" s="1"/>
  <c r="A78" i="22"/>
  <c r="C94" i="22"/>
  <c r="E94" i="22"/>
  <c r="D94" i="22"/>
  <c r="A94" i="22"/>
  <c r="E85" i="22"/>
  <c r="C85" i="22"/>
  <c r="A85" i="22"/>
  <c r="D85" i="22"/>
  <c r="E101" i="22"/>
  <c r="C101" i="22"/>
  <c r="A101" i="22"/>
  <c r="D101" i="22"/>
  <c r="D79" i="6"/>
  <c r="A79" i="6"/>
  <c r="E79" i="6"/>
  <c r="C79" i="6"/>
  <c r="E58" i="4"/>
  <c r="D58" i="4"/>
  <c r="A58" i="4"/>
  <c r="C58" i="4"/>
  <c r="E50" i="4"/>
  <c r="D50" i="4"/>
  <c r="A50" i="4"/>
  <c r="C50" i="4"/>
  <c r="E42" i="4"/>
  <c r="D42" i="4"/>
  <c r="A42" i="4"/>
  <c r="C42" i="4"/>
  <c r="E34" i="4"/>
  <c r="D34" i="4"/>
  <c r="A34" i="4"/>
  <c r="C34" i="4"/>
  <c r="E26" i="4"/>
  <c r="D26" i="4"/>
  <c r="A26" i="4"/>
  <c r="C26" i="4"/>
  <c r="E18" i="4"/>
  <c r="D18" i="4"/>
  <c r="A18" i="4"/>
  <c r="C18" i="4"/>
  <c r="D83" i="6"/>
  <c r="A83" i="6"/>
  <c r="C83" i="6"/>
  <c r="E83" i="6"/>
  <c r="D89" i="6"/>
  <c r="A89" i="6"/>
  <c r="E89" i="6"/>
  <c r="C89" i="6"/>
  <c r="D53" i="4"/>
  <c r="A53" i="4"/>
  <c r="C53" i="4"/>
  <c r="E53" i="4"/>
  <c r="D45" i="4"/>
  <c r="A45" i="4"/>
  <c r="C45" i="4"/>
  <c r="E45" i="4"/>
  <c r="D37" i="4"/>
  <c r="A37" i="4"/>
  <c r="C37" i="4"/>
  <c r="E37" i="4"/>
  <c r="D29" i="4"/>
  <c r="A29" i="4"/>
  <c r="C29" i="4"/>
  <c r="E29" i="4"/>
  <c r="D21" i="4"/>
  <c r="A21" i="4"/>
  <c r="C21" i="4"/>
  <c r="E21" i="4"/>
  <c r="D13" i="4"/>
  <c r="A13" i="4"/>
  <c r="C13" i="4"/>
  <c r="E13" i="4"/>
  <c r="D78" i="8"/>
  <c r="A78" i="8"/>
  <c r="C78" i="8"/>
  <c r="E86" i="8"/>
  <c r="D86" i="8"/>
  <c r="A86" i="8"/>
  <c r="C86" i="8"/>
  <c r="E94" i="8"/>
  <c r="D94" i="8"/>
  <c r="A94" i="8"/>
  <c r="C94" i="8"/>
  <c r="E102" i="8"/>
  <c r="D102" i="8"/>
  <c r="A102" i="8"/>
  <c r="C102" i="8"/>
  <c r="D93" i="9"/>
  <c r="A93" i="9"/>
  <c r="E93" i="9"/>
  <c r="C93" i="9"/>
  <c r="D83" i="7"/>
  <c r="A83" i="7"/>
  <c r="C83" i="7"/>
  <c r="E83" i="7"/>
  <c r="D91" i="7"/>
  <c r="A91" i="7"/>
  <c r="C91" i="7"/>
  <c r="E91" i="7"/>
  <c r="D99" i="7"/>
  <c r="A99" i="7"/>
  <c r="C99" i="7"/>
  <c r="E99" i="7"/>
  <c r="D107" i="7"/>
  <c r="A107" i="7"/>
  <c r="C107" i="7"/>
  <c r="E107" i="7"/>
  <c r="D103" i="9"/>
  <c r="A103" i="9"/>
  <c r="E103" i="9"/>
  <c r="C103" i="9"/>
  <c r="C84" i="6"/>
  <c r="E84" i="6"/>
  <c r="A84" i="6"/>
  <c r="D84" i="6"/>
  <c r="C92" i="6"/>
  <c r="E92" i="6"/>
  <c r="A92" i="6"/>
  <c r="D92" i="6"/>
  <c r="C100" i="6"/>
  <c r="E100" i="6"/>
  <c r="A100" i="6"/>
  <c r="D100" i="6"/>
  <c r="C79" i="8"/>
  <c r="E79" i="8"/>
  <c r="D79" i="8"/>
  <c r="A79" i="8"/>
  <c r="C87" i="8"/>
  <c r="E87" i="8"/>
  <c r="D87" i="8"/>
  <c r="A87" i="8"/>
  <c r="C95" i="8"/>
  <c r="E95" i="8"/>
  <c r="D95" i="8"/>
  <c r="A95" i="8"/>
  <c r="C103" i="8"/>
  <c r="E103" i="8"/>
  <c r="D103" i="8"/>
  <c r="A103" i="8"/>
  <c r="D89" i="9"/>
  <c r="A89" i="9"/>
  <c r="C89" i="9"/>
  <c r="E89" i="9"/>
  <c r="E80" i="7"/>
  <c r="D80" i="7"/>
  <c r="A80" i="7"/>
  <c r="C80" i="7"/>
  <c r="E88" i="7"/>
  <c r="D88" i="7"/>
  <c r="A88" i="7"/>
  <c r="C88" i="7"/>
  <c r="E96" i="7"/>
  <c r="D96" i="7"/>
  <c r="A96" i="7"/>
  <c r="C96" i="7"/>
  <c r="E104" i="7"/>
  <c r="D104" i="7"/>
  <c r="A104" i="7"/>
  <c r="C104" i="7"/>
  <c r="D99" i="9"/>
  <c r="A99" i="9"/>
  <c r="E99" i="9"/>
  <c r="C99" i="9"/>
  <c r="E83" i="10"/>
  <c r="D83" i="10"/>
  <c r="A83" i="10"/>
  <c r="C83" i="10"/>
  <c r="E91" i="10"/>
  <c r="D91" i="10"/>
  <c r="A91" i="10"/>
  <c r="C91" i="10"/>
  <c r="E99" i="10"/>
  <c r="D99" i="10"/>
  <c r="A99" i="10"/>
  <c r="C99" i="10"/>
  <c r="E107" i="10"/>
  <c r="D107" i="10"/>
  <c r="A107" i="10"/>
  <c r="C107" i="10"/>
  <c r="E84" i="12"/>
  <c r="D84" i="12"/>
  <c r="A84" i="12"/>
  <c r="C84" i="12"/>
  <c r="E92" i="12"/>
  <c r="D92" i="12"/>
  <c r="A92" i="12"/>
  <c r="C92" i="12"/>
  <c r="E100" i="12"/>
  <c r="D100" i="12"/>
  <c r="A100" i="12"/>
  <c r="C100" i="12"/>
  <c r="E78" i="9"/>
  <c r="A78" i="9"/>
  <c r="D78" i="9"/>
  <c r="C78" i="9"/>
  <c r="E86" i="9"/>
  <c r="A86" i="9"/>
  <c r="D86" i="9"/>
  <c r="C86" i="9"/>
  <c r="E94" i="9"/>
  <c r="A94" i="9"/>
  <c r="D94" i="9"/>
  <c r="C94" i="9"/>
  <c r="E102" i="9"/>
  <c r="A102" i="9"/>
  <c r="D102" i="9"/>
  <c r="C102" i="9"/>
  <c r="D81" i="11"/>
  <c r="A81" i="11"/>
  <c r="C81" i="11"/>
  <c r="E81" i="11"/>
  <c r="D89" i="11"/>
  <c r="A89" i="11"/>
  <c r="C89" i="11"/>
  <c r="E89" i="11"/>
  <c r="D97" i="11"/>
  <c r="A97" i="11"/>
  <c r="C97" i="11"/>
  <c r="E97" i="11"/>
  <c r="D105" i="11"/>
  <c r="A105" i="11"/>
  <c r="C105" i="11"/>
  <c r="E105" i="11"/>
  <c r="C82" i="10"/>
  <c r="E82" i="10"/>
  <c r="D82" i="10"/>
  <c r="A82" i="10"/>
  <c r="C90" i="10"/>
  <c r="E90" i="10"/>
  <c r="D90" i="10"/>
  <c r="A90" i="10"/>
  <c r="C98" i="10"/>
  <c r="E98" i="10"/>
  <c r="D98" i="10"/>
  <c r="A98" i="10"/>
  <c r="C106" i="10"/>
  <c r="E106" i="10"/>
  <c r="D106" i="10"/>
  <c r="A106" i="10"/>
  <c r="C85" i="12"/>
  <c r="E85" i="12"/>
  <c r="D85" i="12"/>
  <c r="A85" i="12"/>
  <c r="C93" i="12"/>
  <c r="E93" i="12"/>
  <c r="D93" i="12"/>
  <c r="A93" i="12"/>
  <c r="C101" i="12"/>
  <c r="E101" i="12"/>
  <c r="D101" i="12"/>
  <c r="A101" i="12"/>
  <c r="D78" i="11"/>
  <c r="A78" i="11"/>
  <c r="C78" i="11"/>
  <c r="E86" i="11"/>
  <c r="D86" i="11"/>
  <c r="A86" i="11"/>
  <c r="C86" i="11"/>
  <c r="E94" i="11"/>
  <c r="D94" i="11"/>
  <c r="A94" i="11"/>
  <c r="C94" i="11"/>
  <c r="E102" i="11"/>
  <c r="D102" i="11"/>
  <c r="A102" i="11"/>
  <c r="C102" i="11"/>
  <c r="E80" i="14"/>
  <c r="D80" i="14"/>
  <c r="A80" i="14"/>
  <c r="C80" i="14"/>
  <c r="E88" i="14"/>
  <c r="D88" i="14"/>
  <c r="A88" i="14"/>
  <c r="C88" i="14"/>
  <c r="E96" i="14"/>
  <c r="D96" i="14"/>
  <c r="A96" i="14"/>
  <c r="C96" i="14"/>
  <c r="E104" i="14"/>
  <c r="D104" i="14"/>
  <c r="A104" i="14"/>
  <c r="C104" i="14"/>
  <c r="D83" i="13"/>
  <c r="A83" i="13"/>
  <c r="C83" i="13"/>
  <c r="E83" i="13"/>
  <c r="D91" i="13"/>
  <c r="A91" i="13"/>
  <c r="C91" i="13"/>
  <c r="E91" i="13"/>
  <c r="D99" i="13"/>
  <c r="A99" i="13"/>
  <c r="C99" i="13"/>
  <c r="E99" i="13"/>
  <c r="D107" i="13"/>
  <c r="A107" i="13"/>
  <c r="C107" i="13"/>
  <c r="E107" i="13"/>
  <c r="C85" i="14"/>
  <c r="E85" i="14"/>
  <c r="D85" i="14"/>
  <c r="A85" i="14"/>
  <c r="C93" i="14"/>
  <c r="E93" i="14"/>
  <c r="D93" i="14"/>
  <c r="A93" i="14"/>
  <c r="C101" i="14"/>
  <c r="E101" i="14"/>
  <c r="D101" i="14"/>
  <c r="A101" i="14"/>
  <c r="D78" i="13"/>
  <c r="A78" i="13"/>
  <c r="C78" i="13"/>
  <c r="E86" i="13"/>
  <c r="D86" i="13"/>
  <c r="A86" i="13"/>
  <c r="C86" i="13"/>
  <c r="E94" i="13"/>
  <c r="D94" i="13"/>
  <c r="A94" i="13"/>
  <c r="C94" i="13"/>
  <c r="E102" i="13"/>
  <c r="D102" i="13"/>
  <c r="A102" i="13"/>
  <c r="C102" i="13"/>
  <c r="D81" i="15"/>
  <c r="A81" i="15"/>
  <c r="C81" i="15"/>
  <c r="E81" i="15"/>
  <c r="D89" i="15"/>
  <c r="A89" i="15"/>
  <c r="C89" i="15"/>
  <c r="E89" i="15"/>
  <c r="D97" i="15"/>
  <c r="A97" i="15"/>
  <c r="C97" i="15"/>
  <c r="E97" i="15"/>
  <c r="D105" i="15"/>
  <c r="A105" i="15"/>
  <c r="C105" i="15"/>
  <c r="E105" i="15"/>
  <c r="D83" i="16"/>
  <c r="A83" i="16"/>
  <c r="C83" i="16"/>
  <c r="E83" i="16"/>
  <c r="D91" i="16"/>
  <c r="A91" i="16"/>
  <c r="C91" i="16"/>
  <c r="E91" i="16"/>
  <c r="D99" i="16"/>
  <c r="A99" i="16"/>
  <c r="C99" i="16"/>
  <c r="E99" i="16"/>
  <c r="D107" i="16"/>
  <c r="A107" i="16"/>
  <c r="C107" i="16"/>
  <c r="E107" i="16"/>
  <c r="E84" i="15"/>
  <c r="D84" i="15"/>
  <c r="A84" i="15"/>
  <c r="C84" i="15"/>
  <c r="E92" i="15"/>
  <c r="D92" i="15"/>
  <c r="A92" i="15"/>
  <c r="C92" i="15"/>
  <c r="E100" i="15"/>
  <c r="D100" i="15"/>
  <c r="A100" i="15"/>
  <c r="C100" i="15"/>
  <c r="D78" i="16"/>
  <c r="A78" i="16"/>
  <c r="C78" i="16"/>
  <c r="E86" i="16"/>
  <c r="D86" i="16"/>
  <c r="A86" i="16"/>
  <c r="C86" i="16"/>
  <c r="E94" i="16"/>
  <c r="D94" i="16"/>
  <c r="A94" i="16"/>
  <c r="C94" i="16"/>
  <c r="E102" i="16"/>
  <c r="D102" i="16"/>
  <c r="A102" i="16"/>
  <c r="C102" i="16"/>
  <c r="E80" i="18"/>
  <c r="D80" i="18"/>
  <c r="A80" i="18"/>
  <c r="C80" i="18"/>
  <c r="E88" i="18"/>
  <c r="D88" i="18"/>
  <c r="A88" i="18"/>
  <c r="C88" i="18"/>
  <c r="E96" i="18"/>
  <c r="D96" i="18"/>
  <c r="A96" i="18"/>
  <c r="C96" i="18"/>
  <c r="E104" i="18"/>
  <c r="D104" i="18"/>
  <c r="A104" i="18"/>
  <c r="C104" i="18"/>
  <c r="D81" i="17"/>
  <c r="A81" i="17"/>
  <c r="E81" i="17"/>
  <c r="C81" i="17"/>
  <c r="D89" i="17"/>
  <c r="A89" i="17"/>
  <c r="E89" i="17"/>
  <c r="C89" i="17"/>
  <c r="D97" i="17"/>
  <c r="A97" i="17"/>
  <c r="E97" i="17"/>
  <c r="C97" i="17"/>
  <c r="D105" i="17"/>
  <c r="A105" i="17"/>
  <c r="E105" i="17"/>
  <c r="C105" i="17"/>
  <c r="C79" i="18"/>
  <c r="E79" i="18"/>
  <c r="D79" i="18"/>
  <c r="A79" i="18"/>
  <c r="C87" i="18"/>
  <c r="E87" i="18"/>
  <c r="D87" i="18"/>
  <c r="A87" i="18"/>
  <c r="C95" i="18"/>
  <c r="E95" i="18"/>
  <c r="D95" i="18"/>
  <c r="A95" i="18"/>
  <c r="C103" i="18"/>
  <c r="E103" i="18"/>
  <c r="D103" i="18"/>
  <c r="A103" i="18"/>
  <c r="D88" i="19"/>
  <c r="A88" i="19"/>
  <c r="E88" i="19"/>
  <c r="C88" i="19"/>
  <c r="D82" i="17"/>
  <c r="A82" i="17"/>
  <c r="E82" i="17"/>
  <c r="C82" i="17"/>
  <c r="D90" i="17"/>
  <c r="A90" i="17"/>
  <c r="E90" i="17"/>
  <c r="C90" i="17"/>
  <c r="D98" i="17"/>
  <c r="A98" i="17"/>
  <c r="E98" i="17"/>
  <c r="C98" i="17"/>
  <c r="D106" i="17"/>
  <c r="A106" i="17"/>
  <c r="E106" i="17"/>
  <c r="C106" i="17"/>
  <c r="D92" i="19"/>
  <c r="A92" i="19"/>
  <c r="E92" i="19"/>
  <c r="C92" i="19"/>
  <c r="D81" i="19"/>
  <c r="C81" i="19"/>
  <c r="A81" i="19"/>
  <c r="E81" i="19"/>
  <c r="D89" i="19"/>
  <c r="E89" i="19"/>
  <c r="C89" i="19"/>
  <c r="A89" i="19"/>
  <c r="D97" i="19"/>
  <c r="E97" i="19"/>
  <c r="A97" i="19"/>
  <c r="C97" i="19"/>
  <c r="D105" i="19"/>
  <c r="A105" i="19"/>
  <c r="E105" i="19"/>
  <c r="C105" i="19"/>
  <c r="C81" i="20"/>
  <c r="D81" i="20"/>
  <c r="E81" i="20"/>
  <c r="A81" i="20"/>
  <c r="D100" i="19"/>
  <c r="A100" i="19"/>
  <c r="C100" i="19"/>
  <c r="E100" i="19"/>
  <c r="C83" i="20"/>
  <c r="E83" i="20"/>
  <c r="A83" i="20"/>
  <c r="D83" i="20"/>
  <c r="E88" i="20"/>
  <c r="A88" i="20"/>
  <c r="C88" i="20"/>
  <c r="D88" i="20"/>
  <c r="D96" i="20"/>
  <c r="A96" i="20"/>
  <c r="E96" i="20"/>
  <c r="C96" i="20"/>
  <c r="D104" i="20"/>
  <c r="A104" i="20"/>
  <c r="E104" i="20"/>
  <c r="C104" i="20"/>
  <c r="D95" i="20"/>
  <c r="A95" i="20"/>
  <c r="E95" i="20"/>
  <c r="C95" i="20"/>
  <c r="D103" i="20"/>
  <c r="A103" i="20"/>
  <c r="E103" i="20"/>
  <c r="C103" i="20"/>
  <c r="D80" i="21"/>
  <c r="A80" i="21"/>
  <c r="E80" i="21"/>
  <c r="C80" i="21"/>
  <c r="D88" i="21"/>
  <c r="A88" i="21"/>
  <c r="E88" i="21"/>
  <c r="C88" i="21"/>
  <c r="D96" i="21"/>
  <c r="A96" i="21"/>
  <c r="E96" i="21"/>
  <c r="C96" i="21"/>
  <c r="D104" i="21"/>
  <c r="A104" i="21"/>
  <c r="E104" i="21"/>
  <c r="C104" i="21"/>
  <c r="D83" i="21"/>
  <c r="A83" i="21"/>
  <c r="C83" i="21"/>
  <c r="E83" i="21"/>
  <c r="D91" i="21"/>
  <c r="A91" i="21"/>
  <c r="C91" i="21"/>
  <c r="E91" i="21"/>
  <c r="D99" i="21"/>
  <c r="A99" i="21"/>
  <c r="C99" i="21"/>
  <c r="E99" i="21"/>
  <c r="D107" i="21"/>
  <c r="A107" i="21"/>
  <c r="C107" i="21"/>
  <c r="E107" i="21"/>
  <c r="C92" i="22"/>
  <c r="E92" i="22"/>
  <c r="A92" i="22"/>
  <c r="D92" i="22"/>
  <c r="C79" i="22"/>
  <c r="D79" i="22"/>
  <c r="A79" i="22"/>
  <c r="E95" i="22"/>
  <c r="C95" i="22"/>
  <c r="D95" i="22"/>
  <c r="A95" i="22"/>
  <c r="C82" i="22"/>
  <c r="E82" i="22"/>
  <c r="D82" i="22"/>
  <c r="A82" i="22"/>
  <c r="C98" i="22"/>
  <c r="E98" i="22"/>
  <c r="D98" i="22"/>
  <c r="A98" i="22"/>
  <c r="E89" i="22"/>
  <c r="C89" i="22"/>
  <c r="A89" i="22"/>
  <c r="D89" i="22"/>
  <c r="E105" i="22"/>
  <c r="C105" i="22"/>
  <c r="A105" i="22"/>
  <c r="D105" i="22"/>
  <c r="D93" i="6"/>
  <c r="A93" i="6"/>
  <c r="E93" i="6"/>
  <c r="C93" i="6"/>
  <c r="D85" i="6"/>
  <c r="A85" i="6"/>
  <c r="E85" i="6"/>
  <c r="C85" i="6"/>
  <c r="E56" i="4"/>
  <c r="D56" i="4"/>
  <c r="A56" i="4"/>
  <c r="C56" i="4"/>
  <c r="E48" i="4"/>
  <c r="D48" i="4"/>
  <c r="A48" i="4"/>
  <c r="C48" i="4"/>
  <c r="E40" i="4"/>
  <c r="D40" i="4"/>
  <c r="A40" i="4"/>
  <c r="C40" i="4"/>
  <c r="E32" i="4"/>
  <c r="D32" i="4"/>
  <c r="A32" i="4"/>
  <c r="C32" i="4"/>
  <c r="E24" i="4"/>
  <c r="D24" i="4"/>
  <c r="A24" i="4"/>
  <c r="C24" i="4"/>
  <c r="E16" i="4"/>
  <c r="D16" i="4"/>
  <c r="A16" i="4"/>
  <c r="C16" i="4"/>
  <c r="D107" i="6"/>
  <c r="A107" i="6"/>
  <c r="C107" i="6"/>
  <c r="E107" i="6"/>
  <c r="D81" i="6"/>
  <c r="A81" i="6"/>
  <c r="E81" i="6"/>
  <c r="C81" i="6"/>
  <c r="D59" i="4"/>
  <c r="A59" i="4"/>
  <c r="C59" i="4"/>
  <c r="E59" i="4"/>
  <c r="D51" i="4"/>
  <c r="A51" i="4"/>
  <c r="C51" i="4"/>
  <c r="E51" i="4"/>
  <c r="D43" i="4"/>
  <c r="A43" i="4"/>
  <c r="C43" i="4"/>
  <c r="E43" i="4"/>
  <c r="D35" i="4"/>
  <c r="A35" i="4"/>
  <c r="C35" i="4"/>
  <c r="E35" i="4"/>
  <c r="D27" i="4"/>
  <c r="A27" i="4"/>
  <c r="C27" i="4"/>
  <c r="E27" i="4"/>
  <c r="D19" i="4"/>
  <c r="A19" i="4"/>
  <c r="C19" i="4"/>
  <c r="E19" i="4"/>
  <c r="D11" i="4"/>
  <c r="A11" i="4"/>
  <c r="C11" i="4"/>
  <c r="E11" i="4"/>
  <c r="E80" i="8"/>
  <c r="D80" i="8"/>
  <c r="A80" i="8"/>
  <c r="C80" i="8"/>
  <c r="E88" i="8"/>
  <c r="D88" i="8"/>
  <c r="A88" i="8"/>
  <c r="C88" i="8"/>
  <c r="E96" i="8"/>
  <c r="D96" i="8"/>
  <c r="A96" i="8"/>
  <c r="C96" i="8"/>
  <c r="E104" i="8"/>
  <c r="D104" i="8"/>
  <c r="A104" i="8"/>
  <c r="C104" i="8"/>
  <c r="D101" i="9"/>
  <c r="A101" i="9"/>
  <c r="E101" i="9"/>
  <c r="C101" i="9"/>
  <c r="D85" i="7"/>
  <c r="A85" i="7"/>
  <c r="C85" i="7"/>
  <c r="E85" i="7"/>
  <c r="D93" i="7"/>
  <c r="A93" i="7"/>
  <c r="C93" i="7"/>
  <c r="E93" i="7"/>
  <c r="D101" i="7"/>
  <c r="A101" i="7"/>
  <c r="C101" i="7"/>
  <c r="E101" i="7"/>
  <c r="D79" i="9"/>
  <c r="A79" i="9"/>
  <c r="E79" i="9"/>
  <c r="C79" i="9"/>
  <c r="E78" i="6"/>
  <c r="A78" i="6"/>
  <c r="D78" i="6"/>
  <c r="C78" i="6"/>
  <c r="E86" i="6"/>
  <c r="A86" i="6"/>
  <c r="D86" i="6"/>
  <c r="C86" i="6"/>
  <c r="E94" i="6"/>
  <c r="A94" i="6"/>
  <c r="D94" i="6"/>
  <c r="C94" i="6"/>
  <c r="E102" i="6"/>
  <c r="A102" i="6"/>
  <c r="D102" i="6"/>
  <c r="C102" i="6"/>
  <c r="C81" i="8"/>
  <c r="E81" i="8"/>
  <c r="D81" i="8"/>
  <c r="A81" i="8"/>
  <c r="C89" i="8"/>
  <c r="E89" i="8"/>
  <c r="D89" i="8"/>
  <c r="A89" i="8"/>
  <c r="C97" i="8"/>
  <c r="E97" i="8"/>
  <c r="D97" i="8"/>
  <c r="A97" i="8"/>
  <c r="C105" i="8"/>
  <c r="E105" i="8"/>
  <c r="D105" i="8"/>
  <c r="A105" i="8"/>
  <c r="D97" i="9"/>
  <c r="A97" i="9"/>
  <c r="C97" i="9"/>
  <c r="E97" i="9"/>
  <c r="E82" i="7"/>
  <c r="D82" i="7"/>
  <c r="A82" i="7"/>
  <c r="C82" i="7"/>
  <c r="E90" i="7"/>
  <c r="D90" i="7"/>
  <c r="A90" i="7"/>
  <c r="C90" i="7"/>
  <c r="E98" i="7"/>
  <c r="D98" i="7"/>
  <c r="A98" i="7"/>
  <c r="C98" i="7"/>
  <c r="E106" i="7"/>
  <c r="D106" i="7"/>
  <c r="A106" i="7"/>
  <c r="C106" i="7"/>
  <c r="D107" i="9"/>
  <c r="A107" i="9"/>
  <c r="E107" i="9"/>
  <c r="C107" i="9"/>
  <c r="E85" i="10"/>
  <c r="D85" i="10"/>
  <c r="A85" i="10"/>
  <c r="C85" i="10"/>
  <c r="E93" i="10"/>
  <c r="D93" i="10"/>
  <c r="A93" i="10"/>
  <c r="C93" i="10"/>
  <c r="E101" i="10"/>
  <c r="D101" i="10"/>
  <c r="A101" i="10"/>
  <c r="C101" i="10"/>
  <c r="D78" i="12"/>
  <c r="A78" i="12"/>
  <c r="C78" i="12"/>
  <c r="E86" i="12"/>
  <c r="D86" i="12"/>
  <c r="A86" i="12"/>
  <c r="C86" i="12"/>
  <c r="E94" i="12"/>
  <c r="D94" i="12"/>
  <c r="A94" i="12"/>
  <c r="C94" i="12"/>
  <c r="E102" i="12"/>
  <c r="D102" i="12"/>
  <c r="A102" i="12"/>
  <c r="C102" i="12"/>
  <c r="D80" i="9"/>
  <c r="C80" i="9"/>
  <c r="E80" i="9"/>
  <c r="A80" i="9"/>
  <c r="D88" i="9"/>
  <c r="C88" i="9"/>
  <c r="E88" i="9"/>
  <c r="A88" i="9"/>
  <c r="D96" i="9"/>
  <c r="C96" i="9"/>
  <c r="E96" i="9"/>
  <c r="A96" i="9"/>
  <c r="D104" i="9"/>
  <c r="C104" i="9"/>
  <c r="E104" i="9"/>
  <c r="A104" i="9"/>
  <c r="D83" i="11"/>
  <c r="A83" i="11"/>
  <c r="C83" i="11"/>
  <c r="E83" i="11"/>
  <c r="D91" i="11"/>
  <c r="A91" i="11"/>
  <c r="C91" i="11"/>
  <c r="E91" i="11"/>
  <c r="D99" i="11"/>
  <c r="A99" i="11"/>
  <c r="C99" i="11"/>
  <c r="E99" i="11"/>
  <c r="D107" i="11"/>
  <c r="A107" i="11"/>
  <c r="C107" i="11"/>
  <c r="E107" i="11"/>
  <c r="C84" i="10"/>
  <c r="E84" i="10"/>
  <c r="D84" i="10"/>
  <c r="A84" i="10"/>
  <c r="C92" i="10"/>
  <c r="E92" i="10"/>
  <c r="D92" i="10"/>
  <c r="A92" i="10"/>
  <c r="C100" i="10"/>
  <c r="E100" i="10"/>
  <c r="D100" i="10"/>
  <c r="A100" i="10"/>
  <c r="C79" i="12"/>
  <c r="E79" i="12"/>
  <c r="D79" i="12"/>
  <c r="A79" i="12"/>
  <c r="C87" i="12"/>
  <c r="E87" i="12"/>
  <c r="D87" i="12"/>
  <c r="A87" i="12"/>
  <c r="C95" i="12"/>
  <c r="E95" i="12"/>
  <c r="D95" i="12"/>
  <c r="A95" i="12"/>
  <c r="C103" i="12"/>
  <c r="E103" i="12"/>
  <c r="D103" i="12"/>
  <c r="A103" i="12"/>
  <c r="E80" i="11"/>
  <c r="D80" i="11"/>
  <c r="A80" i="11"/>
  <c r="C80" i="11"/>
  <c r="E88" i="11"/>
  <c r="D88" i="11"/>
  <c r="A88" i="11"/>
  <c r="C88" i="11"/>
  <c r="E96" i="11"/>
  <c r="D96" i="11"/>
  <c r="A96" i="11"/>
  <c r="C96" i="11"/>
  <c r="E104" i="11"/>
  <c r="D104" i="11"/>
  <c r="A104" i="11"/>
  <c r="C104" i="11"/>
  <c r="E82" i="14"/>
  <c r="D82" i="14"/>
  <c r="A82" i="14"/>
  <c r="C82" i="14"/>
  <c r="E90" i="14"/>
  <c r="D90" i="14"/>
  <c r="A90" i="14"/>
  <c r="C90" i="14"/>
  <c r="E98" i="14"/>
  <c r="D98" i="14"/>
  <c r="A98" i="14"/>
  <c r="C98" i="14"/>
  <c r="E106" i="14"/>
  <c r="D106" i="14"/>
  <c r="A106" i="14"/>
  <c r="C106" i="14"/>
  <c r="D85" i="13"/>
  <c r="A85" i="13"/>
  <c r="C85" i="13"/>
  <c r="E85" i="13"/>
  <c r="D93" i="13"/>
  <c r="A93" i="13"/>
  <c r="C93" i="13"/>
  <c r="E93" i="13"/>
  <c r="D101" i="13"/>
  <c r="A101" i="13"/>
  <c r="C101" i="13"/>
  <c r="E101" i="13"/>
  <c r="C79" i="14"/>
  <c r="D79" i="14"/>
  <c r="E79" i="14" s="1"/>
  <c r="A79" i="14"/>
  <c r="C87" i="14"/>
  <c r="E87" i="14"/>
  <c r="D87" i="14"/>
  <c r="A87" i="14"/>
  <c r="C95" i="14"/>
  <c r="E95" i="14"/>
  <c r="D95" i="14"/>
  <c r="A95" i="14"/>
  <c r="C103" i="14"/>
  <c r="E103" i="14"/>
  <c r="D103" i="14"/>
  <c r="A103" i="14"/>
  <c r="E80" i="13"/>
  <c r="D80" i="13"/>
  <c r="A80" i="13"/>
  <c r="C80" i="13"/>
  <c r="E88" i="13"/>
  <c r="D88" i="13"/>
  <c r="A88" i="13"/>
  <c r="C88" i="13"/>
  <c r="E96" i="13"/>
  <c r="D96" i="13"/>
  <c r="A96" i="13"/>
  <c r="C96" i="13"/>
  <c r="E104" i="13"/>
  <c r="D104" i="13"/>
  <c r="A104" i="13"/>
  <c r="C104" i="13"/>
  <c r="D83" i="15"/>
  <c r="A83" i="15"/>
  <c r="C83" i="15"/>
  <c r="E83" i="15"/>
  <c r="D91" i="15"/>
  <c r="A91" i="15"/>
  <c r="C91" i="15"/>
  <c r="E91" i="15"/>
  <c r="D99" i="15"/>
  <c r="A99" i="15"/>
  <c r="C99" i="15"/>
  <c r="E99" i="15"/>
  <c r="D107" i="15"/>
  <c r="A107" i="15"/>
  <c r="C107" i="15"/>
  <c r="E107" i="15"/>
  <c r="D85" i="16"/>
  <c r="A85" i="16"/>
  <c r="C85" i="16"/>
  <c r="E85" i="16"/>
  <c r="D93" i="16"/>
  <c r="A93" i="16"/>
  <c r="C93" i="16"/>
  <c r="E93" i="16"/>
  <c r="D101" i="16"/>
  <c r="A101" i="16"/>
  <c r="C101" i="16"/>
  <c r="E101" i="16"/>
  <c r="D78" i="15"/>
  <c r="A78" i="15"/>
  <c r="C78" i="15"/>
  <c r="E86" i="15"/>
  <c r="D86" i="15"/>
  <c r="A86" i="15"/>
  <c r="C86" i="15"/>
  <c r="E94" i="15"/>
  <c r="D94" i="15"/>
  <c r="A94" i="15"/>
  <c r="C94" i="15"/>
  <c r="E102" i="15"/>
  <c r="D102" i="15"/>
  <c r="A102" i="15"/>
  <c r="C102" i="15"/>
  <c r="E80" i="16"/>
  <c r="D80" i="16"/>
  <c r="A80" i="16"/>
  <c r="C80" i="16"/>
  <c r="E88" i="16"/>
  <c r="D88" i="16"/>
  <c r="A88" i="16"/>
  <c r="C88" i="16"/>
  <c r="E96" i="16"/>
  <c r="D96" i="16"/>
  <c r="A96" i="16"/>
  <c r="C96" i="16"/>
  <c r="E104" i="16"/>
  <c r="D104" i="16"/>
  <c r="A104" i="16"/>
  <c r="C104" i="16"/>
  <c r="E82" i="18"/>
  <c r="D82" i="18"/>
  <c r="A82" i="18"/>
  <c r="C82" i="18"/>
  <c r="E90" i="18"/>
  <c r="D90" i="18"/>
  <c r="A90" i="18"/>
  <c r="C90" i="18"/>
  <c r="E98" i="18"/>
  <c r="D98" i="18"/>
  <c r="A98" i="18"/>
  <c r="C98" i="18"/>
  <c r="E106" i="18"/>
  <c r="D106" i="18"/>
  <c r="A106" i="18"/>
  <c r="C106" i="18"/>
  <c r="D83" i="17"/>
  <c r="A83" i="17"/>
  <c r="C83" i="17"/>
  <c r="E83" i="17"/>
  <c r="D91" i="17"/>
  <c r="A91" i="17"/>
  <c r="C91" i="17"/>
  <c r="E91" i="17"/>
  <c r="D99" i="17"/>
  <c r="A99" i="17"/>
  <c r="C99" i="17"/>
  <c r="E99" i="17"/>
  <c r="D107" i="17"/>
  <c r="A107" i="17"/>
  <c r="C107" i="17"/>
  <c r="E107" i="17"/>
  <c r="C81" i="18"/>
  <c r="E81" i="18"/>
  <c r="D81" i="18"/>
  <c r="A81" i="18"/>
  <c r="C89" i="18"/>
  <c r="E89" i="18"/>
  <c r="D89" i="18"/>
  <c r="A89" i="18"/>
  <c r="C97" i="18"/>
  <c r="E97" i="18"/>
  <c r="D97" i="18"/>
  <c r="A97" i="18"/>
  <c r="C105" i="18"/>
  <c r="E105" i="18"/>
  <c r="D105" i="18"/>
  <c r="A105" i="18"/>
  <c r="D94" i="19"/>
  <c r="A94" i="19"/>
  <c r="C94" i="19"/>
  <c r="E94" i="19"/>
  <c r="D84" i="17"/>
  <c r="A84" i="17"/>
  <c r="E84" i="17"/>
  <c r="C84" i="17"/>
  <c r="D92" i="17"/>
  <c r="A92" i="17"/>
  <c r="E92" i="17"/>
  <c r="C92" i="17"/>
  <c r="D100" i="17"/>
  <c r="A100" i="17"/>
  <c r="E100" i="17"/>
  <c r="C100" i="17"/>
  <c r="D80" i="19"/>
  <c r="A80" i="19"/>
  <c r="E80" i="19"/>
  <c r="C80" i="19"/>
  <c r="A78" i="20"/>
  <c r="D78" i="20"/>
  <c r="C78" i="20"/>
  <c r="C83" i="19"/>
  <c r="E83" i="19"/>
  <c r="D83" i="19"/>
  <c r="A83" i="19"/>
  <c r="C91" i="19"/>
  <c r="A91" i="19"/>
  <c r="E91" i="19"/>
  <c r="D91" i="19"/>
  <c r="D99" i="19"/>
  <c r="A99" i="19"/>
  <c r="E99" i="19"/>
  <c r="C99" i="19"/>
  <c r="D107" i="19"/>
  <c r="A107" i="19"/>
  <c r="C107" i="19"/>
  <c r="E107" i="19"/>
  <c r="E82" i="20"/>
  <c r="C82" i="20"/>
  <c r="A82" i="20"/>
  <c r="D82" i="20"/>
  <c r="D102" i="19"/>
  <c r="A102" i="19"/>
  <c r="E102" i="19"/>
  <c r="C102" i="19"/>
  <c r="E84" i="20"/>
  <c r="A84" i="20"/>
  <c r="D84" i="20"/>
  <c r="C84" i="20"/>
  <c r="D90" i="20"/>
  <c r="E90" i="20"/>
  <c r="C90" i="20"/>
  <c r="A90" i="20"/>
  <c r="D98" i="20"/>
  <c r="A98" i="20"/>
  <c r="C98" i="20"/>
  <c r="E98" i="20"/>
  <c r="D106" i="20"/>
  <c r="A106" i="20"/>
  <c r="C106" i="20"/>
  <c r="E106" i="20"/>
  <c r="D97" i="20"/>
  <c r="A97" i="20"/>
  <c r="E97" i="20"/>
  <c r="C97" i="20"/>
  <c r="D105" i="20"/>
  <c r="A105" i="20"/>
  <c r="E105" i="20"/>
  <c r="C105" i="20"/>
  <c r="D82" i="21"/>
  <c r="A82" i="21"/>
  <c r="E82" i="21"/>
  <c r="C82" i="21"/>
  <c r="D90" i="21"/>
  <c r="A90" i="21"/>
  <c r="E90" i="21"/>
  <c r="C90" i="21"/>
  <c r="D98" i="21"/>
  <c r="A98" i="21"/>
  <c r="E98" i="21"/>
  <c r="C98" i="21"/>
  <c r="D106" i="21"/>
  <c r="A106" i="21"/>
  <c r="E106" i="21"/>
  <c r="C106" i="21"/>
  <c r="D85" i="21"/>
  <c r="A85" i="21"/>
  <c r="C85" i="21"/>
  <c r="E85" i="21"/>
  <c r="D93" i="21"/>
  <c r="A93" i="21"/>
  <c r="C93" i="21"/>
  <c r="E93" i="21"/>
  <c r="D101" i="21"/>
  <c r="A101" i="21"/>
  <c r="C101" i="21"/>
  <c r="E101" i="21"/>
  <c r="C80" i="22"/>
  <c r="E80" i="22"/>
  <c r="A80" i="22"/>
  <c r="D80" i="22"/>
  <c r="C96" i="22"/>
  <c r="E96" i="22"/>
  <c r="A96" i="22"/>
  <c r="D96" i="22"/>
  <c r="E83" i="22"/>
  <c r="C83" i="22"/>
  <c r="D83" i="22"/>
  <c r="A83" i="22"/>
  <c r="E99" i="22"/>
  <c r="C99" i="22"/>
  <c r="D99" i="22"/>
  <c r="A99" i="22"/>
  <c r="C86" i="22"/>
  <c r="E86" i="22"/>
  <c r="D86" i="22"/>
  <c r="A86" i="22"/>
  <c r="C102" i="22"/>
  <c r="E102" i="22"/>
  <c r="D102" i="22"/>
  <c r="A102" i="22"/>
  <c r="E93" i="22"/>
  <c r="C93" i="22"/>
  <c r="A93" i="22"/>
  <c r="D93" i="22"/>
  <c r="E107" i="22"/>
  <c r="D107" i="22"/>
  <c r="A107" i="22"/>
  <c r="C107" i="22"/>
  <c r="D95" i="6"/>
  <c r="A95" i="6"/>
  <c r="E95" i="6"/>
  <c r="C95" i="6"/>
  <c r="E54" i="4"/>
  <c r="D54" i="4"/>
  <c r="A54" i="4"/>
  <c r="C54" i="4"/>
  <c r="E46" i="4"/>
  <c r="D46" i="4"/>
  <c r="A46" i="4"/>
  <c r="C46" i="4"/>
  <c r="E38" i="4"/>
  <c r="D38" i="4"/>
  <c r="A38" i="4"/>
  <c r="C38" i="4"/>
  <c r="E30" i="4"/>
  <c r="D30" i="4"/>
  <c r="A30" i="4"/>
  <c r="C30" i="4"/>
  <c r="E22" i="4"/>
  <c r="D22" i="4"/>
  <c r="A22" i="4"/>
  <c r="C22" i="4"/>
  <c r="E14" i="4"/>
  <c r="D14" i="4"/>
  <c r="A14" i="4"/>
  <c r="C14" i="4"/>
  <c r="D99" i="6"/>
  <c r="A99" i="6"/>
  <c r="C99" i="6"/>
  <c r="E99" i="6"/>
  <c r="D105" i="6"/>
  <c r="A105" i="6"/>
  <c r="E105" i="6"/>
  <c r="C105" i="6"/>
  <c r="D57" i="4"/>
  <c r="A57" i="4"/>
  <c r="C57" i="4"/>
  <c r="E57" i="4"/>
  <c r="D49" i="4"/>
  <c r="A49" i="4"/>
  <c r="C49" i="4"/>
  <c r="E49" i="4"/>
  <c r="D41" i="4"/>
  <c r="A41" i="4"/>
  <c r="C41" i="4"/>
  <c r="E41" i="4"/>
  <c r="D33" i="4"/>
  <c r="A33" i="4"/>
  <c r="C33" i="4"/>
  <c r="E33" i="4"/>
  <c r="D25" i="4"/>
  <c r="A25" i="4"/>
  <c r="C25" i="4"/>
  <c r="E25" i="4"/>
  <c r="D17" i="4"/>
  <c r="A17" i="4"/>
  <c r="C17" i="4"/>
  <c r="E17" i="4"/>
  <c r="E82" i="8"/>
  <c r="D82" i="8"/>
  <c r="A82" i="8"/>
  <c r="C82" i="8"/>
  <c r="E90" i="8"/>
  <c r="D90" i="8"/>
  <c r="A90" i="8"/>
  <c r="C90" i="8"/>
  <c r="E98" i="8"/>
  <c r="D98" i="8"/>
  <c r="A98" i="8"/>
  <c r="C98" i="8"/>
  <c r="E106" i="8"/>
  <c r="D106" i="8"/>
  <c r="A106" i="8"/>
  <c r="C106" i="8"/>
  <c r="D79" i="7"/>
  <c r="A79" i="7"/>
  <c r="C79" i="7"/>
  <c r="E79" i="7"/>
  <c r="D87" i="7"/>
  <c r="A87" i="7"/>
  <c r="C87" i="7"/>
  <c r="E87" i="7"/>
  <c r="D95" i="7"/>
  <c r="A95" i="7"/>
  <c r="C95" i="7"/>
  <c r="E95" i="7"/>
  <c r="D103" i="7"/>
  <c r="A103" i="7"/>
  <c r="C103" i="7"/>
  <c r="E103" i="7"/>
  <c r="D87" i="9"/>
  <c r="A87" i="9"/>
  <c r="E87" i="9"/>
  <c r="C87" i="9"/>
  <c r="E80" i="6"/>
  <c r="A80" i="6"/>
  <c r="D80" i="6"/>
  <c r="C80" i="6"/>
  <c r="E88" i="6"/>
  <c r="A88" i="6"/>
  <c r="D88" i="6"/>
  <c r="C88" i="6"/>
  <c r="E96" i="6"/>
  <c r="A96" i="6"/>
  <c r="D96" i="6"/>
  <c r="C96" i="6"/>
  <c r="E104" i="6"/>
  <c r="A104" i="6"/>
  <c r="D104" i="6"/>
  <c r="C104" i="6"/>
  <c r="C83" i="8"/>
  <c r="E83" i="8"/>
  <c r="D83" i="8"/>
  <c r="A83" i="8"/>
  <c r="C91" i="8"/>
  <c r="E91" i="8"/>
  <c r="D91" i="8"/>
  <c r="A91" i="8"/>
  <c r="C99" i="8"/>
  <c r="E99" i="8"/>
  <c r="D99" i="8"/>
  <c r="A99" i="8"/>
  <c r="C107" i="8"/>
  <c r="E107" i="8"/>
  <c r="D107" i="8"/>
  <c r="A107" i="8"/>
  <c r="D105" i="9"/>
  <c r="A105" i="9"/>
  <c r="C105" i="9"/>
  <c r="E105" i="9"/>
  <c r="E84" i="7"/>
  <c r="D84" i="7"/>
  <c r="A84" i="7"/>
  <c r="C84" i="7"/>
  <c r="E92" i="7"/>
  <c r="D92" i="7"/>
  <c r="A92" i="7"/>
  <c r="C92" i="7"/>
  <c r="E100" i="7"/>
  <c r="D100" i="7"/>
  <c r="A100" i="7"/>
  <c r="C100" i="7"/>
  <c r="D83" i="9"/>
  <c r="A83" i="9"/>
  <c r="E83" i="9"/>
  <c r="C83" i="9"/>
  <c r="E79" i="10"/>
  <c r="D79" i="10"/>
  <c r="A79" i="10"/>
  <c r="C79" i="10"/>
  <c r="E87" i="10"/>
  <c r="D87" i="10"/>
  <c r="A87" i="10"/>
  <c r="C87" i="10"/>
  <c r="E95" i="10"/>
  <c r="D95" i="10"/>
  <c r="A95" i="10"/>
  <c r="C95" i="10"/>
  <c r="E103" i="10"/>
  <c r="D103" i="10"/>
  <c r="A103" i="10"/>
  <c r="C103" i="10"/>
  <c r="E80" i="12"/>
  <c r="D80" i="12"/>
  <c r="A80" i="12"/>
  <c r="C80" i="12"/>
  <c r="E88" i="12"/>
  <c r="D88" i="12"/>
  <c r="A88" i="12"/>
  <c r="C88" i="12"/>
  <c r="E96" i="12"/>
  <c r="D96" i="12"/>
  <c r="A96" i="12"/>
  <c r="C96" i="12"/>
  <c r="E104" i="12"/>
  <c r="D104" i="12"/>
  <c r="A104" i="12"/>
  <c r="C104" i="12"/>
  <c r="C82" i="9"/>
  <c r="E82" i="9"/>
  <c r="A82" i="9"/>
  <c r="D82" i="9"/>
  <c r="C90" i="9"/>
  <c r="E90" i="9"/>
  <c r="A90" i="9"/>
  <c r="D90" i="9"/>
  <c r="C98" i="9"/>
  <c r="E98" i="9"/>
  <c r="A98" i="9"/>
  <c r="D98" i="9"/>
  <c r="C106" i="9"/>
  <c r="E106" i="9"/>
  <c r="A106" i="9"/>
  <c r="D106" i="9"/>
  <c r="D85" i="11"/>
  <c r="A85" i="11"/>
  <c r="C85" i="11"/>
  <c r="E85" i="11"/>
  <c r="D93" i="11"/>
  <c r="A93" i="11"/>
  <c r="C93" i="11"/>
  <c r="E93" i="11"/>
  <c r="D101" i="11"/>
  <c r="A101" i="11"/>
  <c r="C101" i="11"/>
  <c r="E101" i="11"/>
  <c r="C78" i="10"/>
  <c r="E78" i="10"/>
  <c r="D78" i="10"/>
  <c r="A78" i="10"/>
  <c r="C86" i="10"/>
  <c r="E86" i="10"/>
  <c r="D86" i="10"/>
  <c r="A86" i="10"/>
  <c r="C94" i="10"/>
  <c r="E94" i="10"/>
  <c r="D94" i="10"/>
  <c r="A94" i="10"/>
  <c r="C102" i="10"/>
  <c r="E102" i="10"/>
  <c r="D102" i="10"/>
  <c r="A102" i="10"/>
  <c r="C81" i="12"/>
  <c r="E81" i="12"/>
  <c r="D81" i="12"/>
  <c r="A81" i="12"/>
  <c r="C89" i="12"/>
  <c r="E89" i="12"/>
  <c r="D89" i="12"/>
  <c r="A89" i="12"/>
  <c r="C97" i="12"/>
  <c r="E97" i="12"/>
  <c r="D97" i="12"/>
  <c r="A97" i="12"/>
  <c r="C105" i="12"/>
  <c r="E105" i="12"/>
  <c r="D105" i="12"/>
  <c r="A105" i="12"/>
  <c r="E82" i="11"/>
  <c r="D82" i="11"/>
  <c r="A82" i="11"/>
  <c r="C82" i="11"/>
  <c r="E90" i="11"/>
  <c r="D90" i="11"/>
  <c r="A90" i="11"/>
  <c r="C90" i="11"/>
  <c r="E98" i="11"/>
  <c r="D98" i="11"/>
  <c r="A98" i="11"/>
  <c r="C98" i="11"/>
  <c r="E106" i="11"/>
  <c r="D106" i="11"/>
  <c r="A106" i="11"/>
  <c r="C106" i="11"/>
  <c r="E84" i="14"/>
  <c r="D84" i="14"/>
  <c r="A84" i="14"/>
  <c r="C84" i="14"/>
  <c r="E92" i="14"/>
  <c r="D92" i="14"/>
  <c r="A92" i="14"/>
  <c r="C92" i="14"/>
  <c r="E100" i="14"/>
  <c r="D100" i="14"/>
  <c r="A100" i="14"/>
  <c r="C100" i="14"/>
  <c r="D79" i="13"/>
  <c r="A79" i="13"/>
  <c r="C79" i="13"/>
  <c r="E79" i="13"/>
  <c r="D87" i="13"/>
  <c r="A87" i="13"/>
  <c r="C87" i="13"/>
  <c r="E87" i="13"/>
  <c r="D95" i="13"/>
  <c r="A95" i="13"/>
  <c r="C95" i="13"/>
  <c r="E95" i="13"/>
  <c r="D103" i="13"/>
  <c r="A103" i="13"/>
  <c r="C103" i="13"/>
  <c r="E103" i="13"/>
  <c r="C81" i="14"/>
  <c r="E81" i="14"/>
  <c r="D81" i="14"/>
  <c r="A81" i="14"/>
  <c r="C89" i="14"/>
  <c r="E89" i="14"/>
  <c r="D89" i="14"/>
  <c r="A89" i="14"/>
  <c r="C97" i="14"/>
  <c r="E97" i="14"/>
  <c r="D97" i="14"/>
  <c r="A97" i="14"/>
  <c r="C105" i="14"/>
  <c r="E105" i="14"/>
  <c r="D105" i="14"/>
  <c r="A105" i="14"/>
  <c r="E82" i="13"/>
  <c r="D82" i="13"/>
  <c r="A82" i="13"/>
  <c r="C82" i="13"/>
  <c r="E90" i="13"/>
  <c r="D90" i="13"/>
  <c r="A90" i="13"/>
  <c r="C90" i="13"/>
  <c r="E98" i="13"/>
  <c r="D98" i="13"/>
  <c r="A98" i="13"/>
  <c r="C98" i="13"/>
  <c r="E106" i="13"/>
  <c r="D106" i="13"/>
  <c r="A106" i="13"/>
  <c r="C106" i="13"/>
  <c r="D85" i="15"/>
  <c r="A85" i="15"/>
  <c r="C85" i="15"/>
  <c r="E85" i="15"/>
  <c r="D93" i="15"/>
  <c r="A93" i="15"/>
  <c r="C93" i="15"/>
  <c r="E93" i="15"/>
  <c r="D101" i="15"/>
  <c r="A101" i="15"/>
  <c r="C101" i="15"/>
  <c r="E101" i="15"/>
  <c r="D79" i="16"/>
  <c r="A79" i="16"/>
  <c r="C79" i="16"/>
  <c r="E79" i="16"/>
  <c r="D87" i="16"/>
  <c r="A87" i="16"/>
  <c r="C87" i="16"/>
  <c r="E87" i="16"/>
  <c r="D95" i="16"/>
  <c r="A95" i="16"/>
  <c r="C95" i="16"/>
  <c r="E95" i="16"/>
  <c r="D103" i="16"/>
  <c r="A103" i="16"/>
  <c r="C103" i="16"/>
  <c r="E103" i="16"/>
  <c r="E80" i="15"/>
  <c r="D80" i="15"/>
  <c r="A80" i="15"/>
  <c r="C80" i="15"/>
  <c r="E88" i="15"/>
  <c r="D88" i="15"/>
  <c r="A88" i="15"/>
  <c r="C88" i="15"/>
  <c r="E96" i="15"/>
  <c r="D96" i="15"/>
  <c r="A96" i="15"/>
  <c r="C96" i="15"/>
  <c r="E104" i="15"/>
  <c r="D104" i="15"/>
  <c r="A104" i="15"/>
  <c r="C104" i="15"/>
  <c r="E82" i="16"/>
  <c r="D82" i="16"/>
  <c r="A82" i="16"/>
  <c r="C82" i="16"/>
  <c r="E90" i="16"/>
  <c r="D90" i="16"/>
  <c r="A90" i="16"/>
  <c r="C90" i="16"/>
  <c r="E98" i="16"/>
  <c r="D98" i="16"/>
  <c r="A98" i="16"/>
  <c r="C98" i="16"/>
  <c r="E106" i="16"/>
  <c r="D106" i="16"/>
  <c r="A106" i="16"/>
  <c r="C106" i="16"/>
  <c r="E84" i="18"/>
  <c r="D84" i="18"/>
  <c r="A84" i="18"/>
  <c r="C84" i="18"/>
  <c r="E92" i="18"/>
  <c r="D92" i="18"/>
  <c r="A92" i="18"/>
  <c r="C92" i="18"/>
  <c r="E100" i="18"/>
  <c r="D100" i="18"/>
  <c r="A100" i="18"/>
  <c r="C100" i="18"/>
  <c r="D78" i="19"/>
  <c r="A78" i="19"/>
  <c r="C78" i="19"/>
  <c r="D85" i="17"/>
  <c r="A85" i="17"/>
  <c r="E85" i="17"/>
  <c r="C85" i="17"/>
  <c r="D93" i="17"/>
  <c r="A93" i="17"/>
  <c r="E93" i="17"/>
  <c r="C93" i="17"/>
  <c r="D101" i="17"/>
  <c r="A101" i="17"/>
  <c r="E101" i="17"/>
  <c r="C101" i="17"/>
  <c r="D90" i="19"/>
  <c r="A90" i="19"/>
  <c r="C90" i="19"/>
  <c r="E90" i="19"/>
  <c r="C83" i="18"/>
  <c r="E83" i="18"/>
  <c r="D83" i="18"/>
  <c r="A83" i="18"/>
  <c r="C91" i="18"/>
  <c r="E91" i="18"/>
  <c r="D91" i="18"/>
  <c r="A91" i="18"/>
  <c r="C99" i="18"/>
  <c r="E99" i="18"/>
  <c r="D99" i="18"/>
  <c r="A99" i="18"/>
  <c r="C107" i="18"/>
  <c r="E107" i="18"/>
  <c r="D107" i="18"/>
  <c r="A107" i="18"/>
  <c r="D78" i="17"/>
  <c r="A78" i="17"/>
  <c r="E78" i="17"/>
  <c r="C78" i="17"/>
  <c r="D86" i="17"/>
  <c r="A86" i="17"/>
  <c r="E86" i="17"/>
  <c r="C86" i="17"/>
  <c r="D94" i="17"/>
  <c r="A94" i="17"/>
  <c r="E94" i="17"/>
  <c r="C94" i="17"/>
  <c r="D102" i="17"/>
  <c r="A102" i="17"/>
  <c r="E102" i="17"/>
  <c r="C102" i="17"/>
  <c r="D86" i="19"/>
  <c r="A86" i="19"/>
  <c r="E86" i="19"/>
  <c r="C86" i="19"/>
  <c r="C85" i="20"/>
  <c r="E85" i="20"/>
  <c r="A85" i="20"/>
  <c r="D85" i="20"/>
  <c r="A85" i="19"/>
  <c r="E85" i="19"/>
  <c r="D85" i="19"/>
  <c r="C85" i="19"/>
  <c r="C93" i="19"/>
  <c r="A93" i="19"/>
  <c r="E93" i="19"/>
  <c r="D93" i="19"/>
  <c r="D101" i="19"/>
  <c r="A101" i="19"/>
  <c r="E101" i="19"/>
  <c r="C101" i="19"/>
  <c r="C79" i="20"/>
  <c r="E79" i="20"/>
  <c r="A79" i="20"/>
  <c r="D79" i="20"/>
  <c r="D89" i="20"/>
  <c r="A89" i="20"/>
  <c r="E89" i="20"/>
  <c r="C89" i="20"/>
  <c r="D104" i="19"/>
  <c r="A104" i="19"/>
  <c r="C104" i="19"/>
  <c r="E104" i="19"/>
  <c r="D87" i="20"/>
  <c r="A87" i="20"/>
  <c r="E87" i="20"/>
  <c r="C87" i="20"/>
  <c r="D92" i="20"/>
  <c r="A92" i="20"/>
  <c r="C92" i="20"/>
  <c r="E92" i="20"/>
  <c r="D100" i="20"/>
  <c r="A100" i="20"/>
  <c r="E100" i="20"/>
  <c r="C100" i="20"/>
  <c r="D91" i="20"/>
  <c r="A91" i="20"/>
  <c r="E91" i="20"/>
  <c r="C91" i="20"/>
  <c r="D99" i="20"/>
  <c r="A99" i="20"/>
  <c r="E99" i="20"/>
  <c r="C99" i="20"/>
  <c r="D107" i="20"/>
  <c r="A107" i="20"/>
  <c r="E107" i="20"/>
  <c r="C107" i="20"/>
  <c r="D84" i="21"/>
  <c r="A84" i="21"/>
  <c r="E84" i="21"/>
  <c r="C84" i="21"/>
  <c r="D92" i="21"/>
  <c r="A92" i="21"/>
  <c r="E92" i="21"/>
  <c r="C92" i="21"/>
  <c r="D100" i="21"/>
  <c r="A100" i="21"/>
  <c r="E100" i="21"/>
  <c r="C100" i="21"/>
  <c r="D79" i="21"/>
  <c r="A79" i="21"/>
  <c r="C79" i="21"/>
  <c r="E79" i="21"/>
  <c r="D87" i="21"/>
  <c r="A87" i="21"/>
  <c r="C87" i="21"/>
  <c r="E87" i="21"/>
  <c r="D95" i="21"/>
  <c r="A95" i="21"/>
  <c r="C95" i="21"/>
  <c r="E95" i="21"/>
  <c r="D103" i="21"/>
  <c r="A103" i="21"/>
  <c r="C103" i="21"/>
  <c r="E103" i="21"/>
  <c r="C84" i="22"/>
  <c r="E84" i="22"/>
  <c r="A84" i="22"/>
  <c r="D84" i="22"/>
  <c r="C100" i="22"/>
  <c r="E100" i="22"/>
  <c r="A100" i="22"/>
  <c r="D100" i="22"/>
  <c r="E87" i="22"/>
  <c r="C87" i="22"/>
  <c r="D87" i="22"/>
  <c r="A87" i="22"/>
  <c r="E103" i="22"/>
  <c r="C103" i="22"/>
  <c r="D103" i="22"/>
  <c r="A103" i="22"/>
  <c r="C90" i="22"/>
  <c r="E90" i="22"/>
  <c r="D90" i="22"/>
  <c r="A90" i="22"/>
  <c r="E81" i="22"/>
  <c r="C81" i="22"/>
  <c r="A81" i="22"/>
  <c r="D81" i="22"/>
  <c r="E97" i="22"/>
  <c r="C97" i="22"/>
  <c r="A97" i="22"/>
  <c r="D97" i="22"/>
  <c r="C106" i="22"/>
  <c r="E106" i="22"/>
  <c r="D106" i="22"/>
  <c r="A106" i="22"/>
  <c r="D87" i="6"/>
  <c r="A87" i="6"/>
  <c r="E87" i="6"/>
  <c r="C87" i="6"/>
  <c r="E79" i="22" l="1"/>
  <c r="E78" i="13"/>
  <c r="E78" i="20"/>
  <c r="E78" i="16"/>
  <c r="E78" i="19"/>
  <c r="E78" i="8"/>
  <c r="E78" i="7"/>
  <c r="E78" i="12"/>
  <c r="E78" i="11"/>
  <c r="E78" i="14"/>
  <c r="E78" i="15"/>
  <c r="E78" i="18"/>
</calcChain>
</file>

<file path=xl/sharedStrings.xml><?xml version="1.0" encoding="utf-8"?>
<sst xmlns="http://schemas.openxmlformats.org/spreadsheetml/2006/main" count="807" uniqueCount="134">
  <si>
    <r>
      <rPr>
        <b/>
        <sz val="18"/>
        <color rgb="FFFFFFFF"/>
        <rFont val="DejaVu Sans"/>
        <family val="2"/>
      </rPr>
      <t xml:space="preserve">차열재 재고관리 시스템 </t>
    </r>
    <r>
      <rPr>
        <b/>
        <sz val="18"/>
        <color rgb="FFFFFFFF"/>
        <rFont val="DejaVu Sans"/>
        <family val="2"/>
        <charset val="1"/>
      </rPr>
      <t xml:space="preserve">- </t>
    </r>
    <r>
      <rPr>
        <b/>
        <sz val="18"/>
        <color rgb="FFFFFFFF"/>
        <rFont val="DejaVu Sans"/>
        <family val="2"/>
      </rPr>
      <t>대시보드</t>
    </r>
  </si>
  <si>
    <r>
      <rPr>
        <b/>
        <sz val="11"/>
        <color rgb="FFFFFFFF"/>
        <rFont val="맑은 고딕"/>
        <family val="3"/>
        <charset val="129"/>
      </rPr>
      <t>■ 17</t>
    </r>
    <r>
      <rPr>
        <b/>
        <sz val="11"/>
        <color rgb="FFFFFFFF"/>
        <rFont val="DejaVu Sans"/>
        <family val="2"/>
      </rPr>
      <t>개 규격 현재고 대시보드</t>
    </r>
  </si>
  <si>
    <r>
      <rPr>
        <b/>
        <sz val="11"/>
        <color rgb="FFFFFFFF"/>
        <rFont val="맑은 고딕"/>
        <family val="3"/>
        <charset val="129"/>
      </rPr>
      <t xml:space="preserve">■ Quick LOT </t>
    </r>
    <r>
      <rPr>
        <b/>
        <sz val="11"/>
        <color rgb="FFFFFFFF"/>
        <rFont val="DejaVu Sans"/>
        <family val="2"/>
      </rPr>
      <t>잔량 조회</t>
    </r>
  </si>
  <si>
    <r>
      <rPr>
        <i/>
        <sz val="9"/>
        <color rgb="FF555555"/>
        <rFont val="DejaVu Sans"/>
        <family val="2"/>
      </rPr>
      <t xml:space="preserve">현재고 </t>
    </r>
    <r>
      <rPr>
        <i/>
        <sz val="9"/>
        <color rgb="FF555555"/>
        <rFont val="DejaVu Sans"/>
        <family val="2"/>
        <charset val="1"/>
      </rPr>
      <t xml:space="preserve">= </t>
    </r>
    <r>
      <rPr>
        <i/>
        <sz val="9"/>
        <color rgb="FF555555"/>
        <rFont val="DejaVu Sans"/>
        <family val="2"/>
      </rPr>
      <t xml:space="preserve">초기재고 </t>
    </r>
    <r>
      <rPr>
        <i/>
        <sz val="9"/>
        <color rgb="FF555555"/>
        <rFont val="DejaVu Sans"/>
        <family val="2"/>
        <charset val="1"/>
      </rPr>
      <t xml:space="preserve">+ </t>
    </r>
    <r>
      <rPr>
        <i/>
        <sz val="9"/>
        <color rgb="FF555555"/>
        <rFont val="DejaVu Sans"/>
        <family val="2"/>
      </rPr>
      <t xml:space="preserve">총입고 </t>
    </r>
    <r>
      <rPr>
        <i/>
        <sz val="9"/>
        <color rgb="FF555555"/>
        <rFont val="DejaVu Sans"/>
        <family val="2"/>
        <charset val="1"/>
      </rPr>
      <t xml:space="preserve">- </t>
    </r>
    <r>
      <rPr>
        <i/>
        <sz val="9"/>
        <color rgb="FF555555"/>
        <rFont val="DejaVu Sans"/>
        <family val="2"/>
      </rPr>
      <t>총출고</t>
    </r>
    <r>
      <rPr>
        <i/>
        <sz val="9"/>
        <color rgb="FF555555"/>
        <rFont val="DejaVu Sans"/>
        <family val="2"/>
        <charset val="1"/>
      </rPr>
      <t xml:space="preserve">. </t>
    </r>
    <r>
      <rPr>
        <i/>
        <sz val="9"/>
        <color rgb="FF555555"/>
        <rFont val="DejaVu Sans"/>
        <family val="2"/>
      </rPr>
      <t>음수</t>
    </r>
    <r>
      <rPr>
        <i/>
        <sz val="9"/>
        <color rgb="FF555555"/>
        <rFont val="DejaVu Sans"/>
        <family val="2"/>
        <charset val="1"/>
      </rPr>
      <t>=</t>
    </r>
    <r>
      <rPr>
        <i/>
        <sz val="9"/>
        <color rgb="FF555555"/>
        <rFont val="DejaVu Sans"/>
        <family val="2"/>
      </rPr>
      <t>빨강</t>
    </r>
    <r>
      <rPr>
        <i/>
        <sz val="9"/>
        <color rgb="FF555555"/>
        <rFont val="DejaVu Sans"/>
        <family val="2"/>
        <charset val="1"/>
      </rPr>
      <t>, 5</t>
    </r>
    <r>
      <rPr>
        <i/>
        <sz val="9"/>
        <color rgb="FF555555"/>
        <rFont val="DejaVu Sans"/>
        <family val="2"/>
      </rPr>
      <t>개 이하</t>
    </r>
    <r>
      <rPr>
        <i/>
        <sz val="9"/>
        <color rgb="FF555555"/>
        <rFont val="DejaVu Sans"/>
        <family val="2"/>
        <charset val="1"/>
      </rPr>
      <t>=</t>
    </r>
    <r>
      <rPr>
        <i/>
        <sz val="9"/>
        <color rgb="FF555555"/>
        <rFont val="DejaVu Sans"/>
        <family val="2"/>
      </rPr>
      <t>주황</t>
    </r>
    <r>
      <rPr>
        <i/>
        <sz val="9"/>
        <color rgb="FF555555"/>
        <rFont val="DejaVu Sans"/>
        <family val="2"/>
        <charset val="1"/>
      </rPr>
      <t xml:space="preserve">. </t>
    </r>
    <r>
      <rPr>
        <i/>
        <sz val="9"/>
        <color rgb="FF555555"/>
        <rFont val="DejaVu Sans"/>
        <family val="2"/>
      </rPr>
      <t>규격 클릭 시 해당 시트로</t>
    </r>
    <r>
      <rPr>
        <i/>
        <sz val="9"/>
        <color rgb="FF555555"/>
        <rFont val="DejaVu Sans"/>
        <family val="2"/>
        <charset val="1"/>
      </rPr>
      <t>.</t>
    </r>
  </si>
  <si>
    <r>
      <rPr>
        <i/>
        <sz val="9"/>
        <color rgb="FF555555"/>
        <rFont val="DejaVu Sans"/>
        <family val="2"/>
      </rPr>
      <t>규격</t>
    </r>
    <r>
      <rPr>
        <i/>
        <sz val="9"/>
        <color rgb="FF555555"/>
        <rFont val="DejaVu Sans"/>
        <family val="2"/>
        <charset val="1"/>
      </rPr>
      <t xml:space="preserve">+LOT </t>
    </r>
    <r>
      <rPr>
        <i/>
        <sz val="9"/>
        <color rgb="FF555555"/>
        <rFont val="DejaVu Sans"/>
        <family val="2"/>
      </rPr>
      <t>입력 → 즉시 잔량</t>
    </r>
  </si>
  <si>
    <t>No</t>
  </si>
  <si>
    <t>제품군</t>
  </si>
  <si>
    <t>규격코드</t>
  </si>
  <si>
    <r>
      <rPr>
        <b/>
        <sz val="10"/>
        <color rgb="FFFFFFFF"/>
        <rFont val="DejaVu Sans"/>
        <family val="2"/>
      </rPr>
      <t>규격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통합</t>
    </r>
    <r>
      <rPr>
        <b/>
        <sz val="10"/>
        <color rgb="FFFFFFFF"/>
        <rFont val="DejaVu Sans"/>
        <family val="2"/>
        <charset val="1"/>
      </rPr>
      <t>ID)</t>
    </r>
  </si>
  <si>
    <t>단위</t>
  </si>
  <si>
    <t>초기재고</t>
  </si>
  <si>
    <t>총 입고</t>
  </si>
  <si>
    <t>총 출고</t>
  </si>
  <si>
    <t>현재고</t>
  </si>
  <si>
    <t>규격</t>
  </si>
  <si>
    <r>
      <rPr>
        <b/>
        <sz val="10"/>
        <rFont val="맑은 고딕"/>
        <family val="3"/>
        <charset val="129"/>
      </rPr>
      <t>LOT</t>
    </r>
    <r>
      <rPr>
        <b/>
        <sz val="10"/>
        <rFont val="DejaVu Sans"/>
        <family val="2"/>
      </rPr>
      <t>번호</t>
    </r>
  </si>
  <si>
    <r>
      <rPr>
        <b/>
        <sz val="10"/>
        <rFont val="맑은 고딕"/>
        <family val="3"/>
        <charset val="129"/>
      </rPr>
      <t xml:space="preserve">LOT </t>
    </r>
    <r>
      <rPr>
        <b/>
        <sz val="10"/>
        <rFont val="DejaVu Sans"/>
        <family val="2"/>
      </rPr>
      <t>잔량</t>
    </r>
  </si>
  <si>
    <t>합계</t>
  </si>
  <si>
    <t>입고 거래 입력</t>
  </si>
  <si>
    <r>
      <rPr>
        <i/>
        <sz val="9"/>
        <color rgb="FF555555"/>
        <rFont val="DejaVu Sans"/>
        <family val="2"/>
      </rPr>
      <t>① 일자  ② 규격</t>
    </r>
    <r>
      <rPr>
        <i/>
        <sz val="9"/>
        <color rgb="FF555555"/>
        <rFont val="DejaVu Sans"/>
        <family val="2"/>
        <charset val="1"/>
      </rPr>
      <t>(</t>
    </r>
    <r>
      <rPr>
        <i/>
        <sz val="9"/>
        <color rgb="FF555555"/>
        <rFont val="DejaVu Sans"/>
        <family val="2"/>
      </rPr>
      <t>드롭다운</t>
    </r>
    <r>
      <rPr>
        <i/>
        <sz val="9"/>
        <color rgb="FF555555"/>
        <rFont val="DejaVu Sans"/>
        <family val="2"/>
        <charset val="1"/>
      </rPr>
      <t>)  ③ LOT</t>
    </r>
    <r>
      <rPr>
        <i/>
        <sz val="9"/>
        <color rgb="FF555555"/>
        <rFont val="DejaVu Sans"/>
        <family val="2"/>
      </rPr>
      <t>번호 직접입력</t>
    </r>
    <r>
      <rPr>
        <i/>
        <sz val="9"/>
        <color rgb="FF555555"/>
        <rFont val="DejaVu Sans"/>
        <family val="2"/>
        <charset val="1"/>
      </rPr>
      <t>(</t>
    </r>
    <r>
      <rPr>
        <i/>
        <sz val="9"/>
        <color rgb="FF555555"/>
        <rFont val="DejaVu Sans"/>
        <family val="2"/>
      </rPr>
      <t xml:space="preserve">새 </t>
    </r>
    <r>
      <rPr>
        <i/>
        <sz val="9"/>
        <color rgb="FF555555"/>
        <rFont val="DejaVu Sans"/>
        <family val="2"/>
        <charset val="1"/>
      </rPr>
      <t xml:space="preserve">LOT)  ④ </t>
    </r>
    <r>
      <rPr>
        <i/>
        <sz val="9"/>
        <color rgb="FF555555"/>
        <rFont val="DejaVu Sans"/>
        <family val="2"/>
      </rPr>
      <t>수량  ⑤ 거래처  ⑥ 비고</t>
    </r>
  </si>
  <si>
    <t>총 입고건수</t>
  </si>
  <si>
    <r>
      <rPr>
        <b/>
        <sz val="10"/>
        <rFont val="DejaVu Sans"/>
        <family val="2"/>
      </rPr>
      <t>오늘 날짜</t>
    </r>
    <r>
      <rPr>
        <b/>
        <sz val="10"/>
        <rFont val="DejaVu Sans"/>
        <family val="2"/>
        <charset val="1"/>
      </rPr>
      <t>:</t>
    </r>
  </si>
  <si>
    <t>총 입고수량</t>
  </si>
  <si>
    <r>
      <rPr>
        <b/>
        <sz val="10"/>
        <rFont val="DejaVu Sans"/>
        <family val="2"/>
      </rPr>
      <t>단축키</t>
    </r>
    <r>
      <rPr>
        <b/>
        <sz val="10"/>
        <rFont val="DejaVu Sans"/>
        <family val="2"/>
        <charset val="1"/>
      </rPr>
      <t>:</t>
    </r>
  </si>
  <si>
    <r>
      <rPr>
        <sz val="10"/>
        <color rgb="FF555555"/>
        <rFont val="맑은 고딕"/>
        <family val="3"/>
        <charset val="129"/>
      </rPr>
      <t>Ctrl + ; (</t>
    </r>
    <r>
      <rPr>
        <sz val="10"/>
        <color rgb="FF555555"/>
        <rFont val="DejaVu Sans"/>
        <family val="2"/>
      </rPr>
      <t>오늘</t>
    </r>
    <r>
      <rPr>
        <sz val="10"/>
        <color rgb="FF555555"/>
        <rFont val="맑은 고딕"/>
        <family val="3"/>
        <charset val="129"/>
      </rPr>
      <t>)</t>
    </r>
  </si>
  <si>
    <t>일자</t>
  </si>
  <si>
    <t>규격설명</t>
  </si>
  <si>
    <r>
      <rPr>
        <b/>
        <sz val="10"/>
        <color rgb="FFFFFFFF"/>
        <rFont val="맑은 고딕"/>
        <family val="3"/>
        <charset val="129"/>
      </rPr>
      <t>LOT</t>
    </r>
    <r>
      <rPr>
        <b/>
        <sz val="10"/>
        <color rgb="FFFFFFFF"/>
        <rFont val="DejaVu Sans"/>
        <family val="2"/>
      </rPr>
      <t>번호</t>
    </r>
  </si>
  <si>
    <t>수량</t>
  </si>
  <si>
    <t>거래처</t>
  </si>
  <si>
    <t>비고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</si>
  <si>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국산 </t>
    </r>
    <r>
      <rPr>
        <sz val="10"/>
        <rFont val="맑은 고딕"/>
        <family val="3"/>
        <charset val="129"/>
      </rPr>
      <t>38T × 600W × 4800L</t>
    </r>
  </si>
  <si>
    <t>R251017CW002</t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</si>
  <si>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초기재고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</si>
  <si>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  <charset val="1"/>
      </rPr>
      <t xml:space="preserve">2026-02-12 </t>
    </r>
    <r>
      <rPr>
        <sz val="10"/>
        <rFont val="DejaVu Sans"/>
        <family val="2"/>
      </rPr>
      <t>기준</t>
    </r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</si>
  <si>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국산 </t>
    </r>
    <r>
      <rPr>
        <sz val="10"/>
        <rFont val="맑은 고딕"/>
        <family val="3"/>
        <charset val="129"/>
      </rPr>
      <t>25T × 300W × 7320L</t>
    </r>
  </si>
  <si>
    <t>260109CW002</t>
  </si>
  <si>
    <r>
      <rPr>
        <sz val="10"/>
        <rFont val="맑은 고딕"/>
        <family val="3"/>
        <charset val="129"/>
      </rPr>
      <t>100K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25T × 300W × 7400L</t>
    </r>
  </si>
  <si>
    <t>260203CW001</t>
  </si>
  <si>
    <r>
      <rPr>
        <sz val="10"/>
        <rFont val="맑은 고딕"/>
        <family val="3"/>
        <charset val="129"/>
      </rPr>
      <t>100K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38T × 600W × 4800L</t>
    </r>
  </si>
  <si>
    <t>260203CW004</t>
  </si>
  <si>
    <r>
      <rPr>
        <sz val="10"/>
        <rFont val="맑은 고딕"/>
        <family val="3"/>
        <charset val="129"/>
      </rPr>
      <t>128K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25T × 200W × 7400L</t>
    </r>
  </si>
  <si>
    <t>260203CW002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</si>
  <si>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25T × 150W × 7400L</t>
    </r>
  </si>
  <si>
    <t>260203CW003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</si>
  <si>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38T × 150W × 4800L</t>
    </r>
  </si>
  <si>
    <t>260203CW005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</si>
  <si>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50T × 1000W × 3600L</t>
    </r>
  </si>
  <si>
    <t>260203CW006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</si>
  <si>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50T × 150W × 3600L</t>
    </r>
  </si>
  <si>
    <t>260203CW008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</si>
  <si>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50T × 400W × 3600L</t>
    </r>
  </si>
  <si>
    <t>260203CW007</t>
  </si>
  <si>
    <t>R260203CW007</t>
  </si>
  <si>
    <r>
      <rPr>
        <sz val="10"/>
        <rFont val="맑은 고딕"/>
        <family val="3"/>
        <charset val="129"/>
      </rPr>
      <t>100K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25T × 200W × 7400L</t>
    </r>
  </si>
  <si>
    <t>260227CW004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</si>
  <si>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50T × 600W × 3600L</t>
    </r>
  </si>
  <si>
    <t>260227CW002</t>
  </si>
  <si>
    <t>260514CW002</t>
  </si>
  <si>
    <t>260514CW001</t>
  </si>
  <si>
    <t>출고 거래 입력</t>
  </si>
  <si>
    <r>
      <rPr>
        <i/>
        <sz val="9"/>
        <color rgb="FF555555"/>
        <rFont val="DejaVu Sans"/>
        <family val="2"/>
      </rPr>
      <t>① 일자  ② 규격</t>
    </r>
    <r>
      <rPr>
        <i/>
        <sz val="9"/>
        <color rgb="FF555555"/>
        <rFont val="DejaVu Sans"/>
        <family val="2"/>
        <charset val="1"/>
      </rPr>
      <t>(</t>
    </r>
    <r>
      <rPr>
        <i/>
        <sz val="9"/>
        <color rgb="FF555555"/>
        <rFont val="DejaVu Sans"/>
        <family val="2"/>
      </rPr>
      <t>드롭다운</t>
    </r>
    <r>
      <rPr>
        <i/>
        <sz val="9"/>
        <color rgb="FF555555"/>
        <rFont val="DejaVu Sans"/>
        <family val="2"/>
        <charset val="1"/>
      </rPr>
      <t>) → ③ LOT(</t>
    </r>
    <r>
      <rPr>
        <i/>
        <sz val="9"/>
        <color rgb="FF555555"/>
        <rFont val="DejaVu Sans"/>
        <family val="2"/>
      </rPr>
      <t>드롭다운</t>
    </r>
    <r>
      <rPr>
        <i/>
        <sz val="9"/>
        <color rgb="FF555555"/>
        <rFont val="DejaVu Sans"/>
        <family val="2"/>
        <charset val="1"/>
      </rPr>
      <t xml:space="preserve">, </t>
    </r>
    <r>
      <rPr>
        <i/>
        <sz val="9"/>
        <color rgb="FF555555"/>
        <rFont val="DejaVu Sans"/>
        <family val="2"/>
      </rPr>
      <t xml:space="preserve">그 규격의 </t>
    </r>
    <r>
      <rPr>
        <i/>
        <sz val="9"/>
        <color rgb="FF555555"/>
        <rFont val="DejaVu Sans"/>
        <family val="2"/>
        <charset val="1"/>
      </rPr>
      <t>LOT</t>
    </r>
    <r>
      <rPr>
        <i/>
        <sz val="9"/>
        <color rgb="FF555555"/>
        <rFont val="DejaVu Sans"/>
        <family val="2"/>
      </rPr>
      <t>만</t>
    </r>
    <r>
      <rPr>
        <i/>
        <sz val="9"/>
        <color rgb="FF555555"/>
        <rFont val="DejaVu Sans"/>
        <family val="2"/>
        <charset val="1"/>
      </rPr>
      <t xml:space="preserve">)  ④ </t>
    </r>
    <r>
      <rPr>
        <i/>
        <sz val="9"/>
        <color rgb="FF555555"/>
        <rFont val="DejaVu Sans"/>
        <family val="2"/>
      </rPr>
      <t>수량  ⑤ 현장  ⑥ 비고</t>
    </r>
  </si>
  <si>
    <t>총 출고건수</t>
  </si>
  <si>
    <t>총 출고수량</t>
  </si>
  <si>
    <t>현장</t>
  </si>
  <si>
    <r>
      <rPr>
        <b/>
        <sz val="18"/>
        <color rgb="FFFFFFFF"/>
        <rFont val="맑은 고딕"/>
        <family val="3"/>
        <charset val="129"/>
      </rPr>
      <t>LOT</t>
    </r>
    <r>
      <rPr>
        <b/>
        <sz val="18"/>
        <color rgb="FFFFFFFF"/>
        <rFont val="DejaVu Sans"/>
        <family val="2"/>
      </rPr>
      <t xml:space="preserve">조회 </t>
    </r>
    <r>
      <rPr>
        <b/>
        <sz val="18"/>
        <color rgb="FFFFFFFF"/>
        <rFont val="맑은 고딕"/>
        <family val="3"/>
        <charset val="129"/>
      </rPr>
      <t xml:space="preserve">- </t>
    </r>
    <r>
      <rPr>
        <b/>
        <sz val="18"/>
        <color rgb="FFFFFFFF"/>
        <rFont val="DejaVu Sans"/>
        <family val="2"/>
      </rPr>
      <t xml:space="preserve">규격별 </t>
    </r>
    <r>
      <rPr>
        <b/>
        <sz val="18"/>
        <color rgb="FFFFFFFF"/>
        <rFont val="맑은 고딕"/>
        <family val="3"/>
        <charset val="129"/>
      </rPr>
      <t xml:space="preserve">LOT </t>
    </r>
    <r>
      <rPr>
        <b/>
        <sz val="18"/>
        <color rgb="FFFFFFFF"/>
        <rFont val="DejaVu Sans"/>
        <family val="2"/>
      </rPr>
      <t>잔량 자동집계</t>
    </r>
  </si>
  <si>
    <r>
      <rPr>
        <i/>
        <sz val="9"/>
        <color rgb="FF555555"/>
        <rFont val="DejaVu Sans"/>
        <family val="2"/>
      </rPr>
      <t xml:space="preserve">규격을 선택하면 그 규격의 모든 </t>
    </r>
    <r>
      <rPr>
        <i/>
        <sz val="9"/>
        <color rgb="FF555555"/>
        <rFont val="DejaVu Sans"/>
        <family val="2"/>
        <charset val="1"/>
      </rPr>
      <t xml:space="preserve">LOT </t>
    </r>
    <r>
      <rPr>
        <i/>
        <sz val="9"/>
        <color rgb="FF555555"/>
        <rFont val="DejaVu Sans"/>
        <family val="2"/>
      </rPr>
      <t>잔량이 자동 표시됩니다</t>
    </r>
    <r>
      <rPr>
        <i/>
        <sz val="9"/>
        <color rgb="FF555555"/>
        <rFont val="DejaVu Sans"/>
        <family val="2"/>
        <charset val="1"/>
      </rPr>
      <t>.</t>
    </r>
  </si>
  <si>
    <r>
      <rPr>
        <b/>
        <sz val="10"/>
        <rFont val="DejaVu Sans"/>
        <family val="2"/>
      </rPr>
      <t>규격</t>
    </r>
    <r>
      <rPr>
        <b/>
        <sz val="10"/>
        <rFont val="DejaVu Sans"/>
        <family val="2"/>
        <charset val="1"/>
      </rPr>
      <t>(</t>
    </r>
    <r>
      <rPr>
        <b/>
        <sz val="10"/>
        <rFont val="DejaVu Sans"/>
        <family val="2"/>
      </rPr>
      <t>통합</t>
    </r>
    <r>
      <rPr>
        <b/>
        <sz val="10"/>
        <rFont val="DejaVu Sans"/>
        <family val="2"/>
        <charset val="1"/>
      </rPr>
      <t>ID)</t>
    </r>
  </si>
  <si>
    <t>현재고 합계</t>
  </si>
  <si>
    <r>
      <rPr>
        <b/>
        <sz val="11"/>
        <color rgb="FFFFFFFF"/>
        <rFont val="DejaVu Sans"/>
        <family val="2"/>
      </rPr>
      <t xml:space="preserve">■ 선택 규격의 </t>
    </r>
    <r>
      <rPr>
        <b/>
        <sz val="11"/>
        <color rgb="FFFFFFFF"/>
        <rFont val="DejaVu Sans"/>
        <family val="2"/>
        <charset val="1"/>
      </rPr>
      <t>LOT</t>
    </r>
    <r>
      <rPr>
        <b/>
        <sz val="11"/>
        <color rgb="FFFFFFFF"/>
        <rFont val="DejaVu Sans"/>
        <family val="2"/>
      </rPr>
      <t>별 잔량</t>
    </r>
  </si>
  <si>
    <r>
      <rPr>
        <b/>
        <sz val="10"/>
        <color rgb="FFFFFFFF"/>
        <rFont val="맑은 고딕"/>
        <family val="3"/>
        <charset val="129"/>
      </rPr>
      <t xml:space="preserve">LOT </t>
    </r>
    <r>
      <rPr>
        <b/>
        <sz val="10"/>
        <color rgb="FFFFFFFF"/>
        <rFont val="DejaVu Sans"/>
        <family val="2"/>
      </rPr>
      <t>번호</t>
    </r>
  </si>
  <si>
    <r>
      <rPr>
        <b/>
        <sz val="10"/>
        <color rgb="FFFFFFFF"/>
        <rFont val="맑은 고딕"/>
        <family val="3"/>
        <charset val="129"/>
      </rPr>
      <t xml:space="preserve">LOT </t>
    </r>
    <r>
      <rPr>
        <b/>
        <sz val="10"/>
        <color rgb="FFFFFFFF"/>
        <rFont val="DejaVu Sans"/>
        <family val="2"/>
      </rPr>
      <t>잔량</t>
    </r>
  </si>
  <si>
    <r>
      <rPr>
        <b/>
        <sz val="10"/>
        <rFont val="DejaVu Sans"/>
        <family val="2"/>
      </rPr>
      <t xml:space="preserve">제품군 </t>
    </r>
    <r>
      <rPr>
        <b/>
        <sz val="10"/>
        <rFont val="DejaVu Sans"/>
        <family val="2"/>
        <charset val="1"/>
      </rPr>
      <t>(</t>
    </r>
    <r>
      <rPr>
        <b/>
        <sz val="10"/>
        <rFont val="DejaVu Sans"/>
        <family val="2"/>
      </rPr>
      <t>참고용</t>
    </r>
    <r>
      <rPr>
        <b/>
        <sz val="10"/>
        <rFont val="DejaVu Sans"/>
        <family val="2"/>
        <charset val="1"/>
      </rPr>
      <t>)</t>
    </r>
  </si>
  <si>
    <r>
      <rPr>
        <b/>
        <sz val="10"/>
        <rFont val="DejaVu Sans"/>
        <family val="2"/>
      </rPr>
      <t xml:space="preserve">차열재 규격 마스터 </t>
    </r>
    <r>
      <rPr>
        <b/>
        <sz val="10"/>
        <rFont val="DejaVu Sans"/>
        <family val="2"/>
        <charset val="1"/>
      </rPr>
      <t>(</t>
    </r>
    <r>
      <rPr>
        <b/>
        <sz val="10"/>
        <rFont val="DejaVu Sans"/>
        <family val="2"/>
      </rPr>
      <t xml:space="preserve">초기재고 </t>
    </r>
    <r>
      <rPr>
        <b/>
        <sz val="10"/>
        <rFont val="DejaVu Sans"/>
        <family val="2"/>
        <charset val="1"/>
      </rPr>
      <t>K</t>
    </r>
    <r>
      <rPr>
        <b/>
        <sz val="10"/>
        <rFont val="DejaVu Sans"/>
        <family val="2"/>
      </rPr>
      <t>열에 직접 입력</t>
    </r>
    <r>
      <rPr>
        <b/>
        <sz val="10"/>
        <rFont val="DejaVu Sans"/>
        <family val="2"/>
        <charset val="1"/>
      </rPr>
      <t>)</t>
    </r>
  </si>
  <si>
    <r>
      <rPr>
        <sz val="11"/>
        <color theme="1"/>
        <rFont val="DejaVu Sans"/>
        <family val="2"/>
      </rPr>
      <t xml:space="preserve">세라믹울 </t>
    </r>
    <r>
      <rPr>
        <sz val="11"/>
        <color theme="1"/>
        <rFont val="DejaVu Sans"/>
        <family val="2"/>
        <charset val="1"/>
      </rPr>
      <t xml:space="preserve">96K </t>
    </r>
    <r>
      <rPr>
        <sz val="11"/>
        <color theme="1"/>
        <rFont val="DejaVu Sans"/>
        <family val="2"/>
      </rPr>
      <t>국산</t>
    </r>
  </si>
  <si>
    <r>
      <rPr>
        <i/>
        <sz val="9"/>
        <color rgb="FF555555"/>
        <rFont val="맑은 고딕"/>
        <family val="3"/>
        <charset val="129"/>
      </rPr>
      <t xml:space="preserve">LOT </t>
    </r>
    <r>
      <rPr>
        <i/>
        <sz val="9"/>
        <color rgb="FF555555"/>
        <rFont val="DejaVu Sans"/>
        <family val="2"/>
      </rPr>
      <t xml:space="preserve">풀 </t>
    </r>
    <r>
      <rPr>
        <i/>
        <sz val="9"/>
        <color rgb="FF555555"/>
        <rFont val="맑은 고딕"/>
        <family val="3"/>
        <charset val="129"/>
      </rPr>
      <t>(</t>
    </r>
    <r>
      <rPr>
        <i/>
        <sz val="9"/>
        <color rgb="FF555555"/>
        <rFont val="DejaVu Sans"/>
        <family val="2"/>
      </rPr>
      <t>입고시트에서 자동 추출</t>
    </r>
    <r>
      <rPr>
        <i/>
        <sz val="9"/>
        <color rgb="FF555555"/>
        <rFont val="맑은 고딕"/>
        <family val="3"/>
        <charset val="129"/>
      </rPr>
      <t xml:space="preserve">, </t>
    </r>
    <r>
      <rPr>
        <i/>
        <sz val="9"/>
        <color rgb="FF555555"/>
        <rFont val="DejaVu Sans"/>
        <family val="2"/>
      </rPr>
      <t>출고 드롭다운용</t>
    </r>
    <r>
      <rPr>
        <i/>
        <sz val="9"/>
        <color rgb="FF555555"/>
        <rFont val="맑은 고딕"/>
        <family val="3"/>
        <charset val="129"/>
      </rPr>
      <t>)</t>
    </r>
  </si>
  <si>
    <r>
      <rPr>
        <sz val="11"/>
        <color theme="1"/>
        <rFont val="DejaVu Sans"/>
        <family val="2"/>
      </rPr>
      <t xml:space="preserve">세라믹울 </t>
    </r>
    <r>
      <rPr>
        <sz val="11"/>
        <color theme="1"/>
        <rFont val="DejaVu Sans"/>
        <family val="2"/>
        <charset val="1"/>
      </rPr>
      <t xml:space="preserve">96K </t>
    </r>
    <r>
      <rPr>
        <sz val="11"/>
        <color theme="1"/>
        <rFont val="DejaVu Sans"/>
        <family val="2"/>
      </rPr>
      <t>수입</t>
    </r>
  </si>
  <si>
    <r>
      <rPr>
        <b/>
        <sz val="10"/>
        <color rgb="FFFFFFFF"/>
        <rFont val="DejaVu Sans"/>
        <family val="2"/>
      </rPr>
      <t>두께</t>
    </r>
    <r>
      <rPr>
        <b/>
        <sz val="10"/>
        <color rgb="FFFFFFFF"/>
        <rFont val="DejaVu Sans"/>
        <family val="2"/>
        <charset val="1"/>
      </rPr>
      <t>(T)</t>
    </r>
  </si>
  <si>
    <r>
      <rPr>
        <b/>
        <sz val="10"/>
        <color rgb="FFFFFFFF"/>
        <rFont val="DejaVu Sans"/>
        <family val="2"/>
      </rPr>
      <t>폭</t>
    </r>
    <r>
      <rPr>
        <b/>
        <sz val="10"/>
        <color rgb="FFFFFFFF"/>
        <rFont val="DejaVu Sans"/>
        <family val="2"/>
        <charset val="1"/>
      </rPr>
      <t>(W)</t>
    </r>
  </si>
  <si>
    <r>
      <rPr>
        <b/>
        <sz val="10"/>
        <color rgb="FFFFFFFF"/>
        <rFont val="DejaVu Sans"/>
        <family val="2"/>
      </rPr>
      <t>길이</t>
    </r>
    <r>
      <rPr>
        <b/>
        <sz val="10"/>
        <color rgb="FFFFFFFF"/>
        <rFont val="DejaVu Sans"/>
        <family val="2"/>
        <charset val="1"/>
      </rPr>
      <t>(L)</t>
    </r>
  </si>
  <si>
    <t>시트명</t>
  </si>
  <si>
    <r>
      <rPr>
        <b/>
        <sz val="10"/>
        <color rgb="FFFFFFFF"/>
        <rFont val="DejaVu Sans"/>
        <family val="2"/>
      </rPr>
      <t>통합규격</t>
    </r>
    <r>
      <rPr>
        <b/>
        <sz val="10"/>
        <color rgb="FFFFFFFF"/>
        <rFont val="DejaVu Sans"/>
        <family val="2"/>
        <charset val="1"/>
      </rPr>
      <t>ID</t>
    </r>
  </si>
  <si>
    <r>
      <rPr>
        <sz val="11"/>
        <color theme="1"/>
        <rFont val="DejaVu Sans"/>
        <family val="2"/>
      </rPr>
      <t xml:space="preserve">세라믹울 </t>
    </r>
    <r>
      <rPr>
        <sz val="11"/>
        <color theme="1"/>
        <rFont val="DejaVu Sans"/>
        <family val="2"/>
        <charset val="1"/>
      </rPr>
      <t xml:space="preserve">100K </t>
    </r>
    <r>
      <rPr>
        <sz val="11"/>
        <color theme="1"/>
        <rFont val="DejaVu Sans"/>
        <family val="2"/>
      </rPr>
      <t>수입</t>
    </r>
  </si>
  <si>
    <r>
      <rPr>
        <sz val="10"/>
        <rFont val="DejaVu Sans"/>
        <family val="2"/>
      </rPr>
      <t xml:space="preserve">세라믹울 </t>
    </r>
    <r>
      <rPr>
        <sz val="10"/>
        <rFont val="DejaVu Sans"/>
        <family val="2"/>
        <charset val="1"/>
      </rPr>
      <t xml:space="preserve">96K </t>
    </r>
    <r>
      <rPr>
        <sz val="10"/>
        <rFont val="DejaVu Sans"/>
        <family val="2"/>
      </rPr>
      <t>국산</t>
    </r>
  </si>
  <si>
    <t>252007320</t>
  </si>
  <si>
    <t>25T × 200W × 7320L</t>
  </si>
  <si>
    <t>매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</si>
  <si>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국산 </t>
    </r>
    <r>
      <rPr>
        <sz val="10"/>
        <rFont val="맑은 고딕"/>
        <family val="3"/>
        <charset val="129"/>
      </rPr>
      <t>25T × 200W × 7320L</t>
    </r>
  </si>
  <si>
    <r>
      <rPr>
        <sz val="11"/>
        <color theme="1"/>
        <rFont val="DejaVu Sans"/>
        <family val="2"/>
      </rPr>
      <t xml:space="preserve">세라믹울 </t>
    </r>
    <r>
      <rPr>
        <sz val="11"/>
        <color theme="1"/>
        <rFont val="DejaVu Sans"/>
        <family val="2"/>
        <charset val="1"/>
      </rPr>
      <t xml:space="preserve">128K </t>
    </r>
    <r>
      <rPr>
        <sz val="11"/>
        <color theme="1"/>
        <rFont val="DejaVu Sans"/>
        <family val="2"/>
      </rPr>
      <t>수입</t>
    </r>
  </si>
  <si>
    <t>253007320</t>
  </si>
  <si>
    <t>25T × 300W × 7320L</t>
  </si>
  <si>
    <t>386004800</t>
  </si>
  <si>
    <t>38T × 600W × 4800L</t>
  </si>
  <si>
    <t>504003800</t>
  </si>
  <si>
    <t>50T × 400W × 3800L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</si>
  <si>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국산 </t>
    </r>
    <r>
      <rPr>
        <sz val="10"/>
        <rFont val="맑은 고딕"/>
        <family val="3"/>
        <charset val="129"/>
      </rPr>
      <t>50T × 400W × 3800L</t>
    </r>
  </si>
  <si>
    <t>506103600</t>
  </si>
  <si>
    <t>50T × 610W × 3600L</t>
  </si>
  <si>
    <r>
      <rPr>
        <sz val="10"/>
        <rFont val="맑은 고딕"/>
        <family val="3"/>
        <charset val="129"/>
      </rPr>
      <t>96K</t>
    </r>
    <r>
      <rPr>
        <sz val="10"/>
        <rFont val="DejaVu Sans"/>
        <family val="2"/>
      </rPr>
      <t xml:space="preserve">국산 </t>
    </r>
    <r>
      <rPr>
        <sz val="10"/>
        <rFont val="맑은 고딕"/>
        <family val="3"/>
        <charset val="129"/>
      </rPr>
      <t>50T × 610W × 3600L</t>
    </r>
  </si>
  <si>
    <r>
      <rPr>
        <sz val="10"/>
        <rFont val="DejaVu Sans"/>
        <family val="2"/>
      </rPr>
      <t xml:space="preserve">세라믹울 </t>
    </r>
    <r>
      <rPr>
        <sz val="10"/>
        <rFont val="DejaVu Sans"/>
        <family val="2"/>
        <charset val="1"/>
      </rPr>
      <t xml:space="preserve">96K </t>
    </r>
    <r>
      <rPr>
        <sz val="10"/>
        <rFont val="DejaVu Sans"/>
        <family val="2"/>
      </rPr>
      <t>수입</t>
    </r>
  </si>
  <si>
    <t>251507400</t>
  </si>
  <si>
    <t>25T × 150W × 7400L</t>
  </si>
  <si>
    <t>381504800</t>
  </si>
  <si>
    <t>38T × 150W × 4800L</t>
  </si>
  <si>
    <t>501503600</t>
  </si>
  <si>
    <t>50T × 150W × 3600L</t>
  </si>
  <si>
    <t>504003600</t>
  </si>
  <si>
    <t>50T × 400W × 3600L</t>
  </si>
  <si>
    <t>506003600</t>
  </si>
  <si>
    <t>50T × 600W × 3600L</t>
  </si>
  <si>
    <t>5010003600</t>
  </si>
  <si>
    <t>50T × 1000W × 3600L</t>
  </si>
  <si>
    <r>
      <rPr>
        <sz val="10"/>
        <rFont val="DejaVu Sans"/>
        <family val="2"/>
      </rPr>
      <t xml:space="preserve">세라믹울 </t>
    </r>
    <r>
      <rPr>
        <sz val="10"/>
        <rFont val="DejaVu Sans"/>
        <family val="2"/>
        <charset val="1"/>
      </rPr>
      <t xml:space="preserve">100K </t>
    </r>
    <r>
      <rPr>
        <sz val="10"/>
        <rFont val="DejaVu Sans"/>
        <family val="2"/>
      </rPr>
      <t>수입</t>
    </r>
  </si>
  <si>
    <r>
      <rPr>
        <sz val="10"/>
        <rFont val="맑은 고딕"/>
        <family val="3"/>
        <charset val="129"/>
      </rPr>
      <t>100K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25T × 150W × 7400L</t>
    </r>
  </si>
  <si>
    <t>252007400</t>
  </si>
  <si>
    <t>25T × 200W × 7400L</t>
  </si>
  <si>
    <t>253007400</t>
  </si>
  <si>
    <t>25T × 300W × 7400L</t>
  </si>
  <si>
    <r>
      <rPr>
        <sz val="10"/>
        <rFont val="맑은 고딕"/>
        <family val="3"/>
        <charset val="129"/>
      </rPr>
      <t>100K</t>
    </r>
    <r>
      <rPr>
        <sz val="10"/>
        <rFont val="DejaVu Sans"/>
        <family val="2"/>
      </rPr>
      <t xml:space="preserve">수입 </t>
    </r>
    <r>
      <rPr>
        <sz val="10"/>
        <rFont val="맑은 고딕"/>
        <family val="3"/>
        <charset val="129"/>
      </rPr>
      <t>50T × 600W × 3600L</t>
    </r>
  </si>
  <si>
    <r>
      <rPr>
        <sz val="10"/>
        <rFont val="DejaVu Sans"/>
        <family val="2"/>
      </rPr>
      <t xml:space="preserve">세라믹울 </t>
    </r>
    <r>
      <rPr>
        <sz val="10"/>
        <rFont val="DejaVu Sans"/>
        <family val="2"/>
        <charset val="1"/>
      </rPr>
      <t xml:space="preserve">128K </t>
    </r>
    <r>
      <rPr>
        <sz val="10"/>
        <rFont val="DejaVu Sans"/>
        <family val="2"/>
      </rPr>
      <t>수입</t>
    </r>
  </si>
  <si>
    <r>
      <rPr>
        <i/>
        <sz val="9"/>
        <color rgb="FF555555"/>
        <rFont val="맑은 고딕"/>
        <family val="3"/>
        <charset val="129"/>
      </rPr>
      <t>※ K</t>
    </r>
    <r>
      <rPr>
        <i/>
        <sz val="9"/>
        <color rgb="FF555555"/>
        <rFont val="DejaVu Sans"/>
        <family val="2"/>
      </rPr>
      <t>열에 초기재고 입력 → 모든 시트 자동 반영</t>
    </r>
  </si>
  <si>
    <t>사용량 합계</t>
  </si>
  <si>
    <r>
      <rPr>
        <b/>
        <sz val="10"/>
        <rFont val="DejaVu Sans"/>
        <family val="2"/>
      </rPr>
      <t>통합규격</t>
    </r>
    <r>
      <rPr>
        <b/>
        <sz val="10"/>
        <rFont val="DejaVu Sans"/>
        <family val="2"/>
        <charset val="1"/>
      </rPr>
      <t>ID</t>
    </r>
  </si>
  <si>
    <t>최근거래일</t>
  </si>
  <si>
    <r>
      <rPr>
        <b/>
        <sz val="11"/>
        <color rgb="FFFFFFFF"/>
        <rFont val="DejaVu Sans"/>
        <family val="2"/>
      </rPr>
      <t xml:space="preserve">■ 입고 이력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일자</t>
    </r>
    <r>
      <rPr>
        <b/>
        <sz val="11"/>
        <color rgb="FFFFFFFF"/>
        <rFont val="DejaVu Sans"/>
        <family val="2"/>
        <charset val="1"/>
      </rPr>
      <t xml:space="preserve">, LOT, </t>
    </r>
    <r>
      <rPr>
        <b/>
        <sz val="11"/>
        <color rgb="FFFFFFFF"/>
        <rFont val="DejaVu Sans"/>
        <family val="2"/>
      </rPr>
      <t>수량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거래처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비고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누적입고</t>
    </r>
    <r>
      <rPr>
        <b/>
        <sz val="11"/>
        <color rgb="FFFFFFFF"/>
        <rFont val="DejaVu Sans"/>
        <family val="2"/>
        <charset val="1"/>
      </rPr>
      <t>)</t>
    </r>
  </si>
  <si>
    <t>누적입고</t>
  </si>
  <si>
    <r>
      <rPr>
        <b/>
        <sz val="11"/>
        <color rgb="FFFFFFFF"/>
        <rFont val="DejaVu Sans"/>
        <family val="2"/>
      </rPr>
      <t xml:space="preserve">■ 출고 이력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일자</t>
    </r>
    <r>
      <rPr>
        <b/>
        <sz val="11"/>
        <color rgb="FFFFFFFF"/>
        <rFont val="DejaVu Sans"/>
        <family val="2"/>
        <charset val="1"/>
      </rPr>
      <t xml:space="preserve">, LOT, </t>
    </r>
    <r>
      <rPr>
        <b/>
        <sz val="11"/>
        <color rgb="FFFFFFFF"/>
        <rFont val="DejaVu Sans"/>
        <family val="2"/>
      </rPr>
      <t>수량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현장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비고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누적출고</t>
    </r>
    <r>
      <rPr>
        <b/>
        <sz val="11"/>
        <color rgb="FFFFFFFF"/>
        <rFont val="DejaVu Sans"/>
        <family val="2"/>
        <charset val="1"/>
      </rPr>
      <t>)</t>
    </r>
  </si>
  <si>
    <t>누적출고</t>
  </si>
  <si>
    <r>
      <rPr>
        <b/>
        <sz val="11"/>
        <color rgb="FFFFFFFF"/>
        <rFont val="DejaVu Sans"/>
        <family val="2"/>
      </rPr>
      <t xml:space="preserve">■ 이 규격의 </t>
    </r>
    <r>
      <rPr>
        <b/>
        <sz val="11"/>
        <color rgb="FFFFFFFF"/>
        <rFont val="DejaVu Sans"/>
        <family val="2"/>
        <charset val="1"/>
      </rPr>
      <t>LOT</t>
    </r>
    <r>
      <rPr>
        <b/>
        <sz val="11"/>
        <color rgb="FFFFFFFF"/>
        <rFont val="DejaVu Sans"/>
        <family val="2"/>
      </rPr>
      <t>별 재고</t>
    </r>
  </si>
  <si>
    <t>128K수입 25T × 200W × 7400L</t>
  </si>
  <si>
    <t>아산탐정자이</t>
    <phoneticPr fontId="40" type="noConversion"/>
  </si>
  <si>
    <t>96K국산 25T × 300W × 7320L</t>
  </si>
  <si>
    <t>조선대 감염병원</t>
    <phoneticPr fontId="40" type="noConversion"/>
  </si>
  <si>
    <t>아산탐정자이,조선대 감염병원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</si>
</sst>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\-"/>
    <numFmt numFmtId="177" formatCode="yyyy\-mm\-dd"/>
  </numFmts>
  <fonts count="41" x14ac:knownFonts="1">
    <font>
      <sz val="11"/>
      <color theme="1"/>
      <name val="Calibri"/>
      <family val="2"/>
      <charset val="1"/>
    </font>
    <font>
      <b/>
      <sz val="18"/>
      <color rgb="FFFFFFFF"/>
      <name val="DejaVu Sans"/>
      <family val="2"/>
    </font>
    <font>
      <b/>
      <sz val="18"/>
      <color rgb="FFFFFFFF"/>
      <name val="DejaVu Sans"/>
      <family val="2"/>
      <charset val="1"/>
    </font>
    <font>
      <i/>
      <sz val="10"/>
      <color rgb="FF555555"/>
      <name val="DejaVu Sans"/>
      <family val="2"/>
    </font>
    <font>
      <b/>
      <u/>
      <sz val="12"/>
      <color rgb="FFFFFFFF"/>
      <name val="DejaVu Sans"/>
      <family val="2"/>
    </font>
    <font>
      <b/>
      <u/>
      <sz val="11"/>
      <color rgb="FFFFFFFF"/>
      <name val="맑은 고딕"/>
      <family val="3"/>
      <charset val="129"/>
    </font>
    <font>
      <b/>
      <u/>
      <sz val="11"/>
      <color rgb="FF404040"/>
      <name val="DejaVu Sans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DejaVu Sans"/>
      <family val="2"/>
    </font>
    <font>
      <i/>
      <sz val="9"/>
      <color rgb="FF555555"/>
      <name val="DejaVu Sans"/>
      <family val="2"/>
    </font>
    <font>
      <i/>
      <sz val="9"/>
      <color rgb="FF555555"/>
      <name val="DejaVu Sans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DejaVu Sans"/>
      <family val="2"/>
    </font>
    <font>
      <b/>
      <sz val="10"/>
      <color rgb="FFFFFFFF"/>
      <name val="DejaVu Sans"/>
      <family val="2"/>
      <charset val="1"/>
    </font>
    <font>
      <b/>
      <sz val="10"/>
      <name val="DejaVu Sans"/>
      <family val="2"/>
    </font>
    <font>
      <b/>
      <sz val="10"/>
      <color rgb="FF0000FF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C00000"/>
      <name val="DejaVu Sans"/>
      <family val="2"/>
    </font>
    <font>
      <b/>
      <u/>
      <sz val="10"/>
      <color rgb="FF0070C0"/>
      <name val="DejaVu Sans"/>
      <family val="2"/>
    </font>
    <font>
      <b/>
      <sz val="11"/>
      <color rgb="FF0070C0"/>
      <name val="맑은 고딕"/>
      <family val="3"/>
      <charset val="129"/>
    </font>
    <font>
      <b/>
      <sz val="10"/>
      <name val="DejaVu Sans"/>
      <family val="2"/>
      <charset val="1"/>
    </font>
    <font>
      <sz val="10"/>
      <color rgb="FF555555"/>
      <name val="맑은 고딕"/>
      <family val="3"/>
      <charset val="129"/>
    </font>
    <font>
      <sz val="10"/>
      <color rgb="FF555555"/>
      <name val="DejaVu Sans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sz val="9"/>
      <color rgb="FF888888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FFFFFF"/>
      <name val="DejaVu Sans"/>
      <family val="2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i/>
      <sz val="9"/>
      <color rgb="FF555555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rgb="FF0070C0"/>
      <name val="DejaVu Sans"/>
      <family val="2"/>
    </font>
    <font>
      <b/>
      <sz val="10"/>
      <color rgb="FF0070C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D32"/>
        <bgColor rgb="FF385723"/>
      </patternFill>
    </fill>
    <fill>
      <patternFill patternType="solid">
        <fgColor rgb="FFC62828"/>
        <bgColor rgb="FF993366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FFFCC"/>
      </patternFill>
    </fill>
    <fill>
      <patternFill patternType="solid">
        <fgColor rgb="FF0F6FC6"/>
        <bgColor rgb="FF0070C0"/>
      </patternFill>
    </fill>
    <fill>
      <patternFill patternType="solid">
        <fgColor rgb="FF2E75B6"/>
        <bgColor rgb="FF0F6FC6"/>
      </patternFill>
    </fill>
    <fill>
      <patternFill patternType="solid">
        <fgColor rgb="FFFFFFCC"/>
        <bgColor rgb="FFFFF2CC"/>
      </patternFill>
    </fill>
    <fill>
      <patternFill patternType="solid">
        <fgColor rgb="FFF0E6F7"/>
        <bgColor rgb="FFEAF1F8"/>
      </patternFill>
    </fill>
    <fill>
      <patternFill patternType="solid">
        <fgColor rgb="FFEAF1F8"/>
        <bgColor rgb="FFF2F2F2"/>
      </patternFill>
    </fill>
    <fill>
      <patternFill patternType="solid">
        <fgColor rgb="FFF2F2F2"/>
        <bgColor rgb="FFEAF1F8"/>
      </patternFill>
    </fill>
    <fill>
      <patternFill patternType="solid">
        <fgColor rgb="FF385723"/>
        <b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4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176" fontId="16" fillId="10" borderId="1" xfId="0" applyNumberFormat="1" applyFont="1" applyFill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176" fontId="17" fillId="11" borderId="1" xfId="0" applyNumberFormat="1" applyFont="1" applyFill="1" applyBorder="1" applyAlignment="1">
      <alignment horizontal="center" vertical="center" wrapText="1"/>
    </xf>
    <xf numFmtId="176" fontId="19" fillId="11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right" vertical="center"/>
    </xf>
    <xf numFmtId="176" fontId="20" fillId="6" borderId="1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0" fontId="14" fillId="6" borderId="0" xfId="0" applyFont="1" applyFill="1"/>
    <xf numFmtId="0" fontId="23" fillId="0" borderId="0" xfId="0" applyFont="1"/>
    <xf numFmtId="177" fontId="16" fillId="12" borderId="1" xfId="0" applyNumberFormat="1" applyFont="1" applyFill="1" applyBorder="1" applyAlignment="1">
      <alignment horizontal="center" vertical="center" wrapText="1"/>
    </xf>
    <xf numFmtId="3" fontId="23" fillId="0" borderId="0" xfId="0" applyNumberFormat="1" applyFont="1"/>
    <xf numFmtId="0" fontId="25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177" fontId="17" fillId="9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176" fontId="17" fillId="9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29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2" fillId="0" borderId="0" xfId="0" applyFont="1"/>
    <xf numFmtId="0" fontId="31" fillId="9" borderId="1" xfId="0" applyFont="1" applyFill="1" applyBorder="1" applyAlignment="1">
      <alignment horizontal="left" vertical="center" wrapText="1"/>
    </xf>
    <xf numFmtId="176" fontId="23" fillId="12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176" fontId="20" fillId="11" borderId="1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11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176" fontId="38" fillId="0" borderId="1" xfId="0" applyNumberFormat="1" applyFont="1" applyBorder="1" applyAlignment="1">
      <alignment horizontal="right" vertical="center"/>
    </xf>
    <xf numFmtId="176" fontId="39" fillId="0" borderId="1" xfId="0" applyNumberFormat="1" applyFont="1" applyBorder="1" applyAlignment="1">
      <alignment horizontal="right" vertical="center"/>
    </xf>
    <xf numFmtId="177" fontId="38" fillId="0" borderId="1" xfId="0" applyNumberFormat="1" applyFont="1" applyBorder="1" applyAlignment="1">
      <alignment horizontal="right" vertical="center"/>
    </xf>
    <xf numFmtId="177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77" fontId="17" fillId="11" borderId="1" xfId="0" applyNumberFormat="1" applyFont="1" applyFill="1" applyBorder="1" applyAlignment="1">
      <alignment horizontal="center" vertical="center" wrapText="1"/>
    </xf>
    <xf numFmtId="3" fontId="17" fillId="11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14" fillId="6" borderId="0" xfId="0" applyFont="1" applyFill="1"/>
    <xf numFmtId="0" fontId="35" fillId="0" borderId="0" xfId="0" applyFont="1"/>
    <xf numFmtId="0" fontId="8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</cellXfs>
  <cellStyles count="1">
    <cellStyle name="표준" xfId="0" builtinId="0"/>
  </cellStyles>
  <dxfs count="20"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ill>
        <patternFill>
          <bgColor rgb="FFF4B084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FC6"/>
      <rgbColor rgb="FFBFBFBF"/>
      <rgbColor rgb="FF888888"/>
      <rgbColor rgb="FF9999FF"/>
      <rgbColor rgb="FF7030A0"/>
      <rgbColor rgb="FFFFFFCC"/>
      <rgbColor rgb="FFEAF1F8"/>
      <rgbColor rgb="FF660066"/>
      <rgbColor rgb="FFFF8080"/>
      <rgbColor rgb="FF0070C0"/>
      <rgbColor rgb="FFF0E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CC"/>
      <rgbColor rgb="FF99CCFF"/>
      <rgbColor rgb="FFF4B084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7D32"/>
      <rgbColor rgb="FF003300"/>
      <rgbColor rgb="FF385723"/>
      <rgbColor rgb="FFC62828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입고" displayName="Tbl_입고" ref="A7:I1013" totalsRowShown="0">
  <autoFilter ref="A7:I1013" xr:uid="{00000000-0009-0000-0100-000001000000}"/>
  <tableColumns count="9">
    <tableColumn id="1" xr3:uid="{00000000-0010-0000-0000-000001000000}" name="No"/>
    <tableColumn id="2" xr3:uid="{00000000-0010-0000-0000-000002000000}" name="일자"/>
    <tableColumn id="3" xr3:uid="{00000000-0010-0000-0000-000003000000}" name="규격"/>
    <tableColumn id="4" xr3:uid="{00000000-0010-0000-0000-000004000000}" name="규격설명"/>
    <tableColumn id="5" xr3:uid="{00000000-0010-0000-0000-000005000000}" name="LOT번호"/>
    <tableColumn id="6" xr3:uid="{00000000-0010-0000-0000-000006000000}" name="수량"/>
    <tableColumn id="7" xr3:uid="{00000000-0010-0000-0000-000007000000}" name="단위"/>
    <tableColumn id="8" xr3:uid="{00000000-0010-0000-0000-000008000000}" name="거래처"/>
    <tableColumn id="9" xr3:uid="{00000000-0010-0000-0000-000009000000}" name="비고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출고" displayName="Tbl_출고" ref="A7:I1013" totalsRowShown="0">
  <autoFilter ref="A7:I1013" xr:uid="{00000000-0009-0000-0100-000002000000}"/>
  <tableColumns count="9">
    <tableColumn id="1" xr3:uid="{00000000-0010-0000-0100-000001000000}" name="No"/>
    <tableColumn id="2" xr3:uid="{00000000-0010-0000-0100-000002000000}" name="일자"/>
    <tableColumn id="3" xr3:uid="{00000000-0010-0000-0100-000003000000}" name="규격"/>
    <tableColumn id="4" xr3:uid="{00000000-0010-0000-0100-000004000000}" name="규격설명"/>
    <tableColumn id="5" xr3:uid="{00000000-0010-0000-0100-000005000000}" name="LOT번호"/>
    <tableColumn id="6" xr3:uid="{00000000-0010-0000-0100-000006000000}" name="수량"/>
    <tableColumn id="7" xr3:uid="{00000000-0010-0000-0100-000007000000}" name="단위"/>
    <tableColumn id="8" xr3:uid="{00000000-0010-0000-0100-000008000000}" name="현장"/>
    <tableColumn id="9" xr3:uid="{00000000-0010-0000-0100-000009000000}" name="비고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showGridLines="0" zoomScaleNormal="100" workbookViewId="0">
      <pane ySplit="9" topLeftCell="A15" activePane="bottomLeft" state="frozen"/>
      <selection pane="bottomLeft" activeCell="H26" sqref="H26"/>
    </sheetView>
  </sheetViews>
  <sheetFormatPr defaultColWidth="8.7109375" defaultRowHeight="15" x14ac:dyDescent="0.25"/>
  <cols>
    <col min="1" max="1" width="5" customWidth="1"/>
    <col min="2" max="2" width="18" customWidth="1"/>
    <col min="3" max="3" width="11" customWidth="1"/>
    <col min="4" max="4" width="26" customWidth="1"/>
    <col min="5" max="5" width="6" customWidth="1"/>
    <col min="6" max="8" width="10" customWidth="1"/>
    <col min="9" max="9" width="11" customWidth="1"/>
    <col min="10" max="10" width="2" customWidth="1"/>
    <col min="11" max="11" width="11" customWidth="1"/>
    <col min="12" max="12" width="22" customWidth="1"/>
    <col min="13" max="13" width="11" customWidth="1"/>
    <col min="14" max="14" width="12" customWidth="1"/>
  </cols>
  <sheetData>
    <row r="1" spans="1:14" ht="31.5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1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15" customHeight="1" x14ac:dyDescent="0.25">
      <c r="A3" s="66" t="str">
        <f ca="1">CONCATENATE("작성일: ",TEXT(TODAY(),"yyyy-mm-dd"),"  |  총 규격: 17종  |  입고/출고 시트에서 거래 입력")</f>
        <v>작성일: 2026-05-21  |  총 규격: 17종  |  입고/출고 시트에서 거래 입력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5" spans="1:14" ht="27.75" customHeight="1" x14ac:dyDescent="0.25">
      <c r="A5" s="67" t="str">
        <f>HYPERLINK("#입고!A1","🟢 입고 시트로 (LOT 자유입력)")</f>
        <v>🟢 입고 시트로 (LOT 자유입력)</v>
      </c>
      <c r="B5" s="67"/>
      <c r="C5" s="67"/>
      <c r="D5" s="67"/>
      <c r="E5" s="68" t="str">
        <f>HYPERLINK("#출고!A1","🔴 출고 시트로 (LOT 드롭다운)")</f>
        <v>🔴 출고 시트로 (LOT 드롭다운)</v>
      </c>
      <c r="F5" s="68"/>
      <c r="G5" s="68"/>
      <c r="H5" s="68"/>
      <c r="I5" s="69" t="str">
        <f>HYPERLINK("#LOT조회!A1","🟣 LOT조회")</f>
        <v>🟣 LOT조회</v>
      </c>
      <c r="J5" s="69"/>
      <c r="K5" s="70" t="str">
        <f>HYPERLINK("#마스터!A1","⚙ 마스터(초기재고)")</f>
        <v>⚙ 마스터(초기재고)</v>
      </c>
      <c r="L5" s="70"/>
    </row>
    <row r="7" spans="1:14" ht="15" customHeight="1" x14ac:dyDescent="0.25">
      <c r="A7" s="62" t="s">
        <v>1</v>
      </c>
      <c r="B7" s="62"/>
      <c r="C7" s="62"/>
      <c r="D7" s="62"/>
      <c r="E7" s="62"/>
      <c r="F7" s="62"/>
      <c r="G7" s="62"/>
      <c r="H7" s="62"/>
      <c r="I7" s="62"/>
      <c r="K7" s="63" t="s">
        <v>2</v>
      </c>
      <c r="L7" s="63"/>
      <c r="M7" s="63"/>
      <c r="N7" s="63"/>
    </row>
    <row r="8" spans="1:14" ht="15" customHeight="1" x14ac:dyDescent="0.25">
      <c r="A8" s="61" t="s">
        <v>3</v>
      </c>
      <c r="B8" s="61"/>
      <c r="C8" s="61"/>
      <c r="D8" s="61"/>
      <c r="E8" s="61"/>
      <c r="F8" s="61"/>
      <c r="G8" s="61"/>
      <c r="H8" s="61"/>
      <c r="I8" s="61"/>
      <c r="K8" s="61" t="s">
        <v>4</v>
      </c>
      <c r="L8" s="61"/>
      <c r="M8" s="61"/>
      <c r="N8" s="61"/>
    </row>
    <row r="9" spans="1:14" ht="30" customHeight="1" x14ac:dyDescent="0.25">
      <c r="A9" s="2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K9" s="1" t="s">
        <v>14</v>
      </c>
      <c r="L9" s="4"/>
      <c r="M9" s="1" t="s">
        <v>11</v>
      </c>
      <c r="N9" s="5">
        <f>SUMIFS(입고!$F$8:$F$1013,입고!$C$8:$C$1013,$L$9,입고!$E$8:$E$1013,$L$10)</f>
        <v>0</v>
      </c>
    </row>
    <row r="10" spans="1:14" ht="23.25" customHeight="1" x14ac:dyDescent="0.25">
      <c r="A10" s="6">
        <v>1</v>
      </c>
      <c r="B10" s="6" t="str">
        <f>마스터!D4</f>
        <v>세라믹울 96K 국산</v>
      </c>
      <c r="C10" s="6" t="str">
        <f>마스터!E4</f>
        <v>252007320</v>
      </c>
      <c r="D10" s="7" t="str">
        <f>HYPERLINK("#'96K국산 25T × 200W × 7320L'!A1",마스터!M4)</f>
        <v>96K국산 25T × 200W × 7320L</v>
      </c>
      <c r="E10" s="6" t="str">
        <f>마스터!J4</f>
        <v>매</v>
      </c>
      <c r="F10" s="8">
        <f>마스터!K4</f>
        <v>0</v>
      </c>
      <c r="G10" s="8">
        <f>SUMIFS(입고!$F$8:$F$1013,입고!$C$8:$C$1013,마스터!M4)</f>
        <v>0</v>
      </c>
      <c r="H10" s="8">
        <f>SUMIFS(출고!$F$8:$F$1013,출고!$C$8:$C$1013,마스터!M4)</f>
        <v>0</v>
      </c>
      <c r="I10" s="9">
        <f t="shared" ref="I10:I26" si="0">F10+G10-H10</f>
        <v>0</v>
      </c>
      <c r="K10" s="10" t="s">
        <v>15</v>
      </c>
      <c r="L10" s="4"/>
      <c r="M10" s="1" t="s">
        <v>12</v>
      </c>
      <c r="N10" s="5">
        <f>SUMIFS(출고!$F$8:$F$1013,출고!$C$8:$C$1013,$L$9,출고!$E$8:$E$1013,$L$10)</f>
        <v>0</v>
      </c>
    </row>
    <row r="11" spans="1:14" ht="23.25" customHeight="1" x14ac:dyDescent="0.25">
      <c r="A11" s="11">
        <v>2</v>
      </c>
      <c r="B11" s="11" t="str">
        <f>마스터!D5</f>
        <v>세라믹울 96K 국산</v>
      </c>
      <c r="C11" s="11" t="str">
        <f>마스터!E5</f>
        <v>253007320</v>
      </c>
      <c r="D11" s="12" t="str">
        <f>HYPERLINK("#'96K국산 25T × 300W × 7320L'!A1",마스터!M5)</f>
        <v>96K국산 25T × 300W × 7320L</v>
      </c>
      <c r="E11" s="11" t="str">
        <f>마스터!J5</f>
        <v>매</v>
      </c>
      <c r="F11" s="13">
        <f>마스터!K5</f>
        <v>0</v>
      </c>
      <c r="G11" s="13">
        <f>SUMIFS(입고!$F$8:$F$1013,입고!$C$8:$C$1013,마스터!M5)</f>
        <v>34</v>
      </c>
      <c r="H11" s="13">
        <f>SUMIFS(출고!$F$8:$F$1013,출고!$C$8:$C$1013,마스터!M5)</f>
        <v>5</v>
      </c>
      <c r="I11" s="14">
        <f t="shared" si="0"/>
        <v>29</v>
      </c>
      <c r="M11" s="10" t="s">
        <v>16</v>
      </c>
      <c r="N11" s="15" t="str">
        <f>IF(OR($L$9="",$L$10=""),"입력 필요",M9-M10)</f>
        <v>입력 필요</v>
      </c>
    </row>
    <row r="12" spans="1:14" ht="23.25" customHeight="1" x14ac:dyDescent="0.25">
      <c r="A12" s="6">
        <v>3</v>
      </c>
      <c r="B12" s="6" t="str">
        <f>마스터!D6</f>
        <v>세라믹울 96K 국산</v>
      </c>
      <c r="C12" s="6" t="str">
        <f>마스터!E6</f>
        <v>386004800</v>
      </c>
      <c r="D12" s="7" t="str">
        <f>HYPERLINK("#'96K국산 38T × 600W × 4800L'!A1",마스터!M6)</f>
        <v>96K국산 38T × 600W × 4800L</v>
      </c>
      <c r="E12" s="6" t="str">
        <f>마스터!J6</f>
        <v>매</v>
      </c>
      <c r="F12" s="8">
        <f>마스터!K6</f>
        <v>0</v>
      </c>
      <c r="G12" s="8">
        <f>SUMIFS(입고!$F$8:$F$1013,입고!$C$8:$C$1013,마스터!M6)</f>
        <v>55</v>
      </c>
      <c r="H12" s="8">
        <f>SUMIFS(출고!$F$8:$F$1013,출고!$C$8:$C$1013,마스터!M6)</f>
        <v>0</v>
      </c>
      <c r="I12" s="9">
        <f t="shared" si="0"/>
        <v>55</v>
      </c>
    </row>
    <row r="13" spans="1:14" ht="23.25" customHeight="1" x14ac:dyDescent="0.25">
      <c r="A13" s="11">
        <v>4</v>
      </c>
      <c r="B13" s="11" t="str">
        <f>마스터!D7</f>
        <v>세라믹울 96K 국산</v>
      </c>
      <c r="C13" s="11" t="str">
        <f>마스터!E7</f>
        <v>504003800</v>
      </c>
      <c r="D13" s="12" t="str">
        <f>HYPERLINK("#'96K국산 50T × 400W × 3800L'!A1",마스터!M7)</f>
        <v>96K국산 50T × 400W × 3800L</v>
      </c>
      <c r="E13" s="11" t="str">
        <f>마스터!J7</f>
        <v>매</v>
      </c>
      <c r="F13" s="13">
        <f>마스터!K7</f>
        <v>0</v>
      </c>
      <c r="G13" s="13">
        <f>SUMIFS(입고!$F$8:$F$1013,입고!$C$8:$C$1013,마스터!M7)</f>
        <v>0</v>
      </c>
      <c r="H13" s="13">
        <f>SUMIFS(출고!$F$8:$F$1013,출고!$C$8:$C$1013,마스터!M7)</f>
        <v>0</v>
      </c>
      <c r="I13" s="14">
        <f t="shared" si="0"/>
        <v>0</v>
      </c>
    </row>
    <row r="14" spans="1:14" ht="23.25" customHeight="1" x14ac:dyDescent="0.25">
      <c r="A14" s="6">
        <v>5</v>
      </c>
      <c r="B14" s="6" t="str">
        <f>마스터!D8</f>
        <v>세라믹울 96K 국산</v>
      </c>
      <c r="C14" s="6" t="str">
        <f>마스터!E8</f>
        <v>506103600</v>
      </c>
      <c r="D14" s="7" t="str">
        <f>HYPERLINK("#'96K국산 50T × 610W × 3600L'!A1",마스터!M8)</f>
        <v>96K국산 50T × 610W × 3600L</v>
      </c>
      <c r="E14" s="6" t="str">
        <f>마스터!J8</f>
        <v>매</v>
      </c>
      <c r="F14" s="8">
        <f>마스터!K8</f>
        <v>0</v>
      </c>
      <c r="G14" s="8">
        <f>SUMIFS(입고!$F$8:$F$1013,입고!$C$8:$C$1013,마스터!M8)</f>
        <v>0</v>
      </c>
      <c r="H14" s="8">
        <f>SUMIFS(출고!$F$8:$F$1013,출고!$C$8:$C$1013,마스터!M8)</f>
        <v>0</v>
      </c>
      <c r="I14" s="9">
        <f t="shared" si="0"/>
        <v>0</v>
      </c>
    </row>
    <row r="15" spans="1:14" ht="23.25" customHeight="1" x14ac:dyDescent="0.25">
      <c r="A15" s="11">
        <v>6</v>
      </c>
      <c r="B15" s="11" t="str">
        <f>마스터!D9</f>
        <v>세라믹울 96K 수입</v>
      </c>
      <c r="C15" s="11" t="str">
        <f>마스터!E9</f>
        <v>251507400</v>
      </c>
      <c r="D15" s="12" t="str">
        <f>HYPERLINK("#'96K수입 25T × 150W × 7400L'!A1",마스터!M9)</f>
        <v>96K수입 25T × 150W × 7400L</v>
      </c>
      <c r="E15" s="11" t="str">
        <f>마스터!J9</f>
        <v>매</v>
      </c>
      <c r="F15" s="13">
        <f>마스터!K9</f>
        <v>0</v>
      </c>
      <c r="G15" s="13">
        <f>SUMIFS(입고!$F$8:$F$1013,입고!$C$8:$C$1013,마스터!M9)</f>
        <v>40</v>
      </c>
      <c r="H15" s="13">
        <f>SUMIFS(출고!$F$8:$F$1013,출고!$C$8:$C$1013,마스터!M9)</f>
        <v>0</v>
      </c>
      <c r="I15" s="14">
        <f t="shared" si="0"/>
        <v>40</v>
      </c>
    </row>
    <row r="16" spans="1:14" ht="23.25" customHeight="1" x14ac:dyDescent="0.25">
      <c r="A16" s="6">
        <v>7</v>
      </c>
      <c r="B16" s="6" t="str">
        <f>마스터!D10</f>
        <v>세라믹울 96K 수입</v>
      </c>
      <c r="C16" s="6" t="str">
        <f>마스터!E10</f>
        <v>381504800</v>
      </c>
      <c r="D16" s="7" t="str">
        <f>HYPERLINK("#'96K수입 38T × 150W × 4800L'!A1",마스터!M10)</f>
        <v>96K수입 38T × 150W × 4800L</v>
      </c>
      <c r="E16" s="6" t="str">
        <f>마스터!J10</f>
        <v>매</v>
      </c>
      <c r="F16" s="8">
        <f>마스터!K10</f>
        <v>0</v>
      </c>
      <c r="G16" s="8">
        <f>SUMIFS(입고!$F$8:$F$1013,입고!$C$8:$C$1013,마스터!M10)</f>
        <v>40</v>
      </c>
      <c r="H16" s="8">
        <f>SUMIFS(출고!$F$8:$F$1013,출고!$C$8:$C$1013,마스터!M10)</f>
        <v>0</v>
      </c>
      <c r="I16" s="9">
        <f t="shared" si="0"/>
        <v>40</v>
      </c>
    </row>
    <row r="17" spans="1:9" ht="23.25" customHeight="1" x14ac:dyDescent="0.25">
      <c r="A17" s="11">
        <v>8</v>
      </c>
      <c r="B17" s="11" t="str">
        <f>마스터!D11</f>
        <v>세라믹울 96K 수입</v>
      </c>
      <c r="C17" s="11" t="str">
        <f>마스터!E11</f>
        <v>501503600</v>
      </c>
      <c r="D17" s="12" t="str">
        <f>HYPERLINK("#'96K수입 50T × 150W × 3600L'!A1",마스터!M11)</f>
        <v>96K수입 50T × 150W × 3600L</v>
      </c>
      <c r="E17" s="11" t="str">
        <f>마스터!J11</f>
        <v>매</v>
      </c>
      <c r="F17" s="13">
        <f>마스터!K11</f>
        <v>0</v>
      </c>
      <c r="G17" s="13">
        <f>SUMIFS(입고!$F$8:$F$1013,입고!$C$8:$C$1013,마스터!M11)</f>
        <v>60</v>
      </c>
      <c r="H17" s="13">
        <f>SUMIFS(출고!$F$8:$F$1013,출고!$C$8:$C$1013,마스터!M11)</f>
        <v>0</v>
      </c>
      <c r="I17" s="14">
        <f t="shared" si="0"/>
        <v>60</v>
      </c>
    </row>
    <row r="18" spans="1:9" ht="23.25" customHeight="1" x14ac:dyDescent="0.25">
      <c r="A18" s="6">
        <v>9</v>
      </c>
      <c r="B18" s="6" t="str">
        <f>마스터!D12</f>
        <v>세라믹울 96K 수입</v>
      </c>
      <c r="C18" s="6" t="str">
        <f>마스터!E12</f>
        <v>504003600</v>
      </c>
      <c r="D18" s="7" t="str">
        <f>HYPERLINK("#'96K수입 50T × 400W × 3600L'!A1",마스터!M12)</f>
        <v>96K수입 50T × 400W × 3600L</v>
      </c>
      <c r="E18" s="6" t="str">
        <f>마스터!J12</f>
        <v>매</v>
      </c>
      <c r="F18" s="8">
        <f>마스터!K12</f>
        <v>0</v>
      </c>
      <c r="G18" s="8">
        <f>SUMIFS(입고!$F$8:$F$1013,입고!$C$8:$C$1013,마스터!M12)</f>
        <v>65</v>
      </c>
      <c r="H18" s="8">
        <f>SUMIFS(출고!$F$8:$F$1013,출고!$C$8:$C$1013,마스터!M12)</f>
        <v>0</v>
      </c>
      <c r="I18" s="9">
        <f t="shared" si="0"/>
        <v>65</v>
      </c>
    </row>
    <row r="19" spans="1:9" ht="23.25" customHeight="1" x14ac:dyDescent="0.25">
      <c r="A19" s="11">
        <v>10</v>
      </c>
      <c r="B19" s="11" t="str">
        <f>마스터!D13</f>
        <v>세라믹울 96K 수입</v>
      </c>
      <c r="C19" s="11" t="str">
        <f>마스터!E13</f>
        <v>506003600</v>
      </c>
      <c r="D19" s="12" t="str">
        <f>HYPERLINK("#'96K수입 50T × 600W × 3600L'!A1",마스터!M13)</f>
        <v>96K수입 50T × 600W × 3600L</v>
      </c>
      <c r="E19" s="11" t="str">
        <f>마스터!J13</f>
        <v>매</v>
      </c>
      <c r="F19" s="13">
        <f>마스터!K13</f>
        <v>0</v>
      </c>
      <c r="G19" s="13">
        <f>SUMIFS(입고!$F$8:$F$1013,입고!$C$8:$C$1013,마스터!M13)</f>
        <v>172</v>
      </c>
      <c r="H19" s="13">
        <f>SUMIFS(출고!$F$8:$F$1013,출고!$C$8:$C$1013,마스터!M13)</f>
        <v>0</v>
      </c>
      <c r="I19" s="14">
        <f t="shared" si="0"/>
        <v>172</v>
      </c>
    </row>
    <row r="20" spans="1:9" ht="23.25" customHeight="1" x14ac:dyDescent="0.25">
      <c r="A20" s="6">
        <v>11</v>
      </c>
      <c r="B20" s="6" t="str">
        <f>마스터!D14</f>
        <v>세라믹울 96K 수입</v>
      </c>
      <c r="C20" s="6" t="str">
        <f>마스터!E14</f>
        <v>5010003600</v>
      </c>
      <c r="D20" s="7" t="str">
        <f>HYPERLINK("#'96K수입 50T × 1000W × 3600L'!A1",마스터!M14)</f>
        <v>96K수입 50T × 1000W × 3600L</v>
      </c>
      <c r="E20" s="6" t="str">
        <f>마스터!J14</f>
        <v>매</v>
      </c>
      <c r="F20" s="8">
        <f>마스터!K14</f>
        <v>0</v>
      </c>
      <c r="G20" s="8">
        <f>SUMIFS(입고!$F$8:$F$1013,입고!$C$8:$C$1013,마스터!M14)</f>
        <v>10</v>
      </c>
      <c r="H20" s="8">
        <f>SUMIFS(출고!$F$8:$F$1013,출고!$C$8:$C$1013,마스터!M14)</f>
        <v>0</v>
      </c>
      <c r="I20" s="9">
        <f t="shared" si="0"/>
        <v>10</v>
      </c>
    </row>
    <row r="21" spans="1:9" ht="23.25" customHeight="1" x14ac:dyDescent="0.25">
      <c r="A21" s="11">
        <v>12</v>
      </c>
      <c r="B21" s="11" t="str">
        <f>마스터!D15</f>
        <v>세라믹울 100K 수입</v>
      </c>
      <c r="C21" s="11" t="str">
        <f>마스터!E15</f>
        <v>251507400</v>
      </c>
      <c r="D21" s="12" t="str">
        <f>HYPERLINK("#'100K수입 25T × 150W × 7400L'!A1",마스터!M15)</f>
        <v>100K수입 25T × 150W × 7400L</v>
      </c>
      <c r="E21" s="11" t="str">
        <f>마스터!J15</f>
        <v>매</v>
      </c>
      <c r="F21" s="13">
        <f>마스터!K15</f>
        <v>0</v>
      </c>
      <c r="G21" s="13">
        <f>SUMIFS(입고!$F$8:$F$1013,입고!$C$8:$C$1013,마스터!M15)</f>
        <v>0</v>
      </c>
      <c r="H21" s="13">
        <f>SUMIFS(출고!$F$8:$F$1013,출고!$C$8:$C$1013,마스터!M15)</f>
        <v>0</v>
      </c>
      <c r="I21" s="14">
        <f t="shared" si="0"/>
        <v>0</v>
      </c>
    </row>
    <row r="22" spans="1:9" ht="23.25" customHeight="1" x14ac:dyDescent="0.25">
      <c r="A22" s="6">
        <v>13</v>
      </c>
      <c r="B22" s="6" t="str">
        <f>마스터!D16</f>
        <v>세라믹울 100K 수입</v>
      </c>
      <c r="C22" s="6" t="str">
        <f>마스터!E16</f>
        <v>252007400</v>
      </c>
      <c r="D22" s="7" t="str">
        <f>HYPERLINK("#'100K수입 25T × 200W × 7400L'!A1",마스터!M16)</f>
        <v>100K수입 25T × 200W × 7400L</v>
      </c>
      <c r="E22" s="6" t="str">
        <f>마스터!J16</f>
        <v>매</v>
      </c>
      <c r="F22" s="8">
        <f>마스터!K16</f>
        <v>0</v>
      </c>
      <c r="G22" s="8">
        <f>SUMIFS(입고!$F$8:$F$1013,입고!$C$8:$C$1013,마스터!M16)</f>
        <v>12</v>
      </c>
      <c r="H22" s="8">
        <f>SUMIFS(출고!$F$8:$F$1013,출고!$C$8:$C$1013,마스터!M16)</f>
        <v>0</v>
      </c>
      <c r="I22" s="9">
        <f t="shared" si="0"/>
        <v>12</v>
      </c>
    </row>
    <row r="23" spans="1:9" ht="23.25" customHeight="1" x14ac:dyDescent="0.25">
      <c r="A23" s="11">
        <v>14</v>
      </c>
      <c r="B23" s="11" t="str">
        <f>마스터!D17</f>
        <v>세라믹울 100K 수입</v>
      </c>
      <c r="C23" s="11" t="str">
        <f>마스터!E17</f>
        <v>253007400</v>
      </c>
      <c r="D23" s="12" t="str">
        <f>HYPERLINK("#'100K수입 25T × 300W × 7400L'!A1",마스터!M17)</f>
        <v>100K수입 25T × 300W × 7400L</v>
      </c>
      <c r="E23" s="11" t="str">
        <f>마스터!J17</f>
        <v>매</v>
      </c>
      <c r="F23" s="13">
        <f>마스터!K17</f>
        <v>0</v>
      </c>
      <c r="G23" s="13">
        <f>SUMIFS(입고!$F$8:$F$1013,입고!$C$8:$C$1013,마스터!M17)</f>
        <v>270</v>
      </c>
      <c r="H23" s="13">
        <f>SUMIFS(출고!$F$8:$F$1013,출고!$C$8:$C$1013,마스터!M17)</f>
        <v>0</v>
      </c>
      <c r="I23" s="14">
        <f t="shared" si="0"/>
        <v>270</v>
      </c>
    </row>
    <row r="24" spans="1:9" ht="23.25" customHeight="1" x14ac:dyDescent="0.25">
      <c r="A24" s="6">
        <v>15</v>
      </c>
      <c r="B24" s="6" t="str">
        <f>마스터!D18</f>
        <v>세라믹울 100K 수입</v>
      </c>
      <c r="C24" s="6" t="str">
        <f>마스터!E18</f>
        <v>386004800</v>
      </c>
      <c r="D24" s="7" t="str">
        <f>HYPERLINK("#'100K수입 38T × 600W × 4800L'!A1",마스터!M18)</f>
        <v>100K수입 38T × 600W × 4800L</v>
      </c>
      <c r="E24" s="6" t="str">
        <f>마스터!J18</f>
        <v>매</v>
      </c>
      <c r="F24" s="8">
        <f>마스터!K18</f>
        <v>0</v>
      </c>
      <c r="G24" s="8">
        <f>SUMIFS(입고!$F$8:$F$1013,입고!$C$8:$C$1013,마스터!M18)</f>
        <v>192</v>
      </c>
      <c r="H24" s="8">
        <f>SUMIFS(출고!$F$8:$F$1013,출고!$C$8:$C$1013,마스터!M18)</f>
        <v>0</v>
      </c>
      <c r="I24" s="9">
        <f t="shared" si="0"/>
        <v>192</v>
      </c>
    </row>
    <row r="25" spans="1:9" ht="23.25" customHeight="1" x14ac:dyDescent="0.25">
      <c r="A25" s="11">
        <v>16</v>
      </c>
      <c r="B25" s="11" t="str">
        <f>마스터!D19</f>
        <v>세라믹울 100K 수입</v>
      </c>
      <c r="C25" s="11" t="str">
        <f>마스터!E19</f>
        <v>506003600</v>
      </c>
      <c r="D25" s="12" t="str">
        <f>HYPERLINK("#'100K수입 50T × 600W × 3600L'!A1",마스터!M19)</f>
        <v>100K수입 50T × 600W × 3600L</v>
      </c>
      <c r="E25" s="11" t="str">
        <f>마스터!J19</f>
        <v>매</v>
      </c>
      <c r="F25" s="13">
        <f>마스터!K19</f>
        <v>0</v>
      </c>
      <c r="G25" s="13">
        <f>SUMIFS(입고!$F$8:$F$1013,입고!$C$8:$C$1013,마스터!M19)</f>
        <v>0</v>
      </c>
      <c r="H25" s="13">
        <f>SUMIFS(출고!$F$8:$F$1013,출고!$C$8:$C$1013,마스터!M19)</f>
        <v>0</v>
      </c>
      <c r="I25" s="14">
        <f t="shared" si="0"/>
        <v>0</v>
      </c>
    </row>
    <row r="26" spans="1:9" ht="23.25" customHeight="1" x14ac:dyDescent="0.25">
      <c r="A26" s="6">
        <v>17</v>
      </c>
      <c r="B26" s="6" t="str">
        <f>마스터!D20</f>
        <v>세라믹울 128K 수입</v>
      </c>
      <c r="C26" s="6" t="str">
        <f>마스터!E20</f>
        <v>252007400</v>
      </c>
      <c r="D26" s="7" t="str">
        <f>HYPERLINK("#'128K수입 25T × 200W × 7400L'!A1",마스터!M20)</f>
        <v>128K수입 25T × 200W × 7400L</v>
      </c>
      <c r="E26" s="6" t="str">
        <f>마스터!J20</f>
        <v>매</v>
      </c>
      <c r="F26" s="8">
        <f>마스터!K20</f>
        <v>0</v>
      </c>
      <c r="G26" s="8">
        <f>SUMIFS(입고!$F$8:$F$1013,입고!$C$8:$C$1013,마스터!M20)</f>
        <v>318</v>
      </c>
      <c r="H26" s="8">
        <f>SUMIFS(출고!$F$8:$F$1013,출고!$C$8:$C$1013,마스터!M20)</f>
        <v>79</v>
      </c>
      <c r="I26" s="9">
        <f t="shared" si="0"/>
        <v>239</v>
      </c>
    </row>
    <row r="27" spans="1:9" ht="15" customHeight="1" x14ac:dyDescent="0.25">
      <c r="A27" s="64" t="s">
        <v>17</v>
      </c>
      <c r="B27" s="64"/>
      <c r="C27" s="64"/>
      <c r="D27" s="64"/>
      <c r="E27" s="64"/>
      <c r="F27" s="16">
        <f>SUM(F10:F26)</f>
        <v>0</v>
      </c>
      <c r="G27" s="16">
        <f>SUM(G10:G26)</f>
        <v>1268</v>
      </c>
      <c r="H27" s="16">
        <f>SUM(H10:H26)</f>
        <v>84</v>
      </c>
      <c r="I27" s="16">
        <f>SUM(I10:I26)</f>
        <v>1184</v>
      </c>
    </row>
  </sheetData>
  <mergeCells count="11">
    <mergeCell ref="A1:N2"/>
    <mergeCell ref="A3:N3"/>
    <mergeCell ref="A5:D5"/>
    <mergeCell ref="E5:H5"/>
    <mergeCell ref="I5:J5"/>
    <mergeCell ref="K5:L5"/>
    <mergeCell ref="A7:I7"/>
    <mergeCell ref="K7:N7"/>
    <mergeCell ref="A8:I8"/>
    <mergeCell ref="K8:N8"/>
    <mergeCell ref="A27:E27"/>
  </mergeCells>
  <phoneticPr fontId="40" type="noConversion"/>
  <conditionalFormatting sqref="I10:I26">
    <cfRule type="cellIs" dxfId="19" priority="2" operator="lessThan">
      <formula>0</formula>
    </cfRule>
    <cfRule type="cellIs" dxfId="18" priority="3" operator="between">
      <formula>0</formula>
      <formula>5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마스터!$M$4:$M$20</xm:f>
          </x14:formula1>
          <x14:formula2>
            <xm:f>0</xm:f>
          </x14:formula2>
          <xm:sqref>L9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3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I2"/>
    </sheetView>
  </sheetViews>
  <sheetFormatPr defaultColWidth="8.7109375" defaultRowHeight="15" x14ac:dyDescent="0.25"/>
  <cols>
    <col min="1" max="1" width="5" customWidth="1"/>
    <col min="2" max="2" width="13" customWidth="1"/>
    <col min="3" max="3" width="26" customWidth="1"/>
    <col min="4" max="4" width="22" customWidth="1"/>
    <col min="5" max="5" width="16" customWidth="1"/>
    <col min="6" max="6" width="9" customWidth="1"/>
    <col min="7" max="7" width="6" customWidth="1"/>
    <col min="8" max="8" width="14" customWidth="1"/>
    <col min="9" max="9" width="18" customWidth="1"/>
    <col min="11" max="11" width="10" customWidth="1"/>
    <col min="12" max="12" width="16" customWidth="1"/>
  </cols>
  <sheetData>
    <row r="1" spans="1:29" ht="31.5" customHeight="1" x14ac:dyDescent="0.25">
      <c r="A1" s="71" t="s">
        <v>18</v>
      </c>
      <c r="B1" s="71"/>
      <c r="C1" s="71"/>
      <c r="D1" s="71"/>
      <c r="E1" s="71"/>
      <c r="F1" s="71"/>
      <c r="G1" s="71"/>
      <c r="H1" s="71"/>
      <c r="I1" s="71"/>
    </row>
    <row r="2" spans="1:29" ht="15" customHeight="1" x14ac:dyDescent="0.25">
      <c r="A2" s="71"/>
      <c r="B2" s="71"/>
      <c r="C2" s="71"/>
      <c r="D2" s="71"/>
      <c r="E2" s="71"/>
      <c r="F2" s="71"/>
      <c r="G2" s="71"/>
      <c r="H2" s="71"/>
      <c r="I2" s="71"/>
    </row>
    <row r="3" spans="1:29" ht="15" customHeight="1" x14ac:dyDescent="0.25">
      <c r="A3" s="61" t="s">
        <v>19</v>
      </c>
      <c r="B3" s="61"/>
      <c r="C3" s="61"/>
      <c r="D3" s="61"/>
      <c r="E3" s="61"/>
      <c r="F3" s="61"/>
      <c r="G3" s="61"/>
      <c r="H3" s="61"/>
      <c r="I3" s="61"/>
    </row>
    <row r="4" spans="1:29" ht="23.25" customHeight="1" x14ac:dyDescent="0.3">
      <c r="A4" s="17" t="str">
        <f>HYPERLINK("#인덱스!A1","◀ 인덱스")</f>
        <v>◀ 인덱스</v>
      </c>
      <c r="D4" s="17" t="str">
        <f>HYPERLINK("#출고!A1","▶ 출고 시트로")</f>
        <v>▶ 출고 시트로</v>
      </c>
      <c r="F4" s="18" t="s">
        <v>20</v>
      </c>
      <c r="G4" s="19">
        <f>COUNTA(B8:B1013)</f>
        <v>15</v>
      </c>
      <c r="K4" s="1" t="s">
        <v>21</v>
      </c>
      <c r="L4" s="20">
        <f ca="1">TODAY()</f>
        <v>46163</v>
      </c>
    </row>
    <row r="5" spans="1:29" ht="15" customHeight="1" x14ac:dyDescent="0.3">
      <c r="F5" s="18" t="s">
        <v>22</v>
      </c>
      <c r="G5" s="21">
        <f>SUM(F8:F1013)</f>
        <v>1268</v>
      </c>
      <c r="K5" s="1" t="s">
        <v>23</v>
      </c>
      <c r="L5" s="22" t="s">
        <v>24</v>
      </c>
    </row>
    <row r="7" spans="1:29" ht="27.75" customHeight="1" x14ac:dyDescent="0.25">
      <c r="A7" s="23" t="s">
        <v>5</v>
      </c>
      <c r="B7" s="24" t="s">
        <v>25</v>
      </c>
      <c r="C7" s="24" t="s">
        <v>14</v>
      </c>
      <c r="D7" s="24" t="s">
        <v>26</v>
      </c>
      <c r="E7" s="23" t="s">
        <v>27</v>
      </c>
      <c r="F7" s="24" t="s">
        <v>28</v>
      </c>
      <c r="G7" s="24" t="s">
        <v>9</v>
      </c>
      <c r="H7" s="24" t="s">
        <v>29</v>
      </c>
      <c r="I7" s="24" t="s">
        <v>30</v>
      </c>
    </row>
    <row r="8" spans="1:29" ht="23.25" customHeight="1" x14ac:dyDescent="0.25">
      <c r="A8" s="25">
        <f t="shared" ref="A8:A71" si="0">IF(B8="","",ROW()-7)</f>
        <v>1</v>
      </c>
      <c r="B8" s="26">
        <v>45947</v>
      </c>
      <c r="C8" s="27" t="s">
        <v>31</v>
      </c>
      <c r="D8" s="28"/>
      <c r="E8" s="27" t="s">
        <v>32</v>
      </c>
      <c r="F8" s="29">
        <v>55</v>
      </c>
      <c r="G8" s="25"/>
      <c r="H8" s="30" t="s">
        <v>33</v>
      </c>
      <c r="I8" s="31" t="s">
        <v>34</v>
      </c>
      <c r="AC8" s="32">
        <f>IF(AND(E8&lt;&gt;"",C8&lt;&gt;"",COUNTIFS($C$8:C8,C8,$E$8:E8,E8)=1),1,0)</f>
        <v>1</v>
      </c>
    </row>
    <row r="9" spans="1:29" ht="23.25" customHeight="1" x14ac:dyDescent="0.25">
      <c r="A9" s="25">
        <f t="shared" si="0"/>
        <v>2</v>
      </c>
      <c r="B9" s="26">
        <v>46031</v>
      </c>
      <c r="C9" s="27" t="s">
        <v>35</v>
      </c>
      <c r="D9" s="28"/>
      <c r="E9" s="27" t="s">
        <v>36</v>
      </c>
      <c r="F9" s="29">
        <v>34</v>
      </c>
      <c r="G9" s="25"/>
      <c r="H9" s="30" t="s">
        <v>33</v>
      </c>
      <c r="I9" s="31" t="s">
        <v>34</v>
      </c>
      <c r="AC9" s="32">
        <f>IF(AND(E9&lt;&gt;"",C9&lt;&gt;"",COUNTIFS($C$8:C9,C9,$E$8:E9,E9)=1),1,0)</f>
        <v>1</v>
      </c>
    </row>
    <row r="10" spans="1:29" ht="23.25" customHeight="1" x14ac:dyDescent="0.25">
      <c r="A10" s="25">
        <f t="shared" si="0"/>
        <v>3</v>
      </c>
      <c r="B10" s="26">
        <v>46056</v>
      </c>
      <c r="C10" s="27" t="s">
        <v>37</v>
      </c>
      <c r="D10" s="28"/>
      <c r="E10" s="27" t="s">
        <v>38</v>
      </c>
      <c r="F10" s="29">
        <v>270</v>
      </c>
      <c r="G10" s="25"/>
      <c r="H10" s="30" t="s">
        <v>33</v>
      </c>
      <c r="I10" s="31" t="s">
        <v>34</v>
      </c>
      <c r="AC10" s="32">
        <f>IF(AND(E10&lt;&gt;"",C10&lt;&gt;"",COUNTIFS($C$8:C10,C10,$E$8:E10,E10)=1),1,0)</f>
        <v>1</v>
      </c>
    </row>
    <row r="11" spans="1:29" ht="23.25" customHeight="1" x14ac:dyDescent="0.25">
      <c r="A11" s="25">
        <f t="shared" si="0"/>
        <v>4</v>
      </c>
      <c r="B11" s="26">
        <v>46056</v>
      </c>
      <c r="C11" s="27" t="s">
        <v>39</v>
      </c>
      <c r="D11" s="28"/>
      <c r="E11" s="27" t="s">
        <v>40</v>
      </c>
      <c r="F11" s="29">
        <v>192</v>
      </c>
      <c r="G11" s="25"/>
      <c r="H11" s="30" t="s">
        <v>33</v>
      </c>
      <c r="I11" s="31" t="s">
        <v>34</v>
      </c>
      <c r="AC11" s="32">
        <f>IF(AND(E11&lt;&gt;"",C11&lt;&gt;"",COUNTIFS($C$8:C11,C11,$E$8:E11,E11)=1),1,0)</f>
        <v>1</v>
      </c>
    </row>
    <row r="12" spans="1:29" ht="23.25" customHeight="1" x14ac:dyDescent="0.25">
      <c r="A12" s="25">
        <f t="shared" si="0"/>
        <v>5</v>
      </c>
      <c r="B12" s="26">
        <v>46056</v>
      </c>
      <c r="C12" s="27" t="s">
        <v>41</v>
      </c>
      <c r="D12" s="28"/>
      <c r="E12" s="27" t="s">
        <v>42</v>
      </c>
      <c r="F12" s="29">
        <v>3</v>
      </c>
      <c r="G12" s="25"/>
      <c r="H12" s="30" t="s">
        <v>33</v>
      </c>
      <c r="I12" s="31" t="s">
        <v>34</v>
      </c>
      <c r="AC12" s="32">
        <f>IF(AND(E12&lt;&gt;"",C12&lt;&gt;"",COUNTIFS($C$8:C12,C12,$E$8:E12,E12)=1),1,0)</f>
        <v>1</v>
      </c>
    </row>
    <row r="13" spans="1:29" ht="23.25" customHeight="1" x14ac:dyDescent="0.25">
      <c r="A13" s="25">
        <f t="shared" si="0"/>
        <v>6</v>
      </c>
      <c r="B13" s="26">
        <v>46056</v>
      </c>
      <c r="C13" s="27" t="s">
        <v>43</v>
      </c>
      <c r="D13" s="28"/>
      <c r="E13" s="27" t="s">
        <v>44</v>
      </c>
      <c r="F13" s="29">
        <v>40</v>
      </c>
      <c r="G13" s="25"/>
      <c r="H13" s="30" t="s">
        <v>33</v>
      </c>
      <c r="I13" s="31" t="s">
        <v>34</v>
      </c>
      <c r="AC13" s="32">
        <f>IF(AND(E13&lt;&gt;"",C13&lt;&gt;"",COUNTIFS($C$8:C13,C13,$E$8:E13,E13)=1),1,0)</f>
        <v>1</v>
      </c>
    </row>
    <row r="14" spans="1:29" ht="23.25" customHeight="1" x14ac:dyDescent="0.25">
      <c r="A14" s="25">
        <f t="shared" si="0"/>
        <v>7</v>
      </c>
      <c r="B14" s="26">
        <v>46056</v>
      </c>
      <c r="C14" s="27" t="s">
        <v>45</v>
      </c>
      <c r="D14" s="28"/>
      <c r="E14" s="27" t="s">
        <v>46</v>
      </c>
      <c r="F14" s="29">
        <v>40</v>
      </c>
      <c r="G14" s="25"/>
      <c r="H14" s="30" t="s">
        <v>33</v>
      </c>
      <c r="I14" s="31" t="s">
        <v>34</v>
      </c>
      <c r="AC14" s="32">
        <f>IF(AND(E14&lt;&gt;"",C14&lt;&gt;"",COUNTIFS($C$8:C14,C14,$E$8:E14,E14)=1),1,0)</f>
        <v>1</v>
      </c>
    </row>
    <row r="15" spans="1:29" ht="23.25" customHeight="1" x14ac:dyDescent="0.25">
      <c r="A15" s="25">
        <f t="shared" si="0"/>
        <v>8</v>
      </c>
      <c r="B15" s="26">
        <v>46056</v>
      </c>
      <c r="C15" s="27" t="s">
        <v>47</v>
      </c>
      <c r="D15" s="28"/>
      <c r="E15" s="27" t="s">
        <v>48</v>
      </c>
      <c r="F15" s="29">
        <v>10</v>
      </c>
      <c r="G15" s="25"/>
      <c r="H15" s="30" t="s">
        <v>33</v>
      </c>
      <c r="I15" s="31" t="s">
        <v>34</v>
      </c>
      <c r="AC15" s="32">
        <f>IF(AND(E15&lt;&gt;"",C15&lt;&gt;"",COUNTIFS($C$8:C15,C15,$E$8:E15,E15)=1),1,0)</f>
        <v>1</v>
      </c>
    </row>
    <row r="16" spans="1:29" ht="23.25" customHeight="1" x14ac:dyDescent="0.25">
      <c r="A16" s="25">
        <f t="shared" si="0"/>
        <v>9</v>
      </c>
      <c r="B16" s="26">
        <v>46056</v>
      </c>
      <c r="C16" s="27" t="s">
        <v>49</v>
      </c>
      <c r="D16" s="28"/>
      <c r="E16" s="27" t="s">
        <v>50</v>
      </c>
      <c r="F16" s="29">
        <v>60</v>
      </c>
      <c r="G16" s="25"/>
      <c r="H16" s="30" t="s">
        <v>33</v>
      </c>
      <c r="I16" s="31" t="s">
        <v>34</v>
      </c>
      <c r="AC16" s="32">
        <f>IF(AND(E16&lt;&gt;"",C16&lt;&gt;"",COUNTIFS($C$8:C16,C16,$E$8:E16,E16)=1),1,0)</f>
        <v>1</v>
      </c>
    </row>
    <row r="17" spans="1:29" ht="23.25" customHeight="1" x14ac:dyDescent="0.25">
      <c r="A17" s="25">
        <f t="shared" si="0"/>
        <v>10</v>
      </c>
      <c r="B17" s="26">
        <v>46056</v>
      </c>
      <c r="C17" s="27" t="s">
        <v>51</v>
      </c>
      <c r="D17" s="28"/>
      <c r="E17" s="27" t="s">
        <v>52</v>
      </c>
      <c r="F17" s="29">
        <v>50</v>
      </c>
      <c r="G17" s="25"/>
      <c r="H17" s="30" t="s">
        <v>33</v>
      </c>
      <c r="I17" s="31" t="s">
        <v>34</v>
      </c>
      <c r="AC17" s="32">
        <f>IF(AND(E17&lt;&gt;"",C17&lt;&gt;"",COUNTIFS($C$8:C17,C17,$E$8:E17,E17)=1),1,0)</f>
        <v>1</v>
      </c>
    </row>
    <row r="18" spans="1:29" ht="23.25" customHeight="1" x14ac:dyDescent="0.25">
      <c r="A18" s="25">
        <f t="shared" si="0"/>
        <v>11</v>
      </c>
      <c r="B18" s="26">
        <v>46056</v>
      </c>
      <c r="C18" s="27" t="s">
        <v>51</v>
      </c>
      <c r="D18" s="28"/>
      <c r="E18" s="27" t="s">
        <v>53</v>
      </c>
      <c r="F18" s="29">
        <v>15</v>
      </c>
      <c r="G18" s="25"/>
      <c r="H18" s="30" t="s">
        <v>33</v>
      </c>
      <c r="I18" s="31" t="s">
        <v>34</v>
      </c>
      <c r="AC18" s="32">
        <f>IF(AND(E18&lt;&gt;"",C18&lt;&gt;"",COUNTIFS($C$8:C18,C18,$E$8:E18,E18)=1),1,0)</f>
        <v>1</v>
      </c>
    </row>
    <row r="19" spans="1:29" ht="23.25" customHeight="1" x14ac:dyDescent="0.25">
      <c r="A19" s="25">
        <f t="shared" si="0"/>
        <v>12</v>
      </c>
      <c r="B19" s="26">
        <v>46080</v>
      </c>
      <c r="C19" s="27" t="s">
        <v>54</v>
      </c>
      <c r="D19" s="28"/>
      <c r="E19" s="27" t="s">
        <v>55</v>
      </c>
      <c r="F19" s="29">
        <v>12</v>
      </c>
      <c r="G19" s="25"/>
      <c r="H19" s="30" t="s">
        <v>33</v>
      </c>
      <c r="I19" s="31" t="s">
        <v>34</v>
      </c>
      <c r="AC19" s="32">
        <f>IF(AND(E19&lt;&gt;"",C19&lt;&gt;"",COUNTIFS($C$8:C19,C19,$E$8:E19,E19)=1),1,0)</f>
        <v>1</v>
      </c>
    </row>
    <row r="20" spans="1:29" ht="23.25" customHeight="1" x14ac:dyDescent="0.25">
      <c r="A20" s="25">
        <f t="shared" si="0"/>
        <v>13</v>
      </c>
      <c r="B20" s="26">
        <v>46080</v>
      </c>
      <c r="C20" s="27" t="s">
        <v>56</v>
      </c>
      <c r="D20" s="28"/>
      <c r="E20" s="27" t="s">
        <v>57</v>
      </c>
      <c r="F20" s="29">
        <v>98</v>
      </c>
      <c r="G20" s="25"/>
      <c r="H20" s="30" t="s">
        <v>33</v>
      </c>
      <c r="I20" s="31" t="s">
        <v>34</v>
      </c>
      <c r="AC20" s="32">
        <f>IF(AND(E20&lt;&gt;"",C20&lt;&gt;"",COUNTIFS($C$8:C20,C20,$E$8:E20,E20)=1),1,0)</f>
        <v>1</v>
      </c>
    </row>
    <row r="21" spans="1:29" ht="23.25" customHeight="1" x14ac:dyDescent="0.25">
      <c r="A21" s="25">
        <f t="shared" si="0"/>
        <v>14</v>
      </c>
      <c r="B21" s="26">
        <v>46156</v>
      </c>
      <c r="C21" s="27" t="s">
        <v>41</v>
      </c>
      <c r="D21" s="28"/>
      <c r="E21" s="27" t="s">
        <v>58</v>
      </c>
      <c r="F21" s="29">
        <v>315</v>
      </c>
      <c r="G21" s="25"/>
      <c r="H21" s="30" t="s">
        <v>33</v>
      </c>
      <c r="I21" s="31" t="s">
        <v>34</v>
      </c>
      <c r="AC21" s="32">
        <f>IF(AND(E21&lt;&gt;"",C21&lt;&gt;"",COUNTIFS($C$8:C21,C21,$E$8:E21,E21)=1),1,0)</f>
        <v>1</v>
      </c>
    </row>
    <row r="22" spans="1:29" ht="23.25" customHeight="1" x14ac:dyDescent="0.25">
      <c r="A22" s="25">
        <f t="shared" si="0"/>
        <v>15</v>
      </c>
      <c r="B22" s="26">
        <v>46156</v>
      </c>
      <c r="C22" s="27" t="s">
        <v>56</v>
      </c>
      <c r="D22" s="28"/>
      <c r="E22" s="27" t="s">
        <v>59</v>
      </c>
      <c r="F22" s="29">
        <v>74</v>
      </c>
      <c r="G22" s="25"/>
      <c r="H22" s="30" t="s">
        <v>33</v>
      </c>
      <c r="I22" s="31" t="s">
        <v>34</v>
      </c>
      <c r="AC22" s="32">
        <f>IF(AND(E22&lt;&gt;"",C22&lt;&gt;"",COUNTIFS($C$8:C22,C22,$E$8:E22,E22)=1),1,0)</f>
        <v>1</v>
      </c>
    </row>
    <row r="23" spans="1:29" ht="23.25" customHeight="1" x14ac:dyDescent="0.25">
      <c r="A23" s="25" t="str">
        <f t="shared" si="0"/>
        <v/>
      </c>
      <c r="B23" s="26"/>
      <c r="C23" s="27"/>
      <c r="D23" s="28"/>
      <c r="E23" s="27"/>
      <c r="F23" s="29"/>
      <c r="G23" s="25"/>
      <c r="H23" s="30"/>
      <c r="I23" s="31"/>
      <c r="AC23" s="32">
        <f>IF(AND(E23&lt;&gt;"",C23&lt;&gt;"",COUNTIFS($C$8:C23,C23,$E$8:E23,E23)=1),1,0)</f>
        <v>0</v>
      </c>
    </row>
    <row r="24" spans="1:29" ht="23.25" customHeight="1" x14ac:dyDescent="0.25">
      <c r="A24" s="25" t="str">
        <f t="shared" si="0"/>
        <v/>
      </c>
      <c r="B24" s="26"/>
      <c r="C24" s="27"/>
      <c r="D24" s="28"/>
      <c r="E24" s="27"/>
      <c r="F24" s="29"/>
      <c r="G24" s="25"/>
      <c r="H24" s="30"/>
      <c r="I24" s="31"/>
      <c r="AC24" s="32">
        <f>IF(AND(E24&lt;&gt;"",C24&lt;&gt;"",COUNTIFS($C$8:C24,C24,$E$8:E24,E24)=1),1,0)</f>
        <v>0</v>
      </c>
    </row>
    <row r="25" spans="1:29" ht="23.25" customHeight="1" x14ac:dyDescent="0.25">
      <c r="A25" s="25" t="str">
        <f t="shared" si="0"/>
        <v/>
      </c>
      <c r="B25" s="26"/>
      <c r="C25" s="27"/>
      <c r="D25" s="28"/>
      <c r="E25" s="27"/>
      <c r="F25" s="29"/>
      <c r="G25" s="25"/>
      <c r="H25" s="30"/>
      <c r="I25" s="31"/>
      <c r="AC25" s="32">
        <f>IF(AND(E25&lt;&gt;"",C25&lt;&gt;"",COUNTIFS($C$8:C25,C25,$E$8:E25,E25)=1),1,0)</f>
        <v>0</v>
      </c>
    </row>
    <row r="26" spans="1:29" ht="15" customHeight="1" x14ac:dyDescent="0.25">
      <c r="A26" s="25" t="str">
        <f t="shared" si="0"/>
        <v/>
      </c>
      <c r="B26" s="26"/>
      <c r="C26" s="27"/>
      <c r="D26" s="28"/>
      <c r="E26" s="27"/>
      <c r="F26" s="29"/>
      <c r="G26" s="25"/>
      <c r="H26" s="30"/>
      <c r="I26" s="30"/>
      <c r="AC26" s="32">
        <f>IF(AND(E26&lt;&gt;"",C26&lt;&gt;"",COUNTIFS($C$8:C26,C26,$E$8:E26,E26)=1),1,0)</f>
        <v>0</v>
      </c>
    </row>
    <row r="27" spans="1:29" ht="15" customHeight="1" x14ac:dyDescent="0.25">
      <c r="A27" s="25" t="str">
        <f t="shared" si="0"/>
        <v/>
      </c>
      <c r="B27" s="26"/>
      <c r="C27" s="27"/>
      <c r="D27" s="28"/>
      <c r="E27" s="27"/>
      <c r="F27" s="29"/>
      <c r="G27" s="25"/>
      <c r="H27" s="30"/>
      <c r="I27" s="30"/>
      <c r="AC27" s="32">
        <f>IF(AND(E27&lt;&gt;"",C27&lt;&gt;"",COUNTIFS($C$8:C27,C27,$E$8:E27,E27)=1),1,0)</f>
        <v>0</v>
      </c>
    </row>
    <row r="28" spans="1:29" ht="15" customHeight="1" x14ac:dyDescent="0.25">
      <c r="A28" s="25" t="str">
        <f t="shared" si="0"/>
        <v/>
      </c>
      <c r="B28" s="26"/>
      <c r="C28" s="27"/>
      <c r="D28" s="28"/>
      <c r="E28" s="27"/>
      <c r="F28" s="29"/>
      <c r="G28" s="25"/>
      <c r="H28" s="30"/>
      <c r="I28" s="30"/>
      <c r="AC28" s="32">
        <f>IF(AND(E28&lt;&gt;"",C28&lt;&gt;"",COUNTIFS($C$8:C28,C28,$E$8:E28,E28)=1),1,0)</f>
        <v>0</v>
      </c>
    </row>
    <row r="29" spans="1:29" ht="15" customHeight="1" x14ac:dyDescent="0.25">
      <c r="A29" s="25" t="str">
        <f t="shared" si="0"/>
        <v/>
      </c>
      <c r="B29" s="26"/>
      <c r="C29" s="27"/>
      <c r="D29" s="28"/>
      <c r="E29" s="27"/>
      <c r="F29" s="29"/>
      <c r="G29" s="25"/>
      <c r="H29" s="30"/>
      <c r="I29" s="30"/>
      <c r="AC29" s="32">
        <f>IF(AND(E29&lt;&gt;"",C29&lt;&gt;"",COUNTIFS($C$8:C29,C29,$E$8:E29,E29)=1),1,0)</f>
        <v>0</v>
      </c>
    </row>
    <row r="30" spans="1:29" ht="15" customHeight="1" x14ac:dyDescent="0.25">
      <c r="A30" s="25" t="str">
        <f t="shared" si="0"/>
        <v/>
      </c>
      <c r="B30" s="26"/>
      <c r="C30" s="27"/>
      <c r="D30" s="28"/>
      <c r="E30" s="27"/>
      <c r="F30" s="29"/>
      <c r="G30" s="25"/>
      <c r="H30" s="30"/>
      <c r="I30" s="30"/>
      <c r="AC30" s="32">
        <f>IF(AND(E30&lt;&gt;"",C30&lt;&gt;"",COUNTIFS($C$8:C30,C30,$E$8:E30,E30)=1),1,0)</f>
        <v>0</v>
      </c>
    </row>
    <row r="31" spans="1:29" ht="15" customHeight="1" x14ac:dyDescent="0.25">
      <c r="A31" s="25" t="str">
        <f t="shared" si="0"/>
        <v/>
      </c>
      <c r="B31" s="26"/>
      <c r="C31" s="27"/>
      <c r="D31" s="28"/>
      <c r="E31" s="27"/>
      <c r="F31" s="29"/>
      <c r="G31" s="25"/>
      <c r="H31" s="30"/>
      <c r="I31" s="30"/>
      <c r="AC31" s="32">
        <f>IF(AND(E31&lt;&gt;"",C31&lt;&gt;"",COUNTIFS($C$8:C31,C31,$E$8:E31,E31)=1),1,0)</f>
        <v>0</v>
      </c>
    </row>
    <row r="32" spans="1:29" ht="15" customHeight="1" x14ac:dyDescent="0.25">
      <c r="A32" s="25" t="str">
        <f t="shared" si="0"/>
        <v/>
      </c>
      <c r="B32" s="26"/>
      <c r="C32" s="27"/>
      <c r="D32" s="28"/>
      <c r="E32" s="27"/>
      <c r="F32" s="29"/>
      <c r="G32" s="25"/>
      <c r="H32" s="30"/>
      <c r="I32" s="30"/>
      <c r="AC32" s="32">
        <f>IF(AND(E32&lt;&gt;"",C32&lt;&gt;"",COUNTIFS($C$8:C32,C32,$E$8:E32,E32)=1),1,0)</f>
        <v>0</v>
      </c>
    </row>
    <row r="33" spans="1:29" ht="15" customHeight="1" x14ac:dyDescent="0.25">
      <c r="A33" s="25" t="str">
        <f t="shared" si="0"/>
        <v/>
      </c>
      <c r="B33" s="26"/>
      <c r="C33" s="27"/>
      <c r="D33" s="28"/>
      <c r="E33" s="27"/>
      <c r="F33" s="29"/>
      <c r="G33" s="25"/>
      <c r="H33" s="30"/>
      <c r="I33" s="30"/>
      <c r="AC33" s="32">
        <f>IF(AND(E33&lt;&gt;"",C33&lt;&gt;"",COUNTIFS($C$8:C33,C33,$E$8:E33,E33)=1),1,0)</f>
        <v>0</v>
      </c>
    </row>
    <row r="34" spans="1:29" ht="15" customHeight="1" x14ac:dyDescent="0.25">
      <c r="A34" s="25" t="str">
        <f t="shared" si="0"/>
        <v/>
      </c>
      <c r="B34" s="26"/>
      <c r="C34" s="27"/>
      <c r="D34" s="28"/>
      <c r="E34" s="27"/>
      <c r="F34" s="29"/>
      <c r="G34" s="25"/>
      <c r="H34" s="30"/>
      <c r="I34" s="30"/>
      <c r="AC34" s="32">
        <f>IF(AND(E34&lt;&gt;"",C34&lt;&gt;"",COUNTIFS($C$8:C34,C34,$E$8:E34,E34)=1),1,0)</f>
        <v>0</v>
      </c>
    </row>
    <row r="35" spans="1:29" ht="15" customHeight="1" x14ac:dyDescent="0.25">
      <c r="A35" s="25" t="str">
        <f t="shared" si="0"/>
        <v/>
      </c>
      <c r="B35" s="26"/>
      <c r="C35" s="27"/>
      <c r="D35" s="28"/>
      <c r="E35" s="27"/>
      <c r="F35" s="29"/>
      <c r="G35" s="25"/>
      <c r="H35" s="30"/>
      <c r="I35" s="30"/>
      <c r="AC35" s="32">
        <f>IF(AND(E35&lt;&gt;"",C35&lt;&gt;"",COUNTIFS($C$8:C35,C35,$E$8:E35,E35)=1),1,0)</f>
        <v>0</v>
      </c>
    </row>
    <row r="36" spans="1:29" ht="15" customHeight="1" x14ac:dyDescent="0.25">
      <c r="A36" s="25" t="str">
        <f t="shared" si="0"/>
        <v/>
      </c>
      <c r="B36" s="26"/>
      <c r="C36" s="27"/>
      <c r="D36" s="28"/>
      <c r="E36" s="27"/>
      <c r="F36" s="29"/>
      <c r="G36" s="25"/>
      <c r="H36" s="30"/>
      <c r="I36" s="30"/>
      <c r="AC36" s="32">
        <f>IF(AND(E36&lt;&gt;"",C36&lt;&gt;"",COUNTIFS($C$8:C36,C36,$E$8:E36,E36)=1),1,0)</f>
        <v>0</v>
      </c>
    </row>
    <row r="37" spans="1:29" ht="15" customHeight="1" x14ac:dyDescent="0.25">
      <c r="A37" s="25" t="str">
        <f t="shared" si="0"/>
        <v/>
      </c>
      <c r="B37" s="26"/>
      <c r="C37" s="27"/>
      <c r="D37" s="28"/>
      <c r="E37" s="27"/>
      <c r="F37" s="29"/>
      <c r="G37" s="25"/>
      <c r="H37" s="30"/>
      <c r="I37" s="30"/>
      <c r="AC37" s="32">
        <f>IF(AND(E37&lt;&gt;"",C37&lt;&gt;"",COUNTIFS($C$8:C37,C37,$E$8:E37,E37)=1),1,0)</f>
        <v>0</v>
      </c>
    </row>
    <row r="38" spans="1:29" ht="15" customHeight="1" x14ac:dyDescent="0.25">
      <c r="A38" s="25" t="str">
        <f t="shared" si="0"/>
        <v/>
      </c>
      <c r="B38" s="26"/>
      <c r="C38" s="27"/>
      <c r="D38" s="28"/>
      <c r="E38" s="27"/>
      <c r="F38" s="29"/>
      <c r="G38" s="25"/>
      <c r="H38" s="30"/>
      <c r="I38" s="30"/>
      <c r="AC38" s="32">
        <f>IF(AND(E38&lt;&gt;"",C38&lt;&gt;"",COUNTIFS($C$8:C38,C38,$E$8:E38,E38)=1),1,0)</f>
        <v>0</v>
      </c>
    </row>
    <row r="39" spans="1:29" ht="15" customHeight="1" x14ac:dyDescent="0.25">
      <c r="A39" s="25" t="str">
        <f t="shared" si="0"/>
        <v/>
      </c>
      <c r="B39" s="26"/>
      <c r="C39" s="27"/>
      <c r="D39" s="28"/>
      <c r="E39" s="27"/>
      <c r="F39" s="29"/>
      <c r="G39" s="25"/>
      <c r="H39" s="30"/>
      <c r="I39" s="30"/>
      <c r="AC39" s="32">
        <f>IF(AND(E39&lt;&gt;"",C39&lt;&gt;"",COUNTIFS($C$8:C39,C39,$E$8:E39,E39)=1),1,0)</f>
        <v>0</v>
      </c>
    </row>
    <row r="40" spans="1:29" ht="15" customHeight="1" x14ac:dyDescent="0.25">
      <c r="A40" s="25" t="str">
        <f t="shared" si="0"/>
        <v/>
      </c>
      <c r="B40" s="26"/>
      <c r="C40" s="27"/>
      <c r="D40" s="28"/>
      <c r="E40" s="27"/>
      <c r="F40" s="29"/>
      <c r="G40" s="25"/>
      <c r="H40" s="30"/>
      <c r="I40" s="30"/>
      <c r="AC40" s="32">
        <f>IF(AND(E40&lt;&gt;"",C40&lt;&gt;"",COUNTIFS($C$8:C40,C40,$E$8:E40,E40)=1),1,0)</f>
        <v>0</v>
      </c>
    </row>
    <row r="41" spans="1:29" ht="15" customHeight="1" x14ac:dyDescent="0.25">
      <c r="A41" s="25" t="str">
        <f t="shared" si="0"/>
        <v/>
      </c>
      <c r="B41" s="26"/>
      <c r="C41" s="27"/>
      <c r="D41" s="28"/>
      <c r="E41" s="27"/>
      <c r="F41" s="29"/>
      <c r="G41" s="25"/>
      <c r="H41" s="30"/>
      <c r="I41" s="30"/>
      <c r="AC41" s="32">
        <f>IF(AND(E41&lt;&gt;"",C41&lt;&gt;"",COUNTIFS($C$8:C41,C41,$E$8:E41,E41)=1),1,0)</f>
        <v>0</v>
      </c>
    </row>
    <row r="42" spans="1:29" ht="15" customHeight="1" x14ac:dyDescent="0.25">
      <c r="A42" s="25" t="str">
        <f t="shared" si="0"/>
        <v/>
      </c>
      <c r="B42" s="26"/>
      <c r="C42" s="27"/>
      <c r="D42" s="28"/>
      <c r="E42" s="27"/>
      <c r="F42" s="29"/>
      <c r="G42" s="25"/>
      <c r="H42" s="30"/>
      <c r="I42" s="30"/>
      <c r="AC42" s="32">
        <f>IF(AND(E42&lt;&gt;"",C42&lt;&gt;"",COUNTIFS($C$8:C42,C42,$E$8:E42,E42)=1),1,0)</f>
        <v>0</v>
      </c>
    </row>
    <row r="43" spans="1:29" ht="15" customHeight="1" x14ac:dyDescent="0.25">
      <c r="A43" s="25" t="str">
        <f t="shared" si="0"/>
        <v/>
      </c>
      <c r="B43" s="26"/>
      <c r="C43" s="27"/>
      <c r="D43" s="28"/>
      <c r="E43" s="27"/>
      <c r="F43" s="29"/>
      <c r="G43" s="25"/>
      <c r="H43" s="30"/>
      <c r="I43" s="30"/>
      <c r="AC43" s="32">
        <f>IF(AND(E43&lt;&gt;"",C43&lt;&gt;"",COUNTIFS($C$8:C43,C43,$E$8:E43,E43)=1),1,0)</f>
        <v>0</v>
      </c>
    </row>
    <row r="44" spans="1:29" ht="15" customHeight="1" x14ac:dyDescent="0.25">
      <c r="A44" s="25" t="str">
        <f t="shared" si="0"/>
        <v/>
      </c>
      <c r="B44" s="26"/>
      <c r="C44" s="27"/>
      <c r="D44" s="28"/>
      <c r="E44" s="27"/>
      <c r="F44" s="29"/>
      <c r="G44" s="25"/>
      <c r="H44" s="30"/>
      <c r="I44" s="30"/>
      <c r="AC44" s="32">
        <f>IF(AND(E44&lt;&gt;"",C44&lt;&gt;"",COUNTIFS($C$8:C44,C44,$E$8:E44,E44)=1),1,0)</f>
        <v>0</v>
      </c>
    </row>
    <row r="45" spans="1:29" ht="15" customHeight="1" x14ac:dyDescent="0.25">
      <c r="A45" s="25" t="str">
        <f t="shared" si="0"/>
        <v/>
      </c>
      <c r="B45" s="26"/>
      <c r="C45" s="27"/>
      <c r="D45" s="28"/>
      <c r="E45" s="27"/>
      <c r="F45" s="29"/>
      <c r="G45" s="25"/>
      <c r="H45" s="30"/>
      <c r="I45" s="30"/>
      <c r="AC45" s="32">
        <f>IF(AND(E45&lt;&gt;"",C45&lt;&gt;"",COUNTIFS($C$8:C45,C45,$E$8:E45,E45)=1),1,0)</f>
        <v>0</v>
      </c>
    </row>
    <row r="46" spans="1:29" ht="15" customHeight="1" x14ac:dyDescent="0.25">
      <c r="A46" s="25" t="str">
        <f t="shared" si="0"/>
        <v/>
      </c>
      <c r="B46" s="26"/>
      <c r="C46" s="27"/>
      <c r="D46" s="28"/>
      <c r="E46" s="27"/>
      <c r="F46" s="29"/>
      <c r="G46" s="25"/>
      <c r="H46" s="30"/>
      <c r="I46" s="30"/>
      <c r="AC46" s="32">
        <f>IF(AND(E46&lt;&gt;"",C46&lt;&gt;"",COUNTIFS($C$8:C46,C46,$E$8:E46,E46)=1),1,0)</f>
        <v>0</v>
      </c>
    </row>
    <row r="47" spans="1:29" ht="15" customHeight="1" x14ac:dyDescent="0.25">
      <c r="A47" s="25" t="str">
        <f t="shared" si="0"/>
        <v/>
      </c>
      <c r="B47" s="26"/>
      <c r="C47" s="27"/>
      <c r="D47" s="28"/>
      <c r="E47" s="27"/>
      <c r="F47" s="29"/>
      <c r="G47" s="25"/>
      <c r="H47" s="30"/>
      <c r="I47" s="30"/>
      <c r="AC47" s="32">
        <f>IF(AND(E47&lt;&gt;"",C47&lt;&gt;"",COUNTIFS($C$8:C47,C47,$E$8:E47,E47)=1),1,0)</f>
        <v>0</v>
      </c>
    </row>
    <row r="48" spans="1:29" ht="15" customHeight="1" x14ac:dyDescent="0.25">
      <c r="A48" s="25" t="str">
        <f t="shared" si="0"/>
        <v/>
      </c>
      <c r="B48" s="26"/>
      <c r="C48" s="27"/>
      <c r="D48" s="28"/>
      <c r="E48" s="27"/>
      <c r="F48" s="29"/>
      <c r="G48" s="25"/>
      <c r="H48" s="30"/>
      <c r="I48" s="30"/>
      <c r="AC48" s="32">
        <f>IF(AND(E48&lt;&gt;"",C48&lt;&gt;"",COUNTIFS($C$8:C48,C48,$E$8:E48,E48)=1),1,0)</f>
        <v>0</v>
      </c>
    </row>
    <row r="49" spans="1:29" ht="15" customHeight="1" x14ac:dyDescent="0.25">
      <c r="A49" s="25" t="str">
        <f t="shared" si="0"/>
        <v/>
      </c>
      <c r="B49" s="26"/>
      <c r="C49" s="27"/>
      <c r="D49" s="28"/>
      <c r="E49" s="27"/>
      <c r="F49" s="29"/>
      <c r="G49" s="25"/>
      <c r="H49" s="30"/>
      <c r="I49" s="30"/>
      <c r="AC49" s="32">
        <f>IF(AND(E49&lt;&gt;"",C49&lt;&gt;"",COUNTIFS($C$8:C49,C49,$E$8:E49,E49)=1),1,0)</f>
        <v>0</v>
      </c>
    </row>
    <row r="50" spans="1:29" ht="15" customHeight="1" x14ac:dyDescent="0.25">
      <c r="A50" s="25" t="str">
        <f t="shared" si="0"/>
        <v/>
      </c>
      <c r="B50" s="26"/>
      <c r="C50" s="27"/>
      <c r="D50" s="28" t="str">
        <f>IFERROR(IF(C50="","",INDEX(마스터!$F$4:$F$20,MATCH(C50,마스터!$M$4:$M$20,0))),"")</f>
        <v/>
      </c>
      <c r="E50" s="27"/>
      <c r="F50" s="29"/>
      <c r="G50" s="25" t="str">
        <f>IFERROR(IF(C50="","",INDEX(마스터!$J$4:$J$20,MATCH(C50,마스터!$M$4:$M$20,0))),"")</f>
        <v/>
      </c>
      <c r="H50" s="30"/>
      <c r="I50" s="30"/>
      <c r="AC50" s="32">
        <f>IF(AND(E50&lt;&gt;"",C50&lt;&gt;"",COUNTIFS($C$8:C50,C50,$E$8:E50,E50)=1),1,0)</f>
        <v>0</v>
      </c>
    </row>
    <row r="51" spans="1:29" ht="15" customHeight="1" x14ac:dyDescent="0.25">
      <c r="A51" s="25" t="str">
        <f t="shared" si="0"/>
        <v/>
      </c>
      <c r="B51" s="26"/>
      <c r="C51" s="27"/>
      <c r="D51" s="28" t="str">
        <f>IFERROR(IF(C51="","",INDEX(마스터!$F$4:$F$20,MATCH(C51,마스터!$M$4:$M$20,0))),"")</f>
        <v/>
      </c>
      <c r="E51" s="27"/>
      <c r="F51" s="29"/>
      <c r="G51" s="25" t="str">
        <f>IFERROR(IF(C51="","",INDEX(마스터!$J$4:$J$20,MATCH(C51,마스터!$M$4:$M$20,0))),"")</f>
        <v/>
      </c>
      <c r="H51" s="30"/>
      <c r="I51" s="30"/>
      <c r="AC51" s="32">
        <f>IF(AND(E51&lt;&gt;"",C51&lt;&gt;"",COUNTIFS($C$8:C51,C51,$E$8:E51,E51)=1),1,0)</f>
        <v>0</v>
      </c>
    </row>
    <row r="52" spans="1:29" ht="15" customHeight="1" x14ac:dyDescent="0.25">
      <c r="A52" s="25" t="str">
        <f t="shared" si="0"/>
        <v/>
      </c>
      <c r="B52" s="26"/>
      <c r="C52" s="27"/>
      <c r="D52" s="28" t="str">
        <f>IFERROR(IF(C52="","",INDEX(마스터!$F$4:$F$20,MATCH(C52,마스터!$M$4:$M$20,0))),"")</f>
        <v/>
      </c>
      <c r="E52" s="27"/>
      <c r="F52" s="29"/>
      <c r="G52" s="25" t="str">
        <f>IFERROR(IF(C52="","",INDEX(마스터!$J$4:$J$20,MATCH(C52,마스터!$M$4:$M$20,0))),"")</f>
        <v/>
      </c>
      <c r="H52" s="30"/>
      <c r="I52" s="30"/>
      <c r="AC52" s="32">
        <f>IF(AND(E52&lt;&gt;"",C52&lt;&gt;"",COUNTIFS($C$8:C52,C52,$E$8:E52,E52)=1),1,0)</f>
        <v>0</v>
      </c>
    </row>
    <row r="53" spans="1:29" ht="15" customHeight="1" x14ac:dyDescent="0.25">
      <c r="A53" s="25" t="str">
        <f t="shared" si="0"/>
        <v/>
      </c>
      <c r="B53" s="26"/>
      <c r="C53" s="27"/>
      <c r="D53" s="28" t="str">
        <f>IFERROR(IF(C53="","",INDEX(마스터!$F$4:$F$20,MATCH(C53,마스터!$M$4:$M$20,0))),"")</f>
        <v/>
      </c>
      <c r="E53" s="27"/>
      <c r="F53" s="29"/>
      <c r="G53" s="25" t="str">
        <f>IFERROR(IF(C53="","",INDEX(마스터!$J$4:$J$20,MATCH(C53,마스터!$M$4:$M$20,0))),"")</f>
        <v/>
      </c>
      <c r="H53" s="30"/>
      <c r="I53" s="30"/>
      <c r="AC53" s="32">
        <f>IF(AND(E53&lt;&gt;"",C53&lt;&gt;"",COUNTIFS($C$8:C53,C53,$E$8:E53,E53)=1),1,0)</f>
        <v>0</v>
      </c>
    </row>
    <row r="54" spans="1:29" ht="15" customHeight="1" x14ac:dyDescent="0.25">
      <c r="A54" s="25" t="str">
        <f t="shared" si="0"/>
        <v/>
      </c>
      <c r="B54" s="26"/>
      <c r="C54" s="27"/>
      <c r="D54" s="28" t="str">
        <f>IFERROR(IF(C54="","",INDEX(마스터!$F$4:$F$20,MATCH(C54,마스터!$M$4:$M$20,0))),"")</f>
        <v/>
      </c>
      <c r="E54" s="27"/>
      <c r="F54" s="29"/>
      <c r="G54" s="25" t="str">
        <f>IFERROR(IF(C54="","",INDEX(마스터!$J$4:$J$20,MATCH(C54,마스터!$M$4:$M$20,0))),"")</f>
        <v/>
      </c>
      <c r="H54" s="30"/>
      <c r="I54" s="30"/>
      <c r="AC54" s="32">
        <f>IF(AND(E54&lt;&gt;"",C54&lt;&gt;"",COUNTIFS($C$8:C54,C54,$E$8:E54,E54)=1),1,0)</f>
        <v>0</v>
      </c>
    </row>
    <row r="55" spans="1:29" ht="15" customHeight="1" x14ac:dyDescent="0.25">
      <c r="A55" s="25" t="str">
        <f t="shared" si="0"/>
        <v/>
      </c>
      <c r="B55" s="26"/>
      <c r="C55" s="27"/>
      <c r="D55" s="28" t="str">
        <f>IFERROR(IF(C55="","",INDEX(마스터!$F$4:$F$20,MATCH(C55,마스터!$M$4:$M$20,0))),"")</f>
        <v/>
      </c>
      <c r="E55" s="27"/>
      <c r="F55" s="29"/>
      <c r="G55" s="25" t="str">
        <f>IFERROR(IF(C55="","",INDEX(마스터!$J$4:$J$20,MATCH(C55,마스터!$M$4:$M$20,0))),"")</f>
        <v/>
      </c>
      <c r="H55" s="30"/>
      <c r="I55" s="30"/>
      <c r="AC55" s="32">
        <f>IF(AND(E55&lt;&gt;"",C55&lt;&gt;"",COUNTIFS($C$8:C55,C55,$E$8:E55,E55)=1),1,0)</f>
        <v>0</v>
      </c>
    </row>
    <row r="56" spans="1:29" ht="15" customHeight="1" x14ac:dyDescent="0.25">
      <c r="A56" s="25" t="str">
        <f t="shared" si="0"/>
        <v/>
      </c>
      <c r="B56" s="26"/>
      <c r="C56" s="27"/>
      <c r="D56" s="28" t="str">
        <f>IFERROR(IF(C56="","",INDEX(마스터!$F$4:$F$20,MATCH(C56,마스터!$M$4:$M$20,0))),"")</f>
        <v/>
      </c>
      <c r="E56" s="27"/>
      <c r="F56" s="29"/>
      <c r="G56" s="25" t="str">
        <f>IFERROR(IF(C56="","",INDEX(마스터!$J$4:$J$20,MATCH(C56,마스터!$M$4:$M$20,0))),"")</f>
        <v/>
      </c>
      <c r="H56" s="30"/>
      <c r="I56" s="30"/>
      <c r="AC56" s="32">
        <f>IF(AND(E56&lt;&gt;"",C56&lt;&gt;"",COUNTIFS($C$8:C56,C56,$E$8:E56,E56)=1),1,0)</f>
        <v>0</v>
      </c>
    </row>
    <row r="57" spans="1:29" ht="15" customHeight="1" x14ac:dyDescent="0.25">
      <c r="A57" s="25" t="str">
        <f t="shared" si="0"/>
        <v/>
      </c>
      <c r="B57" s="26"/>
      <c r="C57" s="27"/>
      <c r="D57" s="28" t="str">
        <f>IFERROR(IF(C57="","",INDEX(마스터!$F$4:$F$20,MATCH(C57,마스터!$M$4:$M$20,0))),"")</f>
        <v/>
      </c>
      <c r="E57" s="27"/>
      <c r="F57" s="29"/>
      <c r="G57" s="25" t="str">
        <f>IFERROR(IF(C57="","",INDEX(마스터!$J$4:$J$20,MATCH(C57,마스터!$M$4:$M$20,0))),"")</f>
        <v/>
      </c>
      <c r="H57" s="30"/>
      <c r="I57" s="30"/>
      <c r="AC57" s="32">
        <f>IF(AND(E57&lt;&gt;"",C57&lt;&gt;"",COUNTIFS($C$8:C57,C57,$E$8:E57,E57)=1),1,0)</f>
        <v>0</v>
      </c>
    </row>
    <row r="58" spans="1:29" ht="15" customHeight="1" x14ac:dyDescent="0.25">
      <c r="A58" s="25" t="str">
        <f t="shared" si="0"/>
        <v/>
      </c>
      <c r="B58" s="26"/>
      <c r="C58" s="27"/>
      <c r="D58" s="28" t="str">
        <f>IFERROR(IF(C58="","",INDEX(마스터!$F$4:$F$20,MATCH(C58,마스터!$M$4:$M$20,0))),"")</f>
        <v/>
      </c>
      <c r="E58" s="27"/>
      <c r="F58" s="29"/>
      <c r="G58" s="25" t="str">
        <f>IFERROR(IF(C58="","",INDEX(마스터!$J$4:$J$20,MATCH(C58,마스터!$M$4:$M$20,0))),"")</f>
        <v/>
      </c>
      <c r="H58" s="30"/>
      <c r="I58" s="30"/>
      <c r="AC58" s="32">
        <f>IF(AND(E58&lt;&gt;"",C58&lt;&gt;"",COUNTIFS($C$8:C58,C58,$E$8:E58,E58)=1),1,0)</f>
        <v>0</v>
      </c>
    </row>
    <row r="59" spans="1:29" ht="15" customHeight="1" x14ac:dyDescent="0.25">
      <c r="A59" s="25" t="str">
        <f t="shared" si="0"/>
        <v/>
      </c>
      <c r="B59" s="26"/>
      <c r="C59" s="27"/>
      <c r="D59" s="28" t="str">
        <f>IFERROR(IF(C59="","",INDEX(마스터!$F$4:$F$20,MATCH(C59,마스터!$M$4:$M$20,0))),"")</f>
        <v/>
      </c>
      <c r="E59" s="27"/>
      <c r="F59" s="29"/>
      <c r="G59" s="25" t="str">
        <f>IFERROR(IF(C59="","",INDEX(마스터!$J$4:$J$20,MATCH(C59,마스터!$M$4:$M$20,0))),"")</f>
        <v/>
      </c>
      <c r="H59" s="30"/>
      <c r="I59" s="30"/>
      <c r="AC59" s="32">
        <f>IF(AND(E59&lt;&gt;"",C59&lt;&gt;"",COUNTIFS($C$8:C59,C59,$E$8:E59,E59)=1),1,0)</f>
        <v>0</v>
      </c>
    </row>
    <row r="60" spans="1:29" ht="15" customHeight="1" x14ac:dyDescent="0.25">
      <c r="A60" s="25" t="str">
        <f t="shared" si="0"/>
        <v/>
      </c>
      <c r="B60" s="26"/>
      <c r="C60" s="27"/>
      <c r="D60" s="28" t="str">
        <f>IFERROR(IF(C60="","",INDEX(마스터!$F$4:$F$20,MATCH(C60,마스터!$M$4:$M$20,0))),"")</f>
        <v/>
      </c>
      <c r="E60" s="27"/>
      <c r="F60" s="29"/>
      <c r="G60" s="25" t="str">
        <f>IFERROR(IF(C60="","",INDEX(마스터!$J$4:$J$20,MATCH(C60,마스터!$M$4:$M$20,0))),"")</f>
        <v/>
      </c>
      <c r="H60" s="30"/>
      <c r="I60" s="30"/>
      <c r="AC60" s="32">
        <f>IF(AND(E60&lt;&gt;"",C60&lt;&gt;"",COUNTIFS($C$8:C60,C60,$E$8:E60,E60)=1),1,0)</f>
        <v>0</v>
      </c>
    </row>
    <row r="61" spans="1:29" ht="15" customHeight="1" x14ac:dyDescent="0.25">
      <c r="A61" s="25" t="str">
        <f t="shared" si="0"/>
        <v/>
      </c>
      <c r="B61" s="26"/>
      <c r="C61" s="27"/>
      <c r="D61" s="28" t="str">
        <f>IFERROR(IF(C61="","",INDEX(마스터!$F$4:$F$20,MATCH(C61,마스터!$M$4:$M$20,0))),"")</f>
        <v/>
      </c>
      <c r="E61" s="27"/>
      <c r="F61" s="29"/>
      <c r="G61" s="25" t="str">
        <f>IFERROR(IF(C61="","",INDEX(마스터!$J$4:$J$20,MATCH(C61,마스터!$M$4:$M$20,0))),"")</f>
        <v/>
      </c>
      <c r="H61" s="30"/>
      <c r="I61" s="30"/>
      <c r="AC61" s="32">
        <f>IF(AND(E61&lt;&gt;"",C61&lt;&gt;"",COUNTIFS($C$8:C61,C61,$E$8:E61,E61)=1),1,0)</f>
        <v>0</v>
      </c>
    </row>
    <row r="62" spans="1:29" ht="15" customHeight="1" x14ac:dyDescent="0.25">
      <c r="A62" s="25" t="str">
        <f t="shared" si="0"/>
        <v/>
      </c>
      <c r="B62" s="26"/>
      <c r="C62" s="27"/>
      <c r="D62" s="28" t="str">
        <f>IFERROR(IF(C62="","",INDEX(마스터!$F$4:$F$20,MATCH(C62,마스터!$M$4:$M$20,0))),"")</f>
        <v/>
      </c>
      <c r="E62" s="27"/>
      <c r="F62" s="29"/>
      <c r="G62" s="25" t="str">
        <f>IFERROR(IF(C62="","",INDEX(마스터!$J$4:$J$20,MATCH(C62,마스터!$M$4:$M$20,0))),"")</f>
        <v/>
      </c>
      <c r="H62" s="30"/>
      <c r="I62" s="30"/>
      <c r="AC62" s="32">
        <f>IF(AND(E62&lt;&gt;"",C62&lt;&gt;"",COUNTIFS($C$8:C62,C62,$E$8:E62,E62)=1),1,0)</f>
        <v>0</v>
      </c>
    </row>
    <row r="63" spans="1:29" ht="15" customHeight="1" x14ac:dyDescent="0.25">
      <c r="A63" s="25" t="str">
        <f t="shared" si="0"/>
        <v/>
      </c>
      <c r="B63" s="26"/>
      <c r="C63" s="27"/>
      <c r="D63" s="28" t="str">
        <f>IFERROR(IF(C63="","",INDEX(마스터!$F$4:$F$20,MATCH(C63,마스터!$M$4:$M$20,0))),"")</f>
        <v/>
      </c>
      <c r="E63" s="27"/>
      <c r="F63" s="29"/>
      <c r="G63" s="25" t="str">
        <f>IFERROR(IF(C63="","",INDEX(마스터!$J$4:$J$20,MATCH(C63,마스터!$M$4:$M$20,0))),"")</f>
        <v/>
      </c>
      <c r="H63" s="30"/>
      <c r="I63" s="30"/>
      <c r="AC63" s="32">
        <f>IF(AND(E63&lt;&gt;"",C63&lt;&gt;"",COUNTIFS($C$8:C63,C63,$E$8:E63,E63)=1),1,0)</f>
        <v>0</v>
      </c>
    </row>
    <row r="64" spans="1:29" ht="15" customHeight="1" x14ac:dyDescent="0.25">
      <c r="A64" s="25" t="str">
        <f t="shared" si="0"/>
        <v/>
      </c>
      <c r="B64" s="26"/>
      <c r="C64" s="27"/>
      <c r="D64" s="28" t="str">
        <f>IFERROR(IF(C64="","",INDEX(마스터!$F$4:$F$20,MATCH(C64,마스터!$M$4:$M$20,0))),"")</f>
        <v/>
      </c>
      <c r="E64" s="27"/>
      <c r="F64" s="29"/>
      <c r="G64" s="25" t="str">
        <f>IFERROR(IF(C64="","",INDEX(마스터!$J$4:$J$20,MATCH(C64,마스터!$M$4:$M$20,0))),"")</f>
        <v/>
      </c>
      <c r="H64" s="30"/>
      <c r="I64" s="30"/>
      <c r="AC64" s="32">
        <f>IF(AND(E64&lt;&gt;"",C64&lt;&gt;"",COUNTIFS($C$8:C64,C64,$E$8:E64,E64)=1),1,0)</f>
        <v>0</v>
      </c>
    </row>
    <row r="65" spans="1:29" ht="15" customHeight="1" x14ac:dyDescent="0.25">
      <c r="A65" s="25" t="str">
        <f t="shared" si="0"/>
        <v/>
      </c>
      <c r="B65" s="26"/>
      <c r="C65" s="27"/>
      <c r="D65" s="28" t="str">
        <f>IFERROR(IF(C65="","",INDEX(마스터!$F$4:$F$20,MATCH(C65,마스터!$M$4:$M$20,0))),"")</f>
        <v/>
      </c>
      <c r="E65" s="27"/>
      <c r="F65" s="29"/>
      <c r="G65" s="25" t="str">
        <f>IFERROR(IF(C65="","",INDEX(마스터!$J$4:$J$20,MATCH(C65,마스터!$M$4:$M$20,0))),"")</f>
        <v/>
      </c>
      <c r="H65" s="30"/>
      <c r="I65" s="30"/>
      <c r="AC65" s="32">
        <f>IF(AND(E65&lt;&gt;"",C65&lt;&gt;"",COUNTIFS($C$8:C65,C65,$E$8:E65,E65)=1),1,0)</f>
        <v>0</v>
      </c>
    </row>
    <row r="66" spans="1:29" ht="15" customHeight="1" x14ac:dyDescent="0.25">
      <c r="A66" s="25" t="str">
        <f t="shared" si="0"/>
        <v/>
      </c>
      <c r="B66" s="26"/>
      <c r="C66" s="27"/>
      <c r="D66" s="28" t="str">
        <f>IFERROR(IF(C66="","",INDEX(마스터!$F$4:$F$20,MATCH(C66,마스터!$M$4:$M$20,0))),"")</f>
        <v/>
      </c>
      <c r="E66" s="27"/>
      <c r="F66" s="29"/>
      <c r="G66" s="25" t="str">
        <f>IFERROR(IF(C66="","",INDEX(마스터!$J$4:$J$20,MATCH(C66,마스터!$M$4:$M$20,0))),"")</f>
        <v/>
      </c>
      <c r="H66" s="30"/>
      <c r="I66" s="30"/>
      <c r="AC66" s="32">
        <f>IF(AND(E66&lt;&gt;"",C66&lt;&gt;"",COUNTIFS($C$8:C66,C66,$E$8:E66,E66)=1),1,0)</f>
        <v>0</v>
      </c>
    </row>
    <row r="67" spans="1:29" ht="15" customHeight="1" x14ac:dyDescent="0.25">
      <c r="A67" s="25" t="str">
        <f t="shared" si="0"/>
        <v/>
      </c>
      <c r="B67" s="26"/>
      <c r="C67" s="27"/>
      <c r="D67" s="28" t="str">
        <f>IFERROR(IF(C67="","",INDEX(마스터!$F$4:$F$20,MATCH(C67,마스터!$M$4:$M$20,0))),"")</f>
        <v/>
      </c>
      <c r="E67" s="27"/>
      <c r="F67" s="29"/>
      <c r="G67" s="25" t="str">
        <f>IFERROR(IF(C67="","",INDEX(마스터!$J$4:$J$20,MATCH(C67,마스터!$M$4:$M$20,0))),"")</f>
        <v/>
      </c>
      <c r="H67" s="30"/>
      <c r="I67" s="30"/>
      <c r="AC67" s="32">
        <f>IF(AND(E67&lt;&gt;"",C67&lt;&gt;"",COUNTIFS($C$8:C67,C67,$E$8:E67,E67)=1),1,0)</f>
        <v>0</v>
      </c>
    </row>
    <row r="68" spans="1:29" ht="15" customHeight="1" x14ac:dyDescent="0.25">
      <c r="A68" s="25" t="str">
        <f t="shared" si="0"/>
        <v/>
      </c>
      <c r="B68" s="26"/>
      <c r="C68" s="27"/>
      <c r="D68" s="28" t="str">
        <f>IFERROR(IF(C68="","",INDEX(마스터!$F$4:$F$20,MATCH(C68,마스터!$M$4:$M$20,0))),"")</f>
        <v/>
      </c>
      <c r="E68" s="27"/>
      <c r="F68" s="29"/>
      <c r="G68" s="25" t="str">
        <f>IFERROR(IF(C68="","",INDEX(마스터!$J$4:$J$20,MATCH(C68,마스터!$M$4:$M$20,0))),"")</f>
        <v/>
      </c>
      <c r="H68" s="30"/>
      <c r="I68" s="30"/>
      <c r="AC68" s="32">
        <f>IF(AND(E68&lt;&gt;"",C68&lt;&gt;"",COUNTIFS($C$8:C68,C68,$E$8:E68,E68)=1),1,0)</f>
        <v>0</v>
      </c>
    </row>
    <row r="69" spans="1:29" ht="15" customHeight="1" x14ac:dyDescent="0.25">
      <c r="A69" s="25" t="str">
        <f t="shared" si="0"/>
        <v/>
      </c>
      <c r="B69" s="26"/>
      <c r="C69" s="27"/>
      <c r="D69" s="28" t="str">
        <f>IFERROR(IF(C69="","",INDEX(마스터!$F$4:$F$20,MATCH(C69,마스터!$M$4:$M$20,0))),"")</f>
        <v/>
      </c>
      <c r="E69" s="27"/>
      <c r="F69" s="29"/>
      <c r="G69" s="25" t="str">
        <f>IFERROR(IF(C69="","",INDEX(마스터!$J$4:$J$20,MATCH(C69,마스터!$M$4:$M$20,0))),"")</f>
        <v/>
      </c>
      <c r="H69" s="30"/>
      <c r="I69" s="30"/>
      <c r="AC69" s="32">
        <f>IF(AND(E69&lt;&gt;"",C69&lt;&gt;"",COUNTIFS($C$8:C69,C69,$E$8:E69,E69)=1),1,0)</f>
        <v>0</v>
      </c>
    </row>
    <row r="70" spans="1:29" ht="15" customHeight="1" x14ac:dyDescent="0.25">
      <c r="A70" s="25" t="str">
        <f t="shared" si="0"/>
        <v/>
      </c>
      <c r="B70" s="26"/>
      <c r="C70" s="27"/>
      <c r="D70" s="28" t="str">
        <f>IFERROR(IF(C70="","",INDEX(마스터!$F$4:$F$20,MATCH(C70,마스터!$M$4:$M$20,0))),"")</f>
        <v/>
      </c>
      <c r="E70" s="27"/>
      <c r="F70" s="29"/>
      <c r="G70" s="25" t="str">
        <f>IFERROR(IF(C70="","",INDEX(마스터!$J$4:$J$20,MATCH(C70,마스터!$M$4:$M$20,0))),"")</f>
        <v/>
      </c>
      <c r="H70" s="30"/>
      <c r="I70" s="30"/>
      <c r="AC70" s="32">
        <f>IF(AND(E70&lt;&gt;"",C70&lt;&gt;"",COUNTIFS($C$8:C70,C70,$E$8:E70,E70)=1),1,0)</f>
        <v>0</v>
      </c>
    </row>
    <row r="71" spans="1:29" ht="15" customHeight="1" x14ac:dyDescent="0.25">
      <c r="A71" s="25" t="str">
        <f t="shared" si="0"/>
        <v/>
      </c>
      <c r="B71" s="26"/>
      <c r="C71" s="27"/>
      <c r="D71" s="28" t="str">
        <f>IFERROR(IF(C71="","",INDEX(마스터!$F$4:$F$20,MATCH(C71,마스터!$M$4:$M$20,0))),"")</f>
        <v/>
      </c>
      <c r="E71" s="27"/>
      <c r="F71" s="29"/>
      <c r="G71" s="25" t="str">
        <f>IFERROR(IF(C71="","",INDEX(마스터!$J$4:$J$20,MATCH(C71,마스터!$M$4:$M$20,0))),"")</f>
        <v/>
      </c>
      <c r="H71" s="30"/>
      <c r="I71" s="30"/>
      <c r="AC71" s="32">
        <f>IF(AND(E71&lt;&gt;"",C71&lt;&gt;"",COUNTIFS($C$8:C71,C71,$E$8:E71,E71)=1),1,0)</f>
        <v>0</v>
      </c>
    </row>
    <row r="72" spans="1:29" ht="15" customHeight="1" x14ac:dyDescent="0.25">
      <c r="A72" s="25" t="str">
        <f t="shared" ref="A72:A135" si="1">IF(B72="","",ROW()-7)</f>
        <v/>
      </c>
      <c r="B72" s="26"/>
      <c r="C72" s="27"/>
      <c r="D72" s="28" t="str">
        <f>IFERROR(IF(C72="","",INDEX(마스터!$F$4:$F$20,MATCH(C72,마스터!$M$4:$M$20,0))),"")</f>
        <v/>
      </c>
      <c r="E72" s="27"/>
      <c r="F72" s="29"/>
      <c r="G72" s="25" t="str">
        <f>IFERROR(IF(C72="","",INDEX(마스터!$J$4:$J$20,MATCH(C72,마스터!$M$4:$M$20,0))),"")</f>
        <v/>
      </c>
      <c r="H72" s="30"/>
      <c r="I72" s="30"/>
      <c r="AC72" s="32">
        <f>IF(AND(E72&lt;&gt;"",C72&lt;&gt;"",COUNTIFS($C$8:C72,C72,$E$8:E72,E72)=1),1,0)</f>
        <v>0</v>
      </c>
    </row>
    <row r="73" spans="1:29" ht="15" customHeight="1" x14ac:dyDescent="0.25">
      <c r="A73" s="25" t="str">
        <f t="shared" si="1"/>
        <v/>
      </c>
      <c r="B73" s="26"/>
      <c r="C73" s="27"/>
      <c r="D73" s="28" t="str">
        <f>IFERROR(IF(C73="","",INDEX(마스터!$F$4:$F$20,MATCH(C73,마스터!$M$4:$M$20,0))),"")</f>
        <v/>
      </c>
      <c r="E73" s="27"/>
      <c r="F73" s="29"/>
      <c r="G73" s="25" t="str">
        <f>IFERROR(IF(C73="","",INDEX(마스터!$J$4:$J$20,MATCH(C73,마스터!$M$4:$M$20,0))),"")</f>
        <v/>
      </c>
      <c r="H73" s="30"/>
      <c r="I73" s="30"/>
      <c r="AC73" s="32">
        <f>IF(AND(E73&lt;&gt;"",C73&lt;&gt;"",COUNTIFS($C$8:C73,C73,$E$8:E73,E73)=1),1,0)</f>
        <v>0</v>
      </c>
    </row>
    <row r="74" spans="1:29" ht="15" customHeight="1" x14ac:dyDescent="0.25">
      <c r="A74" s="25" t="str">
        <f t="shared" si="1"/>
        <v/>
      </c>
      <c r="B74" s="26"/>
      <c r="C74" s="27"/>
      <c r="D74" s="28" t="str">
        <f>IFERROR(IF(C74="","",INDEX(마스터!$F$4:$F$20,MATCH(C74,마스터!$M$4:$M$20,0))),"")</f>
        <v/>
      </c>
      <c r="E74" s="27"/>
      <c r="F74" s="29"/>
      <c r="G74" s="25" t="str">
        <f>IFERROR(IF(C74="","",INDEX(마스터!$J$4:$J$20,MATCH(C74,마스터!$M$4:$M$20,0))),"")</f>
        <v/>
      </c>
      <c r="H74" s="30"/>
      <c r="I74" s="30"/>
      <c r="AC74" s="32">
        <f>IF(AND(E74&lt;&gt;"",C74&lt;&gt;"",COUNTIFS($C$8:C74,C74,$E$8:E74,E74)=1),1,0)</f>
        <v>0</v>
      </c>
    </row>
    <row r="75" spans="1:29" ht="15" customHeight="1" x14ac:dyDescent="0.25">
      <c r="A75" s="25" t="str">
        <f t="shared" si="1"/>
        <v/>
      </c>
      <c r="B75" s="26"/>
      <c r="C75" s="27"/>
      <c r="D75" s="28" t="str">
        <f>IFERROR(IF(C75="","",INDEX(마스터!$F$4:$F$20,MATCH(C75,마스터!$M$4:$M$20,0))),"")</f>
        <v/>
      </c>
      <c r="E75" s="27"/>
      <c r="F75" s="29"/>
      <c r="G75" s="25" t="str">
        <f>IFERROR(IF(C75="","",INDEX(마스터!$J$4:$J$20,MATCH(C75,마스터!$M$4:$M$20,0))),"")</f>
        <v/>
      </c>
      <c r="H75" s="30"/>
      <c r="I75" s="30"/>
      <c r="AC75" s="32">
        <f>IF(AND(E75&lt;&gt;"",C75&lt;&gt;"",COUNTIFS($C$8:C75,C75,$E$8:E75,E75)=1),1,0)</f>
        <v>0</v>
      </c>
    </row>
    <row r="76" spans="1:29" ht="15" customHeight="1" x14ac:dyDescent="0.25">
      <c r="A76" s="25" t="str">
        <f t="shared" si="1"/>
        <v/>
      </c>
      <c r="B76" s="26"/>
      <c r="C76" s="27"/>
      <c r="D76" s="28" t="str">
        <f>IFERROR(IF(C76="","",INDEX(마스터!$F$4:$F$20,MATCH(C76,마스터!$M$4:$M$20,0))),"")</f>
        <v/>
      </c>
      <c r="E76" s="27"/>
      <c r="F76" s="29"/>
      <c r="G76" s="25" t="str">
        <f>IFERROR(IF(C76="","",INDEX(마스터!$J$4:$J$20,MATCH(C76,마스터!$M$4:$M$20,0))),"")</f>
        <v/>
      </c>
      <c r="H76" s="30"/>
      <c r="I76" s="30"/>
      <c r="AC76" s="32">
        <f>IF(AND(E76&lt;&gt;"",C76&lt;&gt;"",COUNTIFS($C$8:C76,C76,$E$8:E76,E76)=1),1,0)</f>
        <v>0</v>
      </c>
    </row>
    <row r="77" spans="1:29" ht="15" customHeight="1" x14ac:dyDescent="0.25">
      <c r="A77" s="25" t="str">
        <f t="shared" si="1"/>
        <v/>
      </c>
      <c r="B77" s="26"/>
      <c r="C77" s="27"/>
      <c r="D77" s="28" t="str">
        <f>IFERROR(IF(C77="","",INDEX(마스터!$F$4:$F$20,MATCH(C77,마스터!$M$4:$M$20,0))),"")</f>
        <v/>
      </c>
      <c r="E77" s="27"/>
      <c r="F77" s="29"/>
      <c r="G77" s="25" t="str">
        <f>IFERROR(IF(C77="","",INDEX(마스터!$J$4:$J$20,MATCH(C77,마스터!$M$4:$M$20,0))),"")</f>
        <v/>
      </c>
      <c r="H77" s="30"/>
      <c r="I77" s="30"/>
      <c r="AC77" s="32">
        <f>IF(AND(E77&lt;&gt;"",C77&lt;&gt;"",COUNTIFS($C$8:C77,C77,$E$8:E77,E77)=1),1,0)</f>
        <v>0</v>
      </c>
    </row>
    <row r="78" spans="1:29" ht="15" customHeight="1" x14ac:dyDescent="0.25">
      <c r="A78" s="25" t="str">
        <f t="shared" si="1"/>
        <v/>
      </c>
      <c r="B78" s="26"/>
      <c r="C78" s="27"/>
      <c r="D78" s="28" t="str">
        <f>IFERROR(IF(C78="","",INDEX(마스터!$F$4:$F$20,MATCH(C78,마스터!$M$4:$M$20,0))),"")</f>
        <v/>
      </c>
      <c r="E78" s="27"/>
      <c r="F78" s="29"/>
      <c r="G78" s="25" t="str">
        <f>IFERROR(IF(C78="","",INDEX(마스터!$J$4:$J$20,MATCH(C78,마스터!$M$4:$M$20,0))),"")</f>
        <v/>
      </c>
      <c r="H78" s="30"/>
      <c r="I78" s="30"/>
      <c r="AC78" s="32">
        <f>IF(AND(E78&lt;&gt;"",C78&lt;&gt;"",COUNTIFS($C$8:C78,C78,$E$8:E78,E78)=1),1,0)</f>
        <v>0</v>
      </c>
    </row>
    <row r="79" spans="1:29" ht="15" customHeight="1" x14ac:dyDescent="0.25">
      <c r="A79" s="25" t="str">
        <f t="shared" si="1"/>
        <v/>
      </c>
      <c r="B79" s="26"/>
      <c r="C79" s="27"/>
      <c r="D79" s="28" t="str">
        <f>IFERROR(IF(C79="","",INDEX(마스터!$F$4:$F$20,MATCH(C79,마스터!$M$4:$M$20,0))),"")</f>
        <v/>
      </c>
      <c r="E79" s="27"/>
      <c r="F79" s="29"/>
      <c r="G79" s="25" t="str">
        <f>IFERROR(IF(C79="","",INDEX(마스터!$J$4:$J$20,MATCH(C79,마스터!$M$4:$M$20,0))),"")</f>
        <v/>
      </c>
      <c r="H79" s="30"/>
      <c r="I79" s="30"/>
      <c r="AC79" s="32">
        <f>IF(AND(E79&lt;&gt;"",C79&lt;&gt;"",COUNTIFS($C$8:C79,C79,$E$8:E79,E79)=1),1,0)</f>
        <v>0</v>
      </c>
    </row>
    <row r="80" spans="1:29" ht="15" customHeight="1" x14ac:dyDescent="0.25">
      <c r="A80" s="25" t="str">
        <f t="shared" si="1"/>
        <v/>
      </c>
      <c r="B80" s="26"/>
      <c r="C80" s="27"/>
      <c r="D80" s="28" t="str">
        <f>IFERROR(IF(C80="","",INDEX(마스터!$F$4:$F$20,MATCH(C80,마스터!$M$4:$M$20,0))),"")</f>
        <v/>
      </c>
      <c r="E80" s="27"/>
      <c r="F80" s="29"/>
      <c r="G80" s="25" t="str">
        <f>IFERROR(IF(C80="","",INDEX(마스터!$J$4:$J$20,MATCH(C80,마스터!$M$4:$M$20,0))),"")</f>
        <v/>
      </c>
      <c r="H80" s="30"/>
      <c r="I80" s="30"/>
      <c r="AC80" s="32">
        <f>IF(AND(E80&lt;&gt;"",C80&lt;&gt;"",COUNTIFS($C$8:C80,C80,$E$8:E80,E80)=1),1,0)</f>
        <v>0</v>
      </c>
    </row>
    <row r="81" spans="1:29" ht="15" customHeight="1" x14ac:dyDescent="0.25">
      <c r="A81" s="25" t="str">
        <f t="shared" si="1"/>
        <v/>
      </c>
      <c r="B81" s="26"/>
      <c r="C81" s="27"/>
      <c r="D81" s="28" t="str">
        <f>IFERROR(IF(C81="","",INDEX(마스터!$F$4:$F$20,MATCH(C81,마스터!$M$4:$M$20,0))),"")</f>
        <v/>
      </c>
      <c r="E81" s="27"/>
      <c r="F81" s="29"/>
      <c r="G81" s="25" t="str">
        <f>IFERROR(IF(C81="","",INDEX(마스터!$J$4:$J$20,MATCH(C81,마스터!$M$4:$M$20,0))),"")</f>
        <v/>
      </c>
      <c r="H81" s="30"/>
      <c r="I81" s="30"/>
      <c r="AC81" s="32">
        <f>IF(AND(E81&lt;&gt;"",C81&lt;&gt;"",COUNTIFS($C$8:C81,C81,$E$8:E81,E81)=1),1,0)</f>
        <v>0</v>
      </c>
    </row>
    <row r="82" spans="1:29" ht="15" customHeight="1" x14ac:dyDescent="0.25">
      <c r="A82" s="25" t="str">
        <f t="shared" si="1"/>
        <v/>
      </c>
      <c r="B82" s="26"/>
      <c r="C82" s="27"/>
      <c r="D82" s="28" t="str">
        <f>IFERROR(IF(C82="","",INDEX(마스터!$F$4:$F$20,MATCH(C82,마스터!$M$4:$M$20,0))),"")</f>
        <v/>
      </c>
      <c r="E82" s="27"/>
      <c r="F82" s="29"/>
      <c r="G82" s="25" t="str">
        <f>IFERROR(IF(C82="","",INDEX(마스터!$J$4:$J$20,MATCH(C82,마스터!$M$4:$M$20,0))),"")</f>
        <v/>
      </c>
      <c r="H82" s="30"/>
      <c r="I82" s="30"/>
      <c r="AC82" s="32">
        <f>IF(AND(E82&lt;&gt;"",C82&lt;&gt;"",COUNTIFS($C$8:C82,C82,$E$8:E82,E82)=1),1,0)</f>
        <v>0</v>
      </c>
    </row>
    <row r="83" spans="1:29" ht="15" customHeight="1" x14ac:dyDescent="0.25">
      <c r="A83" s="25" t="str">
        <f t="shared" si="1"/>
        <v/>
      </c>
      <c r="B83" s="26"/>
      <c r="C83" s="27"/>
      <c r="D83" s="28" t="str">
        <f>IFERROR(IF(C83="","",INDEX(마스터!$F$4:$F$20,MATCH(C83,마스터!$M$4:$M$20,0))),"")</f>
        <v/>
      </c>
      <c r="E83" s="27"/>
      <c r="F83" s="29"/>
      <c r="G83" s="25" t="str">
        <f>IFERROR(IF(C83="","",INDEX(마스터!$J$4:$J$20,MATCH(C83,마스터!$M$4:$M$20,0))),"")</f>
        <v/>
      </c>
      <c r="H83" s="30"/>
      <c r="I83" s="30"/>
      <c r="AC83" s="32">
        <f>IF(AND(E83&lt;&gt;"",C83&lt;&gt;"",COUNTIFS($C$8:C83,C83,$E$8:E83,E83)=1),1,0)</f>
        <v>0</v>
      </c>
    </row>
    <row r="84" spans="1:29" ht="15" customHeight="1" x14ac:dyDescent="0.25">
      <c r="A84" s="25" t="str">
        <f t="shared" si="1"/>
        <v/>
      </c>
      <c r="B84" s="26"/>
      <c r="C84" s="27"/>
      <c r="D84" s="28" t="str">
        <f>IFERROR(IF(C84="","",INDEX(마스터!$F$4:$F$20,MATCH(C84,마스터!$M$4:$M$20,0))),"")</f>
        <v/>
      </c>
      <c r="E84" s="27"/>
      <c r="F84" s="29"/>
      <c r="G84" s="25" t="str">
        <f>IFERROR(IF(C84="","",INDEX(마스터!$J$4:$J$20,MATCH(C84,마스터!$M$4:$M$20,0))),"")</f>
        <v/>
      </c>
      <c r="H84" s="30"/>
      <c r="I84" s="30"/>
      <c r="AC84" s="32">
        <f>IF(AND(E84&lt;&gt;"",C84&lt;&gt;"",COUNTIFS($C$8:C84,C84,$E$8:E84,E84)=1),1,0)</f>
        <v>0</v>
      </c>
    </row>
    <row r="85" spans="1:29" ht="15" customHeight="1" x14ac:dyDescent="0.25">
      <c r="A85" s="25" t="str">
        <f t="shared" si="1"/>
        <v/>
      </c>
      <c r="B85" s="26"/>
      <c r="C85" s="27"/>
      <c r="D85" s="28" t="str">
        <f>IFERROR(IF(C85="","",INDEX(마스터!$F$4:$F$20,MATCH(C85,마스터!$M$4:$M$20,0))),"")</f>
        <v/>
      </c>
      <c r="E85" s="27"/>
      <c r="F85" s="29"/>
      <c r="G85" s="25" t="str">
        <f>IFERROR(IF(C85="","",INDEX(마스터!$J$4:$J$20,MATCH(C85,마스터!$M$4:$M$20,0))),"")</f>
        <v/>
      </c>
      <c r="H85" s="30"/>
      <c r="I85" s="30"/>
      <c r="AC85" s="32">
        <f>IF(AND(E85&lt;&gt;"",C85&lt;&gt;"",COUNTIFS($C$8:C85,C85,$E$8:E85,E85)=1),1,0)</f>
        <v>0</v>
      </c>
    </row>
    <row r="86" spans="1:29" ht="15" customHeight="1" x14ac:dyDescent="0.25">
      <c r="A86" s="25" t="str">
        <f t="shared" si="1"/>
        <v/>
      </c>
      <c r="B86" s="26"/>
      <c r="C86" s="27"/>
      <c r="D86" s="28" t="str">
        <f>IFERROR(IF(C86="","",INDEX(마스터!$F$4:$F$20,MATCH(C86,마스터!$M$4:$M$20,0))),"")</f>
        <v/>
      </c>
      <c r="E86" s="27"/>
      <c r="F86" s="29"/>
      <c r="G86" s="25" t="str">
        <f>IFERROR(IF(C86="","",INDEX(마스터!$J$4:$J$20,MATCH(C86,마스터!$M$4:$M$20,0))),"")</f>
        <v/>
      </c>
      <c r="H86" s="30"/>
      <c r="I86" s="30"/>
      <c r="AC86" s="32">
        <f>IF(AND(E86&lt;&gt;"",C86&lt;&gt;"",COUNTIFS($C$8:C86,C86,$E$8:E86,E86)=1),1,0)</f>
        <v>0</v>
      </c>
    </row>
    <row r="87" spans="1:29" ht="15" customHeight="1" x14ac:dyDescent="0.25">
      <c r="A87" s="25" t="str">
        <f t="shared" si="1"/>
        <v/>
      </c>
      <c r="B87" s="26"/>
      <c r="C87" s="27"/>
      <c r="D87" s="28" t="str">
        <f>IFERROR(IF(C87="","",INDEX(마스터!$F$4:$F$20,MATCH(C87,마스터!$M$4:$M$20,0))),"")</f>
        <v/>
      </c>
      <c r="E87" s="27"/>
      <c r="F87" s="29"/>
      <c r="G87" s="25" t="str">
        <f>IFERROR(IF(C87="","",INDEX(마스터!$J$4:$J$20,MATCH(C87,마스터!$M$4:$M$20,0))),"")</f>
        <v/>
      </c>
      <c r="H87" s="30"/>
      <c r="I87" s="30"/>
      <c r="AC87" s="32">
        <f>IF(AND(E87&lt;&gt;"",C87&lt;&gt;"",COUNTIFS($C$8:C87,C87,$E$8:E87,E87)=1),1,0)</f>
        <v>0</v>
      </c>
    </row>
    <row r="88" spans="1:29" ht="15" customHeight="1" x14ac:dyDescent="0.25">
      <c r="A88" s="25" t="str">
        <f t="shared" si="1"/>
        <v/>
      </c>
      <c r="B88" s="26"/>
      <c r="C88" s="27"/>
      <c r="D88" s="28" t="str">
        <f>IFERROR(IF(C88="","",INDEX(마스터!$F$4:$F$20,MATCH(C88,마스터!$M$4:$M$20,0))),"")</f>
        <v/>
      </c>
      <c r="E88" s="27"/>
      <c r="F88" s="29"/>
      <c r="G88" s="25" t="str">
        <f>IFERROR(IF(C88="","",INDEX(마스터!$J$4:$J$20,MATCH(C88,마스터!$M$4:$M$20,0))),"")</f>
        <v/>
      </c>
      <c r="H88" s="30"/>
      <c r="I88" s="30"/>
      <c r="AC88" s="32">
        <f>IF(AND(E88&lt;&gt;"",C88&lt;&gt;"",COUNTIFS($C$8:C88,C88,$E$8:E88,E88)=1),1,0)</f>
        <v>0</v>
      </c>
    </row>
    <row r="89" spans="1:29" ht="15" customHeight="1" x14ac:dyDescent="0.25">
      <c r="A89" s="25" t="str">
        <f t="shared" si="1"/>
        <v/>
      </c>
      <c r="B89" s="26"/>
      <c r="C89" s="27"/>
      <c r="D89" s="28" t="str">
        <f>IFERROR(IF(C89="","",INDEX(마스터!$F$4:$F$20,MATCH(C89,마스터!$M$4:$M$20,0))),"")</f>
        <v/>
      </c>
      <c r="E89" s="27"/>
      <c r="F89" s="29"/>
      <c r="G89" s="25" t="str">
        <f>IFERROR(IF(C89="","",INDEX(마스터!$J$4:$J$20,MATCH(C89,마스터!$M$4:$M$20,0))),"")</f>
        <v/>
      </c>
      <c r="H89" s="30"/>
      <c r="I89" s="30"/>
      <c r="AC89" s="32">
        <f>IF(AND(E89&lt;&gt;"",C89&lt;&gt;"",COUNTIFS($C$8:C89,C89,$E$8:E89,E89)=1),1,0)</f>
        <v>0</v>
      </c>
    </row>
    <row r="90" spans="1:29" ht="15" customHeight="1" x14ac:dyDescent="0.25">
      <c r="A90" s="25" t="str">
        <f t="shared" si="1"/>
        <v/>
      </c>
      <c r="B90" s="26"/>
      <c r="C90" s="27"/>
      <c r="D90" s="28" t="str">
        <f>IFERROR(IF(C90="","",INDEX(마스터!$F$4:$F$20,MATCH(C90,마스터!$M$4:$M$20,0))),"")</f>
        <v/>
      </c>
      <c r="E90" s="27"/>
      <c r="F90" s="29"/>
      <c r="G90" s="25" t="str">
        <f>IFERROR(IF(C90="","",INDEX(마스터!$J$4:$J$20,MATCH(C90,마스터!$M$4:$M$20,0))),"")</f>
        <v/>
      </c>
      <c r="H90" s="30"/>
      <c r="I90" s="30"/>
      <c r="AC90" s="32">
        <f>IF(AND(E90&lt;&gt;"",C90&lt;&gt;"",COUNTIFS($C$8:C90,C90,$E$8:E90,E90)=1),1,0)</f>
        <v>0</v>
      </c>
    </row>
    <row r="91" spans="1:29" ht="15" customHeight="1" x14ac:dyDescent="0.25">
      <c r="A91" s="25" t="str">
        <f t="shared" si="1"/>
        <v/>
      </c>
      <c r="B91" s="26"/>
      <c r="C91" s="27"/>
      <c r="D91" s="28" t="str">
        <f>IFERROR(IF(C91="","",INDEX(마스터!$F$4:$F$20,MATCH(C91,마스터!$M$4:$M$20,0))),"")</f>
        <v/>
      </c>
      <c r="E91" s="27"/>
      <c r="F91" s="29"/>
      <c r="G91" s="25" t="str">
        <f>IFERROR(IF(C91="","",INDEX(마스터!$J$4:$J$20,MATCH(C91,마스터!$M$4:$M$20,0))),"")</f>
        <v/>
      </c>
      <c r="H91" s="30"/>
      <c r="I91" s="30"/>
      <c r="AC91" s="32">
        <f>IF(AND(E91&lt;&gt;"",C91&lt;&gt;"",COUNTIFS($C$8:C91,C91,$E$8:E91,E91)=1),1,0)</f>
        <v>0</v>
      </c>
    </row>
    <row r="92" spans="1:29" ht="15" customHeight="1" x14ac:dyDescent="0.25">
      <c r="A92" s="25" t="str">
        <f t="shared" si="1"/>
        <v/>
      </c>
      <c r="B92" s="26"/>
      <c r="C92" s="27"/>
      <c r="D92" s="28" t="str">
        <f>IFERROR(IF(C92="","",INDEX(마스터!$F$4:$F$20,MATCH(C92,마스터!$M$4:$M$20,0))),"")</f>
        <v/>
      </c>
      <c r="E92" s="27"/>
      <c r="F92" s="29"/>
      <c r="G92" s="25" t="str">
        <f>IFERROR(IF(C92="","",INDEX(마스터!$J$4:$J$20,MATCH(C92,마스터!$M$4:$M$20,0))),"")</f>
        <v/>
      </c>
      <c r="H92" s="30"/>
      <c r="I92" s="30"/>
      <c r="AC92" s="32">
        <f>IF(AND(E92&lt;&gt;"",C92&lt;&gt;"",COUNTIFS($C$8:C92,C92,$E$8:E92,E92)=1),1,0)</f>
        <v>0</v>
      </c>
    </row>
    <row r="93" spans="1:29" ht="15" customHeight="1" x14ac:dyDescent="0.25">
      <c r="A93" s="25" t="str">
        <f t="shared" si="1"/>
        <v/>
      </c>
      <c r="B93" s="26"/>
      <c r="C93" s="27"/>
      <c r="D93" s="28" t="str">
        <f>IFERROR(IF(C93="","",INDEX(마스터!$F$4:$F$20,MATCH(C93,마스터!$M$4:$M$20,0))),"")</f>
        <v/>
      </c>
      <c r="E93" s="27"/>
      <c r="F93" s="29"/>
      <c r="G93" s="25" t="str">
        <f>IFERROR(IF(C93="","",INDEX(마스터!$J$4:$J$20,MATCH(C93,마스터!$M$4:$M$20,0))),"")</f>
        <v/>
      </c>
      <c r="H93" s="30"/>
      <c r="I93" s="30"/>
      <c r="AC93" s="32">
        <f>IF(AND(E93&lt;&gt;"",C93&lt;&gt;"",COUNTIFS($C$8:C93,C93,$E$8:E93,E93)=1),1,0)</f>
        <v>0</v>
      </c>
    </row>
    <row r="94" spans="1:29" ht="15" customHeight="1" x14ac:dyDescent="0.25">
      <c r="A94" s="25" t="str">
        <f t="shared" si="1"/>
        <v/>
      </c>
      <c r="B94" s="26"/>
      <c r="C94" s="27"/>
      <c r="D94" s="28" t="str">
        <f>IFERROR(IF(C94="","",INDEX(마스터!$F$4:$F$20,MATCH(C94,마스터!$M$4:$M$20,0))),"")</f>
        <v/>
      </c>
      <c r="E94" s="27"/>
      <c r="F94" s="29"/>
      <c r="G94" s="25" t="str">
        <f>IFERROR(IF(C94="","",INDEX(마스터!$J$4:$J$20,MATCH(C94,마스터!$M$4:$M$20,0))),"")</f>
        <v/>
      </c>
      <c r="H94" s="30"/>
      <c r="I94" s="30"/>
      <c r="AC94" s="32">
        <f>IF(AND(E94&lt;&gt;"",C94&lt;&gt;"",COUNTIFS($C$8:C94,C94,$E$8:E94,E94)=1),1,0)</f>
        <v>0</v>
      </c>
    </row>
    <row r="95" spans="1:29" ht="15" customHeight="1" x14ac:dyDescent="0.25">
      <c r="A95" s="25" t="str">
        <f t="shared" si="1"/>
        <v/>
      </c>
      <c r="B95" s="26"/>
      <c r="C95" s="27"/>
      <c r="D95" s="28" t="str">
        <f>IFERROR(IF(C95="","",INDEX(마스터!$F$4:$F$20,MATCH(C95,마스터!$M$4:$M$20,0))),"")</f>
        <v/>
      </c>
      <c r="E95" s="27"/>
      <c r="F95" s="29"/>
      <c r="G95" s="25" t="str">
        <f>IFERROR(IF(C95="","",INDEX(마스터!$J$4:$J$20,MATCH(C95,마스터!$M$4:$M$20,0))),"")</f>
        <v/>
      </c>
      <c r="H95" s="30"/>
      <c r="I95" s="30"/>
      <c r="AC95" s="32">
        <f>IF(AND(E95&lt;&gt;"",C95&lt;&gt;"",COUNTIFS($C$8:C95,C95,$E$8:E95,E95)=1),1,0)</f>
        <v>0</v>
      </c>
    </row>
    <row r="96" spans="1:29" ht="15" customHeight="1" x14ac:dyDescent="0.25">
      <c r="A96" s="25" t="str">
        <f t="shared" si="1"/>
        <v/>
      </c>
      <c r="B96" s="26"/>
      <c r="C96" s="27"/>
      <c r="D96" s="28" t="str">
        <f>IFERROR(IF(C96="","",INDEX(마스터!$F$4:$F$20,MATCH(C96,마스터!$M$4:$M$20,0))),"")</f>
        <v/>
      </c>
      <c r="E96" s="27"/>
      <c r="F96" s="29"/>
      <c r="G96" s="25" t="str">
        <f>IFERROR(IF(C96="","",INDEX(마스터!$J$4:$J$20,MATCH(C96,마스터!$M$4:$M$20,0))),"")</f>
        <v/>
      </c>
      <c r="H96" s="30"/>
      <c r="I96" s="30"/>
      <c r="AC96" s="32">
        <f>IF(AND(E96&lt;&gt;"",C96&lt;&gt;"",COUNTIFS($C$8:C96,C96,$E$8:E96,E96)=1),1,0)</f>
        <v>0</v>
      </c>
    </row>
    <row r="97" spans="1:29" ht="15" customHeight="1" x14ac:dyDescent="0.25">
      <c r="A97" s="25" t="str">
        <f t="shared" si="1"/>
        <v/>
      </c>
      <c r="B97" s="26"/>
      <c r="C97" s="27"/>
      <c r="D97" s="28" t="str">
        <f>IFERROR(IF(C97="","",INDEX(마스터!$F$4:$F$20,MATCH(C97,마스터!$M$4:$M$20,0))),"")</f>
        <v/>
      </c>
      <c r="E97" s="27"/>
      <c r="F97" s="29"/>
      <c r="G97" s="25" t="str">
        <f>IFERROR(IF(C97="","",INDEX(마스터!$J$4:$J$20,MATCH(C97,마스터!$M$4:$M$20,0))),"")</f>
        <v/>
      </c>
      <c r="H97" s="30"/>
      <c r="I97" s="30"/>
      <c r="AC97" s="32">
        <f>IF(AND(E97&lt;&gt;"",C97&lt;&gt;"",COUNTIFS($C$8:C97,C97,$E$8:E97,E97)=1),1,0)</f>
        <v>0</v>
      </c>
    </row>
    <row r="98" spans="1:29" ht="15" customHeight="1" x14ac:dyDescent="0.25">
      <c r="A98" s="25" t="str">
        <f t="shared" si="1"/>
        <v/>
      </c>
      <c r="B98" s="26"/>
      <c r="C98" s="27"/>
      <c r="D98" s="28" t="str">
        <f>IFERROR(IF(C98="","",INDEX(마스터!$F$4:$F$20,MATCH(C98,마스터!$M$4:$M$20,0))),"")</f>
        <v/>
      </c>
      <c r="E98" s="27"/>
      <c r="F98" s="29"/>
      <c r="G98" s="25" t="str">
        <f>IFERROR(IF(C98="","",INDEX(마스터!$J$4:$J$20,MATCH(C98,마스터!$M$4:$M$20,0))),"")</f>
        <v/>
      </c>
      <c r="H98" s="30"/>
      <c r="I98" s="30"/>
      <c r="AC98" s="32">
        <f>IF(AND(E98&lt;&gt;"",C98&lt;&gt;"",COUNTIFS($C$8:C98,C98,$E$8:E98,E98)=1),1,0)</f>
        <v>0</v>
      </c>
    </row>
    <row r="99" spans="1:29" ht="15" customHeight="1" x14ac:dyDescent="0.25">
      <c r="A99" s="25" t="str">
        <f t="shared" si="1"/>
        <v/>
      </c>
      <c r="B99" s="26"/>
      <c r="C99" s="27"/>
      <c r="D99" s="28" t="str">
        <f>IFERROR(IF(C99="","",INDEX(마스터!$F$4:$F$20,MATCH(C99,마스터!$M$4:$M$20,0))),"")</f>
        <v/>
      </c>
      <c r="E99" s="27"/>
      <c r="F99" s="29"/>
      <c r="G99" s="25" t="str">
        <f>IFERROR(IF(C99="","",INDEX(마스터!$J$4:$J$20,MATCH(C99,마스터!$M$4:$M$20,0))),"")</f>
        <v/>
      </c>
      <c r="H99" s="30"/>
      <c r="I99" s="30"/>
      <c r="AC99" s="32">
        <f>IF(AND(E99&lt;&gt;"",C99&lt;&gt;"",COUNTIFS($C$8:C99,C99,$E$8:E99,E99)=1),1,0)</f>
        <v>0</v>
      </c>
    </row>
    <row r="100" spans="1:29" ht="15" customHeight="1" x14ac:dyDescent="0.25">
      <c r="A100" s="25" t="str">
        <f t="shared" si="1"/>
        <v/>
      </c>
      <c r="B100" s="26"/>
      <c r="C100" s="27"/>
      <c r="D100" s="28" t="str">
        <f>IFERROR(IF(C100="","",INDEX(마스터!$F$4:$F$20,MATCH(C100,마스터!$M$4:$M$20,0))),"")</f>
        <v/>
      </c>
      <c r="E100" s="27"/>
      <c r="F100" s="29"/>
      <c r="G100" s="25" t="str">
        <f>IFERROR(IF(C100="","",INDEX(마스터!$J$4:$J$20,MATCH(C100,마스터!$M$4:$M$20,0))),"")</f>
        <v/>
      </c>
      <c r="H100" s="30"/>
      <c r="I100" s="30"/>
      <c r="AC100" s="32">
        <f>IF(AND(E100&lt;&gt;"",C100&lt;&gt;"",COUNTIFS($C$8:C100,C100,$E$8:E100,E100)=1),1,0)</f>
        <v>0</v>
      </c>
    </row>
    <row r="101" spans="1:29" ht="15" customHeight="1" x14ac:dyDescent="0.25">
      <c r="A101" s="25" t="str">
        <f t="shared" si="1"/>
        <v/>
      </c>
      <c r="B101" s="26"/>
      <c r="C101" s="27"/>
      <c r="D101" s="28" t="str">
        <f>IFERROR(IF(C101="","",INDEX(마스터!$F$4:$F$20,MATCH(C101,마스터!$M$4:$M$20,0))),"")</f>
        <v/>
      </c>
      <c r="E101" s="27"/>
      <c r="F101" s="29"/>
      <c r="G101" s="25" t="str">
        <f>IFERROR(IF(C101="","",INDEX(마스터!$J$4:$J$20,MATCH(C101,마스터!$M$4:$M$20,0))),"")</f>
        <v/>
      </c>
      <c r="H101" s="30"/>
      <c r="I101" s="30"/>
      <c r="AC101" s="32">
        <f>IF(AND(E101&lt;&gt;"",C101&lt;&gt;"",COUNTIFS($C$8:C101,C101,$E$8:E101,E101)=1),1,0)</f>
        <v>0</v>
      </c>
    </row>
    <row r="102" spans="1:29" ht="15" customHeight="1" x14ac:dyDescent="0.25">
      <c r="A102" s="25" t="str">
        <f t="shared" si="1"/>
        <v/>
      </c>
      <c r="B102" s="26"/>
      <c r="C102" s="27"/>
      <c r="D102" s="28" t="str">
        <f>IFERROR(IF(C102="","",INDEX(마스터!$F$4:$F$20,MATCH(C102,마스터!$M$4:$M$20,0))),"")</f>
        <v/>
      </c>
      <c r="E102" s="27"/>
      <c r="F102" s="29"/>
      <c r="G102" s="25" t="str">
        <f>IFERROR(IF(C102="","",INDEX(마스터!$J$4:$J$20,MATCH(C102,마스터!$M$4:$M$20,0))),"")</f>
        <v/>
      </c>
      <c r="H102" s="30"/>
      <c r="I102" s="30"/>
      <c r="AC102" s="32">
        <f>IF(AND(E102&lt;&gt;"",C102&lt;&gt;"",COUNTIFS($C$8:C102,C102,$E$8:E102,E102)=1),1,0)</f>
        <v>0</v>
      </c>
    </row>
    <row r="103" spans="1:29" ht="15" customHeight="1" x14ac:dyDescent="0.25">
      <c r="A103" s="25" t="str">
        <f t="shared" si="1"/>
        <v/>
      </c>
      <c r="B103" s="26"/>
      <c r="C103" s="27"/>
      <c r="D103" s="28" t="str">
        <f>IFERROR(IF(C103="","",INDEX(마스터!$F$4:$F$20,MATCH(C103,마스터!$M$4:$M$20,0))),"")</f>
        <v/>
      </c>
      <c r="E103" s="27"/>
      <c r="F103" s="29"/>
      <c r="G103" s="25" t="str">
        <f>IFERROR(IF(C103="","",INDEX(마스터!$J$4:$J$20,MATCH(C103,마스터!$M$4:$M$20,0))),"")</f>
        <v/>
      </c>
      <c r="H103" s="30"/>
      <c r="I103" s="30"/>
      <c r="AC103" s="32">
        <f>IF(AND(E103&lt;&gt;"",C103&lt;&gt;"",COUNTIFS($C$8:C103,C103,$E$8:E103,E103)=1),1,0)</f>
        <v>0</v>
      </c>
    </row>
    <row r="104" spans="1:29" ht="15" customHeight="1" x14ac:dyDescent="0.25">
      <c r="A104" s="25" t="str">
        <f t="shared" si="1"/>
        <v/>
      </c>
      <c r="B104" s="26"/>
      <c r="C104" s="27"/>
      <c r="D104" s="28" t="str">
        <f>IFERROR(IF(C104="","",INDEX(마스터!$F$4:$F$20,MATCH(C104,마스터!$M$4:$M$20,0))),"")</f>
        <v/>
      </c>
      <c r="E104" s="27"/>
      <c r="F104" s="29"/>
      <c r="G104" s="25" t="str">
        <f>IFERROR(IF(C104="","",INDEX(마스터!$J$4:$J$20,MATCH(C104,마스터!$M$4:$M$20,0))),"")</f>
        <v/>
      </c>
      <c r="H104" s="30"/>
      <c r="I104" s="30"/>
      <c r="AC104" s="32">
        <f>IF(AND(E104&lt;&gt;"",C104&lt;&gt;"",COUNTIFS($C$8:C104,C104,$E$8:E104,E104)=1),1,0)</f>
        <v>0</v>
      </c>
    </row>
    <row r="105" spans="1:29" ht="15" customHeight="1" x14ac:dyDescent="0.25">
      <c r="A105" s="25" t="str">
        <f t="shared" si="1"/>
        <v/>
      </c>
      <c r="B105" s="26"/>
      <c r="C105" s="27"/>
      <c r="D105" s="28" t="str">
        <f>IFERROR(IF(C105="","",INDEX(마스터!$F$4:$F$20,MATCH(C105,마스터!$M$4:$M$20,0))),"")</f>
        <v/>
      </c>
      <c r="E105" s="27"/>
      <c r="F105" s="29"/>
      <c r="G105" s="25" t="str">
        <f>IFERROR(IF(C105="","",INDEX(마스터!$J$4:$J$20,MATCH(C105,마스터!$M$4:$M$20,0))),"")</f>
        <v/>
      </c>
      <c r="H105" s="30"/>
      <c r="I105" s="30"/>
      <c r="AC105" s="32">
        <f>IF(AND(E105&lt;&gt;"",C105&lt;&gt;"",COUNTIFS($C$8:C105,C105,$E$8:E105,E105)=1),1,0)</f>
        <v>0</v>
      </c>
    </row>
    <row r="106" spans="1:29" ht="15" customHeight="1" x14ac:dyDescent="0.25">
      <c r="A106" s="25" t="str">
        <f t="shared" si="1"/>
        <v/>
      </c>
      <c r="B106" s="26"/>
      <c r="C106" s="27"/>
      <c r="D106" s="28" t="str">
        <f>IFERROR(IF(C106="","",INDEX(마스터!$F$4:$F$20,MATCH(C106,마스터!$M$4:$M$20,0))),"")</f>
        <v/>
      </c>
      <c r="E106" s="27"/>
      <c r="F106" s="29"/>
      <c r="G106" s="25" t="str">
        <f>IFERROR(IF(C106="","",INDEX(마스터!$J$4:$J$20,MATCH(C106,마스터!$M$4:$M$20,0))),"")</f>
        <v/>
      </c>
      <c r="H106" s="30"/>
      <c r="I106" s="30"/>
      <c r="AC106" s="32">
        <f>IF(AND(E106&lt;&gt;"",C106&lt;&gt;"",COUNTIFS($C$8:C106,C106,$E$8:E106,E106)=1),1,0)</f>
        <v>0</v>
      </c>
    </row>
    <row r="107" spans="1:29" ht="15" customHeight="1" x14ac:dyDescent="0.25">
      <c r="A107" s="25" t="str">
        <f t="shared" si="1"/>
        <v/>
      </c>
      <c r="B107" s="26"/>
      <c r="C107" s="27"/>
      <c r="D107" s="28" t="str">
        <f>IFERROR(IF(C107="","",INDEX(마스터!$F$4:$F$20,MATCH(C107,마스터!$M$4:$M$20,0))),"")</f>
        <v/>
      </c>
      <c r="E107" s="27"/>
      <c r="F107" s="29"/>
      <c r="G107" s="25" t="str">
        <f>IFERROR(IF(C107="","",INDEX(마스터!$J$4:$J$20,MATCH(C107,마스터!$M$4:$M$20,0))),"")</f>
        <v/>
      </c>
      <c r="H107" s="30"/>
      <c r="I107" s="30"/>
      <c r="AC107" s="32">
        <f>IF(AND(E107&lt;&gt;"",C107&lt;&gt;"",COUNTIFS($C$8:C107,C107,$E$8:E107,E107)=1),1,0)</f>
        <v>0</v>
      </c>
    </row>
    <row r="108" spans="1:29" ht="15" customHeight="1" x14ac:dyDescent="0.25">
      <c r="A108" s="25" t="str">
        <f t="shared" si="1"/>
        <v/>
      </c>
      <c r="B108" s="26"/>
      <c r="C108" s="27"/>
      <c r="D108" s="28" t="str">
        <f>IFERROR(IF(C108="","",INDEX(마스터!$F$4:$F$20,MATCH(C108,마스터!$M$4:$M$20,0))),"")</f>
        <v/>
      </c>
      <c r="E108" s="27"/>
      <c r="F108" s="29"/>
      <c r="G108" s="25" t="str">
        <f>IFERROR(IF(C108="","",INDEX(마스터!$J$4:$J$20,MATCH(C108,마스터!$M$4:$M$20,0))),"")</f>
        <v/>
      </c>
      <c r="H108" s="30"/>
      <c r="I108" s="30"/>
      <c r="AC108" s="32">
        <f>IF(AND(E108&lt;&gt;"",C108&lt;&gt;"",COUNTIFS($C$8:C108,C108,$E$8:E108,E108)=1),1,0)</f>
        <v>0</v>
      </c>
    </row>
    <row r="109" spans="1:29" ht="15" customHeight="1" x14ac:dyDescent="0.25">
      <c r="A109" s="25" t="str">
        <f t="shared" si="1"/>
        <v/>
      </c>
      <c r="B109" s="26"/>
      <c r="C109" s="27"/>
      <c r="D109" s="28" t="str">
        <f>IFERROR(IF(C109="","",INDEX(마스터!$F$4:$F$20,MATCH(C109,마스터!$M$4:$M$20,0))),"")</f>
        <v/>
      </c>
      <c r="E109" s="27"/>
      <c r="F109" s="29"/>
      <c r="G109" s="25" t="str">
        <f>IFERROR(IF(C109="","",INDEX(마스터!$J$4:$J$20,MATCH(C109,마스터!$M$4:$M$20,0))),"")</f>
        <v/>
      </c>
      <c r="H109" s="30"/>
      <c r="I109" s="30"/>
      <c r="AC109" s="32">
        <f>IF(AND(E109&lt;&gt;"",C109&lt;&gt;"",COUNTIFS($C$8:C109,C109,$E$8:E109,E109)=1),1,0)</f>
        <v>0</v>
      </c>
    </row>
    <row r="110" spans="1:29" ht="15" customHeight="1" x14ac:dyDescent="0.25">
      <c r="A110" s="25" t="str">
        <f t="shared" si="1"/>
        <v/>
      </c>
      <c r="B110" s="26"/>
      <c r="C110" s="27"/>
      <c r="D110" s="28" t="str">
        <f>IFERROR(IF(C110="","",INDEX(마스터!$F$4:$F$20,MATCH(C110,마스터!$M$4:$M$20,0))),"")</f>
        <v/>
      </c>
      <c r="E110" s="27"/>
      <c r="F110" s="29"/>
      <c r="G110" s="25" t="str">
        <f>IFERROR(IF(C110="","",INDEX(마스터!$J$4:$J$20,MATCH(C110,마스터!$M$4:$M$20,0))),"")</f>
        <v/>
      </c>
      <c r="H110" s="30"/>
      <c r="I110" s="30"/>
      <c r="AC110" s="32">
        <f>IF(AND(E110&lt;&gt;"",C110&lt;&gt;"",COUNTIFS($C$8:C110,C110,$E$8:E110,E110)=1),1,0)</f>
        <v>0</v>
      </c>
    </row>
    <row r="111" spans="1:29" ht="15" customHeight="1" x14ac:dyDescent="0.25">
      <c r="A111" s="25" t="str">
        <f t="shared" si="1"/>
        <v/>
      </c>
      <c r="B111" s="26"/>
      <c r="C111" s="27"/>
      <c r="D111" s="28" t="str">
        <f>IFERROR(IF(C111="","",INDEX(마스터!$F$4:$F$20,MATCH(C111,마스터!$M$4:$M$20,0))),"")</f>
        <v/>
      </c>
      <c r="E111" s="27"/>
      <c r="F111" s="29"/>
      <c r="G111" s="25" t="str">
        <f>IFERROR(IF(C111="","",INDEX(마스터!$J$4:$J$20,MATCH(C111,마스터!$M$4:$M$20,0))),"")</f>
        <v/>
      </c>
      <c r="H111" s="30"/>
      <c r="I111" s="30"/>
      <c r="AC111" s="32">
        <f>IF(AND(E111&lt;&gt;"",C111&lt;&gt;"",COUNTIFS($C$8:C111,C111,$E$8:E111,E111)=1),1,0)</f>
        <v>0</v>
      </c>
    </row>
    <row r="112" spans="1:29" ht="15" customHeight="1" x14ac:dyDescent="0.25">
      <c r="A112" s="25" t="str">
        <f t="shared" si="1"/>
        <v/>
      </c>
      <c r="B112" s="26"/>
      <c r="C112" s="27"/>
      <c r="D112" s="28" t="str">
        <f>IFERROR(IF(C112="","",INDEX(마스터!$F$4:$F$20,MATCH(C112,마스터!$M$4:$M$20,0))),"")</f>
        <v/>
      </c>
      <c r="E112" s="27"/>
      <c r="F112" s="29"/>
      <c r="G112" s="25" t="str">
        <f>IFERROR(IF(C112="","",INDEX(마스터!$J$4:$J$20,MATCH(C112,마스터!$M$4:$M$20,0))),"")</f>
        <v/>
      </c>
      <c r="H112" s="30"/>
      <c r="I112" s="30"/>
      <c r="AC112" s="32">
        <f>IF(AND(E112&lt;&gt;"",C112&lt;&gt;"",COUNTIFS($C$8:C112,C112,$E$8:E112,E112)=1),1,0)</f>
        <v>0</v>
      </c>
    </row>
    <row r="113" spans="1:29" ht="15" customHeight="1" x14ac:dyDescent="0.25">
      <c r="A113" s="25" t="str">
        <f t="shared" si="1"/>
        <v/>
      </c>
      <c r="B113" s="26"/>
      <c r="C113" s="27"/>
      <c r="D113" s="28" t="str">
        <f>IFERROR(IF(C113="","",INDEX(마스터!$F$4:$F$20,MATCH(C113,마스터!$M$4:$M$20,0))),"")</f>
        <v/>
      </c>
      <c r="E113" s="27"/>
      <c r="F113" s="29"/>
      <c r="G113" s="25" t="str">
        <f>IFERROR(IF(C113="","",INDEX(마스터!$J$4:$J$20,MATCH(C113,마스터!$M$4:$M$20,0))),"")</f>
        <v/>
      </c>
      <c r="H113" s="30"/>
      <c r="I113" s="30"/>
      <c r="AC113" s="32">
        <f>IF(AND(E113&lt;&gt;"",C113&lt;&gt;"",COUNTIFS($C$8:C113,C113,$E$8:E113,E113)=1),1,0)</f>
        <v>0</v>
      </c>
    </row>
    <row r="114" spans="1:29" ht="15" customHeight="1" x14ac:dyDescent="0.25">
      <c r="A114" s="25" t="str">
        <f t="shared" si="1"/>
        <v/>
      </c>
      <c r="B114" s="26"/>
      <c r="C114" s="27"/>
      <c r="D114" s="28" t="str">
        <f>IFERROR(IF(C114="","",INDEX(마스터!$F$4:$F$20,MATCH(C114,마스터!$M$4:$M$20,0))),"")</f>
        <v/>
      </c>
      <c r="E114" s="27"/>
      <c r="F114" s="29"/>
      <c r="G114" s="25" t="str">
        <f>IFERROR(IF(C114="","",INDEX(마스터!$J$4:$J$20,MATCH(C114,마스터!$M$4:$M$20,0))),"")</f>
        <v/>
      </c>
      <c r="H114" s="30"/>
      <c r="I114" s="30"/>
      <c r="AC114" s="32">
        <f>IF(AND(E114&lt;&gt;"",C114&lt;&gt;"",COUNTIFS($C$8:C114,C114,$E$8:E114,E114)=1),1,0)</f>
        <v>0</v>
      </c>
    </row>
    <row r="115" spans="1:29" ht="15" customHeight="1" x14ac:dyDescent="0.25">
      <c r="A115" s="25" t="str">
        <f t="shared" si="1"/>
        <v/>
      </c>
      <c r="B115" s="26"/>
      <c r="C115" s="27"/>
      <c r="D115" s="28" t="str">
        <f>IFERROR(IF(C115="","",INDEX(마스터!$F$4:$F$20,MATCH(C115,마스터!$M$4:$M$20,0))),"")</f>
        <v/>
      </c>
      <c r="E115" s="27"/>
      <c r="F115" s="29"/>
      <c r="G115" s="25" t="str">
        <f>IFERROR(IF(C115="","",INDEX(마스터!$J$4:$J$20,MATCH(C115,마스터!$M$4:$M$20,0))),"")</f>
        <v/>
      </c>
      <c r="H115" s="30"/>
      <c r="I115" s="30"/>
      <c r="AC115" s="32">
        <f>IF(AND(E115&lt;&gt;"",C115&lt;&gt;"",COUNTIFS($C$8:C115,C115,$E$8:E115,E115)=1),1,0)</f>
        <v>0</v>
      </c>
    </row>
    <row r="116" spans="1:29" ht="15" customHeight="1" x14ac:dyDescent="0.25">
      <c r="A116" s="25" t="str">
        <f t="shared" si="1"/>
        <v/>
      </c>
      <c r="B116" s="26"/>
      <c r="C116" s="27"/>
      <c r="D116" s="28" t="str">
        <f>IFERROR(IF(C116="","",INDEX(마스터!$F$4:$F$20,MATCH(C116,마스터!$M$4:$M$20,0))),"")</f>
        <v/>
      </c>
      <c r="E116" s="27"/>
      <c r="F116" s="29"/>
      <c r="G116" s="25" t="str">
        <f>IFERROR(IF(C116="","",INDEX(마스터!$J$4:$J$20,MATCH(C116,마스터!$M$4:$M$20,0))),"")</f>
        <v/>
      </c>
      <c r="H116" s="30"/>
      <c r="I116" s="30"/>
      <c r="AC116" s="32">
        <f>IF(AND(E116&lt;&gt;"",C116&lt;&gt;"",COUNTIFS($C$8:C116,C116,$E$8:E116,E116)=1),1,0)</f>
        <v>0</v>
      </c>
    </row>
    <row r="117" spans="1:29" ht="15" customHeight="1" x14ac:dyDescent="0.25">
      <c r="A117" s="25" t="str">
        <f t="shared" si="1"/>
        <v/>
      </c>
      <c r="B117" s="26"/>
      <c r="C117" s="27"/>
      <c r="D117" s="28" t="str">
        <f>IFERROR(IF(C117="","",INDEX(마스터!$F$4:$F$20,MATCH(C117,마스터!$M$4:$M$20,0))),"")</f>
        <v/>
      </c>
      <c r="E117" s="27"/>
      <c r="F117" s="29"/>
      <c r="G117" s="25" t="str">
        <f>IFERROR(IF(C117="","",INDEX(마스터!$J$4:$J$20,MATCH(C117,마스터!$M$4:$M$20,0))),"")</f>
        <v/>
      </c>
      <c r="H117" s="30"/>
      <c r="I117" s="30"/>
      <c r="AC117" s="32">
        <f>IF(AND(E117&lt;&gt;"",C117&lt;&gt;"",COUNTIFS($C$8:C117,C117,$E$8:E117,E117)=1),1,0)</f>
        <v>0</v>
      </c>
    </row>
    <row r="118" spans="1:29" ht="15" customHeight="1" x14ac:dyDescent="0.25">
      <c r="A118" s="25" t="str">
        <f t="shared" si="1"/>
        <v/>
      </c>
      <c r="B118" s="26"/>
      <c r="C118" s="27"/>
      <c r="D118" s="28" t="str">
        <f>IFERROR(IF(C118="","",INDEX(마스터!$F$4:$F$20,MATCH(C118,마스터!$M$4:$M$20,0))),"")</f>
        <v/>
      </c>
      <c r="E118" s="27"/>
      <c r="F118" s="29"/>
      <c r="G118" s="25" t="str">
        <f>IFERROR(IF(C118="","",INDEX(마스터!$J$4:$J$20,MATCH(C118,마스터!$M$4:$M$20,0))),"")</f>
        <v/>
      </c>
      <c r="H118" s="30"/>
      <c r="I118" s="30"/>
      <c r="AC118" s="32">
        <f>IF(AND(E118&lt;&gt;"",C118&lt;&gt;"",COUNTIFS($C$8:C118,C118,$E$8:E118,E118)=1),1,0)</f>
        <v>0</v>
      </c>
    </row>
    <row r="119" spans="1:29" ht="15" customHeight="1" x14ac:dyDescent="0.25">
      <c r="A119" s="25" t="str">
        <f t="shared" si="1"/>
        <v/>
      </c>
      <c r="B119" s="26"/>
      <c r="C119" s="27"/>
      <c r="D119" s="28" t="str">
        <f>IFERROR(IF(C119="","",INDEX(마스터!$F$4:$F$20,MATCH(C119,마스터!$M$4:$M$20,0))),"")</f>
        <v/>
      </c>
      <c r="E119" s="27"/>
      <c r="F119" s="29"/>
      <c r="G119" s="25" t="str">
        <f>IFERROR(IF(C119="","",INDEX(마스터!$J$4:$J$20,MATCH(C119,마스터!$M$4:$M$20,0))),"")</f>
        <v/>
      </c>
      <c r="H119" s="30"/>
      <c r="I119" s="30"/>
      <c r="AC119" s="32">
        <f>IF(AND(E119&lt;&gt;"",C119&lt;&gt;"",COUNTIFS($C$8:C119,C119,$E$8:E119,E119)=1),1,0)</f>
        <v>0</v>
      </c>
    </row>
    <row r="120" spans="1:29" ht="15" customHeight="1" x14ac:dyDescent="0.25">
      <c r="A120" s="25" t="str">
        <f t="shared" si="1"/>
        <v/>
      </c>
      <c r="B120" s="26"/>
      <c r="C120" s="27"/>
      <c r="D120" s="28" t="str">
        <f>IFERROR(IF(C120="","",INDEX(마스터!$F$4:$F$20,MATCH(C120,마스터!$M$4:$M$20,0))),"")</f>
        <v/>
      </c>
      <c r="E120" s="27"/>
      <c r="F120" s="29"/>
      <c r="G120" s="25" t="str">
        <f>IFERROR(IF(C120="","",INDEX(마스터!$J$4:$J$20,MATCH(C120,마스터!$M$4:$M$20,0))),"")</f>
        <v/>
      </c>
      <c r="H120" s="30"/>
      <c r="I120" s="30"/>
      <c r="AC120" s="32">
        <f>IF(AND(E120&lt;&gt;"",C120&lt;&gt;"",COUNTIFS($C$8:C120,C120,$E$8:E120,E120)=1),1,0)</f>
        <v>0</v>
      </c>
    </row>
    <row r="121" spans="1:29" ht="15" customHeight="1" x14ac:dyDescent="0.25">
      <c r="A121" s="25" t="str">
        <f t="shared" si="1"/>
        <v/>
      </c>
      <c r="B121" s="26"/>
      <c r="C121" s="27"/>
      <c r="D121" s="28" t="str">
        <f>IFERROR(IF(C121="","",INDEX(마스터!$F$4:$F$20,MATCH(C121,마스터!$M$4:$M$20,0))),"")</f>
        <v/>
      </c>
      <c r="E121" s="27"/>
      <c r="F121" s="29"/>
      <c r="G121" s="25" t="str">
        <f>IFERROR(IF(C121="","",INDEX(마스터!$J$4:$J$20,MATCH(C121,마스터!$M$4:$M$20,0))),"")</f>
        <v/>
      </c>
      <c r="H121" s="30"/>
      <c r="I121" s="30"/>
      <c r="AC121" s="32">
        <f>IF(AND(E121&lt;&gt;"",C121&lt;&gt;"",COUNTIFS($C$8:C121,C121,$E$8:E121,E121)=1),1,0)</f>
        <v>0</v>
      </c>
    </row>
    <row r="122" spans="1:29" ht="15" customHeight="1" x14ac:dyDescent="0.25">
      <c r="A122" s="25" t="str">
        <f t="shared" si="1"/>
        <v/>
      </c>
      <c r="B122" s="26"/>
      <c r="C122" s="27"/>
      <c r="D122" s="28" t="str">
        <f>IFERROR(IF(C122="","",INDEX(마스터!$F$4:$F$20,MATCH(C122,마스터!$M$4:$M$20,0))),"")</f>
        <v/>
      </c>
      <c r="E122" s="27"/>
      <c r="F122" s="29"/>
      <c r="G122" s="25" t="str">
        <f>IFERROR(IF(C122="","",INDEX(마스터!$J$4:$J$20,MATCH(C122,마스터!$M$4:$M$20,0))),"")</f>
        <v/>
      </c>
      <c r="H122" s="30"/>
      <c r="I122" s="30"/>
      <c r="AC122" s="32">
        <f>IF(AND(E122&lt;&gt;"",C122&lt;&gt;"",COUNTIFS($C$8:C122,C122,$E$8:E122,E122)=1),1,0)</f>
        <v>0</v>
      </c>
    </row>
    <row r="123" spans="1:29" ht="15" customHeight="1" x14ac:dyDescent="0.25">
      <c r="A123" s="25" t="str">
        <f t="shared" si="1"/>
        <v/>
      </c>
      <c r="B123" s="26"/>
      <c r="C123" s="27"/>
      <c r="D123" s="28" t="str">
        <f>IFERROR(IF(C123="","",INDEX(마스터!$F$4:$F$20,MATCH(C123,마스터!$M$4:$M$20,0))),"")</f>
        <v/>
      </c>
      <c r="E123" s="27"/>
      <c r="F123" s="29"/>
      <c r="G123" s="25" t="str">
        <f>IFERROR(IF(C123="","",INDEX(마스터!$J$4:$J$20,MATCH(C123,마스터!$M$4:$M$20,0))),"")</f>
        <v/>
      </c>
      <c r="H123" s="30"/>
      <c r="I123" s="30"/>
      <c r="AC123" s="32">
        <f>IF(AND(E123&lt;&gt;"",C123&lt;&gt;"",COUNTIFS($C$8:C123,C123,$E$8:E123,E123)=1),1,0)</f>
        <v>0</v>
      </c>
    </row>
    <row r="124" spans="1:29" ht="15" customHeight="1" x14ac:dyDescent="0.25">
      <c r="A124" s="25" t="str">
        <f t="shared" si="1"/>
        <v/>
      </c>
      <c r="B124" s="26"/>
      <c r="C124" s="27"/>
      <c r="D124" s="28" t="str">
        <f>IFERROR(IF(C124="","",INDEX(마스터!$F$4:$F$20,MATCH(C124,마스터!$M$4:$M$20,0))),"")</f>
        <v/>
      </c>
      <c r="E124" s="27"/>
      <c r="F124" s="29"/>
      <c r="G124" s="25" t="str">
        <f>IFERROR(IF(C124="","",INDEX(마스터!$J$4:$J$20,MATCH(C124,마스터!$M$4:$M$20,0))),"")</f>
        <v/>
      </c>
      <c r="H124" s="30"/>
      <c r="I124" s="30"/>
      <c r="AC124" s="32">
        <f>IF(AND(E124&lt;&gt;"",C124&lt;&gt;"",COUNTIFS($C$8:C124,C124,$E$8:E124,E124)=1),1,0)</f>
        <v>0</v>
      </c>
    </row>
    <row r="125" spans="1:29" ht="15" customHeight="1" x14ac:dyDescent="0.25">
      <c r="A125" s="25" t="str">
        <f t="shared" si="1"/>
        <v/>
      </c>
      <c r="B125" s="26"/>
      <c r="C125" s="27"/>
      <c r="D125" s="28" t="str">
        <f>IFERROR(IF(C125="","",INDEX(마스터!$F$4:$F$20,MATCH(C125,마스터!$M$4:$M$20,0))),"")</f>
        <v/>
      </c>
      <c r="E125" s="27"/>
      <c r="F125" s="29"/>
      <c r="G125" s="25" t="str">
        <f>IFERROR(IF(C125="","",INDEX(마스터!$J$4:$J$20,MATCH(C125,마스터!$M$4:$M$20,0))),"")</f>
        <v/>
      </c>
      <c r="H125" s="30"/>
      <c r="I125" s="30"/>
      <c r="AC125" s="32">
        <f>IF(AND(E125&lt;&gt;"",C125&lt;&gt;"",COUNTIFS($C$8:C125,C125,$E$8:E125,E125)=1),1,0)</f>
        <v>0</v>
      </c>
    </row>
    <row r="126" spans="1:29" ht="15" customHeight="1" x14ac:dyDescent="0.25">
      <c r="A126" s="25" t="str">
        <f t="shared" si="1"/>
        <v/>
      </c>
      <c r="B126" s="26"/>
      <c r="C126" s="27"/>
      <c r="D126" s="28" t="str">
        <f>IFERROR(IF(C126="","",INDEX(마스터!$F$4:$F$20,MATCH(C126,마스터!$M$4:$M$20,0))),"")</f>
        <v/>
      </c>
      <c r="E126" s="27"/>
      <c r="F126" s="29"/>
      <c r="G126" s="25" t="str">
        <f>IFERROR(IF(C126="","",INDEX(마스터!$J$4:$J$20,MATCH(C126,마스터!$M$4:$M$20,0))),"")</f>
        <v/>
      </c>
      <c r="H126" s="30"/>
      <c r="I126" s="30"/>
      <c r="AC126" s="32">
        <f>IF(AND(E126&lt;&gt;"",C126&lt;&gt;"",COUNTIFS($C$8:C126,C126,$E$8:E126,E126)=1),1,0)</f>
        <v>0</v>
      </c>
    </row>
    <row r="127" spans="1:29" ht="15" customHeight="1" x14ac:dyDescent="0.25">
      <c r="A127" s="25" t="str">
        <f t="shared" si="1"/>
        <v/>
      </c>
      <c r="B127" s="26"/>
      <c r="C127" s="27"/>
      <c r="D127" s="28" t="str">
        <f>IFERROR(IF(C127="","",INDEX(마스터!$F$4:$F$20,MATCH(C127,마스터!$M$4:$M$20,0))),"")</f>
        <v/>
      </c>
      <c r="E127" s="27"/>
      <c r="F127" s="29"/>
      <c r="G127" s="25" t="str">
        <f>IFERROR(IF(C127="","",INDEX(마스터!$J$4:$J$20,MATCH(C127,마스터!$M$4:$M$20,0))),"")</f>
        <v/>
      </c>
      <c r="H127" s="30"/>
      <c r="I127" s="30"/>
      <c r="AC127" s="32">
        <f>IF(AND(E127&lt;&gt;"",C127&lt;&gt;"",COUNTIFS($C$8:C127,C127,$E$8:E127,E127)=1),1,0)</f>
        <v>0</v>
      </c>
    </row>
    <row r="128" spans="1:29" ht="15" customHeight="1" x14ac:dyDescent="0.25">
      <c r="A128" s="25" t="str">
        <f t="shared" si="1"/>
        <v/>
      </c>
      <c r="B128" s="26"/>
      <c r="C128" s="27"/>
      <c r="D128" s="28" t="str">
        <f>IFERROR(IF(C128="","",INDEX(마스터!$F$4:$F$20,MATCH(C128,마스터!$M$4:$M$20,0))),"")</f>
        <v/>
      </c>
      <c r="E128" s="27"/>
      <c r="F128" s="29"/>
      <c r="G128" s="25" t="str">
        <f>IFERROR(IF(C128="","",INDEX(마스터!$J$4:$J$20,MATCH(C128,마스터!$M$4:$M$20,0))),"")</f>
        <v/>
      </c>
      <c r="H128" s="30"/>
      <c r="I128" s="30"/>
      <c r="AC128" s="32">
        <f>IF(AND(E128&lt;&gt;"",C128&lt;&gt;"",COUNTIFS($C$8:C128,C128,$E$8:E128,E128)=1),1,0)</f>
        <v>0</v>
      </c>
    </row>
    <row r="129" spans="1:29" ht="15" customHeight="1" x14ac:dyDescent="0.25">
      <c r="A129" s="25" t="str">
        <f t="shared" si="1"/>
        <v/>
      </c>
      <c r="B129" s="26"/>
      <c r="C129" s="27"/>
      <c r="D129" s="28" t="str">
        <f>IFERROR(IF(C129="","",INDEX(마스터!$F$4:$F$20,MATCH(C129,마스터!$M$4:$M$20,0))),"")</f>
        <v/>
      </c>
      <c r="E129" s="27"/>
      <c r="F129" s="29"/>
      <c r="G129" s="25" t="str">
        <f>IFERROR(IF(C129="","",INDEX(마스터!$J$4:$J$20,MATCH(C129,마스터!$M$4:$M$20,0))),"")</f>
        <v/>
      </c>
      <c r="H129" s="30"/>
      <c r="I129" s="30"/>
      <c r="AC129" s="32">
        <f>IF(AND(E129&lt;&gt;"",C129&lt;&gt;"",COUNTIFS($C$8:C129,C129,$E$8:E129,E129)=1),1,0)</f>
        <v>0</v>
      </c>
    </row>
    <row r="130" spans="1:29" ht="15" customHeight="1" x14ac:dyDescent="0.25">
      <c r="A130" s="25" t="str">
        <f t="shared" si="1"/>
        <v/>
      </c>
      <c r="B130" s="26"/>
      <c r="C130" s="27"/>
      <c r="D130" s="28" t="str">
        <f>IFERROR(IF(C130="","",INDEX(마스터!$F$4:$F$20,MATCH(C130,마스터!$M$4:$M$20,0))),"")</f>
        <v/>
      </c>
      <c r="E130" s="27"/>
      <c r="F130" s="29"/>
      <c r="G130" s="25" t="str">
        <f>IFERROR(IF(C130="","",INDEX(마스터!$J$4:$J$20,MATCH(C130,마스터!$M$4:$M$20,0))),"")</f>
        <v/>
      </c>
      <c r="H130" s="30"/>
      <c r="I130" s="30"/>
      <c r="AC130" s="32">
        <f>IF(AND(E130&lt;&gt;"",C130&lt;&gt;"",COUNTIFS($C$8:C130,C130,$E$8:E130,E130)=1),1,0)</f>
        <v>0</v>
      </c>
    </row>
    <row r="131" spans="1:29" ht="15" customHeight="1" x14ac:dyDescent="0.25">
      <c r="A131" s="25" t="str">
        <f t="shared" si="1"/>
        <v/>
      </c>
      <c r="B131" s="26"/>
      <c r="C131" s="27"/>
      <c r="D131" s="28" t="str">
        <f>IFERROR(IF(C131="","",INDEX(마스터!$F$4:$F$20,MATCH(C131,마스터!$M$4:$M$20,0))),"")</f>
        <v/>
      </c>
      <c r="E131" s="27"/>
      <c r="F131" s="29"/>
      <c r="G131" s="25" t="str">
        <f>IFERROR(IF(C131="","",INDEX(마스터!$J$4:$J$20,MATCH(C131,마스터!$M$4:$M$20,0))),"")</f>
        <v/>
      </c>
      <c r="H131" s="30"/>
      <c r="I131" s="30"/>
      <c r="AC131" s="32">
        <f>IF(AND(E131&lt;&gt;"",C131&lt;&gt;"",COUNTIFS($C$8:C131,C131,$E$8:E131,E131)=1),1,0)</f>
        <v>0</v>
      </c>
    </row>
    <row r="132" spans="1:29" ht="15" customHeight="1" x14ac:dyDescent="0.25">
      <c r="A132" s="25" t="str">
        <f t="shared" si="1"/>
        <v/>
      </c>
      <c r="B132" s="26"/>
      <c r="C132" s="27"/>
      <c r="D132" s="28" t="str">
        <f>IFERROR(IF(C132="","",INDEX(마스터!$F$4:$F$20,MATCH(C132,마스터!$M$4:$M$20,0))),"")</f>
        <v/>
      </c>
      <c r="E132" s="27"/>
      <c r="F132" s="29"/>
      <c r="G132" s="25" t="str">
        <f>IFERROR(IF(C132="","",INDEX(마스터!$J$4:$J$20,MATCH(C132,마스터!$M$4:$M$20,0))),"")</f>
        <v/>
      </c>
      <c r="H132" s="30"/>
      <c r="I132" s="30"/>
      <c r="AC132" s="32">
        <f>IF(AND(E132&lt;&gt;"",C132&lt;&gt;"",COUNTIFS($C$8:C132,C132,$E$8:E132,E132)=1),1,0)</f>
        <v>0</v>
      </c>
    </row>
    <row r="133" spans="1:29" ht="15" customHeight="1" x14ac:dyDescent="0.25">
      <c r="A133" s="25" t="str">
        <f t="shared" si="1"/>
        <v/>
      </c>
      <c r="B133" s="26"/>
      <c r="C133" s="27"/>
      <c r="D133" s="28" t="str">
        <f>IFERROR(IF(C133="","",INDEX(마스터!$F$4:$F$20,MATCH(C133,마스터!$M$4:$M$20,0))),"")</f>
        <v/>
      </c>
      <c r="E133" s="27"/>
      <c r="F133" s="29"/>
      <c r="G133" s="25" t="str">
        <f>IFERROR(IF(C133="","",INDEX(마스터!$J$4:$J$20,MATCH(C133,마스터!$M$4:$M$20,0))),"")</f>
        <v/>
      </c>
      <c r="H133" s="30"/>
      <c r="I133" s="30"/>
      <c r="AC133" s="32">
        <f>IF(AND(E133&lt;&gt;"",C133&lt;&gt;"",COUNTIFS($C$8:C133,C133,$E$8:E133,E133)=1),1,0)</f>
        <v>0</v>
      </c>
    </row>
    <row r="134" spans="1:29" ht="15" customHeight="1" x14ac:dyDescent="0.25">
      <c r="A134" s="25" t="str">
        <f t="shared" si="1"/>
        <v/>
      </c>
      <c r="B134" s="26"/>
      <c r="C134" s="27"/>
      <c r="D134" s="28" t="str">
        <f>IFERROR(IF(C134="","",INDEX(마스터!$F$4:$F$20,MATCH(C134,마스터!$M$4:$M$20,0))),"")</f>
        <v/>
      </c>
      <c r="E134" s="27"/>
      <c r="F134" s="29"/>
      <c r="G134" s="25" t="str">
        <f>IFERROR(IF(C134="","",INDEX(마스터!$J$4:$J$20,MATCH(C134,마스터!$M$4:$M$20,0))),"")</f>
        <v/>
      </c>
      <c r="H134" s="30"/>
      <c r="I134" s="30"/>
      <c r="AC134" s="32">
        <f>IF(AND(E134&lt;&gt;"",C134&lt;&gt;"",COUNTIFS($C$8:C134,C134,$E$8:E134,E134)=1),1,0)</f>
        <v>0</v>
      </c>
    </row>
    <row r="135" spans="1:29" ht="15" customHeight="1" x14ac:dyDescent="0.25">
      <c r="A135" s="25" t="str">
        <f t="shared" si="1"/>
        <v/>
      </c>
      <c r="B135" s="26"/>
      <c r="C135" s="27"/>
      <c r="D135" s="28" t="str">
        <f>IFERROR(IF(C135="","",INDEX(마스터!$F$4:$F$20,MATCH(C135,마스터!$M$4:$M$20,0))),"")</f>
        <v/>
      </c>
      <c r="E135" s="27"/>
      <c r="F135" s="29"/>
      <c r="G135" s="25" t="str">
        <f>IFERROR(IF(C135="","",INDEX(마스터!$J$4:$J$20,MATCH(C135,마스터!$M$4:$M$20,0))),"")</f>
        <v/>
      </c>
      <c r="H135" s="30"/>
      <c r="I135" s="30"/>
      <c r="AC135" s="32">
        <f>IF(AND(E135&lt;&gt;"",C135&lt;&gt;"",COUNTIFS($C$8:C135,C135,$E$8:E135,E135)=1),1,0)</f>
        <v>0</v>
      </c>
    </row>
    <row r="136" spans="1:29" ht="15" customHeight="1" x14ac:dyDescent="0.25">
      <c r="A136" s="25" t="str">
        <f t="shared" ref="A136:A199" si="2">IF(B136="","",ROW()-7)</f>
        <v/>
      </c>
      <c r="B136" s="26"/>
      <c r="C136" s="27"/>
      <c r="D136" s="28" t="str">
        <f>IFERROR(IF(C136="","",INDEX(마스터!$F$4:$F$20,MATCH(C136,마스터!$M$4:$M$20,0))),"")</f>
        <v/>
      </c>
      <c r="E136" s="27"/>
      <c r="F136" s="29"/>
      <c r="G136" s="25" t="str">
        <f>IFERROR(IF(C136="","",INDEX(마스터!$J$4:$J$20,MATCH(C136,마스터!$M$4:$M$20,0))),"")</f>
        <v/>
      </c>
      <c r="H136" s="30"/>
      <c r="I136" s="30"/>
      <c r="AC136" s="32">
        <f>IF(AND(E136&lt;&gt;"",C136&lt;&gt;"",COUNTIFS($C$8:C136,C136,$E$8:E136,E136)=1),1,0)</f>
        <v>0</v>
      </c>
    </row>
    <row r="137" spans="1:29" ht="15" customHeight="1" x14ac:dyDescent="0.25">
      <c r="A137" s="25" t="str">
        <f t="shared" si="2"/>
        <v/>
      </c>
      <c r="B137" s="26"/>
      <c r="C137" s="27"/>
      <c r="D137" s="28" t="str">
        <f>IFERROR(IF(C137="","",INDEX(마스터!$F$4:$F$20,MATCH(C137,마스터!$M$4:$M$20,0))),"")</f>
        <v/>
      </c>
      <c r="E137" s="27"/>
      <c r="F137" s="29"/>
      <c r="G137" s="25" t="str">
        <f>IFERROR(IF(C137="","",INDEX(마스터!$J$4:$J$20,MATCH(C137,마스터!$M$4:$M$20,0))),"")</f>
        <v/>
      </c>
      <c r="H137" s="30"/>
      <c r="I137" s="30"/>
      <c r="AC137" s="32">
        <f>IF(AND(E137&lt;&gt;"",C137&lt;&gt;"",COUNTIFS($C$8:C137,C137,$E$8:E137,E137)=1),1,0)</f>
        <v>0</v>
      </c>
    </row>
    <row r="138" spans="1:29" ht="15" customHeight="1" x14ac:dyDescent="0.25">
      <c r="A138" s="25" t="str">
        <f t="shared" si="2"/>
        <v/>
      </c>
      <c r="B138" s="26"/>
      <c r="C138" s="27"/>
      <c r="D138" s="28" t="str">
        <f>IFERROR(IF(C138="","",INDEX(마스터!$F$4:$F$20,MATCH(C138,마스터!$M$4:$M$20,0))),"")</f>
        <v/>
      </c>
      <c r="E138" s="27"/>
      <c r="F138" s="29"/>
      <c r="G138" s="25" t="str">
        <f>IFERROR(IF(C138="","",INDEX(마스터!$J$4:$J$20,MATCH(C138,마스터!$M$4:$M$20,0))),"")</f>
        <v/>
      </c>
      <c r="H138" s="30"/>
      <c r="I138" s="30"/>
      <c r="AC138" s="32">
        <f>IF(AND(E138&lt;&gt;"",C138&lt;&gt;"",COUNTIFS($C$8:C138,C138,$E$8:E138,E138)=1),1,0)</f>
        <v>0</v>
      </c>
    </row>
    <row r="139" spans="1:29" ht="15" customHeight="1" x14ac:dyDescent="0.25">
      <c r="A139" s="25" t="str">
        <f t="shared" si="2"/>
        <v/>
      </c>
      <c r="B139" s="26"/>
      <c r="C139" s="27"/>
      <c r="D139" s="28" t="str">
        <f>IFERROR(IF(C139="","",INDEX(마스터!$F$4:$F$20,MATCH(C139,마스터!$M$4:$M$20,0))),"")</f>
        <v/>
      </c>
      <c r="E139" s="27"/>
      <c r="F139" s="29"/>
      <c r="G139" s="25" t="str">
        <f>IFERROR(IF(C139="","",INDEX(마스터!$J$4:$J$20,MATCH(C139,마스터!$M$4:$M$20,0))),"")</f>
        <v/>
      </c>
      <c r="H139" s="30"/>
      <c r="I139" s="30"/>
      <c r="AC139" s="32">
        <f>IF(AND(E139&lt;&gt;"",C139&lt;&gt;"",COUNTIFS($C$8:C139,C139,$E$8:E139,E139)=1),1,0)</f>
        <v>0</v>
      </c>
    </row>
    <row r="140" spans="1:29" ht="15" customHeight="1" x14ac:dyDescent="0.25">
      <c r="A140" s="25" t="str">
        <f t="shared" si="2"/>
        <v/>
      </c>
      <c r="B140" s="26"/>
      <c r="C140" s="27"/>
      <c r="D140" s="28" t="str">
        <f>IFERROR(IF(C140="","",INDEX(마스터!$F$4:$F$20,MATCH(C140,마스터!$M$4:$M$20,0))),"")</f>
        <v/>
      </c>
      <c r="E140" s="27"/>
      <c r="F140" s="29"/>
      <c r="G140" s="25" t="str">
        <f>IFERROR(IF(C140="","",INDEX(마스터!$J$4:$J$20,MATCH(C140,마스터!$M$4:$M$20,0))),"")</f>
        <v/>
      </c>
      <c r="H140" s="30"/>
      <c r="I140" s="30"/>
      <c r="AC140" s="32">
        <f>IF(AND(E140&lt;&gt;"",C140&lt;&gt;"",COUNTIFS($C$8:C140,C140,$E$8:E140,E140)=1),1,0)</f>
        <v>0</v>
      </c>
    </row>
    <row r="141" spans="1:29" ht="15" customHeight="1" x14ac:dyDescent="0.25">
      <c r="A141" s="25" t="str">
        <f t="shared" si="2"/>
        <v/>
      </c>
      <c r="B141" s="26"/>
      <c r="C141" s="27"/>
      <c r="D141" s="28" t="str">
        <f>IFERROR(IF(C141="","",INDEX(마스터!$F$4:$F$20,MATCH(C141,마스터!$M$4:$M$20,0))),"")</f>
        <v/>
      </c>
      <c r="E141" s="27"/>
      <c r="F141" s="29"/>
      <c r="G141" s="25" t="str">
        <f>IFERROR(IF(C141="","",INDEX(마스터!$J$4:$J$20,MATCH(C141,마스터!$M$4:$M$20,0))),"")</f>
        <v/>
      </c>
      <c r="H141" s="30"/>
      <c r="I141" s="30"/>
      <c r="AC141" s="32">
        <f>IF(AND(E141&lt;&gt;"",C141&lt;&gt;"",COUNTIFS($C$8:C141,C141,$E$8:E141,E141)=1),1,0)</f>
        <v>0</v>
      </c>
    </row>
    <row r="142" spans="1:29" ht="15" customHeight="1" x14ac:dyDescent="0.25">
      <c r="A142" s="25" t="str">
        <f t="shared" si="2"/>
        <v/>
      </c>
      <c r="B142" s="26"/>
      <c r="C142" s="27"/>
      <c r="D142" s="28" t="str">
        <f>IFERROR(IF(C142="","",INDEX(마스터!$F$4:$F$20,MATCH(C142,마스터!$M$4:$M$20,0))),"")</f>
        <v/>
      </c>
      <c r="E142" s="27"/>
      <c r="F142" s="29"/>
      <c r="G142" s="25" t="str">
        <f>IFERROR(IF(C142="","",INDEX(마스터!$J$4:$J$20,MATCH(C142,마스터!$M$4:$M$20,0))),"")</f>
        <v/>
      </c>
      <c r="H142" s="30"/>
      <c r="I142" s="30"/>
      <c r="AC142" s="32">
        <f>IF(AND(E142&lt;&gt;"",C142&lt;&gt;"",COUNTIFS($C$8:C142,C142,$E$8:E142,E142)=1),1,0)</f>
        <v>0</v>
      </c>
    </row>
    <row r="143" spans="1:29" ht="15" customHeight="1" x14ac:dyDescent="0.25">
      <c r="A143" s="25" t="str">
        <f t="shared" si="2"/>
        <v/>
      </c>
      <c r="B143" s="26"/>
      <c r="C143" s="27"/>
      <c r="D143" s="28" t="str">
        <f>IFERROR(IF(C143="","",INDEX(마스터!$F$4:$F$20,MATCH(C143,마스터!$M$4:$M$20,0))),"")</f>
        <v/>
      </c>
      <c r="E143" s="27"/>
      <c r="F143" s="29"/>
      <c r="G143" s="25" t="str">
        <f>IFERROR(IF(C143="","",INDEX(마스터!$J$4:$J$20,MATCH(C143,마스터!$M$4:$M$20,0))),"")</f>
        <v/>
      </c>
      <c r="H143" s="30"/>
      <c r="I143" s="30"/>
      <c r="AC143" s="32">
        <f>IF(AND(E143&lt;&gt;"",C143&lt;&gt;"",COUNTIFS($C$8:C143,C143,$E$8:E143,E143)=1),1,0)</f>
        <v>0</v>
      </c>
    </row>
    <row r="144" spans="1:29" ht="15" customHeight="1" x14ac:dyDescent="0.25">
      <c r="A144" s="25" t="str">
        <f t="shared" si="2"/>
        <v/>
      </c>
      <c r="B144" s="26"/>
      <c r="C144" s="27"/>
      <c r="D144" s="28" t="str">
        <f>IFERROR(IF(C144="","",INDEX(마스터!$F$4:$F$20,MATCH(C144,마스터!$M$4:$M$20,0))),"")</f>
        <v/>
      </c>
      <c r="E144" s="27"/>
      <c r="F144" s="29"/>
      <c r="G144" s="25" t="str">
        <f>IFERROR(IF(C144="","",INDEX(마스터!$J$4:$J$20,MATCH(C144,마스터!$M$4:$M$20,0))),"")</f>
        <v/>
      </c>
      <c r="H144" s="30"/>
      <c r="I144" s="30"/>
      <c r="AC144" s="32">
        <f>IF(AND(E144&lt;&gt;"",C144&lt;&gt;"",COUNTIFS($C$8:C144,C144,$E$8:E144,E144)=1),1,0)</f>
        <v>0</v>
      </c>
    </row>
    <row r="145" spans="1:29" ht="15" customHeight="1" x14ac:dyDescent="0.25">
      <c r="A145" s="25" t="str">
        <f t="shared" si="2"/>
        <v/>
      </c>
      <c r="B145" s="26"/>
      <c r="C145" s="27"/>
      <c r="D145" s="28" t="str">
        <f>IFERROR(IF(C145="","",INDEX(마스터!$F$4:$F$20,MATCH(C145,마스터!$M$4:$M$20,0))),"")</f>
        <v/>
      </c>
      <c r="E145" s="27"/>
      <c r="F145" s="29"/>
      <c r="G145" s="25" t="str">
        <f>IFERROR(IF(C145="","",INDEX(마스터!$J$4:$J$20,MATCH(C145,마스터!$M$4:$M$20,0))),"")</f>
        <v/>
      </c>
      <c r="H145" s="30"/>
      <c r="I145" s="30"/>
      <c r="AC145" s="32">
        <f>IF(AND(E145&lt;&gt;"",C145&lt;&gt;"",COUNTIFS($C$8:C145,C145,$E$8:E145,E145)=1),1,0)</f>
        <v>0</v>
      </c>
    </row>
    <row r="146" spans="1:29" ht="15" customHeight="1" x14ac:dyDescent="0.25">
      <c r="A146" s="25" t="str">
        <f t="shared" si="2"/>
        <v/>
      </c>
      <c r="B146" s="26"/>
      <c r="C146" s="27"/>
      <c r="D146" s="28" t="str">
        <f>IFERROR(IF(C146="","",INDEX(마스터!$F$4:$F$20,MATCH(C146,마스터!$M$4:$M$20,0))),"")</f>
        <v/>
      </c>
      <c r="E146" s="27"/>
      <c r="F146" s="29"/>
      <c r="G146" s="25" t="str">
        <f>IFERROR(IF(C146="","",INDEX(마스터!$J$4:$J$20,MATCH(C146,마스터!$M$4:$M$20,0))),"")</f>
        <v/>
      </c>
      <c r="H146" s="30"/>
      <c r="I146" s="30"/>
      <c r="AC146" s="32">
        <f>IF(AND(E146&lt;&gt;"",C146&lt;&gt;"",COUNTIFS($C$8:C146,C146,$E$8:E146,E146)=1),1,0)</f>
        <v>0</v>
      </c>
    </row>
    <row r="147" spans="1:29" ht="15" customHeight="1" x14ac:dyDescent="0.25">
      <c r="A147" s="25" t="str">
        <f t="shared" si="2"/>
        <v/>
      </c>
      <c r="B147" s="26"/>
      <c r="C147" s="27"/>
      <c r="D147" s="28" t="str">
        <f>IFERROR(IF(C147="","",INDEX(마스터!$F$4:$F$20,MATCH(C147,마스터!$M$4:$M$20,0))),"")</f>
        <v/>
      </c>
      <c r="E147" s="27"/>
      <c r="F147" s="29"/>
      <c r="G147" s="25" t="str">
        <f>IFERROR(IF(C147="","",INDEX(마스터!$J$4:$J$20,MATCH(C147,마스터!$M$4:$M$20,0))),"")</f>
        <v/>
      </c>
      <c r="H147" s="30"/>
      <c r="I147" s="30"/>
      <c r="AC147" s="32">
        <f>IF(AND(E147&lt;&gt;"",C147&lt;&gt;"",COUNTIFS($C$8:C147,C147,$E$8:E147,E147)=1),1,0)</f>
        <v>0</v>
      </c>
    </row>
    <row r="148" spans="1:29" ht="15" customHeight="1" x14ac:dyDescent="0.25">
      <c r="A148" s="25" t="str">
        <f t="shared" si="2"/>
        <v/>
      </c>
      <c r="B148" s="26"/>
      <c r="C148" s="27"/>
      <c r="D148" s="28" t="str">
        <f>IFERROR(IF(C148="","",INDEX(마스터!$F$4:$F$20,MATCH(C148,마스터!$M$4:$M$20,0))),"")</f>
        <v/>
      </c>
      <c r="E148" s="27"/>
      <c r="F148" s="29"/>
      <c r="G148" s="25" t="str">
        <f>IFERROR(IF(C148="","",INDEX(마스터!$J$4:$J$20,MATCH(C148,마스터!$M$4:$M$20,0))),"")</f>
        <v/>
      </c>
      <c r="H148" s="30"/>
      <c r="I148" s="30"/>
      <c r="AC148" s="32">
        <f>IF(AND(E148&lt;&gt;"",C148&lt;&gt;"",COUNTIFS($C$8:C148,C148,$E$8:E148,E148)=1),1,0)</f>
        <v>0</v>
      </c>
    </row>
    <row r="149" spans="1:29" ht="15" customHeight="1" x14ac:dyDescent="0.25">
      <c r="A149" s="25" t="str">
        <f t="shared" si="2"/>
        <v/>
      </c>
      <c r="B149" s="26"/>
      <c r="C149" s="27"/>
      <c r="D149" s="28" t="str">
        <f>IFERROR(IF(C149="","",INDEX(마스터!$F$4:$F$20,MATCH(C149,마스터!$M$4:$M$20,0))),"")</f>
        <v/>
      </c>
      <c r="E149" s="27"/>
      <c r="F149" s="29"/>
      <c r="G149" s="25" t="str">
        <f>IFERROR(IF(C149="","",INDEX(마스터!$J$4:$J$20,MATCH(C149,마스터!$M$4:$M$20,0))),"")</f>
        <v/>
      </c>
      <c r="H149" s="30"/>
      <c r="I149" s="30"/>
      <c r="AC149" s="32">
        <f>IF(AND(E149&lt;&gt;"",C149&lt;&gt;"",COUNTIFS($C$8:C149,C149,$E$8:E149,E149)=1),1,0)</f>
        <v>0</v>
      </c>
    </row>
    <row r="150" spans="1:29" ht="15" customHeight="1" x14ac:dyDescent="0.25">
      <c r="A150" s="25" t="str">
        <f t="shared" si="2"/>
        <v/>
      </c>
      <c r="B150" s="26"/>
      <c r="C150" s="27"/>
      <c r="D150" s="28" t="str">
        <f>IFERROR(IF(C150="","",INDEX(마스터!$F$4:$F$20,MATCH(C150,마스터!$M$4:$M$20,0))),"")</f>
        <v/>
      </c>
      <c r="E150" s="27"/>
      <c r="F150" s="29"/>
      <c r="G150" s="25" t="str">
        <f>IFERROR(IF(C150="","",INDEX(마스터!$J$4:$J$20,MATCH(C150,마스터!$M$4:$M$20,0))),"")</f>
        <v/>
      </c>
      <c r="H150" s="30"/>
      <c r="I150" s="30"/>
      <c r="AC150" s="32">
        <f>IF(AND(E150&lt;&gt;"",C150&lt;&gt;"",COUNTIFS($C$8:C150,C150,$E$8:E150,E150)=1),1,0)</f>
        <v>0</v>
      </c>
    </row>
    <row r="151" spans="1:29" ht="15" customHeight="1" x14ac:dyDescent="0.25">
      <c r="A151" s="25" t="str">
        <f t="shared" si="2"/>
        <v/>
      </c>
      <c r="B151" s="26"/>
      <c r="C151" s="27"/>
      <c r="D151" s="28" t="str">
        <f>IFERROR(IF(C151="","",INDEX(마스터!$F$4:$F$20,MATCH(C151,마스터!$M$4:$M$20,0))),"")</f>
        <v/>
      </c>
      <c r="E151" s="27"/>
      <c r="F151" s="29"/>
      <c r="G151" s="25" t="str">
        <f>IFERROR(IF(C151="","",INDEX(마스터!$J$4:$J$20,MATCH(C151,마스터!$M$4:$M$20,0))),"")</f>
        <v/>
      </c>
      <c r="H151" s="30"/>
      <c r="I151" s="30"/>
      <c r="AC151" s="32">
        <f>IF(AND(E151&lt;&gt;"",C151&lt;&gt;"",COUNTIFS($C$8:C151,C151,$E$8:E151,E151)=1),1,0)</f>
        <v>0</v>
      </c>
    </row>
    <row r="152" spans="1:29" ht="15" customHeight="1" x14ac:dyDescent="0.25">
      <c r="A152" s="25" t="str">
        <f t="shared" si="2"/>
        <v/>
      </c>
      <c r="B152" s="26"/>
      <c r="C152" s="27"/>
      <c r="D152" s="28" t="str">
        <f>IFERROR(IF(C152="","",INDEX(마스터!$F$4:$F$20,MATCH(C152,마스터!$M$4:$M$20,0))),"")</f>
        <v/>
      </c>
      <c r="E152" s="27"/>
      <c r="F152" s="29"/>
      <c r="G152" s="25" t="str">
        <f>IFERROR(IF(C152="","",INDEX(마스터!$J$4:$J$20,MATCH(C152,마스터!$M$4:$M$20,0))),"")</f>
        <v/>
      </c>
      <c r="H152" s="30"/>
      <c r="I152" s="30"/>
      <c r="AC152" s="32">
        <f>IF(AND(E152&lt;&gt;"",C152&lt;&gt;"",COUNTIFS($C$8:C152,C152,$E$8:E152,E152)=1),1,0)</f>
        <v>0</v>
      </c>
    </row>
    <row r="153" spans="1:29" ht="15" customHeight="1" x14ac:dyDescent="0.25">
      <c r="A153" s="25" t="str">
        <f t="shared" si="2"/>
        <v/>
      </c>
      <c r="B153" s="26"/>
      <c r="C153" s="27"/>
      <c r="D153" s="28" t="str">
        <f>IFERROR(IF(C153="","",INDEX(마스터!$F$4:$F$20,MATCH(C153,마스터!$M$4:$M$20,0))),"")</f>
        <v/>
      </c>
      <c r="E153" s="27"/>
      <c r="F153" s="29"/>
      <c r="G153" s="25" t="str">
        <f>IFERROR(IF(C153="","",INDEX(마스터!$J$4:$J$20,MATCH(C153,마스터!$M$4:$M$20,0))),"")</f>
        <v/>
      </c>
      <c r="H153" s="30"/>
      <c r="I153" s="30"/>
      <c r="AC153" s="32">
        <f>IF(AND(E153&lt;&gt;"",C153&lt;&gt;"",COUNTIFS($C$8:C153,C153,$E$8:E153,E153)=1),1,0)</f>
        <v>0</v>
      </c>
    </row>
    <row r="154" spans="1:29" ht="15" customHeight="1" x14ac:dyDescent="0.25">
      <c r="A154" s="25" t="str">
        <f t="shared" si="2"/>
        <v/>
      </c>
      <c r="B154" s="26"/>
      <c r="C154" s="27"/>
      <c r="D154" s="28" t="str">
        <f>IFERROR(IF(C154="","",INDEX(마스터!$F$4:$F$20,MATCH(C154,마스터!$M$4:$M$20,0))),"")</f>
        <v/>
      </c>
      <c r="E154" s="27"/>
      <c r="F154" s="29"/>
      <c r="G154" s="25" t="str">
        <f>IFERROR(IF(C154="","",INDEX(마스터!$J$4:$J$20,MATCH(C154,마스터!$M$4:$M$20,0))),"")</f>
        <v/>
      </c>
      <c r="H154" s="30"/>
      <c r="I154" s="30"/>
      <c r="AC154" s="32">
        <f>IF(AND(E154&lt;&gt;"",C154&lt;&gt;"",COUNTIFS($C$8:C154,C154,$E$8:E154,E154)=1),1,0)</f>
        <v>0</v>
      </c>
    </row>
    <row r="155" spans="1:29" ht="15" customHeight="1" x14ac:dyDescent="0.25">
      <c r="A155" s="25" t="str">
        <f t="shared" si="2"/>
        <v/>
      </c>
      <c r="B155" s="26"/>
      <c r="C155" s="27"/>
      <c r="D155" s="28" t="str">
        <f>IFERROR(IF(C155="","",INDEX(마스터!$F$4:$F$20,MATCH(C155,마스터!$M$4:$M$20,0))),"")</f>
        <v/>
      </c>
      <c r="E155" s="27"/>
      <c r="F155" s="29"/>
      <c r="G155" s="25" t="str">
        <f>IFERROR(IF(C155="","",INDEX(마스터!$J$4:$J$20,MATCH(C155,마스터!$M$4:$M$20,0))),"")</f>
        <v/>
      </c>
      <c r="H155" s="30"/>
      <c r="I155" s="30"/>
      <c r="AC155" s="32">
        <f>IF(AND(E155&lt;&gt;"",C155&lt;&gt;"",COUNTIFS($C$8:C155,C155,$E$8:E155,E155)=1),1,0)</f>
        <v>0</v>
      </c>
    </row>
    <row r="156" spans="1:29" ht="15" customHeight="1" x14ac:dyDescent="0.25">
      <c r="A156" s="25" t="str">
        <f t="shared" si="2"/>
        <v/>
      </c>
      <c r="B156" s="26"/>
      <c r="C156" s="27"/>
      <c r="D156" s="28" t="str">
        <f>IFERROR(IF(C156="","",INDEX(마스터!$F$4:$F$20,MATCH(C156,마스터!$M$4:$M$20,0))),"")</f>
        <v/>
      </c>
      <c r="E156" s="27"/>
      <c r="F156" s="29"/>
      <c r="G156" s="25" t="str">
        <f>IFERROR(IF(C156="","",INDEX(마스터!$J$4:$J$20,MATCH(C156,마스터!$M$4:$M$20,0))),"")</f>
        <v/>
      </c>
      <c r="H156" s="30"/>
      <c r="I156" s="30"/>
      <c r="AC156" s="32">
        <f>IF(AND(E156&lt;&gt;"",C156&lt;&gt;"",COUNTIFS($C$8:C156,C156,$E$8:E156,E156)=1),1,0)</f>
        <v>0</v>
      </c>
    </row>
    <row r="157" spans="1:29" ht="15" customHeight="1" x14ac:dyDescent="0.25">
      <c r="A157" s="25" t="str">
        <f t="shared" si="2"/>
        <v/>
      </c>
      <c r="B157" s="26"/>
      <c r="C157" s="27"/>
      <c r="D157" s="28" t="str">
        <f>IFERROR(IF(C157="","",INDEX(마스터!$F$4:$F$20,MATCH(C157,마스터!$M$4:$M$20,0))),"")</f>
        <v/>
      </c>
      <c r="E157" s="27"/>
      <c r="F157" s="29"/>
      <c r="G157" s="25" t="str">
        <f>IFERROR(IF(C157="","",INDEX(마스터!$J$4:$J$20,MATCH(C157,마스터!$M$4:$M$20,0))),"")</f>
        <v/>
      </c>
      <c r="H157" s="30"/>
      <c r="I157" s="30"/>
      <c r="AC157" s="32">
        <f>IF(AND(E157&lt;&gt;"",C157&lt;&gt;"",COUNTIFS($C$8:C157,C157,$E$8:E157,E157)=1),1,0)</f>
        <v>0</v>
      </c>
    </row>
    <row r="158" spans="1:29" ht="15" customHeight="1" x14ac:dyDescent="0.25">
      <c r="A158" s="25" t="str">
        <f t="shared" si="2"/>
        <v/>
      </c>
      <c r="B158" s="26"/>
      <c r="C158" s="27"/>
      <c r="D158" s="28" t="str">
        <f>IFERROR(IF(C158="","",INDEX(마스터!$F$4:$F$20,MATCH(C158,마스터!$M$4:$M$20,0))),"")</f>
        <v/>
      </c>
      <c r="E158" s="27"/>
      <c r="F158" s="29"/>
      <c r="G158" s="25" t="str">
        <f>IFERROR(IF(C158="","",INDEX(마스터!$J$4:$J$20,MATCH(C158,마스터!$M$4:$M$20,0))),"")</f>
        <v/>
      </c>
      <c r="H158" s="30"/>
      <c r="I158" s="30"/>
      <c r="AC158" s="32">
        <f>IF(AND(E158&lt;&gt;"",C158&lt;&gt;"",COUNTIFS($C$8:C158,C158,$E$8:E158,E158)=1),1,0)</f>
        <v>0</v>
      </c>
    </row>
    <row r="159" spans="1:29" ht="15" customHeight="1" x14ac:dyDescent="0.25">
      <c r="A159" s="25" t="str">
        <f t="shared" si="2"/>
        <v/>
      </c>
      <c r="B159" s="26"/>
      <c r="C159" s="27"/>
      <c r="D159" s="28" t="str">
        <f>IFERROR(IF(C159="","",INDEX(마스터!$F$4:$F$20,MATCH(C159,마스터!$M$4:$M$20,0))),"")</f>
        <v/>
      </c>
      <c r="E159" s="27"/>
      <c r="F159" s="29"/>
      <c r="G159" s="25" t="str">
        <f>IFERROR(IF(C159="","",INDEX(마스터!$J$4:$J$20,MATCH(C159,마스터!$M$4:$M$20,0))),"")</f>
        <v/>
      </c>
      <c r="H159" s="30"/>
      <c r="I159" s="30"/>
      <c r="AC159" s="32">
        <f>IF(AND(E159&lt;&gt;"",C159&lt;&gt;"",COUNTIFS($C$8:C159,C159,$E$8:E159,E159)=1),1,0)</f>
        <v>0</v>
      </c>
    </row>
    <row r="160" spans="1:29" ht="15" customHeight="1" x14ac:dyDescent="0.25">
      <c r="A160" s="25" t="str">
        <f t="shared" si="2"/>
        <v/>
      </c>
      <c r="B160" s="26"/>
      <c r="C160" s="27"/>
      <c r="D160" s="28" t="str">
        <f>IFERROR(IF(C160="","",INDEX(마스터!$F$4:$F$20,MATCH(C160,마스터!$M$4:$M$20,0))),"")</f>
        <v/>
      </c>
      <c r="E160" s="27"/>
      <c r="F160" s="29"/>
      <c r="G160" s="25" t="str">
        <f>IFERROR(IF(C160="","",INDEX(마스터!$J$4:$J$20,MATCH(C160,마스터!$M$4:$M$20,0))),"")</f>
        <v/>
      </c>
      <c r="H160" s="30"/>
      <c r="I160" s="30"/>
      <c r="AC160" s="32">
        <f>IF(AND(E160&lt;&gt;"",C160&lt;&gt;"",COUNTIFS($C$8:C160,C160,$E$8:E160,E160)=1),1,0)</f>
        <v>0</v>
      </c>
    </row>
    <row r="161" spans="1:29" ht="15" customHeight="1" x14ac:dyDescent="0.25">
      <c r="A161" s="25" t="str">
        <f t="shared" si="2"/>
        <v/>
      </c>
      <c r="B161" s="26"/>
      <c r="C161" s="27"/>
      <c r="D161" s="28" t="str">
        <f>IFERROR(IF(C161="","",INDEX(마스터!$F$4:$F$20,MATCH(C161,마스터!$M$4:$M$20,0))),"")</f>
        <v/>
      </c>
      <c r="E161" s="27"/>
      <c r="F161" s="29"/>
      <c r="G161" s="25" t="str">
        <f>IFERROR(IF(C161="","",INDEX(마스터!$J$4:$J$20,MATCH(C161,마스터!$M$4:$M$20,0))),"")</f>
        <v/>
      </c>
      <c r="H161" s="30"/>
      <c r="I161" s="30"/>
      <c r="AC161" s="32">
        <f>IF(AND(E161&lt;&gt;"",C161&lt;&gt;"",COUNTIFS($C$8:C161,C161,$E$8:E161,E161)=1),1,0)</f>
        <v>0</v>
      </c>
    </row>
    <row r="162" spans="1:29" ht="15" customHeight="1" x14ac:dyDescent="0.25">
      <c r="A162" s="25" t="str">
        <f t="shared" si="2"/>
        <v/>
      </c>
      <c r="B162" s="26"/>
      <c r="C162" s="27"/>
      <c r="D162" s="28" t="str">
        <f>IFERROR(IF(C162="","",INDEX(마스터!$F$4:$F$20,MATCH(C162,마스터!$M$4:$M$20,0))),"")</f>
        <v/>
      </c>
      <c r="E162" s="27"/>
      <c r="F162" s="29"/>
      <c r="G162" s="25" t="str">
        <f>IFERROR(IF(C162="","",INDEX(마스터!$J$4:$J$20,MATCH(C162,마스터!$M$4:$M$20,0))),"")</f>
        <v/>
      </c>
      <c r="H162" s="30"/>
      <c r="I162" s="30"/>
      <c r="AC162" s="32">
        <f>IF(AND(E162&lt;&gt;"",C162&lt;&gt;"",COUNTIFS($C$8:C162,C162,$E$8:E162,E162)=1),1,0)</f>
        <v>0</v>
      </c>
    </row>
    <row r="163" spans="1:29" ht="15" customHeight="1" x14ac:dyDescent="0.25">
      <c r="A163" s="25" t="str">
        <f t="shared" si="2"/>
        <v/>
      </c>
      <c r="B163" s="26"/>
      <c r="C163" s="27"/>
      <c r="D163" s="28" t="str">
        <f>IFERROR(IF(C163="","",INDEX(마스터!$F$4:$F$20,MATCH(C163,마스터!$M$4:$M$20,0))),"")</f>
        <v/>
      </c>
      <c r="E163" s="27"/>
      <c r="F163" s="29"/>
      <c r="G163" s="25" t="str">
        <f>IFERROR(IF(C163="","",INDEX(마스터!$J$4:$J$20,MATCH(C163,마스터!$M$4:$M$20,0))),"")</f>
        <v/>
      </c>
      <c r="H163" s="30"/>
      <c r="I163" s="30"/>
      <c r="AC163" s="32">
        <f>IF(AND(E163&lt;&gt;"",C163&lt;&gt;"",COUNTIFS($C$8:C163,C163,$E$8:E163,E163)=1),1,0)</f>
        <v>0</v>
      </c>
    </row>
    <row r="164" spans="1:29" ht="15" customHeight="1" x14ac:dyDescent="0.25">
      <c r="A164" s="25" t="str">
        <f t="shared" si="2"/>
        <v/>
      </c>
      <c r="B164" s="26"/>
      <c r="C164" s="27"/>
      <c r="D164" s="28" t="str">
        <f>IFERROR(IF(C164="","",INDEX(마스터!$F$4:$F$20,MATCH(C164,마스터!$M$4:$M$20,0))),"")</f>
        <v/>
      </c>
      <c r="E164" s="27"/>
      <c r="F164" s="29"/>
      <c r="G164" s="25" t="str">
        <f>IFERROR(IF(C164="","",INDEX(마스터!$J$4:$J$20,MATCH(C164,마스터!$M$4:$M$20,0))),"")</f>
        <v/>
      </c>
      <c r="H164" s="30"/>
      <c r="I164" s="30"/>
      <c r="AC164" s="32">
        <f>IF(AND(E164&lt;&gt;"",C164&lt;&gt;"",COUNTIFS($C$8:C164,C164,$E$8:E164,E164)=1),1,0)</f>
        <v>0</v>
      </c>
    </row>
    <row r="165" spans="1:29" ht="15" customHeight="1" x14ac:dyDescent="0.25">
      <c r="A165" s="25" t="str">
        <f t="shared" si="2"/>
        <v/>
      </c>
      <c r="B165" s="26"/>
      <c r="C165" s="27"/>
      <c r="D165" s="28" t="str">
        <f>IFERROR(IF(C165="","",INDEX(마스터!$F$4:$F$20,MATCH(C165,마스터!$M$4:$M$20,0))),"")</f>
        <v/>
      </c>
      <c r="E165" s="27"/>
      <c r="F165" s="29"/>
      <c r="G165" s="25" t="str">
        <f>IFERROR(IF(C165="","",INDEX(마스터!$J$4:$J$20,MATCH(C165,마스터!$M$4:$M$20,0))),"")</f>
        <v/>
      </c>
      <c r="H165" s="30"/>
      <c r="I165" s="30"/>
      <c r="AC165" s="32">
        <f>IF(AND(E165&lt;&gt;"",C165&lt;&gt;"",COUNTIFS($C$8:C165,C165,$E$8:E165,E165)=1),1,0)</f>
        <v>0</v>
      </c>
    </row>
    <row r="166" spans="1:29" ht="15" customHeight="1" x14ac:dyDescent="0.25">
      <c r="A166" s="25" t="str">
        <f t="shared" si="2"/>
        <v/>
      </c>
      <c r="B166" s="26"/>
      <c r="C166" s="27"/>
      <c r="D166" s="28" t="str">
        <f>IFERROR(IF(C166="","",INDEX(마스터!$F$4:$F$20,MATCH(C166,마스터!$M$4:$M$20,0))),"")</f>
        <v/>
      </c>
      <c r="E166" s="27"/>
      <c r="F166" s="29"/>
      <c r="G166" s="25" t="str">
        <f>IFERROR(IF(C166="","",INDEX(마스터!$J$4:$J$20,MATCH(C166,마스터!$M$4:$M$20,0))),"")</f>
        <v/>
      </c>
      <c r="H166" s="30"/>
      <c r="I166" s="30"/>
      <c r="AC166" s="32">
        <f>IF(AND(E166&lt;&gt;"",C166&lt;&gt;"",COUNTIFS($C$8:C166,C166,$E$8:E166,E166)=1),1,0)</f>
        <v>0</v>
      </c>
    </row>
    <row r="167" spans="1:29" ht="15" customHeight="1" x14ac:dyDescent="0.25">
      <c r="A167" s="25" t="str">
        <f t="shared" si="2"/>
        <v/>
      </c>
      <c r="B167" s="26"/>
      <c r="C167" s="27"/>
      <c r="D167" s="28" t="str">
        <f>IFERROR(IF(C167="","",INDEX(마스터!$F$4:$F$20,MATCH(C167,마스터!$M$4:$M$20,0))),"")</f>
        <v/>
      </c>
      <c r="E167" s="27"/>
      <c r="F167" s="29"/>
      <c r="G167" s="25" t="str">
        <f>IFERROR(IF(C167="","",INDEX(마스터!$J$4:$J$20,MATCH(C167,마스터!$M$4:$M$20,0))),"")</f>
        <v/>
      </c>
      <c r="H167" s="30"/>
      <c r="I167" s="30"/>
      <c r="AC167" s="32">
        <f>IF(AND(E167&lt;&gt;"",C167&lt;&gt;"",COUNTIFS($C$8:C167,C167,$E$8:E167,E167)=1),1,0)</f>
        <v>0</v>
      </c>
    </row>
    <row r="168" spans="1:29" ht="15" customHeight="1" x14ac:dyDescent="0.25">
      <c r="A168" s="25" t="str">
        <f t="shared" si="2"/>
        <v/>
      </c>
      <c r="B168" s="26"/>
      <c r="C168" s="27"/>
      <c r="D168" s="28" t="str">
        <f>IFERROR(IF(C168="","",INDEX(마스터!$F$4:$F$20,MATCH(C168,마스터!$M$4:$M$20,0))),"")</f>
        <v/>
      </c>
      <c r="E168" s="27"/>
      <c r="F168" s="29"/>
      <c r="G168" s="25" t="str">
        <f>IFERROR(IF(C168="","",INDEX(마스터!$J$4:$J$20,MATCH(C168,마스터!$M$4:$M$20,0))),"")</f>
        <v/>
      </c>
      <c r="H168" s="30"/>
      <c r="I168" s="30"/>
      <c r="AC168" s="32">
        <f>IF(AND(E168&lt;&gt;"",C168&lt;&gt;"",COUNTIFS($C$8:C168,C168,$E$8:E168,E168)=1),1,0)</f>
        <v>0</v>
      </c>
    </row>
    <row r="169" spans="1:29" ht="15" customHeight="1" x14ac:dyDescent="0.25">
      <c r="A169" s="25" t="str">
        <f t="shared" si="2"/>
        <v/>
      </c>
      <c r="B169" s="26"/>
      <c r="C169" s="27"/>
      <c r="D169" s="28" t="str">
        <f>IFERROR(IF(C169="","",INDEX(마스터!$F$4:$F$20,MATCH(C169,마스터!$M$4:$M$20,0))),"")</f>
        <v/>
      </c>
      <c r="E169" s="27"/>
      <c r="F169" s="29"/>
      <c r="G169" s="25" t="str">
        <f>IFERROR(IF(C169="","",INDEX(마스터!$J$4:$J$20,MATCH(C169,마스터!$M$4:$M$20,0))),"")</f>
        <v/>
      </c>
      <c r="H169" s="30"/>
      <c r="I169" s="30"/>
      <c r="AC169" s="32">
        <f>IF(AND(E169&lt;&gt;"",C169&lt;&gt;"",COUNTIFS($C$8:C169,C169,$E$8:E169,E169)=1),1,0)</f>
        <v>0</v>
      </c>
    </row>
    <row r="170" spans="1:29" ht="15" customHeight="1" x14ac:dyDescent="0.25">
      <c r="A170" s="25" t="str">
        <f t="shared" si="2"/>
        <v/>
      </c>
      <c r="B170" s="26"/>
      <c r="C170" s="27"/>
      <c r="D170" s="28" t="str">
        <f>IFERROR(IF(C170="","",INDEX(마스터!$F$4:$F$20,MATCH(C170,마스터!$M$4:$M$20,0))),"")</f>
        <v/>
      </c>
      <c r="E170" s="27"/>
      <c r="F170" s="29"/>
      <c r="G170" s="25" t="str">
        <f>IFERROR(IF(C170="","",INDEX(마스터!$J$4:$J$20,MATCH(C170,마스터!$M$4:$M$20,0))),"")</f>
        <v/>
      </c>
      <c r="H170" s="30"/>
      <c r="I170" s="30"/>
      <c r="AC170" s="32">
        <f>IF(AND(E170&lt;&gt;"",C170&lt;&gt;"",COUNTIFS($C$8:C170,C170,$E$8:E170,E170)=1),1,0)</f>
        <v>0</v>
      </c>
    </row>
    <row r="171" spans="1:29" ht="15" customHeight="1" x14ac:dyDescent="0.25">
      <c r="A171" s="25" t="str">
        <f t="shared" si="2"/>
        <v/>
      </c>
      <c r="B171" s="26"/>
      <c r="C171" s="27"/>
      <c r="D171" s="28" t="str">
        <f>IFERROR(IF(C171="","",INDEX(마스터!$F$4:$F$20,MATCH(C171,마스터!$M$4:$M$20,0))),"")</f>
        <v/>
      </c>
      <c r="E171" s="27"/>
      <c r="F171" s="29"/>
      <c r="G171" s="25" t="str">
        <f>IFERROR(IF(C171="","",INDEX(마스터!$J$4:$J$20,MATCH(C171,마스터!$M$4:$M$20,0))),"")</f>
        <v/>
      </c>
      <c r="H171" s="30"/>
      <c r="I171" s="30"/>
      <c r="AC171" s="32">
        <f>IF(AND(E171&lt;&gt;"",C171&lt;&gt;"",COUNTIFS($C$8:C171,C171,$E$8:E171,E171)=1),1,0)</f>
        <v>0</v>
      </c>
    </row>
    <row r="172" spans="1:29" ht="15" customHeight="1" x14ac:dyDescent="0.25">
      <c r="A172" s="25" t="str">
        <f t="shared" si="2"/>
        <v/>
      </c>
      <c r="B172" s="26"/>
      <c r="C172" s="27"/>
      <c r="D172" s="28" t="str">
        <f>IFERROR(IF(C172="","",INDEX(마스터!$F$4:$F$20,MATCH(C172,마스터!$M$4:$M$20,0))),"")</f>
        <v/>
      </c>
      <c r="E172" s="27"/>
      <c r="F172" s="29"/>
      <c r="G172" s="25" t="str">
        <f>IFERROR(IF(C172="","",INDEX(마스터!$J$4:$J$20,MATCH(C172,마스터!$M$4:$M$20,0))),"")</f>
        <v/>
      </c>
      <c r="H172" s="30"/>
      <c r="I172" s="30"/>
      <c r="AC172" s="32">
        <f>IF(AND(E172&lt;&gt;"",C172&lt;&gt;"",COUNTIFS($C$8:C172,C172,$E$8:E172,E172)=1),1,0)</f>
        <v>0</v>
      </c>
    </row>
    <row r="173" spans="1:29" ht="15" customHeight="1" x14ac:dyDescent="0.25">
      <c r="A173" s="25" t="str">
        <f t="shared" si="2"/>
        <v/>
      </c>
      <c r="B173" s="26"/>
      <c r="C173" s="27"/>
      <c r="D173" s="28" t="str">
        <f>IFERROR(IF(C173="","",INDEX(마스터!$F$4:$F$20,MATCH(C173,마스터!$M$4:$M$20,0))),"")</f>
        <v/>
      </c>
      <c r="E173" s="27"/>
      <c r="F173" s="29"/>
      <c r="G173" s="25" t="str">
        <f>IFERROR(IF(C173="","",INDEX(마스터!$J$4:$J$20,MATCH(C173,마스터!$M$4:$M$20,0))),"")</f>
        <v/>
      </c>
      <c r="H173" s="30"/>
      <c r="I173" s="30"/>
      <c r="AC173" s="32">
        <f>IF(AND(E173&lt;&gt;"",C173&lt;&gt;"",COUNTIFS($C$8:C173,C173,$E$8:E173,E173)=1),1,0)</f>
        <v>0</v>
      </c>
    </row>
    <row r="174" spans="1:29" ht="15" customHeight="1" x14ac:dyDescent="0.25">
      <c r="A174" s="25" t="str">
        <f t="shared" si="2"/>
        <v/>
      </c>
      <c r="B174" s="26"/>
      <c r="C174" s="27"/>
      <c r="D174" s="28" t="str">
        <f>IFERROR(IF(C174="","",INDEX(마스터!$F$4:$F$20,MATCH(C174,마스터!$M$4:$M$20,0))),"")</f>
        <v/>
      </c>
      <c r="E174" s="27"/>
      <c r="F174" s="29"/>
      <c r="G174" s="25" t="str">
        <f>IFERROR(IF(C174="","",INDEX(마스터!$J$4:$J$20,MATCH(C174,마스터!$M$4:$M$20,0))),"")</f>
        <v/>
      </c>
      <c r="H174" s="30"/>
      <c r="I174" s="30"/>
      <c r="AC174" s="32">
        <f>IF(AND(E174&lt;&gt;"",C174&lt;&gt;"",COUNTIFS($C$8:C174,C174,$E$8:E174,E174)=1),1,0)</f>
        <v>0</v>
      </c>
    </row>
    <row r="175" spans="1:29" ht="15" customHeight="1" x14ac:dyDescent="0.25">
      <c r="A175" s="25" t="str">
        <f t="shared" si="2"/>
        <v/>
      </c>
      <c r="B175" s="26"/>
      <c r="C175" s="27"/>
      <c r="D175" s="28" t="str">
        <f>IFERROR(IF(C175="","",INDEX(마스터!$F$4:$F$20,MATCH(C175,마스터!$M$4:$M$20,0))),"")</f>
        <v/>
      </c>
      <c r="E175" s="27"/>
      <c r="F175" s="29"/>
      <c r="G175" s="25" t="str">
        <f>IFERROR(IF(C175="","",INDEX(마스터!$J$4:$J$20,MATCH(C175,마스터!$M$4:$M$20,0))),"")</f>
        <v/>
      </c>
      <c r="H175" s="30"/>
      <c r="I175" s="30"/>
      <c r="AC175" s="32">
        <f>IF(AND(E175&lt;&gt;"",C175&lt;&gt;"",COUNTIFS($C$8:C175,C175,$E$8:E175,E175)=1),1,0)</f>
        <v>0</v>
      </c>
    </row>
    <row r="176" spans="1:29" ht="15" customHeight="1" x14ac:dyDescent="0.25">
      <c r="A176" s="25" t="str">
        <f t="shared" si="2"/>
        <v/>
      </c>
      <c r="B176" s="26"/>
      <c r="C176" s="27"/>
      <c r="D176" s="28" t="str">
        <f>IFERROR(IF(C176="","",INDEX(마스터!$F$4:$F$20,MATCH(C176,마스터!$M$4:$M$20,0))),"")</f>
        <v/>
      </c>
      <c r="E176" s="27"/>
      <c r="F176" s="29"/>
      <c r="G176" s="25" t="str">
        <f>IFERROR(IF(C176="","",INDEX(마스터!$J$4:$J$20,MATCH(C176,마스터!$M$4:$M$20,0))),"")</f>
        <v/>
      </c>
      <c r="H176" s="30"/>
      <c r="I176" s="30"/>
      <c r="AC176" s="32">
        <f>IF(AND(E176&lt;&gt;"",C176&lt;&gt;"",COUNTIFS($C$8:C176,C176,$E$8:E176,E176)=1),1,0)</f>
        <v>0</v>
      </c>
    </row>
    <row r="177" spans="1:29" ht="15" customHeight="1" x14ac:dyDescent="0.25">
      <c r="A177" s="25" t="str">
        <f t="shared" si="2"/>
        <v/>
      </c>
      <c r="B177" s="26"/>
      <c r="C177" s="27"/>
      <c r="D177" s="28" t="str">
        <f>IFERROR(IF(C177="","",INDEX(마스터!$F$4:$F$20,MATCH(C177,마스터!$M$4:$M$20,0))),"")</f>
        <v/>
      </c>
      <c r="E177" s="27"/>
      <c r="F177" s="29"/>
      <c r="G177" s="25" t="str">
        <f>IFERROR(IF(C177="","",INDEX(마스터!$J$4:$J$20,MATCH(C177,마스터!$M$4:$M$20,0))),"")</f>
        <v/>
      </c>
      <c r="H177" s="30"/>
      <c r="I177" s="30"/>
      <c r="AC177" s="32">
        <f>IF(AND(E177&lt;&gt;"",C177&lt;&gt;"",COUNTIFS($C$8:C177,C177,$E$8:E177,E177)=1),1,0)</f>
        <v>0</v>
      </c>
    </row>
    <row r="178" spans="1:29" ht="15" customHeight="1" x14ac:dyDescent="0.25">
      <c r="A178" s="25" t="str">
        <f t="shared" si="2"/>
        <v/>
      </c>
      <c r="B178" s="26"/>
      <c r="C178" s="27"/>
      <c r="D178" s="28" t="str">
        <f>IFERROR(IF(C178="","",INDEX(마스터!$F$4:$F$20,MATCH(C178,마스터!$M$4:$M$20,0))),"")</f>
        <v/>
      </c>
      <c r="E178" s="27"/>
      <c r="F178" s="29"/>
      <c r="G178" s="25" t="str">
        <f>IFERROR(IF(C178="","",INDEX(마스터!$J$4:$J$20,MATCH(C178,마스터!$M$4:$M$20,0))),"")</f>
        <v/>
      </c>
      <c r="H178" s="30"/>
      <c r="I178" s="30"/>
      <c r="AC178" s="32">
        <f>IF(AND(E178&lt;&gt;"",C178&lt;&gt;"",COUNTIFS($C$8:C178,C178,$E$8:E178,E178)=1),1,0)</f>
        <v>0</v>
      </c>
    </row>
    <row r="179" spans="1:29" ht="15" customHeight="1" x14ac:dyDescent="0.25">
      <c r="A179" s="25" t="str">
        <f t="shared" si="2"/>
        <v/>
      </c>
      <c r="B179" s="26"/>
      <c r="C179" s="27"/>
      <c r="D179" s="28" t="str">
        <f>IFERROR(IF(C179="","",INDEX(마스터!$F$4:$F$20,MATCH(C179,마스터!$M$4:$M$20,0))),"")</f>
        <v/>
      </c>
      <c r="E179" s="27"/>
      <c r="F179" s="29"/>
      <c r="G179" s="25" t="str">
        <f>IFERROR(IF(C179="","",INDEX(마스터!$J$4:$J$20,MATCH(C179,마스터!$M$4:$M$20,0))),"")</f>
        <v/>
      </c>
      <c r="H179" s="30"/>
      <c r="I179" s="30"/>
      <c r="AC179" s="32">
        <f>IF(AND(E179&lt;&gt;"",C179&lt;&gt;"",COUNTIFS($C$8:C179,C179,$E$8:E179,E179)=1),1,0)</f>
        <v>0</v>
      </c>
    </row>
    <row r="180" spans="1:29" ht="15" customHeight="1" x14ac:dyDescent="0.25">
      <c r="A180" s="25" t="str">
        <f t="shared" si="2"/>
        <v/>
      </c>
      <c r="B180" s="26"/>
      <c r="C180" s="27"/>
      <c r="D180" s="28" t="str">
        <f>IFERROR(IF(C180="","",INDEX(마스터!$F$4:$F$20,MATCH(C180,마스터!$M$4:$M$20,0))),"")</f>
        <v/>
      </c>
      <c r="E180" s="27"/>
      <c r="F180" s="29"/>
      <c r="G180" s="25" t="str">
        <f>IFERROR(IF(C180="","",INDEX(마스터!$J$4:$J$20,MATCH(C180,마스터!$M$4:$M$20,0))),"")</f>
        <v/>
      </c>
      <c r="H180" s="30"/>
      <c r="I180" s="30"/>
      <c r="AC180" s="32">
        <f>IF(AND(E180&lt;&gt;"",C180&lt;&gt;"",COUNTIFS($C$8:C180,C180,$E$8:E180,E180)=1),1,0)</f>
        <v>0</v>
      </c>
    </row>
    <row r="181" spans="1:29" ht="15" customHeight="1" x14ac:dyDescent="0.25">
      <c r="A181" s="25" t="str">
        <f t="shared" si="2"/>
        <v/>
      </c>
      <c r="B181" s="26"/>
      <c r="C181" s="27"/>
      <c r="D181" s="28" t="str">
        <f>IFERROR(IF(C181="","",INDEX(마스터!$F$4:$F$20,MATCH(C181,마스터!$M$4:$M$20,0))),"")</f>
        <v/>
      </c>
      <c r="E181" s="27"/>
      <c r="F181" s="29"/>
      <c r="G181" s="25" t="str">
        <f>IFERROR(IF(C181="","",INDEX(마스터!$J$4:$J$20,MATCH(C181,마스터!$M$4:$M$20,0))),"")</f>
        <v/>
      </c>
      <c r="H181" s="30"/>
      <c r="I181" s="30"/>
      <c r="AC181" s="32">
        <f>IF(AND(E181&lt;&gt;"",C181&lt;&gt;"",COUNTIFS($C$8:C181,C181,$E$8:E181,E181)=1),1,0)</f>
        <v>0</v>
      </c>
    </row>
    <row r="182" spans="1:29" ht="15" customHeight="1" x14ac:dyDescent="0.25">
      <c r="A182" s="25" t="str">
        <f t="shared" si="2"/>
        <v/>
      </c>
      <c r="B182" s="26"/>
      <c r="C182" s="27"/>
      <c r="D182" s="28" t="str">
        <f>IFERROR(IF(C182="","",INDEX(마스터!$F$4:$F$20,MATCH(C182,마스터!$M$4:$M$20,0))),"")</f>
        <v/>
      </c>
      <c r="E182" s="27"/>
      <c r="F182" s="29"/>
      <c r="G182" s="25" t="str">
        <f>IFERROR(IF(C182="","",INDEX(마스터!$J$4:$J$20,MATCH(C182,마스터!$M$4:$M$20,0))),"")</f>
        <v/>
      </c>
      <c r="H182" s="30"/>
      <c r="I182" s="30"/>
      <c r="AC182" s="32">
        <f>IF(AND(E182&lt;&gt;"",C182&lt;&gt;"",COUNTIFS($C$8:C182,C182,$E$8:E182,E182)=1),1,0)</f>
        <v>0</v>
      </c>
    </row>
    <row r="183" spans="1:29" ht="15" customHeight="1" x14ac:dyDescent="0.25">
      <c r="A183" s="25" t="str">
        <f t="shared" si="2"/>
        <v/>
      </c>
      <c r="B183" s="26"/>
      <c r="C183" s="27"/>
      <c r="D183" s="28" t="str">
        <f>IFERROR(IF(C183="","",INDEX(마스터!$F$4:$F$20,MATCH(C183,마스터!$M$4:$M$20,0))),"")</f>
        <v/>
      </c>
      <c r="E183" s="27"/>
      <c r="F183" s="29"/>
      <c r="G183" s="25" t="str">
        <f>IFERROR(IF(C183="","",INDEX(마스터!$J$4:$J$20,MATCH(C183,마스터!$M$4:$M$20,0))),"")</f>
        <v/>
      </c>
      <c r="H183" s="30"/>
      <c r="I183" s="30"/>
      <c r="AC183" s="32">
        <f>IF(AND(E183&lt;&gt;"",C183&lt;&gt;"",COUNTIFS($C$8:C183,C183,$E$8:E183,E183)=1),1,0)</f>
        <v>0</v>
      </c>
    </row>
    <row r="184" spans="1:29" ht="15" customHeight="1" x14ac:dyDescent="0.25">
      <c r="A184" s="25" t="str">
        <f t="shared" si="2"/>
        <v/>
      </c>
      <c r="B184" s="26"/>
      <c r="C184" s="27"/>
      <c r="D184" s="28" t="str">
        <f>IFERROR(IF(C184="","",INDEX(마스터!$F$4:$F$20,MATCH(C184,마스터!$M$4:$M$20,0))),"")</f>
        <v/>
      </c>
      <c r="E184" s="27"/>
      <c r="F184" s="29"/>
      <c r="G184" s="25" t="str">
        <f>IFERROR(IF(C184="","",INDEX(마스터!$J$4:$J$20,MATCH(C184,마스터!$M$4:$M$20,0))),"")</f>
        <v/>
      </c>
      <c r="H184" s="30"/>
      <c r="I184" s="30"/>
      <c r="AC184" s="32">
        <f>IF(AND(E184&lt;&gt;"",C184&lt;&gt;"",COUNTIFS($C$8:C184,C184,$E$8:E184,E184)=1),1,0)</f>
        <v>0</v>
      </c>
    </row>
    <row r="185" spans="1:29" ht="15" customHeight="1" x14ac:dyDescent="0.25">
      <c r="A185" s="25" t="str">
        <f t="shared" si="2"/>
        <v/>
      </c>
      <c r="B185" s="26"/>
      <c r="C185" s="27"/>
      <c r="D185" s="28" t="str">
        <f>IFERROR(IF(C185="","",INDEX(마스터!$F$4:$F$20,MATCH(C185,마스터!$M$4:$M$20,0))),"")</f>
        <v/>
      </c>
      <c r="E185" s="27"/>
      <c r="F185" s="29"/>
      <c r="G185" s="25" t="str">
        <f>IFERROR(IF(C185="","",INDEX(마스터!$J$4:$J$20,MATCH(C185,마스터!$M$4:$M$20,0))),"")</f>
        <v/>
      </c>
      <c r="H185" s="30"/>
      <c r="I185" s="30"/>
      <c r="AC185" s="32">
        <f>IF(AND(E185&lt;&gt;"",C185&lt;&gt;"",COUNTIFS($C$8:C185,C185,$E$8:E185,E185)=1),1,0)</f>
        <v>0</v>
      </c>
    </row>
    <row r="186" spans="1:29" ht="15" customHeight="1" x14ac:dyDescent="0.25">
      <c r="A186" s="25" t="str">
        <f t="shared" si="2"/>
        <v/>
      </c>
      <c r="B186" s="26"/>
      <c r="C186" s="27"/>
      <c r="D186" s="28" t="str">
        <f>IFERROR(IF(C186="","",INDEX(마스터!$F$4:$F$20,MATCH(C186,마스터!$M$4:$M$20,0))),"")</f>
        <v/>
      </c>
      <c r="E186" s="27"/>
      <c r="F186" s="29"/>
      <c r="G186" s="25" t="str">
        <f>IFERROR(IF(C186="","",INDEX(마스터!$J$4:$J$20,MATCH(C186,마스터!$M$4:$M$20,0))),"")</f>
        <v/>
      </c>
      <c r="H186" s="30"/>
      <c r="I186" s="30"/>
      <c r="AC186" s="32">
        <f>IF(AND(E186&lt;&gt;"",C186&lt;&gt;"",COUNTIFS($C$8:C186,C186,$E$8:E186,E186)=1),1,0)</f>
        <v>0</v>
      </c>
    </row>
    <row r="187" spans="1:29" ht="15" customHeight="1" x14ac:dyDescent="0.25">
      <c r="A187" s="25" t="str">
        <f t="shared" si="2"/>
        <v/>
      </c>
      <c r="B187" s="26"/>
      <c r="C187" s="27"/>
      <c r="D187" s="28" t="str">
        <f>IFERROR(IF(C187="","",INDEX(마스터!$F$4:$F$20,MATCH(C187,마스터!$M$4:$M$20,0))),"")</f>
        <v/>
      </c>
      <c r="E187" s="27"/>
      <c r="F187" s="29"/>
      <c r="G187" s="25" t="str">
        <f>IFERROR(IF(C187="","",INDEX(마스터!$J$4:$J$20,MATCH(C187,마스터!$M$4:$M$20,0))),"")</f>
        <v/>
      </c>
      <c r="H187" s="30"/>
      <c r="I187" s="30"/>
      <c r="AC187" s="32">
        <f>IF(AND(E187&lt;&gt;"",C187&lt;&gt;"",COUNTIFS($C$8:C187,C187,$E$8:E187,E187)=1),1,0)</f>
        <v>0</v>
      </c>
    </row>
    <row r="188" spans="1:29" ht="15" customHeight="1" x14ac:dyDescent="0.25">
      <c r="A188" s="25" t="str">
        <f t="shared" si="2"/>
        <v/>
      </c>
      <c r="B188" s="26"/>
      <c r="C188" s="27"/>
      <c r="D188" s="28" t="str">
        <f>IFERROR(IF(C188="","",INDEX(마스터!$F$4:$F$20,MATCH(C188,마스터!$M$4:$M$20,0))),"")</f>
        <v/>
      </c>
      <c r="E188" s="27"/>
      <c r="F188" s="29"/>
      <c r="G188" s="25" t="str">
        <f>IFERROR(IF(C188="","",INDEX(마스터!$J$4:$J$20,MATCH(C188,마스터!$M$4:$M$20,0))),"")</f>
        <v/>
      </c>
      <c r="H188" s="30"/>
      <c r="I188" s="30"/>
      <c r="AC188" s="32">
        <f>IF(AND(E188&lt;&gt;"",C188&lt;&gt;"",COUNTIFS($C$8:C188,C188,$E$8:E188,E188)=1),1,0)</f>
        <v>0</v>
      </c>
    </row>
    <row r="189" spans="1:29" ht="15" customHeight="1" x14ac:dyDescent="0.25">
      <c r="A189" s="25" t="str">
        <f t="shared" si="2"/>
        <v/>
      </c>
      <c r="B189" s="26"/>
      <c r="C189" s="27"/>
      <c r="D189" s="28" t="str">
        <f>IFERROR(IF(C189="","",INDEX(마스터!$F$4:$F$20,MATCH(C189,마스터!$M$4:$M$20,0))),"")</f>
        <v/>
      </c>
      <c r="E189" s="27"/>
      <c r="F189" s="29"/>
      <c r="G189" s="25" t="str">
        <f>IFERROR(IF(C189="","",INDEX(마스터!$J$4:$J$20,MATCH(C189,마스터!$M$4:$M$20,0))),"")</f>
        <v/>
      </c>
      <c r="H189" s="30"/>
      <c r="I189" s="30"/>
      <c r="AC189" s="32">
        <f>IF(AND(E189&lt;&gt;"",C189&lt;&gt;"",COUNTIFS($C$8:C189,C189,$E$8:E189,E189)=1),1,0)</f>
        <v>0</v>
      </c>
    </row>
    <row r="190" spans="1:29" ht="15" customHeight="1" x14ac:dyDescent="0.25">
      <c r="A190" s="25" t="str">
        <f t="shared" si="2"/>
        <v/>
      </c>
      <c r="B190" s="26"/>
      <c r="C190" s="27"/>
      <c r="D190" s="28" t="str">
        <f>IFERROR(IF(C190="","",INDEX(마스터!$F$4:$F$20,MATCH(C190,마스터!$M$4:$M$20,0))),"")</f>
        <v/>
      </c>
      <c r="E190" s="27"/>
      <c r="F190" s="29"/>
      <c r="G190" s="25" t="str">
        <f>IFERROR(IF(C190="","",INDEX(마스터!$J$4:$J$20,MATCH(C190,마스터!$M$4:$M$20,0))),"")</f>
        <v/>
      </c>
      <c r="H190" s="30"/>
      <c r="I190" s="30"/>
      <c r="AC190" s="32">
        <f>IF(AND(E190&lt;&gt;"",C190&lt;&gt;"",COUNTIFS($C$8:C190,C190,$E$8:E190,E190)=1),1,0)</f>
        <v>0</v>
      </c>
    </row>
    <row r="191" spans="1:29" ht="15" customHeight="1" x14ac:dyDescent="0.25">
      <c r="A191" s="25" t="str">
        <f t="shared" si="2"/>
        <v/>
      </c>
      <c r="B191" s="26"/>
      <c r="C191" s="27"/>
      <c r="D191" s="28" t="str">
        <f>IFERROR(IF(C191="","",INDEX(마스터!$F$4:$F$20,MATCH(C191,마스터!$M$4:$M$20,0))),"")</f>
        <v/>
      </c>
      <c r="E191" s="27"/>
      <c r="F191" s="29"/>
      <c r="G191" s="25" t="str">
        <f>IFERROR(IF(C191="","",INDEX(마스터!$J$4:$J$20,MATCH(C191,마스터!$M$4:$M$20,0))),"")</f>
        <v/>
      </c>
      <c r="H191" s="30"/>
      <c r="I191" s="30"/>
      <c r="AC191" s="32">
        <f>IF(AND(E191&lt;&gt;"",C191&lt;&gt;"",COUNTIFS($C$8:C191,C191,$E$8:E191,E191)=1),1,0)</f>
        <v>0</v>
      </c>
    </row>
    <row r="192" spans="1:29" ht="15" customHeight="1" x14ac:dyDescent="0.25">
      <c r="A192" s="25" t="str">
        <f t="shared" si="2"/>
        <v/>
      </c>
      <c r="B192" s="26"/>
      <c r="C192" s="27"/>
      <c r="D192" s="28" t="str">
        <f>IFERROR(IF(C192="","",INDEX(마스터!$F$4:$F$20,MATCH(C192,마스터!$M$4:$M$20,0))),"")</f>
        <v/>
      </c>
      <c r="E192" s="27"/>
      <c r="F192" s="29"/>
      <c r="G192" s="25" t="str">
        <f>IFERROR(IF(C192="","",INDEX(마스터!$J$4:$J$20,MATCH(C192,마스터!$M$4:$M$20,0))),"")</f>
        <v/>
      </c>
      <c r="H192" s="30"/>
      <c r="I192" s="30"/>
      <c r="AC192" s="32">
        <f>IF(AND(E192&lt;&gt;"",C192&lt;&gt;"",COUNTIFS($C$8:C192,C192,$E$8:E192,E192)=1),1,0)</f>
        <v>0</v>
      </c>
    </row>
    <row r="193" spans="1:29" ht="15" customHeight="1" x14ac:dyDescent="0.25">
      <c r="A193" s="25" t="str">
        <f t="shared" si="2"/>
        <v/>
      </c>
      <c r="B193" s="26"/>
      <c r="C193" s="27"/>
      <c r="D193" s="28" t="str">
        <f>IFERROR(IF(C193="","",INDEX(마스터!$F$4:$F$20,MATCH(C193,마스터!$M$4:$M$20,0))),"")</f>
        <v/>
      </c>
      <c r="E193" s="27"/>
      <c r="F193" s="29"/>
      <c r="G193" s="25" t="str">
        <f>IFERROR(IF(C193="","",INDEX(마스터!$J$4:$J$20,MATCH(C193,마스터!$M$4:$M$20,0))),"")</f>
        <v/>
      </c>
      <c r="H193" s="30"/>
      <c r="I193" s="30"/>
      <c r="AC193" s="32">
        <f>IF(AND(E193&lt;&gt;"",C193&lt;&gt;"",COUNTIFS($C$8:C193,C193,$E$8:E193,E193)=1),1,0)</f>
        <v>0</v>
      </c>
    </row>
    <row r="194" spans="1:29" ht="15" customHeight="1" x14ac:dyDescent="0.25">
      <c r="A194" s="25" t="str">
        <f t="shared" si="2"/>
        <v/>
      </c>
      <c r="B194" s="26"/>
      <c r="C194" s="27"/>
      <c r="D194" s="28" t="str">
        <f>IFERROR(IF(C194="","",INDEX(마스터!$F$4:$F$20,MATCH(C194,마스터!$M$4:$M$20,0))),"")</f>
        <v/>
      </c>
      <c r="E194" s="27"/>
      <c r="F194" s="29"/>
      <c r="G194" s="25" t="str">
        <f>IFERROR(IF(C194="","",INDEX(마스터!$J$4:$J$20,MATCH(C194,마스터!$M$4:$M$20,0))),"")</f>
        <v/>
      </c>
      <c r="H194" s="30"/>
      <c r="I194" s="30"/>
      <c r="AC194" s="32">
        <f>IF(AND(E194&lt;&gt;"",C194&lt;&gt;"",COUNTIFS($C$8:C194,C194,$E$8:E194,E194)=1),1,0)</f>
        <v>0</v>
      </c>
    </row>
    <row r="195" spans="1:29" ht="15" customHeight="1" x14ac:dyDescent="0.25">
      <c r="A195" s="25" t="str">
        <f t="shared" si="2"/>
        <v/>
      </c>
      <c r="B195" s="26"/>
      <c r="C195" s="27"/>
      <c r="D195" s="28" t="str">
        <f>IFERROR(IF(C195="","",INDEX(마스터!$F$4:$F$20,MATCH(C195,마스터!$M$4:$M$20,0))),"")</f>
        <v/>
      </c>
      <c r="E195" s="27"/>
      <c r="F195" s="29"/>
      <c r="G195" s="25" t="str">
        <f>IFERROR(IF(C195="","",INDEX(마스터!$J$4:$J$20,MATCH(C195,마스터!$M$4:$M$20,0))),"")</f>
        <v/>
      </c>
      <c r="H195" s="30"/>
      <c r="I195" s="30"/>
      <c r="AC195" s="32">
        <f>IF(AND(E195&lt;&gt;"",C195&lt;&gt;"",COUNTIFS($C$8:C195,C195,$E$8:E195,E195)=1),1,0)</f>
        <v>0</v>
      </c>
    </row>
    <row r="196" spans="1:29" ht="15" customHeight="1" x14ac:dyDescent="0.25">
      <c r="A196" s="25" t="str">
        <f t="shared" si="2"/>
        <v/>
      </c>
      <c r="B196" s="26"/>
      <c r="C196" s="27"/>
      <c r="D196" s="28" t="str">
        <f>IFERROR(IF(C196="","",INDEX(마스터!$F$4:$F$20,MATCH(C196,마스터!$M$4:$M$20,0))),"")</f>
        <v/>
      </c>
      <c r="E196" s="27"/>
      <c r="F196" s="29"/>
      <c r="G196" s="25" t="str">
        <f>IFERROR(IF(C196="","",INDEX(마스터!$J$4:$J$20,MATCH(C196,마스터!$M$4:$M$20,0))),"")</f>
        <v/>
      </c>
      <c r="H196" s="30"/>
      <c r="I196" s="30"/>
      <c r="AC196" s="32">
        <f>IF(AND(E196&lt;&gt;"",C196&lt;&gt;"",COUNTIFS($C$8:C196,C196,$E$8:E196,E196)=1),1,0)</f>
        <v>0</v>
      </c>
    </row>
    <row r="197" spans="1:29" ht="15" customHeight="1" x14ac:dyDescent="0.25">
      <c r="A197" s="25" t="str">
        <f t="shared" si="2"/>
        <v/>
      </c>
      <c r="B197" s="26"/>
      <c r="C197" s="27"/>
      <c r="D197" s="28" t="str">
        <f>IFERROR(IF(C197="","",INDEX(마스터!$F$4:$F$20,MATCH(C197,마스터!$M$4:$M$20,0))),"")</f>
        <v/>
      </c>
      <c r="E197" s="27"/>
      <c r="F197" s="29"/>
      <c r="G197" s="25" t="str">
        <f>IFERROR(IF(C197="","",INDEX(마스터!$J$4:$J$20,MATCH(C197,마스터!$M$4:$M$20,0))),"")</f>
        <v/>
      </c>
      <c r="H197" s="30"/>
      <c r="I197" s="30"/>
      <c r="AC197" s="32">
        <f>IF(AND(E197&lt;&gt;"",C197&lt;&gt;"",COUNTIFS($C$8:C197,C197,$E$8:E197,E197)=1),1,0)</f>
        <v>0</v>
      </c>
    </row>
    <row r="198" spans="1:29" ht="15" customHeight="1" x14ac:dyDescent="0.25">
      <c r="A198" s="25" t="str">
        <f t="shared" si="2"/>
        <v/>
      </c>
      <c r="B198" s="26"/>
      <c r="C198" s="27"/>
      <c r="D198" s="28" t="str">
        <f>IFERROR(IF(C198="","",INDEX(마스터!$F$4:$F$20,MATCH(C198,마스터!$M$4:$M$20,0))),"")</f>
        <v/>
      </c>
      <c r="E198" s="27"/>
      <c r="F198" s="29"/>
      <c r="G198" s="25" t="str">
        <f>IFERROR(IF(C198="","",INDEX(마스터!$J$4:$J$20,MATCH(C198,마스터!$M$4:$M$20,0))),"")</f>
        <v/>
      </c>
      <c r="H198" s="30"/>
      <c r="I198" s="30"/>
      <c r="AC198" s="32">
        <f>IF(AND(E198&lt;&gt;"",C198&lt;&gt;"",COUNTIFS($C$8:C198,C198,$E$8:E198,E198)=1),1,0)</f>
        <v>0</v>
      </c>
    </row>
    <row r="199" spans="1:29" ht="15" customHeight="1" x14ac:dyDescent="0.25">
      <c r="A199" s="25" t="str">
        <f t="shared" si="2"/>
        <v/>
      </c>
      <c r="B199" s="26"/>
      <c r="C199" s="27"/>
      <c r="D199" s="28" t="str">
        <f>IFERROR(IF(C199="","",INDEX(마스터!$F$4:$F$20,MATCH(C199,마스터!$M$4:$M$20,0))),"")</f>
        <v/>
      </c>
      <c r="E199" s="27"/>
      <c r="F199" s="29"/>
      <c r="G199" s="25" t="str">
        <f>IFERROR(IF(C199="","",INDEX(마스터!$J$4:$J$20,MATCH(C199,마스터!$M$4:$M$20,0))),"")</f>
        <v/>
      </c>
      <c r="H199" s="30"/>
      <c r="I199" s="30"/>
      <c r="AC199" s="32">
        <f>IF(AND(E199&lt;&gt;"",C199&lt;&gt;"",COUNTIFS($C$8:C199,C199,$E$8:E199,E199)=1),1,0)</f>
        <v>0</v>
      </c>
    </row>
    <row r="200" spans="1:29" ht="15" customHeight="1" x14ac:dyDescent="0.25">
      <c r="A200" s="25" t="str">
        <f t="shared" ref="A200:A263" si="3">IF(B200="","",ROW()-7)</f>
        <v/>
      </c>
      <c r="B200" s="26"/>
      <c r="C200" s="27"/>
      <c r="D200" s="28" t="str">
        <f>IFERROR(IF(C200="","",INDEX(마스터!$F$4:$F$20,MATCH(C200,마스터!$M$4:$M$20,0))),"")</f>
        <v/>
      </c>
      <c r="E200" s="27"/>
      <c r="F200" s="29"/>
      <c r="G200" s="25" t="str">
        <f>IFERROR(IF(C200="","",INDEX(마스터!$J$4:$J$20,MATCH(C200,마스터!$M$4:$M$20,0))),"")</f>
        <v/>
      </c>
      <c r="H200" s="30"/>
      <c r="I200" s="30"/>
      <c r="AC200" s="32">
        <f>IF(AND(E200&lt;&gt;"",C200&lt;&gt;"",COUNTIFS($C$8:C200,C200,$E$8:E200,E200)=1),1,0)</f>
        <v>0</v>
      </c>
    </row>
    <row r="201" spans="1:29" ht="15" customHeight="1" x14ac:dyDescent="0.25">
      <c r="A201" s="25" t="str">
        <f t="shared" si="3"/>
        <v/>
      </c>
      <c r="B201" s="26"/>
      <c r="C201" s="27"/>
      <c r="D201" s="28" t="str">
        <f>IFERROR(IF(C201="","",INDEX(마스터!$F$4:$F$20,MATCH(C201,마스터!$M$4:$M$20,0))),"")</f>
        <v/>
      </c>
      <c r="E201" s="27"/>
      <c r="F201" s="29"/>
      <c r="G201" s="25" t="str">
        <f>IFERROR(IF(C201="","",INDEX(마스터!$J$4:$J$20,MATCH(C201,마스터!$M$4:$M$20,0))),"")</f>
        <v/>
      </c>
      <c r="H201" s="30"/>
      <c r="I201" s="30"/>
      <c r="AC201" s="32">
        <f>IF(AND(E201&lt;&gt;"",C201&lt;&gt;"",COUNTIFS($C$8:C201,C201,$E$8:E201,E201)=1),1,0)</f>
        <v>0</v>
      </c>
    </row>
    <row r="202" spans="1:29" ht="15" customHeight="1" x14ac:dyDescent="0.25">
      <c r="A202" s="25" t="str">
        <f t="shared" si="3"/>
        <v/>
      </c>
      <c r="B202" s="26"/>
      <c r="C202" s="27"/>
      <c r="D202" s="28" t="str">
        <f>IFERROR(IF(C202="","",INDEX(마스터!$F$4:$F$20,MATCH(C202,마스터!$M$4:$M$20,0))),"")</f>
        <v/>
      </c>
      <c r="E202" s="27"/>
      <c r="F202" s="29"/>
      <c r="G202" s="25" t="str">
        <f>IFERROR(IF(C202="","",INDEX(마스터!$J$4:$J$20,MATCH(C202,마스터!$M$4:$M$20,0))),"")</f>
        <v/>
      </c>
      <c r="H202" s="30"/>
      <c r="I202" s="30"/>
      <c r="AC202" s="32">
        <f>IF(AND(E202&lt;&gt;"",C202&lt;&gt;"",COUNTIFS($C$8:C202,C202,$E$8:E202,E202)=1),1,0)</f>
        <v>0</v>
      </c>
    </row>
    <row r="203" spans="1:29" ht="15" customHeight="1" x14ac:dyDescent="0.25">
      <c r="A203" s="25" t="str">
        <f t="shared" si="3"/>
        <v/>
      </c>
      <c r="B203" s="26"/>
      <c r="C203" s="27"/>
      <c r="D203" s="28" t="str">
        <f>IFERROR(IF(C203="","",INDEX(마스터!$F$4:$F$20,MATCH(C203,마스터!$M$4:$M$20,0))),"")</f>
        <v/>
      </c>
      <c r="E203" s="27"/>
      <c r="F203" s="29"/>
      <c r="G203" s="25" t="str">
        <f>IFERROR(IF(C203="","",INDEX(마스터!$J$4:$J$20,MATCH(C203,마스터!$M$4:$M$20,0))),"")</f>
        <v/>
      </c>
      <c r="H203" s="30"/>
      <c r="I203" s="30"/>
      <c r="AC203" s="32">
        <f>IF(AND(E203&lt;&gt;"",C203&lt;&gt;"",COUNTIFS($C$8:C203,C203,$E$8:E203,E203)=1),1,0)</f>
        <v>0</v>
      </c>
    </row>
    <row r="204" spans="1:29" ht="15" customHeight="1" x14ac:dyDescent="0.25">
      <c r="A204" s="25" t="str">
        <f t="shared" si="3"/>
        <v/>
      </c>
      <c r="B204" s="26"/>
      <c r="C204" s="27"/>
      <c r="D204" s="28" t="str">
        <f>IFERROR(IF(C204="","",INDEX(마스터!$F$4:$F$20,MATCH(C204,마스터!$M$4:$M$20,0))),"")</f>
        <v/>
      </c>
      <c r="E204" s="27"/>
      <c r="F204" s="29"/>
      <c r="G204" s="25" t="str">
        <f>IFERROR(IF(C204="","",INDEX(마스터!$J$4:$J$20,MATCH(C204,마스터!$M$4:$M$20,0))),"")</f>
        <v/>
      </c>
      <c r="H204" s="30"/>
      <c r="I204" s="30"/>
      <c r="AC204" s="32">
        <f>IF(AND(E204&lt;&gt;"",C204&lt;&gt;"",COUNTIFS($C$8:C204,C204,$E$8:E204,E204)=1),1,0)</f>
        <v>0</v>
      </c>
    </row>
    <row r="205" spans="1:29" ht="15" customHeight="1" x14ac:dyDescent="0.25">
      <c r="A205" s="25" t="str">
        <f t="shared" si="3"/>
        <v/>
      </c>
      <c r="B205" s="26"/>
      <c r="C205" s="27"/>
      <c r="D205" s="28" t="str">
        <f>IFERROR(IF(C205="","",INDEX(마스터!$F$4:$F$20,MATCH(C205,마스터!$M$4:$M$20,0))),"")</f>
        <v/>
      </c>
      <c r="E205" s="27"/>
      <c r="F205" s="29"/>
      <c r="G205" s="25" t="str">
        <f>IFERROR(IF(C205="","",INDEX(마스터!$J$4:$J$20,MATCH(C205,마스터!$M$4:$M$20,0))),"")</f>
        <v/>
      </c>
      <c r="H205" s="30"/>
      <c r="I205" s="30"/>
      <c r="AC205" s="32">
        <f>IF(AND(E205&lt;&gt;"",C205&lt;&gt;"",COUNTIFS($C$8:C205,C205,$E$8:E205,E205)=1),1,0)</f>
        <v>0</v>
      </c>
    </row>
    <row r="206" spans="1:29" ht="15" customHeight="1" x14ac:dyDescent="0.25">
      <c r="A206" s="25" t="str">
        <f t="shared" si="3"/>
        <v/>
      </c>
      <c r="B206" s="26"/>
      <c r="C206" s="27"/>
      <c r="D206" s="28" t="str">
        <f>IFERROR(IF(C206="","",INDEX(마스터!$F$4:$F$20,MATCH(C206,마스터!$M$4:$M$20,0))),"")</f>
        <v/>
      </c>
      <c r="E206" s="27"/>
      <c r="F206" s="29"/>
      <c r="G206" s="25" t="str">
        <f>IFERROR(IF(C206="","",INDEX(마스터!$J$4:$J$20,MATCH(C206,마스터!$M$4:$M$20,0))),"")</f>
        <v/>
      </c>
      <c r="H206" s="30"/>
      <c r="I206" s="30"/>
      <c r="AC206" s="32">
        <f>IF(AND(E206&lt;&gt;"",C206&lt;&gt;"",COUNTIFS($C$8:C206,C206,$E$8:E206,E206)=1),1,0)</f>
        <v>0</v>
      </c>
    </row>
    <row r="207" spans="1:29" ht="15" customHeight="1" x14ac:dyDescent="0.25">
      <c r="A207" s="25" t="str">
        <f t="shared" si="3"/>
        <v/>
      </c>
      <c r="B207" s="26"/>
      <c r="C207" s="27"/>
      <c r="D207" s="28" t="str">
        <f>IFERROR(IF(C207="","",INDEX(마스터!$F$4:$F$20,MATCH(C207,마스터!$M$4:$M$20,0))),"")</f>
        <v/>
      </c>
      <c r="E207" s="27"/>
      <c r="F207" s="29"/>
      <c r="G207" s="25" t="str">
        <f>IFERROR(IF(C207="","",INDEX(마스터!$J$4:$J$20,MATCH(C207,마스터!$M$4:$M$20,0))),"")</f>
        <v/>
      </c>
      <c r="H207" s="30"/>
      <c r="I207" s="30"/>
      <c r="AC207" s="32">
        <f>IF(AND(E207&lt;&gt;"",C207&lt;&gt;"",COUNTIFS($C$8:C207,C207,$E$8:E207,E207)=1),1,0)</f>
        <v>0</v>
      </c>
    </row>
    <row r="208" spans="1:29" ht="15" customHeight="1" x14ac:dyDescent="0.25">
      <c r="A208" s="25" t="str">
        <f t="shared" si="3"/>
        <v/>
      </c>
      <c r="B208" s="26"/>
      <c r="C208" s="27"/>
      <c r="D208" s="28" t="str">
        <f>IFERROR(IF(C208="","",INDEX(마스터!$F$4:$F$20,MATCH(C208,마스터!$M$4:$M$20,0))),"")</f>
        <v/>
      </c>
      <c r="E208" s="27"/>
      <c r="F208" s="29"/>
      <c r="G208" s="25" t="str">
        <f>IFERROR(IF(C208="","",INDEX(마스터!$J$4:$J$20,MATCH(C208,마스터!$M$4:$M$20,0))),"")</f>
        <v/>
      </c>
      <c r="H208" s="30"/>
      <c r="I208" s="30"/>
      <c r="AC208" s="32">
        <f>IF(AND(E208&lt;&gt;"",C208&lt;&gt;"",COUNTIFS($C$8:C208,C208,$E$8:E208,E208)=1),1,0)</f>
        <v>0</v>
      </c>
    </row>
    <row r="209" spans="1:29" ht="15" customHeight="1" x14ac:dyDescent="0.25">
      <c r="A209" s="25" t="str">
        <f t="shared" si="3"/>
        <v/>
      </c>
      <c r="B209" s="26"/>
      <c r="C209" s="27"/>
      <c r="D209" s="28" t="str">
        <f>IFERROR(IF(C209="","",INDEX(마스터!$F$4:$F$20,MATCH(C209,마스터!$M$4:$M$20,0))),"")</f>
        <v/>
      </c>
      <c r="E209" s="27"/>
      <c r="F209" s="29"/>
      <c r="G209" s="25" t="str">
        <f>IFERROR(IF(C209="","",INDEX(마스터!$J$4:$J$20,MATCH(C209,마스터!$M$4:$M$20,0))),"")</f>
        <v/>
      </c>
      <c r="H209" s="30"/>
      <c r="I209" s="30"/>
      <c r="AC209" s="32">
        <f>IF(AND(E209&lt;&gt;"",C209&lt;&gt;"",COUNTIFS($C$8:C209,C209,$E$8:E209,E209)=1),1,0)</f>
        <v>0</v>
      </c>
    </row>
    <row r="210" spans="1:29" ht="15" customHeight="1" x14ac:dyDescent="0.25">
      <c r="A210" s="25" t="str">
        <f t="shared" si="3"/>
        <v/>
      </c>
      <c r="B210" s="26"/>
      <c r="C210" s="27"/>
      <c r="D210" s="28" t="str">
        <f>IFERROR(IF(C210="","",INDEX(마스터!$F$4:$F$20,MATCH(C210,마스터!$M$4:$M$20,0))),"")</f>
        <v/>
      </c>
      <c r="E210" s="27"/>
      <c r="F210" s="29"/>
      <c r="G210" s="25" t="str">
        <f>IFERROR(IF(C210="","",INDEX(마스터!$J$4:$J$20,MATCH(C210,마스터!$M$4:$M$20,0))),"")</f>
        <v/>
      </c>
      <c r="H210" s="30"/>
      <c r="I210" s="30"/>
      <c r="AC210" s="32">
        <f>IF(AND(E210&lt;&gt;"",C210&lt;&gt;"",COUNTIFS($C$8:C210,C210,$E$8:E210,E210)=1),1,0)</f>
        <v>0</v>
      </c>
    </row>
    <row r="211" spans="1:29" ht="15" customHeight="1" x14ac:dyDescent="0.25">
      <c r="A211" s="25" t="str">
        <f t="shared" si="3"/>
        <v/>
      </c>
      <c r="B211" s="26"/>
      <c r="C211" s="27"/>
      <c r="D211" s="28" t="str">
        <f>IFERROR(IF(C211="","",INDEX(마스터!$F$4:$F$20,MATCH(C211,마스터!$M$4:$M$20,0))),"")</f>
        <v/>
      </c>
      <c r="E211" s="27"/>
      <c r="F211" s="29"/>
      <c r="G211" s="25" t="str">
        <f>IFERROR(IF(C211="","",INDEX(마스터!$J$4:$J$20,MATCH(C211,마스터!$M$4:$M$20,0))),"")</f>
        <v/>
      </c>
      <c r="H211" s="30"/>
      <c r="I211" s="30"/>
      <c r="AC211" s="32">
        <f>IF(AND(E211&lt;&gt;"",C211&lt;&gt;"",COUNTIFS($C$8:C211,C211,$E$8:E211,E211)=1),1,0)</f>
        <v>0</v>
      </c>
    </row>
    <row r="212" spans="1:29" ht="15" customHeight="1" x14ac:dyDescent="0.25">
      <c r="A212" s="25" t="str">
        <f t="shared" si="3"/>
        <v/>
      </c>
      <c r="B212" s="26"/>
      <c r="C212" s="27"/>
      <c r="D212" s="28" t="str">
        <f>IFERROR(IF(C212="","",INDEX(마스터!$F$4:$F$20,MATCH(C212,마스터!$M$4:$M$20,0))),"")</f>
        <v/>
      </c>
      <c r="E212" s="27"/>
      <c r="F212" s="29"/>
      <c r="G212" s="25" t="str">
        <f>IFERROR(IF(C212="","",INDEX(마스터!$J$4:$J$20,MATCH(C212,마스터!$M$4:$M$20,0))),"")</f>
        <v/>
      </c>
      <c r="H212" s="30"/>
      <c r="I212" s="30"/>
      <c r="AC212" s="32">
        <f>IF(AND(E212&lt;&gt;"",C212&lt;&gt;"",COUNTIFS($C$8:C212,C212,$E$8:E212,E212)=1),1,0)</f>
        <v>0</v>
      </c>
    </row>
    <row r="213" spans="1:29" ht="15" customHeight="1" x14ac:dyDescent="0.25">
      <c r="A213" s="25" t="str">
        <f t="shared" si="3"/>
        <v/>
      </c>
      <c r="B213" s="26"/>
      <c r="C213" s="27"/>
      <c r="D213" s="28" t="str">
        <f>IFERROR(IF(C213="","",INDEX(마스터!$F$4:$F$20,MATCH(C213,마스터!$M$4:$M$20,0))),"")</f>
        <v/>
      </c>
      <c r="E213" s="27"/>
      <c r="F213" s="29"/>
      <c r="G213" s="25" t="str">
        <f>IFERROR(IF(C213="","",INDEX(마스터!$J$4:$J$20,MATCH(C213,마스터!$M$4:$M$20,0))),"")</f>
        <v/>
      </c>
      <c r="H213" s="30"/>
      <c r="I213" s="30"/>
      <c r="AC213" s="32">
        <f>IF(AND(E213&lt;&gt;"",C213&lt;&gt;"",COUNTIFS($C$8:C213,C213,$E$8:E213,E213)=1),1,0)</f>
        <v>0</v>
      </c>
    </row>
    <row r="214" spans="1:29" ht="15" customHeight="1" x14ac:dyDescent="0.25">
      <c r="A214" s="25" t="str">
        <f t="shared" si="3"/>
        <v/>
      </c>
      <c r="B214" s="26"/>
      <c r="C214" s="27"/>
      <c r="D214" s="28" t="str">
        <f>IFERROR(IF(C214="","",INDEX(마스터!$F$4:$F$20,MATCH(C214,마스터!$M$4:$M$20,0))),"")</f>
        <v/>
      </c>
      <c r="E214" s="27"/>
      <c r="F214" s="29"/>
      <c r="G214" s="25" t="str">
        <f>IFERROR(IF(C214="","",INDEX(마스터!$J$4:$J$20,MATCH(C214,마스터!$M$4:$M$20,0))),"")</f>
        <v/>
      </c>
      <c r="H214" s="30"/>
      <c r="I214" s="30"/>
      <c r="AC214" s="32">
        <f>IF(AND(E214&lt;&gt;"",C214&lt;&gt;"",COUNTIFS($C$8:C214,C214,$E$8:E214,E214)=1),1,0)</f>
        <v>0</v>
      </c>
    </row>
    <row r="215" spans="1:29" ht="15" customHeight="1" x14ac:dyDescent="0.25">
      <c r="A215" s="25" t="str">
        <f t="shared" si="3"/>
        <v/>
      </c>
      <c r="B215" s="26"/>
      <c r="C215" s="27"/>
      <c r="D215" s="28" t="str">
        <f>IFERROR(IF(C215="","",INDEX(마스터!$F$4:$F$20,MATCH(C215,마스터!$M$4:$M$20,0))),"")</f>
        <v/>
      </c>
      <c r="E215" s="27"/>
      <c r="F215" s="29"/>
      <c r="G215" s="25" t="str">
        <f>IFERROR(IF(C215="","",INDEX(마스터!$J$4:$J$20,MATCH(C215,마스터!$M$4:$M$20,0))),"")</f>
        <v/>
      </c>
      <c r="H215" s="30"/>
      <c r="I215" s="30"/>
      <c r="AC215" s="32">
        <f>IF(AND(E215&lt;&gt;"",C215&lt;&gt;"",COUNTIFS($C$8:C215,C215,$E$8:E215,E215)=1),1,0)</f>
        <v>0</v>
      </c>
    </row>
    <row r="216" spans="1:29" ht="15" customHeight="1" x14ac:dyDescent="0.25">
      <c r="A216" s="25" t="str">
        <f t="shared" si="3"/>
        <v/>
      </c>
      <c r="B216" s="26"/>
      <c r="C216" s="27"/>
      <c r="D216" s="28" t="str">
        <f>IFERROR(IF(C216="","",INDEX(마스터!$F$4:$F$20,MATCH(C216,마스터!$M$4:$M$20,0))),"")</f>
        <v/>
      </c>
      <c r="E216" s="27"/>
      <c r="F216" s="29"/>
      <c r="G216" s="25" t="str">
        <f>IFERROR(IF(C216="","",INDEX(마스터!$J$4:$J$20,MATCH(C216,마스터!$M$4:$M$20,0))),"")</f>
        <v/>
      </c>
      <c r="H216" s="30"/>
      <c r="I216" s="30"/>
      <c r="AC216" s="32">
        <f>IF(AND(E216&lt;&gt;"",C216&lt;&gt;"",COUNTIFS($C$8:C216,C216,$E$8:E216,E216)=1),1,0)</f>
        <v>0</v>
      </c>
    </row>
    <row r="217" spans="1:29" ht="15" customHeight="1" x14ac:dyDescent="0.25">
      <c r="A217" s="25" t="str">
        <f t="shared" si="3"/>
        <v/>
      </c>
      <c r="B217" s="26"/>
      <c r="C217" s="27"/>
      <c r="D217" s="28" t="str">
        <f>IFERROR(IF(C217="","",INDEX(마스터!$F$4:$F$20,MATCH(C217,마스터!$M$4:$M$20,0))),"")</f>
        <v/>
      </c>
      <c r="E217" s="27"/>
      <c r="F217" s="29"/>
      <c r="G217" s="25" t="str">
        <f>IFERROR(IF(C217="","",INDEX(마스터!$J$4:$J$20,MATCH(C217,마스터!$M$4:$M$20,0))),"")</f>
        <v/>
      </c>
      <c r="H217" s="30"/>
      <c r="I217" s="30"/>
      <c r="AC217" s="32">
        <f>IF(AND(E217&lt;&gt;"",C217&lt;&gt;"",COUNTIFS($C$8:C217,C217,$E$8:E217,E217)=1),1,0)</f>
        <v>0</v>
      </c>
    </row>
    <row r="218" spans="1:29" ht="15" customHeight="1" x14ac:dyDescent="0.25">
      <c r="A218" s="25" t="str">
        <f t="shared" si="3"/>
        <v/>
      </c>
      <c r="B218" s="26"/>
      <c r="C218" s="27"/>
      <c r="D218" s="28" t="str">
        <f>IFERROR(IF(C218="","",INDEX(마스터!$F$4:$F$20,MATCH(C218,마스터!$M$4:$M$20,0))),"")</f>
        <v/>
      </c>
      <c r="E218" s="27"/>
      <c r="F218" s="29"/>
      <c r="G218" s="25" t="str">
        <f>IFERROR(IF(C218="","",INDEX(마스터!$J$4:$J$20,MATCH(C218,마스터!$M$4:$M$20,0))),"")</f>
        <v/>
      </c>
      <c r="H218" s="30"/>
      <c r="I218" s="30"/>
      <c r="AC218" s="32">
        <f>IF(AND(E218&lt;&gt;"",C218&lt;&gt;"",COUNTIFS($C$8:C218,C218,$E$8:E218,E218)=1),1,0)</f>
        <v>0</v>
      </c>
    </row>
    <row r="219" spans="1:29" ht="15" customHeight="1" x14ac:dyDescent="0.25">
      <c r="A219" s="25" t="str">
        <f t="shared" si="3"/>
        <v/>
      </c>
      <c r="B219" s="26"/>
      <c r="C219" s="27"/>
      <c r="D219" s="28" t="str">
        <f>IFERROR(IF(C219="","",INDEX(마스터!$F$4:$F$20,MATCH(C219,마스터!$M$4:$M$20,0))),"")</f>
        <v/>
      </c>
      <c r="E219" s="27"/>
      <c r="F219" s="29"/>
      <c r="G219" s="25" t="str">
        <f>IFERROR(IF(C219="","",INDEX(마스터!$J$4:$J$20,MATCH(C219,마스터!$M$4:$M$20,0))),"")</f>
        <v/>
      </c>
      <c r="H219" s="30"/>
      <c r="I219" s="30"/>
      <c r="AC219" s="32">
        <f>IF(AND(E219&lt;&gt;"",C219&lt;&gt;"",COUNTIFS($C$8:C219,C219,$E$8:E219,E219)=1),1,0)</f>
        <v>0</v>
      </c>
    </row>
    <row r="220" spans="1:29" ht="15" customHeight="1" x14ac:dyDescent="0.25">
      <c r="A220" s="25" t="str">
        <f t="shared" si="3"/>
        <v/>
      </c>
      <c r="B220" s="26"/>
      <c r="C220" s="27"/>
      <c r="D220" s="28" t="str">
        <f>IFERROR(IF(C220="","",INDEX(마스터!$F$4:$F$20,MATCH(C220,마스터!$M$4:$M$20,0))),"")</f>
        <v/>
      </c>
      <c r="E220" s="27"/>
      <c r="F220" s="29"/>
      <c r="G220" s="25" t="str">
        <f>IFERROR(IF(C220="","",INDEX(마스터!$J$4:$J$20,MATCH(C220,마스터!$M$4:$M$20,0))),"")</f>
        <v/>
      </c>
      <c r="H220" s="30"/>
      <c r="I220" s="30"/>
      <c r="AC220" s="32">
        <f>IF(AND(E220&lt;&gt;"",C220&lt;&gt;"",COUNTIFS($C$8:C220,C220,$E$8:E220,E220)=1),1,0)</f>
        <v>0</v>
      </c>
    </row>
    <row r="221" spans="1:29" ht="15" customHeight="1" x14ac:dyDescent="0.25">
      <c r="A221" s="25" t="str">
        <f t="shared" si="3"/>
        <v/>
      </c>
      <c r="B221" s="26"/>
      <c r="C221" s="27"/>
      <c r="D221" s="28" t="str">
        <f>IFERROR(IF(C221="","",INDEX(마스터!$F$4:$F$20,MATCH(C221,마스터!$M$4:$M$20,0))),"")</f>
        <v/>
      </c>
      <c r="E221" s="27"/>
      <c r="F221" s="29"/>
      <c r="G221" s="25" t="str">
        <f>IFERROR(IF(C221="","",INDEX(마스터!$J$4:$J$20,MATCH(C221,마스터!$M$4:$M$20,0))),"")</f>
        <v/>
      </c>
      <c r="H221" s="30"/>
      <c r="I221" s="30"/>
      <c r="AC221" s="32">
        <f>IF(AND(E221&lt;&gt;"",C221&lt;&gt;"",COUNTIFS($C$8:C221,C221,$E$8:E221,E221)=1),1,0)</f>
        <v>0</v>
      </c>
    </row>
    <row r="222" spans="1:29" ht="15" customHeight="1" x14ac:dyDescent="0.25">
      <c r="A222" s="25" t="str">
        <f t="shared" si="3"/>
        <v/>
      </c>
      <c r="B222" s="26"/>
      <c r="C222" s="27"/>
      <c r="D222" s="28" t="str">
        <f>IFERROR(IF(C222="","",INDEX(마스터!$F$4:$F$20,MATCH(C222,마스터!$M$4:$M$20,0))),"")</f>
        <v/>
      </c>
      <c r="E222" s="27"/>
      <c r="F222" s="29"/>
      <c r="G222" s="25" t="str">
        <f>IFERROR(IF(C222="","",INDEX(마스터!$J$4:$J$20,MATCH(C222,마스터!$M$4:$M$20,0))),"")</f>
        <v/>
      </c>
      <c r="H222" s="30"/>
      <c r="I222" s="30"/>
      <c r="AC222" s="32">
        <f>IF(AND(E222&lt;&gt;"",C222&lt;&gt;"",COUNTIFS($C$8:C222,C222,$E$8:E222,E222)=1),1,0)</f>
        <v>0</v>
      </c>
    </row>
    <row r="223" spans="1:29" ht="15" customHeight="1" x14ac:dyDescent="0.25">
      <c r="A223" s="25" t="str">
        <f t="shared" si="3"/>
        <v/>
      </c>
      <c r="B223" s="26"/>
      <c r="C223" s="27"/>
      <c r="D223" s="28" t="str">
        <f>IFERROR(IF(C223="","",INDEX(마스터!$F$4:$F$20,MATCH(C223,마스터!$M$4:$M$20,0))),"")</f>
        <v/>
      </c>
      <c r="E223" s="27"/>
      <c r="F223" s="29"/>
      <c r="G223" s="25" t="str">
        <f>IFERROR(IF(C223="","",INDEX(마스터!$J$4:$J$20,MATCH(C223,마스터!$M$4:$M$20,0))),"")</f>
        <v/>
      </c>
      <c r="H223" s="30"/>
      <c r="I223" s="30"/>
      <c r="AC223" s="32">
        <f>IF(AND(E223&lt;&gt;"",C223&lt;&gt;"",COUNTIFS($C$8:C223,C223,$E$8:E223,E223)=1),1,0)</f>
        <v>0</v>
      </c>
    </row>
    <row r="224" spans="1:29" ht="15" customHeight="1" x14ac:dyDescent="0.25">
      <c r="A224" s="25" t="str">
        <f t="shared" si="3"/>
        <v/>
      </c>
      <c r="B224" s="26"/>
      <c r="C224" s="27"/>
      <c r="D224" s="28" t="str">
        <f>IFERROR(IF(C224="","",INDEX(마스터!$F$4:$F$20,MATCH(C224,마스터!$M$4:$M$20,0))),"")</f>
        <v/>
      </c>
      <c r="E224" s="27"/>
      <c r="F224" s="29"/>
      <c r="G224" s="25" t="str">
        <f>IFERROR(IF(C224="","",INDEX(마스터!$J$4:$J$20,MATCH(C224,마스터!$M$4:$M$20,0))),"")</f>
        <v/>
      </c>
      <c r="H224" s="30"/>
      <c r="I224" s="30"/>
      <c r="AC224" s="32">
        <f>IF(AND(E224&lt;&gt;"",C224&lt;&gt;"",COUNTIFS($C$8:C224,C224,$E$8:E224,E224)=1),1,0)</f>
        <v>0</v>
      </c>
    </row>
    <row r="225" spans="1:29" ht="15" customHeight="1" x14ac:dyDescent="0.25">
      <c r="A225" s="25" t="str">
        <f t="shared" si="3"/>
        <v/>
      </c>
      <c r="B225" s="26"/>
      <c r="C225" s="27"/>
      <c r="D225" s="28" t="str">
        <f>IFERROR(IF(C225="","",INDEX(마스터!$F$4:$F$20,MATCH(C225,마스터!$M$4:$M$20,0))),"")</f>
        <v/>
      </c>
      <c r="E225" s="27"/>
      <c r="F225" s="29"/>
      <c r="G225" s="25" t="str">
        <f>IFERROR(IF(C225="","",INDEX(마스터!$J$4:$J$20,MATCH(C225,마스터!$M$4:$M$20,0))),"")</f>
        <v/>
      </c>
      <c r="H225" s="30"/>
      <c r="I225" s="30"/>
      <c r="AC225" s="32">
        <f>IF(AND(E225&lt;&gt;"",C225&lt;&gt;"",COUNTIFS($C$8:C225,C225,$E$8:E225,E225)=1),1,0)</f>
        <v>0</v>
      </c>
    </row>
    <row r="226" spans="1:29" ht="15" customHeight="1" x14ac:dyDescent="0.25">
      <c r="A226" s="25" t="str">
        <f t="shared" si="3"/>
        <v/>
      </c>
      <c r="B226" s="26"/>
      <c r="C226" s="27"/>
      <c r="D226" s="28" t="str">
        <f>IFERROR(IF(C226="","",INDEX(마스터!$F$4:$F$20,MATCH(C226,마스터!$M$4:$M$20,0))),"")</f>
        <v/>
      </c>
      <c r="E226" s="27"/>
      <c r="F226" s="29"/>
      <c r="G226" s="25" t="str">
        <f>IFERROR(IF(C226="","",INDEX(마스터!$J$4:$J$20,MATCH(C226,마스터!$M$4:$M$20,0))),"")</f>
        <v/>
      </c>
      <c r="H226" s="30"/>
      <c r="I226" s="30"/>
      <c r="AC226" s="32">
        <f>IF(AND(E226&lt;&gt;"",C226&lt;&gt;"",COUNTIFS($C$8:C226,C226,$E$8:E226,E226)=1),1,0)</f>
        <v>0</v>
      </c>
    </row>
    <row r="227" spans="1:29" ht="15" customHeight="1" x14ac:dyDescent="0.25">
      <c r="A227" s="25" t="str">
        <f t="shared" si="3"/>
        <v/>
      </c>
      <c r="B227" s="26"/>
      <c r="C227" s="27"/>
      <c r="D227" s="28" t="str">
        <f>IFERROR(IF(C227="","",INDEX(마스터!$F$4:$F$20,MATCH(C227,마스터!$M$4:$M$20,0))),"")</f>
        <v/>
      </c>
      <c r="E227" s="27"/>
      <c r="F227" s="29"/>
      <c r="G227" s="25" t="str">
        <f>IFERROR(IF(C227="","",INDEX(마스터!$J$4:$J$20,MATCH(C227,마스터!$M$4:$M$20,0))),"")</f>
        <v/>
      </c>
      <c r="H227" s="30"/>
      <c r="I227" s="30"/>
      <c r="AC227" s="32">
        <f>IF(AND(E227&lt;&gt;"",C227&lt;&gt;"",COUNTIFS($C$8:C227,C227,$E$8:E227,E227)=1),1,0)</f>
        <v>0</v>
      </c>
    </row>
    <row r="228" spans="1:29" ht="15" customHeight="1" x14ac:dyDescent="0.25">
      <c r="A228" s="25" t="str">
        <f t="shared" si="3"/>
        <v/>
      </c>
      <c r="B228" s="26"/>
      <c r="C228" s="27"/>
      <c r="D228" s="28" t="str">
        <f>IFERROR(IF(C228="","",INDEX(마스터!$F$4:$F$20,MATCH(C228,마스터!$M$4:$M$20,0))),"")</f>
        <v/>
      </c>
      <c r="E228" s="27"/>
      <c r="F228" s="29"/>
      <c r="G228" s="25" t="str">
        <f>IFERROR(IF(C228="","",INDEX(마스터!$J$4:$J$20,MATCH(C228,마스터!$M$4:$M$20,0))),"")</f>
        <v/>
      </c>
      <c r="H228" s="30"/>
      <c r="I228" s="30"/>
      <c r="AC228" s="32">
        <f>IF(AND(E228&lt;&gt;"",C228&lt;&gt;"",COUNTIFS($C$8:C228,C228,$E$8:E228,E228)=1),1,0)</f>
        <v>0</v>
      </c>
    </row>
    <row r="229" spans="1:29" ht="15" customHeight="1" x14ac:dyDescent="0.25">
      <c r="A229" s="25" t="str">
        <f t="shared" si="3"/>
        <v/>
      </c>
      <c r="B229" s="26"/>
      <c r="C229" s="27"/>
      <c r="D229" s="28" t="str">
        <f>IFERROR(IF(C229="","",INDEX(마스터!$F$4:$F$20,MATCH(C229,마스터!$M$4:$M$20,0))),"")</f>
        <v/>
      </c>
      <c r="E229" s="27"/>
      <c r="F229" s="29"/>
      <c r="G229" s="25" t="str">
        <f>IFERROR(IF(C229="","",INDEX(마스터!$J$4:$J$20,MATCH(C229,마스터!$M$4:$M$20,0))),"")</f>
        <v/>
      </c>
      <c r="H229" s="30"/>
      <c r="I229" s="30"/>
      <c r="AC229" s="32">
        <f>IF(AND(E229&lt;&gt;"",C229&lt;&gt;"",COUNTIFS($C$8:C229,C229,$E$8:E229,E229)=1),1,0)</f>
        <v>0</v>
      </c>
    </row>
    <row r="230" spans="1:29" ht="15" customHeight="1" x14ac:dyDescent="0.25">
      <c r="A230" s="25" t="str">
        <f t="shared" si="3"/>
        <v/>
      </c>
      <c r="B230" s="26"/>
      <c r="C230" s="27"/>
      <c r="D230" s="28" t="str">
        <f>IFERROR(IF(C230="","",INDEX(마스터!$F$4:$F$20,MATCH(C230,마스터!$M$4:$M$20,0))),"")</f>
        <v/>
      </c>
      <c r="E230" s="27"/>
      <c r="F230" s="29"/>
      <c r="G230" s="25" t="str">
        <f>IFERROR(IF(C230="","",INDEX(마스터!$J$4:$J$20,MATCH(C230,마스터!$M$4:$M$20,0))),"")</f>
        <v/>
      </c>
      <c r="H230" s="30"/>
      <c r="I230" s="30"/>
      <c r="AC230" s="32">
        <f>IF(AND(E230&lt;&gt;"",C230&lt;&gt;"",COUNTIFS($C$8:C230,C230,$E$8:E230,E230)=1),1,0)</f>
        <v>0</v>
      </c>
    </row>
    <row r="231" spans="1:29" ht="15" customHeight="1" x14ac:dyDescent="0.25">
      <c r="A231" s="25" t="str">
        <f t="shared" si="3"/>
        <v/>
      </c>
      <c r="B231" s="26"/>
      <c r="C231" s="27"/>
      <c r="D231" s="28" t="str">
        <f>IFERROR(IF(C231="","",INDEX(마스터!$F$4:$F$20,MATCH(C231,마스터!$M$4:$M$20,0))),"")</f>
        <v/>
      </c>
      <c r="E231" s="27"/>
      <c r="F231" s="29"/>
      <c r="G231" s="25" t="str">
        <f>IFERROR(IF(C231="","",INDEX(마스터!$J$4:$J$20,MATCH(C231,마스터!$M$4:$M$20,0))),"")</f>
        <v/>
      </c>
      <c r="H231" s="30"/>
      <c r="I231" s="30"/>
      <c r="AC231" s="32">
        <f>IF(AND(E231&lt;&gt;"",C231&lt;&gt;"",COUNTIFS($C$8:C231,C231,$E$8:E231,E231)=1),1,0)</f>
        <v>0</v>
      </c>
    </row>
    <row r="232" spans="1:29" ht="15" customHeight="1" x14ac:dyDescent="0.25">
      <c r="A232" s="25" t="str">
        <f t="shared" si="3"/>
        <v/>
      </c>
      <c r="B232" s="26"/>
      <c r="C232" s="27"/>
      <c r="D232" s="28" t="str">
        <f>IFERROR(IF(C232="","",INDEX(마스터!$F$4:$F$20,MATCH(C232,마스터!$M$4:$M$20,0))),"")</f>
        <v/>
      </c>
      <c r="E232" s="27"/>
      <c r="F232" s="29"/>
      <c r="G232" s="25" t="str">
        <f>IFERROR(IF(C232="","",INDEX(마스터!$J$4:$J$20,MATCH(C232,마스터!$M$4:$M$20,0))),"")</f>
        <v/>
      </c>
      <c r="H232" s="30"/>
      <c r="I232" s="30"/>
      <c r="AC232" s="32">
        <f>IF(AND(E232&lt;&gt;"",C232&lt;&gt;"",COUNTIFS($C$8:C232,C232,$E$8:E232,E232)=1),1,0)</f>
        <v>0</v>
      </c>
    </row>
    <row r="233" spans="1:29" ht="15" customHeight="1" x14ac:dyDescent="0.25">
      <c r="A233" s="25" t="str">
        <f t="shared" si="3"/>
        <v/>
      </c>
      <c r="B233" s="26"/>
      <c r="C233" s="27"/>
      <c r="D233" s="28" t="str">
        <f>IFERROR(IF(C233="","",INDEX(마스터!$F$4:$F$20,MATCH(C233,마스터!$M$4:$M$20,0))),"")</f>
        <v/>
      </c>
      <c r="E233" s="27"/>
      <c r="F233" s="29"/>
      <c r="G233" s="25" t="str">
        <f>IFERROR(IF(C233="","",INDEX(마스터!$J$4:$J$20,MATCH(C233,마스터!$M$4:$M$20,0))),"")</f>
        <v/>
      </c>
      <c r="H233" s="30"/>
      <c r="I233" s="30"/>
      <c r="AC233" s="32">
        <f>IF(AND(E233&lt;&gt;"",C233&lt;&gt;"",COUNTIFS($C$8:C233,C233,$E$8:E233,E233)=1),1,0)</f>
        <v>0</v>
      </c>
    </row>
    <row r="234" spans="1:29" ht="15" customHeight="1" x14ac:dyDescent="0.25">
      <c r="A234" s="25" t="str">
        <f t="shared" si="3"/>
        <v/>
      </c>
      <c r="B234" s="26"/>
      <c r="C234" s="27"/>
      <c r="D234" s="28" t="str">
        <f>IFERROR(IF(C234="","",INDEX(마스터!$F$4:$F$20,MATCH(C234,마스터!$M$4:$M$20,0))),"")</f>
        <v/>
      </c>
      <c r="E234" s="27"/>
      <c r="F234" s="29"/>
      <c r="G234" s="25" t="str">
        <f>IFERROR(IF(C234="","",INDEX(마스터!$J$4:$J$20,MATCH(C234,마스터!$M$4:$M$20,0))),"")</f>
        <v/>
      </c>
      <c r="H234" s="30"/>
      <c r="I234" s="30"/>
      <c r="AC234" s="32">
        <f>IF(AND(E234&lt;&gt;"",C234&lt;&gt;"",COUNTIFS($C$8:C234,C234,$E$8:E234,E234)=1),1,0)</f>
        <v>0</v>
      </c>
    </row>
    <row r="235" spans="1:29" ht="15" customHeight="1" x14ac:dyDescent="0.25">
      <c r="A235" s="25" t="str">
        <f t="shared" si="3"/>
        <v/>
      </c>
      <c r="B235" s="26"/>
      <c r="C235" s="27"/>
      <c r="D235" s="28" t="str">
        <f>IFERROR(IF(C235="","",INDEX(마스터!$F$4:$F$20,MATCH(C235,마스터!$M$4:$M$20,0))),"")</f>
        <v/>
      </c>
      <c r="E235" s="27"/>
      <c r="F235" s="29"/>
      <c r="G235" s="25" t="str">
        <f>IFERROR(IF(C235="","",INDEX(마스터!$J$4:$J$20,MATCH(C235,마스터!$M$4:$M$20,0))),"")</f>
        <v/>
      </c>
      <c r="H235" s="30"/>
      <c r="I235" s="30"/>
      <c r="AC235" s="32">
        <f>IF(AND(E235&lt;&gt;"",C235&lt;&gt;"",COUNTIFS($C$8:C235,C235,$E$8:E235,E235)=1),1,0)</f>
        <v>0</v>
      </c>
    </row>
    <row r="236" spans="1:29" ht="15" customHeight="1" x14ac:dyDescent="0.25">
      <c r="A236" s="25" t="str">
        <f t="shared" si="3"/>
        <v/>
      </c>
      <c r="B236" s="26"/>
      <c r="C236" s="27"/>
      <c r="D236" s="28" t="str">
        <f>IFERROR(IF(C236="","",INDEX(마스터!$F$4:$F$20,MATCH(C236,마스터!$M$4:$M$20,0))),"")</f>
        <v/>
      </c>
      <c r="E236" s="27"/>
      <c r="F236" s="29"/>
      <c r="G236" s="25" t="str">
        <f>IFERROR(IF(C236="","",INDEX(마스터!$J$4:$J$20,MATCH(C236,마스터!$M$4:$M$20,0))),"")</f>
        <v/>
      </c>
      <c r="H236" s="30"/>
      <c r="I236" s="30"/>
      <c r="AC236" s="32">
        <f>IF(AND(E236&lt;&gt;"",C236&lt;&gt;"",COUNTIFS($C$8:C236,C236,$E$8:E236,E236)=1),1,0)</f>
        <v>0</v>
      </c>
    </row>
    <row r="237" spans="1:29" ht="15" customHeight="1" x14ac:dyDescent="0.25">
      <c r="A237" s="25" t="str">
        <f t="shared" si="3"/>
        <v/>
      </c>
      <c r="B237" s="26"/>
      <c r="C237" s="27"/>
      <c r="D237" s="28" t="str">
        <f>IFERROR(IF(C237="","",INDEX(마스터!$F$4:$F$20,MATCH(C237,마스터!$M$4:$M$20,0))),"")</f>
        <v/>
      </c>
      <c r="E237" s="27"/>
      <c r="F237" s="29"/>
      <c r="G237" s="25" t="str">
        <f>IFERROR(IF(C237="","",INDEX(마스터!$J$4:$J$20,MATCH(C237,마스터!$M$4:$M$20,0))),"")</f>
        <v/>
      </c>
      <c r="H237" s="30"/>
      <c r="I237" s="30"/>
      <c r="AC237" s="32">
        <f>IF(AND(E237&lt;&gt;"",C237&lt;&gt;"",COUNTIFS($C$8:C237,C237,$E$8:E237,E237)=1),1,0)</f>
        <v>0</v>
      </c>
    </row>
    <row r="238" spans="1:29" ht="15" customHeight="1" x14ac:dyDescent="0.25">
      <c r="A238" s="25" t="str">
        <f t="shared" si="3"/>
        <v/>
      </c>
      <c r="B238" s="26"/>
      <c r="C238" s="27"/>
      <c r="D238" s="28" t="str">
        <f>IFERROR(IF(C238="","",INDEX(마스터!$F$4:$F$20,MATCH(C238,마스터!$M$4:$M$20,0))),"")</f>
        <v/>
      </c>
      <c r="E238" s="27"/>
      <c r="F238" s="29"/>
      <c r="G238" s="25" t="str">
        <f>IFERROR(IF(C238="","",INDEX(마스터!$J$4:$J$20,MATCH(C238,마스터!$M$4:$M$20,0))),"")</f>
        <v/>
      </c>
      <c r="H238" s="30"/>
      <c r="I238" s="30"/>
      <c r="AC238" s="32">
        <f>IF(AND(E238&lt;&gt;"",C238&lt;&gt;"",COUNTIFS($C$8:C238,C238,$E$8:E238,E238)=1),1,0)</f>
        <v>0</v>
      </c>
    </row>
    <row r="239" spans="1:29" ht="15" customHeight="1" x14ac:dyDescent="0.25">
      <c r="A239" s="25" t="str">
        <f t="shared" si="3"/>
        <v/>
      </c>
      <c r="B239" s="26"/>
      <c r="C239" s="27"/>
      <c r="D239" s="28" t="str">
        <f>IFERROR(IF(C239="","",INDEX(마스터!$F$4:$F$20,MATCH(C239,마스터!$M$4:$M$20,0))),"")</f>
        <v/>
      </c>
      <c r="E239" s="27"/>
      <c r="F239" s="29"/>
      <c r="G239" s="25" t="str">
        <f>IFERROR(IF(C239="","",INDEX(마스터!$J$4:$J$20,MATCH(C239,마스터!$M$4:$M$20,0))),"")</f>
        <v/>
      </c>
      <c r="H239" s="30"/>
      <c r="I239" s="30"/>
      <c r="AC239" s="32">
        <f>IF(AND(E239&lt;&gt;"",C239&lt;&gt;"",COUNTIFS($C$8:C239,C239,$E$8:E239,E239)=1),1,0)</f>
        <v>0</v>
      </c>
    </row>
    <row r="240" spans="1:29" ht="15" customHeight="1" x14ac:dyDescent="0.25">
      <c r="A240" s="25" t="str">
        <f t="shared" si="3"/>
        <v/>
      </c>
      <c r="B240" s="26"/>
      <c r="C240" s="27"/>
      <c r="D240" s="28" t="str">
        <f>IFERROR(IF(C240="","",INDEX(마스터!$F$4:$F$20,MATCH(C240,마스터!$M$4:$M$20,0))),"")</f>
        <v/>
      </c>
      <c r="E240" s="27"/>
      <c r="F240" s="29"/>
      <c r="G240" s="25" t="str">
        <f>IFERROR(IF(C240="","",INDEX(마스터!$J$4:$J$20,MATCH(C240,마스터!$M$4:$M$20,0))),"")</f>
        <v/>
      </c>
      <c r="H240" s="30"/>
      <c r="I240" s="30"/>
      <c r="AC240" s="32">
        <f>IF(AND(E240&lt;&gt;"",C240&lt;&gt;"",COUNTIFS($C$8:C240,C240,$E$8:E240,E240)=1),1,0)</f>
        <v>0</v>
      </c>
    </row>
    <row r="241" spans="1:29" ht="15" customHeight="1" x14ac:dyDescent="0.25">
      <c r="A241" s="25" t="str">
        <f t="shared" si="3"/>
        <v/>
      </c>
      <c r="B241" s="26"/>
      <c r="C241" s="27"/>
      <c r="D241" s="28" t="str">
        <f>IFERROR(IF(C241="","",INDEX(마스터!$F$4:$F$20,MATCH(C241,마스터!$M$4:$M$20,0))),"")</f>
        <v/>
      </c>
      <c r="E241" s="27"/>
      <c r="F241" s="29"/>
      <c r="G241" s="25" t="str">
        <f>IFERROR(IF(C241="","",INDEX(마스터!$J$4:$J$20,MATCH(C241,마스터!$M$4:$M$20,0))),"")</f>
        <v/>
      </c>
      <c r="H241" s="30"/>
      <c r="I241" s="30"/>
      <c r="AC241" s="32">
        <f>IF(AND(E241&lt;&gt;"",C241&lt;&gt;"",COUNTIFS($C$8:C241,C241,$E$8:E241,E241)=1),1,0)</f>
        <v>0</v>
      </c>
    </row>
    <row r="242" spans="1:29" ht="15" customHeight="1" x14ac:dyDescent="0.25">
      <c r="A242" s="25" t="str">
        <f t="shared" si="3"/>
        <v/>
      </c>
      <c r="B242" s="26"/>
      <c r="C242" s="27"/>
      <c r="D242" s="28" t="str">
        <f>IFERROR(IF(C242="","",INDEX(마스터!$F$4:$F$20,MATCH(C242,마스터!$M$4:$M$20,0))),"")</f>
        <v/>
      </c>
      <c r="E242" s="27"/>
      <c r="F242" s="29"/>
      <c r="G242" s="25" t="str">
        <f>IFERROR(IF(C242="","",INDEX(마스터!$J$4:$J$20,MATCH(C242,마스터!$M$4:$M$20,0))),"")</f>
        <v/>
      </c>
      <c r="H242" s="30"/>
      <c r="I242" s="30"/>
      <c r="AC242" s="32">
        <f>IF(AND(E242&lt;&gt;"",C242&lt;&gt;"",COUNTIFS($C$8:C242,C242,$E$8:E242,E242)=1),1,0)</f>
        <v>0</v>
      </c>
    </row>
    <row r="243" spans="1:29" ht="15" customHeight="1" x14ac:dyDescent="0.25">
      <c r="A243" s="25" t="str">
        <f t="shared" si="3"/>
        <v/>
      </c>
      <c r="B243" s="26"/>
      <c r="C243" s="27"/>
      <c r="D243" s="28" t="str">
        <f>IFERROR(IF(C243="","",INDEX(마스터!$F$4:$F$20,MATCH(C243,마스터!$M$4:$M$20,0))),"")</f>
        <v/>
      </c>
      <c r="E243" s="27"/>
      <c r="F243" s="29"/>
      <c r="G243" s="25" t="str">
        <f>IFERROR(IF(C243="","",INDEX(마스터!$J$4:$J$20,MATCH(C243,마스터!$M$4:$M$20,0))),"")</f>
        <v/>
      </c>
      <c r="H243" s="30"/>
      <c r="I243" s="30"/>
      <c r="AC243" s="32">
        <f>IF(AND(E243&lt;&gt;"",C243&lt;&gt;"",COUNTIFS($C$8:C243,C243,$E$8:E243,E243)=1),1,0)</f>
        <v>0</v>
      </c>
    </row>
    <row r="244" spans="1:29" ht="15" customHeight="1" x14ac:dyDescent="0.25">
      <c r="A244" s="25" t="str">
        <f t="shared" si="3"/>
        <v/>
      </c>
      <c r="B244" s="26"/>
      <c r="C244" s="27"/>
      <c r="D244" s="28" t="str">
        <f>IFERROR(IF(C244="","",INDEX(마스터!$F$4:$F$20,MATCH(C244,마스터!$M$4:$M$20,0))),"")</f>
        <v/>
      </c>
      <c r="E244" s="27"/>
      <c r="F244" s="29"/>
      <c r="G244" s="25" t="str">
        <f>IFERROR(IF(C244="","",INDEX(마스터!$J$4:$J$20,MATCH(C244,마스터!$M$4:$M$20,0))),"")</f>
        <v/>
      </c>
      <c r="H244" s="30"/>
      <c r="I244" s="30"/>
      <c r="AC244" s="32">
        <f>IF(AND(E244&lt;&gt;"",C244&lt;&gt;"",COUNTIFS($C$8:C244,C244,$E$8:E244,E244)=1),1,0)</f>
        <v>0</v>
      </c>
    </row>
    <row r="245" spans="1:29" ht="15" customHeight="1" x14ac:dyDescent="0.25">
      <c r="A245" s="25" t="str">
        <f t="shared" si="3"/>
        <v/>
      </c>
      <c r="B245" s="26"/>
      <c r="C245" s="27"/>
      <c r="D245" s="28" t="str">
        <f>IFERROR(IF(C245="","",INDEX(마스터!$F$4:$F$20,MATCH(C245,마스터!$M$4:$M$20,0))),"")</f>
        <v/>
      </c>
      <c r="E245" s="27"/>
      <c r="F245" s="29"/>
      <c r="G245" s="25" t="str">
        <f>IFERROR(IF(C245="","",INDEX(마스터!$J$4:$J$20,MATCH(C245,마스터!$M$4:$M$20,0))),"")</f>
        <v/>
      </c>
      <c r="H245" s="30"/>
      <c r="I245" s="30"/>
      <c r="AC245" s="32">
        <f>IF(AND(E245&lt;&gt;"",C245&lt;&gt;"",COUNTIFS($C$8:C245,C245,$E$8:E245,E245)=1),1,0)</f>
        <v>0</v>
      </c>
    </row>
    <row r="246" spans="1:29" ht="15" customHeight="1" x14ac:dyDescent="0.25">
      <c r="A246" s="25" t="str">
        <f t="shared" si="3"/>
        <v/>
      </c>
      <c r="B246" s="26"/>
      <c r="C246" s="27"/>
      <c r="D246" s="28" t="str">
        <f>IFERROR(IF(C246="","",INDEX(마스터!$F$4:$F$20,MATCH(C246,마스터!$M$4:$M$20,0))),"")</f>
        <v/>
      </c>
      <c r="E246" s="27"/>
      <c r="F246" s="29"/>
      <c r="G246" s="25" t="str">
        <f>IFERROR(IF(C246="","",INDEX(마스터!$J$4:$J$20,MATCH(C246,마스터!$M$4:$M$20,0))),"")</f>
        <v/>
      </c>
      <c r="H246" s="30"/>
      <c r="I246" s="30"/>
      <c r="AC246" s="32">
        <f>IF(AND(E246&lt;&gt;"",C246&lt;&gt;"",COUNTIFS($C$8:C246,C246,$E$8:E246,E246)=1),1,0)</f>
        <v>0</v>
      </c>
    </row>
    <row r="247" spans="1:29" ht="15" customHeight="1" x14ac:dyDescent="0.25">
      <c r="A247" s="25" t="str">
        <f t="shared" si="3"/>
        <v/>
      </c>
      <c r="B247" s="26"/>
      <c r="C247" s="27"/>
      <c r="D247" s="28" t="str">
        <f>IFERROR(IF(C247="","",INDEX(마스터!$F$4:$F$20,MATCH(C247,마스터!$M$4:$M$20,0))),"")</f>
        <v/>
      </c>
      <c r="E247" s="27"/>
      <c r="F247" s="29"/>
      <c r="G247" s="25" t="str">
        <f>IFERROR(IF(C247="","",INDEX(마스터!$J$4:$J$20,MATCH(C247,마스터!$M$4:$M$20,0))),"")</f>
        <v/>
      </c>
      <c r="H247" s="30"/>
      <c r="I247" s="30"/>
      <c r="AC247" s="32">
        <f>IF(AND(E247&lt;&gt;"",C247&lt;&gt;"",COUNTIFS($C$8:C247,C247,$E$8:E247,E247)=1),1,0)</f>
        <v>0</v>
      </c>
    </row>
    <row r="248" spans="1:29" ht="15" customHeight="1" x14ac:dyDescent="0.25">
      <c r="A248" s="25" t="str">
        <f t="shared" si="3"/>
        <v/>
      </c>
      <c r="B248" s="26"/>
      <c r="C248" s="27"/>
      <c r="D248" s="28" t="str">
        <f>IFERROR(IF(C248="","",INDEX(마스터!$F$4:$F$20,MATCH(C248,마스터!$M$4:$M$20,0))),"")</f>
        <v/>
      </c>
      <c r="E248" s="27"/>
      <c r="F248" s="29"/>
      <c r="G248" s="25" t="str">
        <f>IFERROR(IF(C248="","",INDEX(마스터!$J$4:$J$20,MATCH(C248,마스터!$M$4:$M$20,0))),"")</f>
        <v/>
      </c>
      <c r="H248" s="30"/>
      <c r="I248" s="30"/>
      <c r="AC248" s="32">
        <f>IF(AND(E248&lt;&gt;"",C248&lt;&gt;"",COUNTIFS($C$8:C248,C248,$E$8:E248,E248)=1),1,0)</f>
        <v>0</v>
      </c>
    </row>
    <row r="249" spans="1:29" ht="15" customHeight="1" x14ac:dyDescent="0.25">
      <c r="A249" s="25" t="str">
        <f t="shared" si="3"/>
        <v/>
      </c>
      <c r="B249" s="26"/>
      <c r="C249" s="27"/>
      <c r="D249" s="28" t="str">
        <f>IFERROR(IF(C249="","",INDEX(마스터!$F$4:$F$20,MATCH(C249,마스터!$M$4:$M$20,0))),"")</f>
        <v/>
      </c>
      <c r="E249" s="27"/>
      <c r="F249" s="29"/>
      <c r="G249" s="25" t="str">
        <f>IFERROR(IF(C249="","",INDEX(마스터!$J$4:$J$20,MATCH(C249,마스터!$M$4:$M$20,0))),"")</f>
        <v/>
      </c>
      <c r="H249" s="30"/>
      <c r="I249" s="30"/>
      <c r="AC249" s="32">
        <f>IF(AND(E249&lt;&gt;"",C249&lt;&gt;"",COUNTIFS($C$8:C249,C249,$E$8:E249,E249)=1),1,0)</f>
        <v>0</v>
      </c>
    </row>
    <row r="250" spans="1:29" ht="15" customHeight="1" x14ac:dyDescent="0.25">
      <c r="A250" s="25" t="str">
        <f t="shared" si="3"/>
        <v/>
      </c>
      <c r="B250" s="26"/>
      <c r="C250" s="27"/>
      <c r="D250" s="28" t="str">
        <f>IFERROR(IF(C250="","",INDEX(마스터!$F$4:$F$20,MATCH(C250,마스터!$M$4:$M$20,0))),"")</f>
        <v/>
      </c>
      <c r="E250" s="27"/>
      <c r="F250" s="29"/>
      <c r="G250" s="25" t="str">
        <f>IFERROR(IF(C250="","",INDEX(마스터!$J$4:$J$20,MATCH(C250,마스터!$M$4:$M$20,0))),"")</f>
        <v/>
      </c>
      <c r="H250" s="30"/>
      <c r="I250" s="30"/>
      <c r="AC250" s="32">
        <f>IF(AND(E250&lt;&gt;"",C250&lt;&gt;"",COUNTIFS($C$8:C250,C250,$E$8:E250,E250)=1),1,0)</f>
        <v>0</v>
      </c>
    </row>
    <row r="251" spans="1:29" ht="15" customHeight="1" x14ac:dyDescent="0.25">
      <c r="A251" s="25" t="str">
        <f t="shared" si="3"/>
        <v/>
      </c>
      <c r="B251" s="26"/>
      <c r="C251" s="27"/>
      <c r="D251" s="28" t="str">
        <f>IFERROR(IF(C251="","",INDEX(마스터!$F$4:$F$20,MATCH(C251,마스터!$M$4:$M$20,0))),"")</f>
        <v/>
      </c>
      <c r="E251" s="27"/>
      <c r="F251" s="29"/>
      <c r="G251" s="25" t="str">
        <f>IFERROR(IF(C251="","",INDEX(마스터!$J$4:$J$20,MATCH(C251,마스터!$M$4:$M$20,0))),"")</f>
        <v/>
      </c>
      <c r="H251" s="30"/>
      <c r="I251" s="30"/>
      <c r="AC251" s="32">
        <f>IF(AND(E251&lt;&gt;"",C251&lt;&gt;"",COUNTIFS($C$8:C251,C251,$E$8:E251,E251)=1),1,0)</f>
        <v>0</v>
      </c>
    </row>
    <row r="252" spans="1:29" ht="15" customHeight="1" x14ac:dyDescent="0.25">
      <c r="A252" s="25" t="str">
        <f t="shared" si="3"/>
        <v/>
      </c>
      <c r="B252" s="26"/>
      <c r="C252" s="27"/>
      <c r="D252" s="28" t="str">
        <f>IFERROR(IF(C252="","",INDEX(마스터!$F$4:$F$20,MATCH(C252,마스터!$M$4:$M$20,0))),"")</f>
        <v/>
      </c>
      <c r="E252" s="27"/>
      <c r="F252" s="29"/>
      <c r="G252" s="25" t="str">
        <f>IFERROR(IF(C252="","",INDEX(마스터!$J$4:$J$20,MATCH(C252,마스터!$M$4:$M$20,0))),"")</f>
        <v/>
      </c>
      <c r="H252" s="30"/>
      <c r="I252" s="30"/>
      <c r="AC252" s="32">
        <f>IF(AND(E252&lt;&gt;"",C252&lt;&gt;"",COUNTIFS($C$8:C252,C252,$E$8:E252,E252)=1),1,0)</f>
        <v>0</v>
      </c>
    </row>
    <row r="253" spans="1:29" ht="15" customHeight="1" x14ac:dyDescent="0.25">
      <c r="A253" s="25" t="str">
        <f t="shared" si="3"/>
        <v/>
      </c>
      <c r="B253" s="26"/>
      <c r="C253" s="27"/>
      <c r="D253" s="28" t="str">
        <f>IFERROR(IF(C253="","",INDEX(마스터!$F$4:$F$20,MATCH(C253,마스터!$M$4:$M$20,0))),"")</f>
        <v/>
      </c>
      <c r="E253" s="27"/>
      <c r="F253" s="29"/>
      <c r="G253" s="25" t="str">
        <f>IFERROR(IF(C253="","",INDEX(마스터!$J$4:$J$20,MATCH(C253,마스터!$M$4:$M$20,0))),"")</f>
        <v/>
      </c>
      <c r="H253" s="30"/>
      <c r="I253" s="30"/>
      <c r="AC253" s="32">
        <f>IF(AND(E253&lt;&gt;"",C253&lt;&gt;"",COUNTIFS($C$8:C253,C253,$E$8:E253,E253)=1),1,0)</f>
        <v>0</v>
      </c>
    </row>
    <row r="254" spans="1:29" ht="15" customHeight="1" x14ac:dyDescent="0.25">
      <c r="A254" s="25" t="str">
        <f t="shared" si="3"/>
        <v/>
      </c>
      <c r="B254" s="26"/>
      <c r="C254" s="27"/>
      <c r="D254" s="28" t="str">
        <f>IFERROR(IF(C254="","",INDEX(마스터!$F$4:$F$20,MATCH(C254,마스터!$M$4:$M$20,0))),"")</f>
        <v/>
      </c>
      <c r="E254" s="27"/>
      <c r="F254" s="29"/>
      <c r="G254" s="25" t="str">
        <f>IFERROR(IF(C254="","",INDEX(마스터!$J$4:$J$20,MATCH(C254,마스터!$M$4:$M$20,0))),"")</f>
        <v/>
      </c>
      <c r="H254" s="30"/>
      <c r="I254" s="30"/>
      <c r="AC254" s="32">
        <f>IF(AND(E254&lt;&gt;"",C254&lt;&gt;"",COUNTIFS($C$8:C254,C254,$E$8:E254,E254)=1),1,0)</f>
        <v>0</v>
      </c>
    </row>
    <row r="255" spans="1:29" ht="15" customHeight="1" x14ac:dyDescent="0.25">
      <c r="A255" s="25" t="str">
        <f t="shared" si="3"/>
        <v/>
      </c>
      <c r="B255" s="26"/>
      <c r="C255" s="27"/>
      <c r="D255" s="28" t="str">
        <f>IFERROR(IF(C255="","",INDEX(마스터!$F$4:$F$20,MATCH(C255,마스터!$M$4:$M$20,0))),"")</f>
        <v/>
      </c>
      <c r="E255" s="27"/>
      <c r="F255" s="29"/>
      <c r="G255" s="25" t="str">
        <f>IFERROR(IF(C255="","",INDEX(마스터!$J$4:$J$20,MATCH(C255,마스터!$M$4:$M$20,0))),"")</f>
        <v/>
      </c>
      <c r="H255" s="30"/>
      <c r="I255" s="30"/>
      <c r="AC255" s="32">
        <f>IF(AND(E255&lt;&gt;"",C255&lt;&gt;"",COUNTIFS($C$8:C255,C255,$E$8:E255,E255)=1),1,0)</f>
        <v>0</v>
      </c>
    </row>
    <row r="256" spans="1:29" ht="15" customHeight="1" x14ac:dyDescent="0.25">
      <c r="A256" s="25" t="str">
        <f t="shared" si="3"/>
        <v/>
      </c>
      <c r="B256" s="26"/>
      <c r="C256" s="27"/>
      <c r="D256" s="28" t="str">
        <f>IFERROR(IF(C256="","",INDEX(마스터!$F$4:$F$20,MATCH(C256,마스터!$M$4:$M$20,0))),"")</f>
        <v/>
      </c>
      <c r="E256" s="27"/>
      <c r="F256" s="29"/>
      <c r="G256" s="25" t="str">
        <f>IFERROR(IF(C256="","",INDEX(마스터!$J$4:$J$20,MATCH(C256,마스터!$M$4:$M$20,0))),"")</f>
        <v/>
      </c>
      <c r="H256" s="30"/>
      <c r="I256" s="30"/>
      <c r="AC256" s="32">
        <f>IF(AND(E256&lt;&gt;"",C256&lt;&gt;"",COUNTIFS($C$8:C256,C256,$E$8:E256,E256)=1),1,0)</f>
        <v>0</v>
      </c>
    </row>
    <row r="257" spans="1:29" ht="15" customHeight="1" x14ac:dyDescent="0.25">
      <c r="A257" s="25" t="str">
        <f t="shared" si="3"/>
        <v/>
      </c>
      <c r="B257" s="26"/>
      <c r="C257" s="27"/>
      <c r="D257" s="28" t="str">
        <f>IFERROR(IF(C257="","",INDEX(마스터!$F$4:$F$20,MATCH(C257,마스터!$M$4:$M$20,0))),"")</f>
        <v/>
      </c>
      <c r="E257" s="27"/>
      <c r="F257" s="29"/>
      <c r="G257" s="25" t="str">
        <f>IFERROR(IF(C257="","",INDEX(마스터!$J$4:$J$20,MATCH(C257,마스터!$M$4:$M$20,0))),"")</f>
        <v/>
      </c>
      <c r="H257" s="30"/>
      <c r="I257" s="30"/>
      <c r="AC257" s="32">
        <f>IF(AND(E257&lt;&gt;"",C257&lt;&gt;"",COUNTIFS($C$8:C257,C257,$E$8:E257,E257)=1),1,0)</f>
        <v>0</v>
      </c>
    </row>
    <row r="258" spans="1:29" ht="15" customHeight="1" x14ac:dyDescent="0.25">
      <c r="A258" s="25" t="str">
        <f t="shared" si="3"/>
        <v/>
      </c>
      <c r="B258" s="26"/>
      <c r="C258" s="27"/>
      <c r="D258" s="28" t="str">
        <f>IFERROR(IF(C258="","",INDEX(마스터!$F$4:$F$20,MATCH(C258,마스터!$M$4:$M$20,0))),"")</f>
        <v/>
      </c>
      <c r="E258" s="27"/>
      <c r="F258" s="29"/>
      <c r="G258" s="25" t="str">
        <f>IFERROR(IF(C258="","",INDEX(마스터!$J$4:$J$20,MATCH(C258,마스터!$M$4:$M$20,0))),"")</f>
        <v/>
      </c>
      <c r="H258" s="30"/>
      <c r="I258" s="30"/>
      <c r="AC258" s="32">
        <f>IF(AND(E258&lt;&gt;"",C258&lt;&gt;"",COUNTIFS($C$8:C258,C258,$E$8:E258,E258)=1),1,0)</f>
        <v>0</v>
      </c>
    </row>
    <row r="259" spans="1:29" ht="15" customHeight="1" x14ac:dyDescent="0.25">
      <c r="A259" s="25" t="str">
        <f t="shared" si="3"/>
        <v/>
      </c>
      <c r="B259" s="26"/>
      <c r="C259" s="27"/>
      <c r="D259" s="28" t="str">
        <f>IFERROR(IF(C259="","",INDEX(마스터!$F$4:$F$20,MATCH(C259,마스터!$M$4:$M$20,0))),"")</f>
        <v/>
      </c>
      <c r="E259" s="27"/>
      <c r="F259" s="29"/>
      <c r="G259" s="25" t="str">
        <f>IFERROR(IF(C259="","",INDEX(마스터!$J$4:$J$20,MATCH(C259,마스터!$M$4:$M$20,0))),"")</f>
        <v/>
      </c>
      <c r="H259" s="30"/>
      <c r="I259" s="30"/>
      <c r="AC259" s="32">
        <f>IF(AND(E259&lt;&gt;"",C259&lt;&gt;"",COUNTIFS($C$8:C259,C259,$E$8:E259,E259)=1),1,0)</f>
        <v>0</v>
      </c>
    </row>
    <row r="260" spans="1:29" ht="15" customHeight="1" x14ac:dyDescent="0.25">
      <c r="A260" s="25" t="str">
        <f t="shared" si="3"/>
        <v/>
      </c>
      <c r="B260" s="26"/>
      <c r="C260" s="27"/>
      <c r="D260" s="28" t="str">
        <f>IFERROR(IF(C260="","",INDEX(마스터!$F$4:$F$20,MATCH(C260,마스터!$M$4:$M$20,0))),"")</f>
        <v/>
      </c>
      <c r="E260" s="27"/>
      <c r="F260" s="29"/>
      <c r="G260" s="25" t="str">
        <f>IFERROR(IF(C260="","",INDEX(마스터!$J$4:$J$20,MATCH(C260,마스터!$M$4:$M$20,0))),"")</f>
        <v/>
      </c>
      <c r="H260" s="30"/>
      <c r="I260" s="30"/>
      <c r="AC260" s="32">
        <f>IF(AND(E260&lt;&gt;"",C260&lt;&gt;"",COUNTIFS($C$8:C260,C260,$E$8:E260,E260)=1),1,0)</f>
        <v>0</v>
      </c>
    </row>
    <row r="261" spans="1:29" ht="15" customHeight="1" x14ac:dyDescent="0.25">
      <c r="A261" s="25" t="str">
        <f t="shared" si="3"/>
        <v/>
      </c>
      <c r="B261" s="26"/>
      <c r="C261" s="27"/>
      <c r="D261" s="28" t="str">
        <f>IFERROR(IF(C261="","",INDEX(마스터!$F$4:$F$20,MATCH(C261,마스터!$M$4:$M$20,0))),"")</f>
        <v/>
      </c>
      <c r="E261" s="27"/>
      <c r="F261" s="29"/>
      <c r="G261" s="25" t="str">
        <f>IFERROR(IF(C261="","",INDEX(마스터!$J$4:$J$20,MATCH(C261,마스터!$M$4:$M$20,0))),"")</f>
        <v/>
      </c>
      <c r="H261" s="30"/>
      <c r="I261" s="30"/>
      <c r="AC261" s="32">
        <f>IF(AND(E261&lt;&gt;"",C261&lt;&gt;"",COUNTIFS($C$8:C261,C261,$E$8:E261,E261)=1),1,0)</f>
        <v>0</v>
      </c>
    </row>
    <row r="262" spans="1:29" ht="15" customHeight="1" x14ac:dyDescent="0.25">
      <c r="A262" s="25" t="str">
        <f t="shared" si="3"/>
        <v/>
      </c>
      <c r="B262" s="26"/>
      <c r="C262" s="27"/>
      <c r="D262" s="28" t="str">
        <f>IFERROR(IF(C262="","",INDEX(마스터!$F$4:$F$20,MATCH(C262,마스터!$M$4:$M$20,0))),"")</f>
        <v/>
      </c>
      <c r="E262" s="27"/>
      <c r="F262" s="29"/>
      <c r="G262" s="25" t="str">
        <f>IFERROR(IF(C262="","",INDEX(마스터!$J$4:$J$20,MATCH(C262,마스터!$M$4:$M$20,0))),"")</f>
        <v/>
      </c>
      <c r="H262" s="30"/>
      <c r="I262" s="30"/>
      <c r="AC262" s="32">
        <f>IF(AND(E262&lt;&gt;"",C262&lt;&gt;"",COUNTIFS($C$8:C262,C262,$E$8:E262,E262)=1),1,0)</f>
        <v>0</v>
      </c>
    </row>
    <row r="263" spans="1:29" ht="15" customHeight="1" x14ac:dyDescent="0.25">
      <c r="A263" s="25" t="str">
        <f t="shared" si="3"/>
        <v/>
      </c>
      <c r="B263" s="26"/>
      <c r="C263" s="27"/>
      <c r="D263" s="28" t="str">
        <f>IFERROR(IF(C263="","",INDEX(마스터!$F$4:$F$20,MATCH(C263,마스터!$M$4:$M$20,0))),"")</f>
        <v/>
      </c>
      <c r="E263" s="27"/>
      <c r="F263" s="29"/>
      <c r="G263" s="25" t="str">
        <f>IFERROR(IF(C263="","",INDEX(마스터!$J$4:$J$20,MATCH(C263,마스터!$M$4:$M$20,0))),"")</f>
        <v/>
      </c>
      <c r="H263" s="30"/>
      <c r="I263" s="30"/>
      <c r="AC263" s="32">
        <f>IF(AND(E263&lt;&gt;"",C263&lt;&gt;"",COUNTIFS($C$8:C263,C263,$E$8:E263,E263)=1),1,0)</f>
        <v>0</v>
      </c>
    </row>
    <row r="264" spans="1:29" ht="15" customHeight="1" x14ac:dyDescent="0.25">
      <c r="A264" s="25" t="str">
        <f t="shared" ref="A264:A327" si="4">IF(B264="","",ROW()-7)</f>
        <v/>
      </c>
      <c r="B264" s="26"/>
      <c r="C264" s="27"/>
      <c r="D264" s="28" t="str">
        <f>IFERROR(IF(C264="","",INDEX(마스터!$F$4:$F$20,MATCH(C264,마스터!$M$4:$M$20,0))),"")</f>
        <v/>
      </c>
      <c r="E264" s="27"/>
      <c r="F264" s="29"/>
      <c r="G264" s="25" t="str">
        <f>IFERROR(IF(C264="","",INDEX(마스터!$J$4:$J$20,MATCH(C264,마스터!$M$4:$M$20,0))),"")</f>
        <v/>
      </c>
      <c r="H264" s="30"/>
      <c r="I264" s="30"/>
      <c r="AC264" s="32">
        <f>IF(AND(E264&lt;&gt;"",C264&lt;&gt;"",COUNTIFS($C$8:C264,C264,$E$8:E264,E264)=1),1,0)</f>
        <v>0</v>
      </c>
    </row>
    <row r="265" spans="1:29" ht="15" customHeight="1" x14ac:dyDescent="0.25">
      <c r="A265" s="25" t="str">
        <f t="shared" si="4"/>
        <v/>
      </c>
      <c r="B265" s="26"/>
      <c r="C265" s="27"/>
      <c r="D265" s="28" t="str">
        <f>IFERROR(IF(C265="","",INDEX(마스터!$F$4:$F$20,MATCH(C265,마스터!$M$4:$M$20,0))),"")</f>
        <v/>
      </c>
      <c r="E265" s="27"/>
      <c r="F265" s="29"/>
      <c r="G265" s="25" t="str">
        <f>IFERROR(IF(C265="","",INDEX(마스터!$J$4:$J$20,MATCH(C265,마스터!$M$4:$M$20,0))),"")</f>
        <v/>
      </c>
      <c r="H265" s="30"/>
      <c r="I265" s="30"/>
      <c r="AC265" s="32">
        <f>IF(AND(E265&lt;&gt;"",C265&lt;&gt;"",COUNTIFS($C$8:C265,C265,$E$8:E265,E265)=1),1,0)</f>
        <v>0</v>
      </c>
    </row>
    <row r="266" spans="1:29" ht="15" customHeight="1" x14ac:dyDescent="0.25">
      <c r="A266" s="25" t="str">
        <f t="shared" si="4"/>
        <v/>
      </c>
      <c r="B266" s="26"/>
      <c r="C266" s="27"/>
      <c r="D266" s="28" t="str">
        <f>IFERROR(IF(C266="","",INDEX(마스터!$F$4:$F$20,MATCH(C266,마스터!$M$4:$M$20,0))),"")</f>
        <v/>
      </c>
      <c r="E266" s="27"/>
      <c r="F266" s="29"/>
      <c r="G266" s="25" t="str">
        <f>IFERROR(IF(C266="","",INDEX(마스터!$J$4:$J$20,MATCH(C266,마스터!$M$4:$M$20,0))),"")</f>
        <v/>
      </c>
      <c r="H266" s="30"/>
      <c r="I266" s="30"/>
      <c r="AC266" s="32">
        <f>IF(AND(E266&lt;&gt;"",C266&lt;&gt;"",COUNTIFS($C$8:C266,C266,$E$8:E266,E266)=1),1,0)</f>
        <v>0</v>
      </c>
    </row>
    <row r="267" spans="1:29" ht="15" customHeight="1" x14ac:dyDescent="0.25">
      <c r="A267" s="25" t="str">
        <f t="shared" si="4"/>
        <v/>
      </c>
      <c r="B267" s="26"/>
      <c r="C267" s="27"/>
      <c r="D267" s="28" t="str">
        <f>IFERROR(IF(C267="","",INDEX(마스터!$F$4:$F$20,MATCH(C267,마스터!$M$4:$M$20,0))),"")</f>
        <v/>
      </c>
      <c r="E267" s="27"/>
      <c r="F267" s="29"/>
      <c r="G267" s="25" t="str">
        <f>IFERROR(IF(C267="","",INDEX(마스터!$J$4:$J$20,MATCH(C267,마스터!$M$4:$M$20,0))),"")</f>
        <v/>
      </c>
      <c r="H267" s="30"/>
      <c r="I267" s="30"/>
      <c r="AC267" s="32">
        <f>IF(AND(E267&lt;&gt;"",C267&lt;&gt;"",COUNTIFS($C$8:C267,C267,$E$8:E267,E267)=1),1,0)</f>
        <v>0</v>
      </c>
    </row>
    <row r="268" spans="1:29" ht="15" customHeight="1" x14ac:dyDescent="0.25">
      <c r="A268" s="25" t="str">
        <f t="shared" si="4"/>
        <v/>
      </c>
      <c r="B268" s="26"/>
      <c r="C268" s="27"/>
      <c r="D268" s="28" t="str">
        <f>IFERROR(IF(C268="","",INDEX(마스터!$F$4:$F$20,MATCH(C268,마스터!$M$4:$M$20,0))),"")</f>
        <v/>
      </c>
      <c r="E268" s="27"/>
      <c r="F268" s="29"/>
      <c r="G268" s="25" t="str">
        <f>IFERROR(IF(C268="","",INDEX(마스터!$J$4:$J$20,MATCH(C268,마스터!$M$4:$M$20,0))),"")</f>
        <v/>
      </c>
      <c r="H268" s="30"/>
      <c r="I268" s="30"/>
      <c r="AC268" s="32">
        <f>IF(AND(E268&lt;&gt;"",C268&lt;&gt;"",COUNTIFS($C$8:C268,C268,$E$8:E268,E268)=1),1,0)</f>
        <v>0</v>
      </c>
    </row>
    <row r="269" spans="1:29" ht="15" customHeight="1" x14ac:dyDescent="0.25">
      <c r="A269" s="25" t="str">
        <f t="shared" si="4"/>
        <v/>
      </c>
      <c r="B269" s="26"/>
      <c r="C269" s="27"/>
      <c r="D269" s="28" t="str">
        <f>IFERROR(IF(C269="","",INDEX(마스터!$F$4:$F$20,MATCH(C269,마스터!$M$4:$M$20,0))),"")</f>
        <v/>
      </c>
      <c r="E269" s="27"/>
      <c r="F269" s="29"/>
      <c r="G269" s="25" t="str">
        <f>IFERROR(IF(C269="","",INDEX(마스터!$J$4:$J$20,MATCH(C269,마스터!$M$4:$M$20,0))),"")</f>
        <v/>
      </c>
      <c r="H269" s="30"/>
      <c r="I269" s="30"/>
      <c r="AC269" s="32">
        <f>IF(AND(E269&lt;&gt;"",C269&lt;&gt;"",COUNTIFS($C$8:C269,C269,$E$8:E269,E269)=1),1,0)</f>
        <v>0</v>
      </c>
    </row>
    <row r="270" spans="1:29" ht="15" customHeight="1" x14ac:dyDescent="0.25">
      <c r="A270" s="25" t="str">
        <f t="shared" si="4"/>
        <v/>
      </c>
      <c r="B270" s="26"/>
      <c r="C270" s="27"/>
      <c r="D270" s="28" t="str">
        <f>IFERROR(IF(C270="","",INDEX(마스터!$F$4:$F$20,MATCH(C270,마스터!$M$4:$M$20,0))),"")</f>
        <v/>
      </c>
      <c r="E270" s="27"/>
      <c r="F270" s="29"/>
      <c r="G270" s="25" t="str">
        <f>IFERROR(IF(C270="","",INDEX(마스터!$J$4:$J$20,MATCH(C270,마스터!$M$4:$M$20,0))),"")</f>
        <v/>
      </c>
      <c r="H270" s="30"/>
      <c r="I270" s="30"/>
      <c r="AC270" s="32">
        <f>IF(AND(E270&lt;&gt;"",C270&lt;&gt;"",COUNTIFS($C$8:C270,C270,$E$8:E270,E270)=1),1,0)</f>
        <v>0</v>
      </c>
    </row>
    <row r="271" spans="1:29" ht="15" customHeight="1" x14ac:dyDescent="0.25">
      <c r="A271" s="25" t="str">
        <f t="shared" si="4"/>
        <v/>
      </c>
      <c r="B271" s="26"/>
      <c r="C271" s="27"/>
      <c r="D271" s="28" t="str">
        <f>IFERROR(IF(C271="","",INDEX(마스터!$F$4:$F$20,MATCH(C271,마스터!$M$4:$M$20,0))),"")</f>
        <v/>
      </c>
      <c r="E271" s="27"/>
      <c r="F271" s="29"/>
      <c r="G271" s="25" t="str">
        <f>IFERROR(IF(C271="","",INDEX(마스터!$J$4:$J$20,MATCH(C271,마스터!$M$4:$M$20,0))),"")</f>
        <v/>
      </c>
      <c r="H271" s="30"/>
      <c r="I271" s="30"/>
      <c r="AC271" s="32">
        <f>IF(AND(E271&lt;&gt;"",C271&lt;&gt;"",COUNTIFS($C$8:C271,C271,$E$8:E271,E271)=1),1,0)</f>
        <v>0</v>
      </c>
    </row>
    <row r="272" spans="1:29" ht="15" customHeight="1" x14ac:dyDescent="0.25">
      <c r="A272" s="25" t="str">
        <f t="shared" si="4"/>
        <v/>
      </c>
      <c r="B272" s="26"/>
      <c r="C272" s="27"/>
      <c r="D272" s="28" t="str">
        <f>IFERROR(IF(C272="","",INDEX(마스터!$F$4:$F$20,MATCH(C272,마스터!$M$4:$M$20,0))),"")</f>
        <v/>
      </c>
      <c r="E272" s="27"/>
      <c r="F272" s="29"/>
      <c r="G272" s="25" t="str">
        <f>IFERROR(IF(C272="","",INDEX(마스터!$J$4:$J$20,MATCH(C272,마스터!$M$4:$M$20,0))),"")</f>
        <v/>
      </c>
      <c r="H272" s="30"/>
      <c r="I272" s="30"/>
      <c r="AC272" s="32">
        <f>IF(AND(E272&lt;&gt;"",C272&lt;&gt;"",COUNTIFS($C$8:C272,C272,$E$8:E272,E272)=1),1,0)</f>
        <v>0</v>
      </c>
    </row>
    <row r="273" spans="1:29" ht="15" customHeight="1" x14ac:dyDescent="0.25">
      <c r="A273" s="25" t="str">
        <f t="shared" si="4"/>
        <v/>
      </c>
      <c r="B273" s="26"/>
      <c r="C273" s="27"/>
      <c r="D273" s="28" t="str">
        <f>IFERROR(IF(C273="","",INDEX(마스터!$F$4:$F$20,MATCH(C273,마스터!$M$4:$M$20,0))),"")</f>
        <v/>
      </c>
      <c r="E273" s="27"/>
      <c r="F273" s="29"/>
      <c r="G273" s="25" t="str">
        <f>IFERROR(IF(C273="","",INDEX(마스터!$J$4:$J$20,MATCH(C273,마스터!$M$4:$M$20,0))),"")</f>
        <v/>
      </c>
      <c r="H273" s="30"/>
      <c r="I273" s="30"/>
      <c r="AC273" s="32">
        <f>IF(AND(E273&lt;&gt;"",C273&lt;&gt;"",COUNTIFS($C$8:C273,C273,$E$8:E273,E273)=1),1,0)</f>
        <v>0</v>
      </c>
    </row>
    <row r="274" spans="1:29" ht="15" customHeight="1" x14ac:dyDescent="0.25">
      <c r="A274" s="25" t="str">
        <f t="shared" si="4"/>
        <v/>
      </c>
      <c r="B274" s="26"/>
      <c r="C274" s="27"/>
      <c r="D274" s="28" t="str">
        <f>IFERROR(IF(C274="","",INDEX(마스터!$F$4:$F$20,MATCH(C274,마스터!$M$4:$M$20,0))),"")</f>
        <v/>
      </c>
      <c r="E274" s="27"/>
      <c r="F274" s="29"/>
      <c r="G274" s="25" t="str">
        <f>IFERROR(IF(C274="","",INDEX(마스터!$J$4:$J$20,MATCH(C274,마스터!$M$4:$M$20,0))),"")</f>
        <v/>
      </c>
      <c r="H274" s="30"/>
      <c r="I274" s="30"/>
      <c r="AC274" s="32">
        <f>IF(AND(E274&lt;&gt;"",C274&lt;&gt;"",COUNTIFS($C$8:C274,C274,$E$8:E274,E274)=1),1,0)</f>
        <v>0</v>
      </c>
    </row>
    <row r="275" spans="1:29" ht="15" customHeight="1" x14ac:dyDescent="0.25">
      <c r="A275" s="25" t="str">
        <f t="shared" si="4"/>
        <v/>
      </c>
      <c r="B275" s="26"/>
      <c r="C275" s="27"/>
      <c r="D275" s="28" t="str">
        <f>IFERROR(IF(C275="","",INDEX(마스터!$F$4:$F$20,MATCH(C275,마스터!$M$4:$M$20,0))),"")</f>
        <v/>
      </c>
      <c r="E275" s="27"/>
      <c r="F275" s="29"/>
      <c r="G275" s="25" t="str">
        <f>IFERROR(IF(C275="","",INDEX(마스터!$J$4:$J$20,MATCH(C275,마스터!$M$4:$M$20,0))),"")</f>
        <v/>
      </c>
      <c r="H275" s="30"/>
      <c r="I275" s="30"/>
      <c r="AC275" s="32">
        <f>IF(AND(E275&lt;&gt;"",C275&lt;&gt;"",COUNTIFS($C$8:C275,C275,$E$8:E275,E275)=1),1,0)</f>
        <v>0</v>
      </c>
    </row>
    <row r="276" spans="1:29" ht="15" customHeight="1" x14ac:dyDescent="0.25">
      <c r="A276" s="25" t="str">
        <f t="shared" si="4"/>
        <v/>
      </c>
      <c r="B276" s="26"/>
      <c r="C276" s="27"/>
      <c r="D276" s="28" t="str">
        <f>IFERROR(IF(C276="","",INDEX(마스터!$F$4:$F$20,MATCH(C276,마스터!$M$4:$M$20,0))),"")</f>
        <v/>
      </c>
      <c r="E276" s="27"/>
      <c r="F276" s="29"/>
      <c r="G276" s="25" t="str">
        <f>IFERROR(IF(C276="","",INDEX(마스터!$J$4:$J$20,MATCH(C276,마스터!$M$4:$M$20,0))),"")</f>
        <v/>
      </c>
      <c r="H276" s="30"/>
      <c r="I276" s="30"/>
      <c r="AC276" s="32">
        <f>IF(AND(E276&lt;&gt;"",C276&lt;&gt;"",COUNTIFS($C$8:C276,C276,$E$8:E276,E276)=1),1,0)</f>
        <v>0</v>
      </c>
    </row>
    <row r="277" spans="1:29" ht="15" customHeight="1" x14ac:dyDescent="0.25">
      <c r="A277" s="25" t="str">
        <f t="shared" si="4"/>
        <v/>
      </c>
      <c r="B277" s="26"/>
      <c r="C277" s="27"/>
      <c r="D277" s="28" t="str">
        <f>IFERROR(IF(C277="","",INDEX(마스터!$F$4:$F$20,MATCH(C277,마스터!$M$4:$M$20,0))),"")</f>
        <v/>
      </c>
      <c r="E277" s="27"/>
      <c r="F277" s="29"/>
      <c r="G277" s="25" t="str">
        <f>IFERROR(IF(C277="","",INDEX(마스터!$J$4:$J$20,MATCH(C277,마스터!$M$4:$M$20,0))),"")</f>
        <v/>
      </c>
      <c r="H277" s="30"/>
      <c r="I277" s="30"/>
      <c r="AC277" s="32">
        <f>IF(AND(E277&lt;&gt;"",C277&lt;&gt;"",COUNTIFS($C$8:C277,C277,$E$8:E277,E277)=1),1,0)</f>
        <v>0</v>
      </c>
    </row>
    <row r="278" spans="1:29" ht="15" customHeight="1" x14ac:dyDescent="0.25">
      <c r="A278" s="25" t="str">
        <f t="shared" si="4"/>
        <v/>
      </c>
      <c r="B278" s="26"/>
      <c r="C278" s="27"/>
      <c r="D278" s="28" t="str">
        <f>IFERROR(IF(C278="","",INDEX(마스터!$F$4:$F$20,MATCH(C278,마스터!$M$4:$M$20,0))),"")</f>
        <v/>
      </c>
      <c r="E278" s="27"/>
      <c r="F278" s="29"/>
      <c r="G278" s="25" t="str">
        <f>IFERROR(IF(C278="","",INDEX(마스터!$J$4:$J$20,MATCH(C278,마스터!$M$4:$M$20,0))),"")</f>
        <v/>
      </c>
      <c r="H278" s="30"/>
      <c r="I278" s="30"/>
      <c r="AC278" s="32">
        <f>IF(AND(E278&lt;&gt;"",C278&lt;&gt;"",COUNTIFS($C$8:C278,C278,$E$8:E278,E278)=1),1,0)</f>
        <v>0</v>
      </c>
    </row>
    <row r="279" spans="1:29" ht="15" customHeight="1" x14ac:dyDescent="0.25">
      <c r="A279" s="25" t="str">
        <f t="shared" si="4"/>
        <v/>
      </c>
      <c r="B279" s="26"/>
      <c r="C279" s="27"/>
      <c r="D279" s="28" t="str">
        <f>IFERROR(IF(C279="","",INDEX(마스터!$F$4:$F$20,MATCH(C279,마스터!$M$4:$M$20,0))),"")</f>
        <v/>
      </c>
      <c r="E279" s="27"/>
      <c r="F279" s="29"/>
      <c r="G279" s="25" t="str">
        <f>IFERROR(IF(C279="","",INDEX(마스터!$J$4:$J$20,MATCH(C279,마스터!$M$4:$M$20,0))),"")</f>
        <v/>
      </c>
      <c r="H279" s="30"/>
      <c r="I279" s="30"/>
      <c r="AC279" s="32">
        <f>IF(AND(E279&lt;&gt;"",C279&lt;&gt;"",COUNTIFS($C$8:C279,C279,$E$8:E279,E279)=1),1,0)</f>
        <v>0</v>
      </c>
    </row>
    <row r="280" spans="1:29" ht="15" customHeight="1" x14ac:dyDescent="0.25">
      <c r="A280" s="25" t="str">
        <f t="shared" si="4"/>
        <v/>
      </c>
      <c r="B280" s="26"/>
      <c r="C280" s="27"/>
      <c r="D280" s="28" t="str">
        <f>IFERROR(IF(C280="","",INDEX(마스터!$F$4:$F$20,MATCH(C280,마스터!$M$4:$M$20,0))),"")</f>
        <v/>
      </c>
      <c r="E280" s="27"/>
      <c r="F280" s="29"/>
      <c r="G280" s="25" t="str">
        <f>IFERROR(IF(C280="","",INDEX(마스터!$J$4:$J$20,MATCH(C280,마스터!$M$4:$M$20,0))),"")</f>
        <v/>
      </c>
      <c r="H280" s="30"/>
      <c r="I280" s="30"/>
      <c r="AC280" s="32">
        <f>IF(AND(E280&lt;&gt;"",C280&lt;&gt;"",COUNTIFS($C$8:C280,C280,$E$8:E280,E280)=1),1,0)</f>
        <v>0</v>
      </c>
    </row>
    <row r="281" spans="1:29" ht="15" customHeight="1" x14ac:dyDescent="0.25">
      <c r="A281" s="25" t="str">
        <f t="shared" si="4"/>
        <v/>
      </c>
      <c r="B281" s="26"/>
      <c r="C281" s="27"/>
      <c r="D281" s="28" t="str">
        <f>IFERROR(IF(C281="","",INDEX(마스터!$F$4:$F$20,MATCH(C281,마스터!$M$4:$M$20,0))),"")</f>
        <v/>
      </c>
      <c r="E281" s="27"/>
      <c r="F281" s="29"/>
      <c r="G281" s="25" t="str">
        <f>IFERROR(IF(C281="","",INDEX(마스터!$J$4:$J$20,MATCH(C281,마스터!$M$4:$M$20,0))),"")</f>
        <v/>
      </c>
      <c r="H281" s="30"/>
      <c r="I281" s="30"/>
      <c r="AC281" s="32">
        <f>IF(AND(E281&lt;&gt;"",C281&lt;&gt;"",COUNTIFS($C$8:C281,C281,$E$8:E281,E281)=1),1,0)</f>
        <v>0</v>
      </c>
    </row>
    <row r="282" spans="1:29" ht="15" customHeight="1" x14ac:dyDescent="0.25">
      <c r="A282" s="25" t="str">
        <f t="shared" si="4"/>
        <v/>
      </c>
      <c r="B282" s="26"/>
      <c r="C282" s="27"/>
      <c r="D282" s="28" t="str">
        <f>IFERROR(IF(C282="","",INDEX(마스터!$F$4:$F$20,MATCH(C282,마스터!$M$4:$M$20,0))),"")</f>
        <v/>
      </c>
      <c r="E282" s="27"/>
      <c r="F282" s="29"/>
      <c r="G282" s="25" t="str">
        <f>IFERROR(IF(C282="","",INDEX(마스터!$J$4:$J$20,MATCH(C282,마스터!$M$4:$M$20,0))),"")</f>
        <v/>
      </c>
      <c r="H282" s="30"/>
      <c r="I282" s="30"/>
      <c r="AC282" s="32">
        <f>IF(AND(E282&lt;&gt;"",C282&lt;&gt;"",COUNTIFS($C$8:C282,C282,$E$8:E282,E282)=1),1,0)</f>
        <v>0</v>
      </c>
    </row>
    <row r="283" spans="1:29" ht="15" customHeight="1" x14ac:dyDescent="0.25">
      <c r="A283" s="25" t="str">
        <f t="shared" si="4"/>
        <v/>
      </c>
      <c r="B283" s="26"/>
      <c r="C283" s="27"/>
      <c r="D283" s="28" t="str">
        <f>IFERROR(IF(C283="","",INDEX(마스터!$F$4:$F$20,MATCH(C283,마스터!$M$4:$M$20,0))),"")</f>
        <v/>
      </c>
      <c r="E283" s="27"/>
      <c r="F283" s="29"/>
      <c r="G283" s="25" t="str">
        <f>IFERROR(IF(C283="","",INDEX(마스터!$J$4:$J$20,MATCH(C283,마스터!$M$4:$M$20,0))),"")</f>
        <v/>
      </c>
      <c r="H283" s="30"/>
      <c r="I283" s="30"/>
      <c r="AC283" s="32">
        <f>IF(AND(E283&lt;&gt;"",C283&lt;&gt;"",COUNTIFS($C$8:C283,C283,$E$8:E283,E283)=1),1,0)</f>
        <v>0</v>
      </c>
    </row>
    <row r="284" spans="1:29" ht="15" customHeight="1" x14ac:dyDescent="0.25">
      <c r="A284" s="25" t="str">
        <f t="shared" si="4"/>
        <v/>
      </c>
      <c r="B284" s="26"/>
      <c r="C284" s="27"/>
      <c r="D284" s="28" t="str">
        <f>IFERROR(IF(C284="","",INDEX(마스터!$F$4:$F$20,MATCH(C284,마스터!$M$4:$M$20,0))),"")</f>
        <v/>
      </c>
      <c r="E284" s="27"/>
      <c r="F284" s="29"/>
      <c r="G284" s="25" t="str">
        <f>IFERROR(IF(C284="","",INDEX(마스터!$J$4:$J$20,MATCH(C284,마스터!$M$4:$M$20,0))),"")</f>
        <v/>
      </c>
      <c r="H284" s="30"/>
      <c r="I284" s="30"/>
      <c r="AC284" s="32">
        <f>IF(AND(E284&lt;&gt;"",C284&lt;&gt;"",COUNTIFS($C$8:C284,C284,$E$8:E284,E284)=1),1,0)</f>
        <v>0</v>
      </c>
    </row>
    <row r="285" spans="1:29" ht="15" customHeight="1" x14ac:dyDescent="0.25">
      <c r="A285" s="25" t="str">
        <f t="shared" si="4"/>
        <v/>
      </c>
      <c r="B285" s="26"/>
      <c r="C285" s="27"/>
      <c r="D285" s="28" t="str">
        <f>IFERROR(IF(C285="","",INDEX(마스터!$F$4:$F$20,MATCH(C285,마스터!$M$4:$M$20,0))),"")</f>
        <v/>
      </c>
      <c r="E285" s="27"/>
      <c r="F285" s="29"/>
      <c r="G285" s="25" t="str">
        <f>IFERROR(IF(C285="","",INDEX(마스터!$J$4:$J$20,MATCH(C285,마스터!$M$4:$M$20,0))),"")</f>
        <v/>
      </c>
      <c r="H285" s="30"/>
      <c r="I285" s="30"/>
      <c r="AC285" s="32">
        <f>IF(AND(E285&lt;&gt;"",C285&lt;&gt;"",COUNTIFS($C$8:C285,C285,$E$8:E285,E285)=1),1,0)</f>
        <v>0</v>
      </c>
    </row>
    <row r="286" spans="1:29" ht="15" customHeight="1" x14ac:dyDescent="0.25">
      <c r="A286" s="25" t="str">
        <f t="shared" si="4"/>
        <v/>
      </c>
      <c r="B286" s="26"/>
      <c r="C286" s="27"/>
      <c r="D286" s="28" t="str">
        <f>IFERROR(IF(C286="","",INDEX(마스터!$F$4:$F$20,MATCH(C286,마스터!$M$4:$M$20,0))),"")</f>
        <v/>
      </c>
      <c r="E286" s="27"/>
      <c r="F286" s="29"/>
      <c r="G286" s="25" t="str">
        <f>IFERROR(IF(C286="","",INDEX(마스터!$J$4:$J$20,MATCH(C286,마스터!$M$4:$M$20,0))),"")</f>
        <v/>
      </c>
      <c r="H286" s="30"/>
      <c r="I286" s="30"/>
      <c r="AC286" s="32">
        <f>IF(AND(E286&lt;&gt;"",C286&lt;&gt;"",COUNTIFS($C$8:C286,C286,$E$8:E286,E286)=1),1,0)</f>
        <v>0</v>
      </c>
    </row>
    <row r="287" spans="1:29" ht="15" customHeight="1" x14ac:dyDescent="0.25">
      <c r="A287" s="25" t="str">
        <f t="shared" si="4"/>
        <v/>
      </c>
      <c r="B287" s="26"/>
      <c r="C287" s="27"/>
      <c r="D287" s="28" t="str">
        <f>IFERROR(IF(C287="","",INDEX(마스터!$F$4:$F$20,MATCH(C287,마스터!$M$4:$M$20,0))),"")</f>
        <v/>
      </c>
      <c r="E287" s="27"/>
      <c r="F287" s="29"/>
      <c r="G287" s="25" t="str">
        <f>IFERROR(IF(C287="","",INDEX(마스터!$J$4:$J$20,MATCH(C287,마스터!$M$4:$M$20,0))),"")</f>
        <v/>
      </c>
      <c r="H287" s="30"/>
      <c r="I287" s="30"/>
      <c r="AC287" s="32">
        <f>IF(AND(E287&lt;&gt;"",C287&lt;&gt;"",COUNTIFS($C$8:C287,C287,$E$8:E287,E287)=1),1,0)</f>
        <v>0</v>
      </c>
    </row>
    <row r="288" spans="1:29" ht="15" customHeight="1" x14ac:dyDescent="0.25">
      <c r="A288" s="25" t="str">
        <f t="shared" si="4"/>
        <v/>
      </c>
      <c r="B288" s="26"/>
      <c r="C288" s="27"/>
      <c r="D288" s="28" t="str">
        <f>IFERROR(IF(C288="","",INDEX(마스터!$F$4:$F$20,MATCH(C288,마스터!$M$4:$M$20,0))),"")</f>
        <v/>
      </c>
      <c r="E288" s="27"/>
      <c r="F288" s="29"/>
      <c r="G288" s="25" t="str">
        <f>IFERROR(IF(C288="","",INDEX(마스터!$J$4:$J$20,MATCH(C288,마스터!$M$4:$M$20,0))),"")</f>
        <v/>
      </c>
      <c r="H288" s="30"/>
      <c r="I288" s="30"/>
      <c r="AC288" s="32">
        <f>IF(AND(E288&lt;&gt;"",C288&lt;&gt;"",COUNTIFS($C$8:C288,C288,$E$8:E288,E288)=1),1,0)</f>
        <v>0</v>
      </c>
    </row>
    <row r="289" spans="1:29" ht="15" customHeight="1" x14ac:dyDescent="0.25">
      <c r="A289" s="25" t="str">
        <f t="shared" si="4"/>
        <v/>
      </c>
      <c r="B289" s="26"/>
      <c r="C289" s="27"/>
      <c r="D289" s="28" t="str">
        <f>IFERROR(IF(C289="","",INDEX(마스터!$F$4:$F$20,MATCH(C289,마스터!$M$4:$M$20,0))),"")</f>
        <v/>
      </c>
      <c r="E289" s="27"/>
      <c r="F289" s="29"/>
      <c r="G289" s="25" t="str">
        <f>IFERROR(IF(C289="","",INDEX(마스터!$J$4:$J$20,MATCH(C289,마스터!$M$4:$M$20,0))),"")</f>
        <v/>
      </c>
      <c r="H289" s="30"/>
      <c r="I289" s="30"/>
      <c r="AC289" s="32">
        <f>IF(AND(E289&lt;&gt;"",C289&lt;&gt;"",COUNTIFS($C$8:C289,C289,$E$8:E289,E289)=1),1,0)</f>
        <v>0</v>
      </c>
    </row>
    <row r="290" spans="1:29" ht="15" customHeight="1" x14ac:dyDescent="0.25">
      <c r="A290" s="25" t="str">
        <f t="shared" si="4"/>
        <v/>
      </c>
      <c r="B290" s="26"/>
      <c r="C290" s="27"/>
      <c r="D290" s="28" t="str">
        <f>IFERROR(IF(C290="","",INDEX(마스터!$F$4:$F$20,MATCH(C290,마스터!$M$4:$M$20,0))),"")</f>
        <v/>
      </c>
      <c r="E290" s="27"/>
      <c r="F290" s="29"/>
      <c r="G290" s="25" t="str">
        <f>IFERROR(IF(C290="","",INDEX(마스터!$J$4:$J$20,MATCH(C290,마스터!$M$4:$M$20,0))),"")</f>
        <v/>
      </c>
      <c r="H290" s="30"/>
      <c r="I290" s="30"/>
      <c r="AC290" s="32">
        <f>IF(AND(E290&lt;&gt;"",C290&lt;&gt;"",COUNTIFS($C$8:C290,C290,$E$8:E290,E290)=1),1,0)</f>
        <v>0</v>
      </c>
    </row>
    <row r="291" spans="1:29" ht="15" customHeight="1" x14ac:dyDescent="0.25">
      <c r="A291" s="25" t="str">
        <f t="shared" si="4"/>
        <v/>
      </c>
      <c r="B291" s="26"/>
      <c r="C291" s="27"/>
      <c r="D291" s="28" t="str">
        <f>IFERROR(IF(C291="","",INDEX(마스터!$F$4:$F$20,MATCH(C291,마스터!$M$4:$M$20,0))),"")</f>
        <v/>
      </c>
      <c r="E291" s="27"/>
      <c r="F291" s="29"/>
      <c r="G291" s="25" t="str">
        <f>IFERROR(IF(C291="","",INDEX(마스터!$J$4:$J$20,MATCH(C291,마스터!$M$4:$M$20,0))),"")</f>
        <v/>
      </c>
      <c r="H291" s="30"/>
      <c r="I291" s="30"/>
      <c r="AC291" s="32">
        <f>IF(AND(E291&lt;&gt;"",C291&lt;&gt;"",COUNTIFS($C$8:C291,C291,$E$8:E291,E291)=1),1,0)</f>
        <v>0</v>
      </c>
    </row>
    <row r="292" spans="1:29" ht="15" customHeight="1" x14ac:dyDescent="0.25">
      <c r="A292" s="25" t="str">
        <f t="shared" si="4"/>
        <v/>
      </c>
      <c r="B292" s="26"/>
      <c r="C292" s="27"/>
      <c r="D292" s="28" t="str">
        <f>IFERROR(IF(C292="","",INDEX(마스터!$F$4:$F$20,MATCH(C292,마스터!$M$4:$M$20,0))),"")</f>
        <v/>
      </c>
      <c r="E292" s="27"/>
      <c r="F292" s="29"/>
      <c r="G292" s="25" t="str">
        <f>IFERROR(IF(C292="","",INDEX(마스터!$J$4:$J$20,MATCH(C292,마스터!$M$4:$M$20,0))),"")</f>
        <v/>
      </c>
      <c r="H292" s="30"/>
      <c r="I292" s="30"/>
      <c r="AC292" s="32">
        <f>IF(AND(E292&lt;&gt;"",C292&lt;&gt;"",COUNTIFS($C$8:C292,C292,$E$8:E292,E292)=1),1,0)</f>
        <v>0</v>
      </c>
    </row>
    <row r="293" spans="1:29" ht="15" customHeight="1" x14ac:dyDescent="0.25">
      <c r="A293" s="25" t="str">
        <f t="shared" si="4"/>
        <v/>
      </c>
      <c r="B293" s="26"/>
      <c r="C293" s="27"/>
      <c r="D293" s="28" t="str">
        <f>IFERROR(IF(C293="","",INDEX(마스터!$F$4:$F$20,MATCH(C293,마스터!$M$4:$M$20,0))),"")</f>
        <v/>
      </c>
      <c r="E293" s="27"/>
      <c r="F293" s="29"/>
      <c r="G293" s="25" t="str">
        <f>IFERROR(IF(C293="","",INDEX(마스터!$J$4:$J$20,MATCH(C293,마스터!$M$4:$M$20,0))),"")</f>
        <v/>
      </c>
      <c r="H293" s="30"/>
      <c r="I293" s="30"/>
      <c r="AC293" s="32">
        <f>IF(AND(E293&lt;&gt;"",C293&lt;&gt;"",COUNTIFS($C$8:C293,C293,$E$8:E293,E293)=1),1,0)</f>
        <v>0</v>
      </c>
    </row>
    <row r="294" spans="1:29" ht="15" customHeight="1" x14ac:dyDescent="0.25">
      <c r="A294" s="25" t="str">
        <f t="shared" si="4"/>
        <v/>
      </c>
      <c r="B294" s="26"/>
      <c r="C294" s="27"/>
      <c r="D294" s="28" t="str">
        <f>IFERROR(IF(C294="","",INDEX(마스터!$F$4:$F$20,MATCH(C294,마스터!$M$4:$M$20,0))),"")</f>
        <v/>
      </c>
      <c r="E294" s="27"/>
      <c r="F294" s="29"/>
      <c r="G294" s="25" t="str">
        <f>IFERROR(IF(C294="","",INDEX(마스터!$J$4:$J$20,MATCH(C294,마스터!$M$4:$M$20,0))),"")</f>
        <v/>
      </c>
      <c r="H294" s="30"/>
      <c r="I294" s="30"/>
      <c r="AC294" s="32">
        <f>IF(AND(E294&lt;&gt;"",C294&lt;&gt;"",COUNTIFS($C$8:C294,C294,$E$8:E294,E294)=1),1,0)</f>
        <v>0</v>
      </c>
    </row>
    <row r="295" spans="1:29" ht="15" customHeight="1" x14ac:dyDescent="0.25">
      <c r="A295" s="25" t="str">
        <f t="shared" si="4"/>
        <v/>
      </c>
      <c r="B295" s="26"/>
      <c r="C295" s="27"/>
      <c r="D295" s="28" t="str">
        <f>IFERROR(IF(C295="","",INDEX(마스터!$F$4:$F$20,MATCH(C295,마스터!$M$4:$M$20,0))),"")</f>
        <v/>
      </c>
      <c r="E295" s="27"/>
      <c r="F295" s="29"/>
      <c r="G295" s="25" t="str">
        <f>IFERROR(IF(C295="","",INDEX(마스터!$J$4:$J$20,MATCH(C295,마스터!$M$4:$M$20,0))),"")</f>
        <v/>
      </c>
      <c r="H295" s="30"/>
      <c r="I295" s="30"/>
      <c r="AC295" s="32">
        <f>IF(AND(E295&lt;&gt;"",C295&lt;&gt;"",COUNTIFS($C$8:C295,C295,$E$8:E295,E295)=1),1,0)</f>
        <v>0</v>
      </c>
    </row>
    <row r="296" spans="1:29" ht="15" customHeight="1" x14ac:dyDescent="0.25">
      <c r="A296" s="25" t="str">
        <f t="shared" si="4"/>
        <v/>
      </c>
      <c r="B296" s="26"/>
      <c r="C296" s="27"/>
      <c r="D296" s="28" t="str">
        <f>IFERROR(IF(C296="","",INDEX(마스터!$F$4:$F$20,MATCH(C296,마스터!$M$4:$M$20,0))),"")</f>
        <v/>
      </c>
      <c r="E296" s="27"/>
      <c r="F296" s="29"/>
      <c r="G296" s="25" t="str">
        <f>IFERROR(IF(C296="","",INDEX(마스터!$J$4:$J$20,MATCH(C296,마스터!$M$4:$M$20,0))),"")</f>
        <v/>
      </c>
      <c r="H296" s="30"/>
      <c r="I296" s="30"/>
      <c r="AC296" s="32">
        <f>IF(AND(E296&lt;&gt;"",C296&lt;&gt;"",COUNTIFS($C$8:C296,C296,$E$8:E296,E296)=1),1,0)</f>
        <v>0</v>
      </c>
    </row>
    <row r="297" spans="1:29" ht="15" customHeight="1" x14ac:dyDescent="0.25">
      <c r="A297" s="25" t="str">
        <f t="shared" si="4"/>
        <v/>
      </c>
      <c r="B297" s="26"/>
      <c r="C297" s="27"/>
      <c r="D297" s="28" t="str">
        <f>IFERROR(IF(C297="","",INDEX(마스터!$F$4:$F$20,MATCH(C297,마스터!$M$4:$M$20,0))),"")</f>
        <v/>
      </c>
      <c r="E297" s="27"/>
      <c r="F297" s="29"/>
      <c r="G297" s="25" t="str">
        <f>IFERROR(IF(C297="","",INDEX(마스터!$J$4:$J$20,MATCH(C297,마스터!$M$4:$M$20,0))),"")</f>
        <v/>
      </c>
      <c r="H297" s="30"/>
      <c r="I297" s="30"/>
      <c r="AC297" s="32">
        <f>IF(AND(E297&lt;&gt;"",C297&lt;&gt;"",COUNTIFS($C$8:C297,C297,$E$8:E297,E297)=1),1,0)</f>
        <v>0</v>
      </c>
    </row>
    <row r="298" spans="1:29" ht="15" customHeight="1" x14ac:dyDescent="0.25">
      <c r="A298" s="25" t="str">
        <f t="shared" si="4"/>
        <v/>
      </c>
      <c r="B298" s="26"/>
      <c r="C298" s="27"/>
      <c r="D298" s="28" t="str">
        <f>IFERROR(IF(C298="","",INDEX(마스터!$F$4:$F$20,MATCH(C298,마스터!$M$4:$M$20,0))),"")</f>
        <v/>
      </c>
      <c r="E298" s="27"/>
      <c r="F298" s="29"/>
      <c r="G298" s="25" t="str">
        <f>IFERROR(IF(C298="","",INDEX(마스터!$J$4:$J$20,MATCH(C298,마스터!$M$4:$M$20,0))),"")</f>
        <v/>
      </c>
      <c r="H298" s="30"/>
      <c r="I298" s="30"/>
      <c r="AC298" s="32">
        <f>IF(AND(E298&lt;&gt;"",C298&lt;&gt;"",COUNTIFS($C$8:C298,C298,$E$8:E298,E298)=1),1,0)</f>
        <v>0</v>
      </c>
    </row>
    <row r="299" spans="1:29" ht="15" customHeight="1" x14ac:dyDescent="0.25">
      <c r="A299" s="25" t="str">
        <f t="shared" si="4"/>
        <v/>
      </c>
      <c r="B299" s="26"/>
      <c r="C299" s="27"/>
      <c r="D299" s="28" t="str">
        <f>IFERROR(IF(C299="","",INDEX(마스터!$F$4:$F$20,MATCH(C299,마스터!$M$4:$M$20,0))),"")</f>
        <v/>
      </c>
      <c r="E299" s="27"/>
      <c r="F299" s="29"/>
      <c r="G299" s="25" t="str">
        <f>IFERROR(IF(C299="","",INDEX(마스터!$J$4:$J$20,MATCH(C299,마스터!$M$4:$M$20,0))),"")</f>
        <v/>
      </c>
      <c r="H299" s="30"/>
      <c r="I299" s="30"/>
      <c r="AC299" s="32">
        <f>IF(AND(E299&lt;&gt;"",C299&lt;&gt;"",COUNTIFS($C$8:C299,C299,$E$8:E299,E299)=1),1,0)</f>
        <v>0</v>
      </c>
    </row>
    <row r="300" spans="1:29" ht="15" customHeight="1" x14ac:dyDescent="0.25">
      <c r="A300" s="25" t="str">
        <f t="shared" si="4"/>
        <v/>
      </c>
      <c r="B300" s="26"/>
      <c r="C300" s="27"/>
      <c r="D300" s="28" t="str">
        <f>IFERROR(IF(C300="","",INDEX(마스터!$F$4:$F$20,MATCH(C300,마스터!$M$4:$M$20,0))),"")</f>
        <v/>
      </c>
      <c r="E300" s="27"/>
      <c r="F300" s="29"/>
      <c r="G300" s="25" t="str">
        <f>IFERROR(IF(C300="","",INDEX(마스터!$J$4:$J$20,MATCH(C300,마스터!$M$4:$M$20,0))),"")</f>
        <v/>
      </c>
      <c r="H300" s="30"/>
      <c r="I300" s="30"/>
      <c r="AC300" s="32">
        <f>IF(AND(E300&lt;&gt;"",C300&lt;&gt;"",COUNTIFS($C$8:C300,C300,$E$8:E300,E300)=1),1,0)</f>
        <v>0</v>
      </c>
    </row>
    <row r="301" spans="1:29" ht="15" customHeight="1" x14ac:dyDescent="0.25">
      <c r="A301" s="25" t="str">
        <f t="shared" si="4"/>
        <v/>
      </c>
      <c r="B301" s="26"/>
      <c r="C301" s="27"/>
      <c r="D301" s="28" t="str">
        <f>IFERROR(IF(C301="","",INDEX(마스터!$F$4:$F$20,MATCH(C301,마스터!$M$4:$M$20,0))),"")</f>
        <v/>
      </c>
      <c r="E301" s="27"/>
      <c r="F301" s="29"/>
      <c r="G301" s="25" t="str">
        <f>IFERROR(IF(C301="","",INDEX(마스터!$J$4:$J$20,MATCH(C301,마스터!$M$4:$M$20,0))),"")</f>
        <v/>
      </c>
      <c r="H301" s="30"/>
      <c r="I301" s="30"/>
      <c r="AC301" s="32">
        <f>IF(AND(E301&lt;&gt;"",C301&lt;&gt;"",COUNTIFS($C$8:C301,C301,$E$8:E301,E301)=1),1,0)</f>
        <v>0</v>
      </c>
    </row>
    <row r="302" spans="1:29" ht="15" customHeight="1" x14ac:dyDescent="0.25">
      <c r="A302" s="25" t="str">
        <f t="shared" si="4"/>
        <v/>
      </c>
      <c r="B302" s="26"/>
      <c r="C302" s="27"/>
      <c r="D302" s="28" t="str">
        <f>IFERROR(IF(C302="","",INDEX(마스터!$F$4:$F$20,MATCH(C302,마스터!$M$4:$M$20,0))),"")</f>
        <v/>
      </c>
      <c r="E302" s="27"/>
      <c r="F302" s="29"/>
      <c r="G302" s="25" t="str">
        <f>IFERROR(IF(C302="","",INDEX(마스터!$J$4:$J$20,MATCH(C302,마스터!$M$4:$M$20,0))),"")</f>
        <v/>
      </c>
      <c r="H302" s="30"/>
      <c r="I302" s="30"/>
      <c r="AC302" s="32">
        <f>IF(AND(E302&lt;&gt;"",C302&lt;&gt;"",COUNTIFS($C$8:C302,C302,$E$8:E302,E302)=1),1,0)</f>
        <v>0</v>
      </c>
    </row>
    <row r="303" spans="1:29" ht="15" customHeight="1" x14ac:dyDescent="0.25">
      <c r="A303" s="25" t="str">
        <f t="shared" si="4"/>
        <v/>
      </c>
      <c r="B303" s="26"/>
      <c r="C303" s="27"/>
      <c r="D303" s="28" t="str">
        <f>IFERROR(IF(C303="","",INDEX(마스터!$F$4:$F$20,MATCH(C303,마스터!$M$4:$M$20,0))),"")</f>
        <v/>
      </c>
      <c r="E303" s="27"/>
      <c r="F303" s="29"/>
      <c r="G303" s="25" t="str">
        <f>IFERROR(IF(C303="","",INDEX(마스터!$J$4:$J$20,MATCH(C303,마스터!$M$4:$M$20,0))),"")</f>
        <v/>
      </c>
      <c r="H303" s="30"/>
      <c r="I303" s="30"/>
      <c r="AC303" s="32">
        <f>IF(AND(E303&lt;&gt;"",C303&lt;&gt;"",COUNTIFS($C$8:C303,C303,$E$8:E303,E303)=1),1,0)</f>
        <v>0</v>
      </c>
    </row>
    <row r="304" spans="1:29" ht="15" customHeight="1" x14ac:dyDescent="0.25">
      <c r="A304" s="25" t="str">
        <f t="shared" si="4"/>
        <v/>
      </c>
      <c r="B304" s="26"/>
      <c r="C304" s="27"/>
      <c r="D304" s="28" t="str">
        <f>IFERROR(IF(C304="","",INDEX(마스터!$F$4:$F$20,MATCH(C304,마스터!$M$4:$M$20,0))),"")</f>
        <v/>
      </c>
      <c r="E304" s="27"/>
      <c r="F304" s="29"/>
      <c r="G304" s="25" t="str">
        <f>IFERROR(IF(C304="","",INDEX(마스터!$J$4:$J$20,MATCH(C304,마스터!$M$4:$M$20,0))),"")</f>
        <v/>
      </c>
      <c r="H304" s="30"/>
      <c r="I304" s="30"/>
      <c r="AC304" s="32">
        <f>IF(AND(E304&lt;&gt;"",C304&lt;&gt;"",COUNTIFS($C$8:C304,C304,$E$8:E304,E304)=1),1,0)</f>
        <v>0</v>
      </c>
    </row>
    <row r="305" spans="1:29" ht="15" customHeight="1" x14ac:dyDescent="0.25">
      <c r="A305" s="25" t="str">
        <f t="shared" si="4"/>
        <v/>
      </c>
      <c r="B305" s="26"/>
      <c r="C305" s="27"/>
      <c r="D305" s="28" t="str">
        <f>IFERROR(IF(C305="","",INDEX(마스터!$F$4:$F$20,MATCH(C305,마스터!$M$4:$M$20,0))),"")</f>
        <v/>
      </c>
      <c r="E305" s="27"/>
      <c r="F305" s="29"/>
      <c r="G305" s="25" t="str">
        <f>IFERROR(IF(C305="","",INDEX(마스터!$J$4:$J$20,MATCH(C305,마스터!$M$4:$M$20,0))),"")</f>
        <v/>
      </c>
      <c r="H305" s="30"/>
      <c r="I305" s="30"/>
      <c r="AC305" s="32">
        <f>IF(AND(E305&lt;&gt;"",C305&lt;&gt;"",COUNTIFS($C$8:C305,C305,$E$8:E305,E305)=1),1,0)</f>
        <v>0</v>
      </c>
    </row>
    <row r="306" spans="1:29" ht="15" customHeight="1" x14ac:dyDescent="0.25">
      <c r="A306" s="25" t="str">
        <f t="shared" si="4"/>
        <v/>
      </c>
      <c r="B306" s="26"/>
      <c r="C306" s="27"/>
      <c r="D306" s="28" t="str">
        <f>IFERROR(IF(C306="","",INDEX(마스터!$F$4:$F$20,MATCH(C306,마스터!$M$4:$M$20,0))),"")</f>
        <v/>
      </c>
      <c r="E306" s="27"/>
      <c r="F306" s="29"/>
      <c r="G306" s="25" t="str">
        <f>IFERROR(IF(C306="","",INDEX(마스터!$J$4:$J$20,MATCH(C306,마스터!$M$4:$M$20,0))),"")</f>
        <v/>
      </c>
      <c r="H306" s="30"/>
      <c r="I306" s="30"/>
      <c r="AC306" s="32">
        <f>IF(AND(E306&lt;&gt;"",C306&lt;&gt;"",COUNTIFS($C$8:C306,C306,$E$8:E306,E306)=1),1,0)</f>
        <v>0</v>
      </c>
    </row>
    <row r="307" spans="1:29" ht="15" customHeight="1" x14ac:dyDescent="0.25">
      <c r="A307" s="25" t="str">
        <f t="shared" si="4"/>
        <v/>
      </c>
      <c r="B307" s="26"/>
      <c r="C307" s="27"/>
      <c r="D307" s="28" t="str">
        <f>IFERROR(IF(C307="","",INDEX(마스터!$F$4:$F$20,MATCH(C307,마스터!$M$4:$M$20,0))),"")</f>
        <v/>
      </c>
      <c r="E307" s="27"/>
      <c r="F307" s="29"/>
      <c r="G307" s="25" t="str">
        <f>IFERROR(IF(C307="","",INDEX(마스터!$J$4:$J$20,MATCH(C307,마스터!$M$4:$M$20,0))),"")</f>
        <v/>
      </c>
      <c r="H307" s="30"/>
      <c r="I307" s="30"/>
      <c r="AC307" s="32">
        <f>IF(AND(E307&lt;&gt;"",C307&lt;&gt;"",COUNTIFS($C$8:C307,C307,$E$8:E307,E307)=1),1,0)</f>
        <v>0</v>
      </c>
    </row>
    <row r="308" spans="1:29" ht="15" customHeight="1" x14ac:dyDescent="0.25">
      <c r="A308" s="25" t="str">
        <f t="shared" si="4"/>
        <v/>
      </c>
      <c r="B308" s="26"/>
      <c r="C308" s="27"/>
      <c r="D308" s="28" t="str">
        <f>IFERROR(IF(C308="","",INDEX(마스터!$F$4:$F$20,MATCH(C308,마스터!$M$4:$M$20,0))),"")</f>
        <v/>
      </c>
      <c r="E308" s="27"/>
      <c r="F308" s="29"/>
      <c r="G308" s="25" t="str">
        <f>IFERROR(IF(C308="","",INDEX(마스터!$J$4:$J$20,MATCH(C308,마스터!$M$4:$M$20,0))),"")</f>
        <v/>
      </c>
      <c r="H308" s="30"/>
      <c r="I308" s="30"/>
      <c r="AC308" s="32">
        <f>IF(AND(E308&lt;&gt;"",C308&lt;&gt;"",COUNTIFS($C$8:C308,C308,$E$8:E308,E308)=1),1,0)</f>
        <v>0</v>
      </c>
    </row>
    <row r="309" spans="1:29" ht="15" customHeight="1" x14ac:dyDescent="0.25">
      <c r="A309" s="25" t="str">
        <f t="shared" si="4"/>
        <v/>
      </c>
      <c r="B309" s="26"/>
      <c r="C309" s="27"/>
      <c r="D309" s="28" t="str">
        <f>IFERROR(IF(C309="","",INDEX(마스터!$F$4:$F$20,MATCH(C309,마스터!$M$4:$M$20,0))),"")</f>
        <v/>
      </c>
      <c r="E309" s="27"/>
      <c r="F309" s="29"/>
      <c r="G309" s="25" t="str">
        <f>IFERROR(IF(C309="","",INDEX(마스터!$J$4:$J$20,MATCH(C309,마스터!$M$4:$M$20,0))),"")</f>
        <v/>
      </c>
      <c r="H309" s="30"/>
      <c r="I309" s="30"/>
      <c r="AC309" s="32">
        <f>IF(AND(E309&lt;&gt;"",C309&lt;&gt;"",COUNTIFS($C$8:C309,C309,$E$8:E309,E309)=1),1,0)</f>
        <v>0</v>
      </c>
    </row>
    <row r="310" spans="1:29" ht="15" customHeight="1" x14ac:dyDescent="0.25">
      <c r="A310" s="25" t="str">
        <f t="shared" si="4"/>
        <v/>
      </c>
      <c r="B310" s="26"/>
      <c r="C310" s="27"/>
      <c r="D310" s="28" t="str">
        <f>IFERROR(IF(C310="","",INDEX(마스터!$F$4:$F$20,MATCH(C310,마스터!$M$4:$M$20,0))),"")</f>
        <v/>
      </c>
      <c r="E310" s="27"/>
      <c r="F310" s="29"/>
      <c r="G310" s="25" t="str">
        <f>IFERROR(IF(C310="","",INDEX(마스터!$J$4:$J$20,MATCH(C310,마스터!$M$4:$M$20,0))),"")</f>
        <v/>
      </c>
      <c r="H310" s="30"/>
      <c r="I310" s="30"/>
      <c r="AC310" s="32">
        <f>IF(AND(E310&lt;&gt;"",C310&lt;&gt;"",COUNTIFS($C$8:C310,C310,$E$8:E310,E310)=1),1,0)</f>
        <v>0</v>
      </c>
    </row>
    <row r="311" spans="1:29" ht="15" customHeight="1" x14ac:dyDescent="0.25">
      <c r="A311" s="25" t="str">
        <f t="shared" si="4"/>
        <v/>
      </c>
      <c r="B311" s="26"/>
      <c r="C311" s="27"/>
      <c r="D311" s="28" t="str">
        <f>IFERROR(IF(C311="","",INDEX(마스터!$F$4:$F$20,MATCH(C311,마스터!$M$4:$M$20,0))),"")</f>
        <v/>
      </c>
      <c r="E311" s="27"/>
      <c r="F311" s="29"/>
      <c r="G311" s="25" t="str">
        <f>IFERROR(IF(C311="","",INDEX(마스터!$J$4:$J$20,MATCH(C311,마스터!$M$4:$M$20,0))),"")</f>
        <v/>
      </c>
      <c r="H311" s="30"/>
      <c r="I311" s="30"/>
      <c r="AC311" s="32">
        <f>IF(AND(E311&lt;&gt;"",C311&lt;&gt;"",COUNTIFS($C$8:C311,C311,$E$8:E311,E311)=1),1,0)</f>
        <v>0</v>
      </c>
    </row>
    <row r="312" spans="1:29" ht="15" customHeight="1" x14ac:dyDescent="0.25">
      <c r="A312" s="25" t="str">
        <f t="shared" si="4"/>
        <v/>
      </c>
      <c r="B312" s="26"/>
      <c r="C312" s="27"/>
      <c r="D312" s="28" t="str">
        <f>IFERROR(IF(C312="","",INDEX(마스터!$F$4:$F$20,MATCH(C312,마스터!$M$4:$M$20,0))),"")</f>
        <v/>
      </c>
      <c r="E312" s="27"/>
      <c r="F312" s="29"/>
      <c r="G312" s="25" t="str">
        <f>IFERROR(IF(C312="","",INDEX(마스터!$J$4:$J$20,MATCH(C312,마스터!$M$4:$M$20,0))),"")</f>
        <v/>
      </c>
      <c r="H312" s="30"/>
      <c r="I312" s="30"/>
      <c r="AC312" s="32">
        <f>IF(AND(E312&lt;&gt;"",C312&lt;&gt;"",COUNTIFS($C$8:C312,C312,$E$8:E312,E312)=1),1,0)</f>
        <v>0</v>
      </c>
    </row>
    <row r="313" spans="1:29" ht="15" customHeight="1" x14ac:dyDescent="0.25">
      <c r="A313" s="25" t="str">
        <f t="shared" si="4"/>
        <v/>
      </c>
      <c r="B313" s="26"/>
      <c r="C313" s="27"/>
      <c r="D313" s="28" t="str">
        <f>IFERROR(IF(C313="","",INDEX(마스터!$F$4:$F$20,MATCH(C313,마스터!$M$4:$M$20,0))),"")</f>
        <v/>
      </c>
      <c r="E313" s="27"/>
      <c r="F313" s="29"/>
      <c r="G313" s="25" t="str">
        <f>IFERROR(IF(C313="","",INDEX(마스터!$J$4:$J$20,MATCH(C313,마스터!$M$4:$M$20,0))),"")</f>
        <v/>
      </c>
      <c r="H313" s="30"/>
      <c r="I313" s="30"/>
      <c r="AC313" s="32">
        <f>IF(AND(E313&lt;&gt;"",C313&lt;&gt;"",COUNTIFS($C$8:C313,C313,$E$8:E313,E313)=1),1,0)</f>
        <v>0</v>
      </c>
    </row>
    <row r="314" spans="1:29" ht="15" customHeight="1" x14ac:dyDescent="0.25">
      <c r="A314" s="25" t="str">
        <f t="shared" si="4"/>
        <v/>
      </c>
      <c r="B314" s="26"/>
      <c r="C314" s="27"/>
      <c r="D314" s="28" t="str">
        <f>IFERROR(IF(C314="","",INDEX(마스터!$F$4:$F$20,MATCH(C314,마스터!$M$4:$M$20,0))),"")</f>
        <v/>
      </c>
      <c r="E314" s="27"/>
      <c r="F314" s="29"/>
      <c r="G314" s="25" t="str">
        <f>IFERROR(IF(C314="","",INDEX(마스터!$J$4:$J$20,MATCH(C314,마스터!$M$4:$M$20,0))),"")</f>
        <v/>
      </c>
      <c r="H314" s="30"/>
      <c r="I314" s="30"/>
      <c r="AC314" s="32">
        <f>IF(AND(E314&lt;&gt;"",C314&lt;&gt;"",COUNTIFS($C$8:C314,C314,$E$8:E314,E314)=1),1,0)</f>
        <v>0</v>
      </c>
    </row>
    <row r="315" spans="1:29" ht="15" customHeight="1" x14ac:dyDescent="0.25">
      <c r="A315" s="25" t="str">
        <f t="shared" si="4"/>
        <v/>
      </c>
      <c r="B315" s="26"/>
      <c r="C315" s="27"/>
      <c r="D315" s="28" t="str">
        <f>IFERROR(IF(C315="","",INDEX(마스터!$F$4:$F$20,MATCH(C315,마스터!$M$4:$M$20,0))),"")</f>
        <v/>
      </c>
      <c r="E315" s="27"/>
      <c r="F315" s="29"/>
      <c r="G315" s="25" t="str">
        <f>IFERROR(IF(C315="","",INDEX(마스터!$J$4:$J$20,MATCH(C315,마스터!$M$4:$M$20,0))),"")</f>
        <v/>
      </c>
      <c r="H315" s="30"/>
      <c r="I315" s="30"/>
      <c r="AC315" s="32">
        <f>IF(AND(E315&lt;&gt;"",C315&lt;&gt;"",COUNTIFS($C$8:C315,C315,$E$8:E315,E315)=1),1,0)</f>
        <v>0</v>
      </c>
    </row>
    <row r="316" spans="1:29" ht="15" customHeight="1" x14ac:dyDescent="0.25">
      <c r="A316" s="25" t="str">
        <f t="shared" si="4"/>
        <v/>
      </c>
      <c r="B316" s="26"/>
      <c r="C316" s="27"/>
      <c r="D316" s="28" t="str">
        <f>IFERROR(IF(C316="","",INDEX(마스터!$F$4:$F$20,MATCH(C316,마스터!$M$4:$M$20,0))),"")</f>
        <v/>
      </c>
      <c r="E316" s="27"/>
      <c r="F316" s="29"/>
      <c r="G316" s="25" t="str">
        <f>IFERROR(IF(C316="","",INDEX(마스터!$J$4:$J$20,MATCH(C316,마스터!$M$4:$M$20,0))),"")</f>
        <v/>
      </c>
      <c r="H316" s="30"/>
      <c r="I316" s="30"/>
      <c r="AC316" s="32">
        <f>IF(AND(E316&lt;&gt;"",C316&lt;&gt;"",COUNTIFS($C$8:C316,C316,$E$8:E316,E316)=1),1,0)</f>
        <v>0</v>
      </c>
    </row>
    <row r="317" spans="1:29" ht="15" customHeight="1" x14ac:dyDescent="0.25">
      <c r="A317" s="25" t="str">
        <f t="shared" si="4"/>
        <v/>
      </c>
      <c r="B317" s="26"/>
      <c r="C317" s="27"/>
      <c r="D317" s="28" t="str">
        <f>IFERROR(IF(C317="","",INDEX(마스터!$F$4:$F$20,MATCH(C317,마스터!$M$4:$M$20,0))),"")</f>
        <v/>
      </c>
      <c r="E317" s="27"/>
      <c r="F317" s="29"/>
      <c r="G317" s="25" t="str">
        <f>IFERROR(IF(C317="","",INDEX(마스터!$J$4:$J$20,MATCH(C317,마스터!$M$4:$M$20,0))),"")</f>
        <v/>
      </c>
      <c r="H317" s="30"/>
      <c r="I317" s="30"/>
      <c r="AC317" s="32">
        <f>IF(AND(E317&lt;&gt;"",C317&lt;&gt;"",COUNTIFS($C$8:C317,C317,$E$8:E317,E317)=1),1,0)</f>
        <v>0</v>
      </c>
    </row>
    <row r="318" spans="1:29" ht="15" customHeight="1" x14ac:dyDescent="0.25">
      <c r="A318" s="25" t="str">
        <f t="shared" si="4"/>
        <v/>
      </c>
      <c r="B318" s="26"/>
      <c r="C318" s="27"/>
      <c r="D318" s="28" t="str">
        <f>IFERROR(IF(C318="","",INDEX(마스터!$F$4:$F$20,MATCH(C318,마스터!$M$4:$M$20,0))),"")</f>
        <v/>
      </c>
      <c r="E318" s="27"/>
      <c r="F318" s="29"/>
      <c r="G318" s="25" t="str">
        <f>IFERROR(IF(C318="","",INDEX(마스터!$J$4:$J$20,MATCH(C318,마스터!$M$4:$M$20,0))),"")</f>
        <v/>
      </c>
      <c r="H318" s="30"/>
      <c r="I318" s="30"/>
      <c r="AC318" s="32">
        <f>IF(AND(E318&lt;&gt;"",C318&lt;&gt;"",COUNTIFS($C$8:C318,C318,$E$8:E318,E318)=1),1,0)</f>
        <v>0</v>
      </c>
    </row>
    <row r="319" spans="1:29" ht="15" customHeight="1" x14ac:dyDescent="0.25">
      <c r="A319" s="25" t="str">
        <f t="shared" si="4"/>
        <v/>
      </c>
      <c r="B319" s="26"/>
      <c r="C319" s="27"/>
      <c r="D319" s="28" t="str">
        <f>IFERROR(IF(C319="","",INDEX(마스터!$F$4:$F$20,MATCH(C319,마스터!$M$4:$M$20,0))),"")</f>
        <v/>
      </c>
      <c r="E319" s="27"/>
      <c r="F319" s="29"/>
      <c r="G319" s="25" t="str">
        <f>IFERROR(IF(C319="","",INDEX(마스터!$J$4:$J$20,MATCH(C319,마스터!$M$4:$M$20,0))),"")</f>
        <v/>
      </c>
      <c r="H319" s="30"/>
      <c r="I319" s="30"/>
      <c r="AC319" s="32">
        <f>IF(AND(E319&lt;&gt;"",C319&lt;&gt;"",COUNTIFS($C$8:C319,C319,$E$8:E319,E319)=1),1,0)</f>
        <v>0</v>
      </c>
    </row>
    <row r="320" spans="1:29" ht="15" customHeight="1" x14ac:dyDescent="0.25">
      <c r="A320" s="25" t="str">
        <f t="shared" si="4"/>
        <v/>
      </c>
      <c r="B320" s="26"/>
      <c r="C320" s="27"/>
      <c r="D320" s="28" t="str">
        <f>IFERROR(IF(C320="","",INDEX(마스터!$F$4:$F$20,MATCH(C320,마스터!$M$4:$M$20,0))),"")</f>
        <v/>
      </c>
      <c r="E320" s="27"/>
      <c r="F320" s="29"/>
      <c r="G320" s="25" t="str">
        <f>IFERROR(IF(C320="","",INDEX(마스터!$J$4:$J$20,MATCH(C320,마스터!$M$4:$M$20,0))),"")</f>
        <v/>
      </c>
      <c r="H320" s="30"/>
      <c r="I320" s="30"/>
      <c r="AC320" s="32">
        <f>IF(AND(E320&lt;&gt;"",C320&lt;&gt;"",COUNTIFS($C$8:C320,C320,$E$8:E320,E320)=1),1,0)</f>
        <v>0</v>
      </c>
    </row>
    <row r="321" spans="1:29" ht="15" customHeight="1" x14ac:dyDescent="0.25">
      <c r="A321" s="25" t="str">
        <f t="shared" si="4"/>
        <v/>
      </c>
      <c r="B321" s="26"/>
      <c r="C321" s="27"/>
      <c r="D321" s="28" t="str">
        <f>IFERROR(IF(C321="","",INDEX(마스터!$F$4:$F$20,MATCH(C321,마스터!$M$4:$M$20,0))),"")</f>
        <v/>
      </c>
      <c r="E321" s="27"/>
      <c r="F321" s="29"/>
      <c r="G321" s="25" t="str">
        <f>IFERROR(IF(C321="","",INDEX(마스터!$J$4:$J$20,MATCH(C321,마스터!$M$4:$M$20,0))),"")</f>
        <v/>
      </c>
      <c r="H321" s="30"/>
      <c r="I321" s="30"/>
      <c r="AC321" s="32">
        <f>IF(AND(E321&lt;&gt;"",C321&lt;&gt;"",COUNTIFS($C$8:C321,C321,$E$8:E321,E321)=1),1,0)</f>
        <v>0</v>
      </c>
    </row>
    <row r="322" spans="1:29" ht="15" customHeight="1" x14ac:dyDescent="0.25">
      <c r="A322" s="25" t="str">
        <f t="shared" si="4"/>
        <v/>
      </c>
      <c r="B322" s="26"/>
      <c r="C322" s="27"/>
      <c r="D322" s="28" t="str">
        <f>IFERROR(IF(C322="","",INDEX(마스터!$F$4:$F$20,MATCH(C322,마스터!$M$4:$M$20,0))),"")</f>
        <v/>
      </c>
      <c r="E322" s="27"/>
      <c r="F322" s="29"/>
      <c r="G322" s="25" t="str">
        <f>IFERROR(IF(C322="","",INDEX(마스터!$J$4:$J$20,MATCH(C322,마스터!$M$4:$M$20,0))),"")</f>
        <v/>
      </c>
      <c r="H322" s="30"/>
      <c r="I322" s="30"/>
      <c r="AC322" s="32">
        <f>IF(AND(E322&lt;&gt;"",C322&lt;&gt;"",COUNTIFS($C$8:C322,C322,$E$8:E322,E322)=1),1,0)</f>
        <v>0</v>
      </c>
    </row>
    <row r="323" spans="1:29" ht="15" customHeight="1" x14ac:dyDescent="0.25">
      <c r="A323" s="25" t="str">
        <f t="shared" si="4"/>
        <v/>
      </c>
      <c r="B323" s="26"/>
      <c r="C323" s="27"/>
      <c r="D323" s="28" t="str">
        <f>IFERROR(IF(C323="","",INDEX(마스터!$F$4:$F$20,MATCH(C323,마스터!$M$4:$M$20,0))),"")</f>
        <v/>
      </c>
      <c r="E323" s="27"/>
      <c r="F323" s="29"/>
      <c r="G323" s="25" t="str">
        <f>IFERROR(IF(C323="","",INDEX(마스터!$J$4:$J$20,MATCH(C323,마스터!$M$4:$M$20,0))),"")</f>
        <v/>
      </c>
      <c r="H323" s="30"/>
      <c r="I323" s="30"/>
      <c r="AC323" s="32">
        <f>IF(AND(E323&lt;&gt;"",C323&lt;&gt;"",COUNTIFS($C$8:C323,C323,$E$8:E323,E323)=1),1,0)</f>
        <v>0</v>
      </c>
    </row>
    <row r="324" spans="1:29" ht="15" customHeight="1" x14ac:dyDescent="0.25">
      <c r="A324" s="25" t="str">
        <f t="shared" si="4"/>
        <v/>
      </c>
      <c r="B324" s="26"/>
      <c r="C324" s="27"/>
      <c r="D324" s="28" t="str">
        <f>IFERROR(IF(C324="","",INDEX(마스터!$F$4:$F$20,MATCH(C324,마스터!$M$4:$M$20,0))),"")</f>
        <v/>
      </c>
      <c r="E324" s="27"/>
      <c r="F324" s="29"/>
      <c r="G324" s="25" t="str">
        <f>IFERROR(IF(C324="","",INDEX(마스터!$J$4:$J$20,MATCH(C324,마스터!$M$4:$M$20,0))),"")</f>
        <v/>
      </c>
      <c r="H324" s="30"/>
      <c r="I324" s="30"/>
      <c r="AC324" s="32">
        <f>IF(AND(E324&lt;&gt;"",C324&lt;&gt;"",COUNTIFS($C$8:C324,C324,$E$8:E324,E324)=1),1,0)</f>
        <v>0</v>
      </c>
    </row>
    <row r="325" spans="1:29" ht="15" customHeight="1" x14ac:dyDescent="0.25">
      <c r="A325" s="25" t="str">
        <f t="shared" si="4"/>
        <v/>
      </c>
      <c r="B325" s="26"/>
      <c r="C325" s="27"/>
      <c r="D325" s="28" t="str">
        <f>IFERROR(IF(C325="","",INDEX(마스터!$F$4:$F$20,MATCH(C325,마스터!$M$4:$M$20,0))),"")</f>
        <v/>
      </c>
      <c r="E325" s="27"/>
      <c r="F325" s="29"/>
      <c r="G325" s="25" t="str">
        <f>IFERROR(IF(C325="","",INDEX(마스터!$J$4:$J$20,MATCH(C325,마스터!$M$4:$M$20,0))),"")</f>
        <v/>
      </c>
      <c r="H325" s="30"/>
      <c r="I325" s="30"/>
      <c r="AC325" s="32">
        <f>IF(AND(E325&lt;&gt;"",C325&lt;&gt;"",COUNTIFS($C$8:C325,C325,$E$8:E325,E325)=1),1,0)</f>
        <v>0</v>
      </c>
    </row>
    <row r="326" spans="1:29" ht="15" customHeight="1" x14ac:dyDescent="0.25">
      <c r="A326" s="25" t="str">
        <f t="shared" si="4"/>
        <v/>
      </c>
      <c r="B326" s="26"/>
      <c r="C326" s="27"/>
      <c r="D326" s="28" t="str">
        <f>IFERROR(IF(C326="","",INDEX(마스터!$F$4:$F$20,MATCH(C326,마스터!$M$4:$M$20,0))),"")</f>
        <v/>
      </c>
      <c r="E326" s="27"/>
      <c r="F326" s="29"/>
      <c r="G326" s="25" t="str">
        <f>IFERROR(IF(C326="","",INDEX(마스터!$J$4:$J$20,MATCH(C326,마스터!$M$4:$M$20,0))),"")</f>
        <v/>
      </c>
      <c r="H326" s="30"/>
      <c r="I326" s="30"/>
      <c r="AC326" s="32">
        <f>IF(AND(E326&lt;&gt;"",C326&lt;&gt;"",COUNTIFS($C$8:C326,C326,$E$8:E326,E326)=1),1,0)</f>
        <v>0</v>
      </c>
    </row>
    <row r="327" spans="1:29" ht="15" customHeight="1" x14ac:dyDescent="0.25">
      <c r="A327" s="25" t="str">
        <f t="shared" si="4"/>
        <v/>
      </c>
      <c r="B327" s="26"/>
      <c r="C327" s="27"/>
      <c r="D327" s="28" t="str">
        <f>IFERROR(IF(C327="","",INDEX(마스터!$F$4:$F$20,MATCH(C327,마스터!$M$4:$M$20,0))),"")</f>
        <v/>
      </c>
      <c r="E327" s="27"/>
      <c r="F327" s="29"/>
      <c r="G327" s="25" t="str">
        <f>IFERROR(IF(C327="","",INDEX(마스터!$J$4:$J$20,MATCH(C327,마스터!$M$4:$M$20,0))),"")</f>
        <v/>
      </c>
      <c r="H327" s="30"/>
      <c r="I327" s="30"/>
      <c r="AC327" s="32">
        <f>IF(AND(E327&lt;&gt;"",C327&lt;&gt;"",COUNTIFS($C$8:C327,C327,$E$8:E327,E327)=1),1,0)</f>
        <v>0</v>
      </c>
    </row>
    <row r="328" spans="1:29" ht="15" customHeight="1" x14ac:dyDescent="0.25">
      <c r="A328" s="25" t="str">
        <f t="shared" ref="A328:A391" si="5">IF(B328="","",ROW()-7)</f>
        <v/>
      </c>
      <c r="B328" s="26"/>
      <c r="C328" s="27"/>
      <c r="D328" s="28" t="str">
        <f>IFERROR(IF(C328="","",INDEX(마스터!$F$4:$F$20,MATCH(C328,마스터!$M$4:$M$20,0))),"")</f>
        <v/>
      </c>
      <c r="E328" s="27"/>
      <c r="F328" s="29"/>
      <c r="G328" s="25" t="str">
        <f>IFERROR(IF(C328="","",INDEX(마스터!$J$4:$J$20,MATCH(C328,마스터!$M$4:$M$20,0))),"")</f>
        <v/>
      </c>
      <c r="H328" s="30"/>
      <c r="I328" s="30"/>
      <c r="AC328" s="32">
        <f>IF(AND(E328&lt;&gt;"",C328&lt;&gt;"",COUNTIFS($C$8:C328,C328,$E$8:E328,E328)=1),1,0)</f>
        <v>0</v>
      </c>
    </row>
    <row r="329" spans="1:29" ht="15" customHeight="1" x14ac:dyDescent="0.25">
      <c r="A329" s="25" t="str">
        <f t="shared" si="5"/>
        <v/>
      </c>
      <c r="B329" s="26"/>
      <c r="C329" s="27"/>
      <c r="D329" s="28" t="str">
        <f>IFERROR(IF(C329="","",INDEX(마스터!$F$4:$F$20,MATCH(C329,마스터!$M$4:$M$20,0))),"")</f>
        <v/>
      </c>
      <c r="E329" s="27"/>
      <c r="F329" s="29"/>
      <c r="G329" s="25" t="str">
        <f>IFERROR(IF(C329="","",INDEX(마스터!$J$4:$J$20,MATCH(C329,마스터!$M$4:$M$20,0))),"")</f>
        <v/>
      </c>
      <c r="H329" s="30"/>
      <c r="I329" s="30"/>
      <c r="AC329" s="32">
        <f>IF(AND(E329&lt;&gt;"",C329&lt;&gt;"",COUNTIFS($C$8:C329,C329,$E$8:E329,E329)=1),1,0)</f>
        <v>0</v>
      </c>
    </row>
    <row r="330" spans="1:29" ht="15" customHeight="1" x14ac:dyDescent="0.25">
      <c r="A330" s="25" t="str">
        <f t="shared" si="5"/>
        <v/>
      </c>
      <c r="B330" s="26"/>
      <c r="C330" s="27"/>
      <c r="D330" s="28" t="str">
        <f>IFERROR(IF(C330="","",INDEX(마스터!$F$4:$F$20,MATCH(C330,마스터!$M$4:$M$20,0))),"")</f>
        <v/>
      </c>
      <c r="E330" s="27"/>
      <c r="F330" s="29"/>
      <c r="G330" s="25" t="str">
        <f>IFERROR(IF(C330="","",INDEX(마스터!$J$4:$J$20,MATCH(C330,마스터!$M$4:$M$20,0))),"")</f>
        <v/>
      </c>
      <c r="H330" s="30"/>
      <c r="I330" s="30"/>
      <c r="AC330" s="32">
        <f>IF(AND(E330&lt;&gt;"",C330&lt;&gt;"",COUNTIFS($C$8:C330,C330,$E$8:E330,E330)=1),1,0)</f>
        <v>0</v>
      </c>
    </row>
    <row r="331" spans="1:29" ht="15" customHeight="1" x14ac:dyDescent="0.25">
      <c r="A331" s="25" t="str">
        <f t="shared" si="5"/>
        <v/>
      </c>
      <c r="B331" s="26"/>
      <c r="C331" s="27"/>
      <c r="D331" s="28" t="str">
        <f>IFERROR(IF(C331="","",INDEX(마스터!$F$4:$F$20,MATCH(C331,마스터!$M$4:$M$20,0))),"")</f>
        <v/>
      </c>
      <c r="E331" s="27"/>
      <c r="F331" s="29"/>
      <c r="G331" s="25" t="str">
        <f>IFERROR(IF(C331="","",INDEX(마스터!$J$4:$J$20,MATCH(C331,마스터!$M$4:$M$20,0))),"")</f>
        <v/>
      </c>
      <c r="H331" s="30"/>
      <c r="I331" s="30"/>
      <c r="AC331" s="32">
        <f>IF(AND(E331&lt;&gt;"",C331&lt;&gt;"",COUNTIFS($C$8:C331,C331,$E$8:E331,E331)=1),1,0)</f>
        <v>0</v>
      </c>
    </row>
    <row r="332" spans="1:29" ht="15" customHeight="1" x14ac:dyDescent="0.25">
      <c r="A332" s="25" t="str">
        <f t="shared" si="5"/>
        <v/>
      </c>
      <c r="B332" s="26"/>
      <c r="C332" s="27"/>
      <c r="D332" s="28" t="str">
        <f>IFERROR(IF(C332="","",INDEX(마스터!$F$4:$F$20,MATCH(C332,마스터!$M$4:$M$20,0))),"")</f>
        <v/>
      </c>
      <c r="E332" s="27"/>
      <c r="F332" s="29"/>
      <c r="G332" s="25" t="str">
        <f>IFERROR(IF(C332="","",INDEX(마스터!$J$4:$J$20,MATCH(C332,마스터!$M$4:$M$20,0))),"")</f>
        <v/>
      </c>
      <c r="H332" s="30"/>
      <c r="I332" s="30"/>
      <c r="AC332" s="32">
        <f>IF(AND(E332&lt;&gt;"",C332&lt;&gt;"",COUNTIFS($C$8:C332,C332,$E$8:E332,E332)=1),1,0)</f>
        <v>0</v>
      </c>
    </row>
    <row r="333" spans="1:29" ht="15" customHeight="1" x14ac:dyDescent="0.25">
      <c r="A333" s="25" t="str">
        <f t="shared" si="5"/>
        <v/>
      </c>
      <c r="B333" s="26"/>
      <c r="C333" s="27"/>
      <c r="D333" s="28" t="str">
        <f>IFERROR(IF(C333="","",INDEX(마스터!$F$4:$F$20,MATCH(C333,마스터!$M$4:$M$20,0))),"")</f>
        <v/>
      </c>
      <c r="E333" s="27"/>
      <c r="F333" s="29"/>
      <c r="G333" s="25" t="str">
        <f>IFERROR(IF(C333="","",INDEX(마스터!$J$4:$J$20,MATCH(C333,마스터!$M$4:$M$20,0))),"")</f>
        <v/>
      </c>
      <c r="H333" s="30"/>
      <c r="I333" s="30"/>
      <c r="AC333" s="32">
        <f>IF(AND(E333&lt;&gt;"",C333&lt;&gt;"",COUNTIFS($C$8:C333,C333,$E$8:E333,E333)=1),1,0)</f>
        <v>0</v>
      </c>
    </row>
    <row r="334" spans="1:29" ht="15" customHeight="1" x14ac:dyDescent="0.25">
      <c r="A334" s="25" t="str">
        <f t="shared" si="5"/>
        <v/>
      </c>
      <c r="B334" s="26"/>
      <c r="C334" s="27"/>
      <c r="D334" s="28" t="str">
        <f>IFERROR(IF(C334="","",INDEX(마스터!$F$4:$F$20,MATCH(C334,마스터!$M$4:$M$20,0))),"")</f>
        <v/>
      </c>
      <c r="E334" s="27"/>
      <c r="F334" s="29"/>
      <c r="G334" s="25" t="str">
        <f>IFERROR(IF(C334="","",INDEX(마스터!$J$4:$J$20,MATCH(C334,마스터!$M$4:$M$20,0))),"")</f>
        <v/>
      </c>
      <c r="H334" s="30"/>
      <c r="I334" s="30"/>
      <c r="AC334" s="32">
        <f>IF(AND(E334&lt;&gt;"",C334&lt;&gt;"",COUNTIFS($C$8:C334,C334,$E$8:E334,E334)=1),1,0)</f>
        <v>0</v>
      </c>
    </row>
    <row r="335" spans="1:29" ht="15" customHeight="1" x14ac:dyDescent="0.25">
      <c r="A335" s="25" t="str">
        <f t="shared" si="5"/>
        <v/>
      </c>
      <c r="B335" s="26"/>
      <c r="C335" s="27"/>
      <c r="D335" s="28" t="str">
        <f>IFERROR(IF(C335="","",INDEX(마스터!$F$4:$F$20,MATCH(C335,마스터!$M$4:$M$20,0))),"")</f>
        <v/>
      </c>
      <c r="E335" s="27"/>
      <c r="F335" s="29"/>
      <c r="G335" s="25" t="str">
        <f>IFERROR(IF(C335="","",INDEX(마스터!$J$4:$J$20,MATCH(C335,마스터!$M$4:$M$20,0))),"")</f>
        <v/>
      </c>
      <c r="H335" s="30"/>
      <c r="I335" s="30"/>
      <c r="AC335" s="32">
        <f>IF(AND(E335&lt;&gt;"",C335&lt;&gt;"",COUNTIFS($C$8:C335,C335,$E$8:E335,E335)=1),1,0)</f>
        <v>0</v>
      </c>
    </row>
    <row r="336" spans="1:29" ht="15" customHeight="1" x14ac:dyDescent="0.25">
      <c r="A336" s="25" t="str">
        <f t="shared" si="5"/>
        <v/>
      </c>
      <c r="B336" s="26"/>
      <c r="C336" s="27"/>
      <c r="D336" s="28" t="str">
        <f>IFERROR(IF(C336="","",INDEX(마스터!$F$4:$F$20,MATCH(C336,마스터!$M$4:$M$20,0))),"")</f>
        <v/>
      </c>
      <c r="E336" s="27"/>
      <c r="F336" s="29"/>
      <c r="G336" s="25" t="str">
        <f>IFERROR(IF(C336="","",INDEX(마스터!$J$4:$J$20,MATCH(C336,마스터!$M$4:$M$20,0))),"")</f>
        <v/>
      </c>
      <c r="H336" s="30"/>
      <c r="I336" s="30"/>
      <c r="AC336" s="32">
        <f>IF(AND(E336&lt;&gt;"",C336&lt;&gt;"",COUNTIFS($C$8:C336,C336,$E$8:E336,E336)=1),1,0)</f>
        <v>0</v>
      </c>
    </row>
    <row r="337" spans="1:29" ht="15" customHeight="1" x14ac:dyDescent="0.25">
      <c r="A337" s="25" t="str">
        <f t="shared" si="5"/>
        <v/>
      </c>
      <c r="B337" s="26"/>
      <c r="C337" s="27"/>
      <c r="D337" s="28" t="str">
        <f>IFERROR(IF(C337="","",INDEX(마스터!$F$4:$F$20,MATCH(C337,마스터!$M$4:$M$20,0))),"")</f>
        <v/>
      </c>
      <c r="E337" s="27"/>
      <c r="F337" s="29"/>
      <c r="G337" s="25" t="str">
        <f>IFERROR(IF(C337="","",INDEX(마스터!$J$4:$J$20,MATCH(C337,마스터!$M$4:$M$20,0))),"")</f>
        <v/>
      </c>
      <c r="H337" s="30"/>
      <c r="I337" s="30"/>
      <c r="AC337" s="32">
        <f>IF(AND(E337&lt;&gt;"",C337&lt;&gt;"",COUNTIFS($C$8:C337,C337,$E$8:E337,E337)=1),1,0)</f>
        <v>0</v>
      </c>
    </row>
    <row r="338" spans="1:29" ht="15" customHeight="1" x14ac:dyDescent="0.25">
      <c r="A338" s="25" t="str">
        <f t="shared" si="5"/>
        <v/>
      </c>
      <c r="B338" s="26"/>
      <c r="C338" s="27"/>
      <c r="D338" s="28" t="str">
        <f>IFERROR(IF(C338="","",INDEX(마스터!$F$4:$F$20,MATCH(C338,마스터!$M$4:$M$20,0))),"")</f>
        <v/>
      </c>
      <c r="E338" s="27"/>
      <c r="F338" s="29"/>
      <c r="G338" s="25" t="str">
        <f>IFERROR(IF(C338="","",INDEX(마스터!$J$4:$J$20,MATCH(C338,마스터!$M$4:$M$20,0))),"")</f>
        <v/>
      </c>
      <c r="H338" s="30"/>
      <c r="I338" s="30"/>
      <c r="AC338" s="32">
        <f>IF(AND(E338&lt;&gt;"",C338&lt;&gt;"",COUNTIFS($C$8:C338,C338,$E$8:E338,E338)=1),1,0)</f>
        <v>0</v>
      </c>
    </row>
    <row r="339" spans="1:29" ht="15" customHeight="1" x14ac:dyDescent="0.25">
      <c r="A339" s="25" t="str">
        <f t="shared" si="5"/>
        <v/>
      </c>
      <c r="B339" s="26"/>
      <c r="C339" s="27"/>
      <c r="D339" s="28" t="str">
        <f>IFERROR(IF(C339="","",INDEX(마스터!$F$4:$F$20,MATCH(C339,마스터!$M$4:$M$20,0))),"")</f>
        <v/>
      </c>
      <c r="E339" s="27"/>
      <c r="F339" s="29"/>
      <c r="G339" s="25" t="str">
        <f>IFERROR(IF(C339="","",INDEX(마스터!$J$4:$J$20,MATCH(C339,마스터!$M$4:$M$20,0))),"")</f>
        <v/>
      </c>
      <c r="H339" s="30"/>
      <c r="I339" s="30"/>
      <c r="AC339" s="32">
        <f>IF(AND(E339&lt;&gt;"",C339&lt;&gt;"",COUNTIFS($C$8:C339,C339,$E$8:E339,E339)=1),1,0)</f>
        <v>0</v>
      </c>
    </row>
    <row r="340" spans="1:29" ht="15" customHeight="1" x14ac:dyDescent="0.25">
      <c r="A340" s="25" t="str">
        <f t="shared" si="5"/>
        <v/>
      </c>
      <c r="B340" s="26"/>
      <c r="C340" s="27"/>
      <c r="D340" s="28" t="str">
        <f>IFERROR(IF(C340="","",INDEX(마스터!$F$4:$F$20,MATCH(C340,마스터!$M$4:$M$20,0))),"")</f>
        <v/>
      </c>
      <c r="E340" s="27"/>
      <c r="F340" s="29"/>
      <c r="G340" s="25" t="str">
        <f>IFERROR(IF(C340="","",INDEX(마스터!$J$4:$J$20,MATCH(C340,마스터!$M$4:$M$20,0))),"")</f>
        <v/>
      </c>
      <c r="H340" s="30"/>
      <c r="I340" s="30"/>
      <c r="AC340" s="32">
        <f>IF(AND(E340&lt;&gt;"",C340&lt;&gt;"",COUNTIFS($C$8:C340,C340,$E$8:E340,E340)=1),1,0)</f>
        <v>0</v>
      </c>
    </row>
    <row r="341" spans="1:29" ht="15" customHeight="1" x14ac:dyDescent="0.25">
      <c r="A341" s="25" t="str">
        <f t="shared" si="5"/>
        <v/>
      </c>
      <c r="B341" s="26"/>
      <c r="C341" s="27"/>
      <c r="D341" s="28" t="str">
        <f>IFERROR(IF(C341="","",INDEX(마스터!$F$4:$F$20,MATCH(C341,마스터!$M$4:$M$20,0))),"")</f>
        <v/>
      </c>
      <c r="E341" s="27"/>
      <c r="F341" s="29"/>
      <c r="G341" s="25" t="str">
        <f>IFERROR(IF(C341="","",INDEX(마스터!$J$4:$J$20,MATCH(C341,마스터!$M$4:$M$20,0))),"")</f>
        <v/>
      </c>
      <c r="H341" s="30"/>
      <c r="I341" s="30"/>
      <c r="AC341" s="32">
        <f>IF(AND(E341&lt;&gt;"",C341&lt;&gt;"",COUNTIFS($C$8:C341,C341,$E$8:E341,E341)=1),1,0)</f>
        <v>0</v>
      </c>
    </row>
    <row r="342" spans="1:29" ht="15" customHeight="1" x14ac:dyDescent="0.25">
      <c r="A342" s="25" t="str">
        <f t="shared" si="5"/>
        <v/>
      </c>
      <c r="B342" s="26"/>
      <c r="C342" s="27"/>
      <c r="D342" s="28" t="str">
        <f>IFERROR(IF(C342="","",INDEX(마스터!$F$4:$F$20,MATCH(C342,마스터!$M$4:$M$20,0))),"")</f>
        <v/>
      </c>
      <c r="E342" s="27"/>
      <c r="F342" s="29"/>
      <c r="G342" s="25" t="str">
        <f>IFERROR(IF(C342="","",INDEX(마스터!$J$4:$J$20,MATCH(C342,마스터!$M$4:$M$20,0))),"")</f>
        <v/>
      </c>
      <c r="H342" s="30"/>
      <c r="I342" s="30"/>
      <c r="AC342" s="32">
        <f>IF(AND(E342&lt;&gt;"",C342&lt;&gt;"",COUNTIFS($C$8:C342,C342,$E$8:E342,E342)=1),1,0)</f>
        <v>0</v>
      </c>
    </row>
    <row r="343" spans="1:29" ht="15" customHeight="1" x14ac:dyDescent="0.25">
      <c r="A343" s="25" t="str">
        <f t="shared" si="5"/>
        <v/>
      </c>
      <c r="B343" s="26"/>
      <c r="C343" s="27"/>
      <c r="D343" s="28" t="str">
        <f>IFERROR(IF(C343="","",INDEX(마스터!$F$4:$F$20,MATCH(C343,마스터!$M$4:$M$20,0))),"")</f>
        <v/>
      </c>
      <c r="E343" s="27"/>
      <c r="F343" s="29"/>
      <c r="G343" s="25" t="str">
        <f>IFERROR(IF(C343="","",INDEX(마스터!$J$4:$J$20,MATCH(C343,마스터!$M$4:$M$20,0))),"")</f>
        <v/>
      </c>
      <c r="H343" s="30"/>
      <c r="I343" s="30"/>
      <c r="AC343" s="32">
        <f>IF(AND(E343&lt;&gt;"",C343&lt;&gt;"",COUNTIFS($C$8:C343,C343,$E$8:E343,E343)=1),1,0)</f>
        <v>0</v>
      </c>
    </row>
    <row r="344" spans="1:29" ht="15" customHeight="1" x14ac:dyDescent="0.25">
      <c r="A344" s="25" t="str">
        <f t="shared" si="5"/>
        <v/>
      </c>
      <c r="B344" s="26"/>
      <c r="C344" s="27"/>
      <c r="D344" s="28" t="str">
        <f>IFERROR(IF(C344="","",INDEX(마스터!$F$4:$F$20,MATCH(C344,마스터!$M$4:$M$20,0))),"")</f>
        <v/>
      </c>
      <c r="E344" s="27"/>
      <c r="F344" s="29"/>
      <c r="G344" s="25" t="str">
        <f>IFERROR(IF(C344="","",INDEX(마스터!$J$4:$J$20,MATCH(C344,마스터!$M$4:$M$20,0))),"")</f>
        <v/>
      </c>
      <c r="H344" s="30"/>
      <c r="I344" s="30"/>
      <c r="AC344" s="32">
        <f>IF(AND(E344&lt;&gt;"",C344&lt;&gt;"",COUNTIFS($C$8:C344,C344,$E$8:E344,E344)=1),1,0)</f>
        <v>0</v>
      </c>
    </row>
    <row r="345" spans="1:29" ht="15" customHeight="1" x14ac:dyDescent="0.25">
      <c r="A345" s="25" t="str">
        <f t="shared" si="5"/>
        <v/>
      </c>
      <c r="B345" s="26"/>
      <c r="C345" s="27"/>
      <c r="D345" s="28" t="str">
        <f>IFERROR(IF(C345="","",INDEX(마스터!$F$4:$F$20,MATCH(C345,마스터!$M$4:$M$20,0))),"")</f>
        <v/>
      </c>
      <c r="E345" s="27"/>
      <c r="F345" s="29"/>
      <c r="G345" s="25" t="str">
        <f>IFERROR(IF(C345="","",INDEX(마스터!$J$4:$J$20,MATCH(C345,마스터!$M$4:$M$20,0))),"")</f>
        <v/>
      </c>
      <c r="H345" s="30"/>
      <c r="I345" s="30"/>
      <c r="AC345" s="32">
        <f>IF(AND(E345&lt;&gt;"",C345&lt;&gt;"",COUNTIFS($C$8:C345,C345,$E$8:E345,E345)=1),1,0)</f>
        <v>0</v>
      </c>
    </row>
    <row r="346" spans="1:29" ht="15" customHeight="1" x14ac:dyDescent="0.25">
      <c r="A346" s="25" t="str">
        <f t="shared" si="5"/>
        <v/>
      </c>
      <c r="B346" s="26"/>
      <c r="C346" s="27"/>
      <c r="D346" s="28" t="str">
        <f>IFERROR(IF(C346="","",INDEX(마스터!$F$4:$F$20,MATCH(C346,마스터!$M$4:$M$20,0))),"")</f>
        <v/>
      </c>
      <c r="E346" s="27"/>
      <c r="F346" s="29"/>
      <c r="G346" s="25" t="str">
        <f>IFERROR(IF(C346="","",INDEX(마스터!$J$4:$J$20,MATCH(C346,마스터!$M$4:$M$20,0))),"")</f>
        <v/>
      </c>
      <c r="H346" s="30"/>
      <c r="I346" s="30"/>
      <c r="AC346" s="32">
        <f>IF(AND(E346&lt;&gt;"",C346&lt;&gt;"",COUNTIFS($C$8:C346,C346,$E$8:E346,E346)=1),1,0)</f>
        <v>0</v>
      </c>
    </row>
    <row r="347" spans="1:29" ht="15" customHeight="1" x14ac:dyDescent="0.25">
      <c r="A347" s="25" t="str">
        <f t="shared" si="5"/>
        <v/>
      </c>
      <c r="B347" s="26"/>
      <c r="C347" s="27"/>
      <c r="D347" s="28" t="str">
        <f>IFERROR(IF(C347="","",INDEX(마스터!$F$4:$F$20,MATCH(C347,마스터!$M$4:$M$20,0))),"")</f>
        <v/>
      </c>
      <c r="E347" s="27"/>
      <c r="F347" s="29"/>
      <c r="G347" s="25" t="str">
        <f>IFERROR(IF(C347="","",INDEX(마스터!$J$4:$J$20,MATCH(C347,마스터!$M$4:$M$20,0))),"")</f>
        <v/>
      </c>
      <c r="H347" s="30"/>
      <c r="I347" s="30"/>
      <c r="AC347" s="32">
        <f>IF(AND(E347&lt;&gt;"",C347&lt;&gt;"",COUNTIFS($C$8:C347,C347,$E$8:E347,E347)=1),1,0)</f>
        <v>0</v>
      </c>
    </row>
    <row r="348" spans="1:29" ht="15" customHeight="1" x14ac:dyDescent="0.25">
      <c r="A348" s="25" t="str">
        <f t="shared" si="5"/>
        <v/>
      </c>
      <c r="B348" s="26"/>
      <c r="C348" s="27"/>
      <c r="D348" s="28" t="str">
        <f>IFERROR(IF(C348="","",INDEX(마스터!$F$4:$F$20,MATCH(C348,마스터!$M$4:$M$20,0))),"")</f>
        <v/>
      </c>
      <c r="E348" s="27"/>
      <c r="F348" s="29"/>
      <c r="G348" s="25" t="str">
        <f>IFERROR(IF(C348="","",INDEX(마스터!$J$4:$J$20,MATCH(C348,마스터!$M$4:$M$20,0))),"")</f>
        <v/>
      </c>
      <c r="H348" s="30"/>
      <c r="I348" s="30"/>
      <c r="AC348" s="32">
        <f>IF(AND(E348&lt;&gt;"",C348&lt;&gt;"",COUNTIFS($C$8:C348,C348,$E$8:E348,E348)=1),1,0)</f>
        <v>0</v>
      </c>
    </row>
    <row r="349" spans="1:29" ht="15" customHeight="1" x14ac:dyDescent="0.25">
      <c r="A349" s="25" t="str">
        <f t="shared" si="5"/>
        <v/>
      </c>
      <c r="B349" s="26"/>
      <c r="C349" s="27"/>
      <c r="D349" s="28" t="str">
        <f>IFERROR(IF(C349="","",INDEX(마스터!$F$4:$F$20,MATCH(C349,마스터!$M$4:$M$20,0))),"")</f>
        <v/>
      </c>
      <c r="E349" s="27"/>
      <c r="F349" s="29"/>
      <c r="G349" s="25" t="str">
        <f>IFERROR(IF(C349="","",INDEX(마스터!$J$4:$J$20,MATCH(C349,마스터!$M$4:$M$20,0))),"")</f>
        <v/>
      </c>
      <c r="H349" s="30"/>
      <c r="I349" s="30"/>
      <c r="AC349" s="32">
        <f>IF(AND(E349&lt;&gt;"",C349&lt;&gt;"",COUNTIFS($C$8:C349,C349,$E$8:E349,E349)=1),1,0)</f>
        <v>0</v>
      </c>
    </row>
    <row r="350" spans="1:29" ht="15" customHeight="1" x14ac:dyDescent="0.25">
      <c r="A350" s="25" t="str">
        <f t="shared" si="5"/>
        <v/>
      </c>
      <c r="B350" s="26"/>
      <c r="C350" s="27"/>
      <c r="D350" s="28" t="str">
        <f>IFERROR(IF(C350="","",INDEX(마스터!$F$4:$F$20,MATCH(C350,마스터!$M$4:$M$20,0))),"")</f>
        <v/>
      </c>
      <c r="E350" s="27"/>
      <c r="F350" s="29"/>
      <c r="G350" s="25" t="str">
        <f>IFERROR(IF(C350="","",INDEX(마스터!$J$4:$J$20,MATCH(C350,마스터!$M$4:$M$20,0))),"")</f>
        <v/>
      </c>
      <c r="H350" s="30"/>
      <c r="I350" s="30"/>
      <c r="AC350" s="32">
        <f>IF(AND(E350&lt;&gt;"",C350&lt;&gt;"",COUNTIFS($C$8:C350,C350,$E$8:E350,E350)=1),1,0)</f>
        <v>0</v>
      </c>
    </row>
    <row r="351" spans="1:29" ht="15" customHeight="1" x14ac:dyDescent="0.25">
      <c r="A351" s="25" t="str">
        <f t="shared" si="5"/>
        <v/>
      </c>
      <c r="B351" s="26"/>
      <c r="C351" s="27"/>
      <c r="D351" s="28" t="str">
        <f>IFERROR(IF(C351="","",INDEX(마스터!$F$4:$F$20,MATCH(C351,마스터!$M$4:$M$20,0))),"")</f>
        <v/>
      </c>
      <c r="E351" s="27"/>
      <c r="F351" s="29"/>
      <c r="G351" s="25" t="str">
        <f>IFERROR(IF(C351="","",INDEX(마스터!$J$4:$J$20,MATCH(C351,마스터!$M$4:$M$20,0))),"")</f>
        <v/>
      </c>
      <c r="H351" s="30"/>
      <c r="I351" s="30"/>
      <c r="AC351" s="32">
        <f>IF(AND(E351&lt;&gt;"",C351&lt;&gt;"",COUNTIFS($C$8:C351,C351,$E$8:E351,E351)=1),1,0)</f>
        <v>0</v>
      </c>
    </row>
    <row r="352" spans="1:29" ht="15" customHeight="1" x14ac:dyDescent="0.25">
      <c r="A352" s="25" t="str">
        <f t="shared" si="5"/>
        <v/>
      </c>
      <c r="B352" s="26"/>
      <c r="C352" s="27"/>
      <c r="D352" s="28" t="str">
        <f>IFERROR(IF(C352="","",INDEX(마스터!$F$4:$F$20,MATCH(C352,마스터!$M$4:$M$20,0))),"")</f>
        <v/>
      </c>
      <c r="E352" s="27"/>
      <c r="F352" s="29"/>
      <c r="G352" s="25" t="str">
        <f>IFERROR(IF(C352="","",INDEX(마스터!$J$4:$J$20,MATCH(C352,마스터!$M$4:$M$20,0))),"")</f>
        <v/>
      </c>
      <c r="H352" s="30"/>
      <c r="I352" s="30"/>
      <c r="AC352" s="32">
        <f>IF(AND(E352&lt;&gt;"",C352&lt;&gt;"",COUNTIFS($C$8:C352,C352,$E$8:E352,E352)=1),1,0)</f>
        <v>0</v>
      </c>
    </row>
    <row r="353" spans="1:29" ht="15" customHeight="1" x14ac:dyDescent="0.25">
      <c r="A353" s="25" t="str">
        <f t="shared" si="5"/>
        <v/>
      </c>
      <c r="B353" s="26"/>
      <c r="C353" s="27"/>
      <c r="D353" s="28" t="str">
        <f>IFERROR(IF(C353="","",INDEX(마스터!$F$4:$F$20,MATCH(C353,마스터!$M$4:$M$20,0))),"")</f>
        <v/>
      </c>
      <c r="E353" s="27"/>
      <c r="F353" s="29"/>
      <c r="G353" s="25" t="str">
        <f>IFERROR(IF(C353="","",INDEX(마스터!$J$4:$J$20,MATCH(C353,마스터!$M$4:$M$20,0))),"")</f>
        <v/>
      </c>
      <c r="H353" s="30"/>
      <c r="I353" s="30"/>
      <c r="AC353" s="32">
        <f>IF(AND(E353&lt;&gt;"",C353&lt;&gt;"",COUNTIFS($C$8:C353,C353,$E$8:E353,E353)=1),1,0)</f>
        <v>0</v>
      </c>
    </row>
    <row r="354" spans="1:29" ht="15" customHeight="1" x14ac:dyDescent="0.25">
      <c r="A354" s="25" t="str">
        <f t="shared" si="5"/>
        <v/>
      </c>
      <c r="B354" s="26"/>
      <c r="C354" s="27"/>
      <c r="D354" s="28" t="str">
        <f>IFERROR(IF(C354="","",INDEX(마스터!$F$4:$F$20,MATCH(C354,마스터!$M$4:$M$20,0))),"")</f>
        <v/>
      </c>
      <c r="E354" s="27"/>
      <c r="F354" s="29"/>
      <c r="G354" s="25" t="str">
        <f>IFERROR(IF(C354="","",INDEX(마스터!$J$4:$J$20,MATCH(C354,마스터!$M$4:$M$20,0))),"")</f>
        <v/>
      </c>
      <c r="H354" s="30"/>
      <c r="I354" s="30"/>
      <c r="AC354" s="32">
        <f>IF(AND(E354&lt;&gt;"",C354&lt;&gt;"",COUNTIFS($C$8:C354,C354,$E$8:E354,E354)=1),1,0)</f>
        <v>0</v>
      </c>
    </row>
    <row r="355" spans="1:29" ht="15" customHeight="1" x14ac:dyDescent="0.25">
      <c r="A355" s="25" t="str">
        <f t="shared" si="5"/>
        <v/>
      </c>
      <c r="B355" s="26"/>
      <c r="C355" s="27"/>
      <c r="D355" s="28" t="str">
        <f>IFERROR(IF(C355="","",INDEX(마스터!$F$4:$F$20,MATCH(C355,마스터!$M$4:$M$20,0))),"")</f>
        <v/>
      </c>
      <c r="E355" s="27"/>
      <c r="F355" s="29"/>
      <c r="G355" s="25" t="str">
        <f>IFERROR(IF(C355="","",INDEX(마스터!$J$4:$J$20,MATCH(C355,마스터!$M$4:$M$20,0))),"")</f>
        <v/>
      </c>
      <c r="H355" s="30"/>
      <c r="I355" s="30"/>
      <c r="AC355" s="32">
        <f>IF(AND(E355&lt;&gt;"",C355&lt;&gt;"",COUNTIFS($C$8:C355,C355,$E$8:E355,E355)=1),1,0)</f>
        <v>0</v>
      </c>
    </row>
    <row r="356" spans="1:29" ht="15" customHeight="1" x14ac:dyDescent="0.25">
      <c r="A356" s="25" t="str">
        <f t="shared" si="5"/>
        <v/>
      </c>
      <c r="B356" s="26"/>
      <c r="C356" s="27"/>
      <c r="D356" s="28" t="str">
        <f>IFERROR(IF(C356="","",INDEX(마스터!$F$4:$F$20,MATCH(C356,마스터!$M$4:$M$20,0))),"")</f>
        <v/>
      </c>
      <c r="E356" s="27"/>
      <c r="F356" s="29"/>
      <c r="G356" s="25" t="str">
        <f>IFERROR(IF(C356="","",INDEX(마스터!$J$4:$J$20,MATCH(C356,마스터!$M$4:$M$20,0))),"")</f>
        <v/>
      </c>
      <c r="H356" s="30"/>
      <c r="I356" s="30"/>
      <c r="AC356" s="32">
        <f>IF(AND(E356&lt;&gt;"",C356&lt;&gt;"",COUNTIFS($C$8:C356,C356,$E$8:E356,E356)=1),1,0)</f>
        <v>0</v>
      </c>
    </row>
    <row r="357" spans="1:29" ht="15" customHeight="1" x14ac:dyDescent="0.25">
      <c r="A357" s="25" t="str">
        <f t="shared" si="5"/>
        <v/>
      </c>
      <c r="B357" s="26"/>
      <c r="C357" s="27"/>
      <c r="D357" s="28" t="str">
        <f>IFERROR(IF(C357="","",INDEX(마스터!$F$4:$F$20,MATCH(C357,마스터!$M$4:$M$20,0))),"")</f>
        <v/>
      </c>
      <c r="E357" s="27"/>
      <c r="F357" s="29"/>
      <c r="G357" s="25" t="str">
        <f>IFERROR(IF(C357="","",INDEX(마스터!$J$4:$J$20,MATCH(C357,마스터!$M$4:$M$20,0))),"")</f>
        <v/>
      </c>
      <c r="H357" s="30"/>
      <c r="I357" s="30"/>
      <c r="AC357" s="32">
        <f>IF(AND(E357&lt;&gt;"",C357&lt;&gt;"",COUNTIFS($C$8:C357,C357,$E$8:E357,E357)=1),1,0)</f>
        <v>0</v>
      </c>
    </row>
    <row r="358" spans="1:29" ht="15" customHeight="1" x14ac:dyDescent="0.25">
      <c r="A358" s="25" t="str">
        <f t="shared" si="5"/>
        <v/>
      </c>
      <c r="B358" s="26"/>
      <c r="C358" s="27"/>
      <c r="D358" s="28" t="str">
        <f>IFERROR(IF(C358="","",INDEX(마스터!$F$4:$F$20,MATCH(C358,마스터!$M$4:$M$20,0))),"")</f>
        <v/>
      </c>
      <c r="E358" s="27"/>
      <c r="F358" s="29"/>
      <c r="G358" s="25" t="str">
        <f>IFERROR(IF(C358="","",INDEX(마스터!$J$4:$J$20,MATCH(C358,마스터!$M$4:$M$20,0))),"")</f>
        <v/>
      </c>
      <c r="H358" s="30"/>
      <c r="I358" s="30"/>
      <c r="AC358" s="32">
        <f>IF(AND(E358&lt;&gt;"",C358&lt;&gt;"",COUNTIFS($C$8:C358,C358,$E$8:E358,E358)=1),1,0)</f>
        <v>0</v>
      </c>
    </row>
    <row r="359" spans="1:29" ht="15" customHeight="1" x14ac:dyDescent="0.25">
      <c r="A359" s="25" t="str">
        <f t="shared" si="5"/>
        <v/>
      </c>
      <c r="B359" s="26"/>
      <c r="C359" s="27"/>
      <c r="D359" s="28" t="str">
        <f>IFERROR(IF(C359="","",INDEX(마스터!$F$4:$F$20,MATCH(C359,마스터!$M$4:$M$20,0))),"")</f>
        <v/>
      </c>
      <c r="E359" s="27"/>
      <c r="F359" s="29"/>
      <c r="G359" s="25" t="str">
        <f>IFERROR(IF(C359="","",INDEX(마스터!$J$4:$J$20,MATCH(C359,마스터!$M$4:$M$20,0))),"")</f>
        <v/>
      </c>
      <c r="H359" s="30"/>
      <c r="I359" s="30"/>
      <c r="AC359" s="32">
        <f>IF(AND(E359&lt;&gt;"",C359&lt;&gt;"",COUNTIFS($C$8:C359,C359,$E$8:E359,E359)=1),1,0)</f>
        <v>0</v>
      </c>
    </row>
    <row r="360" spans="1:29" ht="15" customHeight="1" x14ac:dyDescent="0.25">
      <c r="A360" s="25" t="str">
        <f t="shared" si="5"/>
        <v/>
      </c>
      <c r="B360" s="26"/>
      <c r="C360" s="27"/>
      <c r="D360" s="28" t="str">
        <f>IFERROR(IF(C360="","",INDEX(마스터!$F$4:$F$20,MATCH(C360,마스터!$M$4:$M$20,0))),"")</f>
        <v/>
      </c>
      <c r="E360" s="27"/>
      <c r="F360" s="29"/>
      <c r="G360" s="25" t="str">
        <f>IFERROR(IF(C360="","",INDEX(마스터!$J$4:$J$20,MATCH(C360,마스터!$M$4:$M$20,0))),"")</f>
        <v/>
      </c>
      <c r="H360" s="30"/>
      <c r="I360" s="30"/>
      <c r="AC360" s="32">
        <f>IF(AND(E360&lt;&gt;"",C360&lt;&gt;"",COUNTIFS($C$8:C360,C360,$E$8:E360,E360)=1),1,0)</f>
        <v>0</v>
      </c>
    </row>
    <row r="361" spans="1:29" ht="15" customHeight="1" x14ac:dyDescent="0.25">
      <c r="A361" s="25" t="str">
        <f t="shared" si="5"/>
        <v/>
      </c>
      <c r="B361" s="26"/>
      <c r="C361" s="27"/>
      <c r="D361" s="28" t="str">
        <f>IFERROR(IF(C361="","",INDEX(마스터!$F$4:$F$20,MATCH(C361,마스터!$M$4:$M$20,0))),"")</f>
        <v/>
      </c>
      <c r="E361" s="27"/>
      <c r="F361" s="29"/>
      <c r="G361" s="25" t="str">
        <f>IFERROR(IF(C361="","",INDEX(마스터!$J$4:$J$20,MATCH(C361,마스터!$M$4:$M$20,0))),"")</f>
        <v/>
      </c>
      <c r="H361" s="30"/>
      <c r="I361" s="30"/>
      <c r="AC361" s="32">
        <f>IF(AND(E361&lt;&gt;"",C361&lt;&gt;"",COUNTIFS($C$8:C361,C361,$E$8:E361,E361)=1),1,0)</f>
        <v>0</v>
      </c>
    </row>
    <row r="362" spans="1:29" ht="15" customHeight="1" x14ac:dyDescent="0.25">
      <c r="A362" s="25" t="str">
        <f t="shared" si="5"/>
        <v/>
      </c>
      <c r="B362" s="26"/>
      <c r="C362" s="27"/>
      <c r="D362" s="28" t="str">
        <f>IFERROR(IF(C362="","",INDEX(마스터!$F$4:$F$20,MATCH(C362,마스터!$M$4:$M$20,0))),"")</f>
        <v/>
      </c>
      <c r="E362" s="27"/>
      <c r="F362" s="29"/>
      <c r="G362" s="25" t="str">
        <f>IFERROR(IF(C362="","",INDEX(마스터!$J$4:$J$20,MATCH(C362,마스터!$M$4:$M$20,0))),"")</f>
        <v/>
      </c>
      <c r="H362" s="30"/>
      <c r="I362" s="30"/>
      <c r="AC362" s="32">
        <f>IF(AND(E362&lt;&gt;"",C362&lt;&gt;"",COUNTIFS($C$8:C362,C362,$E$8:E362,E362)=1),1,0)</f>
        <v>0</v>
      </c>
    </row>
    <row r="363" spans="1:29" ht="15" customHeight="1" x14ac:dyDescent="0.25">
      <c r="A363" s="25" t="str">
        <f t="shared" si="5"/>
        <v/>
      </c>
      <c r="B363" s="26"/>
      <c r="C363" s="27"/>
      <c r="D363" s="28" t="str">
        <f>IFERROR(IF(C363="","",INDEX(마스터!$F$4:$F$20,MATCH(C363,마스터!$M$4:$M$20,0))),"")</f>
        <v/>
      </c>
      <c r="E363" s="27"/>
      <c r="F363" s="29"/>
      <c r="G363" s="25" t="str">
        <f>IFERROR(IF(C363="","",INDEX(마스터!$J$4:$J$20,MATCH(C363,마스터!$M$4:$M$20,0))),"")</f>
        <v/>
      </c>
      <c r="H363" s="30"/>
      <c r="I363" s="30"/>
      <c r="AC363" s="32">
        <f>IF(AND(E363&lt;&gt;"",C363&lt;&gt;"",COUNTIFS($C$8:C363,C363,$E$8:E363,E363)=1),1,0)</f>
        <v>0</v>
      </c>
    </row>
    <row r="364" spans="1:29" ht="15" customHeight="1" x14ac:dyDescent="0.25">
      <c r="A364" s="25" t="str">
        <f t="shared" si="5"/>
        <v/>
      </c>
      <c r="B364" s="26"/>
      <c r="C364" s="27"/>
      <c r="D364" s="28" t="str">
        <f>IFERROR(IF(C364="","",INDEX(마스터!$F$4:$F$20,MATCH(C364,마스터!$M$4:$M$20,0))),"")</f>
        <v/>
      </c>
      <c r="E364" s="27"/>
      <c r="F364" s="29"/>
      <c r="G364" s="25" t="str">
        <f>IFERROR(IF(C364="","",INDEX(마스터!$J$4:$J$20,MATCH(C364,마스터!$M$4:$M$20,0))),"")</f>
        <v/>
      </c>
      <c r="H364" s="30"/>
      <c r="I364" s="30"/>
      <c r="AC364" s="32">
        <f>IF(AND(E364&lt;&gt;"",C364&lt;&gt;"",COUNTIFS($C$8:C364,C364,$E$8:E364,E364)=1),1,0)</f>
        <v>0</v>
      </c>
    </row>
    <row r="365" spans="1:29" ht="15" customHeight="1" x14ac:dyDescent="0.25">
      <c r="A365" s="25" t="str">
        <f t="shared" si="5"/>
        <v/>
      </c>
      <c r="B365" s="26"/>
      <c r="C365" s="27"/>
      <c r="D365" s="28" t="str">
        <f>IFERROR(IF(C365="","",INDEX(마스터!$F$4:$F$20,MATCH(C365,마스터!$M$4:$M$20,0))),"")</f>
        <v/>
      </c>
      <c r="E365" s="27"/>
      <c r="F365" s="29"/>
      <c r="G365" s="25" t="str">
        <f>IFERROR(IF(C365="","",INDEX(마스터!$J$4:$J$20,MATCH(C365,마스터!$M$4:$M$20,0))),"")</f>
        <v/>
      </c>
      <c r="H365" s="30"/>
      <c r="I365" s="30"/>
      <c r="AC365" s="32">
        <f>IF(AND(E365&lt;&gt;"",C365&lt;&gt;"",COUNTIFS($C$8:C365,C365,$E$8:E365,E365)=1),1,0)</f>
        <v>0</v>
      </c>
    </row>
    <row r="366" spans="1:29" ht="15" customHeight="1" x14ac:dyDescent="0.25">
      <c r="A366" s="25" t="str">
        <f t="shared" si="5"/>
        <v/>
      </c>
      <c r="B366" s="26"/>
      <c r="C366" s="27"/>
      <c r="D366" s="28" t="str">
        <f>IFERROR(IF(C366="","",INDEX(마스터!$F$4:$F$20,MATCH(C366,마스터!$M$4:$M$20,0))),"")</f>
        <v/>
      </c>
      <c r="E366" s="27"/>
      <c r="F366" s="29"/>
      <c r="G366" s="25" t="str">
        <f>IFERROR(IF(C366="","",INDEX(마스터!$J$4:$J$20,MATCH(C366,마스터!$M$4:$M$20,0))),"")</f>
        <v/>
      </c>
      <c r="H366" s="30"/>
      <c r="I366" s="30"/>
      <c r="AC366" s="32">
        <f>IF(AND(E366&lt;&gt;"",C366&lt;&gt;"",COUNTIFS($C$8:C366,C366,$E$8:E366,E366)=1),1,0)</f>
        <v>0</v>
      </c>
    </row>
    <row r="367" spans="1:29" ht="15" customHeight="1" x14ac:dyDescent="0.25">
      <c r="A367" s="25" t="str">
        <f t="shared" si="5"/>
        <v/>
      </c>
      <c r="B367" s="26"/>
      <c r="C367" s="27"/>
      <c r="D367" s="28" t="str">
        <f>IFERROR(IF(C367="","",INDEX(마스터!$F$4:$F$20,MATCH(C367,마스터!$M$4:$M$20,0))),"")</f>
        <v/>
      </c>
      <c r="E367" s="27"/>
      <c r="F367" s="29"/>
      <c r="G367" s="25" t="str">
        <f>IFERROR(IF(C367="","",INDEX(마스터!$J$4:$J$20,MATCH(C367,마스터!$M$4:$M$20,0))),"")</f>
        <v/>
      </c>
      <c r="H367" s="30"/>
      <c r="I367" s="30"/>
      <c r="AC367" s="32">
        <f>IF(AND(E367&lt;&gt;"",C367&lt;&gt;"",COUNTIFS($C$8:C367,C367,$E$8:E367,E367)=1),1,0)</f>
        <v>0</v>
      </c>
    </row>
    <row r="368" spans="1:29" ht="15" customHeight="1" x14ac:dyDescent="0.25">
      <c r="A368" s="25" t="str">
        <f t="shared" si="5"/>
        <v/>
      </c>
      <c r="B368" s="26"/>
      <c r="C368" s="27"/>
      <c r="D368" s="28" t="str">
        <f>IFERROR(IF(C368="","",INDEX(마스터!$F$4:$F$20,MATCH(C368,마스터!$M$4:$M$20,0))),"")</f>
        <v/>
      </c>
      <c r="E368" s="27"/>
      <c r="F368" s="29"/>
      <c r="G368" s="25" t="str">
        <f>IFERROR(IF(C368="","",INDEX(마스터!$J$4:$J$20,MATCH(C368,마스터!$M$4:$M$20,0))),"")</f>
        <v/>
      </c>
      <c r="H368" s="30"/>
      <c r="I368" s="30"/>
      <c r="AC368" s="32">
        <f>IF(AND(E368&lt;&gt;"",C368&lt;&gt;"",COUNTIFS($C$8:C368,C368,$E$8:E368,E368)=1),1,0)</f>
        <v>0</v>
      </c>
    </row>
    <row r="369" spans="1:29" ht="15" customHeight="1" x14ac:dyDescent="0.25">
      <c r="A369" s="25" t="str">
        <f t="shared" si="5"/>
        <v/>
      </c>
      <c r="B369" s="26"/>
      <c r="C369" s="27"/>
      <c r="D369" s="28" t="str">
        <f>IFERROR(IF(C369="","",INDEX(마스터!$F$4:$F$20,MATCH(C369,마스터!$M$4:$M$20,0))),"")</f>
        <v/>
      </c>
      <c r="E369" s="27"/>
      <c r="F369" s="29"/>
      <c r="G369" s="25" t="str">
        <f>IFERROR(IF(C369="","",INDEX(마스터!$J$4:$J$20,MATCH(C369,마스터!$M$4:$M$20,0))),"")</f>
        <v/>
      </c>
      <c r="H369" s="30"/>
      <c r="I369" s="30"/>
      <c r="AC369" s="32">
        <f>IF(AND(E369&lt;&gt;"",C369&lt;&gt;"",COUNTIFS($C$8:C369,C369,$E$8:E369,E369)=1),1,0)</f>
        <v>0</v>
      </c>
    </row>
    <row r="370" spans="1:29" ht="15" customHeight="1" x14ac:dyDescent="0.25">
      <c r="A370" s="25" t="str">
        <f t="shared" si="5"/>
        <v/>
      </c>
      <c r="B370" s="26"/>
      <c r="C370" s="27"/>
      <c r="D370" s="28" t="str">
        <f>IFERROR(IF(C370="","",INDEX(마스터!$F$4:$F$20,MATCH(C370,마스터!$M$4:$M$20,0))),"")</f>
        <v/>
      </c>
      <c r="E370" s="27"/>
      <c r="F370" s="29"/>
      <c r="G370" s="25" t="str">
        <f>IFERROR(IF(C370="","",INDEX(마스터!$J$4:$J$20,MATCH(C370,마스터!$M$4:$M$20,0))),"")</f>
        <v/>
      </c>
      <c r="H370" s="30"/>
      <c r="I370" s="30"/>
      <c r="AC370" s="32">
        <f>IF(AND(E370&lt;&gt;"",C370&lt;&gt;"",COUNTIFS($C$8:C370,C370,$E$8:E370,E370)=1),1,0)</f>
        <v>0</v>
      </c>
    </row>
    <row r="371" spans="1:29" ht="15" customHeight="1" x14ac:dyDescent="0.25">
      <c r="A371" s="25" t="str">
        <f t="shared" si="5"/>
        <v/>
      </c>
      <c r="B371" s="26"/>
      <c r="C371" s="27"/>
      <c r="D371" s="28" t="str">
        <f>IFERROR(IF(C371="","",INDEX(마스터!$F$4:$F$20,MATCH(C371,마스터!$M$4:$M$20,0))),"")</f>
        <v/>
      </c>
      <c r="E371" s="27"/>
      <c r="F371" s="29"/>
      <c r="G371" s="25" t="str">
        <f>IFERROR(IF(C371="","",INDEX(마스터!$J$4:$J$20,MATCH(C371,마스터!$M$4:$M$20,0))),"")</f>
        <v/>
      </c>
      <c r="H371" s="30"/>
      <c r="I371" s="30"/>
      <c r="AC371" s="32">
        <f>IF(AND(E371&lt;&gt;"",C371&lt;&gt;"",COUNTIFS($C$8:C371,C371,$E$8:E371,E371)=1),1,0)</f>
        <v>0</v>
      </c>
    </row>
    <row r="372" spans="1:29" ht="15" customHeight="1" x14ac:dyDescent="0.25">
      <c r="A372" s="25" t="str">
        <f t="shared" si="5"/>
        <v/>
      </c>
      <c r="B372" s="26"/>
      <c r="C372" s="27"/>
      <c r="D372" s="28" t="str">
        <f>IFERROR(IF(C372="","",INDEX(마스터!$F$4:$F$20,MATCH(C372,마스터!$M$4:$M$20,0))),"")</f>
        <v/>
      </c>
      <c r="E372" s="27"/>
      <c r="F372" s="29"/>
      <c r="G372" s="25" t="str">
        <f>IFERROR(IF(C372="","",INDEX(마스터!$J$4:$J$20,MATCH(C372,마스터!$M$4:$M$20,0))),"")</f>
        <v/>
      </c>
      <c r="H372" s="30"/>
      <c r="I372" s="30"/>
      <c r="AC372" s="32">
        <f>IF(AND(E372&lt;&gt;"",C372&lt;&gt;"",COUNTIFS($C$8:C372,C372,$E$8:E372,E372)=1),1,0)</f>
        <v>0</v>
      </c>
    </row>
    <row r="373" spans="1:29" ht="15" customHeight="1" x14ac:dyDescent="0.25">
      <c r="A373" s="25" t="str">
        <f t="shared" si="5"/>
        <v/>
      </c>
      <c r="B373" s="26"/>
      <c r="C373" s="27"/>
      <c r="D373" s="28" t="str">
        <f>IFERROR(IF(C373="","",INDEX(마스터!$F$4:$F$20,MATCH(C373,마스터!$M$4:$M$20,0))),"")</f>
        <v/>
      </c>
      <c r="E373" s="27"/>
      <c r="F373" s="29"/>
      <c r="G373" s="25" t="str">
        <f>IFERROR(IF(C373="","",INDEX(마스터!$J$4:$J$20,MATCH(C373,마스터!$M$4:$M$20,0))),"")</f>
        <v/>
      </c>
      <c r="H373" s="30"/>
      <c r="I373" s="30"/>
      <c r="AC373" s="32">
        <f>IF(AND(E373&lt;&gt;"",C373&lt;&gt;"",COUNTIFS($C$8:C373,C373,$E$8:E373,E373)=1),1,0)</f>
        <v>0</v>
      </c>
    </row>
    <row r="374" spans="1:29" ht="15" customHeight="1" x14ac:dyDescent="0.25">
      <c r="A374" s="25" t="str">
        <f t="shared" si="5"/>
        <v/>
      </c>
      <c r="B374" s="26"/>
      <c r="C374" s="27"/>
      <c r="D374" s="28" t="str">
        <f>IFERROR(IF(C374="","",INDEX(마스터!$F$4:$F$20,MATCH(C374,마스터!$M$4:$M$20,0))),"")</f>
        <v/>
      </c>
      <c r="E374" s="27"/>
      <c r="F374" s="29"/>
      <c r="G374" s="25" t="str">
        <f>IFERROR(IF(C374="","",INDEX(마스터!$J$4:$J$20,MATCH(C374,마스터!$M$4:$M$20,0))),"")</f>
        <v/>
      </c>
      <c r="H374" s="30"/>
      <c r="I374" s="30"/>
      <c r="AC374" s="32">
        <f>IF(AND(E374&lt;&gt;"",C374&lt;&gt;"",COUNTIFS($C$8:C374,C374,$E$8:E374,E374)=1),1,0)</f>
        <v>0</v>
      </c>
    </row>
    <row r="375" spans="1:29" ht="15" customHeight="1" x14ac:dyDescent="0.25">
      <c r="A375" s="25" t="str">
        <f t="shared" si="5"/>
        <v/>
      </c>
      <c r="B375" s="26"/>
      <c r="C375" s="27"/>
      <c r="D375" s="28" t="str">
        <f>IFERROR(IF(C375="","",INDEX(마스터!$F$4:$F$20,MATCH(C375,마스터!$M$4:$M$20,0))),"")</f>
        <v/>
      </c>
      <c r="E375" s="27"/>
      <c r="F375" s="29"/>
      <c r="G375" s="25" t="str">
        <f>IFERROR(IF(C375="","",INDEX(마스터!$J$4:$J$20,MATCH(C375,마스터!$M$4:$M$20,0))),"")</f>
        <v/>
      </c>
      <c r="H375" s="30"/>
      <c r="I375" s="30"/>
      <c r="AC375" s="32">
        <f>IF(AND(E375&lt;&gt;"",C375&lt;&gt;"",COUNTIFS($C$8:C375,C375,$E$8:E375,E375)=1),1,0)</f>
        <v>0</v>
      </c>
    </row>
    <row r="376" spans="1:29" ht="15" customHeight="1" x14ac:dyDescent="0.25">
      <c r="A376" s="25" t="str">
        <f t="shared" si="5"/>
        <v/>
      </c>
      <c r="B376" s="26"/>
      <c r="C376" s="27"/>
      <c r="D376" s="28" t="str">
        <f>IFERROR(IF(C376="","",INDEX(마스터!$F$4:$F$20,MATCH(C376,마스터!$M$4:$M$20,0))),"")</f>
        <v/>
      </c>
      <c r="E376" s="27"/>
      <c r="F376" s="29"/>
      <c r="G376" s="25" t="str">
        <f>IFERROR(IF(C376="","",INDEX(마스터!$J$4:$J$20,MATCH(C376,마스터!$M$4:$M$20,0))),"")</f>
        <v/>
      </c>
      <c r="H376" s="30"/>
      <c r="I376" s="30"/>
      <c r="AC376" s="32">
        <f>IF(AND(E376&lt;&gt;"",C376&lt;&gt;"",COUNTIFS($C$8:C376,C376,$E$8:E376,E376)=1),1,0)</f>
        <v>0</v>
      </c>
    </row>
    <row r="377" spans="1:29" ht="15" customHeight="1" x14ac:dyDescent="0.25">
      <c r="A377" s="25" t="str">
        <f t="shared" si="5"/>
        <v/>
      </c>
      <c r="B377" s="26"/>
      <c r="C377" s="27"/>
      <c r="D377" s="28" t="str">
        <f>IFERROR(IF(C377="","",INDEX(마스터!$F$4:$F$20,MATCH(C377,마스터!$M$4:$M$20,0))),"")</f>
        <v/>
      </c>
      <c r="E377" s="27"/>
      <c r="F377" s="29"/>
      <c r="G377" s="25" t="str">
        <f>IFERROR(IF(C377="","",INDEX(마스터!$J$4:$J$20,MATCH(C377,마스터!$M$4:$M$20,0))),"")</f>
        <v/>
      </c>
      <c r="H377" s="30"/>
      <c r="I377" s="30"/>
      <c r="AC377" s="32">
        <f>IF(AND(E377&lt;&gt;"",C377&lt;&gt;"",COUNTIFS($C$8:C377,C377,$E$8:E377,E377)=1),1,0)</f>
        <v>0</v>
      </c>
    </row>
    <row r="378" spans="1:29" ht="15" customHeight="1" x14ac:dyDescent="0.25">
      <c r="A378" s="25" t="str">
        <f t="shared" si="5"/>
        <v/>
      </c>
      <c r="B378" s="26"/>
      <c r="C378" s="27"/>
      <c r="D378" s="28" t="str">
        <f>IFERROR(IF(C378="","",INDEX(마스터!$F$4:$F$20,MATCH(C378,마스터!$M$4:$M$20,0))),"")</f>
        <v/>
      </c>
      <c r="E378" s="27"/>
      <c r="F378" s="29"/>
      <c r="G378" s="25" t="str">
        <f>IFERROR(IF(C378="","",INDEX(마스터!$J$4:$J$20,MATCH(C378,마스터!$M$4:$M$20,0))),"")</f>
        <v/>
      </c>
      <c r="H378" s="30"/>
      <c r="I378" s="30"/>
      <c r="AC378" s="32">
        <f>IF(AND(E378&lt;&gt;"",C378&lt;&gt;"",COUNTIFS($C$8:C378,C378,$E$8:E378,E378)=1),1,0)</f>
        <v>0</v>
      </c>
    </row>
    <row r="379" spans="1:29" ht="15" customHeight="1" x14ac:dyDescent="0.25">
      <c r="A379" s="25" t="str">
        <f t="shared" si="5"/>
        <v/>
      </c>
      <c r="B379" s="26"/>
      <c r="C379" s="27"/>
      <c r="D379" s="28" t="str">
        <f>IFERROR(IF(C379="","",INDEX(마스터!$F$4:$F$20,MATCH(C379,마스터!$M$4:$M$20,0))),"")</f>
        <v/>
      </c>
      <c r="E379" s="27"/>
      <c r="F379" s="29"/>
      <c r="G379" s="25" t="str">
        <f>IFERROR(IF(C379="","",INDEX(마스터!$J$4:$J$20,MATCH(C379,마스터!$M$4:$M$20,0))),"")</f>
        <v/>
      </c>
      <c r="H379" s="30"/>
      <c r="I379" s="30"/>
      <c r="AC379" s="32">
        <f>IF(AND(E379&lt;&gt;"",C379&lt;&gt;"",COUNTIFS($C$8:C379,C379,$E$8:E379,E379)=1),1,0)</f>
        <v>0</v>
      </c>
    </row>
    <row r="380" spans="1:29" ht="15" customHeight="1" x14ac:dyDescent="0.25">
      <c r="A380" s="25" t="str">
        <f t="shared" si="5"/>
        <v/>
      </c>
      <c r="B380" s="26"/>
      <c r="C380" s="27"/>
      <c r="D380" s="28" t="str">
        <f>IFERROR(IF(C380="","",INDEX(마스터!$F$4:$F$20,MATCH(C380,마스터!$M$4:$M$20,0))),"")</f>
        <v/>
      </c>
      <c r="E380" s="27"/>
      <c r="F380" s="29"/>
      <c r="G380" s="25" t="str">
        <f>IFERROR(IF(C380="","",INDEX(마스터!$J$4:$J$20,MATCH(C380,마스터!$M$4:$M$20,0))),"")</f>
        <v/>
      </c>
      <c r="H380" s="30"/>
      <c r="I380" s="30"/>
      <c r="AC380" s="32">
        <f>IF(AND(E380&lt;&gt;"",C380&lt;&gt;"",COUNTIFS($C$8:C380,C380,$E$8:E380,E380)=1),1,0)</f>
        <v>0</v>
      </c>
    </row>
    <row r="381" spans="1:29" ht="15" customHeight="1" x14ac:dyDescent="0.25">
      <c r="A381" s="25" t="str">
        <f t="shared" si="5"/>
        <v/>
      </c>
      <c r="B381" s="26"/>
      <c r="C381" s="27"/>
      <c r="D381" s="28" t="str">
        <f>IFERROR(IF(C381="","",INDEX(마스터!$F$4:$F$20,MATCH(C381,마스터!$M$4:$M$20,0))),"")</f>
        <v/>
      </c>
      <c r="E381" s="27"/>
      <c r="F381" s="29"/>
      <c r="G381" s="25" t="str">
        <f>IFERROR(IF(C381="","",INDEX(마스터!$J$4:$J$20,MATCH(C381,마스터!$M$4:$M$20,0))),"")</f>
        <v/>
      </c>
      <c r="H381" s="30"/>
      <c r="I381" s="30"/>
      <c r="AC381" s="32">
        <f>IF(AND(E381&lt;&gt;"",C381&lt;&gt;"",COUNTIFS($C$8:C381,C381,$E$8:E381,E381)=1),1,0)</f>
        <v>0</v>
      </c>
    </row>
    <row r="382" spans="1:29" ht="15" customHeight="1" x14ac:dyDescent="0.25">
      <c r="A382" s="25" t="str">
        <f t="shared" si="5"/>
        <v/>
      </c>
      <c r="B382" s="26"/>
      <c r="C382" s="27"/>
      <c r="D382" s="28" t="str">
        <f>IFERROR(IF(C382="","",INDEX(마스터!$F$4:$F$20,MATCH(C382,마스터!$M$4:$M$20,0))),"")</f>
        <v/>
      </c>
      <c r="E382" s="27"/>
      <c r="F382" s="29"/>
      <c r="G382" s="25" t="str">
        <f>IFERROR(IF(C382="","",INDEX(마스터!$J$4:$J$20,MATCH(C382,마스터!$M$4:$M$20,0))),"")</f>
        <v/>
      </c>
      <c r="H382" s="30"/>
      <c r="I382" s="30"/>
      <c r="AC382" s="32">
        <f>IF(AND(E382&lt;&gt;"",C382&lt;&gt;"",COUNTIFS($C$8:C382,C382,$E$8:E382,E382)=1),1,0)</f>
        <v>0</v>
      </c>
    </row>
    <row r="383" spans="1:29" ht="15" customHeight="1" x14ac:dyDescent="0.25">
      <c r="A383" s="25" t="str">
        <f t="shared" si="5"/>
        <v/>
      </c>
      <c r="B383" s="26"/>
      <c r="C383" s="27"/>
      <c r="D383" s="28" t="str">
        <f>IFERROR(IF(C383="","",INDEX(마스터!$F$4:$F$20,MATCH(C383,마스터!$M$4:$M$20,0))),"")</f>
        <v/>
      </c>
      <c r="E383" s="27"/>
      <c r="F383" s="29"/>
      <c r="G383" s="25" t="str">
        <f>IFERROR(IF(C383="","",INDEX(마스터!$J$4:$J$20,MATCH(C383,마스터!$M$4:$M$20,0))),"")</f>
        <v/>
      </c>
      <c r="H383" s="30"/>
      <c r="I383" s="30"/>
      <c r="AC383" s="32">
        <f>IF(AND(E383&lt;&gt;"",C383&lt;&gt;"",COUNTIFS($C$8:C383,C383,$E$8:E383,E383)=1),1,0)</f>
        <v>0</v>
      </c>
    </row>
    <row r="384" spans="1:29" ht="15" customHeight="1" x14ac:dyDescent="0.25">
      <c r="A384" s="25" t="str">
        <f t="shared" si="5"/>
        <v/>
      </c>
      <c r="B384" s="26"/>
      <c r="C384" s="27"/>
      <c r="D384" s="28" t="str">
        <f>IFERROR(IF(C384="","",INDEX(마스터!$F$4:$F$20,MATCH(C384,마스터!$M$4:$M$20,0))),"")</f>
        <v/>
      </c>
      <c r="E384" s="27"/>
      <c r="F384" s="29"/>
      <c r="G384" s="25" t="str">
        <f>IFERROR(IF(C384="","",INDEX(마스터!$J$4:$J$20,MATCH(C384,마스터!$M$4:$M$20,0))),"")</f>
        <v/>
      </c>
      <c r="H384" s="30"/>
      <c r="I384" s="30"/>
      <c r="AC384" s="32">
        <f>IF(AND(E384&lt;&gt;"",C384&lt;&gt;"",COUNTIFS($C$8:C384,C384,$E$8:E384,E384)=1),1,0)</f>
        <v>0</v>
      </c>
    </row>
    <row r="385" spans="1:29" ht="15" customHeight="1" x14ac:dyDescent="0.25">
      <c r="A385" s="25" t="str">
        <f t="shared" si="5"/>
        <v/>
      </c>
      <c r="B385" s="26"/>
      <c r="C385" s="27"/>
      <c r="D385" s="28" t="str">
        <f>IFERROR(IF(C385="","",INDEX(마스터!$F$4:$F$20,MATCH(C385,마스터!$M$4:$M$20,0))),"")</f>
        <v/>
      </c>
      <c r="E385" s="27"/>
      <c r="F385" s="29"/>
      <c r="G385" s="25" t="str">
        <f>IFERROR(IF(C385="","",INDEX(마스터!$J$4:$J$20,MATCH(C385,마스터!$M$4:$M$20,0))),"")</f>
        <v/>
      </c>
      <c r="H385" s="30"/>
      <c r="I385" s="30"/>
      <c r="AC385" s="32">
        <f>IF(AND(E385&lt;&gt;"",C385&lt;&gt;"",COUNTIFS($C$8:C385,C385,$E$8:E385,E385)=1),1,0)</f>
        <v>0</v>
      </c>
    </row>
    <row r="386" spans="1:29" ht="15" customHeight="1" x14ac:dyDescent="0.25">
      <c r="A386" s="25" t="str">
        <f t="shared" si="5"/>
        <v/>
      </c>
      <c r="B386" s="26"/>
      <c r="C386" s="27"/>
      <c r="D386" s="28" t="str">
        <f>IFERROR(IF(C386="","",INDEX(마스터!$F$4:$F$20,MATCH(C386,마스터!$M$4:$M$20,0))),"")</f>
        <v/>
      </c>
      <c r="E386" s="27"/>
      <c r="F386" s="29"/>
      <c r="G386" s="25" t="str">
        <f>IFERROR(IF(C386="","",INDEX(마스터!$J$4:$J$20,MATCH(C386,마스터!$M$4:$M$20,0))),"")</f>
        <v/>
      </c>
      <c r="H386" s="30"/>
      <c r="I386" s="30"/>
      <c r="AC386" s="32">
        <f>IF(AND(E386&lt;&gt;"",C386&lt;&gt;"",COUNTIFS($C$8:C386,C386,$E$8:E386,E386)=1),1,0)</f>
        <v>0</v>
      </c>
    </row>
    <row r="387" spans="1:29" ht="15" customHeight="1" x14ac:dyDescent="0.25">
      <c r="A387" s="25" t="str">
        <f t="shared" si="5"/>
        <v/>
      </c>
      <c r="B387" s="26"/>
      <c r="C387" s="27"/>
      <c r="D387" s="28" t="str">
        <f>IFERROR(IF(C387="","",INDEX(마스터!$F$4:$F$20,MATCH(C387,마스터!$M$4:$M$20,0))),"")</f>
        <v/>
      </c>
      <c r="E387" s="27"/>
      <c r="F387" s="29"/>
      <c r="G387" s="25" t="str">
        <f>IFERROR(IF(C387="","",INDEX(마스터!$J$4:$J$20,MATCH(C387,마스터!$M$4:$M$20,0))),"")</f>
        <v/>
      </c>
      <c r="H387" s="30"/>
      <c r="I387" s="30"/>
      <c r="AC387" s="32">
        <f>IF(AND(E387&lt;&gt;"",C387&lt;&gt;"",COUNTIFS($C$8:C387,C387,$E$8:E387,E387)=1),1,0)</f>
        <v>0</v>
      </c>
    </row>
    <row r="388" spans="1:29" ht="15" customHeight="1" x14ac:dyDescent="0.25">
      <c r="A388" s="25" t="str">
        <f t="shared" si="5"/>
        <v/>
      </c>
      <c r="B388" s="26"/>
      <c r="C388" s="27"/>
      <c r="D388" s="28" t="str">
        <f>IFERROR(IF(C388="","",INDEX(마스터!$F$4:$F$20,MATCH(C388,마스터!$M$4:$M$20,0))),"")</f>
        <v/>
      </c>
      <c r="E388" s="27"/>
      <c r="F388" s="29"/>
      <c r="G388" s="25" t="str">
        <f>IFERROR(IF(C388="","",INDEX(마스터!$J$4:$J$20,MATCH(C388,마스터!$M$4:$M$20,0))),"")</f>
        <v/>
      </c>
      <c r="H388" s="30"/>
      <c r="I388" s="30"/>
      <c r="AC388" s="32">
        <f>IF(AND(E388&lt;&gt;"",C388&lt;&gt;"",COUNTIFS($C$8:C388,C388,$E$8:E388,E388)=1),1,0)</f>
        <v>0</v>
      </c>
    </row>
    <row r="389" spans="1:29" ht="15" customHeight="1" x14ac:dyDescent="0.25">
      <c r="A389" s="25" t="str">
        <f t="shared" si="5"/>
        <v/>
      </c>
      <c r="B389" s="26"/>
      <c r="C389" s="27"/>
      <c r="D389" s="28" t="str">
        <f>IFERROR(IF(C389="","",INDEX(마스터!$F$4:$F$20,MATCH(C389,마스터!$M$4:$M$20,0))),"")</f>
        <v/>
      </c>
      <c r="E389" s="27"/>
      <c r="F389" s="29"/>
      <c r="G389" s="25" t="str">
        <f>IFERROR(IF(C389="","",INDEX(마스터!$J$4:$J$20,MATCH(C389,마스터!$M$4:$M$20,0))),"")</f>
        <v/>
      </c>
      <c r="H389" s="30"/>
      <c r="I389" s="30"/>
      <c r="AC389" s="32">
        <f>IF(AND(E389&lt;&gt;"",C389&lt;&gt;"",COUNTIFS($C$8:C389,C389,$E$8:E389,E389)=1),1,0)</f>
        <v>0</v>
      </c>
    </row>
    <row r="390" spans="1:29" ht="15" customHeight="1" x14ac:dyDescent="0.25">
      <c r="A390" s="25" t="str">
        <f t="shared" si="5"/>
        <v/>
      </c>
      <c r="B390" s="26"/>
      <c r="C390" s="27"/>
      <c r="D390" s="28" t="str">
        <f>IFERROR(IF(C390="","",INDEX(마스터!$F$4:$F$20,MATCH(C390,마스터!$M$4:$M$20,0))),"")</f>
        <v/>
      </c>
      <c r="E390" s="27"/>
      <c r="F390" s="29"/>
      <c r="G390" s="25" t="str">
        <f>IFERROR(IF(C390="","",INDEX(마스터!$J$4:$J$20,MATCH(C390,마스터!$M$4:$M$20,0))),"")</f>
        <v/>
      </c>
      <c r="H390" s="30"/>
      <c r="I390" s="30"/>
      <c r="AC390" s="32">
        <f>IF(AND(E390&lt;&gt;"",C390&lt;&gt;"",COUNTIFS($C$8:C390,C390,$E$8:E390,E390)=1),1,0)</f>
        <v>0</v>
      </c>
    </row>
    <row r="391" spans="1:29" ht="15" customHeight="1" x14ac:dyDescent="0.25">
      <c r="A391" s="25" t="str">
        <f t="shared" si="5"/>
        <v/>
      </c>
      <c r="B391" s="26"/>
      <c r="C391" s="27"/>
      <c r="D391" s="28" t="str">
        <f>IFERROR(IF(C391="","",INDEX(마스터!$F$4:$F$20,MATCH(C391,마스터!$M$4:$M$20,0))),"")</f>
        <v/>
      </c>
      <c r="E391" s="27"/>
      <c r="F391" s="29"/>
      <c r="G391" s="25" t="str">
        <f>IFERROR(IF(C391="","",INDEX(마스터!$J$4:$J$20,MATCH(C391,마스터!$M$4:$M$20,0))),"")</f>
        <v/>
      </c>
      <c r="H391" s="30"/>
      <c r="I391" s="30"/>
      <c r="AC391" s="32">
        <f>IF(AND(E391&lt;&gt;"",C391&lt;&gt;"",COUNTIFS($C$8:C391,C391,$E$8:E391,E391)=1),1,0)</f>
        <v>0</v>
      </c>
    </row>
    <row r="392" spans="1:29" ht="15" customHeight="1" x14ac:dyDescent="0.25">
      <c r="A392" s="25" t="str">
        <f t="shared" ref="A392:A455" si="6">IF(B392="","",ROW()-7)</f>
        <v/>
      </c>
      <c r="B392" s="26"/>
      <c r="C392" s="27"/>
      <c r="D392" s="28" t="str">
        <f>IFERROR(IF(C392="","",INDEX(마스터!$F$4:$F$20,MATCH(C392,마스터!$M$4:$M$20,0))),"")</f>
        <v/>
      </c>
      <c r="E392" s="27"/>
      <c r="F392" s="29"/>
      <c r="G392" s="25" t="str">
        <f>IFERROR(IF(C392="","",INDEX(마스터!$J$4:$J$20,MATCH(C392,마스터!$M$4:$M$20,0))),"")</f>
        <v/>
      </c>
      <c r="H392" s="30"/>
      <c r="I392" s="30"/>
      <c r="AC392" s="32">
        <f>IF(AND(E392&lt;&gt;"",C392&lt;&gt;"",COUNTIFS($C$8:C392,C392,$E$8:E392,E392)=1),1,0)</f>
        <v>0</v>
      </c>
    </row>
    <row r="393" spans="1:29" ht="15" customHeight="1" x14ac:dyDescent="0.25">
      <c r="A393" s="25" t="str">
        <f t="shared" si="6"/>
        <v/>
      </c>
      <c r="B393" s="26"/>
      <c r="C393" s="27"/>
      <c r="D393" s="28" t="str">
        <f>IFERROR(IF(C393="","",INDEX(마스터!$F$4:$F$20,MATCH(C393,마스터!$M$4:$M$20,0))),"")</f>
        <v/>
      </c>
      <c r="E393" s="27"/>
      <c r="F393" s="29"/>
      <c r="G393" s="25" t="str">
        <f>IFERROR(IF(C393="","",INDEX(마스터!$J$4:$J$20,MATCH(C393,마스터!$M$4:$M$20,0))),"")</f>
        <v/>
      </c>
      <c r="H393" s="30"/>
      <c r="I393" s="30"/>
      <c r="AC393" s="32">
        <f>IF(AND(E393&lt;&gt;"",C393&lt;&gt;"",COUNTIFS($C$8:C393,C393,$E$8:E393,E393)=1),1,0)</f>
        <v>0</v>
      </c>
    </row>
    <row r="394" spans="1:29" ht="15" customHeight="1" x14ac:dyDescent="0.25">
      <c r="A394" s="25" t="str">
        <f t="shared" si="6"/>
        <v/>
      </c>
      <c r="B394" s="26"/>
      <c r="C394" s="27"/>
      <c r="D394" s="28" t="str">
        <f>IFERROR(IF(C394="","",INDEX(마스터!$F$4:$F$20,MATCH(C394,마스터!$M$4:$M$20,0))),"")</f>
        <v/>
      </c>
      <c r="E394" s="27"/>
      <c r="F394" s="29"/>
      <c r="G394" s="25" t="str">
        <f>IFERROR(IF(C394="","",INDEX(마스터!$J$4:$J$20,MATCH(C394,마스터!$M$4:$M$20,0))),"")</f>
        <v/>
      </c>
      <c r="H394" s="30"/>
      <c r="I394" s="30"/>
      <c r="AC394" s="32">
        <f>IF(AND(E394&lt;&gt;"",C394&lt;&gt;"",COUNTIFS($C$8:C394,C394,$E$8:E394,E394)=1),1,0)</f>
        <v>0</v>
      </c>
    </row>
    <row r="395" spans="1:29" ht="15" customHeight="1" x14ac:dyDescent="0.25">
      <c r="A395" s="25" t="str">
        <f t="shared" si="6"/>
        <v/>
      </c>
      <c r="B395" s="26"/>
      <c r="C395" s="27"/>
      <c r="D395" s="28" t="str">
        <f>IFERROR(IF(C395="","",INDEX(마스터!$F$4:$F$20,MATCH(C395,마스터!$M$4:$M$20,0))),"")</f>
        <v/>
      </c>
      <c r="E395" s="27"/>
      <c r="F395" s="29"/>
      <c r="G395" s="25" t="str">
        <f>IFERROR(IF(C395="","",INDEX(마스터!$J$4:$J$20,MATCH(C395,마스터!$M$4:$M$20,0))),"")</f>
        <v/>
      </c>
      <c r="H395" s="30"/>
      <c r="I395" s="30"/>
      <c r="AC395" s="32">
        <f>IF(AND(E395&lt;&gt;"",C395&lt;&gt;"",COUNTIFS($C$8:C395,C395,$E$8:E395,E395)=1),1,0)</f>
        <v>0</v>
      </c>
    </row>
    <row r="396" spans="1:29" ht="15" customHeight="1" x14ac:dyDescent="0.25">
      <c r="A396" s="25" t="str">
        <f t="shared" si="6"/>
        <v/>
      </c>
      <c r="B396" s="26"/>
      <c r="C396" s="27"/>
      <c r="D396" s="28" t="str">
        <f>IFERROR(IF(C396="","",INDEX(마스터!$F$4:$F$20,MATCH(C396,마스터!$M$4:$M$20,0))),"")</f>
        <v/>
      </c>
      <c r="E396" s="27"/>
      <c r="F396" s="29"/>
      <c r="G396" s="25" t="str">
        <f>IFERROR(IF(C396="","",INDEX(마스터!$J$4:$J$20,MATCH(C396,마스터!$M$4:$M$20,0))),"")</f>
        <v/>
      </c>
      <c r="H396" s="30"/>
      <c r="I396" s="30"/>
      <c r="AC396" s="32">
        <f>IF(AND(E396&lt;&gt;"",C396&lt;&gt;"",COUNTIFS($C$8:C396,C396,$E$8:E396,E396)=1),1,0)</f>
        <v>0</v>
      </c>
    </row>
    <row r="397" spans="1:29" ht="15" customHeight="1" x14ac:dyDescent="0.25">
      <c r="A397" s="25" t="str">
        <f t="shared" si="6"/>
        <v/>
      </c>
      <c r="B397" s="26"/>
      <c r="C397" s="27"/>
      <c r="D397" s="28" t="str">
        <f>IFERROR(IF(C397="","",INDEX(마스터!$F$4:$F$20,MATCH(C397,마스터!$M$4:$M$20,0))),"")</f>
        <v/>
      </c>
      <c r="E397" s="27"/>
      <c r="F397" s="29"/>
      <c r="G397" s="25" t="str">
        <f>IFERROR(IF(C397="","",INDEX(마스터!$J$4:$J$20,MATCH(C397,마스터!$M$4:$M$20,0))),"")</f>
        <v/>
      </c>
      <c r="H397" s="30"/>
      <c r="I397" s="30"/>
      <c r="AC397" s="32">
        <f>IF(AND(E397&lt;&gt;"",C397&lt;&gt;"",COUNTIFS($C$8:C397,C397,$E$8:E397,E397)=1),1,0)</f>
        <v>0</v>
      </c>
    </row>
    <row r="398" spans="1:29" ht="15" customHeight="1" x14ac:dyDescent="0.25">
      <c r="A398" s="25" t="str">
        <f t="shared" si="6"/>
        <v/>
      </c>
      <c r="B398" s="26"/>
      <c r="C398" s="27"/>
      <c r="D398" s="28" t="str">
        <f>IFERROR(IF(C398="","",INDEX(마스터!$F$4:$F$20,MATCH(C398,마스터!$M$4:$M$20,0))),"")</f>
        <v/>
      </c>
      <c r="E398" s="27"/>
      <c r="F398" s="29"/>
      <c r="G398" s="25" t="str">
        <f>IFERROR(IF(C398="","",INDEX(마스터!$J$4:$J$20,MATCH(C398,마스터!$M$4:$M$20,0))),"")</f>
        <v/>
      </c>
      <c r="H398" s="30"/>
      <c r="I398" s="30"/>
      <c r="AC398" s="32">
        <f>IF(AND(E398&lt;&gt;"",C398&lt;&gt;"",COUNTIFS($C$8:C398,C398,$E$8:E398,E398)=1),1,0)</f>
        <v>0</v>
      </c>
    </row>
    <row r="399" spans="1:29" ht="15" customHeight="1" x14ac:dyDescent="0.25">
      <c r="A399" s="25" t="str">
        <f t="shared" si="6"/>
        <v/>
      </c>
      <c r="B399" s="26"/>
      <c r="C399" s="27"/>
      <c r="D399" s="28" t="str">
        <f>IFERROR(IF(C399="","",INDEX(마스터!$F$4:$F$20,MATCH(C399,마스터!$M$4:$M$20,0))),"")</f>
        <v/>
      </c>
      <c r="E399" s="27"/>
      <c r="F399" s="29"/>
      <c r="G399" s="25" t="str">
        <f>IFERROR(IF(C399="","",INDEX(마스터!$J$4:$J$20,MATCH(C399,마스터!$M$4:$M$20,0))),"")</f>
        <v/>
      </c>
      <c r="H399" s="30"/>
      <c r="I399" s="30"/>
      <c r="AC399" s="32">
        <f>IF(AND(E399&lt;&gt;"",C399&lt;&gt;"",COUNTIFS($C$8:C399,C399,$E$8:E399,E399)=1),1,0)</f>
        <v>0</v>
      </c>
    </row>
    <row r="400" spans="1:29" ht="15" customHeight="1" x14ac:dyDescent="0.25">
      <c r="A400" s="25" t="str">
        <f t="shared" si="6"/>
        <v/>
      </c>
      <c r="B400" s="26"/>
      <c r="C400" s="27"/>
      <c r="D400" s="28" t="str">
        <f>IFERROR(IF(C400="","",INDEX(마스터!$F$4:$F$20,MATCH(C400,마스터!$M$4:$M$20,0))),"")</f>
        <v/>
      </c>
      <c r="E400" s="27"/>
      <c r="F400" s="29"/>
      <c r="G400" s="25" t="str">
        <f>IFERROR(IF(C400="","",INDEX(마스터!$J$4:$J$20,MATCH(C400,마스터!$M$4:$M$20,0))),"")</f>
        <v/>
      </c>
      <c r="H400" s="30"/>
      <c r="I400" s="30"/>
      <c r="AC400" s="32">
        <f>IF(AND(E400&lt;&gt;"",C400&lt;&gt;"",COUNTIFS($C$8:C400,C400,$E$8:E400,E400)=1),1,0)</f>
        <v>0</v>
      </c>
    </row>
    <row r="401" spans="1:29" ht="15" customHeight="1" x14ac:dyDescent="0.25">
      <c r="A401" s="25" t="str">
        <f t="shared" si="6"/>
        <v/>
      </c>
      <c r="B401" s="26"/>
      <c r="C401" s="27"/>
      <c r="D401" s="28" t="str">
        <f>IFERROR(IF(C401="","",INDEX(마스터!$F$4:$F$20,MATCH(C401,마스터!$M$4:$M$20,0))),"")</f>
        <v/>
      </c>
      <c r="E401" s="27"/>
      <c r="F401" s="29"/>
      <c r="G401" s="25" t="str">
        <f>IFERROR(IF(C401="","",INDEX(마스터!$J$4:$J$20,MATCH(C401,마스터!$M$4:$M$20,0))),"")</f>
        <v/>
      </c>
      <c r="H401" s="30"/>
      <c r="I401" s="30"/>
      <c r="AC401" s="32">
        <f>IF(AND(E401&lt;&gt;"",C401&lt;&gt;"",COUNTIFS($C$8:C401,C401,$E$8:E401,E401)=1),1,0)</f>
        <v>0</v>
      </c>
    </row>
    <row r="402" spans="1:29" ht="15" customHeight="1" x14ac:dyDescent="0.25">
      <c r="A402" s="25" t="str">
        <f t="shared" si="6"/>
        <v/>
      </c>
      <c r="B402" s="26"/>
      <c r="C402" s="27"/>
      <c r="D402" s="28" t="str">
        <f>IFERROR(IF(C402="","",INDEX(마스터!$F$4:$F$20,MATCH(C402,마스터!$M$4:$M$20,0))),"")</f>
        <v/>
      </c>
      <c r="E402" s="27"/>
      <c r="F402" s="29"/>
      <c r="G402" s="25" t="str">
        <f>IFERROR(IF(C402="","",INDEX(마스터!$J$4:$J$20,MATCH(C402,마스터!$M$4:$M$20,0))),"")</f>
        <v/>
      </c>
      <c r="H402" s="30"/>
      <c r="I402" s="30"/>
      <c r="AC402" s="32">
        <f>IF(AND(E402&lt;&gt;"",C402&lt;&gt;"",COUNTIFS($C$8:C402,C402,$E$8:E402,E402)=1),1,0)</f>
        <v>0</v>
      </c>
    </row>
    <row r="403" spans="1:29" ht="15" customHeight="1" x14ac:dyDescent="0.25">
      <c r="A403" s="25" t="str">
        <f t="shared" si="6"/>
        <v/>
      </c>
      <c r="B403" s="26"/>
      <c r="C403" s="27"/>
      <c r="D403" s="28" t="str">
        <f>IFERROR(IF(C403="","",INDEX(마스터!$F$4:$F$20,MATCH(C403,마스터!$M$4:$M$20,0))),"")</f>
        <v/>
      </c>
      <c r="E403" s="27"/>
      <c r="F403" s="29"/>
      <c r="G403" s="25" t="str">
        <f>IFERROR(IF(C403="","",INDEX(마스터!$J$4:$J$20,MATCH(C403,마스터!$M$4:$M$20,0))),"")</f>
        <v/>
      </c>
      <c r="H403" s="30"/>
      <c r="I403" s="30"/>
      <c r="AC403" s="32">
        <f>IF(AND(E403&lt;&gt;"",C403&lt;&gt;"",COUNTIFS($C$8:C403,C403,$E$8:E403,E403)=1),1,0)</f>
        <v>0</v>
      </c>
    </row>
    <row r="404" spans="1:29" ht="15" customHeight="1" x14ac:dyDescent="0.25">
      <c r="A404" s="25" t="str">
        <f t="shared" si="6"/>
        <v/>
      </c>
      <c r="B404" s="26"/>
      <c r="C404" s="27"/>
      <c r="D404" s="28" t="str">
        <f>IFERROR(IF(C404="","",INDEX(마스터!$F$4:$F$20,MATCH(C404,마스터!$M$4:$M$20,0))),"")</f>
        <v/>
      </c>
      <c r="E404" s="27"/>
      <c r="F404" s="29"/>
      <c r="G404" s="25" t="str">
        <f>IFERROR(IF(C404="","",INDEX(마스터!$J$4:$J$20,MATCH(C404,마스터!$M$4:$M$20,0))),"")</f>
        <v/>
      </c>
      <c r="H404" s="30"/>
      <c r="I404" s="30"/>
      <c r="AC404" s="32">
        <f>IF(AND(E404&lt;&gt;"",C404&lt;&gt;"",COUNTIFS($C$8:C404,C404,$E$8:E404,E404)=1),1,0)</f>
        <v>0</v>
      </c>
    </row>
    <row r="405" spans="1:29" ht="15" customHeight="1" x14ac:dyDescent="0.25">
      <c r="A405" s="25" t="str">
        <f t="shared" si="6"/>
        <v/>
      </c>
      <c r="B405" s="26"/>
      <c r="C405" s="27"/>
      <c r="D405" s="28" t="str">
        <f>IFERROR(IF(C405="","",INDEX(마스터!$F$4:$F$20,MATCH(C405,마스터!$M$4:$M$20,0))),"")</f>
        <v/>
      </c>
      <c r="E405" s="27"/>
      <c r="F405" s="29"/>
      <c r="G405" s="25" t="str">
        <f>IFERROR(IF(C405="","",INDEX(마스터!$J$4:$J$20,MATCH(C405,마스터!$M$4:$M$20,0))),"")</f>
        <v/>
      </c>
      <c r="H405" s="30"/>
      <c r="I405" s="30"/>
      <c r="AC405" s="32">
        <f>IF(AND(E405&lt;&gt;"",C405&lt;&gt;"",COUNTIFS($C$8:C405,C405,$E$8:E405,E405)=1),1,0)</f>
        <v>0</v>
      </c>
    </row>
    <row r="406" spans="1:29" ht="15" customHeight="1" x14ac:dyDescent="0.25">
      <c r="A406" s="25" t="str">
        <f t="shared" si="6"/>
        <v/>
      </c>
      <c r="B406" s="26"/>
      <c r="C406" s="27"/>
      <c r="D406" s="28" t="str">
        <f>IFERROR(IF(C406="","",INDEX(마스터!$F$4:$F$20,MATCH(C406,마스터!$M$4:$M$20,0))),"")</f>
        <v/>
      </c>
      <c r="E406" s="27"/>
      <c r="F406" s="29"/>
      <c r="G406" s="25" t="str">
        <f>IFERROR(IF(C406="","",INDEX(마스터!$J$4:$J$20,MATCH(C406,마스터!$M$4:$M$20,0))),"")</f>
        <v/>
      </c>
      <c r="H406" s="30"/>
      <c r="I406" s="30"/>
      <c r="AC406" s="32">
        <f>IF(AND(E406&lt;&gt;"",C406&lt;&gt;"",COUNTIFS($C$8:C406,C406,$E$8:E406,E406)=1),1,0)</f>
        <v>0</v>
      </c>
    </row>
    <row r="407" spans="1:29" ht="15" customHeight="1" x14ac:dyDescent="0.25">
      <c r="A407" s="25" t="str">
        <f t="shared" si="6"/>
        <v/>
      </c>
      <c r="B407" s="26"/>
      <c r="C407" s="27"/>
      <c r="D407" s="28" t="str">
        <f>IFERROR(IF(C407="","",INDEX(마스터!$F$4:$F$20,MATCH(C407,마스터!$M$4:$M$20,0))),"")</f>
        <v/>
      </c>
      <c r="E407" s="27"/>
      <c r="F407" s="29"/>
      <c r="G407" s="25" t="str">
        <f>IFERROR(IF(C407="","",INDEX(마스터!$J$4:$J$20,MATCH(C407,마스터!$M$4:$M$20,0))),"")</f>
        <v/>
      </c>
      <c r="H407" s="30"/>
      <c r="I407" s="30"/>
      <c r="AC407" s="32">
        <f>IF(AND(E407&lt;&gt;"",C407&lt;&gt;"",COUNTIFS($C$8:C407,C407,$E$8:E407,E407)=1),1,0)</f>
        <v>0</v>
      </c>
    </row>
    <row r="408" spans="1:29" ht="15" customHeight="1" x14ac:dyDescent="0.25">
      <c r="A408" s="25" t="str">
        <f t="shared" si="6"/>
        <v/>
      </c>
      <c r="B408" s="26"/>
      <c r="C408" s="27"/>
      <c r="D408" s="28" t="str">
        <f>IFERROR(IF(C408="","",INDEX(마스터!$F$4:$F$20,MATCH(C408,마스터!$M$4:$M$20,0))),"")</f>
        <v/>
      </c>
      <c r="E408" s="27"/>
      <c r="F408" s="29"/>
      <c r="G408" s="25" t="str">
        <f>IFERROR(IF(C408="","",INDEX(마스터!$J$4:$J$20,MATCH(C408,마스터!$M$4:$M$20,0))),"")</f>
        <v/>
      </c>
      <c r="H408" s="30"/>
      <c r="I408" s="30"/>
      <c r="AC408" s="32">
        <f>IF(AND(E408&lt;&gt;"",C408&lt;&gt;"",COUNTIFS($C$8:C408,C408,$E$8:E408,E408)=1),1,0)</f>
        <v>0</v>
      </c>
    </row>
    <row r="409" spans="1:29" ht="15" customHeight="1" x14ac:dyDescent="0.25">
      <c r="A409" s="25" t="str">
        <f t="shared" si="6"/>
        <v/>
      </c>
      <c r="B409" s="26"/>
      <c r="C409" s="27"/>
      <c r="D409" s="28" t="str">
        <f>IFERROR(IF(C409="","",INDEX(마스터!$F$4:$F$20,MATCH(C409,마스터!$M$4:$M$20,0))),"")</f>
        <v/>
      </c>
      <c r="E409" s="27"/>
      <c r="F409" s="29"/>
      <c r="G409" s="25" t="str">
        <f>IFERROR(IF(C409="","",INDEX(마스터!$J$4:$J$20,MATCH(C409,마스터!$M$4:$M$20,0))),"")</f>
        <v/>
      </c>
      <c r="H409" s="30"/>
      <c r="I409" s="30"/>
      <c r="AC409" s="32">
        <f>IF(AND(E409&lt;&gt;"",C409&lt;&gt;"",COUNTIFS($C$8:C409,C409,$E$8:E409,E409)=1),1,0)</f>
        <v>0</v>
      </c>
    </row>
    <row r="410" spans="1:29" ht="15" customHeight="1" x14ac:dyDescent="0.25">
      <c r="A410" s="25" t="str">
        <f t="shared" si="6"/>
        <v/>
      </c>
      <c r="B410" s="26"/>
      <c r="C410" s="27"/>
      <c r="D410" s="28" t="str">
        <f>IFERROR(IF(C410="","",INDEX(마스터!$F$4:$F$20,MATCH(C410,마스터!$M$4:$M$20,0))),"")</f>
        <v/>
      </c>
      <c r="E410" s="27"/>
      <c r="F410" s="29"/>
      <c r="G410" s="25" t="str">
        <f>IFERROR(IF(C410="","",INDEX(마스터!$J$4:$J$20,MATCH(C410,마스터!$M$4:$M$20,0))),"")</f>
        <v/>
      </c>
      <c r="H410" s="30"/>
      <c r="I410" s="30"/>
      <c r="AC410" s="32">
        <f>IF(AND(E410&lt;&gt;"",C410&lt;&gt;"",COUNTIFS($C$8:C410,C410,$E$8:E410,E410)=1),1,0)</f>
        <v>0</v>
      </c>
    </row>
    <row r="411" spans="1:29" ht="15" customHeight="1" x14ac:dyDescent="0.25">
      <c r="A411" s="25" t="str">
        <f t="shared" si="6"/>
        <v/>
      </c>
      <c r="B411" s="26"/>
      <c r="C411" s="27"/>
      <c r="D411" s="28" t="str">
        <f>IFERROR(IF(C411="","",INDEX(마스터!$F$4:$F$20,MATCH(C411,마스터!$M$4:$M$20,0))),"")</f>
        <v/>
      </c>
      <c r="E411" s="27"/>
      <c r="F411" s="29"/>
      <c r="G411" s="25" t="str">
        <f>IFERROR(IF(C411="","",INDEX(마스터!$J$4:$J$20,MATCH(C411,마스터!$M$4:$M$20,0))),"")</f>
        <v/>
      </c>
      <c r="H411" s="30"/>
      <c r="I411" s="30"/>
      <c r="AC411" s="32">
        <f>IF(AND(E411&lt;&gt;"",C411&lt;&gt;"",COUNTIFS($C$8:C411,C411,$E$8:E411,E411)=1),1,0)</f>
        <v>0</v>
      </c>
    </row>
    <row r="412" spans="1:29" ht="15" customHeight="1" x14ac:dyDescent="0.25">
      <c r="A412" s="25" t="str">
        <f t="shared" si="6"/>
        <v/>
      </c>
      <c r="B412" s="26"/>
      <c r="C412" s="27"/>
      <c r="D412" s="28" t="str">
        <f>IFERROR(IF(C412="","",INDEX(마스터!$F$4:$F$20,MATCH(C412,마스터!$M$4:$M$20,0))),"")</f>
        <v/>
      </c>
      <c r="E412" s="27"/>
      <c r="F412" s="29"/>
      <c r="G412" s="25" t="str">
        <f>IFERROR(IF(C412="","",INDEX(마스터!$J$4:$J$20,MATCH(C412,마스터!$M$4:$M$20,0))),"")</f>
        <v/>
      </c>
      <c r="H412" s="30"/>
      <c r="I412" s="30"/>
      <c r="AC412" s="32">
        <f>IF(AND(E412&lt;&gt;"",C412&lt;&gt;"",COUNTIFS($C$8:C412,C412,$E$8:E412,E412)=1),1,0)</f>
        <v>0</v>
      </c>
    </row>
    <row r="413" spans="1:29" ht="15" customHeight="1" x14ac:dyDescent="0.25">
      <c r="A413" s="25" t="str">
        <f t="shared" si="6"/>
        <v/>
      </c>
      <c r="B413" s="26"/>
      <c r="C413" s="27"/>
      <c r="D413" s="28" t="str">
        <f>IFERROR(IF(C413="","",INDEX(마스터!$F$4:$F$20,MATCH(C413,마스터!$M$4:$M$20,0))),"")</f>
        <v/>
      </c>
      <c r="E413" s="27"/>
      <c r="F413" s="29"/>
      <c r="G413" s="25" t="str">
        <f>IFERROR(IF(C413="","",INDEX(마스터!$J$4:$J$20,MATCH(C413,마스터!$M$4:$M$20,0))),"")</f>
        <v/>
      </c>
      <c r="H413" s="30"/>
      <c r="I413" s="30"/>
      <c r="AC413" s="32">
        <f>IF(AND(E413&lt;&gt;"",C413&lt;&gt;"",COUNTIFS($C$8:C413,C413,$E$8:E413,E413)=1),1,0)</f>
        <v>0</v>
      </c>
    </row>
    <row r="414" spans="1:29" ht="15" customHeight="1" x14ac:dyDescent="0.25">
      <c r="A414" s="25" t="str">
        <f t="shared" si="6"/>
        <v/>
      </c>
      <c r="B414" s="26"/>
      <c r="C414" s="27"/>
      <c r="D414" s="28" t="str">
        <f>IFERROR(IF(C414="","",INDEX(마스터!$F$4:$F$20,MATCH(C414,마스터!$M$4:$M$20,0))),"")</f>
        <v/>
      </c>
      <c r="E414" s="27"/>
      <c r="F414" s="29"/>
      <c r="G414" s="25" t="str">
        <f>IFERROR(IF(C414="","",INDEX(마스터!$J$4:$J$20,MATCH(C414,마스터!$M$4:$M$20,0))),"")</f>
        <v/>
      </c>
      <c r="H414" s="30"/>
      <c r="I414" s="30"/>
      <c r="AC414" s="32">
        <f>IF(AND(E414&lt;&gt;"",C414&lt;&gt;"",COUNTIFS($C$8:C414,C414,$E$8:E414,E414)=1),1,0)</f>
        <v>0</v>
      </c>
    </row>
    <row r="415" spans="1:29" ht="15" customHeight="1" x14ac:dyDescent="0.25">
      <c r="A415" s="25" t="str">
        <f t="shared" si="6"/>
        <v/>
      </c>
      <c r="B415" s="26"/>
      <c r="C415" s="27"/>
      <c r="D415" s="28" t="str">
        <f>IFERROR(IF(C415="","",INDEX(마스터!$F$4:$F$20,MATCH(C415,마스터!$M$4:$M$20,0))),"")</f>
        <v/>
      </c>
      <c r="E415" s="27"/>
      <c r="F415" s="29"/>
      <c r="G415" s="25" t="str">
        <f>IFERROR(IF(C415="","",INDEX(마스터!$J$4:$J$20,MATCH(C415,마스터!$M$4:$M$20,0))),"")</f>
        <v/>
      </c>
      <c r="H415" s="30"/>
      <c r="I415" s="30"/>
      <c r="AC415" s="32">
        <f>IF(AND(E415&lt;&gt;"",C415&lt;&gt;"",COUNTIFS($C$8:C415,C415,$E$8:E415,E415)=1),1,0)</f>
        <v>0</v>
      </c>
    </row>
    <row r="416" spans="1:29" ht="15" customHeight="1" x14ac:dyDescent="0.25">
      <c r="A416" s="25" t="str">
        <f t="shared" si="6"/>
        <v/>
      </c>
      <c r="B416" s="26"/>
      <c r="C416" s="27"/>
      <c r="D416" s="28" t="str">
        <f>IFERROR(IF(C416="","",INDEX(마스터!$F$4:$F$20,MATCH(C416,마스터!$M$4:$M$20,0))),"")</f>
        <v/>
      </c>
      <c r="E416" s="27"/>
      <c r="F416" s="29"/>
      <c r="G416" s="25" t="str">
        <f>IFERROR(IF(C416="","",INDEX(마스터!$J$4:$J$20,MATCH(C416,마스터!$M$4:$M$20,0))),"")</f>
        <v/>
      </c>
      <c r="H416" s="30"/>
      <c r="I416" s="30"/>
      <c r="AC416" s="32">
        <f>IF(AND(E416&lt;&gt;"",C416&lt;&gt;"",COUNTIFS($C$8:C416,C416,$E$8:E416,E416)=1),1,0)</f>
        <v>0</v>
      </c>
    </row>
    <row r="417" spans="1:29" ht="15" customHeight="1" x14ac:dyDescent="0.25">
      <c r="A417" s="25" t="str">
        <f t="shared" si="6"/>
        <v/>
      </c>
      <c r="B417" s="26"/>
      <c r="C417" s="27"/>
      <c r="D417" s="28" t="str">
        <f>IFERROR(IF(C417="","",INDEX(마스터!$F$4:$F$20,MATCH(C417,마스터!$M$4:$M$20,0))),"")</f>
        <v/>
      </c>
      <c r="E417" s="27"/>
      <c r="F417" s="29"/>
      <c r="G417" s="25" t="str">
        <f>IFERROR(IF(C417="","",INDEX(마스터!$J$4:$J$20,MATCH(C417,마스터!$M$4:$M$20,0))),"")</f>
        <v/>
      </c>
      <c r="H417" s="30"/>
      <c r="I417" s="30"/>
      <c r="AC417" s="32">
        <f>IF(AND(E417&lt;&gt;"",C417&lt;&gt;"",COUNTIFS($C$8:C417,C417,$E$8:E417,E417)=1),1,0)</f>
        <v>0</v>
      </c>
    </row>
    <row r="418" spans="1:29" ht="15" customHeight="1" x14ac:dyDescent="0.25">
      <c r="A418" s="25" t="str">
        <f t="shared" si="6"/>
        <v/>
      </c>
      <c r="B418" s="26"/>
      <c r="C418" s="27"/>
      <c r="D418" s="28" t="str">
        <f>IFERROR(IF(C418="","",INDEX(마스터!$F$4:$F$20,MATCH(C418,마스터!$M$4:$M$20,0))),"")</f>
        <v/>
      </c>
      <c r="E418" s="27"/>
      <c r="F418" s="29"/>
      <c r="G418" s="25" t="str">
        <f>IFERROR(IF(C418="","",INDEX(마스터!$J$4:$J$20,MATCH(C418,마스터!$M$4:$M$20,0))),"")</f>
        <v/>
      </c>
      <c r="H418" s="30"/>
      <c r="I418" s="30"/>
      <c r="AC418" s="32">
        <f>IF(AND(E418&lt;&gt;"",C418&lt;&gt;"",COUNTIFS($C$8:C418,C418,$E$8:E418,E418)=1),1,0)</f>
        <v>0</v>
      </c>
    </row>
    <row r="419" spans="1:29" ht="15" customHeight="1" x14ac:dyDescent="0.25">
      <c r="A419" s="25" t="str">
        <f t="shared" si="6"/>
        <v/>
      </c>
      <c r="B419" s="26"/>
      <c r="C419" s="27"/>
      <c r="D419" s="28" t="str">
        <f>IFERROR(IF(C419="","",INDEX(마스터!$F$4:$F$20,MATCH(C419,마스터!$M$4:$M$20,0))),"")</f>
        <v/>
      </c>
      <c r="E419" s="27"/>
      <c r="F419" s="29"/>
      <c r="G419" s="25" t="str">
        <f>IFERROR(IF(C419="","",INDEX(마스터!$J$4:$J$20,MATCH(C419,마스터!$M$4:$M$20,0))),"")</f>
        <v/>
      </c>
      <c r="H419" s="30"/>
      <c r="I419" s="30"/>
      <c r="AC419" s="32">
        <f>IF(AND(E419&lt;&gt;"",C419&lt;&gt;"",COUNTIFS($C$8:C419,C419,$E$8:E419,E419)=1),1,0)</f>
        <v>0</v>
      </c>
    </row>
    <row r="420" spans="1:29" ht="15" customHeight="1" x14ac:dyDescent="0.25">
      <c r="A420" s="25" t="str">
        <f t="shared" si="6"/>
        <v/>
      </c>
      <c r="B420" s="26"/>
      <c r="C420" s="27"/>
      <c r="D420" s="28" t="str">
        <f>IFERROR(IF(C420="","",INDEX(마스터!$F$4:$F$20,MATCH(C420,마스터!$M$4:$M$20,0))),"")</f>
        <v/>
      </c>
      <c r="E420" s="27"/>
      <c r="F420" s="29"/>
      <c r="G420" s="25" t="str">
        <f>IFERROR(IF(C420="","",INDEX(마스터!$J$4:$J$20,MATCH(C420,마스터!$M$4:$M$20,0))),"")</f>
        <v/>
      </c>
      <c r="H420" s="30"/>
      <c r="I420" s="30"/>
      <c r="AC420" s="32">
        <f>IF(AND(E420&lt;&gt;"",C420&lt;&gt;"",COUNTIFS($C$8:C420,C420,$E$8:E420,E420)=1),1,0)</f>
        <v>0</v>
      </c>
    </row>
    <row r="421" spans="1:29" ht="15" customHeight="1" x14ac:dyDescent="0.25">
      <c r="A421" s="25" t="str">
        <f t="shared" si="6"/>
        <v/>
      </c>
      <c r="B421" s="26"/>
      <c r="C421" s="27"/>
      <c r="D421" s="28" t="str">
        <f>IFERROR(IF(C421="","",INDEX(마스터!$F$4:$F$20,MATCH(C421,마스터!$M$4:$M$20,0))),"")</f>
        <v/>
      </c>
      <c r="E421" s="27"/>
      <c r="F421" s="29"/>
      <c r="G421" s="25" t="str">
        <f>IFERROR(IF(C421="","",INDEX(마스터!$J$4:$J$20,MATCH(C421,마스터!$M$4:$M$20,0))),"")</f>
        <v/>
      </c>
      <c r="H421" s="30"/>
      <c r="I421" s="30"/>
      <c r="AC421" s="32">
        <f>IF(AND(E421&lt;&gt;"",C421&lt;&gt;"",COUNTIFS($C$8:C421,C421,$E$8:E421,E421)=1),1,0)</f>
        <v>0</v>
      </c>
    </row>
    <row r="422" spans="1:29" ht="15" customHeight="1" x14ac:dyDescent="0.25">
      <c r="A422" s="25" t="str">
        <f t="shared" si="6"/>
        <v/>
      </c>
      <c r="B422" s="26"/>
      <c r="C422" s="27"/>
      <c r="D422" s="28" t="str">
        <f>IFERROR(IF(C422="","",INDEX(마스터!$F$4:$F$20,MATCH(C422,마스터!$M$4:$M$20,0))),"")</f>
        <v/>
      </c>
      <c r="E422" s="27"/>
      <c r="F422" s="29"/>
      <c r="G422" s="25" t="str">
        <f>IFERROR(IF(C422="","",INDEX(마스터!$J$4:$J$20,MATCH(C422,마스터!$M$4:$M$20,0))),"")</f>
        <v/>
      </c>
      <c r="H422" s="30"/>
      <c r="I422" s="30"/>
      <c r="AC422" s="32">
        <f>IF(AND(E422&lt;&gt;"",C422&lt;&gt;"",COUNTIFS($C$8:C422,C422,$E$8:E422,E422)=1),1,0)</f>
        <v>0</v>
      </c>
    </row>
    <row r="423" spans="1:29" ht="15" customHeight="1" x14ac:dyDescent="0.25">
      <c r="A423" s="25" t="str">
        <f t="shared" si="6"/>
        <v/>
      </c>
      <c r="B423" s="26"/>
      <c r="C423" s="27"/>
      <c r="D423" s="28" t="str">
        <f>IFERROR(IF(C423="","",INDEX(마스터!$F$4:$F$20,MATCH(C423,마스터!$M$4:$M$20,0))),"")</f>
        <v/>
      </c>
      <c r="E423" s="27"/>
      <c r="F423" s="29"/>
      <c r="G423" s="25" t="str">
        <f>IFERROR(IF(C423="","",INDEX(마스터!$J$4:$J$20,MATCH(C423,마스터!$M$4:$M$20,0))),"")</f>
        <v/>
      </c>
      <c r="H423" s="30"/>
      <c r="I423" s="30"/>
      <c r="AC423" s="32">
        <f>IF(AND(E423&lt;&gt;"",C423&lt;&gt;"",COUNTIFS($C$8:C423,C423,$E$8:E423,E423)=1),1,0)</f>
        <v>0</v>
      </c>
    </row>
    <row r="424" spans="1:29" ht="15" customHeight="1" x14ac:dyDescent="0.25">
      <c r="A424" s="25" t="str">
        <f t="shared" si="6"/>
        <v/>
      </c>
      <c r="B424" s="26"/>
      <c r="C424" s="27"/>
      <c r="D424" s="28" t="str">
        <f>IFERROR(IF(C424="","",INDEX(마스터!$F$4:$F$20,MATCH(C424,마스터!$M$4:$M$20,0))),"")</f>
        <v/>
      </c>
      <c r="E424" s="27"/>
      <c r="F424" s="29"/>
      <c r="G424" s="25" t="str">
        <f>IFERROR(IF(C424="","",INDEX(마스터!$J$4:$J$20,MATCH(C424,마스터!$M$4:$M$20,0))),"")</f>
        <v/>
      </c>
      <c r="H424" s="30"/>
      <c r="I424" s="30"/>
      <c r="AC424" s="32">
        <f>IF(AND(E424&lt;&gt;"",C424&lt;&gt;"",COUNTIFS($C$8:C424,C424,$E$8:E424,E424)=1),1,0)</f>
        <v>0</v>
      </c>
    </row>
    <row r="425" spans="1:29" ht="15" customHeight="1" x14ac:dyDescent="0.25">
      <c r="A425" s="25" t="str">
        <f t="shared" si="6"/>
        <v/>
      </c>
      <c r="B425" s="26"/>
      <c r="C425" s="27"/>
      <c r="D425" s="28" t="str">
        <f>IFERROR(IF(C425="","",INDEX(마스터!$F$4:$F$20,MATCH(C425,마스터!$M$4:$M$20,0))),"")</f>
        <v/>
      </c>
      <c r="E425" s="27"/>
      <c r="F425" s="29"/>
      <c r="G425" s="25" t="str">
        <f>IFERROR(IF(C425="","",INDEX(마스터!$J$4:$J$20,MATCH(C425,마스터!$M$4:$M$20,0))),"")</f>
        <v/>
      </c>
      <c r="H425" s="30"/>
      <c r="I425" s="30"/>
      <c r="AC425" s="32">
        <f>IF(AND(E425&lt;&gt;"",C425&lt;&gt;"",COUNTIFS($C$8:C425,C425,$E$8:E425,E425)=1),1,0)</f>
        <v>0</v>
      </c>
    </row>
    <row r="426" spans="1:29" ht="15" customHeight="1" x14ac:dyDescent="0.25">
      <c r="A426" s="25" t="str">
        <f t="shared" si="6"/>
        <v/>
      </c>
      <c r="B426" s="26"/>
      <c r="C426" s="27"/>
      <c r="D426" s="28" t="str">
        <f>IFERROR(IF(C426="","",INDEX(마스터!$F$4:$F$20,MATCH(C426,마스터!$M$4:$M$20,0))),"")</f>
        <v/>
      </c>
      <c r="E426" s="27"/>
      <c r="F426" s="29"/>
      <c r="G426" s="25" t="str">
        <f>IFERROR(IF(C426="","",INDEX(마스터!$J$4:$J$20,MATCH(C426,마스터!$M$4:$M$20,0))),"")</f>
        <v/>
      </c>
      <c r="H426" s="30"/>
      <c r="I426" s="30"/>
      <c r="AC426" s="32">
        <f>IF(AND(E426&lt;&gt;"",C426&lt;&gt;"",COUNTIFS($C$8:C426,C426,$E$8:E426,E426)=1),1,0)</f>
        <v>0</v>
      </c>
    </row>
    <row r="427" spans="1:29" ht="15" customHeight="1" x14ac:dyDescent="0.25">
      <c r="A427" s="25" t="str">
        <f t="shared" si="6"/>
        <v/>
      </c>
      <c r="B427" s="26"/>
      <c r="C427" s="27"/>
      <c r="D427" s="28" t="str">
        <f>IFERROR(IF(C427="","",INDEX(마스터!$F$4:$F$20,MATCH(C427,마스터!$M$4:$M$20,0))),"")</f>
        <v/>
      </c>
      <c r="E427" s="27"/>
      <c r="F427" s="29"/>
      <c r="G427" s="25" t="str">
        <f>IFERROR(IF(C427="","",INDEX(마스터!$J$4:$J$20,MATCH(C427,마스터!$M$4:$M$20,0))),"")</f>
        <v/>
      </c>
      <c r="H427" s="30"/>
      <c r="I427" s="30"/>
      <c r="AC427" s="32">
        <f>IF(AND(E427&lt;&gt;"",C427&lt;&gt;"",COUNTIFS($C$8:C427,C427,$E$8:E427,E427)=1),1,0)</f>
        <v>0</v>
      </c>
    </row>
    <row r="428" spans="1:29" ht="15" customHeight="1" x14ac:dyDescent="0.25">
      <c r="A428" s="25" t="str">
        <f t="shared" si="6"/>
        <v/>
      </c>
      <c r="B428" s="26"/>
      <c r="C428" s="27"/>
      <c r="D428" s="28" t="str">
        <f>IFERROR(IF(C428="","",INDEX(마스터!$F$4:$F$20,MATCH(C428,마스터!$M$4:$M$20,0))),"")</f>
        <v/>
      </c>
      <c r="E428" s="27"/>
      <c r="F428" s="29"/>
      <c r="G428" s="25" t="str">
        <f>IFERROR(IF(C428="","",INDEX(마스터!$J$4:$J$20,MATCH(C428,마스터!$M$4:$M$20,0))),"")</f>
        <v/>
      </c>
      <c r="H428" s="30"/>
      <c r="I428" s="30"/>
      <c r="AC428" s="32">
        <f>IF(AND(E428&lt;&gt;"",C428&lt;&gt;"",COUNTIFS($C$8:C428,C428,$E$8:E428,E428)=1),1,0)</f>
        <v>0</v>
      </c>
    </row>
    <row r="429" spans="1:29" ht="15" customHeight="1" x14ac:dyDescent="0.25">
      <c r="A429" s="25" t="str">
        <f t="shared" si="6"/>
        <v/>
      </c>
      <c r="B429" s="26"/>
      <c r="C429" s="27"/>
      <c r="D429" s="28" t="str">
        <f>IFERROR(IF(C429="","",INDEX(마스터!$F$4:$F$20,MATCH(C429,마스터!$M$4:$M$20,0))),"")</f>
        <v/>
      </c>
      <c r="E429" s="27"/>
      <c r="F429" s="29"/>
      <c r="G429" s="25" t="str">
        <f>IFERROR(IF(C429="","",INDEX(마스터!$J$4:$J$20,MATCH(C429,마스터!$M$4:$M$20,0))),"")</f>
        <v/>
      </c>
      <c r="H429" s="30"/>
      <c r="I429" s="30"/>
      <c r="AC429" s="32">
        <f>IF(AND(E429&lt;&gt;"",C429&lt;&gt;"",COUNTIFS($C$8:C429,C429,$E$8:E429,E429)=1),1,0)</f>
        <v>0</v>
      </c>
    </row>
    <row r="430" spans="1:29" ht="15" customHeight="1" x14ac:dyDescent="0.25">
      <c r="A430" s="25" t="str">
        <f t="shared" si="6"/>
        <v/>
      </c>
      <c r="B430" s="26"/>
      <c r="C430" s="27"/>
      <c r="D430" s="28" t="str">
        <f>IFERROR(IF(C430="","",INDEX(마스터!$F$4:$F$20,MATCH(C430,마스터!$M$4:$M$20,0))),"")</f>
        <v/>
      </c>
      <c r="E430" s="27"/>
      <c r="F430" s="29"/>
      <c r="G430" s="25" t="str">
        <f>IFERROR(IF(C430="","",INDEX(마스터!$J$4:$J$20,MATCH(C430,마스터!$M$4:$M$20,0))),"")</f>
        <v/>
      </c>
      <c r="H430" s="30"/>
      <c r="I430" s="30"/>
      <c r="AC430" s="32">
        <f>IF(AND(E430&lt;&gt;"",C430&lt;&gt;"",COUNTIFS($C$8:C430,C430,$E$8:E430,E430)=1),1,0)</f>
        <v>0</v>
      </c>
    </row>
    <row r="431" spans="1:29" ht="15" customHeight="1" x14ac:dyDescent="0.25">
      <c r="A431" s="25" t="str">
        <f t="shared" si="6"/>
        <v/>
      </c>
      <c r="B431" s="26"/>
      <c r="C431" s="27"/>
      <c r="D431" s="28" t="str">
        <f>IFERROR(IF(C431="","",INDEX(마스터!$F$4:$F$20,MATCH(C431,마스터!$M$4:$M$20,0))),"")</f>
        <v/>
      </c>
      <c r="E431" s="27"/>
      <c r="F431" s="29"/>
      <c r="G431" s="25" t="str">
        <f>IFERROR(IF(C431="","",INDEX(마스터!$J$4:$J$20,MATCH(C431,마스터!$M$4:$M$20,0))),"")</f>
        <v/>
      </c>
      <c r="H431" s="30"/>
      <c r="I431" s="30"/>
      <c r="AC431" s="32">
        <f>IF(AND(E431&lt;&gt;"",C431&lt;&gt;"",COUNTIFS($C$8:C431,C431,$E$8:E431,E431)=1),1,0)</f>
        <v>0</v>
      </c>
    </row>
    <row r="432" spans="1:29" ht="15" customHeight="1" x14ac:dyDescent="0.25">
      <c r="A432" s="25" t="str">
        <f t="shared" si="6"/>
        <v/>
      </c>
      <c r="B432" s="26"/>
      <c r="C432" s="27"/>
      <c r="D432" s="28" t="str">
        <f>IFERROR(IF(C432="","",INDEX(마스터!$F$4:$F$20,MATCH(C432,마스터!$M$4:$M$20,0))),"")</f>
        <v/>
      </c>
      <c r="E432" s="27"/>
      <c r="F432" s="29"/>
      <c r="G432" s="25" t="str">
        <f>IFERROR(IF(C432="","",INDEX(마스터!$J$4:$J$20,MATCH(C432,마스터!$M$4:$M$20,0))),"")</f>
        <v/>
      </c>
      <c r="H432" s="30"/>
      <c r="I432" s="30"/>
      <c r="AC432" s="32">
        <f>IF(AND(E432&lt;&gt;"",C432&lt;&gt;"",COUNTIFS($C$8:C432,C432,$E$8:E432,E432)=1),1,0)</f>
        <v>0</v>
      </c>
    </row>
    <row r="433" spans="1:29" ht="15" customHeight="1" x14ac:dyDescent="0.25">
      <c r="A433" s="25" t="str">
        <f t="shared" si="6"/>
        <v/>
      </c>
      <c r="B433" s="26"/>
      <c r="C433" s="27"/>
      <c r="D433" s="28" t="str">
        <f>IFERROR(IF(C433="","",INDEX(마스터!$F$4:$F$20,MATCH(C433,마스터!$M$4:$M$20,0))),"")</f>
        <v/>
      </c>
      <c r="E433" s="27"/>
      <c r="F433" s="29"/>
      <c r="G433" s="25" t="str">
        <f>IFERROR(IF(C433="","",INDEX(마스터!$J$4:$J$20,MATCH(C433,마스터!$M$4:$M$20,0))),"")</f>
        <v/>
      </c>
      <c r="H433" s="30"/>
      <c r="I433" s="30"/>
      <c r="AC433" s="32">
        <f>IF(AND(E433&lt;&gt;"",C433&lt;&gt;"",COUNTIFS($C$8:C433,C433,$E$8:E433,E433)=1),1,0)</f>
        <v>0</v>
      </c>
    </row>
    <row r="434" spans="1:29" ht="15" customHeight="1" x14ac:dyDescent="0.25">
      <c r="A434" s="25" t="str">
        <f t="shared" si="6"/>
        <v/>
      </c>
      <c r="B434" s="26"/>
      <c r="C434" s="27"/>
      <c r="D434" s="28" t="str">
        <f>IFERROR(IF(C434="","",INDEX(마스터!$F$4:$F$20,MATCH(C434,마스터!$M$4:$M$20,0))),"")</f>
        <v/>
      </c>
      <c r="E434" s="27"/>
      <c r="F434" s="29"/>
      <c r="G434" s="25" t="str">
        <f>IFERROR(IF(C434="","",INDEX(마스터!$J$4:$J$20,MATCH(C434,마스터!$M$4:$M$20,0))),"")</f>
        <v/>
      </c>
      <c r="H434" s="30"/>
      <c r="I434" s="30"/>
      <c r="AC434" s="32">
        <f>IF(AND(E434&lt;&gt;"",C434&lt;&gt;"",COUNTIFS($C$8:C434,C434,$E$8:E434,E434)=1),1,0)</f>
        <v>0</v>
      </c>
    </row>
    <row r="435" spans="1:29" ht="15" customHeight="1" x14ac:dyDescent="0.25">
      <c r="A435" s="25" t="str">
        <f t="shared" si="6"/>
        <v/>
      </c>
      <c r="B435" s="26"/>
      <c r="C435" s="27"/>
      <c r="D435" s="28" t="str">
        <f>IFERROR(IF(C435="","",INDEX(마스터!$F$4:$F$20,MATCH(C435,마스터!$M$4:$M$20,0))),"")</f>
        <v/>
      </c>
      <c r="E435" s="27"/>
      <c r="F435" s="29"/>
      <c r="G435" s="25" t="str">
        <f>IFERROR(IF(C435="","",INDEX(마스터!$J$4:$J$20,MATCH(C435,마스터!$M$4:$M$20,0))),"")</f>
        <v/>
      </c>
      <c r="H435" s="30"/>
      <c r="I435" s="30"/>
      <c r="AC435" s="32">
        <f>IF(AND(E435&lt;&gt;"",C435&lt;&gt;"",COUNTIFS($C$8:C435,C435,$E$8:E435,E435)=1),1,0)</f>
        <v>0</v>
      </c>
    </row>
    <row r="436" spans="1:29" ht="15" customHeight="1" x14ac:dyDescent="0.25">
      <c r="A436" s="25" t="str">
        <f t="shared" si="6"/>
        <v/>
      </c>
      <c r="B436" s="26"/>
      <c r="C436" s="27"/>
      <c r="D436" s="28" t="str">
        <f>IFERROR(IF(C436="","",INDEX(마스터!$F$4:$F$20,MATCH(C436,마스터!$M$4:$M$20,0))),"")</f>
        <v/>
      </c>
      <c r="E436" s="27"/>
      <c r="F436" s="29"/>
      <c r="G436" s="25" t="str">
        <f>IFERROR(IF(C436="","",INDEX(마스터!$J$4:$J$20,MATCH(C436,마스터!$M$4:$M$20,0))),"")</f>
        <v/>
      </c>
      <c r="H436" s="30"/>
      <c r="I436" s="30"/>
      <c r="AC436" s="32">
        <f>IF(AND(E436&lt;&gt;"",C436&lt;&gt;"",COUNTIFS($C$8:C436,C436,$E$8:E436,E436)=1),1,0)</f>
        <v>0</v>
      </c>
    </row>
    <row r="437" spans="1:29" ht="15" customHeight="1" x14ac:dyDescent="0.25">
      <c r="A437" s="25" t="str">
        <f t="shared" si="6"/>
        <v/>
      </c>
      <c r="B437" s="26"/>
      <c r="C437" s="27"/>
      <c r="D437" s="28" t="str">
        <f>IFERROR(IF(C437="","",INDEX(마스터!$F$4:$F$20,MATCH(C437,마스터!$M$4:$M$20,0))),"")</f>
        <v/>
      </c>
      <c r="E437" s="27"/>
      <c r="F437" s="29"/>
      <c r="G437" s="25" t="str">
        <f>IFERROR(IF(C437="","",INDEX(마스터!$J$4:$J$20,MATCH(C437,마스터!$M$4:$M$20,0))),"")</f>
        <v/>
      </c>
      <c r="H437" s="30"/>
      <c r="I437" s="30"/>
      <c r="AC437" s="32">
        <f>IF(AND(E437&lt;&gt;"",C437&lt;&gt;"",COUNTIFS($C$8:C437,C437,$E$8:E437,E437)=1),1,0)</f>
        <v>0</v>
      </c>
    </row>
    <row r="438" spans="1:29" ht="15" customHeight="1" x14ac:dyDescent="0.25">
      <c r="A438" s="25" t="str">
        <f t="shared" si="6"/>
        <v/>
      </c>
      <c r="B438" s="26"/>
      <c r="C438" s="27"/>
      <c r="D438" s="28" t="str">
        <f>IFERROR(IF(C438="","",INDEX(마스터!$F$4:$F$20,MATCH(C438,마스터!$M$4:$M$20,0))),"")</f>
        <v/>
      </c>
      <c r="E438" s="27"/>
      <c r="F438" s="29"/>
      <c r="G438" s="25" t="str">
        <f>IFERROR(IF(C438="","",INDEX(마스터!$J$4:$J$20,MATCH(C438,마스터!$M$4:$M$20,0))),"")</f>
        <v/>
      </c>
      <c r="H438" s="30"/>
      <c r="I438" s="30"/>
      <c r="AC438" s="32">
        <f>IF(AND(E438&lt;&gt;"",C438&lt;&gt;"",COUNTIFS($C$8:C438,C438,$E$8:E438,E438)=1),1,0)</f>
        <v>0</v>
      </c>
    </row>
    <row r="439" spans="1:29" ht="15" customHeight="1" x14ac:dyDescent="0.25">
      <c r="A439" s="25" t="str">
        <f t="shared" si="6"/>
        <v/>
      </c>
      <c r="B439" s="26"/>
      <c r="C439" s="27"/>
      <c r="D439" s="28" t="str">
        <f>IFERROR(IF(C439="","",INDEX(마스터!$F$4:$F$20,MATCH(C439,마스터!$M$4:$M$20,0))),"")</f>
        <v/>
      </c>
      <c r="E439" s="27"/>
      <c r="F439" s="29"/>
      <c r="G439" s="25" t="str">
        <f>IFERROR(IF(C439="","",INDEX(마스터!$J$4:$J$20,MATCH(C439,마스터!$M$4:$M$20,0))),"")</f>
        <v/>
      </c>
      <c r="H439" s="30"/>
      <c r="I439" s="30"/>
      <c r="AC439" s="32">
        <f>IF(AND(E439&lt;&gt;"",C439&lt;&gt;"",COUNTIFS($C$8:C439,C439,$E$8:E439,E439)=1),1,0)</f>
        <v>0</v>
      </c>
    </row>
    <row r="440" spans="1:29" ht="15" customHeight="1" x14ac:dyDescent="0.25">
      <c r="A440" s="25" t="str">
        <f t="shared" si="6"/>
        <v/>
      </c>
      <c r="B440" s="26"/>
      <c r="C440" s="27"/>
      <c r="D440" s="28" t="str">
        <f>IFERROR(IF(C440="","",INDEX(마스터!$F$4:$F$20,MATCH(C440,마스터!$M$4:$M$20,0))),"")</f>
        <v/>
      </c>
      <c r="E440" s="27"/>
      <c r="F440" s="29"/>
      <c r="G440" s="25" t="str">
        <f>IFERROR(IF(C440="","",INDEX(마스터!$J$4:$J$20,MATCH(C440,마스터!$M$4:$M$20,0))),"")</f>
        <v/>
      </c>
      <c r="H440" s="30"/>
      <c r="I440" s="30"/>
      <c r="AC440" s="32">
        <f>IF(AND(E440&lt;&gt;"",C440&lt;&gt;"",COUNTIFS($C$8:C440,C440,$E$8:E440,E440)=1),1,0)</f>
        <v>0</v>
      </c>
    </row>
    <row r="441" spans="1:29" ht="15" customHeight="1" x14ac:dyDescent="0.25">
      <c r="A441" s="25" t="str">
        <f t="shared" si="6"/>
        <v/>
      </c>
      <c r="B441" s="26"/>
      <c r="C441" s="27"/>
      <c r="D441" s="28" t="str">
        <f>IFERROR(IF(C441="","",INDEX(마스터!$F$4:$F$20,MATCH(C441,마스터!$M$4:$M$20,0))),"")</f>
        <v/>
      </c>
      <c r="E441" s="27"/>
      <c r="F441" s="29"/>
      <c r="G441" s="25" t="str">
        <f>IFERROR(IF(C441="","",INDEX(마스터!$J$4:$J$20,MATCH(C441,마스터!$M$4:$M$20,0))),"")</f>
        <v/>
      </c>
      <c r="H441" s="30"/>
      <c r="I441" s="30"/>
      <c r="AC441" s="32">
        <f>IF(AND(E441&lt;&gt;"",C441&lt;&gt;"",COUNTIFS($C$8:C441,C441,$E$8:E441,E441)=1),1,0)</f>
        <v>0</v>
      </c>
    </row>
    <row r="442" spans="1:29" ht="15" customHeight="1" x14ac:dyDescent="0.25">
      <c r="A442" s="25" t="str">
        <f t="shared" si="6"/>
        <v/>
      </c>
      <c r="B442" s="26"/>
      <c r="C442" s="27"/>
      <c r="D442" s="28" t="str">
        <f>IFERROR(IF(C442="","",INDEX(마스터!$F$4:$F$20,MATCH(C442,마스터!$M$4:$M$20,0))),"")</f>
        <v/>
      </c>
      <c r="E442" s="27"/>
      <c r="F442" s="29"/>
      <c r="G442" s="25" t="str">
        <f>IFERROR(IF(C442="","",INDEX(마스터!$J$4:$J$20,MATCH(C442,마스터!$M$4:$M$20,0))),"")</f>
        <v/>
      </c>
      <c r="H442" s="30"/>
      <c r="I442" s="30"/>
      <c r="AC442" s="32">
        <f>IF(AND(E442&lt;&gt;"",C442&lt;&gt;"",COUNTIFS($C$8:C442,C442,$E$8:E442,E442)=1),1,0)</f>
        <v>0</v>
      </c>
    </row>
    <row r="443" spans="1:29" ht="15" customHeight="1" x14ac:dyDescent="0.25">
      <c r="A443" s="25" t="str">
        <f t="shared" si="6"/>
        <v/>
      </c>
      <c r="B443" s="26"/>
      <c r="C443" s="27"/>
      <c r="D443" s="28" t="str">
        <f>IFERROR(IF(C443="","",INDEX(마스터!$F$4:$F$20,MATCH(C443,마스터!$M$4:$M$20,0))),"")</f>
        <v/>
      </c>
      <c r="E443" s="27"/>
      <c r="F443" s="29"/>
      <c r="G443" s="25" t="str">
        <f>IFERROR(IF(C443="","",INDEX(마스터!$J$4:$J$20,MATCH(C443,마스터!$M$4:$M$20,0))),"")</f>
        <v/>
      </c>
      <c r="H443" s="30"/>
      <c r="I443" s="30"/>
      <c r="AC443" s="32">
        <f>IF(AND(E443&lt;&gt;"",C443&lt;&gt;"",COUNTIFS($C$8:C443,C443,$E$8:E443,E443)=1),1,0)</f>
        <v>0</v>
      </c>
    </row>
    <row r="444" spans="1:29" ht="15" customHeight="1" x14ac:dyDescent="0.25">
      <c r="A444" s="25" t="str">
        <f t="shared" si="6"/>
        <v/>
      </c>
      <c r="B444" s="26"/>
      <c r="C444" s="27"/>
      <c r="D444" s="28" t="str">
        <f>IFERROR(IF(C444="","",INDEX(마스터!$F$4:$F$20,MATCH(C444,마스터!$M$4:$M$20,0))),"")</f>
        <v/>
      </c>
      <c r="E444" s="27"/>
      <c r="F444" s="29"/>
      <c r="G444" s="25" t="str">
        <f>IFERROR(IF(C444="","",INDEX(마스터!$J$4:$J$20,MATCH(C444,마스터!$M$4:$M$20,0))),"")</f>
        <v/>
      </c>
      <c r="H444" s="30"/>
      <c r="I444" s="30"/>
      <c r="AC444" s="32">
        <f>IF(AND(E444&lt;&gt;"",C444&lt;&gt;"",COUNTIFS($C$8:C444,C444,$E$8:E444,E444)=1),1,0)</f>
        <v>0</v>
      </c>
    </row>
    <row r="445" spans="1:29" ht="15" customHeight="1" x14ac:dyDescent="0.25">
      <c r="A445" s="25" t="str">
        <f t="shared" si="6"/>
        <v/>
      </c>
      <c r="B445" s="26"/>
      <c r="C445" s="27"/>
      <c r="D445" s="28" t="str">
        <f>IFERROR(IF(C445="","",INDEX(마스터!$F$4:$F$20,MATCH(C445,마스터!$M$4:$M$20,0))),"")</f>
        <v/>
      </c>
      <c r="E445" s="27"/>
      <c r="F445" s="29"/>
      <c r="G445" s="25" t="str">
        <f>IFERROR(IF(C445="","",INDEX(마스터!$J$4:$J$20,MATCH(C445,마스터!$M$4:$M$20,0))),"")</f>
        <v/>
      </c>
      <c r="H445" s="30"/>
      <c r="I445" s="30"/>
      <c r="AC445" s="32">
        <f>IF(AND(E445&lt;&gt;"",C445&lt;&gt;"",COUNTIFS($C$8:C445,C445,$E$8:E445,E445)=1),1,0)</f>
        <v>0</v>
      </c>
    </row>
    <row r="446" spans="1:29" ht="15" customHeight="1" x14ac:dyDescent="0.25">
      <c r="A446" s="25" t="str">
        <f t="shared" si="6"/>
        <v/>
      </c>
      <c r="B446" s="26"/>
      <c r="C446" s="27"/>
      <c r="D446" s="28" t="str">
        <f>IFERROR(IF(C446="","",INDEX(마스터!$F$4:$F$20,MATCH(C446,마스터!$M$4:$M$20,0))),"")</f>
        <v/>
      </c>
      <c r="E446" s="27"/>
      <c r="F446" s="29"/>
      <c r="G446" s="25" t="str">
        <f>IFERROR(IF(C446="","",INDEX(마스터!$J$4:$J$20,MATCH(C446,마스터!$M$4:$M$20,0))),"")</f>
        <v/>
      </c>
      <c r="H446" s="30"/>
      <c r="I446" s="30"/>
      <c r="AC446" s="32">
        <f>IF(AND(E446&lt;&gt;"",C446&lt;&gt;"",COUNTIFS($C$8:C446,C446,$E$8:E446,E446)=1),1,0)</f>
        <v>0</v>
      </c>
    </row>
    <row r="447" spans="1:29" ht="15" customHeight="1" x14ac:dyDescent="0.25">
      <c r="A447" s="25" t="str">
        <f t="shared" si="6"/>
        <v/>
      </c>
      <c r="B447" s="26"/>
      <c r="C447" s="27"/>
      <c r="D447" s="28" t="str">
        <f>IFERROR(IF(C447="","",INDEX(마스터!$F$4:$F$20,MATCH(C447,마스터!$M$4:$M$20,0))),"")</f>
        <v/>
      </c>
      <c r="E447" s="27"/>
      <c r="F447" s="29"/>
      <c r="G447" s="25" t="str">
        <f>IFERROR(IF(C447="","",INDEX(마스터!$J$4:$J$20,MATCH(C447,마스터!$M$4:$M$20,0))),"")</f>
        <v/>
      </c>
      <c r="H447" s="30"/>
      <c r="I447" s="30"/>
      <c r="AC447" s="32">
        <f>IF(AND(E447&lt;&gt;"",C447&lt;&gt;"",COUNTIFS($C$8:C447,C447,$E$8:E447,E447)=1),1,0)</f>
        <v>0</v>
      </c>
    </row>
    <row r="448" spans="1:29" ht="15" customHeight="1" x14ac:dyDescent="0.25">
      <c r="A448" s="25" t="str">
        <f t="shared" si="6"/>
        <v/>
      </c>
      <c r="B448" s="26"/>
      <c r="C448" s="27"/>
      <c r="D448" s="28" t="str">
        <f>IFERROR(IF(C448="","",INDEX(마스터!$F$4:$F$20,MATCH(C448,마스터!$M$4:$M$20,0))),"")</f>
        <v/>
      </c>
      <c r="E448" s="27"/>
      <c r="F448" s="29"/>
      <c r="G448" s="25" t="str">
        <f>IFERROR(IF(C448="","",INDEX(마스터!$J$4:$J$20,MATCH(C448,마스터!$M$4:$M$20,0))),"")</f>
        <v/>
      </c>
      <c r="H448" s="30"/>
      <c r="I448" s="30"/>
      <c r="AC448" s="32">
        <f>IF(AND(E448&lt;&gt;"",C448&lt;&gt;"",COUNTIFS($C$8:C448,C448,$E$8:E448,E448)=1),1,0)</f>
        <v>0</v>
      </c>
    </row>
    <row r="449" spans="1:29" ht="15" customHeight="1" x14ac:dyDescent="0.25">
      <c r="A449" s="25" t="str">
        <f t="shared" si="6"/>
        <v/>
      </c>
      <c r="B449" s="26"/>
      <c r="C449" s="27"/>
      <c r="D449" s="28" t="str">
        <f>IFERROR(IF(C449="","",INDEX(마스터!$F$4:$F$20,MATCH(C449,마스터!$M$4:$M$20,0))),"")</f>
        <v/>
      </c>
      <c r="E449" s="27"/>
      <c r="F449" s="29"/>
      <c r="G449" s="25" t="str">
        <f>IFERROR(IF(C449="","",INDEX(마스터!$J$4:$J$20,MATCH(C449,마스터!$M$4:$M$20,0))),"")</f>
        <v/>
      </c>
      <c r="H449" s="30"/>
      <c r="I449" s="30"/>
      <c r="AC449" s="32">
        <f>IF(AND(E449&lt;&gt;"",C449&lt;&gt;"",COUNTIFS($C$8:C449,C449,$E$8:E449,E449)=1),1,0)</f>
        <v>0</v>
      </c>
    </row>
    <row r="450" spans="1:29" ht="15" customHeight="1" x14ac:dyDescent="0.25">
      <c r="A450" s="25" t="str">
        <f t="shared" si="6"/>
        <v/>
      </c>
      <c r="B450" s="26"/>
      <c r="C450" s="27"/>
      <c r="D450" s="28" t="str">
        <f>IFERROR(IF(C450="","",INDEX(마스터!$F$4:$F$20,MATCH(C450,마스터!$M$4:$M$20,0))),"")</f>
        <v/>
      </c>
      <c r="E450" s="27"/>
      <c r="F450" s="29"/>
      <c r="G450" s="25" t="str">
        <f>IFERROR(IF(C450="","",INDEX(마스터!$J$4:$J$20,MATCH(C450,마스터!$M$4:$M$20,0))),"")</f>
        <v/>
      </c>
      <c r="H450" s="30"/>
      <c r="I450" s="30"/>
      <c r="AC450" s="32">
        <f>IF(AND(E450&lt;&gt;"",C450&lt;&gt;"",COUNTIFS($C$8:C450,C450,$E$8:E450,E450)=1),1,0)</f>
        <v>0</v>
      </c>
    </row>
    <row r="451" spans="1:29" ht="15" customHeight="1" x14ac:dyDescent="0.25">
      <c r="A451" s="25" t="str">
        <f t="shared" si="6"/>
        <v/>
      </c>
      <c r="B451" s="26"/>
      <c r="C451" s="27"/>
      <c r="D451" s="28" t="str">
        <f>IFERROR(IF(C451="","",INDEX(마스터!$F$4:$F$20,MATCH(C451,마스터!$M$4:$M$20,0))),"")</f>
        <v/>
      </c>
      <c r="E451" s="27"/>
      <c r="F451" s="29"/>
      <c r="G451" s="25" t="str">
        <f>IFERROR(IF(C451="","",INDEX(마스터!$J$4:$J$20,MATCH(C451,마스터!$M$4:$M$20,0))),"")</f>
        <v/>
      </c>
      <c r="H451" s="30"/>
      <c r="I451" s="30"/>
      <c r="AC451" s="32">
        <f>IF(AND(E451&lt;&gt;"",C451&lt;&gt;"",COUNTIFS($C$8:C451,C451,$E$8:E451,E451)=1),1,0)</f>
        <v>0</v>
      </c>
    </row>
    <row r="452" spans="1:29" ht="15" customHeight="1" x14ac:dyDescent="0.25">
      <c r="A452" s="25" t="str">
        <f t="shared" si="6"/>
        <v/>
      </c>
      <c r="B452" s="26"/>
      <c r="C452" s="27"/>
      <c r="D452" s="28" t="str">
        <f>IFERROR(IF(C452="","",INDEX(마스터!$F$4:$F$20,MATCH(C452,마스터!$M$4:$M$20,0))),"")</f>
        <v/>
      </c>
      <c r="E452" s="27"/>
      <c r="F452" s="29"/>
      <c r="G452" s="25" t="str">
        <f>IFERROR(IF(C452="","",INDEX(마스터!$J$4:$J$20,MATCH(C452,마스터!$M$4:$M$20,0))),"")</f>
        <v/>
      </c>
      <c r="H452" s="30"/>
      <c r="I452" s="30"/>
      <c r="AC452" s="32">
        <f>IF(AND(E452&lt;&gt;"",C452&lt;&gt;"",COUNTIFS($C$8:C452,C452,$E$8:E452,E452)=1),1,0)</f>
        <v>0</v>
      </c>
    </row>
    <row r="453" spans="1:29" ht="15" customHeight="1" x14ac:dyDescent="0.25">
      <c r="A453" s="25" t="str">
        <f t="shared" si="6"/>
        <v/>
      </c>
      <c r="B453" s="26"/>
      <c r="C453" s="27"/>
      <c r="D453" s="28" t="str">
        <f>IFERROR(IF(C453="","",INDEX(마스터!$F$4:$F$20,MATCH(C453,마스터!$M$4:$M$20,0))),"")</f>
        <v/>
      </c>
      <c r="E453" s="27"/>
      <c r="F453" s="29"/>
      <c r="G453" s="25" t="str">
        <f>IFERROR(IF(C453="","",INDEX(마스터!$J$4:$J$20,MATCH(C453,마스터!$M$4:$M$20,0))),"")</f>
        <v/>
      </c>
      <c r="H453" s="30"/>
      <c r="I453" s="30"/>
      <c r="AC453" s="32">
        <f>IF(AND(E453&lt;&gt;"",C453&lt;&gt;"",COUNTIFS($C$8:C453,C453,$E$8:E453,E453)=1),1,0)</f>
        <v>0</v>
      </c>
    </row>
    <row r="454" spans="1:29" ht="15" customHeight="1" x14ac:dyDescent="0.25">
      <c r="A454" s="25" t="str">
        <f t="shared" si="6"/>
        <v/>
      </c>
      <c r="B454" s="26"/>
      <c r="C454" s="27"/>
      <c r="D454" s="28" t="str">
        <f>IFERROR(IF(C454="","",INDEX(마스터!$F$4:$F$20,MATCH(C454,마스터!$M$4:$M$20,0))),"")</f>
        <v/>
      </c>
      <c r="E454" s="27"/>
      <c r="F454" s="29"/>
      <c r="G454" s="25" t="str">
        <f>IFERROR(IF(C454="","",INDEX(마스터!$J$4:$J$20,MATCH(C454,마스터!$M$4:$M$20,0))),"")</f>
        <v/>
      </c>
      <c r="H454" s="30"/>
      <c r="I454" s="30"/>
      <c r="AC454" s="32">
        <f>IF(AND(E454&lt;&gt;"",C454&lt;&gt;"",COUNTIFS($C$8:C454,C454,$E$8:E454,E454)=1),1,0)</f>
        <v>0</v>
      </c>
    </row>
    <row r="455" spans="1:29" ht="15" customHeight="1" x14ac:dyDescent="0.25">
      <c r="A455" s="25" t="str">
        <f t="shared" si="6"/>
        <v/>
      </c>
      <c r="B455" s="26"/>
      <c r="C455" s="27"/>
      <c r="D455" s="28" t="str">
        <f>IFERROR(IF(C455="","",INDEX(마스터!$F$4:$F$20,MATCH(C455,마스터!$M$4:$M$20,0))),"")</f>
        <v/>
      </c>
      <c r="E455" s="27"/>
      <c r="F455" s="29"/>
      <c r="G455" s="25" t="str">
        <f>IFERROR(IF(C455="","",INDEX(마스터!$J$4:$J$20,MATCH(C455,마스터!$M$4:$M$20,0))),"")</f>
        <v/>
      </c>
      <c r="H455" s="30"/>
      <c r="I455" s="30"/>
      <c r="AC455" s="32">
        <f>IF(AND(E455&lt;&gt;"",C455&lt;&gt;"",COUNTIFS($C$8:C455,C455,$E$8:E455,E455)=1),1,0)</f>
        <v>0</v>
      </c>
    </row>
    <row r="456" spans="1:29" ht="15" customHeight="1" x14ac:dyDescent="0.25">
      <c r="A456" s="25" t="str">
        <f t="shared" ref="A456:A519" si="7">IF(B456="","",ROW()-7)</f>
        <v/>
      </c>
      <c r="B456" s="26"/>
      <c r="C456" s="27"/>
      <c r="D456" s="28" t="str">
        <f>IFERROR(IF(C456="","",INDEX(마스터!$F$4:$F$20,MATCH(C456,마스터!$M$4:$M$20,0))),"")</f>
        <v/>
      </c>
      <c r="E456" s="27"/>
      <c r="F456" s="29"/>
      <c r="G456" s="25" t="str">
        <f>IFERROR(IF(C456="","",INDEX(마스터!$J$4:$J$20,MATCH(C456,마스터!$M$4:$M$20,0))),"")</f>
        <v/>
      </c>
      <c r="H456" s="30"/>
      <c r="I456" s="30"/>
      <c r="AC456" s="32">
        <f>IF(AND(E456&lt;&gt;"",C456&lt;&gt;"",COUNTIFS($C$8:C456,C456,$E$8:E456,E456)=1),1,0)</f>
        <v>0</v>
      </c>
    </row>
    <row r="457" spans="1:29" ht="15" customHeight="1" x14ac:dyDescent="0.25">
      <c r="A457" s="25" t="str">
        <f t="shared" si="7"/>
        <v/>
      </c>
      <c r="B457" s="26"/>
      <c r="C457" s="27"/>
      <c r="D457" s="28" t="str">
        <f>IFERROR(IF(C457="","",INDEX(마스터!$F$4:$F$20,MATCH(C457,마스터!$M$4:$M$20,0))),"")</f>
        <v/>
      </c>
      <c r="E457" s="27"/>
      <c r="F457" s="29"/>
      <c r="G457" s="25" t="str">
        <f>IFERROR(IF(C457="","",INDEX(마스터!$J$4:$J$20,MATCH(C457,마스터!$M$4:$M$20,0))),"")</f>
        <v/>
      </c>
      <c r="H457" s="30"/>
      <c r="I457" s="30"/>
      <c r="AC457" s="32">
        <f>IF(AND(E457&lt;&gt;"",C457&lt;&gt;"",COUNTIFS($C$8:C457,C457,$E$8:E457,E457)=1),1,0)</f>
        <v>0</v>
      </c>
    </row>
    <row r="458" spans="1:29" ht="15" customHeight="1" x14ac:dyDescent="0.25">
      <c r="A458" s="25" t="str">
        <f t="shared" si="7"/>
        <v/>
      </c>
      <c r="B458" s="26"/>
      <c r="C458" s="27"/>
      <c r="D458" s="28" t="str">
        <f>IFERROR(IF(C458="","",INDEX(마스터!$F$4:$F$20,MATCH(C458,마스터!$M$4:$M$20,0))),"")</f>
        <v/>
      </c>
      <c r="E458" s="27"/>
      <c r="F458" s="29"/>
      <c r="G458" s="25" t="str">
        <f>IFERROR(IF(C458="","",INDEX(마스터!$J$4:$J$20,MATCH(C458,마스터!$M$4:$M$20,0))),"")</f>
        <v/>
      </c>
      <c r="H458" s="30"/>
      <c r="I458" s="30"/>
      <c r="AC458" s="32">
        <f>IF(AND(E458&lt;&gt;"",C458&lt;&gt;"",COUNTIFS($C$8:C458,C458,$E$8:E458,E458)=1),1,0)</f>
        <v>0</v>
      </c>
    </row>
    <row r="459" spans="1:29" ht="15" customHeight="1" x14ac:dyDescent="0.25">
      <c r="A459" s="25" t="str">
        <f t="shared" si="7"/>
        <v/>
      </c>
      <c r="B459" s="26"/>
      <c r="C459" s="27"/>
      <c r="D459" s="28" t="str">
        <f>IFERROR(IF(C459="","",INDEX(마스터!$F$4:$F$20,MATCH(C459,마스터!$M$4:$M$20,0))),"")</f>
        <v/>
      </c>
      <c r="E459" s="27"/>
      <c r="F459" s="29"/>
      <c r="G459" s="25" t="str">
        <f>IFERROR(IF(C459="","",INDEX(마스터!$J$4:$J$20,MATCH(C459,마스터!$M$4:$M$20,0))),"")</f>
        <v/>
      </c>
      <c r="H459" s="30"/>
      <c r="I459" s="30"/>
      <c r="AC459" s="32">
        <f>IF(AND(E459&lt;&gt;"",C459&lt;&gt;"",COUNTIFS($C$8:C459,C459,$E$8:E459,E459)=1),1,0)</f>
        <v>0</v>
      </c>
    </row>
    <row r="460" spans="1:29" ht="15" customHeight="1" x14ac:dyDescent="0.25">
      <c r="A460" s="25" t="str">
        <f t="shared" si="7"/>
        <v/>
      </c>
      <c r="B460" s="26"/>
      <c r="C460" s="27"/>
      <c r="D460" s="28" t="str">
        <f>IFERROR(IF(C460="","",INDEX(마스터!$F$4:$F$20,MATCH(C460,마스터!$M$4:$M$20,0))),"")</f>
        <v/>
      </c>
      <c r="E460" s="27"/>
      <c r="F460" s="29"/>
      <c r="G460" s="25" t="str">
        <f>IFERROR(IF(C460="","",INDEX(마스터!$J$4:$J$20,MATCH(C460,마스터!$M$4:$M$20,0))),"")</f>
        <v/>
      </c>
      <c r="H460" s="30"/>
      <c r="I460" s="30"/>
      <c r="AC460" s="32">
        <f>IF(AND(E460&lt;&gt;"",C460&lt;&gt;"",COUNTIFS($C$8:C460,C460,$E$8:E460,E460)=1),1,0)</f>
        <v>0</v>
      </c>
    </row>
    <row r="461" spans="1:29" ht="15" customHeight="1" x14ac:dyDescent="0.25">
      <c r="A461" s="25" t="str">
        <f t="shared" si="7"/>
        <v/>
      </c>
      <c r="B461" s="26"/>
      <c r="C461" s="27"/>
      <c r="D461" s="28" t="str">
        <f>IFERROR(IF(C461="","",INDEX(마스터!$F$4:$F$20,MATCH(C461,마스터!$M$4:$M$20,0))),"")</f>
        <v/>
      </c>
      <c r="E461" s="27"/>
      <c r="F461" s="29"/>
      <c r="G461" s="25" t="str">
        <f>IFERROR(IF(C461="","",INDEX(마스터!$J$4:$J$20,MATCH(C461,마스터!$M$4:$M$20,0))),"")</f>
        <v/>
      </c>
      <c r="H461" s="30"/>
      <c r="I461" s="30"/>
      <c r="AC461" s="32">
        <f>IF(AND(E461&lt;&gt;"",C461&lt;&gt;"",COUNTIFS($C$8:C461,C461,$E$8:E461,E461)=1),1,0)</f>
        <v>0</v>
      </c>
    </row>
    <row r="462" spans="1:29" ht="15" customHeight="1" x14ac:dyDescent="0.25">
      <c r="A462" s="25" t="str">
        <f t="shared" si="7"/>
        <v/>
      </c>
      <c r="B462" s="26"/>
      <c r="C462" s="27"/>
      <c r="D462" s="28" t="str">
        <f>IFERROR(IF(C462="","",INDEX(마스터!$F$4:$F$20,MATCH(C462,마스터!$M$4:$M$20,0))),"")</f>
        <v/>
      </c>
      <c r="E462" s="27"/>
      <c r="F462" s="29"/>
      <c r="G462" s="25" t="str">
        <f>IFERROR(IF(C462="","",INDEX(마스터!$J$4:$J$20,MATCH(C462,마스터!$M$4:$M$20,0))),"")</f>
        <v/>
      </c>
      <c r="H462" s="30"/>
      <c r="I462" s="30"/>
      <c r="AC462" s="32">
        <f>IF(AND(E462&lt;&gt;"",C462&lt;&gt;"",COUNTIFS($C$8:C462,C462,$E$8:E462,E462)=1),1,0)</f>
        <v>0</v>
      </c>
    </row>
    <row r="463" spans="1:29" ht="15" customHeight="1" x14ac:dyDescent="0.25">
      <c r="A463" s="25" t="str">
        <f t="shared" si="7"/>
        <v/>
      </c>
      <c r="B463" s="26"/>
      <c r="C463" s="27"/>
      <c r="D463" s="28" t="str">
        <f>IFERROR(IF(C463="","",INDEX(마스터!$F$4:$F$20,MATCH(C463,마스터!$M$4:$M$20,0))),"")</f>
        <v/>
      </c>
      <c r="E463" s="27"/>
      <c r="F463" s="29"/>
      <c r="G463" s="25" t="str">
        <f>IFERROR(IF(C463="","",INDEX(마스터!$J$4:$J$20,MATCH(C463,마스터!$M$4:$M$20,0))),"")</f>
        <v/>
      </c>
      <c r="H463" s="30"/>
      <c r="I463" s="30"/>
      <c r="AC463" s="32">
        <f>IF(AND(E463&lt;&gt;"",C463&lt;&gt;"",COUNTIFS($C$8:C463,C463,$E$8:E463,E463)=1),1,0)</f>
        <v>0</v>
      </c>
    </row>
    <row r="464" spans="1:29" ht="15" customHeight="1" x14ac:dyDescent="0.25">
      <c r="A464" s="25" t="str">
        <f t="shared" si="7"/>
        <v/>
      </c>
      <c r="B464" s="26"/>
      <c r="C464" s="27"/>
      <c r="D464" s="28" t="str">
        <f>IFERROR(IF(C464="","",INDEX(마스터!$F$4:$F$20,MATCH(C464,마스터!$M$4:$M$20,0))),"")</f>
        <v/>
      </c>
      <c r="E464" s="27"/>
      <c r="F464" s="29"/>
      <c r="G464" s="25" t="str">
        <f>IFERROR(IF(C464="","",INDEX(마스터!$J$4:$J$20,MATCH(C464,마스터!$M$4:$M$20,0))),"")</f>
        <v/>
      </c>
      <c r="H464" s="30"/>
      <c r="I464" s="30"/>
      <c r="AC464" s="32">
        <f>IF(AND(E464&lt;&gt;"",C464&lt;&gt;"",COUNTIFS($C$8:C464,C464,$E$8:E464,E464)=1),1,0)</f>
        <v>0</v>
      </c>
    </row>
    <row r="465" spans="1:29" ht="15" customHeight="1" x14ac:dyDescent="0.25">
      <c r="A465" s="25" t="str">
        <f t="shared" si="7"/>
        <v/>
      </c>
      <c r="B465" s="26"/>
      <c r="C465" s="27"/>
      <c r="D465" s="28" t="str">
        <f>IFERROR(IF(C465="","",INDEX(마스터!$F$4:$F$20,MATCH(C465,마스터!$M$4:$M$20,0))),"")</f>
        <v/>
      </c>
      <c r="E465" s="27"/>
      <c r="F465" s="29"/>
      <c r="G465" s="25" t="str">
        <f>IFERROR(IF(C465="","",INDEX(마스터!$J$4:$J$20,MATCH(C465,마스터!$M$4:$M$20,0))),"")</f>
        <v/>
      </c>
      <c r="H465" s="30"/>
      <c r="I465" s="30"/>
      <c r="AC465" s="32">
        <f>IF(AND(E465&lt;&gt;"",C465&lt;&gt;"",COUNTIFS($C$8:C465,C465,$E$8:E465,E465)=1),1,0)</f>
        <v>0</v>
      </c>
    </row>
    <row r="466" spans="1:29" ht="15" customHeight="1" x14ac:dyDescent="0.25">
      <c r="A466" s="25" t="str">
        <f t="shared" si="7"/>
        <v/>
      </c>
      <c r="B466" s="26"/>
      <c r="C466" s="27"/>
      <c r="D466" s="28" t="str">
        <f>IFERROR(IF(C466="","",INDEX(마스터!$F$4:$F$20,MATCH(C466,마스터!$M$4:$M$20,0))),"")</f>
        <v/>
      </c>
      <c r="E466" s="27"/>
      <c r="F466" s="29"/>
      <c r="G466" s="25" t="str">
        <f>IFERROR(IF(C466="","",INDEX(마스터!$J$4:$J$20,MATCH(C466,마스터!$M$4:$M$20,0))),"")</f>
        <v/>
      </c>
      <c r="H466" s="30"/>
      <c r="I466" s="30"/>
      <c r="AC466" s="32">
        <f>IF(AND(E466&lt;&gt;"",C466&lt;&gt;"",COUNTIFS($C$8:C466,C466,$E$8:E466,E466)=1),1,0)</f>
        <v>0</v>
      </c>
    </row>
    <row r="467" spans="1:29" ht="15" customHeight="1" x14ac:dyDescent="0.25">
      <c r="A467" s="25" t="str">
        <f t="shared" si="7"/>
        <v/>
      </c>
      <c r="B467" s="26"/>
      <c r="C467" s="27"/>
      <c r="D467" s="28" t="str">
        <f>IFERROR(IF(C467="","",INDEX(마스터!$F$4:$F$20,MATCH(C467,마스터!$M$4:$M$20,0))),"")</f>
        <v/>
      </c>
      <c r="E467" s="27"/>
      <c r="F467" s="29"/>
      <c r="G467" s="25" t="str">
        <f>IFERROR(IF(C467="","",INDEX(마스터!$J$4:$J$20,MATCH(C467,마스터!$M$4:$M$20,0))),"")</f>
        <v/>
      </c>
      <c r="H467" s="30"/>
      <c r="I467" s="30"/>
      <c r="AC467" s="32">
        <f>IF(AND(E467&lt;&gt;"",C467&lt;&gt;"",COUNTIFS($C$8:C467,C467,$E$8:E467,E467)=1),1,0)</f>
        <v>0</v>
      </c>
    </row>
    <row r="468" spans="1:29" ht="15" customHeight="1" x14ac:dyDescent="0.25">
      <c r="A468" s="25" t="str">
        <f t="shared" si="7"/>
        <v/>
      </c>
      <c r="B468" s="26"/>
      <c r="C468" s="27"/>
      <c r="D468" s="28" t="str">
        <f>IFERROR(IF(C468="","",INDEX(마스터!$F$4:$F$20,MATCH(C468,마스터!$M$4:$M$20,0))),"")</f>
        <v/>
      </c>
      <c r="E468" s="27"/>
      <c r="F468" s="29"/>
      <c r="G468" s="25" t="str">
        <f>IFERROR(IF(C468="","",INDEX(마스터!$J$4:$J$20,MATCH(C468,마스터!$M$4:$M$20,0))),"")</f>
        <v/>
      </c>
      <c r="H468" s="30"/>
      <c r="I468" s="30"/>
      <c r="AC468" s="32">
        <f>IF(AND(E468&lt;&gt;"",C468&lt;&gt;"",COUNTIFS($C$8:C468,C468,$E$8:E468,E468)=1),1,0)</f>
        <v>0</v>
      </c>
    </row>
    <row r="469" spans="1:29" ht="15" customHeight="1" x14ac:dyDescent="0.25">
      <c r="A469" s="25" t="str">
        <f t="shared" si="7"/>
        <v/>
      </c>
      <c r="B469" s="26"/>
      <c r="C469" s="27"/>
      <c r="D469" s="28" t="str">
        <f>IFERROR(IF(C469="","",INDEX(마스터!$F$4:$F$20,MATCH(C469,마스터!$M$4:$M$20,0))),"")</f>
        <v/>
      </c>
      <c r="E469" s="27"/>
      <c r="F469" s="29"/>
      <c r="G469" s="25" t="str">
        <f>IFERROR(IF(C469="","",INDEX(마스터!$J$4:$J$20,MATCH(C469,마스터!$M$4:$M$20,0))),"")</f>
        <v/>
      </c>
      <c r="H469" s="30"/>
      <c r="I469" s="30"/>
      <c r="AC469" s="32">
        <f>IF(AND(E469&lt;&gt;"",C469&lt;&gt;"",COUNTIFS($C$8:C469,C469,$E$8:E469,E469)=1),1,0)</f>
        <v>0</v>
      </c>
    </row>
    <row r="470" spans="1:29" ht="15" customHeight="1" x14ac:dyDescent="0.25">
      <c r="A470" s="25" t="str">
        <f t="shared" si="7"/>
        <v/>
      </c>
      <c r="B470" s="26"/>
      <c r="C470" s="27"/>
      <c r="D470" s="28" t="str">
        <f>IFERROR(IF(C470="","",INDEX(마스터!$F$4:$F$20,MATCH(C470,마스터!$M$4:$M$20,0))),"")</f>
        <v/>
      </c>
      <c r="E470" s="27"/>
      <c r="F470" s="29"/>
      <c r="G470" s="25" t="str">
        <f>IFERROR(IF(C470="","",INDEX(마스터!$J$4:$J$20,MATCH(C470,마스터!$M$4:$M$20,0))),"")</f>
        <v/>
      </c>
      <c r="H470" s="30"/>
      <c r="I470" s="30"/>
      <c r="AC470" s="32">
        <f>IF(AND(E470&lt;&gt;"",C470&lt;&gt;"",COUNTIFS($C$8:C470,C470,$E$8:E470,E470)=1),1,0)</f>
        <v>0</v>
      </c>
    </row>
    <row r="471" spans="1:29" ht="15" customHeight="1" x14ac:dyDescent="0.25">
      <c r="A471" s="25" t="str">
        <f t="shared" si="7"/>
        <v/>
      </c>
      <c r="B471" s="26"/>
      <c r="C471" s="27"/>
      <c r="D471" s="28" t="str">
        <f>IFERROR(IF(C471="","",INDEX(마스터!$F$4:$F$20,MATCH(C471,마스터!$M$4:$M$20,0))),"")</f>
        <v/>
      </c>
      <c r="E471" s="27"/>
      <c r="F471" s="29"/>
      <c r="G471" s="25" t="str">
        <f>IFERROR(IF(C471="","",INDEX(마스터!$J$4:$J$20,MATCH(C471,마스터!$M$4:$M$20,0))),"")</f>
        <v/>
      </c>
      <c r="H471" s="30"/>
      <c r="I471" s="30"/>
      <c r="AC471" s="32">
        <f>IF(AND(E471&lt;&gt;"",C471&lt;&gt;"",COUNTIFS($C$8:C471,C471,$E$8:E471,E471)=1),1,0)</f>
        <v>0</v>
      </c>
    </row>
    <row r="472" spans="1:29" ht="15" customHeight="1" x14ac:dyDescent="0.25">
      <c r="A472" s="25" t="str">
        <f t="shared" si="7"/>
        <v/>
      </c>
      <c r="B472" s="26"/>
      <c r="C472" s="27"/>
      <c r="D472" s="28" t="str">
        <f>IFERROR(IF(C472="","",INDEX(마스터!$F$4:$F$20,MATCH(C472,마스터!$M$4:$M$20,0))),"")</f>
        <v/>
      </c>
      <c r="E472" s="27"/>
      <c r="F472" s="29"/>
      <c r="G472" s="25" t="str">
        <f>IFERROR(IF(C472="","",INDEX(마스터!$J$4:$J$20,MATCH(C472,마스터!$M$4:$M$20,0))),"")</f>
        <v/>
      </c>
      <c r="H472" s="30"/>
      <c r="I472" s="30"/>
      <c r="AC472" s="32">
        <f>IF(AND(E472&lt;&gt;"",C472&lt;&gt;"",COUNTIFS($C$8:C472,C472,$E$8:E472,E472)=1),1,0)</f>
        <v>0</v>
      </c>
    </row>
    <row r="473" spans="1:29" ht="15" customHeight="1" x14ac:dyDescent="0.25">
      <c r="A473" s="25" t="str">
        <f t="shared" si="7"/>
        <v/>
      </c>
      <c r="B473" s="26"/>
      <c r="C473" s="27"/>
      <c r="D473" s="28" t="str">
        <f>IFERROR(IF(C473="","",INDEX(마스터!$F$4:$F$20,MATCH(C473,마스터!$M$4:$M$20,0))),"")</f>
        <v/>
      </c>
      <c r="E473" s="27"/>
      <c r="F473" s="29"/>
      <c r="G473" s="25" t="str">
        <f>IFERROR(IF(C473="","",INDEX(마스터!$J$4:$J$20,MATCH(C473,마스터!$M$4:$M$20,0))),"")</f>
        <v/>
      </c>
      <c r="H473" s="30"/>
      <c r="I473" s="30"/>
      <c r="AC473" s="32">
        <f>IF(AND(E473&lt;&gt;"",C473&lt;&gt;"",COUNTIFS($C$8:C473,C473,$E$8:E473,E473)=1),1,0)</f>
        <v>0</v>
      </c>
    </row>
    <row r="474" spans="1:29" ht="15" customHeight="1" x14ac:dyDescent="0.25">
      <c r="A474" s="25" t="str">
        <f t="shared" si="7"/>
        <v/>
      </c>
      <c r="B474" s="26"/>
      <c r="C474" s="27"/>
      <c r="D474" s="28" t="str">
        <f>IFERROR(IF(C474="","",INDEX(마스터!$F$4:$F$20,MATCH(C474,마스터!$M$4:$M$20,0))),"")</f>
        <v/>
      </c>
      <c r="E474" s="27"/>
      <c r="F474" s="29"/>
      <c r="G474" s="25" t="str">
        <f>IFERROR(IF(C474="","",INDEX(마스터!$J$4:$J$20,MATCH(C474,마스터!$M$4:$M$20,0))),"")</f>
        <v/>
      </c>
      <c r="H474" s="30"/>
      <c r="I474" s="30"/>
      <c r="AC474" s="32">
        <f>IF(AND(E474&lt;&gt;"",C474&lt;&gt;"",COUNTIFS($C$8:C474,C474,$E$8:E474,E474)=1),1,0)</f>
        <v>0</v>
      </c>
    </row>
    <row r="475" spans="1:29" ht="15" customHeight="1" x14ac:dyDescent="0.25">
      <c r="A475" s="25" t="str">
        <f t="shared" si="7"/>
        <v/>
      </c>
      <c r="B475" s="26"/>
      <c r="C475" s="27"/>
      <c r="D475" s="28" t="str">
        <f>IFERROR(IF(C475="","",INDEX(마스터!$F$4:$F$20,MATCH(C475,마스터!$M$4:$M$20,0))),"")</f>
        <v/>
      </c>
      <c r="E475" s="27"/>
      <c r="F475" s="29"/>
      <c r="G475" s="25" t="str">
        <f>IFERROR(IF(C475="","",INDEX(마스터!$J$4:$J$20,MATCH(C475,마스터!$M$4:$M$20,0))),"")</f>
        <v/>
      </c>
      <c r="H475" s="30"/>
      <c r="I475" s="30"/>
      <c r="AC475" s="32">
        <f>IF(AND(E475&lt;&gt;"",C475&lt;&gt;"",COUNTIFS($C$8:C475,C475,$E$8:E475,E475)=1),1,0)</f>
        <v>0</v>
      </c>
    </row>
    <row r="476" spans="1:29" ht="15" customHeight="1" x14ac:dyDescent="0.25">
      <c r="A476" s="25" t="str">
        <f t="shared" si="7"/>
        <v/>
      </c>
      <c r="B476" s="26"/>
      <c r="C476" s="27"/>
      <c r="D476" s="28" t="str">
        <f>IFERROR(IF(C476="","",INDEX(마스터!$F$4:$F$20,MATCH(C476,마스터!$M$4:$M$20,0))),"")</f>
        <v/>
      </c>
      <c r="E476" s="27"/>
      <c r="F476" s="29"/>
      <c r="G476" s="25" t="str">
        <f>IFERROR(IF(C476="","",INDEX(마스터!$J$4:$J$20,MATCH(C476,마스터!$M$4:$M$20,0))),"")</f>
        <v/>
      </c>
      <c r="H476" s="30"/>
      <c r="I476" s="30"/>
      <c r="AC476" s="32">
        <f>IF(AND(E476&lt;&gt;"",C476&lt;&gt;"",COUNTIFS($C$8:C476,C476,$E$8:E476,E476)=1),1,0)</f>
        <v>0</v>
      </c>
    </row>
    <row r="477" spans="1:29" ht="15" customHeight="1" x14ac:dyDescent="0.25">
      <c r="A477" s="25" t="str">
        <f t="shared" si="7"/>
        <v/>
      </c>
      <c r="B477" s="26"/>
      <c r="C477" s="27"/>
      <c r="D477" s="28" t="str">
        <f>IFERROR(IF(C477="","",INDEX(마스터!$F$4:$F$20,MATCH(C477,마스터!$M$4:$M$20,0))),"")</f>
        <v/>
      </c>
      <c r="E477" s="27"/>
      <c r="F477" s="29"/>
      <c r="G477" s="25" t="str">
        <f>IFERROR(IF(C477="","",INDEX(마스터!$J$4:$J$20,MATCH(C477,마스터!$M$4:$M$20,0))),"")</f>
        <v/>
      </c>
      <c r="H477" s="30"/>
      <c r="I477" s="30"/>
      <c r="AC477" s="32">
        <f>IF(AND(E477&lt;&gt;"",C477&lt;&gt;"",COUNTIFS($C$8:C477,C477,$E$8:E477,E477)=1),1,0)</f>
        <v>0</v>
      </c>
    </row>
    <row r="478" spans="1:29" ht="15" customHeight="1" x14ac:dyDescent="0.25">
      <c r="A478" s="25" t="str">
        <f t="shared" si="7"/>
        <v/>
      </c>
      <c r="B478" s="26"/>
      <c r="C478" s="27"/>
      <c r="D478" s="28" t="str">
        <f>IFERROR(IF(C478="","",INDEX(마스터!$F$4:$F$20,MATCH(C478,마스터!$M$4:$M$20,0))),"")</f>
        <v/>
      </c>
      <c r="E478" s="27"/>
      <c r="F478" s="29"/>
      <c r="G478" s="25" t="str">
        <f>IFERROR(IF(C478="","",INDEX(마스터!$J$4:$J$20,MATCH(C478,마스터!$M$4:$M$20,0))),"")</f>
        <v/>
      </c>
      <c r="H478" s="30"/>
      <c r="I478" s="30"/>
      <c r="AC478" s="32">
        <f>IF(AND(E478&lt;&gt;"",C478&lt;&gt;"",COUNTIFS($C$8:C478,C478,$E$8:E478,E478)=1),1,0)</f>
        <v>0</v>
      </c>
    </row>
    <row r="479" spans="1:29" ht="15" customHeight="1" x14ac:dyDescent="0.25">
      <c r="A479" s="25" t="str">
        <f t="shared" si="7"/>
        <v/>
      </c>
      <c r="B479" s="26"/>
      <c r="C479" s="27"/>
      <c r="D479" s="28" t="str">
        <f>IFERROR(IF(C479="","",INDEX(마스터!$F$4:$F$20,MATCH(C479,마스터!$M$4:$M$20,0))),"")</f>
        <v/>
      </c>
      <c r="E479" s="27"/>
      <c r="F479" s="29"/>
      <c r="G479" s="25" t="str">
        <f>IFERROR(IF(C479="","",INDEX(마스터!$J$4:$J$20,MATCH(C479,마스터!$M$4:$M$20,0))),"")</f>
        <v/>
      </c>
      <c r="H479" s="30"/>
      <c r="I479" s="30"/>
      <c r="AC479" s="32">
        <f>IF(AND(E479&lt;&gt;"",C479&lt;&gt;"",COUNTIFS($C$8:C479,C479,$E$8:E479,E479)=1),1,0)</f>
        <v>0</v>
      </c>
    </row>
    <row r="480" spans="1:29" ht="15" customHeight="1" x14ac:dyDescent="0.25">
      <c r="A480" s="25" t="str">
        <f t="shared" si="7"/>
        <v/>
      </c>
      <c r="B480" s="26"/>
      <c r="C480" s="27"/>
      <c r="D480" s="28" t="str">
        <f>IFERROR(IF(C480="","",INDEX(마스터!$F$4:$F$20,MATCH(C480,마스터!$M$4:$M$20,0))),"")</f>
        <v/>
      </c>
      <c r="E480" s="27"/>
      <c r="F480" s="29"/>
      <c r="G480" s="25" t="str">
        <f>IFERROR(IF(C480="","",INDEX(마스터!$J$4:$J$20,MATCH(C480,마스터!$M$4:$M$20,0))),"")</f>
        <v/>
      </c>
      <c r="H480" s="30"/>
      <c r="I480" s="30"/>
      <c r="AC480" s="32">
        <f>IF(AND(E480&lt;&gt;"",C480&lt;&gt;"",COUNTIFS($C$8:C480,C480,$E$8:E480,E480)=1),1,0)</f>
        <v>0</v>
      </c>
    </row>
    <row r="481" spans="1:29" ht="15" customHeight="1" x14ac:dyDescent="0.25">
      <c r="A481" s="25" t="str">
        <f t="shared" si="7"/>
        <v/>
      </c>
      <c r="B481" s="26"/>
      <c r="C481" s="27"/>
      <c r="D481" s="28" t="str">
        <f>IFERROR(IF(C481="","",INDEX(마스터!$F$4:$F$20,MATCH(C481,마스터!$M$4:$M$20,0))),"")</f>
        <v/>
      </c>
      <c r="E481" s="27"/>
      <c r="F481" s="29"/>
      <c r="G481" s="25" t="str">
        <f>IFERROR(IF(C481="","",INDEX(마스터!$J$4:$J$20,MATCH(C481,마스터!$M$4:$M$20,0))),"")</f>
        <v/>
      </c>
      <c r="H481" s="30"/>
      <c r="I481" s="30"/>
      <c r="AC481" s="32">
        <f>IF(AND(E481&lt;&gt;"",C481&lt;&gt;"",COUNTIFS($C$8:C481,C481,$E$8:E481,E481)=1),1,0)</f>
        <v>0</v>
      </c>
    </row>
    <row r="482" spans="1:29" ht="15" customHeight="1" x14ac:dyDescent="0.25">
      <c r="A482" s="25" t="str">
        <f t="shared" si="7"/>
        <v/>
      </c>
      <c r="B482" s="26"/>
      <c r="C482" s="27"/>
      <c r="D482" s="28" t="str">
        <f>IFERROR(IF(C482="","",INDEX(마스터!$F$4:$F$20,MATCH(C482,마스터!$M$4:$M$20,0))),"")</f>
        <v/>
      </c>
      <c r="E482" s="27"/>
      <c r="F482" s="29"/>
      <c r="G482" s="25" t="str">
        <f>IFERROR(IF(C482="","",INDEX(마스터!$J$4:$J$20,MATCH(C482,마스터!$M$4:$M$20,0))),"")</f>
        <v/>
      </c>
      <c r="H482" s="30"/>
      <c r="I482" s="30"/>
      <c r="AC482" s="32">
        <f>IF(AND(E482&lt;&gt;"",C482&lt;&gt;"",COUNTIFS($C$8:C482,C482,$E$8:E482,E482)=1),1,0)</f>
        <v>0</v>
      </c>
    </row>
    <row r="483" spans="1:29" ht="15" customHeight="1" x14ac:dyDescent="0.25">
      <c r="A483" s="25" t="str">
        <f t="shared" si="7"/>
        <v/>
      </c>
      <c r="B483" s="26"/>
      <c r="C483" s="27"/>
      <c r="D483" s="28" t="str">
        <f>IFERROR(IF(C483="","",INDEX(마스터!$F$4:$F$20,MATCH(C483,마스터!$M$4:$M$20,0))),"")</f>
        <v/>
      </c>
      <c r="E483" s="27"/>
      <c r="F483" s="29"/>
      <c r="G483" s="25" t="str">
        <f>IFERROR(IF(C483="","",INDEX(마스터!$J$4:$J$20,MATCH(C483,마스터!$M$4:$M$20,0))),"")</f>
        <v/>
      </c>
      <c r="H483" s="30"/>
      <c r="I483" s="30"/>
      <c r="AC483" s="32">
        <f>IF(AND(E483&lt;&gt;"",C483&lt;&gt;"",COUNTIFS($C$8:C483,C483,$E$8:E483,E483)=1),1,0)</f>
        <v>0</v>
      </c>
    </row>
    <row r="484" spans="1:29" ht="15" customHeight="1" x14ac:dyDescent="0.25">
      <c r="A484" s="25" t="str">
        <f t="shared" si="7"/>
        <v/>
      </c>
      <c r="B484" s="26"/>
      <c r="C484" s="27"/>
      <c r="D484" s="28" t="str">
        <f>IFERROR(IF(C484="","",INDEX(마스터!$F$4:$F$20,MATCH(C484,마스터!$M$4:$M$20,0))),"")</f>
        <v/>
      </c>
      <c r="E484" s="27"/>
      <c r="F484" s="29"/>
      <c r="G484" s="25" t="str">
        <f>IFERROR(IF(C484="","",INDEX(마스터!$J$4:$J$20,MATCH(C484,마스터!$M$4:$M$20,0))),"")</f>
        <v/>
      </c>
      <c r="H484" s="30"/>
      <c r="I484" s="30"/>
      <c r="AC484" s="32">
        <f>IF(AND(E484&lt;&gt;"",C484&lt;&gt;"",COUNTIFS($C$8:C484,C484,$E$8:E484,E484)=1),1,0)</f>
        <v>0</v>
      </c>
    </row>
    <row r="485" spans="1:29" ht="15" customHeight="1" x14ac:dyDescent="0.25">
      <c r="A485" s="25" t="str">
        <f t="shared" si="7"/>
        <v/>
      </c>
      <c r="B485" s="26"/>
      <c r="C485" s="27"/>
      <c r="D485" s="28" t="str">
        <f>IFERROR(IF(C485="","",INDEX(마스터!$F$4:$F$20,MATCH(C485,마스터!$M$4:$M$20,0))),"")</f>
        <v/>
      </c>
      <c r="E485" s="27"/>
      <c r="F485" s="29"/>
      <c r="G485" s="25" t="str">
        <f>IFERROR(IF(C485="","",INDEX(마스터!$J$4:$J$20,MATCH(C485,마스터!$M$4:$M$20,0))),"")</f>
        <v/>
      </c>
      <c r="H485" s="30"/>
      <c r="I485" s="30"/>
      <c r="AC485" s="32">
        <f>IF(AND(E485&lt;&gt;"",C485&lt;&gt;"",COUNTIFS($C$8:C485,C485,$E$8:E485,E485)=1),1,0)</f>
        <v>0</v>
      </c>
    </row>
    <row r="486" spans="1:29" ht="15" customHeight="1" x14ac:dyDescent="0.25">
      <c r="A486" s="25" t="str">
        <f t="shared" si="7"/>
        <v/>
      </c>
      <c r="B486" s="26"/>
      <c r="C486" s="27"/>
      <c r="D486" s="28" t="str">
        <f>IFERROR(IF(C486="","",INDEX(마스터!$F$4:$F$20,MATCH(C486,마스터!$M$4:$M$20,0))),"")</f>
        <v/>
      </c>
      <c r="E486" s="27"/>
      <c r="F486" s="29"/>
      <c r="G486" s="25" t="str">
        <f>IFERROR(IF(C486="","",INDEX(마스터!$J$4:$J$20,MATCH(C486,마스터!$M$4:$M$20,0))),"")</f>
        <v/>
      </c>
      <c r="H486" s="30"/>
      <c r="I486" s="30"/>
      <c r="AC486" s="32">
        <f>IF(AND(E486&lt;&gt;"",C486&lt;&gt;"",COUNTIFS($C$8:C486,C486,$E$8:E486,E486)=1),1,0)</f>
        <v>0</v>
      </c>
    </row>
    <row r="487" spans="1:29" ht="15" customHeight="1" x14ac:dyDescent="0.25">
      <c r="A487" s="25" t="str">
        <f t="shared" si="7"/>
        <v/>
      </c>
      <c r="B487" s="26"/>
      <c r="C487" s="27"/>
      <c r="D487" s="28" t="str">
        <f>IFERROR(IF(C487="","",INDEX(마스터!$F$4:$F$20,MATCH(C487,마스터!$M$4:$M$20,0))),"")</f>
        <v/>
      </c>
      <c r="E487" s="27"/>
      <c r="F487" s="29"/>
      <c r="G487" s="25" t="str">
        <f>IFERROR(IF(C487="","",INDEX(마스터!$J$4:$J$20,MATCH(C487,마스터!$M$4:$M$20,0))),"")</f>
        <v/>
      </c>
      <c r="H487" s="30"/>
      <c r="I487" s="30"/>
      <c r="AC487" s="32">
        <f>IF(AND(E487&lt;&gt;"",C487&lt;&gt;"",COUNTIFS($C$8:C487,C487,$E$8:E487,E487)=1),1,0)</f>
        <v>0</v>
      </c>
    </row>
    <row r="488" spans="1:29" ht="15" customHeight="1" x14ac:dyDescent="0.25">
      <c r="A488" s="25" t="str">
        <f t="shared" si="7"/>
        <v/>
      </c>
      <c r="B488" s="26"/>
      <c r="C488" s="27"/>
      <c r="D488" s="28" t="str">
        <f>IFERROR(IF(C488="","",INDEX(마스터!$F$4:$F$20,MATCH(C488,마스터!$M$4:$M$20,0))),"")</f>
        <v/>
      </c>
      <c r="E488" s="27"/>
      <c r="F488" s="29"/>
      <c r="G488" s="25" t="str">
        <f>IFERROR(IF(C488="","",INDEX(마스터!$J$4:$J$20,MATCH(C488,마스터!$M$4:$M$20,0))),"")</f>
        <v/>
      </c>
      <c r="H488" s="30"/>
      <c r="I488" s="30"/>
      <c r="AC488" s="32">
        <f>IF(AND(E488&lt;&gt;"",C488&lt;&gt;"",COUNTIFS($C$8:C488,C488,$E$8:E488,E488)=1),1,0)</f>
        <v>0</v>
      </c>
    </row>
    <row r="489" spans="1:29" ht="15" customHeight="1" x14ac:dyDescent="0.25">
      <c r="A489" s="25" t="str">
        <f t="shared" si="7"/>
        <v/>
      </c>
      <c r="B489" s="26"/>
      <c r="C489" s="27"/>
      <c r="D489" s="28" t="str">
        <f>IFERROR(IF(C489="","",INDEX(마스터!$F$4:$F$20,MATCH(C489,마스터!$M$4:$M$20,0))),"")</f>
        <v/>
      </c>
      <c r="E489" s="27"/>
      <c r="F489" s="29"/>
      <c r="G489" s="25" t="str">
        <f>IFERROR(IF(C489="","",INDEX(마스터!$J$4:$J$20,MATCH(C489,마스터!$M$4:$M$20,0))),"")</f>
        <v/>
      </c>
      <c r="H489" s="30"/>
      <c r="I489" s="30"/>
      <c r="AC489" s="32">
        <f>IF(AND(E489&lt;&gt;"",C489&lt;&gt;"",COUNTIFS($C$8:C489,C489,$E$8:E489,E489)=1),1,0)</f>
        <v>0</v>
      </c>
    </row>
    <row r="490" spans="1:29" ht="15" customHeight="1" x14ac:dyDescent="0.25">
      <c r="A490" s="25" t="str">
        <f t="shared" si="7"/>
        <v/>
      </c>
      <c r="B490" s="26"/>
      <c r="C490" s="27"/>
      <c r="D490" s="28" t="str">
        <f>IFERROR(IF(C490="","",INDEX(마스터!$F$4:$F$20,MATCH(C490,마스터!$M$4:$M$20,0))),"")</f>
        <v/>
      </c>
      <c r="E490" s="27"/>
      <c r="F490" s="29"/>
      <c r="G490" s="25" t="str">
        <f>IFERROR(IF(C490="","",INDEX(마스터!$J$4:$J$20,MATCH(C490,마스터!$M$4:$M$20,0))),"")</f>
        <v/>
      </c>
      <c r="H490" s="30"/>
      <c r="I490" s="30"/>
      <c r="AC490" s="32">
        <f>IF(AND(E490&lt;&gt;"",C490&lt;&gt;"",COUNTIFS($C$8:C490,C490,$E$8:E490,E490)=1),1,0)</f>
        <v>0</v>
      </c>
    </row>
    <row r="491" spans="1:29" ht="15" customHeight="1" x14ac:dyDescent="0.25">
      <c r="A491" s="25" t="str">
        <f t="shared" si="7"/>
        <v/>
      </c>
      <c r="B491" s="26"/>
      <c r="C491" s="27"/>
      <c r="D491" s="28" t="str">
        <f>IFERROR(IF(C491="","",INDEX(마스터!$F$4:$F$20,MATCH(C491,마스터!$M$4:$M$20,0))),"")</f>
        <v/>
      </c>
      <c r="E491" s="27"/>
      <c r="F491" s="29"/>
      <c r="G491" s="25" t="str">
        <f>IFERROR(IF(C491="","",INDEX(마스터!$J$4:$J$20,MATCH(C491,마스터!$M$4:$M$20,0))),"")</f>
        <v/>
      </c>
      <c r="H491" s="30"/>
      <c r="I491" s="30"/>
      <c r="AC491" s="32">
        <f>IF(AND(E491&lt;&gt;"",C491&lt;&gt;"",COUNTIFS($C$8:C491,C491,$E$8:E491,E491)=1),1,0)</f>
        <v>0</v>
      </c>
    </row>
    <row r="492" spans="1:29" ht="15" customHeight="1" x14ac:dyDescent="0.25">
      <c r="A492" s="25" t="str">
        <f t="shared" si="7"/>
        <v/>
      </c>
      <c r="B492" s="26"/>
      <c r="C492" s="27"/>
      <c r="D492" s="28" t="str">
        <f>IFERROR(IF(C492="","",INDEX(마스터!$F$4:$F$20,MATCH(C492,마스터!$M$4:$M$20,0))),"")</f>
        <v/>
      </c>
      <c r="E492" s="27"/>
      <c r="F492" s="29"/>
      <c r="G492" s="25" t="str">
        <f>IFERROR(IF(C492="","",INDEX(마스터!$J$4:$J$20,MATCH(C492,마스터!$M$4:$M$20,0))),"")</f>
        <v/>
      </c>
      <c r="H492" s="30"/>
      <c r="I492" s="30"/>
      <c r="AC492" s="32">
        <f>IF(AND(E492&lt;&gt;"",C492&lt;&gt;"",COUNTIFS($C$8:C492,C492,$E$8:E492,E492)=1),1,0)</f>
        <v>0</v>
      </c>
    </row>
    <row r="493" spans="1:29" ht="15" customHeight="1" x14ac:dyDescent="0.25">
      <c r="A493" s="25" t="str">
        <f t="shared" si="7"/>
        <v/>
      </c>
      <c r="B493" s="26"/>
      <c r="C493" s="27"/>
      <c r="D493" s="28" t="str">
        <f>IFERROR(IF(C493="","",INDEX(마스터!$F$4:$F$20,MATCH(C493,마스터!$M$4:$M$20,0))),"")</f>
        <v/>
      </c>
      <c r="E493" s="27"/>
      <c r="F493" s="29"/>
      <c r="G493" s="25" t="str">
        <f>IFERROR(IF(C493="","",INDEX(마스터!$J$4:$J$20,MATCH(C493,마스터!$M$4:$M$20,0))),"")</f>
        <v/>
      </c>
      <c r="H493" s="30"/>
      <c r="I493" s="30"/>
      <c r="AC493" s="32">
        <f>IF(AND(E493&lt;&gt;"",C493&lt;&gt;"",COUNTIFS($C$8:C493,C493,$E$8:E493,E493)=1),1,0)</f>
        <v>0</v>
      </c>
    </row>
    <row r="494" spans="1:29" ht="15" customHeight="1" x14ac:dyDescent="0.25">
      <c r="A494" s="25" t="str">
        <f t="shared" si="7"/>
        <v/>
      </c>
      <c r="B494" s="26"/>
      <c r="C494" s="27"/>
      <c r="D494" s="28" t="str">
        <f>IFERROR(IF(C494="","",INDEX(마스터!$F$4:$F$20,MATCH(C494,마스터!$M$4:$M$20,0))),"")</f>
        <v/>
      </c>
      <c r="E494" s="27"/>
      <c r="F494" s="29"/>
      <c r="G494" s="25" t="str">
        <f>IFERROR(IF(C494="","",INDEX(마스터!$J$4:$J$20,MATCH(C494,마스터!$M$4:$M$20,0))),"")</f>
        <v/>
      </c>
      <c r="H494" s="30"/>
      <c r="I494" s="30"/>
      <c r="AC494" s="32">
        <f>IF(AND(E494&lt;&gt;"",C494&lt;&gt;"",COUNTIFS($C$8:C494,C494,$E$8:E494,E494)=1),1,0)</f>
        <v>0</v>
      </c>
    </row>
    <row r="495" spans="1:29" ht="15" customHeight="1" x14ac:dyDescent="0.25">
      <c r="A495" s="25" t="str">
        <f t="shared" si="7"/>
        <v/>
      </c>
      <c r="B495" s="26"/>
      <c r="C495" s="27"/>
      <c r="D495" s="28" t="str">
        <f>IFERROR(IF(C495="","",INDEX(마스터!$F$4:$F$20,MATCH(C495,마스터!$M$4:$M$20,0))),"")</f>
        <v/>
      </c>
      <c r="E495" s="27"/>
      <c r="F495" s="29"/>
      <c r="G495" s="25" t="str">
        <f>IFERROR(IF(C495="","",INDEX(마스터!$J$4:$J$20,MATCH(C495,마스터!$M$4:$M$20,0))),"")</f>
        <v/>
      </c>
      <c r="H495" s="30"/>
      <c r="I495" s="30"/>
      <c r="AC495" s="32">
        <f>IF(AND(E495&lt;&gt;"",C495&lt;&gt;"",COUNTIFS($C$8:C495,C495,$E$8:E495,E495)=1),1,0)</f>
        <v>0</v>
      </c>
    </row>
    <row r="496" spans="1:29" ht="15" customHeight="1" x14ac:dyDescent="0.25">
      <c r="A496" s="25" t="str">
        <f t="shared" si="7"/>
        <v/>
      </c>
      <c r="B496" s="26"/>
      <c r="C496" s="27"/>
      <c r="D496" s="28" t="str">
        <f>IFERROR(IF(C496="","",INDEX(마스터!$F$4:$F$20,MATCH(C496,마스터!$M$4:$M$20,0))),"")</f>
        <v/>
      </c>
      <c r="E496" s="27"/>
      <c r="F496" s="29"/>
      <c r="G496" s="25" t="str">
        <f>IFERROR(IF(C496="","",INDEX(마스터!$J$4:$J$20,MATCH(C496,마스터!$M$4:$M$20,0))),"")</f>
        <v/>
      </c>
      <c r="H496" s="30"/>
      <c r="I496" s="30"/>
      <c r="AC496" s="32">
        <f>IF(AND(E496&lt;&gt;"",C496&lt;&gt;"",COUNTIFS($C$8:C496,C496,$E$8:E496,E496)=1),1,0)</f>
        <v>0</v>
      </c>
    </row>
    <row r="497" spans="1:29" ht="15" customHeight="1" x14ac:dyDescent="0.25">
      <c r="A497" s="25" t="str">
        <f t="shared" si="7"/>
        <v/>
      </c>
      <c r="B497" s="26"/>
      <c r="C497" s="27"/>
      <c r="D497" s="28" t="str">
        <f>IFERROR(IF(C497="","",INDEX(마스터!$F$4:$F$20,MATCH(C497,마스터!$M$4:$M$20,0))),"")</f>
        <v/>
      </c>
      <c r="E497" s="27"/>
      <c r="F497" s="29"/>
      <c r="G497" s="25" t="str">
        <f>IFERROR(IF(C497="","",INDEX(마스터!$J$4:$J$20,MATCH(C497,마스터!$M$4:$M$20,0))),"")</f>
        <v/>
      </c>
      <c r="H497" s="30"/>
      <c r="I497" s="30"/>
      <c r="AC497" s="32">
        <f>IF(AND(E497&lt;&gt;"",C497&lt;&gt;"",COUNTIFS($C$8:C497,C497,$E$8:E497,E497)=1),1,0)</f>
        <v>0</v>
      </c>
    </row>
    <row r="498" spans="1:29" ht="15" customHeight="1" x14ac:dyDescent="0.25">
      <c r="A498" s="25" t="str">
        <f t="shared" si="7"/>
        <v/>
      </c>
      <c r="B498" s="26"/>
      <c r="C498" s="27"/>
      <c r="D498" s="28" t="str">
        <f>IFERROR(IF(C498="","",INDEX(마스터!$F$4:$F$20,MATCH(C498,마스터!$M$4:$M$20,0))),"")</f>
        <v/>
      </c>
      <c r="E498" s="27"/>
      <c r="F498" s="29"/>
      <c r="G498" s="25" t="str">
        <f>IFERROR(IF(C498="","",INDEX(마스터!$J$4:$J$20,MATCH(C498,마스터!$M$4:$M$20,0))),"")</f>
        <v/>
      </c>
      <c r="H498" s="30"/>
      <c r="I498" s="30"/>
      <c r="AC498" s="32">
        <f>IF(AND(E498&lt;&gt;"",C498&lt;&gt;"",COUNTIFS($C$8:C498,C498,$E$8:E498,E498)=1),1,0)</f>
        <v>0</v>
      </c>
    </row>
    <row r="499" spans="1:29" ht="15" customHeight="1" x14ac:dyDescent="0.25">
      <c r="A499" s="25" t="str">
        <f t="shared" si="7"/>
        <v/>
      </c>
      <c r="B499" s="26"/>
      <c r="C499" s="27"/>
      <c r="D499" s="28" t="str">
        <f>IFERROR(IF(C499="","",INDEX(마스터!$F$4:$F$20,MATCH(C499,마스터!$M$4:$M$20,0))),"")</f>
        <v/>
      </c>
      <c r="E499" s="27"/>
      <c r="F499" s="29"/>
      <c r="G499" s="25" t="str">
        <f>IFERROR(IF(C499="","",INDEX(마스터!$J$4:$J$20,MATCH(C499,마스터!$M$4:$M$20,0))),"")</f>
        <v/>
      </c>
      <c r="H499" s="30"/>
      <c r="I499" s="30"/>
      <c r="AC499" s="32">
        <f>IF(AND(E499&lt;&gt;"",C499&lt;&gt;"",COUNTIFS($C$8:C499,C499,$E$8:E499,E499)=1),1,0)</f>
        <v>0</v>
      </c>
    </row>
    <row r="500" spans="1:29" ht="15" customHeight="1" x14ac:dyDescent="0.25">
      <c r="A500" s="25" t="str">
        <f t="shared" si="7"/>
        <v/>
      </c>
      <c r="B500" s="26"/>
      <c r="C500" s="27"/>
      <c r="D500" s="28" t="str">
        <f>IFERROR(IF(C500="","",INDEX(마스터!$F$4:$F$20,MATCH(C500,마스터!$M$4:$M$20,0))),"")</f>
        <v/>
      </c>
      <c r="E500" s="27"/>
      <c r="F500" s="29"/>
      <c r="G500" s="25" t="str">
        <f>IFERROR(IF(C500="","",INDEX(마스터!$J$4:$J$20,MATCH(C500,마스터!$M$4:$M$20,0))),"")</f>
        <v/>
      </c>
      <c r="H500" s="30"/>
      <c r="I500" s="30"/>
      <c r="AC500" s="32">
        <f>IF(AND(E500&lt;&gt;"",C500&lt;&gt;"",COUNTIFS($C$8:C500,C500,$E$8:E500,E500)=1),1,0)</f>
        <v>0</v>
      </c>
    </row>
    <row r="501" spans="1:29" ht="15" customHeight="1" x14ac:dyDescent="0.25">
      <c r="A501" s="25" t="str">
        <f t="shared" si="7"/>
        <v/>
      </c>
      <c r="B501" s="26"/>
      <c r="C501" s="27"/>
      <c r="D501" s="28" t="str">
        <f>IFERROR(IF(C501="","",INDEX(마스터!$F$4:$F$20,MATCH(C501,마스터!$M$4:$M$20,0))),"")</f>
        <v/>
      </c>
      <c r="E501" s="27"/>
      <c r="F501" s="29"/>
      <c r="G501" s="25" t="str">
        <f>IFERROR(IF(C501="","",INDEX(마스터!$J$4:$J$20,MATCH(C501,마스터!$M$4:$M$20,0))),"")</f>
        <v/>
      </c>
      <c r="H501" s="30"/>
      <c r="I501" s="30"/>
      <c r="AC501" s="32">
        <f>IF(AND(E501&lt;&gt;"",C501&lt;&gt;"",COUNTIFS($C$8:C501,C501,$E$8:E501,E501)=1),1,0)</f>
        <v>0</v>
      </c>
    </row>
    <row r="502" spans="1:29" ht="15" customHeight="1" x14ac:dyDescent="0.25">
      <c r="A502" s="25" t="str">
        <f t="shared" si="7"/>
        <v/>
      </c>
      <c r="B502" s="26"/>
      <c r="C502" s="27"/>
      <c r="D502" s="28" t="str">
        <f>IFERROR(IF(C502="","",INDEX(마스터!$F$4:$F$20,MATCH(C502,마스터!$M$4:$M$20,0))),"")</f>
        <v/>
      </c>
      <c r="E502" s="27"/>
      <c r="F502" s="29"/>
      <c r="G502" s="25" t="str">
        <f>IFERROR(IF(C502="","",INDEX(마스터!$J$4:$J$20,MATCH(C502,마스터!$M$4:$M$20,0))),"")</f>
        <v/>
      </c>
      <c r="H502" s="30"/>
      <c r="I502" s="30"/>
      <c r="AC502" s="32">
        <f>IF(AND(E502&lt;&gt;"",C502&lt;&gt;"",COUNTIFS($C$8:C502,C502,$E$8:E502,E502)=1),1,0)</f>
        <v>0</v>
      </c>
    </row>
    <row r="503" spans="1:29" ht="15" customHeight="1" x14ac:dyDescent="0.25">
      <c r="A503" s="25" t="str">
        <f t="shared" si="7"/>
        <v/>
      </c>
      <c r="B503" s="26"/>
      <c r="C503" s="27"/>
      <c r="D503" s="28" t="str">
        <f>IFERROR(IF(C503="","",INDEX(마스터!$F$4:$F$20,MATCH(C503,마스터!$M$4:$M$20,0))),"")</f>
        <v/>
      </c>
      <c r="E503" s="27"/>
      <c r="F503" s="29"/>
      <c r="G503" s="25" t="str">
        <f>IFERROR(IF(C503="","",INDEX(마스터!$J$4:$J$20,MATCH(C503,마스터!$M$4:$M$20,0))),"")</f>
        <v/>
      </c>
      <c r="H503" s="30"/>
      <c r="I503" s="30"/>
      <c r="AC503" s="32">
        <f>IF(AND(E503&lt;&gt;"",C503&lt;&gt;"",COUNTIFS($C$8:C503,C503,$E$8:E503,E503)=1),1,0)</f>
        <v>0</v>
      </c>
    </row>
    <row r="504" spans="1:29" ht="15" customHeight="1" x14ac:dyDescent="0.25">
      <c r="A504" s="25" t="str">
        <f t="shared" si="7"/>
        <v/>
      </c>
      <c r="B504" s="26"/>
      <c r="C504" s="27"/>
      <c r="D504" s="28" t="str">
        <f>IFERROR(IF(C504="","",INDEX(마스터!$F$4:$F$20,MATCH(C504,마스터!$M$4:$M$20,0))),"")</f>
        <v/>
      </c>
      <c r="E504" s="27"/>
      <c r="F504" s="29"/>
      <c r="G504" s="25" t="str">
        <f>IFERROR(IF(C504="","",INDEX(마스터!$J$4:$J$20,MATCH(C504,마스터!$M$4:$M$20,0))),"")</f>
        <v/>
      </c>
      <c r="H504" s="30"/>
      <c r="I504" s="30"/>
      <c r="AC504" s="32">
        <f>IF(AND(E504&lt;&gt;"",C504&lt;&gt;"",COUNTIFS($C$8:C504,C504,$E$8:E504,E504)=1),1,0)</f>
        <v>0</v>
      </c>
    </row>
    <row r="505" spans="1:29" ht="15" customHeight="1" x14ac:dyDescent="0.25">
      <c r="A505" s="25" t="str">
        <f t="shared" si="7"/>
        <v/>
      </c>
      <c r="B505" s="26"/>
      <c r="C505" s="27"/>
      <c r="D505" s="28" t="str">
        <f>IFERROR(IF(C505="","",INDEX(마스터!$F$4:$F$20,MATCH(C505,마스터!$M$4:$M$20,0))),"")</f>
        <v/>
      </c>
      <c r="E505" s="27"/>
      <c r="F505" s="29"/>
      <c r="G505" s="25" t="str">
        <f>IFERROR(IF(C505="","",INDEX(마스터!$J$4:$J$20,MATCH(C505,마스터!$M$4:$M$20,0))),"")</f>
        <v/>
      </c>
      <c r="H505" s="30"/>
      <c r="I505" s="30"/>
      <c r="AC505" s="32">
        <f>IF(AND(E505&lt;&gt;"",C505&lt;&gt;"",COUNTIFS($C$8:C505,C505,$E$8:E505,E505)=1),1,0)</f>
        <v>0</v>
      </c>
    </row>
    <row r="506" spans="1:29" ht="15" customHeight="1" x14ac:dyDescent="0.25">
      <c r="A506" s="25" t="str">
        <f t="shared" si="7"/>
        <v/>
      </c>
      <c r="B506" s="26"/>
      <c r="C506" s="27"/>
      <c r="D506" s="28" t="str">
        <f>IFERROR(IF(C506="","",INDEX(마스터!$F$4:$F$20,MATCH(C506,마스터!$M$4:$M$20,0))),"")</f>
        <v/>
      </c>
      <c r="E506" s="27"/>
      <c r="F506" s="29"/>
      <c r="G506" s="25" t="str">
        <f>IFERROR(IF(C506="","",INDEX(마스터!$J$4:$J$20,MATCH(C506,마스터!$M$4:$M$20,0))),"")</f>
        <v/>
      </c>
      <c r="H506" s="30"/>
      <c r="I506" s="30"/>
      <c r="AC506" s="32">
        <f>IF(AND(E506&lt;&gt;"",C506&lt;&gt;"",COUNTIFS($C$8:C506,C506,$E$8:E506,E506)=1),1,0)</f>
        <v>0</v>
      </c>
    </row>
    <row r="507" spans="1:29" ht="15" customHeight="1" x14ac:dyDescent="0.25">
      <c r="A507" s="25" t="str">
        <f t="shared" si="7"/>
        <v/>
      </c>
      <c r="B507" s="26"/>
      <c r="C507" s="27"/>
      <c r="D507" s="28" t="str">
        <f>IFERROR(IF(C507="","",INDEX(마스터!$F$4:$F$20,MATCH(C507,마스터!$M$4:$M$20,0))),"")</f>
        <v/>
      </c>
      <c r="E507" s="27"/>
      <c r="F507" s="29"/>
      <c r="G507" s="25" t="str">
        <f>IFERROR(IF(C507="","",INDEX(마스터!$J$4:$J$20,MATCH(C507,마스터!$M$4:$M$20,0))),"")</f>
        <v/>
      </c>
      <c r="H507" s="30"/>
      <c r="I507" s="30"/>
      <c r="AC507" s="32">
        <f>IF(AND(E507&lt;&gt;"",C507&lt;&gt;"",COUNTIFS($C$8:C507,C507,$E$8:E507,E507)=1),1,0)</f>
        <v>0</v>
      </c>
    </row>
    <row r="508" spans="1:29" ht="15" customHeight="1" x14ac:dyDescent="0.25">
      <c r="A508" s="25" t="str">
        <f t="shared" si="7"/>
        <v/>
      </c>
      <c r="B508" s="26"/>
      <c r="C508" s="27"/>
      <c r="D508" s="28" t="str">
        <f>IFERROR(IF(C508="","",INDEX(마스터!$F$4:$F$20,MATCH(C508,마스터!$M$4:$M$20,0))),"")</f>
        <v/>
      </c>
      <c r="E508" s="27"/>
      <c r="F508" s="29"/>
      <c r="G508" s="25" t="str">
        <f>IFERROR(IF(C508="","",INDEX(마스터!$J$4:$J$20,MATCH(C508,마스터!$M$4:$M$20,0))),"")</f>
        <v/>
      </c>
      <c r="H508" s="30"/>
      <c r="I508" s="30"/>
      <c r="AC508" s="32">
        <f>IF(AND(E508&lt;&gt;"",C508&lt;&gt;"",COUNTIFS($C$8:C508,C508,$E$8:E508,E508)=1),1,0)</f>
        <v>0</v>
      </c>
    </row>
    <row r="509" spans="1:29" ht="15" customHeight="1" x14ac:dyDescent="0.25">
      <c r="A509" s="25" t="str">
        <f t="shared" si="7"/>
        <v/>
      </c>
      <c r="B509" s="26"/>
      <c r="C509" s="27"/>
      <c r="D509" s="28" t="str">
        <f>IFERROR(IF(C509="","",INDEX(마스터!$F$4:$F$20,MATCH(C509,마스터!$M$4:$M$20,0))),"")</f>
        <v/>
      </c>
      <c r="E509" s="27"/>
      <c r="F509" s="29"/>
      <c r="G509" s="25" t="str">
        <f>IFERROR(IF(C509="","",INDEX(마스터!$J$4:$J$20,MATCH(C509,마스터!$M$4:$M$20,0))),"")</f>
        <v/>
      </c>
      <c r="H509" s="30"/>
      <c r="I509" s="30"/>
      <c r="AC509" s="32">
        <f>IF(AND(E509&lt;&gt;"",C509&lt;&gt;"",COUNTIFS($C$8:C509,C509,$E$8:E509,E509)=1),1,0)</f>
        <v>0</v>
      </c>
    </row>
    <row r="510" spans="1:29" ht="15" customHeight="1" x14ac:dyDescent="0.25">
      <c r="A510" s="25" t="str">
        <f t="shared" si="7"/>
        <v/>
      </c>
      <c r="B510" s="26"/>
      <c r="C510" s="27"/>
      <c r="D510" s="28" t="str">
        <f>IFERROR(IF(C510="","",INDEX(마스터!$F$4:$F$20,MATCH(C510,마스터!$M$4:$M$20,0))),"")</f>
        <v/>
      </c>
      <c r="E510" s="27"/>
      <c r="F510" s="29"/>
      <c r="G510" s="25" t="str">
        <f>IFERROR(IF(C510="","",INDEX(마스터!$J$4:$J$20,MATCH(C510,마스터!$M$4:$M$20,0))),"")</f>
        <v/>
      </c>
      <c r="H510" s="30"/>
      <c r="I510" s="30"/>
      <c r="AC510" s="32">
        <f>IF(AND(E510&lt;&gt;"",C510&lt;&gt;"",COUNTIFS($C$8:C510,C510,$E$8:E510,E510)=1),1,0)</f>
        <v>0</v>
      </c>
    </row>
    <row r="511" spans="1:29" ht="15" customHeight="1" x14ac:dyDescent="0.25">
      <c r="A511" s="25" t="str">
        <f t="shared" si="7"/>
        <v/>
      </c>
      <c r="B511" s="26"/>
      <c r="C511" s="27"/>
      <c r="D511" s="28" t="str">
        <f>IFERROR(IF(C511="","",INDEX(마스터!$F$4:$F$20,MATCH(C511,마스터!$M$4:$M$20,0))),"")</f>
        <v/>
      </c>
      <c r="E511" s="27"/>
      <c r="F511" s="29"/>
      <c r="G511" s="25" t="str">
        <f>IFERROR(IF(C511="","",INDEX(마스터!$J$4:$J$20,MATCH(C511,마스터!$M$4:$M$20,0))),"")</f>
        <v/>
      </c>
      <c r="H511" s="30"/>
      <c r="I511" s="30"/>
      <c r="AC511" s="32">
        <f>IF(AND(E511&lt;&gt;"",C511&lt;&gt;"",COUNTIFS($C$8:C511,C511,$E$8:E511,E511)=1),1,0)</f>
        <v>0</v>
      </c>
    </row>
    <row r="512" spans="1:29" ht="15" customHeight="1" x14ac:dyDescent="0.25">
      <c r="A512" s="25" t="str">
        <f t="shared" si="7"/>
        <v/>
      </c>
      <c r="B512" s="26"/>
      <c r="C512" s="27"/>
      <c r="D512" s="28" t="str">
        <f>IFERROR(IF(C512="","",INDEX(마스터!$F$4:$F$20,MATCH(C512,마스터!$M$4:$M$20,0))),"")</f>
        <v/>
      </c>
      <c r="E512" s="27"/>
      <c r="F512" s="29"/>
      <c r="G512" s="25" t="str">
        <f>IFERROR(IF(C512="","",INDEX(마스터!$J$4:$J$20,MATCH(C512,마스터!$M$4:$M$20,0))),"")</f>
        <v/>
      </c>
      <c r="H512" s="30"/>
      <c r="I512" s="30"/>
      <c r="AC512" s="32">
        <f>IF(AND(E512&lt;&gt;"",C512&lt;&gt;"",COUNTIFS($C$8:C512,C512,$E$8:E512,E512)=1),1,0)</f>
        <v>0</v>
      </c>
    </row>
    <row r="513" spans="1:29" ht="15" customHeight="1" x14ac:dyDescent="0.25">
      <c r="A513" s="25" t="str">
        <f t="shared" si="7"/>
        <v/>
      </c>
      <c r="B513" s="26"/>
      <c r="C513" s="27"/>
      <c r="D513" s="28" t="str">
        <f>IFERROR(IF(C513="","",INDEX(마스터!$F$4:$F$20,MATCH(C513,마스터!$M$4:$M$20,0))),"")</f>
        <v/>
      </c>
      <c r="E513" s="27"/>
      <c r="F513" s="29"/>
      <c r="G513" s="25" t="str">
        <f>IFERROR(IF(C513="","",INDEX(마스터!$J$4:$J$20,MATCH(C513,마스터!$M$4:$M$20,0))),"")</f>
        <v/>
      </c>
      <c r="H513" s="30"/>
      <c r="I513" s="30"/>
      <c r="AC513" s="32">
        <f>IF(AND(E513&lt;&gt;"",C513&lt;&gt;"",COUNTIFS($C$8:C513,C513,$E$8:E513,E513)=1),1,0)</f>
        <v>0</v>
      </c>
    </row>
    <row r="514" spans="1:29" ht="15" customHeight="1" x14ac:dyDescent="0.25">
      <c r="A514" s="25" t="str">
        <f t="shared" si="7"/>
        <v/>
      </c>
      <c r="B514" s="26"/>
      <c r="C514" s="27"/>
      <c r="D514" s="28" t="str">
        <f>IFERROR(IF(C514="","",INDEX(마스터!$F$4:$F$20,MATCH(C514,마스터!$M$4:$M$20,0))),"")</f>
        <v/>
      </c>
      <c r="E514" s="27"/>
      <c r="F514" s="29"/>
      <c r="G514" s="25" t="str">
        <f>IFERROR(IF(C514="","",INDEX(마스터!$J$4:$J$20,MATCH(C514,마스터!$M$4:$M$20,0))),"")</f>
        <v/>
      </c>
      <c r="H514" s="30"/>
      <c r="I514" s="30"/>
      <c r="AC514" s="32">
        <f>IF(AND(E514&lt;&gt;"",C514&lt;&gt;"",COUNTIFS($C$8:C514,C514,$E$8:E514,E514)=1),1,0)</f>
        <v>0</v>
      </c>
    </row>
    <row r="515" spans="1:29" ht="15" customHeight="1" x14ac:dyDescent="0.25">
      <c r="A515" s="25" t="str">
        <f t="shared" si="7"/>
        <v/>
      </c>
      <c r="B515" s="26"/>
      <c r="C515" s="27"/>
      <c r="D515" s="28" t="str">
        <f>IFERROR(IF(C515="","",INDEX(마스터!$F$4:$F$20,MATCH(C515,마스터!$M$4:$M$20,0))),"")</f>
        <v/>
      </c>
      <c r="E515" s="27"/>
      <c r="F515" s="29"/>
      <c r="G515" s="25" t="str">
        <f>IFERROR(IF(C515="","",INDEX(마스터!$J$4:$J$20,MATCH(C515,마스터!$M$4:$M$20,0))),"")</f>
        <v/>
      </c>
      <c r="H515" s="30"/>
      <c r="I515" s="30"/>
      <c r="AC515" s="32">
        <f>IF(AND(E515&lt;&gt;"",C515&lt;&gt;"",COUNTIFS($C$8:C515,C515,$E$8:E515,E515)=1),1,0)</f>
        <v>0</v>
      </c>
    </row>
    <row r="516" spans="1:29" ht="15" customHeight="1" x14ac:dyDescent="0.25">
      <c r="A516" s="25" t="str">
        <f t="shared" si="7"/>
        <v/>
      </c>
      <c r="B516" s="26"/>
      <c r="C516" s="27"/>
      <c r="D516" s="28" t="str">
        <f>IFERROR(IF(C516="","",INDEX(마스터!$F$4:$F$20,MATCH(C516,마스터!$M$4:$M$20,0))),"")</f>
        <v/>
      </c>
      <c r="E516" s="27"/>
      <c r="F516" s="29"/>
      <c r="G516" s="25" t="str">
        <f>IFERROR(IF(C516="","",INDEX(마스터!$J$4:$J$20,MATCH(C516,마스터!$M$4:$M$20,0))),"")</f>
        <v/>
      </c>
      <c r="H516" s="30"/>
      <c r="I516" s="30"/>
      <c r="AC516" s="32">
        <f>IF(AND(E516&lt;&gt;"",C516&lt;&gt;"",COUNTIFS($C$8:C516,C516,$E$8:E516,E516)=1),1,0)</f>
        <v>0</v>
      </c>
    </row>
    <row r="517" spans="1:29" ht="15" customHeight="1" x14ac:dyDescent="0.25">
      <c r="A517" s="25" t="str">
        <f t="shared" si="7"/>
        <v/>
      </c>
      <c r="B517" s="26"/>
      <c r="C517" s="27"/>
      <c r="D517" s="28" t="str">
        <f>IFERROR(IF(C517="","",INDEX(마스터!$F$4:$F$20,MATCH(C517,마스터!$M$4:$M$20,0))),"")</f>
        <v/>
      </c>
      <c r="E517" s="27"/>
      <c r="F517" s="29"/>
      <c r="G517" s="25" t="str">
        <f>IFERROR(IF(C517="","",INDEX(마스터!$J$4:$J$20,MATCH(C517,마스터!$M$4:$M$20,0))),"")</f>
        <v/>
      </c>
      <c r="H517" s="30"/>
      <c r="I517" s="30"/>
      <c r="AC517" s="32">
        <f>IF(AND(E517&lt;&gt;"",C517&lt;&gt;"",COUNTIFS($C$8:C517,C517,$E$8:E517,E517)=1),1,0)</f>
        <v>0</v>
      </c>
    </row>
    <row r="518" spans="1:29" ht="15" customHeight="1" x14ac:dyDescent="0.25">
      <c r="A518" s="25" t="str">
        <f t="shared" si="7"/>
        <v/>
      </c>
      <c r="B518" s="26"/>
      <c r="C518" s="27"/>
      <c r="D518" s="28" t="str">
        <f>IFERROR(IF(C518="","",INDEX(마스터!$F$4:$F$20,MATCH(C518,마스터!$M$4:$M$20,0))),"")</f>
        <v/>
      </c>
      <c r="E518" s="27"/>
      <c r="F518" s="29"/>
      <c r="G518" s="25" t="str">
        <f>IFERROR(IF(C518="","",INDEX(마스터!$J$4:$J$20,MATCH(C518,마스터!$M$4:$M$20,0))),"")</f>
        <v/>
      </c>
      <c r="H518" s="30"/>
      <c r="I518" s="30"/>
      <c r="AC518" s="32">
        <f>IF(AND(E518&lt;&gt;"",C518&lt;&gt;"",COUNTIFS($C$8:C518,C518,$E$8:E518,E518)=1),1,0)</f>
        <v>0</v>
      </c>
    </row>
    <row r="519" spans="1:29" ht="15" customHeight="1" x14ac:dyDescent="0.25">
      <c r="A519" s="25" t="str">
        <f t="shared" si="7"/>
        <v/>
      </c>
      <c r="B519" s="26"/>
      <c r="C519" s="27"/>
      <c r="D519" s="28" t="str">
        <f>IFERROR(IF(C519="","",INDEX(마스터!$F$4:$F$20,MATCH(C519,마스터!$M$4:$M$20,0))),"")</f>
        <v/>
      </c>
      <c r="E519" s="27"/>
      <c r="F519" s="29"/>
      <c r="G519" s="25" t="str">
        <f>IFERROR(IF(C519="","",INDEX(마스터!$J$4:$J$20,MATCH(C519,마스터!$M$4:$M$20,0))),"")</f>
        <v/>
      </c>
      <c r="H519" s="30"/>
      <c r="I519" s="30"/>
      <c r="AC519" s="32">
        <f>IF(AND(E519&lt;&gt;"",C519&lt;&gt;"",COUNTIFS($C$8:C519,C519,$E$8:E519,E519)=1),1,0)</f>
        <v>0</v>
      </c>
    </row>
    <row r="520" spans="1:29" ht="15" customHeight="1" x14ac:dyDescent="0.25">
      <c r="A520" s="25" t="str">
        <f t="shared" ref="A520:A583" si="8">IF(B520="","",ROW()-7)</f>
        <v/>
      </c>
      <c r="B520" s="26"/>
      <c r="C520" s="27"/>
      <c r="D520" s="28" t="str">
        <f>IFERROR(IF(C520="","",INDEX(마스터!$F$4:$F$20,MATCH(C520,마스터!$M$4:$M$20,0))),"")</f>
        <v/>
      </c>
      <c r="E520" s="27"/>
      <c r="F520" s="29"/>
      <c r="G520" s="25" t="str">
        <f>IFERROR(IF(C520="","",INDEX(마스터!$J$4:$J$20,MATCH(C520,마스터!$M$4:$M$20,0))),"")</f>
        <v/>
      </c>
      <c r="H520" s="30"/>
      <c r="I520" s="30"/>
      <c r="AC520" s="32">
        <f>IF(AND(E520&lt;&gt;"",C520&lt;&gt;"",COUNTIFS($C$8:C520,C520,$E$8:E520,E520)=1),1,0)</f>
        <v>0</v>
      </c>
    </row>
    <row r="521" spans="1:29" ht="15" customHeight="1" x14ac:dyDescent="0.25">
      <c r="A521" s="25" t="str">
        <f t="shared" si="8"/>
        <v/>
      </c>
      <c r="B521" s="26"/>
      <c r="C521" s="27"/>
      <c r="D521" s="28" t="str">
        <f>IFERROR(IF(C521="","",INDEX(마스터!$F$4:$F$20,MATCH(C521,마스터!$M$4:$M$20,0))),"")</f>
        <v/>
      </c>
      <c r="E521" s="27"/>
      <c r="F521" s="29"/>
      <c r="G521" s="25" t="str">
        <f>IFERROR(IF(C521="","",INDEX(마스터!$J$4:$J$20,MATCH(C521,마스터!$M$4:$M$20,0))),"")</f>
        <v/>
      </c>
      <c r="H521" s="30"/>
      <c r="I521" s="30"/>
      <c r="AC521" s="32">
        <f>IF(AND(E521&lt;&gt;"",C521&lt;&gt;"",COUNTIFS($C$8:C521,C521,$E$8:E521,E521)=1),1,0)</f>
        <v>0</v>
      </c>
    </row>
    <row r="522" spans="1:29" ht="15" customHeight="1" x14ac:dyDescent="0.25">
      <c r="A522" s="25" t="str">
        <f t="shared" si="8"/>
        <v/>
      </c>
      <c r="B522" s="26"/>
      <c r="C522" s="27"/>
      <c r="D522" s="28" t="str">
        <f>IFERROR(IF(C522="","",INDEX(마스터!$F$4:$F$20,MATCH(C522,마스터!$M$4:$M$20,0))),"")</f>
        <v/>
      </c>
      <c r="E522" s="27"/>
      <c r="F522" s="29"/>
      <c r="G522" s="25" t="str">
        <f>IFERROR(IF(C522="","",INDEX(마스터!$J$4:$J$20,MATCH(C522,마스터!$M$4:$M$20,0))),"")</f>
        <v/>
      </c>
      <c r="H522" s="30"/>
      <c r="I522" s="30"/>
      <c r="AC522" s="32">
        <f>IF(AND(E522&lt;&gt;"",C522&lt;&gt;"",COUNTIFS($C$8:C522,C522,$E$8:E522,E522)=1),1,0)</f>
        <v>0</v>
      </c>
    </row>
    <row r="523" spans="1:29" ht="15" customHeight="1" x14ac:dyDescent="0.25">
      <c r="A523" s="25" t="str">
        <f t="shared" si="8"/>
        <v/>
      </c>
      <c r="B523" s="26"/>
      <c r="C523" s="27"/>
      <c r="D523" s="28" t="str">
        <f>IFERROR(IF(C523="","",INDEX(마스터!$F$4:$F$20,MATCH(C523,마스터!$M$4:$M$20,0))),"")</f>
        <v/>
      </c>
      <c r="E523" s="27"/>
      <c r="F523" s="29"/>
      <c r="G523" s="25" t="str">
        <f>IFERROR(IF(C523="","",INDEX(마스터!$J$4:$J$20,MATCH(C523,마스터!$M$4:$M$20,0))),"")</f>
        <v/>
      </c>
      <c r="H523" s="30"/>
      <c r="I523" s="30"/>
      <c r="AC523" s="32">
        <f>IF(AND(E523&lt;&gt;"",C523&lt;&gt;"",COUNTIFS($C$8:C523,C523,$E$8:E523,E523)=1),1,0)</f>
        <v>0</v>
      </c>
    </row>
    <row r="524" spans="1:29" ht="15" customHeight="1" x14ac:dyDescent="0.25">
      <c r="A524" s="25" t="str">
        <f t="shared" si="8"/>
        <v/>
      </c>
      <c r="B524" s="26"/>
      <c r="C524" s="27"/>
      <c r="D524" s="28" t="str">
        <f>IFERROR(IF(C524="","",INDEX(마스터!$F$4:$F$20,MATCH(C524,마스터!$M$4:$M$20,0))),"")</f>
        <v/>
      </c>
      <c r="E524" s="27"/>
      <c r="F524" s="29"/>
      <c r="G524" s="25" t="str">
        <f>IFERROR(IF(C524="","",INDEX(마스터!$J$4:$J$20,MATCH(C524,마스터!$M$4:$M$20,0))),"")</f>
        <v/>
      </c>
      <c r="H524" s="30"/>
      <c r="I524" s="30"/>
      <c r="AC524" s="32">
        <f>IF(AND(E524&lt;&gt;"",C524&lt;&gt;"",COUNTIFS($C$8:C524,C524,$E$8:E524,E524)=1),1,0)</f>
        <v>0</v>
      </c>
    </row>
    <row r="525" spans="1:29" ht="15" customHeight="1" x14ac:dyDescent="0.25">
      <c r="A525" s="25" t="str">
        <f t="shared" si="8"/>
        <v/>
      </c>
      <c r="B525" s="26"/>
      <c r="C525" s="27"/>
      <c r="D525" s="28" t="str">
        <f>IFERROR(IF(C525="","",INDEX(마스터!$F$4:$F$20,MATCH(C525,마스터!$M$4:$M$20,0))),"")</f>
        <v/>
      </c>
      <c r="E525" s="27"/>
      <c r="F525" s="29"/>
      <c r="G525" s="25" t="str">
        <f>IFERROR(IF(C525="","",INDEX(마스터!$J$4:$J$20,MATCH(C525,마스터!$M$4:$M$20,0))),"")</f>
        <v/>
      </c>
      <c r="H525" s="30"/>
      <c r="I525" s="30"/>
      <c r="AC525" s="32">
        <f>IF(AND(E525&lt;&gt;"",C525&lt;&gt;"",COUNTIFS($C$8:C525,C525,$E$8:E525,E525)=1),1,0)</f>
        <v>0</v>
      </c>
    </row>
    <row r="526" spans="1:29" ht="15" customHeight="1" x14ac:dyDescent="0.25">
      <c r="A526" s="25" t="str">
        <f t="shared" si="8"/>
        <v/>
      </c>
      <c r="B526" s="26"/>
      <c r="C526" s="27"/>
      <c r="D526" s="28" t="str">
        <f>IFERROR(IF(C526="","",INDEX(마스터!$F$4:$F$20,MATCH(C526,마스터!$M$4:$M$20,0))),"")</f>
        <v/>
      </c>
      <c r="E526" s="27"/>
      <c r="F526" s="29"/>
      <c r="G526" s="25" t="str">
        <f>IFERROR(IF(C526="","",INDEX(마스터!$J$4:$J$20,MATCH(C526,마스터!$M$4:$M$20,0))),"")</f>
        <v/>
      </c>
      <c r="H526" s="30"/>
      <c r="I526" s="30"/>
      <c r="AC526" s="32">
        <f>IF(AND(E526&lt;&gt;"",C526&lt;&gt;"",COUNTIFS($C$8:C526,C526,$E$8:E526,E526)=1),1,0)</f>
        <v>0</v>
      </c>
    </row>
    <row r="527" spans="1:29" ht="15" customHeight="1" x14ac:dyDescent="0.25">
      <c r="A527" s="25" t="str">
        <f t="shared" si="8"/>
        <v/>
      </c>
      <c r="B527" s="26"/>
      <c r="C527" s="27"/>
      <c r="D527" s="28" t="str">
        <f>IFERROR(IF(C527="","",INDEX(마스터!$F$4:$F$20,MATCH(C527,마스터!$M$4:$M$20,0))),"")</f>
        <v/>
      </c>
      <c r="E527" s="27"/>
      <c r="F527" s="29"/>
      <c r="G527" s="25" t="str">
        <f>IFERROR(IF(C527="","",INDEX(마스터!$J$4:$J$20,MATCH(C527,마스터!$M$4:$M$20,0))),"")</f>
        <v/>
      </c>
      <c r="H527" s="30"/>
      <c r="I527" s="30"/>
      <c r="AC527" s="32">
        <f>IF(AND(E527&lt;&gt;"",C527&lt;&gt;"",COUNTIFS($C$8:C527,C527,$E$8:E527,E527)=1),1,0)</f>
        <v>0</v>
      </c>
    </row>
    <row r="528" spans="1:29" ht="15" customHeight="1" x14ac:dyDescent="0.25">
      <c r="A528" s="25" t="str">
        <f t="shared" si="8"/>
        <v/>
      </c>
      <c r="B528" s="26"/>
      <c r="C528" s="27"/>
      <c r="D528" s="28" t="str">
        <f>IFERROR(IF(C528="","",INDEX(마스터!$F$4:$F$20,MATCH(C528,마스터!$M$4:$M$20,0))),"")</f>
        <v/>
      </c>
      <c r="E528" s="27"/>
      <c r="F528" s="29"/>
      <c r="G528" s="25" t="str">
        <f>IFERROR(IF(C528="","",INDEX(마스터!$J$4:$J$20,MATCH(C528,마스터!$M$4:$M$20,0))),"")</f>
        <v/>
      </c>
      <c r="H528" s="30"/>
      <c r="I528" s="30"/>
      <c r="AC528" s="32">
        <f>IF(AND(E528&lt;&gt;"",C528&lt;&gt;"",COUNTIFS($C$8:C528,C528,$E$8:E528,E528)=1),1,0)</f>
        <v>0</v>
      </c>
    </row>
    <row r="529" spans="1:29" ht="15" customHeight="1" x14ac:dyDescent="0.25">
      <c r="A529" s="25" t="str">
        <f t="shared" si="8"/>
        <v/>
      </c>
      <c r="B529" s="26"/>
      <c r="C529" s="27"/>
      <c r="D529" s="28" t="str">
        <f>IFERROR(IF(C529="","",INDEX(마스터!$F$4:$F$20,MATCH(C529,마스터!$M$4:$M$20,0))),"")</f>
        <v/>
      </c>
      <c r="E529" s="27"/>
      <c r="F529" s="29"/>
      <c r="G529" s="25" t="str">
        <f>IFERROR(IF(C529="","",INDEX(마스터!$J$4:$J$20,MATCH(C529,마스터!$M$4:$M$20,0))),"")</f>
        <v/>
      </c>
      <c r="H529" s="30"/>
      <c r="I529" s="30"/>
      <c r="AC529" s="32">
        <f>IF(AND(E529&lt;&gt;"",C529&lt;&gt;"",COUNTIFS($C$8:C529,C529,$E$8:E529,E529)=1),1,0)</f>
        <v>0</v>
      </c>
    </row>
    <row r="530" spans="1:29" ht="15" customHeight="1" x14ac:dyDescent="0.25">
      <c r="A530" s="25" t="str">
        <f t="shared" si="8"/>
        <v/>
      </c>
      <c r="B530" s="26"/>
      <c r="C530" s="27"/>
      <c r="D530" s="28" t="str">
        <f>IFERROR(IF(C530="","",INDEX(마스터!$F$4:$F$20,MATCH(C530,마스터!$M$4:$M$20,0))),"")</f>
        <v/>
      </c>
      <c r="E530" s="27"/>
      <c r="F530" s="29"/>
      <c r="G530" s="25" t="str">
        <f>IFERROR(IF(C530="","",INDEX(마스터!$J$4:$J$20,MATCH(C530,마스터!$M$4:$M$20,0))),"")</f>
        <v/>
      </c>
      <c r="H530" s="30"/>
      <c r="I530" s="30"/>
      <c r="AC530" s="32">
        <f>IF(AND(E530&lt;&gt;"",C530&lt;&gt;"",COUNTIFS($C$8:C530,C530,$E$8:E530,E530)=1),1,0)</f>
        <v>0</v>
      </c>
    </row>
    <row r="531" spans="1:29" ht="15" customHeight="1" x14ac:dyDescent="0.25">
      <c r="A531" s="25" t="str">
        <f t="shared" si="8"/>
        <v/>
      </c>
      <c r="B531" s="26"/>
      <c r="C531" s="27"/>
      <c r="D531" s="28" t="str">
        <f>IFERROR(IF(C531="","",INDEX(마스터!$F$4:$F$20,MATCH(C531,마스터!$M$4:$M$20,0))),"")</f>
        <v/>
      </c>
      <c r="E531" s="27"/>
      <c r="F531" s="29"/>
      <c r="G531" s="25" t="str">
        <f>IFERROR(IF(C531="","",INDEX(마스터!$J$4:$J$20,MATCH(C531,마스터!$M$4:$M$20,0))),"")</f>
        <v/>
      </c>
      <c r="H531" s="30"/>
      <c r="I531" s="30"/>
      <c r="AC531" s="32">
        <f>IF(AND(E531&lt;&gt;"",C531&lt;&gt;"",COUNTIFS($C$8:C531,C531,$E$8:E531,E531)=1),1,0)</f>
        <v>0</v>
      </c>
    </row>
    <row r="532" spans="1:29" ht="15" customHeight="1" x14ac:dyDescent="0.25">
      <c r="A532" s="25" t="str">
        <f t="shared" si="8"/>
        <v/>
      </c>
      <c r="B532" s="26"/>
      <c r="C532" s="27"/>
      <c r="D532" s="28" t="str">
        <f>IFERROR(IF(C532="","",INDEX(마스터!$F$4:$F$20,MATCH(C532,마스터!$M$4:$M$20,0))),"")</f>
        <v/>
      </c>
      <c r="E532" s="27"/>
      <c r="F532" s="29"/>
      <c r="G532" s="25" t="str">
        <f>IFERROR(IF(C532="","",INDEX(마스터!$J$4:$J$20,MATCH(C532,마스터!$M$4:$M$20,0))),"")</f>
        <v/>
      </c>
      <c r="H532" s="30"/>
      <c r="I532" s="30"/>
      <c r="AC532" s="32">
        <f>IF(AND(E532&lt;&gt;"",C532&lt;&gt;"",COUNTIFS($C$8:C532,C532,$E$8:E532,E532)=1),1,0)</f>
        <v>0</v>
      </c>
    </row>
    <row r="533" spans="1:29" ht="15" customHeight="1" x14ac:dyDescent="0.25">
      <c r="A533" s="25" t="str">
        <f t="shared" si="8"/>
        <v/>
      </c>
      <c r="B533" s="26"/>
      <c r="C533" s="27"/>
      <c r="D533" s="28" t="str">
        <f>IFERROR(IF(C533="","",INDEX(마스터!$F$4:$F$20,MATCH(C533,마스터!$M$4:$M$20,0))),"")</f>
        <v/>
      </c>
      <c r="E533" s="27"/>
      <c r="F533" s="29"/>
      <c r="G533" s="25" t="str">
        <f>IFERROR(IF(C533="","",INDEX(마스터!$J$4:$J$20,MATCH(C533,마스터!$M$4:$M$20,0))),"")</f>
        <v/>
      </c>
      <c r="H533" s="30"/>
      <c r="I533" s="30"/>
      <c r="AC533" s="32">
        <f>IF(AND(E533&lt;&gt;"",C533&lt;&gt;"",COUNTIFS($C$8:C533,C533,$E$8:E533,E533)=1),1,0)</f>
        <v>0</v>
      </c>
    </row>
    <row r="534" spans="1:29" ht="15" customHeight="1" x14ac:dyDescent="0.25">
      <c r="A534" s="25" t="str">
        <f t="shared" si="8"/>
        <v/>
      </c>
      <c r="B534" s="26"/>
      <c r="C534" s="27"/>
      <c r="D534" s="28" t="str">
        <f>IFERROR(IF(C534="","",INDEX(마스터!$F$4:$F$20,MATCH(C534,마스터!$M$4:$M$20,0))),"")</f>
        <v/>
      </c>
      <c r="E534" s="27"/>
      <c r="F534" s="29"/>
      <c r="G534" s="25" t="str">
        <f>IFERROR(IF(C534="","",INDEX(마스터!$J$4:$J$20,MATCH(C534,마스터!$M$4:$M$20,0))),"")</f>
        <v/>
      </c>
      <c r="H534" s="30"/>
      <c r="I534" s="30"/>
      <c r="AC534" s="32">
        <f>IF(AND(E534&lt;&gt;"",C534&lt;&gt;"",COUNTIFS($C$8:C534,C534,$E$8:E534,E534)=1),1,0)</f>
        <v>0</v>
      </c>
    </row>
    <row r="535" spans="1:29" ht="15" customHeight="1" x14ac:dyDescent="0.25">
      <c r="A535" s="25" t="str">
        <f t="shared" si="8"/>
        <v/>
      </c>
      <c r="B535" s="26"/>
      <c r="C535" s="27"/>
      <c r="D535" s="28" t="str">
        <f>IFERROR(IF(C535="","",INDEX(마스터!$F$4:$F$20,MATCH(C535,마스터!$M$4:$M$20,0))),"")</f>
        <v/>
      </c>
      <c r="E535" s="27"/>
      <c r="F535" s="29"/>
      <c r="G535" s="25" t="str">
        <f>IFERROR(IF(C535="","",INDEX(마스터!$J$4:$J$20,MATCH(C535,마스터!$M$4:$M$20,0))),"")</f>
        <v/>
      </c>
      <c r="H535" s="30"/>
      <c r="I535" s="30"/>
      <c r="AC535" s="32">
        <f>IF(AND(E535&lt;&gt;"",C535&lt;&gt;"",COUNTIFS($C$8:C535,C535,$E$8:E535,E535)=1),1,0)</f>
        <v>0</v>
      </c>
    </row>
    <row r="536" spans="1:29" ht="15" customHeight="1" x14ac:dyDescent="0.25">
      <c r="A536" s="25" t="str">
        <f t="shared" si="8"/>
        <v/>
      </c>
      <c r="B536" s="26"/>
      <c r="C536" s="27"/>
      <c r="D536" s="28" t="str">
        <f>IFERROR(IF(C536="","",INDEX(마스터!$F$4:$F$20,MATCH(C536,마스터!$M$4:$M$20,0))),"")</f>
        <v/>
      </c>
      <c r="E536" s="27"/>
      <c r="F536" s="29"/>
      <c r="G536" s="25" t="str">
        <f>IFERROR(IF(C536="","",INDEX(마스터!$J$4:$J$20,MATCH(C536,마스터!$M$4:$M$20,0))),"")</f>
        <v/>
      </c>
      <c r="H536" s="30"/>
      <c r="I536" s="30"/>
      <c r="AC536" s="32">
        <f>IF(AND(E536&lt;&gt;"",C536&lt;&gt;"",COUNTIFS($C$8:C536,C536,$E$8:E536,E536)=1),1,0)</f>
        <v>0</v>
      </c>
    </row>
    <row r="537" spans="1:29" ht="15" customHeight="1" x14ac:dyDescent="0.25">
      <c r="A537" s="25" t="str">
        <f t="shared" si="8"/>
        <v/>
      </c>
      <c r="B537" s="26"/>
      <c r="C537" s="27"/>
      <c r="D537" s="28" t="str">
        <f>IFERROR(IF(C537="","",INDEX(마스터!$F$4:$F$20,MATCH(C537,마스터!$M$4:$M$20,0))),"")</f>
        <v/>
      </c>
      <c r="E537" s="27"/>
      <c r="F537" s="29"/>
      <c r="G537" s="25" t="str">
        <f>IFERROR(IF(C537="","",INDEX(마스터!$J$4:$J$20,MATCH(C537,마스터!$M$4:$M$20,0))),"")</f>
        <v/>
      </c>
      <c r="H537" s="30"/>
      <c r="I537" s="30"/>
      <c r="AC537" s="32">
        <f>IF(AND(E537&lt;&gt;"",C537&lt;&gt;"",COUNTIFS($C$8:C537,C537,$E$8:E537,E537)=1),1,0)</f>
        <v>0</v>
      </c>
    </row>
    <row r="538" spans="1:29" ht="15" customHeight="1" x14ac:dyDescent="0.25">
      <c r="A538" s="25" t="str">
        <f t="shared" si="8"/>
        <v/>
      </c>
      <c r="B538" s="26"/>
      <c r="C538" s="27"/>
      <c r="D538" s="28" t="str">
        <f>IFERROR(IF(C538="","",INDEX(마스터!$F$4:$F$20,MATCH(C538,마스터!$M$4:$M$20,0))),"")</f>
        <v/>
      </c>
      <c r="E538" s="27"/>
      <c r="F538" s="29"/>
      <c r="G538" s="25" t="str">
        <f>IFERROR(IF(C538="","",INDEX(마스터!$J$4:$J$20,MATCH(C538,마스터!$M$4:$M$20,0))),"")</f>
        <v/>
      </c>
      <c r="H538" s="30"/>
      <c r="I538" s="30"/>
      <c r="AC538" s="32">
        <f>IF(AND(E538&lt;&gt;"",C538&lt;&gt;"",COUNTIFS($C$8:C538,C538,$E$8:E538,E538)=1),1,0)</f>
        <v>0</v>
      </c>
    </row>
    <row r="539" spans="1:29" ht="15" customHeight="1" x14ac:dyDescent="0.25">
      <c r="A539" s="25" t="str">
        <f t="shared" si="8"/>
        <v/>
      </c>
      <c r="B539" s="26"/>
      <c r="C539" s="27"/>
      <c r="D539" s="28" t="str">
        <f>IFERROR(IF(C539="","",INDEX(마스터!$F$4:$F$20,MATCH(C539,마스터!$M$4:$M$20,0))),"")</f>
        <v/>
      </c>
      <c r="E539" s="27"/>
      <c r="F539" s="29"/>
      <c r="G539" s="25" t="str">
        <f>IFERROR(IF(C539="","",INDEX(마스터!$J$4:$J$20,MATCH(C539,마스터!$M$4:$M$20,0))),"")</f>
        <v/>
      </c>
      <c r="H539" s="30"/>
      <c r="I539" s="30"/>
      <c r="AC539" s="32">
        <f>IF(AND(E539&lt;&gt;"",C539&lt;&gt;"",COUNTIFS($C$8:C539,C539,$E$8:E539,E539)=1),1,0)</f>
        <v>0</v>
      </c>
    </row>
    <row r="540" spans="1:29" ht="15" customHeight="1" x14ac:dyDescent="0.25">
      <c r="A540" s="25" t="str">
        <f t="shared" si="8"/>
        <v/>
      </c>
      <c r="B540" s="26"/>
      <c r="C540" s="27"/>
      <c r="D540" s="28" t="str">
        <f>IFERROR(IF(C540="","",INDEX(마스터!$F$4:$F$20,MATCH(C540,마스터!$M$4:$M$20,0))),"")</f>
        <v/>
      </c>
      <c r="E540" s="27"/>
      <c r="F540" s="29"/>
      <c r="G540" s="25" t="str">
        <f>IFERROR(IF(C540="","",INDEX(마스터!$J$4:$J$20,MATCH(C540,마스터!$M$4:$M$20,0))),"")</f>
        <v/>
      </c>
      <c r="H540" s="30"/>
      <c r="I540" s="30"/>
      <c r="AC540" s="32">
        <f>IF(AND(E540&lt;&gt;"",C540&lt;&gt;"",COUNTIFS($C$8:C540,C540,$E$8:E540,E540)=1),1,0)</f>
        <v>0</v>
      </c>
    </row>
    <row r="541" spans="1:29" ht="15" customHeight="1" x14ac:dyDescent="0.25">
      <c r="A541" s="25" t="str">
        <f t="shared" si="8"/>
        <v/>
      </c>
      <c r="B541" s="26"/>
      <c r="C541" s="27"/>
      <c r="D541" s="28" t="str">
        <f>IFERROR(IF(C541="","",INDEX(마스터!$F$4:$F$20,MATCH(C541,마스터!$M$4:$M$20,0))),"")</f>
        <v/>
      </c>
      <c r="E541" s="27"/>
      <c r="F541" s="29"/>
      <c r="G541" s="25" t="str">
        <f>IFERROR(IF(C541="","",INDEX(마스터!$J$4:$J$20,MATCH(C541,마스터!$M$4:$M$20,0))),"")</f>
        <v/>
      </c>
      <c r="H541" s="30"/>
      <c r="I541" s="30"/>
      <c r="AC541" s="32">
        <f>IF(AND(E541&lt;&gt;"",C541&lt;&gt;"",COUNTIFS($C$8:C541,C541,$E$8:E541,E541)=1),1,0)</f>
        <v>0</v>
      </c>
    </row>
    <row r="542" spans="1:29" ht="15" customHeight="1" x14ac:dyDescent="0.25">
      <c r="A542" s="25" t="str">
        <f t="shared" si="8"/>
        <v/>
      </c>
      <c r="B542" s="26"/>
      <c r="C542" s="27"/>
      <c r="D542" s="28" t="str">
        <f>IFERROR(IF(C542="","",INDEX(마스터!$F$4:$F$20,MATCH(C542,마스터!$M$4:$M$20,0))),"")</f>
        <v/>
      </c>
      <c r="E542" s="27"/>
      <c r="F542" s="29"/>
      <c r="G542" s="25" t="str">
        <f>IFERROR(IF(C542="","",INDEX(마스터!$J$4:$J$20,MATCH(C542,마스터!$M$4:$M$20,0))),"")</f>
        <v/>
      </c>
      <c r="H542" s="30"/>
      <c r="I542" s="30"/>
      <c r="AC542" s="32">
        <f>IF(AND(E542&lt;&gt;"",C542&lt;&gt;"",COUNTIFS($C$8:C542,C542,$E$8:E542,E542)=1),1,0)</f>
        <v>0</v>
      </c>
    </row>
    <row r="543" spans="1:29" ht="15" customHeight="1" x14ac:dyDescent="0.25">
      <c r="A543" s="25" t="str">
        <f t="shared" si="8"/>
        <v/>
      </c>
      <c r="B543" s="26"/>
      <c r="C543" s="27"/>
      <c r="D543" s="28" t="str">
        <f>IFERROR(IF(C543="","",INDEX(마스터!$F$4:$F$20,MATCH(C543,마스터!$M$4:$M$20,0))),"")</f>
        <v/>
      </c>
      <c r="E543" s="27"/>
      <c r="F543" s="29"/>
      <c r="G543" s="25" t="str">
        <f>IFERROR(IF(C543="","",INDEX(마스터!$J$4:$J$20,MATCH(C543,마스터!$M$4:$M$20,0))),"")</f>
        <v/>
      </c>
      <c r="H543" s="30"/>
      <c r="I543" s="30"/>
      <c r="AC543" s="32">
        <f>IF(AND(E543&lt;&gt;"",C543&lt;&gt;"",COUNTIFS($C$8:C543,C543,$E$8:E543,E543)=1),1,0)</f>
        <v>0</v>
      </c>
    </row>
    <row r="544" spans="1:29" ht="15" customHeight="1" x14ac:dyDescent="0.25">
      <c r="A544" s="25" t="str">
        <f t="shared" si="8"/>
        <v/>
      </c>
      <c r="B544" s="26"/>
      <c r="C544" s="27"/>
      <c r="D544" s="28" t="str">
        <f>IFERROR(IF(C544="","",INDEX(마스터!$F$4:$F$20,MATCH(C544,마스터!$M$4:$M$20,0))),"")</f>
        <v/>
      </c>
      <c r="E544" s="27"/>
      <c r="F544" s="29"/>
      <c r="G544" s="25" t="str">
        <f>IFERROR(IF(C544="","",INDEX(마스터!$J$4:$J$20,MATCH(C544,마스터!$M$4:$M$20,0))),"")</f>
        <v/>
      </c>
      <c r="H544" s="30"/>
      <c r="I544" s="30"/>
      <c r="AC544" s="32">
        <f>IF(AND(E544&lt;&gt;"",C544&lt;&gt;"",COUNTIFS($C$8:C544,C544,$E$8:E544,E544)=1),1,0)</f>
        <v>0</v>
      </c>
    </row>
    <row r="545" spans="1:29" ht="15" customHeight="1" x14ac:dyDescent="0.25">
      <c r="A545" s="25" t="str">
        <f t="shared" si="8"/>
        <v/>
      </c>
      <c r="B545" s="26"/>
      <c r="C545" s="27"/>
      <c r="D545" s="28" t="str">
        <f>IFERROR(IF(C545="","",INDEX(마스터!$F$4:$F$20,MATCH(C545,마스터!$M$4:$M$20,0))),"")</f>
        <v/>
      </c>
      <c r="E545" s="27"/>
      <c r="F545" s="29"/>
      <c r="G545" s="25" t="str">
        <f>IFERROR(IF(C545="","",INDEX(마스터!$J$4:$J$20,MATCH(C545,마스터!$M$4:$M$20,0))),"")</f>
        <v/>
      </c>
      <c r="H545" s="30"/>
      <c r="I545" s="30"/>
      <c r="AC545" s="32">
        <f>IF(AND(E545&lt;&gt;"",C545&lt;&gt;"",COUNTIFS($C$8:C545,C545,$E$8:E545,E545)=1),1,0)</f>
        <v>0</v>
      </c>
    </row>
    <row r="546" spans="1:29" ht="15" customHeight="1" x14ac:dyDescent="0.25">
      <c r="A546" s="25" t="str">
        <f t="shared" si="8"/>
        <v/>
      </c>
      <c r="B546" s="26"/>
      <c r="C546" s="27"/>
      <c r="D546" s="28" t="str">
        <f>IFERROR(IF(C546="","",INDEX(마스터!$F$4:$F$20,MATCH(C546,마스터!$M$4:$M$20,0))),"")</f>
        <v/>
      </c>
      <c r="E546" s="27"/>
      <c r="F546" s="29"/>
      <c r="G546" s="25" t="str">
        <f>IFERROR(IF(C546="","",INDEX(마스터!$J$4:$J$20,MATCH(C546,마스터!$M$4:$M$20,0))),"")</f>
        <v/>
      </c>
      <c r="H546" s="30"/>
      <c r="I546" s="30"/>
      <c r="AC546" s="32">
        <f>IF(AND(E546&lt;&gt;"",C546&lt;&gt;"",COUNTIFS($C$8:C546,C546,$E$8:E546,E546)=1),1,0)</f>
        <v>0</v>
      </c>
    </row>
    <row r="547" spans="1:29" ht="15" customHeight="1" x14ac:dyDescent="0.25">
      <c r="A547" s="25" t="str">
        <f t="shared" si="8"/>
        <v/>
      </c>
      <c r="B547" s="26"/>
      <c r="C547" s="27"/>
      <c r="D547" s="28" t="str">
        <f>IFERROR(IF(C547="","",INDEX(마스터!$F$4:$F$20,MATCH(C547,마스터!$M$4:$M$20,0))),"")</f>
        <v/>
      </c>
      <c r="E547" s="27"/>
      <c r="F547" s="29"/>
      <c r="G547" s="25" t="str">
        <f>IFERROR(IF(C547="","",INDEX(마스터!$J$4:$J$20,MATCH(C547,마스터!$M$4:$M$20,0))),"")</f>
        <v/>
      </c>
      <c r="H547" s="30"/>
      <c r="I547" s="30"/>
      <c r="AC547" s="32">
        <f>IF(AND(E547&lt;&gt;"",C547&lt;&gt;"",COUNTIFS($C$8:C547,C547,$E$8:E547,E547)=1),1,0)</f>
        <v>0</v>
      </c>
    </row>
    <row r="548" spans="1:29" ht="15" customHeight="1" x14ac:dyDescent="0.25">
      <c r="A548" s="25" t="str">
        <f t="shared" si="8"/>
        <v/>
      </c>
      <c r="B548" s="26"/>
      <c r="C548" s="27"/>
      <c r="D548" s="28" t="str">
        <f>IFERROR(IF(C548="","",INDEX(마스터!$F$4:$F$20,MATCH(C548,마스터!$M$4:$M$20,0))),"")</f>
        <v/>
      </c>
      <c r="E548" s="27"/>
      <c r="F548" s="29"/>
      <c r="G548" s="25" t="str">
        <f>IFERROR(IF(C548="","",INDEX(마스터!$J$4:$J$20,MATCH(C548,마스터!$M$4:$M$20,0))),"")</f>
        <v/>
      </c>
      <c r="H548" s="30"/>
      <c r="I548" s="30"/>
      <c r="AC548" s="32">
        <f>IF(AND(E548&lt;&gt;"",C548&lt;&gt;"",COUNTIFS($C$8:C548,C548,$E$8:E548,E548)=1),1,0)</f>
        <v>0</v>
      </c>
    </row>
    <row r="549" spans="1:29" ht="15" customHeight="1" x14ac:dyDescent="0.25">
      <c r="A549" s="25" t="str">
        <f t="shared" si="8"/>
        <v/>
      </c>
      <c r="B549" s="26"/>
      <c r="C549" s="27"/>
      <c r="D549" s="28" t="str">
        <f>IFERROR(IF(C549="","",INDEX(마스터!$F$4:$F$20,MATCH(C549,마스터!$M$4:$M$20,0))),"")</f>
        <v/>
      </c>
      <c r="E549" s="27"/>
      <c r="F549" s="29"/>
      <c r="G549" s="25" t="str">
        <f>IFERROR(IF(C549="","",INDEX(마스터!$J$4:$J$20,MATCH(C549,마스터!$M$4:$M$20,0))),"")</f>
        <v/>
      </c>
      <c r="H549" s="30"/>
      <c r="I549" s="30"/>
      <c r="AC549" s="32">
        <f>IF(AND(E549&lt;&gt;"",C549&lt;&gt;"",COUNTIFS($C$8:C549,C549,$E$8:E549,E549)=1),1,0)</f>
        <v>0</v>
      </c>
    </row>
    <row r="550" spans="1:29" ht="15" customHeight="1" x14ac:dyDescent="0.25">
      <c r="A550" s="25" t="str">
        <f t="shared" si="8"/>
        <v/>
      </c>
      <c r="B550" s="26"/>
      <c r="C550" s="27"/>
      <c r="D550" s="28" t="str">
        <f>IFERROR(IF(C550="","",INDEX(마스터!$F$4:$F$20,MATCH(C550,마스터!$M$4:$M$20,0))),"")</f>
        <v/>
      </c>
      <c r="E550" s="27"/>
      <c r="F550" s="29"/>
      <c r="G550" s="25" t="str">
        <f>IFERROR(IF(C550="","",INDEX(마스터!$J$4:$J$20,MATCH(C550,마스터!$M$4:$M$20,0))),"")</f>
        <v/>
      </c>
      <c r="H550" s="30"/>
      <c r="I550" s="30"/>
      <c r="AC550" s="32">
        <f>IF(AND(E550&lt;&gt;"",C550&lt;&gt;"",COUNTIFS($C$8:C550,C550,$E$8:E550,E550)=1),1,0)</f>
        <v>0</v>
      </c>
    </row>
    <row r="551" spans="1:29" ht="15" customHeight="1" x14ac:dyDescent="0.25">
      <c r="A551" s="25" t="str">
        <f t="shared" si="8"/>
        <v/>
      </c>
      <c r="B551" s="26"/>
      <c r="C551" s="27"/>
      <c r="D551" s="28" t="str">
        <f>IFERROR(IF(C551="","",INDEX(마스터!$F$4:$F$20,MATCH(C551,마스터!$M$4:$M$20,0))),"")</f>
        <v/>
      </c>
      <c r="E551" s="27"/>
      <c r="F551" s="29"/>
      <c r="G551" s="25" t="str">
        <f>IFERROR(IF(C551="","",INDEX(마스터!$J$4:$J$20,MATCH(C551,마스터!$M$4:$M$20,0))),"")</f>
        <v/>
      </c>
      <c r="H551" s="30"/>
      <c r="I551" s="30"/>
      <c r="AC551" s="32">
        <f>IF(AND(E551&lt;&gt;"",C551&lt;&gt;"",COUNTIFS($C$8:C551,C551,$E$8:E551,E551)=1),1,0)</f>
        <v>0</v>
      </c>
    </row>
    <row r="552" spans="1:29" ht="15" customHeight="1" x14ac:dyDescent="0.25">
      <c r="A552" s="25" t="str">
        <f t="shared" si="8"/>
        <v/>
      </c>
      <c r="B552" s="26"/>
      <c r="C552" s="27"/>
      <c r="D552" s="28" t="str">
        <f>IFERROR(IF(C552="","",INDEX(마스터!$F$4:$F$20,MATCH(C552,마스터!$M$4:$M$20,0))),"")</f>
        <v/>
      </c>
      <c r="E552" s="27"/>
      <c r="F552" s="29"/>
      <c r="G552" s="25" t="str">
        <f>IFERROR(IF(C552="","",INDEX(마스터!$J$4:$J$20,MATCH(C552,마스터!$M$4:$M$20,0))),"")</f>
        <v/>
      </c>
      <c r="H552" s="30"/>
      <c r="I552" s="30"/>
      <c r="AC552" s="32">
        <f>IF(AND(E552&lt;&gt;"",C552&lt;&gt;"",COUNTIFS($C$8:C552,C552,$E$8:E552,E552)=1),1,0)</f>
        <v>0</v>
      </c>
    </row>
    <row r="553" spans="1:29" ht="15" customHeight="1" x14ac:dyDescent="0.25">
      <c r="A553" s="25" t="str">
        <f t="shared" si="8"/>
        <v/>
      </c>
      <c r="B553" s="26"/>
      <c r="C553" s="27"/>
      <c r="D553" s="28" t="str">
        <f>IFERROR(IF(C553="","",INDEX(마스터!$F$4:$F$20,MATCH(C553,마스터!$M$4:$M$20,0))),"")</f>
        <v/>
      </c>
      <c r="E553" s="27"/>
      <c r="F553" s="29"/>
      <c r="G553" s="25" t="str">
        <f>IFERROR(IF(C553="","",INDEX(마스터!$J$4:$J$20,MATCH(C553,마스터!$M$4:$M$20,0))),"")</f>
        <v/>
      </c>
      <c r="H553" s="30"/>
      <c r="I553" s="30"/>
      <c r="AC553" s="32">
        <f>IF(AND(E553&lt;&gt;"",C553&lt;&gt;"",COUNTIFS($C$8:C553,C553,$E$8:E553,E553)=1),1,0)</f>
        <v>0</v>
      </c>
    </row>
    <row r="554" spans="1:29" ht="15" customHeight="1" x14ac:dyDescent="0.25">
      <c r="A554" s="25" t="str">
        <f t="shared" si="8"/>
        <v/>
      </c>
      <c r="B554" s="26"/>
      <c r="C554" s="27"/>
      <c r="D554" s="28" t="str">
        <f>IFERROR(IF(C554="","",INDEX(마스터!$F$4:$F$20,MATCH(C554,마스터!$M$4:$M$20,0))),"")</f>
        <v/>
      </c>
      <c r="E554" s="27"/>
      <c r="F554" s="29"/>
      <c r="G554" s="25" t="str">
        <f>IFERROR(IF(C554="","",INDEX(마스터!$J$4:$J$20,MATCH(C554,마스터!$M$4:$M$20,0))),"")</f>
        <v/>
      </c>
      <c r="H554" s="30"/>
      <c r="I554" s="30"/>
      <c r="AC554" s="32">
        <f>IF(AND(E554&lt;&gt;"",C554&lt;&gt;"",COUNTIFS($C$8:C554,C554,$E$8:E554,E554)=1),1,0)</f>
        <v>0</v>
      </c>
    </row>
    <row r="555" spans="1:29" ht="15" customHeight="1" x14ac:dyDescent="0.25">
      <c r="A555" s="25" t="str">
        <f t="shared" si="8"/>
        <v/>
      </c>
      <c r="B555" s="26"/>
      <c r="C555" s="27"/>
      <c r="D555" s="28" t="str">
        <f>IFERROR(IF(C555="","",INDEX(마스터!$F$4:$F$20,MATCH(C555,마스터!$M$4:$M$20,0))),"")</f>
        <v/>
      </c>
      <c r="E555" s="27"/>
      <c r="F555" s="29"/>
      <c r="G555" s="25" t="str">
        <f>IFERROR(IF(C555="","",INDEX(마스터!$J$4:$J$20,MATCH(C555,마스터!$M$4:$M$20,0))),"")</f>
        <v/>
      </c>
      <c r="H555" s="30"/>
      <c r="I555" s="30"/>
      <c r="AC555" s="32">
        <f>IF(AND(E555&lt;&gt;"",C555&lt;&gt;"",COUNTIFS($C$8:C555,C555,$E$8:E555,E555)=1),1,0)</f>
        <v>0</v>
      </c>
    </row>
    <row r="556" spans="1:29" ht="15" customHeight="1" x14ac:dyDescent="0.25">
      <c r="A556" s="25" t="str">
        <f t="shared" si="8"/>
        <v/>
      </c>
      <c r="B556" s="26"/>
      <c r="C556" s="27"/>
      <c r="D556" s="28" t="str">
        <f>IFERROR(IF(C556="","",INDEX(마스터!$F$4:$F$20,MATCH(C556,마스터!$M$4:$M$20,0))),"")</f>
        <v/>
      </c>
      <c r="E556" s="27"/>
      <c r="F556" s="29"/>
      <c r="G556" s="25" t="str">
        <f>IFERROR(IF(C556="","",INDEX(마스터!$J$4:$J$20,MATCH(C556,마스터!$M$4:$M$20,0))),"")</f>
        <v/>
      </c>
      <c r="H556" s="30"/>
      <c r="I556" s="30"/>
      <c r="AC556" s="32">
        <f>IF(AND(E556&lt;&gt;"",C556&lt;&gt;"",COUNTIFS($C$8:C556,C556,$E$8:E556,E556)=1),1,0)</f>
        <v>0</v>
      </c>
    </row>
    <row r="557" spans="1:29" ht="15" customHeight="1" x14ac:dyDescent="0.25">
      <c r="A557" s="25" t="str">
        <f t="shared" si="8"/>
        <v/>
      </c>
      <c r="B557" s="26"/>
      <c r="C557" s="27"/>
      <c r="D557" s="28" t="str">
        <f>IFERROR(IF(C557="","",INDEX(마스터!$F$4:$F$20,MATCH(C557,마스터!$M$4:$M$20,0))),"")</f>
        <v/>
      </c>
      <c r="E557" s="27"/>
      <c r="F557" s="29"/>
      <c r="G557" s="25" t="str">
        <f>IFERROR(IF(C557="","",INDEX(마스터!$J$4:$J$20,MATCH(C557,마스터!$M$4:$M$20,0))),"")</f>
        <v/>
      </c>
      <c r="H557" s="30"/>
      <c r="I557" s="30"/>
      <c r="AC557" s="32">
        <f>IF(AND(E557&lt;&gt;"",C557&lt;&gt;"",COUNTIFS($C$8:C557,C557,$E$8:E557,E557)=1),1,0)</f>
        <v>0</v>
      </c>
    </row>
    <row r="558" spans="1:29" ht="15" customHeight="1" x14ac:dyDescent="0.25">
      <c r="A558" s="25" t="str">
        <f t="shared" si="8"/>
        <v/>
      </c>
      <c r="B558" s="26"/>
      <c r="C558" s="27"/>
      <c r="D558" s="28" t="str">
        <f>IFERROR(IF(C558="","",INDEX(마스터!$F$4:$F$20,MATCH(C558,마스터!$M$4:$M$20,0))),"")</f>
        <v/>
      </c>
      <c r="E558" s="27"/>
      <c r="F558" s="29"/>
      <c r="G558" s="25" t="str">
        <f>IFERROR(IF(C558="","",INDEX(마스터!$J$4:$J$20,MATCH(C558,마스터!$M$4:$M$20,0))),"")</f>
        <v/>
      </c>
      <c r="H558" s="30"/>
      <c r="I558" s="30"/>
      <c r="AC558" s="32">
        <f>IF(AND(E558&lt;&gt;"",C558&lt;&gt;"",COUNTIFS($C$8:C558,C558,$E$8:E558,E558)=1),1,0)</f>
        <v>0</v>
      </c>
    </row>
    <row r="559" spans="1:29" ht="15" customHeight="1" x14ac:dyDescent="0.25">
      <c r="A559" s="25" t="str">
        <f t="shared" si="8"/>
        <v/>
      </c>
      <c r="B559" s="26"/>
      <c r="C559" s="27"/>
      <c r="D559" s="28" t="str">
        <f>IFERROR(IF(C559="","",INDEX(마스터!$F$4:$F$20,MATCH(C559,마스터!$M$4:$M$20,0))),"")</f>
        <v/>
      </c>
      <c r="E559" s="27"/>
      <c r="F559" s="29"/>
      <c r="G559" s="25" t="str">
        <f>IFERROR(IF(C559="","",INDEX(마스터!$J$4:$J$20,MATCH(C559,마스터!$M$4:$M$20,0))),"")</f>
        <v/>
      </c>
      <c r="H559" s="30"/>
      <c r="I559" s="30"/>
      <c r="AC559" s="32">
        <f>IF(AND(E559&lt;&gt;"",C559&lt;&gt;"",COUNTIFS($C$8:C559,C559,$E$8:E559,E559)=1),1,0)</f>
        <v>0</v>
      </c>
    </row>
    <row r="560" spans="1:29" ht="15" customHeight="1" x14ac:dyDescent="0.25">
      <c r="A560" s="25" t="str">
        <f t="shared" si="8"/>
        <v/>
      </c>
      <c r="B560" s="26"/>
      <c r="C560" s="27"/>
      <c r="D560" s="28" t="str">
        <f>IFERROR(IF(C560="","",INDEX(마스터!$F$4:$F$20,MATCH(C560,마스터!$M$4:$M$20,0))),"")</f>
        <v/>
      </c>
      <c r="E560" s="27"/>
      <c r="F560" s="29"/>
      <c r="G560" s="25" t="str">
        <f>IFERROR(IF(C560="","",INDEX(마스터!$J$4:$J$20,MATCH(C560,마스터!$M$4:$M$20,0))),"")</f>
        <v/>
      </c>
      <c r="H560" s="30"/>
      <c r="I560" s="30"/>
      <c r="AC560" s="32">
        <f>IF(AND(E560&lt;&gt;"",C560&lt;&gt;"",COUNTIFS($C$8:C560,C560,$E$8:E560,E560)=1),1,0)</f>
        <v>0</v>
      </c>
    </row>
    <row r="561" spans="1:29" ht="15" customHeight="1" x14ac:dyDescent="0.25">
      <c r="A561" s="25" t="str">
        <f t="shared" si="8"/>
        <v/>
      </c>
      <c r="B561" s="26"/>
      <c r="C561" s="27"/>
      <c r="D561" s="28" t="str">
        <f>IFERROR(IF(C561="","",INDEX(마스터!$F$4:$F$20,MATCH(C561,마스터!$M$4:$M$20,0))),"")</f>
        <v/>
      </c>
      <c r="E561" s="27"/>
      <c r="F561" s="29"/>
      <c r="G561" s="25" t="str">
        <f>IFERROR(IF(C561="","",INDEX(마스터!$J$4:$J$20,MATCH(C561,마스터!$M$4:$M$20,0))),"")</f>
        <v/>
      </c>
      <c r="H561" s="30"/>
      <c r="I561" s="30"/>
      <c r="AC561" s="32">
        <f>IF(AND(E561&lt;&gt;"",C561&lt;&gt;"",COUNTIFS($C$8:C561,C561,$E$8:E561,E561)=1),1,0)</f>
        <v>0</v>
      </c>
    </row>
    <row r="562" spans="1:29" ht="15" customHeight="1" x14ac:dyDescent="0.25">
      <c r="A562" s="25" t="str">
        <f t="shared" si="8"/>
        <v/>
      </c>
      <c r="B562" s="26"/>
      <c r="C562" s="27"/>
      <c r="D562" s="28" t="str">
        <f>IFERROR(IF(C562="","",INDEX(마스터!$F$4:$F$20,MATCH(C562,마스터!$M$4:$M$20,0))),"")</f>
        <v/>
      </c>
      <c r="E562" s="27"/>
      <c r="F562" s="29"/>
      <c r="G562" s="25" t="str">
        <f>IFERROR(IF(C562="","",INDEX(마스터!$J$4:$J$20,MATCH(C562,마스터!$M$4:$M$20,0))),"")</f>
        <v/>
      </c>
      <c r="H562" s="30"/>
      <c r="I562" s="30"/>
      <c r="AC562" s="32">
        <f>IF(AND(E562&lt;&gt;"",C562&lt;&gt;"",COUNTIFS($C$8:C562,C562,$E$8:E562,E562)=1),1,0)</f>
        <v>0</v>
      </c>
    </row>
    <row r="563" spans="1:29" ht="15" customHeight="1" x14ac:dyDescent="0.25">
      <c r="A563" s="25" t="str">
        <f t="shared" si="8"/>
        <v/>
      </c>
      <c r="B563" s="26"/>
      <c r="C563" s="27"/>
      <c r="D563" s="28" t="str">
        <f>IFERROR(IF(C563="","",INDEX(마스터!$F$4:$F$20,MATCH(C563,마스터!$M$4:$M$20,0))),"")</f>
        <v/>
      </c>
      <c r="E563" s="27"/>
      <c r="F563" s="29"/>
      <c r="G563" s="25" t="str">
        <f>IFERROR(IF(C563="","",INDEX(마스터!$J$4:$J$20,MATCH(C563,마스터!$M$4:$M$20,0))),"")</f>
        <v/>
      </c>
      <c r="H563" s="30"/>
      <c r="I563" s="30"/>
      <c r="AC563" s="32">
        <f>IF(AND(E563&lt;&gt;"",C563&lt;&gt;"",COUNTIFS($C$8:C563,C563,$E$8:E563,E563)=1),1,0)</f>
        <v>0</v>
      </c>
    </row>
    <row r="564" spans="1:29" ht="15" customHeight="1" x14ac:dyDescent="0.25">
      <c r="A564" s="25" t="str">
        <f t="shared" si="8"/>
        <v/>
      </c>
      <c r="B564" s="26"/>
      <c r="C564" s="27"/>
      <c r="D564" s="28" t="str">
        <f>IFERROR(IF(C564="","",INDEX(마스터!$F$4:$F$20,MATCH(C564,마스터!$M$4:$M$20,0))),"")</f>
        <v/>
      </c>
      <c r="E564" s="27"/>
      <c r="F564" s="29"/>
      <c r="G564" s="25" t="str">
        <f>IFERROR(IF(C564="","",INDEX(마스터!$J$4:$J$20,MATCH(C564,마스터!$M$4:$M$20,0))),"")</f>
        <v/>
      </c>
      <c r="H564" s="30"/>
      <c r="I564" s="30"/>
      <c r="AC564" s="32">
        <f>IF(AND(E564&lt;&gt;"",C564&lt;&gt;"",COUNTIFS($C$8:C564,C564,$E$8:E564,E564)=1),1,0)</f>
        <v>0</v>
      </c>
    </row>
    <row r="565" spans="1:29" ht="15" customHeight="1" x14ac:dyDescent="0.25">
      <c r="A565" s="25" t="str">
        <f t="shared" si="8"/>
        <v/>
      </c>
      <c r="B565" s="26"/>
      <c r="C565" s="27"/>
      <c r="D565" s="28" t="str">
        <f>IFERROR(IF(C565="","",INDEX(마스터!$F$4:$F$20,MATCH(C565,마스터!$M$4:$M$20,0))),"")</f>
        <v/>
      </c>
      <c r="E565" s="27"/>
      <c r="F565" s="29"/>
      <c r="G565" s="25" t="str">
        <f>IFERROR(IF(C565="","",INDEX(마스터!$J$4:$J$20,MATCH(C565,마스터!$M$4:$M$20,0))),"")</f>
        <v/>
      </c>
      <c r="H565" s="30"/>
      <c r="I565" s="30"/>
      <c r="AC565" s="32">
        <f>IF(AND(E565&lt;&gt;"",C565&lt;&gt;"",COUNTIFS($C$8:C565,C565,$E$8:E565,E565)=1),1,0)</f>
        <v>0</v>
      </c>
    </row>
    <row r="566" spans="1:29" ht="15" customHeight="1" x14ac:dyDescent="0.25">
      <c r="A566" s="25" t="str">
        <f t="shared" si="8"/>
        <v/>
      </c>
      <c r="B566" s="26"/>
      <c r="C566" s="27"/>
      <c r="D566" s="28" t="str">
        <f>IFERROR(IF(C566="","",INDEX(마스터!$F$4:$F$20,MATCH(C566,마스터!$M$4:$M$20,0))),"")</f>
        <v/>
      </c>
      <c r="E566" s="27"/>
      <c r="F566" s="29"/>
      <c r="G566" s="25" t="str">
        <f>IFERROR(IF(C566="","",INDEX(마스터!$J$4:$J$20,MATCH(C566,마스터!$M$4:$M$20,0))),"")</f>
        <v/>
      </c>
      <c r="H566" s="30"/>
      <c r="I566" s="30"/>
      <c r="AC566" s="32">
        <f>IF(AND(E566&lt;&gt;"",C566&lt;&gt;"",COUNTIFS($C$8:C566,C566,$E$8:E566,E566)=1),1,0)</f>
        <v>0</v>
      </c>
    </row>
    <row r="567" spans="1:29" ht="15" customHeight="1" x14ac:dyDescent="0.25">
      <c r="A567" s="25" t="str">
        <f t="shared" si="8"/>
        <v/>
      </c>
      <c r="B567" s="26"/>
      <c r="C567" s="27"/>
      <c r="D567" s="28" t="str">
        <f>IFERROR(IF(C567="","",INDEX(마스터!$F$4:$F$20,MATCH(C567,마스터!$M$4:$M$20,0))),"")</f>
        <v/>
      </c>
      <c r="E567" s="27"/>
      <c r="F567" s="29"/>
      <c r="G567" s="25" t="str">
        <f>IFERROR(IF(C567="","",INDEX(마스터!$J$4:$J$20,MATCH(C567,마스터!$M$4:$M$20,0))),"")</f>
        <v/>
      </c>
      <c r="H567" s="30"/>
      <c r="I567" s="30"/>
      <c r="AC567" s="32">
        <f>IF(AND(E567&lt;&gt;"",C567&lt;&gt;"",COUNTIFS($C$8:C567,C567,$E$8:E567,E567)=1),1,0)</f>
        <v>0</v>
      </c>
    </row>
    <row r="568" spans="1:29" ht="15" customHeight="1" x14ac:dyDescent="0.25">
      <c r="A568" s="25" t="str">
        <f t="shared" si="8"/>
        <v/>
      </c>
      <c r="B568" s="26"/>
      <c r="C568" s="27"/>
      <c r="D568" s="28" t="str">
        <f>IFERROR(IF(C568="","",INDEX(마스터!$F$4:$F$20,MATCH(C568,마스터!$M$4:$M$20,0))),"")</f>
        <v/>
      </c>
      <c r="E568" s="27"/>
      <c r="F568" s="29"/>
      <c r="G568" s="25" t="str">
        <f>IFERROR(IF(C568="","",INDEX(마스터!$J$4:$J$20,MATCH(C568,마스터!$M$4:$M$20,0))),"")</f>
        <v/>
      </c>
      <c r="H568" s="30"/>
      <c r="I568" s="30"/>
      <c r="AC568" s="32">
        <f>IF(AND(E568&lt;&gt;"",C568&lt;&gt;"",COUNTIFS($C$8:C568,C568,$E$8:E568,E568)=1),1,0)</f>
        <v>0</v>
      </c>
    </row>
    <row r="569" spans="1:29" ht="15" customHeight="1" x14ac:dyDescent="0.25">
      <c r="A569" s="25" t="str">
        <f t="shared" si="8"/>
        <v/>
      </c>
      <c r="B569" s="26"/>
      <c r="C569" s="27"/>
      <c r="D569" s="28" t="str">
        <f>IFERROR(IF(C569="","",INDEX(마스터!$F$4:$F$20,MATCH(C569,마스터!$M$4:$M$20,0))),"")</f>
        <v/>
      </c>
      <c r="E569" s="27"/>
      <c r="F569" s="29"/>
      <c r="G569" s="25" t="str">
        <f>IFERROR(IF(C569="","",INDEX(마스터!$J$4:$J$20,MATCH(C569,마스터!$M$4:$M$20,0))),"")</f>
        <v/>
      </c>
      <c r="H569" s="30"/>
      <c r="I569" s="30"/>
      <c r="AC569" s="32">
        <f>IF(AND(E569&lt;&gt;"",C569&lt;&gt;"",COUNTIFS($C$8:C569,C569,$E$8:E569,E569)=1),1,0)</f>
        <v>0</v>
      </c>
    </row>
    <row r="570" spans="1:29" ht="15" customHeight="1" x14ac:dyDescent="0.25">
      <c r="A570" s="25" t="str">
        <f t="shared" si="8"/>
        <v/>
      </c>
      <c r="B570" s="26"/>
      <c r="C570" s="27"/>
      <c r="D570" s="28" t="str">
        <f>IFERROR(IF(C570="","",INDEX(마스터!$F$4:$F$20,MATCH(C570,마스터!$M$4:$M$20,0))),"")</f>
        <v/>
      </c>
      <c r="E570" s="27"/>
      <c r="F570" s="29"/>
      <c r="G570" s="25" t="str">
        <f>IFERROR(IF(C570="","",INDEX(마스터!$J$4:$J$20,MATCH(C570,마스터!$M$4:$M$20,0))),"")</f>
        <v/>
      </c>
      <c r="H570" s="30"/>
      <c r="I570" s="30"/>
      <c r="AC570" s="32">
        <f>IF(AND(E570&lt;&gt;"",C570&lt;&gt;"",COUNTIFS($C$8:C570,C570,$E$8:E570,E570)=1),1,0)</f>
        <v>0</v>
      </c>
    </row>
    <row r="571" spans="1:29" ht="15" customHeight="1" x14ac:dyDescent="0.25">
      <c r="A571" s="25" t="str">
        <f t="shared" si="8"/>
        <v/>
      </c>
      <c r="B571" s="26"/>
      <c r="C571" s="27"/>
      <c r="D571" s="28" t="str">
        <f>IFERROR(IF(C571="","",INDEX(마스터!$F$4:$F$20,MATCH(C571,마스터!$M$4:$M$20,0))),"")</f>
        <v/>
      </c>
      <c r="E571" s="27"/>
      <c r="F571" s="29"/>
      <c r="G571" s="25" t="str">
        <f>IFERROR(IF(C571="","",INDEX(마스터!$J$4:$J$20,MATCH(C571,마스터!$M$4:$M$20,0))),"")</f>
        <v/>
      </c>
      <c r="H571" s="30"/>
      <c r="I571" s="30"/>
      <c r="AC571" s="32">
        <f>IF(AND(E571&lt;&gt;"",C571&lt;&gt;"",COUNTIFS($C$8:C571,C571,$E$8:E571,E571)=1),1,0)</f>
        <v>0</v>
      </c>
    </row>
    <row r="572" spans="1:29" ht="15" customHeight="1" x14ac:dyDescent="0.25">
      <c r="A572" s="25" t="str">
        <f t="shared" si="8"/>
        <v/>
      </c>
      <c r="B572" s="26"/>
      <c r="C572" s="27"/>
      <c r="D572" s="28" t="str">
        <f>IFERROR(IF(C572="","",INDEX(마스터!$F$4:$F$20,MATCH(C572,마스터!$M$4:$M$20,0))),"")</f>
        <v/>
      </c>
      <c r="E572" s="27"/>
      <c r="F572" s="29"/>
      <c r="G572" s="25" t="str">
        <f>IFERROR(IF(C572="","",INDEX(마스터!$J$4:$J$20,MATCH(C572,마스터!$M$4:$M$20,0))),"")</f>
        <v/>
      </c>
      <c r="H572" s="30"/>
      <c r="I572" s="30"/>
      <c r="AC572" s="32">
        <f>IF(AND(E572&lt;&gt;"",C572&lt;&gt;"",COUNTIFS($C$8:C572,C572,$E$8:E572,E572)=1),1,0)</f>
        <v>0</v>
      </c>
    </row>
    <row r="573" spans="1:29" ht="15" customHeight="1" x14ac:dyDescent="0.25">
      <c r="A573" s="25" t="str">
        <f t="shared" si="8"/>
        <v/>
      </c>
      <c r="B573" s="26"/>
      <c r="C573" s="27"/>
      <c r="D573" s="28" t="str">
        <f>IFERROR(IF(C573="","",INDEX(마스터!$F$4:$F$20,MATCH(C573,마스터!$M$4:$M$20,0))),"")</f>
        <v/>
      </c>
      <c r="E573" s="27"/>
      <c r="F573" s="29"/>
      <c r="G573" s="25" t="str">
        <f>IFERROR(IF(C573="","",INDEX(마스터!$J$4:$J$20,MATCH(C573,마스터!$M$4:$M$20,0))),"")</f>
        <v/>
      </c>
      <c r="H573" s="30"/>
      <c r="I573" s="30"/>
      <c r="AC573" s="32">
        <f>IF(AND(E573&lt;&gt;"",C573&lt;&gt;"",COUNTIFS($C$8:C573,C573,$E$8:E573,E573)=1),1,0)</f>
        <v>0</v>
      </c>
    </row>
    <row r="574" spans="1:29" ht="15" customHeight="1" x14ac:dyDescent="0.25">
      <c r="A574" s="25" t="str">
        <f t="shared" si="8"/>
        <v/>
      </c>
      <c r="B574" s="26"/>
      <c r="C574" s="27"/>
      <c r="D574" s="28" t="str">
        <f>IFERROR(IF(C574="","",INDEX(마스터!$F$4:$F$20,MATCH(C574,마스터!$M$4:$M$20,0))),"")</f>
        <v/>
      </c>
      <c r="E574" s="27"/>
      <c r="F574" s="29"/>
      <c r="G574" s="25" t="str">
        <f>IFERROR(IF(C574="","",INDEX(마스터!$J$4:$J$20,MATCH(C574,마스터!$M$4:$M$20,0))),"")</f>
        <v/>
      </c>
      <c r="H574" s="30"/>
      <c r="I574" s="30"/>
      <c r="AC574" s="32">
        <f>IF(AND(E574&lt;&gt;"",C574&lt;&gt;"",COUNTIFS($C$8:C574,C574,$E$8:E574,E574)=1),1,0)</f>
        <v>0</v>
      </c>
    </row>
    <row r="575" spans="1:29" ht="15" customHeight="1" x14ac:dyDescent="0.25">
      <c r="A575" s="25" t="str">
        <f t="shared" si="8"/>
        <v/>
      </c>
      <c r="B575" s="26"/>
      <c r="C575" s="27"/>
      <c r="D575" s="28" t="str">
        <f>IFERROR(IF(C575="","",INDEX(마스터!$F$4:$F$20,MATCH(C575,마스터!$M$4:$M$20,0))),"")</f>
        <v/>
      </c>
      <c r="E575" s="27"/>
      <c r="F575" s="29"/>
      <c r="G575" s="25" t="str">
        <f>IFERROR(IF(C575="","",INDEX(마스터!$J$4:$J$20,MATCH(C575,마스터!$M$4:$M$20,0))),"")</f>
        <v/>
      </c>
      <c r="H575" s="30"/>
      <c r="I575" s="30"/>
      <c r="AC575" s="32">
        <f>IF(AND(E575&lt;&gt;"",C575&lt;&gt;"",COUNTIFS($C$8:C575,C575,$E$8:E575,E575)=1),1,0)</f>
        <v>0</v>
      </c>
    </row>
    <row r="576" spans="1:29" ht="15" customHeight="1" x14ac:dyDescent="0.25">
      <c r="A576" s="25" t="str">
        <f t="shared" si="8"/>
        <v/>
      </c>
      <c r="B576" s="26"/>
      <c r="C576" s="27"/>
      <c r="D576" s="28" t="str">
        <f>IFERROR(IF(C576="","",INDEX(마스터!$F$4:$F$20,MATCH(C576,마스터!$M$4:$M$20,0))),"")</f>
        <v/>
      </c>
      <c r="E576" s="27"/>
      <c r="F576" s="29"/>
      <c r="G576" s="25" t="str">
        <f>IFERROR(IF(C576="","",INDEX(마스터!$J$4:$J$20,MATCH(C576,마스터!$M$4:$M$20,0))),"")</f>
        <v/>
      </c>
      <c r="H576" s="30"/>
      <c r="I576" s="30"/>
      <c r="AC576" s="32">
        <f>IF(AND(E576&lt;&gt;"",C576&lt;&gt;"",COUNTIFS($C$8:C576,C576,$E$8:E576,E576)=1),1,0)</f>
        <v>0</v>
      </c>
    </row>
    <row r="577" spans="1:29" ht="15" customHeight="1" x14ac:dyDescent="0.25">
      <c r="A577" s="25" t="str">
        <f t="shared" si="8"/>
        <v/>
      </c>
      <c r="B577" s="26"/>
      <c r="C577" s="27"/>
      <c r="D577" s="28" t="str">
        <f>IFERROR(IF(C577="","",INDEX(마스터!$F$4:$F$20,MATCH(C577,마스터!$M$4:$M$20,0))),"")</f>
        <v/>
      </c>
      <c r="E577" s="27"/>
      <c r="F577" s="29"/>
      <c r="G577" s="25" t="str">
        <f>IFERROR(IF(C577="","",INDEX(마스터!$J$4:$J$20,MATCH(C577,마스터!$M$4:$M$20,0))),"")</f>
        <v/>
      </c>
      <c r="H577" s="30"/>
      <c r="I577" s="30"/>
      <c r="AC577" s="32">
        <f>IF(AND(E577&lt;&gt;"",C577&lt;&gt;"",COUNTIFS($C$8:C577,C577,$E$8:E577,E577)=1),1,0)</f>
        <v>0</v>
      </c>
    </row>
    <row r="578" spans="1:29" ht="15" customHeight="1" x14ac:dyDescent="0.25">
      <c r="A578" s="25" t="str">
        <f t="shared" si="8"/>
        <v/>
      </c>
      <c r="B578" s="26"/>
      <c r="C578" s="27"/>
      <c r="D578" s="28" t="str">
        <f>IFERROR(IF(C578="","",INDEX(마스터!$F$4:$F$20,MATCH(C578,마스터!$M$4:$M$20,0))),"")</f>
        <v/>
      </c>
      <c r="E578" s="27"/>
      <c r="F578" s="29"/>
      <c r="G578" s="25" t="str">
        <f>IFERROR(IF(C578="","",INDEX(마스터!$J$4:$J$20,MATCH(C578,마스터!$M$4:$M$20,0))),"")</f>
        <v/>
      </c>
      <c r="H578" s="30"/>
      <c r="I578" s="30"/>
      <c r="AC578" s="32">
        <f>IF(AND(E578&lt;&gt;"",C578&lt;&gt;"",COUNTIFS($C$8:C578,C578,$E$8:E578,E578)=1),1,0)</f>
        <v>0</v>
      </c>
    </row>
    <row r="579" spans="1:29" ht="15" customHeight="1" x14ac:dyDescent="0.25">
      <c r="A579" s="25" t="str">
        <f t="shared" si="8"/>
        <v/>
      </c>
      <c r="B579" s="26"/>
      <c r="C579" s="27"/>
      <c r="D579" s="28" t="str">
        <f>IFERROR(IF(C579="","",INDEX(마스터!$F$4:$F$20,MATCH(C579,마스터!$M$4:$M$20,0))),"")</f>
        <v/>
      </c>
      <c r="E579" s="27"/>
      <c r="F579" s="29"/>
      <c r="G579" s="25" t="str">
        <f>IFERROR(IF(C579="","",INDEX(마스터!$J$4:$J$20,MATCH(C579,마스터!$M$4:$M$20,0))),"")</f>
        <v/>
      </c>
      <c r="H579" s="30"/>
      <c r="I579" s="30"/>
      <c r="AC579" s="32">
        <f>IF(AND(E579&lt;&gt;"",C579&lt;&gt;"",COUNTIFS($C$8:C579,C579,$E$8:E579,E579)=1),1,0)</f>
        <v>0</v>
      </c>
    </row>
    <row r="580" spans="1:29" ht="15" customHeight="1" x14ac:dyDescent="0.25">
      <c r="A580" s="25" t="str">
        <f t="shared" si="8"/>
        <v/>
      </c>
      <c r="B580" s="26"/>
      <c r="C580" s="27"/>
      <c r="D580" s="28" t="str">
        <f>IFERROR(IF(C580="","",INDEX(마스터!$F$4:$F$20,MATCH(C580,마스터!$M$4:$M$20,0))),"")</f>
        <v/>
      </c>
      <c r="E580" s="27"/>
      <c r="F580" s="29"/>
      <c r="G580" s="25" t="str">
        <f>IFERROR(IF(C580="","",INDEX(마스터!$J$4:$J$20,MATCH(C580,마스터!$M$4:$M$20,0))),"")</f>
        <v/>
      </c>
      <c r="H580" s="30"/>
      <c r="I580" s="30"/>
      <c r="AC580" s="32">
        <f>IF(AND(E580&lt;&gt;"",C580&lt;&gt;"",COUNTIFS($C$8:C580,C580,$E$8:E580,E580)=1),1,0)</f>
        <v>0</v>
      </c>
    </row>
    <row r="581" spans="1:29" ht="15" customHeight="1" x14ac:dyDescent="0.25">
      <c r="A581" s="25" t="str">
        <f t="shared" si="8"/>
        <v/>
      </c>
      <c r="B581" s="26"/>
      <c r="C581" s="27"/>
      <c r="D581" s="28" t="str">
        <f>IFERROR(IF(C581="","",INDEX(마스터!$F$4:$F$20,MATCH(C581,마스터!$M$4:$M$20,0))),"")</f>
        <v/>
      </c>
      <c r="E581" s="27"/>
      <c r="F581" s="29"/>
      <c r="G581" s="25" t="str">
        <f>IFERROR(IF(C581="","",INDEX(마스터!$J$4:$J$20,MATCH(C581,마스터!$M$4:$M$20,0))),"")</f>
        <v/>
      </c>
      <c r="H581" s="30"/>
      <c r="I581" s="30"/>
      <c r="AC581" s="32">
        <f>IF(AND(E581&lt;&gt;"",C581&lt;&gt;"",COUNTIFS($C$8:C581,C581,$E$8:E581,E581)=1),1,0)</f>
        <v>0</v>
      </c>
    </row>
    <row r="582" spans="1:29" ht="15" customHeight="1" x14ac:dyDescent="0.25">
      <c r="A582" s="25" t="str">
        <f t="shared" si="8"/>
        <v/>
      </c>
      <c r="B582" s="26"/>
      <c r="C582" s="27"/>
      <c r="D582" s="28" t="str">
        <f>IFERROR(IF(C582="","",INDEX(마스터!$F$4:$F$20,MATCH(C582,마스터!$M$4:$M$20,0))),"")</f>
        <v/>
      </c>
      <c r="E582" s="27"/>
      <c r="F582" s="29"/>
      <c r="G582" s="25" t="str">
        <f>IFERROR(IF(C582="","",INDEX(마스터!$J$4:$J$20,MATCH(C582,마스터!$M$4:$M$20,0))),"")</f>
        <v/>
      </c>
      <c r="H582" s="30"/>
      <c r="I582" s="30"/>
      <c r="AC582" s="32">
        <f>IF(AND(E582&lt;&gt;"",C582&lt;&gt;"",COUNTIFS($C$8:C582,C582,$E$8:E582,E582)=1),1,0)</f>
        <v>0</v>
      </c>
    </row>
    <row r="583" spans="1:29" ht="15" customHeight="1" x14ac:dyDescent="0.25">
      <c r="A583" s="25" t="str">
        <f t="shared" si="8"/>
        <v/>
      </c>
      <c r="B583" s="26"/>
      <c r="C583" s="27"/>
      <c r="D583" s="28" t="str">
        <f>IFERROR(IF(C583="","",INDEX(마스터!$F$4:$F$20,MATCH(C583,마스터!$M$4:$M$20,0))),"")</f>
        <v/>
      </c>
      <c r="E583" s="27"/>
      <c r="F583" s="29"/>
      <c r="G583" s="25" t="str">
        <f>IFERROR(IF(C583="","",INDEX(마스터!$J$4:$J$20,MATCH(C583,마스터!$M$4:$M$20,0))),"")</f>
        <v/>
      </c>
      <c r="H583" s="30"/>
      <c r="I583" s="30"/>
      <c r="AC583" s="32">
        <f>IF(AND(E583&lt;&gt;"",C583&lt;&gt;"",COUNTIFS($C$8:C583,C583,$E$8:E583,E583)=1),1,0)</f>
        <v>0</v>
      </c>
    </row>
    <row r="584" spans="1:29" ht="15" customHeight="1" x14ac:dyDescent="0.25">
      <c r="A584" s="25" t="str">
        <f t="shared" ref="A584:A647" si="9">IF(B584="","",ROW()-7)</f>
        <v/>
      </c>
      <c r="B584" s="26"/>
      <c r="C584" s="27"/>
      <c r="D584" s="28" t="str">
        <f>IFERROR(IF(C584="","",INDEX(마스터!$F$4:$F$20,MATCH(C584,마스터!$M$4:$M$20,0))),"")</f>
        <v/>
      </c>
      <c r="E584" s="27"/>
      <c r="F584" s="29"/>
      <c r="G584" s="25" t="str">
        <f>IFERROR(IF(C584="","",INDEX(마스터!$J$4:$J$20,MATCH(C584,마스터!$M$4:$M$20,0))),"")</f>
        <v/>
      </c>
      <c r="H584" s="30"/>
      <c r="I584" s="30"/>
      <c r="AC584" s="32">
        <f>IF(AND(E584&lt;&gt;"",C584&lt;&gt;"",COUNTIFS($C$8:C584,C584,$E$8:E584,E584)=1),1,0)</f>
        <v>0</v>
      </c>
    </row>
    <row r="585" spans="1:29" ht="15" customHeight="1" x14ac:dyDescent="0.25">
      <c r="A585" s="25" t="str">
        <f t="shared" si="9"/>
        <v/>
      </c>
      <c r="B585" s="26"/>
      <c r="C585" s="27"/>
      <c r="D585" s="28" t="str">
        <f>IFERROR(IF(C585="","",INDEX(마스터!$F$4:$F$20,MATCH(C585,마스터!$M$4:$M$20,0))),"")</f>
        <v/>
      </c>
      <c r="E585" s="27"/>
      <c r="F585" s="29"/>
      <c r="G585" s="25" t="str">
        <f>IFERROR(IF(C585="","",INDEX(마스터!$J$4:$J$20,MATCH(C585,마스터!$M$4:$M$20,0))),"")</f>
        <v/>
      </c>
      <c r="H585" s="30"/>
      <c r="I585" s="30"/>
      <c r="AC585" s="32">
        <f>IF(AND(E585&lt;&gt;"",C585&lt;&gt;"",COUNTIFS($C$8:C585,C585,$E$8:E585,E585)=1),1,0)</f>
        <v>0</v>
      </c>
    </row>
    <row r="586" spans="1:29" ht="15" customHeight="1" x14ac:dyDescent="0.25">
      <c r="A586" s="25" t="str">
        <f t="shared" si="9"/>
        <v/>
      </c>
      <c r="B586" s="26"/>
      <c r="C586" s="27"/>
      <c r="D586" s="28" t="str">
        <f>IFERROR(IF(C586="","",INDEX(마스터!$F$4:$F$20,MATCH(C586,마스터!$M$4:$M$20,0))),"")</f>
        <v/>
      </c>
      <c r="E586" s="27"/>
      <c r="F586" s="29"/>
      <c r="G586" s="25" t="str">
        <f>IFERROR(IF(C586="","",INDEX(마스터!$J$4:$J$20,MATCH(C586,마스터!$M$4:$M$20,0))),"")</f>
        <v/>
      </c>
      <c r="H586" s="30"/>
      <c r="I586" s="30"/>
      <c r="AC586" s="32">
        <f>IF(AND(E586&lt;&gt;"",C586&lt;&gt;"",COUNTIFS($C$8:C586,C586,$E$8:E586,E586)=1),1,0)</f>
        <v>0</v>
      </c>
    </row>
    <row r="587" spans="1:29" ht="15" customHeight="1" x14ac:dyDescent="0.25">
      <c r="A587" s="25" t="str">
        <f t="shared" si="9"/>
        <v/>
      </c>
      <c r="B587" s="26"/>
      <c r="C587" s="27"/>
      <c r="D587" s="28" t="str">
        <f>IFERROR(IF(C587="","",INDEX(마스터!$F$4:$F$20,MATCH(C587,마스터!$M$4:$M$20,0))),"")</f>
        <v/>
      </c>
      <c r="E587" s="27"/>
      <c r="F587" s="29"/>
      <c r="G587" s="25" t="str">
        <f>IFERROR(IF(C587="","",INDEX(마스터!$J$4:$J$20,MATCH(C587,마스터!$M$4:$M$20,0))),"")</f>
        <v/>
      </c>
      <c r="H587" s="30"/>
      <c r="I587" s="30"/>
      <c r="AC587" s="32">
        <f>IF(AND(E587&lt;&gt;"",C587&lt;&gt;"",COUNTIFS($C$8:C587,C587,$E$8:E587,E587)=1),1,0)</f>
        <v>0</v>
      </c>
    </row>
    <row r="588" spans="1:29" ht="15" customHeight="1" x14ac:dyDescent="0.25">
      <c r="A588" s="25" t="str">
        <f t="shared" si="9"/>
        <v/>
      </c>
      <c r="B588" s="26"/>
      <c r="C588" s="27"/>
      <c r="D588" s="28" t="str">
        <f>IFERROR(IF(C588="","",INDEX(마스터!$F$4:$F$20,MATCH(C588,마스터!$M$4:$M$20,0))),"")</f>
        <v/>
      </c>
      <c r="E588" s="27"/>
      <c r="F588" s="29"/>
      <c r="G588" s="25" t="str">
        <f>IFERROR(IF(C588="","",INDEX(마스터!$J$4:$J$20,MATCH(C588,마스터!$M$4:$M$20,0))),"")</f>
        <v/>
      </c>
      <c r="H588" s="30"/>
      <c r="I588" s="30"/>
      <c r="AC588" s="32">
        <f>IF(AND(E588&lt;&gt;"",C588&lt;&gt;"",COUNTIFS($C$8:C588,C588,$E$8:E588,E588)=1),1,0)</f>
        <v>0</v>
      </c>
    </row>
    <row r="589" spans="1:29" ht="15" customHeight="1" x14ac:dyDescent="0.25">
      <c r="A589" s="25" t="str">
        <f t="shared" si="9"/>
        <v/>
      </c>
      <c r="B589" s="26"/>
      <c r="C589" s="27"/>
      <c r="D589" s="28" t="str">
        <f>IFERROR(IF(C589="","",INDEX(마스터!$F$4:$F$20,MATCH(C589,마스터!$M$4:$M$20,0))),"")</f>
        <v/>
      </c>
      <c r="E589" s="27"/>
      <c r="F589" s="29"/>
      <c r="G589" s="25" t="str">
        <f>IFERROR(IF(C589="","",INDEX(마스터!$J$4:$J$20,MATCH(C589,마스터!$M$4:$M$20,0))),"")</f>
        <v/>
      </c>
      <c r="H589" s="30"/>
      <c r="I589" s="30"/>
      <c r="AC589" s="32">
        <f>IF(AND(E589&lt;&gt;"",C589&lt;&gt;"",COUNTIFS($C$8:C589,C589,$E$8:E589,E589)=1),1,0)</f>
        <v>0</v>
      </c>
    </row>
    <row r="590" spans="1:29" ht="15" customHeight="1" x14ac:dyDescent="0.25">
      <c r="A590" s="25" t="str">
        <f t="shared" si="9"/>
        <v/>
      </c>
      <c r="B590" s="26"/>
      <c r="C590" s="27"/>
      <c r="D590" s="28" t="str">
        <f>IFERROR(IF(C590="","",INDEX(마스터!$F$4:$F$20,MATCH(C590,마스터!$M$4:$M$20,0))),"")</f>
        <v/>
      </c>
      <c r="E590" s="27"/>
      <c r="F590" s="29"/>
      <c r="G590" s="25" t="str">
        <f>IFERROR(IF(C590="","",INDEX(마스터!$J$4:$J$20,MATCH(C590,마스터!$M$4:$M$20,0))),"")</f>
        <v/>
      </c>
      <c r="H590" s="30"/>
      <c r="I590" s="30"/>
      <c r="AC590" s="32">
        <f>IF(AND(E590&lt;&gt;"",C590&lt;&gt;"",COUNTIFS($C$8:C590,C590,$E$8:E590,E590)=1),1,0)</f>
        <v>0</v>
      </c>
    </row>
    <row r="591" spans="1:29" ht="15" customHeight="1" x14ac:dyDescent="0.25">
      <c r="A591" s="25" t="str">
        <f t="shared" si="9"/>
        <v/>
      </c>
      <c r="B591" s="26"/>
      <c r="C591" s="27"/>
      <c r="D591" s="28" t="str">
        <f>IFERROR(IF(C591="","",INDEX(마스터!$F$4:$F$20,MATCH(C591,마스터!$M$4:$M$20,0))),"")</f>
        <v/>
      </c>
      <c r="E591" s="27"/>
      <c r="F591" s="29"/>
      <c r="G591" s="25" t="str">
        <f>IFERROR(IF(C591="","",INDEX(마스터!$J$4:$J$20,MATCH(C591,마스터!$M$4:$M$20,0))),"")</f>
        <v/>
      </c>
      <c r="H591" s="30"/>
      <c r="I591" s="30"/>
      <c r="AC591" s="32">
        <f>IF(AND(E591&lt;&gt;"",C591&lt;&gt;"",COUNTIFS($C$8:C591,C591,$E$8:E591,E591)=1),1,0)</f>
        <v>0</v>
      </c>
    </row>
    <row r="592" spans="1:29" ht="15" customHeight="1" x14ac:dyDescent="0.25">
      <c r="A592" s="25" t="str">
        <f t="shared" si="9"/>
        <v/>
      </c>
      <c r="B592" s="26"/>
      <c r="C592" s="27"/>
      <c r="D592" s="28" t="str">
        <f>IFERROR(IF(C592="","",INDEX(마스터!$F$4:$F$20,MATCH(C592,마스터!$M$4:$M$20,0))),"")</f>
        <v/>
      </c>
      <c r="E592" s="27"/>
      <c r="F592" s="29"/>
      <c r="G592" s="25" t="str">
        <f>IFERROR(IF(C592="","",INDEX(마스터!$J$4:$J$20,MATCH(C592,마스터!$M$4:$M$20,0))),"")</f>
        <v/>
      </c>
      <c r="H592" s="30"/>
      <c r="I592" s="30"/>
      <c r="AC592" s="32">
        <f>IF(AND(E592&lt;&gt;"",C592&lt;&gt;"",COUNTIFS($C$8:C592,C592,$E$8:E592,E592)=1),1,0)</f>
        <v>0</v>
      </c>
    </row>
    <row r="593" spans="1:29" ht="15" customHeight="1" x14ac:dyDescent="0.25">
      <c r="A593" s="25" t="str">
        <f t="shared" si="9"/>
        <v/>
      </c>
      <c r="B593" s="26"/>
      <c r="C593" s="27"/>
      <c r="D593" s="28" t="str">
        <f>IFERROR(IF(C593="","",INDEX(마스터!$F$4:$F$20,MATCH(C593,마스터!$M$4:$M$20,0))),"")</f>
        <v/>
      </c>
      <c r="E593" s="27"/>
      <c r="F593" s="29"/>
      <c r="G593" s="25" t="str">
        <f>IFERROR(IF(C593="","",INDEX(마스터!$J$4:$J$20,MATCH(C593,마스터!$M$4:$M$20,0))),"")</f>
        <v/>
      </c>
      <c r="H593" s="30"/>
      <c r="I593" s="30"/>
      <c r="AC593" s="32">
        <f>IF(AND(E593&lt;&gt;"",C593&lt;&gt;"",COUNTIFS($C$8:C593,C593,$E$8:E593,E593)=1),1,0)</f>
        <v>0</v>
      </c>
    </row>
    <row r="594" spans="1:29" ht="15" customHeight="1" x14ac:dyDescent="0.25">
      <c r="A594" s="25" t="str">
        <f t="shared" si="9"/>
        <v/>
      </c>
      <c r="B594" s="26"/>
      <c r="C594" s="27"/>
      <c r="D594" s="28" t="str">
        <f>IFERROR(IF(C594="","",INDEX(마스터!$F$4:$F$20,MATCH(C594,마스터!$M$4:$M$20,0))),"")</f>
        <v/>
      </c>
      <c r="E594" s="27"/>
      <c r="F594" s="29"/>
      <c r="G594" s="25" t="str">
        <f>IFERROR(IF(C594="","",INDEX(마스터!$J$4:$J$20,MATCH(C594,마스터!$M$4:$M$20,0))),"")</f>
        <v/>
      </c>
      <c r="H594" s="30"/>
      <c r="I594" s="30"/>
      <c r="AC594" s="32">
        <f>IF(AND(E594&lt;&gt;"",C594&lt;&gt;"",COUNTIFS($C$8:C594,C594,$E$8:E594,E594)=1),1,0)</f>
        <v>0</v>
      </c>
    </row>
    <row r="595" spans="1:29" ht="15" customHeight="1" x14ac:dyDescent="0.25">
      <c r="A595" s="25" t="str">
        <f t="shared" si="9"/>
        <v/>
      </c>
      <c r="B595" s="26"/>
      <c r="C595" s="27"/>
      <c r="D595" s="28" t="str">
        <f>IFERROR(IF(C595="","",INDEX(마스터!$F$4:$F$20,MATCH(C595,마스터!$M$4:$M$20,0))),"")</f>
        <v/>
      </c>
      <c r="E595" s="27"/>
      <c r="F595" s="29"/>
      <c r="G595" s="25" t="str">
        <f>IFERROR(IF(C595="","",INDEX(마스터!$J$4:$J$20,MATCH(C595,마스터!$M$4:$M$20,0))),"")</f>
        <v/>
      </c>
      <c r="H595" s="30"/>
      <c r="I595" s="30"/>
      <c r="AC595" s="32">
        <f>IF(AND(E595&lt;&gt;"",C595&lt;&gt;"",COUNTIFS($C$8:C595,C595,$E$8:E595,E595)=1),1,0)</f>
        <v>0</v>
      </c>
    </row>
    <row r="596" spans="1:29" ht="15" customHeight="1" x14ac:dyDescent="0.25">
      <c r="A596" s="25" t="str">
        <f t="shared" si="9"/>
        <v/>
      </c>
      <c r="B596" s="26"/>
      <c r="C596" s="27"/>
      <c r="D596" s="28" t="str">
        <f>IFERROR(IF(C596="","",INDEX(마스터!$F$4:$F$20,MATCH(C596,마스터!$M$4:$M$20,0))),"")</f>
        <v/>
      </c>
      <c r="E596" s="27"/>
      <c r="F596" s="29"/>
      <c r="G596" s="25" t="str">
        <f>IFERROR(IF(C596="","",INDEX(마스터!$J$4:$J$20,MATCH(C596,마스터!$M$4:$M$20,0))),"")</f>
        <v/>
      </c>
      <c r="H596" s="30"/>
      <c r="I596" s="30"/>
      <c r="AC596" s="32">
        <f>IF(AND(E596&lt;&gt;"",C596&lt;&gt;"",COUNTIFS($C$8:C596,C596,$E$8:E596,E596)=1),1,0)</f>
        <v>0</v>
      </c>
    </row>
    <row r="597" spans="1:29" ht="15" customHeight="1" x14ac:dyDescent="0.25">
      <c r="A597" s="25" t="str">
        <f t="shared" si="9"/>
        <v/>
      </c>
      <c r="B597" s="26"/>
      <c r="C597" s="27"/>
      <c r="D597" s="28" t="str">
        <f>IFERROR(IF(C597="","",INDEX(마스터!$F$4:$F$20,MATCH(C597,마스터!$M$4:$M$20,0))),"")</f>
        <v/>
      </c>
      <c r="E597" s="27"/>
      <c r="F597" s="29"/>
      <c r="G597" s="25" t="str">
        <f>IFERROR(IF(C597="","",INDEX(마스터!$J$4:$J$20,MATCH(C597,마스터!$M$4:$M$20,0))),"")</f>
        <v/>
      </c>
      <c r="H597" s="30"/>
      <c r="I597" s="30"/>
      <c r="AC597" s="32">
        <f>IF(AND(E597&lt;&gt;"",C597&lt;&gt;"",COUNTIFS($C$8:C597,C597,$E$8:E597,E597)=1),1,0)</f>
        <v>0</v>
      </c>
    </row>
    <row r="598" spans="1:29" ht="15" customHeight="1" x14ac:dyDescent="0.25">
      <c r="A598" s="25" t="str">
        <f t="shared" si="9"/>
        <v/>
      </c>
      <c r="B598" s="26"/>
      <c r="C598" s="27"/>
      <c r="D598" s="28" t="str">
        <f>IFERROR(IF(C598="","",INDEX(마스터!$F$4:$F$20,MATCH(C598,마스터!$M$4:$M$20,0))),"")</f>
        <v/>
      </c>
      <c r="E598" s="27"/>
      <c r="F598" s="29"/>
      <c r="G598" s="25" t="str">
        <f>IFERROR(IF(C598="","",INDEX(마스터!$J$4:$J$20,MATCH(C598,마스터!$M$4:$M$20,0))),"")</f>
        <v/>
      </c>
      <c r="H598" s="30"/>
      <c r="I598" s="30"/>
      <c r="AC598" s="32">
        <f>IF(AND(E598&lt;&gt;"",C598&lt;&gt;"",COUNTIFS($C$8:C598,C598,$E$8:E598,E598)=1),1,0)</f>
        <v>0</v>
      </c>
    </row>
    <row r="599" spans="1:29" ht="15" customHeight="1" x14ac:dyDescent="0.25">
      <c r="A599" s="25" t="str">
        <f t="shared" si="9"/>
        <v/>
      </c>
      <c r="B599" s="26"/>
      <c r="C599" s="27"/>
      <c r="D599" s="28" t="str">
        <f>IFERROR(IF(C599="","",INDEX(마스터!$F$4:$F$20,MATCH(C599,마스터!$M$4:$M$20,0))),"")</f>
        <v/>
      </c>
      <c r="E599" s="27"/>
      <c r="F599" s="29"/>
      <c r="G599" s="25" t="str">
        <f>IFERROR(IF(C599="","",INDEX(마스터!$J$4:$J$20,MATCH(C599,마스터!$M$4:$M$20,0))),"")</f>
        <v/>
      </c>
      <c r="H599" s="30"/>
      <c r="I599" s="30"/>
      <c r="AC599" s="32">
        <f>IF(AND(E599&lt;&gt;"",C599&lt;&gt;"",COUNTIFS($C$8:C599,C599,$E$8:E599,E599)=1),1,0)</f>
        <v>0</v>
      </c>
    </row>
    <row r="600" spans="1:29" ht="15" customHeight="1" x14ac:dyDescent="0.25">
      <c r="A600" s="25" t="str">
        <f t="shared" si="9"/>
        <v/>
      </c>
      <c r="B600" s="26"/>
      <c r="C600" s="27"/>
      <c r="D600" s="28" t="str">
        <f>IFERROR(IF(C600="","",INDEX(마스터!$F$4:$F$20,MATCH(C600,마스터!$M$4:$M$20,0))),"")</f>
        <v/>
      </c>
      <c r="E600" s="27"/>
      <c r="F600" s="29"/>
      <c r="G600" s="25" t="str">
        <f>IFERROR(IF(C600="","",INDEX(마스터!$J$4:$J$20,MATCH(C600,마스터!$M$4:$M$20,0))),"")</f>
        <v/>
      </c>
      <c r="H600" s="30"/>
      <c r="I600" s="30"/>
      <c r="AC600" s="32">
        <f>IF(AND(E600&lt;&gt;"",C600&lt;&gt;"",COUNTIFS($C$8:C600,C600,$E$8:E600,E600)=1),1,0)</f>
        <v>0</v>
      </c>
    </row>
    <row r="601" spans="1:29" ht="15" customHeight="1" x14ac:dyDescent="0.25">
      <c r="A601" s="25" t="str">
        <f t="shared" si="9"/>
        <v/>
      </c>
      <c r="B601" s="26"/>
      <c r="C601" s="27"/>
      <c r="D601" s="28" t="str">
        <f>IFERROR(IF(C601="","",INDEX(마스터!$F$4:$F$20,MATCH(C601,마스터!$M$4:$M$20,0))),"")</f>
        <v/>
      </c>
      <c r="E601" s="27"/>
      <c r="F601" s="29"/>
      <c r="G601" s="25" t="str">
        <f>IFERROR(IF(C601="","",INDEX(마스터!$J$4:$J$20,MATCH(C601,마스터!$M$4:$M$20,0))),"")</f>
        <v/>
      </c>
      <c r="H601" s="30"/>
      <c r="I601" s="30"/>
      <c r="AC601" s="32">
        <f>IF(AND(E601&lt;&gt;"",C601&lt;&gt;"",COUNTIFS($C$8:C601,C601,$E$8:E601,E601)=1),1,0)</f>
        <v>0</v>
      </c>
    </row>
    <row r="602" spans="1:29" ht="15" customHeight="1" x14ac:dyDescent="0.25">
      <c r="A602" s="25" t="str">
        <f t="shared" si="9"/>
        <v/>
      </c>
      <c r="B602" s="26"/>
      <c r="C602" s="27"/>
      <c r="D602" s="28" t="str">
        <f>IFERROR(IF(C602="","",INDEX(마스터!$F$4:$F$20,MATCH(C602,마스터!$M$4:$M$20,0))),"")</f>
        <v/>
      </c>
      <c r="E602" s="27"/>
      <c r="F602" s="29"/>
      <c r="G602" s="25" t="str">
        <f>IFERROR(IF(C602="","",INDEX(마스터!$J$4:$J$20,MATCH(C602,마스터!$M$4:$M$20,0))),"")</f>
        <v/>
      </c>
      <c r="H602" s="30"/>
      <c r="I602" s="30"/>
      <c r="AC602" s="32">
        <f>IF(AND(E602&lt;&gt;"",C602&lt;&gt;"",COUNTIFS($C$8:C602,C602,$E$8:E602,E602)=1),1,0)</f>
        <v>0</v>
      </c>
    </row>
    <row r="603" spans="1:29" ht="15" customHeight="1" x14ac:dyDescent="0.25">
      <c r="A603" s="25" t="str">
        <f t="shared" si="9"/>
        <v/>
      </c>
      <c r="B603" s="26"/>
      <c r="C603" s="27"/>
      <c r="D603" s="28" t="str">
        <f>IFERROR(IF(C603="","",INDEX(마스터!$F$4:$F$20,MATCH(C603,마스터!$M$4:$M$20,0))),"")</f>
        <v/>
      </c>
      <c r="E603" s="27"/>
      <c r="F603" s="29"/>
      <c r="G603" s="25" t="str">
        <f>IFERROR(IF(C603="","",INDEX(마스터!$J$4:$J$20,MATCH(C603,마스터!$M$4:$M$20,0))),"")</f>
        <v/>
      </c>
      <c r="H603" s="30"/>
      <c r="I603" s="30"/>
      <c r="AC603" s="32">
        <f>IF(AND(E603&lt;&gt;"",C603&lt;&gt;"",COUNTIFS($C$8:C603,C603,$E$8:E603,E603)=1),1,0)</f>
        <v>0</v>
      </c>
    </row>
    <row r="604" spans="1:29" ht="15" customHeight="1" x14ac:dyDescent="0.25">
      <c r="A604" s="25" t="str">
        <f t="shared" si="9"/>
        <v/>
      </c>
      <c r="B604" s="26"/>
      <c r="C604" s="27"/>
      <c r="D604" s="28" t="str">
        <f>IFERROR(IF(C604="","",INDEX(마스터!$F$4:$F$20,MATCH(C604,마스터!$M$4:$M$20,0))),"")</f>
        <v/>
      </c>
      <c r="E604" s="27"/>
      <c r="F604" s="29"/>
      <c r="G604" s="25" t="str">
        <f>IFERROR(IF(C604="","",INDEX(마스터!$J$4:$J$20,MATCH(C604,마스터!$M$4:$M$20,0))),"")</f>
        <v/>
      </c>
      <c r="H604" s="30"/>
      <c r="I604" s="30"/>
      <c r="AC604" s="32">
        <f>IF(AND(E604&lt;&gt;"",C604&lt;&gt;"",COUNTIFS($C$8:C604,C604,$E$8:E604,E604)=1),1,0)</f>
        <v>0</v>
      </c>
    </row>
    <row r="605" spans="1:29" ht="15" customHeight="1" x14ac:dyDescent="0.25">
      <c r="A605" s="25" t="str">
        <f t="shared" si="9"/>
        <v/>
      </c>
      <c r="B605" s="26"/>
      <c r="C605" s="27"/>
      <c r="D605" s="28" t="str">
        <f>IFERROR(IF(C605="","",INDEX(마스터!$F$4:$F$20,MATCH(C605,마스터!$M$4:$M$20,0))),"")</f>
        <v/>
      </c>
      <c r="E605" s="27"/>
      <c r="F605" s="29"/>
      <c r="G605" s="25" t="str">
        <f>IFERROR(IF(C605="","",INDEX(마스터!$J$4:$J$20,MATCH(C605,마스터!$M$4:$M$20,0))),"")</f>
        <v/>
      </c>
      <c r="H605" s="30"/>
      <c r="I605" s="30"/>
      <c r="AC605" s="32">
        <f>IF(AND(E605&lt;&gt;"",C605&lt;&gt;"",COUNTIFS($C$8:C605,C605,$E$8:E605,E605)=1),1,0)</f>
        <v>0</v>
      </c>
    </row>
    <row r="606" spans="1:29" ht="15" customHeight="1" x14ac:dyDescent="0.25">
      <c r="A606" s="25" t="str">
        <f t="shared" si="9"/>
        <v/>
      </c>
      <c r="B606" s="26"/>
      <c r="C606" s="27"/>
      <c r="D606" s="28" t="str">
        <f>IFERROR(IF(C606="","",INDEX(마스터!$F$4:$F$20,MATCH(C606,마스터!$M$4:$M$20,0))),"")</f>
        <v/>
      </c>
      <c r="E606" s="27"/>
      <c r="F606" s="29"/>
      <c r="G606" s="25" t="str">
        <f>IFERROR(IF(C606="","",INDEX(마스터!$J$4:$J$20,MATCH(C606,마스터!$M$4:$M$20,0))),"")</f>
        <v/>
      </c>
      <c r="H606" s="30"/>
      <c r="I606" s="30"/>
      <c r="AC606" s="32">
        <f>IF(AND(E606&lt;&gt;"",C606&lt;&gt;"",COUNTIFS($C$8:C606,C606,$E$8:E606,E606)=1),1,0)</f>
        <v>0</v>
      </c>
    </row>
    <row r="607" spans="1:29" ht="15" customHeight="1" x14ac:dyDescent="0.25">
      <c r="A607" s="25" t="str">
        <f t="shared" si="9"/>
        <v/>
      </c>
      <c r="B607" s="26"/>
      <c r="C607" s="27"/>
      <c r="D607" s="28" t="str">
        <f>IFERROR(IF(C607="","",INDEX(마스터!$F$4:$F$20,MATCH(C607,마스터!$M$4:$M$20,0))),"")</f>
        <v/>
      </c>
      <c r="E607" s="27"/>
      <c r="F607" s="29"/>
      <c r="G607" s="25" t="str">
        <f>IFERROR(IF(C607="","",INDEX(마스터!$J$4:$J$20,MATCH(C607,마스터!$M$4:$M$20,0))),"")</f>
        <v/>
      </c>
      <c r="H607" s="30"/>
      <c r="I607" s="30"/>
      <c r="AC607" s="32">
        <f>IF(AND(E607&lt;&gt;"",C607&lt;&gt;"",COUNTIFS($C$8:C607,C607,$E$8:E607,E607)=1),1,0)</f>
        <v>0</v>
      </c>
    </row>
    <row r="608" spans="1:29" ht="15" customHeight="1" x14ac:dyDescent="0.25">
      <c r="A608" s="25" t="str">
        <f t="shared" si="9"/>
        <v/>
      </c>
      <c r="B608" s="26"/>
      <c r="C608" s="27"/>
      <c r="D608" s="28" t="str">
        <f>IFERROR(IF(C608="","",INDEX(마스터!$F$4:$F$20,MATCH(C608,마스터!$M$4:$M$20,0))),"")</f>
        <v/>
      </c>
      <c r="E608" s="27"/>
      <c r="F608" s="29"/>
      <c r="G608" s="25" t="str">
        <f>IFERROR(IF(C608="","",INDEX(마스터!$J$4:$J$20,MATCH(C608,마스터!$M$4:$M$20,0))),"")</f>
        <v/>
      </c>
      <c r="H608" s="30"/>
      <c r="I608" s="30"/>
      <c r="AC608" s="32">
        <f>IF(AND(E608&lt;&gt;"",C608&lt;&gt;"",COUNTIFS($C$8:C608,C608,$E$8:E608,E608)=1),1,0)</f>
        <v>0</v>
      </c>
    </row>
    <row r="609" spans="1:29" ht="15" customHeight="1" x14ac:dyDescent="0.25">
      <c r="A609" s="25" t="str">
        <f t="shared" si="9"/>
        <v/>
      </c>
      <c r="B609" s="26"/>
      <c r="C609" s="27"/>
      <c r="D609" s="28" t="str">
        <f>IFERROR(IF(C609="","",INDEX(마스터!$F$4:$F$20,MATCH(C609,마스터!$M$4:$M$20,0))),"")</f>
        <v/>
      </c>
      <c r="E609" s="27"/>
      <c r="F609" s="29"/>
      <c r="G609" s="25" t="str">
        <f>IFERROR(IF(C609="","",INDEX(마스터!$J$4:$J$20,MATCH(C609,마스터!$M$4:$M$20,0))),"")</f>
        <v/>
      </c>
      <c r="H609" s="30"/>
      <c r="I609" s="30"/>
      <c r="AC609" s="32">
        <f>IF(AND(E609&lt;&gt;"",C609&lt;&gt;"",COUNTIFS($C$8:C609,C609,$E$8:E609,E609)=1),1,0)</f>
        <v>0</v>
      </c>
    </row>
    <row r="610" spans="1:29" ht="15" customHeight="1" x14ac:dyDescent="0.25">
      <c r="A610" s="25" t="str">
        <f t="shared" si="9"/>
        <v/>
      </c>
      <c r="B610" s="26"/>
      <c r="C610" s="27"/>
      <c r="D610" s="28" t="str">
        <f>IFERROR(IF(C610="","",INDEX(마스터!$F$4:$F$20,MATCH(C610,마스터!$M$4:$M$20,0))),"")</f>
        <v/>
      </c>
      <c r="E610" s="27"/>
      <c r="F610" s="29"/>
      <c r="G610" s="25" t="str">
        <f>IFERROR(IF(C610="","",INDEX(마스터!$J$4:$J$20,MATCH(C610,마스터!$M$4:$M$20,0))),"")</f>
        <v/>
      </c>
      <c r="H610" s="30"/>
      <c r="I610" s="30"/>
      <c r="AC610" s="32">
        <f>IF(AND(E610&lt;&gt;"",C610&lt;&gt;"",COUNTIFS($C$8:C610,C610,$E$8:E610,E610)=1),1,0)</f>
        <v>0</v>
      </c>
    </row>
    <row r="611" spans="1:29" ht="15" customHeight="1" x14ac:dyDescent="0.25">
      <c r="A611" s="25" t="str">
        <f t="shared" si="9"/>
        <v/>
      </c>
      <c r="B611" s="26"/>
      <c r="C611" s="27"/>
      <c r="D611" s="28" t="str">
        <f>IFERROR(IF(C611="","",INDEX(마스터!$F$4:$F$20,MATCH(C611,마스터!$M$4:$M$20,0))),"")</f>
        <v/>
      </c>
      <c r="E611" s="27"/>
      <c r="F611" s="29"/>
      <c r="G611" s="25" t="str">
        <f>IFERROR(IF(C611="","",INDEX(마스터!$J$4:$J$20,MATCH(C611,마스터!$M$4:$M$20,0))),"")</f>
        <v/>
      </c>
      <c r="H611" s="30"/>
      <c r="I611" s="30"/>
      <c r="AC611" s="32">
        <f>IF(AND(E611&lt;&gt;"",C611&lt;&gt;"",COUNTIFS($C$8:C611,C611,$E$8:E611,E611)=1),1,0)</f>
        <v>0</v>
      </c>
    </row>
    <row r="612" spans="1:29" ht="15" customHeight="1" x14ac:dyDescent="0.25">
      <c r="A612" s="25" t="str">
        <f t="shared" si="9"/>
        <v/>
      </c>
      <c r="B612" s="26"/>
      <c r="C612" s="27"/>
      <c r="D612" s="28" t="str">
        <f>IFERROR(IF(C612="","",INDEX(마스터!$F$4:$F$20,MATCH(C612,마스터!$M$4:$M$20,0))),"")</f>
        <v/>
      </c>
      <c r="E612" s="27"/>
      <c r="F612" s="29"/>
      <c r="G612" s="25" t="str">
        <f>IFERROR(IF(C612="","",INDEX(마스터!$J$4:$J$20,MATCH(C612,마스터!$M$4:$M$20,0))),"")</f>
        <v/>
      </c>
      <c r="H612" s="30"/>
      <c r="I612" s="30"/>
      <c r="AC612" s="32">
        <f>IF(AND(E612&lt;&gt;"",C612&lt;&gt;"",COUNTIFS($C$8:C612,C612,$E$8:E612,E612)=1),1,0)</f>
        <v>0</v>
      </c>
    </row>
    <row r="613" spans="1:29" ht="15" customHeight="1" x14ac:dyDescent="0.25">
      <c r="A613" s="25" t="str">
        <f t="shared" si="9"/>
        <v/>
      </c>
      <c r="B613" s="26"/>
      <c r="C613" s="27"/>
      <c r="D613" s="28" t="str">
        <f>IFERROR(IF(C613="","",INDEX(마스터!$F$4:$F$20,MATCH(C613,마스터!$M$4:$M$20,0))),"")</f>
        <v/>
      </c>
      <c r="E613" s="27"/>
      <c r="F613" s="29"/>
      <c r="G613" s="25" t="str">
        <f>IFERROR(IF(C613="","",INDEX(마스터!$J$4:$J$20,MATCH(C613,마스터!$M$4:$M$20,0))),"")</f>
        <v/>
      </c>
      <c r="H613" s="30"/>
      <c r="I613" s="30"/>
      <c r="AC613" s="32">
        <f>IF(AND(E613&lt;&gt;"",C613&lt;&gt;"",COUNTIFS($C$8:C613,C613,$E$8:E613,E613)=1),1,0)</f>
        <v>0</v>
      </c>
    </row>
    <row r="614" spans="1:29" ht="15" customHeight="1" x14ac:dyDescent="0.25">
      <c r="A614" s="25" t="str">
        <f t="shared" si="9"/>
        <v/>
      </c>
      <c r="B614" s="26"/>
      <c r="C614" s="27"/>
      <c r="D614" s="28" t="str">
        <f>IFERROR(IF(C614="","",INDEX(마스터!$F$4:$F$20,MATCH(C614,마스터!$M$4:$M$20,0))),"")</f>
        <v/>
      </c>
      <c r="E614" s="27"/>
      <c r="F614" s="29"/>
      <c r="G614" s="25" t="str">
        <f>IFERROR(IF(C614="","",INDEX(마스터!$J$4:$J$20,MATCH(C614,마스터!$M$4:$M$20,0))),"")</f>
        <v/>
      </c>
      <c r="H614" s="30"/>
      <c r="I614" s="30"/>
      <c r="AC614" s="32">
        <f>IF(AND(E614&lt;&gt;"",C614&lt;&gt;"",COUNTIFS($C$8:C614,C614,$E$8:E614,E614)=1),1,0)</f>
        <v>0</v>
      </c>
    </row>
    <row r="615" spans="1:29" ht="15" customHeight="1" x14ac:dyDescent="0.25">
      <c r="A615" s="25" t="str">
        <f t="shared" si="9"/>
        <v/>
      </c>
      <c r="B615" s="26"/>
      <c r="C615" s="27"/>
      <c r="D615" s="28" t="str">
        <f>IFERROR(IF(C615="","",INDEX(마스터!$F$4:$F$20,MATCH(C615,마스터!$M$4:$M$20,0))),"")</f>
        <v/>
      </c>
      <c r="E615" s="27"/>
      <c r="F615" s="29"/>
      <c r="G615" s="25" t="str">
        <f>IFERROR(IF(C615="","",INDEX(마스터!$J$4:$J$20,MATCH(C615,마스터!$M$4:$M$20,0))),"")</f>
        <v/>
      </c>
      <c r="H615" s="30"/>
      <c r="I615" s="30"/>
      <c r="AC615" s="32">
        <f>IF(AND(E615&lt;&gt;"",C615&lt;&gt;"",COUNTIFS($C$8:C615,C615,$E$8:E615,E615)=1),1,0)</f>
        <v>0</v>
      </c>
    </row>
    <row r="616" spans="1:29" ht="15" customHeight="1" x14ac:dyDescent="0.25">
      <c r="A616" s="25" t="str">
        <f t="shared" si="9"/>
        <v/>
      </c>
      <c r="B616" s="26"/>
      <c r="C616" s="27"/>
      <c r="D616" s="28" t="str">
        <f>IFERROR(IF(C616="","",INDEX(마스터!$F$4:$F$20,MATCH(C616,마스터!$M$4:$M$20,0))),"")</f>
        <v/>
      </c>
      <c r="E616" s="27"/>
      <c r="F616" s="29"/>
      <c r="G616" s="25" t="str">
        <f>IFERROR(IF(C616="","",INDEX(마스터!$J$4:$J$20,MATCH(C616,마스터!$M$4:$M$20,0))),"")</f>
        <v/>
      </c>
      <c r="H616" s="30"/>
      <c r="I616" s="30"/>
      <c r="AC616" s="32">
        <f>IF(AND(E616&lt;&gt;"",C616&lt;&gt;"",COUNTIFS($C$8:C616,C616,$E$8:E616,E616)=1),1,0)</f>
        <v>0</v>
      </c>
    </row>
    <row r="617" spans="1:29" ht="15" customHeight="1" x14ac:dyDescent="0.25">
      <c r="A617" s="25" t="str">
        <f t="shared" si="9"/>
        <v/>
      </c>
      <c r="B617" s="26"/>
      <c r="C617" s="27"/>
      <c r="D617" s="28" t="str">
        <f>IFERROR(IF(C617="","",INDEX(마스터!$F$4:$F$20,MATCH(C617,마스터!$M$4:$M$20,0))),"")</f>
        <v/>
      </c>
      <c r="E617" s="27"/>
      <c r="F617" s="29"/>
      <c r="G617" s="25" t="str">
        <f>IFERROR(IF(C617="","",INDEX(마스터!$J$4:$J$20,MATCH(C617,마스터!$M$4:$M$20,0))),"")</f>
        <v/>
      </c>
      <c r="H617" s="30"/>
      <c r="I617" s="30"/>
      <c r="AC617" s="32">
        <f>IF(AND(E617&lt;&gt;"",C617&lt;&gt;"",COUNTIFS($C$8:C617,C617,$E$8:E617,E617)=1),1,0)</f>
        <v>0</v>
      </c>
    </row>
    <row r="618" spans="1:29" ht="15" customHeight="1" x14ac:dyDescent="0.25">
      <c r="A618" s="25" t="str">
        <f t="shared" si="9"/>
        <v/>
      </c>
      <c r="B618" s="26"/>
      <c r="C618" s="27"/>
      <c r="D618" s="28" t="str">
        <f>IFERROR(IF(C618="","",INDEX(마스터!$F$4:$F$20,MATCH(C618,마스터!$M$4:$M$20,0))),"")</f>
        <v/>
      </c>
      <c r="E618" s="27"/>
      <c r="F618" s="29"/>
      <c r="G618" s="25" t="str">
        <f>IFERROR(IF(C618="","",INDEX(마스터!$J$4:$J$20,MATCH(C618,마스터!$M$4:$M$20,0))),"")</f>
        <v/>
      </c>
      <c r="H618" s="30"/>
      <c r="I618" s="30"/>
      <c r="AC618" s="32">
        <f>IF(AND(E618&lt;&gt;"",C618&lt;&gt;"",COUNTIFS($C$8:C618,C618,$E$8:E618,E618)=1),1,0)</f>
        <v>0</v>
      </c>
    </row>
    <row r="619" spans="1:29" ht="15" customHeight="1" x14ac:dyDescent="0.25">
      <c r="A619" s="25" t="str">
        <f t="shared" si="9"/>
        <v/>
      </c>
      <c r="B619" s="26"/>
      <c r="C619" s="27"/>
      <c r="D619" s="28" t="str">
        <f>IFERROR(IF(C619="","",INDEX(마스터!$F$4:$F$20,MATCH(C619,마스터!$M$4:$M$20,0))),"")</f>
        <v/>
      </c>
      <c r="E619" s="27"/>
      <c r="F619" s="29"/>
      <c r="G619" s="25" t="str">
        <f>IFERROR(IF(C619="","",INDEX(마스터!$J$4:$J$20,MATCH(C619,마스터!$M$4:$M$20,0))),"")</f>
        <v/>
      </c>
      <c r="H619" s="30"/>
      <c r="I619" s="30"/>
      <c r="AC619" s="32">
        <f>IF(AND(E619&lt;&gt;"",C619&lt;&gt;"",COUNTIFS($C$8:C619,C619,$E$8:E619,E619)=1),1,0)</f>
        <v>0</v>
      </c>
    </row>
    <row r="620" spans="1:29" ht="15" customHeight="1" x14ac:dyDescent="0.25">
      <c r="A620" s="25" t="str">
        <f t="shared" si="9"/>
        <v/>
      </c>
      <c r="B620" s="26"/>
      <c r="C620" s="27"/>
      <c r="D620" s="28" t="str">
        <f>IFERROR(IF(C620="","",INDEX(마스터!$F$4:$F$20,MATCH(C620,마스터!$M$4:$M$20,0))),"")</f>
        <v/>
      </c>
      <c r="E620" s="27"/>
      <c r="F620" s="29"/>
      <c r="G620" s="25" t="str">
        <f>IFERROR(IF(C620="","",INDEX(마스터!$J$4:$J$20,MATCH(C620,마스터!$M$4:$M$20,0))),"")</f>
        <v/>
      </c>
      <c r="H620" s="30"/>
      <c r="I620" s="30"/>
      <c r="AC620" s="32">
        <f>IF(AND(E620&lt;&gt;"",C620&lt;&gt;"",COUNTIFS($C$8:C620,C620,$E$8:E620,E620)=1),1,0)</f>
        <v>0</v>
      </c>
    </row>
    <row r="621" spans="1:29" ht="15" customHeight="1" x14ac:dyDescent="0.25">
      <c r="A621" s="25" t="str">
        <f t="shared" si="9"/>
        <v/>
      </c>
      <c r="B621" s="26"/>
      <c r="C621" s="27"/>
      <c r="D621" s="28" t="str">
        <f>IFERROR(IF(C621="","",INDEX(마스터!$F$4:$F$20,MATCH(C621,마스터!$M$4:$M$20,0))),"")</f>
        <v/>
      </c>
      <c r="E621" s="27"/>
      <c r="F621" s="29"/>
      <c r="G621" s="25" t="str">
        <f>IFERROR(IF(C621="","",INDEX(마스터!$J$4:$J$20,MATCH(C621,마스터!$M$4:$M$20,0))),"")</f>
        <v/>
      </c>
      <c r="H621" s="30"/>
      <c r="I621" s="30"/>
      <c r="AC621" s="32">
        <f>IF(AND(E621&lt;&gt;"",C621&lt;&gt;"",COUNTIFS($C$8:C621,C621,$E$8:E621,E621)=1),1,0)</f>
        <v>0</v>
      </c>
    </row>
    <row r="622" spans="1:29" ht="15" customHeight="1" x14ac:dyDescent="0.25">
      <c r="A622" s="25" t="str">
        <f t="shared" si="9"/>
        <v/>
      </c>
      <c r="B622" s="26"/>
      <c r="C622" s="27"/>
      <c r="D622" s="28" t="str">
        <f>IFERROR(IF(C622="","",INDEX(마스터!$F$4:$F$20,MATCH(C622,마스터!$M$4:$M$20,0))),"")</f>
        <v/>
      </c>
      <c r="E622" s="27"/>
      <c r="F622" s="29"/>
      <c r="G622" s="25" t="str">
        <f>IFERROR(IF(C622="","",INDEX(마스터!$J$4:$J$20,MATCH(C622,마스터!$M$4:$M$20,0))),"")</f>
        <v/>
      </c>
      <c r="H622" s="30"/>
      <c r="I622" s="30"/>
      <c r="AC622" s="32">
        <f>IF(AND(E622&lt;&gt;"",C622&lt;&gt;"",COUNTIFS($C$8:C622,C622,$E$8:E622,E622)=1),1,0)</f>
        <v>0</v>
      </c>
    </row>
    <row r="623" spans="1:29" ht="15" customHeight="1" x14ac:dyDescent="0.25">
      <c r="A623" s="25" t="str">
        <f t="shared" si="9"/>
        <v/>
      </c>
      <c r="B623" s="26"/>
      <c r="C623" s="27"/>
      <c r="D623" s="28" t="str">
        <f>IFERROR(IF(C623="","",INDEX(마스터!$F$4:$F$20,MATCH(C623,마스터!$M$4:$M$20,0))),"")</f>
        <v/>
      </c>
      <c r="E623" s="27"/>
      <c r="F623" s="29"/>
      <c r="G623" s="25" t="str">
        <f>IFERROR(IF(C623="","",INDEX(마스터!$J$4:$J$20,MATCH(C623,마스터!$M$4:$M$20,0))),"")</f>
        <v/>
      </c>
      <c r="H623" s="30"/>
      <c r="I623" s="30"/>
      <c r="AC623" s="32">
        <f>IF(AND(E623&lt;&gt;"",C623&lt;&gt;"",COUNTIFS($C$8:C623,C623,$E$8:E623,E623)=1),1,0)</f>
        <v>0</v>
      </c>
    </row>
    <row r="624" spans="1:29" ht="15" customHeight="1" x14ac:dyDescent="0.25">
      <c r="A624" s="25" t="str">
        <f t="shared" si="9"/>
        <v/>
      </c>
      <c r="B624" s="26"/>
      <c r="C624" s="27"/>
      <c r="D624" s="28" t="str">
        <f>IFERROR(IF(C624="","",INDEX(마스터!$F$4:$F$20,MATCH(C624,마스터!$M$4:$M$20,0))),"")</f>
        <v/>
      </c>
      <c r="E624" s="27"/>
      <c r="F624" s="29"/>
      <c r="G624" s="25" t="str">
        <f>IFERROR(IF(C624="","",INDEX(마스터!$J$4:$J$20,MATCH(C624,마스터!$M$4:$M$20,0))),"")</f>
        <v/>
      </c>
      <c r="H624" s="30"/>
      <c r="I624" s="30"/>
      <c r="AC624" s="32">
        <f>IF(AND(E624&lt;&gt;"",C624&lt;&gt;"",COUNTIFS($C$8:C624,C624,$E$8:E624,E624)=1),1,0)</f>
        <v>0</v>
      </c>
    </row>
    <row r="625" spans="1:29" ht="15" customHeight="1" x14ac:dyDescent="0.25">
      <c r="A625" s="25" t="str">
        <f t="shared" si="9"/>
        <v/>
      </c>
      <c r="B625" s="26"/>
      <c r="C625" s="27"/>
      <c r="D625" s="28" t="str">
        <f>IFERROR(IF(C625="","",INDEX(마스터!$F$4:$F$20,MATCH(C625,마스터!$M$4:$M$20,0))),"")</f>
        <v/>
      </c>
      <c r="E625" s="27"/>
      <c r="F625" s="29"/>
      <c r="G625" s="25" t="str">
        <f>IFERROR(IF(C625="","",INDEX(마스터!$J$4:$J$20,MATCH(C625,마스터!$M$4:$M$20,0))),"")</f>
        <v/>
      </c>
      <c r="H625" s="30"/>
      <c r="I625" s="30"/>
      <c r="AC625" s="32">
        <f>IF(AND(E625&lt;&gt;"",C625&lt;&gt;"",COUNTIFS($C$8:C625,C625,$E$8:E625,E625)=1),1,0)</f>
        <v>0</v>
      </c>
    </row>
    <row r="626" spans="1:29" ht="15" customHeight="1" x14ac:dyDescent="0.25">
      <c r="A626" s="25" t="str">
        <f t="shared" si="9"/>
        <v/>
      </c>
      <c r="B626" s="26"/>
      <c r="C626" s="27"/>
      <c r="D626" s="28" t="str">
        <f>IFERROR(IF(C626="","",INDEX(마스터!$F$4:$F$20,MATCH(C626,마스터!$M$4:$M$20,0))),"")</f>
        <v/>
      </c>
      <c r="E626" s="27"/>
      <c r="F626" s="29"/>
      <c r="G626" s="25" t="str">
        <f>IFERROR(IF(C626="","",INDEX(마스터!$J$4:$J$20,MATCH(C626,마스터!$M$4:$M$20,0))),"")</f>
        <v/>
      </c>
      <c r="H626" s="30"/>
      <c r="I626" s="30"/>
      <c r="AC626" s="32">
        <f>IF(AND(E626&lt;&gt;"",C626&lt;&gt;"",COUNTIFS($C$8:C626,C626,$E$8:E626,E626)=1),1,0)</f>
        <v>0</v>
      </c>
    </row>
    <row r="627" spans="1:29" ht="15" customHeight="1" x14ac:dyDescent="0.25">
      <c r="A627" s="25" t="str">
        <f t="shared" si="9"/>
        <v/>
      </c>
      <c r="B627" s="26"/>
      <c r="C627" s="27"/>
      <c r="D627" s="28" t="str">
        <f>IFERROR(IF(C627="","",INDEX(마스터!$F$4:$F$20,MATCH(C627,마스터!$M$4:$M$20,0))),"")</f>
        <v/>
      </c>
      <c r="E627" s="27"/>
      <c r="F627" s="29"/>
      <c r="G627" s="25" t="str">
        <f>IFERROR(IF(C627="","",INDEX(마스터!$J$4:$J$20,MATCH(C627,마스터!$M$4:$M$20,0))),"")</f>
        <v/>
      </c>
      <c r="H627" s="30"/>
      <c r="I627" s="30"/>
      <c r="AC627" s="32">
        <f>IF(AND(E627&lt;&gt;"",C627&lt;&gt;"",COUNTIFS($C$8:C627,C627,$E$8:E627,E627)=1),1,0)</f>
        <v>0</v>
      </c>
    </row>
    <row r="628" spans="1:29" ht="15" customHeight="1" x14ac:dyDescent="0.25">
      <c r="A628" s="25" t="str">
        <f t="shared" si="9"/>
        <v/>
      </c>
      <c r="B628" s="26"/>
      <c r="C628" s="27"/>
      <c r="D628" s="28" t="str">
        <f>IFERROR(IF(C628="","",INDEX(마스터!$F$4:$F$20,MATCH(C628,마스터!$M$4:$M$20,0))),"")</f>
        <v/>
      </c>
      <c r="E628" s="27"/>
      <c r="F628" s="29"/>
      <c r="G628" s="25" t="str">
        <f>IFERROR(IF(C628="","",INDEX(마스터!$J$4:$J$20,MATCH(C628,마스터!$M$4:$M$20,0))),"")</f>
        <v/>
      </c>
      <c r="H628" s="30"/>
      <c r="I628" s="30"/>
      <c r="AC628" s="32">
        <f>IF(AND(E628&lt;&gt;"",C628&lt;&gt;"",COUNTIFS($C$8:C628,C628,$E$8:E628,E628)=1),1,0)</f>
        <v>0</v>
      </c>
    </row>
    <row r="629" spans="1:29" ht="15" customHeight="1" x14ac:dyDescent="0.25">
      <c r="A629" s="25" t="str">
        <f t="shared" si="9"/>
        <v/>
      </c>
      <c r="B629" s="26"/>
      <c r="C629" s="27"/>
      <c r="D629" s="28" t="str">
        <f>IFERROR(IF(C629="","",INDEX(마스터!$F$4:$F$20,MATCH(C629,마스터!$M$4:$M$20,0))),"")</f>
        <v/>
      </c>
      <c r="E629" s="27"/>
      <c r="F629" s="29"/>
      <c r="G629" s="25" t="str">
        <f>IFERROR(IF(C629="","",INDEX(마스터!$J$4:$J$20,MATCH(C629,마스터!$M$4:$M$20,0))),"")</f>
        <v/>
      </c>
      <c r="H629" s="30"/>
      <c r="I629" s="30"/>
      <c r="AC629" s="32">
        <f>IF(AND(E629&lt;&gt;"",C629&lt;&gt;"",COUNTIFS($C$8:C629,C629,$E$8:E629,E629)=1),1,0)</f>
        <v>0</v>
      </c>
    </row>
    <row r="630" spans="1:29" ht="15" customHeight="1" x14ac:dyDescent="0.25">
      <c r="A630" s="25" t="str">
        <f t="shared" si="9"/>
        <v/>
      </c>
      <c r="B630" s="26"/>
      <c r="C630" s="27"/>
      <c r="D630" s="28" t="str">
        <f>IFERROR(IF(C630="","",INDEX(마스터!$F$4:$F$20,MATCH(C630,마스터!$M$4:$M$20,0))),"")</f>
        <v/>
      </c>
      <c r="E630" s="27"/>
      <c r="F630" s="29"/>
      <c r="G630" s="25" t="str">
        <f>IFERROR(IF(C630="","",INDEX(마스터!$J$4:$J$20,MATCH(C630,마스터!$M$4:$M$20,0))),"")</f>
        <v/>
      </c>
      <c r="H630" s="30"/>
      <c r="I630" s="30"/>
      <c r="AC630" s="32">
        <f>IF(AND(E630&lt;&gt;"",C630&lt;&gt;"",COUNTIFS($C$8:C630,C630,$E$8:E630,E630)=1),1,0)</f>
        <v>0</v>
      </c>
    </row>
    <row r="631" spans="1:29" ht="15" customHeight="1" x14ac:dyDescent="0.25">
      <c r="A631" s="25" t="str">
        <f t="shared" si="9"/>
        <v/>
      </c>
      <c r="B631" s="26"/>
      <c r="C631" s="27"/>
      <c r="D631" s="28" t="str">
        <f>IFERROR(IF(C631="","",INDEX(마스터!$F$4:$F$20,MATCH(C631,마스터!$M$4:$M$20,0))),"")</f>
        <v/>
      </c>
      <c r="E631" s="27"/>
      <c r="F631" s="29"/>
      <c r="G631" s="25" t="str">
        <f>IFERROR(IF(C631="","",INDEX(마스터!$J$4:$J$20,MATCH(C631,마스터!$M$4:$M$20,0))),"")</f>
        <v/>
      </c>
      <c r="H631" s="30"/>
      <c r="I631" s="30"/>
      <c r="AC631" s="32">
        <f>IF(AND(E631&lt;&gt;"",C631&lt;&gt;"",COUNTIFS($C$8:C631,C631,$E$8:E631,E631)=1),1,0)</f>
        <v>0</v>
      </c>
    </row>
    <row r="632" spans="1:29" ht="15" customHeight="1" x14ac:dyDescent="0.25">
      <c r="A632" s="25" t="str">
        <f t="shared" si="9"/>
        <v/>
      </c>
      <c r="B632" s="26"/>
      <c r="C632" s="27"/>
      <c r="D632" s="28" t="str">
        <f>IFERROR(IF(C632="","",INDEX(마스터!$F$4:$F$20,MATCH(C632,마스터!$M$4:$M$20,0))),"")</f>
        <v/>
      </c>
      <c r="E632" s="27"/>
      <c r="F632" s="29"/>
      <c r="G632" s="25" t="str">
        <f>IFERROR(IF(C632="","",INDEX(마스터!$J$4:$J$20,MATCH(C632,마스터!$M$4:$M$20,0))),"")</f>
        <v/>
      </c>
      <c r="H632" s="30"/>
      <c r="I632" s="30"/>
      <c r="AC632" s="32">
        <f>IF(AND(E632&lt;&gt;"",C632&lt;&gt;"",COUNTIFS($C$8:C632,C632,$E$8:E632,E632)=1),1,0)</f>
        <v>0</v>
      </c>
    </row>
    <row r="633" spans="1:29" ht="15" customHeight="1" x14ac:dyDescent="0.25">
      <c r="A633" s="25" t="str">
        <f t="shared" si="9"/>
        <v/>
      </c>
      <c r="B633" s="26"/>
      <c r="C633" s="27"/>
      <c r="D633" s="28" t="str">
        <f>IFERROR(IF(C633="","",INDEX(마스터!$F$4:$F$20,MATCH(C633,마스터!$M$4:$M$20,0))),"")</f>
        <v/>
      </c>
      <c r="E633" s="27"/>
      <c r="F633" s="29"/>
      <c r="G633" s="25" t="str">
        <f>IFERROR(IF(C633="","",INDEX(마스터!$J$4:$J$20,MATCH(C633,마스터!$M$4:$M$20,0))),"")</f>
        <v/>
      </c>
      <c r="H633" s="30"/>
      <c r="I633" s="30"/>
      <c r="AC633" s="32">
        <f>IF(AND(E633&lt;&gt;"",C633&lt;&gt;"",COUNTIFS($C$8:C633,C633,$E$8:E633,E633)=1),1,0)</f>
        <v>0</v>
      </c>
    </row>
    <row r="634" spans="1:29" ht="15" customHeight="1" x14ac:dyDescent="0.25">
      <c r="A634" s="25" t="str">
        <f t="shared" si="9"/>
        <v/>
      </c>
      <c r="B634" s="26"/>
      <c r="C634" s="27"/>
      <c r="D634" s="28" t="str">
        <f>IFERROR(IF(C634="","",INDEX(마스터!$F$4:$F$20,MATCH(C634,마스터!$M$4:$M$20,0))),"")</f>
        <v/>
      </c>
      <c r="E634" s="27"/>
      <c r="F634" s="29"/>
      <c r="G634" s="25" t="str">
        <f>IFERROR(IF(C634="","",INDEX(마스터!$J$4:$J$20,MATCH(C634,마스터!$M$4:$M$20,0))),"")</f>
        <v/>
      </c>
      <c r="H634" s="30"/>
      <c r="I634" s="30"/>
      <c r="AC634" s="32">
        <f>IF(AND(E634&lt;&gt;"",C634&lt;&gt;"",COUNTIFS($C$8:C634,C634,$E$8:E634,E634)=1),1,0)</f>
        <v>0</v>
      </c>
    </row>
    <row r="635" spans="1:29" ht="15" customHeight="1" x14ac:dyDescent="0.25">
      <c r="A635" s="25" t="str">
        <f t="shared" si="9"/>
        <v/>
      </c>
      <c r="B635" s="26"/>
      <c r="C635" s="27"/>
      <c r="D635" s="28" t="str">
        <f>IFERROR(IF(C635="","",INDEX(마스터!$F$4:$F$20,MATCH(C635,마스터!$M$4:$M$20,0))),"")</f>
        <v/>
      </c>
      <c r="E635" s="27"/>
      <c r="F635" s="29"/>
      <c r="G635" s="25" t="str">
        <f>IFERROR(IF(C635="","",INDEX(마스터!$J$4:$J$20,MATCH(C635,마스터!$M$4:$M$20,0))),"")</f>
        <v/>
      </c>
      <c r="H635" s="30"/>
      <c r="I635" s="30"/>
      <c r="AC635" s="32">
        <f>IF(AND(E635&lt;&gt;"",C635&lt;&gt;"",COUNTIFS($C$8:C635,C635,$E$8:E635,E635)=1),1,0)</f>
        <v>0</v>
      </c>
    </row>
    <row r="636" spans="1:29" ht="15" customHeight="1" x14ac:dyDescent="0.25">
      <c r="A636" s="25" t="str">
        <f t="shared" si="9"/>
        <v/>
      </c>
      <c r="B636" s="26"/>
      <c r="C636" s="27"/>
      <c r="D636" s="28" t="str">
        <f>IFERROR(IF(C636="","",INDEX(마스터!$F$4:$F$20,MATCH(C636,마스터!$M$4:$M$20,0))),"")</f>
        <v/>
      </c>
      <c r="E636" s="27"/>
      <c r="F636" s="29"/>
      <c r="G636" s="25" t="str">
        <f>IFERROR(IF(C636="","",INDEX(마스터!$J$4:$J$20,MATCH(C636,마스터!$M$4:$M$20,0))),"")</f>
        <v/>
      </c>
      <c r="H636" s="30"/>
      <c r="I636" s="30"/>
      <c r="AC636" s="32">
        <f>IF(AND(E636&lt;&gt;"",C636&lt;&gt;"",COUNTIFS($C$8:C636,C636,$E$8:E636,E636)=1),1,0)</f>
        <v>0</v>
      </c>
    </row>
    <row r="637" spans="1:29" ht="15" customHeight="1" x14ac:dyDescent="0.25">
      <c r="A637" s="25" t="str">
        <f t="shared" si="9"/>
        <v/>
      </c>
      <c r="B637" s="26"/>
      <c r="C637" s="27"/>
      <c r="D637" s="28" t="str">
        <f>IFERROR(IF(C637="","",INDEX(마스터!$F$4:$F$20,MATCH(C637,마스터!$M$4:$M$20,0))),"")</f>
        <v/>
      </c>
      <c r="E637" s="27"/>
      <c r="F637" s="29"/>
      <c r="G637" s="25" t="str">
        <f>IFERROR(IF(C637="","",INDEX(마스터!$J$4:$J$20,MATCH(C637,마스터!$M$4:$M$20,0))),"")</f>
        <v/>
      </c>
      <c r="H637" s="30"/>
      <c r="I637" s="30"/>
      <c r="AC637" s="32">
        <f>IF(AND(E637&lt;&gt;"",C637&lt;&gt;"",COUNTIFS($C$8:C637,C637,$E$8:E637,E637)=1),1,0)</f>
        <v>0</v>
      </c>
    </row>
    <row r="638" spans="1:29" ht="15" customHeight="1" x14ac:dyDescent="0.25">
      <c r="A638" s="25" t="str">
        <f t="shared" si="9"/>
        <v/>
      </c>
      <c r="B638" s="26"/>
      <c r="C638" s="27"/>
      <c r="D638" s="28" t="str">
        <f>IFERROR(IF(C638="","",INDEX(마스터!$F$4:$F$20,MATCH(C638,마스터!$M$4:$M$20,0))),"")</f>
        <v/>
      </c>
      <c r="E638" s="27"/>
      <c r="F638" s="29"/>
      <c r="G638" s="25" t="str">
        <f>IFERROR(IF(C638="","",INDEX(마스터!$J$4:$J$20,MATCH(C638,마스터!$M$4:$M$20,0))),"")</f>
        <v/>
      </c>
      <c r="H638" s="30"/>
      <c r="I638" s="30"/>
      <c r="AC638" s="32">
        <f>IF(AND(E638&lt;&gt;"",C638&lt;&gt;"",COUNTIFS($C$8:C638,C638,$E$8:E638,E638)=1),1,0)</f>
        <v>0</v>
      </c>
    </row>
    <row r="639" spans="1:29" ht="15" customHeight="1" x14ac:dyDescent="0.25">
      <c r="A639" s="25" t="str">
        <f t="shared" si="9"/>
        <v/>
      </c>
      <c r="B639" s="26"/>
      <c r="C639" s="27"/>
      <c r="D639" s="28" t="str">
        <f>IFERROR(IF(C639="","",INDEX(마스터!$F$4:$F$20,MATCH(C639,마스터!$M$4:$M$20,0))),"")</f>
        <v/>
      </c>
      <c r="E639" s="27"/>
      <c r="F639" s="29"/>
      <c r="G639" s="25" t="str">
        <f>IFERROR(IF(C639="","",INDEX(마스터!$J$4:$J$20,MATCH(C639,마스터!$M$4:$M$20,0))),"")</f>
        <v/>
      </c>
      <c r="H639" s="30"/>
      <c r="I639" s="30"/>
      <c r="AC639" s="32">
        <f>IF(AND(E639&lt;&gt;"",C639&lt;&gt;"",COUNTIFS($C$8:C639,C639,$E$8:E639,E639)=1),1,0)</f>
        <v>0</v>
      </c>
    </row>
    <row r="640" spans="1:29" ht="15" customHeight="1" x14ac:dyDescent="0.25">
      <c r="A640" s="25" t="str">
        <f t="shared" si="9"/>
        <v/>
      </c>
      <c r="B640" s="26"/>
      <c r="C640" s="27"/>
      <c r="D640" s="28" t="str">
        <f>IFERROR(IF(C640="","",INDEX(마스터!$F$4:$F$20,MATCH(C640,마스터!$M$4:$M$20,0))),"")</f>
        <v/>
      </c>
      <c r="E640" s="27"/>
      <c r="F640" s="29"/>
      <c r="G640" s="25" t="str">
        <f>IFERROR(IF(C640="","",INDEX(마스터!$J$4:$J$20,MATCH(C640,마스터!$M$4:$M$20,0))),"")</f>
        <v/>
      </c>
      <c r="H640" s="30"/>
      <c r="I640" s="30"/>
      <c r="AC640" s="32">
        <f>IF(AND(E640&lt;&gt;"",C640&lt;&gt;"",COUNTIFS($C$8:C640,C640,$E$8:E640,E640)=1),1,0)</f>
        <v>0</v>
      </c>
    </row>
    <row r="641" spans="1:29" ht="15" customHeight="1" x14ac:dyDescent="0.25">
      <c r="A641" s="25" t="str">
        <f t="shared" si="9"/>
        <v/>
      </c>
      <c r="B641" s="26"/>
      <c r="C641" s="27"/>
      <c r="D641" s="28" t="str">
        <f>IFERROR(IF(C641="","",INDEX(마스터!$F$4:$F$20,MATCH(C641,마스터!$M$4:$M$20,0))),"")</f>
        <v/>
      </c>
      <c r="E641" s="27"/>
      <c r="F641" s="29"/>
      <c r="G641" s="25" t="str">
        <f>IFERROR(IF(C641="","",INDEX(마스터!$J$4:$J$20,MATCH(C641,마스터!$M$4:$M$20,0))),"")</f>
        <v/>
      </c>
      <c r="H641" s="30"/>
      <c r="I641" s="30"/>
      <c r="AC641" s="32">
        <f>IF(AND(E641&lt;&gt;"",C641&lt;&gt;"",COUNTIFS($C$8:C641,C641,$E$8:E641,E641)=1),1,0)</f>
        <v>0</v>
      </c>
    </row>
    <row r="642" spans="1:29" ht="15" customHeight="1" x14ac:dyDescent="0.25">
      <c r="A642" s="25" t="str">
        <f t="shared" si="9"/>
        <v/>
      </c>
      <c r="B642" s="26"/>
      <c r="C642" s="27"/>
      <c r="D642" s="28" t="str">
        <f>IFERROR(IF(C642="","",INDEX(마스터!$F$4:$F$20,MATCH(C642,마스터!$M$4:$M$20,0))),"")</f>
        <v/>
      </c>
      <c r="E642" s="27"/>
      <c r="F642" s="29"/>
      <c r="G642" s="25" t="str">
        <f>IFERROR(IF(C642="","",INDEX(마스터!$J$4:$J$20,MATCH(C642,마스터!$M$4:$M$20,0))),"")</f>
        <v/>
      </c>
      <c r="H642" s="30"/>
      <c r="I642" s="30"/>
      <c r="AC642" s="32">
        <f>IF(AND(E642&lt;&gt;"",C642&lt;&gt;"",COUNTIFS($C$8:C642,C642,$E$8:E642,E642)=1),1,0)</f>
        <v>0</v>
      </c>
    </row>
    <row r="643" spans="1:29" ht="15" customHeight="1" x14ac:dyDescent="0.25">
      <c r="A643" s="25" t="str">
        <f t="shared" si="9"/>
        <v/>
      </c>
      <c r="B643" s="26"/>
      <c r="C643" s="27"/>
      <c r="D643" s="28" t="str">
        <f>IFERROR(IF(C643="","",INDEX(마스터!$F$4:$F$20,MATCH(C643,마스터!$M$4:$M$20,0))),"")</f>
        <v/>
      </c>
      <c r="E643" s="27"/>
      <c r="F643" s="29"/>
      <c r="G643" s="25" t="str">
        <f>IFERROR(IF(C643="","",INDEX(마스터!$J$4:$J$20,MATCH(C643,마스터!$M$4:$M$20,0))),"")</f>
        <v/>
      </c>
      <c r="H643" s="30"/>
      <c r="I643" s="30"/>
      <c r="AC643" s="32">
        <f>IF(AND(E643&lt;&gt;"",C643&lt;&gt;"",COUNTIFS($C$8:C643,C643,$E$8:E643,E643)=1),1,0)</f>
        <v>0</v>
      </c>
    </row>
    <row r="644" spans="1:29" ht="15" customHeight="1" x14ac:dyDescent="0.25">
      <c r="A644" s="25" t="str">
        <f t="shared" si="9"/>
        <v/>
      </c>
      <c r="B644" s="26"/>
      <c r="C644" s="27"/>
      <c r="D644" s="28" t="str">
        <f>IFERROR(IF(C644="","",INDEX(마스터!$F$4:$F$20,MATCH(C644,마스터!$M$4:$M$20,0))),"")</f>
        <v/>
      </c>
      <c r="E644" s="27"/>
      <c r="F644" s="29"/>
      <c r="G644" s="25" t="str">
        <f>IFERROR(IF(C644="","",INDEX(마스터!$J$4:$J$20,MATCH(C644,마스터!$M$4:$M$20,0))),"")</f>
        <v/>
      </c>
      <c r="H644" s="30"/>
      <c r="I644" s="30"/>
      <c r="AC644" s="32">
        <f>IF(AND(E644&lt;&gt;"",C644&lt;&gt;"",COUNTIFS($C$8:C644,C644,$E$8:E644,E644)=1),1,0)</f>
        <v>0</v>
      </c>
    </row>
    <row r="645" spans="1:29" ht="15" customHeight="1" x14ac:dyDescent="0.25">
      <c r="A645" s="25" t="str">
        <f t="shared" si="9"/>
        <v/>
      </c>
      <c r="B645" s="26"/>
      <c r="C645" s="27"/>
      <c r="D645" s="28" t="str">
        <f>IFERROR(IF(C645="","",INDEX(마스터!$F$4:$F$20,MATCH(C645,마스터!$M$4:$M$20,0))),"")</f>
        <v/>
      </c>
      <c r="E645" s="27"/>
      <c r="F645" s="29"/>
      <c r="G645" s="25" t="str">
        <f>IFERROR(IF(C645="","",INDEX(마스터!$J$4:$J$20,MATCH(C645,마스터!$M$4:$M$20,0))),"")</f>
        <v/>
      </c>
      <c r="H645" s="30"/>
      <c r="I645" s="30"/>
      <c r="AC645" s="32">
        <f>IF(AND(E645&lt;&gt;"",C645&lt;&gt;"",COUNTIFS($C$8:C645,C645,$E$8:E645,E645)=1),1,0)</f>
        <v>0</v>
      </c>
    </row>
    <row r="646" spans="1:29" ht="15" customHeight="1" x14ac:dyDescent="0.25">
      <c r="A646" s="25" t="str">
        <f t="shared" si="9"/>
        <v/>
      </c>
      <c r="B646" s="26"/>
      <c r="C646" s="27"/>
      <c r="D646" s="28" t="str">
        <f>IFERROR(IF(C646="","",INDEX(마스터!$F$4:$F$20,MATCH(C646,마스터!$M$4:$M$20,0))),"")</f>
        <v/>
      </c>
      <c r="E646" s="27"/>
      <c r="F646" s="29"/>
      <c r="G646" s="25" t="str">
        <f>IFERROR(IF(C646="","",INDEX(마스터!$J$4:$J$20,MATCH(C646,마스터!$M$4:$M$20,0))),"")</f>
        <v/>
      </c>
      <c r="H646" s="30"/>
      <c r="I646" s="30"/>
      <c r="AC646" s="32">
        <f>IF(AND(E646&lt;&gt;"",C646&lt;&gt;"",COUNTIFS($C$8:C646,C646,$E$8:E646,E646)=1),1,0)</f>
        <v>0</v>
      </c>
    </row>
    <row r="647" spans="1:29" ht="15" customHeight="1" x14ac:dyDescent="0.25">
      <c r="A647" s="25" t="str">
        <f t="shared" si="9"/>
        <v/>
      </c>
      <c r="B647" s="26"/>
      <c r="C647" s="27"/>
      <c r="D647" s="28" t="str">
        <f>IFERROR(IF(C647="","",INDEX(마스터!$F$4:$F$20,MATCH(C647,마스터!$M$4:$M$20,0))),"")</f>
        <v/>
      </c>
      <c r="E647" s="27"/>
      <c r="F647" s="29"/>
      <c r="G647" s="25" t="str">
        <f>IFERROR(IF(C647="","",INDEX(마스터!$J$4:$J$20,MATCH(C647,마스터!$M$4:$M$20,0))),"")</f>
        <v/>
      </c>
      <c r="H647" s="30"/>
      <c r="I647" s="30"/>
      <c r="AC647" s="32">
        <f>IF(AND(E647&lt;&gt;"",C647&lt;&gt;"",COUNTIFS($C$8:C647,C647,$E$8:E647,E647)=1),1,0)</f>
        <v>0</v>
      </c>
    </row>
    <row r="648" spans="1:29" ht="15" customHeight="1" x14ac:dyDescent="0.25">
      <c r="A648" s="25" t="str">
        <f t="shared" ref="A648:A711" si="10">IF(B648="","",ROW()-7)</f>
        <v/>
      </c>
      <c r="B648" s="26"/>
      <c r="C648" s="27"/>
      <c r="D648" s="28" t="str">
        <f>IFERROR(IF(C648="","",INDEX(마스터!$F$4:$F$20,MATCH(C648,마스터!$M$4:$M$20,0))),"")</f>
        <v/>
      </c>
      <c r="E648" s="27"/>
      <c r="F648" s="29"/>
      <c r="G648" s="25" t="str">
        <f>IFERROR(IF(C648="","",INDEX(마스터!$J$4:$J$20,MATCH(C648,마스터!$M$4:$M$20,0))),"")</f>
        <v/>
      </c>
      <c r="H648" s="30"/>
      <c r="I648" s="30"/>
      <c r="AC648" s="32">
        <f>IF(AND(E648&lt;&gt;"",C648&lt;&gt;"",COUNTIFS($C$8:C648,C648,$E$8:E648,E648)=1),1,0)</f>
        <v>0</v>
      </c>
    </row>
    <row r="649" spans="1:29" ht="15" customHeight="1" x14ac:dyDescent="0.25">
      <c r="A649" s="25" t="str">
        <f t="shared" si="10"/>
        <v/>
      </c>
      <c r="B649" s="26"/>
      <c r="C649" s="27"/>
      <c r="D649" s="28" t="str">
        <f>IFERROR(IF(C649="","",INDEX(마스터!$F$4:$F$20,MATCH(C649,마스터!$M$4:$M$20,0))),"")</f>
        <v/>
      </c>
      <c r="E649" s="27"/>
      <c r="F649" s="29"/>
      <c r="G649" s="25" t="str">
        <f>IFERROR(IF(C649="","",INDEX(마스터!$J$4:$J$20,MATCH(C649,마스터!$M$4:$M$20,0))),"")</f>
        <v/>
      </c>
      <c r="H649" s="30"/>
      <c r="I649" s="30"/>
      <c r="AC649" s="32">
        <f>IF(AND(E649&lt;&gt;"",C649&lt;&gt;"",COUNTIFS($C$8:C649,C649,$E$8:E649,E649)=1),1,0)</f>
        <v>0</v>
      </c>
    </row>
    <row r="650" spans="1:29" ht="15" customHeight="1" x14ac:dyDescent="0.25">
      <c r="A650" s="25" t="str">
        <f t="shared" si="10"/>
        <v/>
      </c>
      <c r="B650" s="26"/>
      <c r="C650" s="27"/>
      <c r="D650" s="28" t="str">
        <f>IFERROR(IF(C650="","",INDEX(마스터!$F$4:$F$20,MATCH(C650,마스터!$M$4:$M$20,0))),"")</f>
        <v/>
      </c>
      <c r="E650" s="27"/>
      <c r="F650" s="29"/>
      <c r="G650" s="25" t="str">
        <f>IFERROR(IF(C650="","",INDEX(마스터!$J$4:$J$20,MATCH(C650,마스터!$M$4:$M$20,0))),"")</f>
        <v/>
      </c>
      <c r="H650" s="30"/>
      <c r="I650" s="30"/>
      <c r="AC650" s="32">
        <f>IF(AND(E650&lt;&gt;"",C650&lt;&gt;"",COUNTIFS($C$8:C650,C650,$E$8:E650,E650)=1),1,0)</f>
        <v>0</v>
      </c>
    </row>
    <row r="651" spans="1:29" ht="15" customHeight="1" x14ac:dyDescent="0.25">
      <c r="A651" s="25" t="str">
        <f t="shared" si="10"/>
        <v/>
      </c>
      <c r="B651" s="26"/>
      <c r="C651" s="27"/>
      <c r="D651" s="28" t="str">
        <f>IFERROR(IF(C651="","",INDEX(마스터!$F$4:$F$20,MATCH(C651,마스터!$M$4:$M$20,0))),"")</f>
        <v/>
      </c>
      <c r="E651" s="27"/>
      <c r="F651" s="29"/>
      <c r="G651" s="25" t="str">
        <f>IFERROR(IF(C651="","",INDEX(마스터!$J$4:$J$20,MATCH(C651,마스터!$M$4:$M$20,0))),"")</f>
        <v/>
      </c>
      <c r="H651" s="30"/>
      <c r="I651" s="30"/>
      <c r="AC651" s="32">
        <f>IF(AND(E651&lt;&gt;"",C651&lt;&gt;"",COUNTIFS($C$8:C651,C651,$E$8:E651,E651)=1),1,0)</f>
        <v>0</v>
      </c>
    </row>
    <row r="652" spans="1:29" ht="15" customHeight="1" x14ac:dyDescent="0.25">
      <c r="A652" s="25" t="str">
        <f t="shared" si="10"/>
        <v/>
      </c>
      <c r="B652" s="26"/>
      <c r="C652" s="27"/>
      <c r="D652" s="28" t="str">
        <f>IFERROR(IF(C652="","",INDEX(마스터!$F$4:$F$20,MATCH(C652,마스터!$M$4:$M$20,0))),"")</f>
        <v/>
      </c>
      <c r="E652" s="27"/>
      <c r="F652" s="29"/>
      <c r="G652" s="25" t="str">
        <f>IFERROR(IF(C652="","",INDEX(마스터!$J$4:$J$20,MATCH(C652,마스터!$M$4:$M$20,0))),"")</f>
        <v/>
      </c>
      <c r="H652" s="30"/>
      <c r="I652" s="30"/>
      <c r="AC652" s="32">
        <f>IF(AND(E652&lt;&gt;"",C652&lt;&gt;"",COUNTIFS($C$8:C652,C652,$E$8:E652,E652)=1),1,0)</f>
        <v>0</v>
      </c>
    </row>
    <row r="653" spans="1:29" ht="15" customHeight="1" x14ac:dyDescent="0.25">
      <c r="A653" s="25" t="str">
        <f t="shared" si="10"/>
        <v/>
      </c>
      <c r="B653" s="26"/>
      <c r="C653" s="27"/>
      <c r="D653" s="28" t="str">
        <f>IFERROR(IF(C653="","",INDEX(마스터!$F$4:$F$20,MATCH(C653,마스터!$M$4:$M$20,0))),"")</f>
        <v/>
      </c>
      <c r="E653" s="27"/>
      <c r="F653" s="29"/>
      <c r="G653" s="25" t="str">
        <f>IFERROR(IF(C653="","",INDEX(마스터!$J$4:$J$20,MATCH(C653,마스터!$M$4:$M$20,0))),"")</f>
        <v/>
      </c>
      <c r="H653" s="30"/>
      <c r="I653" s="30"/>
      <c r="AC653" s="32">
        <f>IF(AND(E653&lt;&gt;"",C653&lt;&gt;"",COUNTIFS($C$8:C653,C653,$E$8:E653,E653)=1),1,0)</f>
        <v>0</v>
      </c>
    </row>
    <row r="654" spans="1:29" ht="15" customHeight="1" x14ac:dyDescent="0.25">
      <c r="A654" s="25" t="str">
        <f t="shared" si="10"/>
        <v/>
      </c>
      <c r="B654" s="26"/>
      <c r="C654" s="27"/>
      <c r="D654" s="28" t="str">
        <f>IFERROR(IF(C654="","",INDEX(마스터!$F$4:$F$20,MATCH(C654,마스터!$M$4:$M$20,0))),"")</f>
        <v/>
      </c>
      <c r="E654" s="27"/>
      <c r="F654" s="29"/>
      <c r="G654" s="25" t="str">
        <f>IFERROR(IF(C654="","",INDEX(마스터!$J$4:$J$20,MATCH(C654,마스터!$M$4:$M$20,0))),"")</f>
        <v/>
      </c>
      <c r="H654" s="30"/>
      <c r="I654" s="30"/>
      <c r="AC654" s="32">
        <f>IF(AND(E654&lt;&gt;"",C654&lt;&gt;"",COUNTIFS($C$8:C654,C654,$E$8:E654,E654)=1),1,0)</f>
        <v>0</v>
      </c>
    </row>
    <row r="655" spans="1:29" ht="15" customHeight="1" x14ac:dyDescent="0.25">
      <c r="A655" s="25" t="str">
        <f t="shared" si="10"/>
        <v/>
      </c>
      <c r="B655" s="26"/>
      <c r="C655" s="27"/>
      <c r="D655" s="28" t="str">
        <f>IFERROR(IF(C655="","",INDEX(마스터!$F$4:$F$20,MATCH(C655,마스터!$M$4:$M$20,0))),"")</f>
        <v/>
      </c>
      <c r="E655" s="27"/>
      <c r="F655" s="29"/>
      <c r="G655" s="25" t="str">
        <f>IFERROR(IF(C655="","",INDEX(마스터!$J$4:$J$20,MATCH(C655,마스터!$M$4:$M$20,0))),"")</f>
        <v/>
      </c>
      <c r="H655" s="30"/>
      <c r="I655" s="30"/>
      <c r="AC655" s="32">
        <f>IF(AND(E655&lt;&gt;"",C655&lt;&gt;"",COUNTIFS($C$8:C655,C655,$E$8:E655,E655)=1),1,0)</f>
        <v>0</v>
      </c>
    </row>
    <row r="656" spans="1:29" ht="15" customHeight="1" x14ac:dyDescent="0.25">
      <c r="A656" s="25" t="str">
        <f t="shared" si="10"/>
        <v/>
      </c>
      <c r="B656" s="26"/>
      <c r="C656" s="27"/>
      <c r="D656" s="28" t="str">
        <f>IFERROR(IF(C656="","",INDEX(마스터!$F$4:$F$20,MATCH(C656,마스터!$M$4:$M$20,0))),"")</f>
        <v/>
      </c>
      <c r="E656" s="27"/>
      <c r="F656" s="29"/>
      <c r="G656" s="25" t="str">
        <f>IFERROR(IF(C656="","",INDEX(마스터!$J$4:$J$20,MATCH(C656,마스터!$M$4:$M$20,0))),"")</f>
        <v/>
      </c>
      <c r="H656" s="30"/>
      <c r="I656" s="30"/>
      <c r="AC656" s="32">
        <f>IF(AND(E656&lt;&gt;"",C656&lt;&gt;"",COUNTIFS($C$8:C656,C656,$E$8:E656,E656)=1),1,0)</f>
        <v>0</v>
      </c>
    </row>
    <row r="657" spans="1:29" ht="15" customHeight="1" x14ac:dyDescent="0.25">
      <c r="A657" s="25" t="str">
        <f t="shared" si="10"/>
        <v/>
      </c>
      <c r="B657" s="26"/>
      <c r="C657" s="27"/>
      <c r="D657" s="28" t="str">
        <f>IFERROR(IF(C657="","",INDEX(마스터!$F$4:$F$20,MATCH(C657,마스터!$M$4:$M$20,0))),"")</f>
        <v/>
      </c>
      <c r="E657" s="27"/>
      <c r="F657" s="29"/>
      <c r="G657" s="25" t="str">
        <f>IFERROR(IF(C657="","",INDEX(마스터!$J$4:$J$20,MATCH(C657,마스터!$M$4:$M$20,0))),"")</f>
        <v/>
      </c>
      <c r="H657" s="30"/>
      <c r="I657" s="30"/>
      <c r="AC657" s="32">
        <f>IF(AND(E657&lt;&gt;"",C657&lt;&gt;"",COUNTIFS($C$8:C657,C657,$E$8:E657,E657)=1),1,0)</f>
        <v>0</v>
      </c>
    </row>
    <row r="658" spans="1:29" ht="15" customHeight="1" x14ac:dyDescent="0.25">
      <c r="A658" s="25" t="str">
        <f t="shared" si="10"/>
        <v/>
      </c>
      <c r="B658" s="26"/>
      <c r="C658" s="27"/>
      <c r="D658" s="28" t="str">
        <f>IFERROR(IF(C658="","",INDEX(마스터!$F$4:$F$20,MATCH(C658,마스터!$M$4:$M$20,0))),"")</f>
        <v/>
      </c>
      <c r="E658" s="27"/>
      <c r="F658" s="29"/>
      <c r="G658" s="25" t="str">
        <f>IFERROR(IF(C658="","",INDEX(마스터!$J$4:$J$20,MATCH(C658,마스터!$M$4:$M$20,0))),"")</f>
        <v/>
      </c>
      <c r="H658" s="30"/>
      <c r="I658" s="30"/>
      <c r="AC658" s="32">
        <f>IF(AND(E658&lt;&gt;"",C658&lt;&gt;"",COUNTIFS($C$8:C658,C658,$E$8:E658,E658)=1),1,0)</f>
        <v>0</v>
      </c>
    </row>
    <row r="659" spans="1:29" ht="15" customHeight="1" x14ac:dyDescent="0.25">
      <c r="A659" s="25" t="str">
        <f t="shared" si="10"/>
        <v/>
      </c>
      <c r="B659" s="26"/>
      <c r="C659" s="27"/>
      <c r="D659" s="28" t="str">
        <f>IFERROR(IF(C659="","",INDEX(마스터!$F$4:$F$20,MATCH(C659,마스터!$M$4:$M$20,0))),"")</f>
        <v/>
      </c>
      <c r="E659" s="27"/>
      <c r="F659" s="29"/>
      <c r="G659" s="25" t="str">
        <f>IFERROR(IF(C659="","",INDEX(마스터!$J$4:$J$20,MATCH(C659,마스터!$M$4:$M$20,0))),"")</f>
        <v/>
      </c>
      <c r="H659" s="30"/>
      <c r="I659" s="30"/>
      <c r="AC659" s="32">
        <f>IF(AND(E659&lt;&gt;"",C659&lt;&gt;"",COUNTIFS($C$8:C659,C659,$E$8:E659,E659)=1),1,0)</f>
        <v>0</v>
      </c>
    </row>
    <row r="660" spans="1:29" ht="15" customHeight="1" x14ac:dyDescent="0.25">
      <c r="A660" s="25" t="str">
        <f t="shared" si="10"/>
        <v/>
      </c>
      <c r="B660" s="26"/>
      <c r="C660" s="27"/>
      <c r="D660" s="28" t="str">
        <f>IFERROR(IF(C660="","",INDEX(마스터!$F$4:$F$20,MATCH(C660,마스터!$M$4:$M$20,0))),"")</f>
        <v/>
      </c>
      <c r="E660" s="27"/>
      <c r="F660" s="29"/>
      <c r="G660" s="25" t="str">
        <f>IFERROR(IF(C660="","",INDEX(마스터!$J$4:$J$20,MATCH(C660,마스터!$M$4:$M$20,0))),"")</f>
        <v/>
      </c>
      <c r="H660" s="30"/>
      <c r="I660" s="30"/>
      <c r="AC660" s="32">
        <f>IF(AND(E660&lt;&gt;"",C660&lt;&gt;"",COUNTIFS($C$8:C660,C660,$E$8:E660,E660)=1),1,0)</f>
        <v>0</v>
      </c>
    </row>
    <row r="661" spans="1:29" ht="15" customHeight="1" x14ac:dyDescent="0.25">
      <c r="A661" s="25" t="str">
        <f t="shared" si="10"/>
        <v/>
      </c>
      <c r="B661" s="26"/>
      <c r="C661" s="27"/>
      <c r="D661" s="28" t="str">
        <f>IFERROR(IF(C661="","",INDEX(마스터!$F$4:$F$20,MATCH(C661,마스터!$M$4:$M$20,0))),"")</f>
        <v/>
      </c>
      <c r="E661" s="27"/>
      <c r="F661" s="29"/>
      <c r="G661" s="25" t="str">
        <f>IFERROR(IF(C661="","",INDEX(마스터!$J$4:$J$20,MATCH(C661,마스터!$M$4:$M$20,0))),"")</f>
        <v/>
      </c>
      <c r="H661" s="30"/>
      <c r="I661" s="30"/>
      <c r="AC661" s="32">
        <f>IF(AND(E661&lt;&gt;"",C661&lt;&gt;"",COUNTIFS($C$8:C661,C661,$E$8:E661,E661)=1),1,0)</f>
        <v>0</v>
      </c>
    </row>
    <row r="662" spans="1:29" ht="15" customHeight="1" x14ac:dyDescent="0.25">
      <c r="A662" s="25" t="str">
        <f t="shared" si="10"/>
        <v/>
      </c>
      <c r="B662" s="26"/>
      <c r="C662" s="27"/>
      <c r="D662" s="28" t="str">
        <f>IFERROR(IF(C662="","",INDEX(마스터!$F$4:$F$20,MATCH(C662,마스터!$M$4:$M$20,0))),"")</f>
        <v/>
      </c>
      <c r="E662" s="27"/>
      <c r="F662" s="29"/>
      <c r="G662" s="25" t="str">
        <f>IFERROR(IF(C662="","",INDEX(마스터!$J$4:$J$20,MATCH(C662,마스터!$M$4:$M$20,0))),"")</f>
        <v/>
      </c>
      <c r="H662" s="30"/>
      <c r="I662" s="30"/>
      <c r="AC662" s="32">
        <f>IF(AND(E662&lt;&gt;"",C662&lt;&gt;"",COUNTIFS($C$8:C662,C662,$E$8:E662,E662)=1),1,0)</f>
        <v>0</v>
      </c>
    </row>
    <row r="663" spans="1:29" ht="15" customHeight="1" x14ac:dyDescent="0.25">
      <c r="A663" s="25" t="str">
        <f t="shared" si="10"/>
        <v/>
      </c>
      <c r="B663" s="26"/>
      <c r="C663" s="27"/>
      <c r="D663" s="28" t="str">
        <f>IFERROR(IF(C663="","",INDEX(마스터!$F$4:$F$20,MATCH(C663,마스터!$M$4:$M$20,0))),"")</f>
        <v/>
      </c>
      <c r="E663" s="27"/>
      <c r="F663" s="29"/>
      <c r="G663" s="25" t="str">
        <f>IFERROR(IF(C663="","",INDEX(마스터!$J$4:$J$20,MATCH(C663,마스터!$M$4:$M$20,0))),"")</f>
        <v/>
      </c>
      <c r="H663" s="30"/>
      <c r="I663" s="30"/>
      <c r="AC663" s="32">
        <f>IF(AND(E663&lt;&gt;"",C663&lt;&gt;"",COUNTIFS($C$8:C663,C663,$E$8:E663,E663)=1),1,0)</f>
        <v>0</v>
      </c>
    </row>
    <row r="664" spans="1:29" ht="15" customHeight="1" x14ac:dyDescent="0.25">
      <c r="A664" s="25" t="str">
        <f t="shared" si="10"/>
        <v/>
      </c>
      <c r="B664" s="26"/>
      <c r="C664" s="27"/>
      <c r="D664" s="28" t="str">
        <f>IFERROR(IF(C664="","",INDEX(마스터!$F$4:$F$20,MATCH(C664,마스터!$M$4:$M$20,0))),"")</f>
        <v/>
      </c>
      <c r="E664" s="27"/>
      <c r="F664" s="29"/>
      <c r="G664" s="25" t="str">
        <f>IFERROR(IF(C664="","",INDEX(마스터!$J$4:$J$20,MATCH(C664,마스터!$M$4:$M$20,0))),"")</f>
        <v/>
      </c>
      <c r="H664" s="30"/>
      <c r="I664" s="30"/>
      <c r="AC664" s="32">
        <f>IF(AND(E664&lt;&gt;"",C664&lt;&gt;"",COUNTIFS($C$8:C664,C664,$E$8:E664,E664)=1),1,0)</f>
        <v>0</v>
      </c>
    </row>
    <row r="665" spans="1:29" ht="15" customHeight="1" x14ac:dyDescent="0.25">
      <c r="A665" s="25" t="str">
        <f t="shared" si="10"/>
        <v/>
      </c>
      <c r="B665" s="26"/>
      <c r="C665" s="27"/>
      <c r="D665" s="28" t="str">
        <f>IFERROR(IF(C665="","",INDEX(마스터!$F$4:$F$20,MATCH(C665,마스터!$M$4:$M$20,0))),"")</f>
        <v/>
      </c>
      <c r="E665" s="27"/>
      <c r="F665" s="29"/>
      <c r="G665" s="25" t="str">
        <f>IFERROR(IF(C665="","",INDEX(마스터!$J$4:$J$20,MATCH(C665,마스터!$M$4:$M$20,0))),"")</f>
        <v/>
      </c>
      <c r="H665" s="30"/>
      <c r="I665" s="30"/>
      <c r="AC665" s="32">
        <f>IF(AND(E665&lt;&gt;"",C665&lt;&gt;"",COUNTIFS($C$8:C665,C665,$E$8:E665,E665)=1),1,0)</f>
        <v>0</v>
      </c>
    </row>
    <row r="666" spans="1:29" ht="15" customHeight="1" x14ac:dyDescent="0.25">
      <c r="A666" s="25" t="str">
        <f t="shared" si="10"/>
        <v/>
      </c>
      <c r="B666" s="26"/>
      <c r="C666" s="27"/>
      <c r="D666" s="28" t="str">
        <f>IFERROR(IF(C666="","",INDEX(마스터!$F$4:$F$20,MATCH(C666,마스터!$M$4:$M$20,0))),"")</f>
        <v/>
      </c>
      <c r="E666" s="27"/>
      <c r="F666" s="29"/>
      <c r="G666" s="25" t="str">
        <f>IFERROR(IF(C666="","",INDEX(마스터!$J$4:$J$20,MATCH(C666,마스터!$M$4:$M$20,0))),"")</f>
        <v/>
      </c>
      <c r="H666" s="30"/>
      <c r="I666" s="30"/>
      <c r="AC666" s="32">
        <f>IF(AND(E666&lt;&gt;"",C666&lt;&gt;"",COUNTIFS($C$8:C666,C666,$E$8:E666,E666)=1),1,0)</f>
        <v>0</v>
      </c>
    </row>
    <row r="667" spans="1:29" ht="15" customHeight="1" x14ac:dyDescent="0.25">
      <c r="A667" s="25" t="str">
        <f t="shared" si="10"/>
        <v/>
      </c>
      <c r="B667" s="26"/>
      <c r="C667" s="27"/>
      <c r="D667" s="28" t="str">
        <f>IFERROR(IF(C667="","",INDEX(마스터!$F$4:$F$20,MATCH(C667,마스터!$M$4:$M$20,0))),"")</f>
        <v/>
      </c>
      <c r="E667" s="27"/>
      <c r="F667" s="29"/>
      <c r="G667" s="25" t="str">
        <f>IFERROR(IF(C667="","",INDEX(마스터!$J$4:$J$20,MATCH(C667,마스터!$M$4:$M$20,0))),"")</f>
        <v/>
      </c>
      <c r="H667" s="30"/>
      <c r="I667" s="30"/>
      <c r="AC667" s="32">
        <f>IF(AND(E667&lt;&gt;"",C667&lt;&gt;"",COUNTIFS($C$8:C667,C667,$E$8:E667,E667)=1),1,0)</f>
        <v>0</v>
      </c>
    </row>
    <row r="668" spans="1:29" ht="15" customHeight="1" x14ac:dyDescent="0.25">
      <c r="A668" s="25" t="str">
        <f t="shared" si="10"/>
        <v/>
      </c>
      <c r="B668" s="26"/>
      <c r="C668" s="27"/>
      <c r="D668" s="28" t="str">
        <f>IFERROR(IF(C668="","",INDEX(마스터!$F$4:$F$20,MATCH(C668,마스터!$M$4:$M$20,0))),"")</f>
        <v/>
      </c>
      <c r="E668" s="27"/>
      <c r="F668" s="29"/>
      <c r="G668" s="25" t="str">
        <f>IFERROR(IF(C668="","",INDEX(마스터!$J$4:$J$20,MATCH(C668,마스터!$M$4:$M$20,0))),"")</f>
        <v/>
      </c>
      <c r="H668" s="30"/>
      <c r="I668" s="30"/>
      <c r="AC668" s="32">
        <f>IF(AND(E668&lt;&gt;"",C668&lt;&gt;"",COUNTIFS($C$8:C668,C668,$E$8:E668,E668)=1),1,0)</f>
        <v>0</v>
      </c>
    </row>
    <row r="669" spans="1:29" ht="15" customHeight="1" x14ac:dyDescent="0.25">
      <c r="A669" s="25" t="str">
        <f t="shared" si="10"/>
        <v/>
      </c>
      <c r="B669" s="26"/>
      <c r="C669" s="27"/>
      <c r="D669" s="28" t="str">
        <f>IFERROR(IF(C669="","",INDEX(마스터!$F$4:$F$20,MATCH(C669,마스터!$M$4:$M$20,0))),"")</f>
        <v/>
      </c>
      <c r="E669" s="27"/>
      <c r="F669" s="29"/>
      <c r="G669" s="25" t="str">
        <f>IFERROR(IF(C669="","",INDEX(마스터!$J$4:$J$20,MATCH(C669,마스터!$M$4:$M$20,0))),"")</f>
        <v/>
      </c>
      <c r="H669" s="30"/>
      <c r="I669" s="30"/>
      <c r="AC669" s="32">
        <f>IF(AND(E669&lt;&gt;"",C669&lt;&gt;"",COUNTIFS($C$8:C669,C669,$E$8:E669,E669)=1),1,0)</f>
        <v>0</v>
      </c>
    </row>
    <row r="670" spans="1:29" ht="15" customHeight="1" x14ac:dyDescent="0.25">
      <c r="A670" s="25" t="str">
        <f t="shared" si="10"/>
        <v/>
      </c>
      <c r="B670" s="26"/>
      <c r="C670" s="27"/>
      <c r="D670" s="28" t="str">
        <f>IFERROR(IF(C670="","",INDEX(마스터!$F$4:$F$20,MATCH(C670,마스터!$M$4:$M$20,0))),"")</f>
        <v/>
      </c>
      <c r="E670" s="27"/>
      <c r="F670" s="29"/>
      <c r="G670" s="25" t="str">
        <f>IFERROR(IF(C670="","",INDEX(마스터!$J$4:$J$20,MATCH(C670,마스터!$M$4:$M$20,0))),"")</f>
        <v/>
      </c>
      <c r="H670" s="30"/>
      <c r="I670" s="30"/>
      <c r="AC670" s="32">
        <f>IF(AND(E670&lt;&gt;"",C670&lt;&gt;"",COUNTIFS($C$8:C670,C670,$E$8:E670,E670)=1),1,0)</f>
        <v>0</v>
      </c>
    </row>
    <row r="671" spans="1:29" ht="15" customHeight="1" x14ac:dyDescent="0.25">
      <c r="A671" s="25" t="str">
        <f t="shared" si="10"/>
        <v/>
      </c>
      <c r="B671" s="26"/>
      <c r="C671" s="27"/>
      <c r="D671" s="28" t="str">
        <f>IFERROR(IF(C671="","",INDEX(마스터!$F$4:$F$20,MATCH(C671,마스터!$M$4:$M$20,0))),"")</f>
        <v/>
      </c>
      <c r="E671" s="27"/>
      <c r="F671" s="29"/>
      <c r="G671" s="25" t="str">
        <f>IFERROR(IF(C671="","",INDEX(마스터!$J$4:$J$20,MATCH(C671,마스터!$M$4:$M$20,0))),"")</f>
        <v/>
      </c>
      <c r="H671" s="30"/>
      <c r="I671" s="30"/>
      <c r="AC671" s="32">
        <f>IF(AND(E671&lt;&gt;"",C671&lt;&gt;"",COUNTIFS($C$8:C671,C671,$E$8:E671,E671)=1),1,0)</f>
        <v>0</v>
      </c>
    </row>
    <row r="672" spans="1:29" ht="15" customHeight="1" x14ac:dyDescent="0.25">
      <c r="A672" s="25" t="str">
        <f t="shared" si="10"/>
        <v/>
      </c>
      <c r="B672" s="26"/>
      <c r="C672" s="27"/>
      <c r="D672" s="28" t="str">
        <f>IFERROR(IF(C672="","",INDEX(마스터!$F$4:$F$20,MATCH(C672,마스터!$M$4:$M$20,0))),"")</f>
        <v/>
      </c>
      <c r="E672" s="27"/>
      <c r="F672" s="29"/>
      <c r="G672" s="25" t="str">
        <f>IFERROR(IF(C672="","",INDEX(마스터!$J$4:$J$20,MATCH(C672,마스터!$M$4:$M$20,0))),"")</f>
        <v/>
      </c>
      <c r="H672" s="30"/>
      <c r="I672" s="30"/>
      <c r="AC672" s="32">
        <f>IF(AND(E672&lt;&gt;"",C672&lt;&gt;"",COUNTIFS($C$8:C672,C672,$E$8:E672,E672)=1),1,0)</f>
        <v>0</v>
      </c>
    </row>
    <row r="673" spans="1:29" ht="15" customHeight="1" x14ac:dyDescent="0.25">
      <c r="A673" s="25" t="str">
        <f t="shared" si="10"/>
        <v/>
      </c>
      <c r="B673" s="26"/>
      <c r="C673" s="27"/>
      <c r="D673" s="28" t="str">
        <f>IFERROR(IF(C673="","",INDEX(마스터!$F$4:$F$20,MATCH(C673,마스터!$M$4:$M$20,0))),"")</f>
        <v/>
      </c>
      <c r="E673" s="27"/>
      <c r="F673" s="29"/>
      <c r="G673" s="25" t="str">
        <f>IFERROR(IF(C673="","",INDEX(마스터!$J$4:$J$20,MATCH(C673,마스터!$M$4:$M$20,0))),"")</f>
        <v/>
      </c>
      <c r="H673" s="30"/>
      <c r="I673" s="30"/>
      <c r="AC673" s="32">
        <f>IF(AND(E673&lt;&gt;"",C673&lt;&gt;"",COUNTIFS($C$8:C673,C673,$E$8:E673,E673)=1),1,0)</f>
        <v>0</v>
      </c>
    </row>
    <row r="674" spans="1:29" ht="15" customHeight="1" x14ac:dyDescent="0.25">
      <c r="A674" s="25" t="str">
        <f t="shared" si="10"/>
        <v/>
      </c>
      <c r="B674" s="26"/>
      <c r="C674" s="27"/>
      <c r="D674" s="28" t="str">
        <f>IFERROR(IF(C674="","",INDEX(마스터!$F$4:$F$20,MATCH(C674,마스터!$M$4:$M$20,0))),"")</f>
        <v/>
      </c>
      <c r="E674" s="27"/>
      <c r="F674" s="29"/>
      <c r="G674" s="25" t="str">
        <f>IFERROR(IF(C674="","",INDEX(마스터!$J$4:$J$20,MATCH(C674,마스터!$M$4:$M$20,0))),"")</f>
        <v/>
      </c>
      <c r="H674" s="30"/>
      <c r="I674" s="30"/>
      <c r="AC674" s="32">
        <f>IF(AND(E674&lt;&gt;"",C674&lt;&gt;"",COUNTIFS($C$8:C674,C674,$E$8:E674,E674)=1),1,0)</f>
        <v>0</v>
      </c>
    </row>
    <row r="675" spans="1:29" ht="15" customHeight="1" x14ac:dyDescent="0.25">
      <c r="A675" s="25" t="str">
        <f t="shared" si="10"/>
        <v/>
      </c>
      <c r="B675" s="26"/>
      <c r="C675" s="27"/>
      <c r="D675" s="28" t="str">
        <f>IFERROR(IF(C675="","",INDEX(마스터!$F$4:$F$20,MATCH(C675,마스터!$M$4:$M$20,0))),"")</f>
        <v/>
      </c>
      <c r="E675" s="27"/>
      <c r="F675" s="29"/>
      <c r="G675" s="25" t="str">
        <f>IFERROR(IF(C675="","",INDEX(마스터!$J$4:$J$20,MATCH(C675,마스터!$M$4:$M$20,0))),"")</f>
        <v/>
      </c>
      <c r="H675" s="30"/>
      <c r="I675" s="30"/>
      <c r="AC675" s="32">
        <f>IF(AND(E675&lt;&gt;"",C675&lt;&gt;"",COUNTIFS($C$8:C675,C675,$E$8:E675,E675)=1),1,0)</f>
        <v>0</v>
      </c>
    </row>
    <row r="676" spans="1:29" ht="15" customHeight="1" x14ac:dyDescent="0.25">
      <c r="A676" s="25" t="str">
        <f t="shared" si="10"/>
        <v/>
      </c>
      <c r="B676" s="26"/>
      <c r="C676" s="27"/>
      <c r="D676" s="28" t="str">
        <f>IFERROR(IF(C676="","",INDEX(마스터!$F$4:$F$20,MATCH(C676,마스터!$M$4:$M$20,0))),"")</f>
        <v/>
      </c>
      <c r="E676" s="27"/>
      <c r="F676" s="29"/>
      <c r="G676" s="25" t="str">
        <f>IFERROR(IF(C676="","",INDEX(마스터!$J$4:$J$20,MATCH(C676,마스터!$M$4:$M$20,0))),"")</f>
        <v/>
      </c>
      <c r="H676" s="30"/>
      <c r="I676" s="30"/>
      <c r="AC676" s="32">
        <f>IF(AND(E676&lt;&gt;"",C676&lt;&gt;"",COUNTIFS($C$8:C676,C676,$E$8:E676,E676)=1),1,0)</f>
        <v>0</v>
      </c>
    </row>
    <row r="677" spans="1:29" ht="15" customHeight="1" x14ac:dyDescent="0.25">
      <c r="A677" s="25" t="str">
        <f t="shared" si="10"/>
        <v/>
      </c>
      <c r="B677" s="26"/>
      <c r="C677" s="27"/>
      <c r="D677" s="28" t="str">
        <f>IFERROR(IF(C677="","",INDEX(마스터!$F$4:$F$20,MATCH(C677,마스터!$M$4:$M$20,0))),"")</f>
        <v/>
      </c>
      <c r="E677" s="27"/>
      <c r="F677" s="29"/>
      <c r="G677" s="25" t="str">
        <f>IFERROR(IF(C677="","",INDEX(마스터!$J$4:$J$20,MATCH(C677,마스터!$M$4:$M$20,0))),"")</f>
        <v/>
      </c>
      <c r="H677" s="30"/>
      <c r="I677" s="30"/>
      <c r="AC677" s="32">
        <f>IF(AND(E677&lt;&gt;"",C677&lt;&gt;"",COUNTIFS($C$8:C677,C677,$E$8:E677,E677)=1),1,0)</f>
        <v>0</v>
      </c>
    </row>
    <row r="678" spans="1:29" ht="15" customHeight="1" x14ac:dyDescent="0.25">
      <c r="A678" s="25" t="str">
        <f t="shared" si="10"/>
        <v/>
      </c>
      <c r="B678" s="26"/>
      <c r="C678" s="27"/>
      <c r="D678" s="28" t="str">
        <f>IFERROR(IF(C678="","",INDEX(마스터!$F$4:$F$20,MATCH(C678,마스터!$M$4:$M$20,0))),"")</f>
        <v/>
      </c>
      <c r="E678" s="27"/>
      <c r="F678" s="29"/>
      <c r="G678" s="25" t="str">
        <f>IFERROR(IF(C678="","",INDEX(마스터!$J$4:$J$20,MATCH(C678,마스터!$M$4:$M$20,0))),"")</f>
        <v/>
      </c>
      <c r="H678" s="30"/>
      <c r="I678" s="30"/>
      <c r="AC678" s="32">
        <f>IF(AND(E678&lt;&gt;"",C678&lt;&gt;"",COUNTIFS($C$8:C678,C678,$E$8:E678,E678)=1),1,0)</f>
        <v>0</v>
      </c>
    </row>
    <row r="679" spans="1:29" ht="15" customHeight="1" x14ac:dyDescent="0.25">
      <c r="A679" s="25" t="str">
        <f t="shared" si="10"/>
        <v/>
      </c>
      <c r="B679" s="26"/>
      <c r="C679" s="27"/>
      <c r="D679" s="28" t="str">
        <f>IFERROR(IF(C679="","",INDEX(마스터!$F$4:$F$20,MATCH(C679,마스터!$M$4:$M$20,0))),"")</f>
        <v/>
      </c>
      <c r="E679" s="27"/>
      <c r="F679" s="29"/>
      <c r="G679" s="25" t="str">
        <f>IFERROR(IF(C679="","",INDEX(마스터!$J$4:$J$20,MATCH(C679,마스터!$M$4:$M$20,0))),"")</f>
        <v/>
      </c>
      <c r="H679" s="30"/>
      <c r="I679" s="30"/>
      <c r="AC679" s="32">
        <f>IF(AND(E679&lt;&gt;"",C679&lt;&gt;"",COUNTIFS($C$8:C679,C679,$E$8:E679,E679)=1),1,0)</f>
        <v>0</v>
      </c>
    </row>
    <row r="680" spans="1:29" ht="15" customHeight="1" x14ac:dyDescent="0.25">
      <c r="A680" s="25" t="str">
        <f t="shared" si="10"/>
        <v/>
      </c>
      <c r="B680" s="26"/>
      <c r="C680" s="27"/>
      <c r="D680" s="28" t="str">
        <f>IFERROR(IF(C680="","",INDEX(마스터!$F$4:$F$20,MATCH(C680,마스터!$M$4:$M$20,0))),"")</f>
        <v/>
      </c>
      <c r="E680" s="27"/>
      <c r="F680" s="29"/>
      <c r="G680" s="25" t="str">
        <f>IFERROR(IF(C680="","",INDEX(마스터!$J$4:$J$20,MATCH(C680,마스터!$M$4:$M$20,0))),"")</f>
        <v/>
      </c>
      <c r="H680" s="30"/>
      <c r="I680" s="30"/>
      <c r="AC680" s="32">
        <f>IF(AND(E680&lt;&gt;"",C680&lt;&gt;"",COUNTIFS($C$8:C680,C680,$E$8:E680,E680)=1),1,0)</f>
        <v>0</v>
      </c>
    </row>
    <row r="681" spans="1:29" ht="15" customHeight="1" x14ac:dyDescent="0.25">
      <c r="A681" s="25" t="str">
        <f t="shared" si="10"/>
        <v/>
      </c>
      <c r="B681" s="26"/>
      <c r="C681" s="27"/>
      <c r="D681" s="28" t="str">
        <f>IFERROR(IF(C681="","",INDEX(마스터!$F$4:$F$20,MATCH(C681,마스터!$M$4:$M$20,0))),"")</f>
        <v/>
      </c>
      <c r="E681" s="27"/>
      <c r="F681" s="29"/>
      <c r="G681" s="25" t="str">
        <f>IFERROR(IF(C681="","",INDEX(마스터!$J$4:$J$20,MATCH(C681,마스터!$M$4:$M$20,0))),"")</f>
        <v/>
      </c>
      <c r="H681" s="30"/>
      <c r="I681" s="30"/>
      <c r="AC681" s="32">
        <f>IF(AND(E681&lt;&gt;"",C681&lt;&gt;"",COUNTIFS($C$8:C681,C681,$E$8:E681,E681)=1),1,0)</f>
        <v>0</v>
      </c>
    </row>
    <row r="682" spans="1:29" ht="15" customHeight="1" x14ac:dyDescent="0.25">
      <c r="A682" s="25" t="str">
        <f t="shared" si="10"/>
        <v/>
      </c>
      <c r="B682" s="26"/>
      <c r="C682" s="27"/>
      <c r="D682" s="28" t="str">
        <f>IFERROR(IF(C682="","",INDEX(마스터!$F$4:$F$20,MATCH(C682,마스터!$M$4:$M$20,0))),"")</f>
        <v/>
      </c>
      <c r="E682" s="27"/>
      <c r="F682" s="29"/>
      <c r="G682" s="25" t="str">
        <f>IFERROR(IF(C682="","",INDEX(마스터!$J$4:$J$20,MATCH(C682,마스터!$M$4:$M$20,0))),"")</f>
        <v/>
      </c>
      <c r="H682" s="30"/>
      <c r="I682" s="30"/>
      <c r="AC682" s="32">
        <f>IF(AND(E682&lt;&gt;"",C682&lt;&gt;"",COUNTIFS($C$8:C682,C682,$E$8:E682,E682)=1),1,0)</f>
        <v>0</v>
      </c>
    </row>
    <row r="683" spans="1:29" ht="15" customHeight="1" x14ac:dyDescent="0.25">
      <c r="A683" s="25" t="str">
        <f t="shared" si="10"/>
        <v/>
      </c>
      <c r="B683" s="26"/>
      <c r="C683" s="27"/>
      <c r="D683" s="28" t="str">
        <f>IFERROR(IF(C683="","",INDEX(마스터!$F$4:$F$20,MATCH(C683,마스터!$M$4:$M$20,0))),"")</f>
        <v/>
      </c>
      <c r="E683" s="27"/>
      <c r="F683" s="29"/>
      <c r="G683" s="25" t="str">
        <f>IFERROR(IF(C683="","",INDEX(마스터!$J$4:$J$20,MATCH(C683,마스터!$M$4:$M$20,0))),"")</f>
        <v/>
      </c>
      <c r="H683" s="30"/>
      <c r="I683" s="30"/>
      <c r="AC683" s="32">
        <f>IF(AND(E683&lt;&gt;"",C683&lt;&gt;"",COUNTIFS($C$8:C683,C683,$E$8:E683,E683)=1),1,0)</f>
        <v>0</v>
      </c>
    </row>
    <row r="684" spans="1:29" ht="15" customHeight="1" x14ac:dyDescent="0.25">
      <c r="A684" s="25" t="str">
        <f t="shared" si="10"/>
        <v/>
      </c>
      <c r="B684" s="26"/>
      <c r="C684" s="27"/>
      <c r="D684" s="28" t="str">
        <f>IFERROR(IF(C684="","",INDEX(마스터!$F$4:$F$20,MATCH(C684,마스터!$M$4:$M$20,0))),"")</f>
        <v/>
      </c>
      <c r="E684" s="27"/>
      <c r="F684" s="29"/>
      <c r="G684" s="25" t="str">
        <f>IFERROR(IF(C684="","",INDEX(마스터!$J$4:$J$20,MATCH(C684,마스터!$M$4:$M$20,0))),"")</f>
        <v/>
      </c>
      <c r="H684" s="30"/>
      <c r="I684" s="30"/>
      <c r="AC684" s="32">
        <f>IF(AND(E684&lt;&gt;"",C684&lt;&gt;"",COUNTIFS($C$8:C684,C684,$E$8:E684,E684)=1),1,0)</f>
        <v>0</v>
      </c>
    </row>
    <row r="685" spans="1:29" ht="15" customHeight="1" x14ac:dyDescent="0.25">
      <c r="A685" s="25" t="str">
        <f t="shared" si="10"/>
        <v/>
      </c>
      <c r="B685" s="26"/>
      <c r="C685" s="27"/>
      <c r="D685" s="28" t="str">
        <f>IFERROR(IF(C685="","",INDEX(마스터!$F$4:$F$20,MATCH(C685,마스터!$M$4:$M$20,0))),"")</f>
        <v/>
      </c>
      <c r="E685" s="27"/>
      <c r="F685" s="29"/>
      <c r="G685" s="25" t="str">
        <f>IFERROR(IF(C685="","",INDEX(마스터!$J$4:$J$20,MATCH(C685,마스터!$M$4:$M$20,0))),"")</f>
        <v/>
      </c>
      <c r="H685" s="30"/>
      <c r="I685" s="30"/>
      <c r="AC685" s="32">
        <f>IF(AND(E685&lt;&gt;"",C685&lt;&gt;"",COUNTIFS($C$8:C685,C685,$E$8:E685,E685)=1),1,0)</f>
        <v>0</v>
      </c>
    </row>
    <row r="686" spans="1:29" ht="15" customHeight="1" x14ac:dyDescent="0.25">
      <c r="A686" s="25" t="str">
        <f t="shared" si="10"/>
        <v/>
      </c>
      <c r="B686" s="26"/>
      <c r="C686" s="27"/>
      <c r="D686" s="28" t="str">
        <f>IFERROR(IF(C686="","",INDEX(마스터!$F$4:$F$20,MATCH(C686,마스터!$M$4:$M$20,0))),"")</f>
        <v/>
      </c>
      <c r="E686" s="27"/>
      <c r="F686" s="29"/>
      <c r="G686" s="25" t="str">
        <f>IFERROR(IF(C686="","",INDEX(마스터!$J$4:$J$20,MATCH(C686,마스터!$M$4:$M$20,0))),"")</f>
        <v/>
      </c>
      <c r="H686" s="30"/>
      <c r="I686" s="30"/>
      <c r="AC686" s="32">
        <f>IF(AND(E686&lt;&gt;"",C686&lt;&gt;"",COUNTIFS($C$8:C686,C686,$E$8:E686,E686)=1),1,0)</f>
        <v>0</v>
      </c>
    </row>
    <row r="687" spans="1:29" ht="15" customHeight="1" x14ac:dyDescent="0.25">
      <c r="A687" s="25" t="str">
        <f t="shared" si="10"/>
        <v/>
      </c>
      <c r="B687" s="26"/>
      <c r="C687" s="27"/>
      <c r="D687" s="28" t="str">
        <f>IFERROR(IF(C687="","",INDEX(마스터!$F$4:$F$20,MATCH(C687,마스터!$M$4:$M$20,0))),"")</f>
        <v/>
      </c>
      <c r="E687" s="27"/>
      <c r="F687" s="29"/>
      <c r="G687" s="25" t="str">
        <f>IFERROR(IF(C687="","",INDEX(마스터!$J$4:$J$20,MATCH(C687,마스터!$M$4:$M$20,0))),"")</f>
        <v/>
      </c>
      <c r="H687" s="30"/>
      <c r="I687" s="30"/>
      <c r="AC687" s="32">
        <f>IF(AND(E687&lt;&gt;"",C687&lt;&gt;"",COUNTIFS($C$8:C687,C687,$E$8:E687,E687)=1),1,0)</f>
        <v>0</v>
      </c>
    </row>
    <row r="688" spans="1:29" ht="15" customHeight="1" x14ac:dyDescent="0.25">
      <c r="A688" s="25" t="str">
        <f t="shared" si="10"/>
        <v/>
      </c>
      <c r="B688" s="26"/>
      <c r="C688" s="27"/>
      <c r="D688" s="28" t="str">
        <f>IFERROR(IF(C688="","",INDEX(마스터!$F$4:$F$20,MATCH(C688,마스터!$M$4:$M$20,0))),"")</f>
        <v/>
      </c>
      <c r="E688" s="27"/>
      <c r="F688" s="29"/>
      <c r="G688" s="25" t="str">
        <f>IFERROR(IF(C688="","",INDEX(마스터!$J$4:$J$20,MATCH(C688,마스터!$M$4:$M$20,0))),"")</f>
        <v/>
      </c>
      <c r="H688" s="30"/>
      <c r="I688" s="30"/>
      <c r="AC688" s="32">
        <f>IF(AND(E688&lt;&gt;"",C688&lt;&gt;"",COUNTIFS($C$8:C688,C688,$E$8:E688,E688)=1),1,0)</f>
        <v>0</v>
      </c>
    </row>
    <row r="689" spans="1:29" ht="15" customHeight="1" x14ac:dyDescent="0.25">
      <c r="A689" s="25" t="str">
        <f t="shared" si="10"/>
        <v/>
      </c>
      <c r="B689" s="26"/>
      <c r="C689" s="27"/>
      <c r="D689" s="28" t="str">
        <f>IFERROR(IF(C689="","",INDEX(마스터!$F$4:$F$20,MATCH(C689,마스터!$M$4:$M$20,0))),"")</f>
        <v/>
      </c>
      <c r="E689" s="27"/>
      <c r="F689" s="29"/>
      <c r="G689" s="25" t="str">
        <f>IFERROR(IF(C689="","",INDEX(마스터!$J$4:$J$20,MATCH(C689,마스터!$M$4:$M$20,0))),"")</f>
        <v/>
      </c>
      <c r="H689" s="30"/>
      <c r="I689" s="30"/>
      <c r="AC689" s="32">
        <f>IF(AND(E689&lt;&gt;"",C689&lt;&gt;"",COUNTIFS($C$8:C689,C689,$E$8:E689,E689)=1),1,0)</f>
        <v>0</v>
      </c>
    </row>
    <row r="690" spans="1:29" ht="15" customHeight="1" x14ac:dyDescent="0.25">
      <c r="A690" s="25" t="str">
        <f t="shared" si="10"/>
        <v/>
      </c>
      <c r="B690" s="26"/>
      <c r="C690" s="27"/>
      <c r="D690" s="28" t="str">
        <f>IFERROR(IF(C690="","",INDEX(마스터!$F$4:$F$20,MATCH(C690,마스터!$M$4:$M$20,0))),"")</f>
        <v/>
      </c>
      <c r="E690" s="27"/>
      <c r="F690" s="29"/>
      <c r="G690" s="25" t="str">
        <f>IFERROR(IF(C690="","",INDEX(마스터!$J$4:$J$20,MATCH(C690,마스터!$M$4:$M$20,0))),"")</f>
        <v/>
      </c>
      <c r="H690" s="30"/>
      <c r="I690" s="30"/>
      <c r="AC690" s="32">
        <f>IF(AND(E690&lt;&gt;"",C690&lt;&gt;"",COUNTIFS($C$8:C690,C690,$E$8:E690,E690)=1),1,0)</f>
        <v>0</v>
      </c>
    </row>
    <row r="691" spans="1:29" ht="15" customHeight="1" x14ac:dyDescent="0.25">
      <c r="A691" s="25" t="str">
        <f t="shared" si="10"/>
        <v/>
      </c>
      <c r="B691" s="26"/>
      <c r="C691" s="27"/>
      <c r="D691" s="28" t="str">
        <f>IFERROR(IF(C691="","",INDEX(마스터!$F$4:$F$20,MATCH(C691,마스터!$M$4:$M$20,0))),"")</f>
        <v/>
      </c>
      <c r="E691" s="27"/>
      <c r="F691" s="29"/>
      <c r="G691" s="25" t="str">
        <f>IFERROR(IF(C691="","",INDEX(마스터!$J$4:$J$20,MATCH(C691,마스터!$M$4:$M$20,0))),"")</f>
        <v/>
      </c>
      <c r="H691" s="30"/>
      <c r="I691" s="30"/>
      <c r="AC691" s="32">
        <f>IF(AND(E691&lt;&gt;"",C691&lt;&gt;"",COUNTIFS($C$8:C691,C691,$E$8:E691,E691)=1),1,0)</f>
        <v>0</v>
      </c>
    </row>
    <row r="692" spans="1:29" ht="15" customHeight="1" x14ac:dyDescent="0.25">
      <c r="A692" s="25" t="str">
        <f t="shared" si="10"/>
        <v/>
      </c>
      <c r="B692" s="26"/>
      <c r="C692" s="27"/>
      <c r="D692" s="28" t="str">
        <f>IFERROR(IF(C692="","",INDEX(마스터!$F$4:$F$20,MATCH(C692,마스터!$M$4:$M$20,0))),"")</f>
        <v/>
      </c>
      <c r="E692" s="27"/>
      <c r="F692" s="29"/>
      <c r="G692" s="25" t="str">
        <f>IFERROR(IF(C692="","",INDEX(마스터!$J$4:$J$20,MATCH(C692,마스터!$M$4:$M$20,0))),"")</f>
        <v/>
      </c>
      <c r="H692" s="30"/>
      <c r="I692" s="30"/>
      <c r="AC692" s="32">
        <f>IF(AND(E692&lt;&gt;"",C692&lt;&gt;"",COUNTIFS($C$8:C692,C692,$E$8:E692,E692)=1),1,0)</f>
        <v>0</v>
      </c>
    </row>
    <row r="693" spans="1:29" ht="15" customHeight="1" x14ac:dyDescent="0.25">
      <c r="A693" s="25" t="str">
        <f t="shared" si="10"/>
        <v/>
      </c>
      <c r="B693" s="26"/>
      <c r="C693" s="27"/>
      <c r="D693" s="28" t="str">
        <f>IFERROR(IF(C693="","",INDEX(마스터!$F$4:$F$20,MATCH(C693,마스터!$M$4:$M$20,0))),"")</f>
        <v/>
      </c>
      <c r="E693" s="27"/>
      <c r="F693" s="29"/>
      <c r="G693" s="25" t="str">
        <f>IFERROR(IF(C693="","",INDEX(마스터!$J$4:$J$20,MATCH(C693,마스터!$M$4:$M$20,0))),"")</f>
        <v/>
      </c>
      <c r="H693" s="30"/>
      <c r="I693" s="30"/>
      <c r="AC693" s="32">
        <f>IF(AND(E693&lt;&gt;"",C693&lt;&gt;"",COUNTIFS($C$8:C693,C693,$E$8:E693,E693)=1),1,0)</f>
        <v>0</v>
      </c>
    </row>
    <row r="694" spans="1:29" ht="15" customHeight="1" x14ac:dyDescent="0.25">
      <c r="A694" s="25" t="str">
        <f t="shared" si="10"/>
        <v/>
      </c>
      <c r="B694" s="26"/>
      <c r="C694" s="27"/>
      <c r="D694" s="28" t="str">
        <f>IFERROR(IF(C694="","",INDEX(마스터!$F$4:$F$20,MATCH(C694,마스터!$M$4:$M$20,0))),"")</f>
        <v/>
      </c>
      <c r="E694" s="27"/>
      <c r="F694" s="29"/>
      <c r="G694" s="25" t="str">
        <f>IFERROR(IF(C694="","",INDEX(마스터!$J$4:$J$20,MATCH(C694,마스터!$M$4:$M$20,0))),"")</f>
        <v/>
      </c>
      <c r="H694" s="30"/>
      <c r="I694" s="30"/>
      <c r="AC694" s="32">
        <f>IF(AND(E694&lt;&gt;"",C694&lt;&gt;"",COUNTIFS($C$8:C694,C694,$E$8:E694,E694)=1),1,0)</f>
        <v>0</v>
      </c>
    </row>
    <row r="695" spans="1:29" ht="15" customHeight="1" x14ac:dyDescent="0.25">
      <c r="A695" s="25" t="str">
        <f t="shared" si="10"/>
        <v/>
      </c>
      <c r="B695" s="26"/>
      <c r="C695" s="27"/>
      <c r="D695" s="28" t="str">
        <f>IFERROR(IF(C695="","",INDEX(마스터!$F$4:$F$20,MATCH(C695,마스터!$M$4:$M$20,0))),"")</f>
        <v/>
      </c>
      <c r="E695" s="27"/>
      <c r="F695" s="29"/>
      <c r="G695" s="25" t="str">
        <f>IFERROR(IF(C695="","",INDEX(마스터!$J$4:$J$20,MATCH(C695,마스터!$M$4:$M$20,0))),"")</f>
        <v/>
      </c>
      <c r="H695" s="30"/>
      <c r="I695" s="30"/>
      <c r="AC695" s="32">
        <f>IF(AND(E695&lt;&gt;"",C695&lt;&gt;"",COUNTIFS($C$8:C695,C695,$E$8:E695,E695)=1),1,0)</f>
        <v>0</v>
      </c>
    </row>
    <row r="696" spans="1:29" ht="15" customHeight="1" x14ac:dyDescent="0.25">
      <c r="A696" s="25" t="str">
        <f t="shared" si="10"/>
        <v/>
      </c>
      <c r="B696" s="26"/>
      <c r="C696" s="27"/>
      <c r="D696" s="28" t="str">
        <f>IFERROR(IF(C696="","",INDEX(마스터!$F$4:$F$20,MATCH(C696,마스터!$M$4:$M$20,0))),"")</f>
        <v/>
      </c>
      <c r="E696" s="27"/>
      <c r="F696" s="29"/>
      <c r="G696" s="25" t="str">
        <f>IFERROR(IF(C696="","",INDEX(마스터!$J$4:$J$20,MATCH(C696,마스터!$M$4:$M$20,0))),"")</f>
        <v/>
      </c>
      <c r="H696" s="30"/>
      <c r="I696" s="30"/>
      <c r="AC696" s="32">
        <f>IF(AND(E696&lt;&gt;"",C696&lt;&gt;"",COUNTIFS($C$8:C696,C696,$E$8:E696,E696)=1),1,0)</f>
        <v>0</v>
      </c>
    </row>
    <row r="697" spans="1:29" ht="15" customHeight="1" x14ac:dyDescent="0.25">
      <c r="A697" s="25" t="str">
        <f t="shared" si="10"/>
        <v/>
      </c>
      <c r="B697" s="26"/>
      <c r="C697" s="27"/>
      <c r="D697" s="28" t="str">
        <f>IFERROR(IF(C697="","",INDEX(마스터!$F$4:$F$20,MATCH(C697,마스터!$M$4:$M$20,0))),"")</f>
        <v/>
      </c>
      <c r="E697" s="27"/>
      <c r="F697" s="29"/>
      <c r="G697" s="25" t="str">
        <f>IFERROR(IF(C697="","",INDEX(마스터!$J$4:$J$20,MATCH(C697,마스터!$M$4:$M$20,0))),"")</f>
        <v/>
      </c>
      <c r="H697" s="30"/>
      <c r="I697" s="30"/>
      <c r="AC697" s="32">
        <f>IF(AND(E697&lt;&gt;"",C697&lt;&gt;"",COUNTIFS($C$8:C697,C697,$E$8:E697,E697)=1),1,0)</f>
        <v>0</v>
      </c>
    </row>
    <row r="698" spans="1:29" ht="15" customHeight="1" x14ac:dyDescent="0.25">
      <c r="A698" s="25" t="str">
        <f t="shared" si="10"/>
        <v/>
      </c>
      <c r="B698" s="26"/>
      <c r="C698" s="27"/>
      <c r="D698" s="28" t="str">
        <f>IFERROR(IF(C698="","",INDEX(마스터!$F$4:$F$20,MATCH(C698,마스터!$M$4:$M$20,0))),"")</f>
        <v/>
      </c>
      <c r="E698" s="27"/>
      <c r="F698" s="29"/>
      <c r="G698" s="25" t="str">
        <f>IFERROR(IF(C698="","",INDEX(마스터!$J$4:$J$20,MATCH(C698,마스터!$M$4:$M$20,0))),"")</f>
        <v/>
      </c>
      <c r="H698" s="30"/>
      <c r="I698" s="30"/>
      <c r="AC698" s="32">
        <f>IF(AND(E698&lt;&gt;"",C698&lt;&gt;"",COUNTIFS($C$8:C698,C698,$E$8:E698,E698)=1),1,0)</f>
        <v>0</v>
      </c>
    </row>
    <row r="699" spans="1:29" ht="15" customHeight="1" x14ac:dyDescent="0.25">
      <c r="A699" s="25" t="str">
        <f t="shared" si="10"/>
        <v/>
      </c>
      <c r="B699" s="26"/>
      <c r="C699" s="27"/>
      <c r="D699" s="28" t="str">
        <f>IFERROR(IF(C699="","",INDEX(마스터!$F$4:$F$20,MATCH(C699,마스터!$M$4:$M$20,0))),"")</f>
        <v/>
      </c>
      <c r="E699" s="27"/>
      <c r="F699" s="29"/>
      <c r="G699" s="25" t="str">
        <f>IFERROR(IF(C699="","",INDEX(마스터!$J$4:$J$20,MATCH(C699,마스터!$M$4:$M$20,0))),"")</f>
        <v/>
      </c>
      <c r="H699" s="30"/>
      <c r="I699" s="30"/>
      <c r="AC699" s="32">
        <f>IF(AND(E699&lt;&gt;"",C699&lt;&gt;"",COUNTIFS($C$8:C699,C699,$E$8:E699,E699)=1),1,0)</f>
        <v>0</v>
      </c>
    </row>
    <row r="700" spans="1:29" ht="15" customHeight="1" x14ac:dyDescent="0.25">
      <c r="A700" s="25" t="str">
        <f t="shared" si="10"/>
        <v/>
      </c>
      <c r="B700" s="26"/>
      <c r="C700" s="27"/>
      <c r="D700" s="28" t="str">
        <f>IFERROR(IF(C700="","",INDEX(마스터!$F$4:$F$20,MATCH(C700,마스터!$M$4:$M$20,0))),"")</f>
        <v/>
      </c>
      <c r="E700" s="27"/>
      <c r="F700" s="29"/>
      <c r="G700" s="25" t="str">
        <f>IFERROR(IF(C700="","",INDEX(마스터!$J$4:$J$20,MATCH(C700,마스터!$M$4:$M$20,0))),"")</f>
        <v/>
      </c>
      <c r="H700" s="30"/>
      <c r="I700" s="30"/>
      <c r="AC700" s="32">
        <f>IF(AND(E700&lt;&gt;"",C700&lt;&gt;"",COUNTIFS($C$8:C700,C700,$E$8:E700,E700)=1),1,0)</f>
        <v>0</v>
      </c>
    </row>
    <row r="701" spans="1:29" ht="15" customHeight="1" x14ac:dyDescent="0.25">
      <c r="A701" s="25" t="str">
        <f t="shared" si="10"/>
        <v/>
      </c>
      <c r="B701" s="26"/>
      <c r="C701" s="27"/>
      <c r="D701" s="28" t="str">
        <f>IFERROR(IF(C701="","",INDEX(마스터!$F$4:$F$20,MATCH(C701,마스터!$M$4:$M$20,0))),"")</f>
        <v/>
      </c>
      <c r="E701" s="27"/>
      <c r="F701" s="29"/>
      <c r="G701" s="25" t="str">
        <f>IFERROR(IF(C701="","",INDEX(마스터!$J$4:$J$20,MATCH(C701,마스터!$M$4:$M$20,0))),"")</f>
        <v/>
      </c>
      <c r="H701" s="30"/>
      <c r="I701" s="30"/>
      <c r="AC701" s="32">
        <f>IF(AND(E701&lt;&gt;"",C701&lt;&gt;"",COUNTIFS($C$8:C701,C701,$E$8:E701,E701)=1),1,0)</f>
        <v>0</v>
      </c>
    </row>
    <row r="702" spans="1:29" ht="15" customHeight="1" x14ac:dyDescent="0.25">
      <c r="A702" s="25" t="str">
        <f t="shared" si="10"/>
        <v/>
      </c>
      <c r="B702" s="26"/>
      <c r="C702" s="27"/>
      <c r="D702" s="28" t="str">
        <f>IFERROR(IF(C702="","",INDEX(마스터!$F$4:$F$20,MATCH(C702,마스터!$M$4:$M$20,0))),"")</f>
        <v/>
      </c>
      <c r="E702" s="27"/>
      <c r="F702" s="29"/>
      <c r="G702" s="25" t="str">
        <f>IFERROR(IF(C702="","",INDEX(마스터!$J$4:$J$20,MATCH(C702,마스터!$M$4:$M$20,0))),"")</f>
        <v/>
      </c>
      <c r="H702" s="30"/>
      <c r="I702" s="30"/>
      <c r="AC702" s="32">
        <f>IF(AND(E702&lt;&gt;"",C702&lt;&gt;"",COUNTIFS($C$8:C702,C702,$E$8:E702,E702)=1),1,0)</f>
        <v>0</v>
      </c>
    </row>
    <row r="703" spans="1:29" ht="15" customHeight="1" x14ac:dyDescent="0.25">
      <c r="A703" s="25" t="str">
        <f t="shared" si="10"/>
        <v/>
      </c>
      <c r="B703" s="26"/>
      <c r="C703" s="27"/>
      <c r="D703" s="28" t="str">
        <f>IFERROR(IF(C703="","",INDEX(마스터!$F$4:$F$20,MATCH(C703,마스터!$M$4:$M$20,0))),"")</f>
        <v/>
      </c>
      <c r="E703" s="27"/>
      <c r="F703" s="29"/>
      <c r="G703" s="25" t="str">
        <f>IFERROR(IF(C703="","",INDEX(마스터!$J$4:$J$20,MATCH(C703,마스터!$M$4:$M$20,0))),"")</f>
        <v/>
      </c>
      <c r="H703" s="30"/>
      <c r="I703" s="30"/>
      <c r="AC703" s="32">
        <f>IF(AND(E703&lt;&gt;"",C703&lt;&gt;"",COUNTIFS($C$8:C703,C703,$E$8:E703,E703)=1),1,0)</f>
        <v>0</v>
      </c>
    </row>
    <row r="704" spans="1:29" ht="15" customHeight="1" x14ac:dyDescent="0.25">
      <c r="A704" s="25" t="str">
        <f t="shared" si="10"/>
        <v/>
      </c>
      <c r="B704" s="26"/>
      <c r="C704" s="27"/>
      <c r="D704" s="28" t="str">
        <f>IFERROR(IF(C704="","",INDEX(마스터!$F$4:$F$20,MATCH(C704,마스터!$M$4:$M$20,0))),"")</f>
        <v/>
      </c>
      <c r="E704" s="27"/>
      <c r="F704" s="29"/>
      <c r="G704" s="25" t="str">
        <f>IFERROR(IF(C704="","",INDEX(마스터!$J$4:$J$20,MATCH(C704,마스터!$M$4:$M$20,0))),"")</f>
        <v/>
      </c>
      <c r="H704" s="30"/>
      <c r="I704" s="30"/>
      <c r="AC704" s="32">
        <f>IF(AND(E704&lt;&gt;"",C704&lt;&gt;"",COUNTIFS($C$8:C704,C704,$E$8:E704,E704)=1),1,0)</f>
        <v>0</v>
      </c>
    </row>
    <row r="705" spans="1:29" ht="15" customHeight="1" x14ac:dyDescent="0.25">
      <c r="A705" s="25" t="str">
        <f t="shared" si="10"/>
        <v/>
      </c>
      <c r="B705" s="26"/>
      <c r="C705" s="27"/>
      <c r="D705" s="28" t="str">
        <f>IFERROR(IF(C705="","",INDEX(마스터!$F$4:$F$20,MATCH(C705,마스터!$M$4:$M$20,0))),"")</f>
        <v/>
      </c>
      <c r="E705" s="27"/>
      <c r="F705" s="29"/>
      <c r="G705" s="25" t="str">
        <f>IFERROR(IF(C705="","",INDEX(마스터!$J$4:$J$20,MATCH(C705,마스터!$M$4:$M$20,0))),"")</f>
        <v/>
      </c>
      <c r="H705" s="30"/>
      <c r="I705" s="30"/>
      <c r="AC705" s="32">
        <f>IF(AND(E705&lt;&gt;"",C705&lt;&gt;"",COUNTIFS($C$8:C705,C705,$E$8:E705,E705)=1),1,0)</f>
        <v>0</v>
      </c>
    </row>
    <row r="706" spans="1:29" ht="15" customHeight="1" x14ac:dyDescent="0.25">
      <c r="A706" s="25" t="str">
        <f t="shared" si="10"/>
        <v/>
      </c>
      <c r="B706" s="26"/>
      <c r="C706" s="27"/>
      <c r="D706" s="28" t="str">
        <f>IFERROR(IF(C706="","",INDEX(마스터!$F$4:$F$20,MATCH(C706,마스터!$M$4:$M$20,0))),"")</f>
        <v/>
      </c>
      <c r="E706" s="27"/>
      <c r="F706" s="29"/>
      <c r="G706" s="25" t="str">
        <f>IFERROR(IF(C706="","",INDEX(마스터!$J$4:$J$20,MATCH(C706,마스터!$M$4:$M$20,0))),"")</f>
        <v/>
      </c>
      <c r="H706" s="30"/>
      <c r="I706" s="30"/>
      <c r="AC706" s="32">
        <f>IF(AND(E706&lt;&gt;"",C706&lt;&gt;"",COUNTIFS($C$8:C706,C706,$E$8:E706,E706)=1),1,0)</f>
        <v>0</v>
      </c>
    </row>
    <row r="707" spans="1:29" ht="15" customHeight="1" x14ac:dyDescent="0.25">
      <c r="A707" s="25" t="str">
        <f t="shared" si="10"/>
        <v/>
      </c>
      <c r="B707" s="26"/>
      <c r="C707" s="27"/>
      <c r="D707" s="28" t="str">
        <f>IFERROR(IF(C707="","",INDEX(마스터!$F$4:$F$20,MATCH(C707,마스터!$M$4:$M$20,0))),"")</f>
        <v/>
      </c>
      <c r="E707" s="27"/>
      <c r="F707" s="29"/>
      <c r="G707" s="25" t="str">
        <f>IFERROR(IF(C707="","",INDEX(마스터!$J$4:$J$20,MATCH(C707,마스터!$M$4:$M$20,0))),"")</f>
        <v/>
      </c>
      <c r="H707" s="30"/>
      <c r="I707" s="30"/>
      <c r="AC707" s="32">
        <f>IF(AND(E707&lt;&gt;"",C707&lt;&gt;"",COUNTIFS($C$8:C707,C707,$E$8:E707,E707)=1),1,0)</f>
        <v>0</v>
      </c>
    </row>
    <row r="708" spans="1:29" ht="15" customHeight="1" x14ac:dyDescent="0.25">
      <c r="A708" s="25" t="str">
        <f t="shared" si="10"/>
        <v/>
      </c>
      <c r="B708" s="26"/>
      <c r="C708" s="27"/>
      <c r="D708" s="28" t="str">
        <f>IFERROR(IF(C708="","",INDEX(마스터!$F$4:$F$20,MATCH(C708,마스터!$M$4:$M$20,0))),"")</f>
        <v/>
      </c>
      <c r="E708" s="27"/>
      <c r="F708" s="29"/>
      <c r="G708" s="25" t="str">
        <f>IFERROR(IF(C708="","",INDEX(마스터!$J$4:$J$20,MATCH(C708,마스터!$M$4:$M$20,0))),"")</f>
        <v/>
      </c>
      <c r="H708" s="30"/>
      <c r="I708" s="30"/>
      <c r="AC708" s="32">
        <f>IF(AND(E708&lt;&gt;"",C708&lt;&gt;"",COUNTIFS($C$8:C708,C708,$E$8:E708,E708)=1),1,0)</f>
        <v>0</v>
      </c>
    </row>
    <row r="709" spans="1:29" ht="15" customHeight="1" x14ac:dyDescent="0.25">
      <c r="A709" s="25" t="str">
        <f t="shared" si="10"/>
        <v/>
      </c>
      <c r="B709" s="26"/>
      <c r="C709" s="27"/>
      <c r="D709" s="28" t="str">
        <f>IFERROR(IF(C709="","",INDEX(마스터!$F$4:$F$20,MATCH(C709,마스터!$M$4:$M$20,0))),"")</f>
        <v/>
      </c>
      <c r="E709" s="27"/>
      <c r="F709" s="29"/>
      <c r="G709" s="25" t="str">
        <f>IFERROR(IF(C709="","",INDEX(마스터!$J$4:$J$20,MATCH(C709,마스터!$M$4:$M$20,0))),"")</f>
        <v/>
      </c>
      <c r="H709" s="30"/>
      <c r="I709" s="30"/>
      <c r="AC709" s="32">
        <f>IF(AND(E709&lt;&gt;"",C709&lt;&gt;"",COUNTIFS($C$8:C709,C709,$E$8:E709,E709)=1),1,0)</f>
        <v>0</v>
      </c>
    </row>
    <row r="710" spans="1:29" ht="15" customHeight="1" x14ac:dyDescent="0.25">
      <c r="A710" s="25" t="str">
        <f t="shared" si="10"/>
        <v/>
      </c>
      <c r="B710" s="26"/>
      <c r="C710" s="27"/>
      <c r="D710" s="28" t="str">
        <f>IFERROR(IF(C710="","",INDEX(마스터!$F$4:$F$20,MATCH(C710,마스터!$M$4:$M$20,0))),"")</f>
        <v/>
      </c>
      <c r="E710" s="27"/>
      <c r="F710" s="29"/>
      <c r="G710" s="25" t="str">
        <f>IFERROR(IF(C710="","",INDEX(마스터!$J$4:$J$20,MATCH(C710,마스터!$M$4:$M$20,0))),"")</f>
        <v/>
      </c>
      <c r="H710" s="30"/>
      <c r="I710" s="30"/>
      <c r="AC710" s="32">
        <f>IF(AND(E710&lt;&gt;"",C710&lt;&gt;"",COUNTIFS($C$8:C710,C710,$E$8:E710,E710)=1),1,0)</f>
        <v>0</v>
      </c>
    </row>
    <row r="711" spans="1:29" ht="15" customHeight="1" x14ac:dyDescent="0.25">
      <c r="A711" s="25" t="str">
        <f t="shared" si="10"/>
        <v/>
      </c>
      <c r="B711" s="26"/>
      <c r="C711" s="27"/>
      <c r="D711" s="28" t="str">
        <f>IFERROR(IF(C711="","",INDEX(마스터!$F$4:$F$20,MATCH(C711,마스터!$M$4:$M$20,0))),"")</f>
        <v/>
      </c>
      <c r="E711" s="27"/>
      <c r="F711" s="29"/>
      <c r="G711" s="25" t="str">
        <f>IFERROR(IF(C711="","",INDEX(마스터!$J$4:$J$20,MATCH(C711,마스터!$M$4:$M$20,0))),"")</f>
        <v/>
      </c>
      <c r="H711" s="30"/>
      <c r="I711" s="30"/>
      <c r="AC711" s="32">
        <f>IF(AND(E711&lt;&gt;"",C711&lt;&gt;"",COUNTIFS($C$8:C711,C711,$E$8:E711,E711)=1),1,0)</f>
        <v>0</v>
      </c>
    </row>
    <row r="712" spans="1:29" ht="15" customHeight="1" x14ac:dyDescent="0.25">
      <c r="A712" s="25" t="str">
        <f t="shared" ref="A712:A775" si="11">IF(B712="","",ROW()-7)</f>
        <v/>
      </c>
      <c r="B712" s="26"/>
      <c r="C712" s="27"/>
      <c r="D712" s="28" t="str">
        <f>IFERROR(IF(C712="","",INDEX(마스터!$F$4:$F$20,MATCH(C712,마스터!$M$4:$M$20,0))),"")</f>
        <v/>
      </c>
      <c r="E712" s="27"/>
      <c r="F712" s="29"/>
      <c r="G712" s="25" t="str">
        <f>IFERROR(IF(C712="","",INDEX(마스터!$J$4:$J$20,MATCH(C712,마스터!$M$4:$M$20,0))),"")</f>
        <v/>
      </c>
      <c r="H712" s="30"/>
      <c r="I712" s="30"/>
      <c r="AC712" s="32">
        <f>IF(AND(E712&lt;&gt;"",C712&lt;&gt;"",COUNTIFS($C$8:C712,C712,$E$8:E712,E712)=1),1,0)</f>
        <v>0</v>
      </c>
    </row>
    <row r="713" spans="1:29" ht="15" customHeight="1" x14ac:dyDescent="0.25">
      <c r="A713" s="25" t="str">
        <f t="shared" si="11"/>
        <v/>
      </c>
      <c r="B713" s="26"/>
      <c r="C713" s="27"/>
      <c r="D713" s="28" t="str">
        <f>IFERROR(IF(C713="","",INDEX(마스터!$F$4:$F$20,MATCH(C713,마스터!$M$4:$M$20,0))),"")</f>
        <v/>
      </c>
      <c r="E713" s="27"/>
      <c r="F713" s="29"/>
      <c r="G713" s="25" t="str">
        <f>IFERROR(IF(C713="","",INDEX(마스터!$J$4:$J$20,MATCH(C713,마스터!$M$4:$M$20,0))),"")</f>
        <v/>
      </c>
      <c r="H713" s="30"/>
      <c r="I713" s="30"/>
      <c r="AC713" s="32">
        <f>IF(AND(E713&lt;&gt;"",C713&lt;&gt;"",COUNTIFS($C$8:C713,C713,$E$8:E713,E713)=1),1,0)</f>
        <v>0</v>
      </c>
    </row>
    <row r="714" spans="1:29" ht="15" customHeight="1" x14ac:dyDescent="0.25">
      <c r="A714" s="25" t="str">
        <f t="shared" si="11"/>
        <v/>
      </c>
      <c r="B714" s="26"/>
      <c r="C714" s="27"/>
      <c r="D714" s="28" t="str">
        <f>IFERROR(IF(C714="","",INDEX(마스터!$F$4:$F$20,MATCH(C714,마스터!$M$4:$M$20,0))),"")</f>
        <v/>
      </c>
      <c r="E714" s="27"/>
      <c r="F714" s="29"/>
      <c r="G714" s="25" t="str">
        <f>IFERROR(IF(C714="","",INDEX(마스터!$J$4:$J$20,MATCH(C714,마스터!$M$4:$M$20,0))),"")</f>
        <v/>
      </c>
      <c r="H714" s="30"/>
      <c r="I714" s="30"/>
      <c r="AC714" s="32">
        <f>IF(AND(E714&lt;&gt;"",C714&lt;&gt;"",COUNTIFS($C$8:C714,C714,$E$8:E714,E714)=1),1,0)</f>
        <v>0</v>
      </c>
    </row>
    <row r="715" spans="1:29" ht="15" customHeight="1" x14ac:dyDescent="0.25">
      <c r="A715" s="25" t="str">
        <f t="shared" si="11"/>
        <v/>
      </c>
      <c r="B715" s="26"/>
      <c r="C715" s="27"/>
      <c r="D715" s="28" t="str">
        <f>IFERROR(IF(C715="","",INDEX(마스터!$F$4:$F$20,MATCH(C715,마스터!$M$4:$M$20,0))),"")</f>
        <v/>
      </c>
      <c r="E715" s="27"/>
      <c r="F715" s="29"/>
      <c r="G715" s="25" t="str">
        <f>IFERROR(IF(C715="","",INDEX(마스터!$J$4:$J$20,MATCH(C715,마스터!$M$4:$M$20,0))),"")</f>
        <v/>
      </c>
      <c r="H715" s="30"/>
      <c r="I715" s="30"/>
      <c r="AC715" s="32">
        <f>IF(AND(E715&lt;&gt;"",C715&lt;&gt;"",COUNTIFS($C$8:C715,C715,$E$8:E715,E715)=1),1,0)</f>
        <v>0</v>
      </c>
    </row>
    <row r="716" spans="1:29" ht="15" customHeight="1" x14ac:dyDescent="0.25">
      <c r="A716" s="25" t="str">
        <f t="shared" si="11"/>
        <v/>
      </c>
      <c r="B716" s="26"/>
      <c r="C716" s="27"/>
      <c r="D716" s="28" t="str">
        <f>IFERROR(IF(C716="","",INDEX(마스터!$F$4:$F$20,MATCH(C716,마스터!$M$4:$M$20,0))),"")</f>
        <v/>
      </c>
      <c r="E716" s="27"/>
      <c r="F716" s="29"/>
      <c r="G716" s="25" t="str">
        <f>IFERROR(IF(C716="","",INDEX(마스터!$J$4:$J$20,MATCH(C716,마스터!$M$4:$M$20,0))),"")</f>
        <v/>
      </c>
      <c r="H716" s="30"/>
      <c r="I716" s="30"/>
      <c r="AC716" s="32">
        <f>IF(AND(E716&lt;&gt;"",C716&lt;&gt;"",COUNTIFS($C$8:C716,C716,$E$8:E716,E716)=1),1,0)</f>
        <v>0</v>
      </c>
    </row>
    <row r="717" spans="1:29" ht="15" customHeight="1" x14ac:dyDescent="0.25">
      <c r="A717" s="25" t="str">
        <f t="shared" si="11"/>
        <v/>
      </c>
      <c r="B717" s="26"/>
      <c r="C717" s="27"/>
      <c r="D717" s="28" t="str">
        <f>IFERROR(IF(C717="","",INDEX(마스터!$F$4:$F$20,MATCH(C717,마스터!$M$4:$M$20,0))),"")</f>
        <v/>
      </c>
      <c r="E717" s="27"/>
      <c r="F717" s="29"/>
      <c r="G717" s="25" t="str">
        <f>IFERROR(IF(C717="","",INDEX(마스터!$J$4:$J$20,MATCH(C717,마스터!$M$4:$M$20,0))),"")</f>
        <v/>
      </c>
      <c r="H717" s="30"/>
      <c r="I717" s="30"/>
      <c r="AC717" s="32">
        <f>IF(AND(E717&lt;&gt;"",C717&lt;&gt;"",COUNTIFS($C$8:C717,C717,$E$8:E717,E717)=1),1,0)</f>
        <v>0</v>
      </c>
    </row>
    <row r="718" spans="1:29" ht="15" customHeight="1" x14ac:dyDescent="0.25">
      <c r="A718" s="25" t="str">
        <f t="shared" si="11"/>
        <v/>
      </c>
      <c r="B718" s="26"/>
      <c r="C718" s="27"/>
      <c r="D718" s="28" t="str">
        <f>IFERROR(IF(C718="","",INDEX(마스터!$F$4:$F$20,MATCH(C718,마스터!$M$4:$M$20,0))),"")</f>
        <v/>
      </c>
      <c r="E718" s="27"/>
      <c r="F718" s="29"/>
      <c r="G718" s="25" t="str">
        <f>IFERROR(IF(C718="","",INDEX(마스터!$J$4:$J$20,MATCH(C718,마스터!$M$4:$M$20,0))),"")</f>
        <v/>
      </c>
      <c r="H718" s="30"/>
      <c r="I718" s="30"/>
      <c r="AC718" s="32">
        <f>IF(AND(E718&lt;&gt;"",C718&lt;&gt;"",COUNTIFS($C$8:C718,C718,$E$8:E718,E718)=1),1,0)</f>
        <v>0</v>
      </c>
    </row>
    <row r="719" spans="1:29" ht="15" customHeight="1" x14ac:dyDescent="0.25">
      <c r="A719" s="25" t="str">
        <f t="shared" si="11"/>
        <v/>
      </c>
      <c r="B719" s="26"/>
      <c r="C719" s="27"/>
      <c r="D719" s="28" t="str">
        <f>IFERROR(IF(C719="","",INDEX(마스터!$F$4:$F$20,MATCH(C719,마스터!$M$4:$M$20,0))),"")</f>
        <v/>
      </c>
      <c r="E719" s="27"/>
      <c r="F719" s="29"/>
      <c r="G719" s="25" t="str">
        <f>IFERROR(IF(C719="","",INDEX(마스터!$J$4:$J$20,MATCH(C719,마스터!$M$4:$M$20,0))),"")</f>
        <v/>
      </c>
      <c r="H719" s="30"/>
      <c r="I719" s="30"/>
      <c r="AC719" s="32">
        <f>IF(AND(E719&lt;&gt;"",C719&lt;&gt;"",COUNTIFS($C$8:C719,C719,$E$8:E719,E719)=1),1,0)</f>
        <v>0</v>
      </c>
    </row>
    <row r="720" spans="1:29" ht="15" customHeight="1" x14ac:dyDescent="0.25">
      <c r="A720" s="25" t="str">
        <f t="shared" si="11"/>
        <v/>
      </c>
      <c r="B720" s="26"/>
      <c r="C720" s="27"/>
      <c r="D720" s="28" t="str">
        <f>IFERROR(IF(C720="","",INDEX(마스터!$F$4:$F$20,MATCH(C720,마스터!$M$4:$M$20,0))),"")</f>
        <v/>
      </c>
      <c r="E720" s="27"/>
      <c r="F720" s="29"/>
      <c r="G720" s="25" t="str">
        <f>IFERROR(IF(C720="","",INDEX(마스터!$J$4:$J$20,MATCH(C720,마스터!$M$4:$M$20,0))),"")</f>
        <v/>
      </c>
      <c r="H720" s="30"/>
      <c r="I720" s="30"/>
      <c r="AC720" s="32">
        <f>IF(AND(E720&lt;&gt;"",C720&lt;&gt;"",COUNTIFS($C$8:C720,C720,$E$8:E720,E720)=1),1,0)</f>
        <v>0</v>
      </c>
    </row>
    <row r="721" spans="1:29" ht="15" customHeight="1" x14ac:dyDescent="0.25">
      <c r="A721" s="25" t="str">
        <f t="shared" si="11"/>
        <v/>
      </c>
      <c r="B721" s="26"/>
      <c r="C721" s="27"/>
      <c r="D721" s="28" t="str">
        <f>IFERROR(IF(C721="","",INDEX(마스터!$F$4:$F$20,MATCH(C721,마스터!$M$4:$M$20,0))),"")</f>
        <v/>
      </c>
      <c r="E721" s="27"/>
      <c r="F721" s="29"/>
      <c r="G721" s="25" t="str">
        <f>IFERROR(IF(C721="","",INDEX(마스터!$J$4:$J$20,MATCH(C721,마스터!$M$4:$M$20,0))),"")</f>
        <v/>
      </c>
      <c r="H721" s="30"/>
      <c r="I721" s="30"/>
      <c r="AC721" s="32">
        <f>IF(AND(E721&lt;&gt;"",C721&lt;&gt;"",COUNTIFS($C$8:C721,C721,$E$8:E721,E721)=1),1,0)</f>
        <v>0</v>
      </c>
    </row>
    <row r="722" spans="1:29" ht="15" customHeight="1" x14ac:dyDescent="0.25">
      <c r="A722" s="25" t="str">
        <f t="shared" si="11"/>
        <v/>
      </c>
      <c r="B722" s="26"/>
      <c r="C722" s="27"/>
      <c r="D722" s="28" t="str">
        <f>IFERROR(IF(C722="","",INDEX(마스터!$F$4:$F$20,MATCH(C722,마스터!$M$4:$M$20,0))),"")</f>
        <v/>
      </c>
      <c r="E722" s="27"/>
      <c r="F722" s="29"/>
      <c r="G722" s="25" t="str">
        <f>IFERROR(IF(C722="","",INDEX(마스터!$J$4:$J$20,MATCH(C722,마스터!$M$4:$M$20,0))),"")</f>
        <v/>
      </c>
      <c r="H722" s="30"/>
      <c r="I722" s="30"/>
      <c r="AC722" s="32">
        <f>IF(AND(E722&lt;&gt;"",C722&lt;&gt;"",COUNTIFS($C$8:C722,C722,$E$8:E722,E722)=1),1,0)</f>
        <v>0</v>
      </c>
    </row>
    <row r="723" spans="1:29" ht="15" customHeight="1" x14ac:dyDescent="0.25">
      <c r="A723" s="25" t="str">
        <f t="shared" si="11"/>
        <v/>
      </c>
      <c r="B723" s="26"/>
      <c r="C723" s="27"/>
      <c r="D723" s="28" t="str">
        <f>IFERROR(IF(C723="","",INDEX(마스터!$F$4:$F$20,MATCH(C723,마스터!$M$4:$M$20,0))),"")</f>
        <v/>
      </c>
      <c r="E723" s="27"/>
      <c r="F723" s="29"/>
      <c r="G723" s="25" t="str">
        <f>IFERROR(IF(C723="","",INDEX(마스터!$J$4:$J$20,MATCH(C723,마스터!$M$4:$M$20,0))),"")</f>
        <v/>
      </c>
      <c r="H723" s="30"/>
      <c r="I723" s="30"/>
      <c r="AC723" s="32">
        <f>IF(AND(E723&lt;&gt;"",C723&lt;&gt;"",COUNTIFS($C$8:C723,C723,$E$8:E723,E723)=1),1,0)</f>
        <v>0</v>
      </c>
    </row>
    <row r="724" spans="1:29" ht="15" customHeight="1" x14ac:dyDescent="0.25">
      <c r="A724" s="25" t="str">
        <f t="shared" si="11"/>
        <v/>
      </c>
      <c r="B724" s="26"/>
      <c r="C724" s="27"/>
      <c r="D724" s="28" t="str">
        <f>IFERROR(IF(C724="","",INDEX(마스터!$F$4:$F$20,MATCH(C724,마스터!$M$4:$M$20,0))),"")</f>
        <v/>
      </c>
      <c r="E724" s="27"/>
      <c r="F724" s="29"/>
      <c r="G724" s="25" t="str">
        <f>IFERROR(IF(C724="","",INDEX(마스터!$J$4:$J$20,MATCH(C724,마스터!$M$4:$M$20,0))),"")</f>
        <v/>
      </c>
      <c r="H724" s="30"/>
      <c r="I724" s="30"/>
      <c r="AC724" s="32">
        <f>IF(AND(E724&lt;&gt;"",C724&lt;&gt;"",COUNTIFS($C$8:C724,C724,$E$8:E724,E724)=1),1,0)</f>
        <v>0</v>
      </c>
    </row>
    <row r="725" spans="1:29" ht="15" customHeight="1" x14ac:dyDescent="0.25">
      <c r="A725" s="25" t="str">
        <f t="shared" si="11"/>
        <v/>
      </c>
      <c r="B725" s="26"/>
      <c r="C725" s="27"/>
      <c r="D725" s="28" t="str">
        <f>IFERROR(IF(C725="","",INDEX(마스터!$F$4:$F$20,MATCH(C725,마스터!$M$4:$M$20,0))),"")</f>
        <v/>
      </c>
      <c r="E725" s="27"/>
      <c r="F725" s="29"/>
      <c r="G725" s="25" t="str">
        <f>IFERROR(IF(C725="","",INDEX(마스터!$J$4:$J$20,MATCH(C725,마스터!$M$4:$M$20,0))),"")</f>
        <v/>
      </c>
      <c r="H725" s="30"/>
      <c r="I725" s="30"/>
      <c r="AC725" s="32">
        <f>IF(AND(E725&lt;&gt;"",C725&lt;&gt;"",COUNTIFS($C$8:C725,C725,$E$8:E725,E725)=1),1,0)</f>
        <v>0</v>
      </c>
    </row>
    <row r="726" spans="1:29" ht="15" customHeight="1" x14ac:dyDescent="0.25">
      <c r="A726" s="25" t="str">
        <f t="shared" si="11"/>
        <v/>
      </c>
      <c r="B726" s="26"/>
      <c r="C726" s="27"/>
      <c r="D726" s="28" t="str">
        <f>IFERROR(IF(C726="","",INDEX(마스터!$F$4:$F$20,MATCH(C726,마스터!$M$4:$M$20,0))),"")</f>
        <v/>
      </c>
      <c r="E726" s="27"/>
      <c r="F726" s="29"/>
      <c r="G726" s="25" t="str">
        <f>IFERROR(IF(C726="","",INDEX(마스터!$J$4:$J$20,MATCH(C726,마스터!$M$4:$M$20,0))),"")</f>
        <v/>
      </c>
      <c r="H726" s="30"/>
      <c r="I726" s="30"/>
      <c r="AC726" s="32">
        <f>IF(AND(E726&lt;&gt;"",C726&lt;&gt;"",COUNTIFS($C$8:C726,C726,$E$8:E726,E726)=1),1,0)</f>
        <v>0</v>
      </c>
    </row>
    <row r="727" spans="1:29" ht="15" customHeight="1" x14ac:dyDescent="0.25">
      <c r="A727" s="25" t="str">
        <f t="shared" si="11"/>
        <v/>
      </c>
      <c r="B727" s="26"/>
      <c r="C727" s="27"/>
      <c r="D727" s="28" t="str">
        <f>IFERROR(IF(C727="","",INDEX(마스터!$F$4:$F$20,MATCH(C727,마스터!$M$4:$M$20,0))),"")</f>
        <v/>
      </c>
      <c r="E727" s="27"/>
      <c r="F727" s="29"/>
      <c r="G727" s="25" t="str">
        <f>IFERROR(IF(C727="","",INDEX(마스터!$J$4:$J$20,MATCH(C727,마스터!$M$4:$M$20,0))),"")</f>
        <v/>
      </c>
      <c r="H727" s="30"/>
      <c r="I727" s="30"/>
      <c r="AC727" s="32">
        <f>IF(AND(E727&lt;&gt;"",C727&lt;&gt;"",COUNTIFS($C$8:C727,C727,$E$8:E727,E727)=1),1,0)</f>
        <v>0</v>
      </c>
    </row>
    <row r="728" spans="1:29" ht="15" customHeight="1" x14ac:dyDescent="0.25">
      <c r="A728" s="25" t="str">
        <f t="shared" si="11"/>
        <v/>
      </c>
      <c r="B728" s="26"/>
      <c r="C728" s="27"/>
      <c r="D728" s="28" t="str">
        <f>IFERROR(IF(C728="","",INDEX(마스터!$F$4:$F$20,MATCH(C728,마스터!$M$4:$M$20,0))),"")</f>
        <v/>
      </c>
      <c r="E728" s="27"/>
      <c r="F728" s="29"/>
      <c r="G728" s="25" t="str">
        <f>IFERROR(IF(C728="","",INDEX(마스터!$J$4:$J$20,MATCH(C728,마스터!$M$4:$M$20,0))),"")</f>
        <v/>
      </c>
      <c r="H728" s="30"/>
      <c r="I728" s="30"/>
      <c r="AC728" s="32">
        <f>IF(AND(E728&lt;&gt;"",C728&lt;&gt;"",COUNTIFS($C$8:C728,C728,$E$8:E728,E728)=1),1,0)</f>
        <v>0</v>
      </c>
    </row>
    <row r="729" spans="1:29" ht="15" customHeight="1" x14ac:dyDescent="0.25">
      <c r="A729" s="25" t="str">
        <f t="shared" si="11"/>
        <v/>
      </c>
      <c r="B729" s="26"/>
      <c r="C729" s="27"/>
      <c r="D729" s="28" t="str">
        <f>IFERROR(IF(C729="","",INDEX(마스터!$F$4:$F$20,MATCH(C729,마스터!$M$4:$M$20,0))),"")</f>
        <v/>
      </c>
      <c r="E729" s="27"/>
      <c r="F729" s="29"/>
      <c r="G729" s="25" t="str">
        <f>IFERROR(IF(C729="","",INDEX(마스터!$J$4:$J$20,MATCH(C729,마스터!$M$4:$M$20,0))),"")</f>
        <v/>
      </c>
      <c r="H729" s="30"/>
      <c r="I729" s="30"/>
      <c r="AC729" s="32">
        <f>IF(AND(E729&lt;&gt;"",C729&lt;&gt;"",COUNTIFS($C$8:C729,C729,$E$8:E729,E729)=1),1,0)</f>
        <v>0</v>
      </c>
    </row>
    <row r="730" spans="1:29" ht="15" customHeight="1" x14ac:dyDescent="0.25">
      <c r="A730" s="25" t="str">
        <f t="shared" si="11"/>
        <v/>
      </c>
      <c r="B730" s="26"/>
      <c r="C730" s="27"/>
      <c r="D730" s="28" t="str">
        <f>IFERROR(IF(C730="","",INDEX(마스터!$F$4:$F$20,MATCH(C730,마스터!$M$4:$M$20,0))),"")</f>
        <v/>
      </c>
      <c r="E730" s="27"/>
      <c r="F730" s="29"/>
      <c r="G730" s="25" t="str">
        <f>IFERROR(IF(C730="","",INDEX(마스터!$J$4:$J$20,MATCH(C730,마스터!$M$4:$M$20,0))),"")</f>
        <v/>
      </c>
      <c r="H730" s="30"/>
      <c r="I730" s="30"/>
      <c r="AC730" s="32">
        <f>IF(AND(E730&lt;&gt;"",C730&lt;&gt;"",COUNTIFS($C$8:C730,C730,$E$8:E730,E730)=1),1,0)</f>
        <v>0</v>
      </c>
    </row>
    <row r="731" spans="1:29" ht="15" customHeight="1" x14ac:dyDescent="0.25">
      <c r="A731" s="25" t="str">
        <f t="shared" si="11"/>
        <v/>
      </c>
      <c r="B731" s="26"/>
      <c r="C731" s="27"/>
      <c r="D731" s="28" t="str">
        <f>IFERROR(IF(C731="","",INDEX(마스터!$F$4:$F$20,MATCH(C731,마스터!$M$4:$M$20,0))),"")</f>
        <v/>
      </c>
      <c r="E731" s="27"/>
      <c r="F731" s="29"/>
      <c r="G731" s="25" t="str">
        <f>IFERROR(IF(C731="","",INDEX(마스터!$J$4:$J$20,MATCH(C731,마스터!$M$4:$M$20,0))),"")</f>
        <v/>
      </c>
      <c r="H731" s="30"/>
      <c r="I731" s="30"/>
      <c r="AC731" s="32">
        <f>IF(AND(E731&lt;&gt;"",C731&lt;&gt;"",COUNTIFS($C$8:C731,C731,$E$8:E731,E731)=1),1,0)</f>
        <v>0</v>
      </c>
    </row>
    <row r="732" spans="1:29" ht="15" customHeight="1" x14ac:dyDescent="0.25">
      <c r="A732" s="25" t="str">
        <f t="shared" si="11"/>
        <v/>
      </c>
      <c r="B732" s="26"/>
      <c r="C732" s="27"/>
      <c r="D732" s="28" t="str">
        <f>IFERROR(IF(C732="","",INDEX(마스터!$F$4:$F$20,MATCH(C732,마스터!$M$4:$M$20,0))),"")</f>
        <v/>
      </c>
      <c r="E732" s="27"/>
      <c r="F732" s="29"/>
      <c r="G732" s="25" t="str">
        <f>IFERROR(IF(C732="","",INDEX(마스터!$J$4:$J$20,MATCH(C732,마스터!$M$4:$M$20,0))),"")</f>
        <v/>
      </c>
      <c r="H732" s="30"/>
      <c r="I732" s="30"/>
      <c r="AC732" s="32">
        <f>IF(AND(E732&lt;&gt;"",C732&lt;&gt;"",COUNTIFS($C$8:C732,C732,$E$8:E732,E732)=1),1,0)</f>
        <v>0</v>
      </c>
    </row>
    <row r="733" spans="1:29" ht="15" customHeight="1" x14ac:dyDescent="0.25">
      <c r="A733" s="25" t="str">
        <f t="shared" si="11"/>
        <v/>
      </c>
      <c r="B733" s="26"/>
      <c r="C733" s="27"/>
      <c r="D733" s="28" t="str">
        <f>IFERROR(IF(C733="","",INDEX(마스터!$F$4:$F$20,MATCH(C733,마스터!$M$4:$M$20,0))),"")</f>
        <v/>
      </c>
      <c r="E733" s="27"/>
      <c r="F733" s="29"/>
      <c r="G733" s="25" t="str">
        <f>IFERROR(IF(C733="","",INDEX(마스터!$J$4:$J$20,MATCH(C733,마스터!$M$4:$M$20,0))),"")</f>
        <v/>
      </c>
      <c r="H733" s="30"/>
      <c r="I733" s="30"/>
      <c r="AC733" s="32">
        <f>IF(AND(E733&lt;&gt;"",C733&lt;&gt;"",COUNTIFS($C$8:C733,C733,$E$8:E733,E733)=1),1,0)</f>
        <v>0</v>
      </c>
    </row>
    <row r="734" spans="1:29" ht="15" customHeight="1" x14ac:dyDescent="0.25">
      <c r="A734" s="25" t="str">
        <f t="shared" si="11"/>
        <v/>
      </c>
      <c r="B734" s="26"/>
      <c r="C734" s="27"/>
      <c r="D734" s="28" t="str">
        <f>IFERROR(IF(C734="","",INDEX(마스터!$F$4:$F$20,MATCH(C734,마스터!$M$4:$M$20,0))),"")</f>
        <v/>
      </c>
      <c r="E734" s="27"/>
      <c r="F734" s="29"/>
      <c r="G734" s="25" t="str">
        <f>IFERROR(IF(C734="","",INDEX(마스터!$J$4:$J$20,MATCH(C734,마스터!$M$4:$M$20,0))),"")</f>
        <v/>
      </c>
      <c r="H734" s="30"/>
      <c r="I734" s="30"/>
      <c r="AC734" s="32">
        <f>IF(AND(E734&lt;&gt;"",C734&lt;&gt;"",COUNTIFS($C$8:C734,C734,$E$8:E734,E734)=1),1,0)</f>
        <v>0</v>
      </c>
    </row>
    <row r="735" spans="1:29" ht="15" customHeight="1" x14ac:dyDescent="0.25">
      <c r="A735" s="25" t="str">
        <f t="shared" si="11"/>
        <v/>
      </c>
      <c r="B735" s="26"/>
      <c r="C735" s="27"/>
      <c r="D735" s="28" t="str">
        <f>IFERROR(IF(C735="","",INDEX(마스터!$F$4:$F$20,MATCH(C735,마스터!$M$4:$M$20,0))),"")</f>
        <v/>
      </c>
      <c r="E735" s="27"/>
      <c r="F735" s="29"/>
      <c r="G735" s="25" t="str">
        <f>IFERROR(IF(C735="","",INDEX(마스터!$J$4:$J$20,MATCH(C735,마스터!$M$4:$M$20,0))),"")</f>
        <v/>
      </c>
      <c r="H735" s="30"/>
      <c r="I735" s="30"/>
      <c r="AC735" s="32">
        <f>IF(AND(E735&lt;&gt;"",C735&lt;&gt;"",COUNTIFS($C$8:C735,C735,$E$8:E735,E735)=1),1,0)</f>
        <v>0</v>
      </c>
    </row>
    <row r="736" spans="1:29" ht="15" customHeight="1" x14ac:dyDescent="0.25">
      <c r="A736" s="25" t="str">
        <f t="shared" si="11"/>
        <v/>
      </c>
      <c r="B736" s="26"/>
      <c r="C736" s="27"/>
      <c r="D736" s="28" t="str">
        <f>IFERROR(IF(C736="","",INDEX(마스터!$F$4:$F$20,MATCH(C736,마스터!$M$4:$M$20,0))),"")</f>
        <v/>
      </c>
      <c r="E736" s="27"/>
      <c r="F736" s="29"/>
      <c r="G736" s="25" t="str">
        <f>IFERROR(IF(C736="","",INDEX(마스터!$J$4:$J$20,MATCH(C736,마스터!$M$4:$M$20,0))),"")</f>
        <v/>
      </c>
      <c r="H736" s="30"/>
      <c r="I736" s="30"/>
      <c r="AC736" s="32">
        <f>IF(AND(E736&lt;&gt;"",C736&lt;&gt;"",COUNTIFS($C$8:C736,C736,$E$8:E736,E736)=1),1,0)</f>
        <v>0</v>
      </c>
    </row>
    <row r="737" spans="1:29" ht="15" customHeight="1" x14ac:dyDescent="0.25">
      <c r="A737" s="25" t="str">
        <f t="shared" si="11"/>
        <v/>
      </c>
      <c r="B737" s="26"/>
      <c r="C737" s="27"/>
      <c r="D737" s="28" t="str">
        <f>IFERROR(IF(C737="","",INDEX(마스터!$F$4:$F$20,MATCH(C737,마스터!$M$4:$M$20,0))),"")</f>
        <v/>
      </c>
      <c r="E737" s="27"/>
      <c r="F737" s="29"/>
      <c r="G737" s="25" t="str">
        <f>IFERROR(IF(C737="","",INDEX(마스터!$J$4:$J$20,MATCH(C737,마스터!$M$4:$M$20,0))),"")</f>
        <v/>
      </c>
      <c r="H737" s="30"/>
      <c r="I737" s="30"/>
      <c r="AC737" s="32">
        <f>IF(AND(E737&lt;&gt;"",C737&lt;&gt;"",COUNTIFS($C$8:C737,C737,$E$8:E737,E737)=1),1,0)</f>
        <v>0</v>
      </c>
    </row>
    <row r="738" spans="1:29" ht="15" customHeight="1" x14ac:dyDescent="0.25">
      <c r="A738" s="25" t="str">
        <f t="shared" si="11"/>
        <v/>
      </c>
      <c r="B738" s="26"/>
      <c r="C738" s="27"/>
      <c r="D738" s="28" t="str">
        <f>IFERROR(IF(C738="","",INDEX(마스터!$F$4:$F$20,MATCH(C738,마스터!$M$4:$M$20,0))),"")</f>
        <v/>
      </c>
      <c r="E738" s="27"/>
      <c r="F738" s="29"/>
      <c r="G738" s="25" t="str">
        <f>IFERROR(IF(C738="","",INDEX(마스터!$J$4:$J$20,MATCH(C738,마스터!$M$4:$M$20,0))),"")</f>
        <v/>
      </c>
      <c r="H738" s="30"/>
      <c r="I738" s="30"/>
      <c r="AC738" s="32">
        <f>IF(AND(E738&lt;&gt;"",C738&lt;&gt;"",COUNTIFS($C$8:C738,C738,$E$8:E738,E738)=1),1,0)</f>
        <v>0</v>
      </c>
    </row>
    <row r="739" spans="1:29" ht="15" customHeight="1" x14ac:dyDescent="0.25">
      <c r="A739" s="25" t="str">
        <f t="shared" si="11"/>
        <v/>
      </c>
      <c r="B739" s="26"/>
      <c r="C739" s="27"/>
      <c r="D739" s="28" t="str">
        <f>IFERROR(IF(C739="","",INDEX(마스터!$F$4:$F$20,MATCH(C739,마스터!$M$4:$M$20,0))),"")</f>
        <v/>
      </c>
      <c r="E739" s="27"/>
      <c r="F739" s="29"/>
      <c r="G739" s="25" t="str">
        <f>IFERROR(IF(C739="","",INDEX(마스터!$J$4:$J$20,MATCH(C739,마스터!$M$4:$M$20,0))),"")</f>
        <v/>
      </c>
      <c r="H739" s="30"/>
      <c r="I739" s="30"/>
      <c r="AC739" s="32">
        <f>IF(AND(E739&lt;&gt;"",C739&lt;&gt;"",COUNTIFS($C$8:C739,C739,$E$8:E739,E739)=1),1,0)</f>
        <v>0</v>
      </c>
    </row>
    <row r="740" spans="1:29" ht="15" customHeight="1" x14ac:dyDescent="0.25">
      <c r="A740" s="25" t="str">
        <f t="shared" si="11"/>
        <v/>
      </c>
      <c r="B740" s="26"/>
      <c r="C740" s="27"/>
      <c r="D740" s="28" t="str">
        <f>IFERROR(IF(C740="","",INDEX(마스터!$F$4:$F$20,MATCH(C740,마스터!$M$4:$M$20,0))),"")</f>
        <v/>
      </c>
      <c r="E740" s="27"/>
      <c r="F740" s="29"/>
      <c r="G740" s="25" t="str">
        <f>IFERROR(IF(C740="","",INDEX(마스터!$J$4:$J$20,MATCH(C740,마스터!$M$4:$M$20,0))),"")</f>
        <v/>
      </c>
      <c r="H740" s="30"/>
      <c r="I740" s="30"/>
      <c r="AC740" s="32">
        <f>IF(AND(E740&lt;&gt;"",C740&lt;&gt;"",COUNTIFS($C$8:C740,C740,$E$8:E740,E740)=1),1,0)</f>
        <v>0</v>
      </c>
    </row>
    <row r="741" spans="1:29" ht="15" customHeight="1" x14ac:dyDescent="0.25">
      <c r="A741" s="25" t="str">
        <f t="shared" si="11"/>
        <v/>
      </c>
      <c r="B741" s="26"/>
      <c r="C741" s="27"/>
      <c r="D741" s="28" t="str">
        <f>IFERROR(IF(C741="","",INDEX(마스터!$F$4:$F$20,MATCH(C741,마스터!$M$4:$M$20,0))),"")</f>
        <v/>
      </c>
      <c r="E741" s="27"/>
      <c r="F741" s="29"/>
      <c r="G741" s="25" t="str">
        <f>IFERROR(IF(C741="","",INDEX(마스터!$J$4:$J$20,MATCH(C741,마스터!$M$4:$M$20,0))),"")</f>
        <v/>
      </c>
      <c r="H741" s="30"/>
      <c r="I741" s="30"/>
      <c r="AC741" s="32">
        <f>IF(AND(E741&lt;&gt;"",C741&lt;&gt;"",COUNTIFS($C$8:C741,C741,$E$8:E741,E741)=1),1,0)</f>
        <v>0</v>
      </c>
    </row>
    <row r="742" spans="1:29" ht="15" customHeight="1" x14ac:dyDescent="0.25">
      <c r="A742" s="25" t="str">
        <f t="shared" si="11"/>
        <v/>
      </c>
      <c r="B742" s="26"/>
      <c r="C742" s="27"/>
      <c r="D742" s="28" t="str">
        <f>IFERROR(IF(C742="","",INDEX(마스터!$F$4:$F$20,MATCH(C742,마스터!$M$4:$M$20,0))),"")</f>
        <v/>
      </c>
      <c r="E742" s="27"/>
      <c r="F742" s="29"/>
      <c r="G742" s="25" t="str">
        <f>IFERROR(IF(C742="","",INDEX(마스터!$J$4:$J$20,MATCH(C742,마스터!$M$4:$M$20,0))),"")</f>
        <v/>
      </c>
      <c r="H742" s="30"/>
      <c r="I742" s="30"/>
      <c r="AC742" s="32">
        <f>IF(AND(E742&lt;&gt;"",C742&lt;&gt;"",COUNTIFS($C$8:C742,C742,$E$8:E742,E742)=1),1,0)</f>
        <v>0</v>
      </c>
    </row>
    <row r="743" spans="1:29" ht="15" customHeight="1" x14ac:dyDescent="0.25">
      <c r="A743" s="25" t="str">
        <f t="shared" si="11"/>
        <v/>
      </c>
      <c r="B743" s="26"/>
      <c r="C743" s="27"/>
      <c r="D743" s="28" t="str">
        <f>IFERROR(IF(C743="","",INDEX(마스터!$F$4:$F$20,MATCH(C743,마스터!$M$4:$M$20,0))),"")</f>
        <v/>
      </c>
      <c r="E743" s="27"/>
      <c r="F743" s="29"/>
      <c r="G743" s="25" t="str">
        <f>IFERROR(IF(C743="","",INDEX(마스터!$J$4:$J$20,MATCH(C743,마스터!$M$4:$M$20,0))),"")</f>
        <v/>
      </c>
      <c r="H743" s="30"/>
      <c r="I743" s="30"/>
      <c r="AC743" s="32">
        <f>IF(AND(E743&lt;&gt;"",C743&lt;&gt;"",COUNTIFS($C$8:C743,C743,$E$8:E743,E743)=1),1,0)</f>
        <v>0</v>
      </c>
    </row>
    <row r="744" spans="1:29" ht="15" customHeight="1" x14ac:dyDescent="0.25">
      <c r="A744" s="25" t="str">
        <f t="shared" si="11"/>
        <v/>
      </c>
      <c r="B744" s="26"/>
      <c r="C744" s="27"/>
      <c r="D744" s="28" t="str">
        <f>IFERROR(IF(C744="","",INDEX(마스터!$F$4:$F$20,MATCH(C744,마스터!$M$4:$M$20,0))),"")</f>
        <v/>
      </c>
      <c r="E744" s="27"/>
      <c r="F744" s="29"/>
      <c r="G744" s="25" t="str">
        <f>IFERROR(IF(C744="","",INDEX(마스터!$J$4:$J$20,MATCH(C744,마스터!$M$4:$M$20,0))),"")</f>
        <v/>
      </c>
      <c r="H744" s="30"/>
      <c r="I744" s="30"/>
      <c r="AC744" s="32">
        <f>IF(AND(E744&lt;&gt;"",C744&lt;&gt;"",COUNTIFS($C$8:C744,C744,$E$8:E744,E744)=1),1,0)</f>
        <v>0</v>
      </c>
    </row>
    <row r="745" spans="1:29" ht="15" customHeight="1" x14ac:dyDescent="0.25">
      <c r="A745" s="25" t="str">
        <f t="shared" si="11"/>
        <v/>
      </c>
      <c r="B745" s="26"/>
      <c r="C745" s="27"/>
      <c r="D745" s="28" t="str">
        <f>IFERROR(IF(C745="","",INDEX(마스터!$F$4:$F$20,MATCH(C745,마스터!$M$4:$M$20,0))),"")</f>
        <v/>
      </c>
      <c r="E745" s="27"/>
      <c r="F745" s="29"/>
      <c r="G745" s="25" t="str">
        <f>IFERROR(IF(C745="","",INDEX(마스터!$J$4:$J$20,MATCH(C745,마스터!$M$4:$M$20,0))),"")</f>
        <v/>
      </c>
      <c r="H745" s="30"/>
      <c r="I745" s="30"/>
      <c r="AC745" s="32">
        <f>IF(AND(E745&lt;&gt;"",C745&lt;&gt;"",COUNTIFS($C$8:C745,C745,$E$8:E745,E745)=1),1,0)</f>
        <v>0</v>
      </c>
    </row>
    <row r="746" spans="1:29" ht="15" customHeight="1" x14ac:dyDescent="0.25">
      <c r="A746" s="25" t="str">
        <f t="shared" si="11"/>
        <v/>
      </c>
      <c r="B746" s="26"/>
      <c r="C746" s="27"/>
      <c r="D746" s="28" t="str">
        <f>IFERROR(IF(C746="","",INDEX(마스터!$F$4:$F$20,MATCH(C746,마스터!$M$4:$M$20,0))),"")</f>
        <v/>
      </c>
      <c r="E746" s="27"/>
      <c r="F746" s="29"/>
      <c r="G746" s="25" t="str">
        <f>IFERROR(IF(C746="","",INDEX(마스터!$J$4:$J$20,MATCH(C746,마스터!$M$4:$M$20,0))),"")</f>
        <v/>
      </c>
      <c r="H746" s="30"/>
      <c r="I746" s="30"/>
      <c r="AC746" s="32">
        <f>IF(AND(E746&lt;&gt;"",C746&lt;&gt;"",COUNTIFS($C$8:C746,C746,$E$8:E746,E746)=1),1,0)</f>
        <v>0</v>
      </c>
    </row>
    <row r="747" spans="1:29" ht="15" customHeight="1" x14ac:dyDescent="0.25">
      <c r="A747" s="25" t="str">
        <f t="shared" si="11"/>
        <v/>
      </c>
      <c r="B747" s="26"/>
      <c r="C747" s="27"/>
      <c r="D747" s="28" t="str">
        <f>IFERROR(IF(C747="","",INDEX(마스터!$F$4:$F$20,MATCH(C747,마스터!$M$4:$M$20,0))),"")</f>
        <v/>
      </c>
      <c r="E747" s="27"/>
      <c r="F747" s="29"/>
      <c r="G747" s="25" t="str">
        <f>IFERROR(IF(C747="","",INDEX(마스터!$J$4:$J$20,MATCH(C747,마스터!$M$4:$M$20,0))),"")</f>
        <v/>
      </c>
      <c r="H747" s="30"/>
      <c r="I747" s="30"/>
      <c r="AC747" s="32">
        <f>IF(AND(E747&lt;&gt;"",C747&lt;&gt;"",COUNTIFS($C$8:C747,C747,$E$8:E747,E747)=1),1,0)</f>
        <v>0</v>
      </c>
    </row>
    <row r="748" spans="1:29" ht="15" customHeight="1" x14ac:dyDescent="0.25">
      <c r="A748" s="25" t="str">
        <f t="shared" si="11"/>
        <v/>
      </c>
      <c r="B748" s="26"/>
      <c r="C748" s="27"/>
      <c r="D748" s="28" t="str">
        <f>IFERROR(IF(C748="","",INDEX(마스터!$F$4:$F$20,MATCH(C748,마스터!$M$4:$M$20,0))),"")</f>
        <v/>
      </c>
      <c r="E748" s="27"/>
      <c r="F748" s="29"/>
      <c r="G748" s="25" t="str">
        <f>IFERROR(IF(C748="","",INDEX(마스터!$J$4:$J$20,MATCH(C748,마스터!$M$4:$M$20,0))),"")</f>
        <v/>
      </c>
      <c r="H748" s="30"/>
      <c r="I748" s="30"/>
      <c r="AC748" s="32">
        <f>IF(AND(E748&lt;&gt;"",C748&lt;&gt;"",COUNTIFS($C$8:C748,C748,$E$8:E748,E748)=1),1,0)</f>
        <v>0</v>
      </c>
    </row>
    <row r="749" spans="1:29" ht="15" customHeight="1" x14ac:dyDescent="0.25">
      <c r="A749" s="25" t="str">
        <f t="shared" si="11"/>
        <v/>
      </c>
      <c r="B749" s="26"/>
      <c r="C749" s="27"/>
      <c r="D749" s="28" t="str">
        <f>IFERROR(IF(C749="","",INDEX(마스터!$F$4:$F$20,MATCH(C749,마스터!$M$4:$M$20,0))),"")</f>
        <v/>
      </c>
      <c r="E749" s="27"/>
      <c r="F749" s="29"/>
      <c r="G749" s="25" t="str">
        <f>IFERROR(IF(C749="","",INDEX(마스터!$J$4:$J$20,MATCH(C749,마스터!$M$4:$M$20,0))),"")</f>
        <v/>
      </c>
      <c r="H749" s="30"/>
      <c r="I749" s="30"/>
      <c r="AC749" s="32">
        <f>IF(AND(E749&lt;&gt;"",C749&lt;&gt;"",COUNTIFS($C$8:C749,C749,$E$8:E749,E749)=1),1,0)</f>
        <v>0</v>
      </c>
    </row>
    <row r="750" spans="1:29" ht="15" customHeight="1" x14ac:dyDescent="0.25">
      <c r="A750" s="25" t="str">
        <f t="shared" si="11"/>
        <v/>
      </c>
      <c r="B750" s="26"/>
      <c r="C750" s="27"/>
      <c r="D750" s="28" t="str">
        <f>IFERROR(IF(C750="","",INDEX(마스터!$F$4:$F$20,MATCH(C750,마스터!$M$4:$M$20,0))),"")</f>
        <v/>
      </c>
      <c r="E750" s="27"/>
      <c r="F750" s="29"/>
      <c r="G750" s="25" t="str">
        <f>IFERROR(IF(C750="","",INDEX(마스터!$J$4:$J$20,MATCH(C750,마스터!$M$4:$M$20,0))),"")</f>
        <v/>
      </c>
      <c r="H750" s="30"/>
      <c r="I750" s="30"/>
      <c r="AC750" s="32">
        <f>IF(AND(E750&lt;&gt;"",C750&lt;&gt;"",COUNTIFS($C$8:C750,C750,$E$8:E750,E750)=1),1,0)</f>
        <v>0</v>
      </c>
    </row>
    <row r="751" spans="1:29" ht="15" customHeight="1" x14ac:dyDescent="0.25">
      <c r="A751" s="25" t="str">
        <f t="shared" si="11"/>
        <v/>
      </c>
      <c r="B751" s="26"/>
      <c r="C751" s="27"/>
      <c r="D751" s="28" t="str">
        <f>IFERROR(IF(C751="","",INDEX(마스터!$F$4:$F$20,MATCH(C751,마스터!$M$4:$M$20,0))),"")</f>
        <v/>
      </c>
      <c r="E751" s="27"/>
      <c r="F751" s="29"/>
      <c r="G751" s="25" t="str">
        <f>IFERROR(IF(C751="","",INDEX(마스터!$J$4:$J$20,MATCH(C751,마스터!$M$4:$M$20,0))),"")</f>
        <v/>
      </c>
      <c r="H751" s="30"/>
      <c r="I751" s="30"/>
      <c r="AC751" s="32">
        <f>IF(AND(E751&lt;&gt;"",C751&lt;&gt;"",COUNTIFS($C$8:C751,C751,$E$8:E751,E751)=1),1,0)</f>
        <v>0</v>
      </c>
    </row>
    <row r="752" spans="1:29" ht="15" customHeight="1" x14ac:dyDescent="0.25">
      <c r="A752" s="25" t="str">
        <f t="shared" si="11"/>
        <v/>
      </c>
      <c r="B752" s="26"/>
      <c r="C752" s="27"/>
      <c r="D752" s="28" t="str">
        <f>IFERROR(IF(C752="","",INDEX(마스터!$F$4:$F$20,MATCH(C752,마스터!$M$4:$M$20,0))),"")</f>
        <v/>
      </c>
      <c r="E752" s="27"/>
      <c r="F752" s="29"/>
      <c r="G752" s="25" t="str">
        <f>IFERROR(IF(C752="","",INDEX(마스터!$J$4:$J$20,MATCH(C752,마스터!$M$4:$M$20,0))),"")</f>
        <v/>
      </c>
      <c r="H752" s="30"/>
      <c r="I752" s="30"/>
      <c r="AC752" s="32">
        <f>IF(AND(E752&lt;&gt;"",C752&lt;&gt;"",COUNTIFS($C$8:C752,C752,$E$8:E752,E752)=1),1,0)</f>
        <v>0</v>
      </c>
    </row>
    <row r="753" spans="1:29" ht="15" customHeight="1" x14ac:dyDescent="0.25">
      <c r="A753" s="25" t="str">
        <f t="shared" si="11"/>
        <v/>
      </c>
      <c r="B753" s="26"/>
      <c r="C753" s="27"/>
      <c r="D753" s="28" t="str">
        <f>IFERROR(IF(C753="","",INDEX(마스터!$F$4:$F$20,MATCH(C753,마스터!$M$4:$M$20,0))),"")</f>
        <v/>
      </c>
      <c r="E753" s="27"/>
      <c r="F753" s="29"/>
      <c r="G753" s="25" t="str">
        <f>IFERROR(IF(C753="","",INDEX(마스터!$J$4:$J$20,MATCH(C753,마스터!$M$4:$M$20,0))),"")</f>
        <v/>
      </c>
      <c r="H753" s="30"/>
      <c r="I753" s="30"/>
      <c r="AC753" s="32">
        <f>IF(AND(E753&lt;&gt;"",C753&lt;&gt;"",COUNTIFS($C$8:C753,C753,$E$8:E753,E753)=1),1,0)</f>
        <v>0</v>
      </c>
    </row>
    <row r="754" spans="1:29" ht="15" customHeight="1" x14ac:dyDescent="0.25">
      <c r="A754" s="25" t="str">
        <f t="shared" si="11"/>
        <v/>
      </c>
      <c r="B754" s="26"/>
      <c r="C754" s="27"/>
      <c r="D754" s="28" t="str">
        <f>IFERROR(IF(C754="","",INDEX(마스터!$F$4:$F$20,MATCH(C754,마스터!$M$4:$M$20,0))),"")</f>
        <v/>
      </c>
      <c r="E754" s="27"/>
      <c r="F754" s="29"/>
      <c r="G754" s="25" t="str">
        <f>IFERROR(IF(C754="","",INDEX(마스터!$J$4:$J$20,MATCH(C754,마스터!$M$4:$M$20,0))),"")</f>
        <v/>
      </c>
      <c r="H754" s="30"/>
      <c r="I754" s="30"/>
      <c r="AC754" s="32">
        <f>IF(AND(E754&lt;&gt;"",C754&lt;&gt;"",COUNTIFS($C$8:C754,C754,$E$8:E754,E754)=1),1,0)</f>
        <v>0</v>
      </c>
    </row>
    <row r="755" spans="1:29" ht="15" customHeight="1" x14ac:dyDescent="0.25">
      <c r="A755" s="25" t="str">
        <f t="shared" si="11"/>
        <v/>
      </c>
      <c r="B755" s="26"/>
      <c r="C755" s="27"/>
      <c r="D755" s="28" t="str">
        <f>IFERROR(IF(C755="","",INDEX(마스터!$F$4:$F$20,MATCH(C755,마스터!$M$4:$M$20,0))),"")</f>
        <v/>
      </c>
      <c r="E755" s="27"/>
      <c r="F755" s="29"/>
      <c r="G755" s="25" t="str">
        <f>IFERROR(IF(C755="","",INDEX(마스터!$J$4:$J$20,MATCH(C755,마스터!$M$4:$M$20,0))),"")</f>
        <v/>
      </c>
      <c r="H755" s="30"/>
      <c r="I755" s="30"/>
      <c r="AC755" s="32">
        <f>IF(AND(E755&lt;&gt;"",C755&lt;&gt;"",COUNTIFS($C$8:C755,C755,$E$8:E755,E755)=1),1,0)</f>
        <v>0</v>
      </c>
    </row>
    <row r="756" spans="1:29" ht="15" customHeight="1" x14ac:dyDescent="0.25">
      <c r="A756" s="25" t="str">
        <f t="shared" si="11"/>
        <v/>
      </c>
      <c r="B756" s="26"/>
      <c r="C756" s="27"/>
      <c r="D756" s="28" t="str">
        <f>IFERROR(IF(C756="","",INDEX(마스터!$F$4:$F$20,MATCH(C756,마스터!$M$4:$M$20,0))),"")</f>
        <v/>
      </c>
      <c r="E756" s="27"/>
      <c r="F756" s="29"/>
      <c r="G756" s="25" t="str">
        <f>IFERROR(IF(C756="","",INDEX(마스터!$J$4:$J$20,MATCH(C756,마스터!$M$4:$M$20,0))),"")</f>
        <v/>
      </c>
      <c r="H756" s="30"/>
      <c r="I756" s="30"/>
      <c r="AC756" s="32">
        <f>IF(AND(E756&lt;&gt;"",C756&lt;&gt;"",COUNTIFS($C$8:C756,C756,$E$8:E756,E756)=1),1,0)</f>
        <v>0</v>
      </c>
    </row>
    <row r="757" spans="1:29" ht="15" customHeight="1" x14ac:dyDescent="0.25">
      <c r="A757" s="25" t="str">
        <f t="shared" si="11"/>
        <v/>
      </c>
      <c r="B757" s="26"/>
      <c r="C757" s="27"/>
      <c r="D757" s="28" t="str">
        <f>IFERROR(IF(C757="","",INDEX(마스터!$F$4:$F$20,MATCH(C757,마스터!$M$4:$M$20,0))),"")</f>
        <v/>
      </c>
      <c r="E757" s="27"/>
      <c r="F757" s="29"/>
      <c r="G757" s="25" t="str">
        <f>IFERROR(IF(C757="","",INDEX(마스터!$J$4:$J$20,MATCH(C757,마스터!$M$4:$M$20,0))),"")</f>
        <v/>
      </c>
      <c r="H757" s="30"/>
      <c r="I757" s="30"/>
      <c r="AC757" s="32">
        <f>IF(AND(E757&lt;&gt;"",C757&lt;&gt;"",COUNTIFS($C$8:C757,C757,$E$8:E757,E757)=1),1,0)</f>
        <v>0</v>
      </c>
    </row>
    <row r="758" spans="1:29" ht="15" customHeight="1" x14ac:dyDescent="0.25">
      <c r="A758" s="25" t="str">
        <f t="shared" si="11"/>
        <v/>
      </c>
      <c r="B758" s="26"/>
      <c r="C758" s="27"/>
      <c r="D758" s="28" t="str">
        <f>IFERROR(IF(C758="","",INDEX(마스터!$F$4:$F$20,MATCH(C758,마스터!$M$4:$M$20,0))),"")</f>
        <v/>
      </c>
      <c r="E758" s="27"/>
      <c r="F758" s="29"/>
      <c r="G758" s="25" t="str">
        <f>IFERROR(IF(C758="","",INDEX(마스터!$J$4:$J$20,MATCH(C758,마스터!$M$4:$M$20,0))),"")</f>
        <v/>
      </c>
      <c r="H758" s="30"/>
      <c r="I758" s="30"/>
      <c r="AC758" s="32">
        <f>IF(AND(E758&lt;&gt;"",C758&lt;&gt;"",COUNTIFS($C$8:C758,C758,$E$8:E758,E758)=1),1,0)</f>
        <v>0</v>
      </c>
    </row>
    <row r="759" spans="1:29" ht="15" customHeight="1" x14ac:dyDescent="0.25">
      <c r="A759" s="25" t="str">
        <f t="shared" si="11"/>
        <v/>
      </c>
      <c r="B759" s="26"/>
      <c r="C759" s="27"/>
      <c r="D759" s="28" t="str">
        <f>IFERROR(IF(C759="","",INDEX(마스터!$F$4:$F$20,MATCH(C759,마스터!$M$4:$M$20,0))),"")</f>
        <v/>
      </c>
      <c r="E759" s="27"/>
      <c r="F759" s="29"/>
      <c r="G759" s="25" t="str">
        <f>IFERROR(IF(C759="","",INDEX(마스터!$J$4:$J$20,MATCH(C759,마스터!$M$4:$M$20,0))),"")</f>
        <v/>
      </c>
      <c r="H759" s="30"/>
      <c r="I759" s="30"/>
      <c r="AC759" s="32">
        <f>IF(AND(E759&lt;&gt;"",C759&lt;&gt;"",COUNTIFS($C$8:C759,C759,$E$8:E759,E759)=1),1,0)</f>
        <v>0</v>
      </c>
    </row>
    <row r="760" spans="1:29" ht="15" customHeight="1" x14ac:dyDescent="0.25">
      <c r="A760" s="25" t="str">
        <f t="shared" si="11"/>
        <v/>
      </c>
      <c r="B760" s="26"/>
      <c r="C760" s="27"/>
      <c r="D760" s="28" t="str">
        <f>IFERROR(IF(C760="","",INDEX(마스터!$F$4:$F$20,MATCH(C760,마스터!$M$4:$M$20,0))),"")</f>
        <v/>
      </c>
      <c r="E760" s="27"/>
      <c r="F760" s="29"/>
      <c r="G760" s="25" t="str">
        <f>IFERROR(IF(C760="","",INDEX(마스터!$J$4:$J$20,MATCH(C760,마스터!$M$4:$M$20,0))),"")</f>
        <v/>
      </c>
      <c r="H760" s="30"/>
      <c r="I760" s="30"/>
      <c r="AC760" s="32">
        <f>IF(AND(E760&lt;&gt;"",C760&lt;&gt;"",COUNTIFS($C$8:C760,C760,$E$8:E760,E760)=1),1,0)</f>
        <v>0</v>
      </c>
    </row>
    <row r="761" spans="1:29" ht="15" customHeight="1" x14ac:dyDescent="0.25">
      <c r="A761" s="25" t="str">
        <f t="shared" si="11"/>
        <v/>
      </c>
      <c r="B761" s="26"/>
      <c r="C761" s="27"/>
      <c r="D761" s="28" t="str">
        <f>IFERROR(IF(C761="","",INDEX(마스터!$F$4:$F$20,MATCH(C761,마스터!$M$4:$M$20,0))),"")</f>
        <v/>
      </c>
      <c r="E761" s="27"/>
      <c r="F761" s="29"/>
      <c r="G761" s="25" t="str">
        <f>IFERROR(IF(C761="","",INDEX(마스터!$J$4:$J$20,MATCH(C761,마스터!$M$4:$M$20,0))),"")</f>
        <v/>
      </c>
      <c r="H761" s="30"/>
      <c r="I761" s="30"/>
      <c r="AC761" s="32">
        <f>IF(AND(E761&lt;&gt;"",C761&lt;&gt;"",COUNTIFS($C$8:C761,C761,$E$8:E761,E761)=1),1,0)</f>
        <v>0</v>
      </c>
    </row>
    <row r="762" spans="1:29" ht="15" customHeight="1" x14ac:dyDescent="0.25">
      <c r="A762" s="25" t="str">
        <f t="shared" si="11"/>
        <v/>
      </c>
      <c r="B762" s="26"/>
      <c r="C762" s="27"/>
      <c r="D762" s="28" t="str">
        <f>IFERROR(IF(C762="","",INDEX(마스터!$F$4:$F$20,MATCH(C762,마스터!$M$4:$M$20,0))),"")</f>
        <v/>
      </c>
      <c r="E762" s="27"/>
      <c r="F762" s="29"/>
      <c r="G762" s="25" t="str">
        <f>IFERROR(IF(C762="","",INDEX(마스터!$J$4:$J$20,MATCH(C762,마스터!$M$4:$M$20,0))),"")</f>
        <v/>
      </c>
      <c r="H762" s="30"/>
      <c r="I762" s="30"/>
      <c r="AC762" s="32">
        <f>IF(AND(E762&lt;&gt;"",C762&lt;&gt;"",COUNTIFS($C$8:C762,C762,$E$8:E762,E762)=1),1,0)</f>
        <v>0</v>
      </c>
    </row>
    <row r="763" spans="1:29" ht="15" customHeight="1" x14ac:dyDescent="0.25">
      <c r="A763" s="25" t="str">
        <f t="shared" si="11"/>
        <v/>
      </c>
      <c r="B763" s="26"/>
      <c r="C763" s="27"/>
      <c r="D763" s="28" t="str">
        <f>IFERROR(IF(C763="","",INDEX(마스터!$F$4:$F$20,MATCH(C763,마스터!$M$4:$M$20,0))),"")</f>
        <v/>
      </c>
      <c r="E763" s="27"/>
      <c r="F763" s="29"/>
      <c r="G763" s="25" t="str">
        <f>IFERROR(IF(C763="","",INDEX(마스터!$J$4:$J$20,MATCH(C763,마스터!$M$4:$M$20,0))),"")</f>
        <v/>
      </c>
      <c r="H763" s="30"/>
      <c r="I763" s="30"/>
      <c r="AC763" s="32">
        <f>IF(AND(E763&lt;&gt;"",C763&lt;&gt;"",COUNTIFS($C$8:C763,C763,$E$8:E763,E763)=1),1,0)</f>
        <v>0</v>
      </c>
    </row>
    <row r="764" spans="1:29" ht="15" customHeight="1" x14ac:dyDescent="0.25">
      <c r="A764" s="25" t="str">
        <f t="shared" si="11"/>
        <v/>
      </c>
      <c r="B764" s="26"/>
      <c r="C764" s="27"/>
      <c r="D764" s="28" t="str">
        <f>IFERROR(IF(C764="","",INDEX(마스터!$F$4:$F$20,MATCH(C764,마스터!$M$4:$M$20,0))),"")</f>
        <v/>
      </c>
      <c r="E764" s="27"/>
      <c r="F764" s="29"/>
      <c r="G764" s="25" t="str">
        <f>IFERROR(IF(C764="","",INDEX(마스터!$J$4:$J$20,MATCH(C764,마스터!$M$4:$M$20,0))),"")</f>
        <v/>
      </c>
      <c r="H764" s="30"/>
      <c r="I764" s="30"/>
      <c r="AC764" s="32">
        <f>IF(AND(E764&lt;&gt;"",C764&lt;&gt;"",COUNTIFS($C$8:C764,C764,$E$8:E764,E764)=1),1,0)</f>
        <v>0</v>
      </c>
    </row>
    <row r="765" spans="1:29" ht="15" customHeight="1" x14ac:dyDescent="0.25">
      <c r="A765" s="25" t="str">
        <f t="shared" si="11"/>
        <v/>
      </c>
      <c r="B765" s="26"/>
      <c r="C765" s="27"/>
      <c r="D765" s="28" t="str">
        <f>IFERROR(IF(C765="","",INDEX(마스터!$F$4:$F$20,MATCH(C765,마스터!$M$4:$M$20,0))),"")</f>
        <v/>
      </c>
      <c r="E765" s="27"/>
      <c r="F765" s="29"/>
      <c r="G765" s="25" t="str">
        <f>IFERROR(IF(C765="","",INDEX(마스터!$J$4:$J$20,MATCH(C765,마스터!$M$4:$M$20,0))),"")</f>
        <v/>
      </c>
      <c r="H765" s="30"/>
      <c r="I765" s="30"/>
      <c r="AC765" s="32">
        <f>IF(AND(E765&lt;&gt;"",C765&lt;&gt;"",COUNTIFS($C$8:C765,C765,$E$8:E765,E765)=1),1,0)</f>
        <v>0</v>
      </c>
    </row>
    <row r="766" spans="1:29" ht="15" customHeight="1" x14ac:dyDescent="0.25">
      <c r="A766" s="25" t="str">
        <f t="shared" si="11"/>
        <v/>
      </c>
      <c r="B766" s="26"/>
      <c r="C766" s="27"/>
      <c r="D766" s="28" t="str">
        <f>IFERROR(IF(C766="","",INDEX(마스터!$F$4:$F$20,MATCH(C766,마스터!$M$4:$M$20,0))),"")</f>
        <v/>
      </c>
      <c r="E766" s="27"/>
      <c r="F766" s="29"/>
      <c r="G766" s="25" t="str">
        <f>IFERROR(IF(C766="","",INDEX(마스터!$J$4:$J$20,MATCH(C766,마스터!$M$4:$M$20,0))),"")</f>
        <v/>
      </c>
      <c r="H766" s="30"/>
      <c r="I766" s="30"/>
      <c r="AC766" s="32">
        <f>IF(AND(E766&lt;&gt;"",C766&lt;&gt;"",COUNTIFS($C$8:C766,C766,$E$8:E766,E766)=1),1,0)</f>
        <v>0</v>
      </c>
    </row>
    <row r="767" spans="1:29" ht="15" customHeight="1" x14ac:dyDescent="0.25">
      <c r="A767" s="25" t="str">
        <f t="shared" si="11"/>
        <v/>
      </c>
      <c r="B767" s="26"/>
      <c r="C767" s="27"/>
      <c r="D767" s="28" t="str">
        <f>IFERROR(IF(C767="","",INDEX(마스터!$F$4:$F$20,MATCH(C767,마스터!$M$4:$M$20,0))),"")</f>
        <v/>
      </c>
      <c r="E767" s="27"/>
      <c r="F767" s="29"/>
      <c r="G767" s="25" t="str">
        <f>IFERROR(IF(C767="","",INDEX(마스터!$J$4:$J$20,MATCH(C767,마스터!$M$4:$M$20,0))),"")</f>
        <v/>
      </c>
      <c r="H767" s="30"/>
      <c r="I767" s="30"/>
      <c r="AC767" s="32">
        <f>IF(AND(E767&lt;&gt;"",C767&lt;&gt;"",COUNTIFS($C$8:C767,C767,$E$8:E767,E767)=1),1,0)</f>
        <v>0</v>
      </c>
    </row>
    <row r="768" spans="1:29" ht="15" customHeight="1" x14ac:dyDescent="0.25">
      <c r="A768" s="25" t="str">
        <f t="shared" si="11"/>
        <v/>
      </c>
      <c r="B768" s="26"/>
      <c r="C768" s="27"/>
      <c r="D768" s="28" t="str">
        <f>IFERROR(IF(C768="","",INDEX(마스터!$F$4:$F$20,MATCH(C768,마스터!$M$4:$M$20,0))),"")</f>
        <v/>
      </c>
      <c r="E768" s="27"/>
      <c r="F768" s="29"/>
      <c r="G768" s="25" t="str">
        <f>IFERROR(IF(C768="","",INDEX(마스터!$J$4:$J$20,MATCH(C768,마스터!$M$4:$M$20,0))),"")</f>
        <v/>
      </c>
      <c r="H768" s="30"/>
      <c r="I768" s="30"/>
      <c r="AC768" s="32">
        <f>IF(AND(E768&lt;&gt;"",C768&lt;&gt;"",COUNTIFS($C$8:C768,C768,$E$8:E768,E768)=1),1,0)</f>
        <v>0</v>
      </c>
    </row>
    <row r="769" spans="1:29" ht="15" customHeight="1" x14ac:dyDescent="0.25">
      <c r="A769" s="25" t="str">
        <f t="shared" si="11"/>
        <v/>
      </c>
      <c r="B769" s="26"/>
      <c r="C769" s="27"/>
      <c r="D769" s="28" t="str">
        <f>IFERROR(IF(C769="","",INDEX(마스터!$F$4:$F$20,MATCH(C769,마스터!$M$4:$M$20,0))),"")</f>
        <v/>
      </c>
      <c r="E769" s="27"/>
      <c r="F769" s="29"/>
      <c r="G769" s="25" t="str">
        <f>IFERROR(IF(C769="","",INDEX(마스터!$J$4:$J$20,MATCH(C769,마스터!$M$4:$M$20,0))),"")</f>
        <v/>
      </c>
      <c r="H769" s="30"/>
      <c r="I769" s="30"/>
      <c r="AC769" s="32">
        <f>IF(AND(E769&lt;&gt;"",C769&lt;&gt;"",COUNTIFS($C$8:C769,C769,$E$8:E769,E769)=1),1,0)</f>
        <v>0</v>
      </c>
    </row>
    <row r="770" spans="1:29" ht="15" customHeight="1" x14ac:dyDescent="0.25">
      <c r="A770" s="25" t="str">
        <f t="shared" si="11"/>
        <v/>
      </c>
      <c r="B770" s="26"/>
      <c r="C770" s="27"/>
      <c r="D770" s="28" t="str">
        <f>IFERROR(IF(C770="","",INDEX(마스터!$F$4:$F$20,MATCH(C770,마스터!$M$4:$M$20,0))),"")</f>
        <v/>
      </c>
      <c r="E770" s="27"/>
      <c r="F770" s="29"/>
      <c r="G770" s="25" t="str">
        <f>IFERROR(IF(C770="","",INDEX(마스터!$J$4:$J$20,MATCH(C770,마스터!$M$4:$M$20,0))),"")</f>
        <v/>
      </c>
      <c r="H770" s="30"/>
      <c r="I770" s="30"/>
      <c r="AC770" s="32">
        <f>IF(AND(E770&lt;&gt;"",C770&lt;&gt;"",COUNTIFS($C$8:C770,C770,$E$8:E770,E770)=1),1,0)</f>
        <v>0</v>
      </c>
    </row>
    <row r="771" spans="1:29" ht="15" customHeight="1" x14ac:dyDescent="0.25">
      <c r="A771" s="25" t="str">
        <f t="shared" si="11"/>
        <v/>
      </c>
      <c r="B771" s="26"/>
      <c r="C771" s="27"/>
      <c r="D771" s="28" t="str">
        <f>IFERROR(IF(C771="","",INDEX(마스터!$F$4:$F$20,MATCH(C771,마스터!$M$4:$M$20,0))),"")</f>
        <v/>
      </c>
      <c r="E771" s="27"/>
      <c r="F771" s="29"/>
      <c r="G771" s="25" t="str">
        <f>IFERROR(IF(C771="","",INDEX(마스터!$J$4:$J$20,MATCH(C771,마스터!$M$4:$M$20,0))),"")</f>
        <v/>
      </c>
      <c r="H771" s="30"/>
      <c r="I771" s="30"/>
      <c r="AC771" s="32">
        <f>IF(AND(E771&lt;&gt;"",C771&lt;&gt;"",COUNTIFS($C$8:C771,C771,$E$8:E771,E771)=1),1,0)</f>
        <v>0</v>
      </c>
    </row>
    <row r="772" spans="1:29" ht="15" customHeight="1" x14ac:dyDescent="0.25">
      <c r="A772" s="25" t="str">
        <f t="shared" si="11"/>
        <v/>
      </c>
      <c r="B772" s="26"/>
      <c r="C772" s="27"/>
      <c r="D772" s="28" t="str">
        <f>IFERROR(IF(C772="","",INDEX(마스터!$F$4:$F$20,MATCH(C772,마스터!$M$4:$M$20,0))),"")</f>
        <v/>
      </c>
      <c r="E772" s="27"/>
      <c r="F772" s="29"/>
      <c r="G772" s="25" t="str">
        <f>IFERROR(IF(C772="","",INDEX(마스터!$J$4:$J$20,MATCH(C772,마스터!$M$4:$M$20,0))),"")</f>
        <v/>
      </c>
      <c r="H772" s="30"/>
      <c r="I772" s="30"/>
      <c r="AC772" s="32">
        <f>IF(AND(E772&lt;&gt;"",C772&lt;&gt;"",COUNTIFS($C$8:C772,C772,$E$8:E772,E772)=1),1,0)</f>
        <v>0</v>
      </c>
    </row>
    <row r="773" spans="1:29" ht="15" customHeight="1" x14ac:dyDescent="0.25">
      <c r="A773" s="25" t="str">
        <f t="shared" si="11"/>
        <v/>
      </c>
      <c r="B773" s="26"/>
      <c r="C773" s="27"/>
      <c r="D773" s="28" t="str">
        <f>IFERROR(IF(C773="","",INDEX(마스터!$F$4:$F$20,MATCH(C773,마스터!$M$4:$M$20,0))),"")</f>
        <v/>
      </c>
      <c r="E773" s="27"/>
      <c r="F773" s="29"/>
      <c r="G773" s="25" t="str">
        <f>IFERROR(IF(C773="","",INDEX(마스터!$J$4:$J$20,MATCH(C773,마스터!$M$4:$M$20,0))),"")</f>
        <v/>
      </c>
      <c r="H773" s="30"/>
      <c r="I773" s="30"/>
      <c r="AC773" s="32">
        <f>IF(AND(E773&lt;&gt;"",C773&lt;&gt;"",COUNTIFS($C$8:C773,C773,$E$8:E773,E773)=1),1,0)</f>
        <v>0</v>
      </c>
    </row>
    <row r="774" spans="1:29" ht="15" customHeight="1" x14ac:dyDescent="0.25">
      <c r="A774" s="25" t="str">
        <f t="shared" si="11"/>
        <v/>
      </c>
      <c r="B774" s="26"/>
      <c r="C774" s="27"/>
      <c r="D774" s="28" t="str">
        <f>IFERROR(IF(C774="","",INDEX(마스터!$F$4:$F$20,MATCH(C774,마스터!$M$4:$M$20,0))),"")</f>
        <v/>
      </c>
      <c r="E774" s="27"/>
      <c r="F774" s="29"/>
      <c r="G774" s="25" t="str">
        <f>IFERROR(IF(C774="","",INDEX(마스터!$J$4:$J$20,MATCH(C774,마스터!$M$4:$M$20,0))),"")</f>
        <v/>
      </c>
      <c r="H774" s="30"/>
      <c r="I774" s="30"/>
      <c r="AC774" s="32">
        <f>IF(AND(E774&lt;&gt;"",C774&lt;&gt;"",COUNTIFS($C$8:C774,C774,$E$8:E774,E774)=1),1,0)</f>
        <v>0</v>
      </c>
    </row>
    <row r="775" spans="1:29" ht="15" customHeight="1" x14ac:dyDescent="0.25">
      <c r="A775" s="25" t="str">
        <f t="shared" si="11"/>
        <v/>
      </c>
      <c r="B775" s="26"/>
      <c r="C775" s="27"/>
      <c r="D775" s="28" t="str">
        <f>IFERROR(IF(C775="","",INDEX(마스터!$F$4:$F$20,MATCH(C775,마스터!$M$4:$M$20,0))),"")</f>
        <v/>
      </c>
      <c r="E775" s="27"/>
      <c r="F775" s="29"/>
      <c r="G775" s="25" t="str">
        <f>IFERROR(IF(C775="","",INDEX(마스터!$J$4:$J$20,MATCH(C775,마스터!$M$4:$M$20,0))),"")</f>
        <v/>
      </c>
      <c r="H775" s="30"/>
      <c r="I775" s="30"/>
      <c r="AC775" s="32">
        <f>IF(AND(E775&lt;&gt;"",C775&lt;&gt;"",COUNTIFS($C$8:C775,C775,$E$8:E775,E775)=1),1,0)</f>
        <v>0</v>
      </c>
    </row>
    <row r="776" spans="1:29" ht="15" customHeight="1" x14ac:dyDescent="0.25">
      <c r="A776" s="25" t="str">
        <f t="shared" ref="A776:A839" si="12">IF(B776="","",ROW()-7)</f>
        <v/>
      </c>
      <c r="B776" s="26"/>
      <c r="C776" s="27"/>
      <c r="D776" s="28" t="str">
        <f>IFERROR(IF(C776="","",INDEX(마스터!$F$4:$F$20,MATCH(C776,마스터!$M$4:$M$20,0))),"")</f>
        <v/>
      </c>
      <c r="E776" s="27"/>
      <c r="F776" s="29"/>
      <c r="G776" s="25" t="str">
        <f>IFERROR(IF(C776="","",INDEX(마스터!$J$4:$J$20,MATCH(C776,마스터!$M$4:$M$20,0))),"")</f>
        <v/>
      </c>
      <c r="H776" s="30"/>
      <c r="I776" s="30"/>
      <c r="AC776" s="32">
        <f>IF(AND(E776&lt;&gt;"",C776&lt;&gt;"",COUNTIFS($C$8:C776,C776,$E$8:E776,E776)=1),1,0)</f>
        <v>0</v>
      </c>
    </row>
    <row r="777" spans="1:29" ht="15" customHeight="1" x14ac:dyDescent="0.25">
      <c r="A777" s="25" t="str">
        <f t="shared" si="12"/>
        <v/>
      </c>
      <c r="B777" s="26"/>
      <c r="C777" s="27"/>
      <c r="D777" s="28" t="str">
        <f>IFERROR(IF(C777="","",INDEX(마스터!$F$4:$F$20,MATCH(C777,마스터!$M$4:$M$20,0))),"")</f>
        <v/>
      </c>
      <c r="E777" s="27"/>
      <c r="F777" s="29"/>
      <c r="G777" s="25" t="str">
        <f>IFERROR(IF(C777="","",INDEX(마스터!$J$4:$J$20,MATCH(C777,마스터!$M$4:$M$20,0))),"")</f>
        <v/>
      </c>
      <c r="H777" s="30"/>
      <c r="I777" s="30"/>
      <c r="AC777" s="32">
        <f>IF(AND(E777&lt;&gt;"",C777&lt;&gt;"",COUNTIFS($C$8:C777,C777,$E$8:E777,E777)=1),1,0)</f>
        <v>0</v>
      </c>
    </row>
    <row r="778" spans="1:29" ht="15" customHeight="1" x14ac:dyDescent="0.25">
      <c r="A778" s="25" t="str">
        <f t="shared" si="12"/>
        <v/>
      </c>
      <c r="B778" s="26"/>
      <c r="C778" s="27"/>
      <c r="D778" s="28" t="str">
        <f>IFERROR(IF(C778="","",INDEX(마스터!$F$4:$F$20,MATCH(C778,마스터!$M$4:$M$20,0))),"")</f>
        <v/>
      </c>
      <c r="E778" s="27"/>
      <c r="F778" s="29"/>
      <c r="G778" s="25" t="str">
        <f>IFERROR(IF(C778="","",INDEX(마스터!$J$4:$J$20,MATCH(C778,마스터!$M$4:$M$20,0))),"")</f>
        <v/>
      </c>
      <c r="H778" s="30"/>
      <c r="I778" s="30"/>
      <c r="AC778" s="32">
        <f>IF(AND(E778&lt;&gt;"",C778&lt;&gt;"",COUNTIFS($C$8:C778,C778,$E$8:E778,E778)=1),1,0)</f>
        <v>0</v>
      </c>
    </row>
    <row r="779" spans="1:29" ht="15" customHeight="1" x14ac:dyDescent="0.25">
      <c r="A779" s="25" t="str">
        <f t="shared" si="12"/>
        <v/>
      </c>
      <c r="B779" s="26"/>
      <c r="C779" s="27"/>
      <c r="D779" s="28" t="str">
        <f>IFERROR(IF(C779="","",INDEX(마스터!$F$4:$F$20,MATCH(C779,마스터!$M$4:$M$20,0))),"")</f>
        <v/>
      </c>
      <c r="E779" s="27"/>
      <c r="F779" s="29"/>
      <c r="G779" s="25" t="str">
        <f>IFERROR(IF(C779="","",INDEX(마스터!$J$4:$J$20,MATCH(C779,마스터!$M$4:$M$20,0))),"")</f>
        <v/>
      </c>
      <c r="H779" s="30"/>
      <c r="I779" s="30"/>
      <c r="AC779" s="32">
        <f>IF(AND(E779&lt;&gt;"",C779&lt;&gt;"",COUNTIFS($C$8:C779,C779,$E$8:E779,E779)=1),1,0)</f>
        <v>0</v>
      </c>
    </row>
    <row r="780" spans="1:29" ht="15" customHeight="1" x14ac:dyDescent="0.25">
      <c r="A780" s="25" t="str">
        <f t="shared" si="12"/>
        <v/>
      </c>
      <c r="B780" s="26"/>
      <c r="C780" s="27"/>
      <c r="D780" s="28" t="str">
        <f>IFERROR(IF(C780="","",INDEX(마스터!$F$4:$F$20,MATCH(C780,마스터!$M$4:$M$20,0))),"")</f>
        <v/>
      </c>
      <c r="E780" s="27"/>
      <c r="F780" s="29"/>
      <c r="G780" s="25" t="str">
        <f>IFERROR(IF(C780="","",INDEX(마스터!$J$4:$J$20,MATCH(C780,마스터!$M$4:$M$20,0))),"")</f>
        <v/>
      </c>
      <c r="H780" s="30"/>
      <c r="I780" s="30"/>
      <c r="AC780" s="32">
        <f>IF(AND(E780&lt;&gt;"",C780&lt;&gt;"",COUNTIFS($C$8:C780,C780,$E$8:E780,E780)=1),1,0)</f>
        <v>0</v>
      </c>
    </row>
    <row r="781" spans="1:29" ht="15" customHeight="1" x14ac:dyDescent="0.25">
      <c r="A781" s="25" t="str">
        <f t="shared" si="12"/>
        <v/>
      </c>
      <c r="B781" s="26"/>
      <c r="C781" s="27"/>
      <c r="D781" s="28" t="str">
        <f>IFERROR(IF(C781="","",INDEX(마스터!$F$4:$F$20,MATCH(C781,마스터!$M$4:$M$20,0))),"")</f>
        <v/>
      </c>
      <c r="E781" s="27"/>
      <c r="F781" s="29"/>
      <c r="G781" s="25" t="str">
        <f>IFERROR(IF(C781="","",INDEX(마스터!$J$4:$J$20,MATCH(C781,마스터!$M$4:$M$20,0))),"")</f>
        <v/>
      </c>
      <c r="H781" s="30"/>
      <c r="I781" s="30"/>
      <c r="AC781" s="32">
        <f>IF(AND(E781&lt;&gt;"",C781&lt;&gt;"",COUNTIFS($C$8:C781,C781,$E$8:E781,E781)=1),1,0)</f>
        <v>0</v>
      </c>
    </row>
    <row r="782" spans="1:29" ht="15" customHeight="1" x14ac:dyDescent="0.25">
      <c r="A782" s="25" t="str">
        <f t="shared" si="12"/>
        <v/>
      </c>
      <c r="B782" s="26"/>
      <c r="C782" s="27"/>
      <c r="D782" s="28" t="str">
        <f>IFERROR(IF(C782="","",INDEX(마스터!$F$4:$F$20,MATCH(C782,마스터!$M$4:$M$20,0))),"")</f>
        <v/>
      </c>
      <c r="E782" s="27"/>
      <c r="F782" s="29"/>
      <c r="G782" s="25" t="str">
        <f>IFERROR(IF(C782="","",INDEX(마스터!$J$4:$J$20,MATCH(C782,마스터!$M$4:$M$20,0))),"")</f>
        <v/>
      </c>
      <c r="H782" s="30"/>
      <c r="I782" s="30"/>
      <c r="AC782" s="32">
        <f>IF(AND(E782&lt;&gt;"",C782&lt;&gt;"",COUNTIFS($C$8:C782,C782,$E$8:E782,E782)=1),1,0)</f>
        <v>0</v>
      </c>
    </row>
    <row r="783" spans="1:29" ht="15" customHeight="1" x14ac:dyDescent="0.25">
      <c r="A783" s="25" t="str">
        <f t="shared" si="12"/>
        <v/>
      </c>
      <c r="B783" s="26"/>
      <c r="C783" s="27"/>
      <c r="D783" s="28" t="str">
        <f>IFERROR(IF(C783="","",INDEX(마스터!$F$4:$F$20,MATCH(C783,마스터!$M$4:$M$20,0))),"")</f>
        <v/>
      </c>
      <c r="E783" s="27"/>
      <c r="F783" s="29"/>
      <c r="G783" s="25" t="str">
        <f>IFERROR(IF(C783="","",INDEX(마스터!$J$4:$J$20,MATCH(C783,마스터!$M$4:$M$20,0))),"")</f>
        <v/>
      </c>
      <c r="H783" s="30"/>
      <c r="I783" s="30"/>
      <c r="AC783" s="32">
        <f>IF(AND(E783&lt;&gt;"",C783&lt;&gt;"",COUNTIFS($C$8:C783,C783,$E$8:E783,E783)=1),1,0)</f>
        <v>0</v>
      </c>
    </row>
    <row r="784" spans="1:29" ht="15" customHeight="1" x14ac:dyDescent="0.25">
      <c r="A784" s="25" t="str">
        <f t="shared" si="12"/>
        <v/>
      </c>
      <c r="B784" s="26"/>
      <c r="C784" s="27"/>
      <c r="D784" s="28" t="str">
        <f>IFERROR(IF(C784="","",INDEX(마스터!$F$4:$F$20,MATCH(C784,마스터!$M$4:$M$20,0))),"")</f>
        <v/>
      </c>
      <c r="E784" s="27"/>
      <c r="F784" s="29"/>
      <c r="G784" s="25" t="str">
        <f>IFERROR(IF(C784="","",INDEX(마스터!$J$4:$J$20,MATCH(C784,마스터!$M$4:$M$20,0))),"")</f>
        <v/>
      </c>
      <c r="H784" s="30"/>
      <c r="I784" s="30"/>
      <c r="AC784" s="32">
        <f>IF(AND(E784&lt;&gt;"",C784&lt;&gt;"",COUNTIFS($C$8:C784,C784,$E$8:E784,E784)=1),1,0)</f>
        <v>0</v>
      </c>
    </row>
    <row r="785" spans="1:29" ht="15" customHeight="1" x14ac:dyDescent="0.25">
      <c r="A785" s="25" t="str">
        <f t="shared" si="12"/>
        <v/>
      </c>
      <c r="B785" s="26"/>
      <c r="C785" s="27"/>
      <c r="D785" s="28" t="str">
        <f>IFERROR(IF(C785="","",INDEX(마스터!$F$4:$F$20,MATCH(C785,마스터!$M$4:$M$20,0))),"")</f>
        <v/>
      </c>
      <c r="E785" s="27"/>
      <c r="F785" s="29"/>
      <c r="G785" s="25" t="str">
        <f>IFERROR(IF(C785="","",INDEX(마스터!$J$4:$J$20,MATCH(C785,마스터!$M$4:$M$20,0))),"")</f>
        <v/>
      </c>
      <c r="H785" s="30"/>
      <c r="I785" s="30"/>
      <c r="AC785" s="32">
        <f>IF(AND(E785&lt;&gt;"",C785&lt;&gt;"",COUNTIFS($C$8:C785,C785,$E$8:E785,E785)=1),1,0)</f>
        <v>0</v>
      </c>
    </row>
    <row r="786" spans="1:29" ht="15" customHeight="1" x14ac:dyDescent="0.25">
      <c r="A786" s="25" t="str">
        <f t="shared" si="12"/>
        <v/>
      </c>
      <c r="B786" s="26"/>
      <c r="C786" s="27"/>
      <c r="D786" s="28" t="str">
        <f>IFERROR(IF(C786="","",INDEX(마스터!$F$4:$F$20,MATCH(C786,마스터!$M$4:$M$20,0))),"")</f>
        <v/>
      </c>
      <c r="E786" s="27"/>
      <c r="F786" s="29"/>
      <c r="G786" s="25" t="str">
        <f>IFERROR(IF(C786="","",INDEX(마스터!$J$4:$J$20,MATCH(C786,마스터!$M$4:$M$20,0))),"")</f>
        <v/>
      </c>
      <c r="H786" s="30"/>
      <c r="I786" s="30"/>
      <c r="AC786" s="32">
        <f>IF(AND(E786&lt;&gt;"",C786&lt;&gt;"",COUNTIFS($C$8:C786,C786,$E$8:E786,E786)=1),1,0)</f>
        <v>0</v>
      </c>
    </row>
    <row r="787" spans="1:29" ht="15" customHeight="1" x14ac:dyDescent="0.25">
      <c r="A787" s="25" t="str">
        <f t="shared" si="12"/>
        <v/>
      </c>
      <c r="B787" s="26"/>
      <c r="C787" s="27"/>
      <c r="D787" s="28" t="str">
        <f>IFERROR(IF(C787="","",INDEX(마스터!$F$4:$F$20,MATCH(C787,마스터!$M$4:$M$20,0))),"")</f>
        <v/>
      </c>
      <c r="E787" s="27"/>
      <c r="F787" s="29"/>
      <c r="G787" s="25" t="str">
        <f>IFERROR(IF(C787="","",INDEX(마스터!$J$4:$J$20,MATCH(C787,마스터!$M$4:$M$20,0))),"")</f>
        <v/>
      </c>
      <c r="H787" s="30"/>
      <c r="I787" s="30"/>
      <c r="AC787" s="32">
        <f>IF(AND(E787&lt;&gt;"",C787&lt;&gt;"",COUNTIFS($C$8:C787,C787,$E$8:E787,E787)=1),1,0)</f>
        <v>0</v>
      </c>
    </row>
    <row r="788" spans="1:29" ht="15" customHeight="1" x14ac:dyDescent="0.25">
      <c r="A788" s="25" t="str">
        <f t="shared" si="12"/>
        <v/>
      </c>
      <c r="B788" s="26"/>
      <c r="C788" s="27"/>
      <c r="D788" s="28" t="str">
        <f>IFERROR(IF(C788="","",INDEX(마스터!$F$4:$F$20,MATCH(C788,마스터!$M$4:$M$20,0))),"")</f>
        <v/>
      </c>
      <c r="E788" s="27"/>
      <c r="F788" s="29"/>
      <c r="G788" s="25" t="str">
        <f>IFERROR(IF(C788="","",INDEX(마스터!$J$4:$J$20,MATCH(C788,마스터!$M$4:$M$20,0))),"")</f>
        <v/>
      </c>
      <c r="H788" s="30"/>
      <c r="I788" s="30"/>
      <c r="AC788" s="32">
        <f>IF(AND(E788&lt;&gt;"",C788&lt;&gt;"",COUNTIFS($C$8:C788,C788,$E$8:E788,E788)=1),1,0)</f>
        <v>0</v>
      </c>
    </row>
    <row r="789" spans="1:29" ht="15" customHeight="1" x14ac:dyDescent="0.25">
      <c r="A789" s="25" t="str">
        <f t="shared" si="12"/>
        <v/>
      </c>
      <c r="B789" s="26"/>
      <c r="C789" s="27"/>
      <c r="D789" s="28" t="str">
        <f>IFERROR(IF(C789="","",INDEX(마스터!$F$4:$F$20,MATCH(C789,마스터!$M$4:$M$20,0))),"")</f>
        <v/>
      </c>
      <c r="E789" s="27"/>
      <c r="F789" s="29"/>
      <c r="G789" s="25" t="str">
        <f>IFERROR(IF(C789="","",INDEX(마스터!$J$4:$J$20,MATCH(C789,마스터!$M$4:$M$20,0))),"")</f>
        <v/>
      </c>
      <c r="H789" s="30"/>
      <c r="I789" s="30"/>
      <c r="AC789" s="32">
        <f>IF(AND(E789&lt;&gt;"",C789&lt;&gt;"",COUNTIFS($C$8:C789,C789,$E$8:E789,E789)=1),1,0)</f>
        <v>0</v>
      </c>
    </row>
    <row r="790" spans="1:29" ht="15" customHeight="1" x14ac:dyDescent="0.25">
      <c r="A790" s="25" t="str">
        <f t="shared" si="12"/>
        <v/>
      </c>
      <c r="B790" s="26"/>
      <c r="C790" s="27"/>
      <c r="D790" s="28" t="str">
        <f>IFERROR(IF(C790="","",INDEX(마스터!$F$4:$F$20,MATCH(C790,마스터!$M$4:$M$20,0))),"")</f>
        <v/>
      </c>
      <c r="E790" s="27"/>
      <c r="F790" s="29"/>
      <c r="G790" s="25" t="str">
        <f>IFERROR(IF(C790="","",INDEX(마스터!$J$4:$J$20,MATCH(C790,마스터!$M$4:$M$20,0))),"")</f>
        <v/>
      </c>
      <c r="H790" s="30"/>
      <c r="I790" s="30"/>
      <c r="AC790" s="32">
        <f>IF(AND(E790&lt;&gt;"",C790&lt;&gt;"",COUNTIFS($C$8:C790,C790,$E$8:E790,E790)=1),1,0)</f>
        <v>0</v>
      </c>
    </row>
    <row r="791" spans="1:29" ht="15" customHeight="1" x14ac:dyDescent="0.25">
      <c r="A791" s="25" t="str">
        <f t="shared" si="12"/>
        <v/>
      </c>
      <c r="B791" s="26"/>
      <c r="C791" s="27"/>
      <c r="D791" s="28" t="str">
        <f>IFERROR(IF(C791="","",INDEX(마스터!$F$4:$F$20,MATCH(C791,마스터!$M$4:$M$20,0))),"")</f>
        <v/>
      </c>
      <c r="E791" s="27"/>
      <c r="F791" s="29"/>
      <c r="G791" s="25" t="str">
        <f>IFERROR(IF(C791="","",INDEX(마스터!$J$4:$J$20,MATCH(C791,마스터!$M$4:$M$20,0))),"")</f>
        <v/>
      </c>
      <c r="H791" s="30"/>
      <c r="I791" s="30"/>
      <c r="AC791" s="32">
        <f>IF(AND(E791&lt;&gt;"",C791&lt;&gt;"",COUNTIFS($C$8:C791,C791,$E$8:E791,E791)=1),1,0)</f>
        <v>0</v>
      </c>
    </row>
    <row r="792" spans="1:29" ht="15" customHeight="1" x14ac:dyDescent="0.25">
      <c r="A792" s="25" t="str">
        <f t="shared" si="12"/>
        <v/>
      </c>
      <c r="B792" s="26"/>
      <c r="C792" s="27"/>
      <c r="D792" s="28" t="str">
        <f>IFERROR(IF(C792="","",INDEX(마스터!$F$4:$F$20,MATCH(C792,마스터!$M$4:$M$20,0))),"")</f>
        <v/>
      </c>
      <c r="E792" s="27"/>
      <c r="F792" s="29"/>
      <c r="G792" s="25" t="str">
        <f>IFERROR(IF(C792="","",INDEX(마스터!$J$4:$J$20,MATCH(C792,마스터!$M$4:$M$20,0))),"")</f>
        <v/>
      </c>
      <c r="H792" s="30"/>
      <c r="I792" s="30"/>
      <c r="AC792" s="32">
        <f>IF(AND(E792&lt;&gt;"",C792&lt;&gt;"",COUNTIFS($C$8:C792,C792,$E$8:E792,E792)=1),1,0)</f>
        <v>0</v>
      </c>
    </row>
    <row r="793" spans="1:29" ht="15" customHeight="1" x14ac:dyDescent="0.25">
      <c r="A793" s="25" t="str">
        <f t="shared" si="12"/>
        <v/>
      </c>
      <c r="B793" s="26"/>
      <c r="C793" s="27"/>
      <c r="D793" s="28" t="str">
        <f>IFERROR(IF(C793="","",INDEX(마스터!$F$4:$F$20,MATCH(C793,마스터!$M$4:$M$20,0))),"")</f>
        <v/>
      </c>
      <c r="E793" s="27"/>
      <c r="F793" s="29"/>
      <c r="G793" s="25" t="str">
        <f>IFERROR(IF(C793="","",INDEX(마스터!$J$4:$J$20,MATCH(C793,마스터!$M$4:$M$20,0))),"")</f>
        <v/>
      </c>
      <c r="H793" s="30"/>
      <c r="I793" s="30"/>
      <c r="AC793" s="32">
        <f>IF(AND(E793&lt;&gt;"",C793&lt;&gt;"",COUNTIFS($C$8:C793,C793,$E$8:E793,E793)=1),1,0)</f>
        <v>0</v>
      </c>
    </row>
    <row r="794" spans="1:29" ht="15" customHeight="1" x14ac:dyDescent="0.25">
      <c r="A794" s="25" t="str">
        <f t="shared" si="12"/>
        <v/>
      </c>
      <c r="B794" s="26"/>
      <c r="C794" s="27"/>
      <c r="D794" s="28" t="str">
        <f>IFERROR(IF(C794="","",INDEX(마스터!$F$4:$F$20,MATCH(C794,마스터!$M$4:$M$20,0))),"")</f>
        <v/>
      </c>
      <c r="E794" s="27"/>
      <c r="F794" s="29"/>
      <c r="G794" s="25" t="str">
        <f>IFERROR(IF(C794="","",INDEX(마스터!$J$4:$J$20,MATCH(C794,마스터!$M$4:$M$20,0))),"")</f>
        <v/>
      </c>
      <c r="H794" s="30"/>
      <c r="I794" s="30"/>
      <c r="AC794" s="32">
        <f>IF(AND(E794&lt;&gt;"",C794&lt;&gt;"",COUNTIFS($C$8:C794,C794,$E$8:E794,E794)=1),1,0)</f>
        <v>0</v>
      </c>
    </row>
    <row r="795" spans="1:29" ht="15" customHeight="1" x14ac:dyDescent="0.25">
      <c r="A795" s="25" t="str">
        <f t="shared" si="12"/>
        <v/>
      </c>
      <c r="B795" s="26"/>
      <c r="C795" s="27"/>
      <c r="D795" s="28" t="str">
        <f>IFERROR(IF(C795="","",INDEX(마스터!$F$4:$F$20,MATCH(C795,마스터!$M$4:$M$20,0))),"")</f>
        <v/>
      </c>
      <c r="E795" s="27"/>
      <c r="F795" s="29"/>
      <c r="G795" s="25" t="str">
        <f>IFERROR(IF(C795="","",INDEX(마스터!$J$4:$J$20,MATCH(C795,마스터!$M$4:$M$20,0))),"")</f>
        <v/>
      </c>
      <c r="H795" s="30"/>
      <c r="I795" s="30"/>
      <c r="AC795" s="32">
        <f>IF(AND(E795&lt;&gt;"",C795&lt;&gt;"",COUNTIFS($C$8:C795,C795,$E$8:E795,E795)=1),1,0)</f>
        <v>0</v>
      </c>
    </row>
    <row r="796" spans="1:29" ht="15" customHeight="1" x14ac:dyDescent="0.25">
      <c r="A796" s="25" t="str">
        <f t="shared" si="12"/>
        <v/>
      </c>
      <c r="B796" s="26"/>
      <c r="C796" s="27"/>
      <c r="D796" s="28" t="str">
        <f>IFERROR(IF(C796="","",INDEX(마스터!$F$4:$F$20,MATCH(C796,마스터!$M$4:$M$20,0))),"")</f>
        <v/>
      </c>
      <c r="E796" s="27"/>
      <c r="F796" s="29"/>
      <c r="G796" s="25" t="str">
        <f>IFERROR(IF(C796="","",INDEX(마스터!$J$4:$J$20,MATCH(C796,마스터!$M$4:$M$20,0))),"")</f>
        <v/>
      </c>
      <c r="H796" s="30"/>
      <c r="I796" s="30"/>
      <c r="AC796" s="32">
        <f>IF(AND(E796&lt;&gt;"",C796&lt;&gt;"",COUNTIFS($C$8:C796,C796,$E$8:E796,E796)=1),1,0)</f>
        <v>0</v>
      </c>
    </row>
    <row r="797" spans="1:29" ht="15" customHeight="1" x14ac:dyDescent="0.25">
      <c r="A797" s="25" t="str">
        <f t="shared" si="12"/>
        <v/>
      </c>
      <c r="B797" s="26"/>
      <c r="C797" s="27"/>
      <c r="D797" s="28" t="str">
        <f>IFERROR(IF(C797="","",INDEX(마스터!$F$4:$F$20,MATCH(C797,마스터!$M$4:$M$20,0))),"")</f>
        <v/>
      </c>
      <c r="E797" s="27"/>
      <c r="F797" s="29"/>
      <c r="G797" s="25" t="str">
        <f>IFERROR(IF(C797="","",INDEX(마스터!$J$4:$J$20,MATCH(C797,마스터!$M$4:$M$20,0))),"")</f>
        <v/>
      </c>
      <c r="H797" s="30"/>
      <c r="I797" s="30"/>
      <c r="AC797" s="32">
        <f>IF(AND(E797&lt;&gt;"",C797&lt;&gt;"",COUNTIFS($C$8:C797,C797,$E$8:E797,E797)=1),1,0)</f>
        <v>0</v>
      </c>
    </row>
    <row r="798" spans="1:29" ht="15" customHeight="1" x14ac:dyDescent="0.25">
      <c r="A798" s="25" t="str">
        <f t="shared" si="12"/>
        <v/>
      </c>
      <c r="B798" s="26"/>
      <c r="C798" s="27"/>
      <c r="D798" s="28" t="str">
        <f>IFERROR(IF(C798="","",INDEX(마스터!$F$4:$F$20,MATCH(C798,마스터!$M$4:$M$20,0))),"")</f>
        <v/>
      </c>
      <c r="E798" s="27"/>
      <c r="F798" s="29"/>
      <c r="G798" s="25" t="str">
        <f>IFERROR(IF(C798="","",INDEX(마스터!$J$4:$J$20,MATCH(C798,마스터!$M$4:$M$20,0))),"")</f>
        <v/>
      </c>
      <c r="H798" s="30"/>
      <c r="I798" s="30"/>
      <c r="AC798" s="32">
        <f>IF(AND(E798&lt;&gt;"",C798&lt;&gt;"",COUNTIFS($C$8:C798,C798,$E$8:E798,E798)=1),1,0)</f>
        <v>0</v>
      </c>
    </row>
    <row r="799" spans="1:29" ht="15" customHeight="1" x14ac:dyDescent="0.25">
      <c r="A799" s="25" t="str">
        <f t="shared" si="12"/>
        <v/>
      </c>
      <c r="B799" s="26"/>
      <c r="C799" s="27"/>
      <c r="D799" s="28" t="str">
        <f>IFERROR(IF(C799="","",INDEX(마스터!$F$4:$F$20,MATCH(C799,마스터!$M$4:$M$20,0))),"")</f>
        <v/>
      </c>
      <c r="E799" s="27"/>
      <c r="F799" s="29"/>
      <c r="G799" s="25" t="str">
        <f>IFERROR(IF(C799="","",INDEX(마스터!$J$4:$J$20,MATCH(C799,마스터!$M$4:$M$20,0))),"")</f>
        <v/>
      </c>
      <c r="H799" s="30"/>
      <c r="I799" s="30"/>
      <c r="AC799" s="32">
        <f>IF(AND(E799&lt;&gt;"",C799&lt;&gt;"",COUNTIFS($C$8:C799,C799,$E$8:E799,E799)=1),1,0)</f>
        <v>0</v>
      </c>
    </row>
    <row r="800" spans="1:29" ht="15" customHeight="1" x14ac:dyDescent="0.25">
      <c r="A800" s="25" t="str">
        <f t="shared" si="12"/>
        <v/>
      </c>
      <c r="B800" s="26"/>
      <c r="C800" s="27"/>
      <c r="D800" s="28" t="str">
        <f>IFERROR(IF(C800="","",INDEX(마스터!$F$4:$F$20,MATCH(C800,마스터!$M$4:$M$20,0))),"")</f>
        <v/>
      </c>
      <c r="E800" s="27"/>
      <c r="F800" s="29"/>
      <c r="G800" s="25" t="str">
        <f>IFERROR(IF(C800="","",INDEX(마스터!$J$4:$J$20,MATCH(C800,마스터!$M$4:$M$20,0))),"")</f>
        <v/>
      </c>
      <c r="H800" s="30"/>
      <c r="I800" s="30"/>
      <c r="AC800" s="32">
        <f>IF(AND(E800&lt;&gt;"",C800&lt;&gt;"",COUNTIFS($C$8:C800,C800,$E$8:E800,E800)=1),1,0)</f>
        <v>0</v>
      </c>
    </row>
    <row r="801" spans="1:29" ht="15" customHeight="1" x14ac:dyDescent="0.25">
      <c r="A801" s="25" t="str">
        <f t="shared" si="12"/>
        <v/>
      </c>
      <c r="B801" s="26"/>
      <c r="C801" s="27"/>
      <c r="D801" s="28" t="str">
        <f>IFERROR(IF(C801="","",INDEX(마스터!$F$4:$F$20,MATCH(C801,마스터!$M$4:$M$20,0))),"")</f>
        <v/>
      </c>
      <c r="E801" s="27"/>
      <c r="F801" s="29"/>
      <c r="G801" s="25" t="str">
        <f>IFERROR(IF(C801="","",INDEX(마스터!$J$4:$J$20,MATCH(C801,마스터!$M$4:$M$20,0))),"")</f>
        <v/>
      </c>
      <c r="H801" s="30"/>
      <c r="I801" s="30"/>
      <c r="AC801" s="32">
        <f>IF(AND(E801&lt;&gt;"",C801&lt;&gt;"",COUNTIFS($C$8:C801,C801,$E$8:E801,E801)=1),1,0)</f>
        <v>0</v>
      </c>
    </row>
    <row r="802" spans="1:29" ht="15" customHeight="1" x14ac:dyDescent="0.25">
      <c r="A802" s="25" t="str">
        <f t="shared" si="12"/>
        <v/>
      </c>
      <c r="B802" s="26"/>
      <c r="C802" s="27"/>
      <c r="D802" s="28" t="str">
        <f>IFERROR(IF(C802="","",INDEX(마스터!$F$4:$F$20,MATCH(C802,마스터!$M$4:$M$20,0))),"")</f>
        <v/>
      </c>
      <c r="E802" s="27"/>
      <c r="F802" s="29"/>
      <c r="G802" s="25" t="str">
        <f>IFERROR(IF(C802="","",INDEX(마스터!$J$4:$J$20,MATCH(C802,마스터!$M$4:$M$20,0))),"")</f>
        <v/>
      </c>
      <c r="H802" s="30"/>
      <c r="I802" s="30"/>
      <c r="AC802" s="32">
        <f>IF(AND(E802&lt;&gt;"",C802&lt;&gt;"",COUNTIFS($C$8:C802,C802,$E$8:E802,E802)=1),1,0)</f>
        <v>0</v>
      </c>
    </row>
    <row r="803" spans="1:29" ht="15" customHeight="1" x14ac:dyDescent="0.25">
      <c r="A803" s="25" t="str">
        <f t="shared" si="12"/>
        <v/>
      </c>
      <c r="B803" s="26"/>
      <c r="C803" s="27"/>
      <c r="D803" s="28" t="str">
        <f>IFERROR(IF(C803="","",INDEX(마스터!$F$4:$F$20,MATCH(C803,마스터!$M$4:$M$20,0))),"")</f>
        <v/>
      </c>
      <c r="E803" s="27"/>
      <c r="F803" s="29"/>
      <c r="G803" s="25" t="str">
        <f>IFERROR(IF(C803="","",INDEX(마스터!$J$4:$J$20,MATCH(C803,마스터!$M$4:$M$20,0))),"")</f>
        <v/>
      </c>
      <c r="H803" s="30"/>
      <c r="I803" s="30"/>
      <c r="AC803" s="32">
        <f>IF(AND(E803&lt;&gt;"",C803&lt;&gt;"",COUNTIFS($C$8:C803,C803,$E$8:E803,E803)=1),1,0)</f>
        <v>0</v>
      </c>
    </row>
    <row r="804" spans="1:29" ht="15" customHeight="1" x14ac:dyDescent="0.25">
      <c r="A804" s="25" t="str">
        <f t="shared" si="12"/>
        <v/>
      </c>
      <c r="B804" s="26"/>
      <c r="C804" s="27"/>
      <c r="D804" s="28" t="str">
        <f>IFERROR(IF(C804="","",INDEX(마스터!$F$4:$F$20,MATCH(C804,마스터!$M$4:$M$20,0))),"")</f>
        <v/>
      </c>
      <c r="E804" s="27"/>
      <c r="F804" s="29"/>
      <c r="G804" s="25" t="str">
        <f>IFERROR(IF(C804="","",INDEX(마스터!$J$4:$J$20,MATCH(C804,마스터!$M$4:$M$20,0))),"")</f>
        <v/>
      </c>
      <c r="H804" s="30"/>
      <c r="I804" s="30"/>
      <c r="AC804" s="32">
        <f>IF(AND(E804&lt;&gt;"",C804&lt;&gt;"",COUNTIFS($C$8:C804,C804,$E$8:E804,E804)=1),1,0)</f>
        <v>0</v>
      </c>
    </row>
    <row r="805" spans="1:29" ht="15" customHeight="1" x14ac:dyDescent="0.25">
      <c r="A805" s="25" t="str">
        <f t="shared" si="12"/>
        <v/>
      </c>
      <c r="B805" s="26"/>
      <c r="C805" s="27"/>
      <c r="D805" s="28" t="str">
        <f>IFERROR(IF(C805="","",INDEX(마스터!$F$4:$F$20,MATCH(C805,마스터!$M$4:$M$20,0))),"")</f>
        <v/>
      </c>
      <c r="E805" s="27"/>
      <c r="F805" s="29"/>
      <c r="G805" s="25" t="str">
        <f>IFERROR(IF(C805="","",INDEX(마스터!$J$4:$J$20,MATCH(C805,마스터!$M$4:$M$20,0))),"")</f>
        <v/>
      </c>
      <c r="H805" s="30"/>
      <c r="I805" s="30"/>
      <c r="AC805" s="32">
        <f>IF(AND(E805&lt;&gt;"",C805&lt;&gt;"",COUNTIFS($C$8:C805,C805,$E$8:E805,E805)=1),1,0)</f>
        <v>0</v>
      </c>
    </row>
    <row r="806" spans="1:29" ht="15" customHeight="1" x14ac:dyDescent="0.25">
      <c r="A806" s="25" t="str">
        <f t="shared" si="12"/>
        <v/>
      </c>
      <c r="B806" s="26"/>
      <c r="C806" s="27"/>
      <c r="D806" s="28" t="str">
        <f>IFERROR(IF(C806="","",INDEX(마스터!$F$4:$F$20,MATCH(C806,마스터!$M$4:$M$20,0))),"")</f>
        <v/>
      </c>
      <c r="E806" s="27"/>
      <c r="F806" s="29"/>
      <c r="G806" s="25" t="str">
        <f>IFERROR(IF(C806="","",INDEX(마스터!$J$4:$J$20,MATCH(C806,마스터!$M$4:$M$20,0))),"")</f>
        <v/>
      </c>
      <c r="H806" s="30"/>
      <c r="I806" s="30"/>
      <c r="AC806" s="32">
        <f>IF(AND(E806&lt;&gt;"",C806&lt;&gt;"",COUNTIFS($C$8:C806,C806,$E$8:E806,E806)=1),1,0)</f>
        <v>0</v>
      </c>
    </row>
    <row r="807" spans="1:29" ht="15" customHeight="1" x14ac:dyDescent="0.25">
      <c r="A807" s="25" t="str">
        <f t="shared" si="12"/>
        <v/>
      </c>
      <c r="B807" s="26"/>
      <c r="C807" s="27"/>
      <c r="D807" s="28" t="str">
        <f>IFERROR(IF(C807="","",INDEX(마스터!$F$4:$F$20,MATCH(C807,마스터!$M$4:$M$20,0))),"")</f>
        <v/>
      </c>
      <c r="E807" s="27"/>
      <c r="F807" s="29"/>
      <c r="G807" s="25" t="str">
        <f>IFERROR(IF(C807="","",INDEX(마스터!$J$4:$J$20,MATCH(C807,마스터!$M$4:$M$20,0))),"")</f>
        <v/>
      </c>
      <c r="H807" s="30"/>
      <c r="I807" s="30"/>
      <c r="AC807" s="32">
        <f>IF(AND(E807&lt;&gt;"",C807&lt;&gt;"",COUNTIFS($C$8:C807,C807,$E$8:E807,E807)=1),1,0)</f>
        <v>0</v>
      </c>
    </row>
    <row r="808" spans="1:29" ht="15" customHeight="1" x14ac:dyDescent="0.25">
      <c r="A808" s="25" t="str">
        <f t="shared" si="12"/>
        <v/>
      </c>
      <c r="B808" s="26"/>
      <c r="C808" s="27"/>
      <c r="D808" s="28" t="str">
        <f>IFERROR(IF(C808="","",INDEX(마스터!$F$4:$F$20,MATCH(C808,마스터!$M$4:$M$20,0))),"")</f>
        <v/>
      </c>
      <c r="E808" s="27"/>
      <c r="F808" s="29"/>
      <c r="G808" s="25" t="str">
        <f>IFERROR(IF(C808="","",INDEX(마스터!$J$4:$J$20,MATCH(C808,마스터!$M$4:$M$20,0))),"")</f>
        <v/>
      </c>
      <c r="H808" s="30"/>
      <c r="I808" s="30"/>
      <c r="AC808" s="32">
        <f>IF(AND(E808&lt;&gt;"",C808&lt;&gt;"",COUNTIFS($C$8:C808,C808,$E$8:E808,E808)=1),1,0)</f>
        <v>0</v>
      </c>
    </row>
    <row r="809" spans="1:29" ht="15" customHeight="1" x14ac:dyDescent="0.25">
      <c r="A809" s="25" t="str">
        <f t="shared" si="12"/>
        <v/>
      </c>
      <c r="B809" s="26"/>
      <c r="C809" s="27"/>
      <c r="D809" s="28" t="str">
        <f>IFERROR(IF(C809="","",INDEX(마스터!$F$4:$F$20,MATCH(C809,마스터!$M$4:$M$20,0))),"")</f>
        <v/>
      </c>
      <c r="E809" s="27"/>
      <c r="F809" s="29"/>
      <c r="G809" s="25" t="str">
        <f>IFERROR(IF(C809="","",INDEX(마스터!$J$4:$J$20,MATCH(C809,마스터!$M$4:$M$20,0))),"")</f>
        <v/>
      </c>
      <c r="H809" s="30"/>
      <c r="I809" s="30"/>
      <c r="AC809" s="32">
        <f>IF(AND(E809&lt;&gt;"",C809&lt;&gt;"",COUNTIFS($C$8:C809,C809,$E$8:E809,E809)=1),1,0)</f>
        <v>0</v>
      </c>
    </row>
    <row r="810" spans="1:29" ht="15" customHeight="1" x14ac:dyDescent="0.25">
      <c r="A810" s="25" t="str">
        <f t="shared" si="12"/>
        <v/>
      </c>
      <c r="B810" s="26"/>
      <c r="C810" s="27"/>
      <c r="D810" s="28" t="str">
        <f>IFERROR(IF(C810="","",INDEX(마스터!$F$4:$F$20,MATCH(C810,마스터!$M$4:$M$20,0))),"")</f>
        <v/>
      </c>
      <c r="E810" s="27"/>
      <c r="F810" s="29"/>
      <c r="G810" s="25" t="str">
        <f>IFERROR(IF(C810="","",INDEX(마스터!$J$4:$J$20,MATCH(C810,마스터!$M$4:$M$20,0))),"")</f>
        <v/>
      </c>
      <c r="H810" s="30"/>
      <c r="I810" s="30"/>
      <c r="AC810" s="32">
        <f>IF(AND(E810&lt;&gt;"",C810&lt;&gt;"",COUNTIFS($C$8:C810,C810,$E$8:E810,E810)=1),1,0)</f>
        <v>0</v>
      </c>
    </row>
    <row r="811" spans="1:29" ht="15" customHeight="1" x14ac:dyDescent="0.25">
      <c r="A811" s="25" t="str">
        <f t="shared" si="12"/>
        <v/>
      </c>
      <c r="B811" s="26"/>
      <c r="C811" s="27"/>
      <c r="D811" s="28" t="str">
        <f>IFERROR(IF(C811="","",INDEX(마스터!$F$4:$F$20,MATCH(C811,마스터!$M$4:$M$20,0))),"")</f>
        <v/>
      </c>
      <c r="E811" s="27"/>
      <c r="F811" s="29"/>
      <c r="G811" s="25" t="str">
        <f>IFERROR(IF(C811="","",INDEX(마스터!$J$4:$J$20,MATCH(C811,마스터!$M$4:$M$20,0))),"")</f>
        <v/>
      </c>
      <c r="H811" s="30"/>
      <c r="I811" s="30"/>
      <c r="AC811" s="32">
        <f>IF(AND(E811&lt;&gt;"",C811&lt;&gt;"",COUNTIFS($C$8:C811,C811,$E$8:E811,E811)=1),1,0)</f>
        <v>0</v>
      </c>
    </row>
    <row r="812" spans="1:29" ht="15" customHeight="1" x14ac:dyDescent="0.25">
      <c r="A812" s="25" t="str">
        <f t="shared" si="12"/>
        <v/>
      </c>
      <c r="B812" s="26"/>
      <c r="C812" s="27"/>
      <c r="D812" s="28" t="str">
        <f>IFERROR(IF(C812="","",INDEX(마스터!$F$4:$F$20,MATCH(C812,마스터!$M$4:$M$20,0))),"")</f>
        <v/>
      </c>
      <c r="E812" s="27"/>
      <c r="F812" s="29"/>
      <c r="G812" s="25" t="str">
        <f>IFERROR(IF(C812="","",INDEX(마스터!$J$4:$J$20,MATCH(C812,마스터!$M$4:$M$20,0))),"")</f>
        <v/>
      </c>
      <c r="H812" s="30"/>
      <c r="I812" s="30"/>
      <c r="AC812" s="32">
        <f>IF(AND(E812&lt;&gt;"",C812&lt;&gt;"",COUNTIFS($C$8:C812,C812,$E$8:E812,E812)=1),1,0)</f>
        <v>0</v>
      </c>
    </row>
    <row r="813" spans="1:29" ht="15" customHeight="1" x14ac:dyDescent="0.25">
      <c r="A813" s="25" t="str">
        <f t="shared" si="12"/>
        <v/>
      </c>
      <c r="B813" s="26"/>
      <c r="C813" s="27"/>
      <c r="D813" s="28" t="str">
        <f>IFERROR(IF(C813="","",INDEX(마스터!$F$4:$F$20,MATCH(C813,마스터!$M$4:$M$20,0))),"")</f>
        <v/>
      </c>
      <c r="E813" s="27"/>
      <c r="F813" s="29"/>
      <c r="G813" s="25" t="str">
        <f>IFERROR(IF(C813="","",INDEX(마스터!$J$4:$J$20,MATCH(C813,마스터!$M$4:$M$20,0))),"")</f>
        <v/>
      </c>
      <c r="H813" s="30"/>
      <c r="I813" s="30"/>
      <c r="AC813" s="32">
        <f>IF(AND(E813&lt;&gt;"",C813&lt;&gt;"",COUNTIFS($C$8:C813,C813,$E$8:E813,E813)=1),1,0)</f>
        <v>0</v>
      </c>
    </row>
    <row r="814" spans="1:29" ht="15" customHeight="1" x14ac:dyDescent="0.25">
      <c r="A814" s="25" t="str">
        <f t="shared" si="12"/>
        <v/>
      </c>
      <c r="B814" s="26"/>
      <c r="C814" s="27"/>
      <c r="D814" s="28" t="str">
        <f>IFERROR(IF(C814="","",INDEX(마스터!$F$4:$F$20,MATCH(C814,마스터!$M$4:$M$20,0))),"")</f>
        <v/>
      </c>
      <c r="E814" s="27"/>
      <c r="F814" s="29"/>
      <c r="G814" s="25" t="str">
        <f>IFERROR(IF(C814="","",INDEX(마스터!$J$4:$J$20,MATCH(C814,마스터!$M$4:$M$20,0))),"")</f>
        <v/>
      </c>
      <c r="H814" s="30"/>
      <c r="I814" s="30"/>
      <c r="AC814" s="32">
        <f>IF(AND(E814&lt;&gt;"",C814&lt;&gt;"",COUNTIFS($C$8:C814,C814,$E$8:E814,E814)=1),1,0)</f>
        <v>0</v>
      </c>
    </row>
    <row r="815" spans="1:29" ht="15" customHeight="1" x14ac:dyDescent="0.25">
      <c r="A815" s="25" t="str">
        <f t="shared" si="12"/>
        <v/>
      </c>
      <c r="B815" s="26"/>
      <c r="C815" s="27"/>
      <c r="D815" s="28" t="str">
        <f>IFERROR(IF(C815="","",INDEX(마스터!$F$4:$F$20,MATCH(C815,마스터!$M$4:$M$20,0))),"")</f>
        <v/>
      </c>
      <c r="E815" s="27"/>
      <c r="F815" s="29"/>
      <c r="G815" s="25" t="str">
        <f>IFERROR(IF(C815="","",INDEX(마스터!$J$4:$J$20,MATCH(C815,마스터!$M$4:$M$20,0))),"")</f>
        <v/>
      </c>
      <c r="H815" s="30"/>
      <c r="I815" s="30"/>
      <c r="AC815" s="32">
        <f>IF(AND(E815&lt;&gt;"",C815&lt;&gt;"",COUNTIFS($C$8:C815,C815,$E$8:E815,E815)=1),1,0)</f>
        <v>0</v>
      </c>
    </row>
    <row r="816" spans="1:29" ht="15" customHeight="1" x14ac:dyDescent="0.25">
      <c r="A816" s="25" t="str">
        <f t="shared" si="12"/>
        <v/>
      </c>
      <c r="B816" s="26"/>
      <c r="C816" s="27"/>
      <c r="D816" s="28" t="str">
        <f>IFERROR(IF(C816="","",INDEX(마스터!$F$4:$F$20,MATCH(C816,마스터!$M$4:$M$20,0))),"")</f>
        <v/>
      </c>
      <c r="E816" s="27"/>
      <c r="F816" s="29"/>
      <c r="G816" s="25" t="str">
        <f>IFERROR(IF(C816="","",INDEX(마스터!$J$4:$J$20,MATCH(C816,마스터!$M$4:$M$20,0))),"")</f>
        <v/>
      </c>
      <c r="H816" s="30"/>
      <c r="I816" s="30"/>
      <c r="AC816" s="32">
        <f>IF(AND(E816&lt;&gt;"",C816&lt;&gt;"",COUNTIFS($C$8:C816,C816,$E$8:E816,E816)=1),1,0)</f>
        <v>0</v>
      </c>
    </row>
    <row r="817" spans="1:29" ht="15" customHeight="1" x14ac:dyDescent="0.25">
      <c r="A817" s="25" t="str">
        <f t="shared" si="12"/>
        <v/>
      </c>
      <c r="B817" s="26"/>
      <c r="C817" s="27"/>
      <c r="D817" s="28" t="str">
        <f>IFERROR(IF(C817="","",INDEX(마스터!$F$4:$F$20,MATCH(C817,마스터!$M$4:$M$20,0))),"")</f>
        <v/>
      </c>
      <c r="E817" s="27"/>
      <c r="F817" s="29"/>
      <c r="G817" s="25" t="str">
        <f>IFERROR(IF(C817="","",INDEX(마스터!$J$4:$J$20,MATCH(C817,마스터!$M$4:$M$20,0))),"")</f>
        <v/>
      </c>
      <c r="H817" s="30"/>
      <c r="I817" s="30"/>
      <c r="AC817" s="32">
        <f>IF(AND(E817&lt;&gt;"",C817&lt;&gt;"",COUNTIFS($C$8:C817,C817,$E$8:E817,E817)=1),1,0)</f>
        <v>0</v>
      </c>
    </row>
    <row r="818" spans="1:29" ht="15" customHeight="1" x14ac:dyDescent="0.25">
      <c r="A818" s="25" t="str">
        <f t="shared" si="12"/>
        <v/>
      </c>
      <c r="B818" s="26"/>
      <c r="C818" s="27"/>
      <c r="D818" s="28" t="str">
        <f>IFERROR(IF(C818="","",INDEX(마스터!$F$4:$F$20,MATCH(C818,마스터!$M$4:$M$20,0))),"")</f>
        <v/>
      </c>
      <c r="E818" s="27"/>
      <c r="F818" s="29"/>
      <c r="G818" s="25" t="str">
        <f>IFERROR(IF(C818="","",INDEX(마스터!$J$4:$J$20,MATCH(C818,마스터!$M$4:$M$20,0))),"")</f>
        <v/>
      </c>
      <c r="H818" s="30"/>
      <c r="I818" s="30"/>
      <c r="AC818" s="32">
        <f>IF(AND(E818&lt;&gt;"",C818&lt;&gt;"",COUNTIFS($C$8:C818,C818,$E$8:E818,E818)=1),1,0)</f>
        <v>0</v>
      </c>
    </row>
    <row r="819" spans="1:29" ht="15" customHeight="1" x14ac:dyDescent="0.25">
      <c r="A819" s="25" t="str">
        <f t="shared" si="12"/>
        <v/>
      </c>
      <c r="B819" s="26"/>
      <c r="C819" s="27"/>
      <c r="D819" s="28" t="str">
        <f>IFERROR(IF(C819="","",INDEX(마스터!$F$4:$F$20,MATCH(C819,마스터!$M$4:$M$20,0))),"")</f>
        <v/>
      </c>
      <c r="E819" s="27"/>
      <c r="F819" s="29"/>
      <c r="G819" s="25" t="str">
        <f>IFERROR(IF(C819="","",INDEX(마스터!$J$4:$J$20,MATCH(C819,마스터!$M$4:$M$20,0))),"")</f>
        <v/>
      </c>
      <c r="H819" s="30"/>
      <c r="I819" s="30"/>
      <c r="AC819" s="32">
        <f>IF(AND(E819&lt;&gt;"",C819&lt;&gt;"",COUNTIFS($C$8:C819,C819,$E$8:E819,E819)=1),1,0)</f>
        <v>0</v>
      </c>
    </row>
    <row r="820" spans="1:29" ht="15" customHeight="1" x14ac:dyDescent="0.25">
      <c r="A820" s="25" t="str">
        <f t="shared" si="12"/>
        <v/>
      </c>
      <c r="B820" s="26"/>
      <c r="C820" s="27"/>
      <c r="D820" s="28" t="str">
        <f>IFERROR(IF(C820="","",INDEX(마스터!$F$4:$F$20,MATCH(C820,마스터!$M$4:$M$20,0))),"")</f>
        <v/>
      </c>
      <c r="E820" s="27"/>
      <c r="F820" s="29"/>
      <c r="G820" s="25" t="str">
        <f>IFERROR(IF(C820="","",INDEX(마스터!$J$4:$J$20,MATCH(C820,마스터!$M$4:$M$20,0))),"")</f>
        <v/>
      </c>
      <c r="H820" s="30"/>
      <c r="I820" s="30"/>
      <c r="AC820" s="32">
        <f>IF(AND(E820&lt;&gt;"",C820&lt;&gt;"",COUNTIFS($C$8:C820,C820,$E$8:E820,E820)=1),1,0)</f>
        <v>0</v>
      </c>
    </row>
    <row r="821" spans="1:29" ht="15" customHeight="1" x14ac:dyDescent="0.25">
      <c r="A821" s="25" t="str">
        <f t="shared" si="12"/>
        <v/>
      </c>
      <c r="B821" s="26"/>
      <c r="C821" s="27"/>
      <c r="D821" s="28" t="str">
        <f>IFERROR(IF(C821="","",INDEX(마스터!$F$4:$F$20,MATCH(C821,마스터!$M$4:$M$20,0))),"")</f>
        <v/>
      </c>
      <c r="E821" s="27"/>
      <c r="F821" s="29"/>
      <c r="G821" s="25" t="str">
        <f>IFERROR(IF(C821="","",INDEX(마스터!$J$4:$J$20,MATCH(C821,마스터!$M$4:$M$20,0))),"")</f>
        <v/>
      </c>
      <c r="H821" s="30"/>
      <c r="I821" s="30"/>
      <c r="AC821" s="32">
        <f>IF(AND(E821&lt;&gt;"",C821&lt;&gt;"",COUNTIFS($C$8:C821,C821,$E$8:E821,E821)=1),1,0)</f>
        <v>0</v>
      </c>
    </row>
    <row r="822" spans="1:29" ht="15" customHeight="1" x14ac:dyDescent="0.25">
      <c r="A822" s="25" t="str">
        <f t="shared" si="12"/>
        <v/>
      </c>
      <c r="B822" s="26"/>
      <c r="C822" s="27"/>
      <c r="D822" s="28" t="str">
        <f>IFERROR(IF(C822="","",INDEX(마스터!$F$4:$F$20,MATCH(C822,마스터!$M$4:$M$20,0))),"")</f>
        <v/>
      </c>
      <c r="E822" s="27"/>
      <c r="F822" s="29"/>
      <c r="G822" s="25" t="str">
        <f>IFERROR(IF(C822="","",INDEX(마스터!$J$4:$J$20,MATCH(C822,마스터!$M$4:$M$20,0))),"")</f>
        <v/>
      </c>
      <c r="H822" s="30"/>
      <c r="I822" s="30"/>
      <c r="AC822" s="32">
        <f>IF(AND(E822&lt;&gt;"",C822&lt;&gt;"",COUNTIFS($C$8:C822,C822,$E$8:E822,E822)=1),1,0)</f>
        <v>0</v>
      </c>
    </row>
    <row r="823" spans="1:29" ht="15" customHeight="1" x14ac:dyDescent="0.25">
      <c r="A823" s="25" t="str">
        <f t="shared" si="12"/>
        <v/>
      </c>
      <c r="B823" s="26"/>
      <c r="C823" s="27"/>
      <c r="D823" s="28" t="str">
        <f>IFERROR(IF(C823="","",INDEX(마스터!$F$4:$F$20,MATCH(C823,마스터!$M$4:$M$20,0))),"")</f>
        <v/>
      </c>
      <c r="E823" s="27"/>
      <c r="F823" s="29"/>
      <c r="G823" s="25" t="str">
        <f>IFERROR(IF(C823="","",INDEX(마스터!$J$4:$J$20,MATCH(C823,마스터!$M$4:$M$20,0))),"")</f>
        <v/>
      </c>
      <c r="H823" s="30"/>
      <c r="I823" s="30"/>
      <c r="AC823" s="32">
        <f>IF(AND(E823&lt;&gt;"",C823&lt;&gt;"",COUNTIFS($C$8:C823,C823,$E$8:E823,E823)=1),1,0)</f>
        <v>0</v>
      </c>
    </row>
    <row r="824" spans="1:29" ht="15" customHeight="1" x14ac:dyDescent="0.25">
      <c r="A824" s="25" t="str">
        <f t="shared" si="12"/>
        <v/>
      </c>
      <c r="B824" s="26"/>
      <c r="C824" s="27"/>
      <c r="D824" s="28" t="str">
        <f>IFERROR(IF(C824="","",INDEX(마스터!$F$4:$F$20,MATCH(C824,마스터!$M$4:$M$20,0))),"")</f>
        <v/>
      </c>
      <c r="E824" s="27"/>
      <c r="F824" s="29"/>
      <c r="G824" s="25" t="str">
        <f>IFERROR(IF(C824="","",INDEX(마스터!$J$4:$J$20,MATCH(C824,마스터!$M$4:$M$20,0))),"")</f>
        <v/>
      </c>
      <c r="H824" s="30"/>
      <c r="I824" s="30"/>
      <c r="AC824" s="32">
        <f>IF(AND(E824&lt;&gt;"",C824&lt;&gt;"",COUNTIFS($C$8:C824,C824,$E$8:E824,E824)=1),1,0)</f>
        <v>0</v>
      </c>
    </row>
    <row r="825" spans="1:29" ht="15" customHeight="1" x14ac:dyDescent="0.25">
      <c r="A825" s="25" t="str">
        <f t="shared" si="12"/>
        <v/>
      </c>
      <c r="B825" s="26"/>
      <c r="C825" s="27"/>
      <c r="D825" s="28" t="str">
        <f>IFERROR(IF(C825="","",INDEX(마스터!$F$4:$F$20,MATCH(C825,마스터!$M$4:$M$20,0))),"")</f>
        <v/>
      </c>
      <c r="E825" s="27"/>
      <c r="F825" s="29"/>
      <c r="G825" s="25" t="str">
        <f>IFERROR(IF(C825="","",INDEX(마스터!$J$4:$J$20,MATCH(C825,마스터!$M$4:$M$20,0))),"")</f>
        <v/>
      </c>
      <c r="H825" s="30"/>
      <c r="I825" s="30"/>
      <c r="AC825" s="32">
        <f>IF(AND(E825&lt;&gt;"",C825&lt;&gt;"",COUNTIFS($C$8:C825,C825,$E$8:E825,E825)=1),1,0)</f>
        <v>0</v>
      </c>
    </row>
    <row r="826" spans="1:29" ht="15" customHeight="1" x14ac:dyDescent="0.25">
      <c r="A826" s="25" t="str">
        <f t="shared" si="12"/>
        <v/>
      </c>
      <c r="B826" s="26"/>
      <c r="C826" s="27"/>
      <c r="D826" s="28" t="str">
        <f>IFERROR(IF(C826="","",INDEX(마스터!$F$4:$F$20,MATCH(C826,마스터!$M$4:$M$20,0))),"")</f>
        <v/>
      </c>
      <c r="E826" s="27"/>
      <c r="F826" s="29"/>
      <c r="G826" s="25" t="str">
        <f>IFERROR(IF(C826="","",INDEX(마스터!$J$4:$J$20,MATCH(C826,마스터!$M$4:$M$20,0))),"")</f>
        <v/>
      </c>
      <c r="H826" s="30"/>
      <c r="I826" s="30"/>
      <c r="AC826" s="32">
        <f>IF(AND(E826&lt;&gt;"",C826&lt;&gt;"",COUNTIFS($C$8:C826,C826,$E$8:E826,E826)=1),1,0)</f>
        <v>0</v>
      </c>
    </row>
    <row r="827" spans="1:29" ht="15" customHeight="1" x14ac:dyDescent="0.25">
      <c r="A827" s="25" t="str">
        <f t="shared" si="12"/>
        <v/>
      </c>
      <c r="B827" s="26"/>
      <c r="C827" s="27"/>
      <c r="D827" s="28" t="str">
        <f>IFERROR(IF(C827="","",INDEX(마스터!$F$4:$F$20,MATCH(C827,마스터!$M$4:$M$20,0))),"")</f>
        <v/>
      </c>
      <c r="E827" s="27"/>
      <c r="F827" s="29"/>
      <c r="G827" s="25" t="str">
        <f>IFERROR(IF(C827="","",INDEX(마스터!$J$4:$J$20,MATCH(C827,마스터!$M$4:$M$20,0))),"")</f>
        <v/>
      </c>
      <c r="H827" s="30"/>
      <c r="I827" s="30"/>
      <c r="AC827" s="32">
        <f>IF(AND(E827&lt;&gt;"",C827&lt;&gt;"",COUNTIFS($C$8:C827,C827,$E$8:E827,E827)=1),1,0)</f>
        <v>0</v>
      </c>
    </row>
    <row r="828" spans="1:29" ht="15" customHeight="1" x14ac:dyDescent="0.25">
      <c r="A828" s="25" t="str">
        <f t="shared" si="12"/>
        <v/>
      </c>
      <c r="B828" s="26"/>
      <c r="C828" s="27"/>
      <c r="D828" s="28" t="str">
        <f>IFERROR(IF(C828="","",INDEX(마스터!$F$4:$F$20,MATCH(C828,마스터!$M$4:$M$20,0))),"")</f>
        <v/>
      </c>
      <c r="E828" s="27"/>
      <c r="F828" s="29"/>
      <c r="G828" s="25" t="str">
        <f>IFERROR(IF(C828="","",INDEX(마스터!$J$4:$J$20,MATCH(C828,마스터!$M$4:$M$20,0))),"")</f>
        <v/>
      </c>
      <c r="H828" s="30"/>
      <c r="I828" s="30"/>
      <c r="AC828" s="32">
        <f>IF(AND(E828&lt;&gt;"",C828&lt;&gt;"",COUNTIFS($C$8:C828,C828,$E$8:E828,E828)=1),1,0)</f>
        <v>0</v>
      </c>
    </row>
    <row r="829" spans="1:29" ht="15" customHeight="1" x14ac:dyDescent="0.25">
      <c r="A829" s="25" t="str">
        <f t="shared" si="12"/>
        <v/>
      </c>
      <c r="B829" s="26"/>
      <c r="C829" s="27"/>
      <c r="D829" s="28" t="str">
        <f>IFERROR(IF(C829="","",INDEX(마스터!$F$4:$F$20,MATCH(C829,마스터!$M$4:$M$20,0))),"")</f>
        <v/>
      </c>
      <c r="E829" s="27"/>
      <c r="F829" s="29"/>
      <c r="G829" s="25" t="str">
        <f>IFERROR(IF(C829="","",INDEX(마스터!$J$4:$J$20,MATCH(C829,마스터!$M$4:$M$20,0))),"")</f>
        <v/>
      </c>
      <c r="H829" s="30"/>
      <c r="I829" s="30"/>
      <c r="AC829" s="32">
        <f>IF(AND(E829&lt;&gt;"",C829&lt;&gt;"",COUNTIFS($C$8:C829,C829,$E$8:E829,E829)=1),1,0)</f>
        <v>0</v>
      </c>
    </row>
    <row r="830" spans="1:29" ht="15" customHeight="1" x14ac:dyDescent="0.25">
      <c r="A830" s="25" t="str">
        <f t="shared" si="12"/>
        <v/>
      </c>
      <c r="B830" s="26"/>
      <c r="C830" s="27"/>
      <c r="D830" s="28" t="str">
        <f>IFERROR(IF(C830="","",INDEX(마스터!$F$4:$F$20,MATCH(C830,마스터!$M$4:$M$20,0))),"")</f>
        <v/>
      </c>
      <c r="E830" s="27"/>
      <c r="F830" s="29"/>
      <c r="G830" s="25" t="str">
        <f>IFERROR(IF(C830="","",INDEX(마스터!$J$4:$J$20,MATCH(C830,마스터!$M$4:$M$20,0))),"")</f>
        <v/>
      </c>
      <c r="H830" s="30"/>
      <c r="I830" s="30"/>
      <c r="AC830" s="32">
        <f>IF(AND(E830&lt;&gt;"",C830&lt;&gt;"",COUNTIFS($C$8:C830,C830,$E$8:E830,E830)=1),1,0)</f>
        <v>0</v>
      </c>
    </row>
    <row r="831" spans="1:29" ht="15" customHeight="1" x14ac:dyDescent="0.25">
      <c r="A831" s="25" t="str">
        <f t="shared" si="12"/>
        <v/>
      </c>
      <c r="B831" s="26"/>
      <c r="C831" s="27"/>
      <c r="D831" s="28" t="str">
        <f>IFERROR(IF(C831="","",INDEX(마스터!$F$4:$F$20,MATCH(C831,마스터!$M$4:$M$20,0))),"")</f>
        <v/>
      </c>
      <c r="E831" s="27"/>
      <c r="F831" s="29"/>
      <c r="G831" s="25" t="str">
        <f>IFERROR(IF(C831="","",INDEX(마스터!$J$4:$J$20,MATCH(C831,마스터!$M$4:$M$20,0))),"")</f>
        <v/>
      </c>
      <c r="H831" s="30"/>
      <c r="I831" s="30"/>
      <c r="AC831" s="32">
        <f>IF(AND(E831&lt;&gt;"",C831&lt;&gt;"",COUNTIFS($C$8:C831,C831,$E$8:E831,E831)=1),1,0)</f>
        <v>0</v>
      </c>
    </row>
    <row r="832" spans="1:29" ht="15" customHeight="1" x14ac:dyDescent="0.25">
      <c r="A832" s="25" t="str">
        <f t="shared" si="12"/>
        <v/>
      </c>
      <c r="B832" s="26"/>
      <c r="C832" s="27"/>
      <c r="D832" s="28" t="str">
        <f>IFERROR(IF(C832="","",INDEX(마스터!$F$4:$F$20,MATCH(C832,마스터!$M$4:$M$20,0))),"")</f>
        <v/>
      </c>
      <c r="E832" s="27"/>
      <c r="F832" s="29"/>
      <c r="G832" s="25" t="str">
        <f>IFERROR(IF(C832="","",INDEX(마스터!$J$4:$J$20,MATCH(C832,마스터!$M$4:$M$20,0))),"")</f>
        <v/>
      </c>
      <c r="H832" s="30"/>
      <c r="I832" s="30"/>
      <c r="AC832" s="32">
        <f>IF(AND(E832&lt;&gt;"",C832&lt;&gt;"",COUNTIFS($C$8:C832,C832,$E$8:E832,E832)=1),1,0)</f>
        <v>0</v>
      </c>
    </row>
    <row r="833" spans="1:29" ht="15" customHeight="1" x14ac:dyDescent="0.25">
      <c r="A833" s="25" t="str">
        <f t="shared" si="12"/>
        <v/>
      </c>
      <c r="B833" s="26"/>
      <c r="C833" s="27"/>
      <c r="D833" s="28" t="str">
        <f>IFERROR(IF(C833="","",INDEX(마스터!$F$4:$F$20,MATCH(C833,마스터!$M$4:$M$20,0))),"")</f>
        <v/>
      </c>
      <c r="E833" s="27"/>
      <c r="F833" s="29"/>
      <c r="G833" s="25" t="str">
        <f>IFERROR(IF(C833="","",INDEX(마스터!$J$4:$J$20,MATCH(C833,마스터!$M$4:$M$20,0))),"")</f>
        <v/>
      </c>
      <c r="H833" s="30"/>
      <c r="I833" s="30"/>
      <c r="AC833" s="32">
        <f>IF(AND(E833&lt;&gt;"",C833&lt;&gt;"",COUNTIFS($C$8:C833,C833,$E$8:E833,E833)=1),1,0)</f>
        <v>0</v>
      </c>
    </row>
    <row r="834" spans="1:29" ht="15" customHeight="1" x14ac:dyDescent="0.25">
      <c r="A834" s="25" t="str">
        <f t="shared" si="12"/>
        <v/>
      </c>
      <c r="B834" s="26"/>
      <c r="C834" s="27"/>
      <c r="D834" s="28" t="str">
        <f>IFERROR(IF(C834="","",INDEX(마스터!$F$4:$F$20,MATCH(C834,마스터!$M$4:$M$20,0))),"")</f>
        <v/>
      </c>
      <c r="E834" s="27"/>
      <c r="F834" s="29"/>
      <c r="G834" s="25" t="str">
        <f>IFERROR(IF(C834="","",INDEX(마스터!$J$4:$J$20,MATCH(C834,마스터!$M$4:$M$20,0))),"")</f>
        <v/>
      </c>
      <c r="H834" s="30"/>
      <c r="I834" s="30"/>
      <c r="AC834" s="32">
        <f>IF(AND(E834&lt;&gt;"",C834&lt;&gt;"",COUNTIFS($C$8:C834,C834,$E$8:E834,E834)=1),1,0)</f>
        <v>0</v>
      </c>
    </row>
    <row r="835" spans="1:29" ht="15" customHeight="1" x14ac:dyDescent="0.25">
      <c r="A835" s="25" t="str">
        <f t="shared" si="12"/>
        <v/>
      </c>
      <c r="B835" s="26"/>
      <c r="C835" s="27"/>
      <c r="D835" s="28" t="str">
        <f>IFERROR(IF(C835="","",INDEX(마스터!$F$4:$F$20,MATCH(C835,마스터!$M$4:$M$20,0))),"")</f>
        <v/>
      </c>
      <c r="E835" s="27"/>
      <c r="F835" s="29"/>
      <c r="G835" s="25" t="str">
        <f>IFERROR(IF(C835="","",INDEX(마스터!$J$4:$J$20,MATCH(C835,마스터!$M$4:$M$20,0))),"")</f>
        <v/>
      </c>
      <c r="H835" s="30"/>
      <c r="I835" s="30"/>
      <c r="AC835" s="32">
        <f>IF(AND(E835&lt;&gt;"",C835&lt;&gt;"",COUNTIFS($C$8:C835,C835,$E$8:E835,E835)=1),1,0)</f>
        <v>0</v>
      </c>
    </row>
    <row r="836" spans="1:29" ht="15" customHeight="1" x14ac:dyDescent="0.25">
      <c r="A836" s="25" t="str">
        <f t="shared" si="12"/>
        <v/>
      </c>
      <c r="B836" s="26"/>
      <c r="C836" s="27"/>
      <c r="D836" s="28" t="str">
        <f>IFERROR(IF(C836="","",INDEX(마스터!$F$4:$F$20,MATCH(C836,마스터!$M$4:$M$20,0))),"")</f>
        <v/>
      </c>
      <c r="E836" s="27"/>
      <c r="F836" s="29"/>
      <c r="G836" s="25" t="str">
        <f>IFERROR(IF(C836="","",INDEX(마스터!$J$4:$J$20,MATCH(C836,마스터!$M$4:$M$20,0))),"")</f>
        <v/>
      </c>
      <c r="H836" s="30"/>
      <c r="I836" s="30"/>
      <c r="AC836" s="32">
        <f>IF(AND(E836&lt;&gt;"",C836&lt;&gt;"",COUNTIFS($C$8:C836,C836,$E$8:E836,E836)=1),1,0)</f>
        <v>0</v>
      </c>
    </row>
    <row r="837" spans="1:29" ht="15" customHeight="1" x14ac:dyDescent="0.25">
      <c r="A837" s="25" t="str">
        <f t="shared" si="12"/>
        <v/>
      </c>
      <c r="B837" s="26"/>
      <c r="C837" s="27"/>
      <c r="D837" s="28" t="str">
        <f>IFERROR(IF(C837="","",INDEX(마스터!$F$4:$F$20,MATCH(C837,마스터!$M$4:$M$20,0))),"")</f>
        <v/>
      </c>
      <c r="E837" s="27"/>
      <c r="F837" s="29"/>
      <c r="G837" s="25" t="str">
        <f>IFERROR(IF(C837="","",INDEX(마스터!$J$4:$J$20,MATCH(C837,마스터!$M$4:$M$20,0))),"")</f>
        <v/>
      </c>
      <c r="H837" s="30"/>
      <c r="I837" s="30"/>
      <c r="AC837" s="32">
        <f>IF(AND(E837&lt;&gt;"",C837&lt;&gt;"",COUNTIFS($C$8:C837,C837,$E$8:E837,E837)=1),1,0)</f>
        <v>0</v>
      </c>
    </row>
    <row r="838" spans="1:29" ht="15" customHeight="1" x14ac:dyDescent="0.25">
      <c r="A838" s="25" t="str">
        <f t="shared" si="12"/>
        <v/>
      </c>
      <c r="B838" s="26"/>
      <c r="C838" s="27"/>
      <c r="D838" s="28" t="str">
        <f>IFERROR(IF(C838="","",INDEX(마스터!$F$4:$F$20,MATCH(C838,마스터!$M$4:$M$20,0))),"")</f>
        <v/>
      </c>
      <c r="E838" s="27"/>
      <c r="F838" s="29"/>
      <c r="G838" s="25" t="str">
        <f>IFERROR(IF(C838="","",INDEX(마스터!$J$4:$J$20,MATCH(C838,마스터!$M$4:$M$20,0))),"")</f>
        <v/>
      </c>
      <c r="H838" s="30"/>
      <c r="I838" s="30"/>
      <c r="AC838" s="32">
        <f>IF(AND(E838&lt;&gt;"",C838&lt;&gt;"",COUNTIFS($C$8:C838,C838,$E$8:E838,E838)=1),1,0)</f>
        <v>0</v>
      </c>
    </row>
    <row r="839" spans="1:29" ht="15" customHeight="1" x14ac:dyDescent="0.25">
      <c r="A839" s="25" t="str">
        <f t="shared" si="12"/>
        <v/>
      </c>
      <c r="B839" s="26"/>
      <c r="C839" s="27"/>
      <c r="D839" s="28" t="str">
        <f>IFERROR(IF(C839="","",INDEX(마스터!$F$4:$F$20,MATCH(C839,마스터!$M$4:$M$20,0))),"")</f>
        <v/>
      </c>
      <c r="E839" s="27"/>
      <c r="F839" s="29"/>
      <c r="G839" s="25" t="str">
        <f>IFERROR(IF(C839="","",INDEX(마스터!$J$4:$J$20,MATCH(C839,마스터!$M$4:$M$20,0))),"")</f>
        <v/>
      </c>
      <c r="H839" s="30"/>
      <c r="I839" s="30"/>
      <c r="AC839" s="32">
        <f>IF(AND(E839&lt;&gt;"",C839&lt;&gt;"",COUNTIFS($C$8:C839,C839,$E$8:E839,E839)=1),1,0)</f>
        <v>0</v>
      </c>
    </row>
    <row r="840" spans="1:29" ht="15" customHeight="1" x14ac:dyDescent="0.25">
      <c r="A840" s="25" t="str">
        <f t="shared" ref="A840:A903" si="13">IF(B840="","",ROW()-7)</f>
        <v/>
      </c>
      <c r="B840" s="26"/>
      <c r="C840" s="27"/>
      <c r="D840" s="28" t="str">
        <f>IFERROR(IF(C840="","",INDEX(마스터!$F$4:$F$20,MATCH(C840,마스터!$M$4:$M$20,0))),"")</f>
        <v/>
      </c>
      <c r="E840" s="27"/>
      <c r="F840" s="29"/>
      <c r="G840" s="25" t="str">
        <f>IFERROR(IF(C840="","",INDEX(마스터!$J$4:$J$20,MATCH(C840,마스터!$M$4:$M$20,0))),"")</f>
        <v/>
      </c>
      <c r="H840" s="30"/>
      <c r="I840" s="30"/>
      <c r="AC840" s="32">
        <f>IF(AND(E840&lt;&gt;"",C840&lt;&gt;"",COUNTIFS($C$8:C840,C840,$E$8:E840,E840)=1),1,0)</f>
        <v>0</v>
      </c>
    </row>
    <row r="841" spans="1:29" ht="15" customHeight="1" x14ac:dyDescent="0.25">
      <c r="A841" s="25" t="str">
        <f t="shared" si="13"/>
        <v/>
      </c>
      <c r="B841" s="26"/>
      <c r="C841" s="27"/>
      <c r="D841" s="28" t="str">
        <f>IFERROR(IF(C841="","",INDEX(마스터!$F$4:$F$20,MATCH(C841,마스터!$M$4:$M$20,0))),"")</f>
        <v/>
      </c>
      <c r="E841" s="27"/>
      <c r="F841" s="29"/>
      <c r="G841" s="25" t="str">
        <f>IFERROR(IF(C841="","",INDEX(마스터!$J$4:$J$20,MATCH(C841,마스터!$M$4:$M$20,0))),"")</f>
        <v/>
      </c>
      <c r="H841" s="30"/>
      <c r="I841" s="30"/>
      <c r="AC841" s="32">
        <f>IF(AND(E841&lt;&gt;"",C841&lt;&gt;"",COUNTIFS($C$8:C841,C841,$E$8:E841,E841)=1),1,0)</f>
        <v>0</v>
      </c>
    </row>
    <row r="842" spans="1:29" ht="15" customHeight="1" x14ac:dyDescent="0.25">
      <c r="A842" s="25" t="str">
        <f t="shared" si="13"/>
        <v/>
      </c>
      <c r="B842" s="26"/>
      <c r="C842" s="27"/>
      <c r="D842" s="28" t="str">
        <f>IFERROR(IF(C842="","",INDEX(마스터!$F$4:$F$20,MATCH(C842,마스터!$M$4:$M$20,0))),"")</f>
        <v/>
      </c>
      <c r="E842" s="27"/>
      <c r="F842" s="29"/>
      <c r="G842" s="25" t="str">
        <f>IFERROR(IF(C842="","",INDEX(마스터!$J$4:$J$20,MATCH(C842,마스터!$M$4:$M$20,0))),"")</f>
        <v/>
      </c>
      <c r="H842" s="30"/>
      <c r="I842" s="30"/>
      <c r="AC842" s="32">
        <f>IF(AND(E842&lt;&gt;"",C842&lt;&gt;"",COUNTIFS($C$8:C842,C842,$E$8:E842,E842)=1),1,0)</f>
        <v>0</v>
      </c>
    </row>
    <row r="843" spans="1:29" ht="15" customHeight="1" x14ac:dyDescent="0.25">
      <c r="A843" s="25" t="str">
        <f t="shared" si="13"/>
        <v/>
      </c>
      <c r="B843" s="26"/>
      <c r="C843" s="27"/>
      <c r="D843" s="28" t="str">
        <f>IFERROR(IF(C843="","",INDEX(마스터!$F$4:$F$20,MATCH(C843,마스터!$M$4:$M$20,0))),"")</f>
        <v/>
      </c>
      <c r="E843" s="27"/>
      <c r="F843" s="29"/>
      <c r="G843" s="25" t="str">
        <f>IFERROR(IF(C843="","",INDEX(마스터!$J$4:$J$20,MATCH(C843,마스터!$M$4:$M$20,0))),"")</f>
        <v/>
      </c>
      <c r="H843" s="30"/>
      <c r="I843" s="30"/>
      <c r="AC843" s="32">
        <f>IF(AND(E843&lt;&gt;"",C843&lt;&gt;"",COUNTIFS($C$8:C843,C843,$E$8:E843,E843)=1),1,0)</f>
        <v>0</v>
      </c>
    </row>
    <row r="844" spans="1:29" ht="15" customHeight="1" x14ac:dyDescent="0.25">
      <c r="A844" s="25" t="str">
        <f t="shared" si="13"/>
        <v/>
      </c>
      <c r="B844" s="26"/>
      <c r="C844" s="27"/>
      <c r="D844" s="28" t="str">
        <f>IFERROR(IF(C844="","",INDEX(마스터!$F$4:$F$20,MATCH(C844,마스터!$M$4:$M$20,0))),"")</f>
        <v/>
      </c>
      <c r="E844" s="27"/>
      <c r="F844" s="29"/>
      <c r="G844" s="25" t="str">
        <f>IFERROR(IF(C844="","",INDEX(마스터!$J$4:$J$20,MATCH(C844,마스터!$M$4:$M$20,0))),"")</f>
        <v/>
      </c>
      <c r="H844" s="30"/>
      <c r="I844" s="30"/>
      <c r="AC844" s="32">
        <f>IF(AND(E844&lt;&gt;"",C844&lt;&gt;"",COUNTIFS($C$8:C844,C844,$E$8:E844,E844)=1),1,0)</f>
        <v>0</v>
      </c>
    </row>
    <row r="845" spans="1:29" ht="15" customHeight="1" x14ac:dyDescent="0.25">
      <c r="A845" s="25" t="str">
        <f t="shared" si="13"/>
        <v/>
      </c>
      <c r="B845" s="26"/>
      <c r="C845" s="27"/>
      <c r="D845" s="28" t="str">
        <f>IFERROR(IF(C845="","",INDEX(마스터!$F$4:$F$20,MATCH(C845,마스터!$M$4:$M$20,0))),"")</f>
        <v/>
      </c>
      <c r="E845" s="27"/>
      <c r="F845" s="29"/>
      <c r="G845" s="25" t="str">
        <f>IFERROR(IF(C845="","",INDEX(마스터!$J$4:$J$20,MATCH(C845,마스터!$M$4:$M$20,0))),"")</f>
        <v/>
      </c>
      <c r="H845" s="30"/>
      <c r="I845" s="30"/>
      <c r="AC845" s="32">
        <f>IF(AND(E845&lt;&gt;"",C845&lt;&gt;"",COUNTIFS($C$8:C845,C845,$E$8:E845,E845)=1),1,0)</f>
        <v>0</v>
      </c>
    </row>
    <row r="846" spans="1:29" ht="15" customHeight="1" x14ac:dyDescent="0.25">
      <c r="A846" s="25" t="str">
        <f t="shared" si="13"/>
        <v/>
      </c>
      <c r="B846" s="26"/>
      <c r="C846" s="27"/>
      <c r="D846" s="28" t="str">
        <f>IFERROR(IF(C846="","",INDEX(마스터!$F$4:$F$20,MATCH(C846,마스터!$M$4:$M$20,0))),"")</f>
        <v/>
      </c>
      <c r="E846" s="27"/>
      <c r="F846" s="29"/>
      <c r="G846" s="25" t="str">
        <f>IFERROR(IF(C846="","",INDEX(마스터!$J$4:$J$20,MATCH(C846,마스터!$M$4:$M$20,0))),"")</f>
        <v/>
      </c>
      <c r="H846" s="30"/>
      <c r="I846" s="30"/>
      <c r="AC846" s="32">
        <f>IF(AND(E846&lt;&gt;"",C846&lt;&gt;"",COUNTIFS($C$8:C846,C846,$E$8:E846,E846)=1),1,0)</f>
        <v>0</v>
      </c>
    </row>
    <row r="847" spans="1:29" ht="15" customHeight="1" x14ac:dyDescent="0.25">
      <c r="A847" s="25" t="str">
        <f t="shared" si="13"/>
        <v/>
      </c>
      <c r="B847" s="26"/>
      <c r="C847" s="27"/>
      <c r="D847" s="28" t="str">
        <f>IFERROR(IF(C847="","",INDEX(마스터!$F$4:$F$20,MATCH(C847,마스터!$M$4:$M$20,0))),"")</f>
        <v/>
      </c>
      <c r="E847" s="27"/>
      <c r="F847" s="29"/>
      <c r="G847" s="25" t="str">
        <f>IFERROR(IF(C847="","",INDEX(마스터!$J$4:$J$20,MATCH(C847,마스터!$M$4:$M$20,0))),"")</f>
        <v/>
      </c>
      <c r="H847" s="30"/>
      <c r="I847" s="30"/>
      <c r="AC847" s="32">
        <f>IF(AND(E847&lt;&gt;"",C847&lt;&gt;"",COUNTIFS($C$8:C847,C847,$E$8:E847,E847)=1),1,0)</f>
        <v>0</v>
      </c>
    </row>
    <row r="848" spans="1:29" ht="15" customHeight="1" x14ac:dyDescent="0.25">
      <c r="A848" s="25" t="str">
        <f t="shared" si="13"/>
        <v/>
      </c>
      <c r="B848" s="26"/>
      <c r="C848" s="27"/>
      <c r="D848" s="28" t="str">
        <f>IFERROR(IF(C848="","",INDEX(마스터!$F$4:$F$20,MATCH(C848,마스터!$M$4:$M$20,0))),"")</f>
        <v/>
      </c>
      <c r="E848" s="27"/>
      <c r="F848" s="29"/>
      <c r="G848" s="25" t="str">
        <f>IFERROR(IF(C848="","",INDEX(마스터!$J$4:$J$20,MATCH(C848,마스터!$M$4:$M$20,0))),"")</f>
        <v/>
      </c>
      <c r="H848" s="30"/>
      <c r="I848" s="30"/>
      <c r="AC848" s="32">
        <f>IF(AND(E848&lt;&gt;"",C848&lt;&gt;"",COUNTIFS($C$8:C848,C848,$E$8:E848,E848)=1),1,0)</f>
        <v>0</v>
      </c>
    </row>
    <row r="849" spans="1:29" ht="15" customHeight="1" x14ac:dyDescent="0.25">
      <c r="A849" s="25" t="str">
        <f t="shared" si="13"/>
        <v/>
      </c>
      <c r="B849" s="26"/>
      <c r="C849" s="27"/>
      <c r="D849" s="28" t="str">
        <f>IFERROR(IF(C849="","",INDEX(마스터!$F$4:$F$20,MATCH(C849,마스터!$M$4:$M$20,0))),"")</f>
        <v/>
      </c>
      <c r="E849" s="27"/>
      <c r="F849" s="29"/>
      <c r="G849" s="25" t="str">
        <f>IFERROR(IF(C849="","",INDEX(마스터!$J$4:$J$20,MATCH(C849,마스터!$M$4:$M$20,0))),"")</f>
        <v/>
      </c>
      <c r="H849" s="30"/>
      <c r="I849" s="30"/>
      <c r="AC849" s="32">
        <f>IF(AND(E849&lt;&gt;"",C849&lt;&gt;"",COUNTIFS($C$8:C849,C849,$E$8:E849,E849)=1),1,0)</f>
        <v>0</v>
      </c>
    </row>
    <row r="850" spans="1:29" ht="15" customHeight="1" x14ac:dyDescent="0.25">
      <c r="A850" s="25" t="str">
        <f t="shared" si="13"/>
        <v/>
      </c>
      <c r="B850" s="26"/>
      <c r="C850" s="27"/>
      <c r="D850" s="28" t="str">
        <f>IFERROR(IF(C850="","",INDEX(마스터!$F$4:$F$20,MATCH(C850,마스터!$M$4:$M$20,0))),"")</f>
        <v/>
      </c>
      <c r="E850" s="27"/>
      <c r="F850" s="29"/>
      <c r="G850" s="25" t="str">
        <f>IFERROR(IF(C850="","",INDEX(마스터!$J$4:$J$20,MATCH(C850,마스터!$M$4:$M$20,0))),"")</f>
        <v/>
      </c>
      <c r="H850" s="30"/>
      <c r="I850" s="30"/>
      <c r="AC850" s="32">
        <f>IF(AND(E850&lt;&gt;"",C850&lt;&gt;"",COUNTIFS($C$8:C850,C850,$E$8:E850,E850)=1),1,0)</f>
        <v>0</v>
      </c>
    </row>
    <row r="851" spans="1:29" ht="15" customHeight="1" x14ac:dyDescent="0.25">
      <c r="A851" s="25" t="str">
        <f t="shared" si="13"/>
        <v/>
      </c>
      <c r="B851" s="26"/>
      <c r="C851" s="27"/>
      <c r="D851" s="28" t="str">
        <f>IFERROR(IF(C851="","",INDEX(마스터!$F$4:$F$20,MATCH(C851,마스터!$M$4:$M$20,0))),"")</f>
        <v/>
      </c>
      <c r="E851" s="27"/>
      <c r="F851" s="29"/>
      <c r="G851" s="25" t="str">
        <f>IFERROR(IF(C851="","",INDEX(마스터!$J$4:$J$20,MATCH(C851,마스터!$M$4:$M$20,0))),"")</f>
        <v/>
      </c>
      <c r="H851" s="30"/>
      <c r="I851" s="30"/>
      <c r="AC851" s="32">
        <f>IF(AND(E851&lt;&gt;"",C851&lt;&gt;"",COUNTIFS($C$8:C851,C851,$E$8:E851,E851)=1),1,0)</f>
        <v>0</v>
      </c>
    </row>
    <row r="852" spans="1:29" ht="15" customHeight="1" x14ac:dyDescent="0.25">
      <c r="A852" s="25" t="str">
        <f t="shared" si="13"/>
        <v/>
      </c>
      <c r="B852" s="26"/>
      <c r="C852" s="27"/>
      <c r="D852" s="28" t="str">
        <f>IFERROR(IF(C852="","",INDEX(마스터!$F$4:$F$20,MATCH(C852,마스터!$M$4:$M$20,0))),"")</f>
        <v/>
      </c>
      <c r="E852" s="27"/>
      <c r="F852" s="29"/>
      <c r="G852" s="25" t="str">
        <f>IFERROR(IF(C852="","",INDEX(마스터!$J$4:$J$20,MATCH(C852,마스터!$M$4:$M$20,0))),"")</f>
        <v/>
      </c>
      <c r="H852" s="30"/>
      <c r="I852" s="30"/>
      <c r="AC852" s="32">
        <f>IF(AND(E852&lt;&gt;"",C852&lt;&gt;"",COUNTIFS($C$8:C852,C852,$E$8:E852,E852)=1),1,0)</f>
        <v>0</v>
      </c>
    </row>
    <row r="853" spans="1:29" ht="15" customHeight="1" x14ac:dyDescent="0.25">
      <c r="A853" s="25" t="str">
        <f t="shared" si="13"/>
        <v/>
      </c>
      <c r="B853" s="26"/>
      <c r="C853" s="27"/>
      <c r="D853" s="28" t="str">
        <f>IFERROR(IF(C853="","",INDEX(마스터!$F$4:$F$20,MATCH(C853,마스터!$M$4:$M$20,0))),"")</f>
        <v/>
      </c>
      <c r="E853" s="27"/>
      <c r="F853" s="29"/>
      <c r="G853" s="25" t="str">
        <f>IFERROR(IF(C853="","",INDEX(마스터!$J$4:$J$20,MATCH(C853,마스터!$M$4:$M$20,0))),"")</f>
        <v/>
      </c>
      <c r="H853" s="30"/>
      <c r="I853" s="30"/>
      <c r="AC853" s="32">
        <f>IF(AND(E853&lt;&gt;"",C853&lt;&gt;"",COUNTIFS($C$8:C853,C853,$E$8:E853,E853)=1),1,0)</f>
        <v>0</v>
      </c>
    </row>
    <row r="854" spans="1:29" ht="15" customHeight="1" x14ac:dyDescent="0.25">
      <c r="A854" s="25" t="str">
        <f t="shared" si="13"/>
        <v/>
      </c>
      <c r="B854" s="26"/>
      <c r="C854" s="27"/>
      <c r="D854" s="28" t="str">
        <f>IFERROR(IF(C854="","",INDEX(마스터!$F$4:$F$20,MATCH(C854,마스터!$M$4:$M$20,0))),"")</f>
        <v/>
      </c>
      <c r="E854" s="27"/>
      <c r="F854" s="29"/>
      <c r="G854" s="25" t="str">
        <f>IFERROR(IF(C854="","",INDEX(마스터!$J$4:$J$20,MATCH(C854,마스터!$M$4:$M$20,0))),"")</f>
        <v/>
      </c>
      <c r="H854" s="30"/>
      <c r="I854" s="30"/>
      <c r="AC854" s="32">
        <f>IF(AND(E854&lt;&gt;"",C854&lt;&gt;"",COUNTIFS($C$8:C854,C854,$E$8:E854,E854)=1),1,0)</f>
        <v>0</v>
      </c>
    </row>
    <row r="855" spans="1:29" ht="15" customHeight="1" x14ac:dyDescent="0.25">
      <c r="A855" s="25" t="str">
        <f t="shared" si="13"/>
        <v/>
      </c>
      <c r="B855" s="26"/>
      <c r="C855" s="27"/>
      <c r="D855" s="28" t="str">
        <f>IFERROR(IF(C855="","",INDEX(마스터!$F$4:$F$20,MATCH(C855,마스터!$M$4:$M$20,0))),"")</f>
        <v/>
      </c>
      <c r="E855" s="27"/>
      <c r="F855" s="29"/>
      <c r="G855" s="25" t="str">
        <f>IFERROR(IF(C855="","",INDEX(마스터!$J$4:$J$20,MATCH(C855,마스터!$M$4:$M$20,0))),"")</f>
        <v/>
      </c>
      <c r="H855" s="30"/>
      <c r="I855" s="30"/>
      <c r="AC855" s="32">
        <f>IF(AND(E855&lt;&gt;"",C855&lt;&gt;"",COUNTIFS($C$8:C855,C855,$E$8:E855,E855)=1),1,0)</f>
        <v>0</v>
      </c>
    </row>
    <row r="856" spans="1:29" ht="15" customHeight="1" x14ac:dyDescent="0.25">
      <c r="A856" s="25" t="str">
        <f t="shared" si="13"/>
        <v/>
      </c>
      <c r="B856" s="26"/>
      <c r="C856" s="27"/>
      <c r="D856" s="28" t="str">
        <f>IFERROR(IF(C856="","",INDEX(마스터!$F$4:$F$20,MATCH(C856,마스터!$M$4:$M$20,0))),"")</f>
        <v/>
      </c>
      <c r="E856" s="27"/>
      <c r="F856" s="29"/>
      <c r="G856" s="25" t="str">
        <f>IFERROR(IF(C856="","",INDEX(마스터!$J$4:$J$20,MATCH(C856,마스터!$M$4:$M$20,0))),"")</f>
        <v/>
      </c>
      <c r="H856" s="30"/>
      <c r="I856" s="30"/>
      <c r="AC856" s="32">
        <f>IF(AND(E856&lt;&gt;"",C856&lt;&gt;"",COUNTIFS($C$8:C856,C856,$E$8:E856,E856)=1),1,0)</f>
        <v>0</v>
      </c>
    </row>
    <row r="857" spans="1:29" ht="15" customHeight="1" x14ac:dyDescent="0.25">
      <c r="A857" s="25" t="str">
        <f t="shared" si="13"/>
        <v/>
      </c>
      <c r="B857" s="26"/>
      <c r="C857" s="27"/>
      <c r="D857" s="28" t="str">
        <f>IFERROR(IF(C857="","",INDEX(마스터!$F$4:$F$20,MATCH(C857,마스터!$M$4:$M$20,0))),"")</f>
        <v/>
      </c>
      <c r="E857" s="27"/>
      <c r="F857" s="29"/>
      <c r="G857" s="25" t="str">
        <f>IFERROR(IF(C857="","",INDEX(마스터!$J$4:$J$20,MATCH(C857,마스터!$M$4:$M$20,0))),"")</f>
        <v/>
      </c>
      <c r="H857" s="30"/>
      <c r="I857" s="30"/>
      <c r="AC857" s="32">
        <f>IF(AND(E857&lt;&gt;"",C857&lt;&gt;"",COUNTIFS($C$8:C857,C857,$E$8:E857,E857)=1),1,0)</f>
        <v>0</v>
      </c>
    </row>
    <row r="858" spans="1:29" ht="15" customHeight="1" x14ac:dyDescent="0.25">
      <c r="A858" s="25" t="str">
        <f t="shared" si="13"/>
        <v/>
      </c>
      <c r="B858" s="26"/>
      <c r="C858" s="27"/>
      <c r="D858" s="28" t="str">
        <f>IFERROR(IF(C858="","",INDEX(마스터!$F$4:$F$20,MATCH(C858,마스터!$M$4:$M$20,0))),"")</f>
        <v/>
      </c>
      <c r="E858" s="27"/>
      <c r="F858" s="29"/>
      <c r="G858" s="25" t="str">
        <f>IFERROR(IF(C858="","",INDEX(마스터!$J$4:$J$20,MATCH(C858,마스터!$M$4:$M$20,0))),"")</f>
        <v/>
      </c>
      <c r="H858" s="30"/>
      <c r="I858" s="30"/>
      <c r="AC858" s="32">
        <f>IF(AND(E858&lt;&gt;"",C858&lt;&gt;"",COUNTIFS($C$8:C858,C858,$E$8:E858,E858)=1),1,0)</f>
        <v>0</v>
      </c>
    </row>
    <row r="859" spans="1:29" ht="15" customHeight="1" x14ac:dyDescent="0.25">
      <c r="A859" s="25" t="str">
        <f t="shared" si="13"/>
        <v/>
      </c>
      <c r="B859" s="26"/>
      <c r="C859" s="27"/>
      <c r="D859" s="28" t="str">
        <f>IFERROR(IF(C859="","",INDEX(마스터!$F$4:$F$20,MATCH(C859,마스터!$M$4:$M$20,0))),"")</f>
        <v/>
      </c>
      <c r="E859" s="27"/>
      <c r="F859" s="29"/>
      <c r="G859" s="25" t="str">
        <f>IFERROR(IF(C859="","",INDEX(마스터!$J$4:$J$20,MATCH(C859,마스터!$M$4:$M$20,0))),"")</f>
        <v/>
      </c>
      <c r="H859" s="30"/>
      <c r="I859" s="30"/>
      <c r="AC859" s="32">
        <f>IF(AND(E859&lt;&gt;"",C859&lt;&gt;"",COUNTIFS($C$8:C859,C859,$E$8:E859,E859)=1),1,0)</f>
        <v>0</v>
      </c>
    </row>
    <row r="860" spans="1:29" ht="15" customHeight="1" x14ac:dyDescent="0.25">
      <c r="A860" s="25" t="str">
        <f t="shared" si="13"/>
        <v/>
      </c>
      <c r="B860" s="26"/>
      <c r="C860" s="27"/>
      <c r="D860" s="28" t="str">
        <f>IFERROR(IF(C860="","",INDEX(마스터!$F$4:$F$20,MATCH(C860,마스터!$M$4:$M$20,0))),"")</f>
        <v/>
      </c>
      <c r="E860" s="27"/>
      <c r="F860" s="29"/>
      <c r="G860" s="25" t="str">
        <f>IFERROR(IF(C860="","",INDEX(마스터!$J$4:$J$20,MATCH(C860,마스터!$M$4:$M$20,0))),"")</f>
        <v/>
      </c>
      <c r="H860" s="30"/>
      <c r="I860" s="30"/>
      <c r="AC860" s="32">
        <f>IF(AND(E860&lt;&gt;"",C860&lt;&gt;"",COUNTIFS($C$8:C860,C860,$E$8:E860,E860)=1),1,0)</f>
        <v>0</v>
      </c>
    </row>
    <row r="861" spans="1:29" ht="15" customHeight="1" x14ac:dyDescent="0.25">
      <c r="A861" s="25" t="str">
        <f t="shared" si="13"/>
        <v/>
      </c>
      <c r="B861" s="26"/>
      <c r="C861" s="27"/>
      <c r="D861" s="28" t="str">
        <f>IFERROR(IF(C861="","",INDEX(마스터!$F$4:$F$20,MATCH(C861,마스터!$M$4:$M$20,0))),"")</f>
        <v/>
      </c>
      <c r="E861" s="27"/>
      <c r="F861" s="29"/>
      <c r="G861" s="25" t="str">
        <f>IFERROR(IF(C861="","",INDEX(마스터!$J$4:$J$20,MATCH(C861,마스터!$M$4:$M$20,0))),"")</f>
        <v/>
      </c>
      <c r="H861" s="30"/>
      <c r="I861" s="30"/>
      <c r="AC861" s="32">
        <f>IF(AND(E861&lt;&gt;"",C861&lt;&gt;"",COUNTIFS($C$8:C861,C861,$E$8:E861,E861)=1),1,0)</f>
        <v>0</v>
      </c>
    </row>
    <row r="862" spans="1:29" ht="15" customHeight="1" x14ac:dyDescent="0.25">
      <c r="A862" s="25" t="str">
        <f t="shared" si="13"/>
        <v/>
      </c>
      <c r="B862" s="26"/>
      <c r="C862" s="27"/>
      <c r="D862" s="28" t="str">
        <f>IFERROR(IF(C862="","",INDEX(마스터!$F$4:$F$20,MATCH(C862,마스터!$M$4:$M$20,0))),"")</f>
        <v/>
      </c>
      <c r="E862" s="27"/>
      <c r="F862" s="29"/>
      <c r="G862" s="25" t="str">
        <f>IFERROR(IF(C862="","",INDEX(마스터!$J$4:$J$20,MATCH(C862,마스터!$M$4:$M$20,0))),"")</f>
        <v/>
      </c>
      <c r="H862" s="30"/>
      <c r="I862" s="30"/>
      <c r="AC862" s="32">
        <f>IF(AND(E862&lt;&gt;"",C862&lt;&gt;"",COUNTIFS($C$8:C862,C862,$E$8:E862,E862)=1),1,0)</f>
        <v>0</v>
      </c>
    </row>
    <row r="863" spans="1:29" ht="15" customHeight="1" x14ac:dyDescent="0.25">
      <c r="A863" s="25" t="str">
        <f t="shared" si="13"/>
        <v/>
      </c>
      <c r="B863" s="26"/>
      <c r="C863" s="27"/>
      <c r="D863" s="28" t="str">
        <f>IFERROR(IF(C863="","",INDEX(마스터!$F$4:$F$20,MATCH(C863,마스터!$M$4:$M$20,0))),"")</f>
        <v/>
      </c>
      <c r="E863" s="27"/>
      <c r="F863" s="29"/>
      <c r="G863" s="25" t="str">
        <f>IFERROR(IF(C863="","",INDEX(마스터!$J$4:$J$20,MATCH(C863,마스터!$M$4:$M$20,0))),"")</f>
        <v/>
      </c>
      <c r="H863" s="30"/>
      <c r="I863" s="30"/>
      <c r="AC863" s="32">
        <f>IF(AND(E863&lt;&gt;"",C863&lt;&gt;"",COUNTIFS($C$8:C863,C863,$E$8:E863,E863)=1),1,0)</f>
        <v>0</v>
      </c>
    </row>
    <row r="864" spans="1:29" ht="15" customHeight="1" x14ac:dyDescent="0.25">
      <c r="A864" s="25" t="str">
        <f t="shared" si="13"/>
        <v/>
      </c>
      <c r="B864" s="26"/>
      <c r="C864" s="27"/>
      <c r="D864" s="28" t="str">
        <f>IFERROR(IF(C864="","",INDEX(마스터!$F$4:$F$20,MATCH(C864,마스터!$M$4:$M$20,0))),"")</f>
        <v/>
      </c>
      <c r="E864" s="27"/>
      <c r="F864" s="29"/>
      <c r="G864" s="25" t="str">
        <f>IFERROR(IF(C864="","",INDEX(마스터!$J$4:$J$20,MATCH(C864,마스터!$M$4:$M$20,0))),"")</f>
        <v/>
      </c>
      <c r="H864" s="30"/>
      <c r="I864" s="30"/>
      <c r="AC864" s="32">
        <f>IF(AND(E864&lt;&gt;"",C864&lt;&gt;"",COUNTIFS($C$8:C864,C864,$E$8:E864,E864)=1),1,0)</f>
        <v>0</v>
      </c>
    </row>
    <row r="865" spans="1:29" ht="15" customHeight="1" x14ac:dyDescent="0.25">
      <c r="A865" s="25" t="str">
        <f t="shared" si="13"/>
        <v/>
      </c>
      <c r="B865" s="26"/>
      <c r="C865" s="27"/>
      <c r="D865" s="28" t="str">
        <f>IFERROR(IF(C865="","",INDEX(마스터!$F$4:$F$20,MATCH(C865,마스터!$M$4:$M$20,0))),"")</f>
        <v/>
      </c>
      <c r="E865" s="27"/>
      <c r="F865" s="29"/>
      <c r="G865" s="25" t="str">
        <f>IFERROR(IF(C865="","",INDEX(마스터!$J$4:$J$20,MATCH(C865,마스터!$M$4:$M$20,0))),"")</f>
        <v/>
      </c>
      <c r="H865" s="30"/>
      <c r="I865" s="30"/>
      <c r="AC865" s="32">
        <f>IF(AND(E865&lt;&gt;"",C865&lt;&gt;"",COUNTIFS($C$8:C865,C865,$E$8:E865,E865)=1),1,0)</f>
        <v>0</v>
      </c>
    </row>
    <row r="866" spans="1:29" ht="15" customHeight="1" x14ac:dyDescent="0.25">
      <c r="A866" s="25" t="str">
        <f t="shared" si="13"/>
        <v/>
      </c>
      <c r="B866" s="26"/>
      <c r="C866" s="27"/>
      <c r="D866" s="28" t="str">
        <f>IFERROR(IF(C866="","",INDEX(마스터!$F$4:$F$20,MATCH(C866,마스터!$M$4:$M$20,0))),"")</f>
        <v/>
      </c>
      <c r="E866" s="27"/>
      <c r="F866" s="29"/>
      <c r="G866" s="25" t="str">
        <f>IFERROR(IF(C866="","",INDEX(마스터!$J$4:$J$20,MATCH(C866,마스터!$M$4:$M$20,0))),"")</f>
        <v/>
      </c>
      <c r="H866" s="30"/>
      <c r="I866" s="30"/>
      <c r="AC866" s="32">
        <f>IF(AND(E866&lt;&gt;"",C866&lt;&gt;"",COUNTIFS($C$8:C866,C866,$E$8:E866,E866)=1),1,0)</f>
        <v>0</v>
      </c>
    </row>
    <row r="867" spans="1:29" ht="15" customHeight="1" x14ac:dyDescent="0.25">
      <c r="A867" s="25" t="str">
        <f t="shared" si="13"/>
        <v/>
      </c>
      <c r="B867" s="26"/>
      <c r="C867" s="27"/>
      <c r="D867" s="28" t="str">
        <f>IFERROR(IF(C867="","",INDEX(마스터!$F$4:$F$20,MATCH(C867,마스터!$M$4:$M$20,0))),"")</f>
        <v/>
      </c>
      <c r="E867" s="27"/>
      <c r="F867" s="29"/>
      <c r="G867" s="25" t="str">
        <f>IFERROR(IF(C867="","",INDEX(마스터!$J$4:$J$20,MATCH(C867,마스터!$M$4:$M$20,0))),"")</f>
        <v/>
      </c>
      <c r="H867" s="30"/>
      <c r="I867" s="30"/>
      <c r="AC867" s="32">
        <f>IF(AND(E867&lt;&gt;"",C867&lt;&gt;"",COUNTIFS($C$8:C867,C867,$E$8:E867,E867)=1),1,0)</f>
        <v>0</v>
      </c>
    </row>
    <row r="868" spans="1:29" ht="15" customHeight="1" x14ac:dyDescent="0.25">
      <c r="A868" s="25" t="str">
        <f t="shared" si="13"/>
        <v/>
      </c>
      <c r="B868" s="26"/>
      <c r="C868" s="27"/>
      <c r="D868" s="28" t="str">
        <f>IFERROR(IF(C868="","",INDEX(마스터!$F$4:$F$20,MATCH(C868,마스터!$M$4:$M$20,0))),"")</f>
        <v/>
      </c>
      <c r="E868" s="27"/>
      <c r="F868" s="29"/>
      <c r="G868" s="25" t="str">
        <f>IFERROR(IF(C868="","",INDEX(마스터!$J$4:$J$20,MATCH(C868,마스터!$M$4:$M$20,0))),"")</f>
        <v/>
      </c>
      <c r="H868" s="30"/>
      <c r="I868" s="30"/>
      <c r="AC868" s="32">
        <f>IF(AND(E868&lt;&gt;"",C868&lt;&gt;"",COUNTIFS($C$8:C868,C868,$E$8:E868,E868)=1),1,0)</f>
        <v>0</v>
      </c>
    </row>
    <row r="869" spans="1:29" ht="15" customHeight="1" x14ac:dyDescent="0.25">
      <c r="A869" s="25" t="str">
        <f t="shared" si="13"/>
        <v/>
      </c>
      <c r="B869" s="26"/>
      <c r="C869" s="27"/>
      <c r="D869" s="28" t="str">
        <f>IFERROR(IF(C869="","",INDEX(마스터!$F$4:$F$20,MATCH(C869,마스터!$M$4:$M$20,0))),"")</f>
        <v/>
      </c>
      <c r="E869" s="27"/>
      <c r="F869" s="29"/>
      <c r="G869" s="25" t="str">
        <f>IFERROR(IF(C869="","",INDEX(마스터!$J$4:$J$20,MATCH(C869,마스터!$M$4:$M$20,0))),"")</f>
        <v/>
      </c>
      <c r="H869" s="30"/>
      <c r="I869" s="30"/>
      <c r="AC869" s="32">
        <f>IF(AND(E869&lt;&gt;"",C869&lt;&gt;"",COUNTIFS($C$8:C869,C869,$E$8:E869,E869)=1),1,0)</f>
        <v>0</v>
      </c>
    </row>
    <row r="870" spans="1:29" ht="15" customHeight="1" x14ac:dyDescent="0.25">
      <c r="A870" s="25" t="str">
        <f t="shared" si="13"/>
        <v/>
      </c>
      <c r="B870" s="26"/>
      <c r="C870" s="27"/>
      <c r="D870" s="28" t="str">
        <f>IFERROR(IF(C870="","",INDEX(마스터!$F$4:$F$20,MATCH(C870,마스터!$M$4:$M$20,0))),"")</f>
        <v/>
      </c>
      <c r="E870" s="27"/>
      <c r="F870" s="29"/>
      <c r="G870" s="25" t="str">
        <f>IFERROR(IF(C870="","",INDEX(마스터!$J$4:$J$20,MATCH(C870,마스터!$M$4:$M$20,0))),"")</f>
        <v/>
      </c>
      <c r="H870" s="30"/>
      <c r="I870" s="30"/>
      <c r="AC870" s="32">
        <f>IF(AND(E870&lt;&gt;"",C870&lt;&gt;"",COUNTIFS($C$8:C870,C870,$E$8:E870,E870)=1),1,0)</f>
        <v>0</v>
      </c>
    </row>
    <row r="871" spans="1:29" ht="15" customHeight="1" x14ac:dyDescent="0.25">
      <c r="A871" s="25" t="str">
        <f t="shared" si="13"/>
        <v/>
      </c>
      <c r="B871" s="26"/>
      <c r="C871" s="27"/>
      <c r="D871" s="28" t="str">
        <f>IFERROR(IF(C871="","",INDEX(마스터!$F$4:$F$20,MATCH(C871,마스터!$M$4:$M$20,0))),"")</f>
        <v/>
      </c>
      <c r="E871" s="27"/>
      <c r="F871" s="29"/>
      <c r="G871" s="25" t="str">
        <f>IFERROR(IF(C871="","",INDEX(마스터!$J$4:$J$20,MATCH(C871,마스터!$M$4:$M$20,0))),"")</f>
        <v/>
      </c>
      <c r="H871" s="30"/>
      <c r="I871" s="30"/>
      <c r="AC871" s="32">
        <f>IF(AND(E871&lt;&gt;"",C871&lt;&gt;"",COUNTIFS($C$8:C871,C871,$E$8:E871,E871)=1),1,0)</f>
        <v>0</v>
      </c>
    </row>
    <row r="872" spans="1:29" ht="15" customHeight="1" x14ac:dyDescent="0.25">
      <c r="A872" s="25" t="str">
        <f t="shared" si="13"/>
        <v/>
      </c>
      <c r="B872" s="26"/>
      <c r="C872" s="27"/>
      <c r="D872" s="28" t="str">
        <f>IFERROR(IF(C872="","",INDEX(마스터!$F$4:$F$20,MATCH(C872,마스터!$M$4:$M$20,0))),"")</f>
        <v/>
      </c>
      <c r="E872" s="27"/>
      <c r="F872" s="29"/>
      <c r="G872" s="25" t="str">
        <f>IFERROR(IF(C872="","",INDEX(마스터!$J$4:$J$20,MATCH(C872,마스터!$M$4:$M$20,0))),"")</f>
        <v/>
      </c>
      <c r="H872" s="30"/>
      <c r="I872" s="30"/>
      <c r="AC872" s="32">
        <f>IF(AND(E872&lt;&gt;"",C872&lt;&gt;"",COUNTIFS($C$8:C872,C872,$E$8:E872,E872)=1),1,0)</f>
        <v>0</v>
      </c>
    </row>
    <row r="873" spans="1:29" ht="15" customHeight="1" x14ac:dyDescent="0.25">
      <c r="A873" s="25" t="str">
        <f t="shared" si="13"/>
        <v/>
      </c>
      <c r="B873" s="26"/>
      <c r="C873" s="27"/>
      <c r="D873" s="28" t="str">
        <f>IFERROR(IF(C873="","",INDEX(마스터!$F$4:$F$20,MATCH(C873,마스터!$M$4:$M$20,0))),"")</f>
        <v/>
      </c>
      <c r="E873" s="27"/>
      <c r="F873" s="29"/>
      <c r="G873" s="25" t="str">
        <f>IFERROR(IF(C873="","",INDEX(마스터!$J$4:$J$20,MATCH(C873,마스터!$M$4:$M$20,0))),"")</f>
        <v/>
      </c>
      <c r="H873" s="30"/>
      <c r="I873" s="30"/>
      <c r="AC873" s="32">
        <f>IF(AND(E873&lt;&gt;"",C873&lt;&gt;"",COUNTIFS($C$8:C873,C873,$E$8:E873,E873)=1),1,0)</f>
        <v>0</v>
      </c>
    </row>
    <row r="874" spans="1:29" ht="15" customHeight="1" x14ac:dyDescent="0.25">
      <c r="A874" s="25" t="str">
        <f t="shared" si="13"/>
        <v/>
      </c>
      <c r="B874" s="26"/>
      <c r="C874" s="27"/>
      <c r="D874" s="28" t="str">
        <f>IFERROR(IF(C874="","",INDEX(마스터!$F$4:$F$20,MATCH(C874,마스터!$M$4:$M$20,0))),"")</f>
        <v/>
      </c>
      <c r="E874" s="27"/>
      <c r="F874" s="29"/>
      <c r="G874" s="25" t="str">
        <f>IFERROR(IF(C874="","",INDEX(마스터!$J$4:$J$20,MATCH(C874,마스터!$M$4:$M$20,0))),"")</f>
        <v/>
      </c>
      <c r="H874" s="30"/>
      <c r="I874" s="30"/>
      <c r="AC874" s="32">
        <f>IF(AND(E874&lt;&gt;"",C874&lt;&gt;"",COUNTIFS($C$8:C874,C874,$E$8:E874,E874)=1),1,0)</f>
        <v>0</v>
      </c>
    </row>
    <row r="875" spans="1:29" ht="15" customHeight="1" x14ac:dyDescent="0.25">
      <c r="A875" s="25" t="str">
        <f t="shared" si="13"/>
        <v/>
      </c>
      <c r="B875" s="26"/>
      <c r="C875" s="27"/>
      <c r="D875" s="28" t="str">
        <f>IFERROR(IF(C875="","",INDEX(마스터!$F$4:$F$20,MATCH(C875,마스터!$M$4:$M$20,0))),"")</f>
        <v/>
      </c>
      <c r="E875" s="27"/>
      <c r="F875" s="29"/>
      <c r="G875" s="25" t="str">
        <f>IFERROR(IF(C875="","",INDEX(마스터!$J$4:$J$20,MATCH(C875,마스터!$M$4:$M$20,0))),"")</f>
        <v/>
      </c>
      <c r="H875" s="30"/>
      <c r="I875" s="30"/>
      <c r="AC875" s="32">
        <f>IF(AND(E875&lt;&gt;"",C875&lt;&gt;"",COUNTIFS($C$8:C875,C875,$E$8:E875,E875)=1),1,0)</f>
        <v>0</v>
      </c>
    </row>
    <row r="876" spans="1:29" ht="15" customHeight="1" x14ac:dyDescent="0.25">
      <c r="A876" s="25" t="str">
        <f t="shared" si="13"/>
        <v/>
      </c>
      <c r="B876" s="26"/>
      <c r="C876" s="27"/>
      <c r="D876" s="28" t="str">
        <f>IFERROR(IF(C876="","",INDEX(마스터!$F$4:$F$20,MATCH(C876,마스터!$M$4:$M$20,0))),"")</f>
        <v/>
      </c>
      <c r="E876" s="27"/>
      <c r="F876" s="29"/>
      <c r="G876" s="25" t="str">
        <f>IFERROR(IF(C876="","",INDEX(마스터!$J$4:$J$20,MATCH(C876,마스터!$M$4:$M$20,0))),"")</f>
        <v/>
      </c>
      <c r="H876" s="30"/>
      <c r="I876" s="30"/>
      <c r="AC876" s="32">
        <f>IF(AND(E876&lt;&gt;"",C876&lt;&gt;"",COUNTIFS($C$8:C876,C876,$E$8:E876,E876)=1),1,0)</f>
        <v>0</v>
      </c>
    </row>
    <row r="877" spans="1:29" ht="15" customHeight="1" x14ac:dyDescent="0.25">
      <c r="A877" s="25" t="str">
        <f t="shared" si="13"/>
        <v/>
      </c>
      <c r="B877" s="26"/>
      <c r="C877" s="27"/>
      <c r="D877" s="28" t="str">
        <f>IFERROR(IF(C877="","",INDEX(마스터!$F$4:$F$20,MATCH(C877,마스터!$M$4:$M$20,0))),"")</f>
        <v/>
      </c>
      <c r="E877" s="27"/>
      <c r="F877" s="29"/>
      <c r="G877" s="25" t="str">
        <f>IFERROR(IF(C877="","",INDEX(마스터!$J$4:$J$20,MATCH(C877,마스터!$M$4:$M$20,0))),"")</f>
        <v/>
      </c>
      <c r="H877" s="30"/>
      <c r="I877" s="30"/>
      <c r="AC877" s="32">
        <f>IF(AND(E877&lt;&gt;"",C877&lt;&gt;"",COUNTIFS($C$8:C877,C877,$E$8:E877,E877)=1),1,0)</f>
        <v>0</v>
      </c>
    </row>
    <row r="878" spans="1:29" ht="15" customHeight="1" x14ac:dyDescent="0.25">
      <c r="A878" s="25" t="str">
        <f t="shared" si="13"/>
        <v/>
      </c>
      <c r="B878" s="26"/>
      <c r="C878" s="27"/>
      <c r="D878" s="28" t="str">
        <f>IFERROR(IF(C878="","",INDEX(마스터!$F$4:$F$20,MATCH(C878,마스터!$M$4:$M$20,0))),"")</f>
        <v/>
      </c>
      <c r="E878" s="27"/>
      <c r="F878" s="29"/>
      <c r="G878" s="25" t="str">
        <f>IFERROR(IF(C878="","",INDEX(마스터!$J$4:$J$20,MATCH(C878,마스터!$M$4:$M$20,0))),"")</f>
        <v/>
      </c>
      <c r="H878" s="30"/>
      <c r="I878" s="30"/>
      <c r="AC878" s="32">
        <f>IF(AND(E878&lt;&gt;"",C878&lt;&gt;"",COUNTIFS($C$8:C878,C878,$E$8:E878,E878)=1),1,0)</f>
        <v>0</v>
      </c>
    </row>
    <row r="879" spans="1:29" ht="15" customHeight="1" x14ac:dyDescent="0.25">
      <c r="A879" s="25" t="str">
        <f t="shared" si="13"/>
        <v/>
      </c>
      <c r="B879" s="26"/>
      <c r="C879" s="27"/>
      <c r="D879" s="28" t="str">
        <f>IFERROR(IF(C879="","",INDEX(마스터!$F$4:$F$20,MATCH(C879,마스터!$M$4:$M$20,0))),"")</f>
        <v/>
      </c>
      <c r="E879" s="27"/>
      <c r="F879" s="29"/>
      <c r="G879" s="25" t="str">
        <f>IFERROR(IF(C879="","",INDEX(마스터!$J$4:$J$20,MATCH(C879,마스터!$M$4:$M$20,0))),"")</f>
        <v/>
      </c>
      <c r="H879" s="30"/>
      <c r="I879" s="30"/>
      <c r="AC879" s="32">
        <f>IF(AND(E879&lt;&gt;"",C879&lt;&gt;"",COUNTIFS($C$8:C879,C879,$E$8:E879,E879)=1),1,0)</f>
        <v>0</v>
      </c>
    </row>
    <row r="880" spans="1:29" ht="15" customHeight="1" x14ac:dyDescent="0.25">
      <c r="A880" s="25" t="str">
        <f t="shared" si="13"/>
        <v/>
      </c>
      <c r="B880" s="26"/>
      <c r="C880" s="27"/>
      <c r="D880" s="28" t="str">
        <f>IFERROR(IF(C880="","",INDEX(마스터!$F$4:$F$20,MATCH(C880,마스터!$M$4:$M$20,0))),"")</f>
        <v/>
      </c>
      <c r="E880" s="27"/>
      <c r="F880" s="29"/>
      <c r="G880" s="25" t="str">
        <f>IFERROR(IF(C880="","",INDEX(마스터!$J$4:$J$20,MATCH(C880,마스터!$M$4:$M$20,0))),"")</f>
        <v/>
      </c>
      <c r="H880" s="30"/>
      <c r="I880" s="30"/>
      <c r="AC880" s="32">
        <f>IF(AND(E880&lt;&gt;"",C880&lt;&gt;"",COUNTIFS($C$8:C880,C880,$E$8:E880,E880)=1),1,0)</f>
        <v>0</v>
      </c>
    </row>
    <row r="881" spans="1:29" ht="15" customHeight="1" x14ac:dyDescent="0.25">
      <c r="A881" s="25" t="str">
        <f t="shared" si="13"/>
        <v/>
      </c>
      <c r="B881" s="26"/>
      <c r="C881" s="27"/>
      <c r="D881" s="28" t="str">
        <f>IFERROR(IF(C881="","",INDEX(마스터!$F$4:$F$20,MATCH(C881,마스터!$M$4:$M$20,0))),"")</f>
        <v/>
      </c>
      <c r="E881" s="27"/>
      <c r="F881" s="29"/>
      <c r="G881" s="25" t="str">
        <f>IFERROR(IF(C881="","",INDEX(마스터!$J$4:$J$20,MATCH(C881,마스터!$M$4:$M$20,0))),"")</f>
        <v/>
      </c>
      <c r="H881" s="30"/>
      <c r="I881" s="30"/>
      <c r="AC881" s="32">
        <f>IF(AND(E881&lt;&gt;"",C881&lt;&gt;"",COUNTIFS($C$8:C881,C881,$E$8:E881,E881)=1),1,0)</f>
        <v>0</v>
      </c>
    </row>
    <row r="882" spans="1:29" ht="15" customHeight="1" x14ac:dyDescent="0.25">
      <c r="A882" s="25" t="str">
        <f t="shared" si="13"/>
        <v/>
      </c>
      <c r="B882" s="26"/>
      <c r="C882" s="27"/>
      <c r="D882" s="28" t="str">
        <f>IFERROR(IF(C882="","",INDEX(마스터!$F$4:$F$20,MATCH(C882,마스터!$M$4:$M$20,0))),"")</f>
        <v/>
      </c>
      <c r="E882" s="27"/>
      <c r="F882" s="29"/>
      <c r="G882" s="25" t="str">
        <f>IFERROR(IF(C882="","",INDEX(마스터!$J$4:$J$20,MATCH(C882,마스터!$M$4:$M$20,0))),"")</f>
        <v/>
      </c>
      <c r="H882" s="30"/>
      <c r="I882" s="30"/>
      <c r="AC882" s="32">
        <f>IF(AND(E882&lt;&gt;"",C882&lt;&gt;"",COUNTIFS($C$8:C882,C882,$E$8:E882,E882)=1),1,0)</f>
        <v>0</v>
      </c>
    </row>
    <row r="883" spans="1:29" ht="15" customHeight="1" x14ac:dyDescent="0.25">
      <c r="A883" s="25" t="str">
        <f t="shared" si="13"/>
        <v/>
      </c>
      <c r="B883" s="26"/>
      <c r="C883" s="27"/>
      <c r="D883" s="28" t="str">
        <f>IFERROR(IF(C883="","",INDEX(마스터!$F$4:$F$20,MATCH(C883,마스터!$M$4:$M$20,0))),"")</f>
        <v/>
      </c>
      <c r="E883" s="27"/>
      <c r="F883" s="29"/>
      <c r="G883" s="25" t="str">
        <f>IFERROR(IF(C883="","",INDEX(마스터!$J$4:$J$20,MATCH(C883,마스터!$M$4:$M$20,0))),"")</f>
        <v/>
      </c>
      <c r="H883" s="30"/>
      <c r="I883" s="30"/>
      <c r="AC883" s="32">
        <f>IF(AND(E883&lt;&gt;"",C883&lt;&gt;"",COUNTIFS($C$8:C883,C883,$E$8:E883,E883)=1),1,0)</f>
        <v>0</v>
      </c>
    </row>
    <row r="884" spans="1:29" ht="15" customHeight="1" x14ac:dyDescent="0.25">
      <c r="A884" s="25" t="str">
        <f t="shared" si="13"/>
        <v/>
      </c>
      <c r="B884" s="26"/>
      <c r="C884" s="27"/>
      <c r="D884" s="28" t="str">
        <f>IFERROR(IF(C884="","",INDEX(마스터!$F$4:$F$20,MATCH(C884,마스터!$M$4:$M$20,0))),"")</f>
        <v/>
      </c>
      <c r="E884" s="27"/>
      <c r="F884" s="29"/>
      <c r="G884" s="25" t="str">
        <f>IFERROR(IF(C884="","",INDEX(마스터!$J$4:$J$20,MATCH(C884,마스터!$M$4:$M$20,0))),"")</f>
        <v/>
      </c>
      <c r="H884" s="30"/>
      <c r="I884" s="30"/>
      <c r="AC884" s="32">
        <f>IF(AND(E884&lt;&gt;"",C884&lt;&gt;"",COUNTIFS($C$8:C884,C884,$E$8:E884,E884)=1),1,0)</f>
        <v>0</v>
      </c>
    </row>
    <row r="885" spans="1:29" ht="15" customHeight="1" x14ac:dyDescent="0.25">
      <c r="A885" s="25" t="str">
        <f t="shared" si="13"/>
        <v/>
      </c>
      <c r="B885" s="26"/>
      <c r="C885" s="27"/>
      <c r="D885" s="28" t="str">
        <f>IFERROR(IF(C885="","",INDEX(마스터!$F$4:$F$20,MATCH(C885,마스터!$M$4:$M$20,0))),"")</f>
        <v/>
      </c>
      <c r="E885" s="27"/>
      <c r="F885" s="29"/>
      <c r="G885" s="25" t="str">
        <f>IFERROR(IF(C885="","",INDEX(마스터!$J$4:$J$20,MATCH(C885,마스터!$M$4:$M$20,0))),"")</f>
        <v/>
      </c>
      <c r="H885" s="30"/>
      <c r="I885" s="30"/>
      <c r="AC885" s="32">
        <f>IF(AND(E885&lt;&gt;"",C885&lt;&gt;"",COUNTIFS($C$8:C885,C885,$E$8:E885,E885)=1),1,0)</f>
        <v>0</v>
      </c>
    </row>
    <row r="886" spans="1:29" ht="15" customHeight="1" x14ac:dyDescent="0.25">
      <c r="A886" s="25" t="str">
        <f t="shared" si="13"/>
        <v/>
      </c>
      <c r="B886" s="26"/>
      <c r="C886" s="27"/>
      <c r="D886" s="28" t="str">
        <f>IFERROR(IF(C886="","",INDEX(마스터!$F$4:$F$20,MATCH(C886,마스터!$M$4:$M$20,0))),"")</f>
        <v/>
      </c>
      <c r="E886" s="27"/>
      <c r="F886" s="29"/>
      <c r="G886" s="25" t="str">
        <f>IFERROR(IF(C886="","",INDEX(마스터!$J$4:$J$20,MATCH(C886,마스터!$M$4:$M$20,0))),"")</f>
        <v/>
      </c>
      <c r="H886" s="30"/>
      <c r="I886" s="30"/>
      <c r="AC886" s="32">
        <f>IF(AND(E886&lt;&gt;"",C886&lt;&gt;"",COUNTIFS($C$8:C886,C886,$E$8:E886,E886)=1),1,0)</f>
        <v>0</v>
      </c>
    </row>
    <row r="887" spans="1:29" ht="15" customHeight="1" x14ac:dyDescent="0.25">
      <c r="A887" s="25" t="str">
        <f t="shared" si="13"/>
        <v/>
      </c>
      <c r="B887" s="26"/>
      <c r="C887" s="27"/>
      <c r="D887" s="28" t="str">
        <f>IFERROR(IF(C887="","",INDEX(마스터!$F$4:$F$20,MATCH(C887,마스터!$M$4:$M$20,0))),"")</f>
        <v/>
      </c>
      <c r="E887" s="27"/>
      <c r="F887" s="29"/>
      <c r="G887" s="25" t="str">
        <f>IFERROR(IF(C887="","",INDEX(마스터!$J$4:$J$20,MATCH(C887,마스터!$M$4:$M$20,0))),"")</f>
        <v/>
      </c>
      <c r="H887" s="30"/>
      <c r="I887" s="30"/>
      <c r="AC887" s="32">
        <f>IF(AND(E887&lt;&gt;"",C887&lt;&gt;"",COUNTIFS($C$8:C887,C887,$E$8:E887,E887)=1),1,0)</f>
        <v>0</v>
      </c>
    </row>
    <row r="888" spans="1:29" ht="15" customHeight="1" x14ac:dyDescent="0.25">
      <c r="A888" s="25" t="str">
        <f t="shared" si="13"/>
        <v/>
      </c>
      <c r="B888" s="26"/>
      <c r="C888" s="27"/>
      <c r="D888" s="28" t="str">
        <f>IFERROR(IF(C888="","",INDEX(마스터!$F$4:$F$20,MATCH(C888,마스터!$M$4:$M$20,0))),"")</f>
        <v/>
      </c>
      <c r="E888" s="27"/>
      <c r="F888" s="29"/>
      <c r="G888" s="25" t="str">
        <f>IFERROR(IF(C888="","",INDEX(마스터!$J$4:$J$20,MATCH(C888,마스터!$M$4:$M$20,0))),"")</f>
        <v/>
      </c>
      <c r="H888" s="30"/>
      <c r="I888" s="30"/>
      <c r="AC888" s="32">
        <f>IF(AND(E888&lt;&gt;"",C888&lt;&gt;"",COUNTIFS($C$8:C888,C888,$E$8:E888,E888)=1),1,0)</f>
        <v>0</v>
      </c>
    </row>
    <row r="889" spans="1:29" ht="15" customHeight="1" x14ac:dyDescent="0.25">
      <c r="A889" s="25" t="str">
        <f t="shared" si="13"/>
        <v/>
      </c>
      <c r="B889" s="26"/>
      <c r="C889" s="27"/>
      <c r="D889" s="28" t="str">
        <f>IFERROR(IF(C889="","",INDEX(마스터!$F$4:$F$20,MATCH(C889,마스터!$M$4:$M$20,0))),"")</f>
        <v/>
      </c>
      <c r="E889" s="27"/>
      <c r="F889" s="29"/>
      <c r="G889" s="25" t="str">
        <f>IFERROR(IF(C889="","",INDEX(마스터!$J$4:$J$20,MATCH(C889,마스터!$M$4:$M$20,0))),"")</f>
        <v/>
      </c>
      <c r="H889" s="30"/>
      <c r="I889" s="30"/>
      <c r="AC889" s="32">
        <f>IF(AND(E889&lt;&gt;"",C889&lt;&gt;"",COUNTIFS($C$8:C889,C889,$E$8:E889,E889)=1),1,0)</f>
        <v>0</v>
      </c>
    </row>
    <row r="890" spans="1:29" ht="15" customHeight="1" x14ac:dyDescent="0.25">
      <c r="A890" s="25" t="str">
        <f t="shared" si="13"/>
        <v/>
      </c>
      <c r="B890" s="26"/>
      <c r="C890" s="27"/>
      <c r="D890" s="28" t="str">
        <f>IFERROR(IF(C890="","",INDEX(마스터!$F$4:$F$20,MATCH(C890,마스터!$M$4:$M$20,0))),"")</f>
        <v/>
      </c>
      <c r="E890" s="27"/>
      <c r="F890" s="29"/>
      <c r="G890" s="25" t="str">
        <f>IFERROR(IF(C890="","",INDEX(마스터!$J$4:$J$20,MATCH(C890,마스터!$M$4:$M$20,0))),"")</f>
        <v/>
      </c>
      <c r="H890" s="30"/>
      <c r="I890" s="30"/>
      <c r="AC890" s="32">
        <f>IF(AND(E890&lt;&gt;"",C890&lt;&gt;"",COUNTIFS($C$8:C890,C890,$E$8:E890,E890)=1),1,0)</f>
        <v>0</v>
      </c>
    </row>
    <row r="891" spans="1:29" ht="15" customHeight="1" x14ac:dyDescent="0.25">
      <c r="A891" s="25" t="str">
        <f t="shared" si="13"/>
        <v/>
      </c>
      <c r="B891" s="26"/>
      <c r="C891" s="27"/>
      <c r="D891" s="28" t="str">
        <f>IFERROR(IF(C891="","",INDEX(마스터!$F$4:$F$20,MATCH(C891,마스터!$M$4:$M$20,0))),"")</f>
        <v/>
      </c>
      <c r="E891" s="27"/>
      <c r="F891" s="29"/>
      <c r="G891" s="25" t="str">
        <f>IFERROR(IF(C891="","",INDEX(마스터!$J$4:$J$20,MATCH(C891,마스터!$M$4:$M$20,0))),"")</f>
        <v/>
      </c>
      <c r="H891" s="30"/>
      <c r="I891" s="30"/>
      <c r="AC891" s="32">
        <f>IF(AND(E891&lt;&gt;"",C891&lt;&gt;"",COUNTIFS($C$8:C891,C891,$E$8:E891,E891)=1),1,0)</f>
        <v>0</v>
      </c>
    </row>
    <row r="892" spans="1:29" ht="15" customHeight="1" x14ac:dyDescent="0.25">
      <c r="A892" s="25" t="str">
        <f t="shared" si="13"/>
        <v/>
      </c>
      <c r="B892" s="26"/>
      <c r="C892" s="27"/>
      <c r="D892" s="28" t="str">
        <f>IFERROR(IF(C892="","",INDEX(마스터!$F$4:$F$20,MATCH(C892,마스터!$M$4:$M$20,0))),"")</f>
        <v/>
      </c>
      <c r="E892" s="27"/>
      <c r="F892" s="29"/>
      <c r="G892" s="25" t="str">
        <f>IFERROR(IF(C892="","",INDEX(마스터!$J$4:$J$20,MATCH(C892,마스터!$M$4:$M$20,0))),"")</f>
        <v/>
      </c>
      <c r="H892" s="30"/>
      <c r="I892" s="30"/>
      <c r="AC892" s="32">
        <f>IF(AND(E892&lt;&gt;"",C892&lt;&gt;"",COUNTIFS($C$8:C892,C892,$E$8:E892,E892)=1),1,0)</f>
        <v>0</v>
      </c>
    </row>
    <row r="893" spans="1:29" ht="15" customHeight="1" x14ac:dyDescent="0.25">
      <c r="A893" s="25" t="str">
        <f t="shared" si="13"/>
        <v/>
      </c>
      <c r="B893" s="26"/>
      <c r="C893" s="27"/>
      <c r="D893" s="28" t="str">
        <f>IFERROR(IF(C893="","",INDEX(마스터!$F$4:$F$20,MATCH(C893,마스터!$M$4:$M$20,0))),"")</f>
        <v/>
      </c>
      <c r="E893" s="27"/>
      <c r="F893" s="29"/>
      <c r="G893" s="25" t="str">
        <f>IFERROR(IF(C893="","",INDEX(마스터!$J$4:$J$20,MATCH(C893,마스터!$M$4:$M$20,0))),"")</f>
        <v/>
      </c>
      <c r="H893" s="30"/>
      <c r="I893" s="30"/>
      <c r="AC893" s="32">
        <f>IF(AND(E893&lt;&gt;"",C893&lt;&gt;"",COUNTIFS($C$8:C893,C893,$E$8:E893,E893)=1),1,0)</f>
        <v>0</v>
      </c>
    </row>
    <row r="894" spans="1:29" ht="15" customHeight="1" x14ac:dyDescent="0.25">
      <c r="A894" s="25" t="str">
        <f t="shared" si="13"/>
        <v/>
      </c>
      <c r="B894" s="26"/>
      <c r="C894" s="27"/>
      <c r="D894" s="28" t="str">
        <f>IFERROR(IF(C894="","",INDEX(마스터!$F$4:$F$20,MATCH(C894,마스터!$M$4:$M$20,0))),"")</f>
        <v/>
      </c>
      <c r="E894" s="27"/>
      <c r="F894" s="29"/>
      <c r="G894" s="25" t="str">
        <f>IFERROR(IF(C894="","",INDEX(마스터!$J$4:$J$20,MATCH(C894,마스터!$M$4:$M$20,0))),"")</f>
        <v/>
      </c>
      <c r="H894" s="30"/>
      <c r="I894" s="30"/>
      <c r="AC894" s="32">
        <f>IF(AND(E894&lt;&gt;"",C894&lt;&gt;"",COUNTIFS($C$8:C894,C894,$E$8:E894,E894)=1),1,0)</f>
        <v>0</v>
      </c>
    </row>
    <row r="895" spans="1:29" ht="15" customHeight="1" x14ac:dyDescent="0.25">
      <c r="A895" s="25" t="str">
        <f t="shared" si="13"/>
        <v/>
      </c>
      <c r="B895" s="26"/>
      <c r="C895" s="27"/>
      <c r="D895" s="28" t="str">
        <f>IFERROR(IF(C895="","",INDEX(마스터!$F$4:$F$20,MATCH(C895,마스터!$M$4:$M$20,0))),"")</f>
        <v/>
      </c>
      <c r="E895" s="27"/>
      <c r="F895" s="29"/>
      <c r="G895" s="25" t="str">
        <f>IFERROR(IF(C895="","",INDEX(마스터!$J$4:$J$20,MATCH(C895,마스터!$M$4:$M$20,0))),"")</f>
        <v/>
      </c>
      <c r="H895" s="30"/>
      <c r="I895" s="30"/>
      <c r="AC895" s="32">
        <f>IF(AND(E895&lt;&gt;"",C895&lt;&gt;"",COUNTIFS($C$8:C895,C895,$E$8:E895,E895)=1),1,0)</f>
        <v>0</v>
      </c>
    </row>
    <row r="896" spans="1:29" ht="15" customHeight="1" x14ac:dyDescent="0.25">
      <c r="A896" s="25" t="str">
        <f t="shared" si="13"/>
        <v/>
      </c>
      <c r="B896" s="26"/>
      <c r="C896" s="27"/>
      <c r="D896" s="28" t="str">
        <f>IFERROR(IF(C896="","",INDEX(마스터!$F$4:$F$20,MATCH(C896,마스터!$M$4:$M$20,0))),"")</f>
        <v/>
      </c>
      <c r="E896" s="27"/>
      <c r="F896" s="29"/>
      <c r="G896" s="25" t="str">
        <f>IFERROR(IF(C896="","",INDEX(마스터!$J$4:$J$20,MATCH(C896,마스터!$M$4:$M$20,0))),"")</f>
        <v/>
      </c>
      <c r="H896" s="30"/>
      <c r="I896" s="30"/>
      <c r="AC896" s="32">
        <f>IF(AND(E896&lt;&gt;"",C896&lt;&gt;"",COUNTIFS($C$8:C896,C896,$E$8:E896,E896)=1),1,0)</f>
        <v>0</v>
      </c>
    </row>
    <row r="897" spans="1:29" ht="15" customHeight="1" x14ac:dyDescent="0.25">
      <c r="A897" s="25" t="str">
        <f t="shared" si="13"/>
        <v/>
      </c>
      <c r="B897" s="26"/>
      <c r="C897" s="27"/>
      <c r="D897" s="28" t="str">
        <f>IFERROR(IF(C897="","",INDEX(마스터!$F$4:$F$20,MATCH(C897,마스터!$M$4:$M$20,0))),"")</f>
        <v/>
      </c>
      <c r="E897" s="27"/>
      <c r="F897" s="29"/>
      <c r="G897" s="25" t="str">
        <f>IFERROR(IF(C897="","",INDEX(마스터!$J$4:$J$20,MATCH(C897,마스터!$M$4:$M$20,0))),"")</f>
        <v/>
      </c>
      <c r="H897" s="30"/>
      <c r="I897" s="30"/>
      <c r="AC897" s="32">
        <f>IF(AND(E897&lt;&gt;"",C897&lt;&gt;"",COUNTIFS($C$8:C897,C897,$E$8:E897,E897)=1),1,0)</f>
        <v>0</v>
      </c>
    </row>
    <row r="898" spans="1:29" ht="15" customHeight="1" x14ac:dyDescent="0.25">
      <c r="A898" s="25" t="str">
        <f t="shared" si="13"/>
        <v/>
      </c>
      <c r="B898" s="26"/>
      <c r="C898" s="27"/>
      <c r="D898" s="28" t="str">
        <f>IFERROR(IF(C898="","",INDEX(마스터!$F$4:$F$20,MATCH(C898,마스터!$M$4:$M$20,0))),"")</f>
        <v/>
      </c>
      <c r="E898" s="27"/>
      <c r="F898" s="29"/>
      <c r="G898" s="25" t="str">
        <f>IFERROR(IF(C898="","",INDEX(마스터!$J$4:$J$20,MATCH(C898,마스터!$M$4:$M$20,0))),"")</f>
        <v/>
      </c>
      <c r="H898" s="30"/>
      <c r="I898" s="30"/>
      <c r="AC898" s="32">
        <f>IF(AND(E898&lt;&gt;"",C898&lt;&gt;"",COUNTIFS($C$8:C898,C898,$E$8:E898,E898)=1),1,0)</f>
        <v>0</v>
      </c>
    </row>
    <row r="899" spans="1:29" ht="15" customHeight="1" x14ac:dyDescent="0.25">
      <c r="A899" s="25" t="str">
        <f t="shared" si="13"/>
        <v/>
      </c>
      <c r="B899" s="26"/>
      <c r="C899" s="27"/>
      <c r="D899" s="28" t="str">
        <f>IFERROR(IF(C899="","",INDEX(마스터!$F$4:$F$20,MATCH(C899,마스터!$M$4:$M$20,0))),"")</f>
        <v/>
      </c>
      <c r="E899" s="27"/>
      <c r="F899" s="29"/>
      <c r="G899" s="25" t="str">
        <f>IFERROR(IF(C899="","",INDEX(마스터!$J$4:$J$20,MATCH(C899,마스터!$M$4:$M$20,0))),"")</f>
        <v/>
      </c>
      <c r="H899" s="30"/>
      <c r="I899" s="30"/>
      <c r="AC899" s="32">
        <f>IF(AND(E899&lt;&gt;"",C899&lt;&gt;"",COUNTIFS($C$8:C899,C899,$E$8:E899,E899)=1),1,0)</f>
        <v>0</v>
      </c>
    </row>
    <row r="900" spans="1:29" ht="15" customHeight="1" x14ac:dyDescent="0.25">
      <c r="A900" s="25" t="str">
        <f t="shared" si="13"/>
        <v/>
      </c>
      <c r="B900" s="26"/>
      <c r="C900" s="27"/>
      <c r="D900" s="28" t="str">
        <f>IFERROR(IF(C900="","",INDEX(마스터!$F$4:$F$20,MATCH(C900,마스터!$M$4:$M$20,0))),"")</f>
        <v/>
      </c>
      <c r="E900" s="27"/>
      <c r="F900" s="29"/>
      <c r="G900" s="25" t="str">
        <f>IFERROR(IF(C900="","",INDEX(마스터!$J$4:$J$20,MATCH(C900,마스터!$M$4:$M$20,0))),"")</f>
        <v/>
      </c>
      <c r="H900" s="30"/>
      <c r="I900" s="30"/>
      <c r="AC900" s="32">
        <f>IF(AND(E900&lt;&gt;"",C900&lt;&gt;"",COUNTIFS($C$8:C900,C900,$E$8:E900,E900)=1),1,0)</f>
        <v>0</v>
      </c>
    </row>
    <row r="901" spans="1:29" ht="15" customHeight="1" x14ac:dyDescent="0.25">
      <c r="A901" s="25" t="str">
        <f t="shared" si="13"/>
        <v/>
      </c>
      <c r="B901" s="26"/>
      <c r="C901" s="27"/>
      <c r="D901" s="28" t="str">
        <f>IFERROR(IF(C901="","",INDEX(마스터!$F$4:$F$20,MATCH(C901,마스터!$M$4:$M$20,0))),"")</f>
        <v/>
      </c>
      <c r="E901" s="27"/>
      <c r="F901" s="29"/>
      <c r="G901" s="25" t="str">
        <f>IFERROR(IF(C901="","",INDEX(마스터!$J$4:$J$20,MATCH(C901,마스터!$M$4:$M$20,0))),"")</f>
        <v/>
      </c>
      <c r="H901" s="30"/>
      <c r="I901" s="30"/>
      <c r="AC901" s="32">
        <f>IF(AND(E901&lt;&gt;"",C901&lt;&gt;"",COUNTIFS($C$8:C901,C901,$E$8:E901,E901)=1),1,0)</f>
        <v>0</v>
      </c>
    </row>
    <row r="902" spans="1:29" ht="15" customHeight="1" x14ac:dyDescent="0.25">
      <c r="A902" s="25" t="str">
        <f t="shared" si="13"/>
        <v/>
      </c>
      <c r="B902" s="26"/>
      <c r="C902" s="27"/>
      <c r="D902" s="28" t="str">
        <f>IFERROR(IF(C902="","",INDEX(마스터!$F$4:$F$20,MATCH(C902,마스터!$M$4:$M$20,0))),"")</f>
        <v/>
      </c>
      <c r="E902" s="27"/>
      <c r="F902" s="29"/>
      <c r="G902" s="25" t="str">
        <f>IFERROR(IF(C902="","",INDEX(마스터!$J$4:$J$20,MATCH(C902,마스터!$M$4:$M$20,0))),"")</f>
        <v/>
      </c>
      <c r="H902" s="30"/>
      <c r="I902" s="30"/>
      <c r="AC902" s="32">
        <f>IF(AND(E902&lt;&gt;"",C902&lt;&gt;"",COUNTIFS($C$8:C902,C902,$E$8:E902,E902)=1),1,0)</f>
        <v>0</v>
      </c>
    </row>
    <row r="903" spans="1:29" ht="15" customHeight="1" x14ac:dyDescent="0.25">
      <c r="A903" s="25" t="str">
        <f t="shared" si="13"/>
        <v/>
      </c>
      <c r="B903" s="26"/>
      <c r="C903" s="27"/>
      <c r="D903" s="28" t="str">
        <f>IFERROR(IF(C903="","",INDEX(마스터!$F$4:$F$20,MATCH(C903,마스터!$M$4:$M$20,0))),"")</f>
        <v/>
      </c>
      <c r="E903" s="27"/>
      <c r="F903" s="29"/>
      <c r="G903" s="25" t="str">
        <f>IFERROR(IF(C903="","",INDEX(마스터!$J$4:$J$20,MATCH(C903,마스터!$M$4:$M$20,0))),"")</f>
        <v/>
      </c>
      <c r="H903" s="30"/>
      <c r="I903" s="30"/>
      <c r="AC903" s="32">
        <f>IF(AND(E903&lt;&gt;"",C903&lt;&gt;"",COUNTIFS($C$8:C903,C903,$E$8:E903,E903)=1),1,0)</f>
        <v>0</v>
      </c>
    </row>
    <row r="904" spans="1:29" ht="15" customHeight="1" x14ac:dyDescent="0.25">
      <c r="A904" s="25" t="str">
        <f t="shared" ref="A904:A967" si="14">IF(B904="","",ROW()-7)</f>
        <v/>
      </c>
      <c r="B904" s="26"/>
      <c r="C904" s="27"/>
      <c r="D904" s="28" t="str">
        <f>IFERROR(IF(C904="","",INDEX(마스터!$F$4:$F$20,MATCH(C904,마스터!$M$4:$M$20,0))),"")</f>
        <v/>
      </c>
      <c r="E904" s="27"/>
      <c r="F904" s="29"/>
      <c r="G904" s="25" t="str">
        <f>IFERROR(IF(C904="","",INDEX(마스터!$J$4:$J$20,MATCH(C904,마스터!$M$4:$M$20,0))),"")</f>
        <v/>
      </c>
      <c r="H904" s="30"/>
      <c r="I904" s="30"/>
      <c r="AC904" s="32">
        <f>IF(AND(E904&lt;&gt;"",C904&lt;&gt;"",COUNTIFS($C$8:C904,C904,$E$8:E904,E904)=1),1,0)</f>
        <v>0</v>
      </c>
    </row>
    <row r="905" spans="1:29" ht="15" customHeight="1" x14ac:dyDescent="0.25">
      <c r="A905" s="25" t="str">
        <f t="shared" si="14"/>
        <v/>
      </c>
      <c r="B905" s="26"/>
      <c r="C905" s="27"/>
      <c r="D905" s="28" t="str">
        <f>IFERROR(IF(C905="","",INDEX(마스터!$F$4:$F$20,MATCH(C905,마스터!$M$4:$M$20,0))),"")</f>
        <v/>
      </c>
      <c r="E905" s="27"/>
      <c r="F905" s="29"/>
      <c r="G905" s="25" t="str">
        <f>IFERROR(IF(C905="","",INDEX(마스터!$J$4:$J$20,MATCH(C905,마스터!$M$4:$M$20,0))),"")</f>
        <v/>
      </c>
      <c r="H905" s="30"/>
      <c r="I905" s="30"/>
      <c r="AC905" s="32">
        <f>IF(AND(E905&lt;&gt;"",C905&lt;&gt;"",COUNTIFS($C$8:C905,C905,$E$8:E905,E905)=1),1,0)</f>
        <v>0</v>
      </c>
    </row>
    <row r="906" spans="1:29" ht="15" customHeight="1" x14ac:dyDescent="0.25">
      <c r="A906" s="25" t="str">
        <f t="shared" si="14"/>
        <v/>
      </c>
      <c r="B906" s="26"/>
      <c r="C906" s="27"/>
      <c r="D906" s="28" t="str">
        <f>IFERROR(IF(C906="","",INDEX(마스터!$F$4:$F$20,MATCH(C906,마스터!$M$4:$M$20,0))),"")</f>
        <v/>
      </c>
      <c r="E906" s="27"/>
      <c r="F906" s="29"/>
      <c r="G906" s="25" t="str">
        <f>IFERROR(IF(C906="","",INDEX(마스터!$J$4:$J$20,MATCH(C906,마스터!$M$4:$M$20,0))),"")</f>
        <v/>
      </c>
      <c r="H906" s="30"/>
      <c r="I906" s="30"/>
      <c r="AC906" s="32">
        <f>IF(AND(E906&lt;&gt;"",C906&lt;&gt;"",COUNTIFS($C$8:C906,C906,$E$8:E906,E906)=1),1,0)</f>
        <v>0</v>
      </c>
    </row>
    <row r="907" spans="1:29" ht="15" customHeight="1" x14ac:dyDescent="0.25">
      <c r="A907" s="25" t="str">
        <f t="shared" si="14"/>
        <v/>
      </c>
      <c r="B907" s="26"/>
      <c r="C907" s="27"/>
      <c r="D907" s="28" t="str">
        <f>IFERROR(IF(C907="","",INDEX(마스터!$F$4:$F$20,MATCH(C907,마스터!$M$4:$M$20,0))),"")</f>
        <v/>
      </c>
      <c r="E907" s="27"/>
      <c r="F907" s="29"/>
      <c r="G907" s="25" t="str">
        <f>IFERROR(IF(C907="","",INDEX(마스터!$J$4:$J$20,MATCH(C907,마스터!$M$4:$M$20,0))),"")</f>
        <v/>
      </c>
      <c r="H907" s="30"/>
      <c r="I907" s="30"/>
      <c r="AC907" s="32">
        <f>IF(AND(E907&lt;&gt;"",C907&lt;&gt;"",COUNTIFS($C$8:C907,C907,$E$8:E907,E907)=1),1,0)</f>
        <v>0</v>
      </c>
    </row>
    <row r="908" spans="1:29" ht="15" customHeight="1" x14ac:dyDescent="0.25">
      <c r="A908" s="25" t="str">
        <f t="shared" si="14"/>
        <v/>
      </c>
      <c r="B908" s="26"/>
      <c r="C908" s="27"/>
      <c r="D908" s="28" t="str">
        <f>IFERROR(IF(C908="","",INDEX(마스터!$F$4:$F$20,MATCH(C908,마스터!$M$4:$M$20,0))),"")</f>
        <v/>
      </c>
      <c r="E908" s="27"/>
      <c r="F908" s="29"/>
      <c r="G908" s="25" t="str">
        <f>IFERROR(IF(C908="","",INDEX(마스터!$J$4:$J$20,MATCH(C908,마스터!$M$4:$M$20,0))),"")</f>
        <v/>
      </c>
      <c r="H908" s="30"/>
      <c r="I908" s="30"/>
      <c r="AC908" s="32">
        <f>IF(AND(E908&lt;&gt;"",C908&lt;&gt;"",COUNTIFS($C$8:C908,C908,$E$8:E908,E908)=1),1,0)</f>
        <v>0</v>
      </c>
    </row>
    <row r="909" spans="1:29" ht="15" customHeight="1" x14ac:dyDescent="0.25">
      <c r="A909" s="25" t="str">
        <f t="shared" si="14"/>
        <v/>
      </c>
      <c r="B909" s="26"/>
      <c r="C909" s="27"/>
      <c r="D909" s="28" t="str">
        <f>IFERROR(IF(C909="","",INDEX(마스터!$F$4:$F$20,MATCH(C909,마스터!$M$4:$M$20,0))),"")</f>
        <v/>
      </c>
      <c r="E909" s="27"/>
      <c r="F909" s="29"/>
      <c r="G909" s="25" t="str">
        <f>IFERROR(IF(C909="","",INDEX(마스터!$J$4:$J$20,MATCH(C909,마스터!$M$4:$M$20,0))),"")</f>
        <v/>
      </c>
      <c r="H909" s="30"/>
      <c r="I909" s="30"/>
      <c r="AC909" s="32">
        <f>IF(AND(E909&lt;&gt;"",C909&lt;&gt;"",COUNTIFS($C$8:C909,C909,$E$8:E909,E909)=1),1,0)</f>
        <v>0</v>
      </c>
    </row>
    <row r="910" spans="1:29" ht="15" customHeight="1" x14ac:dyDescent="0.25">
      <c r="A910" s="25" t="str">
        <f t="shared" si="14"/>
        <v/>
      </c>
      <c r="B910" s="26"/>
      <c r="C910" s="27"/>
      <c r="D910" s="28" t="str">
        <f>IFERROR(IF(C910="","",INDEX(마스터!$F$4:$F$20,MATCH(C910,마스터!$M$4:$M$20,0))),"")</f>
        <v/>
      </c>
      <c r="E910" s="27"/>
      <c r="F910" s="29"/>
      <c r="G910" s="25" t="str">
        <f>IFERROR(IF(C910="","",INDEX(마스터!$J$4:$J$20,MATCH(C910,마스터!$M$4:$M$20,0))),"")</f>
        <v/>
      </c>
      <c r="H910" s="30"/>
      <c r="I910" s="30"/>
      <c r="AC910" s="32">
        <f>IF(AND(E910&lt;&gt;"",C910&lt;&gt;"",COUNTIFS($C$8:C910,C910,$E$8:E910,E910)=1),1,0)</f>
        <v>0</v>
      </c>
    </row>
    <row r="911" spans="1:29" ht="15" customHeight="1" x14ac:dyDescent="0.25">
      <c r="A911" s="25" t="str">
        <f t="shared" si="14"/>
        <v/>
      </c>
      <c r="B911" s="26"/>
      <c r="C911" s="27"/>
      <c r="D911" s="28" t="str">
        <f>IFERROR(IF(C911="","",INDEX(마스터!$F$4:$F$20,MATCH(C911,마스터!$M$4:$M$20,0))),"")</f>
        <v/>
      </c>
      <c r="E911" s="27"/>
      <c r="F911" s="29"/>
      <c r="G911" s="25" t="str">
        <f>IFERROR(IF(C911="","",INDEX(마스터!$J$4:$J$20,MATCH(C911,마스터!$M$4:$M$20,0))),"")</f>
        <v/>
      </c>
      <c r="H911" s="30"/>
      <c r="I911" s="30"/>
      <c r="AC911" s="32">
        <f>IF(AND(E911&lt;&gt;"",C911&lt;&gt;"",COUNTIFS($C$8:C911,C911,$E$8:E911,E911)=1),1,0)</f>
        <v>0</v>
      </c>
    </row>
    <row r="912" spans="1:29" ht="15" customHeight="1" x14ac:dyDescent="0.25">
      <c r="A912" s="25" t="str">
        <f t="shared" si="14"/>
        <v/>
      </c>
      <c r="B912" s="26"/>
      <c r="C912" s="27"/>
      <c r="D912" s="28" t="str">
        <f>IFERROR(IF(C912="","",INDEX(마스터!$F$4:$F$20,MATCH(C912,마스터!$M$4:$M$20,0))),"")</f>
        <v/>
      </c>
      <c r="E912" s="27"/>
      <c r="F912" s="29"/>
      <c r="G912" s="25" t="str">
        <f>IFERROR(IF(C912="","",INDEX(마스터!$J$4:$J$20,MATCH(C912,마스터!$M$4:$M$20,0))),"")</f>
        <v/>
      </c>
      <c r="H912" s="30"/>
      <c r="I912" s="30"/>
      <c r="AC912" s="32">
        <f>IF(AND(E912&lt;&gt;"",C912&lt;&gt;"",COUNTIFS($C$8:C912,C912,$E$8:E912,E912)=1),1,0)</f>
        <v>0</v>
      </c>
    </row>
    <row r="913" spans="1:29" ht="15" customHeight="1" x14ac:dyDescent="0.25">
      <c r="A913" s="25" t="str">
        <f t="shared" si="14"/>
        <v/>
      </c>
      <c r="B913" s="26"/>
      <c r="C913" s="27"/>
      <c r="D913" s="28" t="str">
        <f>IFERROR(IF(C913="","",INDEX(마스터!$F$4:$F$20,MATCH(C913,마스터!$M$4:$M$20,0))),"")</f>
        <v/>
      </c>
      <c r="E913" s="27"/>
      <c r="F913" s="29"/>
      <c r="G913" s="25" t="str">
        <f>IFERROR(IF(C913="","",INDEX(마스터!$J$4:$J$20,MATCH(C913,마스터!$M$4:$M$20,0))),"")</f>
        <v/>
      </c>
      <c r="H913" s="30"/>
      <c r="I913" s="30"/>
      <c r="AC913" s="32">
        <f>IF(AND(E913&lt;&gt;"",C913&lt;&gt;"",COUNTIFS($C$8:C913,C913,$E$8:E913,E913)=1),1,0)</f>
        <v>0</v>
      </c>
    </row>
    <row r="914" spans="1:29" ht="15" customHeight="1" x14ac:dyDescent="0.25">
      <c r="A914" s="25" t="str">
        <f t="shared" si="14"/>
        <v/>
      </c>
      <c r="B914" s="26"/>
      <c r="C914" s="27"/>
      <c r="D914" s="28" t="str">
        <f>IFERROR(IF(C914="","",INDEX(마스터!$F$4:$F$20,MATCH(C914,마스터!$M$4:$M$20,0))),"")</f>
        <v/>
      </c>
      <c r="E914" s="27"/>
      <c r="F914" s="29"/>
      <c r="G914" s="25" t="str">
        <f>IFERROR(IF(C914="","",INDEX(마스터!$J$4:$J$20,MATCH(C914,마스터!$M$4:$M$20,0))),"")</f>
        <v/>
      </c>
      <c r="H914" s="30"/>
      <c r="I914" s="30"/>
      <c r="AC914" s="32">
        <f>IF(AND(E914&lt;&gt;"",C914&lt;&gt;"",COUNTIFS($C$8:C914,C914,$E$8:E914,E914)=1),1,0)</f>
        <v>0</v>
      </c>
    </row>
    <row r="915" spans="1:29" ht="15" customHeight="1" x14ac:dyDescent="0.25">
      <c r="A915" s="25" t="str">
        <f t="shared" si="14"/>
        <v/>
      </c>
      <c r="B915" s="26"/>
      <c r="C915" s="27"/>
      <c r="D915" s="28" t="str">
        <f>IFERROR(IF(C915="","",INDEX(마스터!$F$4:$F$20,MATCH(C915,마스터!$M$4:$M$20,0))),"")</f>
        <v/>
      </c>
      <c r="E915" s="27"/>
      <c r="F915" s="29"/>
      <c r="G915" s="25" t="str">
        <f>IFERROR(IF(C915="","",INDEX(마스터!$J$4:$J$20,MATCH(C915,마스터!$M$4:$M$20,0))),"")</f>
        <v/>
      </c>
      <c r="H915" s="30"/>
      <c r="I915" s="30"/>
      <c r="AC915" s="32">
        <f>IF(AND(E915&lt;&gt;"",C915&lt;&gt;"",COUNTIFS($C$8:C915,C915,$E$8:E915,E915)=1),1,0)</f>
        <v>0</v>
      </c>
    </row>
    <row r="916" spans="1:29" ht="15" customHeight="1" x14ac:dyDescent="0.25">
      <c r="A916" s="25" t="str">
        <f t="shared" si="14"/>
        <v/>
      </c>
      <c r="B916" s="26"/>
      <c r="C916" s="27"/>
      <c r="D916" s="28" t="str">
        <f>IFERROR(IF(C916="","",INDEX(마스터!$F$4:$F$20,MATCH(C916,마스터!$M$4:$M$20,0))),"")</f>
        <v/>
      </c>
      <c r="E916" s="27"/>
      <c r="F916" s="29"/>
      <c r="G916" s="25" t="str">
        <f>IFERROR(IF(C916="","",INDEX(마스터!$J$4:$J$20,MATCH(C916,마스터!$M$4:$M$20,0))),"")</f>
        <v/>
      </c>
      <c r="H916" s="30"/>
      <c r="I916" s="30"/>
      <c r="AC916" s="32">
        <f>IF(AND(E916&lt;&gt;"",C916&lt;&gt;"",COUNTIFS($C$8:C916,C916,$E$8:E916,E916)=1),1,0)</f>
        <v>0</v>
      </c>
    </row>
    <row r="917" spans="1:29" ht="15" customHeight="1" x14ac:dyDescent="0.25">
      <c r="A917" s="25" t="str">
        <f t="shared" si="14"/>
        <v/>
      </c>
      <c r="B917" s="26"/>
      <c r="C917" s="27"/>
      <c r="D917" s="28" t="str">
        <f>IFERROR(IF(C917="","",INDEX(마스터!$F$4:$F$20,MATCH(C917,마스터!$M$4:$M$20,0))),"")</f>
        <v/>
      </c>
      <c r="E917" s="27"/>
      <c r="F917" s="29"/>
      <c r="G917" s="25" t="str">
        <f>IFERROR(IF(C917="","",INDEX(마스터!$J$4:$J$20,MATCH(C917,마스터!$M$4:$M$20,0))),"")</f>
        <v/>
      </c>
      <c r="H917" s="30"/>
      <c r="I917" s="30"/>
      <c r="AC917" s="32">
        <f>IF(AND(E917&lt;&gt;"",C917&lt;&gt;"",COUNTIFS($C$8:C917,C917,$E$8:E917,E917)=1),1,0)</f>
        <v>0</v>
      </c>
    </row>
    <row r="918" spans="1:29" ht="15" customHeight="1" x14ac:dyDescent="0.25">
      <c r="A918" s="25" t="str">
        <f t="shared" si="14"/>
        <v/>
      </c>
      <c r="B918" s="26"/>
      <c r="C918" s="27"/>
      <c r="D918" s="28" t="str">
        <f>IFERROR(IF(C918="","",INDEX(마스터!$F$4:$F$20,MATCH(C918,마스터!$M$4:$M$20,0))),"")</f>
        <v/>
      </c>
      <c r="E918" s="27"/>
      <c r="F918" s="29"/>
      <c r="G918" s="25" t="str">
        <f>IFERROR(IF(C918="","",INDEX(마스터!$J$4:$J$20,MATCH(C918,마스터!$M$4:$M$20,0))),"")</f>
        <v/>
      </c>
      <c r="H918" s="30"/>
      <c r="I918" s="30"/>
      <c r="AC918" s="32">
        <f>IF(AND(E918&lt;&gt;"",C918&lt;&gt;"",COUNTIFS($C$8:C918,C918,$E$8:E918,E918)=1),1,0)</f>
        <v>0</v>
      </c>
    </row>
    <row r="919" spans="1:29" ht="15" customHeight="1" x14ac:dyDescent="0.25">
      <c r="A919" s="25" t="str">
        <f t="shared" si="14"/>
        <v/>
      </c>
      <c r="B919" s="26"/>
      <c r="C919" s="27"/>
      <c r="D919" s="28" t="str">
        <f>IFERROR(IF(C919="","",INDEX(마스터!$F$4:$F$20,MATCH(C919,마스터!$M$4:$M$20,0))),"")</f>
        <v/>
      </c>
      <c r="E919" s="27"/>
      <c r="F919" s="29"/>
      <c r="G919" s="25" t="str">
        <f>IFERROR(IF(C919="","",INDEX(마스터!$J$4:$J$20,MATCH(C919,마스터!$M$4:$M$20,0))),"")</f>
        <v/>
      </c>
      <c r="H919" s="30"/>
      <c r="I919" s="30"/>
      <c r="AC919" s="32">
        <f>IF(AND(E919&lt;&gt;"",C919&lt;&gt;"",COUNTIFS($C$8:C919,C919,$E$8:E919,E919)=1),1,0)</f>
        <v>0</v>
      </c>
    </row>
    <row r="920" spans="1:29" ht="15" customHeight="1" x14ac:dyDescent="0.25">
      <c r="A920" s="25" t="str">
        <f t="shared" si="14"/>
        <v/>
      </c>
      <c r="B920" s="26"/>
      <c r="C920" s="27"/>
      <c r="D920" s="28" t="str">
        <f>IFERROR(IF(C920="","",INDEX(마스터!$F$4:$F$20,MATCH(C920,마스터!$M$4:$M$20,0))),"")</f>
        <v/>
      </c>
      <c r="E920" s="27"/>
      <c r="F920" s="29"/>
      <c r="G920" s="25" t="str">
        <f>IFERROR(IF(C920="","",INDEX(마스터!$J$4:$J$20,MATCH(C920,마스터!$M$4:$M$20,0))),"")</f>
        <v/>
      </c>
      <c r="H920" s="30"/>
      <c r="I920" s="30"/>
      <c r="AC920" s="32">
        <f>IF(AND(E920&lt;&gt;"",C920&lt;&gt;"",COUNTIFS($C$8:C920,C920,$E$8:E920,E920)=1),1,0)</f>
        <v>0</v>
      </c>
    </row>
    <row r="921" spans="1:29" ht="15" customHeight="1" x14ac:dyDescent="0.25">
      <c r="A921" s="25" t="str">
        <f t="shared" si="14"/>
        <v/>
      </c>
      <c r="B921" s="26"/>
      <c r="C921" s="27"/>
      <c r="D921" s="28" t="str">
        <f>IFERROR(IF(C921="","",INDEX(마스터!$F$4:$F$20,MATCH(C921,마스터!$M$4:$M$20,0))),"")</f>
        <v/>
      </c>
      <c r="E921" s="27"/>
      <c r="F921" s="29"/>
      <c r="G921" s="25" t="str">
        <f>IFERROR(IF(C921="","",INDEX(마스터!$J$4:$J$20,MATCH(C921,마스터!$M$4:$M$20,0))),"")</f>
        <v/>
      </c>
      <c r="H921" s="30"/>
      <c r="I921" s="30"/>
      <c r="AC921" s="32">
        <f>IF(AND(E921&lt;&gt;"",C921&lt;&gt;"",COUNTIFS($C$8:C921,C921,$E$8:E921,E921)=1),1,0)</f>
        <v>0</v>
      </c>
    </row>
    <row r="922" spans="1:29" ht="15" customHeight="1" x14ac:dyDescent="0.25">
      <c r="A922" s="25" t="str">
        <f t="shared" si="14"/>
        <v/>
      </c>
      <c r="B922" s="26"/>
      <c r="C922" s="27"/>
      <c r="D922" s="28" t="str">
        <f>IFERROR(IF(C922="","",INDEX(마스터!$F$4:$F$20,MATCH(C922,마스터!$M$4:$M$20,0))),"")</f>
        <v/>
      </c>
      <c r="E922" s="27"/>
      <c r="F922" s="29"/>
      <c r="G922" s="25" t="str">
        <f>IFERROR(IF(C922="","",INDEX(마스터!$J$4:$J$20,MATCH(C922,마스터!$M$4:$M$20,0))),"")</f>
        <v/>
      </c>
      <c r="H922" s="30"/>
      <c r="I922" s="30"/>
      <c r="AC922" s="32">
        <f>IF(AND(E922&lt;&gt;"",C922&lt;&gt;"",COUNTIFS($C$8:C922,C922,$E$8:E922,E922)=1),1,0)</f>
        <v>0</v>
      </c>
    </row>
    <row r="923" spans="1:29" ht="15" customHeight="1" x14ac:dyDescent="0.25">
      <c r="A923" s="25" t="str">
        <f t="shared" si="14"/>
        <v/>
      </c>
      <c r="B923" s="26"/>
      <c r="C923" s="27"/>
      <c r="D923" s="28" t="str">
        <f>IFERROR(IF(C923="","",INDEX(마스터!$F$4:$F$20,MATCH(C923,마스터!$M$4:$M$20,0))),"")</f>
        <v/>
      </c>
      <c r="E923" s="27"/>
      <c r="F923" s="29"/>
      <c r="G923" s="25" t="str">
        <f>IFERROR(IF(C923="","",INDEX(마스터!$J$4:$J$20,MATCH(C923,마스터!$M$4:$M$20,0))),"")</f>
        <v/>
      </c>
      <c r="H923" s="30"/>
      <c r="I923" s="30"/>
      <c r="AC923" s="32">
        <f>IF(AND(E923&lt;&gt;"",C923&lt;&gt;"",COUNTIFS($C$8:C923,C923,$E$8:E923,E923)=1),1,0)</f>
        <v>0</v>
      </c>
    </row>
    <row r="924" spans="1:29" ht="15" customHeight="1" x14ac:dyDescent="0.25">
      <c r="A924" s="25" t="str">
        <f t="shared" si="14"/>
        <v/>
      </c>
      <c r="B924" s="26"/>
      <c r="C924" s="27"/>
      <c r="D924" s="28" t="str">
        <f>IFERROR(IF(C924="","",INDEX(마스터!$F$4:$F$20,MATCH(C924,마스터!$M$4:$M$20,0))),"")</f>
        <v/>
      </c>
      <c r="E924" s="27"/>
      <c r="F924" s="29"/>
      <c r="G924" s="25" t="str">
        <f>IFERROR(IF(C924="","",INDEX(마스터!$J$4:$J$20,MATCH(C924,마스터!$M$4:$M$20,0))),"")</f>
        <v/>
      </c>
      <c r="H924" s="30"/>
      <c r="I924" s="30"/>
      <c r="AC924" s="32">
        <f>IF(AND(E924&lt;&gt;"",C924&lt;&gt;"",COUNTIFS($C$8:C924,C924,$E$8:E924,E924)=1),1,0)</f>
        <v>0</v>
      </c>
    </row>
    <row r="925" spans="1:29" ht="15" customHeight="1" x14ac:dyDescent="0.25">
      <c r="A925" s="25" t="str">
        <f t="shared" si="14"/>
        <v/>
      </c>
      <c r="B925" s="26"/>
      <c r="C925" s="27"/>
      <c r="D925" s="28" t="str">
        <f>IFERROR(IF(C925="","",INDEX(마스터!$F$4:$F$20,MATCH(C925,마스터!$M$4:$M$20,0))),"")</f>
        <v/>
      </c>
      <c r="E925" s="27"/>
      <c r="F925" s="29"/>
      <c r="G925" s="25" t="str">
        <f>IFERROR(IF(C925="","",INDEX(마스터!$J$4:$J$20,MATCH(C925,마스터!$M$4:$M$20,0))),"")</f>
        <v/>
      </c>
      <c r="H925" s="30"/>
      <c r="I925" s="30"/>
      <c r="AC925" s="32">
        <f>IF(AND(E925&lt;&gt;"",C925&lt;&gt;"",COUNTIFS($C$8:C925,C925,$E$8:E925,E925)=1),1,0)</f>
        <v>0</v>
      </c>
    </row>
    <row r="926" spans="1:29" ht="15" customHeight="1" x14ac:dyDescent="0.25">
      <c r="A926" s="25" t="str">
        <f t="shared" si="14"/>
        <v/>
      </c>
      <c r="B926" s="26"/>
      <c r="C926" s="27"/>
      <c r="D926" s="28" t="str">
        <f>IFERROR(IF(C926="","",INDEX(마스터!$F$4:$F$20,MATCH(C926,마스터!$M$4:$M$20,0))),"")</f>
        <v/>
      </c>
      <c r="E926" s="27"/>
      <c r="F926" s="29"/>
      <c r="G926" s="25" t="str">
        <f>IFERROR(IF(C926="","",INDEX(마스터!$J$4:$J$20,MATCH(C926,마스터!$M$4:$M$20,0))),"")</f>
        <v/>
      </c>
      <c r="H926" s="30"/>
      <c r="I926" s="30"/>
      <c r="AC926" s="32">
        <f>IF(AND(E926&lt;&gt;"",C926&lt;&gt;"",COUNTIFS($C$8:C926,C926,$E$8:E926,E926)=1),1,0)</f>
        <v>0</v>
      </c>
    </row>
    <row r="927" spans="1:29" ht="15" customHeight="1" x14ac:dyDescent="0.25">
      <c r="A927" s="25" t="str">
        <f t="shared" si="14"/>
        <v/>
      </c>
      <c r="B927" s="26"/>
      <c r="C927" s="27"/>
      <c r="D927" s="28" t="str">
        <f>IFERROR(IF(C927="","",INDEX(마스터!$F$4:$F$20,MATCH(C927,마스터!$M$4:$M$20,0))),"")</f>
        <v/>
      </c>
      <c r="E927" s="27"/>
      <c r="F927" s="29"/>
      <c r="G927" s="25" t="str">
        <f>IFERROR(IF(C927="","",INDEX(마스터!$J$4:$J$20,MATCH(C927,마스터!$M$4:$M$20,0))),"")</f>
        <v/>
      </c>
      <c r="H927" s="30"/>
      <c r="I927" s="30"/>
      <c r="AC927" s="32">
        <f>IF(AND(E927&lt;&gt;"",C927&lt;&gt;"",COUNTIFS($C$8:C927,C927,$E$8:E927,E927)=1),1,0)</f>
        <v>0</v>
      </c>
    </row>
    <row r="928" spans="1:29" ht="15" customHeight="1" x14ac:dyDescent="0.25">
      <c r="A928" s="25" t="str">
        <f t="shared" si="14"/>
        <v/>
      </c>
      <c r="B928" s="26"/>
      <c r="C928" s="27"/>
      <c r="D928" s="28" t="str">
        <f>IFERROR(IF(C928="","",INDEX(마스터!$F$4:$F$20,MATCH(C928,마스터!$M$4:$M$20,0))),"")</f>
        <v/>
      </c>
      <c r="E928" s="27"/>
      <c r="F928" s="29"/>
      <c r="G928" s="25" t="str">
        <f>IFERROR(IF(C928="","",INDEX(마스터!$J$4:$J$20,MATCH(C928,마스터!$M$4:$M$20,0))),"")</f>
        <v/>
      </c>
      <c r="H928" s="30"/>
      <c r="I928" s="30"/>
      <c r="AC928" s="32">
        <f>IF(AND(E928&lt;&gt;"",C928&lt;&gt;"",COUNTIFS($C$8:C928,C928,$E$8:E928,E928)=1),1,0)</f>
        <v>0</v>
      </c>
    </row>
    <row r="929" spans="1:29" ht="15" customHeight="1" x14ac:dyDescent="0.25">
      <c r="A929" s="25" t="str">
        <f t="shared" si="14"/>
        <v/>
      </c>
      <c r="B929" s="26"/>
      <c r="C929" s="27"/>
      <c r="D929" s="28" t="str">
        <f>IFERROR(IF(C929="","",INDEX(마스터!$F$4:$F$20,MATCH(C929,마스터!$M$4:$M$20,0))),"")</f>
        <v/>
      </c>
      <c r="E929" s="27"/>
      <c r="F929" s="29"/>
      <c r="G929" s="25" t="str">
        <f>IFERROR(IF(C929="","",INDEX(마스터!$J$4:$J$20,MATCH(C929,마스터!$M$4:$M$20,0))),"")</f>
        <v/>
      </c>
      <c r="H929" s="30"/>
      <c r="I929" s="30"/>
      <c r="AC929" s="32">
        <f>IF(AND(E929&lt;&gt;"",C929&lt;&gt;"",COUNTIFS($C$8:C929,C929,$E$8:E929,E929)=1),1,0)</f>
        <v>0</v>
      </c>
    </row>
    <row r="930" spans="1:29" ht="15" customHeight="1" x14ac:dyDescent="0.25">
      <c r="A930" s="25" t="str">
        <f t="shared" si="14"/>
        <v/>
      </c>
      <c r="B930" s="26"/>
      <c r="C930" s="27"/>
      <c r="D930" s="28" t="str">
        <f>IFERROR(IF(C930="","",INDEX(마스터!$F$4:$F$20,MATCH(C930,마스터!$M$4:$M$20,0))),"")</f>
        <v/>
      </c>
      <c r="E930" s="27"/>
      <c r="F930" s="29"/>
      <c r="G930" s="25" t="str">
        <f>IFERROR(IF(C930="","",INDEX(마스터!$J$4:$J$20,MATCH(C930,마스터!$M$4:$M$20,0))),"")</f>
        <v/>
      </c>
      <c r="H930" s="30"/>
      <c r="I930" s="30"/>
      <c r="AC930" s="32">
        <f>IF(AND(E930&lt;&gt;"",C930&lt;&gt;"",COUNTIFS($C$8:C930,C930,$E$8:E930,E930)=1),1,0)</f>
        <v>0</v>
      </c>
    </row>
    <row r="931" spans="1:29" ht="15" customHeight="1" x14ac:dyDescent="0.25">
      <c r="A931" s="25" t="str">
        <f t="shared" si="14"/>
        <v/>
      </c>
      <c r="B931" s="26"/>
      <c r="C931" s="27"/>
      <c r="D931" s="28" t="str">
        <f>IFERROR(IF(C931="","",INDEX(마스터!$F$4:$F$20,MATCH(C931,마스터!$M$4:$M$20,0))),"")</f>
        <v/>
      </c>
      <c r="E931" s="27"/>
      <c r="F931" s="29"/>
      <c r="G931" s="25" t="str">
        <f>IFERROR(IF(C931="","",INDEX(마스터!$J$4:$J$20,MATCH(C931,마스터!$M$4:$M$20,0))),"")</f>
        <v/>
      </c>
      <c r="H931" s="30"/>
      <c r="I931" s="30"/>
      <c r="AC931" s="32">
        <f>IF(AND(E931&lt;&gt;"",C931&lt;&gt;"",COUNTIFS($C$8:C931,C931,$E$8:E931,E931)=1),1,0)</f>
        <v>0</v>
      </c>
    </row>
    <row r="932" spans="1:29" ht="15" customHeight="1" x14ac:dyDescent="0.25">
      <c r="A932" s="25" t="str">
        <f t="shared" si="14"/>
        <v/>
      </c>
      <c r="B932" s="26"/>
      <c r="C932" s="27"/>
      <c r="D932" s="28" t="str">
        <f>IFERROR(IF(C932="","",INDEX(마스터!$F$4:$F$20,MATCH(C932,마스터!$M$4:$M$20,0))),"")</f>
        <v/>
      </c>
      <c r="E932" s="27"/>
      <c r="F932" s="29"/>
      <c r="G932" s="25" t="str">
        <f>IFERROR(IF(C932="","",INDEX(마스터!$J$4:$J$20,MATCH(C932,마스터!$M$4:$M$20,0))),"")</f>
        <v/>
      </c>
      <c r="H932" s="30"/>
      <c r="I932" s="30"/>
      <c r="AC932" s="32">
        <f>IF(AND(E932&lt;&gt;"",C932&lt;&gt;"",COUNTIFS($C$8:C932,C932,$E$8:E932,E932)=1),1,0)</f>
        <v>0</v>
      </c>
    </row>
    <row r="933" spans="1:29" ht="15" customHeight="1" x14ac:dyDescent="0.25">
      <c r="A933" s="25" t="str">
        <f t="shared" si="14"/>
        <v/>
      </c>
      <c r="B933" s="26"/>
      <c r="C933" s="27"/>
      <c r="D933" s="28" t="str">
        <f>IFERROR(IF(C933="","",INDEX(마스터!$F$4:$F$20,MATCH(C933,마스터!$M$4:$M$20,0))),"")</f>
        <v/>
      </c>
      <c r="E933" s="27"/>
      <c r="F933" s="29"/>
      <c r="G933" s="25" t="str">
        <f>IFERROR(IF(C933="","",INDEX(마스터!$J$4:$J$20,MATCH(C933,마스터!$M$4:$M$20,0))),"")</f>
        <v/>
      </c>
      <c r="H933" s="30"/>
      <c r="I933" s="30"/>
      <c r="AC933" s="32">
        <f>IF(AND(E933&lt;&gt;"",C933&lt;&gt;"",COUNTIFS($C$8:C933,C933,$E$8:E933,E933)=1),1,0)</f>
        <v>0</v>
      </c>
    </row>
    <row r="934" spans="1:29" ht="15" customHeight="1" x14ac:dyDescent="0.25">
      <c r="A934" s="25" t="str">
        <f t="shared" si="14"/>
        <v/>
      </c>
      <c r="B934" s="26"/>
      <c r="C934" s="27"/>
      <c r="D934" s="28" t="str">
        <f>IFERROR(IF(C934="","",INDEX(마스터!$F$4:$F$20,MATCH(C934,마스터!$M$4:$M$20,0))),"")</f>
        <v/>
      </c>
      <c r="E934" s="27"/>
      <c r="F934" s="29"/>
      <c r="G934" s="25" t="str">
        <f>IFERROR(IF(C934="","",INDEX(마스터!$J$4:$J$20,MATCH(C934,마스터!$M$4:$M$20,0))),"")</f>
        <v/>
      </c>
      <c r="H934" s="30"/>
      <c r="I934" s="30"/>
      <c r="AC934" s="32">
        <f>IF(AND(E934&lt;&gt;"",C934&lt;&gt;"",COUNTIFS($C$8:C934,C934,$E$8:E934,E934)=1),1,0)</f>
        <v>0</v>
      </c>
    </row>
    <row r="935" spans="1:29" ht="15" customHeight="1" x14ac:dyDescent="0.25">
      <c r="A935" s="25" t="str">
        <f t="shared" si="14"/>
        <v/>
      </c>
      <c r="B935" s="26"/>
      <c r="C935" s="27"/>
      <c r="D935" s="28" t="str">
        <f>IFERROR(IF(C935="","",INDEX(마스터!$F$4:$F$20,MATCH(C935,마스터!$M$4:$M$20,0))),"")</f>
        <v/>
      </c>
      <c r="E935" s="27"/>
      <c r="F935" s="29"/>
      <c r="G935" s="25" t="str">
        <f>IFERROR(IF(C935="","",INDEX(마스터!$J$4:$J$20,MATCH(C935,마스터!$M$4:$M$20,0))),"")</f>
        <v/>
      </c>
      <c r="H935" s="30"/>
      <c r="I935" s="30"/>
      <c r="AC935" s="32">
        <f>IF(AND(E935&lt;&gt;"",C935&lt;&gt;"",COUNTIFS($C$8:C935,C935,$E$8:E935,E935)=1),1,0)</f>
        <v>0</v>
      </c>
    </row>
    <row r="936" spans="1:29" ht="15" customHeight="1" x14ac:dyDescent="0.25">
      <c r="A936" s="25" t="str">
        <f t="shared" si="14"/>
        <v/>
      </c>
      <c r="B936" s="26"/>
      <c r="C936" s="27"/>
      <c r="D936" s="28" t="str">
        <f>IFERROR(IF(C936="","",INDEX(마스터!$F$4:$F$20,MATCH(C936,마스터!$M$4:$M$20,0))),"")</f>
        <v/>
      </c>
      <c r="E936" s="27"/>
      <c r="F936" s="29"/>
      <c r="G936" s="25" t="str">
        <f>IFERROR(IF(C936="","",INDEX(마스터!$J$4:$J$20,MATCH(C936,마스터!$M$4:$M$20,0))),"")</f>
        <v/>
      </c>
      <c r="H936" s="30"/>
      <c r="I936" s="30"/>
      <c r="AC936" s="32">
        <f>IF(AND(E936&lt;&gt;"",C936&lt;&gt;"",COUNTIFS($C$8:C936,C936,$E$8:E936,E936)=1),1,0)</f>
        <v>0</v>
      </c>
    </row>
    <row r="937" spans="1:29" ht="15" customHeight="1" x14ac:dyDescent="0.25">
      <c r="A937" s="25" t="str">
        <f t="shared" si="14"/>
        <v/>
      </c>
      <c r="B937" s="26"/>
      <c r="C937" s="27"/>
      <c r="D937" s="28" t="str">
        <f>IFERROR(IF(C937="","",INDEX(마스터!$F$4:$F$20,MATCH(C937,마스터!$M$4:$M$20,0))),"")</f>
        <v/>
      </c>
      <c r="E937" s="27"/>
      <c r="F937" s="29"/>
      <c r="G937" s="25" t="str">
        <f>IFERROR(IF(C937="","",INDEX(마스터!$J$4:$J$20,MATCH(C937,마스터!$M$4:$M$20,0))),"")</f>
        <v/>
      </c>
      <c r="H937" s="30"/>
      <c r="I937" s="30"/>
      <c r="AC937" s="32">
        <f>IF(AND(E937&lt;&gt;"",C937&lt;&gt;"",COUNTIFS($C$8:C937,C937,$E$8:E937,E937)=1),1,0)</f>
        <v>0</v>
      </c>
    </row>
    <row r="938" spans="1:29" ht="15" customHeight="1" x14ac:dyDescent="0.25">
      <c r="A938" s="25" t="str">
        <f t="shared" si="14"/>
        <v/>
      </c>
      <c r="B938" s="26"/>
      <c r="C938" s="27"/>
      <c r="D938" s="28" t="str">
        <f>IFERROR(IF(C938="","",INDEX(마스터!$F$4:$F$20,MATCH(C938,마스터!$M$4:$M$20,0))),"")</f>
        <v/>
      </c>
      <c r="E938" s="27"/>
      <c r="F938" s="29"/>
      <c r="G938" s="25" t="str">
        <f>IFERROR(IF(C938="","",INDEX(마스터!$J$4:$J$20,MATCH(C938,마스터!$M$4:$M$20,0))),"")</f>
        <v/>
      </c>
      <c r="H938" s="30"/>
      <c r="I938" s="30"/>
      <c r="AC938" s="32">
        <f>IF(AND(E938&lt;&gt;"",C938&lt;&gt;"",COUNTIFS($C$8:C938,C938,$E$8:E938,E938)=1),1,0)</f>
        <v>0</v>
      </c>
    </row>
    <row r="939" spans="1:29" ht="15" customHeight="1" x14ac:dyDescent="0.25">
      <c r="A939" s="25" t="str">
        <f t="shared" si="14"/>
        <v/>
      </c>
      <c r="B939" s="26"/>
      <c r="C939" s="27"/>
      <c r="D939" s="28" t="str">
        <f>IFERROR(IF(C939="","",INDEX(마스터!$F$4:$F$20,MATCH(C939,마스터!$M$4:$M$20,0))),"")</f>
        <v/>
      </c>
      <c r="E939" s="27"/>
      <c r="F939" s="29"/>
      <c r="G939" s="25" t="str">
        <f>IFERROR(IF(C939="","",INDEX(마스터!$J$4:$J$20,MATCH(C939,마스터!$M$4:$M$20,0))),"")</f>
        <v/>
      </c>
      <c r="H939" s="30"/>
      <c r="I939" s="30"/>
      <c r="AC939" s="32">
        <f>IF(AND(E939&lt;&gt;"",C939&lt;&gt;"",COUNTIFS($C$8:C939,C939,$E$8:E939,E939)=1),1,0)</f>
        <v>0</v>
      </c>
    </row>
    <row r="940" spans="1:29" ht="15" customHeight="1" x14ac:dyDescent="0.25">
      <c r="A940" s="25" t="str">
        <f t="shared" si="14"/>
        <v/>
      </c>
      <c r="B940" s="26"/>
      <c r="C940" s="27"/>
      <c r="D940" s="28" t="str">
        <f>IFERROR(IF(C940="","",INDEX(마스터!$F$4:$F$20,MATCH(C940,마스터!$M$4:$M$20,0))),"")</f>
        <v/>
      </c>
      <c r="E940" s="27"/>
      <c r="F940" s="29"/>
      <c r="G940" s="25" t="str">
        <f>IFERROR(IF(C940="","",INDEX(마스터!$J$4:$J$20,MATCH(C940,마스터!$M$4:$M$20,0))),"")</f>
        <v/>
      </c>
      <c r="H940" s="30"/>
      <c r="I940" s="30"/>
      <c r="AC940" s="32">
        <f>IF(AND(E940&lt;&gt;"",C940&lt;&gt;"",COUNTIFS($C$8:C940,C940,$E$8:E940,E940)=1),1,0)</f>
        <v>0</v>
      </c>
    </row>
    <row r="941" spans="1:29" ht="15" customHeight="1" x14ac:dyDescent="0.25">
      <c r="A941" s="25" t="str">
        <f t="shared" si="14"/>
        <v/>
      </c>
      <c r="B941" s="26"/>
      <c r="C941" s="27"/>
      <c r="D941" s="28" t="str">
        <f>IFERROR(IF(C941="","",INDEX(마스터!$F$4:$F$20,MATCH(C941,마스터!$M$4:$M$20,0))),"")</f>
        <v/>
      </c>
      <c r="E941" s="27"/>
      <c r="F941" s="29"/>
      <c r="G941" s="25" t="str">
        <f>IFERROR(IF(C941="","",INDEX(마스터!$J$4:$J$20,MATCH(C941,마스터!$M$4:$M$20,0))),"")</f>
        <v/>
      </c>
      <c r="H941" s="30"/>
      <c r="I941" s="30"/>
      <c r="AC941" s="32">
        <f>IF(AND(E941&lt;&gt;"",C941&lt;&gt;"",COUNTIFS($C$8:C941,C941,$E$8:E941,E941)=1),1,0)</f>
        <v>0</v>
      </c>
    </row>
    <row r="942" spans="1:29" ht="15" customHeight="1" x14ac:dyDescent="0.25">
      <c r="A942" s="25" t="str">
        <f t="shared" si="14"/>
        <v/>
      </c>
      <c r="B942" s="26"/>
      <c r="C942" s="27"/>
      <c r="D942" s="28" t="str">
        <f>IFERROR(IF(C942="","",INDEX(마스터!$F$4:$F$20,MATCH(C942,마스터!$M$4:$M$20,0))),"")</f>
        <v/>
      </c>
      <c r="E942" s="27"/>
      <c r="F942" s="29"/>
      <c r="G942" s="25" t="str">
        <f>IFERROR(IF(C942="","",INDEX(마스터!$J$4:$J$20,MATCH(C942,마스터!$M$4:$M$20,0))),"")</f>
        <v/>
      </c>
      <c r="H942" s="30"/>
      <c r="I942" s="30"/>
      <c r="AC942" s="32">
        <f>IF(AND(E942&lt;&gt;"",C942&lt;&gt;"",COUNTIFS($C$8:C942,C942,$E$8:E942,E942)=1),1,0)</f>
        <v>0</v>
      </c>
    </row>
    <row r="943" spans="1:29" ht="15" customHeight="1" x14ac:dyDescent="0.25">
      <c r="A943" s="25" t="str">
        <f t="shared" si="14"/>
        <v/>
      </c>
      <c r="B943" s="26"/>
      <c r="C943" s="27"/>
      <c r="D943" s="28" t="str">
        <f>IFERROR(IF(C943="","",INDEX(마스터!$F$4:$F$20,MATCH(C943,마스터!$M$4:$M$20,0))),"")</f>
        <v/>
      </c>
      <c r="E943" s="27"/>
      <c r="F943" s="29"/>
      <c r="G943" s="25" t="str">
        <f>IFERROR(IF(C943="","",INDEX(마스터!$J$4:$J$20,MATCH(C943,마스터!$M$4:$M$20,0))),"")</f>
        <v/>
      </c>
      <c r="H943" s="30"/>
      <c r="I943" s="30"/>
      <c r="AC943" s="32">
        <f>IF(AND(E943&lt;&gt;"",C943&lt;&gt;"",COUNTIFS($C$8:C943,C943,$E$8:E943,E943)=1),1,0)</f>
        <v>0</v>
      </c>
    </row>
    <row r="944" spans="1:29" ht="15" customHeight="1" x14ac:dyDescent="0.25">
      <c r="A944" s="25" t="str">
        <f t="shared" si="14"/>
        <v/>
      </c>
      <c r="B944" s="26"/>
      <c r="C944" s="27"/>
      <c r="D944" s="28" t="str">
        <f>IFERROR(IF(C944="","",INDEX(마스터!$F$4:$F$20,MATCH(C944,마스터!$M$4:$M$20,0))),"")</f>
        <v/>
      </c>
      <c r="E944" s="27"/>
      <c r="F944" s="29"/>
      <c r="G944" s="25" t="str">
        <f>IFERROR(IF(C944="","",INDEX(마스터!$J$4:$J$20,MATCH(C944,마스터!$M$4:$M$20,0))),"")</f>
        <v/>
      </c>
      <c r="H944" s="30"/>
      <c r="I944" s="30"/>
      <c r="AC944" s="32">
        <f>IF(AND(E944&lt;&gt;"",C944&lt;&gt;"",COUNTIFS($C$8:C944,C944,$E$8:E944,E944)=1),1,0)</f>
        <v>0</v>
      </c>
    </row>
    <row r="945" spans="1:29" ht="15" customHeight="1" x14ac:dyDescent="0.25">
      <c r="A945" s="25" t="str">
        <f t="shared" si="14"/>
        <v/>
      </c>
      <c r="B945" s="26"/>
      <c r="C945" s="27"/>
      <c r="D945" s="28" t="str">
        <f>IFERROR(IF(C945="","",INDEX(마스터!$F$4:$F$20,MATCH(C945,마스터!$M$4:$M$20,0))),"")</f>
        <v/>
      </c>
      <c r="E945" s="27"/>
      <c r="F945" s="29"/>
      <c r="G945" s="25" t="str">
        <f>IFERROR(IF(C945="","",INDEX(마스터!$J$4:$J$20,MATCH(C945,마스터!$M$4:$M$20,0))),"")</f>
        <v/>
      </c>
      <c r="H945" s="30"/>
      <c r="I945" s="30"/>
      <c r="AC945" s="32">
        <f>IF(AND(E945&lt;&gt;"",C945&lt;&gt;"",COUNTIFS($C$8:C945,C945,$E$8:E945,E945)=1),1,0)</f>
        <v>0</v>
      </c>
    </row>
    <row r="946" spans="1:29" ht="15" customHeight="1" x14ac:dyDescent="0.25">
      <c r="A946" s="25" t="str">
        <f t="shared" si="14"/>
        <v/>
      </c>
      <c r="B946" s="26"/>
      <c r="C946" s="27"/>
      <c r="D946" s="28" t="str">
        <f>IFERROR(IF(C946="","",INDEX(마스터!$F$4:$F$20,MATCH(C946,마스터!$M$4:$M$20,0))),"")</f>
        <v/>
      </c>
      <c r="E946" s="27"/>
      <c r="F946" s="29"/>
      <c r="G946" s="25" t="str">
        <f>IFERROR(IF(C946="","",INDEX(마스터!$J$4:$J$20,MATCH(C946,마스터!$M$4:$M$20,0))),"")</f>
        <v/>
      </c>
      <c r="H946" s="30"/>
      <c r="I946" s="30"/>
      <c r="AC946" s="32">
        <f>IF(AND(E946&lt;&gt;"",C946&lt;&gt;"",COUNTIFS($C$8:C946,C946,$E$8:E946,E946)=1),1,0)</f>
        <v>0</v>
      </c>
    </row>
    <row r="947" spans="1:29" ht="15" customHeight="1" x14ac:dyDescent="0.25">
      <c r="A947" s="25" t="str">
        <f t="shared" si="14"/>
        <v/>
      </c>
      <c r="B947" s="26"/>
      <c r="C947" s="27"/>
      <c r="D947" s="28" t="str">
        <f>IFERROR(IF(C947="","",INDEX(마스터!$F$4:$F$20,MATCH(C947,마스터!$M$4:$M$20,0))),"")</f>
        <v/>
      </c>
      <c r="E947" s="27"/>
      <c r="F947" s="29"/>
      <c r="G947" s="25" t="str">
        <f>IFERROR(IF(C947="","",INDEX(마스터!$J$4:$J$20,MATCH(C947,마스터!$M$4:$M$20,0))),"")</f>
        <v/>
      </c>
      <c r="H947" s="30"/>
      <c r="I947" s="30"/>
      <c r="AC947" s="32">
        <f>IF(AND(E947&lt;&gt;"",C947&lt;&gt;"",COUNTIFS($C$8:C947,C947,$E$8:E947,E947)=1),1,0)</f>
        <v>0</v>
      </c>
    </row>
    <row r="948" spans="1:29" ht="15" customHeight="1" x14ac:dyDescent="0.25">
      <c r="A948" s="25" t="str">
        <f t="shared" si="14"/>
        <v/>
      </c>
      <c r="B948" s="26"/>
      <c r="C948" s="27"/>
      <c r="D948" s="28" t="str">
        <f>IFERROR(IF(C948="","",INDEX(마스터!$F$4:$F$20,MATCH(C948,마스터!$M$4:$M$20,0))),"")</f>
        <v/>
      </c>
      <c r="E948" s="27"/>
      <c r="F948" s="29"/>
      <c r="G948" s="25" t="str">
        <f>IFERROR(IF(C948="","",INDEX(마스터!$J$4:$J$20,MATCH(C948,마스터!$M$4:$M$20,0))),"")</f>
        <v/>
      </c>
      <c r="H948" s="30"/>
      <c r="I948" s="30"/>
      <c r="AC948" s="32">
        <f>IF(AND(E948&lt;&gt;"",C948&lt;&gt;"",COUNTIFS($C$8:C948,C948,$E$8:E948,E948)=1),1,0)</f>
        <v>0</v>
      </c>
    </row>
    <row r="949" spans="1:29" ht="15" customHeight="1" x14ac:dyDescent="0.25">
      <c r="A949" s="25" t="str">
        <f t="shared" si="14"/>
        <v/>
      </c>
      <c r="B949" s="26"/>
      <c r="C949" s="27"/>
      <c r="D949" s="28" t="str">
        <f>IFERROR(IF(C949="","",INDEX(마스터!$F$4:$F$20,MATCH(C949,마스터!$M$4:$M$20,0))),"")</f>
        <v/>
      </c>
      <c r="E949" s="27"/>
      <c r="F949" s="29"/>
      <c r="G949" s="25" t="str">
        <f>IFERROR(IF(C949="","",INDEX(마스터!$J$4:$J$20,MATCH(C949,마스터!$M$4:$M$20,0))),"")</f>
        <v/>
      </c>
      <c r="H949" s="30"/>
      <c r="I949" s="30"/>
      <c r="AC949" s="32">
        <f>IF(AND(E949&lt;&gt;"",C949&lt;&gt;"",COUNTIFS($C$8:C949,C949,$E$8:E949,E949)=1),1,0)</f>
        <v>0</v>
      </c>
    </row>
    <row r="950" spans="1:29" ht="15" customHeight="1" x14ac:dyDescent="0.25">
      <c r="A950" s="25" t="str">
        <f t="shared" si="14"/>
        <v/>
      </c>
      <c r="B950" s="26"/>
      <c r="C950" s="27"/>
      <c r="D950" s="28" t="str">
        <f>IFERROR(IF(C950="","",INDEX(마스터!$F$4:$F$20,MATCH(C950,마스터!$M$4:$M$20,0))),"")</f>
        <v/>
      </c>
      <c r="E950" s="27"/>
      <c r="F950" s="29"/>
      <c r="G950" s="25" t="str">
        <f>IFERROR(IF(C950="","",INDEX(마스터!$J$4:$J$20,MATCH(C950,마스터!$M$4:$M$20,0))),"")</f>
        <v/>
      </c>
      <c r="H950" s="30"/>
      <c r="I950" s="30"/>
      <c r="AC950" s="32">
        <f>IF(AND(E950&lt;&gt;"",C950&lt;&gt;"",COUNTIFS($C$8:C950,C950,$E$8:E950,E950)=1),1,0)</f>
        <v>0</v>
      </c>
    </row>
    <row r="951" spans="1:29" ht="15" customHeight="1" x14ac:dyDescent="0.25">
      <c r="A951" s="25" t="str">
        <f t="shared" si="14"/>
        <v/>
      </c>
      <c r="B951" s="26"/>
      <c r="C951" s="27"/>
      <c r="D951" s="28" t="str">
        <f>IFERROR(IF(C951="","",INDEX(마스터!$F$4:$F$20,MATCH(C951,마스터!$M$4:$M$20,0))),"")</f>
        <v/>
      </c>
      <c r="E951" s="27"/>
      <c r="F951" s="29"/>
      <c r="G951" s="25" t="str">
        <f>IFERROR(IF(C951="","",INDEX(마스터!$J$4:$J$20,MATCH(C951,마스터!$M$4:$M$20,0))),"")</f>
        <v/>
      </c>
      <c r="H951" s="30"/>
      <c r="I951" s="30"/>
      <c r="AC951" s="32">
        <f>IF(AND(E951&lt;&gt;"",C951&lt;&gt;"",COUNTIFS($C$8:C951,C951,$E$8:E951,E951)=1),1,0)</f>
        <v>0</v>
      </c>
    </row>
    <row r="952" spans="1:29" ht="15" customHeight="1" x14ac:dyDescent="0.25">
      <c r="A952" s="25" t="str">
        <f t="shared" si="14"/>
        <v/>
      </c>
      <c r="B952" s="26"/>
      <c r="C952" s="27"/>
      <c r="D952" s="28" t="str">
        <f>IFERROR(IF(C952="","",INDEX(마스터!$F$4:$F$20,MATCH(C952,마스터!$M$4:$M$20,0))),"")</f>
        <v/>
      </c>
      <c r="E952" s="27"/>
      <c r="F952" s="29"/>
      <c r="G952" s="25" t="str">
        <f>IFERROR(IF(C952="","",INDEX(마스터!$J$4:$J$20,MATCH(C952,마스터!$M$4:$M$20,0))),"")</f>
        <v/>
      </c>
      <c r="H952" s="30"/>
      <c r="I952" s="30"/>
      <c r="AC952" s="32">
        <f>IF(AND(E952&lt;&gt;"",C952&lt;&gt;"",COUNTIFS($C$8:C952,C952,$E$8:E952,E952)=1),1,0)</f>
        <v>0</v>
      </c>
    </row>
    <row r="953" spans="1:29" ht="15" customHeight="1" x14ac:dyDescent="0.25">
      <c r="A953" s="25" t="str">
        <f t="shared" si="14"/>
        <v/>
      </c>
      <c r="B953" s="26"/>
      <c r="C953" s="27"/>
      <c r="D953" s="28" t="str">
        <f>IFERROR(IF(C953="","",INDEX(마스터!$F$4:$F$20,MATCH(C953,마스터!$M$4:$M$20,0))),"")</f>
        <v/>
      </c>
      <c r="E953" s="27"/>
      <c r="F953" s="29"/>
      <c r="G953" s="25" t="str">
        <f>IFERROR(IF(C953="","",INDEX(마스터!$J$4:$J$20,MATCH(C953,마스터!$M$4:$M$20,0))),"")</f>
        <v/>
      </c>
      <c r="H953" s="30"/>
      <c r="I953" s="30"/>
      <c r="AC953" s="32">
        <f>IF(AND(E953&lt;&gt;"",C953&lt;&gt;"",COUNTIFS($C$8:C953,C953,$E$8:E953,E953)=1),1,0)</f>
        <v>0</v>
      </c>
    </row>
    <row r="954" spans="1:29" ht="15" customHeight="1" x14ac:dyDescent="0.25">
      <c r="A954" s="25" t="str">
        <f t="shared" si="14"/>
        <v/>
      </c>
      <c r="B954" s="26"/>
      <c r="C954" s="27"/>
      <c r="D954" s="28" t="str">
        <f>IFERROR(IF(C954="","",INDEX(마스터!$F$4:$F$20,MATCH(C954,마스터!$M$4:$M$20,0))),"")</f>
        <v/>
      </c>
      <c r="E954" s="27"/>
      <c r="F954" s="29"/>
      <c r="G954" s="25" t="str">
        <f>IFERROR(IF(C954="","",INDEX(마스터!$J$4:$J$20,MATCH(C954,마스터!$M$4:$M$20,0))),"")</f>
        <v/>
      </c>
      <c r="H954" s="30"/>
      <c r="I954" s="30"/>
      <c r="AC954" s="32">
        <f>IF(AND(E954&lt;&gt;"",C954&lt;&gt;"",COUNTIFS($C$8:C954,C954,$E$8:E954,E954)=1),1,0)</f>
        <v>0</v>
      </c>
    </row>
    <row r="955" spans="1:29" ht="15" customHeight="1" x14ac:dyDescent="0.25">
      <c r="A955" s="25" t="str">
        <f t="shared" si="14"/>
        <v/>
      </c>
      <c r="B955" s="26"/>
      <c r="C955" s="27"/>
      <c r="D955" s="28" t="str">
        <f>IFERROR(IF(C955="","",INDEX(마스터!$F$4:$F$20,MATCH(C955,마스터!$M$4:$M$20,0))),"")</f>
        <v/>
      </c>
      <c r="E955" s="27"/>
      <c r="F955" s="29"/>
      <c r="G955" s="25" t="str">
        <f>IFERROR(IF(C955="","",INDEX(마스터!$J$4:$J$20,MATCH(C955,마스터!$M$4:$M$20,0))),"")</f>
        <v/>
      </c>
      <c r="H955" s="30"/>
      <c r="I955" s="30"/>
      <c r="AC955" s="32">
        <f>IF(AND(E955&lt;&gt;"",C955&lt;&gt;"",COUNTIFS($C$8:C955,C955,$E$8:E955,E955)=1),1,0)</f>
        <v>0</v>
      </c>
    </row>
    <row r="956" spans="1:29" ht="15" customHeight="1" x14ac:dyDescent="0.25">
      <c r="A956" s="25" t="str">
        <f t="shared" si="14"/>
        <v/>
      </c>
      <c r="B956" s="26"/>
      <c r="C956" s="27"/>
      <c r="D956" s="28" t="str">
        <f>IFERROR(IF(C956="","",INDEX(마스터!$F$4:$F$20,MATCH(C956,마스터!$M$4:$M$20,0))),"")</f>
        <v/>
      </c>
      <c r="E956" s="27"/>
      <c r="F956" s="29"/>
      <c r="G956" s="25" t="str">
        <f>IFERROR(IF(C956="","",INDEX(마스터!$J$4:$J$20,MATCH(C956,마스터!$M$4:$M$20,0))),"")</f>
        <v/>
      </c>
      <c r="H956" s="30"/>
      <c r="I956" s="30"/>
      <c r="AC956" s="32">
        <f>IF(AND(E956&lt;&gt;"",C956&lt;&gt;"",COUNTIFS($C$8:C956,C956,$E$8:E956,E956)=1),1,0)</f>
        <v>0</v>
      </c>
    </row>
    <row r="957" spans="1:29" ht="15" customHeight="1" x14ac:dyDescent="0.25">
      <c r="A957" s="25" t="str">
        <f t="shared" si="14"/>
        <v/>
      </c>
      <c r="B957" s="26"/>
      <c r="C957" s="27"/>
      <c r="D957" s="28" t="str">
        <f>IFERROR(IF(C957="","",INDEX(마스터!$F$4:$F$20,MATCH(C957,마스터!$M$4:$M$20,0))),"")</f>
        <v/>
      </c>
      <c r="E957" s="27"/>
      <c r="F957" s="29"/>
      <c r="G957" s="25" t="str">
        <f>IFERROR(IF(C957="","",INDEX(마스터!$J$4:$J$20,MATCH(C957,마스터!$M$4:$M$20,0))),"")</f>
        <v/>
      </c>
      <c r="H957" s="30"/>
      <c r="I957" s="30"/>
      <c r="AC957" s="32">
        <f>IF(AND(E957&lt;&gt;"",C957&lt;&gt;"",COUNTIFS($C$8:C957,C957,$E$8:E957,E957)=1),1,0)</f>
        <v>0</v>
      </c>
    </row>
    <row r="958" spans="1:29" ht="15" customHeight="1" x14ac:dyDescent="0.25">
      <c r="A958" s="25" t="str">
        <f t="shared" si="14"/>
        <v/>
      </c>
      <c r="B958" s="26"/>
      <c r="C958" s="27"/>
      <c r="D958" s="28" t="str">
        <f>IFERROR(IF(C958="","",INDEX(마스터!$F$4:$F$20,MATCH(C958,마스터!$M$4:$M$20,0))),"")</f>
        <v/>
      </c>
      <c r="E958" s="27"/>
      <c r="F958" s="29"/>
      <c r="G958" s="25" t="str">
        <f>IFERROR(IF(C958="","",INDEX(마스터!$J$4:$J$20,MATCH(C958,마스터!$M$4:$M$20,0))),"")</f>
        <v/>
      </c>
      <c r="H958" s="30"/>
      <c r="I958" s="30"/>
      <c r="AC958" s="32">
        <f>IF(AND(E958&lt;&gt;"",C958&lt;&gt;"",COUNTIFS($C$8:C958,C958,$E$8:E958,E958)=1),1,0)</f>
        <v>0</v>
      </c>
    </row>
    <row r="959" spans="1:29" ht="15" customHeight="1" x14ac:dyDescent="0.25">
      <c r="A959" s="25" t="str">
        <f t="shared" si="14"/>
        <v/>
      </c>
      <c r="B959" s="26"/>
      <c r="C959" s="27"/>
      <c r="D959" s="28" t="str">
        <f>IFERROR(IF(C959="","",INDEX(마스터!$F$4:$F$20,MATCH(C959,마스터!$M$4:$M$20,0))),"")</f>
        <v/>
      </c>
      <c r="E959" s="27"/>
      <c r="F959" s="29"/>
      <c r="G959" s="25" t="str">
        <f>IFERROR(IF(C959="","",INDEX(마스터!$J$4:$J$20,MATCH(C959,마스터!$M$4:$M$20,0))),"")</f>
        <v/>
      </c>
      <c r="H959" s="30"/>
      <c r="I959" s="30"/>
      <c r="AC959" s="32">
        <f>IF(AND(E959&lt;&gt;"",C959&lt;&gt;"",COUNTIFS($C$8:C959,C959,$E$8:E959,E959)=1),1,0)</f>
        <v>0</v>
      </c>
    </row>
    <row r="960" spans="1:29" ht="15" customHeight="1" x14ac:dyDescent="0.25">
      <c r="A960" s="25" t="str">
        <f t="shared" si="14"/>
        <v/>
      </c>
      <c r="B960" s="26"/>
      <c r="C960" s="27"/>
      <c r="D960" s="28" t="str">
        <f>IFERROR(IF(C960="","",INDEX(마스터!$F$4:$F$20,MATCH(C960,마스터!$M$4:$M$20,0))),"")</f>
        <v/>
      </c>
      <c r="E960" s="27"/>
      <c r="F960" s="29"/>
      <c r="G960" s="25" t="str">
        <f>IFERROR(IF(C960="","",INDEX(마스터!$J$4:$J$20,MATCH(C960,마스터!$M$4:$M$20,0))),"")</f>
        <v/>
      </c>
      <c r="H960" s="30"/>
      <c r="I960" s="30"/>
      <c r="AC960" s="32">
        <f>IF(AND(E960&lt;&gt;"",C960&lt;&gt;"",COUNTIFS($C$8:C960,C960,$E$8:E960,E960)=1),1,0)</f>
        <v>0</v>
      </c>
    </row>
    <row r="961" spans="1:29" ht="15" customHeight="1" x14ac:dyDescent="0.25">
      <c r="A961" s="25" t="str">
        <f t="shared" si="14"/>
        <v/>
      </c>
      <c r="B961" s="26"/>
      <c r="C961" s="27"/>
      <c r="D961" s="28" t="str">
        <f>IFERROR(IF(C961="","",INDEX(마스터!$F$4:$F$20,MATCH(C961,마스터!$M$4:$M$20,0))),"")</f>
        <v/>
      </c>
      <c r="E961" s="27"/>
      <c r="F961" s="29"/>
      <c r="G961" s="25" t="str">
        <f>IFERROR(IF(C961="","",INDEX(마스터!$J$4:$J$20,MATCH(C961,마스터!$M$4:$M$20,0))),"")</f>
        <v/>
      </c>
      <c r="H961" s="30"/>
      <c r="I961" s="30"/>
      <c r="AC961" s="32">
        <f>IF(AND(E961&lt;&gt;"",C961&lt;&gt;"",COUNTIFS($C$8:C961,C961,$E$8:E961,E961)=1),1,0)</f>
        <v>0</v>
      </c>
    </row>
    <row r="962" spans="1:29" ht="15" customHeight="1" x14ac:dyDescent="0.25">
      <c r="A962" s="25" t="str">
        <f t="shared" si="14"/>
        <v/>
      </c>
      <c r="B962" s="26"/>
      <c r="C962" s="27"/>
      <c r="D962" s="28" t="str">
        <f>IFERROR(IF(C962="","",INDEX(마스터!$F$4:$F$20,MATCH(C962,마스터!$M$4:$M$20,0))),"")</f>
        <v/>
      </c>
      <c r="E962" s="27"/>
      <c r="F962" s="29"/>
      <c r="G962" s="25" t="str">
        <f>IFERROR(IF(C962="","",INDEX(마스터!$J$4:$J$20,MATCH(C962,마스터!$M$4:$M$20,0))),"")</f>
        <v/>
      </c>
      <c r="H962" s="30"/>
      <c r="I962" s="30"/>
      <c r="AC962" s="32">
        <f>IF(AND(E962&lt;&gt;"",C962&lt;&gt;"",COUNTIFS($C$8:C962,C962,$E$8:E962,E962)=1),1,0)</f>
        <v>0</v>
      </c>
    </row>
    <row r="963" spans="1:29" ht="15" customHeight="1" x14ac:dyDescent="0.25">
      <c r="A963" s="25" t="str">
        <f t="shared" si="14"/>
        <v/>
      </c>
      <c r="B963" s="26"/>
      <c r="C963" s="27"/>
      <c r="D963" s="28" t="str">
        <f>IFERROR(IF(C963="","",INDEX(마스터!$F$4:$F$20,MATCH(C963,마스터!$M$4:$M$20,0))),"")</f>
        <v/>
      </c>
      <c r="E963" s="27"/>
      <c r="F963" s="29"/>
      <c r="G963" s="25" t="str">
        <f>IFERROR(IF(C963="","",INDEX(마스터!$J$4:$J$20,MATCH(C963,마스터!$M$4:$M$20,0))),"")</f>
        <v/>
      </c>
      <c r="H963" s="30"/>
      <c r="I963" s="30"/>
      <c r="AC963" s="32">
        <f>IF(AND(E963&lt;&gt;"",C963&lt;&gt;"",COUNTIFS($C$8:C963,C963,$E$8:E963,E963)=1),1,0)</f>
        <v>0</v>
      </c>
    </row>
    <row r="964" spans="1:29" ht="15" customHeight="1" x14ac:dyDescent="0.25">
      <c r="A964" s="25" t="str">
        <f t="shared" si="14"/>
        <v/>
      </c>
      <c r="B964" s="26"/>
      <c r="C964" s="27"/>
      <c r="D964" s="28" t="str">
        <f>IFERROR(IF(C964="","",INDEX(마스터!$F$4:$F$20,MATCH(C964,마스터!$M$4:$M$20,0))),"")</f>
        <v/>
      </c>
      <c r="E964" s="27"/>
      <c r="F964" s="29"/>
      <c r="G964" s="25" t="str">
        <f>IFERROR(IF(C964="","",INDEX(마스터!$J$4:$J$20,MATCH(C964,마스터!$M$4:$M$20,0))),"")</f>
        <v/>
      </c>
      <c r="H964" s="30"/>
      <c r="I964" s="30"/>
      <c r="AC964" s="32">
        <f>IF(AND(E964&lt;&gt;"",C964&lt;&gt;"",COUNTIFS($C$8:C964,C964,$E$8:E964,E964)=1),1,0)</f>
        <v>0</v>
      </c>
    </row>
    <row r="965" spans="1:29" ht="15" customHeight="1" x14ac:dyDescent="0.25">
      <c r="A965" s="25" t="str">
        <f t="shared" si="14"/>
        <v/>
      </c>
      <c r="B965" s="26"/>
      <c r="C965" s="27"/>
      <c r="D965" s="28" t="str">
        <f>IFERROR(IF(C965="","",INDEX(마스터!$F$4:$F$20,MATCH(C965,마스터!$M$4:$M$20,0))),"")</f>
        <v/>
      </c>
      <c r="E965" s="27"/>
      <c r="F965" s="29"/>
      <c r="G965" s="25" t="str">
        <f>IFERROR(IF(C965="","",INDEX(마스터!$J$4:$J$20,MATCH(C965,마스터!$M$4:$M$20,0))),"")</f>
        <v/>
      </c>
      <c r="H965" s="30"/>
      <c r="I965" s="30"/>
      <c r="AC965" s="32">
        <f>IF(AND(E965&lt;&gt;"",C965&lt;&gt;"",COUNTIFS($C$8:C965,C965,$E$8:E965,E965)=1),1,0)</f>
        <v>0</v>
      </c>
    </row>
    <row r="966" spans="1:29" ht="15" customHeight="1" x14ac:dyDescent="0.25">
      <c r="A966" s="25" t="str">
        <f t="shared" si="14"/>
        <v/>
      </c>
      <c r="B966" s="26"/>
      <c r="C966" s="27"/>
      <c r="D966" s="28" t="str">
        <f>IFERROR(IF(C966="","",INDEX(마스터!$F$4:$F$20,MATCH(C966,마스터!$M$4:$M$20,0))),"")</f>
        <v/>
      </c>
      <c r="E966" s="27"/>
      <c r="F966" s="29"/>
      <c r="G966" s="25" t="str">
        <f>IFERROR(IF(C966="","",INDEX(마스터!$J$4:$J$20,MATCH(C966,마스터!$M$4:$M$20,0))),"")</f>
        <v/>
      </c>
      <c r="H966" s="30"/>
      <c r="I966" s="30"/>
      <c r="AC966" s="32">
        <f>IF(AND(E966&lt;&gt;"",C966&lt;&gt;"",COUNTIFS($C$8:C966,C966,$E$8:E966,E966)=1),1,0)</f>
        <v>0</v>
      </c>
    </row>
    <row r="967" spans="1:29" ht="15" customHeight="1" x14ac:dyDescent="0.25">
      <c r="A967" s="25" t="str">
        <f t="shared" si="14"/>
        <v/>
      </c>
      <c r="B967" s="26"/>
      <c r="C967" s="27"/>
      <c r="D967" s="28" t="str">
        <f>IFERROR(IF(C967="","",INDEX(마스터!$F$4:$F$20,MATCH(C967,마스터!$M$4:$M$20,0))),"")</f>
        <v/>
      </c>
      <c r="E967" s="27"/>
      <c r="F967" s="29"/>
      <c r="G967" s="25" t="str">
        <f>IFERROR(IF(C967="","",INDEX(마스터!$J$4:$J$20,MATCH(C967,마스터!$M$4:$M$20,0))),"")</f>
        <v/>
      </c>
      <c r="H967" s="30"/>
      <c r="I967" s="30"/>
      <c r="AC967" s="32">
        <f>IF(AND(E967&lt;&gt;"",C967&lt;&gt;"",COUNTIFS($C$8:C967,C967,$E$8:E967,E967)=1),1,0)</f>
        <v>0</v>
      </c>
    </row>
    <row r="968" spans="1:29" ht="15" customHeight="1" x14ac:dyDescent="0.25">
      <c r="A968" s="25" t="str">
        <f t="shared" ref="A968:A1013" si="15">IF(B968="","",ROW()-7)</f>
        <v/>
      </c>
      <c r="B968" s="26"/>
      <c r="C968" s="27"/>
      <c r="D968" s="28" t="str">
        <f>IFERROR(IF(C968="","",INDEX(마스터!$F$4:$F$20,MATCH(C968,마스터!$M$4:$M$20,0))),"")</f>
        <v/>
      </c>
      <c r="E968" s="27"/>
      <c r="F968" s="29"/>
      <c r="G968" s="25" t="str">
        <f>IFERROR(IF(C968="","",INDEX(마스터!$J$4:$J$20,MATCH(C968,마스터!$M$4:$M$20,0))),"")</f>
        <v/>
      </c>
      <c r="H968" s="30"/>
      <c r="I968" s="30"/>
      <c r="AC968" s="32">
        <f>IF(AND(E968&lt;&gt;"",C968&lt;&gt;"",COUNTIFS($C$8:C968,C968,$E$8:E968,E968)=1),1,0)</f>
        <v>0</v>
      </c>
    </row>
    <row r="969" spans="1:29" ht="15" customHeight="1" x14ac:dyDescent="0.25">
      <c r="A969" s="25" t="str">
        <f t="shared" si="15"/>
        <v/>
      </c>
      <c r="B969" s="26"/>
      <c r="C969" s="27"/>
      <c r="D969" s="28" t="str">
        <f>IFERROR(IF(C969="","",INDEX(마스터!$F$4:$F$20,MATCH(C969,마스터!$M$4:$M$20,0))),"")</f>
        <v/>
      </c>
      <c r="E969" s="27"/>
      <c r="F969" s="29"/>
      <c r="G969" s="25" t="str">
        <f>IFERROR(IF(C969="","",INDEX(마스터!$J$4:$J$20,MATCH(C969,마스터!$M$4:$M$20,0))),"")</f>
        <v/>
      </c>
      <c r="H969" s="30"/>
      <c r="I969" s="30"/>
      <c r="AC969" s="32">
        <f>IF(AND(E969&lt;&gt;"",C969&lt;&gt;"",COUNTIFS($C$8:C969,C969,$E$8:E969,E969)=1),1,0)</f>
        <v>0</v>
      </c>
    </row>
    <row r="970" spans="1:29" ht="15" customHeight="1" x14ac:dyDescent="0.25">
      <c r="A970" s="25" t="str">
        <f t="shared" si="15"/>
        <v/>
      </c>
      <c r="B970" s="26"/>
      <c r="C970" s="27"/>
      <c r="D970" s="28" t="str">
        <f>IFERROR(IF(C970="","",INDEX(마스터!$F$4:$F$20,MATCH(C970,마스터!$M$4:$M$20,0))),"")</f>
        <v/>
      </c>
      <c r="E970" s="27"/>
      <c r="F970" s="29"/>
      <c r="G970" s="25" t="str">
        <f>IFERROR(IF(C970="","",INDEX(마스터!$J$4:$J$20,MATCH(C970,마스터!$M$4:$M$20,0))),"")</f>
        <v/>
      </c>
      <c r="H970" s="30"/>
      <c r="I970" s="30"/>
      <c r="AC970" s="32">
        <f>IF(AND(E970&lt;&gt;"",C970&lt;&gt;"",COUNTIFS($C$8:C970,C970,$E$8:E970,E970)=1),1,0)</f>
        <v>0</v>
      </c>
    </row>
    <row r="971" spans="1:29" ht="15" customHeight="1" x14ac:dyDescent="0.25">
      <c r="A971" s="25" t="str">
        <f t="shared" si="15"/>
        <v/>
      </c>
      <c r="B971" s="26"/>
      <c r="C971" s="27"/>
      <c r="D971" s="28" t="str">
        <f>IFERROR(IF(C971="","",INDEX(마스터!$F$4:$F$20,MATCH(C971,마스터!$M$4:$M$20,0))),"")</f>
        <v/>
      </c>
      <c r="E971" s="27"/>
      <c r="F971" s="29"/>
      <c r="G971" s="25" t="str">
        <f>IFERROR(IF(C971="","",INDEX(마스터!$J$4:$J$20,MATCH(C971,마스터!$M$4:$M$20,0))),"")</f>
        <v/>
      </c>
      <c r="H971" s="30"/>
      <c r="I971" s="30"/>
      <c r="AC971" s="32">
        <f>IF(AND(E971&lt;&gt;"",C971&lt;&gt;"",COUNTIFS($C$8:C971,C971,$E$8:E971,E971)=1),1,0)</f>
        <v>0</v>
      </c>
    </row>
    <row r="972" spans="1:29" ht="15" customHeight="1" x14ac:dyDescent="0.25">
      <c r="A972" s="25" t="str">
        <f t="shared" si="15"/>
        <v/>
      </c>
      <c r="B972" s="26"/>
      <c r="C972" s="27"/>
      <c r="D972" s="28" t="str">
        <f>IFERROR(IF(C972="","",INDEX(마스터!$F$4:$F$20,MATCH(C972,마스터!$M$4:$M$20,0))),"")</f>
        <v/>
      </c>
      <c r="E972" s="27"/>
      <c r="F972" s="29"/>
      <c r="G972" s="25" t="str">
        <f>IFERROR(IF(C972="","",INDEX(마스터!$J$4:$J$20,MATCH(C972,마스터!$M$4:$M$20,0))),"")</f>
        <v/>
      </c>
      <c r="H972" s="30"/>
      <c r="I972" s="30"/>
      <c r="AC972" s="32">
        <f>IF(AND(E972&lt;&gt;"",C972&lt;&gt;"",COUNTIFS($C$8:C972,C972,$E$8:E972,E972)=1),1,0)</f>
        <v>0</v>
      </c>
    </row>
    <row r="973" spans="1:29" ht="15" customHeight="1" x14ac:dyDescent="0.25">
      <c r="A973" s="25" t="str">
        <f t="shared" si="15"/>
        <v/>
      </c>
      <c r="B973" s="26"/>
      <c r="C973" s="27"/>
      <c r="D973" s="28" t="str">
        <f>IFERROR(IF(C973="","",INDEX(마스터!$F$4:$F$20,MATCH(C973,마스터!$M$4:$M$20,0))),"")</f>
        <v/>
      </c>
      <c r="E973" s="27"/>
      <c r="F973" s="29"/>
      <c r="G973" s="25" t="str">
        <f>IFERROR(IF(C973="","",INDEX(마스터!$J$4:$J$20,MATCH(C973,마스터!$M$4:$M$20,0))),"")</f>
        <v/>
      </c>
      <c r="H973" s="30"/>
      <c r="I973" s="30"/>
      <c r="AC973" s="32">
        <f>IF(AND(E973&lt;&gt;"",C973&lt;&gt;"",COUNTIFS($C$8:C973,C973,$E$8:E973,E973)=1),1,0)</f>
        <v>0</v>
      </c>
    </row>
    <row r="974" spans="1:29" ht="15" customHeight="1" x14ac:dyDescent="0.25">
      <c r="A974" s="25" t="str">
        <f t="shared" si="15"/>
        <v/>
      </c>
      <c r="B974" s="26"/>
      <c r="C974" s="27"/>
      <c r="D974" s="28" t="str">
        <f>IFERROR(IF(C974="","",INDEX(마스터!$F$4:$F$20,MATCH(C974,마스터!$M$4:$M$20,0))),"")</f>
        <v/>
      </c>
      <c r="E974" s="27"/>
      <c r="F974" s="29"/>
      <c r="G974" s="25" t="str">
        <f>IFERROR(IF(C974="","",INDEX(마스터!$J$4:$J$20,MATCH(C974,마스터!$M$4:$M$20,0))),"")</f>
        <v/>
      </c>
      <c r="H974" s="30"/>
      <c r="I974" s="30"/>
      <c r="AC974" s="32">
        <f>IF(AND(E974&lt;&gt;"",C974&lt;&gt;"",COUNTIFS($C$8:C974,C974,$E$8:E974,E974)=1),1,0)</f>
        <v>0</v>
      </c>
    </row>
    <row r="975" spans="1:29" ht="15" customHeight="1" x14ac:dyDescent="0.25">
      <c r="A975" s="25" t="str">
        <f t="shared" si="15"/>
        <v/>
      </c>
      <c r="B975" s="26"/>
      <c r="C975" s="27"/>
      <c r="D975" s="28" t="str">
        <f>IFERROR(IF(C975="","",INDEX(마스터!$F$4:$F$20,MATCH(C975,마스터!$M$4:$M$20,0))),"")</f>
        <v/>
      </c>
      <c r="E975" s="27"/>
      <c r="F975" s="29"/>
      <c r="G975" s="25" t="str">
        <f>IFERROR(IF(C975="","",INDEX(마스터!$J$4:$J$20,MATCH(C975,마스터!$M$4:$M$20,0))),"")</f>
        <v/>
      </c>
      <c r="H975" s="30"/>
      <c r="I975" s="30"/>
      <c r="AC975" s="32">
        <f>IF(AND(E975&lt;&gt;"",C975&lt;&gt;"",COUNTIFS($C$8:C975,C975,$E$8:E975,E975)=1),1,0)</f>
        <v>0</v>
      </c>
    </row>
    <row r="976" spans="1:29" ht="15" customHeight="1" x14ac:dyDescent="0.25">
      <c r="A976" s="25" t="str">
        <f t="shared" si="15"/>
        <v/>
      </c>
      <c r="B976" s="26"/>
      <c r="C976" s="27"/>
      <c r="D976" s="28" t="str">
        <f>IFERROR(IF(C976="","",INDEX(마스터!$F$4:$F$20,MATCH(C976,마스터!$M$4:$M$20,0))),"")</f>
        <v/>
      </c>
      <c r="E976" s="27"/>
      <c r="F976" s="29"/>
      <c r="G976" s="25" t="str">
        <f>IFERROR(IF(C976="","",INDEX(마스터!$J$4:$J$20,MATCH(C976,마스터!$M$4:$M$20,0))),"")</f>
        <v/>
      </c>
      <c r="H976" s="30"/>
      <c r="I976" s="30"/>
      <c r="AC976" s="32">
        <f>IF(AND(E976&lt;&gt;"",C976&lt;&gt;"",COUNTIFS($C$8:C976,C976,$E$8:E976,E976)=1),1,0)</f>
        <v>0</v>
      </c>
    </row>
    <row r="977" spans="1:29" ht="15" customHeight="1" x14ac:dyDescent="0.25">
      <c r="A977" s="25" t="str">
        <f t="shared" si="15"/>
        <v/>
      </c>
      <c r="B977" s="26"/>
      <c r="C977" s="27"/>
      <c r="D977" s="28" t="str">
        <f>IFERROR(IF(C977="","",INDEX(마스터!$F$4:$F$20,MATCH(C977,마스터!$M$4:$M$20,0))),"")</f>
        <v/>
      </c>
      <c r="E977" s="27"/>
      <c r="F977" s="29"/>
      <c r="G977" s="25" t="str">
        <f>IFERROR(IF(C977="","",INDEX(마스터!$J$4:$J$20,MATCH(C977,마스터!$M$4:$M$20,0))),"")</f>
        <v/>
      </c>
      <c r="H977" s="30"/>
      <c r="I977" s="30"/>
      <c r="AC977" s="32">
        <f>IF(AND(E977&lt;&gt;"",C977&lt;&gt;"",COUNTIFS($C$8:C977,C977,$E$8:E977,E977)=1),1,0)</f>
        <v>0</v>
      </c>
    </row>
    <row r="978" spans="1:29" ht="15" customHeight="1" x14ac:dyDescent="0.25">
      <c r="A978" s="25" t="str">
        <f t="shared" si="15"/>
        <v/>
      </c>
      <c r="B978" s="26"/>
      <c r="C978" s="27"/>
      <c r="D978" s="28" t="str">
        <f>IFERROR(IF(C978="","",INDEX(마스터!$F$4:$F$20,MATCH(C978,마스터!$M$4:$M$20,0))),"")</f>
        <v/>
      </c>
      <c r="E978" s="27"/>
      <c r="F978" s="29"/>
      <c r="G978" s="25" t="str">
        <f>IFERROR(IF(C978="","",INDEX(마스터!$J$4:$J$20,MATCH(C978,마스터!$M$4:$M$20,0))),"")</f>
        <v/>
      </c>
      <c r="H978" s="30"/>
      <c r="I978" s="30"/>
      <c r="AC978" s="32">
        <f>IF(AND(E978&lt;&gt;"",C978&lt;&gt;"",COUNTIFS($C$8:C978,C978,$E$8:E978,E978)=1),1,0)</f>
        <v>0</v>
      </c>
    </row>
    <row r="979" spans="1:29" ht="15" customHeight="1" x14ac:dyDescent="0.25">
      <c r="A979" s="25" t="str">
        <f t="shared" si="15"/>
        <v/>
      </c>
      <c r="B979" s="26"/>
      <c r="C979" s="27"/>
      <c r="D979" s="28" t="str">
        <f>IFERROR(IF(C979="","",INDEX(마스터!$F$4:$F$20,MATCH(C979,마스터!$M$4:$M$20,0))),"")</f>
        <v/>
      </c>
      <c r="E979" s="27"/>
      <c r="F979" s="29"/>
      <c r="G979" s="25" t="str">
        <f>IFERROR(IF(C979="","",INDEX(마스터!$J$4:$J$20,MATCH(C979,마스터!$M$4:$M$20,0))),"")</f>
        <v/>
      </c>
      <c r="H979" s="30"/>
      <c r="I979" s="30"/>
      <c r="AC979" s="32">
        <f>IF(AND(E979&lt;&gt;"",C979&lt;&gt;"",COUNTIFS($C$8:C979,C979,$E$8:E979,E979)=1),1,0)</f>
        <v>0</v>
      </c>
    </row>
    <row r="980" spans="1:29" ht="15" customHeight="1" x14ac:dyDescent="0.25">
      <c r="A980" s="25" t="str">
        <f t="shared" si="15"/>
        <v/>
      </c>
      <c r="B980" s="26"/>
      <c r="C980" s="27"/>
      <c r="D980" s="28" t="str">
        <f>IFERROR(IF(C980="","",INDEX(마스터!$F$4:$F$20,MATCH(C980,마스터!$M$4:$M$20,0))),"")</f>
        <v/>
      </c>
      <c r="E980" s="27"/>
      <c r="F980" s="29"/>
      <c r="G980" s="25" t="str">
        <f>IFERROR(IF(C980="","",INDEX(마스터!$J$4:$J$20,MATCH(C980,마스터!$M$4:$M$20,0))),"")</f>
        <v/>
      </c>
      <c r="H980" s="30"/>
      <c r="I980" s="30"/>
      <c r="AC980" s="32">
        <f>IF(AND(E980&lt;&gt;"",C980&lt;&gt;"",COUNTIFS($C$8:C980,C980,$E$8:E980,E980)=1),1,0)</f>
        <v>0</v>
      </c>
    </row>
    <row r="981" spans="1:29" ht="15" customHeight="1" x14ac:dyDescent="0.25">
      <c r="A981" s="25" t="str">
        <f t="shared" si="15"/>
        <v/>
      </c>
      <c r="B981" s="26"/>
      <c r="C981" s="27"/>
      <c r="D981" s="28" t="str">
        <f>IFERROR(IF(C981="","",INDEX(마스터!$F$4:$F$20,MATCH(C981,마스터!$M$4:$M$20,0))),"")</f>
        <v/>
      </c>
      <c r="E981" s="27"/>
      <c r="F981" s="29"/>
      <c r="G981" s="25" t="str">
        <f>IFERROR(IF(C981="","",INDEX(마스터!$J$4:$J$20,MATCH(C981,마스터!$M$4:$M$20,0))),"")</f>
        <v/>
      </c>
      <c r="H981" s="30"/>
      <c r="I981" s="30"/>
      <c r="AC981" s="32">
        <f>IF(AND(E981&lt;&gt;"",C981&lt;&gt;"",COUNTIFS($C$8:C981,C981,$E$8:E981,E981)=1),1,0)</f>
        <v>0</v>
      </c>
    </row>
    <row r="982" spans="1:29" ht="15" customHeight="1" x14ac:dyDescent="0.25">
      <c r="A982" s="25" t="str">
        <f t="shared" si="15"/>
        <v/>
      </c>
      <c r="B982" s="26"/>
      <c r="C982" s="27"/>
      <c r="D982" s="28" t="str">
        <f>IFERROR(IF(C982="","",INDEX(마스터!$F$4:$F$20,MATCH(C982,마스터!$M$4:$M$20,0))),"")</f>
        <v/>
      </c>
      <c r="E982" s="27"/>
      <c r="F982" s="29"/>
      <c r="G982" s="25" t="str">
        <f>IFERROR(IF(C982="","",INDEX(마스터!$J$4:$J$20,MATCH(C982,마스터!$M$4:$M$20,0))),"")</f>
        <v/>
      </c>
      <c r="H982" s="30"/>
      <c r="I982" s="30"/>
      <c r="AC982" s="32">
        <f>IF(AND(E982&lt;&gt;"",C982&lt;&gt;"",COUNTIFS($C$8:C982,C982,$E$8:E982,E982)=1),1,0)</f>
        <v>0</v>
      </c>
    </row>
    <row r="983" spans="1:29" ht="15" customHeight="1" x14ac:dyDescent="0.25">
      <c r="A983" s="25" t="str">
        <f t="shared" si="15"/>
        <v/>
      </c>
      <c r="B983" s="26"/>
      <c r="C983" s="27"/>
      <c r="D983" s="28" t="str">
        <f>IFERROR(IF(C983="","",INDEX(마스터!$F$4:$F$20,MATCH(C983,마스터!$M$4:$M$20,0))),"")</f>
        <v/>
      </c>
      <c r="E983" s="27"/>
      <c r="F983" s="29"/>
      <c r="G983" s="25" t="str">
        <f>IFERROR(IF(C983="","",INDEX(마스터!$J$4:$J$20,MATCH(C983,마스터!$M$4:$M$20,0))),"")</f>
        <v/>
      </c>
      <c r="H983" s="30"/>
      <c r="I983" s="30"/>
      <c r="AC983" s="32">
        <f>IF(AND(E983&lt;&gt;"",C983&lt;&gt;"",COUNTIFS($C$8:C983,C983,$E$8:E983,E983)=1),1,0)</f>
        <v>0</v>
      </c>
    </row>
    <row r="984" spans="1:29" ht="15" customHeight="1" x14ac:dyDescent="0.25">
      <c r="A984" s="25" t="str">
        <f t="shared" si="15"/>
        <v/>
      </c>
      <c r="B984" s="26"/>
      <c r="C984" s="27"/>
      <c r="D984" s="28" t="str">
        <f>IFERROR(IF(C984="","",INDEX(마스터!$F$4:$F$20,MATCH(C984,마스터!$M$4:$M$20,0))),"")</f>
        <v/>
      </c>
      <c r="E984" s="27"/>
      <c r="F984" s="29"/>
      <c r="G984" s="25" t="str">
        <f>IFERROR(IF(C984="","",INDEX(마스터!$J$4:$J$20,MATCH(C984,마스터!$M$4:$M$20,0))),"")</f>
        <v/>
      </c>
      <c r="H984" s="30"/>
      <c r="I984" s="30"/>
      <c r="AC984" s="32">
        <f>IF(AND(E984&lt;&gt;"",C984&lt;&gt;"",COUNTIFS($C$8:C984,C984,$E$8:E984,E984)=1),1,0)</f>
        <v>0</v>
      </c>
    </row>
    <row r="985" spans="1:29" ht="15" customHeight="1" x14ac:dyDescent="0.25">
      <c r="A985" s="25" t="str">
        <f t="shared" si="15"/>
        <v/>
      </c>
      <c r="B985" s="26"/>
      <c r="C985" s="27"/>
      <c r="D985" s="28" t="str">
        <f>IFERROR(IF(C985="","",INDEX(마스터!$F$4:$F$20,MATCH(C985,마스터!$M$4:$M$20,0))),"")</f>
        <v/>
      </c>
      <c r="E985" s="27"/>
      <c r="F985" s="29"/>
      <c r="G985" s="25" t="str">
        <f>IFERROR(IF(C985="","",INDEX(마스터!$J$4:$J$20,MATCH(C985,마스터!$M$4:$M$20,0))),"")</f>
        <v/>
      </c>
      <c r="H985" s="30"/>
      <c r="I985" s="30"/>
      <c r="AC985" s="32">
        <f>IF(AND(E985&lt;&gt;"",C985&lt;&gt;"",COUNTIFS($C$8:C985,C985,$E$8:E985,E985)=1),1,0)</f>
        <v>0</v>
      </c>
    </row>
    <row r="986" spans="1:29" ht="15" customHeight="1" x14ac:dyDescent="0.25">
      <c r="A986" s="25" t="str">
        <f t="shared" si="15"/>
        <v/>
      </c>
      <c r="B986" s="26"/>
      <c r="C986" s="27"/>
      <c r="D986" s="28" t="str">
        <f>IFERROR(IF(C986="","",INDEX(마스터!$F$4:$F$20,MATCH(C986,마스터!$M$4:$M$20,0))),"")</f>
        <v/>
      </c>
      <c r="E986" s="27"/>
      <c r="F986" s="29"/>
      <c r="G986" s="25" t="str">
        <f>IFERROR(IF(C986="","",INDEX(마스터!$J$4:$J$20,MATCH(C986,마스터!$M$4:$M$20,0))),"")</f>
        <v/>
      </c>
      <c r="H986" s="30"/>
      <c r="I986" s="30"/>
      <c r="AC986" s="32">
        <f>IF(AND(E986&lt;&gt;"",C986&lt;&gt;"",COUNTIFS($C$8:C986,C986,$E$8:E986,E986)=1),1,0)</f>
        <v>0</v>
      </c>
    </row>
    <row r="987" spans="1:29" ht="15" customHeight="1" x14ac:dyDescent="0.25">
      <c r="A987" s="25" t="str">
        <f t="shared" si="15"/>
        <v/>
      </c>
      <c r="B987" s="26"/>
      <c r="C987" s="27"/>
      <c r="D987" s="28" t="str">
        <f>IFERROR(IF(C987="","",INDEX(마스터!$F$4:$F$20,MATCH(C987,마스터!$M$4:$M$20,0))),"")</f>
        <v/>
      </c>
      <c r="E987" s="27"/>
      <c r="F987" s="29"/>
      <c r="G987" s="25" t="str">
        <f>IFERROR(IF(C987="","",INDEX(마스터!$J$4:$J$20,MATCH(C987,마스터!$M$4:$M$20,0))),"")</f>
        <v/>
      </c>
      <c r="H987" s="30"/>
      <c r="I987" s="30"/>
      <c r="AC987" s="32">
        <f>IF(AND(E987&lt;&gt;"",C987&lt;&gt;"",COUNTIFS($C$8:C987,C987,$E$8:E987,E987)=1),1,0)</f>
        <v>0</v>
      </c>
    </row>
    <row r="988" spans="1:29" ht="15" customHeight="1" x14ac:dyDescent="0.25">
      <c r="A988" s="25" t="str">
        <f t="shared" si="15"/>
        <v/>
      </c>
      <c r="B988" s="26"/>
      <c r="C988" s="27"/>
      <c r="D988" s="28" t="str">
        <f>IFERROR(IF(C988="","",INDEX(마스터!$F$4:$F$20,MATCH(C988,마스터!$M$4:$M$20,0))),"")</f>
        <v/>
      </c>
      <c r="E988" s="27"/>
      <c r="F988" s="29"/>
      <c r="G988" s="25" t="str">
        <f>IFERROR(IF(C988="","",INDEX(마스터!$J$4:$J$20,MATCH(C988,마스터!$M$4:$M$20,0))),"")</f>
        <v/>
      </c>
      <c r="H988" s="30"/>
      <c r="I988" s="30"/>
      <c r="AC988" s="32">
        <f>IF(AND(E988&lt;&gt;"",C988&lt;&gt;"",COUNTIFS($C$8:C988,C988,$E$8:E988,E988)=1),1,0)</f>
        <v>0</v>
      </c>
    </row>
    <row r="989" spans="1:29" ht="15" customHeight="1" x14ac:dyDescent="0.25">
      <c r="A989" s="25" t="str">
        <f t="shared" si="15"/>
        <v/>
      </c>
      <c r="B989" s="26"/>
      <c r="C989" s="27"/>
      <c r="D989" s="28" t="str">
        <f>IFERROR(IF(C989="","",INDEX(마스터!$F$4:$F$20,MATCH(C989,마스터!$M$4:$M$20,0))),"")</f>
        <v/>
      </c>
      <c r="E989" s="27"/>
      <c r="F989" s="29"/>
      <c r="G989" s="25" t="str">
        <f>IFERROR(IF(C989="","",INDEX(마스터!$J$4:$J$20,MATCH(C989,마스터!$M$4:$M$20,0))),"")</f>
        <v/>
      </c>
      <c r="H989" s="30"/>
      <c r="I989" s="30"/>
      <c r="AC989" s="32">
        <f>IF(AND(E989&lt;&gt;"",C989&lt;&gt;"",COUNTIFS($C$8:C989,C989,$E$8:E989,E989)=1),1,0)</f>
        <v>0</v>
      </c>
    </row>
    <row r="990" spans="1:29" ht="15" customHeight="1" x14ac:dyDescent="0.25">
      <c r="A990" s="25" t="str">
        <f t="shared" si="15"/>
        <v/>
      </c>
      <c r="B990" s="26"/>
      <c r="C990" s="27"/>
      <c r="D990" s="28" t="str">
        <f>IFERROR(IF(C990="","",INDEX(마스터!$F$4:$F$20,MATCH(C990,마스터!$M$4:$M$20,0))),"")</f>
        <v/>
      </c>
      <c r="E990" s="27"/>
      <c r="F990" s="29"/>
      <c r="G990" s="25" t="str">
        <f>IFERROR(IF(C990="","",INDEX(마스터!$J$4:$J$20,MATCH(C990,마스터!$M$4:$M$20,0))),"")</f>
        <v/>
      </c>
      <c r="H990" s="30"/>
      <c r="I990" s="30"/>
      <c r="AC990" s="32">
        <f>IF(AND(E990&lt;&gt;"",C990&lt;&gt;"",COUNTIFS($C$8:C990,C990,$E$8:E990,E990)=1),1,0)</f>
        <v>0</v>
      </c>
    </row>
    <row r="991" spans="1:29" ht="15" customHeight="1" x14ac:dyDescent="0.25">
      <c r="A991" s="25" t="str">
        <f t="shared" si="15"/>
        <v/>
      </c>
      <c r="B991" s="26"/>
      <c r="C991" s="27"/>
      <c r="D991" s="28" t="str">
        <f>IFERROR(IF(C991="","",INDEX(마스터!$F$4:$F$20,MATCH(C991,마스터!$M$4:$M$20,0))),"")</f>
        <v/>
      </c>
      <c r="E991" s="27"/>
      <c r="F991" s="29"/>
      <c r="G991" s="25" t="str">
        <f>IFERROR(IF(C991="","",INDEX(마스터!$J$4:$J$20,MATCH(C991,마스터!$M$4:$M$20,0))),"")</f>
        <v/>
      </c>
      <c r="H991" s="30"/>
      <c r="I991" s="30"/>
      <c r="AC991" s="32">
        <f>IF(AND(E991&lt;&gt;"",C991&lt;&gt;"",COUNTIFS($C$8:C991,C991,$E$8:E991,E991)=1),1,0)</f>
        <v>0</v>
      </c>
    </row>
    <row r="992" spans="1:29" ht="15" customHeight="1" x14ac:dyDescent="0.25">
      <c r="A992" s="25" t="str">
        <f t="shared" si="15"/>
        <v/>
      </c>
      <c r="B992" s="26"/>
      <c r="C992" s="27"/>
      <c r="D992" s="28" t="str">
        <f>IFERROR(IF(C992="","",INDEX(마스터!$F$4:$F$20,MATCH(C992,마스터!$M$4:$M$20,0))),"")</f>
        <v/>
      </c>
      <c r="E992" s="27"/>
      <c r="F992" s="29"/>
      <c r="G992" s="25" t="str">
        <f>IFERROR(IF(C992="","",INDEX(마스터!$J$4:$J$20,MATCH(C992,마스터!$M$4:$M$20,0))),"")</f>
        <v/>
      </c>
      <c r="H992" s="30"/>
      <c r="I992" s="30"/>
      <c r="AC992" s="32">
        <f>IF(AND(E992&lt;&gt;"",C992&lt;&gt;"",COUNTIFS($C$8:C992,C992,$E$8:E992,E992)=1),1,0)</f>
        <v>0</v>
      </c>
    </row>
    <row r="993" spans="1:29" ht="15" customHeight="1" x14ac:dyDescent="0.25">
      <c r="A993" s="25" t="str">
        <f t="shared" si="15"/>
        <v/>
      </c>
      <c r="B993" s="26"/>
      <c r="C993" s="27"/>
      <c r="D993" s="28" t="str">
        <f>IFERROR(IF(C993="","",INDEX(마스터!$F$4:$F$20,MATCH(C993,마스터!$M$4:$M$20,0))),"")</f>
        <v/>
      </c>
      <c r="E993" s="27"/>
      <c r="F993" s="29"/>
      <c r="G993" s="25" t="str">
        <f>IFERROR(IF(C993="","",INDEX(마스터!$J$4:$J$20,MATCH(C993,마스터!$M$4:$M$20,0))),"")</f>
        <v/>
      </c>
      <c r="H993" s="30"/>
      <c r="I993" s="30"/>
      <c r="AC993" s="32">
        <f>IF(AND(E993&lt;&gt;"",C993&lt;&gt;"",COUNTIFS($C$8:C993,C993,$E$8:E993,E993)=1),1,0)</f>
        <v>0</v>
      </c>
    </row>
    <row r="994" spans="1:29" ht="15" customHeight="1" x14ac:dyDescent="0.25">
      <c r="A994" s="25" t="str">
        <f t="shared" si="15"/>
        <v/>
      </c>
      <c r="B994" s="26"/>
      <c r="C994" s="27"/>
      <c r="D994" s="28" t="str">
        <f>IFERROR(IF(C994="","",INDEX(마스터!$F$4:$F$20,MATCH(C994,마스터!$M$4:$M$20,0))),"")</f>
        <v/>
      </c>
      <c r="E994" s="27"/>
      <c r="F994" s="29"/>
      <c r="G994" s="25" t="str">
        <f>IFERROR(IF(C994="","",INDEX(마스터!$J$4:$J$20,MATCH(C994,마스터!$M$4:$M$20,0))),"")</f>
        <v/>
      </c>
      <c r="H994" s="30"/>
      <c r="I994" s="30"/>
      <c r="AC994" s="32">
        <f>IF(AND(E994&lt;&gt;"",C994&lt;&gt;"",COUNTIFS($C$8:C994,C994,$E$8:E994,E994)=1),1,0)</f>
        <v>0</v>
      </c>
    </row>
    <row r="995" spans="1:29" ht="15" customHeight="1" x14ac:dyDescent="0.25">
      <c r="A995" s="25" t="str">
        <f t="shared" si="15"/>
        <v/>
      </c>
      <c r="B995" s="26"/>
      <c r="C995" s="27"/>
      <c r="D995" s="28" t="str">
        <f>IFERROR(IF(C995="","",INDEX(마스터!$F$4:$F$20,MATCH(C995,마스터!$M$4:$M$20,0))),"")</f>
        <v/>
      </c>
      <c r="E995" s="27"/>
      <c r="F995" s="29"/>
      <c r="G995" s="25" t="str">
        <f>IFERROR(IF(C995="","",INDEX(마스터!$J$4:$J$20,MATCH(C995,마스터!$M$4:$M$20,0))),"")</f>
        <v/>
      </c>
      <c r="H995" s="30"/>
      <c r="I995" s="30"/>
      <c r="AC995" s="32">
        <f>IF(AND(E995&lt;&gt;"",C995&lt;&gt;"",COUNTIFS($C$8:C995,C995,$E$8:E995,E995)=1),1,0)</f>
        <v>0</v>
      </c>
    </row>
    <row r="996" spans="1:29" ht="15" customHeight="1" x14ac:dyDescent="0.25">
      <c r="A996" s="25" t="str">
        <f t="shared" si="15"/>
        <v/>
      </c>
      <c r="B996" s="26"/>
      <c r="C996" s="27"/>
      <c r="D996" s="28" t="str">
        <f>IFERROR(IF(C996="","",INDEX(마스터!$F$4:$F$20,MATCH(C996,마스터!$M$4:$M$20,0))),"")</f>
        <v/>
      </c>
      <c r="E996" s="27"/>
      <c r="F996" s="29"/>
      <c r="G996" s="25" t="str">
        <f>IFERROR(IF(C996="","",INDEX(마스터!$J$4:$J$20,MATCH(C996,마스터!$M$4:$M$20,0))),"")</f>
        <v/>
      </c>
      <c r="H996" s="30"/>
      <c r="I996" s="30"/>
      <c r="AC996" s="32">
        <f>IF(AND(E996&lt;&gt;"",C996&lt;&gt;"",COUNTIFS($C$8:C996,C996,$E$8:E996,E996)=1),1,0)</f>
        <v>0</v>
      </c>
    </row>
    <row r="997" spans="1:29" ht="15" customHeight="1" x14ac:dyDescent="0.25">
      <c r="A997" s="25" t="str">
        <f t="shared" si="15"/>
        <v/>
      </c>
      <c r="B997" s="26"/>
      <c r="C997" s="27"/>
      <c r="D997" s="28" t="str">
        <f>IFERROR(IF(C997="","",INDEX(마스터!$F$4:$F$20,MATCH(C997,마스터!$M$4:$M$20,0))),"")</f>
        <v/>
      </c>
      <c r="E997" s="27"/>
      <c r="F997" s="29"/>
      <c r="G997" s="25" t="str">
        <f>IFERROR(IF(C997="","",INDEX(마스터!$J$4:$J$20,MATCH(C997,마스터!$M$4:$M$20,0))),"")</f>
        <v/>
      </c>
      <c r="H997" s="30"/>
      <c r="I997" s="30"/>
      <c r="AC997" s="32">
        <f>IF(AND(E997&lt;&gt;"",C997&lt;&gt;"",COUNTIFS($C$8:C997,C997,$E$8:E997,E997)=1),1,0)</f>
        <v>0</v>
      </c>
    </row>
    <row r="998" spans="1:29" ht="15" customHeight="1" x14ac:dyDescent="0.25">
      <c r="A998" s="25" t="str">
        <f t="shared" si="15"/>
        <v/>
      </c>
      <c r="B998" s="26"/>
      <c r="C998" s="27"/>
      <c r="D998" s="28" t="str">
        <f>IFERROR(IF(C998="","",INDEX(마스터!$F$4:$F$20,MATCH(C998,마스터!$M$4:$M$20,0))),"")</f>
        <v/>
      </c>
      <c r="E998" s="27"/>
      <c r="F998" s="29"/>
      <c r="G998" s="25" t="str">
        <f>IFERROR(IF(C998="","",INDEX(마스터!$J$4:$J$20,MATCH(C998,마스터!$M$4:$M$20,0))),"")</f>
        <v/>
      </c>
      <c r="H998" s="30"/>
      <c r="I998" s="30"/>
      <c r="AC998" s="32">
        <f>IF(AND(E998&lt;&gt;"",C998&lt;&gt;"",COUNTIFS($C$8:C998,C998,$E$8:E998,E998)=1),1,0)</f>
        <v>0</v>
      </c>
    </row>
    <row r="999" spans="1:29" ht="15" customHeight="1" x14ac:dyDescent="0.25">
      <c r="A999" s="25" t="str">
        <f t="shared" si="15"/>
        <v/>
      </c>
      <c r="B999" s="26"/>
      <c r="C999" s="27"/>
      <c r="D999" s="28" t="str">
        <f>IFERROR(IF(C999="","",INDEX(마스터!$F$4:$F$20,MATCH(C999,마스터!$M$4:$M$20,0))),"")</f>
        <v/>
      </c>
      <c r="E999" s="27"/>
      <c r="F999" s="29"/>
      <c r="G999" s="25" t="str">
        <f>IFERROR(IF(C999="","",INDEX(마스터!$J$4:$J$20,MATCH(C999,마스터!$M$4:$M$20,0))),"")</f>
        <v/>
      </c>
      <c r="H999" s="30"/>
      <c r="I999" s="30"/>
      <c r="AC999" s="32">
        <f>IF(AND(E999&lt;&gt;"",C999&lt;&gt;"",COUNTIFS($C$8:C999,C999,$E$8:E999,E999)=1),1,0)</f>
        <v>0</v>
      </c>
    </row>
    <row r="1000" spans="1:29" ht="15" customHeight="1" x14ac:dyDescent="0.25">
      <c r="A1000" s="25" t="str">
        <f t="shared" si="15"/>
        <v/>
      </c>
      <c r="B1000" s="26"/>
      <c r="C1000" s="27"/>
      <c r="D1000" s="28" t="str">
        <f>IFERROR(IF(C1000="","",INDEX(마스터!$F$4:$F$20,MATCH(C1000,마스터!$M$4:$M$20,0))),"")</f>
        <v/>
      </c>
      <c r="E1000" s="27"/>
      <c r="F1000" s="29"/>
      <c r="G1000" s="25" t="str">
        <f>IFERROR(IF(C1000="","",INDEX(마스터!$J$4:$J$20,MATCH(C1000,마스터!$M$4:$M$20,0))),"")</f>
        <v/>
      </c>
      <c r="H1000" s="30"/>
      <c r="I1000" s="30"/>
      <c r="AC1000" s="32">
        <f>IF(AND(E1000&lt;&gt;"",C1000&lt;&gt;"",COUNTIFS($C$8:C1000,C1000,$E$8:E1000,E1000)=1),1,0)</f>
        <v>0</v>
      </c>
    </row>
    <row r="1001" spans="1:29" ht="15" customHeight="1" x14ac:dyDescent="0.25">
      <c r="A1001" s="25" t="str">
        <f t="shared" si="15"/>
        <v/>
      </c>
      <c r="B1001" s="26"/>
      <c r="C1001" s="27"/>
      <c r="D1001" s="28" t="str">
        <f>IFERROR(IF(C1001="","",INDEX(마스터!$F$4:$F$20,MATCH(C1001,마스터!$M$4:$M$20,0))),"")</f>
        <v/>
      </c>
      <c r="E1001" s="27"/>
      <c r="F1001" s="29"/>
      <c r="G1001" s="25" t="str">
        <f>IFERROR(IF(C1001="","",INDEX(마스터!$J$4:$J$20,MATCH(C1001,마스터!$M$4:$M$20,0))),"")</f>
        <v/>
      </c>
      <c r="H1001" s="30"/>
      <c r="I1001" s="30"/>
      <c r="AC1001" s="32">
        <f>IF(AND(E1001&lt;&gt;"",C1001&lt;&gt;"",COUNTIFS($C$8:C1001,C1001,$E$8:E1001,E1001)=1),1,0)</f>
        <v>0</v>
      </c>
    </row>
    <row r="1002" spans="1:29" ht="15" customHeight="1" x14ac:dyDescent="0.25">
      <c r="A1002" s="25" t="str">
        <f t="shared" si="15"/>
        <v/>
      </c>
      <c r="B1002" s="26"/>
      <c r="C1002" s="27"/>
      <c r="D1002" s="28" t="str">
        <f>IFERROR(IF(C1002="","",INDEX(마스터!$F$4:$F$20,MATCH(C1002,마스터!$M$4:$M$20,0))),"")</f>
        <v/>
      </c>
      <c r="E1002" s="27"/>
      <c r="F1002" s="29"/>
      <c r="G1002" s="25" t="str">
        <f>IFERROR(IF(C1002="","",INDEX(마스터!$J$4:$J$20,MATCH(C1002,마스터!$M$4:$M$20,0))),"")</f>
        <v/>
      </c>
      <c r="H1002" s="30"/>
      <c r="I1002" s="30"/>
      <c r="AC1002" s="32">
        <f>IF(AND(E1002&lt;&gt;"",C1002&lt;&gt;"",COUNTIFS($C$8:C1002,C1002,$E$8:E1002,E1002)=1),1,0)</f>
        <v>0</v>
      </c>
    </row>
    <row r="1003" spans="1:29" ht="15" customHeight="1" x14ac:dyDescent="0.25">
      <c r="A1003" s="25" t="str">
        <f t="shared" si="15"/>
        <v/>
      </c>
      <c r="B1003" s="26"/>
      <c r="C1003" s="27"/>
      <c r="D1003" s="28" t="str">
        <f>IFERROR(IF(C1003="","",INDEX(마스터!$F$4:$F$20,MATCH(C1003,마스터!$M$4:$M$20,0))),"")</f>
        <v/>
      </c>
      <c r="E1003" s="27"/>
      <c r="F1003" s="29"/>
      <c r="G1003" s="25" t="str">
        <f>IFERROR(IF(C1003="","",INDEX(마스터!$J$4:$J$20,MATCH(C1003,마스터!$M$4:$M$20,0))),"")</f>
        <v/>
      </c>
      <c r="H1003" s="30"/>
      <c r="I1003" s="30"/>
      <c r="AC1003" s="32">
        <f>IF(AND(E1003&lt;&gt;"",C1003&lt;&gt;"",COUNTIFS($C$8:C1003,C1003,$E$8:E1003,E1003)=1),1,0)</f>
        <v>0</v>
      </c>
    </row>
    <row r="1004" spans="1:29" ht="15" customHeight="1" x14ac:dyDescent="0.25">
      <c r="A1004" s="25" t="str">
        <f t="shared" si="15"/>
        <v/>
      </c>
      <c r="B1004" s="26"/>
      <c r="C1004" s="27"/>
      <c r="D1004" s="28" t="str">
        <f>IFERROR(IF(C1004="","",INDEX(마스터!$F$4:$F$20,MATCH(C1004,마스터!$M$4:$M$20,0))),"")</f>
        <v/>
      </c>
      <c r="E1004" s="27"/>
      <c r="F1004" s="29"/>
      <c r="G1004" s="25" t="str">
        <f>IFERROR(IF(C1004="","",INDEX(마스터!$J$4:$J$20,MATCH(C1004,마스터!$M$4:$M$20,0))),"")</f>
        <v/>
      </c>
      <c r="H1004" s="30"/>
      <c r="I1004" s="30"/>
      <c r="AC1004" s="32">
        <f>IF(AND(E1004&lt;&gt;"",C1004&lt;&gt;"",COUNTIFS($C$8:C1004,C1004,$E$8:E1004,E1004)=1),1,0)</f>
        <v>0</v>
      </c>
    </row>
    <row r="1005" spans="1:29" ht="15" customHeight="1" x14ac:dyDescent="0.25">
      <c r="A1005" s="25" t="str">
        <f t="shared" si="15"/>
        <v/>
      </c>
      <c r="B1005" s="26"/>
      <c r="C1005" s="27"/>
      <c r="D1005" s="28" t="str">
        <f>IFERROR(IF(C1005="","",INDEX(마스터!$F$4:$F$20,MATCH(C1005,마스터!$M$4:$M$20,0))),"")</f>
        <v/>
      </c>
      <c r="E1005" s="27"/>
      <c r="F1005" s="29"/>
      <c r="G1005" s="25" t="str">
        <f>IFERROR(IF(C1005="","",INDEX(마스터!$J$4:$J$20,MATCH(C1005,마스터!$M$4:$M$20,0))),"")</f>
        <v/>
      </c>
      <c r="H1005" s="30"/>
      <c r="I1005" s="30"/>
      <c r="AC1005" s="32">
        <f>IF(AND(E1005&lt;&gt;"",C1005&lt;&gt;"",COUNTIFS($C$8:C1005,C1005,$E$8:E1005,E1005)=1),1,0)</f>
        <v>0</v>
      </c>
    </row>
    <row r="1006" spans="1:29" ht="15" customHeight="1" x14ac:dyDescent="0.25">
      <c r="A1006" s="25" t="str">
        <f t="shared" si="15"/>
        <v/>
      </c>
      <c r="B1006" s="26"/>
      <c r="C1006" s="27"/>
      <c r="D1006" s="28" t="str">
        <f>IFERROR(IF(C1006="","",INDEX(마스터!$F$4:$F$20,MATCH(C1006,마스터!$M$4:$M$20,0))),"")</f>
        <v/>
      </c>
      <c r="E1006" s="27"/>
      <c r="F1006" s="29"/>
      <c r="G1006" s="25" t="str">
        <f>IFERROR(IF(C1006="","",INDEX(마스터!$J$4:$J$20,MATCH(C1006,마스터!$M$4:$M$20,0))),"")</f>
        <v/>
      </c>
      <c r="H1006" s="30"/>
      <c r="I1006" s="30"/>
      <c r="AC1006" s="32">
        <f>IF(AND(E1006&lt;&gt;"",C1006&lt;&gt;"",COUNTIFS($C$8:C1006,C1006,$E$8:E1006,E1006)=1),1,0)</f>
        <v>0</v>
      </c>
    </row>
    <row r="1007" spans="1:29" ht="15" customHeight="1" x14ac:dyDescent="0.25">
      <c r="A1007" s="25" t="str">
        <f t="shared" si="15"/>
        <v/>
      </c>
      <c r="B1007" s="26"/>
      <c r="C1007" s="27"/>
      <c r="D1007" s="28" t="str">
        <f>IFERROR(IF(C1007="","",INDEX(마스터!$F$4:$F$20,MATCH(C1007,마스터!$M$4:$M$20,0))),"")</f>
        <v/>
      </c>
      <c r="E1007" s="27"/>
      <c r="F1007" s="29"/>
      <c r="G1007" s="25" t="str">
        <f>IFERROR(IF(C1007="","",INDEX(마스터!$J$4:$J$20,MATCH(C1007,마스터!$M$4:$M$20,0))),"")</f>
        <v/>
      </c>
      <c r="H1007" s="30"/>
      <c r="I1007" s="30"/>
      <c r="AC1007" s="32">
        <f>IF(AND(E1007&lt;&gt;"",C1007&lt;&gt;"",COUNTIFS($C$8:C1007,C1007,$E$8:E1007,E1007)=1),1,0)</f>
        <v>0</v>
      </c>
    </row>
    <row r="1008" spans="1:29" ht="15" customHeight="1" x14ac:dyDescent="0.25">
      <c r="A1008" s="25" t="str">
        <f t="shared" si="15"/>
        <v/>
      </c>
      <c r="B1008" s="26"/>
      <c r="C1008" s="27"/>
      <c r="D1008" s="28" t="str">
        <f>IFERROR(IF(C1008="","",INDEX(마스터!$F$4:$F$20,MATCH(C1008,마스터!$M$4:$M$20,0))),"")</f>
        <v/>
      </c>
      <c r="E1008" s="27"/>
      <c r="F1008" s="29"/>
      <c r="G1008" s="25" t="str">
        <f>IFERROR(IF(C1008="","",INDEX(마스터!$J$4:$J$20,MATCH(C1008,마스터!$M$4:$M$20,0))),"")</f>
        <v/>
      </c>
      <c r="H1008" s="30"/>
      <c r="I1008" s="30"/>
      <c r="AC1008" s="32">
        <f>IF(AND(E1008&lt;&gt;"",C1008&lt;&gt;"",COUNTIFS($C$8:C1008,C1008,$E$8:E1008,E1008)=1),1,0)</f>
        <v>0</v>
      </c>
    </row>
    <row r="1009" spans="1:29" ht="15" customHeight="1" x14ac:dyDescent="0.25">
      <c r="A1009" s="25" t="str">
        <f t="shared" si="15"/>
        <v/>
      </c>
      <c r="B1009" s="26"/>
      <c r="C1009" s="27"/>
      <c r="D1009" s="28" t="str">
        <f>IFERROR(IF(C1009="","",INDEX(마스터!$F$4:$F$20,MATCH(C1009,마스터!$M$4:$M$20,0))),"")</f>
        <v/>
      </c>
      <c r="E1009" s="27"/>
      <c r="F1009" s="29"/>
      <c r="G1009" s="25" t="str">
        <f>IFERROR(IF(C1009="","",INDEX(마스터!$J$4:$J$20,MATCH(C1009,마스터!$M$4:$M$20,0))),"")</f>
        <v/>
      </c>
      <c r="H1009" s="30"/>
      <c r="I1009" s="30"/>
      <c r="AC1009" s="32">
        <f>IF(AND(E1009&lt;&gt;"",C1009&lt;&gt;"",COUNTIFS($C$8:C1009,C1009,$E$8:E1009,E1009)=1),1,0)</f>
        <v>0</v>
      </c>
    </row>
    <row r="1010" spans="1:29" ht="15" customHeight="1" x14ac:dyDescent="0.25">
      <c r="A1010" s="25" t="str">
        <f t="shared" si="15"/>
        <v/>
      </c>
      <c r="B1010" s="26"/>
      <c r="C1010" s="27"/>
      <c r="D1010" s="28" t="str">
        <f>IFERROR(IF(C1010="","",INDEX(마스터!$F$4:$F$20,MATCH(C1010,마스터!$M$4:$M$20,0))),"")</f>
        <v/>
      </c>
      <c r="E1010" s="27"/>
      <c r="F1010" s="29"/>
      <c r="G1010" s="25" t="str">
        <f>IFERROR(IF(C1010="","",INDEX(마스터!$J$4:$J$20,MATCH(C1010,마스터!$M$4:$M$20,0))),"")</f>
        <v/>
      </c>
      <c r="H1010" s="30"/>
      <c r="I1010" s="30"/>
      <c r="AC1010" s="32">
        <f>IF(AND(E1010&lt;&gt;"",C1010&lt;&gt;"",COUNTIFS($C$8:C1010,C1010,$E$8:E1010,E1010)=1),1,0)</f>
        <v>0</v>
      </c>
    </row>
    <row r="1011" spans="1:29" ht="15" customHeight="1" x14ac:dyDescent="0.25">
      <c r="A1011" s="25" t="str">
        <f t="shared" si="15"/>
        <v/>
      </c>
      <c r="B1011" s="26"/>
      <c r="C1011" s="27"/>
      <c r="D1011" s="28" t="str">
        <f>IFERROR(IF(C1011="","",INDEX(마스터!$F$4:$F$20,MATCH(C1011,마스터!$M$4:$M$20,0))),"")</f>
        <v/>
      </c>
      <c r="E1011" s="27"/>
      <c r="F1011" s="29"/>
      <c r="G1011" s="25" t="str">
        <f>IFERROR(IF(C1011="","",INDEX(마스터!$J$4:$J$20,MATCH(C1011,마스터!$M$4:$M$20,0))),"")</f>
        <v/>
      </c>
      <c r="H1011" s="30"/>
      <c r="I1011" s="30"/>
      <c r="AC1011" s="32">
        <f>IF(AND(E1011&lt;&gt;"",C1011&lt;&gt;"",COUNTIFS($C$8:C1011,C1011,$E$8:E1011,E1011)=1),1,0)</f>
        <v>0</v>
      </c>
    </row>
    <row r="1012" spans="1:29" ht="15" customHeight="1" x14ac:dyDescent="0.25">
      <c r="A1012" s="25" t="str">
        <f t="shared" si="15"/>
        <v/>
      </c>
      <c r="B1012" s="26"/>
      <c r="C1012" s="27"/>
      <c r="D1012" s="28" t="str">
        <f>IFERROR(IF(C1012="","",INDEX(마스터!$F$4:$F$20,MATCH(C1012,마스터!$M$4:$M$20,0))),"")</f>
        <v/>
      </c>
      <c r="E1012" s="27"/>
      <c r="F1012" s="29"/>
      <c r="G1012" s="25" t="str">
        <f>IFERROR(IF(C1012="","",INDEX(마스터!$J$4:$J$20,MATCH(C1012,마스터!$M$4:$M$20,0))),"")</f>
        <v/>
      </c>
      <c r="H1012" s="30"/>
      <c r="I1012" s="30"/>
      <c r="AC1012" s="32">
        <f>IF(AND(E1012&lt;&gt;"",C1012&lt;&gt;"",COUNTIFS($C$8:C1012,C1012,$E$8:E1012,E1012)=1),1,0)</f>
        <v>0</v>
      </c>
    </row>
    <row r="1013" spans="1:29" ht="15" customHeight="1" x14ac:dyDescent="0.25">
      <c r="A1013" s="25" t="str">
        <f t="shared" si="15"/>
        <v/>
      </c>
      <c r="B1013" s="26"/>
      <c r="C1013" s="27"/>
      <c r="D1013" s="28" t="str">
        <f>IFERROR(IF(C1013="","",INDEX(마스터!$F$4:$F$20,MATCH(C1013,마스터!$M$4:$M$20,0))),"")</f>
        <v/>
      </c>
      <c r="E1013" s="27"/>
      <c r="F1013" s="29"/>
      <c r="G1013" s="25" t="str">
        <f>IFERROR(IF(C1013="","",INDEX(마스터!$J$4:$J$20,MATCH(C1013,마스터!$M$4:$M$20,0))),"")</f>
        <v/>
      </c>
      <c r="H1013" s="30"/>
      <c r="I1013" s="30"/>
      <c r="AC1013" s="32">
        <f>IF(AND(E1013&lt;&gt;"",C1013&lt;&gt;"",COUNTIFS($C$8:C1013,C1013,$E$8:E1013,E1013)=1),1,0)</f>
        <v>0</v>
      </c>
    </row>
  </sheetData>
  <mergeCells count="2">
    <mergeCell ref="A1:I2"/>
    <mergeCell ref="A3:I3"/>
  </mergeCells>
  <phoneticPr fontId="40" type="noConversion"/>
  <dataValidations count="1">
    <dataValidation type="date" allowBlank="1" promptTitle="일자" prompt="yyyy-mm-dd 형식, Ctrl+; = 오늘" sqref="B8:B1013" xr:uid="{00000000-0002-0000-0100-000000000000}">
      <formula1>DATE(2020,1,1)</formula1>
      <formula2>DATE(2030,12,31)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마스터!$M$4:$M$20</xm:f>
          </x14:formula1>
          <x14:formula2>
            <xm:f>0</xm:f>
          </x14:formula2>
          <xm:sqref>C8:C1013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3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H29" sqref="H29"/>
    </sheetView>
  </sheetViews>
  <sheetFormatPr defaultColWidth="8.7109375" defaultRowHeight="15" x14ac:dyDescent="0.25"/>
  <cols>
    <col min="1" max="1" width="5" customWidth="1"/>
    <col min="2" max="2" width="13" customWidth="1"/>
    <col min="3" max="3" width="30.5703125" bestFit="1" customWidth="1"/>
    <col min="4" max="4" width="22" customWidth="1"/>
    <col min="5" max="5" width="16" customWidth="1"/>
    <col min="6" max="6" width="9" customWidth="1"/>
    <col min="7" max="7" width="6" customWidth="1"/>
    <col min="8" max="8" width="29.42578125" bestFit="1" customWidth="1"/>
    <col min="9" max="9" width="18" customWidth="1"/>
    <col min="11" max="11" width="10" customWidth="1"/>
    <col min="12" max="12" width="16" customWidth="1"/>
  </cols>
  <sheetData>
    <row r="1" spans="1:12" ht="31.5" customHeight="1" x14ac:dyDescent="0.25">
      <c r="A1" s="60" t="s">
        <v>60</v>
      </c>
      <c r="B1" s="60"/>
      <c r="C1" s="60"/>
      <c r="D1" s="60"/>
      <c r="E1" s="60"/>
      <c r="F1" s="60"/>
      <c r="G1" s="60"/>
      <c r="H1" s="60"/>
      <c r="I1" s="60"/>
    </row>
    <row r="2" spans="1:12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</row>
    <row r="3" spans="1:12" ht="15" customHeight="1" x14ac:dyDescent="0.25">
      <c r="A3" s="61" t="s">
        <v>61</v>
      </c>
      <c r="B3" s="61"/>
      <c r="C3" s="61"/>
      <c r="D3" s="61"/>
      <c r="E3" s="61"/>
      <c r="F3" s="61"/>
      <c r="G3" s="61"/>
      <c r="H3" s="61"/>
      <c r="I3" s="61"/>
    </row>
    <row r="4" spans="1:12" ht="23.25" customHeight="1" x14ac:dyDescent="0.3">
      <c r="A4" s="17" t="str">
        <f>HYPERLINK("#인덱스!A1","◀ 인덱스")</f>
        <v>◀ 인덱스</v>
      </c>
      <c r="D4" s="17" t="str">
        <f>HYPERLINK("#입고!A1","▶ 입고 시트로")</f>
        <v>▶ 입고 시트로</v>
      </c>
      <c r="F4" s="18" t="s">
        <v>62</v>
      </c>
      <c r="G4" s="19">
        <f>COUNTA(B8:B1013)</f>
        <v>5</v>
      </c>
      <c r="K4" s="1" t="s">
        <v>21</v>
      </c>
      <c r="L4" s="20">
        <f ca="1">TODAY()</f>
        <v>46163</v>
      </c>
    </row>
    <row r="5" spans="1:12" ht="15" customHeight="1" x14ac:dyDescent="0.3">
      <c r="F5" s="18" t="s">
        <v>63</v>
      </c>
      <c r="G5" s="21">
        <f>SUM(F8:F1013)</f>
        <v>84</v>
      </c>
      <c r="K5" s="1" t="s">
        <v>23</v>
      </c>
      <c r="L5" s="22" t="s">
        <v>24</v>
      </c>
    </row>
    <row r="7" spans="1:12" ht="27.75" customHeight="1" x14ac:dyDescent="0.25">
      <c r="A7" s="33" t="s">
        <v>5</v>
      </c>
      <c r="B7" s="34" t="s">
        <v>25</v>
      </c>
      <c r="C7" s="34" t="s">
        <v>14</v>
      </c>
      <c r="D7" s="34" t="s">
        <v>26</v>
      </c>
      <c r="E7" s="33" t="s">
        <v>27</v>
      </c>
      <c r="F7" s="34" t="s">
        <v>28</v>
      </c>
      <c r="G7" s="34" t="s">
        <v>9</v>
      </c>
      <c r="H7" s="34" t="s">
        <v>64</v>
      </c>
      <c r="I7" s="34" t="s">
        <v>30</v>
      </c>
    </row>
    <row r="8" spans="1:12" ht="15" customHeight="1" x14ac:dyDescent="0.25">
      <c r="A8" s="25">
        <f t="shared" ref="A8:A71" si="0">IF(B8="","",ROW()-7)</f>
        <v>1</v>
      </c>
      <c r="B8" s="26">
        <v>46160</v>
      </c>
      <c r="C8" s="27" t="s">
        <v>129</v>
      </c>
      <c r="D8" s="28" t="str">
        <f>IFERROR(IF(C8="","",INDEX(마스터!$F$4:$F$20,MATCH(C8,마스터!$M$4:$M$20,0))),"")</f>
        <v>25T × 200W × 7400L</v>
      </c>
      <c r="E8" s="27" t="s">
        <v>42</v>
      </c>
      <c r="F8" s="29">
        <v>3</v>
      </c>
      <c r="G8" s="25" t="str">
        <f>IFERROR(IF(C8="","",INDEX(마스터!$J$4:$J$20,MATCH(C8,마스터!$M$4:$M$20,0))),"")</f>
        <v>매</v>
      </c>
      <c r="H8" s="30" t="s">
        <v>130</v>
      </c>
      <c r="I8" s="30"/>
    </row>
    <row r="9" spans="1:12" ht="15" customHeight="1" x14ac:dyDescent="0.25">
      <c r="A9" s="25">
        <f t="shared" si="0"/>
        <v>2</v>
      </c>
      <c r="B9" s="26">
        <v>46160</v>
      </c>
      <c r="C9" s="27" t="s">
        <v>129</v>
      </c>
      <c r="D9" s="28" t="str">
        <f>IFERROR(IF(C9="","",INDEX(마스터!$F$4:$F$20,MATCH(C9,마스터!$M$4:$M$20,0))),"")</f>
        <v>25T × 200W × 7400L</v>
      </c>
      <c r="E9" s="27" t="s">
        <v>58</v>
      </c>
      <c r="F9" s="29">
        <v>33</v>
      </c>
      <c r="G9" s="25" t="str">
        <f>IFERROR(IF(C9="","",INDEX(마스터!$J$4:$J$20,MATCH(C9,마스터!$M$4:$M$20,0))),"")</f>
        <v>매</v>
      </c>
      <c r="H9" s="30" t="s">
        <v>130</v>
      </c>
      <c r="I9" s="30"/>
    </row>
    <row r="10" spans="1:12" ht="15" customHeight="1" x14ac:dyDescent="0.25">
      <c r="A10" s="25">
        <f t="shared" si="0"/>
        <v>3</v>
      </c>
      <c r="B10" s="26">
        <v>46161</v>
      </c>
      <c r="C10" s="27" t="s">
        <v>129</v>
      </c>
      <c r="D10" s="28" t="str">
        <f>IFERROR(IF(C10="","",INDEX(마스터!$F$4:$F$20,MATCH(C10,마스터!$M$4:$M$20,0))),"")</f>
        <v>25T × 200W × 7400L</v>
      </c>
      <c r="E10" s="27" t="s">
        <v>58</v>
      </c>
      <c r="F10" s="29">
        <v>30</v>
      </c>
      <c r="G10" s="25" t="str">
        <f>IFERROR(IF(C10="","",INDEX(마스터!$J$4:$J$20,MATCH(C10,마스터!$M$4:$M$20,0))),"")</f>
        <v>매</v>
      </c>
      <c r="H10" s="30" t="s">
        <v>130</v>
      </c>
      <c r="I10" s="30"/>
    </row>
    <row r="11" spans="1:12" ht="15" customHeight="1" x14ac:dyDescent="0.25">
      <c r="A11" s="25">
        <f t="shared" si="0"/>
        <v>4</v>
      </c>
      <c r="B11" s="26">
        <v>46162</v>
      </c>
      <c r="C11" s="27" t="s">
        <v>129</v>
      </c>
      <c r="D11" s="28" t="str">
        <f>IFERROR(IF(C11="","",INDEX(마스터!$F$4:$F$20,MATCH(C11,마스터!$M$4:$M$20,0))),"")</f>
        <v>25T × 200W × 7400L</v>
      </c>
      <c r="E11" s="27" t="s">
        <v>58</v>
      </c>
      <c r="F11" s="29">
        <v>13</v>
      </c>
      <c r="G11" s="25" t="str">
        <f>IFERROR(IF(C11="","",INDEX(마스터!$J$4:$J$20,MATCH(C11,마스터!$M$4:$M$20,0))),"")</f>
        <v>매</v>
      </c>
      <c r="H11" s="30" t="s">
        <v>133</v>
      </c>
      <c r="I11" s="30"/>
    </row>
    <row r="12" spans="1:12" ht="15" customHeight="1" x14ac:dyDescent="0.25">
      <c r="A12" s="25">
        <f t="shared" si="0"/>
        <v>5</v>
      </c>
      <c r="B12" s="26">
        <v>46162</v>
      </c>
      <c r="C12" s="27" t="s">
        <v>131</v>
      </c>
      <c r="D12" s="28" t="str">
        <f>IFERROR(IF(C12="","",INDEX(마스터!$F$4:$F$20,MATCH(C12,마스터!$M$4:$M$20,0))),"")</f>
        <v>25T × 300W × 7320L</v>
      </c>
      <c r="E12" s="27" t="s">
        <v>36</v>
      </c>
      <c r="F12" s="29">
        <v>5</v>
      </c>
      <c r="G12" s="25" t="str">
        <f>IFERROR(IF(C12="","",INDEX(마스터!$J$4:$J$20,MATCH(C12,마스터!$M$4:$M$20,0))),"")</f>
        <v>매</v>
      </c>
      <c r="H12" s="30" t="s">
        <v>132</v>
      </c>
      <c r="I12" s="30"/>
    </row>
    <row r="13" spans="1:12" ht="15" customHeight="1" x14ac:dyDescent="0.25">
      <c r="A13" s="25" t="str">
        <f t="shared" si="0"/>
        <v/>
      </c>
      <c r="B13" s="26"/>
      <c r="C13" s="27"/>
      <c r="D13" s="28" t="str">
        <f>IFERROR(IF(C13="","",INDEX(마스터!$F$4:$F$20,MATCH(C13,마스터!$M$4:$M$20,0))),"")</f>
        <v/>
      </c>
      <c r="E13" s="27"/>
      <c r="F13" s="29"/>
      <c r="G13" s="25" t="str">
        <f>IFERROR(IF(C13="","",INDEX(마스터!$J$4:$J$20,MATCH(C13,마스터!$M$4:$M$20,0))),"")</f>
        <v/>
      </c>
      <c r="H13" s="30"/>
      <c r="I13" s="30"/>
    </row>
    <row r="14" spans="1:12" ht="15" customHeight="1" x14ac:dyDescent="0.25">
      <c r="A14" s="25" t="str">
        <f t="shared" si="0"/>
        <v/>
      </c>
      <c r="B14" s="26"/>
      <c r="C14" s="27"/>
      <c r="D14" s="28" t="str">
        <f>IFERROR(IF(C14="","",INDEX(마스터!$F$4:$F$20,MATCH(C14,마스터!$M$4:$M$20,0))),"")</f>
        <v/>
      </c>
      <c r="E14" s="27"/>
      <c r="F14" s="29"/>
      <c r="G14" s="25" t="str">
        <f>IFERROR(IF(C14="","",INDEX(마스터!$J$4:$J$20,MATCH(C14,마스터!$M$4:$M$20,0))),"")</f>
        <v/>
      </c>
      <c r="H14" s="30"/>
      <c r="I14" s="30"/>
    </row>
    <row r="15" spans="1:12" ht="15" customHeight="1" x14ac:dyDescent="0.25">
      <c r="A15" s="25" t="str">
        <f t="shared" si="0"/>
        <v/>
      </c>
      <c r="B15" s="26"/>
      <c r="C15" s="27"/>
      <c r="D15" s="28" t="str">
        <f>IFERROR(IF(C15="","",INDEX(마스터!$F$4:$F$20,MATCH(C15,마스터!$M$4:$M$20,0))),"")</f>
        <v/>
      </c>
      <c r="E15" s="27"/>
      <c r="F15" s="29"/>
      <c r="G15" s="25" t="str">
        <f>IFERROR(IF(C15="","",INDEX(마스터!$J$4:$J$20,MATCH(C15,마스터!$M$4:$M$20,0))),"")</f>
        <v/>
      </c>
      <c r="H15" s="30"/>
      <c r="I15" s="30"/>
    </row>
    <row r="16" spans="1:12" ht="15" customHeight="1" x14ac:dyDescent="0.25">
      <c r="A16" s="25" t="str">
        <f t="shared" si="0"/>
        <v/>
      </c>
      <c r="B16" s="26"/>
      <c r="C16" s="27"/>
      <c r="D16" s="28" t="str">
        <f>IFERROR(IF(C16="","",INDEX(마스터!$F$4:$F$20,MATCH(C16,마스터!$M$4:$M$20,0))),"")</f>
        <v/>
      </c>
      <c r="E16" s="27"/>
      <c r="F16" s="29"/>
      <c r="G16" s="25" t="str">
        <f>IFERROR(IF(C16="","",INDEX(마스터!$J$4:$J$20,MATCH(C16,마스터!$M$4:$M$20,0))),"")</f>
        <v/>
      </c>
      <c r="H16" s="30"/>
      <c r="I16" s="30"/>
    </row>
    <row r="17" spans="1:9" ht="15" customHeight="1" x14ac:dyDescent="0.25">
      <c r="A17" s="25" t="str">
        <f t="shared" si="0"/>
        <v/>
      </c>
      <c r="B17" s="26"/>
      <c r="C17" s="27"/>
      <c r="D17" s="28" t="str">
        <f>IFERROR(IF(C17="","",INDEX(마스터!$F$4:$F$20,MATCH(C17,마스터!$M$4:$M$20,0))),"")</f>
        <v/>
      </c>
      <c r="E17" s="27"/>
      <c r="F17" s="29"/>
      <c r="G17" s="25" t="str">
        <f>IFERROR(IF(C17="","",INDEX(마스터!$J$4:$J$20,MATCH(C17,마스터!$M$4:$M$20,0))),"")</f>
        <v/>
      </c>
      <c r="H17" s="30"/>
      <c r="I17" s="30"/>
    </row>
    <row r="18" spans="1:9" ht="15" customHeight="1" x14ac:dyDescent="0.25">
      <c r="A18" s="25" t="str">
        <f t="shared" si="0"/>
        <v/>
      </c>
      <c r="B18" s="26"/>
      <c r="C18" s="27"/>
      <c r="D18" s="28" t="str">
        <f>IFERROR(IF(C18="","",INDEX(마스터!$F$4:$F$20,MATCH(C18,마스터!$M$4:$M$20,0))),"")</f>
        <v/>
      </c>
      <c r="E18" s="27"/>
      <c r="F18" s="29"/>
      <c r="G18" s="25" t="str">
        <f>IFERROR(IF(C18="","",INDEX(마스터!$J$4:$J$20,MATCH(C18,마스터!$M$4:$M$20,0))),"")</f>
        <v/>
      </c>
      <c r="H18" s="30"/>
      <c r="I18" s="30"/>
    </row>
    <row r="19" spans="1:9" ht="15" customHeight="1" x14ac:dyDescent="0.25">
      <c r="A19" s="25" t="str">
        <f t="shared" si="0"/>
        <v/>
      </c>
      <c r="B19" s="26"/>
      <c r="C19" s="27"/>
      <c r="D19" s="28" t="str">
        <f>IFERROR(IF(C19="","",INDEX(마스터!$F$4:$F$20,MATCH(C19,마스터!$M$4:$M$20,0))),"")</f>
        <v/>
      </c>
      <c r="E19" s="27"/>
      <c r="F19" s="29"/>
      <c r="G19" s="25" t="str">
        <f>IFERROR(IF(C19="","",INDEX(마스터!$J$4:$J$20,MATCH(C19,마스터!$M$4:$M$20,0))),"")</f>
        <v/>
      </c>
      <c r="H19" s="30"/>
      <c r="I19" s="30"/>
    </row>
    <row r="20" spans="1:9" ht="15" customHeight="1" x14ac:dyDescent="0.25">
      <c r="A20" s="25" t="str">
        <f t="shared" si="0"/>
        <v/>
      </c>
      <c r="B20" s="26"/>
      <c r="C20" s="27"/>
      <c r="D20" s="28" t="str">
        <f>IFERROR(IF(C20="","",INDEX(마스터!$F$4:$F$20,MATCH(C20,마스터!$M$4:$M$20,0))),"")</f>
        <v/>
      </c>
      <c r="E20" s="27"/>
      <c r="F20" s="29"/>
      <c r="G20" s="25" t="str">
        <f>IFERROR(IF(C20="","",INDEX(마스터!$J$4:$J$20,MATCH(C20,마스터!$M$4:$M$20,0))),"")</f>
        <v/>
      </c>
      <c r="H20" s="30"/>
      <c r="I20" s="30"/>
    </row>
    <row r="21" spans="1:9" ht="15" customHeight="1" x14ac:dyDescent="0.25">
      <c r="A21" s="25" t="str">
        <f t="shared" si="0"/>
        <v/>
      </c>
      <c r="B21" s="26"/>
      <c r="C21" s="27"/>
      <c r="D21" s="28" t="str">
        <f>IFERROR(IF(C21="","",INDEX(마스터!$F$4:$F$20,MATCH(C21,마스터!$M$4:$M$20,0))),"")</f>
        <v/>
      </c>
      <c r="E21" s="27"/>
      <c r="F21" s="29"/>
      <c r="G21" s="25" t="str">
        <f>IFERROR(IF(C21="","",INDEX(마스터!$J$4:$J$20,MATCH(C21,마스터!$M$4:$M$20,0))),"")</f>
        <v/>
      </c>
      <c r="H21" s="30"/>
      <c r="I21" s="30"/>
    </row>
    <row r="22" spans="1:9" ht="15" customHeight="1" x14ac:dyDescent="0.25">
      <c r="A22" s="25" t="str">
        <f t="shared" si="0"/>
        <v/>
      </c>
      <c r="B22" s="26"/>
      <c r="C22" s="27"/>
      <c r="D22" s="28" t="str">
        <f>IFERROR(IF(C22="","",INDEX(마스터!$F$4:$F$20,MATCH(C22,마스터!$M$4:$M$20,0))),"")</f>
        <v/>
      </c>
      <c r="E22" s="27"/>
      <c r="F22" s="29"/>
      <c r="G22" s="25" t="str">
        <f>IFERROR(IF(C22="","",INDEX(마스터!$J$4:$J$20,MATCH(C22,마스터!$M$4:$M$20,0))),"")</f>
        <v/>
      </c>
      <c r="H22" s="30"/>
      <c r="I22" s="30"/>
    </row>
    <row r="23" spans="1:9" ht="15" customHeight="1" x14ac:dyDescent="0.25">
      <c r="A23" s="25" t="str">
        <f t="shared" si="0"/>
        <v/>
      </c>
      <c r="B23" s="26"/>
      <c r="C23" s="27"/>
      <c r="D23" s="28" t="str">
        <f>IFERROR(IF(C23="","",INDEX(마스터!$F$4:$F$20,MATCH(C23,마스터!$M$4:$M$20,0))),"")</f>
        <v/>
      </c>
      <c r="E23" s="27"/>
      <c r="F23" s="29"/>
      <c r="G23" s="25" t="str">
        <f>IFERROR(IF(C23="","",INDEX(마스터!$J$4:$J$20,MATCH(C23,마스터!$M$4:$M$20,0))),"")</f>
        <v/>
      </c>
      <c r="H23" s="30"/>
      <c r="I23" s="30"/>
    </row>
    <row r="24" spans="1:9" ht="15" customHeight="1" x14ac:dyDescent="0.25">
      <c r="A24" s="25" t="str">
        <f t="shared" si="0"/>
        <v/>
      </c>
      <c r="B24" s="26"/>
      <c r="C24" s="27"/>
      <c r="D24" s="28" t="str">
        <f>IFERROR(IF(C24="","",INDEX(마스터!$F$4:$F$20,MATCH(C24,마스터!$M$4:$M$20,0))),"")</f>
        <v/>
      </c>
      <c r="E24" s="27"/>
      <c r="F24" s="29"/>
      <c r="G24" s="25" t="str">
        <f>IFERROR(IF(C24="","",INDEX(마스터!$J$4:$J$20,MATCH(C24,마스터!$M$4:$M$20,0))),"")</f>
        <v/>
      </c>
      <c r="H24" s="30"/>
      <c r="I24" s="30"/>
    </row>
    <row r="25" spans="1:9" ht="15" customHeight="1" x14ac:dyDescent="0.25">
      <c r="A25" s="25" t="str">
        <f t="shared" si="0"/>
        <v/>
      </c>
      <c r="B25" s="26"/>
      <c r="C25" s="27"/>
      <c r="D25" s="28" t="str">
        <f>IFERROR(IF(C25="","",INDEX(마스터!$F$4:$F$20,MATCH(C25,마스터!$M$4:$M$20,0))),"")</f>
        <v/>
      </c>
      <c r="E25" s="27"/>
      <c r="F25" s="29"/>
      <c r="G25" s="25" t="str">
        <f>IFERROR(IF(C25="","",INDEX(마스터!$J$4:$J$20,MATCH(C25,마스터!$M$4:$M$20,0))),"")</f>
        <v/>
      </c>
      <c r="H25" s="30"/>
      <c r="I25" s="30"/>
    </row>
    <row r="26" spans="1:9" ht="15" customHeight="1" x14ac:dyDescent="0.25">
      <c r="A26" s="25" t="str">
        <f t="shared" si="0"/>
        <v/>
      </c>
      <c r="B26" s="26"/>
      <c r="C26" s="27"/>
      <c r="D26" s="28" t="str">
        <f>IFERROR(IF(C26="","",INDEX(마스터!$F$4:$F$20,MATCH(C26,마스터!$M$4:$M$20,0))),"")</f>
        <v/>
      </c>
      <c r="E26" s="27"/>
      <c r="F26" s="29"/>
      <c r="G26" s="25" t="str">
        <f>IFERROR(IF(C26="","",INDEX(마스터!$J$4:$J$20,MATCH(C26,마스터!$M$4:$M$20,0))),"")</f>
        <v/>
      </c>
      <c r="H26" s="30"/>
      <c r="I26" s="30"/>
    </row>
    <row r="27" spans="1:9" ht="15" customHeight="1" x14ac:dyDescent="0.25">
      <c r="A27" s="25" t="str">
        <f t="shared" si="0"/>
        <v/>
      </c>
      <c r="B27" s="26"/>
      <c r="C27" s="27"/>
      <c r="D27" s="28" t="str">
        <f>IFERROR(IF(C27="","",INDEX(마스터!$F$4:$F$20,MATCH(C27,마스터!$M$4:$M$20,0))),"")</f>
        <v/>
      </c>
      <c r="E27" s="27"/>
      <c r="F27" s="29"/>
      <c r="G27" s="25" t="str">
        <f>IFERROR(IF(C27="","",INDEX(마스터!$J$4:$J$20,MATCH(C27,마스터!$M$4:$M$20,0))),"")</f>
        <v/>
      </c>
      <c r="H27" s="30"/>
      <c r="I27" s="30"/>
    </row>
    <row r="28" spans="1:9" ht="15" customHeight="1" x14ac:dyDescent="0.25">
      <c r="A28" s="25" t="str">
        <f t="shared" si="0"/>
        <v/>
      </c>
      <c r="B28" s="26"/>
      <c r="C28" s="27"/>
      <c r="D28" s="28" t="str">
        <f>IFERROR(IF(C28="","",INDEX(마스터!$F$4:$F$20,MATCH(C28,마스터!$M$4:$M$20,0))),"")</f>
        <v/>
      </c>
      <c r="E28" s="27"/>
      <c r="F28" s="29"/>
      <c r="G28" s="25" t="str">
        <f>IFERROR(IF(C28="","",INDEX(마스터!$J$4:$J$20,MATCH(C28,마스터!$M$4:$M$20,0))),"")</f>
        <v/>
      </c>
      <c r="H28" s="30"/>
      <c r="I28" s="30"/>
    </row>
    <row r="29" spans="1:9" ht="15" customHeight="1" x14ac:dyDescent="0.25">
      <c r="A29" s="25" t="str">
        <f t="shared" si="0"/>
        <v/>
      </c>
      <c r="B29" s="26"/>
      <c r="C29" s="27"/>
      <c r="D29" s="28" t="str">
        <f>IFERROR(IF(C29="","",INDEX(마스터!$F$4:$F$20,MATCH(C29,마스터!$M$4:$M$20,0))),"")</f>
        <v/>
      </c>
      <c r="E29" s="27"/>
      <c r="F29" s="29"/>
      <c r="G29" s="25" t="str">
        <f>IFERROR(IF(C29="","",INDEX(마스터!$J$4:$J$20,MATCH(C29,마스터!$M$4:$M$20,0))),"")</f>
        <v/>
      </c>
      <c r="H29" s="30"/>
      <c r="I29" s="30"/>
    </row>
    <row r="30" spans="1:9" ht="15" customHeight="1" x14ac:dyDescent="0.25">
      <c r="A30" s="25" t="str">
        <f t="shared" si="0"/>
        <v/>
      </c>
      <c r="B30" s="26"/>
      <c r="C30" s="27"/>
      <c r="D30" s="28" t="str">
        <f>IFERROR(IF(C30="","",INDEX(마스터!$F$4:$F$20,MATCH(C30,마스터!$M$4:$M$20,0))),"")</f>
        <v/>
      </c>
      <c r="E30" s="27"/>
      <c r="F30" s="29"/>
      <c r="G30" s="25" t="str">
        <f>IFERROR(IF(C30="","",INDEX(마스터!$J$4:$J$20,MATCH(C30,마스터!$M$4:$M$20,0))),"")</f>
        <v/>
      </c>
      <c r="H30" s="30"/>
      <c r="I30" s="30"/>
    </row>
    <row r="31" spans="1:9" ht="15" customHeight="1" x14ac:dyDescent="0.25">
      <c r="A31" s="25" t="str">
        <f t="shared" si="0"/>
        <v/>
      </c>
      <c r="B31" s="26"/>
      <c r="C31" s="27"/>
      <c r="D31" s="28" t="str">
        <f>IFERROR(IF(C31="","",INDEX(마스터!$F$4:$F$20,MATCH(C31,마스터!$M$4:$M$20,0))),"")</f>
        <v/>
      </c>
      <c r="E31" s="27"/>
      <c r="F31" s="29"/>
      <c r="G31" s="25" t="str">
        <f>IFERROR(IF(C31="","",INDEX(마스터!$J$4:$J$20,MATCH(C31,마스터!$M$4:$M$20,0))),"")</f>
        <v/>
      </c>
      <c r="H31" s="30"/>
      <c r="I31" s="30"/>
    </row>
    <row r="32" spans="1:9" ht="15" customHeight="1" x14ac:dyDescent="0.25">
      <c r="A32" s="25" t="str">
        <f t="shared" si="0"/>
        <v/>
      </c>
      <c r="B32" s="26"/>
      <c r="C32" s="27"/>
      <c r="D32" s="28" t="str">
        <f>IFERROR(IF(C32="","",INDEX(마스터!$F$4:$F$20,MATCH(C32,마스터!$M$4:$M$20,0))),"")</f>
        <v/>
      </c>
      <c r="E32" s="27"/>
      <c r="F32" s="29"/>
      <c r="G32" s="25" t="str">
        <f>IFERROR(IF(C32="","",INDEX(마스터!$J$4:$J$20,MATCH(C32,마스터!$M$4:$M$20,0))),"")</f>
        <v/>
      </c>
      <c r="H32" s="30"/>
      <c r="I32" s="30"/>
    </row>
    <row r="33" spans="1:9" ht="15" customHeight="1" x14ac:dyDescent="0.25">
      <c r="A33" s="25" t="str">
        <f t="shared" si="0"/>
        <v/>
      </c>
      <c r="B33" s="26"/>
      <c r="C33" s="27"/>
      <c r="D33" s="28" t="str">
        <f>IFERROR(IF(C33="","",INDEX(마스터!$F$4:$F$20,MATCH(C33,마스터!$M$4:$M$20,0))),"")</f>
        <v/>
      </c>
      <c r="E33" s="27"/>
      <c r="F33" s="29"/>
      <c r="G33" s="25" t="str">
        <f>IFERROR(IF(C33="","",INDEX(마스터!$J$4:$J$20,MATCH(C33,마스터!$M$4:$M$20,0))),"")</f>
        <v/>
      </c>
      <c r="H33" s="30"/>
      <c r="I33" s="30"/>
    </row>
    <row r="34" spans="1:9" ht="15" customHeight="1" x14ac:dyDescent="0.25">
      <c r="A34" s="25" t="str">
        <f t="shared" si="0"/>
        <v/>
      </c>
      <c r="B34" s="26"/>
      <c r="C34" s="27"/>
      <c r="D34" s="28" t="str">
        <f>IFERROR(IF(C34="","",INDEX(마스터!$F$4:$F$20,MATCH(C34,마스터!$M$4:$M$20,0))),"")</f>
        <v/>
      </c>
      <c r="E34" s="27"/>
      <c r="F34" s="29"/>
      <c r="G34" s="25" t="str">
        <f>IFERROR(IF(C34="","",INDEX(마스터!$J$4:$J$20,MATCH(C34,마스터!$M$4:$M$20,0))),"")</f>
        <v/>
      </c>
      <c r="H34" s="30"/>
      <c r="I34" s="30"/>
    </row>
    <row r="35" spans="1:9" ht="15" customHeight="1" x14ac:dyDescent="0.25">
      <c r="A35" s="25" t="str">
        <f t="shared" si="0"/>
        <v/>
      </c>
      <c r="B35" s="26"/>
      <c r="C35" s="27"/>
      <c r="D35" s="28" t="str">
        <f>IFERROR(IF(C35="","",INDEX(마스터!$F$4:$F$20,MATCH(C35,마스터!$M$4:$M$20,0))),"")</f>
        <v/>
      </c>
      <c r="E35" s="27"/>
      <c r="F35" s="29"/>
      <c r="G35" s="25" t="str">
        <f>IFERROR(IF(C35="","",INDEX(마스터!$J$4:$J$20,MATCH(C35,마스터!$M$4:$M$20,0))),"")</f>
        <v/>
      </c>
      <c r="H35" s="30"/>
      <c r="I35" s="30"/>
    </row>
    <row r="36" spans="1:9" ht="15" customHeight="1" x14ac:dyDescent="0.25">
      <c r="A36" s="25" t="str">
        <f t="shared" si="0"/>
        <v/>
      </c>
      <c r="B36" s="26"/>
      <c r="C36" s="27"/>
      <c r="D36" s="28" t="str">
        <f>IFERROR(IF(C36="","",INDEX(마스터!$F$4:$F$20,MATCH(C36,마스터!$M$4:$M$20,0))),"")</f>
        <v/>
      </c>
      <c r="E36" s="27"/>
      <c r="F36" s="29"/>
      <c r="G36" s="25" t="str">
        <f>IFERROR(IF(C36="","",INDEX(마스터!$J$4:$J$20,MATCH(C36,마스터!$M$4:$M$20,0))),"")</f>
        <v/>
      </c>
      <c r="H36" s="30"/>
      <c r="I36" s="30"/>
    </row>
    <row r="37" spans="1:9" ht="15" customHeight="1" x14ac:dyDescent="0.25">
      <c r="A37" s="25" t="str">
        <f t="shared" si="0"/>
        <v/>
      </c>
      <c r="B37" s="26"/>
      <c r="C37" s="27"/>
      <c r="D37" s="28" t="str">
        <f>IFERROR(IF(C37="","",INDEX(마스터!$F$4:$F$20,MATCH(C37,마스터!$M$4:$M$20,0))),"")</f>
        <v/>
      </c>
      <c r="E37" s="27"/>
      <c r="F37" s="29"/>
      <c r="G37" s="25" t="str">
        <f>IFERROR(IF(C37="","",INDEX(마스터!$J$4:$J$20,MATCH(C37,마스터!$M$4:$M$20,0))),"")</f>
        <v/>
      </c>
      <c r="H37" s="30"/>
      <c r="I37" s="30"/>
    </row>
    <row r="38" spans="1:9" ht="15" customHeight="1" x14ac:dyDescent="0.25">
      <c r="A38" s="25" t="str">
        <f t="shared" si="0"/>
        <v/>
      </c>
      <c r="B38" s="26"/>
      <c r="C38" s="27"/>
      <c r="D38" s="28" t="str">
        <f>IFERROR(IF(C38="","",INDEX(마스터!$F$4:$F$20,MATCH(C38,마스터!$M$4:$M$20,0))),"")</f>
        <v/>
      </c>
      <c r="E38" s="27"/>
      <c r="F38" s="29"/>
      <c r="G38" s="25" t="str">
        <f>IFERROR(IF(C38="","",INDEX(마스터!$J$4:$J$20,MATCH(C38,마스터!$M$4:$M$20,0))),"")</f>
        <v/>
      </c>
      <c r="H38" s="30"/>
      <c r="I38" s="30"/>
    </row>
    <row r="39" spans="1:9" ht="15" customHeight="1" x14ac:dyDescent="0.25">
      <c r="A39" s="25" t="str">
        <f t="shared" si="0"/>
        <v/>
      </c>
      <c r="B39" s="26"/>
      <c r="C39" s="27"/>
      <c r="D39" s="28" t="str">
        <f>IFERROR(IF(C39="","",INDEX(마스터!$F$4:$F$20,MATCH(C39,마스터!$M$4:$M$20,0))),"")</f>
        <v/>
      </c>
      <c r="E39" s="27"/>
      <c r="F39" s="29"/>
      <c r="G39" s="25" t="str">
        <f>IFERROR(IF(C39="","",INDEX(마스터!$J$4:$J$20,MATCH(C39,마스터!$M$4:$M$20,0))),"")</f>
        <v/>
      </c>
      <c r="H39" s="30"/>
      <c r="I39" s="30"/>
    </row>
    <row r="40" spans="1:9" ht="15" customHeight="1" x14ac:dyDescent="0.25">
      <c r="A40" s="25" t="str">
        <f t="shared" si="0"/>
        <v/>
      </c>
      <c r="B40" s="26"/>
      <c r="C40" s="27"/>
      <c r="D40" s="28" t="str">
        <f>IFERROR(IF(C40="","",INDEX(마스터!$F$4:$F$20,MATCH(C40,마스터!$M$4:$M$20,0))),"")</f>
        <v/>
      </c>
      <c r="E40" s="27"/>
      <c r="F40" s="29"/>
      <c r="G40" s="25" t="str">
        <f>IFERROR(IF(C40="","",INDEX(마스터!$J$4:$J$20,MATCH(C40,마스터!$M$4:$M$20,0))),"")</f>
        <v/>
      </c>
      <c r="H40" s="30"/>
      <c r="I40" s="30"/>
    </row>
    <row r="41" spans="1:9" ht="15" customHeight="1" x14ac:dyDescent="0.25">
      <c r="A41" s="25" t="str">
        <f t="shared" si="0"/>
        <v/>
      </c>
      <c r="B41" s="26"/>
      <c r="C41" s="27"/>
      <c r="D41" s="28" t="str">
        <f>IFERROR(IF(C41="","",INDEX(마스터!$F$4:$F$20,MATCH(C41,마스터!$M$4:$M$20,0))),"")</f>
        <v/>
      </c>
      <c r="E41" s="27"/>
      <c r="F41" s="29"/>
      <c r="G41" s="25" t="str">
        <f>IFERROR(IF(C41="","",INDEX(마스터!$J$4:$J$20,MATCH(C41,마스터!$M$4:$M$20,0))),"")</f>
        <v/>
      </c>
      <c r="H41" s="30"/>
      <c r="I41" s="30"/>
    </row>
    <row r="42" spans="1:9" ht="15" customHeight="1" x14ac:dyDescent="0.25">
      <c r="A42" s="25" t="str">
        <f t="shared" si="0"/>
        <v/>
      </c>
      <c r="B42" s="26"/>
      <c r="C42" s="27"/>
      <c r="D42" s="28" t="str">
        <f>IFERROR(IF(C42="","",INDEX(마스터!$F$4:$F$20,MATCH(C42,마스터!$M$4:$M$20,0))),"")</f>
        <v/>
      </c>
      <c r="E42" s="27"/>
      <c r="F42" s="29"/>
      <c r="G42" s="25" t="str">
        <f>IFERROR(IF(C42="","",INDEX(마스터!$J$4:$J$20,MATCH(C42,마스터!$M$4:$M$20,0))),"")</f>
        <v/>
      </c>
      <c r="H42" s="30"/>
      <c r="I42" s="30"/>
    </row>
    <row r="43" spans="1:9" ht="15" customHeight="1" x14ac:dyDescent="0.25">
      <c r="A43" s="25" t="str">
        <f t="shared" si="0"/>
        <v/>
      </c>
      <c r="B43" s="26"/>
      <c r="C43" s="27"/>
      <c r="D43" s="28" t="str">
        <f>IFERROR(IF(C43="","",INDEX(마스터!$F$4:$F$20,MATCH(C43,마스터!$M$4:$M$20,0))),"")</f>
        <v/>
      </c>
      <c r="E43" s="27"/>
      <c r="F43" s="29"/>
      <c r="G43" s="25" t="str">
        <f>IFERROR(IF(C43="","",INDEX(마스터!$J$4:$J$20,MATCH(C43,마스터!$M$4:$M$20,0))),"")</f>
        <v/>
      </c>
      <c r="H43" s="30"/>
      <c r="I43" s="30"/>
    </row>
    <row r="44" spans="1:9" ht="15" customHeight="1" x14ac:dyDescent="0.25">
      <c r="A44" s="25" t="str">
        <f t="shared" si="0"/>
        <v/>
      </c>
      <c r="B44" s="26"/>
      <c r="C44" s="27"/>
      <c r="D44" s="28" t="str">
        <f>IFERROR(IF(C44="","",INDEX(마스터!$F$4:$F$20,MATCH(C44,마스터!$M$4:$M$20,0))),"")</f>
        <v/>
      </c>
      <c r="E44" s="27"/>
      <c r="F44" s="29"/>
      <c r="G44" s="25" t="str">
        <f>IFERROR(IF(C44="","",INDEX(마스터!$J$4:$J$20,MATCH(C44,마스터!$M$4:$M$20,0))),"")</f>
        <v/>
      </c>
      <c r="H44" s="30"/>
      <c r="I44" s="30"/>
    </row>
    <row r="45" spans="1:9" ht="15" customHeight="1" x14ac:dyDescent="0.25">
      <c r="A45" s="25" t="str">
        <f t="shared" si="0"/>
        <v/>
      </c>
      <c r="B45" s="26"/>
      <c r="C45" s="27"/>
      <c r="D45" s="28" t="str">
        <f>IFERROR(IF(C45="","",INDEX(마스터!$F$4:$F$20,MATCH(C45,마스터!$M$4:$M$20,0))),"")</f>
        <v/>
      </c>
      <c r="E45" s="27"/>
      <c r="F45" s="29"/>
      <c r="G45" s="25" t="str">
        <f>IFERROR(IF(C45="","",INDEX(마스터!$J$4:$J$20,MATCH(C45,마스터!$M$4:$M$20,0))),"")</f>
        <v/>
      </c>
      <c r="H45" s="30"/>
      <c r="I45" s="30"/>
    </row>
    <row r="46" spans="1:9" ht="15" customHeight="1" x14ac:dyDescent="0.25">
      <c r="A46" s="25" t="str">
        <f t="shared" si="0"/>
        <v/>
      </c>
      <c r="B46" s="26"/>
      <c r="C46" s="27"/>
      <c r="D46" s="28" t="str">
        <f>IFERROR(IF(C46="","",INDEX(마스터!$F$4:$F$20,MATCH(C46,마스터!$M$4:$M$20,0))),"")</f>
        <v/>
      </c>
      <c r="E46" s="27"/>
      <c r="F46" s="29"/>
      <c r="G46" s="25" t="str">
        <f>IFERROR(IF(C46="","",INDEX(마스터!$J$4:$J$20,MATCH(C46,마스터!$M$4:$M$20,0))),"")</f>
        <v/>
      </c>
      <c r="H46" s="30"/>
      <c r="I46" s="30"/>
    </row>
    <row r="47" spans="1:9" ht="15" customHeight="1" x14ac:dyDescent="0.25">
      <c r="A47" s="25" t="str">
        <f t="shared" si="0"/>
        <v/>
      </c>
      <c r="B47" s="26"/>
      <c r="C47" s="27"/>
      <c r="D47" s="28" t="str">
        <f>IFERROR(IF(C47="","",INDEX(마스터!$F$4:$F$20,MATCH(C47,마스터!$M$4:$M$20,0))),"")</f>
        <v/>
      </c>
      <c r="E47" s="27"/>
      <c r="F47" s="29"/>
      <c r="G47" s="25" t="str">
        <f>IFERROR(IF(C47="","",INDEX(마스터!$J$4:$J$20,MATCH(C47,마스터!$M$4:$M$20,0))),"")</f>
        <v/>
      </c>
      <c r="H47" s="30"/>
      <c r="I47" s="30"/>
    </row>
    <row r="48" spans="1:9" ht="15" customHeight="1" x14ac:dyDescent="0.25">
      <c r="A48" s="25" t="str">
        <f t="shared" si="0"/>
        <v/>
      </c>
      <c r="B48" s="26"/>
      <c r="C48" s="27"/>
      <c r="D48" s="28" t="str">
        <f>IFERROR(IF(C48="","",INDEX(마스터!$F$4:$F$20,MATCH(C48,마스터!$M$4:$M$20,0))),"")</f>
        <v/>
      </c>
      <c r="E48" s="27"/>
      <c r="F48" s="29"/>
      <c r="G48" s="25" t="str">
        <f>IFERROR(IF(C48="","",INDEX(마스터!$J$4:$J$20,MATCH(C48,마스터!$M$4:$M$20,0))),"")</f>
        <v/>
      </c>
      <c r="H48" s="30"/>
      <c r="I48" s="30"/>
    </row>
    <row r="49" spans="1:9" ht="15" customHeight="1" x14ac:dyDescent="0.25">
      <c r="A49" s="25" t="str">
        <f t="shared" si="0"/>
        <v/>
      </c>
      <c r="B49" s="26"/>
      <c r="C49" s="27"/>
      <c r="D49" s="28" t="str">
        <f>IFERROR(IF(C49="","",INDEX(마스터!$F$4:$F$20,MATCH(C49,마스터!$M$4:$M$20,0))),"")</f>
        <v/>
      </c>
      <c r="E49" s="27"/>
      <c r="F49" s="29"/>
      <c r="G49" s="25" t="str">
        <f>IFERROR(IF(C49="","",INDEX(마스터!$J$4:$J$20,MATCH(C49,마스터!$M$4:$M$20,0))),"")</f>
        <v/>
      </c>
      <c r="H49" s="30"/>
      <c r="I49" s="30"/>
    </row>
    <row r="50" spans="1:9" ht="15" customHeight="1" x14ac:dyDescent="0.25">
      <c r="A50" s="25" t="str">
        <f t="shared" si="0"/>
        <v/>
      </c>
      <c r="B50" s="26"/>
      <c r="C50" s="27"/>
      <c r="D50" s="28" t="str">
        <f>IFERROR(IF(C50="","",INDEX(마스터!$F$4:$F$20,MATCH(C50,마스터!$M$4:$M$20,0))),"")</f>
        <v/>
      </c>
      <c r="E50" s="27"/>
      <c r="F50" s="29"/>
      <c r="G50" s="25" t="str">
        <f>IFERROR(IF(C50="","",INDEX(마스터!$J$4:$J$20,MATCH(C50,마스터!$M$4:$M$20,0))),"")</f>
        <v/>
      </c>
      <c r="H50" s="30"/>
      <c r="I50" s="30"/>
    </row>
    <row r="51" spans="1:9" ht="15" customHeight="1" x14ac:dyDescent="0.25">
      <c r="A51" s="25" t="str">
        <f t="shared" si="0"/>
        <v/>
      </c>
      <c r="B51" s="26"/>
      <c r="C51" s="27"/>
      <c r="D51" s="28" t="str">
        <f>IFERROR(IF(C51="","",INDEX(마스터!$F$4:$F$20,MATCH(C51,마스터!$M$4:$M$20,0))),"")</f>
        <v/>
      </c>
      <c r="E51" s="27"/>
      <c r="F51" s="29"/>
      <c r="G51" s="25" t="str">
        <f>IFERROR(IF(C51="","",INDEX(마스터!$J$4:$J$20,MATCH(C51,마스터!$M$4:$M$20,0))),"")</f>
        <v/>
      </c>
      <c r="H51" s="30"/>
      <c r="I51" s="30"/>
    </row>
    <row r="52" spans="1:9" ht="15" customHeight="1" x14ac:dyDescent="0.25">
      <c r="A52" s="25" t="str">
        <f t="shared" si="0"/>
        <v/>
      </c>
      <c r="B52" s="26"/>
      <c r="C52" s="27"/>
      <c r="D52" s="28" t="str">
        <f>IFERROR(IF(C52="","",INDEX(마스터!$F$4:$F$20,MATCH(C52,마스터!$M$4:$M$20,0))),"")</f>
        <v/>
      </c>
      <c r="E52" s="27"/>
      <c r="F52" s="29"/>
      <c r="G52" s="25" t="str">
        <f>IFERROR(IF(C52="","",INDEX(마스터!$J$4:$J$20,MATCH(C52,마스터!$M$4:$M$20,0))),"")</f>
        <v/>
      </c>
      <c r="H52" s="30"/>
      <c r="I52" s="30"/>
    </row>
    <row r="53" spans="1:9" ht="15" customHeight="1" x14ac:dyDescent="0.25">
      <c r="A53" s="25" t="str">
        <f t="shared" si="0"/>
        <v/>
      </c>
      <c r="B53" s="26"/>
      <c r="C53" s="27"/>
      <c r="D53" s="28" t="str">
        <f>IFERROR(IF(C53="","",INDEX(마스터!$F$4:$F$20,MATCH(C53,마스터!$M$4:$M$20,0))),"")</f>
        <v/>
      </c>
      <c r="E53" s="27"/>
      <c r="F53" s="29"/>
      <c r="G53" s="25" t="str">
        <f>IFERROR(IF(C53="","",INDEX(마스터!$J$4:$J$20,MATCH(C53,마스터!$M$4:$M$20,0))),"")</f>
        <v/>
      </c>
      <c r="H53" s="30"/>
      <c r="I53" s="30"/>
    </row>
    <row r="54" spans="1:9" ht="15" customHeight="1" x14ac:dyDescent="0.25">
      <c r="A54" s="25" t="str">
        <f t="shared" si="0"/>
        <v/>
      </c>
      <c r="B54" s="26"/>
      <c r="C54" s="27"/>
      <c r="D54" s="28" t="str">
        <f>IFERROR(IF(C54="","",INDEX(마스터!$F$4:$F$20,MATCH(C54,마스터!$M$4:$M$20,0))),"")</f>
        <v/>
      </c>
      <c r="E54" s="27"/>
      <c r="F54" s="29"/>
      <c r="G54" s="25" t="str">
        <f>IFERROR(IF(C54="","",INDEX(마스터!$J$4:$J$20,MATCH(C54,마스터!$M$4:$M$20,0))),"")</f>
        <v/>
      </c>
      <c r="H54" s="30"/>
      <c r="I54" s="30"/>
    </row>
    <row r="55" spans="1:9" ht="15" customHeight="1" x14ac:dyDescent="0.25">
      <c r="A55" s="25" t="str">
        <f t="shared" si="0"/>
        <v/>
      </c>
      <c r="B55" s="26"/>
      <c r="C55" s="27"/>
      <c r="D55" s="28" t="str">
        <f>IFERROR(IF(C55="","",INDEX(마스터!$F$4:$F$20,MATCH(C55,마스터!$M$4:$M$20,0))),"")</f>
        <v/>
      </c>
      <c r="E55" s="27"/>
      <c r="F55" s="29"/>
      <c r="G55" s="25" t="str">
        <f>IFERROR(IF(C55="","",INDEX(마스터!$J$4:$J$20,MATCH(C55,마스터!$M$4:$M$20,0))),"")</f>
        <v/>
      </c>
      <c r="H55" s="30"/>
      <c r="I55" s="30"/>
    </row>
    <row r="56" spans="1:9" ht="15" customHeight="1" x14ac:dyDescent="0.25">
      <c r="A56" s="25" t="str">
        <f t="shared" si="0"/>
        <v/>
      </c>
      <c r="B56" s="26"/>
      <c r="C56" s="27"/>
      <c r="D56" s="28" t="str">
        <f>IFERROR(IF(C56="","",INDEX(마스터!$F$4:$F$20,MATCH(C56,마스터!$M$4:$M$20,0))),"")</f>
        <v/>
      </c>
      <c r="E56" s="27"/>
      <c r="F56" s="29"/>
      <c r="G56" s="25" t="str">
        <f>IFERROR(IF(C56="","",INDEX(마스터!$J$4:$J$20,MATCH(C56,마스터!$M$4:$M$20,0))),"")</f>
        <v/>
      </c>
      <c r="H56" s="30"/>
      <c r="I56" s="30"/>
    </row>
    <row r="57" spans="1:9" ht="15" customHeight="1" x14ac:dyDescent="0.25">
      <c r="A57" s="25" t="str">
        <f t="shared" si="0"/>
        <v/>
      </c>
      <c r="B57" s="26"/>
      <c r="C57" s="27"/>
      <c r="D57" s="28" t="str">
        <f>IFERROR(IF(C57="","",INDEX(마스터!$F$4:$F$20,MATCH(C57,마스터!$M$4:$M$20,0))),"")</f>
        <v/>
      </c>
      <c r="E57" s="27"/>
      <c r="F57" s="29"/>
      <c r="G57" s="25" t="str">
        <f>IFERROR(IF(C57="","",INDEX(마스터!$J$4:$J$20,MATCH(C57,마스터!$M$4:$M$20,0))),"")</f>
        <v/>
      </c>
      <c r="H57" s="30"/>
      <c r="I57" s="30"/>
    </row>
    <row r="58" spans="1:9" ht="15" customHeight="1" x14ac:dyDescent="0.25">
      <c r="A58" s="25" t="str">
        <f t="shared" si="0"/>
        <v/>
      </c>
      <c r="B58" s="26"/>
      <c r="C58" s="27"/>
      <c r="D58" s="28" t="str">
        <f>IFERROR(IF(C58="","",INDEX(마스터!$F$4:$F$20,MATCH(C58,마스터!$M$4:$M$20,0))),"")</f>
        <v/>
      </c>
      <c r="E58" s="27"/>
      <c r="F58" s="29"/>
      <c r="G58" s="25" t="str">
        <f>IFERROR(IF(C58="","",INDEX(마스터!$J$4:$J$20,MATCH(C58,마스터!$M$4:$M$20,0))),"")</f>
        <v/>
      </c>
      <c r="H58" s="30"/>
      <c r="I58" s="30"/>
    </row>
    <row r="59" spans="1:9" ht="15" customHeight="1" x14ac:dyDescent="0.25">
      <c r="A59" s="25" t="str">
        <f t="shared" si="0"/>
        <v/>
      </c>
      <c r="B59" s="26"/>
      <c r="C59" s="27"/>
      <c r="D59" s="28" t="str">
        <f>IFERROR(IF(C59="","",INDEX(마스터!$F$4:$F$20,MATCH(C59,마스터!$M$4:$M$20,0))),"")</f>
        <v/>
      </c>
      <c r="E59" s="27"/>
      <c r="F59" s="29"/>
      <c r="G59" s="25" t="str">
        <f>IFERROR(IF(C59="","",INDEX(마스터!$J$4:$J$20,MATCH(C59,마스터!$M$4:$M$20,0))),"")</f>
        <v/>
      </c>
      <c r="H59" s="30"/>
      <c r="I59" s="30"/>
    </row>
    <row r="60" spans="1:9" ht="15" customHeight="1" x14ac:dyDescent="0.25">
      <c r="A60" s="25" t="str">
        <f t="shared" si="0"/>
        <v/>
      </c>
      <c r="B60" s="26"/>
      <c r="C60" s="27"/>
      <c r="D60" s="28" t="str">
        <f>IFERROR(IF(C60="","",INDEX(마스터!$F$4:$F$20,MATCH(C60,마스터!$M$4:$M$20,0))),"")</f>
        <v/>
      </c>
      <c r="E60" s="27"/>
      <c r="F60" s="29"/>
      <c r="G60" s="25" t="str">
        <f>IFERROR(IF(C60="","",INDEX(마스터!$J$4:$J$20,MATCH(C60,마스터!$M$4:$M$20,0))),"")</f>
        <v/>
      </c>
      <c r="H60" s="30"/>
      <c r="I60" s="30"/>
    </row>
    <row r="61" spans="1:9" ht="15" customHeight="1" x14ac:dyDescent="0.25">
      <c r="A61" s="25" t="str">
        <f t="shared" si="0"/>
        <v/>
      </c>
      <c r="B61" s="26"/>
      <c r="C61" s="27"/>
      <c r="D61" s="28" t="str">
        <f>IFERROR(IF(C61="","",INDEX(마스터!$F$4:$F$20,MATCH(C61,마스터!$M$4:$M$20,0))),"")</f>
        <v/>
      </c>
      <c r="E61" s="27"/>
      <c r="F61" s="29"/>
      <c r="G61" s="25" t="str">
        <f>IFERROR(IF(C61="","",INDEX(마스터!$J$4:$J$20,MATCH(C61,마스터!$M$4:$M$20,0))),"")</f>
        <v/>
      </c>
      <c r="H61" s="30"/>
      <c r="I61" s="30"/>
    </row>
    <row r="62" spans="1:9" ht="15" customHeight="1" x14ac:dyDescent="0.25">
      <c r="A62" s="25" t="str">
        <f t="shared" si="0"/>
        <v/>
      </c>
      <c r="B62" s="26"/>
      <c r="C62" s="27"/>
      <c r="D62" s="28" t="str">
        <f>IFERROR(IF(C62="","",INDEX(마스터!$F$4:$F$20,MATCH(C62,마스터!$M$4:$M$20,0))),"")</f>
        <v/>
      </c>
      <c r="E62" s="27"/>
      <c r="F62" s="29"/>
      <c r="G62" s="25" t="str">
        <f>IFERROR(IF(C62="","",INDEX(마스터!$J$4:$J$20,MATCH(C62,마스터!$M$4:$M$20,0))),"")</f>
        <v/>
      </c>
      <c r="H62" s="30"/>
      <c r="I62" s="30"/>
    </row>
    <row r="63" spans="1:9" ht="15" customHeight="1" x14ac:dyDescent="0.25">
      <c r="A63" s="25" t="str">
        <f t="shared" si="0"/>
        <v/>
      </c>
      <c r="B63" s="26"/>
      <c r="C63" s="27"/>
      <c r="D63" s="28" t="str">
        <f>IFERROR(IF(C63="","",INDEX(마스터!$F$4:$F$20,MATCH(C63,마스터!$M$4:$M$20,0))),"")</f>
        <v/>
      </c>
      <c r="E63" s="27"/>
      <c r="F63" s="29"/>
      <c r="G63" s="25" t="str">
        <f>IFERROR(IF(C63="","",INDEX(마스터!$J$4:$J$20,MATCH(C63,마스터!$M$4:$M$20,0))),"")</f>
        <v/>
      </c>
      <c r="H63" s="30"/>
      <c r="I63" s="30"/>
    </row>
    <row r="64" spans="1:9" ht="15" customHeight="1" x14ac:dyDescent="0.25">
      <c r="A64" s="25" t="str">
        <f t="shared" si="0"/>
        <v/>
      </c>
      <c r="B64" s="26"/>
      <c r="C64" s="27"/>
      <c r="D64" s="28" t="str">
        <f>IFERROR(IF(C64="","",INDEX(마스터!$F$4:$F$20,MATCH(C64,마스터!$M$4:$M$20,0))),"")</f>
        <v/>
      </c>
      <c r="E64" s="27"/>
      <c r="F64" s="29"/>
      <c r="G64" s="25" t="str">
        <f>IFERROR(IF(C64="","",INDEX(마스터!$J$4:$J$20,MATCH(C64,마스터!$M$4:$M$20,0))),"")</f>
        <v/>
      </c>
      <c r="H64" s="30"/>
      <c r="I64" s="30"/>
    </row>
    <row r="65" spans="1:9" ht="15" customHeight="1" x14ac:dyDescent="0.25">
      <c r="A65" s="25" t="str">
        <f t="shared" si="0"/>
        <v/>
      </c>
      <c r="B65" s="26"/>
      <c r="C65" s="27"/>
      <c r="D65" s="28" t="str">
        <f>IFERROR(IF(C65="","",INDEX(마스터!$F$4:$F$20,MATCH(C65,마스터!$M$4:$M$20,0))),"")</f>
        <v/>
      </c>
      <c r="E65" s="27"/>
      <c r="F65" s="29"/>
      <c r="G65" s="25" t="str">
        <f>IFERROR(IF(C65="","",INDEX(마스터!$J$4:$J$20,MATCH(C65,마스터!$M$4:$M$20,0))),"")</f>
        <v/>
      </c>
      <c r="H65" s="30"/>
      <c r="I65" s="30"/>
    </row>
    <row r="66" spans="1:9" ht="15" customHeight="1" x14ac:dyDescent="0.25">
      <c r="A66" s="25" t="str">
        <f t="shared" si="0"/>
        <v/>
      </c>
      <c r="B66" s="26"/>
      <c r="C66" s="27"/>
      <c r="D66" s="28" t="str">
        <f>IFERROR(IF(C66="","",INDEX(마스터!$F$4:$F$20,MATCH(C66,마스터!$M$4:$M$20,0))),"")</f>
        <v/>
      </c>
      <c r="E66" s="27"/>
      <c r="F66" s="29"/>
      <c r="G66" s="25" t="str">
        <f>IFERROR(IF(C66="","",INDEX(마스터!$J$4:$J$20,MATCH(C66,마스터!$M$4:$M$20,0))),"")</f>
        <v/>
      </c>
      <c r="H66" s="30"/>
      <c r="I66" s="30"/>
    </row>
    <row r="67" spans="1:9" ht="15" customHeight="1" x14ac:dyDescent="0.25">
      <c r="A67" s="25" t="str">
        <f t="shared" si="0"/>
        <v/>
      </c>
      <c r="B67" s="26"/>
      <c r="C67" s="27"/>
      <c r="D67" s="28" t="str">
        <f>IFERROR(IF(C67="","",INDEX(마스터!$F$4:$F$20,MATCH(C67,마스터!$M$4:$M$20,0))),"")</f>
        <v/>
      </c>
      <c r="E67" s="27"/>
      <c r="F67" s="29"/>
      <c r="G67" s="25" t="str">
        <f>IFERROR(IF(C67="","",INDEX(마스터!$J$4:$J$20,MATCH(C67,마스터!$M$4:$M$20,0))),"")</f>
        <v/>
      </c>
      <c r="H67" s="30"/>
      <c r="I67" s="30"/>
    </row>
    <row r="68" spans="1:9" ht="15" customHeight="1" x14ac:dyDescent="0.25">
      <c r="A68" s="25" t="str">
        <f t="shared" si="0"/>
        <v/>
      </c>
      <c r="B68" s="26"/>
      <c r="C68" s="27"/>
      <c r="D68" s="28" t="str">
        <f>IFERROR(IF(C68="","",INDEX(마스터!$F$4:$F$20,MATCH(C68,마스터!$M$4:$M$20,0))),"")</f>
        <v/>
      </c>
      <c r="E68" s="27"/>
      <c r="F68" s="29"/>
      <c r="G68" s="25" t="str">
        <f>IFERROR(IF(C68="","",INDEX(마스터!$J$4:$J$20,MATCH(C68,마스터!$M$4:$M$20,0))),"")</f>
        <v/>
      </c>
      <c r="H68" s="30"/>
      <c r="I68" s="30"/>
    </row>
    <row r="69" spans="1:9" ht="15" customHeight="1" x14ac:dyDescent="0.25">
      <c r="A69" s="25" t="str">
        <f t="shared" si="0"/>
        <v/>
      </c>
      <c r="B69" s="26"/>
      <c r="C69" s="27"/>
      <c r="D69" s="28" t="str">
        <f>IFERROR(IF(C69="","",INDEX(마스터!$F$4:$F$20,MATCH(C69,마스터!$M$4:$M$20,0))),"")</f>
        <v/>
      </c>
      <c r="E69" s="27"/>
      <c r="F69" s="29"/>
      <c r="G69" s="25" t="str">
        <f>IFERROR(IF(C69="","",INDEX(마스터!$J$4:$J$20,MATCH(C69,마스터!$M$4:$M$20,0))),"")</f>
        <v/>
      </c>
      <c r="H69" s="30"/>
      <c r="I69" s="30"/>
    </row>
    <row r="70" spans="1:9" ht="15" customHeight="1" x14ac:dyDescent="0.25">
      <c r="A70" s="25" t="str">
        <f t="shared" si="0"/>
        <v/>
      </c>
      <c r="B70" s="26"/>
      <c r="C70" s="27"/>
      <c r="D70" s="28" t="str">
        <f>IFERROR(IF(C70="","",INDEX(마스터!$F$4:$F$20,MATCH(C70,마스터!$M$4:$M$20,0))),"")</f>
        <v/>
      </c>
      <c r="E70" s="27"/>
      <c r="F70" s="29"/>
      <c r="G70" s="25" t="str">
        <f>IFERROR(IF(C70="","",INDEX(마스터!$J$4:$J$20,MATCH(C70,마스터!$M$4:$M$20,0))),"")</f>
        <v/>
      </c>
      <c r="H70" s="30"/>
      <c r="I70" s="30"/>
    </row>
    <row r="71" spans="1:9" ht="15" customHeight="1" x14ac:dyDescent="0.25">
      <c r="A71" s="25" t="str">
        <f t="shared" si="0"/>
        <v/>
      </c>
      <c r="B71" s="26"/>
      <c r="C71" s="27"/>
      <c r="D71" s="28" t="str">
        <f>IFERROR(IF(C71="","",INDEX(마스터!$F$4:$F$20,MATCH(C71,마스터!$M$4:$M$20,0))),"")</f>
        <v/>
      </c>
      <c r="E71" s="27"/>
      <c r="F71" s="29"/>
      <c r="G71" s="25" t="str">
        <f>IFERROR(IF(C71="","",INDEX(마스터!$J$4:$J$20,MATCH(C71,마스터!$M$4:$M$20,0))),"")</f>
        <v/>
      </c>
      <c r="H71" s="30"/>
      <c r="I71" s="30"/>
    </row>
    <row r="72" spans="1:9" ht="15" customHeight="1" x14ac:dyDescent="0.25">
      <c r="A72" s="25" t="str">
        <f t="shared" ref="A72:A135" si="1">IF(B72="","",ROW()-7)</f>
        <v/>
      </c>
      <c r="B72" s="26"/>
      <c r="C72" s="27"/>
      <c r="D72" s="28" t="str">
        <f>IFERROR(IF(C72="","",INDEX(마스터!$F$4:$F$20,MATCH(C72,마스터!$M$4:$M$20,0))),"")</f>
        <v/>
      </c>
      <c r="E72" s="27"/>
      <c r="F72" s="29"/>
      <c r="G72" s="25" t="str">
        <f>IFERROR(IF(C72="","",INDEX(마스터!$J$4:$J$20,MATCH(C72,마스터!$M$4:$M$20,0))),"")</f>
        <v/>
      </c>
      <c r="H72" s="30"/>
      <c r="I72" s="30"/>
    </row>
    <row r="73" spans="1:9" ht="15" customHeight="1" x14ac:dyDescent="0.25">
      <c r="A73" s="25" t="str">
        <f t="shared" si="1"/>
        <v/>
      </c>
      <c r="B73" s="26"/>
      <c r="C73" s="27"/>
      <c r="D73" s="28" t="str">
        <f>IFERROR(IF(C73="","",INDEX(마스터!$F$4:$F$20,MATCH(C73,마스터!$M$4:$M$20,0))),"")</f>
        <v/>
      </c>
      <c r="E73" s="27"/>
      <c r="F73" s="29"/>
      <c r="G73" s="25" t="str">
        <f>IFERROR(IF(C73="","",INDEX(마스터!$J$4:$J$20,MATCH(C73,마스터!$M$4:$M$20,0))),"")</f>
        <v/>
      </c>
      <c r="H73" s="30"/>
      <c r="I73" s="30"/>
    </row>
    <row r="74" spans="1:9" ht="15" customHeight="1" x14ac:dyDescent="0.25">
      <c r="A74" s="25" t="str">
        <f t="shared" si="1"/>
        <v/>
      </c>
      <c r="B74" s="26"/>
      <c r="C74" s="27"/>
      <c r="D74" s="28" t="str">
        <f>IFERROR(IF(C74="","",INDEX(마스터!$F$4:$F$20,MATCH(C74,마스터!$M$4:$M$20,0))),"")</f>
        <v/>
      </c>
      <c r="E74" s="27"/>
      <c r="F74" s="29"/>
      <c r="G74" s="25" t="str">
        <f>IFERROR(IF(C74="","",INDEX(마스터!$J$4:$J$20,MATCH(C74,마스터!$M$4:$M$20,0))),"")</f>
        <v/>
      </c>
      <c r="H74" s="30"/>
      <c r="I74" s="30"/>
    </row>
    <row r="75" spans="1:9" ht="15" customHeight="1" x14ac:dyDescent="0.25">
      <c r="A75" s="25" t="str">
        <f t="shared" si="1"/>
        <v/>
      </c>
      <c r="B75" s="26"/>
      <c r="C75" s="27"/>
      <c r="D75" s="28" t="str">
        <f>IFERROR(IF(C75="","",INDEX(마스터!$F$4:$F$20,MATCH(C75,마스터!$M$4:$M$20,0))),"")</f>
        <v/>
      </c>
      <c r="E75" s="27"/>
      <c r="F75" s="29"/>
      <c r="G75" s="25" t="str">
        <f>IFERROR(IF(C75="","",INDEX(마스터!$J$4:$J$20,MATCH(C75,마스터!$M$4:$M$20,0))),"")</f>
        <v/>
      </c>
      <c r="H75" s="30"/>
      <c r="I75" s="30"/>
    </row>
    <row r="76" spans="1:9" ht="15" customHeight="1" x14ac:dyDescent="0.25">
      <c r="A76" s="25" t="str">
        <f t="shared" si="1"/>
        <v/>
      </c>
      <c r="B76" s="26"/>
      <c r="C76" s="27"/>
      <c r="D76" s="28" t="str">
        <f>IFERROR(IF(C76="","",INDEX(마스터!$F$4:$F$20,MATCH(C76,마스터!$M$4:$M$20,0))),"")</f>
        <v/>
      </c>
      <c r="E76" s="27"/>
      <c r="F76" s="29"/>
      <c r="G76" s="25" t="str">
        <f>IFERROR(IF(C76="","",INDEX(마스터!$J$4:$J$20,MATCH(C76,마스터!$M$4:$M$20,0))),"")</f>
        <v/>
      </c>
      <c r="H76" s="30"/>
      <c r="I76" s="30"/>
    </row>
    <row r="77" spans="1:9" ht="15" customHeight="1" x14ac:dyDescent="0.25">
      <c r="A77" s="25" t="str">
        <f t="shared" si="1"/>
        <v/>
      </c>
      <c r="B77" s="26"/>
      <c r="C77" s="27"/>
      <c r="D77" s="28" t="str">
        <f>IFERROR(IF(C77="","",INDEX(마스터!$F$4:$F$20,MATCH(C77,마스터!$M$4:$M$20,0))),"")</f>
        <v/>
      </c>
      <c r="E77" s="27"/>
      <c r="F77" s="29"/>
      <c r="G77" s="25" t="str">
        <f>IFERROR(IF(C77="","",INDEX(마스터!$J$4:$J$20,MATCH(C77,마스터!$M$4:$M$20,0))),"")</f>
        <v/>
      </c>
      <c r="H77" s="30"/>
      <c r="I77" s="30"/>
    </row>
    <row r="78" spans="1:9" ht="15" customHeight="1" x14ac:dyDescent="0.25">
      <c r="A78" s="25" t="str">
        <f t="shared" si="1"/>
        <v/>
      </c>
      <c r="B78" s="26"/>
      <c r="C78" s="27"/>
      <c r="D78" s="28" t="str">
        <f>IFERROR(IF(C78="","",INDEX(마스터!$F$4:$F$20,MATCH(C78,마스터!$M$4:$M$20,0))),"")</f>
        <v/>
      </c>
      <c r="E78" s="27"/>
      <c r="F78" s="29"/>
      <c r="G78" s="25" t="str">
        <f>IFERROR(IF(C78="","",INDEX(마스터!$J$4:$J$20,MATCH(C78,마스터!$M$4:$M$20,0))),"")</f>
        <v/>
      </c>
      <c r="H78" s="30"/>
      <c r="I78" s="30"/>
    </row>
    <row r="79" spans="1:9" ht="15" customHeight="1" x14ac:dyDescent="0.25">
      <c r="A79" s="25" t="str">
        <f t="shared" si="1"/>
        <v/>
      </c>
      <c r="B79" s="26"/>
      <c r="C79" s="27"/>
      <c r="D79" s="28" t="str">
        <f>IFERROR(IF(C79="","",INDEX(마스터!$F$4:$F$20,MATCH(C79,마스터!$M$4:$M$20,0))),"")</f>
        <v/>
      </c>
      <c r="E79" s="27"/>
      <c r="F79" s="29"/>
      <c r="G79" s="25" t="str">
        <f>IFERROR(IF(C79="","",INDEX(마스터!$J$4:$J$20,MATCH(C79,마스터!$M$4:$M$20,0))),"")</f>
        <v/>
      </c>
      <c r="H79" s="30"/>
      <c r="I79" s="30"/>
    </row>
    <row r="80" spans="1:9" ht="15" customHeight="1" x14ac:dyDescent="0.25">
      <c r="A80" s="25" t="str">
        <f t="shared" si="1"/>
        <v/>
      </c>
      <c r="B80" s="26"/>
      <c r="C80" s="27"/>
      <c r="D80" s="28" t="str">
        <f>IFERROR(IF(C80="","",INDEX(마스터!$F$4:$F$20,MATCH(C80,마스터!$M$4:$M$20,0))),"")</f>
        <v/>
      </c>
      <c r="E80" s="27"/>
      <c r="F80" s="29"/>
      <c r="G80" s="25" t="str">
        <f>IFERROR(IF(C80="","",INDEX(마스터!$J$4:$J$20,MATCH(C80,마스터!$M$4:$M$20,0))),"")</f>
        <v/>
      </c>
      <c r="H80" s="30"/>
      <c r="I80" s="30"/>
    </row>
    <row r="81" spans="1:9" ht="15" customHeight="1" x14ac:dyDescent="0.25">
      <c r="A81" s="25" t="str">
        <f t="shared" si="1"/>
        <v/>
      </c>
      <c r="B81" s="26"/>
      <c r="C81" s="27"/>
      <c r="D81" s="28" t="str">
        <f>IFERROR(IF(C81="","",INDEX(마스터!$F$4:$F$20,MATCH(C81,마스터!$M$4:$M$20,0))),"")</f>
        <v/>
      </c>
      <c r="E81" s="27"/>
      <c r="F81" s="29"/>
      <c r="G81" s="25" t="str">
        <f>IFERROR(IF(C81="","",INDEX(마스터!$J$4:$J$20,MATCH(C81,마스터!$M$4:$M$20,0))),"")</f>
        <v/>
      </c>
      <c r="H81" s="30"/>
      <c r="I81" s="30"/>
    </row>
    <row r="82" spans="1:9" ht="15" customHeight="1" x14ac:dyDescent="0.25">
      <c r="A82" s="25" t="str">
        <f t="shared" si="1"/>
        <v/>
      </c>
      <c r="B82" s="26"/>
      <c r="C82" s="27"/>
      <c r="D82" s="28" t="str">
        <f>IFERROR(IF(C82="","",INDEX(마스터!$F$4:$F$20,MATCH(C82,마스터!$M$4:$M$20,0))),"")</f>
        <v/>
      </c>
      <c r="E82" s="27"/>
      <c r="F82" s="29"/>
      <c r="G82" s="25" t="str">
        <f>IFERROR(IF(C82="","",INDEX(마스터!$J$4:$J$20,MATCH(C82,마스터!$M$4:$M$20,0))),"")</f>
        <v/>
      </c>
      <c r="H82" s="30"/>
      <c r="I82" s="30"/>
    </row>
    <row r="83" spans="1:9" ht="15" customHeight="1" x14ac:dyDescent="0.25">
      <c r="A83" s="25" t="str">
        <f t="shared" si="1"/>
        <v/>
      </c>
      <c r="B83" s="26"/>
      <c r="C83" s="27"/>
      <c r="D83" s="28" t="str">
        <f>IFERROR(IF(C83="","",INDEX(마스터!$F$4:$F$20,MATCH(C83,마스터!$M$4:$M$20,0))),"")</f>
        <v/>
      </c>
      <c r="E83" s="27"/>
      <c r="F83" s="29"/>
      <c r="G83" s="25" t="str">
        <f>IFERROR(IF(C83="","",INDEX(마스터!$J$4:$J$20,MATCH(C83,마스터!$M$4:$M$20,0))),"")</f>
        <v/>
      </c>
      <c r="H83" s="30"/>
      <c r="I83" s="30"/>
    </row>
    <row r="84" spans="1:9" ht="15" customHeight="1" x14ac:dyDescent="0.25">
      <c r="A84" s="25" t="str">
        <f t="shared" si="1"/>
        <v/>
      </c>
      <c r="B84" s="26"/>
      <c r="C84" s="27"/>
      <c r="D84" s="28" t="str">
        <f>IFERROR(IF(C84="","",INDEX(마스터!$F$4:$F$20,MATCH(C84,마스터!$M$4:$M$20,0))),"")</f>
        <v/>
      </c>
      <c r="E84" s="27"/>
      <c r="F84" s="29"/>
      <c r="G84" s="25" t="str">
        <f>IFERROR(IF(C84="","",INDEX(마스터!$J$4:$J$20,MATCH(C84,마스터!$M$4:$M$20,0))),"")</f>
        <v/>
      </c>
      <c r="H84" s="30"/>
      <c r="I84" s="30"/>
    </row>
    <row r="85" spans="1:9" ht="15" customHeight="1" x14ac:dyDescent="0.25">
      <c r="A85" s="25" t="str">
        <f t="shared" si="1"/>
        <v/>
      </c>
      <c r="B85" s="26"/>
      <c r="C85" s="27"/>
      <c r="D85" s="28" t="str">
        <f>IFERROR(IF(C85="","",INDEX(마스터!$F$4:$F$20,MATCH(C85,마스터!$M$4:$M$20,0))),"")</f>
        <v/>
      </c>
      <c r="E85" s="27"/>
      <c r="F85" s="29"/>
      <c r="G85" s="25" t="str">
        <f>IFERROR(IF(C85="","",INDEX(마스터!$J$4:$J$20,MATCH(C85,마스터!$M$4:$M$20,0))),"")</f>
        <v/>
      </c>
      <c r="H85" s="30"/>
      <c r="I85" s="30"/>
    </row>
    <row r="86" spans="1:9" ht="15" customHeight="1" x14ac:dyDescent="0.25">
      <c r="A86" s="25" t="str">
        <f t="shared" si="1"/>
        <v/>
      </c>
      <c r="B86" s="26"/>
      <c r="C86" s="27"/>
      <c r="D86" s="28" t="str">
        <f>IFERROR(IF(C86="","",INDEX(마스터!$F$4:$F$20,MATCH(C86,마스터!$M$4:$M$20,0))),"")</f>
        <v/>
      </c>
      <c r="E86" s="27"/>
      <c r="F86" s="29"/>
      <c r="G86" s="25" t="str">
        <f>IFERROR(IF(C86="","",INDEX(마스터!$J$4:$J$20,MATCH(C86,마스터!$M$4:$M$20,0))),"")</f>
        <v/>
      </c>
      <c r="H86" s="30"/>
      <c r="I86" s="30"/>
    </row>
    <row r="87" spans="1:9" ht="15" customHeight="1" x14ac:dyDescent="0.25">
      <c r="A87" s="25" t="str">
        <f t="shared" si="1"/>
        <v/>
      </c>
      <c r="B87" s="26"/>
      <c r="C87" s="27"/>
      <c r="D87" s="28" t="str">
        <f>IFERROR(IF(C87="","",INDEX(마스터!$F$4:$F$20,MATCH(C87,마스터!$M$4:$M$20,0))),"")</f>
        <v/>
      </c>
      <c r="E87" s="27"/>
      <c r="F87" s="29"/>
      <c r="G87" s="25" t="str">
        <f>IFERROR(IF(C87="","",INDEX(마스터!$J$4:$J$20,MATCH(C87,마스터!$M$4:$M$20,0))),"")</f>
        <v/>
      </c>
      <c r="H87" s="30"/>
      <c r="I87" s="30"/>
    </row>
    <row r="88" spans="1:9" ht="15" customHeight="1" x14ac:dyDescent="0.25">
      <c r="A88" s="25" t="str">
        <f t="shared" si="1"/>
        <v/>
      </c>
      <c r="B88" s="26"/>
      <c r="C88" s="27"/>
      <c r="D88" s="28" t="str">
        <f>IFERROR(IF(C88="","",INDEX(마스터!$F$4:$F$20,MATCH(C88,마스터!$M$4:$M$20,0))),"")</f>
        <v/>
      </c>
      <c r="E88" s="27"/>
      <c r="F88" s="29"/>
      <c r="G88" s="25" t="str">
        <f>IFERROR(IF(C88="","",INDEX(마스터!$J$4:$J$20,MATCH(C88,마스터!$M$4:$M$20,0))),"")</f>
        <v/>
      </c>
      <c r="H88" s="30"/>
      <c r="I88" s="30"/>
    </row>
    <row r="89" spans="1:9" ht="15" customHeight="1" x14ac:dyDescent="0.25">
      <c r="A89" s="25" t="str">
        <f t="shared" si="1"/>
        <v/>
      </c>
      <c r="B89" s="26"/>
      <c r="C89" s="27"/>
      <c r="D89" s="28" t="str">
        <f>IFERROR(IF(C89="","",INDEX(마스터!$F$4:$F$20,MATCH(C89,마스터!$M$4:$M$20,0))),"")</f>
        <v/>
      </c>
      <c r="E89" s="27"/>
      <c r="F89" s="29"/>
      <c r="G89" s="25" t="str">
        <f>IFERROR(IF(C89="","",INDEX(마스터!$J$4:$J$20,MATCH(C89,마스터!$M$4:$M$20,0))),"")</f>
        <v/>
      </c>
      <c r="H89" s="30"/>
      <c r="I89" s="30"/>
    </row>
    <row r="90" spans="1:9" ht="15" customHeight="1" x14ac:dyDescent="0.25">
      <c r="A90" s="25" t="str">
        <f t="shared" si="1"/>
        <v/>
      </c>
      <c r="B90" s="26"/>
      <c r="C90" s="27"/>
      <c r="D90" s="28" t="str">
        <f>IFERROR(IF(C90="","",INDEX(마스터!$F$4:$F$20,MATCH(C90,마스터!$M$4:$M$20,0))),"")</f>
        <v/>
      </c>
      <c r="E90" s="27"/>
      <c r="F90" s="29"/>
      <c r="G90" s="25" t="str">
        <f>IFERROR(IF(C90="","",INDEX(마스터!$J$4:$J$20,MATCH(C90,마스터!$M$4:$M$20,0))),"")</f>
        <v/>
      </c>
      <c r="H90" s="30"/>
      <c r="I90" s="30"/>
    </row>
    <row r="91" spans="1:9" ht="15" customHeight="1" x14ac:dyDescent="0.25">
      <c r="A91" s="25" t="str">
        <f t="shared" si="1"/>
        <v/>
      </c>
      <c r="B91" s="26"/>
      <c r="C91" s="27"/>
      <c r="D91" s="28" t="str">
        <f>IFERROR(IF(C91="","",INDEX(마스터!$F$4:$F$20,MATCH(C91,마스터!$M$4:$M$20,0))),"")</f>
        <v/>
      </c>
      <c r="E91" s="27"/>
      <c r="F91" s="29"/>
      <c r="G91" s="25" t="str">
        <f>IFERROR(IF(C91="","",INDEX(마스터!$J$4:$J$20,MATCH(C91,마스터!$M$4:$M$20,0))),"")</f>
        <v/>
      </c>
      <c r="H91" s="30"/>
      <c r="I91" s="30"/>
    </row>
    <row r="92" spans="1:9" ht="15" customHeight="1" x14ac:dyDescent="0.25">
      <c r="A92" s="25" t="str">
        <f t="shared" si="1"/>
        <v/>
      </c>
      <c r="B92" s="26"/>
      <c r="C92" s="27"/>
      <c r="D92" s="28" t="str">
        <f>IFERROR(IF(C92="","",INDEX(마스터!$F$4:$F$20,MATCH(C92,마스터!$M$4:$M$20,0))),"")</f>
        <v/>
      </c>
      <c r="E92" s="27"/>
      <c r="F92" s="29"/>
      <c r="G92" s="25" t="str">
        <f>IFERROR(IF(C92="","",INDEX(마스터!$J$4:$J$20,MATCH(C92,마스터!$M$4:$M$20,0))),"")</f>
        <v/>
      </c>
      <c r="H92" s="30"/>
      <c r="I92" s="30"/>
    </row>
    <row r="93" spans="1:9" ht="15" customHeight="1" x14ac:dyDescent="0.25">
      <c r="A93" s="25" t="str">
        <f t="shared" si="1"/>
        <v/>
      </c>
      <c r="B93" s="26"/>
      <c r="C93" s="27"/>
      <c r="D93" s="28" t="str">
        <f>IFERROR(IF(C93="","",INDEX(마스터!$F$4:$F$20,MATCH(C93,마스터!$M$4:$M$20,0))),"")</f>
        <v/>
      </c>
      <c r="E93" s="27"/>
      <c r="F93" s="29"/>
      <c r="G93" s="25" t="str">
        <f>IFERROR(IF(C93="","",INDEX(마스터!$J$4:$J$20,MATCH(C93,마스터!$M$4:$M$20,0))),"")</f>
        <v/>
      </c>
      <c r="H93" s="30"/>
      <c r="I93" s="30"/>
    </row>
    <row r="94" spans="1:9" ht="15" customHeight="1" x14ac:dyDescent="0.25">
      <c r="A94" s="25" t="str">
        <f t="shared" si="1"/>
        <v/>
      </c>
      <c r="B94" s="26"/>
      <c r="C94" s="27"/>
      <c r="D94" s="28" t="str">
        <f>IFERROR(IF(C94="","",INDEX(마스터!$F$4:$F$20,MATCH(C94,마스터!$M$4:$M$20,0))),"")</f>
        <v/>
      </c>
      <c r="E94" s="27"/>
      <c r="F94" s="29"/>
      <c r="G94" s="25" t="str">
        <f>IFERROR(IF(C94="","",INDEX(마스터!$J$4:$J$20,MATCH(C94,마스터!$M$4:$M$20,0))),"")</f>
        <v/>
      </c>
      <c r="H94" s="30"/>
      <c r="I94" s="30"/>
    </row>
    <row r="95" spans="1:9" ht="15" customHeight="1" x14ac:dyDescent="0.25">
      <c r="A95" s="25" t="str">
        <f t="shared" si="1"/>
        <v/>
      </c>
      <c r="B95" s="26"/>
      <c r="C95" s="27"/>
      <c r="D95" s="28" t="str">
        <f>IFERROR(IF(C95="","",INDEX(마스터!$F$4:$F$20,MATCH(C95,마스터!$M$4:$M$20,0))),"")</f>
        <v/>
      </c>
      <c r="E95" s="27"/>
      <c r="F95" s="29"/>
      <c r="G95" s="25" t="str">
        <f>IFERROR(IF(C95="","",INDEX(마스터!$J$4:$J$20,MATCH(C95,마스터!$M$4:$M$20,0))),"")</f>
        <v/>
      </c>
      <c r="H95" s="30"/>
      <c r="I95" s="30"/>
    </row>
    <row r="96" spans="1:9" ht="15" customHeight="1" x14ac:dyDescent="0.25">
      <c r="A96" s="25" t="str">
        <f t="shared" si="1"/>
        <v/>
      </c>
      <c r="B96" s="26"/>
      <c r="C96" s="27"/>
      <c r="D96" s="28" t="str">
        <f>IFERROR(IF(C96="","",INDEX(마스터!$F$4:$F$20,MATCH(C96,마스터!$M$4:$M$20,0))),"")</f>
        <v/>
      </c>
      <c r="E96" s="27"/>
      <c r="F96" s="29"/>
      <c r="G96" s="25" t="str">
        <f>IFERROR(IF(C96="","",INDEX(마스터!$J$4:$J$20,MATCH(C96,마스터!$M$4:$M$20,0))),"")</f>
        <v/>
      </c>
      <c r="H96" s="30"/>
      <c r="I96" s="30"/>
    </row>
    <row r="97" spans="1:9" ht="15" customHeight="1" x14ac:dyDescent="0.25">
      <c r="A97" s="25" t="str">
        <f t="shared" si="1"/>
        <v/>
      </c>
      <c r="B97" s="26"/>
      <c r="C97" s="27"/>
      <c r="D97" s="28" t="str">
        <f>IFERROR(IF(C97="","",INDEX(마스터!$F$4:$F$20,MATCH(C97,마스터!$M$4:$M$20,0))),"")</f>
        <v/>
      </c>
      <c r="E97" s="27"/>
      <c r="F97" s="29"/>
      <c r="G97" s="25" t="str">
        <f>IFERROR(IF(C97="","",INDEX(마스터!$J$4:$J$20,MATCH(C97,마스터!$M$4:$M$20,0))),"")</f>
        <v/>
      </c>
      <c r="H97" s="30"/>
      <c r="I97" s="30"/>
    </row>
    <row r="98" spans="1:9" ht="15" customHeight="1" x14ac:dyDescent="0.25">
      <c r="A98" s="25" t="str">
        <f t="shared" si="1"/>
        <v/>
      </c>
      <c r="B98" s="26"/>
      <c r="C98" s="27"/>
      <c r="D98" s="28" t="str">
        <f>IFERROR(IF(C98="","",INDEX(마스터!$F$4:$F$20,MATCH(C98,마스터!$M$4:$M$20,0))),"")</f>
        <v/>
      </c>
      <c r="E98" s="27"/>
      <c r="F98" s="29"/>
      <c r="G98" s="25" t="str">
        <f>IFERROR(IF(C98="","",INDEX(마스터!$J$4:$J$20,MATCH(C98,마스터!$M$4:$M$20,0))),"")</f>
        <v/>
      </c>
      <c r="H98" s="30"/>
      <c r="I98" s="30"/>
    </row>
    <row r="99" spans="1:9" ht="15" customHeight="1" x14ac:dyDescent="0.25">
      <c r="A99" s="25" t="str">
        <f t="shared" si="1"/>
        <v/>
      </c>
      <c r="B99" s="26"/>
      <c r="C99" s="27"/>
      <c r="D99" s="28" t="str">
        <f>IFERROR(IF(C99="","",INDEX(마스터!$F$4:$F$20,MATCH(C99,마스터!$M$4:$M$20,0))),"")</f>
        <v/>
      </c>
      <c r="E99" s="27"/>
      <c r="F99" s="29"/>
      <c r="G99" s="25" t="str">
        <f>IFERROR(IF(C99="","",INDEX(마스터!$J$4:$J$20,MATCH(C99,마스터!$M$4:$M$20,0))),"")</f>
        <v/>
      </c>
      <c r="H99" s="30"/>
      <c r="I99" s="30"/>
    </row>
    <row r="100" spans="1:9" ht="15" customHeight="1" x14ac:dyDescent="0.25">
      <c r="A100" s="25" t="str">
        <f t="shared" si="1"/>
        <v/>
      </c>
      <c r="B100" s="26"/>
      <c r="C100" s="27"/>
      <c r="D100" s="28" t="str">
        <f>IFERROR(IF(C100="","",INDEX(마스터!$F$4:$F$20,MATCH(C100,마스터!$M$4:$M$20,0))),"")</f>
        <v/>
      </c>
      <c r="E100" s="27"/>
      <c r="F100" s="29"/>
      <c r="G100" s="25" t="str">
        <f>IFERROR(IF(C100="","",INDEX(마스터!$J$4:$J$20,MATCH(C100,마스터!$M$4:$M$20,0))),"")</f>
        <v/>
      </c>
      <c r="H100" s="30"/>
      <c r="I100" s="30"/>
    </row>
    <row r="101" spans="1:9" ht="15" customHeight="1" x14ac:dyDescent="0.25">
      <c r="A101" s="25" t="str">
        <f t="shared" si="1"/>
        <v/>
      </c>
      <c r="B101" s="26"/>
      <c r="C101" s="27"/>
      <c r="D101" s="28" t="str">
        <f>IFERROR(IF(C101="","",INDEX(마스터!$F$4:$F$20,MATCH(C101,마스터!$M$4:$M$20,0))),"")</f>
        <v/>
      </c>
      <c r="E101" s="27"/>
      <c r="F101" s="29"/>
      <c r="G101" s="25" t="str">
        <f>IFERROR(IF(C101="","",INDEX(마스터!$J$4:$J$20,MATCH(C101,마스터!$M$4:$M$20,0))),"")</f>
        <v/>
      </c>
      <c r="H101" s="30"/>
      <c r="I101" s="30"/>
    </row>
    <row r="102" spans="1:9" ht="15" customHeight="1" x14ac:dyDescent="0.25">
      <c r="A102" s="25" t="str">
        <f t="shared" si="1"/>
        <v/>
      </c>
      <c r="B102" s="26"/>
      <c r="C102" s="27"/>
      <c r="D102" s="28" t="str">
        <f>IFERROR(IF(C102="","",INDEX(마스터!$F$4:$F$20,MATCH(C102,마스터!$M$4:$M$20,0))),"")</f>
        <v/>
      </c>
      <c r="E102" s="27"/>
      <c r="F102" s="29"/>
      <c r="G102" s="25" t="str">
        <f>IFERROR(IF(C102="","",INDEX(마스터!$J$4:$J$20,MATCH(C102,마스터!$M$4:$M$20,0))),"")</f>
        <v/>
      </c>
      <c r="H102" s="30"/>
      <c r="I102" s="30"/>
    </row>
    <row r="103" spans="1:9" ht="15" customHeight="1" x14ac:dyDescent="0.25">
      <c r="A103" s="25" t="str">
        <f t="shared" si="1"/>
        <v/>
      </c>
      <c r="B103" s="26"/>
      <c r="C103" s="27"/>
      <c r="D103" s="28" t="str">
        <f>IFERROR(IF(C103="","",INDEX(마스터!$F$4:$F$20,MATCH(C103,마스터!$M$4:$M$20,0))),"")</f>
        <v/>
      </c>
      <c r="E103" s="27"/>
      <c r="F103" s="29"/>
      <c r="G103" s="25" t="str">
        <f>IFERROR(IF(C103="","",INDEX(마스터!$J$4:$J$20,MATCH(C103,마스터!$M$4:$M$20,0))),"")</f>
        <v/>
      </c>
      <c r="H103" s="30"/>
      <c r="I103" s="30"/>
    </row>
    <row r="104" spans="1:9" ht="15" customHeight="1" x14ac:dyDescent="0.25">
      <c r="A104" s="25" t="str">
        <f t="shared" si="1"/>
        <v/>
      </c>
      <c r="B104" s="26"/>
      <c r="C104" s="27"/>
      <c r="D104" s="28" t="str">
        <f>IFERROR(IF(C104="","",INDEX(마스터!$F$4:$F$20,MATCH(C104,마스터!$M$4:$M$20,0))),"")</f>
        <v/>
      </c>
      <c r="E104" s="27"/>
      <c r="F104" s="29"/>
      <c r="G104" s="25" t="str">
        <f>IFERROR(IF(C104="","",INDEX(마스터!$J$4:$J$20,MATCH(C104,마스터!$M$4:$M$20,0))),"")</f>
        <v/>
      </c>
      <c r="H104" s="30"/>
      <c r="I104" s="30"/>
    </row>
    <row r="105" spans="1:9" ht="15" customHeight="1" x14ac:dyDescent="0.25">
      <c r="A105" s="25" t="str">
        <f t="shared" si="1"/>
        <v/>
      </c>
      <c r="B105" s="26"/>
      <c r="C105" s="27"/>
      <c r="D105" s="28" t="str">
        <f>IFERROR(IF(C105="","",INDEX(마스터!$F$4:$F$20,MATCH(C105,마스터!$M$4:$M$20,0))),"")</f>
        <v/>
      </c>
      <c r="E105" s="27"/>
      <c r="F105" s="29"/>
      <c r="G105" s="25" t="str">
        <f>IFERROR(IF(C105="","",INDEX(마스터!$J$4:$J$20,MATCH(C105,마스터!$M$4:$M$20,0))),"")</f>
        <v/>
      </c>
      <c r="H105" s="30"/>
      <c r="I105" s="30"/>
    </row>
    <row r="106" spans="1:9" ht="15" customHeight="1" x14ac:dyDescent="0.25">
      <c r="A106" s="25" t="str">
        <f t="shared" si="1"/>
        <v/>
      </c>
      <c r="B106" s="26"/>
      <c r="C106" s="27"/>
      <c r="D106" s="28" t="str">
        <f>IFERROR(IF(C106="","",INDEX(마스터!$F$4:$F$20,MATCH(C106,마스터!$M$4:$M$20,0))),"")</f>
        <v/>
      </c>
      <c r="E106" s="27"/>
      <c r="F106" s="29"/>
      <c r="G106" s="25" t="str">
        <f>IFERROR(IF(C106="","",INDEX(마스터!$J$4:$J$20,MATCH(C106,마스터!$M$4:$M$20,0))),"")</f>
        <v/>
      </c>
      <c r="H106" s="30"/>
      <c r="I106" s="30"/>
    </row>
    <row r="107" spans="1:9" ht="15" customHeight="1" x14ac:dyDescent="0.25">
      <c r="A107" s="25" t="str">
        <f t="shared" si="1"/>
        <v/>
      </c>
      <c r="B107" s="26"/>
      <c r="C107" s="27"/>
      <c r="D107" s="28" t="str">
        <f>IFERROR(IF(C107="","",INDEX(마스터!$F$4:$F$20,MATCH(C107,마스터!$M$4:$M$20,0))),"")</f>
        <v/>
      </c>
      <c r="E107" s="27"/>
      <c r="F107" s="29"/>
      <c r="G107" s="25" t="str">
        <f>IFERROR(IF(C107="","",INDEX(마스터!$J$4:$J$20,MATCH(C107,마스터!$M$4:$M$20,0))),"")</f>
        <v/>
      </c>
      <c r="H107" s="30"/>
      <c r="I107" s="30"/>
    </row>
    <row r="108" spans="1:9" ht="15" customHeight="1" x14ac:dyDescent="0.25">
      <c r="A108" s="25" t="str">
        <f t="shared" si="1"/>
        <v/>
      </c>
      <c r="B108" s="26"/>
      <c r="C108" s="27"/>
      <c r="D108" s="28" t="str">
        <f>IFERROR(IF(C108="","",INDEX(마스터!$F$4:$F$20,MATCH(C108,마스터!$M$4:$M$20,0))),"")</f>
        <v/>
      </c>
      <c r="E108" s="27"/>
      <c r="F108" s="29"/>
      <c r="G108" s="25" t="str">
        <f>IFERROR(IF(C108="","",INDEX(마스터!$J$4:$J$20,MATCH(C108,마스터!$M$4:$M$20,0))),"")</f>
        <v/>
      </c>
      <c r="H108" s="30"/>
      <c r="I108" s="30"/>
    </row>
    <row r="109" spans="1:9" ht="15" customHeight="1" x14ac:dyDescent="0.25">
      <c r="A109" s="25" t="str">
        <f t="shared" si="1"/>
        <v/>
      </c>
      <c r="B109" s="26"/>
      <c r="C109" s="27"/>
      <c r="D109" s="28" t="str">
        <f>IFERROR(IF(C109="","",INDEX(마스터!$F$4:$F$20,MATCH(C109,마스터!$M$4:$M$20,0))),"")</f>
        <v/>
      </c>
      <c r="E109" s="27"/>
      <c r="F109" s="29"/>
      <c r="G109" s="25" t="str">
        <f>IFERROR(IF(C109="","",INDEX(마스터!$J$4:$J$20,MATCH(C109,마스터!$M$4:$M$20,0))),"")</f>
        <v/>
      </c>
      <c r="H109" s="30"/>
      <c r="I109" s="30"/>
    </row>
    <row r="110" spans="1:9" ht="15" customHeight="1" x14ac:dyDescent="0.25">
      <c r="A110" s="25" t="str">
        <f t="shared" si="1"/>
        <v/>
      </c>
      <c r="B110" s="26"/>
      <c r="C110" s="27"/>
      <c r="D110" s="28" t="str">
        <f>IFERROR(IF(C110="","",INDEX(마스터!$F$4:$F$20,MATCH(C110,마스터!$M$4:$M$20,0))),"")</f>
        <v/>
      </c>
      <c r="E110" s="27"/>
      <c r="F110" s="29"/>
      <c r="G110" s="25" t="str">
        <f>IFERROR(IF(C110="","",INDEX(마스터!$J$4:$J$20,MATCH(C110,마스터!$M$4:$M$20,0))),"")</f>
        <v/>
      </c>
      <c r="H110" s="30"/>
      <c r="I110" s="30"/>
    </row>
    <row r="111" spans="1:9" ht="15" customHeight="1" x14ac:dyDescent="0.25">
      <c r="A111" s="25" t="str">
        <f t="shared" si="1"/>
        <v/>
      </c>
      <c r="B111" s="26"/>
      <c r="C111" s="27"/>
      <c r="D111" s="28" t="str">
        <f>IFERROR(IF(C111="","",INDEX(마스터!$F$4:$F$20,MATCH(C111,마스터!$M$4:$M$20,0))),"")</f>
        <v/>
      </c>
      <c r="E111" s="27"/>
      <c r="F111" s="29"/>
      <c r="G111" s="25" t="str">
        <f>IFERROR(IF(C111="","",INDEX(마스터!$J$4:$J$20,MATCH(C111,마스터!$M$4:$M$20,0))),"")</f>
        <v/>
      </c>
      <c r="H111" s="30"/>
      <c r="I111" s="30"/>
    </row>
    <row r="112" spans="1:9" ht="15" customHeight="1" x14ac:dyDescent="0.25">
      <c r="A112" s="25" t="str">
        <f t="shared" si="1"/>
        <v/>
      </c>
      <c r="B112" s="26"/>
      <c r="C112" s="27"/>
      <c r="D112" s="28" t="str">
        <f>IFERROR(IF(C112="","",INDEX(마스터!$F$4:$F$20,MATCH(C112,마스터!$M$4:$M$20,0))),"")</f>
        <v/>
      </c>
      <c r="E112" s="27"/>
      <c r="F112" s="29"/>
      <c r="G112" s="25" t="str">
        <f>IFERROR(IF(C112="","",INDEX(마스터!$J$4:$J$20,MATCH(C112,마스터!$M$4:$M$20,0))),"")</f>
        <v/>
      </c>
      <c r="H112" s="30"/>
      <c r="I112" s="30"/>
    </row>
    <row r="113" spans="1:9" ht="15" customHeight="1" x14ac:dyDescent="0.25">
      <c r="A113" s="25" t="str">
        <f t="shared" si="1"/>
        <v/>
      </c>
      <c r="B113" s="26"/>
      <c r="C113" s="27"/>
      <c r="D113" s="28" t="str">
        <f>IFERROR(IF(C113="","",INDEX(마스터!$F$4:$F$20,MATCH(C113,마스터!$M$4:$M$20,0))),"")</f>
        <v/>
      </c>
      <c r="E113" s="27"/>
      <c r="F113" s="29"/>
      <c r="G113" s="25" t="str">
        <f>IFERROR(IF(C113="","",INDEX(마스터!$J$4:$J$20,MATCH(C113,마스터!$M$4:$M$20,0))),"")</f>
        <v/>
      </c>
      <c r="H113" s="30"/>
      <c r="I113" s="30"/>
    </row>
    <row r="114" spans="1:9" ht="15" customHeight="1" x14ac:dyDescent="0.25">
      <c r="A114" s="25" t="str">
        <f t="shared" si="1"/>
        <v/>
      </c>
      <c r="B114" s="26"/>
      <c r="C114" s="27"/>
      <c r="D114" s="28" t="str">
        <f>IFERROR(IF(C114="","",INDEX(마스터!$F$4:$F$20,MATCH(C114,마스터!$M$4:$M$20,0))),"")</f>
        <v/>
      </c>
      <c r="E114" s="27"/>
      <c r="F114" s="29"/>
      <c r="G114" s="25" t="str">
        <f>IFERROR(IF(C114="","",INDEX(마스터!$J$4:$J$20,MATCH(C114,마스터!$M$4:$M$20,0))),"")</f>
        <v/>
      </c>
      <c r="H114" s="30"/>
      <c r="I114" s="30"/>
    </row>
    <row r="115" spans="1:9" ht="15" customHeight="1" x14ac:dyDescent="0.25">
      <c r="A115" s="25" t="str">
        <f t="shared" si="1"/>
        <v/>
      </c>
      <c r="B115" s="26"/>
      <c r="C115" s="27"/>
      <c r="D115" s="28" t="str">
        <f>IFERROR(IF(C115="","",INDEX(마스터!$F$4:$F$20,MATCH(C115,마스터!$M$4:$M$20,0))),"")</f>
        <v/>
      </c>
      <c r="E115" s="27"/>
      <c r="F115" s="29"/>
      <c r="G115" s="25" t="str">
        <f>IFERROR(IF(C115="","",INDEX(마스터!$J$4:$J$20,MATCH(C115,마스터!$M$4:$M$20,0))),"")</f>
        <v/>
      </c>
      <c r="H115" s="30"/>
      <c r="I115" s="30"/>
    </row>
    <row r="116" spans="1:9" ht="15" customHeight="1" x14ac:dyDescent="0.25">
      <c r="A116" s="25" t="str">
        <f t="shared" si="1"/>
        <v/>
      </c>
      <c r="B116" s="26"/>
      <c r="C116" s="27"/>
      <c r="D116" s="28" t="str">
        <f>IFERROR(IF(C116="","",INDEX(마스터!$F$4:$F$20,MATCH(C116,마스터!$M$4:$M$20,0))),"")</f>
        <v/>
      </c>
      <c r="E116" s="27"/>
      <c r="F116" s="29"/>
      <c r="G116" s="25" t="str">
        <f>IFERROR(IF(C116="","",INDEX(마스터!$J$4:$J$20,MATCH(C116,마스터!$M$4:$M$20,0))),"")</f>
        <v/>
      </c>
      <c r="H116" s="30"/>
      <c r="I116" s="30"/>
    </row>
    <row r="117" spans="1:9" ht="15" customHeight="1" x14ac:dyDescent="0.25">
      <c r="A117" s="25" t="str">
        <f t="shared" si="1"/>
        <v/>
      </c>
      <c r="B117" s="26"/>
      <c r="C117" s="27"/>
      <c r="D117" s="28" t="str">
        <f>IFERROR(IF(C117="","",INDEX(마스터!$F$4:$F$20,MATCH(C117,마스터!$M$4:$M$20,0))),"")</f>
        <v/>
      </c>
      <c r="E117" s="27"/>
      <c r="F117" s="29"/>
      <c r="G117" s="25" t="str">
        <f>IFERROR(IF(C117="","",INDEX(마스터!$J$4:$J$20,MATCH(C117,마스터!$M$4:$M$20,0))),"")</f>
        <v/>
      </c>
      <c r="H117" s="30"/>
      <c r="I117" s="30"/>
    </row>
    <row r="118" spans="1:9" ht="15" customHeight="1" x14ac:dyDescent="0.25">
      <c r="A118" s="25" t="str">
        <f t="shared" si="1"/>
        <v/>
      </c>
      <c r="B118" s="26"/>
      <c r="C118" s="27"/>
      <c r="D118" s="28" t="str">
        <f>IFERROR(IF(C118="","",INDEX(마스터!$F$4:$F$20,MATCH(C118,마스터!$M$4:$M$20,0))),"")</f>
        <v/>
      </c>
      <c r="E118" s="27"/>
      <c r="F118" s="29"/>
      <c r="G118" s="25" t="str">
        <f>IFERROR(IF(C118="","",INDEX(마스터!$J$4:$J$20,MATCH(C118,마스터!$M$4:$M$20,0))),"")</f>
        <v/>
      </c>
      <c r="H118" s="30"/>
      <c r="I118" s="30"/>
    </row>
    <row r="119" spans="1:9" ht="15" customHeight="1" x14ac:dyDescent="0.25">
      <c r="A119" s="25" t="str">
        <f t="shared" si="1"/>
        <v/>
      </c>
      <c r="B119" s="26"/>
      <c r="C119" s="27"/>
      <c r="D119" s="28" t="str">
        <f>IFERROR(IF(C119="","",INDEX(마스터!$F$4:$F$20,MATCH(C119,마스터!$M$4:$M$20,0))),"")</f>
        <v/>
      </c>
      <c r="E119" s="27"/>
      <c r="F119" s="29"/>
      <c r="G119" s="25" t="str">
        <f>IFERROR(IF(C119="","",INDEX(마스터!$J$4:$J$20,MATCH(C119,마스터!$M$4:$M$20,0))),"")</f>
        <v/>
      </c>
      <c r="H119" s="30"/>
      <c r="I119" s="30"/>
    </row>
    <row r="120" spans="1:9" ht="15" customHeight="1" x14ac:dyDescent="0.25">
      <c r="A120" s="25" t="str">
        <f t="shared" si="1"/>
        <v/>
      </c>
      <c r="B120" s="26"/>
      <c r="C120" s="27"/>
      <c r="D120" s="28" t="str">
        <f>IFERROR(IF(C120="","",INDEX(마스터!$F$4:$F$20,MATCH(C120,마스터!$M$4:$M$20,0))),"")</f>
        <v/>
      </c>
      <c r="E120" s="27"/>
      <c r="F120" s="29"/>
      <c r="G120" s="25" t="str">
        <f>IFERROR(IF(C120="","",INDEX(마스터!$J$4:$J$20,MATCH(C120,마스터!$M$4:$M$20,0))),"")</f>
        <v/>
      </c>
      <c r="H120" s="30"/>
      <c r="I120" s="30"/>
    </row>
    <row r="121" spans="1:9" ht="15" customHeight="1" x14ac:dyDescent="0.25">
      <c r="A121" s="25" t="str">
        <f t="shared" si="1"/>
        <v/>
      </c>
      <c r="B121" s="26"/>
      <c r="C121" s="27"/>
      <c r="D121" s="28" t="str">
        <f>IFERROR(IF(C121="","",INDEX(마스터!$F$4:$F$20,MATCH(C121,마스터!$M$4:$M$20,0))),"")</f>
        <v/>
      </c>
      <c r="E121" s="27"/>
      <c r="F121" s="29"/>
      <c r="G121" s="25" t="str">
        <f>IFERROR(IF(C121="","",INDEX(마스터!$J$4:$J$20,MATCH(C121,마스터!$M$4:$M$20,0))),"")</f>
        <v/>
      </c>
      <c r="H121" s="30"/>
      <c r="I121" s="30"/>
    </row>
    <row r="122" spans="1:9" ht="15" customHeight="1" x14ac:dyDescent="0.25">
      <c r="A122" s="25" t="str">
        <f t="shared" si="1"/>
        <v/>
      </c>
      <c r="B122" s="26"/>
      <c r="C122" s="27"/>
      <c r="D122" s="28" t="str">
        <f>IFERROR(IF(C122="","",INDEX(마스터!$F$4:$F$20,MATCH(C122,마스터!$M$4:$M$20,0))),"")</f>
        <v/>
      </c>
      <c r="E122" s="27"/>
      <c r="F122" s="29"/>
      <c r="G122" s="25" t="str">
        <f>IFERROR(IF(C122="","",INDEX(마스터!$J$4:$J$20,MATCH(C122,마스터!$M$4:$M$20,0))),"")</f>
        <v/>
      </c>
      <c r="H122" s="30"/>
      <c r="I122" s="30"/>
    </row>
    <row r="123" spans="1:9" ht="15" customHeight="1" x14ac:dyDescent="0.25">
      <c r="A123" s="25" t="str">
        <f t="shared" si="1"/>
        <v/>
      </c>
      <c r="B123" s="26"/>
      <c r="C123" s="27"/>
      <c r="D123" s="28" t="str">
        <f>IFERROR(IF(C123="","",INDEX(마스터!$F$4:$F$20,MATCH(C123,마스터!$M$4:$M$20,0))),"")</f>
        <v/>
      </c>
      <c r="E123" s="27"/>
      <c r="F123" s="29"/>
      <c r="G123" s="25" t="str">
        <f>IFERROR(IF(C123="","",INDEX(마스터!$J$4:$J$20,MATCH(C123,마스터!$M$4:$M$20,0))),"")</f>
        <v/>
      </c>
      <c r="H123" s="30"/>
      <c r="I123" s="30"/>
    </row>
    <row r="124" spans="1:9" ht="15" customHeight="1" x14ac:dyDescent="0.25">
      <c r="A124" s="25" t="str">
        <f t="shared" si="1"/>
        <v/>
      </c>
      <c r="B124" s="26"/>
      <c r="C124" s="27"/>
      <c r="D124" s="28" t="str">
        <f>IFERROR(IF(C124="","",INDEX(마스터!$F$4:$F$20,MATCH(C124,마스터!$M$4:$M$20,0))),"")</f>
        <v/>
      </c>
      <c r="E124" s="27"/>
      <c r="F124" s="29"/>
      <c r="G124" s="25" t="str">
        <f>IFERROR(IF(C124="","",INDEX(마스터!$J$4:$J$20,MATCH(C124,마스터!$M$4:$M$20,0))),"")</f>
        <v/>
      </c>
      <c r="H124" s="30"/>
      <c r="I124" s="30"/>
    </row>
    <row r="125" spans="1:9" ht="15" customHeight="1" x14ac:dyDescent="0.25">
      <c r="A125" s="25" t="str">
        <f t="shared" si="1"/>
        <v/>
      </c>
      <c r="B125" s="26"/>
      <c r="C125" s="27"/>
      <c r="D125" s="28" t="str">
        <f>IFERROR(IF(C125="","",INDEX(마스터!$F$4:$F$20,MATCH(C125,마스터!$M$4:$M$20,0))),"")</f>
        <v/>
      </c>
      <c r="E125" s="27"/>
      <c r="F125" s="29"/>
      <c r="G125" s="25" t="str">
        <f>IFERROR(IF(C125="","",INDEX(마스터!$J$4:$J$20,MATCH(C125,마스터!$M$4:$M$20,0))),"")</f>
        <v/>
      </c>
      <c r="H125" s="30"/>
      <c r="I125" s="30"/>
    </row>
    <row r="126" spans="1:9" ht="15" customHeight="1" x14ac:dyDescent="0.25">
      <c r="A126" s="25" t="str">
        <f t="shared" si="1"/>
        <v/>
      </c>
      <c r="B126" s="26"/>
      <c r="C126" s="27"/>
      <c r="D126" s="28" t="str">
        <f>IFERROR(IF(C126="","",INDEX(마스터!$F$4:$F$20,MATCH(C126,마스터!$M$4:$M$20,0))),"")</f>
        <v/>
      </c>
      <c r="E126" s="27"/>
      <c r="F126" s="29"/>
      <c r="G126" s="25" t="str">
        <f>IFERROR(IF(C126="","",INDEX(마스터!$J$4:$J$20,MATCH(C126,마스터!$M$4:$M$20,0))),"")</f>
        <v/>
      </c>
      <c r="H126" s="30"/>
      <c r="I126" s="30"/>
    </row>
    <row r="127" spans="1:9" ht="15" customHeight="1" x14ac:dyDescent="0.25">
      <c r="A127" s="25" t="str">
        <f t="shared" si="1"/>
        <v/>
      </c>
      <c r="B127" s="26"/>
      <c r="C127" s="27"/>
      <c r="D127" s="28" t="str">
        <f>IFERROR(IF(C127="","",INDEX(마스터!$F$4:$F$20,MATCH(C127,마스터!$M$4:$M$20,0))),"")</f>
        <v/>
      </c>
      <c r="E127" s="27"/>
      <c r="F127" s="29"/>
      <c r="G127" s="25" t="str">
        <f>IFERROR(IF(C127="","",INDEX(마스터!$J$4:$J$20,MATCH(C127,마스터!$M$4:$M$20,0))),"")</f>
        <v/>
      </c>
      <c r="H127" s="30"/>
      <c r="I127" s="30"/>
    </row>
    <row r="128" spans="1:9" ht="15" customHeight="1" x14ac:dyDescent="0.25">
      <c r="A128" s="25" t="str">
        <f t="shared" si="1"/>
        <v/>
      </c>
      <c r="B128" s="26"/>
      <c r="C128" s="27"/>
      <c r="D128" s="28" t="str">
        <f>IFERROR(IF(C128="","",INDEX(마스터!$F$4:$F$20,MATCH(C128,마스터!$M$4:$M$20,0))),"")</f>
        <v/>
      </c>
      <c r="E128" s="27"/>
      <c r="F128" s="29"/>
      <c r="G128" s="25" t="str">
        <f>IFERROR(IF(C128="","",INDEX(마스터!$J$4:$J$20,MATCH(C128,마스터!$M$4:$M$20,0))),"")</f>
        <v/>
      </c>
      <c r="H128" s="30"/>
      <c r="I128" s="30"/>
    </row>
    <row r="129" spans="1:9" ht="15" customHeight="1" x14ac:dyDescent="0.25">
      <c r="A129" s="25" t="str">
        <f t="shared" si="1"/>
        <v/>
      </c>
      <c r="B129" s="26"/>
      <c r="C129" s="27"/>
      <c r="D129" s="28" t="str">
        <f>IFERROR(IF(C129="","",INDEX(마스터!$F$4:$F$20,MATCH(C129,마스터!$M$4:$M$20,0))),"")</f>
        <v/>
      </c>
      <c r="E129" s="27"/>
      <c r="F129" s="29"/>
      <c r="G129" s="25" t="str">
        <f>IFERROR(IF(C129="","",INDEX(마스터!$J$4:$J$20,MATCH(C129,마스터!$M$4:$M$20,0))),"")</f>
        <v/>
      </c>
      <c r="H129" s="30"/>
      <c r="I129" s="30"/>
    </row>
    <row r="130" spans="1:9" ht="15" customHeight="1" x14ac:dyDescent="0.25">
      <c r="A130" s="25" t="str">
        <f t="shared" si="1"/>
        <v/>
      </c>
      <c r="B130" s="26"/>
      <c r="C130" s="27"/>
      <c r="D130" s="28" t="str">
        <f>IFERROR(IF(C130="","",INDEX(마스터!$F$4:$F$20,MATCH(C130,마스터!$M$4:$M$20,0))),"")</f>
        <v/>
      </c>
      <c r="E130" s="27"/>
      <c r="F130" s="29"/>
      <c r="G130" s="25" t="str">
        <f>IFERROR(IF(C130="","",INDEX(마스터!$J$4:$J$20,MATCH(C130,마스터!$M$4:$M$20,0))),"")</f>
        <v/>
      </c>
      <c r="H130" s="30"/>
      <c r="I130" s="30"/>
    </row>
    <row r="131" spans="1:9" ht="15" customHeight="1" x14ac:dyDescent="0.25">
      <c r="A131" s="25" t="str">
        <f t="shared" si="1"/>
        <v/>
      </c>
      <c r="B131" s="26"/>
      <c r="C131" s="27"/>
      <c r="D131" s="28" t="str">
        <f>IFERROR(IF(C131="","",INDEX(마스터!$F$4:$F$20,MATCH(C131,마스터!$M$4:$M$20,0))),"")</f>
        <v/>
      </c>
      <c r="E131" s="27"/>
      <c r="F131" s="29"/>
      <c r="G131" s="25" t="str">
        <f>IFERROR(IF(C131="","",INDEX(마스터!$J$4:$J$20,MATCH(C131,마스터!$M$4:$M$20,0))),"")</f>
        <v/>
      </c>
      <c r="H131" s="30"/>
      <c r="I131" s="30"/>
    </row>
    <row r="132" spans="1:9" ht="15" customHeight="1" x14ac:dyDescent="0.25">
      <c r="A132" s="25" t="str">
        <f t="shared" si="1"/>
        <v/>
      </c>
      <c r="B132" s="26"/>
      <c r="C132" s="27"/>
      <c r="D132" s="28" t="str">
        <f>IFERROR(IF(C132="","",INDEX(마스터!$F$4:$F$20,MATCH(C132,마스터!$M$4:$M$20,0))),"")</f>
        <v/>
      </c>
      <c r="E132" s="27"/>
      <c r="F132" s="29"/>
      <c r="G132" s="25" t="str">
        <f>IFERROR(IF(C132="","",INDEX(마스터!$J$4:$J$20,MATCH(C132,마스터!$M$4:$M$20,0))),"")</f>
        <v/>
      </c>
      <c r="H132" s="30"/>
      <c r="I132" s="30"/>
    </row>
    <row r="133" spans="1:9" ht="15" customHeight="1" x14ac:dyDescent="0.25">
      <c r="A133" s="25" t="str">
        <f t="shared" si="1"/>
        <v/>
      </c>
      <c r="B133" s="26"/>
      <c r="C133" s="27"/>
      <c r="D133" s="28" t="str">
        <f>IFERROR(IF(C133="","",INDEX(마스터!$F$4:$F$20,MATCH(C133,마스터!$M$4:$M$20,0))),"")</f>
        <v/>
      </c>
      <c r="E133" s="27"/>
      <c r="F133" s="29"/>
      <c r="G133" s="25" t="str">
        <f>IFERROR(IF(C133="","",INDEX(마스터!$J$4:$J$20,MATCH(C133,마스터!$M$4:$M$20,0))),"")</f>
        <v/>
      </c>
      <c r="H133" s="30"/>
      <c r="I133" s="30"/>
    </row>
    <row r="134" spans="1:9" ht="15" customHeight="1" x14ac:dyDescent="0.25">
      <c r="A134" s="25" t="str">
        <f t="shared" si="1"/>
        <v/>
      </c>
      <c r="B134" s="26"/>
      <c r="C134" s="27"/>
      <c r="D134" s="28" t="str">
        <f>IFERROR(IF(C134="","",INDEX(마스터!$F$4:$F$20,MATCH(C134,마스터!$M$4:$M$20,0))),"")</f>
        <v/>
      </c>
      <c r="E134" s="27"/>
      <c r="F134" s="29"/>
      <c r="G134" s="25" t="str">
        <f>IFERROR(IF(C134="","",INDEX(마스터!$J$4:$J$20,MATCH(C134,마스터!$M$4:$M$20,0))),"")</f>
        <v/>
      </c>
      <c r="H134" s="30"/>
      <c r="I134" s="30"/>
    </row>
    <row r="135" spans="1:9" ht="15" customHeight="1" x14ac:dyDescent="0.25">
      <c r="A135" s="25" t="str">
        <f t="shared" si="1"/>
        <v/>
      </c>
      <c r="B135" s="26"/>
      <c r="C135" s="27"/>
      <c r="D135" s="28" t="str">
        <f>IFERROR(IF(C135="","",INDEX(마스터!$F$4:$F$20,MATCH(C135,마스터!$M$4:$M$20,0))),"")</f>
        <v/>
      </c>
      <c r="E135" s="27"/>
      <c r="F135" s="29"/>
      <c r="G135" s="25" t="str">
        <f>IFERROR(IF(C135="","",INDEX(마스터!$J$4:$J$20,MATCH(C135,마스터!$M$4:$M$20,0))),"")</f>
        <v/>
      </c>
      <c r="H135" s="30"/>
      <c r="I135" s="30"/>
    </row>
    <row r="136" spans="1:9" ht="15" customHeight="1" x14ac:dyDescent="0.25">
      <c r="A136" s="25" t="str">
        <f t="shared" ref="A136:A199" si="2">IF(B136="","",ROW()-7)</f>
        <v/>
      </c>
      <c r="B136" s="26"/>
      <c r="C136" s="27"/>
      <c r="D136" s="28" t="str">
        <f>IFERROR(IF(C136="","",INDEX(마스터!$F$4:$F$20,MATCH(C136,마스터!$M$4:$M$20,0))),"")</f>
        <v/>
      </c>
      <c r="E136" s="27"/>
      <c r="F136" s="29"/>
      <c r="G136" s="25" t="str">
        <f>IFERROR(IF(C136="","",INDEX(마스터!$J$4:$J$20,MATCH(C136,마스터!$M$4:$M$20,0))),"")</f>
        <v/>
      </c>
      <c r="H136" s="30"/>
      <c r="I136" s="30"/>
    </row>
    <row r="137" spans="1:9" ht="15" customHeight="1" x14ac:dyDescent="0.25">
      <c r="A137" s="25" t="str">
        <f t="shared" si="2"/>
        <v/>
      </c>
      <c r="B137" s="26"/>
      <c r="C137" s="27"/>
      <c r="D137" s="28" t="str">
        <f>IFERROR(IF(C137="","",INDEX(마스터!$F$4:$F$20,MATCH(C137,마스터!$M$4:$M$20,0))),"")</f>
        <v/>
      </c>
      <c r="E137" s="27"/>
      <c r="F137" s="29"/>
      <c r="G137" s="25" t="str">
        <f>IFERROR(IF(C137="","",INDEX(마스터!$J$4:$J$20,MATCH(C137,마스터!$M$4:$M$20,0))),"")</f>
        <v/>
      </c>
      <c r="H137" s="30"/>
      <c r="I137" s="30"/>
    </row>
    <row r="138" spans="1:9" ht="15" customHeight="1" x14ac:dyDescent="0.25">
      <c r="A138" s="25" t="str">
        <f t="shared" si="2"/>
        <v/>
      </c>
      <c r="B138" s="26"/>
      <c r="C138" s="27"/>
      <c r="D138" s="28" t="str">
        <f>IFERROR(IF(C138="","",INDEX(마스터!$F$4:$F$20,MATCH(C138,마스터!$M$4:$M$20,0))),"")</f>
        <v/>
      </c>
      <c r="E138" s="27"/>
      <c r="F138" s="29"/>
      <c r="G138" s="25" t="str">
        <f>IFERROR(IF(C138="","",INDEX(마스터!$J$4:$J$20,MATCH(C138,마스터!$M$4:$M$20,0))),"")</f>
        <v/>
      </c>
      <c r="H138" s="30"/>
      <c r="I138" s="30"/>
    </row>
    <row r="139" spans="1:9" ht="15" customHeight="1" x14ac:dyDescent="0.25">
      <c r="A139" s="25" t="str">
        <f t="shared" si="2"/>
        <v/>
      </c>
      <c r="B139" s="26"/>
      <c r="C139" s="27"/>
      <c r="D139" s="28" t="str">
        <f>IFERROR(IF(C139="","",INDEX(마스터!$F$4:$F$20,MATCH(C139,마스터!$M$4:$M$20,0))),"")</f>
        <v/>
      </c>
      <c r="E139" s="27"/>
      <c r="F139" s="29"/>
      <c r="G139" s="25" t="str">
        <f>IFERROR(IF(C139="","",INDEX(마스터!$J$4:$J$20,MATCH(C139,마스터!$M$4:$M$20,0))),"")</f>
        <v/>
      </c>
      <c r="H139" s="30"/>
      <c r="I139" s="30"/>
    </row>
    <row r="140" spans="1:9" ht="15" customHeight="1" x14ac:dyDescent="0.25">
      <c r="A140" s="25" t="str">
        <f t="shared" si="2"/>
        <v/>
      </c>
      <c r="B140" s="26"/>
      <c r="C140" s="27"/>
      <c r="D140" s="28" t="str">
        <f>IFERROR(IF(C140="","",INDEX(마스터!$F$4:$F$20,MATCH(C140,마스터!$M$4:$M$20,0))),"")</f>
        <v/>
      </c>
      <c r="E140" s="27"/>
      <c r="F140" s="29"/>
      <c r="G140" s="25" t="str">
        <f>IFERROR(IF(C140="","",INDEX(마스터!$J$4:$J$20,MATCH(C140,마스터!$M$4:$M$20,0))),"")</f>
        <v/>
      </c>
      <c r="H140" s="30"/>
      <c r="I140" s="30"/>
    </row>
    <row r="141" spans="1:9" ht="15" customHeight="1" x14ac:dyDescent="0.25">
      <c r="A141" s="25" t="str">
        <f t="shared" si="2"/>
        <v/>
      </c>
      <c r="B141" s="26"/>
      <c r="C141" s="27"/>
      <c r="D141" s="28" t="str">
        <f>IFERROR(IF(C141="","",INDEX(마스터!$F$4:$F$20,MATCH(C141,마스터!$M$4:$M$20,0))),"")</f>
        <v/>
      </c>
      <c r="E141" s="27"/>
      <c r="F141" s="29"/>
      <c r="G141" s="25" t="str">
        <f>IFERROR(IF(C141="","",INDEX(마스터!$J$4:$J$20,MATCH(C141,마스터!$M$4:$M$20,0))),"")</f>
        <v/>
      </c>
      <c r="H141" s="30"/>
      <c r="I141" s="30"/>
    </row>
    <row r="142" spans="1:9" ht="15" customHeight="1" x14ac:dyDescent="0.25">
      <c r="A142" s="25" t="str">
        <f t="shared" si="2"/>
        <v/>
      </c>
      <c r="B142" s="26"/>
      <c r="C142" s="27"/>
      <c r="D142" s="28" t="str">
        <f>IFERROR(IF(C142="","",INDEX(마스터!$F$4:$F$20,MATCH(C142,마스터!$M$4:$M$20,0))),"")</f>
        <v/>
      </c>
      <c r="E142" s="27"/>
      <c r="F142" s="29"/>
      <c r="G142" s="25" t="str">
        <f>IFERROR(IF(C142="","",INDEX(마스터!$J$4:$J$20,MATCH(C142,마스터!$M$4:$M$20,0))),"")</f>
        <v/>
      </c>
      <c r="H142" s="30"/>
      <c r="I142" s="30"/>
    </row>
    <row r="143" spans="1:9" ht="15" customHeight="1" x14ac:dyDescent="0.25">
      <c r="A143" s="25" t="str">
        <f t="shared" si="2"/>
        <v/>
      </c>
      <c r="B143" s="26"/>
      <c r="C143" s="27"/>
      <c r="D143" s="28" t="str">
        <f>IFERROR(IF(C143="","",INDEX(마스터!$F$4:$F$20,MATCH(C143,마스터!$M$4:$M$20,0))),"")</f>
        <v/>
      </c>
      <c r="E143" s="27"/>
      <c r="F143" s="29"/>
      <c r="G143" s="25" t="str">
        <f>IFERROR(IF(C143="","",INDEX(마스터!$J$4:$J$20,MATCH(C143,마스터!$M$4:$M$20,0))),"")</f>
        <v/>
      </c>
      <c r="H143" s="30"/>
      <c r="I143" s="30"/>
    </row>
    <row r="144" spans="1:9" ht="15" customHeight="1" x14ac:dyDescent="0.25">
      <c r="A144" s="25" t="str">
        <f t="shared" si="2"/>
        <v/>
      </c>
      <c r="B144" s="26"/>
      <c r="C144" s="27"/>
      <c r="D144" s="28" t="str">
        <f>IFERROR(IF(C144="","",INDEX(마스터!$F$4:$F$20,MATCH(C144,마스터!$M$4:$M$20,0))),"")</f>
        <v/>
      </c>
      <c r="E144" s="27"/>
      <c r="F144" s="29"/>
      <c r="G144" s="25" t="str">
        <f>IFERROR(IF(C144="","",INDEX(마스터!$J$4:$J$20,MATCH(C144,마스터!$M$4:$M$20,0))),"")</f>
        <v/>
      </c>
      <c r="H144" s="30"/>
      <c r="I144" s="30"/>
    </row>
    <row r="145" spans="1:9" ht="15" customHeight="1" x14ac:dyDescent="0.25">
      <c r="A145" s="25" t="str">
        <f t="shared" si="2"/>
        <v/>
      </c>
      <c r="B145" s="26"/>
      <c r="C145" s="27"/>
      <c r="D145" s="28" t="str">
        <f>IFERROR(IF(C145="","",INDEX(마스터!$F$4:$F$20,MATCH(C145,마스터!$M$4:$M$20,0))),"")</f>
        <v/>
      </c>
      <c r="E145" s="27"/>
      <c r="F145" s="29"/>
      <c r="G145" s="25" t="str">
        <f>IFERROR(IF(C145="","",INDEX(마스터!$J$4:$J$20,MATCH(C145,마스터!$M$4:$M$20,0))),"")</f>
        <v/>
      </c>
      <c r="H145" s="30"/>
      <c r="I145" s="30"/>
    </row>
    <row r="146" spans="1:9" ht="15" customHeight="1" x14ac:dyDescent="0.25">
      <c r="A146" s="25" t="str">
        <f t="shared" si="2"/>
        <v/>
      </c>
      <c r="B146" s="26"/>
      <c r="C146" s="27"/>
      <c r="D146" s="28" t="str">
        <f>IFERROR(IF(C146="","",INDEX(마스터!$F$4:$F$20,MATCH(C146,마스터!$M$4:$M$20,0))),"")</f>
        <v/>
      </c>
      <c r="E146" s="27"/>
      <c r="F146" s="29"/>
      <c r="G146" s="25" t="str">
        <f>IFERROR(IF(C146="","",INDEX(마스터!$J$4:$J$20,MATCH(C146,마스터!$M$4:$M$20,0))),"")</f>
        <v/>
      </c>
      <c r="H146" s="30"/>
      <c r="I146" s="30"/>
    </row>
    <row r="147" spans="1:9" ht="15" customHeight="1" x14ac:dyDescent="0.25">
      <c r="A147" s="25" t="str">
        <f t="shared" si="2"/>
        <v/>
      </c>
      <c r="B147" s="26"/>
      <c r="C147" s="27"/>
      <c r="D147" s="28" t="str">
        <f>IFERROR(IF(C147="","",INDEX(마스터!$F$4:$F$20,MATCH(C147,마스터!$M$4:$M$20,0))),"")</f>
        <v/>
      </c>
      <c r="E147" s="27"/>
      <c r="F147" s="29"/>
      <c r="G147" s="25" t="str">
        <f>IFERROR(IF(C147="","",INDEX(마스터!$J$4:$J$20,MATCH(C147,마스터!$M$4:$M$20,0))),"")</f>
        <v/>
      </c>
      <c r="H147" s="30"/>
      <c r="I147" s="30"/>
    </row>
    <row r="148" spans="1:9" ht="15" customHeight="1" x14ac:dyDescent="0.25">
      <c r="A148" s="25" t="str">
        <f t="shared" si="2"/>
        <v/>
      </c>
      <c r="B148" s="26"/>
      <c r="C148" s="27"/>
      <c r="D148" s="28" t="str">
        <f>IFERROR(IF(C148="","",INDEX(마스터!$F$4:$F$20,MATCH(C148,마스터!$M$4:$M$20,0))),"")</f>
        <v/>
      </c>
      <c r="E148" s="27"/>
      <c r="F148" s="29"/>
      <c r="G148" s="25" t="str">
        <f>IFERROR(IF(C148="","",INDEX(마스터!$J$4:$J$20,MATCH(C148,마스터!$M$4:$M$20,0))),"")</f>
        <v/>
      </c>
      <c r="H148" s="30"/>
      <c r="I148" s="30"/>
    </row>
    <row r="149" spans="1:9" ht="15" customHeight="1" x14ac:dyDescent="0.25">
      <c r="A149" s="25" t="str">
        <f t="shared" si="2"/>
        <v/>
      </c>
      <c r="B149" s="26"/>
      <c r="C149" s="27"/>
      <c r="D149" s="28" t="str">
        <f>IFERROR(IF(C149="","",INDEX(마스터!$F$4:$F$20,MATCH(C149,마스터!$M$4:$M$20,0))),"")</f>
        <v/>
      </c>
      <c r="E149" s="27"/>
      <c r="F149" s="29"/>
      <c r="G149" s="25" t="str">
        <f>IFERROR(IF(C149="","",INDEX(마스터!$J$4:$J$20,MATCH(C149,마스터!$M$4:$M$20,0))),"")</f>
        <v/>
      </c>
      <c r="H149" s="30"/>
      <c r="I149" s="30"/>
    </row>
    <row r="150" spans="1:9" ht="15" customHeight="1" x14ac:dyDescent="0.25">
      <c r="A150" s="25" t="str">
        <f t="shared" si="2"/>
        <v/>
      </c>
      <c r="B150" s="26"/>
      <c r="C150" s="27"/>
      <c r="D150" s="28" t="str">
        <f>IFERROR(IF(C150="","",INDEX(마스터!$F$4:$F$20,MATCH(C150,마스터!$M$4:$M$20,0))),"")</f>
        <v/>
      </c>
      <c r="E150" s="27"/>
      <c r="F150" s="29"/>
      <c r="G150" s="25" t="str">
        <f>IFERROR(IF(C150="","",INDEX(마스터!$J$4:$J$20,MATCH(C150,마스터!$M$4:$M$20,0))),"")</f>
        <v/>
      </c>
      <c r="H150" s="30"/>
      <c r="I150" s="30"/>
    </row>
    <row r="151" spans="1:9" ht="15" customHeight="1" x14ac:dyDescent="0.25">
      <c r="A151" s="25" t="str">
        <f t="shared" si="2"/>
        <v/>
      </c>
      <c r="B151" s="26"/>
      <c r="C151" s="27"/>
      <c r="D151" s="28" t="str">
        <f>IFERROR(IF(C151="","",INDEX(마스터!$F$4:$F$20,MATCH(C151,마스터!$M$4:$M$20,0))),"")</f>
        <v/>
      </c>
      <c r="E151" s="27"/>
      <c r="F151" s="29"/>
      <c r="G151" s="25" t="str">
        <f>IFERROR(IF(C151="","",INDEX(마스터!$J$4:$J$20,MATCH(C151,마스터!$M$4:$M$20,0))),"")</f>
        <v/>
      </c>
      <c r="H151" s="30"/>
      <c r="I151" s="30"/>
    </row>
    <row r="152" spans="1:9" ht="15" customHeight="1" x14ac:dyDescent="0.25">
      <c r="A152" s="25" t="str">
        <f t="shared" si="2"/>
        <v/>
      </c>
      <c r="B152" s="26"/>
      <c r="C152" s="27"/>
      <c r="D152" s="28" t="str">
        <f>IFERROR(IF(C152="","",INDEX(마스터!$F$4:$F$20,MATCH(C152,마스터!$M$4:$M$20,0))),"")</f>
        <v/>
      </c>
      <c r="E152" s="27"/>
      <c r="F152" s="29"/>
      <c r="G152" s="25" t="str">
        <f>IFERROR(IF(C152="","",INDEX(마스터!$J$4:$J$20,MATCH(C152,마스터!$M$4:$M$20,0))),"")</f>
        <v/>
      </c>
      <c r="H152" s="30"/>
      <c r="I152" s="30"/>
    </row>
    <row r="153" spans="1:9" ht="15" customHeight="1" x14ac:dyDescent="0.25">
      <c r="A153" s="25" t="str">
        <f t="shared" si="2"/>
        <v/>
      </c>
      <c r="B153" s="26"/>
      <c r="C153" s="27"/>
      <c r="D153" s="28" t="str">
        <f>IFERROR(IF(C153="","",INDEX(마스터!$F$4:$F$20,MATCH(C153,마스터!$M$4:$M$20,0))),"")</f>
        <v/>
      </c>
      <c r="E153" s="27"/>
      <c r="F153" s="29"/>
      <c r="G153" s="25" t="str">
        <f>IFERROR(IF(C153="","",INDEX(마스터!$J$4:$J$20,MATCH(C153,마스터!$M$4:$M$20,0))),"")</f>
        <v/>
      </c>
      <c r="H153" s="30"/>
      <c r="I153" s="30"/>
    </row>
    <row r="154" spans="1:9" ht="15" customHeight="1" x14ac:dyDescent="0.25">
      <c r="A154" s="25" t="str">
        <f t="shared" si="2"/>
        <v/>
      </c>
      <c r="B154" s="26"/>
      <c r="C154" s="27"/>
      <c r="D154" s="28" t="str">
        <f>IFERROR(IF(C154="","",INDEX(마스터!$F$4:$F$20,MATCH(C154,마스터!$M$4:$M$20,0))),"")</f>
        <v/>
      </c>
      <c r="E154" s="27"/>
      <c r="F154" s="29"/>
      <c r="G154" s="25" t="str">
        <f>IFERROR(IF(C154="","",INDEX(마스터!$J$4:$J$20,MATCH(C154,마스터!$M$4:$M$20,0))),"")</f>
        <v/>
      </c>
      <c r="H154" s="30"/>
      <c r="I154" s="30"/>
    </row>
    <row r="155" spans="1:9" ht="15" customHeight="1" x14ac:dyDescent="0.25">
      <c r="A155" s="25" t="str">
        <f t="shared" si="2"/>
        <v/>
      </c>
      <c r="B155" s="26"/>
      <c r="C155" s="27"/>
      <c r="D155" s="28" t="str">
        <f>IFERROR(IF(C155="","",INDEX(마스터!$F$4:$F$20,MATCH(C155,마스터!$M$4:$M$20,0))),"")</f>
        <v/>
      </c>
      <c r="E155" s="27"/>
      <c r="F155" s="29"/>
      <c r="G155" s="25" t="str">
        <f>IFERROR(IF(C155="","",INDEX(마스터!$J$4:$J$20,MATCH(C155,마스터!$M$4:$M$20,0))),"")</f>
        <v/>
      </c>
      <c r="H155" s="30"/>
      <c r="I155" s="30"/>
    </row>
    <row r="156" spans="1:9" ht="15" customHeight="1" x14ac:dyDescent="0.25">
      <c r="A156" s="25" t="str">
        <f t="shared" si="2"/>
        <v/>
      </c>
      <c r="B156" s="26"/>
      <c r="C156" s="27"/>
      <c r="D156" s="28" t="str">
        <f>IFERROR(IF(C156="","",INDEX(마스터!$F$4:$F$20,MATCH(C156,마스터!$M$4:$M$20,0))),"")</f>
        <v/>
      </c>
      <c r="E156" s="27"/>
      <c r="F156" s="29"/>
      <c r="G156" s="25" t="str">
        <f>IFERROR(IF(C156="","",INDEX(마스터!$J$4:$J$20,MATCH(C156,마스터!$M$4:$M$20,0))),"")</f>
        <v/>
      </c>
      <c r="H156" s="30"/>
      <c r="I156" s="30"/>
    </row>
    <row r="157" spans="1:9" ht="15" customHeight="1" x14ac:dyDescent="0.25">
      <c r="A157" s="25" t="str">
        <f t="shared" si="2"/>
        <v/>
      </c>
      <c r="B157" s="26"/>
      <c r="C157" s="27"/>
      <c r="D157" s="28" t="str">
        <f>IFERROR(IF(C157="","",INDEX(마스터!$F$4:$F$20,MATCH(C157,마스터!$M$4:$M$20,0))),"")</f>
        <v/>
      </c>
      <c r="E157" s="27"/>
      <c r="F157" s="29"/>
      <c r="G157" s="25" t="str">
        <f>IFERROR(IF(C157="","",INDEX(마스터!$J$4:$J$20,MATCH(C157,마스터!$M$4:$M$20,0))),"")</f>
        <v/>
      </c>
      <c r="H157" s="30"/>
      <c r="I157" s="30"/>
    </row>
    <row r="158" spans="1:9" ht="15" customHeight="1" x14ac:dyDescent="0.25">
      <c r="A158" s="25" t="str">
        <f t="shared" si="2"/>
        <v/>
      </c>
      <c r="B158" s="26"/>
      <c r="C158" s="27"/>
      <c r="D158" s="28" t="str">
        <f>IFERROR(IF(C158="","",INDEX(마스터!$F$4:$F$20,MATCH(C158,마스터!$M$4:$M$20,0))),"")</f>
        <v/>
      </c>
      <c r="E158" s="27"/>
      <c r="F158" s="29"/>
      <c r="G158" s="25" t="str">
        <f>IFERROR(IF(C158="","",INDEX(마스터!$J$4:$J$20,MATCH(C158,마스터!$M$4:$M$20,0))),"")</f>
        <v/>
      </c>
      <c r="H158" s="30"/>
      <c r="I158" s="30"/>
    </row>
    <row r="159" spans="1:9" ht="15" customHeight="1" x14ac:dyDescent="0.25">
      <c r="A159" s="25" t="str">
        <f t="shared" si="2"/>
        <v/>
      </c>
      <c r="B159" s="26"/>
      <c r="C159" s="27"/>
      <c r="D159" s="28" t="str">
        <f>IFERROR(IF(C159="","",INDEX(마스터!$F$4:$F$20,MATCH(C159,마스터!$M$4:$M$20,0))),"")</f>
        <v/>
      </c>
      <c r="E159" s="27"/>
      <c r="F159" s="29"/>
      <c r="G159" s="25" t="str">
        <f>IFERROR(IF(C159="","",INDEX(마스터!$J$4:$J$20,MATCH(C159,마스터!$M$4:$M$20,0))),"")</f>
        <v/>
      </c>
      <c r="H159" s="30"/>
      <c r="I159" s="30"/>
    </row>
    <row r="160" spans="1:9" ht="15" customHeight="1" x14ac:dyDescent="0.25">
      <c r="A160" s="25" t="str">
        <f t="shared" si="2"/>
        <v/>
      </c>
      <c r="B160" s="26"/>
      <c r="C160" s="27"/>
      <c r="D160" s="28" t="str">
        <f>IFERROR(IF(C160="","",INDEX(마스터!$F$4:$F$20,MATCH(C160,마스터!$M$4:$M$20,0))),"")</f>
        <v/>
      </c>
      <c r="E160" s="27"/>
      <c r="F160" s="29"/>
      <c r="G160" s="25" t="str">
        <f>IFERROR(IF(C160="","",INDEX(마스터!$J$4:$J$20,MATCH(C160,마스터!$M$4:$M$20,0))),"")</f>
        <v/>
      </c>
      <c r="H160" s="30"/>
      <c r="I160" s="30"/>
    </row>
    <row r="161" spans="1:9" ht="15" customHeight="1" x14ac:dyDescent="0.25">
      <c r="A161" s="25" t="str">
        <f t="shared" si="2"/>
        <v/>
      </c>
      <c r="B161" s="26"/>
      <c r="C161" s="27"/>
      <c r="D161" s="28" t="str">
        <f>IFERROR(IF(C161="","",INDEX(마스터!$F$4:$F$20,MATCH(C161,마스터!$M$4:$M$20,0))),"")</f>
        <v/>
      </c>
      <c r="E161" s="27"/>
      <c r="F161" s="29"/>
      <c r="G161" s="25" t="str">
        <f>IFERROR(IF(C161="","",INDEX(마스터!$J$4:$J$20,MATCH(C161,마스터!$M$4:$M$20,0))),"")</f>
        <v/>
      </c>
      <c r="H161" s="30"/>
      <c r="I161" s="30"/>
    </row>
    <row r="162" spans="1:9" ht="15" customHeight="1" x14ac:dyDescent="0.25">
      <c r="A162" s="25" t="str">
        <f t="shared" si="2"/>
        <v/>
      </c>
      <c r="B162" s="26"/>
      <c r="C162" s="27"/>
      <c r="D162" s="28" t="str">
        <f>IFERROR(IF(C162="","",INDEX(마스터!$F$4:$F$20,MATCH(C162,마스터!$M$4:$M$20,0))),"")</f>
        <v/>
      </c>
      <c r="E162" s="27"/>
      <c r="F162" s="29"/>
      <c r="G162" s="25" t="str">
        <f>IFERROR(IF(C162="","",INDEX(마스터!$J$4:$J$20,MATCH(C162,마스터!$M$4:$M$20,0))),"")</f>
        <v/>
      </c>
      <c r="H162" s="30"/>
      <c r="I162" s="30"/>
    </row>
    <row r="163" spans="1:9" ht="15" customHeight="1" x14ac:dyDescent="0.25">
      <c r="A163" s="25" t="str">
        <f t="shared" si="2"/>
        <v/>
      </c>
      <c r="B163" s="26"/>
      <c r="C163" s="27"/>
      <c r="D163" s="28" t="str">
        <f>IFERROR(IF(C163="","",INDEX(마스터!$F$4:$F$20,MATCH(C163,마스터!$M$4:$M$20,0))),"")</f>
        <v/>
      </c>
      <c r="E163" s="27"/>
      <c r="F163" s="29"/>
      <c r="G163" s="25" t="str">
        <f>IFERROR(IF(C163="","",INDEX(마스터!$J$4:$J$20,MATCH(C163,마스터!$M$4:$M$20,0))),"")</f>
        <v/>
      </c>
      <c r="H163" s="30"/>
      <c r="I163" s="30"/>
    </row>
    <row r="164" spans="1:9" ht="15" customHeight="1" x14ac:dyDescent="0.25">
      <c r="A164" s="25" t="str">
        <f t="shared" si="2"/>
        <v/>
      </c>
      <c r="B164" s="26"/>
      <c r="C164" s="27"/>
      <c r="D164" s="28" t="str">
        <f>IFERROR(IF(C164="","",INDEX(마스터!$F$4:$F$20,MATCH(C164,마스터!$M$4:$M$20,0))),"")</f>
        <v/>
      </c>
      <c r="E164" s="27"/>
      <c r="F164" s="29"/>
      <c r="G164" s="25" t="str">
        <f>IFERROR(IF(C164="","",INDEX(마스터!$J$4:$J$20,MATCH(C164,마스터!$M$4:$M$20,0))),"")</f>
        <v/>
      </c>
      <c r="H164" s="30"/>
      <c r="I164" s="30"/>
    </row>
    <row r="165" spans="1:9" ht="15" customHeight="1" x14ac:dyDescent="0.25">
      <c r="A165" s="25" t="str">
        <f t="shared" si="2"/>
        <v/>
      </c>
      <c r="B165" s="26"/>
      <c r="C165" s="27"/>
      <c r="D165" s="28" t="str">
        <f>IFERROR(IF(C165="","",INDEX(마스터!$F$4:$F$20,MATCH(C165,마스터!$M$4:$M$20,0))),"")</f>
        <v/>
      </c>
      <c r="E165" s="27"/>
      <c r="F165" s="29"/>
      <c r="G165" s="25" t="str">
        <f>IFERROR(IF(C165="","",INDEX(마스터!$J$4:$J$20,MATCH(C165,마스터!$M$4:$M$20,0))),"")</f>
        <v/>
      </c>
      <c r="H165" s="30"/>
      <c r="I165" s="30"/>
    </row>
    <row r="166" spans="1:9" ht="15" customHeight="1" x14ac:dyDescent="0.25">
      <c r="A166" s="25" t="str">
        <f t="shared" si="2"/>
        <v/>
      </c>
      <c r="B166" s="26"/>
      <c r="C166" s="27"/>
      <c r="D166" s="28" t="str">
        <f>IFERROR(IF(C166="","",INDEX(마스터!$F$4:$F$20,MATCH(C166,마스터!$M$4:$M$20,0))),"")</f>
        <v/>
      </c>
      <c r="E166" s="27"/>
      <c r="F166" s="29"/>
      <c r="G166" s="25" t="str">
        <f>IFERROR(IF(C166="","",INDEX(마스터!$J$4:$J$20,MATCH(C166,마스터!$M$4:$M$20,0))),"")</f>
        <v/>
      </c>
      <c r="H166" s="30"/>
      <c r="I166" s="30"/>
    </row>
    <row r="167" spans="1:9" ht="15" customHeight="1" x14ac:dyDescent="0.25">
      <c r="A167" s="25" t="str">
        <f t="shared" si="2"/>
        <v/>
      </c>
      <c r="B167" s="26"/>
      <c r="C167" s="27"/>
      <c r="D167" s="28" t="str">
        <f>IFERROR(IF(C167="","",INDEX(마스터!$F$4:$F$20,MATCH(C167,마스터!$M$4:$M$20,0))),"")</f>
        <v/>
      </c>
      <c r="E167" s="27"/>
      <c r="F167" s="29"/>
      <c r="G167" s="25" t="str">
        <f>IFERROR(IF(C167="","",INDEX(마스터!$J$4:$J$20,MATCH(C167,마스터!$M$4:$M$20,0))),"")</f>
        <v/>
      </c>
      <c r="H167" s="30"/>
      <c r="I167" s="30"/>
    </row>
    <row r="168" spans="1:9" ht="15" customHeight="1" x14ac:dyDescent="0.25">
      <c r="A168" s="25" t="str">
        <f t="shared" si="2"/>
        <v/>
      </c>
      <c r="B168" s="26"/>
      <c r="C168" s="27"/>
      <c r="D168" s="28" t="str">
        <f>IFERROR(IF(C168="","",INDEX(마스터!$F$4:$F$20,MATCH(C168,마스터!$M$4:$M$20,0))),"")</f>
        <v/>
      </c>
      <c r="E168" s="27"/>
      <c r="F168" s="29"/>
      <c r="G168" s="25" t="str">
        <f>IFERROR(IF(C168="","",INDEX(마스터!$J$4:$J$20,MATCH(C168,마스터!$M$4:$M$20,0))),"")</f>
        <v/>
      </c>
      <c r="H168" s="30"/>
      <c r="I168" s="30"/>
    </row>
    <row r="169" spans="1:9" ht="15" customHeight="1" x14ac:dyDescent="0.25">
      <c r="A169" s="25" t="str">
        <f t="shared" si="2"/>
        <v/>
      </c>
      <c r="B169" s="26"/>
      <c r="C169" s="27"/>
      <c r="D169" s="28" t="str">
        <f>IFERROR(IF(C169="","",INDEX(마스터!$F$4:$F$20,MATCH(C169,마스터!$M$4:$M$20,0))),"")</f>
        <v/>
      </c>
      <c r="E169" s="27"/>
      <c r="F169" s="29"/>
      <c r="G169" s="25" t="str">
        <f>IFERROR(IF(C169="","",INDEX(마스터!$J$4:$J$20,MATCH(C169,마스터!$M$4:$M$20,0))),"")</f>
        <v/>
      </c>
      <c r="H169" s="30"/>
      <c r="I169" s="30"/>
    </row>
    <row r="170" spans="1:9" ht="15" customHeight="1" x14ac:dyDescent="0.25">
      <c r="A170" s="25" t="str">
        <f t="shared" si="2"/>
        <v/>
      </c>
      <c r="B170" s="26"/>
      <c r="C170" s="27"/>
      <c r="D170" s="28" t="str">
        <f>IFERROR(IF(C170="","",INDEX(마스터!$F$4:$F$20,MATCH(C170,마스터!$M$4:$M$20,0))),"")</f>
        <v/>
      </c>
      <c r="E170" s="27"/>
      <c r="F170" s="29"/>
      <c r="G170" s="25" t="str">
        <f>IFERROR(IF(C170="","",INDEX(마스터!$J$4:$J$20,MATCH(C170,마스터!$M$4:$M$20,0))),"")</f>
        <v/>
      </c>
      <c r="H170" s="30"/>
      <c r="I170" s="30"/>
    </row>
    <row r="171" spans="1:9" ht="15" customHeight="1" x14ac:dyDescent="0.25">
      <c r="A171" s="25" t="str">
        <f t="shared" si="2"/>
        <v/>
      </c>
      <c r="B171" s="26"/>
      <c r="C171" s="27"/>
      <c r="D171" s="28" t="str">
        <f>IFERROR(IF(C171="","",INDEX(마스터!$F$4:$F$20,MATCH(C171,마스터!$M$4:$M$20,0))),"")</f>
        <v/>
      </c>
      <c r="E171" s="27"/>
      <c r="F171" s="29"/>
      <c r="G171" s="25" t="str">
        <f>IFERROR(IF(C171="","",INDEX(마스터!$J$4:$J$20,MATCH(C171,마스터!$M$4:$M$20,0))),"")</f>
        <v/>
      </c>
      <c r="H171" s="30"/>
      <c r="I171" s="30"/>
    </row>
    <row r="172" spans="1:9" ht="15" customHeight="1" x14ac:dyDescent="0.25">
      <c r="A172" s="25" t="str">
        <f t="shared" si="2"/>
        <v/>
      </c>
      <c r="B172" s="26"/>
      <c r="C172" s="27"/>
      <c r="D172" s="28" t="str">
        <f>IFERROR(IF(C172="","",INDEX(마스터!$F$4:$F$20,MATCH(C172,마스터!$M$4:$M$20,0))),"")</f>
        <v/>
      </c>
      <c r="E172" s="27"/>
      <c r="F172" s="29"/>
      <c r="G172" s="25" t="str">
        <f>IFERROR(IF(C172="","",INDEX(마스터!$J$4:$J$20,MATCH(C172,마스터!$M$4:$M$20,0))),"")</f>
        <v/>
      </c>
      <c r="H172" s="30"/>
      <c r="I172" s="30"/>
    </row>
    <row r="173" spans="1:9" ht="15" customHeight="1" x14ac:dyDescent="0.25">
      <c r="A173" s="25" t="str">
        <f t="shared" si="2"/>
        <v/>
      </c>
      <c r="B173" s="26"/>
      <c r="C173" s="27"/>
      <c r="D173" s="28" t="str">
        <f>IFERROR(IF(C173="","",INDEX(마스터!$F$4:$F$20,MATCH(C173,마스터!$M$4:$M$20,0))),"")</f>
        <v/>
      </c>
      <c r="E173" s="27"/>
      <c r="F173" s="29"/>
      <c r="G173" s="25" t="str">
        <f>IFERROR(IF(C173="","",INDEX(마스터!$J$4:$J$20,MATCH(C173,마스터!$M$4:$M$20,0))),"")</f>
        <v/>
      </c>
      <c r="H173" s="30"/>
      <c r="I173" s="30"/>
    </row>
    <row r="174" spans="1:9" ht="15" customHeight="1" x14ac:dyDescent="0.25">
      <c r="A174" s="25" t="str">
        <f t="shared" si="2"/>
        <v/>
      </c>
      <c r="B174" s="26"/>
      <c r="C174" s="27"/>
      <c r="D174" s="28" t="str">
        <f>IFERROR(IF(C174="","",INDEX(마스터!$F$4:$F$20,MATCH(C174,마스터!$M$4:$M$20,0))),"")</f>
        <v/>
      </c>
      <c r="E174" s="27"/>
      <c r="F174" s="29"/>
      <c r="G174" s="25" t="str">
        <f>IFERROR(IF(C174="","",INDEX(마스터!$J$4:$J$20,MATCH(C174,마스터!$M$4:$M$20,0))),"")</f>
        <v/>
      </c>
      <c r="H174" s="30"/>
      <c r="I174" s="30"/>
    </row>
    <row r="175" spans="1:9" ht="15" customHeight="1" x14ac:dyDescent="0.25">
      <c r="A175" s="25" t="str">
        <f t="shared" si="2"/>
        <v/>
      </c>
      <c r="B175" s="26"/>
      <c r="C175" s="27"/>
      <c r="D175" s="28" t="str">
        <f>IFERROR(IF(C175="","",INDEX(마스터!$F$4:$F$20,MATCH(C175,마스터!$M$4:$M$20,0))),"")</f>
        <v/>
      </c>
      <c r="E175" s="27"/>
      <c r="F175" s="29"/>
      <c r="G175" s="25" t="str">
        <f>IFERROR(IF(C175="","",INDEX(마스터!$J$4:$J$20,MATCH(C175,마스터!$M$4:$M$20,0))),"")</f>
        <v/>
      </c>
      <c r="H175" s="30"/>
      <c r="I175" s="30"/>
    </row>
    <row r="176" spans="1:9" ht="15" customHeight="1" x14ac:dyDescent="0.25">
      <c r="A176" s="25" t="str">
        <f t="shared" si="2"/>
        <v/>
      </c>
      <c r="B176" s="26"/>
      <c r="C176" s="27"/>
      <c r="D176" s="28" t="str">
        <f>IFERROR(IF(C176="","",INDEX(마스터!$F$4:$F$20,MATCH(C176,마스터!$M$4:$M$20,0))),"")</f>
        <v/>
      </c>
      <c r="E176" s="27"/>
      <c r="F176" s="29"/>
      <c r="G176" s="25" t="str">
        <f>IFERROR(IF(C176="","",INDEX(마스터!$J$4:$J$20,MATCH(C176,마스터!$M$4:$M$20,0))),"")</f>
        <v/>
      </c>
      <c r="H176" s="30"/>
      <c r="I176" s="30"/>
    </row>
    <row r="177" spans="1:9" ht="15" customHeight="1" x14ac:dyDescent="0.25">
      <c r="A177" s="25" t="str">
        <f t="shared" si="2"/>
        <v/>
      </c>
      <c r="B177" s="26"/>
      <c r="C177" s="27"/>
      <c r="D177" s="28" t="str">
        <f>IFERROR(IF(C177="","",INDEX(마스터!$F$4:$F$20,MATCH(C177,마스터!$M$4:$M$20,0))),"")</f>
        <v/>
      </c>
      <c r="E177" s="27"/>
      <c r="F177" s="29"/>
      <c r="G177" s="25" t="str">
        <f>IFERROR(IF(C177="","",INDEX(마스터!$J$4:$J$20,MATCH(C177,마스터!$M$4:$M$20,0))),"")</f>
        <v/>
      </c>
      <c r="H177" s="30"/>
      <c r="I177" s="30"/>
    </row>
    <row r="178" spans="1:9" ht="15" customHeight="1" x14ac:dyDescent="0.25">
      <c r="A178" s="25" t="str">
        <f t="shared" si="2"/>
        <v/>
      </c>
      <c r="B178" s="26"/>
      <c r="C178" s="27"/>
      <c r="D178" s="28" t="str">
        <f>IFERROR(IF(C178="","",INDEX(마스터!$F$4:$F$20,MATCH(C178,마스터!$M$4:$M$20,0))),"")</f>
        <v/>
      </c>
      <c r="E178" s="27"/>
      <c r="F178" s="29"/>
      <c r="G178" s="25" t="str">
        <f>IFERROR(IF(C178="","",INDEX(마스터!$J$4:$J$20,MATCH(C178,마스터!$M$4:$M$20,0))),"")</f>
        <v/>
      </c>
      <c r="H178" s="30"/>
      <c r="I178" s="30"/>
    </row>
    <row r="179" spans="1:9" ht="15" customHeight="1" x14ac:dyDescent="0.25">
      <c r="A179" s="25" t="str">
        <f t="shared" si="2"/>
        <v/>
      </c>
      <c r="B179" s="26"/>
      <c r="C179" s="27"/>
      <c r="D179" s="28" t="str">
        <f>IFERROR(IF(C179="","",INDEX(마스터!$F$4:$F$20,MATCH(C179,마스터!$M$4:$M$20,0))),"")</f>
        <v/>
      </c>
      <c r="E179" s="27"/>
      <c r="F179" s="29"/>
      <c r="G179" s="25" t="str">
        <f>IFERROR(IF(C179="","",INDEX(마스터!$J$4:$J$20,MATCH(C179,마스터!$M$4:$M$20,0))),"")</f>
        <v/>
      </c>
      <c r="H179" s="30"/>
      <c r="I179" s="30"/>
    </row>
    <row r="180" spans="1:9" ht="15" customHeight="1" x14ac:dyDescent="0.25">
      <c r="A180" s="25" t="str">
        <f t="shared" si="2"/>
        <v/>
      </c>
      <c r="B180" s="26"/>
      <c r="C180" s="27"/>
      <c r="D180" s="28" t="str">
        <f>IFERROR(IF(C180="","",INDEX(마스터!$F$4:$F$20,MATCH(C180,마스터!$M$4:$M$20,0))),"")</f>
        <v/>
      </c>
      <c r="E180" s="27"/>
      <c r="F180" s="29"/>
      <c r="G180" s="25" t="str">
        <f>IFERROR(IF(C180="","",INDEX(마스터!$J$4:$J$20,MATCH(C180,마스터!$M$4:$M$20,0))),"")</f>
        <v/>
      </c>
      <c r="H180" s="30"/>
      <c r="I180" s="30"/>
    </row>
    <row r="181" spans="1:9" ht="15" customHeight="1" x14ac:dyDescent="0.25">
      <c r="A181" s="25" t="str">
        <f t="shared" si="2"/>
        <v/>
      </c>
      <c r="B181" s="26"/>
      <c r="C181" s="27"/>
      <c r="D181" s="28" t="str">
        <f>IFERROR(IF(C181="","",INDEX(마스터!$F$4:$F$20,MATCH(C181,마스터!$M$4:$M$20,0))),"")</f>
        <v/>
      </c>
      <c r="E181" s="27"/>
      <c r="F181" s="29"/>
      <c r="G181" s="25" t="str">
        <f>IFERROR(IF(C181="","",INDEX(마스터!$J$4:$J$20,MATCH(C181,마스터!$M$4:$M$20,0))),"")</f>
        <v/>
      </c>
      <c r="H181" s="30"/>
      <c r="I181" s="30"/>
    </row>
    <row r="182" spans="1:9" ht="15" customHeight="1" x14ac:dyDescent="0.25">
      <c r="A182" s="25" t="str">
        <f t="shared" si="2"/>
        <v/>
      </c>
      <c r="B182" s="26"/>
      <c r="C182" s="27"/>
      <c r="D182" s="28" t="str">
        <f>IFERROR(IF(C182="","",INDEX(마스터!$F$4:$F$20,MATCH(C182,마스터!$M$4:$M$20,0))),"")</f>
        <v/>
      </c>
      <c r="E182" s="27"/>
      <c r="F182" s="29"/>
      <c r="G182" s="25" t="str">
        <f>IFERROR(IF(C182="","",INDEX(마스터!$J$4:$J$20,MATCH(C182,마스터!$M$4:$M$20,0))),"")</f>
        <v/>
      </c>
      <c r="H182" s="30"/>
      <c r="I182" s="30"/>
    </row>
    <row r="183" spans="1:9" ht="15" customHeight="1" x14ac:dyDescent="0.25">
      <c r="A183" s="25" t="str">
        <f t="shared" si="2"/>
        <v/>
      </c>
      <c r="B183" s="26"/>
      <c r="C183" s="27"/>
      <c r="D183" s="28" t="str">
        <f>IFERROR(IF(C183="","",INDEX(마스터!$F$4:$F$20,MATCH(C183,마스터!$M$4:$M$20,0))),"")</f>
        <v/>
      </c>
      <c r="E183" s="27"/>
      <c r="F183" s="29"/>
      <c r="G183" s="25" t="str">
        <f>IFERROR(IF(C183="","",INDEX(마스터!$J$4:$J$20,MATCH(C183,마스터!$M$4:$M$20,0))),"")</f>
        <v/>
      </c>
      <c r="H183" s="30"/>
      <c r="I183" s="30"/>
    </row>
    <row r="184" spans="1:9" ht="15" customHeight="1" x14ac:dyDescent="0.25">
      <c r="A184" s="25" t="str">
        <f t="shared" si="2"/>
        <v/>
      </c>
      <c r="B184" s="26"/>
      <c r="C184" s="27"/>
      <c r="D184" s="28" t="str">
        <f>IFERROR(IF(C184="","",INDEX(마스터!$F$4:$F$20,MATCH(C184,마스터!$M$4:$M$20,0))),"")</f>
        <v/>
      </c>
      <c r="E184" s="27"/>
      <c r="F184" s="29"/>
      <c r="G184" s="25" t="str">
        <f>IFERROR(IF(C184="","",INDEX(마스터!$J$4:$J$20,MATCH(C184,마스터!$M$4:$M$20,0))),"")</f>
        <v/>
      </c>
      <c r="H184" s="30"/>
      <c r="I184" s="30"/>
    </row>
    <row r="185" spans="1:9" ht="15" customHeight="1" x14ac:dyDescent="0.25">
      <c r="A185" s="25" t="str">
        <f t="shared" si="2"/>
        <v/>
      </c>
      <c r="B185" s="26"/>
      <c r="C185" s="27"/>
      <c r="D185" s="28" t="str">
        <f>IFERROR(IF(C185="","",INDEX(마스터!$F$4:$F$20,MATCH(C185,마스터!$M$4:$M$20,0))),"")</f>
        <v/>
      </c>
      <c r="E185" s="27"/>
      <c r="F185" s="29"/>
      <c r="G185" s="25" t="str">
        <f>IFERROR(IF(C185="","",INDEX(마스터!$J$4:$J$20,MATCH(C185,마스터!$M$4:$M$20,0))),"")</f>
        <v/>
      </c>
      <c r="H185" s="30"/>
      <c r="I185" s="30"/>
    </row>
    <row r="186" spans="1:9" ht="15" customHeight="1" x14ac:dyDescent="0.25">
      <c r="A186" s="25" t="str">
        <f t="shared" si="2"/>
        <v/>
      </c>
      <c r="B186" s="26"/>
      <c r="C186" s="27"/>
      <c r="D186" s="28" t="str">
        <f>IFERROR(IF(C186="","",INDEX(마스터!$F$4:$F$20,MATCH(C186,마스터!$M$4:$M$20,0))),"")</f>
        <v/>
      </c>
      <c r="E186" s="27"/>
      <c r="F186" s="29"/>
      <c r="G186" s="25" t="str">
        <f>IFERROR(IF(C186="","",INDEX(마스터!$J$4:$J$20,MATCH(C186,마스터!$M$4:$M$20,0))),"")</f>
        <v/>
      </c>
      <c r="H186" s="30"/>
      <c r="I186" s="30"/>
    </row>
    <row r="187" spans="1:9" ht="15" customHeight="1" x14ac:dyDescent="0.25">
      <c r="A187" s="25" t="str">
        <f t="shared" si="2"/>
        <v/>
      </c>
      <c r="B187" s="26"/>
      <c r="C187" s="27"/>
      <c r="D187" s="28" t="str">
        <f>IFERROR(IF(C187="","",INDEX(마스터!$F$4:$F$20,MATCH(C187,마스터!$M$4:$M$20,0))),"")</f>
        <v/>
      </c>
      <c r="E187" s="27"/>
      <c r="F187" s="29"/>
      <c r="G187" s="25" t="str">
        <f>IFERROR(IF(C187="","",INDEX(마스터!$J$4:$J$20,MATCH(C187,마스터!$M$4:$M$20,0))),"")</f>
        <v/>
      </c>
      <c r="H187" s="30"/>
      <c r="I187" s="30"/>
    </row>
    <row r="188" spans="1:9" ht="15" customHeight="1" x14ac:dyDescent="0.25">
      <c r="A188" s="25" t="str">
        <f t="shared" si="2"/>
        <v/>
      </c>
      <c r="B188" s="26"/>
      <c r="C188" s="27"/>
      <c r="D188" s="28" t="str">
        <f>IFERROR(IF(C188="","",INDEX(마스터!$F$4:$F$20,MATCH(C188,마스터!$M$4:$M$20,0))),"")</f>
        <v/>
      </c>
      <c r="E188" s="27"/>
      <c r="F188" s="29"/>
      <c r="G188" s="25" t="str">
        <f>IFERROR(IF(C188="","",INDEX(마스터!$J$4:$J$20,MATCH(C188,마스터!$M$4:$M$20,0))),"")</f>
        <v/>
      </c>
      <c r="H188" s="30"/>
      <c r="I188" s="30"/>
    </row>
    <row r="189" spans="1:9" ht="15" customHeight="1" x14ac:dyDescent="0.25">
      <c r="A189" s="25" t="str">
        <f t="shared" si="2"/>
        <v/>
      </c>
      <c r="B189" s="26"/>
      <c r="C189" s="27"/>
      <c r="D189" s="28" t="str">
        <f>IFERROR(IF(C189="","",INDEX(마스터!$F$4:$F$20,MATCH(C189,마스터!$M$4:$M$20,0))),"")</f>
        <v/>
      </c>
      <c r="E189" s="27"/>
      <c r="F189" s="29"/>
      <c r="G189" s="25" t="str">
        <f>IFERROR(IF(C189="","",INDEX(마스터!$J$4:$J$20,MATCH(C189,마스터!$M$4:$M$20,0))),"")</f>
        <v/>
      </c>
      <c r="H189" s="30"/>
      <c r="I189" s="30"/>
    </row>
    <row r="190" spans="1:9" ht="15" customHeight="1" x14ac:dyDescent="0.25">
      <c r="A190" s="25" t="str">
        <f t="shared" si="2"/>
        <v/>
      </c>
      <c r="B190" s="26"/>
      <c r="C190" s="27"/>
      <c r="D190" s="28" t="str">
        <f>IFERROR(IF(C190="","",INDEX(마스터!$F$4:$F$20,MATCH(C190,마스터!$M$4:$M$20,0))),"")</f>
        <v/>
      </c>
      <c r="E190" s="27"/>
      <c r="F190" s="29"/>
      <c r="G190" s="25" t="str">
        <f>IFERROR(IF(C190="","",INDEX(마스터!$J$4:$J$20,MATCH(C190,마스터!$M$4:$M$20,0))),"")</f>
        <v/>
      </c>
      <c r="H190" s="30"/>
      <c r="I190" s="30"/>
    </row>
    <row r="191" spans="1:9" ht="15" customHeight="1" x14ac:dyDescent="0.25">
      <c r="A191" s="25" t="str">
        <f t="shared" si="2"/>
        <v/>
      </c>
      <c r="B191" s="26"/>
      <c r="C191" s="27"/>
      <c r="D191" s="28" t="str">
        <f>IFERROR(IF(C191="","",INDEX(마스터!$F$4:$F$20,MATCH(C191,마스터!$M$4:$M$20,0))),"")</f>
        <v/>
      </c>
      <c r="E191" s="27"/>
      <c r="F191" s="29"/>
      <c r="G191" s="25" t="str">
        <f>IFERROR(IF(C191="","",INDEX(마스터!$J$4:$J$20,MATCH(C191,마스터!$M$4:$M$20,0))),"")</f>
        <v/>
      </c>
      <c r="H191" s="30"/>
      <c r="I191" s="30"/>
    </row>
    <row r="192" spans="1:9" ht="15" customHeight="1" x14ac:dyDescent="0.25">
      <c r="A192" s="25" t="str">
        <f t="shared" si="2"/>
        <v/>
      </c>
      <c r="B192" s="26"/>
      <c r="C192" s="27"/>
      <c r="D192" s="28" t="str">
        <f>IFERROR(IF(C192="","",INDEX(마스터!$F$4:$F$20,MATCH(C192,마스터!$M$4:$M$20,0))),"")</f>
        <v/>
      </c>
      <c r="E192" s="27"/>
      <c r="F192" s="29"/>
      <c r="G192" s="25" t="str">
        <f>IFERROR(IF(C192="","",INDEX(마스터!$J$4:$J$20,MATCH(C192,마스터!$M$4:$M$20,0))),"")</f>
        <v/>
      </c>
      <c r="H192" s="30"/>
      <c r="I192" s="30"/>
    </row>
    <row r="193" spans="1:9" ht="15" customHeight="1" x14ac:dyDescent="0.25">
      <c r="A193" s="25" t="str">
        <f t="shared" si="2"/>
        <v/>
      </c>
      <c r="B193" s="26"/>
      <c r="C193" s="27"/>
      <c r="D193" s="28" t="str">
        <f>IFERROR(IF(C193="","",INDEX(마스터!$F$4:$F$20,MATCH(C193,마스터!$M$4:$M$20,0))),"")</f>
        <v/>
      </c>
      <c r="E193" s="27"/>
      <c r="F193" s="29"/>
      <c r="G193" s="25" t="str">
        <f>IFERROR(IF(C193="","",INDEX(마스터!$J$4:$J$20,MATCH(C193,마스터!$M$4:$M$20,0))),"")</f>
        <v/>
      </c>
      <c r="H193" s="30"/>
      <c r="I193" s="30"/>
    </row>
    <row r="194" spans="1:9" ht="15" customHeight="1" x14ac:dyDescent="0.25">
      <c r="A194" s="25" t="str">
        <f t="shared" si="2"/>
        <v/>
      </c>
      <c r="B194" s="26"/>
      <c r="C194" s="27"/>
      <c r="D194" s="28" t="str">
        <f>IFERROR(IF(C194="","",INDEX(마스터!$F$4:$F$20,MATCH(C194,마스터!$M$4:$M$20,0))),"")</f>
        <v/>
      </c>
      <c r="E194" s="27"/>
      <c r="F194" s="29"/>
      <c r="G194" s="25" t="str">
        <f>IFERROR(IF(C194="","",INDEX(마스터!$J$4:$J$20,MATCH(C194,마스터!$M$4:$M$20,0))),"")</f>
        <v/>
      </c>
      <c r="H194" s="30"/>
      <c r="I194" s="30"/>
    </row>
    <row r="195" spans="1:9" ht="15" customHeight="1" x14ac:dyDescent="0.25">
      <c r="A195" s="25" t="str">
        <f t="shared" si="2"/>
        <v/>
      </c>
      <c r="B195" s="26"/>
      <c r="C195" s="27"/>
      <c r="D195" s="28" t="str">
        <f>IFERROR(IF(C195="","",INDEX(마스터!$F$4:$F$20,MATCH(C195,마스터!$M$4:$M$20,0))),"")</f>
        <v/>
      </c>
      <c r="E195" s="27"/>
      <c r="F195" s="29"/>
      <c r="G195" s="25" t="str">
        <f>IFERROR(IF(C195="","",INDEX(마스터!$J$4:$J$20,MATCH(C195,마스터!$M$4:$M$20,0))),"")</f>
        <v/>
      </c>
      <c r="H195" s="30"/>
      <c r="I195" s="30"/>
    </row>
    <row r="196" spans="1:9" ht="15" customHeight="1" x14ac:dyDescent="0.25">
      <c r="A196" s="25" t="str">
        <f t="shared" si="2"/>
        <v/>
      </c>
      <c r="B196" s="26"/>
      <c r="C196" s="27"/>
      <c r="D196" s="28" t="str">
        <f>IFERROR(IF(C196="","",INDEX(마스터!$F$4:$F$20,MATCH(C196,마스터!$M$4:$M$20,0))),"")</f>
        <v/>
      </c>
      <c r="E196" s="27"/>
      <c r="F196" s="29"/>
      <c r="G196" s="25" t="str">
        <f>IFERROR(IF(C196="","",INDEX(마스터!$J$4:$J$20,MATCH(C196,마스터!$M$4:$M$20,0))),"")</f>
        <v/>
      </c>
      <c r="H196" s="30"/>
      <c r="I196" s="30"/>
    </row>
    <row r="197" spans="1:9" ht="15" customHeight="1" x14ac:dyDescent="0.25">
      <c r="A197" s="25" t="str">
        <f t="shared" si="2"/>
        <v/>
      </c>
      <c r="B197" s="26"/>
      <c r="C197" s="27"/>
      <c r="D197" s="28" t="str">
        <f>IFERROR(IF(C197="","",INDEX(마스터!$F$4:$F$20,MATCH(C197,마스터!$M$4:$M$20,0))),"")</f>
        <v/>
      </c>
      <c r="E197" s="27"/>
      <c r="F197" s="29"/>
      <c r="G197" s="25" t="str">
        <f>IFERROR(IF(C197="","",INDEX(마스터!$J$4:$J$20,MATCH(C197,마스터!$M$4:$M$20,0))),"")</f>
        <v/>
      </c>
      <c r="H197" s="30"/>
      <c r="I197" s="30"/>
    </row>
    <row r="198" spans="1:9" ht="15" customHeight="1" x14ac:dyDescent="0.25">
      <c r="A198" s="25" t="str">
        <f t="shared" si="2"/>
        <v/>
      </c>
      <c r="B198" s="26"/>
      <c r="C198" s="27"/>
      <c r="D198" s="28" t="str">
        <f>IFERROR(IF(C198="","",INDEX(마스터!$F$4:$F$20,MATCH(C198,마스터!$M$4:$M$20,0))),"")</f>
        <v/>
      </c>
      <c r="E198" s="27"/>
      <c r="F198" s="29"/>
      <c r="G198" s="25" t="str">
        <f>IFERROR(IF(C198="","",INDEX(마스터!$J$4:$J$20,MATCH(C198,마스터!$M$4:$M$20,0))),"")</f>
        <v/>
      </c>
      <c r="H198" s="30"/>
      <c r="I198" s="30"/>
    </row>
    <row r="199" spans="1:9" ht="15" customHeight="1" x14ac:dyDescent="0.25">
      <c r="A199" s="25" t="str">
        <f t="shared" si="2"/>
        <v/>
      </c>
      <c r="B199" s="26"/>
      <c r="C199" s="27"/>
      <c r="D199" s="28" t="str">
        <f>IFERROR(IF(C199="","",INDEX(마스터!$F$4:$F$20,MATCH(C199,마스터!$M$4:$M$20,0))),"")</f>
        <v/>
      </c>
      <c r="E199" s="27"/>
      <c r="F199" s="29"/>
      <c r="G199" s="25" t="str">
        <f>IFERROR(IF(C199="","",INDEX(마스터!$J$4:$J$20,MATCH(C199,마스터!$M$4:$M$20,0))),"")</f>
        <v/>
      </c>
      <c r="H199" s="30"/>
      <c r="I199" s="30"/>
    </row>
    <row r="200" spans="1:9" ht="15" customHeight="1" x14ac:dyDescent="0.25">
      <c r="A200" s="25" t="str">
        <f t="shared" ref="A200:A263" si="3">IF(B200="","",ROW()-7)</f>
        <v/>
      </c>
      <c r="B200" s="26"/>
      <c r="C200" s="27"/>
      <c r="D200" s="28" t="str">
        <f>IFERROR(IF(C200="","",INDEX(마스터!$F$4:$F$20,MATCH(C200,마스터!$M$4:$M$20,0))),"")</f>
        <v/>
      </c>
      <c r="E200" s="27"/>
      <c r="F200" s="29"/>
      <c r="G200" s="25" t="str">
        <f>IFERROR(IF(C200="","",INDEX(마스터!$J$4:$J$20,MATCH(C200,마스터!$M$4:$M$20,0))),"")</f>
        <v/>
      </c>
      <c r="H200" s="30"/>
      <c r="I200" s="30"/>
    </row>
    <row r="201" spans="1:9" ht="15" customHeight="1" x14ac:dyDescent="0.25">
      <c r="A201" s="25" t="str">
        <f t="shared" si="3"/>
        <v/>
      </c>
      <c r="B201" s="26"/>
      <c r="C201" s="27"/>
      <c r="D201" s="28" t="str">
        <f>IFERROR(IF(C201="","",INDEX(마스터!$F$4:$F$20,MATCH(C201,마스터!$M$4:$M$20,0))),"")</f>
        <v/>
      </c>
      <c r="E201" s="27"/>
      <c r="F201" s="29"/>
      <c r="G201" s="25" t="str">
        <f>IFERROR(IF(C201="","",INDEX(마스터!$J$4:$J$20,MATCH(C201,마스터!$M$4:$M$20,0))),"")</f>
        <v/>
      </c>
      <c r="H201" s="30"/>
      <c r="I201" s="30"/>
    </row>
    <row r="202" spans="1:9" ht="15" customHeight="1" x14ac:dyDescent="0.25">
      <c r="A202" s="25" t="str">
        <f t="shared" si="3"/>
        <v/>
      </c>
      <c r="B202" s="26"/>
      <c r="C202" s="27"/>
      <c r="D202" s="28" t="str">
        <f>IFERROR(IF(C202="","",INDEX(마스터!$F$4:$F$20,MATCH(C202,마스터!$M$4:$M$20,0))),"")</f>
        <v/>
      </c>
      <c r="E202" s="27"/>
      <c r="F202" s="29"/>
      <c r="G202" s="25" t="str">
        <f>IFERROR(IF(C202="","",INDEX(마스터!$J$4:$J$20,MATCH(C202,마스터!$M$4:$M$20,0))),"")</f>
        <v/>
      </c>
      <c r="H202" s="30"/>
      <c r="I202" s="30"/>
    </row>
    <row r="203" spans="1:9" ht="15" customHeight="1" x14ac:dyDescent="0.25">
      <c r="A203" s="25" t="str">
        <f t="shared" si="3"/>
        <v/>
      </c>
      <c r="B203" s="26"/>
      <c r="C203" s="27"/>
      <c r="D203" s="28" t="str">
        <f>IFERROR(IF(C203="","",INDEX(마스터!$F$4:$F$20,MATCH(C203,마스터!$M$4:$M$20,0))),"")</f>
        <v/>
      </c>
      <c r="E203" s="27"/>
      <c r="F203" s="29"/>
      <c r="G203" s="25" t="str">
        <f>IFERROR(IF(C203="","",INDEX(마스터!$J$4:$J$20,MATCH(C203,마스터!$M$4:$M$20,0))),"")</f>
        <v/>
      </c>
      <c r="H203" s="30"/>
      <c r="I203" s="30"/>
    </row>
    <row r="204" spans="1:9" ht="15" customHeight="1" x14ac:dyDescent="0.25">
      <c r="A204" s="25" t="str">
        <f t="shared" si="3"/>
        <v/>
      </c>
      <c r="B204" s="26"/>
      <c r="C204" s="27"/>
      <c r="D204" s="28" t="str">
        <f>IFERROR(IF(C204="","",INDEX(마스터!$F$4:$F$20,MATCH(C204,마스터!$M$4:$M$20,0))),"")</f>
        <v/>
      </c>
      <c r="E204" s="27"/>
      <c r="F204" s="29"/>
      <c r="G204" s="25" t="str">
        <f>IFERROR(IF(C204="","",INDEX(마스터!$J$4:$J$20,MATCH(C204,마스터!$M$4:$M$20,0))),"")</f>
        <v/>
      </c>
      <c r="H204" s="30"/>
      <c r="I204" s="30"/>
    </row>
    <row r="205" spans="1:9" ht="15" customHeight="1" x14ac:dyDescent="0.25">
      <c r="A205" s="25" t="str">
        <f t="shared" si="3"/>
        <v/>
      </c>
      <c r="B205" s="26"/>
      <c r="C205" s="27"/>
      <c r="D205" s="28" t="str">
        <f>IFERROR(IF(C205="","",INDEX(마스터!$F$4:$F$20,MATCH(C205,마스터!$M$4:$M$20,0))),"")</f>
        <v/>
      </c>
      <c r="E205" s="27"/>
      <c r="F205" s="29"/>
      <c r="G205" s="25" t="str">
        <f>IFERROR(IF(C205="","",INDEX(마스터!$J$4:$J$20,MATCH(C205,마스터!$M$4:$M$20,0))),"")</f>
        <v/>
      </c>
      <c r="H205" s="30"/>
      <c r="I205" s="30"/>
    </row>
    <row r="206" spans="1:9" ht="15" customHeight="1" x14ac:dyDescent="0.25">
      <c r="A206" s="25" t="str">
        <f t="shared" si="3"/>
        <v/>
      </c>
      <c r="B206" s="26"/>
      <c r="C206" s="27"/>
      <c r="D206" s="28" t="str">
        <f>IFERROR(IF(C206="","",INDEX(마스터!$F$4:$F$20,MATCH(C206,마스터!$M$4:$M$20,0))),"")</f>
        <v/>
      </c>
      <c r="E206" s="27"/>
      <c r="F206" s="29"/>
      <c r="G206" s="25" t="str">
        <f>IFERROR(IF(C206="","",INDEX(마스터!$J$4:$J$20,MATCH(C206,마스터!$M$4:$M$20,0))),"")</f>
        <v/>
      </c>
      <c r="H206" s="30"/>
      <c r="I206" s="30"/>
    </row>
    <row r="207" spans="1:9" ht="15" customHeight="1" x14ac:dyDescent="0.25">
      <c r="A207" s="25" t="str">
        <f t="shared" si="3"/>
        <v/>
      </c>
      <c r="B207" s="26"/>
      <c r="C207" s="27"/>
      <c r="D207" s="28" t="str">
        <f>IFERROR(IF(C207="","",INDEX(마스터!$F$4:$F$20,MATCH(C207,마스터!$M$4:$M$20,0))),"")</f>
        <v/>
      </c>
      <c r="E207" s="27"/>
      <c r="F207" s="29"/>
      <c r="G207" s="25" t="str">
        <f>IFERROR(IF(C207="","",INDEX(마스터!$J$4:$J$20,MATCH(C207,마스터!$M$4:$M$20,0))),"")</f>
        <v/>
      </c>
      <c r="H207" s="30"/>
      <c r="I207" s="30"/>
    </row>
    <row r="208" spans="1:9" ht="15" customHeight="1" x14ac:dyDescent="0.25">
      <c r="A208" s="25" t="str">
        <f t="shared" si="3"/>
        <v/>
      </c>
      <c r="B208" s="26"/>
      <c r="C208" s="27"/>
      <c r="D208" s="28" t="str">
        <f>IFERROR(IF(C208="","",INDEX(마스터!$F$4:$F$20,MATCH(C208,마스터!$M$4:$M$20,0))),"")</f>
        <v/>
      </c>
      <c r="E208" s="27"/>
      <c r="F208" s="29"/>
      <c r="G208" s="25" t="str">
        <f>IFERROR(IF(C208="","",INDEX(마스터!$J$4:$J$20,MATCH(C208,마스터!$M$4:$M$20,0))),"")</f>
        <v/>
      </c>
      <c r="H208" s="30"/>
      <c r="I208" s="30"/>
    </row>
    <row r="209" spans="1:9" ht="15" customHeight="1" x14ac:dyDescent="0.25">
      <c r="A209" s="25" t="str">
        <f t="shared" si="3"/>
        <v/>
      </c>
      <c r="B209" s="26"/>
      <c r="C209" s="27"/>
      <c r="D209" s="28" t="str">
        <f>IFERROR(IF(C209="","",INDEX(마스터!$F$4:$F$20,MATCH(C209,마스터!$M$4:$M$20,0))),"")</f>
        <v/>
      </c>
      <c r="E209" s="27"/>
      <c r="F209" s="29"/>
      <c r="G209" s="25" t="str">
        <f>IFERROR(IF(C209="","",INDEX(마스터!$J$4:$J$20,MATCH(C209,마스터!$M$4:$M$20,0))),"")</f>
        <v/>
      </c>
      <c r="H209" s="30"/>
      <c r="I209" s="30"/>
    </row>
    <row r="210" spans="1:9" ht="15" customHeight="1" x14ac:dyDescent="0.25">
      <c r="A210" s="25" t="str">
        <f t="shared" si="3"/>
        <v/>
      </c>
      <c r="B210" s="26"/>
      <c r="C210" s="27"/>
      <c r="D210" s="28" t="str">
        <f>IFERROR(IF(C210="","",INDEX(마스터!$F$4:$F$20,MATCH(C210,마스터!$M$4:$M$20,0))),"")</f>
        <v/>
      </c>
      <c r="E210" s="27"/>
      <c r="F210" s="29"/>
      <c r="G210" s="25" t="str">
        <f>IFERROR(IF(C210="","",INDEX(마스터!$J$4:$J$20,MATCH(C210,마스터!$M$4:$M$20,0))),"")</f>
        <v/>
      </c>
      <c r="H210" s="30"/>
      <c r="I210" s="30"/>
    </row>
    <row r="211" spans="1:9" ht="15" customHeight="1" x14ac:dyDescent="0.25">
      <c r="A211" s="25" t="str">
        <f t="shared" si="3"/>
        <v/>
      </c>
      <c r="B211" s="26"/>
      <c r="C211" s="27"/>
      <c r="D211" s="28" t="str">
        <f>IFERROR(IF(C211="","",INDEX(마스터!$F$4:$F$20,MATCH(C211,마스터!$M$4:$M$20,0))),"")</f>
        <v/>
      </c>
      <c r="E211" s="27"/>
      <c r="F211" s="29"/>
      <c r="G211" s="25" t="str">
        <f>IFERROR(IF(C211="","",INDEX(마스터!$J$4:$J$20,MATCH(C211,마스터!$M$4:$M$20,0))),"")</f>
        <v/>
      </c>
      <c r="H211" s="30"/>
      <c r="I211" s="30"/>
    </row>
    <row r="212" spans="1:9" ht="15" customHeight="1" x14ac:dyDescent="0.25">
      <c r="A212" s="25" t="str">
        <f t="shared" si="3"/>
        <v/>
      </c>
      <c r="B212" s="26"/>
      <c r="C212" s="27"/>
      <c r="D212" s="28" t="str">
        <f>IFERROR(IF(C212="","",INDEX(마스터!$F$4:$F$20,MATCH(C212,마스터!$M$4:$M$20,0))),"")</f>
        <v/>
      </c>
      <c r="E212" s="27"/>
      <c r="F212" s="29"/>
      <c r="G212" s="25" t="str">
        <f>IFERROR(IF(C212="","",INDEX(마스터!$J$4:$J$20,MATCH(C212,마스터!$M$4:$M$20,0))),"")</f>
        <v/>
      </c>
      <c r="H212" s="30"/>
      <c r="I212" s="30"/>
    </row>
    <row r="213" spans="1:9" ht="15" customHeight="1" x14ac:dyDescent="0.25">
      <c r="A213" s="25" t="str">
        <f t="shared" si="3"/>
        <v/>
      </c>
      <c r="B213" s="26"/>
      <c r="C213" s="27"/>
      <c r="D213" s="28" t="str">
        <f>IFERROR(IF(C213="","",INDEX(마스터!$F$4:$F$20,MATCH(C213,마스터!$M$4:$M$20,0))),"")</f>
        <v/>
      </c>
      <c r="E213" s="27"/>
      <c r="F213" s="29"/>
      <c r="G213" s="25" t="str">
        <f>IFERROR(IF(C213="","",INDEX(마스터!$J$4:$J$20,MATCH(C213,마스터!$M$4:$M$20,0))),"")</f>
        <v/>
      </c>
      <c r="H213" s="30"/>
      <c r="I213" s="30"/>
    </row>
    <row r="214" spans="1:9" ht="15" customHeight="1" x14ac:dyDescent="0.25">
      <c r="A214" s="25" t="str">
        <f t="shared" si="3"/>
        <v/>
      </c>
      <c r="B214" s="26"/>
      <c r="C214" s="27"/>
      <c r="D214" s="28" t="str">
        <f>IFERROR(IF(C214="","",INDEX(마스터!$F$4:$F$20,MATCH(C214,마스터!$M$4:$M$20,0))),"")</f>
        <v/>
      </c>
      <c r="E214" s="27"/>
      <c r="F214" s="29"/>
      <c r="G214" s="25" t="str">
        <f>IFERROR(IF(C214="","",INDEX(마스터!$J$4:$J$20,MATCH(C214,마스터!$M$4:$M$20,0))),"")</f>
        <v/>
      </c>
      <c r="H214" s="30"/>
      <c r="I214" s="30"/>
    </row>
    <row r="215" spans="1:9" ht="15" customHeight="1" x14ac:dyDescent="0.25">
      <c r="A215" s="25" t="str">
        <f t="shared" si="3"/>
        <v/>
      </c>
      <c r="B215" s="26"/>
      <c r="C215" s="27"/>
      <c r="D215" s="28" t="str">
        <f>IFERROR(IF(C215="","",INDEX(마스터!$F$4:$F$20,MATCH(C215,마스터!$M$4:$M$20,0))),"")</f>
        <v/>
      </c>
      <c r="E215" s="27"/>
      <c r="F215" s="29"/>
      <c r="G215" s="25" t="str">
        <f>IFERROR(IF(C215="","",INDEX(마스터!$J$4:$J$20,MATCH(C215,마스터!$M$4:$M$20,0))),"")</f>
        <v/>
      </c>
      <c r="H215" s="30"/>
      <c r="I215" s="30"/>
    </row>
    <row r="216" spans="1:9" ht="15" customHeight="1" x14ac:dyDescent="0.25">
      <c r="A216" s="25" t="str">
        <f t="shared" si="3"/>
        <v/>
      </c>
      <c r="B216" s="26"/>
      <c r="C216" s="27"/>
      <c r="D216" s="28" t="str">
        <f>IFERROR(IF(C216="","",INDEX(마스터!$F$4:$F$20,MATCH(C216,마스터!$M$4:$M$20,0))),"")</f>
        <v/>
      </c>
      <c r="E216" s="27"/>
      <c r="F216" s="29"/>
      <c r="G216" s="25" t="str">
        <f>IFERROR(IF(C216="","",INDEX(마스터!$J$4:$J$20,MATCH(C216,마스터!$M$4:$M$20,0))),"")</f>
        <v/>
      </c>
      <c r="H216" s="30"/>
      <c r="I216" s="30"/>
    </row>
    <row r="217" spans="1:9" ht="15" customHeight="1" x14ac:dyDescent="0.25">
      <c r="A217" s="25" t="str">
        <f t="shared" si="3"/>
        <v/>
      </c>
      <c r="B217" s="26"/>
      <c r="C217" s="27"/>
      <c r="D217" s="28" t="str">
        <f>IFERROR(IF(C217="","",INDEX(마스터!$F$4:$F$20,MATCH(C217,마스터!$M$4:$M$20,0))),"")</f>
        <v/>
      </c>
      <c r="E217" s="27"/>
      <c r="F217" s="29"/>
      <c r="G217" s="25" t="str">
        <f>IFERROR(IF(C217="","",INDEX(마스터!$J$4:$J$20,MATCH(C217,마스터!$M$4:$M$20,0))),"")</f>
        <v/>
      </c>
      <c r="H217" s="30"/>
      <c r="I217" s="30"/>
    </row>
    <row r="218" spans="1:9" ht="15" customHeight="1" x14ac:dyDescent="0.25">
      <c r="A218" s="25" t="str">
        <f t="shared" si="3"/>
        <v/>
      </c>
      <c r="B218" s="26"/>
      <c r="C218" s="27"/>
      <c r="D218" s="28" t="str">
        <f>IFERROR(IF(C218="","",INDEX(마스터!$F$4:$F$20,MATCH(C218,마스터!$M$4:$M$20,0))),"")</f>
        <v/>
      </c>
      <c r="E218" s="27"/>
      <c r="F218" s="29"/>
      <c r="G218" s="25" t="str">
        <f>IFERROR(IF(C218="","",INDEX(마스터!$J$4:$J$20,MATCH(C218,마스터!$M$4:$M$20,0))),"")</f>
        <v/>
      </c>
      <c r="H218" s="30"/>
      <c r="I218" s="30"/>
    </row>
    <row r="219" spans="1:9" ht="15" customHeight="1" x14ac:dyDescent="0.25">
      <c r="A219" s="25" t="str">
        <f t="shared" si="3"/>
        <v/>
      </c>
      <c r="B219" s="26"/>
      <c r="C219" s="27"/>
      <c r="D219" s="28" t="str">
        <f>IFERROR(IF(C219="","",INDEX(마스터!$F$4:$F$20,MATCH(C219,마스터!$M$4:$M$20,0))),"")</f>
        <v/>
      </c>
      <c r="E219" s="27"/>
      <c r="F219" s="29"/>
      <c r="G219" s="25" t="str">
        <f>IFERROR(IF(C219="","",INDEX(마스터!$J$4:$J$20,MATCH(C219,마스터!$M$4:$M$20,0))),"")</f>
        <v/>
      </c>
      <c r="H219" s="30"/>
      <c r="I219" s="30"/>
    </row>
    <row r="220" spans="1:9" ht="15" customHeight="1" x14ac:dyDescent="0.25">
      <c r="A220" s="25" t="str">
        <f t="shared" si="3"/>
        <v/>
      </c>
      <c r="B220" s="26"/>
      <c r="C220" s="27"/>
      <c r="D220" s="28" t="str">
        <f>IFERROR(IF(C220="","",INDEX(마스터!$F$4:$F$20,MATCH(C220,마스터!$M$4:$M$20,0))),"")</f>
        <v/>
      </c>
      <c r="E220" s="27"/>
      <c r="F220" s="29"/>
      <c r="G220" s="25" t="str">
        <f>IFERROR(IF(C220="","",INDEX(마스터!$J$4:$J$20,MATCH(C220,마스터!$M$4:$M$20,0))),"")</f>
        <v/>
      </c>
      <c r="H220" s="30"/>
      <c r="I220" s="30"/>
    </row>
    <row r="221" spans="1:9" ht="15" customHeight="1" x14ac:dyDescent="0.25">
      <c r="A221" s="25" t="str">
        <f t="shared" si="3"/>
        <v/>
      </c>
      <c r="B221" s="26"/>
      <c r="C221" s="27"/>
      <c r="D221" s="28" t="str">
        <f>IFERROR(IF(C221="","",INDEX(마스터!$F$4:$F$20,MATCH(C221,마스터!$M$4:$M$20,0))),"")</f>
        <v/>
      </c>
      <c r="E221" s="27"/>
      <c r="F221" s="29"/>
      <c r="G221" s="25" t="str">
        <f>IFERROR(IF(C221="","",INDEX(마스터!$J$4:$J$20,MATCH(C221,마스터!$M$4:$M$20,0))),"")</f>
        <v/>
      </c>
      <c r="H221" s="30"/>
      <c r="I221" s="30"/>
    </row>
    <row r="222" spans="1:9" ht="15" customHeight="1" x14ac:dyDescent="0.25">
      <c r="A222" s="25" t="str">
        <f t="shared" si="3"/>
        <v/>
      </c>
      <c r="B222" s="26"/>
      <c r="C222" s="27"/>
      <c r="D222" s="28" t="str">
        <f>IFERROR(IF(C222="","",INDEX(마스터!$F$4:$F$20,MATCH(C222,마스터!$M$4:$M$20,0))),"")</f>
        <v/>
      </c>
      <c r="E222" s="27"/>
      <c r="F222" s="29"/>
      <c r="G222" s="25" t="str">
        <f>IFERROR(IF(C222="","",INDEX(마스터!$J$4:$J$20,MATCH(C222,마스터!$M$4:$M$20,0))),"")</f>
        <v/>
      </c>
      <c r="H222" s="30"/>
      <c r="I222" s="30"/>
    </row>
    <row r="223" spans="1:9" ht="15" customHeight="1" x14ac:dyDescent="0.25">
      <c r="A223" s="25" t="str">
        <f t="shared" si="3"/>
        <v/>
      </c>
      <c r="B223" s="26"/>
      <c r="C223" s="27"/>
      <c r="D223" s="28" t="str">
        <f>IFERROR(IF(C223="","",INDEX(마스터!$F$4:$F$20,MATCH(C223,마스터!$M$4:$M$20,0))),"")</f>
        <v/>
      </c>
      <c r="E223" s="27"/>
      <c r="F223" s="29"/>
      <c r="G223" s="25" t="str">
        <f>IFERROR(IF(C223="","",INDEX(마스터!$J$4:$J$20,MATCH(C223,마스터!$M$4:$M$20,0))),"")</f>
        <v/>
      </c>
      <c r="H223" s="30"/>
      <c r="I223" s="30"/>
    </row>
    <row r="224" spans="1:9" ht="15" customHeight="1" x14ac:dyDescent="0.25">
      <c r="A224" s="25" t="str">
        <f t="shared" si="3"/>
        <v/>
      </c>
      <c r="B224" s="26"/>
      <c r="C224" s="27"/>
      <c r="D224" s="28" t="str">
        <f>IFERROR(IF(C224="","",INDEX(마스터!$F$4:$F$20,MATCH(C224,마스터!$M$4:$M$20,0))),"")</f>
        <v/>
      </c>
      <c r="E224" s="27"/>
      <c r="F224" s="29"/>
      <c r="G224" s="25" t="str">
        <f>IFERROR(IF(C224="","",INDEX(마스터!$J$4:$J$20,MATCH(C224,마스터!$M$4:$M$20,0))),"")</f>
        <v/>
      </c>
      <c r="H224" s="30"/>
      <c r="I224" s="30"/>
    </row>
    <row r="225" spans="1:9" ht="15" customHeight="1" x14ac:dyDescent="0.25">
      <c r="A225" s="25" t="str">
        <f t="shared" si="3"/>
        <v/>
      </c>
      <c r="B225" s="26"/>
      <c r="C225" s="27"/>
      <c r="D225" s="28" t="str">
        <f>IFERROR(IF(C225="","",INDEX(마스터!$F$4:$F$20,MATCH(C225,마스터!$M$4:$M$20,0))),"")</f>
        <v/>
      </c>
      <c r="E225" s="27"/>
      <c r="F225" s="29"/>
      <c r="G225" s="25" t="str">
        <f>IFERROR(IF(C225="","",INDEX(마스터!$J$4:$J$20,MATCH(C225,마스터!$M$4:$M$20,0))),"")</f>
        <v/>
      </c>
      <c r="H225" s="30"/>
      <c r="I225" s="30"/>
    </row>
    <row r="226" spans="1:9" ht="15" customHeight="1" x14ac:dyDescent="0.25">
      <c r="A226" s="25" t="str">
        <f t="shared" si="3"/>
        <v/>
      </c>
      <c r="B226" s="26"/>
      <c r="C226" s="27"/>
      <c r="D226" s="28" t="str">
        <f>IFERROR(IF(C226="","",INDEX(마스터!$F$4:$F$20,MATCH(C226,마스터!$M$4:$M$20,0))),"")</f>
        <v/>
      </c>
      <c r="E226" s="27"/>
      <c r="F226" s="29"/>
      <c r="G226" s="25" t="str">
        <f>IFERROR(IF(C226="","",INDEX(마스터!$J$4:$J$20,MATCH(C226,마스터!$M$4:$M$20,0))),"")</f>
        <v/>
      </c>
      <c r="H226" s="30"/>
      <c r="I226" s="30"/>
    </row>
    <row r="227" spans="1:9" ht="15" customHeight="1" x14ac:dyDescent="0.25">
      <c r="A227" s="25" t="str">
        <f t="shared" si="3"/>
        <v/>
      </c>
      <c r="B227" s="26"/>
      <c r="C227" s="27"/>
      <c r="D227" s="28" t="str">
        <f>IFERROR(IF(C227="","",INDEX(마스터!$F$4:$F$20,MATCH(C227,마스터!$M$4:$M$20,0))),"")</f>
        <v/>
      </c>
      <c r="E227" s="27"/>
      <c r="F227" s="29"/>
      <c r="G227" s="25" t="str">
        <f>IFERROR(IF(C227="","",INDEX(마스터!$J$4:$J$20,MATCH(C227,마스터!$M$4:$M$20,0))),"")</f>
        <v/>
      </c>
      <c r="H227" s="30"/>
      <c r="I227" s="30"/>
    </row>
    <row r="228" spans="1:9" ht="15" customHeight="1" x14ac:dyDescent="0.25">
      <c r="A228" s="25" t="str">
        <f t="shared" si="3"/>
        <v/>
      </c>
      <c r="B228" s="26"/>
      <c r="C228" s="27"/>
      <c r="D228" s="28" t="str">
        <f>IFERROR(IF(C228="","",INDEX(마스터!$F$4:$F$20,MATCH(C228,마스터!$M$4:$M$20,0))),"")</f>
        <v/>
      </c>
      <c r="E228" s="27"/>
      <c r="F228" s="29"/>
      <c r="G228" s="25" t="str">
        <f>IFERROR(IF(C228="","",INDEX(마스터!$J$4:$J$20,MATCH(C228,마스터!$M$4:$M$20,0))),"")</f>
        <v/>
      </c>
      <c r="H228" s="30"/>
      <c r="I228" s="30"/>
    </row>
    <row r="229" spans="1:9" ht="15" customHeight="1" x14ac:dyDescent="0.25">
      <c r="A229" s="25" t="str">
        <f t="shared" si="3"/>
        <v/>
      </c>
      <c r="B229" s="26"/>
      <c r="C229" s="27"/>
      <c r="D229" s="28" t="str">
        <f>IFERROR(IF(C229="","",INDEX(마스터!$F$4:$F$20,MATCH(C229,마스터!$M$4:$M$20,0))),"")</f>
        <v/>
      </c>
      <c r="E229" s="27"/>
      <c r="F229" s="29"/>
      <c r="G229" s="25" t="str">
        <f>IFERROR(IF(C229="","",INDEX(마스터!$J$4:$J$20,MATCH(C229,마스터!$M$4:$M$20,0))),"")</f>
        <v/>
      </c>
      <c r="H229" s="30"/>
      <c r="I229" s="30"/>
    </row>
    <row r="230" spans="1:9" ht="15" customHeight="1" x14ac:dyDescent="0.25">
      <c r="A230" s="25" t="str">
        <f t="shared" si="3"/>
        <v/>
      </c>
      <c r="B230" s="26"/>
      <c r="C230" s="27"/>
      <c r="D230" s="28" t="str">
        <f>IFERROR(IF(C230="","",INDEX(마스터!$F$4:$F$20,MATCH(C230,마스터!$M$4:$M$20,0))),"")</f>
        <v/>
      </c>
      <c r="E230" s="27"/>
      <c r="F230" s="29"/>
      <c r="G230" s="25" t="str">
        <f>IFERROR(IF(C230="","",INDEX(마스터!$J$4:$J$20,MATCH(C230,마스터!$M$4:$M$20,0))),"")</f>
        <v/>
      </c>
      <c r="H230" s="30"/>
      <c r="I230" s="30"/>
    </row>
    <row r="231" spans="1:9" ht="15" customHeight="1" x14ac:dyDescent="0.25">
      <c r="A231" s="25" t="str">
        <f t="shared" si="3"/>
        <v/>
      </c>
      <c r="B231" s="26"/>
      <c r="C231" s="27"/>
      <c r="D231" s="28" t="str">
        <f>IFERROR(IF(C231="","",INDEX(마스터!$F$4:$F$20,MATCH(C231,마스터!$M$4:$M$20,0))),"")</f>
        <v/>
      </c>
      <c r="E231" s="27"/>
      <c r="F231" s="29"/>
      <c r="G231" s="25" t="str">
        <f>IFERROR(IF(C231="","",INDEX(마스터!$J$4:$J$20,MATCH(C231,마스터!$M$4:$M$20,0))),"")</f>
        <v/>
      </c>
      <c r="H231" s="30"/>
      <c r="I231" s="30"/>
    </row>
    <row r="232" spans="1:9" ht="15" customHeight="1" x14ac:dyDescent="0.25">
      <c r="A232" s="25" t="str">
        <f t="shared" si="3"/>
        <v/>
      </c>
      <c r="B232" s="26"/>
      <c r="C232" s="27"/>
      <c r="D232" s="28" t="str">
        <f>IFERROR(IF(C232="","",INDEX(마스터!$F$4:$F$20,MATCH(C232,마스터!$M$4:$M$20,0))),"")</f>
        <v/>
      </c>
      <c r="E232" s="27"/>
      <c r="F232" s="29"/>
      <c r="G232" s="25" t="str">
        <f>IFERROR(IF(C232="","",INDEX(마스터!$J$4:$J$20,MATCH(C232,마스터!$M$4:$M$20,0))),"")</f>
        <v/>
      </c>
      <c r="H232" s="30"/>
      <c r="I232" s="30"/>
    </row>
    <row r="233" spans="1:9" ht="15" customHeight="1" x14ac:dyDescent="0.25">
      <c r="A233" s="25" t="str">
        <f t="shared" si="3"/>
        <v/>
      </c>
      <c r="B233" s="26"/>
      <c r="C233" s="27"/>
      <c r="D233" s="28" t="str">
        <f>IFERROR(IF(C233="","",INDEX(마스터!$F$4:$F$20,MATCH(C233,마스터!$M$4:$M$20,0))),"")</f>
        <v/>
      </c>
      <c r="E233" s="27"/>
      <c r="F233" s="29"/>
      <c r="G233" s="25" t="str">
        <f>IFERROR(IF(C233="","",INDEX(마스터!$J$4:$J$20,MATCH(C233,마스터!$M$4:$M$20,0))),"")</f>
        <v/>
      </c>
      <c r="H233" s="30"/>
      <c r="I233" s="30"/>
    </row>
    <row r="234" spans="1:9" ht="15" customHeight="1" x14ac:dyDescent="0.25">
      <c r="A234" s="25" t="str">
        <f t="shared" si="3"/>
        <v/>
      </c>
      <c r="B234" s="26"/>
      <c r="C234" s="27"/>
      <c r="D234" s="28" t="str">
        <f>IFERROR(IF(C234="","",INDEX(마스터!$F$4:$F$20,MATCH(C234,마스터!$M$4:$M$20,0))),"")</f>
        <v/>
      </c>
      <c r="E234" s="27"/>
      <c r="F234" s="29"/>
      <c r="G234" s="25" t="str">
        <f>IFERROR(IF(C234="","",INDEX(마스터!$J$4:$J$20,MATCH(C234,마스터!$M$4:$M$20,0))),"")</f>
        <v/>
      </c>
      <c r="H234" s="30"/>
      <c r="I234" s="30"/>
    </row>
    <row r="235" spans="1:9" ht="15" customHeight="1" x14ac:dyDescent="0.25">
      <c r="A235" s="25" t="str">
        <f t="shared" si="3"/>
        <v/>
      </c>
      <c r="B235" s="26"/>
      <c r="C235" s="27"/>
      <c r="D235" s="28" t="str">
        <f>IFERROR(IF(C235="","",INDEX(마스터!$F$4:$F$20,MATCH(C235,마스터!$M$4:$M$20,0))),"")</f>
        <v/>
      </c>
      <c r="E235" s="27"/>
      <c r="F235" s="29"/>
      <c r="G235" s="25" t="str">
        <f>IFERROR(IF(C235="","",INDEX(마스터!$J$4:$J$20,MATCH(C235,마스터!$M$4:$M$20,0))),"")</f>
        <v/>
      </c>
      <c r="H235" s="30"/>
      <c r="I235" s="30"/>
    </row>
    <row r="236" spans="1:9" ht="15" customHeight="1" x14ac:dyDescent="0.25">
      <c r="A236" s="25" t="str">
        <f t="shared" si="3"/>
        <v/>
      </c>
      <c r="B236" s="26"/>
      <c r="C236" s="27"/>
      <c r="D236" s="28" t="str">
        <f>IFERROR(IF(C236="","",INDEX(마스터!$F$4:$F$20,MATCH(C236,마스터!$M$4:$M$20,0))),"")</f>
        <v/>
      </c>
      <c r="E236" s="27"/>
      <c r="F236" s="29"/>
      <c r="G236" s="25" t="str">
        <f>IFERROR(IF(C236="","",INDEX(마스터!$J$4:$J$20,MATCH(C236,마스터!$M$4:$M$20,0))),"")</f>
        <v/>
      </c>
      <c r="H236" s="30"/>
      <c r="I236" s="30"/>
    </row>
    <row r="237" spans="1:9" ht="15" customHeight="1" x14ac:dyDescent="0.25">
      <c r="A237" s="25" t="str">
        <f t="shared" si="3"/>
        <v/>
      </c>
      <c r="B237" s="26"/>
      <c r="C237" s="27"/>
      <c r="D237" s="28" t="str">
        <f>IFERROR(IF(C237="","",INDEX(마스터!$F$4:$F$20,MATCH(C237,마스터!$M$4:$M$20,0))),"")</f>
        <v/>
      </c>
      <c r="E237" s="27"/>
      <c r="F237" s="29"/>
      <c r="G237" s="25" t="str">
        <f>IFERROR(IF(C237="","",INDEX(마스터!$J$4:$J$20,MATCH(C237,마스터!$M$4:$M$20,0))),"")</f>
        <v/>
      </c>
      <c r="H237" s="30"/>
      <c r="I237" s="30"/>
    </row>
    <row r="238" spans="1:9" ht="15" customHeight="1" x14ac:dyDescent="0.25">
      <c r="A238" s="25" t="str">
        <f t="shared" si="3"/>
        <v/>
      </c>
      <c r="B238" s="26"/>
      <c r="C238" s="27"/>
      <c r="D238" s="28" t="str">
        <f>IFERROR(IF(C238="","",INDEX(마스터!$F$4:$F$20,MATCH(C238,마스터!$M$4:$M$20,0))),"")</f>
        <v/>
      </c>
      <c r="E238" s="27"/>
      <c r="F238" s="29"/>
      <c r="G238" s="25" t="str">
        <f>IFERROR(IF(C238="","",INDEX(마스터!$J$4:$J$20,MATCH(C238,마스터!$M$4:$M$20,0))),"")</f>
        <v/>
      </c>
      <c r="H238" s="30"/>
      <c r="I238" s="30"/>
    </row>
    <row r="239" spans="1:9" ht="15" customHeight="1" x14ac:dyDescent="0.25">
      <c r="A239" s="25" t="str">
        <f t="shared" si="3"/>
        <v/>
      </c>
      <c r="B239" s="26"/>
      <c r="C239" s="27"/>
      <c r="D239" s="28" t="str">
        <f>IFERROR(IF(C239="","",INDEX(마스터!$F$4:$F$20,MATCH(C239,마스터!$M$4:$M$20,0))),"")</f>
        <v/>
      </c>
      <c r="E239" s="27"/>
      <c r="F239" s="29"/>
      <c r="G239" s="25" t="str">
        <f>IFERROR(IF(C239="","",INDEX(마스터!$J$4:$J$20,MATCH(C239,마스터!$M$4:$M$20,0))),"")</f>
        <v/>
      </c>
      <c r="H239" s="30"/>
      <c r="I239" s="30"/>
    </row>
    <row r="240" spans="1:9" ht="15" customHeight="1" x14ac:dyDescent="0.25">
      <c r="A240" s="25" t="str">
        <f t="shared" si="3"/>
        <v/>
      </c>
      <c r="B240" s="26"/>
      <c r="C240" s="27"/>
      <c r="D240" s="28" t="str">
        <f>IFERROR(IF(C240="","",INDEX(마스터!$F$4:$F$20,MATCH(C240,마스터!$M$4:$M$20,0))),"")</f>
        <v/>
      </c>
      <c r="E240" s="27"/>
      <c r="F240" s="29"/>
      <c r="G240" s="25" t="str">
        <f>IFERROR(IF(C240="","",INDEX(마스터!$J$4:$J$20,MATCH(C240,마스터!$M$4:$M$20,0))),"")</f>
        <v/>
      </c>
      <c r="H240" s="30"/>
      <c r="I240" s="30"/>
    </row>
    <row r="241" spans="1:9" ht="15" customHeight="1" x14ac:dyDescent="0.25">
      <c r="A241" s="25" t="str">
        <f t="shared" si="3"/>
        <v/>
      </c>
      <c r="B241" s="26"/>
      <c r="C241" s="27"/>
      <c r="D241" s="28" t="str">
        <f>IFERROR(IF(C241="","",INDEX(마스터!$F$4:$F$20,MATCH(C241,마스터!$M$4:$M$20,0))),"")</f>
        <v/>
      </c>
      <c r="E241" s="27"/>
      <c r="F241" s="29"/>
      <c r="G241" s="25" t="str">
        <f>IFERROR(IF(C241="","",INDEX(마스터!$J$4:$J$20,MATCH(C241,마스터!$M$4:$M$20,0))),"")</f>
        <v/>
      </c>
      <c r="H241" s="30"/>
      <c r="I241" s="30"/>
    </row>
    <row r="242" spans="1:9" ht="15" customHeight="1" x14ac:dyDescent="0.25">
      <c r="A242" s="25" t="str">
        <f t="shared" si="3"/>
        <v/>
      </c>
      <c r="B242" s="26"/>
      <c r="C242" s="27"/>
      <c r="D242" s="28" t="str">
        <f>IFERROR(IF(C242="","",INDEX(마스터!$F$4:$F$20,MATCH(C242,마스터!$M$4:$M$20,0))),"")</f>
        <v/>
      </c>
      <c r="E242" s="27"/>
      <c r="F242" s="29"/>
      <c r="G242" s="25" t="str">
        <f>IFERROR(IF(C242="","",INDEX(마스터!$J$4:$J$20,MATCH(C242,마스터!$M$4:$M$20,0))),"")</f>
        <v/>
      </c>
      <c r="H242" s="30"/>
      <c r="I242" s="30"/>
    </row>
    <row r="243" spans="1:9" ht="15" customHeight="1" x14ac:dyDescent="0.25">
      <c r="A243" s="25" t="str">
        <f t="shared" si="3"/>
        <v/>
      </c>
      <c r="B243" s="26"/>
      <c r="C243" s="27"/>
      <c r="D243" s="28" t="str">
        <f>IFERROR(IF(C243="","",INDEX(마스터!$F$4:$F$20,MATCH(C243,마스터!$M$4:$M$20,0))),"")</f>
        <v/>
      </c>
      <c r="E243" s="27"/>
      <c r="F243" s="29"/>
      <c r="G243" s="25" t="str">
        <f>IFERROR(IF(C243="","",INDEX(마스터!$J$4:$J$20,MATCH(C243,마스터!$M$4:$M$20,0))),"")</f>
        <v/>
      </c>
      <c r="H243" s="30"/>
      <c r="I243" s="30"/>
    </row>
    <row r="244" spans="1:9" ht="15" customHeight="1" x14ac:dyDescent="0.25">
      <c r="A244" s="25" t="str">
        <f t="shared" si="3"/>
        <v/>
      </c>
      <c r="B244" s="26"/>
      <c r="C244" s="27"/>
      <c r="D244" s="28" t="str">
        <f>IFERROR(IF(C244="","",INDEX(마스터!$F$4:$F$20,MATCH(C244,마스터!$M$4:$M$20,0))),"")</f>
        <v/>
      </c>
      <c r="E244" s="27"/>
      <c r="F244" s="29"/>
      <c r="G244" s="25" t="str">
        <f>IFERROR(IF(C244="","",INDEX(마스터!$J$4:$J$20,MATCH(C244,마스터!$M$4:$M$20,0))),"")</f>
        <v/>
      </c>
      <c r="H244" s="30"/>
      <c r="I244" s="30"/>
    </row>
    <row r="245" spans="1:9" ht="15" customHeight="1" x14ac:dyDescent="0.25">
      <c r="A245" s="25" t="str">
        <f t="shared" si="3"/>
        <v/>
      </c>
      <c r="B245" s="26"/>
      <c r="C245" s="27"/>
      <c r="D245" s="28" t="str">
        <f>IFERROR(IF(C245="","",INDEX(마스터!$F$4:$F$20,MATCH(C245,마스터!$M$4:$M$20,0))),"")</f>
        <v/>
      </c>
      <c r="E245" s="27"/>
      <c r="F245" s="29"/>
      <c r="G245" s="25" t="str">
        <f>IFERROR(IF(C245="","",INDEX(마스터!$J$4:$J$20,MATCH(C245,마스터!$M$4:$M$20,0))),"")</f>
        <v/>
      </c>
      <c r="H245" s="30"/>
      <c r="I245" s="30"/>
    </row>
    <row r="246" spans="1:9" ht="15" customHeight="1" x14ac:dyDescent="0.25">
      <c r="A246" s="25" t="str">
        <f t="shared" si="3"/>
        <v/>
      </c>
      <c r="B246" s="26"/>
      <c r="C246" s="27"/>
      <c r="D246" s="28" t="str">
        <f>IFERROR(IF(C246="","",INDEX(마스터!$F$4:$F$20,MATCH(C246,마스터!$M$4:$M$20,0))),"")</f>
        <v/>
      </c>
      <c r="E246" s="27"/>
      <c r="F246" s="29"/>
      <c r="G246" s="25" t="str">
        <f>IFERROR(IF(C246="","",INDEX(마스터!$J$4:$J$20,MATCH(C246,마스터!$M$4:$M$20,0))),"")</f>
        <v/>
      </c>
      <c r="H246" s="30"/>
      <c r="I246" s="30"/>
    </row>
    <row r="247" spans="1:9" ht="15" customHeight="1" x14ac:dyDescent="0.25">
      <c r="A247" s="25" t="str">
        <f t="shared" si="3"/>
        <v/>
      </c>
      <c r="B247" s="26"/>
      <c r="C247" s="27"/>
      <c r="D247" s="28" t="str">
        <f>IFERROR(IF(C247="","",INDEX(마스터!$F$4:$F$20,MATCH(C247,마스터!$M$4:$M$20,0))),"")</f>
        <v/>
      </c>
      <c r="E247" s="27"/>
      <c r="F247" s="29"/>
      <c r="G247" s="25" t="str">
        <f>IFERROR(IF(C247="","",INDEX(마스터!$J$4:$J$20,MATCH(C247,마스터!$M$4:$M$20,0))),"")</f>
        <v/>
      </c>
      <c r="H247" s="30"/>
      <c r="I247" s="30"/>
    </row>
    <row r="248" spans="1:9" ht="15" customHeight="1" x14ac:dyDescent="0.25">
      <c r="A248" s="25" t="str">
        <f t="shared" si="3"/>
        <v/>
      </c>
      <c r="B248" s="26"/>
      <c r="C248" s="27"/>
      <c r="D248" s="28" t="str">
        <f>IFERROR(IF(C248="","",INDEX(마스터!$F$4:$F$20,MATCH(C248,마스터!$M$4:$M$20,0))),"")</f>
        <v/>
      </c>
      <c r="E248" s="27"/>
      <c r="F248" s="29"/>
      <c r="G248" s="25" t="str">
        <f>IFERROR(IF(C248="","",INDEX(마스터!$J$4:$J$20,MATCH(C248,마스터!$M$4:$M$20,0))),"")</f>
        <v/>
      </c>
      <c r="H248" s="30"/>
      <c r="I248" s="30"/>
    </row>
    <row r="249" spans="1:9" ht="15" customHeight="1" x14ac:dyDescent="0.25">
      <c r="A249" s="25" t="str">
        <f t="shared" si="3"/>
        <v/>
      </c>
      <c r="B249" s="26"/>
      <c r="C249" s="27"/>
      <c r="D249" s="28" t="str">
        <f>IFERROR(IF(C249="","",INDEX(마스터!$F$4:$F$20,MATCH(C249,마스터!$M$4:$M$20,0))),"")</f>
        <v/>
      </c>
      <c r="E249" s="27"/>
      <c r="F249" s="29"/>
      <c r="G249" s="25" t="str">
        <f>IFERROR(IF(C249="","",INDEX(마스터!$J$4:$J$20,MATCH(C249,마스터!$M$4:$M$20,0))),"")</f>
        <v/>
      </c>
      <c r="H249" s="30"/>
      <c r="I249" s="30"/>
    </row>
    <row r="250" spans="1:9" ht="15" customHeight="1" x14ac:dyDescent="0.25">
      <c r="A250" s="25" t="str">
        <f t="shared" si="3"/>
        <v/>
      </c>
      <c r="B250" s="26"/>
      <c r="C250" s="27"/>
      <c r="D250" s="28" t="str">
        <f>IFERROR(IF(C250="","",INDEX(마스터!$F$4:$F$20,MATCH(C250,마스터!$M$4:$M$20,0))),"")</f>
        <v/>
      </c>
      <c r="E250" s="27"/>
      <c r="F250" s="29"/>
      <c r="G250" s="25" t="str">
        <f>IFERROR(IF(C250="","",INDEX(마스터!$J$4:$J$20,MATCH(C250,마스터!$M$4:$M$20,0))),"")</f>
        <v/>
      </c>
      <c r="H250" s="30"/>
      <c r="I250" s="30"/>
    </row>
    <row r="251" spans="1:9" ht="15" customHeight="1" x14ac:dyDescent="0.25">
      <c r="A251" s="25" t="str">
        <f t="shared" si="3"/>
        <v/>
      </c>
      <c r="B251" s="26"/>
      <c r="C251" s="27"/>
      <c r="D251" s="28" t="str">
        <f>IFERROR(IF(C251="","",INDEX(마스터!$F$4:$F$20,MATCH(C251,마스터!$M$4:$M$20,0))),"")</f>
        <v/>
      </c>
      <c r="E251" s="27"/>
      <c r="F251" s="29"/>
      <c r="G251" s="25" t="str">
        <f>IFERROR(IF(C251="","",INDEX(마스터!$J$4:$J$20,MATCH(C251,마스터!$M$4:$M$20,0))),"")</f>
        <v/>
      </c>
      <c r="H251" s="30"/>
      <c r="I251" s="30"/>
    </row>
    <row r="252" spans="1:9" ht="15" customHeight="1" x14ac:dyDescent="0.25">
      <c r="A252" s="25" t="str">
        <f t="shared" si="3"/>
        <v/>
      </c>
      <c r="B252" s="26"/>
      <c r="C252" s="27"/>
      <c r="D252" s="28" t="str">
        <f>IFERROR(IF(C252="","",INDEX(마스터!$F$4:$F$20,MATCH(C252,마스터!$M$4:$M$20,0))),"")</f>
        <v/>
      </c>
      <c r="E252" s="27"/>
      <c r="F252" s="29"/>
      <c r="G252" s="25" t="str">
        <f>IFERROR(IF(C252="","",INDEX(마스터!$J$4:$J$20,MATCH(C252,마스터!$M$4:$M$20,0))),"")</f>
        <v/>
      </c>
      <c r="H252" s="30"/>
      <c r="I252" s="30"/>
    </row>
    <row r="253" spans="1:9" ht="15" customHeight="1" x14ac:dyDescent="0.25">
      <c r="A253" s="25" t="str">
        <f t="shared" si="3"/>
        <v/>
      </c>
      <c r="B253" s="26"/>
      <c r="C253" s="27"/>
      <c r="D253" s="28" t="str">
        <f>IFERROR(IF(C253="","",INDEX(마스터!$F$4:$F$20,MATCH(C253,마스터!$M$4:$M$20,0))),"")</f>
        <v/>
      </c>
      <c r="E253" s="27"/>
      <c r="F253" s="29"/>
      <c r="G253" s="25" t="str">
        <f>IFERROR(IF(C253="","",INDEX(마스터!$J$4:$J$20,MATCH(C253,마스터!$M$4:$M$20,0))),"")</f>
        <v/>
      </c>
      <c r="H253" s="30"/>
      <c r="I253" s="30"/>
    </row>
    <row r="254" spans="1:9" ht="15" customHeight="1" x14ac:dyDescent="0.25">
      <c r="A254" s="25" t="str">
        <f t="shared" si="3"/>
        <v/>
      </c>
      <c r="B254" s="26"/>
      <c r="C254" s="27"/>
      <c r="D254" s="28" t="str">
        <f>IFERROR(IF(C254="","",INDEX(마스터!$F$4:$F$20,MATCH(C254,마스터!$M$4:$M$20,0))),"")</f>
        <v/>
      </c>
      <c r="E254" s="27"/>
      <c r="F254" s="29"/>
      <c r="G254" s="25" t="str">
        <f>IFERROR(IF(C254="","",INDEX(마스터!$J$4:$J$20,MATCH(C254,마스터!$M$4:$M$20,0))),"")</f>
        <v/>
      </c>
      <c r="H254" s="30"/>
      <c r="I254" s="30"/>
    </row>
    <row r="255" spans="1:9" ht="15" customHeight="1" x14ac:dyDescent="0.25">
      <c r="A255" s="25" t="str">
        <f t="shared" si="3"/>
        <v/>
      </c>
      <c r="B255" s="26"/>
      <c r="C255" s="27"/>
      <c r="D255" s="28" t="str">
        <f>IFERROR(IF(C255="","",INDEX(마스터!$F$4:$F$20,MATCH(C255,마스터!$M$4:$M$20,0))),"")</f>
        <v/>
      </c>
      <c r="E255" s="27"/>
      <c r="F255" s="29"/>
      <c r="G255" s="25" t="str">
        <f>IFERROR(IF(C255="","",INDEX(마스터!$J$4:$J$20,MATCH(C255,마스터!$M$4:$M$20,0))),"")</f>
        <v/>
      </c>
      <c r="H255" s="30"/>
      <c r="I255" s="30"/>
    </row>
    <row r="256" spans="1:9" ht="15" customHeight="1" x14ac:dyDescent="0.25">
      <c r="A256" s="25" t="str">
        <f t="shared" si="3"/>
        <v/>
      </c>
      <c r="B256" s="26"/>
      <c r="C256" s="27"/>
      <c r="D256" s="28" t="str">
        <f>IFERROR(IF(C256="","",INDEX(마스터!$F$4:$F$20,MATCH(C256,마스터!$M$4:$M$20,0))),"")</f>
        <v/>
      </c>
      <c r="E256" s="27"/>
      <c r="F256" s="29"/>
      <c r="G256" s="25" t="str">
        <f>IFERROR(IF(C256="","",INDEX(마스터!$J$4:$J$20,MATCH(C256,마스터!$M$4:$M$20,0))),"")</f>
        <v/>
      </c>
      <c r="H256" s="30"/>
      <c r="I256" s="30"/>
    </row>
    <row r="257" spans="1:9" ht="15" customHeight="1" x14ac:dyDescent="0.25">
      <c r="A257" s="25" t="str">
        <f t="shared" si="3"/>
        <v/>
      </c>
      <c r="B257" s="26"/>
      <c r="C257" s="27"/>
      <c r="D257" s="28" t="str">
        <f>IFERROR(IF(C257="","",INDEX(마스터!$F$4:$F$20,MATCH(C257,마스터!$M$4:$M$20,0))),"")</f>
        <v/>
      </c>
      <c r="E257" s="27"/>
      <c r="F257" s="29"/>
      <c r="G257" s="25" t="str">
        <f>IFERROR(IF(C257="","",INDEX(마스터!$J$4:$J$20,MATCH(C257,마스터!$M$4:$M$20,0))),"")</f>
        <v/>
      </c>
      <c r="H257" s="30"/>
      <c r="I257" s="30"/>
    </row>
    <row r="258" spans="1:9" ht="15" customHeight="1" x14ac:dyDescent="0.25">
      <c r="A258" s="25" t="str">
        <f t="shared" si="3"/>
        <v/>
      </c>
      <c r="B258" s="26"/>
      <c r="C258" s="27"/>
      <c r="D258" s="28" t="str">
        <f>IFERROR(IF(C258="","",INDEX(마스터!$F$4:$F$20,MATCH(C258,마스터!$M$4:$M$20,0))),"")</f>
        <v/>
      </c>
      <c r="E258" s="27"/>
      <c r="F258" s="29"/>
      <c r="G258" s="25" t="str">
        <f>IFERROR(IF(C258="","",INDEX(마스터!$J$4:$J$20,MATCH(C258,마스터!$M$4:$M$20,0))),"")</f>
        <v/>
      </c>
      <c r="H258" s="30"/>
      <c r="I258" s="30"/>
    </row>
    <row r="259" spans="1:9" ht="15" customHeight="1" x14ac:dyDescent="0.25">
      <c r="A259" s="25" t="str">
        <f t="shared" si="3"/>
        <v/>
      </c>
      <c r="B259" s="26"/>
      <c r="C259" s="27"/>
      <c r="D259" s="28" t="str">
        <f>IFERROR(IF(C259="","",INDEX(마스터!$F$4:$F$20,MATCH(C259,마스터!$M$4:$M$20,0))),"")</f>
        <v/>
      </c>
      <c r="E259" s="27"/>
      <c r="F259" s="29"/>
      <c r="G259" s="25" t="str">
        <f>IFERROR(IF(C259="","",INDEX(마스터!$J$4:$J$20,MATCH(C259,마스터!$M$4:$M$20,0))),"")</f>
        <v/>
      </c>
      <c r="H259" s="30"/>
      <c r="I259" s="30"/>
    </row>
    <row r="260" spans="1:9" ht="15" customHeight="1" x14ac:dyDescent="0.25">
      <c r="A260" s="25" t="str">
        <f t="shared" si="3"/>
        <v/>
      </c>
      <c r="B260" s="26"/>
      <c r="C260" s="27"/>
      <c r="D260" s="28" t="str">
        <f>IFERROR(IF(C260="","",INDEX(마스터!$F$4:$F$20,MATCH(C260,마스터!$M$4:$M$20,0))),"")</f>
        <v/>
      </c>
      <c r="E260" s="27"/>
      <c r="F260" s="29"/>
      <c r="G260" s="25" t="str">
        <f>IFERROR(IF(C260="","",INDEX(마스터!$J$4:$J$20,MATCH(C260,마스터!$M$4:$M$20,0))),"")</f>
        <v/>
      </c>
      <c r="H260" s="30"/>
      <c r="I260" s="30"/>
    </row>
    <row r="261" spans="1:9" ht="15" customHeight="1" x14ac:dyDescent="0.25">
      <c r="A261" s="25" t="str">
        <f t="shared" si="3"/>
        <v/>
      </c>
      <c r="B261" s="26"/>
      <c r="C261" s="27"/>
      <c r="D261" s="28" t="str">
        <f>IFERROR(IF(C261="","",INDEX(마스터!$F$4:$F$20,MATCH(C261,마스터!$M$4:$M$20,0))),"")</f>
        <v/>
      </c>
      <c r="E261" s="27"/>
      <c r="F261" s="29"/>
      <c r="G261" s="25" t="str">
        <f>IFERROR(IF(C261="","",INDEX(마스터!$J$4:$J$20,MATCH(C261,마스터!$M$4:$M$20,0))),"")</f>
        <v/>
      </c>
      <c r="H261" s="30"/>
      <c r="I261" s="30"/>
    </row>
    <row r="262" spans="1:9" ht="15" customHeight="1" x14ac:dyDescent="0.25">
      <c r="A262" s="25" t="str">
        <f t="shared" si="3"/>
        <v/>
      </c>
      <c r="B262" s="26"/>
      <c r="C262" s="27"/>
      <c r="D262" s="28" t="str">
        <f>IFERROR(IF(C262="","",INDEX(마스터!$F$4:$F$20,MATCH(C262,마스터!$M$4:$M$20,0))),"")</f>
        <v/>
      </c>
      <c r="E262" s="27"/>
      <c r="F262" s="29"/>
      <c r="G262" s="25" t="str">
        <f>IFERROR(IF(C262="","",INDEX(마스터!$J$4:$J$20,MATCH(C262,마스터!$M$4:$M$20,0))),"")</f>
        <v/>
      </c>
      <c r="H262" s="30"/>
      <c r="I262" s="30"/>
    </row>
    <row r="263" spans="1:9" ht="15" customHeight="1" x14ac:dyDescent="0.25">
      <c r="A263" s="25" t="str">
        <f t="shared" si="3"/>
        <v/>
      </c>
      <c r="B263" s="26"/>
      <c r="C263" s="27"/>
      <c r="D263" s="28" t="str">
        <f>IFERROR(IF(C263="","",INDEX(마스터!$F$4:$F$20,MATCH(C263,마스터!$M$4:$M$20,0))),"")</f>
        <v/>
      </c>
      <c r="E263" s="27"/>
      <c r="F263" s="29"/>
      <c r="G263" s="25" t="str">
        <f>IFERROR(IF(C263="","",INDEX(마스터!$J$4:$J$20,MATCH(C263,마스터!$M$4:$M$20,0))),"")</f>
        <v/>
      </c>
      <c r="H263" s="30"/>
      <c r="I263" s="30"/>
    </row>
    <row r="264" spans="1:9" ht="15" customHeight="1" x14ac:dyDescent="0.25">
      <c r="A264" s="25" t="str">
        <f t="shared" ref="A264:A327" si="4">IF(B264="","",ROW()-7)</f>
        <v/>
      </c>
      <c r="B264" s="26"/>
      <c r="C264" s="27"/>
      <c r="D264" s="28" t="str">
        <f>IFERROR(IF(C264="","",INDEX(마스터!$F$4:$F$20,MATCH(C264,마스터!$M$4:$M$20,0))),"")</f>
        <v/>
      </c>
      <c r="E264" s="27"/>
      <c r="F264" s="29"/>
      <c r="G264" s="25" t="str">
        <f>IFERROR(IF(C264="","",INDEX(마스터!$J$4:$J$20,MATCH(C264,마스터!$M$4:$M$20,0))),"")</f>
        <v/>
      </c>
      <c r="H264" s="30"/>
      <c r="I264" s="30"/>
    </row>
    <row r="265" spans="1:9" ht="15" customHeight="1" x14ac:dyDescent="0.25">
      <c r="A265" s="25" t="str">
        <f t="shared" si="4"/>
        <v/>
      </c>
      <c r="B265" s="26"/>
      <c r="C265" s="27"/>
      <c r="D265" s="28" t="str">
        <f>IFERROR(IF(C265="","",INDEX(마스터!$F$4:$F$20,MATCH(C265,마스터!$M$4:$M$20,0))),"")</f>
        <v/>
      </c>
      <c r="E265" s="27"/>
      <c r="F265" s="29"/>
      <c r="G265" s="25" t="str">
        <f>IFERROR(IF(C265="","",INDEX(마스터!$J$4:$J$20,MATCH(C265,마스터!$M$4:$M$20,0))),"")</f>
        <v/>
      </c>
      <c r="H265" s="30"/>
      <c r="I265" s="30"/>
    </row>
    <row r="266" spans="1:9" ht="15" customHeight="1" x14ac:dyDescent="0.25">
      <c r="A266" s="25" t="str">
        <f t="shared" si="4"/>
        <v/>
      </c>
      <c r="B266" s="26"/>
      <c r="C266" s="27"/>
      <c r="D266" s="28" t="str">
        <f>IFERROR(IF(C266="","",INDEX(마스터!$F$4:$F$20,MATCH(C266,마스터!$M$4:$M$20,0))),"")</f>
        <v/>
      </c>
      <c r="E266" s="27"/>
      <c r="F266" s="29"/>
      <c r="G266" s="25" t="str">
        <f>IFERROR(IF(C266="","",INDEX(마스터!$J$4:$J$20,MATCH(C266,마스터!$M$4:$M$20,0))),"")</f>
        <v/>
      </c>
      <c r="H266" s="30"/>
      <c r="I266" s="30"/>
    </row>
    <row r="267" spans="1:9" ht="15" customHeight="1" x14ac:dyDescent="0.25">
      <c r="A267" s="25" t="str">
        <f t="shared" si="4"/>
        <v/>
      </c>
      <c r="B267" s="26"/>
      <c r="C267" s="27"/>
      <c r="D267" s="28" t="str">
        <f>IFERROR(IF(C267="","",INDEX(마스터!$F$4:$F$20,MATCH(C267,마스터!$M$4:$M$20,0))),"")</f>
        <v/>
      </c>
      <c r="E267" s="27"/>
      <c r="F267" s="29"/>
      <c r="G267" s="25" t="str">
        <f>IFERROR(IF(C267="","",INDEX(마스터!$J$4:$J$20,MATCH(C267,마스터!$M$4:$M$20,0))),"")</f>
        <v/>
      </c>
      <c r="H267" s="30"/>
      <c r="I267" s="30"/>
    </row>
    <row r="268" spans="1:9" ht="15" customHeight="1" x14ac:dyDescent="0.25">
      <c r="A268" s="25" t="str">
        <f t="shared" si="4"/>
        <v/>
      </c>
      <c r="B268" s="26"/>
      <c r="C268" s="27"/>
      <c r="D268" s="28" t="str">
        <f>IFERROR(IF(C268="","",INDEX(마스터!$F$4:$F$20,MATCH(C268,마스터!$M$4:$M$20,0))),"")</f>
        <v/>
      </c>
      <c r="E268" s="27"/>
      <c r="F268" s="29"/>
      <c r="G268" s="25" t="str">
        <f>IFERROR(IF(C268="","",INDEX(마스터!$J$4:$J$20,MATCH(C268,마스터!$M$4:$M$20,0))),"")</f>
        <v/>
      </c>
      <c r="H268" s="30"/>
      <c r="I268" s="30"/>
    </row>
    <row r="269" spans="1:9" ht="15" customHeight="1" x14ac:dyDescent="0.25">
      <c r="A269" s="25" t="str">
        <f t="shared" si="4"/>
        <v/>
      </c>
      <c r="B269" s="26"/>
      <c r="C269" s="27"/>
      <c r="D269" s="28" t="str">
        <f>IFERROR(IF(C269="","",INDEX(마스터!$F$4:$F$20,MATCH(C269,마스터!$M$4:$M$20,0))),"")</f>
        <v/>
      </c>
      <c r="E269" s="27"/>
      <c r="F269" s="29"/>
      <c r="G269" s="25" t="str">
        <f>IFERROR(IF(C269="","",INDEX(마스터!$J$4:$J$20,MATCH(C269,마스터!$M$4:$M$20,0))),"")</f>
        <v/>
      </c>
      <c r="H269" s="30"/>
      <c r="I269" s="30"/>
    </row>
    <row r="270" spans="1:9" ht="15" customHeight="1" x14ac:dyDescent="0.25">
      <c r="A270" s="25" t="str">
        <f t="shared" si="4"/>
        <v/>
      </c>
      <c r="B270" s="26"/>
      <c r="C270" s="27"/>
      <c r="D270" s="28" t="str">
        <f>IFERROR(IF(C270="","",INDEX(마스터!$F$4:$F$20,MATCH(C270,마스터!$M$4:$M$20,0))),"")</f>
        <v/>
      </c>
      <c r="E270" s="27"/>
      <c r="F270" s="29"/>
      <c r="G270" s="25" t="str">
        <f>IFERROR(IF(C270="","",INDEX(마스터!$J$4:$J$20,MATCH(C270,마스터!$M$4:$M$20,0))),"")</f>
        <v/>
      </c>
      <c r="H270" s="30"/>
      <c r="I270" s="30"/>
    </row>
    <row r="271" spans="1:9" ht="15" customHeight="1" x14ac:dyDescent="0.25">
      <c r="A271" s="25" t="str">
        <f t="shared" si="4"/>
        <v/>
      </c>
      <c r="B271" s="26"/>
      <c r="C271" s="27"/>
      <c r="D271" s="28" t="str">
        <f>IFERROR(IF(C271="","",INDEX(마스터!$F$4:$F$20,MATCH(C271,마스터!$M$4:$M$20,0))),"")</f>
        <v/>
      </c>
      <c r="E271" s="27"/>
      <c r="F271" s="29"/>
      <c r="G271" s="25" t="str">
        <f>IFERROR(IF(C271="","",INDEX(마스터!$J$4:$J$20,MATCH(C271,마스터!$M$4:$M$20,0))),"")</f>
        <v/>
      </c>
      <c r="H271" s="30"/>
      <c r="I271" s="30"/>
    </row>
    <row r="272" spans="1:9" ht="15" customHeight="1" x14ac:dyDescent="0.25">
      <c r="A272" s="25" t="str">
        <f t="shared" si="4"/>
        <v/>
      </c>
      <c r="B272" s="26"/>
      <c r="C272" s="27"/>
      <c r="D272" s="28" t="str">
        <f>IFERROR(IF(C272="","",INDEX(마스터!$F$4:$F$20,MATCH(C272,마스터!$M$4:$M$20,0))),"")</f>
        <v/>
      </c>
      <c r="E272" s="27"/>
      <c r="F272" s="29"/>
      <c r="G272" s="25" t="str">
        <f>IFERROR(IF(C272="","",INDEX(마스터!$J$4:$J$20,MATCH(C272,마스터!$M$4:$M$20,0))),"")</f>
        <v/>
      </c>
      <c r="H272" s="30"/>
      <c r="I272" s="30"/>
    </row>
    <row r="273" spans="1:9" ht="15" customHeight="1" x14ac:dyDescent="0.25">
      <c r="A273" s="25" t="str">
        <f t="shared" si="4"/>
        <v/>
      </c>
      <c r="B273" s="26"/>
      <c r="C273" s="27"/>
      <c r="D273" s="28" t="str">
        <f>IFERROR(IF(C273="","",INDEX(마스터!$F$4:$F$20,MATCH(C273,마스터!$M$4:$M$20,0))),"")</f>
        <v/>
      </c>
      <c r="E273" s="27"/>
      <c r="F273" s="29"/>
      <c r="G273" s="25" t="str">
        <f>IFERROR(IF(C273="","",INDEX(마스터!$J$4:$J$20,MATCH(C273,마스터!$M$4:$M$20,0))),"")</f>
        <v/>
      </c>
      <c r="H273" s="30"/>
      <c r="I273" s="30"/>
    </row>
    <row r="274" spans="1:9" ht="15" customHeight="1" x14ac:dyDescent="0.25">
      <c r="A274" s="25" t="str">
        <f t="shared" si="4"/>
        <v/>
      </c>
      <c r="B274" s="26"/>
      <c r="C274" s="27"/>
      <c r="D274" s="28" t="str">
        <f>IFERROR(IF(C274="","",INDEX(마스터!$F$4:$F$20,MATCH(C274,마스터!$M$4:$M$20,0))),"")</f>
        <v/>
      </c>
      <c r="E274" s="27"/>
      <c r="F274" s="29"/>
      <c r="G274" s="25" t="str">
        <f>IFERROR(IF(C274="","",INDEX(마스터!$J$4:$J$20,MATCH(C274,마스터!$M$4:$M$20,0))),"")</f>
        <v/>
      </c>
      <c r="H274" s="30"/>
      <c r="I274" s="30"/>
    </row>
    <row r="275" spans="1:9" ht="15" customHeight="1" x14ac:dyDescent="0.25">
      <c r="A275" s="25" t="str">
        <f t="shared" si="4"/>
        <v/>
      </c>
      <c r="B275" s="26"/>
      <c r="C275" s="27"/>
      <c r="D275" s="28" t="str">
        <f>IFERROR(IF(C275="","",INDEX(마스터!$F$4:$F$20,MATCH(C275,마스터!$M$4:$M$20,0))),"")</f>
        <v/>
      </c>
      <c r="E275" s="27"/>
      <c r="F275" s="29"/>
      <c r="G275" s="25" t="str">
        <f>IFERROR(IF(C275="","",INDEX(마스터!$J$4:$J$20,MATCH(C275,마스터!$M$4:$M$20,0))),"")</f>
        <v/>
      </c>
      <c r="H275" s="30"/>
      <c r="I275" s="30"/>
    </row>
    <row r="276" spans="1:9" ht="15" customHeight="1" x14ac:dyDescent="0.25">
      <c r="A276" s="25" t="str">
        <f t="shared" si="4"/>
        <v/>
      </c>
      <c r="B276" s="26"/>
      <c r="C276" s="27"/>
      <c r="D276" s="28" t="str">
        <f>IFERROR(IF(C276="","",INDEX(마스터!$F$4:$F$20,MATCH(C276,마스터!$M$4:$M$20,0))),"")</f>
        <v/>
      </c>
      <c r="E276" s="27"/>
      <c r="F276" s="29"/>
      <c r="G276" s="25" t="str">
        <f>IFERROR(IF(C276="","",INDEX(마스터!$J$4:$J$20,MATCH(C276,마스터!$M$4:$M$20,0))),"")</f>
        <v/>
      </c>
      <c r="H276" s="30"/>
      <c r="I276" s="30"/>
    </row>
    <row r="277" spans="1:9" ht="15" customHeight="1" x14ac:dyDescent="0.25">
      <c r="A277" s="25" t="str">
        <f t="shared" si="4"/>
        <v/>
      </c>
      <c r="B277" s="26"/>
      <c r="C277" s="27"/>
      <c r="D277" s="28" t="str">
        <f>IFERROR(IF(C277="","",INDEX(마스터!$F$4:$F$20,MATCH(C277,마스터!$M$4:$M$20,0))),"")</f>
        <v/>
      </c>
      <c r="E277" s="27"/>
      <c r="F277" s="29"/>
      <c r="G277" s="25" t="str">
        <f>IFERROR(IF(C277="","",INDEX(마스터!$J$4:$J$20,MATCH(C277,마스터!$M$4:$M$20,0))),"")</f>
        <v/>
      </c>
      <c r="H277" s="30"/>
      <c r="I277" s="30"/>
    </row>
    <row r="278" spans="1:9" ht="15" customHeight="1" x14ac:dyDescent="0.25">
      <c r="A278" s="25" t="str">
        <f t="shared" si="4"/>
        <v/>
      </c>
      <c r="B278" s="26"/>
      <c r="C278" s="27"/>
      <c r="D278" s="28" t="str">
        <f>IFERROR(IF(C278="","",INDEX(마스터!$F$4:$F$20,MATCH(C278,마스터!$M$4:$M$20,0))),"")</f>
        <v/>
      </c>
      <c r="E278" s="27"/>
      <c r="F278" s="29"/>
      <c r="G278" s="25" t="str">
        <f>IFERROR(IF(C278="","",INDEX(마스터!$J$4:$J$20,MATCH(C278,마스터!$M$4:$M$20,0))),"")</f>
        <v/>
      </c>
      <c r="H278" s="30"/>
      <c r="I278" s="30"/>
    </row>
    <row r="279" spans="1:9" ht="15" customHeight="1" x14ac:dyDescent="0.25">
      <c r="A279" s="25" t="str">
        <f t="shared" si="4"/>
        <v/>
      </c>
      <c r="B279" s="26"/>
      <c r="C279" s="27"/>
      <c r="D279" s="28" t="str">
        <f>IFERROR(IF(C279="","",INDEX(마스터!$F$4:$F$20,MATCH(C279,마스터!$M$4:$M$20,0))),"")</f>
        <v/>
      </c>
      <c r="E279" s="27"/>
      <c r="F279" s="29"/>
      <c r="G279" s="25" t="str">
        <f>IFERROR(IF(C279="","",INDEX(마스터!$J$4:$J$20,MATCH(C279,마스터!$M$4:$M$20,0))),"")</f>
        <v/>
      </c>
      <c r="H279" s="30"/>
      <c r="I279" s="30"/>
    </row>
    <row r="280" spans="1:9" ht="15" customHeight="1" x14ac:dyDescent="0.25">
      <c r="A280" s="25" t="str">
        <f t="shared" si="4"/>
        <v/>
      </c>
      <c r="B280" s="26"/>
      <c r="C280" s="27"/>
      <c r="D280" s="28" t="str">
        <f>IFERROR(IF(C280="","",INDEX(마스터!$F$4:$F$20,MATCH(C280,마스터!$M$4:$M$20,0))),"")</f>
        <v/>
      </c>
      <c r="E280" s="27"/>
      <c r="F280" s="29"/>
      <c r="G280" s="25" t="str">
        <f>IFERROR(IF(C280="","",INDEX(마스터!$J$4:$J$20,MATCH(C280,마스터!$M$4:$M$20,0))),"")</f>
        <v/>
      </c>
      <c r="H280" s="30"/>
      <c r="I280" s="30"/>
    </row>
    <row r="281" spans="1:9" ht="15" customHeight="1" x14ac:dyDescent="0.25">
      <c r="A281" s="25" t="str">
        <f t="shared" si="4"/>
        <v/>
      </c>
      <c r="B281" s="26"/>
      <c r="C281" s="27"/>
      <c r="D281" s="28" t="str">
        <f>IFERROR(IF(C281="","",INDEX(마스터!$F$4:$F$20,MATCH(C281,마스터!$M$4:$M$20,0))),"")</f>
        <v/>
      </c>
      <c r="E281" s="27"/>
      <c r="F281" s="29"/>
      <c r="G281" s="25" t="str">
        <f>IFERROR(IF(C281="","",INDEX(마스터!$J$4:$J$20,MATCH(C281,마스터!$M$4:$M$20,0))),"")</f>
        <v/>
      </c>
      <c r="H281" s="30"/>
      <c r="I281" s="30"/>
    </row>
    <row r="282" spans="1:9" ht="15" customHeight="1" x14ac:dyDescent="0.25">
      <c r="A282" s="25" t="str">
        <f t="shared" si="4"/>
        <v/>
      </c>
      <c r="B282" s="26"/>
      <c r="C282" s="27"/>
      <c r="D282" s="28" t="str">
        <f>IFERROR(IF(C282="","",INDEX(마스터!$F$4:$F$20,MATCH(C282,마스터!$M$4:$M$20,0))),"")</f>
        <v/>
      </c>
      <c r="E282" s="27"/>
      <c r="F282" s="29"/>
      <c r="G282" s="25" t="str">
        <f>IFERROR(IF(C282="","",INDEX(마스터!$J$4:$J$20,MATCH(C282,마스터!$M$4:$M$20,0))),"")</f>
        <v/>
      </c>
      <c r="H282" s="30"/>
      <c r="I282" s="30"/>
    </row>
    <row r="283" spans="1:9" ht="15" customHeight="1" x14ac:dyDescent="0.25">
      <c r="A283" s="25" t="str">
        <f t="shared" si="4"/>
        <v/>
      </c>
      <c r="B283" s="26"/>
      <c r="C283" s="27"/>
      <c r="D283" s="28" t="str">
        <f>IFERROR(IF(C283="","",INDEX(마스터!$F$4:$F$20,MATCH(C283,마스터!$M$4:$M$20,0))),"")</f>
        <v/>
      </c>
      <c r="E283" s="27"/>
      <c r="F283" s="29"/>
      <c r="G283" s="25" t="str">
        <f>IFERROR(IF(C283="","",INDEX(마스터!$J$4:$J$20,MATCH(C283,마스터!$M$4:$M$20,0))),"")</f>
        <v/>
      </c>
      <c r="H283" s="30"/>
      <c r="I283" s="30"/>
    </row>
    <row r="284" spans="1:9" ht="15" customHeight="1" x14ac:dyDescent="0.25">
      <c r="A284" s="25" t="str">
        <f t="shared" si="4"/>
        <v/>
      </c>
      <c r="B284" s="26"/>
      <c r="C284" s="27"/>
      <c r="D284" s="28" t="str">
        <f>IFERROR(IF(C284="","",INDEX(마스터!$F$4:$F$20,MATCH(C284,마스터!$M$4:$M$20,0))),"")</f>
        <v/>
      </c>
      <c r="E284" s="27"/>
      <c r="F284" s="29"/>
      <c r="G284" s="25" t="str">
        <f>IFERROR(IF(C284="","",INDEX(마스터!$J$4:$J$20,MATCH(C284,마스터!$M$4:$M$20,0))),"")</f>
        <v/>
      </c>
      <c r="H284" s="30"/>
      <c r="I284" s="30"/>
    </row>
    <row r="285" spans="1:9" ht="15" customHeight="1" x14ac:dyDescent="0.25">
      <c r="A285" s="25" t="str">
        <f t="shared" si="4"/>
        <v/>
      </c>
      <c r="B285" s="26"/>
      <c r="C285" s="27"/>
      <c r="D285" s="28" t="str">
        <f>IFERROR(IF(C285="","",INDEX(마스터!$F$4:$F$20,MATCH(C285,마스터!$M$4:$M$20,0))),"")</f>
        <v/>
      </c>
      <c r="E285" s="27"/>
      <c r="F285" s="29"/>
      <c r="G285" s="25" t="str">
        <f>IFERROR(IF(C285="","",INDEX(마스터!$J$4:$J$20,MATCH(C285,마스터!$M$4:$M$20,0))),"")</f>
        <v/>
      </c>
      <c r="H285" s="30"/>
      <c r="I285" s="30"/>
    </row>
    <row r="286" spans="1:9" ht="15" customHeight="1" x14ac:dyDescent="0.25">
      <c r="A286" s="25" t="str">
        <f t="shared" si="4"/>
        <v/>
      </c>
      <c r="B286" s="26"/>
      <c r="C286" s="27"/>
      <c r="D286" s="28" t="str">
        <f>IFERROR(IF(C286="","",INDEX(마스터!$F$4:$F$20,MATCH(C286,마스터!$M$4:$M$20,0))),"")</f>
        <v/>
      </c>
      <c r="E286" s="27"/>
      <c r="F286" s="29"/>
      <c r="G286" s="25" t="str">
        <f>IFERROR(IF(C286="","",INDEX(마스터!$J$4:$J$20,MATCH(C286,마스터!$M$4:$M$20,0))),"")</f>
        <v/>
      </c>
      <c r="H286" s="30"/>
      <c r="I286" s="30"/>
    </row>
    <row r="287" spans="1:9" ht="15" customHeight="1" x14ac:dyDescent="0.25">
      <c r="A287" s="25" t="str">
        <f t="shared" si="4"/>
        <v/>
      </c>
      <c r="B287" s="26"/>
      <c r="C287" s="27"/>
      <c r="D287" s="28" t="str">
        <f>IFERROR(IF(C287="","",INDEX(마스터!$F$4:$F$20,MATCH(C287,마스터!$M$4:$M$20,0))),"")</f>
        <v/>
      </c>
      <c r="E287" s="27"/>
      <c r="F287" s="29"/>
      <c r="G287" s="25" t="str">
        <f>IFERROR(IF(C287="","",INDEX(마스터!$J$4:$J$20,MATCH(C287,마스터!$M$4:$M$20,0))),"")</f>
        <v/>
      </c>
      <c r="H287" s="30"/>
      <c r="I287" s="30"/>
    </row>
    <row r="288" spans="1:9" ht="15" customHeight="1" x14ac:dyDescent="0.25">
      <c r="A288" s="25" t="str">
        <f t="shared" si="4"/>
        <v/>
      </c>
      <c r="B288" s="26"/>
      <c r="C288" s="27"/>
      <c r="D288" s="28" t="str">
        <f>IFERROR(IF(C288="","",INDEX(마스터!$F$4:$F$20,MATCH(C288,마스터!$M$4:$M$20,0))),"")</f>
        <v/>
      </c>
      <c r="E288" s="27"/>
      <c r="F288" s="29"/>
      <c r="G288" s="25" t="str">
        <f>IFERROR(IF(C288="","",INDEX(마스터!$J$4:$J$20,MATCH(C288,마스터!$M$4:$M$20,0))),"")</f>
        <v/>
      </c>
      <c r="H288" s="30"/>
      <c r="I288" s="30"/>
    </row>
    <row r="289" spans="1:9" ht="15" customHeight="1" x14ac:dyDescent="0.25">
      <c r="A289" s="25" t="str">
        <f t="shared" si="4"/>
        <v/>
      </c>
      <c r="B289" s="26"/>
      <c r="C289" s="27"/>
      <c r="D289" s="28" t="str">
        <f>IFERROR(IF(C289="","",INDEX(마스터!$F$4:$F$20,MATCH(C289,마스터!$M$4:$M$20,0))),"")</f>
        <v/>
      </c>
      <c r="E289" s="27"/>
      <c r="F289" s="29"/>
      <c r="G289" s="25" t="str">
        <f>IFERROR(IF(C289="","",INDEX(마스터!$J$4:$J$20,MATCH(C289,마스터!$M$4:$M$20,0))),"")</f>
        <v/>
      </c>
      <c r="H289" s="30"/>
      <c r="I289" s="30"/>
    </row>
    <row r="290" spans="1:9" ht="15" customHeight="1" x14ac:dyDescent="0.25">
      <c r="A290" s="25" t="str">
        <f t="shared" si="4"/>
        <v/>
      </c>
      <c r="B290" s="26"/>
      <c r="C290" s="27"/>
      <c r="D290" s="28" t="str">
        <f>IFERROR(IF(C290="","",INDEX(마스터!$F$4:$F$20,MATCH(C290,마스터!$M$4:$M$20,0))),"")</f>
        <v/>
      </c>
      <c r="E290" s="27"/>
      <c r="F290" s="29"/>
      <c r="G290" s="25" t="str">
        <f>IFERROR(IF(C290="","",INDEX(마스터!$J$4:$J$20,MATCH(C290,마스터!$M$4:$M$20,0))),"")</f>
        <v/>
      </c>
      <c r="H290" s="30"/>
      <c r="I290" s="30"/>
    </row>
    <row r="291" spans="1:9" ht="15" customHeight="1" x14ac:dyDescent="0.25">
      <c r="A291" s="25" t="str">
        <f t="shared" si="4"/>
        <v/>
      </c>
      <c r="B291" s="26"/>
      <c r="C291" s="27"/>
      <c r="D291" s="28" t="str">
        <f>IFERROR(IF(C291="","",INDEX(마스터!$F$4:$F$20,MATCH(C291,마스터!$M$4:$M$20,0))),"")</f>
        <v/>
      </c>
      <c r="E291" s="27"/>
      <c r="F291" s="29"/>
      <c r="G291" s="25" t="str">
        <f>IFERROR(IF(C291="","",INDEX(마스터!$J$4:$J$20,MATCH(C291,마스터!$M$4:$M$20,0))),"")</f>
        <v/>
      </c>
      <c r="H291" s="30"/>
      <c r="I291" s="30"/>
    </row>
    <row r="292" spans="1:9" ht="15" customHeight="1" x14ac:dyDescent="0.25">
      <c r="A292" s="25" t="str">
        <f t="shared" si="4"/>
        <v/>
      </c>
      <c r="B292" s="26"/>
      <c r="C292" s="27"/>
      <c r="D292" s="28" t="str">
        <f>IFERROR(IF(C292="","",INDEX(마스터!$F$4:$F$20,MATCH(C292,마스터!$M$4:$M$20,0))),"")</f>
        <v/>
      </c>
      <c r="E292" s="27"/>
      <c r="F292" s="29"/>
      <c r="G292" s="25" t="str">
        <f>IFERROR(IF(C292="","",INDEX(마스터!$J$4:$J$20,MATCH(C292,마스터!$M$4:$M$20,0))),"")</f>
        <v/>
      </c>
      <c r="H292" s="30"/>
      <c r="I292" s="30"/>
    </row>
    <row r="293" spans="1:9" ht="15" customHeight="1" x14ac:dyDescent="0.25">
      <c r="A293" s="25" t="str">
        <f t="shared" si="4"/>
        <v/>
      </c>
      <c r="B293" s="26"/>
      <c r="C293" s="27"/>
      <c r="D293" s="28" t="str">
        <f>IFERROR(IF(C293="","",INDEX(마스터!$F$4:$F$20,MATCH(C293,마스터!$M$4:$M$20,0))),"")</f>
        <v/>
      </c>
      <c r="E293" s="27"/>
      <c r="F293" s="29"/>
      <c r="G293" s="25" t="str">
        <f>IFERROR(IF(C293="","",INDEX(마스터!$J$4:$J$20,MATCH(C293,마스터!$M$4:$M$20,0))),"")</f>
        <v/>
      </c>
      <c r="H293" s="30"/>
      <c r="I293" s="30"/>
    </row>
    <row r="294" spans="1:9" ht="15" customHeight="1" x14ac:dyDescent="0.25">
      <c r="A294" s="25" t="str">
        <f t="shared" si="4"/>
        <v/>
      </c>
      <c r="B294" s="26"/>
      <c r="C294" s="27"/>
      <c r="D294" s="28" t="str">
        <f>IFERROR(IF(C294="","",INDEX(마스터!$F$4:$F$20,MATCH(C294,마스터!$M$4:$M$20,0))),"")</f>
        <v/>
      </c>
      <c r="E294" s="27"/>
      <c r="F294" s="29"/>
      <c r="G294" s="25" t="str">
        <f>IFERROR(IF(C294="","",INDEX(마스터!$J$4:$J$20,MATCH(C294,마스터!$M$4:$M$20,0))),"")</f>
        <v/>
      </c>
      <c r="H294" s="30"/>
      <c r="I294" s="30"/>
    </row>
    <row r="295" spans="1:9" ht="15" customHeight="1" x14ac:dyDescent="0.25">
      <c r="A295" s="25" t="str">
        <f t="shared" si="4"/>
        <v/>
      </c>
      <c r="B295" s="26"/>
      <c r="C295" s="27"/>
      <c r="D295" s="28" t="str">
        <f>IFERROR(IF(C295="","",INDEX(마스터!$F$4:$F$20,MATCH(C295,마스터!$M$4:$M$20,0))),"")</f>
        <v/>
      </c>
      <c r="E295" s="27"/>
      <c r="F295" s="29"/>
      <c r="G295" s="25" t="str">
        <f>IFERROR(IF(C295="","",INDEX(마스터!$J$4:$J$20,MATCH(C295,마스터!$M$4:$M$20,0))),"")</f>
        <v/>
      </c>
      <c r="H295" s="30"/>
      <c r="I295" s="30"/>
    </row>
    <row r="296" spans="1:9" ht="15" customHeight="1" x14ac:dyDescent="0.25">
      <c r="A296" s="25" t="str">
        <f t="shared" si="4"/>
        <v/>
      </c>
      <c r="B296" s="26"/>
      <c r="C296" s="27"/>
      <c r="D296" s="28" t="str">
        <f>IFERROR(IF(C296="","",INDEX(마스터!$F$4:$F$20,MATCH(C296,마스터!$M$4:$M$20,0))),"")</f>
        <v/>
      </c>
      <c r="E296" s="27"/>
      <c r="F296" s="29"/>
      <c r="G296" s="25" t="str">
        <f>IFERROR(IF(C296="","",INDEX(마스터!$J$4:$J$20,MATCH(C296,마스터!$M$4:$M$20,0))),"")</f>
        <v/>
      </c>
      <c r="H296" s="30"/>
      <c r="I296" s="30"/>
    </row>
    <row r="297" spans="1:9" ht="15" customHeight="1" x14ac:dyDescent="0.25">
      <c r="A297" s="25" t="str">
        <f t="shared" si="4"/>
        <v/>
      </c>
      <c r="B297" s="26"/>
      <c r="C297" s="27"/>
      <c r="D297" s="28" t="str">
        <f>IFERROR(IF(C297="","",INDEX(마스터!$F$4:$F$20,MATCH(C297,마스터!$M$4:$M$20,0))),"")</f>
        <v/>
      </c>
      <c r="E297" s="27"/>
      <c r="F297" s="29"/>
      <c r="G297" s="25" t="str">
        <f>IFERROR(IF(C297="","",INDEX(마스터!$J$4:$J$20,MATCH(C297,마스터!$M$4:$M$20,0))),"")</f>
        <v/>
      </c>
      <c r="H297" s="30"/>
      <c r="I297" s="30"/>
    </row>
    <row r="298" spans="1:9" ht="15" customHeight="1" x14ac:dyDescent="0.25">
      <c r="A298" s="25" t="str">
        <f t="shared" si="4"/>
        <v/>
      </c>
      <c r="B298" s="26"/>
      <c r="C298" s="27"/>
      <c r="D298" s="28" t="str">
        <f>IFERROR(IF(C298="","",INDEX(마스터!$F$4:$F$20,MATCH(C298,마스터!$M$4:$M$20,0))),"")</f>
        <v/>
      </c>
      <c r="E298" s="27"/>
      <c r="F298" s="29"/>
      <c r="G298" s="25" t="str">
        <f>IFERROR(IF(C298="","",INDEX(마스터!$J$4:$J$20,MATCH(C298,마스터!$M$4:$M$20,0))),"")</f>
        <v/>
      </c>
      <c r="H298" s="30"/>
      <c r="I298" s="30"/>
    </row>
    <row r="299" spans="1:9" ht="15" customHeight="1" x14ac:dyDescent="0.25">
      <c r="A299" s="25" t="str">
        <f t="shared" si="4"/>
        <v/>
      </c>
      <c r="B299" s="26"/>
      <c r="C299" s="27"/>
      <c r="D299" s="28" t="str">
        <f>IFERROR(IF(C299="","",INDEX(마스터!$F$4:$F$20,MATCH(C299,마스터!$M$4:$M$20,0))),"")</f>
        <v/>
      </c>
      <c r="E299" s="27"/>
      <c r="F299" s="29"/>
      <c r="G299" s="25" t="str">
        <f>IFERROR(IF(C299="","",INDEX(마스터!$J$4:$J$20,MATCH(C299,마스터!$M$4:$M$20,0))),"")</f>
        <v/>
      </c>
      <c r="H299" s="30"/>
      <c r="I299" s="30"/>
    </row>
    <row r="300" spans="1:9" ht="15" customHeight="1" x14ac:dyDescent="0.25">
      <c r="A300" s="25" t="str">
        <f t="shared" si="4"/>
        <v/>
      </c>
      <c r="B300" s="26"/>
      <c r="C300" s="27"/>
      <c r="D300" s="28" t="str">
        <f>IFERROR(IF(C300="","",INDEX(마스터!$F$4:$F$20,MATCH(C300,마스터!$M$4:$M$20,0))),"")</f>
        <v/>
      </c>
      <c r="E300" s="27"/>
      <c r="F300" s="29"/>
      <c r="G300" s="25" t="str">
        <f>IFERROR(IF(C300="","",INDEX(마스터!$J$4:$J$20,MATCH(C300,마스터!$M$4:$M$20,0))),"")</f>
        <v/>
      </c>
      <c r="H300" s="30"/>
      <c r="I300" s="30"/>
    </row>
    <row r="301" spans="1:9" ht="15" customHeight="1" x14ac:dyDescent="0.25">
      <c r="A301" s="25" t="str">
        <f t="shared" si="4"/>
        <v/>
      </c>
      <c r="B301" s="26"/>
      <c r="C301" s="27"/>
      <c r="D301" s="28" t="str">
        <f>IFERROR(IF(C301="","",INDEX(마스터!$F$4:$F$20,MATCH(C301,마스터!$M$4:$M$20,0))),"")</f>
        <v/>
      </c>
      <c r="E301" s="27"/>
      <c r="F301" s="29"/>
      <c r="G301" s="25" t="str">
        <f>IFERROR(IF(C301="","",INDEX(마스터!$J$4:$J$20,MATCH(C301,마스터!$M$4:$M$20,0))),"")</f>
        <v/>
      </c>
      <c r="H301" s="30"/>
      <c r="I301" s="30"/>
    </row>
    <row r="302" spans="1:9" ht="15" customHeight="1" x14ac:dyDescent="0.25">
      <c r="A302" s="25" t="str">
        <f t="shared" si="4"/>
        <v/>
      </c>
      <c r="B302" s="26"/>
      <c r="C302" s="27"/>
      <c r="D302" s="28" t="str">
        <f>IFERROR(IF(C302="","",INDEX(마스터!$F$4:$F$20,MATCH(C302,마스터!$M$4:$M$20,0))),"")</f>
        <v/>
      </c>
      <c r="E302" s="27"/>
      <c r="F302" s="29"/>
      <c r="G302" s="25" t="str">
        <f>IFERROR(IF(C302="","",INDEX(마스터!$J$4:$J$20,MATCH(C302,마스터!$M$4:$M$20,0))),"")</f>
        <v/>
      </c>
      <c r="H302" s="30"/>
      <c r="I302" s="30"/>
    </row>
    <row r="303" spans="1:9" ht="15" customHeight="1" x14ac:dyDescent="0.25">
      <c r="A303" s="25" t="str">
        <f t="shared" si="4"/>
        <v/>
      </c>
      <c r="B303" s="26"/>
      <c r="C303" s="27"/>
      <c r="D303" s="28" t="str">
        <f>IFERROR(IF(C303="","",INDEX(마스터!$F$4:$F$20,MATCH(C303,마스터!$M$4:$M$20,0))),"")</f>
        <v/>
      </c>
      <c r="E303" s="27"/>
      <c r="F303" s="29"/>
      <c r="G303" s="25" t="str">
        <f>IFERROR(IF(C303="","",INDEX(마스터!$J$4:$J$20,MATCH(C303,마스터!$M$4:$M$20,0))),"")</f>
        <v/>
      </c>
      <c r="H303" s="30"/>
      <c r="I303" s="30"/>
    </row>
    <row r="304" spans="1:9" ht="15" customHeight="1" x14ac:dyDescent="0.25">
      <c r="A304" s="25" t="str">
        <f t="shared" si="4"/>
        <v/>
      </c>
      <c r="B304" s="26"/>
      <c r="C304" s="27"/>
      <c r="D304" s="28" t="str">
        <f>IFERROR(IF(C304="","",INDEX(마스터!$F$4:$F$20,MATCH(C304,마스터!$M$4:$M$20,0))),"")</f>
        <v/>
      </c>
      <c r="E304" s="27"/>
      <c r="F304" s="29"/>
      <c r="G304" s="25" t="str">
        <f>IFERROR(IF(C304="","",INDEX(마스터!$J$4:$J$20,MATCH(C304,마스터!$M$4:$M$20,0))),"")</f>
        <v/>
      </c>
      <c r="H304" s="30"/>
      <c r="I304" s="30"/>
    </row>
    <row r="305" spans="1:9" ht="15" customHeight="1" x14ac:dyDescent="0.25">
      <c r="A305" s="25" t="str">
        <f t="shared" si="4"/>
        <v/>
      </c>
      <c r="B305" s="26"/>
      <c r="C305" s="27"/>
      <c r="D305" s="28" t="str">
        <f>IFERROR(IF(C305="","",INDEX(마스터!$F$4:$F$20,MATCH(C305,마스터!$M$4:$M$20,0))),"")</f>
        <v/>
      </c>
      <c r="E305" s="27"/>
      <c r="F305" s="29"/>
      <c r="G305" s="25" t="str">
        <f>IFERROR(IF(C305="","",INDEX(마스터!$J$4:$J$20,MATCH(C305,마스터!$M$4:$M$20,0))),"")</f>
        <v/>
      </c>
      <c r="H305" s="30"/>
      <c r="I305" s="30"/>
    </row>
    <row r="306" spans="1:9" ht="15" customHeight="1" x14ac:dyDescent="0.25">
      <c r="A306" s="25" t="str">
        <f t="shared" si="4"/>
        <v/>
      </c>
      <c r="B306" s="26"/>
      <c r="C306" s="27"/>
      <c r="D306" s="28" t="str">
        <f>IFERROR(IF(C306="","",INDEX(마스터!$F$4:$F$20,MATCH(C306,마스터!$M$4:$M$20,0))),"")</f>
        <v/>
      </c>
      <c r="E306" s="27"/>
      <c r="F306" s="29"/>
      <c r="G306" s="25" t="str">
        <f>IFERROR(IF(C306="","",INDEX(마스터!$J$4:$J$20,MATCH(C306,마스터!$M$4:$M$20,0))),"")</f>
        <v/>
      </c>
      <c r="H306" s="30"/>
      <c r="I306" s="30"/>
    </row>
    <row r="307" spans="1:9" ht="15" customHeight="1" x14ac:dyDescent="0.25">
      <c r="A307" s="25" t="str">
        <f t="shared" si="4"/>
        <v/>
      </c>
      <c r="B307" s="26"/>
      <c r="C307" s="27"/>
      <c r="D307" s="28" t="str">
        <f>IFERROR(IF(C307="","",INDEX(마스터!$F$4:$F$20,MATCH(C307,마스터!$M$4:$M$20,0))),"")</f>
        <v/>
      </c>
      <c r="E307" s="27"/>
      <c r="F307" s="29"/>
      <c r="G307" s="25" t="str">
        <f>IFERROR(IF(C307="","",INDEX(마스터!$J$4:$J$20,MATCH(C307,마스터!$M$4:$M$20,0))),"")</f>
        <v/>
      </c>
      <c r="H307" s="30"/>
      <c r="I307" s="30"/>
    </row>
    <row r="308" spans="1:9" ht="15" customHeight="1" x14ac:dyDescent="0.25">
      <c r="A308" s="25" t="str">
        <f t="shared" si="4"/>
        <v/>
      </c>
      <c r="B308" s="26"/>
      <c r="C308" s="27"/>
      <c r="D308" s="28" t="str">
        <f>IFERROR(IF(C308="","",INDEX(마스터!$F$4:$F$20,MATCH(C308,마스터!$M$4:$M$20,0))),"")</f>
        <v/>
      </c>
      <c r="E308" s="27"/>
      <c r="F308" s="29"/>
      <c r="G308" s="25" t="str">
        <f>IFERROR(IF(C308="","",INDEX(마스터!$J$4:$J$20,MATCH(C308,마스터!$M$4:$M$20,0))),"")</f>
        <v/>
      </c>
      <c r="H308" s="30"/>
      <c r="I308" s="30"/>
    </row>
    <row r="309" spans="1:9" ht="15" customHeight="1" x14ac:dyDescent="0.25">
      <c r="A309" s="25" t="str">
        <f t="shared" si="4"/>
        <v/>
      </c>
      <c r="B309" s="26"/>
      <c r="C309" s="27"/>
      <c r="D309" s="28" t="str">
        <f>IFERROR(IF(C309="","",INDEX(마스터!$F$4:$F$20,MATCH(C309,마스터!$M$4:$M$20,0))),"")</f>
        <v/>
      </c>
      <c r="E309" s="27"/>
      <c r="F309" s="29"/>
      <c r="G309" s="25" t="str">
        <f>IFERROR(IF(C309="","",INDEX(마스터!$J$4:$J$20,MATCH(C309,마스터!$M$4:$M$20,0))),"")</f>
        <v/>
      </c>
      <c r="H309" s="30"/>
      <c r="I309" s="30"/>
    </row>
    <row r="310" spans="1:9" ht="15" customHeight="1" x14ac:dyDescent="0.25">
      <c r="A310" s="25" t="str">
        <f t="shared" si="4"/>
        <v/>
      </c>
      <c r="B310" s="26"/>
      <c r="C310" s="27"/>
      <c r="D310" s="28" t="str">
        <f>IFERROR(IF(C310="","",INDEX(마스터!$F$4:$F$20,MATCH(C310,마스터!$M$4:$M$20,0))),"")</f>
        <v/>
      </c>
      <c r="E310" s="27"/>
      <c r="F310" s="29"/>
      <c r="G310" s="25" t="str">
        <f>IFERROR(IF(C310="","",INDEX(마스터!$J$4:$J$20,MATCH(C310,마스터!$M$4:$M$20,0))),"")</f>
        <v/>
      </c>
      <c r="H310" s="30"/>
      <c r="I310" s="30"/>
    </row>
    <row r="311" spans="1:9" ht="15" customHeight="1" x14ac:dyDescent="0.25">
      <c r="A311" s="25" t="str">
        <f t="shared" si="4"/>
        <v/>
      </c>
      <c r="B311" s="26"/>
      <c r="C311" s="27"/>
      <c r="D311" s="28" t="str">
        <f>IFERROR(IF(C311="","",INDEX(마스터!$F$4:$F$20,MATCH(C311,마스터!$M$4:$M$20,0))),"")</f>
        <v/>
      </c>
      <c r="E311" s="27"/>
      <c r="F311" s="29"/>
      <c r="G311" s="25" t="str">
        <f>IFERROR(IF(C311="","",INDEX(마스터!$J$4:$J$20,MATCH(C311,마스터!$M$4:$M$20,0))),"")</f>
        <v/>
      </c>
      <c r="H311" s="30"/>
      <c r="I311" s="30"/>
    </row>
    <row r="312" spans="1:9" ht="15" customHeight="1" x14ac:dyDescent="0.25">
      <c r="A312" s="25" t="str">
        <f t="shared" si="4"/>
        <v/>
      </c>
      <c r="B312" s="26"/>
      <c r="C312" s="27"/>
      <c r="D312" s="28" t="str">
        <f>IFERROR(IF(C312="","",INDEX(마스터!$F$4:$F$20,MATCH(C312,마스터!$M$4:$M$20,0))),"")</f>
        <v/>
      </c>
      <c r="E312" s="27"/>
      <c r="F312" s="29"/>
      <c r="G312" s="25" t="str">
        <f>IFERROR(IF(C312="","",INDEX(마스터!$J$4:$J$20,MATCH(C312,마스터!$M$4:$M$20,0))),"")</f>
        <v/>
      </c>
      <c r="H312" s="30"/>
      <c r="I312" s="30"/>
    </row>
    <row r="313" spans="1:9" ht="15" customHeight="1" x14ac:dyDescent="0.25">
      <c r="A313" s="25" t="str">
        <f t="shared" si="4"/>
        <v/>
      </c>
      <c r="B313" s="26"/>
      <c r="C313" s="27"/>
      <c r="D313" s="28" t="str">
        <f>IFERROR(IF(C313="","",INDEX(마스터!$F$4:$F$20,MATCH(C313,마스터!$M$4:$M$20,0))),"")</f>
        <v/>
      </c>
      <c r="E313" s="27"/>
      <c r="F313" s="29"/>
      <c r="G313" s="25" t="str">
        <f>IFERROR(IF(C313="","",INDEX(마스터!$J$4:$J$20,MATCH(C313,마스터!$M$4:$M$20,0))),"")</f>
        <v/>
      </c>
      <c r="H313" s="30"/>
      <c r="I313" s="30"/>
    </row>
    <row r="314" spans="1:9" ht="15" customHeight="1" x14ac:dyDescent="0.25">
      <c r="A314" s="25" t="str">
        <f t="shared" si="4"/>
        <v/>
      </c>
      <c r="B314" s="26"/>
      <c r="C314" s="27"/>
      <c r="D314" s="28" t="str">
        <f>IFERROR(IF(C314="","",INDEX(마스터!$F$4:$F$20,MATCH(C314,마스터!$M$4:$M$20,0))),"")</f>
        <v/>
      </c>
      <c r="E314" s="27"/>
      <c r="F314" s="29"/>
      <c r="G314" s="25" t="str">
        <f>IFERROR(IF(C314="","",INDEX(마스터!$J$4:$J$20,MATCH(C314,마스터!$M$4:$M$20,0))),"")</f>
        <v/>
      </c>
      <c r="H314" s="30"/>
      <c r="I314" s="30"/>
    </row>
    <row r="315" spans="1:9" ht="15" customHeight="1" x14ac:dyDescent="0.25">
      <c r="A315" s="25" t="str">
        <f t="shared" si="4"/>
        <v/>
      </c>
      <c r="B315" s="26"/>
      <c r="C315" s="27"/>
      <c r="D315" s="28" t="str">
        <f>IFERROR(IF(C315="","",INDEX(마스터!$F$4:$F$20,MATCH(C315,마스터!$M$4:$M$20,0))),"")</f>
        <v/>
      </c>
      <c r="E315" s="27"/>
      <c r="F315" s="29"/>
      <c r="G315" s="25" t="str">
        <f>IFERROR(IF(C315="","",INDEX(마스터!$J$4:$J$20,MATCH(C315,마스터!$M$4:$M$20,0))),"")</f>
        <v/>
      </c>
      <c r="H315" s="30"/>
      <c r="I315" s="30"/>
    </row>
    <row r="316" spans="1:9" ht="15" customHeight="1" x14ac:dyDescent="0.25">
      <c r="A316" s="25" t="str">
        <f t="shared" si="4"/>
        <v/>
      </c>
      <c r="B316" s="26"/>
      <c r="C316" s="27"/>
      <c r="D316" s="28" t="str">
        <f>IFERROR(IF(C316="","",INDEX(마스터!$F$4:$F$20,MATCH(C316,마스터!$M$4:$M$20,0))),"")</f>
        <v/>
      </c>
      <c r="E316" s="27"/>
      <c r="F316" s="29"/>
      <c r="G316" s="25" t="str">
        <f>IFERROR(IF(C316="","",INDEX(마스터!$J$4:$J$20,MATCH(C316,마스터!$M$4:$M$20,0))),"")</f>
        <v/>
      </c>
      <c r="H316" s="30"/>
      <c r="I316" s="30"/>
    </row>
    <row r="317" spans="1:9" ht="15" customHeight="1" x14ac:dyDescent="0.25">
      <c r="A317" s="25" t="str">
        <f t="shared" si="4"/>
        <v/>
      </c>
      <c r="B317" s="26"/>
      <c r="C317" s="27"/>
      <c r="D317" s="28" t="str">
        <f>IFERROR(IF(C317="","",INDEX(마스터!$F$4:$F$20,MATCH(C317,마스터!$M$4:$M$20,0))),"")</f>
        <v/>
      </c>
      <c r="E317" s="27"/>
      <c r="F317" s="29"/>
      <c r="G317" s="25" t="str">
        <f>IFERROR(IF(C317="","",INDEX(마스터!$J$4:$J$20,MATCH(C317,마스터!$M$4:$M$20,0))),"")</f>
        <v/>
      </c>
      <c r="H317" s="30"/>
      <c r="I317" s="30"/>
    </row>
    <row r="318" spans="1:9" ht="15" customHeight="1" x14ac:dyDescent="0.25">
      <c r="A318" s="25" t="str">
        <f t="shared" si="4"/>
        <v/>
      </c>
      <c r="B318" s="26"/>
      <c r="C318" s="27"/>
      <c r="D318" s="28" t="str">
        <f>IFERROR(IF(C318="","",INDEX(마스터!$F$4:$F$20,MATCH(C318,마스터!$M$4:$M$20,0))),"")</f>
        <v/>
      </c>
      <c r="E318" s="27"/>
      <c r="F318" s="29"/>
      <c r="G318" s="25" t="str">
        <f>IFERROR(IF(C318="","",INDEX(마스터!$J$4:$J$20,MATCH(C318,마스터!$M$4:$M$20,0))),"")</f>
        <v/>
      </c>
      <c r="H318" s="30"/>
      <c r="I318" s="30"/>
    </row>
    <row r="319" spans="1:9" ht="15" customHeight="1" x14ac:dyDescent="0.25">
      <c r="A319" s="25" t="str">
        <f t="shared" si="4"/>
        <v/>
      </c>
      <c r="B319" s="26"/>
      <c r="C319" s="27"/>
      <c r="D319" s="28" t="str">
        <f>IFERROR(IF(C319="","",INDEX(마스터!$F$4:$F$20,MATCH(C319,마스터!$M$4:$M$20,0))),"")</f>
        <v/>
      </c>
      <c r="E319" s="27"/>
      <c r="F319" s="29"/>
      <c r="G319" s="25" t="str">
        <f>IFERROR(IF(C319="","",INDEX(마스터!$J$4:$J$20,MATCH(C319,마스터!$M$4:$M$20,0))),"")</f>
        <v/>
      </c>
      <c r="H319" s="30"/>
      <c r="I319" s="30"/>
    </row>
    <row r="320" spans="1:9" ht="15" customHeight="1" x14ac:dyDescent="0.25">
      <c r="A320" s="25" t="str">
        <f t="shared" si="4"/>
        <v/>
      </c>
      <c r="B320" s="26"/>
      <c r="C320" s="27"/>
      <c r="D320" s="28" t="str">
        <f>IFERROR(IF(C320="","",INDEX(마스터!$F$4:$F$20,MATCH(C320,마스터!$M$4:$M$20,0))),"")</f>
        <v/>
      </c>
      <c r="E320" s="27"/>
      <c r="F320" s="29"/>
      <c r="G320" s="25" t="str">
        <f>IFERROR(IF(C320="","",INDEX(마스터!$J$4:$J$20,MATCH(C320,마스터!$M$4:$M$20,0))),"")</f>
        <v/>
      </c>
      <c r="H320" s="30"/>
      <c r="I320" s="30"/>
    </row>
    <row r="321" spans="1:9" ht="15" customHeight="1" x14ac:dyDescent="0.25">
      <c r="A321" s="25" t="str">
        <f t="shared" si="4"/>
        <v/>
      </c>
      <c r="B321" s="26"/>
      <c r="C321" s="27"/>
      <c r="D321" s="28" t="str">
        <f>IFERROR(IF(C321="","",INDEX(마스터!$F$4:$F$20,MATCH(C321,마스터!$M$4:$M$20,0))),"")</f>
        <v/>
      </c>
      <c r="E321" s="27"/>
      <c r="F321" s="29"/>
      <c r="G321" s="25" t="str">
        <f>IFERROR(IF(C321="","",INDEX(마스터!$J$4:$J$20,MATCH(C321,마스터!$M$4:$M$20,0))),"")</f>
        <v/>
      </c>
      <c r="H321" s="30"/>
      <c r="I321" s="30"/>
    </row>
    <row r="322" spans="1:9" ht="15" customHeight="1" x14ac:dyDescent="0.25">
      <c r="A322" s="25" t="str">
        <f t="shared" si="4"/>
        <v/>
      </c>
      <c r="B322" s="26"/>
      <c r="C322" s="27"/>
      <c r="D322" s="28" t="str">
        <f>IFERROR(IF(C322="","",INDEX(마스터!$F$4:$F$20,MATCH(C322,마스터!$M$4:$M$20,0))),"")</f>
        <v/>
      </c>
      <c r="E322" s="27"/>
      <c r="F322" s="29"/>
      <c r="G322" s="25" t="str">
        <f>IFERROR(IF(C322="","",INDEX(마스터!$J$4:$J$20,MATCH(C322,마스터!$M$4:$M$20,0))),"")</f>
        <v/>
      </c>
      <c r="H322" s="30"/>
      <c r="I322" s="30"/>
    </row>
    <row r="323" spans="1:9" ht="15" customHeight="1" x14ac:dyDescent="0.25">
      <c r="A323" s="25" t="str">
        <f t="shared" si="4"/>
        <v/>
      </c>
      <c r="B323" s="26"/>
      <c r="C323" s="27"/>
      <c r="D323" s="28" t="str">
        <f>IFERROR(IF(C323="","",INDEX(마스터!$F$4:$F$20,MATCH(C323,마스터!$M$4:$M$20,0))),"")</f>
        <v/>
      </c>
      <c r="E323" s="27"/>
      <c r="F323" s="29"/>
      <c r="G323" s="25" t="str">
        <f>IFERROR(IF(C323="","",INDEX(마스터!$J$4:$J$20,MATCH(C323,마스터!$M$4:$M$20,0))),"")</f>
        <v/>
      </c>
      <c r="H323" s="30"/>
      <c r="I323" s="30"/>
    </row>
    <row r="324" spans="1:9" ht="15" customHeight="1" x14ac:dyDescent="0.25">
      <c r="A324" s="25" t="str">
        <f t="shared" si="4"/>
        <v/>
      </c>
      <c r="B324" s="26"/>
      <c r="C324" s="27"/>
      <c r="D324" s="28" t="str">
        <f>IFERROR(IF(C324="","",INDEX(마스터!$F$4:$F$20,MATCH(C324,마스터!$M$4:$M$20,0))),"")</f>
        <v/>
      </c>
      <c r="E324" s="27"/>
      <c r="F324" s="29"/>
      <c r="G324" s="25" t="str">
        <f>IFERROR(IF(C324="","",INDEX(마스터!$J$4:$J$20,MATCH(C324,마스터!$M$4:$M$20,0))),"")</f>
        <v/>
      </c>
      <c r="H324" s="30"/>
      <c r="I324" s="30"/>
    </row>
    <row r="325" spans="1:9" ht="15" customHeight="1" x14ac:dyDescent="0.25">
      <c r="A325" s="25" t="str">
        <f t="shared" si="4"/>
        <v/>
      </c>
      <c r="B325" s="26"/>
      <c r="C325" s="27"/>
      <c r="D325" s="28" t="str">
        <f>IFERROR(IF(C325="","",INDEX(마스터!$F$4:$F$20,MATCH(C325,마스터!$M$4:$M$20,0))),"")</f>
        <v/>
      </c>
      <c r="E325" s="27"/>
      <c r="F325" s="29"/>
      <c r="G325" s="25" t="str">
        <f>IFERROR(IF(C325="","",INDEX(마스터!$J$4:$J$20,MATCH(C325,마스터!$M$4:$M$20,0))),"")</f>
        <v/>
      </c>
      <c r="H325" s="30"/>
      <c r="I325" s="30"/>
    </row>
    <row r="326" spans="1:9" ht="15" customHeight="1" x14ac:dyDescent="0.25">
      <c r="A326" s="25" t="str">
        <f t="shared" si="4"/>
        <v/>
      </c>
      <c r="B326" s="26"/>
      <c r="C326" s="27"/>
      <c r="D326" s="28" t="str">
        <f>IFERROR(IF(C326="","",INDEX(마스터!$F$4:$F$20,MATCH(C326,마스터!$M$4:$M$20,0))),"")</f>
        <v/>
      </c>
      <c r="E326" s="27"/>
      <c r="F326" s="29"/>
      <c r="G326" s="25" t="str">
        <f>IFERROR(IF(C326="","",INDEX(마스터!$J$4:$J$20,MATCH(C326,마스터!$M$4:$M$20,0))),"")</f>
        <v/>
      </c>
      <c r="H326" s="30"/>
      <c r="I326" s="30"/>
    </row>
    <row r="327" spans="1:9" ht="15" customHeight="1" x14ac:dyDescent="0.25">
      <c r="A327" s="25" t="str">
        <f t="shared" si="4"/>
        <v/>
      </c>
      <c r="B327" s="26"/>
      <c r="C327" s="27"/>
      <c r="D327" s="28" t="str">
        <f>IFERROR(IF(C327="","",INDEX(마스터!$F$4:$F$20,MATCH(C327,마스터!$M$4:$M$20,0))),"")</f>
        <v/>
      </c>
      <c r="E327" s="27"/>
      <c r="F327" s="29"/>
      <c r="G327" s="25" t="str">
        <f>IFERROR(IF(C327="","",INDEX(마스터!$J$4:$J$20,MATCH(C327,마스터!$M$4:$M$20,0))),"")</f>
        <v/>
      </c>
      <c r="H327" s="30"/>
      <c r="I327" s="30"/>
    </row>
    <row r="328" spans="1:9" ht="15" customHeight="1" x14ac:dyDescent="0.25">
      <c r="A328" s="25" t="str">
        <f t="shared" ref="A328:A391" si="5">IF(B328="","",ROW()-7)</f>
        <v/>
      </c>
      <c r="B328" s="26"/>
      <c r="C328" s="27"/>
      <c r="D328" s="28" t="str">
        <f>IFERROR(IF(C328="","",INDEX(마스터!$F$4:$F$20,MATCH(C328,마스터!$M$4:$M$20,0))),"")</f>
        <v/>
      </c>
      <c r="E328" s="27"/>
      <c r="F328" s="29"/>
      <c r="G328" s="25" t="str">
        <f>IFERROR(IF(C328="","",INDEX(마스터!$J$4:$J$20,MATCH(C328,마스터!$M$4:$M$20,0))),"")</f>
        <v/>
      </c>
      <c r="H328" s="30"/>
      <c r="I328" s="30"/>
    </row>
    <row r="329" spans="1:9" ht="15" customHeight="1" x14ac:dyDescent="0.25">
      <c r="A329" s="25" t="str">
        <f t="shared" si="5"/>
        <v/>
      </c>
      <c r="B329" s="26"/>
      <c r="C329" s="27"/>
      <c r="D329" s="28" t="str">
        <f>IFERROR(IF(C329="","",INDEX(마스터!$F$4:$F$20,MATCH(C329,마스터!$M$4:$M$20,0))),"")</f>
        <v/>
      </c>
      <c r="E329" s="27"/>
      <c r="F329" s="29"/>
      <c r="G329" s="25" t="str">
        <f>IFERROR(IF(C329="","",INDEX(마스터!$J$4:$J$20,MATCH(C329,마스터!$M$4:$M$20,0))),"")</f>
        <v/>
      </c>
      <c r="H329" s="30"/>
      <c r="I329" s="30"/>
    </row>
    <row r="330" spans="1:9" ht="15" customHeight="1" x14ac:dyDescent="0.25">
      <c r="A330" s="25" t="str">
        <f t="shared" si="5"/>
        <v/>
      </c>
      <c r="B330" s="26"/>
      <c r="C330" s="27"/>
      <c r="D330" s="28" t="str">
        <f>IFERROR(IF(C330="","",INDEX(마스터!$F$4:$F$20,MATCH(C330,마스터!$M$4:$M$20,0))),"")</f>
        <v/>
      </c>
      <c r="E330" s="27"/>
      <c r="F330" s="29"/>
      <c r="G330" s="25" t="str">
        <f>IFERROR(IF(C330="","",INDEX(마스터!$J$4:$J$20,MATCH(C330,마스터!$M$4:$M$20,0))),"")</f>
        <v/>
      </c>
      <c r="H330" s="30"/>
      <c r="I330" s="30"/>
    </row>
    <row r="331" spans="1:9" ht="15" customHeight="1" x14ac:dyDescent="0.25">
      <c r="A331" s="25" t="str">
        <f t="shared" si="5"/>
        <v/>
      </c>
      <c r="B331" s="26"/>
      <c r="C331" s="27"/>
      <c r="D331" s="28" t="str">
        <f>IFERROR(IF(C331="","",INDEX(마스터!$F$4:$F$20,MATCH(C331,마스터!$M$4:$M$20,0))),"")</f>
        <v/>
      </c>
      <c r="E331" s="27"/>
      <c r="F331" s="29"/>
      <c r="G331" s="25" t="str">
        <f>IFERROR(IF(C331="","",INDEX(마스터!$J$4:$J$20,MATCH(C331,마스터!$M$4:$M$20,0))),"")</f>
        <v/>
      </c>
      <c r="H331" s="30"/>
      <c r="I331" s="30"/>
    </row>
    <row r="332" spans="1:9" ht="15" customHeight="1" x14ac:dyDescent="0.25">
      <c r="A332" s="25" t="str">
        <f t="shared" si="5"/>
        <v/>
      </c>
      <c r="B332" s="26"/>
      <c r="C332" s="27"/>
      <c r="D332" s="28" t="str">
        <f>IFERROR(IF(C332="","",INDEX(마스터!$F$4:$F$20,MATCH(C332,마스터!$M$4:$M$20,0))),"")</f>
        <v/>
      </c>
      <c r="E332" s="27"/>
      <c r="F332" s="29"/>
      <c r="G332" s="25" t="str">
        <f>IFERROR(IF(C332="","",INDEX(마스터!$J$4:$J$20,MATCH(C332,마스터!$M$4:$M$20,0))),"")</f>
        <v/>
      </c>
      <c r="H332" s="30"/>
      <c r="I332" s="30"/>
    </row>
    <row r="333" spans="1:9" ht="15" customHeight="1" x14ac:dyDescent="0.25">
      <c r="A333" s="25" t="str">
        <f t="shared" si="5"/>
        <v/>
      </c>
      <c r="B333" s="26"/>
      <c r="C333" s="27"/>
      <c r="D333" s="28" t="str">
        <f>IFERROR(IF(C333="","",INDEX(마스터!$F$4:$F$20,MATCH(C333,마스터!$M$4:$M$20,0))),"")</f>
        <v/>
      </c>
      <c r="E333" s="27"/>
      <c r="F333" s="29"/>
      <c r="G333" s="25" t="str">
        <f>IFERROR(IF(C333="","",INDEX(마스터!$J$4:$J$20,MATCH(C333,마스터!$M$4:$M$20,0))),"")</f>
        <v/>
      </c>
      <c r="H333" s="30"/>
      <c r="I333" s="30"/>
    </row>
    <row r="334" spans="1:9" ht="15" customHeight="1" x14ac:dyDescent="0.25">
      <c r="A334" s="25" t="str">
        <f t="shared" si="5"/>
        <v/>
      </c>
      <c r="B334" s="26"/>
      <c r="C334" s="27"/>
      <c r="D334" s="28" t="str">
        <f>IFERROR(IF(C334="","",INDEX(마스터!$F$4:$F$20,MATCH(C334,마스터!$M$4:$M$20,0))),"")</f>
        <v/>
      </c>
      <c r="E334" s="27"/>
      <c r="F334" s="29"/>
      <c r="G334" s="25" t="str">
        <f>IFERROR(IF(C334="","",INDEX(마스터!$J$4:$J$20,MATCH(C334,마스터!$M$4:$M$20,0))),"")</f>
        <v/>
      </c>
      <c r="H334" s="30"/>
      <c r="I334" s="30"/>
    </row>
    <row r="335" spans="1:9" ht="15" customHeight="1" x14ac:dyDescent="0.25">
      <c r="A335" s="25" t="str">
        <f t="shared" si="5"/>
        <v/>
      </c>
      <c r="B335" s="26"/>
      <c r="C335" s="27"/>
      <c r="D335" s="28" t="str">
        <f>IFERROR(IF(C335="","",INDEX(마스터!$F$4:$F$20,MATCH(C335,마스터!$M$4:$M$20,0))),"")</f>
        <v/>
      </c>
      <c r="E335" s="27"/>
      <c r="F335" s="29"/>
      <c r="G335" s="25" t="str">
        <f>IFERROR(IF(C335="","",INDEX(마스터!$J$4:$J$20,MATCH(C335,마스터!$M$4:$M$20,0))),"")</f>
        <v/>
      </c>
      <c r="H335" s="30"/>
      <c r="I335" s="30"/>
    </row>
    <row r="336" spans="1:9" ht="15" customHeight="1" x14ac:dyDescent="0.25">
      <c r="A336" s="25" t="str">
        <f t="shared" si="5"/>
        <v/>
      </c>
      <c r="B336" s="26"/>
      <c r="C336" s="27"/>
      <c r="D336" s="28" t="str">
        <f>IFERROR(IF(C336="","",INDEX(마스터!$F$4:$F$20,MATCH(C336,마스터!$M$4:$M$20,0))),"")</f>
        <v/>
      </c>
      <c r="E336" s="27"/>
      <c r="F336" s="29"/>
      <c r="G336" s="25" t="str">
        <f>IFERROR(IF(C336="","",INDEX(마스터!$J$4:$J$20,MATCH(C336,마스터!$M$4:$M$20,0))),"")</f>
        <v/>
      </c>
      <c r="H336" s="30"/>
      <c r="I336" s="30"/>
    </row>
    <row r="337" spans="1:9" ht="15" customHeight="1" x14ac:dyDescent="0.25">
      <c r="A337" s="25" t="str">
        <f t="shared" si="5"/>
        <v/>
      </c>
      <c r="B337" s="26"/>
      <c r="C337" s="27"/>
      <c r="D337" s="28" t="str">
        <f>IFERROR(IF(C337="","",INDEX(마스터!$F$4:$F$20,MATCH(C337,마스터!$M$4:$M$20,0))),"")</f>
        <v/>
      </c>
      <c r="E337" s="27"/>
      <c r="F337" s="29"/>
      <c r="G337" s="25" t="str">
        <f>IFERROR(IF(C337="","",INDEX(마스터!$J$4:$J$20,MATCH(C337,마스터!$M$4:$M$20,0))),"")</f>
        <v/>
      </c>
      <c r="H337" s="30"/>
      <c r="I337" s="30"/>
    </row>
    <row r="338" spans="1:9" ht="15" customHeight="1" x14ac:dyDescent="0.25">
      <c r="A338" s="25" t="str">
        <f t="shared" si="5"/>
        <v/>
      </c>
      <c r="B338" s="26"/>
      <c r="C338" s="27"/>
      <c r="D338" s="28" t="str">
        <f>IFERROR(IF(C338="","",INDEX(마스터!$F$4:$F$20,MATCH(C338,마스터!$M$4:$M$20,0))),"")</f>
        <v/>
      </c>
      <c r="E338" s="27"/>
      <c r="F338" s="29"/>
      <c r="G338" s="25" t="str">
        <f>IFERROR(IF(C338="","",INDEX(마스터!$J$4:$J$20,MATCH(C338,마스터!$M$4:$M$20,0))),"")</f>
        <v/>
      </c>
      <c r="H338" s="30"/>
      <c r="I338" s="30"/>
    </row>
    <row r="339" spans="1:9" ht="15" customHeight="1" x14ac:dyDescent="0.25">
      <c r="A339" s="25" t="str">
        <f t="shared" si="5"/>
        <v/>
      </c>
      <c r="B339" s="26"/>
      <c r="C339" s="27"/>
      <c r="D339" s="28" t="str">
        <f>IFERROR(IF(C339="","",INDEX(마스터!$F$4:$F$20,MATCH(C339,마스터!$M$4:$M$20,0))),"")</f>
        <v/>
      </c>
      <c r="E339" s="27"/>
      <c r="F339" s="29"/>
      <c r="G339" s="25" t="str">
        <f>IFERROR(IF(C339="","",INDEX(마스터!$J$4:$J$20,MATCH(C339,마스터!$M$4:$M$20,0))),"")</f>
        <v/>
      </c>
      <c r="H339" s="30"/>
      <c r="I339" s="30"/>
    </row>
    <row r="340" spans="1:9" ht="15" customHeight="1" x14ac:dyDescent="0.25">
      <c r="A340" s="25" t="str">
        <f t="shared" si="5"/>
        <v/>
      </c>
      <c r="B340" s="26"/>
      <c r="C340" s="27"/>
      <c r="D340" s="28" t="str">
        <f>IFERROR(IF(C340="","",INDEX(마스터!$F$4:$F$20,MATCH(C340,마스터!$M$4:$M$20,0))),"")</f>
        <v/>
      </c>
      <c r="E340" s="27"/>
      <c r="F340" s="29"/>
      <c r="G340" s="25" t="str">
        <f>IFERROR(IF(C340="","",INDEX(마스터!$J$4:$J$20,MATCH(C340,마스터!$M$4:$M$20,0))),"")</f>
        <v/>
      </c>
      <c r="H340" s="30"/>
      <c r="I340" s="30"/>
    </row>
    <row r="341" spans="1:9" ht="15" customHeight="1" x14ac:dyDescent="0.25">
      <c r="A341" s="25" t="str">
        <f t="shared" si="5"/>
        <v/>
      </c>
      <c r="B341" s="26"/>
      <c r="C341" s="27"/>
      <c r="D341" s="28" t="str">
        <f>IFERROR(IF(C341="","",INDEX(마스터!$F$4:$F$20,MATCH(C341,마스터!$M$4:$M$20,0))),"")</f>
        <v/>
      </c>
      <c r="E341" s="27"/>
      <c r="F341" s="29"/>
      <c r="G341" s="25" t="str">
        <f>IFERROR(IF(C341="","",INDEX(마스터!$J$4:$J$20,MATCH(C341,마스터!$M$4:$M$20,0))),"")</f>
        <v/>
      </c>
      <c r="H341" s="30"/>
      <c r="I341" s="30"/>
    </row>
    <row r="342" spans="1:9" ht="15" customHeight="1" x14ac:dyDescent="0.25">
      <c r="A342" s="25" t="str">
        <f t="shared" si="5"/>
        <v/>
      </c>
      <c r="B342" s="26"/>
      <c r="C342" s="27"/>
      <c r="D342" s="28" t="str">
        <f>IFERROR(IF(C342="","",INDEX(마스터!$F$4:$F$20,MATCH(C342,마스터!$M$4:$M$20,0))),"")</f>
        <v/>
      </c>
      <c r="E342" s="27"/>
      <c r="F342" s="29"/>
      <c r="G342" s="25" t="str">
        <f>IFERROR(IF(C342="","",INDEX(마스터!$J$4:$J$20,MATCH(C342,마스터!$M$4:$M$20,0))),"")</f>
        <v/>
      </c>
      <c r="H342" s="30"/>
      <c r="I342" s="30"/>
    </row>
    <row r="343" spans="1:9" ht="15" customHeight="1" x14ac:dyDescent="0.25">
      <c r="A343" s="25" t="str">
        <f t="shared" si="5"/>
        <v/>
      </c>
      <c r="B343" s="26"/>
      <c r="C343" s="27"/>
      <c r="D343" s="28" t="str">
        <f>IFERROR(IF(C343="","",INDEX(마스터!$F$4:$F$20,MATCH(C343,마스터!$M$4:$M$20,0))),"")</f>
        <v/>
      </c>
      <c r="E343" s="27"/>
      <c r="F343" s="29"/>
      <c r="G343" s="25" t="str">
        <f>IFERROR(IF(C343="","",INDEX(마스터!$J$4:$J$20,MATCH(C343,마스터!$M$4:$M$20,0))),"")</f>
        <v/>
      </c>
      <c r="H343" s="30"/>
      <c r="I343" s="30"/>
    </row>
    <row r="344" spans="1:9" ht="15" customHeight="1" x14ac:dyDescent="0.25">
      <c r="A344" s="25" t="str">
        <f t="shared" si="5"/>
        <v/>
      </c>
      <c r="B344" s="26"/>
      <c r="C344" s="27"/>
      <c r="D344" s="28" t="str">
        <f>IFERROR(IF(C344="","",INDEX(마스터!$F$4:$F$20,MATCH(C344,마스터!$M$4:$M$20,0))),"")</f>
        <v/>
      </c>
      <c r="E344" s="27"/>
      <c r="F344" s="29"/>
      <c r="G344" s="25" t="str">
        <f>IFERROR(IF(C344="","",INDEX(마스터!$J$4:$J$20,MATCH(C344,마스터!$M$4:$M$20,0))),"")</f>
        <v/>
      </c>
      <c r="H344" s="30"/>
      <c r="I344" s="30"/>
    </row>
    <row r="345" spans="1:9" ht="15" customHeight="1" x14ac:dyDescent="0.25">
      <c r="A345" s="25" t="str">
        <f t="shared" si="5"/>
        <v/>
      </c>
      <c r="B345" s="26"/>
      <c r="C345" s="27"/>
      <c r="D345" s="28" t="str">
        <f>IFERROR(IF(C345="","",INDEX(마스터!$F$4:$F$20,MATCH(C345,마스터!$M$4:$M$20,0))),"")</f>
        <v/>
      </c>
      <c r="E345" s="27"/>
      <c r="F345" s="29"/>
      <c r="G345" s="25" t="str">
        <f>IFERROR(IF(C345="","",INDEX(마스터!$J$4:$J$20,MATCH(C345,마스터!$M$4:$M$20,0))),"")</f>
        <v/>
      </c>
      <c r="H345" s="30"/>
      <c r="I345" s="30"/>
    </row>
    <row r="346" spans="1:9" ht="15" customHeight="1" x14ac:dyDescent="0.25">
      <c r="A346" s="25" t="str">
        <f t="shared" si="5"/>
        <v/>
      </c>
      <c r="B346" s="26"/>
      <c r="C346" s="27"/>
      <c r="D346" s="28" t="str">
        <f>IFERROR(IF(C346="","",INDEX(마스터!$F$4:$F$20,MATCH(C346,마스터!$M$4:$M$20,0))),"")</f>
        <v/>
      </c>
      <c r="E346" s="27"/>
      <c r="F346" s="29"/>
      <c r="G346" s="25" t="str">
        <f>IFERROR(IF(C346="","",INDEX(마스터!$J$4:$J$20,MATCH(C346,마스터!$M$4:$M$20,0))),"")</f>
        <v/>
      </c>
      <c r="H346" s="30"/>
      <c r="I346" s="30"/>
    </row>
    <row r="347" spans="1:9" ht="15" customHeight="1" x14ac:dyDescent="0.25">
      <c r="A347" s="25" t="str">
        <f t="shared" si="5"/>
        <v/>
      </c>
      <c r="B347" s="26"/>
      <c r="C347" s="27"/>
      <c r="D347" s="28" t="str">
        <f>IFERROR(IF(C347="","",INDEX(마스터!$F$4:$F$20,MATCH(C347,마스터!$M$4:$M$20,0))),"")</f>
        <v/>
      </c>
      <c r="E347" s="27"/>
      <c r="F347" s="29"/>
      <c r="G347" s="25" t="str">
        <f>IFERROR(IF(C347="","",INDEX(마스터!$J$4:$J$20,MATCH(C347,마스터!$M$4:$M$20,0))),"")</f>
        <v/>
      </c>
      <c r="H347" s="30"/>
      <c r="I347" s="30"/>
    </row>
    <row r="348" spans="1:9" ht="15" customHeight="1" x14ac:dyDescent="0.25">
      <c r="A348" s="25" t="str">
        <f t="shared" si="5"/>
        <v/>
      </c>
      <c r="B348" s="26"/>
      <c r="C348" s="27"/>
      <c r="D348" s="28" t="str">
        <f>IFERROR(IF(C348="","",INDEX(마스터!$F$4:$F$20,MATCH(C348,마스터!$M$4:$M$20,0))),"")</f>
        <v/>
      </c>
      <c r="E348" s="27"/>
      <c r="F348" s="29"/>
      <c r="G348" s="25" t="str">
        <f>IFERROR(IF(C348="","",INDEX(마스터!$J$4:$J$20,MATCH(C348,마스터!$M$4:$M$20,0))),"")</f>
        <v/>
      </c>
      <c r="H348" s="30"/>
      <c r="I348" s="30"/>
    </row>
    <row r="349" spans="1:9" ht="15" customHeight="1" x14ac:dyDescent="0.25">
      <c r="A349" s="25" t="str">
        <f t="shared" si="5"/>
        <v/>
      </c>
      <c r="B349" s="26"/>
      <c r="C349" s="27"/>
      <c r="D349" s="28" t="str">
        <f>IFERROR(IF(C349="","",INDEX(마스터!$F$4:$F$20,MATCH(C349,마스터!$M$4:$M$20,0))),"")</f>
        <v/>
      </c>
      <c r="E349" s="27"/>
      <c r="F349" s="29"/>
      <c r="G349" s="25" t="str">
        <f>IFERROR(IF(C349="","",INDEX(마스터!$J$4:$J$20,MATCH(C349,마스터!$M$4:$M$20,0))),"")</f>
        <v/>
      </c>
      <c r="H349" s="30"/>
      <c r="I349" s="30"/>
    </row>
    <row r="350" spans="1:9" ht="15" customHeight="1" x14ac:dyDescent="0.25">
      <c r="A350" s="25" t="str">
        <f t="shared" si="5"/>
        <v/>
      </c>
      <c r="B350" s="26"/>
      <c r="C350" s="27"/>
      <c r="D350" s="28" t="str">
        <f>IFERROR(IF(C350="","",INDEX(마스터!$F$4:$F$20,MATCH(C350,마스터!$M$4:$M$20,0))),"")</f>
        <v/>
      </c>
      <c r="E350" s="27"/>
      <c r="F350" s="29"/>
      <c r="G350" s="25" t="str">
        <f>IFERROR(IF(C350="","",INDEX(마스터!$J$4:$J$20,MATCH(C350,마스터!$M$4:$M$20,0))),"")</f>
        <v/>
      </c>
      <c r="H350" s="30"/>
      <c r="I350" s="30"/>
    </row>
    <row r="351" spans="1:9" ht="15" customHeight="1" x14ac:dyDescent="0.25">
      <c r="A351" s="25" t="str">
        <f t="shared" si="5"/>
        <v/>
      </c>
      <c r="B351" s="26"/>
      <c r="C351" s="27"/>
      <c r="D351" s="28" t="str">
        <f>IFERROR(IF(C351="","",INDEX(마스터!$F$4:$F$20,MATCH(C351,마스터!$M$4:$M$20,0))),"")</f>
        <v/>
      </c>
      <c r="E351" s="27"/>
      <c r="F351" s="29"/>
      <c r="G351" s="25" t="str">
        <f>IFERROR(IF(C351="","",INDEX(마스터!$J$4:$J$20,MATCH(C351,마스터!$M$4:$M$20,0))),"")</f>
        <v/>
      </c>
      <c r="H351" s="30"/>
      <c r="I351" s="30"/>
    </row>
    <row r="352" spans="1:9" ht="15" customHeight="1" x14ac:dyDescent="0.25">
      <c r="A352" s="25" t="str">
        <f t="shared" si="5"/>
        <v/>
      </c>
      <c r="B352" s="26"/>
      <c r="C352" s="27"/>
      <c r="D352" s="28" t="str">
        <f>IFERROR(IF(C352="","",INDEX(마스터!$F$4:$F$20,MATCH(C352,마스터!$M$4:$M$20,0))),"")</f>
        <v/>
      </c>
      <c r="E352" s="27"/>
      <c r="F352" s="29"/>
      <c r="G352" s="25" t="str">
        <f>IFERROR(IF(C352="","",INDEX(마스터!$J$4:$J$20,MATCH(C352,마스터!$M$4:$M$20,0))),"")</f>
        <v/>
      </c>
      <c r="H352" s="30"/>
      <c r="I352" s="30"/>
    </row>
    <row r="353" spans="1:9" ht="15" customHeight="1" x14ac:dyDescent="0.25">
      <c r="A353" s="25" t="str">
        <f t="shared" si="5"/>
        <v/>
      </c>
      <c r="B353" s="26"/>
      <c r="C353" s="27"/>
      <c r="D353" s="28" t="str">
        <f>IFERROR(IF(C353="","",INDEX(마스터!$F$4:$F$20,MATCH(C353,마스터!$M$4:$M$20,0))),"")</f>
        <v/>
      </c>
      <c r="E353" s="27"/>
      <c r="F353" s="29"/>
      <c r="G353" s="25" t="str">
        <f>IFERROR(IF(C353="","",INDEX(마스터!$J$4:$J$20,MATCH(C353,마스터!$M$4:$M$20,0))),"")</f>
        <v/>
      </c>
      <c r="H353" s="30"/>
      <c r="I353" s="30"/>
    </row>
    <row r="354" spans="1:9" ht="15" customHeight="1" x14ac:dyDescent="0.25">
      <c r="A354" s="25" t="str">
        <f t="shared" si="5"/>
        <v/>
      </c>
      <c r="B354" s="26"/>
      <c r="C354" s="27"/>
      <c r="D354" s="28" t="str">
        <f>IFERROR(IF(C354="","",INDEX(마스터!$F$4:$F$20,MATCH(C354,마스터!$M$4:$M$20,0))),"")</f>
        <v/>
      </c>
      <c r="E354" s="27"/>
      <c r="F354" s="29"/>
      <c r="G354" s="25" t="str">
        <f>IFERROR(IF(C354="","",INDEX(마스터!$J$4:$J$20,MATCH(C354,마스터!$M$4:$M$20,0))),"")</f>
        <v/>
      </c>
      <c r="H354" s="30"/>
      <c r="I354" s="30"/>
    </row>
    <row r="355" spans="1:9" ht="15" customHeight="1" x14ac:dyDescent="0.25">
      <c r="A355" s="25" t="str">
        <f t="shared" si="5"/>
        <v/>
      </c>
      <c r="B355" s="26"/>
      <c r="C355" s="27"/>
      <c r="D355" s="28" t="str">
        <f>IFERROR(IF(C355="","",INDEX(마스터!$F$4:$F$20,MATCH(C355,마스터!$M$4:$M$20,0))),"")</f>
        <v/>
      </c>
      <c r="E355" s="27"/>
      <c r="F355" s="29"/>
      <c r="G355" s="25" t="str">
        <f>IFERROR(IF(C355="","",INDEX(마스터!$J$4:$J$20,MATCH(C355,마스터!$M$4:$M$20,0))),"")</f>
        <v/>
      </c>
      <c r="H355" s="30"/>
      <c r="I355" s="30"/>
    </row>
    <row r="356" spans="1:9" ht="15" customHeight="1" x14ac:dyDescent="0.25">
      <c r="A356" s="25" t="str">
        <f t="shared" si="5"/>
        <v/>
      </c>
      <c r="B356" s="26"/>
      <c r="C356" s="27"/>
      <c r="D356" s="28" t="str">
        <f>IFERROR(IF(C356="","",INDEX(마스터!$F$4:$F$20,MATCH(C356,마스터!$M$4:$M$20,0))),"")</f>
        <v/>
      </c>
      <c r="E356" s="27"/>
      <c r="F356" s="29"/>
      <c r="G356" s="25" t="str">
        <f>IFERROR(IF(C356="","",INDEX(마스터!$J$4:$J$20,MATCH(C356,마스터!$M$4:$M$20,0))),"")</f>
        <v/>
      </c>
      <c r="H356" s="30"/>
      <c r="I356" s="30"/>
    </row>
    <row r="357" spans="1:9" ht="15" customHeight="1" x14ac:dyDescent="0.25">
      <c r="A357" s="25" t="str">
        <f t="shared" si="5"/>
        <v/>
      </c>
      <c r="B357" s="26"/>
      <c r="C357" s="27"/>
      <c r="D357" s="28" t="str">
        <f>IFERROR(IF(C357="","",INDEX(마스터!$F$4:$F$20,MATCH(C357,마스터!$M$4:$M$20,0))),"")</f>
        <v/>
      </c>
      <c r="E357" s="27"/>
      <c r="F357" s="29"/>
      <c r="G357" s="25" t="str">
        <f>IFERROR(IF(C357="","",INDEX(마스터!$J$4:$J$20,MATCH(C357,마스터!$M$4:$M$20,0))),"")</f>
        <v/>
      </c>
      <c r="H357" s="30"/>
      <c r="I357" s="30"/>
    </row>
    <row r="358" spans="1:9" ht="15" customHeight="1" x14ac:dyDescent="0.25">
      <c r="A358" s="25" t="str">
        <f t="shared" si="5"/>
        <v/>
      </c>
      <c r="B358" s="26"/>
      <c r="C358" s="27"/>
      <c r="D358" s="28" t="str">
        <f>IFERROR(IF(C358="","",INDEX(마스터!$F$4:$F$20,MATCH(C358,마스터!$M$4:$M$20,0))),"")</f>
        <v/>
      </c>
      <c r="E358" s="27"/>
      <c r="F358" s="29"/>
      <c r="G358" s="25" t="str">
        <f>IFERROR(IF(C358="","",INDEX(마스터!$J$4:$J$20,MATCH(C358,마스터!$M$4:$M$20,0))),"")</f>
        <v/>
      </c>
      <c r="H358" s="30"/>
      <c r="I358" s="30"/>
    </row>
    <row r="359" spans="1:9" ht="15" customHeight="1" x14ac:dyDescent="0.25">
      <c r="A359" s="25" t="str">
        <f t="shared" si="5"/>
        <v/>
      </c>
      <c r="B359" s="26"/>
      <c r="C359" s="27"/>
      <c r="D359" s="28" t="str">
        <f>IFERROR(IF(C359="","",INDEX(마스터!$F$4:$F$20,MATCH(C359,마스터!$M$4:$M$20,0))),"")</f>
        <v/>
      </c>
      <c r="E359" s="27"/>
      <c r="F359" s="29"/>
      <c r="G359" s="25" t="str">
        <f>IFERROR(IF(C359="","",INDEX(마스터!$J$4:$J$20,MATCH(C359,마스터!$M$4:$M$20,0))),"")</f>
        <v/>
      </c>
      <c r="H359" s="30"/>
      <c r="I359" s="30"/>
    </row>
    <row r="360" spans="1:9" ht="15" customHeight="1" x14ac:dyDescent="0.25">
      <c r="A360" s="25" t="str">
        <f t="shared" si="5"/>
        <v/>
      </c>
      <c r="B360" s="26"/>
      <c r="C360" s="27"/>
      <c r="D360" s="28" t="str">
        <f>IFERROR(IF(C360="","",INDEX(마스터!$F$4:$F$20,MATCH(C360,마스터!$M$4:$M$20,0))),"")</f>
        <v/>
      </c>
      <c r="E360" s="27"/>
      <c r="F360" s="29"/>
      <c r="G360" s="25" t="str">
        <f>IFERROR(IF(C360="","",INDEX(마스터!$J$4:$J$20,MATCH(C360,마스터!$M$4:$M$20,0))),"")</f>
        <v/>
      </c>
      <c r="H360" s="30"/>
      <c r="I360" s="30"/>
    </row>
    <row r="361" spans="1:9" ht="15" customHeight="1" x14ac:dyDescent="0.25">
      <c r="A361" s="25" t="str">
        <f t="shared" si="5"/>
        <v/>
      </c>
      <c r="B361" s="26"/>
      <c r="C361" s="27"/>
      <c r="D361" s="28" t="str">
        <f>IFERROR(IF(C361="","",INDEX(마스터!$F$4:$F$20,MATCH(C361,마스터!$M$4:$M$20,0))),"")</f>
        <v/>
      </c>
      <c r="E361" s="27"/>
      <c r="F361" s="29"/>
      <c r="G361" s="25" t="str">
        <f>IFERROR(IF(C361="","",INDEX(마스터!$J$4:$J$20,MATCH(C361,마스터!$M$4:$M$20,0))),"")</f>
        <v/>
      </c>
      <c r="H361" s="30"/>
      <c r="I361" s="30"/>
    </row>
    <row r="362" spans="1:9" ht="15" customHeight="1" x14ac:dyDescent="0.25">
      <c r="A362" s="25" t="str">
        <f t="shared" si="5"/>
        <v/>
      </c>
      <c r="B362" s="26"/>
      <c r="C362" s="27"/>
      <c r="D362" s="28" t="str">
        <f>IFERROR(IF(C362="","",INDEX(마스터!$F$4:$F$20,MATCH(C362,마스터!$M$4:$M$20,0))),"")</f>
        <v/>
      </c>
      <c r="E362" s="27"/>
      <c r="F362" s="29"/>
      <c r="G362" s="25" t="str">
        <f>IFERROR(IF(C362="","",INDEX(마스터!$J$4:$J$20,MATCH(C362,마스터!$M$4:$M$20,0))),"")</f>
        <v/>
      </c>
      <c r="H362" s="30"/>
      <c r="I362" s="30"/>
    </row>
    <row r="363" spans="1:9" ht="15" customHeight="1" x14ac:dyDescent="0.25">
      <c r="A363" s="25" t="str">
        <f t="shared" si="5"/>
        <v/>
      </c>
      <c r="B363" s="26"/>
      <c r="C363" s="27"/>
      <c r="D363" s="28" t="str">
        <f>IFERROR(IF(C363="","",INDEX(마스터!$F$4:$F$20,MATCH(C363,마스터!$M$4:$M$20,0))),"")</f>
        <v/>
      </c>
      <c r="E363" s="27"/>
      <c r="F363" s="29"/>
      <c r="G363" s="25" t="str">
        <f>IFERROR(IF(C363="","",INDEX(마스터!$J$4:$J$20,MATCH(C363,마스터!$M$4:$M$20,0))),"")</f>
        <v/>
      </c>
      <c r="H363" s="30"/>
      <c r="I363" s="30"/>
    </row>
    <row r="364" spans="1:9" ht="15" customHeight="1" x14ac:dyDescent="0.25">
      <c r="A364" s="25" t="str">
        <f t="shared" si="5"/>
        <v/>
      </c>
      <c r="B364" s="26"/>
      <c r="C364" s="27"/>
      <c r="D364" s="28" t="str">
        <f>IFERROR(IF(C364="","",INDEX(마스터!$F$4:$F$20,MATCH(C364,마스터!$M$4:$M$20,0))),"")</f>
        <v/>
      </c>
      <c r="E364" s="27"/>
      <c r="F364" s="29"/>
      <c r="G364" s="25" t="str">
        <f>IFERROR(IF(C364="","",INDEX(마스터!$J$4:$J$20,MATCH(C364,마스터!$M$4:$M$20,0))),"")</f>
        <v/>
      </c>
      <c r="H364" s="30"/>
      <c r="I364" s="30"/>
    </row>
    <row r="365" spans="1:9" ht="15" customHeight="1" x14ac:dyDescent="0.25">
      <c r="A365" s="25" t="str">
        <f t="shared" si="5"/>
        <v/>
      </c>
      <c r="B365" s="26"/>
      <c r="C365" s="27"/>
      <c r="D365" s="28" t="str">
        <f>IFERROR(IF(C365="","",INDEX(마스터!$F$4:$F$20,MATCH(C365,마스터!$M$4:$M$20,0))),"")</f>
        <v/>
      </c>
      <c r="E365" s="27"/>
      <c r="F365" s="29"/>
      <c r="G365" s="25" t="str">
        <f>IFERROR(IF(C365="","",INDEX(마스터!$J$4:$J$20,MATCH(C365,마스터!$M$4:$M$20,0))),"")</f>
        <v/>
      </c>
      <c r="H365" s="30"/>
      <c r="I365" s="30"/>
    </row>
    <row r="366" spans="1:9" ht="15" customHeight="1" x14ac:dyDescent="0.25">
      <c r="A366" s="25" t="str">
        <f t="shared" si="5"/>
        <v/>
      </c>
      <c r="B366" s="26"/>
      <c r="C366" s="27"/>
      <c r="D366" s="28" t="str">
        <f>IFERROR(IF(C366="","",INDEX(마스터!$F$4:$F$20,MATCH(C366,마스터!$M$4:$M$20,0))),"")</f>
        <v/>
      </c>
      <c r="E366" s="27"/>
      <c r="F366" s="29"/>
      <c r="G366" s="25" t="str">
        <f>IFERROR(IF(C366="","",INDEX(마스터!$J$4:$J$20,MATCH(C366,마스터!$M$4:$M$20,0))),"")</f>
        <v/>
      </c>
      <c r="H366" s="30"/>
      <c r="I366" s="30"/>
    </row>
    <row r="367" spans="1:9" ht="15" customHeight="1" x14ac:dyDescent="0.25">
      <c r="A367" s="25" t="str">
        <f t="shared" si="5"/>
        <v/>
      </c>
      <c r="B367" s="26"/>
      <c r="C367" s="27"/>
      <c r="D367" s="28" t="str">
        <f>IFERROR(IF(C367="","",INDEX(마스터!$F$4:$F$20,MATCH(C367,마스터!$M$4:$M$20,0))),"")</f>
        <v/>
      </c>
      <c r="E367" s="27"/>
      <c r="F367" s="29"/>
      <c r="G367" s="25" t="str">
        <f>IFERROR(IF(C367="","",INDEX(마스터!$J$4:$J$20,MATCH(C367,마스터!$M$4:$M$20,0))),"")</f>
        <v/>
      </c>
      <c r="H367" s="30"/>
      <c r="I367" s="30"/>
    </row>
    <row r="368" spans="1:9" ht="15" customHeight="1" x14ac:dyDescent="0.25">
      <c r="A368" s="25" t="str">
        <f t="shared" si="5"/>
        <v/>
      </c>
      <c r="B368" s="26"/>
      <c r="C368" s="27"/>
      <c r="D368" s="28" t="str">
        <f>IFERROR(IF(C368="","",INDEX(마스터!$F$4:$F$20,MATCH(C368,마스터!$M$4:$M$20,0))),"")</f>
        <v/>
      </c>
      <c r="E368" s="27"/>
      <c r="F368" s="29"/>
      <c r="G368" s="25" t="str">
        <f>IFERROR(IF(C368="","",INDEX(마스터!$J$4:$J$20,MATCH(C368,마스터!$M$4:$M$20,0))),"")</f>
        <v/>
      </c>
      <c r="H368" s="30"/>
      <c r="I368" s="30"/>
    </row>
    <row r="369" spans="1:9" ht="15" customHeight="1" x14ac:dyDescent="0.25">
      <c r="A369" s="25" t="str">
        <f t="shared" si="5"/>
        <v/>
      </c>
      <c r="B369" s="26"/>
      <c r="C369" s="27"/>
      <c r="D369" s="28" t="str">
        <f>IFERROR(IF(C369="","",INDEX(마스터!$F$4:$F$20,MATCH(C369,마스터!$M$4:$M$20,0))),"")</f>
        <v/>
      </c>
      <c r="E369" s="27"/>
      <c r="F369" s="29"/>
      <c r="G369" s="25" t="str">
        <f>IFERROR(IF(C369="","",INDEX(마스터!$J$4:$J$20,MATCH(C369,마스터!$M$4:$M$20,0))),"")</f>
        <v/>
      </c>
      <c r="H369" s="30"/>
      <c r="I369" s="30"/>
    </row>
    <row r="370" spans="1:9" ht="15" customHeight="1" x14ac:dyDescent="0.25">
      <c r="A370" s="25" t="str">
        <f t="shared" si="5"/>
        <v/>
      </c>
      <c r="B370" s="26"/>
      <c r="C370" s="27"/>
      <c r="D370" s="28" t="str">
        <f>IFERROR(IF(C370="","",INDEX(마스터!$F$4:$F$20,MATCH(C370,마스터!$M$4:$M$20,0))),"")</f>
        <v/>
      </c>
      <c r="E370" s="27"/>
      <c r="F370" s="29"/>
      <c r="G370" s="25" t="str">
        <f>IFERROR(IF(C370="","",INDEX(마스터!$J$4:$J$20,MATCH(C370,마스터!$M$4:$M$20,0))),"")</f>
        <v/>
      </c>
      <c r="H370" s="30"/>
      <c r="I370" s="30"/>
    </row>
    <row r="371" spans="1:9" ht="15" customHeight="1" x14ac:dyDescent="0.25">
      <c r="A371" s="25" t="str">
        <f t="shared" si="5"/>
        <v/>
      </c>
      <c r="B371" s="26"/>
      <c r="C371" s="27"/>
      <c r="D371" s="28" t="str">
        <f>IFERROR(IF(C371="","",INDEX(마스터!$F$4:$F$20,MATCH(C371,마스터!$M$4:$M$20,0))),"")</f>
        <v/>
      </c>
      <c r="E371" s="27"/>
      <c r="F371" s="29"/>
      <c r="G371" s="25" t="str">
        <f>IFERROR(IF(C371="","",INDEX(마스터!$J$4:$J$20,MATCH(C371,마스터!$M$4:$M$20,0))),"")</f>
        <v/>
      </c>
      <c r="H371" s="30"/>
      <c r="I371" s="30"/>
    </row>
    <row r="372" spans="1:9" ht="15" customHeight="1" x14ac:dyDescent="0.25">
      <c r="A372" s="25" t="str">
        <f t="shared" si="5"/>
        <v/>
      </c>
      <c r="B372" s="26"/>
      <c r="C372" s="27"/>
      <c r="D372" s="28" t="str">
        <f>IFERROR(IF(C372="","",INDEX(마스터!$F$4:$F$20,MATCH(C372,마스터!$M$4:$M$20,0))),"")</f>
        <v/>
      </c>
      <c r="E372" s="27"/>
      <c r="F372" s="29"/>
      <c r="G372" s="25" t="str">
        <f>IFERROR(IF(C372="","",INDEX(마스터!$J$4:$J$20,MATCH(C372,마스터!$M$4:$M$20,0))),"")</f>
        <v/>
      </c>
      <c r="H372" s="30"/>
      <c r="I372" s="30"/>
    </row>
    <row r="373" spans="1:9" ht="15" customHeight="1" x14ac:dyDescent="0.25">
      <c r="A373" s="25" t="str">
        <f t="shared" si="5"/>
        <v/>
      </c>
      <c r="B373" s="26"/>
      <c r="C373" s="27"/>
      <c r="D373" s="28" t="str">
        <f>IFERROR(IF(C373="","",INDEX(마스터!$F$4:$F$20,MATCH(C373,마스터!$M$4:$M$20,0))),"")</f>
        <v/>
      </c>
      <c r="E373" s="27"/>
      <c r="F373" s="29"/>
      <c r="G373" s="25" t="str">
        <f>IFERROR(IF(C373="","",INDEX(마스터!$J$4:$J$20,MATCH(C373,마스터!$M$4:$M$20,0))),"")</f>
        <v/>
      </c>
      <c r="H373" s="30"/>
      <c r="I373" s="30"/>
    </row>
    <row r="374" spans="1:9" ht="15" customHeight="1" x14ac:dyDescent="0.25">
      <c r="A374" s="25" t="str">
        <f t="shared" si="5"/>
        <v/>
      </c>
      <c r="B374" s="26"/>
      <c r="C374" s="27"/>
      <c r="D374" s="28" t="str">
        <f>IFERROR(IF(C374="","",INDEX(마스터!$F$4:$F$20,MATCH(C374,마스터!$M$4:$M$20,0))),"")</f>
        <v/>
      </c>
      <c r="E374" s="27"/>
      <c r="F374" s="29"/>
      <c r="G374" s="25" t="str">
        <f>IFERROR(IF(C374="","",INDEX(마스터!$J$4:$J$20,MATCH(C374,마스터!$M$4:$M$20,0))),"")</f>
        <v/>
      </c>
      <c r="H374" s="30"/>
      <c r="I374" s="30"/>
    </row>
    <row r="375" spans="1:9" ht="15" customHeight="1" x14ac:dyDescent="0.25">
      <c r="A375" s="25" t="str">
        <f t="shared" si="5"/>
        <v/>
      </c>
      <c r="B375" s="26"/>
      <c r="C375" s="27"/>
      <c r="D375" s="28" t="str">
        <f>IFERROR(IF(C375="","",INDEX(마스터!$F$4:$F$20,MATCH(C375,마스터!$M$4:$M$20,0))),"")</f>
        <v/>
      </c>
      <c r="E375" s="27"/>
      <c r="F375" s="29"/>
      <c r="G375" s="25" t="str">
        <f>IFERROR(IF(C375="","",INDEX(마스터!$J$4:$J$20,MATCH(C375,마스터!$M$4:$M$20,0))),"")</f>
        <v/>
      </c>
      <c r="H375" s="30"/>
      <c r="I375" s="30"/>
    </row>
    <row r="376" spans="1:9" ht="15" customHeight="1" x14ac:dyDescent="0.25">
      <c r="A376" s="25" t="str">
        <f t="shared" si="5"/>
        <v/>
      </c>
      <c r="B376" s="26"/>
      <c r="C376" s="27"/>
      <c r="D376" s="28" t="str">
        <f>IFERROR(IF(C376="","",INDEX(마스터!$F$4:$F$20,MATCH(C376,마스터!$M$4:$M$20,0))),"")</f>
        <v/>
      </c>
      <c r="E376" s="27"/>
      <c r="F376" s="29"/>
      <c r="G376" s="25" t="str">
        <f>IFERROR(IF(C376="","",INDEX(마스터!$J$4:$J$20,MATCH(C376,마스터!$M$4:$M$20,0))),"")</f>
        <v/>
      </c>
      <c r="H376" s="30"/>
      <c r="I376" s="30"/>
    </row>
    <row r="377" spans="1:9" ht="15" customHeight="1" x14ac:dyDescent="0.25">
      <c r="A377" s="25" t="str">
        <f t="shared" si="5"/>
        <v/>
      </c>
      <c r="B377" s="26"/>
      <c r="C377" s="27"/>
      <c r="D377" s="28" t="str">
        <f>IFERROR(IF(C377="","",INDEX(마스터!$F$4:$F$20,MATCH(C377,마스터!$M$4:$M$20,0))),"")</f>
        <v/>
      </c>
      <c r="E377" s="27"/>
      <c r="F377" s="29"/>
      <c r="G377" s="25" t="str">
        <f>IFERROR(IF(C377="","",INDEX(마스터!$J$4:$J$20,MATCH(C377,마스터!$M$4:$M$20,0))),"")</f>
        <v/>
      </c>
      <c r="H377" s="30"/>
      <c r="I377" s="30"/>
    </row>
    <row r="378" spans="1:9" ht="15" customHeight="1" x14ac:dyDescent="0.25">
      <c r="A378" s="25" t="str">
        <f t="shared" si="5"/>
        <v/>
      </c>
      <c r="B378" s="26"/>
      <c r="C378" s="27"/>
      <c r="D378" s="28" t="str">
        <f>IFERROR(IF(C378="","",INDEX(마스터!$F$4:$F$20,MATCH(C378,마스터!$M$4:$M$20,0))),"")</f>
        <v/>
      </c>
      <c r="E378" s="27"/>
      <c r="F378" s="29"/>
      <c r="G378" s="25" t="str">
        <f>IFERROR(IF(C378="","",INDEX(마스터!$J$4:$J$20,MATCH(C378,마스터!$M$4:$M$20,0))),"")</f>
        <v/>
      </c>
      <c r="H378" s="30"/>
      <c r="I378" s="30"/>
    </row>
    <row r="379" spans="1:9" ht="15" customHeight="1" x14ac:dyDescent="0.25">
      <c r="A379" s="25" t="str">
        <f t="shared" si="5"/>
        <v/>
      </c>
      <c r="B379" s="26"/>
      <c r="C379" s="27"/>
      <c r="D379" s="28" t="str">
        <f>IFERROR(IF(C379="","",INDEX(마스터!$F$4:$F$20,MATCH(C379,마스터!$M$4:$M$20,0))),"")</f>
        <v/>
      </c>
      <c r="E379" s="27"/>
      <c r="F379" s="29"/>
      <c r="G379" s="25" t="str">
        <f>IFERROR(IF(C379="","",INDEX(마스터!$J$4:$J$20,MATCH(C379,마스터!$M$4:$M$20,0))),"")</f>
        <v/>
      </c>
      <c r="H379" s="30"/>
      <c r="I379" s="30"/>
    </row>
    <row r="380" spans="1:9" ht="15" customHeight="1" x14ac:dyDescent="0.25">
      <c r="A380" s="25" t="str">
        <f t="shared" si="5"/>
        <v/>
      </c>
      <c r="B380" s="26"/>
      <c r="C380" s="27"/>
      <c r="D380" s="28" t="str">
        <f>IFERROR(IF(C380="","",INDEX(마스터!$F$4:$F$20,MATCH(C380,마스터!$M$4:$M$20,0))),"")</f>
        <v/>
      </c>
      <c r="E380" s="27"/>
      <c r="F380" s="29"/>
      <c r="G380" s="25" t="str">
        <f>IFERROR(IF(C380="","",INDEX(마스터!$J$4:$J$20,MATCH(C380,마스터!$M$4:$M$20,0))),"")</f>
        <v/>
      </c>
      <c r="H380" s="30"/>
      <c r="I380" s="30"/>
    </row>
    <row r="381" spans="1:9" ht="15" customHeight="1" x14ac:dyDescent="0.25">
      <c r="A381" s="25" t="str">
        <f t="shared" si="5"/>
        <v/>
      </c>
      <c r="B381" s="26"/>
      <c r="C381" s="27"/>
      <c r="D381" s="28" t="str">
        <f>IFERROR(IF(C381="","",INDEX(마스터!$F$4:$F$20,MATCH(C381,마스터!$M$4:$M$20,0))),"")</f>
        <v/>
      </c>
      <c r="E381" s="27"/>
      <c r="F381" s="29"/>
      <c r="G381" s="25" t="str">
        <f>IFERROR(IF(C381="","",INDEX(마스터!$J$4:$J$20,MATCH(C381,마스터!$M$4:$M$20,0))),"")</f>
        <v/>
      </c>
      <c r="H381" s="30"/>
      <c r="I381" s="30"/>
    </row>
    <row r="382" spans="1:9" ht="15" customHeight="1" x14ac:dyDescent="0.25">
      <c r="A382" s="25" t="str">
        <f t="shared" si="5"/>
        <v/>
      </c>
      <c r="B382" s="26"/>
      <c r="C382" s="27"/>
      <c r="D382" s="28" t="str">
        <f>IFERROR(IF(C382="","",INDEX(마스터!$F$4:$F$20,MATCH(C382,마스터!$M$4:$M$20,0))),"")</f>
        <v/>
      </c>
      <c r="E382" s="27"/>
      <c r="F382" s="29"/>
      <c r="G382" s="25" t="str">
        <f>IFERROR(IF(C382="","",INDEX(마스터!$J$4:$J$20,MATCH(C382,마스터!$M$4:$M$20,0))),"")</f>
        <v/>
      </c>
      <c r="H382" s="30"/>
      <c r="I382" s="30"/>
    </row>
    <row r="383" spans="1:9" ht="15" customHeight="1" x14ac:dyDescent="0.25">
      <c r="A383" s="25" t="str">
        <f t="shared" si="5"/>
        <v/>
      </c>
      <c r="B383" s="26"/>
      <c r="C383" s="27"/>
      <c r="D383" s="28" t="str">
        <f>IFERROR(IF(C383="","",INDEX(마스터!$F$4:$F$20,MATCH(C383,마스터!$M$4:$M$20,0))),"")</f>
        <v/>
      </c>
      <c r="E383" s="27"/>
      <c r="F383" s="29"/>
      <c r="G383" s="25" t="str">
        <f>IFERROR(IF(C383="","",INDEX(마스터!$J$4:$J$20,MATCH(C383,마스터!$M$4:$M$20,0))),"")</f>
        <v/>
      </c>
      <c r="H383" s="30"/>
      <c r="I383" s="30"/>
    </row>
    <row r="384" spans="1:9" ht="15" customHeight="1" x14ac:dyDescent="0.25">
      <c r="A384" s="25" t="str">
        <f t="shared" si="5"/>
        <v/>
      </c>
      <c r="B384" s="26"/>
      <c r="C384" s="27"/>
      <c r="D384" s="28" t="str">
        <f>IFERROR(IF(C384="","",INDEX(마스터!$F$4:$F$20,MATCH(C384,마스터!$M$4:$M$20,0))),"")</f>
        <v/>
      </c>
      <c r="E384" s="27"/>
      <c r="F384" s="29"/>
      <c r="G384" s="25" t="str">
        <f>IFERROR(IF(C384="","",INDEX(마스터!$J$4:$J$20,MATCH(C384,마스터!$M$4:$M$20,0))),"")</f>
        <v/>
      </c>
      <c r="H384" s="30"/>
      <c r="I384" s="30"/>
    </row>
    <row r="385" spans="1:9" ht="15" customHeight="1" x14ac:dyDescent="0.25">
      <c r="A385" s="25" t="str">
        <f t="shared" si="5"/>
        <v/>
      </c>
      <c r="B385" s="26"/>
      <c r="C385" s="27"/>
      <c r="D385" s="28" t="str">
        <f>IFERROR(IF(C385="","",INDEX(마스터!$F$4:$F$20,MATCH(C385,마스터!$M$4:$M$20,0))),"")</f>
        <v/>
      </c>
      <c r="E385" s="27"/>
      <c r="F385" s="29"/>
      <c r="G385" s="25" t="str">
        <f>IFERROR(IF(C385="","",INDEX(마스터!$J$4:$J$20,MATCH(C385,마스터!$M$4:$M$20,0))),"")</f>
        <v/>
      </c>
      <c r="H385" s="30"/>
      <c r="I385" s="30"/>
    </row>
    <row r="386" spans="1:9" ht="15" customHeight="1" x14ac:dyDescent="0.25">
      <c r="A386" s="25" t="str">
        <f t="shared" si="5"/>
        <v/>
      </c>
      <c r="B386" s="26"/>
      <c r="C386" s="27"/>
      <c r="D386" s="28" t="str">
        <f>IFERROR(IF(C386="","",INDEX(마스터!$F$4:$F$20,MATCH(C386,마스터!$M$4:$M$20,0))),"")</f>
        <v/>
      </c>
      <c r="E386" s="27"/>
      <c r="F386" s="29"/>
      <c r="G386" s="25" t="str">
        <f>IFERROR(IF(C386="","",INDEX(마스터!$J$4:$J$20,MATCH(C386,마스터!$M$4:$M$20,0))),"")</f>
        <v/>
      </c>
      <c r="H386" s="30"/>
      <c r="I386" s="30"/>
    </row>
    <row r="387" spans="1:9" ht="15" customHeight="1" x14ac:dyDescent="0.25">
      <c r="A387" s="25" t="str">
        <f t="shared" si="5"/>
        <v/>
      </c>
      <c r="B387" s="26"/>
      <c r="C387" s="27"/>
      <c r="D387" s="28" t="str">
        <f>IFERROR(IF(C387="","",INDEX(마스터!$F$4:$F$20,MATCH(C387,마스터!$M$4:$M$20,0))),"")</f>
        <v/>
      </c>
      <c r="E387" s="27"/>
      <c r="F387" s="29"/>
      <c r="G387" s="25" t="str">
        <f>IFERROR(IF(C387="","",INDEX(마스터!$J$4:$J$20,MATCH(C387,마스터!$M$4:$M$20,0))),"")</f>
        <v/>
      </c>
      <c r="H387" s="30"/>
      <c r="I387" s="30"/>
    </row>
    <row r="388" spans="1:9" ht="15" customHeight="1" x14ac:dyDescent="0.25">
      <c r="A388" s="25" t="str">
        <f t="shared" si="5"/>
        <v/>
      </c>
      <c r="B388" s="26"/>
      <c r="C388" s="27"/>
      <c r="D388" s="28" t="str">
        <f>IFERROR(IF(C388="","",INDEX(마스터!$F$4:$F$20,MATCH(C388,마스터!$M$4:$M$20,0))),"")</f>
        <v/>
      </c>
      <c r="E388" s="27"/>
      <c r="F388" s="29"/>
      <c r="G388" s="25" t="str">
        <f>IFERROR(IF(C388="","",INDEX(마스터!$J$4:$J$20,MATCH(C388,마스터!$M$4:$M$20,0))),"")</f>
        <v/>
      </c>
      <c r="H388" s="30"/>
      <c r="I388" s="30"/>
    </row>
    <row r="389" spans="1:9" ht="15" customHeight="1" x14ac:dyDescent="0.25">
      <c r="A389" s="25" t="str">
        <f t="shared" si="5"/>
        <v/>
      </c>
      <c r="B389" s="26"/>
      <c r="C389" s="27"/>
      <c r="D389" s="28" t="str">
        <f>IFERROR(IF(C389="","",INDEX(마스터!$F$4:$F$20,MATCH(C389,마스터!$M$4:$M$20,0))),"")</f>
        <v/>
      </c>
      <c r="E389" s="27"/>
      <c r="F389" s="29"/>
      <c r="G389" s="25" t="str">
        <f>IFERROR(IF(C389="","",INDEX(마스터!$J$4:$J$20,MATCH(C389,마스터!$M$4:$M$20,0))),"")</f>
        <v/>
      </c>
      <c r="H389" s="30"/>
      <c r="I389" s="30"/>
    </row>
    <row r="390" spans="1:9" ht="15" customHeight="1" x14ac:dyDescent="0.25">
      <c r="A390" s="25" t="str">
        <f t="shared" si="5"/>
        <v/>
      </c>
      <c r="B390" s="26"/>
      <c r="C390" s="27"/>
      <c r="D390" s="28" t="str">
        <f>IFERROR(IF(C390="","",INDEX(마스터!$F$4:$F$20,MATCH(C390,마스터!$M$4:$M$20,0))),"")</f>
        <v/>
      </c>
      <c r="E390" s="27"/>
      <c r="F390" s="29"/>
      <c r="G390" s="25" t="str">
        <f>IFERROR(IF(C390="","",INDEX(마스터!$J$4:$J$20,MATCH(C390,마스터!$M$4:$M$20,0))),"")</f>
        <v/>
      </c>
      <c r="H390" s="30"/>
      <c r="I390" s="30"/>
    </row>
    <row r="391" spans="1:9" ht="15" customHeight="1" x14ac:dyDescent="0.25">
      <c r="A391" s="25" t="str">
        <f t="shared" si="5"/>
        <v/>
      </c>
      <c r="B391" s="26"/>
      <c r="C391" s="27"/>
      <c r="D391" s="28" t="str">
        <f>IFERROR(IF(C391="","",INDEX(마스터!$F$4:$F$20,MATCH(C391,마스터!$M$4:$M$20,0))),"")</f>
        <v/>
      </c>
      <c r="E391" s="27"/>
      <c r="F391" s="29"/>
      <c r="G391" s="25" t="str">
        <f>IFERROR(IF(C391="","",INDEX(마스터!$J$4:$J$20,MATCH(C391,마스터!$M$4:$M$20,0))),"")</f>
        <v/>
      </c>
      <c r="H391" s="30"/>
      <c r="I391" s="30"/>
    </row>
    <row r="392" spans="1:9" ht="15" customHeight="1" x14ac:dyDescent="0.25">
      <c r="A392" s="25" t="str">
        <f t="shared" ref="A392:A455" si="6">IF(B392="","",ROW()-7)</f>
        <v/>
      </c>
      <c r="B392" s="26"/>
      <c r="C392" s="27"/>
      <c r="D392" s="28" t="str">
        <f>IFERROR(IF(C392="","",INDEX(마스터!$F$4:$F$20,MATCH(C392,마스터!$M$4:$M$20,0))),"")</f>
        <v/>
      </c>
      <c r="E392" s="27"/>
      <c r="F392" s="29"/>
      <c r="G392" s="25" t="str">
        <f>IFERROR(IF(C392="","",INDEX(마스터!$J$4:$J$20,MATCH(C392,마스터!$M$4:$M$20,0))),"")</f>
        <v/>
      </c>
      <c r="H392" s="30"/>
      <c r="I392" s="30"/>
    </row>
    <row r="393" spans="1:9" ht="15" customHeight="1" x14ac:dyDescent="0.25">
      <c r="A393" s="25" t="str">
        <f t="shared" si="6"/>
        <v/>
      </c>
      <c r="B393" s="26"/>
      <c r="C393" s="27"/>
      <c r="D393" s="28" t="str">
        <f>IFERROR(IF(C393="","",INDEX(마스터!$F$4:$F$20,MATCH(C393,마스터!$M$4:$M$20,0))),"")</f>
        <v/>
      </c>
      <c r="E393" s="27"/>
      <c r="F393" s="29"/>
      <c r="G393" s="25" t="str">
        <f>IFERROR(IF(C393="","",INDEX(마스터!$J$4:$J$20,MATCH(C393,마스터!$M$4:$M$20,0))),"")</f>
        <v/>
      </c>
      <c r="H393" s="30"/>
      <c r="I393" s="30"/>
    </row>
    <row r="394" spans="1:9" ht="15" customHeight="1" x14ac:dyDescent="0.25">
      <c r="A394" s="25" t="str">
        <f t="shared" si="6"/>
        <v/>
      </c>
      <c r="B394" s="26"/>
      <c r="C394" s="27"/>
      <c r="D394" s="28" t="str">
        <f>IFERROR(IF(C394="","",INDEX(마스터!$F$4:$F$20,MATCH(C394,마스터!$M$4:$M$20,0))),"")</f>
        <v/>
      </c>
      <c r="E394" s="27"/>
      <c r="F394" s="29"/>
      <c r="G394" s="25" t="str">
        <f>IFERROR(IF(C394="","",INDEX(마스터!$J$4:$J$20,MATCH(C394,마스터!$M$4:$M$20,0))),"")</f>
        <v/>
      </c>
      <c r="H394" s="30"/>
      <c r="I394" s="30"/>
    </row>
    <row r="395" spans="1:9" ht="15" customHeight="1" x14ac:dyDescent="0.25">
      <c r="A395" s="25" t="str">
        <f t="shared" si="6"/>
        <v/>
      </c>
      <c r="B395" s="26"/>
      <c r="C395" s="27"/>
      <c r="D395" s="28" t="str">
        <f>IFERROR(IF(C395="","",INDEX(마스터!$F$4:$F$20,MATCH(C395,마스터!$M$4:$M$20,0))),"")</f>
        <v/>
      </c>
      <c r="E395" s="27"/>
      <c r="F395" s="29"/>
      <c r="G395" s="25" t="str">
        <f>IFERROR(IF(C395="","",INDEX(마스터!$J$4:$J$20,MATCH(C395,마스터!$M$4:$M$20,0))),"")</f>
        <v/>
      </c>
      <c r="H395" s="30"/>
      <c r="I395" s="30"/>
    </row>
    <row r="396" spans="1:9" ht="15" customHeight="1" x14ac:dyDescent="0.25">
      <c r="A396" s="25" t="str">
        <f t="shared" si="6"/>
        <v/>
      </c>
      <c r="B396" s="26"/>
      <c r="C396" s="27"/>
      <c r="D396" s="28" t="str">
        <f>IFERROR(IF(C396="","",INDEX(마스터!$F$4:$F$20,MATCH(C396,마스터!$M$4:$M$20,0))),"")</f>
        <v/>
      </c>
      <c r="E396" s="27"/>
      <c r="F396" s="29"/>
      <c r="G396" s="25" t="str">
        <f>IFERROR(IF(C396="","",INDEX(마스터!$J$4:$J$20,MATCH(C396,마스터!$M$4:$M$20,0))),"")</f>
        <v/>
      </c>
      <c r="H396" s="30"/>
      <c r="I396" s="30"/>
    </row>
    <row r="397" spans="1:9" ht="15" customHeight="1" x14ac:dyDescent="0.25">
      <c r="A397" s="25" t="str">
        <f t="shared" si="6"/>
        <v/>
      </c>
      <c r="B397" s="26"/>
      <c r="C397" s="27"/>
      <c r="D397" s="28" t="str">
        <f>IFERROR(IF(C397="","",INDEX(마스터!$F$4:$F$20,MATCH(C397,마스터!$M$4:$M$20,0))),"")</f>
        <v/>
      </c>
      <c r="E397" s="27"/>
      <c r="F397" s="29"/>
      <c r="G397" s="25" t="str">
        <f>IFERROR(IF(C397="","",INDEX(마스터!$J$4:$J$20,MATCH(C397,마스터!$M$4:$M$20,0))),"")</f>
        <v/>
      </c>
      <c r="H397" s="30"/>
      <c r="I397" s="30"/>
    </row>
    <row r="398" spans="1:9" ht="15" customHeight="1" x14ac:dyDescent="0.25">
      <c r="A398" s="25" t="str">
        <f t="shared" si="6"/>
        <v/>
      </c>
      <c r="B398" s="26"/>
      <c r="C398" s="27"/>
      <c r="D398" s="28" t="str">
        <f>IFERROR(IF(C398="","",INDEX(마스터!$F$4:$F$20,MATCH(C398,마스터!$M$4:$M$20,0))),"")</f>
        <v/>
      </c>
      <c r="E398" s="27"/>
      <c r="F398" s="29"/>
      <c r="G398" s="25" t="str">
        <f>IFERROR(IF(C398="","",INDEX(마스터!$J$4:$J$20,MATCH(C398,마스터!$M$4:$M$20,0))),"")</f>
        <v/>
      </c>
      <c r="H398" s="30"/>
      <c r="I398" s="30"/>
    </row>
    <row r="399" spans="1:9" ht="15" customHeight="1" x14ac:dyDescent="0.25">
      <c r="A399" s="25" t="str">
        <f t="shared" si="6"/>
        <v/>
      </c>
      <c r="B399" s="26"/>
      <c r="C399" s="27"/>
      <c r="D399" s="28" t="str">
        <f>IFERROR(IF(C399="","",INDEX(마스터!$F$4:$F$20,MATCH(C399,마스터!$M$4:$M$20,0))),"")</f>
        <v/>
      </c>
      <c r="E399" s="27"/>
      <c r="F399" s="29"/>
      <c r="G399" s="25" t="str">
        <f>IFERROR(IF(C399="","",INDEX(마스터!$J$4:$J$20,MATCH(C399,마스터!$M$4:$M$20,0))),"")</f>
        <v/>
      </c>
      <c r="H399" s="30"/>
      <c r="I399" s="30"/>
    </row>
    <row r="400" spans="1:9" ht="15" customHeight="1" x14ac:dyDescent="0.25">
      <c r="A400" s="25" t="str">
        <f t="shared" si="6"/>
        <v/>
      </c>
      <c r="B400" s="26"/>
      <c r="C400" s="27"/>
      <c r="D400" s="28" t="str">
        <f>IFERROR(IF(C400="","",INDEX(마스터!$F$4:$F$20,MATCH(C400,마스터!$M$4:$M$20,0))),"")</f>
        <v/>
      </c>
      <c r="E400" s="27"/>
      <c r="F400" s="29"/>
      <c r="G400" s="25" t="str">
        <f>IFERROR(IF(C400="","",INDEX(마스터!$J$4:$J$20,MATCH(C400,마스터!$M$4:$M$20,0))),"")</f>
        <v/>
      </c>
      <c r="H400" s="30"/>
      <c r="I400" s="30"/>
    </row>
    <row r="401" spans="1:9" ht="15" customHeight="1" x14ac:dyDescent="0.25">
      <c r="A401" s="25" t="str">
        <f t="shared" si="6"/>
        <v/>
      </c>
      <c r="B401" s="26"/>
      <c r="C401" s="27"/>
      <c r="D401" s="28" t="str">
        <f>IFERROR(IF(C401="","",INDEX(마스터!$F$4:$F$20,MATCH(C401,마스터!$M$4:$M$20,0))),"")</f>
        <v/>
      </c>
      <c r="E401" s="27"/>
      <c r="F401" s="29"/>
      <c r="G401" s="25" t="str">
        <f>IFERROR(IF(C401="","",INDEX(마스터!$J$4:$J$20,MATCH(C401,마스터!$M$4:$M$20,0))),"")</f>
        <v/>
      </c>
      <c r="H401" s="30"/>
      <c r="I401" s="30"/>
    </row>
    <row r="402" spans="1:9" ht="15" customHeight="1" x14ac:dyDescent="0.25">
      <c r="A402" s="25" t="str">
        <f t="shared" si="6"/>
        <v/>
      </c>
      <c r="B402" s="26"/>
      <c r="C402" s="27"/>
      <c r="D402" s="28" t="str">
        <f>IFERROR(IF(C402="","",INDEX(마스터!$F$4:$F$20,MATCH(C402,마스터!$M$4:$M$20,0))),"")</f>
        <v/>
      </c>
      <c r="E402" s="27"/>
      <c r="F402" s="29"/>
      <c r="G402" s="25" t="str">
        <f>IFERROR(IF(C402="","",INDEX(마스터!$J$4:$J$20,MATCH(C402,마스터!$M$4:$M$20,0))),"")</f>
        <v/>
      </c>
      <c r="H402" s="30"/>
      <c r="I402" s="30"/>
    </row>
    <row r="403" spans="1:9" ht="15" customHeight="1" x14ac:dyDescent="0.25">
      <c r="A403" s="25" t="str">
        <f t="shared" si="6"/>
        <v/>
      </c>
      <c r="B403" s="26"/>
      <c r="C403" s="27"/>
      <c r="D403" s="28" t="str">
        <f>IFERROR(IF(C403="","",INDEX(마스터!$F$4:$F$20,MATCH(C403,마스터!$M$4:$M$20,0))),"")</f>
        <v/>
      </c>
      <c r="E403" s="27"/>
      <c r="F403" s="29"/>
      <c r="G403" s="25" t="str">
        <f>IFERROR(IF(C403="","",INDEX(마스터!$J$4:$J$20,MATCH(C403,마스터!$M$4:$M$20,0))),"")</f>
        <v/>
      </c>
      <c r="H403" s="30"/>
      <c r="I403" s="30"/>
    </row>
    <row r="404" spans="1:9" ht="15" customHeight="1" x14ac:dyDescent="0.25">
      <c r="A404" s="25" t="str">
        <f t="shared" si="6"/>
        <v/>
      </c>
      <c r="B404" s="26"/>
      <c r="C404" s="27"/>
      <c r="D404" s="28" t="str">
        <f>IFERROR(IF(C404="","",INDEX(마스터!$F$4:$F$20,MATCH(C404,마스터!$M$4:$M$20,0))),"")</f>
        <v/>
      </c>
      <c r="E404" s="27"/>
      <c r="F404" s="29"/>
      <c r="G404" s="25" t="str">
        <f>IFERROR(IF(C404="","",INDEX(마스터!$J$4:$J$20,MATCH(C404,마스터!$M$4:$M$20,0))),"")</f>
        <v/>
      </c>
      <c r="H404" s="30"/>
      <c r="I404" s="30"/>
    </row>
    <row r="405" spans="1:9" ht="15" customHeight="1" x14ac:dyDescent="0.25">
      <c r="A405" s="25" t="str">
        <f t="shared" si="6"/>
        <v/>
      </c>
      <c r="B405" s="26"/>
      <c r="C405" s="27"/>
      <c r="D405" s="28" t="str">
        <f>IFERROR(IF(C405="","",INDEX(마스터!$F$4:$F$20,MATCH(C405,마스터!$M$4:$M$20,0))),"")</f>
        <v/>
      </c>
      <c r="E405" s="27"/>
      <c r="F405" s="29"/>
      <c r="G405" s="25" t="str">
        <f>IFERROR(IF(C405="","",INDEX(마스터!$J$4:$J$20,MATCH(C405,마스터!$M$4:$M$20,0))),"")</f>
        <v/>
      </c>
      <c r="H405" s="30"/>
      <c r="I405" s="30"/>
    </row>
    <row r="406" spans="1:9" ht="15" customHeight="1" x14ac:dyDescent="0.25">
      <c r="A406" s="25" t="str">
        <f t="shared" si="6"/>
        <v/>
      </c>
      <c r="B406" s="26"/>
      <c r="C406" s="27"/>
      <c r="D406" s="28" t="str">
        <f>IFERROR(IF(C406="","",INDEX(마스터!$F$4:$F$20,MATCH(C406,마스터!$M$4:$M$20,0))),"")</f>
        <v/>
      </c>
      <c r="E406" s="27"/>
      <c r="F406" s="29"/>
      <c r="G406" s="25" t="str">
        <f>IFERROR(IF(C406="","",INDEX(마스터!$J$4:$J$20,MATCH(C406,마스터!$M$4:$M$20,0))),"")</f>
        <v/>
      </c>
      <c r="H406" s="30"/>
      <c r="I406" s="30"/>
    </row>
    <row r="407" spans="1:9" ht="15" customHeight="1" x14ac:dyDescent="0.25">
      <c r="A407" s="25" t="str">
        <f t="shared" si="6"/>
        <v/>
      </c>
      <c r="B407" s="26"/>
      <c r="C407" s="27"/>
      <c r="D407" s="28" t="str">
        <f>IFERROR(IF(C407="","",INDEX(마스터!$F$4:$F$20,MATCH(C407,마스터!$M$4:$M$20,0))),"")</f>
        <v/>
      </c>
      <c r="E407" s="27"/>
      <c r="F407" s="29"/>
      <c r="G407" s="25" t="str">
        <f>IFERROR(IF(C407="","",INDEX(마스터!$J$4:$J$20,MATCH(C407,마스터!$M$4:$M$20,0))),"")</f>
        <v/>
      </c>
      <c r="H407" s="30"/>
      <c r="I407" s="30"/>
    </row>
    <row r="408" spans="1:9" ht="15" customHeight="1" x14ac:dyDescent="0.25">
      <c r="A408" s="25" t="str">
        <f t="shared" si="6"/>
        <v/>
      </c>
      <c r="B408" s="26"/>
      <c r="C408" s="27"/>
      <c r="D408" s="28" t="str">
        <f>IFERROR(IF(C408="","",INDEX(마스터!$F$4:$F$20,MATCH(C408,마스터!$M$4:$M$20,0))),"")</f>
        <v/>
      </c>
      <c r="E408" s="27"/>
      <c r="F408" s="29"/>
      <c r="G408" s="25" t="str">
        <f>IFERROR(IF(C408="","",INDEX(마스터!$J$4:$J$20,MATCH(C408,마스터!$M$4:$M$20,0))),"")</f>
        <v/>
      </c>
      <c r="H408" s="30"/>
      <c r="I408" s="30"/>
    </row>
    <row r="409" spans="1:9" ht="15" customHeight="1" x14ac:dyDescent="0.25">
      <c r="A409" s="25" t="str">
        <f t="shared" si="6"/>
        <v/>
      </c>
      <c r="B409" s="26"/>
      <c r="C409" s="27"/>
      <c r="D409" s="28" t="str">
        <f>IFERROR(IF(C409="","",INDEX(마스터!$F$4:$F$20,MATCH(C409,마스터!$M$4:$M$20,0))),"")</f>
        <v/>
      </c>
      <c r="E409" s="27"/>
      <c r="F409" s="29"/>
      <c r="G409" s="25" t="str">
        <f>IFERROR(IF(C409="","",INDEX(마스터!$J$4:$J$20,MATCH(C409,마스터!$M$4:$M$20,0))),"")</f>
        <v/>
      </c>
      <c r="H409" s="30"/>
      <c r="I409" s="30"/>
    </row>
    <row r="410" spans="1:9" ht="15" customHeight="1" x14ac:dyDescent="0.25">
      <c r="A410" s="25" t="str">
        <f t="shared" si="6"/>
        <v/>
      </c>
      <c r="B410" s="26"/>
      <c r="C410" s="27"/>
      <c r="D410" s="28" t="str">
        <f>IFERROR(IF(C410="","",INDEX(마스터!$F$4:$F$20,MATCH(C410,마스터!$M$4:$M$20,0))),"")</f>
        <v/>
      </c>
      <c r="E410" s="27"/>
      <c r="F410" s="29"/>
      <c r="G410" s="25" t="str">
        <f>IFERROR(IF(C410="","",INDEX(마스터!$J$4:$J$20,MATCH(C410,마스터!$M$4:$M$20,0))),"")</f>
        <v/>
      </c>
      <c r="H410" s="30"/>
      <c r="I410" s="30"/>
    </row>
    <row r="411" spans="1:9" ht="15" customHeight="1" x14ac:dyDescent="0.25">
      <c r="A411" s="25" t="str">
        <f t="shared" si="6"/>
        <v/>
      </c>
      <c r="B411" s="26"/>
      <c r="C411" s="27"/>
      <c r="D411" s="28" t="str">
        <f>IFERROR(IF(C411="","",INDEX(마스터!$F$4:$F$20,MATCH(C411,마스터!$M$4:$M$20,0))),"")</f>
        <v/>
      </c>
      <c r="E411" s="27"/>
      <c r="F411" s="29"/>
      <c r="G411" s="25" t="str">
        <f>IFERROR(IF(C411="","",INDEX(마스터!$J$4:$J$20,MATCH(C411,마스터!$M$4:$M$20,0))),"")</f>
        <v/>
      </c>
      <c r="H411" s="30"/>
      <c r="I411" s="30"/>
    </row>
    <row r="412" spans="1:9" ht="15" customHeight="1" x14ac:dyDescent="0.25">
      <c r="A412" s="25" t="str">
        <f t="shared" si="6"/>
        <v/>
      </c>
      <c r="B412" s="26"/>
      <c r="C412" s="27"/>
      <c r="D412" s="28" t="str">
        <f>IFERROR(IF(C412="","",INDEX(마스터!$F$4:$F$20,MATCH(C412,마스터!$M$4:$M$20,0))),"")</f>
        <v/>
      </c>
      <c r="E412" s="27"/>
      <c r="F412" s="29"/>
      <c r="G412" s="25" t="str">
        <f>IFERROR(IF(C412="","",INDEX(마스터!$J$4:$J$20,MATCH(C412,마스터!$M$4:$M$20,0))),"")</f>
        <v/>
      </c>
      <c r="H412" s="30"/>
      <c r="I412" s="30"/>
    </row>
    <row r="413" spans="1:9" ht="15" customHeight="1" x14ac:dyDescent="0.25">
      <c r="A413" s="25" t="str">
        <f t="shared" si="6"/>
        <v/>
      </c>
      <c r="B413" s="26"/>
      <c r="C413" s="27"/>
      <c r="D413" s="28" t="str">
        <f>IFERROR(IF(C413="","",INDEX(마스터!$F$4:$F$20,MATCH(C413,마스터!$M$4:$M$20,0))),"")</f>
        <v/>
      </c>
      <c r="E413" s="27"/>
      <c r="F413" s="29"/>
      <c r="G413" s="25" t="str">
        <f>IFERROR(IF(C413="","",INDEX(마스터!$J$4:$J$20,MATCH(C413,마스터!$M$4:$M$20,0))),"")</f>
        <v/>
      </c>
      <c r="H413" s="30"/>
      <c r="I413" s="30"/>
    </row>
    <row r="414" spans="1:9" ht="15" customHeight="1" x14ac:dyDescent="0.25">
      <c r="A414" s="25" t="str">
        <f t="shared" si="6"/>
        <v/>
      </c>
      <c r="B414" s="26"/>
      <c r="C414" s="27"/>
      <c r="D414" s="28" t="str">
        <f>IFERROR(IF(C414="","",INDEX(마스터!$F$4:$F$20,MATCH(C414,마스터!$M$4:$M$20,0))),"")</f>
        <v/>
      </c>
      <c r="E414" s="27"/>
      <c r="F414" s="29"/>
      <c r="G414" s="25" t="str">
        <f>IFERROR(IF(C414="","",INDEX(마스터!$J$4:$J$20,MATCH(C414,마스터!$M$4:$M$20,0))),"")</f>
        <v/>
      </c>
      <c r="H414" s="30"/>
      <c r="I414" s="30"/>
    </row>
    <row r="415" spans="1:9" ht="15" customHeight="1" x14ac:dyDescent="0.25">
      <c r="A415" s="25" t="str">
        <f t="shared" si="6"/>
        <v/>
      </c>
      <c r="B415" s="26"/>
      <c r="C415" s="27"/>
      <c r="D415" s="28" t="str">
        <f>IFERROR(IF(C415="","",INDEX(마스터!$F$4:$F$20,MATCH(C415,마스터!$M$4:$M$20,0))),"")</f>
        <v/>
      </c>
      <c r="E415" s="27"/>
      <c r="F415" s="29"/>
      <c r="G415" s="25" t="str">
        <f>IFERROR(IF(C415="","",INDEX(마스터!$J$4:$J$20,MATCH(C415,마스터!$M$4:$M$20,0))),"")</f>
        <v/>
      </c>
      <c r="H415" s="30"/>
      <c r="I415" s="30"/>
    </row>
    <row r="416" spans="1:9" ht="15" customHeight="1" x14ac:dyDescent="0.25">
      <c r="A416" s="25" t="str">
        <f t="shared" si="6"/>
        <v/>
      </c>
      <c r="B416" s="26"/>
      <c r="C416" s="27"/>
      <c r="D416" s="28" t="str">
        <f>IFERROR(IF(C416="","",INDEX(마스터!$F$4:$F$20,MATCH(C416,마스터!$M$4:$M$20,0))),"")</f>
        <v/>
      </c>
      <c r="E416" s="27"/>
      <c r="F416" s="29"/>
      <c r="G416" s="25" t="str">
        <f>IFERROR(IF(C416="","",INDEX(마스터!$J$4:$J$20,MATCH(C416,마스터!$M$4:$M$20,0))),"")</f>
        <v/>
      </c>
      <c r="H416" s="30"/>
      <c r="I416" s="30"/>
    </row>
    <row r="417" spans="1:9" ht="15" customHeight="1" x14ac:dyDescent="0.25">
      <c r="A417" s="25" t="str">
        <f t="shared" si="6"/>
        <v/>
      </c>
      <c r="B417" s="26"/>
      <c r="C417" s="27"/>
      <c r="D417" s="28" t="str">
        <f>IFERROR(IF(C417="","",INDEX(마스터!$F$4:$F$20,MATCH(C417,마스터!$M$4:$M$20,0))),"")</f>
        <v/>
      </c>
      <c r="E417" s="27"/>
      <c r="F417" s="29"/>
      <c r="G417" s="25" t="str">
        <f>IFERROR(IF(C417="","",INDEX(마스터!$J$4:$J$20,MATCH(C417,마스터!$M$4:$M$20,0))),"")</f>
        <v/>
      </c>
      <c r="H417" s="30"/>
      <c r="I417" s="30"/>
    </row>
    <row r="418" spans="1:9" ht="15" customHeight="1" x14ac:dyDescent="0.25">
      <c r="A418" s="25" t="str">
        <f t="shared" si="6"/>
        <v/>
      </c>
      <c r="B418" s="26"/>
      <c r="C418" s="27"/>
      <c r="D418" s="28" t="str">
        <f>IFERROR(IF(C418="","",INDEX(마스터!$F$4:$F$20,MATCH(C418,마스터!$M$4:$M$20,0))),"")</f>
        <v/>
      </c>
      <c r="E418" s="27"/>
      <c r="F418" s="29"/>
      <c r="G418" s="25" t="str">
        <f>IFERROR(IF(C418="","",INDEX(마스터!$J$4:$J$20,MATCH(C418,마스터!$M$4:$M$20,0))),"")</f>
        <v/>
      </c>
      <c r="H418" s="30"/>
      <c r="I418" s="30"/>
    </row>
    <row r="419" spans="1:9" ht="15" customHeight="1" x14ac:dyDescent="0.25">
      <c r="A419" s="25" t="str">
        <f t="shared" si="6"/>
        <v/>
      </c>
      <c r="B419" s="26"/>
      <c r="C419" s="27"/>
      <c r="D419" s="28" t="str">
        <f>IFERROR(IF(C419="","",INDEX(마스터!$F$4:$F$20,MATCH(C419,마스터!$M$4:$M$20,0))),"")</f>
        <v/>
      </c>
      <c r="E419" s="27"/>
      <c r="F419" s="29"/>
      <c r="G419" s="25" t="str">
        <f>IFERROR(IF(C419="","",INDEX(마스터!$J$4:$J$20,MATCH(C419,마스터!$M$4:$M$20,0))),"")</f>
        <v/>
      </c>
      <c r="H419" s="30"/>
      <c r="I419" s="30"/>
    </row>
    <row r="420" spans="1:9" ht="15" customHeight="1" x14ac:dyDescent="0.25">
      <c r="A420" s="25" t="str">
        <f t="shared" si="6"/>
        <v/>
      </c>
      <c r="B420" s="26"/>
      <c r="C420" s="27"/>
      <c r="D420" s="28" t="str">
        <f>IFERROR(IF(C420="","",INDEX(마스터!$F$4:$F$20,MATCH(C420,마스터!$M$4:$M$20,0))),"")</f>
        <v/>
      </c>
      <c r="E420" s="27"/>
      <c r="F420" s="29"/>
      <c r="G420" s="25" t="str">
        <f>IFERROR(IF(C420="","",INDEX(마스터!$J$4:$J$20,MATCH(C420,마스터!$M$4:$M$20,0))),"")</f>
        <v/>
      </c>
      <c r="H420" s="30"/>
      <c r="I420" s="30"/>
    </row>
    <row r="421" spans="1:9" ht="15" customHeight="1" x14ac:dyDescent="0.25">
      <c r="A421" s="25" t="str">
        <f t="shared" si="6"/>
        <v/>
      </c>
      <c r="B421" s="26"/>
      <c r="C421" s="27"/>
      <c r="D421" s="28" t="str">
        <f>IFERROR(IF(C421="","",INDEX(마스터!$F$4:$F$20,MATCH(C421,마스터!$M$4:$M$20,0))),"")</f>
        <v/>
      </c>
      <c r="E421" s="27"/>
      <c r="F421" s="29"/>
      <c r="G421" s="25" t="str">
        <f>IFERROR(IF(C421="","",INDEX(마스터!$J$4:$J$20,MATCH(C421,마스터!$M$4:$M$20,0))),"")</f>
        <v/>
      </c>
      <c r="H421" s="30"/>
      <c r="I421" s="30"/>
    </row>
    <row r="422" spans="1:9" ht="15" customHeight="1" x14ac:dyDescent="0.25">
      <c r="A422" s="25" t="str">
        <f t="shared" si="6"/>
        <v/>
      </c>
      <c r="B422" s="26"/>
      <c r="C422" s="27"/>
      <c r="D422" s="28" t="str">
        <f>IFERROR(IF(C422="","",INDEX(마스터!$F$4:$F$20,MATCH(C422,마스터!$M$4:$M$20,0))),"")</f>
        <v/>
      </c>
      <c r="E422" s="27"/>
      <c r="F422" s="29"/>
      <c r="G422" s="25" t="str">
        <f>IFERROR(IF(C422="","",INDEX(마스터!$J$4:$J$20,MATCH(C422,마스터!$M$4:$M$20,0))),"")</f>
        <v/>
      </c>
      <c r="H422" s="30"/>
      <c r="I422" s="30"/>
    </row>
    <row r="423" spans="1:9" ht="15" customHeight="1" x14ac:dyDescent="0.25">
      <c r="A423" s="25" t="str">
        <f t="shared" si="6"/>
        <v/>
      </c>
      <c r="B423" s="26"/>
      <c r="C423" s="27"/>
      <c r="D423" s="28" t="str">
        <f>IFERROR(IF(C423="","",INDEX(마스터!$F$4:$F$20,MATCH(C423,마스터!$M$4:$M$20,0))),"")</f>
        <v/>
      </c>
      <c r="E423" s="27"/>
      <c r="F423" s="29"/>
      <c r="G423" s="25" t="str">
        <f>IFERROR(IF(C423="","",INDEX(마스터!$J$4:$J$20,MATCH(C423,마스터!$M$4:$M$20,0))),"")</f>
        <v/>
      </c>
      <c r="H423" s="30"/>
      <c r="I423" s="30"/>
    </row>
    <row r="424" spans="1:9" ht="15" customHeight="1" x14ac:dyDescent="0.25">
      <c r="A424" s="25" t="str">
        <f t="shared" si="6"/>
        <v/>
      </c>
      <c r="B424" s="26"/>
      <c r="C424" s="27"/>
      <c r="D424" s="28" t="str">
        <f>IFERROR(IF(C424="","",INDEX(마스터!$F$4:$F$20,MATCH(C424,마스터!$M$4:$M$20,0))),"")</f>
        <v/>
      </c>
      <c r="E424" s="27"/>
      <c r="F424" s="29"/>
      <c r="G424" s="25" t="str">
        <f>IFERROR(IF(C424="","",INDEX(마스터!$J$4:$J$20,MATCH(C424,마스터!$M$4:$M$20,0))),"")</f>
        <v/>
      </c>
      <c r="H424" s="30"/>
      <c r="I424" s="30"/>
    </row>
    <row r="425" spans="1:9" ht="15" customHeight="1" x14ac:dyDescent="0.25">
      <c r="A425" s="25" t="str">
        <f t="shared" si="6"/>
        <v/>
      </c>
      <c r="B425" s="26"/>
      <c r="C425" s="27"/>
      <c r="D425" s="28" t="str">
        <f>IFERROR(IF(C425="","",INDEX(마스터!$F$4:$F$20,MATCH(C425,마스터!$M$4:$M$20,0))),"")</f>
        <v/>
      </c>
      <c r="E425" s="27"/>
      <c r="F425" s="29"/>
      <c r="G425" s="25" t="str">
        <f>IFERROR(IF(C425="","",INDEX(마스터!$J$4:$J$20,MATCH(C425,마스터!$M$4:$M$20,0))),"")</f>
        <v/>
      </c>
      <c r="H425" s="30"/>
      <c r="I425" s="30"/>
    </row>
    <row r="426" spans="1:9" ht="15" customHeight="1" x14ac:dyDescent="0.25">
      <c r="A426" s="25" t="str">
        <f t="shared" si="6"/>
        <v/>
      </c>
      <c r="B426" s="26"/>
      <c r="C426" s="27"/>
      <c r="D426" s="28" t="str">
        <f>IFERROR(IF(C426="","",INDEX(마스터!$F$4:$F$20,MATCH(C426,마스터!$M$4:$M$20,0))),"")</f>
        <v/>
      </c>
      <c r="E426" s="27"/>
      <c r="F426" s="29"/>
      <c r="G426" s="25" t="str">
        <f>IFERROR(IF(C426="","",INDEX(마스터!$J$4:$J$20,MATCH(C426,마스터!$M$4:$M$20,0))),"")</f>
        <v/>
      </c>
      <c r="H426" s="30"/>
      <c r="I426" s="30"/>
    </row>
    <row r="427" spans="1:9" ht="15" customHeight="1" x14ac:dyDescent="0.25">
      <c r="A427" s="25" t="str">
        <f t="shared" si="6"/>
        <v/>
      </c>
      <c r="B427" s="26"/>
      <c r="C427" s="27"/>
      <c r="D427" s="28" t="str">
        <f>IFERROR(IF(C427="","",INDEX(마스터!$F$4:$F$20,MATCH(C427,마스터!$M$4:$M$20,0))),"")</f>
        <v/>
      </c>
      <c r="E427" s="27"/>
      <c r="F427" s="29"/>
      <c r="G427" s="25" t="str">
        <f>IFERROR(IF(C427="","",INDEX(마스터!$J$4:$J$20,MATCH(C427,마스터!$M$4:$M$20,0))),"")</f>
        <v/>
      </c>
      <c r="H427" s="30"/>
      <c r="I427" s="30"/>
    </row>
    <row r="428" spans="1:9" ht="15" customHeight="1" x14ac:dyDescent="0.25">
      <c r="A428" s="25" t="str">
        <f t="shared" si="6"/>
        <v/>
      </c>
      <c r="B428" s="26"/>
      <c r="C428" s="27"/>
      <c r="D428" s="28" t="str">
        <f>IFERROR(IF(C428="","",INDEX(마스터!$F$4:$F$20,MATCH(C428,마스터!$M$4:$M$20,0))),"")</f>
        <v/>
      </c>
      <c r="E428" s="27"/>
      <c r="F428" s="29"/>
      <c r="G428" s="25" t="str">
        <f>IFERROR(IF(C428="","",INDEX(마스터!$J$4:$J$20,MATCH(C428,마스터!$M$4:$M$20,0))),"")</f>
        <v/>
      </c>
      <c r="H428" s="30"/>
      <c r="I428" s="30"/>
    </row>
    <row r="429" spans="1:9" ht="15" customHeight="1" x14ac:dyDescent="0.25">
      <c r="A429" s="25" t="str">
        <f t="shared" si="6"/>
        <v/>
      </c>
      <c r="B429" s="26"/>
      <c r="C429" s="27"/>
      <c r="D429" s="28" t="str">
        <f>IFERROR(IF(C429="","",INDEX(마스터!$F$4:$F$20,MATCH(C429,마스터!$M$4:$M$20,0))),"")</f>
        <v/>
      </c>
      <c r="E429" s="27"/>
      <c r="F429" s="29"/>
      <c r="G429" s="25" t="str">
        <f>IFERROR(IF(C429="","",INDEX(마스터!$J$4:$J$20,MATCH(C429,마스터!$M$4:$M$20,0))),"")</f>
        <v/>
      </c>
      <c r="H429" s="30"/>
      <c r="I429" s="30"/>
    </row>
    <row r="430" spans="1:9" ht="15" customHeight="1" x14ac:dyDescent="0.25">
      <c r="A430" s="25" t="str">
        <f t="shared" si="6"/>
        <v/>
      </c>
      <c r="B430" s="26"/>
      <c r="C430" s="27"/>
      <c r="D430" s="28" t="str">
        <f>IFERROR(IF(C430="","",INDEX(마스터!$F$4:$F$20,MATCH(C430,마스터!$M$4:$M$20,0))),"")</f>
        <v/>
      </c>
      <c r="E430" s="27"/>
      <c r="F430" s="29"/>
      <c r="G430" s="25" t="str">
        <f>IFERROR(IF(C430="","",INDEX(마스터!$J$4:$J$20,MATCH(C430,마스터!$M$4:$M$20,0))),"")</f>
        <v/>
      </c>
      <c r="H430" s="30"/>
      <c r="I430" s="30"/>
    </row>
    <row r="431" spans="1:9" ht="15" customHeight="1" x14ac:dyDescent="0.25">
      <c r="A431" s="25" t="str">
        <f t="shared" si="6"/>
        <v/>
      </c>
      <c r="B431" s="26"/>
      <c r="C431" s="27"/>
      <c r="D431" s="28" t="str">
        <f>IFERROR(IF(C431="","",INDEX(마스터!$F$4:$F$20,MATCH(C431,마스터!$M$4:$M$20,0))),"")</f>
        <v/>
      </c>
      <c r="E431" s="27"/>
      <c r="F431" s="29"/>
      <c r="G431" s="25" t="str">
        <f>IFERROR(IF(C431="","",INDEX(마스터!$J$4:$J$20,MATCH(C431,마스터!$M$4:$M$20,0))),"")</f>
        <v/>
      </c>
      <c r="H431" s="30"/>
      <c r="I431" s="30"/>
    </row>
    <row r="432" spans="1:9" ht="15" customHeight="1" x14ac:dyDescent="0.25">
      <c r="A432" s="25" t="str">
        <f t="shared" si="6"/>
        <v/>
      </c>
      <c r="B432" s="26"/>
      <c r="C432" s="27"/>
      <c r="D432" s="28" t="str">
        <f>IFERROR(IF(C432="","",INDEX(마스터!$F$4:$F$20,MATCH(C432,마스터!$M$4:$M$20,0))),"")</f>
        <v/>
      </c>
      <c r="E432" s="27"/>
      <c r="F432" s="29"/>
      <c r="G432" s="25" t="str">
        <f>IFERROR(IF(C432="","",INDEX(마스터!$J$4:$J$20,MATCH(C432,마스터!$M$4:$M$20,0))),"")</f>
        <v/>
      </c>
      <c r="H432" s="30"/>
      <c r="I432" s="30"/>
    </row>
    <row r="433" spans="1:9" ht="15" customHeight="1" x14ac:dyDescent="0.25">
      <c r="A433" s="25" t="str">
        <f t="shared" si="6"/>
        <v/>
      </c>
      <c r="B433" s="26"/>
      <c r="C433" s="27"/>
      <c r="D433" s="28" t="str">
        <f>IFERROR(IF(C433="","",INDEX(마스터!$F$4:$F$20,MATCH(C433,마스터!$M$4:$M$20,0))),"")</f>
        <v/>
      </c>
      <c r="E433" s="27"/>
      <c r="F433" s="29"/>
      <c r="G433" s="25" t="str">
        <f>IFERROR(IF(C433="","",INDEX(마스터!$J$4:$J$20,MATCH(C433,마스터!$M$4:$M$20,0))),"")</f>
        <v/>
      </c>
      <c r="H433" s="30"/>
      <c r="I433" s="30"/>
    </row>
    <row r="434" spans="1:9" ht="15" customHeight="1" x14ac:dyDescent="0.25">
      <c r="A434" s="25" t="str">
        <f t="shared" si="6"/>
        <v/>
      </c>
      <c r="B434" s="26"/>
      <c r="C434" s="27"/>
      <c r="D434" s="28" t="str">
        <f>IFERROR(IF(C434="","",INDEX(마스터!$F$4:$F$20,MATCH(C434,마스터!$M$4:$M$20,0))),"")</f>
        <v/>
      </c>
      <c r="E434" s="27"/>
      <c r="F434" s="29"/>
      <c r="G434" s="25" t="str">
        <f>IFERROR(IF(C434="","",INDEX(마스터!$J$4:$J$20,MATCH(C434,마스터!$M$4:$M$20,0))),"")</f>
        <v/>
      </c>
      <c r="H434" s="30"/>
      <c r="I434" s="30"/>
    </row>
    <row r="435" spans="1:9" ht="15" customHeight="1" x14ac:dyDescent="0.25">
      <c r="A435" s="25" t="str">
        <f t="shared" si="6"/>
        <v/>
      </c>
      <c r="B435" s="26"/>
      <c r="C435" s="27"/>
      <c r="D435" s="28" t="str">
        <f>IFERROR(IF(C435="","",INDEX(마스터!$F$4:$F$20,MATCH(C435,마스터!$M$4:$M$20,0))),"")</f>
        <v/>
      </c>
      <c r="E435" s="27"/>
      <c r="F435" s="29"/>
      <c r="G435" s="25" t="str">
        <f>IFERROR(IF(C435="","",INDEX(마스터!$J$4:$J$20,MATCH(C435,마스터!$M$4:$M$20,0))),"")</f>
        <v/>
      </c>
      <c r="H435" s="30"/>
      <c r="I435" s="30"/>
    </row>
    <row r="436" spans="1:9" ht="15" customHeight="1" x14ac:dyDescent="0.25">
      <c r="A436" s="25" t="str">
        <f t="shared" si="6"/>
        <v/>
      </c>
      <c r="B436" s="26"/>
      <c r="C436" s="27"/>
      <c r="D436" s="28" t="str">
        <f>IFERROR(IF(C436="","",INDEX(마스터!$F$4:$F$20,MATCH(C436,마스터!$M$4:$M$20,0))),"")</f>
        <v/>
      </c>
      <c r="E436" s="27"/>
      <c r="F436" s="29"/>
      <c r="G436" s="25" t="str">
        <f>IFERROR(IF(C436="","",INDEX(마스터!$J$4:$J$20,MATCH(C436,마스터!$M$4:$M$20,0))),"")</f>
        <v/>
      </c>
      <c r="H436" s="30"/>
      <c r="I436" s="30"/>
    </row>
    <row r="437" spans="1:9" ht="15" customHeight="1" x14ac:dyDescent="0.25">
      <c r="A437" s="25" t="str">
        <f t="shared" si="6"/>
        <v/>
      </c>
      <c r="B437" s="26"/>
      <c r="C437" s="27"/>
      <c r="D437" s="28" t="str">
        <f>IFERROR(IF(C437="","",INDEX(마스터!$F$4:$F$20,MATCH(C437,마스터!$M$4:$M$20,0))),"")</f>
        <v/>
      </c>
      <c r="E437" s="27"/>
      <c r="F437" s="29"/>
      <c r="G437" s="25" t="str">
        <f>IFERROR(IF(C437="","",INDEX(마스터!$J$4:$J$20,MATCH(C437,마스터!$M$4:$M$20,0))),"")</f>
        <v/>
      </c>
      <c r="H437" s="30"/>
      <c r="I437" s="30"/>
    </row>
    <row r="438" spans="1:9" ht="15" customHeight="1" x14ac:dyDescent="0.25">
      <c r="A438" s="25" t="str">
        <f t="shared" si="6"/>
        <v/>
      </c>
      <c r="B438" s="26"/>
      <c r="C438" s="27"/>
      <c r="D438" s="28" t="str">
        <f>IFERROR(IF(C438="","",INDEX(마스터!$F$4:$F$20,MATCH(C438,마스터!$M$4:$M$20,0))),"")</f>
        <v/>
      </c>
      <c r="E438" s="27"/>
      <c r="F438" s="29"/>
      <c r="G438" s="25" t="str">
        <f>IFERROR(IF(C438="","",INDEX(마스터!$J$4:$J$20,MATCH(C438,마스터!$M$4:$M$20,0))),"")</f>
        <v/>
      </c>
      <c r="H438" s="30"/>
      <c r="I438" s="30"/>
    </row>
    <row r="439" spans="1:9" ht="15" customHeight="1" x14ac:dyDescent="0.25">
      <c r="A439" s="25" t="str">
        <f t="shared" si="6"/>
        <v/>
      </c>
      <c r="B439" s="26"/>
      <c r="C439" s="27"/>
      <c r="D439" s="28" t="str">
        <f>IFERROR(IF(C439="","",INDEX(마스터!$F$4:$F$20,MATCH(C439,마스터!$M$4:$M$20,0))),"")</f>
        <v/>
      </c>
      <c r="E439" s="27"/>
      <c r="F439" s="29"/>
      <c r="G439" s="25" t="str">
        <f>IFERROR(IF(C439="","",INDEX(마스터!$J$4:$J$20,MATCH(C439,마스터!$M$4:$M$20,0))),"")</f>
        <v/>
      </c>
      <c r="H439" s="30"/>
      <c r="I439" s="30"/>
    </row>
    <row r="440" spans="1:9" ht="15" customHeight="1" x14ac:dyDescent="0.25">
      <c r="A440" s="25" t="str">
        <f t="shared" si="6"/>
        <v/>
      </c>
      <c r="B440" s="26"/>
      <c r="C440" s="27"/>
      <c r="D440" s="28" t="str">
        <f>IFERROR(IF(C440="","",INDEX(마스터!$F$4:$F$20,MATCH(C440,마스터!$M$4:$M$20,0))),"")</f>
        <v/>
      </c>
      <c r="E440" s="27"/>
      <c r="F440" s="29"/>
      <c r="G440" s="25" t="str">
        <f>IFERROR(IF(C440="","",INDEX(마스터!$J$4:$J$20,MATCH(C440,마스터!$M$4:$M$20,0))),"")</f>
        <v/>
      </c>
      <c r="H440" s="30"/>
      <c r="I440" s="30"/>
    </row>
    <row r="441" spans="1:9" ht="15" customHeight="1" x14ac:dyDescent="0.25">
      <c r="A441" s="25" t="str">
        <f t="shared" si="6"/>
        <v/>
      </c>
      <c r="B441" s="26"/>
      <c r="C441" s="27"/>
      <c r="D441" s="28" t="str">
        <f>IFERROR(IF(C441="","",INDEX(마스터!$F$4:$F$20,MATCH(C441,마스터!$M$4:$M$20,0))),"")</f>
        <v/>
      </c>
      <c r="E441" s="27"/>
      <c r="F441" s="29"/>
      <c r="G441" s="25" t="str">
        <f>IFERROR(IF(C441="","",INDEX(마스터!$J$4:$J$20,MATCH(C441,마스터!$M$4:$M$20,0))),"")</f>
        <v/>
      </c>
      <c r="H441" s="30"/>
      <c r="I441" s="30"/>
    </row>
    <row r="442" spans="1:9" ht="15" customHeight="1" x14ac:dyDescent="0.25">
      <c r="A442" s="25" t="str">
        <f t="shared" si="6"/>
        <v/>
      </c>
      <c r="B442" s="26"/>
      <c r="C442" s="27"/>
      <c r="D442" s="28" t="str">
        <f>IFERROR(IF(C442="","",INDEX(마스터!$F$4:$F$20,MATCH(C442,마스터!$M$4:$M$20,0))),"")</f>
        <v/>
      </c>
      <c r="E442" s="27"/>
      <c r="F442" s="29"/>
      <c r="G442" s="25" t="str">
        <f>IFERROR(IF(C442="","",INDEX(마스터!$J$4:$J$20,MATCH(C442,마스터!$M$4:$M$20,0))),"")</f>
        <v/>
      </c>
      <c r="H442" s="30"/>
      <c r="I442" s="30"/>
    </row>
    <row r="443" spans="1:9" ht="15" customHeight="1" x14ac:dyDescent="0.25">
      <c r="A443" s="25" t="str">
        <f t="shared" si="6"/>
        <v/>
      </c>
      <c r="B443" s="26"/>
      <c r="C443" s="27"/>
      <c r="D443" s="28" t="str">
        <f>IFERROR(IF(C443="","",INDEX(마스터!$F$4:$F$20,MATCH(C443,마스터!$M$4:$M$20,0))),"")</f>
        <v/>
      </c>
      <c r="E443" s="27"/>
      <c r="F443" s="29"/>
      <c r="G443" s="25" t="str">
        <f>IFERROR(IF(C443="","",INDEX(마스터!$J$4:$J$20,MATCH(C443,마스터!$M$4:$M$20,0))),"")</f>
        <v/>
      </c>
      <c r="H443" s="30"/>
      <c r="I443" s="30"/>
    </row>
    <row r="444" spans="1:9" ht="15" customHeight="1" x14ac:dyDescent="0.25">
      <c r="A444" s="25" t="str">
        <f t="shared" si="6"/>
        <v/>
      </c>
      <c r="B444" s="26"/>
      <c r="C444" s="27"/>
      <c r="D444" s="28" t="str">
        <f>IFERROR(IF(C444="","",INDEX(마스터!$F$4:$F$20,MATCH(C444,마스터!$M$4:$M$20,0))),"")</f>
        <v/>
      </c>
      <c r="E444" s="27"/>
      <c r="F444" s="29"/>
      <c r="G444" s="25" t="str">
        <f>IFERROR(IF(C444="","",INDEX(마스터!$J$4:$J$20,MATCH(C444,마스터!$M$4:$M$20,0))),"")</f>
        <v/>
      </c>
      <c r="H444" s="30"/>
      <c r="I444" s="30"/>
    </row>
    <row r="445" spans="1:9" ht="15" customHeight="1" x14ac:dyDescent="0.25">
      <c r="A445" s="25" t="str">
        <f t="shared" si="6"/>
        <v/>
      </c>
      <c r="B445" s="26"/>
      <c r="C445" s="27"/>
      <c r="D445" s="28" t="str">
        <f>IFERROR(IF(C445="","",INDEX(마스터!$F$4:$F$20,MATCH(C445,마스터!$M$4:$M$20,0))),"")</f>
        <v/>
      </c>
      <c r="E445" s="27"/>
      <c r="F445" s="29"/>
      <c r="G445" s="25" t="str">
        <f>IFERROR(IF(C445="","",INDEX(마스터!$J$4:$J$20,MATCH(C445,마스터!$M$4:$M$20,0))),"")</f>
        <v/>
      </c>
      <c r="H445" s="30"/>
      <c r="I445" s="30"/>
    </row>
    <row r="446" spans="1:9" ht="15" customHeight="1" x14ac:dyDescent="0.25">
      <c r="A446" s="25" t="str">
        <f t="shared" si="6"/>
        <v/>
      </c>
      <c r="B446" s="26"/>
      <c r="C446" s="27"/>
      <c r="D446" s="28" t="str">
        <f>IFERROR(IF(C446="","",INDEX(마스터!$F$4:$F$20,MATCH(C446,마스터!$M$4:$M$20,0))),"")</f>
        <v/>
      </c>
      <c r="E446" s="27"/>
      <c r="F446" s="29"/>
      <c r="G446" s="25" t="str">
        <f>IFERROR(IF(C446="","",INDEX(마스터!$J$4:$J$20,MATCH(C446,마스터!$M$4:$M$20,0))),"")</f>
        <v/>
      </c>
      <c r="H446" s="30"/>
      <c r="I446" s="30"/>
    </row>
    <row r="447" spans="1:9" ht="15" customHeight="1" x14ac:dyDescent="0.25">
      <c r="A447" s="25" t="str">
        <f t="shared" si="6"/>
        <v/>
      </c>
      <c r="B447" s="26"/>
      <c r="C447" s="27"/>
      <c r="D447" s="28" t="str">
        <f>IFERROR(IF(C447="","",INDEX(마스터!$F$4:$F$20,MATCH(C447,마스터!$M$4:$M$20,0))),"")</f>
        <v/>
      </c>
      <c r="E447" s="27"/>
      <c r="F447" s="29"/>
      <c r="G447" s="25" t="str">
        <f>IFERROR(IF(C447="","",INDEX(마스터!$J$4:$J$20,MATCH(C447,마스터!$M$4:$M$20,0))),"")</f>
        <v/>
      </c>
      <c r="H447" s="30"/>
      <c r="I447" s="30"/>
    </row>
    <row r="448" spans="1:9" ht="15" customHeight="1" x14ac:dyDescent="0.25">
      <c r="A448" s="25" t="str">
        <f t="shared" si="6"/>
        <v/>
      </c>
      <c r="B448" s="26"/>
      <c r="C448" s="27"/>
      <c r="D448" s="28" t="str">
        <f>IFERROR(IF(C448="","",INDEX(마스터!$F$4:$F$20,MATCH(C448,마스터!$M$4:$M$20,0))),"")</f>
        <v/>
      </c>
      <c r="E448" s="27"/>
      <c r="F448" s="29"/>
      <c r="G448" s="25" t="str">
        <f>IFERROR(IF(C448="","",INDEX(마스터!$J$4:$J$20,MATCH(C448,마스터!$M$4:$M$20,0))),"")</f>
        <v/>
      </c>
      <c r="H448" s="30"/>
      <c r="I448" s="30"/>
    </row>
    <row r="449" spans="1:9" ht="15" customHeight="1" x14ac:dyDescent="0.25">
      <c r="A449" s="25" t="str">
        <f t="shared" si="6"/>
        <v/>
      </c>
      <c r="B449" s="26"/>
      <c r="C449" s="27"/>
      <c r="D449" s="28" t="str">
        <f>IFERROR(IF(C449="","",INDEX(마스터!$F$4:$F$20,MATCH(C449,마스터!$M$4:$M$20,0))),"")</f>
        <v/>
      </c>
      <c r="E449" s="27"/>
      <c r="F449" s="29"/>
      <c r="G449" s="25" t="str">
        <f>IFERROR(IF(C449="","",INDEX(마스터!$J$4:$J$20,MATCH(C449,마스터!$M$4:$M$20,0))),"")</f>
        <v/>
      </c>
      <c r="H449" s="30"/>
      <c r="I449" s="30"/>
    </row>
    <row r="450" spans="1:9" ht="15" customHeight="1" x14ac:dyDescent="0.25">
      <c r="A450" s="25" t="str">
        <f t="shared" si="6"/>
        <v/>
      </c>
      <c r="B450" s="26"/>
      <c r="C450" s="27"/>
      <c r="D450" s="28" t="str">
        <f>IFERROR(IF(C450="","",INDEX(마스터!$F$4:$F$20,MATCH(C450,마스터!$M$4:$M$20,0))),"")</f>
        <v/>
      </c>
      <c r="E450" s="27"/>
      <c r="F450" s="29"/>
      <c r="G450" s="25" t="str">
        <f>IFERROR(IF(C450="","",INDEX(마스터!$J$4:$J$20,MATCH(C450,마스터!$M$4:$M$20,0))),"")</f>
        <v/>
      </c>
      <c r="H450" s="30"/>
      <c r="I450" s="30"/>
    </row>
    <row r="451" spans="1:9" ht="15" customHeight="1" x14ac:dyDescent="0.25">
      <c r="A451" s="25" t="str">
        <f t="shared" si="6"/>
        <v/>
      </c>
      <c r="B451" s="26"/>
      <c r="C451" s="27"/>
      <c r="D451" s="28" t="str">
        <f>IFERROR(IF(C451="","",INDEX(마스터!$F$4:$F$20,MATCH(C451,마스터!$M$4:$M$20,0))),"")</f>
        <v/>
      </c>
      <c r="E451" s="27"/>
      <c r="F451" s="29"/>
      <c r="G451" s="25" t="str">
        <f>IFERROR(IF(C451="","",INDEX(마스터!$J$4:$J$20,MATCH(C451,마스터!$M$4:$M$20,0))),"")</f>
        <v/>
      </c>
      <c r="H451" s="30"/>
      <c r="I451" s="30"/>
    </row>
    <row r="452" spans="1:9" ht="15" customHeight="1" x14ac:dyDescent="0.25">
      <c r="A452" s="25" t="str">
        <f t="shared" si="6"/>
        <v/>
      </c>
      <c r="B452" s="26"/>
      <c r="C452" s="27"/>
      <c r="D452" s="28" t="str">
        <f>IFERROR(IF(C452="","",INDEX(마스터!$F$4:$F$20,MATCH(C452,마스터!$M$4:$M$20,0))),"")</f>
        <v/>
      </c>
      <c r="E452" s="27"/>
      <c r="F452" s="29"/>
      <c r="G452" s="25" t="str">
        <f>IFERROR(IF(C452="","",INDEX(마스터!$J$4:$J$20,MATCH(C452,마스터!$M$4:$M$20,0))),"")</f>
        <v/>
      </c>
      <c r="H452" s="30"/>
      <c r="I452" s="30"/>
    </row>
    <row r="453" spans="1:9" ht="15" customHeight="1" x14ac:dyDescent="0.25">
      <c r="A453" s="25" t="str">
        <f t="shared" si="6"/>
        <v/>
      </c>
      <c r="B453" s="26"/>
      <c r="C453" s="27"/>
      <c r="D453" s="28" t="str">
        <f>IFERROR(IF(C453="","",INDEX(마스터!$F$4:$F$20,MATCH(C453,마스터!$M$4:$M$20,0))),"")</f>
        <v/>
      </c>
      <c r="E453" s="27"/>
      <c r="F453" s="29"/>
      <c r="G453" s="25" t="str">
        <f>IFERROR(IF(C453="","",INDEX(마스터!$J$4:$J$20,MATCH(C453,마스터!$M$4:$M$20,0))),"")</f>
        <v/>
      </c>
      <c r="H453" s="30"/>
      <c r="I453" s="30"/>
    </row>
    <row r="454" spans="1:9" ht="15" customHeight="1" x14ac:dyDescent="0.25">
      <c r="A454" s="25" t="str">
        <f t="shared" si="6"/>
        <v/>
      </c>
      <c r="B454" s="26"/>
      <c r="C454" s="27"/>
      <c r="D454" s="28" t="str">
        <f>IFERROR(IF(C454="","",INDEX(마스터!$F$4:$F$20,MATCH(C454,마스터!$M$4:$M$20,0))),"")</f>
        <v/>
      </c>
      <c r="E454" s="27"/>
      <c r="F454" s="29"/>
      <c r="G454" s="25" t="str">
        <f>IFERROR(IF(C454="","",INDEX(마스터!$J$4:$J$20,MATCH(C454,마스터!$M$4:$M$20,0))),"")</f>
        <v/>
      </c>
      <c r="H454" s="30"/>
      <c r="I454" s="30"/>
    </row>
    <row r="455" spans="1:9" ht="15" customHeight="1" x14ac:dyDescent="0.25">
      <c r="A455" s="25" t="str">
        <f t="shared" si="6"/>
        <v/>
      </c>
      <c r="B455" s="26"/>
      <c r="C455" s="27"/>
      <c r="D455" s="28" t="str">
        <f>IFERROR(IF(C455="","",INDEX(마스터!$F$4:$F$20,MATCH(C455,마스터!$M$4:$M$20,0))),"")</f>
        <v/>
      </c>
      <c r="E455" s="27"/>
      <c r="F455" s="29"/>
      <c r="G455" s="25" t="str">
        <f>IFERROR(IF(C455="","",INDEX(마스터!$J$4:$J$20,MATCH(C455,마스터!$M$4:$M$20,0))),"")</f>
        <v/>
      </c>
      <c r="H455" s="30"/>
      <c r="I455" s="30"/>
    </row>
    <row r="456" spans="1:9" ht="15" customHeight="1" x14ac:dyDescent="0.25">
      <c r="A456" s="25" t="str">
        <f t="shared" ref="A456:A519" si="7">IF(B456="","",ROW()-7)</f>
        <v/>
      </c>
      <c r="B456" s="26"/>
      <c r="C456" s="27"/>
      <c r="D456" s="28" t="str">
        <f>IFERROR(IF(C456="","",INDEX(마스터!$F$4:$F$20,MATCH(C456,마스터!$M$4:$M$20,0))),"")</f>
        <v/>
      </c>
      <c r="E456" s="27"/>
      <c r="F456" s="29"/>
      <c r="G456" s="25" t="str">
        <f>IFERROR(IF(C456="","",INDEX(마스터!$J$4:$J$20,MATCH(C456,마스터!$M$4:$M$20,0))),"")</f>
        <v/>
      </c>
      <c r="H456" s="30"/>
      <c r="I456" s="30"/>
    </row>
    <row r="457" spans="1:9" ht="15" customHeight="1" x14ac:dyDescent="0.25">
      <c r="A457" s="25" t="str">
        <f t="shared" si="7"/>
        <v/>
      </c>
      <c r="B457" s="26"/>
      <c r="C457" s="27"/>
      <c r="D457" s="28" t="str">
        <f>IFERROR(IF(C457="","",INDEX(마스터!$F$4:$F$20,MATCH(C457,마스터!$M$4:$M$20,0))),"")</f>
        <v/>
      </c>
      <c r="E457" s="27"/>
      <c r="F457" s="29"/>
      <c r="G457" s="25" t="str">
        <f>IFERROR(IF(C457="","",INDEX(마스터!$J$4:$J$20,MATCH(C457,마스터!$M$4:$M$20,0))),"")</f>
        <v/>
      </c>
      <c r="H457" s="30"/>
      <c r="I457" s="30"/>
    </row>
    <row r="458" spans="1:9" ht="15" customHeight="1" x14ac:dyDescent="0.25">
      <c r="A458" s="25" t="str">
        <f t="shared" si="7"/>
        <v/>
      </c>
      <c r="B458" s="26"/>
      <c r="C458" s="27"/>
      <c r="D458" s="28" t="str">
        <f>IFERROR(IF(C458="","",INDEX(마스터!$F$4:$F$20,MATCH(C458,마스터!$M$4:$M$20,0))),"")</f>
        <v/>
      </c>
      <c r="E458" s="27"/>
      <c r="F458" s="29"/>
      <c r="G458" s="25" t="str">
        <f>IFERROR(IF(C458="","",INDEX(마스터!$J$4:$J$20,MATCH(C458,마스터!$M$4:$M$20,0))),"")</f>
        <v/>
      </c>
      <c r="H458" s="30"/>
      <c r="I458" s="30"/>
    </row>
    <row r="459" spans="1:9" ht="15" customHeight="1" x14ac:dyDescent="0.25">
      <c r="A459" s="25" t="str">
        <f t="shared" si="7"/>
        <v/>
      </c>
      <c r="B459" s="26"/>
      <c r="C459" s="27"/>
      <c r="D459" s="28" t="str">
        <f>IFERROR(IF(C459="","",INDEX(마스터!$F$4:$F$20,MATCH(C459,마스터!$M$4:$M$20,0))),"")</f>
        <v/>
      </c>
      <c r="E459" s="27"/>
      <c r="F459" s="29"/>
      <c r="G459" s="25" t="str">
        <f>IFERROR(IF(C459="","",INDEX(마스터!$J$4:$J$20,MATCH(C459,마스터!$M$4:$M$20,0))),"")</f>
        <v/>
      </c>
      <c r="H459" s="30"/>
      <c r="I459" s="30"/>
    </row>
    <row r="460" spans="1:9" ht="15" customHeight="1" x14ac:dyDescent="0.25">
      <c r="A460" s="25" t="str">
        <f t="shared" si="7"/>
        <v/>
      </c>
      <c r="B460" s="26"/>
      <c r="C460" s="27"/>
      <c r="D460" s="28" t="str">
        <f>IFERROR(IF(C460="","",INDEX(마스터!$F$4:$F$20,MATCH(C460,마스터!$M$4:$M$20,0))),"")</f>
        <v/>
      </c>
      <c r="E460" s="27"/>
      <c r="F460" s="29"/>
      <c r="G460" s="25" t="str">
        <f>IFERROR(IF(C460="","",INDEX(마스터!$J$4:$J$20,MATCH(C460,마스터!$M$4:$M$20,0))),"")</f>
        <v/>
      </c>
      <c r="H460" s="30"/>
      <c r="I460" s="30"/>
    </row>
    <row r="461" spans="1:9" ht="15" customHeight="1" x14ac:dyDescent="0.25">
      <c r="A461" s="25" t="str">
        <f t="shared" si="7"/>
        <v/>
      </c>
      <c r="B461" s="26"/>
      <c r="C461" s="27"/>
      <c r="D461" s="28" t="str">
        <f>IFERROR(IF(C461="","",INDEX(마스터!$F$4:$F$20,MATCH(C461,마스터!$M$4:$M$20,0))),"")</f>
        <v/>
      </c>
      <c r="E461" s="27"/>
      <c r="F461" s="29"/>
      <c r="G461" s="25" t="str">
        <f>IFERROR(IF(C461="","",INDEX(마스터!$J$4:$J$20,MATCH(C461,마스터!$M$4:$M$20,0))),"")</f>
        <v/>
      </c>
      <c r="H461" s="30"/>
      <c r="I461" s="30"/>
    </row>
    <row r="462" spans="1:9" ht="15" customHeight="1" x14ac:dyDescent="0.25">
      <c r="A462" s="25" t="str">
        <f t="shared" si="7"/>
        <v/>
      </c>
      <c r="B462" s="26"/>
      <c r="C462" s="27"/>
      <c r="D462" s="28" t="str">
        <f>IFERROR(IF(C462="","",INDEX(마스터!$F$4:$F$20,MATCH(C462,마스터!$M$4:$M$20,0))),"")</f>
        <v/>
      </c>
      <c r="E462" s="27"/>
      <c r="F462" s="29"/>
      <c r="G462" s="25" t="str">
        <f>IFERROR(IF(C462="","",INDEX(마스터!$J$4:$J$20,MATCH(C462,마스터!$M$4:$M$20,0))),"")</f>
        <v/>
      </c>
      <c r="H462" s="30"/>
      <c r="I462" s="30"/>
    </row>
    <row r="463" spans="1:9" ht="15" customHeight="1" x14ac:dyDescent="0.25">
      <c r="A463" s="25" t="str">
        <f t="shared" si="7"/>
        <v/>
      </c>
      <c r="B463" s="26"/>
      <c r="C463" s="27"/>
      <c r="D463" s="28" t="str">
        <f>IFERROR(IF(C463="","",INDEX(마스터!$F$4:$F$20,MATCH(C463,마스터!$M$4:$M$20,0))),"")</f>
        <v/>
      </c>
      <c r="E463" s="27"/>
      <c r="F463" s="29"/>
      <c r="G463" s="25" t="str">
        <f>IFERROR(IF(C463="","",INDEX(마스터!$J$4:$J$20,MATCH(C463,마스터!$M$4:$M$20,0))),"")</f>
        <v/>
      </c>
      <c r="H463" s="30"/>
      <c r="I463" s="30"/>
    </row>
    <row r="464" spans="1:9" ht="15" customHeight="1" x14ac:dyDescent="0.25">
      <c r="A464" s="25" t="str">
        <f t="shared" si="7"/>
        <v/>
      </c>
      <c r="B464" s="26"/>
      <c r="C464" s="27"/>
      <c r="D464" s="28" t="str">
        <f>IFERROR(IF(C464="","",INDEX(마스터!$F$4:$F$20,MATCH(C464,마스터!$M$4:$M$20,0))),"")</f>
        <v/>
      </c>
      <c r="E464" s="27"/>
      <c r="F464" s="29"/>
      <c r="G464" s="25" t="str">
        <f>IFERROR(IF(C464="","",INDEX(마스터!$J$4:$J$20,MATCH(C464,마스터!$M$4:$M$20,0))),"")</f>
        <v/>
      </c>
      <c r="H464" s="30"/>
      <c r="I464" s="30"/>
    </row>
    <row r="465" spans="1:9" ht="15" customHeight="1" x14ac:dyDescent="0.25">
      <c r="A465" s="25" t="str">
        <f t="shared" si="7"/>
        <v/>
      </c>
      <c r="B465" s="26"/>
      <c r="C465" s="27"/>
      <c r="D465" s="28" t="str">
        <f>IFERROR(IF(C465="","",INDEX(마스터!$F$4:$F$20,MATCH(C465,마스터!$M$4:$M$20,0))),"")</f>
        <v/>
      </c>
      <c r="E465" s="27"/>
      <c r="F465" s="29"/>
      <c r="G465" s="25" t="str">
        <f>IFERROR(IF(C465="","",INDEX(마스터!$J$4:$J$20,MATCH(C465,마스터!$M$4:$M$20,0))),"")</f>
        <v/>
      </c>
      <c r="H465" s="30"/>
      <c r="I465" s="30"/>
    </row>
    <row r="466" spans="1:9" ht="15" customHeight="1" x14ac:dyDescent="0.25">
      <c r="A466" s="25" t="str">
        <f t="shared" si="7"/>
        <v/>
      </c>
      <c r="B466" s="26"/>
      <c r="C466" s="27"/>
      <c r="D466" s="28" t="str">
        <f>IFERROR(IF(C466="","",INDEX(마스터!$F$4:$F$20,MATCH(C466,마스터!$M$4:$M$20,0))),"")</f>
        <v/>
      </c>
      <c r="E466" s="27"/>
      <c r="F466" s="29"/>
      <c r="G466" s="25" t="str">
        <f>IFERROR(IF(C466="","",INDEX(마스터!$J$4:$J$20,MATCH(C466,마스터!$M$4:$M$20,0))),"")</f>
        <v/>
      </c>
      <c r="H466" s="30"/>
      <c r="I466" s="30"/>
    </row>
    <row r="467" spans="1:9" ht="15" customHeight="1" x14ac:dyDescent="0.25">
      <c r="A467" s="25" t="str">
        <f t="shared" si="7"/>
        <v/>
      </c>
      <c r="B467" s="26"/>
      <c r="C467" s="27"/>
      <c r="D467" s="28" t="str">
        <f>IFERROR(IF(C467="","",INDEX(마스터!$F$4:$F$20,MATCH(C467,마스터!$M$4:$M$20,0))),"")</f>
        <v/>
      </c>
      <c r="E467" s="27"/>
      <c r="F467" s="29"/>
      <c r="G467" s="25" t="str">
        <f>IFERROR(IF(C467="","",INDEX(마스터!$J$4:$J$20,MATCH(C467,마스터!$M$4:$M$20,0))),"")</f>
        <v/>
      </c>
      <c r="H467" s="30"/>
      <c r="I467" s="30"/>
    </row>
    <row r="468" spans="1:9" ht="15" customHeight="1" x14ac:dyDescent="0.25">
      <c r="A468" s="25" t="str">
        <f t="shared" si="7"/>
        <v/>
      </c>
      <c r="B468" s="26"/>
      <c r="C468" s="27"/>
      <c r="D468" s="28" t="str">
        <f>IFERROR(IF(C468="","",INDEX(마스터!$F$4:$F$20,MATCH(C468,마스터!$M$4:$M$20,0))),"")</f>
        <v/>
      </c>
      <c r="E468" s="27"/>
      <c r="F468" s="29"/>
      <c r="G468" s="25" t="str">
        <f>IFERROR(IF(C468="","",INDEX(마스터!$J$4:$J$20,MATCH(C468,마스터!$M$4:$M$20,0))),"")</f>
        <v/>
      </c>
      <c r="H468" s="30"/>
      <c r="I468" s="30"/>
    </row>
    <row r="469" spans="1:9" ht="15" customHeight="1" x14ac:dyDescent="0.25">
      <c r="A469" s="25" t="str">
        <f t="shared" si="7"/>
        <v/>
      </c>
      <c r="B469" s="26"/>
      <c r="C469" s="27"/>
      <c r="D469" s="28" t="str">
        <f>IFERROR(IF(C469="","",INDEX(마스터!$F$4:$F$20,MATCH(C469,마스터!$M$4:$M$20,0))),"")</f>
        <v/>
      </c>
      <c r="E469" s="27"/>
      <c r="F469" s="29"/>
      <c r="G469" s="25" t="str">
        <f>IFERROR(IF(C469="","",INDEX(마스터!$J$4:$J$20,MATCH(C469,마스터!$M$4:$M$20,0))),"")</f>
        <v/>
      </c>
      <c r="H469" s="30"/>
      <c r="I469" s="30"/>
    </row>
    <row r="470" spans="1:9" ht="15" customHeight="1" x14ac:dyDescent="0.25">
      <c r="A470" s="25" t="str">
        <f t="shared" si="7"/>
        <v/>
      </c>
      <c r="B470" s="26"/>
      <c r="C470" s="27"/>
      <c r="D470" s="28" t="str">
        <f>IFERROR(IF(C470="","",INDEX(마스터!$F$4:$F$20,MATCH(C470,마스터!$M$4:$M$20,0))),"")</f>
        <v/>
      </c>
      <c r="E470" s="27"/>
      <c r="F470" s="29"/>
      <c r="G470" s="25" t="str">
        <f>IFERROR(IF(C470="","",INDEX(마스터!$J$4:$J$20,MATCH(C470,마스터!$M$4:$M$20,0))),"")</f>
        <v/>
      </c>
      <c r="H470" s="30"/>
      <c r="I470" s="30"/>
    </row>
    <row r="471" spans="1:9" ht="15" customHeight="1" x14ac:dyDescent="0.25">
      <c r="A471" s="25" t="str">
        <f t="shared" si="7"/>
        <v/>
      </c>
      <c r="B471" s="26"/>
      <c r="C471" s="27"/>
      <c r="D471" s="28" t="str">
        <f>IFERROR(IF(C471="","",INDEX(마스터!$F$4:$F$20,MATCH(C471,마스터!$M$4:$M$20,0))),"")</f>
        <v/>
      </c>
      <c r="E471" s="27"/>
      <c r="F471" s="29"/>
      <c r="G471" s="25" t="str">
        <f>IFERROR(IF(C471="","",INDEX(마스터!$J$4:$J$20,MATCH(C471,마스터!$M$4:$M$20,0))),"")</f>
        <v/>
      </c>
      <c r="H471" s="30"/>
      <c r="I471" s="30"/>
    </row>
    <row r="472" spans="1:9" ht="15" customHeight="1" x14ac:dyDescent="0.25">
      <c r="A472" s="25" t="str">
        <f t="shared" si="7"/>
        <v/>
      </c>
      <c r="B472" s="26"/>
      <c r="C472" s="27"/>
      <c r="D472" s="28" t="str">
        <f>IFERROR(IF(C472="","",INDEX(마스터!$F$4:$F$20,MATCH(C472,마스터!$M$4:$M$20,0))),"")</f>
        <v/>
      </c>
      <c r="E472" s="27"/>
      <c r="F472" s="29"/>
      <c r="G472" s="25" t="str">
        <f>IFERROR(IF(C472="","",INDEX(마스터!$J$4:$J$20,MATCH(C472,마스터!$M$4:$M$20,0))),"")</f>
        <v/>
      </c>
      <c r="H472" s="30"/>
      <c r="I472" s="30"/>
    </row>
    <row r="473" spans="1:9" ht="15" customHeight="1" x14ac:dyDescent="0.25">
      <c r="A473" s="25" t="str">
        <f t="shared" si="7"/>
        <v/>
      </c>
      <c r="B473" s="26"/>
      <c r="C473" s="27"/>
      <c r="D473" s="28" t="str">
        <f>IFERROR(IF(C473="","",INDEX(마스터!$F$4:$F$20,MATCH(C473,마스터!$M$4:$M$20,0))),"")</f>
        <v/>
      </c>
      <c r="E473" s="27"/>
      <c r="F473" s="29"/>
      <c r="G473" s="25" t="str">
        <f>IFERROR(IF(C473="","",INDEX(마스터!$J$4:$J$20,MATCH(C473,마스터!$M$4:$M$20,0))),"")</f>
        <v/>
      </c>
      <c r="H473" s="30"/>
      <c r="I473" s="30"/>
    </row>
    <row r="474" spans="1:9" ht="15" customHeight="1" x14ac:dyDescent="0.25">
      <c r="A474" s="25" t="str">
        <f t="shared" si="7"/>
        <v/>
      </c>
      <c r="B474" s="26"/>
      <c r="C474" s="27"/>
      <c r="D474" s="28" t="str">
        <f>IFERROR(IF(C474="","",INDEX(마스터!$F$4:$F$20,MATCH(C474,마스터!$M$4:$M$20,0))),"")</f>
        <v/>
      </c>
      <c r="E474" s="27"/>
      <c r="F474" s="29"/>
      <c r="G474" s="25" t="str">
        <f>IFERROR(IF(C474="","",INDEX(마스터!$J$4:$J$20,MATCH(C474,마스터!$M$4:$M$20,0))),"")</f>
        <v/>
      </c>
      <c r="H474" s="30"/>
      <c r="I474" s="30"/>
    </row>
    <row r="475" spans="1:9" ht="15" customHeight="1" x14ac:dyDescent="0.25">
      <c r="A475" s="25" t="str">
        <f t="shared" si="7"/>
        <v/>
      </c>
      <c r="B475" s="26"/>
      <c r="C475" s="27"/>
      <c r="D475" s="28" t="str">
        <f>IFERROR(IF(C475="","",INDEX(마스터!$F$4:$F$20,MATCH(C475,마스터!$M$4:$M$20,0))),"")</f>
        <v/>
      </c>
      <c r="E475" s="27"/>
      <c r="F475" s="29"/>
      <c r="G475" s="25" t="str">
        <f>IFERROR(IF(C475="","",INDEX(마스터!$J$4:$J$20,MATCH(C475,마스터!$M$4:$M$20,0))),"")</f>
        <v/>
      </c>
      <c r="H475" s="30"/>
      <c r="I475" s="30"/>
    </row>
    <row r="476" spans="1:9" ht="15" customHeight="1" x14ac:dyDescent="0.25">
      <c r="A476" s="25" t="str">
        <f t="shared" si="7"/>
        <v/>
      </c>
      <c r="B476" s="26"/>
      <c r="C476" s="27"/>
      <c r="D476" s="28" t="str">
        <f>IFERROR(IF(C476="","",INDEX(마스터!$F$4:$F$20,MATCH(C476,마스터!$M$4:$M$20,0))),"")</f>
        <v/>
      </c>
      <c r="E476" s="27"/>
      <c r="F476" s="29"/>
      <c r="G476" s="25" t="str">
        <f>IFERROR(IF(C476="","",INDEX(마스터!$J$4:$J$20,MATCH(C476,마스터!$M$4:$M$20,0))),"")</f>
        <v/>
      </c>
      <c r="H476" s="30"/>
      <c r="I476" s="30"/>
    </row>
    <row r="477" spans="1:9" ht="15" customHeight="1" x14ac:dyDescent="0.25">
      <c r="A477" s="25" t="str">
        <f t="shared" si="7"/>
        <v/>
      </c>
      <c r="B477" s="26"/>
      <c r="C477" s="27"/>
      <c r="D477" s="28" t="str">
        <f>IFERROR(IF(C477="","",INDEX(마스터!$F$4:$F$20,MATCH(C477,마스터!$M$4:$M$20,0))),"")</f>
        <v/>
      </c>
      <c r="E477" s="27"/>
      <c r="F477" s="29"/>
      <c r="G477" s="25" t="str">
        <f>IFERROR(IF(C477="","",INDEX(마스터!$J$4:$J$20,MATCH(C477,마스터!$M$4:$M$20,0))),"")</f>
        <v/>
      </c>
      <c r="H477" s="30"/>
      <c r="I477" s="30"/>
    </row>
    <row r="478" spans="1:9" ht="15" customHeight="1" x14ac:dyDescent="0.25">
      <c r="A478" s="25" t="str">
        <f t="shared" si="7"/>
        <v/>
      </c>
      <c r="B478" s="26"/>
      <c r="C478" s="27"/>
      <c r="D478" s="28" t="str">
        <f>IFERROR(IF(C478="","",INDEX(마스터!$F$4:$F$20,MATCH(C478,마스터!$M$4:$M$20,0))),"")</f>
        <v/>
      </c>
      <c r="E478" s="27"/>
      <c r="F478" s="29"/>
      <c r="G478" s="25" t="str">
        <f>IFERROR(IF(C478="","",INDEX(마스터!$J$4:$J$20,MATCH(C478,마스터!$M$4:$M$20,0))),"")</f>
        <v/>
      </c>
      <c r="H478" s="30"/>
      <c r="I478" s="30"/>
    </row>
    <row r="479" spans="1:9" ht="15" customHeight="1" x14ac:dyDescent="0.25">
      <c r="A479" s="25" t="str">
        <f t="shared" si="7"/>
        <v/>
      </c>
      <c r="B479" s="26"/>
      <c r="C479" s="27"/>
      <c r="D479" s="28" t="str">
        <f>IFERROR(IF(C479="","",INDEX(마스터!$F$4:$F$20,MATCH(C479,마스터!$M$4:$M$20,0))),"")</f>
        <v/>
      </c>
      <c r="E479" s="27"/>
      <c r="F479" s="29"/>
      <c r="G479" s="25" t="str">
        <f>IFERROR(IF(C479="","",INDEX(마스터!$J$4:$J$20,MATCH(C479,마스터!$M$4:$M$20,0))),"")</f>
        <v/>
      </c>
      <c r="H479" s="30"/>
      <c r="I479" s="30"/>
    </row>
    <row r="480" spans="1:9" ht="15" customHeight="1" x14ac:dyDescent="0.25">
      <c r="A480" s="25" t="str">
        <f t="shared" si="7"/>
        <v/>
      </c>
      <c r="B480" s="26"/>
      <c r="C480" s="27"/>
      <c r="D480" s="28" t="str">
        <f>IFERROR(IF(C480="","",INDEX(마스터!$F$4:$F$20,MATCH(C480,마스터!$M$4:$M$20,0))),"")</f>
        <v/>
      </c>
      <c r="E480" s="27"/>
      <c r="F480" s="29"/>
      <c r="G480" s="25" t="str">
        <f>IFERROR(IF(C480="","",INDEX(마스터!$J$4:$J$20,MATCH(C480,마스터!$M$4:$M$20,0))),"")</f>
        <v/>
      </c>
      <c r="H480" s="30"/>
      <c r="I480" s="30"/>
    </row>
    <row r="481" spans="1:9" ht="15" customHeight="1" x14ac:dyDescent="0.25">
      <c r="A481" s="25" t="str">
        <f t="shared" si="7"/>
        <v/>
      </c>
      <c r="B481" s="26"/>
      <c r="C481" s="27"/>
      <c r="D481" s="28" t="str">
        <f>IFERROR(IF(C481="","",INDEX(마스터!$F$4:$F$20,MATCH(C481,마스터!$M$4:$M$20,0))),"")</f>
        <v/>
      </c>
      <c r="E481" s="27"/>
      <c r="F481" s="29"/>
      <c r="G481" s="25" t="str">
        <f>IFERROR(IF(C481="","",INDEX(마스터!$J$4:$J$20,MATCH(C481,마스터!$M$4:$M$20,0))),"")</f>
        <v/>
      </c>
      <c r="H481" s="30"/>
      <c r="I481" s="30"/>
    </row>
    <row r="482" spans="1:9" ht="15" customHeight="1" x14ac:dyDescent="0.25">
      <c r="A482" s="25" t="str">
        <f t="shared" si="7"/>
        <v/>
      </c>
      <c r="B482" s="26"/>
      <c r="C482" s="27"/>
      <c r="D482" s="28" t="str">
        <f>IFERROR(IF(C482="","",INDEX(마스터!$F$4:$F$20,MATCH(C482,마스터!$M$4:$M$20,0))),"")</f>
        <v/>
      </c>
      <c r="E482" s="27"/>
      <c r="F482" s="29"/>
      <c r="G482" s="25" t="str">
        <f>IFERROR(IF(C482="","",INDEX(마스터!$J$4:$J$20,MATCH(C482,마스터!$M$4:$M$20,0))),"")</f>
        <v/>
      </c>
      <c r="H482" s="30"/>
      <c r="I482" s="30"/>
    </row>
    <row r="483" spans="1:9" ht="15" customHeight="1" x14ac:dyDescent="0.25">
      <c r="A483" s="25" t="str">
        <f t="shared" si="7"/>
        <v/>
      </c>
      <c r="B483" s="26"/>
      <c r="C483" s="27"/>
      <c r="D483" s="28" t="str">
        <f>IFERROR(IF(C483="","",INDEX(마스터!$F$4:$F$20,MATCH(C483,마스터!$M$4:$M$20,0))),"")</f>
        <v/>
      </c>
      <c r="E483" s="27"/>
      <c r="F483" s="29"/>
      <c r="G483" s="25" t="str">
        <f>IFERROR(IF(C483="","",INDEX(마스터!$J$4:$J$20,MATCH(C483,마스터!$M$4:$M$20,0))),"")</f>
        <v/>
      </c>
      <c r="H483" s="30"/>
      <c r="I483" s="30"/>
    </row>
    <row r="484" spans="1:9" ht="15" customHeight="1" x14ac:dyDescent="0.25">
      <c r="A484" s="25" t="str">
        <f t="shared" si="7"/>
        <v/>
      </c>
      <c r="B484" s="26"/>
      <c r="C484" s="27"/>
      <c r="D484" s="28" t="str">
        <f>IFERROR(IF(C484="","",INDEX(마스터!$F$4:$F$20,MATCH(C484,마스터!$M$4:$M$20,0))),"")</f>
        <v/>
      </c>
      <c r="E484" s="27"/>
      <c r="F484" s="29"/>
      <c r="G484" s="25" t="str">
        <f>IFERROR(IF(C484="","",INDEX(마스터!$J$4:$J$20,MATCH(C484,마스터!$M$4:$M$20,0))),"")</f>
        <v/>
      </c>
      <c r="H484" s="30"/>
      <c r="I484" s="30"/>
    </row>
    <row r="485" spans="1:9" ht="15" customHeight="1" x14ac:dyDescent="0.25">
      <c r="A485" s="25" t="str">
        <f t="shared" si="7"/>
        <v/>
      </c>
      <c r="B485" s="26"/>
      <c r="C485" s="27"/>
      <c r="D485" s="28" t="str">
        <f>IFERROR(IF(C485="","",INDEX(마스터!$F$4:$F$20,MATCH(C485,마스터!$M$4:$M$20,0))),"")</f>
        <v/>
      </c>
      <c r="E485" s="27"/>
      <c r="F485" s="29"/>
      <c r="G485" s="25" t="str">
        <f>IFERROR(IF(C485="","",INDEX(마스터!$J$4:$J$20,MATCH(C485,마스터!$M$4:$M$20,0))),"")</f>
        <v/>
      </c>
      <c r="H485" s="30"/>
      <c r="I485" s="30"/>
    </row>
    <row r="486" spans="1:9" ht="15" customHeight="1" x14ac:dyDescent="0.25">
      <c r="A486" s="25" t="str">
        <f t="shared" si="7"/>
        <v/>
      </c>
      <c r="B486" s="26"/>
      <c r="C486" s="27"/>
      <c r="D486" s="28" t="str">
        <f>IFERROR(IF(C486="","",INDEX(마스터!$F$4:$F$20,MATCH(C486,마스터!$M$4:$M$20,0))),"")</f>
        <v/>
      </c>
      <c r="E486" s="27"/>
      <c r="F486" s="29"/>
      <c r="G486" s="25" t="str">
        <f>IFERROR(IF(C486="","",INDEX(마스터!$J$4:$J$20,MATCH(C486,마스터!$M$4:$M$20,0))),"")</f>
        <v/>
      </c>
      <c r="H486" s="30"/>
      <c r="I486" s="30"/>
    </row>
    <row r="487" spans="1:9" ht="15" customHeight="1" x14ac:dyDescent="0.25">
      <c r="A487" s="25" t="str">
        <f t="shared" si="7"/>
        <v/>
      </c>
      <c r="B487" s="26"/>
      <c r="C487" s="27"/>
      <c r="D487" s="28" t="str">
        <f>IFERROR(IF(C487="","",INDEX(마스터!$F$4:$F$20,MATCH(C487,마스터!$M$4:$M$20,0))),"")</f>
        <v/>
      </c>
      <c r="E487" s="27"/>
      <c r="F487" s="29"/>
      <c r="G487" s="25" t="str">
        <f>IFERROR(IF(C487="","",INDEX(마스터!$J$4:$J$20,MATCH(C487,마스터!$M$4:$M$20,0))),"")</f>
        <v/>
      </c>
      <c r="H487" s="30"/>
      <c r="I487" s="30"/>
    </row>
    <row r="488" spans="1:9" ht="15" customHeight="1" x14ac:dyDescent="0.25">
      <c r="A488" s="25" t="str">
        <f t="shared" si="7"/>
        <v/>
      </c>
      <c r="B488" s="26"/>
      <c r="C488" s="27"/>
      <c r="D488" s="28" t="str">
        <f>IFERROR(IF(C488="","",INDEX(마스터!$F$4:$F$20,MATCH(C488,마스터!$M$4:$M$20,0))),"")</f>
        <v/>
      </c>
      <c r="E488" s="27"/>
      <c r="F488" s="29"/>
      <c r="G488" s="25" t="str">
        <f>IFERROR(IF(C488="","",INDEX(마스터!$J$4:$J$20,MATCH(C488,마스터!$M$4:$M$20,0))),"")</f>
        <v/>
      </c>
      <c r="H488" s="30"/>
      <c r="I488" s="30"/>
    </row>
    <row r="489" spans="1:9" ht="15" customHeight="1" x14ac:dyDescent="0.25">
      <c r="A489" s="25" t="str">
        <f t="shared" si="7"/>
        <v/>
      </c>
      <c r="B489" s="26"/>
      <c r="C489" s="27"/>
      <c r="D489" s="28" t="str">
        <f>IFERROR(IF(C489="","",INDEX(마스터!$F$4:$F$20,MATCH(C489,마스터!$M$4:$M$20,0))),"")</f>
        <v/>
      </c>
      <c r="E489" s="27"/>
      <c r="F489" s="29"/>
      <c r="G489" s="25" t="str">
        <f>IFERROR(IF(C489="","",INDEX(마스터!$J$4:$J$20,MATCH(C489,마스터!$M$4:$M$20,0))),"")</f>
        <v/>
      </c>
      <c r="H489" s="30"/>
      <c r="I489" s="30"/>
    </row>
    <row r="490" spans="1:9" ht="15" customHeight="1" x14ac:dyDescent="0.25">
      <c r="A490" s="25" t="str">
        <f t="shared" si="7"/>
        <v/>
      </c>
      <c r="B490" s="26"/>
      <c r="C490" s="27"/>
      <c r="D490" s="28" t="str">
        <f>IFERROR(IF(C490="","",INDEX(마스터!$F$4:$F$20,MATCH(C490,마스터!$M$4:$M$20,0))),"")</f>
        <v/>
      </c>
      <c r="E490" s="27"/>
      <c r="F490" s="29"/>
      <c r="G490" s="25" t="str">
        <f>IFERROR(IF(C490="","",INDEX(마스터!$J$4:$J$20,MATCH(C490,마스터!$M$4:$M$20,0))),"")</f>
        <v/>
      </c>
      <c r="H490" s="30"/>
      <c r="I490" s="30"/>
    </row>
    <row r="491" spans="1:9" ht="15" customHeight="1" x14ac:dyDescent="0.25">
      <c r="A491" s="25" t="str">
        <f t="shared" si="7"/>
        <v/>
      </c>
      <c r="B491" s="26"/>
      <c r="C491" s="27"/>
      <c r="D491" s="28" t="str">
        <f>IFERROR(IF(C491="","",INDEX(마스터!$F$4:$F$20,MATCH(C491,마스터!$M$4:$M$20,0))),"")</f>
        <v/>
      </c>
      <c r="E491" s="27"/>
      <c r="F491" s="29"/>
      <c r="G491" s="25" t="str">
        <f>IFERROR(IF(C491="","",INDEX(마스터!$J$4:$J$20,MATCH(C491,마스터!$M$4:$M$20,0))),"")</f>
        <v/>
      </c>
      <c r="H491" s="30"/>
      <c r="I491" s="30"/>
    </row>
    <row r="492" spans="1:9" ht="15" customHeight="1" x14ac:dyDescent="0.25">
      <c r="A492" s="25" t="str">
        <f t="shared" si="7"/>
        <v/>
      </c>
      <c r="B492" s="26"/>
      <c r="C492" s="27"/>
      <c r="D492" s="28" t="str">
        <f>IFERROR(IF(C492="","",INDEX(마스터!$F$4:$F$20,MATCH(C492,마스터!$M$4:$M$20,0))),"")</f>
        <v/>
      </c>
      <c r="E492" s="27"/>
      <c r="F492" s="29"/>
      <c r="G492" s="25" t="str">
        <f>IFERROR(IF(C492="","",INDEX(마스터!$J$4:$J$20,MATCH(C492,마스터!$M$4:$M$20,0))),"")</f>
        <v/>
      </c>
      <c r="H492" s="30"/>
      <c r="I492" s="30"/>
    </row>
    <row r="493" spans="1:9" ht="15" customHeight="1" x14ac:dyDescent="0.25">
      <c r="A493" s="25" t="str">
        <f t="shared" si="7"/>
        <v/>
      </c>
      <c r="B493" s="26"/>
      <c r="C493" s="27"/>
      <c r="D493" s="28" t="str">
        <f>IFERROR(IF(C493="","",INDEX(마스터!$F$4:$F$20,MATCH(C493,마스터!$M$4:$M$20,0))),"")</f>
        <v/>
      </c>
      <c r="E493" s="27"/>
      <c r="F493" s="29"/>
      <c r="G493" s="25" t="str">
        <f>IFERROR(IF(C493="","",INDEX(마스터!$J$4:$J$20,MATCH(C493,마스터!$M$4:$M$20,0))),"")</f>
        <v/>
      </c>
      <c r="H493" s="30"/>
      <c r="I493" s="30"/>
    </row>
    <row r="494" spans="1:9" ht="15" customHeight="1" x14ac:dyDescent="0.25">
      <c r="A494" s="25" t="str">
        <f t="shared" si="7"/>
        <v/>
      </c>
      <c r="B494" s="26"/>
      <c r="C494" s="27"/>
      <c r="D494" s="28" t="str">
        <f>IFERROR(IF(C494="","",INDEX(마스터!$F$4:$F$20,MATCH(C494,마스터!$M$4:$M$20,0))),"")</f>
        <v/>
      </c>
      <c r="E494" s="27"/>
      <c r="F494" s="29"/>
      <c r="G494" s="25" t="str">
        <f>IFERROR(IF(C494="","",INDEX(마스터!$J$4:$J$20,MATCH(C494,마스터!$M$4:$M$20,0))),"")</f>
        <v/>
      </c>
      <c r="H494" s="30"/>
      <c r="I494" s="30"/>
    </row>
    <row r="495" spans="1:9" ht="15" customHeight="1" x14ac:dyDescent="0.25">
      <c r="A495" s="25" t="str">
        <f t="shared" si="7"/>
        <v/>
      </c>
      <c r="B495" s="26"/>
      <c r="C495" s="27"/>
      <c r="D495" s="28" t="str">
        <f>IFERROR(IF(C495="","",INDEX(마스터!$F$4:$F$20,MATCH(C495,마스터!$M$4:$M$20,0))),"")</f>
        <v/>
      </c>
      <c r="E495" s="27"/>
      <c r="F495" s="29"/>
      <c r="G495" s="25" t="str">
        <f>IFERROR(IF(C495="","",INDEX(마스터!$J$4:$J$20,MATCH(C495,마스터!$M$4:$M$20,0))),"")</f>
        <v/>
      </c>
      <c r="H495" s="30"/>
      <c r="I495" s="30"/>
    </row>
    <row r="496" spans="1:9" ht="15" customHeight="1" x14ac:dyDescent="0.25">
      <c r="A496" s="25" t="str">
        <f t="shared" si="7"/>
        <v/>
      </c>
      <c r="B496" s="26"/>
      <c r="C496" s="27"/>
      <c r="D496" s="28" t="str">
        <f>IFERROR(IF(C496="","",INDEX(마스터!$F$4:$F$20,MATCH(C496,마스터!$M$4:$M$20,0))),"")</f>
        <v/>
      </c>
      <c r="E496" s="27"/>
      <c r="F496" s="29"/>
      <c r="G496" s="25" t="str">
        <f>IFERROR(IF(C496="","",INDEX(마스터!$J$4:$J$20,MATCH(C496,마스터!$M$4:$M$20,0))),"")</f>
        <v/>
      </c>
      <c r="H496" s="30"/>
      <c r="I496" s="30"/>
    </row>
    <row r="497" spans="1:9" ht="15" customHeight="1" x14ac:dyDescent="0.25">
      <c r="A497" s="25" t="str">
        <f t="shared" si="7"/>
        <v/>
      </c>
      <c r="B497" s="26"/>
      <c r="C497" s="27"/>
      <c r="D497" s="28" t="str">
        <f>IFERROR(IF(C497="","",INDEX(마스터!$F$4:$F$20,MATCH(C497,마스터!$M$4:$M$20,0))),"")</f>
        <v/>
      </c>
      <c r="E497" s="27"/>
      <c r="F497" s="29"/>
      <c r="G497" s="25" t="str">
        <f>IFERROR(IF(C497="","",INDEX(마스터!$J$4:$J$20,MATCH(C497,마스터!$M$4:$M$20,0))),"")</f>
        <v/>
      </c>
      <c r="H497" s="30"/>
      <c r="I497" s="30"/>
    </row>
    <row r="498" spans="1:9" ht="15" customHeight="1" x14ac:dyDescent="0.25">
      <c r="A498" s="25" t="str">
        <f t="shared" si="7"/>
        <v/>
      </c>
      <c r="B498" s="26"/>
      <c r="C498" s="27"/>
      <c r="D498" s="28" t="str">
        <f>IFERROR(IF(C498="","",INDEX(마스터!$F$4:$F$20,MATCH(C498,마스터!$M$4:$M$20,0))),"")</f>
        <v/>
      </c>
      <c r="E498" s="27"/>
      <c r="F498" s="29"/>
      <c r="G498" s="25" t="str">
        <f>IFERROR(IF(C498="","",INDEX(마스터!$J$4:$J$20,MATCH(C498,마스터!$M$4:$M$20,0))),"")</f>
        <v/>
      </c>
      <c r="H498" s="30"/>
      <c r="I498" s="30"/>
    </row>
    <row r="499" spans="1:9" ht="15" customHeight="1" x14ac:dyDescent="0.25">
      <c r="A499" s="25" t="str">
        <f t="shared" si="7"/>
        <v/>
      </c>
      <c r="B499" s="26"/>
      <c r="C499" s="27"/>
      <c r="D499" s="28" t="str">
        <f>IFERROR(IF(C499="","",INDEX(마스터!$F$4:$F$20,MATCH(C499,마스터!$M$4:$M$20,0))),"")</f>
        <v/>
      </c>
      <c r="E499" s="27"/>
      <c r="F499" s="29"/>
      <c r="G499" s="25" t="str">
        <f>IFERROR(IF(C499="","",INDEX(마스터!$J$4:$J$20,MATCH(C499,마스터!$M$4:$M$20,0))),"")</f>
        <v/>
      </c>
      <c r="H499" s="30"/>
      <c r="I499" s="30"/>
    </row>
    <row r="500" spans="1:9" ht="15" customHeight="1" x14ac:dyDescent="0.25">
      <c r="A500" s="25" t="str">
        <f t="shared" si="7"/>
        <v/>
      </c>
      <c r="B500" s="26"/>
      <c r="C500" s="27"/>
      <c r="D500" s="28" t="str">
        <f>IFERROR(IF(C500="","",INDEX(마스터!$F$4:$F$20,MATCH(C500,마스터!$M$4:$M$20,0))),"")</f>
        <v/>
      </c>
      <c r="E500" s="27"/>
      <c r="F500" s="29"/>
      <c r="G500" s="25" t="str">
        <f>IFERROR(IF(C500="","",INDEX(마스터!$J$4:$J$20,MATCH(C500,마스터!$M$4:$M$20,0))),"")</f>
        <v/>
      </c>
      <c r="H500" s="30"/>
      <c r="I500" s="30"/>
    </row>
    <row r="501" spans="1:9" ht="15" customHeight="1" x14ac:dyDescent="0.25">
      <c r="A501" s="25" t="str">
        <f t="shared" si="7"/>
        <v/>
      </c>
      <c r="B501" s="26"/>
      <c r="C501" s="27"/>
      <c r="D501" s="28" t="str">
        <f>IFERROR(IF(C501="","",INDEX(마스터!$F$4:$F$20,MATCH(C501,마스터!$M$4:$M$20,0))),"")</f>
        <v/>
      </c>
      <c r="E501" s="27"/>
      <c r="F501" s="29"/>
      <c r="G501" s="25" t="str">
        <f>IFERROR(IF(C501="","",INDEX(마스터!$J$4:$J$20,MATCH(C501,마스터!$M$4:$M$20,0))),"")</f>
        <v/>
      </c>
      <c r="H501" s="30"/>
      <c r="I501" s="30"/>
    </row>
    <row r="502" spans="1:9" ht="15" customHeight="1" x14ac:dyDescent="0.25">
      <c r="A502" s="25" t="str">
        <f t="shared" si="7"/>
        <v/>
      </c>
      <c r="B502" s="26"/>
      <c r="C502" s="27"/>
      <c r="D502" s="28" t="str">
        <f>IFERROR(IF(C502="","",INDEX(마스터!$F$4:$F$20,MATCH(C502,마스터!$M$4:$M$20,0))),"")</f>
        <v/>
      </c>
      <c r="E502" s="27"/>
      <c r="F502" s="29"/>
      <c r="G502" s="25" t="str">
        <f>IFERROR(IF(C502="","",INDEX(마스터!$J$4:$J$20,MATCH(C502,마스터!$M$4:$M$20,0))),"")</f>
        <v/>
      </c>
      <c r="H502" s="30"/>
      <c r="I502" s="30"/>
    </row>
    <row r="503" spans="1:9" ht="15" customHeight="1" x14ac:dyDescent="0.25">
      <c r="A503" s="25" t="str">
        <f t="shared" si="7"/>
        <v/>
      </c>
      <c r="B503" s="26"/>
      <c r="C503" s="27"/>
      <c r="D503" s="28" t="str">
        <f>IFERROR(IF(C503="","",INDEX(마스터!$F$4:$F$20,MATCH(C503,마스터!$M$4:$M$20,0))),"")</f>
        <v/>
      </c>
      <c r="E503" s="27"/>
      <c r="F503" s="29"/>
      <c r="G503" s="25" t="str">
        <f>IFERROR(IF(C503="","",INDEX(마스터!$J$4:$J$20,MATCH(C503,마스터!$M$4:$M$20,0))),"")</f>
        <v/>
      </c>
      <c r="H503" s="30"/>
      <c r="I503" s="30"/>
    </row>
    <row r="504" spans="1:9" ht="15" customHeight="1" x14ac:dyDescent="0.25">
      <c r="A504" s="25" t="str">
        <f t="shared" si="7"/>
        <v/>
      </c>
      <c r="B504" s="26"/>
      <c r="C504" s="27"/>
      <c r="D504" s="28" t="str">
        <f>IFERROR(IF(C504="","",INDEX(마스터!$F$4:$F$20,MATCH(C504,마스터!$M$4:$M$20,0))),"")</f>
        <v/>
      </c>
      <c r="E504" s="27"/>
      <c r="F504" s="29"/>
      <c r="G504" s="25" t="str">
        <f>IFERROR(IF(C504="","",INDEX(마스터!$J$4:$J$20,MATCH(C504,마스터!$M$4:$M$20,0))),"")</f>
        <v/>
      </c>
      <c r="H504" s="30"/>
      <c r="I504" s="30"/>
    </row>
    <row r="505" spans="1:9" ht="15" customHeight="1" x14ac:dyDescent="0.25">
      <c r="A505" s="25" t="str">
        <f t="shared" si="7"/>
        <v/>
      </c>
      <c r="B505" s="26"/>
      <c r="C505" s="27"/>
      <c r="D505" s="28" t="str">
        <f>IFERROR(IF(C505="","",INDEX(마스터!$F$4:$F$20,MATCH(C505,마스터!$M$4:$M$20,0))),"")</f>
        <v/>
      </c>
      <c r="E505" s="27"/>
      <c r="F505" s="29"/>
      <c r="G505" s="25" t="str">
        <f>IFERROR(IF(C505="","",INDEX(마스터!$J$4:$J$20,MATCH(C505,마스터!$M$4:$M$20,0))),"")</f>
        <v/>
      </c>
      <c r="H505" s="30"/>
      <c r="I505" s="30"/>
    </row>
    <row r="506" spans="1:9" ht="15" customHeight="1" x14ac:dyDescent="0.25">
      <c r="A506" s="25" t="str">
        <f t="shared" si="7"/>
        <v/>
      </c>
      <c r="B506" s="26"/>
      <c r="C506" s="27"/>
      <c r="D506" s="28" t="str">
        <f>IFERROR(IF(C506="","",INDEX(마스터!$F$4:$F$20,MATCH(C506,마스터!$M$4:$M$20,0))),"")</f>
        <v/>
      </c>
      <c r="E506" s="27"/>
      <c r="F506" s="29"/>
      <c r="G506" s="25" t="str">
        <f>IFERROR(IF(C506="","",INDEX(마스터!$J$4:$J$20,MATCH(C506,마스터!$M$4:$M$20,0))),"")</f>
        <v/>
      </c>
      <c r="H506" s="30"/>
      <c r="I506" s="30"/>
    </row>
    <row r="507" spans="1:9" ht="15" customHeight="1" x14ac:dyDescent="0.25">
      <c r="A507" s="25" t="str">
        <f t="shared" si="7"/>
        <v/>
      </c>
      <c r="B507" s="26"/>
      <c r="C507" s="27"/>
      <c r="D507" s="28" t="str">
        <f>IFERROR(IF(C507="","",INDEX(마스터!$F$4:$F$20,MATCH(C507,마스터!$M$4:$M$20,0))),"")</f>
        <v/>
      </c>
      <c r="E507" s="27"/>
      <c r="F507" s="29"/>
      <c r="G507" s="25" t="str">
        <f>IFERROR(IF(C507="","",INDEX(마스터!$J$4:$J$20,MATCH(C507,마스터!$M$4:$M$20,0))),"")</f>
        <v/>
      </c>
      <c r="H507" s="30"/>
      <c r="I507" s="30"/>
    </row>
    <row r="508" spans="1:9" ht="15" customHeight="1" x14ac:dyDescent="0.25">
      <c r="A508" s="25" t="str">
        <f t="shared" si="7"/>
        <v/>
      </c>
      <c r="B508" s="26"/>
      <c r="C508" s="27"/>
      <c r="D508" s="28" t="str">
        <f>IFERROR(IF(C508="","",INDEX(마스터!$F$4:$F$20,MATCH(C508,마스터!$M$4:$M$20,0))),"")</f>
        <v/>
      </c>
      <c r="E508" s="27"/>
      <c r="F508" s="29"/>
      <c r="G508" s="25" t="str">
        <f>IFERROR(IF(C508="","",INDEX(마스터!$J$4:$J$20,MATCH(C508,마스터!$M$4:$M$20,0))),"")</f>
        <v/>
      </c>
      <c r="H508" s="30"/>
      <c r="I508" s="30"/>
    </row>
    <row r="509" spans="1:9" ht="15" customHeight="1" x14ac:dyDescent="0.25">
      <c r="A509" s="25" t="str">
        <f t="shared" si="7"/>
        <v/>
      </c>
      <c r="B509" s="26"/>
      <c r="C509" s="27"/>
      <c r="D509" s="28" t="str">
        <f>IFERROR(IF(C509="","",INDEX(마스터!$F$4:$F$20,MATCH(C509,마스터!$M$4:$M$20,0))),"")</f>
        <v/>
      </c>
      <c r="E509" s="27"/>
      <c r="F509" s="29"/>
      <c r="G509" s="25" t="str">
        <f>IFERROR(IF(C509="","",INDEX(마스터!$J$4:$J$20,MATCH(C509,마스터!$M$4:$M$20,0))),"")</f>
        <v/>
      </c>
      <c r="H509" s="30"/>
      <c r="I509" s="30"/>
    </row>
    <row r="510" spans="1:9" ht="15" customHeight="1" x14ac:dyDescent="0.25">
      <c r="A510" s="25" t="str">
        <f t="shared" si="7"/>
        <v/>
      </c>
      <c r="B510" s="26"/>
      <c r="C510" s="27"/>
      <c r="D510" s="28" t="str">
        <f>IFERROR(IF(C510="","",INDEX(마스터!$F$4:$F$20,MATCH(C510,마스터!$M$4:$M$20,0))),"")</f>
        <v/>
      </c>
      <c r="E510" s="27"/>
      <c r="F510" s="29"/>
      <c r="G510" s="25" t="str">
        <f>IFERROR(IF(C510="","",INDEX(마스터!$J$4:$J$20,MATCH(C510,마스터!$M$4:$M$20,0))),"")</f>
        <v/>
      </c>
      <c r="H510" s="30"/>
      <c r="I510" s="30"/>
    </row>
    <row r="511" spans="1:9" ht="15" customHeight="1" x14ac:dyDescent="0.25">
      <c r="A511" s="25" t="str">
        <f t="shared" si="7"/>
        <v/>
      </c>
      <c r="B511" s="26"/>
      <c r="C511" s="27"/>
      <c r="D511" s="28" t="str">
        <f>IFERROR(IF(C511="","",INDEX(마스터!$F$4:$F$20,MATCH(C511,마스터!$M$4:$M$20,0))),"")</f>
        <v/>
      </c>
      <c r="E511" s="27"/>
      <c r="F511" s="29"/>
      <c r="G511" s="25" t="str">
        <f>IFERROR(IF(C511="","",INDEX(마스터!$J$4:$J$20,MATCH(C511,마스터!$M$4:$M$20,0))),"")</f>
        <v/>
      </c>
      <c r="H511" s="30"/>
      <c r="I511" s="30"/>
    </row>
    <row r="512" spans="1:9" ht="15" customHeight="1" x14ac:dyDescent="0.25">
      <c r="A512" s="25" t="str">
        <f t="shared" si="7"/>
        <v/>
      </c>
      <c r="B512" s="26"/>
      <c r="C512" s="27"/>
      <c r="D512" s="28" t="str">
        <f>IFERROR(IF(C512="","",INDEX(마스터!$F$4:$F$20,MATCH(C512,마스터!$M$4:$M$20,0))),"")</f>
        <v/>
      </c>
      <c r="E512" s="27"/>
      <c r="F512" s="29"/>
      <c r="G512" s="25" t="str">
        <f>IFERROR(IF(C512="","",INDEX(마스터!$J$4:$J$20,MATCH(C512,마스터!$M$4:$M$20,0))),"")</f>
        <v/>
      </c>
      <c r="H512" s="30"/>
      <c r="I512" s="30"/>
    </row>
    <row r="513" spans="1:9" ht="15" customHeight="1" x14ac:dyDescent="0.25">
      <c r="A513" s="25" t="str">
        <f t="shared" si="7"/>
        <v/>
      </c>
      <c r="B513" s="26"/>
      <c r="C513" s="27"/>
      <c r="D513" s="28" t="str">
        <f>IFERROR(IF(C513="","",INDEX(마스터!$F$4:$F$20,MATCH(C513,마스터!$M$4:$M$20,0))),"")</f>
        <v/>
      </c>
      <c r="E513" s="27"/>
      <c r="F513" s="29"/>
      <c r="G513" s="25" t="str">
        <f>IFERROR(IF(C513="","",INDEX(마스터!$J$4:$J$20,MATCH(C513,마스터!$M$4:$M$20,0))),"")</f>
        <v/>
      </c>
      <c r="H513" s="30"/>
      <c r="I513" s="30"/>
    </row>
    <row r="514" spans="1:9" ht="15" customHeight="1" x14ac:dyDescent="0.25">
      <c r="A514" s="25" t="str">
        <f t="shared" si="7"/>
        <v/>
      </c>
      <c r="B514" s="26"/>
      <c r="C514" s="27"/>
      <c r="D514" s="28" t="str">
        <f>IFERROR(IF(C514="","",INDEX(마스터!$F$4:$F$20,MATCH(C514,마스터!$M$4:$M$20,0))),"")</f>
        <v/>
      </c>
      <c r="E514" s="27"/>
      <c r="F514" s="29"/>
      <c r="G514" s="25" t="str">
        <f>IFERROR(IF(C514="","",INDEX(마스터!$J$4:$J$20,MATCH(C514,마스터!$M$4:$M$20,0))),"")</f>
        <v/>
      </c>
      <c r="H514" s="30"/>
      <c r="I514" s="30"/>
    </row>
    <row r="515" spans="1:9" ht="15" customHeight="1" x14ac:dyDescent="0.25">
      <c r="A515" s="25" t="str">
        <f t="shared" si="7"/>
        <v/>
      </c>
      <c r="B515" s="26"/>
      <c r="C515" s="27"/>
      <c r="D515" s="28" t="str">
        <f>IFERROR(IF(C515="","",INDEX(마스터!$F$4:$F$20,MATCH(C515,마스터!$M$4:$M$20,0))),"")</f>
        <v/>
      </c>
      <c r="E515" s="27"/>
      <c r="F515" s="29"/>
      <c r="G515" s="25" t="str">
        <f>IFERROR(IF(C515="","",INDEX(마스터!$J$4:$J$20,MATCH(C515,마스터!$M$4:$M$20,0))),"")</f>
        <v/>
      </c>
      <c r="H515" s="30"/>
      <c r="I515" s="30"/>
    </row>
    <row r="516" spans="1:9" ht="15" customHeight="1" x14ac:dyDescent="0.25">
      <c r="A516" s="25" t="str">
        <f t="shared" si="7"/>
        <v/>
      </c>
      <c r="B516" s="26"/>
      <c r="C516" s="27"/>
      <c r="D516" s="28" t="str">
        <f>IFERROR(IF(C516="","",INDEX(마스터!$F$4:$F$20,MATCH(C516,마스터!$M$4:$M$20,0))),"")</f>
        <v/>
      </c>
      <c r="E516" s="27"/>
      <c r="F516" s="29"/>
      <c r="G516" s="25" t="str">
        <f>IFERROR(IF(C516="","",INDEX(마스터!$J$4:$J$20,MATCH(C516,마스터!$M$4:$M$20,0))),"")</f>
        <v/>
      </c>
      <c r="H516" s="30"/>
      <c r="I516" s="30"/>
    </row>
    <row r="517" spans="1:9" ht="15" customHeight="1" x14ac:dyDescent="0.25">
      <c r="A517" s="25" t="str">
        <f t="shared" si="7"/>
        <v/>
      </c>
      <c r="B517" s="26"/>
      <c r="C517" s="27"/>
      <c r="D517" s="28" t="str">
        <f>IFERROR(IF(C517="","",INDEX(마스터!$F$4:$F$20,MATCH(C517,마스터!$M$4:$M$20,0))),"")</f>
        <v/>
      </c>
      <c r="E517" s="27"/>
      <c r="F517" s="29"/>
      <c r="G517" s="25" t="str">
        <f>IFERROR(IF(C517="","",INDEX(마스터!$J$4:$J$20,MATCH(C517,마스터!$M$4:$M$20,0))),"")</f>
        <v/>
      </c>
      <c r="H517" s="30"/>
      <c r="I517" s="30"/>
    </row>
    <row r="518" spans="1:9" ht="15" customHeight="1" x14ac:dyDescent="0.25">
      <c r="A518" s="25" t="str">
        <f t="shared" si="7"/>
        <v/>
      </c>
      <c r="B518" s="26"/>
      <c r="C518" s="27"/>
      <c r="D518" s="28" t="str">
        <f>IFERROR(IF(C518="","",INDEX(마스터!$F$4:$F$20,MATCH(C518,마스터!$M$4:$M$20,0))),"")</f>
        <v/>
      </c>
      <c r="E518" s="27"/>
      <c r="F518" s="29"/>
      <c r="G518" s="25" t="str">
        <f>IFERROR(IF(C518="","",INDEX(마스터!$J$4:$J$20,MATCH(C518,마스터!$M$4:$M$20,0))),"")</f>
        <v/>
      </c>
      <c r="H518" s="30"/>
      <c r="I518" s="30"/>
    </row>
    <row r="519" spans="1:9" ht="15" customHeight="1" x14ac:dyDescent="0.25">
      <c r="A519" s="25" t="str">
        <f t="shared" si="7"/>
        <v/>
      </c>
      <c r="B519" s="26"/>
      <c r="C519" s="27"/>
      <c r="D519" s="28" t="str">
        <f>IFERROR(IF(C519="","",INDEX(마스터!$F$4:$F$20,MATCH(C519,마스터!$M$4:$M$20,0))),"")</f>
        <v/>
      </c>
      <c r="E519" s="27"/>
      <c r="F519" s="29"/>
      <c r="G519" s="25" t="str">
        <f>IFERROR(IF(C519="","",INDEX(마스터!$J$4:$J$20,MATCH(C519,마스터!$M$4:$M$20,0))),"")</f>
        <v/>
      </c>
      <c r="H519" s="30"/>
      <c r="I519" s="30"/>
    </row>
    <row r="520" spans="1:9" ht="15" customHeight="1" x14ac:dyDescent="0.25">
      <c r="A520" s="25" t="str">
        <f t="shared" ref="A520:A583" si="8">IF(B520="","",ROW()-7)</f>
        <v/>
      </c>
      <c r="B520" s="26"/>
      <c r="C520" s="27"/>
      <c r="D520" s="28" t="str">
        <f>IFERROR(IF(C520="","",INDEX(마스터!$F$4:$F$20,MATCH(C520,마스터!$M$4:$M$20,0))),"")</f>
        <v/>
      </c>
      <c r="E520" s="27"/>
      <c r="F520" s="29"/>
      <c r="G520" s="25" t="str">
        <f>IFERROR(IF(C520="","",INDEX(마스터!$J$4:$J$20,MATCH(C520,마스터!$M$4:$M$20,0))),"")</f>
        <v/>
      </c>
      <c r="H520" s="30"/>
      <c r="I520" s="30"/>
    </row>
    <row r="521" spans="1:9" ht="15" customHeight="1" x14ac:dyDescent="0.25">
      <c r="A521" s="25" t="str">
        <f t="shared" si="8"/>
        <v/>
      </c>
      <c r="B521" s="26"/>
      <c r="C521" s="27"/>
      <c r="D521" s="28" t="str">
        <f>IFERROR(IF(C521="","",INDEX(마스터!$F$4:$F$20,MATCH(C521,마스터!$M$4:$M$20,0))),"")</f>
        <v/>
      </c>
      <c r="E521" s="27"/>
      <c r="F521" s="29"/>
      <c r="G521" s="25" t="str">
        <f>IFERROR(IF(C521="","",INDEX(마스터!$J$4:$J$20,MATCH(C521,마스터!$M$4:$M$20,0))),"")</f>
        <v/>
      </c>
      <c r="H521" s="30"/>
      <c r="I521" s="30"/>
    </row>
    <row r="522" spans="1:9" ht="15" customHeight="1" x14ac:dyDescent="0.25">
      <c r="A522" s="25" t="str">
        <f t="shared" si="8"/>
        <v/>
      </c>
      <c r="B522" s="26"/>
      <c r="C522" s="27"/>
      <c r="D522" s="28" t="str">
        <f>IFERROR(IF(C522="","",INDEX(마스터!$F$4:$F$20,MATCH(C522,마스터!$M$4:$M$20,0))),"")</f>
        <v/>
      </c>
      <c r="E522" s="27"/>
      <c r="F522" s="29"/>
      <c r="G522" s="25" t="str">
        <f>IFERROR(IF(C522="","",INDEX(마스터!$J$4:$J$20,MATCH(C522,마스터!$M$4:$M$20,0))),"")</f>
        <v/>
      </c>
      <c r="H522" s="30"/>
      <c r="I522" s="30"/>
    </row>
    <row r="523" spans="1:9" ht="15" customHeight="1" x14ac:dyDescent="0.25">
      <c r="A523" s="25" t="str">
        <f t="shared" si="8"/>
        <v/>
      </c>
      <c r="B523" s="26"/>
      <c r="C523" s="27"/>
      <c r="D523" s="28" t="str">
        <f>IFERROR(IF(C523="","",INDEX(마스터!$F$4:$F$20,MATCH(C523,마스터!$M$4:$M$20,0))),"")</f>
        <v/>
      </c>
      <c r="E523" s="27"/>
      <c r="F523" s="29"/>
      <c r="G523" s="25" t="str">
        <f>IFERROR(IF(C523="","",INDEX(마스터!$J$4:$J$20,MATCH(C523,마스터!$M$4:$M$20,0))),"")</f>
        <v/>
      </c>
      <c r="H523" s="30"/>
      <c r="I523" s="30"/>
    </row>
    <row r="524" spans="1:9" ht="15" customHeight="1" x14ac:dyDescent="0.25">
      <c r="A524" s="25" t="str">
        <f t="shared" si="8"/>
        <v/>
      </c>
      <c r="B524" s="26"/>
      <c r="C524" s="27"/>
      <c r="D524" s="28" t="str">
        <f>IFERROR(IF(C524="","",INDEX(마스터!$F$4:$F$20,MATCH(C524,마스터!$M$4:$M$20,0))),"")</f>
        <v/>
      </c>
      <c r="E524" s="27"/>
      <c r="F524" s="29"/>
      <c r="G524" s="25" t="str">
        <f>IFERROR(IF(C524="","",INDEX(마스터!$J$4:$J$20,MATCH(C524,마스터!$M$4:$M$20,0))),"")</f>
        <v/>
      </c>
      <c r="H524" s="30"/>
      <c r="I524" s="30"/>
    </row>
    <row r="525" spans="1:9" ht="15" customHeight="1" x14ac:dyDescent="0.25">
      <c r="A525" s="25" t="str">
        <f t="shared" si="8"/>
        <v/>
      </c>
      <c r="B525" s="26"/>
      <c r="C525" s="27"/>
      <c r="D525" s="28" t="str">
        <f>IFERROR(IF(C525="","",INDEX(마스터!$F$4:$F$20,MATCH(C525,마스터!$M$4:$M$20,0))),"")</f>
        <v/>
      </c>
      <c r="E525" s="27"/>
      <c r="F525" s="29"/>
      <c r="G525" s="25" t="str">
        <f>IFERROR(IF(C525="","",INDEX(마스터!$J$4:$J$20,MATCH(C525,마스터!$M$4:$M$20,0))),"")</f>
        <v/>
      </c>
      <c r="H525" s="30"/>
      <c r="I525" s="30"/>
    </row>
    <row r="526" spans="1:9" ht="15" customHeight="1" x14ac:dyDescent="0.25">
      <c r="A526" s="25" t="str">
        <f t="shared" si="8"/>
        <v/>
      </c>
      <c r="B526" s="26"/>
      <c r="C526" s="27"/>
      <c r="D526" s="28" t="str">
        <f>IFERROR(IF(C526="","",INDEX(마스터!$F$4:$F$20,MATCH(C526,마스터!$M$4:$M$20,0))),"")</f>
        <v/>
      </c>
      <c r="E526" s="27"/>
      <c r="F526" s="29"/>
      <c r="G526" s="25" t="str">
        <f>IFERROR(IF(C526="","",INDEX(마스터!$J$4:$J$20,MATCH(C526,마스터!$M$4:$M$20,0))),"")</f>
        <v/>
      </c>
      <c r="H526" s="30"/>
      <c r="I526" s="30"/>
    </row>
    <row r="527" spans="1:9" ht="15" customHeight="1" x14ac:dyDescent="0.25">
      <c r="A527" s="25" t="str">
        <f t="shared" si="8"/>
        <v/>
      </c>
      <c r="B527" s="26"/>
      <c r="C527" s="27"/>
      <c r="D527" s="28" t="str">
        <f>IFERROR(IF(C527="","",INDEX(마스터!$F$4:$F$20,MATCH(C527,마스터!$M$4:$M$20,0))),"")</f>
        <v/>
      </c>
      <c r="E527" s="27"/>
      <c r="F527" s="29"/>
      <c r="G527" s="25" t="str">
        <f>IFERROR(IF(C527="","",INDEX(마스터!$J$4:$J$20,MATCH(C527,마스터!$M$4:$M$20,0))),"")</f>
        <v/>
      </c>
      <c r="H527" s="30"/>
      <c r="I527" s="30"/>
    </row>
    <row r="528" spans="1:9" ht="15" customHeight="1" x14ac:dyDescent="0.25">
      <c r="A528" s="25" t="str">
        <f t="shared" si="8"/>
        <v/>
      </c>
      <c r="B528" s="26"/>
      <c r="C528" s="27"/>
      <c r="D528" s="28" t="str">
        <f>IFERROR(IF(C528="","",INDEX(마스터!$F$4:$F$20,MATCH(C528,마스터!$M$4:$M$20,0))),"")</f>
        <v/>
      </c>
      <c r="E528" s="27"/>
      <c r="F528" s="29"/>
      <c r="G528" s="25" t="str">
        <f>IFERROR(IF(C528="","",INDEX(마스터!$J$4:$J$20,MATCH(C528,마스터!$M$4:$M$20,0))),"")</f>
        <v/>
      </c>
      <c r="H528" s="30"/>
      <c r="I528" s="30"/>
    </row>
    <row r="529" spans="1:9" ht="15" customHeight="1" x14ac:dyDescent="0.25">
      <c r="A529" s="25" t="str">
        <f t="shared" si="8"/>
        <v/>
      </c>
      <c r="B529" s="26"/>
      <c r="C529" s="27"/>
      <c r="D529" s="28" t="str">
        <f>IFERROR(IF(C529="","",INDEX(마스터!$F$4:$F$20,MATCH(C529,마스터!$M$4:$M$20,0))),"")</f>
        <v/>
      </c>
      <c r="E529" s="27"/>
      <c r="F529" s="29"/>
      <c r="G529" s="25" t="str">
        <f>IFERROR(IF(C529="","",INDEX(마스터!$J$4:$J$20,MATCH(C529,마스터!$M$4:$M$20,0))),"")</f>
        <v/>
      </c>
      <c r="H529" s="30"/>
      <c r="I529" s="30"/>
    </row>
    <row r="530" spans="1:9" ht="15" customHeight="1" x14ac:dyDescent="0.25">
      <c r="A530" s="25" t="str">
        <f t="shared" si="8"/>
        <v/>
      </c>
      <c r="B530" s="26"/>
      <c r="C530" s="27"/>
      <c r="D530" s="28" t="str">
        <f>IFERROR(IF(C530="","",INDEX(마스터!$F$4:$F$20,MATCH(C530,마스터!$M$4:$M$20,0))),"")</f>
        <v/>
      </c>
      <c r="E530" s="27"/>
      <c r="F530" s="29"/>
      <c r="G530" s="25" t="str">
        <f>IFERROR(IF(C530="","",INDEX(마스터!$J$4:$J$20,MATCH(C530,마스터!$M$4:$M$20,0))),"")</f>
        <v/>
      </c>
      <c r="H530" s="30"/>
      <c r="I530" s="30"/>
    </row>
    <row r="531" spans="1:9" ht="15" customHeight="1" x14ac:dyDescent="0.25">
      <c r="A531" s="25" t="str">
        <f t="shared" si="8"/>
        <v/>
      </c>
      <c r="B531" s="26"/>
      <c r="C531" s="27"/>
      <c r="D531" s="28" t="str">
        <f>IFERROR(IF(C531="","",INDEX(마스터!$F$4:$F$20,MATCH(C531,마스터!$M$4:$M$20,0))),"")</f>
        <v/>
      </c>
      <c r="E531" s="27"/>
      <c r="F531" s="29"/>
      <c r="G531" s="25" t="str">
        <f>IFERROR(IF(C531="","",INDEX(마스터!$J$4:$J$20,MATCH(C531,마스터!$M$4:$M$20,0))),"")</f>
        <v/>
      </c>
      <c r="H531" s="30"/>
      <c r="I531" s="30"/>
    </row>
    <row r="532" spans="1:9" ht="15" customHeight="1" x14ac:dyDescent="0.25">
      <c r="A532" s="25" t="str">
        <f t="shared" si="8"/>
        <v/>
      </c>
      <c r="B532" s="26"/>
      <c r="C532" s="27"/>
      <c r="D532" s="28" t="str">
        <f>IFERROR(IF(C532="","",INDEX(마스터!$F$4:$F$20,MATCH(C532,마스터!$M$4:$M$20,0))),"")</f>
        <v/>
      </c>
      <c r="E532" s="27"/>
      <c r="F532" s="29"/>
      <c r="G532" s="25" t="str">
        <f>IFERROR(IF(C532="","",INDEX(마스터!$J$4:$J$20,MATCH(C532,마스터!$M$4:$M$20,0))),"")</f>
        <v/>
      </c>
      <c r="H532" s="30"/>
      <c r="I532" s="30"/>
    </row>
    <row r="533" spans="1:9" ht="15" customHeight="1" x14ac:dyDescent="0.25">
      <c r="A533" s="25" t="str">
        <f t="shared" si="8"/>
        <v/>
      </c>
      <c r="B533" s="26"/>
      <c r="C533" s="27"/>
      <c r="D533" s="28" t="str">
        <f>IFERROR(IF(C533="","",INDEX(마스터!$F$4:$F$20,MATCH(C533,마스터!$M$4:$M$20,0))),"")</f>
        <v/>
      </c>
      <c r="E533" s="27"/>
      <c r="F533" s="29"/>
      <c r="G533" s="25" t="str">
        <f>IFERROR(IF(C533="","",INDEX(마스터!$J$4:$J$20,MATCH(C533,마스터!$M$4:$M$20,0))),"")</f>
        <v/>
      </c>
      <c r="H533" s="30"/>
      <c r="I533" s="30"/>
    </row>
    <row r="534" spans="1:9" ht="15" customHeight="1" x14ac:dyDescent="0.25">
      <c r="A534" s="25" t="str">
        <f t="shared" si="8"/>
        <v/>
      </c>
      <c r="B534" s="26"/>
      <c r="C534" s="27"/>
      <c r="D534" s="28" t="str">
        <f>IFERROR(IF(C534="","",INDEX(마스터!$F$4:$F$20,MATCH(C534,마스터!$M$4:$M$20,0))),"")</f>
        <v/>
      </c>
      <c r="E534" s="27"/>
      <c r="F534" s="29"/>
      <c r="G534" s="25" t="str">
        <f>IFERROR(IF(C534="","",INDEX(마스터!$J$4:$J$20,MATCH(C534,마스터!$M$4:$M$20,0))),"")</f>
        <v/>
      </c>
      <c r="H534" s="30"/>
      <c r="I534" s="30"/>
    </row>
    <row r="535" spans="1:9" ht="15" customHeight="1" x14ac:dyDescent="0.25">
      <c r="A535" s="25" t="str">
        <f t="shared" si="8"/>
        <v/>
      </c>
      <c r="B535" s="26"/>
      <c r="C535" s="27"/>
      <c r="D535" s="28" t="str">
        <f>IFERROR(IF(C535="","",INDEX(마스터!$F$4:$F$20,MATCH(C535,마스터!$M$4:$M$20,0))),"")</f>
        <v/>
      </c>
      <c r="E535" s="27"/>
      <c r="F535" s="29"/>
      <c r="G535" s="25" t="str">
        <f>IFERROR(IF(C535="","",INDEX(마스터!$J$4:$J$20,MATCH(C535,마스터!$M$4:$M$20,0))),"")</f>
        <v/>
      </c>
      <c r="H535" s="30"/>
      <c r="I535" s="30"/>
    </row>
    <row r="536" spans="1:9" ht="15" customHeight="1" x14ac:dyDescent="0.25">
      <c r="A536" s="25" t="str">
        <f t="shared" si="8"/>
        <v/>
      </c>
      <c r="B536" s="26"/>
      <c r="C536" s="27"/>
      <c r="D536" s="28" t="str">
        <f>IFERROR(IF(C536="","",INDEX(마스터!$F$4:$F$20,MATCH(C536,마스터!$M$4:$M$20,0))),"")</f>
        <v/>
      </c>
      <c r="E536" s="27"/>
      <c r="F536" s="29"/>
      <c r="G536" s="25" t="str">
        <f>IFERROR(IF(C536="","",INDEX(마스터!$J$4:$J$20,MATCH(C536,마스터!$M$4:$M$20,0))),"")</f>
        <v/>
      </c>
      <c r="H536" s="30"/>
      <c r="I536" s="30"/>
    </row>
    <row r="537" spans="1:9" ht="15" customHeight="1" x14ac:dyDescent="0.25">
      <c r="A537" s="25" t="str">
        <f t="shared" si="8"/>
        <v/>
      </c>
      <c r="B537" s="26"/>
      <c r="C537" s="27"/>
      <c r="D537" s="28" t="str">
        <f>IFERROR(IF(C537="","",INDEX(마스터!$F$4:$F$20,MATCH(C537,마스터!$M$4:$M$20,0))),"")</f>
        <v/>
      </c>
      <c r="E537" s="27"/>
      <c r="F537" s="29"/>
      <c r="G537" s="25" t="str">
        <f>IFERROR(IF(C537="","",INDEX(마스터!$J$4:$J$20,MATCH(C537,마스터!$M$4:$M$20,0))),"")</f>
        <v/>
      </c>
      <c r="H537" s="30"/>
      <c r="I537" s="30"/>
    </row>
    <row r="538" spans="1:9" ht="15" customHeight="1" x14ac:dyDescent="0.25">
      <c r="A538" s="25" t="str">
        <f t="shared" si="8"/>
        <v/>
      </c>
      <c r="B538" s="26"/>
      <c r="C538" s="27"/>
      <c r="D538" s="28" t="str">
        <f>IFERROR(IF(C538="","",INDEX(마스터!$F$4:$F$20,MATCH(C538,마스터!$M$4:$M$20,0))),"")</f>
        <v/>
      </c>
      <c r="E538" s="27"/>
      <c r="F538" s="29"/>
      <c r="G538" s="25" t="str">
        <f>IFERROR(IF(C538="","",INDEX(마스터!$J$4:$J$20,MATCH(C538,마스터!$M$4:$M$20,0))),"")</f>
        <v/>
      </c>
      <c r="H538" s="30"/>
      <c r="I538" s="30"/>
    </row>
    <row r="539" spans="1:9" ht="15" customHeight="1" x14ac:dyDescent="0.25">
      <c r="A539" s="25" t="str">
        <f t="shared" si="8"/>
        <v/>
      </c>
      <c r="B539" s="26"/>
      <c r="C539" s="27"/>
      <c r="D539" s="28" t="str">
        <f>IFERROR(IF(C539="","",INDEX(마스터!$F$4:$F$20,MATCH(C539,마스터!$M$4:$M$20,0))),"")</f>
        <v/>
      </c>
      <c r="E539" s="27"/>
      <c r="F539" s="29"/>
      <c r="G539" s="25" t="str">
        <f>IFERROR(IF(C539="","",INDEX(마스터!$J$4:$J$20,MATCH(C539,마스터!$M$4:$M$20,0))),"")</f>
        <v/>
      </c>
      <c r="H539" s="30"/>
      <c r="I539" s="30"/>
    </row>
    <row r="540" spans="1:9" ht="15" customHeight="1" x14ac:dyDescent="0.25">
      <c r="A540" s="25" t="str">
        <f t="shared" si="8"/>
        <v/>
      </c>
      <c r="B540" s="26"/>
      <c r="C540" s="27"/>
      <c r="D540" s="28" t="str">
        <f>IFERROR(IF(C540="","",INDEX(마스터!$F$4:$F$20,MATCH(C540,마스터!$M$4:$M$20,0))),"")</f>
        <v/>
      </c>
      <c r="E540" s="27"/>
      <c r="F540" s="29"/>
      <c r="G540" s="25" t="str">
        <f>IFERROR(IF(C540="","",INDEX(마스터!$J$4:$J$20,MATCH(C540,마스터!$M$4:$M$20,0))),"")</f>
        <v/>
      </c>
      <c r="H540" s="30"/>
      <c r="I540" s="30"/>
    </row>
    <row r="541" spans="1:9" ht="15" customHeight="1" x14ac:dyDescent="0.25">
      <c r="A541" s="25" t="str">
        <f t="shared" si="8"/>
        <v/>
      </c>
      <c r="B541" s="26"/>
      <c r="C541" s="27"/>
      <c r="D541" s="28" t="str">
        <f>IFERROR(IF(C541="","",INDEX(마스터!$F$4:$F$20,MATCH(C541,마스터!$M$4:$M$20,0))),"")</f>
        <v/>
      </c>
      <c r="E541" s="27"/>
      <c r="F541" s="29"/>
      <c r="G541" s="25" t="str">
        <f>IFERROR(IF(C541="","",INDEX(마스터!$J$4:$J$20,MATCH(C541,마스터!$M$4:$M$20,0))),"")</f>
        <v/>
      </c>
      <c r="H541" s="30"/>
      <c r="I541" s="30"/>
    </row>
    <row r="542" spans="1:9" ht="15" customHeight="1" x14ac:dyDescent="0.25">
      <c r="A542" s="25" t="str">
        <f t="shared" si="8"/>
        <v/>
      </c>
      <c r="B542" s="26"/>
      <c r="C542" s="27"/>
      <c r="D542" s="28" t="str">
        <f>IFERROR(IF(C542="","",INDEX(마스터!$F$4:$F$20,MATCH(C542,마스터!$M$4:$M$20,0))),"")</f>
        <v/>
      </c>
      <c r="E542" s="27"/>
      <c r="F542" s="29"/>
      <c r="G542" s="25" t="str">
        <f>IFERROR(IF(C542="","",INDEX(마스터!$J$4:$J$20,MATCH(C542,마스터!$M$4:$M$20,0))),"")</f>
        <v/>
      </c>
      <c r="H542" s="30"/>
      <c r="I542" s="30"/>
    </row>
    <row r="543" spans="1:9" ht="15" customHeight="1" x14ac:dyDescent="0.25">
      <c r="A543" s="25" t="str">
        <f t="shared" si="8"/>
        <v/>
      </c>
      <c r="B543" s="26"/>
      <c r="C543" s="27"/>
      <c r="D543" s="28" t="str">
        <f>IFERROR(IF(C543="","",INDEX(마스터!$F$4:$F$20,MATCH(C543,마스터!$M$4:$M$20,0))),"")</f>
        <v/>
      </c>
      <c r="E543" s="27"/>
      <c r="F543" s="29"/>
      <c r="G543" s="25" t="str">
        <f>IFERROR(IF(C543="","",INDEX(마스터!$J$4:$J$20,MATCH(C543,마스터!$M$4:$M$20,0))),"")</f>
        <v/>
      </c>
      <c r="H543" s="30"/>
      <c r="I543" s="30"/>
    </row>
    <row r="544" spans="1:9" ht="15" customHeight="1" x14ac:dyDescent="0.25">
      <c r="A544" s="25" t="str">
        <f t="shared" si="8"/>
        <v/>
      </c>
      <c r="B544" s="26"/>
      <c r="C544" s="27"/>
      <c r="D544" s="28" t="str">
        <f>IFERROR(IF(C544="","",INDEX(마스터!$F$4:$F$20,MATCH(C544,마스터!$M$4:$M$20,0))),"")</f>
        <v/>
      </c>
      <c r="E544" s="27"/>
      <c r="F544" s="29"/>
      <c r="G544" s="25" t="str">
        <f>IFERROR(IF(C544="","",INDEX(마스터!$J$4:$J$20,MATCH(C544,마스터!$M$4:$M$20,0))),"")</f>
        <v/>
      </c>
      <c r="H544" s="30"/>
      <c r="I544" s="30"/>
    </row>
    <row r="545" spans="1:9" ht="15" customHeight="1" x14ac:dyDescent="0.25">
      <c r="A545" s="25" t="str">
        <f t="shared" si="8"/>
        <v/>
      </c>
      <c r="B545" s="26"/>
      <c r="C545" s="27"/>
      <c r="D545" s="28" t="str">
        <f>IFERROR(IF(C545="","",INDEX(마스터!$F$4:$F$20,MATCH(C545,마스터!$M$4:$M$20,0))),"")</f>
        <v/>
      </c>
      <c r="E545" s="27"/>
      <c r="F545" s="29"/>
      <c r="G545" s="25" t="str">
        <f>IFERROR(IF(C545="","",INDEX(마스터!$J$4:$J$20,MATCH(C545,마스터!$M$4:$M$20,0))),"")</f>
        <v/>
      </c>
      <c r="H545" s="30"/>
      <c r="I545" s="30"/>
    </row>
    <row r="546" spans="1:9" ht="15" customHeight="1" x14ac:dyDescent="0.25">
      <c r="A546" s="25" t="str">
        <f t="shared" si="8"/>
        <v/>
      </c>
      <c r="B546" s="26"/>
      <c r="C546" s="27"/>
      <c r="D546" s="28" t="str">
        <f>IFERROR(IF(C546="","",INDEX(마스터!$F$4:$F$20,MATCH(C546,마스터!$M$4:$M$20,0))),"")</f>
        <v/>
      </c>
      <c r="E546" s="27"/>
      <c r="F546" s="29"/>
      <c r="G546" s="25" t="str">
        <f>IFERROR(IF(C546="","",INDEX(마스터!$J$4:$J$20,MATCH(C546,마스터!$M$4:$M$20,0))),"")</f>
        <v/>
      </c>
      <c r="H546" s="30"/>
      <c r="I546" s="30"/>
    </row>
    <row r="547" spans="1:9" ht="15" customHeight="1" x14ac:dyDescent="0.25">
      <c r="A547" s="25" t="str">
        <f t="shared" si="8"/>
        <v/>
      </c>
      <c r="B547" s="26"/>
      <c r="C547" s="27"/>
      <c r="D547" s="28" t="str">
        <f>IFERROR(IF(C547="","",INDEX(마스터!$F$4:$F$20,MATCH(C547,마스터!$M$4:$M$20,0))),"")</f>
        <v/>
      </c>
      <c r="E547" s="27"/>
      <c r="F547" s="29"/>
      <c r="G547" s="25" t="str">
        <f>IFERROR(IF(C547="","",INDEX(마스터!$J$4:$J$20,MATCH(C547,마스터!$M$4:$M$20,0))),"")</f>
        <v/>
      </c>
      <c r="H547" s="30"/>
      <c r="I547" s="30"/>
    </row>
    <row r="548" spans="1:9" ht="15" customHeight="1" x14ac:dyDescent="0.25">
      <c r="A548" s="25" t="str">
        <f t="shared" si="8"/>
        <v/>
      </c>
      <c r="B548" s="26"/>
      <c r="C548" s="27"/>
      <c r="D548" s="28" t="str">
        <f>IFERROR(IF(C548="","",INDEX(마스터!$F$4:$F$20,MATCH(C548,마스터!$M$4:$M$20,0))),"")</f>
        <v/>
      </c>
      <c r="E548" s="27"/>
      <c r="F548" s="29"/>
      <c r="G548" s="25" t="str">
        <f>IFERROR(IF(C548="","",INDEX(마스터!$J$4:$J$20,MATCH(C548,마스터!$M$4:$M$20,0))),"")</f>
        <v/>
      </c>
      <c r="H548" s="30"/>
      <c r="I548" s="30"/>
    </row>
    <row r="549" spans="1:9" ht="15" customHeight="1" x14ac:dyDescent="0.25">
      <c r="A549" s="25" t="str">
        <f t="shared" si="8"/>
        <v/>
      </c>
      <c r="B549" s="26"/>
      <c r="C549" s="27"/>
      <c r="D549" s="28" t="str">
        <f>IFERROR(IF(C549="","",INDEX(마스터!$F$4:$F$20,MATCH(C549,마스터!$M$4:$M$20,0))),"")</f>
        <v/>
      </c>
      <c r="E549" s="27"/>
      <c r="F549" s="29"/>
      <c r="G549" s="25" t="str">
        <f>IFERROR(IF(C549="","",INDEX(마스터!$J$4:$J$20,MATCH(C549,마스터!$M$4:$M$20,0))),"")</f>
        <v/>
      </c>
      <c r="H549" s="30"/>
      <c r="I549" s="30"/>
    </row>
    <row r="550" spans="1:9" ht="15" customHeight="1" x14ac:dyDescent="0.25">
      <c r="A550" s="25" t="str">
        <f t="shared" si="8"/>
        <v/>
      </c>
      <c r="B550" s="26"/>
      <c r="C550" s="27"/>
      <c r="D550" s="28" t="str">
        <f>IFERROR(IF(C550="","",INDEX(마스터!$F$4:$F$20,MATCH(C550,마스터!$M$4:$M$20,0))),"")</f>
        <v/>
      </c>
      <c r="E550" s="27"/>
      <c r="F550" s="29"/>
      <c r="G550" s="25" t="str">
        <f>IFERROR(IF(C550="","",INDEX(마스터!$J$4:$J$20,MATCH(C550,마스터!$M$4:$M$20,0))),"")</f>
        <v/>
      </c>
      <c r="H550" s="30"/>
      <c r="I550" s="30"/>
    </row>
    <row r="551" spans="1:9" ht="15" customHeight="1" x14ac:dyDescent="0.25">
      <c r="A551" s="25" t="str">
        <f t="shared" si="8"/>
        <v/>
      </c>
      <c r="B551" s="26"/>
      <c r="C551" s="27"/>
      <c r="D551" s="28" t="str">
        <f>IFERROR(IF(C551="","",INDEX(마스터!$F$4:$F$20,MATCH(C551,마스터!$M$4:$M$20,0))),"")</f>
        <v/>
      </c>
      <c r="E551" s="27"/>
      <c r="F551" s="29"/>
      <c r="G551" s="25" t="str">
        <f>IFERROR(IF(C551="","",INDEX(마스터!$J$4:$J$20,MATCH(C551,마스터!$M$4:$M$20,0))),"")</f>
        <v/>
      </c>
      <c r="H551" s="30"/>
      <c r="I551" s="30"/>
    </row>
    <row r="552" spans="1:9" ht="15" customHeight="1" x14ac:dyDescent="0.25">
      <c r="A552" s="25" t="str">
        <f t="shared" si="8"/>
        <v/>
      </c>
      <c r="B552" s="26"/>
      <c r="C552" s="27"/>
      <c r="D552" s="28" t="str">
        <f>IFERROR(IF(C552="","",INDEX(마스터!$F$4:$F$20,MATCH(C552,마스터!$M$4:$M$20,0))),"")</f>
        <v/>
      </c>
      <c r="E552" s="27"/>
      <c r="F552" s="29"/>
      <c r="G552" s="25" t="str">
        <f>IFERROR(IF(C552="","",INDEX(마스터!$J$4:$J$20,MATCH(C552,마스터!$M$4:$M$20,0))),"")</f>
        <v/>
      </c>
      <c r="H552" s="30"/>
      <c r="I552" s="30"/>
    </row>
    <row r="553" spans="1:9" ht="15" customHeight="1" x14ac:dyDescent="0.25">
      <c r="A553" s="25" t="str">
        <f t="shared" si="8"/>
        <v/>
      </c>
      <c r="B553" s="26"/>
      <c r="C553" s="27"/>
      <c r="D553" s="28" t="str">
        <f>IFERROR(IF(C553="","",INDEX(마스터!$F$4:$F$20,MATCH(C553,마스터!$M$4:$M$20,0))),"")</f>
        <v/>
      </c>
      <c r="E553" s="27"/>
      <c r="F553" s="29"/>
      <c r="G553" s="25" t="str">
        <f>IFERROR(IF(C553="","",INDEX(마스터!$J$4:$J$20,MATCH(C553,마스터!$M$4:$M$20,0))),"")</f>
        <v/>
      </c>
      <c r="H553" s="30"/>
      <c r="I553" s="30"/>
    </row>
    <row r="554" spans="1:9" ht="15" customHeight="1" x14ac:dyDescent="0.25">
      <c r="A554" s="25" t="str">
        <f t="shared" si="8"/>
        <v/>
      </c>
      <c r="B554" s="26"/>
      <c r="C554" s="27"/>
      <c r="D554" s="28" t="str">
        <f>IFERROR(IF(C554="","",INDEX(마스터!$F$4:$F$20,MATCH(C554,마스터!$M$4:$M$20,0))),"")</f>
        <v/>
      </c>
      <c r="E554" s="27"/>
      <c r="F554" s="29"/>
      <c r="G554" s="25" t="str">
        <f>IFERROR(IF(C554="","",INDEX(마스터!$J$4:$J$20,MATCH(C554,마스터!$M$4:$M$20,0))),"")</f>
        <v/>
      </c>
      <c r="H554" s="30"/>
      <c r="I554" s="30"/>
    </row>
    <row r="555" spans="1:9" ht="15" customHeight="1" x14ac:dyDescent="0.25">
      <c r="A555" s="25" t="str">
        <f t="shared" si="8"/>
        <v/>
      </c>
      <c r="B555" s="26"/>
      <c r="C555" s="27"/>
      <c r="D555" s="28" t="str">
        <f>IFERROR(IF(C555="","",INDEX(마스터!$F$4:$F$20,MATCH(C555,마스터!$M$4:$M$20,0))),"")</f>
        <v/>
      </c>
      <c r="E555" s="27"/>
      <c r="F555" s="29"/>
      <c r="G555" s="25" t="str">
        <f>IFERROR(IF(C555="","",INDEX(마스터!$J$4:$J$20,MATCH(C555,마스터!$M$4:$M$20,0))),"")</f>
        <v/>
      </c>
      <c r="H555" s="30"/>
      <c r="I555" s="30"/>
    </row>
    <row r="556" spans="1:9" ht="15" customHeight="1" x14ac:dyDescent="0.25">
      <c r="A556" s="25" t="str">
        <f t="shared" si="8"/>
        <v/>
      </c>
      <c r="B556" s="26"/>
      <c r="C556" s="27"/>
      <c r="D556" s="28" t="str">
        <f>IFERROR(IF(C556="","",INDEX(마스터!$F$4:$F$20,MATCH(C556,마스터!$M$4:$M$20,0))),"")</f>
        <v/>
      </c>
      <c r="E556" s="27"/>
      <c r="F556" s="29"/>
      <c r="G556" s="25" t="str">
        <f>IFERROR(IF(C556="","",INDEX(마스터!$J$4:$J$20,MATCH(C556,마스터!$M$4:$M$20,0))),"")</f>
        <v/>
      </c>
      <c r="H556" s="30"/>
      <c r="I556" s="30"/>
    </row>
    <row r="557" spans="1:9" ht="15" customHeight="1" x14ac:dyDescent="0.25">
      <c r="A557" s="25" t="str">
        <f t="shared" si="8"/>
        <v/>
      </c>
      <c r="B557" s="26"/>
      <c r="C557" s="27"/>
      <c r="D557" s="28" t="str">
        <f>IFERROR(IF(C557="","",INDEX(마스터!$F$4:$F$20,MATCH(C557,마스터!$M$4:$M$20,0))),"")</f>
        <v/>
      </c>
      <c r="E557" s="27"/>
      <c r="F557" s="29"/>
      <c r="G557" s="25" t="str">
        <f>IFERROR(IF(C557="","",INDEX(마스터!$J$4:$J$20,MATCH(C557,마스터!$M$4:$M$20,0))),"")</f>
        <v/>
      </c>
      <c r="H557" s="30"/>
      <c r="I557" s="30"/>
    </row>
    <row r="558" spans="1:9" ht="15" customHeight="1" x14ac:dyDescent="0.25">
      <c r="A558" s="25" t="str">
        <f t="shared" si="8"/>
        <v/>
      </c>
      <c r="B558" s="26"/>
      <c r="C558" s="27"/>
      <c r="D558" s="28" t="str">
        <f>IFERROR(IF(C558="","",INDEX(마스터!$F$4:$F$20,MATCH(C558,마스터!$M$4:$M$20,0))),"")</f>
        <v/>
      </c>
      <c r="E558" s="27"/>
      <c r="F558" s="29"/>
      <c r="G558" s="25" t="str">
        <f>IFERROR(IF(C558="","",INDEX(마스터!$J$4:$J$20,MATCH(C558,마스터!$M$4:$M$20,0))),"")</f>
        <v/>
      </c>
      <c r="H558" s="30"/>
      <c r="I558" s="30"/>
    </row>
    <row r="559" spans="1:9" ht="15" customHeight="1" x14ac:dyDescent="0.25">
      <c r="A559" s="25" t="str">
        <f t="shared" si="8"/>
        <v/>
      </c>
      <c r="B559" s="26"/>
      <c r="C559" s="27"/>
      <c r="D559" s="28" t="str">
        <f>IFERROR(IF(C559="","",INDEX(마스터!$F$4:$F$20,MATCH(C559,마스터!$M$4:$M$20,0))),"")</f>
        <v/>
      </c>
      <c r="E559" s="27"/>
      <c r="F559" s="29"/>
      <c r="G559" s="25" t="str">
        <f>IFERROR(IF(C559="","",INDEX(마스터!$J$4:$J$20,MATCH(C559,마스터!$M$4:$M$20,0))),"")</f>
        <v/>
      </c>
      <c r="H559" s="30"/>
      <c r="I559" s="30"/>
    </row>
    <row r="560" spans="1:9" ht="15" customHeight="1" x14ac:dyDescent="0.25">
      <c r="A560" s="25" t="str">
        <f t="shared" si="8"/>
        <v/>
      </c>
      <c r="B560" s="26"/>
      <c r="C560" s="27"/>
      <c r="D560" s="28" t="str">
        <f>IFERROR(IF(C560="","",INDEX(마스터!$F$4:$F$20,MATCH(C560,마스터!$M$4:$M$20,0))),"")</f>
        <v/>
      </c>
      <c r="E560" s="27"/>
      <c r="F560" s="29"/>
      <c r="G560" s="25" t="str">
        <f>IFERROR(IF(C560="","",INDEX(마스터!$J$4:$J$20,MATCH(C560,마스터!$M$4:$M$20,0))),"")</f>
        <v/>
      </c>
      <c r="H560" s="30"/>
      <c r="I560" s="30"/>
    </row>
    <row r="561" spans="1:9" ht="15" customHeight="1" x14ac:dyDescent="0.25">
      <c r="A561" s="25" t="str">
        <f t="shared" si="8"/>
        <v/>
      </c>
      <c r="B561" s="26"/>
      <c r="C561" s="27"/>
      <c r="D561" s="28" t="str">
        <f>IFERROR(IF(C561="","",INDEX(마스터!$F$4:$F$20,MATCH(C561,마스터!$M$4:$M$20,0))),"")</f>
        <v/>
      </c>
      <c r="E561" s="27"/>
      <c r="F561" s="29"/>
      <c r="G561" s="25" t="str">
        <f>IFERROR(IF(C561="","",INDEX(마스터!$J$4:$J$20,MATCH(C561,마스터!$M$4:$M$20,0))),"")</f>
        <v/>
      </c>
      <c r="H561" s="30"/>
      <c r="I561" s="30"/>
    </row>
    <row r="562" spans="1:9" ht="15" customHeight="1" x14ac:dyDescent="0.25">
      <c r="A562" s="25" t="str">
        <f t="shared" si="8"/>
        <v/>
      </c>
      <c r="B562" s="26"/>
      <c r="C562" s="27"/>
      <c r="D562" s="28" t="str">
        <f>IFERROR(IF(C562="","",INDEX(마스터!$F$4:$F$20,MATCH(C562,마스터!$M$4:$M$20,0))),"")</f>
        <v/>
      </c>
      <c r="E562" s="27"/>
      <c r="F562" s="29"/>
      <c r="G562" s="25" t="str">
        <f>IFERROR(IF(C562="","",INDEX(마스터!$J$4:$J$20,MATCH(C562,마스터!$M$4:$M$20,0))),"")</f>
        <v/>
      </c>
      <c r="H562" s="30"/>
      <c r="I562" s="30"/>
    </row>
    <row r="563" spans="1:9" ht="15" customHeight="1" x14ac:dyDescent="0.25">
      <c r="A563" s="25" t="str">
        <f t="shared" si="8"/>
        <v/>
      </c>
      <c r="B563" s="26"/>
      <c r="C563" s="27"/>
      <c r="D563" s="28" t="str">
        <f>IFERROR(IF(C563="","",INDEX(마스터!$F$4:$F$20,MATCH(C563,마스터!$M$4:$M$20,0))),"")</f>
        <v/>
      </c>
      <c r="E563" s="27"/>
      <c r="F563" s="29"/>
      <c r="G563" s="25" t="str">
        <f>IFERROR(IF(C563="","",INDEX(마스터!$J$4:$J$20,MATCH(C563,마스터!$M$4:$M$20,0))),"")</f>
        <v/>
      </c>
      <c r="H563" s="30"/>
      <c r="I563" s="30"/>
    </row>
    <row r="564" spans="1:9" ht="15" customHeight="1" x14ac:dyDescent="0.25">
      <c r="A564" s="25" t="str">
        <f t="shared" si="8"/>
        <v/>
      </c>
      <c r="B564" s="26"/>
      <c r="C564" s="27"/>
      <c r="D564" s="28" t="str">
        <f>IFERROR(IF(C564="","",INDEX(마스터!$F$4:$F$20,MATCH(C564,마스터!$M$4:$M$20,0))),"")</f>
        <v/>
      </c>
      <c r="E564" s="27"/>
      <c r="F564" s="29"/>
      <c r="G564" s="25" t="str">
        <f>IFERROR(IF(C564="","",INDEX(마스터!$J$4:$J$20,MATCH(C564,마스터!$M$4:$M$20,0))),"")</f>
        <v/>
      </c>
      <c r="H564" s="30"/>
      <c r="I564" s="30"/>
    </row>
    <row r="565" spans="1:9" ht="15" customHeight="1" x14ac:dyDescent="0.25">
      <c r="A565" s="25" t="str">
        <f t="shared" si="8"/>
        <v/>
      </c>
      <c r="B565" s="26"/>
      <c r="C565" s="27"/>
      <c r="D565" s="28" t="str">
        <f>IFERROR(IF(C565="","",INDEX(마스터!$F$4:$F$20,MATCH(C565,마스터!$M$4:$M$20,0))),"")</f>
        <v/>
      </c>
      <c r="E565" s="27"/>
      <c r="F565" s="29"/>
      <c r="G565" s="25" t="str">
        <f>IFERROR(IF(C565="","",INDEX(마스터!$J$4:$J$20,MATCH(C565,마스터!$M$4:$M$20,0))),"")</f>
        <v/>
      </c>
      <c r="H565" s="30"/>
      <c r="I565" s="30"/>
    </row>
    <row r="566" spans="1:9" ht="15" customHeight="1" x14ac:dyDescent="0.25">
      <c r="A566" s="25" t="str">
        <f t="shared" si="8"/>
        <v/>
      </c>
      <c r="B566" s="26"/>
      <c r="C566" s="27"/>
      <c r="D566" s="28" t="str">
        <f>IFERROR(IF(C566="","",INDEX(마스터!$F$4:$F$20,MATCH(C566,마스터!$M$4:$M$20,0))),"")</f>
        <v/>
      </c>
      <c r="E566" s="27"/>
      <c r="F566" s="29"/>
      <c r="G566" s="25" t="str">
        <f>IFERROR(IF(C566="","",INDEX(마스터!$J$4:$J$20,MATCH(C566,마스터!$M$4:$M$20,0))),"")</f>
        <v/>
      </c>
      <c r="H566" s="30"/>
      <c r="I566" s="30"/>
    </row>
    <row r="567" spans="1:9" ht="15" customHeight="1" x14ac:dyDescent="0.25">
      <c r="A567" s="25" t="str">
        <f t="shared" si="8"/>
        <v/>
      </c>
      <c r="B567" s="26"/>
      <c r="C567" s="27"/>
      <c r="D567" s="28" t="str">
        <f>IFERROR(IF(C567="","",INDEX(마스터!$F$4:$F$20,MATCH(C567,마스터!$M$4:$M$20,0))),"")</f>
        <v/>
      </c>
      <c r="E567" s="27"/>
      <c r="F567" s="29"/>
      <c r="G567" s="25" t="str">
        <f>IFERROR(IF(C567="","",INDEX(마스터!$J$4:$J$20,MATCH(C567,마스터!$M$4:$M$20,0))),"")</f>
        <v/>
      </c>
      <c r="H567" s="30"/>
      <c r="I567" s="30"/>
    </row>
    <row r="568" spans="1:9" ht="15" customHeight="1" x14ac:dyDescent="0.25">
      <c r="A568" s="25" t="str">
        <f t="shared" si="8"/>
        <v/>
      </c>
      <c r="B568" s="26"/>
      <c r="C568" s="27"/>
      <c r="D568" s="28" t="str">
        <f>IFERROR(IF(C568="","",INDEX(마스터!$F$4:$F$20,MATCH(C568,마스터!$M$4:$M$20,0))),"")</f>
        <v/>
      </c>
      <c r="E568" s="27"/>
      <c r="F568" s="29"/>
      <c r="G568" s="25" t="str">
        <f>IFERROR(IF(C568="","",INDEX(마스터!$J$4:$J$20,MATCH(C568,마스터!$M$4:$M$20,0))),"")</f>
        <v/>
      </c>
      <c r="H568" s="30"/>
      <c r="I568" s="30"/>
    </row>
    <row r="569" spans="1:9" ht="15" customHeight="1" x14ac:dyDescent="0.25">
      <c r="A569" s="25" t="str">
        <f t="shared" si="8"/>
        <v/>
      </c>
      <c r="B569" s="26"/>
      <c r="C569" s="27"/>
      <c r="D569" s="28" t="str">
        <f>IFERROR(IF(C569="","",INDEX(마스터!$F$4:$F$20,MATCH(C569,마스터!$M$4:$M$20,0))),"")</f>
        <v/>
      </c>
      <c r="E569" s="27"/>
      <c r="F569" s="29"/>
      <c r="G569" s="25" t="str">
        <f>IFERROR(IF(C569="","",INDEX(마스터!$J$4:$J$20,MATCH(C569,마스터!$M$4:$M$20,0))),"")</f>
        <v/>
      </c>
      <c r="H569" s="30"/>
      <c r="I569" s="30"/>
    </row>
    <row r="570" spans="1:9" ht="15" customHeight="1" x14ac:dyDescent="0.25">
      <c r="A570" s="25" t="str">
        <f t="shared" si="8"/>
        <v/>
      </c>
      <c r="B570" s="26"/>
      <c r="C570" s="27"/>
      <c r="D570" s="28" t="str">
        <f>IFERROR(IF(C570="","",INDEX(마스터!$F$4:$F$20,MATCH(C570,마스터!$M$4:$M$20,0))),"")</f>
        <v/>
      </c>
      <c r="E570" s="27"/>
      <c r="F570" s="29"/>
      <c r="G570" s="25" t="str">
        <f>IFERROR(IF(C570="","",INDEX(마스터!$J$4:$J$20,MATCH(C570,마스터!$M$4:$M$20,0))),"")</f>
        <v/>
      </c>
      <c r="H570" s="30"/>
      <c r="I570" s="30"/>
    </row>
    <row r="571" spans="1:9" ht="15" customHeight="1" x14ac:dyDescent="0.25">
      <c r="A571" s="25" t="str">
        <f t="shared" si="8"/>
        <v/>
      </c>
      <c r="B571" s="26"/>
      <c r="C571" s="27"/>
      <c r="D571" s="28" t="str">
        <f>IFERROR(IF(C571="","",INDEX(마스터!$F$4:$F$20,MATCH(C571,마스터!$M$4:$M$20,0))),"")</f>
        <v/>
      </c>
      <c r="E571" s="27"/>
      <c r="F571" s="29"/>
      <c r="G571" s="25" t="str">
        <f>IFERROR(IF(C571="","",INDEX(마스터!$J$4:$J$20,MATCH(C571,마스터!$M$4:$M$20,0))),"")</f>
        <v/>
      </c>
      <c r="H571" s="30"/>
      <c r="I571" s="30"/>
    </row>
    <row r="572" spans="1:9" ht="15" customHeight="1" x14ac:dyDescent="0.25">
      <c r="A572" s="25" t="str">
        <f t="shared" si="8"/>
        <v/>
      </c>
      <c r="B572" s="26"/>
      <c r="C572" s="27"/>
      <c r="D572" s="28" t="str">
        <f>IFERROR(IF(C572="","",INDEX(마스터!$F$4:$F$20,MATCH(C572,마스터!$M$4:$M$20,0))),"")</f>
        <v/>
      </c>
      <c r="E572" s="27"/>
      <c r="F572" s="29"/>
      <c r="G572" s="25" t="str">
        <f>IFERROR(IF(C572="","",INDEX(마스터!$J$4:$J$20,MATCH(C572,마스터!$M$4:$M$20,0))),"")</f>
        <v/>
      </c>
      <c r="H572" s="30"/>
      <c r="I572" s="30"/>
    </row>
    <row r="573" spans="1:9" ht="15" customHeight="1" x14ac:dyDescent="0.25">
      <c r="A573" s="25" t="str">
        <f t="shared" si="8"/>
        <v/>
      </c>
      <c r="B573" s="26"/>
      <c r="C573" s="27"/>
      <c r="D573" s="28" t="str">
        <f>IFERROR(IF(C573="","",INDEX(마스터!$F$4:$F$20,MATCH(C573,마스터!$M$4:$M$20,0))),"")</f>
        <v/>
      </c>
      <c r="E573" s="27"/>
      <c r="F573" s="29"/>
      <c r="G573" s="25" t="str">
        <f>IFERROR(IF(C573="","",INDEX(마스터!$J$4:$J$20,MATCH(C573,마스터!$M$4:$M$20,0))),"")</f>
        <v/>
      </c>
      <c r="H573" s="30"/>
      <c r="I573" s="30"/>
    </row>
    <row r="574" spans="1:9" ht="15" customHeight="1" x14ac:dyDescent="0.25">
      <c r="A574" s="25" t="str">
        <f t="shared" si="8"/>
        <v/>
      </c>
      <c r="B574" s="26"/>
      <c r="C574" s="27"/>
      <c r="D574" s="28" t="str">
        <f>IFERROR(IF(C574="","",INDEX(마스터!$F$4:$F$20,MATCH(C574,마스터!$M$4:$M$20,0))),"")</f>
        <v/>
      </c>
      <c r="E574" s="27"/>
      <c r="F574" s="29"/>
      <c r="G574" s="25" t="str">
        <f>IFERROR(IF(C574="","",INDEX(마스터!$J$4:$J$20,MATCH(C574,마스터!$M$4:$M$20,0))),"")</f>
        <v/>
      </c>
      <c r="H574" s="30"/>
      <c r="I574" s="30"/>
    </row>
    <row r="575" spans="1:9" ht="15" customHeight="1" x14ac:dyDescent="0.25">
      <c r="A575" s="25" t="str">
        <f t="shared" si="8"/>
        <v/>
      </c>
      <c r="B575" s="26"/>
      <c r="C575" s="27"/>
      <c r="D575" s="28" t="str">
        <f>IFERROR(IF(C575="","",INDEX(마스터!$F$4:$F$20,MATCH(C575,마스터!$M$4:$M$20,0))),"")</f>
        <v/>
      </c>
      <c r="E575" s="27"/>
      <c r="F575" s="29"/>
      <c r="G575" s="25" t="str">
        <f>IFERROR(IF(C575="","",INDEX(마스터!$J$4:$J$20,MATCH(C575,마스터!$M$4:$M$20,0))),"")</f>
        <v/>
      </c>
      <c r="H575" s="30"/>
      <c r="I575" s="30"/>
    </row>
    <row r="576" spans="1:9" ht="15" customHeight="1" x14ac:dyDescent="0.25">
      <c r="A576" s="25" t="str">
        <f t="shared" si="8"/>
        <v/>
      </c>
      <c r="B576" s="26"/>
      <c r="C576" s="27"/>
      <c r="D576" s="28" t="str">
        <f>IFERROR(IF(C576="","",INDEX(마스터!$F$4:$F$20,MATCH(C576,마스터!$M$4:$M$20,0))),"")</f>
        <v/>
      </c>
      <c r="E576" s="27"/>
      <c r="F576" s="29"/>
      <c r="G576" s="25" t="str">
        <f>IFERROR(IF(C576="","",INDEX(마스터!$J$4:$J$20,MATCH(C576,마스터!$M$4:$M$20,0))),"")</f>
        <v/>
      </c>
      <c r="H576" s="30"/>
      <c r="I576" s="30"/>
    </row>
    <row r="577" spans="1:9" ht="15" customHeight="1" x14ac:dyDescent="0.25">
      <c r="A577" s="25" t="str">
        <f t="shared" si="8"/>
        <v/>
      </c>
      <c r="B577" s="26"/>
      <c r="C577" s="27"/>
      <c r="D577" s="28" t="str">
        <f>IFERROR(IF(C577="","",INDEX(마스터!$F$4:$F$20,MATCH(C577,마스터!$M$4:$M$20,0))),"")</f>
        <v/>
      </c>
      <c r="E577" s="27"/>
      <c r="F577" s="29"/>
      <c r="G577" s="25" t="str">
        <f>IFERROR(IF(C577="","",INDEX(마스터!$J$4:$J$20,MATCH(C577,마스터!$M$4:$M$20,0))),"")</f>
        <v/>
      </c>
      <c r="H577" s="30"/>
      <c r="I577" s="30"/>
    </row>
    <row r="578" spans="1:9" ht="15" customHeight="1" x14ac:dyDescent="0.25">
      <c r="A578" s="25" t="str">
        <f t="shared" si="8"/>
        <v/>
      </c>
      <c r="B578" s="26"/>
      <c r="C578" s="27"/>
      <c r="D578" s="28" t="str">
        <f>IFERROR(IF(C578="","",INDEX(마스터!$F$4:$F$20,MATCH(C578,마스터!$M$4:$M$20,0))),"")</f>
        <v/>
      </c>
      <c r="E578" s="27"/>
      <c r="F578" s="29"/>
      <c r="G578" s="25" t="str">
        <f>IFERROR(IF(C578="","",INDEX(마스터!$J$4:$J$20,MATCH(C578,마스터!$M$4:$M$20,0))),"")</f>
        <v/>
      </c>
      <c r="H578" s="30"/>
      <c r="I578" s="30"/>
    </row>
    <row r="579" spans="1:9" ht="15" customHeight="1" x14ac:dyDescent="0.25">
      <c r="A579" s="25" t="str">
        <f t="shared" si="8"/>
        <v/>
      </c>
      <c r="B579" s="26"/>
      <c r="C579" s="27"/>
      <c r="D579" s="28" t="str">
        <f>IFERROR(IF(C579="","",INDEX(마스터!$F$4:$F$20,MATCH(C579,마스터!$M$4:$M$20,0))),"")</f>
        <v/>
      </c>
      <c r="E579" s="27"/>
      <c r="F579" s="29"/>
      <c r="G579" s="25" t="str">
        <f>IFERROR(IF(C579="","",INDEX(마스터!$J$4:$J$20,MATCH(C579,마스터!$M$4:$M$20,0))),"")</f>
        <v/>
      </c>
      <c r="H579" s="30"/>
      <c r="I579" s="30"/>
    </row>
    <row r="580" spans="1:9" ht="15" customHeight="1" x14ac:dyDescent="0.25">
      <c r="A580" s="25" t="str">
        <f t="shared" si="8"/>
        <v/>
      </c>
      <c r="B580" s="26"/>
      <c r="C580" s="27"/>
      <c r="D580" s="28" t="str">
        <f>IFERROR(IF(C580="","",INDEX(마스터!$F$4:$F$20,MATCH(C580,마스터!$M$4:$M$20,0))),"")</f>
        <v/>
      </c>
      <c r="E580" s="27"/>
      <c r="F580" s="29"/>
      <c r="G580" s="25" t="str">
        <f>IFERROR(IF(C580="","",INDEX(마스터!$J$4:$J$20,MATCH(C580,마스터!$M$4:$M$20,0))),"")</f>
        <v/>
      </c>
      <c r="H580" s="30"/>
      <c r="I580" s="30"/>
    </row>
    <row r="581" spans="1:9" ht="15" customHeight="1" x14ac:dyDescent="0.25">
      <c r="A581" s="25" t="str">
        <f t="shared" si="8"/>
        <v/>
      </c>
      <c r="B581" s="26"/>
      <c r="C581" s="27"/>
      <c r="D581" s="28" t="str">
        <f>IFERROR(IF(C581="","",INDEX(마스터!$F$4:$F$20,MATCH(C581,마스터!$M$4:$M$20,0))),"")</f>
        <v/>
      </c>
      <c r="E581" s="27"/>
      <c r="F581" s="29"/>
      <c r="G581" s="25" t="str">
        <f>IFERROR(IF(C581="","",INDEX(마스터!$J$4:$J$20,MATCH(C581,마스터!$M$4:$M$20,0))),"")</f>
        <v/>
      </c>
      <c r="H581" s="30"/>
      <c r="I581" s="30"/>
    </row>
    <row r="582" spans="1:9" ht="15" customHeight="1" x14ac:dyDescent="0.25">
      <c r="A582" s="25" t="str">
        <f t="shared" si="8"/>
        <v/>
      </c>
      <c r="B582" s="26"/>
      <c r="C582" s="27"/>
      <c r="D582" s="28" t="str">
        <f>IFERROR(IF(C582="","",INDEX(마스터!$F$4:$F$20,MATCH(C582,마스터!$M$4:$M$20,0))),"")</f>
        <v/>
      </c>
      <c r="E582" s="27"/>
      <c r="F582" s="29"/>
      <c r="G582" s="25" t="str">
        <f>IFERROR(IF(C582="","",INDEX(마스터!$J$4:$J$20,MATCH(C582,마스터!$M$4:$M$20,0))),"")</f>
        <v/>
      </c>
      <c r="H582" s="30"/>
      <c r="I582" s="30"/>
    </row>
    <row r="583" spans="1:9" ht="15" customHeight="1" x14ac:dyDescent="0.25">
      <c r="A583" s="25" t="str">
        <f t="shared" si="8"/>
        <v/>
      </c>
      <c r="B583" s="26"/>
      <c r="C583" s="27"/>
      <c r="D583" s="28" t="str">
        <f>IFERROR(IF(C583="","",INDEX(마스터!$F$4:$F$20,MATCH(C583,마스터!$M$4:$M$20,0))),"")</f>
        <v/>
      </c>
      <c r="E583" s="27"/>
      <c r="F583" s="29"/>
      <c r="G583" s="25" t="str">
        <f>IFERROR(IF(C583="","",INDEX(마스터!$J$4:$J$20,MATCH(C583,마스터!$M$4:$M$20,0))),"")</f>
        <v/>
      </c>
      <c r="H583" s="30"/>
      <c r="I583" s="30"/>
    </row>
    <row r="584" spans="1:9" ht="15" customHeight="1" x14ac:dyDescent="0.25">
      <c r="A584" s="25" t="str">
        <f t="shared" ref="A584:A647" si="9">IF(B584="","",ROW()-7)</f>
        <v/>
      </c>
      <c r="B584" s="26"/>
      <c r="C584" s="27"/>
      <c r="D584" s="28" t="str">
        <f>IFERROR(IF(C584="","",INDEX(마스터!$F$4:$F$20,MATCH(C584,마스터!$M$4:$M$20,0))),"")</f>
        <v/>
      </c>
      <c r="E584" s="27"/>
      <c r="F584" s="29"/>
      <c r="G584" s="25" t="str">
        <f>IFERROR(IF(C584="","",INDEX(마스터!$J$4:$J$20,MATCH(C584,마스터!$M$4:$M$20,0))),"")</f>
        <v/>
      </c>
      <c r="H584" s="30"/>
      <c r="I584" s="30"/>
    </row>
    <row r="585" spans="1:9" ht="15" customHeight="1" x14ac:dyDescent="0.25">
      <c r="A585" s="25" t="str">
        <f t="shared" si="9"/>
        <v/>
      </c>
      <c r="B585" s="26"/>
      <c r="C585" s="27"/>
      <c r="D585" s="28" t="str">
        <f>IFERROR(IF(C585="","",INDEX(마스터!$F$4:$F$20,MATCH(C585,마스터!$M$4:$M$20,0))),"")</f>
        <v/>
      </c>
      <c r="E585" s="27"/>
      <c r="F585" s="29"/>
      <c r="G585" s="25" t="str">
        <f>IFERROR(IF(C585="","",INDEX(마스터!$J$4:$J$20,MATCH(C585,마스터!$M$4:$M$20,0))),"")</f>
        <v/>
      </c>
      <c r="H585" s="30"/>
      <c r="I585" s="30"/>
    </row>
    <row r="586" spans="1:9" ht="15" customHeight="1" x14ac:dyDescent="0.25">
      <c r="A586" s="25" t="str">
        <f t="shared" si="9"/>
        <v/>
      </c>
      <c r="B586" s="26"/>
      <c r="C586" s="27"/>
      <c r="D586" s="28" t="str">
        <f>IFERROR(IF(C586="","",INDEX(마스터!$F$4:$F$20,MATCH(C586,마스터!$M$4:$M$20,0))),"")</f>
        <v/>
      </c>
      <c r="E586" s="27"/>
      <c r="F586" s="29"/>
      <c r="G586" s="25" t="str">
        <f>IFERROR(IF(C586="","",INDEX(마스터!$J$4:$J$20,MATCH(C586,마스터!$M$4:$M$20,0))),"")</f>
        <v/>
      </c>
      <c r="H586" s="30"/>
      <c r="I586" s="30"/>
    </row>
    <row r="587" spans="1:9" ht="15" customHeight="1" x14ac:dyDescent="0.25">
      <c r="A587" s="25" t="str">
        <f t="shared" si="9"/>
        <v/>
      </c>
      <c r="B587" s="26"/>
      <c r="C587" s="27"/>
      <c r="D587" s="28" t="str">
        <f>IFERROR(IF(C587="","",INDEX(마스터!$F$4:$F$20,MATCH(C587,마스터!$M$4:$M$20,0))),"")</f>
        <v/>
      </c>
      <c r="E587" s="27"/>
      <c r="F587" s="29"/>
      <c r="G587" s="25" t="str">
        <f>IFERROR(IF(C587="","",INDEX(마스터!$J$4:$J$20,MATCH(C587,마스터!$M$4:$M$20,0))),"")</f>
        <v/>
      </c>
      <c r="H587" s="30"/>
      <c r="I587" s="30"/>
    </row>
    <row r="588" spans="1:9" ht="15" customHeight="1" x14ac:dyDescent="0.25">
      <c r="A588" s="25" t="str">
        <f t="shared" si="9"/>
        <v/>
      </c>
      <c r="B588" s="26"/>
      <c r="C588" s="27"/>
      <c r="D588" s="28" t="str">
        <f>IFERROR(IF(C588="","",INDEX(마스터!$F$4:$F$20,MATCH(C588,마스터!$M$4:$M$20,0))),"")</f>
        <v/>
      </c>
      <c r="E588" s="27"/>
      <c r="F588" s="29"/>
      <c r="G588" s="25" t="str">
        <f>IFERROR(IF(C588="","",INDEX(마스터!$J$4:$J$20,MATCH(C588,마스터!$M$4:$M$20,0))),"")</f>
        <v/>
      </c>
      <c r="H588" s="30"/>
      <c r="I588" s="30"/>
    </row>
    <row r="589" spans="1:9" ht="15" customHeight="1" x14ac:dyDescent="0.25">
      <c r="A589" s="25" t="str">
        <f t="shared" si="9"/>
        <v/>
      </c>
      <c r="B589" s="26"/>
      <c r="C589" s="27"/>
      <c r="D589" s="28" t="str">
        <f>IFERROR(IF(C589="","",INDEX(마스터!$F$4:$F$20,MATCH(C589,마스터!$M$4:$M$20,0))),"")</f>
        <v/>
      </c>
      <c r="E589" s="27"/>
      <c r="F589" s="29"/>
      <c r="G589" s="25" t="str">
        <f>IFERROR(IF(C589="","",INDEX(마스터!$J$4:$J$20,MATCH(C589,마스터!$M$4:$M$20,0))),"")</f>
        <v/>
      </c>
      <c r="H589" s="30"/>
      <c r="I589" s="30"/>
    </row>
    <row r="590" spans="1:9" ht="15" customHeight="1" x14ac:dyDescent="0.25">
      <c r="A590" s="25" t="str">
        <f t="shared" si="9"/>
        <v/>
      </c>
      <c r="B590" s="26"/>
      <c r="C590" s="27"/>
      <c r="D590" s="28" t="str">
        <f>IFERROR(IF(C590="","",INDEX(마스터!$F$4:$F$20,MATCH(C590,마스터!$M$4:$M$20,0))),"")</f>
        <v/>
      </c>
      <c r="E590" s="27"/>
      <c r="F590" s="29"/>
      <c r="G590" s="25" t="str">
        <f>IFERROR(IF(C590="","",INDEX(마스터!$J$4:$J$20,MATCH(C590,마스터!$M$4:$M$20,0))),"")</f>
        <v/>
      </c>
      <c r="H590" s="30"/>
      <c r="I590" s="30"/>
    </row>
    <row r="591" spans="1:9" ht="15" customHeight="1" x14ac:dyDescent="0.25">
      <c r="A591" s="25" t="str">
        <f t="shared" si="9"/>
        <v/>
      </c>
      <c r="B591" s="26"/>
      <c r="C591" s="27"/>
      <c r="D591" s="28" t="str">
        <f>IFERROR(IF(C591="","",INDEX(마스터!$F$4:$F$20,MATCH(C591,마스터!$M$4:$M$20,0))),"")</f>
        <v/>
      </c>
      <c r="E591" s="27"/>
      <c r="F591" s="29"/>
      <c r="G591" s="25" t="str">
        <f>IFERROR(IF(C591="","",INDEX(마스터!$J$4:$J$20,MATCH(C591,마스터!$M$4:$M$20,0))),"")</f>
        <v/>
      </c>
      <c r="H591" s="30"/>
      <c r="I591" s="30"/>
    </row>
    <row r="592" spans="1:9" ht="15" customHeight="1" x14ac:dyDescent="0.25">
      <c r="A592" s="25" t="str">
        <f t="shared" si="9"/>
        <v/>
      </c>
      <c r="B592" s="26"/>
      <c r="C592" s="27"/>
      <c r="D592" s="28" t="str">
        <f>IFERROR(IF(C592="","",INDEX(마스터!$F$4:$F$20,MATCH(C592,마스터!$M$4:$M$20,0))),"")</f>
        <v/>
      </c>
      <c r="E592" s="27"/>
      <c r="F592" s="29"/>
      <c r="G592" s="25" t="str">
        <f>IFERROR(IF(C592="","",INDEX(마스터!$J$4:$J$20,MATCH(C592,마스터!$M$4:$M$20,0))),"")</f>
        <v/>
      </c>
      <c r="H592" s="30"/>
      <c r="I592" s="30"/>
    </row>
    <row r="593" spans="1:9" ht="15" customHeight="1" x14ac:dyDescent="0.25">
      <c r="A593" s="25" t="str">
        <f t="shared" si="9"/>
        <v/>
      </c>
      <c r="B593" s="26"/>
      <c r="C593" s="27"/>
      <c r="D593" s="28" t="str">
        <f>IFERROR(IF(C593="","",INDEX(마스터!$F$4:$F$20,MATCH(C593,마스터!$M$4:$M$20,0))),"")</f>
        <v/>
      </c>
      <c r="E593" s="27"/>
      <c r="F593" s="29"/>
      <c r="G593" s="25" t="str">
        <f>IFERROR(IF(C593="","",INDEX(마스터!$J$4:$J$20,MATCH(C593,마스터!$M$4:$M$20,0))),"")</f>
        <v/>
      </c>
      <c r="H593" s="30"/>
      <c r="I593" s="30"/>
    </row>
    <row r="594" spans="1:9" ht="15" customHeight="1" x14ac:dyDescent="0.25">
      <c r="A594" s="25" t="str">
        <f t="shared" si="9"/>
        <v/>
      </c>
      <c r="B594" s="26"/>
      <c r="C594" s="27"/>
      <c r="D594" s="28" t="str">
        <f>IFERROR(IF(C594="","",INDEX(마스터!$F$4:$F$20,MATCH(C594,마스터!$M$4:$M$20,0))),"")</f>
        <v/>
      </c>
      <c r="E594" s="27"/>
      <c r="F594" s="29"/>
      <c r="G594" s="25" t="str">
        <f>IFERROR(IF(C594="","",INDEX(마스터!$J$4:$J$20,MATCH(C594,마스터!$M$4:$M$20,0))),"")</f>
        <v/>
      </c>
      <c r="H594" s="30"/>
      <c r="I594" s="30"/>
    </row>
    <row r="595" spans="1:9" ht="15" customHeight="1" x14ac:dyDescent="0.25">
      <c r="A595" s="25" t="str">
        <f t="shared" si="9"/>
        <v/>
      </c>
      <c r="B595" s="26"/>
      <c r="C595" s="27"/>
      <c r="D595" s="28" t="str">
        <f>IFERROR(IF(C595="","",INDEX(마스터!$F$4:$F$20,MATCH(C595,마스터!$M$4:$M$20,0))),"")</f>
        <v/>
      </c>
      <c r="E595" s="27"/>
      <c r="F595" s="29"/>
      <c r="G595" s="25" t="str">
        <f>IFERROR(IF(C595="","",INDEX(마스터!$J$4:$J$20,MATCH(C595,마스터!$M$4:$M$20,0))),"")</f>
        <v/>
      </c>
      <c r="H595" s="30"/>
      <c r="I595" s="30"/>
    </row>
    <row r="596" spans="1:9" ht="15" customHeight="1" x14ac:dyDescent="0.25">
      <c r="A596" s="25" t="str">
        <f t="shared" si="9"/>
        <v/>
      </c>
      <c r="B596" s="26"/>
      <c r="C596" s="27"/>
      <c r="D596" s="28" t="str">
        <f>IFERROR(IF(C596="","",INDEX(마스터!$F$4:$F$20,MATCH(C596,마스터!$M$4:$M$20,0))),"")</f>
        <v/>
      </c>
      <c r="E596" s="27"/>
      <c r="F596" s="29"/>
      <c r="G596" s="25" t="str">
        <f>IFERROR(IF(C596="","",INDEX(마스터!$J$4:$J$20,MATCH(C596,마스터!$M$4:$M$20,0))),"")</f>
        <v/>
      </c>
      <c r="H596" s="30"/>
      <c r="I596" s="30"/>
    </row>
    <row r="597" spans="1:9" ht="15" customHeight="1" x14ac:dyDescent="0.25">
      <c r="A597" s="25" t="str">
        <f t="shared" si="9"/>
        <v/>
      </c>
      <c r="B597" s="26"/>
      <c r="C597" s="27"/>
      <c r="D597" s="28" t="str">
        <f>IFERROR(IF(C597="","",INDEX(마스터!$F$4:$F$20,MATCH(C597,마스터!$M$4:$M$20,0))),"")</f>
        <v/>
      </c>
      <c r="E597" s="27"/>
      <c r="F597" s="29"/>
      <c r="G597" s="25" t="str">
        <f>IFERROR(IF(C597="","",INDEX(마스터!$J$4:$J$20,MATCH(C597,마스터!$M$4:$M$20,0))),"")</f>
        <v/>
      </c>
      <c r="H597" s="30"/>
      <c r="I597" s="30"/>
    </row>
    <row r="598" spans="1:9" ht="15" customHeight="1" x14ac:dyDescent="0.25">
      <c r="A598" s="25" t="str">
        <f t="shared" si="9"/>
        <v/>
      </c>
      <c r="B598" s="26"/>
      <c r="C598" s="27"/>
      <c r="D598" s="28" t="str">
        <f>IFERROR(IF(C598="","",INDEX(마스터!$F$4:$F$20,MATCH(C598,마스터!$M$4:$M$20,0))),"")</f>
        <v/>
      </c>
      <c r="E598" s="27"/>
      <c r="F598" s="29"/>
      <c r="G598" s="25" t="str">
        <f>IFERROR(IF(C598="","",INDEX(마스터!$J$4:$J$20,MATCH(C598,마스터!$M$4:$M$20,0))),"")</f>
        <v/>
      </c>
      <c r="H598" s="30"/>
      <c r="I598" s="30"/>
    </row>
    <row r="599" spans="1:9" ht="15" customHeight="1" x14ac:dyDescent="0.25">
      <c r="A599" s="25" t="str">
        <f t="shared" si="9"/>
        <v/>
      </c>
      <c r="B599" s="26"/>
      <c r="C599" s="27"/>
      <c r="D599" s="28" t="str">
        <f>IFERROR(IF(C599="","",INDEX(마스터!$F$4:$F$20,MATCH(C599,마스터!$M$4:$M$20,0))),"")</f>
        <v/>
      </c>
      <c r="E599" s="27"/>
      <c r="F599" s="29"/>
      <c r="G599" s="25" t="str">
        <f>IFERROR(IF(C599="","",INDEX(마스터!$J$4:$J$20,MATCH(C599,마스터!$M$4:$M$20,0))),"")</f>
        <v/>
      </c>
      <c r="H599" s="30"/>
      <c r="I599" s="30"/>
    </row>
    <row r="600" spans="1:9" ht="15" customHeight="1" x14ac:dyDescent="0.25">
      <c r="A600" s="25" t="str">
        <f t="shared" si="9"/>
        <v/>
      </c>
      <c r="B600" s="26"/>
      <c r="C600" s="27"/>
      <c r="D600" s="28" t="str">
        <f>IFERROR(IF(C600="","",INDEX(마스터!$F$4:$F$20,MATCH(C600,마스터!$M$4:$M$20,0))),"")</f>
        <v/>
      </c>
      <c r="E600" s="27"/>
      <c r="F600" s="29"/>
      <c r="G600" s="25" t="str">
        <f>IFERROR(IF(C600="","",INDEX(마스터!$J$4:$J$20,MATCH(C600,마스터!$M$4:$M$20,0))),"")</f>
        <v/>
      </c>
      <c r="H600" s="30"/>
      <c r="I600" s="30"/>
    </row>
    <row r="601" spans="1:9" ht="15" customHeight="1" x14ac:dyDescent="0.25">
      <c r="A601" s="25" t="str">
        <f t="shared" si="9"/>
        <v/>
      </c>
      <c r="B601" s="26"/>
      <c r="C601" s="27"/>
      <c r="D601" s="28" t="str">
        <f>IFERROR(IF(C601="","",INDEX(마스터!$F$4:$F$20,MATCH(C601,마스터!$M$4:$M$20,0))),"")</f>
        <v/>
      </c>
      <c r="E601" s="27"/>
      <c r="F601" s="29"/>
      <c r="G601" s="25" t="str">
        <f>IFERROR(IF(C601="","",INDEX(마스터!$J$4:$J$20,MATCH(C601,마스터!$M$4:$M$20,0))),"")</f>
        <v/>
      </c>
      <c r="H601" s="30"/>
      <c r="I601" s="30"/>
    </row>
    <row r="602" spans="1:9" ht="15" customHeight="1" x14ac:dyDescent="0.25">
      <c r="A602" s="25" t="str">
        <f t="shared" si="9"/>
        <v/>
      </c>
      <c r="B602" s="26"/>
      <c r="C602" s="27"/>
      <c r="D602" s="28" t="str">
        <f>IFERROR(IF(C602="","",INDEX(마스터!$F$4:$F$20,MATCH(C602,마스터!$M$4:$M$20,0))),"")</f>
        <v/>
      </c>
      <c r="E602" s="27"/>
      <c r="F602" s="29"/>
      <c r="G602" s="25" t="str">
        <f>IFERROR(IF(C602="","",INDEX(마스터!$J$4:$J$20,MATCH(C602,마스터!$M$4:$M$20,0))),"")</f>
        <v/>
      </c>
      <c r="H602" s="30"/>
      <c r="I602" s="30"/>
    </row>
    <row r="603" spans="1:9" ht="15" customHeight="1" x14ac:dyDescent="0.25">
      <c r="A603" s="25" t="str">
        <f t="shared" si="9"/>
        <v/>
      </c>
      <c r="B603" s="26"/>
      <c r="C603" s="27"/>
      <c r="D603" s="28" t="str">
        <f>IFERROR(IF(C603="","",INDEX(마스터!$F$4:$F$20,MATCH(C603,마스터!$M$4:$M$20,0))),"")</f>
        <v/>
      </c>
      <c r="E603" s="27"/>
      <c r="F603" s="29"/>
      <c r="G603" s="25" t="str">
        <f>IFERROR(IF(C603="","",INDEX(마스터!$J$4:$J$20,MATCH(C603,마스터!$M$4:$M$20,0))),"")</f>
        <v/>
      </c>
      <c r="H603" s="30"/>
      <c r="I603" s="30"/>
    </row>
    <row r="604" spans="1:9" ht="15" customHeight="1" x14ac:dyDescent="0.25">
      <c r="A604" s="25" t="str">
        <f t="shared" si="9"/>
        <v/>
      </c>
      <c r="B604" s="26"/>
      <c r="C604" s="27"/>
      <c r="D604" s="28" t="str">
        <f>IFERROR(IF(C604="","",INDEX(마스터!$F$4:$F$20,MATCH(C604,마스터!$M$4:$M$20,0))),"")</f>
        <v/>
      </c>
      <c r="E604" s="27"/>
      <c r="F604" s="29"/>
      <c r="G604" s="25" t="str">
        <f>IFERROR(IF(C604="","",INDEX(마스터!$J$4:$J$20,MATCH(C604,마스터!$M$4:$M$20,0))),"")</f>
        <v/>
      </c>
      <c r="H604" s="30"/>
      <c r="I604" s="30"/>
    </row>
    <row r="605" spans="1:9" ht="15" customHeight="1" x14ac:dyDescent="0.25">
      <c r="A605" s="25" t="str">
        <f t="shared" si="9"/>
        <v/>
      </c>
      <c r="B605" s="26"/>
      <c r="C605" s="27"/>
      <c r="D605" s="28" t="str">
        <f>IFERROR(IF(C605="","",INDEX(마스터!$F$4:$F$20,MATCH(C605,마스터!$M$4:$M$20,0))),"")</f>
        <v/>
      </c>
      <c r="E605" s="27"/>
      <c r="F605" s="29"/>
      <c r="G605" s="25" t="str">
        <f>IFERROR(IF(C605="","",INDEX(마스터!$J$4:$J$20,MATCH(C605,마스터!$M$4:$M$20,0))),"")</f>
        <v/>
      </c>
      <c r="H605" s="30"/>
      <c r="I605" s="30"/>
    </row>
    <row r="606" spans="1:9" ht="15" customHeight="1" x14ac:dyDescent="0.25">
      <c r="A606" s="25" t="str">
        <f t="shared" si="9"/>
        <v/>
      </c>
      <c r="B606" s="26"/>
      <c r="C606" s="27"/>
      <c r="D606" s="28" t="str">
        <f>IFERROR(IF(C606="","",INDEX(마스터!$F$4:$F$20,MATCH(C606,마스터!$M$4:$M$20,0))),"")</f>
        <v/>
      </c>
      <c r="E606" s="27"/>
      <c r="F606" s="29"/>
      <c r="G606" s="25" t="str">
        <f>IFERROR(IF(C606="","",INDEX(마스터!$J$4:$J$20,MATCH(C606,마스터!$M$4:$M$20,0))),"")</f>
        <v/>
      </c>
      <c r="H606" s="30"/>
      <c r="I606" s="30"/>
    </row>
    <row r="607" spans="1:9" ht="15" customHeight="1" x14ac:dyDescent="0.25">
      <c r="A607" s="25" t="str">
        <f t="shared" si="9"/>
        <v/>
      </c>
      <c r="B607" s="26"/>
      <c r="C607" s="27"/>
      <c r="D607" s="28" t="str">
        <f>IFERROR(IF(C607="","",INDEX(마스터!$F$4:$F$20,MATCH(C607,마스터!$M$4:$M$20,0))),"")</f>
        <v/>
      </c>
      <c r="E607" s="27"/>
      <c r="F607" s="29"/>
      <c r="G607" s="25" t="str">
        <f>IFERROR(IF(C607="","",INDEX(마스터!$J$4:$J$20,MATCH(C607,마스터!$M$4:$M$20,0))),"")</f>
        <v/>
      </c>
      <c r="H607" s="30"/>
      <c r="I607" s="30"/>
    </row>
    <row r="608" spans="1:9" ht="15" customHeight="1" x14ac:dyDescent="0.25">
      <c r="A608" s="25" t="str">
        <f t="shared" si="9"/>
        <v/>
      </c>
      <c r="B608" s="26"/>
      <c r="C608" s="27"/>
      <c r="D608" s="28" t="str">
        <f>IFERROR(IF(C608="","",INDEX(마스터!$F$4:$F$20,MATCH(C608,마스터!$M$4:$M$20,0))),"")</f>
        <v/>
      </c>
      <c r="E608" s="27"/>
      <c r="F608" s="29"/>
      <c r="G608" s="25" t="str">
        <f>IFERROR(IF(C608="","",INDEX(마스터!$J$4:$J$20,MATCH(C608,마스터!$M$4:$M$20,0))),"")</f>
        <v/>
      </c>
      <c r="H608" s="30"/>
      <c r="I608" s="30"/>
    </row>
    <row r="609" spans="1:9" ht="15" customHeight="1" x14ac:dyDescent="0.25">
      <c r="A609" s="25" t="str">
        <f t="shared" si="9"/>
        <v/>
      </c>
      <c r="B609" s="26"/>
      <c r="C609" s="27"/>
      <c r="D609" s="28" t="str">
        <f>IFERROR(IF(C609="","",INDEX(마스터!$F$4:$F$20,MATCH(C609,마스터!$M$4:$M$20,0))),"")</f>
        <v/>
      </c>
      <c r="E609" s="27"/>
      <c r="F609" s="29"/>
      <c r="G609" s="25" t="str">
        <f>IFERROR(IF(C609="","",INDEX(마스터!$J$4:$J$20,MATCH(C609,마스터!$M$4:$M$20,0))),"")</f>
        <v/>
      </c>
      <c r="H609" s="30"/>
      <c r="I609" s="30"/>
    </row>
    <row r="610" spans="1:9" ht="15" customHeight="1" x14ac:dyDescent="0.25">
      <c r="A610" s="25" t="str">
        <f t="shared" si="9"/>
        <v/>
      </c>
      <c r="B610" s="26"/>
      <c r="C610" s="27"/>
      <c r="D610" s="28" t="str">
        <f>IFERROR(IF(C610="","",INDEX(마스터!$F$4:$F$20,MATCH(C610,마스터!$M$4:$M$20,0))),"")</f>
        <v/>
      </c>
      <c r="E610" s="27"/>
      <c r="F610" s="29"/>
      <c r="G610" s="25" t="str">
        <f>IFERROR(IF(C610="","",INDEX(마스터!$J$4:$J$20,MATCH(C610,마스터!$M$4:$M$20,0))),"")</f>
        <v/>
      </c>
      <c r="H610" s="30"/>
      <c r="I610" s="30"/>
    </row>
    <row r="611" spans="1:9" ht="15" customHeight="1" x14ac:dyDescent="0.25">
      <c r="A611" s="25" t="str">
        <f t="shared" si="9"/>
        <v/>
      </c>
      <c r="B611" s="26"/>
      <c r="C611" s="27"/>
      <c r="D611" s="28" t="str">
        <f>IFERROR(IF(C611="","",INDEX(마스터!$F$4:$F$20,MATCH(C611,마스터!$M$4:$M$20,0))),"")</f>
        <v/>
      </c>
      <c r="E611" s="27"/>
      <c r="F611" s="29"/>
      <c r="G611" s="25" t="str">
        <f>IFERROR(IF(C611="","",INDEX(마스터!$J$4:$J$20,MATCH(C611,마스터!$M$4:$M$20,0))),"")</f>
        <v/>
      </c>
      <c r="H611" s="30"/>
      <c r="I611" s="30"/>
    </row>
    <row r="612" spans="1:9" ht="15" customHeight="1" x14ac:dyDescent="0.25">
      <c r="A612" s="25" t="str">
        <f t="shared" si="9"/>
        <v/>
      </c>
      <c r="B612" s="26"/>
      <c r="C612" s="27"/>
      <c r="D612" s="28" t="str">
        <f>IFERROR(IF(C612="","",INDEX(마스터!$F$4:$F$20,MATCH(C612,마스터!$M$4:$M$20,0))),"")</f>
        <v/>
      </c>
      <c r="E612" s="27"/>
      <c r="F612" s="29"/>
      <c r="G612" s="25" t="str">
        <f>IFERROR(IF(C612="","",INDEX(마스터!$J$4:$J$20,MATCH(C612,마스터!$M$4:$M$20,0))),"")</f>
        <v/>
      </c>
      <c r="H612" s="30"/>
      <c r="I612" s="30"/>
    </row>
    <row r="613" spans="1:9" ht="15" customHeight="1" x14ac:dyDescent="0.25">
      <c r="A613" s="25" t="str">
        <f t="shared" si="9"/>
        <v/>
      </c>
      <c r="B613" s="26"/>
      <c r="C613" s="27"/>
      <c r="D613" s="28" t="str">
        <f>IFERROR(IF(C613="","",INDEX(마스터!$F$4:$F$20,MATCH(C613,마스터!$M$4:$M$20,0))),"")</f>
        <v/>
      </c>
      <c r="E613" s="27"/>
      <c r="F613" s="29"/>
      <c r="G613" s="25" t="str">
        <f>IFERROR(IF(C613="","",INDEX(마스터!$J$4:$J$20,MATCH(C613,마스터!$M$4:$M$20,0))),"")</f>
        <v/>
      </c>
      <c r="H613" s="30"/>
      <c r="I613" s="30"/>
    </row>
    <row r="614" spans="1:9" ht="15" customHeight="1" x14ac:dyDescent="0.25">
      <c r="A614" s="25" t="str">
        <f t="shared" si="9"/>
        <v/>
      </c>
      <c r="B614" s="26"/>
      <c r="C614" s="27"/>
      <c r="D614" s="28" t="str">
        <f>IFERROR(IF(C614="","",INDEX(마스터!$F$4:$F$20,MATCH(C614,마스터!$M$4:$M$20,0))),"")</f>
        <v/>
      </c>
      <c r="E614" s="27"/>
      <c r="F614" s="29"/>
      <c r="G614" s="25" t="str">
        <f>IFERROR(IF(C614="","",INDEX(마스터!$J$4:$J$20,MATCH(C614,마스터!$M$4:$M$20,0))),"")</f>
        <v/>
      </c>
      <c r="H614" s="30"/>
      <c r="I614" s="30"/>
    </row>
    <row r="615" spans="1:9" ht="15" customHeight="1" x14ac:dyDescent="0.25">
      <c r="A615" s="25" t="str">
        <f t="shared" si="9"/>
        <v/>
      </c>
      <c r="B615" s="26"/>
      <c r="C615" s="27"/>
      <c r="D615" s="28" t="str">
        <f>IFERROR(IF(C615="","",INDEX(마스터!$F$4:$F$20,MATCH(C615,마스터!$M$4:$M$20,0))),"")</f>
        <v/>
      </c>
      <c r="E615" s="27"/>
      <c r="F615" s="29"/>
      <c r="G615" s="25" t="str">
        <f>IFERROR(IF(C615="","",INDEX(마스터!$J$4:$J$20,MATCH(C615,마스터!$M$4:$M$20,0))),"")</f>
        <v/>
      </c>
      <c r="H615" s="30"/>
      <c r="I615" s="30"/>
    </row>
    <row r="616" spans="1:9" ht="15" customHeight="1" x14ac:dyDescent="0.25">
      <c r="A616" s="25" t="str">
        <f t="shared" si="9"/>
        <v/>
      </c>
      <c r="B616" s="26"/>
      <c r="C616" s="27"/>
      <c r="D616" s="28" t="str">
        <f>IFERROR(IF(C616="","",INDEX(마스터!$F$4:$F$20,MATCH(C616,마스터!$M$4:$M$20,0))),"")</f>
        <v/>
      </c>
      <c r="E616" s="27"/>
      <c r="F616" s="29"/>
      <c r="G616" s="25" t="str">
        <f>IFERROR(IF(C616="","",INDEX(마스터!$J$4:$J$20,MATCH(C616,마스터!$M$4:$M$20,0))),"")</f>
        <v/>
      </c>
      <c r="H616" s="30"/>
      <c r="I616" s="30"/>
    </row>
    <row r="617" spans="1:9" ht="15" customHeight="1" x14ac:dyDescent="0.25">
      <c r="A617" s="25" t="str">
        <f t="shared" si="9"/>
        <v/>
      </c>
      <c r="B617" s="26"/>
      <c r="C617" s="27"/>
      <c r="D617" s="28" t="str">
        <f>IFERROR(IF(C617="","",INDEX(마스터!$F$4:$F$20,MATCH(C617,마스터!$M$4:$M$20,0))),"")</f>
        <v/>
      </c>
      <c r="E617" s="27"/>
      <c r="F617" s="29"/>
      <c r="G617" s="25" t="str">
        <f>IFERROR(IF(C617="","",INDEX(마스터!$J$4:$J$20,MATCH(C617,마스터!$M$4:$M$20,0))),"")</f>
        <v/>
      </c>
      <c r="H617" s="30"/>
      <c r="I617" s="30"/>
    </row>
    <row r="618" spans="1:9" ht="15" customHeight="1" x14ac:dyDescent="0.25">
      <c r="A618" s="25" t="str">
        <f t="shared" si="9"/>
        <v/>
      </c>
      <c r="B618" s="26"/>
      <c r="C618" s="27"/>
      <c r="D618" s="28" t="str">
        <f>IFERROR(IF(C618="","",INDEX(마스터!$F$4:$F$20,MATCH(C618,마스터!$M$4:$M$20,0))),"")</f>
        <v/>
      </c>
      <c r="E618" s="27"/>
      <c r="F618" s="29"/>
      <c r="G618" s="25" t="str">
        <f>IFERROR(IF(C618="","",INDEX(마스터!$J$4:$J$20,MATCH(C618,마스터!$M$4:$M$20,0))),"")</f>
        <v/>
      </c>
      <c r="H618" s="30"/>
      <c r="I618" s="30"/>
    </row>
    <row r="619" spans="1:9" ht="15" customHeight="1" x14ac:dyDescent="0.25">
      <c r="A619" s="25" t="str">
        <f t="shared" si="9"/>
        <v/>
      </c>
      <c r="B619" s="26"/>
      <c r="C619" s="27"/>
      <c r="D619" s="28" t="str">
        <f>IFERROR(IF(C619="","",INDEX(마스터!$F$4:$F$20,MATCH(C619,마스터!$M$4:$M$20,0))),"")</f>
        <v/>
      </c>
      <c r="E619" s="27"/>
      <c r="F619" s="29"/>
      <c r="G619" s="25" t="str">
        <f>IFERROR(IF(C619="","",INDEX(마스터!$J$4:$J$20,MATCH(C619,마스터!$M$4:$M$20,0))),"")</f>
        <v/>
      </c>
      <c r="H619" s="30"/>
      <c r="I619" s="30"/>
    </row>
    <row r="620" spans="1:9" ht="15" customHeight="1" x14ac:dyDescent="0.25">
      <c r="A620" s="25" t="str">
        <f t="shared" si="9"/>
        <v/>
      </c>
      <c r="B620" s="26"/>
      <c r="C620" s="27"/>
      <c r="D620" s="28" t="str">
        <f>IFERROR(IF(C620="","",INDEX(마스터!$F$4:$F$20,MATCH(C620,마스터!$M$4:$M$20,0))),"")</f>
        <v/>
      </c>
      <c r="E620" s="27"/>
      <c r="F620" s="29"/>
      <c r="G620" s="25" t="str">
        <f>IFERROR(IF(C620="","",INDEX(마스터!$J$4:$J$20,MATCH(C620,마스터!$M$4:$M$20,0))),"")</f>
        <v/>
      </c>
      <c r="H620" s="30"/>
      <c r="I620" s="30"/>
    </row>
    <row r="621" spans="1:9" ht="15" customHeight="1" x14ac:dyDescent="0.25">
      <c r="A621" s="25" t="str">
        <f t="shared" si="9"/>
        <v/>
      </c>
      <c r="B621" s="26"/>
      <c r="C621" s="27"/>
      <c r="D621" s="28" t="str">
        <f>IFERROR(IF(C621="","",INDEX(마스터!$F$4:$F$20,MATCH(C621,마스터!$M$4:$M$20,0))),"")</f>
        <v/>
      </c>
      <c r="E621" s="27"/>
      <c r="F621" s="29"/>
      <c r="G621" s="25" t="str">
        <f>IFERROR(IF(C621="","",INDEX(마스터!$J$4:$J$20,MATCH(C621,마스터!$M$4:$M$20,0))),"")</f>
        <v/>
      </c>
      <c r="H621" s="30"/>
      <c r="I621" s="30"/>
    </row>
    <row r="622" spans="1:9" ht="15" customHeight="1" x14ac:dyDescent="0.25">
      <c r="A622" s="25" t="str">
        <f t="shared" si="9"/>
        <v/>
      </c>
      <c r="B622" s="26"/>
      <c r="C622" s="27"/>
      <c r="D622" s="28" t="str">
        <f>IFERROR(IF(C622="","",INDEX(마스터!$F$4:$F$20,MATCH(C622,마스터!$M$4:$M$20,0))),"")</f>
        <v/>
      </c>
      <c r="E622" s="27"/>
      <c r="F622" s="29"/>
      <c r="G622" s="25" t="str">
        <f>IFERROR(IF(C622="","",INDEX(마스터!$J$4:$J$20,MATCH(C622,마스터!$M$4:$M$20,0))),"")</f>
        <v/>
      </c>
      <c r="H622" s="30"/>
      <c r="I622" s="30"/>
    </row>
    <row r="623" spans="1:9" ht="15" customHeight="1" x14ac:dyDescent="0.25">
      <c r="A623" s="25" t="str">
        <f t="shared" si="9"/>
        <v/>
      </c>
      <c r="B623" s="26"/>
      <c r="C623" s="27"/>
      <c r="D623" s="28" t="str">
        <f>IFERROR(IF(C623="","",INDEX(마스터!$F$4:$F$20,MATCH(C623,마스터!$M$4:$M$20,0))),"")</f>
        <v/>
      </c>
      <c r="E623" s="27"/>
      <c r="F623" s="29"/>
      <c r="G623" s="25" t="str">
        <f>IFERROR(IF(C623="","",INDEX(마스터!$J$4:$J$20,MATCH(C623,마스터!$M$4:$M$20,0))),"")</f>
        <v/>
      </c>
      <c r="H623" s="30"/>
      <c r="I623" s="30"/>
    </row>
    <row r="624" spans="1:9" ht="15" customHeight="1" x14ac:dyDescent="0.25">
      <c r="A624" s="25" t="str">
        <f t="shared" si="9"/>
        <v/>
      </c>
      <c r="B624" s="26"/>
      <c r="C624" s="27"/>
      <c r="D624" s="28" t="str">
        <f>IFERROR(IF(C624="","",INDEX(마스터!$F$4:$F$20,MATCH(C624,마스터!$M$4:$M$20,0))),"")</f>
        <v/>
      </c>
      <c r="E624" s="27"/>
      <c r="F624" s="29"/>
      <c r="G624" s="25" t="str">
        <f>IFERROR(IF(C624="","",INDEX(마스터!$J$4:$J$20,MATCH(C624,마스터!$M$4:$M$20,0))),"")</f>
        <v/>
      </c>
      <c r="H624" s="30"/>
      <c r="I624" s="30"/>
    </row>
    <row r="625" spans="1:9" ht="15" customHeight="1" x14ac:dyDescent="0.25">
      <c r="A625" s="25" t="str">
        <f t="shared" si="9"/>
        <v/>
      </c>
      <c r="B625" s="26"/>
      <c r="C625" s="27"/>
      <c r="D625" s="28" t="str">
        <f>IFERROR(IF(C625="","",INDEX(마스터!$F$4:$F$20,MATCH(C625,마스터!$M$4:$M$20,0))),"")</f>
        <v/>
      </c>
      <c r="E625" s="27"/>
      <c r="F625" s="29"/>
      <c r="G625" s="25" t="str">
        <f>IFERROR(IF(C625="","",INDEX(마스터!$J$4:$J$20,MATCH(C625,마스터!$M$4:$M$20,0))),"")</f>
        <v/>
      </c>
      <c r="H625" s="30"/>
      <c r="I625" s="30"/>
    </row>
    <row r="626" spans="1:9" ht="15" customHeight="1" x14ac:dyDescent="0.25">
      <c r="A626" s="25" t="str">
        <f t="shared" si="9"/>
        <v/>
      </c>
      <c r="B626" s="26"/>
      <c r="C626" s="27"/>
      <c r="D626" s="28" t="str">
        <f>IFERROR(IF(C626="","",INDEX(마스터!$F$4:$F$20,MATCH(C626,마스터!$M$4:$M$20,0))),"")</f>
        <v/>
      </c>
      <c r="E626" s="27"/>
      <c r="F626" s="29"/>
      <c r="G626" s="25" t="str">
        <f>IFERROR(IF(C626="","",INDEX(마스터!$J$4:$J$20,MATCH(C626,마스터!$M$4:$M$20,0))),"")</f>
        <v/>
      </c>
      <c r="H626" s="30"/>
      <c r="I626" s="30"/>
    </row>
    <row r="627" spans="1:9" ht="15" customHeight="1" x14ac:dyDescent="0.25">
      <c r="A627" s="25" t="str">
        <f t="shared" si="9"/>
        <v/>
      </c>
      <c r="B627" s="26"/>
      <c r="C627" s="27"/>
      <c r="D627" s="28" t="str">
        <f>IFERROR(IF(C627="","",INDEX(마스터!$F$4:$F$20,MATCH(C627,마스터!$M$4:$M$20,0))),"")</f>
        <v/>
      </c>
      <c r="E627" s="27"/>
      <c r="F627" s="29"/>
      <c r="G627" s="25" t="str">
        <f>IFERROR(IF(C627="","",INDEX(마스터!$J$4:$J$20,MATCH(C627,마스터!$M$4:$M$20,0))),"")</f>
        <v/>
      </c>
      <c r="H627" s="30"/>
      <c r="I627" s="30"/>
    </row>
    <row r="628" spans="1:9" ht="15" customHeight="1" x14ac:dyDescent="0.25">
      <c r="A628" s="25" t="str">
        <f t="shared" si="9"/>
        <v/>
      </c>
      <c r="B628" s="26"/>
      <c r="C628" s="27"/>
      <c r="D628" s="28" t="str">
        <f>IFERROR(IF(C628="","",INDEX(마스터!$F$4:$F$20,MATCH(C628,마스터!$M$4:$M$20,0))),"")</f>
        <v/>
      </c>
      <c r="E628" s="27"/>
      <c r="F628" s="29"/>
      <c r="G628" s="25" t="str">
        <f>IFERROR(IF(C628="","",INDEX(마스터!$J$4:$J$20,MATCH(C628,마스터!$M$4:$M$20,0))),"")</f>
        <v/>
      </c>
      <c r="H628" s="30"/>
      <c r="I628" s="30"/>
    </row>
    <row r="629" spans="1:9" ht="15" customHeight="1" x14ac:dyDescent="0.25">
      <c r="A629" s="25" t="str">
        <f t="shared" si="9"/>
        <v/>
      </c>
      <c r="B629" s="26"/>
      <c r="C629" s="27"/>
      <c r="D629" s="28" t="str">
        <f>IFERROR(IF(C629="","",INDEX(마스터!$F$4:$F$20,MATCH(C629,마스터!$M$4:$M$20,0))),"")</f>
        <v/>
      </c>
      <c r="E629" s="27"/>
      <c r="F629" s="29"/>
      <c r="G629" s="25" t="str">
        <f>IFERROR(IF(C629="","",INDEX(마스터!$J$4:$J$20,MATCH(C629,마스터!$M$4:$M$20,0))),"")</f>
        <v/>
      </c>
      <c r="H629" s="30"/>
      <c r="I629" s="30"/>
    </row>
    <row r="630" spans="1:9" ht="15" customHeight="1" x14ac:dyDescent="0.25">
      <c r="A630" s="25" t="str">
        <f t="shared" si="9"/>
        <v/>
      </c>
      <c r="B630" s="26"/>
      <c r="C630" s="27"/>
      <c r="D630" s="28" t="str">
        <f>IFERROR(IF(C630="","",INDEX(마스터!$F$4:$F$20,MATCH(C630,마스터!$M$4:$M$20,0))),"")</f>
        <v/>
      </c>
      <c r="E630" s="27"/>
      <c r="F630" s="29"/>
      <c r="G630" s="25" t="str">
        <f>IFERROR(IF(C630="","",INDEX(마스터!$J$4:$J$20,MATCH(C630,마스터!$M$4:$M$20,0))),"")</f>
        <v/>
      </c>
      <c r="H630" s="30"/>
      <c r="I630" s="30"/>
    </row>
    <row r="631" spans="1:9" ht="15" customHeight="1" x14ac:dyDescent="0.25">
      <c r="A631" s="25" t="str">
        <f t="shared" si="9"/>
        <v/>
      </c>
      <c r="B631" s="26"/>
      <c r="C631" s="27"/>
      <c r="D631" s="28" t="str">
        <f>IFERROR(IF(C631="","",INDEX(마스터!$F$4:$F$20,MATCH(C631,마스터!$M$4:$M$20,0))),"")</f>
        <v/>
      </c>
      <c r="E631" s="27"/>
      <c r="F631" s="29"/>
      <c r="G631" s="25" t="str">
        <f>IFERROR(IF(C631="","",INDEX(마스터!$J$4:$J$20,MATCH(C631,마스터!$M$4:$M$20,0))),"")</f>
        <v/>
      </c>
      <c r="H631" s="30"/>
      <c r="I631" s="30"/>
    </row>
    <row r="632" spans="1:9" ht="15" customHeight="1" x14ac:dyDescent="0.25">
      <c r="A632" s="25" t="str">
        <f t="shared" si="9"/>
        <v/>
      </c>
      <c r="B632" s="26"/>
      <c r="C632" s="27"/>
      <c r="D632" s="28" t="str">
        <f>IFERROR(IF(C632="","",INDEX(마스터!$F$4:$F$20,MATCH(C632,마스터!$M$4:$M$20,0))),"")</f>
        <v/>
      </c>
      <c r="E632" s="27"/>
      <c r="F632" s="29"/>
      <c r="G632" s="25" t="str">
        <f>IFERROR(IF(C632="","",INDEX(마스터!$J$4:$J$20,MATCH(C632,마스터!$M$4:$M$20,0))),"")</f>
        <v/>
      </c>
      <c r="H632" s="30"/>
      <c r="I632" s="30"/>
    </row>
    <row r="633" spans="1:9" ht="15" customHeight="1" x14ac:dyDescent="0.25">
      <c r="A633" s="25" t="str">
        <f t="shared" si="9"/>
        <v/>
      </c>
      <c r="B633" s="26"/>
      <c r="C633" s="27"/>
      <c r="D633" s="28" t="str">
        <f>IFERROR(IF(C633="","",INDEX(마스터!$F$4:$F$20,MATCH(C633,마스터!$M$4:$M$20,0))),"")</f>
        <v/>
      </c>
      <c r="E633" s="27"/>
      <c r="F633" s="29"/>
      <c r="G633" s="25" t="str">
        <f>IFERROR(IF(C633="","",INDEX(마스터!$J$4:$J$20,MATCH(C633,마스터!$M$4:$M$20,0))),"")</f>
        <v/>
      </c>
      <c r="H633" s="30"/>
      <c r="I633" s="30"/>
    </row>
    <row r="634" spans="1:9" ht="15" customHeight="1" x14ac:dyDescent="0.25">
      <c r="A634" s="25" t="str">
        <f t="shared" si="9"/>
        <v/>
      </c>
      <c r="B634" s="26"/>
      <c r="C634" s="27"/>
      <c r="D634" s="28" t="str">
        <f>IFERROR(IF(C634="","",INDEX(마스터!$F$4:$F$20,MATCH(C634,마스터!$M$4:$M$20,0))),"")</f>
        <v/>
      </c>
      <c r="E634" s="27"/>
      <c r="F634" s="29"/>
      <c r="G634" s="25" t="str">
        <f>IFERROR(IF(C634="","",INDEX(마스터!$J$4:$J$20,MATCH(C634,마스터!$M$4:$M$20,0))),"")</f>
        <v/>
      </c>
      <c r="H634" s="30"/>
      <c r="I634" s="30"/>
    </row>
    <row r="635" spans="1:9" ht="15" customHeight="1" x14ac:dyDescent="0.25">
      <c r="A635" s="25" t="str">
        <f t="shared" si="9"/>
        <v/>
      </c>
      <c r="B635" s="26"/>
      <c r="C635" s="27"/>
      <c r="D635" s="28" t="str">
        <f>IFERROR(IF(C635="","",INDEX(마스터!$F$4:$F$20,MATCH(C635,마스터!$M$4:$M$20,0))),"")</f>
        <v/>
      </c>
      <c r="E635" s="27"/>
      <c r="F635" s="29"/>
      <c r="G635" s="25" t="str">
        <f>IFERROR(IF(C635="","",INDEX(마스터!$J$4:$J$20,MATCH(C635,마스터!$M$4:$M$20,0))),"")</f>
        <v/>
      </c>
      <c r="H635" s="30"/>
      <c r="I635" s="30"/>
    </row>
    <row r="636" spans="1:9" ht="15" customHeight="1" x14ac:dyDescent="0.25">
      <c r="A636" s="25" t="str">
        <f t="shared" si="9"/>
        <v/>
      </c>
      <c r="B636" s="26"/>
      <c r="C636" s="27"/>
      <c r="D636" s="28" t="str">
        <f>IFERROR(IF(C636="","",INDEX(마스터!$F$4:$F$20,MATCH(C636,마스터!$M$4:$M$20,0))),"")</f>
        <v/>
      </c>
      <c r="E636" s="27"/>
      <c r="F636" s="29"/>
      <c r="G636" s="25" t="str">
        <f>IFERROR(IF(C636="","",INDEX(마스터!$J$4:$J$20,MATCH(C636,마스터!$M$4:$M$20,0))),"")</f>
        <v/>
      </c>
      <c r="H636" s="30"/>
      <c r="I636" s="30"/>
    </row>
    <row r="637" spans="1:9" ht="15" customHeight="1" x14ac:dyDescent="0.25">
      <c r="A637" s="25" t="str">
        <f t="shared" si="9"/>
        <v/>
      </c>
      <c r="B637" s="26"/>
      <c r="C637" s="27"/>
      <c r="D637" s="28" t="str">
        <f>IFERROR(IF(C637="","",INDEX(마스터!$F$4:$F$20,MATCH(C637,마스터!$M$4:$M$20,0))),"")</f>
        <v/>
      </c>
      <c r="E637" s="27"/>
      <c r="F637" s="29"/>
      <c r="G637" s="25" t="str">
        <f>IFERROR(IF(C637="","",INDEX(마스터!$J$4:$J$20,MATCH(C637,마스터!$M$4:$M$20,0))),"")</f>
        <v/>
      </c>
      <c r="H637" s="30"/>
      <c r="I637" s="30"/>
    </row>
    <row r="638" spans="1:9" ht="15" customHeight="1" x14ac:dyDescent="0.25">
      <c r="A638" s="25" t="str">
        <f t="shared" si="9"/>
        <v/>
      </c>
      <c r="B638" s="26"/>
      <c r="C638" s="27"/>
      <c r="D638" s="28" t="str">
        <f>IFERROR(IF(C638="","",INDEX(마스터!$F$4:$F$20,MATCH(C638,마스터!$M$4:$M$20,0))),"")</f>
        <v/>
      </c>
      <c r="E638" s="27"/>
      <c r="F638" s="29"/>
      <c r="G638" s="25" t="str">
        <f>IFERROR(IF(C638="","",INDEX(마스터!$J$4:$J$20,MATCH(C638,마스터!$M$4:$M$20,0))),"")</f>
        <v/>
      </c>
      <c r="H638" s="30"/>
      <c r="I638" s="30"/>
    </row>
    <row r="639" spans="1:9" ht="15" customHeight="1" x14ac:dyDescent="0.25">
      <c r="A639" s="25" t="str">
        <f t="shared" si="9"/>
        <v/>
      </c>
      <c r="B639" s="26"/>
      <c r="C639" s="27"/>
      <c r="D639" s="28" t="str">
        <f>IFERROR(IF(C639="","",INDEX(마스터!$F$4:$F$20,MATCH(C639,마스터!$M$4:$M$20,0))),"")</f>
        <v/>
      </c>
      <c r="E639" s="27"/>
      <c r="F639" s="29"/>
      <c r="G639" s="25" t="str">
        <f>IFERROR(IF(C639="","",INDEX(마스터!$J$4:$J$20,MATCH(C639,마스터!$M$4:$M$20,0))),"")</f>
        <v/>
      </c>
      <c r="H639" s="30"/>
      <c r="I639" s="30"/>
    </row>
    <row r="640" spans="1:9" ht="15" customHeight="1" x14ac:dyDescent="0.25">
      <c r="A640" s="25" t="str">
        <f t="shared" si="9"/>
        <v/>
      </c>
      <c r="B640" s="26"/>
      <c r="C640" s="27"/>
      <c r="D640" s="28" t="str">
        <f>IFERROR(IF(C640="","",INDEX(마스터!$F$4:$F$20,MATCH(C640,마스터!$M$4:$M$20,0))),"")</f>
        <v/>
      </c>
      <c r="E640" s="27"/>
      <c r="F640" s="29"/>
      <c r="G640" s="25" t="str">
        <f>IFERROR(IF(C640="","",INDEX(마스터!$J$4:$J$20,MATCH(C640,마스터!$M$4:$M$20,0))),"")</f>
        <v/>
      </c>
      <c r="H640" s="30"/>
      <c r="I640" s="30"/>
    </row>
    <row r="641" spans="1:9" ht="15" customHeight="1" x14ac:dyDescent="0.25">
      <c r="A641" s="25" t="str">
        <f t="shared" si="9"/>
        <v/>
      </c>
      <c r="B641" s="26"/>
      <c r="C641" s="27"/>
      <c r="D641" s="28" t="str">
        <f>IFERROR(IF(C641="","",INDEX(마스터!$F$4:$F$20,MATCH(C641,마스터!$M$4:$M$20,0))),"")</f>
        <v/>
      </c>
      <c r="E641" s="27"/>
      <c r="F641" s="29"/>
      <c r="G641" s="25" t="str">
        <f>IFERROR(IF(C641="","",INDEX(마스터!$J$4:$J$20,MATCH(C641,마스터!$M$4:$M$20,0))),"")</f>
        <v/>
      </c>
      <c r="H641" s="30"/>
      <c r="I641" s="30"/>
    </row>
    <row r="642" spans="1:9" ht="15" customHeight="1" x14ac:dyDescent="0.25">
      <c r="A642" s="25" t="str">
        <f t="shared" si="9"/>
        <v/>
      </c>
      <c r="B642" s="26"/>
      <c r="C642" s="27"/>
      <c r="D642" s="28" t="str">
        <f>IFERROR(IF(C642="","",INDEX(마스터!$F$4:$F$20,MATCH(C642,마스터!$M$4:$M$20,0))),"")</f>
        <v/>
      </c>
      <c r="E642" s="27"/>
      <c r="F642" s="29"/>
      <c r="G642" s="25" t="str">
        <f>IFERROR(IF(C642="","",INDEX(마스터!$J$4:$J$20,MATCH(C642,마스터!$M$4:$M$20,0))),"")</f>
        <v/>
      </c>
      <c r="H642" s="30"/>
      <c r="I642" s="30"/>
    </row>
    <row r="643" spans="1:9" ht="15" customHeight="1" x14ac:dyDescent="0.25">
      <c r="A643" s="25" t="str">
        <f t="shared" si="9"/>
        <v/>
      </c>
      <c r="B643" s="26"/>
      <c r="C643" s="27"/>
      <c r="D643" s="28" t="str">
        <f>IFERROR(IF(C643="","",INDEX(마스터!$F$4:$F$20,MATCH(C643,마스터!$M$4:$M$20,0))),"")</f>
        <v/>
      </c>
      <c r="E643" s="27"/>
      <c r="F643" s="29"/>
      <c r="G643" s="25" t="str">
        <f>IFERROR(IF(C643="","",INDEX(마스터!$J$4:$J$20,MATCH(C643,마스터!$M$4:$M$20,0))),"")</f>
        <v/>
      </c>
      <c r="H643" s="30"/>
      <c r="I643" s="30"/>
    </row>
    <row r="644" spans="1:9" ht="15" customHeight="1" x14ac:dyDescent="0.25">
      <c r="A644" s="25" t="str">
        <f t="shared" si="9"/>
        <v/>
      </c>
      <c r="B644" s="26"/>
      <c r="C644" s="27"/>
      <c r="D644" s="28" t="str">
        <f>IFERROR(IF(C644="","",INDEX(마스터!$F$4:$F$20,MATCH(C644,마스터!$M$4:$M$20,0))),"")</f>
        <v/>
      </c>
      <c r="E644" s="27"/>
      <c r="F644" s="29"/>
      <c r="G644" s="25" t="str">
        <f>IFERROR(IF(C644="","",INDEX(마스터!$J$4:$J$20,MATCH(C644,마스터!$M$4:$M$20,0))),"")</f>
        <v/>
      </c>
      <c r="H644" s="30"/>
      <c r="I644" s="30"/>
    </row>
    <row r="645" spans="1:9" ht="15" customHeight="1" x14ac:dyDescent="0.25">
      <c r="A645" s="25" t="str">
        <f t="shared" si="9"/>
        <v/>
      </c>
      <c r="B645" s="26"/>
      <c r="C645" s="27"/>
      <c r="D645" s="28" t="str">
        <f>IFERROR(IF(C645="","",INDEX(마스터!$F$4:$F$20,MATCH(C645,마스터!$M$4:$M$20,0))),"")</f>
        <v/>
      </c>
      <c r="E645" s="27"/>
      <c r="F645" s="29"/>
      <c r="G645" s="25" t="str">
        <f>IFERROR(IF(C645="","",INDEX(마스터!$J$4:$J$20,MATCH(C645,마스터!$M$4:$M$20,0))),"")</f>
        <v/>
      </c>
      <c r="H645" s="30"/>
      <c r="I645" s="30"/>
    </row>
    <row r="646" spans="1:9" ht="15" customHeight="1" x14ac:dyDescent="0.25">
      <c r="A646" s="25" t="str">
        <f t="shared" si="9"/>
        <v/>
      </c>
      <c r="B646" s="26"/>
      <c r="C646" s="27"/>
      <c r="D646" s="28" t="str">
        <f>IFERROR(IF(C646="","",INDEX(마스터!$F$4:$F$20,MATCH(C646,마스터!$M$4:$M$20,0))),"")</f>
        <v/>
      </c>
      <c r="E646" s="27"/>
      <c r="F646" s="29"/>
      <c r="G646" s="25" t="str">
        <f>IFERROR(IF(C646="","",INDEX(마스터!$J$4:$J$20,MATCH(C646,마스터!$M$4:$M$20,0))),"")</f>
        <v/>
      </c>
      <c r="H646" s="30"/>
      <c r="I646" s="30"/>
    </row>
    <row r="647" spans="1:9" ht="15" customHeight="1" x14ac:dyDescent="0.25">
      <c r="A647" s="25" t="str">
        <f t="shared" si="9"/>
        <v/>
      </c>
      <c r="B647" s="26"/>
      <c r="C647" s="27"/>
      <c r="D647" s="28" t="str">
        <f>IFERROR(IF(C647="","",INDEX(마스터!$F$4:$F$20,MATCH(C647,마스터!$M$4:$M$20,0))),"")</f>
        <v/>
      </c>
      <c r="E647" s="27"/>
      <c r="F647" s="29"/>
      <c r="G647" s="25" t="str">
        <f>IFERROR(IF(C647="","",INDEX(마스터!$J$4:$J$20,MATCH(C647,마스터!$M$4:$M$20,0))),"")</f>
        <v/>
      </c>
      <c r="H647" s="30"/>
      <c r="I647" s="30"/>
    </row>
    <row r="648" spans="1:9" ht="15" customHeight="1" x14ac:dyDescent="0.25">
      <c r="A648" s="25" t="str">
        <f t="shared" ref="A648:A711" si="10">IF(B648="","",ROW()-7)</f>
        <v/>
      </c>
      <c r="B648" s="26"/>
      <c r="C648" s="27"/>
      <c r="D648" s="28" t="str">
        <f>IFERROR(IF(C648="","",INDEX(마스터!$F$4:$F$20,MATCH(C648,마스터!$M$4:$M$20,0))),"")</f>
        <v/>
      </c>
      <c r="E648" s="27"/>
      <c r="F648" s="29"/>
      <c r="G648" s="25" t="str">
        <f>IFERROR(IF(C648="","",INDEX(마스터!$J$4:$J$20,MATCH(C648,마스터!$M$4:$M$20,0))),"")</f>
        <v/>
      </c>
      <c r="H648" s="30"/>
      <c r="I648" s="30"/>
    </row>
    <row r="649" spans="1:9" ht="15" customHeight="1" x14ac:dyDescent="0.25">
      <c r="A649" s="25" t="str">
        <f t="shared" si="10"/>
        <v/>
      </c>
      <c r="B649" s="26"/>
      <c r="C649" s="27"/>
      <c r="D649" s="28" t="str">
        <f>IFERROR(IF(C649="","",INDEX(마스터!$F$4:$F$20,MATCH(C649,마스터!$M$4:$M$20,0))),"")</f>
        <v/>
      </c>
      <c r="E649" s="27"/>
      <c r="F649" s="29"/>
      <c r="G649" s="25" t="str">
        <f>IFERROR(IF(C649="","",INDEX(마스터!$J$4:$J$20,MATCH(C649,마스터!$M$4:$M$20,0))),"")</f>
        <v/>
      </c>
      <c r="H649" s="30"/>
      <c r="I649" s="30"/>
    </row>
    <row r="650" spans="1:9" ht="15" customHeight="1" x14ac:dyDescent="0.25">
      <c r="A650" s="25" t="str">
        <f t="shared" si="10"/>
        <v/>
      </c>
      <c r="B650" s="26"/>
      <c r="C650" s="27"/>
      <c r="D650" s="28" t="str">
        <f>IFERROR(IF(C650="","",INDEX(마스터!$F$4:$F$20,MATCH(C650,마스터!$M$4:$M$20,0))),"")</f>
        <v/>
      </c>
      <c r="E650" s="27"/>
      <c r="F650" s="29"/>
      <c r="G650" s="25" t="str">
        <f>IFERROR(IF(C650="","",INDEX(마스터!$J$4:$J$20,MATCH(C650,마스터!$M$4:$M$20,0))),"")</f>
        <v/>
      </c>
      <c r="H650" s="30"/>
      <c r="I650" s="30"/>
    </row>
    <row r="651" spans="1:9" ht="15" customHeight="1" x14ac:dyDescent="0.25">
      <c r="A651" s="25" t="str">
        <f t="shared" si="10"/>
        <v/>
      </c>
      <c r="B651" s="26"/>
      <c r="C651" s="27"/>
      <c r="D651" s="28" t="str">
        <f>IFERROR(IF(C651="","",INDEX(마스터!$F$4:$F$20,MATCH(C651,마스터!$M$4:$M$20,0))),"")</f>
        <v/>
      </c>
      <c r="E651" s="27"/>
      <c r="F651" s="29"/>
      <c r="G651" s="25" t="str">
        <f>IFERROR(IF(C651="","",INDEX(마스터!$J$4:$J$20,MATCH(C651,마스터!$M$4:$M$20,0))),"")</f>
        <v/>
      </c>
      <c r="H651" s="30"/>
      <c r="I651" s="30"/>
    </row>
    <row r="652" spans="1:9" ht="15" customHeight="1" x14ac:dyDescent="0.25">
      <c r="A652" s="25" t="str">
        <f t="shared" si="10"/>
        <v/>
      </c>
      <c r="B652" s="26"/>
      <c r="C652" s="27"/>
      <c r="D652" s="28" t="str">
        <f>IFERROR(IF(C652="","",INDEX(마스터!$F$4:$F$20,MATCH(C652,마스터!$M$4:$M$20,0))),"")</f>
        <v/>
      </c>
      <c r="E652" s="27"/>
      <c r="F652" s="29"/>
      <c r="G652" s="25" t="str">
        <f>IFERROR(IF(C652="","",INDEX(마스터!$J$4:$J$20,MATCH(C652,마스터!$M$4:$M$20,0))),"")</f>
        <v/>
      </c>
      <c r="H652" s="30"/>
      <c r="I652" s="30"/>
    </row>
    <row r="653" spans="1:9" ht="15" customHeight="1" x14ac:dyDescent="0.25">
      <c r="A653" s="25" t="str">
        <f t="shared" si="10"/>
        <v/>
      </c>
      <c r="B653" s="26"/>
      <c r="C653" s="27"/>
      <c r="D653" s="28" t="str">
        <f>IFERROR(IF(C653="","",INDEX(마스터!$F$4:$F$20,MATCH(C653,마스터!$M$4:$M$20,0))),"")</f>
        <v/>
      </c>
      <c r="E653" s="27"/>
      <c r="F653" s="29"/>
      <c r="G653" s="25" t="str">
        <f>IFERROR(IF(C653="","",INDEX(마스터!$J$4:$J$20,MATCH(C653,마스터!$M$4:$M$20,0))),"")</f>
        <v/>
      </c>
      <c r="H653" s="30"/>
      <c r="I653" s="30"/>
    </row>
    <row r="654" spans="1:9" ht="15" customHeight="1" x14ac:dyDescent="0.25">
      <c r="A654" s="25" t="str">
        <f t="shared" si="10"/>
        <v/>
      </c>
      <c r="B654" s="26"/>
      <c r="C654" s="27"/>
      <c r="D654" s="28" t="str">
        <f>IFERROR(IF(C654="","",INDEX(마스터!$F$4:$F$20,MATCH(C654,마스터!$M$4:$M$20,0))),"")</f>
        <v/>
      </c>
      <c r="E654" s="27"/>
      <c r="F654" s="29"/>
      <c r="G654" s="25" t="str">
        <f>IFERROR(IF(C654="","",INDEX(마스터!$J$4:$J$20,MATCH(C654,마스터!$M$4:$M$20,0))),"")</f>
        <v/>
      </c>
      <c r="H654" s="30"/>
      <c r="I654" s="30"/>
    </row>
    <row r="655" spans="1:9" ht="15" customHeight="1" x14ac:dyDescent="0.25">
      <c r="A655" s="25" t="str">
        <f t="shared" si="10"/>
        <v/>
      </c>
      <c r="B655" s="26"/>
      <c r="C655" s="27"/>
      <c r="D655" s="28" t="str">
        <f>IFERROR(IF(C655="","",INDEX(마스터!$F$4:$F$20,MATCH(C655,마스터!$M$4:$M$20,0))),"")</f>
        <v/>
      </c>
      <c r="E655" s="27"/>
      <c r="F655" s="29"/>
      <c r="G655" s="25" t="str">
        <f>IFERROR(IF(C655="","",INDEX(마스터!$J$4:$J$20,MATCH(C655,마스터!$M$4:$M$20,0))),"")</f>
        <v/>
      </c>
      <c r="H655" s="30"/>
      <c r="I655" s="30"/>
    </row>
    <row r="656" spans="1:9" ht="15" customHeight="1" x14ac:dyDescent="0.25">
      <c r="A656" s="25" t="str">
        <f t="shared" si="10"/>
        <v/>
      </c>
      <c r="B656" s="26"/>
      <c r="C656" s="27"/>
      <c r="D656" s="28" t="str">
        <f>IFERROR(IF(C656="","",INDEX(마스터!$F$4:$F$20,MATCH(C656,마스터!$M$4:$M$20,0))),"")</f>
        <v/>
      </c>
      <c r="E656" s="27"/>
      <c r="F656" s="29"/>
      <c r="G656" s="25" t="str">
        <f>IFERROR(IF(C656="","",INDEX(마스터!$J$4:$J$20,MATCH(C656,마스터!$M$4:$M$20,0))),"")</f>
        <v/>
      </c>
      <c r="H656" s="30"/>
      <c r="I656" s="30"/>
    </row>
    <row r="657" spans="1:9" ht="15" customHeight="1" x14ac:dyDescent="0.25">
      <c r="A657" s="25" t="str">
        <f t="shared" si="10"/>
        <v/>
      </c>
      <c r="B657" s="26"/>
      <c r="C657" s="27"/>
      <c r="D657" s="28" t="str">
        <f>IFERROR(IF(C657="","",INDEX(마스터!$F$4:$F$20,MATCH(C657,마스터!$M$4:$M$20,0))),"")</f>
        <v/>
      </c>
      <c r="E657" s="27"/>
      <c r="F657" s="29"/>
      <c r="G657" s="25" t="str">
        <f>IFERROR(IF(C657="","",INDEX(마스터!$J$4:$J$20,MATCH(C657,마스터!$M$4:$M$20,0))),"")</f>
        <v/>
      </c>
      <c r="H657" s="30"/>
      <c r="I657" s="30"/>
    </row>
    <row r="658" spans="1:9" ht="15" customHeight="1" x14ac:dyDescent="0.25">
      <c r="A658" s="25" t="str">
        <f t="shared" si="10"/>
        <v/>
      </c>
      <c r="B658" s="26"/>
      <c r="C658" s="27"/>
      <c r="D658" s="28" t="str">
        <f>IFERROR(IF(C658="","",INDEX(마스터!$F$4:$F$20,MATCH(C658,마스터!$M$4:$M$20,0))),"")</f>
        <v/>
      </c>
      <c r="E658" s="27"/>
      <c r="F658" s="29"/>
      <c r="G658" s="25" t="str">
        <f>IFERROR(IF(C658="","",INDEX(마스터!$J$4:$J$20,MATCH(C658,마스터!$M$4:$M$20,0))),"")</f>
        <v/>
      </c>
      <c r="H658" s="30"/>
      <c r="I658" s="30"/>
    </row>
    <row r="659" spans="1:9" ht="15" customHeight="1" x14ac:dyDescent="0.25">
      <c r="A659" s="25" t="str">
        <f t="shared" si="10"/>
        <v/>
      </c>
      <c r="B659" s="26"/>
      <c r="C659" s="27"/>
      <c r="D659" s="28" t="str">
        <f>IFERROR(IF(C659="","",INDEX(마스터!$F$4:$F$20,MATCH(C659,마스터!$M$4:$M$20,0))),"")</f>
        <v/>
      </c>
      <c r="E659" s="27"/>
      <c r="F659" s="29"/>
      <c r="G659" s="25" t="str">
        <f>IFERROR(IF(C659="","",INDEX(마스터!$J$4:$J$20,MATCH(C659,마스터!$M$4:$M$20,0))),"")</f>
        <v/>
      </c>
      <c r="H659" s="30"/>
      <c r="I659" s="30"/>
    </row>
    <row r="660" spans="1:9" ht="15" customHeight="1" x14ac:dyDescent="0.25">
      <c r="A660" s="25" t="str">
        <f t="shared" si="10"/>
        <v/>
      </c>
      <c r="B660" s="26"/>
      <c r="C660" s="27"/>
      <c r="D660" s="28" t="str">
        <f>IFERROR(IF(C660="","",INDEX(마스터!$F$4:$F$20,MATCH(C660,마스터!$M$4:$M$20,0))),"")</f>
        <v/>
      </c>
      <c r="E660" s="27"/>
      <c r="F660" s="29"/>
      <c r="G660" s="25" t="str">
        <f>IFERROR(IF(C660="","",INDEX(마스터!$J$4:$J$20,MATCH(C660,마스터!$M$4:$M$20,0))),"")</f>
        <v/>
      </c>
      <c r="H660" s="30"/>
      <c r="I660" s="30"/>
    </row>
    <row r="661" spans="1:9" ht="15" customHeight="1" x14ac:dyDescent="0.25">
      <c r="A661" s="25" t="str">
        <f t="shared" si="10"/>
        <v/>
      </c>
      <c r="B661" s="26"/>
      <c r="C661" s="27"/>
      <c r="D661" s="28" t="str">
        <f>IFERROR(IF(C661="","",INDEX(마스터!$F$4:$F$20,MATCH(C661,마스터!$M$4:$M$20,0))),"")</f>
        <v/>
      </c>
      <c r="E661" s="27"/>
      <c r="F661" s="29"/>
      <c r="G661" s="25" t="str">
        <f>IFERROR(IF(C661="","",INDEX(마스터!$J$4:$J$20,MATCH(C661,마스터!$M$4:$M$20,0))),"")</f>
        <v/>
      </c>
      <c r="H661" s="30"/>
      <c r="I661" s="30"/>
    </row>
    <row r="662" spans="1:9" ht="15" customHeight="1" x14ac:dyDescent="0.25">
      <c r="A662" s="25" t="str">
        <f t="shared" si="10"/>
        <v/>
      </c>
      <c r="B662" s="26"/>
      <c r="C662" s="27"/>
      <c r="D662" s="28" t="str">
        <f>IFERROR(IF(C662="","",INDEX(마스터!$F$4:$F$20,MATCH(C662,마스터!$M$4:$M$20,0))),"")</f>
        <v/>
      </c>
      <c r="E662" s="27"/>
      <c r="F662" s="29"/>
      <c r="G662" s="25" t="str">
        <f>IFERROR(IF(C662="","",INDEX(마스터!$J$4:$J$20,MATCH(C662,마스터!$M$4:$M$20,0))),"")</f>
        <v/>
      </c>
      <c r="H662" s="30"/>
      <c r="I662" s="30"/>
    </row>
    <row r="663" spans="1:9" ht="15" customHeight="1" x14ac:dyDescent="0.25">
      <c r="A663" s="25" t="str">
        <f t="shared" si="10"/>
        <v/>
      </c>
      <c r="B663" s="26"/>
      <c r="C663" s="27"/>
      <c r="D663" s="28" t="str">
        <f>IFERROR(IF(C663="","",INDEX(마스터!$F$4:$F$20,MATCH(C663,마스터!$M$4:$M$20,0))),"")</f>
        <v/>
      </c>
      <c r="E663" s="27"/>
      <c r="F663" s="29"/>
      <c r="G663" s="25" t="str">
        <f>IFERROR(IF(C663="","",INDEX(마스터!$J$4:$J$20,MATCH(C663,마스터!$M$4:$M$20,0))),"")</f>
        <v/>
      </c>
      <c r="H663" s="30"/>
      <c r="I663" s="30"/>
    </row>
    <row r="664" spans="1:9" ht="15" customHeight="1" x14ac:dyDescent="0.25">
      <c r="A664" s="25" t="str">
        <f t="shared" si="10"/>
        <v/>
      </c>
      <c r="B664" s="26"/>
      <c r="C664" s="27"/>
      <c r="D664" s="28" t="str">
        <f>IFERROR(IF(C664="","",INDEX(마스터!$F$4:$F$20,MATCH(C664,마스터!$M$4:$M$20,0))),"")</f>
        <v/>
      </c>
      <c r="E664" s="27"/>
      <c r="F664" s="29"/>
      <c r="G664" s="25" t="str">
        <f>IFERROR(IF(C664="","",INDEX(마스터!$J$4:$J$20,MATCH(C664,마스터!$M$4:$M$20,0))),"")</f>
        <v/>
      </c>
      <c r="H664" s="30"/>
      <c r="I664" s="30"/>
    </row>
    <row r="665" spans="1:9" ht="15" customHeight="1" x14ac:dyDescent="0.25">
      <c r="A665" s="25" t="str">
        <f t="shared" si="10"/>
        <v/>
      </c>
      <c r="B665" s="26"/>
      <c r="C665" s="27"/>
      <c r="D665" s="28" t="str">
        <f>IFERROR(IF(C665="","",INDEX(마스터!$F$4:$F$20,MATCH(C665,마스터!$M$4:$M$20,0))),"")</f>
        <v/>
      </c>
      <c r="E665" s="27"/>
      <c r="F665" s="29"/>
      <c r="G665" s="25" t="str">
        <f>IFERROR(IF(C665="","",INDEX(마스터!$J$4:$J$20,MATCH(C665,마스터!$M$4:$M$20,0))),"")</f>
        <v/>
      </c>
      <c r="H665" s="30"/>
      <c r="I665" s="30"/>
    </row>
    <row r="666" spans="1:9" ht="15" customHeight="1" x14ac:dyDescent="0.25">
      <c r="A666" s="25" t="str">
        <f t="shared" si="10"/>
        <v/>
      </c>
      <c r="B666" s="26"/>
      <c r="C666" s="27"/>
      <c r="D666" s="28" t="str">
        <f>IFERROR(IF(C666="","",INDEX(마스터!$F$4:$F$20,MATCH(C666,마스터!$M$4:$M$20,0))),"")</f>
        <v/>
      </c>
      <c r="E666" s="27"/>
      <c r="F666" s="29"/>
      <c r="G666" s="25" t="str">
        <f>IFERROR(IF(C666="","",INDEX(마스터!$J$4:$J$20,MATCH(C666,마스터!$M$4:$M$20,0))),"")</f>
        <v/>
      </c>
      <c r="H666" s="30"/>
      <c r="I666" s="30"/>
    </row>
    <row r="667" spans="1:9" ht="15" customHeight="1" x14ac:dyDescent="0.25">
      <c r="A667" s="25" t="str">
        <f t="shared" si="10"/>
        <v/>
      </c>
      <c r="B667" s="26"/>
      <c r="C667" s="27"/>
      <c r="D667" s="28" t="str">
        <f>IFERROR(IF(C667="","",INDEX(마스터!$F$4:$F$20,MATCH(C667,마스터!$M$4:$M$20,0))),"")</f>
        <v/>
      </c>
      <c r="E667" s="27"/>
      <c r="F667" s="29"/>
      <c r="G667" s="25" t="str">
        <f>IFERROR(IF(C667="","",INDEX(마스터!$J$4:$J$20,MATCH(C667,마스터!$M$4:$M$20,0))),"")</f>
        <v/>
      </c>
      <c r="H667" s="30"/>
      <c r="I667" s="30"/>
    </row>
    <row r="668" spans="1:9" ht="15" customHeight="1" x14ac:dyDescent="0.25">
      <c r="A668" s="25" t="str">
        <f t="shared" si="10"/>
        <v/>
      </c>
      <c r="B668" s="26"/>
      <c r="C668" s="27"/>
      <c r="D668" s="28" t="str">
        <f>IFERROR(IF(C668="","",INDEX(마스터!$F$4:$F$20,MATCH(C668,마스터!$M$4:$M$20,0))),"")</f>
        <v/>
      </c>
      <c r="E668" s="27"/>
      <c r="F668" s="29"/>
      <c r="G668" s="25" t="str">
        <f>IFERROR(IF(C668="","",INDEX(마스터!$J$4:$J$20,MATCH(C668,마스터!$M$4:$M$20,0))),"")</f>
        <v/>
      </c>
      <c r="H668" s="30"/>
      <c r="I668" s="30"/>
    </row>
    <row r="669" spans="1:9" ht="15" customHeight="1" x14ac:dyDescent="0.25">
      <c r="A669" s="25" t="str">
        <f t="shared" si="10"/>
        <v/>
      </c>
      <c r="B669" s="26"/>
      <c r="C669" s="27"/>
      <c r="D669" s="28" t="str">
        <f>IFERROR(IF(C669="","",INDEX(마스터!$F$4:$F$20,MATCH(C669,마스터!$M$4:$M$20,0))),"")</f>
        <v/>
      </c>
      <c r="E669" s="27"/>
      <c r="F669" s="29"/>
      <c r="G669" s="25" t="str">
        <f>IFERROR(IF(C669="","",INDEX(마스터!$J$4:$J$20,MATCH(C669,마스터!$M$4:$M$20,0))),"")</f>
        <v/>
      </c>
      <c r="H669" s="30"/>
      <c r="I669" s="30"/>
    </row>
    <row r="670" spans="1:9" ht="15" customHeight="1" x14ac:dyDescent="0.25">
      <c r="A670" s="25" t="str">
        <f t="shared" si="10"/>
        <v/>
      </c>
      <c r="B670" s="26"/>
      <c r="C670" s="27"/>
      <c r="D670" s="28" t="str">
        <f>IFERROR(IF(C670="","",INDEX(마스터!$F$4:$F$20,MATCH(C670,마스터!$M$4:$M$20,0))),"")</f>
        <v/>
      </c>
      <c r="E670" s="27"/>
      <c r="F670" s="29"/>
      <c r="G670" s="25" t="str">
        <f>IFERROR(IF(C670="","",INDEX(마스터!$J$4:$J$20,MATCH(C670,마스터!$M$4:$M$20,0))),"")</f>
        <v/>
      </c>
      <c r="H670" s="30"/>
      <c r="I670" s="30"/>
    </row>
    <row r="671" spans="1:9" ht="15" customHeight="1" x14ac:dyDescent="0.25">
      <c r="A671" s="25" t="str">
        <f t="shared" si="10"/>
        <v/>
      </c>
      <c r="B671" s="26"/>
      <c r="C671" s="27"/>
      <c r="D671" s="28" t="str">
        <f>IFERROR(IF(C671="","",INDEX(마스터!$F$4:$F$20,MATCH(C671,마스터!$M$4:$M$20,0))),"")</f>
        <v/>
      </c>
      <c r="E671" s="27"/>
      <c r="F671" s="29"/>
      <c r="G671" s="25" t="str">
        <f>IFERROR(IF(C671="","",INDEX(마스터!$J$4:$J$20,MATCH(C671,마스터!$M$4:$M$20,0))),"")</f>
        <v/>
      </c>
      <c r="H671" s="30"/>
      <c r="I671" s="30"/>
    </row>
    <row r="672" spans="1:9" ht="15" customHeight="1" x14ac:dyDescent="0.25">
      <c r="A672" s="25" t="str">
        <f t="shared" si="10"/>
        <v/>
      </c>
      <c r="B672" s="26"/>
      <c r="C672" s="27"/>
      <c r="D672" s="28" t="str">
        <f>IFERROR(IF(C672="","",INDEX(마스터!$F$4:$F$20,MATCH(C672,마스터!$M$4:$M$20,0))),"")</f>
        <v/>
      </c>
      <c r="E672" s="27"/>
      <c r="F672" s="29"/>
      <c r="G672" s="25" t="str">
        <f>IFERROR(IF(C672="","",INDEX(마스터!$J$4:$J$20,MATCH(C672,마스터!$M$4:$M$20,0))),"")</f>
        <v/>
      </c>
      <c r="H672" s="30"/>
      <c r="I672" s="30"/>
    </row>
    <row r="673" spans="1:9" ht="15" customHeight="1" x14ac:dyDescent="0.25">
      <c r="A673" s="25" t="str">
        <f t="shared" si="10"/>
        <v/>
      </c>
      <c r="B673" s="26"/>
      <c r="C673" s="27"/>
      <c r="D673" s="28" t="str">
        <f>IFERROR(IF(C673="","",INDEX(마스터!$F$4:$F$20,MATCH(C673,마스터!$M$4:$M$20,0))),"")</f>
        <v/>
      </c>
      <c r="E673" s="27"/>
      <c r="F673" s="29"/>
      <c r="G673" s="25" t="str">
        <f>IFERROR(IF(C673="","",INDEX(마스터!$J$4:$J$20,MATCH(C673,마스터!$M$4:$M$20,0))),"")</f>
        <v/>
      </c>
      <c r="H673" s="30"/>
      <c r="I673" s="30"/>
    </row>
    <row r="674" spans="1:9" ht="15" customHeight="1" x14ac:dyDescent="0.25">
      <c r="A674" s="25" t="str">
        <f t="shared" si="10"/>
        <v/>
      </c>
      <c r="B674" s="26"/>
      <c r="C674" s="27"/>
      <c r="D674" s="28" t="str">
        <f>IFERROR(IF(C674="","",INDEX(마스터!$F$4:$F$20,MATCH(C674,마스터!$M$4:$M$20,0))),"")</f>
        <v/>
      </c>
      <c r="E674" s="27"/>
      <c r="F674" s="29"/>
      <c r="G674" s="25" t="str">
        <f>IFERROR(IF(C674="","",INDEX(마스터!$J$4:$J$20,MATCH(C674,마스터!$M$4:$M$20,0))),"")</f>
        <v/>
      </c>
      <c r="H674" s="30"/>
      <c r="I674" s="30"/>
    </row>
    <row r="675" spans="1:9" ht="15" customHeight="1" x14ac:dyDescent="0.25">
      <c r="A675" s="25" t="str">
        <f t="shared" si="10"/>
        <v/>
      </c>
      <c r="B675" s="26"/>
      <c r="C675" s="27"/>
      <c r="D675" s="28" t="str">
        <f>IFERROR(IF(C675="","",INDEX(마스터!$F$4:$F$20,MATCH(C675,마스터!$M$4:$M$20,0))),"")</f>
        <v/>
      </c>
      <c r="E675" s="27"/>
      <c r="F675" s="29"/>
      <c r="G675" s="25" t="str">
        <f>IFERROR(IF(C675="","",INDEX(마스터!$J$4:$J$20,MATCH(C675,마스터!$M$4:$M$20,0))),"")</f>
        <v/>
      </c>
      <c r="H675" s="30"/>
      <c r="I675" s="30"/>
    </row>
    <row r="676" spans="1:9" ht="15" customHeight="1" x14ac:dyDescent="0.25">
      <c r="A676" s="25" t="str">
        <f t="shared" si="10"/>
        <v/>
      </c>
      <c r="B676" s="26"/>
      <c r="C676" s="27"/>
      <c r="D676" s="28" t="str">
        <f>IFERROR(IF(C676="","",INDEX(마스터!$F$4:$F$20,MATCH(C676,마스터!$M$4:$M$20,0))),"")</f>
        <v/>
      </c>
      <c r="E676" s="27"/>
      <c r="F676" s="29"/>
      <c r="G676" s="25" t="str">
        <f>IFERROR(IF(C676="","",INDEX(마스터!$J$4:$J$20,MATCH(C676,마스터!$M$4:$M$20,0))),"")</f>
        <v/>
      </c>
      <c r="H676" s="30"/>
      <c r="I676" s="30"/>
    </row>
    <row r="677" spans="1:9" ht="15" customHeight="1" x14ac:dyDescent="0.25">
      <c r="A677" s="25" t="str">
        <f t="shared" si="10"/>
        <v/>
      </c>
      <c r="B677" s="26"/>
      <c r="C677" s="27"/>
      <c r="D677" s="28" t="str">
        <f>IFERROR(IF(C677="","",INDEX(마스터!$F$4:$F$20,MATCH(C677,마스터!$M$4:$M$20,0))),"")</f>
        <v/>
      </c>
      <c r="E677" s="27"/>
      <c r="F677" s="29"/>
      <c r="G677" s="25" t="str">
        <f>IFERROR(IF(C677="","",INDEX(마스터!$J$4:$J$20,MATCH(C677,마스터!$M$4:$M$20,0))),"")</f>
        <v/>
      </c>
      <c r="H677" s="30"/>
      <c r="I677" s="30"/>
    </row>
    <row r="678" spans="1:9" ht="15" customHeight="1" x14ac:dyDescent="0.25">
      <c r="A678" s="25" t="str">
        <f t="shared" si="10"/>
        <v/>
      </c>
      <c r="B678" s="26"/>
      <c r="C678" s="27"/>
      <c r="D678" s="28" t="str">
        <f>IFERROR(IF(C678="","",INDEX(마스터!$F$4:$F$20,MATCH(C678,마스터!$M$4:$M$20,0))),"")</f>
        <v/>
      </c>
      <c r="E678" s="27"/>
      <c r="F678" s="29"/>
      <c r="G678" s="25" t="str">
        <f>IFERROR(IF(C678="","",INDEX(마스터!$J$4:$J$20,MATCH(C678,마스터!$M$4:$M$20,0))),"")</f>
        <v/>
      </c>
      <c r="H678" s="30"/>
      <c r="I678" s="30"/>
    </row>
    <row r="679" spans="1:9" ht="15" customHeight="1" x14ac:dyDescent="0.25">
      <c r="A679" s="25" t="str">
        <f t="shared" si="10"/>
        <v/>
      </c>
      <c r="B679" s="26"/>
      <c r="C679" s="27"/>
      <c r="D679" s="28" t="str">
        <f>IFERROR(IF(C679="","",INDEX(마스터!$F$4:$F$20,MATCH(C679,마스터!$M$4:$M$20,0))),"")</f>
        <v/>
      </c>
      <c r="E679" s="27"/>
      <c r="F679" s="29"/>
      <c r="G679" s="25" t="str">
        <f>IFERROR(IF(C679="","",INDEX(마스터!$J$4:$J$20,MATCH(C679,마스터!$M$4:$M$20,0))),"")</f>
        <v/>
      </c>
      <c r="H679" s="30"/>
      <c r="I679" s="30"/>
    </row>
    <row r="680" spans="1:9" ht="15" customHeight="1" x14ac:dyDescent="0.25">
      <c r="A680" s="25" t="str">
        <f t="shared" si="10"/>
        <v/>
      </c>
      <c r="B680" s="26"/>
      <c r="C680" s="27"/>
      <c r="D680" s="28" t="str">
        <f>IFERROR(IF(C680="","",INDEX(마스터!$F$4:$F$20,MATCH(C680,마스터!$M$4:$M$20,0))),"")</f>
        <v/>
      </c>
      <c r="E680" s="27"/>
      <c r="F680" s="29"/>
      <c r="G680" s="25" t="str">
        <f>IFERROR(IF(C680="","",INDEX(마스터!$J$4:$J$20,MATCH(C680,마스터!$M$4:$M$20,0))),"")</f>
        <v/>
      </c>
      <c r="H680" s="30"/>
      <c r="I680" s="30"/>
    </row>
    <row r="681" spans="1:9" ht="15" customHeight="1" x14ac:dyDescent="0.25">
      <c r="A681" s="25" t="str">
        <f t="shared" si="10"/>
        <v/>
      </c>
      <c r="B681" s="26"/>
      <c r="C681" s="27"/>
      <c r="D681" s="28" t="str">
        <f>IFERROR(IF(C681="","",INDEX(마스터!$F$4:$F$20,MATCH(C681,마스터!$M$4:$M$20,0))),"")</f>
        <v/>
      </c>
      <c r="E681" s="27"/>
      <c r="F681" s="29"/>
      <c r="G681" s="25" t="str">
        <f>IFERROR(IF(C681="","",INDEX(마스터!$J$4:$J$20,MATCH(C681,마스터!$M$4:$M$20,0))),"")</f>
        <v/>
      </c>
      <c r="H681" s="30"/>
      <c r="I681" s="30"/>
    </row>
    <row r="682" spans="1:9" ht="15" customHeight="1" x14ac:dyDescent="0.25">
      <c r="A682" s="25" t="str">
        <f t="shared" si="10"/>
        <v/>
      </c>
      <c r="B682" s="26"/>
      <c r="C682" s="27"/>
      <c r="D682" s="28" t="str">
        <f>IFERROR(IF(C682="","",INDEX(마스터!$F$4:$F$20,MATCH(C682,마스터!$M$4:$M$20,0))),"")</f>
        <v/>
      </c>
      <c r="E682" s="27"/>
      <c r="F682" s="29"/>
      <c r="G682" s="25" t="str">
        <f>IFERROR(IF(C682="","",INDEX(마스터!$J$4:$J$20,MATCH(C682,마스터!$M$4:$M$20,0))),"")</f>
        <v/>
      </c>
      <c r="H682" s="30"/>
      <c r="I682" s="30"/>
    </row>
    <row r="683" spans="1:9" ht="15" customHeight="1" x14ac:dyDescent="0.25">
      <c r="A683" s="25" t="str">
        <f t="shared" si="10"/>
        <v/>
      </c>
      <c r="B683" s="26"/>
      <c r="C683" s="27"/>
      <c r="D683" s="28" t="str">
        <f>IFERROR(IF(C683="","",INDEX(마스터!$F$4:$F$20,MATCH(C683,마스터!$M$4:$M$20,0))),"")</f>
        <v/>
      </c>
      <c r="E683" s="27"/>
      <c r="F683" s="29"/>
      <c r="G683" s="25" t="str">
        <f>IFERROR(IF(C683="","",INDEX(마스터!$J$4:$J$20,MATCH(C683,마스터!$M$4:$M$20,0))),"")</f>
        <v/>
      </c>
      <c r="H683" s="30"/>
      <c r="I683" s="30"/>
    </row>
    <row r="684" spans="1:9" ht="15" customHeight="1" x14ac:dyDescent="0.25">
      <c r="A684" s="25" t="str">
        <f t="shared" si="10"/>
        <v/>
      </c>
      <c r="B684" s="26"/>
      <c r="C684" s="27"/>
      <c r="D684" s="28" t="str">
        <f>IFERROR(IF(C684="","",INDEX(마스터!$F$4:$F$20,MATCH(C684,마스터!$M$4:$M$20,0))),"")</f>
        <v/>
      </c>
      <c r="E684" s="27"/>
      <c r="F684" s="29"/>
      <c r="G684" s="25" t="str">
        <f>IFERROR(IF(C684="","",INDEX(마스터!$J$4:$J$20,MATCH(C684,마스터!$M$4:$M$20,0))),"")</f>
        <v/>
      </c>
      <c r="H684" s="30"/>
      <c r="I684" s="30"/>
    </row>
    <row r="685" spans="1:9" ht="15" customHeight="1" x14ac:dyDescent="0.25">
      <c r="A685" s="25" t="str">
        <f t="shared" si="10"/>
        <v/>
      </c>
      <c r="B685" s="26"/>
      <c r="C685" s="27"/>
      <c r="D685" s="28" t="str">
        <f>IFERROR(IF(C685="","",INDEX(마스터!$F$4:$F$20,MATCH(C685,마스터!$M$4:$M$20,0))),"")</f>
        <v/>
      </c>
      <c r="E685" s="27"/>
      <c r="F685" s="29"/>
      <c r="G685" s="25" t="str">
        <f>IFERROR(IF(C685="","",INDEX(마스터!$J$4:$J$20,MATCH(C685,마스터!$M$4:$M$20,0))),"")</f>
        <v/>
      </c>
      <c r="H685" s="30"/>
      <c r="I685" s="30"/>
    </row>
    <row r="686" spans="1:9" ht="15" customHeight="1" x14ac:dyDescent="0.25">
      <c r="A686" s="25" t="str">
        <f t="shared" si="10"/>
        <v/>
      </c>
      <c r="B686" s="26"/>
      <c r="C686" s="27"/>
      <c r="D686" s="28" t="str">
        <f>IFERROR(IF(C686="","",INDEX(마스터!$F$4:$F$20,MATCH(C686,마스터!$M$4:$M$20,0))),"")</f>
        <v/>
      </c>
      <c r="E686" s="27"/>
      <c r="F686" s="29"/>
      <c r="G686" s="25" t="str">
        <f>IFERROR(IF(C686="","",INDEX(마스터!$J$4:$J$20,MATCH(C686,마스터!$M$4:$M$20,0))),"")</f>
        <v/>
      </c>
      <c r="H686" s="30"/>
      <c r="I686" s="30"/>
    </row>
    <row r="687" spans="1:9" ht="15" customHeight="1" x14ac:dyDescent="0.25">
      <c r="A687" s="25" t="str">
        <f t="shared" si="10"/>
        <v/>
      </c>
      <c r="B687" s="26"/>
      <c r="C687" s="27"/>
      <c r="D687" s="28" t="str">
        <f>IFERROR(IF(C687="","",INDEX(마스터!$F$4:$F$20,MATCH(C687,마스터!$M$4:$M$20,0))),"")</f>
        <v/>
      </c>
      <c r="E687" s="27"/>
      <c r="F687" s="29"/>
      <c r="G687" s="25" t="str">
        <f>IFERROR(IF(C687="","",INDEX(마스터!$J$4:$J$20,MATCH(C687,마스터!$M$4:$M$20,0))),"")</f>
        <v/>
      </c>
      <c r="H687" s="30"/>
      <c r="I687" s="30"/>
    </row>
    <row r="688" spans="1:9" ht="15" customHeight="1" x14ac:dyDescent="0.25">
      <c r="A688" s="25" t="str">
        <f t="shared" si="10"/>
        <v/>
      </c>
      <c r="B688" s="26"/>
      <c r="C688" s="27"/>
      <c r="D688" s="28" t="str">
        <f>IFERROR(IF(C688="","",INDEX(마스터!$F$4:$F$20,MATCH(C688,마스터!$M$4:$M$20,0))),"")</f>
        <v/>
      </c>
      <c r="E688" s="27"/>
      <c r="F688" s="29"/>
      <c r="G688" s="25" t="str">
        <f>IFERROR(IF(C688="","",INDEX(마스터!$J$4:$J$20,MATCH(C688,마스터!$M$4:$M$20,0))),"")</f>
        <v/>
      </c>
      <c r="H688" s="30"/>
      <c r="I688" s="30"/>
    </row>
    <row r="689" spans="1:9" ht="15" customHeight="1" x14ac:dyDescent="0.25">
      <c r="A689" s="25" t="str">
        <f t="shared" si="10"/>
        <v/>
      </c>
      <c r="B689" s="26"/>
      <c r="C689" s="27"/>
      <c r="D689" s="28" t="str">
        <f>IFERROR(IF(C689="","",INDEX(마스터!$F$4:$F$20,MATCH(C689,마스터!$M$4:$M$20,0))),"")</f>
        <v/>
      </c>
      <c r="E689" s="27"/>
      <c r="F689" s="29"/>
      <c r="G689" s="25" t="str">
        <f>IFERROR(IF(C689="","",INDEX(마스터!$J$4:$J$20,MATCH(C689,마스터!$M$4:$M$20,0))),"")</f>
        <v/>
      </c>
      <c r="H689" s="30"/>
      <c r="I689" s="30"/>
    </row>
    <row r="690" spans="1:9" ht="15" customHeight="1" x14ac:dyDescent="0.25">
      <c r="A690" s="25" t="str">
        <f t="shared" si="10"/>
        <v/>
      </c>
      <c r="B690" s="26"/>
      <c r="C690" s="27"/>
      <c r="D690" s="28" t="str">
        <f>IFERROR(IF(C690="","",INDEX(마스터!$F$4:$F$20,MATCH(C690,마스터!$M$4:$M$20,0))),"")</f>
        <v/>
      </c>
      <c r="E690" s="27"/>
      <c r="F690" s="29"/>
      <c r="G690" s="25" t="str">
        <f>IFERROR(IF(C690="","",INDEX(마스터!$J$4:$J$20,MATCH(C690,마스터!$M$4:$M$20,0))),"")</f>
        <v/>
      </c>
      <c r="H690" s="30"/>
      <c r="I690" s="30"/>
    </row>
    <row r="691" spans="1:9" ht="15" customHeight="1" x14ac:dyDescent="0.25">
      <c r="A691" s="25" t="str">
        <f t="shared" si="10"/>
        <v/>
      </c>
      <c r="B691" s="26"/>
      <c r="C691" s="27"/>
      <c r="D691" s="28" t="str">
        <f>IFERROR(IF(C691="","",INDEX(마스터!$F$4:$F$20,MATCH(C691,마스터!$M$4:$M$20,0))),"")</f>
        <v/>
      </c>
      <c r="E691" s="27"/>
      <c r="F691" s="29"/>
      <c r="G691" s="25" t="str">
        <f>IFERROR(IF(C691="","",INDEX(마스터!$J$4:$J$20,MATCH(C691,마스터!$M$4:$M$20,0))),"")</f>
        <v/>
      </c>
      <c r="H691" s="30"/>
      <c r="I691" s="30"/>
    </row>
    <row r="692" spans="1:9" ht="15" customHeight="1" x14ac:dyDescent="0.25">
      <c r="A692" s="25" t="str">
        <f t="shared" si="10"/>
        <v/>
      </c>
      <c r="B692" s="26"/>
      <c r="C692" s="27"/>
      <c r="D692" s="28" t="str">
        <f>IFERROR(IF(C692="","",INDEX(마스터!$F$4:$F$20,MATCH(C692,마스터!$M$4:$M$20,0))),"")</f>
        <v/>
      </c>
      <c r="E692" s="27"/>
      <c r="F692" s="29"/>
      <c r="G692" s="25" t="str">
        <f>IFERROR(IF(C692="","",INDEX(마스터!$J$4:$J$20,MATCH(C692,마스터!$M$4:$M$20,0))),"")</f>
        <v/>
      </c>
      <c r="H692" s="30"/>
      <c r="I692" s="30"/>
    </row>
    <row r="693" spans="1:9" ht="15" customHeight="1" x14ac:dyDescent="0.25">
      <c r="A693" s="25" t="str">
        <f t="shared" si="10"/>
        <v/>
      </c>
      <c r="B693" s="26"/>
      <c r="C693" s="27"/>
      <c r="D693" s="28" t="str">
        <f>IFERROR(IF(C693="","",INDEX(마스터!$F$4:$F$20,MATCH(C693,마스터!$M$4:$M$20,0))),"")</f>
        <v/>
      </c>
      <c r="E693" s="27"/>
      <c r="F693" s="29"/>
      <c r="G693" s="25" t="str">
        <f>IFERROR(IF(C693="","",INDEX(마스터!$J$4:$J$20,MATCH(C693,마스터!$M$4:$M$20,0))),"")</f>
        <v/>
      </c>
      <c r="H693" s="30"/>
      <c r="I693" s="30"/>
    </row>
    <row r="694" spans="1:9" ht="15" customHeight="1" x14ac:dyDescent="0.25">
      <c r="A694" s="25" t="str">
        <f t="shared" si="10"/>
        <v/>
      </c>
      <c r="B694" s="26"/>
      <c r="C694" s="27"/>
      <c r="D694" s="28" t="str">
        <f>IFERROR(IF(C694="","",INDEX(마스터!$F$4:$F$20,MATCH(C694,마스터!$M$4:$M$20,0))),"")</f>
        <v/>
      </c>
      <c r="E694" s="27"/>
      <c r="F694" s="29"/>
      <c r="G694" s="25" t="str">
        <f>IFERROR(IF(C694="","",INDEX(마스터!$J$4:$J$20,MATCH(C694,마스터!$M$4:$M$20,0))),"")</f>
        <v/>
      </c>
      <c r="H694" s="30"/>
      <c r="I694" s="30"/>
    </row>
    <row r="695" spans="1:9" ht="15" customHeight="1" x14ac:dyDescent="0.25">
      <c r="A695" s="25" t="str">
        <f t="shared" si="10"/>
        <v/>
      </c>
      <c r="B695" s="26"/>
      <c r="C695" s="27"/>
      <c r="D695" s="28" t="str">
        <f>IFERROR(IF(C695="","",INDEX(마스터!$F$4:$F$20,MATCH(C695,마스터!$M$4:$M$20,0))),"")</f>
        <v/>
      </c>
      <c r="E695" s="27"/>
      <c r="F695" s="29"/>
      <c r="G695" s="25" t="str">
        <f>IFERROR(IF(C695="","",INDEX(마스터!$J$4:$J$20,MATCH(C695,마스터!$M$4:$M$20,0))),"")</f>
        <v/>
      </c>
      <c r="H695" s="30"/>
      <c r="I695" s="30"/>
    </row>
    <row r="696" spans="1:9" ht="15" customHeight="1" x14ac:dyDescent="0.25">
      <c r="A696" s="25" t="str">
        <f t="shared" si="10"/>
        <v/>
      </c>
      <c r="B696" s="26"/>
      <c r="C696" s="27"/>
      <c r="D696" s="28" t="str">
        <f>IFERROR(IF(C696="","",INDEX(마스터!$F$4:$F$20,MATCH(C696,마스터!$M$4:$M$20,0))),"")</f>
        <v/>
      </c>
      <c r="E696" s="27"/>
      <c r="F696" s="29"/>
      <c r="G696" s="25" t="str">
        <f>IFERROR(IF(C696="","",INDEX(마스터!$J$4:$J$20,MATCH(C696,마스터!$M$4:$M$20,0))),"")</f>
        <v/>
      </c>
      <c r="H696" s="30"/>
      <c r="I696" s="30"/>
    </row>
    <row r="697" spans="1:9" ht="15" customHeight="1" x14ac:dyDescent="0.25">
      <c r="A697" s="25" t="str">
        <f t="shared" si="10"/>
        <v/>
      </c>
      <c r="B697" s="26"/>
      <c r="C697" s="27"/>
      <c r="D697" s="28" t="str">
        <f>IFERROR(IF(C697="","",INDEX(마스터!$F$4:$F$20,MATCH(C697,마스터!$M$4:$M$20,0))),"")</f>
        <v/>
      </c>
      <c r="E697" s="27"/>
      <c r="F697" s="29"/>
      <c r="G697" s="25" t="str">
        <f>IFERROR(IF(C697="","",INDEX(마스터!$J$4:$J$20,MATCH(C697,마스터!$M$4:$M$20,0))),"")</f>
        <v/>
      </c>
      <c r="H697" s="30"/>
      <c r="I697" s="30"/>
    </row>
    <row r="698" spans="1:9" ht="15" customHeight="1" x14ac:dyDescent="0.25">
      <c r="A698" s="25" t="str">
        <f t="shared" si="10"/>
        <v/>
      </c>
      <c r="B698" s="26"/>
      <c r="C698" s="27"/>
      <c r="D698" s="28" t="str">
        <f>IFERROR(IF(C698="","",INDEX(마스터!$F$4:$F$20,MATCH(C698,마스터!$M$4:$M$20,0))),"")</f>
        <v/>
      </c>
      <c r="E698" s="27"/>
      <c r="F698" s="29"/>
      <c r="G698" s="25" t="str">
        <f>IFERROR(IF(C698="","",INDEX(마스터!$J$4:$J$20,MATCH(C698,마스터!$M$4:$M$20,0))),"")</f>
        <v/>
      </c>
      <c r="H698" s="30"/>
      <c r="I698" s="30"/>
    </row>
    <row r="699" spans="1:9" ht="15" customHeight="1" x14ac:dyDescent="0.25">
      <c r="A699" s="25" t="str">
        <f t="shared" si="10"/>
        <v/>
      </c>
      <c r="B699" s="26"/>
      <c r="C699" s="27"/>
      <c r="D699" s="28" t="str">
        <f>IFERROR(IF(C699="","",INDEX(마스터!$F$4:$F$20,MATCH(C699,마스터!$M$4:$M$20,0))),"")</f>
        <v/>
      </c>
      <c r="E699" s="27"/>
      <c r="F699" s="29"/>
      <c r="G699" s="25" t="str">
        <f>IFERROR(IF(C699="","",INDEX(마스터!$J$4:$J$20,MATCH(C699,마스터!$M$4:$M$20,0))),"")</f>
        <v/>
      </c>
      <c r="H699" s="30"/>
      <c r="I699" s="30"/>
    </row>
    <row r="700" spans="1:9" ht="15" customHeight="1" x14ac:dyDescent="0.25">
      <c r="A700" s="25" t="str">
        <f t="shared" si="10"/>
        <v/>
      </c>
      <c r="B700" s="26"/>
      <c r="C700" s="27"/>
      <c r="D700" s="28" t="str">
        <f>IFERROR(IF(C700="","",INDEX(마스터!$F$4:$F$20,MATCH(C700,마스터!$M$4:$M$20,0))),"")</f>
        <v/>
      </c>
      <c r="E700" s="27"/>
      <c r="F700" s="29"/>
      <c r="G700" s="25" t="str">
        <f>IFERROR(IF(C700="","",INDEX(마스터!$J$4:$J$20,MATCH(C700,마스터!$M$4:$M$20,0))),"")</f>
        <v/>
      </c>
      <c r="H700" s="30"/>
      <c r="I700" s="30"/>
    </row>
    <row r="701" spans="1:9" ht="15" customHeight="1" x14ac:dyDescent="0.25">
      <c r="A701" s="25" t="str">
        <f t="shared" si="10"/>
        <v/>
      </c>
      <c r="B701" s="26"/>
      <c r="C701" s="27"/>
      <c r="D701" s="28" t="str">
        <f>IFERROR(IF(C701="","",INDEX(마스터!$F$4:$F$20,MATCH(C701,마스터!$M$4:$M$20,0))),"")</f>
        <v/>
      </c>
      <c r="E701" s="27"/>
      <c r="F701" s="29"/>
      <c r="G701" s="25" t="str">
        <f>IFERROR(IF(C701="","",INDEX(마스터!$J$4:$J$20,MATCH(C701,마스터!$M$4:$M$20,0))),"")</f>
        <v/>
      </c>
      <c r="H701" s="30"/>
      <c r="I701" s="30"/>
    </row>
    <row r="702" spans="1:9" ht="15" customHeight="1" x14ac:dyDescent="0.25">
      <c r="A702" s="25" t="str">
        <f t="shared" si="10"/>
        <v/>
      </c>
      <c r="B702" s="26"/>
      <c r="C702" s="27"/>
      <c r="D702" s="28" t="str">
        <f>IFERROR(IF(C702="","",INDEX(마스터!$F$4:$F$20,MATCH(C702,마스터!$M$4:$M$20,0))),"")</f>
        <v/>
      </c>
      <c r="E702" s="27"/>
      <c r="F702" s="29"/>
      <c r="G702" s="25" t="str">
        <f>IFERROR(IF(C702="","",INDEX(마스터!$J$4:$J$20,MATCH(C702,마스터!$M$4:$M$20,0))),"")</f>
        <v/>
      </c>
      <c r="H702" s="30"/>
      <c r="I702" s="30"/>
    </row>
    <row r="703" spans="1:9" ht="15" customHeight="1" x14ac:dyDescent="0.25">
      <c r="A703" s="25" t="str">
        <f t="shared" si="10"/>
        <v/>
      </c>
      <c r="B703" s="26"/>
      <c r="C703" s="27"/>
      <c r="D703" s="28" t="str">
        <f>IFERROR(IF(C703="","",INDEX(마스터!$F$4:$F$20,MATCH(C703,마스터!$M$4:$M$20,0))),"")</f>
        <v/>
      </c>
      <c r="E703" s="27"/>
      <c r="F703" s="29"/>
      <c r="G703" s="25" t="str">
        <f>IFERROR(IF(C703="","",INDEX(마스터!$J$4:$J$20,MATCH(C703,마스터!$M$4:$M$20,0))),"")</f>
        <v/>
      </c>
      <c r="H703" s="30"/>
      <c r="I703" s="30"/>
    </row>
    <row r="704" spans="1:9" ht="15" customHeight="1" x14ac:dyDescent="0.25">
      <c r="A704" s="25" t="str">
        <f t="shared" si="10"/>
        <v/>
      </c>
      <c r="B704" s="26"/>
      <c r="C704" s="27"/>
      <c r="D704" s="28" t="str">
        <f>IFERROR(IF(C704="","",INDEX(마스터!$F$4:$F$20,MATCH(C704,마스터!$M$4:$M$20,0))),"")</f>
        <v/>
      </c>
      <c r="E704" s="27"/>
      <c r="F704" s="29"/>
      <c r="G704" s="25" t="str">
        <f>IFERROR(IF(C704="","",INDEX(마스터!$J$4:$J$20,MATCH(C704,마스터!$M$4:$M$20,0))),"")</f>
        <v/>
      </c>
      <c r="H704" s="30"/>
      <c r="I704" s="30"/>
    </row>
    <row r="705" spans="1:9" ht="15" customHeight="1" x14ac:dyDescent="0.25">
      <c r="A705" s="25" t="str">
        <f t="shared" si="10"/>
        <v/>
      </c>
      <c r="B705" s="26"/>
      <c r="C705" s="27"/>
      <c r="D705" s="28" t="str">
        <f>IFERROR(IF(C705="","",INDEX(마스터!$F$4:$F$20,MATCH(C705,마스터!$M$4:$M$20,0))),"")</f>
        <v/>
      </c>
      <c r="E705" s="27"/>
      <c r="F705" s="29"/>
      <c r="G705" s="25" t="str">
        <f>IFERROR(IF(C705="","",INDEX(마스터!$J$4:$J$20,MATCH(C705,마스터!$M$4:$M$20,0))),"")</f>
        <v/>
      </c>
      <c r="H705" s="30"/>
      <c r="I705" s="30"/>
    </row>
    <row r="706" spans="1:9" ht="15" customHeight="1" x14ac:dyDescent="0.25">
      <c r="A706" s="25" t="str">
        <f t="shared" si="10"/>
        <v/>
      </c>
      <c r="B706" s="26"/>
      <c r="C706" s="27"/>
      <c r="D706" s="28" t="str">
        <f>IFERROR(IF(C706="","",INDEX(마스터!$F$4:$F$20,MATCH(C706,마스터!$M$4:$M$20,0))),"")</f>
        <v/>
      </c>
      <c r="E706" s="27"/>
      <c r="F706" s="29"/>
      <c r="G706" s="25" t="str">
        <f>IFERROR(IF(C706="","",INDEX(마스터!$J$4:$J$20,MATCH(C706,마스터!$M$4:$M$20,0))),"")</f>
        <v/>
      </c>
      <c r="H706" s="30"/>
      <c r="I706" s="30"/>
    </row>
    <row r="707" spans="1:9" ht="15" customHeight="1" x14ac:dyDescent="0.25">
      <c r="A707" s="25" t="str">
        <f t="shared" si="10"/>
        <v/>
      </c>
      <c r="B707" s="26"/>
      <c r="C707" s="27"/>
      <c r="D707" s="28" t="str">
        <f>IFERROR(IF(C707="","",INDEX(마스터!$F$4:$F$20,MATCH(C707,마스터!$M$4:$M$20,0))),"")</f>
        <v/>
      </c>
      <c r="E707" s="27"/>
      <c r="F707" s="29"/>
      <c r="G707" s="25" t="str">
        <f>IFERROR(IF(C707="","",INDEX(마스터!$J$4:$J$20,MATCH(C707,마스터!$M$4:$M$20,0))),"")</f>
        <v/>
      </c>
      <c r="H707" s="30"/>
      <c r="I707" s="30"/>
    </row>
    <row r="708" spans="1:9" ht="15" customHeight="1" x14ac:dyDescent="0.25">
      <c r="A708" s="25" t="str">
        <f t="shared" si="10"/>
        <v/>
      </c>
      <c r="B708" s="26"/>
      <c r="C708" s="27"/>
      <c r="D708" s="28" t="str">
        <f>IFERROR(IF(C708="","",INDEX(마스터!$F$4:$F$20,MATCH(C708,마스터!$M$4:$M$20,0))),"")</f>
        <v/>
      </c>
      <c r="E708" s="27"/>
      <c r="F708" s="29"/>
      <c r="G708" s="25" t="str">
        <f>IFERROR(IF(C708="","",INDEX(마스터!$J$4:$J$20,MATCH(C708,마스터!$M$4:$M$20,0))),"")</f>
        <v/>
      </c>
      <c r="H708" s="30"/>
      <c r="I708" s="30"/>
    </row>
    <row r="709" spans="1:9" ht="15" customHeight="1" x14ac:dyDescent="0.25">
      <c r="A709" s="25" t="str">
        <f t="shared" si="10"/>
        <v/>
      </c>
      <c r="B709" s="26"/>
      <c r="C709" s="27"/>
      <c r="D709" s="28" t="str">
        <f>IFERROR(IF(C709="","",INDEX(마스터!$F$4:$F$20,MATCH(C709,마스터!$M$4:$M$20,0))),"")</f>
        <v/>
      </c>
      <c r="E709" s="27"/>
      <c r="F709" s="29"/>
      <c r="G709" s="25" t="str">
        <f>IFERROR(IF(C709="","",INDEX(마스터!$J$4:$J$20,MATCH(C709,마스터!$M$4:$M$20,0))),"")</f>
        <v/>
      </c>
      <c r="H709" s="30"/>
      <c r="I709" s="30"/>
    </row>
    <row r="710" spans="1:9" ht="15" customHeight="1" x14ac:dyDescent="0.25">
      <c r="A710" s="25" t="str">
        <f t="shared" si="10"/>
        <v/>
      </c>
      <c r="B710" s="26"/>
      <c r="C710" s="27"/>
      <c r="D710" s="28" t="str">
        <f>IFERROR(IF(C710="","",INDEX(마스터!$F$4:$F$20,MATCH(C710,마스터!$M$4:$M$20,0))),"")</f>
        <v/>
      </c>
      <c r="E710" s="27"/>
      <c r="F710" s="29"/>
      <c r="G710" s="25" t="str">
        <f>IFERROR(IF(C710="","",INDEX(마스터!$J$4:$J$20,MATCH(C710,마스터!$M$4:$M$20,0))),"")</f>
        <v/>
      </c>
      <c r="H710" s="30"/>
      <c r="I710" s="30"/>
    </row>
    <row r="711" spans="1:9" ht="15" customHeight="1" x14ac:dyDescent="0.25">
      <c r="A711" s="25" t="str">
        <f t="shared" si="10"/>
        <v/>
      </c>
      <c r="B711" s="26"/>
      <c r="C711" s="27"/>
      <c r="D711" s="28" t="str">
        <f>IFERROR(IF(C711="","",INDEX(마스터!$F$4:$F$20,MATCH(C711,마스터!$M$4:$M$20,0))),"")</f>
        <v/>
      </c>
      <c r="E711" s="27"/>
      <c r="F711" s="29"/>
      <c r="G711" s="25" t="str">
        <f>IFERROR(IF(C711="","",INDEX(마스터!$J$4:$J$20,MATCH(C711,마스터!$M$4:$M$20,0))),"")</f>
        <v/>
      </c>
      <c r="H711" s="30"/>
      <c r="I711" s="30"/>
    </row>
    <row r="712" spans="1:9" ht="15" customHeight="1" x14ac:dyDescent="0.25">
      <c r="A712" s="25" t="str">
        <f t="shared" ref="A712:A775" si="11">IF(B712="","",ROW()-7)</f>
        <v/>
      </c>
      <c r="B712" s="26"/>
      <c r="C712" s="27"/>
      <c r="D712" s="28" t="str">
        <f>IFERROR(IF(C712="","",INDEX(마스터!$F$4:$F$20,MATCH(C712,마스터!$M$4:$M$20,0))),"")</f>
        <v/>
      </c>
      <c r="E712" s="27"/>
      <c r="F712" s="29"/>
      <c r="G712" s="25" t="str">
        <f>IFERROR(IF(C712="","",INDEX(마스터!$J$4:$J$20,MATCH(C712,마스터!$M$4:$M$20,0))),"")</f>
        <v/>
      </c>
      <c r="H712" s="30"/>
      <c r="I712" s="30"/>
    </row>
    <row r="713" spans="1:9" ht="15" customHeight="1" x14ac:dyDescent="0.25">
      <c r="A713" s="25" t="str">
        <f t="shared" si="11"/>
        <v/>
      </c>
      <c r="B713" s="26"/>
      <c r="C713" s="27"/>
      <c r="D713" s="28" t="str">
        <f>IFERROR(IF(C713="","",INDEX(마스터!$F$4:$F$20,MATCH(C713,마스터!$M$4:$M$20,0))),"")</f>
        <v/>
      </c>
      <c r="E713" s="27"/>
      <c r="F713" s="29"/>
      <c r="G713" s="25" t="str">
        <f>IFERROR(IF(C713="","",INDEX(마스터!$J$4:$J$20,MATCH(C713,마스터!$M$4:$M$20,0))),"")</f>
        <v/>
      </c>
      <c r="H713" s="30"/>
      <c r="I713" s="30"/>
    </row>
    <row r="714" spans="1:9" ht="15" customHeight="1" x14ac:dyDescent="0.25">
      <c r="A714" s="25" t="str">
        <f t="shared" si="11"/>
        <v/>
      </c>
      <c r="B714" s="26"/>
      <c r="C714" s="27"/>
      <c r="D714" s="28" t="str">
        <f>IFERROR(IF(C714="","",INDEX(마스터!$F$4:$F$20,MATCH(C714,마스터!$M$4:$M$20,0))),"")</f>
        <v/>
      </c>
      <c r="E714" s="27"/>
      <c r="F714" s="29"/>
      <c r="G714" s="25" t="str">
        <f>IFERROR(IF(C714="","",INDEX(마스터!$J$4:$J$20,MATCH(C714,마스터!$M$4:$M$20,0))),"")</f>
        <v/>
      </c>
      <c r="H714" s="30"/>
      <c r="I714" s="30"/>
    </row>
    <row r="715" spans="1:9" ht="15" customHeight="1" x14ac:dyDescent="0.25">
      <c r="A715" s="25" t="str">
        <f t="shared" si="11"/>
        <v/>
      </c>
      <c r="B715" s="26"/>
      <c r="C715" s="27"/>
      <c r="D715" s="28" t="str">
        <f>IFERROR(IF(C715="","",INDEX(마스터!$F$4:$F$20,MATCH(C715,마스터!$M$4:$M$20,0))),"")</f>
        <v/>
      </c>
      <c r="E715" s="27"/>
      <c r="F715" s="29"/>
      <c r="G715" s="25" t="str">
        <f>IFERROR(IF(C715="","",INDEX(마스터!$J$4:$J$20,MATCH(C715,마스터!$M$4:$M$20,0))),"")</f>
        <v/>
      </c>
      <c r="H715" s="30"/>
      <c r="I715" s="30"/>
    </row>
    <row r="716" spans="1:9" ht="15" customHeight="1" x14ac:dyDescent="0.25">
      <c r="A716" s="25" t="str">
        <f t="shared" si="11"/>
        <v/>
      </c>
      <c r="B716" s="26"/>
      <c r="C716" s="27"/>
      <c r="D716" s="28" t="str">
        <f>IFERROR(IF(C716="","",INDEX(마스터!$F$4:$F$20,MATCH(C716,마스터!$M$4:$M$20,0))),"")</f>
        <v/>
      </c>
      <c r="E716" s="27"/>
      <c r="F716" s="29"/>
      <c r="G716" s="25" t="str">
        <f>IFERROR(IF(C716="","",INDEX(마스터!$J$4:$J$20,MATCH(C716,마스터!$M$4:$M$20,0))),"")</f>
        <v/>
      </c>
      <c r="H716" s="30"/>
      <c r="I716" s="30"/>
    </row>
    <row r="717" spans="1:9" ht="15" customHeight="1" x14ac:dyDescent="0.25">
      <c r="A717" s="25" t="str">
        <f t="shared" si="11"/>
        <v/>
      </c>
      <c r="B717" s="26"/>
      <c r="C717" s="27"/>
      <c r="D717" s="28" t="str">
        <f>IFERROR(IF(C717="","",INDEX(마스터!$F$4:$F$20,MATCH(C717,마스터!$M$4:$M$20,0))),"")</f>
        <v/>
      </c>
      <c r="E717" s="27"/>
      <c r="F717" s="29"/>
      <c r="G717" s="25" t="str">
        <f>IFERROR(IF(C717="","",INDEX(마스터!$J$4:$J$20,MATCH(C717,마스터!$M$4:$M$20,0))),"")</f>
        <v/>
      </c>
      <c r="H717" s="30"/>
      <c r="I717" s="30"/>
    </row>
    <row r="718" spans="1:9" ht="15" customHeight="1" x14ac:dyDescent="0.25">
      <c r="A718" s="25" t="str">
        <f t="shared" si="11"/>
        <v/>
      </c>
      <c r="B718" s="26"/>
      <c r="C718" s="27"/>
      <c r="D718" s="28" t="str">
        <f>IFERROR(IF(C718="","",INDEX(마스터!$F$4:$F$20,MATCH(C718,마스터!$M$4:$M$20,0))),"")</f>
        <v/>
      </c>
      <c r="E718" s="27"/>
      <c r="F718" s="29"/>
      <c r="G718" s="25" t="str">
        <f>IFERROR(IF(C718="","",INDEX(마스터!$J$4:$J$20,MATCH(C718,마스터!$M$4:$M$20,0))),"")</f>
        <v/>
      </c>
      <c r="H718" s="30"/>
      <c r="I718" s="30"/>
    </row>
    <row r="719" spans="1:9" ht="15" customHeight="1" x14ac:dyDescent="0.25">
      <c r="A719" s="25" t="str">
        <f t="shared" si="11"/>
        <v/>
      </c>
      <c r="B719" s="26"/>
      <c r="C719" s="27"/>
      <c r="D719" s="28" t="str">
        <f>IFERROR(IF(C719="","",INDEX(마스터!$F$4:$F$20,MATCH(C719,마스터!$M$4:$M$20,0))),"")</f>
        <v/>
      </c>
      <c r="E719" s="27"/>
      <c r="F719" s="29"/>
      <c r="G719" s="25" t="str">
        <f>IFERROR(IF(C719="","",INDEX(마스터!$J$4:$J$20,MATCH(C719,마스터!$M$4:$M$20,0))),"")</f>
        <v/>
      </c>
      <c r="H719" s="30"/>
      <c r="I719" s="30"/>
    </row>
    <row r="720" spans="1:9" ht="15" customHeight="1" x14ac:dyDescent="0.25">
      <c r="A720" s="25" t="str">
        <f t="shared" si="11"/>
        <v/>
      </c>
      <c r="B720" s="26"/>
      <c r="C720" s="27"/>
      <c r="D720" s="28" t="str">
        <f>IFERROR(IF(C720="","",INDEX(마스터!$F$4:$F$20,MATCH(C720,마스터!$M$4:$M$20,0))),"")</f>
        <v/>
      </c>
      <c r="E720" s="27"/>
      <c r="F720" s="29"/>
      <c r="G720" s="25" t="str">
        <f>IFERROR(IF(C720="","",INDEX(마스터!$J$4:$J$20,MATCH(C720,마스터!$M$4:$M$20,0))),"")</f>
        <v/>
      </c>
      <c r="H720" s="30"/>
      <c r="I720" s="30"/>
    </row>
    <row r="721" spans="1:9" ht="15" customHeight="1" x14ac:dyDescent="0.25">
      <c r="A721" s="25" t="str">
        <f t="shared" si="11"/>
        <v/>
      </c>
      <c r="B721" s="26"/>
      <c r="C721" s="27"/>
      <c r="D721" s="28" t="str">
        <f>IFERROR(IF(C721="","",INDEX(마스터!$F$4:$F$20,MATCH(C721,마스터!$M$4:$M$20,0))),"")</f>
        <v/>
      </c>
      <c r="E721" s="27"/>
      <c r="F721" s="29"/>
      <c r="G721" s="25" t="str">
        <f>IFERROR(IF(C721="","",INDEX(마스터!$J$4:$J$20,MATCH(C721,마스터!$M$4:$M$20,0))),"")</f>
        <v/>
      </c>
      <c r="H721" s="30"/>
      <c r="I721" s="30"/>
    </row>
    <row r="722" spans="1:9" ht="15" customHeight="1" x14ac:dyDescent="0.25">
      <c r="A722" s="25" t="str">
        <f t="shared" si="11"/>
        <v/>
      </c>
      <c r="B722" s="26"/>
      <c r="C722" s="27"/>
      <c r="D722" s="28" t="str">
        <f>IFERROR(IF(C722="","",INDEX(마스터!$F$4:$F$20,MATCH(C722,마스터!$M$4:$M$20,0))),"")</f>
        <v/>
      </c>
      <c r="E722" s="27"/>
      <c r="F722" s="29"/>
      <c r="G722" s="25" t="str">
        <f>IFERROR(IF(C722="","",INDEX(마스터!$J$4:$J$20,MATCH(C722,마스터!$M$4:$M$20,0))),"")</f>
        <v/>
      </c>
      <c r="H722" s="30"/>
      <c r="I722" s="30"/>
    </row>
    <row r="723" spans="1:9" ht="15" customHeight="1" x14ac:dyDescent="0.25">
      <c r="A723" s="25" t="str">
        <f t="shared" si="11"/>
        <v/>
      </c>
      <c r="B723" s="26"/>
      <c r="C723" s="27"/>
      <c r="D723" s="28" t="str">
        <f>IFERROR(IF(C723="","",INDEX(마스터!$F$4:$F$20,MATCH(C723,마스터!$M$4:$M$20,0))),"")</f>
        <v/>
      </c>
      <c r="E723" s="27"/>
      <c r="F723" s="29"/>
      <c r="G723" s="25" t="str">
        <f>IFERROR(IF(C723="","",INDEX(마스터!$J$4:$J$20,MATCH(C723,마스터!$M$4:$M$20,0))),"")</f>
        <v/>
      </c>
      <c r="H723" s="30"/>
      <c r="I723" s="30"/>
    </row>
    <row r="724" spans="1:9" ht="15" customHeight="1" x14ac:dyDescent="0.25">
      <c r="A724" s="25" t="str">
        <f t="shared" si="11"/>
        <v/>
      </c>
      <c r="B724" s="26"/>
      <c r="C724" s="27"/>
      <c r="D724" s="28" t="str">
        <f>IFERROR(IF(C724="","",INDEX(마스터!$F$4:$F$20,MATCH(C724,마스터!$M$4:$M$20,0))),"")</f>
        <v/>
      </c>
      <c r="E724" s="27"/>
      <c r="F724" s="29"/>
      <c r="G724" s="25" t="str">
        <f>IFERROR(IF(C724="","",INDEX(마스터!$J$4:$J$20,MATCH(C724,마스터!$M$4:$M$20,0))),"")</f>
        <v/>
      </c>
      <c r="H724" s="30"/>
      <c r="I724" s="30"/>
    </row>
    <row r="725" spans="1:9" ht="15" customHeight="1" x14ac:dyDescent="0.25">
      <c r="A725" s="25" t="str">
        <f t="shared" si="11"/>
        <v/>
      </c>
      <c r="B725" s="26"/>
      <c r="C725" s="27"/>
      <c r="D725" s="28" t="str">
        <f>IFERROR(IF(C725="","",INDEX(마스터!$F$4:$F$20,MATCH(C725,마스터!$M$4:$M$20,0))),"")</f>
        <v/>
      </c>
      <c r="E725" s="27"/>
      <c r="F725" s="29"/>
      <c r="G725" s="25" t="str">
        <f>IFERROR(IF(C725="","",INDEX(마스터!$J$4:$J$20,MATCH(C725,마스터!$M$4:$M$20,0))),"")</f>
        <v/>
      </c>
      <c r="H725" s="30"/>
      <c r="I725" s="30"/>
    </row>
    <row r="726" spans="1:9" ht="15" customHeight="1" x14ac:dyDescent="0.25">
      <c r="A726" s="25" t="str">
        <f t="shared" si="11"/>
        <v/>
      </c>
      <c r="B726" s="26"/>
      <c r="C726" s="27"/>
      <c r="D726" s="28" t="str">
        <f>IFERROR(IF(C726="","",INDEX(마스터!$F$4:$F$20,MATCH(C726,마스터!$M$4:$M$20,0))),"")</f>
        <v/>
      </c>
      <c r="E726" s="27"/>
      <c r="F726" s="29"/>
      <c r="G726" s="25" t="str">
        <f>IFERROR(IF(C726="","",INDEX(마스터!$J$4:$J$20,MATCH(C726,마스터!$M$4:$M$20,0))),"")</f>
        <v/>
      </c>
      <c r="H726" s="30"/>
      <c r="I726" s="30"/>
    </row>
    <row r="727" spans="1:9" ht="15" customHeight="1" x14ac:dyDescent="0.25">
      <c r="A727" s="25" t="str">
        <f t="shared" si="11"/>
        <v/>
      </c>
      <c r="B727" s="26"/>
      <c r="C727" s="27"/>
      <c r="D727" s="28" t="str">
        <f>IFERROR(IF(C727="","",INDEX(마스터!$F$4:$F$20,MATCH(C727,마스터!$M$4:$M$20,0))),"")</f>
        <v/>
      </c>
      <c r="E727" s="27"/>
      <c r="F727" s="29"/>
      <c r="G727" s="25" t="str">
        <f>IFERROR(IF(C727="","",INDEX(마스터!$J$4:$J$20,MATCH(C727,마스터!$M$4:$M$20,0))),"")</f>
        <v/>
      </c>
      <c r="H727" s="30"/>
      <c r="I727" s="30"/>
    </row>
    <row r="728" spans="1:9" ht="15" customHeight="1" x14ac:dyDescent="0.25">
      <c r="A728" s="25" t="str">
        <f t="shared" si="11"/>
        <v/>
      </c>
      <c r="B728" s="26"/>
      <c r="C728" s="27"/>
      <c r="D728" s="28" t="str">
        <f>IFERROR(IF(C728="","",INDEX(마스터!$F$4:$F$20,MATCH(C728,마스터!$M$4:$M$20,0))),"")</f>
        <v/>
      </c>
      <c r="E728" s="27"/>
      <c r="F728" s="29"/>
      <c r="G728" s="25" t="str">
        <f>IFERROR(IF(C728="","",INDEX(마스터!$J$4:$J$20,MATCH(C728,마스터!$M$4:$M$20,0))),"")</f>
        <v/>
      </c>
      <c r="H728" s="30"/>
      <c r="I728" s="30"/>
    </row>
    <row r="729" spans="1:9" ht="15" customHeight="1" x14ac:dyDescent="0.25">
      <c r="A729" s="25" t="str">
        <f t="shared" si="11"/>
        <v/>
      </c>
      <c r="B729" s="26"/>
      <c r="C729" s="27"/>
      <c r="D729" s="28" t="str">
        <f>IFERROR(IF(C729="","",INDEX(마스터!$F$4:$F$20,MATCH(C729,마스터!$M$4:$M$20,0))),"")</f>
        <v/>
      </c>
      <c r="E729" s="27"/>
      <c r="F729" s="29"/>
      <c r="G729" s="25" t="str">
        <f>IFERROR(IF(C729="","",INDEX(마스터!$J$4:$J$20,MATCH(C729,마스터!$M$4:$M$20,0))),"")</f>
        <v/>
      </c>
      <c r="H729" s="30"/>
      <c r="I729" s="30"/>
    </row>
    <row r="730" spans="1:9" ht="15" customHeight="1" x14ac:dyDescent="0.25">
      <c r="A730" s="25" t="str">
        <f t="shared" si="11"/>
        <v/>
      </c>
      <c r="B730" s="26"/>
      <c r="C730" s="27"/>
      <c r="D730" s="28" t="str">
        <f>IFERROR(IF(C730="","",INDEX(마스터!$F$4:$F$20,MATCH(C730,마스터!$M$4:$M$20,0))),"")</f>
        <v/>
      </c>
      <c r="E730" s="27"/>
      <c r="F730" s="29"/>
      <c r="G730" s="25" t="str">
        <f>IFERROR(IF(C730="","",INDEX(마스터!$J$4:$J$20,MATCH(C730,마스터!$M$4:$M$20,0))),"")</f>
        <v/>
      </c>
      <c r="H730" s="30"/>
      <c r="I730" s="30"/>
    </row>
    <row r="731" spans="1:9" ht="15" customHeight="1" x14ac:dyDescent="0.25">
      <c r="A731" s="25" t="str">
        <f t="shared" si="11"/>
        <v/>
      </c>
      <c r="B731" s="26"/>
      <c r="C731" s="27"/>
      <c r="D731" s="28" t="str">
        <f>IFERROR(IF(C731="","",INDEX(마스터!$F$4:$F$20,MATCH(C731,마스터!$M$4:$M$20,0))),"")</f>
        <v/>
      </c>
      <c r="E731" s="27"/>
      <c r="F731" s="29"/>
      <c r="G731" s="25" t="str">
        <f>IFERROR(IF(C731="","",INDEX(마스터!$J$4:$J$20,MATCH(C731,마스터!$M$4:$M$20,0))),"")</f>
        <v/>
      </c>
      <c r="H731" s="30"/>
      <c r="I731" s="30"/>
    </row>
    <row r="732" spans="1:9" ht="15" customHeight="1" x14ac:dyDescent="0.25">
      <c r="A732" s="25" t="str">
        <f t="shared" si="11"/>
        <v/>
      </c>
      <c r="B732" s="26"/>
      <c r="C732" s="27"/>
      <c r="D732" s="28" t="str">
        <f>IFERROR(IF(C732="","",INDEX(마스터!$F$4:$F$20,MATCH(C732,마스터!$M$4:$M$20,0))),"")</f>
        <v/>
      </c>
      <c r="E732" s="27"/>
      <c r="F732" s="29"/>
      <c r="G732" s="25" t="str">
        <f>IFERROR(IF(C732="","",INDEX(마스터!$J$4:$J$20,MATCH(C732,마스터!$M$4:$M$20,0))),"")</f>
        <v/>
      </c>
      <c r="H732" s="30"/>
      <c r="I732" s="30"/>
    </row>
    <row r="733" spans="1:9" ht="15" customHeight="1" x14ac:dyDescent="0.25">
      <c r="A733" s="25" t="str">
        <f t="shared" si="11"/>
        <v/>
      </c>
      <c r="B733" s="26"/>
      <c r="C733" s="27"/>
      <c r="D733" s="28" t="str">
        <f>IFERROR(IF(C733="","",INDEX(마스터!$F$4:$F$20,MATCH(C733,마스터!$M$4:$M$20,0))),"")</f>
        <v/>
      </c>
      <c r="E733" s="27"/>
      <c r="F733" s="29"/>
      <c r="G733" s="25" t="str">
        <f>IFERROR(IF(C733="","",INDEX(마스터!$J$4:$J$20,MATCH(C733,마스터!$M$4:$M$20,0))),"")</f>
        <v/>
      </c>
      <c r="H733" s="30"/>
      <c r="I733" s="30"/>
    </row>
    <row r="734" spans="1:9" ht="15" customHeight="1" x14ac:dyDescent="0.25">
      <c r="A734" s="25" t="str">
        <f t="shared" si="11"/>
        <v/>
      </c>
      <c r="B734" s="26"/>
      <c r="C734" s="27"/>
      <c r="D734" s="28" t="str">
        <f>IFERROR(IF(C734="","",INDEX(마스터!$F$4:$F$20,MATCH(C734,마스터!$M$4:$M$20,0))),"")</f>
        <v/>
      </c>
      <c r="E734" s="27"/>
      <c r="F734" s="29"/>
      <c r="G734" s="25" t="str">
        <f>IFERROR(IF(C734="","",INDEX(마스터!$J$4:$J$20,MATCH(C734,마스터!$M$4:$M$20,0))),"")</f>
        <v/>
      </c>
      <c r="H734" s="30"/>
      <c r="I734" s="30"/>
    </row>
    <row r="735" spans="1:9" ht="15" customHeight="1" x14ac:dyDescent="0.25">
      <c r="A735" s="25" t="str">
        <f t="shared" si="11"/>
        <v/>
      </c>
      <c r="B735" s="26"/>
      <c r="C735" s="27"/>
      <c r="D735" s="28" t="str">
        <f>IFERROR(IF(C735="","",INDEX(마스터!$F$4:$F$20,MATCH(C735,마스터!$M$4:$M$20,0))),"")</f>
        <v/>
      </c>
      <c r="E735" s="27"/>
      <c r="F735" s="29"/>
      <c r="G735" s="25" t="str">
        <f>IFERROR(IF(C735="","",INDEX(마스터!$J$4:$J$20,MATCH(C735,마스터!$M$4:$M$20,0))),"")</f>
        <v/>
      </c>
      <c r="H735" s="30"/>
      <c r="I735" s="30"/>
    </row>
    <row r="736" spans="1:9" ht="15" customHeight="1" x14ac:dyDescent="0.25">
      <c r="A736" s="25" t="str">
        <f t="shared" si="11"/>
        <v/>
      </c>
      <c r="B736" s="26"/>
      <c r="C736" s="27"/>
      <c r="D736" s="28" t="str">
        <f>IFERROR(IF(C736="","",INDEX(마스터!$F$4:$F$20,MATCH(C736,마스터!$M$4:$M$20,0))),"")</f>
        <v/>
      </c>
      <c r="E736" s="27"/>
      <c r="F736" s="29"/>
      <c r="G736" s="25" t="str">
        <f>IFERROR(IF(C736="","",INDEX(마스터!$J$4:$J$20,MATCH(C736,마스터!$M$4:$M$20,0))),"")</f>
        <v/>
      </c>
      <c r="H736" s="30"/>
      <c r="I736" s="30"/>
    </row>
    <row r="737" spans="1:9" ht="15" customHeight="1" x14ac:dyDescent="0.25">
      <c r="A737" s="25" t="str">
        <f t="shared" si="11"/>
        <v/>
      </c>
      <c r="B737" s="26"/>
      <c r="C737" s="27"/>
      <c r="D737" s="28" t="str">
        <f>IFERROR(IF(C737="","",INDEX(마스터!$F$4:$F$20,MATCH(C737,마스터!$M$4:$M$20,0))),"")</f>
        <v/>
      </c>
      <c r="E737" s="27"/>
      <c r="F737" s="29"/>
      <c r="G737" s="25" t="str">
        <f>IFERROR(IF(C737="","",INDEX(마스터!$J$4:$J$20,MATCH(C737,마스터!$M$4:$M$20,0))),"")</f>
        <v/>
      </c>
      <c r="H737" s="30"/>
      <c r="I737" s="30"/>
    </row>
    <row r="738" spans="1:9" ht="15" customHeight="1" x14ac:dyDescent="0.25">
      <c r="A738" s="25" t="str">
        <f t="shared" si="11"/>
        <v/>
      </c>
      <c r="B738" s="26"/>
      <c r="C738" s="27"/>
      <c r="D738" s="28" t="str">
        <f>IFERROR(IF(C738="","",INDEX(마스터!$F$4:$F$20,MATCH(C738,마스터!$M$4:$M$20,0))),"")</f>
        <v/>
      </c>
      <c r="E738" s="27"/>
      <c r="F738" s="29"/>
      <c r="G738" s="25" t="str">
        <f>IFERROR(IF(C738="","",INDEX(마스터!$J$4:$J$20,MATCH(C738,마스터!$M$4:$M$20,0))),"")</f>
        <v/>
      </c>
      <c r="H738" s="30"/>
      <c r="I738" s="30"/>
    </row>
    <row r="739" spans="1:9" ht="15" customHeight="1" x14ac:dyDescent="0.25">
      <c r="A739" s="25" t="str">
        <f t="shared" si="11"/>
        <v/>
      </c>
      <c r="B739" s="26"/>
      <c r="C739" s="27"/>
      <c r="D739" s="28" t="str">
        <f>IFERROR(IF(C739="","",INDEX(마스터!$F$4:$F$20,MATCH(C739,마스터!$M$4:$M$20,0))),"")</f>
        <v/>
      </c>
      <c r="E739" s="27"/>
      <c r="F739" s="29"/>
      <c r="G739" s="25" t="str">
        <f>IFERROR(IF(C739="","",INDEX(마스터!$J$4:$J$20,MATCH(C739,마스터!$M$4:$M$20,0))),"")</f>
        <v/>
      </c>
      <c r="H739" s="30"/>
      <c r="I739" s="30"/>
    </row>
    <row r="740" spans="1:9" ht="15" customHeight="1" x14ac:dyDescent="0.25">
      <c r="A740" s="25" t="str">
        <f t="shared" si="11"/>
        <v/>
      </c>
      <c r="B740" s="26"/>
      <c r="C740" s="27"/>
      <c r="D740" s="28" t="str">
        <f>IFERROR(IF(C740="","",INDEX(마스터!$F$4:$F$20,MATCH(C740,마스터!$M$4:$M$20,0))),"")</f>
        <v/>
      </c>
      <c r="E740" s="27"/>
      <c r="F740" s="29"/>
      <c r="G740" s="25" t="str">
        <f>IFERROR(IF(C740="","",INDEX(마스터!$J$4:$J$20,MATCH(C740,마스터!$M$4:$M$20,0))),"")</f>
        <v/>
      </c>
      <c r="H740" s="30"/>
      <c r="I740" s="30"/>
    </row>
    <row r="741" spans="1:9" ht="15" customHeight="1" x14ac:dyDescent="0.25">
      <c r="A741" s="25" t="str">
        <f t="shared" si="11"/>
        <v/>
      </c>
      <c r="B741" s="26"/>
      <c r="C741" s="27"/>
      <c r="D741" s="28" t="str">
        <f>IFERROR(IF(C741="","",INDEX(마스터!$F$4:$F$20,MATCH(C741,마스터!$M$4:$M$20,0))),"")</f>
        <v/>
      </c>
      <c r="E741" s="27"/>
      <c r="F741" s="29"/>
      <c r="G741" s="25" t="str">
        <f>IFERROR(IF(C741="","",INDEX(마스터!$J$4:$J$20,MATCH(C741,마스터!$M$4:$M$20,0))),"")</f>
        <v/>
      </c>
      <c r="H741" s="30"/>
      <c r="I741" s="30"/>
    </row>
    <row r="742" spans="1:9" ht="15" customHeight="1" x14ac:dyDescent="0.25">
      <c r="A742" s="25" t="str">
        <f t="shared" si="11"/>
        <v/>
      </c>
      <c r="B742" s="26"/>
      <c r="C742" s="27"/>
      <c r="D742" s="28" t="str">
        <f>IFERROR(IF(C742="","",INDEX(마스터!$F$4:$F$20,MATCH(C742,마스터!$M$4:$M$20,0))),"")</f>
        <v/>
      </c>
      <c r="E742" s="27"/>
      <c r="F742" s="29"/>
      <c r="G742" s="25" t="str">
        <f>IFERROR(IF(C742="","",INDEX(마스터!$J$4:$J$20,MATCH(C742,마스터!$M$4:$M$20,0))),"")</f>
        <v/>
      </c>
      <c r="H742" s="30"/>
      <c r="I742" s="30"/>
    </row>
    <row r="743" spans="1:9" ht="15" customHeight="1" x14ac:dyDescent="0.25">
      <c r="A743" s="25" t="str">
        <f t="shared" si="11"/>
        <v/>
      </c>
      <c r="B743" s="26"/>
      <c r="C743" s="27"/>
      <c r="D743" s="28" t="str">
        <f>IFERROR(IF(C743="","",INDEX(마스터!$F$4:$F$20,MATCH(C743,마스터!$M$4:$M$20,0))),"")</f>
        <v/>
      </c>
      <c r="E743" s="27"/>
      <c r="F743" s="29"/>
      <c r="G743" s="25" t="str">
        <f>IFERROR(IF(C743="","",INDEX(마스터!$J$4:$J$20,MATCH(C743,마스터!$M$4:$M$20,0))),"")</f>
        <v/>
      </c>
      <c r="H743" s="30"/>
      <c r="I743" s="30"/>
    </row>
    <row r="744" spans="1:9" ht="15" customHeight="1" x14ac:dyDescent="0.25">
      <c r="A744" s="25" t="str">
        <f t="shared" si="11"/>
        <v/>
      </c>
      <c r="B744" s="26"/>
      <c r="C744" s="27"/>
      <c r="D744" s="28" t="str">
        <f>IFERROR(IF(C744="","",INDEX(마스터!$F$4:$F$20,MATCH(C744,마스터!$M$4:$M$20,0))),"")</f>
        <v/>
      </c>
      <c r="E744" s="27"/>
      <c r="F744" s="29"/>
      <c r="G744" s="25" t="str">
        <f>IFERROR(IF(C744="","",INDEX(마스터!$J$4:$J$20,MATCH(C744,마스터!$M$4:$M$20,0))),"")</f>
        <v/>
      </c>
      <c r="H744" s="30"/>
      <c r="I744" s="30"/>
    </row>
    <row r="745" spans="1:9" ht="15" customHeight="1" x14ac:dyDescent="0.25">
      <c r="A745" s="25" t="str">
        <f t="shared" si="11"/>
        <v/>
      </c>
      <c r="B745" s="26"/>
      <c r="C745" s="27"/>
      <c r="D745" s="28" t="str">
        <f>IFERROR(IF(C745="","",INDEX(마스터!$F$4:$F$20,MATCH(C745,마스터!$M$4:$M$20,0))),"")</f>
        <v/>
      </c>
      <c r="E745" s="27"/>
      <c r="F745" s="29"/>
      <c r="G745" s="25" t="str">
        <f>IFERROR(IF(C745="","",INDEX(마스터!$J$4:$J$20,MATCH(C745,마스터!$M$4:$M$20,0))),"")</f>
        <v/>
      </c>
      <c r="H745" s="30"/>
      <c r="I745" s="30"/>
    </row>
    <row r="746" spans="1:9" ht="15" customHeight="1" x14ac:dyDescent="0.25">
      <c r="A746" s="25" t="str">
        <f t="shared" si="11"/>
        <v/>
      </c>
      <c r="B746" s="26"/>
      <c r="C746" s="27"/>
      <c r="D746" s="28" t="str">
        <f>IFERROR(IF(C746="","",INDEX(마스터!$F$4:$F$20,MATCH(C746,마스터!$M$4:$M$20,0))),"")</f>
        <v/>
      </c>
      <c r="E746" s="27"/>
      <c r="F746" s="29"/>
      <c r="G746" s="25" t="str">
        <f>IFERROR(IF(C746="","",INDEX(마스터!$J$4:$J$20,MATCH(C746,마스터!$M$4:$M$20,0))),"")</f>
        <v/>
      </c>
      <c r="H746" s="30"/>
      <c r="I746" s="30"/>
    </row>
    <row r="747" spans="1:9" ht="15" customHeight="1" x14ac:dyDescent="0.25">
      <c r="A747" s="25" t="str">
        <f t="shared" si="11"/>
        <v/>
      </c>
      <c r="B747" s="26"/>
      <c r="C747" s="27"/>
      <c r="D747" s="28" t="str">
        <f>IFERROR(IF(C747="","",INDEX(마스터!$F$4:$F$20,MATCH(C747,마스터!$M$4:$M$20,0))),"")</f>
        <v/>
      </c>
      <c r="E747" s="27"/>
      <c r="F747" s="29"/>
      <c r="G747" s="25" t="str">
        <f>IFERROR(IF(C747="","",INDEX(마스터!$J$4:$J$20,MATCH(C747,마스터!$M$4:$M$20,0))),"")</f>
        <v/>
      </c>
      <c r="H747" s="30"/>
      <c r="I747" s="30"/>
    </row>
    <row r="748" spans="1:9" ht="15" customHeight="1" x14ac:dyDescent="0.25">
      <c r="A748" s="25" t="str">
        <f t="shared" si="11"/>
        <v/>
      </c>
      <c r="B748" s="26"/>
      <c r="C748" s="27"/>
      <c r="D748" s="28" t="str">
        <f>IFERROR(IF(C748="","",INDEX(마스터!$F$4:$F$20,MATCH(C748,마스터!$M$4:$M$20,0))),"")</f>
        <v/>
      </c>
      <c r="E748" s="27"/>
      <c r="F748" s="29"/>
      <c r="G748" s="25" t="str">
        <f>IFERROR(IF(C748="","",INDEX(마스터!$J$4:$J$20,MATCH(C748,마스터!$M$4:$M$20,0))),"")</f>
        <v/>
      </c>
      <c r="H748" s="30"/>
      <c r="I748" s="30"/>
    </row>
    <row r="749" spans="1:9" ht="15" customHeight="1" x14ac:dyDescent="0.25">
      <c r="A749" s="25" t="str">
        <f t="shared" si="11"/>
        <v/>
      </c>
      <c r="B749" s="26"/>
      <c r="C749" s="27"/>
      <c r="D749" s="28" t="str">
        <f>IFERROR(IF(C749="","",INDEX(마스터!$F$4:$F$20,MATCH(C749,마스터!$M$4:$M$20,0))),"")</f>
        <v/>
      </c>
      <c r="E749" s="27"/>
      <c r="F749" s="29"/>
      <c r="G749" s="25" t="str">
        <f>IFERROR(IF(C749="","",INDEX(마스터!$J$4:$J$20,MATCH(C749,마스터!$M$4:$M$20,0))),"")</f>
        <v/>
      </c>
      <c r="H749" s="30"/>
      <c r="I749" s="30"/>
    </row>
    <row r="750" spans="1:9" ht="15" customHeight="1" x14ac:dyDescent="0.25">
      <c r="A750" s="25" t="str">
        <f t="shared" si="11"/>
        <v/>
      </c>
      <c r="B750" s="26"/>
      <c r="C750" s="27"/>
      <c r="D750" s="28" t="str">
        <f>IFERROR(IF(C750="","",INDEX(마스터!$F$4:$F$20,MATCH(C750,마스터!$M$4:$M$20,0))),"")</f>
        <v/>
      </c>
      <c r="E750" s="27"/>
      <c r="F750" s="29"/>
      <c r="G750" s="25" t="str">
        <f>IFERROR(IF(C750="","",INDEX(마스터!$J$4:$J$20,MATCH(C750,마스터!$M$4:$M$20,0))),"")</f>
        <v/>
      </c>
      <c r="H750" s="30"/>
      <c r="I750" s="30"/>
    </row>
    <row r="751" spans="1:9" ht="15" customHeight="1" x14ac:dyDescent="0.25">
      <c r="A751" s="25" t="str">
        <f t="shared" si="11"/>
        <v/>
      </c>
      <c r="B751" s="26"/>
      <c r="C751" s="27"/>
      <c r="D751" s="28" t="str">
        <f>IFERROR(IF(C751="","",INDEX(마스터!$F$4:$F$20,MATCH(C751,마스터!$M$4:$M$20,0))),"")</f>
        <v/>
      </c>
      <c r="E751" s="27"/>
      <c r="F751" s="29"/>
      <c r="G751" s="25" t="str">
        <f>IFERROR(IF(C751="","",INDEX(마스터!$J$4:$J$20,MATCH(C751,마스터!$M$4:$M$20,0))),"")</f>
        <v/>
      </c>
      <c r="H751" s="30"/>
      <c r="I751" s="30"/>
    </row>
    <row r="752" spans="1:9" ht="15" customHeight="1" x14ac:dyDescent="0.25">
      <c r="A752" s="25" t="str">
        <f t="shared" si="11"/>
        <v/>
      </c>
      <c r="B752" s="26"/>
      <c r="C752" s="27"/>
      <c r="D752" s="28" t="str">
        <f>IFERROR(IF(C752="","",INDEX(마스터!$F$4:$F$20,MATCH(C752,마스터!$M$4:$M$20,0))),"")</f>
        <v/>
      </c>
      <c r="E752" s="27"/>
      <c r="F752" s="29"/>
      <c r="G752" s="25" t="str">
        <f>IFERROR(IF(C752="","",INDEX(마스터!$J$4:$J$20,MATCH(C752,마스터!$M$4:$M$20,0))),"")</f>
        <v/>
      </c>
      <c r="H752" s="30"/>
      <c r="I752" s="30"/>
    </row>
    <row r="753" spans="1:9" ht="15" customHeight="1" x14ac:dyDescent="0.25">
      <c r="A753" s="25" t="str">
        <f t="shared" si="11"/>
        <v/>
      </c>
      <c r="B753" s="26"/>
      <c r="C753" s="27"/>
      <c r="D753" s="28" t="str">
        <f>IFERROR(IF(C753="","",INDEX(마스터!$F$4:$F$20,MATCH(C753,마스터!$M$4:$M$20,0))),"")</f>
        <v/>
      </c>
      <c r="E753" s="27"/>
      <c r="F753" s="29"/>
      <c r="G753" s="25" t="str">
        <f>IFERROR(IF(C753="","",INDEX(마스터!$J$4:$J$20,MATCH(C753,마스터!$M$4:$M$20,0))),"")</f>
        <v/>
      </c>
      <c r="H753" s="30"/>
      <c r="I753" s="30"/>
    </row>
    <row r="754" spans="1:9" ht="15" customHeight="1" x14ac:dyDescent="0.25">
      <c r="A754" s="25" t="str">
        <f t="shared" si="11"/>
        <v/>
      </c>
      <c r="B754" s="26"/>
      <c r="C754" s="27"/>
      <c r="D754" s="28" t="str">
        <f>IFERROR(IF(C754="","",INDEX(마스터!$F$4:$F$20,MATCH(C754,마스터!$M$4:$M$20,0))),"")</f>
        <v/>
      </c>
      <c r="E754" s="27"/>
      <c r="F754" s="29"/>
      <c r="G754" s="25" t="str">
        <f>IFERROR(IF(C754="","",INDEX(마스터!$J$4:$J$20,MATCH(C754,마스터!$M$4:$M$20,0))),"")</f>
        <v/>
      </c>
      <c r="H754" s="30"/>
      <c r="I754" s="30"/>
    </row>
    <row r="755" spans="1:9" ht="15" customHeight="1" x14ac:dyDescent="0.25">
      <c r="A755" s="25" t="str">
        <f t="shared" si="11"/>
        <v/>
      </c>
      <c r="B755" s="26"/>
      <c r="C755" s="27"/>
      <c r="D755" s="28" t="str">
        <f>IFERROR(IF(C755="","",INDEX(마스터!$F$4:$F$20,MATCH(C755,마스터!$M$4:$M$20,0))),"")</f>
        <v/>
      </c>
      <c r="E755" s="27"/>
      <c r="F755" s="29"/>
      <c r="G755" s="25" t="str">
        <f>IFERROR(IF(C755="","",INDEX(마스터!$J$4:$J$20,MATCH(C755,마스터!$M$4:$M$20,0))),"")</f>
        <v/>
      </c>
      <c r="H755" s="30"/>
      <c r="I755" s="30"/>
    </row>
    <row r="756" spans="1:9" ht="15" customHeight="1" x14ac:dyDescent="0.25">
      <c r="A756" s="25" t="str">
        <f t="shared" si="11"/>
        <v/>
      </c>
      <c r="B756" s="26"/>
      <c r="C756" s="27"/>
      <c r="D756" s="28" t="str">
        <f>IFERROR(IF(C756="","",INDEX(마스터!$F$4:$F$20,MATCH(C756,마스터!$M$4:$M$20,0))),"")</f>
        <v/>
      </c>
      <c r="E756" s="27"/>
      <c r="F756" s="29"/>
      <c r="G756" s="25" t="str">
        <f>IFERROR(IF(C756="","",INDEX(마스터!$J$4:$J$20,MATCH(C756,마스터!$M$4:$M$20,0))),"")</f>
        <v/>
      </c>
      <c r="H756" s="30"/>
      <c r="I756" s="30"/>
    </row>
    <row r="757" spans="1:9" ht="15" customHeight="1" x14ac:dyDescent="0.25">
      <c r="A757" s="25" t="str">
        <f t="shared" si="11"/>
        <v/>
      </c>
      <c r="B757" s="26"/>
      <c r="C757" s="27"/>
      <c r="D757" s="28" t="str">
        <f>IFERROR(IF(C757="","",INDEX(마스터!$F$4:$F$20,MATCH(C757,마스터!$M$4:$M$20,0))),"")</f>
        <v/>
      </c>
      <c r="E757" s="27"/>
      <c r="F757" s="29"/>
      <c r="G757" s="25" t="str">
        <f>IFERROR(IF(C757="","",INDEX(마스터!$J$4:$J$20,MATCH(C757,마스터!$M$4:$M$20,0))),"")</f>
        <v/>
      </c>
      <c r="H757" s="30"/>
      <c r="I757" s="30"/>
    </row>
    <row r="758" spans="1:9" ht="15" customHeight="1" x14ac:dyDescent="0.25">
      <c r="A758" s="25" t="str">
        <f t="shared" si="11"/>
        <v/>
      </c>
      <c r="B758" s="26"/>
      <c r="C758" s="27"/>
      <c r="D758" s="28" t="str">
        <f>IFERROR(IF(C758="","",INDEX(마스터!$F$4:$F$20,MATCH(C758,마스터!$M$4:$M$20,0))),"")</f>
        <v/>
      </c>
      <c r="E758" s="27"/>
      <c r="F758" s="29"/>
      <c r="G758" s="25" t="str">
        <f>IFERROR(IF(C758="","",INDEX(마스터!$J$4:$J$20,MATCH(C758,마스터!$M$4:$M$20,0))),"")</f>
        <v/>
      </c>
      <c r="H758" s="30"/>
      <c r="I758" s="30"/>
    </row>
    <row r="759" spans="1:9" ht="15" customHeight="1" x14ac:dyDescent="0.25">
      <c r="A759" s="25" t="str">
        <f t="shared" si="11"/>
        <v/>
      </c>
      <c r="B759" s="26"/>
      <c r="C759" s="27"/>
      <c r="D759" s="28" t="str">
        <f>IFERROR(IF(C759="","",INDEX(마스터!$F$4:$F$20,MATCH(C759,마스터!$M$4:$M$20,0))),"")</f>
        <v/>
      </c>
      <c r="E759" s="27"/>
      <c r="F759" s="29"/>
      <c r="G759" s="25" t="str">
        <f>IFERROR(IF(C759="","",INDEX(마스터!$J$4:$J$20,MATCH(C759,마스터!$M$4:$M$20,0))),"")</f>
        <v/>
      </c>
      <c r="H759" s="30"/>
      <c r="I759" s="30"/>
    </row>
    <row r="760" spans="1:9" ht="15" customHeight="1" x14ac:dyDescent="0.25">
      <c r="A760" s="25" t="str">
        <f t="shared" si="11"/>
        <v/>
      </c>
      <c r="B760" s="26"/>
      <c r="C760" s="27"/>
      <c r="D760" s="28" t="str">
        <f>IFERROR(IF(C760="","",INDEX(마스터!$F$4:$F$20,MATCH(C760,마스터!$M$4:$M$20,0))),"")</f>
        <v/>
      </c>
      <c r="E760" s="27"/>
      <c r="F760" s="29"/>
      <c r="G760" s="25" t="str">
        <f>IFERROR(IF(C760="","",INDEX(마스터!$J$4:$J$20,MATCH(C760,마스터!$M$4:$M$20,0))),"")</f>
        <v/>
      </c>
      <c r="H760" s="30"/>
      <c r="I760" s="30"/>
    </row>
    <row r="761" spans="1:9" ht="15" customHeight="1" x14ac:dyDescent="0.25">
      <c r="A761" s="25" t="str">
        <f t="shared" si="11"/>
        <v/>
      </c>
      <c r="B761" s="26"/>
      <c r="C761" s="27"/>
      <c r="D761" s="28" t="str">
        <f>IFERROR(IF(C761="","",INDEX(마스터!$F$4:$F$20,MATCH(C761,마스터!$M$4:$M$20,0))),"")</f>
        <v/>
      </c>
      <c r="E761" s="27"/>
      <c r="F761" s="29"/>
      <c r="G761" s="25" t="str">
        <f>IFERROR(IF(C761="","",INDEX(마스터!$J$4:$J$20,MATCH(C761,마스터!$M$4:$M$20,0))),"")</f>
        <v/>
      </c>
      <c r="H761" s="30"/>
      <c r="I761" s="30"/>
    </row>
    <row r="762" spans="1:9" ht="15" customHeight="1" x14ac:dyDescent="0.25">
      <c r="A762" s="25" t="str">
        <f t="shared" si="11"/>
        <v/>
      </c>
      <c r="B762" s="26"/>
      <c r="C762" s="27"/>
      <c r="D762" s="28" t="str">
        <f>IFERROR(IF(C762="","",INDEX(마스터!$F$4:$F$20,MATCH(C762,마스터!$M$4:$M$20,0))),"")</f>
        <v/>
      </c>
      <c r="E762" s="27"/>
      <c r="F762" s="29"/>
      <c r="G762" s="25" t="str">
        <f>IFERROR(IF(C762="","",INDEX(마스터!$J$4:$J$20,MATCH(C762,마스터!$M$4:$M$20,0))),"")</f>
        <v/>
      </c>
      <c r="H762" s="30"/>
      <c r="I762" s="30"/>
    </row>
    <row r="763" spans="1:9" ht="15" customHeight="1" x14ac:dyDescent="0.25">
      <c r="A763" s="25" t="str">
        <f t="shared" si="11"/>
        <v/>
      </c>
      <c r="B763" s="26"/>
      <c r="C763" s="27"/>
      <c r="D763" s="28" t="str">
        <f>IFERROR(IF(C763="","",INDEX(마스터!$F$4:$F$20,MATCH(C763,마스터!$M$4:$M$20,0))),"")</f>
        <v/>
      </c>
      <c r="E763" s="27"/>
      <c r="F763" s="29"/>
      <c r="G763" s="25" t="str">
        <f>IFERROR(IF(C763="","",INDEX(마스터!$J$4:$J$20,MATCH(C763,마스터!$M$4:$M$20,0))),"")</f>
        <v/>
      </c>
      <c r="H763" s="30"/>
      <c r="I763" s="30"/>
    </row>
    <row r="764" spans="1:9" ht="15" customHeight="1" x14ac:dyDescent="0.25">
      <c r="A764" s="25" t="str">
        <f t="shared" si="11"/>
        <v/>
      </c>
      <c r="B764" s="26"/>
      <c r="C764" s="27"/>
      <c r="D764" s="28" t="str">
        <f>IFERROR(IF(C764="","",INDEX(마스터!$F$4:$F$20,MATCH(C764,마스터!$M$4:$M$20,0))),"")</f>
        <v/>
      </c>
      <c r="E764" s="27"/>
      <c r="F764" s="29"/>
      <c r="G764" s="25" t="str">
        <f>IFERROR(IF(C764="","",INDEX(마스터!$J$4:$J$20,MATCH(C764,마스터!$M$4:$M$20,0))),"")</f>
        <v/>
      </c>
      <c r="H764" s="30"/>
      <c r="I764" s="30"/>
    </row>
    <row r="765" spans="1:9" ht="15" customHeight="1" x14ac:dyDescent="0.25">
      <c r="A765" s="25" t="str">
        <f t="shared" si="11"/>
        <v/>
      </c>
      <c r="B765" s="26"/>
      <c r="C765" s="27"/>
      <c r="D765" s="28" t="str">
        <f>IFERROR(IF(C765="","",INDEX(마스터!$F$4:$F$20,MATCH(C765,마스터!$M$4:$M$20,0))),"")</f>
        <v/>
      </c>
      <c r="E765" s="27"/>
      <c r="F765" s="29"/>
      <c r="G765" s="25" t="str">
        <f>IFERROR(IF(C765="","",INDEX(마스터!$J$4:$J$20,MATCH(C765,마스터!$M$4:$M$20,0))),"")</f>
        <v/>
      </c>
      <c r="H765" s="30"/>
      <c r="I765" s="30"/>
    </row>
    <row r="766" spans="1:9" ht="15" customHeight="1" x14ac:dyDescent="0.25">
      <c r="A766" s="25" t="str">
        <f t="shared" si="11"/>
        <v/>
      </c>
      <c r="B766" s="26"/>
      <c r="C766" s="27"/>
      <c r="D766" s="28" t="str">
        <f>IFERROR(IF(C766="","",INDEX(마스터!$F$4:$F$20,MATCH(C766,마스터!$M$4:$M$20,0))),"")</f>
        <v/>
      </c>
      <c r="E766" s="27"/>
      <c r="F766" s="29"/>
      <c r="G766" s="25" t="str">
        <f>IFERROR(IF(C766="","",INDEX(마스터!$J$4:$J$20,MATCH(C766,마스터!$M$4:$M$20,0))),"")</f>
        <v/>
      </c>
      <c r="H766" s="30"/>
      <c r="I766" s="30"/>
    </row>
    <row r="767" spans="1:9" ht="15" customHeight="1" x14ac:dyDescent="0.25">
      <c r="A767" s="25" t="str">
        <f t="shared" si="11"/>
        <v/>
      </c>
      <c r="B767" s="26"/>
      <c r="C767" s="27"/>
      <c r="D767" s="28" t="str">
        <f>IFERROR(IF(C767="","",INDEX(마스터!$F$4:$F$20,MATCH(C767,마스터!$M$4:$M$20,0))),"")</f>
        <v/>
      </c>
      <c r="E767" s="27"/>
      <c r="F767" s="29"/>
      <c r="G767" s="25" t="str">
        <f>IFERROR(IF(C767="","",INDEX(마스터!$J$4:$J$20,MATCH(C767,마스터!$M$4:$M$20,0))),"")</f>
        <v/>
      </c>
      <c r="H767" s="30"/>
      <c r="I767" s="30"/>
    </row>
    <row r="768" spans="1:9" ht="15" customHeight="1" x14ac:dyDescent="0.25">
      <c r="A768" s="25" t="str">
        <f t="shared" si="11"/>
        <v/>
      </c>
      <c r="B768" s="26"/>
      <c r="C768" s="27"/>
      <c r="D768" s="28" t="str">
        <f>IFERROR(IF(C768="","",INDEX(마스터!$F$4:$F$20,MATCH(C768,마스터!$M$4:$M$20,0))),"")</f>
        <v/>
      </c>
      <c r="E768" s="27"/>
      <c r="F768" s="29"/>
      <c r="G768" s="25" t="str">
        <f>IFERROR(IF(C768="","",INDEX(마스터!$J$4:$J$20,MATCH(C768,마스터!$M$4:$M$20,0))),"")</f>
        <v/>
      </c>
      <c r="H768" s="30"/>
      <c r="I768" s="30"/>
    </row>
    <row r="769" spans="1:9" ht="15" customHeight="1" x14ac:dyDescent="0.25">
      <c r="A769" s="25" t="str">
        <f t="shared" si="11"/>
        <v/>
      </c>
      <c r="B769" s="26"/>
      <c r="C769" s="27"/>
      <c r="D769" s="28" t="str">
        <f>IFERROR(IF(C769="","",INDEX(마스터!$F$4:$F$20,MATCH(C769,마스터!$M$4:$M$20,0))),"")</f>
        <v/>
      </c>
      <c r="E769" s="27"/>
      <c r="F769" s="29"/>
      <c r="G769" s="25" t="str">
        <f>IFERROR(IF(C769="","",INDEX(마스터!$J$4:$J$20,MATCH(C769,마스터!$M$4:$M$20,0))),"")</f>
        <v/>
      </c>
      <c r="H769" s="30"/>
      <c r="I769" s="30"/>
    </row>
    <row r="770" spans="1:9" ht="15" customHeight="1" x14ac:dyDescent="0.25">
      <c r="A770" s="25" t="str">
        <f t="shared" si="11"/>
        <v/>
      </c>
      <c r="B770" s="26"/>
      <c r="C770" s="27"/>
      <c r="D770" s="28" t="str">
        <f>IFERROR(IF(C770="","",INDEX(마스터!$F$4:$F$20,MATCH(C770,마스터!$M$4:$M$20,0))),"")</f>
        <v/>
      </c>
      <c r="E770" s="27"/>
      <c r="F770" s="29"/>
      <c r="G770" s="25" t="str">
        <f>IFERROR(IF(C770="","",INDEX(마스터!$J$4:$J$20,MATCH(C770,마스터!$M$4:$M$20,0))),"")</f>
        <v/>
      </c>
      <c r="H770" s="30"/>
      <c r="I770" s="30"/>
    </row>
    <row r="771" spans="1:9" ht="15" customHeight="1" x14ac:dyDescent="0.25">
      <c r="A771" s="25" t="str">
        <f t="shared" si="11"/>
        <v/>
      </c>
      <c r="B771" s="26"/>
      <c r="C771" s="27"/>
      <c r="D771" s="28" t="str">
        <f>IFERROR(IF(C771="","",INDEX(마스터!$F$4:$F$20,MATCH(C771,마스터!$M$4:$M$20,0))),"")</f>
        <v/>
      </c>
      <c r="E771" s="27"/>
      <c r="F771" s="29"/>
      <c r="G771" s="25" t="str">
        <f>IFERROR(IF(C771="","",INDEX(마스터!$J$4:$J$20,MATCH(C771,마스터!$M$4:$M$20,0))),"")</f>
        <v/>
      </c>
      <c r="H771" s="30"/>
      <c r="I771" s="30"/>
    </row>
    <row r="772" spans="1:9" ht="15" customHeight="1" x14ac:dyDescent="0.25">
      <c r="A772" s="25" t="str">
        <f t="shared" si="11"/>
        <v/>
      </c>
      <c r="B772" s="26"/>
      <c r="C772" s="27"/>
      <c r="D772" s="28" t="str">
        <f>IFERROR(IF(C772="","",INDEX(마스터!$F$4:$F$20,MATCH(C772,마스터!$M$4:$M$20,0))),"")</f>
        <v/>
      </c>
      <c r="E772" s="27"/>
      <c r="F772" s="29"/>
      <c r="G772" s="25" t="str">
        <f>IFERROR(IF(C772="","",INDEX(마스터!$J$4:$J$20,MATCH(C772,마스터!$M$4:$M$20,0))),"")</f>
        <v/>
      </c>
      <c r="H772" s="30"/>
      <c r="I772" s="30"/>
    </row>
    <row r="773" spans="1:9" ht="15" customHeight="1" x14ac:dyDescent="0.25">
      <c r="A773" s="25" t="str">
        <f t="shared" si="11"/>
        <v/>
      </c>
      <c r="B773" s="26"/>
      <c r="C773" s="27"/>
      <c r="D773" s="28" t="str">
        <f>IFERROR(IF(C773="","",INDEX(마스터!$F$4:$F$20,MATCH(C773,마스터!$M$4:$M$20,0))),"")</f>
        <v/>
      </c>
      <c r="E773" s="27"/>
      <c r="F773" s="29"/>
      <c r="G773" s="25" t="str">
        <f>IFERROR(IF(C773="","",INDEX(마스터!$J$4:$J$20,MATCH(C773,마스터!$M$4:$M$20,0))),"")</f>
        <v/>
      </c>
      <c r="H773" s="30"/>
      <c r="I773" s="30"/>
    </row>
    <row r="774" spans="1:9" ht="15" customHeight="1" x14ac:dyDescent="0.25">
      <c r="A774" s="25" t="str">
        <f t="shared" si="11"/>
        <v/>
      </c>
      <c r="B774" s="26"/>
      <c r="C774" s="27"/>
      <c r="D774" s="28" t="str">
        <f>IFERROR(IF(C774="","",INDEX(마스터!$F$4:$F$20,MATCH(C774,마스터!$M$4:$M$20,0))),"")</f>
        <v/>
      </c>
      <c r="E774" s="27"/>
      <c r="F774" s="29"/>
      <c r="G774" s="25" t="str">
        <f>IFERROR(IF(C774="","",INDEX(마스터!$J$4:$J$20,MATCH(C774,마스터!$M$4:$M$20,0))),"")</f>
        <v/>
      </c>
      <c r="H774" s="30"/>
      <c r="I774" s="30"/>
    </row>
    <row r="775" spans="1:9" ht="15" customHeight="1" x14ac:dyDescent="0.25">
      <c r="A775" s="25" t="str">
        <f t="shared" si="11"/>
        <v/>
      </c>
      <c r="B775" s="26"/>
      <c r="C775" s="27"/>
      <c r="D775" s="28" t="str">
        <f>IFERROR(IF(C775="","",INDEX(마스터!$F$4:$F$20,MATCH(C775,마스터!$M$4:$M$20,0))),"")</f>
        <v/>
      </c>
      <c r="E775" s="27"/>
      <c r="F775" s="29"/>
      <c r="G775" s="25" t="str">
        <f>IFERROR(IF(C775="","",INDEX(마스터!$J$4:$J$20,MATCH(C775,마스터!$M$4:$M$20,0))),"")</f>
        <v/>
      </c>
      <c r="H775" s="30"/>
      <c r="I775" s="30"/>
    </row>
    <row r="776" spans="1:9" ht="15" customHeight="1" x14ac:dyDescent="0.25">
      <c r="A776" s="25" t="str">
        <f t="shared" ref="A776:A839" si="12">IF(B776="","",ROW()-7)</f>
        <v/>
      </c>
      <c r="B776" s="26"/>
      <c r="C776" s="27"/>
      <c r="D776" s="28" t="str">
        <f>IFERROR(IF(C776="","",INDEX(마스터!$F$4:$F$20,MATCH(C776,마스터!$M$4:$M$20,0))),"")</f>
        <v/>
      </c>
      <c r="E776" s="27"/>
      <c r="F776" s="29"/>
      <c r="G776" s="25" t="str">
        <f>IFERROR(IF(C776="","",INDEX(마스터!$J$4:$J$20,MATCH(C776,마스터!$M$4:$M$20,0))),"")</f>
        <v/>
      </c>
      <c r="H776" s="30"/>
      <c r="I776" s="30"/>
    </row>
    <row r="777" spans="1:9" ht="15" customHeight="1" x14ac:dyDescent="0.25">
      <c r="A777" s="25" t="str">
        <f t="shared" si="12"/>
        <v/>
      </c>
      <c r="B777" s="26"/>
      <c r="C777" s="27"/>
      <c r="D777" s="28" t="str">
        <f>IFERROR(IF(C777="","",INDEX(마스터!$F$4:$F$20,MATCH(C777,마스터!$M$4:$M$20,0))),"")</f>
        <v/>
      </c>
      <c r="E777" s="27"/>
      <c r="F777" s="29"/>
      <c r="G777" s="25" t="str">
        <f>IFERROR(IF(C777="","",INDEX(마스터!$J$4:$J$20,MATCH(C777,마스터!$M$4:$M$20,0))),"")</f>
        <v/>
      </c>
      <c r="H777" s="30"/>
      <c r="I777" s="30"/>
    </row>
    <row r="778" spans="1:9" ht="15" customHeight="1" x14ac:dyDescent="0.25">
      <c r="A778" s="25" t="str">
        <f t="shared" si="12"/>
        <v/>
      </c>
      <c r="B778" s="26"/>
      <c r="C778" s="27"/>
      <c r="D778" s="28" t="str">
        <f>IFERROR(IF(C778="","",INDEX(마스터!$F$4:$F$20,MATCH(C778,마스터!$M$4:$M$20,0))),"")</f>
        <v/>
      </c>
      <c r="E778" s="27"/>
      <c r="F778" s="29"/>
      <c r="G778" s="25" t="str">
        <f>IFERROR(IF(C778="","",INDEX(마스터!$J$4:$J$20,MATCH(C778,마스터!$M$4:$M$20,0))),"")</f>
        <v/>
      </c>
      <c r="H778" s="30"/>
      <c r="I778" s="30"/>
    </row>
    <row r="779" spans="1:9" ht="15" customHeight="1" x14ac:dyDescent="0.25">
      <c r="A779" s="25" t="str">
        <f t="shared" si="12"/>
        <v/>
      </c>
      <c r="B779" s="26"/>
      <c r="C779" s="27"/>
      <c r="D779" s="28" t="str">
        <f>IFERROR(IF(C779="","",INDEX(마스터!$F$4:$F$20,MATCH(C779,마스터!$M$4:$M$20,0))),"")</f>
        <v/>
      </c>
      <c r="E779" s="27"/>
      <c r="F779" s="29"/>
      <c r="G779" s="25" t="str">
        <f>IFERROR(IF(C779="","",INDEX(마스터!$J$4:$J$20,MATCH(C779,마스터!$M$4:$M$20,0))),"")</f>
        <v/>
      </c>
      <c r="H779" s="30"/>
      <c r="I779" s="30"/>
    </row>
    <row r="780" spans="1:9" ht="15" customHeight="1" x14ac:dyDescent="0.25">
      <c r="A780" s="25" t="str">
        <f t="shared" si="12"/>
        <v/>
      </c>
      <c r="B780" s="26"/>
      <c r="C780" s="27"/>
      <c r="D780" s="28" t="str">
        <f>IFERROR(IF(C780="","",INDEX(마스터!$F$4:$F$20,MATCH(C780,마스터!$M$4:$M$20,0))),"")</f>
        <v/>
      </c>
      <c r="E780" s="27"/>
      <c r="F780" s="29"/>
      <c r="G780" s="25" t="str">
        <f>IFERROR(IF(C780="","",INDEX(마스터!$J$4:$J$20,MATCH(C780,마스터!$M$4:$M$20,0))),"")</f>
        <v/>
      </c>
      <c r="H780" s="30"/>
      <c r="I780" s="30"/>
    </row>
    <row r="781" spans="1:9" ht="15" customHeight="1" x14ac:dyDescent="0.25">
      <c r="A781" s="25" t="str">
        <f t="shared" si="12"/>
        <v/>
      </c>
      <c r="B781" s="26"/>
      <c r="C781" s="27"/>
      <c r="D781" s="28" t="str">
        <f>IFERROR(IF(C781="","",INDEX(마스터!$F$4:$F$20,MATCH(C781,마스터!$M$4:$M$20,0))),"")</f>
        <v/>
      </c>
      <c r="E781" s="27"/>
      <c r="F781" s="29"/>
      <c r="G781" s="25" t="str">
        <f>IFERROR(IF(C781="","",INDEX(마스터!$J$4:$J$20,MATCH(C781,마스터!$M$4:$M$20,0))),"")</f>
        <v/>
      </c>
      <c r="H781" s="30"/>
      <c r="I781" s="30"/>
    </row>
    <row r="782" spans="1:9" ht="15" customHeight="1" x14ac:dyDescent="0.25">
      <c r="A782" s="25" t="str">
        <f t="shared" si="12"/>
        <v/>
      </c>
      <c r="B782" s="26"/>
      <c r="C782" s="27"/>
      <c r="D782" s="28" t="str">
        <f>IFERROR(IF(C782="","",INDEX(마스터!$F$4:$F$20,MATCH(C782,마스터!$M$4:$M$20,0))),"")</f>
        <v/>
      </c>
      <c r="E782" s="27"/>
      <c r="F782" s="29"/>
      <c r="G782" s="25" t="str">
        <f>IFERROR(IF(C782="","",INDEX(마스터!$J$4:$J$20,MATCH(C782,마스터!$M$4:$M$20,0))),"")</f>
        <v/>
      </c>
      <c r="H782" s="30"/>
      <c r="I782" s="30"/>
    </row>
    <row r="783" spans="1:9" ht="15" customHeight="1" x14ac:dyDescent="0.25">
      <c r="A783" s="25" t="str">
        <f t="shared" si="12"/>
        <v/>
      </c>
      <c r="B783" s="26"/>
      <c r="C783" s="27"/>
      <c r="D783" s="28" t="str">
        <f>IFERROR(IF(C783="","",INDEX(마스터!$F$4:$F$20,MATCH(C783,마스터!$M$4:$M$20,0))),"")</f>
        <v/>
      </c>
      <c r="E783" s="27"/>
      <c r="F783" s="29"/>
      <c r="G783" s="25" t="str">
        <f>IFERROR(IF(C783="","",INDEX(마스터!$J$4:$J$20,MATCH(C783,마스터!$M$4:$M$20,0))),"")</f>
        <v/>
      </c>
      <c r="H783" s="30"/>
      <c r="I783" s="30"/>
    </row>
    <row r="784" spans="1:9" ht="15" customHeight="1" x14ac:dyDescent="0.25">
      <c r="A784" s="25" t="str">
        <f t="shared" si="12"/>
        <v/>
      </c>
      <c r="B784" s="26"/>
      <c r="C784" s="27"/>
      <c r="D784" s="28" t="str">
        <f>IFERROR(IF(C784="","",INDEX(마스터!$F$4:$F$20,MATCH(C784,마스터!$M$4:$M$20,0))),"")</f>
        <v/>
      </c>
      <c r="E784" s="27"/>
      <c r="F784" s="29"/>
      <c r="G784" s="25" t="str">
        <f>IFERROR(IF(C784="","",INDEX(마스터!$J$4:$J$20,MATCH(C784,마스터!$M$4:$M$20,0))),"")</f>
        <v/>
      </c>
      <c r="H784" s="30"/>
      <c r="I784" s="30"/>
    </row>
    <row r="785" spans="1:9" ht="15" customHeight="1" x14ac:dyDescent="0.25">
      <c r="A785" s="25" t="str">
        <f t="shared" si="12"/>
        <v/>
      </c>
      <c r="B785" s="26"/>
      <c r="C785" s="27"/>
      <c r="D785" s="28" t="str">
        <f>IFERROR(IF(C785="","",INDEX(마스터!$F$4:$F$20,MATCH(C785,마스터!$M$4:$M$20,0))),"")</f>
        <v/>
      </c>
      <c r="E785" s="27"/>
      <c r="F785" s="29"/>
      <c r="G785" s="25" t="str">
        <f>IFERROR(IF(C785="","",INDEX(마스터!$J$4:$J$20,MATCH(C785,마스터!$M$4:$M$20,0))),"")</f>
        <v/>
      </c>
      <c r="H785" s="30"/>
      <c r="I785" s="30"/>
    </row>
    <row r="786" spans="1:9" ht="15" customHeight="1" x14ac:dyDescent="0.25">
      <c r="A786" s="25" t="str">
        <f t="shared" si="12"/>
        <v/>
      </c>
      <c r="B786" s="26"/>
      <c r="C786" s="27"/>
      <c r="D786" s="28" t="str">
        <f>IFERROR(IF(C786="","",INDEX(마스터!$F$4:$F$20,MATCH(C786,마스터!$M$4:$M$20,0))),"")</f>
        <v/>
      </c>
      <c r="E786" s="27"/>
      <c r="F786" s="29"/>
      <c r="G786" s="25" t="str">
        <f>IFERROR(IF(C786="","",INDEX(마스터!$J$4:$J$20,MATCH(C786,마스터!$M$4:$M$20,0))),"")</f>
        <v/>
      </c>
      <c r="H786" s="30"/>
      <c r="I786" s="30"/>
    </row>
    <row r="787" spans="1:9" ht="15" customHeight="1" x14ac:dyDescent="0.25">
      <c r="A787" s="25" t="str">
        <f t="shared" si="12"/>
        <v/>
      </c>
      <c r="B787" s="26"/>
      <c r="C787" s="27"/>
      <c r="D787" s="28" t="str">
        <f>IFERROR(IF(C787="","",INDEX(마스터!$F$4:$F$20,MATCH(C787,마스터!$M$4:$M$20,0))),"")</f>
        <v/>
      </c>
      <c r="E787" s="27"/>
      <c r="F787" s="29"/>
      <c r="G787" s="25" t="str">
        <f>IFERROR(IF(C787="","",INDEX(마스터!$J$4:$J$20,MATCH(C787,마스터!$M$4:$M$20,0))),"")</f>
        <v/>
      </c>
      <c r="H787" s="30"/>
      <c r="I787" s="30"/>
    </row>
    <row r="788" spans="1:9" ht="15" customHeight="1" x14ac:dyDescent="0.25">
      <c r="A788" s="25" t="str">
        <f t="shared" si="12"/>
        <v/>
      </c>
      <c r="B788" s="26"/>
      <c r="C788" s="27"/>
      <c r="D788" s="28" t="str">
        <f>IFERROR(IF(C788="","",INDEX(마스터!$F$4:$F$20,MATCH(C788,마스터!$M$4:$M$20,0))),"")</f>
        <v/>
      </c>
      <c r="E788" s="27"/>
      <c r="F788" s="29"/>
      <c r="G788" s="25" t="str">
        <f>IFERROR(IF(C788="","",INDEX(마스터!$J$4:$J$20,MATCH(C788,마스터!$M$4:$M$20,0))),"")</f>
        <v/>
      </c>
      <c r="H788" s="30"/>
      <c r="I788" s="30"/>
    </row>
    <row r="789" spans="1:9" ht="15" customHeight="1" x14ac:dyDescent="0.25">
      <c r="A789" s="25" t="str">
        <f t="shared" si="12"/>
        <v/>
      </c>
      <c r="B789" s="26"/>
      <c r="C789" s="27"/>
      <c r="D789" s="28" t="str">
        <f>IFERROR(IF(C789="","",INDEX(마스터!$F$4:$F$20,MATCH(C789,마스터!$M$4:$M$20,0))),"")</f>
        <v/>
      </c>
      <c r="E789" s="27"/>
      <c r="F789" s="29"/>
      <c r="G789" s="25" t="str">
        <f>IFERROR(IF(C789="","",INDEX(마스터!$J$4:$J$20,MATCH(C789,마스터!$M$4:$M$20,0))),"")</f>
        <v/>
      </c>
      <c r="H789" s="30"/>
      <c r="I789" s="30"/>
    </row>
    <row r="790" spans="1:9" ht="15" customHeight="1" x14ac:dyDescent="0.25">
      <c r="A790" s="25" t="str">
        <f t="shared" si="12"/>
        <v/>
      </c>
      <c r="B790" s="26"/>
      <c r="C790" s="27"/>
      <c r="D790" s="28" t="str">
        <f>IFERROR(IF(C790="","",INDEX(마스터!$F$4:$F$20,MATCH(C790,마스터!$M$4:$M$20,0))),"")</f>
        <v/>
      </c>
      <c r="E790" s="27"/>
      <c r="F790" s="29"/>
      <c r="G790" s="25" t="str">
        <f>IFERROR(IF(C790="","",INDEX(마스터!$J$4:$J$20,MATCH(C790,마스터!$M$4:$M$20,0))),"")</f>
        <v/>
      </c>
      <c r="H790" s="30"/>
      <c r="I790" s="30"/>
    </row>
    <row r="791" spans="1:9" ht="15" customHeight="1" x14ac:dyDescent="0.25">
      <c r="A791" s="25" t="str">
        <f t="shared" si="12"/>
        <v/>
      </c>
      <c r="B791" s="26"/>
      <c r="C791" s="27"/>
      <c r="D791" s="28" t="str">
        <f>IFERROR(IF(C791="","",INDEX(마스터!$F$4:$F$20,MATCH(C791,마스터!$M$4:$M$20,0))),"")</f>
        <v/>
      </c>
      <c r="E791" s="27"/>
      <c r="F791" s="29"/>
      <c r="G791" s="25" t="str">
        <f>IFERROR(IF(C791="","",INDEX(마스터!$J$4:$J$20,MATCH(C791,마스터!$M$4:$M$20,0))),"")</f>
        <v/>
      </c>
      <c r="H791" s="30"/>
      <c r="I791" s="30"/>
    </row>
    <row r="792" spans="1:9" ht="15" customHeight="1" x14ac:dyDescent="0.25">
      <c r="A792" s="25" t="str">
        <f t="shared" si="12"/>
        <v/>
      </c>
      <c r="B792" s="26"/>
      <c r="C792" s="27"/>
      <c r="D792" s="28" t="str">
        <f>IFERROR(IF(C792="","",INDEX(마스터!$F$4:$F$20,MATCH(C792,마스터!$M$4:$M$20,0))),"")</f>
        <v/>
      </c>
      <c r="E792" s="27"/>
      <c r="F792" s="29"/>
      <c r="G792" s="25" t="str">
        <f>IFERROR(IF(C792="","",INDEX(마스터!$J$4:$J$20,MATCH(C792,마스터!$M$4:$M$20,0))),"")</f>
        <v/>
      </c>
      <c r="H792" s="30"/>
      <c r="I792" s="30"/>
    </row>
    <row r="793" spans="1:9" ht="15" customHeight="1" x14ac:dyDescent="0.25">
      <c r="A793" s="25" t="str">
        <f t="shared" si="12"/>
        <v/>
      </c>
      <c r="B793" s="26"/>
      <c r="C793" s="27"/>
      <c r="D793" s="28" t="str">
        <f>IFERROR(IF(C793="","",INDEX(마스터!$F$4:$F$20,MATCH(C793,마스터!$M$4:$M$20,0))),"")</f>
        <v/>
      </c>
      <c r="E793" s="27"/>
      <c r="F793" s="29"/>
      <c r="G793" s="25" t="str">
        <f>IFERROR(IF(C793="","",INDEX(마스터!$J$4:$J$20,MATCH(C793,마스터!$M$4:$M$20,0))),"")</f>
        <v/>
      </c>
      <c r="H793" s="30"/>
      <c r="I793" s="30"/>
    </row>
    <row r="794" spans="1:9" ht="15" customHeight="1" x14ac:dyDescent="0.25">
      <c r="A794" s="25" t="str">
        <f t="shared" si="12"/>
        <v/>
      </c>
      <c r="B794" s="26"/>
      <c r="C794" s="27"/>
      <c r="D794" s="28" t="str">
        <f>IFERROR(IF(C794="","",INDEX(마스터!$F$4:$F$20,MATCH(C794,마스터!$M$4:$M$20,0))),"")</f>
        <v/>
      </c>
      <c r="E794" s="27"/>
      <c r="F794" s="29"/>
      <c r="G794" s="25" t="str">
        <f>IFERROR(IF(C794="","",INDEX(마스터!$J$4:$J$20,MATCH(C794,마스터!$M$4:$M$20,0))),"")</f>
        <v/>
      </c>
      <c r="H794" s="30"/>
      <c r="I794" s="30"/>
    </row>
    <row r="795" spans="1:9" ht="15" customHeight="1" x14ac:dyDescent="0.25">
      <c r="A795" s="25" t="str">
        <f t="shared" si="12"/>
        <v/>
      </c>
      <c r="B795" s="26"/>
      <c r="C795" s="27"/>
      <c r="D795" s="28" t="str">
        <f>IFERROR(IF(C795="","",INDEX(마스터!$F$4:$F$20,MATCH(C795,마스터!$M$4:$M$20,0))),"")</f>
        <v/>
      </c>
      <c r="E795" s="27"/>
      <c r="F795" s="29"/>
      <c r="G795" s="25" t="str">
        <f>IFERROR(IF(C795="","",INDEX(마스터!$J$4:$J$20,MATCH(C795,마스터!$M$4:$M$20,0))),"")</f>
        <v/>
      </c>
      <c r="H795" s="30"/>
      <c r="I795" s="30"/>
    </row>
    <row r="796" spans="1:9" ht="15" customHeight="1" x14ac:dyDescent="0.25">
      <c r="A796" s="25" t="str">
        <f t="shared" si="12"/>
        <v/>
      </c>
      <c r="B796" s="26"/>
      <c r="C796" s="27"/>
      <c r="D796" s="28" t="str">
        <f>IFERROR(IF(C796="","",INDEX(마스터!$F$4:$F$20,MATCH(C796,마스터!$M$4:$M$20,0))),"")</f>
        <v/>
      </c>
      <c r="E796" s="27"/>
      <c r="F796" s="29"/>
      <c r="G796" s="25" t="str">
        <f>IFERROR(IF(C796="","",INDEX(마스터!$J$4:$J$20,MATCH(C796,마스터!$M$4:$M$20,0))),"")</f>
        <v/>
      </c>
      <c r="H796" s="30"/>
      <c r="I796" s="30"/>
    </row>
    <row r="797" spans="1:9" ht="15" customHeight="1" x14ac:dyDescent="0.25">
      <c r="A797" s="25" t="str">
        <f t="shared" si="12"/>
        <v/>
      </c>
      <c r="B797" s="26"/>
      <c r="C797" s="27"/>
      <c r="D797" s="28" t="str">
        <f>IFERROR(IF(C797="","",INDEX(마스터!$F$4:$F$20,MATCH(C797,마스터!$M$4:$M$20,0))),"")</f>
        <v/>
      </c>
      <c r="E797" s="27"/>
      <c r="F797" s="29"/>
      <c r="G797" s="25" t="str">
        <f>IFERROR(IF(C797="","",INDEX(마스터!$J$4:$J$20,MATCH(C797,마스터!$M$4:$M$20,0))),"")</f>
        <v/>
      </c>
      <c r="H797" s="30"/>
      <c r="I797" s="30"/>
    </row>
    <row r="798" spans="1:9" ht="15" customHeight="1" x14ac:dyDescent="0.25">
      <c r="A798" s="25" t="str">
        <f t="shared" si="12"/>
        <v/>
      </c>
      <c r="B798" s="26"/>
      <c r="C798" s="27"/>
      <c r="D798" s="28" t="str">
        <f>IFERROR(IF(C798="","",INDEX(마스터!$F$4:$F$20,MATCH(C798,마스터!$M$4:$M$20,0))),"")</f>
        <v/>
      </c>
      <c r="E798" s="27"/>
      <c r="F798" s="29"/>
      <c r="G798" s="25" t="str">
        <f>IFERROR(IF(C798="","",INDEX(마스터!$J$4:$J$20,MATCH(C798,마스터!$M$4:$M$20,0))),"")</f>
        <v/>
      </c>
      <c r="H798" s="30"/>
      <c r="I798" s="30"/>
    </row>
    <row r="799" spans="1:9" ht="15" customHeight="1" x14ac:dyDescent="0.25">
      <c r="A799" s="25" t="str">
        <f t="shared" si="12"/>
        <v/>
      </c>
      <c r="B799" s="26"/>
      <c r="C799" s="27"/>
      <c r="D799" s="28" t="str">
        <f>IFERROR(IF(C799="","",INDEX(마스터!$F$4:$F$20,MATCH(C799,마스터!$M$4:$M$20,0))),"")</f>
        <v/>
      </c>
      <c r="E799" s="27"/>
      <c r="F799" s="29"/>
      <c r="G799" s="25" t="str">
        <f>IFERROR(IF(C799="","",INDEX(마스터!$J$4:$J$20,MATCH(C799,마스터!$M$4:$M$20,0))),"")</f>
        <v/>
      </c>
      <c r="H799" s="30"/>
      <c r="I799" s="30"/>
    </row>
    <row r="800" spans="1:9" ht="15" customHeight="1" x14ac:dyDescent="0.25">
      <c r="A800" s="25" t="str">
        <f t="shared" si="12"/>
        <v/>
      </c>
      <c r="B800" s="26"/>
      <c r="C800" s="27"/>
      <c r="D800" s="28" t="str">
        <f>IFERROR(IF(C800="","",INDEX(마스터!$F$4:$F$20,MATCH(C800,마스터!$M$4:$M$20,0))),"")</f>
        <v/>
      </c>
      <c r="E800" s="27"/>
      <c r="F800" s="29"/>
      <c r="G800" s="25" t="str">
        <f>IFERROR(IF(C800="","",INDEX(마스터!$J$4:$J$20,MATCH(C800,마스터!$M$4:$M$20,0))),"")</f>
        <v/>
      </c>
      <c r="H800" s="30"/>
      <c r="I800" s="30"/>
    </row>
    <row r="801" spans="1:9" ht="15" customHeight="1" x14ac:dyDescent="0.25">
      <c r="A801" s="25" t="str">
        <f t="shared" si="12"/>
        <v/>
      </c>
      <c r="B801" s="26"/>
      <c r="C801" s="27"/>
      <c r="D801" s="28" t="str">
        <f>IFERROR(IF(C801="","",INDEX(마스터!$F$4:$F$20,MATCH(C801,마스터!$M$4:$M$20,0))),"")</f>
        <v/>
      </c>
      <c r="E801" s="27"/>
      <c r="F801" s="29"/>
      <c r="G801" s="25" t="str">
        <f>IFERROR(IF(C801="","",INDEX(마스터!$J$4:$J$20,MATCH(C801,마스터!$M$4:$M$20,0))),"")</f>
        <v/>
      </c>
      <c r="H801" s="30"/>
      <c r="I801" s="30"/>
    </row>
    <row r="802" spans="1:9" ht="15" customHeight="1" x14ac:dyDescent="0.25">
      <c r="A802" s="25" t="str">
        <f t="shared" si="12"/>
        <v/>
      </c>
      <c r="B802" s="26"/>
      <c r="C802" s="27"/>
      <c r="D802" s="28" t="str">
        <f>IFERROR(IF(C802="","",INDEX(마스터!$F$4:$F$20,MATCH(C802,마스터!$M$4:$M$20,0))),"")</f>
        <v/>
      </c>
      <c r="E802" s="27"/>
      <c r="F802" s="29"/>
      <c r="G802" s="25" t="str">
        <f>IFERROR(IF(C802="","",INDEX(마스터!$J$4:$J$20,MATCH(C802,마스터!$M$4:$M$20,0))),"")</f>
        <v/>
      </c>
      <c r="H802" s="30"/>
      <c r="I802" s="30"/>
    </row>
    <row r="803" spans="1:9" ht="15" customHeight="1" x14ac:dyDescent="0.25">
      <c r="A803" s="25" t="str">
        <f t="shared" si="12"/>
        <v/>
      </c>
      <c r="B803" s="26"/>
      <c r="C803" s="27"/>
      <c r="D803" s="28" t="str">
        <f>IFERROR(IF(C803="","",INDEX(마스터!$F$4:$F$20,MATCH(C803,마스터!$M$4:$M$20,0))),"")</f>
        <v/>
      </c>
      <c r="E803" s="27"/>
      <c r="F803" s="29"/>
      <c r="G803" s="25" t="str">
        <f>IFERROR(IF(C803="","",INDEX(마스터!$J$4:$J$20,MATCH(C803,마스터!$M$4:$M$20,0))),"")</f>
        <v/>
      </c>
      <c r="H803" s="30"/>
      <c r="I803" s="30"/>
    </row>
    <row r="804" spans="1:9" ht="15" customHeight="1" x14ac:dyDescent="0.25">
      <c r="A804" s="25" t="str">
        <f t="shared" si="12"/>
        <v/>
      </c>
      <c r="B804" s="26"/>
      <c r="C804" s="27"/>
      <c r="D804" s="28" t="str">
        <f>IFERROR(IF(C804="","",INDEX(마스터!$F$4:$F$20,MATCH(C804,마스터!$M$4:$M$20,0))),"")</f>
        <v/>
      </c>
      <c r="E804" s="27"/>
      <c r="F804" s="29"/>
      <c r="G804" s="25" t="str">
        <f>IFERROR(IF(C804="","",INDEX(마스터!$J$4:$J$20,MATCH(C804,마스터!$M$4:$M$20,0))),"")</f>
        <v/>
      </c>
      <c r="H804" s="30"/>
      <c r="I804" s="30"/>
    </row>
    <row r="805" spans="1:9" ht="15" customHeight="1" x14ac:dyDescent="0.25">
      <c r="A805" s="25" t="str">
        <f t="shared" si="12"/>
        <v/>
      </c>
      <c r="B805" s="26"/>
      <c r="C805" s="27"/>
      <c r="D805" s="28" t="str">
        <f>IFERROR(IF(C805="","",INDEX(마스터!$F$4:$F$20,MATCH(C805,마스터!$M$4:$M$20,0))),"")</f>
        <v/>
      </c>
      <c r="E805" s="27"/>
      <c r="F805" s="29"/>
      <c r="G805" s="25" t="str">
        <f>IFERROR(IF(C805="","",INDEX(마스터!$J$4:$J$20,MATCH(C805,마스터!$M$4:$M$20,0))),"")</f>
        <v/>
      </c>
      <c r="H805" s="30"/>
      <c r="I805" s="30"/>
    </row>
    <row r="806" spans="1:9" ht="15" customHeight="1" x14ac:dyDescent="0.25">
      <c r="A806" s="25" t="str">
        <f t="shared" si="12"/>
        <v/>
      </c>
      <c r="B806" s="26"/>
      <c r="C806" s="27"/>
      <c r="D806" s="28" t="str">
        <f>IFERROR(IF(C806="","",INDEX(마스터!$F$4:$F$20,MATCH(C806,마스터!$M$4:$M$20,0))),"")</f>
        <v/>
      </c>
      <c r="E806" s="27"/>
      <c r="F806" s="29"/>
      <c r="G806" s="25" t="str">
        <f>IFERROR(IF(C806="","",INDEX(마스터!$J$4:$J$20,MATCH(C806,마스터!$M$4:$M$20,0))),"")</f>
        <v/>
      </c>
      <c r="H806" s="30"/>
      <c r="I806" s="30"/>
    </row>
    <row r="807" spans="1:9" ht="15" customHeight="1" x14ac:dyDescent="0.25">
      <c r="A807" s="25" t="str">
        <f t="shared" si="12"/>
        <v/>
      </c>
      <c r="B807" s="26"/>
      <c r="C807" s="27"/>
      <c r="D807" s="28" t="str">
        <f>IFERROR(IF(C807="","",INDEX(마스터!$F$4:$F$20,MATCH(C807,마스터!$M$4:$M$20,0))),"")</f>
        <v/>
      </c>
      <c r="E807" s="27"/>
      <c r="F807" s="29"/>
      <c r="G807" s="25" t="str">
        <f>IFERROR(IF(C807="","",INDEX(마스터!$J$4:$J$20,MATCH(C807,마스터!$M$4:$M$20,0))),"")</f>
        <v/>
      </c>
      <c r="H807" s="30"/>
      <c r="I807" s="30"/>
    </row>
    <row r="808" spans="1:9" ht="15" customHeight="1" x14ac:dyDescent="0.25">
      <c r="A808" s="25" t="str">
        <f t="shared" si="12"/>
        <v/>
      </c>
      <c r="B808" s="26"/>
      <c r="C808" s="27"/>
      <c r="D808" s="28" t="str">
        <f>IFERROR(IF(C808="","",INDEX(마스터!$F$4:$F$20,MATCH(C808,마스터!$M$4:$M$20,0))),"")</f>
        <v/>
      </c>
      <c r="E808" s="27"/>
      <c r="F808" s="29"/>
      <c r="G808" s="25" t="str">
        <f>IFERROR(IF(C808="","",INDEX(마스터!$J$4:$J$20,MATCH(C808,마스터!$M$4:$M$20,0))),"")</f>
        <v/>
      </c>
      <c r="H808" s="30"/>
      <c r="I808" s="30"/>
    </row>
    <row r="809" spans="1:9" ht="15" customHeight="1" x14ac:dyDescent="0.25">
      <c r="A809" s="25" t="str">
        <f t="shared" si="12"/>
        <v/>
      </c>
      <c r="B809" s="26"/>
      <c r="C809" s="27"/>
      <c r="D809" s="28" t="str">
        <f>IFERROR(IF(C809="","",INDEX(마스터!$F$4:$F$20,MATCH(C809,마스터!$M$4:$M$20,0))),"")</f>
        <v/>
      </c>
      <c r="E809" s="27"/>
      <c r="F809" s="29"/>
      <c r="G809" s="25" t="str">
        <f>IFERROR(IF(C809="","",INDEX(마스터!$J$4:$J$20,MATCH(C809,마스터!$M$4:$M$20,0))),"")</f>
        <v/>
      </c>
      <c r="H809" s="30"/>
      <c r="I809" s="30"/>
    </row>
    <row r="810" spans="1:9" ht="15" customHeight="1" x14ac:dyDescent="0.25">
      <c r="A810" s="25" t="str">
        <f t="shared" si="12"/>
        <v/>
      </c>
      <c r="B810" s="26"/>
      <c r="C810" s="27"/>
      <c r="D810" s="28" t="str">
        <f>IFERROR(IF(C810="","",INDEX(마스터!$F$4:$F$20,MATCH(C810,마스터!$M$4:$M$20,0))),"")</f>
        <v/>
      </c>
      <c r="E810" s="27"/>
      <c r="F810" s="29"/>
      <c r="G810" s="25" t="str">
        <f>IFERROR(IF(C810="","",INDEX(마스터!$J$4:$J$20,MATCH(C810,마스터!$M$4:$M$20,0))),"")</f>
        <v/>
      </c>
      <c r="H810" s="30"/>
      <c r="I810" s="30"/>
    </row>
    <row r="811" spans="1:9" ht="15" customHeight="1" x14ac:dyDescent="0.25">
      <c r="A811" s="25" t="str">
        <f t="shared" si="12"/>
        <v/>
      </c>
      <c r="B811" s="26"/>
      <c r="C811" s="27"/>
      <c r="D811" s="28" t="str">
        <f>IFERROR(IF(C811="","",INDEX(마스터!$F$4:$F$20,MATCH(C811,마스터!$M$4:$M$20,0))),"")</f>
        <v/>
      </c>
      <c r="E811" s="27"/>
      <c r="F811" s="29"/>
      <c r="G811" s="25" t="str">
        <f>IFERROR(IF(C811="","",INDEX(마스터!$J$4:$J$20,MATCH(C811,마스터!$M$4:$M$20,0))),"")</f>
        <v/>
      </c>
      <c r="H811" s="30"/>
      <c r="I811" s="30"/>
    </row>
    <row r="812" spans="1:9" ht="15" customHeight="1" x14ac:dyDescent="0.25">
      <c r="A812" s="25" t="str">
        <f t="shared" si="12"/>
        <v/>
      </c>
      <c r="B812" s="26"/>
      <c r="C812" s="27"/>
      <c r="D812" s="28" t="str">
        <f>IFERROR(IF(C812="","",INDEX(마스터!$F$4:$F$20,MATCH(C812,마스터!$M$4:$M$20,0))),"")</f>
        <v/>
      </c>
      <c r="E812" s="27"/>
      <c r="F812" s="29"/>
      <c r="G812" s="25" t="str">
        <f>IFERROR(IF(C812="","",INDEX(마스터!$J$4:$J$20,MATCH(C812,마스터!$M$4:$M$20,0))),"")</f>
        <v/>
      </c>
      <c r="H812" s="30"/>
      <c r="I812" s="30"/>
    </row>
    <row r="813" spans="1:9" ht="15" customHeight="1" x14ac:dyDescent="0.25">
      <c r="A813" s="25" t="str">
        <f t="shared" si="12"/>
        <v/>
      </c>
      <c r="B813" s="26"/>
      <c r="C813" s="27"/>
      <c r="D813" s="28" t="str">
        <f>IFERROR(IF(C813="","",INDEX(마스터!$F$4:$F$20,MATCH(C813,마스터!$M$4:$M$20,0))),"")</f>
        <v/>
      </c>
      <c r="E813" s="27"/>
      <c r="F813" s="29"/>
      <c r="G813" s="25" t="str">
        <f>IFERROR(IF(C813="","",INDEX(마스터!$J$4:$J$20,MATCH(C813,마스터!$M$4:$M$20,0))),"")</f>
        <v/>
      </c>
      <c r="H813" s="30"/>
      <c r="I813" s="30"/>
    </row>
    <row r="814" spans="1:9" ht="15" customHeight="1" x14ac:dyDescent="0.25">
      <c r="A814" s="25" t="str">
        <f t="shared" si="12"/>
        <v/>
      </c>
      <c r="B814" s="26"/>
      <c r="C814" s="27"/>
      <c r="D814" s="28" t="str">
        <f>IFERROR(IF(C814="","",INDEX(마스터!$F$4:$F$20,MATCH(C814,마스터!$M$4:$M$20,0))),"")</f>
        <v/>
      </c>
      <c r="E814" s="27"/>
      <c r="F814" s="29"/>
      <c r="G814" s="25" t="str">
        <f>IFERROR(IF(C814="","",INDEX(마스터!$J$4:$J$20,MATCH(C814,마스터!$M$4:$M$20,0))),"")</f>
        <v/>
      </c>
      <c r="H814" s="30"/>
      <c r="I814" s="30"/>
    </row>
    <row r="815" spans="1:9" ht="15" customHeight="1" x14ac:dyDescent="0.25">
      <c r="A815" s="25" t="str">
        <f t="shared" si="12"/>
        <v/>
      </c>
      <c r="B815" s="26"/>
      <c r="C815" s="27"/>
      <c r="D815" s="28" t="str">
        <f>IFERROR(IF(C815="","",INDEX(마스터!$F$4:$F$20,MATCH(C815,마스터!$M$4:$M$20,0))),"")</f>
        <v/>
      </c>
      <c r="E815" s="27"/>
      <c r="F815" s="29"/>
      <c r="G815" s="25" t="str">
        <f>IFERROR(IF(C815="","",INDEX(마스터!$J$4:$J$20,MATCH(C815,마스터!$M$4:$M$20,0))),"")</f>
        <v/>
      </c>
      <c r="H815" s="30"/>
      <c r="I815" s="30"/>
    </row>
    <row r="816" spans="1:9" ht="15" customHeight="1" x14ac:dyDescent="0.25">
      <c r="A816" s="25" t="str">
        <f t="shared" si="12"/>
        <v/>
      </c>
      <c r="B816" s="26"/>
      <c r="C816" s="27"/>
      <c r="D816" s="28" t="str">
        <f>IFERROR(IF(C816="","",INDEX(마스터!$F$4:$F$20,MATCH(C816,마스터!$M$4:$M$20,0))),"")</f>
        <v/>
      </c>
      <c r="E816" s="27"/>
      <c r="F816" s="29"/>
      <c r="G816" s="25" t="str">
        <f>IFERROR(IF(C816="","",INDEX(마스터!$J$4:$J$20,MATCH(C816,마스터!$M$4:$M$20,0))),"")</f>
        <v/>
      </c>
      <c r="H816" s="30"/>
      <c r="I816" s="30"/>
    </row>
    <row r="817" spans="1:9" ht="15" customHeight="1" x14ac:dyDescent="0.25">
      <c r="A817" s="25" t="str">
        <f t="shared" si="12"/>
        <v/>
      </c>
      <c r="B817" s="26"/>
      <c r="C817" s="27"/>
      <c r="D817" s="28" t="str">
        <f>IFERROR(IF(C817="","",INDEX(마스터!$F$4:$F$20,MATCH(C817,마스터!$M$4:$M$20,0))),"")</f>
        <v/>
      </c>
      <c r="E817" s="27"/>
      <c r="F817" s="29"/>
      <c r="G817" s="25" t="str">
        <f>IFERROR(IF(C817="","",INDEX(마스터!$J$4:$J$20,MATCH(C817,마스터!$M$4:$M$20,0))),"")</f>
        <v/>
      </c>
      <c r="H817" s="30"/>
      <c r="I817" s="30"/>
    </row>
    <row r="818" spans="1:9" ht="15" customHeight="1" x14ac:dyDescent="0.25">
      <c r="A818" s="25" t="str">
        <f t="shared" si="12"/>
        <v/>
      </c>
      <c r="B818" s="26"/>
      <c r="C818" s="27"/>
      <c r="D818" s="28" t="str">
        <f>IFERROR(IF(C818="","",INDEX(마스터!$F$4:$F$20,MATCH(C818,마스터!$M$4:$M$20,0))),"")</f>
        <v/>
      </c>
      <c r="E818" s="27"/>
      <c r="F818" s="29"/>
      <c r="G818" s="25" t="str">
        <f>IFERROR(IF(C818="","",INDEX(마스터!$J$4:$J$20,MATCH(C818,마스터!$M$4:$M$20,0))),"")</f>
        <v/>
      </c>
      <c r="H818" s="30"/>
      <c r="I818" s="30"/>
    </row>
    <row r="819" spans="1:9" ht="15" customHeight="1" x14ac:dyDescent="0.25">
      <c r="A819" s="25" t="str">
        <f t="shared" si="12"/>
        <v/>
      </c>
      <c r="B819" s="26"/>
      <c r="C819" s="27"/>
      <c r="D819" s="28" t="str">
        <f>IFERROR(IF(C819="","",INDEX(마스터!$F$4:$F$20,MATCH(C819,마스터!$M$4:$M$20,0))),"")</f>
        <v/>
      </c>
      <c r="E819" s="27"/>
      <c r="F819" s="29"/>
      <c r="G819" s="25" t="str">
        <f>IFERROR(IF(C819="","",INDEX(마스터!$J$4:$J$20,MATCH(C819,마스터!$M$4:$M$20,0))),"")</f>
        <v/>
      </c>
      <c r="H819" s="30"/>
      <c r="I819" s="30"/>
    </row>
    <row r="820" spans="1:9" ht="15" customHeight="1" x14ac:dyDescent="0.25">
      <c r="A820" s="25" t="str">
        <f t="shared" si="12"/>
        <v/>
      </c>
      <c r="B820" s="26"/>
      <c r="C820" s="27"/>
      <c r="D820" s="28" t="str">
        <f>IFERROR(IF(C820="","",INDEX(마스터!$F$4:$F$20,MATCH(C820,마스터!$M$4:$M$20,0))),"")</f>
        <v/>
      </c>
      <c r="E820" s="27"/>
      <c r="F820" s="29"/>
      <c r="G820" s="25" t="str">
        <f>IFERROR(IF(C820="","",INDEX(마스터!$J$4:$J$20,MATCH(C820,마스터!$M$4:$M$20,0))),"")</f>
        <v/>
      </c>
      <c r="H820" s="30"/>
      <c r="I820" s="30"/>
    </row>
    <row r="821" spans="1:9" ht="15" customHeight="1" x14ac:dyDescent="0.25">
      <c r="A821" s="25" t="str">
        <f t="shared" si="12"/>
        <v/>
      </c>
      <c r="B821" s="26"/>
      <c r="C821" s="27"/>
      <c r="D821" s="28" t="str">
        <f>IFERROR(IF(C821="","",INDEX(마스터!$F$4:$F$20,MATCH(C821,마스터!$M$4:$M$20,0))),"")</f>
        <v/>
      </c>
      <c r="E821" s="27"/>
      <c r="F821" s="29"/>
      <c r="G821" s="25" t="str">
        <f>IFERROR(IF(C821="","",INDEX(마스터!$J$4:$J$20,MATCH(C821,마스터!$M$4:$M$20,0))),"")</f>
        <v/>
      </c>
      <c r="H821" s="30"/>
      <c r="I821" s="30"/>
    </row>
    <row r="822" spans="1:9" ht="15" customHeight="1" x14ac:dyDescent="0.25">
      <c r="A822" s="25" t="str">
        <f t="shared" si="12"/>
        <v/>
      </c>
      <c r="B822" s="26"/>
      <c r="C822" s="27"/>
      <c r="D822" s="28" t="str">
        <f>IFERROR(IF(C822="","",INDEX(마스터!$F$4:$F$20,MATCH(C822,마스터!$M$4:$M$20,0))),"")</f>
        <v/>
      </c>
      <c r="E822" s="27"/>
      <c r="F822" s="29"/>
      <c r="G822" s="25" t="str">
        <f>IFERROR(IF(C822="","",INDEX(마스터!$J$4:$J$20,MATCH(C822,마스터!$M$4:$M$20,0))),"")</f>
        <v/>
      </c>
      <c r="H822" s="30"/>
      <c r="I822" s="30"/>
    </row>
    <row r="823" spans="1:9" ht="15" customHeight="1" x14ac:dyDescent="0.25">
      <c r="A823" s="25" t="str">
        <f t="shared" si="12"/>
        <v/>
      </c>
      <c r="B823" s="26"/>
      <c r="C823" s="27"/>
      <c r="D823" s="28" t="str">
        <f>IFERROR(IF(C823="","",INDEX(마스터!$F$4:$F$20,MATCH(C823,마스터!$M$4:$M$20,0))),"")</f>
        <v/>
      </c>
      <c r="E823" s="27"/>
      <c r="F823" s="29"/>
      <c r="G823" s="25" t="str">
        <f>IFERROR(IF(C823="","",INDEX(마스터!$J$4:$J$20,MATCH(C823,마스터!$M$4:$M$20,0))),"")</f>
        <v/>
      </c>
      <c r="H823" s="30"/>
      <c r="I823" s="30"/>
    </row>
    <row r="824" spans="1:9" ht="15" customHeight="1" x14ac:dyDescent="0.25">
      <c r="A824" s="25" t="str">
        <f t="shared" si="12"/>
        <v/>
      </c>
      <c r="B824" s="26"/>
      <c r="C824" s="27"/>
      <c r="D824" s="28" t="str">
        <f>IFERROR(IF(C824="","",INDEX(마스터!$F$4:$F$20,MATCH(C824,마스터!$M$4:$M$20,0))),"")</f>
        <v/>
      </c>
      <c r="E824" s="27"/>
      <c r="F824" s="29"/>
      <c r="G824" s="25" t="str">
        <f>IFERROR(IF(C824="","",INDEX(마스터!$J$4:$J$20,MATCH(C824,마스터!$M$4:$M$20,0))),"")</f>
        <v/>
      </c>
      <c r="H824" s="30"/>
      <c r="I824" s="30"/>
    </row>
    <row r="825" spans="1:9" ht="15" customHeight="1" x14ac:dyDescent="0.25">
      <c r="A825" s="25" t="str">
        <f t="shared" si="12"/>
        <v/>
      </c>
      <c r="B825" s="26"/>
      <c r="C825" s="27"/>
      <c r="D825" s="28" t="str">
        <f>IFERROR(IF(C825="","",INDEX(마스터!$F$4:$F$20,MATCH(C825,마스터!$M$4:$M$20,0))),"")</f>
        <v/>
      </c>
      <c r="E825" s="27"/>
      <c r="F825" s="29"/>
      <c r="G825" s="25" t="str">
        <f>IFERROR(IF(C825="","",INDEX(마스터!$J$4:$J$20,MATCH(C825,마스터!$M$4:$M$20,0))),"")</f>
        <v/>
      </c>
      <c r="H825" s="30"/>
      <c r="I825" s="30"/>
    </row>
    <row r="826" spans="1:9" ht="15" customHeight="1" x14ac:dyDescent="0.25">
      <c r="A826" s="25" t="str">
        <f t="shared" si="12"/>
        <v/>
      </c>
      <c r="B826" s="26"/>
      <c r="C826" s="27"/>
      <c r="D826" s="28" t="str">
        <f>IFERROR(IF(C826="","",INDEX(마스터!$F$4:$F$20,MATCH(C826,마스터!$M$4:$M$20,0))),"")</f>
        <v/>
      </c>
      <c r="E826" s="27"/>
      <c r="F826" s="29"/>
      <c r="G826" s="25" t="str">
        <f>IFERROR(IF(C826="","",INDEX(마스터!$J$4:$J$20,MATCH(C826,마스터!$M$4:$M$20,0))),"")</f>
        <v/>
      </c>
      <c r="H826" s="30"/>
      <c r="I826" s="30"/>
    </row>
    <row r="827" spans="1:9" ht="15" customHeight="1" x14ac:dyDescent="0.25">
      <c r="A827" s="25" t="str">
        <f t="shared" si="12"/>
        <v/>
      </c>
      <c r="B827" s="26"/>
      <c r="C827" s="27"/>
      <c r="D827" s="28" t="str">
        <f>IFERROR(IF(C827="","",INDEX(마스터!$F$4:$F$20,MATCH(C827,마스터!$M$4:$M$20,0))),"")</f>
        <v/>
      </c>
      <c r="E827" s="27"/>
      <c r="F827" s="29"/>
      <c r="G827" s="25" t="str">
        <f>IFERROR(IF(C827="","",INDEX(마스터!$J$4:$J$20,MATCH(C827,마스터!$M$4:$M$20,0))),"")</f>
        <v/>
      </c>
      <c r="H827" s="30"/>
      <c r="I827" s="30"/>
    </row>
    <row r="828" spans="1:9" ht="15" customHeight="1" x14ac:dyDescent="0.25">
      <c r="A828" s="25" t="str">
        <f t="shared" si="12"/>
        <v/>
      </c>
      <c r="B828" s="26"/>
      <c r="C828" s="27"/>
      <c r="D828" s="28" t="str">
        <f>IFERROR(IF(C828="","",INDEX(마스터!$F$4:$F$20,MATCH(C828,마스터!$M$4:$M$20,0))),"")</f>
        <v/>
      </c>
      <c r="E828" s="27"/>
      <c r="F828" s="29"/>
      <c r="G828" s="25" t="str">
        <f>IFERROR(IF(C828="","",INDEX(마스터!$J$4:$J$20,MATCH(C828,마스터!$M$4:$M$20,0))),"")</f>
        <v/>
      </c>
      <c r="H828" s="30"/>
      <c r="I828" s="30"/>
    </row>
    <row r="829" spans="1:9" ht="15" customHeight="1" x14ac:dyDescent="0.25">
      <c r="A829" s="25" t="str">
        <f t="shared" si="12"/>
        <v/>
      </c>
      <c r="B829" s="26"/>
      <c r="C829" s="27"/>
      <c r="D829" s="28" t="str">
        <f>IFERROR(IF(C829="","",INDEX(마스터!$F$4:$F$20,MATCH(C829,마스터!$M$4:$M$20,0))),"")</f>
        <v/>
      </c>
      <c r="E829" s="27"/>
      <c r="F829" s="29"/>
      <c r="G829" s="25" t="str">
        <f>IFERROR(IF(C829="","",INDEX(마스터!$J$4:$J$20,MATCH(C829,마스터!$M$4:$M$20,0))),"")</f>
        <v/>
      </c>
      <c r="H829" s="30"/>
      <c r="I829" s="30"/>
    </row>
    <row r="830" spans="1:9" ht="15" customHeight="1" x14ac:dyDescent="0.25">
      <c r="A830" s="25" t="str">
        <f t="shared" si="12"/>
        <v/>
      </c>
      <c r="B830" s="26"/>
      <c r="C830" s="27"/>
      <c r="D830" s="28" t="str">
        <f>IFERROR(IF(C830="","",INDEX(마스터!$F$4:$F$20,MATCH(C830,마스터!$M$4:$M$20,0))),"")</f>
        <v/>
      </c>
      <c r="E830" s="27"/>
      <c r="F830" s="29"/>
      <c r="G830" s="25" t="str">
        <f>IFERROR(IF(C830="","",INDEX(마스터!$J$4:$J$20,MATCH(C830,마스터!$M$4:$M$20,0))),"")</f>
        <v/>
      </c>
      <c r="H830" s="30"/>
      <c r="I830" s="30"/>
    </row>
    <row r="831" spans="1:9" ht="15" customHeight="1" x14ac:dyDescent="0.25">
      <c r="A831" s="25" t="str">
        <f t="shared" si="12"/>
        <v/>
      </c>
      <c r="B831" s="26"/>
      <c r="C831" s="27"/>
      <c r="D831" s="28" t="str">
        <f>IFERROR(IF(C831="","",INDEX(마스터!$F$4:$F$20,MATCH(C831,마스터!$M$4:$M$20,0))),"")</f>
        <v/>
      </c>
      <c r="E831" s="27"/>
      <c r="F831" s="29"/>
      <c r="G831" s="25" t="str">
        <f>IFERROR(IF(C831="","",INDEX(마스터!$J$4:$J$20,MATCH(C831,마스터!$M$4:$M$20,0))),"")</f>
        <v/>
      </c>
      <c r="H831" s="30"/>
      <c r="I831" s="30"/>
    </row>
    <row r="832" spans="1:9" ht="15" customHeight="1" x14ac:dyDescent="0.25">
      <c r="A832" s="25" t="str">
        <f t="shared" si="12"/>
        <v/>
      </c>
      <c r="B832" s="26"/>
      <c r="C832" s="27"/>
      <c r="D832" s="28" t="str">
        <f>IFERROR(IF(C832="","",INDEX(마스터!$F$4:$F$20,MATCH(C832,마스터!$M$4:$M$20,0))),"")</f>
        <v/>
      </c>
      <c r="E832" s="27"/>
      <c r="F832" s="29"/>
      <c r="G832" s="25" t="str">
        <f>IFERROR(IF(C832="","",INDEX(마스터!$J$4:$J$20,MATCH(C832,마스터!$M$4:$M$20,0))),"")</f>
        <v/>
      </c>
      <c r="H832" s="30"/>
      <c r="I832" s="30"/>
    </row>
    <row r="833" spans="1:9" ht="15" customHeight="1" x14ac:dyDescent="0.25">
      <c r="A833" s="25" t="str">
        <f t="shared" si="12"/>
        <v/>
      </c>
      <c r="B833" s="26"/>
      <c r="C833" s="27"/>
      <c r="D833" s="28" t="str">
        <f>IFERROR(IF(C833="","",INDEX(마스터!$F$4:$F$20,MATCH(C833,마스터!$M$4:$M$20,0))),"")</f>
        <v/>
      </c>
      <c r="E833" s="27"/>
      <c r="F833" s="29"/>
      <c r="G833" s="25" t="str">
        <f>IFERROR(IF(C833="","",INDEX(마스터!$J$4:$J$20,MATCH(C833,마스터!$M$4:$M$20,0))),"")</f>
        <v/>
      </c>
      <c r="H833" s="30"/>
      <c r="I833" s="30"/>
    </row>
    <row r="834" spans="1:9" ht="15" customHeight="1" x14ac:dyDescent="0.25">
      <c r="A834" s="25" t="str">
        <f t="shared" si="12"/>
        <v/>
      </c>
      <c r="B834" s="26"/>
      <c r="C834" s="27"/>
      <c r="D834" s="28" t="str">
        <f>IFERROR(IF(C834="","",INDEX(마스터!$F$4:$F$20,MATCH(C834,마스터!$M$4:$M$20,0))),"")</f>
        <v/>
      </c>
      <c r="E834" s="27"/>
      <c r="F834" s="29"/>
      <c r="G834" s="25" t="str">
        <f>IFERROR(IF(C834="","",INDEX(마스터!$J$4:$J$20,MATCH(C834,마스터!$M$4:$M$20,0))),"")</f>
        <v/>
      </c>
      <c r="H834" s="30"/>
      <c r="I834" s="30"/>
    </row>
    <row r="835" spans="1:9" ht="15" customHeight="1" x14ac:dyDescent="0.25">
      <c r="A835" s="25" t="str">
        <f t="shared" si="12"/>
        <v/>
      </c>
      <c r="B835" s="26"/>
      <c r="C835" s="27"/>
      <c r="D835" s="28" t="str">
        <f>IFERROR(IF(C835="","",INDEX(마스터!$F$4:$F$20,MATCH(C835,마스터!$M$4:$M$20,0))),"")</f>
        <v/>
      </c>
      <c r="E835" s="27"/>
      <c r="F835" s="29"/>
      <c r="G835" s="25" t="str">
        <f>IFERROR(IF(C835="","",INDEX(마스터!$J$4:$J$20,MATCH(C835,마스터!$M$4:$M$20,0))),"")</f>
        <v/>
      </c>
      <c r="H835" s="30"/>
      <c r="I835" s="30"/>
    </row>
    <row r="836" spans="1:9" ht="15" customHeight="1" x14ac:dyDescent="0.25">
      <c r="A836" s="25" t="str">
        <f t="shared" si="12"/>
        <v/>
      </c>
      <c r="B836" s="26"/>
      <c r="C836" s="27"/>
      <c r="D836" s="28" t="str">
        <f>IFERROR(IF(C836="","",INDEX(마스터!$F$4:$F$20,MATCH(C836,마스터!$M$4:$M$20,0))),"")</f>
        <v/>
      </c>
      <c r="E836" s="27"/>
      <c r="F836" s="29"/>
      <c r="G836" s="25" t="str">
        <f>IFERROR(IF(C836="","",INDEX(마스터!$J$4:$J$20,MATCH(C836,마스터!$M$4:$M$20,0))),"")</f>
        <v/>
      </c>
      <c r="H836" s="30"/>
      <c r="I836" s="30"/>
    </row>
    <row r="837" spans="1:9" ht="15" customHeight="1" x14ac:dyDescent="0.25">
      <c r="A837" s="25" t="str">
        <f t="shared" si="12"/>
        <v/>
      </c>
      <c r="B837" s="26"/>
      <c r="C837" s="27"/>
      <c r="D837" s="28" t="str">
        <f>IFERROR(IF(C837="","",INDEX(마스터!$F$4:$F$20,MATCH(C837,마스터!$M$4:$M$20,0))),"")</f>
        <v/>
      </c>
      <c r="E837" s="27"/>
      <c r="F837" s="29"/>
      <c r="G837" s="25" t="str">
        <f>IFERROR(IF(C837="","",INDEX(마스터!$J$4:$J$20,MATCH(C837,마스터!$M$4:$M$20,0))),"")</f>
        <v/>
      </c>
      <c r="H837" s="30"/>
      <c r="I837" s="30"/>
    </row>
    <row r="838" spans="1:9" ht="15" customHeight="1" x14ac:dyDescent="0.25">
      <c r="A838" s="25" t="str">
        <f t="shared" si="12"/>
        <v/>
      </c>
      <c r="B838" s="26"/>
      <c r="C838" s="27"/>
      <c r="D838" s="28" t="str">
        <f>IFERROR(IF(C838="","",INDEX(마스터!$F$4:$F$20,MATCH(C838,마스터!$M$4:$M$20,0))),"")</f>
        <v/>
      </c>
      <c r="E838" s="27"/>
      <c r="F838" s="29"/>
      <c r="G838" s="25" t="str">
        <f>IFERROR(IF(C838="","",INDEX(마스터!$J$4:$J$20,MATCH(C838,마스터!$M$4:$M$20,0))),"")</f>
        <v/>
      </c>
      <c r="H838" s="30"/>
      <c r="I838" s="30"/>
    </row>
    <row r="839" spans="1:9" ht="15" customHeight="1" x14ac:dyDescent="0.25">
      <c r="A839" s="25" t="str">
        <f t="shared" si="12"/>
        <v/>
      </c>
      <c r="B839" s="26"/>
      <c r="C839" s="27"/>
      <c r="D839" s="28" t="str">
        <f>IFERROR(IF(C839="","",INDEX(마스터!$F$4:$F$20,MATCH(C839,마스터!$M$4:$M$20,0))),"")</f>
        <v/>
      </c>
      <c r="E839" s="27"/>
      <c r="F839" s="29"/>
      <c r="G839" s="25" t="str">
        <f>IFERROR(IF(C839="","",INDEX(마스터!$J$4:$J$20,MATCH(C839,마스터!$M$4:$M$20,0))),"")</f>
        <v/>
      </c>
      <c r="H839" s="30"/>
      <c r="I839" s="30"/>
    </row>
    <row r="840" spans="1:9" ht="15" customHeight="1" x14ac:dyDescent="0.25">
      <c r="A840" s="25" t="str">
        <f t="shared" ref="A840:A903" si="13">IF(B840="","",ROW()-7)</f>
        <v/>
      </c>
      <c r="B840" s="26"/>
      <c r="C840" s="27"/>
      <c r="D840" s="28" t="str">
        <f>IFERROR(IF(C840="","",INDEX(마스터!$F$4:$F$20,MATCH(C840,마스터!$M$4:$M$20,0))),"")</f>
        <v/>
      </c>
      <c r="E840" s="27"/>
      <c r="F840" s="29"/>
      <c r="G840" s="25" t="str">
        <f>IFERROR(IF(C840="","",INDEX(마스터!$J$4:$J$20,MATCH(C840,마스터!$M$4:$M$20,0))),"")</f>
        <v/>
      </c>
      <c r="H840" s="30"/>
      <c r="I840" s="30"/>
    </row>
    <row r="841" spans="1:9" ht="15" customHeight="1" x14ac:dyDescent="0.25">
      <c r="A841" s="25" t="str">
        <f t="shared" si="13"/>
        <v/>
      </c>
      <c r="B841" s="26"/>
      <c r="C841" s="27"/>
      <c r="D841" s="28" t="str">
        <f>IFERROR(IF(C841="","",INDEX(마스터!$F$4:$F$20,MATCH(C841,마스터!$M$4:$M$20,0))),"")</f>
        <v/>
      </c>
      <c r="E841" s="27"/>
      <c r="F841" s="29"/>
      <c r="G841" s="25" t="str">
        <f>IFERROR(IF(C841="","",INDEX(마스터!$J$4:$J$20,MATCH(C841,마스터!$M$4:$M$20,0))),"")</f>
        <v/>
      </c>
      <c r="H841" s="30"/>
      <c r="I841" s="30"/>
    </row>
    <row r="842" spans="1:9" ht="15" customHeight="1" x14ac:dyDescent="0.25">
      <c r="A842" s="25" t="str">
        <f t="shared" si="13"/>
        <v/>
      </c>
      <c r="B842" s="26"/>
      <c r="C842" s="27"/>
      <c r="D842" s="28" t="str">
        <f>IFERROR(IF(C842="","",INDEX(마스터!$F$4:$F$20,MATCH(C842,마스터!$M$4:$M$20,0))),"")</f>
        <v/>
      </c>
      <c r="E842" s="27"/>
      <c r="F842" s="29"/>
      <c r="G842" s="25" t="str">
        <f>IFERROR(IF(C842="","",INDEX(마스터!$J$4:$J$20,MATCH(C842,마스터!$M$4:$M$20,0))),"")</f>
        <v/>
      </c>
      <c r="H842" s="30"/>
      <c r="I842" s="30"/>
    </row>
    <row r="843" spans="1:9" ht="15" customHeight="1" x14ac:dyDescent="0.25">
      <c r="A843" s="25" t="str">
        <f t="shared" si="13"/>
        <v/>
      </c>
      <c r="B843" s="26"/>
      <c r="C843" s="27"/>
      <c r="D843" s="28" t="str">
        <f>IFERROR(IF(C843="","",INDEX(마스터!$F$4:$F$20,MATCH(C843,마스터!$M$4:$M$20,0))),"")</f>
        <v/>
      </c>
      <c r="E843" s="27"/>
      <c r="F843" s="29"/>
      <c r="G843" s="25" t="str">
        <f>IFERROR(IF(C843="","",INDEX(마스터!$J$4:$J$20,MATCH(C843,마스터!$M$4:$M$20,0))),"")</f>
        <v/>
      </c>
      <c r="H843" s="30"/>
      <c r="I843" s="30"/>
    </row>
    <row r="844" spans="1:9" ht="15" customHeight="1" x14ac:dyDescent="0.25">
      <c r="A844" s="25" t="str">
        <f t="shared" si="13"/>
        <v/>
      </c>
      <c r="B844" s="26"/>
      <c r="C844" s="27"/>
      <c r="D844" s="28" t="str">
        <f>IFERROR(IF(C844="","",INDEX(마스터!$F$4:$F$20,MATCH(C844,마스터!$M$4:$M$20,0))),"")</f>
        <v/>
      </c>
      <c r="E844" s="27"/>
      <c r="F844" s="29"/>
      <c r="G844" s="25" t="str">
        <f>IFERROR(IF(C844="","",INDEX(마스터!$J$4:$J$20,MATCH(C844,마스터!$M$4:$M$20,0))),"")</f>
        <v/>
      </c>
      <c r="H844" s="30"/>
      <c r="I844" s="30"/>
    </row>
    <row r="845" spans="1:9" ht="15" customHeight="1" x14ac:dyDescent="0.25">
      <c r="A845" s="25" t="str">
        <f t="shared" si="13"/>
        <v/>
      </c>
      <c r="B845" s="26"/>
      <c r="C845" s="27"/>
      <c r="D845" s="28" t="str">
        <f>IFERROR(IF(C845="","",INDEX(마스터!$F$4:$F$20,MATCH(C845,마스터!$M$4:$M$20,0))),"")</f>
        <v/>
      </c>
      <c r="E845" s="27"/>
      <c r="F845" s="29"/>
      <c r="G845" s="25" t="str">
        <f>IFERROR(IF(C845="","",INDEX(마스터!$J$4:$J$20,MATCH(C845,마스터!$M$4:$M$20,0))),"")</f>
        <v/>
      </c>
      <c r="H845" s="30"/>
      <c r="I845" s="30"/>
    </row>
    <row r="846" spans="1:9" ht="15" customHeight="1" x14ac:dyDescent="0.25">
      <c r="A846" s="25" t="str">
        <f t="shared" si="13"/>
        <v/>
      </c>
      <c r="B846" s="26"/>
      <c r="C846" s="27"/>
      <c r="D846" s="28" t="str">
        <f>IFERROR(IF(C846="","",INDEX(마스터!$F$4:$F$20,MATCH(C846,마스터!$M$4:$M$20,0))),"")</f>
        <v/>
      </c>
      <c r="E846" s="27"/>
      <c r="F846" s="29"/>
      <c r="G846" s="25" t="str">
        <f>IFERROR(IF(C846="","",INDEX(마스터!$J$4:$J$20,MATCH(C846,마스터!$M$4:$M$20,0))),"")</f>
        <v/>
      </c>
      <c r="H846" s="30"/>
      <c r="I846" s="30"/>
    </row>
    <row r="847" spans="1:9" ht="15" customHeight="1" x14ac:dyDescent="0.25">
      <c r="A847" s="25" t="str">
        <f t="shared" si="13"/>
        <v/>
      </c>
      <c r="B847" s="26"/>
      <c r="C847" s="27"/>
      <c r="D847" s="28" t="str">
        <f>IFERROR(IF(C847="","",INDEX(마스터!$F$4:$F$20,MATCH(C847,마스터!$M$4:$M$20,0))),"")</f>
        <v/>
      </c>
      <c r="E847" s="27"/>
      <c r="F847" s="29"/>
      <c r="G847" s="25" t="str">
        <f>IFERROR(IF(C847="","",INDEX(마스터!$J$4:$J$20,MATCH(C847,마스터!$M$4:$M$20,0))),"")</f>
        <v/>
      </c>
      <c r="H847" s="30"/>
      <c r="I847" s="30"/>
    </row>
    <row r="848" spans="1:9" ht="15" customHeight="1" x14ac:dyDescent="0.25">
      <c r="A848" s="25" t="str">
        <f t="shared" si="13"/>
        <v/>
      </c>
      <c r="B848" s="26"/>
      <c r="C848" s="27"/>
      <c r="D848" s="28" t="str">
        <f>IFERROR(IF(C848="","",INDEX(마스터!$F$4:$F$20,MATCH(C848,마스터!$M$4:$M$20,0))),"")</f>
        <v/>
      </c>
      <c r="E848" s="27"/>
      <c r="F848" s="29"/>
      <c r="G848" s="25" t="str">
        <f>IFERROR(IF(C848="","",INDEX(마스터!$J$4:$J$20,MATCH(C848,마스터!$M$4:$M$20,0))),"")</f>
        <v/>
      </c>
      <c r="H848" s="30"/>
      <c r="I848" s="30"/>
    </row>
    <row r="849" spans="1:9" ht="15" customHeight="1" x14ac:dyDescent="0.25">
      <c r="A849" s="25" t="str">
        <f t="shared" si="13"/>
        <v/>
      </c>
      <c r="B849" s="26"/>
      <c r="C849" s="27"/>
      <c r="D849" s="28" t="str">
        <f>IFERROR(IF(C849="","",INDEX(마스터!$F$4:$F$20,MATCH(C849,마스터!$M$4:$M$20,0))),"")</f>
        <v/>
      </c>
      <c r="E849" s="27"/>
      <c r="F849" s="29"/>
      <c r="G849" s="25" t="str">
        <f>IFERROR(IF(C849="","",INDEX(마스터!$J$4:$J$20,MATCH(C849,마스터!$M$4:$M$20,0))),"")</f>
        <v/>
      </c>
      <c r="H849" s="30"/>
      <c r="I849" s="30"/>
    </row>
    <row r="850" spans="1:9" ht="15" customHeight="1" x14ac:dyDescent="0.25">
      <c r="A850" s="25" t="str">
        <f t="shared" si="13"/>
        <v/>
      </c>
      <c r="B850" s="26"/>
      <c r="C850" s="27"/>
      <c r="D850" s="28" t="str">
        <f>IFERROR(IF(C850="","",INDEX(마스터!$F$4:$F$20,MATCH(C850,마스터!$M$4:$M$20,0))),"")</f>
        <v/>
      </c>
      <c r="E850" s="27"/>
      <c r="F850" s="29"/>
      <c r="G850" s="25" t="str">
        <f>IFERROR(IF(C850="","",INDEX(마스터!$J$4:$J$20,MATCH(C850,마스터!$M$4:$M$20,0))),"")</f>
        <v/>
      </c>
      <c r="H850" s="30"/>
      <c r="I850" s="30"/>
    </row>
    <row r="851" spans="1:9" ht="15" customHeight="1" x14ac:dyDescent="0.25">
      <c r="A851" s="25" t="str">
        <f t="shared" si="13"/>
        <v/>
      </c>
      <c r="B851" s="26"/>
      <c r="C851" s="27"/>
      <c r="D851" s="28" t="str">
        <f>IFERROR(IF(C851="","",INDEX(마스터!$F$4:$F$20,MATCH(C851,마스터!$M$4:$M$20,0))),"")</f>
        <v/>
      </c>
      <c r="E851" s="27"/>
      <c r="F851" s="29"/>
      <c r="G851" s="25" t="str">
        <f>IFERROR(IF(C851="","",INDEX(마스터!$J$4:$J$20,MATCH(C851,마스터!$M$4:$M$20,0))),"")</f>
        <v/>
      </c>
      <c r="H851" s="30"/>
      <c r="I851" s="30"/>
    </row>
    <row r="852" spans="1:9" ht="15" customHeight="1" x14ac:dyDescent="0.25">
      <c r="A852" s="25" t="str">
        <f t="shared" si="13"/>
        <v/>
      </c>
      <c r="B852" s="26"/>
      <c r="C852" s="27"/>
      <c r="D852" s="28" t="str">
        <f>IFERROR(IF(C852="","",INDEX(마스터!$F$4:$F$20,MATCH(C852,마스터!$M$4:$M$20,0))),"")</f>
        <v/>
      </c>
      <c r="E852" s="27"/>
      <c r="F852" s="29"/>
      <c r="G852" s="25" t="str">
        <f>IFERROR(IF(C852="","",INDEX(마스터!$J$4:$J$20,MATCH(C852,마스터!$M$4:$M$20,0))),"")</f>
        <v/>
      </c>
      <c r="H852" s="30"/>
      <c r="I852" s="30"/>
    </row>
    <row r="853" spans="1:9" ht="15" customHeight="1" x14ac:dyDescent="0.25">
      <c r="A853" s="25" t="str">
        <f t="shared" si="13"/>
        <v/>
      </c>
      <c r="B853" s="26"/>
      <c r="C853" s="27"/>
      <c r="D853" s="28" t="str">
        <f>IFERROR(IF(C853="","",INDEX(마스터!$F$4:$F$20,MATCH(C853,마스터!$M$4:$M$20,0))),"")</f>
        <v/>
      </c>
      <c r="E853" s="27"/>
      <c r="F853" s="29"/>
      <c r="G853" s="25" t="str">
        <f>IFERROR(IF(C853="","",INDEX(마스터!$J$4:$J$20,MATCH(C853,마스터!$M$4:$M$20,0))),"")</f>
        <v/>
      </c>
      <c r="H853" s="30"/>
      <c r="I853" s="30"/>
    </row>
    <row r="854" spans="1:9" ht="15" customHeight="1" x14ac:dyDescent="0.25">
      <c r="A854" s="25" t="str">
        <f t="shared" si="13"/>
        <v/>
      </c>
      <c r="B854" s="26"/>
      <c r="C854" s="27"/>
      <c r="D854" s="28" t="str">
        <f>IFERROR(IF(C854="","",INDEX(마스터!$F$4:$F$20,MATCH(C854,마스터!$M$4:$M$20,0))),"")</f>
        <v/>
      </c>
      <c r="E854" s="27"/>
      <c r="F854" s="29"/>
      <c r="G854" s="25" t="str">
        <f>IFERROR(IF(C854="","",INDEX(마스터!$J$4:$J$20,MATCH(C854,마스터!$M$4:$M$20,0))),"")</f>
        <v/>
      </c>
      <c r="H854" s="30"/>
      <c r="I854" s="30"/>
    </row>
    <row r="855" spans="1:9" ht="15" customHeight="1" x14ac:dyDescent="0.25">
      <c r="A855" s="25" t="str">
        <f t="shared" si="13"/>
        <v/>
      </c>
      <c r="B855" s="26"/>
      <c r="C855" s="27"/>
      <c r="D855" s="28" t="str">
        <f>IFERROR(IF(C855="","",INDEX(마스터!$F$4:$F$20,MATCH(C855,마스터!$M$4:$M$20,0))),"")</f>
        <v/>
      </c>
      <c r="E855" s="27"/>
      <c r="F855" s="29"/>
      <c r="G855" s="25" t="str">
        <f>IFERROR(IF(C855="","",INDEX(마스터!$J$4:$J$20,MATCH(C855,마스터!$M$4:$M$20,0))),"")</f>
        <v/>
      </c>
      <c r="H855" s="30"/>
      <c r="I855" s="30"/>
    </row>
    <row r="856" spans="1:9" ht="15" customHeight="1" x14ac:dyDescent="0.25">
      <c r="A856" s="25" t="str">
        <f t="shared" si="13"/>
        <v/>
      </c>
      <c r="B856" s="26"/>
      <c r="C856" s="27"/>
      <c r="D856" s="28" t="str">
        <f>IFERROR(IF(C856="","",INDEX(마스터!$F$4:$F$20,MATCH(C856,마스터!$M$4:$M$20,0))),"")</f>
        <v/>
      </c>
      <c r="E856" s="27"/>
      <c r="F856" s="29"/>
      <c r="G856" s="25" t="str">
        <f>IFERROR(IF(C856="","",INDEX(마스터!$J$4:$J$20,MATCH(C856,마스터!$M$4:$M$20,0))),"")</f>
        <v/>
      </c>
      <c r="H856" s="30"/>
      <c r="I856" s="30"/>
    </row>
    <row r="857" spans="1:9" ht="15" customHeight="1" x14ac:dyDescent="0.25">
      <c r="A857" s="25" t="str">
        <f t="shared" si="13"/>
        <v/>
      </c>
      <c r="B857" s="26"/>
      <c r="C857" s="27"/>
      <c r="D857" s="28" t="str">
        <f>IFERROR(IF(C857="","",INDEX(마스터!$F$4:$F$20,MATCH(C857,마스터!$M$4:$M$20,0))),"")</f>
        <v/>
      </c>
      <c r="E857" s="27"/>
      <c r="F857" s="29"/>
      <c r="G857" s="25" t="str">
        <f>IFERROR(IF(C857="","",INDEX(마스터!$J$4:$J$20,MATCH(C857,마스터!$M$4:$M$20,0))),"")</f>
        <v/>
      </c>
      <c r="H857" s="30"/>
      <c r="I857" s="30"/>
    </row>
    <row r="858" spans="1:9" ht="15" customHeight="1" x14ac:dyDescent="0.25">
      <c r="A858" s="25" t="str">
        <f t="shared" si="13"/>
        <v/>
      </c>
      <c r="B858" s="26"/>
      <c r="C858" s="27"/>
      <c r="D858" s="28" t="str">
        <f>IFERROR(IF(C858="","",INDEX(마스터!$F$4:$F$20,MATCH(C858,마스터!$M$4:$M$20,0))),"")</f>
        <v/>
      </c>
      <c r="E858" s="27"/>
      <c r="F858" s="29"/>
      <c r="G858" s="25" t="str">
        <f>IFERROR(IF(C858="","",INDEX(마스터!$J$4:$J$20,MATCH(C858,마스터!$M$4:$M$20,0))),"")</f>
        <v/>
      </c>
      <c r="H858" s="30"/>
      <c r="I858" s="30"/>
    </row>
    <row r="859" spans="1:9" ht="15" customHeight="1" x14ac:dyDescent="0.25">
      <c r="A859" s="25" t="str">
        <f t="shared" si="13"/>
        <v/>
      </c>
      <c r="B859" s="26"/>
      <c r="C859" s="27"/>
      <c r="D859" s="28" t="str">
        <f>IFERROR(IF(C859="","",INDEX(마스터!$F$4:$F$20,MATCH(C859,마스터!$M$4:$M$20,0))),"")</f>
        <v/>
      </c>
      <c r="E859" s="27"/>
      <c r="F859" s="29"/>
      <c r="G859" s="25" t="str">
        <f>IFERROR(IF(C859="","",INDEX(마스터!$J$4:$J$20,MATCH(C859,마스터!$M$4:$M$20,0))),"")</f>
        <v/>
      </c>
      <c r="H859" s="30"/>
      <c r="I859" s="30"/>
    </row>
    <row r="860" spans="1:9" ht="15" customHeight="1" x14ac:dyDescent="0.25">
      <c r="A860" s="25" t="str">
        <f t="shared" si="13"/>
        <v/>
      </c>
      <c r="B860" s="26"/>
      <c r="C860" s="27"/>
      <c r="D860" s="28" t="str">
        <f>IFERROR(IF(C860="","",INDEX(마스터!$F$4:$F$20,MATCH(C860,마스터!$M$4:$M$20,0))),"")</f>
        <v/>
      </c>
      <c r="E860" s="27"/>
      <c r="F860" s="29"/>
      <c r="G860" s="25" t="str">
        <f>IFERROR(IF(C860="","",INDEX(마스터!$J$4:$J$20,MATCH(C860,마스터!$M$4:$M$20,0))),"")</f>
        <v/>
      </c>
      <c r="H860" s="30"/>
      <c r="I860" s="30"/>
    </row>
    <row r="861" spans="1:9" ht="15" customHeight="1" x14ac:dyDescent="0.25">
      <c r="A861" s="25" t="str">
        <f t="shared" si="13"/>
        <v/>
      </c>
      <c r="B861" s="26"/>
      <c r="C861" s="27"/>
      <c r="D861" s="28" t="str">
        <f>IFERROR(IF(C861="","",INDEX(마스터!$F$4:$F$20,MATCH(C861,마스터!$M$4:$M$20,0))),"")</f>
        <v/>
      </c>
      <c r="E861" s="27"/>
      <c r="F861" s="29"/>
      <c r="G861" s="25" t="str">
        <f>IFERROR(IF(C861="","",INDEX(마스터!$J$4:$J$20,MATCH(C861,마스터!$M$4:$M$20,0))),"")</f>
        <v/>
      </c>
      <c r="H861" s="30"/>
      <c r="I861" s="30"/>
    </row>
    <row r="862" spans="1:9" ht="15" customHeight="1" x14ac:dyDescent="0.25">
      <c r="A862" s="25" t="str">
        <f t="shared" si="13"/>
        <v/>
      </c>
      <c r="B862" s="26"/>
      <c r="C862" s="27"/>
      <c r="D862" s="28" t="str">
        <f>IFERROR(IF(C862="","",INDEX(마스터!$F$4:$F$20,MATCH(C862,마스터!$M$4:$M$20,0))),"")</f>
        <v/>
      </c>
      <c r="E862" s="27"/>
      <c r="F862" s="29"/>
      <c r="G862" s="25" t="str">
        <f>IFERROR(IF(C862="","",INDEX(마스터!$J$4:$J$20,MATCH(C862,마스터!$M$4:$M$20,0))),"")</f>
        <v/>
      </c>
      <c r="H862" s="30"/>
      <c r="I862" s="30"/>
    </row>
    <row r="863" spans="1:9" ht="15" customHeight="1" x14ac:dyDescent="0.25">
      <c r="A863" s="25" t="str">
        <f t="shared" si="13"/>
        <v/>
      </c>
      <c r="B863" s="26"/>
      <c r="C863" s="27"/>
      <c r="D863" s="28" t="str">
        <f>IFERROR(IF(C863="","",INDEX(마스터!$F$4:$F$20,MATCH(C863,마스터!$M$4:$M$20,0))),"")</f>
        <v/>
      </c>
      <c r="E863" s="27"/>
      <c r="F863" s="29"/>
      <c r="G863" s="25" t="str">
        <f>IFERROR(IF(C863="","",INDEX(마스터!$J$4:$J$20,MATCH(C863,마스터!$M$4:$M$20,0))),"")</f>
        <v/>
      </c>
      <c r="H863" s="30"/>
      <c r="I863" s="30"/>
    </row>
    <row r="864" spans="1:9" ht="15" customHeight="1" x14ac:dyDescent="0.25">
      <c r="A864" s="25" t="str">
        <f t="shared" si="13"/>
        <v/>
      </c>
      <c r="B864" s="26"/>
      <c r="C864" s="27"/>
      <c r="D864" s="28" t="str">
        <f>IFERROR(IF(C864="","",INDEX(마스터!$F$4:$F$20,MATCH(C864,마스터!$M$4:$M$20,0))),"")</f>
        <v/>
      </c>
      <c r="E864" s="27"/>
      <c r="F864" s="29"/>
      <c r="G864" s="25" t="str">
        <f>IFERROR(IF(C864="","",INDEX(마스터!$J$4:$J$20,MATCH(C864,마스터!$M$4:$M$20,0))),"")</f>
        <v/>
      </c>
      <c r="H864" s="30"/>
      <c r="I864" s="30"/>
    </row>
    <row r="865" spans="1:9" ht="15" customHeight="1" x14ac:dyDescent="0.25">
      <c r="A865" s="25" t="str">
        <f t="shared" si="13"/>
        <v/>
      </c>
      <c r="B865" s="26"/>
      <c r="C865" s="27"/>
      <c r="D865" s="28" t="str">
        <f>IFERROR(IF(C865="","",INDEX(마스터!$F$4:$F$20,MATCH(C865,마스터!$M$4:$M$20,0))),"")</f>
        <v/>
      </c>
      <c r="E865" s="27"/>
      <c r="F865" s="29"/>
      <c r="G865" s="25" t="str">
        <f>IFERROR(IF(C865="","",INDEX(마스터!$J$4:$J$20,MATCH(C865,마스터!$M$4:$M$20,0))),"")</f>
        <v/>
      </c>
      <c r="H865" s="30"/>
      <c r="I865" s="30"/>
    </row>
    <row r="866" spans="1:9" ht="15" customHeight="1" x14ac:dyDescent="0.25">
      <c r="A866" s="25" t="str">
        <f t="shared" si="13"/>
        <v/>
      </c>
      <c r="B866" s="26"/>
      <c r="C866" s="27"/>
      <c r="D866" s="28" t="str">
        <f>IFERROR(IF(C866="","",INDEX(마스터!$F$4:$F$20,MATCH(C866,마스터!$M$4:$M$20,0))),"")</f>
        <v/>
      </c>
      <c r="E866" s="27"/>
      <c r="F866" s="29"/>
      <c r="G866" s="25" t="str">
        <f>IFERROR(IF(C866="","",INDEX(마스터!$J$4:$J$20,MATCH(C866,마스터!$M$4:$M$20,0))),"")</f>
        <v/>
      </c>
      <c r="H866" s="30"/>
      <c r="I866" s="30"/>
    </row>
    <row r="867" spans="1:9" ht="15" customHeight="1" x14ac:dyDescent="0.25">
      <c r="A867" s="25" t="str">
        <f t="shared" si="13"/>
        <v/>
      </c>
      <c r="B867" s="26"/>
      <c r="C867" s="27"/>
      <c r="D867" s="28" t="str">
        <f>IFERROR(IF(C867="","",INDEX(마스터!$F$4:$F$20,MATCH(C867,마스터!$M$4:$M$20,0))),"")</f>
        <v/>
      </c>
      <c r="E867" s="27"/>
      <c r="F867" s="29"/>
      <c r="G867" s="25" t="str">
        <f>IFERROR(IF(C867="","",INDEX(마스터!$J$4:$J$20,MATCH(C867,마스터!$M$4:$M$20,0))),"")</f>
        <v/>
      </c>
      <c r="H867" s="30"/>
      <c r="I867" s="30"/>
    </row>
    <row r="868" spans="1:9" ht="15" customHeight="1" x14ac:dyDescent="0.25">
      <c r="A868" s="25" t="str">
        <f t="shared" si="13"/>
        <v/>
      </c>
      <c r="B868" s="26"/>
      <c r="C868" s="27"/>
      <c r="D868" s="28" t="str">
        <f>IFERROR(IF(C868="","",INDEX(마스터!$F$4:$F$20,MATCH(C868,마스터!$M$4:$M$20,0))),"")</f>
        <v/>
      </c>
      <c r="E868" s="27"/>
      <c r="F868" s="29"/>
      <c r="G868" s="25" t="str">
        <f>IFERROR(IF(C868="","",INDEX(마스터!$J$4:$J$20,MATCH(C868,마스터!$M$4:$M$20,0))),"")</f>
        <v/>
      </c>
      <c r="H868" s="30"/>
      <c r="I868" s="30"/>
    </row>
    <row r="869" spans="1:9" ht="15" customHeight="1" x14ac:dyDescent="0.25">
      <c r="A869" s="25" t="str">
        <f t="shared" si="13"/>
        <v/>
      </c>
      <c r="B869" s="26"/>
      <c r="C869" s="27"/>
      <c r="D869" s="28" t="str">
        <f>IFERROR(IF(C869="","",INDEX(마스터!$F$4:$F$20,MATCH(C869,마스터!$M$4:$M$20,0))),"")</f>
        <v/>
      </c>
      <c r="E869" s="27"/>
      <c r="F869" s="29"/>
      <c r="G869" s="25" t="str">
        <f>IFERROR(IF(C869="","",INDEX(마스터!$J$4:$J$20,MATCH(C869,마스터!$M$4:$M$20,0))),"")</f>
        <v/>
      </c>
      <c r="H869" s="30"/>
      <c r="I869" s="30"/>
    </row>
    <row r="870" spans="1:9" ht="15" customHeight="1" x14ac:dyDescent="0.25">
      <c r="A870" s="25" t="str">
        <f t="shared" si="13"/>
        <v/>
      </c>
      <c r="B870" s="26"/>
      <c r="C870" s="27"/>
      <c r="D870" s="28" t="str">
        <f>IFERROR(IF(C870="","",INDEX(마스터!$F$4:$F$20,MATCH(C870,마스터!$M$4:$M$20,0))),"")</f>
        <v/>
      </c>
      <c r="E870" s="27"/>
      <c r="F870" s="29"/>
      <c r="G870" s="25" t="str">
        <f>IFERROR(IF(C870="","",INDEX(마스터!$J$4:$J$20,MATCH(C870,마스터!$M$4:$M$20,0))),"")</f>
        <v/>
      </c>
      <c r="H870" s="30"/>
      <c r="I870" s="30"/>
    </row>
    <row r="871" spans="1:9" ht="15" customHeight="1" x14ac:dyDescent="0.25">
      <c r="A871" s="25" t="str">
        <f t="shared" si="13"/>
        <v/>
      </c>
      <c r="B871" s="26"/>
      <c r="C871" s="27"/>
      <c r="D871" s="28" t="str">
        <f>IFERROR(IF(C871="","",INDEX(마스터!$F$4:$F$20,MATCH(C871,마스터!$M$4:$M$20,0))),"")</f>
        <v/>
      </c>
      <c r="E871" s="27"/>
      <c r="F871" s="29"/>
      <c r="G871" s="25" t="str">
        <f>IFERROR(IF(C871="","",INDEX(마스터!$J$4:$J$20,MATCH(C871,마스터!$M$4:$M$20,0))),"")</f>
        <v/>
      </c>
      <c r="H871" s="30"/>
      <c r="I871" s="30"/>
    </row>
    <row r="872" spans="1:9" ht="15" customHeight="1" x14ac:dyDescent="0.25">
      <c r="A872" s="25" t="str">
        <f t="shared" si="13"/>
        <v/>
      </c>
      <c r="B872" s="26"/>
      <c r="C872" s="27"/>
      <c r="D872" s="28" t="str">
        <f>IFERROR(IF(C872="","",INDEX(마스터!$F$4:$F$20,MATCH(C872,마스터!$M$4:$M$20,0))),"")</f>
        <v/>
      </c>
      <c r="E872" s="27"/>
      <c r="F872" s="29"/>
      <c r="G872" s="25" t="str">
        <f>IFERROR(IF(C872="","",INDEX(마스터!$J$4:$J$20,MATCH(C872,마스터!$M$4:$M$20,0))),"")</f>
        <v/>
      </c>
      <c r="H872" s="30"/>
      <c r="I872" s="30"/>
    </row>
    <row r="873" spans="1:9" ht="15" customHeight="1" x14ac:dyDescent="0.25">
      <c r="A873" s="25" t="str">
        <f t="shared" si="13"/>
        <v/>
      </c>
      <c r="B873" s="26"/>
      <c r="C873" s="27"/>
      <c r="D873" s="28" t="str">
        <f>IFERROR(IF(C873="","",INDEX(마스터!$F$4:$F$20,MATCH(C873,마스터!$M$4:$M$20,0))),"")</f>
        <v/>
      </c>
      <c r="E873" s="27"/>
      <c r="F873" s="29"/>
      <c r="G873" s="25" t="str">
        <f>IFERROR(IF(C873="","",INDEX(마스터!$J$4:$J$20,MATCH(C873,마스터!$M$4:$M$20,0))),"")</f>
        <v/>
      </c>
      <c r="H873" s="30"/>
      <c r="I873" s="30"/>
    </row>
    <row r="874" spans="1:9" ht="15" customHeight="1" x14ac:dyDescent="0.25">
      <c r="A874" s="25" t="str">
        <f t="shared" si="13"/>
        <v/>
      </c>
      <c r="B874" s="26"/>
      <c r="C874" s="27"/>
      <c r="D874" s="28" t="str">
        <f>IFERROR(IF(C874="","",INDEX(마스터!$F$4:$F$20,MATCH(C874,마스터!$M$4:$M$20,0))),"")</f>
        <v/>
      </c>
      <c r="E874" s="27"/>
      <c r="F874" s="29"/>
      <c r="G874" s="25" t="str">
        <f>IFERROR(IF(C874="","",INDEX(마스터!$J$4:$J$20,MATCH(C874,마스터!$M$4:$M$20,0))),"")</f>
        <v/>
      </c>
      <c r="H874" s="30"/>
      <c r="I874" s="30"/>
    </row>
    <row r="875" spans="1:9" ht="15" customHeight="1" x14ac:dyDescent="0.25">
      <c r="A875" s="25" t="str">
        <f t="shared" si="13"/>
        <v/>
      </c>
      <c r="B875" s="26"/>
      <c r="C875" s="27"/>
      <c r="D875" s="28" t="str">
        <f>IFERROR(IF(C875="","",INDEX(마스터!$F$4:$F$20,MATCH(C875,마스터!$M$4:$M$20,0))),"")</f>
        <v/>
      </c>
      <c r="E875" s="27"/>
      <c r="F875" s="29"/>
      <c r="G875" s="25" t="str">
        <f>IFERROR(IF(C875="","",INDEX(마스터!$J$4:$J$20,MATCH(C875,마스터!$M$4:$M$20,0))),"")</f>
        <v/>
      </c>
      <c r="H875" s="30"/>
      <c r="I875" s="30"/>
    </row>
    <row r="876" spans="1:9" ht="15" customHeight="1" x14ac:dyDescent="0.25">
      <c r="A876" s="25" t="str">
        <f t="shared" si="13"/>
        <v/>
      </c>
      <c r="B876" s="26"/>
      <c r="C876" s="27"/>
      <c r="D876" s="28" t="str">
        <f>IFERROR(IF(C876="","",INDEX(마스터!$F$4:$F$20,MATCH(C876,마스터!$M$4:$M$20,0))),"")</f>
        <v/>
      </c>
      <c r="E876" s="27"/>
      <c r="F876" s="29"/>
      <c r="G876" s="25" t="str">
        <f>IFERROR(IF(C876="","",INDEX(마스터!$J$4:$J$20,MATCH(C876,마스터!$M$4:$M$20,0))),"")</f>
        <v/>
      </c>
      <c r="H876" s="30"/>
      <c r="I876" s="30"/>
    </row>
    <row r="877" spans="1:9" ht="15" customHeight="1" x14ac:dyDescent="0.25">
      <c r="A877" s="25" t="str">
        <f t="shared" si="13"/>
        <v/>
      </c>
      <c r="B877" s="26"/>
      <c r="C877" s="27"/>
      <c r="D877" s="28" t="str">
        <f>IFERROR(IF(C877="","",INDEX(마스터!$F$4:$F$20,MATCH(C877,마스터!$M$4:$M$20,0))),"")</f>
        <v/>
      </c>
      <c r="E877" s="27"/>
      <c r="F877" s="29"/>
      <c r="G877" s="25" t="str">
        <f>IFERROR(IF(C877="","",INDEX(마스터!$J$4:$J$20,MATCH(C877,마스터!$M$4:$M$20,0))),"")</f>
        <v/>
      </c>
      <c r="H877" s="30"/>
      <c r="I877" s="30"/>
    </row>
    <row r="878" spans="1:9" ht="15" customHeight="1" x14ac:dyDescent="0.25">
      <c r="A878" s="25" t="str">
        <f t="shared" si="13"/>
        <v/>
      </c>
      <c r="B878" s="26"/>
      <c r="C878" s="27"/>
      <c r="D878" s="28" t="str">
        <f>IFERROR(IF(C878="","",INDEX(마스터!$F$4:$F$20,MATCH(C878,마스터!$M$4:$M$20,0))),"")</f>
        <v/>
      </c>
      <c r="E878" s="27"/>
      <c r="F878" s="29"/>
      <c r="G878" s="25" t="str">
        <f>IFERROR(IF(C878="","",INDEX(마스터!$J$4:$J$20,MATCH(C878,마스터!$M$4:$M$20,0))),"")</f>
        <v/>
      </c>
      <c r="H878" s="30"/>
      <c r="I878" s="30"/>
    </row>
    <row r="879" spans="1:9" ht="15" customHeight="1" x14ac:dyDescent="0.25">
      <c r="A879" s="25" t="str">
        <f t="shared" si="13"/>
        <v/>
      </c>
      <c r="B879" s="26"/>
      <c r="C879" s="27"/>
      <c r="D879" s="28" t="str">
        <f>IFERROR(IF(C879="","",INDEX(마스터!$F$4:$F$20,MATCH(C879,마스터!$M$4:$M$20,0))),"")</f>
        <v/>
      </c>
      <c r="E879" s="27"/>
      <c r="F879" s="29"/>
      <c r="G879" s="25" t="str">
        <f>IFERROR(IF(C879="","",INDEX(마스터!$J$4:$J$20,MATCH(C879,마스터!$M$4:$M$20,0))),"")</f>
        <v/>
      </c>
      <c r="H879" s="30"/>
      <c r="I879" s="30"/>
    </row>
    <row r="880" spans="1:9" ht="15" customHeight="1" x14ac:dyDescent="0.25">
      <c r="A880" s="25" t="str">
        <f t="shared" si="13"/>
        <v/>
      </c>
      <c r="B880" s="26"/>
      <c r="C880" s="27"/>
      <c r="D880" s="28" t="str">
        <f>IFERROR(IF(C880="","",INDEX(마스터!$F$4:$F$20,MATCH(C880,마스터!$M$4:$M$20,0))),"")</f>
        <v/>
      </c>
      <c r="E880" s="27"/>
      <c r="F880" s="29"/>
      <c r="G880" s="25" t="str">
        <f>IFERROR(IF(C880="","",INDEX(마스터!$J$4:$J$20,MATCH(C880,마스터!$M$4:$M$20,0))),"")</f>
        <v/>
      </c>
      <c r="H880" s="30"/>
      <c r="I880" s="30"/>
    </row>
    <row r="881" spans="1:9" ht="15" customHeight="1" x14ac:dyDescent="0.25">
      <c r="A881" s="25" t="str">
        <f t="shared" si="13"/>
        <v/>
      </c>
      <c r="B881" s="26"/>
      <c r="C881" s="27"/>
      <c r="D881" s="28" t="str">
        <f>IFERROR(IF(C881="","",INDEX(마스터!$F$4:$F$20,MATCH(C881,마스터!$M$4:$M$20,0))),"")</f>
        <v/>
      </c>
      <c r="E881" s="27"/>
      <c r="F881" s="29"/>
      <c r="G881" s="25" t="str">
        <f>IFERROR(IF(C881="","",INDEX(마스터!$J$4:$J$20,MATCH(C881,마스터!$M$4:$M$20,0))),"")</f>
        <v/>
      </c>
      <c r="H881" s="30"/>
      <c r="I881" s="30"/>
    </row>
    <row r="882" spans="1:9" ht="15" customHeight="1" x14ac:dyDescent="0.25">
      <c r="A882" s="25" t="str">
        <f t="shared" si="13"/>
        <v/>
      </c>
      <c r="B882" s="26"/>
      <c r="C882" s="27"/>
      <c r="D882" s="28" t="str">
        <f>IFERROR(IF(C882="","",INDEX(마스터!$F$4:$F$20,MATCH(C882,마스터!$M$4:$M$20,0))),"")</f>
        <v/>
      </c>
      <c r="E882" s="27"/>
      <c r="F882" s="29"/>
      <c r="G882" s="25" t="str">
        <f>IFERROR(IF(C882="","",INDEX(마스터!$J$4:$J$20,MATCH(C882,마스터!$M$4:$M$20,0))),"")</f>
        <v/>
      </c>
      <c r="H882" s="30"/>
      <c r="I882" s="30"/>
    </row>
    <row r="883" spans="1:9" ht="15" customHeight="1" x14ac:dyDescent="0.25">
      <c r="A883" s="25" t="str">
        <f t="shared" si="13"/>
        <v/>
      </c>
      <c r="B883" s="26"/>
      <c r="C883" s="27"/>
      <c r="D883" s="28" t="str">
        <f>IFERROR(IF(C883="","",INDEX(마스터!$F$4:$F$20,MATCH(C883,마스터!$M$4:$M$20,0))),"")</f>
        <v/>
      </c>
      <c r="E883" s="27"/>
      <c r="F883" s="29"/>
      <c r="G883" s="25" t="str">
        <f>IFERROR(IF(C883="","",INDEX(마스터!$J$4:$J$20,MATCH(C883,마스터!$M$4:$M$20,0))),"")</f>
        <v/>
      </c>
      <c r="H883" s="30"/>
      <c r="I883" s="30"/>
    </row>
    <row r="884" spans="1:9" ht="15" customHeight="1" x14ac:dyDescent="0.25">
      <c r="A884" s="25" t="str">
        <f t="shared" si="13"/>
        <v/>
      </c>
      <c r="B884" s="26"/>
      <c r="C884" s="27"/>
      <c r="D884" s="28" t="str">
        <f>IFERROR(IF(C884="","",INDEX(마스터!$F$4:$F$20,MATCH(C884,마스터!$M$4:$M$20,0))),"")</f>
        <v/>
      </c>
      <c r="E884" s="27"/>
      <c r="F884" s="29"/>
      <c r="G884" s="25" t="str">
        <f>IFERROR(IF(C884="","",INDEX(마스터!$J$4:$J$20,MATCH(C884,마스터!$M$4:$M$20,0))),"")</f>
        <v/>
      </c>
      <c r="H884" s="30"/>
      <c r="I884" s="30"/>
    </row>
    <row r="885" spans="1:9" ht="15" customHeight="1" x14ac:dyDescent="0.25">
      <c r="A885" s="25" t="str">
        <f t="shared" si="13"/>
        <v/>
      </c>
      <c r="B885" s="26"/>
      <c r="C885" s="27"/>
      <c r="D885" s="28" t="str">
        <f>IFERROR(IF(C885="","",INDEX(마스터!$F$4:$F$20,MATCH(C885,마스터!$M$4:$M$20,0))),"")</f>
        <v/>
      </c>
      <c r="E885" s="27"/>
      <c r="F885" s="29"/>
      <c r="G885" s="25" t="str">
        <f>IFERROR(IF(C885="","",INDEX(마스터!$J$4:$J$20,MATCH(C885,마스터!$M$4:$M$20,0))),"")</f>
        <v/>
      </c>
      <c r="H885" s="30"/>
      <c r="I885" s="30"/>
    </row>
    <row r="886" spans="1:9" ht="15" customHeight="1" x14ac:dyDescent="0.25">
      <c r="A886" s="25" t="str">
        <f t="shared" si="13"/>
        <v/>
      </c>
      <c r="B886" s="26"/>
      <c r="C886" s="27"/>
      <c r="D886" s="28" t="str">
        <f>IFERROR(IF(C886="","",INDEX(마스터!$F$4:$F$20,MATCH(C886,마스터!$M$4:$M$20,0))),"")</f>
        <v/>
      </c>
      <c r="E886" s="27"/>
      <c r="F886" s="29"/>
      <c r="G886" s="25" t="str">
        <f>IFERROR(IF(C886="","",INDEX(마스터!$J$4:$J$20,MATCH(C886,마스터!$M$4:$M$20,0))),"")</f>
        <v/>
      </c>
      <c r="H886" s="30"/>
      <c r="I886" s="30"/>
    </row>
    <row r="887" spans="1:9" ht="15" customHeight="1" x14ac:dyDescent="0.25">
      <c r="A887" s="25" t="str">
        <f t="shared" si="13"/>
        <v/>
      </c>
      <c r="B887" s="26"/>
      <c r="C887" s="27"/>
      <c r="D887" s="28" t="str">
        <f>IFERROR(IF(C887="","",INDEX(마스터!$F$4:$F$20,MATCH(C887,마스터!$M$4:$M$20,0))),"")</f>
        <v/>
      </c>
      <c r="E887" s="27"/>
      <c r="F887" s="29"/>
      <c r="G887" s="25" t="str">
        <f>IFERROR(IF(C887="","",INDEX(마스터!$J$4:$J$20,MATCH(C887,마스터!$M$4:$M$20,0))),"")</f>
        <v/>
      </c>
      <c r="H887" s="30"/>
      <c r="I887" s="30"/>
    </row>
    <row r="888" spans="1:9" ht="15" customHeight="1" x14ac:dyDescent="0.25">
      <c r="A888" s="25" t="str">
        <f t="shared" si="13"/>
        <v/>
      </c>
      <c r="B888" s="26"/>
      <c r="C888" s="27"/>
      <c r="D888" s="28" t="str">
        <f>IFERROR(IF(C888="","",INDEX(마스터!$F$4:$F$20,MATCH(C888,마스터!$M$4:$M$20,0))),"")</f>
        <v/>
      </c>
      <c r="E888" s="27"/>
      <c r="F888" s="29"/>
      <c r="G888" s="25" t="str">
        <f>IFERROR(IF(C888="","",INDEX(마스터!$J$4:$J$20,MATCH(C888,마스터!$M$4:$M$20,0))),"")</f>
        <v/>
      </c>
      <c r="H888" s="30"/>
      <c r="I888" s="30"/>
    </row>
    <row r="889" spans="1:9" ht="15" customHeight="1" x14ac:dyDescent="0.25">
      <c r="A889" s="25" t="str">
        <f t="shared" si="13"/>
        <v/>
      </c>
      <c r="B889" s="26"/>
      <c r="C889" s="27"/>
      <c r="D889" s="28" t="str">
        <f>IFERROR(IF(C889="","",INDEX(마스터!$F$4:$F$20,MATCH(C889,마스터!$M$4:$M$20,0))),"")</f>
        <v/>
      </c>
      <c r="E889" s="27"/>
      <c r="F889" s="29"/>
      <c r="G889" s="25" t="str">
        <f>IFERROR(IF(C889="","",INDEX(마스터!$J$4:$J$20,MATCH(C889,마스터!$M$4:$M$20,0))),"")</f>
        <v/>
      </c>
      <c r="H889" s="30"/>
      <c r="I889" s="30"/>
    </row>
    <row r="890" spans="1:9" ht="15" customHeight="1" x14ac:dyDescent="0.25">
      <c r="A890" s="25" t="str">
        <f t="shared" si="13"/>
        <v/>
      </c>
      <c r="B890" s="26"/>
      <c r="C890" s="27"/>
      <c r="D890" s="28" t="str">
        <f>IFERROR(IF(C890="","",INDEX(마스터!$F$4:$F$20,MATCH(C890,마스터!$M$4:$M$20,0))),"")</f>
        <v/>
      </c>
      <c r="E890" s="27"/>
      <c r="F890" s="29"/>
      <c r="G890" s="25" t="str">
        <f>IFERROR(IF(C890="","",INDEX(마스터!$J$4:$J$20,MATCH(C890,마스터!$M$4:$M$20,0))),"")</f>
        <v/>
      </c>
      <c r="H890" s="30"/>
      <c r="I890" s="30"/>
    </row>
    <row r="891" spans="1:9" ht="15" customHeight="1" x14ac:dyDescent="0.25">
      <c r="A891" s="25" t="str">
        <f t="shared" si="13"/>
        <v/>
      </c>
      <c r="B891" s="26"/>
      <c r="C891" s="27"/>
      <c r="D891" s="28" t="str">
        <f>IFERROR(IF(C891="","",INDEX(마스터!$F$4:$F$20,MATCH(C891,마스터!$M$4:$M$20,0))),"")</f>
        <v/>
      </c>
      <c r="E891" s="27"/>
      <c r="F891" s="29"/>
      <c r="G891" s="25" t="str">
        <f>IFERROR(IF(C891="","",INDEX(마스터!$J$4:$J$20,MATCH(C891,마스터!$M$4:$M$20,0))),"")</f>
        <v/>
      </c>
      <c r="H891" s="30"/>
      <c r="I891" s="30"/>
    </row>
    <row r="892" spans="1:9" ht="15" customHeight="1" x14ac:dyDescent="0.25">
      <c r="A892" s="25" t="str">
        <f t="shared" si="13"/>
        <v/>
      </c>
      <c r="B892" s="26"/>
      <c r="C892" s="27"/>
      <c r="D892" s="28" t="str">
        <f>IFERROR(IF(C892="","",INDEX(마스터!$F$4:$F$20,MATCH(C892,마스터!$M$4:$M$20,0))),"")</f>
        <v/>
      </c>
      <c r="E892" s="27"/>
      <c r="F892" s="29"/>
      <c r="G892" s="25" t="str">
        <f>IFERROR(IF(C892="","",INDEX(마스터!$J$4:$J$20,MATCH(C892,마스터!$M$4:$M$20,0))),"")</f>
        <v/>
      </c>
      <c r="H892" s="30"/>
      <c r="I892" s="30"/>
    </row>
    <row r="893" spans="1:9" ht="15" customHeight="1" x14ac:dyDescent="0.25">
      <c r="A893" s="25" t="str">
        <f t="shared" si="13"/>
        <v/>
      </c>
      <c r="B893" s="26"/>
      <c r="C893" s="27"/>
      <c r="D893" s="28" t="str">
        <f>IFERROR(IF(C893="","",INDEX(마스터!$F$4:$F$20,MATCH(C893,마스터!$M$4:$M$20,0))),"")</f>
        <v/>
      </c>
      <c r="E893" s="27"/>
      <c r="F893" s="29"/>
      <c r="G893" s="25" t="str">
        <f>IFERROR(IF(C893="","",INDEX(마스터!$J$4:$J$20,MATCH(C893,마스터!$M$4:$M$20,0))),"")</f>
        <v/>
      </c>
      <c r="H893" s="30"/>
      <c r="I893" s="30"/>
    </row>
    <row r="894" spans="1:9" ht="15" customHeight="1" x14ac:dyDescent="0.25">
      <c r="A894" s="25" t="str">
        <f t="shared" si="13"/>
        <v/>
      </c>
      <c r="B894" s="26"/>
      <c r="C894" s="27"/>
      <c r="D894" s="28" t="str">
        <f>IFERROR(IF(C894="","",INDEX(마스터!$F$4:$F$20,MATCH(C894,마스터!$M$4:$M$20,0))),"")</f>
        <v/>
      </c>
      <c r="E894" s="27"/>
      <c r="F894" s="29"/>
      <c r="G894" s="25" t="str">
        <f>IFERROR(IF(C894="","",INDEX(마스터!$J$4:$J$20,MATCH(C894,마스터!$M$4:$M$20,0))),"")</f>
        <v/>
      </c>
      <c r="H894" s="30"/>
      <c r="I894" s="30"/>
    </row>
    <row r="895" spans="1:9" ht="15" customHeight="1" x14ac:dyDescent="0.25">
      <c r="A895" s="25" t="str">
        <f t="shared" si="13"/>
        <v/>
      </c>
      <c r="B895" s="26"/>
      <c r="C895" s="27"/>
      <c r="D895" s="28" t="str">
        <f>IFERROR(IF(C895="","",INDEX(마스터!$F$4:$F$20,MATCH(C895,마스터!$M$4:$M$20,0))),"")</f>
        <v/>
      </c>
      <c r="E895" s="27"/>
      <c r="F895" s="29"/>
      <c r="G895" s="25" t="str">
        <f>IFERROR(IF(C895="","",INDEX(마스터!$J$4:$J$20,MATCH(C895,마스터!$M$4:$M$20,0))),"")</f>
        <v/>
      </c>
      <c r="H895" s="30"/>
      <c r="I895" s="30"/>
    </row>
    <row r="896" spans="1:9" ht="15" customHeight="1" x14ac:dyDescent="0.25">
      <c r="A896" s="25" t="str">
        <f t="shared" si="13"/>
        <v/>
      </c>
      <c r="B896" s="26"/>
      <c r="C896" s="27"/>
      <c r="D896" s="28" t="str">
        <f>IFERROR(IF(C896="","",INDEX(마스터!$F$4:$F$20,MATCH(C896,마스터!$M$4:$M$20,0))),"")</f>
        <v/>
      </c>
      <c r="E896" s="27"/>
      <c r="F896" s="29"/>
      <c r="G896" s="25" t="str">
        <f>IFERROR(IF(C896="","",INDEX(마스터!$J$4:$J$20,MATCH(C896,마스터!$M$4:$M$20,0))),"")</f>
        <v/>
      </c>
      <c r="H896" s="30"/>
      <c r="I896" s="30"/>
    </row>
    <row r="897" spans="1:9" ht="15" customHeight="1" x14ac:dyDescent="0.25">
      <c r="A897" s="25" t="str">
        <f t="shared" si="13"/>
        <v/>
      </c>
      <c r="B897" s="26"/>
      <c r="C897" s="27"/>
      <c r="D897" s="28" t="str">
        <f>IFERROR(IF(C897="","",INDEX(마스터!$F$4:$F$20,MATCH(C897,마스터!$M$4:$M$20,0))),"")</f>
        <v/>
      </c>
      <c r="E897" s="27"/>
      <c r="F897" s="29"/>
      <c r="G897" s="25" t="str">
        <f>IFERROR(IF(C897="","",INDEX(마스터!$J$4:$J$20,MATCH(C897,마스터!$M$4:$M$20,0))),"")</f>
        <v/>
      </c>
      <c r="H897" s="30"/>
      <c r="I897" s="30"/>
    </row>
    <row r="898" spans="1:9" ht="15" customHeight="1" x14ac:dyDescent="0.25">
      <c r="A898" s="25" t="str">
        <f t="shared" si="13"/>
        <v/>
      </c>
      <c r="B898" s="26"/>
      <c r="C898" s="27"/>
      <c r="D898" s="28" t="str">
        <f>IFERROR(IF(C898="","",INDEX(마스터!$F$4:$F$20,MATCH(C898,마스터!$M$4:$M$20,0))),"")</f>
        <v/>
      </c>
      <c r="E898" s="27"/>
      <c r="F898" s="29"/>
      <c r="G898" s="25" t="str">
        <f>IFERROR(IF(C898="","",INDEX(마스터!$J$4:$J$20,MATCH(C898,마스터!$M$4:$M$20,0))),"")</f>
        <v/>
      </c>
      <c r="H898" s="30"/>
      <c r="I898" s="30"/>
    </row>
    <row r="899" spans="1:9" ht="15" customHeight="1" x14ac:dyDescent="0.25">
      <c r="A899" s="25" t="str">
        <f t="shared" si="13"/>
        <v/>
      </c>
      <c r="B899" s="26"/>
      <c r="C899" s="27"/>
      <c r="D899" s="28" t="str">
        <f>IFERROR(IF(C899="","",INDEX(마스터!$F$4:$F$20,MATCH(C899,마스터!$M$4:$M$20,0))),"")</f>
        <v/>
      </c>
      <c r="E899" s="27"/>
      <c r="F899" s="29"/>
      <c r="G899" s="25" t="str">
        <f>IFERROR(IF(C899="","",INDEX(마스터!$J$4:$J$20,MATCH(C899,마스터!$M$4:$M$20,0))),"")</f>
        <v/>
      </c>
      <c r="H899" s="30"/>
      <c r="I899" s="30"/>
    </row>
    <row r="900" spans="1:9" ht="15" customHeight="1" x14ac:dyDescent="0.25">
      <c r="A900" s="25" t="str">
        <f t="shared" si="13"/>
        <v/>
      </c>
      <c r="B900" s="26"/>
      <c r="C900" s="27"/>
      <c r="D900" s="28" t="str">
        <f>IFERROR(IF(C900="","",INDEX(마스터!$F$4:$F$20,MATCH(C900,마스터!$M$4:$M$20,0))),"")</f>
        <v/>
      </c>
      <c r="E900" s="27"/>
      <c r="F900" s="29"/>
      <c r="G900" s="25" t="str">
        <f>IFERROR(IF(C900="","",INDEX(마스터!$J$4:$J$20,MATCH(C900,마스터!$M$4:$M$20,0))),"")</f>
        <v/>
      </c>
      <c r="H900" s="30"/>
      <c r="I900" s="30"/>
    </row>
    <row r="901" spans="1:9" ht="15" customHeight="1" x14ac:dyDescent="0.25">
      <c r="A901" s="25" t="str">
        <f t="shared" si="13"/>
        <v/>
      </c>
      <c r="B901" s="26"/>
      <c r="C901" s="27"/>
      <c r="D901" s="28" t="str">
        <f>IFERROR(IF(C901="","",INDEX(마스터!$F$4:$F$20,MATCH(C901,마스터!$M$4:$M$20,0))),"")</f>
        <v/>
      </c>
      <c r="E901" s="27"/>
      <c r="F901" s="29"/>
      <c r="G901" s="25" t="str">
        <f>IFERROR(IF(C901="","",INDEX(마스터!$J$4:$J$20,MATCH(C901,마스터!$M$4:$M$20,0))),"")</f>
        <v/>
      </c>
      <c r="H901" s="30"/>
      <c r="I901" s="30"/>
    </row>
    <row r="902" spans="1:9" ht="15" customHeight="1" x14ac:dyDescent="0.25">
      <c r="A902" s="25" t="str">
        <f t="shared" si="13"/>
        <v/>
      </c>
      <c r="B902" s="26"/>
      <c r="C902" s="27"/>
      <c r="D902" s="28" t="str">
        <f>IFERROR(IF(C902="","",INDEX(마스터!$F$4:$F$20,MATCH(C902,마스터!$M$4:$M$20,0))),"")</f>
        <v/>
      </c>
      <c r="E902" s="27"/>
      <c r="F902" s="29"/>
      <c r="G902" s="25" t="str">
        <f>IFERROR(IF(C902="","",INDEX(마스터!$J$4:$J$20,MATCH(C902,마스터!$M$4:$M$20,0))),"")</f>
        <v/>
      </c>
      <c r="H902" s="30"/>
      <c r="I902" s="30"/>
    </row>
    <row r="903" spans="1:9" ht="15" customHeight="1" x14ac:dyDescent="0.25">
      <c r="A903" s="25" t="str">
        <f t="shared" si="13"/>
        <v/>
      </c>
      <c r="B903" s="26"/>
      <c r="C903" s="27"/>
      <c r="D903" s="28" t="str">
        <f>IFERROR(IF(C903="","",INDEX(마스터!$F$4:$F$20,MATCH(C903,마스터!$M$4:$M$20,0))),"")</f>
        <v/>
      </c>
      <c r="E903" s="27"/>
      <c r="F903" s="29"/>
      <c r="G903" s="25" t="str">
        <f>IFERROR(IF(C903="","",INDEX(마스터!$J$4:$J$20,MATCH(C903,마스터!$M$4:$M$20,0))),"")</f>
        <v/>
      </c>
      <c r="H903" s="30"/>
      <c r="I903" s="30"/>
    </row>
    <row r="904" spans="1:9" ht="15" customHeight="1" x14ac:dyDescent="0.25">
      <c r="A904" s="25" t="str">
        <f t="shared" ref="A904:A967" si="14">IF(B904="","",ROW()-7)</f>
        <v/>
      </c>
      <c r="B904" s="26"/>
      <c r="C904" s="27"/>
      <c r="D904" s="28" t="str">
        <f>IFERROR(IF(C904="","",INDEX(마스터!$F$4:$F$20,MATCH(C904,마스터!$M$4:$M$20,0))),"")</f>
        <v/>
      </c>
      <c r="E904" s="27"/>
      <c r="F904" s="29"/>
      <c r="G904" s="25" t="str">
        <f>IFERROR(IF(C904="","",INDEX(마스터!$J$4:$J$20,MATCH(C904,마스터!$M$4:$M$20,0))),"")</f>
        <v/>
      </c>
      <c r="H904" s="30"/>
      <c r="I904" s="30"/>
    </row>
    <row r="905" spans="1:9" ht="15" customHeight="1" x14ac:dyDescent="0.25">
      <c r="A905" s="25" t="str">
        <f t="shared" si="14"/>
        <v/>
      </c>
      <c r="B905" s="26"/>
      <c r="C905" s="27"/>
      <c r="D905" s="28" t="str">
        <f>IFERROR(IF(C905="","",INDEX(마스터!$F$4:$F$20,MATCH(C905,마스터!$M$4:$M$20,0))),"")</f>
        <v/>
      </c>
      <c r="E905" s="27"/>
      <c r="F905" s="29"/>
      <c r="G905" s="25" t="str">
        <f>IFERROR(IF(C905="","",INDEX(마스터!$J$4:$J$20,MATCH(C905,마스터!$M$4:$M$20,0))),"")</f>
        <v/>
      </c>
      <c r="H905" s="30"/>
      <c r="I905" s="30"/>
    </row>
    <row r="906" spans="1:9" ht="15" customHeight="1" x14ac:dyDescent="0.25">
      <c r="A906" s="25" t="str">
        <f t="shared" si="14"/>
        <v/>
      </c>
      <c r="B906" s="26"/>
      <c r="C906" s="27"/>
      <c r="D906" s="28" t="str">
        <f>IFERROR(IF(C906="","",INDEX(마스터!$F$4:$F$20,MATCH(C906,마스터!$M$4:$M$20,0))),"")</f>
        <v/>
      </c>
      <c r="E906" s="27"/>
      <c r="F906" s="29"/>
      <c r="G906" s="25" t="str">
        <f>IFERROR(IF(C906="","",INDEX(마스터!$J$4:$J$20,MATCH(C906,마스터!$M$4:$M$20,0))),"")</f>
        <v/>
      </c>
      <c r="H906" s="30"/>
      <c r="I906" s="30"/>
    </row>
    <row r="907" spans="1:9" ht="15" customHeight="1" x14ac:dyDescent="0.25">
      <c r="A907" s="25" t="str">
        <f t="shared" si="14"/>
        <v/>
      </c>
      <c r="B907" s="26"/>
      <c r="C907" s="27"/>
      <c r="D907" s="28" t="str">
        <f>IFERROR(IF(C907="","",INDEX(마스터!$F$4:$F$20,MATCH(C907,마스터!$M$4:$M$20,0))),"")</f>
        <v/>
      </c>
      <c r="E907" s="27"/>
      <c r="F907" s="29"/>
      <c r="G907" s="25" t="str">
        <f>IFERROR(IF(C907="","",INDEX(마스터!$J$4:$J$20,MATCH(C907,마스터!$M$4:$M$20,0))),"")</f>
        <v/>
      </c>
      <c r="H907" s="30"/>
      <c r="I907" s="30"/>
    </row>
    <row r="908" spans="1:9" ht="15" customHeight="1" x14ac:dyDescent="0.25">
      <c r="A908" s="25" t="str">
        <f t="shared" si="14"/>
        <v/>
      </c>
      <c r="B908" s="26"/>
      <c r="C908" s="27"/>
      <c r="D908" s="28" t="str">
        <f>IFERROR(IF(C908="","",INDEX(마스터!$F$4:$F$20,MATCH(C908,마스터!$M$4:$M$20,0))),"")</f>
        <v/>
      </c>
      <c r="E908" s="27"/>
      <c r="F908" s="29"/>
      <c r="G908" s="25" t="str">
        <f>IFERROR(IF(C908="","",INDEX(마스터!$J$4:$J$20,MATCH(C908,마스터!$M$4:$M$20,0))),"")</f>
        <v/>
      </c>
      <c r="H908" s="30"/>
      <c r="I908" s="30"/>
    </row>
    <row r="909" spans="1:9" ht="15" customHeight="1" x14ac:dyDescent="0.25">
      <c r="A909" s="25" t="str">
        <f t="shared" si="14"/>
        <v/>
      </c>
      <c r="B909" s="26"/>
      <c r="C909" s="27"/>
      <c r="D909" s="28" t="str">
        <f>IFERROR(IF(C909="","",INDEX(마스터!$F$4:$F$20,MATCH(C909,마스터!$M$4:$M$20,0))),"")</f>
        <v/>
      </c>
      <c r="E909" s="27"/>
      <c r="F909" s="29"/>
      <c r="G909" s="25" t="str">
        <f>IFERROR(IF(C909="","",INDEX(마스터!$J$4:$J$20,MATCH(C909,마스터!$M$4:$M$20,0))),"")</f>
        <v/>
      </c>
      <c r="H909" s="30"/>
      <c r="I909" s="30"/>
    </row>
    <row r="910" spans="1:9" ht="15" customHeight="1" x14ac:dyDescent="0.25">
      <c r="A910" s="25" t="str">
        <f t="shared" si="14"/>
        <v/>
      </c>
      <c r="B910" s="26"/>
      <c r="C910" s="27"/>
      <c r="D910" s="28" t="str">
        <f>IFERROR(IF(C910="","",INDEX(마스터!$F$4:$F$20,MATCH(C910,마스터!$M$4:$M$20,0))),"")</f>
        <v/>
      </c>
      <c r="E910" s="27"/>
      <c r="F910" s="29"/>
      <c r="G910" s="25" t="str">
        <f>IFERROR(IF(C910="","",INDEX(마스터!$J$4:$J$20,MATCH(C910,마스터!$M$4:$M$20,0))),"")</f>
        <v/>
      </c>
      <c r="H910" s="30"/>
      <c r="I910" s="30"/>
    </row>
    <row r="911" spans="1:9" ht="15" customHeight="1" x14ac:dyDescent="0.25">
      <c r="A911" s="25" t="str">
        <f t="shared" si="14"/>
        <v/>
      </c>
      <c r="B911" s="26"/>
      <c r="C911" s="27"/>
      <c r="D911" s="28" t="str">
        <f>IFERROR(IF(C911="","",INDEX(마스터!$F$4:$F$20,MATCH(C911,마스터!$M$4:$M$20,0))),"")</f>
        <v/>
      </c>
      <c r="E911" s="27"/>
      <c r="F911" s="29"/>
      <c r="G911" s="25" t="str">
        <f>IFERROR(IF(C911="","",INDEX(마스터!$J$4:$J$20,MATCH(C911,마스터!$M$4:$M$20,0))),"")</f>
        <v/>
      </c>
      <c r="H911" s="30"/>
      <c r="I911" s="30"/>
    </row>
    <row r="912" spans="1:9" ht="15" customHeight="1" x14ac:dyDescent="0.25">
      <c r="A912" s="25" t="str">
        <f t="shared" si="14"/>
        <v/>
      </c>
      <c r="B912" s="26"/>
      <c r="C912" s="27"/>
      <c r="D912" s="28" t="str">
        <f>IFERROR(IF(C912="","",INDEX(마스터!$F$4:$F$20,MATCH(C912,마스터!$M$4:$M$20,0))),"")</f>
        <v/>
      </c>
      <c r="E912" s="27"/>
      <c r="F912" s="29"/>
      <c r="G912" s="25" t="str">
        <f>IFERROR(IF(C912="","",INDEX(마스터!$J$4:$J$20,MATCH(C912,마스터!$M$4:$M$20,0))),"")</f>
        <v/>
      </c>
      <c r="H912" s="30"/>
      <c r="I912" s="30"/>
    </row>
    <row r="913" spans="1:9" ht="15" customHeight="1" x14ac:dyDescent="0.25">
      <c r="A913" s="25" t="str">
        <f t="shared" si="14"/>
        <v/>
      </c>
      <c r="B913" s="26"/>
      <c r="C913" s="27"/>
      <c r="D913" s="28" t="str">
        <f>IFERROR(IF(C913="","",INDEX(마스터!$F$4:$F$20,MATCH(C913,마스터!$M$4:$M$20,0))),"")</f>
        <v/>
      </c>
      <c r="E913" s="27"/>
      <c r="F913" s="29"/>
      <c r="G913" s="25" t="str">
        <f>IFERROR(IF(C913="","",INDEX(마스터!$J$4:$J$20,MATCH(C913,마스터!$M$4:$M$20,0))),"")</f>
        <v/>
      </c>
      <c r="H913" s="30"/>
      <c r="I913" s="30"/>
    </row>
    <row r="914" spans="1:9" ht="15" customHeight="1" x14ac:dyDescent="0.25">
      <c r="A914" s="25" t="str">
        <f t="shared" si="14"/>
        <v/>
      </c>
      <c r="B914" s="26"/>
      <c r="C914" s="27"/>
      <c r="D914" s="28" t="str">
        <f>IFERROR(IF(C914="","",INDEX(마스터!$F$4:$F$20,MATCH(C914,마스터!$M$4:$M$20,0))),"")</f>
        <v/>
      </c>
      <c r="E914" s="27"/>
      <c r="F914" s="29"/>
      <c r="G914" s="25" t="str">
        <f>IFERROR(IF(C914="","",INDEX(마스터!$J$4:$J$20,MATCH(C914,마스터!$M$4:$M$20,0))),"")</f>
        <v/>
      </c>
      <c r="H914" s="30"/>
      <c r="I914" s="30"/>
    </row>
    <row r="915" spans="1:9" ht="15" customHeight="1" x14ac:dyDescent="0.25">
      <c r="A915" s="25" t="str">
        <f t="shared" si="14"/>
        <v/>
      </c>
      <c r="B915" s="26"/>
      <c r="C915" s="27"/>
      <c r="D915" s="28" t="str">
        <f>IFERROR(IF(C915="","",INDEX(마스터!$F$4:$F$20,MATCH(C915,마스터!$M$4:$M$20,0))),"")</f>
        <v/>
      </c>
      <c r="E915" s="27"/>
      <c r="F915" s="29"/>
      <c r="G915" s="25" t="str">
        <f>IFERROR(IF(C915="","",INDEX(마스터!$J$4:$J$20,MATCH(C915,마스터!$M$4:$M$20,0))),"")</f>
        <v/>
      </c>
      <c r="H915" s="30"/>
      <c r="I915" s="30"/>
    </row>
    <row r="916" spans="1:9" ht="15" customHeight="1" x14ac:dyDescent="0.25">
      <c r="A916" s="25" t="str">
        <f t="shared" si="14"/>
        <v/>
      </c>
      <c r="B916" s="26"/>
      <c r="C916" s="27"/>
      <c r="D916" s="28" t="str">
        <f>IFERROR(IF(C916="","",INDEX(마스터!$F$4:$F$20,MATCH(C916,마스터!$M$4:$M$20,0))),"")</f>
        <v/>
      </c>
      <c r="E916" s="27"/>
      <c r="F916" s="29"/>
      <c r="G916" s="25" t="str">
        <f>IFERROR(IF(C916="","",INDEX(마스터!$J$4:$J$20,MATCH(C916,마스터!$M$4:$M$20,0))),"")</f>
        <v/>
      </c>
      <c r="H916" s="30"/>
      <c r="I916" s="30"/>
    </row>
    <row r="917" spans="1:9" ht="15" customHeight="1" x14ac:dyDescent="0.25">
      <c r="A917" s="25" t="str">
        <f t="shared" si="14"/>
        <v/>
      </c>
      <c r="B917" s="26"/>
      <c r="C917" s="27"/>
      <c r="D917" s="28" t="str">
        <f>IFERROR(IF(C917="","",INDEX(마스터!$F$4:$F$20,MATCH(C917,마스터!$M$4:$M$20,0))),"")</f>
        <v/>
      </c>
      <c r="E917" s="27"/>
      <c r="F917" s="29"/>
      <c r="G917" s="25" t="str">
        <f>IFERROR(IF(C917="","",INDEX(마스터!$J$4:$J$20,MATCH(C917,마스터!$M$4:$M$20,0))),"")</f>
        <v/>
      </c>
      <c r="H917" s="30"/>
      <c r="I917" s="30"/>
    </row>
    <row r="918" spans="1:9" ht="15" customHeight="1" x14ac:dyDescent="0.25">
      <c r="A918" s="25" t="str">
        <f t="shared" si="14"/>
        <v/>
      </c>
      <c r="B918" s="26"/>
      <c r="C918" s="27"/>
      <c r="D918" s="28" t="str">
        <f>IFERROR(IF(C918="","",INDEX(마스터!$F$4:$F$20,MATCH(C918,마스터!$M$4:$M$20,0))),"")</f>
        <v/>
      </c>
      <c r="E918" s="27"/>
      <c r="F918" s="29"/>
      <c r="G918" s="25" t="str">
        <f>IFERROR(IF(C918="","",INDEX(마스터!$J$4:$J$20,MATCH(C918,마스터!$M$4:$M$20,0))),"")</f>
        <v/>
      </c>
      <c r="H918" s="30"/>
      <c r="I918" s="30"/>
    </row>
    <row r="919" spans="1:9" ht="15" customHeight="1" x14ac:dyDescent="0.25">
      <c r="A919" s="25" t="str">
        <f t="shared" si="14"/>
        <v/>
      </c>
      <c r="B919" s="26"/>
      <c r="C919" s="27"/>
      <c r="D919" s="28" t="str">
        <f>IFERROR(IF(C919="","",INDEX(마스터!$F$4:$F$20,MATCH(C919,마스터!$M$4:$M$20,0))),"")</f>
        <v/>
      </c>
      <c r="E919" s="27"/>
      <c r="F919" s="29"/>
      <c r="G919" s="25" t="str">
        <f>IFERROR(IF(C919="","",INDEX(마스터!$J$4:$J$20,MATCH(C919,마스터!$M$4:$M$20,0))),"")</f>
        <v/>
      </c>
      <c r="H919" s="30"/>
      <c r="I919" s="30"/>
    </row>
    <row r="920" spans="1:9" ht="15" customHeight="1" x14ac:dyDescent="0.25">
      <c r="A920" s="25" t="str">
        <f t="shared" si="14"/>
        <v/>
      </c>
      <c r="B920" s="26"/>
      <c r="C920" s="27"/>
      <c r="D920" s="28" t="str">
        <f>IFERROR(IF(C920="","",INDEX(마스터!$F$4:$F$20,MATCH(C920,마스터!$M$4:$M$20,0))),"")</f>
        <v/>
      </c>
      <c r="E920" s="27"/>
      <c r="F920" s="29"/>
      <c r="G920" s="25" t="str">
        <f>IFERROR(IF(C920="","",INDEX(마스터!$J$4:$J$20,MATCH(C920,마스터!$M$4:$M$20,0))),"")</f>
        <v/>
      </c>
      <c r="H920" s="30"/>
      <c r="I920" s="30"/>
    </row>
    <row r="921" spans="1:9" ht="15" customHeight="1" x14ac:dyDescent="0.25">
      <c r="A921" s="25" t="str">
        <f t="shared" si="14"/>
        <v/>
      </c>
      <c r="B921" s="26"/>
      <c r="C921" s="27"/>
      <c r="D921" s="28" t="str">
        <f>IFERROR(IF(C921="","",INDEX(마스터!$F$4:$F$20,MATCH(C921,마스터!$M$4:$M$20,0))),"")</f>
        <v/>
      </c>
      <c r="E921" s="27"/>
      <c r="F921" s="29"/>
      <c r="G921" s="25" t="str">
        <f>IFERROR(IF(C921="","",INDEX(마스터!$J$4:$J$20,MATCH(C921,마스터!$M$4:$M$20,0))),"")</f>
        <v/>
      </c>
      <c r="H921" s="30"/>
      <c r="I921" s="30"/>
    </row>
    <row r="922" spans="1:9" ht="15" customHeight="1" x14ac:dyDescent="0.25">
      <c r="A922" s="25" t="str">
        <f t="shared" si="14"/>
        <v/>
      </c>
      <c r="B922" s="26"/>
      <c r="C922" s="27"/>
      <c r="D922" s="28" t="str">
        <f>IFERROR(IF(C922="","",INDEX(마스터!$F$4:$F$20,MATCH(C922,마스터!$M$4:$M$20,0))),"")</f>
        <v/>
      </c>
      <c r="E922" s="27"/>
      <c r="F922" s="29"/>
      <c r="G922" s="25" t="str">
        <f>IFERROR(IF(C922="","",INDEX(마스터!$J$4:$J$20,MATCH(C922,마스터!$M$4:$M$20,0))),"")</f>
        <v/>
      </c>
      <c r="H922" s="30"/>
      <c r="I922" s="30"/>
    </row>
    <row r="923" spans="1:9" ht="15" customHeight="1" x14ac:dyDescent="0.25">
      <c r="A923" s="25" t="str">
        <f t="shared" si="14"/>
        <v/>
      </c>
      <c r="B923" s="26"/>
      <c r="C923" s="27"/>
      <c r="D923" s="28" t="str">
        <f>IFERROR(IF(C923="","",INDEX(마스터!$F$4:$F$20,MATCH(C923,마스터!$M$4:$M$20,0))),"")</f>
        <v/>
      </c>
      <c r="E923" s="27"/>
      <c r="F923" s="29"/>
      <c r="G923" s="25" t="str">
        <f>IFERROR(IF(C923="","",INDEX(마스터!$J$4:$J$20,MATCH(C923,마스터!$M$4:$M$20,0))),"")</f>
        <v/>
      </c>
      <c r="H923" s="30"/>
      <c r="I923" s="30"/>
    </row>
    <row r="924" spans="1:9" ht="15" customHeight="1" x14ac:dyDescent="0.25">
      <c r="A924" s="25" t="str">
        <f t="shared" si="14"/>
        <v/>
      </c>
      <c r="B924" s="26"/>
      <c r="C924" s="27"/>
      <c r="D924" s="28" t="str">
        <f>IFERROR(IF(C924="","",INDEX(마스터!$F$4:$F$20,MATCH(C924,마스터!$M$4:$M$20,0))),"")</f>
        <v/>
      </c>
      <c r="E924" s="27"/>
      <c r="F924" s="29"/>
      <c r="G924" s="25" t="str">
        <f>IFERROR(IF(C924="","",INDEX(마스터!$J$4:$J$20,MATCH(C924,마스터!$M$4:$M$20,0))),"")</f>
        <v/>
      </c>
      <c r="H924" s="30"/>
      <c r="I924" s="30"/>
    </row>
    <row r="925" spans="1:9" ht="15" customHeight="1" x14ac:dyDescent="0.25">
      <c r="A925" s="25" t="str">
        <f t="shared" si="14"/>
        <v/>
      </c>
      <c r="B925" s="26"/>
      <c r="C925" s="27"/>
      <c r="D925" s="28" t="str">
        <f>IFERROR(IF(C925="","",INDEX(마스터!$F$4:$F$20,MATCH(C925,마스터!$M$4:$M$20,0))),"")</f>
        <v/>
      </c>
      <c r="E925" s="27"/>
      <c r="F925" s="29"/>
      <c r="G925" s="25" t="str">
        <f>IFERROR(IF(C925="","",INDEX(마스터!$J$4:$J$20,MATCH(C925,마스터!$M$4:$M$20,0))),"")</f>
        <v/>
      </c>
      <c r="H925" s="30"/>
      <c r="I925" s="30"/>
    </row>
    <row r="926" spans="1:9" ht="15" customHeight="1" x14ac:dyDescent="0.25">
      <c r="A926" s="25" t="str">
        <f t="shared" si="14"/>
        <v/>
      </c>
      <c r="B926" s="26"/>
      <c r="C926" s="27"/>
      <c r="D926" s="28" t="str">
        <f>IFERROR(IF(C926="","",INDEX(마스터!$F$4:$F$20,MATCH(C926,마스터!$M$4:$M$20,0))),"")</f>
        <v/>
      </c>
      <c r="E926" s="27"/>
      <c r="F926" s="29"/>
      <c r="G926" s="25" t="str">
        <f>IFERROR(IF(C926="","",INDEX(마스터!$J$4:$J$20,MATCH(C926,마스터!$M$4:$M$20,0))),"")</f>
        <v/>
      </c>
      <c r="H926" s="30"/>
      <c r="I926" s="30"/>
    </row>
    <row r="927" spans="1:9" ht="15" customHeight="1" x14ac:dyDescent="0.25">
      <c r="A927" s="25" t="str">
        <f t="shared" si="14"/>
        <v/>
      </c>
      <c r="B927" s="26"/>
      <c r="C927" s="27"/>
      <c r="D927" s="28" t="str">
        <f>IFERROR(IF(C927="","",INDEX(마스터!$F$4:$F$20,MATCH(C927,마스터!$M$4:$M$20,0))),"")</f>
        <v/>
      </c>
      <c r="E927" s="27"/>
      <c r="F927" s="29"/>
      <c r="G927" s="25" t="str">
        <f>IFERROR(IF(C927="","",INDEX(마스터!$J$4:$J$20,MATCH(C927,마스터!$M$4:$M$20,0))),"")</f>
        <v/>
      </c>
      <c r="H927" s="30"/>
      <c r="I927" s="30"/>
    </row>
    <row r="928" spans="1:9" ht="15" customHeight="1" x14ac:dyDescent="0.25">
      <c r="A928" s="25" t="str">
        <f t="shared" si="14"/>
        <v/>
      </c>
      <c r="B928" s="26"/>
      <c r="C928" s="27"/>
      <c r="D928" s="28" t="str">
        <f>IFERROR(IF(C928="","",INDEX(마스터!$F$4:$F$20,MATCH(C928,마스터!$M$4:$M$20,0))),"")</f>
        <v/>
      </c>
      <c r="E928" s="27"/>
      <c r="F928" s="29"/>
      <c r="G928" s="25" t="str">
        <f>IFERROR(IF(C928="","",INDEX(마스터!$J$4:$J$20,MATCH(C928,마스터!$M$4:$M$20,0))),"")</f>
        <v/>
      </c>
      <c r="H928" s="30"/>
      <c r="I928" s="30"/>
    </row>
    <row r="929" spans="1:9" ht="15" customHeight="1" x14ac:dyDescent="0.25">
      <c r="A929" s="25" t="str">
        <f t="shared" si="14"/>
        <v/>
      </c>
      <c r="B929" s="26"/>
      <c r="C929" s="27"/>
      <c r="D929" s="28" t="str">
        <f>IFERROR(IF(C929="","",INDEX(마스터!$F$4:$F$20,MATCH(C929,마스터!$M$4:$M$20,0))),"")</f>
        <v/>
      </c>
      <c r="E929" s="27"/>
      <c r="F929" s="29"/>
      <c r="G929" s="25" t="str">
        <f>IFERROR(IF(C929="","",INDEX(마스터!$J$4:$J$20,MATCH(C929,마스터!$M$4:$M$20,0))),"")</f>
        <v/>
      </c>
      <c r="H929" s="30"/>
      <c r="I929" s="30"/>
    </row>
    <row r="930" spans="1:9" ht="15" customHeight="1" x14ac:dyDescent="0.25">
      <c r="A930" s="25" t="str">
        <f t="shared" si="14"/>
        <v/>
      </c>
      <c r="B930" s="26"/>
      <c r="C930" s="27"/>
      <c r="D930" s="28" t="str">
        <f>IFERROR(IF(C930="","",INDEX(마스터!$F$4:$F$20,MATCH(C930,마스터!$M$4:$M$20,0))),"")</f>
        <v/>
      </c>
      <c r="E930" s="27"/>
      <c r="F930" s="29"/>
      <c r="G930" s="25" t="str">
        <f>IFERROR(IF(C930="","",INDEX(마스터!$J$4:$J$20,MATCH(C930,마스터!$M$4:$M$20,0))),"")</f>
        <v/>
      </c>
      <c r="H930" s="30"/>
      <c r="I930" s="30"/>
    </row>
    <row r="931" spans="1:9" ht="15" customHeight="1" x14ac:dyDescent="0.25">
      <c r="A931" s="25" t="str">
        <f t="shared" si="14"/>
        <v/>
      </c>
      <c r="B931" s="26"/>
      <c r="C931" s="27"/>
      <c r="D931" s="28" t="str">
        <f>IFERROR(IF(C931="","",INDEX(마스터!$F$4:$F$20,MATCH(C931,마스터!$M$4:$M$20,0))),"")</f>
        <v/>
      </c>
      <c r="E931" s="27"/>
      <c r="F931" s="29"/>
      <c r="G931" s="25" t="str">
        <f>IFERROR(IF(C931="","",INDEX(마스터!$J$4:$J$20,MATCH(C931,마스터!$M$4:$M$20,0))),"")</f>
        <v/>
      </c>
      <c r="H931" s="30"/>
      <c r="I931" s="30"/>
    </row>
    <row r="932" spans="1:9" ht="15" customHeight="1" x14ac:dyDescent="0.25">
      <c r="A932" s="25" t="str">
        <f t="shared" si="14"/>
        <v/>
      </c>
      <c r="B932" s="26"/>
      <c r="C932" s="27"/>
      <c r="D932" s="28" t="str">
        <f>IFERROR(IF(C932="","",INDEX(마스터!$F$4:$F$20,MATCH(C932,마스터!$M$4:$M$20,0))),"")</f>
        <v/>
      </c>
      <c r="E932" s="27"/>
      <c r="F932" s="29"/>
      <c r="G932" s="25" t="str">
        <f>IFERROR(IF(C932="","",INDEX(마스터!$J$4:$J$20,MATCH(C932,마스터!$M$4:$M$20,0))),"")</f>
        <v/>
      </c>
      <c r="H932" s="30"/>
      <c r="I932" s="30"/>
    </row>
    <row r="933" spans="1:9" ht="15" customHeight="1" x14ac:dyDescent="0.25">
      <c r="A933" s="25" t="str">
        <f t="shared" si="14"/>
        <v/>
      </c>
      <c r="B933" s="26"/>
      <c r="C933" s="27"/>
      <c r="D933" s="28" t="str">
        <f>IFERROR(IF(C933="","",INDEX(마스터!$F$4:$F$20,MATCH(C933,마스터!$M$4:$M$20,0))),"")</f>
        <v/>
      </c>
      <c r="E933" s="27"/>
      <c r="F933" s="29"/>
      <c r="G933" s="25" t="str">
        <f>IFERROR(IF(C933="","",INDEX(마스터!$J$4:$J$20,MATCH(C933,마스터!$M$4:$M$20,0))),"")</f>
        <v/>
      </c>
      <c r="H933" s="30"/>
      <c r="I933" s="30"/>
    </row>
    <row r="934" spans="1:9" ht="15" customHeight="1" x14ac:dyDescent="0.25">
      <c r="A934" s="25" t="str">
        <f t="shared" si="14"/>
        <v/>
      </c>
      <c r="B934" s="26"/>
      <c r="C934" s="27"/>
      <c r="D934" s="28" t="str">
        <f>IFERROR(IF(C934="","",INDEX(마스터!$F$4:$F$20,MATCH(C934,마스터!$M$4:$M$20,0))),"")</f>
        <v/>
      </c>
      <c r="E934" s="27"/>
      <c r="F934" s="29"/>
      <c r="G934" s="25" t="str">
        <f>IFERROR(IF(C934="","",INDEX(마스터!$J$4:$J$20,MATCH(C934,마스터!$M$4:$M$20,0))),"")</f>
        <v/>
      </c>
      <c r="H934" s="30"/>
      <c r="I934" s="30"/>
    </row>
    <row r="935" spans="1:9" ht="15" customHeight="1" x14ac:dyDescent="0.25">
      <c r="A935" s="25" t="str">
        <f t="shared" si="14"/>
        <v/>
      </c>
      <c r="B935" s="26"/>
      <c r="C935" s="27"/>
      <c r="D935" s="28" t="str">
        <f>IFERROR(IF(C935="","",INDEX(마스터!$F$4:$F$20,MATCH(C935,마스터!$M$4:$M$20,0))),"")</f>
        <v/>
      </c>
      <c r="E935" s="27"/>
      <c r="F935" s="29"/>
      <c r="G935" s="25" t="str">
        <f>IFERROR(IF(C935="","",INDEX(마스터!$J$4:$J$20,MATCH(C935,마스터!$M$4:$M$20,0))),"")</f>
        <v/>
      </c>
      <c r="H935" s="30"/>
      <c r="I935" s="30"/>
    </row>
    <row r="936" spans="1:9" ht="15" customHeight="1" x14ac:dyDescent="0.25">
      <c r="A936" s="25" t="str">
        <f t="shared" si="14"/>
        <v/>
      </c>
      <c r="B936" s="26"/>
      <c r="C936" s="27"/>
      <c r="D936" s="28" t="str">
        <f>IFERROR(IF(C936="","",INDEX(마스터!$F$4:$F$20,MATCH(C936,마스터!$M$4:$M$20,0))),"")</f>
        <v/>
      </c>
      <c r="E936" s="27"/>
      <c r="F936" s="29"/>
      <c r="G936" s="25" t="str">
        <f>IFERROR(IF(C936="","",INDEX(마스터!$J$4:$J$20,MATCH(C936,마스터!$M$4:$M$20,0))),"")</f>
        <v/>
      </c>
      <c r="H936" s="30"/>
      <c r="I936" s="30"/>
    </row>
    <row r="937" spans="1:9" ht="15" customHeight="1" x14ac:dyDescent="0.25">
      <c r="A937" s="25" t="str">
        <f t="shared" si="14"/>
        <v/>
      </c>
      <c r="B937" s="26"/>
      <c r="C937" s="27"/>
      <c r="D937" s="28" t="str">
        <f>IFERROR(IF(C937="","",INDEX(마스터!$F$4:$F$20,MATCH(C937,마스터!$M$4:$M$20,0))),"")</f>
        <v/>
      </c>
      <c r="E937" s="27"/>
      <c r="F937" s="29"/>
      <c r="G937" s="25" t="str">
        <f>IFERROR(IF(C937="","",INDEX(마스터!$J$4:$J$20,MATCH(C937,마스터!$M$4:$M$20,0))),"")</f>
        <v/>
      </c>
      <c r="H937" s="30"/>
      <c r="I937" s="30"/>
    </row>
    <row r="938" spans="1:9" ht="15" customHeight="1" x14ac:dyDescent="0.25">
      <c r="A938" s="25" t="str">
        <f t="shared" si="14"/>
        <v/>
      </c>
      <c r="B938" s="26"/>
      <c r="C938" s="27"/>
      <c r="D938" s="28" t="str">
        <f>IFERROR(IF(C938="","",INDEX(마스터!$F$4:$F$20,MATCH(C938,마스터!$M$4:$M$20,0))),"")</f>
        <v/>
      </c>
      <c r="E938" s="27"/>
      <c r="F938" s="29"/>
      <c r="G938" s="25" t="str">
        <f>IFERROR(IF(C938="","",INDEX(마스터!$J$4:$J$20,MATCH(C938,마스터!$M$4:$M$20,0))),"")</f>
        <v/>
      </c>
      <c r="H938" s="30"/>
      <c r="I938" s="30"/>
    </row>
    <row r="939" spans="1:9" ht="15" customHeight="1" x14ac:dyDescent="0.25">
      <c r="A939" s="25" t="str">
        <f t="shared" si="14"/>
        <v/>
      </c>
      <c r="B939" s="26"/>
      <c r="C939" s="27"/>
      <c r="D939" s="28" t="str">
        <f>IFERROR(IF(C939="","",INDEX(마스터!$F$4:$F$20,MATCH(C939,마스터!$M$4:$M$20,0))),"")</f>
        <v/>
      </c>
      <c r="E939" s="27"/>
      <c r="F939" s="29"/>
      <c r="G939" s="25" t="str">
        <f>IFERROR(IF(C939="","",INDEX(마스터!$J$4:$J$20,MATCH(C939,마스터!$M$4:$M$20,0))),"")</f>
        <v/>
      </c>
      <c r="H939" s="30"/>
      <c r="I939" s="30"/>
    </row>
    <row r="940" spans="1:9" ht="15" customHeight="1" x14ac:dyDescent="0.25">
      <c r="A940" s="25" t="str">
        <f t="shared" si="14"/>
        <v/>
      </c>
      <c r="B940" s="26"/>
      <c r="C940" s="27"/>
      <c r="D940" s="28" t="str">
        <f>IFERROR(IF(C940="","",INDEX(마스터!$F$4:$F$20,MATCH(C940,마스터!$M$4:$M$20,0))),"")</f>
        <v/>
      </c>
      <c r="E940" s="27"/>
      <c r="F940" s="29"/>
      <c r="G940" s="25" t="str">
        <f>IFERROR(IF(C940="","",INDEX(마스터!$J$4:$J$20,MATCH(C940,마스터!$M$4:$M$20,0))),"")</f>
        <v/>
      </c>
      <c r="H940" s="30"/>
      <c r="I940" s="30"/>
    </row>
    <row r="941" spans="1:9" ht="15" customHeight="1" x14ac:dyDescent="0.25">
      <c r="A941" s="25" t="str">
        <f t="shared" si="14"/>
        <v/>
      </c>
      <c r="B941" s="26"/>
      <c r="C941" s="27"/>
      <c r="D941" s="28" t="str">
        <f>IFERROR(IF(C941="","",INDEX(마스터!$F$4:$F$20,MATCH(C941,마스터!$M$4:$M$20,0))),"")</f>
        <v/>
      </c>
      <c r="E941" s="27"/>
      <c r="F941" s="29"/>
      <c r="G941" s="25" t="str">
        <f>IFERROR(IF(C941="","",INDEX(마스터!$J$4:$J$20,MATCH(C941,마스터!$M$4:$M$20,0))),"")</f>
        <v/>
      </c>
      <c r="H941" s="30"/>
      <c r="I941" s="30"/>
    </row>
    <row r="942" spans="1:9" ht="15" customHeight="1" x14ac:dyDescent="0.25">
      <c r="A942" s="25" t="str">
        <f t="shared" si="14"/>
        <v/>
      </c>
      <c r="B942" s="26"/>
      <c r="C942" s="27"/>
      <c r="D942" s="28" t="str">
        <f>IFERROR(IF(C942="","",INDEX(마스터!$F$4:$F$20,MATCH(C942,마스터!$M$4:$M$20,0))),"")</f>
        <v/>
      </c>
      <c r="E942" s="27"/>
      <c r="F942" s="29"/>
      <c r="G942" s="25" t="str">
        <f>IFERROR(IF(C942="","",INDEX(마스터!$J$4:$J$20,MATCH(C942,마스터!$M$4:$M$20,0))),"")</f>
        <v/>
      </c>
      <c r="H942" s="30"/>
      <c r="I942" s="30"/>
    </row>
    <row r="943" spans="1:9" ht="15" customHeight="1" x14ac:dyDescent="0.25">
      <c r="A943" s="25" t="str">
        <f t="shared" si="14"/>
        <v/>
      </c>
      <c r="B943" s="26"/>
      <c r="C943" s="27"/>
      <c r="D943" s="28" t="str">
        <f>IFERROR(IF(C943="","",INDEX(마스터!$F$4:$F$20,MATCH(C943,마스터!$M$4:$M$20,0))),"")</f>
        <v/>
      </c>
      <c r="E943" s="27"/>
      <c r="F943" s="29"/>
      <c r="G943" s="25" t="str">
        <f>IFERROR(IF(C943="","",INDEX(마스터!$J$4:$J$20,MATCH(C943,마스터!$M$4:$M$20,0))),"")</f>
        <v/>
      </c>
      <c r="H943" s="30"/>
      <c r="I943" s="30"/>
    </row>
    <row r="944" spans="1:9" ht="15" customHeight="1" x14ac:dyDescent="0.25">
      <c r="A944" s="25" t="str">
        <f t="shared" si="14"/>
        <v/>
      </c>
      <c r="B944" s="26"/>
      <c r="C944" s="27"/>
      <c r="D944" s="28" t="str">
        <f>IFERROR(IF(C944="","",INDEX(마스터!$F$4:$F$20,MATCH(C944,마스터!$M$4:$M$20,0))),"")</f>
        <v/>
      </c>
      <c r="E944" s="27"/>
      <c r="F944" s="29"/>
      <c r="G944" s="25" t="str">
        <f>IFERROR(IF(C944="","",INDEX(마스터!$J$4:$J$20,MATCH(C944,마스터!$M$4:$M$20,0))),"")</f>
        <v/>
      </c>
      <c r="H944" s="30"/>
      <c r="I944" s="30"/>
    </row>
    <row r="945" spans="1:9" ht="15" customHeight="1" x14ac:dyDescent="0.25">
      <c r="A945" s="25" t="str">
        <f t="shared" si="14"/>
        <v/>
      </c>
      <c r="B945" s="26"/>
      <c r="C945" s="27"/>
      <c r="D945" s="28" t="str">
        <f>IFERROR(IF(C945="","",INDEX(마스터!$F$4:$F$20,MATCH(C945,마스터!$M$4:$M$20,0))),"")</f>
        <v/>
      </c>
      <c r="E945" s="27"/>
      <c r="F945" s="29"/>
      <c r="G945" s="25" t="str">
        <f>IFERROR(IF(C945="","",INDEX(마스터!$J$4:$J$20,MATCH(C945,마스터!$M$4:$M$20,0))),"")</f>
        <v/>
      </c>
      <c r="H945" s="30"/>
      <c r="I945" s="30"/>
    </row>
    <row r="946" spans="1:9" ht="15" customHeight="1" x14ac:dyDescent="0.25">
      <c r="A946" s="25" t="str">
        <f t="shared" si="14"/>
        <v/>
      </c>
      <c r="B946" s="26"/>
      <c r="C946" s="27"/>
      <c r="D946" s="28" t="str">
        <f>IFERROR(IF(C946="","",INDEX(마스터!$F$4:$F$20,MATCH(C946,마스터!$M$4:$M$20,0))),"")</f>
        <v/>
      </c>
      <c r="E946" s="27"/>
      <c r="F946" s="29"/>
      <c r="G946" s="25" t="str">
        <f>IFERROR(IF(C946="","",INDEX(마스터!$J$4:$J$20,MATCH(C946,마스터!$M$4:$M$20,0))),"")</f>
        <v/>
      </c>
      <c r="H946" s="30"/>
      <c r="I946" s="30"/>
    </row>
    <row r="947" spans="1:9" ht="15" customHeight="1" x14ac:dyDescent="0.25">
      <c r="A947" s="25" t="str">
        <f t="shared" si="14"/>
        <v/>
      </c>
      <c r="B947" s="26"/>
      <c r="C947" s="27"/>
      <c r="D947" s="28" t="str">
        <f>IFERROR(IF(C947="","",INDEX(마스터!$F$4:$F$20,MATCH(C947,마스터!$M$4:$M$20,0))),"")</f>
        <v/>
      </c>
      <c r="E947" s="27"/>
      <c r="F947" s="29"/>
      <c r="G947" s="25" t="str">
        <f>IFERROR(IF(C947="","",INDEX(마스터!$J$4:$J$20,MATCH(C947,마스터!$M$4:$M$20,0))),"")</f>
        <v/>
      </c>
      <c r="H947" s="30"/>
      <c r="I947" s="30"/>
    </row>
    <row r="948" spans="1:9" ht="15" customHeight="1" x14ac:dyDescent="0.25">
      <c r="A948" s="25" t="str">
        <f t="shared" si="14"/>
        <v/>
      </c>
      <c r="B948" s="26"/>
      <c r="C948" s="27"/>
      <c r="D948" s="28" t="str">
        <f>IFERROR(IF(C948="","",INDEX(마스터!$F$4:$F$20,MATCH(C948,마스터!$M$4:$M$20,0))),"")</f>
        <v/>
      </c>
      <c r="E948" s="27"/>
      <c r="F948" s="29"/>
      <c r="G948" s="25" t="str">
        <f>IFERROR(IF(C948="","",INDEX(마스터!$J$4:$J$20,MATCH(C948,마스터!$M$4:$M$20,0))),"")</f>
        <v/>
      </c>
      <c r="H948" s="30"/>
      <c r="I948" s="30"/>
    </row>
    <row r="949" spans="1:9" ht="15" customHeight="1" x14ac:dyDescent="0.25">
      <c r="A949" s="25" t="str">
        <f t="shared" si="14"/>
        <v/>
      </c>
      <c r="B949" s="26"/>
      <c r="C949" s="27"/>
      <c r="D949" s="28" t="str">
        <f>IFERROR(IF(C949="","",INDEX(마스터!$F$4:$F$20,MATCH(C949,마스터!$M$4:$M$20,0))),"")</f>
        <v/>
      </c>
      <c r="E949" s="27"/>
      <c r="F949" s="29"/>
      <c r="G949" s="25" t="str">
        <f>IFERROR(IF(C949="","",INDEX(마스터!$J$4:$J$20,MATCH(C949,마스터!$M$4:$M$20,0))),"")</f>
        <v/>
      </c>
      <c r="H949" s="30"/>
      <c r="I949" s="30"/>
    </row>
    <row r="950" spans="1:9" ht="15" customHeight="1" x14ac:dyDescent="0.25">
      <c r="A950" s="25" t="str">
        <f t="shared" si="14"/>
        <v/>
      </c>
      <c r="B950" s="26"/>
      <c r="C950" s="27"/>
      <c r="D950" s="28" t="str">
        <f>IFERROR(IF(C950="","",INDEX(마스터!$F$4:$F$20,MATCH(C950,마스터!$M$4:$M$20,0))),"")</f>
        <v/>
      </c>
      <c r="E950" s="27"/>
      <c r="F950" s="29"/>
      <c r="G950" s="25" t="str">
        <f>IFERROR(IF(C950="","",INDEX(마스터!$J$4:$J$20,MATCH(C950,마스터!$M$4:$M$20,0))),"")</f>
        <v/>
      </c>
      <c r="H950" s="30"/>
      <c r="I950" s="30"/>
    </row>
    <row r="951" spans="1:9" ht="15" customHeight="1" x14ac:dyDescent="0.25">
      <c r="A951" s="25" t="str">
        <f t="shared" si="14"/>
        <v/>
      </c>
      <c r="B951" s="26"/>
      <c r="C951" s="27"/>
      <c r="D951" s="28" t="str">
        <f>IFERROR(IF(C951="","",INDEX(마스터!$F$4:$F$20,MATCH(C951,마스터!$M$4:$M$20,0))),"")</f>
        <v/>
      </c>
      <c r="E951" s="27"/>
      <c r="F951" s="29"/>
      <c r="G951" s="25" t="str">
        <f>IFERROR(IF(C951="","",INDEX(마스터!$J$4:$J$20,MATCH(C951,마스터!$M$4:$M$20,0))),"")</f>
        <v/>
      </c>
      <c r="H951" s="30"/>
      <c r="I951" s="30"/>
    </row>
    <row r="952" spans="1:9" ht="15" customHeight="1" x14ac:dyDescent="0.25">
      <c r="A952" s="25" t="str">
        <f t="shared" si="14"/>
        <v/>
      </c>
      <c r="B952" s="26"/>
      <c r="C952" s="27"/>
      <c r="D952" s="28" t="str">
        <f>IFERROR(IF(C952="","",INDEX(마스터!$F$4:$F$20,MATCH(C952,마스터!$M$4:$M$20,0))),"")</f>
        <v/>
      </c>
      <c r="E952" s="27"/>
      <c r="F952" s="29"/>
      <c r="G952" s="25" t="str">
        <f>IFERROR(IF(C952="","",INDEX(마스터!$J$4:$J$20,MATCH(C952,마스터!$M$4:$M$20,0))),"")</f>
        <v/>
      </c>
      <c r="H952" s="30"/>
      <c r="I952" s="30"/>
    </row>
    <row r="953" spans="1:9" ht="15" customHeight="1" x14ac:dyDescent="0.25">
      <c r="A953" s="25" t="str">
        <f t="shared" si="14"/>
        <v/>
      </c>
      <c r="B953" s="26"/>
      <c r="C953" s="27"/>
      <c r="D953" s="28" t="str">
        <f>IFERROR(IF(C953="","",INDEX(마스터!$F$4:$F$20,MATCH(C953,마스터!$M$4:$M$20,0))),"")</f>
        <v/>
      </c>
      <c r="E953" s="27"/>
      <c r="F953" s="29"/>
      <c r="G953" s="25" t="str">
        <f>IFERROR(IF(C953="","",INDEX(마스터!$J$4:$J$20,MATCH(C953,마스터!$M$4:$M$20,0))),"")</f>
        <v/>
      </c>
      <c r="H953" s="30"/>
      <c r="I953" s="30"/>
    </row>
    <row r="954" spans="1:9" ht="15" customHeight="1" x14ac:dyDescent="0.25">
      <c r="A954" s="25" t="str">
        <f t="shared" si="14"/>
        <v/>
      </c>
      <c r="B954" s="26"/>
      <c r="C954" s="27"/>
      <c r="D954" s="28" t="str">
        <f>IFERROR(IF(C954="","",INDEX(마스터!$F$4:$F$20,MATCH(C954,마스터!$M$4:$M$20,0))),"")</f>
        <v/>
      </c>
      <c r="E954" s="27"/>
      <c r="F954" s="29"/>
      <c r="G954" s="25" t="str">
        <f>IFERROR(IF(C954="","",INDEX(마스터!$J$4:$J$20,MATCH(C954,마스터!$M$4:$M$20,0))),"")</f>
        <v/>
      </c>
      <c r="H954" s="30"/>
      <c r="I954" s="30"/>
    </row>
    <row r="955" spans="1:9" ht="15" customHeight="1" x14ac:dyDescent="0.25">
      <c r="A955" s="25" t="str">
        <f t="shared" si="14"/>
        <v/>
      </c>
      <c r="B955" s="26"/>
      <c r="C955" s="27"/>
      <c r="D955" s="28" t="str">
        <f>IFERROR(IF(C955="","",INDEX(마스터!$F$4:$F$20,MATCH(C955,마스터!$M$4:$M$20,0))),"")</f>
        <v/>
      </c>
      <c r="E955" s="27"/>
      <c r="F955" s="29"/>
      <c r="G955" s="25" t="str">
        <f>IFERROR(IF(C955="","",INDEX(마스터!$J$4:$J$20,MATCH(C955,마스터!$M$4:$M$20,0))),"")</f>
        <v/>
      </c>
      <c r="H955" s="30"/>
      <c r="I955" s="30"/>
    </row>
    <row r="956" spans="1:9" ht="15" customHeight="1" x14ac:dyDescent="0.25">
      <c r="A956" s="25" t="str">
        <f t="shared" si="14"/>
        <v/>
      </c>
      <c r="B956" s="26"/>
      <c r="C956" s="27"/>
      <c r="D956" s="28" t="str">
        <f>IFERROR(IF(C956="","",INDEX(마스터!$F$4:$F$20,MATCH(C956,마스터!$M$4:$M$20,0))),"")</f>
        <v/>
      </c>
      <c r="E956" s="27"/>
      <c r="F956" s="29"/>
      <c r="G956" s="25" t="str">
        <f>IFERROR(IF(C956="","",INDEX(마스터!$J$4:$J$20,MATCH(C956,마스터!$M$4:$M$20,0))),"")</f>
        <v/>
      </c>
      <c r="H956" s="30"/>
      <c r="I956" s="30"/>
    </row>
    <row r="957" spans="1:9" ht="15" customHeight="1" x14ac:dyDescent="0.25">
      <c r="A957" s="25" t="str">
        <f t="shared" si="14"/>
        <v/>
      </c>
      <c r="B957" s="26"/>
      <c r="C957" s="27"/>
      <c r="D957" s="28" t="str">
        <f>IFERROR(IF(C957="","",INDEX(마스터!$F$4:$F$20,MATCH(C957,마스터!$M$4:$M$20,0))),"")</f>
        <v/>
      </c>
      <c r="E957" s="27"/>
      <c r="F957" s="29"/>
      <c r="G957" s="25" t="str">
        <f>IFERROR(IF(C957="","",INDEX(마스터!$J$4:$J$20,MATCH(C957,마스터!$M$4:$M$20,0))),"")</f>
        <v/>
      </c>
      <c r="H957" s="30"/>
      <c r="I957" s="30"/>
    </row>
    <row r="958" spans="1:9" ht="15" customHeight="1" x14ac:dyDescent="0.25">
      <c r="A958" s="25" t="str">
        <f t="shared" si="14"/>
        <v/>
      </c>
      <c r="B958" s="26"/>
      <c r="C958" s="27"/>
      <c r="D958" s="28" t="str">
        <f>IFERROR(IF(C958="","",INDEX(마스터!$F$4:$F$20,MATCH(C958,마스터!$M$4:$M$20,0))),"")</f>
        <v/>
      </c>
      <c r="E958" s="27"/>
      <c r="F958" s="29"/>
      <c r="G958" s="25" t="str">
        <f>IFERROR(IF(C958="","",INDEX(마스터!$J$4:$J$20,MATCH(C958,마스터!$M$4:$M$20,0))),"")</f>
        <v/>
      </c>
      <c r="H958" s="30"/>
      <c r="I958" s="30"/>
    </row>
    <row r="959" spans="1:9" ht="15" customHeight="1" x14ac:dyDescent="0.25">
      <c r="A959" s="25" t="str">
        <f t="shared" si="14"/>
        <v/>
      </c>
      <c r="B959" s="26"/>
      <c r="C959" s="27"/>
      <c r="D959" s="28" t="str">
        <f>IFERROR(IF(C959="","",INDEX(마스터!$F$4:$F$20,MATCH(C959,마스터!$M$4:$M$20,0))),"")</f>
        <v/>
      </c>
      <c r="E959" s="27"/>
      <c r="F959" s="29"/>
      <c r="G959" s="25" t="str">
        <f>IFERROR(IF(C959="","",INDEX(마스터!$J$4:$J$20,MATCH(C959,마스터!$M$4:$M$20,0))),"")</f>
        <v/>
      </c>
      <c r="H959" s="30"/>
      <c r="I959" s="30"/>
    </row>
    <row r="960" spans="1:9" ht="15" customHeight="1" x14ac:dyDescent="0.25">
      <c r="A960" s="25" t="str">
        <f t="shared" si="14"/>
        <v/>
      </c>
      <c r="B960" s="26"/>
      <c r="C960" s="27"/>
      <c r="D960" s="28" t="str">
        <f>IFERROR(IF(C960="","",INDEX(마스터!$F$4:$F$20,MATCH(C960,마스터!$M$4:$M$20,0))),"")</f>
        <v/>
      </c>
      <c r="E960" s="27"/>
      <c r="F960" s="29"/>
      <c r="G960" s="25" t="str">
        <f>IFERROR(IF(C960="","",INDEX(마스터!$J$4:$J$20,MATCH(C960,마스터!$M$4:$M$20,0))),"")</f>
        <v/>
      </c>
      <c r="H960" s="30"/>
      <c r="I960" s="30"/>
    </row>
    <row r="961" spans="1:9" ht="15" customHeight="1" x14ac:dyDescent="0.25">
      <c r="A961" s="25" t="str">
        <f t="shared" si="14"/>
        <v/>
      </c>
      <c r="B961" s="26"/>
      <c r="C961" s="27"/>
      <c r="D961" s="28" t="str">
        <f>IFERROR(IF(C961="","",INDEX(마스터!$F$4:$F$20,MATCH(C961,마스터!$M$4:$M$20,0))),"")</f>
        <v/>
      </c>
      <c r="E961" s="27"/>
      <c r="F961" s="29"/>
      <c r="G961" s="25" t="str">
        <f>IFERROR(IF(C961="","",INDEX(마스터!$J$4:$J$20,MATCH(C961,마스터!$M$4:$M$20,0))),"")</f>
        <v/>
      </c>
      <c r="H961" s="30"/>
      <c r="I961" s="30"/>
    </row>
    <row r="962" spans="1:9" ht="15" customHeight="1" x14ac:dyDescent="0.25">
      <c r="A962" s="25" t="str">
        <f t="shared" si="14"/>
        <v/>
      </c>
      <c r="B962" s="26"/>
      <c r="C962" s="27"/>
      <c r="D962" s="28" t="str">
        <f>IFERROR(IF(C962="","",INDEX(마스터!$F$4:$F$20,MATCH(C962,마스터!$M$4:$M$20,0))),"")</f>
        <v/>
      </c>
      <c r="E962" s="27"/>
      <c r="F962" s="29"/>
      <c r="G962" s="25" t="str">
        <f>IFERROR(IF(C962="","",INDEX(마스터!$J$4:$J$20,MATCH(C962,마스터!$M$4:$M$20,0))),"")</f>
        <v/>
      </c>
      <c r="H962" s="30"/>
      <c r="I962" s="30"/>
    </row>
    <row r="963" spans="1:9" ht="15" customHeight="1" x14ac:dyDescent="0.25">
      <c r="A963" s="25" t="str">
        <f t="shared" si="14"/>
        <v/>
      </c>
      <c r="B963" s="26"/>
      <c r="C963" s="27"/>
      <c r="D963" s="28" t="str">
        <f>IFERROR(IF(C963="","",INDEX(마스터!$F$4:$F$20,MATCH(C963,마스터!$M$4:$M$20,0))),"")</f>
        <v/>
      </c>
      <c r="E963" s="27"/>
      <c r="F963" s="29"/>
      <c r="G963" s="25" t="str">
        <f>IFERROR(IF(C963="","",INDEX(마스터!$J$4:$J$20,MATCH(C963,마스터!$M$4:$M$20,0))),"")</f>
        <v/>
      </c>
      <c r="H963" s="30"/>
      <c r="I963" s="30"/>
    </row>
    <row r="964" spans="1:9" ht="15" customHeight="1" x14ac:dyDescent="0.25">
      <c r="A964" s="25" t="str">
        <f t="shared" si="14"/>
        <v/>
      </c>
      <c r="B964" s="26"/>
      <c r="C964" s="27"/>
      <c r="D964" s="28" t="str">
        <f>IFERROR(IF(C964="","",INDEX(마스터!$F$4:$F$20,MATCH(C964,마스터!$M$4:$M$20,0))),"")</f>
        <v/>
      </c>
      <c r="E964" s="27"/>
      <c r="F964" s="29"/>
      <c r="G964" s="25" t="str">
        <f>IFERROR(IF(C964="","",INDEX(마스터!$J$4:$J$20,MATCH(C964,마스터!$M$4:$M$20,0))),"")</f>
        <v/>
      </c>
      <c r="H964" s="30"/>
      <c r="I964" s="30"/>
    </row>
    <row r="965" spans="1:9" ht="15" customHeight="1" x14ac:dyDescent="0.25">
      <c r="A965" s="25" t="str">
        <f t="shared" si="14"/>
        <v/>
      </c>
      <c r="B965" s="26"/>
      <c r="C965" s="27"/>
      <c r="D965" s="28" t="str">
        <f>IFERROR(IF(C965="","",INDEX(마스터!$F$4:$F$20,MATCH(C965,마스터!$M$4:$M$20,0))),"")</f>
        <v/>
      </c>
      <c r="E965" s="27"/>
      <c r="F965" s="29"/>
      <c r="G965" s="25" t="str">
        <f>IFERROR(IF(C965="","",INDEX(마스터!$J$4:$J$20,MATCH(C965,마스터!$M$4:$M$20,0))),"")</f>
        <v/>
      </c>
      <c r="H965" s="30"/>
      <c r="I965" s="30"/>
    </row>
    <row r="966" spans="1:9" ht="15" customHeight="1" x14ac:dyDescent="0.25">
      <c r="A966" s="25" t="str">
        <f t="shared" si="14"/>
        <v/>
      </c>
      <c r="B966" s="26"/>
      <c r="C966" s="27"/>
      <c r="D966" s="28" t="str">
        <f>IFERROR(IF(C966="","",INDEX(마스터!$F$4:$F$20,MATCH(C966,마스터!$M$4:$M$20,0))),"")</f>
        <v/>
      </c>
      <c r="E966" s="27"/>
      <c r="F966" s="29"/>
      <c r="G966" s="25" t="str">
        <f>IFERROR(IF(C966="","",INDEX(마스터!$J$4:$J$20,MATCH(C966,마스터!$M$4:$M$20,0))),"")</f>
        <v/>
      </c>
      <c r="H966" s="30"/>
      <c r="I966" s="30"/>
    </row>
    <row r="967" spans="1:9" ht="15" customHeight="1" x14ac:dyDescent="0.25">
      <c r="A967" s="25" t="str">
        <f t="shared" si="14"/>
        <v/>
      </c>
      <c r="B967" s="26"/>
      <c r="C967" s="27"/>
      <c r="D967" s="28" t="str">
        <f>IFERROR(IF(C967="","",INDEX(마스터!$F$4:$F$20,MATCH(C967,마스터!$M$4:$M$20,0))),"")</f>
        <v/>
      </c>
      <c r="E967" s="27"/>
      <c r="F967" s="29"/>
      <c r="G967" s="25" t="str">
        <f>IFERROR(IF(C967="","",INDEX(마스터!$J$4:$J$20,MATCH(C967,마스터!$M$4:$M$20,0))),"")</f>
        <v/>
      </c>
      <c r="H967" s="30"/>
      <c r="I967" s="30"/>
    </row>
    <row r="968" spans="1:9" ht="15" customHeight="1" x14ac:dyDescent="0.25">
      <c r="A968" s="25" t="str">
        <f t="shared" ref="A968:A1013" si="15">IF(B968="","",ROW()-7)</f>
        <v/>
      </c>
      <c r="B968" s="26"/>
      <c r="C968" s="27"/>
      <c r="D968" s="28" t="str">
        <f>IFERROR(IF(C968="","",INDEX(마스터!$F$4:$F$20,MATCH(C968,마스터!$M$4:$M$20,0))),"")</f>
        <v/>
      </c>
      <c r="E968" s="27"/>
      <c r="F968" s="29"/>
      <c r="G968" s="25" t="str">
        <f>IFERROR(IF(C968="","",INDEX(마스터!$J$4:$J$20,MATCH(C968,마스터!$M$4:$M$20,0))),"")</f>
        <v/>
      </c>
      <c r="H968" s="30"/>
      <c r="I968" s="30"/>
    </row>
    <row r="969" spans="1:9" ht="15" customHeight="1" x14ac:dyDescent="0.25">
      <c r="A969" s="25" t="str">
        <f t="shared" si="15"/>
        <v/>
      </c>
      <c r="B969" s="26"/>
      <c r="C969" s="27"/>
      <c r="D969" s="28" t="str">
        <f>IFERROR(IF(C969="","",INDEX(마스터!$F$4:$F$20,MATCH(C969,마스터!$M$4:$M$20,0))),"")</f>
        <v/>
      </c>
      <c r="E969" s="27"/>
      <c r="F969" s="29"/>
      <c r="G969" s="25" t="str">
        <f>IFERROR(IF(C969="","",INDEX(마스터!$J$4:$J$20,MATCH(C969,마스터!$M$4:$M$20,0))),"")</f>
        <v/>
      </c>
      <c r="H969" s="30"/>
      <c r="I969" s="30"/>
    </row>
    <row r="970" spans="1:9" ht="15" customHeight="1" x14ac:dyDescent="0.25">
      <c r="A970" s="25" t="str">
        <f t="shared" si="15"/>
        <v/>
      </c>
      <c r="B970" s="26"/>
      <c r="C970" s="27"/>
      <c r="D970" s="28" t="str">
        <f>IFERROR(IF(C970="","",INDEX(마스터!$F$4:$F$20,MATCH(C970,마스터!$M$4:$M$20,0))),"")</f>
        <v/>
      </c>
      <c r="E970" s="27"/>
      <c r="F970" s="29"/>
      <c r="G970" s="25" t="str">
        <f>IFERROR(IF(C970="","",INDEX(마스터!$J$4:$J$20,MATCH(C970,마스터!$M$4:$M$20,0))),"")</f>
        <v/>
      </c>
      <c r="H970" s="30"/>
      <c r="I970" s="30"/>
    </row>
    <row r="971" spans="1:9" ht="15" customHeight="1" x14ac:dyDescent="0.25">
      <c r="A971" s="25" t="str">
        <f t="shared" si="15"/>
        <v/>
      </c>
      <c r="B971" s="26"/>
      <c r="C971" s="27"/>
      <c r="D971" s="28" t="str">
        <f>IFERROR(IF(C971="","",INDEX(마스터!$F$4:$F$20,MATCH(C971,마스터!$M$4:$M$20,0))),"")</f>
        <v/>
      </c>
      <c r="E971" s="27"/>
      <c r="F971" s="29"/>
      <c r="G971" s="25" t="str">
        <f>IFERROR(IF(C971="","",INDEX(마스터!$J$4:$J$20,MATCH(C971,마스터!$M$4:$M$20,0))),"")</f>
        <v/>
      </c>
      <c r="H971" s="30"/>
      <c r="I971" s="30"/>
    </row>
    <row r="972" spans="1:9" ht="15" customHeight="1" x14ac:dyDescent="0.25">
      <c r="A972" s="25" t="str">
        <f t="shared" si="15"/>
        <v/>
      </c>
      <c r="B972" s="26"/>
      <c r="C972" s="27"/>
      <c r="D972" s="28" t="str">
        <f>IFERROR(IF(C972="","",INDEX(마스터!$F$4:$F$20,MATCH(C972,마스터!$M$4:$M$20,0))),"")</f>
        <v/>
      </c>
      <c r="E972" s="27"/>
      <c r="F972" s="29"/>
      <c r="G972" s="25" t="str">
        <f>IFERROR(IF(C972="","",INDEX(마스터!$J$4:$J$20,MATCH(C972,마스터!$M$4:$M$20,0))),"")</f>
        <v/>
      </c>
      <c r="H972" s="30"/>
      <c r="I972" s="30"/>
    </row>
    <row r="973" spans="1:9" ht="15" customHeight="1" x14ac:dyDescent="0.25">
      <c r="A973" s="25" t="str">
        <f t="shared" si="15"/>
        <v/>
      </c>
      <c r="B973" s="26"/>
      <c r="C973" s="27"/>
      <c r="D973" s="28" t="str">
        <f>IFERROR(IF(C973="","",INDEX(마스터!$F$4:$F$20,MATCH(C973,마스터!$M$4:$M$20,0))),"")</f>
        <v/>
      </c>
      <c r="E973" s="27"/>
      <c r="F973" s="29"/>
      <c r="G973" s="25" t="str">
        <f>IFERROR(IF(C973="","",INDEX(마스터!$J$4:$J$20,MATCH(C973,마스터!$M$4:$M$20,0))),"")</f>
        <v/>
      </c>
      <c r="H973" s="30"/>
      <c r="I973" s="30"/>
    </row>
    <row r="974" spans="1:9" ht="15" customHeight="1" x14ac:dyDescent="0.25">
      <c r="A974" s="25" t="str">
        <f t="shared" si="15"/>
        <v/>
      </c>
      <c r="B974" s="26"/>
      <c r="C974" s="27"/>
      <c r="D974" s="28" t="str">
        <f>IFERROR(IF(C974="","",INDEX(마스터!$F$4:$F$20,MATCH(C974,마스터!$M$4:$M$20,0))),"")</f>
        <v/>
      </c>
      <c r="E974" s="27"/>
      <c r="F974" s="29"/>
      <c r="G974" s="25" t="str">
        <f>IFERROR(IF(C974="","",INDEX(마스터!$J$4:$J$20,MATCH(C974,마스터!$M$4:$M$20,0))),"")</f>
        <v/>
      </c>
      <c r="H974" s="30"/>
      <c r="I974" s="30"/>
    </row>
    <row r="975" spans="1:9" ht="15" customHeight="1" x14ac:dyDescent="0.25">
      <c r="A975" s="25" t="str">
        <f t="shared" si="15"/>
        <v/>
      </c>
      <c r="B975" s="26"/>
      <c r="C975" s="27"/>
      <c r="D975" s="28" t="str">
        <f>IFERROR(IF(C975="","",INDEX(마스터!$F$4:$F$20,MATCH(C975,마스터!$M$4:$M$20,0))),"")</f>
        <v/>
      </c>
      <c r="E975" s="27"/>
      <c r="F975" s="29"/>
      <c r="G975" s="25" t="str">
        <f>IFERROR(IF(C975="","",INDEX(마스터!$J$4:$J$20,MATCH(C975,마스터!$M$4:$M$20,0))),"")</f>
        <v/>
      </c>
      <c r="H975" s="30"/>
      <c r="I975" s="30"/>
    </row>
    <row r="976" spans="1:9" ht="15" customHeight="1" x14ac:dyDescent="0.25">
      <c r="A976" s="25" t="str">
        <f t="shared" si="15"/>
        <v/>
      </c>
      <c r="B976" s="26"/>
      <c r="C976" s="27"/>
      <c r="D976" s="28" t="str">
        <f>IFERROR(IF(C976="","",INDEX(마스터!$F$4:$F$20,MATCH(C976,마스터!$M$4:$M$20,0))),"")</f>
        <v/>
      </c>
      <c r="E976" s="27"/>
      <c r="F976" s="29"/>
      <c r="G976" s="25" t="str">
        <f>IFERROR(IF(C976="","",INDEX(마스터!$J$4:$J$20,MATCH(C976,마스터!$M$4:$M$20,0))),"")</f>
        <v/>
      </c>
      <c r="H976" s="30"/>
      <c r="I976" s="30"/>
    </row>
    <row r="977" spans="1:9" ht="15" customHeight="1" x14ac:dyDescent="0.25">
      <c r="A977" s="25" t="str">
        <f t="shared" si="15"/>
        <v/>
      </c>
      <c r="B977" s="26"/>
      <c r="C977" s="27"/>
      <c r="D977" s="28" t="str">
        <f>IFERROR(IF(C977="","",INDEX(마스터!$F$4:$F$20,MATCH(C977,마스터!$M$4:$M$20,0))),"")</f>
        <v/>
      </c>
      <c r="E977" s="27"/>
      <c r="F977" s="29"/>
      <c r="G977" s="25" t="str">
        <f>IFERROR(IF(C977="","",INDEX(마스터!$J$4:$J$20,MATCH(C977,마스터!$M$4:$M$20,0))),"")</f>
        <v/>
      </c>
      <c r="H977" s="30"/>
      <c r="I977" s="30"/>
    </row>
    <row r="978" spans="1:9" ht="15" customHeight="1" x14ac:dyDescent="0.25">
      <c r="A978" s="25" t="str">
        <f t="shared" si="15"/>
        <v/>
      </c>
      <c r="B978" s="26"/>
      <c r="C978" s="27"/>
      <c r="D978" s="28" t="str">
        <f>IFERROR(IF(C978="","",INDEX(마스터!$F$4:$F$20,MATCH(C978,마스터!$M$4:$M$20,0))),"")</f>
        <v/>
      </c>
      <c r="E978" s="27"/>
      <c r="F978" s="29"/>
      <c r="G978" s="25" t="str">
        <f>IFERROR(IF(C978="","",INDEX(마스터!$J$4:$J$20,MATCH(C978,마스터!$M$4:$M$20,0))),"")</f>
        <v/>
      </c>
      <c r="H978" s="30"/>
      <c r="I978" s="30"/>
    </row>
    <row r="979" spans="1:9" ht="15" customHeight="1" x14ac:dyDescent="0.25">
      <c r="A979" s="25" t="str">
        <f t="shared" si="15"/>
        <v/>
      </c>
      <c r="B979" s="26"/>
      <c r="C979" s="27"/>
      <c r="D979" s="28" t="str">
        <f>IFERROR(IF(C979="","",INDEX(마스터!$F$4:$F$20,MATCH(C979,마스터!$M$4:$M$20,0))),"")</f>
        <v/>
      </c>
      <c r="E979" s="27"/>
      <c r="F979" s="29"/>
      <c r="G979" s="25" t="str">
        <f>IFERROR(IF(C979="","",INDEX(마스터!$J$4:$J$20,MATCH(C979,마스터!$M$4:$M$20,0))),"")</f>
        <v/>
      </c>
      <c r="H979" s="30"/>
      <c r="I979" s="30"/>
    </row>
    <row r="980" spans="1:9" ht="15" customHeight="1" x14ac:dyDescent="0.25">
      <c r="A980" s="25" t="str">
        <f t="shared" si="15"/>
        <v/>
      </c>
      <c r="B980" s="26"/>
      <c r="C980" s="27"/>
      <c r="D980" s="28" t="str">
        <f>IFERROR(IF(C980="","",INDEX(마스터!$F$4:$F$20,MATCH(C980,마스터!$M$4:$M$20,0))),"")</f>
        <v/>
      </c>
      <c r="E980" s="27"/>
      <c r="F980" s="29"/>
      <c r="G980" s="25" t="str">
        <f>IFERROR(IF(C980="","",INDEX(마스터!$J$4:$J$20,MATCH(C980,마스터!$M$4:$M$20,0))),"")</f>
        <v/>
      </c>
      <c r="H980" s="30"/>
      <c r="I980" s="30"/>
    </row>
    <row r="981" spans="1:9" ht="15" customHeight="1" x14ac:dyDescent="0.25">
      <c r="A981" s="25" t="str">
        <f t="shared" si="15"/>
        <v/>
      </c>
      <c r="B981" s="26"/>
      <c r="C981" s="27"/>
      <c r="D981" s="28" t="str">
        <f>IFERROR(IF(C981="","",INDEX(마스터!$F$4:$F$20,MATCH(C981,마스터!$M$4:$M$20,0))),"")</f>
        <v/>
      </c>
      <c r="E981" s="27"/>
      <c r="F981" s="29"/>
      <c r="G981" s="25" t="str">
        <f>IFERROR(IF(C981="","",INDEX(마스터!$J$4:$J$20,MATCH(C981,마스터!$M$4:$M$20,0))),"")</f>
        <v/>
      </c>
      <c r="H981" s="30"/>
      <c r="I981" s="30"/>
    </row>
    <row r="982" spans="1:9" ht="15" customHeight="1" x14ac:dyDescent="0.25">
      <c r="A982" s="25" t="str">
        <f t="shared" si="15"/>
        <v/>
      </c>
      <c r="B982" s="26"/>
      <c r="C982" s="27"/>
      <c r="D982" s="28" t="str">
        <f>IFERROR(IF(C982="","",INDEX(마스터!$F$4:$F$20,MATCH(C982,마스터!$M$4:$M$20,0))),"")</f>
        <v/>
      </c>
      <c r="E982" s="27"/>
      <c r="F982" s="29"/>
      <c r="G982" s="25" t="str">
        <f>IFERROR(IF(C982="","",INDEX(마스터!$J$4:$J$20,MATCH(C982,마스터!$M$4:$M$20,0))),"")</f>
        <v/>
      </c>
      <c r="H982" s="30"/>
      <c r="I982" s="30"/>
    </row>
    <row r="983" spans="1:9" ht="15" customHeight="1" x14ac:dyDescent="0.25">
      <c r="A983" s="25" t="str">
        <f t="shared" si="15"/>
        <v/>
      </c>
      <c r="B983" s="26"/>
      <c r="C983" s="27"/>
      <c r="D983" s="28" t="str">
        <f>IFERROR(IF(C983="","",INDEX(마스터!$F$4:$F$20,MATCH(C983,마스터!$M$4:$M$20,0))),"")</f>
        <v/>
      </c>
      <c r="E983" s="27"/>
      <c r="F983" s="29"/>
      <c r="G983" s="25" t="str">
        <f>IFERROR(IF(C983="","",INDEX(마스터!$J$4:$J$20,MATCH(C983,마스터!$M$4:$M$20,0))),"")</f>
        <v/>
      </c>
      <c r="H983" s="30"/>
      <c r="I983" s="30"/>
    </row>
    <row r="984" spans="1:9" ht="15" customHeight="1" x14ac:dyDescent="0.25">
      <c r="A984" s="25" t="str">
        <f t="shared" si="15"/>
        <v/>
      </c>
      <c r="B984" s="26"/>
      <c r="C984" s="27"/>
      <c r="D984" s="28" t="str">
        <f>IFERROR(IF(C984="","",INDEX(마스터!$F$4:$F$20,MATCH(C984,마스터!$M$4:$M$20,0))),"")</f>
        <v/>
      </c>
      <c r="E984" s="27"/>
      <c r="F984" s="29"/>
      <c r="G984" s="25" t="str">
        <f>IFERROR(IF(C984="","",INDEX(마스터!$J$4:$J$20,MATCH(C984,마스터!$M$4:$M$20,0))),"")</f>
        <v/>
      </c>
      <c r="H984" s="30"/>
      <c r="I984" s="30"/>
    </row>
    <row r="985" spans="1:9" ht="15" customHeight="1" x14ac:dyDescent="0.25">
      <c r="A985" s="25" t="str">
        <f t="shared" si="15"/>
        <v/>
      </c>
      <c r="B985" s="26"/>
      <c r="C985" s="27"/>
      <c r="D985" s="28" t="str">
        <f>IFERROR(IF(C985="","",INDEX(마스터!$F$4:$F$20,MATCH(C985,마스터!$M$4:$M$20,0))),"")</f>
        <v/>
      </c>
      <c r="E985" s="27"/>
      <c r="F985" s="29"/>
      <c r="G985" s="25" t="str">
        <f>IFERROR(IF(C985="","",INDEX(마스터!$J$4:$J$20,MATCH(C985,마스터!$M$4:$M$20,0))),"")</f>
        <v/>
      </c>
      <c r="H985" s="30"/>
      <c r="I985" s="30"/>
    </row>
    <row r="986" spans="1:9" ht="15" customHeight="1" x14ac:dyDescent="0.25">
      <c r="A986" s="25" t="str">
        <f t="shared" si="15"/>
        <v/>
      </c>
      <c r="B986" s="26"/>
      <c r="C986" s="27"/>
      <c r="D986" s="28" t="str">
        <f>IFERROR(IF(C986="","",INDEX(마스터!$F$4:$F$20,MATCH(C986,마스터!$M$4:$M$20,0))),"")</f>
        <v/>
      </c>
      <c r="E986" s="27"/>
      <c r="F986" s="29"/>
      <c r="G986" s="25" t="str">
        <f>IFERROR(IF(C986="","",INDEX(마스터!$J$4:$J$20,MATCH(C986,마스터!$M$4:$M$20,0))),"")</f>
        <v/>
      </c>
      <c r="H986" s="30"/>
      <c r="I986" s="30"/>
    </row>
    <row r="987" spans="1:9" ht="15" customHeight="1" x14ac:dyDescent="0.25">
      <c r="A987" s="25" t="str">
        <f t="shared" si="15"/>
        <v/>
      </c>
      <c r="B987" s="26"/>
      <c r="C987" s="27"/>
      <c r="D987" s="28" t="str">
        <f>IFERROR(IF(C987="","",INDEX(마스터!$F$4:$F$20,MATCH(C987,마스터!$M$4:$M$20,0))),"")</f>
        <v/>
      </c>
      <c r="E987" s="27"/>
      <c r="F987" s="29"/>
      <c r="G987" s="25" t="str">
        <f>IFERROR(IF(C987="","",INDEX(마스터!$J$4:$J$20,MATCH(C987,마스터!$M$4:$M$20,0))),"")</f>
        <v/>
      </c>
      <c r="H987" s="30"/>
      <c r="I987" s="30"/>
    </row>
    <row r="988" spans="1:9" ht="15" customHeight="1" x14ac:dyDescent="0.25">
      <c r="A988" s="25" t="str">
        <f t="shared" si="15"/>
        <v/>
      </c>
      <c r="B988" s="26"/>
      <c r="C988" s="27"/>
      <c r="D988" s="28" t="str">
        <f>IFERROR(IF(C988="","",INDEX(마스터!$F$4:$F$20,MATCH(C988,마스터!$M$4:$M$20,0))),"")</f>
        <v/>
      </c>
      <c r="E988" s="27"/>
      <c r="F988" s="29"/>
      <c r="G988" s="25" t="str">
        <f>IFERROR(IF(C988="","",INDEX(마스터!$J$4:$J$20,MATCH(C988,마스터!$M$4:$M$20,0))),"")</f>
        <v/>
      </c>
      <c r="H988" s="30"/>
      <c r="I988" s="30"/>
    </row>
    <row r="989" spans="1:9" ht="15" customHeight="1" x14ac:dyDescent="0.25">
      <c r="A989" s="25" t="str">
        <f t="shared" si="15"/>
        <v/>
      </c>
      <c r="B989" s="26"/>
      <c r="C989" s="27"/>
      <c r="D989" s="28" t="str">
        <f>IFERROR(IF(C989="","",INDEX(마스터!$F$4:$F$20,MATCH(C989,마스터!$M$4:$M$20,0))),"")</f>
        <v/>
      </c>
      <c r="E989" s="27"/>
      <c r="F989" s="29"/>
      <c r="G989" s="25" t="str">
        <f>IFERROR(IF(C989="","",INDEX(마스터!$J$4:$J$20,MATCH(C989,마스터!$M$4:$M$20,0))),"")</f>
        <v/>
      </c>
      <c r="H989" s="30"/>
      <c r="I989" s="30"/>
    </row>
    <row r="990" spans="1:9" ht="15" customHeight="1" x14ac:dyDescent="0.25">
      <c r="A990" s="25" t="str">
        <f t="shared" si="15"/>
        <v/>
      </c>
      <c r="B990" s="26"/>
      <c r="C990" s="27"/>
      <c r="D990" s="28" t="str">
        <f>IFERROR(IF(C990="","",INDEX(마스터!$F$4:$F$20,MATCH(C990,마스터!$M$4:$M$20,0))),"")</f>
        <v/>
      </c>
      <c r="E990" s="27"/>
      <c r="F990" s="29"/>
      <c r="G990" s="25" t="str">
        <f>IFERROR(IF(C990="","",INDEX(마스터!$J$4:$J$20,MATCH(C990,마스터!$M$4:$M$20,0))),"")</f>
        <v/>
      </c>
      <c r="H990" s="30"/>
      <c r="I990" s="30"/>
    </row>
    <row r="991" spans="1:9" ht="15" customHeight="1" x14ac:dyDescent="0.25">
      <c r="A991" s="25" t="str">
        <f t="shared" si="15"/>
        <v/>
      </c>
      <c r="B991" s="26"/>
      <c r="C991" s="27"/>
      <c r="D991" s="28" t="str">
        <f>IFERROR(IF(C991="","",INDEX(마스터!$F$4:$F$20,MATCH(C991,마스터!$M$4:$M$20,0))),"")</f>
        <v/>
      </c>
      <c r="E991" s="27"/>
      <c r="F991" s="29"/>
      <c r="G991" s="25" t="str">
        <f>IFERROR(IF(C991="","",INDEX(마스터!$J$4:$J$20,MATCH(C991,마스터!$M$4:$M$20,0))),"")</f>
        <v/>
      </c>
      <c r="H991" s="30"/>
      <c r="I991" s="30"/>
    </row>
    <row r="992" spans="1:9" ht="15" customHeight="1" x14ac:dyDescent="0.25">
      <c r="A992" s="25" t="str">
        <f t="shared" si="15"/>
        <v/>
      </c>
      <c r="B992" s="26"/>
      <c r="C992" s="27"/>
      <c r="D992" s="28" t="str">
        <f>IFERROR(IF(C992="","",INDEX(마스터!$F$4:$F$20,MATCH(C992,마스터!$M$4:$M$20,0))),"")</f>
        <v/>
      </c>
      <c r="E992" s="27"/>
      <c r="F992" s="29"/>
      <c r="G992" s="25" t="str">
        <f>IFERROR(IF(C992="","",INDEX(마스터!$J$4:$J$20,MATCH(C992,마스터!$M$4:$M$20,0))),"")</f>
        <v/>
      </c>
      <c r="H992" s="30"/>
      <c r="I992" s="30"/>
    </row>
    <row r="993" spans="1:9" ht="15" customHeight="1" x14ac:dyDescent="0.25">
      <c r="A993" s="25" t="str">
        <f t="shared" si="15"/>
        <v/>
      </c>
      <c r="B993" s="26"/>
      <c r="C993" s="27"/>
      <c r="D993" s="28" t="str">
        <f>IFERROR(IF(C993="","",INDEX(마스터!$F$4:$F$20,MATCH(C993,마스터!$M$4:$M$20,0))),"")</f>
        <v/>
      </c>
      <c r="E993" s="27"/>
      <c r="F993" s="29"/>
      <c r="G993" s="25" t="str">
        <f>IFERROR(IF(C993="","",INDEX(마스터!$J$4:$J$20,MATCH(C993,마스터!$M$4:$M$20,0))),"")</f>
        <v/>
      </c>
      <c r="H993" s="30"/>
      <c r="I993" s="30"/>
    </row>
    <row r="994" spans="1:9" ht="15" customHeight="1" x14ac:dyDescent="0.25">
      <c r="A994" s="25" t="str">
        <f t="shared" si="15"/>
        <v/>
      </c>
      <c r="B994" s="26"/>
      <c r="C994" s="27"/>
      <c r="D994" s="28" t="str">
        <f>IFERROR(IF(C994="","",INDEX(마스터!$F$4:$F$20,MATCH(C994,마스터!$M$4:$M$20,0))),"")</f>
        <v/>
      </c>
      <c r="E994" s="27"/>
      <c r="F994" s="29"/>
      <c r="G994" s="25" t="str">
        <f>IFERROR(IF(C994="","",INDEX(마스터!$J$4:$J$20,MATCH(C994,마스터!$M$4:$M$20,0))),"")</f>
        <v/>
      </c>
      <c r="H994" s="30"/>
      <c r="I994" s="30"/>
    </row>
    <row r="995" spans="1:9" ht="15" customHeight="1" x14ac:dyDescent="0.25">
      <c r="A995" s="25" t="str">
        <f t="shared" si="15"/>
        <v/>
      </c>
      <c r="B995" s="26"/>
      <c r="C995" s="27"/>
      <c r="D995" s="28" t="str">
        <f>IFERROR(IF(C995="","",INDEX(마스터!$F$4:$F$20,MATCH(C995,마스터!$M$4:$M$20,0))),"")</f>
        <v/>
      </c>
      <c r="E995" s="27"/>
      <c r="F995" s="29"/>
      <c r="G995" s="25" t="str">
        <f>IFERROR(IF(C995="","",INDEX(마스터!$J$4:$J$20,MATCH(C995,마스터!$M$4:$M$20,0))),"")</f>
        <v/>
      </c>
      <c r="H995" s="30"/>
      <c r="I995" s="30"/>
    </row>
    <row r="996" spans="1:9" ht="15" customHeight="1" x14ac:dyDescent="0.25">
      <c r="A996" s="25" t="str">
        <f t="shared" si="15"/>
        <v/>
      </c>
      <c r="B996" s="26"/>
      <c r="C996" s="27"/>
      <c r="D996" s="28" t="str">
        <f>IFERROR(IF(C996="","",INDEX(마스터!$F$4:$F$20,MATCH(C996,마스터!$M$4:$M$20,0))),"")</f>
        <v/>
      </c>
      <c r="E996" s="27"/>
      <c r="F996" s="29"/>
      <c r="G996" s="25" t="str">
        <f>IFERROR(IF(C996="","",INDEX(마스터!$J$4:$J$20,MATCH(C996,마스터!$M$4:$M$20,0))),"")</f>
        <v/>
      </c>
      <c r="H996" s="30"/>
      <c r="I996" s="30"/>
    </row>
    <row r="997" spans="1:9" ht="15" customHeight="1" x14ac:dyDescent="0.25">
      <c r="A997" s="25" t="str">
        <f t="shared" si="15"/>
        <v/>
      </c>
      <c r="B997" s="26"/>
      <c r="C997" s="27"/>
      <c r="D997" s="28" t="str">
        <f>IFERROR(IF(C997="","",INDEX(마스터!$F$4:$F$20,MATCH(C997,마스터!$M$4:$M$20,0))),"")</f>
        <v/>
      </c>
      <c r="E997" s="27"/>
      <c r="F997" s="29"/>
      <c r="G997" s="25" t="str">
        <f>IFERROR(IF(C997="","",INDEX(마스터!$J$4:$J$20,MATCH(C997,마스터!$M$4:$M$20,0))),"")</f>
        <v/>
      </c>
      <c r="H997" s="30"/>
      <c r="I997" s="30"/>
    </row>
    <row r="998" spans="1:9" ht="15" customHeight="1" x14ac:dyDescent="0.25">
      <c r="A998" s="25" t="str">
        <f t="shared" si="15"/>
        <v/>
      </c>
      <c r="B998" s="26"/>
      <c r="C998" s="27"/>
      <c r="D998" s="28" t="str">
        <f>IFERROR(IF(C998="","",INDEX(마스터!$F$4:$F$20,MATCH(C998,마스터!$M$4:$M$20,0))),"")</f>
        <v/>
      </c>
      <c r="E998" s="27"/>
      <c r="F998" s="29"/>
      <c r="G998" s="25" t="str">
        <f>IFERROR(IF(C998="","",INDEX(마스터!$J$4:$J$20,MATCH(C998,마스터!$M$4:$M$20,0))),"")</f>
        <v/>
      </c>
      <c r="H998" s="30"/>
      <c r="I998" s="30"/>
    </row>
    <row r="999" spans="1:9" ht="15" customHeight="1" x14ac:dyDescent="0.25">
      <c r="A999" s="25" t="str">
        <f t="shared" si="15"/>
        <v/>
      </c>
      <c r="B999" s="26"/>
      <c r="C999" s="27"/>
      <c r="D999" s="28" t="str">
        <f>IFERROR(IF(C999="","",INDEX(마스터!$F$4:$F$20,MATCH(C999,마스터!$M$4:$M$20,0))),"")</f>
        <v/>
      </c>
      <c r="E999" s="27"/>
      <c r="F999" s="29"/>
      <c r="G999" s="25" t="str">
        <f>IFERROR(IF(C999="","",INDEX(마스터!$J$4:$J$20,MATCH(C999,마스터!$M$4:$M$20,0))),"")</f>
        <v/>
      </c>
      <c r="H999" s="30"/>
      <c r="I999" s="30"/>
    </row>
    <row r="1000" spans="1:9" ht="15" customHeight="1" x14ac:dyDescent="0.25">
      <c r="A1000" s="25" t="str">
        <f t="shared" si="15"/>
        <v/>
      </c>
      <c r="B1000" s="26"/>
      <c r="C1000" s="27"/>
      <c r="D1000" s="28" t="str">
        <f>IFERROR(IF(C1000="","",INDEX(마스터!$F$4:$F$20,MATCH(C1000,마스터!$M$4:$M$20,0))),"")</f>
        <v/>
      </c>
      <c r="E1000" s="27"/>
      <c r="F1000" s="29"/>
      <c r="G1000" s="25" t="str">
        <f>IFERROR(IF(C1000="","",INDEX(마스터!$J$4:$J$20,MATCH(C1000,마스터!$M$4:$M$20,0))),"")</f>
        <v/>
      </c>
      <c r="H1000" s="30"/>
      <c r="I1000" s="30"/>
    </row>
    <row r="1001" spans="1:9" ht="15" customHeight="1" x14ac:dyDescent="0.25">
      <c r="A1001" s="25" t="str">
        <f t="shared" si="15"/>
        <v/>
      </c>
      <c r="B1001" s="26"/>
      <c r="C1001" s="27"/>
      <c r="D1001" s="28" t="str">
        <f>IFERROR(IF(C1001="","",INDEX(마스터!$F$4:$F$20,MATCH(C1001,마스터!$M$4:$M$20,0))),"")</f>
        <v/>
      </c>
      <c r="E1001" s="27"/>
      <c r="F1001" s="29"/>
      <c r="G1001" s="25" t="str">
        <f>IFERROR(IF(C1001="","",INDEX(마스터!$J$4:$J$20,MATCH(C1001,마스터!$M$4:$M$20,0))),"")</f>
        <v/>
      </c>
      <c r="H1001" s="30"/>
      <c r="I1001" s="30"/>
    </row>
    <row r="1002" spans="1:9" ht="15" customHeight="1" x14ac:dyDescent="0.25">
      <c r="A1002" s="25" t="str">
        <f t="shared" si="15"/>
        <v/>
      </c>
      <c r="B1002" s="26"/>
      <c r="C1002" s="27"/>
      <c r="D1002" s="28" t="str">
        <f>IFERROR(IF(C1002="","",INDEX(마스터!$F$4:$F$20,MATCH(C1002,마스터!$M$4:$M$20,0))),"")</f>
        <v/>
      </c>
      <c r="E1002" s="27"/>
      <c r="F1002" s="29"/>
      <c r="G1002" s="25" t="str">
        <f>IFERROR(IF(C1002="","",INDEX(마스터!$J$4:$J$20,MATCH(C1002,마스터!$M$4:$M$20,0))),"")</f>
        <v/>
      </c>
      <c r="H1002" s="30"/>
      <c r="I1002" s="30"/>
    </row>
    <row r="1003" spans="1:9" ht="15" customHeight="1" x14ac:dyDescent="0.25">
      <c r="A1003" s="25" t="str">
        <f t="shared" si="15"/>
        <v/>
      </c>
      <c r="B1003" s="26"/>
      <c r="C1003" s="27"/>
      <c r="D1003" s="28" t="str">
        <f>IFERROR(IF(C1003="","",INDEX(마스터!$F$4:$F$20,MATCH(C1003,마스터!$M$4:$M$20,0))),"")</f>
        <v/>
      </c>
      <c r="E1003" s="27"/>
      <c r="F1003" s="29"/>
      <c r="G1003" s="25" t="str">
        <f>IFERROR(IF(C1003="","",INDEX(마스터!$J$4:$J$20,MATCH(C1003,마스터!$M$4:$M$20,0))),"")</f>
        <v/>
      </c>
      <c r="H1003" s="30"/>
      <c r="I1003" s="30"/>
    </row>
    <row r="1004" spans="1:9" ht="15" customHeight="1" x14ac:dyDescent="0.25">
      <c r="A1004" s="25" t="str">
        <f t="shared" si="15"/>
        <v/>
      </c>
      <c r="B1004" s="26"/>
      <c r="C1004" s="27"/>
      <c r="D1004" s="28" t="str">
        <f>IFERROR(IF(C1004="","",INDEX(마스터!$F$4:$F$20,MATCH(C1004,마스터!$M$4:$M$20,0))),"")</f>
        <v/>
      </c>
      <c r="E1004" s="27"/>
      <c r="F1004" s="29"/>
      <c r="G1004" s="25" t="str">
        <f>IFERROR(IF(C1004="","",INDEX(마스터!$J$4:$J$20,MATCH(C1004,마스터!$M$4:$M$20,0))),"")</f>
        <v/>
      </c>
      <c r="H1004" s="30"/>
      <c r="I1004" s="30"/>
    </row>
    <row r="1005" spans="1:9" ht="15" customHeight="1" x14ac:dyDescent="0.25">
      <c r="A1005" s="25" t="str">
        <f t="shared" si="15"/>
        <v/>
      </c>
      <c r="B1005" s="26"/>
      <c r="C1005" s="27"/>
      <c r="D1005" s="28" t="str">
        <f>IFERROR(IF(C1005="","",INDEX(마스터!$F$4:$F$20,MATCH(C1005,마스터!$M$4:$M$20,0))),"")</f>
        <v/>
      </c>
      <c r="E1005" s="27"/>
      <c r="F1005" s="29"/>
      <c r="G1005" s="25" t="str">
        <f>IFERROR(IF(C1005="","",INDEX(마스터!$J$4:$J$20,MATCH(C1005,마스터!$M$4:$M$20,0))),"")</f>
        <v/>
      </c>
      <c r="H1005" s="30"/>
      <c r="I1005" s="30"/>
    </row>
    <row r="1006" spans="1:9" ht="15" customHeight="1" x14ac:dyDescent="0.25">
      <c r="A1006" s="25" t="str">
        <f t="shared" si="15"/>
        <v/>
      </c>
      <c r="B1006" s="26"/>
      <c r="C1006" s="27"/>
      <c r="D1006" s="28" t="str">
        <f>IFERROR(IF(C1006="","",INDEX(마스터!$F$4:$F$20,MATCH(C1006,마스터!$M$4:$M$20,0))),"")</f>
        <v/>
      </c>
      <c r="E1006" s="27"/>
      <c r="F1006" s="29"/>
      <c r="G1006" s="25" t="str">
        <f>IFERROR(IF(C1006="","",INDEX(마스터!$J$4:$J$20,MATCH(C1006,마스터!$M$4:$M$20,0))),"")</f>
        <v/>
      </c>
      <c r="H1006" s="30"/>
      <c r="I1006" s="30"/>
    </row>
    <row r="1007" spans="1:9" ht="15" customHeight="1" x14ac:dyDescent="0.25">
      <c r="A1007" s="25" t="str">
        <f t="shared" si="15"/>
        <v/>
      </c>
      <c r="B1007" s="26"/>
      <c r="C1007" s="27"/>
      <c r="D1007" s="28" t="str">
        <f>IFERROR(IF(C1007="","",INDEX(마스터!$F$4:$F$20,MATCH(C1007,마스터!$M$4:$M$20,0))),"")</f>
        <v/>
      </c>
      <c r="E1007" s="27"/>
      <c r="F1007" s="29"/>
      <c r="G1007" s="25" t="str">
        <f>IFERROR(IF(C1007="","",INDEX(마스터!$J$4:$J$20,MATCH(C1007,마스터!$M$4:$M$20,0))),"")</f>
        <v/>
      </c>
      <c r="H1007" s="30"/>
      <c r="I1007" s="30"/>
    </row>
    <row r="1008" spans="1:9" ht="15" customHeight="1" x14ac:dyDescent="0.25">
      <c r="A1008" s="25" t="str">
        <f t="shared" si="15"/>
        <v/>
      </c>
      <c r="B1008" s="26"/>
      <c r="C1008" s="27"/>
      <c r="D1008" s="28" t="str">
        <f>IFERROR(IF(C1008="","",INDEX(마스터!$F$4:$F$20,MATCH(C1008,마스터!$M$4:$M$20,0))),"")</f>
        <v/>
      </c>
      <c r="E1008" s="27"/>
      <c r="F1008" s="29"/>
      <c r="G1008" s="25" t="str">
        <f>IFERROR(IF(C1008="","",INDEX(마스터!$J$4:$J$20,MATCH(C1008,마스터!$M$4:$M$20,0))),"")</f>
        <v/>
      </c>
      <c r="H1008" s="30"/>
      <c r="I1008" s="30"/>
    </row>
    <row r="1009" spans="1:9" ht="15" customHeight="1" x14ac:dyDescent="0.25">
      <c r="A1009" s="25" t="str">
        <f t="shared" si="15"/>
        <v/>
      </c>
      <c r="B1009" s="26"/>
      <c r="C1009" s="27"/>
      <c r="D1009" s="28" t="str">
        <f>IFERROR(IF(C1009="","",INDEX(마스터!$F$4:$F$20,MATCH(C1009,마스터!$M$4:$M$20,0))),"")</f>
        <v/>
      </c>
      <c r="E1009" s="27"/>
      <c r="F1009" s="29"/>
      <c r="G1009" s="25" t="str">
        <f>IFERROR(IF(C1009="","",INDEX(마스터!$J$4:$J$20,MATCH(C1009,마스터!$M$4:$M$20,0))),"")</f>
        <v/>
      </c>
      <c r="H1009" s="30"/>
      <c r="I1009" s="30"/>
    </row>
    <row r="1010" spans="1:9" ht="15" customHeight="1" x14ac:dyDescent="0.25">
      <c r="A1010" s="25" t="str">
        <f t="shared" si="15"/>
        <v/>
      </c>
      <c r="B1010" s="26"/>
      <c r="C1010" s="27"/>
      <c r="D1010" s="28" t="str">
        <f>IFERROR(IF(C1010="","",INDEX(마스터!$F$4:$F$20,MATCH(C1010,마스터!$M$4:$M$20,0))),"")</f>
        <v/>
      </c>
      <c r="E1010" s="27"/>
      <c r="F1010" s="29"/>
      <c r="G1010" s="25" t="str">
        <f>IFERROR(IF(C1010="","",INDEX(마스터!$J$4:$J$20,MATCH(C1010,마스터!$M$4:$M$20,0))),"")</f>
        <v/>
      </c>
      <c r="H1010" s="30"/>
      <c r="I1010" s="30"/>
    </row>
    <row r="1011" spans="1:9" ht="15" customHeight="1" x14ac:dyDescent="0.25">
      <c r="A1011" s="25" t="str">
        <f t="shared" si="15"/>
        <v/>
      </c>
      <c r="B1011" s="26"/>
      <c r="C1011" s="27"/>
      <c r="D1011" s="28" t="str">
        <f>IFERROR(IF(C1011="","",INDEX(마스터!$F$4:$F$20,MATCH(C1011,마스터!$M$4:$M$20,0))),"")</f>
        <v/>
      </c>
      <c r="E1011" s="27"/>
      <c r="F1011" s="29"/>
      <c r="G1011" s="25" t="str">
        <f>IFERROR(IF(C1011="","",INDEX(마스터!$J$4:$J$20,MATCH(C1011,마스터!$M$4:$M$20,0))),"")</f>
        <v/>
      </c>
      <c r="H1011" s="30"/>
      <c r="I1011" s="30"/>
    </row>
    <row r="1012" spans="1:9" ht="15" customHeight="1" x14ac:dyDescent="0.25">
      <c r="A1012" s="25" t="str">
        <f t="shared" si="15"/>
        <v/>
      </c>
      <c r="B1012" s="26"/>
      <c r="C1012" s="27"/>
      <c r="D1012" s="28" t="str">
        <f>IFERROR(IF(C1012="","",INDEX(마스터!$F$4:$F$20,MATCH(C1012,마스터!$M$4:$M$20,0))),"")</f>
        <v/>
      </c>
      <c r="E1012" s="27"/>
      <c r="F1012" s="29"/>
      <c r="G1012" s="25" t="str">
        <f>IFERROR(IF(C1012="","",INDEX(마스터!$J$4:$J$20,MATCH(C1012,마스터!$M$4:$M$20,0))),"")</f>
        <v/>
      </c>
      <c r="H1012" s="30"/>
      <c r="I1012" s="30"/>
    </row>
    <row r="1013" spans="1:9" ht="15" customHeight="1" x14ac:dyDescent="0.25">
      <c r="A1013" s="25" t="str">
        <f t="shared" si="15"/>
        <v/>
      </c>
      <c r="B1013" s="26"/>
      <c r="C1013" s="27"/>
      <c r="D1013" s="28" t="str">
        <f>IFERROR(IF(C1013="","",INDEX(마스터!$F$4:$F$20,MATCH(C1013,마스터!$M$4:$M$20,0))),"")</f>
        <v/>
      </c>
      <c r="E1013" s="27"/>
      <c r="F1013" s="29"/>
      <c r="G1013" s="25" t="str">
        <f>IFERROR(IF(C1013="","",INDEX(마스터!$J$4:$J$20,MATCH(C1013,마스터!$M$4:$M$20,0))),"")</f>
        <v/>
      </c>
      <c r="H1013" s="30"/>
      <c r="I1013" s="30"/>
    </row>
  </sheetData>
  <mergeCells count="2">
    <mergeCell ref="A1:I2"/>
    <mergeCell ref="A3:I3"/>
  </mergeCells>
  <phoneticPr fontId="40" type="noConversion"/>
  <dataValidations count="1">
    <dataValidation type="date" allowBlank="1" promptTitle="일자" prompt="yyyy-mm-dd 형식, Ctrl+; = 오늘" sqref="B8:B1013" xr:uid="{00000000-0002-0000-0200-000000000000}">
      <formula1>DATE(2020,1,1)</formula1>
      <formula2>DATE(2030,12,31)</formula2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1000000}">
          <x14:formula1>
            <xm:f>마스터!$M$4:$M$20</xm:f>
          </x14:formula1>
          <x14:formula2>
            <xm:f>0</xm:f>
          </x14:formula2>
          <xm:sqref>C8:C1013</xm:sqref>
        </x14:dataValidation>
        <x14:dataValidation type="list" allowBlank="1" promptTitle="LOT 선택" prompt="규격 선택 후 클릭 → 그 규격의 LOT만 표시" xr:uid="{00000000-0002-0000-0200-000002000000}">
          <x14:formula1>
            <xm:f>OFFSET(마스터!$Q$4,(MATCH(C8,마스터!$M$4:$M$20,0)-1)*10,0,COUNTIF(마스터!$P$4:$P$173,C8),1)</xm:f>
          </x14:formula1>
          <x14:formula2>
            <xm:f>0</xm:f>
          </x14:formula2>
          <xm:sqref>E8:E1013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8" customWidth="1"/>
    <col min="3" max="4" width="11" customWidth="1"/>
    <col min="5" max="7" width="12" customWidth="1"/>
    <col min="8" max="8" width="4" customWidth="1"/>
  </cols>
  <sheetData>
    <row r="1" spans="1:8" ht="30" customHeight="1" x14ac:dyDescent="0.25">
      <c r="A1" s="72" t="s">
        <v>65</v>
      </c>
      <c r="B1" s="72"/>
      <c r="C1" s="72"/>
      <c r="D1" s="72"/>
      <c r="E1" s="72"/>
      <c r="F1" s="72"/>
      <c r="G1" s="72"/>
      <c r="H1" s="72"/>
    </row>
    <row r="2" spans="1:8" ht="15" customHeight="1" x14ac:dyDescent="0.25">
      <c r="A2" s="72"/>
      <c r="B2" s="72"/>
      <c r="C2" s="72"/>
      <c r="D2" s="72"/>
      <c r="E2" s="72"/>
      <c r="F2" s="72"/>
      <c r="G2" s="72"/>
      <c r="H2" s="72"/>
    </row>
    <row r="3" spans="1:8" ht="15" customHeight="1" x14ac:dyDescent="0.25">
      <c r="A3" s="61" t="s">
        <v>66</v>
      </c>
      <c r="B3" s="61"/>
      <c r="C3" s="61"/>
      <c r="D3" s="61"/>
      <c r="E3" s="61"/>
      <c r="F3" s="61"/>
      <c r="G3" s="61"/>
      <c r="H3" s="35" t="str">
        <f>HYPERLINK("#인덱스!A1","◀ 인덱스")</f>
        <v>◀ 인덱스</v>
      </c>
    </row>
    <row r="5" spans="1:8" ht="34.5" customHeight="1" x14ac:dyDescent="0.25">
      <c r="A5" s="1" t="s">
        <v>67</v>
      </c>
      <c r="B5" s="36"/>
      <c r="D5" s="1" t="s">
        <v>10</v>
      </c>
      <c r="E5" s="37" t="str">
        <f>IFERROR(IF(B5="","",INDEX(마스터!$K$4:$K$20,MATCH(B5,마스터!$M$4:$M$20,0))),"")</f>
        <v/>
      </c>
      <c r="F5" s="1" t="s">
        <v>12</v>
      </c>
      <c r="G5" s="37" t="str">
        <f>IF(B5="","",SUMIFS(출고!$F$8:$F$1013,출고!$C$8:$C$1013,$B$5))</f>
        <v/>
      </c>
    </row>
    <row r="6" spans="1:8" ht="15" customHeight="1" x14ac:dyDescent="0.25">
      <c r="D6" s="1" t="s">
        <v>11</v>
      </c>
      <c r="E6" s="37" t="str">
        <f>IF(B5="","",SUMIFS(입고!$F$8:$F$1013,입고!$C$8:$C$1013,$B$5))</f>
        <v/>
      </c>
      <c r="F6" s="1" t="s">
        <v>68</v>
      </c>
      <c r="G6" s="37" t="str">
        <f>IF(B5="","",IFERROR(E5,0)+E6-G5)</f>
        <v/>
      </c>
    </row>
    <row r="9" spans="1:8" ht="15" customHeight="1" x14ac:dyDescent="0.25">
      <c r="A9" s="73" t="s">
        <v>69</v>
      </c>
      <c r="B9" s="73"/>
      <c r="C9" s="73"/>
      <c r="D9" s="73"/>
      <c r="E9" s="73"/>
    </row>
    <row r="10" spans="1:8" ht="27.75" customHeight="1" x14ac:dyDescent="0.25">
      <c r="A10" s="38" t="s">
        <v>5</v>
      </c>
      <c r="B10" s="38" t="s">
        <v>70</v>
      </c>
      <c r="C10" s="39" t="s">
        <v>11</v>
      </c>
      <c r="D10" s="39" t="s">
        <v>12</v>
      </c>
      <c r="E10" s="38" t="s">
        <v>71</v>
      </c>
    </row>
    <row r="11" spans="1:8" ht="15" customHeight="1" x14ac:dyDescent="0.25">
      <c r="A11" s="6" t="str">
        <f t="shared" ref="A11:A42" si="0">IF(B11="","",ROW()-10)</f>
        <v/>
      </c>
      <c r="B11" s="6" t="str">
        <f t="array" ref="B11">IFERROR(INDEX(입고!$E$8:$E$1013,SMALL(IF((입고!$C$8:$C$1013=$B$5)*(입고!$AC$8:$AC$1013=1),ROW(입고!$C$8:$C$1013)-7),1)),"")</f>
        <v/>
      </c>
      <c r="C11" s="8" t="str">
        <f>IF(B11="","",SUMIFS(입고!$F$8:$F$1013,입고!$C$8:$C$1013,$B$5,입고!$E$8:$E$1013,B11))</f>
        <v/>
      </c>
      <c r="D11" s="8" t="str">
        <f>IF(B11="","",SUMIFS(출고!$F$8:$F$1013,출고!$C$8:$C$1013,$B$5,출고!$E$8:$E$1013,B11))</f>
        <v/>
      </c>
      <c r="E11" s="40" t="str">
        <f t="shared" ref="E11:E42" si="1">IF(B11="","",C11-D11)</f>
        <v/>
      </c>
    </row>
    <row r="12" spans="1:8" ht="15" customHeight="1" x14ac:dyDescent="0.25">
      <c r="A12" s="11" t="str">
        <f t="shared" si="0"/>
        <v/>
      </c>
      <c r="B12" s="11" t="str">
        <f t="array" ref="B12">IFERROR(INDEX(입고!$E$8:$E$1013,SMALL(IF((입고!$C$8:$C$1013=$B$5)*(입고!$AC$8:$AC$1013=1),ROW(입고!$C$8:$C$1013)-7),2)),"")</f>
        <v/>
      </c>
      <c r="C12" s="13" t="str">
        <f>IF(B12="","",SUMIFS(입고!$F$8:$F$1013,입고!$C$8:$C$1013,$B$5,입고!$E$8:$E$1013,B12))</f>
        <v/>
      </c>
      <c r="D12" s="13" t="str">
        <f>IF(B12="","",SUMIFS(출고!$F$8:$F$1013,출고!$C$8:$C$1013,$B$5,출고!$E$8:$E$1013,B12))</f>
        <v/>
      </c>
      <c r="E12" s="41" t="str">
        <f t="shared" si="1"/>
        <v/>
      </c>
    </row>
    <row r="13" spans="1:8" ht="15" customHeight="1" x14ac:dyDescent="0.25">
      <c r="A13" s="6" t="str">
        <f t="shared" si="0"/>
        <v/>
      </c>
      <c r="B13" s="6" t="str">
        <f t="array" ref="B13">IFERROR(INDEX(입고!$E$8:$E$1013,SMALL(IF((입고!$C$8:$C$1013=$B$5)*(입고!$AC$8:$AC$1013=1),ROW(입고!$C$8:$C$1013)-7),3)),"")</f>
        <v/>
      </c>
      <c r="C13" s="8" t="str">
        <f>IF(B13="","",SUMIFS(입고!$F$8:$F$1013,입고!$C$8:$C$1013,$B$5,입고!$E$8:$E$1013,B13))</f>
        <v/>
      </c>
      <c r="D13" s="8" t="str">
        <f>IF(B13="","",SUMIFS(출고!$F$8:$F$1013,출고!$C$8:$C$1013,$B$5,출고!$E$8:$E$1013,B13))</f>
        <v/>
      </c>
      <c r="E13" s="40" t="str">
        <f t="shared" si="1"/>
        <v/>
      </c>
    </row>
    <row r="14" spans="1:8" ht="15" customHeight="1" x14ac:dyDescent="0.25">
      <c r="A14" s="11" t="str">
        <f t="shared" si="0"/>
        <v/>
      </c>
      <c r="B14" s="11" t="str">
        <f t="array" ref="B14">IFERROR(INDEX(입고!$E$8:$E$1013,SMALL(IF((입고!$C$8:$C$1013=$B$5)*(입고!$AC$8:$AC$1013=1),ROW(입고!$C$8:$C$1013)-7),4)),"")</f>
        <v/>
      </c>
      <c r="C14" s="13" t="str">
        <f>IF(B14="","",SUMIFS(입고!$F$8:$F$1013,입고!$C$8:$C$1013,$B$5,입고!$E$8:$E$1013,B14))</f>
        <v/>
      </c>
      <c r="D14" s="13" t="str">
        <f>IF(B14="","",SUMIFS(출고!$F$8:$F$1013,출고!$C$8:$C$1013,$B$5,출고!$E$8:$E$1013,B14))</f>
        <v/>
      </c>
      <c r="E14" s="41" t="str">
        <f t="shared" si="1"/>
        <v/>
      </c>
    </row>
    <row r="15" spans="1:8" ht="15" customHeight="1" x14ac:dyDescent="0.25">
      <c r="A15" s="6" t="str">
        <f t="shared" si="0"/>
        <v/>
      </c>
      <c r="B15" s="6" t="str">
        <f t="array" ref="B15">IFERROR(INDEX(입고!$E$8:$E$1013,SMALL(IF((입고!$C$8:$C$1013=$B$5)*(입고!$AC$8:$AC$1013=1),ROW(입고!$C$8:$C$1013)-7),5)),"")</f>
        <v/>
      </c>
      <c r="C15" s="8" t="str">
        <f>IF(B15="","",SUMIFS(입고!$F$8:$F$1013,입고!$C$8:$C$1013,$B$5,입고!$E$8:$E$1013,B15))</f>
        <v/>
      </c>
      <c r="D15" s="8" t="str">
        <f>IF(B15="","",SUMIFS(출고!$F$8:$F$1013,출고!$C$8:$C$1013,$B$5,출고!$E$8:$E$1013,B15))</f>
        <v/>
      </c>
      <c r="E15" s="40" t="str">
        <f t="shared" si="1"/>
        <v/>
      </c>
    </row>
    <row r="16" spans="1:8" ht="15" customHeight="1" x14ac:dyDescent="0.25">
      <c r="A16" s="11" t="str">
        <f t="shared" si="0"/>
        <v/>
      </c>
      <c r="B16" s="11" t="str">
        <f t="array" ref="B16">IFERROR(INDEX(입고!$E$8:$E$1013,SMALL(IF((입고!$C$8:$C$1013=$B$5)*(입고!$AC$8:$AC$1013=1),ROW(입고!$C$8:$C$1013)-7),6)),"")</f>
        <v/>
      </c>
      <c r="C16" s="13" t="str">
        <f>IF(B16="","",SUMIFS(입고!$F$8:$F$1013,입고!$C$8:$C$1013,$B$5,입고!$E$8:$E$1013,B16))</f>
        <v/>
      </c>
      <c r="D16" s="13" t="str">
        <f>IF(B16="","",SUMIFS(출고!$F$8:$F$1013,출고!$C$8:$C$1013,$B$5,출고!$E$8:$E$1013,B16))</f>
        <v/>
      </c>
      <c r="E16" s="41" t="str">
        <f t="shared" si="1"/>
        <v/>
      </c>
    </row>
    <row r="17" spans="1:5" ht="15" customHeight="1" x14ac:dyDescent="0.25">
      <c r="A17" s="6" t="str">
        <f t="shared" si="0"/>
        <v/>
      </c>
      <c r="B17" s="6" t="str">
        <f t="array" ref="B17">IFERROR(INDEX(입고!$E$8:$E$1013,SMALL(IF((입고!$C$8:$C$1013=$B$5)*(입고!$AC$8:$AC$1013=1),ROW(입고!$C$8:$C$1013)-7),7)),"")</f>
        <v/>
      </c>
      <c r="C17" s="8" t="str">
        <f>IF(B17="","",SUMIFS(입고!$F$8:$F$1013,입고!$C$8:$C$1013,$B$5,입고!$E$8:$E$1013,B17))</f>
        <v/>
      </c>
      <c r="D17" s="8" t="str">
        <f>IF(B17="","",SUMIFS(출고!$F$8:$F$1013,출고!$C$8:$C$1013,$B$5,출고!$E$8:$E$1013,B17))</f>
        <v/>
      </c>
      <c r="E17" s="40" t="str">
        <f t="shared" si="1"/>
        <v/>
      </c>
    </row>
    <row r="18" spans="1:5" ht="15" customHeight="1" x14ac:dyDescent="0.25">
      <c r="A18" s="11" t="str">
        <f t="shared" si="0"/>
        <v/>
      </c>
      <c r="B18" s="11" t="str">
        <f t="array" ref="B18">IFERROR(INDEX(입고!$E$8:$E$1013,SMALL(IF((입고!$C$8:$C$1013=$B$5)*(입고!$AC$8:$AC$1013=1),ROW(입고!$C$8:$C$1013)-7),8)),"")</f>
        <v/>
      </c>
      <c r="C18" s="13" t="str">
        <f>IF(B18="","",SUMIFS(입고!$F$8:$F$1013,입고!$C$8:$C$1013,$B$5,입고!$E$8:$E$1013,B18))</f>
        <v/>
      </c>
      <c r="D18" s="13" t="str">
        <f>IF(B18="","",SUMIFS(출고!$F$8:$F$1013,출고!$C$8:$C$1013,$B$5,출고!$E$8:$E$1013,B18))</f>
        <v/>
      </c>
      <c r="E18" s="41" t="str">
        <f t="shared" si="1"/>
        <v/>
      </c>
    </row>
    <row r="19" spans="1:5" ht="15" customHeight="1" x14ac:dyDescent="0.25">
      <c r="A19" s="6" t="str">
        <f t="shared" si="0"/>
        <v/>
      </c>
      <c r="B19" s="6" t="str">
        <f t="array" ref="B19">IFERROR(INDEX(입고!$E$8:$E$1013,SMALL(IF((입고!$C$8:$C$1013=$B$5)*(입고!$AC$8:$AC$1013=1),ROW(입고!$C$8:$C$1013)-7),9)),"")</f>
        <v/>
      </c>
      <c r="C19" s="8" t="str">
        <f>IF(B19="","",SUMIFS(입고!$F$8:$F$1013,입고!$C$8:$C$1013,$B$5,입고!$E$8:$E$1013,B19))</f>
        <v/>
      </c>
      <c r="D19" s="8" t="str">
        <f>IF(B19="","",SUMIFS(출고!$F$8:$F$1013,출고!$C$8:$C$1013,$B$5,출고!$E$8:$E$1013,B19))</f>
        <v/>
      </c>
      <c r="E19" s="40" t="str">
        <f t="shared" si="1"/>
        <v/>
      </c>
    </row>
    <row r="20" spans="1:5" ht="15" customHeight="1" x14ac:dyDescent="0.25">
      <c r="A20" s="11" t="str">
        <f t="shared" si="0"/>
        <v/>
      </c>
      <c r="B20" s="11" t="str">
        <f t="array" ref="B20">IFERROR(INDEX(입고!$E$8:$E$1013,SMALL(IF((입고!$C$8:$C$1013=$B$5)*(입고!$AC$8:$AC$1013=1),ROW(입고!$C$8:$C$1013)-7),10)),"")</f>
        <v/>
      </c>
      <c r="C20" s="13" t="str">
        <f>IF(B20="","",SUMIFS(입고!$F$8:$F$1013,입고!$C$8:$C$1013,$B$5,입고!$E$8:$E$1013,B20))</f>
        <v/>
      </c>
      <c r="D20" s="13" t="str">
        <f>IF(B20="","",SUMIFS(출고!$F$8:$F$1013,출고!$C$8:$C$1013,$B$5,출고!$E$8:$E$1013,B20))</f>
        <v/>
      </c>
      <c r="E20" s="41" t="str">
        <f t="shared" si="1"/>
        <v/>
      </c>
    </row>
    <row r="21" spans="1:5" ht="15" customHeight="1" x14ac:dyDescent="0.25">
      <c r="A21" s="6" t="str">
        <f t="shared" si="0"/>
        <v/>
      </c>
      <c r="B21" s="6" t="str">
        <f t="array" ref="B21">IFERROR(INDEX(입고!$E$8:$E$1013,SMALL(IF((입고!$C$8:$C$1013=$B$5)*(입고!$AC$8:$AC$1013=1),ROW(입고!$C$8:$C$1013)-7),11)),"")</f>
        <v/>
      </c>
      <c r="C21" s="8" t="str">
        <f>IF(B21="","",SUMIFS(입고!$F$8:$F$1013,입고!$C$8:$C$1013,$B$5,입고!$E$8:$E$1013,B21))</f>
        <v/>
      </c>
      <c r="D21" s="8" t="str">
        <f>IF(B21="","",SUMIFS(출고!$F$8:$F$1013,출고!$C$8:$C$1013,$B$5,출고!$E$8:$E$1013,B21))</f>
        <v/>
      </c>
      <c r="E21" s="40" t="str">
        <f t="shared" si="1"/>
        <v/>
      </c>
    </row>
    <row r="22" spans="1:5" ht="15" customHeight="1" x14ac:dyDescent="0.25">
      <c r="A22" s="11" t="str">
        <f t="shared" si="0"/>
        <v/>
      </c>
      <c r="B22" s="11" t="str">
        <f t="array" ref="B22">IFERROR(INDEX(입고!$E$8:$E$1013,SMALL(IF((입고!$C$8:$C$1013=$B$5)*(입고!$AC$8:$AC$1013=1),ROW(입고!$C$8:$C$1013)-7),12)),"")</f>
        <v/>
      </c>
      <c r="C22" s="13" t="str">
        <f>IF(B22="","",SUMIFS(입고!$F$8:$F$1013,입고!$C$8:$C$1013,$B$5,입고!$E$8:$E$1013,B22))</f>
        <v/>
      </c>
      <c r="D22" s="13" t="str">
        <f>IF(B22="","",SUMIFS(출고!$F$8:$F$1013,출고!$C$8:$C$1013,$B$5,출고!$E$8:$E$1013,B22))</f>
        <v/>
      </c>
      <c r="E22" s="41" t="str">
        <f t="shared" si="1"/>
        <v/>
      </c>
    </row>
    <row r="23" spans="1:5" ht="15" customHeight="1" x14ac:dyDescent="0.25">
      <c r="A23" s="6" t="str">
        <f t="shared" si="0"/>
        <v/>
      </c>
      <c r="B23" s="6" t="str">
        <f t="array" ref="B23">IFERROR(INDEX(입고!$E$8:$E$1013,SMALL(IF((입고!$C$8:$C$1013=$B$5)*(입고!$AC$8:$AC$1013=1),ROW(입고!$C$8:$C$1013)-7),13)),"")</f>
        <v/>
      </c>
      <c r="C23" s="8" t="str">
        <f>IF(B23="","",SUMIFS(입고!$F$8:$F$1013,입고!$C$8:$C$1013,$B$5,입고!$E$8:$E$1013,B23))</f>
        <v/>
      </c>
      <c r="D23" s="8" t="str">
        <f>IF(B23="","",SUMIFS(출고!$F$8:$F$1013,출고!$C$8:$C$1013,$B$5,출고!$E$8:$E$1013,B23))</f>
        <v/>
      </c>
      <c r="E23" s="40" t="str">
        <f t="shared" si="1"/>
        <v/>
      </c>
    </row>
    <row r="24" spans="1:5" ht="15" customHeight="1" x14ac:dyDescent="0.25">
      <c r="A24" s="11" t="str">
        <f t="shared" si="0"/>
        <v/>
      </c>
      <c r="B24" s="11" t="str">
        <f t="array" ref="B24">IFERROR(INDEX(입고!$E$8:$E$1013,SMALL(IF((입고!$C$8:$C$1013=$B$5)*(입고!$AC$8:$AC$1013=1),ROW(입고!$C$8:$C$1013)-7),14)),"")</f>
        <v/>
      </c>
      <c r="C24" s="13" t="str">
        <f>IF(B24="","",SUMIFS(입고!$F$8:$F$1013,입고!$C$8:$C$1013,$B$5,입고!$E$8:$E$1013,B24))</f>
        <v/>
      </c>
      <c r="D24" s="13" t="str">
        <f>IF(B24="","",SUMIFS(출고!$F$8:$F$1013,출고!$C$8:$C$1013,$B$5,출고!$E$8:$E$1013,B24))</f>
        <v/>
      </c>
      <c r="E24" s="41" t="str">
        <f t="shared" si="1"/>
        <v/>
      </c>
    </row>
    <row r="25" spans="1:5" ht="15" customHeight="1" x14ac:dyDescent="0.25">
      <c r="A25" s="6" t="str">
        <f t="shared" si="0"/>
        <v/>
      </c>
      <c r="B25" s="6" t="str">
        <f t="array" ref="B25">IFERROR(INDEX(입고!$E$8:$E$1013,SMALL(IF((입고!$C$8:$C$1013=$B$5)*(입고!$AC$8:$AC$1013=1),ROW(입고!$C$8:$C$1013)-7),15)),"")</f>
        <v/>
      </c>
      <c r="C25" s="8" t="str">
        <f>IF(B25="","",SUMIFS(입고!$F$8:$F$1013,입고!$C$8:$C$1013,$B$5,입고!$E$8:$E$1013,B25))</f>
        <v/>
      </c>
      <c r="D25" s="8" t="str">
        <f>IF(B25="","",SUMIFS(출고!$F$8:$F$1013,출고!$C$8:$C$1013,$B$5,출고!$E$8:$E$1013,B25))</f>
        <v/>
      </c>
      <c r="E25" s="40" t="str">
        <f t="shared" si="1"/>
        <v/>
      </c>
    </row>
    <row r="26" spans="1:5" ht="15" customHeight="1" x14ac:dyDescent="0.25">
      <c r="A26" s="11" t="str">
        <f t="shared" si="0"/>
        <v/>
      </c>
      <c r="B26" s="11" t="str">
        <f t="array" ref="B26">IFERROR(INDEX(입고!$E$8:$E$1013,SMALL(IF((입고!$C$8:$C$1013=$B$5)*(입고!$AC$8:$AC$1013=1),ROW(입고!$C$8:$C$1013)-7),16)),"")</f>
        <v/>
      </c>
      <c r="C26" s="13" t="str">
        <f>IF(B26="","",SUMIFS(입고!$F$8:$F$1013,입고!$C$8:$C$1013,$B$5,입고!$E$8:$E$1013,B26))</f>
        <v/>
      </c>
      <c r="D26" s="13" t="str">
        <f>IF(B26="","",SUMIFS(출고!$F$8:$F$1013,출고!$C$8:$C$1013,$B$5,출고!$E$8:$E$1013,B26))</f>
        <v/>
      </c>
      <c r="E26" s="41" t="str">
        <f t="shared" si="1"/>
        <v/>
      </c>
    </row>
    <row r="27" spans="1:5" ht="15" customHeight="1" x14ac:dyDescent="0.25">
      <c r="A27" s="6" t="str">
        <f t="shared" si="0"/>
        <v/>
      </c>
      <c r="B27" s="6" t="str">
        <f t="array" ref="B27">IFERROR(INDEX(입고!$E$8:$E$1013,SMALL(IF((입고!$C$8:$C$1013=$B$5)*(입고!$AC$8:$AC$1013=1),ROW(입고!$C$8:$C$1013)-7),17)),"")</f>
        <v/>
      </c>
      <c r="C27" s="8" t="str">
        <f>IF(B27="","",SUMIFS(입고!$F$8:$F$1013,입고!$C$8:$C$1013,$B$5,입고!$E$8:$E$1013,B27))</f>
        <v/>
      </c>
      <c r="D27" s="8" t="str">
        <f>IF(B27="","",SUMIFS(출고!$F$8:$F$1013,출고!$C$8:$C$1013,$B$5,출고!$E$8:$E$1013,B27))</f>
        <v/>
      </c>
      <c r="E27" s="40" t="str">
        <f t="shared" si="1"/>
        <v/>
      </c>
    </row>
    <row r="28" spans="1:5" ht="15" customHeight="1" x14ac:dyDescent="0.25">
      <c r="A28" s="11" t="str">
        <f t="shared" si="0"/>
        <v/>
      </c>
      <c r="B28" s="11" t="str">
        <f t="array" ref="B28">IFERROR(INDEX(입고!$E$8:$E$1013,SMALL(IF((입고!$C$8:$C$1013=$B$5)*(입고!$AC$8:$AC$1013=1),ROW(입고!$C$8:$C$1013)-7),18)),"")</f>
        <v/>
      </c>
      <c r="C28" s="13" t="str">
        <f>IF(B28="","",SUMIFS(입고!$F$8:$F$1013,입고!$C$8:$C$1013,$B$5,입고!$E$8:$E$1013,B28))</f>
        <v/>
      </c>
      <c r="D28" s="13" t="str">
        <f>IF(B28="","",SUMIFS(출고!$F$8:$F$1013,출고!$C$8:$C$1013,$B$5,출고!$E$8:$E$1013,B28))</f>
        <v/>
      </c>
      <c r="E28" s="41" t="str">
        <f t="shared" si="1"/>
        <v/>
      </c>
    </row>
    <row r="29" spans="1:5" ht="15" customHeight="1" x14ac:dyDescent="0.25">
      <c r="A29" s="6" t="str">
        <f t="shared" si="0"/>
        <v/>
      </c>
      <c r="B29" s="6" t="str">
        <f t="array" ref="B29">IFERROR(INDEX(입고!$E$8:$E$1013,SMALL(IF((입고!$C$8:$C$1013=$B$5)*(입고!$AC$8:$AC$1013=1),ROW(입고!$C$8:$C$1013)-7),19)),"")</f>
        <v/>
      </c>
      <c r="C29" s="8" t="str">
        <f>IF(B29="","",SUMIFS(입고!$F$8:$F$1013,입고!$C$8:$C$1013,$B$5,입고!$E$8:$E$1013,B29))</f>
        <v/>
      </c>
      <c r="D29" s="8" t="str">
        <f>IF(B29="","",SUMIFS(출고!$F$8:$F$1013,출고!$C$8:$C$1013,$B$5,출고!$E$8:$E$1013,B29))</f>
        <v/>
      </c>
      <c r="E29" s="40" t="str">
        <f t="shared" si="1"/>
        <v/>
      </c>
    </row>
    <row r="30" spans="1:5" ht="15" customHeight="1" x14ac:dyDescent="0.25">
      <c r="A30" s="11" t="str">
        <f t="shared" si="0"/>
        <v/>
      </c>
      <c r="B30" s="11" t="str">
        <f t="array" ref="B30">IFERROR(INDEX(입고!$E$8:$E$1013,SMALL(IF((입고!$C$8:$C$1013=$B$5)*(입고!$AC$8:$AC$1013=1),ROW(입고!$C$8:$C$1013)-7),20)),"")</f>
        <v/>
      </c>
      <c r="C30" s="13" t="str">
        <f>IF(B30="","",SUMIFS(입고!$F$8:$F$1013,입고!$C$8:$C$1013,$B$5,입고!$E$8:$E$1013,B30))</f>
        <v/>
      </c>
      <c r="D30" s="13" t="str">
        <f>IF(B30="","",SUMIFS(출고!$F$8:$F$1013,출고!$C$8:$C$1013,$B$5,출고!$E$8:$E$1013,B30))</f>
        <v/>
      </c>
      <c r="E30" s="41" t="str">
        <f t="shared" si="1"/>
        <v/>
      </c>
    </row>
    <row r="31" spans="1:5" ht="15" customHeight="1" x14ac:dyDescent="0.25">
      <c r="A31" s="6" t="str">
        <f t="shared" si="0"/>
        <v/>
      </c>
      <c r="B31" s="6" t="str">
        <f t="array" ref="B31">IFERROR(INDEX(입고!$E$8:$E$1013,SMALL(IF((입고!$C$8:$C$1013=$B$5)*(입고!$AC$8:$AC$1013=1),ROW(입고!$C$8:$C$1013)-7),21)),"")</f>
        <v/>
      </c>
      <c r="C31" s="8" t="str">
        <f>IF(B31="","",SUMIFS(입고!$F$8:$F$1013,입고!$C$8:$C$1013,$B$5,입고!$E$8:$E$1013,B31))</f>
        <v/>
      </c>
      <c r="D31" s="8" t="str">
        <f>IF(B31="","",SUMIFS(출고!$F$8:$F$1013,출고!$C$8:$C$1013,$B$5,출고!$E$8:$E$1013,B31))</f>
        <v/>
      </c>
      <c r="E31" s="40" t="str">
        <f t="shared" si="1"/>
        <v/>
      </c>
    </row>
    <row r="32" spans="1:5" ht="15" customHeight="1" x14ac:dyDescent="0.25">
      <c r="A32" s="11" t="str">
        <f t="shared" si="0"/>
        <v/>
      </c>
      <c r="B32" s="11" t="str">
        <f t="array" ref="B32">IFERROR(INDEX(입고!$E$8:$E$1013,SMALL(IF((입고!$C$8:$C$1013=$B$5)*(입고!$AC$8:$AC$1013=1),ROW(입고!$C$8:$C$1013)-7),22)),"")</f>
        <v/>
      </c>
      <c r="C32" s="13" t="str">
        <f>IF(B32="","",SUMIFS(입고!$F$8:$F$1013,입고!$C$8:$C$1013,$B$5,입고!$E$8:$E$1013,B32))</f>
        <v/>
      </c>
      <c r="D32" s="13" t="str">
        <f>IF(B32="","",SUMIFS(출고!$F$8:$F$1013,출고!$C$8:$C$1013,$B$5,출고!$E$8:$E$1013,B32))</f>
        <v/>
      </c>
      <c r="E32" s="41" t="str">
        <f t="shared" si="1"/>
        <v/>
      </c>
    </row>
    <row r="33" spans="1:5" ht="15" customHeight="1" x14ac:dyDescent="0.25">
      <c r="A33" s="6" t="str">
        <f t="shared" si="0"/>
        <v/>
      </c>
      <c r="B33" s="6" t="str">
        <f t="array" ref="B33">IFERROR(INDEX(입고!$E$8:$E$1013,SMALL(IF((입고!$C$8:$C$1013=$B$5)*(입고!$AC$8:$AC$1013=1),ROW(입고!$C$8:$C$1013)-7),23)),"")</f>
        <v/>
      </c>
      <c r="C33" s="8" t="str">
        <f>IF(B33="","",SUMIFS(입고!$F$8:$F$1013,입고!$C$8:$C$1013,$B$5,입고!$E$8:$E$1013,B33))</f>
        <v/>
      </c>
      <c r="D33" s="8" t="str">
        <f>IF(B33="","",SUMIFS(출고!$F$8:$F$1013,출고!$C$8:$C$1013,$B$5,출고!$E$8:$E$1013,B33))</f>
        <v/>
      </c>
      <c r="E33" s="40" t="str">
        <f t="shared" si="1"/>
        <v/>
      </c>
    </row>
    <row r="34" spans="1:5" ht="15" customHeight="1" x14ac:dyDescent="0.25">
      <c r="A34" s="11" t="str">
        <f t="shared" si="0"/>
        <v/>
      </c>
      <c r="B34" s="11" t="str">
        <f t="array" ref="B34">IFERROR(INDEX(입고!$E$8:$E$1013,SMALL(IF((입고!$C$8:$C$1013=$B$5)*(입고!$AC$8:$AC$1013=1),ROW(입고!$C$8:$C$1013)-7),24)),"")</f>
        <v/>
      </c>
      <c r="C34" s="13" t="str">
        <f>IF(B34="","",SUMIFS(입고!$F$8:$F$1013,입고!$C$8:$C$1013,$B$5,입고!$E$8:$E$1013,B34))</f>
        <v/>
      </c>
      <c r="D34" s="13" t="str">
        <f>IF(B34="","",SUMIFS(출고!$F$8:$F$1013,출고!$C$8:$C$1013,$B$5,출고!$E$8:$E$1013,B34))</f>
        <v/>
      </c>
      <c r="E34" s="41" t="str">
        <f t="shared" si="1"/>
        <v/>
      </c>
    </row>
    <row r="35" spans="1:5" ht="15" customHeight="1" x14ac:dyDescent="0.25">
      <c r="A35" s="6" t="str">
        <f t="shared" si="0"/>
        <v/>
      </c>
      <c r="B35" s="6" t="str">
        <f t="array" ref="B35">IFERROR(INDEX(입고!$E$8:$E$1013,SMALL(IF((입고!$C$8:$C$1013=$B$5)*(입고!$AC$8:$AC$1013=1),ROW(입고!$C$8:$C$1013)-7),25)),"")</f>
        <v/>
      </c>
      <c r="C35" s="8" t="str">
        <f>IF(B35="","",SUMIFS(입고!$F$8:$F$1013,입고!$C$8:$C$1013,$B$5,입고!$E$8:$E$1013,B35))</f>
        <v/>
      </c>
      <c r="D35" s="8" t="str">
        <f>IF(B35="","",SUMIFS(출고!$F$8:$F$1013,출고!$C$8:$C$1013,$B$5,출고!$E$8:$E$1013,B35))</f>
        <v/>
      </c>
      <c r="E35" s="40" t="str">
        <f t="shared" si="1"/>
        <v/>
      </c>
    </row>
    <row r="36" spans="1:5" ht="15" customHeight="1" x14ac:dyDescent="0.25">
      <c r="A36" s="11" t="str">
        <f t="shared" si="0"/>
        <v/>
      </c>
      <c r="B36" s="11" t="str">
        <f t="array" ref="B36">IFERROR(INDEX(입고!$E$8:$E$1013,SMALL(IF((입고!$C$8:$C$1013=$B$5)*(입고!$AC$8:$AC$1013=1),ROW(입고!$C$8:$C$1013)-7),26)),"")</f>
        <v/>
      </c>
      <c r="C36" s="13" t="str">
        <f>IF(B36="","",SUMIFS(입고!$F$8:$F$1013,입고!$C$8:$C$1013,$B$5,입고!$E$8:$E$1013,B36))</f>
        <v/>
      </c>
      <c r="D36" s="13" t="str">
        <f>IF(B36="","",SUMIFS(출고!$F$8:$F$1013,출고!$C$8:$C$1013,$B$5,출고!$E$8:$E$1013,B36))</f>
        <v/>
      </c>
      <c r="E36" s="41" t="str">
        <f t="shared" si="1"/>
        <v/>
      </c>
    </row>
    <row r="37" spans="1:5" ht="15" customHeight="1" x14ac:dyDescent="0.25">
      <c r="A37" s="6" t="str">
        <f t="shared" si="0"/>
        <v/>
      </c>
      <c r="B37" s="6" t="str">
        <f t="array" ref="B37">IFERROR(INDEX(입고!$E$8:$E$1013,SMALL(IF((입고!$C$8:$C$1013=$B$5)*(입고!$AC$8:$AC$1013=1),ROW(입고!$C$8:$C$1013)-7),27)),"")</f>
        <v/>
      </c>
      <c r="C37" s="8" t="str">
        <f>IF(B37="","",SUMIFS(입고!$F$8:$F$1013,입고!$C$8:$C$1013,$B$5,입고!$E$8:$E$1013,B37))</f>
        <v/>
      </c>
      <c r="D37" s="8" t="str">
        <f>IF(B37="","",SUMIFS(출고!$F$8:$F$1013,출고!$C$8:$C$1013,$B$5,출고!$E$8:$E$1013,B37))</f>
        <v/>
      </c>
      <c r="E37" s="40" t="str">
        <f t="shared" si="1"/>
        <v/>
      </c>
    </row>
    <row r="38" spans="1:5" ht="15" customHeight="1" x14ac:dyDescent="0.25">
      <c r="A38" s="11" t="str">
        <f t="shared" si="0"/>
        <v/>
      </c>
      <c r="B38" s="11" t="str">
        <f t="array" ref="B38">IFERROR(INDEX(입고!$E$8:$E$1013,SMALL(IF((입고!$C$8:$C$1013=$B$5)*(입고!$AC$8:$AC$1013=1),ROW(입고!$C$8:$C$1013)-7),28)),"")</f>
        <v/>
      </c>
      <c r="C38" s="13" t="str">
        <f>IF(B38="","",SUMIFS(입고!$F$8:$F$1013,입고!$C$8:$C$1013,$B$5,입고!$E$8:$E$1013,B38))</f>
        <v/>
      </c>
      <c r="D38" s="13" t="str">
        <f>IF(B38="","",SUMIFS(출고!$F$8:$F$1013,출고!$C$8:$C$1013,$B$5,출고!$E$8:$E$1013,B38))</f>
        <v/>
      </c>
      <c r="E38" s="41" t="str">
        <f t="shared" si="1"/>
        <v/>
      </c>
    </row>
    <row r="39" spans="1:5" ht="15" customHeight="1" x14ac:dyDescent="0.25">
      <c r="A39" s="6" t="str">
        <f t="shared" si="0"/>
        <v/>
      </c>
      <c r="B39" s="6" t="str">
        <f t="array" ref="B39">IFERROR(INDEX(입고!$E$8:$E$1013,SMALL(IF((입고!$C$8:$C$1013=$B$5)*(입고!$AC$8:$AC$1013=1),ROW(입고!$C$8:$C$1013)-7),29)),"")</f>
        <v/>
      </c>
      <c r="C39" s="8" t="str">
        <f>IF(B39="","",SUMIFS(입고!$F$8:$F$1013,입고!$C$8:$C$1013,$B$5,입고!$E$8:$E$1013,B39))</f>
        <v/>
      </c>
      <c r="D39" s="8" t="str">
        <f>IF(B39="","",SUMIFS(출고!$F$8:$F$1013,출고!$C$8:$C$1013,$B$5,출고!$E$8:$E$1013,B39))</f>
        <v/>
      </c>
      <c r="E39" s="40" t="str">
        <f t="shared" si="1"/>
        <v/>
      </c>
    </row>
    <row r="40" spans="1:5" ht="15" customHeight="1" x14ac:dyDescent="0.25">
      <c r="A40" s="11" t="str">
        <f t="shared" si="0"/>
        <v/>
      </c>
      <c r="B40" s="11" t="str">
        <f t="array" ref="B40">IFERROR(INDEX(입고!$E$8:$E$1013,SMALL(IF((입고!$C$8:$C$1013=$B$5)*(입고!$AC$8:$AC$1013=1),ROW(입고!$C$8:$C$1013)-7),30)),"")</f>
        <v/>
      </c>
      <c r="C40" s="13" t="str">
        <f>IF(B40="","",SUMIFS(입고!$F$8:$F$1013,입고!$C$8:$C$1013,$B$5,입고!$E$8:$E$1013,B40))</f>
        <v/>
      </c>
      <c r="D40" s="13" t="str">
        <f>IF(B40="","",SUMIFS(출고!$F$8:$F$1013,출고!$C$8:$C$1013,$B$5,출고!$E$8:$E$1013,B40))</f>
        <v/>
      </c>
      <c r="E40" s="41" t="str">
        <f t="shared" si="1"/>
        <v/>
      </c>
    </row>
    <row r="41" spans="1:5" ht="15" customHeight="1" x14ac:dyDescent="0.25">
      <c r="A41" s="6" t="str">
        <f t="shared" si="0"/>
        <v/>
      </c>
      <c r="B41" s="6" t="str">
        <f t="array" ref="B41">IFERROR(INDEX(입고!$E$8:$E$1013,SMALL(IF((입고!$C$8:$C$1013=$B$5)*(입고!$AC$8:$AC$1013=1),ROW(입고!$C$8:$C$1013)-7),31)),"")</f>
        <v/>
      </c>
      <c r="C41" s="8" t="str">
        <f>IF(B41="","",SUMIFS(입고!$F$8:$F$1013,입고!$C$8:$C$1013,$B$5,입고!$E$8:$E$1013,B41))</f>
        <v/>
      </c>
      <c r="D41" s="8" t="str">
        <f>IF(B41="","",SUMIFS(출고!$F$8:$F$1013,출고!$C$8:$C$1013,$B$5,출고!$E$8:$E$1013,B41))</f>
        <v/>
      </c>
      <c r="E41" s="40" t="str">
        <f t="shared" si="1"/>
        <v/>
      </c>
    </row>
    <row r="42" spans="1:5" ht="15" customHeight="1" x14ac:dyDescent="0.25">
      <c r="A42" s="11" t="str">
        <f t="shared" si="0"/>
        <v/>
      </c>
      <c r="B42" s="11" t="str">
        <f t="array" ref="B42">IFERROR(INDEX(입고!$E$8:$E$1013,SMALL(IF((입고!$C$8:$C$1013=$B$5)*(입고!$AC$8:$AC$1013=1),ROW(입고!$C$8:$C$1013)-7),32)),"")</f>
        <v/>
      </c>
      <c r="C42" s="13" t="str">
        <f>IF(B42="","",SUMIFS(입고!$F$8:$F$1013,입고!$C$8:$C$1013,$B$5,입고!$E$8:$E$1013,B42))</f>
        <v/>
      </c>
      <c r="D42" s="13" t="str">
        <f>IF(B42="","",SUMIFS(출고!$F$8:$F$1013,출고!$C$8:$C$1013,$B$5,출고!$E$8:$E$1013,B42))</f>
        <v/>
      </c>
      <c r="E42" s="41" t="str">
        <f t="shared" si="1"/>
        <v/>
      </c>
    </row>
    <row r="43" spans="1:5" ht="15" customHeight="1" x14ac:dyDescent="0.25">
      <c r="A43" s="6" t="str">
        <f t="shared" ref="A43:A60" si="2">IF(B43="","",ROW()-10)</f>
        <v/>
      </c>
      <c r="B43" s="6" t="str">
        <f t="array" ref="B43">IFERROR(INDEX(입고!$E$8:$E$1013,SMALL(IF((입고!$C$8:$C$1013=$B$5)*(입고!$AC$8:$AC$1013=1),ROW(입고!$C$8:$C$1013)-7),33)),"")</f>
        <v/>
      </c>
      <c r="C43" s="8" t="str">
        <f>IF(B43="","",SUMIFS(입고!$F$8:$F$1013,입고!$C$8:$C$1013,$B$5,입고!$E$8:$E$1013,B43))</f>
        <v/>
      </c>
      <c r="D43" s="8" t="str">
        <f>IF(B43="","",SUMIFS(출고!$F$8:$F$1013,출고!$C$8:$C$1013,$B$5,출고!$E$8:$E$1013,B43))</f>
        <v/>
      </c>
      <c r="E43" s="40" t="str">
        <f t="shared" ref="E43:E60" si="3">IF(B43="","",C43-D43)</f>
        <v/>
      </c>
    </row>
    <row r="44" spans="1:5" ht="15" customHeight="1" x14ac:dyDescent="0.25">
      <c r="A44" s="11" t="str">
        <f t="shared" si="2"/>
        <v/>
      </c>
      <c r="B44" s="11" t="str">
        <f t="array" ref="B44">IFERROR(INDEX(입고!$E$8:$E$1013,SMALL(IF((입고!$C$8:$C$1013=$B$5)*(입고!$AC$8:$AC$1013=1),ROW(입고!$C$8:$C$1013)-7),34)),"")</f>
        <v/>
      </c>
      <c r="C44" s="13" t="str">
        <f>IF(B44="","",SUMIFS(입고!$F$8:$F$1013,입고!$C$8:$C$1013,$B$5,입고!$E$8:$E$1013,B44))</f>
        <v/>
      </c>
      <c r="D44" s="13" t="str">
        <f>IF(B44="","",SUMIFS(출고!$F$8:$F$1013,출고!$C$8:$C$1013,$B$5,출고!$E$8:$E$1013,B44))</f>
        <v/>
      </c>
      <c r="E44" s="41" t="str">
        <f t="shared" si="3"/>
        <v/>
      </c>
    </row>
    <row r="45" spans="1:5" ht="15" customHeight="1" x14ac:dyDescent="0.25">
      <c r="A45" s="6" t="str">
        <f t="shared" si="2"/>
        <v/>
      </c>
      <c r="B45" s="6" t="str">
        <f t="array" ref="B45">IFERROR(INDEX(입고!$E$8:$E$1013,SMALL(IF((입고!$C$8:$C$1013=$B$5)*(입고!$AC$8:$AC$1013=1),ROW(입고!$C$8:$C$1013)-7),35)),"")</f>
        <v/>
      </c>
      <c r="C45" s="8" t="str">
        <f>IF(B45="","",SUMIFS(입고!$F$8:$F$1013,입고!$C$8:$C$1013,$B$5,입고!$E$8:$E$1013,B45))</f>
        <v/>
      </c>
      <c r="D45" s="8" t="str">
        <f>IF(B45="","",SUMIFS(출고!$F$8:$F$1013,출고!$C$8:$C$1013,$B$5,출고!$E$8:$E$1013,B45))</f>
        <v/>
      </c>
      <c r="E45" s="40" t="str">
        <f t="shared" si="3"/>
        <v/>
      </c>
    </row>
    <row r="46" spans="1:5" ht="15" customHeight="1" x14ac:dyDescent="0.25">
      <c r="A46" s="11" t="str">
        <f t="shared" si="2"/>
        <v/>
      </c>
      <c r="B46" s="11" t="str">
        <f t="array" ref="B46">IFERROR(INDEX(입고!$E$8:$E$1013,SMALL(IF((입고!$C$8:$C$1013=$B$5)*(입고!$AC$8:$AC$1013=1),ROW(입고!$C$8:$C$1013)-7),36)),"")</f>
        <v/>
      </c>
      <c r="C46" s="13" t="str">
        <f>IF(B46="","",SUMIFS(입고!$F$8:$F$1013,입고!$C$8:$C$1013,$B$5,입고!$E$8:$E$1013,B46))</f>
        <v/>
      </c>
      <c r="D46" s="13" t="str">
        <f>IF(B46="","",SUMIFS(출고!$F$8:$F$1013,출고!$C$8:$C$1013,$B$5,출고!$E$8:$E$1013,B46))</f>
        <v/>
      </c>
      <c r="E46" s="41" t="str">
        <f t="shared" si="3"/>
        <v/>
      </c>
    </row>
    <row r="47" spans="1:5" ht="15" customHeight="1" x14ac:dyDescent="0.25">
      <c r="A47" s="6" t="str">
        <f t="shared" si="2"/>
        <v/>
      </c>
      <c r="B47" s="6" t="str">
        <f t="array" ref="B47">IFERROR(INDEX(입고!$E$8:$E$1013,SMALL(IF((입고!$C$8:$C$1013=$B$5)*(입고!$AC$8:$AC$1013=1),ROW(입고!$C$8:$C$1013)-7),37)),"")</f>
        <v/>
      </c>
      <c r="C47" s="8" t="str">
        <f>IF(B47="","",SUMIFS(입고!$F$8:$F$1013,입고!$C$8:$C$1013,$B$5,입고!$E$8:$E$1013,B47))</f>
        <v/>
      </c>
      <c r="D47" s="8" t="str">
        <f>IF(B47="","",SUMIFS(출고!$F$8:$F$1013,출고!$C$8:$C$1013,$B$5,출고!$E$8:$E$1013,B47))</f>
        <v/>
      </c>
      <c r="E47" s="40" t="str">
        <f t="shared" si="3"/>
        <v/>
      </c>
    </row>
    <row r="48" spans="1:5" ht="15" customHeight="1" x14ac:dyDescent="0.25">
      <c r="A48" s="11" t="str">
        <f t="shared" si="2"/>
        <v/>
      </c>
      <c r="B48" s="11" t="str">
        <f t="array" ref="B48">IFERROR(INDEX(입고!$E$8:$E$1013,SMALL(IF((입고!$C$8:$C$1013=$B$5)*(입고!$AC$8:$AC$1013=1),ROW(입고!$C$8:$C$1013)-7),38)),"")</f>
        <v/>
      </c>
      <c r="C48" s="13" t="str">
        <f>IF(B48="","",SUMIFS(입고!$F$8:$F$1013,입고!$C$8:$C$1013,$B$5,입고!$E$8:$E$1013,B48))</f>
        <v/>
      </c>
      <c r="D48" s="13" t="str">
        <f>IF(B48="","",SUMIFS(출고!$F$8:$F$1013,출고!$C$8:$C$1013,$B$5,출고!$E$8:$E$1013,B48))</f>
        <v/>
      </c>
      <c r="E48" s="41" t="str">
        <f t="shared" si="3"/>
        <v/>
      </c>
    </row>
    <row r="49" spans="1:5" ht="15" customHeight="1" x14ac:dyDescent="0.25">
      <c r="A49" s="6" t="str">
        <f t="shared" si="2"/>
        <v/>
      </c>
      <c r="B49" s="6" t="str">
        <f t="array" ref="B49">IFERROR(INDEX(입고!$E$8:$E$1013,SMALL(IF((입고!$C$8:$C$1013=$B$5)*(입고!$AC$8:$AC$1013=1),ROW(입고!$C$8:$C$1013)-7),39)),"")</f>
        <v/>
      </c>
      <c r="C49" s="8" t="str">
        <f>IF(B49="","",SUMIFS(입고!$F$8:$F$1013,입고!$C$8:$C$1013,$B$5,입고!$E$8:$E$1013,B49))</f>
        <v/>
      </c>
      <c r="D49" s="8" t="str">
        <f>IF(B49="","",SUMIFS(출고!$F$8:$F$1013,출고!$C$8:$C$1013,$B$5,출고!$E$8:$E$1013,B49))</f>
        <v/>
      </c>
      <c r="E49" s="40" t="str">
        <f t="shared" si="3"/>
        <v/>
      </c>
    </row>
    <row r="50" spans="1:5" ht="15" customHeight="1" x14ac:dyDescent="0.25">
      <c r="A50" s="11" t="str">
        <f t="shared" si="2"/>
        <v/>
      </c>
      <c r="B50" s="11" t="str">
        <f t="array" ref="B50">IFERROR(INDEX(입고!$E$8:$E$1013,SMALL(IF((입고!$C$8:$C$1013=$B$5)*(입고!$AC$8:$AC$1013=1),ROW(입고!$C$8:$C$1013)-7),40)),"")</f>
        <v/>
      </c>
      <c r="C50" s="13" t="str">
        <f>IF(B50="","",SUMIFS(입고!$F$8:$F$1013,입고!$C$8:$C$1013,$B$5,입고!$E$8:$E$1013,B50))</f>
        <v/>
      </c>
      <c r="D50" s="13" t="str">
        <f>IF(B50="","",SUMIFS(출고!$F$8:$F$1013,출고!$C$8:$C$1013,$B$5,출고!$E$8:$E$1013,B50))</f>
        <v/>
      </c>
      <c r="E50" s="41" t="str">
        <f t="shared" si="3"/>
        <v/>
      </c>
    </row>
    <row r="51" spans="1:5" ht="15" customHeight="1" x14ac:dyDescent="0.25">
      <c r="A51" s="6" t="str">
        <f t="shared" si="2"/>
        <v/>
      </c>
      <c r="B51" s="6" t="str">
        <f t="array" ref="B51">IFERROR(INDEX(입고!$E$8:$E$1013,SMALL(IF((입고!$C$8:$C$1013=$B$5)*(입고!$AC$8:$AC$1013=1),ROW(입고!$C$8:$C$1013)-7),41)),"")</f>
        <v/>
      </c>
      <c r="C51" s="8" t="str">
        <f>IF(B51="","",SUMIFS(입고!$F$8:$F$1013,입고!$C$8:$C$1013,$B$5,입고!$E$8:$E$1013,B51))</f>
        <v/>
      </c>
      <c r="D51" s="8" t="str">
        <f>IF(B51="","",SUMIFS(출고!$F$8:$F$1013,출고!$C$8:$C$1013,$B$5,출고!$E$8:$E$1013,B51))</f>
        <v/>
      </c>
      <c r="E51" s="40" t="str">
        <f t="shared" si="3"/>
        <v/>
      </c>
    </row>
    <row r="52" spans="1:5" ht="15" customHeight="1" x14ac:dyDescent="0.25">
      <c r="A52" s="11" t="str">
        <f t="shared" si="2"/>
        <v/>
      </c>
      <c r="B52" s="11" t="str">
        <f t="array" ref="B52">IFERROR(INDEX(입고!$E$8:$E$1013,SMALL(IF((입고!$C$8:$C$1013=$B$5)*(입고!$AC$8:$AC$1013=1),ROW(입고!$C$8:$C$1013)-7),42)),"")</f>
        <v/>
      </c>
      <c r="C52" s="13" t="str">
        <f>IF(B52="","",SUMIFS(입고!$F$8:$F$1013,입고!$C$8:$C$1013,$B$5,입고!$E$8:$E$1013,B52))</f>
        <v/>
      </c>
      <c r="D52" s="13" t="str">
        <f>IF(B52="","",SUMIFS(출고!$F$8:$F$1013,출고!$C$8:$C$1013,$B$5,출고!$E$8:$E$1013,B52))</f>
        <v/>
      </c>
      <c r="E52" s="41" t="str">
        <f t="shared" si="3"/>
        <v/>
      </c>
    </row>
    <row r="53" spans="1:5" ht="15" customHeight="1" x14ac:dyDescent="0.25">
      <c r="A53" s="6" t="str">
        <f t="shared" si="2"/>
        <v/>
      </c>
      <c r="B53" s="6" t="str">
        <f t="array" ref="B53">IFERROR(INDEX(입고!$E$8:$E$1013,SMALL(IF((입고!$C$8:$C$1013=$B$5)*(입고!$AC$8:$AC$1013=1),ROW(입고!$C$8:$C$1013)-7),43)),"")</f>
        <v/>
      </c>
      <c r="C53" s="8" t="str">
        <f>IF(B53="","",SUMIFS(입고!$F$8:$F$1013,입고!$C$8:$C$1013,$B$5,입고!$E$8:$E$1013,B53))</f>
        <v/>
      </c>
      <c r="D53" s="8" t="str">
        <f>IF(B53="","",SUMIFS(출고!$F$8:$F$1013,출고!$C$8:$C$1013,$B$5,출고!$E$8:$E$1013,B53))</f>
        <v/>
      </c>
      <c r="E53" s="40" t="str">
        <f t="shared" si="3"/>
        <v/>
      </c>
    </row>
    <row r="54" spans="1:5" ht="15" customHeight="1" x14ac:dyDescent="0.25">
      <c r="A54" s="11" t="str">
        <f t="shared" si="2"/>
        <v/>
      </c>
      <c r="B54" s="11" t="str">
        <f t="array" ref="B54">IFERROR(INDEX(입고!$E$8:$E$1013,SMALL(IF((입고!$C$8:$C$1013=$B$5)*(입고!$AC$8:$AC$1013=1),ROW(입고!$C$8:$C$1013)-7),44)),"")</f>
        <v/>
      </c>
      <c r="C54" s="13" t="str">
        <f>IF(B54="","",SUMIFS(입고!$F$8:$F$1013,입고!$C$8:$C$1013,$B$5,입고!$E$8:$E$1013,B54))</f>
        <v/>
      </c>
      <c r="D54" s="13" t="str">
        <f>IF(B54="","",SUMIFS(출고!$F$8:$F$1013,출고!$C$8:$C$1013,$B$5,출고!$E$8:$E$1013,B54))</f>
        <v/>
      </c>
      <c r="E54" s="41" t="str">
        <f t="shared" si="3"/>
        <v/>
      </c>
    </row>
    <row r="55" spans="1:5" ht="15" customHeight="1" x14ac:dyDescent="0.25">
      <c r="A55" s="6" t="str">
        <f t="shared" si="2"/>
        <v/>
      </c>
      <c r="B55" s="6" t="str">
        <f t="array" ref="B55">IFERROR(INDEX(입고!$E$8:$E$1013,SMALL(IF((입고!$C$8:$C$1013=$B$5)*(입고!$AC$8:$AC$1013=1),ROW(입고!$C$8:$C$1013)-7),45)),"")</f>
        <v/>
      </c>
      <c r="C55" s="8" t="str">
        <f>IF(B55="","",SUMIFS(입고!$F$8:$F$1013,입고!$C$8:$C$1013,$B$5,입고!$E$8:$E$1013,B55))</f>
        <v/>
      </c>
      <c r="D55" s="8" t="str">
        <f>IF(B55="","",SUMIFS(출고!$F$8:$F$1013,출고!$C$8:$C$1013,$B$5,출고!$E$8:$E$1013,B55))</f>
        <v/>
      </c>
      <c r="E55" s="40" t="str">
        <f t="shared" si="3"/>
        <v/>
      </c>
    </row>
    <row r="56" spans="1:5" ht="15" customHeight="1" x14ac:dyDescent="0.25">
      <c r="A56" s="11" t="str">
        <f t="shared" si="2"/>
        <v/>
      </c>
      <c r="B56" s="11" t="str">
        <f t="array" ref="B56">IFERROR(INDEX(입고!$E$8:$E$1013,SMALL(IF((입고!$C$8:$C$1013=$B$5)*(입고!$AC$8:$AC$1013=1),ROW(입고!$C$8:$C$1013)-7),46)),"")</f>
        <v/>
      </c>
      <c r="C56" s="13" t="str">
        <f>IF(B56="","",SUMIFS(입고!$F$8:$F$1013,입고!$C$8:$C$1013,$B$5,입고!$E$8:$E$1013,B56))</f>
        <v/>
      </c>
      <c r="D56" s="13" t="str">
        <f>IF(B56="","",SUMIFS(출고!$F$8:$F$1013,출고!$C$8:$C$1013,$B$5,출고!$E$8:$E$1013,B56))</f>
        <v/>
      </c>
      <c r="E56" s="41" t="str">
        <f t="shared" si="3"/>
        <v/>
      </c>
    </row>
    <row r="57" spans="1:5" ht="15" customHeight="1" x14ac:dyDescent="0.25">
      <c r="A57" s="6" t="str">
        <f t="shared" si="2"/>
        <v/>
      </c>
      <c r="B57" s="6" t="str">
        <f t="array" ref="B57">IFERROR(INDEX(입고!$E$8:$E$1013,SMALL(IF((입고!$C$8:$C$1013=$B$5)*(입고!$AC$8:$AC$1013=1),ROW(입고!$C$8:$C$1013)-7),47)),"")</f>
        <v/>
      </c>
      <c r="C57" s="8" t="str">
        <f>IF(B57="","",SUMIFS(입고!$F$8:$F$1013,입고!$C$8:$C$1013,$B$5,입고!$E$8:$E$1013,B57))</f>
        <v/>
      </c>
      <c r="D57" s="8" t="str">
        <f>IF(B57="","",SUMIFS(출고!$F$8:$F$1013,출고!$C$8:$C$1013,$B$5,출고!$E$8:$E$1013,B57))</f>
        <v/>
      </c>
      <c r="E57" s="40" t="str">
        <f t="shared" si="3"/>
        <v/>
      </c>
    </row>
    <row r="58" spans="1:5" ht="15" customHeight="1" x14ac:dyDescent="0.25">
      <c r="A58" s="11" t="str">
        <f t="shared" si="2"/>
        <v/>
      </c>
      <c r="B58" s="11" t="str">
        <f t="array" ref="B58">IFERROR(INDEX(입고!$E$8:$E$1013,SMALL(IF((입고!$C$8:$C$1013=$B$5)*(입고!$AC$8:$AC$1013=1),ROW(입고!$C$8:$C$1013)-7),48)),"")</f>
        <v/>
      </c>
      <c r="C58" s="13" t="str">
        <f>IF(B58="","",SUMIFS(입고!$F$8:$F$1013,입고!$C$8:$C$1013,$B$5,입고!$E$8:$E$1013,B58))</f>
        <v/>
      </c>
      <c r="D58" s="13" t="str">
        <f>IF(B58="","",SUMIFS(출고!$F$8:$F$1013,출고!$C$8:$C$1013,$B$5,출고!$E$8:$E$1013,B58))</f>
        <v/>
      </c>
      <c r="E58" s="41" t="str">
        <f t="shared" si="3"/>
        <v/>
      </c>
    </row>
    <row r="59" spans="1:5" ht="15" customHeight="1" x14ac:dyDescent="0.25">
      <c r="A59" s="6" t="str">
        <f t="shared" si="2"/>
        <v/>
      </c>
      <c r="B59" s="6" t="str">
        <f t="array" ref="B59">IFERROR(INDEX(입고!$E$8:$E$1013,SMALL(IF((입고!$C$8:$C$1013=$B$5)*(입고!$AC$8:$AC$1013=1),ROW(입고!$C$8:$C$1013)-7),49)),"")</f>
        <v/>
      </c>
      <c r="C59" s="8" t="str">
        <f>IF(B59="","",SUMIFS(입고!$F$8:$F$1013,입고!$C$8:$C$1013,$B$5,입고!$E$8:$E$1013,B59))</f>
        <v/>
      </c>
      <c r="D59" s="8" t="str">
        <f>IF(B59="","",SUMIFS(출고!$F$8:$F$1013,출고!$C$8:$C$1013,$B$5,출고!$E$8:$E$1013,B59))</f>
        <v/>
      </c>
      <c r="E59" s="40" t="str">
        <f t="shared" si="3"/>
        <v/>
      </c>
    </row>
    <row r="60" spans="1:5" ht="15" customHeight="1" x14ac:dyDescent="0.25">
      <c r="A60" s="11" t="str">
        <f t="shared" si="2"/>
        <v/>
      </c>
      <c r="B60" s="11" t="str">
        <f t="array" ref="B60">IFERROR(INDEX(입고!$E$8:$E$1013,SMALL(IF((입고!$C$8:$C$1013=$B$5)*(입고!$AC$8:$AC$1013=1),ROW(입고!$C$8:$C$1013)-7),50)),"")</f>
        <v/>
      </c>
      <c r="C60" s="13" t="str">
        <f>IF(B60="","",SUMIFS(입고!$F$8:$F$1013,입고!$C$8:$C$1013,$B$5,입고!$E$8:$E$1013,B60))</f>
        <v/>
      </c>
      <c r="D60" s="13" t="str">
        <f>IF(B60="","",SUMIFS(출고!$F$8:$F$1013,출고!$C$8:$C$1013,$B$5,출고!$E$8:$E$1013,B60))</f>
        <v/>
      </c>
      <c r="E60" s="41" t="str">
        <f t="shared" si="3"/>
        <v/>
      </c>
    </row>
  </sheetData>
  <mergeCells count="3">
    <mergeCell ref="A1:H2"/>
    <mergeCell ref="A3:G3"/>
    <mergeCell ref="A9:E9"/>
  </mergeCells>
  <phoneticPr fontId="40" type="noConversion"/>
  <conditionalFormatting sqref="E11:E60">
    <cfRule type="cellIs" dxfId="17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마스터!$M$4:$M$20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3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2" customWidth="1"/>
    <col min="3" max="3" width="5" customWidth="1"/>
    <col min="4" max="4" width="22" customWidth="1"/>
    <col min="5" max="5" width="12" customWidth="1"/>
    <col min="6" max="6" width="22" customWidth="1"/>
    <col min="7" max="9" width="9" customWidth="1"/>
    <col min="10" max="10" width="7" customWidth="1"/>
    <col min="11" max="11" width="11" customWidth="1"/>
    <col min="12" max="12" width="12" customWidth="1"/>
    <col min="13" max="13" width="28" customWidth="1"/>
    <col min="14" max="15" width="2" customWidth="1"/>
    <col min="16" max="16" width="28" customWidth="1"/>
    <col min="17" max="17" width="18" customWidth="1"/>
  </cols>
  <sheetData>
    <row r="1" spans="1:17" ht="15" customHeight="1" x14ac:dyDescent="0.25">
      <c r="A1" s="18" t="s">
        <v>72</v>
      </c>
      <c r="C1" s="74" t="s">
        <v>73</v>
      </c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7" ht="15" customHeight="1" x14ac:dyDescent="0.25">
      <c r="A2" s="42" t="s">
        <v>74</v>
      </c>
      <c r="P2" s="75" t="s">
        <v>75</v>
      </c>
      <c r="Q2" s="75"/>
    </row>
    <row r="3" spans="1:17" ht="27.75" customHeight="1" x14ac:dyDescent="0.25">
      <c r="A3" s="42" t="s">
        <v>76</v>
      </c>
      <c r="C3" s="43" t="s">
        <v>5</v>
      </c>
      <c r="D3" s="44" t="s">
        <v>6</v>
      </c>
      <c r="E3" s="44" t="s">
        <v>7</v>
      </c>
      <c r="F3" s="44" t="s">
        <v>26</v>
      </c>
      <c r="G3" s="44" t="s">
        <v>77</v>
      </c>
      <c r="H3" s="44" t="s">
        <v>78</v>
      </c>
      <c r="I3" s="44" t="s">
        <v>79</v>
      </c>
      <c r="J3" s="44" t="s">
        <v>9</v>
      </c>
      <c r="K3" s="44" t="s">
        <v>10</v>
      </c>
      <c r="L3" s="44" t="s">
        <v>80</v>
      </c>
      <c r="M3" s="44" t="s">
        <v>81</v>
      </c>
      <c r="P3" s="39" t="s">
        <v>81</v>
      </c>
      <c r="Q3" s="38" t="s">
        <v>27</v>
      </c>
    </row>
    <row r="4" spans="1:17" ht="34.5" customHeight="1" x14ac:dyDescent="0.25">
      <c r="A4" s="42" t="s">
        <v>82</v>
      </c>
      <c r="C4" s="6">
        <v>1</v>
      </c>
      <c r="D4" s="45" t="s">
        <v>83</v>
      </c>
      <c r="E4" s="6" t="s">
        <v>84</v>
      </c>
      <c r="F4" s="46" t="s">
        <v>85</v>
      </c>
      <c r="G4" s="6">
        <v>25</v>
      </c>
      <c r="H4" s="6">
        <v>200</v>
      </c>
      <c r="I4" s="6">
        <v>7320</v>
      </c>
      <c r="J4" s="45" t="s">
        <v>86</v>
      </c>
      <c r="K4" s="47">
        <v>0</v>
      </c>
      <c r="L4" s="6" t="s">
        <v>87</v>
      </c>
      <c r="M4" s="6" t="s">
        <v>87</v>
      </c>
      <c r="P4" s="48" t="str">
        <f t="shared" ref="P4:P13" si="0">IF(Q4="","",$M$4)</f>
        <v/>
      </c>
      <c r="Q4" s="48" t="str">
        <f t="array" ref="Q4">IFERROR(INDEX(입고!$E$8:$E$1013,SMALL(IF((입고!$AC$8:$AC$1013=1)*(입고!$C$8:$C$1013=$M$4),ROW(입고!$C$8:$C$1013)-7),1)),"")</f>
        <v/>
      </c>
    </row>
    <row r="5" spans="1:17" ht="34.5" customHeight="1" x14ac:dyDescent="0.25">
      <c r="A5" s="42" t="s">
        <v>88</v>
      </c>
      <c r="C5" s="11">
        <v>2</v>
      </c>
      <c r="D5" s="49" t="s">
        <v>83</v>
      </c>
      <c r="E5" s="11" t="s">
        <v>89</v>
      </c>
      <c r="F5" s="50" t="s">
        <v>90</v>
      </c>
      <c r="G5" s="11">
        <v>25</v>
      </c>
      <c r="H5" s="11">
        <v>300</v>
      </c>
      <c r="I5" s="11">
        <v>7320</v>
      </c>
      <c r="J5" s="49" t="s">
        <v>86</v>
      </c>
      <c r="K5" s="47">
        <v>0</v>
      </c>
      <c r="L5" s="11" t="s">
        <v>35</v>
      </c>
      <c r="M5" s="11" t="s">
        <v>35</v>
      </c>
      <c r="P5" s="48" t="str">
        <f t="shared" si="0"/>
        <v/>
      </c>
      <c r="Q5" s="48" t="str">
        <f t="array" ref="Q5">IFERROR(INDEX(입고!$E$8:$E$1013,SMALL(IF((입고!$AC$8:$AC$1013=1)*(입고!$C$8:$C$1013=$M$4),ROW(입고!$C$8:$C$1013)-7),2)),"")</f>
        <v/>
      </c>
    </row>
    <row r="6" spans="1:17" ht="34.5" customHeight="1" x14ac:dyDescent="0.25">
      <c r="C6" s="6">
        <v>3</v>
      </c>
      <c r="D6" s="45" t="s">
        <v>83</v>
      </c>
      <c r="E6" s="6" t="s">
        <v>91</v>
      </c>
      <c r="F6" s="46" t="s">
        <v>92</v>
      </c>
      <c r="G6" s="6">
        <v>38</v>
      </c>
      <c r="H6" s="6">
        <v>600</v>
      </c>
      <c r="I6" s="6">
        <v>4800</v>
      </c>
      <c r="J6" s="45" t="s">
        <v>86</v>
      </c>
      <c r="K6" s="47">
        <v>0</v>
      </c>
      <c r="L6" s="6" t="s">
        <v>31</v>
      </c>
      <c r="M6" s="6" t="s">
        <v>31</v>
      </c>
      <c r="P6" s="48" t="str">
        <f t="shared" si="0"/>
        <v/>
      </c>
      <c r="Q6" s="48" t="str">
        <f t="array" ref="Q6">IFERROR(INDEX(입고!$E$8:$E$1013,SMALL(IF((입고!$AC$8:$AC$1013=1)*(입고!$C$8:$C$1013=$M$4),ROW(입고!$C$8:$C$1013)-7),3)),"")</f>
        <v/>
      </c>
    </row>
    <row r="7" spans="1:17" ht="34.5" customHeight="1" x14ac:dyDescent="0.25">
      <c r="C7" s="11">
        <v>4</v>
      </c>
      <c r="D7" s="49" t="s">
        <v>83</v>
      </c>
      <c r="E7" s="11" t="s">
        <v>93</v>
      </c>
      <c r="F7" s="50" t="s">
        <v>94</v>
      </c>
      <c r="G7" s="11">
        <v>50</v>
      </c>
      <c r="H7" s="11">
        <v>400</v>
      </c>
      <c r="I7" s="11">
        <v>3800</v>
      </c>
      <c r="J7" s="49" t="s">
        <v>86</v>
      </c>
      <c r="K7" s="47">
        <v>0</v>
      </c>
      <c r="L7" s="11" t="s">
        <v>95</v>
      </c>
      <c r="M7" s="11" t="s">
        <v>95</v>
      </c>
      <c r="P7" s="48" t="str">
        <f t="shared" si="0"/>
        <v/>
      </c>
      <c r="Q7" s="48" t="str">
        <f t="array" ref="Q7">IFERROR(INDEX(입고!$E$8:$E$1013,SMALL(IF((입고!$AC$8:$AC$1013=1)*(입고!$C$8:$C$1013=$M$4),ROW(입고!$C$8:$C$1013)-7),4)),"")</f>
        <v/>
      </c>
    </row>
    <row r="8" spans="1:17" ht="34.5" customHeight="1" x14ac:dyDescent="0.25">
      <c r="C8" s="6">
        <v>5</v>
      </c>
      <c r="D8" s="45" t="s">
        <v>83</v>
      </c>
      <c r="E8" s="6" t="s">
        <v>96</v>
      </c>
      <c r="F8" s="46" t="s">
        <v>97</v>
      </c>
      <c r="G8" s="6">
        <v>50</v>
      </c>
      <c r="H8" s="6">
        <v>610</v>
      </c>
      <c r="I8" s="6">
        <v>3600</v>
      </c>
      <c r="J8" s="45" t="s">
        <v>86</v>
      </c>
      <c r="K8" s="47">
        <v>0</v>
      </c>
      <c r="L8" s="6" t="s">
        <v>98</v>
      </c>
      <c r="M8" s="6" t="s">
        <v>98</v>
      </c>
      <c r="P8" s="48" t="str">
        <f t="shared" si="0"/>
        <v/>
      </c>
      <c r="Q8" s="48" t="str">
        <f t="array" ref="Q8">IFERROR(INDEX(입고!$E$8:$E$1013,SMALL(IF((입고!$AC$8:$AC$1013=1)*(입고!$C$8:$C$1013=$M$4),ROW(입고!$C$8:$C$1013)-7),5)),"")</f>
        <v/>
      </c>
    </row>
    <row r="9" spans="1:17" ht="34.5" customHeight="1" x14ac:dyDescent="0.25">
      <c r="C9" s="11">
        <v>6</v>
      </c>
      <c r="D9" s="49" t="s">
        <v>99</v>
      </c>
      <c r="E9" s="11" t="s">
        <v>100</v>
      </c>
      <c r="F9" s="50" t="s">
        <v>101</v>
      </c>
      <c r="G9" s="11">
        <v>25</v>
      </c>
      <c r="H9" s="11">
        <v>150</v>
      </c>
      <c r="I9" s="11">
        <v>7400</v>
      </c>
      <c r="J9" s="49" t="s">
        <v>86</v>
      </c>
      <c r="K9" s="47">
        <v>0</v>
      </c>
      <c r="L9" s="11" t="s">
        <v>43</v>
      </c>
      <c r="M9" s="11" t="s">
        <v>43</v>
      </c>
      <c r="P9" s="48" t="str">
        <f t="shared" si="0"/>
        <v/>
      </c>
      <c r="Q9" s="48" t="str">
        <f t="array" ref="Q9">IFERROR(INDEX(입고!$E$8:$E$1013,SMALL(IF((입고!$AC$8:$AC$1013=1)*(입고!$C$8:$C$1013=$M$4),ROW(입고!$C$8:$C$1013)-7),6)),"")</f>
        <v/>
      </c>
    </row>
    <row r="10" spans="1:17" ht="34.5" customHeight="1" x14ac:dyDescent="0.25">
      <c r="C10" s="6">
        <v>7</v>
      </c>
      <c r="D10" s="45" t="s">
        <v>99</v>
      </c>
      <c r="E10" s="6" t="s">
        <v>102</v>
      </c>
      <c r="F10" s="46" t="s">
        <v>103</v>
      </c>
      <c r="G10" s="6">
        <v>38</v>
      </c>
      <c r="H10" s="6">
        <v>150</v>
      </c>
      <c r="I10" s="6">
        <v>4800</v>
      </c>
      <c r="J10" s="45" t="s">
        <v>86</v>
      </c>
      <c r="K10" s="47">
        <v>0</v>
      </c>
      <c r="L10" s="6" t="s">
        <v>45</v>
      </c>
      <c r="M10" s="6" t="s">
        <v>45</v>
      </c>
      <c r="P10" s="48" t="str">
        <f t="shared" si="0"/>
        <v/>
      </c>
      <c r="Q10" s="48" t="str">
        <f t="array" ref="Q10">IFERROR(INDEX(입고!$E$8:$E$1013,SMALL(IF((입고!$AC$8:$AC$1013=1)*(입고!$C$8:$C$1013=$M$4),ROW(입고!$C$8:$C$1013)-7),7)),"")</f>
        <v/>
      </c>
    </row>
    <row r="11" spans="1:17" ht="34.5" customHeight="1" x14ac:dyDescent="0.25">
      <c r="C11" s="11">
        <v>8</v>
      </c>
      <c r="D11" s="49" t="s">
        <v>99</v>
      </c>
      <c r="E11" s="11" t="s">
        <v>104</v>
      </c>
      <c r="F11" s="50" t="s">
        <v>105</v>
      </c>
      <c r="G11" s="11">
        <v>50</v>
      </c>
      <c r="H11" s="11">
        <v>150</v>
      </c>
      <c r="I11" s="11">
        <v>3600</v>
      </c>
      <c r="J11" s="49" t="s">
        <v>86</v>
      </c>
      <c r="K11" s="47">
        <v>0</v>
      </c>
      <c r="L11" s="11" t="s">
        <v>49</v>
      </c>
      <c r="M11" s="11" t="s">
        <v>49</v>
      </c>
      <c r="P11" s="48" t="str">
        <f t="shared" si="0"/>
        <v/>
      </c>
      <c r="Q11" s="48" t="str">
        <f t="array" ref="Q11">IFERROR(INDEX(입고!$E$8:$E$1013,SMALL(IF((입고!$AC$8:$AC$1013=1)*(입고!$C$8:$C$1013=$M$4),ROW(입고!$C$8:$C$1013)-7),8)),"")</f>
        <v/>
      </c>
    </row>
    <row r="12" spans="1:17" ht="34.5" customHeight="1" x14ac:dyDescent="0.25">
      <c r="C12" s="6">
        <v>9</v>
      </c>
      <c r="D12" s="45" t="s">
        <v>99</v>
      </c>
      <c r="E12" s="6" t="s">
        <v>106</v>
      </c>
      <c r="F12" s="46" t="s">
        <v>107</v>
      </c>
      <c r="G12" s="6">
        <v>50</v>
      </c>
      <c r="H12" s="6">
        <v>400</v>
      </c>
      <c r="I12" s="6">
        <v>3600</v>
      </c>
      <c r="J12" s="45" t="s">
        <v>86</v>
      </c>
      <c r="K12" s="47">
        <v>0</v>
      </c>
      <c r="L12" s="6" t="s">
        <v>51</v>
      </c>
      <c r="M12" s="6" t="s">
        <v>51</v>
      </c>
      <c r="P12" s="48" t="str">
        <f t="shared" si="0"/>
        <v/>
      </c>
      <c r="Q12" s="48" t="str">
        <f t="array" ref="Q12">IFERROR(INDEX(입고!$E$8:$E$1013,SMALL(IF((입고!$AC$8:$AC$1013=1)*(입고!$C$8:$C$1013=$M$4),ROW(입고!$C$8:$C$1013)-7),9)),"")</f>
        <v/>
      </c>
    </row>
    <row r="13" spans="1:17" ht="34.5" customHeight="1" x14ac:dyDescent="0.25">
      <c r="C13" s="11">
        <v>10</v>
      </c>
      <c r="D13" s="49" t="s">
        <v>99</v>
      </c>
      <c r="E13" s="11" t="s">
        <v>108</v>
      </c>
      <c r="F13" s="50" t="s">
        <v>109</v>
      </c>
      <c r="G13" s="11">
        <v>50</v>
      </c>
      <c r="H13" s="11">
        <v>600</v>
      </c>
      <c r="I13" s="11">
        <v>3600</v>
      </c>
      <c r="J13" s="49" t="s">
        <v>86</v>
      </c>
      <c r="K13" s="47">
        <v>0</v>
      </c>
      <c r="L13" s="11" t="s">
        <v>56</v>
      </c>
      <c r="M13" s="11" t="s">
        <v>56</v>
      </c>
      <c r="P13" s="48" t="str">
        <f t="shared" si="0"/>
        <v/>
      </c>
      <c r="Q13" s="48" t="str">
        <f t="array" ref="Q13">IFERROR(INDEX(입고!$E$8:$E$1013,SMALL(IF((입고!$AC$8:$AC$1013=1)*(입고!$C$8:$C$1013=$M$4),ROW(입고!$C$8:$C$1013)-7),10)),"")</f>
        <v/>
      </c>
    </row>
    <row r="14" spans="1:17" ht="34.5" customHeight="1" x14ac:dyDescent="0.25">
      <c r="C14" s="6">
        <v>11</v>
      </c>
      <c r="D14" s="45" t="s">
        <v>99</v>
      </c>
      <c r="E14" s="6" t="s">
        <v>110</v>
      </c>
      <c r="F14" s="46" t="s">
        <v>111</v>
      </c>
      <c r="G14" s="6">
        <v>50</v>
      </c>
      <c r="H14" s="6">
        <v>1000</v>
      </c>
      <c r="I14" s="6">
        <v>3600</v>
      </c>
      <c r="J14" s="45" t="s">
        <v>86</v>
      </c>
      <c r="K14" s="47">
        <v>0</v>
      </c>
      <c r="L14" s="6" t="s">
        <v>47</v>
      </c>
      <c r="M14" s="6" t="s">
        <v>47</v>
      </c>
      <c r="P14" s="48" t="str">
        <f t="shared" ref="P14:P23" si="1">IF(Q14="","",$M$5)</f>
        <v>96K국산 25T × 300W × 7320L</v>
      </c>
      <c r="Q14" s="48" t="str">
        <f t="array" ref="Q14">IFERROR(INDEX(입고!$E$8:$E$1013,SMALL(IF((입고!$AC$8:$AC$1013=1)*(입고!$C$8:$C$1013=$M$5),ROW(입고!$C$8:$C$1013)-7),1)),"")</f>
        <v>260109CW002</v>
      </c>
    </row>
    <row r="15" spans="1:17" ht="34.5" customHeight="1" x14ac:dyDescent="0.25">
      <c r="C15" s="11">
        <v>12</v>
      </c>
      <c r="D15" s="49" t="s">
        <v>112</v>
      </c>
      <c r="E15" s="11" t="s">
        <v>100</v>
      </c>
      <c r="F15" s="50" t="s">
        <v>101</v>
      </c>
      <c r="G15" s="11">
        <v>25</v>
      </c>
      <c r="H15" s="11">
        <v>150</v>
      </c>
      <c r="I15" s="11">
        <v>7400</v>
      </c>
      <c r="J15" s="49" t="s">
        <v>86</v>
      </c>
      <c r="K15" s="47">
        <v>0</v>
      </c>
      <c r="L15" s="11" t="s">
        <v>113</v>
      </c>
      <c r="M15" s="11" t="s">
        <v>113</v>
      </c>
      <c r="P15" s="48" t="str">
        <f t="shared" si="1"/>
        <v/>
      </c>
      <c r="Q15" s="48" t="str">
        <f t="array" ref="Q15">IFERROR(INDEX(입고!$E$8:$E$1013,SMALL(IF((입고!$AC$8:$AC$1013=1)*(입고!$C$8:$C$1013=$M$5),ROW(입고!$C$8:$C$1013)-7),2)),"")</f>
        <v/>
      </c>
    </row>
    <row r="16" spans="1:17" ht="34.5" customHeight="1" x14ac:dyDescent="0.25">
      <c r="C16" s="6">
        <v>13</v>
      </c>
      <c r="D16" s="45" t="s">
        <v>112</v>
      </c>
      <c r="E16" s="6" t="s">
        <v>114</v>
      </c>
      <c r="F16" s="46" t="s">
        <v>115</v>
      </c>
      <c r="G16" s="6">
        <v>25</v>
      </c>
      <c r="H16" s="6">
        <v>200</v>
      </c>
      <c r="I16" s="6">
        <v>7400</v>
      </c>
      <c r="J16" s="45" t="s">
        <v>86</v>
      </c>
      <c r="K16" s="47">
        <v>0</v>
      </c>
      <c r="L16" s="6" t="s">
        <v>54</v>
      </c>
      <c r="M16" s="6" t="s">
        <v>54</v>
      </c>
      <c r="P16" s="48" t="str">
        <f t="shared" si="1"/>
        <v/>
      </c>
      <c r="Q16" s="48" t="str">
        <f t="array" ref="Q16">IFERROR(INDEX(입고!$E$8:$E$1013,SMALL(IF((입고!$AC$8:$AC$1013=1)*(입고!$C$8:$C$1013=$M$5),ROW(입고!$C$8:$C$1013)-7),3)),"")</f>
        <v/>
      </c>
    </row>
    <row r="17" spans="3:17" ht="34.5" customHeight="1" x14ac:dyDescent="0.25">
      <c r="C17" s="11">
        <v>14</v>
      </c>
      <c r="D17" s="49" t="s">
        <v>112</v>
      </c>
      <c r="E17" s="11" t="s">
        <v>116</v>
      </c>
      <c r="F17" s="50" t="s">
        <v>117</v>
      </c>
      <c r="G17" s="11">
        <v>25</v>
      </c>
      <c r="H17" s="11">
        <v>300</v>
      </c>
      <c r="I17" s="11">
        <v>7400</v>
      </c>
      <c r="J17" s="49" t="s">
        <v>86</v>
      </c>
      <c r="K17" s="47">
        <v>0</v>
      </c>
      <c r="L17" s="11" t="s">
        <v>37</v>
      </c>
      <c r="M17" s="11" t="s">
        <v>37</v>
      </c>
      <c r="P17" s="48" t="str">
        <f t="shared" si="1"/>
        <v/>
      </c>
      <c r="Q17" s="48" t="str">
        <f t="array" ref="Q17">IFERROR(INDEX(입고!$E$8:$E$1013,SMALL(IF((입고!$AC$8:$AC$1013=1)*(입고!$C$8:$C$1013=$M$5),ROW(입고!$C$8:$C$1013)-7),4)),"")</f>
        <v/>
      </c>
    </row>
    <row r="18" spans="3:17" ht="34.5" customHeight="1" x14ac:dyDescent="0.25">
      <c r="C18" s="6">
        <v>15</v>
      </c>
      <c r="D18" s="45" t="s">
        <v>112</v>
      </c>
      <c r="E18" s="6" t="s">
        <v>91</v>
      </c>
      <c r="F18" s="46" t="s">
        <v>92</v>
      </c>
      <c r="G18" s="6">
        <v>38</v>
      </c>
      <c r="H18" s="6">
        <v>600</v>
      </c>
      <c r="I18" s="6">
        <v>4800</v>
      </c>
      <c r="J18" s="45" t="s">
        <v>86</v>
      </c>
      <c r="K18" s="47">
        <v>0</v>
      </c>
      <c r="L18" s="6" t="s">
        <v>39</v>
      </c>
      <c r="M18" s="6" t="s">
        <v>39</v>
      </c>
      <c r="P18" s="48" t="str">
        <f t="shared" si="1"/>
        <v/>
      </c>
      <c r="Q18" s="48" t="str">
        <f t="array" ref="Q18">IFERROR(INDEX(입고!$E$8:$E$1013,SMALL(IF((입고!$AC$8:$AC$1013=1)*(입고!$C$8:$C$1013=$M$5),ROW(입고!$C$8:$C$1013)-7),5)),"")</f>
        <v/>
      </c>
    </row>
    <row r="19" spans="3:17" ht="34.5" customHeight="1" x14ac:dyDescent="0.25">
      <c r="C19" s="11">
        <v>16</v>
      </c>
      <c r="D19" s="49" t="s">
        <v>112</v>
      </c>
      <c r="E19" s="11" t="s">
        <v>108</v>
      </c>
      <c r="F19" s="50" t="s">
        <v>109</v>
      </c>
      <c r="G19" s="11">
        <v>50</v>
      </c>
      <c r="H19" s="11">
        <v>600</v>
      </c>
      <c r="I19" s="11">
        <v>3600</v>
      </c>
      <c r="J19" s="49" t="s">
        <v>86</v>
      </c>
      <c r="K19" s="47">
        <v>0</v>
      </c>
      <c r="L19" s="11" t="s">
        <v>118</v>
      </c>
      <c r="M19" s="11" t="s">
        <v>118</v>
      </c>
      <c r="P19" s="48" t="str">
        <f t="shared" si="1"/>
        <v/>
      </c>
      <c r="Q19" s="48" t="str">
        <f t="array" ref="Q19">IFERROR(INDEX(입고!$E$8:$E$1013,SMALL(IF((입고!$AC$8:$AC$1013=1)*(입고!$C$8:$C$1013=$M$5),ROW(입고!$C$8:$C$1013)-7),6)),"")</f>
        <v/>
      </c>
    </row>
    <row r="20" spans="3:17" ht="34.5" customHeight="1" x14ac:dyDescent="0.25">
      <c r="C20" s="6">
        <v>17</v>
      </c>
      <c r="D20" s="45" t="s">
        <v>119</v>
      </c>
      <c r="E20" s="6" t="s">
        <v>114</v>
      </c>
      <c r="F20" s="46" t="s">
        <v>115</v>
      </c>
      <c r="G20" s="6">
        <v>25</v>
      </c>
      <c r="H20" s="6">
        <v>200</v>
      </c>
      <c r="I20" s="6">
        <v>7400</v>
      </c>
      <c r="J20" s="45" t="s">
        <v>86</v>
      </c>
      <c r="K20" s="47">
        <v>0</v>
      </c>
      <c r="L20" s="6" t="s">
        <v>41</v>
      </c>
      <c r="M20" s="6" t="s">
        <v>41</v>
      </c>
      <c r="P20" s="48" t="str">
        <f t="shared" si="1"/>
        <v/>
      </c>
      <c r="Q20" s="48" t="str">
        <f t="array" ref="Q20">IFERROR(INDEX(입고!$E$8:$E$1013,SMALL(IF((입고!$AC$8:$AC$1013=1)*(입고!$C$8:$C$1013=$M$5),ROW(입고!$C$8:$C$1013)-7),7)),"")</f>
        <v/>
      </c>
    </row>
    <row r="21" spans="3:17" ht="15" customHeight="1" x14ac:dyDescent="0.25">
      <c r="P21" s="48" t="str">
        <f t="shared" si="1"/>
        <v/>
      </c>
      <c r="Q21" s="48" t="str">
        <f t="array" ref="Q21">IFERROR(INDEX(입고!$E$8:$E$1013,SMALL(IF((입고!$AC$8:$AC$1013=1)*(입고!$C$8:$C$1013=$M$5),ROW(입고!$C$8:$C$1013)-7),8)),"")</f>
        <v/>
      </c>
    </row>
    <row r="22" spans="3:17" ht="15" customHeight="1" x14ac:dyDescent="0.25">
      <c r="C22" s="75" t="s">
        <v>120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P22" s="48" t="str">
        <f t="shared" si="1"/>
        <v/>
      </c>
      <c r="Q22" s="48" t="str">
        <f t="array" ref="Q22">IFERROR(INDEX(입고!$E$8:$E$1013,SMALL(IF((입고!$AC$8:$AC$1013=1)*(입고!$C$8:$C$1013=$M$5),ROW(입고!$C$8:$C$1013)-7),9)),"")</f>
        <v/>
      </c>
    </row>
    <row r="23" spans="3:17" ht="15" customHeight="1" x14ac:dyDescent="0.25">
      <c r="P23" s="48" t="str">
        <f t="shared" si="1"/>
        <v/>
      </c>
      <c r="Q23" s="48" t="str">
        <f t="array" ref="Q23">IFERROR(INDEX(입고!$E$8:$E$1013,SMALL(IF((입고!$AC$8:$AC$1013=1)*(입고!$C$8:$C$1013=$M$5),ROW(입고!$C$8:$C$1013)-7),10)),"")</f>
        <v/>
      </c>
    </row>
    <row r="24" spans="3:17" ht="15" customHeight="1" x14ac:dyDescent="0.25">
      <c r="P24" s="48" t="str">
        <f t="shared" ref="P24:P33" si="2">IF(Q24="","",$M$6)</f>
        <v>96K국산 38T × 600W × 4800L</v>
      </c>
      <c r="Q24" s="48" t="str">
        <f t="array" ref="Q24">IFERROR(INDEX(입고!$E$8:$E$1013,SMALL(IF((입고!$AC$8:$AC$1013=1)*(입고!$C$8:$C$1013=$M$6),ROW(입고!$C$8:$C$1013)-7),1)),"")</f>
        <v>R251017CW002</v>
      </c>
    </row>
    <row r="25" spans="3:17" ht="15" customHeight="1" x14ac:dyDescent="0.25">
      <c r="P25" s="48" t="str">
        <f t="shared" si="2"/>
        <v/>
      </c>
      <c r="Q25" s="48" t="str">
        <f t="array" ref="Q25">IFERROR(INDEX(입고!$E$8:$E$1013,SMALL(IF((입고!$AC$8:$AC$1013=1)*(입고!$C$8:$C$1013=$M$6),ROW(입고!$C$8:$C$1013)-7),2)),"")</f>
        <v/>
      </c>
    </row>
    <row r="26" spans="3:17" ht="15" customHeight="1" x14ac:dyDescent="0.25">
      <c r="P26" s="48" t="str">
        <f t="shared" si="2"/>
        <v/>
      </c>
      <c r="Q26" s="48" t="str">
        <f t="array" ref="Q26">IFERROR(INDEX(입고!$E$8:$E$1013,SMALL(IF((입고!$AC$8:$AC$1013=1)*(입고!$C$8:$C$1013=$M$6),ROW(입고!$C$8:$C$1013)-7),3)),"")</f>
        <v/>
      </c>
    </row>
    <row r="27" spans="3:17" ht="15" customHeight="1" x14ac:dyDescent="0.25">
      <c r="P27" s="48" t="str">
        <f t="shared" si="2"/>
        <v/>
      </c>
      <c r="Q27" s="48" t="str">
        <f t="array" ref="Q27">IFERROR(INDEX(입고!$E$8:$E$1013,SMALL(IF((입고!$AC$8:$AC$1013=1)*(입고!$C$8:$C$1013=$M$6),ROW(입고!$C$8:$C$1013)-7),4)),"")</f>
        <v/>
      </c>
    </row>
    <row r="28" spans="3:17" ht="15" customHeight="1" x14ac:dyDescent="0.25">
      <c r="P28" s="48" t="str">
        <f t="shared" si="2"/>
        <v/>
      </c>
      <c r="Q28" s="48" t="str">
        <f t="array" ref="Q28">IFERROR(INDEX(입고!$E$8:$E$1013,SMALL(IF((입고!$AC$8:$AC$1013=1)*(입고!$C$8:$C$1013=$M$6),ROW(입고!$C$8:$C$1013)-7),5)),"")</f>
        <v/>
      </c>
    </row>
    <row r="29" spans="3:17" ht="15" customHeight="1" x14ac:dyDescent="0.25">
      <c r="P29" s="48" t="str">
        <f t="shared" si="2"/>
        <v/>
      </c>
      <c r="Q29" s="48" t="str">
        <f t="array" ref="Q29">IFERROR(INDEX(입고!$E$8:$E$1013,SMALL(IF((입고!$AC$8:$AC$1013=1)*(입고!$C$8:$C$1013=$M$6),ROW(입고!$C$8:$C$1013)-7),6)),"")</f>
        <v/>
      </c>
    </row>
    <row r="30" spans="3:17" ht="15" customHeight="1" x14ac:dyDescent="0.25">
      <c r="P30" s="48" t="str">
        <f t="shared" si="2"/>
        <v/>
      </c>
      <c r="Q30" s="48" t="str">
        <f t="array" ref="Q30">IFERROR(INDEX(입고!$E$8:$E$1013,SMALL(IF((입고!$AC$8:$AC$1013=1)*(입고!$C$8:$C$1013=$M$6),ROW(입고!$C$8:$C$1013)-7),7)),"")</f>
        <v/>
      </c>
    </row>
    <row r="31" spans="3:17" ht="15" customHeight="1" x14ac:dyDescent="0.25">
      <c r="P31" s="48" t="str">
        <f t="shared" si="2"/>
        <v/>
      </c>
      <c r="Q31" s="48" t="str">
        <f t="array" ref="Q31">IFERROR(INDEX(입고!$E$8:$E$1013,SMALL(IF((입고!$AC$8:$AC$1013=1)*(입고!$C$8:$C$1013=$M$6),ROW(입고!$C$8:$C$1013)-7),8)),"")</f>
        <v/>
      </c>
    </row>
    <row r="32" spans="3:17" ht="15" customHeight="1" x14ac:dyDescent="0.25">
      <c r="P32" s="48" t="str">
        <f t="shared" si="2"/>
        <v/>
      </c>
      <c r="Q32" s="48" t="str">
        <f t="array" ref="Q32">IFERROR(INDEX(입고!$E$8:$E$1013,SMALL(IF((입고!$AC$8:$AC$1013=1)*(입고!$C$8:$C$1013=$M$6),ROW(입고!$C$8:$C$1013)-7),9)),"")</f>
        <v/>
      </c>
    </row>
    <row r="33" spans="16:17" ht="15" customHeight="1" x14ac:dyDescent="0.25">
      <c r="P33" s="48" t="str">
        <f t="shared" si="2"/>
        <v/>
      </c>
      <c r="Q33" s="48" t="str">
        <f t="array" ref="Q33">IFERROR(INDEX(입고!$E$8:$E$1013,SMALL(IF((입고!$AC$8:$AC$1013=1)*(입고!$C$8:$C$1013=$M$6),ROW(입고!$C$8:$C$1013)-7),10)),"")</f>
        <v/>
      </c>
    </row>
    <row r="34" spans="16:17" ht="15" customHeight="1" x14ac:dyDescent="0.25">
      <c r="P34" s="48" t="str">
        <f t="shared" ref="P34:P43" si="3">IF(Q34="","",$M$7)</f>
        <v/>
      </c>
      <c r="Q34" s="48" t="str">
        <f t="array" ref="Q34">IFERROR(INDEX(입고!$E$8:$E$1013,SMALL(IF((입고!$AC$8:$AC$1013=1)*(입고!$C$8:$C$1013=$M$7),ROW(입고!$C$8:$C$1013)-7),1)),"")</f>
        <v/>
      </c>
    </row>
    <row r="35" spans="16:17" ht="15" customHeight="1" x14ac:dyDescent="0.25">
      <c r="P35" s="48" t="str">
        <f t="shared" si="3"/>
        <v/>
      </c>
      <c r="Q35" s="48" t="str">
        <f t="array" ref="Q35">IFERROR(INDEX(입고!$E$8:$E$1013,SMALL(IF((입고!$AC$8:$AC$1013=1)*(입고!$C$8:$C$1013=$M$7),ROW(입고!$C$8:$C$1013)-7),2)),"")</f>
        <v/>
      </c>
    </row>
    <row r="36" spans="16:17" ht="15" customHeight="1" x14ac:dyDescent="0.25">
      <c r="P36" s="48" t="str">
        <f t="shared" si="3"/>
        <v/>
      </c>
      <c r="Q36" s="48" t="str">
        <f t="array" ref="Q36">IFERROR(INDEX(입고!$E$8:$E$1013,SMALL(IF((입고!$AC$8:$AC$1013=1)*(입고!$C$8:$C$1013=$M$7),ROW(입고!$C$8:$C$1013)-7),3)),"")</f>
        <v/>
      </c>
    </row>
    <row r="37" spans="16:17" ht="15" customHeight="1" x14ac:dyDescent="0.25">
      <c r="P37" s="48" t="str">
        <f t="shared" si="3"/>
        <v/>
      </c>
      <c r="Q37" s="48" t="str">
        <f t="array" ref="Q37">IFERROR(INDEX(입고!$E$8:$E$1013,SMALL(IF((입고!$AC$8:$AC$1013=1)*(입고!$C$8:$C$1013=$M$7),ROW(입고!$C$8:$C$1013)-7),4)),"")</f>
        <v/>
      </c>
    </row>
    <row r="38" spans="16:17" ht="15" customHeight="1" x14ac:dyDescent="0.25">
      <c r="P38" s="48" t="str">
        <f t="shared" si="3"/>
        <v/>
      </c>
      <c r="Q38" s="48" t="str">
        <f t="array" ref="Q38">IFERROR(INDEX(입고!$E$8:$E$1013,SMALL(IF((입고!$AC$8:$AC$1013=1)*(입고!$C$8:$C$1013=$M$7),ROW(입고!$C$8:$C$1013)-7),5)),"")</f>
        <v/>
      </c>
    </row>
    <row r="39" spans="16:17" ht="15" customHeight="1" x14ac:dyDescent="0.25">
      <c r="P39" s="48" t="str">
        <f t="shared" si="3"/>
        <v/>
      </c>
      <c r="Q39" s="48" t="str">
        <f t="array" ref="Q39">IFERROR(INDEX(입고!$E$8:$E$1013,SMALL(IF((입고!$AC$8:$AC$1013=1)*(입고!$C$8:$C$1013=$M$7),ROW(입고!$C$8:$C$1013)-7),6)),"")</f>
        <v/>
      </c>
    </row>
    <row r="40" spans="16:17" ht="15" customHeight="1" x14ac:dyDescent="0.25">
      <c r="P40" s="48" t="str">
        <f t="shared" si="3"/>
        <v/>
      </c>
      <c r="Q40" s="48" t="str">
        <f t="array" ref="Q40">IFERROR(INDEX(입고!$E$8:$E$1013,SMALL(IF((입고!$AC$8:$AC$1013=1)*(입고!$C$8:$C$1013=$M$7),ROW(입고!$C$8:$C$1013)-7),7)),"")</f>
        <v/>
      </c>
    </row>
    <row r="41" spans="16:17" ht="15" customHeight="1" x14ac:dyDescent="0.25">
      <c r="P41" s="48" t="str">
        <f t="shared" si="3"/>
        <v/>
      </c>
      <c r="Q41" s="48" t="str">
        <f t="array" ref="Q41">IFERROR(INDEX(입고!$E$8:$E$1013,SMALL(IF((입고!$AC$8:$AC$1013=1)*(입고!$C$8:$C$1013=$M$7),ROW(입고!$C$8:$C$1013)-7),8)),"")</f>
        <v/>
      </c>
    </row>
    <row r="42" spans="16:17" ht="15" customHeight="1" x14ac:dyDescent="0.25">
      <c r="P42" s="48" t="str">
        <f t="shared" si="3"/>
        <v/>
      </c>
      <c r="Q42" s="48" t="str">
        <f t="array" ref="Q42">IFERROR(INDEX(입고!$E$8:$E$1013,SMALL(IF((입고!$AC$8:$AC$1013=1)*(입고!$C$8:$C$1013=$M$7),ROW(입고!$C$8:$C$1013)-7),9)),"")</f>
        <v/>
      </c>
    </row>
    <row r="43" spans="16:17" ht="15" customHeight="1" x14ac:dyDescent="0.25">
      <c r="P43" s="48" t="str">
        <f t="shared" si="3"/>
        <v/>
      </c>
      <c r="Q43" s="48" t="str">
        <f t="array" ref="Q43">IFERROR(INDEX(입고!$E$8:$E$1013,SMALL(IF((입고!$AC$8:$AC$1013=1)*(입고!$C$8:$C$1013=$M$7),ROW(입고!$C$8:$C$1013)-7),10)),"")</f>
        <v/>
      </c>
    </row>
    <row r="44" spans="16:17" ht="15" customHeight="1" x14ac:dyDescent="0.25">
      <c r="P44" s="48" t="str">
        <f t="shared" ref="P44:P53" si="4">IF(Q44="","",$M$8)</f>
        <v/>
      </c>
      <c r="Q44" s="48" t="str">
        <f t="array" ref="Q44">IFERROR(INDEX(입고!$E$8:$E$1013,SMALL(IF((입고!$AC$8:$AC$1013=1)*(입고!$C$8:$C$1013=$M$8),ROW(입고!$C$8:$C$1013)-7),1)),"")</f>
        <v/>
      </c>
    </row>
    <row r="45" spans="16:17" ht="15" customHeight="1" x14ac:dyDescent="0.25">
      <c r="P45" s="48" t="str">
        <f t="shared" si="4"/>
        <v/>
      </c>
      <c r="Q45" s="48" t="str">
        <f t="array" ref="Q45">IFERROR(INDEX(입고!$E$8:$E$1013,SMALL(IF((입고!$AC$8:$AC$1013=1)*(입고!$C$8:$C$1013=$M$8),ROW(입고!$C$8:$C$1013)-7),2)),"")</f>
        <v/>
      </c>
    </row>
    <row r="46" spans="16:17" ht="15" customHeight="1" x14ac:dyDescent="0.25">
      <c r="P46" s="48" t="str">
        <f t="shared" si="4"/>
        <v/>
      </c>
      <c r="Q46" s="48" t="str">
        <f t="array" ref="Q46">IFERROR(INDEX(입고!$E$8:$E$1013,SMALL(IF((입고!$AC$8:$AC$1013=1)*(입고!$C$8:$C$1013=$M$8),ROW(입고!$C$8:$C$1013)-7),3)),"")</f>
        <v/>
      </c>
    </row>
    <row r="47" spans="16:17" ht="15" customHeight="1" x14ac:dyDescent="0.25">
      <c r="P47" s="48" t="str">
        <f t="shared" si="4"/>
        <v/>
      </c>
      <c r="Q47" s="48" t="str">
        <f t="array" ref="Q47">IFERROR(INDEX(입고!$E$8:$E$1013,SMALL(IF((입고!$AC$8:$AC$1013=1)*(입고!$C$8:$C$1013=$M$8),ROW(입고!$C$8:$C$1013)-7),4)),"")</f>
        <v/>
      </c>
    </row>
    <row r="48" spans="16:17" ht="15" customHeight="1" x14ac:dyDescent="0.25">
      <c r="P48" s="48" t="str">
        <f t="shared" si="4"/>
        <v/>
      </c>
      <c r="Q48" s="48" t="str">
        <f t="array" ref="Q48">IFERROR(INDEX(입고!$E$8:$E$1013,SMALL(IF((입고!$AC$8:$AC$1013=1)*(입고!$C$8:$C$1013=$M$8),ROW(입고!$C$8:$C$1013)-7),5)),"")</f>
        <v/>
      </c>
    </row>
    <row r="49" spans="16:17" ht="15" customHeight="1" x14ac:dyDescent="0.25">
      <c r="P49" s="48" t="str">
        <f t="shared" si="4"/>
        <v/>
      </c>
      <c r="Q49" s="48" t="str">
        <f t="array" ref="Q49">IFERROR(INDEX(입고!$E$8:$E$1013,SMALL(IF((입고!$AC$8:$AC$1013=1)*(입고!$C$8:$C$1013=$M$8),ROW(입고!$C$8:$C$1013)-7),6)),"")</f>
        <v/>
      </c>
    </row>
    <row r="50" spans="16:17" ht="15" customHeight="1" x14ac:dyDescent="0.25">
      <c r="P50" s="48" t="str">
        <f t="shared" si="4"/>
        <v/>
      </c>
      <c r="Q50" s="48" t="str">
        <f t="array" ref="Q50">IFERROR(INDEX(입고!$E$8:$E$1013,SMALL(IF((입고!$AC$8:$AC$1013=1)*(입고!$C$8:$C$1013=$M$8),ROW(입고!$C$8:$C$1013)-7),7)),"")</f>
        <v/>
      </c>
    </row>
    <row r="51" spans="16:17" ht="15" customHeight="1" x14ac:dyDescent="0.25">
      <c r="P51" s="48" t="str">
        <f t="shared" si="4"/>
        <v/>
      </c>
      <c r="Q51" s="48" t="str">
        <f t="array" ref="Q51">IFERROR(INDEX(입고!$E$8:$E$1013,SMALL(IF((입고!$AC$8:$AC$1013=1)*(입고!$C$8:$C$1013=$M$8),ROW(입고!$C$8:$C$1013)-7),8)),"")</f>
        <v/>
      </c>
    </row>
    <row r="52" spans="16:17" ht="15" customHeight="1" x14ac:dyDescent="0.25">
      <c r="P52" s="48" t="str">
        <f t="shared" si="4"/>
        <v/>
      </c>
      <c r="Q52" s="48" t="str">
        <f t="array" ref="Q52">IFERROR(INDEX(입고!$E$8:$E$1013,SMALL(IF((입고!$AC$8:$AC$1013=1)*(입고!$C$8:$C$1013=$M$8),ROW(입고!$C$8:$C$1013)-7),9)),"")</f>
        <v/>
      </c>
    </row>
    <row r="53" spans="16:17" ht="15" customHeight="1" x14ac:dyDescent="0.25">
      <c r="P53" s="48" t="str">
        <f t="shared" si="4"/>
        <v/>
      </c>
      <c r="Q53" s="48" t="str">
        <f t="array" ref="Q53">IFERROR(INDEX(입고!$E$8:$E$1013,SMALL(IF((입고!$AC$8:$AC$1013=1)*(입고!$C$8:$C$1013=$M$8),ROW(입고!$C$8:$C$1013)-7),10)),"")</f>
        <v/>
      </c>
    </row>
    <row r="54" spans="16:17" ht="15" customHeight="1" x14ac:dyDescent="0.25">
      <c r="P54" s="48" t="str">
        <f t="shared" ref="P54:P63" si="5">IF(Q54="","",$M$9)</f>
        <v>96K수입 25T × 150W × 7400L</v>
      </c>
      <c r="Q54" s="48" t="str">
        <f t="array" ref="Q54">IFERROR(INDEX(입고!$E$8:$E$1013,SMALL(IF((입고!$AC$8:$AC$1013=1)*(입고!$C$8:$C$1013=$M$9),ROW(입고!$C$8:$C$1013)-7),1)),"")</f>
        <v>260203CW003</v>
      </c>
    </row>
    <row r="55" spans="16:17" ht="15" customHeight="1" x14ac:dyDescent="0.25">
      <c r="P55" s="48" t="str">
        <f t="shared" si="5"/>
        <v/>
      </c>
      <c r="Q55" s="48" t="str">
        <f t="array" ref="Q55">IFERROR(INDEX(입고!$E$8:$E$1013,SMALL(IF((입고!$AC$8:$AC$1013=1)*(입고!$C$8:$C$1013=$M$9),ROW(입고!$C$8:$C$1013)-7),2)),"")</f>
        <v/>
      </c>
    </row>
    <row r="56" spans="16:17" ht="15" customHeight="1" x14ac:dyDescent="0.25">
      <c r="P56" s="48" t="str">
        <f t="shared" si="5"/>
        <v/>
      </c>
      <c r="Q56" s="48" t="str">
        <f t="array" ref="Q56">IFERROR(INDEX(입고!$E$8:$E$1013,SMALL(IF((입고!$AC$8:$AC$1013=1)*(입고!$C$8:$C$1013=$M$9),ROW(입고!$C$8:$C$1013)-7),3)),"")</f>
        <v/>
      </c>
    </row>
    <row r="57" spans="16:17" ht="15" customHeight="1" x14ac:dyDescent="0.25">
      <c r="P57" s="48" t="str">
        <f t="shared" si="5"/>
        <v/>
      </c>
      <c r="Q57" s="48" t="str">
        <f t="array" ref="Q57">IFERROR(INDEX(입고!$E$8:$E$1013,SMALL(IF((입고!$AC$8:$AC$1013=1)*(입고!$C$8:$C$1013=$M$9),ROW(입고!$C$8:$C$1013)-7),4)),"")</f>
        <v/>
      </c>
    </row>
    <row r="58" spans="16:17" ht="15" customHeight="1" x14ac:dyDescent="0.25">
      <c r="P58" s="48" t="str">
        <f t="shared" si="5"/>
        <v/>
      </c>
      <c r="Q58" s="48" t="str">
        <f t="array" ref="Q58">IFERROR(INDEX(입고!$E$8:$E$1013,SMALL(IF((입고!$AC$8:$AC$1013=1)*(입고!$C$8:$C$1013=$M$9),ROW(입고!$C$8:$C$1013)-7),5)),"")</f>
        <v/>
      </c>
    </row>
    <row r="59" spans="16:17" ht="15" customHeight="1" x14ac:dyDescent="0.25">
      <c r="P59" s="48" t="str">
        <f t="shared" si="5"/>
        <v/>
      </c>
      <c r="Q59" s="48" t="str">
        <f t="array" ref="Q59">IFERROR(INDEX(입고!$E$8:$E$1013,SMALL(IF((입고!$AC$8:$AC$1013=1)*(입고!$C$8:$C$1013=$M$9),ROW(입고!$C$8:$C$1013)-7),6)),"")</f>
        <v/>
      </c>
    </row>
    <row r="60" spans="16:17" ht="15" customHeight="1" x14ac:dyDescent="0.25">
      <c r="P60" s="48" t="str">
        <f t="shared" si="5"/>
        <v/>
      </c>
      <c r="Q60" s="48" t="str">
        <f t="array" ref="Q60">IFERROR(INDEX(입고!$E$8:$E$1013,SMALL(IF((입고!$AC$8:$AC$1013=1)*(입고!$C$8:$C$1013=$M$9),ROW(입고!$C$8:$C$1013)-7),7)),"")</f>
        <v/>
      </c>
    </row>
    <row r="61" spans="16:17" ht="15" customHeight="1" x14ac:dyDescent="0.25">
      <c r="P61" s="48" t="str">
        <f t="shared" si="5"/>
        <v/>
      </c>
      <c r="Q61" s="48" t="str">
        <f t="array" ref="Q61">IFERROR(INDEX(입고!$E$8:$E$1013,SMALL(IF((입고!$AC$8:$AC$1013=1)*(입고!$C$8:$C$1013=$M$9),ROW(입고!$C$8:$C$1013)-7),8)),"")</f>
        <v/>
      </c>
    </row>
    <row r="62" spans="16:17" ht="15" customHeight="1" x14ac:dyDescent="0.25">
      <c r="P62" s="48" t="str">
        <f t="shared" si="5"/>
        <v/>
      </c>
      <c r="Q62" s="48" t="str">
        <f t="array" ref="Q62">IFERROR(INDEX(입고!$E$8:$E$1013,SMALL(IF((입고!$AC$8:$AC$1013=1)*(입고!$C$8:$C$1013=$M$9),ROW(입고!$C$8:$C$1013)-7),9)),"")</f>
        <v/>
      </c>
    </row>
    <row r="63" spans="16:17" ht="15" customHeight="1" x14ac:dyDescent="0.25">
      <c r="P63" s="48" t="str">
        <f t="shared" si="5"/>
        <v/>
      </c>
      <c r="Q63" s="48" t="str">
        <f t="array" ref="Q63">IFERROR(INDEX(입고!$E$8:$E$1013,SMALL(IF((입고!$AC$8:$AC$1013=1)*(입고!$C$8:$C$1013=$M$9),ROW(입고!$C$8:$C$1013)-7),10)),"")</f>
        <v/>
      </c>
    </row>
    <row r="64" spans="16:17" ht="15" customHeight="1" x14ac:dyDescent="0.25">
      <c r="P64" s="48" t="str">
        <f t="shared" ref="P64:P73" si="6">IF(Q64="","",$M$10)</f>
        <v>96K수입 38T × 150W × 4800L</v>
      </c>
      <c r="Q64" s="48" t="str">
        <f t="array" ref="Q64">IFERROR(INDEX(입고!$E$8:$E$1013,SMALL(IF((입고!$AC$8:$AC$1013=1)*(입고!$C$8:$C$1013=$M$10),ROW(입고!$C$8:$C$1013)-7),1)),"")</f>
        <v>260203CW005</v>
      </c>
    </row>
    <row r="65" spans="16:17" ht="15" customHeight="1" x14ac:dyDescent="0.25">
      <c r="P65" s="48" t="str">
        <f t="shared" si="6"/>
        <v/>
      </c>
      <c r="Q65" s="48" t="str">
        <f t="array" ref="Q65">IFERROR(INDEX(입고!$E$8:$E$1013,SMALL(IF((입고!$AC$8:$AC$1013=1)*(입고!$C$8:$C$1013=$M$10),ROW(입고!$C$8:$C$1013)-7),2)),"")</f>
        <v/>
      </c>
    </row>
    <row r="66" spans="16:17" ht="15" customHeight="1" x14ac:dyDescent="0.25">
      <c r="P66" s="48" t="str">
        <f t="shared" si="6"/>
        <v/>
      </c>
      <c r="Q66" s="48" t="str">
        <f t="array" ref="Q66">IFERROR(INDEX(입고!$E$8:$E$1013,SMALL(IF((입고!$AC$8:$AC$1013=1)*(입고!$C$8:$C$1013=$M$10),ROW(입고!$C$8:$C$1013)-7),3)),"")</f>
        <v/>
      </c>
    </row>
    <row r="67" spans="16:17" ht="15" customHeight="1" x14ac:dyDescent="0.25">
      <c r="P67" s="48" t="str">
        <f t="shared" si="6"/>
        <v/>
      </c>
      <c r="Q67" s="48" t="str">
        <f t="array" ref="Q67">IFERROR(INDEX(입고!$E$8:$E$1013,SMALL(IF((입고!$AC$8:$AC$1013=1)*(입고!$C$8:$C$1013=$M$10),ROW(입고!$C$8:$C$1013)-7),4)),"")</f>
        <v/>
      </c>
    </row>
    <row r="68" spans="16:17" ht="15" customHeight="1" x14ac:dyDescent="0.25">
      <c r="P68" s="48" t="str">
        <f t="shared" si="6"/>
        <v/>
      </c>
      <c r="Q68" s="48" t="str">
        <f t="array" ref="Q68">IFERROR(INDEX(입고!$E$8:$E$1013,SMALL(IF((입고!$AC$8:$AC$1013=1)*(입고!$C$8:$C$1013=$M$10),ROW(입고!$C$8:$C$1013)-7),5)),"")</f>
        <v/>
      </c>
    </row>
    <row r="69" spans="16:17" ht="15" customHeight="1" x14ac:dyDescent="0.25">
      <c r="P69" s="48" t="str">
        <f t="shared" si="6"/>
        <v/>
      </c>
      <c r="Q69" s="48" t="str">
        <f t="array" ref="Q69">IFERROR(INDEX(입고!$E$8:$E$1013,SMALL(IF((입고!$AC$8:$AC$1013=1)*(입고!$C$8:$C$1013=$M$10),ROW(입고!$C$8:$C$1013)-7),6)),"")</f>
        <v/>
      </c>
    </row>
    <row r="70" spans="16:17" ht="15" customHeight="1" x14ac:dyDescent="0.25">
      <c r="P70" s="48" t="str">
        <f t="shared" si="6"/>
        <v/>
      </c>
      <c r="Q70" s="48" t="str">
        <f t="array" ref="Q70">IFERROR(INDEX(입고!$E$8:$E$1013,SMALL(IF((입고!$AC$8:$AC$1013=1)*(입고!$C$8:$C$1013=$M$10),ROW(입고!$C$8:$C$1013)-7),7)),"")</f>
        <v/>
      </c>
    </row>
    <row r="71" spans="16:17" ht="15" customHeight="1" x14ac:dyDescent="0.25">
      <c r="P71" s="48" t="str">
        <f t="shared" si="6"/>
        <v/>
      </c>
      <c r="Q71" s="48" t="str">
        <f t="array" ref="Q71">IFERROR(INDEX(입고!$E$8:$E$1013,SMALL(IF((입고!$AC$8:$AC$1013=1)*(입고!$C$8:$C$1013=$M$10),ROW(입고!$C$8:$C$1013)-7),8)),"")</f>
        <v/>
      </c>
    </row>
    <row r="72" spans="16:17" ht="15" customHeight="1" x14ac:dyDescent="0.25">
      <c r="P72" s="48" t="str">
        <f t="shared" si="6"/>
        <v/>
      </c>
      <c r="Q72" s="48" t="str">
        <f t="array" ref="Q72">IFERROR(INDEX(입고!$E$8:$E$1013,SMALL(IF((입고!$AC$8:$AC$1013=1)*(입고!$C$8:$C$1013=$M$10),ROW(입고!$C$8:$C$1013)-7),9)),"")</f>
        <v/>
      </c>
    </row>
    <row r="73" spans="16:17" ht="15" customHeight="1" x14ac:dyDescent="0.25">
      <c r="P73" s="48" t="str">
        <f t="shared" si="6"/>
        <v/>
      </c>
      <c r="Q73" s="48" t="str">
        <f t="array" ref="Q73">IFERROR(INDEX(입고!$E$8:$E$1013,SMALL(IF((입고!$AC$8:$AC$1013=1)*(입고!$C$8:$C$1013=$M$10),ROW(입고!$C$8:$C$1013)-7),10)),"")</f>
        <v/>
      </c>
    </row>
    <row r="74" spans="16:17" ht="15" customHeight="1" x14ac:dyDescent="0.25">
      <c r="P74" s="48" t="str">
        <f t="shared" ref="P74:P83" si="7">IF(Q74="","",$M$11)</f>
        <v>96K수입 50T × 150W × 3600L</v>
      </c>
      <c r="Q74" s="48" t="str">
        <f t="array" ref="Q74">IFERROR(INDEX(입고!$E$8:$E$1013,SMALL(IF((입고!$AC$8:$AC$1013=1)*(입고!$C$8:$C$1013=$M$11),ROW(입고!$C$8:$C$1013)-7),1)),"")</f>
        <v>260203CW008</v>
      </c>
    </row>
    <row r="75" spans="16:17" ht="15" customHeight="1" x14ac:dyDescent="0.25">
      <c r="P75" s="48" t="str">
        <f t="shared" si="7"/>
        <v/>
      </c>
      <c r="Q75" s="48" t="str">
        <f t="array" ref="Q75">IFERROR(INDEX(입고!$E$8:$E$1013,SMALL(IF((입고!$AC$8:$AC$1013=1)*(입고!$C$8:$C$1013=$M$11),ROW(입고!$C$8:$C$1013)-7),2)),"")</f>
        <v/>
      </c>
    </row>
    <row r="76" spans="16:17" ht="15" customHeight="1" x14ac:dyDescent="0.25">
      <c r="P76" s="48" t="str">
        <f t="shared" si="7"/>
        <v/>
      </c>
      <c r="Q76" s="48" t="str">
        <f t="array" ref="Q76">IFERROR(INDEX(입고!$E$8:$E$1013,SMALL(IF((입고!$AC$8:$AC$1013=1)*(입고!$C$8:$C$1013=$M$11),ROW(입고!$C$8:$C$1013)-7),3)),"")</f>
        <v/>
      </c>
    </row>
    <row r="77" spans="16:17" ht="15" customHeight="1" x14ac:dyDescent="0.25">
      <c r="P77" s="48" t="str">
        <f t="shared" si="7"/>
        <v/>
      </c>
      <c r="Q77" s="48" t="str">
        <f t="array" ref="Q77">IFERROR(INDEX(입고!$E$8:$E$1013,SMALL(IF((입고!$AC$8:$AC$1013=1)*(입고!$C$8:$C$1013=$M$11),ROW(입고!$C$8:$C$1013)-7),4)),"")</f>
        <v/>
      </c>
    </row>
    <row r="78" spans="16:17" ht="15" customHeight="1" x14ac:dyDescent="0.25">
      <c r="P78" s="48" t="str">
        <f t="shared" si="7"/>
        <v/>
      </c>
      <c r="Q78" s="48" t="str">
        <f t="array" ref="Q78">IFERROR(INDEX(입고!$E$8:$E$1013,SMALL(IF((입고!$AC$8:$AC$1013=1)*(입고!$C$8:$C$1013=$M$11),ROW(입고!$C$8:$C$1013)-7),5)),"")</f>
        <v/>
      </c>
    </row>
    <row r="79" spans="16:17" ht="15" customHeight="1" x14ac:dyDescent="0.25">
      <c r="P79" s="48" t="str">
        <f t="shared" si="7"/>
        <v/>
      </c>
      <c r="Q79" s="48" t="str">
        <f t="array" ref="Q79">IFERROR(INDEX(입고!$E$8:$E$1013,SMALL(IF((입고!$AC$8:$AC$1013=1)*(입고!$C$8:$C$1013=$M$11),ROW(입고!$C$8:$C$1013)-7),6)),"")</f>
        <v/>
      </c>
    </row>
    <row r="80" spans="16:17" ht="15" customHeight="1" x14ac:dyDescent="0.25">
      <c r="P80" s="48" t="str">
        <f t="shared" si="7"/>
        <v/>
      </c>
      <c r="Q80" s="48" t="str">
        <f t="array" ref="Q80">IFERROR(INDEX(입고!$E$8:$E$1013,SMALL(IF((입고!$AC$8:$AC$1013=1)*(입고!$C$8:$C$1013=$M$11),ROW(입고!$C$8:$C$1013)-7),7)),"")</f>
        <v/>
      </c>
    </row>
    <row r="81" spans="16:17" ht="15" customHeight="1" x14ac:dyDescent="0.25">
      <c r="P81" s="48" t="str">
        <f t="shared" si="7"/>
        <v/>
      </c>
      <c r="Q81" s="48" t="str">
        <f t="array" ref="Q81">IFERROR(INDEX(입고!$E$8:$E$1013,SMALL(IF((입고!$AC$8:$AC$1013=1)*(입고!$C$8:$C$1013=$M$11),ROW(입고!$C$8:$C$1013)-7),8)),"")</f>
        <v/>
      </c>
    </row>
    <row r="82" spans="16:17" ht="15" customHeight="1" x14ac:dyDescent="0.25">
      <c r="P82" s="48" t="str">
        <f t="shared" si="7"/>
        <v/>
      </c>
      <c r="Q82" s="48" t="str">
        <f t="array" ref="Q82">IFERROR(INDEX(입고!$E$8:$E$1013,SMALL(IF((입고!$AC$8:$AC$1013=1)*(입고!$C$8:$C$1013=$M$11),ROW(입고!$C$8:$C$1013)-7),9)),"")</f>
        <v/>
      </c>
    </row>
    <row r="83" spans="16:17" ht="15" customHeight="1" x14ac:dyDescent="0.25">
      <c r="P83" s="48" t="str">
        <f t="shared" si="7"/>
        <v/>
      </c>
      <c r="Q83" s="48" t="str">
        <f t="array" ref="Q83">IFERROR(INDEX(입고!$E$8:$E$1013,SMALL(IF((입고!$AC$8:$AC$1013=1)*(입고!$C$8:$C$1013=$M$11),ROW(입고!$C$8:$C$1013)-7),10)),"")</f>
        <v/>
      </c>
    </row>
    <row r="84" spans="16:17" ht="15" customHeight="1" x14ac:dyDescent="0.25">
      <c r="P84" s="48" t="str">
        <f t="shared" ref="P84:P93" si="8">IF(Q84="","",$M$12)</f>
        <v>96K수입 50T × 400W × 3600L</v>
      </c>
      <c r="Q84" s="48" t="str">
        <f t="array" ref="Q84">IFERROR(INDEX(입고!$E$8:$E$1013,SMALL(IF((입고!$AC$8:$AC$1013=1)*(입고!$C$8:$C$1013=$M$12),ROW(입고!$C$8:$C$1013)-7),1)),"")</f>
        <v>260203CW007</v>
      </c>
    </row>
    <row r="85" spans="16:17" ht="15" customHeight="1" x14ac:dyDescent="0.25">
      <c r="P85" s="48" t="str">
        <f t="shared" si="8"/>
        <v>96K수입 50T × 400W × 3600L</v>
      </c>
      <c r="Q85" s="48" t="str">
        <f t="array" ref="Q85">IFERROR(INDEX(입고!$E$8:$E$1013,SMALL(IF((입고!$AC$8:$AC$1013=1)*(입고!$C$8:$C$1013=$M$12),ROW(입고!$C$8:$C$1013)-7),2)),"")</f>
        <v>R260203CW007</v>
      </c>
    </row>
    <row r="86" spans="16:17" ht="15" customHeight="1" x14ac:dyDescent="0.25">
      <c r="P86" s="48" t="str">
        <f t="shared" si="8"/>
        <v/>
      </c>
      <c r="Q86" s="48" t="str">
        <f t="array" ref="Q86">IFERROR(INDEX(입고!$E$8:$E$1013,SMALL(IF((입고!$AC$8:$AC$1013=1)*(입고!$C$8:$C$1013=$M$12),ROW(입고!$C$8:$C$1013)-7),3)),"")</f>
        <v/>
      </c>
    </row>
    <row r="87" spans="16:17" ht="15" customHeight="1" x14ac:dyDescent="0.25">
      <c r="P87" s="48" t="str">
        <f t="shared" si="8"/>
        <v/>
      </c>
      <c r="Q87" s="48" t="str">
        <f t="array" ref="Q87">IFERROR(INDEX(입고!$E$8:$E$1013,SMALL(IF((입고!$AC$8:$AC$1013=1)*(입고!$C$8:$C$1013=$M$12),ROW(입고!$C$8:$C$1013)-7),4)),"")</f>
        <v/>
      </c>
    </row>
    <row r="88" spans="16:17" ht="15" customHeight="1" x14ac:dyDescent="0.25">
      <c r="P88" s="48" t="str">
        <f t="shared" si="8"/>
        <v/>
      </c>
      <c r="Q88" s="48" t="str">
        <f t="array" ref="Q88">IFERROR(INDEX(입고!$E$8:$E$1013,SMALL(IF((입고!$AC$8:$AC$1013=1)*(입고!$C$8:$C$1013=$M$12),ROW(입고!$C$8:$C$1013)-7),5)),"")</f>
        <v/>
      </c>
    </row>
    <row r="89" spans="16:17" ht="15" customHeight="1" x14ac:dyDescent="0.25">
      <c r="P89" s="48" t="str">
        <f t="shared" si="8"/>
        <v/>
      </c>
      <c r="Q89" s="48" t="str">
        <f t="array" ref="Q89">IFERROR(INDEX(입고!$E$8:$E$1013,SMALL(IF((입고!$AC$8:$AC$1013=1)*(입고!$C$8:$C$1013=$M$12),ROW(입고!$C$8:$C$1013)-7),6)),"")</f>
        <v/>
      </c>
    </row>
    <row r="90" spans="16:17" ht="15" customHeight="1" x14ac:dyDescent="0.25">
      <c r="P90" s="48" t="str">
        <f t="shared" si="8"/>
        <v/>
      </c>
      <c r="Q90" s="48" t="str">
        <f t="array" ref="Q90">IFERROR(INDEX(입고!$E$8:$E$1013,SMALL(IF((입고!$AC$8:$AC$1013=1)*(입고!$C$8:$C$1013=$M$12),ROW(입고!$C$8:$C$1013)-7),7)),"")</f>
        <v/>
      </c>
    </row>
    <row r="91" spans="16:17" ht="15" customHeight="1" x14ac:dyDescent="0.25">
      <c r="P91" s="48" t="str">
        <f t="shared" si="8"/>
        <v/>
      </c>
      <c r="Q91" s="48" t="str">
        <f t="array" ref="Q91">IFERROR(INDEX(입고!$E$8:$E$1013,SMALL(IF((입고!$AC$8:$AC$1013=1)*(입고!$C$8:$C$1013=$M$12),ROW(입고!$C$8:$C$1013)-7),8)),"")</f>
        <v/>
      </c>
    </row>
    <row r="92" spans="16:17" ht="15" customHeight="1" x14ac:dyDescent="0.25">
      <c r="P92" s="48" t="str">
        <f t="shared" si="8"/>
        <v/>
      </c>
      <c r="Q92" s="48" t="str">
        <f t="array" ref="Q92">IFERROR(INDEX(입고!$E$8:$E$1013,SMALL(IF((입고!$AC$8:$AC$1013=1)*(입고!$C$8:$C$1013=$M$12),ROW(입고!$C$8:$C$1013)-7),9)),"")</f>
        <v/>
      </c>
    </row>
    <row r="93" spans="16:17" ht="15" customHeight="1" x14ac:dyDescent="0.25">
      <c r="P93" s="48" t="str">
        <f t="shared" si="8"/>
        <v/>
      </c>
      <c r="Q93" s="48" t="str">
        <f t="array" ref="Q93">IFERROR(INDEX(입고!$E$8:$E$1013,SMALL(IF((입고!$AC$8:$AC$1013=1)*(입고!$C$8:$C$1013=$M$12),ROW(입고!$C$8:$C$1013)-7),10)),"")</f>
        <v/>
      </c>
    </row>
    <row r="94" spans="16:17" ht="15" customHeight="1" x14ac:dyDescent="0.25">
      <c r="P94" s="48" t="str">
        <f t="shared" ref="P94:P103" si="9">IF(Q94="","",$M$13)</f>
        <v>96K수입 50T × 600W × 3600L</v>
      </c>
      <c r="Q94" s="48" t="str">
        <f t="array" ref="Q94">IFERROR(INDEX(입고!$E$8:$E$1013,SMALL(IF((입고!$AC$8:$AC$1013=1)*(입고!$C$8:$C$1013=$M$13),ROW(입고!$C$8:$C$1013)-7),1)),"")</f>
        <v>260227CW002</v>
      </c>
    </row>
    <row r="95" spans="16:17" ht="15" customHeight="1" x14ac:dyDescent="0.25">
      <c r="P95" s="48" t="str">
        <f t="shared" si="9"/>
        <v>96K수입 50T × 600W × 3600L</v>
      </c>
      <c r="Q95" s="48" t="str">
        <f t="array" ref="Q95">IFERROR(INDEX(입고!$E$8:$E$1013,SMALL(IF((입고!$AC$8:$AC$1013=1)*(입고!$C$8:$C$1013=$M$13),ROW(입고!$C$8:$C$1013)-7),2)),"")</f>
        <v>260514CW001</v>
      </c>
    </row>
    <row r="96" spans="16:17" ht="15" customHeight="1" x14ac:dyDescent="0.25">
      <c r="P96" s="48" t="str">
        <f t="shared" si="9"/>
        <v/>
      </c>
      <c r="Q96" s="48" t="str">
        <f t="array" ref="Q96">IFERROR(INDEX(입고!$E$8:$E$1013,SMALL(IF((입고!$AC$8:$AC$1013=1)*(입고!$C$8:$C$1013=$M$13),ROW(입고!$C$8:$C$1013)-7),3)),"")</f>
        <v/>
      </c>
    </row>
    <row r="97" spans="16:17" ht="15" customHeight="1" x14ac:dyDescent="0.25">
      <c r="P97" s="48" t="str">
        <f t="shared" si="9"/>
        <v/>
      </c>
      <c r="Q97" s="48" t="str">
        <f t="array" ref="Q97">IFERROR(INDEX(입고!$E$8:$E$1013,SMALL(IF((입고!$AC$8:$AC$1013=1)*(입고!$C$8:$C$1013=$M$13),ROW(입고!$C$8:$C$1013)-7),4)),"")</f>
        <v/>
      </c>
    </row>
    <row r="98" spans="16:17" ht="15" customHeight="1" x14ac:dyDescent="0.25">
      <c r="P98" s="48" t="str">
        <f t="shared" si="9"/>
        <v/>
      </c>
      <c r="Q98" s="48" t="str">
        <f t="array" ref="Q98">IFERROR(INDEX(입고!$E$8:$E$1013,SMALL(IF((입고!$AC$8:$AC$1013=1)*(입고!$C$8:$C$1013=$M$13),ROW(입고!$C$8:$C$1013)-7),5)),"")</f>
        <v/>
      </c>
    </row>
    <row r="99" spans="16:17" ht="15" customHeight="1" x14ac:dyDescent="0.25">
      <c r="P99" s="48" t="str">
        <f t="shared" si="9"/>
        <v/>
      </c>
      <c r="Q99" s="48" t="str">
        <f t="array" ref="Q99">IFERROR(INDEX(입고!$E$8:$E$1013,SMALL(IF((입고!$AC$8:$AC$1013=1)*(입고!$C$8:$C$1013=$M$13),ROW(입고!$C$8:$C$1013)-7),6)),"")</f>
        <v/>
      </c>
    </row>
    <row r="100" spans="16:17" ht="15" customHeight="1" x14ac:dyDescent="0.25">
      <c r="P100" s="48" t="str">
        <f t="shared" si="9"/>
        <v/>
      </c>
      <c r="Q100" s="48" t="str">
        <f t="array" ref="Q100">IFERROR(INDEX(입고!$E$8:$E$1013,SMALL(IF((입고!$AC$8:$AC$1013=1)*(입고!$C$8:$C$1013=$M$13),ROW(입고!$C$8:$C$1013)-7),7)),"")</f>
        <v/>
      </c>
    </row>
    <row r="101" spans="16:17" ht="15" customHeight="1" x14ac:dyDescent="0.25">
      <c r="P101" s="48" t="str">
        <f t="shared" si="9"/>
        <v/>
      </c>
      <c r="Q101" s="48" t="str">
        <f t="array" ref="Q101">IFERROR(INDEX(입고!$E$8:$E$1013,SMALL(IF((입고!$AC$8:$AC$1013=1)*(입고!$C$8:$C$1013=$M$13),ROW(입고!$C$8:$C$1013)-7),8)),"")</f>
        <v/>
      </c>
    </row>
    <row r="102" spans="16:17" ht="15" customHeight="1" x14ac:dyDescent="0.25">
      <c r="P102" s="48" t="str">
        <f t="shared" si="9"/>
        <v/>
      </c>
      <c r="Q102" s="48" t="str">
        <f t="array" ref="Q102">IFERROR(INDEX(입고!$E$8:$E$1013,SMALL(IF((입고!$AC$8:$AC$1013=1)*(입고!$C$8:$C$1013=$M$13),ROW(입고!$C$8:$C$1013)-7),9)),"")</f>
        <v/>
      </c>
    </row>
    <row r="103" spans="16:17" ht="15" customHeight="1" x14ac:dyDescent="0.25">
      <c r="P103" s="48" t="str">
        <f t="shared" si="9"/>
        <v/>
      </c>
      <c r="Q103" s="48" t="str">
        <f t="array" ref="Q103">IFERROR(INDEX(입고!$E$8:$E$1013,SMALL(IF((입고!$AC$8:$AC$1013=1)*(입고!$C$8:$C$1013=$M$13),ROW(입고!$C$8:$C$1013)-7),10)),"")</f>
        <v/>
      </c>
    </row>
    <row r="104" spans="16:17" ht="15" customHeight="1" x14ac:dyDescent="0.25">
      <c r="P104" s="48" t="str">
        <f t="shared" ref="P104:P113" si="10">IF(Q104="","",$M$14)</f>
        <v>96K수입 50T × 1000W × 3600L</v>
      </c>
      <c r="Q104" s="48" t="str">
        <f t="array" ref="Q104">IFERROR(INDEX(입고!$E$8:$E$1013,SMALL(IF((입고!$AC$8:$AC$1013=1)*(입고!$C$8:$C$1013=$M$14),ROW(입고!$C$8:$C$1013)-7),1)),"")</f>
        <v>260203CW006</v>
      </c>
    </row>
    <row r="105" spans="16:17" ht="15" customHeight="1" x14ac:dyDescent="0.25">
      <c r="P105" s="48" t="str">
        <f t="shared" si="10"/>
        <v/>
      </c>
      <c r="Q105" s="48" t="str">
        <f t="array" ref="Q105">IFERROR(INDEX(입고!$E$8:$E$1013,SMALL(IF((입고!$AC$8:$AC$1013=1)*(입고!$C$8:$C$1013=$M$14),ROW(입고!$C$8:$C$1013)-7),2)),"")</f>
        <v/>
      </c>
    </row>
    <row r="106" spans="16:17" ht="15" customHeight="1" x14ac:dyDescent="0.25">
      <c r="P106" s="48" t="str">
        <f t="shared" si="10"/>
        <v/>
      </c>
      <c r="Q106" s="48" t="str">
        <f t="array" ref="Q106">IFERROR(INDEX(입고!$E$8:$E$1013,SMALL(IF((입고!$AC$8:$AC$1013=1)*(입고!$C$8:$C$1013=$M$14),ROW(입고!$C$8:$C$1013)-7),3)),"")</f>
        <v/>
      </c>
    </row>
    <row r="107" spans="16:17" ht="15" customHeight="1" x14ac:dyDescent="0.25">
      <c r="P107" s="48" t="str">
        <f t="shared" si="10"/>
        <v/>
      </c>
      <c r="Q107" s="48" t="str">
        <f t="array" ref="Q107">IFERROR(INDEX(입고!$E$8:$E$1013,SMALL(IF((입고!$AC$8:$AC$1013=1)*(입고!$C$8:$C$1013=$M$14),ROW(입고!$C$8:$C$1013)-7),4)),"")</f>
        <v/>
      </c>
    </row>
    <row r="108" spans="16:17" ht="15" customHeight="1" x14ac:dyDescent="0.25">
      <c r="P108" s="48" t="str">
        <f t="shared" si="10"/>
        <v/>
      </c>
      <c r="Q108" s="48" t="str">
        <f t="array" ref="Q108">IFERROR(INDEX(입고!$E$8:$E$1013,SMALL(IF((입고!$AC$8:$AC$1013=1)*(입고!$C$8:$C$1013=$M$14),ROW(입고!$C$8:$C$1013)-7),5)),"")</f>
        <v/>
      </c>
    </row>
    <row r="109" spans="16:17" ht="15" customHeight="1" x14ac:dyDescent="0.25">
      <c r="P109" s="48" t="str">
        <f t="shared" si="10"/>
        <v/>
      </c>
      <c r="Q109" s="48" t="str">
        <f t="array" ref="Q109">IFERROR(INDEX(입고!$E$8:$E$1013,SMALL(IF((입고!$AC$8:$AC$1013=1)*(입고!$C$8:$C$1013=$M$14),ROW(입고!$C$8:$C$1013)-7),6)),"")</f>
        <v/>
      </c>
    </row>
    <row r="110" spans="16:17" ht="15" customHeight="1" x14ac:dyDescent="0.25">
      <c r="P110" s="48" t="str">
        <f t="shared" si="10"/>
        <v/>
      </c>
      <c r="Q110" s="48" t="str">
        <f t="array" ref="Q110">IFERROR(INDEX(입고!$E$8:$E$1013,SMALL(IF((입고!$AC$8:$AC$1013=1)*(입고!$C$8:$C$1013=$M$14),ROW(입고!$C$8:$C$1013)-7),7)),"")</f>
        <v/>
      </c>
    </row>
    <row r="111" spans="16:17" ht="15" customHeight="1" x14ac:dyDescent="0.25">
      <c r="P111" s="48" t="str">
        <f t="shared" si="10"/>
        <v/>
      </c>
      <c r="Q111" s="48" t="str">
        <f t="array" ref="Q111">IFERROR(INDEX(입고!$E$8:$E$1013,SMALL(IF((입고!$AC$8:$AC$1013=1)*(입고!$C$8:$C$1013=$M$14),ROW(입고!$C$8:$C$1013)-7),8)),"")</f>
        <v/>
      </c>
    </row>
    <row r="112" spans="16:17" ht="15" customHeight="1" x14ac:dyDescent="0.25">
      <c r="P112" s="48" t="str">
        <f t="shared" si="10"/>
        <v/>
      </c>
      <c r="Q112" s="48" t="str">
        <f t="array" ref="Q112">IFERROR(INDEX(입고!$E$8:$E$1013,SMALL(IF((입고!$AC$8:$AC$1013=1)*(입고!$C$8:$C$1013=$M$14),ROW(입고!$C$8:$C$1013)-7),9)),"")</f>
        <v/>
      </c>
    </row>
    <row r="113" spans="16:17" ht="15" customHeight="1" x14ac:dyDescent="0.25">
      <c r="P113" s="48" t="str">
        <f t="shared" si="10"/>
        <v/>
      </c>
      <c r="Q113" s="48" t="str">
        <f t="array" ref="Q113">IFERROR(INDEX(입고!$E$8:$E$1013,SMALL(IF((입고!$AC$8:$AC$1013=1)*(입고!$C$8:$C$1013=$M$14),ROW(입고!$C$8:$C$1013)-7),10)),"")</f>
        <v/>
      </c>
    </row>
    <row r="114" spans="16:17" ht="15" customHeight="1" x14ac:dyDescent="0.25">
      <c r="P114" s="48" t="str">
        <f t="shared" ref="P114:P123" si="11">IF(Q114="","",$M$15)</f>
        <v/>
      </c>
      <c r="Q114" s="48" t="str">
        <f t="array" ref="Q114">IFERROR(INDEX(입고!$E$8:$E$1013,SMALL(IF((입고!$AC$8:$AC$1013=1)*(입고!$C$8:$C$1013=$M$15),ROW(입고!$C$8:$C$1013)-7),1)),"")</f>
        <v/>
      </c>
    </row>
    <row r="115" spans="16:17" ht="15" customHeight="1" x14ac:dyDescent="0.25">
      <c r="P115" s="48" t="str">
        <f t="shared" si="11"/>
        <v/>
      </c>
      <c r="Q115" s="48" t="str">
        <f t="array" ref="Q115">IFERROR(INDEX(입고!$E$8:$E$1013,SMALL(IF((입고!$AC$8:$AC$1013=1)*(입고!$C$8:$C$1013=$M$15),ROW(입고!$C$8:$C$1013)-7),2)),"")</f>
        <v/>
      </c>
    </row>
    <row r="116" spans="16:17" ht="15" customHeight="1" x14ac:dyDescent="0.25">
      <c r="P116" s="48" t="str">
        <f t="shared" si="11"/>
        <v/>
      </c>
      <c r="Q116" s="48" t="str">
        <f t="array" ref="Q116">IFERROR(INDEX(입고!$E$8:$E$1013,SMALL(IF((입고!$AC$8:$AC$1013=1)*(입고!$C$8:$C$1013=$M$15),ROW(입고!$C$8:$C$1013)-7),3)),"")</f>
        <v/>
      </c>
    </row>
    <row r="117" spans="16:17" ht="15" customHeight="1" x14ac:dyDescent="0.25">
      <c r="P117" s="48" t="str">
        <f t="shared" si="11"/>
        <v/>
      </c>
      <c r="Q117" s="48" t="str">
        <f t="array" ref="Q117">IFERROR(INDEX(입고!$E$8:$E$1013,SMALL(IF((입고!$AC$8:$AC$1013=1)*(입고!$C$8:$C$1013=$M$15),ROW(입고!$C$8:$C$1013)-7),4)),"")</f>
        <v/>
      </c>
    </row>
    <row r="118" spans="16:17" ht="15" customHeight="1" x14ac:dyDescent="0.25">
      <c r="P118" s="48" t="str">
        <f t="shared" si="11"/>
        <v/>
      </c>
      <c r="Q118" s="48" t="str">
        <f t="array" ref="Q118">IFERROR(INDEX(입고!$E$8:$E$1013,SMALL(IF((입고!$AC$8:$AC$1013=1)*(입고!$C$8:$C$1013=$M$15),ROW(입고!$C$8:$C$1013)-7),5)),"")</f>
        <v/>
      </c>
    </row>
    <row r="119" spans="16:17" ht="15" customHeight="1" x14ac:dyDescent="0.25">
      <c r="P119" s="48" t="str">
        <f t="shared" si="11"/>
        <v/>
      </c>
      <c r="Q119" s="48" t="str">
        <f t="array" ref="Q119">IFERROR(INDEX(입고!$E$8:$E$1013,SMALL(IF((입고!$AC$8:$AC$1013=1)*(입고!$C$8:$C$1013=$M$15),ROW(입고!$C$8:$C$1013)-7),6)),"")</f>
        <v/>
      </c>
    </row>
    <row r="120" spans="16:17" ht="15" customHeight="1" x14ac:dyDescent="0.25">
      <c r="P120" s="48" t="str">
        <f t="shared" si="11"/>
        <v/>
      </c>
      <c r="Q120" s="48" t="str">
        <f t="array" ref="Q120">IFERROR(INDEX(입고!$E$8:$E$1013,SMALL(IF((입고!$AC$8:$AC$1013=1)*(입고!$C$8:$C$1013=$M$15),ROW(입고!$C$8:$C$1013)-7),7)),"")</f>
        <v/>
      </c>
    </row>
    <row r="121" spans="16:17" ht="15" customHeight="1" x14ac:dyDescent="0.25">
      <c r="P121" s="48" t="str">
        <f t="shared" si="11"/>
        <v/>
      </c>
      <c r="Q121" s="48" t="str">
        <f t="array" ref="Q121">IFERROR(INDEX(입고!$E$8:$E$1013,SMALL(IF((입고!$AC$8:$AC$1013=1)*(입고!$C$8:$C$1013=$M$15),ROW(입고!$C$8:$C$1013)-7),8)),"")</f>
        <v/>
      </c>
    </row>
    <row r="122" spans="16:17" ht="15" customHeight="1" x14ac:dyDescent="0.25">
      <c r="P122" s="48" t="str">
        <f t="shared" si="11"/>
        <v/>
      </c>
      <c r="Q122" s="48" t="str">
        <f t="array" ref="Q122">IFERROR(INDEX(입고!$E$8:$E$1013,SMALL(IF((입고!$AC$8:$AC$1013=1)*(입고!$C$8:$C$1013=$M$15),ROW(입고!$C$8:$C$1013)-7),9)),"")</f>
        <v/>
      </c>
    </row>
    <row r="123" spans="16:17" ht="15" customHeight="1" x14ac:dyDescent="0.25">
      <c r="P123" s="48" t="str">
        <f t="shared" si="11"/>
        <v/>
      </c>
      <c r="Q123" s="48" t="str">
        <f t="array" ref="Q123">IFERROR(INDEX(입고!$E$8:$E$1013,SMALL(IF((입고!$AC$8:$AC$1013=1)*(입고!$C$8:$C$1013=$M$15),ROW(입고!$C$8:$C$1013)-7),10)),"")</f>
        <v/>
      </c>
    </row>
    <row r="124" spans="16:17" ht="15" customHeight="1" x14ac:dyDescent="0.25">
      <c r="P124" s="48" t="str">
        <f t="shared" ref="P124:P133" si="12">IF(Q124="","",$M$16)</f>
        <v>100K수입 25T × 200W × 7400L</v>
      </c>
      <c r="Q124" s="48" t="str">
        <f t="array" ref="Q124">IFERROR(INDEX(입고!$E$8:$E$1013,SMALL(IF((입고!$AC$8:$AC$1013=1)*(입고!$C$8:$C$1013=$M$16),ROW(입고!$C$8:$C$1013)-7),1)),"")</f>
        <v>260227CW004</v>
      </c>
    </row>
    <row r="125" spans="16:17" ht="15" customHeight="1" x14ac:dyDescent="0.25">
      <c r="P125" s="48" t="str">
        <f t="shared" si="12"/>
        <v/>
      </c>
      <c r="Q125" s="48" t="str">
        <f t="array" ref="Q125">IFERROR(INDEX(입고!$E$8:$E$1013,SMALL(IF((입고!$AC$8:$AC$1013=1)*(입고!$C$8:$C$1013=$M$16),ROW(입고!$C$8:$C$1013)-7),2)),"")</f>
        <v/>
      </c>
    </row>
    <row r="126" spans="16:17" ht="15" customHeight="1" x14ac:dyDescent="0.25">
      <c r="P126" s="48" t="str">
        <f t="shared" si="12"/>
        <v/>
      </c>
      <c r="Q126" s="48" t="str">
        <f t="array" ref="Q126">IFERROR(INDEX(입고!$E$8:$E$1013,SMALL(IF((입고!$AC$8:$AC$1013=1)*(입고!$C$8:$C$1013=$M$16),ROW(입고!$C$8:$C$1013)-7),3)),"")</f>
        <v/>
      </c>
    </row>
    <row r="127" spans="16:17" ht="15" customHeight="1" x14ac:dyDescent="0.25">
      <c r="P127" s="48" t="str">
        <f t="shared" si="12"/>
        <v/>
      </c>
      <c r="Q127" s="48" t="str">
        <f t="array" ref="Q127">IFERROR(INDEX(입고!$E$8:$E$1013,SMALL(IF((입고!$AC$8:$AC$1013=1)*(입고!$C$8:$C$1013=$M$16),ROW(입고!$C$8:$C$1013)-7),4)),"")</f>
        <v/>
      </c>
    </row>
    <row r="128" spans="16:17" ht="15" customHeight="1" x14ac:dyDescent="0.25">
      <c r="P128" s="48" t="str">
        <f t="shared" si="12"/>
        <v/>
      </c>
      <c r="Q128" s="48" t="str">
        <f t="array" ref="Q128">IFERROR(INDEX(입고!$E$8:$E$1013,SMALL(IF((입고!$AC$8:$AC$1013=1)*(입고!$C$8:$C$1013=$M$16),ROW(입고!$C$8:$C$1013)-7),5)),"")</f>
        <v/>
      </c>
    </row>
    <row r="129" spans="16:17" ht="15" customHeight="1" x14ac:dyDescent="0.25">
      <c r="P129" s="48" t="str">
        <f t="shared" si="12"/>
        <v/>
      </c>
      <c r="Q129" s="48" t="str">
        <f t="array" ref="Q129">IFERROR(INDEX(입고!$E$8:$E$1013,SMALL(IF((입고!$AC$8:$AC$1013=1)*(입고!$C$8:$C$1013=$M$16),ROW(입고!$C$8:$C$1013)-7),6)),"")</f>
        <v/>
      </c>
    </row>
    <row r="130" spans="16:17" ht="15" customHeight="1" x14ac:dyDescent="0.25">
      <c r="P130" s="48" t="str">
        <f t="shared" si="12"/>
        <v/>
      </c>
      <c r="Q130" s="48" t="str">
        <f t="array" ref="Q130">IFERROR(INDEX(입고!$E$8:$E$1013,SMALL(IF((입고!$AC$8:$AC$1013=1)*(입고!$C$8:$C$1013=$M$16),ROW(입고!$C$8:$C$1013)-7),7)),"")</f>
        <v/>
      </c>
    </row>
    <row r="131" spans="16:17" ht="15" customHeight="1" x14ac:dyDescent="0.25">
      <c r="P131" s="48" t="str">
        <f t="shared" si="12"/>
        <v/>
      </c>
      <c r="Q131" s="48" t="str">
        <f t="array" ref="Q131">IFERROR(INDEX(입고!$E$8:$E$1013,SMALL(IF((입고!$AC$8:$AC$1013=1)*(입고!$C$8:$C$1013=$M$16),ROW(입고!$C$8:$C$1013)-7),8)),"")</f>
        <v/>
      </c>
    </row>
    <row r="132" spans="16:17" ht="15" customHeight="1" x14ac:dyDescent="0.25">
      <c r="P132" s="48" t="str">
        <f t="shared" si="12"/>
        <v/>
      </c>
      <c r="Q132" s="48" t="str">
        <f t="array" ref="Q132">IFERROR(INDEX(입고!$E$8:$E$1013,SMALL(IF((입고!$AC$8:$AC$1013=1)*(입고!$C$8:$C$1013=$M$16),ROW(입고!$C$8:$C$1013)-7),9)),"")</f>
        <v/>
      </c>
    </row>
    <row r="133" spans="16:17" ht="15" customHeight="1" x14ac:dyDescent="0.25">
      <c r="P133" s="48" t="str">
        <f t="shared" si="12"/>
        <v/>
      </c>
      <c r="Q133" s="48" t="str">
        <f t="array" ref="Q133">IFERROR(INDEX(입고!$E$8:$E$1013,SMALL(IF((입고!$AC$8:$AC$1013=1)*(입고!$C$8:$C$1013=$M$16),ROW(입고!$C$8:$C$1013)-7),10)),"")</f>
        <v/>
      </c>
    </row>
    <row r="134" spans="16:17" ht="15" customHeight="1" x14ac:dyDescent="0.25">
      <c r="P134" s="48" t="str">
        <f t="shared" ref="P134:P143" si="13">IF(Q134="","",$M$17)</f>
        <v>100K수입 25T × 300W × 7400L</v>
      </c>
      <c r="Q134" s="48" t="str">
        <f t="array" ref="Q134">IFERROR(INDEX(입고!$E$8:$E$1013,SMALL(IF((입고!$AC$8:$AC$1013=1)*(입고!$C$8:$C$1013=$M$17),ROW(입고!$C$8:$C$1013)-7),1)),"")</f>
        <v>260203CW001</v>
      </c>
    </row>
    <row r="135" spans="16:17" ht="15" customHeight="1" x14ac:dyDescent="0.25">
      <c r="P135" s="48" t="str">
        <f t="shared" si="13"/>
        <v/>
      </c>
      <c r="Q135" s="48" t="str">
        <f t="array" ref="Q135">IFERROR(INDEX(입고!$E$8:$E$1013,SMALL(IF((입고!$AC$8:$AC$1013=1)*(입고!$C$8:$C$1013=$M$17),ROW(입고!$C$8:$C$1013)-7),2)),"")</f>
        <v/>
      </c>
    </row>
    <row r="136" spans="16:17" ht="15" customHeight="1" x14ac:dyDescent="0.25">
      <c r="P136" s="48" t="str">
        <f t="shared" si="13"/>
        <v/>
      </c>
      <c r="Q136" s="48" t="str">
        <f t="array" ref="Q136">IFERROR(INDEX(입고!$E$8:$E$1013,SMALL(IF((입고!$AC$8:$AC$1013=1)*(입고!$C$8:$C$1013=$M$17),ROW(입고!$C$8:$C$1013)-7),3)),"")</f>
        <v/>
      </c>
    </row>
    <row r="137" spans="16:17" ht="15" customHeight="1" x14ac:dyDescent="0.25">
      <c r="P137" s="48" t="str">
        <f t="shared" si="13"/>
        <v/>
      </c>
      <c r="Q137" s="48" t="str">
        <f t="array" ref="Q137">IFERROR(INDEX(입고!$E$8:$E$1013,SMALL(IF((입고!$AC$8:$AC$1013=1)*(입고!$C$8:$C$1013=$M$17),ROW(입고!$C$8:$C$1013)-7),4)),"")</f>
        <v/>
      </c>
    </row>
    <row r="138" spans="16:17" ht="15" customHeight="1" x14ac:dyDescent="0.25">
      <c r="P138" s="48" t="str">
        <f t="shared" si="13"/>
        <v/>
      </c>
      <c r="Q138" s="48" t="str">
        <f t="array" ref="Q138">IFERROR(INDEX(입고!$E$8:$E$1013,SMALL(IF((입고!$AC$8:$AC$1013=1)*(입고!$C$8:$C$1013=$M$17),ROW(입고!$C$8:$C$1013)-7),5)),"")</f>
        <v/>
      </c>
    </row>
    <row r="139" spans="16:17" ht="15" customHeight="1" x14ac:dyDescent="0.25">
      <c r="P139" s="48" t="str">
        <f t="shared" si="13"/>
        <v/>
      </c>
      <c r="Q139" s="48" t="str">
        <f t="array" ref="Q139">IFERROR(INDEX(입고!$E$8:$E$1013,SMALL(IF((입고!$AC$8:$AC$1013=1)*(입고!$C$8:$C$1013=$M$17),ROW(입고!$C$8:$C$1013)-7),6)),"")</f>
        <v/>
      </c>
    </row>
    <row r="140" spans="16:17" ht="15" customHeight="1" x14ac:dyDescent="0.25">
      <c r="P140" s="48" t="str">
        <f t="shared" si="13"/>
        <v/>
      </c>
      <c r="Q140" s="48" t="str">
        <f t="array" ref="Q140">IFERROR(INDEX(입고!$E$8:$E$1013,SMALL(IF((입고!$AC$8:$AC$1013=1)*(입고!$C$8:$C$1013=$M$17),ROW(입고!$C$8:$C$1013)-7),7)),"")</f>
        <v/>
      </c>
    </row>
    <row r="141" spans="16:17" ht="15" customHeight="1" x14ac:dyDescent="0.25">
      <c r="P141" s="48" t="str">
        <f t="shared" si="13"/>
        <v/>
      </c>
      <c r="Q141" s="48" t="str">
        <f t="array" ref="Q141">IFERROR(INDEX(입고!$E$8:$E$1013,SMALL(IF((입고!$AC$8:$AC$1013=1)*(입고!$C$8:$C$1013=$M$17),ROW(입고!$C$8:$C$1013)-7),8)),"")</f>
        <v/>
      </c>
    </row>
    <row r="142" spans="16:17" ht="15" customHeight="1" x14ac:dyDescent="0.25">
      <c r="P142" s="48" t="str">
        <f t="shared" si="13"/>
        <v/>
      </c>
      <c r="Q142" s="48" t="str">
        <f t="array" ref="Q142">IFERROR(INDEX(입고!$E$8:$E$1013,SMALL(IF((입고!$AC$8:$AC$1013=1)*(입고!$C$8:$C$1013=$M$17),ROW(입고!$C$8:$C$1013)-7),9)),"")</f>
        <v/>
      </c>
    </row>
    <row r="143" spans="16:17" ht="15" customHeight="1" x14ac:dyDescent="0.25">
      <c r="P143" s="48" t="str">
        <f t="shared" si="13"/>
        <v/>
      </c>
      <c r="Q143" s="48" t="str">
        <f t="array" ref="Q143">IFERROR(INDEX(입고!$E$8:$E$1013,SMALL(IF((입고!$AC$8:$AC$1013=1)*(입고!$C$8:$C$1013=$M$17),ROW(입고!$C$8:$C$1013)-7),10)),"")</f>
        <v/>
      </c>
    </row>
    <row r="144" spans="16:17" ht="15" customHeight="1" x14ac:dyDescent="0.25">
      <c r="P144" s="48" t="str">
        <f t="shared" ref="P144:P153" si="14">IF(Q144="","",$M$18)</f>
        <v>100K수입 38T × 600W × 4800L</v>
      </c>
      <c r="Q144" s="48" t="str">
        <f t="array" ref="Q144">IFERROR(INDEX(입고!$E$8:$E$1013,SMALL(IF((입고!$AC$8:$AC$1013=1)*(입고!$C$8:$C$1013=$M$18),ROW(입고!$C$8:$C$1013)-7),1)),"")</f>
        <v>260203CW004</v>
      </c>
    </row>
    <row r="145" spans="16:17" ht="15" customHeight="1" x14ac:dyDescent="0.25">
      <c r="P145" s="48" t="str">
        <f t="shared" si="14"/>
        <v/>
      </c>
      <c r="Q145" s="48" t="str">
        <f t="array" ref="Q145">IFERROR(INDEX(입고!$E$8:$E$1013,SMALL(IF((입고!$AC$8:$AC$1013=1)*(입고!$C$8:$C$1013=$M$18),ROW(입고!$C$8:$C$1013)-7),2)),"")</f>
        <v/>
      </c>
    </row>
    <row r="146" spans="16:17" ht="15" customHeight="1" x14ac:dyDescent="0.25">
      <c r="P146" s="48" t="str">
        <f t="shared" si="14"/>
        <v/>
      </c>
      <c r="Q146" s="48" t="str">
        <f t="array" ref="Q146">IFERROR(INDEX(입고!$E$8:$E$1013,SMALL(IF((입고!$AC$8:$AC$1013=1)*(입고!$C$8:$C$1013=$M$18),ROW(입고!$C$8:$C$1013)-7),3)),"")</f>
        <v/>
      </c>
    </row>
    <row r="147" spans="16:17" ht="15" customHeight="1" x14ac:dyDescent="0.25">
      <c r="P147" s="48" t="str">
        <f t="shared" si="14"/>
        <v/>
      </c>
      <c r="Q147" s="48" t="str">
        <f t="array" ref="Q147">IFERROR(INDEX(입고!$E$8:$E$1013,SMALL(IF((입고!$AC$8:$AC$1013=1)*(입고!$C$8:$C$1013=$M$18),ROW(입고!$C$8:$C$1013)-7),4)),"")</f>
        <v/>
      </c>
    </row>
    <row r="148" spans="16:17" ht="15" customHeight="1" x14ac:dyDescent="0.25">
      <c r="P148" s="48" t="str">
        <f t="shared" si="14"/>
        <v/>
      </c>
      <c r="Q148" s="48" t="str">
        <f t="array" ref="Q148">IFERROR(INDEX(입고!$E$8:$E$1013,SMALL(IF((입고!$AC$8:$AC$1013=1)*(입고!$C$8:$C$1013=$M$18),ROW(입고!$C$8:$C$1013)-7),5)),"")</f>
        <v/>
      </c>
    </row>
    <row r="149" spans="16:17" ht="15" customHeight="1" x14ac:dyDescent="0.25">
      <c r="P149" s="48" t="str">
        <f t="shared" si="14"/>
        <v/>
      </c>
      <c r="Q149" s="48" t="str">
        <f t="array" ref="Q149">IFERROR(INDEX(입고!$E$8:$E$1013,SMALL(IF((입고!$AC$8:$AC$1013=1)*(입고!$C$8:$C$1013=$M$18),ROW(입고!$C$8:$C$1013)-7),6)),"")</f>
        <v/>
      </c>
    </row>
    <row r="150" spans="16:17" ht="15" customHeight="1" x14ac:dyDescent="0.25">
      <c r="P150" s="48" t="str">
        <f t="shared" si="14"/>
        <v/>
      </c>
      <c r="Q150" s="48" t="str">
        <f t="array" ref="Q150">IFERROR(INDEX(입고!$E$8:$E$1013,SMALL(IF((입고!$AC$8:$AC$1013=1)*(입고!$C$8:$C$1013=$M$18),ROW(입고!$C$8:$C$1013)-7),7)),"")</f>
        <v/>
      </c>
    </row>
    <row r="151" spans="16:17" ht="15" customHeight="1" x14ac:dyDescent="0.25">
      <c r="P151" s="48" t="str">
        <f t="shared" si="14"/>
        <v/>
      </c>
      <c r="Q151" s="48" t="str">
        <f t="array" ref="Q151">IFERROR(INDEX(입고!$E$8:$E$1013,SMALL(IF((입고!$AC$8:$AC$1013=1)*(입고!$C$8:$C$1013=$M$18),ROW(입고!$C$8:$C$1013)-7),8)),"")</f>
        <v/>
      </c>
    </row>
    <row r="152" spans="16:17" ht="15" customHeight="1" x14ac:dyDescent="0.25">
      <c r="P152" s="48" t="str">
        <f t="shared" si="14"/>
        <v/>
      </c>
      <c r="Q152" s="48" t="str">
        <f t="array" ref="Q152">IFERROR(INDEX(입고!$E$8:$E$1013,SMALL(IF((입고!$AC$8:$AC$1013=1)*(입고!$C$8:$C$1013=$M$18),ROW(입고!$C$8:$C$1013)-7),9)),"")</f>
        <v/>
      </c>
    </row>
    <row r="153" spans="16:17" ht="15" customHeight="1" x14ac:dyDescent="0.25">
      <c r="P153" s="48" t="str">
        <f t="shared" si="14"/>
        <v/>
      </c>
      <c r="Q153" s="48" t="str">
        <f t="array" ref="Q153">IFERROR(INDEX(입고!$E$8:$E$1013,SMALL(IF((입고!$AC$8:$AC$1013=1)*(입고!$C$8:$C$1013=$M$18),ROW(입고!$C$8:$C$1013)-7),10)),"")</f>
        <v/>
      </c>
    </row>
    <row r="154" spans="16:17" ht="15" customHeight="1" x14ac:dyDescent="0.25">
      <c r="P154" s="48" t="str">
        <f t="shared" ref="P154:P163" si="15">IF(Q154="","",$M$19)</f>
        <v/>
      </c>
      <c r="Q154" s="48" t="str">
        <f t="array" ref="Q154">IFERROR(INDEX(입고!$E$8:$E$1013,SMALL(IF((입고!$AC$8:$AC$1013=1)*(입고!$C$8:$C$1013=$M$19),ROW(입고!$C$8:$C$1013)-7),1)),"")</f>
        <v/>
      </c>
    </row>
    <row r="155" spans="16:17" ht="15" customHeight="1" x14ac:dyDescent="0.25">
      <c r="P155" s="48" t="str">
        <f t="shared" si="15"/>
        <v/>
      </c>
      <c r="Q155" s="48" t="str">
        <f t="array" ref="Q155">IFERROR(INDEX(입고!$E$8:$E$1013,SMALL(IF((입고!$AC$8:$AC$1013=1)*(입고!$C$8:$C$1013=$M$19),ROW(입고!$C$8:$C$1013)-7),2)),"")</f>
        <v/>
      </c>
    </row>
    <row r="156" spans="16:17" ht="15" customHeight="1" x14ac:dyDescent="0.25">
      <c r="P156" s="48" t="str">
        <f t="shared" si="15"/>
        <v/>
      </c>
      <c r="Q156" s="48" t="str">
        <f t="array" ref="Q156">IFERROR(INDEX(입고!$E$8:$E$1013,SMALL(IF((입고!$AC$8:$AC$1013=1)*(입고!$C$8:$C$1013=$M$19),ROW(입고!$C$8:$C$1013)-7),3)),"")</f>
        <v/>
      </c>
    </row>
    <row r="157" spans="16:17" ht="15" customHeight="1" x14ac:dyDescent="0.25">
      <c r="P157" s="48" t="str">
        <f t="shared" si="15"/>
        <v/>
      </c>
      <c r="Q157" s="48" t="str">
        <f t="array" ref="Q157">IFERROR(INDEX(입고!$E$8:$E$1013,SMALL(IF((입고!$AC$8:$AC$1013=1)*(입고!$C$8:$C$1013=$M$19),ROW(입고!$C$8:$C$1013)-7),4)),"")</f>
        <v/>
      </c>
    </row>
    <row r="158" spans="16:17" ht="15" customHeight="1" x14ac:dyDescent="0.25">
      <c r="P158" s="48" t="str">
        <f t="shared" si="15"/>
        <v/>
      </c>
      <c r="Q158" s="48" t="str">
        <f t="array" ref="Q158">IFERROR(INDEX(입고!$E$8:$E$1013,SMALL(IF((입고!$AC$8:$AC$1013=1)*(입고!$C$8:$C$1013=$M$19),ROW(입고!$C$8:$C$1013)-7),5)),"")</f>
        <v/>
      </c>
    </row>
    <row r="159" spans="16:17" ht="15" customHeight="1" x14ac:dyDescent="0.25">
      <c r="P159" s="48" t="str">
        <f t="shared" si="15"/>
        <v/>
      </c>
      <c r="Q159" s="48" t="str">
        <f t="array" ref="Q159">IFERROR(INDEX(입고!$E$8:$E$1013,SMALL(IF((입고!$AC$8:$AC$1013=1)*(입고!$C$8:$C$1013=$M$19),ROW(입고!$C$8:$C$1013)-7),6)),"")</f>
        <v/>
      </c>
    </row>
    <row r="160" spans="16:17" ht="15" customHeight="1" x14ac:dyDescent="0.25">
      <c r="P160" s="48" t="str">
        <f t="shared" si="15"/>
        <v/>
      </c>
      <c r="Q160" s="48" t="str">
        <f t="array" ref="Q160">IFERROR(INDEX(입고!$E$8:$E$1013,SMALL(IF((입고!$AC$8:$AC$1013=1)*(입고!$C$8:$C$1013=$M$19),ROW(입고!$C$8:$C$1013)-7),7)),"")</f>
        <v/>
      </c>
    </row>
    <row r="161" spans="16:17" ht="15" customHeight="1" x14ac:dyDescent="0.25">
      <c r="P161" s="48" t="str">
        <f t="shared" si="15"/>
        <v/>
      </c>
      <c r="Q161" s="48" t="str">
        <f t="array" ref="Q161">IFERROR(INDEX(입고!$E$8:$E$1013,SMALL(IF((입고!$AC$8:$AC$1013=1)*(입고!$C$8:$C$1013=$M$19),ROW(입고!$C$8:$C$1013)-7),8)),"")</f>
        <v/>
      </c>
    </row>
    <row r="162" spans="16:17" ht="15" customHeight="1" x14ac:dyDescent="0.25">
      <c r="P162" s="48" t="str">
        <f t="shared" si="15"/>
        <v/>
      </c>
      <c r="Q162" s="48" t="str">
        <f t="array" ref="Q162">IFERROR(INDEX(입고!$E$8:$E$1013,SMALL(IF((입고!$AC$8:$AC$1013=1)*(입고!$C$8:$C$1013=$M$19),ROW(입고!$C$8:$C$1013)-7),9)),"")</f>
        <v/>
      </c>
    </row>
    <row r="163" spans="16:17" ht="15" customHeight="1" x14ac:dyDescent="0.25">
      <c r="P163" s="48" t="str">
        <f t="shared" si="15"/>
        <v/>
      </c>
      <c r="Q163" s="48" t="str">
        <f t="array" ref="Q163">IFERROR(INDEX(입고!$E$8:$E$1013,SMALL(IF((입고!$AC$8:$AC$1013=1)*(입고!$C$8:$C$1013=$M$19),ROW(입고!$C$8:$C$1013)-7),10)),"")</f>
        <v/>
      </c>
    </row>
    <row r="164" spans="16:17" ht="15" customHeight="1" x14ac:dyDescent="0.25">
      <c r="P164" s="48" t="str">
        <f t="shared" ref="P164:P173" si="16">IF(Q164="","",$M$20)</f>
        <v>128K수입 25T × 200W × 7400L</v>
      </c>
      <c r="Q164" s="48" t="str">
        <f t="array" ref="Q164">IFERROR(INDEX(입고!$E$8:$E$1013,SMALL(IF((입고!$AC$8:$AC$1013=1)*(입고!$C$8:$C$1013=$M$20),ROW(입고!$C$8:$C$1013)-7),1)),"")</f>
        <v>260203CW002</v>
      </c>
    </row>
    <row r="165" spans="16:17" ht="15" customHeight="1" x14ac:dyDescent="0.25">
      <c r="P165" s="48" t="str">
        <f t="shared" si="16"/>
        <v>128K수입 25T × 200W × 7400L</v>
      </c>
      <c r="Q165" s="48" t="str">
        <f t="array" ref="Q165">IFERROR(INDEX(입고!$E$8:$E$1013,SMALL(IF((입고!$AC$8:$AC$1013=1)*(입고!$C$8:$C$1013=$M$20),ROW(입고!$C$8:$C$1013)-7),2)),"")</f>
        <v>260514CW002</v>
      </c>
    </row>
    <row r="166" spans="16:17" ht="15" customHeight="1" x14ac:dyDescent="0.25">
      <c r="P166" s="48" t="str">
        <f t="shared" si="16"/>
        <v/>
      </c>
      <c r="Q166" s="48" t="str">
        <f t="array" ref="Q166">IFERROR(INDEX(입고!$E$8:$E$1013,SMALL(IF((입고!$AC$8:$AC$1013=1)*(입고!$C$8:$C$1013=$M$20),ROW(입고!$C$8:$C$1013)-7),3)),"")</f>
        <v/>
      </c>
    </row>
    <row r="167" spans="16:17" ht="15" customHeight="1" x14ac:dyDescent="0.25">
      <c r="P167" s="48" t="str">
        <f t="shared" si="16"/>
        <v/>
      </c>
      <c r="Q167" s="48" t="str">
        <f t="array" ref="Q167">IFERROR(INDEX(입고!$E$8:$E$1013,SMALL(IF((입고!$AC$8:$AC$1013=1)*(입고!$C$8:$C$1013=$M$20),ROW(입고!$C$8:$C$1013)-7),4)),"")</f>
        <v/>
      </c>
    </row>
    <row r="168" spans="16:17" ht="15" customHeight="1" x14ac:dyDescent="0.25">
      <c r="P168" s="48" t="str">
        <f t="shared" si="16"/>
        <v/>
      </c>
      <c r="Q168" s="48" t="str">
        <f t="array" ref="Q168">IFERROR(INDEX(입고!$E$8:$E$1013,SMALL(IF((입고!$AC$8:$AC$1013=1)*(입고!$C$8:$C$1013=$M$20),ROW(입고!$C$8:$C$1013)-7),5)),"")</f>
        <v/>
      </c>
    </row>
    <row r="169" spans="16:17" ht="15" customHeight="1" x14ac:dyDescent="0.25">
      <c r="P169" s="48" t="str">
        <f t="shared" si="16"/>
        <v/>
      </c>
      <c r="Q169" s="48" t="str">
        <f t="array" ref="Q169">IFERROR(INDEX(입고!$E$8:$E$1013,SMALL(IF((입고!$AC$8:$AC$1013=1)*(입고!$C$8:$C$1013=$M$20),ROW(입고!$C$8:$C$1013)-7),6)),"")</f>
        <v/>
      </c>
    </row>
    <row r="170" spans="16:17" ht="15" customHeight="1" x14ac:dyDescent="0.25">
      <c r="P170" s="48" t="str">
        <f t="shared" si="16"/>
        <v/>
      </c>
      <c r="Q170" s="48" t="str">
        <f t="array" ref="Q170">IFERROR(INDEX(입고!$E$8:$E$1013,SMALL(IF((입고!$AC$8:$AC$1013=1)*(입고!$C$8:$C$1013=$M$20),ROW(입고!$C$8:$C$1013)-7),7)),"")</f>
        <v/>
      </c>
    </row>
    <row r="171" spans="16:17" ht="15" customHeight="1" x14ac:dyDescent="0.25">
      <c r="P171" s="48" t="str">
        <f t="shared" si="16"/>
        <v/>
      </c>
      <c r="Q171" s="48" t="str">
        <f t="array" ref="Q171">IFERROR(INDEX(입고!$E$8:$E$1013,SMALL(IF((입고!$AC$8:$AC$1013=1)*(입고!$C$8:$C$1013=$M$20),ROW(입고!$C$8:$C$1013)-7),8)),"")</f>
        <v/>
      </c>
    </row>
    <row r="172" spans="16:17" ht="15" customHeight="1" x14ac:dyDescent="0.25">
      <c r="P172" s="48" t="str">
        <f t="shared" si="16"/>
        <v/>
      </c>
      <c r="Q172" s="48" t="str">
        <f t="array" ref="Q172">IFERROR(INDEX(입고!$E$8:$E$1013,SMALL(IF((입고!$AC$8:$AC$1013=1)*(입고!$C$8:$C$1013=$M$20),ROW(입고!$C$8:$C$1013)-7),9)),"")</f>
        <v/>
      </c>
    </row>
    <row r="173" spans="16:17" ht="15" customHeight="1" x14ac:dyDescent="0.25">
      <c r="P173" s="48" t="str">
        <f t="shared" si="16"/>
        <v/>
      </c>
      <c r="Q173" s="48" t="str">
        <f t="array" ref="Q173">IFERROR(INDEX(입고!$E$8:$E$1013,SMALL(IF((입고!$AC$8:$AC$1013=1)*(입고!$C$8:$C$1013=$M$20),ROW(입고!$C$8:$C$1013)-7),10)),"")</f>
        <v/>
      </c>
    </row>
  </sheetData>
  <mergeCells count="3">
    <mergeCell ref="C1:M1"/>
    <mergeCell ref="P2:Q2"/>
    <mergeCell ref="C22:M22"/>
  </mergeCells>
  <phoneticPr fontId="4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CONCATENATE("[01] ", 마스터!D4, "  |  ", 마스터!F4)</f>
        <v>[01] 세라믹울 96K 국산  |  25T × 200W × 7320L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마스터!D4</f>
        <v>세라믹울 96K 국산</v>
      </c>
      <c r="D4" s="1" t="s">
        <v>11</v>
      </c>
      <c r="E4" s="53">
        <f>SUMIFS(입고!$F$8:$F$1013,입고!$C$8:$C$1013,마스터!$M$4)</f>
        <v>0</v>
      </c>
    </row>
    <row r="5" spans="1:9" ht="15" customHeight="1" x14ac:dyDescent="0.25">
      <c r="A5" s="1" t="s">
        <v>7</v>
      </c>
      <c r="B5" s="52" t="str">
        <f>마스터!E4</f>
        <v>252007320</v>
      </c>
      <c r="D5" s="1" t="s">
        <v>12</v>
      </c>
      <c r="E5" s="53">
        <f>SUMIFS(출고!$F$8:$F$1013,출고!$C$8:$C$1013,마스터!$M$4)</f>
        <v>0</v>
      </c>
    </row>
    <row r="6" spans="1:9" ht="23.25" customHeight="1" x14ac:dyDescent="0.25">
      <c r="A6" s="1" t="s">
        <v>26</v>
      </c>
      <c r="B6" s="52" t="str">
        <f>마스터!F4</f>
        <v>25T × 200W × 7320L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마스터!M4</f>
        <v>96K국산 25T × 200W × 7320L</v>
      </c>
      <c r="D7" s="1" t="s">
        <v>13</v>
      </c>
      <c r="E7" s="54">
        <f>마스터!$K$4+E4-E5</f>
        <v>0</v>
      </c>
    </row>
    <row r="8" spans="1:9" ht="15" customHeight="1" x14ac:dyDescent="0.25">
      <c r="A8" s="1" t="s">
        <v>10</v>
      </c>
      <c r="B8" s="53">
        <f>마스터!K4</f>
        <v>0</v>
      </c>
      <c r="D8" s="1" t="s">
        <v>123</v>
      </c>
      <c r="E8" s="55">
        <f t="array" ref="E8">IFERROR(MAX(MAX(IF(입고!$C$8:$C$1013=마스터!$M$4,입고!$B$8:$B$1013)),MAX(IF(출고!$C$8:$C$1013=마스터!$M$4,출고!$B$8:$B$1013))),"-")</f>
        <v>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 t="str">
        <f t="shared" ref="A12:A41" si="0">IF(B12="","",ROW()-11)</f>
        <v/>
      </c>
      <c r="B12" s="56" t="str">
        <f t="array" ref="B12">IFERROR(INDEX(입고!$B$8:$B$1013,SMALL(IF(입고!$C$8:$C$1013=마스터!$M$4,ROW(입고!$C$8:$C$1013)-7),1)),"")</f>
        <v/>
      </c>
      <c r="C12" s="6" t="str">
        <f t="array" ref="C12">IFERROR(INDEX(입고!$E$8:$E$1013,SMALL(IF(입고!$C$8:$C$1013=마스터!$M$4,ROW(입고!$C$8:$C$1013)-7),1)),"")</f>
        <v/>
      </c>
      <c r="D12" s="8" t="str">
        <f t="array" ref="D12">IFERROR(INDEX(입고!$F$8:$F$1013,SMALL(IF(입고!$C$8:$C$1013=마스터!$M$4,ROW(입고!$C$8:$C$1013)-7),1)),"")</f>
        <v/>
      </c>
      <c r="E12" s="46" t="str">
        <f t="array" ref="E12">IFERROR(INDEX(입고!$H$8:$H$1013,SMALL(IF(입고!$C$8:$C$1013=마스터!$M$4,ROW(입고!$C$8:$C$1013)-7),1)),"")</f>
        <v/>
      </c>
      <c r="F12" s="46" t="str">
        <f t="array" ref="F12">IFERROR(INDEX(입고!$I$8:$I$1013,SMALL(IF(입고!$C$8:$C$1013=마스터!$M$4,ROW(입고!$C$8:$C$1013)-7),1)),"")</f>
        <v/>
      </c>
      <c r="G12" s="57" t="str">
        <f>IF(B12="","",IFERROR(D12,0))</f>
        <v/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IFERROR(INDEX(입고!$B$8:$B$1013,SMALL(IF(입고!$C$8:$C$1013=마스터!$M$4,ROW(입고!$C$8:$C$1013)-7),2)),"")</f>
        <v/>
      </c>
      <c r="C13" s="11" t="str">
        <f t="array" ref="C13">IFERROR(INDEX(입고!$E$8:$E$1013,SMALL(IF(입고!$C$8:$C$1013=마스터!$M$4,ROW(입고!$C$8:$C$1013)-7),2)),"")</f>
        <v/>
      </c>
      <c r="D13" s="13" t="str">
        <f t="array" ref="D13">IFERROR(INDEX(입고!$F$8:$F$1013,SMALL(IF(입고!$C$8:$C$1013=마스터!$M$4,ROW(입고!$C$8:$C$1013)-7),2)),"")</f>
        <v/>
      </c>
      <c r="E13" s="50" t="str">
        <f t="array" ref="E13">IFERROR(INDEX(입고!$H$8:$H$1013,SMALL(IF(입고!$C$8:$C$1013=마스터!$M$4,ROW(입고!$C$8:$C$1013)-7),2)),"")</f>
        <v/>
      </c>
      <c r="F13" s="50" t="str">
        <f t="array" ref="F13">IFERROR(INDEX(입고!$I$8:$I$1013,SMALL(IF(입고!$C$8:$C$1013=마스터!$M$4,ROW(입고!$C$8:$C$1013)-7),2)),"")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IFERROR(INDEX(입고!$B$8:$B$1013,SMALL(IF(입고!$C$8:$C$1013=마스터!$M$4,ROW(입고!$C$8:$C$1013)-7),3)),"")</f>
        <v/>
      </c>
      <c r="C14" s="6" t="str">
        <f t="array" ref="C14">IFERROR(INDEX(입고!$E$8:$E$1013,SMALL(IF(입고!$C$8:$C$1013=마스터!$M$4,ROW(입고!$C$8:$C$1013)-7),3)),"")</f>
        <v/>
      </c>
      <c r="D14" s="8" t="str">
        <f t="array" ref="D14">IFERROR(INDEX(입고!$F$8:$F$1013,SMALL(IF(입고!$C$8:$C$1013=마스터!$M$4,ROW(입고!$C$8:$C$1013)-7),3)),"")</f>
        <v/>
      </c>
      <c r="E14" s="46" t="str">
        <f t="array" ref="E14">IFERROR(INDEX(입고!$H$8:$H$1013,SMALL(IF(입고!$C$8:$C$1013=마스터!$M$4,ROW(입고!$C$8:$C$1013)-7),3)),"")</f>
        <v/>
      </c>
      <c r="F14" s="46" t="str">
        <f t="array" ref="F14">IFERROR(INDEX(입고!$I$8:$I$1013,SMALL(IF(입고!$C$8:$C$1013=마스터!$M$4,ROW(입고!$C$8:$C$1013)-7),3)),"")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IFERROR(INDEX(입고!$B$8:$B$1013,SMALL(IF(입고!$C$8:$C$1013=마스터!$M$4,ROW(입고!$C$8:$C$1013)-7),4)),"")</f>
        <v/>
      </c>
      <c r="C15" s="11" t="str">
        <f t="array" ref="C15">IFERROR(INDEX(입고!$E$8:$E$1013,SMALL(IF(입고!$C$8:$C$1013=마스터!$M$4,ROW(입고!$C$8:$C$1013)-7),4)),"")</f>
        <v/>
      </c>
      <c r="D15" s="13" t="str">
        <f t="array" ref="D15">IFERROR(INDEX(입고!$F$8:$F$1013,SMALL(IF(입고!$C$8:$C$1013=마스터!$M$4,ROW(입고!$C$8:$C$1013)-7),4)),"")</f>
        <v/>
      </c>
      <c r="E15" s="50" t="str">
        <f t="array" ref="E15">IFERROR(INDEX(입고!$H$8:$H$1013,SMALL(IF(입고!$C$8:$C$1013=마스터!$M$4,ROW(입고!$C$8:$C$1013)-7),4)),"")</f>
        <v/>
      </c>
      <c r="F15" s="50" t="str">
        <f t="array" ref="F15">IFERROR(INDEX(입고!$I$8:$I$1013,SMALL(IF(입고!$C$8:$C$1013=마스터!$M$4,ROW(입고!$C$8:$C$1013)-7),4)),"")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IFERROR(INDEX(입고!$B$8:$B$1013,SMALL(IF(입고!$C$8:$C$1013=마스터!$M$4,ROW(입고!$C$8:$C$1013)-7),5)),"")</f>
        <v/>
      </c>
      <c r="C16" s="6" t="str">
        <f t="array" ref="C16">IFERROR(INDEX(입고!$E$8:$E$1013,SMALL(IF(입고!$C$8:$C$1013=마스터!$M$4,ROW(입고!$C$8:$C$1013)-7),5)),"")</f>
        <v/>
      </c>
      <c r="D16" s="8" t="str">
        <f t="array" ref="D16">IFERROR(INDEX(입고!$F$8:$F$1013,SMALL(IF(입고!$C$8:$C$1013=마스터!$M$4,ROW(입고!$C$8:$C$1013)-7),5)),"")</f>
        <v/>
      </c>
      <c r="E16" s="46" t="str">
        <f t="array" ref="E16">IFERROR(INDEX(입고!$H$8:$H$1013,SMALL(IF(입고!$C$8:$C$1013=마스터!$M$4,ROW(입고!$C$8:$C$1013)-7),5)),"")</f>
        <v/>
      </c>
      <c r="F16" s="46" t="str">
        <f t="array" ref="F16">IFERROR(INDEX(입고!$I$8:$I$1013,SMALL(IF(입고!$C$8:$C$1013=마스터!$M$4,ROW(입고!$C$8:$C$1013)-7),5)),"")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IFERROR(INDEX(입고!$B$8:$B$1013,SMALL(IF(입고!$C$8:$C$1013=마스터!$M$4,ROW(입고!$C$8:$C$1013)-7),6)),"")</f>
        <v/>
      </c>
      <c r="C17" s="11" t="str">
        <f t="array" ref="C17">IFERROR(INDEX(입고!$E$8:$E$1013,SMALL(IF(입고!$C$8:$C$1013=마스터!$M$4,ROW(입고!$C$8:$C$1013)-7),6)),"")</f>
        <v/>
      </c>
      <c r="D17" s="13" t="str">
        <f t="array" ref="D17">IFERROR(INDEX(입고!$F$8:$F$1013,SMALL(IF(입고!$C$8:$C$1013=마스터!$M$4,ROW(입고!$C$8:$C$1013)-7),6)),"")</f>
        <v/>
      </c>
      <c r="E17" s="50" t="str">
        <f t="array" ref="E17">IFERROR(INDEX(입고!$H$8:$H$1013,SMALL(IF(입고!$C$8:$C$1013=마스터!$M$4,ROW(입고!$C$8:$C$1013)-7),6)),"")</f>
        <v/>
      </c>
      <c r="F17" s="50" t="str">
        <f t="array" ref="F17">IFERROR(INDEX(입고!$I$8:$I$1013,SMALL(IF(입고!$C$8:$C$1013=마스터!$M$4,ROW(입고!$C$8:$C$1013)-7),6)),"")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IFERROR(INDEX(입고!$B$8:$B$1013,SMALL(IF(입고!$C$8:$C$1013=마스터!$M$4,ROW(입고!$C$8:$C$1013)-7),7)),"")</f>
        <v/>
      </c>
      <c r="C18" s="6" t="str">
        <f t="array" ref="C18">IFERROR(INDEX(입고!$E$8:$E$1013,SMALL(IF(입고!$C$8:$C$1013=마스터!$M$4,ROW(입고!$C$8:$C$1013)-7),7)),"")</f>
        <v/>
      </c>
      <c r="D18" s="8" t="str">
        <f t="array" ref="D18">IFERROR(INDEX(입고!$F$8:$F$1013,SMALL(IF(입고!$C$8:$C$1013=마스터!$M$4,ROW(입고!$C$8:$C$1013)-7),7)),"")</f>
        <v/>
      </c>
      <c r="E18" s="46" t="str">
        <f t="array" ref="E18">IFERROR(INDEX(입고!$H$8:$H$1013,SMALL(IF(입고!$C$8:$C$1013=마스터!$M$4,ROW(입고!$C$8:$C$1013)-7),7)),"")</f>
        <v/>
      </c>
      <c r="F18" s="46" t="str">
        <f t="array" ref="F18">IFERROR(INDEX(입고!$I$8:$I$1013,SMALL(IF(입고!$C$8:$C$1013=마스터!$M$4,ROW(입고!$C$8:$C$1013)-7),7)),"")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IFERROR(INDEX(입고!$B$8:$B$1013,SMALL(IF(입고!$C$8:$C$1013=마스터!$M$4,ROW(입고!$C$8:$C$1013)-7),8)),"")</f>
        <v/>
      </c>
      <c r="C19" s="11" t="str">
        <f t="array" ref="C19">IFERROR(INDEX(입고!$E$8:$E$1013,SMALL(IF(입고!$C$8:$C$1013=마스터!$M$4,ROW(입고!$C$8:$C$1013)-7),8)),"")</f>
        <v/>
      </c>
      <c r="D19" s="13" t="str">
        <f t="array" ref="D19">IFERROR(INDEX(입고!$F$8:$F$1013,SMALL(IF(입고!$C$8:$C$1013=마스터!$M$4,ROW(입고!$C$8:$C$1013)-7),8)),"")</f>
        <v/>
      </c>
      <c r="E19" s="50" t="str">
        <f t="array" ref="E19">IFERROR(INDEX(입고!$H$8:$H$1013,SMALL(IF(입고!$C$8:$C$1013=마스터!$M$4,ROW(입고!$C$8:$C$1013)-7),8)),"")</f>
        <v/>
      </c>
      <c r="F19" s="50" t="str">
        <f t="array" ref="F19">IFERROR(INDEX(입고!$I$8:$I$1013,SMALL(IF(입고!$C$8:$C$1013=마스터!$M$4,ROW(입고!$C$8:$C$1013)-7),8)),"")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IFERROR(INDEX(입고!$B$8:$B$1013,SMALL(IF(입고!$C$8:$C$1013=마스터!$M$4,ROW(입고!$C$8:$C$1013)-7),9)),"")</f>
        <v/>
      </c>
      <c r="C20" s="6" t="str">
        <f t="array" ref="C20">IFERROR(INDEX(입고!$E$8:$E$1013,SMALL(IF(입고!$C$8:$C$1013=마스터!$M$4,ROW(입고!$C$8:$C$1013)-7),9)),"")</f>
        <v/>
      </c>
      <c r="D20" s="8" t="str">
        <f t="array" ref="D20">IFERROR(INDEX(입고!$F$8:$F$1013,SMALL(IF(입고!$C$8:$C$1013=마스터!$M$4,ROW(입고!$C$8:$C$1013)-7),9)),"")</f>
        <v/>
      </c>
      <c r="E20" s="46" t="str">
        <f t="array" ref="E20">IFERROR(INDEX(입고!$H$8:$H$1013,SMALL(IF(입고!$C$8:$C$1013=마스터!$M$4,ROW(입고!$C$8:$C$1013)-7),9)),"")</f>
        <v/>
      </c>
      <c r="F20" s="46" t="str">
        <f t="array" ref="F20">IFERROR(INDEX(입고!$I$8:$I$1013,SMALL(IF(입고!$C$8:$C$1013=마스터!$M$4,ROW(입고!$C$8:$C$1013)-7),9)),"")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IFERROR(INDEX(입고!$B$8:$B$1013,SMALL(IF(입고!$C$8:$C$1013=마스터!$M$4,ROW(입고!$C$8:$C$1013)-7),10)),"")</f>
        <v/>
      </c>
      <c r="C21" s="11" t="str">
        <f t="array" ref="C21">IFERROR(INDEX(입고!$E$8:$E$1013,SMALL(IF(입고!$C$8:$C$1013=마스터!$M$4,ROW(입고!$C$8:$C$1013)-7),10)),"")</f>
        <v/>
      </c>
      <c r="D21" s="13" t="str">
        <f t="array" ref="D21">IFERROR(INDEX(입고!$F$8:$F$1013,SMALL(IF(입고!$C$8:$C$1013=마스터!$M$4,ROW(입고!$C$8:$C$1013)-7),10)),"")</f>
        <v/>
      </c>
      <c r="E21" s="50" t="str">
        <f t="array" ref="E21">IFERROR(INDEX(입고!$H$8:$H$1013,SMALL(IF(입고!$C$8:$C$1013=마스터!$M$4,ROW(입고!$C$8:$C$1013)-7),10)),"")</f>
        <v/>
      </c>
      <c r="F21" s="50" t="str">
        <f t="array" ref="F21">IFERROR(INDEX(입고!$I$8:$I$1013,SMALL(IF(입고!$C$8:$C$1013=마스터!$M$4,ROW(입고!$C$8:$C$1013)-7),10)),"")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IFERROR(INDEX(입고!$B$8:$B$1013,SMALL(IF(입고!$C$8:$C$1013=마스터!$M$4,ROW(입고!$C$8:$C$1013)-7),11)),"")</f>
        <v/>
      </c>
      <c r="C22" s="6" t="str">
        <f t="array" ref="C22">IFERROR(INDEX(입고!$E$8:$E$1013,SMALL(IF(입고!$C$8:$C$1013=마스터!$M$4,ROW(입고!$C$8:$C$1013)-7),11)),"")</f>
        <v/>
      </c>
      <c r="D22" s="8" t="str">
        <f t="array" ref="D22">IFERROR(INDEX(입고!$F$8:$F$1013,SMALL(IF(입고!$C$8:$C$1013=마스터!$M$4,ROW(입고!$C$8:$C$1013)-7),11)),"")</f>
        <v/>
      </c>
      <c r="E22" s="46" t="str">
        <f t="array" ref="E22">IFERROR(INDEX(입고!$H$8:$H$1013,SMALL(IF(입고!$C$8:$C$1013=마스터!$M$4,ROW(입고!$C$8:$C$1013)-7),11)),"")</f>
        <v/>
      </c>
      <c r="F22" s="46" t="str">
        <f t="array" ref="F22">IFERROR(INDEX(입고!$I$8:$I$1013,SMALL(IF(입고!$C$8:$C$1013=마스터!$M$4,ROW(입고!$C$8:$C$1013)-7),11)),"")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IFERROR(INDEX(입고!$B$8:$B$1013,SMALL(IF(입고!$C$8:$C$1013=마스터!$M$4,ROW(입고!$C$8:$C$1013)-7),12)),"")</f>
        <v/>
      </c>
      <c r="C23" s="11" t="str">
        <f t="array" ref="C23">IFERROR(INDEX(입고!$E$8:$E$1013,SMALL(IF(입고!$C$8:$C$1013=마스터!$M$4,ROW(입고!$C$8:$C$1013)-7),12)),"")</f>
        <v/>
      </c>
      <c r="D23" s="13" t="str">
        <f t="array" ref="D23">IFERROR(INDEX(입고!$F$8:$F$1013,SMALL(IF(입고!$C$8:$C$1013=마스터!$M$4,ROW(입고!$C$8:$C$1013)-7),12)),"")</f>
        <v/>
      </c>
      <c r="E23" s="50" t="str">
        <f t="array" ref="E23">IFERROR(INDEX(입고!$H$8:$H$1013,SMALL(IF(입고!$C$8:$C$1013=마스터!$M$4,ROW(입고!$C$8:$C$1013)-7),12)),"")</f>
        <v/>
      </c>
      <c r="F23" s="50" t="str">
        <f t="array" ref="F23">IFERROR(INDEX(입고!$I$8:$I$1013,SMALL(IF(입고!$C$8:$C$1013=마스터!$M$4,ROW(입고!$C$8:$C$1013)-7),12)),"")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IFERROR(INDEX(입고!$B$8:$B$1013,SMALL(IF(입고!$C$8:$C$1013=마스터!$M$4,ROW(입고!$C$8:$C$1013)-7),13)),"")</f>
        <v/>
      </c>
      <c r="C24" s="6" t="str">
        <f t="array" ref="C24">IFERROR(INDEX(입고!$E$8:$E$1013,SMALL(IF(입고!$C$8:$C$1013=마스터!$M$4,ROW(입고!$C$8:$C$1013)-7),13)),"")</f>
        <v/>
      </c>
      <c r="D24" s="8" t="str">
        <f t="array" ref="D24">IFERROR(INDEX(입고!$F$8:$F$1013,SMALL(IF(입고!$C$8:$C$1013=마스터!$M$4,ROW(입고!$C$8:$C$1013)-7),13)),"")</f>
        <v/>
      </c>
      <c r="E24" s="46" t="str">
        <f t="array" ref="E24">IFERROR(INDEX(입고!$H$8:$H$1013,SMALL(IF(입고!$C$8:$C$1013=마스터!$M$4,ROW(입고!$C$8:$C$1013)-7),13)),"")</f>
        <v/>
      </c>
      <c r="F24" s="46" t="str">
        <f t="array" ref="F24">IFERROR(INDEX(입고!$I$8:$I$1013,SMALL(IF(입고!$C$8:$C$1013=마스터!$M$4,ROW(입고!$C$8:$C$1013)-7),13)),"")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IFERROR(INDEX(입고!$B$8:$B$1013,SMALL(IF(입고!$C$8:$C$1013=마스터!$M$4,ROW(입고!$C$8:$C$1013)-7),14)),"")</f>
        <v/>
      </c>
      <c r="C25" s="11" t="str">
        <f t="array" ref="C25">IFERROR(INDEX(입고!$E$8:$E$1013,SMALL(IF(입고!$C$8:$C$1013=마스터!$M$4,ROW(입고!$C$8:$C$1013)-7),14)),"")</f>
        <v/>
      </c>
      <c r="D25" s="13" t="str">
        <f t="array" ref="D25">IFERROR(INDEX(입고!$F$8:$F$1013,SMALL(IF(입고!$C$8:$C$1013=마스터!$M$4,ROW(입고!$C$8:$C$1013)-7),14)),"")</f>
        <v/>
      </c>
      <c r="E25" s="50" t="str">
        <f t="array" ref="E25">IFERROR(INDEX(입고!$H$8:$H$1013,SMALL(IF(입고!$C$8:$C$1013=마스터!$M$4,ROW(입고!$C$8:$C$1013)-7),14)),"")</f>
        <v/>
      </c>
      <c r="F25" s="50" t="str">
        <f t="array" ref="F25">IFERROR(INDEX(입고!$I$8:$I$1013,SMALL(IF(입고!$C$8:$C$1013=마스터!$M$4,ROW(입고!$C$8:$C$1013)-7),14)),"")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IFERROR(INDEX(입고!$B$8:$B$1013,SMALL(IF(입고!$C$8:$C$1013=마스터!$M$4,ROW(입고!$C$8:$C$1013)-7),15)),"")</f>
        <v/>
      </c>
      <c r="C26" s="6" t="str">
        <f t="array" ref="C26">IFERROR(INDEX(입고!$E$8:$E$1013,SMALL(IF(입고!$C$8:$C$1013=마스터!$M$4,ROW(입고!$C$8:$C$1013)-7),15)),"")</f>
        <v/>
      </c>
      <c r="D26" s="8" t="str">
        <f t="array" ref="D26">IFERROR(INDEX(입고!$F$8:$F$1013,SMALL(IF(입고!$C$8:$C$1013=마스터!$M$4,ROW(입고!$C$8:$C$1013)-7),15)),"")</f>
        <v/>
      </c>
      <c r="E26" s="46" t="str">
        <f t="array" ref="E26">IFERROR(INDEX(입고!$H$8:$H$1013,SMALL(IF(입고!$C$8:$C$1013=마스터!$M$4,ROW(입고!$C$8:$C$1013)-7),15)),"")</f>
        <v/>
      </c>
      <c r="F26" s="46" t="str">
        <f t="array" ref="F26">IFERROR(INDEX(입고!$I$8:$I$1013,SMALL(IF(입고!$C$8:$C$1013=마스터!$M$4,ROW(입고!$C$8:$C$1013)-7),15)),"")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IFERROR(INDEX(입고!$B$8:$B$1013,SMALL(IF(입고!$C$8:$C$1013=마스터!$M$4,ROW(입고!$C$8:$C$1013)-7),16)),"")</f>
        <v/>
      </c>
      <c r="C27" s="11" t="str">
        <f t="array" ref="C27">IFERROR(INDEX(입고!$E$8:$E$1013,SMALL(IF(입고!$C$8:$C$1013=마스터!$M$4,ROW(입고!$C$8:$C$1013)-7),16)),"")</f>
        <v/>
      </c>
      <c r="D27" s="13" t="str">
        <f t="array" ref="D27">IFERROR(INDEX(입고!$F$8:$F$1013,SMALL(IF(입고!$C$8:$C$1013=마스터!$M$4,ROW(입고!$C$8:$C$1013)-7),16)),"")</f>
        <v/>
      </c>
      <c r="E27" s="50" t="str">
        <f t="array" ref="E27">IFERROR(INDEX(입고!$H$8:$H$1013,SMALL(IF(입고!$C$8:$C$1013=마스터!$M$4,ROW(입고!$C$8:$C$1013)-7),16)),"")</f>
        <v/>
      </c>
      <c r="F27" s="50" t="str">
        <f t="array" ref="F27">IFERROR(INDEX(입고!$I$8:$I$1013,SMALL(IF(입고!$C$8:$C$1013=마스터!$M$4,ROW(입고!$C$8:$C$1013)-7),16)),"")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IFERROR(INDEX(입고!$B$8:$B$1013,SMALL(IF(입고!$C$8:$C$1013=마스터!$M$4,ROW(입고!$C$8:$C$1013)-7),17)),"")</f>
        <v/>
      </c>
      <c r="C28" s="6" t="str">
        <f t="array" ref="C28">IFERROR(INDEX(입고!$E$8:$E$1013,SMALL(IF(입고!$C$8:$C$1013=마스터!$M$4,ROW(입고!$C$8:$C$1013)-7),17)),"")</f>
        <v/>
      </c>
      <c r="D28" s="8" t="str">
        <f t="array" ref="D28">IFERROR(INDEX(입고!$F$8:$F$1013,SMALL(IF(입고!$C$8:$C$1013=마스터!$M$4,ROW(입고!$C$8:$C$1013)-7),17)),"")</f>
        <v/>
      </c>
      <c r="E28" s="46" t="str">
        <f t="array" ref="E28">IFERROR(INDEX(입고!$H$8:$H$1013,SMALL(IF(입고!$C$8:$C$1013=마스터!$M$4,ROW(입고!$C$8:$C$1013)-7),17)),"")</f>
        <v/>
      </c>
      <c r="F28" s="46" t="str">
        <f t="array" ref="F28">IFERROR(INDEX(입고!$I$8:$I$1013,SMALL(IF(입고!$C$8:$C$1013=마스터!$M$4,ROW(입고!$C$8:$C$1013)-7),17)),"")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IFERROR(INDEX(입고!$B$8:$B$1013,SMALL(IF(입고!$C$8:$C$1013=마스터!$M$4,ROW(입고!$C$8:$C$1013)-7),18)),"")</f>
        <v/>
      </c>
      <c r="C29" s="11" t="str">
        <f t="array" ref="C29">IFERROR(INDEX(입고!$E$8:$E$1013,SMALL(IF(입고!$C$8:$C$1013=마스터!$M$4,ROW(입고!$C$8:$C$1013)-7),18)),"")</f>
        <v/>
      </c>
      <c r="D29" s="13" t="str">
        <f t="array" ref="D29">IFERROR(INDEX(입고!$F$8:$F$1013,SMALL(IF(입고!$C$8:$C$1013=마스터!$M$4,ROW(입고!$C$8:$C$1013)-7),18)),"")</f>
        <v/>
      </c>
      <c r="E29" s="50" t="str">
        <f t="array" ref="E29">IFERROR(INDEX(입고!$H$8:$H$1013,SMALL(IF(입고!$C$8:$C$1013=마스터!$M$4,ROW(입고!$C$8:$C$1013)-7),18)),"")</f>
        <v/>
      </c>
      <c r="F29" s="50" t="str">
        <f t="array" ref="F29">IFERROR(INDEX(입고!$I$8:$I$1013,SMALL(IF(입고!$C$8:$C$1013=마스터!$M$4,ROW(입고!$C$8:$C$1013)-7),18)),"")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IFERROR(INDEX(입고!$B$8:$B$1013,SMALL(IF(입고!$C$8:$C$1013=마스터!$M$4,ROW(입고!$C$8:$C$1013)-7),19)),"")</f>
        <v/>
      </c>
      <c r="C30" s="6" t="str">
        <f t="array" ref="C30">IFERROR(INDEX(입고!$E$8:$E$1013,SMALL(IF(입고!$C$8:$C$1013=마스터!$M$4,ROW(입고!$C$8:$C$1013)-7),19)),"")</f>
        <v/>
      </c>
      <c r="D30" s="8" t="str">
        <f t="array" ref="D30">IFERROR(INDEX(입고!$F$8:$F$1013,SMALL(IF(입고!$C$8:$C$1013=마스터!$M$4,ROW(입고!$C$8:$C$1013)-7),19)),"")</f>
        <v/>
      </c>
      <c r="E30" s="46" t="str">
        <f t="array" ref="E30">IFERROR(INDEX(입고!$H$8:$H$1013,SMALL(IF(입고!$C$8:$C$1013=마스터!$M$4,ROW(입고!$C$8:$C$1013)-7),19)),"")</f>
        <v/>
      </c>
      <c r="F30" s="46" t="str">
        <f t="array" ref="F30">IFERROR(INDEX(입고!$I$8:$I$1013,SMALL(IF(입고!$C$8:$C$1013=마스터!$M$4,ROW(입고!$C$8:$C$1013)-7),19)),"")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IFERROR(INDEX(입고!$B$8:$B$1013,SMALL(IF(입고!$C$8:$C$1013=마스터!$M$4,ROW(입고!$C$8:$C$1013)-7),20)),"")</f>
        <v/>
      </c>
      <c r="C31" s="11" t="str">
        <f t="array" ref="C31">IFERROR(INDEX(입고!$E$8:$E$1013,SMALL(IF(입고!$C$8:$C$1013=마스터!$M$4,ROW(입고!$C$8:$C$1013)-7),20)),"")</f>
        <v/>
      </c>
      <c r="D31" s="13" t="str">
        <f t="array" ref="D31">IFERROR(INDEX(입고!$F$8:$F$1013,SMALL(IF(입고!$C$8:$C$1013=마스터!$M$4,ROW(입고!$C$8:$C$1013)-7),20)),"")</f>
        <v/>
      </c>
      <c r="E31" s="50" t="str">
        <f t="array" ref="E31">IFERROR(INDEX(입고!$H$8:$H$1013,SMALL(IF(입고!$C$8:$C$1013=마스터!$M$4,ROW(입고!$C$8:$C$1013)-7),20)),"")</f>
        <v/>
      </c>
      <c r="F31" s="50" t="str">
        <f t="array" ref="F31">IFERROR(INDEX(입고!$I$8:$I$1013,SMALL(IF(입고!$C$8:$C$1013=마스터!$M$4,ROW(입고!$C$8:$C$1013)-7),20)),"")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IFERROR(INDEX(입고!$B$8:$B$1013,SMALL(IF(입고!$C$8:$C$1013=마스터!$M$4,ROW(입고!$C$8:$C$1013)-7),21)),"")</f>
        <v/>
      </c>
      <c r="C32" s="6" t="str">
        <f t="array" ref="C32">IFERROR(INDEX(입고!$E$8:$E$1013,SMALL(IF(입고!$C$8:$C$1013=마스터!$M$4,ROW(입고!$C$8:$C$1013)-7),21)),"")</f>
        <v/>
      </c>
      <c r="D32" s="8" t="str">
        <f t="array" ref="D32">IFERROR(INDEX(입고!$F$8:$F$1013,SMALL(IF(입고!$C$8:$C$1013=마스터!$M$4,ROW(입고!$C$8:$C$1013)-7),21)),"")</f>
        <v/>
      </c>
      <c r="E32" s="46" t="str">
        <f t="array" ref="E32">IFERROR(INDEX(입고!$H$8:$H$1013,SMALL(IF(입고!$C$8:$C$1013=마스터!$M$4,ROW(입고!$C$8:$C$1013)-7),21)),"")</f>
        <v/>
      </c>
      <c r="F32" s="46" t="str">
        <f t="array" ref="F32">IFERROR(INDEX(입고!$I$8:$I$1013,SMALL(IF(입고!$C$8:$C$1013=마스터!$M$4,ROW(입고!$C$8:$C$1013)-7),21)),"")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IFERROR(INDEX(입고!$B$8:$B$1013,SMALL(IF(입고!$C$8:$C$1013=마스터!$M$4,ROW(입고!$C$8:$C$1013)-7),22)),"")</f>
        <v/>
      </c>
      <c r="C33" s="11" t="str">
        <f t="array" ref="C33">IFERROR(INDEX(입고!$E$8:$E$1013,SMALL(IF(입고!$C$8:$C$1013=마스터!$M$4,ROW(입고!$C$8:$C$1013)-7),22)),"")</f>
        <v/>
      </c>
      <c r="D33" s="13" t="str">
        <f t="array" ref="D33">IFERROR(INDEX(입고!$F$8:$F$1013,SMALL(IF(입고!$C$8:$C$1013=마스터!$M$4,ROW(입고!$C$8:$C$1013)-7),22)),"")</f>
        <v/>
      </c>
      <c r="E33" s="50" t="str">
        <f t="array" ref="E33">IFERROR(INDEX(입고!$H$8:$H$1013,SMALL(IF(입고!$C$8:$C$1013=마스터!$M$4,ROW(입고!$C$8:$C$1013)-7),22)),"")</f>
        <v/>
      </c>
      <c r="F33" s="50" t="str">
        <f t="array" ref="F33">IFERROR(INDEX(입고!$I$8:$I$1013,SMALL(IF(입고!$C$8:$C$1013=마스터!$M$4,ROW(입고!$C$8:$C$1013)-7),22)),"")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IFERROR(INDEX(입고!$B$8:$B$1013,SMALL(IF(입고!$C$8:$C$1013=마스터!$M$4,ROW(입고!$C$8:$C$1013)-7),23)),"")</f>
        <v/>
      </c>
      <c r="C34" s="6" t="str">
        <f t="array" ref="C34">IFERROR(INDEX(입고!$E$8:$E$1013,SMALL(IF(입고!$C$8:$C$1013=마스터!$M$4,ROW(입고!$C$8:$C$1013)-7),23)),"")</f>
        <v/>
      </c>
      <c r="D34" s="8" t="str">
        <f t="array" ref="D34">IFERROR(INDEX(입고!$F$8:$F$1013,SMALL(IF(입고!$C$8:$C$1013=마스터!$M$4,ROW(입고!$C$8:$C$1013)-7),23)),"")</f>
        <v/>
      </c>
      <c r="E34" s="46" t="str">
        <f t="array" ref="E34">IFERROR(INDEX(입고!$H$8:$H$1013,SMALL(IF(입고!$C$8:$C$1013=마스터!$M$4,ROW(입고!$C$8:$C$1013)-7),23)),"")</f>
        <v/>
      </c>
      <c r="F34" s="46" t="str">
        <f t="array" ref="F34">IFERROR(INDEX(입고!$I$8:$I$1013,SMALL(IF(입고!$C$8:$C$1013=마스터!$M$4,ROW(입고!$C$8:$C$1013)-7),23)),"")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IFERROR(INDEX(입고!$B$8:$B$1013,SMALL(IF(입고!$C$8:$C$1013=마스터!$M$4,ROW(입고!$C$8:$C$1013)-7),24)),"")</f>
        <v/>
      </c>
      <c r="C35" s="11" t="str">
        <f t="array" ref="C35">IFERROR(INDEX(입고!$E$8:$E$1013,SMALL(IF(입고!$C$8:$C$1013=마스터!$M$4,ROW(입고!$C$8:$C$1013)-7),24)),"")</f>
        <v/>
      </c>
      <c r="D35" s="13" t="str">
        <f t="array" ref="D35">IFERROR(INDEX(입고!$F$8:$F$1013,SMALL(IF(입고!$C$8:$C$1013=마스터!$M$4,ROW(입고!$C$8:$C$1013)-7),24)),"")</f>
        <v/>
      </c>
      <c r="E35" s="50" t="str">
        <f t="array" ref="E35">IFERROR(INDEX(입고!$H$8:$H$1013,SMALL(IF(입고!$C$8:$C$1013=마스터!$M$4,ROW(입고!$C$8:$C$1013)-7),24)),"")</f>
        <v/>
      </c>
      <c r="F35" s="50" t="str">
        <f t="array" ref="F35">IFERROR(INDEX(입고!$I$8:$I$1013,SMALL(IF(입고!$C$8:$C$1013=마스터!$M$4,ROW(입고!$C$8:$C$1013)-7),24)),"")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IFERROR(INDEX(입고!$B$8:$B$1013,SMALL(IF(입고!$C$8:$C$1013=마스터!$M$4,ROW(입고!$C$8:$C$1013)-7),25)),"")</f>
        <v/>
      </c>
      <c r="C36" s="6" t="str">
        <f t="array" ref="C36">IFERROR(INDEX(입고!$E$8:$E$1013,SMALL(IF(입고!$C$8:$C$1013=마스터!$M$4,ROW(입고!$C$8:$C$1013)-7),25)),"")</f>
        <v/>
      </c>
      <c r="D36" s="8" t="str">
        <f t="array" ref="D36">IFERROR(INDEX(입고!$F$8:$F$1013,SMALL(IF(입고!$C$8:$C$1013=마스터!$M$4,ROW(입고!$C$8:$C$1013)-7),25)),"")</f>
        <v/>
      </c>
      <c r="E36" s="46" t="str">
        <f t="array" ref="E36">IFERROR(INDEX(입고!$H$8:$H$1013,SMALL(IF(입고!$C$8:$C$1013=마스터!$M$4,ROW(입고!$C$8:$C$1013)-7),25)),"")</f>
        <v/>
      </c>
      <c r="F36" s="46" t="str">
        <f t="array" ref="F36">IFERROR(INDEX(입고!$I$8:$I$1013,SMALL(IF(입고!$C$8:$C$1013=마스터!$M$4,ROW(입고!$C$8:$C$1013)-7),25)),"")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IFERROR(INDEX(입고!$B$8:$B$1013,SMALL(IF(입고!$C$8:$C$1013=마스터!$M$4,ROW(입고!$C$8:$C$1013)-7),26)),"")</f>
        <v/>
      </c>
      <c r="C37" s="11" t="str">
        <f t="array" ref="C37">IFERROR(INDEX(입고!$E$8:$E$1013,SMALL(IF(입고!$C$8:$C$1013=마스터!$M$4,ROW(입고!$C$8:$C$1013)-7),26)),"")</f>
        <v/>
      </c>
      <c r="D37" s="13" t="str">
        <f t="array" ref="D37">IFERROR(INDEX(입고!$F$8:$F$1013,SMALL(IF(입고!$C$8:$C$1013=마스터!$M$4,ROW(입고!$C$8:$C$1013)-7),26)),"")</f>
        <v/>
      </c>
      <c r="E37" s="50" t="str">
        <f t="array" ref="E37">IFERROR(INDEX(입고!$H$8:$H$1013,SMALL(IF(입고!$C$8:$C$1013=마스터!$M$4,ROW(입고!$C$8:$C$1013)-7),26)),"")</f>
        <v/>
      </c>
      <c r="F37" s="50" t="str">
        <f t="array" ref="F37">IFERROR(INDEX(입고!$I$8:$I$1013,SMALL(IF(입고!$C$8:$C$1013=마스터!$M$4,ROW(입고!$C$8:$C$1013)-7),26)),"")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IFERROR(INDEX(입고!$B$8:$B$1013,SMALL(IF(입고!$C$8:$C$1013=마스터!$M$4,ROW(입고!$C$8:$C$1013)-7),27)),"")</f>
        <v/>
      </c>
      <c r="C38" s="6" t="str">
        <f t="array" ref="C38">IFERROR(INDEX(입고!$E$8:$E$1013,SMALL(IF(입고!$C$8:$C$1013=마스터!$M$4,ROW(입고!$C$8:$C$1013)-7),27)),"")</f>
        <v/>
      </c>
      <c r="D38" s="8" t="str">
        <f t="array" ref="D38">IFERROR(INDEX(입고!$F$8:$F$1013,SMALL(IF(입고!$C$8:$C$1013=마스터!$M$4,ROW(입고!$C$8:$C$1013)-7),27)),"")</f>
        <v/>
      </c>
      <c r="E38" s="46" t="str">
        <f t="array" ref="E38">IFERROR(INDEX(입고!$H$8:$H$1013,SMALL(IF(입고!$C$8:$C$1013=마스터!$M$4,ROW(입고!$C$8:$C$1013)-7),27)),"")</f>
        <v/>
      </c>
      <c r="F38" s="46" t="str">
        <f t="array" ref="F38">IFERROR(INDEX(입고!$I$8:$I$1013,SMALL(IF(입고!$C$8:$C$1013=마스터!$M$4,ROW(입고!$C$8:$C$1013)-7),27)),"")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IFERROR(INDEX(입고!$B$8:$B$1013,SMALL(IF(입고!$C$8:$C$1013=마스터!$M$4,ROW(입고!$C$8:$C$1013)-7),28)),"")</f>
        <v/>
      </c>
      <c r="C39" s="11" t="str">
        <f t="array" ref="C39">IFERROR(INDEX(입고!$E$8:$E$1013,SMALL(IF(입고!$C$8:$C$1013=마스터!$M$4,ROW(입고!$C$8:$C$1013)-7),28)),"")</f>
        <v/>
      </c>
      <c r="D39" s="13" t="str">
        <f t="array" ref="D39">IFERROR(INDEX(입고!$F$8:$F$1013,SMALL(IF(입고!$C$8:$C$1013=마스터!$M$4,ROW(입고!$C$8:$C$1013)-7),28)),"")</f>
        <v/>
      </c>
      <c r="E39" s="50" t="str">
        <f t="array" ref="E39">IFERROR(INDEX(입고!$H$8:$H$1013,SMALL(IF(입고!$C$8:$C$1013=마스터!$M$4,ROW(입고!$C$8:$C$1013)-7),28)),"")</f>
        <v/>
      </c>
      <c r="F39" s="50" t="str">
        <f t="array" ref="F39">IFERROR(INDEX(입고!$I$8:$I$1013,SMALL(IF(입고!$C$8:$C$1013=마스터!$M$4,ROW(입고!$C$8:$C$1013)-7),28)),"")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IFERROR(INDEX(입고!$B$8:$B$1013,SMALL(IF(입고!$C$8:$C$1013=마스터!$M$4,ROW(입고!$C$8:$C$1013)-7),29)),"")</f>
        <v/>
      </c>
      <c r="C40" s="6" t="str">
        <f t="array" ref="C40">IFERROR(INDEX(입고!$E$8:$E$1013,SMALL(IF(입고!$C$8:$C$1013=마스터!$M$4,ROW(입고!$C$8:$C$1013)-7),29)),"")</f>
        <v/>
      </c>
      <c r="D40" s="8" t="str">
        <f t="array" ref="D40">IFERROR(INDEX(입고!$F$8:$F$1013,SMALL(IF(입고!$C$8:$C$1013=마스터!$M$4,ROW(입고!$C$8:$C$1013)-7),29)),"")</f>
        <v/>
      </c>
      <c r="E40" s="46" t="str">
        <f t="array" ref="E40">IFERROR(INDEX(입고!$H$8:$H$1013,SMALL(IF(입고!$C$8:$C$1013=마스터!$M$4,ROW(입고!$C$8:$C$1013)-7),29)),"")</f>
        <v/>
      </c>
      <c r="F40" s="46" t="str">
        <f t="array" ref="F40">IFERROR(INDEX(입고!$I$8:$I$1013,SMALL(IF(입고!$C$8:$C$1013=마스터!$M$4,ROW(입고!$C$8:$C$1013)-7),29)),"")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IFERROR(INDEX(입고!$B$8:$B$1013,SMALL(IF(입고!$C$8:$C$1013=마스터!$M$4,ROW(입고!$C$8:$C$1013)-7),30)),"")</f>
        <v/>
      </c>
      <c r="C41" s="11" t="str">
        <f t="array" ref="C41">IFERROR(INDEX(입고!$E$8:$E$1013,SMALL(IF(입고!$C$8:$C$1013=마스터!$M$4,ROW(입고!$C$8:$C$1013)-7),30)),"")</f>
        <v/>
      </c>
      <c r="D41" s="13" t="str">
        <f t="array" ref="D41">IFERROR(INDEX(입고!$F$8:$F$1013,SMALL(IF(입고!$C$8:$C$1013=마스터!$M$4,ROW(입고!$C$8:$C$1013)-7),30)),"")</f>
        <v/>
      </c>
      <c r="E41" s="50" t="str">
        <f t="array" ref="E41">IFERROR(INDEX(입고!$H$8:$H$1013,SMALL(IF(입고!$C$8:$C$1013=마스터!$M$4,ROW(입고!$C$8:$C$1013)-7),30)),"")</f>
        <v/>
      </c>
      <c r="F41" s="50" t="str">
        <f t="array" ref="F41">IFERROR(INDEX(입고!$I$8:$I$1013,SMALL(IF(입고!$C$8:$C$1013=마스터!$M$4,ROW(입고!$C$8:$C$1013)-7),30)),"")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IFERROR(INDEX(출고!$B$8:$B$1013,SMALL(IF(출고!$C$8:$C$1013=마스터!$M$4,ROW(출고!$C$8:$C$1013)-7),1)),"")</f>
        <v/>
      </c>
      <c r="C45" s="6" t="str">
        <f t="array" ref="C45">IFERROR(INDEX(출고!$E$8:$E$1013,SMALL(IF(출고!$C$8:$C$1013=마스터!$M$4,ROW(출고!$C$8:$C$1013)-7),1)),"")</f>
        <v/>
      </c>
      <c r="D45" s="8" t="str">
        <f t="array" ref="D45">IFERROR(INDEX(출고!$F$8:$F$1013,SMALL(IF(출고!$C$8:$C$1013=마스터!$M$4,ROW(출고!$C$8:$C$1013)-7),1)),"")</f>
        <v/>
      </c>
      <c r="E45" s="46" t="str">
        <f t="array" ref="E45">IFERROR(INDEX(출고!$H$8:$H$1013,SMALL(IF(출고!$C$8:$C$1013=마스터!$M$4,ROW(출고!$C$8:$C$1013)-7),1)),"")</f>
        <v/>
      </c>
      <c r="F45" s="46" t="str">
        <f t="array" ref="F45">IFERROR(INDEX(출고!$I$8:$I$1013,SMALL(IF(출고!$C$8:$C$1013=마스터!$M$4,ROW(출고!$C$8:$C$1013)-7),1)),"")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IFERROR(INDEX(출고!$B$8:$B$1013,SMALL(IF(출고!$C$8:$C$1013=마스터!$M$4,ROW(출고!$C$8:$C$1013)-7),2)),"")</f>
        <v/>
      </c>
      <c r="C46" s="11" t="str">
        <f t="array" ref="C46">IFERROR(INDEX(출고!$E$8:$E$1013,SMALL(IF(출고!$C$8:$C$1013=마스터!$M$4,ROW(출고!$C$8:$C$1013)-7),2)),"")</f>
        <v/>
      </c>
      <c r="D46" s="13" t="str">
        <f t="array" ref="D46">IFERROR(INDEX(출고!$F$8:$F$1013,SMALL(IF(출고!$C$8:$C$1013=마스터!$M$4,ROW(출고!$C$8:$C$1013)-7),2)),"")</f>
        <v/>
      </c>
      <c r="E46" s="50" t="str">
        <f t="array" ref="E46">IFERROR(INDEX(출고!$H$8:$H$1013,SMALL(IF(출고!$C$8:$C$1013=마스터!$M$4,ROW(출고!$C$8:$C$1013)-7),2)),"")</f>
        <v/>
      </c>
      <c r="F46" s="50" t="str">
        <f t="array" ref="F46">IFERROR(INDEX(출고!$I$8:$I$1013,SMALL(IF(출고!$C$8:$C$1013=마스터!$M$4,ROW(출고!$C$8:$C$1013)-7),2)),"")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IFERROR(INDEX(출고!$B$8:$B$1013,SMALL(IF(출고!$C$8:$C$1013=마스터!$M$4,ROW(출고!$C$8:$C$1013)-7),3)),"")</f>
        <v/>
      </c>
      <c r="C47" s="6" t="str">
        <f t="array" ref="C47">IFERROR(INDEX(출고!$E$8:$E$1013,SMALL(IF(출고!$C$8:$C$1013=마스터!$M$4,ROW(출고!$C$8:$C$1013)-7),3)),"")</f>
        <v/>
      </c>
      <c r="D47" s="8" t="str">
        <f t="array" ref="D47">IFERROR(INDEX(출고!$F$8:$F$1013,SMALL(IF(출고!$C$8:$C$1013=마스터!$M$4,ROW(출고!$C$8:$C$1013)-7),3)),"")</f>
        <v/>
      </c>
      <c r="E47" s="46" t="str">
        <f t="array" ref="E47">IFERROR(INDEX(출고!$H$8:$H$1013,SMALL(IF(출고!$C$8:$C$1013=마스터!$M$4,ROW(출고!$C$8:$C$1013)-7),3)),"")</f>
        <v/>
      </c>
      <c r="F47" s="46" t="str">
        <f t="array" ref="F47">IFERROR(INDEX(출고!$I$8:$I$1013,SMALL(IF(출고!$C$8:$C$1013=마스터!$M$4,ROW(출고!$C$8:$C$1013)-7),3)),"")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IFERROR(INDEX(출고!$B$8:$B$1013,SMALL(IF(출고!$C$8:$C$1013=마스터!$M$4,ROW(출고!$C$8:$C$1013)-7),4)),"")</f>
        <v/>
      </c>
      <c r="C48" s="11" t="str">
        <f t="array" ref="C48">IFERROR(INDEX(출고!$E$8:$E$1013,SMALL(IF(출고!$C$8:$C$1013=마스터!$M$4,ROW(출고!$C$8:$C$1013)-7),4)),"")</f>
        <v/>
      </c>
      <c r="D48" s="13" t="str">
        <f t="array" ref="D48">IFERROR(INDEX(출고!$F$8:$F$1013,SMALL(IF(출고!$C$8:$C$1013=마스터!$M$4,ROW(출고!$C$8:$C$1013)-7),4)),"")</f>
        <v/>
      </c>
      <c r="E48" s="50" t="str">
        <f t="array" ref="E48">IFERROR(INDEX(출고!$H$8:$H$1013,SMALL(IF(출고!$C$8:$C$1013=마스터!$M$4,ROW(출고!$C$8:$C$1013)-7),4)),"")</f>
        <v/>
      </c>
      <c r="F48" s="50" t="str">
        <f t="array" ref="F48">IFERROR(INDEX(출고!$I$8:$I$1013,SMALL(IF(출고!$C$8:$C$1013=마스터!$M$4,ROW(출고!$C$8:$C$1013)-7),4)),"")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IFERROR(INDEX(출고!$B$8:$B$1013,SMALL(IF(출고!$C$8:$C$1013=마스터!$M$4,ROW(출고!$C$8:$C$1013)-7),5)),"")</f>
        <v/>
      </c>
      <c r="C49" s="6" t="str">
        <f t="array" ref="C49">IFERROR(INDEX(출고!$E$8:$E$1013,SMALL(IF(출고!$C$8:$C$1013=마스터!$M$4,ROW(출고!$C$8:$C$1013)-7),5)),"")</f>
        <v/>
      </c>
      <c r="D49" s="8" t="str">
        <f t="array" ref="D49">IFERROR(INDEX(출고!$F$8:$F$1013,SMALL(IF(출고!$C$8:$C$1013=마스터!$M$4,ROW(출고!$C$8:$C$1013)-7),5)),"")</f>
        <v/>
      </c>
      <c r="E49" s="46" t="str">
        <f t="array" ref="E49">IFERROR(INDEX(출고!$H$8:$H$1013,SMALL(IF(출고!$C$8:$C$1013=마스터!$M$4,ROW(출고!$C$8:$C$1013)-7),5)),"")</f>
        <v/>
      </c>
      <c r="F49" s="46" t="str">
        <f t="array" ref="F49">IFERROR(INDEX(출고!$I$8:$I$1013,SMALL(IF(출고!$C$8:$C$1013=마스터!$M$4,ROW(출고!$C$8:$C$1013)-7),5)),"")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IFERROR(INDEX(출고!$B$8:$B$1013,SMALL(IF(출고!$C$8:$C$1013=마스터!$M$4,ROW(출고!$C$8:$C$1013)-7),6)),"")</f>
        <v/>
      </c>
      <c r="C50" s="11" t="str">
        <f t="array" ref="C50">IFERROR(INDEX(출고!$E$8:$E$1013,SMALL(IF(출고!$C$8:$C$1013=마스터!$M$4,ROW(출고!$C$8:$C$1013)-7),6)),"")</f>
        <v/>
      </c>
      <c r="D50" s="13" t="str">
        <f t="array" ref="D50">IFERROR(INDEX(출고!$F$8:$F$1013,SMALL(IF(출고!$C$8:$C$1013=마스터!$M$4,ROW(출고!$C$8:$C$1013)-7),6)),"")</f>
        <v/>
      </c>
      <c r="E50" s="50" t="str">
        <f t="array" ref="E50">IFERROR(INDEX(출고!$H$8:$H$1013,SMALL(IF(출고!$C$8:$C$1013=마스터!$M$4,ROW(출고!$C$8:$C$1013)-7),6)),"")</f>
        <v/>
      </c>
      <c r="F50" s="50" t="str">
        <f t="array" ref="F50">IFERROR(INDEX(출고!$I$8:$I$1013,SMALL(IF(출고!$C$8:$C$1013=마스터!$M$4,ROW(출고!$C$8:$C$1013)-7),6)),"")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IFERROR(INDEX(출고!$B$8:$B$1013,SMALL(IF(출고!$C$8:$C$1013=마스터!$M$4,ROW(출고!$C$8:$C$1013)-7),7)),"")</f>
        <v/>
      </c>
      <c r="C51" s="6" t="str">
        <f t="array" ref="C51">IFERROR(INDEX(출고!$E$8:$E$1013,SMALL(IF(출고!$C$8:$C$1013=마스터!$M$4,ROW(출고!$C$8:$C$1013)-7),7)),"")</f>
        <v/>
      </c>
      <c r="D51" s="8" t="str">
        <f t="array" ref="D51">IFERROR(INDEX(출고!$F$8:$F$1013,SMALL(IF(출고!$C$8:$C$1013=마스터!$M$4,ROW(출고!$C$8:$C$1013)-7),7)),"")</f>
        <v/>
      </c>
      <c r="E51" s="46" t="str">
        <f t="array" ref="E51">IFERROR(INDEX(출고!$H$8:$H$1013,SMALL(IF(출고!$C$8:$C$1013=마스터!$M$4,ROW(출고!$C$8:$C$1013)-7),7)),"")</f>
        <v/>
      </c>
      <c r="F51" s="46" t="str">
        <f t="array" ref="F51">IFERROR(INDEX(출고!$I$8:$I$1013,SMALL(IF(출고!$C$8:$C$1013=마스터!$M$4,ROW(출고!$C$8:$C$1013)-7),7)),"")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IFERROR(INDEX(출고!$B$8:$B$1013,SMALL(IF(출고!$C$8:$C$1013=마스터!$M$4,ROW(출고!$C$8:$C$1013)-7),8)),"")</f>
        <v/>
      </c>
      <c r="C52" s="11" t="str">
        <f t="array" ref="C52">IFERROR(INDEX(출고!$E$8:$E$1013,SMALL(IF(출고!$C$8:$C$1013=마스터!$M$4,ROW(출고!$C$8:$C$1013)-7),8)),"")</f>
        <v/>
      </c>
      <c r="D52" s="13" t="str">
        <f t="array" ref="D52">IFERROR(INDEX(출고!$F$8:$F$1013,SMALL(IF(출고!$C$8:$C$1013=마스터!$M$4,ROW(출고!$C$8:$C$1013)-7),8)),"")</f>
        <v/>
      </c>
      <c r="E52" s="50" t="str">
        <f t="array" ref="E52">IFERROR(INDEX(출고!$H$8:$H$1013,SMALL(IF(출고!$C$8:$C$1013=마스터!$M$4,ROW(출고!$C$8:$C$1013)-7),8)),"")</f>
        <v/>
      </c>
      <c r="F52" s="50" t="str">
        <f t="array" ref="F52">IFERROR(INDEX(출고!$I$8:$I$1013,SMALL(IF(출고!$C$8:$C$1013=마스터!$M$4,ROW(출고!$C$8:$C$1013)-7),8)),"")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IFERROR(INDEX(출고!$B$8:$B$1013,SMALL(IF(출고!$C$8:$C$1013=마스터!$M$4,ROW(출고!$C$8:$C$1013)-7),9)),"")</f>
        <v/>
      </c>
      <c r="C53" s="6" t="str">
        <f t="array" ref="C53">IFERROR(INDEX(출고!$E$8:$E$1013,SMALL(IF(출고!$C$8:$C$1013=마스터!$M$4,ROW(출고!$C$8:$C$1013)-7),9)),"")</f>
        <v/>
      </c>
      <c r="D53" s="8" t="str">
        <f t="array" ref="D53">IFERROR(INDEX(출고!$F$8:$F$1013,SMALL(IF(출고!$C$8:$C$1013=마스터!$M$4,ROW(출고!$C$8:$C$1013)-7),9)),"")</f>
        <v/>
      </c>
      <c r="E53" s="46" t="str">
        <f t="array" ref="E53">IFERROR(INDEX(출고!$H$8:$H$1013,SMALL(IF(출고!$C$8:$C$1013=마스터!$M$4,ROW(출고!$C$8:$C$1013)-7),9)),"")</f>
        <v/>
      </c>
      <c r="F53" s="46" t="str">
        <f t="array" ref="F53">IFERROR(INDEX(출고!$I$8:$I$1013,SMALL(IF(출고!$C$8:$C$1013=마스터!$M$4,ROW(출고!$C$8:$C$1013)-7),9)),"")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IFERROR(INDEX(출고!$B$8:$B$1013,SMALL(IF(출고!$C$8:$C$1013=마스터!$M$4,ROW(출고!$C$8:$C$1013)-7),10)),"")</f>
        <v/>
      </c>
      <c r="C54" s="11" t="str">
        <f t="array" ref="C54">IFERROR(INDEX(출고!$E$8:$E$1013,SMALL(IF(출고!$C$8:$C$1013=마스터!$M$4,ROW(출고!$C$8:$C$1013)-7),10)),"")</f>
        <v/>
      </c>
      <c r="D54" s="13" t="str">
        <f t="array" ref="D54">IFERROR(INDEX(출고!$F$8:$F$1013,SMALL(IF(출고!$C$8:$C$1013=마스터!$M$4,ROW(출고!$C$8:$C$1013)-7),10)),"")</f>
        <v/>
      </c>
      <c r="E54" s="50" t="str">
        <f t="array" ref="E54">IFERROR(INDEX(출고!$H$8:$H$1013,SMALL(IF(출고!$C$8:$C$1013=마스터!$M$4,ROW(출고!$C$8:$C$1013)-7),10)),"")</f>
        <v/>
      </c>
      <c r="F54" s="50" t="str">
        <f t="array" ref="F54">IFERROR(INDEX(출고!$I$8:$I$1013,SMALL(IF(출고!$C$8:$C$1013=마스터!$M$4,ROW(출고!$C$8:$C$1013)-7),10)),"")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IFERROR(INDEX(출고!$B$8:$B$1013,SMALL(IF(출고!$C$8:$C$1013=마스터!$M$4,ROW(출고!$C$8:$C$1013)-7),11)),"")</f>
        <v/>
      </c>
      <c r="C55" s="6" t="str">
        <f t="array" ref="C55">IFERROR(INDEX(출고!$E$8:$E$1013,SMALL(IF(출고!$C$8:$C$1013=마스터!$M$4,ROW(출고!$C$8:$C$1013)-7),11)),"")</f>
        <v/>
      </c>
      <c r="D55" s="8" t="str">
        <f t="array" ref="D55">IFERROR(INDEX(출고!$F$8:$F$1013,SMALL(IF(출고!$C$8:$C$1013=마스터!$M$4,ROW(출고!$C$8:$C$1013)-7),11)),"")</f>
        <v/>
      </c>
      <c r="E55" s="46" t="str">
        <f t="array" ref="E55">IFERROR(INDEX(출고!$H$8:$H$1013,SMALL(IF(출고!$C$8:$C$1013=마스터!$M$4,ROW(출고!$C$8:$C$1013)-7),11)),"")</f>
        <v/>
      </c>
      <c r="F55" s="46" t="str">
        <f t="array" ref="F55">IFERROR(INDEX(출고!$I$8:$I$1013,SMALL(IF(출고!$C$8:$C$1013=마스터!$M$4,ROW(출고!$C$8:$C$1013)-7),11)),"")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IFERROR(INDEX(출고!$B$8:$B$1013,SMALL(IF(출고!$C$8:$C$1013=마스터!$M$4,ROW(출고!$C$8:$C$1013)-7),12)),"")</f>
        <v/>
      </c>
      <c r="C56" s="11" t="str">
        <f t="array" ref="C56">IFERROR(INDEX(출고!$E$8:$E$1013,SMALL(IF(출고!$C$8:$C$1013=마스터!$M$4,ROW(출고!$C$8:$C$1013)-7),12)),"")</f>
        <v/>
      </c>
      <c r="D56" s="13" t="str">
        <f t="array" ref="D56">IFERROR(INDEX(출고!$F$8:$F$1013,SMALL(IF(출고!$C$8:$C$1013=마스터!$M$4,ROW(출고!$C$8:$C$1013)-7),12)),"")</f>
        <v/>
      </c>
      <c r="E56" s="50" t="str">
        <f t="array" ref="E56">IFERROR(INDEX(출고!$H$8:$H$1013,SMALL(IF(출고!$C$8:$C$1013=마스터!$M$4,ROW(출고!$C$8:$C$1013)-7),12)),"")</f>
        <v/>
      </c>
      <c r="F56" s="50" t="str">
        <f t="array" ref="F56">IFERROR(INDEX(출고!$I$8:$I$1013,SMALL(IF(출고!$C$8:$C$1013=마스터!$M$4,ROW(출고!$C$8:$C$1013)-7),12)),"")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IFERROR(INDEX(출고!$B$8:$B$1013,SMALL(IF(출고!$C$8:$C$1013=마스터!$M$4,ROW(출고!$C$8:$C$1013)-7),13)),"")</f>
        <v/>
      </c>
      <c r="C57" s="6" t="str">
        <f t="array" ref="C57">IFERROR(INDEX(출고!$E$8:$E$1013,SMALL(IF(출고!$C$8:$C$1013=마스터!$M$4,ROW(출고!$C$8:$C$1013)-7),13)),"")</f>
        <v/>
      </c>
      <c r="D57" s="8" t="str">
        <f t="array" ref="D57">IFERROR(INDEX(출고!$F$8:$F$1013,SMALL(IF(출고!$C$8:$C$1013=마스터!$M$4,ROW(출고!$C$8:$C$1013)-7),13)),"")</f>
        <v/>
      </c>
      <c r="E57" s="46" t="str">
        <f t="array" ref="E57">IFERROR(INDEX(출고!$H$8:$H$1013,SMALL(IF(출고!$C$8:$C$1013=마스터!$M$4,ROW(출고!$C$8:$C$1013)-7),13)),"")</f>
        <v/>
      </c>
      <c r="F57" s="46" t="str">
        <f t="array" ref="F57">IFERROR(INDEX(출고!$I$8:$I$1013,SMALL(IF(출고!$C$8:$C$1013=마스터!$M$4,ROW(출고!$C$8:$C$1013)-7),13)),"")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IFERROR(INDEX(출고!$B$8:$B$1013,SMALL(IF(출고!$C$8:$C$1013=마스터!$M$4,ROW(출고!$C$8:$C$1013)-7),14)),"")</f>
        <v/>
      </c>
      <c r="C58" s="11" t="str">
        <f t="array" ref="C58">IFERROR(INDEX(출고!$E$8:$E$1013,SMALL(IF(출고!$C$8:$C$1013=마스터!$M$4,ROW(출고!$C$8:$C$1013)-7),14)),"")</f>
        <v/>
      </c>
      <c r="D58" s="13" t="str">
        <f t="array" ref="D58">IFERROR(INDEX(출고!$F$8:$F$1013,SMALL(IF(출고!$C$8:$C$1013=마스터!$M$4,ROW(출고!$C$8:$C$1013)-7),14)),"")</f>
        <v/>
      </c>
      <c r="E58" s="50" t="str">
        <f t="array" ref="E58">IFERROR(INDEX(출고!$H$8:$H$1013,SMALL(IF(출고!$C$8:$C$1013=마스터!$M$4,ROW(출고!$C$8:$C$1013)-7),14)),"")</f>
        <v/>
      </c>
      <c r="F58" s="50" t="str">
        <f t="array" ref="F58">IFERROR(INDEX(출고!$I$8:$I$1013,SMALL(IF(출고!$C$8:$C$1013=마스터!$M$4,ROW(출고!$C$8:$C$1013)-7),14)),"")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IFERROR(INDEX(출고!$B$8:$B$1013,SMALL(IF(출고!$C$8:$C$1013=마스터!$M$4,ROW(출고!$C$8:$C$1013)-7),15)),"")</f>
        <v/>
      </c>
      <c r="C59" s="6" t="str">
        <f t="array" ref="C59">IFERROR(INDEX(출고!$E$8:$E$1013,SMALL(IF(출고!$C$8:$C$1013=마스터!$M$4,ROW(출고!$C$8:$C$1013)-7),15)),"")</f>
        <v/>
      </c>
      <c r="D59" s="8" t="str">
        <f t="array" ref="D59">IFERROR(INDEX(출고!$F$8:$F$1013,SMALL(IF(출고!$C$8:$C$1013=마스터!$M$4,ROW(출고!$C$8:$C$1013)-7),15)),"")</f>
        <v/>
      </c>
      <c r="E59" s="46" t="str">
        <f t="array" ref="E59">IFERROR(INDEX(출고!$H$8:$H$1013,SMALL(IF(출고!$C$8:$C$1013=마스터!$M$4,ROW(출고!$C$8:$C$1013)-7),15)),"")</f>
        <v/>
      </c>
      <c r="F59" s="46" t="str">
        <f t="array" ref="F59">IFERROR(INDEX(출고!$I$8:$I$1013,SMALL(IF(출고!$C$8:$C$1013=마스터!$M$4,ROW(출고!$C$8:$C$1013)-7),15)),"")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IFERROR(INDEX(출고!$B$8:$B$1013,SMALL(IF(출고!$C$8:$C$1013=마스터!$M$4,ROW(출고!$C$8:$C$1013)-7),16)),"")</f>
        <v/>
      </c>
      <c r="C60" s="11" t="str">
        <f t="array" ref="C60">IFERROR(INDEX(출고!$E$8:$E$1013,SMALL(IF(출고!$C$8:$C$1013=마스터!$M$4,ROW(출고!$C$8:$C$1013)-7),16)),"")</f>
        <v/>
      </c>
      <c r="D60" s="13" t="str">
        <f t="array" ref="D60">IFERROR(INDEX(출고!$F$8:$F$1013,SMALL(IF(출고!$C$8:$C$1013=마스터!$M$4,ROW(출고!$C$8:$C$1013)-7),16)),"")</f>
        <v/>
      </c>
      <c r="E60" s="50" t="str">
        <f t="array" ref="E60">IFERROR(INDEX(출고!$H$8:$H$1013,SMALL(IF(출고!$C$8:$C$1013=마스터!$M$4,ROW(출고!$C$8:$C$1013)-7),16)),"")</f>
        <v/>
      </c>
      <c r="F60" s="50" t="str">
        <f t="array" ref="F60">IFERROR(INDEX(출고!$I$8:$I$1013,SMALL(IF(출고!$C$8:$C$1013=마스터!$M$4,ROW(출고!$C$8:$C$1013)-7),16)),"")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IFERROR(INDEX(출고!$B$8:$B$1013,SMALL(IF(출고!$C$8:$C$1013=마스터!$M$4,ROW(출고!$C$8:$C$1013)-7),17)),"")</f>
        <v/>
      </c>
      <c r="C61" s="6" t="str">
        <f t="array" ref="C61">IFERROR(INDEX(출고!$E$8:$E$1013,SMALL(IF(출고!$C$8:$C$1013=마스터!$M$4,ROW(출고!$C$8:$C$1013)-7),17)),"")</f>
        <v/>
      </c>
      <c r="D61" s="8" t="str">
        <f t="array" ref="D61">IFERROR(INDEX(출고!$F$8:$F$1013,SMALL(IF(출고!$C$8:$C$1013=마스터!$M$4,ROW(출고!$C$8:$C$1013)-7),17)),"")</f>
        <v/>
      </c>
      <c r="E61" s="46" t="str">
        <f t="array" ref="E61">IFERROR(INDEX(출고!$H$8:$H$1013,SMALL(IF(출고!$C$8:$C$1013=마스터!$M$4,ROW(출고!$C$8:$C$1013)-7),17)),"")</f>
        <v/>
      </c>
      <c r="F61" s="46" t="str">
        <f t="array" ref="F61">IFERROR(INDEX(출고!$I$8:$I$1013,SMALL(IF(출고!$C$8:$C$1013=마스터!$M$4,ROW(출고!$C$8:$C$1013)-7),17)),"")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IFERROR(INDEX(출고!$B$8:$B$1013,SMALL(IF(출고!$C$8:$C$1013=마스터!$M$4,ROW(출고!$C$8:$C$1013)-7),18)),"")</f>
        <v/>
      </c>
      <c r="C62" s="11" t="str">
        <f t="array" ref="C62">IFERROR(INDEX(출고!$E$8:$E$1013,SMALL(IF(출고!$C$8:$C$1013=마스터!$M$4,ROW(출고!$C$8:$C$1013)-7),18)),"")</f>
        <v/>
      </c>
      <c r="D62" s="13" t="str">
        <f t="array" ref="D62">IFERROR(INDEX(출고!$F$8:$F$1013,SMALL(IF(출고!$C$8:$C$1013=마스터!$M$4,ROW(출고!$C$8:$C$1013)-7),18)),"")</f>
        <v/>
      </c>
      <c r="E62" s="50" t="str">
        <f t="array" ref="E62">IFERROR(INDEX(출고!$H$8:$H$1013,SMALL(IF(출고!$C$8:$C$1013=마스터!$M$4,ROW(출고!$C$8:$C$1013)-7),18)),"")</f>
        <v/>
      </c>
      <c r="F62" s="50" t="str">
        <f t="array" ref="F62">IFERROR(INDEX(출고!$I$8:$I$1013,SMALL(IF(출고!$C$8:$C$1013=마스터!$M$4,ROW(출고!$C$8:$C$1013)-7),18)),"")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IFERROR(INDEX(출고!$B$8:$B$1013,SMALL(IF(출고!$C$8:$C$1013=마스터!$M$4,ROW(출고!$C$8:$C$1013)-7),19)),"")</f>
        <v/>
      </c>
      <c r="C63" s="6" t="str">
        <f t="array" ref="C63">IFERROR(INDEX(출고!$E$8:$E$1013,SMALL(IF(출고!$C$8:$C$1013=마스터!$M$4,ROW(출고!$C$8:$C$1013)-7),19)),"")</f>
        <v/>
      </c>
      <c r="D63" s="8" t="str">
        <f t="array" ref="D63">IFERROR(INDEX(출고!$F$8:$F$1013,SMALL(IF(출고!$C$8:$C$1013=마스터!$M$4,ROW(출고!$C$8:$C$1013)-7),19)),"")</f>
        <v/>
      </c>
      <c r="E63" s="46" t="str">
        <f t="array" ref="E63">IFERROR(INDEX(출고!$H$8:$H$1013,SMALL(IF(출고!$C$8:$C$1013=마스터!$M$4,ROW(출고!$C$8:$C$1013)-7),19)),"")</f>
        <v/>
      </c>
      <c r="F63" s="46" t="str">
        <f t="array" ref="F63">IFERROR(INDEX(출고!$I$8:$I$1013,SMALL(IF(출고!$C$8:$C$1013=마스터!$M$4,ROW(출고!$C$8:$C$1013)-7),19)),"")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IFERROR(INDEX(출고!$B$8:$B$1013,SMALL(IF(출고!$C$8:$C$1013=마스터!$M$4,ROW(출고!$C$8:$C$1013)-7),20)),"")</f>
        <v/>
      </c>
      <c r="C64" s="11" t="str">
        <f t="array" ref="C64">IFERROR(INDEX(출고!$E$8:$E$1013,SMALL(IF(출고!$C$8:$C$1013=마스터!$M$4,ROW(출고!$C$8:$C$1013)-7),20)),"")</f>
        <v/>
      </c>
      <c r="D64" s="13" t="str">
        <f t="array" ref="D64">IFERROR(INDEX(출고!$F$8:$F$1013,SMALL(IF(출고!$C$8:$C$1013=마스터!$M$4,ROW(출고!$C$8:$C$1013)-7),20)),"")</f>
        <v/>
      </c>
      <c r="E64" s="50" t="str">
        <f t="array" ref="E64">IFERROR(INDEX(출고!$H$8:$H$1013,SMALL(IF(출고!$C$8:$C$1013=마스터!$M$4,ROW(출고!$C$8:$C$1013)-7),20)),"")</f>
        <v/>
      </c>
      <c r="F64" s="50" t="str">
        <f t="array" ref="F64">IFERROR(INDEX(출고!$I$8:$I$1013,SMALL(IF(출고!$C$8:$C$1013=마스터!$M$4,ROW(출고!$C$8:$C$1013)-7),20)),"")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IFERROR(INDEX(출고!$B$8:$B$1013,SMALL(IF(출고!$C$8:$C$1013=마스터!$M$4,ROW(출고!$C$8:$C$1013)-7),21)),"")</f>
        <v/>
      </c>
      <c r="C65" s="6" t="str">
        <f t="array" ref="C65">IFERROR(INDEX(출고!$E$8:$E$1013,SMALL(IF(출고!$C$8:$C$1013=마스터!$M$4,ROW(출고!$C$8:$C$1013)-7),21)),"")</f>
        <v/>
      </c>
      <c r="D65" s="8" t="str">
        <f t="array" ref="D65">IFERROR(INDEX(출고!$F$8:$F$1013,SMALL(IF(출고!$C$8:$C$1013=마스터!$M$4,ROW(출고!$C$8:$C$1013)-7),21)),"")</f>
        <v/>
      </c>
      <c r="E65" s="46" t="str">
        <f t="array" ref="E65">IFERROR(INDEX(출고!$H$8:$H$1013,SMALL(IF(출고!$C$8:$C$1013=마스터!$M$4,ROW(출고!$C$8:$C$1013)-7),21)),"")</f>
        <v/>
      </c>
      <c r="F65" s="46" t="str">
        <f t="array" ref="F65">IFERROR(INDEX(출고!$I$8:$I$1013,SMALL(IF(출고!$C$8:$C$1013=마스터!$M$4,ROW(출고!$C$8:$C$1013)-7),21)),"")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IFERROR(INDEX(출고!$B$8:$B$1013,SMALL(IF(출고!$C$8:$C$1013=마스터!$M$4,ROW(출고!$C$8:$C$1013)-7),22)),"")</f>
        <v/>
      </c>
      <c r="C66" s="11" t="str">
        <f t="array" ref="C66">IFERROR(INDEX(출고!$E$8:$E$1013,SMALL(IF(출고!$C$8:$C$1013=마스터!$M$4,ROW(출고!$C$8:$C$1013)-7),22)),"")</f>
        <v/>
      </c>
      <c r="D66" s="13" t="str">
        <f t="array" ref="D66">IFERROR(INDEX(출고!$F$8:$F$1013,SMALL(IF(출고!$C$8:$C$1013=마스터!$M$4,ROW(출고!$C$8:$C$1013)-7),22)),"")</f>
        <v/>
      </c>
      <c r="E66" s="50" t="str">
        <f t="array" ref="E66">IFERROR(INDEX(출고!$H$8:$H$1013,SMALL(IF(출고!$C$8:$C$1013=마스터!$M$4,ROW(출고!$C$8:$C$1013)-7),22)),"")</f>
        <v/>
      </c>
      <c r="F66" s="50" t="str">
        <f t="array" ref="F66">IFERROR(INDEX(출고!$I$8:$I$1013,SMALL(IF(출고!$C$8:$C$1013=마스터!$M$4,ROW(출고!$C$8:$C$1013)-7),22)),"")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IFERROR(INDEX(출고!$B$8:$B$1013,SMALL(IF(출고!$C$8:$C$1013=마스터!$M$4,ROW(출고!$C$8:$C$1013)-7),23)),"")</f>
        <v/>
      </c>
      <c r="C67" s="6" t="str">
        <f t="array" ref="C67">IFERROR(INDEX(출고!$E$8:$E$1013,SMALL(IF(출고!$C$8:$C$1013=마스터!$M$4,ROW(출고!$C$8:$C$1013)-7),23)),"")</f>
        <v/>
      </c>
      <c r="D67" s="8" t="str">
        <f t="array" ref="D67">IFERROR(INDEX(출고!$F$8:$F$1013,SMALL(IF(출고!$C$8:$C$1013=마스터!$M$4,ROW(출고!$C$8:$C$1013)-7),23)),"")</f>
        <v/>
      </c>
      <c r="E67" s="46" t="str">
        <f t="array" ref="E67">IFERROR(INDEX(출고!$H$8:$H$1013,SMALL(IF(출고!$C$8:$C$1013=마스터!$M$4,ROW(출고!$C$8:$C$1013)-7),23)),"")</f>
        <v/>
      </c>
      <c r="F67" s="46" t="str">
        <f t="array" ref="F67">IFERROR(INDEX(출고!$I$8:$I$1013,SMALL(IF(출고!$C$8:$C$1013=마스터!$M$4,ROW(출고!$C$8:$C$1013)-7),23)),"")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IFERROR(INDEX(출고!$B$8:$B$1013,SMALL(IF(출고!$C$8:$C$1013=마스터!$M$4,ROW(출고!$C$8:$C$1013)-7),24)),"")</f>
        <v/>
      </c>
      <c r="C68" s="11" t="str">
        <f t="array" ref="C68">IFERROR(INDEX(출고!$E$8:$E$1013,SMALL(IF(출고!$C$8:$C$1013=마스터!$M$4,ROW(출고!$C$8:$C$1013)-7),24)),"")</f>
        <v/>
      </c>
      <c r="D68" s="13" t="str">
        <f t="array" ref="D68">IFERROR(INDEX(출고!$F$8:$F$1013,SMALL(IF(출고!$C$8:$C$1013=마스터!$M$4,ROW(출고!$C$8:$C$1013)-7),24)),"")</f>
        <v/>
      </c>
      <c r="E68" s="50" t="str">
        <f t="array" ref="E68">IFERROR(INDEX(출고!$H$8:$H$1013,SMALL(IF(출고!$C$8:$C$1013=마스터!$M$4,ROW(출고!$C$8:$C$1013)-7),24)),"")</f>
        <v/>
      </c>
      <c r="F68" s="50" t="str">
        <f t="array" ref="F68">IFERROR(INDEX(출고!$I$8:$I$1013,SMALL(IF(출고!$C$8:$C$1013=마스터!$M$4,ROW(출고!$C$8:$C$1013)-7),24)),"")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IFERROR(INDEX(출고!$B$8:$B$1013,SMALL(IF(출고!$C$8:$C$1013=마스터!$M$4,ROW(출고!$C$8:$C$1013)-7),25)),"")</f>
        <v/>
      </c>
      <c r="C69" s="6" t="str">
        <f t="array" ref="C69">IFERROR(INDEX(출고!$E$8:$E$1013,SMALL(IF(출고!$C$8:$C$1013=마스터!$M$4,ROW(출고!$C$8:$C$1013)-7),25)),"")</f>
        <v/>
      </c>
      <c r="D69" s="8" t="str">
        <f t="array" ref="D69">IFERROR(INDEX(출고!$F$8:$F$1013,SMALL(IF(출고!$C$8:$C$1013=마스터!$M$4,ROW(출고!$C$8:$C$1013)-7),25)),"")</f>
        <v/>
      </c>
      <c r="E69" s="46" t="str">
        <f t="array" ref="E69">IFERROR(INDEX(출고!$H$8:$H$1013,SMALL(IF(출고!$C$8:$C$1013=마스터!$M$4,ROW(출고!$C$8:$C$1013)-7),25)),"")</f>
        <v/>
      </c>
      <c r="F69" s="46" t="str">
        <f t="array" ref="F69">IFERROR(INDEX(출고!$I$8:$I$1013,SMALL(IF(출고!$C$8:$C$1013=마스터!$M$4,ROW(출고!$C$8:$C$1013)-7),25)),"")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IFERROR(INDEX(출고!$B$8:$B$1013,SMALL(IF(출고!$C$8:$C$1013=마스터!$M$4,ROW(출고!$C$8:$C$1013)-7),26)),"")</f>
        <v/>
      </c>
      <c r="C70" s="11" t="str">
        <f t="array" ref="C70">IFERROR(INDEX(출고!$E$8:$E$1013,SMALL(IF(출고!$C$8:$C$1013=마스터!$M$4,ROW(출고!$C$8:$C$1013)-7),26)),"")</f>
        <v/>
      </c>
      <c r="D70" s="13" t="str">
        <f t="array" ref="D70">IFERROR(INDEX(출고!$F$8:$F$1013,SMALL(IF(출고!$C$8:$C$1013=마스터!$M$4,ROW(출고!$C$8:$C$1013)-7),26)),"")</f>
        <v/>
      </c>
      <c r="E70" s="50" t="str">
        <f t="array" ref="E70">IFERROR(INDEX(출고!$H$8:$H$1013,SMALL(IF(출고!$C$8:$C$1013=마스터!$M$4,ROW(출고!$C$8:$C$1013)-7),26)),"")</f>
        <v/>
      </c>
      <c r="F70" s="50" t="str">
        <f t="array" ref="F70">IFERROR(INDEX(출고!$I$8:$I$1013,SMALL(IF(출고!$C$8:$C$1013=마스터!$M$4,ROW(출고!$C$8:$C$1013)-7),26)),"")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IFERROR(INDEX(출고!$B$8:$B$1013,SMALL(IF(출고!$C$8:$C$1013=마스터!$M$4,ROW(출고!$C$8:$C$1013)-7),27)),"")</f>
        <v/>
      </c>
      <c r="C71" s="6" t="str">
        <f t="array" ref="C71">IFERROR(INDEX(출고!$E$8:$E$1013,SMALL(IF(출고!$C$8:$C$1013=마스터!$M$4,ROW(출고!$C$8:$C$1013)-7),27)),"")</f>
        <v/>
      </c>
      <c r="D71" s="8" t="str">
        <f t="array" ref="D71">IFERROR(INDEX(출고!$F$8:$F$1013,SMALL(IF(출고!$C$8:$C$1013=마스터!$M$4,ROW(출고!$C$8:$C$1013)-7),27)),"")</f>
        <v/>
      </c>
      <c r="E71" s="46" t="str">
        <f t="array" ref="E71">IFERROR(INDEX(출고!$H$8:$H$1013,SMALL(IF(출고!$C$8:$C$1013=마스터!$M$4,ROW(출고!$C$8:$C$1013)-7),27)),"")</f>
        <v/>
      </c>
      <c r="F71" s="46" t="str">
        <f t="array" ref="F71">IFERROR(INDEX(출고!$I$8:$I$1013,SMALL(IF(출고!$C$8:$C$1013=마스터!$M$4,ROW(출고!$C$8:$C$1013)-7),27)),"")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IFERROR(INDEX(출고!$B$8:$B$1013,SMALL(IF(출고!$C$8:$C$1013=마스터!$M$4,ROW(출고!$C$8:$C$1013)-7),28)),"")</f>
        <v/>
      </c>
      <c r="C72" s="11" t="str">
        <f t="array" ref="C72">IFERROR(INDEX(출고!$E$8:$E$1013,SMALL(IF(출고!$C$8:$C$1013=마스터!$M$4,ROW(출고!$C$8:$C$1013)-7),28)),"")</f>
        <v/>
      </c>
      <c r="D72" s="13" t="str">
        <f t="array" ref="D72">IFERROR(INDEX(출고!$F$8:$F$1013,SMALL(IF(출고!$C$8:$C$1013=마스터!$M$4,ROW(출고!$C$8:$C$1013)-7),28)),"")</f>
        <v/>
      </c>
      <c r="E72" s="50" t="str">
        <f t="array" ref="E72">IFERROR(INDEX(출고!$H$8:$H$1013,SMALL(IF(출고!$C$8:$C$1013=마스터!$M$4,ROW(출고!$C$8:$C$1013)-7),28)),"")</f>
        <v/>
      </c>
      <c r="F72" s="50" t="str">
        <f t="array" ref="F72">IFERROR(INDEX(출고!$I$8:$I$1013,SMALL(IF(출고!$C$8:$C$1013=마스터!$M$4,ROW(출고!$C$8:$C$1013)-7),28)),"")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IFERROR(INDEX(출고!$B$8:$B$1013,SMALL(IF(출고!$C$8:$C$1013=마스터!$M$4,ROW(출고!$C$8:$C$1013)-7),29)),"")</f>
        <v/>
      </c>
      <c r="C73" s="6" t="str">
        <f t="array" ref="C73">IFERROR(INDEX(출고!$E$8:$E$1013,SMALL(IF(출고!$C$8:$C$1013=마스터!$M$4,ROW(출고!$C$8:$C$1013)-7),29)),"")</f>
        <v/>
      </c>
      <c r="D73" s="8" t="str">
        <f t="array" ref="D73">IFERROR(INDEX(출고!$F$8:$F$1013,SMALL(IF(출고!$C$8:$C$1013=마스터!$M$4,ROW(출고!$C$8:$C$1013)-7),29)),"")</f>
        <v/>
      </c>
      <c r="E73" s="46" t="str">
        <f t="array" ref="E73">IFERROR(INDEX(출고!$H$8:$H$1013,SMALL(IF(출고!$C$8:$C$1013=마스터!$M$4,ROW(출고!$C$8:$C$1013)-7),29)),"")</f>
        <v/>
      </c>
      <c r="F73" s="46" t="str">
        <f t="array" ref="F73">IFERROR(INDEX(출고!$I$8:$I$1013,SMALL(IF(출고!$C$8:$C$1013=마스터!$M$4,ROW(출고!$C$8:$C$1013)-7),29)),"")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IFERROR(INDEX(출고!$B$8:$B$1013,SMALL(IF(출고!$C$8:$C$1013=마스터!$M$4,ROW(출고!$C$8:$C$1013)-7),30)),"")</f>
        <v/>
      </c>
      <c r="C74" s="11" t="str">
        <f t="array" ref="C74">IFERROR(INDEX(출고!$E$8:$E$1013,SMALL(IF(출고!$C$8:$C$1013=마스터!$M$4,ROW(출고!$C$8:$C$1013)-7),30)),"")</f>
        <v/>
      </c>
      <c r="D74" s="13" t="str">
        <f t="array" ref="D74">IFERROR(INDEX(출고!$F$8:$F$1013,SMALL(IF(출고!$C$8:$C$1013=마스터!$M$4,ROW(출고!$C$8:$C$1013)-7),30)),"")</f>
        <v/>
      </c>
      <c r="E74" s="50" t="str">
        <f t="array" ref="E74">IFERROR(INDEX(출고!$H$8:$H$1013,SMALL(IF(출고!$C$8:$C$1013=마스터!$M$4,ROW(출고!$C$8:$C$1013)-7),30)),"")</f>
        <v/>
      </c>
      <c r="F74" s="50" t="str">
        <f t="array" ref="F74">IFERROR(INDEX(출고!$I$8:$I$1013,SMALL(IF(출고!$C$8:$C$1013=마스터!$M$4,ROW(출고!$C$8:$C$1013)-7),30)),"")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15" customHeight="1" x14ac:dyDescent="0.25">
      <c r="A78" s="6" t="str">
        <f t="shared" ref="A78:A107" si="4">IF(B78="","",ROW()-77)</f>
        <v/>
      </c>
      <c r="B78" s="6" t="str">
        <f t="array" ref="B78">IFERROR(INDEX(입고!$E$8:$E$1013,SMALL(IF((입고!$C$8:$C$1013=마스터!$M$4)*(입고!$AC$8:$AC$1013=1),ROW(입고!$C$8:$C$1013)-7),1)),"")</f>
        <v/>
      </c>
      <c r="C78" s="8" t="str">
        <f>IF(B78="","",SUMIFS(입고!$F$8:$F$1013,입고!$C$8:$C$1013,마스터!$M$4,입고!$E$8:$E$1013,B78))</f>
        <v/>
      </c>
      <c r="D78" s="8" t="str">
        <f>IF(B78="","",SUMIFS(출고!$F$8:$F$1013,출고!$C$8:$C$1013,마스터!$M$4,출고!$E$8:$E$1013,B78))</f>
        <v/>
      </c>
      <c r="E78" s="40" t="str">
        <f t="shared" ref="E78:E107" si="5">IF(B78="","",C78-D78)</f>
        <v/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IFERROR(INDEX(입고!$E$8:$E$1013,SMALL(IF((입고!$C$8:$C$1013=마스터!$M$4)*(입고!$AC$8:$AC$1013=1),ROW(입고!$C$8:$C$1013)-7),2)),"")</f>
        <v/>
      </c>
      <c r="C79" s="13" t="str">
        <f>IF(B79="","",SUMIFS(입고!$F$8:$F$1013,입고!$C$8:$C$1013,마스터!$M$4,입고!$E$8:$E$1013,B79))</f>
        <v/>
      </c>
      <c r="D79" s="13" t="str">
        <f>IF(B79="","",SUMIFS(출고!$F$8:$F$1013,출고!$C$8:$C$1013,마스터!$M$4,출고!$E$8:$E$1013,B79))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IFERROR(INDEX(입고!$E$8:$E$1013,SMALL(IF((입고!$C$8:$C$1013=마스터!$M$4)*(입고!$AC$8:$AC$1013=1),ROW(입고!$C$8:$C$1013)-7),3)),"")</f>
        <v/>
      </c>
      <c r="C80" s="8" t="str">
        <f>IF(B80="","",SUMIFS(입고!$F$8:$F$1013,입고!$C$8:$C$1013,마스터!$M$4,입고!$E$8:$E$1013,B80))</f>
        <v/>
      </c>
      <c r="D80" s="8" t="str">
        <f>IF(B80="","",SUMIFS(출고!$F$8:$F$1013,출고!$C$8:$C$1013,마스터!$M$4,출고!$E$8:$E$1013,B80))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IFERROR(INDEX(입고!$E$8:$E$1013,SMALL(IF((입고!$C$8:$C$1013=마스터!$M$4)*(입고!$AC$8:$AC$1013=1),ROW(입고!$C$8:$C$1013)-7),4)),"")</f>
        <v/>
      </c>
      <c r="C81" s="13" t="str">
        <f>IF(B81="","",SUMIFS(입고!$F$8:$F$1013,입고!$C$8:$C$1013,마스터!$M$4,입고!$E$8:$E$1013,B81))</f>
        <v/>
      </c>
      <c r="D81" s="13" t="str">
        <f>IF(B81="","",SUMIFS(출고!$F$8:$F$1013,출고!$C$8:$C$1013,마스터!$M$4,출고!$E$8:$E$1013,B81))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IFERROR(INDEX(입고!$E$8:$E$1013,SMALL(IF((입고!$C$8:$C$1013=마스터!$M$4)*(입고!$AC$8:$AC$1013=1),ROW(입고!$C$8:$C$1013)-7),5)),"")</f>
        <v/>
      </c>
      <c r="C82" s="8" t="str">
        <f>IF(B82="","",SUMIFS(입고!$F$8:$F$1013,입고!$C$8:$C$1013,마스터!$M$4,입고!$E$8:$E$1013,B82))</f>
        <v/>
      </c>
      <c r="D82" s="8" t="str">
        <f>IF(B82="","",SUMIFS(출고!$F$8:$F$1013,출고!$C$8:$C$1013,마스터!$M$4,출고!$E$8:$E$1013,B82))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IFERROR(INDEX(입고!$E$8:$E$1013,SMALL(IF((입고!$C$8:$C$1013=마스터!$M$4)*(입고!$AC$8:$AC$1013=1),ROW(입고!$C$8:$C$1013)-7),6)),"")</f>
        <v/>
      </c>
      <c r="C83" s="13" t="str">
        <f>IF(B83="","",SUMIFS(입고!$F$8:$F$1013,입고!$C$8:$C$1013,마스터!$M$4,입고!$E$8:$E$1013,B83))</f>
        <v/>
      </c>
      <c r="D83" s="13" t="str">
        <f>IF(B83="","",SUMIFS(출고!$F$8:$F$1013,출고!$C$8:$C$1013,마스터!$M$4,출고!$E$8:$E$1013,B83))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IFERROR(INDEX(입고!$E$8:$E$1013,SMALL(IF((입고!$C$8:$C$1013=마스터!$M$4)*(입고!$AC$8:$AC$1013=1),ROW(입고!$C$8:$C$1013)-7),7)),"")</f>
        <v/>
      </c>
      <c r="C84" s="8" t="str">
        <f>IF(B84="","",SUMIFS(입고!$F$8:$F$1013,입고!$C$8:$C$1013,마스터!$M$4,입고!$E$8:$E$1013,B84))</f>
        <v/>
      </c>
      <c r="D84" s="8" t="str">
        <f>IF(B84="","",SUMIFS(출고!$F$8:$F$1013,출고!$C$8:$C$1013,마스터!$M$4,출고!$E$8:$E$1013,B84))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IFERROR(INDEX(입고!$E$8:$E$1013,SMALL(IF((입고!$C$8:$C$1013=마스터!$M$4)*(입고!$AC$8:$AC$1013=1),ROW(입고!$C$8:$C$1013)-7),8)),"")</f>
        <v/>
      </c>
      <c r="C85" s="13" t="str">
        <f>IF(B85="","",SUMIFS(입고!$F$8:$F$1013,입고!$C$8:$C$1013,마스터!$M$4,입고!$E$8:$E$1013,B85))</f>
        <v/>
      </c>
      <c r="D85" s="13" t="str">
        <f>IF(B85="","",SUMIFS(출고!$F$8:$F$1013,출고!$C$8:$C$1013,마스터!$M$4,출고!$E$8:$E$1013,B85))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IFERROR(INDEX(입고!$E$8:$E$1013,SMALL(IF((입고!$C$8:$C$1013=마스터!$M$4)*(입고!$AC$8:$AC$1013=1),ROW(입고!$C$8:$C$1013)-7),9)),"")</f>
        <v/>
      </c>
      <c r="C86" s="8" t="str">
        <f>IF(B86="","",SUMIFS(입고!$F$8:$F$1013,입고!$C$8:$C$1013,마스터!$M$4,입고!$E$8:$E$1013,B86))</f>
        <v/>
      </c>
      <c r="D86" s="8" t="str">
        <f>IF(B86="","",SUMIFS(출고!$F$8:$F$1013,출고!$C$8:$C$1013,마스터!$M$4,출고!$E$8:$E$1013,B86))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IFERROR(INDEX(입고!$E$8:$E$1013,SMALL(IF((입고!$C$8:$C$1013=마스터!$M$4)*(입고!$AC$8:$AC$1013=1),ROW(입고!$C$8:$C$1013)-7),10)),"")</f>
        <v/>
      </c>
      <c r="C87" s="13" t="str">
        <f>IF(B87="","",SUMIFS(입고!$F$8:$F$1013,입고!$C$8:$C$1013,마스터!$M$4,입고!$E$8:$E$1013,B87))</f>
        <v/>
      </c>
      <c r="D87" s="13" t="str">
        <f>IF(B87="","",SUMIFS(출고!$F$8:$F$1013,출고!$C$8:$C$1013,마스터!$M$4,출고!$E$8:$E$1013,B87))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IFERROR(INDEX(입고!$E$8:$E$1013,SMALL(IF((입고!$C$8:$C$1013=마스터!$M$4)*(입고!$AC$8:$AC$1013=1),ROW(입고!$C$8:$C$1013)-7),11)),"")</f>
        <v/>
      </c>
      <c r="C88" s="8" t="str">
        <f>IF(B88="","",SUMIFS(입고!$F$8:$F$1013,입고!$C$8:$C$1013,마스터!$M$4,입고!$E$8:$E$1013,B88))</f>
        <v/>
      </c>
      <c r="D88" s="8" t="str">
        <f>IF(B88="","",SUMIFS(출고!$F$8:$F$1013,출고!$C$8:$C$1013,마스터!$M$4,출고!$E$8:$E$1013,B88))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IFERROR(INDEX(입고!$E$8:$E$1013,SMALL(IF((입고!$C$8:$C$1013=마스터!$M$4)*(입고!$AC$8:$AC$1013=1),ROW(입고!$C$8:$C$1013)-7),12)),"")</f>
        <v/>
      </c>
      <c r="C89" s="13" t="str">
        <f>IF(B89="","",SUMIFS(입고!$F$8:$F$1013,입고!$C$8:$C$1013,마스터!$M$4,입고!$E$8:$E$1013,B89))</f>
        <v/>
      </c>
      <c r="D89" s="13" t="str">
        <f>IF(B89="","",SUMIFS(출고!$F$8:$F$1013,출고!$C$8:$C$1013,마스터!$M$4,출고!$E$8:$E$1013,B89))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IFERROR(INDEX(입고!$E$8:$E$1013,SMALL(IF((입고!$C$8:$C$1013=마스터!$M$4)*(입고!$AC$8:$AC$1013=1),ROW(입고!$C$8:$C$1013)-7),13)),"")</f>
        <v/>
      </c>
      <c r="C90" s="8" t="str">
        <f>IF(B90="","",SUMIFS(입고!$F$8:$F$1013,입고!$C$8:$C$1013,마스터!$M$4,입고!$E$8:$E$1013,B90))</f>
        <v/>
      </c>
      <c r="D90" s="8" t="str">
        <f>IF(B90="","",SUMIFS(출고!$F$8:$F$1013,출고!$C$8:$C$1013,마스터!$M$4,출고!$E$8:$E$1013,B90))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IFERROR(INDEX(입고!$E$8:$E$1013,SMALL(IF((입고!$C$8:$C$1013=마스터!$M$4)*(입고!$AC$8:$AC$1013=1),ROW(입고!$C$8:$C$1013)-7),14)),"")</f>
        <v/>
      </c>
      <c r="C91" s="13" t="str">
        <f>IF(B91="","",SUMIFS(입고!$F$8:$F$1013,입고!$C$8:$C$1013,마스터!$M$4,입고!$E$8:$E$1013,B91))</f>
        <v/>
      </c>
      <c r="D91" s="13" t="str">
        <f>IF(B91="","",SUMIFS(출고!$F$8:$F$1013,출고!$C$8:$C$1013,마스터!$M$4,출고!$E$8:$E$1013,B91))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IFERROR(INDEX(입고!$E$8:$E$1013,SMALL(IF((입고!$C$8:$C$1013=마스터!$M$4)*(입고!$AC$8:$AC$1013=1),ROW(입고!$C$8:$C$1013)-7),15)),"")</f>
        <v/>
      </c>
      <c r="C92" s="8" t="str">
        <f>IF(B92="","",SUMIFS(입고!$F$8:$F$1013,입고!$C$8:$C$1013,마스터!$M$4,입고!$E$8:$E$1013,B92))</f>
        <v/>
      </c>
      <c r="D92" s="8" t="str">
        <f>IF(B92="","",SUMIFS(출고!$F$8:$F$1013,출고!$C$8:$C$1013,마스터!$M$4,출고!$E$8:$E$1013,B92))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IFERROR(INDEX(입고!$E$8:$E$1013,SMALL(IF((입고!$C$8:$C$1013=마스터!$M$4)*(입고!$AC$8:$AC$1013=1),ROW(입고!$C$8:$C$1013)-7),16)),"")</f>
        <v/>
      </c>
      <c r="C93" s="13" t="str">
        <f>IF(B93="","",SUMIFS(입고!$F$8:$F$1013,입고!$C$8:$C$1013,마스터!$M$4,입고!$E$8:$E$1013,B93))</f>
        <v/>
      </c>
      <c r="D93" s="13" t="str">
        <f>IF(B93="","",SUMIFS(출고!$F$8:$F$1013,출고!$C$8:$C$1013,마스터!$M$4,출고!$E$8:$E$1013,B93))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IFERROR(INDEX(입고!$E$8:$E$1013,SMALL(IF((입고!$C$8:$C$1013=마스터!$M$4)*(입고!$AC$8:$AC$1013=1),ROW(입고!$C$8:$C$1013)-7),17)),"")</f>
        <v/>
      </c>
      <c r="C94" s="8" t="str">
        <f>IF(B94="","",SUMIFS(입고!$F$8:$F$1013,입고!$C$8:$C$1013,마스터!$M$4,입고!$E$8:$E$1013,B94))</f>
        <v/>
      </c>
      <c r="D94" s="8" t="str">
        <f>IF(B94="","",SUMIFS(출고!$F$8:$F$1013,출고!$C$8:$C$1013,마스터!$M$4,출고!$E$8:$E$1013,B94))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IFERROR(INDEX(입고!$E$8:$E$1013,SMALL(IF((입고!$C$8:$C$1013=마스터!$M$4)*(입고!$AC$8:$AC$1013=1),ROW(입고!$C$8:$C$1013)-7),18)),"")</f>
        <v/>
      </c>
      <c r="C95" s="13" t="str">
        <f>IF(B95="","",SUMIFS(입고!$F$8:$F$1013,입고!$C$8:$C$1013,마스터!$M$4,입고!$E$8:$E$1013,B95))</f>
        <v/>
      </c>
      <c r="D95" s="13" t="str">
        <f>IF(B95="","",SUMIFS(출고!$F$8:$F$1013,출고!$C$8:$C$1013,마스터!$M$4,출고!$E$8:$E$1013,B95))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IFERROR(INDEX(입고!$E$8:$E$1013,SMALL(IF((입고!$C$8:$C$1013=마스터!$M$4)*(입고!$AC$8:$AC$1013=1),ROW(입고!$C$8:$C$1013)-7),19)),"")</f>
        <v/>
      </c>
      <c r="C96" s="8" t="str">
        <f>IF(B96="","",SUMIFS(입고!$F$8:$F$1013,입고!$C$8:$C$1013,마스터!$M$4,입고!$E$8:$E$1013,B96))</f>
        <v/>
      </c>
      <c r="D96" s="8" t="str">
        <f>IF(B96="","",SUMIFS(출고!$F$8:$F$1013,출고!$C$8:$C$1013,마스터!$M$4,출고!$E$8:$E$1013,B96))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IFERROR(INDEX(입고!$E$8:$E$1013,SMALL(IF((입고!$C$8:$C$1013=마스터!$M$4)*(입고!$AC$8:$AC$1013=1),ROW(입고!$C$8:$C$1013)-7),20)),"")</f>
        <v/>
      </c>
      <c r="C97" s="13" t="str">
        <f>IF(B97="","",SUMIFS(입고!$F$8:$F$1013,입고!$C$8:$C$1013,마스터!$M$4,입고!$E$8:$E$1013,B97))</f>
        <v/>
      </c>
      <c r="D97" s="13" t="str">
        <f>IF(B97="","",SUMIFS(출고!$F$8:$F$1013,출고!$C$8:$C$1013,마스터!$M$4,출고!$E$8:$E$1013,B97))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IFERROR(INDEX(입고!$E$8:$E$1013,SMALL(IF((입고!$C$8:$C$1013=마스터!$M$4)*(입고!$AC$8:$AC$1013=1),ROW(입고!$C$8:$C$1013)-7),21)),"")</f>
        <v/>
      </c>
      <c r="C98" s="8" t="str">
        <f>IF(B98="","",SUMIFS(입고!$F$8:$F$1013,입고!$C$8:$C$1013,마스터!$M$4,입고!$E$8:$E$1013,B98))</f>
        <v/>
      </c>
      <c r="D98" s="8" t="str">
        <f>IF(B98="","",SUMIFS(출고!$F$8:$F$1013,출고!$C$8:$C$1013,마스터!$M$4,출고!$E$8:$E$1013,B98))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IFERROR(INDEX(입고!$E$8:$E$1013,SMALL(IF((입고!$C$8:$C$1013=마스터!$M$4)*(입고!$AC$8:$AC$1013=1),ROW(입고!$C$8:$C$1013)-7),22)),"")</f>
        <v/>
      </c>
      <c r="C99" s="13" t="str">
        <f>IF(B99="","",SUMIFS(입고!$F$8:$F$1013,입고!$C$8:$C$1013,마스터!$M$4,입고!$E$8:$E$1013,B99))</f>
        <v/>
      </c>
      <c r="D99" s="13" t="str">
        <f>IF(B99="","",SUMIFS(출고!$F$8:$F$1013,출고!$C$8:$C$1013,마스터!$M$4,출고!$E$8:$E$1013,B99))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IFERROR(INDEX(입고!$E$8:$E$1013,SMALL(IF((입고!$C$8:$C$1013=마스터!$M$4)*(입고!$AC$8:$AC$1013=1),ROW(입고!$C$8:$C$1013)-7),23)),"")</f>
        <v/>
      </c>
      <c r="C100" s="8" t="str">
        <f>IF(B100="","",SUMIFS(입고!$F$8:$F$1013,입고!$C$8:$C$1013,마스터!$M$4,입고!$E$8:$E$1013,B100))</f>
        <v/>
      </c>
      <c r="D100" s="8" t="str">
        <f>IF(B100="","",SUMIFS(출고!$F$8:$F$1013,출고!$C$8:$C$1013,마스터!$M$4,출고!$E$8:$E$1013,B100))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IFERROR(INDEX(입고!$E$8:$E$1013,SMALL(IF((입고!$C$8:$C$1013=마스터!$M$4)*(입고!$AC$8:$AC$1013=1),ROW(입고!$C$8:$C$1013)-7),24)),"")</f>
        <v/>
      </c>
      <c r="C101" s="13" t="str">
        <f>IF(B101="","",SUMIFS(입고!$F$8:$F$1013,입고!$C$8:$C$1013,마스터!$M$4,입고!$E$8:$E$1013,B101))</f>
        <v/>
      </c>
      <c r="D101" s="13" t="str">
        <f>IF(B101="","",SUMIFS(출고!$F$8:$F$1013,출고!$C$8:$C$1013,마스터!$M$4,출고!$E$8:$E$1013,B101))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IFERROR(INDEX(입고!$E$8:$E$1013,SMALL(IF((입고!$C$8:$C$1013=마스터!$M$4)*(입고!$AC$8:$AC$1013=1),ROW(입고!$C$8:$C$1013)-7),25)),"")</f>
        <v/>
      </c>
      <c r="C102" s="8" t="str">
        <f>IF(B102="","",SUMIFS(입고!$F$8:$F$1013,입고!$C$8:$C$1013,마스터!$M$4,입고!$E$8:$E$1013,B102))</f>
        <v/>
      </c>
      <c r="D102" s="8" t="str">
        <f>IF(B102="","",SUMIFS(출고!$F$8:$F$1013,출고!$C$8:$C$1013,마스터!$M$4,출고!$E$8:$E$1013,B102))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IFERROR(INDEX(입고!$E$8:$E$1013,SMALL(IF((입고!$C$8:$C$1013=마스터!$M$4)*(입고!$AC$8:$AC$1013=1),ROW(입고!$C$8:$C$1013)-7),26)),"")</f>
        <v/>
      </c>
      <c r="C103" s="13" t="str">
        <f>IF(B103="","",SUMIFS(입고!$F$8:$F$1013,입고!$C$8:$C$1013,마스터!$M$4,입고!$E$8:$E$1013,B103))</f>
        <v/>
      </c>
      <c r="D103" s="13" t="str">
        <f>IF(B103="","",SUMIFS(출고!$F$8:$F$1013,출고!$C$8:$C$1013,마스터!$M$4,출고!$E$8:$E$1013,B103))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IFERROR(INDEX(입고!$E$8:$E$1013,SMALL(IF((입고!$C$8:$C$1013=마스터!$M$4)*(입고!$AC$8:$AC$1013=1),ROW(입고!$C$8:$C$1013)-7),27)),"")</f>
        <v/>
      </c>
      <c r="C104" s="8" t="str">
        <f>IF(B104="","",SUMIFS(입고!$F$8:$F$1013,입고!$C$8:$C$1013,마스터!$M$4,입고!$E$8:$E$1013,B104))</f>
        <v/>
      </c>
      <c r="D104" s="8" t="str">
        <f>IF(B104="","",SUMIFS(출고!$F$8:$F$1013,출고!$C$8:$C$1013,마스터!$M$4,출고!$E$8:$E$1013,B104))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IFERROR(INDEX(입고!$E$8:$E$1013,SMALL(IF((입고!$C$8:$C$1013=마스터!$M$4)*(입고!$AC$8:$AC$1013=1),ROW(입고!$C$8:$C$1013)-7),28)),"")</f>
        <v/>
      </c>
      <c r="C105" s="13" t="str">
        <f>IF(B105="","",SUMIFS(입고!$F$8:$F$1013,입고!$C$8:$C$1013,마스터!$M$4,입고!$E$8:$E$1013,B105))</f>
        <v/>
      </c>
      <c r="D105" s="13" t="str">
        <f>IF(B105="","",SUMIFS(출고!$F$8:$F$1013,출고!$C$8:$C$1013,마스터!$M$4,출고!$E$8:$E$1013,B105))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IFERROR(INDEX(입고!$E$8:$E$1013,SMALL(IF((입고!$C$8:$C$1013=마스터!$M$4)*(입고!$AC$8:$AC$1013=1),ROW(입고!$C$8:$C$1013)-7),29)),"")</f>
        <v/>
      </c>
      <c r="C106" s="8" t="str">
        <f>IF(B106="","",SUMIFS(입고!$F$8:$F$1013,입고!$C$8:$C$1013,마스터!$M$4,입고!$E$8:$E$1013,B106))</f>
        <v/>
      </c>
      <c r="D106" s="8" t="str">
        <f>IF(B106="","",SUMIFS(출고!$F$8:$F$1013,출고!$C$8:$C$1013,마스터!$M$4,출고!$E$8:$E$1013,B106))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IFERROR(INDEX(입고!$E$8:$E$1013,SMALL(IF((입고!$C$8:$C$1013=마스터!$M$4)*(입고!$AC$8:$AC$1013=1),ROW(입고!$C$8:$C$1013)-7),30)),"")</f>
        <v/>
      </c>
      <c r="C107" s="13" t="str">
        <f>IF(B107="","",SUMIFS(입고!$F$8:$F$1013,입고!$C$8:$C$1013,마스터!$M$4,입고!$E$8:$E$1013,B107))</f>
        <v/>
      </c>
      <c r="D107" s="13" t="str">
        <f>IF(B107="","",SUMIFS(출고!$F$8:$F$1013,출고!$C$8:$C$1013,마스터!$M$4,출고!$E$8:$E$1013,B107))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6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CONCATENATE("[02] ", 마스터!D5, "  |  ", 마스터!F5)</f>
        <v>[02] 세라믹울 96K 국산  |  25T × 300W × 7320L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마스터!D5</f>
        <v>세라믹울 96K 국산</v>
      </c>
      <c r="D4" s="1" t="s">
        <v>11</v>
      </c>
      <c r="E4" s="53">
        <f>SUMIFS(입고!$F$8:$F$1013,입고!$C$8:$C$1013,마스터!$M$5)</f>
        <v>34</v>
      </c>
    </row>
    <row r="5" spans="1:9" ht="15" customHeight="1" x14ac:dyDescent="0.25">
      <c r="A5" s="1" t="s">
        <v>7</v>
      </c>
      <c r="B5" s="52" t="str">
        <f>마스터!E5</f>
        <v>253007320</v>
      </c>
      <c r="D5" s="1" t="s">
        <v>12</v>
      </c>
      <c r="E5" s="53">
        <f>SUMIFS(출고!$F$8:$F$1013,출고!$C$8:$C$1013,마스터!$M$5)</f>
        <v>5</v>
      </c>
    </row>
    <row r="6" spans="1:9" ht="23.25" customHeight="1" x14ac:dyDescent="0.25">
      <c r="A6" s="1" t="s">
        <v>26</v>
      </c>
      <c r="B6" s="52" t="str">
        <f>마스터!F5</f>
        <v>25T × 300W × 7320L</v>
      </c>
      <c r="D6" s="1" t="s">
        <v>121</v>
      </c>
      <c r="E6" s="53">
        <f>E5</f>
        <v>5</v>
      </c>
    </row>
    <row r="7" spans="1:9" ht="34.5" customHeight="1" x14ac:dyDescent="0.25">
      <c r="A7" s="1" t="s">
        <v>122</v>
      </c>
      <c r="B7" s="52" t="str">
        <f>마스터!M5</f>
        <v>96K국산 25T × 300W × 7320L</v>
      </c>
      <c r="D7" s="1" t="s">
        <v>13</v>
      </c>
      <c r="E7" s="54">
        <f>마스터!$K$5+E4-E5</f>
        <v>29</v>
      </c>
    </row>
    <row r="8" spans="1:9" ht="15" customHeight="1" x14ac:dyDescent="0.25">
      <c r="A8" s="1" t="s">
        <v>10</v>
      </c>
      <c r="B8" s="53">
        <f>마스터!K5</f>
        <v>0</v>
      </c>
      <c r="D8" s="1" t="s">
        <v>123</v>
      </c>
      <c r="E8" s="55">
        <f t="array" ref="E8">IFERROR(MAX(MAX(IF(입고!$C$8:$C$1013=마스터!$M$5,입고!$B$8:$B$1013)),MAX(IF(출고!$C$8:$C$1013=마스터!$M$5,출고!$B$8:$B$1013))),"-")</f>
        <v>46162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IFERROR(INDEX(입고!$B$8:$B$1013,SMALL(IF(입고!$C$8:$C$1013=마스터!$M$5,ROW(입고!$C$8:$C$1013)-7),1)),"")</f>
        <v>46031</v>
      </c>
      <c r="C12" s="6" t="str">
        <f t="array" ref="C12">IFERROR(INDEX(입고!$E$8:$E$1013,SMALL(IF(입고!$C$8:$C$1013=마스터!$M$5,ROW(입고!$C$8:$C$1013)-7),1)),"")</f>
        <v>260109CW002</v>
      </c>
      <c r="D12" s="8">
        <f t="array" ref="D12">IFERROR(INDEX(입고!$F$8:$F$1013,SMALL(IF(입고!$C$8:$C$1013=마스터!$M$5,ROW(입고!$C$8:$C$1013)-7),1)),"")</f>
        <v>34</v>
      </c>
      <c r="E12" s="46" t="str">
        <f t="array" ref="E12">IFERROR(INDEX(입고!$H$8:$H$1013,SMALL(IF(입고!$C$8:$C$1013=마스터!$M$5,ROW(입고!$C$8:$C$1013)-7),1)),"")</f>
        <v>(초기재고)</v>
      </c>
      <c r="F12" s="46" t="str">
        <f t="array" ref="F12">IFERROR(INDEX(입고!$I$8:$I$1013,SMALL(IF(입고!$C$8:$C$1013=마스터!$M$5,ROW(입고!$C$8:$C$1013)-7),1)),"")</f>
        <v>2026-02-12 기준</v>
      </c>
      <c r="G12" s="57">
        <f>IF(B12="","",IFERROR(D12,0))</f>
        <v>34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IFERROR(INDEX(입고!$B$8:$B$1013,SMALL(IF(입고!$C$8:$C$1013=마스터!$M$5,ROW(입고!$C$8:$C$1013)-7),2)),"")</f>
        <v/>
      </c>
      <c r="C13" s="11" t="str">
        <f t="array" ref="C13">IFERROR(INDEX(입고!$E$8:$E$1013,SMALL(IF(입고!$C$8:$C$1013=마스터!$M$5,ROW(입고!$C$8:$C$1013)-7),2)),"")</f>
        <v/>
      </c>
      <c r="D13" s="13" t="str">
        <f t="array" ref="D13">IFERROR(INDEX(입고!$F$8:$F$1013,SMALL(IF(입고!$C$8:$C$1013=마스터!$M$5,ROW(입고!$C$8:$C$1013)-7),2)),"")</f>
        <v/>
      </c>
      <c r="E13" s="50" t="str">
        <f t="array" ref="E13">IFERROR(INDEX(입고!$H$8:$H$1013,SMALL(IF(입고!$C$8:$C$1013=마스터!$M$5,ROW(입고!$C$8:$C$1013)-7),2)),"")</f>
        <v/>
      </c>
      <c r="F13" s="50" t="str">
        <f t="array" ref="F13">IFERROR(INDEX(입고!$I$8:$I$1013,SMALL(IF(입고!$C$8:$C$1013=마스터!$M$5,ROW(입고!$C$8:$C$1013)-7),2)),"")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IFERROR(INDEX(입고!$B$8:$B$1013,SMALL(IF(입고!$C$8:$C$1013=마스터!$M$5,ROW(입고!$C$8:$C$1013)-7),3)),"")</f>
        <v/>
      </c>
      <c r="C14" s="6" t="str">
        <f t="array" ref="C14">IFERROR(INDEX(입고!$E$8:$E$1013,SMALL(IF(입고!$C$8:$C$1013=마스터!$M$5,ROW(입고!$C$8:$C$1013)-7),3)),"")</f>
        <v/>
      </c>
      <c r="D14" s="8" t="str">
        <f t="array" ref="D14">IFERROR(INDEX(입고!$F$8:$F$1013,SMALL(IF(입고!$C$8:$C$1013=마스터!$M$5,ROW(입고!$C$8:$C$1013)-7),3)),"")</f>
        <v/>
      </c>
      <c r="E14" s="46" t="str">
        <f t="array" ref="E14">IFERROR(INDEX(입고!$H$8:$H$1013,SMALL(IF(입고!$C$8:$C$1013=마스터!$M$5,ROW(입고!$C$8:$C$1013)-7),3)),"")</f>
        <v/>
      </c>
      <c r="F14" s="46" t="str">
        <f t="array" ref="F14">IFERROR(INDEX(입고!$I$8:$I$1013,SMALL(IF(입고!$C$8:$C$1013=마스터!$M$5,ROW(입고!$C$8:$C$1013)-7),3)),"")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IFERROR(INDEX(입고!$B$8:$B$1013,SMALL(IF(입고!$C$8:$C$1013=마스터!$M$5,ROW(입고!$C$8:$C$1013)-7),4)),"")</f>
        <v/>
      </c>
      <c r="C15" s="11" t="str">
        <f t="array" ref="C15">IFERROR(INDEX(입고!$E$8:$E$1013,SMALL(IF(입고!$C$8:$C$1013=마스터!$M$5,ROW(입고!$C$8:$C$1013)-7),4)),"")</f>
        <v/>
      </c>
      <c r="D15" s="13" t="str">
        <f t="array" ref="D15">IFERROR(INDEX(입고!$F$8:$F$1013,SMALL(IF(입고!$C$8:$C$1013=마스터!$M$5,ROW(입고!$C$8:$C$1013)-7),4)),"")</f>
        <v/>
      </c>
      <c r="E15" s="50" t="str">
        <f t="array" ref="E15">IFERROR(INDEX(입고!$H$8:$H$1013,SMALL(IF(입고!$C$8:$C$1013=마스터!$M$5,ROW(입고!$C$8:$C$1013)-7),4)),"")</f>
        <v/>
      </c>
      <c r="F15" s="50" t="str">
        <f t="array" ref="F15">IFERROR(INDEX(입고!$I$8:$I$1013,SMALL(IF(입고!$C$8:$C$1013=마스터!$M$5,ROW(입고!$C$8:$C$1013)-7),4)),"")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IFERROR(INDEX(입고!$B$8:$B$1013,SMALL(IF(입고!$C$8:$C$1013=마스터!$M$5,ROW(입고!$C$8:$C$1013)-7),5)),"")</f>
        <v/>
      </c>
      <c r="C16" s="6" t="str">
        <f t="array" ref="C16">IFERROR(INDEX(입고!$E$8:$E$1013,SMALL(IF(입고!$C$8:$C$1013=마스터!$M$5,ROW(입고!$C$8:$C$1013)-7),5)),"")</f>
        <v/>
      </c>
      <c r="D16" s="8" t="str">
        <f t="array" ref="D16">IFERROR(INDEX(입고!$F$8:$F$1013,SMALL(IF(입고!$C$8:$C$1013=마스터!$M$5,ROW(입고!$C$8:$C$1013)-7),5)),"")</f>
        <v/>
      </c>
      <c r="E16" s="46" t="str">
        <f t="array" ref="E16">IFERROR(INDEX(입고!$H$8:$H$1013,SMALL(IF(입고!$C$8:$C$1013=마스터!$M$5,ROW(입고!$C$8:$C$1013)-7),5)),"")</f>
        <v/>
      </c>
      <c r="F16" s="46" t="str">
        <f t="array" ref="F16">IFERROR(INDEX(입고!$I$8:$I$1013,SMALL(IF(입고!$C$8:$C$1013=마스터!$M$5,ROW(입고!$C$8:$C$1013)-7),5)),"")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IFERROR(INDEX(입고!$B$8:$B$1013,SMALL(IF(입고!$C$8:$C$1013=마스터!$M$5,ROW(입고!$C$8:$C$1013)-7),6)),"")</f>
        <v/>
      </c>
      <c r="C17" s="11" t="str">
        <f t="array" ref="C17">IFERROR(INDEX(입고!$E$8:$E$1013,SMALL(IF(입고!$C$8:$C$1013=마스터!$M$5,ROW(입고!$C$8:$C$1013)-7),6)),"")</f>
        <v/>
      </c>
      <c r="D17" s="13" t="str">
        <f t="array" ref="D17">IFERROR(INDEX(입고!$F$8:$F$1013,SMALL(IF(입고!$C$8:$C$1013=마스터!$M$5,ROW(입고!$C$8:$C$1013)-7),6)),"")</f>
        <v/>
      </c>
      <c r="E17" s="50" t="str">
        <f t="array" ref="E17">IFERROR(INDEX(입고!$H$8:$H$1013,SMALL(IF(입고!$C$8:$C$1013=마스터!$M$5,ROW(입고!$C$8:$C$1013)-7),6)),"")</f>
        <v/>
      </c>
      <c r="F17" s="50" t="str">
        <f t="array" ref="F17">IFERROR(INDEX(입고!$I$8:$I$1013,SMALL(IF(입고!$C$8:$C$1013=마스터!$M$5,ROW(입고!$C$8:$C$1013)-7),6)),"")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IFERROR(INDEX(입고!$B$8:$B$1013,SMALL(IF(입고!$C$8:$C$1013=마스터!$M$5,ROW(입고!$C$8:$C$1013)-7),7)),"")</f>
        <v/>
      </c>
      <c r="C18" s="6" t="str">
        <f t="array" ref="C18">IFERROR(INDEX(입고!$E$8:$E$1013,SMALL(IF(입고!$C$8:$C$1013=마스터!$M$5,ROW(입고!$C$8:$C$1013)-7),7)),"")</f>
        <v/>
      </c>
      <c r="D18" s="8" t="str">
        <f t="array" ref="D18">IFERROR(INDEX(입고!$F$8:$F$1013,SMALL(IF(입고!$C$8:$C$1013=마스터!$M$5,ROW(입고!$C$8:$C$1013)-7),7)),"")</f>
        <v/>
      </c>
      <c r="E18" s="46" t="str">
        <f t="array" ref="E18">IFERROR(INDEX(입고!$H$8:$H$1013,SMALL(IF(입고!$C$8:$C$1013=마스터!$M$5,ROW(입고!$C$8:$C$1013)-7),7)),"")</f>
        <v/>
      </c>
      <c r="F18" s="46" t="str">
        <f t="array" ref="F18">IFERROR(INDEX(입고!$I$8:$I$1013,SMALL(IF(입고!$C$8:$C$1013=마스터!$M$5,ROW(입고!$C$8:$C$1013)-7),7)),"")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IFERROR(INDEX(입고!$B$8:$B$1013,SMALL(IF(입고!$C$8:$C$1013=마스터!$M$5,ROW(입고!$C$8:$C$1013)-7),8)),"")</f>
        <v/>
      </c>
      <c r="C19" s="11" t="str">
        <f t="array" ref="C19">IFERROR(INDEX(입고!$E$8:$E$1013,SMALL(IF(입고!$C$8:$C$1013=마스터!$M$5,ROW(입고!$C$8:$C$1013)-7),8)),"")</f>
        <v/>
      </c>
      <c r="D19" s="13" t="str">
        <f t="array" ref="D19">IFERROR(INDEX(입고!$F$8:$F$1013,SMALL(IF(입고!$C$8:$C$1013=마스터!$M$5,ROW(입고!$C$8:$C$1013)-7),8)),"")</f>
        <v/>
      </c>
      <c r="E19" s="50" t="str">
        <f t="array" ref="E19">IFERROR(INDEX(입고!$H$8:$H$1013,SMALL(IF(입고!$C$8:$C$1013=마스터!$M$5,ROW(입고!$C$8:$C$1013)-7),8)),"")</f>
        <v/>
      </c>
      <c r="F19" s="50" t="str">
        <f t="array" ref="F19">IFERROR(INDEX(입고!$I$8:$I$1013,SMALL(IF(입고!$C$8:$C$1013=마스터!$M$5,ROW(입고!$C$8:$C$1013)-7),8)),"")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IFERROR(INDEX(입고!$B$8:$B$1013,SMALL(IF(입고!$C$8:$C$1013=마스터!$M$5,ROW(입고!$C$8:$C$1013)-7),9)),"")</f>
        <v/>
      </c>
      <c r="C20" s="6" t="str">
        <f t="array" ref="C20">IFERROR(INDEX(입고!$E$8:$E$1013,SMALL(IF(입고!$C$8:$C$1013=마스터!$M$5,ROW(입고!$C$8:$C$1013)-7),9)),"")</f>
        <v/>
      </c>
      <c r="D20" s="8" t="str">
        <f t="array" ref="D20">IFERROR(INDEX(입고!$F$8:$F$1013,SMALL(IF(입고!$C$8:$C$1013=마스터!$M$5,ROW(입고!$C$8:$C$1013)-7),9)),"")</f>
        <v/>
      </c>
      <c r="E20" s="46" t="str">
        <f t="array" ref="E20">IFERROR(INDEX(입고!$H$8:$H$1013,SMALL(IF(입고!$C$8:$C$1013=마스터!$M$5,ROW(입고!$C$8:$C$1013)-7),9)),"")</f>
        <v/>
      </c>
      <c r="F20" s="46" t="str">
        <f t="array" ref="F20">IFERROR(INDEX(입고!$I$8:$I$1013,SMALL(IF(입고!$C$8:$C$1013=마스터!$M$5,ROW(입고!$C$8:$C$1013)-7),9)),"")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IFERROR(INDEX(입고!$B$8:$B$1013,SMALL(IF(입고!$C$8:$C$1013=마스터!$M$5,ROW(입고!$C$8:$C$1013)-7),10)),"")</f>
        <v/>
      </c>
      <c r="C21" s="11" t="str">
        <f t="array" ref="C21">IFERROR(INDEX(입고!$E$8:$E$1013,SMALL(IF(입고!$C$8:$C$1013=마스터!$M$5,ROW(입고!$C$8:$C$1013)-7),10)),"")</f>
        <v/>
      </c>
      <c r="D21" s="13" t="str">
        <f t="array" ref="D21">IFERROR(INDEX(입고!$F$8:$F$1013,SMALL(IF(입고!$C$8:$C$1013=마스터!$M$5,ROW(입고!$C$8:$C$1013)-7),10)),"")</f>
        <v/>
      </c>
      <c r="E21" s="50" t="str">
        <f t="array" ref="E21">IFERROR(INDEX(입고!$H$8:$H$1013,SMALL(IF(입고!$C$8:$C$1013=마스터!$M$5,ROW(입고!$C$8:$C$1013)-7),10)),"")</f>
        <v/>
      </c>
      <c r="F21" s="50" t="str">
        <f t="array" ref="F21">IFERROR(INDEX(입고!$I$8:$I$1013,SMALL(IF(입고!$C$8:$C$1013=마스터!$M$5,ROW(입고!$C$8:$C$1013)-7),10)),"")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IFERROR(INDEX(입고!$B$8:$B$1013,SMALL(IF(입고!$C$8:$C$1013=마스터!$M$5,ROW(입고!$C$8:$C$1013)-7),11)),"")</f>
        <v/>
      </c>
      <c r="C22" s="6" t="str">
        <f t="array" ref="C22">IFERROR(INDEX(입고!$E$8:$E$1013,SMALL(IF(입고!$C$8:$C$1013=마스터!$M$5,ROW(입고!$C$8:$C$1013)-7),11)),"")</f>
        <v/>
      </c>
      <c r="D22" s="8" t="str">
        <f t="array" ref="D22">IFERROR(INDEX(입고!$F$8:$F$1013,SMALL(IF(입고!$C$8:$C$1013=마스터!$M$5,ROW(입고!$C$8:$C$1013)-7),11)),"")</f>
        <v/>
      </c>
      <c r="E22" s="46" t="str">
        <f t="array" ref="E22">IFERROR(INDEX(입고!$H$8:$H$1013,SMALL(IF(입고!$C$8:$C$1013=마스터!$M$5,ROW(입고!$C$8:$C$1013)-7),11)),"")</f>
        <v/>
      </c>
      <c r="F22" s="46" t="str">
        <f t="array" ref="F22">IFERROR(INDEX(입고!$I$8:$I$1013,SMALL(IF(입고!$C$8:$C$1013=마스터!$M$5,ROW(입고!$C$8:$C$1013)-7),11)),"")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IFERROR(INDEX(입고!$B$8:$B$1013,SMALL(IF(입고!$C$8:$C$1013=마스터!$M$5,ROW(입고!$C$8:$C$1013)-7),12)),"")</f>
        <v/>
      </c>
      <c r="C23" s="11" t="str">
        <f t="array" ref="C23">IFERROR(INDEX(입고!$E$8:$E$1013,SMALL(IF(입고!$C$8:$C$1013=마스터!$M$5,ROW(입고!$C$8:$C$1013)-7),12)),"")</f>
        <v/>
      </c>
      <c r="D23" s="13" t="str">
        <f t="array" ref="D23">IFERROR(INDEX(입고!$F$8:$F$1013,SMALL(IF(입고!$C$8:$C$1013=마스터!$M$5,ROW(입고!$C$8:$C$1013)-7),12)),"")</f>
        <v/>
      </c>
      <c r="E23" s="50" t="str">
        <f t="array" ref="E23">IFERROR(INDEX(입고!$H$8:$H$1013,SMALL(IF(입고!$C$8:$C$1013=마스터!$M$5,ROW(입고!$C$8:$C$1013)-7),12)),"")</f>
        <v/>
      </c>
      <c r="F23" s="50" t="str">
        <f t="array" ref="F23">IFERROR(INDEX(입고!$I$8:$I$1013,SMALL(IF(입고!$C$8:$C$1013=마스터!$M$5,ROW(입고!$C$8:$C$1013)-7),12)),"")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IFERROR(INDEX(입고!$B$8:$B$1013,SMALL(IF(입고!$C$8:$C$1013=마스터!$M$5,ROW(입고!$C$8:$C$1013)-7),13)),"")</f>
        <v/>
      </c>
      <c r="C24" s="6" t="str">
        <f t="array" ref="C24">IFERROR(INDEX(입고!$E$8:$E$1013,SMALL(IF(입고!$C$8:$C$1013=마스터!$M$5,ROW(입고!$C$8:$C$1013)-7),13)),"")</f>
        <v/>
      </c>
      <c r="D24" s="8" t="str">
        <f t="array" ref="D24">IFERROR(INDEX(입고!$F$8:$F$1013,SMALL(IF(입고!$C$8:$C$1013=마스터!$M$5,ROW(입고!$C$8:$C$1013)-7),13)),"")</f>
        <v/>
      </c>
      <c r="E24" s="46" t="str">
        <f t="array" ref="E24">IFERROR(INDEX(입고!$H$8:$H$1013,SMALL(IF(입고!$C$8:$C$1013=마스터!$M$5,ROW(입고!$C$8:$C$1013)-7),13)),"")</f>
        <v/>
      </c>
      <c r="F24" s="46" t="str">
        <f t="array" ref="F24">IFERROR(INDEX(입고!$I$8:$I$1013,SMALL(IF(입고!$C$8:$C$1013=마스터!$M$5,ROW(입고!$C$8:$C$1013)-7),13)),"")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IFERROR(INDEX(입고!$B$8:$B$1013,SMALL(IF(입고!$C$8:$C$1013=마스터!$M$5,ROW(입고!$C$8:$C$1013)-7),14)),"")</f>
        <v/>
      </c>
      <c r="C25" s="11" t="str">
        <f t="array" ref="C25">IFERROR(INDEX(입고!$E$8:$E$1013,SMALL(IF(입고!$C$8:$C$1013=마스터!$M$5,ROW(입고!$C$8:$C$1013)-7),14)),"")</f>
        <v/>
      </c>
      <c r="D25" s="13" t="str">
        <f t="array" ref="D25">IFERROR(INDEX(입고!$F$8:$F$1013,SMALL(IF(입고!$C$8:$C$1013=마스터!$M$5,ROW(입고!$C$8:$C$1013)-7),14)),"")</f>
        <v/>
      </c>
      <c r="E25" s="50" t="str">
        <f t="array" ref="E25">IFERROR(INDEX(입고!$H$8:$H$1013,SMALL(IF(입고!$C$8:$C$1013=마스터!$M$5,ROW(입고!$C$8:$C$1013)-7),14)),"")</f>
        <v/>
      </c>
      <c r="F25" s="50" t="str">
        <f t="array" ref="F25">IFERROR(INDEX(입고!$I$8:$I$1013,SMALL(IF(입고!$C$8:$C$1013=마스터!$M$5,ROW(입고!$C$8:$C$1013)-7),14)),"")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IFERROR(INDEX(입고!$B$8:$B$1013,SMALL(IF(입고!$C$8:$C$1013=마스터!$M$5,ROW(입고!$C$8:$C$1013)-7),15)),"")</f>
        <v/>
      </c>
      <c r="C26" s="6" t="str">
        <f t="array" ref="C26">IFERROR(INDEX(입고!$E$8:$E$1013,SMALL(IF(입고!$C$8:$C$1013=마스터!$M$5,ROW(입고!$C$8:$C$1013)-7),15)),"")</f>
        <v/>
      </c>
      <c r="D26" s="8" t="str">
        <f t="array" ref="D26">IFERROR(INDEX(입고!$F$8:$F$1013,SMALL(IF(입고!$C$8:$C$1013=마스터!$M$5,ROW(입고!$C$8:$C$1013)-7),15)),"")</f>
        <v/>
      </c>
      <c r="E26" s="46" t="str">
        <f t="array" ref="E26">IFERROR(INDEX(입고!$H$8:$H$1013,SMALL(IF(입고!$C$8:$C$1013=마스터!$M$5,ROW(입고!$C$8:$C$1013)-7),15)),"")</f>
        <v/>
      </c>
      <c r="F26" s="46" t="str">
        <f t="array" ref="F26">IFERROR(INDEX(입고!$I$8:$I$1013,SMALL(IF(입고!$C$8:$C$1013=마스터!$M$5,ROW(입고!$C$8:$C$1013)-7),15)),"")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IFERROR(INDEX(입고!$B$8:$B$1013,SMALL(IF(입고!$C$8:$C$1013=마스터!$M$5,ROW(입고!$C$8:$C$1013)-7),16)),"")</f>
        <v/>
      </c>
      <c r="C27" s="11" t="str">
        <f t="array" ref="C27">IFERROR(INDEX(입고!$E$8:$E$1013,SMALL(IF(입고!$C$8:$C$1013=마스터!$M$5,ROW(입고!$C$8:$C$1013)-7),16)),"")</f>
        <v/>
      </c>
      <c r="D27" s="13" t="str">
        <f t="array" ref="D27">IFERROR(INDEX(입고!$F$8:$F$1013,SMALL(IF(입고!$C$8:$C$1013=마스터!$M$5,ROW(입고!$C$8:$C$1013)-7),16)),"")</f>
        <v/>
      </c>
      <c r="E27" s="50" t="str">
        <f t="array" ref="E27">IFERROR(INDEX(입고!$H$8:$H$1013,SMALL(IF(입고!$C$8:$C$1013=마스터!$M$5,ROW(입고!$C$8:$C$1013)-7),16)),"")</f>
        <v/>
      </c>
      <c r="F27" s="50" t="str">
        <f t="array" ref="F27">IFERROR(INDEX(입고!$I$8:$I$1013,SMALL(IF(입고!$C$8:$C$1013=마스터!$M$5,ROW(입고!$C$8:$C$1013)-7),16)),"")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IFERROR(INDEX(입고!$B$8:$B$1013,SMALL(IF(입고!$C$8:$C$1013=마스터!$M$5,ROW(입고!$C$8:$C$1013)-7),17)),"")</f>
        <v/>
      </c>
      <c r="C28" s="6" t="str">
        <f t="array" ref="C28">IFERROR(INDEX(입고!$E$8:$E$1013,SMALL(IF(입고!$C$8:$C$1013=마스터!$M$5,ROW(입고!$C$8:$C$1013)-7),17)),"")</f>
        <v/>
      </c>
      <c r="D28" s="8" t="str">
        <f t="array" ref="D28">IFERROR(INDEX(입고!$F$8:$F$1013,SMALL(IF(입고!$C$8:$C$1013=마스터!$M$5,ROW(입고!$C$8:$C$1013)-7),17)),"")</f>
        <v/>
      </c>
      <c r="E28" s="46" t="str">
        <f t="array" ref="E28">IFERROR(INDEX(입고!$H$8:$H$1013,SMALL(IF(입고!$C$8:$C$1013=마스터!$M$5,ROW(입고!$C$8:$C$1013)-7),17)),"")</f>
        <v/>
      </c>
      <c r="F28" s="46" t="str">
        <f t="array" ref="F28">IFERROR(INDEX(입고!$I$8:$I$1013,SMALL(IF(입고!$C$8:$C$1013=마스터!$M$5,ROW(입고!$C$8:$C$1013)-7),17)),"")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IFERROR(INDEX(입고!$B$8:$B$1013,SMALL(IF(입고!$C$8:$C$1013=마스터!$M$5,ROW(입고!$C$8:$C$1013)-7),18)),"")</f>
        <v/>
      </c>
      <c r="C29" s="11" t="str">
        <f t="array" ref="C29">IFERROR(INDEX(입고!$E$8:$E$1013,SMALL(IF(입고!$C$8:$C$1013=마스터!$M$5,ROW(입고!$C$8:$C$1013)-7),18)),"")</f>
        <v/>
      </c>
      <c r="D29" s="13" t="str">
        <f t="array" ref="D29">IFERROR(INDEX(입고!$F$8:$F$1013,SMALL(IF(입고!$C$8:$C$1013=마스터!$M$5,ROW(입고!$C$8:$C$1013)-7),18)),"")</f>
        <v/>
      </c>
      <c r="E29" s="50" t="str">
        <f t="array" ref="E29">IFERROR(INDEX(입고!$H$8:$H$1013,SMALL(IF(입고!$C$8:$C$1013=마스터!$M$5,ROW(입고!$C$8:$C$1013)-7),18)),"")</f>
        <v/>
      </c>
      <c r="F29" s="50" t="str">
        <f t="array" ref="F29">IFERROR(INDEX(입고!$I$8:$I$1013,SMALL(IF(입고!$C$8:$C$1013=마스터!$M$5,ROW(입고!$C$8:$C$1013)-7),18)),"")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IFERROR(INDEX(입고!$B$8:$B$1013,SMALL(IF(입고!$C$8:$C$1013=마스터!$M$5,ROW(입고!$C$8:$C$1013)-7),19)),"")</f>
        <v/>
      </c>
      <c r="C30" s="6" t="str">
        <f t="array" ref="C30">IFERROR(INDEX(입고!$E$8:$E$1013,SMALL(IF(입고!$C$8:$C$1013=마스터!$M$5,ROW(입고!$C$8:$C$1013)-7),19)),"")</f>
        <v/>
      </c>
      <c r="D30" s="8" t="str">
        <f t="array" ref="D30">IFERROR(INDEX(입고!$F$8:$F$1013,SMALL(IF(입고!$C$8:$C$1013=마스터!$M$5,ROW(입고!$C$8:$C$1013)-7),19)),"")</f>
        <v/>
      </c>
      <c r="E30" s="46" t="str">
        <f t="array" ref="E30">IFERROR(INDEX(입고!$H$8:$H$1013,SMALL(IF(입고!$C$8:$C$1013=마스터!$M$5,ROW(입고!$C$8:$C$1013)-7),19)),"")</f>
        <v/>
      </c>
      <c r="F30" s="46" t="str">
        <f t="array" ref="F30">IFERROR(INDEX(입고!$I$8:$I$1013,SMALL(IF(입고!$C$8:$C$1013=마스터!$M$5,ROW(입고!$C$8:$C$1013)-7),19)),"")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IFERROR(INDEX(입고!$B$8:$B$1013,SMALL(IF(입고!$C$8:$C$1013=마스터!$M$5,ROW(입고!$C$8:$C$1013)-7),20)),"")</f>
        <v/>
      </c>
      <c r="C31" s="11" t="str">
        <f t="array" ref="C31">IFERROR(INDEX(입고!$E$8:$E$1013,SMALL(IF(입고!$C$8:$C$1013=마스터!$M$5,ROW(입고!$C$8:$C$1013)-7),20)),"")</f>
        <v/>
      </c>
      <c r="D31" s="13" t="str">
        <f t="array" ref="D31">IFERROR(INDEX(입고!$F$8:$F$1013,SMALL(IF(입고!$C$8:$C$1013=마스터!$M$5,ROW(입고!$C$8:$C$1013)-7),20)),"")</f>
        <v/>
      </c>
      <c r="E31" s="50" t="str">
        <f t="array" ref="E31">IFERROR(INDEX(입고!$H$8:$H$1013,SMALL(IF(입고!$C$8:$C$1013=마스터!$M$5,ROW(입고!$C$8:$C$1013)-7),20)),"")</f>
        <v/>
      </c>
      <c r="F31" s="50" t="str">
        <f t="array" ref="F31">IFERROR(INDEX(입고!$I$8:$I$1013,SMALL(IF(입고!$C$8:$C$1013=마스터!$M$5,ROW(입고!$C$8:$C$1013)-7),20)),"")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IFERROR(INDEX(입고!$B$8:$B$1013,SMALL(IF(입고!$C$8:$C$1013=마스터!$M$5,ROW(입고!$C$8:$C$1013)-7),21)),"")</f>
        <v/>
      </c>
      <c r="C32" s="6" t="str">
        <f t="array" ref="C32">IFERROR(INDEX(입고!$E$8:$E$1013,SMALL(IF(입고!$C$8:$C$1013=마스터!$M$5,ROW(입고!$C$8:$C$1013)-7),21)),"")</f>
        <v/>
      </c>
      <c r="D32" s="8" t="str">
        <f t="array" ref="D32">IFERROR(INDEX(입고!$F$8:$F$1013,SMALL(IF(입고!$C$8:$C$1013=마스터!$M$5,ROW(입고!$C$8:$C$1013)-7),21)),"")</f>
        <v/>
      </c>
      <c r="E32" s="46" t="str">
        <f t="array" ref="E32">IFERROR(INDEX(입고!$H$8:$H$1013,SMALL(IF(입고!$C$8:$C$1013=마스터!$M$5,ROW(입고!$C$8:$C$1013)-7),21)),"")</f>
        <v/>
      </c>
      <c r="F32" s="46" t="str">
        <f t="array" ref="F32">IFERROR(INDEX(입고!$I$8:$I$1013,SMALL(IF(입고!$C$8:$C$1013=마스터!$M$5,ROW(입고!$C$8:$C$1013)-7),21)),"")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IFERROR(INDEX(입고!$B$8:$B$1013,SMALL(IF(입고!$C$8:$C$1013=마스터!$M$5,ROW(입고!$C$8:$C$1013)-7),22)),"")</f>
        <v/>
      </c>
      <c r="C33" s="11" t="str">
        <f t="array" ref="C33">IFERROR(INDEX(입고!$E$8:$E$1013,SMALL(IF(입고!$C$8:$C$1013=마스터!$M$5,ROW(입고!$C$8:$C$1013)-7),22)),"")</f>
        <v/>
      </c>
      <c r="D33" s="13" t="str">
        <f t="array" ref="D33">IFERROR(INDEX(입고!$F$8:$F$1013,SMALL(IF(입고!$C$8:$C$1013=마스터!$M$5,ROW(입고!$C$8:$C$1013)-7),22)),"")</f>
        <v/>
      </c>
      <c r="E33" s="50" t="str">
        <f t="array" ref="E33">IFERROR(INDEX(입고!$H$8:$H$1013,SMALL(IF(입고!$C$8:$C$1013=마스터!$M$5,ROW(입고!$C$8:$C$1013)-7),22)),"")</f>
        <v/>
      </c>
      <c r="F33" s="50" t="str">
        <f t="array" ref="F33">IFERROR(INDEX(입고!$I$8:$I$1013,SMALL(IF(입고!$C$8:$C$1013=마스터!$M$5,ROW(입고!$C$8:$C$1013)-7),22)),"")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IFERROR(INDEX(입고!$B$8:$B$1013,SMALL(IF(입고!$C$8:$C$1013=마스터!$M$5,ROW(입고!$C$8:$C$1013)-7),23)),"")</f>
        <v/>
      </c>
      <c r="C34" s="6" t="str">
        <f t="array" ref="C34">IFERROR(INDEX(입고!$E$8:$E$1013,SMALL(IF(입고!$C$8:$C$1013=마스터!$M$5,ROW(입고!$C$8:$C$1013)-7),23)),"")</f>
        <v/>
      </c>
      <c r="D34" s="8" t="str">
        <f t="array" ref="D34">IFERROR(INDEX(입고!$F$8:$F$1013,SMALL(IF(입고!$C$8:$C$1013=마스터!$M$5,ROW(입고!$C$8:$C$1013)-7),23)),"")</f>
        <v/>
      </c>
      <c r="E34" s="46" t="str">
        <f t="array" ref="E34">IFERROR(INDEX(입고!$H$8:$H$1013,SMALL(IF(입고!$C$8:$C$1013=마스터!$M$5,ROW(입고!$C$8:$C$1013)-7),23)),"")</f>
        <v/>
      </c>
      <c r="F34" s="46" t="str">
        <f t="array" ref="F34">IFERROR(INDEX(입고!$I$8:$I$1013,SMALL(IF(입고!$C$8:$C$1013=마스터!$M$5,ROW(입고!$C$8:$C$1013)-7),23)),"")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IFERROR(INDEX(입고!$B$8:$B$1013,SMALL(IF(입고!$C$8:$C$1013=마스터!$M$5,ROW(입고!$C$8:$C$1013)-7),24)),"")</f>
        <v/>
      </c>
      <c r="C35" s="11" t="str">
        <f t="array" ref="C35">IFERROR(INDEX(입고!$E$8:$E$1013,SMALL(IF(입고!$C$8:$C$1013=마스터!$M$5,ROW(입고!$C$8:$C$1013)-7),24)),"")</f>
        <v/>
      </c>
      <c r="D35" s="13" t="str">
        <f t="array" ref="D35">IFERROR(INDEX(입고!$F$8:$F$1013,SMALL(IF(입고!$C$8:$C$1013=마스터!$M$5,ROW(입고!$C$8:$C$1013)-7),24)),"")</f>
        <v/>
      </c>
      <c r="E35" s="50" t="str">
        <f t="array" ref="E35">IFERROR(INDEX(입고!$H$8:$H$1013,SMALL(IF(입고!$C$8:$C$1013=마스터!$M$5,ROW(입고!$C$8:$C$1013)-7),24)),"")</f>
        <v/>
      </c>
      <c r="F35" s="50" t="str">
        <f t="array" ref="F35">IFERROR(INDEX(입고!$I$8:$I$1013,SMALL(IF(입고!$C$8:$C$1013=마스터!$M$5,ROW(입고!$C$8:$C$1013)-7),24)),"")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IFERROR(INDEX(입고!$B$8:$B$1013,SMALL(IF(입고!$C$8:$C$1013=마스터!$M$5,ROW(입고!$C$8:$C$1013)-7),25)),"")</f>
        <v/>
      </c>
      <c r="C36" s="6" t="str">
        <f t="array" ref="C36">IFERROR(INDEX(입고!$E$8:$E$1013,SMALL(IF(입고!$C$8:$C$1013=마스터!$M$5,ROW(입고!$C$8:$C$1013)-7),25)),"")</f>
        <v/>
      </c>
      <c r="D36" s="8" t="str">
        <f t="array" ref="D36">IFERROR(INDEX(입고!$F$8:$F$1013,SMALL(IF(입고!$C$8:$C$1013=마스터!$M$5,ROW(입고!$C$8:$C$1013)-7),25)),"")</f>
        <v/>
      </c>
      <c r="E36" s="46" t="str">
        <f t="array" ref="E36">IFERROR(INDEX(입고!$H$8:$H$1013,SMALL(IF(입고!$C$8:$C$1013=마스터!$M$5,ROW(입고!$C$8:$C$1013)-7),25)),"")</f>
        <v/>
      </c>
      <c r="F36" s="46" t="str">
        <f t="array" ref="F36">IFERROR(INDEX(입고!$I$8:$I$1013,SMALL(IF(입고!$C$8:$C$1013=마스터!$M$5,ROW(입고!$C$8:$C$1013)-7),25)),"")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IFERROR(INDEX(입고!$B$8:$B$1013,SMALL(IF(입고!$C$8:$C$1013=마스터!$M$5,ROW(입고!$C$8:$C$1013)-7),26)),"")</f>
        <v/>
      </c>
      <c r="C37" s="11" t="str">
        <f t="array" ref="C37">IFERROR(INDEX(입고!$E$8:$E$1013,SMALL(IF(입고!$C$8:$C$1013=마스터!$M$5,ROW(입고!$C$8:$C$1013)-7),26)),"")</f>
        <v/>
      </c>
      <c r="D37" s="13" t="str">
        <f t="array" ref="D37">IFERROR(INDEX(입고!$F$8:$F$1013,SMALL(IF(입고!$C$8:$C$1013=마스터!$M$5,ROW(입고!$C$8:$C$1013)-7),26)),"")</f>
        <v/>
      </c>
      <c r="E37" s="50" t="str">
        <f t="array" ref="E37">IFERROR(INDEX(입고!$H$8:$H$1013,SMALL(IF(입고!$C$8:$C$1013=마스터!$M$5,ROW(입고!$C$8:$C$1013)-7),26)),"")</f>
        <v/>
      </c>
      <c r="F37" s="50" t="str">
        <f t="array" ref="F37">IFERROR(INDEX(입고!$I$8:$I$1013,SMALL(IF(입고!$C$8:$C$1013=마스터!$M$5,ROW(입고!$C$8:$C$1013)-7),26)),"")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IFERROR(INDEX(입고!$B$8:$B$1013,SMALL(IF(입고!$C$8:$C$1013=마스터!$M$5,ROW(입고!$C$8:$C$1013)-7),27)),"")</f>
        <v/>
      </c>
      <c r="C38" s="6" t="str">
        <f t="array" ref="C38">IFERROR(INDEX(입고!$E$8:$E$1013,SMALL(IF(입고!$C$8:$C$1013=마스터!$M$5,ROW(입고!$C$8:$C$1013)-7),27)),"")</f>
        <v/>
      </c>
      <c r="D38" s="8" t="str">
        <f t="array" ref="D38">IFERROR(INDEX(입고!$F$8:$F$1013,SMALL(IF(입고!$C$8:$C$1013=마스터!$M$5,ROW(입고!$C$8:$C$1013)-7),27)),"")</f>
        <v/>
      </c>
      <c r="E38" s="46" t="str">
        <f t="array" ref="E38">IFERROR(INDEX(입고!$H$8:$H$1013,SMALL(IF(입고!$C$8:$C$1013=마스터!$M$5,ROW(입고!$C$8:$C$1013)-7),27)),"")</f>
        <v/>
      </c>
      <c r="F38" s="46" t="str">
        <f t="array" ref="F38">IFERROR(INDEX(입고!$I$8:$I$1013,SMALL(IF(입고!$C$8:$C$1013=마스터!$M$5,ROW(입고!$C$8:$C$1013)-7),27)),"")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IFERROR(INDEX(입고!$B$8:$B$1013,SMALL(IF(입고!$C$8:$C$1013=마스터!$M$5,ROW(입고!$C$8:$C$1013)-7),28)),"")</f>
        <v/>
      </c>
      <c r="C39" s="11" t="str">
        <f t="array" ref="C39">IFERROR(INDEX(입고!$E$8:$E$1013,SMALL(IF(입고!$C$8:$C$1013=마스터!$M$5,ROW(입고!$C$8:$C$1013)-7),28)),"")</f>
        <v/>
      </c>
      <c r="D39" s="13" t="str">
        <f t="array" ref="D39">IFERROR(INDEX(입고!$F$8:$F$1013,SMALL(IF(입고!$C$8:$C$1013=마스터!$M$5,ROW(입고!$C$8:$C$1013)-7),28)),"")</f>
        <v/>
      </c>
      <c r="E39" s="50" t="str">
        <f t="array" ref="E39">IFERROR(INDEX(입고!$H$8:$H$1013,SMALL(IF(입고!$C$8:$C$1013=마스터!$M$5,ROW(입고!$C$8:$C$1013)-7),28)),"")</f>
        <v/>
      </c>
      <c r="F39" s="50" t="str">
        <f t="array" ref="F39">IFERROR(INDEX(입고!$I$8:$I$1013,SMALL(IF(입고!$C$8:$C$1013=마스터!$M$5,ROW(입고!$C$8:$C$1013)-7),28)),"")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IFERROR(INDEX(입고!$B$8:$B$1013,SMALL(IF(입고!$C$8:$C$1013=마스터!$M$5,ROW(입고!$C$8:$C$1013)-7),29)),"")</f>
        <v/>
      </c>
      <c r="C40" s="6" t="str">
        <f t="array" ref="C40">IFERROR(INDEX(입고!$E$8:$E$1013,SMALL(IF(입고!$C$8:$C$1013=마스터!$M$5,ROW(입고!$C$8:$C$1013)-7),29)),"")</f>
        <v/>
      </c>
      <c r="D40" s="8" t="str">
        <f t="array" ref="D40">IFERROR(INDEX(입고!$F$8:$F$1013,SMALL(IF(입고!$C$8:$C$1013=마스터!$M$5,ROW(입고!$C$8:$C$1013)-7),29)),"")</f>
        <v/>
      </c>
      <c r="E40" s="46" t="str">
        <f t="array" ref="E40">IFERROR(INDEX(입고!$H$8:$H$1013,SMALL(IF(입고!$C$8:$C$1013=마스터!$M$5,ROW(입고!$C$8:$C$1013)-7),29)),"")</f>
        <v/>
      </c>
      <c r="F40" s="46" t="str">
        <f t="array" ref="F40">IFERROR(INDEX(입고!$I$8:$I$1013,SMALL(IF(입고!$C$8:$C$1013=마스터!$M$5,ROW(입고!$C$8:$C$1013)-7),29)),"")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IFERROR(INDEX(입고!$B$8:$B$1013,SMALL(IF(입고!$C$8:$C$1013=마스터!$M$5,ROW(입고!$C$8:$C$1013)-7),30)),"")</f>
        <v/>
      </c>
      <c r="C41" s="11" t="str">
        <f t="array" ref="C41">IFERROR(INDEX(입고!$E$8:$E$1013,SMALL(IF(입고!$C$8:$C$1013=마스터!$M$5,ROW(입고!$C$8:$C$1013)-7),30)),"")</f>
        <v/>
      </c>
      <c r="D41" s="13" t="str">
        <f t="array" ref="D41">IFERROR(INDEX(입고!$F$8:$F$1013,SMALL(IF(입고!$C$8:$C$1013=마스터!$M$5,ROW(입고!$C$8:$C$1013)-7),30)),"")</f>
        <v/>
      </c>
      <c r="E41" s="50" t="str">
        <f t="array" ref="E41">IFERROR(INDEX(입고!$H$8:$H$1013,SMALL(IF(입고!$C$8:$C$1013=마스터!$M$5,ROW(입고!$C$8:$C$1013)-7),30)),"")</f>
        <v/>
      </c>
      <c r="F41" s="50" t="str">
        <f t="array" ref="F41">IFERROR(INDEX(입고!$I$8:$I$1013,SMALL(IF(입고!$C$8:$C$1013=마스터!$M$5,ROW(입고!$C$8:$C$1013)-7),30)),"")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>
        <f t="shared" ref="A45:A74" si="2">IF(B45="","",ROW()-44)</f>
        <v>1</v>
      </c>
      <c r="B45" s="56">
        <f t="array" ref="B45">IFERROR(INDEX(출고!$B$8:$B$1013,SMALL(IF(출고!$C$8:$C$1013=마스터!$M$5,ROW(출고!$C$8:$C$1013)-7),1)),"")</f>
        <v>46162</v>
      </c>
      <c r="C45" s="6" t="str">
        <f t="array" ref="C45">IFERROR(INDEX(출고!$E$8:$E$1013,SMALL(IF(출고!$C$8:$C$1013=마스터!$M$5,ROW(출고!$C$8:$C$1013)-7),1)),"")</f>
        <v>260109CW002</v>
      </c>
      <c r="D45" s="8">
        <f t="array" ref="D45">IFERROR(INDEX(출고!$F$8:$F$1013,SMALL(IF(출고!$C$8:$C$1013=마스터!$M$5,ROW(출고!$C$8:$C$1013)-7),1)),"")</f>
        <v>5</v>
      </c>
      <c r="E45" s="46" t="str">
        <f t="array" ref="E45">IFERROR(INDEX(출고!$H$8:$H$1013,SMALL(IF(출고!$C$8:$C$1013=마스터!$M$5,ROW(출고!$C$8:$C$1013)-7),1)),"")</f>
        <v>조선대 감염병원</v>
      </c>
      <c r="F45" s="46">
        <f t="array" ref="F45">IFERROR(INDEX(출고!$I$8:$I$1013,SMALL(IF(출고!$C$8:$C$1013=마스터!$M$5,ROW(출고!$C$8:$C$1013)-7),1)),"")</f>
        <v>0</v>
      </c>
      <c r="G45" s="57">
        <f>IF(B45="","",IFERROR(D45,0))</f>
        <v>5</v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IFERROR(INDEX(출고!$B$8:$B$1013,SMALL(IF(출고!$C$8:$C$1013=마스터!$M$5,ROW(출고!$C$8:$C$1013)-7),2)),"")</f>
        <v/>
      </c>
      <c r="C46" s="11" t="str">
        <f t="array" ref="C46">IFERROR(INDEX(출고!$E$8:$E$1013,SMALL(IF(출고!$C$8:$C$1013=마스터!$M$5,ROW(출고!$C$8:$C$1013)-7),2)),"")</f>
        <v/>
      </c>
      <c r="D46" s="13" t="str">
        <f t="array" ref="D46">IFERROR(INDEX(출고!$F$8:$F$1013,SMALL(IF(출고!$C$8:$C$1013=마스터!$M$5,ROW(출고!$C$8:$C$1013)-7),2)),"")</f>
        <v/>
      </c>
      <c r="E46" s="50" t="str">
        <f t="array" ref="E46">IFERROR(INDEX(출고!$H$8:$H$1013,SMALL(IF(출고!$C$8:$C$1013=마스터!$M$5,ROW(출고!$C$8:$C$1013)-7),2)),"")</f>
        <v/>
      </c>
      <c r="F46" s="50" t="str">
        <f t="array" ref="F46">IFERROR(INDEX(출고!$I$8:$I$1013,SMALL(IF(출고!$C$8:$C$1013=마스터!$M$5,ROW(출고!$C$8:$C$1013)-7),2)),"")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IFERROR(INDEX(출고!$B$8:$B$1013,SMALL(IF(출고!$C$8:$C$1013=마스터!$M$5,ROW(출고!$C$8:$C$1013)-7),3)),"")</f>
        <v/>
      </c>
      <c r="C47" s="6" t="str">
        <f t="array" ref="C47">IFERROR(INDEX(출고!$E$8:$E$1013,SMALL(IF(출고!$C$8:$C$1013=마스터!$M$5,ROW(출고!$C$8:$C$1013)-7),3)),"")</f>
        <v/>
      </c>
      <c r="D47" s="8" t="str">
        <f t="array" ref="D47">IFERROR(INDEX(출고!$F$8:$F$1013,SMALL(IF(출고!$C$8:$C$1013=마스터!$M$5,ROW(출고!$C$8:$C$1013)-7),3)),"")</f>
        <v/>
      </c>
      <c r="E47" s="46" t="str">
        <f t="array" ref="E47">IFERROR(INDEX(출고!$H$8:$H$1013,SMALL(IF(출고!$C$8:$C$1013=마스터!$M$5,ROW(출고!$C$8:$C$1013)-7),3)),"")</f>
        <v/>
      </c>
      <c r="F47" s="46" t="str">
        <f t="array" ref="F47">IFERROR(INDEX(출고!$I$8:$I$1013,SMALL(IF(출고!$C$8:$C$1013=마스터!$M$5,ROW(출고!$C$8:$C$1013)-7),3)),"")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IFERROR(INDEX(출고!$B$8:$B$1013,SMALL(IF(출고!$C$8:$C$1013=마스터!$M$5,ROW(출고!$C$8:$C$1013)-7),4)),"")</f>
        <v/>
      </c>
      <c r="C48" s="11" t="str">
        <f t="array" ref="C48">IFERROR(INDEX(출고!$E$8:$E$1013,SMALL(IF(출고!$C$8:$C$1013=마스터!$M$5,ROW(출고!$C$8:$C$1013)-7),4)),"")</f>
        <v/>
      </c>
      <c r="D48" s="13" t="str">
        <f t="array" ref="D48">IFERROR(INDEX(출고!$F$8:$F$1013,SMALL(IF(출고!$C$8:$C$1013=마스터!$M$5,ROW(출고!$C$8:$C$1013)-7),4)),"")</f>
        <v/>
      </c>
      <c r="E48" s="50" t="str">
        <f t="array" ref="E48">IFERROR(INDEX(출고!$H$8:$H$1013,SMALL(IF(출고!$C$8:$C$1013=마스터!$M$5,ROW(출고!$C$8:$C$1013)-7),4)),"")</f>
        <v/>
      </c>
      <c r="F48" s="50" t="str">
        <f t="array" ref="F48">IFERROR(INDEX(출고!$I$8:$I$1013,SMALL(IF(출고!$C$8:$C$1013=마스터!$M$5,ROW(출고!$C$8:$C$1013)-7),4)),"")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IFERROR(INDEX(출고!$B$8:$B$1013,SMALL(IF(출고!$C$8:$C$1013=마스터!$M$5,ROW(출고!$C$8:$C$1013)-7),5)),"")</f>
        <v/>
      </c>
      <c r="C49" s="6" t="str">
        <f t="array" ref="C49">IFERROR(INDEX(출고!$E$8:$E$1013,SMALL(IF(출고!$C$8:$C$1013=마스터!$M$5,ROW(출고!$C$8:$C$1013)-7),5)),"")</f>
        <v/>
      </c>
      <c r="D49" s="8" t="str">
        <f t="array" ref="D49">IFERROR(INDEX(출고!$F$8:$F$1013,SMALL(IF(출고!$C$8:$C$1013=마스터!$M$5,ROW(출고!$C$8:$C$1013)-7),5)),"")</f>
        <v/>
      </c>
      <c r="E49" s="46" t="str">
        <f t="array" ref="E49">IFERROR(INDEX(출고!$H$8:$H$1013,SMALL(IF(출고!$C$8:$C$1013=마스터!$M$5,ROW(출고!$C$8:$C$1013)-7),5)),"")</f>
        <v/>
      </c>
      <c r="F49" s="46" t="str">
        <f t="array" ref="F49">IFERROR(INDEX(출고!$I$8:$I$1013,SMALL(IF(출고!$C$8:$C$1013=마스터!$M$5,ROW(출고!$C$8:$C$1013)-7),5)),"")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IFERROR(INDEX(출고!$B$8:$B$1013,SMALL(IF(출고!$C$8:$C$1013=마스터!$M$5,ROW(출고!$C$8:$C$1013)-7),6)),"")</f>
        <v/>
      </c>
      <c r="C50" s="11" t="str">
        <f t="array" ref="C50">IFERROR(INDEX(출고!$E$8:$E$1013,SMALL(IF(출고!$C$8:$C$1013=마스터!$M$5,ROW(출고!$C$8:$C$1013)-7),6)),"")</f>
        <v/>
      </c>
      <c r="D50" s="13" t="str">
        <f t="array" ref="D50">IFERROR(INDEX(출고!$F$8:$F$1013,SMALL(IF(출고!$C$8:$C$1013=마스터!$M$5,ROW(출고!$C$8:$C$1013)-7),6)),"")</f>
        <v/>
      </c>
      <c r="E50" s="50" t="str">
        <f t="array" ref="E50">IFERROR(INDEX(출고!$H$8:$H$1013,SMALL(IF(출고!$C$8:$C$1013=마스터!$M$5,ROW(출고!$C$8:$C$1013)-7),6)),"")</f>
        <v/>
      </c>
      <c r="F50" s="50" t="str">
        <f t="array" ref="F50">IFERROR(INDEX(출고!$I$8:$I$1013,SMALL(IF(출고!$C$8:$C$1013=마스터!$M$5,ROW(출고!$C$8:$C$1013)-7),6)),"")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IFERROR(INDEX(출고!$B$8:$B$1013,SMALL(IF(출고!$C$8:$C$1013=마스터!$M$5,ROW(출고!$C$8:$C$1013)-7),7)),"")</f>
        <v/>
      </c>
      <c r="C51" s="6" t="str">
        <f t="array" ref="C51">IFERROR(INDEX(출고!$E$8:$E$1013,SMALL(IF(출고!$C$8:$C$1013=마스터!$M$5,ROW(출고!$C$8:$C$1013)-7),7)),"")</f>
        <v/>
      </c>
      <c r="D51" s="8" t="str">
        <f t="array" ref="D51">IFERROR(INDEX(출고!$F$8:$F$1013,SMALL(IF(출고!$C$8:$C$1013=마스터!$M$5,ROW(출고!$C$8:$C$1013)-7),7)),"")</f>
        <v/>
      </c>
      <c r="E51" s="46" t="str">
        <f t="array" ref="E51">IFERROR(INDEX(출고!$H$8:$H$1013,SMALL(IF(출고!$C$8:$C$1013=마스터!$M$5,ROW(출고!$C$8:$C$1013)-7),7)),"")</f>
        <v/>
      </c>
      <c r="F51" s="46" t="str">
        <f t="array" ref="F51">IFERROR(INDEX(출고!$I$8:$I$1013,SMALL(IF(출고!$C$8:$C$1013=마스터!$M$5,ROW(출고!$C$8:$C$1013)-7),7)),"")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IFERROR(INDEX(출고!$B$8:$B$1013,SMALL(IF(출고!$C$8:$C$1013=마스터!$M$5,ROW(출고!$C$8:$C$1013)-7),8)),"")</f>
        <v/>
      </c>
      <c r="C52" s="11" t="str">
        <f t="array" ref="C52">IFERROR(INDEX(출고!$E$8:$E$1013,SMALL(IF(출고!$C$8:$C$1013=마스터!$M$5,ROW(출고!$C$8:$C$1013)-7),8)),"")</f>
        <v/>
      </c>
      <c r="D52" s="13" t="str">
        <f t="array" ref="D52">IFERROR(INDEX(출고!$F$8:$F$1013,SMALL(IF(출고!$C$8:$C$1013=마스터!$M$5,ROW(출고!$C$8:$C$1013)-7),8)),"")</f>
        <v/>
      </c>
      <c r="E52" s="50" t="str">
        <f t="array" ref="E52">IFERROR(INDEX(출고!$H$8:$H$1013,SMALL(IF(출고!$C$8:$C$1013=마스터!$M$5,ROW(출고!$C$8:$C$1013)-7),8)),"")</f>
        <v/>
      </c>
      <c r="F52" s="50" t="str">
        <f t="array" ref="F52">IFERROR(INDEX(출고!$I$8:$I$1013,SMALL(IF(출고!$C$8:$C$1013=마스터!$M$5,ROW(출고!$C$8:$C$1013)-7),8)),"")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IFERROR(INDEX(출고!$B$8:$B$1013,SMALL(IF(출고!$C$8:$C$1013=마스터!$M$5,ROW(출고!$C$8:$C$1013)-7),9)),"")</f>
        <v/>
      </c>
      <c r="C53" s="6" t="str">
        <f t="array" ref="C53">IFERROR(INDEX(출고!$E$8:$E$1013,SMALL(IF(출고!$C$8:$C$1013=마스터!$M$5,ROW(출고!$C$8:$C$1013)-7),9)),"")</f>
        <v/>
      </c>
      <c r="D53" s="8" t="str">
        <f t="array" ref="D53">IFERROR(INDEX(출고!$F$8:$F$1013,SMALL(IF(출고!$C$8:$C$1013=마스터!$M$5,ROW(출고!$C$8:$C$1013)-7),9)),"")</f>
        <v/>
      </c>
      <c r="E53" s="46" t="str">
        <f t="array" ref="E53">IFERROR(INDEX(출고!$H$8:$H$1013,SMALL(IF(출고!$C$8:$C$1013=마스터!$M$5,ROW(출고!$C$8:$C$1013)-7),9)),"")</f>
        <v/>
      </c>
      <c r="F53" s="46" t="str">
        <f t="array" ref="F53">IFERROR(INDEX(출고!$I$8:$I$1013,SMALL(IF(출고!$C$8:$C$1013=마스터!$M$5,ROW(출고!$C$8:$C$1013)-7),9)),"")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IFERROR(INDEX(출고!$B$8:$B$1013,SMALL(IF(출고!$C$8:$C$1013=마스터!$M$5,ROW(출고!$C$8:$C$1013)-7),10)),"")</f>
        <v/>
      </c>
      <c r="C54" s="11" t="str">
        <f t="array" ref="C54">IFERROR(INDEX(출고!$E$8:$E$1013,SMALL(IF(출고!$C$8:$C$1013=마스터!$M$5,ROW(출고!$C$8:$C$1013)-7),10)),"")</f>
        <v/>
      </c>
      <c r="D54" s="13" t="str">
        <f t="array" ref="D54">IFERROR(INDEX(출고!$F$8:$F$1013,SMALL(IF(출고!$C$8:$C$1013=마스터!$M$5,ROW(출고!$C$8:$C$1013)-7),10)),"")</f>
        <v/>
      </c>
      <c r="E54" s="50" t="str">
        <f t="array" ref="E54">IFERROR(INDEX(출고!$H$8:$H$1013,SMALL(IF(출고!$C$8:$C$1013=마스터!$M$5,ROW(출고!$C$8:$C$1013)-7),10)),"")</f>
        <v/>
      </c>
      <c r="F54" s="50" t="str">
        <f t="array" ref="F54">IFERROR(INDEX(출고!$I$8:$I$1013,SMALL(IF(출고!$C$8:$C$1013=마스터!$M$5,ROW(출고!$C$8:$C$1013)-7),10)),"")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IFERROR(INDEX(출고!$B$8:$B$1013,SMALL(IF(출고!$C$8:$C$1013=마스터!$M$5,ROW(출고!$C$8:$C$1013)-7),11)),"")</f>
        <v/>
      </c>
      <c r="C55" s="6" t="str">
        <f t="array" ref="C55">IFERROR(INDEX(출고!$E$8:$E$1013,SMALL(IF(출고!$C$8:$C$1013=마스터!$M$5,ROW(출고!$C$8:$C$1013)-7),11)),"")</f>
        <v/>
      </c>
      <c r="D55" s="8" t="str">
        <f t="array" ref="D55">IFERROR(INDEX(출고!$F$8:$F$1013,SMALL(IF(출고!$C$8:$C$1013=마스터!$M$5,ROW(출고!$C$8:$C$1013)-7),11)),"")</f>
        <v/>
      </c>
      <c r="E55" s="46" t="str">
        <f t="array" ref="E55">IFERROR(INDEX(출고!$H$8:$H$1013,SMALL(IF(출고!$C$8:$C$1013=마스터!$M$5,ROW(출고!$C$8:$C$1013)-7),11)),"")</f>
        <v/>
      </c>
      <c r="F55" s="46" t="str">
        <f t="array" ref="F55">IFERROR(INDEX(출고!$I$8:$I$1013,SMALL(IF(출고!$C$8:$C$1013=마스터!$M$5,ROW(출고!$C$8:$C$1013)-7),11)),"")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IFERROR(INDEX(출고!$B$8:$B$1013,SMALL(IF(출고!$C$8:$C$1013=마스터!$M$5,ROW(출고!$C$8:$C$1013)-7),12)),"")</f>
        <v/>
      </c>
      <c r="C56" s="11" t="str">
        <f t="array" ref="C56">IFERROR(INDEX(출고!$E$8:$E$1013,SMALL(IF(출고!$C$8:$C$1013=마스터!$M$5,ROW(출고!$C$8:$C$1013)-7),12)),"")</f>
        <v/>
      </c>
      <c r="D56" s="13" t="str">
        <f t="array" ref="D56">IFERROR(INDEX(출고!$F$8:$F$1013,SMALL(IF(출고!$C$8:$C$1013=마스터!$M$5,ROW(출고!$C$8:$C$1013)-7),12)),"")</f>
        <v/>
      </c>
      <c r="E56" s="50" t="str">
        <f t="array" ref="E56">IFERROR(INDEX(출고!$H$8:$H$1013,SMALL(IF(출고!$C$8:$C$1013=마스터!$M$5,ROW(출고!$C$8:$C$1013)-7),12)),"")</f>
        <v/>
      </c>
      <c r="F56" s="50" t="str">
        <f t="array" ref="F56">IFERROR(INDEX(출고!$I$8:$I$1013,SMALL(IF(출고!$C$8:$C$1013=마스터!$M$5,ROW(출고!$C$8:$C$1013)-7),12)),"")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IFERROR(INDEX(출고!$B$8:$B$1013,SMALL(IF(출고!$C$8:$C$1013=마스터!$M$5,ROW(출고!$C$8:$C$1013)-7),13)),"")</f>
        <v/>
      </c>
      <c r="C57" s="6" t="str">
        <f t="array" ref="C57">IFERROR(INDEX(출고!$E$8:$E$1013,SMALL(IF(출고!$C$8:$C$1013=마스터!$M$5,ROW(출고!$C$8:$C$1013)-7),13)),"")</f>
        <v/>
      </c>
      <c r="D57" s="8" t="str">
        <f t="array" ref="D57">IFERROR(INDEX(출고!$F$8:$F$1013,SMALL(IF(출고!$C$8:$C$1013=마스터!$M$5,ROW(출고!$C$8:$C$1013)-7),13)),"")</f>
        <v/>
      </c>
      <c r="E57" s="46" t="str">
        <f t="array" ref="E57">IFERROR(INDEX(출고!$H$8:$H$1013,SMALL(IF(출고!$C$8:$C$1013=마스터!$M$5,ROW(출고!$C$8:$C$1013)-7),13)),"")</f>
        <v/>
      </c>
      <c r="F57" s="46" t="str">
        <f t="array" ref="F57">IFERROR(INDEX(출고!$I$8:$I$1013,SMALL(IF(출고!$C$8:$C$1013=마스터!$M$5,ROW(출고!$C$8:$C$1013)-7),13)),"")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IFERROR(INDEX(출고!$B$8:$B$1013,SMALL(IF(출고!$C$8:$C$1013=마스터!$M$5,ROW(출고!$C$8:$C$1013)-7),14)),"")</f>
        <v/>
      </c>
      <c r="C58" s="11" t="str">
        <f t="array" ref="C58">IFERROR(INDEX(출고!$E$8:$E$1013,SMALL(IF(출고!$C$8:$C$1013=마스터!$M$5,ROW(출고!$C$8:$C$1013)-7),14)),"")</f>
        <v/>
      </c>
      <c r="D58" s="13" t="str">
        <f t="array" ref="D58">IFERROR(INDEX(출고!$F$8:$F$1013,SMALL(IF(출고!$C$8:$C$1013=마스터!$M$5,ROW(출고!$C$8:$C$1013)-7),14)),"")</f>
        <v/>
      </c>
      <c r="E58" s="50" t="str">
        <f t="array" ref="E58">IFERROR(INDEX(출고!$H$8:$H$1013,SMALL(IF(출고!$C$8:$C$1013=마스터!$M$5,ROW(출고!$C$8:$C$1013)-7),14)),"")</f>
        <v/>
      </c>
      <c r="F58" s="50" t="str">
        <f t="array" ref="F58">IFERROR(INDEX(출고!$I$8:$I$1013,SMALL(IF(출고!$C$8:$C$1013=마스터!$M$5,ROW(출고!$C$8:$C$1013)-7),14)),"")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IFERROR(INDEX(출고!$B$8:$B$1013,SMALL(IF(출고!$C$8:$C$1013=마스터!$M$5,ROW(출고!$C$8:$C$1013)-7),15)),"")</f>
        <v/>
      </c>
      <c r="C59" s="6" t="str">
        <f t="array" ref="C59">IFERROR(INDEX(출고!$E$8:$E$1013,SMALL(IF(출고!$C$8:$C$1013=마스터!$M$5,ROW(출고!$C$8:$C$1013)-7),15)),"")</f>
        <v/>
      </c>
      <c r="D59" s="8" t="str">
        <f t="array" ref="D59">IFERROR(INDEX(출고!$F$8:$F$1013,SMALL(IF(출고!$C$8:$C$1013=마스터!$M$5,ROW(출고!$C$8:$C$1013)-7),15)),"")</f>
        <v/>
      </c>
      <c r="E59" s="46" t="str">
        <f t="array" ref="E59">IFERROR(INDEX(출고!$H$8:$H$1013,SMALL(IF(출고!$C$8:$C$1013=마스터!$M$5,ROW(출고!$C$8:$C$1013)-7),15)),"")</f>
        <v/>
      </c>
      <c r="F59" s="46" t="str">
        <f t="array" ref="F59">IFERROR(INDEX(출고!$I$8:$I$1013,SMALL(IF(출고!$C$8:$C$1013=마스터!$M$5,ROW(출고!$C$8:$C$1013)-7),15)),"")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IFERROR(INDEX(출고!$B$8:$B$1013,SMALL(IF(출고!$C$8:$C$1013=마스터!$M$5,ROW(출고!$C$8:$C$1013)-7),16)),"")</f>
        <v/>
      </c>
      <c r="C60" s="11" t="str">
        <f t="array" ref="C60">IFERROR(INDEX(출고!$E$8:$E$1013,SMALL(IF(출고!$C$8:$C$1013=마스터!$M$5,ROW(출고!$C$8:$C$1013)-7),16)),"")</f>
        <v/>
      </c>
      <c r="D60" s="13" t="str">
        <f t="array" ref="D60">IFERROR(INDEX(출고!$F$8:$F$1013,SMALL(IF(출고!$C$8:$C$1013=마스터!$M$5,ROW(출고!$C$8:$C$1013)-7),16)),"")</f>
        <v/>
      </c>
      <c r="E60" s="50" t="str">
        <f t="array" ref="E60">IFERROR(INDEX(출고!$H$8:$H$1013,SMALL(IF(출고!$C$8:$C$1013=마스터!$M$5,ROW(출고!$C$8:$C$1013)-7),16)),"")</f>
        <v/>
      </c>
      <c r="F60" s="50" t="str">
        <f t="array" ref="F60">IFERROR(INDEX(출고!$I$8:$I$1013,SMALL(IF(출고!$C$8:$C$1013=마스터!$M$5,ROW(출고!$C$8:$C$1013)-7),16)),"")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IFERROR(INDEX(출고!$B$8:$B$1013,SMALL(IF(출고!$C$8:$C$1013=마스터!$M$5,ROW(출고!$C$8:$C$1013)-7),17)),"")</f>
        <v/>
      </c>
      <c r="C61" s="6" t="str">
        <f t="array" ref="C61">IFERROR(INDEX(출고!$E$8:$E$1013,SMALL(IF(출고!$C$8:$C$1013=마스터!$M$5,ROW(출고!$C$8:$C$1013)-7),17)),"")</f>
        <v/>
      </c>
      <c r="D61" s="8" t="str">
        <f t="array" ref="D61">IFERROR(INDEX(출고!$F$8:$F$1013,SMALL(IF(출고!$C$8:$C$1013=마스터!$M$5,ROW(출고!$C$8:$C$1013)-7),17)),"")</f>
        <v/>
      </c>
      <c r="E61" s="46" t="str">
        <f t="array" ref="E61">IFERROR(INDEX(출고!$H$8:$H$1013,SMALL(IF(출고!$C$8:$C$1013=마스터!$M$5,ROW(출고!$C$8:$C$1013)-7),17)),"")</f>
        <v/>
      </c>
      <c r="F61" s="46" t="str">
        <f t="array" ref="F61">IFERROR(INDEX(출고!$I$8:$I$1013,SMALL(IF(출고!$C$8:$C$1013=마스터!$M$5,ROW(출고!$C$8:$C$1013)-7),17)),"")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IFERROR(INDEX(출고!$B$8:$B$1013,SMALL(IF(출고!$C$8:$C$1013=마스터!$M$5,ROW(출고!$C$8:$C$1013)-7),18)),"")</f>
        <v/>
      </c>
      <c r="C62" s="11" t="str">
        <f t="array" ref="C62">IFERROR(INDEX(출고!$E$8:$E$1013,SMALL(IF(출고!$C$8:$C$1013=마스터!$M$5,ROW(출고!$C$8:$C$1013)-7),18)),"")</f>
        <v/>
      </c>
      <c r="D62" s="13" t="str">
        <f t="array" ref="D62">IFERROR(INDEX(출고!$F$8:$F$1013,SMALL(IF(출고!$C$8:$C$1013=마스터!$M$5,ROW(출고!$C$8:$C$1013)-7),18)),"")</f>
        <v/>
      </c>
      <c r="E62" s="50" t="str">
        <f t="array" ref="E62">IFERROR(INDEX(출고!$H$8:$H$1013,SMALL(IF(출고!$C$8:$C$1013=마스터!$M$5,ROW(출고!$C$8:$C$1013)-7),18)),"")</f>
        <v/>
      </c>
      <c r="F62" s="50" t="str">
        <f t="array" ref="F62">IFERROR(INDEX(출고!$I$8:$I$1013,SMALL(IF(출고!$C$8:$C$1013=마스터!$M$5,ROW(출고!$C$8:$C$1013)-7),18)),"")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IFERROR(INDEX(출고!$B$8:$B$1013,SMALL(IF(출고!$C$8:$C$1013=마스터!$M$5,ROW(출고!$C$8:$C$1013)-7),19)),"")</f>
        <v/>
      </c>
      <c r="C63" s="6" t="str">
        <f t="array" ref="C63">IFERROR(INDEX(출고!$E$8:$E$1013,SMALL(IF(출고!$C$8:$C$1013=마스터!$M$5,ROW(출고!$C$8:$C$1013)-7),19)),"")</f>
        <v/>
      </c>
      <c r="D63" s="8" t="str">
        <f t="array" ref="D63">IFERROR(INDEX(출고!$F$8:$F$1013,SMALL(IF(출고!$C$8:$C$1013=마스터!$M$5,ROW(출고!$C$8:$C$1013)-7),19)),"")</f>
        <v/>
      </c>
      <c r="E63" s="46" t="str">
        <f t="array" ref="E63">IFERROR(INDEX(출고!$H$8:$H$1013,SMALL(IF(출고!$C$8:$C$1013=마스터!$M$5,ROW(출고!$C$8:$C$1013)-7),19)),"")</f>
        <v/>
      </c>
      <c r="F63" s="46" t="str">
        <f t="array" ref="F63">IFERROR(INDEX(출고!$I$8:$I$1013,SMALL(IF(출고!$C$8:$C$1013=마스터!$M$5,ROW(출고!$C$8:$C$1013)-7),19)),"")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IFERROR(INDEX(출고!$B$8:$B$1013,SMALL(IF(출고!$C$8:$C$1013=마스터!$M$5,ROW(출고!$C$8:$C$1013)-7),20)),"")</f>
        <v/>
      </c>
      <c r="C64" s="11" t="str">
        <f t="array" ref="C64">IFERROR(INDEX(출고!$E$8:$E$1013,SMALL(IF(출고!$C$8:$C$1013=마스터!$M$5,ROW(출고!$C$8:$C$1013)-7),20)),"")</f>
        <v/>
      </c>
      <c r="D64" s="13" t="str">
        <f t="array" ref="D64">IFERROR(INDEX(출고!$F$8:$F$1013,SMALL(IF(출고!$C$8:$C$1013=마스터!$M$5,ROW(출고!$C$8:$C$1013)-7),20)),"")</f>
        <v/>
      </c>
      <c r="E64" s="50" t="str">
        <f t="array" ref="E64">IFERROR(INDEX(출고!$H$8:$H$1013,SMALL(IF(출고!$C$8:$C$1013=마스터!$M$5,ROW(출고!$C$8:$C$1013)-7),20)),"")</f>
        <v/>
      </c>
      <c r="F64" s="50" t="str">
        <f t="array" ref="F64">IFERROR(INDEX(출고!$I$8:$I$1013,SMALL(IF(출고!$C$8:$C$1013=마스터!$M$5,ROW(출고!$C$8:$C$1013)-7),20)),"")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IFERROR(INDEX(출고!$B$8:$B$1013,SMALL(IF(출고!$C$8:$C$1013=마스터!$M$5,ROW(출고!$C$8:$C$1013)-7),21)),"")</f>
        <v/>
      </c>
      <c r="C65" s="6" t="str">
        <f t="array" ref="C65">IFERROR(INDEX(출고!$E$8:$E$1013,SMALL(IF(출고!$C$8:$C$1013=마스터!$M$5,ROW(출고!$C$8:$C$1013)-7),21)),"")</f>
        <v/>
      </c>
      <c r="D65" s="8" t="str">
        <f t="array" ref="D65">IFERROR(INDEX(출고!$F$8:$F$1013,SMALL(IF(출고!$C$8:$C$1013=마스터!$M$5,ROW(출고!$C$8:$C$1013)-7),21)),"")</f>
        <v/>
      </c>
      <c r="E65" s="46" t="str">
        <f t="array" ref="E65">IFERROR(INDEX(출고!$H$8:$H$1013,SMALL(IF(출고!$C$8:$C$1013=마스터!$M$5,ROW(출고!$C$8:$C$1013)-7),21)),"")</f>
        <v/>
      </c>
      <c r="F65" s="46" t="str">
        <f t="array" ref="F65">IFERROR(INDEX(출고!$I$8:$I$1013,SMALL(IF(출고!$C$8:$C$1013=마스터!$M$5,ROW(출고!$C$8:$C$1013)-7),21)),"")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IFERROR(INDEX(출고!$B$8:$B$1013,SMALL(IF(출고!$C$8:$C$1013=마스터!$M$5,ROW(출고!$C$8:$C$1013)-7),22)),"")</f>
        <v/>
      </c>
      <c r="C66" s="11" t="str">
        <f t="array" ref="C66">IFERROR(INDEX(출고!$E$8:$E$1013,SMALL(IF(출고!$C$8:$C$1013=마스터!$M$5,ROW(출고!$C$8:$C$1013)-7),22)),"")</f>
        <v/>
      </c>
      <c r="D66" s="13" t="str">
        <f t="array" ref="D66">IFERROR(INDEX(출고!$F$8:$F$1013,SMALL(IF(출고!$C$8:$C$1013=마스터!$M$5,ROW(출고!$C$8:$C$1013)-7),22)),"")</f>
        <v/>
      </c>
      <c r="E66" s="50" t="str">
        <f t="array" ref="E66">IFERROR(INDEX(출고!$H$8:$H$1013,SMALL(IF(출고!$C$8:$C$1013=마스터!$M$5,ROW(출고!$C$8:$C$1013)-7),22)),"")</f>
        <v/>
      </c>
      <c r="F66" s="50" t="str">
        <f t="array" ref="F66">IFERROR(INDEX(출고!$I$8:$I$1013,SMALL(IF(출고!$C$8:$C$1013=마스터!$M$5,ROW(출고!$C$8:$C$1013)-7),22)),"")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IFERROR(INDEX(출고!$B$8:$B$1013,SMALL(IF(출고!$C$8:$C$1013=마스터!$M$5,ROW(출고!$C$8:$C$1013)-7),23)),"")</f>
        <v/>
      </c>
      <c r="C67" s="6" t="str">
        <f t="array" ref="C67">IFERROR(INDEX(출고!$E$8:$E$1013,SMALL(IF(출고!$C$8:$C$1013=마스터!$M$5,ROW(출고!$C$8:$C$1013)-7),23)),"")</f>
        <v/>
      </c>
      <c r="D67" s="8" t="str">
        <f t="array" ref="D67">IFERROR(INDEX(출고!$F$8:$F$1013,SMALL(IF(출고!$C$8:$C$1013=마스터!$M$5,ROW(출고!$C$8:$C$1013)-7),23)),"")</f>
        <v/>
      </c>
      <c r="E67" s="46" t="str">
        <f t="array" ref="E67">IFERROR(INDEX(출고!$H$8:$H$1013,SMALL(IF(출고!$C$8:$C$1013=마스터!$M$5,ROW(출고!$C$8:$C$1013)-7),23)),"")</f>
        <v/>
      </c>
      <c r="F67" s="46" t="str">
        <f t="array" ref="F67">IFERROR(INDEX(출고!$I$8:$I$1013,SMALL(IF(출고!$C$8:$C$1013=마스터!$M$5,ROW(출고!$C$8:$C$1013)-7),23)),"")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IFERROR(INDEX(출고!$B$8:$B$1013,SMALL(IF(출고!$C$8:$C$1013=마스터!$M$5,ROW(출고!$C$8:$C$1013)-7),24)),"")</f>
        <v/>
      </c>
      <c r="C68" s="11" t="str">
        <f t="array" ref="C68">IFERROR(INDEX(출고!$E$8:$E$1013,SMALL(IF(출고!$C$8:$C$1013=마스터!$M$5,ROW(출고!$C$8:$C$1013)-7),24)),"")</f>
        <v/>
      </c>
      <c r="D68" s="13" t="str">
        <f t="array" ref="D68">IFERROR(INDEX(출고!$F$8:$F$1013,SMALL(IF(출고!$C$8:$C$1013=마스터!$M$5,ROW(출고!$C$8:$C$1013)-7),24)),"")</f>
        <v/>
      </c>
      <c r="E68" s="50" t="str">
        <f t="array" ref="E68">IFERROR(INDEX(출고!$H$8:$H$1013,SMALL(IF(출고!$C$8:$C$1013=마스터!$M$5,ROW(출고!$C$8:$C$1013)-7),24)),"")</f>
        <v/>
      </c>
      <c r="F68" s="50" t="str">
        <f t="array" ref="F68">IFERROR(INDEX(출고!$I$8:$I$1013,SMALL(IF(출고!$C$8:$C$1013=마스터!$M$5,ROW(출고!$C$8:$C$1013)-7),24)),"")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IFERROR(INDEX(출고!$B$8:$B$1013,SMALL(IF(출고!$C$8:$C$1013=마스터!$M$5,ROW(출고!$C$8:$C$1013)-7),25)),"")</f>
        <v/>
      </c>
      <c r="C69" s="6" t="str">
        <f t="array" ref="C69">IFERROR(INDEX(출고!$E$8:$E$1013,SMALL(IF(출고!$C$8:$C$1013=마스터!$M$5,ROW(출고!$C$8:$C$1013)-7),25)),"")</f>
        <v/>
      </c>
      <c r="D69" s="8" t="str">
        <f t="array" ref="D69">IFERROR(INDEX(출고!$F$8:$F$1013,SMALL(IF(출고!$C$8:$C$1013=마스터!$M$5,ROW(출고!$C$8:$C$1013)-7),25)),"")</f>
        <v/>
      </c>
      <c r="E69" s="46" t="str">
        <f t="array" ref="E69">IFERROR(INDEX(출고!$H$8:$H$1013,SMALL(IF(출고!$C$8:$C$1013=마스터!$M$5,ROW(출고!$C$8:$C$1013)-7),25)),"")</f>
        <v/>
      </c>
      <c r="F69" s="46" t="str">
        <f t="array" ref="F69">IFERROR(INDEX(출고!$I$8:$I$1013,SMALL(IF(출고!$C$8:$C$1013=마스터!$M$5,ROW(출고!$C$8:$C$1013)-7),25)),"")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IFERROR(INDEX(출고!$B$8:$B$1013,SMALL(IF(출고!$C$8:$C$1013=마스터!$M$5,ROW(출고!$C$8:$C$1013)-7),26)),"")</f>
        <v/>
      </c>
      <c r="C70" s="11" t="str">
        <f t="array" ref="C70">IFERROR(INDEX(출고!$E$8:$E$1013,SMALL(IF(출고!$C$8:$C$1013=마스터!$M$5,ROW(출고!$C$8:$C$1013)-7),26)),"")</f>
        <v/>
      </c>
      <c r="D70" s="13" t="str">
        <f t="array" ref="D70">IFERROR(INDEX(출고!$F$8:$F$1013,SMALL(IF(출고!$C$8:$C$1013=마스터!$M$5,ROW(출고!$C$8:$C$1013)-7),26)),"")</f>
        <v/>
      </c>
      <c r="E70" s="50" t="str">
        <f t="array" ref="E70">IFERROR(INDEX(출고!$H$8:$H$1013,SMALL(IF(출고!$C$8:$C$1013=마스터!$M$5,ROW(출고!$C$8:$C$1013)-7),26)),"")</f>
        <v/>
      </c>
      <c r="F70" s="50" t="str">
        <f t="array" ref="F70">IFERROR(INDEX(출고!$I$8:$I$1013,SMALL(IF(출고!$C$8:$C$1013=마스터!$M$5,ROW(출고!$C$8:$C$1013)-7),26)),"")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IFERROR(INDEX(출고!$B$8:$B$1013,SMALL(IF(출고!$C$8:$C$1013=마스터!$M$5,ROW(출고!$C$8:$C$1013)-7),27)),"")</f>
        <v/>
      </c>
      <c r="C71" s="6" t="str">
        <f t="array" ref="C71">IFERROR(INDEX(출고!$E$8:$E$1013,SMALL(IF(출고!$C$8:$C$1013=마스터!$M$5,ROW(출고!$C$8:$C$1013)-7),27)),"")</f>
        <v/>
      </c>
      <c r="D71" s="8" t="str">
        <f t="array" ref="D71">IFERROR(INDEX(출고!$F$8:$F$1013,SMALL(IF(출고!$C$8:$C$1013=마스터!$M$5,ROW(출고!$C$8:$C$1013)-7),27)),"")</f>
        <v/>
      </c>
      <c r="E71" s="46" t="str">
        <f t="array" ref="E71">IFERROR(INDEX(출고!$H$8:$H$1013,SMALL(IF(출고!$C$8:$C$1013=마스터!$M$5,ROW(출고!$C$8:$C$1013)-7),27)),"")</f>
        <v/>
      </c>
      <c r="F71" s="46" t="str">
        <f t="array" ref="F71">IFERROR(INDEX(출고!$I$8:$I$1013,SMALL(IF(출고!$C$8:$C$1013=마스터!$M$5,ROW(출고!$C$8:$C$1013)-7),27)),"")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IFERROR(INDEX(출고!$B$8:$B$1013,SMALL(IF(출고!$C$8:$C$1013=마스터!$M$5,ROW(출고!$C$8:$C$1013)-7),28)),"")</f>
        <v/>
      </c>
      <c r="C72" s="11" t="str">
        <f t="array" ref="C72">IFERROR(INDEX(출고!$E$8:$E$1013,SMALL(IF(출고!$C$8:$C$1013=마스터!$M$5,ROW(출고!$C$8:$C$1013)-7),28)),"")</f>
        <v/>
      </c>
      <c r="D72" s="13" t="str">
        <f t="array" ref="D72">IFERROR(INDEX(출고!$F$8:$F$1013,SMALL(IF(출고!$C$8:$C$1013=마스터!$M$5,ROW(출고!$C$8:$C$1013)-7),28)),"")</f>
        <v/>
      </c>
      <c r="E72" s="50" t="str">
        <f t="array" ref="E72">IFERROR(INDEX(출고!$H$8:$H$1013,SMALL(IF(출고!$C$8:$C$1013=마스터!$M$5,ROW(출고!$C$8:$C$1013)-7),28)),"")</f>
        <v/>
      </c>
      <c r="F72" s="50" t="str">
        <f t="array" ref="F72">IFERROR(INDEX(출고!$I$8:$I$1013,SMALL(IF(출고!$C$8:$C$1013=마스터!$M$5,ROW(출고!$C$8:$C$1013)-7),28)),"")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IFERROR(INDEX(출고!$B$8:$B$1013,SMALL(IF(출고!$C$8:$C$1013=마스터!$M$5,ROW(출고!$C$8:$C$1013)-7),29)),"")</f>
        <v/>
      </c>
      <c r="C73" s="6" t="str">
        <f t="array" ref="C73">IFERROR(INDEX(출고!$E$8:$E$1013,SMALL(IF(출고!$C$8:$C$1013=마스터!$M$5,ROW(출고!$C$8:$C$1013)-7),29)),"")</f>
        <v/>
      </c>
      <c r="D73" s="8" t="str">
        <f t="array" ref="D73">IFERROR(INDEX(출고!$F$8:$F$1013,SMALL(IF(출고!$C$8:$C$1013=마스터!$M$5,ROW(출고!$C$8:$C$1013)-7),29)),"")</f>
        <v/>
      </c>
      <c r="E73" s="46" t="str">
        <f t="array" ref="E73">IFERROR(INDEX(출고!$H$8:$H$1013,SMALL(IF(출고!$C$8:$C$1013=마스터!$M$5,ROW(출고!$C$8:$C$1013)-7),29)),"")</f>
        <v/>
      </c>
      <c r="F73" s="46" t="str">
        <f t="array" ref="F73">IFERROR(INDEX(출고!$I$8:$I$1013,SMALL(IF(출고!$C$8:$C$1013=마스터!$M$5,ROW(출고!$C$8:$C$1013)-7),29)),"")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IFERROR(INDEX(출고!$B$8:$B$1013,SMALL(IF(출고!$C$8:$C$1013=마스터!$M$5,ROW(출고!$C$8:$C$1013)-7),30)),"")</f>
        <v/>
      </c>
      <c r="C74" s="11" t="str">
        <f t="array" ref="C74">IFERROR(INDEX(출고!$E$8:$E$1013,SMALL(IF(출고!$C$8:$C$1013=마스터!$M$5,ROW(출고!$C$8:$C$1013)-7),30)),"")</f>
        <v/>
      </c>
      <c r="D74" s="13" t="str">
        <f t="array" ref="D74">IFERROR(INDEX(출고!$F$8:$F$1013,SMALL(IF(출고!$C$8:$C$1013=마스터!$M$5,ROW(출고!$C$8:$C$1013)-7),30)),"")</f>
        <v/>
      </c>
      <c r="E74" s="50" t="str">
        <f t="array" ref="E74">IFERROR(INDEX(출고!$H$8:$H$1013,SMALL(IF(출고!$C$8:$C$1013=마스터!$M$5,ROW(출고!$C$8:$C$1013)-7),30)),"")</f>
        <v/>
      </c>
      <c r="F74" s="50" t="str">
        <f t="array" ref="F74">IFERROR(INDEX(출고!$I$8:$I$1013,SMALL(IF(출고!$C$8:$C$1013=마스터!$M$5,ROW(출고!$C$8:$C$1013)-7),30)),"")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IFERROR(INDEX(입고!$E$8:$E$1013,SMALL(IF((입고!$C$8:$C$1013=마스터!$M$5)*(입고!$AC$8:$AC$1013=1),ROW(입고!$C$8:$C$1013)-7),1)),"")</f>
        <v>260109CW002</v>
      </c>
      <c r="C78" s="8">
        <f>IF(B78="","",SUMIFS(입고!$F$8:$F$1013,입고!$C$8:$C$1013,마스터!$M$5,입고!$E$8:$E$1013,B78))</f>
        <v>34</v>
      </c>
      <c r="D78" s="8">
        <f>IF(B78="","",SUMIFS(출고!$F$8:$F$1013,출고!$C$8:$C$1013,마스터!$M$5,출고!$E$8:$E$1013,B78))</f>
        <v>5</v>
      </c>
      <c r="E78" s="40">
        <f t="shared" ref="E78:E107" si="5">IF(B78="","",C78-D78)</f>
        <v>29</v>
      </c>
    </row>
    <row r="79" spans="1:7" ht="23.25" customHeight="1" x14ac:dyDescent="0.25">
      <c r="A79" s="11" t="str">
        <f t="shared" si="4"/>
        <v/>
      </c>
      <c r="B79" s="11" t="str">
        <f t="array" ref="B79">IFERROR(INDEX(입고!$E$8:$E$1013,SMALL(IF((입고!$C$8:$C$1013=마스터!$M$5)*(입고!$AC$8:$AC$1013=1),ROW(입고!$C$8:$C$1013)-7),2)),"")</f>
        <v/>
      </c>
      <c r="C79" s="13" t="str">
        <f>IF(B79="","",SUMIFS(입고!$F$8:$F$1013,입고!$C$8:$C$1013,마스터!$M$5,입고!$E$8:$E$1013,B79))</f>
        <v/>
      </c>
      <c r="D79" s="13" t="str">
        <f>IF(B79="","",SUMIFS(출고!$F$8:$F$1013,출고!$C$8:$C$1013,마스터!$M$5,출고!$E$8:$E$1013,B79))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IFERROR(INDEX(입고!$E$8:$E$1013,SMALL(IF((입고!$C$8:$C$1013=마스터!$M$5)*(입고!$AC$8:$AC$1013=1),ROW(입고!$C$8:$C$1013)-7),3)),"")</f>
        <v/>
      </c>
      <c r="C80" s="8" t="str">
        <f>IF(B80="","",SUMIFS(입고!$F$8:$F$1013,입고!$C$8:$C$1013,마스터!$M$5,입고!$E$8:$E$1013,B80))</f>
        <v/>
      </c>
      <c r="D80" s="8" t="str">
        <f>IF(B80="","",SUMIFS(출고!$F$8:$F$1013,출고!$C$8:$C$1013,마스터!$M$5,출고!$E$8:$E$1013,B80))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IFERROR(INDEX(입고!$E$8:$E$1013,SMALL(IF((입고!$C$8:$C$1013=마스터!$M$5)*(입고!$AC$8:$AC$1013=1),ROW(입고!$C$8:$C$1013)-7),4)),"")</f>
        <v/>
      </c>
      <c r="C81" s="13" t="str">
        <f>IF(B81="","",SUMIFS(입고!$F$8:$F$1013,입고!$C$8:$C$1013,마스터!$M$5,입고!$E$8:$E$1013,B81))</f>
        <v/>
      </c>
      <c r="D81" s="13" t="str">
        <f>IF(B81="","",SUMIFS(출고!$F$8:$F$1013,출고!$C$8:$C$1013,마스터!$M$5,출고!$E$8:$E$1013,B81))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IFERROR(INDEX(입고!$E$8:$E$1013,SMALL(IF((입고!$C$8:$C$1013=마스터!$M$5)*(입고!$AC$8:$AC$1013=1),ROW(입고!$C$8:$C$1013)-7),5)),"")</f>
        <v/>
      </c>
      <c r="C82" s="8" t="str">
        <f>IF(B82="","",SUMIFS(입고!$F$8:$F$1013,입고!$C$8:$C$1013,마스터!$M$5,입고!$E$8:$E$1013,B82))</f>
        <v/>
      </c>
      <c r="D82" s="8" t="str">
        <f>IF(B82="","",SUMIFS(출고!$F$8:$F$1013,출고!$C$8:$C$1013,마스터!$M$5,출고!$E$8:$E$1013,B82))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IFERROR(INDEX(입고!$E$8:$E$1013,SMALL(IF((입고!$C$8:$C$1013=마스터!$M$5)*(입고!$AC$8:$AC$1013=1),ROW(입고!$C$8:$C$1013)-7),6)),"")</f>
        <v/>
      </c>
      <c r="C83" s="13" t="str">
        <f>IF(B83="","",SUMIFS(입고!$F$8:$F$1013,입고!$C$8:$C$1013,마스터!$M$5,입고!$E$8:$E$1013,B83))</f>
        <v/>
      </c>
      <c r="D83" s="13" t="str">
        <f>IF(B83="","",SUMIFS(출고!$F$8:$F$1013,출고!$C$8:$C$1013,마스터!$M$5,출고!$E$8:$E$1013,B83))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IFERROR(INDEX(입고!$E$8:$E$1013,SMALL(IF((입고!$C$8:$C$1013=마스터!$M$5)*(입고!$AC$8:$AC$1013=1),ROW(입고!$C$8:$C$1013)-7),7)),"")</f>
        <v/>
      </c>
      <c r="C84" s="8" t="str">
        <f>IF(B84="","",SUMIFS(입고!$F$8:$F$1013,입고!$C$8:$C$1013,마스터!$M$5,입고!$E$8:$E$1013,B84))</f>
        <v/>
      </c>
      <c r="D84" s="8" t="str">
        <f>IF(B84="","",SUMIFS(출고!$F$8:$F$1013,출고!$C$8:$C$1013,마스터!$M$5,출고!$E$8:$E$1013,B84))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IFERROR(INDEX(입고!$E$8:$E$1013,SMALL(IF((입고!$C$8:$C$1013=마스터!$M$5)*(입고!$AC$8:$AC$1013=1),ROW(입고!$C$8:$C$1013)-7),8)),"")</f>
        <v/>
      </c>
      <c r="C85" s="13" t="str">
        <f>IF(B85="","",SUMIFS(입고!$F$8:$F$1013,입고!$C$8:$C$1013,마스터!$M$5,입고!$E$8:$E$1013,B85))</f>
        <v/>
      </c>
      <c r="D85" s="13" t="str">
        <f>IF(B85="","",SUMIFS(출고!$F$8:$F$1013,출고!$C$8:$C$1013,마스터!$M$5,출고!$E$8:$E$1013,B85))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IFERROR(INDEX(입고!$E$8:$E$1013,SMALL(IF((입고!$C$8:$C$1013=마스터!$M$5)*(입고!$AC$8:$AC$1013=1),ROW(입고!$C$8:$C$1013)-7),9)),"")</f>
        <v/>
      </c>
      <c r="C86" s="8" t="str">
        <f>IF(B86="","",SUMIFS(입고!$F$8:$F$1013,입고!$C$8:$C$1013,마스터!$M$5,입고!$E$8:$E$1013,B86))</f>
        <v/>
      </c>
      <c r="D86" s="8" t="str">
        <f>IF(B86="","",SUMIFS(출고!$F$8:$F$1013,출고!$C$8:$C$1013,마스터!$M$5,출고!$E$8:$E$1013,B86))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IFERROR(INDEX(입고!$E$8:$E$1013,SMALL(IF((입고!$C$8:$C$1013=마스터!$M$5)*(입고!$AC$8:$AC$1013=1),ROW(입고!$C$8:$C$1013)-7),10)),"")</f>
        <v/>
      </c>
      <c r="C87" s="13" t="str">
        <f>IF(B87="","",SUMIFS(입고!$F$8:$F$1013,입고!$C$8:$C$1013,마스터!$M$5,입고!$E$8:$E$1013,B87))</f>
        <v/>
      </c>
      <c r="D87" s="13" t="str">
        <f>IF(B87="","",SUMIFS(출고!$F$8:$F$1013,출고!$C$8:$C$1013,마스터!$M$5,출고!$E$8:$E$1013,B87))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IFERROR(INDEX(입고!$E$8:$E$1013,SMALL(IF((입고!$C$8:$C$1013=마스터!$M$5)*(입고!$AC$8:$AC$1013=1),ROW(입고!$C$8:$C$1013)-7),11)),"")</f>
        <v/>
      </c>
      <c r="C88" s="8" t="str">
        <f>IF(B88="","",SUMIFS(입고!$F$8:$F$1013,입고!$C$8:$C$1013,마스터!$M$5,입고!$E$8:$E$1013,B88))</f>
        <v/>
      </c>
      <c r="D88" s="8" t="str">
        <f>IF(B88="","",SUMIFS(출고!$F$8:$F$1013,출고!$C$8:$C$1013,마스터!$M$5,출고!$E$8:$E$1013,B88))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IFERROR(INDEX(입고!$E$8:$E$1013,SMALL(IF((입고!$C$8:$C$1013=마스터!$M$5)*(입고!$AC$8:$AC$1013=1),ROW(입고!$C$8:$C$1013)-7),12)),"")</f>
        <v/>
      </c>
      <c r="C89" s="13" t="str">
        <f>IF(B89="","",SUMIFS(입고!$F$8:$F$1013,입고!$C$8:$C$1013,마스터!$M$5,입고!$E$8:$E$1013,B89))</f>
        <v/>
      </c>
      <c r="D89" s="13" t="str">
        <f>IF(B89="","",SUMIFS(출고!$F$8:$F$1013,출고!$C$8:$C$1013,마스터!$M$5,출고!$E$8:$E$1013,B89))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IFERROR(INDEX(입고!$E$8:$E$1013,SMALL(IF((입고!$C$8:$C$1013=마스터!$M$5)*(입고!$AC$8:$AC$1013=1),ROW(입고!$C$8:$C$1013)-7),13)),"")</f>
        <v/>
      </c>
      <c r="C90" s="8" t="str">
        <f>IF(B90="","",SUMIFS(입고!$F$8:$F$1013,입고!$C$8:$C$1013,마스터!$M$5,입고!$E$8:$E$1013,B90))</f>
        <v/>
      </c>
      <c r="D90" s="8" t="str">
        <f>IF(B90="","",SUMIFS(출고!$F$8:$F$1013,출고!$C$8:$C$1013,마스터!$M$5,출고!$E$8:$E$1013,B90))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IFERROR(INDEX(입고!$E$8:$E$1013,SMALL(IF((입고!$C$8:$C$1013=마스터!$M$5)*(입고!$AC$8:$AC$1013=1),ROW(입고!$C$8:$C$1013)-7),14)),"")</f>
        <v/>
      </c>
      <c r="C91" s="13" t="str">
        <f>IF(B91="","",SUMIFS(입고!$F$8:$F$1013,입고!$C$8:$C$1013,마스터!$M$5,입고!$E$8:$E$1013,B91))</f>
        <v/>
      </c>
      <c r="D91" s="13" t="str">
        <f>IF(B91="","",SUMIFS(출고!$F$8:$F$1013,출고!$C$8:$C$1013,마스터!$M$5,출고!$E$8:$E$1013,B91))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IFERROR(INDEX(입고!$E$8:$E$1013,SMALL(IF((입고!$C$8:$C$1013=마스터!$M$5)*(입고!$AC$8:$AC$1013=1),ROW(입고!$C$8:$C$1013)-7),15)),"")</f>
        <v/>
      </c>
      <c r="C92" s="8" t="str">
        <f>IF(B92="","",SUMIFS(입고!$F$8:$F$1013,입고!$C$8:$C$1013,마스터!$M$5,입고!$E$8:$E$1013,B92))</f>
        <v/>
      </c>
      <c r="D92" s="8" t="str">
        <f>IF(B92="","",SUMIFS(출고!$F$8:$F$1013,출고!$C$8:$C$1013,마스터!$M$5,출고!$E$8:$E$1013,B92))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IFERROR(INDEX(입고!$E$8:$E$1013,SMALL(IF((입고!$C$8:$C$1013=마스터!$M$5)*(입고!$AC$8:$AC$1013=1),ROW(입고!$C$8:$C$1013)-7),16)),"")</f>
        <v/>
      </c>
      <c r="C93" s="13" t="str">
        <f>IF(B93="","",SUMIFS(입고!$F$8:$F$1013,입고!$C$8:$C$1013,마스터!$M$5,입고!$E$8:$E$1013,B93))</f>
        <v/>
      </c>
      <c r="D93" s="13" t="str">
        <f>IF(B93="","",SUMIFS(출고!$F$8:$F$1013,출고!$C$8:$C$1013,마스터!$M$5,출고!$E$8:$E$1013,B93))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IFERROR(INDEX(입고!$E$8:$E$1013,SMALL(IF((입고!$C$8:$C$1013=마스터!$M$5)*(입고!$AC$8:$AC$1013=1),ROW(입고!$C$8:$C$1013)-7),17)),"")</f>
        <v/>
      </c>
      <c r="C94" s="8" t="str">
        <f>IF(B94="","",SUMIFS(입고!$F$8:$F$1013,입고!$C$8:$C$1013,마스터!$M$5,입고!$E$8:$E$1013,B94))</f>
        <v/>
      </c>
      <c r="D94" s="8" t="str">
        <f>IF(B94="","",SUMIFS(출고!$F$8:$F$1013,출고!$C$8:$C$1013,마스터!$M$5,출고!$E$8:$E$1013,B94))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IFERROR(INDEX(입고!$E$8:$E$1013,SMALL(IF((입고!$C$8:$C$1013=마스터!$M$5)*(입고!$AC$8:$AC$1013=1),ROW(입고!$C$8:$C$1013)-7),18)),"")</f>
        <v/>
      </c>
      <c r="C95" s="13" t="str">
        <f>IF(B95="","",SUMIFS(입고!$F$8:$F$1013,입고!$C$8:$C$1013,마스터!$M$5,입고!$E$8:$E$1013,B95))</f>
        <v/>
      </c>
      <c r="D95" s="13" t="str">
        <f>IF(B95="","",SUMIFS(출고!$F$8:$F$1013,출고!$C$8:$C$1013,마스터!$M$5,출고!$E$8:$E$1013,B95))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IFERROR(INDEX(입고!$E$8:$E$1013,SMALL(IF((입고!$C$8:$C$1013=마스터!$M$5)*(입고!$AC$8:$AC$1013=1),ROW(입고!$C$8:$C$1013)-7),19)),"")</f>
        <v/>
      </c>
      <c r="C96" s="8" t="str">
        <f>IF(B96="","",SUMIFS(입고!$F$8:$F$1013,입고!$C$8:$C$1013,마스터!$M$5,입고!$E$8:$E$1013,B96))</f>
        <v/>
      </c>
      <c r="D96" s="8" t="str">
        <f>IF(B96="","",SUMIFS(출고!$F$8:$F$1013,출고!$C$8:$C$1013,마스터!$M$5,출고!$E$8:$E$1013,B96))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IFERROR(INDEX(입고!$E$8:$E$1013,SMALL(IF((입고!$C$8:$C$1013=마스터!$M$5)*(입고!$AC$8:$AC$1013=1),ROW(입고!$C$8:$C$1013)-7),20)),"")</f>
        <v/>
      </c>
      <c r="C97" s="13" t="str">
        <f>IF(B97="","",SUMIFS(입고!$F$8:$F$1013,입고!$C$8:$C$1013,마스터!$M$5,입고!$E$8:$E$1013,B97))</f>
        <v/>
      </c>
      <c r="D97" s="13" t="str">
        <f>IF(B97="","",SUMIFS(출고!$F$8:$F$1013,출고!$C$8:$C$1013,마스터!$M$5,출고!$E$8:$E$1013,B97))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IFERROR(INDEX(입고!$E$8:$E$1013,SMALL(IF((입고!$C$8:$C$1013=마스터!$M$5)*(입고!$AC$8:$AC$1013=1),ROW(입고!$C$8:$C$1013)-7),21)),"")</f>
        <v/>
      </c>
      <c r="C98" s="8" t="str">
        <f>IF(B98="","",SUMIFS(입고!$F$8:$F$1013,입고!$C$8:$C$1013,마스터!$M$5,입고!$E$8:$E$1013,B98))</f>
        <v/>
      </c>
      <c r="D98" s="8" t="str">
        <f>IF(B98="","",SUMIFS(출고!$F$8:$F$1013,출고!$C$8:$C$1013,마스터!$M$5,출고!$E$8:$E$1013,B98))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IFERROR(INDEX(입고!$E$8:$E$1013,SMALL(IF((입고!$C$8:$C$1013=마스터!$M$5)*(입고!$AC$8:$AC$1013=1),ROW(입고!$C$8:$C$1013)-7),22)),"")</f>
        <v/>
      </c>
      <c r="C99" s="13" t="str">
        <f>IF(B99="","",SUMIFS(입고!$F$8:$F$1013,입고!$C$8:$C$1013,마스터!$M$5,입고!$E$8:$E$1013,B99))</f>
        <v/>
      </c>
      <c r="D99" s="13" t="str">
        <f>IF(B99="","",SUMIFS(출고!$F$8:$F$1013,출고!$C$8:$C$1013,마스터!$M$5,출고!$E$8:$E$1013,B99))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IFERROR(INDEX(입고!$E$8:$E$1013,SMALL(IF((입고!$C$8:$C$1013=마스터!$M$5)*(입고!$AC$8:$AC$1013=1),ROW(입고!$C$8:$C$1013)-7),23)),"")</f>
        <v/>
      </c>
      <c r="C100" s="8" t="str">
        <f>IF(B100="","",SUMIFS(입고!$F$8:$F$1013,입고!$C$8:$C$1013,마스터!$M$5,입고!$E$8:$E$1013,B100))</f>
        <v/>
      </c>
      <c r="D100" s="8" t="str">
        <f>IF(B100="","",SUMIFS(출고!$F$8:$F$1013,출고!$C$8:$C$1013,마스터!$M$5,출고!$E$8:$E$1013,B100))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IFERROR(INDEX(입고!$E$8:$E$1013,SMALL(IF((입고!$C$8:$C$1013=마스터!$M$5)*(입고!$AC$8:$AC$1013=1),ROW(입고!$C$8:$C$1013)-7),24)),"")</f>
        <v/>
      </c>
      <c r="C101" s="13" t="str">
        <f>IF(B101="","",SUMIFS(입고!$F$8:$F$1013,입고!$C$8:$C$1013,마스터!$M$5,입고!$E$8:$E$1013,B101))</f>
        <v/>
      </c>
      <c r="D101" s="13" t="str">
        <f>IF(B101="","",SUMIFS(출고!$F$8:$F$1013,출고!$C$8:$C$1013,마스터!$M$5,출고!$E$8:$E$1013,B101))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IFERROR(INDEX(입고!$E$8:$E$1013,SMALL(IF((입고!$C$8:$C$1013=마스터!$M$5)*(입고!$AC$8:$AC$1013=1),ROW(입고!$C$8:$C$1013)-7),25)),"")</f>
        <v/>
      </c>
      <c r="C102" s="8" t="str">
        <f>IF(B102="","",SUMIFS(입고!$F$8:$F$1013,입고!$C$8:$C$1013,마스터!$M$5,입고!$E$8:$E$1013,B102))</f>
        <v/>
      </c>
      <c r="D102" s="8" t="str">
        <f>IF(B102="","",SUMIFS(출고!$F$8:$F$1013,출고!$C$8:$C$1013,마스터!$M$5,출고!$E$8:$E$1013,B102))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IFERROR(INDEX(입고!$E$8:$E$1013,SMALL(IF((입고!$C$8:$C$1013=마스터!$M$5)*(입고!$AC$8:$AC$1013=1),ROW(입고!$C$8:$C$1013)-7),26)),"")</f>
        <v/>
      </c>
      <c r="C103" s="13" t="str">
        <f>IF(B103="","",SUMIFS(입고!$F$8:$F$1013,입고!$C$8:$C$1013,마스터!$M$5,입고!$E$8:$E$1013,B103))</f>
        <v/>
      </c>
      <c r="D103" s="13" t="str">
        <f>IF(B103="","",SUMIFS(출고!$F$8:$F$1013,출고!$C$8:$C$1013,마스터!$M$5,출고!$E$8:$E$1013,B103))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IFERROR(INDEX(입고!$E$8:$E$1013,SMALL(IF((입고!$C$8:$C$1013=마스터!$M$5)*(입고!$AC$8:$AC$1013=1),ROW(입고!$C$8:$C$1013)-7),27)),"")</f>
        <v/>
      </c>
      <c r="C104" s="8" t="str">
        <f>IF(B104="","",SUMIFS(입고!$F$8:$F$1013,입고!$C$8:$C$1013,마스터!$M$5,입고!$E$8:$E$1013,B104))</f>
        <v/>
      </c>
      <c r="D104" s="8" t="str">
        <f>IF(B104="","",SUMIFS(출고!$F$8:$F$1013,출고!$C$8:$C$1013,마스터!$M$5,출고!$E$8:$E$1013,B104))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IFERROR(INDEX(입고!$E$8:$E$1013,SMALL(IF((입고!$C$8:$C$1013=마스터!$M$5)*(입고!$AC$8:$AC$1013=1),ROW(입고!$C$8:$C$1013)-7),28)),"")</f>
        <v/>
      </c>
      <c r="C105" s="13" t="str">
        <f>IF(B105="","",SUMIFS(입고!$F$8:$F$1013,입고!$C$8:$C$1013,마스터!$M$5,입고!$E$8:$E$1013,B105))</f>
        <v/>
      </c>
      <c r="D105" s="13" t="str">
        <f>IF(B105="","",SUMIFS(출고!$F$8:$F$1013,출고!$C$8:$C$1013,마스터!$M$5,출고!$E$8:$E$1013,B105))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IFERROR(INDEX(입고!$E$8:$E$1013,SMALL(IF((입고!$C$8:$C$1013=마스터!$M$5)*(입고!$AC$8:$AC$1013=1),ROW(입고!$C$8:$C$1013)-7),29)),"")</f>
        <v/>
      </c>
      <c r="C106" s="8" t="str">
        <f>IF(B106="","",SUMIFS(입고!$F$8:$F$1013,입고!$C$8:$C$1013,마스터!$M$5,입고!$E$8:$E$1013,B106))</f>
        <v/>
      </c>
      <c r="D106" s="8" t="str">
        <f>IF(B106="","",SUMIFS(출고!$F$8:$F$1013,출고!$C$8:$C$1013,마스터!$M$5,출고!$E$8:$E$1013,B106))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IFERROR(INDEX(입고!$E$8:$E$1013,SMALL(IF((입고!$C$8:$C$1013=마스터!$M$5)*(입고!$AC$8:$AC$1013=1),ROW(입고!$C$8:$C$1013)-7),30)),"")</f>
        <v/>
      </c>
      <c r="C107" s="13" t="str">
        <f>IF(B107="","",SUMIFS(입고!$F$8:$F$1013,입고!$C$8:$C$1013,마스터!$M$5,입고!$E$8:$E$1013,B107))</f>
        <v/>
      </c>
      <c r="D107" s="13" t="str">
        <f>IF(B107="","",SUMIFS(출고!$F$8:$F$1013,출고!$C$8:$C$1013,마스터!$M$5,출고!$E$8:$E$1013,B107))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5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CONCATENATE("[03] ", 마스터!D6, "  |  ", 마스터!F6)</f>
        <v>[03] 세라믹울 96K 국산  |  38T × 600W × 4800L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마스터!D6</f>
        <v>세라믹울 96K 국산</v>
      </c>
      <c r="D4" s="1" t="s">
        <v>11</v>
      </c>
      <c r="E4" s="53">
        <f>SUMIFS(입고!$F$8:$F$1013,입고!$C$8:$C$1013,마스터!$M$6)</f>
        <v>55</v>
      </c>
    </row>
    <row r="5" spans="1:9" ht="15" customHeight="1" x14ac:dyDescent="0.25">
      <c r="A5" s="1" t="s">
        <v>7</v>
      </c>
      <c r="B5" s="52" t="str">
        <f>마스터!E6</f>
        <v>386004800</v>
      </c>
      <c r="D5" s="1" t="s">
        <v>12</v>
      </c>
      <c r="E5" s="53">
        <f>SUMIFS(출고!$F$8:$F$1013,출고!$C$8:$C$1013,마스터!$M$6)</f>
        <v>0</v>
      </c>
    </row>
    <row r="6" spans="1:9" ht="23.25" customHeight="1" x14ac:dyDescent="0.25">
      <c r="A6" s="1" t="s">
        <v>26</v>
      </c>
      <c r="B6" s="52" t="str">
        <f>마스터!F6</f>
        <v>38T × 600W × 4800L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마스터!M6</f>
        <v>96K국산 38T × 600W × 4800L</v>
      </c>
      <c r="D7" s="1" t="s">
        <v>13</v>
      </c>
      <c r="E7" s="54">
        <f>마스터!$K$6+E4-E5</f>
        <v>55</v>
      </c>
    </row>
    <row r="8" spans="1:9" ht="15" customHeight="1" x14ac:dyDescent="0.25">
      <c r="A8" s="1" t="s">
        <v>10</v>
      </c>
      <c r="B8" s="53">
        <f>마스터!K6</f>
        <v>0</v>
      </c>
      <c r="D8" s="1" t="s">
        <v>123</v>
      </c>
      <c r="E8" s="55">
        <f t="array" ref="E8">IFERROR(MAX(MAX(IF(입고!$C$8:$C$1013=마스터!$M$6,입고!$B$8:$B$1013)),MAX(IF(출고!$C$8:$C$1013=마스터!$M$6,출고!$B$8:$B$1013))),"-")</f>
        <v>45947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IFERROR(INDEX(입고!$B$8:$B$1013,SMALL(IF(입고!$C$8:$C$1013=마스터!$M$6,ROW(입고!$C$8:$C$1013)-7),1)),"")</f>
        <v>45947</v>
      </c>
      <c r="C12" s="6" t="str">
        <f t="array" ref="C12">IFERROR(INDEX(입고!$E$8:$E$1013,SMALL(IF(입고!$C$8:$C$1013=마스터!$M$6,ROW(입고!$C$8:$C$1013)-7),1)),"")</f>
        <v>R251017CW002</v>
      </c>
      <c r="D12" s="8">
        <f t="array" ref="D12">IFERROR(INDEX(입고!$F$8:$F$1013,SMALL(IF(입고!$C$8:$C$1013=마스터!$M$6,ROW(입고!$C$8:$C$1013)-7),1)),"")</f>
        <v>55</v>
      </c>
      <c r="E12" s="46" t="str">
        <f t="array" ref="E12">IFERROR(INDEX(입고!$H$8:$H$1013,SMALL(IF(입고!$C$8:$C$1013=마스터!$M$6,ROW(입고!$C$8:$C$1013)-7),1)),"")</f>
        <v>(초기재고)</v>
      </c>
      <c r="F12" s="46" t="str">
        <f t="array" ref="F12">IFERROR(INDEX(입고!$I$8:$I$1013,SMALL(IF(입고!$C$8:$C$1013=마스터!$M$6,ROW(입고!$C$8:$C$1013)-7),1)),"")</f>
        <v>2026-02-12 기준</v>
      </c>
      <c r="G12" s="57">
        <f>IF(B12="","",IFERROR(D12,0))</f>
        <v>55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IFERROR(INDEX(입고!$B$8:$B$1013,SMALL(IF(입고!$C$8:$C$1013=마스터!$M$6,ROW(입고!$C$8:$C$1013)-7),2)),"")</f>
        <v/>
      </c>
      <c r="C13" s="11" t="str">
        <f t="array" ref="C13">IFERROR(INDEX(입고!$E$8:$E$1013,SMALL(IF(입고!$C$8:$C$1013=마스터!$M$6,ROW(입고!$C$8:$C$1013)-7),2)),"")</f>
        <v/>
      </c>
      <c r="D13" s="13" t="str">
        <f t="array" ref="D13">IFERROR(INDEX(입고!$F$8:$F$1013,SMALL(IF(입고!$C$8:$C$1013=마스터!$M$6,ROW(입고!$C$8:$C$1013)-7),2)),"")</f>
        <v/>
      </c>
      <c r="E13" s="50" t="str">
        <f t="array" ref="E13">IFERROR(INDEX(입고!$H$8:$H$1013,SMALL(IF(입고!$C$8:$C$1013=마스터!$M$6,ROW(입고!$C$8:$C$1013)-7),2)),"")</f>
        <v/>
      </c>
      <c r="F13" s="50" t="str">
        <f t="array" ref="F13">IFERROR(INDEX(입고!$I$8:$I$1013,SMALL(IF(입고!$C$8:$C$1013=마스터!$M$6,ROW(입고!$C$8:$C$1013)-7),2)),"")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IFERROR(INDEX(입고!$B$8:$B$1013,SMALL(IF(입고!$C$8:$C$1013=마스터!$M$6,ROW(입고!$C$8:$C$1013)-7),3)),"")</f>
        <v/>
      </c>
      <c r="C14" s="6" t="str">
        <f t="array" ref="C14">IFERROR(INDEX(입고!$E$8:$E$1013,SMALL(IF(입고!$C$8:$C$1013=마스터!$M$6,ROW(입고!$C$8:$C$1013)-7),3)),"")</f>
        <v/>
      </c>
      <c r="D14" s="8" t="str">
        <f t="array" ref="D14">IFERROR(INDEX(입고!$F$8:$F$1013,SMALL(IF(입고!$C$8:$C$1013=마스터!$M$6,ROW(입고!$C$8:$C$1013)-7),3)),"")</f>
        <v/>
      </c>
      <c r="E14" s="46" t="str">
        <f t="array" ref="E14">IFERROR(INDEX(입고!$H$8:$H$1013,SMALL(IF(입고!$C$8:$C$1013=마스터!$M$6,ROW(입고!$C$8:$C$1013)-7),3)),"")</f>
        <v/>
      </c>
      <c r="F14" s="46" t="str">
        <f t="array" ref="F14">IFERROR(INDEX(입고!$I$8:$I$1013,SMALL(IF(입고!$C$8:$C$1013=마스터!$M$6,ROW(입고!$C$8:$C$1013)-7),3)),"")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IFERROR(INDEX(입고!$B$8:$B$1013,SMALL(IF(입고!$C$8:$C$1013=마스터!$M$6,ROW(입고!$C$8:$C$1013)-7),4)),"")</f>
        <v/>
      </c>
      <c r="C15" s="11" t="str">
        <f t="array" ref="C15">IFERROR(INDEX(입고!$E$8:$E$1013,SMALL(IF(입고!$C$8:$C$1013=마스터!$M$6,ROW(입고!$C$8:$C$1013)-7),4)),"")</f>
        <v/>
      </c>
      <c r="D15" s="13" t="str">
        <f t="array" ref="D15">IFERROR(INDEX(입고!$F$8:$F$1013,SMALL(IF(입고!$C$8:$C$1013=마스터!$M$6,ROW(입고!$C$8:$C$1013)-7),4)),"")</f>
        <v/>
      </c>
      <c r="E15" s="50" t="str">
        <f t="array" ref="E15">IFERROR(INDEX(입고!$H$8:$H$1013,SMALL(IF(입고!$C$8:$C$1013=마스터!$M$6,ROW(입고!$C$8:$C$1013)-7),4)),"")</f>
        <v/>
      </c>
      <c r="F15" s="50" t="str">
        <f t="array" ref="F15">IFERROR(INDEX(입고!$I$8:$I$1013,SMALL(IF(입고!$C$8:$C$1013=마스터!$M$6,ROW(입고!$C$8:$C$1013)-7),4)),"")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IFERROR(INDEX(입고!$B$8:$B$1013,SMALL(IF(입고!$C$8:$C$1013=마스터!$M$6,ROW(입고!$C$8:$C$1013)-7),5)),"")</f>
        <v/>
      </c>
      <c r="C16" s="6" t="str">
        <f t="array" ref="C16">IFERROR(INDEX(입고!$E$8:$E$1013,SMALL(IF(입고!$C$8:$C$1013=마스터!$M$6,ROW(입고!$C$8:$C$1013)-7),5)),"")</f>
        <v/>
      </c>
      <c r="D16" s="8" t="str">
        <f t="array" ref="D16">IFERROR(INDEX(입고!$F$8:$F$1013,SMALL(IF(입고!$C$8:$C$1013=마스터!$M$6,ROW(입고!$C$8:$C$1013)-7),5)),"")</f>
        <v/>
      </c>
      <c r="E16" s="46" t="str">
        <f t="array" ref="E16">IFERROR(INDEX(입고!$H$8:$H$1013,SMALL(IF(입고!$C$8:$C$1013=마스터!$M$6,ROW(입고!$C$8:$C$1013)-7),5)),"")</f>
        <v/>
      </c>
      <c r="F16" s="46" t="str">
        <f t="array" ref="F16">IFERROR(INDEX(입고!$I$8:$I$1013,SMALL(IF(입고!$C$8:$C$1013=마스터!$M$6,ROW(입고!$C$8:$C$1013)-7),5)),"")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IFERROR(INDEX(입고!$B$8:$B$1013,SMALL(IF(입고!$C$8:$C$1013=마스터!$M$6,ROW(입고!$C$8:$C$1013)-7),6)),"")</f>
        <v/>
      </c>
      <c r="C17" s="11" t="str">
        <f t="array" ref="C17">IFERROR(INDEX(입고!$E$8:$E$1013,SMALL(IF(입고!$C$8:$C$1013=마스터!$M$6,ROW(입고!$C$8:$C$1013)-7),6)),"")</f>
        <v/>
      </c>
      <c r="D17" s="13" t="str">
        <f t="array" ref="D17">IFERROR(INDEX(입고!$F$8:$F$1013,SMALL(IF(입고!$C$8:$C$1013=마스터!$M$6,ROW(입고!$C$8:$C$1013)-7),6)),"")</f>
        <v/>
      </c>
      <c r="E17" s="50" t="str">
        <f t="array" ref="E17">IFERROR(INDEX(입고!$H$8:$H$1013,SMALL(IF(입고!$C$8:$C$1013=마스터!$M$6,ROW(입고!$C$8:$C$1013)-7),6)),"")</f>
        <v/>
      </c>
      <c r="F17" s="50" t="str">
        <f t="array" ref="F17">IFERROR(INDEX(입고!$I$8:$I$1013,SMALL(IF(입고!$C$8:$C$1013=마스터!$M$6,ROW(입고!$C$8:$C$1013)-7),6)),"")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IFERROR(INDEX(입고!$B$8:$B$1013,SMALL(IF(입고!$C$8:$C$1013=마스터!$M$6,ROW(입고!$C$8:$C$1013)-7),7)),"")</f>
        <v/>
      </c>
      <c r="C18" s="6" t="str">
        <f t="array" ref="C18">IFERROR(INDEX(입고!$E$8:$E$1013,SMALL(IF(입고!$C$8:$C$1013=마스터!$M$6,ROW(입고!$C$8:$C$1013)-7),7)),"")</f>
        <v/>
      </c>
      <c r="D18" s="8" t="str">
        <f t="array" ref="D18">IFERROR(INDEX(입고!$F$8:$F$1013,SMALL(IF(입고!$C$8:$C$1013=마스터!$M$6,ROW(입고!$C$8:$C$1013)-7),7)),"")</f>
        <v/>
      </c>
      <c r="E18" s="46" t="str">
        <f t="array" ref="E18">IFERROR(INDEX(입고!$H$8:$H$1013,SMALL(IF(입고!$C$8:$C$1013=마스터!$M$6,ROW(입고!$C$8:$C$1013)-7),7)),"")</f>
        <v/>
      </c>
      <c r="F18" s="46" t="str">
        <f t="array" ref="F18">IFERROR(INDEX(입고!$I$8:$I$1013,SMALL(IF(입고!$C$8:$C$1013=마스터!$M$6,ROW(입고!$C$8:$C$1013)-7),7)),"")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IFERROR(INDEX(입고!$B$8:$B$1013,SMALL(IF(입고!$C$8:$C$1013=마스터!$M$6,ROW(입고!$C$8:$C$1013)-7),8)),"")</f>
        <v/>
      </c>
      <c r="C19" s="11" t="str">
        <f t="array" ref="C19">IFERROR(INDEX(입고!$E$8:$E$1013,SMALL(IF(입고!$C$8:$C$1013=마스터!$M$6,ROW(입고!$C$8:$C$1013)-7),8)),"")</f>
        <v/>
      </c>
      <c r="D19" s="13" t="str">
        <f t="array" ref="D19">IFERROR(INDEX(입고!$F$8:$F$1013,SMALL(IF(입고!$C$8:$C$1013=마스터!$M$6,ROW(입고!$C$8:$C$1013)-7),8)),"")</f>
        <v/>
      </c>
      <c r="E19" s="50" t="str">
        <f t="array" ref="E19">IFERROR(INDEX(입고!$H$8:$H$1013,SMALL(IF(입고!$C$8:$C$1013=마스터!$M$6,ROW(입고!$C$8:$C$1013)-7),8)),"")</f>
        <v/>
      </c>
      <c r="F19" s="50" t="str">
        <f t="array" ref="F19">IFERROR(INDEX(입고!$I$8:$I$1013,SMALL(IF(입고!$C$8:$C$1013=마스터!$M$6,ROW(입고!$C$8:$C$1013)-7),8)),"")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IFERROR(INDEX(입고!$B$8:$B$1013,SMALL(IF(입고!$C$8:$C$1013=마스터!$M$6,ROW(입고!$C$8:$C$1013)-7),9)),"")</f>
        <v/>
      </c>
      <c r="C20" s="6" t="str">
        <f t="array" ref="C20">IFERROR(INDEX(입고!$E$8:$E$1013,SMALL(IF(입고!$C$8:$C$1013=마스터!$M$6,ROW(입고!$C$8:$C$1013)-7),9)),"")</f>
        <v/>
      </c>
      <c r="D20" s="8" t="str">
        <f t="array" ref="D20">IFERROR(INDEX(입고!$F$8:$F$1013,SMALL(IF(입고!$C$8:$C$1013=마스터!$M$6,ROW(입고!$C$8:$C$1013)-7),9)),"")</f>
        <v/>
      </c>
      <c r="E20" s="46" t="str">
        <f t="array" ref="E20">IFERROR(INDEX(입고!$H$8:$H$1013,SMALL(IF(입고!$C$8:$C$1013=마스터!$M$6,ROW(입고!$C$8:$C$1013)-7),9)),"")</f>
        <v/>
      </c>
      <c r="F20" s="46" t="str">
        <f t="array" ref="F20">IFERROR(INDEX(입고!$I$8:$I$1013,SMALL(IF(입고!$C$8:$C$1013=마스터!$M$6,ROW(입고!$C$8:$C$1013)-7),9)),"")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IFERROR(INDEX(입고!$B$8:$B$1013,SMALL(IF(입고!$C$8:$C$1013=마스터!$M$6,ROW(입고!$C$8:$C$1013)-7),10)),"")</f>
        <v/>
      </c>
      <c r="C21" s="11" t="str">
        <f t="array" ref="C21">IFERROR(INDEX(입고!$E$8:$E$1013,SMALL(IF(입고!$C$8:$C$1013=마스터!$M$6,ROW(입고!$C$8:$C$1013)-7),10)),"")</f>
        <v/>
      </c>
      <c r="D21" s="13" t="str">
        <f t="array" ref="D21">IFERROR(INDEX(입고!$F$8:$F$1013,SMALL(IF(입고!$C$8:$C$1013=마스터!$M$6,ROW(입고!$C$8:$C$1013)-7),10)),"")</f>
        <v/>
      </c>
      <c r="E21" s="50" t="str">
        <f t="array" ref="E21">IFERROR(INDEX(입고!$H$8:$H$1013,SMALL(IF(입고!$C$8:$C$1013=마스터!$M$6,ROW(입고!$C$8:$C$1013)-7),10)),"")</f>
        <v/>
      </c>
      <c r="F21" s="50" t="str">
        <f t="array" ref="F21">IFERROR(INDEX(입고!$I$8:$I$1013,SMALL(IF(입고!$C$8:$C$1013=마스터!$M$6,ROW(입고!$C$8:$C$1013)-7),10)),"")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IFERROR(INDEX(입고!$B$8:$B$1013,SMALL(IF(입고!$C$8:$C$1013=마스터!$M$6,ROW(입고!$C$8:$C$1013)-7),11)),"")</f>
        <v/>
      </c>
      <c r="C22" s="6" t="str">
        <f t="array" ref="C22">IFERROR(INDEX(입고!$E$8:$E$1013,SMALL(IF(입고!$C$8:$C$1013=마스터!$M$6,ROW(입고!$C$8:$C$1013)-7),11)),"")</f>
        <v/>
      </c>
      <c r="D22" s="8" t="str">
        <f t="array" ref="D22">IFERROR(INDEX(입고!$F$8:$F$1013,SMALL(IF(입고!$C$8:$C$1013=마스터!$M$6,ROW(입고!$C$8:$C$1013)-7),11)),"")</f>
        <v/>
      </c>
      <c r="E22" s="46" t="str">
        <f t="array" ref="E22">IFERROR(INDEX(입고!$H$8:$H$1013,SMALL(IF(입고!$C$8:$C$1013=마스터!$M$6,ROW(입고!$C$8:$C$1013)-7),11)),"")</f>
        <v/>
      </c>
      <c r="F22" s="46" t="str">
        <f t="array" ref="F22">IFERROR(INDEX(입고!$I$8:$I$1013,SMALL(IF(입고!$C$8:$C$1013=마스터!$M$6,ROW(입고!$C$8:$C$1013)-7),11)),"")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IFERROR(INDEX(입고!$B$8:$B$1013,SMALL(IF(입고!$C$8:$C$1013=마스터!$M$6,ROW(입고!$C$8:$C$1013)-7),12)),"")</f>
        <v/>
      </c>
      <c r="C23" s="11" t="str">
        <f t="array" ref="C23">IFERROR(INDEX(입고!$E$8:$E$1013,SMALL(IF(입고!$C$8:$C$1013=마스터!$M$6,ROW(입고!$C$8:$C$1013)-7),12)),"")</f>
        <v/>
      </c>
      <c r="D23" s="13" t="str">
        <f t="array" ref="D23">IFERROR(INDEX(입고!$F$8:$F$1013,SMALL(IF(입고!$C$8:$C$1013=마스터!$M$6,ROW(입고!$C$8:$C$1013)-7),12)),"")</f>
        <v/>
      </c>
      <c r="E23" s="50" t="str">
        <f t="array" ref="E23">IFERROR(INDEX(입고!$H$8:$H$1013,SMALL(IF(입고!$C$8:$C$1013=마스터!$M$6,ROW(입고!$C$8:$C$1013)-7),12)),"")</f>
        <v/>
      </c>
      <c r="F23" s="50" t="str">
        <f t="array" ref="F23">IFERROR(INDEX(입고!$I$8:$I$1013,SMALL(IF(입고!$C$8:$C$1013=마스터!$M$6,ROW(입고!$C$8:$C$1013)-7),12)),"")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IFERROR(INDEX(입고!$B$8:$B$1013,SMALL(IF(입고!$C$8:$C$1013=마스터!$M$6,ROW(입고!$C$8:$C$1013)-7),13)),"")</f>
        <v/>
      </c>
      <c r="C24" s="6" t="str">
        <f t="array" ref="C24">IFERROR(INDEX(입고!$E$8:$E$1013,SMALL(IF(입고!$C$8:$C$1013=마스터!$M$6,ROW(입고!$C$8:$C$1013)-7),13)),"")</f>
        <v/>
      </c>
      <c r="D24" s="8" t="str">
        <f t="array" ref="D24">IFERROR(INDEX(입고!$F$8:$F$1013,SMALL(IF(입고!$C$8:$C$1013=마스터!$M$6,ROW(입고!$C$8:$C$1013)-7),13)),"")</f>
        <v/>
      </c>
      <c r="E24" s="46" t="str">
        <f t="array" ref="E24">IFERROR(INDEX(입고!$H$8:$H$1013,SMALL(IF(입고!$C$8:$C$1013=마스터!$M$6,ROW(입고!$C$8:$C$1013)-7),13)),"")</f>
        <v/>
      </c>
      <c r="F24" s="46" t="str">
        <f t="array" ref="F24">IFERROR(INDEX(입고!$I$8:$I$1013,SMALL(IF(입고!$C$8:$C$1013=마스터!$M$6,ROW(입고!$C$8:$C$1013)-7),13)),"")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IFERROR(INDEX(입고!$B$8:$B$1013,SMALL(IF(입고!$C$8:$C$1013=마스터!$M$6,ROW(입고!$C$8:$C$1013)-7),14)),"")</f>
        <v/>
      </c>
      <c r="C25" s="11" t="str">
        <f t="array" ref="C25">IFERROR(INDEX(입고!$E$8:$E$1013,SMALL(IF(입고!$C$8:$C$1013=마스터!$M$6,ROW(입고!$C$8:$C$1013)-7),14)),"")</f>
        <v/>
      </c>
      <c r="D25" s="13" t="str">
        <f t="array" ref="D25">IFERROR(INDEX(입고!$F$8:$F$1013,SMALL(IF(입고!$C$8:$C$1013=마스터!$M$6,ROW(입고!$C$8:$C$1013)-7),14)),"")</f>
        <v/>
      </c>
      <c r="E25" s="50" t="str">
        <f t="array" ref="E25">IFERROR(INDEX(입고!$H$8:$H$1013,SMALL(IF(입고!$C$8:$C$1013=마스터!$M$6,ROW(입고!$C$8:$C$1013)-7),14)),"")</f>
        <v/>
      </c>
      <c r="F25" s="50" t="str">
        <f t="array" ref="F25">IFERROR(INDEX(입고!$I$8:$I$1013,SMALL(IF(입고!$C$8:$C$1013=마스터!$M$6,ROW(입고!$C$8:$C$1013)-7),14)),"")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IFERROR(INDEX(입고!$B$8:$B$1013,SMALL(IF(입고!$C$8:$C$1013=마스터!$M$6,ROW(입고!$C$8:$C$1013)-7),15)),"")</f>
        <v/>
      </c>
      <c r="C26" s="6" t="str">
        <f t="array" ref="C26">IFERROR(INDEX(입고!$E$8:$E$1013,SMALL(IF(입고!$C$8:$C$1013=마스터!$M$6,ROW(입고!$C$8:$C$1013)-7),15)),"")</f>
        <v/>
      </c>
      <c r="D26" s="8" t="str">
        <f t="array" ref="D26">IFERROR(INDEX(입고!$F$8:$F$1013,SMALL(IF(입고!$C$8:$C$1013=마스터!$M$6,ROW(입고!$C$8:$C$1013)-7),15)),"")</f>
        <v/>
      </c>
      <c r="E26" s="46" t="str">
        <f t="array" ref="E26">IFERROR(INDEX(입고!$H$8:$H$1013,SMALL(IF(입고!$C$8:$C$1013=마스터!$M$6,ROW(입고!$C$8:$C$1013)-7),15)),"")</f>
        <v/>
      </c>
      <c r="F26" s="46" t="str">
        <f t="array" ref="F26">IFERROR(INDEX(입고!$I$8:$I$1013,SMALL(IF(입고!$C$8:$C$1013=마스터!$M$6,ROW(입고!$C$8:$C$1013)-7),15)),"")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IFERROR(INDEX(입고!$B$8:$B$1013,SMALL(IF(입고!$C$8:$C$1013=마스터!$M$6,ROW(입고!$C$8:$C$1013)-7),16)),"")</f>
        <v/>
      </c>
      <c r="C27" s="11" t="str">
        <f t="array" ref="C27">IFERROR(INDEX(입고!$E$8:$E$1013,SMALL(IF(입고!$C$8:$C$1013=마스터!$M$6,ROW(입고!$C$8:$C$1013)-7),16)),"")</f>
        <v/>
      </c>
      <c r="D27" s="13" t="str">
        <f t="array" ref="D27">IFERROR(INDEX(입고!$F$8:$F$1013,SMALL(IF(입고!$C$8:$C$1013=마스터!$M$6,ROW(입고!$C$8:$C$1013)-7),16)),"")</f>
        <v/>
      </c>
      <c r="E27" s="50" t="str">
        <f t="array" ref="E27">IFERROR(INDEX(입고!$H$8:$H$1013,SMALL(IF(입고!$C$8:$C$1013=마스터!$M$6,ROW(입고!$C$8:$C$1013)-7),16)),"")</f>
        <v/>
      </c>
      <c r="F27" s="50" t="str">
        <f t="array" ref="F27">IFERROR(INDEX(입고!$I$8:$I$1013,SMALL(IF(입고!$C$8:$C$1013=마스터!$M$6,ROW(입고!$C$8:$C$1013)-7),16)),"")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IFERROR(INDEX(입고!$B$8:$B$1013,SMALL(IF(입고!$C$8:$C$1013=마스터!$M$6,ROW(입고!$C$8:$C$1013)-7),17)),"")</f>
        <v/>
      </c>
      <c r="C28" s="6" t="str">
        <f t="array" ref="C28">IFERROR(INDEX(입고!$E$8:$E$1013,SMALL(IF(입고!$C$8:$C$1013=마스터!$M$6,ROW(입고!$C$8:$C$1013)-7),17)),"")</f>
        <v/>
      </c>
      <c r="D28" s="8" t="str">
        <f t="array" ref="D28">IFERROR(INDEX(입고!$F$8:$F$1013,SMALL(IF(입고!$C$8:$C$1013=마스터!$M$6,ROW(입고!$C$8:$C$1013)-7),17)),"")</f>
        <v/>
      </c>
      <c r="E28" s="46" t="str">
        <f t="array" ref="E28">IFERROR(INDEX(입고!$H$8:$H$1013,SMALL(IF(입고!$C$8:$C$1013=마스터!$M$6,ROW(입고!$C$8:$C$1013)-7),17)),"")</f>
        <v/>
      </c>
      <c r="F28" s="46" t="str">
        <f t="array" ref="F28">IFERROR(INDEX(입고!$I$8:$I$1013,SMALL(IF(입고!$C$8:$C$1013=마스터!$M$6,ROW(입고!$C$8:$C$1013)-7),17)),"")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IFERROR(INDEX(입고!$B$8:$B$1013,SMALL(IF(입고!$C$8:$C$1013=마스터!$M$6,ROW(입고!$C$8:$C$1013)-7),18)),"")</f>
        <v/>
      </c>
      <c r="C29" s="11" t="str">
        <f t="array" ref="C29">IFERROR(INDEX(입고!$E$8:$E$1013,SMALL(IF(입고!$C$8:$C$1013=마스터!$M$6,ROW(입고!$C$8:$C$1013)-7),18)),"")</f>
        <v/>
      </c>
      <c r="D29" s="13" t="str">
        <f t="array" ref="D29">IFERROR(INDEX(입고!$F$8:$F$1013,SMALL(IF(입고!$C$8:$C$1013=마스터!$M$6,ROW(입고!$C$8:$C$1013)-7),18)),"")</f>
        <v/>
      </c>
      <c r="E29" s="50" t="str">
        <f t="array" ref="E29">IFERROR(INDEX(입고!$H$8:$H$1013,SMALL(IF(입고!$C$8:$C$1013=마스터!$M$6,ROW(입고!$C$8:$C$1013)-7),18)),"")</f>
        <v/>
      </c>
      <c r="F29" s="50" t="str">
        <f t="array" ref="F29">IFERROR(INDEX(입고!$I$8:$I$1013,SMALL(IF(입고!$C$8:$C$1013=마스터!$M$6,ROW(입고!$C$8:$C$1013)-7),18)),"")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IFERROR(INDEX(입고!$B$8:$B$1013,SMALL(IF(입고!$C$8:$C$1013=마스터!$M$6,ROW(입고!$C$8:$C$1013)-7),19)),"")</f>
        <v/>
      </c>
      <c r="C30" s="6" t="str">
        <f t="array" ref="C30">IFERROR(INDEX(입고!$E$8:$E$1013,SMALL(IF(입고!$C$8:$C$1013=마스터!$M$6,ROW(입고!$C$8:$C$1013)-7),19)),"")</f>
        <v/>
      </c>
      <c r="D30" s="8" t="str">
        <f t="array" ref="D30">IFERROR(INDEX(입고!$F$8:$F$1013,SMALL(IF(입고!$C$8:$C$1013=마스터!$M$6,ROW(입고!$C$8:$C$1013)-7),19)),"")</f>
        <v/>
      </c>
      <c r="E30" s="46" t="str">
        <f t="array" ref="E30">IFERROR(INDEX(입고!$H$8:$H$1013,SMALL(IF(입고!$C$8:$C$1013=마스터!$M$6,ROW(입고!$C$8:$C$1013)-7),19)),"")</f>
        <v/>
      </c>
      <c r="F30" s="46" t="str">
        <f t="array" ref="F30">IFERROR(INDEX(입고!$I$8:$I$1013,SMALL(IF(입고!$C$8:$C$1013=마스터!$M$6,ROW(입고!$C$8:$C$1013)-7),19)),"")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IFERROR(INDEX(입고!$B$8:$B$1013,SMALL(IF(입고!$C$8:$C$1013=마스터!$M$6,ROW(입고!$C$8:$C$1013)-7),20)),"")</f>
        <v/>
      </c>
      <c r="C31" s="11" t="str">
        <f t="array" ref="C31">IFERROR(INDEX(입고!$E$8:$E$1013,SMALL(IF(입고!$C$8:$C$1013=마스터!$M$6,ROW(입고!$C$8:$C$1013)-7),20)),"")</f>
        <v/>
      </c>
      <c r="D31" s="13" t="str">
        <f t="array" ref="D31">IFERROR(INDEX(입고!$F$8:$F$1013,SMALL(IF(입고!$C$8:$C$1013=마스터!$M$6,ROW(입고!$C$8:$C$1013)-7),20)),"")</f>
        <v/>
      </c>
      <c r="E31" s="50" t="str">
        <f t="array" ref="E31">IFERROR(INDEX(입고!$H$8:$H$1013,SMALL(IF(입고!$C$8:$C$1013=마스터!$M$6,ROW(입고!$C$8:$C$1013)-7),20)),"")</f>
        <v/>
      </c>
      <c r="F31" s="50" t="str">
        <f t="array" ref="F31">IFERROR(INDEX(입고!$I$8:$I$1013,SMALL(IF(입고!$C$8:$C$1013=마스터!$M$6,ROW(입고!$C$8:$C$1013)-7),20)),"")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IFERROR(INDEX(입고!$B$8:$B$1013,SMALL(IF(입고!$C$8:$C$1013=마스터!$M$6,ROW(입고!$C$8:$C$1013)-7),21)),"")</f>
        <v/>
      </c>
      <c r="C32" s="6" t="str">
        <f t="array" ref="C32">IFERROR(INDEX(입고!$E$8:$E$1013,SMALL(IF(입고!$C$8:$C$1013=마스터!$M$6,ROW(입고!$C$8:$C$1013)-7),21)),"")</f>
        <v/>
      </c>
      <c r="D32" s="8" t="str">
        <f t="array" ref="D32">IFERROR(INDEX(입고!$F$8:$F$1013,SMALL(IF(입고!$C$8:$C$1013=마스터!$M$6,ROW(입고!$C$8:$C$1013)-7),21)),"")</f>
        <v/>
      </c>
      <c r="E32" s="46" t="str">
        <f t="array" ref="E32">IFERROR(INDEX(입고!$H$8:$H$1013,SMALL(IF(입고!$C$8:$C$1013=마스터!$M$6,ROW(입고!$C$8:$C$1013)-7),21)),"")</f>
        <v/>
      </c>
      <c r="F32" s="46" t="str">
        <f t="array" ref="F32">IFERROR(INDEX(입고!$I$8:$I$1013,SMALL(IF(입고!$C$8:$C$1013=마스터!$M$6,ROW(입고!$C$8:$C$1013)-7),21)),"")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IFERROR(INDEX(입고!$B$8:$B$1013,SMALL(IF(입고!$C$8:$C$1013=마스터!$M$6,ROW(입고!$C$8:$C$1013)-7),22)),"")</f>
        <v/>
      </c>
      <c r="C33" s="11" t="str">
        <f t="array" ref="C33">IFERROR(INDEX(입고!$E$8:$E$1013,SMALL(IF(입고!$C$8:$C$1013=마스터!$M$6,ROW(입고!$C$8:$C$1013)-7),22)),"")</f>
        <v/>
      </c>
      <c r="D33" s="13" t="str">
        <f t="array" ref="D33">IFERROR(INDEX(입고!$F$8:$F$1013,SMALL(IF(입고!$C$8:$C$1013=마스터!$M$6,ROW(입고!$C$8:$C$1013)-7),22)),"")</f>
        <v/>
      </c>
      <c r="E33" s="50" t="str">
        <f t="array" ref="E33">IFERROR(INDEX(입고!$H$8:$H$1013,SMALL(IF(입고!$C$8:$C$1013=마스터!$M$6,ROW(입고!$C$8:$C$1013)-7),22)),"")</f>
        <v/>
      </c>
      <c r="F33" s="50" t="str">
        <f t="array" ref="F33">IFERROR(INDEX(입고!$I$8:$I$1013,SMALL(IF(입고!$C$8:$C$1013=마스터!$M$6,ROW(입고!$C$8:$C$1013)-7),22)),"")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IFERROR(INDEX(입고!$B$8:$B$1013,SMALL(IF(입고!$C$8:$C$1013=마스터!$M$6,ROW(입고!$C$8:$C$1013)-7),23)),"")</f>
        <v/>
      </c>
      <c r="C34" s="6" t="str">
        <f t="array" ref="C34">IFERROR(INDEX(입고!$E$8:$E$1013,SMALL(IF(입고!$C$8:$C$1013=마스터!$M$6,ROW(입고!$C$8:$C$1013)-7),23)),"")</f>
        <v/>
      </c>
      <c r="D34" s="8" t="str">
        <f t="array" ref="D34">IFERROR(INDEX(입고!$F$8:$F$1013,SMALL(IF(입고!$C$8:$C$1013=마스터!$M$6,ROW(입고!$C$8:$C$1013)-7),23)),"")</f>
        <v/>
      </c>
      <c r="E34" s="46" t="str">
        <f t="array" ref="E34">IFERROR(INDEX(입고!$H$8:$H$1013,SMALL(IF(입고!$C$8:$C$1013=마스터!$M$6,ROW(입고!$C$8:$C$1013)-7),23)),"")</f>
        <v/>
      </c>
      <c r="F34" s="46" t="str">
        <f t="array" ref="F34">IFERROR(INDEX(입고!$I$8:$I$1013,SMALL(IF(입고!$C$8:$C$1013=마스터!$M$6,ROW(입고!$C$8:$C$1013)-7),23)),"")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IFERROR(INDEX(입고!$B$8:$B$1013,SMALL(IF(입고!$C$8:$C$1013=마스터!$M$6,ROW(입고!$C$8:$C$1013)-7),24)),"")</f>
        <v/>
      </c>
      <c r="C35" s="11" t="str">
        <f t="array" ref="C35">IFERROR(INDEX(입고!$E$8:$E$1013,SMALL(IF(입고!$C$8:$C$1013=마스터!$M$6,ROW(입고!$C$8:$C$1013)-7),24)),"")</f>
        <v/>
      </c>
      <c r="D35" s="13" t="str">
        <f t="array" ref="D35">IFERROR(INDEX(입고!$F$8:$F$1013,SMALL(IF(입고!$C$8:$C$1013=마스터!$M$6,ROW(입고!$C$8:$C$1013)-7),24)),"")</f>
        <v/>
      </c>
      <c r="E35" s="50" t="str">
        <f t="array" ref="E35">IFERROR(INDEX(입고!$H$8:$H$1013,SMALL(IF(입고!$C$8:$C$1013=마스터!$M$6,ROW(입고!$C$8:$C$1013)-7),24)),"")</f>
        <v/>
      </c>
      <c r="F35" s="50" t="str">
        <f t="array" ref="F35">IFERROR(INDEX(입고!$I$8:$I$1013,SMALL(IF(입고!$C$8:$C$1013=마스터!$M$6,ROW(입고!$C$8:$C$1013)-7),24)),"")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IFERROR(INDEX(입고!$B$8:$B$1013,SMALL(IF(입고!$C$8:$C$1013=마스터!$M$6,ROW(입고!$C$8:$C$1013)-7),25)),"")</f>
        <v/>
      </c>
      <c r="C36" s="6" t="str">
        <f t="array" ref="C36">IFERROR(INDEX(입고!$E$8:$E$1013,SMALL(IF(입고!$C$8:$C$1013=마스터!$M$6,ROW(입고!$C$8:$C$1013)-7),25)),"")</f>
        <v/>
      </c>
      <c r="D36" s="8" t="str">
        <f t="array" ref="D36">IFERROR(INDEX(입고!$F$8:$F$1013,SMALL(IF(입고!$C$8:$C$1013=마스터!$M$6,ROW(입고!$C$8:$C$1013)-7),25)),"")</f>
        <v/>
      </c>
      <c r="E36" s="46" t="str">
        <f t="array" ref="E36">IFERROR(INDEX(입고!$H$8:$H$1013,SMALL(IF(입고!$C$8:$C$1013=마스터!$M$6,ROW(입고!$C$8:$C$1013)-7),25)),"")</f>
        <v/>
      </c>
      <c r="F36" s="46" t="str">
        <f t="array" ref="F36">IFERROR(INDEX(입고!$I$8:$I$1013,SMALL(IF(입고!$C$8:$C$1013=마스터!$M$6,ROW(입고!$C$8:$C$1013)-7),25)),"")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IFERROR(INDEX(입고!$B$8:$B$1013,SMALL(IF(입고!$C$8:$C$1013=마스터!$M$6,ROW(입고!$C$8:$C$1013)-7),26)),"")</f>
        <v/>
      </c>
      <c r="C37" s="11" t="str">
        <f t="array" ref="C37">IFERROR(INDEX(입고!$E$8:$E$1013,SMALL(IF(입고!$C$8:$C$1013=마스터!$M$6,ROW(입고!$C$8:$C$1013)-7),26)),"")</f>
        <v/>
      </c>
      <c r="D37" s="13" t="str">
        <f t="array" ref="D37">IFERROR(INDEX(입고!$F$8:$F$1013,SMALL(IF(입고!$C$8:$C$1013=마스터!$M$6,ROW(입고!$C$8:$C$1013)-7),26)),"")</f>
        <v/>
      </c>
      <c r="E37" s="50" t="str">
        <f t="array" ref="E37">IFERROR(INDEX(입고!$H$8:$H$1013,SMALL(IF(입고!$C$8:$C$1013=마스터!$M$6,ROW(입고!$C$8:$C$1013)-7),26)),"")</f>
        <v/>
      </c>
      <c r="F37" s="50" t="str">
        <f t="array" ref="F37">IFERROR(INDEX(입고!$I$8:$I$1013,SMALL(IF(입고!$C$8:$C$1013=마스터!$M$6,ROW(입고!$C$8:$C$1013)-7),26)),"")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IFERROR(INDEX(입고!$B$8:$B$1013,SMALL(IF(입고!$C$8:$C$1013=마스터!$M$6,ROW(입고!$C$8:$C$1013)-7),27)),"")</f>
        <v/>
      </c>
      <c r="C38" s="6" t="str">
        <f t="array" ref="C38">IFERROR(INDEX(입고!$E$8:$E$1013,SMALL(IF(입고!$C$8:$C$1013=마스터!$M$6,ROW(입고!$C$8:$C$1013)-7),27)),"")</f>
        <v/>
      </c>
      <c r="D38" s="8" t="str">
        <f t="array" ref="D38">IFERROR(INDEX(입고!$F$8:$F$1013,SMALL(IF(입고!$C$8:$C$1013=마스터!$M$6,ROW(입고!$C$8:$C$1013)-7),27)),"")</f>
        <v/>
      </c>
      <c r="E38" s="46" t="str">
        <f t="array" ref="E38">IFERROR(INDEX(입고!$H$8:$H$1013,SMALL(IF(입고!$C$8:$C$1013=마스터!$M$6,ROW(입고!$C$8:$C$1013)-7),27)),"")</f>
        <v/>
      </c>
      <c r="F38" s="46" t="str">
        <f t="array" ref="F38">IFERROR(INDEX(입고!$I$8:$I$1013,SMALL(IF(입고!$C$8:$C$1013=마스터!$M$6,ROW(입고!$C$8:$C$1013)-7),27)),"")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IFERROR(INDEX(입고!$B$8:$B$1013,SMALL(IF(입고!$C$8:$C$1013=마스터!$M$6,ROW(입고!$C$8:$C$1013)-7),28)),"")</f>
        <v/>
      </c>
      <c r="C39" s="11" t="str">
        <f t="array" ref="C39">IFERROR(INDEX(입고!$E$8:$E$1013,SMALL(IF(입고!$C$8:$C$1013=마스터!$M$6,ROW(입고!$C$8:$C$1013)-7),28)),"")</f>
        <v/>
      </c>
      <c r="D39" s="13" t="str">
        <f t="array" ref="D39">IFERROR(INDEX(입고!$F$8:$F$1013,SMALL(IF(입고!$C$8:$C$1013=마스터!$M$6,ROW(입고!$C$8:$C$1013)-7),28)),"")</f>
        <v/>
      </c>
      <c r="E39" s="50" t="str">
        <f t="array" ref="E39">IFERROR(INDEX(입고!$H$8:$H$1013,SMALL(IF(입고!$C$8:$C$1013=마스터!$M$6,ROW(입고!$C$8:$C$1013)-7),28)),"")</f>
        <v/>
      </c>
      <c r="F39" s="50" t="str">
        <f t="array" ref="F39">IFERROR(INDEX(입고!$I$8:$I$1013,SMALL(IF(입고!$C$8:$C$1013=마스터!$M$6,ROW(입고!$C$8:$C$1013)-7),28)),"")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IFERROR(INDEX(입고!$B$8:$B$1013,SMALL(IF(입고!$C$8:$C$1013=마스터!$M$6,ROW(입고!$C$8:$C$1013)-7),29)),"")</f>
        <v/>
      </c>
      <c r="C40" s="6" t="str">
        <f t="array" ref="C40">IFERROR(INDEX(입고!$E$8:$E$1013,SMALL(IF(입고!$C$8:$C$1013=마스터!$M$6,ROW(입고!$C$8:$C$1013)-7),29)),"")</f>
        <v/>
      </c>
      <c r="D40" s="8" t="str">
        <f t="array" ref="D40">IFERROR(INDEX(입고!$F$8:$F$1013,SMALL(IF(입고!$C$8:$C$1013=마스터!$M$6,ROW(입고!$C$8:$C$1013)-7),29)),"")</f>
        <v/>
      </c>
      <c r="E40" s="46" t="str">
        <f t="array" ref="E40">IFERROR(INDEX(입고!$H$8:$H$1013,SMALL(IF(입고!$C$8:$C$1013=마스터!$M$6,ROW(입고!$C$8:$C$1013)-7),29)),"")</f>
        <v/>
      </c>
      <c r="F40" s="46" t="str">
        <f t="array" ref="F40">IFERROR(INDEX(입고!$I$8:$I$1013,SMALL(IF(입고!$C$8:$C$1013=마스터!$M$6,ROW(입고!$C$8:$C$1013)-7),29)),"")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IFERROR(INDEX(입고!$B$8:$B$1013,SMALL(IF(입고!$C$8:$C$1013=마스터!$M$6,ROW(입고!$C$8:$C$1013)-7),30)),"")</f>
        <v/>
      </c>
      <c r="C41" s="11" t="str">
        <f t="array" ref="C41">IFERROR(INDEX(입고!$E$8:$E$1013,SMALL(IF(입고!$C$8:$C$1013=마스터!$M$6,ROW(입고!$C$8:$C$1013)-7),30)),"")</f>
        <v/>
      </c>
      <c r="D41" s="13" t="str">
        <f t="array" ref="D41">IFERROR(INDEX(입고!$F$8:$F$1013,SMALL(IF(입고!$C$8:$C$1013=마스터!$M$6,ROW(입고!$C$8:$C$1013)-7),30)),"")</f>
        <v/>
      </c>
      <c r="E41" s="50" t="str">
        <f t="array" ref="E41">IFERROR(INDEX(입고!$H$8:$H$1013,SMALL(IF(입고!$C$8:$C$1013=마스터!$M$6,ROW(입고!$C$8:$C$1013)-7),30)),"")</f>
        <v/>
      </c>
      <c r="F41" s="50" t="str">
        <f t="array" ref="F41">IFERROR(INDEX(입고!$I$8:$I$1013,SMALL(IF(입고!$C$8:$C$1013=마스터!$M$6,ROW(입고!$C$8:$C$1013)-7),30)),"")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IFERROR(INDEX(출고!$B$8:$B$1013,SMALL(IF(출고!$C$8:$C$1013=마스터!$M$6,ROW(출고!$C$8:$C$1013)-7),1)),"")</f>
        <v/>
      </c>
      <c r="C45" s="6" t="str">
        <f t="array" ref="C45">IFERROR(INDEX(출고!$E$8:$E$1013,SMALL(IF(출고!$C$8:$C$1013=마스터!$M$6,ROW(출고!$C$8:$C$1013)-7),1)),"")</f>
        <v/>
      </c>
      <c r="D45" s="8" t="str">
        <f t="array" ref="D45">IFERROR(INDEX(출고!$F$8:$F$1013,SMALL(IF(출고!$C$8:$C$1013=마스터!$M$6,ROW(출고!$C$8:$C$1013)-7),1)),"")</f>
        <v/>
      </c>
      <c r="E45" s="46" t="str">
        <f t="array" ref="E45">IFERROR(INDEX(출고!$H$8:$H$1013,SMALL(IF(출고!$C$8:$C$1013=마스터!$M$6,ROW(출고!$C$8:$C$1013)-7),1)),"")</f>
        <v/>
      </c>
      <c r="F45" s="46" t="str">
        <f t="array" ref="F45">IFERROR(INDEX(출고!$I$8:$I$1013,SMALL(IF(출고!$C$8:$C$1013=마스터!$M$6,ROW(출고!$C$8:$C$1013)-7),1)),"")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IFERROR(INDEX(출고!$B$8:$B$1013,SMALL(IF(출고!$C$8:$C$1013=마스터!$M$6,ROW(출고!$C$8:$C$1013)-7),2)),"")</f>
        <v/>
      </c>
      <c r="C46" s="11" t="str">
        <f t="array" ref="C46">IFERROR(INDEX(출고!$E$8:$E$1013,SMALL(IF(출고!$C$8:$C$1013=마스터!$M$6,ROW(출고!$C$8:$C$1013)-7),2)),"")</f>
        <v/>
      </c>
      <c r="D46" s="13" t="str">
        <f t="array" ref="D46">IFERROR(INDEX(출고!$F$8:$F$1013,SMALL(IF(출고!$C$8:$C$1013=마스터!$M$6,ROW(출고!$C$8:$C$1013)-7),2)),"")</f>
        <v/>
      </c>
      <c r="E46" s="50" t="str">
        <f t="array" ref="E46">IFERROR(INDEX(출고!$H$8:$H$1013,SMALL(IF(출고!$C$8:$C$1013=마스터!$M$6,ROW(출고!$C$8:$C$1013)-7),2)),"")</f>
        <v/>
      </c>
      <c r="F46" s="50" t="str">
        <f t="array" ref="F46">IFERROR(INDEX(출고!$I$8:$I$1013,SMALL(IF(출고!$C$8:$C$1013=마스터!$M$6,ROW(출고!$C$8:$C$1013)-7),2)),"")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IFERROR(INDEX(출고!$B$8:$B$1013,SMALL(IF(출고!$C$8:$C$1013=마스터!$M$6,ROW(출고!$C$8:$C$1013)-7),3)),"")</f>
        <v/>
      </c>
      <c r="C47" s="6" t="str">
        <f t="array" ref="C47">IFERROR(INDEX(출고!$E$8:$E$1013,SMALL(IF(출고!$C$8:$C$1013=마스터!$M$6,ROW(출고!$C$8:$C$1013)-7),3)),"")</f>
        <v/>
      </c>
      <c r="D47" s="8" t="str">
        <f t="array" ref="D47">IFERROR(INDEX(출고!$F$8:$F$1013,SMALL(IF(출고!$C$8:$C$1013=마스터!$M$6,ROW(출고!$C$8:$C$1013)-7),3)),"")</f>
        <v/>
      </c>
      <c r="E47" s="46" t="str">
        <f t="array" ref="E47">IFERROR(INDEX(출고!$H$8:$H$1013,SMALL(IF(출고!$C$8:$C$1013=마스터!$M$6,ROW(출고!$C$8:$C$1013)-7),3)),"")</f>
        <v/>
      </c>
      <c r="F47" s="46" t="str">
        <f t="array" ref="F47">IFERROR(INDEX(출고!$I$8:$I$1013,SMALL(IF(출고!$C$8:$C$1013=마스터!$M$6,ROW(출고!$C$8:$C$1013)-7),3)),"")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IFERROR(INDEX(출고!$B$8:$B$1013,SMALL(IF(출고!$C$8:$C$1013=마스터!$M$6,ROW(출고!$C$8:$C$1013)-7),4)),"")</f>
        <v/>
      </c>
      <c r="C48" s="11" t="str">
        <f t="array" ref="C48">IFERROR(INDEX(출고!$E$8:$E$1013,SMALL(IF(출고!$C$8:$C$1013=마스터!$M$6,ROW(출고!$C$8:$C$1013)-7),4)),"")</f>
        <v/>
      </c>
      <c r="D48" s="13" t="str">
        <f t="array" ref="D48">IFERROR(INDEX(출고!$F$8:$F$1013,SMALL(IF(출고!$C$8:$C$1013=마스터!$M$6,ROW(출고!$C$8:$C$1013)-7),4)),"")</f>
        <v/>
      </c>
      <c r="E48" s="50" t="str">
        <f t="array" ref="E48">IFERROR(INDEX(출고!$H$8:$H$1013,SMALL(IF(출고!$C$8:$C$1013=마스터!$M$6,ROW(출고!$C$8:$C$1013)-7),4)),"")</f>
        <v/>
      </c>
      <c r="F48" s="50" t="str">
        <f t="array" ref="F48">IFERROR(INDEX(출고!$I$8:$I$1013,SMALL(IF(출고!$C$8:$C$1013=마스터!$M$6,ROW(출고!$C$8:$C$1013)-7),4)),"")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IFERROR(INDEX(출고!$B$8:$B$1013,SMALL(IF(출고!$C$8:$C$1013=마스터!$M$6,ROW(출고!$C$8:$C$1013)-7),5)),"")</f>
        <v/>
      </c>
      <c r="C49" s="6" t="str">
        <f t="array" ref="C49">IFERROR(INDEX(출고!$E$8:$E$1013,SMALL(IF(출고!$C$8:$C$1013=마스터!$M$6,ROW(출고!$C$8:$C$1013)-7),5)),"")</f>
        <v/>
      </c>
      <c r="D49" s="8" t="str">
        <f t="array" ref="D49">IFERROR(INDEX(출고!$F$8:$F$1013,SMALL(IF(출고!$C$8:$C$1013=마스터!$M$6,ROW(출고!$C$8:$C$1013)-7),5)),"")</f>
        <v/>
      </c>
      <c r="E49" s="46" t="str">
        <f t="array" ref="E49">IFERROR(INDEX(출고!$H$8:$H$1013,SMALL(IF(출고!$C$8:$C$1013=마스터!$M$6,ROW(출고!$C$8:$C$1013)-7),5)),"")</f>
        <v/>
      </c>
      <c r="F49" s="46" t="str">
        <f t="array" ref="F49">IFERROR(INDEX(출고!$I$8:$I$1013,SMALL(IF(출고!$C$8:$C$1013=마스터!$M$6,ROW(출고!$C$8:$C$1013)-7),5)),"")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IFERROR(INDEX(출고!$B$8:$B$1013,SMALL(IF(출고!$C$8:$C$1013=마스터!$M$6,ROW(출고!$C$8:$C$1013)-7),6)),"")</f>
        <v/>
      </c>
      <c r="C50" s="11" t="str">
        <f t="array" ref="C50">IFERROR(INDEX(출고!$E$8:$E$1013,SMALL(IF(출고!$C$8:$C$1013=마스터!$M$6,ROW(출고!$C$8:$C$1013)-7),6)),"")</f>
        <v/>
      </c>
      <c r="D50" s="13" t="str">
        <f t="array" ref="D50">IFERROR(INDEX(출고!$F$8:$F$1013,SMALL(IF(출고!$C$8:$C$1013=마스터!$M$6,ROW(출고!$C$8:$C$1013)-7),6)),"")</f>
        <v/>
      </c>
      <c r="E50" s="50" t="str">
        <f t="array" ref="E50">IFERROR(INDEX(출고!$H$8:$H$1013,SMALL(IF(출고!$C$8:$C$1013=마스터!$M$6,ROW(출고!$C$8:$C$1013)-7),6)),"")</f>
        <v/>
      </c>
      <c r="F50" s="50" t="str">
        <f t="array" ref="F50">IFERROR(INDEX(출고!$I$8:$I$1013,SMALL(IF(출고!$C$8:$C$1013=마스터!$M$6,ROW(출고!$C$8:$C$1013)-7),6)),"")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IFERROR(INDEX(출고!$B$8:$B$1013,SMALL(IF(출고!$C$8:$C$1013=마스터!$M$6,ROW(출고!$C$8:$C$1013)-7),7)),"")</f>
        <v/>
      </c>
      <c r="C51" s="6" t="str">
        <f t="array" ref="C51">IFERROR(INDEX(출고!$E$8:$E$1013,SMALL(IF(출고!$C$8:$C$1013=마스터!$M$6,ROW(출고!$C$8:$C$1013)-7),7)),"")</f>
        <v/>
      </c>
      <c r="D51" s="8" t="str">
        <f t="array" ref="D51">IFERROR(INDEX(출고!$F$8:$F$1013,SMALL(IF(출고!$C$8:$C$1013=마스터!$M$6,ROW(출고!$C$8:$C$1013)-7),7)),"")</f>
        <v/>
      </c>
      <c r="E51" s="46" t="str">
        <f t="array" ref="E51">IFERROR(INDEX(출고!$H$8:$H$1013,SMALL(IF(출고!$C$8:$C$1013=마스터!$M$6,ROW(출고!$C$8:$C$1013)-7),7)),"")</f>
        <v/>
      </c>
      <c r="F51" s="46" t="str">
        <f t="array" ref="F51">IFERROR(INDEX(출고!$I$8:$I$1013,SMALL(IF(출고!$C$8:$C$1013=마스터!$M$6,ROW(출고!$C$8:$C$1013)-7),7)),"")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IFERROR(INDEX(출고!$B$8:$B$1013,SMALL(IF(출고!$C$8:$C$1013=마스터!$M$6,ROW(출고!$C$8:$C$1013)-7),8)),"")</f>
        <v/>
      </c>
      <c r="C52" s="11" t="str">
        <f t="array" ref="C52">IFERROR(INDEX(출고!$E$8:$E$1013,SMALL(IF(출고!$C$8:$C$1013=마스터!$M$6,ROW(출고!$C$8:$C$1013)-7),8)),"")</f>
        <v/>
      </c>
      <c r="D52" s="13" t="str">
        <f t="array" ref="D52">IFERROR(INDEX(출고!$F$8:$F$1013,SMALL(IF(출고!$C$8:$C$1013=마스터!$M$6,ROW(출고!$C$8:$C$1013)-7),8)),"")</f>
        <v/>
      </c>
      <c r="E52" s="50" t="str">
        <f t="array" ref="E52">IFERROR(INDEX(출고!$H$8:$H$1013,SMALL(IF(출고!$C$8:$C$1013=마스터!$M$6,ROW(출고!$C$8:$C$1013)-7),8)),"")</f>
        <v/>
      </c>
      <c r="F52" s="50" t="str">
        <f t="array" ref="F52">IFERROR(INDEX(출고!$I$8:$I$1013,SMALL(IF(출고!$C$8:$C$1013=마스터!$M$6,ROW(출고!$C$8:$C$1013)-7),8)),"")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IFERROR(INDEX(출고!$B$8:$B$1013,SMALL(IF(출고!$C$8:$C$1013=마스터!$M$6,ROW(출고!$C$8:$C$1013)-7),9)),"")</f>
        <v/>
      </c>
      <c r="C53" s="6" t="str">
        <f t="array" ref="C53">IFERROR(INDEX(출고!$E$8:$E$1013,SMALL(IF(출고!$C$8:$C$1013=마스터!$M$6,ROW(출고!$C$8:$C$1013)-7),9)),"")</f>
        <v/>
      </c>
      <c r="D53" s="8" t="str">
        <f t="array" ref="D53">IFERROR(INDEX(출고!$F$8:$F$1013,SMALL(IF(출고!$C$8:$C$1013=마스터!$M$6,ROW(출고!$C$8:$C$1013)-7),9)),"")</f>
        <v/>
      </c>
      <c r="E53" s="46" t="str">
        <f t="array" ref="E53">IFERROR(INDEX(출고!$H$8:$H$1013,SMALL(IF(출고!$C$8:$C$1013=마스터!$M$6,ROW(출고!$C$8:$C$1013)-7),9)),"")</f>
        <v/>
      </c>
      <c r="F53" s="46" t="str">
        <f t="array" ref="F53">IFERROR(INDEX(출고!$I$8:$I$1013,SMALL(IF(출고!$C$8:$C$1013=마스터!$M$6,ROW(출고!$C$8:$C$1013)-7),9)),"")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IFERROR(INDEX(출고!$B$8:$B$1013,SMALL(IF(출고!$C$8:$C$1013=마스터!$M$6,ROW(출고!$C$8:$C$1013)-7),10)),"")</f>
        <v/>
      </c>
      <c r="C54" s="11" t="str">
        <f t="array" ref="C54">IFERROR(INDEX(출고!$E$8:$E$1013,SMALL(IF(출고!$C$8:$C$1013=마스터!$M$6,ROW(출고!$C$8:$C$1013)-7),10)),"")</f>
        <v/>
      </c>
      <c r="D54" s="13" t="str">
        <f t="array" ref="D54">IFERROR(INDEX(출고!$F$8:$F$1013,SMALL(IF(출고!$C$8:$C$1013=마스터!$M$6,ROW(출고!$C$8:$C$1013)-7),10)),"")</f>
        <v/>
      </c>
      <c r="E54" s="50" t="str">
        <f t="array" ref="E54">IFERROR(INDEX(출고!$H$8:$H$1013,SMALL(IF(출고!$C$8:$C$1013=마스터!$M$6,ROW(출고!$C$8:$C$1013)-7),10)),"")</f>
        <v/>
      </c>
      <c r="F54" s="50" t="str">
        <f t="array" ref="F54">IFERROR(INDEX(출고!$I$8:$I$1013,SMALL(IF(출고!$C$8:$C$1013=마스터!$M$6,ROW(출고!$C$8:$C$1013)-7),10)),"")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IFERROR(INDEX(출고!$B$8:$B$1013,SMALL(IF(출고!$C$8:$C$1013=마스터!$M$6,ROW(출고!$C$8:$C$1013)-7),11)),"")</f>
        <v/>
      </c>
      <c r="C55" s="6" t="str">
        <f t="array" ref="C55">IFERROR(INDEX(출고!$E$8:$E$1013,SMALL(IF(출고!$C$8:$C$1013=마스터!$M$6,ROW(출고!$C$8:$C$1013)-7),11)),"")</f>
        <v/>
      </c>
      <c r="D55" s="8" t="str">
        <f t="array" ref="D55">IFERROR(INDEX(출고!$F$8:$F$1013,SMALL(IF(출고!$C$8:$C$1013=마스터!$M$6,ROW(출고!$C$8:$C$1013)-7),11)),"")</f>
        <v/>
      </c>
      <c r="E55" s="46" t="str">
        <f t="array" ref="E55">IFERROR(INDEX(출고!$H$8:$H$1013,SMALL(IF(출고!$C$8:$C$1013=마스터!$M$6,ROW(출고!$C$8:$C$1013)-7),11)),"")</f>
        <v/>
      </c>
      <c r="F55" s="46" t="str">
        <f t="array" ref="F55">IFERROR(INDEX(출고!$I$8:$I$1013,SMALL(IF(출고!$C$8:$C$1013=마스터!$M$6,ROW(출고!$C$8:$C$1013)-7),11)),"")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IFERROR(INDEX(출고!$B$8:$B$1013,SMALL(IF(출고!$C$8:$C$1013=마스터!$M$6,ROW(출고!$C$8:$C$1013)-7),12)),"")</f>
        <v/>
      </c>
      <c r="C56" s="11" t="str">
        <f t="array" ref="C56">IFERROR(INDEX(출고!$E$8:$E$1013,SMALL(IF(출고!$C$8:$C$1013=마스터!$M$6,ROW(출고!$C$8:$C$1013)-7),12)),"")</f>
        <v/>
      </c>
      <c r="D56" s="13" t="str">
        <f t="array" ref="D56">IFERROR(INDEX(출고!$F$8:$F$1013,SMALL(IF(출고!$C$8:$C$1013=마스터!$M$6,ROW(출고!$C$8:$C$1013)-7),12)),"")</f>
        <v/>
      </c>
      <c r="E56" s="50" t="str">
        <f t="array" ref="E56">IFERROR(INDEX(출고!$H$8:$H$1013,SMALL(IF(출고!$C$8:$C$1013=마스터!$M$6,ROW(출고!$C$8:$C$1013)-7),12)),"")</f>
        <v/>
      </c>
      <c r="F56" s="50" t="str">
        <f t="array" ref="F56">IFERROR(INDEX(출고!$I$8:$I$1013,SMALL(IF(출고!$C$8:$C$1013=마스터!$M$6,ROW(출고!$C$8:$C$1013)-7),12)),"")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IFERROR(INDEX(출고!$B$8:$B$1013,SMALL(IF(출고!$C$8:$C$1013=마스터!$M$6,ROW(출고!$C$8:$C$1013)-7),13)),"")</f>
        <v/>
      </c>
      <c r="C57" s="6" t="str">
        <f t="array" ref="C57">IFERROR(INDEX(출고!$E$8:$E$1013,SMALL(IF(출고!$C$8:$C$1013=마스터!$M$6,ROW(출고!$C$8:$C$1013)-7),13)),"")</f>
        <v/>
      </c>
      <c r="D57" s="8" t="str">
        <f t="array" ref="D57">IFERROR(INDEX(출고!$F$8:$F$1013,SMALL(IF(출고!$C$8:$C$1013=마스터!$M$6,ROW(출고!$C$8:$C$1013)-7),13)),"")</f>
        <v/>
      </c>
      <c r="E57" s="46" t="str">
        <f t="array" ref="E57">IFERROR(INDEX(출고!$H$8:$H$1013,SMALL(IF(출고!$C$8:$C$1013=마스터!$M$6,ROW(출고!$C$8:$C$1013)-7),13)),"")</f>
        <v/>
      </c>
      <c r="F57" s="46" t="str">
        <f t="array" ref="F57">IFERROR(INDEX(출고!$I$8:$I$1013,SMALL(IF(출고!$C$8:$C$1013=마스터!$M$6,ROW(출고!$C$8:$C$1013)-7),13)),"")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IFERROR(INDEX(출고!$B$8:$B$1013,SMALL(IF(출고!$C$8:$C$1013=마스터!$M$6,ROW(출고!$C$8:$C$1013)-7),14)),"")</f>
        <v/>
      </c>
      <c r="C58" s="11" t="str">
        <f t="array" ref="C58">IFERROR(INDEX(출고!$E$8:$E$1013,SMALL(IF(출고!$C$8:$C$1013=마스터!$M$6,ROW(출고!$C$8:$C$1013)-7),14)),"")</f>
        <v/>
      </c>
      <c r="D58" s="13" t="str">
        <f t="array" ref="D58">IFERROR(INDEX(출고!$F$8:$F$1013,SMALL(IF(출고!$C$8:$C$1013=마스터!$M$6,ROW(출고!$C$8:$C$1013)-7),14)),"")</f>
        <v/>
      </c>
      <c r="E58" s="50" t="str">
        <f t="array" ref="E58">IFERROR(INDEX(출고!$H$8:$H$1013,SMALL(IF(출고!$C$8:$C$1013=마스터!$M$6,ROW(출고!$C$8:$C$1013)-7),14)),"")</f>
        <v/>
      </c>
      <c r="F58" s="50" t="str">
        <f t="array" ref="F58">IFERROR(INDEX(출고!$I$8:$I$1013,SMALL(IF(출고!$C$8:$C$1013=마스터!$M$6,ROW(출고!$C$8:$C$1013)-7),14)),"")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IFERROR(INDEX(출고!$B$8:$B$1013,SMALL(IF(출고!$C$8:$C$1013=마스터!$M$6,ROW(출고!$C$8:$C$1013)-7),15)),"")</f>
        <v/>
      </c>
      <c r="C59" s="6" t="str">
        <f t="array" ref="C59">IFERROR(INDEX(출고!$E$8:$E$1013,SMALL(IF(출고!$C$8:$C$1013=마스터!$M$6,ROW(출고!$C$8:$C$1013)-7),15)),"")</f>
        <v/>
      </c>
      <c r="D59" s="8" t="str">
        <f t="array" ref="D59">IFERROR(INDEX(출고!$F$8:$F$1013,SMALL(IF(출고!$C$8:$C$1013=마스터!$M$6,ROW(출고!$C$8:$C$1013)-7),15)),"")</f>
        <v/>
      </c>
      <c r="E59" s="46" t="str">
        <f t="array" ref="E59">IFERROR(INDEX(출고!$H$8:$H$1013,SMALL(IF(출고!$C$8:$C$1013=마스터!$M$6,ROW(출고!$C$8:$C$1013)-7),15)),"")</f>
        <v/>
      </c>
      <c r="F59" s="46" t="str">
        <f t="array" ref="F59">IFERROR(INDEX(출고!$I$8:$I$1013,SMALL(IF(출고!$C$8:$C$1013=마스터!$M$6,ROW(출고!$C$8:$C$1013)-7),15)),"")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IFERROR(INDEX(출고!$B$8:$B$1013,SMALL(IF(출고!$C$8:$C$1013=마스터!$M$6,ROW(출고!$C$8:$C$1013)-7),16)),"")</f>
        <v/>
      </c>
      <c r="C60" s="11" t="str">
        <f t="array" ref="C60">IFERROR(INDEX(출고!$E$8:$E$1013,SMALL(IF(출고!$C$8:$C$1013=마스터!$M$6,ROW(출고!$C$8:$C$1013)-7),16)),"")</f>
        <v/>
      </c>
      <c r="D60" s="13" t="str">
        <f t="array" ref="D60">IFERROR(INDEX(출고!$F$8:$F$1013,SMALL(IF(출고!$C$8:$C$1013=마스터!$M$6,ROW(출고!$C$8:$C$1013)-7),16)),"")</f>
        <v/>
      </c>
      <c r="E60" s="50" t="str">
        <f t="array" ref="E60">IFERROR(INDEX(출고!$H$8:$H$1013,SMALL(IF(출고!$C$8:$C$1013=마스터!$M$6,ROW(출고!$C$8:$C$1013)-7),16)),"")</f>
        <v/>
      </c>
      <c r="F60" s="50" t="str">
        <f t="array" ref="F60">IFERROR(INDEX(출고!$I$8:$I$1013,SMALL(IF(출고!$C$8:$C$1013=마스터!$M$6,ROW(출고!$C$8:$C$1013)-7),16)),"")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IFERROR(INDEX(출고!$B$8:$B$1013,SMALL(IF(출고!$C$8:$C$1013=마스터!$M$6,ROW(출고!$C$8:$C$1013)-7),17)),"")</f>
        <v/>
      </c>
      <c r="C61" s="6" t="str">
        <f t="array" ref="C61">IFERROR(INDEX(출고!$E$8:$E$1013,SMALL(IF(출고!$C$8:$C$1013=마스터!$M$6,ROW(출고!$C$8:$C$1013)-7),17)),"")</f>
        <v/>
      </c>
      <c r="D61" s="8" t="str">
        <f t="array" ref="D61">IFERROR(INDEX(출고!$F$8:$F$1013,SMALL(IF(출고!$C$8:$C$1013=마스터!$M$6,ROW(출고!$C$8:$C$1013)-7),17)),"")</f>
        <v/>
      </c>
      <c r="E61" s="46" t="str">
        <f t="array" ref="E61">IFERROR(INDEX(출고!$H$8:$H$1013,SMALL(IF(출고!$C$8:$C$1013=마스터!$M$6,ROW(출고!$C$8:$C$1013)-7),17)),"")</f>
        <v/>
      </c>
      <c r="F61" s="46" t="str">
        <f t="array" ref="F61">IFERROR(INDEX(출고!$I$8:$I$1013,SMALL(IF(출고!$C$8:$C$1013=마스터!$M$6,ROW(출고!$C$8:$C$1013)-7),17)),"")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IFERROR(INDEX(출고!$B$8:$B$1013,SMALL(IF(출고!$C$8:$C$1013=마스터!$M$6,ROW(출고!$C$8:$C$1013)-7),18)),"")</f>
        <v/>
      </c>
      <c r="C62" s="11" t="str">
        <f t="array" ref="C62">IFERROR(INDEX(출고!$E$8:$E$1013,SMALL(IF(출고!$C$8:$C$1013=마스터!$M$6,ROW(출고!$C$8:$C$1013)-7),18)),"")</f>
        <v/>
      </c>
      <c r="D62" s="13" t="str">
        <f t="array" ref="D62">IFERROR(INDEX(출고!$F$8:$F$1013,SMALL(IF(출고!$C$8:$C$1013=마스터!$M$6,ROW(출고!$C$8:$C$1013)-7),18)),"")</f>
        <v/>
      </c>
      <c r="E62" s="50" t="str">
        <f t="array" ref="E62">IFERROR(INDEX(출고!$H$8:$H$1013,SMALL(IF(출고!$C$8:$C$1013=마스터!$M$6,ROW(출고!$C$8:$C$1013)-7),18)),"")</f>
        <v/>
      </c>
      <c r="F62" s="50" t="str">
        <f t="array" ref="F62">IFERROR(INDEX(출고!$I$8:$I$1013,SMALL(IF(출고!$C$8:$C$1013=마스터!$M$6,ROW(출고!$C$8:$C$1013)-7),18)),"")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IFERROR(INDEX(출고!$B$8:$B$1013,SMALL(IF(출고!$C$8:$C$1013=마스터!$M$6,ROW(출고!$C$8:$C$1013)-7),19)),"")</f>
        <v/>
      </c>
      <c r="C63" s="6" t="str">
        <f t="array" ref="C63">IFERROR(INDEX(출고!$E$8:$E$1013,SMALL(IF(출고!$C$8:$C$1013=마스터!$M$6,ROW(출고!$C$8:$C$1013)-7),19)),"")</f>
        <v/>
      </c>
      <c r="D63" s="8" t="str">
        <f t="array" ref="D63">IFERROR(INDEX(출고!$F$8:$F$1013,SMALL(IF(출고!$C$8:$C$1013=마스터!$M$6,ROW(출고!$C$8:$C$1013)-7),19)),"")</f>
        <v/>
      </c>
      <c r="E63" s="46" t="str">
        <f t="array" ref="E63">IFERROR(INDEX(출고!$H$8:$H$1013,SMALL(IF(출고!$C$8:$C$1013=마스터!$M$6,ROW(출고!$C$8:$C$1013)-7),19)),"")</f>
        <v/>
      </c>
      <c r="F63" s="46" t="str">
        <f t="array" ref="F63">IFERROR(INDEX(출고!$I$8:$I$1013,SMALL(IF(출고!$C$8:$C$1013=마스터!$M$6,ROW(출고!$C$8:$C$1013)-7),19)),"")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IFERROR(INDEX(출고!$B$8:$B$1013,SMALL(IF(출고!$C$8:$C$1013=마스터!$M$6,ROW(출고!$C$8:$C$1013)-7),20)),"")</f>
        <v/>
      </c>
      <c r="C64" s="11" t="str">
        <f t="array" ref="C64">IFERROR(INDEX(출고!$E$8:$E$1013,SMALL(IF(출고!$C$8:$C$1013=마스터!$M$6,ROW(출고!$C$8:$C$1013)-7),20)),"")</f>
        <v/>
      </c>
      <c r="D64" s="13" t="str">
        <f t="array" ref="D64">IFERROR(INDEX(출고!$F$8:$F$1013,SMALL(IF(출고!$C$8:$C$1013=마스터!$M$6,ROW(출고!$C$8:$C$1013)-7),20)),"")</f>
        <v/>
      </c>
      <c r="E64" s="50" t="str">
        <f t="array" ref="E64">IFERROR(INDEX(출고!$H$8:$H$1013,SMALL(IF(출고!$C$8:$C$1013=마스터!$M$6,ROW(출고!$C$8:$C$1013)-7),20)),"")</f>
        <v/>
      </c>
      <c r="F64" s="50" t="str">
        <f t="array" ref="F64">IFERROR(INDEX(출고!$I$8:$I$1013,SMALL(IF(출고!$C$8:$C$1013=마스터!$M$6,ROW(출고!$C$8:$C$1013)-7),20)),"")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IFERROR(INDEX(출고!$B$8:$B$1013,SMALL(IF(출고!$C$8:$C$1013=마스터!$M$6,ROW(출고!$C$8:$C$1013)-7),21)),"")</f>
        <v/>
      </c>
      <c r="C65" s="6" t="str">
        <f t="array" ref="C65">IFERROR(INDEX(출고!$E$8:$E$1013,SMALL(IF(출고!$C$8:$C$1013=마스터!$M$6,ROW(출고!$C$8:$C$1013)-7),21)),"")</f>
        <v/>
      </c>
      <c r="D65" s="8" t="str">
        <f t="array" ref="D65">IFERROR(INDEX(출고!$F$8:$F$1013,SMALL(IF(출고!$C$8:$C$1013=마스터!$M$6,ROW(출고!$C$8:$C$1013)-7),21)),"")</f>
        <v/>
      </c>
      <c r="E65" s="46" t="str">
        <f t="array" ref="E65">IFERROR(INDEX(출고!$H$8:$H$1013,SMALL(IF(출고!$C$8:$C$1013=마스터!$M$6,ROW(출고!$C$8:$C$1013)-7),21)),"")</f>
        <v/>
      </c>
      <c r="F65" s="46" t="str">
        <f t="array" ref="F65">IFERROR(INDEX(출고!$I$8:$I$1013,SMALL(IF(출고!$C$8:$C$1013=마스터!$M$6,ROW(출고!$C$8:$C$1013)-7),21)),"")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IFERROR(INDEX(출고!$B$8:$B$1013,SMALL(IF(출고!$C$8:$C$1013=마스터!$M$6,ROW(출고!$C$8:$C$1013)-7),22)),"")</f>
        <v/>
      </c>
      <c r="C66" s="11" t="str">
        <f t="array" ref="C66">IFERROR(INDEX(출고!$E$8:$E$1013,SMALL(IF(출고!$C$8:$C$1013=마스터!$M$6,ROW(출고!$C$8:$C$1013)-7),22)),"")</f>
        <v/>
      </c>
      <c r="D66" s="13" t="str">
        <f t="array" ref="D66">IFERROR(INDEX(출고!$F$8:$F$1013,SMALL(IF(출고!$C$8:$C$1013=마스터!$M$6,ROW(출고!$C$8:$C$1013)-7),22)),"")</f>
        <v/>
      </c>
      <c r="E66" s="50" t="str">
        <f t="array" ref="E66">IFERROR(INDEX(출고!$H$8:$H$1013,SMALL(IF(출고!$C$8:$C$1013=마스터!$M$6,ROW(출고!$C$8:$C$1013)-7),22)),"")</f>
        <v/>
      </c>
      <c r="F66" s="50" t="str">
        <f t="array" ref="F66">IFERROR(INDEX(출고!$I$8:$I$1013,SMALL(IF(출고!$C$8:$C$1013=마스터!$M$6,ROW(출고!$C$8:$C$1013)-7),22)),"")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IFERROR(INDEX(출고!$B$8:$B$1013,SMALL(IF(출고!$C$8:$C$1013=마스터!$M$6,ROW(출고!$C$8:$C$1013)-7),23)),"")</f>
        <v/>
      </c>
      <c r="C67" s="6" t="str">
        <f t="array" ref="C67">IFERROR(INDEX(출고!$E$8:$E$1013,SMALL(IF(출고!$C$8:$C$1013=마스터!$M$6,ROW(출고!$C$8:$C$1013)-7),23)),"")</f>
        <v/>
      </c>
      <c r="D67" s="8" t="str">
        <f t="array" ref="D67">IFERROR(INDEX(출고!$F$8:$F$1013,SMALL(IF(출고!$C$8:$C$1013=마스터!$M$6,ROW(출고!$C$8:$C$1013)-7),23)),"")</f>
        <v/>
      </c>
      <c r="E67" s="46" t="str">
        <f t="array" ref="E67">IFERROR(INDEX(출고!$H$8:$H$1013,SMALL(IF(출고!$C$8:$C$1013=마스터!$M$6,ROW(출고!$C$8:$C$1013)-7),23)),"")</f>
        <v/>
      </c>
      <c r="F67" s="46" t="str">
        <f t="array" ref="F67">IFERROR(INDEX(출고!$I$8:$I$1013,SMALL(IF(출고!$C$8:$C$1013=마스터!$M$6,ROW(출고!$C$8:$C$1013)-7),23)),"")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IFERROR(INDEX(출고!$B$8:$B$1013,SMALL(IF(출고!$C$8:$C$1013=마스터!$M$6,ROW(출고!$C$8:$C$1013)-7),24)),"")</f>
        <v/>
      </c>
      <c r="C68" s="11" t="str">
        <f t="array" ref="C68">IFERROR(INDEX(출고!$E$8:$E$1013,SMALL(IF(출고!$C$8:$C$1013=마스터!$M$6,ROW(출고!$C$8:$C$1013)-7),24)),"")</f>
        <v/>
      </c>
      <c r="D68" s="13" t="str">
        <f t="array" ref="D68">IFERROR(INDEX(출고!$F$8:$F$1013,SMALL(IF(출고!$C$8:$C$1013=마스터!$M$6,ROW(출고!$C$8:$C$1013)-7),24)),"")</f>
        <v/>
      </c>
      <c r="E68" s="50" t="str">
        <f t="array" ref="E68">IFERROR(INDEX(출고!$H$8:$H$1013,SMALL(IF(출고!$C$8:$C$1013=마스터!$M$6,ROW(출고!$C$8:$C$1013)-7),24)),"")</f>
        <v/>
      </c>
      <c r="F68" s="50" t="str">
        <f t="array" ref="F68">IFERROR(INDEX(출고!$I$8:$I$1013,SMALL(IF(출고!$C$8:$C$1013=마스터!$M$6,ROW(출고!$C$8:$C$1013)-7),24)),"")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IFERROR(INDEX(출고!$B$8:$B$1013,SMALL(IF(출고!$C$8:$C$1013=마스터!$M$6,ROW(출고!$C$8:$C$1013)-7),25)),"")</f>
        <v/>
      </c>
      <c r="C69" s="6" t="str">
        <f t="array" ref="C69">IFERROR(INDEX(출고!$E$8:$E$1013,SMALL(IF(출고!$C$8:$C$1013=마스터!$M$6,ROW(출고!$C$8:$C$1013)-7),25)),"")</f>
        <v/>
      </c>
      <c r="D69" s="8" t="str">
        <f t="array" ref="D69">IFERROR(INDEX(출고!$F$8:$F$1013,SMALL(IF(출고!$C$8:$C$1013=마스터!$M$6,ROW(출고!$C$8:$C$1013)-7),25)),"")</f>
        <v/>
      </c>
      <c r="E69" s="46" t="str">
        <f t="array" ref="E69">IFERROR(INDEX(출고!$H$8:$H$1013,SMALL(IF(출고!$C$8:$C$1013=마스터!$M$6,ROW(출고!$C$8:$C$1013)-7),25)),"")</f>
        <v/>
      </c>
      <c r="F69" s="46" t="str">
        <f t="array" ref="F69">IFERROR(INDEX(출고!$I$8:$I$1013,SMALL(IF(출고!$C$8:$C$1013=마스터!$M$6,ROW(출고!$C$8:$C$1013)-7),25)),"")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IFERROR(INDEX(출고!$B$8:$B$1013,SMALL(IF(출고!$C$8:$C$1013=마스터!$M$6,ROW(출고!$C$8:$C$1013)-7),26)),"")</f>
        <v/>
      </c>
      <c r="C70" s="11" t="str">
        <f t="array" ref="C70">IFERROR(INDEX(출고!$E$8:$E$1013,SMALL(IF(출고!$C$8:$C$1013=마스터!$M$6,ROW(출고!$C$8:$C$1013)-7),26)),"")</f>
        <v/>
      </c>
      <c r="D70" s="13" t="str">
        <f t="array" ref="D70">IFERROR(INDEX(출고!$F$8:$F$1013,SMALL(IF(출고!$C$8:$C$1013=마스터!$M$6,ROW(출고!$C$8:$C$1013)-7),26)),"")</f>
        <v/>
      </c>
      <c r="E70" s="50" t="str">
        <f t="array" ref="E70">IFERROR(INDEX(출고!$H$8:$H$1013,SMALL(IF(출고!$C$8:$C$1013=마스터!$M$6,ROW(출고!$C$8:$C$1013)-7),26)),"")</f>
        <v/>
      </c>
      <c r="F70" s="50" t="str">
        <f t="array" ref="F70">IFERROR(INDEX(출고!$I$8:$I$1013,SMALL(IF(출고!$C$8:$C$1013=마스터!$M$6,ROW(출고!$C$8:$C$1013)-7),26)),"")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IFERROR(INDEX(출고!$B$8:$B$1013,SMALL(IF(출고!$C$8:$C$1013=마스터!$M$6,ROW(출고!$C$8:$C$1013)-7),27)),"")</f>
        <v/>
      </c>
      <c r="C71" s="6" t="str">
        <f t="array" ref="C71">IFERROR(INDEX(출고!$E$8:$E$1013,SMALL(IF(출고!$C$8:$C$1013=마스터!$M$6,ROW(출고!$C$8:$C$1013)-7),27)),"")</f>
        <v/>
      </c>
      <c r="D71" s="8" t="str">
        <f t="array" ref="D71">IFERROR(INDEX(출고!$F$8:$F$1013,SMALL(IF(출고!$C$8:$C$1013=마스터!$M$6,ROW(출고!$C$8:$C$1013)-7),27)),"")</f>
        <v/>
      </c>
      <c r="E71" s="46" t="str">
        <f t="array" ref="E71">IFERROR(INDEX(출고!$H$8:$H$1013,SMALL(IF(출고!$C$8:$C$1013=마스터!$M$6,ROW(출고!$C$8:$C$1013)-7),27)),"")</f>
        <v/>
      </c>
      <c r="F71" s="46" t="str">
        <f t="array" ref="F71">IFERROR(INDEX(출고!$I$8:$I$1013,SMALL(IF(출고!$C$8:$C$1013=마스터!$M$6,ROW(출고!$C$8:$C$1013)-7),27)),"")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IFERROR(INDEX(출고!$B$8:$B$1013,SMALL(IF(출고!$C$8:$C$1013=마스터!$M$6,ROW(출고!$C$8:$C$1013)-7),28)),"")</f>
        <v/>
      </c>
      <c r="C72" s="11" t="str">
        <f t="array" ref="C72">IFERROR(INDEX(출고!$E$8:$E$1013,SMALL(IF(출고!$C$8:$C$1013=마스터!$M$6,ROW(출고!$C$8:$C$1013)-7),28)),"")</f>
        <v/>
      </c>
      <c r="D72" s="13" t="str">
        <f t="array" ref="D72">IFERROR(INDEX(출고!$F$8:$F$1013,SMALL(IF(출고!$C$8:$C$1013=마스터!$M$6,ROW(출고!$C$8:$C$1013)-7),28)),"")</f>
        <v/>
      </c>
      <c r="E72" s="50" t="str">
        <f t="array" ref="E72">IFERROR(INDEX(출고!$H$8:$H$1013,SMALL(IF(출고!$C$8:$C$1013=마스터!$M$6,ROW(출고!$C$8:$C$1013)-7),28)),"")</f>
        <v/>
      </c>
      <c r="F72" s="50" t="str">
        <f t="array" ref="F72">IFERROR(INDEX(출고!$I$8:$I$1013,SMALL(IF(출고!$C$8:$C$1013=마스터!$M$6,ROW(출고!$C$8:$C$1013)-7),28)),"")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IFERROR(INDEX(출고!$B$8:$B$1013,SMALL(IF(출고!$C$8:$C$1013=마스터!$M$6,ROW(출고!$C$8:$C$1013)-7),29)),"")</f>
        <v/>
      </c>
      <c r="C73" s="6" t="str">
        <f t="array" ref="C73">IFERROR(INDEX(출고!$E$8:$E$1013,SMALL(IF(출고!$C$8:$C$1013=마스터!$M$6,ROW(출고!$C$8:$C$1013)-7),29)),"")</f>
        <v/>
      </c>
      <c r="D73" s="8" t="str">
        <f t="array" ref="D73">IFERROR(INDEX(출고!$F$8:$F$1013,SMALL(IF(출고!$C$8:$C$1013=마스터!$M$6,ROW(출고!$C$8:$C$1013)-7),29)),"")</f>
        <v/>
      </c>
      <c r="E73" s="46" t="str">
        <f t="array" ref="E73">IFERROR(INDEX(출고!$H$8:$H$1013,SMALL(IF(출고!$C$8:$C$1013=마스터!$M$6,ROW(출고!$C$8:$C$1013)-7),29)),"")</f>
        <v/>
      </c>
      <c r="F73" s="46" t="str">
        <f t="array" ref="F73">IFERROR(INDEX(출고!$I$8:$I$1013,SMALL(IF(출고!$C$8:$C$1013=마스터!$M$6,ROW(출고!$C$8:$C$1013)-7),29)),"")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IFERROR(INDEX(출고!$B$8:$B$1013,SMALL(IF(출고!$C$8:$C$1013=마스터!$M$6,ROW(출고!$C$8:$C$1013)-7),30)),"")</f>
        <v/>
      </c>
      <c r="C74" s="11" t="str">
        <f t="array" ref="C74">IFERROR(INDEX(출고!$E$8:$E$1013,SMALL(IF(출고!$C$8:$C$1013=마스터!$M$6,ROW(출고!$C$8:$C$1013)-7),30)),"")</f>
        <v/>
      </c>
      <c r="D74" s="13" t="str">
        <f t="array" ref="D74">IFERROR(INDEX(출고!$F$8:$F$1013,SMALL(IF(출고!$C$8:$C$1013=마스터!$M$6,ROW(출고!$C$8:$C$1013)-7),30)),"")</f>
        <v/>
      </c>
      <c r="E74" s="50" t="str">
        <f t="array" ref="E74">IFERROR(INDEX(출고!$H$8:$H$1013,SMALL(IF(출고!$C$8:$C$1013=마스터!$M$6,ROW(출고!$C$8:$C$1013)-7),30)),"")</f>
        <v/>
      </c>
      <c r="F74" s="50" t="str">
        <f t="array" ref="F74">IFERROR(INDEX(출고!$I$8:$I$1013,SMALL(IF(출고!$C$8:$C$1013=마스터!$M$6,ROW(출고!$C$8:$C$1013)-7),30)),"")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IFERROR(INDEX(입고!$E$8:$E$1013,SMALL(IF((입고!$C$8:$C$1013=마스터!$M$6)*(입고!$AC$8:$AC$1013=1),ROW(입고!$C$8:$C$1013)-7),1)),"")</f>
        <v>R251017CW002</v>
      </c>
      <c r="C78" s="8">
        <f>IF(B78="","",SUMIFS(입고!$F$8:$F$1013,입고!$C$8:$C$1013,마스터!$M$6,입고!$E$8:$E$1013,B78))</f>
        <v>55</v>
      </c>
      <c r="D78" s="8">
        <f>IF(B78="","",SUMIFS(출고!$F$8:$F$1013,출고!$C$8:$C$1013,마스터!$M$6,출고!$E$8:$E$1013,B78))</f>
        <v>0</v>
      </c>
      <c r="E78" s="40">
        <f t="shared" ref="E78:E107" si="5">IF(B78="","",C78-D78)</f>
        <v>55</v>
      </c>
    </row>
    <row r="79" spans="1:7" ht="23.25" customHeight="1" x14ac:dyDescent="0.25">
      <c r="A79" s="11" t="str">
        <f t="shared" si="4"/>
        <v/>
      </c>
      <c r="B79" s="11" t="str">
        <f t="array" ref="B79">IFERROR(INDEX(입고!$E$8:$E$1013,SMALL(IF((입고!$C$8:$C$1013=마스터!$M$6)*(입고!$AC$8:$AC$1013=1),ROW(입고!$C$8:$C$1013)-7),2)),"")</f>
        <v/>
      </c>
      <c r="C79" s="13" t="str">
        <f>IF(B79="","",SUMIFS(입고!$F$8:$F$1013,입고!$C$8:$C$1013,마스터!$M$6,입고!$E$8:$E$1013,B79))</f>
        <v/>
      </c>
      <c r="D79" s="13" t="str">
        <f>IF(B79="","",SUMIFS(출고!$F$8:$F$1013,출고!$C$8:$C$1013,마스터!$M$6,출고!$E$8:$E$1013,B79))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IFERROR(INDEX(입고!$E$8:$E$1013,SMALL(IF((입고!$C$8:$C$1013=마스터!$M$6)*(입고!$AC$8:$AC$1013=1),ROW(입고!$C$8:$C$1013)-7),3)),"")</f>
        <v/>
      </c>
      <c r="C80" s="8" t="str">
        <f>IF(B80="","",SUMIFS(입고!$F$8:$F$1013,입고!$C$8:$C$1013,마스터!$M$6,입고!$E$8:$E$1013,B80))</f>
        <v/>
      </c>
      <c r="D80" s="8" t="str">
        <f>IF(B80="","",SUMIFS(출고!$F$8:$F$1013,출고!$C$8:$C$1013,마스터!$M$6,출고!$E$8:$E$1013,B80))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IFERROR(INDEX(입고!$E$8:$E$1013,SMALL(IF((입고!$C$8:$C$1013=마스터!$M$6)*(입고!$AC$8:$AC$1013=1),ROW(입고!$C$8:$C$1013)-7),4)),"")</f>
        <v/>
      </c>
      <c r="C81" s="13" t="str">
        <f>IF(B81="","",SUMIFS(입고!$F$8:$F$1013,입고!$C$8:$C$1013,마스터!$M$6,입고!$E$8:$E$1013,B81))</f>
        <v/>
      </c>
      <c r="D81" s="13" t="str">
        <f>IF(B81="","",SUMIFS(출고!$F$8:$F$1013,출고!$C$8:$C$1013,마스터!$M$6,출고!$E$8:$E$1013,B81))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IFERROR(INDEX(입고!$E$8:$E$1013,SMALL(IF((입고!$C$8:$C$1013=마스터!$M$6)*(입고!$AC$8:$AC$1013=1),ROW(입고!$C$8:$C$1013)-7),5)),"")</f>
        <v/>
      </c>
      <c r="C82" s="8" t="str">
        <f>IF(B82="","",SUMIFS(입고!$F$8:$F$1013,입고!$C$8:$C$1013,마스터!$M$6,입고!$E$8:$E$1013,B82))</f>
        <v/>
      </c>
      <c r="D82" s="8" t="str">
        <f>IF(B82="","",SUMIFS(출고!$F$8:$F$1013,출고!$C$8:$C$1013,마스터!$M$6,출고!$E$8:$E$1013,B82))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IFERROR(INDEX(입고!$E$8:$E$1013,SMALL(IF((입고!$C$8:$C$1013=마스터!$M$6)*(입고!$AC$8:$AC$1013=1),ROW(입고!$C$8:$C$1013)-7),6)),"")</f>
        <v/>
      </c>
      <c r="C83" s="13" t="str">
        <f>IF(B83="","",SUMIFS(입고!$F$8:$F$1013,입고!$C$8:$C$1013,마스터!$M$6,입고!$E$8:$E$1013,B83))</f>
        <v/>
      </c>
      <c r="D83" s="13" t="str">
        <f>IF(B83="","",SUMIFS(출고!$F$8:$F$1013,출고!$C$8:$C$1013,마스터!$M$6,출고!$E$8:$E$1013,B83))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IFERROR(INDEX(입고!$E$8:$E$1013,SMALL(IF((입고!$C$8:$C$1013=마스터!$M$6)*(입고!$AC$8:$AC$1013=1),ROW(입고!$C$8:$C$1013)-7),7)),"")</f>
        <v/>
      </c>
      <c r="C84" s="8" t="str">
        <f>IF(B84="","",SUMIFS(입고!$F$8:$F$1013,입고!$C$8:$C$1013,마스터!$M$6,입고!$E$8:$E$1013,B84))</f>
        <v/>
      </c>
      <c r="D84" s="8" t="str">
        <f>IF(B84="","",SUMIFS(출고!$F$8:$F$1013,출고!$C$8:$C$1013,마스터!$M$6,출고!$E$8:$E$1013,B84))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IFERROR(INDEX(입고!$E$8:$E$1013,SMALL(IF((입고!$C$8:$C$1013=마스터!$M$6)*(입고!$AC$8:$AC$1013=1),ROW(입고!$C$8:$C$1013)-7),8)),"")</f>
        <v/>
      </c>
      <c r="C85" s="13" t="str">
        <f>IF(B85="","",SUMIFS(입고!$F$8:$F$1013,입고!$C$8:$C$1013,마스터!$M$6,입고!$E$8:$E$1013,B85))</f>
        <v/>
      </c>
      <c r="D85" s="13" t="str">
        <f>IF(B85="","",SUMIFS(출고!$F$8:$F$1013,출고!$C$8:$C$1013,마스터!$M$6,출고!$E$8:$E$1013,B85))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IFERROR(INDEX(입고!$E$8:$E$1013,SMALL(IF((입고!$C$8:$C$1013=마스터!$M$6)*(입고!$AC$8:$AC$1013=1),ROW(입고!$C$8:$C$1013)-7),9)),"")</f>
        <v/>
      </c>
      <c r="C86" s="8" t="str">
        <f>IF(B86="","",SUMIFS(입고!$F$8:$F$1013,입고!$C$8:$C$1013,마스터!$M$6,입고!$E$8:$E$1013,B86))</f>
        <v/>
      </c>
      <c r="D86" s="8" t="str">
        <f>IF(B86="","",SUMIFS(출고!$F$8:$F$1013,출고!$C$8:$C$1013,마스터!$M$6,출고!$E$8:$E$1013,B86))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IFERROR(INDEX(입고!$E$8:$E$1013,SMALL(IF((입고!$C$8:$C$1013=마스터!$M$6)*(입고!$AC$8:$AC$1013=1),ROW(입고!$C$8:$C$1013)-7),10)),"")</f>
        <v/>
      </c>
      <c r="C87" s="13" t="str">
        <f>IF(B87="","",SUMIFS(입고!$F$8:$F$1013,입고!$C$8:$C$1013,마스터!$M$6,입고!$E$8:$E$1013,B87))</f>
        <v/>
      </c>
      <c r="D87" s="13" t="str">
        <f>IF(B87="","",SUMIFS(출고!$F$8:$F$1013,출고!$C$8:$C$1013,마스터!$M$6,출고!$E$8:$E$1013,B87))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IFERROR(INDEX(입고!$E$8:$E$1013,SMALL(IF((입고!$C$8:$C$1013=마스터!$M$6)*(입고!$AC$8:$AC$1013=1),ROW(입고!$C$8:$C$1013)-7),11)),"")</f>
        <v/>
      </c>
      <c r="C88" s="8" t="str">
        <f>IF(B88="","",SUMIFS(입고!$F$8:$F$1013,입고!$C$8:$C$1013,마스터!$M$6,입고!$E$8:$E$1013,B88))</f>
        <v/>
      </c>
      <c r="D88" s="8" t="str">
        <f>IF(B88="","",SUMIFS(출고!$F$8:$F$1013,출고!$C$8:$C$1013,마스터!$M$6,출고!$E$8:$E$1013,B88))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IFERROR(INDEX(입고!$E$8:$E$1013,SMALL(IF((입고!$C$8:$C$1013=마스터!$M$6)*(입고!$AC$8:$AC$1013=1),ROW(입고!$C$8:$C$1013)-7),12)),"")</f>
        <v/>
      </c>
      <c r="C89" s="13" t="str">
        <f>IF(B89="","",SUMIFS(입고!$F$8:$F$1013,입고!$C$8:$C$1013,마스터!$M$6,입고!$E$8:$E$1013,B89))</f>
        <v/>
      </c>
      <c r="D89" s="13" t="str">
        <f>IF(B89="","",SUMIFS(출고!$F$8:$F$1013,출고!$C$8:$C$1013,마스터!$M$6,출고!$E$8:$E$1013,B89))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IFERROR(INDEX(입고!$E$8:$E$1013,SMALL(IF((입고!$C$8:$C$1013=마스터!$M$6)*(입고!$AC$8:$AC$1013=1),ROW(입고!$C$8:$C$1013)-7),13)),"")</f>
        <v/>
      </c>
      <c r="C90" s="8" t="str">
        <f>IF(B90="","",SUMIFS(입고!$F$8:$F$1013,입고!$C$8:$C$1013,마스터!$M$6,입고!$E$8:$E$1013,B90))</f>
        <v/>
      </c>
      <c r="D90" s="8" t="str">
        <f>IF(B90="","",SUMIFS(출고!$F$8:$F$1013,출고!$C$8:$C$1013,마스터!$M$6,출고!$E$8:$E$1013,B90))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IFERROR(INDEX(입고!$E$8:$E$1013,SMALL(IF((입고!$C$8:$C$1013=마스터!$M$6)*(입고!$AC$8:$AC$1013=1),ROW(입고!$C$8:$C$1013)-7),14)),"")</f>
        <v/>
      </c>
      <c r="C91" s="13" t="str">
        <f>IF(B91="","",SUMIFS(입고!$F$8:$F$1013,입고!$C$8:$C$1013,마스터!$M$6,입고!$E$8:$E$1013,B91))</f>
        <v/>
      </c>
      <c r="D91" s="13" t="str">
        <f>IF(B91="","",SUMIFS(출고!$F$8:$F$1013,출고!$C$8:$C$1013,마스터!$M$6,출고!$E$8:$E$1013,B91))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IFERROR(INDEX(입고!$E$8:$E$1013,SMALL(IF((입고!$C$8:$C$1013=마스터!$M$6)*(입고!$AC$8:$AC$1013=1),ROW(입고!$C$8:$C$1013)-7),15)),"")</f>
        <v/>
      </c>
      <c r="C92" s="8" t="str">
        <f>IF(B92="","",SUMIFS(입고!$F$8:$F$1013,입고!$C$8:$C$1013,마스터!$M$6,입고!$E$8:$E$1013,B92))</f>
        <v/>
      </c>
      <c r="D92" s="8" t="str">
        <f>IF(B92="","",SUMIFS(출고!$F$8:$F$1013,출고!$C$8:$C$1013,마스터!$M$6,출고!$E$8:$E$1013,B92))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IFERROR(INDEX(입고!$E$8:$E$1013,SMALL(IF((입고!$C$8:$C$1013=마스터!$M$6)*(입고!$AC$8:$AC$1013=1),ROW(입고!$C$8:$C$1013)-7),16)),"")</f>
        <v/>
      </c>
      <c r="C93" s="13" t="str">
        <f>IF(B93="","",SUMIFS(입고!$F$8:$F$1013,입고!$C$8:$C$1013,마스터!$M$6,입고!$E$8:$E$1013,B93))</f>
        <v/>
      </c>
      <c r="D93" s="13" t="str">
        <f>IF(B93="","",SUMIFS(출고!$F$8:$F$1013,출고!$C$8:$C$1013,마스터!$M$6,출고!$E$8:$E$1013,B93))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IFERROR(INDEX(입고!$E$8:$E$1013,SMALL(IF((입고!$C$8:$C$1013=마스터!$M$6)*(입고!$AC$8:$AC$1013=1),ROW(입고!$C$8:$C$1013)-7),17)),"")</f>
        <v/>
      </c>
      <c r="C94" s="8" t="str">
        <f>IF(B94="","",SUMIFS(입고!$F$8:$F$1013,입고!$C$8:$C$1013,마스터!$M$6,입고!$E$8:$E$1013,B94))</f>
        <v/>
      </c>
      <c r="D94" s="8" t="str">
        <f>IF(B94="","",SUMIFS(출고!$F$8:$F$1013,출고!$C$8:$C$1013,마스터!$M$6,출고!$E$8:$E$1013,B94))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IFERROR(INDEX(입고!$E$8:$E$1013,SMALL(IF((입고!$C$8:$C$1013=마스터!$M$6)*(입고!$AC$8:$AC$1013=1),ROW(입고!$C$8:$C$1013)-7),18)),"")</f>
        <v/>
      </c>
      <c r="C95" s="13" t="str">
        <f>IF(B95="","",SUMIFS(입고!$F$8:$F$1013,입고!$C$8:$C$1013,마스터!$M$6,입고!$E$8:$E$1013,B95))</f>
        <v/>
      </c>
      <c r="D95" s="13" t="str">
        <f>IF(B95="","",SUMIFS(출고!$F$8:$F$1013,출고!$C$8:$C$1013,마스터!$M$6,출고!$E$8:$E$1013,B95))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IFERROR(INDEX(입고!$E$8:$E$1013,SMALL(IF((입고!$C$8:$C$1013=마스터!$M$6)*(입고!$AC$8:$AC$1013=1),ROW(입고!$C$8:$C$1013)-7),19)),"")</f>
        <v/>
      </c>
      <c r="C96" s="8" t="str">
        <f>IF(B96="","",SUMIFS(입고!$F$8:$F$1013,입고!$C$8:$C$1013,마스터!$M$6,입고!$E$8:$E$1013,B96))</f>
        <v/>
      </c>
      <c r="D96" s="8" t="str">
        <f>IF(B96="","",SUMIFS(출고!$F$8:$F$1013,출고!$C$8:$C$1013,마스터!$M$6,출고!$E$8:$E$1013,B96))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IFERROR(INDEX(입고!$E$8:$E$1013,SMALL(IF((입고!$C$8:$C$1013=마스터!$M$6)*(입고!$AC$8:$AC$1013=1),ROW(입고!$C$8:$C$1013)-7),20)),"")</f>
        <v/>
      </c>
      <c r="C97" s="13" t="str">
        <f>IF(B97="","",SUMIFS(입고!$F$8:$F$1013,입고!$C$8:$C$1013,마스터!$M$6,입고!$E$8:$E$1013,B97))</f>
        <v/>
      </c>
      <c r="D97" s="13" t="str">
        <f>IF(B97="","",SUMIFS(출고!$F$8:$F$1013,출고!$C$8:$C$1013,마스터!$M$6,출고!$E$8:$E$1013,B97))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IFERROR(INDEX(입고!$E$8:$E$1013,SMALL(IF((입고!$C$8:$C$1013=마스터!$M$6)*(입고!$AC$8:$AC$1013=1),ROW(입고!$C$8:$C$1013)-7),21)),"")</f>
        <v/>
      </c>
      <c r="C98" s="8" t="str">
        <f>IF(B98="","",SUMIFS(입고!$F$8:$F$1013,입고!$C$8:$C$1013,마스터!$M$6,입고!$E$8:$E$1013,B98))</f>
        <v/>
      </c>
      <c r="D98" s="8" t="str">
        <f>IF(B98="","",SUMIFS(출고!$F$8:$F$1013,출고!$C$8:$C$1013,마스터!$M$6,출고!$E$8:$E$1013,B98))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IFERROR(INDEX(입고!$E$8:$E$1013,SMALL(IF((입고!$C$8:$C$1013=마스터!$M$6)*(입고!$AC$8:$AC$1013=1),ROW(입고!$C$8:$C$1013)-7),22)),"")</f>
        <v/>
      </c>
      <c r="C99" s="13" t="str">
        <f>IF(B99="","",SUMIFS(입고!$F$8:$F$1013,입고!$C$8:$C$1013,마스터!$M$6,입고!$E$8:$E$1013,B99))</f>
        <v/>
      </c>
      <c r="D99" s="13" t="str">
        <f>IF(B99="","",SUMIFS(출고!$F$8:$F$1013,출고!$C$8:$C$1013,마스터!$M$6,출고!$E$8:$E$1013,B99))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IFERROR(INDEX(입고!$E$8:$E$1013,SMALL(IF((입고!$C$8:$C$1013=마스터!$M$6)*(입고!$AC$8:$AC$1013=1),ROW(입고!$C$8:$C$1013)-7),23)),"")</f>
        <v/>
      </c>
      <c r="C100" s="8" t="str">
        <f>IF(B100="","",SUMIFS(입고!$F$8:$F$1013,입고!$C$8:$C$1013,마스터!$M$6,입고!$E$8:$E$1013,B100))</f>
        <v/>
      </c>
      <c r="D100" s="8" t="str">
        <f>IF(B100="","",SUMIFS(출고!$F$8:$F$1013,출고!$C$8:$C$1013,마스터!$M$6,출고!$E$8:$E$1013,B100))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IFERROR(INDEX(입고!$E$8:$E$1013,SMALL(IF((입고!$C$8:$C$1013=마스터!$M$6)*(입고!$AC$8:$AC$1013=1),ROW(입고!$C$8:$C$1013)-7),24)),"")</f>
        <v/>
      </c>
      <c r="C101" s="13" t="str">
        <f>IF(B101="","",SUMIFS(입고!$F$8:$F$1013,입고!$C$8:$C$1013,마스터!$M$6,입고!$E$8:$E$1013,B101))</f>
        <v/>
      </c>
      <c r="D101" s="13" t="str">
        <f>IF(B101="","",SUMIFS(출고!$F$8:$F$1013,출고!$C$8:$C$1013,마스터!$M$6,출고!$E$8:$E$1013,B101))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IFERROR(INDEX(입고!$E$8:$E$1013,SMALL(IF((입고!$C$8:$C$1013=마스터!$M$6)*(입고!$AC$8:$AC$1013=1),ROW(입고!$C$8:$C$1013)-7),25)),"")</f>
        <v/>
      </c>
      <c r="C102" s="8" t="str">
        <f>IF(B102="","",SUMIFS(입고!$F$8:$F$1013,입고!$C$8:$C$1013,마스터!$M$6,입고!$E$8:$E$1013,B102))</f>
        <v/>
      </c>
      <c r="D102" s="8" t="str">
        <f>IF(B102="","",SUMIFS(출고!$F$8:$F$1013,출고!$C$8:$C$1013,마스터!$M$6,출고!$E$8:$E$1013,B102))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IFERROR(INDEX(입고!$E$8:$E$1013,SMALL(IF((입고!$C$8:$C$1013=마스터!$M$6)*(입고!$AC$8:$AC$1013=1),ROW(입고!$C$8:$C$1013)-7),26)),"")</f>
        <v/>
      </c>
      <c r="C103" s="13" t="str">
        <f>IF(B103="","",SUMIFS(입고!$F$8:$F$1013,입고!$C$8:$C$1013,마스터!$M$6,입고!$E$8:$E$1013,B103))</f>
        <v/>
      </c>
      <c r="D103" s="13" t="str">
        <f>IF(B103="","",SUMIFS(출고!$F$8:$F$1013,출고!$C$8:$C$1013,마스터!$M$6,출고!$E$8:$E$1013,B103))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IFERROR(INDEX(입고!$E$8:$E$1013,SMALL(IF((입고!$C$8:$C$1013=마스터!$M$6)*(입고!$AC$8:$AC$1013=1),ROW(입고!$C$8:$C$1013)-7),27)),"")</f>
        <v/>
      </c>
      <c r="C104" s="8" t="str">
        <f>IF(B104="","",SUMIFS(입고!$F$8:$F$1013,입고!$C$8:$C$1013,마스터!$M$6,입고!$E$8:$E$1013,B104))</f>
        <v/>
      </c>
      <c r="D104" s="8" t="str">
        <f>IF(B104="","",SUMIFS(출고!$F$8:$F$1013,출고!$C$8:$C$1013,마스터!$M$6,출고!$E$8:$E$1013,B104))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IFERROR(INDEX(입고!$E$8:$E$1013,SMALL(IF((입고!$C$8:$C$1013=마스터!$M$6)*(입고!$AC$8:$AC$1013=1),ROW(입고!$C$8:$C$1013)-7),28)),"")</f>
        <v/>
      </c>
      <c r="C105" s="13" t="str">
        <f>IF(B105="","",SUMIFS(입고!$F$8:$F$1013,입고!$C$8:$C$1013,마스터!$M$6,입고!$E$8:$E$1013,B105))</f>
        <v/>
      </c>
      <c r="D105" s="13" t="str">
        <f>IF(B105="","",SUMIFS(출고!$F$8:$F$1013,출고!$C$8:$C$1013,마스터!$M$6,출고!$E$8:$E$1013,B105))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IFERROR(INDEX(입고!$E$8:$E$1013,SMALL(IF((입고!$C$8:$C$1013=마스터!$M$6)*(입고!$AC$8:$AC$1013=1),ROW(입고!$C$8:$C$1013)-7),29)),"")</f>
        <v/>
      </c>
      <c r="C106" s="8" t="str">
        <f>IF(B106="","",SUMIFS(입고!$F$8:$F$1013,입고!$C$8:$C$1013,마스터!$M$6,입고!$E$8:$E$1013,B106))</f>
        <v/>
      </c>
      <c r="D106" s="8" t="str">
        <f>IF(B106="","",SUMIFS(출고!$F$8:$F$1013,출고!$C$8:$C$1013,마스터!$M$6,출고!$E$8:$E$1013,B106))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IFERROR(INDEX(입고!$E$8:$E$1013,SMALL(IF((입고!$C$8:$C$1013=마스터!$M$6)*(입고!$AC$8:$AC$1013=1),ROW(입고!$C$8:$C$1013)-7),30)),"")</f>
        <v/>
      </c>
      <c r="C107" s="13" t="str">
        <f>IF(B107="","",SUMIFS(입고!$F$8:$F$1013,입고!$C$8:$C$1013,마스터!$M$6,입고!$E$8:$E$1013,B107))</f>
        <v/>
      </c>
      <c r="D107" s="13" t="str">
        <f>IF(B107="","",SUMIFS(출고!$F$8:$F$1013,출고!$C$8:$C$1013,마스터!$M$6,출고!$E$8:$E$1013,B107))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4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CONCATENATE("[04] ", 마스터!D7, "  |  ", 마스터!F7)</f>
        <v>[04] 세라믹울 96K 국산  |  50T × 400W × 3800L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마스터!D7</f>
        <v>세라믹울 96K 국산</v>
      </c>
      <c r="D4" s="1" t="s">
        <v>11</v>
      </c>
      <c r="E4" s="53">
        <f>SUMIFS(입고!$F$8:$F$1013,입고!$C$8:$C$1013,마스터!$M$7)</f>
        <v>0</v>
      </c>
    </row>
    <row r="5" spans="1:9" ht="15" customHeight="1" x14ac:dyDescent="0.25">
      <c r="A5" s="1" t="s">
        <v>7</v>
      </c>
      <c r="B5" s="52" t="str">
        <f>마스터!E7</f>
        <v>504003800</v>
      </c>
      <c r="D5" s="1" t="s">
        <v>12</v>
      </c>
      <c r="E5" s="53">
        <f>SUMIFS(출고!$F$8:$F$1013,출고!$C$8:$C$1013,마스터!$M$7)</f>
        <v>0</v>
      </c>
    </row>
    <row r="6" spans="1:9" ht="23.25" customHeight="1" x14ac:dyDescent="0.25">
      <c r="A6" s="1" t="s">
        <v>26</v>
      </c>
      <c r="B6" s="52" t="str">
        <f>마스터!F7</f>
        <v>50T × 400W × 3800L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마스터!M7</f>
        <v>96K국산 50T × 400W × 3800L</v>
      </c>
      <c r="D7" s="1" t="s">
        <v>13</v>
      </c>
      <c r="E7" s="54">
        <f>마스터!$K$7+E4-E5</f>
        <v>0</v>
      </c>
    </row>
    <row r="8" spans="1:9" ht="15" customHeight="1" x14ac:dyDescent="0.25">
      <c r="A8" s="1" t="s">
        <v>10</v>
      </c>
      <c r="B8" s="53">
        <f>마스터!K7</f>
        <v>0</v>
      </c>
      <c r="D8" s="1" t="s">
        <v>123</v>
      </c>
      <c r="E8" s="55">
        <f t="array" ref="E8">IFERROR(MAX(MAX(IF(입고!$C$8:$C$1013=마스터!$M$7,입고!$B$8:$B$1013)),MAX(IF(출고!$C$8:$C$1013=마스터!$M$7,출고!$B$8:$B$1013))),"-")</f>
        <v>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 t="str">
        <f t="shared" ref="A12:A41" si="0">IF(B12="","",ROW()-11)</f>
        <v/>
      </c>
      <c r="B12" s="56" t="str">
        <f t="array" ref="B12">IFERROR(INDEX(입고!$B$8:$B$1013,SMALL(IF(입고!$C$8:$C$1013=마스터!$M$7,ROW(입고!$C$8:$C$1013)-7),1)),"")</f>
        <v/>
      </c>
      <c r="C12" s="6" t="str">
        <f t="array" ref="C12">IFERROR(INDEX(입고!$E$8:$E$1013,SMALL(IF(입고!$C$8:$C$1013=마스터!$M$7,ROW(입고!$C$8:$C$1013)-7),1)),"")</f>
        <v/>
      </c>
      <c r="D12" s="8" t="str">
        <f t="array" ref="D12">IFERROR(INDEX(입고!$F$8:$F$1013,SMALL(IF(입고!$C$8:$C$1013=마스터!$M$7,ROW(입고!$C$8:$C$1013)-7),1)),"")</f>
        <v/>
      </c>
      <c r="E12" s="46" t="str">
        <f t="array" ref="E12">IFERROR(INDEX(입고!$H$8:$H$1013,SMALL(IF(입고!$C$8:$C$1013=마스터!$M$7,ROW(입고!$C$8:$C$1013)-7),1)),"")</f>
        <v/>
      </c>
      <c r="F12" s="46" t="str">
        <f t="array" ref="F12">IFERROR(INDEX(입고!$I$8:$I$1013,SMALL(IF(입고!$C$8:$C$1013=마스터!$M$7,ROW(입고!$C$8:$C$1013)-7),1)),"")</f>
        <v/>
      </c>
      <c r="G12" s="57" t="str">
        <f>IF(B12="","",IFERROR(D12,0))</f>
        <v/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IFERROR(INDEX(입고!$B$8:$B$1013,SMALL(IF(입고!$C$8:$C$1013=마스터!$M$7,ROW(입고!$C$8:$C$1013)-7),2)),"")</f>
        <v/>
      </c>
      <c r="C13" s="11" t="str">
        <f t="array" ref="C13">IFERROR(INDEX(입고!$E$8:$E$1013,SMALL(IF(입고!$C$8:$C$1013=마스터!$M$7,ROW(입고!$C$8:$C$1013)-7),2)),"")</f>
        <v/>
      </c>
      <c r="D13" s="13" t="str">
        <f t="array" ref="D13">IFERROR(INDEX(입고!$F$8:$F$1013,SMALL(IF(입고!$C$8:$C$1013=마스터!$M$7,ROW(입고!$C$8:$C$1013)-7),2)),"")</f>
        <v/>
      </c>
      <c r="E13" s="50" t="str">
        <f t="array" ref="E13">IFERROR(INDEX(입고!$H$8:$H$1013,SMALL(IF(입고!$C$8:$C$1013=마스터!$M$7,ROW(입고!$C$8:$C$1013)-7),2)),"")</f>
        <v/>
      </c>
      <c r="F13" s="50" t="str">
        <f t="array" ref="F13">IFERROR(INDEX(입고!$I$8:$I$1013,SMALL(IF(입고!$C$8:$C$1013=마스터!$M$7,ROW(입고!$C$8:$C$1013)-7),2)),"")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IFERROR(INDEX(입고!$B$8:$B$1013,SMALL(IF(입고!$C$8:$C$1013=마스터!$M$7,ROW(입고!$C$8:$C$1013)-7),3)),"")</f>
        <v/>
      </c>
      <c r="C14" s="6" t="str">
        <f t="array" ref="C14">IFERROR(INDEX(입고!$E$8:$E$1013,SMALL(IF(입고!$C$8:$C$1013=마스터!$M$7,ROW(입고!$C$8:$C$1013)-7),3)),"")</f>
        <v/>
      </c>
      <c r="D14" s="8" t="str">
        <f t="array" ref="D14">IFERROR(INDEX(입고!$F$8:$F$1013,SMALL(IF(입고!$C$8:$C$1013=마스터!$M$7,ROW(입고!$C$8:$C$1013)-7),3)),"")</f>
        <v/>
      </c>
      <c r="E14" s="46" t="str">
        <f t="array" ref="E14">IFERROR(INDEX(입고!$H$8:$H$1013,SMALL(IF(입고!$C$8:$C$1013=마스터!$M$7,ROW(입고!$C$8:$C$1013)-7),3)),"")</f>
        <v/>
      </c>
      <c r="F14" s="46" t="str">
        <f t="array" ref="F14">IFERROR(INDEX(입고!$I$8:$I$1013,SMALL(IF(입고!$C$8:$C$1013=마스터!$M$7,ROW(입고!$C$8:$C$1013)-7),3)),"")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IFERROR(INDEX(입고!$B$8:$B$1013,SMALL(IF(입고!$C$8:$C$1013=마스터!$M$7,ROW(입고!$C$8:$C$1013)-7),4)),"")</f>
        <v/>
      </c>
      <c r="C15" s="11" t="str">
        <f t="array" ref="C15">IFERROR(INDEX(입고!$E$8:$E$1013,SMALL(IF(입고!$C$8:$C$1013=마스터!$M$7,ROW(입고!$C$8:$C$1013)-7),4)),"")</f>
        <v/>
      </c>
      <c r="D15" s="13" t="str">
        <f t="array" ref="D15">IFERROR(INDEX(입고!$F$8:$F$1013,SMALL(IF(입고!$C$8:$C$1013=마스터!$M$7,ROW(입고!$C$8:$C$1013)-7),4)),"")</f>
        <v/>
      </c>
      <c r="E15" s="50" t="str">
        <f t="array" ref="E15">IFERROR(INDEX(입고!$H$8:$H$1013,SMALL(IF(입고!$C$8:$C$1013=마스터!$M$7,ROW(입고!$C$8:$C$1013)-7),4)),"")</f>
        <v/>
      </c>
      <c r="F15" s="50" t="str">
        <f t="array" ref="F15">IFERROR(INDEX(입고!$I$8:$I$1013,SMALL(IF(입고!$C$8:$C$1013=마스터!$M$7,ROW(입고!$C$8:$C$1013)-7),4)),"")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IFERROR(INDEX(입고!$B$8:$B$1013,SMALL(IF(입고!$C$8:$C$1013=마스터!$M$7,ROW(입고!$C$8:$C$1013)-7),5)),"")</f>
        <v/>
      </c>
      <c r="C16" s="6" t="str">
        <f t="array" ref="C16">IFERROR(INDEX(입고!$E$8:$E$1013,SMALL(IF(입고!$C$8:$C$1013=마스터!$M$7,ROW(입고!$C$8:$C$1013)-7),5)),"")</f>
        <v/>
      </c>
      <c r="D16" s="8" t="str">
        <f t="array" ref="D16">IFERROR(INDEX(입고!$F$8:$F$1013,SMALL(IF(입고!$C$8:$C$1013=마스터!$M$7,ROW(입고!$C$8:$C$1013)-7),5)),"")</f>
        <v/>
      </c>
      <c r="E16" s="46" t="str">
        <f t="array" ref="E16">IFERROR(INDEX(입고!$H$8:$H$1013,SMALL(IF(입고!$C$8:$C$1013=마스터!$M$7,ROW(입고!$C$8:$C$1013)-7),5)),"")</f>
        <v/>
      </c>
      <c r="F16" s="46" t="str">
        <f t="array" ref="F16">IFERROR(INDEX(입고!$I$8:$I$1013,SMALL(IF(입고!$C$8:$C$1013=마스터!$M$7,ROW(입고!$C$8:$C$1013)-7),5)),"")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IFERROR(INDEX(입고!$B$8:$B$1013,SMALL(IF(입고!$C$8:$C$1013=마스터!$M$7,ROW(입고!$C$8:$C$1013)-7),6)),"")</f>
        <v/>
      </c>
      <c r="C17" s="11" t="str">
        <f t="array" ref="C17">IFERROR(INDEX(입고!$E$8:$E$1013,SMALL(IF(입고!$C$8:$C$1013=마스터!$M$7,ROW(입고!$C$8:$C$1013)-7),6)),"")</f>
        <v/>
      </c>
      <c r="D17" s="13" t="str">
        <f t="array" ref="D17">IFERROR(INDEX(입고!$F$8:$F$1013,SMALL(IF(입고!$C$8:$C$1013=마스터!$M$7,ROW(입고!$C$8:$C$1013)-7),6)),"")</f>
        <v/>
      </c>
      <c r="E17" s="50" t="str">
        <f t="array" ref="E17">IFERROR(INDEX(입고!$H$8:$H$1013,SMALL(IF(입고!$C$8:$C$1013=마스터!$M$7,ROW(입고!$C$8:$C$1013)-7),6)),"")</f>
        <v/>
      </c>
      <c r="F17" s="50" t="str">
        <f t="array" ref="F17">IFERROR(INDEX(입고!$I$8:$I$1013,SMALL(IF(입고!$C$8:$C$1013=마스터!$M$7,ROW(입고!$C$8:$C$1013)-7),6)),"")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IFERROR(INDEX(입고!$B$8:$B$1013,SMALL(IF(입고!$C$8:$C$1013=마스터!$M$7,ROW(입고!$C$8:$C$1013)-7),7)),"")</f>
        <v/>
      </c>
      <c r="C18" s="6" t="str">
        <f t="array" ref="C18">IFERROR(INDEX(입고!$E$8:$E$1013,SMALL(IF(입고!$C$8:$C$1013=마스터!$M$7,ROW(입고!$C$8:$C$1013)-7),7)),"")</f>
        <v/>
      </c>
      <c r="D18" s="8" t="str">
        <f t="array" ref="D18">IFERROR(INDEX(입고!$F$8:$F$1013,SMALL(IF(입고!$C$8:$C$1013=마스터!$M$7,ROW(입고!$C$8:$C$1013)-7),7)),"")</f>
        <v/>
      </c>
      <c r="E18" s="46" t="str">
        <f t="array" ref="E18">IFERROR(INDEX(입고!$H$8:$H$1013,SMALL(IF(입고!$C$8:$C$1013=마스터!$M$7,ROW(입고!$C$8:$C$1013)-7),7)),"")</f>
        <v/>
      </c>
      <c r="F18" s="46" t="str">
        <f t="array" ref="F18">IFERROR(INDEX(입고!$I$8:$I$1013,SMALL(IF(입고!$C$8:$C$1013=마스터!$M$7,ROW(입고!$C$8:$C$1013)-7),7)),"")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IFERROR(INDEX(입고!$B$8:$B$1013,SMALL(IF(입고!$C$8:$C$1013=마스터!$M$7,ROW(입고!$C$8:$C$1013)-7),8)),"")</f>
        <v/>
      </c>
      <c r="C19" s="11" t="str">
        <f t="array" ref="C19">IFERROR(INDEX(입고!$E$8:$E$1013,SMALL(IF(입고!$C$8:$C$1013=마스터!$M$7,ROW(입고!$C$8:$C$1013)-7),8)),"")</f>
        <v/>
      </c>
      <c r="D19" s="13" t="str">
        <f t="array" ref="D19">IFERROR(INDEX(입고!$F$8:$F$1013,SMALL(IF(입고!$C$8:$C$1013=마스터!$M$7,ROW(입고!$C$8:$C$1013)-7),8)),"")</f>
        <v/>
      </c>
      <c r="E19" s="50" t="str">
        <f t="array" ref="E19">IFERROR(INDEX(입고!$H$8:$H$1013,SMALL(IF(입고!$C$8:$C$1013=마스터!$M$7,ROW(입고!$C$8:$C$1013)-7),8)),"")</f>
        <v/>
      </c>
      <c r="F19" s="50" t="str">
        <f t="array" ref="F19">IFERROR(INDEX(입고!$I$8:$I$1013,SMALL(IF(입고!$C$8:$C$1013=마스터!$M$7,ROW(입고!$C$8:$C$1013)-7),8)),"")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IFERROR(INDEX(입고!$B$8:$B$1013,SMALL(IF(입고!$C$8:$C$1013=마스터!$M$7,ROW(입고!$C$8:$C$1013)-7),9)),"")</f>
        <v/>
      </c>
      <c r="C20" s="6" t="str">
        <f t="array" ref="C20">IFERROR(INDEX(입고!$E$8:$E$1013,SMALL(IF(입고!$C$8:$C$1013=마스터!$M$7,ROW(입고!$C$8:$C$1013)-7),9)),"")</f>
        <v/>
      </c>
      <c r="D20" s="8" t="str">
        <f t="array" ref="D20">IFERROR(INDEX(입고!$F$8:$F$1013,SMALL(IF(입고!$C$8:$C$1013=마스터!$M$7,ROW(입고!$C$8:$C$1013)-7),9)),"")</f>
        <v/>
      </c>
      <c r="E20" s="46" t="str">
        <f t="array" ref="E20">IFERROR(INDEX(입고!$H$8:$H$1013,SMALL(IF(입고!$C$8:$C$1013=마스터!$M$7,ROW(입고!$C$8:$C$1013)-7),9)),"")</f>
        <v/>
      </c>
      <c r="F20" s="46" t="str">
        <f t="array" ref="F20">IFERROR(INDEX(입고!$I$8:$I$1013,SMALL(IF(입고!$C$8:$C$1013=마스터!$M$7,ROW(입고!$C$8:$C$1013)-7),9)),"")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IFERROR(INDEX(입고!$B$8:$B$1013,SMALL(IF(입고!$C$8:$C$1013=마스터!$M$7,ROW(입고!$C$8:$C$1013)-7),10)),"")</f>
        <v/>
      </c>
      <c r="C21" s="11" t="str">
        <f t="array" ref="C21">IFERROR(INDEX(입고!$E$8:$E$1013,SMALL(IF(입고!$C$8:$C$1013=마스터!$M$7,ROW(입고!$C$8:$C$1013)-7),10)),"")</f>
        <v/>
      </c>
      <c r="D21" s="13" t="str">
        <f t="array" ref="D21">IFERROR(INDEX(입고!$F$8:$F$1013,SMALL(IF(입고!$C$8:$C$1013=마스터!$M$7,ROW(입고!$C$8:$C$1013)-7),10)),"")</f>
        <v/>
      </c>
      <c r="E21" s="50" t="str">
        <f t="array" ref="E21">IFERROR(INDEX(입고!$H$8:$H$1013,SMALL(IF(입고!$C$8:$C$1013=마스터!$M$7,ROW(입고!$C$8:$C$1013)-7),10)),"")</f>
        <v/>
      </c>
      <c r="F21" s="50" t="str">
        <f t="array" ref="F21">IFERROR(INDEX(입고!$I$8:$I$1013,SMALL(IF(입고!$C$8:$C$1013=마스터!$M$7,ROW(입고!$C$8:$C$1013)-7),10)),"")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IFERROR(INDEX(입고!$B$8:$B$1013,SMALL(IF(입고!$C$8:$C$1013=마스터!$M$7,ROW(입고!$C$8:$C$1013)-7),11)),"")</f>
        <v/>
      </c>
      <c r="C22" s="6" t="str">
        <f t="array" ref="C22">IFERROR(INDEX(입고!$E$8:$E$1013,SMALL(IF(입고!$C$8:$C$1013=마스터!$M$7,ROW(입고!$C$8:$C$1013)-7),11)),"")</f>
        <v/>
      </c>
      <c r="D22" s="8" t="str">
        <f t="array" ref="D22">IFERROR(INDEX(입고!$F$8:$F$1013,SMALL(IF(입고!$C$8:$C$1013=마스터!$M$7,ROW(입고!$C$8:$C$1013)-7),11)),"")</f>
        <v/>
      </c>
      <c r="E22" s="46" t="str">
        <f t="array" ref="E22">IFERROR(INDEX(입고!$H$8:$H$1013,SMALL(IF(입고!$C$8:$C$1013=마스터!$M$7,ROW(입고!$C$8:$C$1013)-7),11)),"")</f>
        <v/>
      </c>
      <c r="F22" s="46" t="str">
        <f t="array" ref="F22">IFERROR(INDEX(입고!$I$8:$I$1013,SMALL(IF(입고!$C$8:$C$1013=마스터!$M$7,ROW(입고!$C$8:$C$1013)-7),11)),"")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IFERROR(INDEX(입고!$B$8:$B$1013,SMALL(IF(입고!$C$8:$C$1013=마스터!$M$7,ROW(입고!$C$8:$C$1013)-7),12)),"")</f>
        <v/>
      </c>
      <c r="C23" s="11" t="str">
        <f t="array" ref="C23">IFERROR(INDEX(입고!$E$8:$E$1013,SMALL(IF(입고!$C$8:$C$1013=마스터!$M$7,ROW(입고!$C$8:$C$1013)-7),12)),"")</f>
        <v/>
      </c>
      <c r="D23" s="13" t="str">
        <f t="array" ref="D23">IFERROR(INDEX(입고!$F$8:$F$1013,SMALL(IF(입고!$C$8:$C$1013=마스터!$M$7,ROW(입고!$C$8:$C$1013)-7),12)),"")</f>
        <v/>
      </c>
      <c r="E23" s="50" t="str">
        <f t="array" ref="E23">IFERROR(INDEX(입고!$H$8:$H$1013,SMALL(IF(입고!$C$8:$C$1013=마스터!$M$7,ROW(입고!$C$8:$C$1013)-7),12)),"")</f>
        <v/>
      </c>
      <c r="F23" s="50" t="str">
        <f t="array" ref="F23">IFERROR(INDEX(입고!$I$8:$I$1013,SMALL(IF(입고!$C$8:$C$1013=마스터!$M$7,ROW(입고!$C$8:$C$1013)-7),12)),"")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IFERROR(INDEX(입고!$B$8:$B$1013,SMALL(IF(입고!$C$8:$C$1013=마스터!$M$7,ROW(입고!$C$8:$C$1013)-7),13)),"")</f>
        <v/>
      </c>
      <c r="C24" s="6" t="str">
        <f t="array" ref="C24">IFERROR(INDEX(입고!$E$8:$E$1013,SMALL(IF(입고!$C$8:$C$1013=마스터!$M$7,ROW(입고!$C$8:$C$1013)-7),13)),"")</f>
        <v/>
      </c>
      <c r="D24" s="8" t="str">
        <f t="array" ref="D24">IFERROR(INDEX(입고!$F$8:$F$1013,SMALL(IF(입고!$C$8:$C$1013=마스터!$M$7,ROW(입고!$C$8:$C$1013)-7),13)),"")</f>
        <v/>
      </c>
      <c r="E24" s="46" t="str">
        <f t="array" ref="E24">IFERROR(INDEX(입고!$H$8:$H$1013,SMALL(IF(입고!$C$8:$C$1013=마스터!$M$7,ROW(입고!$C$8:$C$1013)-7),13)),"")</f>
        <v/>
      </c>
      <c r="F24" s="46" t="str">
        <f t="array" ref="F24">IFERROR(INDEX(입고!$I$8:$I$1013,SMALL(IF(입고!$C$8:$C$1013=마스터!$M$7,ROW(입고!$C$8:$C$1013)-7),13)),"")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IFERROR(INDEX(입고!$B$8:$B$1013,SMALL(IF(입고!$C$8:$C$1013=마스터!$M$7,ROW(입고!$C$8:$C$1013)-7),14)),"")</f>
        <v/>
      </c>
      <c r="C25" s="11" t="str">
        <f t="array" ref="C25">IFERROR(INDEX(입고!$E$8:$E$1013,SMALL(IF(입고!$C$8:$C$1013=마스터!$M$7,ROW(입고!$C$8:$C$1013)-7),14)),"")</f>
        <v/>
      </c>
      <c r="D25" s="13" t="str">
        <f t="array" ref="D25">IFERROR(INDEX(입고!$F$8:$F$1013,SMALL(IF(입고!$C$8:$C$1013=마스터!$M$7,ROW(입고!$C$8:$C$1013)-7),14)),"")</f>
        <v/>
      </c>
      <c r="E25" s="50" t="str">
        <f t="array" ref="E25">IFERROR(INDEX(입고!$H$8:$H$1013,SMALL(IF(입고!$C$8:$C$1013=마스터!$M$7,ROW(입고!$C$8:$C$1013)-7),14)),"")</f>
        <v/>
      </c>
      <c r="F25" s="50" t="str">
        <f t="array" ref="F25">IFERROR(INDEX(입고!$I$8:$I$1013,SMALL(IF(입고!$C$8:$C$1013=마스터!$M$7,ROW(입고!$C$8:$C$1013)-7),14)),"")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IFERROR(INDEX(입고!$B$8:$B$1013,SMALL(IF(입고!$C$8:$C$1013=마스터!$M$7,ROW(입고!$C$8:$C$1013)-7),15)),"")</f>
        <v/>
      </c>
      <c r="C26" s="6" t="str">
        <f t="array" ref="C26">IFERROR(INDEX(입고!$E$8:$E$1013,SMALL(IF(입고!$C$8:$C$1013=마스터!$M$7,ROW(입고!$C$8:$C$1013)-7),15)),"")</f>
        <v/>
      </c>
      <c r="D26" s="8" t="str">
        <f t="array" ref="D26">IFERROR(INDEX(입고!$F$8:$F$1013,SMALL(IF(입고!$C$8:$C$1013=마스터!$M$7,ROW(입고!$C$8:$C$1013)-7),15)),"")</f>
        <v/>
      </c>
      <c r="E26" s="46" t="str">
        <f t="array" ref="E26">IFERROR(INDEX(입고!$H$8:$H$1013,SMALL(IF(입고!$C$8:$C$1013=마스터!$M$7,ROW(입고!$C$8:$C$1013)-7),15)),"")</f>
        <v/>
      </c>
      <c r="F26" s="46" t="str">
        <f t="array" ref="F26">IFERROR(INDEX(입고!$I$8:$I$1013,SMALL(IF(입고!$C$8:$C$1013=마스터!$M$7,ROW(입고!$C$8:$C$1013)-7),15)),"")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IFERROR(INDEX(입고!$B$8:$B$1013,SMALL(IF(입고!$C$8:$C$1013=마스터!$M$7,ROW(입고!$C$8:$C$1013)-7),16)),"")</f>
        <v/>
      </c>
      <c r="C27" s="11" t="str">
        <f t="array" ref="C27">IFERROR(INDEX(입고!$E$8:$E$1013,SMALL(IF(입고!$C$8:$C$1013=마스터!$M$7,ROW(입고!$C$8:$C$1013)-7),16)),"")</f>
        <v/>
      </c>
      <c r="D27" s="13" t="str">
        <f t="array" ref="D27">IFERROR(INDEX(입고!$F$8:$F$1013,SMALL(IF(입고!$C$8:$C$1013=마스터!$M$7,ROW(입고!$C$8:$C$1013)-7),16)),"")</f>
        <v/>
      </c>
      <c r="E27" s="50" t="str">
        <f t="array" ref="E27">IFERROR(INDEX(입고!$H$8:$H$1013,SMALL(IF(입고!$C$8:$C$1013=마스터!$M$7,ROW(입고!$C$8:$C$1013)-7),16)),"")</f>
        <v/>
      </c>
      <c r="F27" s="50" t="str">
        <f t="array" ref="F27">IFERROR(INDEX(입고!$I$8:$I$1013,SMALL(IF(입고!$C$8:$C$1013=마스터!$M$7,ROW(입고!$C$8:$C$1013)-7),16)),"")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IFERROR(INDEX(입고!$B$8:$B$1013,SMALL(IF(입고!$C$8:$C$1013=마스터!$M$7,ROW(입고!$C$8:$C$1013)-7),17)),"")</f>
        <v/>
      </c>
      <c r="C28" s="6" t="str">
        <f t="array" ref="C28">IFERROR(INDEX(입고!$E$8:$E$1013,SMALL(IF(입고!$C$8:$C$1013=마스터!$M$7,ROW(입고!$C$8:$C$1013)-7),17)),"")</f>
        <v/>
      </c>
      <c r="D28" s="8" t="str">
        <f t="array" ref="D28">IFERROR(INDEX(입고!$F$8:$F$1013,SMALL(IF(입고!$C$8:$C$1013=마스터!$M$7,ROW(입고!$C$8:$C$1013)-7),17)),"")</f>
        <v/>
      </c>
      <c r="E28" s="46" t="str">
        <f t="array" ref="E28">IFERROR(INDEX(입고!$H$8:$H$1013,SMALL(IF(입고!$C$8:$C$1013=마스터!$M$7,ROW(입고!$C$8:$C$1013)-7),17)),"")</f>
        <v/>
      </c>
      <c r="F28" s="46" t="str">
        <f t="array" ref="F28">IFERROR(INDEX(입고!$I$8:$I$1013,SMALL(IF(입고!$C$8:$C$1013=마스터!$M$7,ROW(입고!$C$8:$C$1013)-7),17)),"")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IFERROR(INDEX(입고!$B$8:$B$1013,SMALL(IF(입고!$C$8:$C$1013=마스터!$M$7,ROW(입고!$C$8:$C$1013)-7),18)),"")</f>
        <v/>
      </c>
      <c r="C29" s="11" t="str">
        <f t="array" ref="C29">IFERROR(INDEX(입고!$E$8:$E$1013,SMALL(IF(입고!$C$8:$C$1013=마스터!$M$7,ROW(입고!$C$8:$C$1013)-7),18)),"")</f>
        <v/>
      </c>
      <c r="D29" s="13" t="str">
        <f t="array" ref="D29">IFERROR(INDEX(입고!$F$8:$F$1013,SMALL(IF(입고!$C$8:$C$1013=마스터!$M$7,ROW(입고!$C$8:$C$1013)-7),18)),"")</f>
        <v/>
      </c>
      <c r="E29" s="50" t="str">
        <f t="array" ref="E29">IFERROR(INDEX(입고!$H$8:$H$1013,SMALL(IF(입고!$C$8:$C$1013=마스터!$M$7,ROW(입고!$C$8:$C$1013)-7),18)),"")</f>
        <v/>
      </c>
      <c r="F29" s="50" t="str">
        <f t="array" ref="F29">IFERROR(INDEX(입고!$I$8:$I$1013,SMALL(IF(입고!$C$8:$C$1013=마스터!$M$7,ROW(입고!$C$8:$C$1013)-7),18)),"")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IFERROR(INDEX(입고!$B$8:$B$1013,SMALL(IF(입고!$C$8:$C$1013=마스터!$M$7,ROW(입고!$C$8:$C$1013)-7),19)),"")</f>
        <v/>
      </c>
      <c r="C30" s="6" t="str">
        <f t="array" ref="C30">IFERROR(INDEX(입고!$E$8:$E$1013,SMALL(IF(입고!$C$8:$C$1013=마스터!$M$7,ROW(입고!$C$8:$C$1013)-7),19)),"")</f>
        <v/>
      </c>
      <c r="D30" s="8" t="str">
        <f t="array" ref="D30">IFERROR(INDEX(입고!$F$8:$F$1013,SMALL(IF(입고!$C$8:$C$1013=마스터!$M$7,ROW(입고!$C$8:$C$1013)-7),19)),"")</f>
        <v/>
      </c>
      <c r="E30" s="46" t="str">
        <f t="array" ref="E30">IFERROR(INDEX(입고!$H$8:$H$1013,SMALL(IF(입고!$C$8:$C$1013=마스터!$M$7,ROW(입고!$C$8:$C$1013)-7),19)),"")</f>
        <v/>
      </c>
      <c r="F30" s="46" t="str">
        <f t="array" ref="F30">IFERROR(INDEX(입고!$I$8:$I$1013,SMALL(IF(입고!$C$8:$C$1013=마스터!$M$7,ROW(입고!$C$8:$C$1013)-7),19)),"")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IFERROR(INDEX(입고!$B$8:$B$1013,SMALL(IF(입고!$C$8:$C$1013=마스터!$M$7,ROW(입고!$C$8:$C$1013)-7),20)),"")</f>
        <v/>
      </c>
      <c r="C31" s="11" t="str">
        <f t="array" ref="C31">IFERROR(INDEX(입고!$E$8:$E$1013,SMALL(IF(입고!$C$8:$C$1013=마스터!$M$7,ROW(입고!$C$8:$C$1013)-7),20)),"")</f>
        <v/>
      </c>
      <c r="D31" s="13" t="str">
        <f t="array" ref="D31">IFERROR(INDEX(입고!$F$8:$F$1013,SMALL(IF(입고!$C$8:$C$1013=마스터!$M$7,ROW(입고!$C$8:$C$1013)-7),20)),"")</f>
        <v/>
      </c>
      <c r="E31" s="50" t="str">
        <f t="array" ref="E31">IFERROR(INDEX(입고!$H$8:$H$1013,SMALL(IF(입고!$C$8:$C$1013=마스터!$M$7,ROW(입고!$C$8:$C$1013)-7),20)),"")</f>
        <v/>
      </c>
      <c r="F31" s="50" t="str">
        <f t="array" ref="F31">IFERROR(INDEX(입고!$I$8:$I$1013,SMALL(IF(입고!$C$8:$C$1013=마스터!$M$7,ROW(입고!$C$8:$C$1013)-7),20)),"")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IFERROR(INDEX(입고!$B$8:$B$1013,SMALL(IF(입고!$C$8:$C$1013=마스터!$M$7,ROW(입고!$C$8:$C$1013)-7),21)),"")</f>
        <v/>
      </c>
      <c r="C32" s="6" t="str">
        <f t="array" ref="C32">IFERROR(INDEX(입고!$E$8:$E$1013,SMALL(IF(입고!$C$8:$C$1013=마스터!$M$7,ROW(입고!$C$8:$C$1013)-7),21)),"")</f>
        <v/>
      </c>
      <c r="D32" s="8" t="str">
        <f t="array" ref="D32">IFERROR(INDEX(입고!$F$8:$F$1013,SMALL(IF(입고!$C$8:$C$1013=마스터!$M$7,ROW(입고!$C$8:$C$1013)-7),21)),"")</f>
        <v/>
      </c>
      <c r="E32" s="46" t="str">
        <f t="array" ref="E32">IFERROR(INDEX(입고!$H$8:$H$1013,SMALL(IF(입고!$C$8:$C$1013=마스터!$M$7,ROW(입고!$C$8:$C$1013)-7),21)),"")</f>
        <v/>
      </c>
      <c r="F32" s="46" t="str">
        <f t="array" ref="F32">IFERROR(INDEX(입고!$I$8:$I$1013,SMALL(IF(입고!$C$8:$C$1013=마스터!$M$7,ROW(입고!$C$8:$C$1013)-7),21)),"")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IFERROR(INDEX(입고!$B$8:$B$1013,SMALL(IF(입고!$C$8:$C$1013=마스터!$M$7,ROW(입고!$C$8:$C$1013)-7),22)),"")</f>
        <v/>
      </c>
      <c r="C33" s="11" t="str">
        <f t="array" ref="C33">IFERROR(INDEX(입고!$E$8:$E$1013,SMALL(IF(입고!$C$8:$C$1013=마스터!$M$7,ROW(입고!$C$8:$C$1013)-7),22)),"")</f>
        <v/>
      </c>
      <c r="D33" s="13" t="str">
        <f t="array" ref="D33">IFERROR(INDEX(입고!$F$8:$F$1013,SMALL(IF(입고!$C$8:$C$1013=마스터!$M$7,ROW(입고!$C$8:$C$1013)-7),22)),"")</f>
        <v/>
      </c>
      <c r="E33" s="50" t="str">
        <f t="array" ref="E33">IFERROR(INDEX(입고!$H$8:$H$1013,SMALL(IF(입고!$C$8:$C$1013=마스터!$M$7,ROW(입고!$C$8:$C$1013)-7),22)),"")</f>
        <v/>
      </c>
      <c r="F33" s="50" t="str">
        <f t="array" ref="F33">IFERROR(INDEX(입고!$I$8:$I$1013,SMALL(IF(입고!$C$8:$C$1013=마스터!$M$7,ROW(입고!$C$8:$C$1013)-7),22)),"")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IFERROR(INDEX(입고!$B$8:$B$1013,SMALL(IF(입고!$C$8:$C$1013=마스터!$M$7,ROW(입고!$C$8:$C$1013)-7),23)),"")</f>
        <v/>
      </c>
      <c r="C34" s="6" t="str">
        <f t="array" ref="C34">IFERROR(INDEX(입고!$E$8:$E$1013,SMALL(IF(입고!$C$8:$C$1013=마스터!$M$7,ROW(입고!$C$8:$C$1013)-7),23)),"")</f>
        <v/>
      </c>
      <c r="D34" s="8" t="str">
        <f t="array" ref="D34">IFERROR(INDEX(입고!$F$8:$F$1013,SMALL(IF(입고!$C$8:$C$1013=마스터!$M$7,ROW(입고!$C$8:$C$1013)-7),23)),"")</f>
        <v/>
      </c>
      <c r="E34" s="46" t="str">
        <f t="array" ref="E34">IFERROR(INDEX(입고!$H$8:$H$1013,SMALL(IF(입고!$C$8:$C$1013=마스터!$M$7,ROW(입고!$C$8:$C$1013)-7),23)),"")</f>
        <v/>
      </c>
      <c r="F34" s="46" t="str">
        <f t="array" ref="F34">IFERROR(INDEX(입고!$I$8:$I$1013,SMALL(IF(입고!$C$8:$C$1013=마스터!$M$7,ROW(입고!$C$8:$C$1013)-7),23)),"")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IFERROR(INDEX(입고!$B$8:$B$1013,SMALL(IF(입고!$C$8:$C$1013=마스터!$M$7,ROW(입고!$C$8:$C$1013)-7),24)),"")</f>
        <v/>
      </c>
      <c r="C35" s="11" t="str">
        <f t="array" ref="C35">IFERROR(INDEX(입고!$E$8:$E$1013,SMALL(IF(입고!$C$8:$C$1013=마스터!$M$7,ROW(입고!$C$8:$C$1013)-7),24)),"")</f>
        <v/>
      </c>
      <c r="D35" s="13" t="str">
        <f t="array" ref="D35">IFERROR(INDEX(입고!$F$8:$F$1013,SMALL(IF(입고!$C$8:$C$1013=마스터!$M$7,ROW(입고!$C$8:$C$1013)-7),24)),"")</f>
        <v/>
      </c>
      <c r="E35" s="50" t="str">
        <f t="array" ref="E35">IFERROR(INDEX(입고!$H$8:$H$1013,SMALL(IF(입고!$C$8:$C$1013=마스터!$M$7,ROW(입고!$C$8:$C$1013)-7),24)),"")</f>
        <v/>
      </c>
      <c r="F35" s="50" t="str">
        <f t="array" ref="F35">IFERROR(INDEX(입고!$I$8:$I$1013,SMALL(IF(입고!$C$8:$C$1013=마스터!$M$7,ROW(입고!$C$8:$C$1013)-7),24)),"")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IFERROR(INDEX(입고!$B$8:$B$1013,SMALL(IF(입고!$C$8:$C$1013=마스터!$M$7,ROW(입고!$C$8:$C$1013)-7),25)),"")</f>
        <v/>
      </c>
      <c r="C36" s="6" t="str">
        <f t="array" ref="C36">IFERROR(INDEX(입고!$E$8:$E$1013,SMALL(IF(입고!$C$8:$C$1013=마스터!$M$7,ROW(입고!$C$8:$C$1013)-7),25)),"")</f>
        <v/>
      </c>
      <c r="D36" s="8" t="str">
        <f t="array" ref="D36">IFERROR(INDEX(입고!$F$8:$F$1013,SMALL(IF(입고!$C$8:$C$1013=마스터!$M$7,ROW(입고!$C$8:$C$1013)-7),25)),"")</f>
        <v/>
      </c>
      <c r="E36" s="46" t="str">
        <f t="array" ref="E36">IFERROR(INDEX(입고!$H$8:$H$1013,SMALL(IF(입고!$C$8:$C$1013=마스터!$M$7,ROW(입고!$C$8:$C$1013)-7),25)),"")</f>
        <v/>
      </c>
      <c r="F36" s="46" t="str">
        <f t="array" ref="F36">IFERROR(INDEX(입고!$I$8:$I$1013,SMALL(IF(입고!$C$8:$C$1013=마스터!$M$7,ROW(입고!$C$8:$C$1013)-7),25)),"")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IFERROR(INDEX(입고!$B$8:$B$1013,SMALL(IF(입고!$C$8:$C$1013=마스터!$M$7,ROW(입고!$C$8:$C$1013)-7),26)),"")</f>
        <v/>
      </c>
      <c r="C37" s="11" t="str">
        <f t="array" ref="C37">IFERROR(INDEX(입고!$E$8:$E$1013,SMALL(IF(입고!$C$8:$C$1013=마스터!$M$7,ROW(입고!$C$8:$C$1013)-7),26)),"")</f>
        <v/>
      </c>
      <c r="D37" s="13" t="str">
        <f t="array" ref="D37">IFERROR(INDEX(입고!$F$8:$F$1013,SMALL(IF(입고!$C$8:$C$1013=마스터!$M$7,ROW(입고!$C$8:$C$1013)-7),26)),"")</f>
        <v/>
      </c>
      <c r="E37" s="50" t="str">
        <f t="array" ref="E37">IFERROR(INDEX(입고!$H$8:$H$1013,SMALL(IF(입고!$C$8:$C$1013=마스터!$M$7,ROW(입고!$C$8:$C$1013)-7),26)),"")</f>
        <v/>
      </c>
      <c r="F37" s="50" t="str">
        <f t="array" ref="F37">IFERROR(INDEX(입고!$I$8:$I$1013,SMALL(IF(입고!$C$8:$C$1013=마스터!$M$7,ROW(입고!$C$8:$C$1013)-7),26)),"")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IFERROR(INDEX(입고!$B$8:$B$1013,SMALL(IF(입고!$C$8:$C$1013=마스터!$M$7,ROW(입고!$C$8:$C$1013)-7),27)),"")</f>
        <v/>
      </c>
      <c r="C38" s="6" t="str">
        <f t="array" ref="C38">IFERROR(INDEX(입고!$E$8:$E$1013,SMALL(IF(입고!$C$8:$C$1013=마스터!$M$7,ROW(입고!$C$8:$C$1013)-7),27)),"")</f>
        <v/>
      </c>
      <c r="D38" s="8" t="str">
        <f t="array" ref="D38">IFERROR(INDEX(입고!$F$8:$F$1013,SMALL(IF(입고!$C$8:$C$1013=마스터!$M$7,ROW(입고!$C$8:$C$1013)-7),27)),"")</f>
        <v/>
      </c>
      <c r="E38" s="46" t="str">
        <f t="array" ref="E38">IFERROR(INDEX(입고!$H$8:$H$1013,SMALL(IF(입고!$C$8:$C$1013=마스터!$M$7,ROW(입고!$C$8:$C$1013)-7),27)),"")</f>
        <v/>
      </c>
      <c r="F38" s="46" t="str">
        <f t="array" ref="F38">IFERROR(INDEX(입고!$I$8:$I$1013,SMALL(IF(입고!$C$8:$C$1013=마스터!$M$7,ROW(입고!$C$8:$C$1013)-7),27)),"")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IFERROR(INDEX(입고!$B$8:$B$1013,SMALL(IF(입고!$C$8:$C$1013=마스터!$M$7,ROW(입고!$C$8:$C$1013)-7),28)),"")</f>
        <v/>
      </c>
      <c r="C39" s="11" t="str">
        <f t="array" ref="C39">IFERROR(INDEX(입고!$E$8:$E$1013,SMALL(IF(입고!$C$8:$C$1013=마스터!$M$7,ROW(입고!$C$8:$C$1013)-7),28)),"")</f>
        <v/>
      </c>
      <c r="D39" s="13" t="str">
        <f t="array" ref="D39">IFERROR(INDEX(입고!$F$8:$F$1013,SMALL(IF(입고!$C$8:$C$1013=마스터!$M$7,ROW(입고!$C$8:$C$1013)-7),28)),"")</f>
        <v/>
      </c>
      <c r="E39" s="50" t="str">
        <f t="array" ref="E39">IFERROR(INDEX(입고!$H$8:$H$1013,SMALL(IF(입고!$C$8:$C$1013=마스터!$M$7,ROW(입고!$C$8:$C$1013)-7),28)),"")</f>
        <v/>
      </c>
      <c r="F39" s="50" t="str">
        <f t="array" ref="F39">IFERROR(INDEX(입고!$I$8:$I$1013,SMALL(IF(입고!$C$8:$C$1013=마스터!$M$7,ROW(입고!$C$8:$C$1013)-7),28)),"")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IFERROR(INDEX(입고!$B$8:$B$1013,SMALL(IF(입고!$C$8:$C$1013=마스터!$M$7,ROW(입고!$C$8:$C$1013)-7),29)),"")</f>
        <v/>
      </c>
      <c r="C40" s="6" t="str">
        <f t="array" ref="C40">IFERROR(INDEX(입고!$E$8:$E$1013,SMALL(IF(입고!$C$8:$C$1013=마스터!$M$7,ROW(입고!$C$8:$C$1013)-7),29)),"")</f>
        <v/>
      </c>
      <c r="D40" s="8" t="str">
        <f t="array" ref="D40">IFERROR(INDEX(입고!$F$8:$F$1013,SMALL(IF(입고!$C$8:$C$1013=마스터!$M$7,ROW(입고!$C$8:$C$1013)-7),29)),"")</f>
        <v/>
      </c>
      <c r="E40" s="46" t="str">
        <f t="array" ref="E40">IFERROR(INDEX(입고!$H$8:$H$1013,SMALL(IF(입고!$C$8:$C$1013=마스터!$M$7,ROW(입고!$C$8:$C$1013)-7),29)),"")</f>
        <v/>
      </c>
      <c r="F40" s="46" t="str">
        <f t="array" ref="F40">IFERROR(INDEX(입고!$I$8:$I$1013,SMALL(IF(입고!$C$8:$C$1013=마스터!$M$7,ROW(입고!$C$8:$C$1013)-7),29)),"")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IFERROR(INDEX(입고!$B$8:$B$1013,SMALL(IF(입고!$C$8:$C$1013=마스터!$M$7,ROW(입고!$C$8:$C$1013)-7),30)),"")</f>
        <v/>
      </c>
      <c r="C41" s="11" t="str">
        <f t="array" ref="C41">IFERROR(INDEX(입고!$E$8:$E$1013,SMALL(IF(입고!$C$8:$C$1013=마스터!$M$7,ROW(입고!$C$8:$C$1013)-7),30)),"")</f>
        <v/>
      </c>
      <c r="D41" s="13" t="str">
        <f t="array" ref="D41">IFERROR(INDEX(입고!$F$8:$F$1013,SMALL(IF(입고!$C$8:$C$1013=마스터!$M$7,ROW(입고!$C$8:$C$1013)-7),30)),"")</f>
        <v/>
      </c>
      <c r="E41" s="50" t="str">
        <f t="array" ref="E41">IFERROR(INDEX(입고!$H$8:$H$1013,SMALL(IF(입고!$C$8:$C$1013=마스터!$M$7,ROW(입고!$C$8:$C$1013)-7),30)),"")</f>
        <v/>
      </c>
      <c r="F41" s="50" t="str">
        <f t="array" ref="F41">IFERROR(INDEX(입고!$I$8:$I$1013,SMALL(IF(입고!$C$8:$C$1013=마스터!$M$7,ROW(입고!$C$8:$C$1013)-7),30)),"")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IFERROR(INDEX(출고!$B$8:$B$1013,SMALL(IF(출고!$C$8:$C$1013=마스터!$M$7,ROW(출고!$C$8:$C$1013)-7),1)),"")</f>
        <v/>
      </c>
      <c r="C45" s="6" t="str">
        <f t="array" ref="C45">IFERROR(INDEX(출고!$E$8:$E$1013,SMALL(IF(출고!$C$8:$C$1013=마스터!$M$7,ROW(출고!$C$8:$C$1013)-7),1)),"")</f>
        <v/>
      </c>
      <c r="D45" s="8" t="str">
        <f t="array" ref="D45">IFERROR(INDEX(출고!$F$8:$F$1013,SMALL(IF(출고!$C$8:$C$1013=마스터!$M$7,ROW(출고!$C$8:$C$1013)-7),1)),"")</f>
        <v/>
      </c>
      <c r="E45" s="46" t="str">
        <f t="array" ref="E45">IFERROR(INDEX(출고!$H$8:$H$1013,SMALL(IF(출고!$C$8:$C$1013=마스터!$M$7,ROW(출고!$C$8:$C$1013)-7),1)),"")</f>
        <v/>
      </c>
      <c r="F45" s="46" t="str">
        <f t="array" ref="F45">IFERROR(INDEX(출고!$I$8:$I$1013,SMALL(IF(출고!$C$8:$C$1013=마스터!$M$7,ROW(출고!$C$8:$C$1013)-7),1)),"")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IFERROR(INDEX(출고!$B$8:$B$1013,SMALL(IF(출고!$C$8:$C$1013=마스터!$M$7,ROW(출고!$C$8:$C$1013)-7),2)),"")</f>
        <v/>
      </c>
      <c r="C46" s="11" t="str">
        <f t="array" ref="C46">IFERROR(INDEX(출고!$E$8:$E$1013,SMALL(IF(출고!$C$8:$C$1013=마스터!$M$7,ROW(출고!$C$8:$C$1013)-7),2)),"")</f>
        <v/>
      </c>
      <c r="D46" s="13" t="str">
        <f t="array" ref="D46">IFERROR(INDEX(출고!$F$8:$F$1013,SMALL(IF(출고!$C$8:$C$1013=마스터!$M$7,ROW(출고!$C$8:$C$1013)-7),2)),"")</f>
        <v/>
      </c>
      <c r="E46" s="50" t="str">
        <f t="array" ref="E46">IFERROR(INDEX(출고!$H$8:$H$1013,SMALL(IF(출고!$C$8:$C$1013=마스터!$M$7,ROW(출고!$C$8:$C$1013)-7),2)),"")</f>
        <v/>
      </c>
      <c r="F46" s="50" t="str">
        <f t="array" ref="F46">IFERROR(INDEX(출고!$I$8:$I$1013,SMALL(IF(출고!$C$8:$C$1013=마스터!$M$7,ROW(출고!$C$8:$C$1013)-7),2)),"")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IFERROR(INDEX(출고!$B$8:$B$1013,SMALL(IF(출고!$C$8:$C$1013=마스터!$M$7,ROW(출고!$C$8:$C$1013)-7),3)),"")</f>
        <v/>
      </c>
      <c r="C47" s="6" t="str">
        <f t="array" ref="C47">IFERROR(INDEX(출고!$E$8:$E$1013,SMALL(IF(출고!$C$8:$C$1013=마스터!$M$7,ROW(출고!$C$8:$C$1013)-7),3)),"")</f>
        <v/>
      </c>
      <c r="D47" s="8" t="str">
        <f t="array" ref="D47">IFERROR(INDEX(출고!$F$8:$F$1013,SMALL(IF(출고!$C$8:$C$1013=마스터!$M$7,ROW(출고!$C$8:$C$1013)-7),3)),"")</f>
        <v/>
      </c>
      <c r="E47" s="46" t="str">
        <f t="array" ref="E47">IFERROR(INDEX(출고!$H$8:$H$1013,SMALL(IF(출고!$C$8:$C$1013=마스터!$M$7,ROW(출고!$C$8:$C$1013)-7),3)),"")</f>
        <v/>
      </c>
      <c r="F47" s="46" t="str">
        <f t="array" ref="F47">IFERROR(INDEX(출고!$I$8:$I$1013,SMALL(IF(출고!$C$8:$C$1013=마스터!$M$7,ROW(출고!$C$8:$C$1013)-7),3)),"")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IFERROR(INDEX(출고!$B$8:$B$1013,SMALL(IF(출고!$C$8:$C$1013=마스터!$M$7,ROW(출고!$C$8:$C$1013)-7),4)),"")</f>
        <v/>
      </c>
      <c r="C48" s="11" t="str">
        <f t="array" ref="C48">IFERROR(INDEX(출고!$E$8:$E$1013,SMALL(IF(출고!$C$8:$C$1013=마스터!$M$7,ROW(출고!$C$8:$C$1013)-7),4)),"")</f>
        <v/>
      </c>
      <c r="D48" s="13" t="str">
        <f t="array" ref="D48">IFERROR(INDEX(출고!$F$8:$F$1013,SMALL(IF(출고!$C$8:$C$1013=마스터!$M$7,ROW(출고!$C$8:$C$1013)-7),4)),"")</f>
        <v/>
      </c>
      <c r="E48" s="50" t="str">
        <f t="array" ref="E48">IFERROR(INDEX(출고!$H$8:$H$1013,SMALL(IF(출고!$C$8:$C$1013=마스터!$M$7,ROW(출고!$C$8:$C$1013)-7),4)),"")</f>
        <v/>
      </c>
      <c r="F48" s="50" t="str">
        <f t="array" ref="F48">IFERROR(INDEX(출고!$I$8:$I$1013,SMALL(IF(출고!$C$8:$C$1013=마스터!$M$7,ROW(출고!$C$8:$C$1013)-7),4)),"")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IFERROR(INDEX(출고!$B$8:$B$1013,SMALL(IF(출고!$C$8:$C$1013=마스터!$M$7,ROW(출고!$C$8:$C$1013)-7),5)),"")</f>
        <v/>
      </c>
      <c r="C49" s="6" t="str">
        <f t="array" ref="C49">IFERROR(INDEX(출고!$E$8:$E$1013,SMALL(IF(출고!$C$8:$C$1013=마스터!$M$7,ROW(출고!$C$8:$C$1013)-7),5)),"")</f>
        <v/>
      </c>
      <c r="D49" s="8" t="str">
        <f t="array" ref="D49">IFERROR(INDEX(출고!$F$8:$F$1013,SMALL(IF(출고!$C$8:$C$1013=마스터!$M$7,ROW(출고!$C$8:$C$1013)-7),5)),"")</f>
        <v/>
      </c>
      <c r="E49" s="46" t="str">
        <f t="array" ref="E49">IFERROR(INDEX(출고!$H$8:$H$1013,SMALL(IF(출고!$C$8:$C$1013=마스터!$M$7,ROW(출고!$C$8:$C$1013)-7),5)),"")</f>
        <v/>
      </c>
      <c r="F49" s="46" t="str">
        <f t="array" ref="F49">IFERROR(INDEX(출고!$I$8:$I$1013,SMALL(IF(출고!$C$8:$C$1013=마스터!$M$7,ROW(출고!$C$8:$C$1013)-7),5)),"")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IFERROR(INDEX(출고!$B$8:$B$1013,SMALL(IF(출고!$C$8:$C$1013=마스터!$M$7,ROW(출고!$C$8:$C$1013)-7),6)),"")</f>
        <v/>
      </c>
      <c r="C50" s="11" t="str">
        <f t="array" ref="C50">IFERROR(INDEX(출고!$E$8:$E$1013,SMALL(IF(출고!$C$8:$C$1013=마스터!$M$7,ROW(출고!$C$8:$C$1013)-7),6)),"")</f>
        <v/>
      </c>
      <c r="D50" s="13" t="str">
        <f t="array" ref="D50">IFERROR(INDEX(출고!$F$8:$F$1013,SMALL(IF(출고!$C$8:$C$1013=마스터!$M$7,ROW(출고!$C$8:$C$1013)-7),6)),"")</f>
        <v/>
      </c>
      <c r="E50" s="50" t="str">
        <f t="array" ref="E50">IFERROR(INDEX(출고!$H$8:$H$1013,SMALL(IF(출고!$C$8:$C$1013=마스터!$M$7,ROW(출고!$C$8:$C$1013)-7),6)),"")</f>
        <v/>
      </c>
      <c r="F50" s="50" t="str">
        <f t="array" ref="F50">IFERROR(INDEX(출고!$I$8:$I$1013,SMALL(IF(출고!$C$8:$C$1013=마스터!$M$7,ROW(출고!$C$8:$C$1013)-7),6)),"")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IFERROR(INDEX(출고!$B$8:$B$1013,SMALL(IF(출고!$C$8:$C$1013=마스터!$M$7,ROW(출고!$C$8:$C$1013)-7),7)),"")</f>
        <v/>
      </c>
      <c r="C51" s="6" t="str">
        <f t="array" ref="C51">IFERROR(INDEX(출고!$E$8:$E$1013,SMALL(IF(출고!$C$8:$C$1013=마스터!$M$7,ROW(출고!$C$8:$C$1013)-7),7)),"")</f>
        <v/>
      </c>
      <c r="D51" s="8" t="str">
        <f t="array" ref="D51">IFERROR(INDEX(출고!$F$8:$F$1013,SMALL(IF(출고!$C$8:$C$1013=마스터!$M$7,ROW(출고!$C$8:$C$1013)-7),7)),"")</f>
        <v/>
      </c>
      <c r="E51" s="46" t="str">
        <f t="array" ref="E51">IFERROR(INDEX(출고!$H$8:$H$1013,SMALL(IF(출고!$C$8:$C$1013=마스터!$M$7,ROW(출고!$C$8:$C$1013)-7),7)),"")</f>
        <v/>
      </c>
      <c r="F51" s="46" t="str">
        <f t="array" ref="F51">IFERROR(INDEX(출고!$I$8:$I$1013,SMALL(IF(출고!$C$8:$C$1013=마스터!$M$7,ROW(출고!$C$8:$C$1013)-7),7)),"")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IFERROR(INDEX(출고!$B$8:$B$1013,SMALL(IF(출고!$C$8:$C$1013=마스터!$M$7,ROW(출고!$C$8:$C$1013)-7),8)),"")</f>
        <v/>
      </c>
      <c r="C52" s="11" t="str">
        <f t="array" ref="C52">IFERROR(INDEX(출고!$E$8:$E$1013,SMALL(IF(출고!$C$8:$C$1013=마스터!$M$7,ROW(출고!$C$8:$C$1013)-7),8)),"")</f>
        <v/>
      </c>
      <c r="D52" s="13" t="str">
        <f t="array" ref="D52">IFERROR(INDEX(출고!$F$8:$F$1013,SMALL(IF(출고!$C$8:$C$1013=마스터!$M$7,ROW(출고!$C$8:$C$1013)-7),8)),"")</f>
        <v/>
      </c>
      <c r="E52" s="50" t="str">
        <f t="array" ref="E52">IFERROR(INDEX(출고!$H$8:$H$1013,SMALL(IF(출고!$C$8:$C$1013=마스터!$M$7,ROW(출고!$C$8:$C$1013)-7),8)),"")</f>
        <v/>
      </c>
      <c r="F52" s="50" t="str">
        <f t="array" ref="F52">IFERROR(INDEX(출고!$I$8:$I$1013,SMALL(IF(출고!$C$8:$C$1013=마스터!$M$7,ROW(출고!$C$8:$C$1013)-7),8)),"")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IFERROR(INDEX(출고!$B$8:$B$1013,SMALL(IF(출고!$C$8:$C$1013=마스터!$M$7,ROW(출고!$C$8:$C$1013)-7),9)),"")</f>
        <v/>
      </c>
      <c r="C53" s="6" t="str">
        <f t="array" ref="C53">IFERROR(INDEX(출고!$E$8:$E$1013,SMALL(IF(출고!$C$8:$C$1013=마스터!$M$7,ROW(출고!$C$8:$C$1013)-7),9)),"")</f>
        <v/>
      </c>
      <c r="D53" s="8" t="str">
        <f t="array" ref="D53">IFERROR(INDEX(출고!$F$8:$F$1013,SMALL(IF(출고!$C$8:$C$1013=마스터!$M$7,ROW(출고!$C$8:$C$1013)-7),9)),"")</f>
        <v/>
      </c>
      <c r="E53" s="46" t="str">
        <f t="array" ref="E53">IFERROR(INDEX(출고!$H$8:$H$1013,SMALL(IF(출고!$C$8:$C$1013=마스터!$M$7,ROW(출고!$C$8:$C$1013)-7),9)),"")</f>
        <v/>
      </c>
      <c r="F53" s="46" t="str">
        <f t="array" ref="F53">IFERROR(INDEX(출고!$I$8:$I$1013,SMALL(IF(출고!$C$8:$C$1013=마스터!$M$7,ROW(출고!$C$8:$C$1013)-7),9)),"")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IFERROR(INDEX(출고!$B$8:$B$1013,SMALL(IF(출고!$C$8:$C$1013=마스터!$M$7,ROW(출고!$C$8:$C$1013)-7),10)),"")</f>
        <v/>
      </c>
      <c r="C54" s="11" t="str">
        <f t="array" ref="C54">IFERROR(INDEX(출고!$E$8:$E$1013,SMALL(IF(출고!$C$8:$C$1013=마스터!$M$7,ROW(출고!$C$8:$C$1013)-7),10)),"")</f>
        <v/>
      </c>
      <c r="D54" s="13" t="str">
        <f t="array" ref="D54">IFERROR(INDEX(출고!$F$8:$F$1013,SMALL(IF(출고!$C$8:$C$1013=마스터!$M$7,ROW(출고!$C$8:$C$1013)-7),10)),"")</f>
        <v/>
      </c>
      <c r="E54" s="50" t="str">
        <f t="array" ref="E54">IFERROR(INDEX(출고!$H$8:$H$1013,SMALL(IF(출고!$C$8:$C$1013=마스터!$M$7,ROW(출고!$C$8:$C$1013)-7),10)),"")</f>
        <v/>
      </c>
      <c r="F54" s="50" t="str">
        <f t="array" ref="F54">IFERROR(INDEX(출고!$I$8:$I$1013,SMALL(IF(출고!$C$8:$C$1013=마스터!$M$7,ROW(출고!$C$8:$C$1013)-7),10)),"")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IFERROR(INDEX(출고!$B$8:$B$1013,SMALL(IF(출고!$C$8:$C$1013=마스터!$M$7,ROW(출고!$C$8:$C$1013)-7),11)),"")</f>
        <v/>
      </c>
      <c r="C55" s="6" t="str">
        <f t="array" ref="C55">IFERROR(INDEX(출고!$E$8:$E$1013,SMALL(IF(출고!$C$8:$C$1013=마스터!$M$7,ROW(출고!$C$8:$C$1013)-7),11)),"")</f>
        <v/>
      </c>
      <c r="D55" s="8" t="str">
        <f t="array" ref="D55">IFERROR(INDEX(출고!$F$8:$F$1013,SMALL(IF(출고!$C$8:$C$1013=마스터!$M$7,ROW(출고!$C$8:$C$1013)-7),11)),"")</f>
        <v/>
      </c>
      <c r="E55" s="46" t="str">
        <f t="array" ref="E55">IFERROR(INDEX(출고!$H$8:$H$1013,SMALL(IF(출고!$C$8:$C$1013=마스터!$M$7,ROW(출고!$C$8:$C$1013)-7),11)),"")</f>
        <v/>
      </c>
      <c r="F55" s="46" t="str">
        <f t="array" ref="F55">IFERROR(INDEX(출고!$I$8:$I$1013,SMALL(IF(출고!$C$8:$C$1013=마스터!$M$7,ROW(출고!$C$8:$C$1013)-7),11)),"")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IFERROR(INDEX(출고!$B$8:$B$1013,SMALL(IF(출고!$C$8:$C$1013=마스터!$M$7,ROW(출고!$C$8:$C$1013)-7),12)),"")</f>
        <v/>
      </c>
      <c r="C56" s="11" t="str">
        <f t="array" ref="C56">IFERROR(INDEX(출고!$E$8:$E$1013,SMALL(IF(출고!$C$8:$C$1013=마스터!$M$7,ROW(출고!$C$8:$C$1013)-7),12)),"")</f>
        <v/>
      </c>
      <c r="D56" s="13" t="str">
        <f t="array" ref="D56">IFERROR(INDEX(출고!$F$8:$F$1013,SMALL(IF(출고!$C$8:$C$1013=마스터!$M$7,ROW(출고!$C$8:$C$1013)-7),12)),"")</f>
        <v/>
      </c>
      <c r="E56" s="50" t="str">
        <f t="array" ref="E56">IFERROR(INDEX(출고!$H$8:$H$1013,SMALL(IF(출고!$C$8:$C$1013=마스터!$M$7,ROW(출고!$C$8:$C$1013)-7),12)),"")</f>
        <v/>
      </c>
      <c r="F56" s="50" t="str">
        <f t="array" ref="F56">IFERROR(INDEX(출고!$I$8:$I$1013,SMALL(IF(출고!$C$8:$C$1013=마스터!$M$7,ROW(출고!$C$8:$C$1013)-7),12)),"")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IFERROR(INDEX(출고!$B$8:$B$1013,SMALL(IF(출고!$C$8:$C$1013=마스터!$M$7,ROW(출고!$C$8:$C$1013)-7),13)),"")</f>
        <v/>
      </c>
      <c r="C57" s="6" t="str">
        <f t="array" ref="C57">IFERROR(INDEX(출고!$E$8:$E$1013,SMALL(IF(출고!$C$8:$C$1013=마스터!$M$7,ROW(출고!$C$8:$C$1013)-7),13)),"")</f>
        <v/>
      </c>
      <c r="D57" s="8" t="str">
        <f t="array" ref="D57">IFERROR(INDEX(출고!$F$8:$F$1013,SMALL(IF(출고!$C$8:$C$1013=마스터!$M$7,ROW(출고!$C$8:$C$1013)-7),13)),"")</f>
        <v/>
      </c>
      <c r="E57" s="46" t="str">
        <f t="array" ref="E57">IFERROR(INDEX(출고!$H$8:$H$1013,SMALL(IF(출고!$C$8:$C$1013=마스터!$M$7,ROW(출고!$C$8:$C$1013)-7),13)),"")</f>
        <v/>
      </c>
      <c r="F57" s="46" t="str">
        <f t="array" ref="F57">IFERROR(INDEX(출고!$I$8:$I$1013,SMALL(IF(출고!$C$8:$C$1013=마스터!$M$7,ROW(출고!$C$8:$C$1013)-7),13)),"")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IFERROR(INDEX(출고!$B$8:$B$1013,SMALL(IF(출고!$C$8:$C$1013=마스터!$M$7,ROW(출고!$C$8:$C$1013)-7),14)),"")</f>
        <v/>
      </c>
      <c r="C58" s="11" t="str">
        <f t="array" ref="C58">IFERROR(INDEX(출고!$E$8:$E$1013,SMALL(IF(출고!$C$8:$C$1013=마스터!$M$7,ROW(출고!$C$8:$C$1013)-7),14)),"")</f>
        <v/>
      </c>
      <c r="D58" s="13" t="str">
        <f t="array" ref="D58">IFERROR(INDEX(출고!$F$8:$F$1013,SMALL(IF(출고!$C$8:$C$1013=마스터!$M$7,ROW(출고!$C$8:$C$1013)-7),14)),"")</f>
        <v/>
      </c>
      <c r="E58" s="50" t="str">
        <f t="array" ref="E58">IFERROR(INDEX(출고!$H$8:$H$1013,SMALL(IF(출고!$C$8:$C$1013=마스터!$M$7,ROW(출고!$C$8:$C$1013)-7),14)),"")</f>
        <v/>
      </c>
      <c r="F58" s="50" t="str">
        <f t="array" ref="F58">IFERROR(INDEX(출고!$I$8:$I$1013,SMALL(IF(출고!$C$8:$C$1013=마스터!$M$7,ROW(출고!$C$8:$C$1013)-7),14)),"")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IFERROR(INDEX(출고!$B$8:$B$1013,SMALL(IF(출고!$C$8:$C$1013=마스터!$M$7,ROW(출고!$C$8:$C$1013)-7),15)),"")</f>
        <v/>
      </c>
      <c r="C59" s="6" t="str">
        <f t="array" ref="C59">IFERROR(INDEX(출고!$E$8:$E$1013,SMALL(IF(출고!$C$8:$C$1013=마스터!$M$7,ROW(출고!$C$8:$C$1013)-7),15)),"")</f>
        <v/>
      </c>
      <c r="D59" s="8" t="str">
        <f t="array" ref="D59">IFERROR(INDEX(출고!$F$8:$F$1013,SMALL(IF(출고!$C$8:$C$1013=마스터!$M$7,ROW(출고!$C$8:$C$1013)-7),15)),"")</f>
        <v/>
      </c>
      <c r="E59" s="46" t="str">
        <f t="array" ref="E59">IFERROR(INDEX(출고!$H$8:$H$1013,SMALL(IF(출고!$C$8:$C$1013=마스터!$M$7,ROW(출고!$C$8:$C$1013)-7),15)),"")</f>
        <v/>
      </c>
      <c r="F59" s="46" t="str">
        <f t="array" ref="F59">IFERROR(INDEX(출고!$I$8:$I$1013,SMALL(IF(출고!$C$8:$C$1013=마스터!$M$7,ROW(출고!$C$8:$C$1013)-7),15)),"")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IFERROR(INDEX(출고!$B$8:$B$1013,SMALL(IF(출고!$C$8:$C$1013=마스터!$M$7,ROW(출고!$C$8:$C$1013)-7),16)),"")</f>
        <v/>
      </c>
      <c r="C60" s="11" t="str">
        <f t="array" ref="C60">IFERROR(INDEX(출고!$E$8:$E$1013,SMALL(IF(출고!$C$8:$C$1013=마스터!$M$7,ROW(출고!$C$8:$C$1013)-7),16)),"")</f>
        <v/>
      </c>
      <c r="D60" s="13" t="str">
        <f t="array" ref="D60">IFERROR(INDEX(출고!$F$8:$F$1013,SMALL(IF(출고!$C$8:$C$1013=마스터!$M$7,ROW(출고!$C$8:$C$1013)-7),16)),"")</f>
        <v/>
      </c>
      <c r="E60" s="50" t="str">
        <f t="array" ref="E60">IFERROR(INDEX(출고!$H$8:$H$1013,SMALL(IF(출고!$C$8:$C$1013=마스터!$M$7,ROW(출고!$C$8:$C$1013)-7),16)),"")</f>
        <v/>
      </c>
      <c r="F60" s="50" t="str">
        <f t="array" ref="F60">IFERROR(INDEX(출고!$I$8:$I$1013,SMALL(IF(출고!$C$8:$C$1013=마스터!$M$7,ROW(출고!$C$8:$C$1013)-7),16)),"")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IFERROR(INDEX(출고!$B$8:$B$1013,SMALL(IF(출고!$C$8:$C$1013=마스터!$M$7,ROW(출고!$C$8:$C$1013)-7),17)),"")</f>
        <v/>
      </c>
      <c r="C61" s="6" t="str">
        <f t="array" ref="C61">IFERROR(INDEX(출고!$E$8:$E$1013,SMALL(IF(출고!$C$8:$C$1013=마스터!$M$7,ROW(출고!$C$8:$C$1013)-7),17)),"")</f>
        <v/>
      </c>
      <c r="D61" s="8" t="str">
        <f t="array" ref="D61">IFERROR(INDEX(출고!$F$8:$F$1013,SMALL(IF(출고!$C$8:$C$1013=마스터!$M$7,ROW(출고!$C$8:$C$1013)-7),17)),"")</f>
        <v/>
      </c>
      <c r="E61" s="46" t="str">
        <f t="array" ref="E61">IFERROR(INDEX(출고!$H$8:$H$1013,SMALL(IF(출고!$C$8:$C$1013=마스터!$M$7,ROW(출고!$C$8:$C$1013)-7),17)),"")</f>
        <v/>
      </c>
      <c r="F61" s="46" t="str">
        <f t="array" ref="F61">IFERROR(INDEX(출고!$I$8:$I$1013,SMALL(IF(출고!$C$8:$C$1013=마스터!$M$7,ROW(출고!$C$8:$C$1013)-7),17)),"")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IFERROR(INDEX(출고!$B$8:$B$1013,SMALL(IF(출고!$C$8:$C$1013=마스터!$M$7,ROW(출고!$C$8:$C$1013)-7),18)),"")</f>
        <v/>
      </c>
      <c r="C62" s="11" t="str">
        <f t="array" ref="C62">IFERROR(INDEX(출고!$E$8:$E$1013,SMALL(IF(출고!$C$8:$C$1013=마스터!$M$7,ROW(출고!$C$8:$C$1013)-7),18)),"")</f>
        <v/>
      </c>
      <c r="D62" s="13" t="str">
        <f t="array" ref="D62">IFERROR(INDEX(출고!$F$8:$F$1013,SMALL(IF(출고!$C$8:$C$1013=마스터!$M$7,ROW(출고!$C$8:$C$1013)-7),18)),"")</f>
        <v/>
      </c>
      <c r="E62" s="50" t="str">
        <f t="array" ref="E62">IFERROR(INDEX(출고!$H$8:$H$1013,SMALL(IF(출고!$C$8:$C$1013=마스터!$M$7,ROW(출고!$C$8:$C$1013)-7),18)),"")</f>
        <v/>
      </c>
      <c r="F62" s="50" t="str">
        <f t="array" ref="F62">IFERROR(INDEX(출고!$I$8:$I$1013,SMALL(IF(출고!$C$8:$C$1013=마스터!$M$7,ROW(출고!$C$8:$C$1013)-7),18)),"")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IFERROR(INDEX(출고!$B$8:$B$1013,SMALL(IF(출고!$C$8:$C$1013=마스터!$M$7,ROW(출고!$C$8:$C$1013)-7),19)),"")</f>
        <v/>
      </c>
      <c r="C63" s="6" t="str">
        <f t="array" ref="C63">IFERROR(INDEX(출고!$E$8:$E$1013,SMALL(IF(출고!$C$8:$C$1013=마스터!$M$7,ROW(출고!$C$8:$C$1013)-7),19)),"")</f>
        <v/>
      </c>
      <c r="D63" s="8" t="str">
        <f t="array" ref="D63">IFERROR(INDEX(출고!$F$8:$F$1013,SMALL(IF(출고!$C$8:$C$1013=마스터!$M$7,ROW(출고!$C$8:$C$1013)-7),19)),"")</f>
        <v/>
      </c>
      <c r="E63" s="46" t="str">
        <f t="array" ref="E63">IFERROR(INDEX(출고!$H$8:$H$1013,SMALL(IF(출고!$C$8:$C$1013=마스터!$M$7,ROW(출고!$C$8:$C$1013)-7),19)),"")</f>
        <v/>
      </c>
      <c r="F63" s="46" t="str">
        <f t="array" ref="F63">IFERROR(INDEX(출고!$I$8:$I$1013,SMALL(IF(출고!$C$8:$C$1013=마스터!$M$7,ROW(출고!$C$8:$C$1013)-7),19)),"")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IFERROR(INDEX(출고!$B$8:$B$1013,SMALL(IF(출고!$C$8:$C$1013=마스터!$M$7,ROW(출고!$C$8:$C$1013)-7),20)),"")</f>
        <v/>
      </c>
      <c r="C64" s="11" t="str">
        <f t="array" ref="C64">IFERROR(INDEX(출고!$E$8:$E$1013,SMALL(IF(출고!$C$8:$C$1013=마스터!$M$7,ROW(출고!$C$8:$C$1013)-7),20)),"")</f>
        <v/>
      </c>
      <c r="D64" s="13" t="str">
        <f t="array" ref="D64">IFERROR(INDEX(출고!$F$8:$F$1013,SMALL(IF(출고!$C$8:$C$1013=마스터!$M$7,ROW(출고!$C$8:$C$1013)-7),20)),"")</f>
        <v/>
      </c>
      <c r="E64" s="50" t="str">
        <f t="array" ref="E64">IFERROR(INDEX(출고!$H$8:$H$1013,SMALL(IF(출고!$C$8:$C$1013=마스터!$M$7,ROW(출고!$C$8:$C$1013)-7),20)),"")</f>
        <v/>
      </c>
      <c r="F64" s="50" t="str">
        <f t="array" ref="F64">IFERROR(INDEX(출고!$I$8:$I$1013,SMALL(IF(출고!$C$8:$C$1013=마스터!$M$7,ROW(출고!$C$8:$C$1013)-7),20)),"")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IFERROR(INDEX(출고!$B$8:$B$1013,SMALL(IF(출고!$C$8:$C$1013=마스터!$M$7,ROW(출고!$C$8:$C$1013)-7),21)),"")</f>
        <v/>
      </c>
      <c r="C65" s="6" t="str">
        <f t="array" ref="C65">IFERROR(INDEX(출고!$E$8:$E$1013,SMALL(IF(출고!$C$8:$C$1013=마스터!$M$7,ROW(출고!$C$8:$C$1013)-7),21)),"")</f>
        <v/>
      </c>
      <c r="D65" s="8" t="str">
        <f t="array" ref="D65">IFERROR(INDEX(출고!$F$8:$F$1013,SMALL(IF(출고!$C$8:$C$1013=마스터!$M$7,ROW(출고!$C$8:$C$1013)-7),21)),"")</f>
        <v/>
      </c>
      <c r="E65" s="46" t="str">
        <f t="array" ref="E65">IFERROR(INDEX(출고!$H$8:$H$1013,SMALL(IF(출고!$C$8:$C$1013=마스터!$M$7,ROW(출고!$C$8:$C$1013)-7),21)),"")</f>
        <v/>
      </c>
      <c r="F65" s="46" t="str">
        <f t="array" ref="F65">IFERROR(INDEX(출고!$I$8:$I$1013,SMALL(IF(출고!$C$8:$C$1013=마스터!$M$7,ROW(출고!$C$8:$C$1013)-7),21)),"")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IFERROR(INDEX(출고!$B$8:$B$1013,SMALL(IF(출고!$C$8:$C$1013=마스터!$M$7,ROW(출고!$C$8:$C$1013)-7),22)),"")</f>
        <v/>
      </c>
      <c r="C66" s="11" t="str">
        <f t="array" ref="C66">IFERROR(INDEX(출고!$E$8:$E$1013,SMALL(IF(출고!$C$8:$C$1013=마스터!$M$7,ROW(출고!$C$8:$C$1013)-7),22)),"")</f>
        <v/>
      </c>
      <c r="D66" s="13" t="str">
        <f t="array" ref="D66">IFERROR(INDEX(출고!$F$8:$F$1013,SMALL(IF(출고!$C$8:$C$1013=마스터!$M$7,ROW(출고!$C$8:$C$1013)-7),22)),"")</f>
        <v/>
      </c>
      <c r="E66" s="50" t="str">
        <f t="array" ref="E66">IFERROR(INDEX(출고!$H$8:$H$1013,SMALL(IF(출고!$C$8:$C$1013=마스터!$M$7,ROW(출고!$C$8:$C$1013)-7),22)),"")</f>
        <v/>
      </c>
      <c r="F66" s="50" t="str">
        <f t="array" ref="F66">IFERROR(INDEX(출고!$I$8:$I$1013,SMALL(IF(출고!$C$8:$C$1013=마스터!$M$7,ROW(출고!$C$8:$C$1013)-7),22)),"")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IFERROR(INDEX(출고!$B$8:$B$1013,SMALL(IF(출고!$C$8:$C$1013=마스터!$M$7,ROW(출고!$C$8:$C$1013)-7),23)),"")</f>
        <v/>
      </c>
      <c r="C67" s="6" t="str">
        <f t="array" ref="C67">IFERROR(INDEX(출고!$E$8:$E$1013,SMALL(IF(출고!$C$8:$C$1013=마스터!$M$7,ROW(출고!$C$8:$C$1013)-7),23)),"")</f>
        <v/>
      </c>
      <c r="D67" s="8" t="str">
        <f t="array" ref="D67">IFERROR(INDEX(출고!$F$8:$F$1013,SMALL(IF(출고!$C$8:$C$1013=마스터!$M$7,ROW(출고!$C$8:$C$1013)-7),23)),"")</f>
        <v/>
      </c>
      <c r="E67" s="46" t="str">
        <f t="array" ref="E67">IFERROR(INDEX(출고!$H$8:$H$1013,SMALL(IF(출고!$C$8:$C$1013=마스터!$M$7,ROW(출고!$C$8:$C$1013)-7),23)),"")</f>
        <v/>
      </c>
      <c r="F67" s="46" t="str">
        <f t="array" ref="F67">IFERROR(INDEX(출고!$I$8:$I$1013,SMALL(IF(출고!$C$8:$C$1013=마스터!$M$7,ROW(출고!$C$8:$C$1013)-7),23)),"")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IFERROR(INDEX(출고!$B$8:$B$1013,SMALL(IF(출고!$C$8:$C$1013=마스터!$M$7,ROW(출고!$C$8:$C$1013)-7),24)),"")</f>
        <v/>
      </c>
      <c r="C68" s="11" t="str">
        <f t="array" ref="C68">IFERROR(INDEX(출고!$E$8:$E$1013,SMALL(IF(출고!$C$8:$C$1013=마스터!$M$7,ROW(출고!$C$8:$C$1013)-7),24)),"")</f>
        <v/>
      </c>
      <c r="D68" s="13" t="str">
        <f t="array" ref="D68">IFERROR(INDEX(출고!$F$8:$F$1013,SMALL(IF(출고!$C$8:$C$1013=마스터!$M$7,ROW(출고!$C$8:$C$1013)-7),24)),"")</f>
        <v/>
      </c>
      <c r="E68" s="50" t="str">
        <f t="array" ref="E68">IFERROR(INDEX(출고!$H$8:$H$1013,SMALL(IF(출고!$C$8:$C$1013=마스터!$M$7,ROW(출고!$C$8:$C$1013)-7),24)),"")</f>
        <v/>
      </c>
      <c r="F68" s="50" t="str">
        <f t="array" ref="F68">IFERROR(INDEX(출고!$I$8:$I$1013,SMALL(IF(출고!$C$8:$C$1013=마스터!$M$7,ROW(출고!$C$8:$C$1013)-7),24)),"")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IFERROR(INDEX(출고!$B$8:$B$1013,SMALL(IF(출고!$C$8:$C$1013=마스터!$M$7,ROW(출고!$C$8:$C$1013)-7),25)),"")</f>
        <v/>
      </c>
      <c r="C69" s="6" t="str">
        <f t="array" ref="C69">IFERROR(INDEX(출고!$E$8:$E$1013,SMALL(IF(출고!$C$8:$C$1013=마스터!$M$7,ROW(출고!$C$8:$C$1013)-7),25)),"")</f>
        <v/>
      </c>
      <c r="D69" s="8" t="str">
        <f t="array" ref="D69">IFERROR(INDEX(출고!$F$8:$F$1013,SMALL(IF(출고!$C$8:$C$1013=마스터!$M$7,ROW(출고!$C$8:$C$1013)-7),25)),"")</f>
        <v/>
      </c>
      <c r="E69" s="46" t="str">
        <f t="array" ref="E69">IFERROR(INDEX(출고!$H$8:$H$1013,SMALL(IF(출고!$C$8:$C$1013=마스터!$M$7,ROW(출고!$C$8:$C$1013)-7),25)),"")</f>
        <v/>
      </c>
      <c r="F69" s="46" t="str">
        <f t="array" ref="F69">IFERROR(INDEX(출고!$I$8:$I$1013,SMALL(IF(출고!$C$8:$C$1013=마스터!$M$7,ROW(출고!$C$8:$C$1013)-7),25)),"")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IFERROR(INDEX(출고!$B$8:$B$1013,SMALL(IF(출고!$C$8:$C$1013=마스터!$M$7,ROW(출고!$C$8:$C$1013)-7),26)),"")</f>
        <v/>
      </c>
      <c r="C70" s="11" t="str">
        <f t="array" ref="C70">IFERROR(INDEX(출고!$E$8:$E$1013,SMALL(IF(출고!$C$8:$C$1013=마스터!$M$7,ROW(출고!$C$8:$C$1013)-7),26)),"")</f>
        <v/>
      </c>
      <c r="D70" s="13" t="str">
        <f t="array" ref="D70">IFERROR(INDEX(출고!$F$8:$F$1013,SMALL(IF(출고!$C$8:$C$1013=마스터!$M$7,ROW(출고!$C$8:$C$1013)-7),26)),"")</f>
        <v/>
      </c>
      <c r="E70" s="50" t="str">
        <f t="array" ref="E70">IFERROR(INDEX(출고!$H$8:$H$1013,SMALL(IF(출고!$C$8:$C$1013=마스터!$M$7,ROW(출고!$C$8:$C$1013)-7),26)),"")</f>
        <v/>
      </c>
      <c r="F70" s="50" t="str">
        <f t="array" ref="F70">IFERROR(INDEX(출고!$I$8:$I$1013,SMALL(IF(출고!$C$8:$C$1013=마스터!$M$7,ROW(출고!$C$8:$C$1013)-7),26)),"")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IFERROR(INDEX(출고!$B$8:$B$1013,SMALL(IF(출고!$C$8:$C$1013=마스터!$M$7,ROW(출고!$C$8:$C$1013)-7),27)),"")</f>
        <v/>
      </c>
      <c r="C71" s="6" t="str">
        <f t="array" ref="C71">IFERROR(INDEX(출고!$E$8:$E$1013,SMALL(IF(출고!$C$8:$C$1013=마스터!$M$7,ROW(출고!$C$8:$C$1013)-7),27)),"")</f>
        <v/>
      </c>
      <c r="D71" s="8" t="str">
        <f t="array" ref="D71">IFERROR(INDEX(출고!$F$8:$F$1013,SMALL(IF(출고!$C$8:$C$1013=마스터!$M$7,ROW(출고!$C$8:$C$1013)-7),27)),"")</f>
        <v/>
      </c>
      <c r="E71" s="46" t="str">
        <f t="array" ref="E71">IFERROR(INDEX(출고!$H$8:$H$1013,SMALL(IF(출고!$C$8:$C$1013=마스터!$M$7,ROW(출고!$C$8:$C$1013)-7),27)),"")</f>
        <v/>
      </c>
      <c r="F71" s="46" t="str">
        <f t="array" ref="F71">IFERROR(INDEX(출고!$I$8:$I$1013,SMALL(IF(출고!$C$8:$C$1013=마스터!$M$7,ROW(출고!$C$8:$C$1013)-7),27)),"")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IFERROR(INDEX(출고!$B$8:$B$1013,SMALL(IF(출고!$C$8:$C$1013=마스터!$M$7,ROW(출고!$C$8:$C$1013)-7),28)),"")</f>
        <v/>
      </c>
      <c r="C72" s="11" t="str">
        <f t="array" ref="C72">IFERROR(INDEX(출고!$E$8:$E$1013,SMALL(IF(출고!$C$8:$C$1013=마스터!$M$7,ROW(출고!$C$8:$C$1013)-7),28)),"")</f>
        <v/>
      </c>
      <c r="D72" s="13" t="str">
        <f t="array" ref="D72">IFERROR(INDEX(출고!$F$8:$F$1013,SMALL(IF(출고!$C$8:$C$1013=마스터!$M$7,ROW(출고!$C$8:$C$1013)-7),28)),"")</f>
        <v/>
      </c>
      <c r="E72" s="50" t="str">
        <f t="array" ref="E72">IFERROR(INDEX(출고!$H$8:$H$1013,SMALL(IF(출고!$C$8:$C$1013=마스터!$M$7,ROW(출고!$C$8:$C$1013)-7),28)),"")</f>
        <v/>
      </c>
      <c r="F72" s="50" t="str">
        <f t="array" ref="F72">IFERROR(INDEX(출고!$I$8:$I$1013,SMALL(IF(출고!$C$8:$C$1013=마스터!$M$7,ROW(출고!$C$8:$C$1013)-7),28)),"")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IFERROR(INDEX(출고!$B$8:$B$1013,SMALL(IF(출고!$C$8:$C$1013=마스터!$M$7,ROW(출고!$C$8:$C$1013)-7),29)),"")</f>
        <v/>
      </c>
      <c r="C73" s="6" t="str">
        <f t="array" ref="C73">IFERROR(INDEX(출고!$E$8:$E$1013,SMALL(IF(출고!$C$8:$C$1013=마스터!$M$7,ROW(출고!$C$8:$C$1013)-7),29)),"")</f>
        <v/>
      </c>
      <c r="D73" s="8" t="str">
        <f t="array" ref="D73">IFERROR(INDEX(출고!$F$8:$F$1013,SMALL(IF(출고!$C$8:$C$1013=마스터!$M$7,ROW(출고!$C$8:$C$1013)-7),29)),"")</f>
        <v/>
      </c>
      <c r="E73" s="46" t="str">
        <f t="array" ref="E73">IFERROR(INDEX(출고!$H$8:$H$1013,SMALL(IF(출고!$C$8:$C$1013=마스터!$M$7,ROW(출고!$C$8:$C$1013)-7),29)),"")</f>
        <v/>
      </c>
      <c r="F73" s="46" t="str">
        <f t="array" ref="F73">IFERROR(INDEX(출고!$I$8:$I$1013,SMALL(IF(출고!$C$8:$C$1013=마스터!$M$7,ROW(출고!$C$8:$C$1013)-7),29)),"")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IFERROR(INDEX(출고!$B$8:$B$1013,SMALL(IF(출고!$C$8:$C$1013=마스터!$M$7,ROW(출고!$C$8:$C$1013)-7),30)),"")</f>
        <v/>
      </c>
      <c r="C74" s="11" t="str">
        <f t="array" ref="C74">IFERROR(INDEX(출고!$E$8:$E$1013,SMALL(IF(출고!$C$8:$C$1013=마스터!$M$7,ROW(출고!$C$8:$C$1013)-7),30)),"")</f>
        <v/>
      </c>
      <c r="D74" s="13" t="str">
        <f t="array" ref="D74">IFERROR(INDEX(출고!$F$8:$F$1013,SMALL(IF(출고!$C$8:$C$1013=마스터!$M$7,ROW(출고!$C$8:$C$1013)-7),30)),"")</f>
        <v/>
      </c>
      <c r="E74" s="50" t="str">
        <f t="array" ref="E74">IFERROR(INDEX(출고!$H$8:$H$1013,SMALL(IF(출고!$C$8:$C$1013=마스터!$M$7,ROW(출고!$C$8:$C$1013)-7),30)),"")</f>
        <v/>
      </c>
      <c r="F74" s="50" t="str">
        <f t="array" ref="F74">IFERROR(INDEX(출고!$I$8:$I$1013,SMALL(IF(출고!$C$8:$C$1013=마스터!$M$7,ROW(출고!$C$8:$C$1013)-7),30)),"")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 t="str">
        <f t="shared" ref="A78:A107" si="4">IF(B78="","",ROW()-77)</f>
        <v/>
      </c>
      <c r="B78" s="6" t="str">
        <f t="array" ref="B78">IFERROR(INDEX(입고!$E$8:$E$1013,SMALL(IF((입고!$C$8:$C$1013=마스터!$M$7)*(입고!$AC$8:$AC$1013=1),ROW(입고!$C$8:$C$1013)-7),1)),"")</f>
        <v/>
      </c>
      <c r="C78" s="8" t="str">
        <f>IF(B78="","",SUMIFS(입고!$F$8:$F$1013,입고!$C$8:$C$1013,마스터!$M$7,입고!$E$8:$E$1013,B78))</f>
        <v/>
      </c>
      <c r="D78" s="8" t="str">
        <f>IF(B78="","",SUMIFS(출고!$F$8:$F$1013,출고!$C$8:$C$1013,마스터!$M$7,출고!$E$8:$E$1013,B78))</f>
        <v/>
      </c>
      <c r="E78" s="40" t="str">
        <f t="shared" ref="E78:E107" si="5">IF(B78="","",C78-D78)</f>
        <v/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IFERROR(INDEX(입고!$E$8:$E$1013,SMALL(IF((입고!$C$8:$C$1013=마스터!$M$7)*(입고!$AC$8:$AC$1013=1),ROW(입고!$C$8:$C$1013)-7),2)),"")</f>
        <v/>
      </c>
      <c r="C79" s="13" t="str">
        <f>IF(B79="","",SUMIFS(입고!$F$8:$F$1013,입고!$C$8:$C$1013,마스터!$M$7,입고!$E$8:$E$1013,B79))</f>
        <v/>
      </c>
      <c r="D79" s="13" t="str">
        <f>IF(B79="","",SUMIFS(출고!$F$8:$F$1013,출고!$C$8:$C$1013,마스터!$M$7,출고!$E$8:$E$1013,B79))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IFERROR(INDEX(입고!$E$8:$E$1013,SMALL(IF((입고!$C$8:$C$1013=마스터!$M$7)*(입고!$AC$8:$AC$1013=1),ROW(입고!$C$8:$C$1013)-7),3)),"")</f>
        <v/>
      </c>
      <c r="C80" s="8" t="str">
        <f>IF(B80="","",SUMIFS(입고!$F$8:$F$1013,입고!$C$8:$C$1013,마스터!$M$7,입고!$E$8:$E$1013,B80))</f>
        <v/>
      </c>
      <c r="D80" s="8" t="str">
        <f>IF(B80="","",SUMIFS(출고!$F$8:$F$1013,출고!$C$8:$C$1013,마스터!$M$7,출고!$E$8:$E$1013,B80))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IFERROR(INDEX(입고!$E$8:$E$1013,SMALL(IF((입고!$C$8:$C$1013=마스터!$M$7)*(입고!$AC$8:$AC$1013=1),ROW(입고!$C$8:$C$1013)-7),4)),"")</f>
        <v/>
      </c>
      <c r="C81" s="13" t="str">
        <f>IF(B81="","",SUMIFS(입고!$F$8:$F$1013,입고!$C$8:$C$1013,마스터!$M$7,입고!$E$8:$E$1013,B81))</f>
        <v/>
      </c>
      <c r="D81" s="13" t="str">
        <f>IF(B81="","",SUMIFS(출고!$F$8:$F$1013,출고!$C$8:$C$1013,마스터!$M$7,출고!$E$8:$E$1013,B81))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IFERROR(INDEX(입고!$E$8:$E$1013,SMALL(IF((입고!$C$8:$C$1013=마스터!$M$7)*(입고!$AC$8:$AC$1013=1),ROW(입고!$C$8:$C$1013)-7),5)),"")</f>
        <v/>
      </c>
      <c r="C82" s="8" t="str">
        <f>IF(B82="","",SUMIFS(입고!$F$8:$F$1013,입고!$C$8:$C$1013,마스터!$M$7,입고!$E$8:$E$1013,B82))</f>
        <v/>
      </c>
      <c r="D82" s="8" t="str">
        <f>IF(B82="","",SUMIFS(출고!$F$8:$F$1013,출고!$C$8:$C$1013,마스터!$M$7,출고!$E$8:$E$1013,B82))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IFERROR(INDEX(입고!$E$8:$E$1013,SMALL(IF((입고!$C$8:$C$1013=마스터!$M$7)*(입고!$AC$8:$AC$1013=1),ROW(입고!$C$8:$C$1013)-7),6)),"")</f>
        <v/>
      </c>
      <c r="C83" s="13" t="str">
        <f>IF(B83="","",SUMIFS(입고!$F$8:$F$1013,입고!$C$8:$C$1013,마스터!$M$7,입고!$E$8:$E$1013,B83))</f>
        <v/>
      </c>
      <c r="D83" s="13" t="str">
        <f>IF(B83="","",SUMIFS(출고!$F$8:$F$1013,출고!$C$8:$C$1013,마스터!$M$7,출고!$E$8:$E$1013,B83))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IFERROR(INDEX(입고!$E$8:$E$1013,SMALL(IF((입고!$C$8:$C$1013=마스터!$M$7)*(입고!$AC$8:$AC$1013=1),ROW(입고!$C$8:$C$1013)-7),7)),"")</f>
        <v/>
      </c>
      <c r="C84" s="8" t="str">
        <f>IF(B84="","",SUMIFS(입고!$F$8:$F$1013,입고!$C$8:$C$1013,마스터!$M$7,입고!$E$8:$E$1013,B84))</f>
        <v/>
      </c>
      <c r="D84" s="8" t="str">
        <f>IF(B84="","",SUMIFS(출고!$F$8:$F$1013,출고!$C$8:$C$1013,마스터!$M$7,출고!$E$8:$E$1013,B84))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IFERROR(INDEX(입고!$E$8:$E$1013,SMALL(IF((입고!$C$8:$C$1013=마스터!$M$7)*(입고!$AC$8:$AC$1013=1),ROW(입고!$C$8:$C$1013)-7),8)),"")</f>
        <v/>
      </c>
      <c r="C85" s="13" t="str">
        <f>IF(B85="","",SUMIFS(입고!$F$8:$F$1013,입고!$C$8:$C$1013,마스터!$M$7,입고!$E$8:$E$1013,B85))</f>
        <v/>
      </c>
      <c r="D85" s="13" t="str">
        <f>IF(B85="","",SUMIFS(출고!$F$8:$F$1013,출고!$C$8:$C$1013,마스터!$M$7,출고!$E$8:$E$1013,B85))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IFERROR(INDEX(입고!$E$8:$E$1013,SMALL(IF((입고!$C$8:$C$1013=마스터!$M$7)*(입고!$AC$8:$AC$1013=1),ROW(입고!$C$8:$C$1013)-7),9)),"")</f>
        <v/>
      </c>
      <c r="C86" s="8" t="str">
        <f>IF(B86="","",SUMIFS(입고!$F$8:$F$1013,입고!$C$8:$C$1013,마스터!$M$7,입고!$E$8:$E$1013,B86))</f>
        <v/>
      </c>
      <c r="D86" s="8" t="str">
        <f>IF(B86="","",SUMIFS(출고!$F$8:$F$1013,출고!$C$8:$C$1013,마스터!$M$7,출고!$E$8:$E$1013,B86))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IFERROR(INDEX(입고!$E$8:$E$1013,SMALL(IF((입고!$C$8:$C$1013=마스터!$M$7)*(입고!$AC$8:$AC$1013=1),ROW(입고!$C$8:$C$1013)-7),10)),"")</f>
        <v/>
      </c>
      <c r="C87" s="13" t="str">
        <f>IF(B87="","",SUMIFS(입고!$F$8:$F$1013,입고!$C$8:$C$1013,마스터!$M$7,입고!$E$8:$E$1013,B87))</f>
        <v/>
      </c>
      <c r="D87" s="13" t="str">
        <f>IF(B87="","",SUMIFS(출고!$F$8:$F$1013,출고!$C$8:$C$1013,마스터!$M$7,출고!$E$8:$E$1013,B87))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IFERROR(INDEX(입고!$E$8:$E$1013,SMALL(IF((입고!$C$8:$C$1013=마스터!$M$7)*(입고!$AC$8:$AC$1013=1),ROW(입고!$C$8:$C$1013)-7),11)),"")</f>
        <v/>
      </c>
      <c r="C88" s="8" t="str">
        <f>IF(B88="","",SUMIFS(입고!$F$8:$F$1013,입고!$C$8:$C$1013,마스터!$M$7,입고!$E$8:$E$1013,B88))</f>
        <v/>
      </c>
      <c r="D88" s="8" t="str">
        <f>IF(B88="","",SUMIFS(출고!$F$8:$F$1013,출고!$C$8:$C$1013,마스터!$M$7,출고!$E$8:$E$1013,B88))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IFERROR(INDEX(입고!$E$8:$E$1013,SMALL(IF((입고!$C$8:$C$1013=마스터!$M$7)*(입고!$AC$8:$AC$1013=1),ROW(입고!$C$8:$C$1013)-7),12)),"")</f>
        <v/>
      </c>
      <c r="C89" s="13" t="str">
        <f>IF(B89="","",SUMIFS(입고!$F$8:$F$1013,입고!$C$8:$C$1013,마스터!$M$7,입고!$E$8:$E$1013,B89))</f>
        <v/>
      </c>
      <c r="D89" s="13" t="str">
        <f>IF(B89="","",SUMIFS(출고!$F$8:$F$1013,출고!$C$8:$C$1013,마스터!$M$7,출고!$E$8:$E$1013,B89))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IFERROR(INDEX(입고!$E$8:$E$1013,SMALL(IF((입고!$C$8:$C$1013=마스터!$M$7)*(입고!$AC$8:$AC$1013=1),ROW(입고!$C$8:$C$1013)-7),13)),"")</f>
        <v/>
      </c>
      <c r="C90" s="8" t="str">
        <f>IF(B90="","",SUMIFS(입고!$F$8:$F$1013,입고!$C$8:$C$1013,마스터!$M$7,입고!$E$8:$E$1013,B90))</f>
        <v/>
      </c>
      <c r="D90" s="8" t="str">
        <f>IF(B90="","",SUMIFS(출고!$F$8:$F$1013,출고!$C$8:$C$1013,마스터!$M$7,출고!$E$8:$E$1013,B90))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IFERROR(INDEX(입고!$E$8:$E$1013,SMALL(IF((입고!$C$8:$C$1013=마스터!$M$7)*(입고!$AC$8:$AC$1013=1),ROW(입고!$C$8:$C$1013)-7),14)),"")</f>
        <v/>
      </c>
      <c r="C91" s="13" t="str">
        <f>IF(B91="","",SUMIFS(입고!$F$8:$F$1013,입고!$C$8:$C$1013,마스터!$M$7,입고!$E$8:$E$1013,B91))</f>
        <v/>
      </c>
      <c r="D91" s="13" t="str">
        <f>IF(B91="","",SUMIFS(출고!$F$8:$F$1013,출고!$C$8:$C$1013,마스터!$M$7,출고!$E$8:$E$1013,B91))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IFERROR(INDEX(입고!$E$8:$E$1013,SMALL(IF((입고!$C$8:$C$1013=마스터!$M$7)*(입고!$AC$8:$AC$1013=1),ROW(입고!$C$8:$C$1013)-7),15)),"")</f>
        <v/>
      </c>
      <c r="C92" s="8" t="str">
        <f>IF(B92="","",SUMIFS(입고!$F$8:$F$1013,입고!$C$8:$C$1013,마스터!$M$7,입고!$E$8:$E$1013,B92))</f>
        <v/>
      </c>
      <c r="D92" s="8" t="str">
        <f>IF(B92="","",SUMIFS(출고!$F$8:$F$1013,출고!$C$8:$C$1013,마스터!$M$7,출고!$E$8:$E$1013,B92))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IFERROR(INDEX(입고!$E$8:$E$1013,SMALL(IF((입고!$C$8:$C$1013=마스터!$M$7)*(입고!$AC$8:$AC$1013=1),ROW(입고!$C$8:$C$1013)-7),16)),"")</f>
        <v/>
      </c>
      <c r="C93" s="13" t="str">
        <f>IF(B93="","",SUMIFS(입고!$F$8:$F$1013,입고!$C$8:$C$1013,마스터!$M$7,입고!$E$8:$E$1013,B93))</f>
        <v/>
      </c>
      <c r="D93" s="13" t="str">
        <f>IF(B93="","",SUMIFS(출고!$F$8:$F$1013,출고!$C$8:$C$1013,마스터!$M$7,출고!$E$8:$E$1013,B93))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IFERROR(INDEX(입고!$E$8:$E$1013,SMALL(IF((입고!$C$8:$C$1013=마스터!$M$7)*(입고!$AC$8:$AC$1013=1),ROW(입고!$C$8:$C$1013)-7),17)),"")</f>
        <v/>
      </c>
      <c r="C94" s="8" t="str">
        <f>IF(B94="","",SUMIFS(입고!$F$8:$F$1013,입고!$C$8:$C$1013,마스터!$M$7,입고!$E$8:$E$1013,B94))</f>
        <v/>
      </c>
      <c r="D94" s="8" t="str">
        <f>IF(B94="","",SUMIFS(출고!$F$8:$F$1013,출고!$C$8:$C$1013,마스터!$M$7,출고!$E$8:$E$1013,B94))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IFERROR(INDEX(입고!$E$8:$E$1013,SMALL(IF((입고!$C$8:$C$1013=마스터!$M$7)*(입고!$AC$8:$AC$1013=1),ROW(입고!$C$8:$C$1013)-7),18)),"")</f>
        <v/>
      </c>
      <c r="C95" s="13" t="str">
        <f>IF(B95="","",SUMIFS(입고!$F$8:$F$1013,입고!$C$8:$C$1013,마스터!$M$7,입고!$E$8:$E$1013,B95))</f>
        <v/>
      </c>
      <c r="D95" s="13" t="str">
        <f>IF(B95="","",SUMIFS(출고!$F$8:$F$1013,출고!$C$8:$C$1013,마스터!$M$7,출고!$E$8:$E$1013,B95))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IFERROR(INDEX(입고!$E$8:$E$1013,SMALL(IF((입고!$C$8:$C$1013=마스터!$M$7)*(입고!$AC$8:$AC$1013=1),ROW(입고!$C$8:$C$1013)-7),19)),"")</f>
        <v/>
      </c>
      <c r="C96" s="8" t="str">
        <f>IF(B96="","",SUMIFS(입고!$F$8:$F$1013,입고!$C$8:$C$1013,마스터!$M$7,입고!$E$8:$E$1013,B96))</f>
        <v/>
      </c>
      <c r="D96" s="8" t="str">
        <f>IF(B96="","",SUMIFS(출고!$F$8:$F$1013,출고!$C$8:$C$1013,마스터!$M$7,출고!$E$8:$E$1013,B96))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IFERROR(INDEX(입고!$E$8:$E$1013,SMALL(IF((입고!$C$8:$C$1013=마스터!$M$7)*(입고!$AC$8:$AC$1013=1),ROW(입고!$C$8:$C$1013)-7),20)),"")</f>
        <v/>
      </c>
      <c r="C97" s="13" t="str">
        <f>IF(B97="","",SUMIFS(입고!$F$8:$F$1013,입고!$C$8:$C$1013,마스터!$M$7,입고!$E$8:$E$1013,B97))</f>
        <v/>
      </c>
      <c r="D97" s="13" t="str">
        <f>IF(B97="","",SUMIFS(출고!$F$8:$F$1013,출고!$C$8:$C$1013,마스터!$M$7,출고!$E$8:$E$1013,B97))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IFERROR(INDEX(입고!$E$8:$E$1013,SMALL(IF((입고!$C$8:$C$1013=마스터!$M$7)*(입고!$AC$8:$AC$1013=1),ROW(입고!$C$8:$C$1013)-7),21)),"")</f>
        <v/>
      </c>
      <c r="C98" s="8" t="str">
        <f>IF(B98="","",SUMIFS(입고!$F$8:$F$1013,입고!$C$8:$C$1013,마스터!$M$7,입고!$E$8:$E$1013,B98))</f>
        <v/>
      </c>
      <c r="D98" s="8" t="str">
        <f>IF(B98="","",SUMIFS(출고!$F$8:$F$1013,출고!$C$8:$C$1013,마스터!$M$7,출고!$E$8:$E$1013,B98))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IFERROR(INDEX(입고!$E$8:$E$1013,SMALL(IF((입고!$C$8:$C$1013=마스터!$M$7)*(입고!$AC$8:$AC$1013=1),ROW(입고!$C$8:$C$1013)-7),22)),"")</f>
        <v/>
      </c>
      <c r="C99" s="13" t="str">
        <f>IF(B99="","",SUMIFS(입고!$F$8:$F$1013,입고!$C$8:$C$1013,마스터!$M$7,입고!$E$8:$E$1013,B99))</f>
        <v/>
      </c>
      <c r="D99" s="13" t="str">
        <f>IF(B99="","",SUMIFS(출고!$F$8:$F$1013,출고!$C$8:$C$1013,마스터!$M$7,출고!$E$8:$E$1013,B99))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IFERROR(INDEX(입고!$E$8:$E$1013,SMALL(IF((입고!$C$8:$C$1013=마스터!$M$7)*(입고!$AC$8:$AC$1013=1),ROW(입고!$C$8:$C$1013)-7),23)),"")</f>
        <v/>
      </c>
      <c r="C100" s="8" t="str">
        <f>IF(B100="","",SUMIFS(입고!$F$8:$F$1013,입고!$C$8:$C$1013,마스터!$M$7,입고!$E$8:$E$1013,B100))</f>
        <v/>
      </c>
      <c r="D100" s="8" t="str">
        <f>IF(B100="","",SUMIFS(출고!$F$8:$F$1013,출고!$C$8:$C$1013,마스터!$M$7,출고!$E$8:$E$1013,B100))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IFERROR(INDEX(입고!$E$8:$E$1013,SMALL(IF((입고!$C$8:$C$1013=마스터!$M$7)*(입고!$AC$8:$AC$1013=1),ROW(입고!$C$8:$C$1013)-7),24)),"")</f>
        <v/>
      </c>
      <c r="C101" s="13" t="str">
        <f>IF(B101="","",SUMIFS(입고!$F$8:$F$1013,입고!$C$8:$C$1013,마스터!$M$7,입고!$E$8:$E$1013,B101))</f>
        <v/>
      </c>
      <c r="D101" s="13" t="str">
        <f>IF(B101="","",SUMIFS(출고!$F$8:$F$1013,출고!$C$8:$C$1013,마스터!$M$7,출고!$E$8:$E$1013,B101))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IFERROR(INDEX(입고!$E$8:$E$1013,SMALL(IF((입고!$C$8:$C$1013=마스터!$M$7)*(입고!$AC$8:$AC$1013=1),ROW(입고!$C$8:$C$1013)-7),25)),"")</f>
        <v/>
      </c>
      <c r="C102" s="8" t="str">
        <f>IF(B102="","",SUMIFS(입고!$F$8:$F$1013,입고!$C$8:$C$1013,마스터!$M$7,입고!$E$8:$E$1013,B102))</f>
        <v/>
      </c>
      <c r="D102" s="8" t="str">
        <f>IF(B102="","",SUMIFS(출고!$F$8:$F$1013,출고!$C$8:$C$1013,마스터!$M$7,출고!$E$8:$E$1013,B102))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IFERROR(INDEX(입고!$E$8:$E$1013,SMALL(IF((입고!$C$8:$C$1013=마스터!$M$7)*(입고!$AC$8:$AC$1013=1),ROW(입고!$C$8:$C$1013)-7),26)),"")</f>
        <v/>
      </c>
      <c r="C103" s="13" t="str">
        <f>IF(B103="","",SUMIFS(입고!$F$8:$F$1013,입고!$C$8:$C$1013,마스터!$M$7,입고!$E$8:$E$1013,B103))</f>
        <v/>
      </c>
      <c r="D103" s="13" t="str">
        <f>IF(B103="","",SUMIFS(출고!$F$8:$F$1013,출고!$C$8:$C$1013,마스터!$M$7,출고!$E$8:$E$1013,B103))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IFERROR(INDEX(입고!$E$8:$E$1013,SMALL(IF((입고!$C$8:$C$1013=마스터!$M$7)*(입고!$AC$8:$AC$1013=1),ROW(입고!$C$8:$C$1013)-7),27)),"")</f>
        <v/>
      </c>
      <c r="C104" s="8" t="str">
        <f>IF(B104="","",SUMIFS(입고!$F$8:$F$1013,입고!$C$8:$C$1013,마스터!$M$7,입고!$E$8:$E$1013,B104))</f>
        <v/>
      </c>
      <c r="D104" s="8" t="str">
        <f>IF(B104="","",SUMIFS(출고!$F$8:$F$1013,출고!$C$8:$C$1013,마스터!$M$7,출고!$E$8:$E$1013,B104))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IFERROR(INDEX(입고!$E$8:$E$1013,SMALL(IF((입고!$C$8:$C$1013=마스터!$M$7)*(입고!$AC$8:$AC$1013=1),ROW(입고!$C$8:$C$1013)-7),28)),"")</f>
        <v/>
      </c>
      <c r="C105" s="13" t="str">
        <f>IF(B105="","",SUMIFS(입고!$F$8:$F$1013,입고!$C$8:$C$1013,마스터!$M$7,입고!$E$8:$E$1013,B105))</f>
        <v/>
      </c>
      <c r="D105" s="13" t="str">
        <f>IF(B105="","",SUMIFS(출고!$F$8:$F$1013,출고!$C$8:$C$1013,마스터!$M$7,출고!$E$8:$E$1013,B105))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IFERROR(INDEX(입고!$E$8:$E$1013,SMALL(IF((입고!$C$8:$C$1013=마스터!$M$7)*(입고!$AC$8:$AC$1013=1),ROW(입고!$C$8:$C$1013)-7),29)),"")</f>
        <v/>
      </c>
      <c r="C106" s="8" t="str">
        <f>IF(B106="","",SUMIFS(입고!$F$8:$F$1013,입고!$C$8:$C$1013,마스터!$M$7,입고!$E$8:$E$1013,B106))</f>
        <v/>
      </c>
      <c r="D106" s="8" t="str">
        <f>IF(B106="","",SUMIFS(출고!$F$8:$F$1013,출고!$C$8:$C$1013,마스터!$M$7,출고!$E$8:$E$1013,B106))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IFERROR(INDEX(입고!$E$8:$E$1013,SMALL(IF((입고!$C$8:$C$1013=마스터!$M$7)*(입고!$AC$8:$AC$1013=1),ROW(입고!$C$8:$C$1013)-7),30)),"")</f>
        <v/>
      </c>
      <c r="C107" s="13" t="str">
        <f>IF(B107="","",SUMIFS(입고!$F$8:$F$1013,입고!$C$8:$C$1013,마스터!$M$7,입고!$E$8:$E$1013,B107))</f>
        <v/>
      </c>
      <c r="D107" s="13" t="str">
        <f>IF(B107="","",SUMIFS(출고!$F$8:$F$1013,출고!$C$8:$C$1013,마스터!$M$7,출고!$E$8:$E$1013,B107))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3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CONCATENATE("[05] ", 마스터!D8, "  |  ", 마스터!F8)</f>
        <v>[05] 세라믹울 96K 국산  |  50T × 610W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마스터!D8</f>
        <v>세라믹울 96K 국산</v>
      </c>
      <c r="D4" s="1" t="s">
        <v>11</v>
      </c>
      <c r="E4" s="53">
        <f>SUMIFS(입고!$F$8:$F$1013,입고!$C$8:$C$1013,마스터!$M$8)</f>
        <v>0</v>
      </c>
    </row>
    <row r="5" spans="1:9" ht="15" customHeight="1" x14ac:dyDescent="0.25">
      <c r="A5" s="1" t="s">
        <v>7</v>
      </c>
      <c r="B5" s="52" t="str">
        <f>마스터!E8</f>
        <v>506103600</v>
      </c>
      <c r="D5" s="1" t="s">
        <v>12</v>
      </c>
      <c r="E5" s="53">
        <f>SUMIFS(출고!$F$8:$F$1013,출고!$C$8:$C$1013,마스터!$M$8)</f>
        <v>0</v>
      </c>
    </row>
    <row r="6" spans="1:9" ht="23.25" customHeight="1" x14ac:dyDescent="0.25">
      <c r="A6" s="1" t="s">
        <v>26</v>
      </c>
      <c r="B6" s="52" t="str">
        <f>마스터!F8</f>
        <v>50T × 610W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마스터!M8</f>
        <v>96K국산 50T × 610W × 3600L</v>
      </c>
      <c r="D7" s="1" t="s">
        <v>13</v>
      </c>
      <c r="E7" s="54">
        <f>마스터!$K$8+E4-E5</f>
        <v>0</v>
      </c>
    </row>
    <row r="8" spans="1:9" ht="15" customHeight="1" x14ac:dyDescent="0.25">
      <c r="A8" s="1" t="s">
        <v>10</v>
      </c>
      <c r="B8" s="53">
        <f>마스터!K8</f>
        <v>0</v>
      </c>
      <c r="D8" s="1" t="s">
        <v>123</v>
      </c>
      <c r="E8" s="55">
        <f t="array" ref="E8">IFERROR(MAX(MAX(IF(입고!$C$8:$C$1013=마스터!$M$8,입고!$B$8:$B$1013)),MAX(IF(출고!$C$8:$C$1013=마스터!$M$8,출고!$B$8:$B$1013))),"-")</f>
        <v>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 t="str">
        <f t="shared" ref="A12:A41" si="0">IF(B12="","",ROW()-11)</f>
        <v/>
      </c>
      <c r="B12" s="56" t="str">
        <f t="array" ref="B12">IFERROR(INDEX(입고!$B$8:$B$1013,SMALL(IF(입고!$C$8:$C$1013=마스터!$M$8,ROW(입고!$C$8:$C$1013)-7),1)),"")</f>
        <v/>
      </c>
      <c r="C12" s="6" t="str">
        <f t="array" ref="C12">IFERROR(INDEX(입고!$E$8:$E$1013,SMALL(IF(입고!$C$8:$C$1013=마스터!$M$8,ROW(입고!$C$8:$C$1013)-7),1)),"")</f>
        <v/>
      </c>
      <c r="D12" s="8" t="str">
        <f t="array" ref="D12">IFERROR(INDEX(입고!$F$8:$F$1013,SMALL(IF(입고!$C$8:$C$1013=마스터!$M$8,ROW(입고!$C$8:$C$1013)-7),1)),"")</f>
        <v/>
      </c>
      <c r="E12" s="46" t="str">
        <f t="array" ref="E12">IFERROR(INDEX(입고!$H$8:$H$1013,SMALL(IF(입고!$C$8:$C$1013=마스터!$M$8,ROW(입고!$C$8:$C$1013)-7),1)),"")</f>
        <v/>
      </c>
      <c r="F12" s="46" t="str">
        <f t="array" ref="F12">IFERROR(INDEX(입고!$I$8:$I$1013,SMALL(IF(입고!$C$8:$C$1013=마스터!$M$8,ROW(입고!$C$8:$C$1013)-7),1)),"")</f>
        <v/>
      </c>
      <c r="G12" s="57" t="str">
        <f>IF(B12="","",IFERROR(D12,0))</f>
        <v/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IFERROR(INDEX(입고!$B$8:$B$1013,SMALL(IF(입고!$C$8:$C$1013=마스터!$M$8,ROW(입고!$C$8:$C$1013)-7),2)),"")</f>
        <v/>
      </c>
      <c r="C13" s="11" t="str">
        <f t="array" ref="C13">IFERROR(INDEX(입고!$E$8:$E$1013,SMALL(IF(입고!$C$8:$C$1013=마스터!$M$8,ROW(입고!$C$8:$C$1013)-7),2)),"")</f>
        <v/>
      </c>
      <c r="D13" s="13" t="str">
        <f t="array" ref="D13">IFERROR(INDEX(입고!$F$8:$F$1013,SMALL(IF(입고!$C$8:$C$1013=마스터!$M$8,ROW(입고!$C$8:$C$1013)-7),2)),"")</f>
        <v/>
      </c>
      <c r="E13" s="50" t="str">
        <f t="array" ref="E13">IFERROR(INDEX(입고!$H$8:$H$1013,SMALL(IF(입고!$C$8:$C$1013=마스터!$M$8,ROW(입고!$C$8:$C$1013)-7),2)),"")</f>
        <v/>
      </c>
      <c r="F13" s="50" t="str">
        <f t="array" ref="F13">IFERROR(INDEX(입고!$I$8:$I$1013,SMALL(IF(입고!$C$8:$C$1013=마스터!$M$8,ROW(입고!$C$8:$C$1013)-7),2)),"")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IFERROR(INDEX(입고!$B$8:$B$1013,SMALL(IF(입고!$C$8:$C$1013=마스터!$M$8,ROW(입고!$C$8:$C$1013)-7),3)),"")</f>
        <v/>
      </c>
      <c r="C14" s="6" t="str">
        <f t="array" ref="C14">IFERROR(INDEX(입고!$E$8:$E$1013,SMALL(IF(입고!$C$8:$C$1013=마스터!$M$8,ROW(입고!$C$8:$C$1013)-7),3)),"")</f>
        <v/>
      </c>
      <c r="D14" s="8" t="str">
        <f t="array" ref="D14">IFERROR(INDEX(입고!$F$8:$F$1013,SMALL(IF(입고!$C$8:$C$1013=마스터!$M$8,ROW(입고!$C$8:$C$1013)-7),3)),"")</f>
        <v/>
      </c>
      <c r="E14" s="46" t="str">
        <f t="array" ref="E14">IFERROR(INDEX(입고!$H$8:$H$1013,SMALL(IF(입고!$C$8:$C$1013=마스터!$M$8,ROW(입고!$C$8:$C$1013)-7),3)),"")</f>
        <v/>
      </c>
      <c r="F14" s="46" t="str">
        <f t="array" ref="F14">IFERROR(INDEX(입고!$I$8:$I$1013,SMALL(IF(입고!$C$8:$C$1013=마스터!$M$8,ROW(입고!$C$8:$C$1013)-7),3)),"")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IFERROR(INDEX(입고!$B$8:$B$1013,SMALL(IF(입고!$C$8:$C$1013=마스터!$M$8,ROW(입고!$C$8:$C$1013)-7),4)),"")</f>
        <v/>
      </c>
      <c r="C15" s="11" t="str">
        <f t="array" ref="C15">IFERROR(INDEX(입고!$E$8:$E$1013,SMALL(IF(입고!$C$8:$C$1013=마스터!$M$8,ROW(입고!$C$8:$C$1013)-7),4)),"")</f>
        <v/>
      </c>
      <c r="D15" s="13" t="str">
        <f t="array" ref="D15">IFERROR(INDEX(입고!$F$8:$F$1013,SMALL(IF(입고!$C$8:$C$1013=마스터!$M$8,ROW(입고!$C$8:$C$1013)-7),4)),"")</f>
        <v/>
      </c>
      <c r="E15" s="50" t="str">
        <f t="array" ref="E15">IFERROR(INDEX(입고!$H$8:$H$1013,SMALL(IF(입고!$C$8:$C$1013=마스터!$M$8,ROW(입고!$C$8:$C$1013)-7),4)),"")</f>
        <v/>
      </c>
      <c r="F15" s="50" t="str">
        <f t="array" ref="F15">IFERROR(INDEX(입고!$I$8:$I$1013,SMALL(IF(입고!$C$8:$C$1013=마스터!$M$8,ROW(입고!$C$8:$C$1013)-7),4)),"")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IFERROR(INDEX(입고!$B$8:$B$1013,SMALL(IF(입고!$C$8:$C$1013=마스터!$M$8,ROW(입고!$C$8:$C$1013)-7),5)),"")</f>
        <v/>
      </c>
      <c r="C16" s="6" t="str">
        <f t="array" ref="C16">IFERROR(INDEX(입고!$E$8:$E$1013,SMALL(IF(입고!$C$8:$C$1013=마스터!$M$8,ROW(입고!$C$8:$C$1013)-7),5)),"")</f>
        <v/>
      </c>
      <c r="D16" s="8" t="str">
        <f t="array" ref="D16">IFERROR(INDEX(입고!$F$8:$F$1013,SMALL(IF(입고!$C$8:$C$1013=마스터!$M$8,ROW(입고!$C$8:$C$1013)-7),5)),"")</f>
        <v/>
      </c>
      <c r="E16" s="46" t="str">
        <f t="array" ref="E16">IFERROR(INDEX(입고!$H$8:$H$1013,SMALL(IF(입고!$C$8:$C$1013=마스터!$M$8,ROW(입고!$C$8:$C$1013)-7),5)),"")</f>
        <v/>
      </c>
      <c r="F16" s="46" t="str">
        <f t="array" ref="F16">IFERROR(INDEX(입고!$I$8:$I$1013,SMALL(IF(입고!$C$8:$C$1013=마스터!$M$8,ROW(입고!$C$8:$C$1013)-7),5)),"")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IFERROR(INDEX(입고!$B$8:$B$1013,SMALL(IF(입고!$C$8:$C$1013=마스터!$M$8,ROW(입고!$C$8:$C$1013)-7),6)),"")</f>
        <v/>
      </c>
      <c r="C17" s="11" t="str">
        <f t="array" ref="C17">IFERROR(INDEX(입고!$E$8:$E$1013,SMALL(IF(입고!$C$8:$C$1013=마스터!$M$8,ROW(입고!$C$8:$C$1013)-7),6)),"")</f>
        <v/>
      </c>
      <c r="D17" s="13" t="str">
        <f t="array" ref="D17">IFERROR(INDEX(입고!$F$8:$F$1013,SMALL(IF(입고!$C$8:$C$1013=마스터!$M$8,ROW(입고!$C$8:$C$1013)-7),6)),"")</f>
        <v/>
      </c>
      <c r="E17" s="50" t="str">
        <f t="array" ref="E17">IFERROR(INDEX(입고!$H$8:$H$1013,SMALL(IF(입고!$C$8:$C$1013=마스터!$M$8,ROW(입고!$C$8:$C$1013)-7),6)),"")</f>
        <v/>
      </c>
      <c r="F17" s="50" t="str">
        <f t="array" ref="F17">IFERROR(INDEX(입고!$I$8:$I$1013,SMALL(IF(입고!$C$8:$C$1013=마스터!$M$8,ROW(입고!$C$8:$C$1013)-7),6)),"")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IFERROR(INDEX(입고!$B$8:$B$1013,SMALL(IF(입고!$C$8:$C$1013=마스터!$M$8,ROW(입고!$C$8:$C$1013)-7),7)),"")</f>
        <v/>
      </c>
      <c r="C18" s="6" t="str">
        <f t="array" ref="C18">IFERROR(INDEX(입고!$E$8:$E$1013,SMALL(IF(입고!$C$8:$C$1013=마스터!$M$8,ROW(입고!$C$8:$C$1013)-7),7)),"")</f>
        <v/>
      </c>
      <c r="D18" s="8" t="str">
        <f t="array" ref="D18">IFERROR(INDEX(입고!$F$8:$F$1013,SMALL(IF(입고!$C$8:$C$1013=마스터!$M$8,ROW(입고!$C$8:$C$1013)-7),7)),"")</f>
        <v/>
      </c>
      <c r="E18" s="46" t="str">
        <f t="array" ref="E18">IFERROR(INDEX(입고!$H$8:$H$1013,SMALL(IF(입고!$C$8:$C$1013=마스터!$M$8,ROW(입고!$C$8:$C$1013)-7),7)),"")</f>
        <v/>
      </c>
      <c r="F18" s="46" t="str">
        <f t="array" ref="F18">IFERROR(INDEX(입고!$I$8:$I$1013,SMALL(IF(입고!$C$8:$C$1013=마스터!$M$8,ROW(입고!$C$8:$C$1013)-7),7)),"")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IFERROR(INDEX(입고!$B$8:$B$1013,SMALL(IF(입고!$C$8:$C$1013=마스터!$M$8,ROW(입고!$C$8:$C$1013)-7),8)),"")</f>
        <v/>
      </c>
      <c r="C19" s="11" t="str">
        <f t="array" ref="C19">IFERROR(INDEX(입고!$E$8:$E$1013,SMALL(IF(입고!$C$8:$C$1013=마스터!$M$8,ROW(입고!$C$8:$C$1013)-7),8)),"")</f>
        <v/>
      </c>
      <c r="D19" s="13" t="str">
        <f t="array" ref="D19">IFERROR(INDEX(입고!$F$8:$F$1013,SMALL(IF(입고!$C$8:$C$1013=마스터!$M$8,ROW(입고!$C$8:$C$1013)-7),8)),"")</f>
        <v/>
      </c>
      <c r="E19" s="50" t="str">
        <f t="array" ref="E19">IFERROR(INDEX(입고!$H$8:$H$1013,SMALL(IF(입고!$C$8:$C$1013=마스터!$M$8,ROW(입고!$C$8:$C$1013)-7),8)),"")</f>
        <v/>
      </c>
      <c r="F19" s="50" t="str">
        <f t="array" ref="F19">IFERROR(INDEX(입고!$I$8:$I$1013,SMALL(IF(입고!$C$8:$C$1013=마스터!$M$8,ROW(입고!$C$8:$C$1013)-7),8)),"")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IFERROR(INDEX(입고!$B$8:$B$1013,SMALL(IF(입고!$C$8:$C$1013=마스터!$M$8,ROW(입고!$C$8:$C$1013)-7),9)),"")</f>
        <v/>
      </c>
      <c r="C20" s="6" t="str">
        <f t="array" ref="C20">IFERROR(INDEX(입고!$E$8:$E$1013,SMALL(IF(입고!$C$8:$C$1013=마스터!$M$8,ROW(입고!$C$8:$C$1013)-7),9)),"")</f>
        <v/>
      </c>
      <c r="D20" s="8" t="str">
        <f t="array" ref="D20">IFERROR(INDEX(입고!$F$8:$F$1013,SMALL(IF(입고!$C$8:$C$1013=마스터!$M$8,ROW(입고!$C$8:$C$1013)-7),9)),"")</f>
        <v/>
      </c>
      <c r="E20" s="46" t="str">
        <f t="array" ref="E20">IFERROR(INDEX(입고!$H$8:$H$1013,SMALL(IF(입고!$C$8:$C$1013=마스터!$M$8,ROW(입고!$C$8:$C$1013)-7),9)),"")</f>
        <v/>
      </c>
      <c r="F20" s="46" t="str">
        <f t="array" ref="F20">IFERROR(INDEX(입고!$I$8:$I$1013,SMALL(IF(입고!$C$8:$C$1013=마스터!$M$8,ROW(입고!$C$8:$C$1013)-7),9)),"")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IFERROR(INDEX(입고!$B$8:$B$1013,SMALL(IF(입고!$C$8:$C$1013=마스터!$M$8,ROW(입고!$C$8:$C$1013)-7),10)),"")</f>
        <v/>
      </c>
      <c r="C21" s="11" t="str">
        <f t="array" ref="C21">IFERROR(INDEX(입고!$E$8:$E$1013,SMALL(IF(입고!$C$8:$C$1013=마스터!$M$8,ROW(입고!$C$8:$C$1013)-7),10)),"")</f>
        <v/>
      </c>
      <c r="D21" s="13" t="str">
        <f t="array" ref="D21">IFERROR(INDEX(입고!$F$8:$F$1013,SMALL(IF(입고!$C$8:$C$1013=마스터!$M$8,ROW(입고!$C$8:$C$1013)-7),10)),"")</f>
        <v/>
      </c>
      <c r="E21" s="50" t="str">
        <f t="array" ref="E21">IFERROR(INDEX(입고!$H$8:$H$1013,SMALL(IF(입고!$C$8:$C$1013=마스터!$M$8,ROW(입고!$C$8:$C$1013)-7),10)),"")</f>
        <v/>
      </c>
      <c r="F21" s="50" t="str">
        <f t="array" ref="F21">IFERROR(INDEX(입고!$I$8:$I$1013,SMALL(IF(입고!$C$8:$C$1013=마스터!$M$8,ROW(입고!$C$8:$C$1013)-7),10)),"")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IFERROR(INDEX(입고!$B$8:$B$1013,SMALL(IF(입고!$C$8:$C$1013=마스터!$M$8,ROW(입고!$C$8:$C$1013)-7),11)),"")</f>
        <v/>
      </c>
      <c r="C22" s="6" t="str">
        <f t="array" ref="C22">IFERROR(INDEX(입고!$E$8:$E$1013,SMALL(IF(입고!$C$8:$C$1013=마스터!$M$8,ROW(입고!$C$8:$C$1013)-7),11)),"")</f>
        <v/>
      </c>
      <c r="D22" s="8" t="str">
        <f t="array" ref="D22">IFERROR(INDEX(입고!$F$8:$F$1013,SMALL(IF(입고!$C$8:$C$1013=마스터!$M$8,ROW(입고!$C$8:$C$1013)-7),11)),"")</f>
        <v/>
      </c>
      <c r="E22" s="46" t="str">
        <f t="array" ref="E22">IFERROR(INDEX(입고!$H$8:$H$1013,SMALL(IF(입고!$C$8:$C$1013=마스터!$M$8,ROW(입고!$C$8:$C$1013)-7),11)),"")</f>
        <v/>
      </c>
      <c r="F22" s="46" t="str">
        <f t="array" ref="F22">IFERROR(INDEX(입고!$I$8:$I$1013,SMALL(IF(입고!$C$8:$C$1013=마스터!$M$8,ROW(입고!$C$8:$C$1013)-7),11)),"")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IFERROR(INDEX(입고!$B$8:$B$1013,SMALL(IF(입고!$C$8:$C$1013=마스터!$M$8,ROW(입고!$C$8:$C$1013)-7),12)),"")</f>
        <v/>
      </c>
      <c r="C23" s="11" t="str">
        <f t="array" ref="C23">IFERROR(INDEX(입고!$E$8:$E$1013,SMALL(IF(입고!$C$8:$C$1013=마스터!$M$8,ROW(입고!$C$8:$C$1013)-7),12)),"")</f>
        <v/>
      </c>
      <c r="D23" s="13" t="str">
        <f t="array" ref="D23">IFERROR(INDEX(입고!$F$8:$F$1013,SMALL(IF(입고!$C$8:$C$1013=마스터!$M$8,ROW(입고!$C$8:$C$1013)-7),12)),"")</f>
        <v/>
      </c>
      <c r="E23" s="50" t="str">
        <f t="array" ref="E23">IFERROR(INDEX(입고!$H$8:$H$1013,SMALL(IF(입고!$C$8:$C$1013=마스터!$M$8,ROW(입고!$C$8:$C$1013)-7),12)),"")</f>
        <v/>
      </c>
      <c r="F23" s="50" t="str">
        <f t="array" ref="F23">IFERROR(INDEX(입고!$I$8:$I$1013,SMALL(IF(입고!$C$8:$C$1013=마스터!$M$8,ROW(입고!$C$8:$C$1013)-7),12)),"")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IFERROR(INDEX(입고!$B$8:$B$1013,SMALL(IF(입고!$C$8:$C$1013=마스터!$M$8,ROW(입고!$C$8:$C$1013)-7),13)),"")</f>
        <v/>
      </c>
      <c r="C24" s="6" t="str">
        <f t="array" ref="C24">IFERROR(INDEX(입고!$E$8:$E$1013,SMALL(IF(입고!$C$8:$C$1013=마스터!$M$8,ROW(입고!$C$8:$C$1013)-7),13)),"")</f>
        <v/>
      </c>
      <c r="D24" s="8" t="str">
        <f t="array" ref="D24">IFERROR(INDEX(입고!$F$8:$F$1013,SMALL(IF(입고!$C$8:$C$1013=마스터!$M$8,ROW(입고!$C$8:$C$1013)-7),13)),"")</f>
        <v/>
      </c>
      <c r="E24" s="46" t="str">
        <f t="array" ref="E24">IFERROR(INDEX(입고!$H$8:$H$1013,SMALL(IF(입고!$C$8:$C$1013=마스터!$M$8,ROW(입고!$C$8:$C$1013)-7),13)),"")</f>
        <v/>
      </c>
      <c r="F24" s="46" t="str">
        <f t="array" ref="F24">IFERROR(INDEX(입고!$I$8:$I$1013,SMALL(IF(입고!$C$8:$C$1013=마스터!$M$8,ROW(입고!$C$8:$C$1013)-7),13)),"")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IFERROR(INDEX(입고!$B$8:$B$1013,SMALL(IF(입고!$C$8:$C$1013=마스터!$M$8,ROW(입고!$C$8:$C$1013)-7),14)),"")</f>
        <v/>
      </c>
      <c r="C25" s="11" t="str">
        <f t="array" ref="C25">IFERROR(INDEX(입고!$E$8:$E$1013,SMALL(IF(입고!$C$8:$C$1013=마스터!$M$8,ROW(입고!$C$8:$C$1013)-7),14)),"")</f>
        <v/>
      </c>
      <c r="D25" s="13" t="str">
        <f t="array" ref="D25">IFERROR(INDEX(입고!$F$8:$F$1013,SMALL(IF(입고!$C$8:$C$1013=마스터!$M$8,ROW(입고!$C$8:$C$1013)-7),14)),"")</f>
        <v/>
      </c>
      <c r="E25" s="50" t="str">
        <f t="array" ref="E25">IFERROR(INDEX(입고!$H$8:$H$1013,SMALL(IF(입고!$C$8:$C$1013=마스터!$M$8,ROW(입고!$C$8:$C$1013)-7),14)),"")</f>
        <v/>
      </c>
      <c r="F25" s="50" t="str">
        <f t="array" ref="F25">IFERROR(INDEX(입고!$I$8:$I$1013,SMALL(IF(입고!$C$8:$C$1013=마스터!$M$8,ROW(입고!$C$8:$C$1013)-7),14)),"")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IFERROR(INDEX(입고!$B$8:$B$1013,SMALL(IF(입고!$C$8:$C$1013=마스터!$M$8,ROW(입고!$C$8:$C$1013)-7),15)),"")</f>
        <v/>
      </c>
      <c r="C26" s="6" t="str">
        <f t="array" ref="C26">IFERROR(INDEX(입고!$E$8:$E$1013,SMALL(IF(입고!$C$8:$C$1013=마스터!$M$8,ROW(입고!$C$8:$C$1013)-7),15)),"")</f>
        <v/>
      </c>
      <c r="D26" s="8" t="str">
        <f t="array" ref="D26">IFERROR(INDEX(입고!$F$8:$F$1013,SMALL(IF(입고!$C$8:$C$1013=마스터!$M$8,ROW(입고!$C$8:$C$1013)-7),15)),"")</f>
        <v/>
      </c>
      <c r="E26" s="46" t="str">
        <f t="array" ref="E26">IFERROR(INDEX(입고!$H$8:$H$1013,SMALL(IF(입고!$C$8:$C$1013=마스터!$M$8,ROW(입고!$C$8:$C$1013)-7),15)),"")</f>
        <v/>
      </c>
      <c r="F26" s="46" t="str">
        <f t="array" ref="F26">IFERROR(INDEX(입고!$I$8:$I$1013,SMALL(IF(입고!$C$8:$C$1013=마스터!$M$8,ROW(입고!$C$8:$C$1013)-7),15)),"")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IFERROR(INDEX(입고!$B$8:$B$1013,SMALL(IF(입고!$C$8:$C$1013=마스터!$M$8,ROW(입고!$C$8:$C$1013)-7),16)),"")</f>
        <v/>
      </c>
      <c r="C27" s="11" t="str">
        <f t="array" ref="C27">IFERROR(INDEX(입고!$E$8:$E$1013,SMALL(IF(입고!$C$8:$C$1013=마스터!$M$8,ROW(입고!$C$8:$C$1013)-7),16)),"")</f>
        <v/>
      </c>
      <c r="D27" s="13" t="str">
        <f t="array" ref="D27">IFERROR(INDEX(입고!$F$8:$F$1013,SMALL(IF(입고!$C$8:$C$1013=마스터!$M$8,ROW(입고!$C$8:$C$1013)-7),16)),"")</f>
        <v/>
      </c>
      <c r="E27" s="50" t="str">
        <f t="array" ref="E27">IFERROR(INDEX(입고!$H$8:$H$1013,SMALL(IF(입고!$C$8:$C$1013=마스터!$M$8,ROW(입고!$C$8:$C$1013)-7),16)),"")</f>
        <v/>
      </c>
      <c r="F27" s="50" t="str">
        <f t="array" ref="F27">IFERROR(INDEX(입고!$I$8:$I$1013,SMALL(IF(입고!$C$8:$C$1013=마스터!$M$8,ROW(입고!$C$8:$C$1013)-7),16)),"")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IFERROR(INDEX(입고!$B$8:$B$1013,SMALL(IF(입고!$C$8:$C$1013=마스터!$M$8,ROW(입고!$C$8:$C$1013)-7),17)),"")</f>
        <v/>
      </c>
      <c r="C28" s="6" t="str">
        <f t="array" ref="C28">IFERROR(INDEX(입고!$E$8:$E$1013,SMALL(IF(입고!$C$8:$C$1013=마스터!$M$8,ROW(입고!$C$8:$C$1013)-7),17)),"")</f>
        <v/>
      </c>
      <c r="D28" s="8" t="str">
        <f t="array" ref="D28">IFERROR(INDEX(입고!$F$8:$F$1013,SMALL(IF(입고!$C$8:$C$1013=마스터!$M$8,ROW(입고!$C$8:$C$1013)-7),17)),"")</f>
        <v/>
      </c>
      <c r="E28" s="46" t="str">
        <f t="array" ref="E28">IFERROR(INDEX(입고!$H$8:$H$1013,SMALL(IF(입고!$C$8:$C$1013=마스터!$M$8,ROW(입고!$C$8:$C$1013)-7),17)),"")</f>
        <v/>
      </c>
      <c r="F28" s="46" t="str">
        <f t="array" ref="F28">IFERROR(INDEX(입고!$I$8:$I$1013,SMALL(IF(입고!$C$8:$C$1013=마스터!$M$8,ROW(입고!$C$8:$C$1013)-7),17)),"")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IFERROR(INDEX(입고!$B$8:$B$1013,SMALL(IF(입고!$C$8:$C$1013=마스터!$M$8,ROW(입고!$C$8:$C$1013)-7),18)),"")</f>
        <v/>
      </c>
      <c r="C29" s="11" t="str">
        <f t="array" ref="C29">IFERROR(INDEX(입고!$E$8:$E$1013,SMALL(IF(입고!$C$8:$C$1013=마스터!$M$8,ROW(입고!$C$8:$C$1013)-7),18)),"")</f>
        <v/>
      </c>
      <c r="D29" s="13" t="str">
        <f t="array" ref="D29">IFERROR(INDEX(입고!$F$8:$F$1013,SMALL(IF(입고!$C$8:$C$1013=마스터!$M$8,ROW(입고!$C$8:$C$1013)-7),18)),"")</f>
        <v/>
      </c>
      <c r="E29" s="50" t="str">
        <f t="array" ref="E29">IFERROR(INDEX(입고!$H$8:$H$1013,SMALL(IF(입고!$C$8:$C$1013=마스터!$M$8,ROW(입고!$C$8:$C$1013)-7),18)),"")</f>
        <v/>
      </c>
      <c r="F29" s="50" t="str">
        <f t="array" ref="F29">IFERROR(INDEX(입고!$I$8:$I$1013,SMALL(IF(입고!$C$8:$C$1013=마스터!$M$8,ROW(입고!$C$8:$C$1013)-7),18)),"")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IFERROR(INDEX(입고!$B$8:$B$1013,SMALL(IF(입고!$C$8:$C$1013=마스터!$M$8,ROW(입고!$C$8:$C$1013)-7),19)),"")</f>
        <v/>
      </c>
      <c r="C30" s="6" t="str">
        <f t="array" ref="C30">IFERROR(INDEX(입고!$E$8:$E$1013,SMALL(IF(입고!$C$8:$C$1013=마스터!$M$8,ROW(입고!$C$8:$C$1013)-7),19)),"")</f>
        <v/>
      </c>
      <c r="D30" s="8" t="str">
        <f t="array" ref="D30">IFERROR(INDEX(입고!$F$8:$F$1013,SMALL(IF(입고!$C$8:$C$1013=마스터!$M$8,ROW(입고!$C$8:$C$1013)-7),19)),"")</f>
        <v/>
      </c>
      <c r="E30" s="46" t="str">
        <f t="array" ref="E30">IFERROR(INDEX(입고!$H$8:$H$1013,SMALL(IF(입고!$C$8:$C$1013=마스터!$M$8,ROW(입고!$C$8:$C$1013)-7),19)),"")</f>
        <v/>
      </c>
      <c r="F30" s="46" t="str">
        <f t="array" ref="F30">IFERROR(INDEX(입고!$I$8:$I$1013,SMALL(IF(입고!$C$8:$C$1013=마스터!$M$8,ROW(입고!$C$8:$C$1013)-7),19)),"")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IFERROR(INDEX(입고!$B$8:$B$1013,SMALL(IF(입고!$C$8:$C$1013=마스터!$M$8,ROW(입고!$C$8:$C$1013)-7),20)),"")</f>
        <v/>
      </c>
      <c r="C31" s="11" t="str">
        <f t="array" ref="C31">IFERROR(INDEX(입고!$E$8:$E$1013,SMALL(IF(입고!$C$8:$C$1013=마스터!$M$8,ROW(입고!$C$8:$C$1013)-7),20)),"")</f>
        <v/>
      </c>
      <c r="D31" s="13" t="str">
        <f t="array" ref="D31">IFERROR(INDEX(입고!$F$8:$F$1013,SMALL(IF(입고!$C$8:$C$1013=마스터!$M$8,ROW(입고!$C$8:$C$1013)-7),20)),"")</f>
        <v/>
      </c>
      <c r="E31" s="50" t="str">
        <f t="array" ref="E31">IFERROR(INDEX(입고!$H$8:$H$1013,SMALL(IF(입고!$C$8:$C$1013=마스터!$M$8,ROW(입고!$C$8:$C$1013)-7),20)),"")</f>
        <v/>
      </c>
      <c r="F31" s="50" t="str">
        <f t="array" ref="F31">IFERROR(INDEX(입고!$I$8:$I$1013,SMALL(IF(입고!$C$8:$C$1013=마스터!$M$8,ROW(입고!$C$8:$C$1013)-7),20)),"")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IFERROR(INDEX(입고!$B$8:$B$1013,SMALL(IF(입고!$C$8:$C$1013=마스터!$M$8,ROW(입고!$C$8:$C$1013)-7),21)),"")</f>
        <v/>
      </c>
      <c r="C32" s="6" t="str">
        <f t="array" ref="C32">IFERROR(INDEX(입고!$E$8:$E$1013,SMALL(IF(입고!$C$8:$C$1013=마스터!$M$8,ROW(입고!$C$8:$C$1013)-7),21)),"")</f>
        <v/>
      </c>
      <c r="D32" s="8" t="str">
        <f t="array" ref="D32">IFERROR(INDEX(입고!$F$8:$F$1013,SMALL(IF(입고!$C$8:$C$1013=마스터!$M$8,ROW(입고!$C$8:$C$1013)-7),21)),"")</f>
        <v/>
      </c>
      <c r="E32" s="46" t="str">
        <f t="array" ref="E32">IFERROR(INDEX(입고!$H$8:$H$1013,SMALL(IF(입고!$C$8:$C$1013=마스터!$M$8,ROW(입고!$C$8:$C$1013)-7),21)),"")</f>
        <v/>
      </c>
      <c r="F32" s="46" t="str">
        <f t="array" ref="F32">IFERROR(INDEX(입고!$I$8:$I$1013,SMALL(IF(입고!$C$8:$C$1013=마스터!$M$8,ROW(입고!$C$8:$C$1013)-7),21)),"")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IFERROR(INDEX(입고!$B$8:$B$1013,SMALL(IF(입고!$C$8:$C$1013=마스터!$M$8,ROW(입고!$C$8:$C$1013)-7),22)),"")</f>
        <v/>
      </c>
      <c r="C33" s="11" t="str">
        <f t="array" ref="C33">IFERROR(INDEX(입고!$E$8:$E$1013,SMALL(IF(입고!$C$8:$C$1013=마스터!$M$8,ROW(입고!$C$8:$C$1013)-7),22)),"")</f>
        <v/>
      </c>
      <c r="D33" s="13" t="str">
        <f t="array" ref="D33">IFERROR(INDEX(입고!$F$8:$F$1013,SMALL(IF(입고!$C$8:$C$1013=마스터!$M$8,ROW(입고!$C$8:$C$1013)-7),22)),"")</f>
        <v/>
      </c>
      <c r="E33" s="50" t="str">
        <f t="array" ref="E33">IFERROR(INDEX(입고!$H$8:$H$1013,SMALL(IF(입고!$C$8:$C$1013=마스터!$M$8,ROW(입고!$C$8:$C$1013)-7),22)),"")</f>
        <v/>
      </c>
      <c r="F33" s="50" t="str">
        <f t="array" ref="F33">IFERROR(INDEX(입고!$I$8:$I$1013,SMALL(IF(입고!$C$8:$C$1013=마스터!$M$8,ROW(입고!$C$8:$C$1013)-7),22)),"")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IFERROR(INDEX(입고!$B$8:$B$1013,SMALL(IF(입고!$C$8:$C$1013=마스터!$M$8,ROW(입고!$C$8:$C$1013)-7),23)),"")</f>
        <v/>
      </c>
      <c r="C34" s="6" t="str">
        <f t="array" ref="C34">IFERROR(INDEX(입고!$E$8:$E$1013,SMALL(IF(입고!$C$8:$C$1013=마스터!$M$8,ROW(입고!$C$8:$C$1013)-7),23)),"")</f>
        <v/>
      </c>
      <c r="D34" s="8" t="str">
        <f t="array" ref="D34">IFERROR(INDEX(입고!$F$8:$F$1013,SMALL(IF(입고!$C$8:$C$1013=마스터!$M$8,ROW(입고!$C$8:$C$1013)-7),23)),"")</f>
        <v/>
      </c>
      <c r="E34" s="46" t="str">
        <f t="array" ref="E34">IFERROR(INDEX(입고!$H$8:$H$1013,SMALL(IF(입고!$C$8:$C$1013=마스터!$M$8,ROW(입고!$C$8:$C$1013)-7),23)),"")</f>
        <v/>
      </c>
      <c r="F34" s="46" t="str">
        <f t="array" ref="F34">IFERROR(INDEX(입고!$I$8:$I$1013,SMALL(IF(입고!$C$8:$C$1013=마스터!$M$8,ROW(입고!$C$8:$C$1013)-7),23)),"")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IFERROR(INDEX(입고!$B$8:$B$1013,SMALL(IF(입고!$C$8:$C$1013=마스터!$M$8,ROW(입고!$C$8:$C$1013)-7),24)),"")</f>
        <v/>
      </c>
      <c r="C35" s="11" t="str">
        <f t="array" ref="C35">IFERROR(INDEX(입고!$E$8:$E$1013,SMALL(IF(입고!$C$8:$C$1013=마스터!$M$8,ROW(입고!$C$8:$C$1013)-7),24)),"")</f>
        <v/>
      </c>
      <c r="D35" s="13" t="str">
        <f t="array" ref="D35">IFERROR(INDEX(입고!$F$8:$F$1013,SMALL(IF(입고!$C$8:$C$1013=마스터!$M$8,ROW(입고!$C$8:$C$1013)-7),24)),"")</f>
        <v/>
      </c>
      <c r="E35" s="50" t="str">
        <f t="array" ref="E35">IFERROR(INDEX(입고!$H$8:$H$1013,SMALL(IF(입고!$C$8:$C$1013=마스터!$M$8,ROW(입고!$C$8:$C$1013)-7),24)),"")</f>
        <v/>
      </c>
      <c r="F35" s="50" t="str">
        <f t="array" ref="F35">IFERROR(INDEX(입고!$I$8:$I$1013,SMALL(IF(입고!$C$8:$C$1013=마스터!$M$8,ROW(입고!$C$8:$C$1013)-7),24)),"")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IFERROR(INDEX(입고!$B$8:$B$1013,SMALL(IF(입고!$C$8:$C$1013=마스터!$M$8,ROW(입고!$C$8:$C$1013)-7),25)),"")</f>
        <v/>
      </c>
      <c r="C36" s="6" t="str">
        <f t="array" ref="C36">IFERROR(INDEX(입고!$E$8:$E$1013,SMALL(IF(입고!$C$8:$C$1013=마스터!$M$8,ROW(입고!$C$8:$C$1013)-7),25)),"")</f>
        <v/>
      </c>
      <c r="D36" s="8" t="str">
        <f t="array" ref="D36">IFERROR(INDEX(입고!$F$8:$F$1013,SMALL(IF(입고!$C$8:$C$1013=마스터!$M$8,ROW(입고!$C$8:$C$1013)-7),25)),"")</f>
        <v/>
      </c>
      <c r="E36" s="46" t="str">
        <f t="array" ref="E36">IFERROR(INDEX(입고!$H$8:$H$1013,SMALL(IF(입고!$C$8:$C$1013=마스터!$M$8,ROW(입고!$C$8:$C$1013)-7),25)),"")</f>
        <v/>
      </c>
      <c r="F36" s="46" t="str">
        <f t="array" ref="F36">IFERROR(INDEX(입고!$I$8:$I$1013,SMALL(IF(입고!$C$8:$C$1013=마스터!$M$8,ROW(입고!$C$8:$C$1013)-7),25)),"")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IFERROR(INDEX(입고!$B$8:$B$1013,SMALL(IF(입고!$C$8:$C$1013=마스터!$M$8,ROW(입고!$C$8:$C$1013)-7),26)),"")</f>
        <v/>
      </c>
      <c r="C37" s="11" t="str">
        <f t="array" ref="C37">IFERROR(INDEX(입고!$E$8:$E$1013,SMALL(IF(입고!$C$8:$C$1013=마스터!$M$8,ROW(입고!$C$8:$C$1013)-7),26)),"")</f>
        <v/>
      </c>
      <c r="D37" s="13" t="str">
        <f t="array" ref="D37">IFERROR(INDEX(입고!$F$8:$F$1013,SMALL(IF(입고!$C$8:$C$1013=마스터!$M$8,ROW(입고!$C$8:$C$1013)-7),26)),"")</f>
        <v/>
      </c>
      <c r="E37" s="50" t="str">
        <f t="array" ref="E37">IFERROR(INDEX(입고!$H$8:$H$1013,SMALL(IF(입고!$C$8:$C$1013=마스터!$M$8,ROW(입고!$C$8:$C$1013)-7),26)),"")</f>
        <v/>
      </c>
      <c r="F37" s="50" t="str">
        <f t="array" ref="F37">IFERROR(INDEX(입고!$I$8:$I$1013,SMALL(IF(입고!$C$8:$C$1013=마스터!$M$8,ROW(입고!$C$8:$C$1013)-7),26)),"")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IFERROR(INDEX(입고!$B$8:$B$1013,SMALL(IF(입고!$C$8:$C$1013=마스터!$M$8,ROW(입고!$C$8:$C$1013)-7),27)),"")</f>
        <v/>
      </c>
      <c r="C38" s="6" t="str">
        <f t="array" ref="C38">IFERROR(INDEX(입고!$E$8:$E$1013,SMALL(IF(입고!$C$8:$C$1013=마스터!$M$8,ROW(입고!$C$8:$C$1013)-7),27)),"")</f>
        <v/>
      </c>
      <c r="D38" s="8" t="str">
        <f t="array" ref="D38">IFERROR(INDEX(입고!$F$8:$F$1013,SMALL(IF(입고!$C$8:$C$1013=마스터!$M$8,ROW(입고!$C$8:$C$1013)-7),27)),"")</f>
        <v/>
      </c>
      <c r="E38" s="46" t="str">
        <f t="array" ref="E38">IFERROR(INDEX(입고!$H$8:$H$1013,SMALL(IF(입고!$C$8:$C$1013=마스터!$M$8,ROW(입고!$C$8:$C$1013)-7),27)),"")</f>
        <v/>
      </c>
      <c r="F38" s="46" t="str">
        <f t="array" ref="F38">IFERROR(INDEX(입고!$I$8:$I$1013,SMALL(IF(입고!$C$8:$C$1013=마스터!$M$8,ROW(입고!$C$8:$C$1013)-7),27)),"")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IFERROR(INDEX(입고!$B$8:$B$1013,SMALL(IF(입고!$C$8:$C$1013=마스터!$M$8,ROW(입고!$C$8:$C$1013)-7),28)),"")</f>
        <v/>
      </c>
      <c r="C39" s="11" t="str">
        <f t="array" ref="C39">IFERROR(INDEX(입고!$E$8:$E$1013,SMALL(IF(입고!$C$8:$C$1013=마스터!$M$8,ROW(입고!$C$8:$C$1013)-7),28)),"")</f>
        <v/>
      </c>
      <c r="D39" s="13" t="str">
        <f t="array" ref="D39">IFERROR(INDEX(입고!$F$8:$F$1013,SMALL(IF(입고!$C$8:$C$1013=마스터!$M$8,ROW(입고!$C$8:$C$1013)-7),28)),"")</f>
        <v/>
      </c>
      <c r="E39" s="50" t="str">
        <f t="array" ref="E39">IFERROR(INDEX(입고!$H$8:$H$1013,SMALL(IF(입고!$C$8:$C$1013=마스터!$M$8,ROW(입고!$C$8:$C$1013)-7),28)),"")</f>
        <v/>
      </c>
      <c r="F39" s="50" t="str">
        <f t="array" ref="F39">IFERROR(INDEX(입고!$I$8:$I$1013,SMALL(IF(입고!$C$8:$C$1013=마스터!$M$8,ROW(입고!$C$8:$C$1013)-7),28)),"")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IFERROR(INDEX(입고!$B$8:$B$1013,SMALL(IF(입고!$C$8:$C$1013=마스터!$M$8,ROW(입고!$C$8:$C$1013)-7),29)),"")</f>
        <v/>
      </c>
      <c r="C40" s="6" t="str">
        <f t="array" ref="C40">IFERROR(INDEX(입고!$E$8:$E$1013,SMALL(IF(입고!$C$8:$C$1013=마스터!$M$8,ROW(입고!$C$8:$C$1013)-7),29)),"")</f>
        <v/>
      </c>
      <c r="D40" s="8" t="str">
        <f t="array" ref="D40">IFERROR(INDEX(입고!$F$8:$F$1013,SMALL(IF(입고!$C$8:$C$1013=마스터!$M$8,ROW(입고!$C$8:$C$1013)-7),29)),"")</f>
        <v/>
      </c>
      <c r="E40" s="46" t="str">
        <f t="array" ref="E40">IFERROR(INDEX(입고!$H$8:$H$1013,SMALL(IF(입고!$C$8:$C$1013=마스터!$M$8,ROW(입고!$C$8:$C$1013)-7),29)),"")</f>
        <v/>
      </c>
      <c r="F40" s="46" t="str">
        <f t="array" ref="F40">IFERROR(INDEX(입고!$I$8:$I$1013,SMALL(IF(입고!$C$8:$C$1013=마스터!$M$8,ROW(입고!$C$8:$C$1013)-7),29)),"")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IFERROR(INDEX(입고!$B$8:$B$1013,SMALL(IF(입고!$C$8:$C$1013=마스터!$M$8,ROW(입고!$C$8:$C$1013)-7),30)),"")</f>
        <v/>
      </c>
      <c r="C41" s="11" t="str">
        <f t="array" ref="C41">IFERROR(INDEX(입고!$E$8:$E$1013,SMALL(IF(입고!$C$8:$C$1013=마스터!$M$8,ROW(입고!$C$8:$C$1013)-7),30)),"")</f>
        <v/>
      </c>
      <c r="D41" s="13" t="str">
        <f t="array" ref="D41">IFERROR(INDEX(입고!$F$8:$F$1013,SMALL(IF(입고!$C$8:$C$1013=마스터!$M$8,ROW(입고!$C$8:$C$1013)-7),30)),"")</f>
        <v/>
      </c>
      <c r="E41" s="50" t="str">
        <f t="array" ref="E41">IFERROR(INDEX(입고!$H$8:$H$1013,SMALL(IF(입고!$C$8:$C$1013=마스터!$M$8,ROW(입고!$C$8:$C$1013)-7),30)),"")</f>
        <v/>
      </c>
      <c r="F41" s="50" t="str">
        <f t="array" ref="F41">IFERROR(INDEX(입고!$I$8:$I$1013,SMALL(IF(입고!$C$8:$C$1013=마스터!$M$8,ROW(입고!$C$8:$C$1013)-7),30)),"")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IFERROR(INDEX(출고!$B$8:$B$1013,SMALL(IF(출고!$C$8:$C$1013=마스터!$M$8,ROW(출고!$C$8:$C$1013)-7),1)),"")</f>
        <v/>
      </c>
      <c r="C45" s="6" t="str">
        <f t="array" ref="C45">IFERROR(INDEX(출고!$E$8:$E$1013,SMALL(IF(출고!$C$8:$C$1013=마스터!$M$8,ROW(출고!$C$8:$C$1013)-7),1)),"")</f>
        <v/>
      </c>
      <c r="D45" s="8" t="str">
        <f t="array" ref="D45">IFERROR(INDEX(출고!$F$8:$F$1013,SMALL(IF(출고!$C$8:$C$1013=마스터!$M$8,ROW(출고!$C$8:$C$1013)-7),1)),"")</f>
        <v/>
      </c>
      <c r="E45" s="46" t="str">
        <f t="array" ref="E45">IFERROR(INDEX(출고!$H$8:$H$1013,SMALL(IF(출고!$C$8:$C$1013=마스터!$M$8,ROW(출고!$C$8:$C$1013)-7),1)),"")</f>
        <v/>
      </c>
      <c r="F45" s="46" t="str">
        <f t="array" ref="F45">IFERROR(INDEX(출고!$I$8:$I$1013,SMALL(IF(출고!$C$8:$C$1013=마스터!$M$8,ROW(출고!$C$8:$C$1013)-7),1)),"")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IFERROR(INDEX(출고!$B$8:$B$1013,SMALL(IF(출고!$C$8:$C$1013=마스터!$M$8,ROW(출고!$C$8:$C$1013)-7),2)),"")</f>
        <v/>
      </c>
      <c r="C46" s="11" t="str">
        <f t="array" ref="C46">IFERROR(INDEX(출고!$E$8:$E$1013,SMALL(IF(출고!$C$8:$C$1013=마스터!$M$8,ROW(출고!$C$8:$C$1013)-7),2)),"")</f>
        <v/>
      </c>
      <c r="D46" s="13" t="str">
        <f t="array" ref="D46">IFERROR(INDEX(출고!$F$8:$F$1013,SMALL(IF(출고!$C$8:$C$1013=마스터!$M$8,ROW(출고!$C$8:$C$1013)-7),2)),"")</f>
        <v/>
      </c>
      <c r="E46" s="50" t="str">
        <f t="array" ref="E46">IFERROR(INDEX(출고!$H$8:$H$1013,SMALL(IF(출고!$C$8:$C$1013=마스터!$M$8,ROW(출고!$C$8:$C$1013)-7),2)),"")</f>
        <v/>
      </c>
      <c r="F46" s="50" t="str">
        <f t="array" ref="F46">IFERROR(INDEX(출고!$I$8:$I$1013,SMALL(IF(출고!$C$8:$C$1013=마스터!$M$8,ROW(출고!$C$8:$C$1013)-7),2)),"")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IFERROR(INDEX(출고!$B$8:$B$1013,SMALL(IF(출고!$C$8:$C$1013=마스터!$M$8,ROW(출고!$C$8:$C$1013)-7),3)),"")</f>
        <v/>
      </c>
      <c r="C47" s="6" t="str">
        <f t="array" ref="C47">IFERROR(INDEX(출고!$E$8:$E$1013,SMALL(IF(출고!$C$8:$C$1013=마스터!$M$8,ROW(출고!$C$8:$C$1013)-7),3)),"")</f>
        <v/>
      </c>
      <c r="D47" s="8" t="str">
        <f t="array" ref="D47">IFERROR(INDEX(출고!$F$8:$F$1013,SMALL(IF(출고!$C$8:$C$1013=마스터!$M$8,ROW(출고!$C$8:$C$1013)-7),3)),"")</f>
        <v/>
      </c>
      <c r="E47" s="46" t="str">
        <f t="array" ref="E47">IFERROR(INDEX(출고!$H$8:$H$1013,SMALL(IF(출고!$C$8:$C$1013=마스터!$M$8,ROW(출고!$C$8:$C$1013)-7),3)),"")</f>
        <v/>
      </c>
      <c r="F47" s="46" t="str">
        <f t="array" ref="F47">IFERROR(INDEX(출고!$I$8:$I$1013,SMALL(IF(출고!$C$8:$C$1013=마스터!$M$8,ROW(출고!$C$8:$C$1013)-7),3)),"")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IFERROR(INDEX(출고!$B$8:$B$1013,SMALL(IF(출고!$C$8:$C$1013=마스터!$M$8,ROW(출고!$C$8:$C$1013)-7),4)),"")</f>
        <v/>
      </c>
      <c r="C48" s="11" t="str">
        <f t="array" ref="C48">IFERROR(INDEX(출고!$E$8:$E$1013,SMALL(IF(출고!$C$8:$C$1013=마스터!$M$8,ROW(출고!$C$8:$C$1013)-7),4)),"")</f>
        <v/>
      </c>
      <c r="D48" s="13" t="str">
        <f t="array" ref="D48">IFERROR(INDEX(출고!$F$8:$F$1013,SMALL(IF(출고!$C$8:$C$1013=마스터!$M$8,ROW(출고!$C$8:$C$1013)-7),4)),"")</f>
        <v/>
      </c>
      <c r="E48" s="50" t="str">
        <f t="array" ref="E48">IFERROR(INDEX(출고!$H$8:$H$1013,SMALL(IF(출고!$C$8:$C$1013=마스터!$M$8,ROW(출고!$C$8:$C$1013)-7),4)),"")</f>
        <v/>
      </c>
      <c r="F48" s="50" t="str">
        <f t="array" ref="F48">IFERROR(INDEX(출고!$I$8:$I$1013,SMALL(IF(출고!$C$8:$C$1013=마스터!$M$8,ROW(출고!$C$8:$C$1013)-7),4)),"")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IFERROR(INDEX(출고!$B$8:$B$1013,SMALL(IF(출고!$C$8:$C$1013=마스터!$M$8,ROW(출고!$C$8:$C$1013)-7),5)),"")</f>
        <v/>
      </c>
      <c r="C49" s="6" t="str">
        <f t="array" ref="C49">IFERROR(INDEX(출고!$E$8:$E$1013,SMALL(IF(출고!$C$8:$C$1013=마스터!$M$8,ROW(출고!$C$8:$C$1013)-7),5)),"")</f>
        <v/>
      </c>
      <c r="D49" s="8" t="str">
        <f t="array" ref="D49">IFERROR(INDEX(출고!$F$8:$F$1013,SMALL(IF(출고!$C$8:$C$1013=마스터!$M$8,ROW(출고!$C$8:$C$1013)-7),5)),"")</f>
        <v/>
      </c>
      <c r="E49" s="46" t="str">
        <f t="array" ref="E49">IFERROR(INDEX(출고!$H$8:$H$1013,SMALL(IF(출고!$C$8:$C$1013=마스터!$M$8,ROW(출고!$C$8:$C$1013)-7),5)),"")</f>
        <v/>
      </c>
      <c r="F49" s="46" t="str">
        <f t="array" ref="F49">IFERROR(INDEX(출고!$I$8:$I$1013,SMALL(IF(출고!$C$8:$C$1013=마스터!$M$8,ROW(출고!$C$8:$C$1013)-7),5)),"")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IFERROR(INDEX(출고!$B$8:$B$1013,SMALL(IF(출고!$C$8:$C$1013=마스터!$M$8,ROW(출고!$C$8:$C$1013)-7),6)),"")</f>
        <v/>
      </c>
      <c r="C50" s="11" t="str">
        <f t="array" ref="C50">IFERROR(INDEX(출고!$E$8:$E$1013,SMALL(IF(출고!$C$8:$C$1013=마스터!$M$8,ROW(출고!$C$8:$C$1013)-7),6)),"")</f>
        <v/>
      </c>
      <c r="D50" s="13" t="str">
        <f t="array" ref="D50">IFERROR(INDEX(출고!$F$8:$F$1013,SMALL(IF(출고!$C$8:$C$1013=마스터!$M$8,ROW(출고!$C$8:$C$1013)-7),6)),"")</f>
        <v/>
      </c>
      <c r="E50" s="50" t="str">
        <f t="array" ref="E50">IFERROR(INDEX(출고!$H$8:$H$1013,SMALL(IF(출고!$C$8:$C$1013=마스터!$M$8,ROW(출고!$C$8:$C$1013)-7),6)),"")</f>
        <v/>
      </c>
      <c r="F50" s="50" t="str">
        <f t="array" ref="F50">IFERROR(INDEX(출고!$I$8:$I$1013,SMALL(IF(출고!$C$8:$C$1013=마스터!$M$8,ROW(출고!$C$8:$C$1013)-7),6)),"")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IFERROR(INDEX(출고!$B$8:$B$1013,SMALL(IF(출고!$C$8:$C$1013=마스터!$M$8,ROW(출고!$C$8:$C$1013)-7),7)),"")</f>
        <v/>
      </c>
      <c r="C51" s="6" t="str">
        <f t="array" ref="C51">IFERROR(INDEX(출고!$E$8:$E$1013,SMALL(IF(출고!$C$8:$C$1013=마스터!$M$8,ROW(출고!$C$8:$C$1013)-7),7)),"")</f>
        <v/>
      </c>
      <c r="D51" s="8" t="str">
        <f t="array" ref="D51">IFERROR(INDEX(출고!$F$8:$F$1013,SMALL(IF(출고!$C$8:$C$1013=마스터!$M$8,ROW(출고!$C$8:$C$1013)-7),7)),"")</f>
        <v/>
      </c>
      <c r="E51" s="46" t="str">
        <f t="array" ref="E51">IFERROR(INDEX(출고!$H$8:$H$1013,SMALL(IF(출고!$C$8:$C$1013=마스터!$M$8,ROW(출고!$C$8:$C$1013)-7),7)),"")</f>
        <v/>
      </c>
      <c r="F51" s="46" t="str">
        <f t="array" ref="F51">IFERROR(INDEX(출고!$I$8:$I$1013,SMALL(IF(출고!$C$8:$C$1013=마스터!$M$8,ROW(출고!$C$8:$C$1013)-7),7)),"")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IFERROR(INDEX(출고!$B$8:$B$1013,SMALL(IF(출고!$C$8:$C$1013=마스터!$M$8,ROW(출고!$C$8:$C$1013)-7),8)),"")</f>
        <v/>
      </c>
      <c r="C52" s="11" t="str">
        <f t="array" ref="C52">IFERROR(INDEX(출고!$E$8:$E$1013,SMALL(IF(출고!$C$8:$C$1013=마스터!$M$8,ROW(출고!$C$8:$C$1013)-7),8)),"")</f>
        <v/>
      </c>
      <c r="D52" s="13" t="str">
        <f t="array" ref="D52">IFERROR(INDEX(출고!$F$8:$F$1013,SMALL(IF(출고!$C$8:$C$1013=마스터!$M$8,ROW(출고!$C$8:$C$1013)-7),8)),"")</f>
        <v/>
      </c>
      <c r="E52" s="50" t="str">
        <f t="array" ref="E52">IFERROR(INDEX(출고!$H$8:$H$1013,SMALL(IF(출고!$C$8:$C$1013=마스터!$M$8,ROW(출고!$C$8:$C$1013)-7),8)),"")</f>
        <v/>
      </c>
      <c r="F52" s="50" t="str">
        <f t="array" ref="F52">IFERROR(INDEX(출고!$I$8:$I$1013,SMALL(IF(출고!$C$8:$C$1013=마스터!$M$8,ROW(출고!$C$8:$C$1013)-7),8)),"")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IFERROR(INDEX(출고!$B$8:$B$1013,SMALL(IF(출고!$C$8:$C$1013=마스터!$M$8,ROW(출고!$C$8:$C$1013)-7),9)),"")</f>
        <v/>
      </c>
      <c r="C53" s="6" t="str">
        <f t="array" ref="C53">IFERROR(INDEX(출고!$E$8:$E$1013,SMALL(IF(출고!$C$8:$C$1013=마스터!$M$8,ROW(출고!$C$8:$C$1013)-7),9)),"")</f>
        <v/>
      </c>
      <c r="D53" s="8" t="str">
        <f t="array" ref="D53">IFERROR(INDEX(출고!$F$8:$F$1013,SMALL(IF(출고!$C$8:$C$1013=마스터!$M$8,ROW(출고!$C$8:$C$1013)-7),9)),"")</f>
        <v/>
      </c>
      <c r="E53" s="46" t="str">
        <f t="array" ref="E53">IFERROR(INDEX(출고!$H$8:$H$1013,SMALL(IF(출고!$C$8:$C$1013=마스터!$M$8,ROW(출고!$C$8:$C$1013)-7),9)),"")</f>
        <v/>
      </c>
      <c r="F53" s="46" t="str">
        <f t="array" ref="F53">IFERROR(INDEX(출고!$I$8:$I$1013,SMALL(IF(출고!$C$8:$C$1013=마스터!$M$8,ROW(출고!$C$8:$C$1013)-7),9)),"")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IFERROR(INDEX(출고!$B$8:$B$1013,SMALL(IF(출고!$C$8:$C$1013=마스터!$M$8,ROW(출고!$C$8:$C$1013)-7),10)),"")</f>
        <v/>
      </c>
      <c r="C54" s="11" t="str">
        <f t="array" ref="C54">IFERROR(INDEX(출고!$E$8:$E$1013,SMALL(IF(출고!$C$8:$C$1013=마스터!$M$8,ROW(출고!$C$8:$C$1013)-7),10)),"")</f>
        <v/>
      </c>
      <c r="D54" s="13" t="str">
        <f t="array" ref="D54">IFERROR(INDEX(출고!$F$8:$F$1013,SMALL(IF(출고!$C$8:$C$1013=마스터!$M$8,ROW(출고!$C$8:$C$1013)-7),10)),"")</f>
        <v/>
      </c>
      <c r="E54" s="50" t="str">
        <f t="array" ref="E54">IFERROR(INDEX(출고!$H$8:$H$1013,SMALL(IF(출고!$C$8:$C$1013=마스터!$M$8,ROW(출고!$C$8:$C$1013)-7),10)),"")</f>
        <v/>
      </c>
      <c r="F54" s="50" t="str">
        <f t="array" ref="F54">IFERROR(INDEX(출고!$I$8:$I$1013,SMALL(IF(출고!$C$8:$C$1013=마스터!$M$8,ROW(출고!$C$8:$C$1013)-7),10)),"")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IFERROR(INDEX(출고!$B$8:$B$1013,SMALL(IF(출고!$C$8:$C$1013=마스터!$M$8,ROW(출고!$C$8:$C$1013)-7),11)),"")</f>
        <v/>
      </c>
      <c r="C55" s="6" t="str">
        <f t="array" ref="C55">IFERROR(INDEX(출고!$E$8:$E$1013,SMALL(IF(출고!$C$8:$C$1013=마스터!$M$8,ROW(출고!$C$8:$C$1013)-7),11)),"")</f>
        <v/>
      </c>
      <c r="D55" s="8" t="str">
        <f t="array" ref="D55">IFERROR(INDEX(출고!$F$8:$F$1013,SMALL(IF(출고!$C$8:$C$1013=마스터!$M$8,ROW(출고!$C$8:$C$1013)-7),11)),"")</f>
        <v/>
      </c>
      <c r="E55" s="46" t="str">
        <f t="array" ref="E55">IFERROR(INDEX(출고!$H$8:$H$1013,SMALL(IF(출고!$C$8:$C$1013=마스터!$M$8,ROW(출고!$C$8:$C$1013)-7),11)),"")</f>
        <v/>
      </c>
      <c r="F55" s="46" t="str">
        <f t="array" ref="F55">IFERROR(INDEX(출고!$I$8:$I$1013,SMALL(IF(출고!$C$8:$C$1013=마스터!$M$8,ROW(출고!$C$8:$C$1013)-7),11)),"")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IFERROR(INDEX(출고!$B$8:$B$1013,SMALL(IF(출고!$C$8:$C$1013=마스터!$M$8,ROW(출고!$C$8:$C$1013)-7),12)),"")</f>
        <v/>
      </c>
      <c r="C56" s="11" t="str">
        <f t="array" ref="C56">IFERROR(INDEX(출고!$E$8:$E$1013,SMALL(IF(출고!$C$8:$C$1013=마스터!$M$8,ROW(출고!$C$8:$C$1013)-7),12)),"")</f>
        <v/>
      </c>
      <c r="D56" s="13" t="str">
        <f t="array" ref="D56">IFERROR(INDEX(출고!$F$8:$F$1013,SMALL(IF(출고!$C$8:$C$1013=마스터!$M$8,ROW(출고!$C$8:$C$1013)-7),12)),"")</f>
        <v/>
      </c>
      <c r="E56" s="50" t="str">
        <f t="array" ref="E56">IFERROR(INDEX(출고!$H$8:$H$1013,SMALL(IF(출고!$C$8:$C$1013=마스터!$M$8,ROW(출고!$C$8:$C$1013)-7),12)),"")</f>
        <v/>
      </c>
      <c r="F56" s="50" t="str">
        <f t="array" ref="F56">IFERROR(INDEX(출고!$I$8:$I$1013,SMALL(IF(출고!$C$8:$C$1013=마스터!$M$8,ROW(출고!$C$8:$C$1013)-7),12)),"")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IFERROR(INDEX(출고!$B$8:$B$1013,SMALL(IF(출고!$C$8:$C$1013=마스터!$M$8,ROW(출고!$C$8:$C$1013)-7),13)),"")</f>
        <v/>
      </c>
      <c r="C57" s="6" t="str">
        <f t="array" ref="C57">IFERROR(INDEX(출고!$E$8:$E$1013,SMALL(IF(출고!$C$8:$C$1013=마스터!$M$8,ROW(출고!$C$8:$C$1013)-7),13)),"")</f>
        <v/>
      </c>
      <c r="D57" s="8" t="str">
        <f t="array" ref="D57">IFERROR(INDEX(출고!$F$8:$F$1013,SMALL(IF(출고!$C$8:$C$1013=마스터!$M$8,ROW(출고!$C$8:$C$1013)-7),13)),"")</f>
        <v/>
      </c>
      <c r="E57" s="46" t="str">
        <f t="array" ref="E57">IFERROR(INDEX(출고!$H$8:$H$1013,SMALL(IF(출고!$C$8:$C$1013=마스터!$M$8,ROW(출고!$C$8:$C$1013)-7),13)),"")</f>
        <v/>
      </c>
      <c r="F57" s="46" t="str">
        <f t="array" ref="F57">IFERROR(INDEX(출고!$I$8:$I$1013,SMALL(IF(출고!$C$8:$C$1013=마스터!$M$8,ROW(출고!$C$8:$C$1013)-7),13)),"")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IFERROR(INDEX(출고!$B$8:$B$1013,SMALL(IF(출고!$C$8:$C$1013=마스터!$M$8,ROW(출고!$C$8:$C$1013)-7),14)),"")</f>
        <v/>
      </c>
      <c r="C58" s="11" t="str">
        <f t="array" ref="C58">IFERROR(INDEX(출고!$E$8:$E$1013,SMALL(IF(출고!$C$8:$C$1013=마스터!$M$8,ROW(출고!$C$8:$C$1013)-7),14)),"")</f>
        <v/>
      </c>
      <c r="D58" s="13" t="str">
        <f t="array" ref="D58">IFERROR(INDEX(출고!$F$8:$F$1013,SMALL(IF(출고!$C$8:$C$1013=마스터!$M$8,ROW(출고!$C$8:$C$1013)-7),14)),"")</f>
        <v/>
      </c>
      <c r="E58" s="50" t="str">
        <f t="array" ref="E58">IFERROR(INDEX(출고!$H$8:$H$1013,SMALL(IF(출고!$C$8:$C$1013=마스터!$M$8,ROW(출고!$C$8:$C$1013)-7),14)),"")</f>
        <v/>
      </c>
      <c r="F58" s="50" t="str">
        <f t="array" ref="F58">IFERROR(INDEX(출고!$I$8:$I$1013,SMALL(IF(출고!$C$8:$C$1013=마스터!$M$8,ROW(출고!$C$8:$C$1013)-7),14)),"")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IFERROR(INDEX(출고!$B$8:$B$1013,SMALL(IF(출고!$C$8:$C$1013=마스터!$M$8,ROW(출고!$C$8:$C$1013)-7),15)),"")</f>
        <v/>
      </c>
      <c r="C59" s="6" t="str">
        <f t="array" ref="C59">IFERROR(INDEX(출고!$E$8:$E$1013,SMALL(IF(출고!$C$8:$C$1013=마스터!$M$8,ROW(출고!$C$8:$C$1013)-7),15)),"")</f>
        <v/>
      </c>
      <c r="D59" s="8" t="str">
        <f t="array" ref="D59">IFERROR(INDEX(출고!$F$8:$F$1013,SMALL(IF(출고!$C$8:$C$1013=마스터!$M$8,ROW(출고!$C$8:$C$1013)-7),15)),"")</f>
        <v/>
      </c>
      <c r="E59" s="46" t="str">
        <f t="array" ref="E59">IFERROR(INDEX(출고!$H$8:$H$1013,SMALL(IF(출고!$C$8:$C$1013=마스터!$M$8,ROW(출고!$C$8:$C$1013)-7),15)),"")</f>
        <v/>
      </c>
      <c r="F59" s="46" t="str">
        <f t="array" ref="F59">IFERROR(INDEX(출고!$I$8:$I$1013,SMALL(IF(출고!$C$8:$C$1013=마스터!$M$8,ROW(출고!$C$8:$C$1013)-7),15)),"")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IFERROR(INDEX(출고!$B$8:$B$1013,SMALL(IF(출고!$C$8:$C$1013=마스터!$M$8,ROW(출고!$C$8:$C$1013)-7),16)),"")</f>
        <v/>
      </c>
      <c r="C60" s="11" t="str">
        <f t="array" ref="C60">IFERROR(INDEX(출고!$E$8:$E$1013,SMALL(IF(출고!$C$8:$C$1013=마스터!$M$8,ROW(출고!$C$8:$C$1013)-7),16)),"")</f>
        <v/>
      </c>
      <c r="D60" s="13" t="str">
        <f t="array" ref="D60">IFERROR(INDEX(출고!$F$8:$F$1013,SMALL(IF(출고!$C$8:$C$1013=마스터!$M$8,ROW(출고!$C$8:$C$1013)-7),16)),"")</f>
        <v/>
      </c>
      <c r="E60" s="50" t="str">
        <f t="array" ref="E60">IFERROR(INDEX(출고!$H$8:$H$1013,SMALL(IF(출고!$C$8:$C$1013=마스터!$M$8,ROW(출고!$C$8:$C$1013)-7),16)),"")</f>
        <v/>
      </c>
      <c r="F60" s="50" t="str">
        <f t="array" ref="F60">IFERROR(INDEX(출고!$I$8:$I$1013,SMALL(IF(출고!$C$8:$C$1013=마스터!$M$8,ROW(출고!$C$8:$C$1013)-7),16)),"")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IFERROR(INDEX(출고!$B$8:$B$1013,SMALL(IF(출고!$C$8:$C$1013=마스터!$M$8,ROW(출고!$C$8:$C$1013)-7),17)),"")</f>
        <v/>
      </c>
      <c r="C61" s="6" t="str">
        <f t="array" ref="C61">IFERROR(INDEX(출고!$E$8:$E$1013,SMALL(IF(출고!$C$8:$C$1013=마스터!$M$8,ROW(출고!$C$8:$C$1013)-7),17)),"")</f>
        <v/>
      </c>
      <c r="D61" s="8" t="str">
        <f t="array" ref="D61">IFERROR(INDEX(출고!$F$8:$F$1013,SMALL(IF(출고!$C$8:$C$1013=마스터!$M$8,ROW(출고!$C$8:$C$1013)-7),17)),"")</f>
        <v/>
      </c>
      <c r="E61" s="46" t="str">
        <f t="array" ref="E61">IFERROR(INDEX(출고!$H$8:$H$1013,SMALL(IF(출고!$C$8:$C$1013=마스터!$M$8,ROW(출고!$C$8:$C$1013)-7),17)),"")</f>
        <v/>
      </c>
      <c r="F61" s="46" t="str">
        <f t="array" ref="F61">IFERROR(INDEX(출고!$I$8:$I$1013,SMALL(IF(출고!$C$8:$C$1013=마스터!$M$8,ROW(출고!$C$8:$C$1013)-7),17)),"")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IFERROR(INDEX(출고!$B$8:$B$1013,SMALL(IF(출고!$C$8:$C$1013=마스터!$M$8,ROW(출고!$C$8:$C$1013)-7),18)),"")</f>
        <v/>
      </c>
      <c r="C62" s="11" t="str">
        <f t="array" ref="C62">IFERROR(INDEX(출고!$E$8:$E$1013,SMALL(IF(출고!$C$8:$C$1013=마스터!$M$8,ROW(출고!$C$8:$C$1013)-7),18)),"")</f>
        <v/>
      </c>
      <c r="D62" s="13" t="str">
        <f t="array" ref="D62">IFERROR(INDEX(출고!$F$8:$F$1013,SMALL(IF(출고!$C$8:$C$1013=마스터!$M$8,ROW(출고!$C$8:$C$1013)-7),18)),"")</f>
        <v/>
      </c>
      <c r="E62" s="50" t="str">
        <f t="array" ref="E62">IFERROR(INDEX(출고!$H$8:$H$1013,SMALL(IF(출고!$C$8:$C$1013=마스터!$M$8,ROW(출고!$C$8:$C$1013)-7),18)),"")</f>
        <v/>
      </c>
      <c r="F62" s="50" t="str">
        <f t="array" ref="F62">IFERROR(INDEX(출고!$I$8:$I$1013,SMALL(IF(출고!$C$8:$C$1013=마스터!$M$8,ROW(출고!$C$8:$C$1013)-7),18)),"")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IFERROR(INDEX(출고!$B$8:$B$1013,SMALL(IF(출고!$C$8:$C$1013=마스터!$M$8,ROW(출고!$C$8:$C$1013)-7),19)),"")</f>
        <v/>
      </c>
      <c r="C63" s="6" t="str">
        <f t="array" ref="C63">IFERROR(INDEX(출고!$E$8:$E$1013,SMALL(IF(출고!$C$8:$C$1013=마스터!$M$8,ROW(출고!$C$8:$C$1013)-7),19)),"")</f>
        <v/>
      </c>
      <c r="D63" s="8" t="str">
        <f t="array" ref="D63">IFERROR(INDEX(출고!$F$8:$F$1013,SMALL(IF(출고!$C$8:$C$1013=마스터!$M$8,ROW(출고!$C$8:$C$1013)-7),19)),"")</f>
        <v/>
      </c>
      <c r="E63" s="46" t="str">
        <f t="array" ref="E63">IFERROR(INDEX(출고!$H$8:$H$1013,SMALL(IF(출고!$C$8:$C$1013=마스터!$M$8,ROW(출고!$C$8:$C$1013)-7),19)),"")</f>
        <v/>
      </c>
      <c r="F63" s="46" t="str">
        <f t="array" ref="F63">IFERROR(INDEX(출고!$I$8:$I$1013,SMALL(IF(출고!$C$8:$C$1013=마스터!$M$8,ROW(출고!$C$8:$C$1013)-7),19)),"")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IFERROR(INDEX(출고!$B$8:$B$1013,SMALL(IF(출고!$C$8:$C$1013=마스터!$M$8,ROW(출고!$C$8:$C$1013)-7),20)),"")</f>
        <v/>
      </c>
      <c r="C64" s="11" t="str">
        <f t="array" ref="C64">IFERROR(INDEX(출고!$E$8:$E$1013,SMALL(IF(출고!$C$8:$C$1013=마스터!$M$8,ROW(출고!$C$8:$C$1013)-7),20)),"")</f>
        <v/>
      </c>
      <c r="D64" s="13" t="str">
        <f t="array" ref="D64">IFERROR(INDEX(출고!$F$8:$F$1013,SMALL(IF(출고!$C$8:$C$1013=마스터!$M$8,ROW(출고!$C$8:$C$1013)-7),20)),"")</f>
        <v/>
      </c>
      <c r="E64" s="50" t="str">
        <f t="array" ref="E64">IFERROR(INDEX(출고!$H$8:$H$1013,SMALL(IF(출고!$C$8:$C$1013=마스터!$M$8,ROW(출고!$C$8:$C$1013)-7),20)),"")</f>
        <v/>
      </c>
      <c r="F64" s="50" t="str">
        <f t="array" ref="F64">IFERROR(INDEX(출고!$I$8:$I$1013,SMALL(IF(출고!$C$8:$C$1013=마스터!$M$8,ROW(출고!$C$8:$C$1013)-7),20)),"")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IFERROR(INDEX(출고!$B$8:$B$1013,SMALL(IF(출고!$C$8:$C$1013=마스터!$M$8,ROW(출고!$C$8:$C$1013)-7),21)),"")</f>
        <v/>
      </c>
      <c r="C65" s="6" t="str">
        <f t="array" ref="C65">IFERROR(INDEX(출고!$E$8:$E$1013,SMALL(IF(출고!$C$8:$C$1013=마스터!$M$8,ROW(출고!$C$8:$C$1013)-7),21)),"")</f>
        <v/>
      </c>
      <c r="D65" s="8" t="str">
        <f t="array" ref="D65">IFERROR(INDEX(출고!$F$8:$F$1013,SMALL(IF(출고!$C$8:$C$1013=마스터!$M$8,ROW(출고!$C$8:$C$1013)-7),21)),"")</f>
        <v/>
      </c>
      <c r="E65" s="46" t="str">
        <f t="array" ref="E65">IFERROR(INDEX(출고!$H$8:$H$1013,SMALL(IF(출고!$C$8:$C$1013=마스터!$M$8,ROW(출고!$C$8:$C$1013)-7),21)),"")</f>
        <v/>
      </c>
      <c r="F65" s="46" t="str">
        <f t="array" ref="F65">IFERROR(INDEX(출고!$I$8:$I$1013,SMALL(IF(출고!$C$8:$C$1013=마스터!$M$8,ROW(출고!$C$8:$C$1013)-7),21)),"")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IFERROR(INDEX(출고!$B$8:$B$1013,SMALL(IF(출고!$C$8:$C$1013=마스터!$M$8,ROW(출고!$C$8:$C$1013)-7),22)),"")</f>
        <v/>
      </c>
      <c r="C66" s="11" t="str">
        <f t="array" ref="C66">IFERROR(INDEX(출고!$E$8:$E$1013,SMALL(IF(출고!$C$8:$C$1013=마스터!$M$8,ROW(출고!$C$8:$C$1013)-7),22)),"")</f>
        <v/>
      </c>
      <c r="D66" s="13" t="str">
        <f t="array" ref="D66">IFERROR(INDEX(출고!$F$8:$F$1013,SMALL(IF(출고!$C$8:$C$1013=마스터!$M$8,ROW(출고!$C$8:$C$1013)-7),22)),"")</f>
        <v/>
      </c>
      <c r="E66" s="50" t="str">
        <f t="array" ref="E66">IFERROR(INDEX(출고!$H$8:$H$1013,SMALL(IF(출고!$C$8:$C$1013=마스터!$M$8,ROW(출고!$C$8:$C$1013)-7),22)),"")</f>
        <v/>
      </c>
      <c r="F66" s="50" t="str">
        <f t="array" ref="F66">IFERROR(INDEX(출고!$I$8:$I$1013,SMALL(IF(출고!$C$8:$C$1013=마스터!$M$8,ROW(출고!$C$8:$C$1013)-7),22)),"")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IFERROR(INDEX(출고!$B$8:$B$1013,SMALL(IF(출고!$C$8:$C$1013=마스터!$M$8,ROW(출고!$C$8:$C$1013)-7),23)),"")</f>
        <v/>
      </c>
      <c r="C67" s="6" t="str">
        <f t="array" ref="C67">IFERROR(INDEX(출고!$E$8:$E$1013,SMALL(IF(출고!$C$8:$C$1013=마스터!$M$8,ROW(출고!$C$8:$C$1013)-7),23)),"")</f>
        <v/>
      </c>
      <c r="D67" s="8" t="str">
        <f t="array" ref="D67">IFERROR(INDEX(출고!$F$8:$F$1013,SMALL(IF(출고!$C$8:$C$1013=마스터!$M$8,ROW(출고!$C$8:$C$1013)-7),23)),"")</f>
        <v/>
      </c>
      <c r="E67" s="46" t="str">
        <f t="array" ref="E67">IFERROR(INDEX(출고!$H$8:$H$1013,SMALL(IF(출고!$C$8:$C$1013=마스터!$M$8,ROW(출고!$C$8:$C$1013)-7),23)),"")</f>
        <v/>
      </c>
      <c r="F67" s="46" t="str">
        <f t="array" ref="F67">IFERROR(INDEX(출고!$I$8:$I$1013,SMALL(IF(출고!$C$8:$C$1013=마스터!$M$8,ROW(출고!$C$8:$C$1013)-7),23)),"")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IFERROR(INDEX(출고!$B$8:$B$1013,SMALL(IF(출고!$C$8:$C$1013=마스터!$M$8,ROW(출고!$C$8:$C$1013)-7),24)),"")</f>
        <v/>
      </c>
      <c r="C68" s="11" t="str">
        <f t="array" ref="C68">IFERROR(INDEX(출고!$E$8:$E$1013,SMALL(IF(출고!$C$8:$C$1013=마스터!$M$8,ROW(출고!$C$8:$C$1013)-7),24)),"")</f>
        <v/>
      </c>
      <c r="D68" s="13" t="str">
        <f t="array" ref="D68">IFERROR(INDEX(출고!$F$8:$F$1013,SMALL(IF(출고!$C$8:$C$1013=마스터!$M$8,ROW(출고!$C$8:$C$1013)-7),24)),"")</f>
        <v/>
      </c>
      <c r="E68" s="50" t="str">
        <f t="array" ref="E68">IFERROR(INDEX(출고!$H$8:$H$1013,SMALL(IF(출고!$C$8:$C$1013=마스터!$M$8,ROW(출고!$C$8:$C$1013)-7),24)),"")</f>
        <v/>
      </c>
      <c r="F68" s="50" t="str">
        <f t="array" ref="F68">IFERROR(INDEX(출고!$I$8:$I$1013,SMALL(IF(출고!$C$8:$C$1013=마스터!$M$8,ROW(출고!$C$8:$C$1013)-7),24)),"")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IFERROR(INDEX(출고!$B$8:$B$1013,SMALL(IF(출고!$C$8:$C$1013=마스터!$M$8,ROW(출고!$C$8:$C$1013)-7),25)),"")</f>
        <v/>
      </c>
      <c r="C69" s="6" t="str">
        <f t="array" ref="C69">IFERROR(INDEX(출고!$E$8:$E$1013,SMALL(IF(출고!$C$8:$C$1013=마스터!$M$8,ROW(출고!$C$8:$C$1013)-7),25)),"")</f>
        <v/>
      </c>
      <c r="D69" s="8" t="str">
        <f t="array" ref="D69">IFERROR(INDEX(출고!$F$8:$F$1013,SMALL(IF(출고!$C$8:$C$1013=마스터!$M$8,ROW(출고!$C$8:$C$1013)-7),25)),"")</f>
        <v/>
      </c>
      <c r="E69" s="46" t="str">
        <f t="array" ref="E69">IFERROR(INDEX(출고!$H$8:$H$1013,SMALL(IF(출고!$C$8:$C$1013=마스터!$M$8,ROW(출고!$C$8:$C$1013)-7),25)),"")</f>
        <v/>
      </c>
      <c r="F69" s="46" t="str">
        <f t="array" ref="F69">IFERROR(INDEX(출고!$I$8:$I$1013,SMALL(IF(출고!$C$8:$C$1013=마스터!$M$8,ROW(출고!$C$8:$C$1013)-7),25)),"")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IFERROR(INDEX(출고!$B$8:$B$1013,SMALL(IF(출고!$C$8:$C$1013=마스터!$M$8,ROW(출고!$C$8:$C$1013)-7),26)),"")</f>
        <v/>
      </c>
      <c r="C70" s="11" t="str">
        <f t="array" ref="C70">IFERROR(INDEX(출고!$E$8:$E$1013,SMALL(IF(출고!$C$8:$C$1013=마스터!$M$8,ROW(출고!$C$8:$C$1013)-7),26)),"")</f>
        <v/>
      </c>
      <c r="D70" s="13" t="str">
        <f t="array" ref="D70">IFERROR(INDEX(출고!$F$8:$F$1013,SMALL(IF(출고!$C$8:$C$1013=마스터!$M$8,ROW(출고!$C$8:$C$1013)-7),26)),"")</f>
        <v/>
      </c>
      <c r="E70" s="50" t="str">
        <f t="array" ref="E70">IFERROR(INDEX(출고!$H$8:$H$1013,SMALL(IF(출고!$C$8:$C$1013=마스터!$M$8,ROW(출고!$C$8:$C$1013)-7),26)),"")</f>
        <v/>
      </c>
      <c r="F70" s="50" t="str">
        <f t="array" ref="F70">IFERROR(INDEX(출고!$I$8:$I$1013,SMALL(IF(출고!$C$8:$C$1013=마스터!$M$8,ROW(출고!$C$8:$C$1013)-7),26)),"")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IFERROR(INDEX(출고!$B$8:$B$1013,SMALL(IF(출고!$C$8:$C$1013=마스터!$M$8,ROW(출고!$C$8:$C$1013)-7),27)),"")</f>
        <v/>
      </c>
      <c r="C71" s="6" t="str">
        <f t="array" ref="C71">IFERROR(INDEX(출고!$E$8:$E$1013,SMALL(IF(출고!$C$8:$C$1013=마스터!$M$8,ROW(출고!$C$8:$C$1013)-7),27)),"")</f>
        <v/>
      </c>
      <c r="D71" s="8" t="str">
        <f t="array" ref="D71">IFERROR(INDEX(출고!$F$8:$F$1013,SMALL(IF(출고!$C$8:$C$1013=마스터!$M$8,ROW(출고!$C$8:$C$1013)-7),27)),"")</f>
        <v/>
      </c>
      <c r="E71" s="46" t="str">
        <f t="array" ref="E71">IFERROR(INDEX(출고!$H$8:$H$1013,SMALL(IF(출고!$C$8:$C$1013=마스터!$M$8,ROW(출고!$C$8:$C$1013)-7),27)),"")</f>
        <v/>
      </c>
      <c r="F71" s="46" t="str">
        <f t="array" ref="F71">IFERROR(INDEX(출고!$I$8:$I$1013,SMALL(IF(출고!$C$8:$C$1013=마스터!$M$8,ROW(출고!$C$8:$C$1013)-7),27)),"")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IFERROR(INDEX(출고!$B$8:$B$1013,SMALL(IF(출고!$C$8:$C$1013=마스터!$M$8,ROW(출고!$C$8:$C$1013)-7),28)),"")</f>
        <v/>
      </c>
      <c r="C72" s="11" t="str">
        <f t="array" ref="C72">IFERROR(INDEX(출고!$E$8:$E$1013,SMALL(IF(출고!$C$8:$C$1013=마스터!$M$8,ROW(출고!$C$8:$C$1013)-7),28)),"")</f>
        <v/>
      </c>
      <c r="D72" s="13" t="str">
        <f t="array" ref="D72">IFERROR(INDEX(출고!$F$8:$F$1013,SMALL(IF(출고!$C$8:$C$1013=마스터!$M$8,ROW(출고!$C$8:$C$1013)-7),28)),"")</f>
        <v/>
      </c>
      <c r="E72" s="50" t="str">
        <f t="array" ref="E72">IFERROR(INDEX(출고!$H$8:$H$1013,SMALL(IF(출고!$C$8:$C$1013=마스터!$M$8,ROW(출고!$C$8:$C$1013)-7),28)),"")</f>
        <v/>
      </c>
      <c r="F72" s="50" t="str">
        <f t="array" ref="F72">IFERROR(INDEX(출고!$I$8:$I$1013,SMALL(IF(출고!$C$8:$C$1013=마스터!$M$8,ROW(출고!$C$8:$C$1013)-7),28)),"")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IFERROR(INDEX(출고!$B$8:$B$1013,SMALL(IF(출고!$C$8:$C$1013=마스터!$M$8,ROW(출고!$C$8:$C$1013)-7),29)),"")</f>
        <v/>
      </c>
      <c r="C73" s="6" t="str">
        <f t="array" ref="C73">IFERROR(INDEX(출고!$E$8:$E$1013,SMALL(IF(출고!$C$8:$C$1013=마스터!$M$8,ROW(출고!$C$8:$C$1013)-7),29)),"")</f>
        <v/>
      </c>
      <c r="D73" s="8" t="str">
        <f t="array" ref="D73">IFERROR(INDEX(출고!$F$8:$F$1013,SMALL(IF(출고!$C$8:$C$1013=마스터!$M$8,ROW(출고!$C$8:$C$1013)-7),29)),"")</f>
        <v/>
      </c>
      <c r="E73" s="46" t="str">
        <f t="array" ref="E73">IFERROR(INDEX(출고!$H$8:$H$1013,SMALL(IF(출고!$C$8:$C$1013=마스터!$M$8,ROW(출고!$C$8:$C$1013)-7),29)),"")</f>
        <v/>
      </c>
      <c r="F73" s="46" t="str">
        <f t="array" ref="F73">IFERROR(INDEX(출고!$I$8:$I$1013,SMALL(IF(출고!$C$8:$C$1013=마스터!$M$8,ROW(출고!$C$8:$C$1013)-7),29)),"")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IFERROR(INDEX(출고!$B$8:$B$1013,SMALL(IF(출고!$C$8:$C$1013=마스터!$M$8,ROW(출고!$C$8:$C$1013)-7),30)),"")</f>
        <v/>
      </c>
      <c r="C74" s="11" t="str">
        <f t="array" ref="C74">IFERROR(INDEX(출고!$E$8:$E$1013,SMALL(IF(출고!$C$8:$C$1013=마스터!$M$8,ROW(출고!$C$8:$C$1013)-7),30)),"")</f>
        <v/>
      </c>
      <c r="D74" s="13" t="str">
        <f t="array" ref="D74">IFERROR(INDEX(출고!$F$8:$F$1013,SMALL(IF(출고!$C$8:$C$1013=마스터!$M$8,ROW(출고!$C$8:$C$1013)-7),30)),"")</f>
        <v/>
      </c>
      <c r="E74" s="50" t="str">
        <f t="array" ref="E74">IFERROR(INDEX(출고!$H$8:$H$1013,SMALL(IF(출고!$C$8:$C$1013=마스터!$M$8,ROW(출고!$C$8:$C$1013)-7),30)),"")</f>
        <v/>
      </c>
      <c r="F74" s="50" t="str">
        <f t="array" ref="F74">IFERROR(INDEX(출고!$I$8:$I$1013,SMALL(IF(출고!$C$8:$C$1013=마스터!$M$8,ROW(출고!$C$8:$C$1013)-7),30)),"")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 t="str">
        <f t="shared" ref="A78:A107" si="4">IF(B78="","",ROW()-77)</f>
        <v/>
      </c>
      <c r="B78" s="6" t="str">
        <f t="array" ref="B78">IFERROR(INDEX(입고!$E$8:$E$1013,SMALL(IF((입고!$C$8:$C$1013=마스터!$M$8)*(입고!$AC$8:$AC$1013=1),ROW(입고!$C$8:$C$1013)-7),1)),"")</f>
        <v/>
      </c>
      <c r="C78" s="8" t="str">
        <f>IF(B78="","",SUMIFS(입고!$F$8:$F$1013,입고!$C$8:$C$1013,마스터!$M$8,입고!$E$8:$E$1013,B78))</f>
        <v/>
      </c>
      <c r="D78" s="8" t="str">
        <f>IF(B78="","",SUMIFS(출고!$F$8:$F$1013,출고!$C$8:$C$1013,마스터!$M$8,출고!$E$8:$E$1013,B78))</f>
        <v/>
      </c>
      <c r="E78" s="40" t="str">
        <f t="shared" ref="E78:E107" si="5">IF(B78="","",C78-D78)</f>
        <v/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IFERROR(INDEX(입고!$E$8:$E$1013,SMALL(IF((입고!$C$8:$C$1013=마스터!$M$8)*(입고!$AC$8:$AC$1013=1),ROW(입고!$C$8:$C$1013)-7),2)),"")</f>
        <v/>
      </c>
      <c r="C79" s="13" t="str">
        <f>IF(B79="","",SUMIFS(입고!$F$8:$F$1013,입고!$C$8:$C$1013,마스터!$M$8,입고!$E$8:$E$1013,B79))</f>
        <v/>
      </c>
      <c r="D79" s="13" t="str">
        <f>IF(B79="","",SUMIFS(출고!$F$8:$F$1013,출고!$C$8:$C$1013,마스터!$M$8,출고!$E$8:$E$1013,B79))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IFERROR(INDEX(입고!$E$8:$E$1013,SMALL(IF((입고!$C$8:$C$1013=마스터!$M$8)*(입고!$AC$8:$AC$1013=1),ROW(입고!$C$8:$C$1013)-7),3)),"")</f>
        <v/>
      </c>
      <c r="C80" s="8" t="str">
        <f>IF(B80="","",SUMIFS(입고!$F$8:$F$1013,입고!$C$8:$C$1013,마스터!$M$8,입고!$E$8:$E$1013,B80))</f>
        <v/>
      </c>
      <c r="D80" s="8" t="str">
        <f>IF(B80="","",SUMIFS(출고!$F$8:$F$1013,출고!$C$8:$C$1013,마스터!$M$8,출고!$E$8:$E$1013,B80))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IFERROR(INDEX(입고!$E$8:$E$1013,SMALL(IF((입고!$C$8:$C$1013=마스터!$M$8)*(입고!$AC$8:$AC$1013=1),ROW(입고!$C$8:$C$1013)-7),4)),"")</f>
        <v/>
      </c>
      <c r="C81" s="13" t="str">
        <f>IF(B81="","",SUMIFS(입고!$F$8:$F$1013,입고!$C$8:$C$1013,마스터!$M$8,입고!$E$8:$E$1013,B81))</f>
        <v/>
      </c>
      <c r="D81" s="13" t="str">
        <f>IF(B81="","",SUMIFS(출고!$F$8:$F$1013,출고!$C$8:$C$1013,마스터!$M$8,출고!$E$8:$E$1013,B81))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IFERROR(INDEX(입고!$E$8:$E$1013,SMALL(IF((입고!$C$8:$C$1013=마스터!$M$8)*(입고!$AC$8:$AC$1013=1),ROW(입고!$C$8:$C$1013)-7),5)),"")</f>
        <v/>
      </c>
      <c r="C82" s="8" t="str">
        <f>IF(B82="","",SUMIFS(입고!$F$8:$F$1013,입고!$C$8:$C$1013,마스터!$M$8,입고!$E$8:$E$1013,B82))</f>
        <v/>
      </c>
      <c r="D82" s="8" t="str">
        <f>IF(B82="","",SUMIFS(출고!$F$8:$F$1013,출고!$C$8:$C$1013,마스터!$M$8,출고!$E$8:$E$1013,B82))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IFERROR(INDEX(입고!$E$8:$E$1013,SMALL(IF((입고!$C$8:$C$1013=마스터!$M$8)*(입고!$AC$8:$AC$1013=1),ROW(입고!$C$8:$C$1013)-7),6)),"")</f>
        <v/>
      </c>
      <c r="C83" s="13" t="str">
        <f>IF(B83="","",SUMIFS(입고!$F$8:$F$1013,입고!$C$8:$C$1013,마스터!$M$8,입고!$E$8:$E$1013,B83))</f>
        <v/>
      </c>
      <c r="D83" s="13" t="str">
        <f>IF(B83="","",SUMIFS(출고!$F$8:$F$1013,출고!$C$8:$C$1013,마스터!$M$8,출고!$E$8:$E$1013,B83))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IFERROR(INDEX(입고!$E$8:$E$1013,SMALL(IF((입고!$C$8:$C$1013=마스터!$M$8)*(입고!$AC$8:$AC$1013=1),ROW(입고!$C$8:$C$1013)-7),7)),"")</f>
        <v/>
      </c>
      <c r="C84" s="8" t="str">
        <f>IF(B84="","",SUMIFS(입고!$F$8:$F$1013,입고!$C$8:$C$1013,마스터!$M$8,입고!$E$8:$E$1013,B84))</f>
        <v/>
      </c>
      <c r="D84" s="8" t="str">
        <f>IF(B84="","",SUMIFS(출고!$F$8:$F$1013,출고!$C$8:$C$1013,마스터!$M$8,출고!$E$8:$E$1013,B84))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IFERROR(INDEX(입고!$E$8:$E$1013,SMALL(IF((입고!$C$8:$C$1013=마스터!$M$8)*(입고!$AC$8:$AC$1013=1),ROW(입고!$C$8:$C$1013)-7),8)),"")</f>
        <v/>
      </c>
      <c r="C85" s="13" t="str">
        <f>IF(B85="","",SUMIFS(입고!$F$8:$F$1013,입고!$C$8:$C$1013,마스터!$M$8,입고!$E$8:$E$1013,B85))</f>
        <v/>
      </c>
      <c r="D85" s="13" t="str">
        <f>IF(B85="","",SUMIFS(출고!$F$8:$F$1013,출고!$C$8:$C$1013,마스터!$M$8,출고!$E$8:$E$1013,B85))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IFERROR(INDEX(입고!$E$8:$E$1013,SMALL(IF((입고!$C$8:$C$1013=마스터!$M$8)*(입고!$AC$8:$AC$1013=1),ROW(입고!$C$8:$C$1013)-7),9)),"")</f>
        <v/>
      </c>
      <c r="C86" s="8" t="str">
        <f>IF(B86="","",SUMIFS(입고!$F$8:$F$1013,입고!$C$8:$C$1013,마스터!$M$8,입고!$E$8:$E$1013,B86))</f>
        <v/>
      </c>
      <c r="D86" s="8" t="str">
        <f>IF(B86="","",SUMIFS(출고!$F$8:$F$1013,출고!$C$8:$C$1013,마스터!$M$8,출고!$E$8:$E$1013,B86))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IFERROR(INDEX(입고!$E$8:$E$1013,SMALL(IF((입고!$C$8:$C$1013=마스터!$M$8)*(입고!$AC$8:$AC$1013=1),ROW(입고!$C$8:$C$1013)-7),10)),"")</f>
        <v/>
      </c>
      <c r="C87" s="13" t="str">
        <f>IF(B87="","",SUMIFS(입고!$F$8:$F$1013,입고!$C$8:$C$1013,마스터!$M$8,입고!$E$8:$E$1013,B87))</f>
        <v/>
      </c>
      <c r="D87" s="13" t="str">
        <f>IF(B87="","",SUMIFS(출고!$F$8:$F$1013,출고!$C$8:$C$1013,마스터!$M$8,출고!$E$8:$E$1013,B87))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IFERROR(INDEX(입고!$E$8:$E$1013,SMALL(IF((입고!$C$8:$C$1013=마스터!$M$8)*(입고!$AC$8:$AC$1013=1),ROW(입고!$C$8:$C$1013)-7),11)),"")</f>
        <v/>
      </c>
      <c r="C88" s="8" t="str">
        <f>IF(B88="","",SUMIFS(입고!$F$8:$F$1013,입고!$C$8:$C$1013,마스터!$M$8,입고!$E$8:$E$1013,B88))</f>
        <v/>
      </c>
      <c r="D88" s="8" t="str">
        <f>IF(B88="","",SUMIFS(출고!$F$8:$F$1013,출고!$C$8:$C$1013,마스터!$M$8,출고!$E$8:$E$1013,B88))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IFERROR(INDEX(입고!$E$8:$E$1013,SMALL(IF((입고!$C$8:$C$1013=마스터!$M$8)*(입고!$AC$8:$AC$1013=1),ROW(입고!$C$8:$C$1013)-7),12)),"")</f>
        <v/>
      </c>
      <c r="C89" s="13" t="str">
        <f>IF(B89="","",SUMIFS(입고!$F$8:$F$1013,입고!$C$8:$C$1013,마스터!$M$8,입고!$E$8:$E$1013,B89))</f>
        <v/>
      </c>
      <c r="D89" s="13" t="str">
        <f>IF(B89="","",SUMIFS(출고!$F$8:$F$1013,출고!$C$8:$C$1013,마스터!$M$8,출고!$E$8:$E$1013,B89))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IFERROR(INDEX(입고!$E$8:$E$1013,SMALL(IF((입고!$C$8:$C$1013=마스터!$M$8)*(입고!$AC$8:$AC$1013=1),ROW(입고!$C$8:$C$1013)-7),13)),"")</f>
        <v/>
      </c>
      <c r="C90" s="8" t="str">
        <f>IF(B90="","",SUMIFS(입고!$F$8:$F$1013,입고!$C$8:$C$1013,마스터!$M$8,입고!$E$8:$E$1013,B90))</f>
        <v/>
      </c>
      <c r="D90" s="8" t="str">
        <f>IF(B90="","",SUMIFS(출고!$F$8:$F$1013,출고!$C$8:$C$1013,마스터!$M$8,출고!$E$8:$E$1013,B90))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IFERROR(INDEX(입고!$E$8:$E$1013,SMALL(IF((입고!$C$8:$C$1013=마스터!$M$8)*(입고!$AC$8:$AC$1013=1),ROW(입고!$C$8:$C$1013)-7),14)),"")</f>
        <v/>
      </c>
      <c r="C91" s="13" t="str">
        <f>IF(B91="","",SUMIFS(입고!$F$8:$F$1013,입고!$C$8:$C$1013,마스터!$M$8,입고!$E$8:$E$1013,B91))</f>
        <v/>
      </c>
      <c r="D91" s="13" t="str">
        <f>IF(B91="","",SUMIFS(출고!$F$8:$F$1013,출고!$C$8:$C$1013,마스터!$M$8,출고!$E$8:$E$1013,B91))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IFERROR(INDEX(입고!$E$8:$E$1013,SMALL(IF((입고!$C$8:$C$1013=마스터!$M$8)*(입고!$AC$8:$AC$1013=1),ROW(입고!$C$8:$C$1013)-7),15)),"")</f>
        <v/>
      </c>
      <c r="C92" s="8" t="str">
        <f>IF(B92="","",SUMIFS(입고!$F$8:$F$1013,입고!$C$8:$C$1013,마스터!$M$8,입고!$E$8:$E$1013,B92))</f>
        <v/>
      </c>
      <c r="D92" s="8" t="str">
        <f>IF(B92="","",SUMIFS(출고!$F$8:$F$1013,출고!$C$8:$C$1013,마스터!$M$8,출고!$E$8:$E$1013,B92))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IFERROR(INDEX(입고!$E$8:$E$1013,SMALL(IF((입고!$C$8:$C$1013=마스터!$M$8)*(입고!$AC$8:$AC$1013=1),ROW(입고!$C$8:$C$1013)-7),16)),"")</f>
        <v/>
      </c>
      <c r="C93" s="13" t="str">
        <f>IF(B93="","",SUMIFS(입고!$F$8:$F$1013,입고!$C$8:$C$1013,마스터!$M$8,입고!$E$8:$E$1013,B93))</f>
        <v/>
      </c>
      <c r="D93" s="13" t="str">
        <f>IF(B93="","",SUMIFS(출고!$F$8:$F$1013,출고!$C$8:$C$1013,마스터!$M$8,출고!$E$8:$E$1013,B93))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IFERROR(INDEX(입고!$E$8:$E$1013,SMALL(IF((입고!$C$8:$C$1013=마스터!$M$8)*(입고!$AC$8:$AC$1013=1),ROW(입고!$C$8:$C$1013)-7),17)),"")</f>
        <v/>
      </c>
      <c r="C94" s="8" t="str">
        <f>IF(B94="","",SUMIFS(입고!$F$8:$F$1013,입고!$C$8:$C$1013,마스터!$M$8,입고!$E$8:$E$1013,B94))</f>
        <v/>
      </c>
      <c r="D94" s="8" t="str">
        <f>IF(B94="","",SUMIFS(출고!$F$8:$F$1013,출고!$C$8:$C$1013,마스터!$M$8,출고!$E$8:$E$1013,B94))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IFERROR(INDEX(입고!$E$8:$E$1013,SMALL(IF((입고!$C$8:$C$1013=마스터!$M$8)*(입고!$AC$8:$AC$1013=1),ROW(입고!$C$8:$C$1013)-7),18)),"")</f>
        <v/>
      </c>
      <c r="C95" s="13" t="str">
        <f>IF(B95="","",SUMIFS(입고!$F$8:$F$1013,입고!$C$8:$C$1013,마스터!$M$8,입고!$E$8:$E$1013,B95))</f>
        <v/>
      </c>
      <c r="D95" s="13" t="str">
        <f>IF(B95="","",SUMIFS(출고!$F$8:$F$1013,출고!$C$8:$C$1013,마스터!$M$8,출고!$E$8:$E$1013,B95))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IFERROR(INDEX(입고!$E$8:$E$1013,SMALL(IF((입고!$C$8:$C$1013=마스터!$M$8)*(입고!$AC$8:$AC$1013=1),ROW(입고!$C$8:$C$1013)-7),19)),"")</f>
        <v/>
      </c>
      <c r="C96" s="8" t="str">
        <f>IF(B96="","",SUMIFS(입고!$F$8:$F$1013,입고!$C$8:$C$1013,마스터!$M$8,입고!$E$8:$E$1013,B96))</f>
        <v/>
      </c>
      <c r="D96" s="8" t="str">
        <f>IF(B96="","",SUMIFS(출고!$F$8:$F$1013,출고!$C$8:$C$1013,마스터!$M$8,출고!$E$8:$E$1013,B96))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IFERROR(INDEX(입고!$E$8:$E$1013,SMALL(IF((입고!$C$8:$C$1013=마스터!$M$8)*(입고!$AC$8:$AC$1013=1),ROW(입고!$C$8:$C$1013)-7),20)),"")</f>
        <v/>
      </c>
      <c r="C97" s="13" t="str">
        <f>IF(B97="","",SUMIFS(입고!$F$8:$F$1013,입고!$C$8:$C$1013,마스터!$M$8,입고!$E$8:$E$1013,B97))</f>
        <v/>
      </c>
      <c r="D97" s="13" t="str">
        <f>IF(B97="","",SUMIFS(출고!$F$8:$F$1013,출고!$C$8:$C$1013,마스터!$M$8,출고!$E$8:$E$1013,B97))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IFERROR(INDEX(입고!$E$8:$E$1013,SMALL(IF((입고!$C$8:$C$1013=마스터!$M$8)*(입고!$AC$8:$AC$1013=1),ROW(입고!$C$8:$C$1013)-7),21)),"")</f>
        <v/>
      </c>
      <c r="C98" s="8" t="str">
        <f>IF(B98="","",SUMIFS(입고!$F$8:$F$1013,입고!$C$8:$C$1013,마스터!$M$8,입고!$E$8:$E$1013,B98))</f>
        <v/>
      </c>
      <c r="D98" s="8" t="str">
        <f>IF(B98="","",SUMIFS(출고!$F$8:$F$1013,출고!$C$8:$C$1013,마스터!$M$8,출고!$E$8:$E$1013,B98))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IFERROR(INDEX(입고!$E$8:$E$1013,SMALL(IF((입고!$C$8:$C$1013=마스터!$M$8)*(입고!$AC$8:$AC$1013=1),ROW(입고!$C$8:$C$1013)-7),22)),"")</f>
        <v/>
      </c>
      <c r="C99" s="13" t="str">
        <f>IF(B99="","",SUMIFS(입고!$F$8:$F$1013,입고!$C$8:$C$1013,마스터!$M$8,입고!$E$8:$E$1013,B99))</f>
        <v/>
      </c>
      <c r="D99" s="13" t="str">
        <f>IF(B99="","",SUMIFS(출고!$F$8:$F$1013,출고!$C$8:$C$1013,마스터!$M$8,출고!$E$8:$E$1013,B99))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IFERROR(INDEX(입고!$E$8:$E$1013,SMALL(IF((입고!$C$8:$C$1013=마스터!$M$8)*(입고!$AC$8:$AC$1013=1),ROW(입고!$C$8:$C$1013)-7),23)),"")</f>
        <v/>
      </c>
      <c r="C100" s="8" t="str">
        <f>IF(B100="","",SUMIFS(입고!$F$8:$F$1013,입고!$C$8:$C$1013,마스터!$M$8,입고!$E$8:$E$1013,B100))</f>
        <v/>
      </c>
      <c r="D100" s="8" t="str">
        <f>IF(B100="","",SUMIFS(출고!$F$8:$F$1013,출고!$C$8:$C$1013,마스터!$M$8,출고!$E$8:$E$1013,B100))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IFERROR(INDEX(입고!$E$8:$E$1013,SMALL(IF((입고!$C$8:$C$1013=마스터!$M$8)*(입고!$AC$8:$AC$1013=1),ROW(입고!$C$8:$C$1013)-7),24)),"")</f>
        <v/>
      </c>
      <c r="C101" s="13" t="str">
        <f>IF(B101="","",SUMIFS(입고!$F$8:$F$1013,입고!$C$8:$C$1013,마스터!$M$8,입고!$E$8:$E$1013,B101))</f>
        <v/>
      </c>
      <c r="D101" s="13" t="str">
        <f>IF(B101="","",SUMIFS(출고!$F$8:$F$1013,출고!$C$8:$C$1013,마스터!$M$8,출고!$E$8:$E$1013,B101))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IFERROR(INDEX(입고!$E$8:$E$1013,SMALL(IF((입고!$C$8:$C$1013=마스터!$M$8)*(입고!$AC$8:$AC$1013=1),ROW(입고!$C$8:$C$1013)-7),25)),"")</f>
        <v/>
      </c>
      <c r="C102" s="8" t="str">
        <f>IF(B102="","",SUMIFS(입고!$F$8:$F$1013,입고!$C$8:$C$1013,마스터!$M$8,입고!$E$8:$E$1013,B102))</f>
        <v/>
      </c>
      <c r="D102" s="8" t="str">
        <f>IF(B102="","",SUMIFS(출고!$F$8:$F$1013,출고!$C$8:$C$1013,마스터!$M$8,출고!$E$8:$E$1013,B102))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IFERROR(INDEX(입고!$E$8:$E$1013,SMALL(IF((입고!$C$8:$C$1013=마스터!$M$8)*(입고!$AC$8:$AC$1013=1),ROW(입고!$C$8:$C$1013)-7),26)),"")</f>
        <v/>
      </c>
      <c r="C103" s="13" t="str">
        <f>IF(B103="","",SUMIFS(입고!$F$8:$F$1013,입고!$C$8:$C$1013,마스터!$M$8,입고!$E$8:$E$1013,B103))</f>
        <v/>
      </c>
      <c r="D103" s="13" t="str">
        <f>IF(B103="","",SUMIFS(출고!$F$8:$F$1013,출고!$C$8:$C$1013,마스터!$M$8,출고!$E$8:$E$1013,B103))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IFERROR(INDEX(입고!$E$8:$E$1013,SMALL(IF((입고!$C$8:$C$1013=마스터!$M$8)*(입고!$AC$8:$AC$1013=1),ROW(입고!$C$8:$C$1013)-7),27)),"")</f>
        <v/>
      </c>
      <c r="C104" s="8" t="str">
        <f>IF(B104="","",SUMIFS(입고!$F$8:$F$1013,입고!$C$8:$C$1013,마스터!$M$8,입고!$E$8:$E$1013,B104))</f>
        <v/>
      </c>
      <c r="D104" s="8" t="str">
        <f>IF(B104="","",SUMIFS(출고!$F$8:$F$1013,출고!$C$8:$C$1013,마스터!$M$8,출고!$E$8:$E$1013,B104))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IFERROR(INDEX(입고!$E$8:$E$1013,SMALL(IF((입고!$C$8:$C$1013=마스터!$M$8)*(입고!$AC$8:$AC$1013=1),ROW(입고!$C$8:$C$1013)-7),28)),"")</f>
        <v/>
      </c>
      <c r="C105" s="13" t="str">
        <f>IF(B105="","",SUMIFS(입고!$F$8:$F$1013,입고!$C$8:$C$1013,마스터!$M$8,입고!$E$8:$E$1013,B105))</f>
        <v/>
      </c>
      <c r="D105" s="13" t="str">
        <f>IF(B105="","",SUMIFS(출고!$F$8:$F$1013,출고!$C$8:$C$1013,마스터!$M$8,출고!$E$8:$E$1013,B105))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IFERROR(INDEX(입고!$E$8:$E$1013,SMALL(IF((입고!$C$8:$C$1013=마스터!$M$8)*(입고!$AC$8:$AC$1013=1),ROW(입고!$C$8:$C$1013)-7),29)),"")</f>
        <v/>
      </c>
      <c r="C106" s="8" t="str">
        <f>IF(B106="","",SUMIFS(입고!$F$8:$F$1013,입고!$C$8:$C$1013,마스터!$M$8,입고!$E$8:$E$1013,B106))</f>
        <v/>
      </c>
      <c r="D106" s="8" t="str">
        <f>IF(B106="","",SUMIFS(출고!$F$8:$F$1013,출고!$C$8:$C$1013,마스터!$M$8,출고!$E$8:$E$1013,B106))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IFERROR(INDEX(입고!$E$8:$E$1013,SMALL(IF((입고!$C$8:$C$1013=마스터!$M$8)*(입고!$AC$8:$AC$1013=1),ROW(입고!$C$8:$C$1013)-7),30)),"")</f>
        <v/>
      </c>
      <c r="C107" s="13" t="str">
        <f>IF(B107="","",SUMIFS(입고!$F$8:$F$1013,입고!$C$8:$C$1013,마스터!$M$8,입고!$E$8:$E$1013,B107))</f>
        <v/>
      </c>
      <c r="D107" s="13" t="str">
        <f>IF(B107="","",SUMIFS(출고!$F$8:$F$1013,출고!$C$8:$C$1013,마스터!$M$8,출고!$E$8:$E$1013,B107))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2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CONCATENATE("[06] ", 마스터!D9, "  |  ", 마스터!F9)</f>
        <v>[06] 세라믹울 96K 수입  |  25T × 150W × 7400L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마스터!D9</f>
        <v>세라믹울 96K 수입</v>
      </c>
      <c r="D4" s="1" t="s">
        <v>11</v>
      </c>
      <c r="E4" s="53">
        <f>SUMIFS(입고!$F$8:$F$1013,입고!$C$8:$C$1013,마스터!$M$9)</f>
        <v>40</v>
      </c>
    </row>
    <row r="5" spans="1:9" ht="15" customHeight="1" x14ac:dyDescent="0.25">
      <c r="A5" s="1" t="s">
        <v>7</v>
      </c>
      <c r="B5" s="52" t="str">
        <f>마스터!E9</f>
        <v>251507400</v>
      </c>
      <c r="D5" s="1" t="s">
        <v>12</v>
      </c>
      <c r="E5" s="53">
        <f>SUMIFS(출고!$F$8:$F$1013,출고!$C$8:$C$1013,마스터!$M$9)</f>
        <v>0</v>
      </c>
    </row>
    <row r="6" spans="1:9" ht="23.25" customHeight="1" x14ac:dyDescent="0.25">
      <c r="A6" s="1" t="s">
        <v>26</v>
      </c>
      <c r="B6" s="52" t="str">
        <f>마스터!F9</f>
        <v>25T × 150W × 7400L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마스터!M9</f>
        <v>96K수입 25T × 150W × 7400L</v>
      </c>
      <c r="D7" s="1" t="s">
        <v>13</v>
      </c>
      <c r="E7" s="54">
        <f>마스터!$K$9+E4-E5</f>
        <v>40</v>
      </c>
    </row>
    <row r="8" spans="1:9" ht="15" customHeight="1" x14ac:dyDescent="0.25">
      <c r="A8" s="1" t="s">
        <v>10</v>
      </c>
      <c r="B8" s="53">
        <f>마스터!K9</f>
        <v>0</v>
      </c>
      <c r="D8" s="1" t="s">
        <v>123</v>
      </c>
      <c r="E8" s="55">
        <f t="array" ref="E8">IFERROR(MAX(MAX(IF(입고!$C$8:$C$1013=마스터!$M$9,입고!$B$8:$B$1013)),MAX(IF(출고!$C$8:$C$1013=마스터!$M$9,출고!$B$8:$B$1013))),"-")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IFERROR(INDEX(입고!$B$8:$B$1013,SMALL(IF(입고!$C$8:$C$1013=마스터!$M$9,ROW(입고!$C$8:$C$1013)-7),1)),"")</f>
        <v>46056</v>
      </c>
      <c r="C12" s="6" t="str">
        <f t="array" ref="C12">IFERROR(INDEX(입고!$E$8:$E$1013,SMALL(IF(입고!$C$8:$C$1013=마스터!$M$9,ROW(입고!$C$8:$C$1013)-7),1)),"")</f>
        <v>260203CW003</v>
      </c>
      <c r="D12" s="8">
        <f t="array" ref="D12">IFERROR(INDEX(입고!$F$8:$F$1013,SMALL(IF(입고!$C$8:$C$1013=마스터!$M$9,ROW(입고!$C$8:$C$1013)-7),1)),"")</f>
        <v>40</v>
      </c>
      <c r="E12" s="46" t="str">
        <f t="array" ref="E12">IFERROR(INDEX(입고!$H$8:$H$1013,SMALL(IF(입고!$C$8:$C$1013=마스터!$M$9,ROW(입고!$C$8:$C$1013)-7),1)),"")</f>
        <v>(초기재고)</v>
      </c>
      <c r="F12" s="46" t="str">
        <f t="array" ref="F12">IFERROR(INDEX(입고!$I$8:$I$1013,SMALL(IF(입고!$C$8:$C$1013=마스터!$M$9,ROW(입고!$C$8:$C$1013)-7),1)),"")</f>
        <v>2026-02-12 기준</v>
      </c>
      <c r="G12" s="57">
        <f>IF(B12="","",IFERROR(D12,0))</f>
        <v>40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IFERROR(INDEX(입고!$B$8:$B$1013,SMALL(IF(입고!$C$8:$C$1013=마스터!$M$9,ROW(입고!$C$8:$C$1013)-7),2)),"")</f>
        <v/>
      </c>
      <c r="C13" s="11" t="str">
        <f t="array" ref="C13">IFERROR(INDEX(입고!$E$8:$E$1013,SMALL(IF(입고!$C$8:$C$1013=마스터!$M$9,ROW(입고!$C$8:$C$1013)-7),2)),"")</f>
        <v/>
      </c>
      <c r="D13" s="13" t="str">
        <f t="array" ref="D13">IFERROR(INDEX(입고!$F$8:$F$1013,SMALL(IF(입고!$C$8:$C$1013=마스터!$M$9,ROW(입고!$C$8:$C$1013)-7),2)),"")</f>
        <v/>
      </c>
      <c r="E13" s="50" t="str">
        <f t="array" ref="E13">IFERROR(INDEX(입고!$H$8:$H$1013,SMALL(IF(입고!$C$8:$C$1013=마스터!$M$9,ROW(입고!$C$8:$C$1013)-7),2)),"")</f>
        <v/>
      </c>
      <c r="F13" s="50" t="str">
        <f t="array" ref="F13">IFERROR(INDEX(입고!$I$8:$I$1013,SMALL(IF(입고!$C$8:$C$1013=마스터!$M$9,ROW(입고!$C$8:$C$1013)-7),2)),"")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IFERROR(INDEX(입고!$B$8:$B$1013,SMALL(IF(입고!$C$8:$C$1013=마스터!$M$9,ROW(입고!$C$8:$C$1013)-7),3)),"")</f>
        <v/>
      </c>
      <c r="C14" s="6" t="str">
        <f t="array" ref="C14">IFERROR(INDEX(입고!$E$8:$E$1013,SMALL(IF(입고!$C$8:$C$1013=마스터!$M$9,ROW(입고!$C$8:$C$1013)-7),3)),"")</f>
        <v/>
      </c>
      <c r="D14" s="8" t="str">
        <f t="array" ref="D14">IFERROR(INDEX(입고!$F$8:$F$1013,SMALL(IF(입고!$C$8:$C$1013=마스터!$M$9,ROW(입고!$C$8:$C$1013)-7),3)),"")</f>
        <v/>
      </c>
      <c r="E14" s="46" t="str">
        <f t="array" ref="E14">IFERROR(INDEX(입고!$H$8:$H$1013,SMALL(IF(입고!$C$8:$C$1013=마스터!$M$9,ROW(입고!$C$8:$C$1013)-7),3)),"")</f>
        <v/>
      </c>
      <c r="F14" s="46" t="str">
        <f t="array" ref="F14">IFERROR(INDEX(입고!$I$8:$I$1013,SMALL(IF(입고!$C$8:$C$1013=마스터!$M$9,ROW(입고!$C$8:$C$1013)-7),3)),"")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IFERROR(INDEX(입고!$B$8:$B$1013,SMALL(IF(입고!$C$8:$C$1013=마스터!$M$9,ROW(입고!$C$8:$C$1013)-7),4)),"")</f>
        <v/>
      </c>
      <c r="C15" s="11" t="str">
        <f t="array" ref="C15">IFERROR(INDEX(입고!$E$8:$E$1013,SMALL(IF(입고!$C$8:$C$1013=마스터!$M$9,ROW(입고!$C$8:$C$1013)-7),4)),"")</f>
        <v/>
      </c>
      <c r="D15" s="13" t="str">
        <f t="array" ref="D15">IFERROR(INDEX(입고!$F$8:$F$1013,SMALL(IF(입고!$C$8:$C$1013=마스터!$M$9,ROW(입고!$C$8:$C$1013)-7),4)),"")</f>
        <v/>
      </c>
      <c r="E15" s="50" t="str">
        <f t="array" ref="E15">IFERROR(INDEX(입고!$H$8:$H$1013,SMALL(IF(입고!$C$8:$C$1013=마스터!$M$9,ROW(입고!$C$8:$C$1013)-7),4)),"")</f>
        <v/>
      </c>
      <c r="F15" s="50" t="str">
        <f t="array" ref="F15">IFERROR(INDEX(입고!$I$8:$I$1013,SMALL(IF(입고!$C$8:$C$1013=마스터!$M$9,ROW(입고!$C$8:$C$1013)-7),4)),"")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IFERROR(INDEX(입고!$B$8:$B$1013,SMALL(IF(입고!$C$8:$C$1013=마스터!$M$9,ROW(입고!$C$8:$C$1013)-7),5)),"")</f>
        <v/>
      </c>
      <c r="C16" s="6" t="str">
        <f t="array" ref="C16">IFERROR(INDEX(입고!$E$8:$E$1013,SMALL(IF(입고!$C$8:$C$1013=마스터!$M$9,ROW(입고!$C$8:$C$1013)-7),5)),"")</f>
        <v/>
      </c>
      <c r="D16" s="8" t="str">
        <f t="array" ref="D16">IFERROR(INDEX(입고!$F$8:$F$1013,SMALL(IF(입고!$C$8:$C$1013=마스터!$M$9,ROW(입고!$C$8:$C$1013)-7),5)),"")</f>
        <v/>
      </c>
      <c r="E16" s="46" t="str">
        <f t="array" ref="E16">IFERROR(INDEX(입고!$H$8:$H$1013,SMALL(IF(입고!$C$8:$C$1013=마스터!$M$9,ROW(입고!$C$8:$C$1013)-7),5)),"")</f>
        <v/>
      </c>
      <c r="F16" s="46" t="str">
        <f t="array" ref="F16">IFERROR(INDEX(입고!$I$8:$I$1013,SMALL(IF(입고!$C$8:$C$1013=마스터!$M$9,ROW(입고!$C$8:$C$1013)-7),5)),"")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IFERROR(INDEX(입고!$B$8:$B$1013,SMALL(IF(입고!$C$8:$C$1013=마스터!$M$9,ROW(입고!$C$8:$C$1013)-7),6)),"")</f>
        <v/>
      </c>
      <c r="C17" s="11" t="str">
        <f t="array" ref="C17">IFERROR(INDEX(입고!$E$8:$E$1013,SMALL(IF(입고!$C$8:$C$1013=마스터!$M$9,ROW(입고!$C$8:$C$1013)-7),6)),"")</f>
        <v/>
      </c>
      <c r="D17" s="13" t="str">
        <f t="array" ref="D17">IFERROR(INDEX(입고!$F$8:$F$1013,SMALL(IF(입고!$C$8:$C$1013=마스터!$M$9,ROW(입고!$C$8:$C$1013)-7),6)),"")</f>
        <v/>
      </c>
      <c r="E17" s="50" t="str">
        <f t="array" ref="E17">IFERROR(INDEX(입고!$H$8:$H$1013,SMALL(IF(입고!$C$8:$C$1013=마스터!$M$9,ROW(입고!$C$8:$C$1013)-7),6)),"")</f>
        <v/>
      </c>
      <c r="F17" s="50" t="str">
        <f t="array" ref="F17">IFERROR(INDEX(입고!$I$8:$I$1013,SMALL(IF(입고!$C$8:$C$1013=마스터!$M$9,ROW(입고!$C$8:$C$1013)-7),6)),"")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IFERROR(INDEX(입고!$B$8:$B$1013,SMALL(IF(입고!$C$8:$C$1013=마스터!$M$9,ROW(입고!$C$8:$C$1013)-7),7)),"")</f>
        <v/>
      </c>
      <c r="C18" s="6" t="str">
        <f t="array" ref="C18">IFERROR(INDEX(입고!$E$8:$E$1013,SMALL(IF(입고!$C$8:$C$1013=마스터!$M$9,ROW(입고!$C$8:$C$1013)-7),7)),"")</f>
        <v/>
      </c>
      <c r="D18" s="8" t="str">
        <f t="array" ref="D18">IFERROR(INDEX(입고!$F$8:$F$1013,SMALL(IF(입고!$C$8:$C$1013=마스터!$M$9,ROW(입고!$C$8:$C$1013)-7),7)),"")</f>
        <v/>
      </c>
      <c r="E18" s="46" t="str">
        <f t="array" ref="E18">IFERROR(INDEX(입고!$H$8:$H$1013,SMALL(IF(입고!$C$8:$C$1013=마스터!$M$9,ROW(입고!$C$8:$C$1013)-7),7)),"")</f>
        <v/>
      </c>
      <c r="F18" s="46" t="str">
        <f t="array" ref="F18">IFERROR(INDEX(입고!$I$8:$I$1013,SMALL(IF(입고!$C$8:$C$1013=마스터!$M$9,ROW(입고!$C$8:$C$1013)-7),7)),"")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IFERROR(INDEX(입고!$B$8:$B$1013,SMALL(IF(입고!$C$8:$C$1013=마스터!$M$9,ROW(입고!$C$8:$C$1013)-7),8)),"")</f>
        <v/>
      </c>
      <c r="C19" s="11" t="str">
        <f t="array" ref="C19">IFERROR(INDEX(입고!$E$8:$E$1013,SMALL(IF(입고!$C$8:$C$1013=마스터!$M$9,ROW(입고!$C$8:$C$1013)-7),8)),"")</f>
        <v/>
      </c>
      <c r="D19" s="13" t="str">
        <f t="array" ref="D19">IFERROR(INDEX(입고!$F$8:$F$1013,SMALL(IF(입고!$C$8:$C$1013=마스터!$M$9,ROW(입고!$C$8:$C$1013)-7),8)),"")</f>
        <v/>
      </c>
      <c r="E19" s="50" t="str">
        <f t="array" ref="E19">IFERROR(INDEX(입고!$H$8:$H$1013,SMALL(IF(입고!$C$8:$C$1013=마스터!$M$9,ROW(입고!$C$8:$C$1013)-7),8)),"")</f>
        <v/>
      </c>
      <c r="F19" s="50" t="str">
        <f t="array" ref="F19">IFERROR(INDEX(입고!$I$8:$I$1013,SMALL(IF(입고!$C$8:$C$1013=마스터!$M$9,ROW(입고!$C$8:$C$1013)-7),8)),"")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IFERROR(INDEX(입고!$B$8:$B$1013,SMALL(IF(입고!$C$8:$C$1013=마스터!$M$9,ROW(입고!$C$8:$C$1013)-7),9)),"")</f>
        <v/>
      </c>
      <c r="C20" s="6" t="str">
        <f t="array" ref="C20">IFERROR(INDEX(입고!$E$8:$E$1013,SMALL(IF(입고!$C$8:$C$1013=마스터!$M$9,ROW(입고!$C$8:$C$1013)-7),9)),"")</f>
        <v/>
      </c>
      <c r="D20" s="8" t="str">
        <f t="array" ref="D20">IFERROR(INDEX(입고!$F$8:$F$1013,SMALL(IF(입고!$C$8:$C$1013=마스터!$M$9,ROW(입고!$C$8:$C$1013)-7),9)),"")</f>
        <v/>
      </c>
      <c r="E20" s="46" t="str">
        <f t="array" ref="E20">IFERROR(INDEX(입고!$H$8:$H$1013,SMALL(IF(입고!$C$8:$C$1013=마스터!$M$9,ROW(입고!$C$8:$C$1013)-7),9)),"")</f>
        <v/>
      </c>
      <c r="F20" s="46" t="str">
        <f t="array" ref="F20">IFERROR(INDEX(입고!$I$8:$I$1013,SMALL(IF(입고!$C$8:$C$1013=마스터!$M$9,ROW(입고!$C$8:$C$1013)-7),9)),"")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IFERROR(INDEX(입고!$B$8:$B$1013,SMALL(IF(입고!$C$8:$C$1013=마스터!$M$9,ROW(입고!$C$8:$C$1013)-7),10)),"")</f>
        <v/>
      </c>
      <c r="C21" s="11" t="str">
        <f t="array" ref="C21">IFERROR(INDEX(입고!$E$8:$E$1013,SMALL(IF(입고!$C$8:$C$1013=마스터!$M$9,ROW(입고!$C$8:$C$1013)-7),10)),"")</f>
        <v/>
      </c>
      <c r="D21" s="13" t="str">
        <f t="array" ref="D21">IFERROR(INDEX(입고!$F$8:$F$1013,SMALL(IF(입고!$C$8:$C$1013=마스터!$M$9,ROW(입고!$C$8:$C$1013)-7),10)),"")</f>
        <v/>
      </c>
      <c r="E21" s="50" t="str">
        <f t="array" ref="E21">IFERROR(INDEX(입고!$H$8:$H$1013,SMALL(IF(입고!$C$8:$C$1013=마스터!$M$9,ROW(입고!$C$8:$C$1013)-7),10)),"")</f>
        <v/>
      </c>
      <c r="F21" s="50" t="str">
        <f t="array" ref="F21">IFERROR(INDEX(입고!$I$8:$I$1013,SMALL(IF(입고!$C$8:$C$1013=마스터!$M$9,ROW(입고!$C$8:$C$1013)-7),10)),"")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IFERROR(INDEX(입고!$B$8:$B$1013,SMALL(IF(입고!$C$8:$C$1013=마스터!$M$9,ROW(입고!$C$8:$C$1013)-7),11)),"")</f>
        <v/>
      </c>
      <c r="C22" s="6" t="str">
        <f t="array" ref="C22">IFERROR(INDEX(입고!$E$8:$E$1013,SMALL(IF(입고!$C$8:$C$1013=마스터!$M$9,ROW(입고!$C$8:$C$1013)-7),11)),"")</f>
        <v/>
      </c>
      <c r="D22" s="8" t="str">
        <f t="array" ref="D22">IFERROR(INDEX(입고!$F$8:$F$1013,SMALL(IF(입고!$C$8:$C$1013=마스터!$M$9,ROW(입고!$C$8:$C$1013)-7),11)),"")</f>
        <v/>
      </c>
      <c r="E22" s="46" t="str">
        <f t="array" ref="E22">IFERROR(INDEX(입고!$H$8:$H$1013,SMALL(IF(입고!$C$8:$C$1013=마스터!$M$9,ROW(입고!$C$8:$C$1013)-7),11)),"")</f>
        <v/>
      </c>
      <c r="F22" s="46" t="str">
        <f t="array" ref="F22">IFERROR(INDEX(입고!$I$8:$I$1013,SMALL(IF(입고!$C$8:$C$1013=마스터!$M$9,ROW(입고!$C$8:$C$1013)-7),11)),"")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IFERROR(INDEX(입고!$B$8:$B$1013,SMALL(IF(입고!$C$8:$C$1013=마스터!$M$9,ROW(입고!$C$8:$C$1013)-7),12)),"")</f>
        <v/>
      </c>
      <c r="C23" s="11" t="str">
        <f t="array" ref="C23">IFERROR(INDEX(입고!$E$8:$E$1013,SMALL(IF(입고!$C$8:$C$1013=마스터!$M$9,ROW(입고!$C$8:$C$1013)-7),12)),"")</f>
        <v/>
      </c>
      <c r="D23" s="13" t="str">
        <f t="array" ref="D23">IFERROR(INDEX(입고!$F$8:$F$1013,SMALL(IF(입고!$C$8:$C$1013=마스터!$M$9,ROW(입고!$C$8:$C$1013)-7),12)),"")</f>
        <v/>
      </c>
      <c r="E23" s="50" t="str">
        <f t="array" ref="E23">IFERROR(INDEX(입고!$H$8:$H$1013,SMALL(IF(입고!$C$8:$C$1013=마스터!$M$9,ROW(입고!$C$8:$C$1013)-7),12)),"")</f>
        <v/>
      </c>
      <c r="F23" s="50" t="str">
        <f t="array" ref="F23">IFERROR(INDEX(입고!$I$8:$I$1013,SMALL(IF(입고!$C$8:$C$1013=마스터!$M$9,ROW(입고!$C$8:$C$1013)-7),12)),"")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IFERROR(INDEX(입고!$B$8:$B$1013,SMALL(IF(입고!$C$8:$C$1013=마스터!$M$9,ROW(입고!$C$8:$C$1013)-7),13)),"")</f>
        <v/>
      </c>
      <c r="C24" s="6" t="str">
        <f t="array" ref="C24">IFERROR(INDEX(입고!$E$8:$E$1013,SMALL(IF(입고!$C$8:$C$1013=마스터!$M$9,ROW(입고!$C$8:$C$1013)-7),13)),"")</f>
        <v/>
      </c>
      <c r="D24" s="8" t="str">
        <f t="array" ref="D24">IFERROR(INDEX(입고!$F$8:$F$1013,SMALL(IF(입고!$C$8:$C$1013=마스터!$M$9,ROW(입고!$C$8:$C$1013)-7),13)),"")</f>
        <v/>
      </c>
      <c r="E24" s="46" t="str">
        <f t="array" ref="E24">IFERROR(INDEX(입고!$H$8:$H$1013,SMALL(IF(입고!$C$8:$C$1013=마스터!$M$9,ROW(입고!$C$8:$C$1013)-7),13)),"")</f>
        <v/>
      </c>
      <c r="F24" s="46" t="str">
        <f t="array" ref="F24">IFERROR(INDEX(입고!$I$8:$I$1013,SMALL(IF(입고!$C$8:$C$1013=마스터!$M$9,ROW(입고!$C$8:$C$1013)-7),13)),"")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IFERROR(INDEX(입고!$B$8:$B$1013,SMALL(IF(입고!$C$8:$C$1013=마스터!$M$9,ROW(입고!$C$8:$C$1013)-7),14)),"")</f>
        <v/>
      </c>
      <c r="C25" s="11" t="str">
        <f t="array" ref="C25">IFERROR(INDEX(입고!$E$8:$E$1013,SMALL(IF(입고!$C$8:$C$1013=마스터!$M$9,ROW(입고!$C$8:$C$1013)-7),14)),"")</f>
        <v/>
      </c>
      <c r="D25" s="13" t="str">
        <f t="array" ref="D25">IFERROR(INDEX(입고!$F$8:$F$1013,SMALL(IF(입고!$C$8:$C$1013=마스터!$M$9,ROW(입고!$C$8:$C$1013)-7),14)),"")</f>
        <v/>
      </c>
      <c r="E25" s="50" t="str">
        <f t="array" ref="E25">IFERROR(INDEX(입고!$H$8:$H$1013,SMALL(IF(입고!$C$8:$C$1013=마스터!$M$9,ROW(입고!$C$8:$C$1013)-7),14)),"")</f>
        <v/>
      </c>
      <c r="F25" s="50" t="str">
        <f t="array" ref="F25">IFERROR(INDEX(입고!$I$8:$I$1013,SMALL(IF(입고!$C$8:$C$1013=마스터!$M$9,ROW(입고!$C$8:$C$1013)-7),14)),"")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IFERROR(INDEX(입고!$B$8:$B$1013,SMALL(IF(입고!$C$8:$C$1013=마스터!$M$9,ROW(입고!$C$8:$C$1013)-7),15)),"")</f>
        <v/>
      </c>
      <c r="C26" s="6" t="str">
        <f t="array" ref="C26">IFERROR(INDEX(입고!$E$8:$E$1013,SMALL(IF(입고!$C$8:$C$1013=마스터!$M$9,ROW(입고!$C$8:$C$1013)-7),15)),"")</f>
        <v/>
      </c>
      <c r="D26" s="8" t="str">
        <f t="array" ref="D26">IFERROR(INDEX(입고!$F$8:$F$1013,SMALL(IF(입고!$C$8:$C$1013=마스터!$M$9,ROW(입고!$C$8:$C$1013)-7),15)),"")</f>
        <v/>
      </c>
      <c r="E26" s="46" t="str">
        <f t="array" ref="E26">IFERROR(INDEX(입고!$H$8:$H$1013,SMALL(IF(입고!$C$8:$C$1013=마스터!$M$9,ROW(입고!$C$8:$C$1013)-7),15)),"")</f>
        <v/>
      </c>
      <c r="F26" s="46" t="str">
        <f t="array" ref="F26">IFERROR(INDEX(입고!$I$8:$I$1013,SMALL(IF(입고!$C$8:$C$1013=마스터!$M$9,ROW(입고!$C$8:$C$1013)-7),15)),"")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IFERROR(INDEX(입고!$B$8:$B$1013,SMALL(IF(입고!$C$8:$C$1013=마스터!$M$9,ROW(입고!$C$8:$C$1013)-7),16)),"")</f>
        <v/>
      </c>
      <c r="C27" s="11" t="str">
        <f t="array" ref="C27">IFERROR(INDEX(입고!$E$8:$E$1013,SMALL(IF(입고!$C$8:$C$1013=마스터!$M$9,ROW(입고!$C$8:$C$1013)-7),16)),"")</f>
        <v/>
      </c>
      <c r="D27" s="13" t="str">
        <f t="array" ref="D27">IFERROR(INDEX(입고!$F$8:$F$1013,SMALL(IF(입고!$C$8:$C$1013=마스터!$M$9,ROW(입고!$C$8:$C$1013)-7),16)),"")</f>
        <v/>
      </c>
      <c r="E27" s="50" t="str">
        <f t="array" ref="E27">IFERROR(INDEX(입고!$H$8:$H$1013,SMALL(IF(입고!$C$8:$C$1013=마스터!$M$9,ROW(입고!$C$8:$C$1013)-7),16)),"")</f>
        <v/>
      </c>
      <c r="F27" s="50" t="str">
        <f t="array" ref="F27">IFERROR(INDEX(입고!$I$8:$I$1013,SMALL(IF(입고!$C$8:$C$1013=마스터!$M$9,ROW(입고!$C$8:$C$1013)-7),16)),"")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IFERROR(INDEX(입고!$B$8:$B$1013,SMALL(IF(입고!$C$8:$C$1013=마스터!$M$9,ROW(입고!$C$8:$C$1013)-7),17)),"")</f>
        <v/>
      </c>
      <c r="C28" s="6" t="str">
        <f t="array" ref="C28">IFERROR(INDEX(입고!$E$8:$E$1013,SMALL(IF(입고!$C$8:$C$1013=마스터!$M$9,ROW(입고!$C$8:$C$1013)-7),17)),"")</f>
        <v/>
      </c>
      <c r="D28" s="8" t="str">
        <f t="array" ref="D28">IFERROR(INDEX(입고!$F$8:$F$1013,SMALL(IF(입고!$C$8:$C$1013=마스터!$M$9,ROW(입고!$C$8:$C$1013)-7),17)),"")</f>
        <v/>
      </c>
      <c r="E28" s="46" t="str">
        <f t="array" ref="E28">IFERROR(INDEX(입고!$H$8:$H$1013,SMALL(IF(입고!$C$8:$C$1013=마스터!$M$9,ROW(입고!$C$8:$C$1013)-7),17)),"")</f>
        <v/>
      </c>
      <c r="F28" s="46" t="str">
        <f t="array" ref="F28">IFERROR(INDEX(입고!$I$8:$I$1013,SMALL(IF(입고!$C$8:$C$1013=마스터!$M$9,ROW(입고!$C$8:$C$1013)-7),17)),"")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IFERROR(INDEX(입고!$B$8:$B$1013,SMALL(IF(입고!$C$8:$C$1013=마스터!$M$9,ROW(입고!$C$8:$C$1013)-7),18)),"")</f>
        <v/>
      </c>
      <c r="C29" s="11" t="str">
        <f t="array" ref="C29">IFERROR(INDEX(입고!$E$8:$E$1013,SMALL(IF(입고!$C$8:$C$1013=마스터!$M$9,ROW(입고!$C$8:$C$1013)-7),18)),"")</f>
        <v/>
      </c>
      <c r="D29" s="13" t="str">
        <f t="array" ref="D29">IFERROR(INDEX(입고!$F$8:$F$1013,SMALL(IF(입고!$C$8:$C$1013=마스터!$M$9,ROW(입고!$C$8:$C$1013)-7),18)),"")</f>
        <v/>
      </c>
      <c r="E29" s="50" t="str">
        <f t="array" ref="E29">IFERROR(INDEX(입고!$H$8:$H$1013,SMALL(IF(입고!$C$8:$C$1013=마스터!$M$9,ROW(입고!$C$8:$C$1013)-7),18)),"")</f>
        <v/>
      </c>
      <c r="F29" s="50" t="str">
        <f t="array" ref="F29">IFERROR(INDEX(입고!$I$8:$I$1013,SMALL(IF(입고!$C$8:$C$1013=마스터!$M$9,ROW(입고!$C$8:$C$1013)-7),18)),"")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IFERROR(INDEX(입고!$B$8:$B$1013,SMALL(IF(입고!$C$8:$C$1013=마스터!$M$9,ROW(입고!$C$8:$C$1013)-7),19)),"")</f>
        <v/>
      </c>
      <c r="C30" s="6" t="str">
        <f t="array" ref="C30">IFERROR(INDEX(입고!$E$8:$E$1013,SMALL(IF(입고!$C$8:$C$1013=마스터!$M$9,ROW(입고!$C$8:$C$1013)-7),19)),"")</f>
        <v/>
      </c>
      <c r="D30" s="8" t="str">
        <f t="array" ref="D30">IFERROR(INDEX(입고!$F$8:$F$1013,SMALL(IF(입고!$C$8:$C$1013=마스터!$M$9,ROW(입고!$C$8:$C$1013)-7),19)),"")</f>
        <v/>
      </c>
      <c r="E30" s="46" t="str">
        <f t="array" ref="E30">IFERROR(INDEX(입고!$H$8:$H$1013,SMALL(IF(입고!$C$8:$C$1013=마스터!$M$9,ROW(입고!$C$8:$C$1013)-7),19)),"")</f>
        <v/>
      </c>
      <c r="F30" s="46" t="str">
        <f t="array" ref="F30">IFERROR(INDEX(입고!$I$8:$I$1013,SMALL(IF(입고!$C$8:$C$1013=마스터!$M$9,ROW(입고!$C$8:$C$1013)-7),19)),"")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IFERROR(INDEX(입고!$B$8:$B$1013,SMALL(IF(입고!$C$8:$C$1013=마스터!$M$9,ROW(입고!$C$8:$C$1013)-7),20)),"")</f>
        <v/>
      </c>
      <c r="C31" s="11" t="str">
        <f t="array" ref="C31">IFERROR(INDEX(입고!$E$8:$E$1013,SMALL(IF(입고!$C$8:$C$1013=마스터!$M$9,ROW(입고!$C$8:$C$1013)-7),20)),"")</f>
        <v/>
      </c>
      <c r="D31" s="13" t="str">
        <f t="array" ref="D31">IFERROR(INDEX(입고!$F$8:$F$1013,SMALL(IF(입고!$C$8:$C$1013=마스터!$M$9,ROW(입고!$C$8:$C$1013)-7),20)),"")</f>
        <v/>
      </c>
      <c r="E31" s="50" t="str">
        <f t="array" ref="E31">IFERROR(INDEX(입고!$H$8:$H$1013,SMALL(IF(입고!$C$8:$C$1013=마스터!$M$9,ROW(입고!$C$8:$C$1013)-7),20)),"")</f>
        <v/>
      </c>
      <c r="F31" s="50" t="str">
        <f t="array" ref="F31">IFERROR(INDEX(입고!$I$8:$I$1013,SMALL(IF(입고!$C$8:$C$1013=마스터!$M$9,ROW(입고!$C$8:$C$1013)-7),20)),"")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IFERROR(INDEX(입고!$B$8:$B$1013,SMALL(IF(입고!$C$8:$C$1013=마스터!$M$9,ROW(입고!$C$8:$C$1013)-7),21)),"")</f>
        <v/>
      </c>
      <c r="C32" s="6" t="str">
        <f t="array" ref="C32">IFERROR(INDEX(입고!$E$8:$E$1013,SMALL(IF(입고!$C$8:$C$1013=마스터!$M$9,ROW(입고!$C$8:$C$1013)-7),21)),"")</f>
        <v/>
      </c>
      <c r="D32" s="8" t="str">
        <f t="array" ref="D32">IFERROR(INDEX(입고!$F$8:$F$1013,SMALL(IF(입고!$C$8:$C$1013=마스터!$M$9,ROW(입고!$C$8:$C$1013)-7),21)),"")</f>
        <v/>
      </c>
      <c r="E32" s="46" t="str">
        <f t="array" ref="E32">IFERROR(INDEX(입고!$H$8:$H$1013,SMALL(IF(입고!$C$8:$C$1013=마스터!$M$9,ROW(입고!$C$8:$C$1013)-7),21)),"")</f>
        <v/>
      </c>
      <c r="F32" s="46" t="str">
        <f t="array" ref="F32">IFERROR(INDEX(입고!$I$8:$I$1013,SMALL(IF(입고!$C$8:$C$1013=마스터!$M$9,ROW(입고!$C$8:$C$1013)-7),21)),"")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IFERROR(INDEX(입고!$B$8:$B$1013,SMALL(IF(입고!$C$8:$C$1013=마스터!$M$9,ROW(입고!$C$8:$C$1013)-7),22)),"")</f>
        <v/>
      </c>
      <c r="C33" s="11" t="str">
        <f t="array" ref="C33">IFERROR(INDEX(입고!$E$8:$E$1013,SMALL(IF(입고!$C$8:$C$1013=마스터!$M$9,ROW(입고!$C$8:$C$1013)-7),22)),"")</f>
        <v/>
      </c>
      <c r="D33" s="13" t="str">
        <f t="array" ref="D33">IFERROR(INDEX(입고!$F$8:$F$1013,SMALL(IF(입고!$C$8:$C$1013=마스터!$M$9,ROW(입고!$C$8:$C$1013)-7),22)),"")</f>
        <v/>
      </c>
      <c r="E33" s="50" t="str">
        <f t="array" ref="E33">IFERROR(INDEX(입고!$H$8:$H$1013,SMALL(IF(입고!$C$8:$C$1013=마스터!$M$9,ROW(입고!$C$8:$C$1013)-7),22)),"")</f>
        <v/>
      </c>
      <c r="F33" s="50" t="str">
        <f t="array" ref="F33">IFERROR(INDEX(입고!$I$8:$I$1013,SMALL(IF(입고!$C$8:$C$1013=마스터!$M$9,ROW(입고!$C$8:$C$1013)-7),22)),"")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IFERROR(INDEX(입고!$B$8:$B$1013,SMALL(IF(입고!$C$8:$C$1013=마스터!$M$9,ROW(입고!$C$8:$C$1013)-7),23)),"")</f>
        <v/>
      </c>
      <c r="C34" s="6" t="str">
        <f t="array" ref="C34">IFERROR(INDEX(입고!$E$8:$E$1013,SMALL(IF(입고!$C$8:$C$1013=마스터!$M$9,ROW(입고!$C$8:$C$1013)-7),23)),"")</f>
        <v/>
      </c>
      <c r="D34" s="8" t="str">
        <f t="array" ref="D34">IFERROR(INDEX(입고!$F$8:$F$1013,SMALL(IF(입고!$C$8:$C$1013=마스터!$M$9,ROW(입고!$C$8:$C$1013)-7),23)),"")</f>
        <v/>
      </c>
      <c r="E34" s="46" t="str">
        <f t="array" ref="E34">IFERROR(INDEX(입고!$H$8:$H$1013,SMALL(IF(입고!$C$8:$C$1013=마스터!$M$9,ROW(입고!$C$8:$C$1013)-7),23)),"")</f>
        <v/>
      </c>
      <c r="F34" s="46" t="str">
        <f t="array" ref="F34">IFERROR(INDEX(입고!$I$8:$I$1013,SMALL(IF(입고!$C$8:$C$1013=마스터!$M$9,ROW(입고!$C$8:$C$1013)-7),23)),"")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IFERROR(INDEX(입고!$B$8:$B$1013,SMALL(IF(입고!$C$8:$C$1013=마스터!$M$9,ROW(입고!$C$8:$C$1013)-7),24)),"")</f>
        <v/>
      </c>
      <c r="C35" s="11" t="str">
        <f t="array" ref="C35">IFERROR(INDEX(입고!$E$8:$E$1013,SMALL(IF(입고!$C$8:$C$1013=마스터!$M$9,ROW(입고!$C$8:$C$1013)-7),24)),"")</f>
        <v/>
      </c>
      <c r="D35" s="13" t="str">
        <f t="array" ref="D35">IFERROR(INDEX(입고!$F$8:$F$1013,SMALL(IF(입고!$C$8:$C$1013=마스터!$M$9,ROW(입고!$C$8:$C$1013)-7),24)),"")</f>
        <v/>
      </c>
      <c r="E35" s="50" t="str">
        <f t="array" ref="E35">IFERROR(INDEX(입고!$H$8:$H$1013,SMALL(IF(입고!$C$8:$C$1013=마스터!$M$9,ROW(입고!$C$8:$C$1013)-7),24)),"")</f>
        <v/>
      </c>
      <c r="F35" s="50" t="str">
        <f t="array" ref="F35">IFERROR(INDEX(입고!$I$8:$I$1013,SMALL(IF(입고!$C$8:$C$1013=마스터!$M$9,ROW(입고!$C$8:$C$1013)-7),24)),"")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IFERROR(INDEX(입고!$B$8:$B$1013,SMALL(IF(입고!$C$8:$C$1013=마스터!$M$9,ROW(입고!$C$8:$C$1013)-7),25)),"")</f>
        <v/>
      </c>
      <c r="C36" s="6" t="str">
        <f t="array" ref="C36">IFERROR(INDEX(입고!$E$8:$E$1013,SMALL(IF(입고!$C$8:$C$1013=마스터!$M$9,ROW(입고!$C$8:$C$1013)-7),25)),"")</f>
        <v/>
      </c>
      <c r="D36" s="8" t="str">
        <f t="array" ref="D36">IFERROR(INDEX(입고!$F$8:$F$1013,SMALL(IF(입고!$C$8:$C$1013=마스터!$M$9,ROW(입고!$C$8:$C$1013)-7),25)),"")</f>
        <v/>
      </c>
      <c r="E36" s="46" t="str">
        <f t="array" ref="E36">IFERROR(INDEX(입고!$H$8:$H$1013,SMALL(IF(입고!$C$8:$C$1013=마스터!$M$9,ROW(입고!$C$8:$C$1013)-7),25)),"")</f>
        <v/>
      </c>
      <c r="F36" s="46" t="str">
        <f t="array" ref="F36">IFERROR(INDEX(입고!$I$8:$I$1013,SMALL(IF(입고!$C$8:$C$1013=마스터!$M$9,ROW(입고!$C$8:$C$1013)-7),25)),"")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IFERROR(INDEX(입고!$B$8:$B$1013,SMALL(IF(입고!$C$8:$C$1013=마스터!$M$9,ROW(입고!$C$8:$C$1013)-7),26)),"")</f>
        <v/>
      </c>
      <c r="C37" s="11" t="str">
        <f t="array" ref="C37">IFERROR(INDEX(입고!$E$8:$E$1013,SMALL(IF(입고!$C$8:$C$1013=마스터!$M$9,ROW(입고!$C$8:$C$1013)-7),26)),"")</f>
        <v/>
      </c>
      <c r="D37" s="13" t="str">
        <f t="array" ref="D37">IFERROR(INDEX(입고!$F$8:$F$1013,SMALL(IF(입고!$C$8:$C$1013=마스터!$M$9,ROW(입고!$C$8:$C$1013)-7),26)),"")</f>
        <v/>
      </c>
      <c r="E37" s="50" t="str">
        <f t="array" ref="E37">IFERROR(INDEX(입고!$H$8:$H$1013,SMALL(IF(입고!$C$8:$C$1013=마스터!$M$9,ROW(입고!$C$8:$C$1013)-7),26)),"")</f>
        <v/>
      </c>
      <c r="F37" s="50" t="str">
        <f t="array" ref="F37">IFERROR(INDEX(입고!$I$8:$I$1013,SMALL(IF(입고!$C$8:$C$1013=마스터!$M$9,ROW(입고!$C$8:$C$1013)-7),26)),"")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IFERROR(INDEX(입고!$B$8:$B$1013,SMALL(IF(입고!$C$8:$C$1013=마스터!$M$9,ROW(입고!$C$8:$C$1013)-7),27)),"")</f>
        <v/>
      </c>
      <c r="C38" s="6" t="str">
        <f t="array" ref="C38">IFERROR(INDEX(입고!$E$8:$E$1013,SMALL(IF(입고!$C$8:$C$1013=마스터!$M$9,ROW(입고!$C$8:$C$1013)-7),27)),"")</f>
        <v/>
      </c>
      <c r="D38" s="8" t="str">
        <f t="array" ref="D38">IFERROR(INDEX(입고!$F$8:$F$1013,SMALL(IF(입고!$C$8:$C$1013=마스터!$M$9,ROW(입고!$C$8:$C$1013)-7),27)),"")</f>
        <v/>
      </c>
      <c r="E38" s="46" t="str">
        <f t="array" ref="E38">IFERROR(INDEX(입고!$H$8:$H$1013,SMALL(IF(입고!$C$8:$C$1013=마스터!$M$9,ROW(입고!$C$8:$C$1013)-7),27)),"")</f>
        <v/>
      </c>
      <c r="F38" s="46" t="str">
        <f t="array" ref="F38">IFERROR(INDEX(입고!$I$8:$I$1013,SMALL(IF(입고!$C$8:$C$1013=마스터!$M$9,ROW(입고!$C$8:$C$1013)-7),27)),"")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IFERROR(INDEX(입고!$B$8:$B$1013,SMALL(IF(입고!$C$8:$C$1013=마스터!$M$9,ROW(입고!$C$8:$C$1013)-7),28)),"")</f>
        <v/>
      </c>
      <c r="C39" s="11" t="str">
        <f t="array" ref="C39">IFERROR(INDEX(입고!$E$8:$E$1013,SMALL(IF(입고!$C$8:$C$1013=마스터!$M$9,ROW(입고!$C$8:$C$1013)-7),28)),"")</f>
        <v/>
      </c>
      <c r="D39" s="13" t="str">
        <f t="array" ref="D39">IFERROR(INDEX(입고!$F$8:$F$1013,SMALL(IF(입고!$C$8:$C$1013=마스터!$M$9,ROW(입고!$C$8:$C$1013)-7),28)),"")</f>
        <v/>
      </c>
      <c r="E39" s="50" t="str">
        <f t="array" ref="E39">IFERROR(INDEX(입고!$H$8:$H$1013,SMALL(IF(입고!$C$8:$C$1013=마스터!$M$9,ROW(입고!$C$8:$C$1013)-7),28)),"")</f>
        <v/>
      </c>
      <c r="F39" s="50" t="str">
        <f t="array" ref="F39">IFERROR(INDEX(입고!$I$8:$I$1013,SMALL(IF(입고!$C$8:$C$1013=마스터!$M$9,ROW(입고!$C$8:$C$1013)-7),28)),"")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IFERROR(INDEX(입고!$B$8:$B$1013,SMALL(IF(입고!$C$8:$C$1013=마스터!$M$9,ROW(입고!$C$8:$C$1013)-7),29)),"")</f>
        <v/>
      </c>
      <c r="C40" s="6" t="str">
        <f t="array" ref="C40">IFERROR(INDEX(입고!$E$8:$E$1013,SMALL(IF(입고!$C$8:$C$1013=마스터!$M$9,ROW(입고!$C$8:$C$1013)-7),29)),"")</f>
        <v/>
      </c>
      <c r="D40" s="8" t="str">
        <f t="array" ref="D40">IFERROR(INDEX(입고!$F$8:$F$1013,SMALL(IF(입고!$C$8:$C$1013=마스터!$M$9,ROW(입고!$C$8:$C$1013)-7),29)),"")</f>
        <v/>
      </c>
      <c r="E40" s="46" t="str">
        <f t="array" ref="E40">IFERROR(INDEX(입고!$H$8:$H$1013,SMALL(IF(입고!$C$8:$C$1013=마스터!$M$9,ROW(입고!$C$8:$C$1013)-7),29)),"")</f>
        <v/>
      </c>
      <c r="F40" s="46" t="str">
        <f t="array" ref="F40">IFERROR(INDEX(입고!$I$8:$I$1013,SMALL(IF(입고!$C$8:$C$1013=마스터!$M$9,ROW(입고!$C$8:$C$1013)-7),29)),"")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IFERROR(INDEX(입고!$B$8:$B$1013,SMALL(IF(입고!$C$8:$C$1013=마스터!$M$9,ROW(입고!$C$8:$C$1013)-7),30)),"")</f>
        <v/>
      </c>
      <c r="C41" s="11" t="str">
        <f t="array" ref="C41">IFERROR(INDEX(입고!$E$8:$E$1013,SMALL(IF(입고!$C$8:$C$1013=마스터!$M$9,ROW(입고!$C$8:$C$1013)-7),30)),"")</f>
        <v/>
      </c>
      <c r="D41" s="13" t="str">
        <f t="array" ref="D41">IFERROR(INDEX(입고!$F$8:$F$1013,SMALL(IF(입고!$C$8:$C$1013=마스터!$M$9,ROW(입고!$C$8:$C$1013)-7),30)),"")</f>
        <v/>
      </c>
      <c r="E41" s="50" t="str">
        <f t="array" ref="E41">IFERROR(INDEX(입고!$H$8:$H$1013,SMALL(IF(입고!$C$8:$C$1013=마스터!$M$9,ROW(입고!$C$8:$C$1013)-7),30)),"")</f>
        <v/>
      </c>
      <c r="F41" s="50" t="str">
        <f t="array" ref="F41">IFERROR(INDEX(입고!$I$8:$I$1013,SMALL(IF(입고!$C$8:$C$1013=마스터!$M$9,ROW(입고!$C$8:$C$1013)-7),30)),"")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IFERROR(INDEX(출고!$B$8:$B$1013,SMALL(IF(출고!$C$8:$C$1013=마스터!$M$9,ROW(출고!$C$8:$C$1013)-7),1)),"")</f>
        <v/>
      </c>
      <c r="C45" s="6" t="str">
        <f t="array" ref="C45">IFERROR(INDEX(출고!$E$8:$E$1013,SMALL(IF(출고!$C$8:$C$1013=마스터!$M$9,ROW(출고!$C$8:$C$1013)-7),1)),"")</f>
        <v/>
      </c>
      <c r="D45" s="8" t="str">
        <f t="array" ref="D45">IFERROR(INDEX(출고!$F$8:$F$1013,SMALL(IF(출고!$C$8:$C$1013=마스터!$M$9,ROW(출고!$C$8:$C$1013)-7),1)),"")</f>
        <v/>
      </c>
      <c r="E45" s="46" t="str">
        <f t="array" ref="E45">IFERROR(INDEX(출고!$H$8:$H$1013,SMALL(IF(출고!$C$8:$C$1013=마스터!$M$9,ROW(출고!$C$8:$C$1013)-7),1)),"")</f>
        <v/>
      </c>
      <c r="F45" s="46" t="str">
        <f t="array" ref="F45">IFERROR(INDEX(출고!$I$8:$I$1013,SMALL(IF(출고!$C$8:$C$1013=마스터!$M$9,ROW(출고!$C$8:$C$1013)-7),1)),"")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IFERROR(INDEX(출고!$B$8:$B$1013,SMALL(IF(출고!$C$8:$C$1013=마스터!$M$9,ROW(출고!$C$8:$C$1013)-7),2)),"")</f>
        <v/>
      </c>
      <c r="C46" s="11" t="str">
        <f t="array" ref="C46">IFERROR(INDEX(출고!$E$8:$E$1013,SMALL(IF(출고!$C$8:$C$1013=마스터!$M$9,ROW(출고!$C$8:$C$1013)-7),2)),"")</f>
        <v/>
      </c>
      <c r="D46" s="13" t="str">
        <f t="array" ref="D46">IFERROR(INDEX(출고!$F$8:$F$1013,SMALL(IF(출고!$C$8:$C$1013=마스터!$M$9,ROW(출고!$C$8:$C$1013)-7),2)),"")</f>
        <v/>
      </c>
      <c r="E46" s="50" t="str">
        <f t="array" ref="E46">IFERROR(INDEX(출고!$H$8:$H$1013,SMALL(IF(출고!$C$8:$C$1013=마스터!$M$9,ROW(출고!$C$8:$C$1013)-7),2)),"")</f>
        <v/>
      </c>
      <c r="F46" s="50" t="str">
        <f t="array" ref="F46">IFERROR(INDEX(출고!$I$8:$I$1013,SMALL(IF(출고!$C$8:$C$1013=마스터!$M$9,ROW(출고!$C$8:$C$1013)-7),2)),"")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IFERROR(INDEX(출고!$B$8:$B$1013,SMALL(IF(출고!$C$8:$C$1013=마스터!$M$9,ROW(출고!$C$8:$C$1013)-7),3)),"")</f>
        <v/>
      </c>
      <c r="C47" s="6" t="str">
        <f t="array" ref="C47">IFERROR(INDEX(출고!$E$8:$E$1013,SMALL(IF(출고!$C$8:$C$1013=마스터!$M$9,ROW(출고!$C$8:$C$1013)-7),3)),"")</f>
        <v/>
      </c>
      <c r="D47" s="8" t="str">
        <f t="array" ref="D47">IFERROR(INDEX(출고!$F$8:$F$1013,SMALL(IF(출고!$C$8:$C$1013=마스터!$M$9,ROW(출고!$C$8:$C$1013)-7),3)),"")</f>
        <v/>
      </c>
      <c r="E47" s="46" t="str">
        <f t="array" ref="E47">IFERROR(INDEX(출고!$H$8:$H$1013,SMALL(IF(출고!$C$8:$C$1013=마스터!$M$9,ROW(출고!$C$8:$C$1013)-7),3)),"")</f>
        <v/>
      </c>
      <c r="F47" s="46" t="str">
        <f t="array" ref="F47">IFERROR(INDEX(출고!$I$8:$I$1013,SMALL(IF(출고!$C$8:$C$1013=마스터!$M$9,ROW(출고!$C$8:$C$1013)-7),3)),"")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IFERROR(INDEX(출고!$B$8:$B$1013,SMALL(IF(출고!$C$8:$C$1013=마스터!$M$9,ROW(출고!$C$8:$C$1013)-7),4)),"")</f>
        <v/>
      </c>
      <c r="C48" s="11" t="str">
        <f t="array" ref="C48">IFERROR(INDEX(출고!$E$8:$E$1013,SMALL(IF(출고!$C$8:$C$1013=마스터!$M$9,ROW(출고!$C$8:$C$1013)-7),4)),"")</f>
        <v/>
      </c>
      <c r="D48" s="13" t="str">
        <f t="array" ref="D48">IFERROR(INDEX(출고!$F$8:$F$1013,SMALL(IF(출고!$C$8:$C$1013=마스터!$M$9,ROW(출고!$C$8:$C$1013)-7),4)),"")</f>
        <v/>
      </c>
      <c r="E48" s="50" t="str">
        <f t="array" ref="E48">IFERROR(INDEX(출고!$H$8:$H$1013,SMALL(IF(출고!$C$8:$C$1013=마스터!$M$9,ROW(출고!$C$8:$C$1013)-7),4)),"")</f>
        <v/>
      </c>
      <c r="F48" s="50" t="str">
        <f t="array" ref="F48">IFERROR(INDEX(출고!$I$8:$I$1013,SMALL(IF(출고!$C$8:$C$1013=마스터!$M$9,ROW(출고!$C$8:$C$1013)-7),4)),"")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IFERROR(INDEX(출고!$B$8:$B$1013,SMALL(IF(출고!$C$8:$C$1013=마스터!$M$9,ROW(출고!$C$8:$C$1013)-7),5)),"")</f>
        <v/>
      </c>
      <c r="C49" s="6" t="str">
        <f t="array" ref="C49">IFERROR(INDEX(출고!$E$8:$E$1013,SMALL(IF(출고!$C$8:$C$1013=마스터!$M$9,ROW(출고!$C$8:$C$1013)-7),5)),"")</f>
        <v/>
      </c>
      <c r="D49" s="8" t="str">
        <f t="array" ref="D49">IFERROR(INDEX(출고!$F$8:$F$1013,SMALL(IF(출고!$C$8:$C$1013=마스터!$M$9,ROW(출고!$C$8:$C$1013)-7),5)),"")</f>
        <v/>
      </c>
      <c r="E49" s="46" t="str">
        <f t="array" ref="E49">IFERROR(INDEX(출고!$H$8:$H$1013,SMALL(IF(출고!$C$8:$C$1013=마스터!$M$9,ROW(출고!$C$8:$C$1013)-7),5)),"")</f>
        <v/>
      </c>
      <c r="F49" s="46" t="str">
        <f t="array" ref="F49">IFERROR(INDEX(출고!$I$8:$I$1013,SMALL(IF(출고!$C$8:$C$1013=마스터!$M$9,ROW(출고!$C$8:$C$1013)-7),5)),"")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IFERROR(INDEX(출고!$B$8:$B$1013,SMALL(IF(출고!$C$8:$C$1013=마스터!$M$9,ROW(출고!$C$8:$C$1013)-7),6)),"")</f>
        <v/>
      </c>
      <c r="C50" s="11" t="str">
        <f t="array" ref="C50">IFERROR(INDEX(출고!$E$8:$E$1013,SMALL(IF(출고!$C$8:$C$1013=마스터!$M$9,ROW(출고!$C$8:$C$1013)-7),6)),"")</f>
        <v/>
      </c>
      <c r="D50" s="13" t="str">
        <f t="array" ref="D50">IFERROR(INDEX(출고!$F$8:$F$1013,SMALL(IF(출고!$C$8:$C$1013=마스터!$M$9,ROW(출고!$C$8:$C$1013)-7),6)),"")</f>
        <v/>
      </c>
      <c r="E50" s="50" t="str">
        <f t="array" ref="E50">IFERROR(INDEX(출고!$H$8:$H$1013,SMALL(IF(출고!$C$8:$C$1013=마스터!$M$9,ROW(출고!$C$8:$C$1013)-7),6)),"")</f>
        <v/>
      </c>
      <c r="F50" s="50" t="str">
        <f t="array" ref="F50">IFERROR(INDEX(출고!$I$8:$I$1013,SMALL(IF(출고!$C$8:$C$1013=마스터!$M$9,ROW(출고!$C$8:$C$1013)-7),6)),"")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IFERROR(INDEX(출고!$B$8:$B$1013,SMALL(IF(출고!$C$8:$C$1013=마스터!$M$9,ROW(출고!$C$8:$C$1013)-7),7)),"")</f>
        <v/>
      </c>
      <c r="C51" s="6" t="str">
        <f t="array" ref="C51">IFERROR(INDEX(출고!$E$8:$E$1013,SMALL(IF(출고!$C$8:$C$1013=마스터!$M$9,ROW(출고!$C$8:$C$1013)-7),7)),"")</f>
        <v/>
      </c>
      <c r="D51" s="8" t="str">
        <f t="array" ref="D51">IFERROR(INDEX(출고!$F$8:$F$1013,SMALL(IF(출고!$C$8:$C$1013=마스터!$M$9,ROW(출고!$C$8:$C$1013)-7),7)),"")</f>
        <v/>
      </c>
      <c r="E51" s="46" t="str">
        <f t="array" ref="E51">IFERROR(INDEX(출고!$H$8:$H$1013,SMALL(IF(출고!$C$8:$C$1013=마스터!$M$9,ROW(출고!$C$8:$C$1013)-7),7)),"")</f>
        <v/>
      </c>
      <c r="F51" s="46" t="str">
        <f t="array" ref="F51">IFERROR(INDEX(출고!$I$8:$I$1013,SMALL(IF(출고!$C$8:$C$1013=마스터!$M$9,ROW(출고!$C$8:$C$1013)-7),7)),"")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IFERROR(INDEX(출고!$B$8:$B$1013,SMALL(IF(출고!$C$8:$C$1013=마스터!$M$9,ROW(출고!$C$8:$C$1013)-7),8)),"")</f>
        <v/>
      </c>
      <c r="C52" s="11" t="str">
        <f t="array" ref="C52">IFERROR(INDEX(출고!$E$8:$E$1013,SMALL(IF(출고!$C$8:$C$1013=마스터!$M$9,ROW(출고!$C$8:$C$1013)-7),8)),"")</f>
        <v/>
      </c>
      <c r="D52" s="13" t="str">
        <f t="array" ref="D52">IFERROR(INDEX(출고!$F$8:$F$1013,SMALL(IF(출고!$C$8:$C$1013=마스터!$M$9,ROW(출고!$C$8:$C$1013)-7),8)),"")</f>
        <v/>
      </c>
      <c r="E52" s="50" t="str">
        <f t="array" ref="E52">IFERROR(INDEX(출고!$H$8:$H$1013,SMALL(IF(출고!$C$8:$C$1013=마스터!$M$9,ROW(출고!$C$8:$C$1013)-7),8)),"")</f>
        <v/>
      </c>
      <c r="F52" s="50" t="str">
        <f t="array" ref="F52">IFERROR(INDEX(출고!$I$8:$I$1013,SMALL(IF(출고!$C$8:$C$1013=마스터!$M$9,ROW(출고!$C$8:$C$1013)-7),8)),"")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IFERROR(INDEX(출고!$B$8:$B$1013,SMALL(IF(출고!$C$8:$C$1013=마스터!$M$9,ROW(출고!$C$8:$C$1013)-7),9)),"")</f>
        <v/>
      </c>
      <c r="C53" s="6" t="str">
        <f t="array" ref="C53">IFERROR(INDEX(출고!$E$8:$E$1013,SMALL(IF(출고!$C$8:$C$1013=마스터!$M$9,ROW(출고!$C$8:$C$1013)-7),9)),"")</f>
        <v/>
      </c>
      <c r="D53" s="8" t="str">
        <f t="array" ref="D53">IFERROR(INDEX(출고!$F$8:$F$1013,SMALL(IF(출고!$C$8:$C$1013=마스터!$M$9,ROW(출고!$C$8:$C$1013)-7),9)),"")</f>
        <v/>
      </c>
      <c r="E53" s="46" t="str">
        <f t="array" ref="E53">IFERROR(INDEX(출고!$H$8:$H$1013,SMALL(IF(출고!$C$8:$C$1013=마스터!$M$9,ROW(출고!$C$8:$C$1013)-7),9)),"")</f>
        <v/>
      </c>
      <c r="F53" s="46" t="str">
        <f t="array" ref="F53">IFERROR(INDEX(출고!$I$8:$I$1013,SMALL(IF(출고!$C$8:$C$1013=마스터!$M$9,ROW(출고!$C$8:$C$1013)-7),9)),"")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IFERROR(INDEX(출고!$B$8:$B$1013,SMALL(IF(출고!$C$8:$C$1013=마스터!$M$9,ROW(출고!$C$8:$C$1013)-7),10)),"")</f>
        <v/>
      </c>
      <c r="C54" s="11" t="str">
        <f t="array" ref="C54">IFERROR(INDEX(출고!$E$8:$E$1013,SMALL(IF(출고!$C$8:$C$1013=마스터!$M$9,ROW(출고!$C$8:$C$1013)-7),10)),"")</f>
        <v/>
      </c>
      <c r="D54" s="13" t="str">
        <f t="array" ref="D54">IFERROR(INDEX(출고!$F$8:$F$1013,SMALL(IF(출고!$C$8:$C$1013=마스터!$M$9,ROW(출고!$C$8:$C$1013)-7),10)),"")</f>
        <v/>
      </c>
      <c r="E54" s="50" t="str">
        <f t="array" ref="E54">IFERROR(INDEX(출고!$H$8:$H$1013,SMALL(IF(출고!$C$8:$C$1013=마스터!$M$9,ROW(출고!$C$8:$C$1013)-7),10)),"")</f>
        <v/>
      </c>
      <c r="F54" s="50" t="str">
        <f t="array" ref="F54">IFERROR(INDEX(출고!$I$8:$I$1013,SMALL(IF(출고!$C$8:$C$1013=마스터!$M$9,ROW(출고!$C$8:$C$1013)-7),10)),"")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IFERROR(INDEX(출고!$B$8:$B$1013,SMALL(IF(출고!$C$8:$C$1013=마스터!$M$9,ROW(출고!$C$8:$C$1013)-7),11)),"")</f>
        <v/>
      </c>
      <c r="C55" s="6" t="str">
        <f t="array" ref="C55">IFERROR(INDEX(출고!$E$8:$E$1013,SMALL(IF(출고!$C$8:$C$1013=마스터!$M$9,ROW(출고!$C$8:$C$1013)-7),11)),"")</f>
        <v/>
      </c>
      <c r="D55" s="8" t="str">
        <f t="array" ref="D55">IFERROR(INDEX(출고!$F$8:$F$1013,SMALL(IF(출고!$C$8:$C$1013=마스터!$M$9,ROW(출고!$C$8:$C$1013)-7),11)),"")</f>
        <v/>
      </c>
      <c r="E55" s="46" t="str">
        <f t="array" ref="E55">IFERROR(INDEX(출고!$H$8:$H$1013,SMALL(IF(출고!$C$8:$C$1013=마스터!$M$9,ROW(출고!$C$8:$C$1013)-7),11)),"")</f>
        <v/>
      </c>
      <c r="F55" s="46" t="str">
        <f t="array" ref="F55">IFERROR(INDEX(출고!$I$8:$I$1013,SMALL(IF(출고!$C$8:$C$1013=마스터!$M$9,ROW(출고!$C$8:$C$1013)-7),11)),"")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IFERROR(INDEX(출고!$B$8:$B$1013,SMALL(IF(출고!$C$8:$C$1013=마스터!$M$9,ROW(출고!$C$8:$C$1013)-7),12)),"")</f>
        <v/>
      </c>
      <c r="C56" s="11" t="str">
        <f t="array" ref="C56">IFERROR(INDEX(출고!$E$8:$E$1013,SMALL(IF(출고!$C$8:$C$1013=마스터!$M$9,ROW(출고!$C$8:$C$1013)-7),12)),"")</f>
        <v/>
      </c>
      <c r="D56" s="13" t="str">
        <f t="array" ref="D56">IFERROR(INDEX(출고!$F$8:$F$1013,SMALL(IF(출고!$C$8:$C$1013=마스터!$M$9,ROW(출고!$C$8:$C$1013)-7),12)),"")</f>
        <v/>
      </c>
      <c r="E56" s="50" t="str">
        <f t="array" ref="E56">IFERROR(INDEX(출고!$H$8:$H$1013,SMALL(IF(출고!$C$8:$C$1013=마스터!$M$9,ROW(출고!$C$8:$C$1013)-7),12)),"")</f>
        <v/>
      </c>
      <c r="F56" s="50" t="str">
        <f t="array" ref="F56">IFERROR(INDEX(출고!$I$8:$I$1013,SMALL(IF(출고!$C$8:$C$1013=마스터!$M$9,ROW(출고!$C$8:$C$1013)-7),12)),"")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IFERROR(INDEX(출고!$B$8:$B$1013,SMALL(IF(출고!$C$8:$C$1013=마스터!$M$9,ROW(출고!$C$8:$C$1013)-7),13)),"")</f>
        <v/>
      </c>
      <c r="C57" s="6" t="str">
        <f t="array" ref="C57">IFERROR(INDEX(출고!$E$8:$E$1013,SMALL(IF(출고!$C$8:$C$1013=마스터!$M$9,ROW(출고!$C$8:$C$1013)-7),13)),"")</f>
        <v/>
      </c>
      <c r="D57" s="8" t="str">
        <f t="array" ref="D57">IFERROR(INDEX(출고!$F$8:$F$1013,SMALL(IF(출고!$C$8:$C$1013=마스터!$M$9,ROW(출고!$C$8:$C$1013)-7),13)),"")</f>
        <v/>
      </c>
      <c r="E57" s="46" t="str">
        <f t="array" ref="E57">IFERROR(INDEX(출고!$H$8:$H$1013,SMALL(IF(출고!$C$8:$C$1013=마스터!$M$9,ROW(출고!$C$8:$C$1013)-7),13)),"")</f>
        <v/>
      </c>
      <c r="F57" s="46" t="str">
        <f t="array" ref="F57">IFERROR(INDEX(출고!$I$8:$I$1013,SMALL(IF(출고!$C$8:$C$1013=마스터!$M$9,ROW(출고!$C$8:$C$1013)-7),13)),"")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IFERROR(INDEX(출고!$B$8:$B$1013,SMALL(IF(출고!$C$8:$C$1013=마스터!$M$9,ROW(출고!$C$8:$C$1013)-7),14)),"")</f>
        <v/>
      </c>
      <c r="C58" s="11" t="str">
        <f t="array" ref="C58">IFERROR(INDEX(출고!$E$8:$E$1013,SMALL(IF(출고!$C$8:$C$1013=마스터!$M$9,ROW(출고!$C$8:$C$1013)-7),14)),"")</f>
        <v/>
      </c>
      <c r="D58" s="13" t="str">
        <f t="array" ref="D58">IFERROR(INDEX(출고!$F$8:$F$1013,SMALL(IF(출고!$C$8:$C$1013=마스터!$M$9,ROW(출고!$C$8:$C$1013)-7),14)),"")</f>
        <v/>
      </c>
      <c r="E58" s="50" t="str">
        <f t="array" ref="E58">IFERROR(INDEX(출고!$H$8:$H$1013,SMALL(IF(출고!$C$8:$C$1013=마스터!$M$9,ROW(출고!$C$8:$C$1013)-7),14)),"")</f>
        <v/>
      </c>
      <c r="F58" s="50" t="str">
        <f t="array" ref="F58">IFERROR(INDEX(출고!$I$8:$I$1013,SMALL(IF(출고!$C$8:$C$1013=마스터!$M$9,ROW(출고!$C$8:$C$1013)-7),14)),"")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IFERROR(INDEX(출고!$B$8:$B$1013,SMALL(IF(출고!$C$8:$C$1013=마스터!$M$9,ROW(출고!$C$8:$C$1013)-7),15)),"")</f>
        <v/>
      </c>
      <c r="C59" s="6" t="str">
        <f t="array" ref="C59">IFERROR(INDEX(출고!$E$8:$E$1013,SMALL(IF(출고!$C$8:$C$1013=마스터!$M$9,ROW(출고!$C$8:$C$1013)-7),15)),"")</f>
        <v/>
      </c>
      <c r="D59" s="8" t="str">
        <f t="array" ref="D59">IFERROR(INDEX(출고!$F$8:$F$1013,SMALL(IF(출고!$C$8:$C$1013=마스터!$M$9,ROW(출고!$C$8:$C$1013)-7),15)),"")</f>
        <v/>
      </c>
      <c r="E59" s="46" t="str">
        <f t="array" ref="E59">IFERROR(INDEX(출고!$H$8:$H$1013,SMALL(IF(출고!$C$8:$C$1013=마스터!$M$9,ROW(출고!$C$8:$C$1013)-7),15)),"")</f>
        <v/>
      </c>
      <c r="F59" s="46" t="str">
        <f t="array" ref="F59">IFERROR(INDEX(출고!$I$8:$I$1013,SMALL(IF(출고!$C$8:$C$1013=마스터!$M$9,ROW(출고!$C$8:$C$1013)-7),15)),"")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IFERROR(INDEX(출고!$B$8:$B$1013,SMALL(IF(출고!$C$8:$C$1013=마스터!$M$9,ROW(출고!$C$8:$C$1013)-7),16)),"")</f>
        <v/>
      </c>
      <c r="C60" s="11" t="str">
        <f t="array" ref="C60">IFERROR(INDEX(출고!$E$8:$E$1013,SMALL(IF(출고!$C$8:$C$1013=마스터!$M$9,ROW(출고!$C$8:$C$1013)-7),16)),"")</f>
        <v/>
      </c>
      <c r="D60" s="13" t="str">
        <f t="array" ref="D60">IFERROR(INDEX(출고!$F$8:$F$1013,SMALL(IF(출고!$C$8:$C$1013=마스터!$M$9,ROW(출고!$C$8:$C$1013)-7),16)),"")</f>
        <v/>
      </c>
      <c r="E60" s="50" t="str">
        <f t="array" ref="E60">IFERROR(INDEX(출고!$H$8:$H$1013,SMALL(IF(출고!$C$8:$C$1013=마스터!$M$9,ROW(출고!$C$8:$C$1013)-7),16)),"")</f>
        <v/>
      </c>
      <c r="F60" s="50" t="str">
        <f t="array" ref="F60">IFERROR(INDEX(출고!$I$8:$I$1013,SMALL(IF(출고!$C$8:$C$1013=마스터!$M$9,ROW(출고!$C$8:$C$1013)-7),16)),"")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IFERROR(INDEX(출고!$B$8:$B$1013,SMALL(IF(출고!$C$8:$C$1013=마스터!$M$9,ROW(출고!$C$8:$C$1013)-7),17)),"")</f>
        <v/>
      </c>
      <c r="C61" s="6" t="str">
        <f t="array" ref="C61">IFERROR(INDEX(출고!$E$8:$E$1013,SMALL(IF(출고!$C$8:$C$1013=마스터!$M$9,ROW(출고!$C$8:$C$1013)-7),17)),"")</f>
        <v/>
      </c>
      <c r="D61" s="8" t="str">
        <f t="array" ref="D61">IFERROR(INDEX(출고!$F$8:$F$1013,SMALL(IF(출고!$C$8:$C$1013=마스터!$M$9,ROW(출고!$C$8:$C$1013)-7),17)),"")</f>
        <v/>
      </c>
      <c r="E61" s="46" t="str">
        <f t="array" ref="E61">IFERROR(INDEX(출고!$H$8:$H$1013,SMALL(IF(출고!$C$8:$C$1013=마스터!$M$9,ROW(출고!$C$8:$C$1013)-7),17)),"")</f>
        <v/>
      </c>
      <c r="F61" s="46" t="str">
        <f t="array" ref="F61">IFERROR(INDEX(출고!$I$8:$I$1013,SMALL(IF(출고!$C$8:$C$1013=마스터!$M$9,ROW(출고!$C$8:$C$1013)-7),17)),"")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IFERROR(INDEX(출고!$B$8:$B$1013,SMALL(IF(출고!$C$8:$C$1013=마스터!$M$9,ROW(출고!$C$8:$C$1013)-7),18)),"")</f>
        <v/>
      </c>
      <c r="C62" s="11" t="str">
        <f t="array" ref="C62">IFERROR(INDEX(출고!$E$8:$E$1013,SMALL(IF(출고!$C$8:$C$1013=마스터!$M$9,ROW(출고!$C$8:$C$1013)-7),18)),"")</f>
        <v/>
      </c>
      <c r="D62" s="13" t="str">
        <f t="array" ref="D62">IFERROR(INDEX(출고!$F$8:$F$1013,SMALL(IF(출고!$C$8:$C$1013=마스터!$M$9,ROW(출고!$C$8:$C$1013)-7),18)),"")</f>
        <v/>
      </c>
      <c r="E62" s="50" t="str">
        <f t="array" ref="E62">IFERROR(INDEX(출고!$H$8:$H$1013,SMALL(IF(출고!$C$8:$C$1013=마스터!$M$9,ROW(출고!$C$8:$C$1013)-7),18)),"")</f>
        <v/>
      </c>
      <c r="F62" s="50" t="str">
        <f t="array" ref="F62">IFERROR(INDEX(출고!$I$8:$I$1013,SMALL(IF(출고!$C$8:$C$1013=마스터!$M$9,ROW(출고!$C$8:$C$1013)-7),18)),"")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IFERROR(INDEX(출고!$B$8:$B$1013,SMALL(IF(출고!$C$8:$C$1013=마스터!$M$9,ROW(출고!$C$8:$C$1013)-7),19)),"")</f>
        <v/>
      </c>
      <c r="C63" s="6" t="str">
        <f t="array" ref="C63">IFERROR(INDEX(출고!$E$8:$E$1013,SMALL(IF(출고!$C$8:$C$1013=마스터!$M$9,ROW(출고!$C$8:$C$1013)-7),19)),"")</f>
        <v/>
      </c>
      <c r="D63" s="8" t="str">
        <f t="array" ref="D63">IFERROR(INDEX(출고!$F$8:$F$1013,SMALL(IF(출고!$C$8:$C$1013=마스터!$M$9,ROW(출고!$C$8:$C$1013)-7),19)),"")</f>
        <v/>
      </c>
      <c r="E63" s="46" t="str">
        <f t="array" ref="E63">IFERROR(INDEX(출고!$H$8:$H$1013,SMALL(IF(출고!$C$8:$C$1013=마스터!$M$9,ROW(출고!$C$8:$C$1013)-7),19)),"")</f>
        <v/>
      </c>
      <c r="F63" s="46" t="str">
        <f t="array" ref="F63">IFERROR(INDEX(출고!$I$8:$I$1013,SMALL(IF(출고!$C$8:$C$1013=마스터!$M$9,ROW(출고!$C$8:$C$1013)-7),19)),"")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IFERROR(INDEX(출고!$B$8:$B$1013,SMALL(IF(출고!$C$8:$C$1013=마스터!$M$9,ROW(출고!$C$8:$C$1013)-7),20)),"")</f>
        <v/>
      </c>
      <c r="C64" s="11" t="str">
        <f t="array" ref="C64">IFERROR(INDEX(출고!$E$8:$E$1013,SMALL(IF(출고!$C$8:$C$1013=마스터!$M$9,ROW(출고!$C$8:$C$1013)-7),20)),"")</f>
        <v/>
      </c>
      <c r="D64" s="13" t="str">
        <f t="array" ref="D64">IFERROR(INDEX(출고!$F$8:$F$1013,SMALL(IF(출고!$C$8:$C$1013=마스터!$M$9,ROW(출고!$C$8:$C$1013)-7),20)),"")</f>
        <v/>
      </c>
      <c r="E64" s="50" t="str">
        <f t="array" ref="E64">IFERROR(INDEX(출고!$H$8:$H$1013,SMALL(IF(출고!$C$8:$C$1013=마스터!$M$9,ROW(출고!$C$8:$C$1013)-7),20)),"")</f>
        <v/>
      </c>
      <c r="F64" s="50" t="str">
        <f t="array" ref="F64">IFERROR(INDEX(출고!$I$8:$I$1013,SMALL(IF(출고!$C$8:$C$1013=마스터!$M$9,ROW(출고!$C$8:$C$1013)-7),20)),"")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IFERROR(INDEX(출고!$B$8:$B$1013,SMALL(IF(출고!$C$8:$C$1013=마스터!$M$9,ROW(출고!$C$8:$C$1013)-7),21)),"")</f>
        <v/>
      </c>
      <c r="C65" s="6" t="str">
        <f t="array" ref="C65">IFERROR(INDEX(출고!$E$8:$E$1013,SMALL(IF(출고!$C$8:$C$1013=마스터!$M$9,ROW(출고!$C$8:$C$1013)-7),21)),"")</f>
        <v/>
      </c>
      <c r="D65" s="8" t="str">
        <f t="array" ref="D65">IFERROR(INDEX(출고!$F$8:$F$1013,SMALL(IF(출고!$C$8:$C$1013=마스터!$M$9,ROW(출고!$C$8:$C$1013)-7),21)),"")</f>
        <v/>
      </c>
      <c r="E65" s="46" t="str">
        <f t="array" ref="E65">IFERROR(INDEX(출고!$H$8:$H$1013,SMALL(IF(출고!$C$8:$C$1013=마스터!$M$9,ROW(출고!$C$8:$C$1013)-7),21)),"")</f>
        <v/>
      </c>
      <c r="F65" s="46" t="str">
        <f t="array" ref="F65">IFERROR(INDEX(출고!$I$8:$I$1013,SMALL(IF(출고!$C$8:$C$1013=마스터!$M$9,ROW(출고!$C$8:$C$1013)-7),21)),"")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IFERROR(INDEX(출고!$B$8:$B$1013,SMALL(IF(출고!$C$8:$C$1013=마스터!$M$9,ROW(출고!$C$8:$C$1013)-7),22)),"")</f>
        <v/>
      </c>
      <c r="C66" s="11" t="str">
        <f t="array" ref="C66">IFERROR(INDEX(출고!$E$8:$E$1013,SMALL(IF(출고!$C$8:$C$1013=마스터!$M$9,ROW(출고!$C$8:$C$1013)-7),22)),"")</f>
        <v/>
      </c>
      <c r="D66" s="13" t="str">
        <f t="array" ref="D66">IFERROR(INDEX(출고!$F$8:$F$1013,SMALL(IF(출고!$C$8:$C$1013=마스터!$M$9,ROW(출고!$C$8:$C$1013)-7),22)),"")</f>
        <v/>
      </c>
      <c r="E66" s="50" t="str">
        <f t="array" ref="E66">IFERROR(INDEX(출고!$H$8:$H$1013,SMALL(IF(출고!$C$8:$C$1013=마스터!$M$9,ROW(출고!$C$8:$C$1013)-7),22)),"")</f>
        <v/>
      </c>
      <c r="F66" s="50" t="str">
        <f t="array" ref="F66">IFERROR(INDEX(출고!$I$8:$I$1013,SMALL(IF(출고!$C$8:$C$1013=마스터!$M$9,ROW(출고!$C$8:$C$1013)-7),22)),"")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IFERROR(INDEX(출고!$B$8:$B$1013,SMALL(IF(출고!$C$8:$C$1013=마스터!$M$9,ROW(출고!$C$8:$C$1013)-7),23)),"")</f>
        <v/>
      </c>
      <c r="C67" s="6" t="str">
        <f t="array" ref="C67">IFERROR(INDEX(출고!$E$8:$E$1013,SMALL(IF(출고!$C$8:$C$1013=마스터!$M$9,ROW(출고!$C$8:$C$1013)-7),23)),"")</f>
        <v/>
      </c>
      <c r="D67" s="8" t="str">
        <f t="array" ref="D67">IFERROR(INDEX(출고!$F$8:$F$1013,SMALL(IF(출고!$C$8:$C$1013=마스터!$M$9,ROW(출고!$C$8:$C$1013)-7),23)),"")</f>
        <v/>
      </c>
      <c r="E67" s="46" t="str">
        <f t="array" ref="E67">IFERROR(INDEX(출고!$H$8:$H$1013,SMALL(IF(출고!$C$8:$C$1013=마스터!$M$9,ROW(출고!$C$8:$C$1013)-7),23)),"")</f>
        <v/>
      </c>
      <c r="F67" s="46" t="str">
        <f t="array" ref="F67">IFERROR(INDEX(출고!$I$8:$I$1013,SMALL(IF(출고!$C$8:$C$1013=마스터!$M$9,ROW(출고!$C$8:$C$1013)-7),23)),"")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IFERROR(INDEX(출고!$B$8:$B$1013,SMALL(IF(출고!$C$8:$C$1013=마스터!$M$9,ROW(출고!$C$8:$C$1013)-7),24)),"")</f>
        <v/>
      </c>
      <c r="C68" s="11" t="str">
        <f t="array" ref="C68">IFERROR(INDEX(출고!$E$8:$E$1013,SMALL(IF(출고!$C$8:$C$1013=마스터!$M$9,ROW(출고!$C$8:$C$1013)-7),24)),"")</f>
        <v/>
      </c>
      <c r="D68" s="13" t="str">
        <f t="array" ref="D68">IFERROR(INDEX(출고!$F$8:$F$1013,SMALL(IF(출고!$C$8:$C$1013=마스터!$M$9,ROW(출고!$C$8:$C$1013)-7),24)),"")</f>
        <v/>
      </c>
      <c r="E68" s="50" t="str">
        <f t="array" ref="E68">IFERROR(INDEX(출고!$H$8:$H$1013,SMALL(IF(출고!$C$8:$C$1013=마스터!$M$9,ROW(출고!$C$8:$C$1013)-7),24)),"")</f>
        <v/>
      </c>
      <c r="F68" s="50" t="str">
        <f t="array" ref="F68">IFERROR(INDEX(출고!$I$8:$I$1013,SMALL(IF(출고!$C$8:$C$1013=마스터!$M$9,ROW(출고!$C$8:$C$1013)-7),24)),"")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IFERROR(INDEX(출고!$B$8:$B$1013,SMALL(IF(출고!$C$8:$C$1013=마스터!$M$9,ROW(출고!$C$8:$C$1013)-7),25)),"")</f>
        <v/>
      </c>
      <c r="C69" s="6" t="str">
        <f t="array" ref="C69">IFERROR(INDEX(출고!$E$8:$E$1013,SMALL(IF(출고!$C$8:$C$1013=마스터!$M$9,ROW(출고!$C$8:$C$1013)-7),25)),"")</f>
        <v/>
      </c>
      <c r="D69" s="8" t="str">
        <f t="array" ref="D69">IFERROR(INDEX(출고!$F$8:$F$1013,SMALL(IF(출고!$C$8:$C$1013=마스터!$M$9,ROW(출고!$C$8:$C$1013)-7),25)),"")</f>
        <v/>
      </c>
      <c r="E69" s="46" t="str">
        <f t="array" ref="E69">IFERROR(INDEX(출고!$H$8:$H$1013,SMALL(IF(출고!$C$8:$C$1013=마스터!$M$9,ROW(출고!$C$8:$C$1013)-7),25)),"")</f>
        <v/>
      </c>
      <c r="F69" s="46" t="str">
        <f t="array" ref="F69">IFERROR(INDEX(출고!$I$8:$I$1013,SMALL(IF(출고!$C$8:$C$1013=마스터!$M$9,ROW(출고!$C$8:$C$1013)-7),25)),"")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IFERROR(INDEX(출고!$B$8:$B$1013,SMALL(IF(출고!$C$8:$C$1013=마스터!$M$9,ROW(출고!$C$8:$C$1013)-7),26)),"")</f>
        <v/>
      </c>
      <c r="C70" s="11" t="str">
        <f t="array" ref="C70">IFERROR(INDEX(출고!$E$8:$E$1013,SMALL(IF(출고!$C$8:$C$1013=마스터!$M$9,ROW(출고!$C$8:$C$1013)-7),26)),"")</f>
        <v/>
      </c>
      <c r="D70" s="13" t="str">
        <f t="array" ref="D70">IFERROR(INDEX(출고!$F$8:$F$1013,SMALL(IF(출고!$C$8:$C$1013=마스터!$M$9,ROW(출고!$C$8:$C$1013)-7),26)),"")</f>
        <v/>
      </c>
      <c r="E70" s="50" t="str">
        <f t="array" ref="E70">IFERROR(INDEX(출고!$H$8:$H$1013,SMALL(IF(출고!$C$8:$C$1013=마스터!$M$9,ROW(출고!$C$8:$C$1013)-7),26)),"")</f>
        <v/>
      </c>
      <c r="F70" s="50" t="str">
        <f t="array" ref="F70">IFERROR(INDEX(출고!$I$8:$I$1013,SMALL(IF(출고!$C$8:$C$1013=마스터!$M$9,ROW(출고!$C$8:$C$1013)-7),26)),"")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IFERROR(INDEX(출고!$B$8:$B$1013,SMALL(IF(출고!$C$8:$C$1013=마스터!$M$9,ROW(출고!$C$8:$C$1013)-7),27)),"")</f>
        <v/>
      </c>
      <c r="C71" s="6" t="str">
        <f t="array" ref="C71">IFERROR(INDEX(출고!$E$8:$E$1013,SMALL(IF(출고!$C$8:$C$1013=마스터!$M$9,ROW(출고!$C$8:$C$1013)-7),27)),"")</f>
        <v/>
      </c>
      <c r="D71" s="8" t="str">
        <f t="array" ref="D71">IFERROR(INDEX(출고!$F$8:$F$1013,SMALL(IF(출고!$C$8:$C$1013=마스터!$M$9,ROW(출고!$C$8:$C$1013)-7),27)),"")</f>
        <v/>
      </c>
      <c r="E71" s="46" t="str">
        <f t="array" ref="E71">IFERROR(INDEX(출고!$H$8:$H$1013,SMALL(IF(출고!$C$8:$C$1013=마스터!$M$9,ROW(출고!$C$8:$C$1013)-7),27)),"")</f>
        <v/>
      </c>
      <c r="F71" s="46" t="str">
        <f t="array" ref="F71">IFERROR(INDEX(출고!$I$8:$I$1013,SMALL(IF(출고!$C$8:$C$1013=마스터!$M$9,ROW(출고!$C$8:$C$1013)-7),27)),"")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IFERROR(INDEX(출고!$B$8:$B$1013,SMALL(IF(출고!$C$8:$C$1013=마스터!$M$9,ROW(출고!$C$8:$C$1013)-7),28)),"")</f>
        <v/>
      </c>
      <c r="C72" s="11" t="str">
        <f t="array" ref="C72">IFERROR(INDEX(출고!$E$8:$E$1013,SMALL(IF(출고!$C$8:$C$1013=마스터!$M$9,ROW(출고!$C$8:$C$1013)-7),28)),"")</f>
        <v/>
      </c>
      <c r="D72" s="13" t="str">
        <f t="array" ref="D72">IFERROR(INDEX(출고!$F$8:$F$1013,SMALL(IF(출고!$C$8:$C$1013=마스터!$M$9,ROW(출고!$C$8:$C$1013)-7),28)),"")</f>
        <v/>
      </c>
      <c r="E72" s="50" t="str">
        <f t="array" ref="E72">IFERROR(INDEX(출고!$H$8:$H$1013,SMALL(IF(출고!$C$8:$C$1013=마스터!$M$9,ROW(출고!$C$8:$C$1013)-7),28)),"")</f>
        <v/>
      </c>
      <c r="F72" s="50" t="str">
        <f t="array" ref="F72">IFERROR(INDEX(출고!$I$8:$I$1013,SMALL(IF(출고!$C$8:$C$1013=마스터!$M$9,ROW(출고!$C$8:$C$1013)-7),28)),"")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IFERROR(INDEX(출고!$B$8:$B$1013,SMALL(IF(출고!$C$8:$C$1013=마스터!$M$9,ROW(출고!$C$8:$C$1013)-7),29)),"")</f>
        <v/>
      </c>
      <c r="C73" s="6" t="str">
        <f t="array" ref="C73">IFERROR(INDEX(출고!$E$8:$E$1013,SMALL(IF(출고!$C$8:$C$1013=마스터!$M$9,ROW(출고!$C$8:$C$1013)-7),29)),"")</f>
        <v/>
      </c>
      <c r="D73" s="8" t="str">
        <f t="array" ref="D73">IFERROR(INDEX(출고!$F$8:$F$1013,SMALL(IF(출고!$C$8:$C$1013=마스터!$M$9,ROW(출고!$C$8:$C$1013)-7),29)),"")</f>
        <v/>
      </c>
      <c r="E73" s="46" t="str">
        <f t="array" ref="E73">IFERROR(INDEX(출고!$H$8:$H$1013,SMALL(IF(출고!$C$8:$C$1013=마스터!$M$9,ROW(출고!$C$8:$C$1013)-7),29)),"")</f>
        <v/>
      </c>
      <c r="F73" s="46" t="str">
        <f t="array" ref="F73">IFERROR(INDEX(출고!$I$8:$I$1013,SMALL(IF(출고!$C$8:$C$1013=마스터!$M$9,ROW(출고!$C$8:$C$1013)-7),29)),"")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IFERROR(INDEX(출고!$B$8:$B$1013,SMALL(IF(출고!$C$8:$C$1013=마스터!$M$9,ROW(출고!$C$8:$C$1013)-7),30)),"")</f>
        <v/>
      </c>
      <c r="C74" s="11" t="str">
        <f t="array" ref="C74">IFERROR(INDEX(출고!$E$8:$E$1013,SMALL(IF(출고!$C$8:$C$1013=마스터!$M$9,ROW(출고!$C$8:$C$1013)-7),30)),"")</f>
        <v/>
      </c>
      <c r="D74" s="13" t="str">
        <f t="array" ref="D74">IFERROR(INDEX(출고!$F$8:$F$1013,SMALL(IF(출고!$C$8:$C$1013=마스터!$M$9,ROW(출고!$C$8:$C$1013)-7),30)),"")</f>
        <v/>
      </c>
      <c r="E74" s="50" t="str">
        <f t="array" ref="E74">IFERROR(INDEX(출고!$H$8:$H$1013,SMALL(IF(출고!$C$8:$C$1013=마스터!$M$9,ROW(출고!$C$8:$C$1013)-7),30)),"")</f>
        <v/>
      </c>
      <c r="F74" s="50" t="str">
        <f t="array" ref="F74">IFERROR(INDEX(출고!$I$8:$I$1013,SMALL(IF(출고!$C$8:$C$1013=마스터!$M$9,ROW(출고!$C$8:$C$1013)-7),30)),"")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IFERROR(INDEX(입고!$E$8:$E$1013,SMALL(IF((입고!$C$8:$C$1013=마스터!$M$9)*(입고!$AC$8:$AC$1013=1),ROW(입고!$C$8:$C$1013)-7),1)),"")</f>
        <v>260203CW003</v>
      </c>
      <c r="C78" s="8">
        <f>IF(B78="","",SUMIFS(입고!$F$8:$F$1013,입고!$C$8:$C$1013,마스터!$M$9,입고!$E$8:$E$1013,B78))</f>
        <v>40</v>
      </c>
      <c r="D78" s="8">
        <f>IF(B78="","",SUMIFS(출고!$F$8:$F$1013,출고!$C$8:$C$1013,마스터!$M$9,출고!$E$8:$E$1013,B78))</f>
        <v>0</v>
      </c>
      <c r="E78" s="40">
        <f t="shared" ref="E78:E107" si="5">IF(B78="","",C78-D78)</f>
        <v>40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IFERROR(INDEX(입고!$E$8:$E$1013,SMALL(IF((입고!$C$8:$C$1013=마스터!$M$9)*(입고!$AC$8:$AC$1013=1),ROW(입고!$C$8:$C$1013)-7),2)),"")</f>
        <v/>
      </c>
      <c r="C79" s="13" t="str">
        <f>IF(B79="","",SUMIFS(입고!$F$8:$F$1013,입고!$C$8:$C$1013,마스터!$M$9,입고!$E$8:$E$1013,B79))</f>
        <v/>
      </c>
      <c r="D79" s="13" t="str">
        <f>IF(B79="","",SUMIFS(출고!$F$8:$F$1013,출고!$C$8:$C$1013,마스터!$M$9,출고!$E$8:$E$1013,B79))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IFERROR(INDEX(입고!$E$8:$E$1013,SMALL(IF((입고!$C$8:$C$1013=마스터!$M$9)*(입고!$AC$8:$AC$1013=1),ROW(입고!$C$8:$C$1013)-7),3)),"")</f>
        <v/>
      </c>
      <c r="C80" s="8" t="str">
        <f>IF(B80="","",SUMIFS(입고!$F$8:$F$1013,입고!$C$8:$C$1013,마스터!$M$9,입고!$E$8:$E$1013,B80))</f>
        <v/>
      </c>
      <c r="D80" s="8" t="str">
        <f>IF(B80="","",SUMIFS(출고!$F$8:$F$1013,출고!$C$8:$C$1013,마스터!$M$9,출고!$E$8:$E$1013,B80))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IFERROR(INDEX(입고!$E$8:$E$1013,SMALL(IF((입고!$C$8:$C$1013=마스터!$M$9)*(입고!$AC$8:$AC$1013=1),ROW(입고!$C$8:$C$1013)-7),4)),"")</f>
        <v/>
      </c>
      <c r="C81" s="13" t="str">
        <f>IF(B81="","",SUMIFS(입고!$F$8:$F$1013,입고!$C$8:$C$1013,마스터!$M$9,입고!$E$8:$E$1013,B81))</f>
        <v/>
      </c>
      <c r="D81" s="13" t="str">
        <f>IF(B81="","",SUMIFS(출고!$F$8:$F$1013,출고!$C$8:$C$1013,마스터!$M$9,출고!$E$8:$E$1013,B81))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IFERROR(INDEX(입고!$E$8:$E$1013,SMALL(IF((입고!$C$8:$C$1013=마스터!$M$9)*(입고!$AC$8:$AC$1013=1),ROW(입고!$C$8:$C$1013)-7),5)),"")</f>
        <v/>
      </c>
      <c r="C82" s="8" t="str">
        <f>IF(B82="","",SUMIFS(입고!$F$8:$F$1013,입고!$C$8:$C$1013,마스터!$M$9,입고!$E$8:$E$1013,B82))</f>
        <v/>
      </c>
      <c r="D82" s="8" t="str">
        <f>IF(B82="","",SUMIFS(출고!$F$8:$F$1013,출고!$C$8:$C$1013,마스터!$M$9,출고!$E$8:$E$1013,B82))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IFERROR(INDEX(입고!$E$8:$E$1013,SMALL(IF((입고!$C$8:$C$1013=마스터!$M$9)*(입고!$AC$8:$AC$1013=1),ROW(입고!$C$8:$C$1013)-7),6)),"")</f>
        <v/>
      </c>
      <c r="C83" s="13" t="str">
        <f>IF(B83="","",SUMIFS(입고!$F$8:$F$1013,입고!$C$8:$C$1013,마스터!$M$9,입고!$E$8:$E$1013,B83))</f>
        <v/>
      </c>
      <c r="D83" s="13" t="str">
        <f>IF(B83="","",SUMIFS(출고!$F$8:$F$1013,출고!$C$8:$C$1013,마스터!$M$9,출고!$E$8:$E$1013,B83))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IFERROR(INDEX(입고!$E$8:$E$1013,SMALL(IF((입고!$C$8:$C$1013=마스터!$M$9)*(입고!$AC$8:$AC$1013=1),ROW(입고!$C$8:$C$1013)-7),7)),"")</f>
        <v/>
      </c>
      <c r="C84" s="8" t="str">
        <f>IF(B84="","",SUMIFS(입고!$F$8:$F$1013,입고!$C$8:$C$1013,마스터!$M$9,입고!$E$8:$E$1013,B84))</f>
        <v/>
      </c>
      <c r="D84" s="8" t="str">
        <f>IF(B84="","",SUMIFS(출고!$F$8:$F$1013,출고!$C$8:$C$1013,마스터!$M$9,출고!$E$8:$E$1013,B84))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IFERROR(INDEX(입고!$E$8:$E$1013,SMALL(IF((입고!$C$8:$C$1013=마스터!$M$9)*(입고!$AC$8:$AC$1013=1),ROW(입고!$C$8:$C$1013)-7),8)),"")</f>
        <v/>
      </c>
      <c r="C85" s="13" t="str">
        <f>IF(B85="","",SUMIFS(입고!$F$8:$F$1013,입고!$C$8:$C$1013,마스터!$M$9,입고!$E$8:$E$1013,B85))</f>
        <v/>
      </c>
      <c r="D85" s="13" t="str">
        <f>IF(B85="","",SUMIFS(출고!$F$8:$F$1013,출고!$C$8:$C$1013,마스터!$M$9,출고!$E$8:$E$1013,B85))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IFERROR(INDEX(입고!$E$8:$E$1013,SMALL(IF((입고!$C$8:$C$1013=마스터!$M$9)*(입고!$AC$8:$AC$1013=1),ROW(입고!$C$8:$C$1013)-7),9)),"")</f>
        <v/>
      </c>
      <c r="C86" s="8" t="str">
        <f>IF(B86="","",SUMIFS(입고!$F$8:$F$1013,입고!$C$8:$C$1013,마스터!$M$9,입고!$E$8:$E$1013,B86))</f>
        <v/>
      </c>
      <c r="D86" s="8" t="str">
        <f>IF(B86="","",SUMIFS(출고!$F$8:$F$1013,출고!$C$8:$C$1013,마스터!$M$9,출고!$E$8:$E$1013,B86))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IFERROR(INDEX(입고!$E$8:$E$1013,SMALL(IF((입고!$C$8:$C$1013=마스터!$M$9)*(입고!$AC$8:$AC$1013=1),ROW(입고!$C$8:$C$1013)-7),10)),"")</f>
        <v/>
      </c>
      <c r="C87" s="13" t="str">
        <f>IF(B87="","",SUMIFS(입고!$F$8:$F$1013,입고!$C$8:$C$1013,마스터!$M$9,입고!$E$8:$E$1013,B87))</f>
        <v/>
      </c>
      <c r="D87" s="13" t="str">
        <f>IF(B87="","",SUMIFS(출고!$F$8:$F$1013,출고!$C$8:$C$1013,마스터!$M$9,출고!$E$8:$E$1013,B87))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IFERROR(INDEX(입고!$E$8:$E$1013,SMALL(IF((입고!$C$8:$C$1013=마스터!$M$9)*(입고!$AC$8:$AC$1013=1),ROW(입고!$C$8:$C$1013)-7),11)),"")</f>
        <v/>
      </c>
      <c r="C88" s="8" t="str">
        <f>IF(B88="","",SUMIFS(입고!$F$8:$F$1013,입고!$C$8:$C$1013,마스터!$M$9,입고!$E$8:$E$1013,B88))</f>
        <v/>
      </c>
      <c r="D88" s="8" t="str">
        <f>IF(B88="","",SUMIFS(출고!$F$8:$F$1013,출고!$C$8:$C$1013,마스터!$M$9,출고!$E$8:$E$1013,B88))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IFERROR(INDEX(입고!$E$8:$E$1013,SMALL(IF((입고!$C$8:$C$1013=마스터!$M$9)*(입고!$AC$8:$AC$1013=1),ROW(입고!$C$8:$C$1013)-7),12)),"")</f>
        <v/>
      </c>
      <c r="C89" s="13" t="str">
        <f>IF(B89="","",SUMIFS(입고!$F$8:$F$1013,입고!$C$8:$C$1013,마스터!$M$9,입고!$E$8:$E$1013,B89))</f>
        <v/>
      </c>
      <c r="D89" s="13" t="str">
        <f>IF(B89="","",SUMIFS(출고!$F$8:$F$1013,출고!$C$8:$C$1013,마스터!$M$9,출고!$E$8:$E$1013,B89))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IFERROR(INDEX(입고!$E$8:$E$1013,SMALL(IF((입고!$C$8:$C$1013=마스터!$M$9)*(입고!$AC$8:$AC$1013=1),ROW(입고!$C$8:$C$1013)-7),13)),"")</f>
        <v/>
      </c>
      <c r="C90" s="8" t="str">
        <f>IF(B90="","",SUMIFS(입고!$F$8:$F$1013,입고!$C$8:$C$1013,마스터!$M$9,입고!$E$8:$E$1013,B90))</f>
        <v/>
      </c>
      <c r="D90" s="8" t="str">
        <f>IF(B90="","",SUMIFS(출고!$F$8:$F$1013,출고!$C$8:$C$1013,마스터!$M$9,출고!$E$8:$E$1013,B90))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IFERROR(INDEX(입고!$E$8:$E$1013,SMALL(IF((입고!$C$8:$C$1013=마스터!$M$9)*(입고!$AC$8:$AC$1013=1),ROW(입고!$C$8:$C$1013)-7),14)),"")</f>
        <v/>
      </c>
      <c r="C91" s="13" t="str">
        <f>IF(B91="","",SUMIFS(입고!$F$8:$F$1013,입고!$C$8:$C$1013,마스터!$M$9,입고!$E$8:$E$1013,B91))</f>
        <v/>
      </c>
      <c r="D91" s="13" t="str">
        <f>IF(B91="","",SUMIFS(출고!$F$8:$F$1013,출고!$C$8:$C$1013,마스터!$M$9,출고!$E$8:$E$1013,B91))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IFERROR(INDEX(입고!$E$8:$E$1013,SMALL(IF((입고!$C$8:$C$1013=마스터!$M$9)*(입고!$AC$8:$AC$1013=1),ROW(입고!$C$8:$C$1013)-7),15)),"")</f>
        <v/>
      </c>
      <c r="C92" s="8" t="str">
        <f>IF(B92="","",SUMIFS(입고!$F$8:$F$1013,입고!$C$8:$C$1013,마스터!$M$9,입고!$E$8:$E$1013,B92))</f>
        <v/>
      </c>
      <c r="D92" s="8" t="str">
        <f>IF(B92="","",SUMIFS(출고!$F$8:$F$1013,출고!$C$8:$C$1013,마스터!$M$9,출고!$E$8:$E$1013,B92))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IFERROR(INDEX(입고!$E$8:$E$1013,SMALL(IF((입고!$C$8:$C$1013=마스터!$M$9)*(입고!$AC$8:$AC$1013=1),ROW(입고!$C$8:$C$1013)-7),16)),"")</f>
        <v/>
      </c>
      <c r="C93" s="13" t="str">
        <f>IF(B93="","",SUMIFS(입고!$F$8:$F$1013,입고!$C$8:$C$1013,마스터!$M$9,입고!$E$8:$E$1013,B93))</f>
        <v/>
      </c>
      <c r="D93" s="13" t="str">
        <f>IF(B93="","",SUMIFS(출고!$F$8:$F$1013,출고!$C$8:$C$1013,마스터!$M$9,출고!$E$8:$E$1013,B93))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IFERROR(INDEX(입고!$E$8:$E$1013,SMALL(IF((입고!$C$8:$C$1013=마스터!$M$9)*(입고!$AC$8:$AC$1013=1),ROW(입고!$C$8:$C$1013)-7),17)),"")</f>
        <v/>
      </c>
      <c r="C94" s="8" t="str">
        <f>IF(B94="","",SUMIFS(입고!$F$8:$F$1013,입고!$C$8:$C$1013,마스터!$M$9,입고!$E$8:$E$1013,B94))</f>
        <v/>
      </c>
      <c r="D94" s="8" t="str">
        <f>IF(B94="","",SUMIFS(출고!$F$8:$F$1013,출고!$C$8:$C$1013,마스터!$M$9,출고!$E$8:$E$1013,B94))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IFERROR(INDEX(입고!$E$8:$E$1013,SMALL(IF((입고!$C$8:$C$1013=마스터!$M$9)*(입고!$AC$8:$AC$1013=1),ROW(입고!$C$8:$C$1013)-7),18)),"")</f>
        <v/>
      </c>
      <c r="C95" s="13" t="str">
        <f>IF(B95="","",SUMIFS(입고!$F$8:$F$1013,입고!$C$8:$C$1013,마스터!$M$9,입고!$E$8:$E$1013,B95))</f>
        <v/>
      </c>
      <c r="D95" s="13" t="str">
        <f>IF(B95="","",SUMIFS(출고!$F$8:$F$1013,출고!$C$8:$C$1013,마스터!$M$9,출고!$E$8:$E$1013,B95))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IFERROR(INDEX(입고!$E$8:$E$1013,SMALL(IF((입고!$C$8:$C$1013=마스터!$M$9)*(입고!$AC$8:$AC$1013=1),ROW(입고!$C$8:$C$1013)-7),19)),"")</f>
        <v/>
      </c>
      <c r="C96" s="8" t="str">
        <f>IF(B96="","",SUMIFS(입고!$F$8:$F$1013,입고!$C$8:$C$1013,마스터!$M$9,입고!$E$8:$E$1013,B96))</f>
        <v/>
      </c>
      <c r="D96" s="8" t="str">
        <f>IF(B96="","",SUMIFS(출고!$F$8:$F$1013,출고!$C$8:$C$1013,마스터!$M$9,출고!$E$8:$E$1013,B96))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IFERROR(INDEX(입고!$E$8:$E$1013,SMALL(IF((입고!$C$8:$C$1013=마스터!$M$9)*(입고!$AC$8:$AC$1013=1),ROW(입고!$C$8:$C$1013)-7),20)),"")</f>
        <v/>
      </c>
      <c r="C97" s="13" t="str">
        <f>IF(B97="","",SUMIFS(입고!$F$8:$F$1013,입고!$C$8:$C$1013,마스터!$M$9,입고!$E$8:$E$1013,B97))</f>
        <v/>
      </c>
      <c r="D97" s="13" t="str">
        <f>IF(B97="","",SUMIFS(출고!$F$8:$F$1013,출고!$C$8:$C$1013,마스터!$M$9,출고!$E$8:$E$1013,B97))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IFERROR(INDEX(입고!$E$8:$E$1013,SMALL(IF((입고!$C$8:$C$1013=마스터!$M$9)*(입고!$AC$8:$AC$1013=1),ROW(입고!$C$8:$C$1013)-7),21)),"")</f>
        <v/>
      </c>
      <c r="C98" s="8" t="str">
        <f>IF(B98="","",SUMIFS(입고!$F$8:$F$1013,입고!$C$8:$C$1013,마스터!$M$9,입고!$E$8:$E$1013,B98))</f>
        <v/>
      </c>
      <c r="D98" s="8" t="str">
        <f>IF(B98="","",SUMIFS(출고!$F$8:$F$1013,출고!$C$8:$C$1013,마스터!$M$9,출고!$E$8:$E$1013,B98))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IFERROR(INDEX(입고!$E$8:$E$1013,SMALL(IF((입고!$C$8:$C$1013=마스터!$M$9)*(입고!$AC$8:$AC$1013=1),ROW(입고!$C$8:$C$1013)-7),22)),"")</f>
        <v/>
      </c>
      <c r="C99" s="13" t="str">
        <f>IF(B99="","",SUMIFS(입고!$F$8:$F$1013,입고!$C$8:$C$1013,마스터!$M$9,입고!$E$8:$E$1013,B99))</f>
        <v/>
      </c>
      <c r="D99" s="13" t="str">
        <f>IF(B99="","",SUMIFS(출고!$F$8:$F$1013,출고!$C$8:$C$1013,마스터!$M$9,출고!$E$8:$E$1013,B99))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IFERROR(INDEX(입고!$E$8:$E$1013,SMALL(IF((입고!$C$8:$C$1013=마스터!$M$9)*(입고!$AC$8:$AC$1013=1),ROW(입고!$C$8:$C$1013)-7),23)),"")</f>
        <v/>
      </c>
      <c r="C100" s="8" t="str">
        <f>IF(B100="","",SUMIFS(입고!$F$8:$F$1013,입고!$C$8:$C$1013,마스터!$M$9,입고!$E$8:$E$1013,B100))</f>
        <v/>
      </c>
      <c r="D100" s="8" t="str">
        <f>IF(B100="","",SUMIFS(출고!$F$8:$F$1013,출고!$C$8:$C$1013,마스터!$M$9,출고!$E$8:$E$1013,B100))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IFERROR(INDEX(입고!$E$8:$E$1013,SMALL(IF((입고!$C$8:$C$1013=마스터!$M$9)*(입고!$AC$8:$AC$1013=1),ROW(입고!$C$8:$C$1013)-7),24)),"")</f>
        <v/>
      </c>
      <c r="C101" s="13" t="str">
        <f>IF(B101="","",SUMIFS(입고!$F$8:$F$1013,입고!$C$8:$C$1013,마스터!$M$9,입고!$E$8:$E$1013,B101))</f>
        <v/>
      </c>
      <c r="D101" s="13" t="str">
        <f>IF(B101="","",SUMIFS(출고!$F$8:$F$1013,출고!$C$8:$C$1013,마스터!$M$9,출고!$E$8:$E$1013,B101))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IFERROR(INDEX(입고!$E$8:$E$1013,SMALL(IF((입고!$C$8:$C$1013=마스터!$M$9)*(입고!$AC$8:$AC$1013=1),ROW(입고!$C$8:$C$1013)-7),25)),"")</f>
        <v/>
      </c>
      <c r="C102" s="8" t="str">
        <f>IF(B102="","",SUMIFS(입고!$F$8:$F$1013,입고!$C$8:$C$1013,마스터!$M$9,입고!$E$8:$E$1013,B102))</f>
        <v/>
      </c>
      <c r="D102" s="8" t="str">
        <f>IF(B102="","",SUMIFS(출고!$F$8:$F$1013,출고!$C$8:$C$1013,마스터!$M$9,출고!$E$8:$E$1013,B102))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IFERROR(INDEX(입고!$E$8:$E$1013,SMALL(IF((입고!$C$8:$C$1013=마스터!$M$9)*(입고!$AC$8:$AC$1013=1),ROW(입고!$C$8:$C$1013)-7),26)),"")</f>
        <v/>
      </c>
      <c r="C103" s="13" t="str">
        <f>IF(B103="","",SUMIFS(입고!$F$8:$F$1013,입고!$C$8:$C$1013,마스터!$M$9,입고!$E$8:$E$1013,B103))</f>
        <v/>
      </c>
      <c r="D103" s="13" t="str">
        <f>IF(B103="","",SUMIFS(출고!$F$8:$F$1013,출고!$C$8:$C$1013,마스터!$M$9,출고!$E$8:$E$1013,B103))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IFERROR(INDEX(입고!$E$8:$E$1013,SMALL(IF((입고!$C$8:$C$1013=마스터!$M$9)*(입고!$AC$8:$AC$1013=1),ROW(입고!$C$8:$C$1013)-7),27)),"")</f>
        <v/>
      </c>
      <c r="C104" s="8" t="str">
        <f>IF(B104="","",SUMIFS(입고!$F$8:$F$1013,입고!$C$8:$C$1013,마스터!$M$9,입고!$E$8:$E$1013,B104))</f>
        <v/>
      </c>
      <c r="D104" s="8" t="str">
        <f>IF(B104="","",SUMIFS(출고!$F$8:$F$1013,출고!$C$8:$C$1013,마스터!$M$9,출고!$E$8:$E$1013,B104))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IFERROR(INDEX(입고!$E$8:$E$1013,SMALL(IF((입고!$C$8:$C$1013=마스터!$M$9)*(입고!$AC$8:$AC$1013=1),ROW(입고!$C$8:$C$1013)-7),28)),"")</f>
        <v/>
      </c>
      <c r="C105" s="13" t="str">
        <f>IF(B105="","",SUMIFS(입고!$F$8:$F$1013,입고!$C$8:$C$1013,마스터!$M$9,입고!$E$8:$E$1013,B105))</f>
        <v/>
      </c>
      <c r="D105" s="13" t="str">
        <f>IF(B105="","",SUMIFS(출고!$F$8:$F$1013,출고!$C$8:$C$1013,마스터!$M$9,출고!$E$8:$E$1013,B105))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IFERROR(INDEX(입고!$E$8:$E$1013,SMALL(IF((입고!$C$8:$C$1013=마스터!$M$9)*(입고!$AC$8:$AC$1013=1),ROW(입고!$C$8:$C$1013)-7),29)),"")</f>
        <v/>
      </c>
      <c r="C106" s="8" t="str">
        <f>IF(B106="","",SUMIFS(입고!$F$8:$F$1013,입고!$C$8:$C$1013,마스터!$M$9,입고!$E$8:$E$1013,B106))</f>
        <v/>
      </c>
      <c r="D106" s="8" t="str">
        <f>IF(B106="","",SUMIFS(출고!$F$8:$F$1013,출고!$C$8:$C$1013,마스터!$M$9,출고!$E$8:$E$1013,B106))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IFERROR(INDEX(입고!$E$8:$E$1013,SMALL(IF((입고!$C$8:$C$1013=마스터!$M$9)*(입고!$AC$8:$AC$1013=1),ROW(입고!$C$8:$C$1013)-7),30)),"")</f>
        <v/>
      </c>
      <c r="C107" s="13" t="str">
        <f>IF(B107="","",SUMIFS(입고!$F$8:$F$1013,입고!$C$8:$C$1013,마스터!$M$9,입고!$E$8:$E$1013,B107))</f>
        <v/>
      </c>
      <c r="D107" s="13" t="str">
        <f>IF(B107="","",SUMIFS(출고!$F$8:$F$1013,출고!$C$8:$C$1013,마스터!$M$9,출고!$E$8:$E$1013,B107))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1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CONCATENATE("[07] ", 마스터!D10, "  |  ", 마스터!F10)</f>
        <v>[07] 세라믹울 96K 수입  |  38T × 150W × 4800L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마스터!D10</f>
        <v>세라믹울 96K 수입</v>
      </c>
      <c r="D4" s="1" t="s">
        <v>11</v>
      </c>
      <c r="E4" s="53">
        <f>SUMIFS(입고!$F$8:$F$1013,입고!$C$8:$C$1013,마스터!$M$10)</f>
        <v>40</v>
      </c>
    </row>
    <row r="5" spans="1:9" ht="15" customHeight="1" x14ac:dyDescent="0.25">
      <c r="A5" s="1" t="s">
        <v>7</v>
      </c>
      <c r="B5" s="52" t="str">
        <f>마스터!E10</f>
        <v>381504800</v>
      </c>
      <c r="D5" s="1" t="s">
        <v>12</v>
      </c>
      <c r="E5" s="53">
        <f>SUMIFS(출고!$F$8:$F$1013,출고!$C$8:$C$1013,마스터!$M$10)</f>
        <v>0</v>
      </c>
    </row>
    <row r="6" spans="1:9" ht="23.25" customHeight="1" x14ac:dyDescent="0.25">
      <c r="A6" s="1" t="s">
        <v>26</v>
      </c>
      <c r="B6" s="52" t="str">
        <f>마스터!F10</f>
        <v>38T × 150W × 4800L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마스터!M10</f>
        <v>96K수입 38T × 150W × 4800L</v>
      </c>
      <c r="D7" s="1" t="s">
        <v>13</v>
      </c>
      <c r="E7" s="54">
        <f>마스터!$K$10+E4-E5</f>
        <v>40</v>
      </c>
    </row>
    <row r="8" spans="1:9" ht="15" customHeight="1" x14ac:dyDescent="0.25">
      <c r="A8" s="1" t="s">
        <v>10</v>
      </c>
      <c r="B8" s="53">
        <f>마스터!K10</f>
        <v>0</v>
      </c>
      <c r="D8" s="1" t="s">
        <v>123</v>
      </c>
      <c r="E8" s="55">
        <f t="array" ref="E8">IFERROR(MAX(MAX(IF(입고!$C$8:$C$1013=마스터!$M$10,입고!$B$8:$B$1013)),MAX(IF(출고!$C$8:$C$1013=마스터!$M$10,출고!$B$8:$B$1013))),"-")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IFERROR(INDEX(입고!$B$8:$B$1013,SMALL(IF(입고!$C$8:$C$1013=마스터!$M$10,ROW(입고!$C$8:$C$1013)-7),1)),"")</f>
        <v>46056</v>
      </c>
      <c r="C12" s="6" t="str">
        <f t="array" ref="C12">IFERROR(INDEX(입고!$E$8:$E$1013,SMALL(IF(입고!$C$8:$C$1013=마스터!$M$10,ROW(입고!$C$8:$C$1013)-7),1)),"")</f>
        <v>260203CW005</v>
      </c>
      <c r="D12" s="8">
        <f t="array" ref="D12">IFERROR(INDEX(입고!$F$8:$F$1013,SMALL(IF(입고!$C$8:$C$1013=마스터!$M$10,ROW(입고!$C$8:$C$1013)-7),1)),"")</f>
        <v>40</v>
      </c>
      <c r="E12" s="46" t="str">
        <f t="array" ref="E12">IFERROR(INDEX(입고!$H$8:$H$1013,SMALL(IF(입고!$C$8:$C$1013=마스터!$M$10,ROW(입고!$C$8:$C$1013)-7),1)),"")</f>
        <v>(초기재고)</v>
      </c>
      <c r="F12" s="46" t="str">
        <f t="array" ref="F12">IFERROR(INDEX(입고!$I$8:$I$1013,SMALL(IF(입고!$C$8:$C$1013=마스터!$M$10,ROW(입고!$C$8:$C$1013)-7),1)),"")</f>
        <v>2026-02-12 기준</v>
      </c>
      <c r="G12" s="57">
        <f>IF(B12="","",IFERROR(D12,0))</f>
        <v>40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IFERROR(INDEX(입고!$B$8:$B$1013,SMALL(IF(입고!$C$8:$C$1013=마스터!$M$10,ROW(입고!$C$8:$C$1013)-7),2)),"")</f>
        <v/>
      </c>
      <c r="C13" s="11" t="str">
        <f t="array" ref="C13">IFERROR(INDEX(입고!$E$8:$E$1013,SMALL(IF(입고!$C$8:$C$1013=마스터!$M$10,ROW(입고!$C$8:$C$1013)-7),2)),"")</f>
        <v/>
      </c>
      <c r="D13" s="13" t="str">
        <f t="array" ref="D13">IFERROR(INDEX(입고!$F$8:$F$1013,SMALL(IF(입고!$C$8:$C$1013=마스터!$M$10,ROW(입고!$C$8:$C$1013)-7),2)),"")</f>
        <v/>
      </c>
      <c r="E13" s="50" t="str">
        <f t="array" ref="E13">IFERROR(INDEX(입고!$H$8:$H$1013,SMALL(IF(입고!$C$8:$C$1013=마스터!$M$10,ROW(입고!$C$8:$C$1013)-7),2)),"")</f>
        <v/>
      </c>
      <c r="F13" s="50" t="str">
        <f t="array" ref="F13">IFERROR(INDEX(입고!$I$8:$I$1013,SMALL(IF(입고!$C$8:$C$1013=마스터!$M$10,ROW(입고!$C$8:$C$1013)-7),2)),"")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IFERROR(INDEX(입고!$B$8:$B$1013,SMALL(IF(입고!$C$8:$C$1013=마스터!$M$10,ROW(입고!$C$8:$C$1013)-7),3)),"")</f>
        <v/>
      </c>
      <c r="C14" s="6" t="str">
        <f t="array" ref="C14">IFERROR(INDEX(입고!$E$8:$E$1013,SMALL(IF(입고!$C$8:$C$1013=마스터!$M$10,ROW(입고!$C$8:$C$1013)-7),3)),"")</f>
        <v/>
      </c>
      <c r="D14" s="8" t="str">
        <f t="array" ref="D14">IFERROR(INDEX(입고!$F$8:$F$1013,SMALL(IF(입고!$C$8:$C$1013=마스터!$M$10,ROW(입고!$C$8:$C$1013)-7),3)),"")</f>
        <v/>
      </c>
      <c r="E14" s="46" t="str">
        <f t="array" ref="E14">IFERROR(INDEX(입고!$H$8:$H$1013,SMALL(IF(입고!$C$8:$C$1013=마스터!$M$10,ROW(입고!$C$8:$C$1013)-7),3)),"")</f>
        <v/>
      </c>
      <c r="F14" s="46" t="str">
        <f t="array" ref="F14">IFERROR(INDEX(입고!$I$8:$I$1013,SMALL(IF(입고!$C$8:$C$1013=마스터!$M$10,ROW(입고!$C$8:$C$1013)-7),3)),"")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IFERROR(INDEX(입고!$B$8:$B$1013,SMALL(IF(입고!$C$8:$C$1013=마스터!$M$10,ROW(입고!$C$8:$C$1013)-7),4)),"")</f>
        <v/>
      </c>
      <c r="C15" s="11" t="str">
        <f t="array" ref="C15">IFERROR(INDEX(입고!$E$8:$E$1013,SMALL(IF(입고!$C$8:$C$1013=마스터!$M$10,ROW(입고!$C$8:$C$1013)-7),4)),"")</f>
        <v/>
      </c>
      <c r="D15" s="13" t="str">
        <f t="array" ref="D15">IFERROR(INDEX(입고!$F$8:$F$1013,SMALL(IF(입고!$C$8:$C$1013=마스터!$M$10,ROW(입고!$C$8:$C$1013)-7),4)),"")</f>
        <v/>
      </c>
      <c r="E15" s="50" t="str">
        <f t="array" ref="E15">IFERROR(INDEX(입고!$H$8:$H$1013,SMALL(IF(입고!$C$8:$C$1013=마스터!$M$10,ROW(입고!$C$8:$C$1013)-7),4)),"")</f>
        <v/>
      </c>
      <c r="F15" s="50" t="str">
        <f t="array" ref="F15">IFERROR(INDEX(입고!$I$8:$I$1013,SMALL(IF(입고!$C$8:$C$1013=마스터!$M$10,ROW(입고!$C$8:$C$1013)-7),4)),"")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IFERROR(INDEX(입고!$B$8:$B$1013,SMALL(IF(입고!$C$8:$C$1013=마스터!$M$10,ROW(입고!$C$8:$C$1013)-7),5)),"")</f>
        <v/>
      </c>
      <c r="C16" s="6" t="str">
        <f t="array" ref="C16">IFERROR(INDEX(입고!$E$8:$E$1013,SMALL(IF(입고!$C$8:$C$1013=마스터!$M$10,ROW(입고!$C$8:$C$1013)-7),5)),"")</f>
        <v/>
      </c>
      <c r="D16" s="8" t="str">
        <f t="array" ref="D16">IFERROR(INDEX(입고!$F$8:$F$1013,SMALL(IF(입고!$C$8:$C$1013=마스터!$M$10,ROW(입고!$C$8:$C$1013)-7),5)),"")</f>
        <v/>
      </c>
      <c r="E16" s="46" t="str">
        <f t="array" ref="E16">IFERROR(INDEX(입고!$H$8:$H$1013,SMALL(IF(입고!$C$8:$C$1013=마스터!$M$10,ROW(입고!$C$8:$C$1013)-7),5)),"")</f>
        <v/>
      </c>
      <c r="F16" s="46" t="str">
        <f t="array" ref="F16">IFERROR(INDEX(입고!$I$8:$I$1013,SMALL(IF(입고!$C$8:$C$1013=마스터!$M$10,ROW(입고!$C$8:$C$1013)-7),5)),"")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IFERROR(INDEX(입고!$B$8:$B$1013,SMALL(IF(입고!$C$8:$C$1013=마스터!$M$10,ROW(입고!$C$8:$C$1013)-7),6)),"")</f>
        <v/>
      </c>
      <c r="C17" s="11" t="str">
        <f t="array" ref="C17">IFERROR(INDEX(입고!$E$8:$E$1013,SMALL(IF(입고!$C$8:$C$1013=마스터!$M$10,ROW(입고!$C$8:$C$1013)-7),6)),"")</f>
        <v/>
      </c>
      <c r="D17" s="13" t="str">
        <f t="array" ref="D17">IFERROR(INDEX(입고!$F$8:$F$1013,SMALL(IF(입고!$C$8:$C$1013=마스터!$M$10,ROW(입고!$C$8:$C$1013)-7),6)),"")</f>
        <v/>
      </c>
      <c r="E17" s="50" t="str">
        <f t="array" ref="E17">IFERROR(INDEX(입고!$H$8:$H$1013,SMALL(IF(입고!$C$8:$C$1013=마스터!$M$10,ROW(입고!$C$8:$C$1013)-7),6)),"")</f>
        <v/>
      </c>
      <c r="F17" s="50" t="str">
        <f t="array" ref="F17">IFERROR(INDEX(입고!$I$8:$I$1013,SMALL(IF(입고!$C$8:$C$1013=마스터!$M$10,ROW(입고!$C$8:$C$1013)-7),6)),"")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IFERROR(INDEX(입고!$B$8:$B$1013,SMALL(IF(입고!$C$8:$C$1013=마스터!$M$10,ROW(입고!$C$8:$C$1013)-7),7)),"")</f>
        <v/>
      </c>
      <c r="C18" s="6" t="str">
        <f t="array" ref="C18">IFERROR(INDEX(입고!$E$8:$E$1013,SMALL(IF(입고!$C$8:$C$1013=마스터!$M$10,ROW(입고!$C$8:$C$1013)-7),7)),"")</f>
        <v/>
      </c>
      <c r="D18" s="8" t="str">
        <f t="array" ref="D18">IFERROR(INDEX(입고!$F$8:$F$1013,SMALL(IF(입고!$C$8:$C$1013=마스터!$M$10,ROW(입고!$C$8:$C$1013)-7),7)),"")</f>
        <v/>
      </c>
      <c r="E18" s="46" t="str">
        <f t="array" ref="E18">IFERROR(INDEX(입고!$H$8:$H$1013,SMALL(IF(입고!$C$8:$C$1013=마스터!$M$10,ROW(입고!$C$8:$C$1013)-7),7)),"")</f>
        <v/>
      </c>
      <c r="F18" s="46" t="str">
        <f t="array" ref="F18">IFERROR(INDEX(입고!$I$8:$I$1013,SMALL(IF(입고!$C$8:$C$1013=마스터!$M$10,ROW(입고!$C$8:$C$1013)-7),7)),"")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IFERROR(INDEX(입고!$B$8:$B$1013,SMALL(IF(입고!$C$8:$C$1013=마스터!$M$10,ROW(입고!$C$8:$C$1013)-7),8)),"")</f>
        <v/>
      </c>
      <c r="C19" s="11" t="str">
        <f t="array" ref="C19">IFERROR(INDEX(입고!$E$8:$E$1013,SMALL(IF(입고!$C$8:$C$1013=마스터!$M$10,ROW(입고!$C$8:$C$1013)-7),8)),"")</f>
        <v/>
      </c>
      <c r="D19" s="13" t="str">
        <f t="array" ref="D19">IFERROR(INDEX(입고!$F$8:$F$1013,SMALL(IF(입고!$C$8:$C$1013=마스터!$M$10,ROW(입고!$C$8:$C$1013)-7),8)),"")</f>
        <v/>
      </c>
      <c r="E19" s="50" t="str">
        <f t="array" ref="E19">IFERROR(INDEX(입고!$H$8:$H$1013,SMALL(IF(입고!$C$8:$C$1013=마스터!$M$10,ROW(입고!$C$8:$C$1013)-7),8)),"")</f>
        <v/>
      </c>
      <c r="F19" s="50" t="str">
        <f t="array" ref="F19">IFERROR(INDEX(입고!$I$8:$I$1013,SMALL(IF(입고!$C$8:$C$1013=마스터!$M$10,ROW(입고!$C$8:$C$1013)-7),8)),"")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IFERROR(INDEX(입고!$B$8:$B$1013,SMALL(IF(입고!$C$8:$C$1013=마스터!$M$10,ROW(입고!$C$8:$C$1013)-7),9)),"")</f>
        <v/>
      </c>
      <c r="C20" s="6" t="str">
        <f t="array" ref="C20">IFERROR(INDEX(입고!$E$8:$E$1013,SMALL(IF(입고!$C$8:$C$1013=마스터!$M$10,ROW(입고!$C$8:$C$1013)-7),9)),"")</f>
        <v/>
      </c>
      <c r="D20" s="8" t="str">
        <f t="array" ref="D20">IFERROR(INDEX(입고!$F$8:$F$1013,SMALL(IF(입고!$C$8:$C$1013=마스터!$M$10,ROW(입고!$C$8:$C$1013)-7),9)),"")</f>
        <v/>
      </c>
      <c r="E20" s="46" t="str">
        <f t="array" ref="E20">IFERROR(INDEX(입고!$H$8:$H$1013,SMALL(IF(입고!$C$8:$C$1013=마스터!$M$10,ROW(입고!$C$8:$C$1013)-7),9)),"")</f>
        <v/>
      </c>
      <c r="F20" s="46" t="str">
        <f t="array" ref="F20">IFERROR(INDEX(입고!$I$8:$I$1013,SMALL(IF(입고!$C$8:$C$1013=마스터!$M$10,ROW(입고!$C$8:$C$1013)-7),9)),"")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IFERROR(INDEX(입고!$B$8:$B$1013,SMALL(IF(입고!$C$8:$C$1013=마스터!$M$10,ROW(입고!$C$8:$C$1013)-7),10)),"")</f>
        <v/>
      </c>
      <c r="C21" s="11" t="str">
        <f t="array" ref="C21">IFERROR(INDEX(입고!$E$8:$E$1013,SMALL(IF(입고!$C$8:$C$1013=마스터!$M$10,ROW(입고!$C$8:$C$1013)-7),10)),"")</f>
        <v/>
      </c>
      <c r="D21" s="13" t="str">
        <f t="array" ref="D21">IFERROR(INDEX(입고!$F$8:$F$1013,SMALL(IF(입고!$C$8:$C$1013=마스터!$M$10,ROW(입고!$C$8:$C$1013)-7),10)),"")</f>
        <v/>
      </c>
      <c r="E21" s="50" t="str">
        <f t="array" ref="E21">IFERROR(INDEX(입고!$H$8:$H$1013,SMALL(IF(입고!$C$8:$C$1013=마스터!$M$10,ROW(입고!$C$8:$C$1013)-7),10)),"")</f>
        <v/>
      </c>
      <c r="F21" s="50" t="str">
        <f t="array" ref="F21">IFERROR(INDEX(입고!$I$8:$I$1013,SMALL(IF(입고!$C$8:$C$1013=마스터!$M$10,ROW(입고!$C$8:$C$1013)-7),10)),"")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IFERROR(INDEX(입고!$B$8:$B$1013,SMALL(IF(입고!$C$8:$C$1013=마스터!$M$10,ROW(입고!$C$8:$C$1013)-7),11)),"")</f>
        <v/>
      </c>
      <c r="C22" s="6" t="str">
        <f t="array" ref="C22">IFERROR(INDEX(입고!$E$8:$E$1013,SMALL(IF(입고!$C$8:$C$1013=마스터!$M$10,ROW(입고!$C$8:$C$1013)-7),11)),"")</f>
        <v/>
      </c>
      <c r="D22" s="8" t="str">
        <f t="array" ref="D22">IFERROR(INDEX(입고!$F$8:$F$1013,SMALL(IF(입고!$C$8:$C$1013=마스터!$M$10,ROW(입고!$C$8:$C$1013)-7),11)),"")</f>
        <v/>
      </c>
      <c r="E22" s="46" t="str">
        <f t="array" ref="E22">IFERROR(INDEX(입고!$H$8:$H$1013,SMALL(IF(입고!$C$8:$C$1013=마스터!$M$10,ROW(입고!$C$8:$C$1013)-7),11)),"")</f>
        <v/>
      </c>
      <c r="F22" s="46" t="str">
        <f t="array" ref="F22">IFERROR(INDEX(입고!$I$8:$I$1013,SMALL(IF(입고!$C$8:$C$1013=마스터!$M$10,ROW(입고!$C$8:$C$1013)-7),11)),"")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IFERROR(INDEX(입고!$B$8:$B$1013,SMALL(IF(입고!$C$8:$C$1013=마스터!$M$10,ROW(입고!$C$8:$C$1013)-7),12)),"")</f>
        <v/>
      </c>
      <c r="C23" s="11" t="str">
        <f t="array" ref="C23">IFERROR(INDEX(입고!$E$8:$E$1013,SMALL(IF(입고!$C$8:$C$1013=마스터!$M$10,ROW(입고!$C$8:$C$1013)-7),12)),"")</f>
        <v/>
      </c>
      <c r="D23" s="13" t="str">
        <f t="array" ref="D23">IFERROR(INDEX(입고!$F$8:$F$1013,SMALL(IF(입고!$C$8:$C$1013=마스터!$M$10,ROW(입고!$C$8:$C$1013)-7),12)),"")</f>
        <v/>
      </c>
      <c r="E23" s="50" t="str">
        <f t="array" ref="E23">IFERROR(INDEX(입고!$H$8:$H$1013,SMALL(IF(입고!$C$8:$C$1013=마스터!$M$10,ROW(입고!$C$8:$C$1013)-7),12)),"")</f>
        <v/>
      </c>
      <c r="F23" s="50" t="str">
        <f t="array" ref="F23">IFERROR(INDEX(입고!$I$8:$I$1013,SMALL(IF(입고!$C$8:$C$1013=마스터!$M$10,ROW(입고!$C$8:$C$1013)-7),12)),"")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IFERROR(INDEX(입고!$B$8:$B$1013,SMALL(IF(입고!$C$8:$C$1013=마스터!$M$10,ROW(입고!$C$8:$C$1013)-7),13)),"")</f>
        <v/>
      </c>
      <c r="C24" s="6" t="str">
        <f t="array" ref="C24">IFERROR(INDEX(입고!$E$8:$E$1013,SMALL(IF(입고!$C$8:$C$1013=마스터!$M$10,ROW(입고!$C$8:$C$1013)-7),13)),"")</f>
        <v/>
      </c>
      <c r="D24" s="8" t="str">
        <f t="array" ref="D24">IFERROR(INDEX(입고!$F$8:$F$1013,SMALL(IF(입고!$C$8:$C$1013=마스터!$M$10,ROW(입고!$C$8:$C$1013)-7),13)),"")</f>
        <v/>
      </c>
      <c r="E24" s="46" t="str">
        <f t="array" ref="E24">IFERROR(INDEX(입고!$H$8:$H$1013,SMALL(IF(입고!$C$8:$C$1013=마스터!$M$10,ROW(입고!$C$8:$C$1013)-7),13)),"")</f>
        <v/>
      </c>
      <c r="F24" s="46" t="str">
        <f t="array" ref="F24">IFERROR(INDEX(입고!$I$8:$I$1013,SMALL(IF(입고!$C$8:$C$1013=마스터!$M$10,ROW(입고!$C$8:$C$1013)-7),13)),"")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IFERROR(INDEX(입고!$B$8:$B$1013,SMALL(IF(입고!$C$8:$C$1013=마스터!$M$10,ROW(입고!$C$8:$C$1013)-7),14)),"")</f>
        <v/>
      </c>
      <c r="C25" s="11" t="str">
        <f t="array" ref="C25">IFERROR(INDEX(입고!$E$8:$E$1013,SMALL(IF(입고!$C$8:$C$1013=마스터!$M$10,ROW(입고!$C$8:$C$1013)-7),14)),"")</f>
        <v/>
      </c>
      <c r="D25" s="13" t="str">
        <f t="array" ref="D25">IFERROR(INDEX(입고!$F$8:$F$1013,SMALL(IF(입고!$C$8:$C$1013=마스터!$M$10,ROW(입고!$C$8:$C$1013)-7),14)),"")</f>
        <v/>
      </c>
      <c r="E25" s="50" t="str">
        <f t="array" ref="E25">IFERROR(INDEX(입고!$H$8:$H$1013,SMALL(IF(입고!$C$8:$C$1013=마스터!$M$10,ROW(입고!$C$8:$C$1013)-7),14)),"")</f>
        <v/>
      </c>
      <c r="F25" s="50" t="str">
        <f t="array" ref="F25">IFERROR(INDEX(입고!$I$8:$I$1013,SMALL(IF(입고!$C$8:$C$1013=마스터!$M$10,ROW(입고!$C$8:$C$1013)-7),14)),"")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IFERROR(INDEX(입고!$B$8:$B$1013,SMALL(IF(입고!$C$8:$C$1013=마스터!$M$10,ROW(입고!$C$8:$C$1013)-7),15)),"")</f>
        <v/>
      </c>
      <c r="C26" s="6" t="str">
        <f t="array" ref="C26">IFERROR(INDEX(입고!$E$8:$E$1013,SMALL(IF(입고!$C$8:$C$1013=마스터!$M$10,ROW(입고!$C$8:$C$1013)-7),15)),"")</f>
        <v/>
      </c>
      <c r="D26" s="8" t="str">
        <f t="array" ref="D26">IFERROR(INDEX(입고!$F$8:$F$1013,SMALL(IF(입고!$C$8:$C$1013=마스터!$M$10,ROW(입고!$C$8:$C$1013)-7),15)),"")</f>
        <v/>
      </c>
      <c r="E26" s="46" t="str">
        <f t="array" ref="E26">IFERROR(INDEX(입고!$H$8:$H$1013,SMALL(IF(입고!$C$8:$C$1013=마스터!$M$10,ROW(입고!$C$8:$C$1013)-7),15)),"")</f>
        <v/>
      </c>
      <c r="F26" s="46" t="str">
        <f t="array" ref="F26">IFERROR(INDEX(입고!$I$8:$I$1013,SMALL(IF(입고!$C$8:$C$1013=마스터!$M$10,ROW(입고!$C$8:$C$1013)-7),15)),"")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IFERROR(INDEX(입고!$B$8:$B$1013,SMALL(IF(입고!$C$8:$C$1013=마스터!$M$10,ROW(입고!$C$8:$C$1013)-7),16)),"")</f>
        <v/>
      </c>
      <c r="C27" s="11" t="str">
        <f t="array" ref="C27">IFERROR(INDEX(입고!$E$8:$E$1013,SMALL(IF(입고!$C$8:$C$1013=마스터!$M$10,ROW(입고!$C$8:$C$1013)-7),16)),"")</f>
        <v/>
      </c>
      <c r="D27" s="13" t="str">
        <f t="array" ref="D27">IFERROR(INDEX(입고!$F$8:$F$1013,SMALL(IF(입고!$C$8:$C$1013=마스터!$M$10,ROW(입고!$C$8:$C$1013)-7),16)),"")</f>
        <v/>
      </c>
      <c r="E27" s="50" t="str">
        <f t="array" ref="E27">IFERROR(INDEX(입고!$H$8:$H$1013,SMALL(IF(입고!$C$8:$C$1013=마스터!$M$10,ROW(입고!$C$8:$C$1013)-7),16)),"")</f>
        <v/>
      </c>
      <c r="F27" s="50" t="str">
        <f t="array" ref="F27">IFERROR(INDEX(입고!$I$8:$I$1013,SMALL(IF(입고!$C$8:$C$1013=마스터!$M$10,ROW(입고!$C$8:$C$1013)-7),16)),"")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IFERROR(INDEX(입고!$B$8:$B$1013,SMALL(IF(입고!$C$8:$C$1013=마스터!$M$10,ROW(입고!$C$8:$C$1013)-7),17)),"")</f>
        <v/>
      </c>
      <c r="C28" s="6" t="str">
        <f t="array" ref="C28">IFERROR(INDEX(입고!$E$8:$E$1013,SMALL(IF(입고!$C$8:$C$1013=마스터!$M$10,ROW(입고!$C$8:$C$1013)-7),17)),"")</f>
        <v/>
      </c>
      <c r="D28" s="8" t="str">
        <f t="array" ref="D28">IFERROR(INDEX(입고!$F$8:$F$1013,SMALL(IF(입고!$C$8:$C$1013=마스터!$M$10,ROW(입고!$C$8:$C$1013)-7),17)),"")</f>
        <v/>
      </c>
      <c r="E28" s="46" t="str">
        <f t="array" ref="E28">IFERROR(INDEX(입고!$H$8:$H$1013,SMALL(IF(입고!$C$8:$C$1013=마스터!$M$10,ROW(입고!$C$8:$C$1013)-7),17)),"")</f>
        <v/>
      </c>
      <c r="F28" s="46" t="str">
        <f t="array" ref="F28">IFERROR(INDEX(입고!$I$8:$I$1013,SMALL(IF(입고!$C$8:$C$1013=마스터!$M$10,ROW(입고!$C$8:$C$1013)-7),17)),"")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IFERROR(INDEX(입고!$B$8:$B$1013,SMALL(IF(입고!$C$8:$C$1013=마스터!$M$10,ROW(입고!$C$8:$C$1013)-7),18)),"")</f>
        <v/>
      </c>
      <c r="C29" s="11" t="str">
        <f t="array" ref="C29">IFERROR(INDEX(입고!$E$8:$E$1013,SMALL(IF(입고!$C$8:$C$1013=마스터!$M$10,ROW(입고!$C$8:$C$1013)-7),18)),"")</f>
        <v/>
      </c>
      <c r="D29" s="13" t="str">
        <f t="array" ref="D29">IFERROR(INDEX(입고!$F$8:$F$1013,SMALL(IF(입고!$C$8:$C$1013=마스터!$M$10,ROW(입고!$C$8:$C$1013)-7),18)),"")</f>
        <v/>
      </c>
      <c r="E29" s="50" t="str">
        <f t="array" ref="E29">IFERROR(INDEX(입고!$H$8:$H$1013,SMALL(IF(입고!$C$8:$C$1013=마스터!$M$10,ROW(입고!$C$8:$C$1013)-7),18)),"")</f>
        <v/>
      </c>
      <c r="F29" s="50" t="str">
        <f t="array" ref="F29">IFERROR(INDEX(입고!$I$8:$I$1013,SMALL(IF(입고!$C$8:$C$1013=마스터!$M$10,ROW(입고!$C$8:$C$1013)-7),18)),"")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IFERROR(INDEX(입고!$B$8:$B$1013,SMALL(IF(입고!$C$8:$C$1013=마스터!$M$10,ROW(입고!$C$8:$C$1013)-7),19)),"")</f>
        <v/>
      </c>
      <c r="C30" s="6" t="str">
        <f t="array" ref="C30">IFERROR(INDEX(입고!$E$8:$E$1013,SMALL(IF(입고!$C$8:$C$1013=마스터!$M$10,ROW(입고!$C$8:$C$1013)-7),19)),"")</f>
        <v/>
      </c>
      <c r="D30" s="8" t="str">
        <f t="array" ref="D30">IFERROR(INDEX(입고!$F$8:$F$1013,SMALL(IF(입고!$C$8:$C$1013=마스터!$M$10,ROW(입고!$C$8:$C$1013)-7),19)),"")</f>
        <v/>
      </c>
      <c r="E30" s="46" t="str">
        <f t="array" ref="E30">IFERROR(INDEX(입고!$H$8:$H$1013,SMALL(IF(입고!$C$8:$C$1013=마스터!$M$10,ROW(입고!$C$8:$C$1013)-7),19)),"")</f>
        <v/>
      </c>
      <c r="F30" s="46" t="str">
        <f t="array" ref="F30">IFERROR(INDEX(입고!$I$8:$I$1013,SMALL(IF(입고!$C$8:$C$1013=마스터!$M$10,ROW(입고!$C$8:$C$1013)-7),19)),"")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IFERROR(INDEX(입고!$B$8:$B$1013,SMALL(IF(입고!$C$8:$C$1013=마스터!$M$10,ROW(입고!$C$8:$C$1013)-7),20)),"")</f>
        <v/>
      </c>
      <c r="C31" s="11" t="str">
        <f t="array" ref="C31">IFERROR(INDEX(입고!$E$8:$E$1013,SMALL(IF(입고!$C$8:$C$1013=마스터!$M$10,ROW(입고!$C$8:$C$1013)-7),20)),"")</f>
        <v/>
      </c>
      <c r="D31" s="13" t="str">
        <f t="array" ref="D31">IFERROR(INDEX(입고!$F$8:$F$1013,SMALL(IF(입고!$C$8:$C$1013=마스터!$M$10,ROW(입고!$C$8:$C$1013)-7),20)),"")</f>
        <v/>
      </c>
      <c r="E31" s="50" t="str">
        <f t="array" ref="E31">IFERROR(INDEX(입고!$H$8:$H$1013,SMALL(IF(입고!$C$8:$C$1013=마스터!$M$10,ROW(입고!$C$8:$C$1013)-7),20)),"")</f>
        <v/>
      </c>
      <c r="F31" s="50" t="str">
        <f t="array" ref="F31">IFERROR(INDEX(입고!$I$8:$I$1013,SMALL(IF(입고!$C$8:$C$1013=마스터!$M$10,ROW(입고!$C$8:$C$1013)-7),20)),"")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IFERROR(INDEX(입고!$B$8:$B$1013,SMALL(IF(입고!$C$8:$C$1013=마스터!$M$10,ROW(입고!$C$8:$C$1013)-7),21)),"")</f>
        <v/>
      </c>
      <c r="C32" s="6" t="str">
        <f t="array" ref="C32">IFERROR(INDEX(입고!$E$8:$E$1013,SMALL(IF(입고!$C$8:$C$1013=마스터!$M$10,ROW(입고!$C$8:$C$1013)-7),21)),"")</f>
        <v/>
      </c>
      <c r="D32" s="8" t="str">
        <f t="array" ref="D32">IFERROR(INDEX(입고!$F$8:$F$1013,SMALL(IF(입고!$C$8:$C$1013=마스터!$M$10,ROW(입고!$C$8:$C$1013)-7),21)),"")</f>
        <v/>
      </c>
      <c r="E32" s="46" t="str">
        <f t="array" ref="E32">IFERROR(INDEX(입고!$H$8:$H$1013,SMALL(IF(입고!$C$8:$C$1013=마스터!$M$10,ROW(입고!$C$8:$C$1013)-7),21)),"")</f>
        <v/>
      </c>
      <c r="F32" s="46" t="str">
        <f t="array" ref="F32">IFERROR(INDEX(입고!$I$8:$I$1013,SMALL(IF(입고!$C$8:$C$1013=마스터!$M$10,ROW(입고!$C$8:$C$1013)-7),21)),"")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IFERROR(INDEX(입고!$B$8:$B$1013,SMALL(IF(입고!$C$8:$C$1013=마스터!$M$10,ROW(입고!$C$8:$C$1013)-7),22)),"")</f>
        <v/>
      </c>
      <c r="C33" s="11" t="str">
        <f t="array" ref="C33">IFERROR(INDEX(입고!$E$8:$E$1013,SMALL(IF(입고!$C$8:$C$1013=마스터!$M$10,ROW(입고!$C$8:$C$1013)-7),22)),"")</f>
        <v/>
      </c>
      <c r="D33" s="13" t="str">
        <f t="array" ref="D33">IFERROR(INDEX(입고!$F$8:$F$1013,SMALL(IF(입고!$C$8:$C$1013=마스터!$M$10,ROW(입고!$C$8:$C$1013)-7),22)),"")</f>
        <v/>
      </c>
      <c r="E33" s="50" t="str">
        <f t="array" ref="E33">IFERROR(INDEX(입고!$H$8:$H$1013,SMALL(IF(입고!$C$8:$C$1013=마스터!$M$10,ROW(입고!$C$8:$C$1013)-7),22)),"")</f>
        <v/>
      </c>
      <c r="F33" s="50" t="str">
        <f t="array" ref="F33">IFERROR(INDEX(입고!$I$8:$I$1013,SMALL(IF(입고!$C$8:$C$1013=마스터!$M$10,ROW(입고!$C$8:$C$1013)-7),22)),"")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IFERROR(INDEX(입고!$B$8:$B$1013,SMALL(IF(입고!$C$8:$C$1013=마스터!$M$10,ROW(입고!$C$8:$C$1013)-7),23)),"")</f>
        <v/>
      </c>
      <c r="C34" s="6" t="str">
        <f t="array" ref="C34">IFERROR(INDEX(입고!$E$8:$E$1013,SMALL(IF(입고!$C$8:$C$1013=마스터!$M$10,ROW(입고!$C$8:$C$1013)-7),23)),"")</f>
        <v/>
      </c>
      <c r="D34" s="8" t="str">
        <f t="array" ref="D34">IFERROR(INDEX(입고!$F$8:$F$1013,SMALL(IF(입고!$C$8:$C$1013=마스터!$M$10,ROW(입고!$C$8:$C$1013)-7),23)),"")</f>
        <v/>
      </c>
      <c r="E34" s="46" t="str">
        <f t="array" ref="E34">IFERROR(INDEX(입고!$H$8:$H$1013,SMALL(IF(입고!$C$8:$C$1013=마스터!$M$10,ROW(입고!$C$8:$C$1013)-7),23)),"")</f>
        <v/>
      </c>
      <c r="F34" s="46" t="str">
        <f t="array" ref="F34">IFERROR(INDEX(입고!$I$8:$I$1013,SMALL(IF(입고!$C$8:$C$1013=마스터!$M$10,ROW(입고!$C$8:$C$1013)-7),23)),"")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IFERROR(INDEX(입고!$B$8:$B$1013,SMALL(IF(입고!$C$8:$C$1013=마스터!$M$10,ROW(입고!$C$8:$C$1013)-7),24)),"")</f>
        <v/>
      </c>
      <c r="C35" s="11" t="str">
        <f t="array" ref="C35">IFERROR(INDEX(입고!$E$8:$E$1013,SMALL(IF(입고!$C$8:$C$1013=마스터!$M$10,ROW(입고!$C$8:$C$1013)-7),24)),"")</f>
        <v/>
      </c>
      <c r="D35" s="13" t="str">
        <f t="array" ref="D35">IFERROR(INDEX(입고!$F$8:$F$1013,SMALL(IF(입고!$C$8:$C$1013=마스터!$M$10,ROW(입고!$C$8:$C$1013)-7),24)),"")</f>
        <v/>
      </c>
      <c r="E35" s="50" t="str">
        <f t="array" ref="E35">IFERROR(INDEX(입고!$H$8:$H$1013,SMALL(IF(입고!$C$8:$C$1013=마스터!$M$10,ROW(입고!$C$8:$C$1013)-7),24)),"")</f>
        <v/>
      </c>
      <c r="F35" s="50" t="str">
        <f t="array" ref="F35">IFERROR(INDEX(입고!$I$8:$I$1013,SMALL(IF(입고!$C$8:$C$1013=마스터!$M$10,ROW(입고!$C$8:$C$1013)-7),24)),"")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IFERROR(INDEX(입고!$B$8:$B$1013,SMALL(IF(입고!$C$8:$C$1013=마스터!$M$10,ROW(입고!$C$8:$C$1013)-7),25)),"")</f>
        <v/>
      </c>
      <c r="C36" s="6" t="str">
        <f t="array" ref="C36">IFERROR(INDEX(입고!$E$8:$E$1013,SMALL(IF(입고!$C$8:$C$1013=마스터!$M$10,ROW(입고!$C$8:$C$1013)-7),25)),"")</f>
        <v/>
      </c>
      <c r="D36" s="8" t="str">
        <f t="array" ref="D36">IFERROR(INDEX(입고!$F$8:$F$1013,SMALL(IF(입고!$C$8:$C$1013=마스터!$M$10,ROW(입고!$C$8:$C$1013)-7),25)),"")</f>
        <v/>
      </c>
      <c r="E36" s="46" t="str">
        <f t="array" ref="E36">IFERROR(INDEX(입고!$H$8:$H$1013,SMALL(IF(입고!$C$8:$C$1013=마스터!$M$10,ROW(입고!$C$8:$C$1013)-7),25)),"")</f>
        <v/>
      </c>
      <c r="F36" s="46" t="str">
        <f t="array" ref="F36">IFERROR(INDEX(입고!$I$8:$I$1013,SMALL(IF(입고!$C$8:$C$1013=마스터!$M$10,ROW(입고!$C$8:$C$1013)-7),25)),"")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IFERROR(INDEX(입고!$B$8:$B$1013,SMALL(IF(입고!$C$8:$C$1013=마스터!$M$10,ROW(입고!$C$8:$C$1013)-7),26)),"")</f>
        <v/>
      </c>
      <c r="C37" s="11" t="str">
        <f t="array" ref="C37">IFERROR(INDEX(입고!$E$8:$E$1013,SMALL(IF(입고!$C$8:$C$1013=마스터!$M$10,ROW(입고!$C$8:$C$1013)-7),26)),"")</f>
        <v/>
      </c>
      <c r="D37" s="13" t="str">
        <f t="array" ref="D37">IFERROR(INDEX(입고!$F$8:$F$1013,SMALL(IF(입고!$C$8:$C$1013=마스터!$M$10,ROW(입고!$C$8:$C$1013)-7),26)),"")</f>
        <v/>
      </c>
      <c r="E37" s="50" t="str">
        <f t="array" ref="E37">IFERROR(INDEX(입고!$H$8:$H$1013,SMALL(IF(입고!$C$8:$C$1013=마스터!$M$10,ROW(입고!$C$8:$C$1013)-7),26)),"")</f>
        <v/>
      </c>
      <c r="F37" s="50" t="str">
        <f t="array" ref="F37">IFERROR(INDEX(입고!$I$8:$I$1013,SMALL(IF(입고!$C$8:$C$1013=마스터!$M$10,ROW(입고!$C$8:$C$1013)-7),26)),"")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IFERROR(INDEX(입고!$B$8:$B$1013,SMALL(IF(입고!$C$8:$C$1013=마스터!$M$10,ROW(입고!$C$8:$C$1013)-7),27)),"")</f>
        <v/>
      </c>
      <c r="C38" s="6" t="str">
        <f t="array" ref="C38">IFERROR(INDEX(입고!$E$8:$E$1013,SMALL(IF(입고!$C$8:$C$1013=마스터!$M$10,ROW(입고!$C$8:$C$1013)-7),27)),"")</f>
        <v/>
      </c>
      <c r="D38" s="8" t="str">
        <f t="array" ref="D38">IFERROR(INDEX(입고!$F$8:$F$1013,SMALL(IF(입고!$C$8:$C$1013=마스터!$M$10,ROW(입고!$C$8:$C$1013)-7),27)),"")</f>
        <v/>
      </c>
      <c r="E38" s="46" t="str">
        <f t="array" ref="E38">IFERROR(INDEX(입고!$H$8:$H$1013,SMALL(IF(입고!$C$8:$C$1013=마스터!$M$10,ROW(입고!$C$8:$C$1013)-7),27)),"")</f>
        <v/>
      </c>
      <c r="F38" s="46" t="str">
        <f t="array" ref="F38">IFERROR(INDEX(입고!$I$8:$I$1013,SMALL(IF(입고!$C$8:$C$1013=마스터!$M$10,ROW(입고!$C$8:$C$1013)-7),27)),"")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IFERROR(INDEX(입고!$B$8:$B$1013,SMALL(IF(입고!$C$8:$C$1013=마스터!$M$10,ROW(입고!$C$8:$C$1013)-7),28)),"")</f>
        <v/>
      </c>
      <c r="C39" s="11" t="str">
        <f t="array" ref="C39">IFERROR(INDEX(입고!$E$8:$E$1013,SMALL(IF(입고!$C$8:$C$1013=마스터!$M$10,ROW(입고!$C$8:$C$1013)-7),28)),"")</f>
        <v/>
      </c>
      <c r="D39" s="13" t="str">
        <f t="array" ref="D39">IFERROR(INDEX(입고!$F$8:$F$1013,SMALL(IF(입고!$C$8:$C$1013=마스터!$M$10,ROW(입고!$C$8:$C$1013)-7),28)),"")</f>
        <v/>
      </c>
      <c r="E39" s="50" t="str">
        <f t="array" ref="E39">IFERROR(INDEX(입고!$H$8:$H$1013,SMALL(IF(입고!$C$8:$C$1013=마스터!$M$10,ROW(입고!$C$8:$C$1013)-7),28)),"")</f>
        <v/>
      </c>
      <c r="F39" s="50" t="str">
        <f t="array" ref="F39">IFERROR(INDEX(입고!$I$8:$I$1013,SMALL(IF(입고!$C$8:$C$1013=마스터!$M$10,ROW(입고!$C$8:$C$1013)-7),28)),"")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IFERROR(INDEX(입고!$B$8:$B$1013,SMALL(IF(입고!$C$8:$C$1013=마스터!$M$10,ROW(입고!$C$8:$C$1013)-7),29)),"")</f>
        <v/>
      </c>
      <c r="C40" s="6" t="str">
        <f t="array" ref="C40">IFERROR(INDEX(입고!$E$8:$E$1013,SMALL(IF(입고!$C$8:$C$1013=마스터!$M$10,ROW(입고!$C$8:$C$1013)-7),29)),"")</f>
        <v/>
      </c>
      <c r="D40" s="8" t="str">
        <f t="array" ref="D40">IFERROR(INDEX(입고!$F$8:$F$1013,SMALL(IF(입고!$C$8:$C$1013=마스터!$M$10,ROW(입고!$C$8:$C$1013)-7),29)),"")</f>
        <v/>
      </c>
      <c r="E40" s="46" t="str">
        <f t="array" ref="E40">IFERROR(INDEX(입고!$H$8:$H$1013,SMALL(IF(입고!$C$8:$C$1013=마스터!$M$10,ROW(입고!$C$8:$C$1013)-7),29)),"")</f>
        <v/>
      </c>
      <c r="F40" s="46" t="str">
        <f t="array" ref="F40">IFERROR(INDEX(입고!$I$8:$I$1013,SMALL(IF(입고!$C$8:$C$1013=마스터!$M$10,ROW(입고!$C$8:$C$1013)-7),29)),"")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IFERROR(INDEX(입고!$B$8:$B$1013,SMALL(IF(입고!$C$8:$C$1013=마스터!$M$10,ROW(입고!$C$8:$C$1013)-7),30)),"")</f>
        <v/>
      </c>
      <c r="C41" s="11" t="str">
        <f t="array" ref="C41">IFERROR(INDEX(입고!$E$8:$E$1013,SMALL(IF(입고!$C$8:$C$1013=마스터!$M$10,ROW(입고!$C$8:$C$1013)-7),30)),"")</f>
        <v/>
      </c>
      <c r="D41" s="13" t="str">
        <f t="array" ref="D41">IFERROR(INDEX(입고!$F$8:$F$1013,SMALL(IF(입고!$C$8:$C$1013=마스터!$M$10,ROW(입고!$C$8:$C$1013)-7),30)),"")</f>
        <v/>
      </c>
      <c r="E41" s="50" t="str">
        <f t="array" ref="E41">IFERROR(INDEX(입고!$H$8:$H$1013,SMALL(IF(입고!$C$8:$C$1013=마스터!$M$10,ROW(입고!$C$8:$C$1013)-7),30)),"")</f>
        <v/>
      </c>
      <c r="F41" s="50" t="str">
        <f t="array" ref="F41">IFERROR(INDEX(입고!$I$8:$I$1013,SMALL(IF(입고!$C$8:$C$1013=마스터!$M$10,ROW(입고!$C$8:$C$1013)-7),30)),"")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IFERROR(INDEX(출고!$B$8:$B$1013,SMALL(IF(출고!$C$8:$C$1013=마스터!$M$10,ROW(출고!$C$8:$C$1013)-7),1)),"")</f>
        <v/>
      </c>
      <c r="C45" s="6" t="str">
        <f t="array" ref="C45">IFERROR(INDEX(출고!$E$8:$E$1013,SMALL(IF(출고!$C$8:$C$1013=마스터!$M$10,ROW(출고!$C$8:$C$1013)-7),1)),"")</f>
        <v/>
      </c>
      <c r="D45" s="8" t="str">
        <f t="array" ref="D45">IFERROR(INDEX(출고!$F$8:$F$1013,SMALL(IF(출고!$C$8:$C$1013=마스터!$M$10,ROW(출고!$C$8:$C$1013)-7),1)),"")</f>
        <v/>
      </c>
      <c r="E45" s="46" t="str">
        <f t="array" ref="E45">IFERROR(INDEX(출고!$H$8:$H$1013,SMALL(IF(출고!$C$8:$C$1013=마스터!$M$10,ROW(출고!$C$8:$C$1013)-7),1)),"")</f>
        <v/>
      </c>
      <c r="F45" s="46" t="str">
        <f t="array" ref="F45">IFERROR(INDEX(출고!$I$8:$I$1013,SMALL(IF(출고!$C$8:$C$1013=마스터!$M$10,ROW(출고!$C$8:$C$1013)-7),1)),"")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IFERROR(INDEX(출고!$B$8:$B$1013,SMALL(IF(출고!$C$8:$C$1013=마스터!$M$10,ROW(출고!$C$8:$C$1013)-7),2)),"")</f>
        <v/>
      </c>
      <c r="C46" s="11" t="str">
        <f t="array" ref="C46">IFERROR(INDEX(출고!$E$8:$E$1013,SMALL(IF(출고!$C$8:$C$1013=마스터!$M$10,ROW(출고!$C$8:$C$1013)-7),2)),"")</f>
        <v/>
      </c>
      <c r="D46" s="13" t="str">
        <f t="array" ref="D46">IFERROR(INDEX(출고!$F$8:$F$1013,SMALL(IF(출고!$C$8:$C$1013=마스터!$M$10,ROW(출고!$C$8:$C$1013)-7),2)),"")</f>
        <v/>
      </c>
      <c r="E46" s="50" t="str">
        <f t="array" ref="E46">IFERROR(INDEX(출고!$H$8:$H$1013,SMALL(IF(출고!$C$8:$C$1013=마스터!$M$10,ROW(출고!$C$8:$C$1013)-7),2)),"")</f>
        <v/>
      </c>
      <c r="F46" s="50" t="str">
        <f t="array" ref="F46">IFERROR(INDEX(출고!$I$8:$I$1013,SMALL(IF(출고!$C$8:$C$1013=마스터!$M$10,ROW(출고!$C$8:$C$1013)-7),2)),"")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IFERROR(INDEX(출고!$B$8:$B$1013,SMALL(IF(출고!$C$8:$C$1013=마스터!$M$10,ROW(출고!$C$8:$C$1013)-7),3)),"")</f>
        <v/>
      </c>
      <c r="C47" s="6" t="str">
        <f t="array" ref="C47">IFERROR(INDEX(출고!$E$8:$E$1013,SMALL(IF(출고!$C$8:$C$1013=마스터!$M$10,ROW(출고!$C$8:$C$1013)-7),3)),"")</f>
        <v/>
      </c>
      <c r="D47" s="8" t="str">
        <f t="array" ref="D47">IFERROR(INDEX(출고!$F$8:$F$1013,SMALL(IF(출고!$C$8:$C$1013=마스터!$M$10,ROW(출고!$C$8:$C$1013)-7),3)),"")</f>
        <v/>
      </c>
      <c r="E47" s="46" t="str">
        <f t="array" ref="E47">IFERROR(INDEX(출고!$H$8:$H$1013,SMALL(IF(출고!$C$8:$C$1013=마스터!$M$10,ROW(출고!$C$8:$C$1013)-7),3)),"")</f>
        <v/>
      </c>
      <c r="F47" s="46" t="str">
        <f t="array" ref="F47">IFERROR(INDEX(출고!$I$8:$I$1013,SMALL(IF(출고!$C$8:$C$1013=마스터!$M$10,ROW(출고!$C$8:$C$1013)-7),3)),"")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IFERROR(INDEX(출고!$B$8:$B$1013,SMALL(IF(출고!$C$8:$C$1013=마스터!$M$10,ROW(출고!$C$8:$C$1013)-7),4)),"")</f>
        <v/>
      </c>
      <c r="C48" s="11" t="str">
        <f t="array" ref="C48">IFERROR(INDEX(출고!$E$8:$E$1013,SMALL(IF(출고!$C$8:$C$1013=마스터!$M$10,ROW(출고!$C$8:$C$1013)-7),4)),"")</f>
        <v/>
      </c>
      <c r="D48" s="13" t="str">
        <f t="array" ref="D48">IFERROR(INDEX(출고!$F$8:$F$1013,SMALL(IF(출고!$C$8:$C$1013=마스터!$M$10,ROW(출고!$C$8:$C$1013)-7),4)),"")</f>
        <v/>
      </c>
      <c r="E48" s="50" t="str">
        <f t="array" ref="E48">IFERROR(INDEX(출고!$H$8:$H$1013,SMALL(IF(출고!$C$8:$C$1013=마스터!$M$10,ROW(출고!$C$8:$C$1013)-7),4)),"")</f>
        <v/>
      </c>
      <c r="F48" s="50" t="str">
        <f t="array" ref="F48">IFERROR(INDEX(출고!$I$8:$I$1013,SMALL(IF(출고!$C$8:$C$1013=마스터!$M$10,ROW(출고!$C$8:$C$1013)-7),4)),"")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IFERROR(INDEX(출고!$B$8:$B$1013,SMALL(IF(출고!$C$8:$C$1013=마스터!$M$10,ROW(출고!$C$8:$C$1013)-7),5)),"")</f>
        <v/>
      </c>
      <c r="C49" s="6" t="str">
        <f t="array" ref="C49">IFERROR(INDEX(출고!$E$8:$E$1013,SMALL(IF(출고!$C$8:$C$1013=마스터!$M$10,ROW(출고!$C$8:$C$1013)-7),5)),"")</f>
        <v/>
      </c>
      <c r="D49" s="8" t="str">
        <f t="array" ref="D49">IFERROR(INDEX(출고!$F$8:$F$1013,SMALL(IF(출고!$C$8:$C$1013=마스터!$M$10,ROW(출고!$C$8:$C$1013)-7),5)),"")</f>
        <v/>
      </c>
      <c r="E49" s="46" t="str">
        <f t="array" ref="E49">IFERROR(INDEX(출고!$H$8:$H$1013,SMALL(IF(출고!$C$8:$C$1013=마스터!$M$10,ROW(출고!$C$8:$C$1013)-7),5)),"")</f>
        <v/>
      </c>
      <c r="F49" s="46" t="str">
        <f t="array" ref="F49">IFERROR(INDEX(출고!$I$8:$I$1013,SMALL(IF(출고!$C$8:$C$1013=마스터!$M$10,ROW(출고!$C$8:$C$1013)-7),5)),"")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IFERROR(INDEX(출고!$B$8:$B$1013,SMALL(IF(출고!$C$8:$C$1013=마스터!$M$10,ROW(출고!$C$8:$C$1013)-7),6)),"")</f>
        <v/>
      </c>
      <c r="C50" s="11" t="str">
        <f t="array" ref="C50">IFERROR(INDEX(출고!$E$8:$E$1013,SMALL(IF(출고!$C$8:$C$1013=마스터!$M$10,ROW(출고!$C$8:$C$1013)-7),6)),"")</f>
        <v/>
      </c>
      <c r="D50" s="13" t="str">
        <f t="array" ref="D50">IFERROR(INDEX(출고!$F$8:$F$1013,SMALL(IF(출고!$C$8:$C$1013=마스터!$M$10,ROW(출고!$C$8:$C$1013)-7),6)),"")</f>
        <v/>
      </c>
      <c r="E50" s="50" t="str">
        <f t="array" ref="E50">IFERROR(INDEX(출고!$H$8:$H$1013,SMALL(IF(출고!$C$8:$C$1013=마스터!$M$10,ROW(출고!$C$8:$C$1013)-7),6)),"")</f>
        <v/>
      </c>
      <c r="F50" s="50" t="str">
        <f t="array" ref="F50">IFERROR(INDEX(출고!$I$8:$I$1013,SMALL(IF(출고!$C$8:$C$1013=마스터!$M$10,ROW(출고!$C$8:$C$1013)-7),6)),"")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IFERROR(INDEX(출고!$B$8:$B$1013,SMALL(IF(출고!$C$8:$C$1013=마스터!$M$10,ROW(출고!$C$8:$C$1013)-7),7)),"")</f>
        <v/>
      </c>
      <c r="C51" s="6" t="str">
        <f t="array" ref="C51">IFERROR(INDEX(출고!$E$8:$E$1013,SMALL(IF(출고!$C$8:$C$1013=마스터!$M$10,ROW(출고!$C$8:$C$1013)-7),7)),"")</f>
        <v/>
      </c>
      <c r="D51" s="8" t="str">
        <f t="array" ref="D51">IFERROR(INDEX(출고!$F$8:$F$1013,SMALL(IF(출고!$C$8:$C$1013=마스터!$M$10,ROW(출고!$C$8:$C$1013)-7),7)),"")</f>
        <v/>
      </c>
      <c r="E51" s="46" t="str">
        <f t="array" ref="E51">IFERROR(INDEX(출고!$H$8:$H$1013,SMALL(IF(출고!$C$8:$C$1013=마스터!$M$10,ROW(출고!$C$8:$C$1013)-7),7)),"")</f>
        <v/>
      </c>
      <c r="F51" s="46" t="str">
        <f t="array" ref="F51">IFERROR(INDEX(출고!$I$8:$I$1013,SMALL(IF(출고!$C$8:$C$1013=마스터!$M$10,ROW(출고!$C$8:$C$1013)-7),7)),"")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IFERROR(INDEX(출고!$B$8:$B$1013,SMALL(IF(출고!$C$8:$C$1013=마스터!$M$10,ROW(출고!$C$8:$C$1013)-7),8)),"")</f>
        <v/>
      </c>
      <c r="C52" s="11" t="str">
        <f t="array" ref="C52">IFERROR(INDEX(출고!$E$8:$E$1013,SMALL(IF(출고!$C$8:$C$1013=마스터!$M$10,ROW(출고!$C$8:$C$1013)-7),8)),"")</f>
        <v/>
      </c>
      <c r="D52" s="13" t="str">
        <f t="array" ref="D52">IFERROR(INDEX(출고!$F$8:$F$1013,SMALL(IF(출고!$C$8:$C$1013=마스터!$M$10,ROW(출고!$C$8:$C$1013)-7),8)),"")</f>
        <v/>
      </c>
      <c r="E52" s="50" t="str">
        <f t="array" ref="E52">IFERROR(INDEX(출고!$H$8:$H$1013,SMALL(IF(출고!$C$8:$C$1013=마스터!$M$10,ROW(출고!$C$8:$C$1013)-7),8)),"")</f>
        <v/>
      </c>
      <c r="F52" s="50" t="str">
        <f t="array" ref="F52">IFERROR(INDEX(출고!$I$8:$I$1013,SMALL(IF(출고!$C$8:$C$1013=마스터!$M$10,ROW(출고!$C$8:$C$1013)-7),8)),"")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IFERROR(INDEX(출고!$B$8:$B$1013,SMALL(IF(출고!$C$8:$C$1013=마스터!$M$10,ROW(출고!$C$8:$C$1013)-7),9)),"")</f>
        <v/>
      </c>
      <c r="C53" s="6" t="str">
        <f t="array" ref="C53">IFERROR(INDEX(출고!$E$8:$E$1013,SMALL(IF(출고!$C$8:$C$1013=마스터!$M$10,ROW(출고!$C$8:$C$1013)-7),9)),"")</f>
        <v/>
      </c>
      <c r="D53" s="8" t="str">
        <f t="array" ref="D53">IFERROR(INDEX(출고!$F$8:$F$1013,SMALL(IF(출고!$C$8:$C$1013=마스터!$M$10,ROW(출고!$C$8:$C$1013)-7),9)),"")</f>
        <v/>
      </c>
      <c r="E53" s="46" t="str">
        <f t="array" ref="E53">IFERROR(INDEX(출고!$H$8:$H$1013,SMALL(IF(출고!$C$8:$C$1013=마스터!$M$10,ROW(출고!$C$8:$C$1013)-7),9)),"")</f>
        <v/>
      </c>
      <c r="F53" s="46" t="str">
        <f t="array" ref="F53">IFERROR(INDEX(출고!$I$8:$I$1013,SMALL(IF(출고!$C$8:$C$1013=마스터!$M$10,ROW(출고!$C$8:$C$1013)-7),9)),"")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IFERROR(INDEX(출고!$B$8:$B$1013,SMALL(IF(출고!$C$8:$C$1013=마스터!$M$10,ROW(출고!$C$8:$C$1013)-7),10)),"")</f>
        <v/>
      </c>
      <c r="C54" s="11" t="str">
        <f t="array" ref="C54">IFERROR(INDEX(출고!$E$8:$E$1013,SMALL(IF(출고!$C$8:$C$1013=마스터!$M$10,ROW(출고!$C$8:$C$1013)-7),10)),"")</f>
        <v/>
      </c>
      <c r="D54" s="13" t="str">
        <f t="array" ref="D54">IFERROR(INDEX(출고!$F$8:$F$1013,SMALL(IF(출고!$C$8:$C$1013=마스터!$M$10,ROW(출고!$C$8:$C$1013)-7),10)),"")</f>
        <v/>
      </c>
      <c r="E54" s="50" t="str">
        <f t="array" ref="E54">IFERROR(INDEX(출고!$H$8:$H$1013,SMALL(IF(출고!$C$8:$C$1013=마스터!$M$10,ROW(출고!$C$8:$C$1013)-7),10)),"")</f>
        <v/>
      </c>
      <c r="F54" s="50" t="str">
        <f t="array" ref="F54">IFERROR(INDEX(출고!$I$8:$I$1013,SMALL(IF(출고!$C$8:$C$1013=마스터!$M$10,ROW(출고!$C$8:$C$1013)-7),10)),"")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IFERROR(INDEX(출고!$B$8:$B$1013,SMALL(IF(출고!$C$8:$C$1013=마스터!$M$10,ROW(출고!$C$8:$C$1013)-7),11)),"")</f>
        <v/>
      </c>
      <c r="C55" s="6" t="str">
        <f t="array" ref="C55">IFERROR(INDEX(출고!$E$8:$E$1013,SMALL(IF(출고!$C$8:$C$1013=마스터!$M$10,ROW(출고!$C$8:$C$1013)-7),11)),"")</f>
        <v/>
      </c>
      <c r="D55" s="8" t="str">
        <f t="array" ref="D55">IFERROR(INDEX(출고!$F$8:$F$1013,SMALL(IF(출고!$C$8:$C$1013=마스터!$M$10,ROW(출고!$C$8:$C$1013)-7),11)),"")</f>
        <v/>
      </c>
      <c r="E55" s="46" t="str">
        <f t="array" ref="E55">IFERROR(INDEX(출고!$H$8:$H$1013,SMALL(IF(출고!$C$8:$C$1013=마스터!$M$10,ROW(출고!$C$8:$C$1013)-7),11)),"")</f>
        <v/>
      </c>
      <c r="F55" s="46" t="str">
        <f t="array" ref="F55">IFERROR(INDEX(출고!$I$8:$I$1013,SMALL(IF(출고!$C$8:$C$1013=마스터!$M$10,ROW(출고!$C$8:$C$1013)-7),11)),"")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IFERROR(INDEX(출고!$B$8:$B$1013,SMALL(IF(출고!$C$8:$C$1013=마스터!$M$10,ROW(출고!$C$8:$C$1013)-7),12)),"")</f>
        <v/>
      </c>
      <c r="C56" s="11" t="str">
        <f t="array" ref="C56">IFERROR(INDEX(출고!$E$8:$E$1013,SMALL(IF(출고!$C$8:$C$1013=마스터!$M$10,ROW(출고!$C$8:$C$1013)-7),12)),"")</f>
        <v/>
      </c>
      <c r="D56" s="13" t="str">
        <f t="array" ref="D56">IFERROR(INDEX(출고!$F$8:$F$1013,SMALL(IF(출고!$C$8:$C$1013=마스터!$M$10,ROW(출고!$C$8:$C$1013)-7),12)),"")</f>
        <v/>
      </c>
      <c r="E56" s="50" t="str">
        <f t="array" ref="E56">IFERROR(INDEX(출고!$H$8:$H$1013,SMALL(IF(출고!$C$8:$C$1013=마스터!$M$10,ROW(출고!$C$8:$C$1013)-7),12)),"")</f>
        <v/>
      </c>
      <c r="F56" s="50" t="str">
        <f t="array" ref="F56">IFERROR(INDEX(출고!$I$8:$I$1013,SMALL(IF(출고!$C$8:$C$1013=마스터!$M$10,ROW(출고!$C$8:$C$1013)-7),12)),"")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IFERROR(INDEX(출고!$B$8:$B$1013,SMALL(IF(출고!$C$8:$C$1013=마스터!$M$10,ROW(출고!$C$8:$C$1013)-7),13)),"")</f>
        <v/>
      </c>
      <c r="C57" s="6" t="str">
        <f t="array" ref="C57">IFERROR(INDEX(출고!$E$8:$E$1013,SMALL(IF(출고!$C$8:$C$1013=마스터!$M$10,ROW(출고!$C$8:$C$1013)-7),13)),"")</f>
        <v/>
      </c>
      <c r="D57" s="8" t="str">
        <f t="array" ref="D57">IFERROR(INDEX(출고!$F$8:$F$1013,SMALL(IF(출고!$C$8:$C$1013=마스터!$M$10,ROW(출고!$C$8:$C$1013)-7),13)),"")</f>
        <v/>
      </c>
      <c r="E57" s="46" t="str">
        <f t="array" ref="E57">IFERROR(INDEX(출고!$H$8:$H$1013,SMALL(IF(출고!$C$8:$C$1013=마스터!$M$10,ROW(출고!$C$8:$C$1013)-7),13)),"")</f>
        <v/>
      </c>
      <c r="F57" s="46" t="str">
        <f t="array" ref="F57">IFERROR(INDEX(출고!$I$8:$I$1013,SMALL(IF(출고!$C$8:$C$1013=마스터!$M$10,ROW(출고!$C$8:$C$1013)-7),13)),"")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IFERROR(INDEX(출고!$B$8:$B$1013,SMALL(IF(출고!$C$8:$C$1013=마스터!$M$10,ROW(출고!$C$8:$C$1013)-7),14)),"")</f>
        <v/>
      </c>
      <c r="C58" s="11" t="str">
        <f t="array" ref="C58">IFERROR(INDEX(출고!$E$8:$E$1013,SMALL(IF(출고!$C$8:$C$1013=마스터!$M$10,ROW(출고!$C$8:$C$1013)-7),14)),"")</f>
        <v/>
      </c>
      <c r="D58" s="13" t="str">
        <f t="array" ref="D58">IFERROR(INDEX(출고!$F$8:$F$1013,SMALL(IF(출고!$C$8:$C$1013=마스터!$M$10,ROW(출고!$C$8:$C$1013)-7),14)),"")</f>
        <v/>
      </c>
      <c r="E58" s="50" t="str">
        <f t="array" ref="E58">IFERROR(INDEX(출고!$H$8:$H$1013,SMALL(IF(출고!$C$8:$C$1013=마스터!$M$10,ROW(출고!$C$8:$C$1013)-7),14)),"")</f>
        <v/>
      </c>
      <c r="F58" s="50" t="str">
        <f t="array" ref="F58">IFERROR(INDEX(출고!$I$8:$I$1013,SMALL(IF(출고!$C$8:$C$1013=마스터!$M$10,ROW(출고!$C$8:$C$1013)-7),14)),"")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IFERROR(INDEX(출고!$B$8:$B$1013,SMALL(IF(출고!$C$8:$C$1013=마스터!$M$10,ROW(출고!$C$8:$C$1013)-7),15)),"")</f>
        <v/>
      </c>
      <c r="C59" s="6" t="str">
        <f t="array" ref="C59">IFERROR(INDEX(출고!$E$8:$E$1013,SMALL(IF(출고!$C$8:$C$1013=마스터!$M$10,ROW(출고!$C$8:$C$1013)-7),15)),"")</f>
        <v/>
      </c>
      <c r="D59" s="8" t="str">
        <f t="array" ref="D59">IFERROR(INDEX(출고!$F$8:$F$1013,SMALL(IF(출고!$C$8:$C$1013=마스터!$M$10,ROW(출고!$C$8:$C$1013)-7),15)),"")</f>
        <v/>
      </c>
      <c r="E59" s="46" t="str">
        <f t="array" ref="E59">IFERROR(INDEX(출고!$H$8:$H$1013,SMALL(IF(출고!$C$8:$C$1013=마스터!$M$10,ROW(출고!$C$8:$C$1013)-7),15)),"")</f>
        <v/>
      </c>
      <c r="F59" s="46" t="str">
        <f t="array" ref="F59">IFERROR(INDEX(출고!$I$8:$I$1013,SMALL(IF(출고!$C$8:$C$1013=마스터!$M$10,ROW(출고!$C$8:$C$1013)-7),15)),"")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IFERROR(INDEX(출고!$B$8:$B$1013,SMALL(IF(출고!$C$8:$C$1013=마스터!$M$10,ROW(출고!$C$8:$C$1013)-7),16)),"")</f>
        <v/>
      </c>
      <c r="C60" s="11" t="str">
        <f t="array" ref="C60">IFERROR(INDEX(출고!$E$8:$E$1013,SMALL(IF(출고!$C$8:$C$1013=마스터!$M$10,ROW(출고!$C$8:$C$1013)-7),16)),"")</f>
        <v/>
      </c>
      <c r="D60" s="13" t="str">
        <f t="array" ref="D60">IFERROR(INDEX(출고!$F$8:$F$1013,SMALL(IF(출고!$C$8:$C$1013=마스터!$M$10,ROW(출고!$C$8:$C$1013)-7),16)),"")</f>
        <v/>
      </c>
      <c r="E60" s="50" t="str">
        <f t="array" ref="E60">IFERROR(INDEX(출고!$H$8:$H$1013,SMALL(IF(출고!$C$8:$C$1013=마스터!$M$10,ROW(출고!$C$8:$C$1013)-7),16)),"")</f>
        <v/>
      </c>
      <c r="F60" s="50" t="str">
        <f t="array" ref="F60">IFERROR(INDEX(출고!$I$8:$I$1013,SMALL(IF(출고!$C$8:$C$1013=마스터!$M$10,ROW(출고!$C$8:$C$1013)-7),16)),"")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IFERROR(INDEX(출고!$B$8:$B$1013,SMALL(IF(출고!$C$8:$C$1013=마스터!$M$10,ROW(출고!$C$8:$C$1013)-7),17)),"")</f>
        <v/>
      </c>
      <c r="C61" s="6" t="str">
        <f t="array" ref="C61">IFERROR(INDEX(출고!$E$8:$E$1013,SMALL(IF(출고!$C$8:$C$1013=마스터!$M$10,ROW(출고!$C$8:$C$1013)-7),17)),"")</f>
        <v/>
      </c>
      <c r="D61" s="8" t="str">
        <f t="array" ref="D61">IFERROR(INDEX(출고!$F$8:$F$1013,SMALL(IF(출고!$C$8:$C$1013=마스터!$M$10,ROW(출고!$C$8:$C$1013)-7),17)),"")</f>
        <v/>
      </c>
      <c r="E61" s="46" t="str">
        <f t="array" ref="E61">IFERROR(INDEX(출고!$H$8:$H$1013,SMALL(IF(출고!$C$8:$C$1013=마스터!$M$10,ROW(출고!$C$8:$C$1013)-7),17)),"")</f>
        <v/>
      </c>
      <c r="F61" s="46" t="str">
        <f t="array" ref="F61">IFERROR(INDEX(출고!$I$8:$I$1013,SMALL(IF(출고!$C$8:$C$1013=마스터!$M$10,ROW(출고!$C$8:$C$1013)-7),17)),"")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IFERROR(INDEX(출고!$B$8:$B$1013,SMALL(IF(출고!$C$8:$C$1013=마스터!$M$10,ROW(출고!$C$8:$C$1013)-7),18)),"")</f>
        <v/>
      </c>
      <c r="C62" s="11" t="str">
        <f t="array" ref="C62">IFERROR(INDEX(출고!$E$8:$E$1013,SMALL(IF(출고!$C$8:$C$1013=마스터!$M$10,ROW(출고!$C$8:$C$1013)-7),18)),"")</f>
        <v/>
      </c>
      <c r="D62" s="13" t="str">
        <f t="array" ref="D62">IFERROR(INDEX(출고!$F$8:$F$1013,SMALL(IF(출고!$C$8:$C$1013=마스터!$M$10,ROW(출고!$C$8:$C$1013)-7),18)),"")</f>
        <v/>
      </c>
      <c r="E62" s="50" t="str">
        <f t="array" ref="E62">IFERROR(INDEX(출고!$H$8:$H$1013,SMALL(IF(출고!$C$8:$C$1013=마스터!$M$10,ROW(출고!$C$8:$C$1013)-7),18)),"")</f>
        <v/>
      </c>
      <c r="F62" s="50" t="str">
        <f t="array" ref="F62">IFERROR(INDEX(출고!$I$8:$I$1013,SMALL(IF(출고!$C$8:$C$1013=마스터!$M$10,ROW(출고!$C$8:$C$1013)-7),18)),"")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IFERROR(INDEX(출고!$B$8:$B$1013,SMALL(IF(출고!$C$8:$C$1013=마스터!$M$10,ROW(출고!$C$8:$C$1013)-7),19)),"")</f>
        <v/>
      </c>
      <c r="C63" s="6" t="str">
        <f t="array" ref="C63">IFERROR(INDEX(출고!$E$8:$E$1013,SMALL(IF(출고!$C$8:$C$1013=마스터!$M$10,ROW(출고!$C$8:$C$1013)-7),19)),"")</f>
        <v/>
      </c>
      <c r="D63" s="8" t="str">
        <f t="array" ref="D63">IFERROR(INDEX(출고!$F$8:$F$1013,SMALL(IF(출고!$C$8:$C$1013=마스터!$M$10,ROW(출고!$C$8:$C$1013)-7),19)),"")</f>
        <v/>
      </c>
      <c r="E63" s="46" t="str">
        <f t="array" ref="E63">IFERROR(INDEX(출고!$H$8:$H$1013,SMALL(IF(출고!$C$8:$C$1013=마스터!$M$10,ROW(출고!$C$8:$C$1013)-7),19)),"")</f>
        <v/>
      </c>
      <c r="F63" s="46" t="str">
        <f t="array" ref="F63">IFERROR(INDEX(출고!$I$8:$I$1013,SMALL(IF(출고!$C$8:$C$1013=마스터!$M$10,ROW(출고!$C$8:$C$1013)-7),19)),"")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IFERROR(INDEX(출고!$B$8:$B$1013,SMALL(IF(출고!$C$8:$C$1013=마스터!$M$10,ROW(출고!$C$8:$C$1013)-7),20)),"")</f>
        <v/>
      </c>
      <c r="C64" s="11" t="str">
        <f t="array" ref="C64">IFERROR(INDEX(출고!$E$8:$E$1013,SMALL(IF(출고!$C$8:$C$1013=마스터!$M$10,ROW(출고!$C$8:$C$1013)-7),20)),"")</f>
        <v/>
      </c>
      <c r="D64" s="13" t="str">
        <f t="array" ref="D64">IFERROR(INDEX(출고!$F$8:$F$1013,SMALL(IF(출고!$C$8:$C$1013=마스터!$M$10,ROW(출고!$C$8:$C$1013)-7),20)),"")</f>
        <v/>
      </c>
      <c r="E64" s="50" t="str">
        <f t="array" ref="E64">IFERROR(INDEX(출고!$H$8:$H$1013,SMALL(IF(출고!$C$8:$C$1013=마스터!$M$10,ROW(출고!$C$8:$C$1013)-7),20)),"")</f>
        <v/>
      </c>
      <c r="F64" s="50" t="str">
        <f t="array" ref="F64">IFERROR(INDEX(출고!$I$8:$I$1013,SMALL(IF(출고!$C$8:$C$1013=마스터!$M$10,ROW(출고!$C$8:$C$1013)-7),20)),"")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IFERROR(INDEX(출고!$B$8:$B$1013,SMALL(IF(출고!$C$8:$C$1013=마스터!$M$10,ROW(출고!$C$8:$C$1013)-7),21)),"")</f>
        <v/>
      </c>
      <c r="C65" s="6" t="str">
        <f t="array" ref="C65">IFERROR(INDEX(출고!$E$8:$E$1013,SMALL(IF(출고!$C$8:$C$1013=마스터!$M$10,ROW(출고!$C$8:$C$1013)-7),21)),"")</f>
        <v/>
      </c>
      <c r="D65" s="8" t="str">
        <f t="array" ref="D65">IFERROR(INDEX(출고!$F$8:$F$1013,SMALL(IF(출고!$C$8:$C$1013=마스터!$M$10,ROW(출고!$C$8:$C$1013)-7),21)),"")</f>
        <v/>
      </c>
      <c r="E65" s="46" t="str">
        <f t="array" ref="E65">IFERROR(INDEX(출고!$H$8:$H$1013,SMALL(IF(출고!$C$8:$C$1013=마스터!$M$10,ROW(출고!$C$8:$C$1013)-7),21)),"")</f>
        <v/>
      </c>
      <c r="F65" s="46" t="str">
        <f t="array" ref="F65">IFERROR(INDEX(출고!$I$8:$I$1013,SMALL(IF(출고!$C$8:$C$1013=마스터!$M$10,ROW(출고!$C$8:$C$1013)-7),21)),"")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IFERROR(INDEX(출고!$B$8:$B$1013,SMALL(IF(출고!$C$8:$C$1013=마스터!$M$10,ROW(출고!$C$8:$C$1013)-7),22)),"")</f>
        <v/>
      </c>
      <c r="C66" s="11" t="str">
        <f t="array" ref="C66">IFERROR(INDEX(출고!$E$8:$E$1013,SMALL(IF(출고!$C$8:$C$1013=마스터!$M$10,ROW(출고!$C$8:$C$1013)-7),22)),"")</f>
        <v/>
      </c>
      <c r="D66" s="13" t="str">
        <f t="array" ref="D66">IFERROR(INDEX(출고!$F$8:$F$1013,SMALL(IF(출고!$C$8:$C$1013=마스터!$M$10,ROW(출고!$C$8:$C$1013)-7),22)),"")</f>
        <v/>
      </c>
      <c r="E66" s="50" t="str">
        <f t="array" ref="E66">IFERROR(INDEX(출고!$H$8:$H$1013,SMALL(IF(출고!$C$8:$C$1013=마스터!$M$10,ROW(출고!$C$8:$C$1013)-7),22)),"")</f>
        <v/>
      </c>
      <c r="F66" s="50" t="str">
        <f t="array" ref="F66">IFERROR(INDEX(출고!$I$8:$I$1013,SMALL(IF(출고!$C$8:$C$1013=마스터!$M$10,ROW(출고!$C$8:$C$1013)-7),22)),"")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IFERROR(INDEX(출고!$B$8:$B$1013,SMALL(IF(출고!$C$8:$C$1013=마스터!$M$10,ROW(출고!$C$8:$C$1013)-7),23)),"")</f>
        <v/>
      </c>
      <c r="C67" s="6" t="str">
        <f t="array" ref="C67">IFERROR(INDEX(출고!$E$8:$E$1013,SMALL(IF(출고!$C$8:$C$1013=마스터!$M$10,ROW(출고!$C$8:$C$1013)-7),23)),"")</f>
        <v/>
      </c>
      <c r="D67" s="8" t="str">
        <f t="array" ref="D67">IFERROR(INDEX(출고!$F$8:$F$1013,SMALL(IF(출고!$C$8:$C$1013=마스터!$M$10,ROW(출고!$C$8:$C$1013)-7),23)),"")</f>
        <v/>
      </c>
      <c r="E67" s="46" t="str">
        <f t="array" ref="E67">IFERROR(INDEX(출고!$H$8:$H$1013,SMALL(IF(출고!$C$8:$C$1013=마스터!$M$10,ROW(출고!$C$8:$C$1013)-7),23)),"")</f>
        <v/>
      </c>
      <c r="F67" s="46" t="str">
        <f t="array" ref="F67">IFERROR(INDEX(출고!$I$8:$I$1013,SMALL(IF(출고!$C$8:$C$1013=마스터!$M$10,ROW(출고!$C$8:$C$1013)-7),23)),"")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IFERROR(INDEX(출고!$B$8:$B$1013,SMALL(IF(출고!$C$8:$C$1013=마스터!$M$10,ROW(출고!$C$8:$C$1013)-7),24)),"")</f>
        <v/>
      </c>
      <c r="C68" s="11" t="str">
        <f t="array" ref="C68">IFERROR(INDEX(출고!$E$8:$E$1013,SMALL(IF(출고!$C$8:$C$1013=마스터!$M$10,ROW(출고!$C$8:$C$1013)-7),24)),"")</f>
        <v/>
      </c>
      <c r="D68" s="13" t="str">
        <f t="array" ref="D68">IFERROR(INDEX(출고!$F$8:$F$1013,SMALL(IF(출고!$C$8:$C$1013=마스터!$M$10,ROW(출고!$C$8:$C$1013)-7),24)),"")</f>
        <v/>
      </c>
      <c r="E68" s="50" t="str">
        <f t="array" ref="E68">IFERROR(INDEX(출고!$H$8:$H$1013,SMALL(IF(출고!$C$8:$C$1013=마스터!$M$10,ROW(출고!$C$8:$C$1013)-7),24)),"")</f>
        <v/>
      </c>
      <c r="F68" s="50" t="str">
        <f t="array" ref="F68">IFERROR(INDEX(출고!$I$8:$I$1013,SMALL(IF(출고!$C$8:$C$1013=마스터!$M$10,ROW(출고!$C$8:$C$1013)-7),24)),"")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IFERROR(INDEX(출고!$B$8:$B$1013,SMALL(IF(출고!$C$8:$C$1013=마스터!$M$10,ROW(출고!$C$8:$C$1013)-7),25)),"")</f>
        <v/>
      </c>
      <c r="C69" s="6" t="str">
        <f t="array" ref="C69">IFERROR(INDEX(출고!$E$8:$E$1013,SMALL(IF(출고!$C$8:$C$1013=마스터!$M$10,ROW(출고!$C$8:$C$1013)-7),25)),"")</f>
        <v/>
      </c>
      <c r="D69" s="8" t="str">
        <f t="array" ref="D69">IFERROR(INDEX(출고!$F$8:$F$1013,SMALL(IF(출고!$C$8:$C$1013=마스터!$M$10,ROW(출고!$C$8:$C$1013)-7),25)),"")</f>
        <v/>
      </c>
      <c r="E69" s="46" t="str">
        <f t="array" ref="E69">IFERROR(INDEX(출고!$H$8:$H$1013,SMALL(IF(출고!$C$8:$C$1013=마스터!$M$10,ROW(출고!$C$8:$C$1013)-7),25)),"")</f>
        <v/>
      </c>
      <c r="F69" s="46" t="str">
        <f t="array" ref="F69">IFERROR(INDEX(출고!$I$8:$I$1013,SMALL(IF(출고!$C$8:$C$1013=마스터!$M$10,ROW(출고!$C$8:$C$1013)-7),25)),"")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IFERROR(INDEX(출고!$B$8:$B$1013,SMALL(IF(출고!$C$8:$C$1013=마스터!$M$10,ROW(출고!$C$8:$C$1013)-7),26)),"")</f>
        <v/>
      </c>
      <c r="C70" s="11" t="str">
        <f t="array" ref="C70">IFERROR(INDEX(출고!$E$8:$E$1013,SMALL(IF(출고!$C$8:$C$1013=마스터!$M$10,ROW(출고!$C$8:$C$1013)-7),26)),"")</f>
        <v/>
      </c>
      <c r="D70" s="13" t="str">
        <f t="array" ref="D70">IFERROR(INDEX(출고!$F$8:$F$1013,SMALL(IF(출고!$C$8:$C$1013=마스터!$M$10,ROW(출고!$C$8:$C$1013)-7),26)),"")</f>
        <v/>
      </c>
      <c r="E70" s="50" t="str">
        <f t="array" ref="E70">IFERROR(INDEX(출고!$H$8:$H$1013,SMALL(IF(출고!$C$8:$C$1013=마스터!$M$10,ROW(출고!$C$8:$C$1013)-7),26)),"")</f>
        <v/>
      </c>
      <c r="F70" s="50" t="str">
        <f t="array" ref="F70">IFERROR(INDEX(출고!$I$8:$I$1013,SMALL(IF(출고!$C$8:$C$1013=마스터!$M$10,ROW(출고!$C$8:$C$1013)-7),26)),"")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IFERROR(INDEX(출고!$B$8:$B$1013,SMALL(IF(출고!$C$8:$C$1013=마스터!$M$10,ROW(출고!$C$8:$C$1013)-7),27)),"")</f>
        <v/>
      </c>
      <c r="C71" s="6" t="str">
        <f t="array" ref="C71">IFERROR(INDEX(출고!$E$8:$E$1013,SMALL(IF(출고!$C$8:$C$1013=마스터!$M$10,ROW(출고!$C$8:$C$1013)-7),27)),"")</f>
        <v/>
      </c>
      <c r="D71" s="8" t="str">
        <f t="array" ref="D71">IFERROR(INDEX(출고!$F$8:$F$1013,SMALL(IF(출고!$C$8:$C$1013=마스터!$M$10,ROW(출고!$C$8:$C$1013)-7),27)),"")</f>
        <v/>
      </c>
      <c r="E71" s="46" t="str">
        <f t="array" ref="E71">IFERROR(INDEX(출고!$H$8:$H$1013,SMALL(IF(출고!$C$8:$C$1013=마스터!$M$10,ROW(출고!$C$8:$C$1013)-7),27)),"")</f>
        <v/>
      </c>
      <c r="F71" s="46" t="str">
        <f t="array" ref="F71">IFERROR(INDEX(출고!$I$8:$I$1013,SMALL(IF(출고!$C$8:$C$1013=마스터!$M$10,ROW(출고!$C$8:$C$1013)-7),27)),"")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IFERROR(INDEX(출고!$B$8:$B$1013,SMALL(IF(출고!$C$8:$C$1013=마스터!$M$10,ROW(출고!$C$8:$C$1013)-7),28)),"")</f>
        <v/>
      </c>
      <c r="C72" s="11" t="str">
        <f t="array" ref="C72">IFERROR(INDEX(출고!$E$8:$E$1013,SMALL(IF(출고!$C$8:$C$1013=마스터!$M$10,ROW(출고!$C$8:$C$1013)-7),28)),"")</f>
        <v/>
      </c>
      <c r="D72" s="13" t="str">
        <f t="array" ref="D72">IFERROR(INDEX(출고!$F$8:$F$1013,SMALL(IF(출고!$C$8:$C$1013=마스터!$M$10,ROW(출고!$C$8:$C$1013)-7),28)),"")</f>
        <v/>
      </c>
      <c r="E72" s="50" t="str">
        <f t="array" ref="E72">IFERROR(INDEX(출고!$H$8:$H$1013,SMALL(IF(출고!$C$8:$C$1013=마스터!$M$10,ROW(출고!$C$8:$C$1013)-7),28)),"")</f>
        <v/>
      </c>
      <c r="F72" s="50" t="str">
        <f t="array" ref="F72">IFERROR(INDEX(출고!$I$8:$I$1013,SMALL(IF(출고!$C$8:$C$1013=마스터!$M$10,ROW(출고!$C$8:$C$1013)-7),28)),"")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IFERROR(INDEX(출고!$B$8:$B$1013,SMALL(IF(출고!$C$8:$C$1013=마스터!$M$10,ROW(출고!$C$8:$C$1013)-7),29)),"")</f>
        <v/>
      </c>
      <c r="C73" s="6" t="str">
        <f t="array" ref="C73">IFERROR(INDEX(출고!$E$8:$E$1013,SMALL(IF(출고!$C$8:$C$1013=마스터!$M$10,ROW(출고!$C$8:$C$1013)-7),29)),"")</f>
        <v/>
      </c>
      <c r="D73" s="8" t="str">
        <f t="array" ref="D73">IFERROR(INDEX(출고!$F$8:$F$1013,SMALL(IF(출고!$C$8:$C$1013=마스터!$M$10,ROW(출고!$C$8:$C$1013)-7),29)),"")</f>
        <v/>
      </c>
      <c r="E73" s="46" t="str">
        <f t="array" ref="E73">IFERROR(INDEX(출고!$H$8:$H$1013,SMALL(IF(출고!$C$8:$C$1013=마스터!$M$10,ROW(출고!$C$8:$C$1013)-7),29)),"")</f>
        <v/>
      </c>
      <c r="F73" s="46" t="str">
        <f t="array" ref="F73">IFERROR(INDEX(출고!$I$8:$I$1013,SMALL(IF(출고!$C$8:$C$1013=마스터!$M$10,ROW(출고!$C$8:$C$1013)-7),29)),"")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IFERROR(INDEX(출고!$B$8:$B$1013,SMALL(IF(출고!$C$8:$C$1013=마스터!$M$10,ROW(출고!$C$8:$C$1013)-7),30)),"")</f>
        <v/>
      </c>
      <c r="C74" s="11" t="str">
        <f t="array" ref="C74">IFERROR(INDEX(출고!$E$8:$E$1013,SMALL(IF(출고!$C$8:$C$1013=마스터!$M$10,ROW(출고!$C$8:$C$1013)-7),30)),"")</f>
        <v/>
      </c>
      <c r="D74" s="13" t="str">
        <f t="array" ref="D74">IFERROR(INDEX(출고!$F$8:$F$1013,SMALL(IF(출고!$C$8:$C$1013=마스터!$M$10,ROW(출고!$C$8:$C$1013)-7),30)),"")</f>
        <v/>
      </c>
      <c r="E74" s="50" t="str">
        <f t="array" ref="E74">IFERROR(INDEX(출고!$H$8:$H$1013,SMALL(IF(출고!$C$8:$C$1013=마스터!$M$10,ROW(출고!$C$8:$C$1013)-7),30)),"")</f>
        <v/>
      </c>
      <c r="F74" s="50" t="str">
        <f t="array" ref="F74">IFERROR(INDEX(출고!$I$8:$I$1013,SMALL(IF(출고!$C$8:$C$1013=마스터!$M$10,ROW(출고!$C$8:$C$1013)-7),30)),"")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IFERROR(INDEX(입고!$E$8:$E$1013,SMALL(IF((입고!$C$8:$C$1013=마스터!$M$10)*(입고!$AC$8:$AC$1013=1),ROW(입고!$C$8:$C$1013)-7),1)),"")</f>
        <v>260203CW005</v>
      </c>
      <c r="C78" s="8">
        <f>IF(B78="","",SUMIFS(입고!$F$8:$F$1013,입고!$C$8:$C$1013,마스터!$M$10,입고!$E$8:$E$1013,B78))</f>
        <v>40</v>
      </c>
      <c r="D78" s="8">
        <f>IF(B78="","",SUMIFS(출고!$F$8:$F$1013,출고!$C$8:$C$1013,마스터!$M$10,출고!$E$8:$E$1013,B78))</f>
        <v>0</v>
      </c>
      <c r="E78" s="40">
        <f t="shared" ref="E78:E107" si="5">IF(B78="","",C78-D78)</f>
        <v>40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IFERROR(INDEX(입고!$E$8:$E$1013,SMALL(IF((입고!$C$8:$C$1013=마스터!$M$10)*(입고!$AC$8:$AC$1013=1),ROW(입고!$C$8:$C$1013)-7),2)),"")</f>
        <v/>
      </c>
      <c r="C79" s="13" t="str">
        <f>IF(B79="","",SUMIFS(입고!$F$8:$F$1013,입고!$C$8:$C$1013,마스터!$M$10,입고!$E$8:$E$1013,B79))</f>
        <v/>
      </c>
      <c r="D79" s="13" t="str">
        <f>IF(B79="","",SUMIFS(출고!$F$8:$F$1013,출고!$C$8:$C$1013,마스터!$M$10,출고!$E$8:$E$1013,B79))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IFERROR(INDEX(입고!$E$8:$E$1013,SMALL(IF((입고!$C$8:$C$1013=마스터!$M$10)*(입고!$AC$8:$AC$1013=1),ROW(입고!$C$8:$C$1013)-7),3)),"")</f>
        <v/>
      </c>
      <c r="C80" s="8" t="str">
        <f>IF(B80="","",SUMIFS(입고!$F$8:$F$1013,입고!$C$8:$C$1013,마스터!$M$10,입고!$E$8:$E$1013,B80))</f>
        <v/>
      </c>
      <c r="D80" s="8" t="str">
        <f>IF(B80="","",SUMIFS(출고!$F$8:$F$1013,출고!$C$8:$C$1013,마스터!$M$10,출고!$E$8:$E$1013,B80))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IFERROR(INDEX(입고!$E$8:$E$1013,SMALL(IF((입고!$C$8:$C$1013=마스터!$M$10)*(입고!$AC$8:$AC$1013=1),ROW(입고!$C$8:$C$1013)-7),4)),"")</f>
        <v/>
      </c>
      <c r="C81" s="13" t="str">
        <f>IF(B81="","",SUMIFS(입고!$F$8:$F$1013,입고!$C$8:$C$1013,마스터!$M$10,입고!$E$8:$E$1013,B81))</f>
        <v/>
      </c>
      <c r="D81" s="13" t="str">
        <f>IF(B81="","",SUMIFS(출고!$F$8:$F$1013,출고!$C$8:$C$1013,마스터!$M$10,출고!$E$8:$E$1013,B81))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IFERROR(INDEX(입고!$E$8:$E$1013,SMALL(IF((입고!$C$8:$C$1013=마스터!$M$10)*(입고!$AC$8:$AC$1013=1),ROW(입고!$C$8:$C$1013)-7),5)),"")</f>
        <v/>
      </c>
      <c r="C82" s="8" t="str">
        <f>IF(B82="","",SUMIFS(입고!$F$8:$F$1013,입고!$C$8:$C$1013,마스터!$M$10,입고!$E$8:$E$1013,B82))</f>
        <v/>
      </c>
      <c r="D82" s="8" t="str">
        <f>IF(B82="","",SUMIFS(출고!$F$8:$F$1013,출고!$C$8:$C$1013,마스터!$M$10,출고!$E$8:$E$1013,B82))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IFERROR(INDEX(입고!$E$8:$E$1013,SMALL(IF((입고!$C$8:$C$1013=마스터!$M$10)*(입고!$AC$8:$AC$1013=1),ROW(입고!$C$8:$C$1013)-7),6)),"")</f>
        <v/>
      </c>
      <c r="C83" s="13" t="str">
        <f>IF(B83="","",SUMIFS(입고!$F$8:$F$1013,입고!$C$8:$C$1013,마스터!$M$10,입고!$E$8:$E$1013,B83))</f>
        <v/>
      </c>
      <c r="D83" s="13" t="str">
        <f>IF(B83="","",SUMIFS(출고!$F$8:$F$1013,출고!$C$8:$C$1013,마스터!$M$10,출고!$E$8:$E$1013,B83))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IFERROR(INDEX(입고!$E$8:$E$1013,SMALL(IF((입고!$C$8:$C$1013=마스터!$M$10)*(입고!$AC$8:$AC$1013=1),ROW(입고!$C$8:$C$1013)-7),7)),"")</f>
        <v/>
      </c>
      <c r="C84" s="8" t="str">
        <f>IF(B84="","",SUMIFS(입고!$F$8:$F$1013,입고!$C$8:$C$1013,마스터!$M$10,입고!$E$8:$E$1013,B84))</f>
        <v/>
      </c>
      <c r="D84" s="8" t="str">
        <f>IF(B84="","",SUMIFS(출고!$F$8:$F$1013,출고!$C$8:$C$1013,마스터!$M$10,출고!$E$8:$E$1013,B84))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IFERROR(INDEX(입고!$E$8:$E$1013,SMALL(IF((입고!$C$8:$C$1013=마스터!$M$10)*(입고!$AC$8:$AC$1013=1),ROW(입고!$C$8:$C$1013)-7),8)),"")</f>
        <v/>
      </c>
      <c r="C85" s="13" t="str">
        <f>IF(B85="","",SUMIFS(입고!$F$8:$F$1013,입고!$C$8:$C$1013,마스터!$M$10,입고!$E$8:$E$1013,B85))</f>
        <v/>
      </c>
      <c r="D85" s="13" t="str">
        <f>IF(B85="","",SUMIFS(출고!$F$8:$F$1013,출고!$C$8:$C$1013,마스터!$M$10,출고!$E$8:$E$1013,B85))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IFERROR(INDEX(입고!$E$8:$E$1013,SMALL(IF((입고!$C$8:$C$1013=마스터!$M$10)*(입고!$AC$8:$AC$1013=1),ROW(입고!$C$8:$C$1013)-7),9)),"")</f>
        <v/>
      </c>
      <c r="C86" s="8" t="str">
        <f>IF(B86="","",SUMIFS(입고!$F$8:$F$1013,입고!$C$8:$C$1013,마스터!$M$10,입고!$E$8:$E$1013,B86))</f>
        <v/>
      </c>
      <c r="D86" s="8" t="str">
        <f>IF(B86="","",SUMIFS(출고!$F$8:$F$1013,출고!$C$8:$C$1013,마스터!$M$10,출고!$E$8:$E$1013,B86))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IFERROR(INDEX(입고!$E$8:$E$1013,SMALL(IF((입고!$C$8:$C$1013=마스터!$M$10)*(입고!$AC$8:$AC$1013=1),ROW(입고!$C$8:$C$1013)-7),10)),"")</f>
        <v/>
      </c>
      <c r="C87" s="13" t="str">
        <f>IF(B87="","",SUMIFS(입고!$F$8:$F$1013,입고!$C$8:$C$1013,마스터!$M$10,입고!$E$8:$E$1013,B87))</f>
        <v/>
      </c>
      <c r="D87" s="13" t="str">
        <f>IF(B87="","",SUMIFS(출고!$F$8:$F$1013,출고!$C$8:$C$1013,마스터!$M$10,출고!$E$8:$E$1013,B87))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IFERROR(INDEX(입고!$E$8:$E$1013,SMALL(IF((입고!$C$8:$C$1013=마스터!$M$10)*(입고!$AC$8:$AC$1013=1),ROW(입고!$C$8:$C$1013)-7),11)),"")</f>
        <v/>
      </c>
      <c r="C88" s="8" t="str">
        <f>IF(B88="","",SUMIFS(입고!$F$8:$F$1013,입고!$C$8:$C$1013,마스터!$M$10,입고!$E$8:$E$1013,B88))</f>
        <v/>
      </c>
      <c r="D88" s="8" t="str">
        <f>IF(B88="","",SUMIFS(출고!$F$8:$F$1013,출고!$C$8:$C$1013,마스터!$M$10,출고!$E$8:$E$1013,B88))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IFERROR(INDEX(입고!$E$8:$E$1013,SMALL(IF((입고!$C$8:$C$1013=마스터!$M$10)*(입고!$AC$8:$AC$1013=1),ROW(입고!$C$8:$C$1013)-7),12)),"")</f>
        <v/>
      </c>
      <c r="C89" s="13" t="str">
        <f>IF(B89="","",SUMIFS(입고!$F$8:$F$1013,입고!$C$8:$C$1013,마스터!$M$10,입고!$E$8:$E$1013,B89))</f>
        <v/>
      </c>
      <c r="D89" s="13" t="str">
        <f>IF(B89="","",SUMIFS(출고!$F$8:$F$1013,출고!$C$8:$C$1013,마스터!$M$10,출고!$E$8:$E$1013,B89))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IFERROR(INDEX(입고!$E$8:$E$1013,SMALL(IF((입고!$C$8:$C$1013=마스터!$M$10)*(입고!$AC$8:$AC$1013=1),ROW(입고!$C$8:$C$1013)-7),13)),"")</f>
        <v/>
      </c>
      <c r="C90" s="8" t="str">
        <f>IF(B90="","",SUMIFS(입고!$F$8:$F$1013,입고!$C$8:$C$1013,마스터!$M$10,입고!$E$8:$E$1013,B90))</f>
        <v/>
      </c>
      <c r="D90" s="8" t="str">
        <f>IF(B90="","",SUMIFS(출고!$F$8:$F$1013,출고!$C$8:$C$1013,마스터!$M$10,출고!$E$8:$E$1013,B90))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IFERROR(INDEX(입고!$E$8:$E$1013,SMALL(IF((입고!$C$8:$C$1013=마스터!$M$10)*(입고!$AC$8:$AC$1013=1),ROW(입고!$C$8:$C$1013)-7),14)),"")</f>
        <v/>
      </c>
      <c r="C91" s="13" t="str">
        <f>IF(B91="","",SUMIFS(입고!$F$8:$F$1013,입고!$C$8:$C$1013,마스터!$M$10,입고!$E$8:$E$1013,B91))</f>
        <v/>
      </c>
      <c r="D91" s="13" t="str">
        <f>IF(B91="","",SUMIFS(출고!$F$8:$F$1013,출고!$C$8:$C$1013,마스터!$M$10,출고!$E$8:$E$1013,B91))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IFERROR(INDEX(입고!$E$8:$E$1013,SMALL(IF((입고!$C$8:$C$1013=마스터!$M$10)*(입고!$AC$8:$AC$1013=1),ROW(입고!$C$8:$C$1013)-7),15)),"")</f>
        <v/>
      </c>
      <c r="C92" s="8" t="str">
        <f>IF(B92="","",SUMIFS(입고!$F$8:$F$1013,입고!$C$8:$C$1013,마스터!$M$10,입고!$E$8:$E$1013,B92))</f>
        <v/>
      </c>
      <c r="D92" s="8" t="str">
        <f>IF(B92="","",SUMIFS(출고!$F$8:$F$1013,출고!$C$8:$C$1013,마스터!$M$10,출고!$E$8:$E$1013,B92))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IFERROR(INDEX(입고!$E$8:$E$1013,SMALL(IF((입고!$C$8:$C$1013=마스터!$M$10)*(입고!$AC$8:$AC$1013=1),ROW(입고!$C$8:$C$1013)-7),16)),"")</f>
        <v/>
      </c>
      <c r="C93" s="13" t="str">
        <f>IF(B93="","",SUMIFS(입고!$F$8:$F$1013,입고!$C$8:$C$1013,마스터!$M$10,입고!$E$8:$E$1013,B93))</f>
        <v/>
      </c>
      <c r="D93" s="13" t="str">
        <f>IF(B93="","",SUMIFS(출고!$F$8:$F$1013,출고!$C$8:$C$1013,마스터!$M$10,출고!$E$8:$E$1013,B93))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IFERROR(INDEX(입고!$E$8:$E$1013,SMALL(IF((입고!$C$8:$C$1013=마스터!$M$10)*(입고!$AC$8:$AC$1013=1),ROW(입고!$C$8:$C$1013)-7),17)),"")</f>
        <v/>
      </c>
      <c r="C94" s="8" t="str">
        <f>IF(B94="","",SUMIFS(입고!$F$8:$F$1013,입고!$C$8:$C$1013,마스터!$M$10,입고!$E$8:$E$1013,B94))</f>
        <v/>
      </c>
      <c r="D94" s="8" t="str">
        <f>IF(B94="","",SUMIFS(출고!$F$8:$F$1013,출고!$C$8:$C$1013,마스터!$M$10,출고!$E$8:$E$1013,B94))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IFERROR(INDEX(입고!$E$8:$E$1013,SMALL(IF((입고!$C$8:$C$1013=마스터!$M$10)*(입고!$AC$8:$AC$1013=1),ROW(입고!$C$8:$C$1013)-7),18)),"")</f>
        <v/>
      </c>
      <c r="C95" s="13" t="str">
        <f>IF(B95="","",SUMIFS(입고!$F$8:$F$1013,입고!$C$8:$C$1013,마스터!$M$10,입고!$E$8:$E$1013,B95))</f>
        <v/>
      </c>
      <c r="D95" s="13" t="str">
        <f>IF(B95="","",SUMIFS(출고!$F$8:$F$1013,출고!$C$8:$C$1013,마스터!$M$10,출고!$E$8:$E$1013,B95))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IFERROR(INDEX(입고!$E$8:$E$1013,SMALL(IF((입고!$C$8:$C$1013=마스터!$M$10)*(입고!$AC$8:$AC$1013=1),ROW(입고!$C$8:$C$1013)-7),19)),"")</f>
        <v/>
      </c>
      <c r="C96" s="8" t="str">
        <f>IF(B96="","",SUMIFS(입고!$F$8:$F$1013,입고!$C$8:$C$1013,마스터!$M$10,입고!$E$8:$E$1013,B96))</f>
        <v/>
      </c>
      <c r="D96" s="8" t="str">
        <f>IF(B96="","",SUMIFS(출고!$F$8:$F$1013,출고!$C$8:$C$1013,마스터!$M$10,출고!$E$8:$E$1013,B96))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IFERROR(INDEX(입고!$E$8:$E$1013,SMALL(IF((입고!$C$8:$C$1013=마스터!$M$10)*(입고!$AC$8:$AC$1013=1),ROW(입고!$C$8:$C$1013)-7),20)),"")</f>
        <v/>
      </c>
      <c r="C97" s="13" t="str">
        <f>IF(B97="","",SUMIFS(입고!$F$8:$F$1013,입고!$C$8:$C$1013,마스터!$M$10,입고!$E$8:$E$1013,B97))</f>
        <v/>
      </c>
      <c r="D97" s="13" t="str">
        <f>IF(B97="","",SUMIFS(출고!$F$8:$F$1013,출고!$C$8:$C$1013,마스터!$M$10,출고!$E$8:$E$1013,B97))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IFERROR(INDEX(입고!$E$8:$E$1013,SMALL(IF((입고!$C$8:$C$1013=마스터!$M$10)*(입고!$AC$8:$AC$1013=1),ROW(입고!$C$8:$C$1013)-7),21)),"")</f>
        <v/>
      </c>
      <c r="C98" s="8" t="str">
        <f>IF(B98="","",SUMIFS(입고!$F$8:$F$1013,입고!$C$8:$C$1013,마스터!$M$10,입고!$E$8:$E$1013,B98))</f>
        <v/>
      </c>
      <c r="D98" s="8" t="str">
        <f>IF(B98="","",SUMIFS(출고!$F$8:$F$1013,출고!$C$8:$C$1013,마스터!$M$10,출고!$E$8:$E$1013,B98))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IFERROR(INDEX(입고!$E$8:$E$1013,SMALL(IF((입고!$C$8:$C$1013=마스터!$M$10)*(입고!$AC$8:$AC$1013=1),ROW(입고!$C$8:$C$1013)-7),22)),"")</f>
        <v/>
      </c>
      <c r="C99" s="13" t="str">
        <f>IF(B99="","",SUMIFS(입고!$F$8:$F$1013,입고!$C$8:$C$1013,마스터!$M$10,입고!$E$8:$E$1013,B99))</f>
        <v/>
      </c>
      <c r="D99" s="13" t="str">
        <f>IF(B99="","",SUMIFS(출고!$F$8:$F$1013,출고!$C$8:$C$1013,마스터!$M$10,출고!$E$8:$E$1013,B99))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IFERROR(INDEX(입고!$E$8:$E$1013,SMALL(IF((입고!$C$8:$C$1013=마스터!$M$10)*(입고!$AC$8:$AC$1013=1),ROW(입고!$C$8:$C$1013)-7),23)),"")</f>
        <v/>
      </c>
      <c r="C100" s="8" t="str">
        <f>IF(B100="","",SUMIFS(입고!$F$8:$F$1013,입고!$C$8:$C$1013,마스터!$M$10,입고!$E$8:$E$1013,B100))</f>
        <v/>
      </c>
      <c r="D100" s="8" t="str">
        <f>IF(B100="","",SUMIFS(출고!$F$8:$F$1013,출고!$C$8:$C$1013,마스터!$M$10,출고!$E$8:$E$1013,B100))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IFERROR(INDEX(입고!$E$8:$E$1013,SMALL(IF((입고!$C$8:$C$1013=마스터!$M$10)*(입고!$AC$8:$AC$1013=1),ROW(입고!$C$8:$C$1013)-7),24)),"")</f>
        <v/>
      </c>
      <c r="C101" s="13" t="str">
        <f>IF(B101="","",SUMIFS(입고!$F$8:$F$1013,입고!$C$8:$C$1013,마스터!$M$10,입고!$E$8:$E$1013,B101))</f>
        <v/>
      </c>
      <c r="D101" s="13" t="str">
        <f>IF(B101="","",SUMIFS(출고!$F$8:$F$1013,출고!$C$8:$C$1013,마스터!$M$10,출고!$E$8:$E$1013,B101))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IFERROR(INDEX(입고!$E$8:$E$1013,SMALL(IF((입고!$C$8:$C$1013=마스터!$M$10)*(입고!$AC$8:$AC$1013=1),ROW(입고!$C$8:$C$1013)-7),25)),"")</f>
        <v/>
      </c>
      <c r="C102" s="8" t="str">
        <f>IF(B102="","",SUMIFS(입고!$F$8:$F$1013,입고!$C$8:$C$1013,마스터!$M$10,입고!$E$8:$E$1013,B102))</f>
        <v/>
      </c>
      <c r="D102" s="8" t="str">
        <f>IF(B102="","",SUMIFS(출고!$F$8:$F$1013,출고!$C$8:$C$1013,마스터!$M$10,출고!$E$8:$E$1013,B102))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IFERROR(INDEX(입고!$E$8:$E$1013,SMALL(IF((입고!$C$8:$C$1013=마스터!$M$10)*(입고!$AC$8:$AC$1013=1),ROW(입고!$C$8:$C$1013)-7),26)),"")</f>
        <v/>
      </c>
      <c r="C103" s="13" t="str">
        <f>IF(B103="","",SUMIFS(입고!$F$8:$F$1013,입고!$C$8:$C$1013,마스터!$M$10,입고!$E$8:$E$1013,B103))</f>
        <v/>
      </c>
      <c r="D103" s="13" t="str">
        <f>IF(B103="","",SUMIFS(출고!$F$8:$F$1013,출고!$C$8:$C$1013,마스터!$M$10,출고!$E$8:$E$1013,B103))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IFERROR(INDEX(입고!$E$8:$E$1013,SMALL(IF((입고!$C$8:$C$1013=마스터!$M$10)*(입고!$AC$8:$AC$1013=1),ROW(입고!$C$8:$C$1013)-7),27)),"")</f>
        <v/>
      </c>
      <c r="C104" s="8" t="str">
        <f>IF(B104="","",SUMIFS(입고!$F$8:$F$1013,입고!$C$8:$C$1013,마스터!$M$10,입고!$E$8:$E$1013,B104))</f>
        <v/>
      </c>
      <c r="D104" s="8" t="str">
        <f>IF(B104="","",SUMIFS(출고!$F$8:$F$1013,출고!$C$8:$C$1013,마스터!$M$10,출고!$E$8:$E$1013,B104))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IFERROR(INDEX(입고!$E$8:$E$1013,SMALL(IF((입고!$C$8:$C$1013=마스터!$M$10)*(입고!$AC$8:$AC$1013=1),ROW(입고!$C$8:$C$1013)-7),28)),"")</f>
        <v/>
      </c>
      <c r="C105" s="13" t="str">
        <f>IF(B105="","",SUMIFS(입고!$F$8:$F$1013,입고!$C$8:$C$1013,마스터!$M$10,입고!$E$8:$E$1013,B105))</f>
        <v/>
      </c>
      <c r="D105" s="13" t="str">
        <f>IF(B105="","",SUMIFS(출고!$F$8:$F$1013,출고!$C$8:$C$1013,마스터!$M$10,출고!$E$8:$E$1013,B105))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IFERROR(INDEX(입고!$E$8:$E$1013,SMALL(IF((입고!$C$8:$C$1013=마스터!$M$10)*(입고!$AC$8:$AC$1013=1),ROW(입고!$C$8:$C$1013)-7),29)),"")</f>
        <v/>
      </c>
      <c r="C106" s="8" t="str">
        <f>IF(B106="","",SUMIFS(입고!$F$8:$F$1013,입고!$C$8:$C$1013,마스터!$M$10,입고!$E$8:$E$1013,B106))</f>
        <v/>
      </c>
      <c r="D106" s="8" t="str">
        <f>IF(B106="","",SUMIFS(출고!$F$8:$F$1013,출고!$C$8:$C$1013,마스터!$M$10,출고!$E$8:$E$1013,B106))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IFERROR(INDEX(입고!$E$8:$E$1013,SMALL(IF((입고!$C$8:$C$1013=마스터!$M$10)*(입고!$AC$8:$AC$1013=1),ROW(입고!$C$8:$C$1013)-7),30)),"")</f>
        <v/>
      </c>
      <c r="C107" s="13" t="str">
        <f>IF(B107="","",SUMIFS(입고!$F$8:$F$1013,입고!$C$8:$C$1013,마스터!$M$10,입고!$E$8:$E$1013,B107))</f>
        <v/>
      </c>
      <c r="D107" s="13" t="str">
        <f>IF(B107="","",SUMIFS(출고!$F$8:$F$1013,출고!$C$8:$C$1013,마스터!$M$10,출고!$E$8:$E$1013,B107))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CONCATENATE("[08] ", 마스터!D11, "  |  ", 마스터!F11)</f>
        <v>[08] 세라믹울 96K 수입  |  50T × 150W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마스터!D11</f>
        <v>세라믹울 96K 수입</v>
      </c>
      <c r="D4" s="1" t="s">
        <v>11</v>
      </c>
      <c r="E4" s="53">
        <f>SUMIFS(입고!$F$8:$F$1013,입고!$C$8:$C$1013,마스터!$M$11)</f>
        <v>60</v>
      </c>
    </row>
    <row r="5" spans="1:9" ht="15" customHeight="1" x14ac:dyDescent="0.25">
      <c r="A5" s="1" t="s">
        <v>7</v>
      </c>
      <c r="B5" s="52" t="str">
        <f>마스터!E11</f>
        <v>501503600</v>
      </c>
      <c r="D5" s="1" t="s">
        <v>12</v>
      </c>
      <c r="E5" s="53">
        <f>SUMIFS(출고!$F$8:$F$1013,출고!$C$8:$C$1013,마스터!$M$11)</f>
        <v>0</v>
      </c>
    </row>
    <row r="6" spans="1:9" ht="23.25" customHeight="1" x14ac:dyDescent="0.25">
      <c r="A6" s="1" t="s">
        <v>26</v>
      </c>
      <c r="B6" s="52" t="str">
        <f>마스터!F11</f>
        <v>50T × 150W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마스터!M11</f>
        <v>96K수입 50T × 150W × 3600L</v>
      </c>
      <c r="D7" s="1" t="s">
        <v>13</v>
      </c>
      <c r="E7" s="54">
        <f>마스터!$K$11+E4-E5</f>
        <v>60</v>
      </c>
    </row>
    <row r="8" spans="1:9" ht="15" customHeight="1" x14ac:dyDescent="0.25">
      <c r="A8" s="1" t="s">
        <v>10</v>
      </c>
      <c r="B8" s="53">
        <f>마스터!K11</f>
        <v>0</v>
      </c>
      <c r="D8" s="1" t="s">
        <v>123</v>
      </c>
      <c r="E8" s="55">
        <f t="array" ref="E8">IFERROR(MAX(MAX(IF(입고!$C$8:$C$1013=마스터!$M$11,입고!$B$8:$B$1013)),MAX(IF(출고!$C$8:$C$1013=마스터!$M$11,출고!$B$8:$B$1013))),"-")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IFERROR(INDEX(입고!$B$8:$B$1013,SMALL(IF(입고!$C$8:$C$1013=마스터!$M$11,ROW(입고!$C$8:$C$1013)-7),1)),"")</f>
        <v>46056</v>
      </c>
      <c r="C12" s="6" t="str">
        <f t="array" ref="C12">IFERROR(INDEX(입고!$E$8:$E$1013,SMALL(IF(입고!$C$8:$C$1013=마스터!$M$11,ROW(입고!$C$8:$C$1013)-7),1)),"")</f>
        <v>260203CW008</v>
      </c>
      <c r="D12" s="8">
        <f t="array" ref="D12">IFERROR(INDEX(입고!$F$8:$F$1013,SMALL(IF(입고!$C$8:$C$1013=마스터!$M$11,ROW(입고!$C$8:$C$1013)-7),1)),"")</f>
        <v>60</v>
      </c>
      <c r="E12" s="46" t="str">
        <f t="array" ref="E12">IFERROR(INDEX(입고!$H$8:$H$1013,SMALL(IF(입고!$C$8:$C$1013=마스터!$M$11,ROW(입고!$C$8:$C$1013)-7),1)),"")</f>
        <v>(초기재고)</v>
      </c>
      <c r="F12" s="46" t="str">
        <f t="array" ref="F12">IFERROR(INDEX(입고!$I$8:$I$1013,SMALL(IF(입고!$C$8:$C$1013=마스터!$M$11,ROW(입고!$C$8:$C$1013)-7),1)),"")</f>
        <v>2026-02-12 기준</v>
      </c>
      <c r="G12" s="57">
        <f>IF(B12="","",IFERROR(D12,0))</f>
        <v>60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IFERROR(INDEX(입고!$B$8:$B$1013,SMALL(IF(입고!$C$8:$C$1013=마스터!$M$11,ROW(입고!$C$8:$C$1013)-7),2)),"")</f>
        <v/>
      </c>
      <c r="C13" s="11" t="str">
        <f t="array" ref="C13">IFERROR(INDEX(입고!$E$8:$E$1013,SMALL(IF(입고!$C$8:$C$1013=마스터!$M$11,ROW(입고!$C$8:$C$1013)-7),2)),"")</f>
        <v/>
      </c>
      <c r="D13" s="13" t="str">
        <f t="array" ref="D13">IFERROR(INDEX(입고!$F$8:$F$1013,SMALL(IF(입고!$C$8:$C$1013=마스터!$M$11,ROW(입고!$C$8:$C$1013)-7),2)),"")</f>
        <v/>
      </c>
      <c r="E13" s="50" t="str">
        <f t="array" ref="E13">IFERROR(INDEX(입고!$H$8:$H$1013,SMALL(IF(입고!$C$8:$C$1013=마스터!$M$11,ROW(입고!$C$8:$C$1013)-7),2)),"")</f>
        <v/>
      </c>
      <c r="F13" s="50" t="str">
        <f t="array" ref="F13">IFERROR(INDEX(입고!$I$8:$I$1013,SMALL(IF(입고!$C$8:$C$1013=마스터!$M$11,ROW(입고!$C$8:$C$1013)-7),2)),"")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IFERROR(INDEX(입고!$B$8:$B$1013,SMALL(IF(입고!$C$8:$C$1013=마스터!$M$11,ROW(입고!$C$8:$C$1013)-7),3)),"")</f>
        <v/>
      </c>
      <c r="C14" s="6" t="str">
        <f t="array" ref="C14">IFERROR(INDEX(입고!$E$8:$E$1013,SMALL(IF(입고!$C$8:$C$1013=마스터!$M$11,ROW(입고!$C$8:$C$1013)-7),3)),"")</f>
        <v/>
      </c>
      <c r="D14" s="8" t="str">
        <f t="array" ref="D14">IFERROR(INDEX(입고!$F$8:$F$1013,SMALL(IF(입고!$C$8:$C$1013=마스터!$M$11,ROW(입고!$C$8:$C$1013)-7),3)),"")</f>
        <v/>
      </c>
      <c r="E14" s="46" t="str">
        <f t="array" ref="E14">IFERROR(INDEX(입고!$H$8:$H$1013,SMALL(IF(입고!$C$8:$C$1013=마스터!$M$11,ROW(입고!$C$8:$C$1013)-7),3)),"")</f>
        <v/>
      </c>
      <c r="F14" s="46" t="str">
        <f t="array" ref="F14">IFERROR(INDEX(입고!$I$8:$I$1013,SMALL(IF(입고!$C$8:$C$1013=마스터!$M$11,ROW(입고!$C$8:$C$1013)-7),3)),"")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IFERROR(INDEX(입고!$B$8:$B$1013,SMALL(IF(입고!$C$8:$C$1013=마스터!$M$11,ROW(입고!$C$8:$C$1013)-7),4)),"")</f>
        <v/>
      </c>
      <c r="C15" s="11" t="str">
        <f t="array" ref="C15">IFERROR(INDEX(입고!$E$8:$E$1013,SMALL(IF(입고!$C$8:$C$1013=마스터!$M$11,ROW(입고!$C$8:$C$1013)-7),4)),"")</f>
        <v/>
      </c>
      <c r="D15" s="13" t="str">
        <f t="array" ref="D15">IFERROR(INDEX(입고!$F$8:$F$1013,SMALL(IF(입고!$C$8:$C$1013=마스터!$M$11,ROW(입고!$C$8:$C$1013)-7),4)),"")</f>
        <v/>
      </c>
      <c r="E15" s="50" t="str">
        <f t="array" ref="E15">IFERROR(INDEX(입고!$H$8:$H$1013,SMALL(IF(입고!$C$8:$C$1013=마스터!$M$11,ROW(입고!$C$8:$C$1013)-7),4)),"")</f>
        <v/>
      </c>
      <c r="F15" s="50" t="str">
        <f t="array" ref="F15">IFERROR(INDEX(입고!$I$8:$I$1013,SMALL(IF(입고!$C$8:$C$1013=마스터!$M$11,ROW(입고!$C$8:$C$1013)-7),4)),"")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IFERROR(INDEX(입고!$B$8:$B$1013,SMALL(IF(입고!$C$8:$C$1013=마스터!$M$11,ROW(입고!$C$8:$C$1013)-7),5)),"")</f>
        <v/>
      </c>
      <c r="C16" s="6" t="str">
        <f t="array" ref="C16">IFERROR(INDEX(입고!$E$8:$E$1013,SMALL(IF(입고!$C$8:$C$1013=마스터!$M$11,ROW(입고!$C$8:$C$1013)-7),5)),"")</f>
        <v/>
      </c>
      <c r="D16" s="8" t="str">
        <f t="array" ref="D16">IFERROR(INDEX(입고!$F$8:$F$1013,SMALL(IF(입고!$C$8:$C$1013=마스터!$M$11,ROW(입고!$C$8:$C$1013)-7),5)),"")</f>
        <v/>
      </c>
      <c r="E16" s="46" t="str">
        <f t="array" ref="E16">IFERROR(INDEX(입고!$H$8:$H$1013,SMALL(IF(입고!$C$8:$C$1013=마스터!$M$11,ROW(입고!$C$8:$C$1013)-7),5)),"")</f>
        <v/>
      </c>
      <c r="F16" s="46" t="str">
        <f t="array" ref="F16">IFERROR(INDEX(입고!$I$8:$I$1013,SMALL(IF(입고!$C$8:$C$1013=마스터!$M$11,ROW(입고!$C$8:$C$1013)-7),5)),"")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IFERROR(INDEX(입고!$B$8:$B$1013,SMALL(IF(입고!$C$8:$C$1013=마스터!$M$11,ROW(입고!$C$8:$C$1013)-7),6)),"")</f>
        <v/>
      </c>
      <c r="C17" s="11" t="str">
        <f t="array" ref="C17">IFERROR(INDEX(입고!$E$8:$E$1013,SMALL(IF(입고!$C$8:$C$1013=마스터!$M$11,ROW(입고!$C$8:$C$1013)-7),6)),"")</f>
        <v/>
      </c>
      <c r="D17" s="13" t="str">
        <f t="array" ref="D17">IFERROR(INDEX(입고!$F$8:$F$1013,SMALL(IF(입고!$C$8:$C$1013=마스터!$M$11,ROW(입고!$C$8:$C$1013)-7),6)),"")</f>
        <v/>
      </c>
      <c r="E17" s="50" t="str">
        <f t="array" ref="E17">IFERROR(INDEX(입고!$H$8:$H$1013,SMALL(IF(입고!$C$8:$C$1013=마스터!$M$11,ROW(입고!$C$8:$C$1013)-7),6)),"")</f>
        <v/>
      </c>
      <c r="F17" s="50" t="str">
        <f t="array" ref="F17">IFERROR(INDEX(입고!$I$8:$I$1013,SMALL(IF(입고!$C$8:$C$1013=마스터!$M$11,ROW(입고!$C$8:$C$1013)-7),6)),"")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IFERROR(INDEX(입고!$B$8:$B$1013,SMALL(IF(입고!$C$8:$C$1013=마스터!$M$11,ROW(입고!$C$8:$C$1013)-7),7)),"")</f>
        <v/>
      </c>
      <c r="C18" s="6" t="str">
        <f t="array" ref="C18">IFERROR(INDEX(입고!$E$8:$E$1013,SMALL(IF(입고!$C$8:$C$1013=마스터!$M$11,ROW(입고!$C$8:$C$1013)-7),7)),"")</f>
        <v/>
      </c>
      <c r="D18" s="8" t="str">
        <f t="array" ref="D18">IFERROR(INDEX(입고!$F$8:$F$1013,SMALL(IF(입고!$C$8:$C$1013=마스터!$M$11,ROW(입고!$C$8:$C$1013)-7),7)),"")</f>
        <v/>
      </c>
      <c r="E18" s="46" t="str">
        <f t="array" ref="E18">IFERROR(INDEX(입고!$H$8:$H$1013,SMALL(IF(입고!$C$8:$C$1013=마스터!$M$11,ROW(입고!$C$8:$C$1013)-7),7)),"")</f>
        <v/>
      </c>
      <c r="F18" s="46" t="str">
        <f t="array" ref="F18">IFERROR(INDEX(입고!$I$8:$I$1013,SMALL(IF(입고!$C$8:$C$1013=마스터!$M$11,ROW(입고!$C$8:$C$1013)-7),7)),"")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IFERROR(INDEX(입고!$B$8:$B$1013,SMALL(IF(입고!$C$8:$C$1013=마스터!$M$11,ROW(입고!$C$8:$C$1013)-7),8)),"")</f>
        <v/>
      </c>
      <c r="C19" s="11" t="str">
        <f t="array" ref="C19">IFERROR(INDEX(입고!$E$8:$E$1013,SMALL(IF(입고!$C$8:$C$1013=마스터!$M$11,ROW(입고!$C$8:$C$1013)-7),8)),"")</f>
        <v/>
      </c>
      <c r="D19" s="13" t="str">
        <f t="array" ref="D19">IFERROR(INDEX(입고!$F$8:$F$1013,SMALL(IF(입고!$C$8:$C$1013=마스터!$M$11,ROW(입고!$C$8:$C$1013)-7),8)),"")</f>
        <v/>
      </c>
      <c r="E19" s="50" t="str">
        <f t="array" ref="E19">IFERROR(INDEX(입고!$H$8:$H$1013,SMALL(IF(입고!$C$8:$C$1013=마스터!$M$11,ROW(입고!$C$8:$C$1013)-7),8)),"")</f>
        <v/>
      </c>
      <c r="F19" s="50" t="str">
        <f t="array" ref="F19">IFERROR(INDEX(입고!$I$8:$I$1013,SMALL(IF(입고!$C$8:$C$1013=마스터!$M$11,ROW(입고!$C$8:$C$1013)-7),8)),"")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IFERROR(INDEX(입고!$B$8:$B$1013,SMALL(IF(입고!$C$8:$C$1013=마스터!$M$11,ROW(입고!$C$8:$C$1013)-7),9)),"")</f>
        <v/>
      </c>
      <c r="C20" s="6" t="str">
        <f t="array" ref="C20">IFERROR(INDEX(입고!$E$8:$E$1013,SMALL(IF(입고!$C$8:$C$1013=마스터!$M$11,ROW(입고!$C$8:$C$1013)-7),9)),"")</f>
        <v/>
      </c>
      <c r="D20" s="8" t="str">
        <f t="array" ref="D20">IFERROR(INDEX(입고!$F$8:$F$1013,SMALL(IF(입고!$C$8:$C$1013=마스터!$M$11,ROW(입고!$C$8:$C$1013)-7),9)),"")</f>
        <v/>
      </c>
      <c r="E20" s="46" t="str">
        <f t="array" ref="E20">IFERROR(INDEX(입고!$H$8:$H$1013,SMALL(IF(입고!$C$8:$C$1013=마스터!$M$11,ROW(입고!$C$8:$C$1013)-7),9)),"")</f>
        <v/>
      </c>
      <c r="F20" s="46" t="str">
        <f t="array" ref="F20">IFERROR(INDEX(입고!$I$8:$I$1013,SMALL(IF(입고!$C$8:$C$1013=마스터!$M$11,ROW(입고!$C$8:$C$1013)-7),9)),"")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IFERROR(INDEX(입고!$B$8:$B$1013,SMALL(IF(입고!$C$8:$C$1013=마스터!$M$11,ROW(입고!$C$8:$C$1013)-7),10)),"")</f>
        <v/>
      </c>
      <c r="C21" s="11" t="str">
        <f t="array" ref="C21">IFERROR(INDEX(입고!$E$8:$E$1013,SMALL(IF(입고!$C$8:$C$1013=마스터!$M$11,ROW(입고!$C$8:$C$1013)-7),10)),"")</f>
        <v/>
      </c>
      <c r="D21" s="13" t="str">
        <f t="array" ref="D21">IFERROR(INDEX(입고!$F$8:$F$1013,SMALL(IF(입고!$C$8:$C$1013=마스터!$M$11,ROW(입고!$C$8:$C$1013)-7),10)),"")</f>
        <v/>
      </c>
      <c r="E21" s="50" t="str">
        <f t="array" ref="E21">IFERROR(INDEX(입고!$H$8:$H$1013,SMALL(IF(입고!$C$8:$C$1013=마스터!$M$11,ROW(입고!$C$8:$C$1013)-7),10)),"")</f>
        <v/>
      </c>
      <c r="F21" s="50" t="str">
        <f t="array" ref="F21">IFERROR(INDEX(입고!$I$8:$I$1013,SMALL(IF(입고!$C$8:$C$1013=마스터!$M$11,ROW(입고!$C$8:$C$1013)-7),10)),"")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IFERROR(INDEX(입고!$B$8:$B$1013,SMALL(IF(입고!$C$8:$C$1013=마스터!$M$11,ROW(입고!$C$8:$C$1013)-7),11)),"")</f>
        <v/>
      </c>
      <c r="C22" s="6" t="str">
        <f t="array" ref="C22">IFERROR(INDEX(입고!$E$8:$E$1013,SMALL(IF(입고!$C$8:$C$1013=마스터!$M$11,ROW(입고!$C$8:$C$1013)-7),11)),"")</f>
        <v/>
      </c>
      <c r="D22" s="8" t="str">
        <f t="array" ref="D22">IFERROR(INDEX(입고!$F$8:$F$1013,SMALL(IF(입고!$C$8:$C$1013=마스터!$M$11,ROW(입고!$C$8:$C$1013)-7),11)),"")</f>
        <v/>
      </c>
      <c r="E22" s="46" t="str">
        <f t="array" ref="E22">IFERROR(INDEX(입고!$H$8:$H$1013,SMALL(IF(입고!$C$8:$C$1013=마스터!$M$11,ROW(입고!$C$8:$C$1013)-7),11)),"")</f>
        <v/>
      </c>
      <c r="F22" s="46" t="str">
        <f t="array" ref="F22">IFERROR(INDEX(입고!$I$8:$I$1013,SMALL(IF(입고!$C$8:$C$1013=마스터!$M$11,ROW(입고!$C$8:$C$1013)-7),11)),"")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IFERROR(INDEX(입고!$B$8:$B$1013,SMALL(IF(입고!$C$8:$C$1013=마스터!$M$11,ROW(입고!$C$8:$C$1013)-7),12)),"")</f>
        <v/>
      </c>
      <c r="C23" s="11" t="str">
        <f t="array" ref="C23">IFERROR(INDEX(입고!$E$8:$E$1013,SMALL(IF(입고!$C$8:$C$1013=마스터!$M$11,ROW(입고!$C$8:$C$1013)-7),12)),"")</f>
        <v/>
      </c>
      <c r="D23" s="13" t="str">
        <f t="array" ref="D23">IFERROR(INDEX(입고!$F$8:$F$1013,SMALL(IF(입고!$C$8:$C$1013=마스터!$M$11,ROW(입고!$C$8:$C$1013)-7),12)),"")</f>
        <v/>
      </c>
      <c r="E23" s="50" t="str">
        <f t="array" ref="E23">IFERROR(INDEX(입고!$H$8:$H$1013,SMALL(IF(입고!$C$8:$C$1013=마스터!$M$11,ROW(입고!$C$8:$C$1013)-7),12)),"")</f>
        <v/>
      </c>
      <c r="F23" s="50" t="str">
        <f t="array" ref="F23">IFERROR(INDEX(입고!$I$8:$I$1013,SMALL(IF(입고!$C$8:$C$1013=마스터!$M$11,ROW(입고!$C$8:$C$1013)-7),12)),"")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IFERROR(INDEX(입고!$B$8:$B$1013,SMALL(IF(입고!$C$8:$C$1013=마스터!$M$11,ROW(입고!$C$8:$C$1013)-7),13)),"")</f>
        <v/>
      </c>
      <c r="C24" s="6" t="str">
        <f t="array" ref="C24">IFERROR(INDEX(입고!$E$8:$E$1013,SMALL(IF(입고!$C$8:$C$1013=마스터!$M$11,ROW(입고!$C$8:$C$1013)-7),13)),"")</f>
        <v/>
      </c>
      <c r="D24" s="8" t="str">
        <f t="array" ref="D24">IFERROR(INDEX(입고!$F$8:$F$1013,SMALL(IF(입고!$C$8:$C$1013=마스터!$M$11,ROW(입고!$C$8:$C$1013)-7),13)),"")</f>
        <v/>
      </c>
      <c r="E24" s="46" t="str">
        <f t="array" ref="E24">IFERROR(INDEX(입고!$H$8:$H$1013,SMALL(IF(입고!$C$8:$C$1013=마스터!$M$11,ROW(입고!$C$8:$C$1013)-7),13)),"")</f>
        <v/>
      </c>
      <c r="F24" s="46" t="str">
        <f t="array" ref="F24">IFERROR(INDEX(입고!$I$8:$I$1013,SMALL(IF(입고!$C$8:$C$1013=마스터!$M$11,ROW(입고!$C$8:$C$1013)-7),13)),"")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IFERROR(INDEX(입고!$B$8:$B$1013,SMALL(IF(입고!$C$8:$C$1013=마스터!$M$11,ROW(입고!$C$8:$C$1013)-7),14)),"")</f>
        <v/>
      </c>
      <c r="C25" s="11" t="str">
        <f t="array" ref="C25">IFERROR(INDEX(입고!$E$8:$E$1013,SMALL(IF(입고!$C$8:$C$1013=마스터!$M$11,ROW(입고!$C$8:$C$1013)-7),14)),"")</f>
        <v/>
      </c>
      <c r="D25" s="13" t="str">
        <f t="array" ref="D25">IFERROR(INDEX(입고!$F$8:$F$1013,SMALL(IF(입고!$C$8:$C$1013=마스터!$M$11,ROW(입고!$C$8:$C$1013)-7),14)),"")</f>
        <v/>
      </c>
      <c r="E25" s="50" t="str">
        <f t="array" ref="E25">IFERROR(INDEX(입고!$H$8:$H$1013,SMALL(IF(입고!$C$8:$C$1013=마스터!$M$11,ROW(입고!$C$8:$C$1013)-7),14)),"")</f>
        <v/>
      </c>
      <c r="F25" s="50" t="str">
        <f t="array" ref="F25">IFERROR(INDEX(입고!$I$8:$I$1013,SMALL(IF(입고!$C$8:$C$1013=마스터!$M$11,ROW(입고!$C$8:$C$1013)-7),14)),"")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IFERROR(INDEX(입고!$B$8:$B$1013,SMALL(IF(입고!$C$8:$C$1013=마스터!$M$11,ROW(입고!$C$8:$C$1013)-7),15)),"")</f>
        <v/>
      </c>
      <c r="C26" s="6" t="str">
        <f t="array" ref="C26">IFERROR(INDEX(입고!$E$8:$E$1013,SMALL(IF(입고!$C$8:$C$1013=마스터!$M$11,ROW(입고!$C$8:$C$1013)-7),15)),"")</f>
        <v/>
      </c>
      <c r="D26" s="8" t="str">
        <f t="array" ref="D26">IFERROR(INDEX(입고!$F$8:$F$1013,SMALL(IF(입고!$C$8:$C$1013=마스터!$M$11,ROW(입고!$C$8:$C$1013)-7),15)),"")</f>
        <v/>
      </c>
      <c r="E26" s="46" t="str">
        <f t="array" ref="E26">IFERROR(INDEX(입고!$H$8:$H$1013,SMALL(IF(입고!$C$8:$C$1013=마스터!$M$11,ROW(입고!$C$8:$C$1013)-7),15)),"")</f>
        <v/>
      </c>
      <c r="F26" s="46" t="str">
        <f t="array" ref="F26">IFERROR(INDEX(입고!$I$8:$I$1013,SMALL(IF(입고!$C$8:$C$1013=마스터!$M$11,ROW(입고!$C$8:$C$1013)-7),15)),"")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IFERROR(INDEX(입고!$B$8:$B$1013,SMALL(IF(입고!$C$8:$C$1013=마스터!$M$11,ROW(입고!$C$8:$C$1013)-7),16)),"")</f>
        <v/>
      </c>
      <c r="C27" s="11" t="str">
        <f t="array" ref="C27">IFERROR(INDEX(입고!$E$8:$E$1013,SMALL(IF(입고!$C$8:$C$1013=마스터!$M$11,ROW(입고!$C$8:$C$1013)-7),16)),"")</f>
        <v/>
      </c>
      <c r="D27" s="13" t="str">
        <f t="array" ref="D27">IFERROR(INDEX(입고!$F$8:$F$1013,SMALL(IF(입고!$C$8:$C$1013=마스터!$M$11,ROW(입고!$C$8:$C$1013)-7),16)),"")</f>
        <v/>
      </c>
      <c r="E27" s="50" t="str">
        <f t="array" ref="E27">IFERROR(INDEX(입고!$H$8:$H$1013,SMALL(IF(입고!$C$8:$C$1013=마스터!$M$11,ROW(입고!$C$8:$C$1013)-7),16)),"")</f>
        <v/>
      </c>
      <c r="F27" s="50" t="str">
        <f t="array" ref="F27">IFERROR(INDEX(입고!$I$8:$I$1013,SMALL(IF(입고!$C$8:$C$1013=마스터!$M$11,ROW(입고!$C$8:$C$1013)-7),16)),"")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IFERROR(INDEX(입고!$B$8:$B$1013,SMALL(IF(입고!$C$8:$C$1013=마스터!$M$11,ROW(입고!$C$8:$C$1013)-7),17)),"")</f>
        <v/>
      </c>
      <c r="C28" s="6" t="str">
        <f t="array" ref="C28">IFERROR(INDEX(입고!$E$8:$E$1013,SMALL(IF(입고!$C$8:$C$1013=마스터!$M$11,ROW(입고!$C$8:$C$1013)-7),17)),"")</f>
        <v/>
      </c>
      <c r="D28" s="8" t="str">
        <f t="array" ref="D28">IFERROR(INDEX(입고!$F$8:$F$1013,SMALL(IF(입고!$C$8:$C$1013=마스터!$M$11,ROW(입고!$C$8:$C$1013)-7),17)),"")</f>
        <v/>
      </c>
      <c r="E28" s="46" t="str">
        <f t="array" ref="E28">IFERROR(INDEX(입고!$H$8:$H$1013,SMALL(IF(입고!$C$8:$C$1013=마스터!$M$11,ROW(입고!$C$8:$C$1013)-7),17)),"")</f>
        <v/>
      </c>
      <c r="F28" s="46" t="str">
        <f t="array" ref="F28">IFERROR(INDEX(입고!$I$8:$I$1013,SMALL(IF(입고!$C$8:$C$1013=마스터!$M$11,ROW(입고!$C$8:$C$1013)-7),17)),"")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IFERROR(INDEX(입고!$B$8:$B$1013,SMALL(IF(입고!$C$8:$C$1013=마스터!$M$11,ROW(입고!$C$8:$C$1013)-7),18)),"")</f>
        <v/>
      </c>
      <c r="C29" s="11" t="str">
        <f t="array" ref="C29">IFERROR(INDEX(입고!$E$8:$E$1013,SMALL(IF(입고!$C$8:$C$1013=마스터!$M$11,ROW(입고!$C$8:$C$1013)-7),18)),"")</f>
        <v/>
      </c>
      <c r="D29" s="13" t="str">
        <f t="array" ref="D29">IFERROR(INDEX(입고!$F$8:$F$1013,SMALL(IF(입고!$C$8:$C$1013=마스터!$M$11,ROW(입고!$C$8:$C$1013)-7),18)),"")</f>
        <v/>
      </c>
      <c r="E29" s="50" t="str">
        <f t="array" ref="E29">IFERROR(INDEX(입고!$H$8:$H$1013,SMALL(IF(입고!$C$8:$C$1013=마스터!$M$11,ROW(입고!$C$8:$C$1013)-7),18)),"")</f>
        <v/>
      </c>
      <c r="F29" s="50" t="str">
        <f t="array" ref="F29">IFERROR(INDEX(입고!$I$8:$I$1013,SMALL(IF(입고!$C$8:$C$1013=마스터!$M$11,ROW(입고!$C$8:$C$1013)-7),18)),"")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IFERROR(INDEX(입고!$B$8:$B$1013,SMALL(IF(입고!$C$8:$C$1013=마스터!$M$11,ROW(입고!$C$8:$C$1013)-7),19)),"")</f>
        <v/>
      </c>
      <c r="C30" s="6" t="str">
        <f t="array" ref="C30">IFERROR(INDEX(입고!$E$8:$E$1013,SMALL(IF(입고!$C$8:$C$1013=마스터!$M$11,ROW(입고!$C$8:$C$1013)-7),19)),"")</f>
        <v/>
      </c>
      <c r="D30" s="8" t="str">
        <f t="array" ref="D30">IFERROR(INDEX(입고!$F$8:$F$1013,SMALL(IF(입고!$C$8:$C$1013=마스터!$M$11,ROW(입고!$C$8:$C$1013)-7),19)),"")</f>
        <v/>
      </c>
      <c r="E30" s="46" t="str">
        <f t="array" ref="E30">IFERROR(INDEX(입고!$H$8:$H$1013,SMALL(IF(입고!$C$8:$C$1013=마스터!$M$11,ROW(입고!$C$8:$C$1013)-7),19)),"")</f>
        <v/>
      </c>
      <c r="F30" s="46" t="str">
        <f t="array" ref="F30">IFERROR(INDEX(입고!$I$8:$I$1013,SMALL(IF(입고!$C$8:$C$1013=마스터!$M$11,ROW(입고!$C$8:$C$1013)-7),19)),"")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IFERROR(INDEX(입고!$B$8:$B$1013,SMALL(IF(입고!$C$8:$C$1013=마스터!$M$11,ROW(입고!$C$8:$C$1013)-7),20)),"")</f>
        <v/>
      </c>
      <c r="C31" s="11" t="str">
        <f t="array" ref="C31">IFERROR(INDEX(입고!$E$8:$E$1013,SMALL(IF(입고!$C$8:$C$1013=마스터!$M$11,ROW(입고!$C$8:$C$1013)-7),20)),"")</f>
        <v/>
      </c>
      <c r="D31" s="13" t="str">
        <f t="array" ref="D31">IFERROR(INDEX(입고!$F$8:$F$1013,SMALL(IF(입고!$C$8:$C$1013=마스터!$M$11,ROW(입고!$C$8:$C$1013)-7),20)),"")</f>
        <v/>
      </c>
      <c r="E31" s="50" t="str">
        <f t="array" ref="E31">IFERROR(INDEX(입고!$H$8:$H$1013,SMALL(IF(입고!$C$8:$C$1013=마스터!$M$11,ROW(입고!$C$8:$C$1013)-7),20)),"")</f>
        <v/>
      </c>
      <c r="F31" s="50" t="str">
        <f t="array" ref="F31">IFERROR(INDEX(입고!$I$8:$I$1013,SMALL(IF(입고!$C$8:$C$1013=마스터!$M$11,ROW(입고!$C$8:$C$1013)-7),20)),"")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IFERROR(INDEX(입고!$B$8:$B$1013,SMALL(IF(입고!$C$8:$C$1013=마스터!$M$11,ROW(입고!$C$8:$C$1013)-7),21)),"")</f>
        <v/>
      </c>
      <c r="C32" s="6" t="str">
        <f t="array" ref="C32">IFERROR(INDEX(입고!$E$8:$E$1013,SMALL(IF(입고!$C$8:$C$1013=마스터!$M$11,ROW(입고!$C$8:$C$1013)-7),21)),"")</f>
        <v/>
      </c>
      <c r="D32" s="8" t="str">
        <f t="array" ref="D32">IFERROR(INDEX(입고!$F$8:$F$1013,SMALL(IF(입고!$C$8:$C$1013=마스터!$M$11,ROW(입고!$C$8:$C$1013)-7),21)),"")</f>
        <v/>
      </c>
      <c r="E32" s="46" t="str">
        <f t="array" ref="E32">IFERROR(INDEX(입고!$H$8:$H$1013,SMALL(IF(입고!$C$8:$C$1013=마스터!$M$11,ROW(입고!$C$8:$C$1013)-7),21)),"")</f>
        <v/>
      </c>
      <c r="F32" s="46" t="str">
        <f t="array" ref="F32">IFERROR(INDEX(입고!$I$8:$I$1013,SMALL(IF(입고!$C$8:$C$1013=마스터!$M$11,ROW(입고!$C$8:$C$1013)-7),21)),"")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IFERROR(INDEX(입고!$B$8:$B$1013,SMALL(IF(입고!$C$8:$C$1013=마스터!$M$11,ROW(입고!$C$8:$C$1013)-7),22)),"")</f>
        <v/>
      </c>
      <c r="C33" s="11" t="str">
        <f t="array" ref="C33">IFERROR(INDEX(입고!$E$8:$E$1013,SMALL(IF(입고!$C$8:$C$1013=마스터!$M$11,ROW(입고!$C$8:$C$1013)-7),22)),"")</f>
        <v/>
      </c>
      <c r="D33" s="13" t="str">
        <f t="array" ref="D33">IFERROR(INDEX(입고!$F$8:$F$1013,SMALL(IF(입고!$C$8:$C$1013=마스터!$M$11,ROW(입고!$C$8:$C$1013)-7),22)),"")</f>
        <v/>
      </c>
      <c r="E33" s="50" t="str">
        <f t="array" ref="E33">IFERROR(INDEX(입고!$H$8:$H$1013,SMALL(IF(입고!$C$8:$C$1013=마스터!$M$11,ROW(입고!$C$8:$C$1013)-7),22)),"")</f>
        <v/>
      </c>
      <c r="F33" s="50" t="str">
        <f t="array" ref="F33">IFERROR(INDEX(입고!$I$8:$I$1013,SMALL(IF(입고!$C$8:$C$1013=마스터!$M$11,ROW(입고!$C$8:$C$1013)-7),22)),"")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IFERROR(INDEX(입고!$B$8:$B$1013,SMALL(IF(입고!$C$8:$C$1013=마스터!$M$11,ROW(입고!$C$8:$C$1013)-7),23)),"")</f>
        <v/>
      </c>
      <c r="C34" s="6" t="str">
        <f t="array" ref="C34">IFERROR(INDEX(입고!$E$8:$E$1013,SMALL(IF(입고!$C$8:$C$1013=마스터!$M$11,ROW(입고!$C$8:$C$1013)-7),23)),"")</f>
        <v/>
      </c>
      <c r="D34" s="8" t="str">
        <f t="array" ref="D34">IFERROR(INDEX(입고!$F$8:$F$1013,SMALL(IF(입고!$C$8:$C$1013=마스터!$M$11,ROW(입고!$C$8:$C$1013)-7),23)),"")</f>
        <v/>
      </c>
      <c r="E34" s="46" t="str">
        <f t="array" ref="E34">IFERROR(INDEX(입고!$H$8:$H$1013,SMALL(IF(입고!$C$8:$C$1013=마스터!$M$11,ROW(입고!$C$8:$C$1013)-7),23)),"")</f>
        <v/>
      </c>
      <c r="F34" s="46" t="str">
        <f t="array" ref="F34">IFERROR(INDEX(입고!$I$8:$I$1013,SMALL(IF(입고!$C$8:$C$1013=마스터!$M$11,ROW(입고!$C$8:$C$1013)-7),23)),"")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IFERROR(INDEX(입고!$B$8:$B$1013,SMALL(IF(입고!$C$8:$C$1013=마스터!$M$11,ROW(입고!$C$8:$C$1013)-7),24)),"")</f>
        <v/>
      </c>
      <c r="C35" s="11" t="str">
        <f t="array" ref="C35">IFERROR(INDEX(입고!$E$8:$E$1013,SMALL(IF(입고!$C$8:$C$1013=마스터!$M$11,ROW(입고!$C$8:$C$1013)-7),24)),"")</f>
        <v/>
      </c>
      <c r="D35" s="13" t="str">
        <f t="array" ref="D35">IFERROR(INDEX(입고!$F$8:$F$1013,SMALL(IF(입고!$C$8:$C$1013=마스터!$M$11,ROW(입고!$C$8:$C$1013)-7),24)),"")</f>
        <v/>
      </c>
      <c r="E35" s="50" t="str">
        <f t="array" ref="E35">IFERROR(INDEX(입고!$H$8:$H$1013,SMALL(IF(입고!$C$8:$C$1013=마스터!$M$11,ROW(입고!$C$8:$C$1013)-7),24)),"")</f>
        <v/>
      </c>
      <c r="F35" s="50" t="str">
        <f t="array" ref="F35">IFERROR(INDEX(입고!$I$8:$I$1013,SMALL(IF(입고!$C$8:$C$1013=마스터!$M$11,ROW(입고!$C$8:$C$1013)-7),24)),"")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IFERROR(INDEX(입고!$B$8:$B$1013,SMALL(IF(입고!$C$8:$C$1013=마스터!$M$11,ROW(입고!$C$8:$C$1013)-7),25)),"")</f>
        <v/>
      </c>
      <c r="C36" s="6" t="str">
        <f t="array" ref="C36">IFERROR(INDEX(입고!$E$8:$E$1013,SMALL(IF(입고!$C$8:$C$1013=마스터!$M$11,ROW(입고!$C$8:$C$1013)-7),25)),"")</f>
        <v/>
      </c>
      <c r="D36" s="8" t="str">
        <f t="array" ref="D36">IFERROR(INDEX(입고!$F$8:$F$1013,SMALL(IF(입고!$C$8:$C$1013=마스터!$M$11,ROW(입고!$C$8:$C$1013)-7),25)),"")</f>
        <v/>
      </c>
      <c r="E36" s="46" t="str">
        <f t="array" ref="E36">IFERROR(INDEX(입고!$H$8:$H$1013,SMALL(IF(입고!$C$8:$C$1013=마스터!$M$11,ROW(입고!$C$8:$C$1013)-7),25)),"")</f>
        <v/>
      </c>
      <c r="F36" s="46" t="str">
        <f t="array" ref="F36">IFERROR(INDEX(입고!$I$8:$I$1013,SMALL(IF(입고!$C$8:$C$1013=마스터!$M$11,ROW(입고!$C$8:$C$1013)-7),25)),"")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IFERROR(INDEX(입고!$B$8:$B$1013,SMALL(IF(입고!$C$8:$C$1013=마스터!$M$11,ROW(입고!$C$8:$C$1013)-7),26)),"")</f>
        <v/>
      </c>
      <c r="C37" s="11" t="str">
        <f t="array" ref="C37">IFERROR(INDEX(입고!$E$8:$E$1013,SMALL(IF(입고!$C$8:$C$1013=마스터!$M$11,ROW(입고!$C$8:$C$1013)-7),26)),"")</f>
        <v/>
      </c>
      <c r="D37" s="13" t="str">
        <f t="array" ref="D37">IFERROR(INDEX(입고!$F$8:$F$1013,SMALL(IF(입고!$C$8:$C$1013=마스터!$M$11,ROW(입고!$C$8:$C$1013)-7),26)),"")</f>
        <v/>
      </c>
      <c r="E37" s="50" t="str">
        <f t="array" ref="E37">IFERROR(INDEX(입고!$H$8:$H$1013,SMALL(IF(입고!$C$8:$C$1013=마스터!$M$11,ROW(입고!$C$8:$C$1013)-7),26)),"")</f>
        <v/>
      </c>
      <c r="F37" s="50" t="str">
        <f t="array" ref="F37">IFERROR(INDEX(입고!$I$8:$I$1013,SMALL(IF(입고!$C$8:$C$1013=마스터!$M$11,ROW(입고!$C$8:$C$1013)-7),26)),"")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IFERROR(INDEX(입고!$B$8:$B$1013,SMALL(IF(입고!$C$8:$C$1013=마스터!$M$11,ROW(입고!$C$8:$C$1013)-7),27)),"")</f>
        <v/>
      </c>
      <c r="C38" s="6" t="str">
        <f t="array" ref="C38">IFERROR(INDEX(입고!$E$8:$E$1013,SMALL(IF(입고!$C$8:$C$1013=마스터!$M$11,ROW(입고!$C$8:$C$1013)-7),27)),"")</f>
        <v/>
      </c>
      <c r="D38" s="8" t="str">
        <f t="array" ref="D38">IFERROR(INDEX(입고!$F$8:$F$1013,SMALL(IF(입고!$C$8:$C$1013=마스터!$M$11,ROW(입고!$C$8:$C$1013)-7),27)),"")</f>
        <v/>
      </c>
      <c r="E38" s="46" t="str">
        <f t="array" ref="E38">IFERROR(INDEX(입고!$H$8:$H$1013,SMALL(IF(입고!$C$8:$C$1013=마스터!$M$11,ROW(입고!$C$8:$C$1013)-7),27)),"")</f>
        <v/>
      </c>
      <c r="F38" s="46" t="str">
        <f t="array" ref="F38">IFERROR(INDEX(입고!$I$8:$I$1013,SMALL(IF(입고!$C$8:$C$1013=마스터!$M$11,ROW(입고!$C$8:$C$1013)-7),27)),"")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IFERROR(INDEX(입고!$B$8:$B$1013,SMALL(IF(입고!$C$8:$C$1013=마스터!$M$11,ROW(입고!$C$8:$C$1013)-7),28)),"")</f>
        <v/>
      </c>
      <c r="C39" s="11" t="str">
        <f t="array" ref="C39">IFERROR(INDEX(입고!$E$8:$E$1013,SMALL(IF(입고!$C$8:$C$1013=마스터!$M$11,ROW(입고!$C$8:$C$1013)-7),28)),"")</f>
        <v/>
      </c>
      <c r="D39" s="13" t="str">
        <f t="array" ref="D39">IFERROR(INDEX(입고!$F$8:$F$1013,SMALL(IF(입고!$C$8:$C$1013=마스터!$M$11,ROW(입고!$C$8:$C$1013)-7),28)),"")</f>
        <v/>
      </c>
      <c r="E39" s="50" t="str">
        <f t="array" ref="E39">IFERROR(INDEX(입고!$H$8:$H$1013,SMALL(IF(입고!$C$8:$C$1013=마스터!$M$11,ROW(입고!$C$8:$C$1013)-7),28)),"")</f>
        <v/>
      </c>
      <c r="F39" s="50" t="str">
        <f t="array" ref="F39">IFERROR(INDEX(입고!$I$8:$I$1013,SMALL(IF(입고!$C$8:$C$1013=마스터!$M$11,ROW(입고!$C$8:$C$1013)-7),28)),"")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IFERROR(INDEX(입고!$B$8:$B$1013,SMALL(IF(입고!$C$8:$C$1013=마스터!$M$11,ROW(입고!$C$8:$C$1013)-7),29)),"")</f>
        <v/>
      </c>
      <c r="C40" s="6" t="str">
        <f t="array" ref="C40">IFERROR(INDEX(입고!$E$8:$E$1013,SMALL(IF(입고!$C$8:$C$1013=마스터!$M$11,ROW(입고!$C$8:$C$1013)-7),29)),"")</f>
        <v/>
      </c>
      <c r="D40" s="8" t="str">
        <f t="array" ref="D40">IFERROR(INDEX(입고!$F$8:$F$1013,SMALL(IF(입고!$C$8:$C$1013=마스터!$M$11,ROW(입고!$C$8:$C$1013)-7),29)),"")</f>
        <v/>
      </c>
      <c r="E40" s="46" t="str">
        <f t="array" ref="E40">IFERROR(INDEX(입고!$H$8:$H$1013,SMALL(IF(입고!$C$8:$C$1013=마스터!$M$11,ROW(입고!$C$8:$C$1013)-7),29)),"")</f>
        <v/>
      </c>
      <c r="F40" s="46" t="str">
        <f t="array" ref="F40">IFERROR(INDEX(입고!$I$8:$I$1013,SMALL(IF(입고!$C$8:$C$1013=마스터!$M$11,ROW(입고!$C$8:$C$1013)-7),29)),"")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IFERROR(INDEX(입고!$B$8:$B$1013,SMALL(IF(입고!$C$8:$C$1013=마스터!$M$11,ROW(입고!$C$8:$C$1013)-7),30)),"")</f>
        <v/>
      </c>
      <c r="C41" s="11" t="str">
        <f t="array" ref="C41">IFERROR(INDEX(입고!$E$8:$E$1013,SMALL(IF(입고!$C$8:$C$1013=마스터!$M$11,ROW(입고!$C$8:$C$1013)-7),30)),"")</f>
        <v/>
      </c>
      <c r="D41" s="13" t="str">
        <f t="array" ref="D41">IFERROR(INDEX(입고!$F$8:$F$1013,SMALL(IF(입고!$C$8:$C$1013=마스터!$M$11,ROW(입고!$C$8:$C$1013)-7),30)),"")</f>
        <v/>
      </c>
      <c r="E41" s="50" t="str">
        <f t="array" ref="E41">IFERROR(INDEX(입고!$H$8:$H$1013,SMALL(IF(입고!$C$8:$C$1013=마스터!$M$11,ROW(입고!$C$8:$C$1013)-7),30)),"")</f>
        <v/>
      </c>
      <c r="F41" s="50" t="str">
        <f t="array" ref="F41">IFERROR(INDEX(입고!$I$8:$I$1013,SMALL(IF(입고!$C$8:$C$1013=마스터!$M$11,ROW(입고!$C$8:$C$1013)-7),30)),"")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IFERROR(INDEX(출고!$B$8:$B$1013,SMALL(IF(출고!$C$8:$C$1013=마스터!$M$11,ROW(출고!$C$8:$C$1013)-7),1)),"")</f>
        <v/>
      </c>
      <c r="C45" s="6" t="str">
        <f t="array" ref="C45">IFERROR(INDEX(출고!$E$8:$E$1013,SMALL(IF(출고!$C$8:$C$1013=마스터!$M$11,ROW(출고!$C$8:$C$1013)-7),1)),"")</f>
        <v/>
      </c>
      <c r="D45" s="8" t="str">
        <f t="array" ref="D45">IFERROR(INDEX(출고!$F$8:$F$1013,SMALL(IF(출고!$C$8:$C$1013=마스터!$M$11,ROW(출고!$C$8:$C$1013)-7),1)),"")</f>
        <v/>
      </c>
      <c r="E45" s="46" t="str">
        <f t="array" ref="E45">IFERROR(INDEX(출고!$H$8:$H$1013,SMALL(IF(출고!$C$8:$C$1013=마스터!$M$11,ROW(출고!$C$8:$C$1013)-7),1)),"")</f>
        <v/>
      </c>
      <c r="F45" s="46" t="str">
        <f t="array" ref="F45">IFERROR(INDEX(출고!$I$8:$I$1013,SMALL(IF(출고!$C$8:$C$1013=마스터!$M$11,ROW(출고!$C$8:$C$1013)-7),1)),"")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IFERROR(INDEX(출고!$B$8:$B$1013,SMALL(IF(출고!$C$8:$C$1013=마스터!$M$11,ROW(출고!$C$8:$C$1013)-7),2)),"")</f>
        <v/>
      </c>
      <c r="C46" s="11" t="str">
        <f t="array" ref="C46">IFERROR(INDEX(출고!$E$8:$E$1013,SMALL(IF(출고!$C$8:$C$1013=마스터!$M$11,ROW(출고!$C$8:$C$1013)-7),2)),"")</f>
        <v/>
      </c>
      <c r="D46" s="13" t="str">
        <f t="array" ref="D46">IFERROR(INDEX(출고!$F$8:$F$1013,SMALL(IF(출고!$C$8:$C$1013=마스터!$M$11,ROW(출고!$C$8:$C$1013)-7),2)),"")</f>
        <v/>
      </c>
      <c r="E46" s="50" t="str">
        <f t="array" ref="E46">IFERROR(INDEX(출고!$H$8:$H$1013,SMALL(IF(출고!$C$8:$C$1013=마스터!$M$11,ROW(출고!$C$8:$C$1013)-7),2)),"")</f>
        <v/>
      </c>
      <c r="F46" s="50" t="str">
        <f t="array" ref="F46">IFERROR(INDEX(출고!$I$8:$I$1013,SMALL(IF(출고!$C$8:$C$1013=마스터!$M$11,ROW(출고!$C$8:$C$1013)-7),2)),"")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IFERROR(INDEX(출고!$B$8:$B$1013,SMALL(IF(출고!$C$8:$C$1013=마스터!$M$11,ROW(출고!$C$8:$C$1013)-7),3)),"")</f>
        <v/>
      </c>
      <c r="C47" s="6" t="str">
        <f t="array" ref="C47">IFERROR(INDEX(출고!$E$8:$E$1013,SMALL(IF(출고!$C$8:$C$1013=마스터!$M$11,ROW(출고!$C$8:$C$1013)-7),3)),"")</f>
        <v/>
      </c>
      <c r="D47" s="8" t="str">
        <f t="array" ref="D47">IFERROR(INDEX(출고!$F$8:$F$1013,SMALL(IF(출고!$C$8:$C$1013=마스터!$M$11,ROW(출고!$C$8:$C$1013)-7),3)),"")</f>
        <v/>
      </c>
      <c r="E47" s="46" t="str">
        <f t="array" ref="E47">IFERROR(INDEX(출고!$H$8:$H$1013,SMALL(IF(출고!$C$8:$C$1013=마스터!$M$11,ROW(출고!$C$8:$C$1013)-7),3)),"")</f>
        <v/>
      </c>
      <c r="F47" s="46" t="str">
        <f t="array" ref="F47">IFERROR(INDEX(출고!$I$8:$I$1013,SMALL(IF(출고!$C$8:$C$1013=마스터!$M$11,ROW(출고!$C$8:$C$1013)-7),3)),"")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IFERROR(INDEX(출고!$B$8:$B$1013,SMALL(IF(출고!$C$8:$C$1013=마스터!$M$11,ROW(출고!$C$8:$C$1013)-7),4)),"")</f>
        <v/>
      </c>
      <c r="C48" s="11" t="str">
        <f t="array" ref="C48">IFERROR(INDEX(출고!$E$8:$E$1013,SMALL(IF(출고!$C$8:$C$1013=마스터!$M$11,ROW(출고!$C$8:$C$1013)-7),4)),"")</f>
        <v/>
      </c>
      <c r="D48" s="13" t="str">
        <f t="array" ref="D48">IFERROR(INDEX(출고!$F$8:$F$1013,SMALL(IF(출고!$C$8:$C$1013=마스터!$M$11,ROW(출고!$C$8:$C$1013)-7),4)),"")</f>
        <v/>
      </c>
      <c r="E48" s="50" t="str">
        <f t="array" ref="E48">IFERROR(INDEX(출고!$H$8:$H$1013,SMALL(IF(출고!$C$8:$C$1013=마스터!$M$11,ROW(출고!$C$8:$C$1013)-7),4)),"")</f>
        <v/>
      </c>
      <c r="F48" s="50" t="str">
        <f t="array" ref="F48">IFERROR(INDEX(출고!$I$8:$I$1013,SMALL(IF(출고!$C$8:$C$1013=마스터!$M$11,ROW(출고!$C$8:$C$1013)-7),4)),"")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IFERROR(INDEX(출고!$B$8:$B$1013,SMALL(IF(출고!$C$8:$C$1013=마스터!$M$11,ROW(출고!$C$8:$C$1013)-7),5)),"")</f>
        <v/>
      </c>
      <c r="C49" s="6" t="str">
        <f t="array" ref="C49">IFERROR(INDEX(출고!$E$8:$E$1013,SMALL(IF(출고!$C$8:$C$1013=마스터!$M$11,ROW(출고!$C$8:$C$1013)-7),5)),"")</f>
        <v/>
      </c>
      <c r="D49" s="8" t="str">
        <f t="array" ref="D49">IFERROR(INDEX(출고!$F$8:$F$1013,SMALL(IF(출고!$C$8:$C$1013=마스터!$M$11,ROW(출고!$C$8:$C$1013)-7),5)),"")</f>
        <v/>
      </c>
      <c r="E49" s="46" t="str">
        <f t="array" ref="E49">IFERROR(INDEX(출고!$H$8:$H$1013,SMALL(IF(출고!$C$8:$C$1013=마스터!$M$11,ROW(출고!$C$8:$C$1013)-7),5)),"")</f>
        <v/>
      </c>
      <c r="F49" s="46" t="str">
        <f t="array" ref="F49">IFERROR(INDEX(출고!$I$8:$I$1013,SMALL(IF(출고!$C$8:$C$1013=마스터!$M$11,ROW(출고!$C$8:$C$1013)-7),5)),"")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IFERROR(INDEX(출고!$B$8:$B$1013,SMALL(IF(출고!$C$8:$C$1013=마스터!$M$11,ROW(출고!$C$8:$C$1013)-7),6)),"")</f>
        <v/>
      </c>
      <c r="C50" s="11" t="str">
        <f t="array" ref="C50">IFERROR(INDEX(출고!$E$8:$E$1013,SMALL(IF(출고!$C$8:$C$1013=마스터!$M$11,ROW(출고!$C$8:$C$1013)-7),6)),"")</f>
        <v/>
      </c>
      <c r="D50" s="13" t="str">
        <f t="array" ref="D50">IFERROR(INDEX(출고!$F$8:$F$1013,SMALL(IF(출고!$C$8:$C$1013=마스터!$M$11,ROW(출고!$C$8:$C$1013)-7),6)),"")</f>
        <v/>
      </c>
      <c r="E50" s="50" t="str">
        <f t="array" ref="E50">IFERROR(INDEX(출고!$H$8:$H$1013,SMALL(IF(출고!$C$8:$C$1013=마스터!$M$11,ROW(출고!$C$8:$C$1013)-7),6)),"")</f>
        <v/>
      </c>
      <c r="F50" s="50" t="str">
        <f t="array" ref="F50">IFERROR(INDEX(출고!$I$8:$I$1013,SMALL(IF(출고!$C$8:$C$1013=마스터!$M$11,ROW(출고!$C$8:$C$1013)-7),6)),"")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IFERROR(INDEX(출고!$B$8:$B$1013,SMALL(IF(출고!$C$8:$C$1013=마스터!$M$11,ROW(출고!$C$8:$C$1013)-7),7)),"")</f>
        <v/>
      </c>
      <c r="C51" s="6" t="str">
        <f t="array" ref="C51">IFERROR(INDEX(출고!$E$8:$E$1013,SMALL(IF(출고!$C$8:$C$1013=마스터!$M$11,ROW(출고!$C$8:$C$1013)-7),7)),"")</f>
        <v/>
      </c>
      <c r="D51" s="8" t="str">
        <f t="array" ref="D51">IFERROR(INDEX(출고!$F$8:$F$1013,SMALL(IF(출고!$C$8:$C$1013=마스터!$M$11,ROW(출고!$C$8:$C$1013)-7),7)),"")</f>
        <v/>
      </c>
      <c r="E51" s="46" t="str">
        <f t="array" ref="E51">IFERROR(INDEX(출고!$H$8:$H$1013,SMALL(IF(출고!$C$8:$C$1013=마스터!$M$11,ROW(출고!$C$8:$C$1013)-7),7)),"")</f>
        <v/>
      </c>
      <c r="F51" s="46" t="str">
        <f t="array" ref="F51">IFERROR(INDEX(출고!$I$8:$I$1013,SMALL(IF(출고!$C$8:$C$1013=마스터!$M$11,ROW(출고!$C$8:$C$1013)-7),7)),"")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IFERROR(INDEX(출고!$B$8:$B$1013,SMALL(IF(출고!$C$8:$C$1013=마스터!$M$11,ROW(출고!$C$8:$C$1013)-7),8)),"")</f>
        <v/>
      </c>
      <c r="C52" s="11" t="str">
        <f t="array" ref="C52">IFERROR(INDEX(출고!$E$8:$E$1013,SMALL(IF(출고!$C$8:$C$1013=마스터!$M$11,ROW(출고!$C$8:$C$1013)-7),8)),"")</f>
        <v/>
      </c>
      <c r="D52" s="13" t="str">
        <f t="array" ref="D52">IFERROR(INDEX(출고!$F$8:$F$1013,SMALL(IF(출고!$C$8:$C$1013=마스터!$M$11,ROW(출고!$C$8:$C$1013)-7),8)),"")</f>
        <v/>
      </c>
      <c r="E52" s="50" t="str">
        <f t="array" ref="E52">IFERROR(INDEX(출고!$H$8:$H$1013,SMALL(IF(출고!$C$8:$C$1013=마스터!$M$11,ROW(출고!$C$8:$C$1013)-7),8)),"")</f>
        <v/>
      </c>
      <c r="F52" s="50" t="str">
        <f t="array" ref="F52">IFERROR(INDEX(출고!$I$8:$I$1013,SMALL(IF(출고!$C$8:$C$1013=마스터!$M$11,ROW(출고!$C$8:$C$1013)-7),8)),"")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IFERROR(INDEX(출고!$B$8:$B$1013,SMALL(IF(출고!$C$8:$C$1013=마스터!$M$11,ROW(출고!$C$8:$C$1013)-7),9)),"")</f>
        <v/>
      </c>
      <c r="C53" s="6" t="str">
        <f t="array" ref="C53">IFERROR(INDEX(출고!$E$8:$E$1013,SMALL(IF(출고!$C$8:$C$1013=마스터!$M$11,ROW(출고!$C$8:$C$1013)-7),9)),"")</f>
        <v/>
      </c>
      <c r="D53" s="8" t="str">
        <f t="array" ref="D53">IFERROR(INDEX(출고!$F$8:$F$1013,SMALL(IF(출고!$C$8:$C$1013=마스터!$M$11,ROW(출고!$C$8:$C$1013)-7),9)),"")</f>
        <v/>
      </c>
      <c r="E53" s="46" t="str">
        <f t="array" ref="E53">IFERROR(INDEX(출고!$H$8:$H$1013,SMALL(IF(출고!$C$8:$C$1013=마스터!$M$11,ROW(출고!$C$8:$C$1013)-7),9)),"")</f>
        <v/>
      </c>
      <c r="F53" s="46" t="str">
        <f t="array" ref="F53">IFERROR(INDEX(출고!$I$8:$I$1013,SMALL(IF(출고!$C$8:$C$1013=마스터!$M$11,ROW(출고!$C$8:$C$1013)-7),9)),"")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IFERROR(INDEX(출고!$B$8:$B$1013,SMALL(IF(출고!$C$8:$C$1013=마스터!$M$11,ROW(출고!$C$8:$C$1013)-7),10)),"")</f>
        <v/>
      </c>
      <c r="C54" s="11" t="str">
        <f t="array" ref="C54">IFERROR(INDEX(출고!$E$8:$E$1013,SMALL(IF(출고!$C$8:$C$1013=마스터!$M$11,ROW(출고!$C$8:$C$1013)-7),10)),"")</f>
        <v/>
      </c>
      <c r="D54" s="13" t="str">
        <f t="array" ref="D54">IFERROR(INDEX(출고!$F$8:$F$1013,SMALL(IF(출고!$C$8:$C$1013=마스터!$M$11,ROW(출고!$C$8:$C$1013)-7),10)),"")</f>
        <v/>
      </c>
      <c r="E54" s="50" t="str">
        <f t="array" ref="E54">IFERROR(INDEX(출고!$H$8:$H$1013,SMALL(IF(출고!$C$8:$C$1013=마스터!$M$11,ROW(출고!$C$8:$C$1013)-7),10)),"")</f>
        <v/>
      </c>
      <c r="F54" s="50" t="str">
        <f t="array" ref="F54">IFERROR(INDEX(출고!$I$8:$I$1013,SMALL(IF(출고!$C$8:$C$1013=마스터!$M$11,ROW(출고!$C$8:$C$1013)-7),10)),"")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IFERROR(INDEX(출고!$B$8:$B$1013,SMALL(IF(출고!$C$8:$C$1013=마스터!$M$11,ROW(출고!$C$8:$C$1013)-7),11)),"")</f>
        <v/>
      </c>
      <c r="C55" s="6" t="str">
        <f t="array" ref="C55">IFERROR(INDEX(출고!$E$8:$E$1013,SMALL(IF(출고!$C$8:$C$1013=마스터!$M$11,ROW(출고!$C$8:$C$1013)-7),11)),"")</f>
        <v/>
      </c>
      <c r="D55" s="8" t="str">
        <f t="array" ref="D55">IFERROR(INDEX(출고!$F$8:$F$1013,SMALL(IF(출고!$C$8:$C$1013=마스터!$M$11,ROW(출고!$C$8:$C$1013)-7),11)),"")</f>
        <v/>
      </c>
      <c r="E55" s="46" t="str">
        <f t="array" ref="E55">IFERROR(INDEX(출고!$H$8:$H$1013,SMALL(IF(출고!$C$8:$C$1013=마스터!$M$11,ROW(출고!$C$8:$C$1013)-7),11)),"")</f>
        <v/>
      </c>
      <c r="F55" s="46" t="str">
        <f t="array" ref="F55">IFERROR(INDEX(출고!$I$8:$I$1013,SMALL(IF(출고!$C$8:$C$1013=마스터!$M$11,ROW(출고!$C$8:$C$1013)-7),11)),"")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IFERROR(INDEX(출고!$B$8:$B$1013,SMALL(IF(출고!$C$8:$C$1013=마스터!$M$11,ROW(출고!$C$8:$C$1013)-7),12)),"")</f>
        <v/>
      </c>
      <c r="C56" s="11" t="str">
        <f t="array" ref="C56">IFERROR(INDEX(출고!$E$8:$E$1013,SMALL(IF(출고!$C$8:$C$1013=마스터!$M$11,ROW(출고!$C$8:$C$1013)-7),12)),"")</f>
        <v/>
      </c>
      <c r="D56" s="13" t="str">
        <f t="array" ref="D56">IFERROR(INDEX(출고!$F$8:$F$1013,SMALL(IF(출고!$C$8:$C$1013=마스터!$M$11,ROW(출고!$C$8:$C$1013)-7),12)),"")</f>
        <v/>
      </c>
      <c r="E56" s="50" t="str">
        <f t="array" ref="E56">IFERROR(INDEX(출고!$H$8:$H$1013,SMALL(IF(출고!$C$8:$C$1013=마스터!$M$11,ROW(출고!$C$8:$C$1013)-7),12)),"")</f>
        <v/>
      </c>
      <c r="F56" s="50" t="str">
        <f t="array" ref="F56">IFERROR(INDEX(출고!$I$8:$I$1013,SMALL(IF(출고!$C$8:$C$1013=마스터!$M$11,ROW(출고!$C$8:$C$1013)-7),12)),"")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IFERROR(INDEX(출고!$B$8:$B$1013,SMALL(IF(출고!$C$8:$C$1013=마스터!$M$11,ROW(출고!$C$8:$C$1013)-7),13)),"")</f>
        <v/>
      </c>
      <c r="C57" s="6" t="str">
        <f t="array" ref="C57">IFERROR(INDEX(출고!$E$8:$E$1013,SMALL(IF(출고!$C$8:$C$1013=마스터!$M$11,ROW(출고!$C$8:$C$1013)-7),13)),"")</f>
        <v/>
      </c>
      <c r="D57" s="8" t="str">
        <f t="array" ref="D57">IFERROR(INDEX(출고!$F$8:$F$1013,SMALL(IF(출고!$C$8:$C$1013=마스터!$M$11,ROW(출고!$C$8:$C$1013)-7),13)),"")</f>
        <v/>
      </c>
      <c r="E57" s="46" t="str">
        <f t="array" ref="E57">IFERROR(INDEX(출고!$H$8:$H$1013,SMALL(IF(출고!$C$8:$C$1013=마스터!$M$11,ROW(출고!$C$8:$C$1013)-7),13)),"")</f>
        <v/>
      </c>
      <c r="F57" s="46" t="str">
        <f t="array" ref="F57">IFERROR(INDEX(출고!$I$8:$I$1013,SMALL(IF(출고!$C$8:$C$1013=마스터!$M$11,ROW(출고!$C$8:$C$1013)-7),13)),"")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IFERROR(INDEX(출고!$B$8:$B$1013,SMALL(IF(출고!$C$8:$C$1013=마스터!$M$11,ROW(출고!$C$8:$C$1013)-7),14)),"")</f>
        <v/>
      </c>
      <c r="C58" s="11" t="str">
        <f t="array" ref="C58">IFERROR(INDEX(출고!$E$8:$E$1013,SMALL(IF(출고!$C$8:$C$1013=마스터!$M$11,ROW(출고!$C$8:$C$1013)-7),14)),"")</f>
        <v/>
      </c>
      <c r="D58" s="13" t="str">
        <f t="array" ref="D58">IFERROR(INDEX(출고!$F$8:$F$1013,SMALL(IF(출고!$C$8:$C$1013=마스터!$M$11,ROW(출고!$C$8:$C$1013)-7),14)),"")</f>
        <v/>
      </c>
      <c r="E58" s="50" t="str">
        <f t="array" ref="E58">IFERROR(INDEX(출고!$H$8:$H$1013,SMALL(IF(출고!$C$8:$C$1013=마스터!$M$11,ROW(출고!$C$8:$C$1013)-7),14)),"")</f>
        <v/>
      </c>
      <c r="F58" s="50" t="str">
        <f t="array" ref="F58">IFERROR(INDEX(출고!$I$8:$I$1013,SMALL(IF(출고!$C$8:$C$1013=마스터!$M$11,ROW(출고!$C$8:$C$1013)-7),14)),"")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IFERROR(INDEX(출고!$B$8:$B$1013,SMALL(IF(출고!$C$8:$C$1013=마스터!$M$11,ROW(출고!$C$8:$C$1013)-7),15)),"")</f>
        <v/>
      </c>
      <c r="C59" s="6" t="str">
        <f t="array" ref="C59">IFERROR(INDEX(출고!$E$8:$E$1013,SMALL(IF(출고!$C$8:$C$1013=마스터!$M$11,ROW(출고!$C$8:$C$1013)-7),15)),"")</f>
        <v/>
      </c>
      <c r="D59" s="8" t="str">
        <f t="array" ref="D59">IFERROR(INDEX(출고!$F$8:$F$1013,SMALL(IF(출고!$C$8:$C$1013=마스터!$M$11,ROW(출고!$C$8:$C$1013)-7),15)),"")</f>
        <v/>
      </c>
      <c r="E59" s="46" t="str">
        <f t="array" ref="E59">IFERROR(INDEX(출고!$H$8:$H$1013,SMALL(IF(출고!$C$8:$C$1013=마스터!$M$11,ROW(출고!$C$8:$C$1013)-7),15)),"")</f>
        <v/>
      </c>
      <c r="F59" s="46" t="str">
        <f t="array" ref="F59">IFERROR(INDEX(출고!$I$8:$I$1013,SMALL(IF(출고!$C$8:$C$1013=마스터!$M$11,ROW(출고!$C$8:$C$1013)-7),15)),"")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IFERROR(INDEX(출고!$B$8:$B$1013,SMALL(IF(출고!$C$8:$C$1013=마스터!$M$11,ROW(출고!$C$8:$C$1013)-7),16)),"")</f>
        <v/>
      </c>
      <c r="C60" s="11" t="str">
        <f t="array" ref="C60">IFERROR(INDEX(출고!$E$8:$E$1013,SMALL(IF(출고!$C$8:$C$1013=마스터!$M$11,ROW(출고!$C$8:$C$1013)-7),16)),"")</f>
        <v/>
      </c>
      <c r="D60" s="13" t="str">
        <f t="array" ref="D60">IFERROR(INDEX(출고!$F$8:$F$1013,SMALL(IF(출고!$C$8:$C$1013=마스터!$M$11,ROW(출고!$C$8:$C$1013)-7),16)),"")</f>
        <v/>
      </c>
      <c r="E60" s="50" t="str">
        <f t="array" ref="E60">IFERROR(INDEX(출고!$H$8:$H$1013,SMALL(IF(출고!$C$8:$C$1013=마스터!$M$11,ROW(출고!$C$8:$C$1013)-7),16)),"")</f>
        <v/>
      </c>
      <c r="F60" s="50" t="str">
        <f t="array" ref="F60">IFERROR(INDEX(출고!$I$8:$I$1013,SMALL(IF(출고!$C$8:$C$1013=마스터!$M$11,ROW(출고!$C$8:$C$1013)-7),16)),"")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IFERROR(INDEX(출고!$B$8:$B$1013,SMALL(IF(출고!$C$8:$C$1013=마스터!$M$11,ROW(출고!$C$8:$C$1013)-7),17)),"")</f>
        <v/>
      </c>
      <c r="C61" s="6" t="str">
        <f t="array" ref="C61">IFERROR(INDEX(출고!$E$8:$E$1013,SMALL(IF(출고!$C$8:$C$1013=마스터!$M$11,ROW(출고!$C$8:$C$1013)-7),17)),"")</f>
        <v/>
      </c>
      <c r="D61" s="8" t="str">
        <f t="array" ref="D61">IFERROR(INDEX(출고!$F$8:$F$1013,SMALL(IF(출고!$C$8:$C$1013=마스터!$M$11,ROW(출고!$C$8:$C$1013)-7),17)),"")</f>
        <v/>
      </c>
      <c r="E61" s="46" t="str">
        <f t="array" ref="E61">IFERROR(INDEX(출고!$H$8:$H$1013,SMALL(IF(출고!$C$8:$C$1013=마스터!$M$11,ROW(출고!$C$8:$C$1013)-7),17)),"")</f>
        <v/>
      </c>
      <c r="F61" s="46" t="str">
        <f t="array" ref="F61">IFERROR(INDEX(출고!$I$8:$I$1013,SMALL(IF(출고!$C$8:$C$1013=마스터!$M$11,ROW(출고!$C$8:$C$1013)-7),17)),"")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IFERROR(INDEX(출고!$B$8:$B$1013,SMALL(IF(출고!$C$8:$C$1013=마스터!$M$11,ROW(출고!$C$8:$C$1013)-7),18)),"")</f>
        <v/>
      </c>
      <c r="C62" s="11" t="str">
        <f t="array" ref="C62">IFERROR(INDEX(출고!$E$8:$E$1013,SMALL(IF(출고!$C$8:$C$1013=마스터!$M$11,ROW(출고!$C$8:$C$1013)-7),18)),"")</f>
        <v/>
      </c>
      <c r="D62" s="13" t="str">
        <f t="array" ref="D62">IFERROR(INDEX(출고!$F$8:$F$1013,SMALL(IF(출고!$C$8:$C$1013=마스터!$M$11,ROW(출고!$C$8:$C$1013)-7),18)),"")</f>
        <v/>
      </c>
      <c r="E62" s="50" t="str">
        <f t="array" ref="E62">IFERROR(INDEX(출고!$H$8:$H$1013,SMALL(IF(출고!$C$8:$C$1013=마스터!$M$11,ROW(출고!$C$8:$C$1013)-7),18)),"")</f>
        <v/>
      </c>
      <c r="F62" s="50" t="str">
        <f t="array" ref="F62">IFERROR(INDEX(출고!$I$8:$I$1013,SMALL(IF(출고!$C$8:$C$1013=마스터!$M$11,ROW(출고!$C$8:$C$1013)-7),18)),"")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IFERROR(INDEX(출고!$B$8:$B$1013,SMALL(IF(출고!$C$8:$C$1013=마스터!$M$11,ROW(출고!$C$8:$C$1013)-7),19)),"")</f>
        <v/>
      </c>
      <c r="C63" s="6" t="str">
        <f t="array" ref="C63">IFERROR(INDEX(출고!$E$8:$E$1013,SMALL(IF(출고!$C$8:$C$1013=마스터!$M$11,ROW(출고!$C$8:$C$1013)-7),19)),"")</f>
        <v/>
      </c>
      <c r="D63" s="8" t="str">
        <f t="array" ref="D63">IFERROR(INDEX(출고!$F$8:$F$1013,SMALL(IF(출고!$C$8:$C$1013=마스터!$M$11,ROW(출고!$C$8:$C$1013)-7),19)),"")</f>
        <v/>
      </c>
      <c r="E63" s="46" t="str">
        <f t="array" ref="E63">IFERROR(INDEX(출고!$H$8:$H$1013,SMALL(IF(출고!$C$8:$C$1013=마스터!$M$11,ROW(출고!$C$8:$C$1013)-7),19)),"")</f>
        <v/>
      </c>
      <c r="F63" s="46" t="str">
        <f t="array" ref="F63">IFERROR(INDEX(출고!$I$8:$I$1013,SMALL(IF(출고!$C$8:$C$1013=마스터!$M$11,ROW(출고!$C$8:$C$1013)-7),19)),"")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IFERROR(INDEX(출고!$B$8:$B$1013,SMALL(IF(출고!$C$8:$C$1013=마스터!$M$11,ROW(출고!$C$8:$C$1013)-7),20)),"")</f>
        <v/>
      </c>
      <c r="C64" s="11" t="str">
        <f t="array" ref="C64">IFERROR(INDEX(출고!$E$8:$E$1013,SMALL(IF(출고!$C$8:$C$1013=마스터!$M$11,ROW(출고!$C$8:$C$1013)-7),20)),"")</f>
        <v/>
      </c>
      <c r="D64" s="13" t="str">
        <f t="array" ref="D64">IFERROR(INDEX(출고!$F$8:$F$1013,SMALL(IF(출고!$C$8:$C$1013=마스터!$M$11,ROW(출고!$C$8:$C$1013)-7),20)),"")</f>
        <v/>
      </c>
      <c r="E64" s="50" t="str">
        <f t="array" ref="E64">IFERROR(INDEX(출고!$H$8:$H$1013,SMALL(IF(출고!$C$8:$C$1013=마스터!$M$11,ROW(출고!$C$8:$C$1013)-7),20)),"")</f>
        <v/>
      </c>
      <c r="F64" s="50" t="str">
        <f t="array" ref="F64">IFERROR(INDEX(출고!$I$8:$I$1013,SMALL(IF(출고!$C$8:$C$1013=마스터!$M$11,ROW(출고!$C$8:$C$1013)-7),20)),"")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IFERROR(INDEX(출고!$B$8:$B$1013,SMALL(IF(출고!$C$8:$C$1013=마스터!$M$11,ROW(출고!$C$8:$C$1013)-7),21)),"")</f>
        <v/>
      </c>
      <c r="C65" s="6" t="str">
        <f t="array" ref="C65">IFERROR(INDEX(출고!$E$8:$E$1013,SMALL(IF(출고!$C$8:$C$1013=마스터!$M$11,ROW(출고!$C$8:$C$1013)-7),21)),"")</f>
        <v/>
      </c>
      <c r="D65" s="8" t="str">
        <f t="array" ref="D65">IFERROR(INDEX(출고!$F$8:$F$1013,SMALL(IF(출고!$C$8:$C$1013=마스터!$M$11,ROW(출고!$C$8:$C$1013)-7),21)),"")</f>
        <v/>
      </c>
      <c r="E65" s="46" t="str">
        <f t="array" ref="E65">IFERROR(INDEX(출고!$H$8:$H$1013,SMALL(IF(출고!$C$8:$C$1013=마스터!$M$11,ROW(출고!$C$8:$C$1013)-7),21)),"")</f>
        <v/>
      </c>
      <c r="F65" s="46" t="str">
        <f t="array" ref="F65">IFERROR(INDEX(출고!$I$8:$I$1013,SMALL(IF(출고!$C$8:$C$1013=마스터!$M$11,ROW(출고!$C$8:$C$1013)-7),21)),"")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IFERROR(INDEX(출고!$B$8:$B$1013,SMALL(IF(출고!$C$8:$C$1013=마스터!$M$11,ROW(출고!$C$8:$C$1013)-7),22)),"")</f>
        <v/>
      </c>
      <c r="C66" s="11" t="str">
        <f t="array" ref="C66">IFERROR(INDEX(출고!$E$8:$E$1013,SMALL(IF(출고!$C$8:$C$1013=마스터!$M$11,ROW(출고!$C$8:$C$1013)-7),22)),"")</f>
        <v/>
      </c>
      <c r="D66" s="13" t="str">
        <f t="array" ref="D66">IFERROR(INDEX(출고!$F$8:$F$1013,SMALL(IF(출고!$C$8:$C$1013=마스터!$M$11,ROW(출고!$C$8:$C$1013)-7),22)),"")</f>
        <v/>
      </c>
      <c r="E66" s="50" t="str">
        <f t="array" ref="E66">IFERROR(INDEX(출고!$H$8:$H$1013,SMALL(IF(출고!$C$8:$C$1013=마스터!$M$11,ROW(출고!$C$8:$C$1013)-7),22)),"")</f>
        <v/>
      </c>
      <c r="F66" s="50" t="str">
        <f t="array" ref="F66">IFERROR(INDEX(출고!$I$8:$I$1013,SMALL(IF(출고!$C$8:$C$1013=마스터!$M$11,ROW(출고!$C$8:$C$1013)-7),22)),"")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IFERROR(INDEX(출고!$B$8:$B$1013,SMALL(IF(출고!$C$8:$C$1013=마스터!$M$11,ROW(출고!$C$8:$C$1013)-7),23)),"")</f>
        <v/>
      </c>
      <c r="C67" s="6" t="str">
        <f t="array" ref="C67">IFERROR(INDEX(출고!$E$8:$E$1013,SMALL(IF(출고!$C$8:$C$1013=마스터!$M$11,ROW(출고!$C$8:$C$1013)-7),23)),"")</f>
        <v/>
      </c>
      <c r="D67" s="8" t="str">
        <f t="array" ref="D67">IFERROR(INDEX(출고!$F$8:$F$1013,SMALL(IF(출고!$C$8:$C$1013=마스터!$M$11,ROW(출고!$C$8:$C$1013)-7),23)),"")</f>
        <v/>
      </c>
      <c r="E67" s="46" t="str">
        <f t="array" ref="E67">IFERROR(INDEX(출고!$H$8:$H$1013,SMALL(IF(출고!$C$8:$C$1013=마스터!$M$11,ROW(출고!$C$8:$C$1013)-7),23)),"")</f>
        <v/>
      </c>
      <c r="F67" s="46" t="str">
        <f t="array" ref="F67">IFERROR(INDEX(출고!$I$8:$I$1013,SMALL(IF(출고!$C$8:$C$1013=마스터!$M$11,ROW(출고!$C$8:$C$1013)-7),23)),"")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IFERROR(INDEX(출고!$B$8:$B$1013,SMALL(IF(출고!$C$8:$C$1013=마스터!$M$11,ROW(출고!$C$8:$C$1013)-7),24)),"")</f>
        <v/>
      </c>
      <c r="C68" s="11" t="str">
        <f t="array" ref="C68">IFERROR(INDEX(출고!$E$8:$E$1013,SMALL(IF(출고!$C$8:$C$1013=마스터!$M$11,ROW(출고!$C$8:$C$1013)-7),24)),"")</f>
        <v/>
      </c>
      <c r="D68" s="13" t="str">
        <f t="array" ref="D68">IFERROR(INDEX(출고!$F$8:$F$1013,SMALL(IF(출고!$C$8:$C$1013=마스터!$M$11,ROW(출고!$C$8:$C$1013)-7),24)),"")</f>
        <v/>
      </c>
      <c r="E68" s="50" t="str">
        <f t="array" ref="E68">IFERROR(INDEX(출고!$H$8:$H$1013,SMALL(IF(출고!$C$8:$C$1013=마스터!$M$11,ROW(출고!$C$8:$C$1013)-7),24)),"")</f>
        <v/>
      </c>
      <c r="F68" s="50" t="str">
        <f t="array" ref="F68">IFERROR(INDEX(출고!$I$8:$I$1013,SMALL(IF(출고!$C$8:$C$1013=마스터!$M$11,ROW(출고!$C$8:$C$1013)-7),24)),"")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IFERROR(INDEX(출고!$B$8:$B$1013,SMALL(IF(출고!$C$8:$C$1013=마스터!$M$11,ROW(출고!$C$8:$C$1013)-7),25)),"")</f>
        <v/>
      </c>
      <c r="C69" s="6" t="str">
        <f t="array" ref="C69">IFERROR(INDEX(출고!$E$8:$E$1013,SMALL(IF(출고!$C$8:$C$1013=마스터!$M$11,ROW(출고!$C$8:$C$1013)-7),25)),"")</f>
        <v/>
      </c>
      <c r="D69" s="8" t="str">
        <f t="array" ref="D69">IFERROR(INDEX(출고!$F$8:$F$1013,SMALL(IF(출고!$C$8:$C$1013=마스터!$M$11,ROW(출고!$C$8:$C$1013)-7),25)),"")</f>
        <v/>
      </c>
      <c r="E69" s="46" t="str">
        <f t="array" ref="E69">IFERROR(INDEX(출고!$H$8:$H$1013,SMALL(IF(출고!$C$8:$C$1013=마스터!$M$11,ROW(출고!$C$8:$C$1013)-7),25)),"")</f>
        <v/>
      </c>
      <c r="F69" s="46" t="str">
        <f t="array" ref="F69">IFERROR(INDEX(출고!$I$8:$I$1013,SMALL(IF(출고!$C$8:$C$1013=마스터!$M$11,ROW(출고!$C$8:$C$1013)-7),25)),"")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IFERROR(INDEX(출고!$B$8:$B$1013,SMALL(IF(출고!$C$8:$C$1013=마스터!$M$11,ROW(출고!$C$8:$C$1013)-7),26)),"")</f>
        <v/>
      </c>
      <c r="C70" s="11" t="str">
        <f t="array" ref="C70">IFERROR(INDEX(출고!$E$8:$E$1013,SMALL(IF(출고!$C$8:$C$1013=마스터!$M$11,ROW(출고!$C$8:$C$1013)-7),26)),"")</f>
        <v/>
      </c>
      <c r="D70" s="13" t="str">
        <f t="array" ref="D70">IFERROR(INDEX(출고!$F$8:$F$1013,SMALL(IF(출고!$C$8:$C$1013=마스터!$M$11,ROW(출고!$C$8:$C$1013)-7),26)),"")</f>
        <v/>
      </c>
      <c r="E70" s="50" t="str">
        <f t="array" ref="E70">IFERROR(INDEX(출고!$H$8:$H$1013,SMALL(IF(출고!$C$8:$C$1013=마스터!$M$11,ROW(출고!$C$8:$C$1013)-7),26)),"")</f>
        <v/>
      </c>
      <c r="F70" s="50" t="str">
        <f t="array" ref="F70">IFERROR(INDEX(출고!$I$8:$I$1013,SMALL(IF(출고!$C$8:$C$1013=마스터!$M$11,ROW(출고!$C$8:$C$1013)-7),26)),"")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IFERROR(INDEX(출고!$B$8:$B$1013,SMALL(IF(출고!$C$8:$C$1013=마스터!$M$11,ROW(출고!$C$8:$C$1013)-7),27)),"")</f>
        <v/>
      </c>
      <c r="C71" s="6" t="str">
        <f t="array" ref="C71">IFERROR(INDEX(출고!$E$8:$E$1013,SMALL(IF(출고!$C$8:$C$1013=마스터!$M$11,ROW(출고!$C$8:$C$1013)-7),27)),"")</f>
        <v/>
      </c>
      <c r="D71" s="8" t="str">
        <f t="array" ref="D71">IFERROR(INDEX(출고!$F$8:$F$1013,SMALL(IF(출고!$C$8:$C$1013=마스터!$M$11,ROW(출고!$C$8:$C$1013)-7),27)),"")</f>
        <v/>
      </c>
      <c r="E71" s="46" t="str">
        <f t="array" ref="E71">IFERROR(INDEX(출고!$H$8:$H$1013,SMALL(IF(출고!$C$8:$C$1013=마스터!$M$11,ROW(출고!$C$8:$C$1013)-7),27)),"")</f>
        <v/>
      </c>
      <c r="F71" s="46" t="str">
        <f t="array" ref="F71">IFERROR(INDEX(출고!$I$8:$I$1013,SMALL(IF(출고!$C$8:$C$1013=마스터!$M$11,ROW(출고!$C$8:$C$1013)-7),27)),"")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IFERROR(INDEX(출고!$B$8:$B$1013,SMALL(IF(출고!$C$8:$C$1013=마스터!$M$11,ROW(출고!$C$8:$C$1013)-7),28)),"")</f>
        <v/>
      </c>
      <c r="C72" s="11" t="str">
        <f t="array" ref="C72">IFERROR(INDEX(출고!$E$8:$E$1013,SMALL(IF(출고!$C$8:$C$1013=마스터!$M$11,ROW(출고!$C$8:$C$1013)-7),28)),"")</f>
        <v/>
      </c>
      <c r="D72" s="13" t="str">
        <f t="array" ref="D72">IFERROR(INDEX(출고!$F$8:$F$1013,SMALL(IF(출고!$C$8:$C$1013=마스터!$M$11,ROW(출고!$C$8:$C$1013)-7),28)),"")</f>
        <v/>
      </c>
      <c r="E72" s="50" t="str">
        <f t="array" ref="E72">IFERROR(INDEX(출고!$H$8:$H$1013,SMALL(IF(출고!$C$8:$C$1013=마스터!$M$11,ROW(출고!$C$8:$C$1013)-7),28)),"")</f>
        <v/>
      </c>
      <c r="F72" s="50" t="str">
        <f t="array" ref="F72">IFERROR(INDEX(출고!$I$8:$I$1013,SMALL(IF(출고!$C$8:$C$1013=마스터!$M$11,ROW(출고!$C$8:$C$1013)-7),28)),"")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IFERROR(INDEX(출고!$B$8:$B$1013,SMALL(IF(출고!$C$8:$C$1013=마스터!$M$11,ROW(출고!$C$8:$C$1013)-7),29)),"")</f>
        <v/>
      </c>
      <c r="C73" s="6" t="str">
        <f t="array" ref="C73">IFERROR(INDEX(출고!$E$8:$E$1013,SMALL(IF(출고!$C$8:$C$1013=마스터!$M$11,ROW(출고!$C$8:$C$1013)-7),29)),"")</f>
        <v/>
      </c>
      <c r="D73" s="8" t="str">
        <f t="array" ref="D73">IFERROR(INDEX(출고!$F$8:$F$1013,SMALL(IF(출고!$C$8:$C$1013=마스터!$M$11,ROW(출고!$C$8:$C$1013)-7),29)),"")</f>
        <v/>
      </c>
      <c r="E73" s="46" t="str">
        <f t="array" ref="E73">IFERROR(INDEX(출고!$H$8:$H$1013,SMALL(IF(출고!$C$8:$C$1013=마스터!$M$11,ROW(출고!$C$8:$C$1013)-7),29)),"")</f>
        <v/>
      </c>
      <c r="F73" s="46" t="str">
        <f t="array" ref="F73">IFERROR(INDEX(출고!$I$8:$I$1013,SMALL(IF(출고!$C$8:$C$1013=마스터!$M$11,ROW(출고!$C$8:$C$1013)-7),29)),"")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IFERROR(INDEX(출고!$B$8:$B$1013,SMALL(IF(출고!$C$8:$C$1013=마스터!$M$11,ROW(출고!$C$8:$C$1013)-7),30)),"")</f>
        <v/>
      </c>
      <c r="C74" s="11" t="str">
        <f t="array" ref="C74">IFERROR(INDEX(출고!$E$8:$E$1013,SMALL(IF(출고!$C$8:$C$1013=마스터!$M$11,ROW(출고!$C$8:$C$1013)-7),30)),"")</f>
        <v/>
      </c>
      <c r="D74" s="13" t="str">
        <f t="array" ref="D74">IFERROR(INDEX(출고!$F$8:$F$1013,SMALL(IF(출고!$C$8:$C$1013=마스터!$M$11,ROW(출고!$C$8:$C$1013)-7),30)),"")</f>
        <v/>
      </c>
      <c r="E74" s="50" t="str">
        <f t="array" ref="E74">IFERROR(INDEX(출고!$H$8:$H$1013,SMALL(IF(출고!$C$8:$C$1013=마스터!$M$11,ROW(출고!$C$8:$C$1013)-7),30)),"")</f>
        <v/>
      </c>
      <c r="F74" s="50" t="str">
        <f t="array" ref="F74">IFERROR(INDEX(출고!$I$8:$I$1013,SMALL(IF(출고!$C$8:$C$1013=마스터!$M$11,ROW(출고!$C$8:$C$1013)-7),30)),"")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IFERROR(INDEX(입고!$E$8:$E$1013,SMALL(IF((입고!$C$8:$C$1013=마스터!$M$11)*(입고!$AC$8:$AC$1013=1),ROW(입고!$C$8:$C$1013)-7),1)),"")</f>
        <v>260203CW008</v>
      </c>
      <c r="C78" s="8">
        <f>IF(B78="","",SUMIFS(입고!$F$8:$F$1013,입고!$C$8:$C$1013,마스터!$M$11,입고!$E$8:$E$1013,B78))</f>
        <v>60</v>
      </c>
      <c r="D78" s="8">
        <f>IF(B78="","",SUMIFS(출고!$F$8:$F$1013,출고!$C$8:$C$1013,마스터!$M$11,출고!$E$8:$E$1013,B78))</f>
        <v>0</v>
      </c>
      <c r="E78" s="40">
        <f t="shared" ref="E78:E107" si="5">IF(B78="","",C78-D78)</f>
        <v>60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IFERROR(INDEX(입고!$E$8:$E$1013,SMALL(IF((입고!$C$8:$C$1013=마스터!$M$11)*(입고!$AC$8:$AC$1013=1),ROW(입고!$C$8:$C$1013)-7),2)),"")</f>
        <v/>
      </c>
      <c r="C79" s="13" t="str">
        <f>IF(B79="","",SUMIFS(입고!$F$8:$F$1013,입고!$C$8:$C$1013,마스터!$M$11,입고!$E$8:$E$1013,B79))</f>
        <v/>
      </c>
      <c r="D79" s="13" t="str">
        <f>IF(B79="","",SUMIFS(출고!$F$8:$F$1013,출고!$C$8:$C$1013,마스터!$M$11,출고!$E$8:$E$1013,B79))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IFERROR(INDEX(입고!$E$8:$E$1013,SMALL(IF((입고!$C$8:$C$1013=마스터!$M$11)*(입고!$AC$8:$AC$1013=1),ROW(입고!$C$8:$C$1013)-7),3)),"")</f>
        <v/>
      </c>
      <c r="C80" s="8" t="str">
        <f>IF(B80="","",SUMIFS(입고!$F$8:$F$1013,입고!$C$8:$C$1013,마스터!$M$11,입고!$E$8:$E$1013,B80))</f>
        <v/>
      </c>
      <c r="D80" s="8" t="str">
        <f>IF(B80="","",SUMIFS(출고!$F$8:$F$1013,출고!$C$8:$C$1013,마스터!$M$11,출고!$E$8:$E$1013,B80))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IFERROR(INDEX(입고!$E$8:$E$1013,SMALL(IF((입고!$C$8:$C$1013=마스터!$M$11)*(입고!$AC$8:$AC$1013=1),ROW(입고!$C$8:$C$1013)-7),4)),"")</f>
        <v/>
      </c>
      <c r="C81" s="13" t="str">
        <f>IF(B81="","",SUMIFS(입고!$F$8:$F$1013,입고!$C$8:$C$1013,마스터!$M$11,입고!$E$8:$E$1013,B81))</f>
        <v/>
      </c>
      <c r="D81" s="13" t="str">
        <f>IF(B81="","",SUMIFS(출고!$F$8:$F$1013,출고!$C$8:$C$1013,마스터!$M$11,출고!$E$8:$E$1013,B81))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IFERROR(INDEX(입고!$E$8:$E$1013,SMALL(IF((입고!$C$8:$C$1013=마스터!$M$11)*(입고!$AC$8:$AC$1013=1),ROW(입고!$C$8:$C$1013)-7),5)),"")</f>
        <v/>
      </c>
      <c r="C82" s="8" t="str">
        <f>IF(B82="","",SUMIFS(입고!$F$8:$F$1013,입고!$C$8:$C$1013,마스터!$M$11,입고!$E$8:$E$1013,B82))</f>
        <v/>
      </c>
      <c r="D82" s="8" t="str">
        <f>IF(B82="","",SUMIFS(출고!$F$8:$F$1013,출고!$C$8:$C$1013,마스터!$M$11,출고!$E$8:$E$1013,B82))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IFERROR(INDEX(입고!$E$8:$E$1013,SMALL(IF((입고!$C$8:$C$1013=마스터!$M$11)*(입고!$AC$8:$AC$1013=1),ROW(입고!$C$8:$C$1013)-7),6)),"")</f>
        <v/>
      </c>
      <c r="C83" s="13" t="str">
        <f>IF(B83="","",SUMIFS(입고!$F$8:$F$1013,입고!$C$8:$C$1013,마스터!$M$11,입고!$E$8:$E$1013,B83))</f>
        <v/>
      </c>
      <c r="D83" s="13" t="str">
        <f>IF(B83="","",SUMIFS(출고!$F$8:$F$1013,출고!$C$8:$C$1013,마스터!$M$11,출고!$E$8:$E$1013,B83))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IFERROR(INDEX(입고!$E$8:$E$1013,SMALL(IF((입고!$C$8:$C$1013=마스터!$M$11)*(입고!$AC$8:$AC$1013=1),ROW(입고!$C$8:$C$1013)-7),7)),"")</f>
        <v/>
      </c>
      <c r="C84" s="8" t="str">
        <f>IF(B84="","",SUMIFS(입고!$F$8:$F$1013,입고!$C$8:$C$1013,마스터!$M$11,입고!$E$8:$E$1013,B84))</f>
        <v/>
      </c>
      <c r="D84" s="8" t="str">
        <f>IF(B84="","",SUMIFS(출고!$F$8:$F$1013,출고!$C$8:$C$1013,마스터!$M$11,출고!$E$8:$E$1013,B84))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IFERROR(INDEX(입고!$E$8:$E$1013,SMALL(IF((입고!$C$8:$C$1013=마스터!$M$11)*(입고!$AC$8:$AC$1013=1),ROW(입고!$C$8:$C$1013)-7),8)),"")</f>
        <v/>
      </c>
      <c r="C85" s="13" t="str">
        <f>IF(B85="","",SUMIFS(입고!$F$8:$F$1013,입고!$C$8:$C$1013,마스터!$M$11,입고!$E$8:$E$1013,B85))</f>
        <v/>
      </c>
      <c r="D85" s="13" t="str">
        <f>IF(B85="","",SUMIFS(출고!$F$8:$F$1013,출고!$C$8:$C$1013,마스터!$M$11,출고!$E$8:$E$1013,B85))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IFERROR(INDEX(입고!$E$8:$E$1013,SMALL(IF((입고!$C$8:$C$1013=마스터!$M$11)*(입고!$AC$8:$AC$1013=1),ROW(입고!$C$8:$C$1013)-7),9)),"")</f>
        <v/>
      </c>
      <c r="C86" s="8" t="str">
        <f>IF(B86="","",SUMIFS(입고!$F$8:$F$1013,입고!$C$8:$C$1013,마스터!$M$11,입고!$E$8:$E$1013,B86))</f>
        <v/>
      </c>
      <c r="D86" s="8" t="str">
        <f>IF(B86="","",SUMIFS(출고!$F$8:$F$1013,출고!$C$8:$C$1013,마스터!$M$11,출고!$E$8:$E$1013,B86))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IFERROR(INDEX(입고!$E$8:$E$1013,SMALL(IF((입고!$C$8:$C$1013=마스터!$M$11)*(입고!$AC$8:$AC$1013=1),ROW(입고!$C$8:$C$1013)-7),10)),"")</f>
        <v/>
      </c>
      <c r="C87" s="13" t="str">
        <f>IF(B87="","",SUMIFS(입고!$F$8:$F$1013,입고!$C$8:$C$1013,마스터!$M$11,입고!$E$8:$E$1013,B87))</f>
        <v/>
      </c>
      <c r="D87" s="13" t="str">
        <f>IF(B87="","",SUMIFS(출고!$F$8:$F$1013,출고!$C$8:$C$1013,마스터!$M$11,출고!$E$8:$E$1013,B87))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IFERROR(INDEX(입고!$E$8:$E$1013,SMALL(IF((입고!$C$8:$C$1013=마스터!$M$11)*(입고!$AC$8:$AC$1013=1),ROW(입고!$C$8:$C$1013)-7),11)),"")</f>
        <v/>
      </c>
      <c r="C88" s="8" t="str">
        <f>IF(B88="","",SUMIFS(입고!$F$8:$F$1013,입고!$C$8:$C$1013,마스터!$M$11,입고!$E$8:$E$1013,B88))</f>
        <v/>
      </c>
      <c r="D88" s="8" t="str">
        <f>IF(B88="","",SUMIFS(출고!$F$8:$F$1013,출고!$C$8:$C$1013,마스터!$M$11,출고!$E$8:$E$1013,B88))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IFERROR(INDEX(입고!$E$8:$E$1013,SMALL(IF((입고!$C$8:$C$1013=마스터!$M$11)*(입고!$AC$8:$AC$1013=1),ROW(입고!$C$8:$C$1013)-7),12)),"")</f>
        <v/>
      </c>
      <c r="C89" s="13" t="str">
        <f>IF(B89="","",SUMIFS(입고!$F$8:$F$1013,입고!$C$8:$C$1013,마스터!$M$11,입고!$E$8:$E$1013,B89))</f>
        <v/>
      </c>
      <c r="D89" s="13" t="str">
        <f>IF(B89="","",SUMIFS(출고!$F$8:$F$1013,출고!$C$8:$C$1013,마스터!$M$11,출고!$E$8:$E$1013,B89))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IFERROR(INDEX(입고!$E$8:$E$1013,SMALL(IF((입고!$C$8:$C$1013=마스터!$M$11)*(입고!$AC$8:$AC$1013=1),ROW(입고!$C$8:$C$1013)-7),13)),"")</f>
        <v/>
      </c>
      <c r="C90" s="8" t="str">
        <f>IF(B90="","",SUMIFS(입고!$F$8:$F$1013,입고!$C$8:$C$1013,마스터!$M$11,입고!$E$8:$E$1013,B90))</f>
        <v/>
      </c>
      <c r="D90" s="8" t="str">
        <f>IF(B90="","",SUMIFS(출고!$F$8:$F$1013,출고!$C$8:$C$1013,마스터!$M$11,출고!$E$8:$E$1013,B90))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IFERROR(INDEX(입고!$E$8:$E$1013,SMALL(IF((입고!$C$8:$C$1013=마스터!$M$11)*(입고!$AC$8:$AC$1013=1),ROW(입고!$C$8:$C$1013)-7),14)),"")</f>
        <v/>
      </c>
      <c r="C91" s="13" t="str">
        <f>IF(B91="","",SUMIFS(입고!$F$8:$F$1013,입고!$C$8:$C$1013,마스터!$M$11,입고!$E$8:$E$1013,B91))</f>
        <v/>
      </c>
      <c r="D91" s="13" t="str">
        <f>IF(B91="","",SUMIFS(출고!$F$8:$F$1013,출고!$C$8:$C$1013,마스터!$M$11,출고!$E$8:$E$1013,B91))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IFERROR(INDEX(입고!$E$8:$E$1013,SMALL(IF((입고!$C$8:$C$1013=마스터!$M$11)*(입고!$AC$8:$AC$1013=1),ROW(입고!$C$8:$C$1013)-7),15)),"")</f>
        <v/>
      </c>
      <c r="C92" s="8" t="str">
        <f>IF(B92="","",SUMIFS(입고!$F$8:$F$1013,입고!$C$8:$C$1013,마스터!$M$11,입고!$E$8:$E$1013,B92))</f>
        <v/>
      </c>
      <c r="D92" s="8" t="str">
        <f>IF(B92="","",SUMIFS(출고!$F$8:$F$1013,출고!$C$8:$C$1013,마스터!$M$11,출고!$E$8:$E$1013,B92))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IFERROR(INDEX(입고!$E$8:$E$1013,SMALL(IF((입고!$C$8:$C$1013=마스터!$M$11)*(입고!$AC$8:$AC$1013=1),ROW(입고!$C$8:$C$1013)-7),16)),"")</f>
        <v/>
      </c>
      <c r="C93" s="13" t="str">
        <f>IF(B93="","",SUMIFS(입고!$F$8:$F$1013,입고!$C$8:$C$1013,마스터!$M$11,입고!$E$8:$E$1013,B93))</f>
        <v/>
      </c>
      <c r="D93" s="13" t="str">
        <f>IF(B93="","",SUMIFS(출고!$F$8:$F$1013,출고!$C$8:$C$1013,마스터!$M$11,출고!$E$8:$E$1013,B93))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IFERROR(INDEX(입고!$E$8:$E$1013,SMALL(IF((입고!$C$8:$C$1013=마스터!$M$11)*(입고!$AC$8:$AC$1013=1),ROW(입고!$C$8:$C$1013)-7),17)),"")</f>
        <v/>
      </c>
      <c r="C94" s="8" t="str">
        <f>IF(B94="","",SUMIFS(입고!$F$8:$F$1013,입고!$C$8:$C$1013,마스터!$M$11,입고!$E$8:$E$1013,B94))</f>
        <v/>
      </c>
      <c r="D94" s="8" t="str">
        <f>IF(B94="","",SUMIFS(출고!$F$8:$F$1013,출고!$C$8:$C$1013,마스터!$M$11,출고!$E$8:$E$1013,B94))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IFERROR(INDEX(입고!$E$8:$E$1013,SMALL(IF((입고!$C$8:$C$1013=마스터!$M$11)*(입고!$AC$8:$AC$1013=1),ROW(입고!$C$8:$C$1013)-7),18)),"")</f>
        <v/>
      </c>
      <c r="C95" s="13" t="str">
        <f>IF(B95="","",SUMIFS(입고!$F$8:$F$1013,입고!$C$8:$C$1013,마스터!$M$11,입고!$E$8:$E$1013,B95))</f>
        <v/>
      </c>
      <c r="D95" s="13" t="str">
        <f>IF(B95="","",SUMIFS(출고!$F$8:$F$1013,출고!$C$8:$C$1013,마스터!$M$11,출고!$E$8:$E$1013,B95))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IFERROR(INDEX(입고!$E$8:$E$1013,SMALL(IF((입고!$C$8:$C$1013=마스터!$M$11)*(입고!$AC$8:$AC$1013=1),ROW(입고!$C$8:$C$1013)-7),19)),"")</f>
        <v/>
      </c>
      <c r="C96" s="8" t="str">
        <f>IF(B96="","",SUMIFS(입고!$F$8:$F$1013,입고!$C$8:$C$1013,마스터!$M$11,입고!$E$8:$E$1013,B96))</f>
        <v/>
      </c>
      <c r="D96" s="8" t="str">
        <f>IF(B96="","",SUMIFS(출고!$F$8:$F$1013,출고!$C$8:$C$1013,마스터!$M$11,출고!$E$8:$E$1013,B96))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IFERROR(INDEX(입고!$E$8:$E$1013,SMALL(IF((입고!$C$8:$C$1013=마스터!$M$11)*(입고!$AC$8:$AC$1013=1),ROW(입고!$C$8:$C$1013)-7),20)),"")</f>
        <v/>
      </c>
      <c r="C97" s="13" t="str">
        <f>IF(B97="","",SUMIFS(입고!$F$8:$F$1013,입고!$C$8:$C$1013,마스터!$M$11,입고!$E$8:$E$1013,B97))</f>
        <v/>
      </c>
      <c r="D97" s="13" t="str">
        <f>IF(B97="","",SUMIFS(출고!$F$8:$F$1013,출고!$C$8:$C$1013,마스터!$M$11,출고!$E$8:$E$1013,B97))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IFERROR(INDEX(입고!$E$8:$E$1013,SMALL(IF((입고!$C$8:$C$1013=마스터!$M$11)*(입고!$AC$8:$AC$1013=1),ROW(입고!$C$8:$C$1013)-7),21)),"")</f>
        <v/>
      </c>
      <c r="C98" s="8" t="str">
        <f>IF(B98="","",SUMIFS(입고!$F$8:$F$1013,입고!$C$8:$C$1013,마스터!$M$11,입고!$E$8:$E$1013,B98))</f>
        <v/>
      </c>
      <c r="D98" s="8" t="str">
        <f>IF(B98="","",SUMIFS(출고!$F$8:$F$1013,출고!$C$8:$C$1013,마스터!$M$11,출고!$E$8:$E$1013,B98))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IFERROR(INDEX(입고!$E$8:$E$1013,SMALL(IF((입고!$C$8:$C$1013=마스터!$M$11)*(입고!$AC$8:$AC$1013=1),ROW(입고!$C$8:$C$1013)-7),22)),"")</f>
        <v/>
      </c>
      <c r="C99" s="13" t="str">
        <f>IF(B99="","",SUMIFS(입고!$F$8:$F$1013,입고!$C$8:$C$1013,마스터!$M$11,입고!$E$8:$E$1013,B99))</f>
        <v/>
      </c>
      <c r="D99" s="13" t="str">
        <f>IF(B99="","",SUMIFS(출고!$F$8:$F$1013,출고!$C$8:$C$1013,마스터!$M$11,출고!$E$8:$E$1013,B99))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IFERROR(INDEX(입고!$E$8:$E$1013,SMALL(IF((입고!$C$8:$C$1013=마스터!$M$11)*(입고!$AC$8:$AC$1013=1),ROW(입고!$C$8:$C$1013)-7),23)),"")</f>
        <v/>
      </c>
      <c r="C100" s="8" t="str">
        <f>IF(B100="","",SUMIFS(입고!$F$8:$F$1013,입고!$C$8:$C$1013,마스터!$M$11,입고!$E$8:$E$1013,B100))</f>
        <v/>
      </c>
      <c r="D100" s="8" t="str">
        <f>IF(B100="","",SUMIFS(출고!$F$8:$F$1013,출고!$C$8:$C$1013,마스터!$M$11,출고!$E$8:$E$1013,B100))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IFERROR(INDEX(입고!$E$8:$E$1013,SMALL(IF((입고!$C$8:$C$1013=마스터!$M$11)*(입고!$AC$8:$AC$1013=1),ROW(입고!$C$8:$C$1013)-7),24)),"")</f>
        <v/>
      </c>
      <c r="C101" s="13" t="str">
        <f>IF(B101="","",SUMIFS(입고!$F$8:$F$1013,입고!$C$8:$C$1013,마스터!$M$11,입고!$E$8:$E$1013,B101))</f>
        <v/>
      </c>
      <c r="D101" s="13" t="str">
        <f>IF(B101="","",SUMIFS(출고!$F$8:$F$1013,출고!$C$8:$C$1013,마스터!$M$11,출고!$E$8:$E$1013,B101))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IFERROR(INDEX(입고!$E$8:$E$1013,SMALL(IF((입고!$C$8:$C$1013=마스터!$M$11)*(입고!$AC$8:$AC$1013=1),ROW(입고!$C$8:$C$1013)-7),25)),"")</f>
        <v/>
      </c>
      <c r="C102" s="8" t="str">
        <f>IF(B102="","",SUMIFS(입고!$F$8:$F$1013,입고!$C$8:$C$1013,마스터!$M$11,입고!$E$8:$E$1013,B102))</f>
        <v/>
      </c>
      <c r="D102" s="8" t="str">
        <f>IF(B102="","",SUMIFS(출고!$F$8:$F$1013,출고!$C$8:$C$1013,마스터!$M$11,출고!$E$8:$E$1013,B102))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IFERROR(INDEX(입고!$E$8:$E$1013,SMALL(IF((입고!$C$8:$C$1013=마스터!$M$11)*(입고!$AC$8:$AC$1013=1),ROW(입고!$C$8:$C$1013)-7),26)),"")</f>
        <v/>
      </c>
      <c r="C103" s="13" t="str">
        <f>IF(B103="","",SUMIFS(입고!$F$8:$F$1013,입고!$C$8:$C$1013,마스터!$M$11,입고!$E$8:$E$1013,B103))</f>
        <v/>
      </c>
      <c r="D103" s="13" t="str">
        <f>IF(B103="","",SUMIFS(출고!$F$8:$F$1013,출고!$C$8:$C$1013,마스터!$M$11,출고!$E$8:$E$1013,B103))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IFERROR(INDEX(입고!$E$8:$E$1013,SMALL(IF((입고!$C$8:$C$1013=마스터!$M$11)*(입고!$AC$8:$AC$1013=1),ROW(입고!$C$8:$C$1013)-7),27)),"")</f>
        <v/>
      </c>
      <c r="C104" s="8" t="str">
        <f>IF(B104="","",SUMIFS(입고!$F$8:$F$1013,입고!$C$8:$C$1013,마스터!$M$11,입고!$E$8:$E$1013,B104))</f>
        <v/>
      </c>
      <c r="D104" s="8" t="str">
        <f>IF(B104="","",SUMIFS(출고!$F$8:$F$1013,출고!$C$8:$C$1013,마스터!$M$11,출고!$E$8:$E$1013,B104))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IFERROR(INDEX(입고!$E$8:$E$1013,SMALL(IF((입고!$C$8:$C$1013=마스터!$M$11)*(입고!$AC$8:$AC$1013=1),ROW(입고!$C$8:$C$1013)-7),28)),"")</f>
        <v/>
      </c>
      <c r="C105" s="13" t="str">
        <f>IF(B105="","",SUMIFS(입고!$F$8:$F$1013,입고!$C$8:$C$1013,마스터!$M$11,입고!$E$8:$E$1013,B105))</f>
        <v/>
      </c>
      <c r="D105" s="13" t="str">
        <f>IF(B105="","",SUMIFS(출고!$F$8:$F$1013,출고!$C$8:$C$1013,마스터!$M$11,출고!$E$8:$E$1013,B105))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IFERROR(INDEX(입고!$E$8:$E$1013,SMALL(IF((입고!$C$8:$C$1013=마스터!$M$11)*(입고!$AC$8:$AC$1013=1),ROW(입고!$C$8:$C$1013)-7),29)),"")</f>
        <v/>
      </c>
      <c r="C106" s="8" t="str">
        <f>IF(B106="","",SUMIFS(입고!$F$8:$F$1013,입고!$C$8:$C$1013,마스터!$M$11,입고!$E$8:$E$1013,B106))</f>
        <v/>
      </c>
      <c r="D106" s="8" t="str">
        <f>IF(B106="","",SUMIFS(출고!$F$8:$F$1013,출고!$C$8:$C$1013,마스터!$M$11,출고!$E$8:$E$1013,B106))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IFERROR(INDEX(입고!$E$8:$E$1013,SMALL(IF((입고!$C$8:$C$1013=마스터!$M$11)*(입고!$AC$8:$AC$1013=1),ROW(입고!$C$8:$C$1013)-7),30)),"")</f>
        <v/>
      </c>
      <c r="C107" s="13" t="str">
        <f>IF(B107="","",SUMIFS(입고!$F$8:$F$1013,입고!$C$8:$C$1013,마스터!$M$11,입고!$E$8:$E$1013,B107))</f>
        <v/>
      </c>
      <c r="D107" s="13" t="str">
        <f>IF(B107="","",SUMIFS(출고!$F$8:$F$1013,출고!$C$8:$C$1013,마스터!$M$11,출고!$E$8:$E$1013,B107))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9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CONCATENATE("[09] ", 마스터!D12, "  |  ", 마스터!F12)</f>
        <v>[09] 세라믹울 96K 수입  |  50T × 400W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마스터!D12</f>
        <v>세라믹울 96K 수입</v>
      </c>
      <c r="D4" s="1" t="s">
        <v>11</v>
      </c>
      <c r="E4" s="53">
        <f>SUMIFS(입고!$F$8:$F$1013,입고!$C$8:$C$1013,마스터!$M$12)</f>
        <v>65</v>
      </c>
    </row>
    <row r="5" spans="1:9" ht="15" customHeight="1" x14ac:dyDescent="0.25">
      <c r="A5" s="1" t="s">
        <v>7</v>
      </c>
      <c r="B5" s="52" t="str">
        <f>마스터!E12</f>
        <v>504003600</v>
      </c>
      <c r="D5" s="1" t="s">
        <v>12</v>
      </c>
      <c r="E5" s="53">
        <f>SUMIFS(출고!$F$8:$F$1013,출고!$C$8:$C$1013,마스터!$M$12)</f>
        <v>0</v>
      </c>
    </row>
    <row r="6" spans="1:9" ht="23.25" customHeight="1" x14ac:dyDescent="0.25">
      <c r="A6" s="1" t="s">
        <v>26</v>
      </c>
      <c r="B6" s="52" t="str">
        <f>마스터!F12</f>
        <v>50T × 400W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마스터!M12</f>
        <v>96K수입 50T × 400W × 3600L</v>
      </c>
      <c r="D7" s="1" t="s">
        <v>13</v>
      </c>
      <c r="E7" s="54">
        <f>마스터!$K$12+E4-E5</f>
        <v>65</v>
      </c>
    </row>
    <row r="8" spans="1:9" ht="15" customHeight="1" x14ac:dyDescent="0.25">
      <c r="A8" s="1" t="s">
        <v>10</v>
      </c>
      <c r="B8" s="53">
        <f>마스터!K12</f>
        <v>0</v>
      </c>
      <c r="D8" s="1" t="s">
        <v>123</v>
      </c>
      <c r="E8" s="55">
        <f t="array" ref="E8">IFERROR(MAX(MAX(IF(입고!$C$8:$C$1013=마스터!$M$12,입고!$B$8:$B$1013)),MAX(IF(출고!$C$8:$C$1013=마스터!$M$12,출고!$B$8:$B$1013))),"-")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IFERROR(INDEX(입고!$B$8:$B$1013,SMALL(IF(입고!$C$8:$C$1013=마스터!$M$12,ROW(입고!$C$8:$C$1013)-7),1)),"")</f>
        <v>46056</v>
      </c>
      <c r="C12" s="6" t="str">
        <f t="array" ref="C12">IFERROR(INDEX(입고!$E$8:$E$1013,SMALL(IF(입고!$C$8:$C$1013=마스터!$M$12,ROW(입고!$C$8:$C$1013)-7),1)),"")</f>
        <v>260203CW007</v>
      </c>
      <c r="D12" s="8">
        <f t="array" ref="D12">IFERROR(INDEX(입고!$F$8:$F$1013,SMALL(IF(입고!$C$8:$C$1013=마스터!$M$12,ROW(입고!$C$8:$C$1013)-7),1)),"")</f>
        <v>50</v>
      </c>
      <c r="E12" s="46" t="str">
        <f t="array" ref="E12">IFERROR(INDEX(입고!$H$8:$H$1013,SMALL(IF(입고!$C$8:$C$1013=마스터!$M$12,ROW(입고!$C$8:$C$1013)-7),1)),"")</f>
        <v>(초기재고)</v>
      </c>
      <c r="F12" s="46" t="str">
        <f t="array" ref="F12">IFERROR(INDEX(입고!$I$8:$I$1013,SMALL(IF(입고!$C$8:$C$1013=마스터!$M$12,ROW(입고!$C$8:$C$1013)-7),1)),"")</f>
        <v>2026-02-12 기준</v>
      </c>
      <c r="G12" s="57">
        <f>IF(B12="","",IFERROR(D12,0))</f>
        <v>50</v>
      </c>
    </row>
    <row r="13" spans="1:9" ht="15" customHeight="1" x14ac:dyDescent="0.25">
      <c r="A13" s="11">
        <f t="shared" si="0"/>
        <v>2</v>
      </c>
      <c r="B13" s="58">
        <f t="array" ref="B13">IFERROR(INDEX(입고!$B$8:$B$1013,SMALL(IF(입고!$C$8:$C$1013=마스터!$M$12,ROW(입고!$C$8:$C$1013)-7),2)),"")</f>
        <v>46056</v>
      </c>
      <c r="C13" s="11" t="str">
        <f t="array" ref="C13">IFERROR(INDEX(입고!$E$8:$E$1013,SMALL(IF(입고!$C$8:$C$1013=마스터!$M$12,ROW(입고!$C$8:$C$1013)-7),2)),"")</f>
        <v>R260203CW007</v>
      </c>
      <c r="D13" s="13">
        <f t="array" ref="D13">IFERROR(INDEX(입고!$F$8:$F$1013,SMALL(IF(입고!$C$8:$C$1013=마스터!$M$12,ROW(입고!$C$8:$C$1013)-7),2)),"")</f>
        <v>15</v>
      </c>
      <c r="E13" s="50" t="str">
        <f t="array" ref="E13">IFERROR(INDEX(입고!$H$8:$H$1013,SMALL(IF(입고!$C$8:$C$1013=마스터!$M$12,ROW(입고!$C$8:$C$1013)-7),2)),"")</f>
        <v>(초기재고)</v>
      </c>
      <c r="F13" s="50" t="str">
        <f t="array" ref="F13">IFERROR(INDEX(입고!$I$8:$I$1013,SMALL(IF(입고!$C$8:$C$1013=마스터!$M$12,ROW(입고!$C$8:$C$1013)-7),2)),"")</f>
        <v>2026-02-12 기준</v>
      </c>
      <c r="G13" s="59">
        <f t="shared" ref="G13:G41" si="1">IF(B13="","",IFERROR(G12,0)+IFERROR(D13,0))</f>
        <v>65</v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IFERROR(INDEX(입고!$B$8:$B$1013,SMALL(IF(입고!$C$8:$C$1013=마스터!$M$12,ROW(입고!$C$8:$C$1013)-7),3)),"")</f>
        <v/>
      </c>
      <c r="C14" s="6" t="str">
        <f t="array" ref="C14">IFERROR(INDEX(입고!$E$8:$E$1013,SMALL(IF(입고!$C$8:$C$1013=마스터!$M$12,ROW(입고!$C$8:$C$1013)-7),3)),"")</f>
        <v/>
      </c>
      <c r="D14" s="8" t="str">
        <f t="array" ref="D14">IFERROR(INDEX(입고!$F$8:$F$1013,SMALL(IF(입고!$C$8:$C$1013=마스터!$M$12,ROW(입고!$C$8:$C$1013)-7),3)),"")</f>
        <v/>
      </c>
      <c r="E14" s="46" t="str">
        <f t="array" ref="E14">IFERROR(INDEX(입고!$H$8:$H$1013,SMALL(IF(입고!$C$8:$C$1013=마스터!$M$12,ROW(입고!$C$8:$C$1013)-7),3)),"")</f>
        <v/>
      </c>
      <c r="F14" s="46" t="str">
        <f t="array" ref="F14">IFERROR(INDEX(입고!$I$8:$I$1013,SMALL(IF(입고!$C$8:$C$1013=마스터!$M$12,ROW(입고!$C$8:$C$1013)-7),3)),"")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IFERROR(INDEX(입고!$B$8:$B$1013,SMALL(IF(입고!$C$8:$C$1013=마스터!$M$12,ROW(입고!$C$8:$C$1013)-7),4)),"")</f>
        <v/>
      </c>
      <c r="C15" s="11" t="str">
        <f t="array" ref="C15">IFERROR(INDEX(입고!$E$8:$E$1013,SMALL(IF(입고!$C$8:$C$1013=마스터!$M$12,ROW(입고!$C$8:$C$1013)-7),4)),"")</f>
        <v/>
      </c>
      <c r="D15" s="13" t="str">
        <f t="array" ref="D15">IFERROR(INDEX(입고!$F$8:$F$1013,SMALL(IF(입고!$C$8:$C$1013=마스터!$M$12,ROW(입고!$C$8:$C$1013)-7),4)),"")</f>
        <v/>
      </c>
      <c r="E15" s="50" t="str">
        <f t="array" ref="E15">IFERROR(INDEX(입고!$H$8:$H$1013,SMALL(IF(입고!$C$8:$C$1013=마스터!$M$12,ROW(입고!$C$8:$C$1013)-7),4)),"")</f>
        <v/>
      </c>
      <c r="F15" s="50" t="str">
        <f t="array" ref="F15">IFERROR(INDEX(입고!$I$8:$I$1013,SMALL(IF(입고!$C$8:$C$1013=마스터!$M$12,ROW(입고!$C$8:$C$1013)-7),4)),"")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IFERROR(INDEX(입고!$B$8:$B$1013,SMALL(IF(입고!$C$8:$C$1013=마스터!$M$12,ROW(입고!$C$8:$C$1013)-7),5)),"")</f>
        <v/>
      </c>
      <c r="C16" s="6" t="str">
        <f t="array" ref="C16">IFERROR(INDEX(입고!$E$8:$E$1013,SMALL(IF(입고!$C$8:$C$1013=마스터!$M$12,ROW(입고!$C$8:$C$1013)-7),5)),"")</f>
        <v/>
      </c>
      <c r="D16" s="8" t="str">
        <f t="array" ref="D16">IFERROR(INDEX(입고!$F$8:$F$1013,SMALL(IF(입고!$C$8:$C$1013=마스터!$M$12,ROW(입고!$C$8:$C$1013)-7),5)),"")</f>
        <v/>
      </c>
      <c r="E16" s="46" t="str">
        <f t="array" ref="E16">IFERROR(INDEX(입고!$H$8:$H$1013,SMALL(IF(입고!$C$8:$C$1013=마스터!$M$12,ROW(입고!$C$8:$C$1013)-7),5)),"")</f>
        <v/>
      </c>
      <c r="F16" s="46" t="str">
        <f t="array" ref="F16">IFERROR(INDEX(입고!$I$8:$I$1013,SMALL(IF(입고!$C$8:$C$1013=마스터!$M$12,ROW(입고!$C$8:$C$1013)-7),5)),"")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IFERROR(INDEX(입고!$B$8:$B$1013,SMALL(IF(입고!$C$8:$C$1013=마스터!$M$12,ROW(입고!$C$8:$C$1013)-7),6)),"")</f>
        <v/>
      </c>
      <c r="C17" s="11" t="str">
        <f t="array" ref="C17">IFERROR(INDEX(입고!$E$8:$E$1013,SMALL(IF(입고!$C$8:$C$1013=마스터!$M$12,ROW(입고!$C$8:$C$1013)-7),6)),"")</f>
        <v/>
      </c>
      <c r="D17" s="13" t="str">
        <f t="array" ref="D17">IFERROR(INDEX(입고!$F$8:$F$1013,SMALL(IF(입고!$C$8:$C$1013=마스터!$M$12,ROW(입고!$C$8:$C$1013)-7),6)),"")</f>
        <v/>
      </c>
      <c r="E17" s="50" t="str">
        <f t="array" ref="E17">IFERROR(INDEX(입고!$H$8:$H$1013,SMALL(IF(입고!$C$8:$C$1013=마스터!$M$12,ROW(입고!$C$8:$C$1013)-7),6)),"")</f>
        <v/>
      </c>
      <c r="F17" s="50" t="str">
        <f t="array" ref="F17">IFERROR(INDEX(입고!$I$8:$I$1013,SMALL(IF(입고!$C$8:$C$1013=마스터!$M$12,ROW(입고!$C$8:$C$1013)-7),6)),"")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IFERROR(INDEX(입고!$B$8:$B$1013,SMALL(IF(입고!$C$8:$C$1013=마스터!$M$12,ROW(입고!$C$8:$C$1013)-7),7)),"")</f>
        <v/>
      </c>
      <c r="C18" s="6" t="str">
        <f t="array" ref="C18">IFERROR(INDEX(입고!$E$8:$E$1013,SMALL(IF(입고!$C$8:$C$1013=마스터!$M$12,ROW(입고!$C$8:$C$1013)-7),7)),"")</f>
        <v/>
      </c>
      <c r="D18" s="8" t="str">
        <f t="array" ref="D18">IFERROR(INDEX(입고!$F$8:$F$1013,SMALL(IF(입고!$C$8:$C$1013=마스터!$M$12,ROW(입고!$C$8:$C$1013)-7),7)),"")</f>
        <v/>
      </c>
      <c r="E18" s="46" t="str">
        <f t="array" ref="E18">IFERROR(INDEX(입고!$H$8:$H$1013,SMALL(IF(입고!$C$8:$C$1013=마스터!$M$12,ROW(입고!$C$8:$C$1013)-7),7)),"")</f>
        <v/>
      </c>
      <c r="F18" s="46" t="str">
        <f t="array" ref="F18">IFERROR(INDEX(입고!$I$8:$I$1013,SMALL(IF(입고!$C$8:$C$1013=마스터!$M$12,ROW(입고!$C$8:$C$1013)-7),7)),"")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IFERROR(INDEX(입고!$B$8:$B$1013,SMALL(IF(입고!$C$8:$C$1013=마스터!$M$12,ROW(입고!$C$8:$C$1013)-7),8)),"")</f>
        <v/>
      </c>
      <c r="C19" s="11" t="str">
        <f t="array" ref="C19">IFERROR(INDEX(입고!$E$8:$E$1013,SMALL(IF(입고!$C$8:$C$1013=마스터!$M$12,ROW(입고!$C$8:$C$1013)-7),8)),"")</f>
        <v/>
      </c>
      <c r="D19" s="13" t="str">
        <f t="array" ref="D19">IFERROR(INDEX(입고!$F$8:$F$1013,SMALL(IF(입고!$C$8:$C$1013=마스터!$M$12,ROW(입고!$C$8:$C$1013)-7),8)),"")</f>
        <v/>
      </c>
      <c r="E19" s="50" t="str">
        <f t="array" ref="E19">IFERROR(INDEX(입고!$H$8:$H$1013,SMALL(IF(입고!$C$8:$C$1013=마스터!$M$12,ROW(입고!$C$8:$C$1013)-7),8)),"")</f>
        <v/>
      </c>
      <c r="F19" s="50" t="str">
        <f t="array" ref="F19">IFERROR(INDEX(입고!$I$8:$I$1013,SMALL(IF(입고!$C$8:$C$1013=마스터!$M$12,ROW(입고!$C$8:$C$1013)-7),8)),"")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IFERROR(INDEX(입고!$B$8:$B$1013,SMALL(IF(입고!$C$8:$C$1013=마스터!$M$12,ROW(입고!$C$8:$C$1013)-7),9)),"")</f>
        <v/>
      </c>
      <c r="C20" s="6" t="str">
        <f t="array" ref="C20">IFERROR(INDEX(입고!$E$8:$E$1013,SMALL(IF(입고!$C$8:$C$1013=마스터!$M$12,ROW(입고!$C$8:$C$1013)-7),9)),"")</f>
        <v/>
      </c>
      <c r="D20" s="8" t="str">
        <f t="array" ref="D20">IFERROR(INDEX(입고!$F$8:$F$1013,SMALL(IF(입고!$C$8:$C$1013=마스터!$M$12,ROW(입고!$C$8:$C$1013)-7),9)),"")</f>
        <v/>
      </c>
      <c r="E20" s="46" t="str">
        <f t="array" ref="E20">IFERROR(INDEX(입고!$H$8:$H$1013,SMALL(IF(입고!$C$8:$C$1013=마스터!$M$12,ROW(입고!$C$8:$C$1013)-7),9)),"")</f>
        <v/>
      </c>
      <c r="F20" s="46" t="str">
        <f t="array" ref="F20">IFERROR(INDEX(입고!$I$8:$I$1013,SMALL(IF(입고!$C$8:$C$1013=마스터!$M$12,ROW(입고!$C$8:$C$1013)-7),9)),"")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IFERROR(INDEX(입고!$B$8:$B$1013,SMALL(IF(입고!$C$8:$C$1013=마스터!$M$12,ROW(입고!$C$8:$C$1013)-7),10)),"")</f>
        <v/>
      </c>
      <c r="C21" s="11" t="str">
        <f t="array" ref="C21">IFERROR(INDEX(입고!$E$8:$E$1013,SMALL(IF(입고!$C$8:$C$1013=마스터!$M$12,ROW(입고!$C$8:$C$1013)-7),10)),"")</f>
        <v/>
      </c>
      <c r="D21" s="13" t="str">
        <f t="array" ref="D21">IFERROR(INDEX(입고!$F$8:$F$1013,SMALL(IF(입고!$C$8:$C$1013=마스터!$M$12,ROW(입고!$C$8:$C$1013)-7),10)),"")</f>
        <v/>
      </c>
      <c r="E21" s="50" t="str">
        <f t="array" ref="E21">IFERROR(INDEX(입고!$H$8:$H$1013,SMALL(IF(입고!$C$8:$C$1013=마스터!$M$12,ROW(입고!$C$8:$C$1013)-7),10)),"")</f>
        <v/>
      </c>
      <c r="F21" s="50" t="str">
        <f t="array" ref="F21">IFERROR(INDEX(입고!$I$8:$I$1013,SMALL(IF(입고!$C$8:$C$1013=마스터!$M$12,ROW(입고!$C$8:$C$1013)-7),10)),"")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IFERROR(INDEX(입고!$B$8:$B$1013,SMALL(IF(입고!$C$8:$C$1013=마스터!$M$12,ROW(입고!$C$8:$C$1013)-7),11)),"")</f>
        <v/>
      </c>
      <c r="C22" s="6" t="str">
        <f t="array" ref="C22">IFERROR(INDEX(입고!$E$8:$E$1013,SMALL(IF(입고!$C$8:$C$1013=마스터!$M$12,ROW(입고!$C$8:$C$1013)-7),11)),"")</f>
        <v/>
      </c>
      <c r="D22" s="8" t="str">
        <f t="array" ref="D22">IFERROR(INDEX(입고!$F$8:$F$1013,SMALL(IF(입고!$C$8:$C$1013=마스터!$M$12,ROW(입고!$C$8:$C$1013)-7),11)),"")</f>
        <v/>
      </c>
      <c r="E22" s="46" t="str">
        <f t="array" ref="E22">IFERROR(INDEX(입고!$H$8:$H$1013,SMALL(IF(입고!$C$8:$C$1013=마스터!$M$12,ROW(입고!$C$8:$C$1013)-7),11)),"")</f>
        <v/>
      </c>
      <c r="F22" s="46" t="str">
        <f t="array" ref="F22">IFERROR(INDEX(입고!$I$8:$I$1013,SMALL(IF(입고!$C$8:$C$1013=마스터!$M$12,ROW(입고!$C$8:$C$1013)-7),11)),"")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IFERROR(INDEX(입고!$B$8:$B$1013,SMALL(IF(입고!$C$8:$C$1013=마스터!$M$12,ROW(입고!$C$8:$C$1013)-7),12)),"")</f>
        <v/>
      </c>
      <c r="C23" s="11" t="str">
        <f t="array" ref="C23">IFERROR(INDEX(입고!$E$8:$E$1013,SMALL(IF(입고!$C$8:$C$1013=마스터!$M$12,ROW(입고!$C$8:$C$1013)-7),12)),"")</f>
        <v/>
      </c>
      <c r="D23" s="13" t="str">
        <f t="array" ref="D23">IFERROR(INDEX(입고!$F$8:$F$1013,SMALL(IF(입고!$C$8:$C$1013=마스터!$M$12,ROW(입고!$C$8:$C$1013)-7),12)),"")</f>
        <v/>
      </c>
      <c r="E23" s="50" t="str">
        <f t="array" ref="E23">IFERROR(INDEX(입고!$H$8:$H$1013,SMALL(IF(입고!$C$8:$C$1013=마스터!$M$12,ROW(입고!$C$8:$C$1013)-7),12)),"")</f>
        <v/>
      </c>
      <c r="F23" s="50" t="str">
        <f t="array" ref="F23">IFERROR(INDEX(입고!$I$8:$I$1013,SMALL(IF(입고!$C$8:$C$1013=마스터!$M$12,ROW(입고!$C$8:$C$1013)-7),12)),"")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IFERROR(INDEX(입고!$B$8:$B$1013,SMALL(IF(입고!$C$8:$C$1013=마스터!$M$12,ROW(입고!$C$8:$C$1013)-7),13)),"")</f>
        <v/>
      </c>
      <c r="C24" s="6" t="str">
        <f t="array" ref="C24">IFERROR(INDEX(입고!$E$8:$E$1013,SMALL(IF(입고!$C$8:$C$1013=마스터!$M$12,ROW(입고!$C$8:$C$1013)-7),13)),"")</f>
        <v/>
      </c>
      <c r="D24" s="8" t="str">
        <f t="array" ref="D24">IFERROR(INDEX(입고!$F$8:$F$1013,SMALL(IF(입고!$C$8:$C$1013=마스터!$M$12,ROW(입고!$C$8:$C$1013)-7),13)),"")</f>
        <v/>
      </c>
      <c r="E24" s="46" t="str">
        <f t="array" ref="E24">IFERROR(INDEX(입고!$H$8:$H$1013,SMALL(IF(입고!$C$8:$C$1013=마스터!$M$12,ROW(입고!$C$8:$C$1013)-7),13)),"")</f>
        <v/>
      </c>
      <c r="F24" s="46" t="str">
        <f t="array" ref="F24">IFERROR(INDEX(입고!$I$8:$I$1013,SMALL(IF(입고!$C$8:$C$1013=마스터!$M$12,ROW(입고!$C$8:$C$1013)-7),13)),"")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IFERROR(INDEX(입고!$B$8:$B$1013,SMALL(IF(입고!$C$8:$C$1013=마스터!$M$12,ROW(입고!$C$8:$C$1013)-7),14)),"")</f>
        <v/>
      </c>
      <c r="C25" s="11" t="str">
        <f t="array" ref="C25">IFERROR(INDEX(입고!$E$8:$E$1013,SMALL(IF(입고!$C$8:$C$1013=마스터!$M$12,ROW(입고!$C$8:$C$1013)-7),14)),"")</f>
        <v/>
      </c>
      <c r="D25" s="13" t="str">
        <f t="array" ref="D25">IFERROR(INDEX(입고!$F$8:$F$1013,SMALL(IF(입고!$C$8:$C$1013=마스터!$M$12,ROW(입고!$C$8:$C$1013)-7),14)),"")</f>
        <v/>
      </c>
      <c r="E25" s="50" t="str">
        <f t="array" ref="E25">IFERROR(INDEX(입고!$H$8:$H$1013,SMALL(IF(입고!$C$8:$C$1013=마스터!$M$12,ROW(입고!$C$8:$C$1013)-7),14)),"")</f>
        <v/>
      </c>
      <c r="F25" s="50" t="str">
        <f t="array" ref="F25">IFERROR(INDEX(입고!$I$8:$I$1013,SMALL(IF(입고!$C$8:$C$1013=마스터!$M$12,ROW(입고!$C$8:$C$1013)-7),14)),"")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IFERROR(INDEX(입고!$B$8:$B$1013,SMALL(IF(입고!$C$8:$C$1013=마스터!$M$12,ROW(입고!$C$8:$C$1013)-7),15)),"")</f>
        <v/>
      </c>
      <c r="C26" s="6" t="str">
        <f t="array" ref="C26">IFERROR(INDEX(입고!$E$8:$E$1013,SMALL(IF(입고!$C$8:$C$1013=마스터!$M$12,ROW(입고!$C$8:$C$1013)-7),15)),"")</f>
        <v/>
      </c>
      <c r="D26" s="8" t="str">
        <f t="array" ref="D26">IFERROR(INDEX(입고!$F$8:$F$1013,SMALL(IF(입고!$C$8:$C$1013=마스터!$M$12,ROW(입고!$C$8:$C$1013)-7),15)),"")</f>
        <v/>
      </c>
      <c r="E26" s="46" t="str">
        <f t="array" ref="E26">IFERROR(INDEX(입고!$H$8:$H$1013,SMALL(IF(입고!$C$8:$C$1013=마스터!$M$12,ROW(입고!$C$8:$C$1013)-7),15)),"")</f>
        <v/>
      </c>
      <c r="F26" s="46" t="str">
        <f t="array" ref="F26">IFERROR(INDEX(입고!$I$8:$I$1013,SMALL(IF(입고!$C$8:$C$1013=마스터!$M$12,ROW(입고!$C$8:$C$1013)-7),15)),"")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IFERROR(INDEX(입고!$B$8:$B$1013,SMALL(IF(입고!$C$8:$C$1013=마스터!$M$12,ROW(입고!$C$8:$C$1013)-7),16)),"")</f>
        <v/>
      </c>
      <c r="C27" s="11" t="str">
        <f t="array" ref="C27">IFERROR(INDEX(입고!$E$8:$E$1013,SMALL(IF(입고!$C$8:$C$1013=마스터!$M$12,ROW(입고!$C$8:$C$1013)-7),16)),"")</f>
        <v/>
      </c>
      <c r="D27" s="13" t="str">
        <f t="array" ref="D27">IFERROR(INDEX(입고!$F$8:$F$1013,SMALL(IF(입고!$C$8:$C$1013=마스터!$M$12,ROW(입고!$C$8:$C$1013)-7),16)),"")</f>
        <v/>
      </c>
      <c r="E27" s="50" t="str">
        <f t="array" ref="E27">IFERROR(INDEX(입고!$H$8:$H$1013,SMALL(IF(입고!$C$8:$C$1013=마스터!$M$12,ROW(입고!$C$8:$C$1013)-7),16)),"")</f>
        <v/>
      </c>
      <c r="F27" s="50" t="str">
        <f t="array" ref="F27">IFERROR(INDEX(입고!$I$8:$I$1013,SMALL(IF(입고!$C$8:$C$1013=마스터!$M$12,ROW(입고!$C$8:$C$1013)-7),16)),"")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IFERROR(INDEX(입고!$B$8:$B$1013,SMALL(IF(입고!$C$8:$C$1013=마스터!$M$12,ROW(입고!$C$8:$C$1013)-7),17)),"")</f>
        <v/>
      </c>
      <c r="C28" s="6" t="str">
        <f t="array" ref="C28">IFERROR(INDEX(입고!$E$8:$E$1013,SMALL(IF(입고!$C$8:$C$1013=마스터!$M$12,ROW(입고!$C$8:$C$1013)-7),17)),"")</f>
        <v/>
      </c>
      <c r="D28" s="8" t="str">
        <f t="array" ref="D28">IFERROR(INDEX(입고!$F$8:$F$1013,SMALL(IF(입고!$C$8:$C$1013=마스터!$M$12,ROW(입고!$C$8:$C$1013)-7),17)),"")</f>
        <v/>
      </c>
      <c r="E28" s="46" t="str">
        <f t="array" ref="E28">IFERROR(INDEX(입고!$H$8:$H$1013,SMALL(IF(입고!$C$8:$C$1013=마스터!$M$12,ROW(입고!$C$8:$C$1013)-7),17)),"")</f>
        <v/>
      </c>
      <c r="F28" s="46" t="str">
        <f t="array" ref="F28">IFERROR(INDEX(입고!$I$8:$I$1013,SMALL(IF(입고!$C$8:$C$1013=마스터!$M$12,ROW(입고!$C$8:$C$1013)-7),17)),"")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IFERROR(INDEX(입고!$B$8:$B$1013,SMALL(IF(입고!$C$8:$C$1013=마스터!$M$12,ROW(입고!$C$8:$C$1013)-7),18)),"")</f>
        <v/>
      </c>
      <c r="C29" s="11" t="str">
        <f t="array" ref="C29">IFERROR(INDEX(입고!$E$8:$E$1013,SMALL(IF(입고!$C$8:$C$1013=마스터!$M$12,ROW(입고!$C$8:$C$1013)-7),18)),"")</f>
        <v/>
      </c>
      <c r="D29" s="13" t="str">
        <f t="array" ref="D29">IFERROR(INDEX(입고!$F$8:$F$1013,SMALL(IF(입고!$C$8:$C$1013=마스터!$M$12,ROW(입고!$C$8:$C$1013)-7),18)),"")</f>
        <v/>
      </c>
      <c r="E29" s="50" t="str">
        <f t="array" ref="E29">IFERROR(INDEX(입고!$H$8:$H$1013,SMALL(IF(입고!$C$8:$C$1013=마스터!$M$12,ROW(입고!$C$8:$C$1013)-7),18)),"")</f>
        <v/>
      </c>
      <c r="F29" s="50" t="str">
        <f t="array" ref="F29">IFERROR(INDEX(입고!$I$8:$I$1013,SMALL(IF(입고!$C$8:$C$1013=마스터!$M$12,ROW(입고!$C$8:$C$1013)-7),18)),"")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IFERROR(INDEX(입고!$B$8:$B$1013,SMALL(IF(입고!$C$8:$C$1013=마스터!$M$12,ROW(입고!$C$8:$C$1013)-7),19)),"")</f>
        <v/>
      </c>
      <c r="C30" s="6" t="str">
        <f t="array" ref="C30">IFERROR(INDEX(입고!$E$8:$E$1013,SMALL(IF(입고!$C$8:$C$1013=마스터!$M$12,ROW(입고!$C$8:$C$1013)-7),19)),"")</f>
        <v/>
      </c>
      <c r="D30" s="8" t="str">
        <f t="array" ref="D30">IFERROR(INDEX(입고!$F$8:$F$1013,SMALL(IF(입고!$C$8:$C$1013=마스터!$M$12,ROW(입고!$C$8:$C$1013)-7),19)),"")</f>
        <v/>
      </c>
      <c r="E30" s="46" t="str">
        <f t="array" ref="E30">IFERROR(INDEX(입고!$H$8:$H$1013,SMALL(IF(입고!$C$8:$C$1013=마스터!$M$12,ROW(입고!$C$8:$C$1013)-7),19)),"")</f>
        <v/>
      </c>
      <c r="F30" s="46" t="str">
        <f t="array" ref="F30">IFERROR(INDEX(입고!$I$8:$I$1013,SMALL(IF(입고!$C$8:$C$1013=마스터!$M$12,ROW(입고!$C$8:$C$1013)-7),19)),"")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IFERROR(INDEX(입고!$B$8:$B$1013,SMALL(IF(입고!$C$8:$C$1013=마스터!$M$12,ROW(입고!$C$8:$C$1013)-7),20)),"")</f>
        <v/>
      </c>
      <c r="C31" s="11" t="str">
        <f t="array" ref="C31">IFERROR(INDEX(입고!$E$8:$E$1013,SMALL(IF(입고!$C$8:$C$1013=마스터!$M$12,ROW(입고!$C$8:$C$1013)-7),20)),"")</f>
        <v/>
      </c>
      <c r="D31" s="13" t="str">
        <f t="array" ref="D31">IFERROR(INDEX(입고!$F$8:$F$1013,SMALL(IF(입고!$C$8:$C$1013=마스터!$M$12,ROW(입고!$C$8:$C$1013)-7),20)),"")</f>
        <v/>
      </c>
      <c r="E31" s="50" t="str">
        <f t="array" ref="E31">IFERROR(INDEX(입고!$H$8:$H$1013,SMALL(IF(입고!$C$8:$C$1013=마스터!$M$12,ROW(입고!$C$8:$C$1013)-7),20)),"")</f>
        <v/>
      </c>
      <c r="F31" s="50" t="str">
        <f t="array" ref="F31">IFERROR(INDEX(입고!$I$8:$I$1013,SMALL(IF(입고!$C$8:$C$1013=마스터!$M$12,ROW(입고!$C$8:$C$1013)-7),20)),"")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IFERROR(INDEX(입고!$B$8:$B$1013,SMALL(IF(입고!$C$8:$C$1013=마스터!$M$12,ROW(입고!$C$8:$C$1013)-7),21)),"")</f>
        <v/>
      </c>
      <c r="C32" s="6" t="str">
        <f t="array" ref="C32">IFERROR(INDEX(입고!$E$8:$E$1013,SMALL(IF(입고!$C$8:$C$1013=마스터!$M$12,ROW(입고!$C$8:$C$1013)-7),21)),"")</f>
        <v/>
      </c>
      <c r="D32" s="8" t="str">
        <f t="array" ref="D32">IFERROR(INDEX(입고!$F$8:$F$1013,SMALL(IF(입고!$C$8:$C$1013=마스터!$M$12,ROW(입고!$C$8:$C$1013)-7),21)),"")</f>
        <v/>
      </c>
      <c r="E32" s="46" t="str">
        <f t="array" ref="E32">IFERROR(INDEX(입고!$H$8:$H$1013,SMALL(IF(입고!$C$8:$C$1013=마스터!$M$12,ROW(입고!$C$8:$C$1013)-7),21)),"")</f>
        <v/>
      </c>
      <c r="F32" s="46" t="str">
        <f t="array" ref="F32">IFERROR(INDEX(입고!$I$8:$I$1013,SMALL(IF(입고!$C$8:$C$1013=마스터!$M$12,ROW(입고!$C$8:$C$1013)-7),21)),"")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IFERROR(INDEX(입고!$B$8:$B$1013,SMALL(IF(입고!$C$8:$C$1013=마스터!$M$12,ROW(입고!$C$8:$C$1013)-7),22)),"")</f>
        <v/>
      </c>
      <c r="C33" s="11" t="str">
        <f t="array" ref="C33">IFERROR(INDEX(입고!$E$8:$E$1013,SMALL(IF(입고!$C$8:$C$1013=마스터!$M$12,ROW(입고!$C$8:$C$1013)-7),22)),"")</f>
        <v/>
      </c>
      <c r="D33" s="13" t="str">
        <f t="array" ref="D33">IFERROR(INDEX(입고!$F$8:$F$1013,SMALL(IF(입고!$C$8:$C$1013=마스터!$M$12,ROW(입고!$C$8:$C$1013)-7),22)),"")</f>
        <v/>
      </c>
      <c r="E33" s="50" t="str">
        <f t="array" ref="E33">IFERROR(INDEX(입고!$H$8:$H$1013,SMALL(IF(입고!$C$8:$C$1013=마스터!$M$12,ROW(입고!$C$8:$C$1013)-7),22)),"")</f>
        <v/>
      </c>
      <c r="F33" s="50" t="str">
        <f t="array" ref="F33">IFERROR(INDEX(입고!$I$8:$I$1013,SMALL(IF(입고!$C$8:$C$1013=마스터!$M$12,ROW(입고!$C$8:$C$1013)-7),22)),"")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IFERROR(INDEX(입고!$B$8:$B$1013,SMALL(IF(입고!$C$8:$C$1013=마스터!$M$12,ROW(입고!$C$8:$C$1013)-7),23)),"")</f>
        <v/>
      </c>
      <c r="C34" s="6" t="str">
        <f t="array" ref="C34">IFERROR(INDEX(입고!$E$8:$E$1013,SMALL(IF(입고!$C$8:$C$1013=마스터!$M$12,ROW(입고!$C$8:$C$1013)-7),23)),"")</f>
        <v/>
      </c>
      <c r="D34" s="8" t="str">
        <f t="array" ref="D34">IFERROR(INDEX(입고!$F$8:$F$1013,SMALL(IF(입고!$C$8:$C$1013=마스터!$M$12,ROW(입고!$C$8:$C$1013)-7),23)),"")</f>
        <v/>
      </c>
      <c r="E34" s="46" t="str">
        <f t="array" ref="E34">IFERROR(INDEX(입고!$H$8:$H$1013,SMALL(IF(입고!$C$8:$C$1013=마스터!$M$12,ROW(입고!$C$8:$C$1013)-7),23)),"")</f>
        <v/>
      </c>
      <c r="F34" s="46" t="str">
        <f t="array" ref="F34">IFERROR(INDEX(입고!$I$8:$I$1013,SMALL(IF(입고!$C$8:$C$1013=마스터!$M$12,ROW(입고!$C$8:$C$1013)-7),23)),"")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IFERROR(INDEX(입고!$B$8:$B$1013,SMALL(IF(입고!$C$8:$C$1013=마스터!$M$12,ROW(입고!$C$8:$C$1013)-7),24)),"")</f>
        <v/>
      </c>
      <c r="C35" s="11" t="str">
        <f t="array" ref="C35">IFERROR(INDEX(입고!$E$8:$E$1013,SMALL(IF(입고!$C$8:$C$1013=마스터!$M$12,ROW(입고!$C$8:$C$1013)-7),24)),"")</f>
        <v/>
      </c>
      <c r="D35" s="13" t="str">
        <f t="array" ref="D35">IFERROR(INDEX(입고!$F$8:$F$1013,SMALL(IF(입고!$C$8:$C$1013=마스터!$M$12,ROW(입고!$C$8:$C$1013)-7),24)),"")</f>
        <v/>
      </c>
      <c r="E35" s="50" t="str">
        <f t="array" ref="E35">IFERROR(INDEX(입고!$H$8:$H$1013,SMALL(IF(입고!$C$8:$C$1013=마스터!$M$12,ROW(입고!$C$8:$C$1013)-7),24)),"")</f>
        <v/>
      </c>
      <c r="F35" s="50" t="str">
        <f t="array" ref="F35">IFERROR(INDEX(입고!$I$8:$I$1013,SMALL(IF(입고!$C$8:$C$1013=마스터!$M$12,ROW(입고!$C$8:$C$1013)-7),24)),"")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IFERROR(INDEX(입고!$B$8:$B$1013,SMALL(IF(입고!$C$8:$C$1013=마스터!$M$12,ROW(입고!$C$8:$C$1013)-7),25)),"")</f>
        <v/>
      </c>
      <c r="C36" s="6" t="str">
        <f t="array" ref="C36">IFERROR(INDEX(입고!$E$8:$E$1013,SMALL(IF(입고!$C$8:$C$1013=마스터!$M$12,ROW(입고!$C$8:$C$1013)-7),25)),"")</f>
        <v/>
      </c>
      <c r="D36" s="8" t="str">
        <f t="array" ref="D36">IFERROR(INDEX(입고!$F$8:$F$1013,SMALL(IF(입고!$C$8:$C$1013=마스터!$M$12,ROW(입고!$C$8:$C$1013)-7),25)),"")</f>
        <v/>
      </c>
      <c r="E36" s="46" t="str">
        <f t="array" ref="E36">IFERROR(INDEX(입고!$H$8:$H$1013,SMALL(IF(입고!$C$8:$C$1013=마스터!$M$12,ROW(입고!$C$8:$C$1013)-7),25)),"")</f>
        <v/>
      </c>
      <c r="F36" s="46" t="str">
        <f t="array" ref="F36">IFERROR(INDEX(입고!$I$8:$I$1013,SMALL(IF(입고!$C$8:$C$1013=마스터!$M$12,ROW(입고!$C$8:$C$1013)-7),25)),"")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IFERROR(INDEX(입고!$B$8:$B$1013,SMALL(IF(입고!$C$8:$C$1013=마스터!$M$12,ROW(입고!$C$8:$C$1013)-7),26)),"")</f>
        <v/>
      </c>
      <c r="C37" s="11" t="str">
        <f t="array" ref="C37">IFERROR(INDEX(입고!$E$8:$E$1013,SMALL(IF(입고!$C$8:$C$1013=마스터!$M$12,ROW(입고!$C$8:$C$1013)-7),26)),"")</f>
        <v/>
      </c>
      <c r="D37" s="13" t="str">
        <f t="array" ref="D37">IFERROR(INDEX(입고!$F$8:$F$1013,SMALL(IF(입고!$C$8:$C$1013=마스터!$M$12,ROW(입고!$C$8:$C$1013)-7),26)),"")</f>
        <v/>
      </c>
      <c r="E37" s="50" t="str">
        <f t="array" ref="E37">IFERROR(INDEX(입고!$H$8:$H$1013,SMALL(IF(입고!$C$8:$C$1013=마스터!$M$12,ROW(입고!$C$8:$C$1013)-7),26)),"")</f>
        <v/>
      </c>
      <c r="F37" s="50" t="str">
        <f t="array" ref="F37">IFERROR(INDEX(입고!$I$8:$I$1013,SMALL(IF(입고!$C$8:$C$1013=마스터!$M$12,ROW(입고!$C$8:$C$1013)-7),26)),"")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IFERROR(INDEX(입고!$B$8:$B$1013,SMALL(IF(입고!$C$8:$C$1013=마스터!$M$12,ROW(입고!$C$8:$C$1013)-7),27)),"")</f>
        <v/>
      </c>
      <c r="C38" s="6" t="str">
        <f t="array" ref="C38">IFERROR(INDEX(입고!$E$8:$E$1013,SMALL(IF(입고!$C$8:$C$1013=마스터!$M$12,ROW(입고!$C$8:$C$1013)-7),27)),"")</f>
        <v/>
      </c>
      <c r="D38" s="8" t="str">
        <f t="array" ref="D38">IFERROR(INDEX(입고!$F$8:$F$1013,SMALL(IF(입고!$C$8:$C$1013=마스터!$M$12,ROW(입고!$C$8:$C$1013)-7),27)),"")</f>
        <v/>
      </c>
      <c r="E38" s="46" t="str">
        <f t="array" ref="E38">IFERROR(INDEX(입고!$H$8:$H$1013,SMALL(IF(입고!$C$8:$C$1013=마스터!$M$12,ROW(입고!$C$8:$C$1013)-7),27)),"")</f>
        <v/>
      </c>
      <c r="F38" s="46" t="str">
        <f t="array" ref="F38">IFERROR(INDEX(입고!$I$8:$I$1013,SMALL(IF(입고!$C$8:$C$1013=마스터!$M$12,ROW(입고!$C$8:$C$1013)-7),27)),"")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IFERROR(INDEX(입고!$B$8:$B$1013,SMALL(IF(입고!$C$8:$C$1013=마스터!$M$12,ROW(입고!$C$8:$C$1013)-7),28)),"")</f>
        <v/>
      </c>
      <c r="C39" s="11" t="str">
        <f t="array" ref="C39">IFERROR(INDEX(입고!$E$8:$E$1013,SMALL(IF(입고!$C$8:$C$1013=마스터!$M$12,ROW(입고!$C$8:$C$1013)-7),28)),"")</f>
        <v/>
      </c>
      <c r="D39" s="13" t="str">
        <f t="array" ref="D39">IFERROR(INDEX(입고!$F$8:$F$1013,SMALL(IF(입고!$C$8:$C$1013=마스터!$M$12,ROW(입고!$C$8:$C$1013)-7),28)),"")</f>
        <v/>
      </c>
      <c r="E39" s="50" t="str">
        <f t="array" ref="E39">IFERROR(INDEX(입고!$H$8:$H$1013,SMALL(IF(입고!$C$8:$C$1013=마스터!$M$12,ROW(입고!$C$8:$C$1013)-7),28)),"")</f>
        <v/>
      </c>
      <c r="F39" s="50" t="str">
        <f t="array" ref="F39">IFERROR(INDEX(입고!$I$8:$I$1013,SMALL(IF(입고!$C$8:$C$1013=마스터!$M$12,ROW(입고!$C$8:$C$1013)-7),28)),"")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IFERROR(INDEX(입고!$B$8:$B$1013,SMALL(IF(입고!$C$8:$C$1013=마스터!$M$12,ROW(입고!$C$8:$C$1013)-7),29)),"")</f>
        <v/>
      </c>
      <c r="C40" s="6" t="str">
        <f t="array" ref="C40">IFERROR(INDEX(입고!$E$8:$E$1013,SMALL(IF(입고!$C$8:$C$1013=마스터!$M$12,ROW(입고!$C$8:$C$1013)-7),29)),"")</f>
        <v/>
      </c>
      <c r="D40" s="8" t="str">
        <f t="array" ref="D40">IFERROR(INDEX(입고!$F$8:$F$1013,SMALL(IF(입고!$C$8:$C$1013=마스터!$M$12,ROW(입고!$C$8:$C$1013)-7),29)),"")</f>
        <v/>
      </c>
      <c r="E40" s="46" t="str">
        <f t="array" ref="E40">IFERROR(INDEX(입고!$H$8:$H$1013,SMALL(IF(입고!$C$8:$C$1013=마스터!$M$12,ROW(입고!$C$8:$C$1013)-7),29)),"")</f>
        <v/>
      </c>
      <c r="F40" s="46" t="str">
        <f t="array" ref="F40">IFERROR(INDEX(입고!$I$8:$I$1013,SMALL(IF(입고!$C$8:$C$1013=마스터!$M$12,ROW(입고!$C$8:$C$1013)-7),29)),"")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IFERROR(INDEX(입고!$B$8:$B$1013,SMALL(IF(입고!$C$8:$C$1013=마스터!$M$12,ROW(입고!$C$8:$C$1013)-7),30)),"")</f>
        <v/>
      </c>
      <c r="C41" s="11" t="str">
        <f t="array" ref="C41">IFERROR(INDEX(입고!$E$8:$E$1013,SMALL(IF(입고!$C$8:$C$1013=마스터!$M$12,ROW(입고!$C$8:$C$1013)-7),30)),"")</f>
        <v/>
      </c>
      <c r="D41" s="13" t="str">
        <f t="array" ref="D41">IFERROR(INDEX(입고!$F$8:$F$1013,SMALL(IF(입고!$C$8:$C$1013=마스터!$M$12,ROW(입고!$C$8:$C$1013)-7),30)),"")</f>
        <v/>
      </c>
      <c r="E41" s="50" t="str">
        <f t="array" ref="E41">IFERROR(INDEX(입고!$H$8:$H$1013,SMALL(IF(입고!$C$8:$C$1013=마스터!$M$12,ROW(입고!$C$8:$C$1013)-7),30)),"")</f>
        <v/>
      </c>
      <c r="F41" s="50" t="str">
        <f t="array" ref="F41">IFERROR(INDEX(입고!$I$8:$I$1013,SMALL(IF(입고!$C$8:$C$1013=마스터!$M$12,ROW(입고!$C$8:$C$1013)-7),30)),"")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IFERROR(INDEX(출고!$B$8:$B$1013,SMALL(IF(출고!$C$8:$C$1013=마스터!$M$12,ROW(출고!$C$8:$C$1013)-7),1)),"")</f>
        <v/>
      </c>
      <c r="C45" s="6" t="str">
        <f t="array" ref="C45">IFERROR(INDEX(출고!$E$8:$E$1013,SMALL(IF(출고!$C$8:$C$1013=마스터!$M$12,ROW(출고!$C$8:$C$1013)-7),1)),"")</f>
        <v/>
      </c>
      <c r="D45" s="8" t="str">
        <f t="array" ref="D45">IFERROR(INDEX(출고!$F$8:$F$1013,SMALL(IF(출고!$C$8:$C$1013=마스터!$M$12,ROW(출고!$C$8:$C$1013)-7),1)),"")</f>
        <v/>
      </c>
      <c r="E45" s="46" t="str">
        <f t="array" ref="E45">IFERROR(INDEX(출고!$H$8:$H$1013,SMALL(IF(출고!$C$8:$C$1013=마스터!$M$12,ROW(출고!$C$8:$C$1013)-7),1)),"")</f>
        <v/>
      </c>
      <c r="F45" s="46" t="str">
        <f t="array" ref="F45">IFERROR(INDEX(출고!$I$8:$I$1013,SMALL(IF(출고!$C$8:$C$1013=마스터!$M$12,ROW(출고!$C$8:$C$1013)-7),1)),"")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IFERROR(INDEX(출고!$B$8:$B$1013,SMALL(IF(출고!$C$8:$C$1013=마스터!$M$12,ROW(출고!$C$8:$C$1013)-7),2)),"")</f>
        <v/>
      </c>
      <c r="C46" s="11" t="str">
        <f t="array" ref="C46">IFERROR(INDEX(출고!$E$8:$E$1013,SMALL(IF(출고!$C$8:$C$1013=마스터!$M$12,ROW(출고!$C$8:$C$1013)-7),2)),"")</f>
        <v/>
      </c>
      <c r="D46" s="13" t="str">
        <f t="array" ref="D46">IFERROR(INDEX(출고!$F$8:$F$1013,SMALL(IF(출고!$C$8:$C$1013=마스터!$M$12,ROW(출고!$C$8:$C$1013)-7),2)),"")</f>
        <v/>
      </c>
      <c r="E46" s="50" t="str">
        <f t="array" ref="E46">IFERROR(INDEX(출고!$H$8:$H$1013,SMALL(IF(출고!$C$8:$C$1013=마스터!$M$12,ROW(출고!$C$8:$C$1013)-7),2)),"")</f>
        <v/>
      </c>
      <c r="F46" s="50" t="str">
        <f t="array" ref="F46">IFERROR(INDEX(출고!$I$8:$I$1013,SMALL(IF(출고!$C$8:$C$1013=마스터!$M$12,ROW(출고!$C$8:$C$1013)-7),2)),"")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IFERROR(INDEX(출고!$B$8:$B$1013,SMALL(IF(출고!$C$8:$C$1013=마스터!$M$12,ROW(출고!$C$8:$C$1013)-7),3)),"")</f>
        <v/>
      </c>
      <c r="C47" s="6" t="str">
        <f t="array" ref="C47">IFERROR(INDEX(출고!$E$8:$E$1013,SMALL(IF(출고!$C$8:$C$1013=마스터!$M$12,ROW(출고!$C$8:$C$1013)-7),3)),"")</f>
        <v/>
      </c>
      <c r="D47" s="8" t="str">
        <f t="array" ref="D47">IFERROR(INDEX(출고!$F$8:$F$1013,SMALL(IF(출고!$C$8:$C$1013=마스터!$M$12,ROW(출고!$C$8:$C$1013)-7),3)),"")</f>
        <v/>
      </c>
      <c r="E47" s="46" t="str">
        <f t="array" ref="E47">IFERROR(INDEX(출고!$H$8:$H$1013,SMALL(IF(출고!$C$8:$C$1013=마스터!$M$12,ROW(출고!$C$8:$C$1013)-7),3)),"")</f>
        <v/>
      </c>
      <c r="F47" s="46" t="str">
        <f t="array" ref="F47">IFERROR(INDEX(출고!$I$8:$I$1013,SMALL(IF(출고!$C$8:$C$1013=마스터!$M$12,ROW(출고!$C$8:$C$1013)-7),3)),"")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IFERROR(INDEX(출고!$B$8:$B$1013,SMALL(IF(출고!$C$8:$C$1013=마스터!$M$12,ROW(출고!$C$8:$C$1013)-7),4)),"")</f>
        <v/>
      </c>
      <c r="C48" s="11" t="str">
        <f t="array" ref="C48">IFERROR(INDEX(출고!$E$8:$E$1013,SMALL(IF(출고!$C$8:$C$1013=마스터!$M$12,ROW(출고!$C$8:$C$1013)-7),4)),"")</f>
        <v/>
      </c>
      <c r="D48" s="13" t="str">
        <f t="array" ref="D48">IFERROR(INDEX(출고!$F$8:$F$1013,SMALL(IF(출고!$C$8:$C$1013=마스터!$M$12,ROW(출고!$C$8:$C$1013)-7),4)),"")</f>
        <v/>
      </c>
      <c r="E48" s="50" t="str">
        <f t="array" ref="E48">IFERROR(INDEX(출고!$H$8:$H$1013,SMALL(IF(출고!$C$8:$C$1013=마스터!$M$12,ROW(출고!$C$8:$C$1013)-7),4)),"")</f>
        <v/>
      </c>
      <c r="F48" s="50" t="str">
        <f t="array" ref="F48">IFERROR(INDEX(출고!$I$8:$I$1013,SMALL(IF(출고!$C$8:$C$1013=마스터!$M$12,ROW(출고!$C$8:$C$1013)-7),4)),"")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IFERROR(INDEX(출고!$B$8:$B$1013,SMALL(IF(출고!$C$8:$C$1013=마스터!$M$12,ROW(출고!$C$8:$C$1013)-7),5)),"")</f>
        <v/>
      </c>
      <c r="C49" s="6" t="str">
        <f t="array" ref="C49">IFERROR(INDEX(출고!$E$8:$E$1013,SMALL(IF(출고!$C$8:$C$1013=마스터!$M$12,ROW(출고!$C$8:$C$1013)-7),5)),"")</f>
        <v/>
      </c>
      <c r="D49" s="8" t="str">
        <f t="array" ref="D49">IFERROR(INDEX(출고!$F$8:$F$1013,SMALL(IF(출고!$C$8:$C$1013=마스터!$M$12,ROW(출고!$C$8:$C$1013)-7),5)),"")</f>
        <v/>
      </c>
      <c r="E49" s="46" t="str">
        <f t="array" ref="E49">IFERROR(INDEX(출고!$H$8:$H$1013,SMALL(IF(출고!$C$8:$C$1013=마스터!$M$12,ROW(출고!$C$8:$C$1013)-7),5)),"")</f>
        <v/>
      </c>
      <c r="F49" s="46" t="str">
        <f t="array" ref="F49">IFERROR(INDEX(출고!$I$8:$I$1013,SMALL(IF(출고!$C$8:$C$1013=마스터!$M$12,ROW(출고!$C$8:$C$1013)-7),5)),"")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IFERROR(INDEX(출고!$B$8:$B$1013,SMALL(IF(출고!$C$8:$C$1013=마스터!$M$12,ROW(출고!$C$8:$C$1013)-7),6)),"")</f>
        <v/>
      </c>
      <c r="C50" s="11" t="str">
        <f t="array" ref="C50">IFERROR(INDEX(출고!$E$8:$E$1013,SMALL(IF(출고!$C$8:$C$1013=마스터!$M$12,ROW(출고!$C$8:$C$1013)-7),6)),"")</f>
        <v/>
      </c>
      <c r="D50" s="13" t="str">
        <f t="array" ref="D50">IFERROR(INDEX(출고!$F$8:$F$1013,SMALL(IF(출고!$C$8:$C$1013=마스터!$M$12,ROW(출고!$C$8:$C$1013)-7),6)),"")</f>
        <v/>
      </c>
      <c r="E50" s="50" t="str">
        <f t="array" ref="E50">IFERROR(INDEX(출고!$H$8:$H$1013,SMALL(IF(출고!$C$8:$C$1013=마스터!$M$12,ROW(출고!$C$8:$C$1013)-7),6)),"")</f>
        <v/>
      </c>
      <c r="F50" s="50" t="str">
        <f t="array" ref="F50">IFERROR(INDEX(출고!$I$8:$I$1013,SMALL(IF(출고!$C$8:$C$1013=마스터!$M$12,ROW(출고!$C$8:$C$1013)-7),6)),"")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IFERROR(INDEX(출고!$B$8:$B$1013,SMALL(IF(출고!$C$8:$C$1013=마스터!$M$12,ROW(출고!$C$8:$C$1013)-7),7)),"")</f>
        <v/>
      </c>
      <c r="C51" s="6" t="str">
        <f t="array" ref="C51">IFERROR(INDEX(출고!$E$8:$E$1013,SMALL(IF(출고!$C$8:$C$1013=마스터!$M$12,ROW(출고!$C$8:$C$1013)-7),7)),"")</f>
        <v/>
      </c>
      <c r="D51" s="8" t="str">
        <f t="array" ref="D51">IFERROR(INDEX(출고!$F$8:$F$1013,SMALL(IF(출고!$C$8:$C$1013=마스터!$M$12,ROW(출고!$C$8:$C$1013)-7),7)),"")</f>
        <v/>
      </c>
      <c r="E51" s="46" t="str">
        <f t="array" ref="E51">IFERROR(INDEX(출고!$H$8:$H$1013,SMALL(IF(출고!$C$8:$C$1013=마스터!$M$12,ROW(출고!$C$8:$C$1013)-7),7)),"")</f>
        <v/>
      </c>
      <c r="F51" s="46" t="str">
        <f t="array" ref="F51">IFERROR(INDEX(출고!$I$8:$I$1013,SMALL(IF(출고!$C$8:$C$1013=마스터!$M$12,ROW(출고!$C$8:$C$1013)-7),7)),"")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IFERROR(INDEX(출고!$B$8:$B$1013,SMALL(IF(출고!$C$8:$C$1013=마스터!$M$12,ROW(출고!$C$8:$C$1013)-7),8)),"")</f>
        <v/>
      </c>
      <c r="C52" s="11" t="str">
        <f t="array" ref="C52">IFERROR(INDEX(출고!$E$8:$E$1013,SMALL(IF(출고!$C$8:$C$1013=마스터!$M$12,ROW(출고!$C$8:$C$1013)-7),8)),"")</f>
        <v/>
      </c>
      <c r="D52" s="13" t="str">
        <f t="array" ref="D52">IFERROR(INDEX(출고!$F$8:$F$1013,SMALL(IF(출고!$C$8:$C$1013=마스터!$M$12,ROW(출고!$C$8:$C$1013)-7),8)),"")</f>
        <v/>
      </c>
      <c r="E52" s="50" t="str">
        <f t="array" ref="E52">IFERROR(INDEX(출고!$H$8:$H$1013,SMALL(IF(출고!$C$8:$C$1013=마스터!$M$12,ROW(출고!$C$8:$C$1013)-7),8)),"")</f>
        <v/>
      </c>
      <c r="F52" s="50" t="str">
        <f t="array" ref="F52">IFERROR(INDEX(출고!$I$8:$I$1013,SMALL(IF(출고!$C$8:$C$1013=마스터!$M$12,ROW(출고!$C$8:$C$1013)-7),8)),"")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IFERROR(INDEX(출고!$B$8:$B$1013,SMALL(IF(출고!$C$8:$C$1013=마스터!$M$12,ROW(출고!$C$8:$C$1013)-7),9)),"")</f>
        <v/>
      </c>
      <c r="C53" s="6" t="str">
        <f t="array" ref="C53">IFERROR(INDEX(출고!$E$8:$E$1013,SMALL(IF(출고!$C$8:$C$1013=마스터!$M$12,ROW(출고!$C$8:$C$1013)-7),9)),"")</f>
        <v/>
      </c>
      <c r="D53" s="8" t="str">
        <f t="array" ref="D53">IFERROR(INDEX(출고!$F$8:$F$1013,SMALL(IF(출고!$C$8:$C$1013=마스터!$M$12,ROW(출고!$C$8:$C$1013)-7),9)),"")</f>
        <v/>
      </c>
      <c r="E53" s="46" t="str">
        <f t="array" ref="E53">IFERROR(INDEX(출고!$H$8:$H$1013,SMALL(IF(출고!$C$8:$C$1013=마스터!$M$12,ROW(출고!$C$8:$C$1013)-7),9)),"")</f>
        <v/>
      </c>
      <c r="F53" s="46" t="str">
        <f t="array" ref="F53">IFERROR(INDEX(출고!$I$8:$I$1013,SMALL(IF(출고!$C$8:$C$1013=마스터!$M$12,ROW(출고!$C$8:$C$1013)-7),9)),"")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IFERROR(INDEX(출고!$B$8:$B$1013,SMALL(IF(출고!$C$8:$C$1013=마스터!$M$12,ROW(출고!$C$8:$C$1013)-7),10)),"")</f>
        <v/>
      </c>
      <c r="C54" s="11" t="str">
        <f t="array" ref="C54">IFERROR(INDEX(출고!$E$8:$E$1013,SMALL(IF(출고!$C$8:$C$1013=마스터!$M$12,ROW(출고!$C$8:$C$1013)-7),10)),"")</f>
        <v/>
      </c>
      <c r="D54" s="13" t="str">
        <f t="array" ref="D54">IFERROR(INDEX(출고!$F$8:$F$1013,SMALL(IF(출고!$C$8:$C$1013=마스터!$M$12,ROW(출고!$C$8:$C$1013)-7),10)),"")</f>
        <v/>
      </c>
      <c r="E54" s="50" t="str">
        <f t="array" ref="E54">IFERROR(INDEX(출고!$H$8:$H$1013,SMALL(IF(출고!$C$8:$C$1013=마스터!$M$12,ROW(출고!$C$8:$C$1013)-7),10)),"")</f>
        <v/>
      </c>
      <c r="F54" s="50" t="str">
        <f t="array" ref="F54">IFERROR(INDEX(출고!$I$8:$I$1013,SMALL(IF(출고!$C$8:$C$1013=마스터!$M$12,ROW(출고!$C$8:$C$1013)-7),10)),"")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IFERROR(INDEX(출고!$B$8:$B$1013,SMALL(IF(출고!$C$8:$C$1013=마스터!$M$12,ROW(출고!$C$8:$C$1013)-7),11)),"")</f>
        <v/>
      </c>
      <c r="C55" s="6" t="str">
        <f t="array" ref="C55">IFERROR(INDEX(출고!$E$8:$E$1013,SMALL(IF(출고!$C$8:$C$1013=마스터!$M$12,ROW(출고!$C$8:$C$1013)-7),11)),"")</f>
        <v/>
      </c>
      <c r="D55" s="8" t="str">
        <f t="array" ref="D55">IFERROR(INDEX(출고!$F$8:$F$1013,SMALL(IF(출고!$C$8:$C$1013=마스터!$M$12,ROW(출고!$C$8:$C$1013)-7),11)),"")</f>
        <v/>
      </c>
      <c r="E55" s="46" t="str">
        <f t="array" ref="E55">IFERROR(INDEX(출고!$H$8:$H$1013,SMALL(IF(출고!$C$8:$C$1013=마스터!$M$12,ROW(출고!$C$8:$C$1013)-7),11)),"")</f>
        <v/>
      </c>
      <c r="F55" s="46" t="str">
        <f t="array" ref="F55">IFERROR(INDEX(출고!$I$8:$I$1013,SMALL(IF(출고!$C$8:$C$1013=마스터!$M$12,ROW(출고!$C$8:$C$1013)-7),11)),"")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IFERROR(INDEX(출고!$B$8:$B$1013,SMALL(IF(출고!$C$8:$C$1013=마스터!$M$12,ROW(출고!$C$8:$C$1013)-7),12)),"")</f>
        <v/>
      </c>
      <c r="C56" s="11" t="str">
        <f t="array" ref="C56">IFERROR(INDEX(출고!$E$8:$E$1013,SMALL(IF(출고!$C$8:$C$1013=마스터!$M$12,ROW(출고!$C$8:$C$1013)-7),12)),"")</f>
        <v/>
      </c>
      <c r="D56" s="13" t="str">
        <f t="array" ref="D56">IFERROR(INDEX(출고!$F$8:$F$1013,SMALL(IF(출고!$C$8:$C$1013=마스터!$M$12,ROW(출고!$C$8:$C$1013)-7),12)),"")</f>
        <v/>
      </c>
      <c r="E56" s="50" t="str">
        <f t="array" ref="E56">IFERROR(INDEX(출고!$H$8:$H$1013,SMALL(IF(출고!$C$8:$C$1013=마스터!$M$12,ROW(출고!$C$8:$C$1013)-7),12)),"")</f>
        <v/>
      </c>
      <c r="F56" s="50" t="str">
        <f t="array" ref="F56">IFERROR(INDEX(출고!$I$8:$I$1013,SMALL(IF(출고!$C$8:$C$1013=마스터!$M$12,ROW(출고!$C$8:$C$1013)-7),12)),"")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IFERROR(INDEX(출고!$B$8:$B$1013,SMALL(IF(출고!$C$8:$C$1013=마스터!$M$12,ROW(출고!$C$8:$C$1013)-7),13)),"")</f>
        <v/>
      </c>
      <c r="C57" s="6" t="str">
        <f t="array" ref="C57">IFERROR(INDEX(출고!$E$8:$E$1013,SMALL(IF(출고!$C$8:$C$1013=마스터!$M$12,ROW(출고!$C$8:$C$1013)-7),13)),"")</f>
        <v/>
      </c>
      <c r="D57" s="8" t="str">
        <f t="array" ref="D57">IFERROR(INDEX(출고!$F$8:$F$1013,SMALL(IF(출고!$C$8:$C$1013=마스터!$M$12,ROW(출고!$C$8:$C$1013)-7),13)),"")</f>
        <v/>
      </c>
      <c r="E57" s="46" t="str">
        <f t="array" ref="E57">IFERROR(INDEX(출고!$H$8:$H$1013,SMALL(IF(출고!$C$8:$C$1013=마스터!$M$12,ROW(출고!$C$8:$C$1013)-7),13)),"")</f>
        <v/>
      </c>
      <c r="F57" s="46" t="str">
        <f t="array" ref="F57">IFERROR(INDEX(출고!$I$8:$I$1013,SMALL(IF(출고!$C$8:$C$1013=마스터!$M$12,ROW(출고!$C$8:$C$1013)-7),13)),"")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IFERROR(INDEX(출고!$B$8:$B$1013,SMALL(IF(출고!$C$8:$C$1013=마스터!$M$12,ROW(출고!$C$8:$C$1013)-7),14)),"")</f>
        <v/>
      </c>
      <c r="C58" s="11" t="str">
        <f t="array" ref="C58">IFERROR(INDEX(출고!$E$8:$E$1013,SMALL(IF(출고!$C$8:$C$1013=마스터!$M$12,ROW(출고!$C$8:$C$1013)-7),14)),"")</f>
        <v/>
      </c>
      <c r="D58" s="13" t="str">
        <f t="array" ref="D58">IFERROR(INDEX(출고!$F$8:$F$1013,SMALL(IF(출고!$C$8:$C$1013=마스터!$M$12,ROW(출고!$C$8:$C$1013)-7),14)),"")</f>
        <v/>
      </c>
      <c r="E58" s="50" t="str">
        <f t="array" ref="E58">IFERROR(INDEX(출고!$H$8:$H$1013,SMALL(IF(출고!$C$8:$C$1013=마스터!$M$12,ROW(출고!$C$8:$C$1013)-7),14)),"")</f>
        <v/>
      </c>
      <c r="F58" s="50" t="str">
        <f t="array" ref="F58">IFERROR(INDEX(출고!$I$8:$I$1013,SMALL(IF(출고!$C$8:$C$1013=마스터!$M$12,ROW(출고!$C$8:$C$1013)-7),14)),"")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IFERROR(INDEX(출고!$B$8:$B$1013,SMALL(IF(출고!$C$8:$C$1013=마스터!$M$12,ROW(출고!$C$8:$C$1013)-7),15)),"")</f>
        <v/>
      </c>
      <c r="C59" s="6" t="str">
        <f t="array" ref="C59">IFERROR(INDEX(출고!$E$8:$E$1013,SMALL(IF(출고!$C$8:$C$1013=마스터!$M$12,ROW(출고!$C$8:$C$1013)-7),15)),"")</f>
        <v/>
      </c>
      <c r="D59" s="8" t="str">
        <f t="array" ref="D59">IFERROR(INDEX(출고!$F$8:$F$1013,SMALL(IF(출고!$C$8:$C$1013=마스터!$M$12,ROW(출고!$C$8:$C$1013)-7),15)),"")</f>
        <v/>
      </c>
      <c r="E59" s="46" t="str">
        <f t="array" ref="E59">IFERROR(INDEX(출고!$H$8:$H$1013,SMALL(IF(출고!$C$8:$C$1013=마스터!$M$12,ROW(출고!$C$8:$C$1013)-7),15)),"")</f>
        <v/>
      </c>
      <c r="F59" s="46" t="str">
        <f t="array" ref="F59">IFERROR(INDEX(출고!$I$8:$I$1013,SMALL(IF(출고!$C$8:$C$1013=마스터!$M$12,ROW(출고!$C$8:$C$1013)-7),15)),"")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IFERROR(INDEX(출고!$B$8:$B$1013,SMALL(IF(출고!$C$8:$C$1013=마스터!$M$12,ROW(출고!$C$8:$C$1013)-7),16)),"")</f>
        <v/>
      </c>
      <c r="C60" s="11" t="str">
        <f t="array" ref="C60">IFERROR(INDEX(출고!$E$8:$E$1013,SMALL(IF(출고!$C$8:$C$1013=마스터!$M$12,ROW(출고!$C$8:$C$1013)-7),16)),"")</f>
        <v/>
      </c>
      <c r="D60" s="13" t="str">
        <f t="array" ref="D60">IFERROR(INDEX(출고!$F$8:$F$1013,SMALL(IF(출고!$C$8:$C$1013=마스터!$M$12,ROW(출고!$C$8:$C$1013)-7),16)),"")</f>
        <v/>
      </c>
      <c r="E60" s="50" t="str">
        <f t="array" ref="E60">IFERROR(INDEX(출고!$H$8:$H$1013,SMALL(IF(출고!$C$8:$C$1013=마스터!$M$12,ROW(출고!$C$8:$C$1013)-7),16)),"")</f>
        <v/>
      </c>
      <c r="F60" s="50" t="str">
        <f t="array" ref="F60">IFERROR(INDEX(출고!$I$8:$I$1013,SMALL(IF(출고!$C$8:$C$1013=마스터!$M$12,ROW(출고!$C$8:$C$1013)-7),16)),"")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IFERROR(INDEX(출고!$B$8:$B$1013,SMALL(IF(출고!$C$8:$C$1013=마스터!$M$12,ROW(출고!$C$8:$C$1013)-7),17)),"")</f>
        <v/>
      </c>
      <c r="C61" s="6" t="str">
        <f t="array" ref="C61">IFERROR(INDEX(출고!$E$8:$E$1013,SMALL(IF(출고!$C$8:$C$1013=마스터!$M$12,ROW(출고!$C$8:$C$1013)-7),17)),"")</f>
        <v/>
      </c>
      <c r="D61" s="8" t="str">
        <f t="array" ref="D61">IFERROR(INDEX(출고!$F$8:$F$1013,SMALL(IF(출고!$C$8:$C$1013=마스터!$M$12,ROW(출고!$C$8:$C$1013)-7),17)),"")</f>
        <v/>
      </c>
      <c r="E61" s="46" t="str">
        <f t="array" ref="E61">IFERROR(INDEX(출고!$H$8:$H$1013,SMALL(IF(출고!$C$8:$C$1013=마스터!$M$12,ROW(출고!$C$8:$C$1013)-7),17)),"")</f>
        <v/>
      </c>
      <c r="F61" s="46" t="str">
        <f t="array" ref="F61">IFERROR(INDEX(출고!$I$8:$I$1013,SMALL(IF(출고!$C$8:$C$1013=마스터!$M$12,ROW(출고!$C$8:$C$1013)-7),17)),"")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IFERROR(INDEX(출고!$B$8:$B$1013,SMALL(IF(출고!$C$8:$C$1013=마스터!$M$12,ROW(출고!$C$8:$C$1013)-7),18)),"")</f>
        <v/>
      </c>
      <c r="C62" s="11" t="str">
        <f t="array" ref="C62">IFERROR(INDEX(출고!$E$8:$E$1013,SMALL(IF(출고!$C$8:$C$1013=마스터!$M$12,ROW(출고!$C$8:$C$1013)-7),18)),"")</f>
        <v/>
      </c>
      <c r="D62" s="13" t="str">
        <f t="array" ref="D62">IFERROR(INDEX(출고!$F$8:$F$1013,SMALL(IF(출고!$C$8:$C$1013=마스터!$M$12,ROW(출고!$C$8:$C$1013)-7),18)),"")</f>
        <v/>
      </c>
      <c r="E62" s="50" t="str">
        <f t="array" ref="E62">IFERROR(INDEX(출고!$H$8:$H$1013,SMALL(IF(출고!$C$8:$C$1013=마스터!$M$12,ROW(출고!$C$8:$C$1013)-7),18)),"")</f>
        <v/>
      </c>
      <c r="F62" s="50" t="str">
        <f t="array" ref="F62">IFERROR(INDEX(출고!$I$8:$I$1013,SMALL(IF(출고!$C$8:$C$1013=마스터!$M$12,ROW(출고!$C$8:$C$1013)-7),18)),"")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IFERROR(INDEX(출고!$B$8:$B$1013,SMALL(IF(출고!$C$8:$C$1013=마스터!$M$12,ROW(출고!$C$8:$C$1013)-7),19)),"")</f>
        <v/>
      </c>
      <c r="C63" s="6" t="str">
        <f t="array" ref="C63">IFERROR(INDEX(출고!$E$8:$E$1013,SMALL(IF(출고!$C$8:$C$1013=마스터!$M$12,ROW(출고!$C$8:$C$1013)-7),19)),"")</f>
        <v/>
      </c>
      <c r="D63" s="8" t="str">
        <f t="array" ref="D63">IFERROR(INDEX(출고!$F$8:$F$1013,SMALL(IF(출고!$C$8:$C$1013=마스터!$M$12,ROW(출고!$C$8:$C$1013)-7),19)),"")</f>
        <v/>
      </c>
      <c r="E63" s="46" t="str">
        <f t="array" ref="E63">IFERROR(INDEX(출고!$H$8:$H$1013,SMALL(IF(출고!$C$8:$C$1013=마스터!$M$12,ROW(출고!$C$8:$C$1013)-7),19)),"")</f>
        <v/>
      </c>
      <c r="F63" s="46" t="str">
        <f t="array" ref="F63">IFERROR(INDEX(출고!$I$8:$I$1013,SMALL(IF(출고!$C$8:$C$1013=마스터!$M$12,ROW(출고!$C$8:$C$1013)-7),19)),"")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IFERROR(INDEX(출고!$B$8:$B$1013,SMALL(IF(출고!$C$8:$C$1013=마스터!$M$12,ROW(출고!$C$8:$C$1013)-7),20)),"")</f>
        <v/>
      </c>
      <c r="C64" s="11" t="str">
        <f t="array" ref="C64">IFERROR(INDEX(출고!$E$8:$E$1013,SMALL(IF(출고!$C$8:$C$1013=마스터!$M$12,ROW(출고!$C$8:$C$1013)-7),20)),"")</f>
        <v/>
      </c>
      <c r="D64" s="13" t="str">
        <f t="array" ref="D64">IFERROR(INDEX(출고!$F$8:$F$1013,SMALL(IF(출고!$C$8:$C$1013=마스터!$M$12,ROW(출고!$C$8:$C$1013)-7),20)),"")</f>
        <v/>
      </c>
      <c r="E64" s="50" t="str">
        <f t="array" ref="E64">IFERROR(INDEX(출고!$H$8:$H$1013,SMALL(IF(출고!$C$8:$C$1013=마스터!$M$12,ROW(출고!$C$8:$C$1013)-7),20)),"")</f>
        <v/>
      </c>
      <c r="F64" s="50" t="str">
        <f t="array" ref="F64">IFERROR(INDEX(출고!$I$8:$I$1013,SMALL(IF(출고!$C$8:$C$1013=마스터!$M$12,ROW(출고!$C$8:$C$1013)-7),20)),"")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IFERROR(INDEX(출고!$B$8:$B$1013,SMALL(IF(출고!$C$8:$C$1013=마스터!$M$12,ROW(출고!$C$8:$C$1013)-7),21)),"")</f>
        <v/>
      </c>
      <c r="C65" s="6" t="str">
        <f t="array" ref="C65">IFERROR(INDEX(출고!$E$8:$E$1013,SMALL(IF(출고!$C$8:$C$1013=마스터!$M$12,ROW(출고!$C$8:$C$1013)-7),21)),"")</f>
        <v/>
      </c>
      <c r="D65" s="8" t="str">
        <f t="array" ref="D65">IFERROR(INDEX(출고!$F$8:$F$1013,SMALL(IF(출고!$C$8:$C$1013=마스터!$M$12,ROW(출고!$C$8:$C$1013)-7),21)),"")</f>
        <v/>
      </c>
      <c r="E65" s="46" t="str">
        <f t="array" ref="E65">IFERROR(INDEX(출고!$H$8:$H$1013,SMALL(IF(출고!$C$8:$C$1013=마스터!$M$12,ROW(출고!$C$8:$C$1013)-7),21)),"")</f>
        <v/>
      </c>
      <c r="F65" s="46" t="str">
        <f t="array" ref="F65">IFERROR(INDEX(출고!$I$8:$I$1013,SMALL(IF(출고!$C$8:$C$1013=마스터!$M$12,ROW(출고!$C$8:$C$1013)-7),21)),"")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IFERROR(INDEX(출고!$B$8:$B$1013,SMALL(IF(출고!$C$8:$C$1013=마스터!$M$12,ROW(출고!$C$8:$C$1013)-7),22)),"")</f>
        <v/>
      </c>
      <c r="C66" s="11" t="str">
        <f t="array" ref="C66">IFERROR(INDEX(출고!$E$8:$E$1013,SMALL(IF(출고!$C$8:$C$1013=마스터!$M$12,ROW(출고!$C$8:$C$1013)-7),22)),"")</f>
        <v/>
      </c>
      <c r="D66" s="13" t="str">
        <f t="array" ref="D66">IFERROR(INDEX(출고!$F$8:$F$1013,SMALL(IF(출고!$C$8:$C$1013=마스터!$M$12,ROW(출고!$C$8:$C$1013)-7),22)),"")</f>
        <v/>
      </c>
      <c r="E66" s="50" t="str">
        <f t="array" ref="E66">IFERROR(INDEX(출고!$H$8:$H$1013,SMALL(IF(출고!$C$8:$C$1013=마스터!$M$12,ROW(출고!$C$8:$C$1013)-7),22)),"")</f>
        <v/>
      </c>
      <c r="F66" s="50" t="str">
        <f t="array" ref="F66">IFERROR(INDEX(출고!$I$8:$I$1013,SMALL(IF(출고!$C$8:$C$1013=마스터!$M$12,ROW(출고!$C$8:$C$1013)-7),22)),"")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IFERROR(INDEX(출고!$B$8:$B$1013,SMALL(IF(출고!$C$8:$C$1013=마스터!$M$12,ROW(출고!$C$8:$C$1013)-7),23)),"")</f>
        <v/>
      </c>
      <c r="C67" s="6" t="str">
        <f t="array" ref="C67">IFERROR(INDEX(출고!$E$8:$E$1013,SMALL(IF(출고!$C$8:$C$1013=마스터!$M$12,ROW(출고!$C$8:$C$1013)-7),23)),"")</f>
        <v/>
      </c>
      <c r="D67" s="8" t="str">
        <f t="array" ref="D67">IFERROR(INDEX(출고!$F$8:$F$1013,SMALL(IF(출고!$C$8:$C$1013=마스터!$M$12,ROW(출고!$C$8:$C$1013)-7),23)),"")</f>
        <v/>
      </c>
      <c r="E67" s="46" t="str">
        <f t="array" ref="E67">IFERROR(INDEX(출고!$H$8:$H$1013,SMALL(IF(출고!$C$8:$C$1013=마스터!$M$12,ROW(출고!$C$8:$C$1013)-7),23)),"")</f>
        <v/>
      </c>
      <c r="F67" s="46" t="str">
        <f t="array" ref="F67">IFERROR(INDEX(출고!$I$8:$I$1013,SMALL(IF(출고!$C$8:$C$1013=마스터!$M$12,ROW(출고!$C$8:$C$1013)-7),23)),"")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IFERROR(INDEX(출고!$B$8:$B$1013,SMALL(IF(출고!$C$8:$C$1013=마스터!$M$12,ROW(출고!$C$8:$C$1013)-7),24)),"")</f>
        <v/>
      </c>
      <c r="C68" s="11" t="str">
        <f t="array" ref="C68">IFERROR(INDEX(출고!$E$8:$E$1013,SMALL(IF(출고!$C$8:$C$1013=마스터!$M$12,ROW(출고!$C$8:$C$1013)-7),24)),"")</f>
        <v/>
      </c>
      <c r="D68" s="13" t="str">
        <f t="array" ref="D68">IFERROR(INDEX(출고!$F$8:$F$1013,SMALL(IF(출고!$C$8:$C$1013=마스터!$M$12,ROW(출고!$C$8:$C$1013)-7),24)),"")</f>
        <v/>
      </c>
      <c r="E68" s="50" t="str">
        <f t="array" ref="E68">IFERROR(INDEX(출고!$H$8:$H$1013,SMALL(IF(출고!$C$8:$C$1013=마스터!$M$12,ROW(출고!$C$8:$C$1013)-7),24)),"")</f>
        <v/>
      </c>
      <c r="F68" s="50" t="str">
        <f t="array" ref="F68">IFERROR(INDEX(출고!$I$8:$I$1013,SMALL(IF(출고!$C$8:$C$1013=마스터!$M$12,ROW(출고!$C$8:$C$1013)-7),24)),"")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IFERROR(INDEX(출고!$B$8:$B$1013,SMALL(IF(출고!$C$8:$C$1013=마스터!$M$12,ROW(출고!$C$8:$C$1013)-7),25)),"")</f>
        <v/>
      </c>
      <c r="C69" s="6" t="str">
        <f t="array" ref="C69">IFERROR(INDEX(출고!$E$8:$E$1013,SMALL(IF(출고!$C$8:$C$1013=마스터!$M$12,ROW(출고!$C$8:$C$1013)-7),25)),"")</f>
        <v/>
      </c>
      <c r="D69" s="8" t="str">
        <f t="array" ref="D69">IFERROR(INDEX(출고!$F$8:$F$1013,SMALL(IF(출고!$C$8:$C$1013=마스터!$M$12,ROW(출고!$C$8:$C$1013)-7),25)),"")</f>
        <v/>
      </c>
      <c r="E69" s="46" t="str">
        <f t="array" ref="E69">IFERROR(INDEX(출고!$H$8:$H$1013,SMALL(IF(출고!$C$8:$C$1013=마스터!$M$12,ROW(출고!$C$8:$C$1013)-7),25)),"")</f>
        <v/>
      </c>
      <c r="F69" s="46" t="str">
        <f t="array" ref="F69">IFERROR(INDEX(출고!$I$8:$I$1013,SMALL(IF(출고!$C$8:$C$1013=마스터!$M$12,ROW(출고!$C$8:$C$1013)-7),25)),"")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IFERROR(INDEX(출고!$B$8:$B$1013,SMALL(IF(출고!$C$8:$C$1013=마스터!$M$12,ROW(출고!$C$8:$C$1013)-7),26)),"")</f>
        <v/>
      </c>
      <c r="C70" s="11" t="str">
        <f t="array" ref="C70">IFERROR(INDEX(출고!$E$8:$E$1013,SMALL(IF(출고!$C$8:$C$1013=마스터!$M$12,ROW(출고!$C$8:$C$1013)-7),26)),"")</f>
        <v/>
      </c>
      <c r="D70" s="13" t="str">
        <f t="array" ref="D70">IFERROR(INDEX(출고!$F$8:$F$1013,SMALL(IF(출고!$C$8:$C$1013=마스터!$M$12,ROW(출고!$C$8:$C$1013)-7),26)),"")</f>
        <v/>
      </c>
      <c r="E70" s="50" t="str">
        <f t="array" ref="E70">IFERROR(INDEX(출고!$H$8:$H$1013,SMALL(IF(출고!$C$8:$C$1013=마스터!$M$12,ROW(출고!$C$8:$C$1013)-7),26)),"")</f>
        <v/>
      </c>
      <c r="F70" s="50" t="str">
        <f t="array" ref="F70">IFERROR(INDEX(출고!$I$8:$I$1013,SMALL(IF(출고!$C$8:$C$1013=마스터!$M$12,ROW(출고!$C$8:$C$1013)-7),26)),"")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IFERROR(INDEX(출고!$B$8:$B$1013,SMALL(IF(출고!$C$8:$C$1013=마스터!$M$12,ROW(출고!$C$8:$C$1013)-7),27)),"")</f>
        <v/>
      </c>
      <c r="C71" s="6" t="str">
        <f t="array" ref="C71">IFERROR(INDEX(출고!$E$8:$E$1013,SMALL(IF(출고!$C$8:$C$1013=마스터!$M$12,ROW(출고!$C$8:$C$1013)-7),27)),"")</f>
        <v/>
      </c>
      <c r="D71" s="8" t="str">
        <f t="array" ref="D71">IFERROR(INDEX(출고!$F$8:$F$1013,SMALL(IF(출고!$C$8:$C$1013=마스터!$M$12,ROW(출고!$C$8:$C$1013)-7),27)),"")</f>
        <v/>
      </c>
      <c r="E71" s="46" t="str">
        <f t="array" ref="E71">IFERROR(INDEX(출고!$H$8:$H$1013,SMALL(IF(출고!$C$8:$C$1013=마스터!$M$12,ROW(출고!$C$8:$C$1013)-7),27)),"")</f>
        <v/>
      </c>
      <c r="F71" s="46" t="str">
        <f t="array" ref="F71">IFERROR(INDEX(출고!$I$8:$I$1013,SMALL(IF(출고!$C$8:$C$1013=마스터!$M$12,ROW(출고!$C$8:$C$1013)-7),27)),"")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IFERROR(INDEX(출고!$B$8:$B$1013,SMALL(IF(출고!$C$8:$C$1013=마스터!$M$12,ROW(출고!$C$8:$C$1013)-7),28)),"")</f>
        <v/>
      </c>
      <c r="C72" s="11" t="str">
        <f t="array" ref="C72">IFERROR(INDEX(출고!$E$8:$E$1013,SMALL(IF(출고!$C$8:$C$1013=마스터!$M$12,ROW(출고!$C$8:$C$1013)-7),28)),"")</f>
        <v/>
      </c>
      <c r="D72" s="13" t="str">
        <f t="array" ref="D72">IFERROR(INDEX(출고!$F$8:$F$1013,SMALL(IF(출고!$C$8:$C$1013=마스터!$M$12,ROW(출고!$C$8:$C$1013)-7),28)),"")</f>
        <v/>
      </c>
      <c r="E72" s="50" t="str">
        <f t="array" ref="E72">IFERROR(INDEX(출고!$H$8:$H$1013,SMALL(IF(출고!$C$8:$C$1013=마스터!$M$12,ROW(출고!$C$8:$C$1013)-7),28)),"")</f>
        <v/>
      </c>
      <c r="F72" s="50" t="str">
        <f t="array" ref="F72">IFERROR(INDEX(출고!$I$8:$I$1013,SMALL(IF(출고!$C$8:$C$1013=마스터!$M$12,ROW(출고!$C$8:$C$1013)-7),28)),"")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IFERROR(INDEX(출고!$B$8:$B$1013,SMALL(IF(출고!$C$8:$C$1013=마스터!$M$12,ROW(출고!$C$8:$C$1013)-7),29)),"")</f>
        <v/>
      </c>
      <c r="C73" s="6" t="str">
        <f t="array" ref="C73">IFERROR(INDEX(출고!$E$8:$E$1013,SMALL(IF(출고!$C$8:$C$1013=마스터!$M$12,ROW(출고!$C$8:$C$1013)-7),29)),"")</f>
        <v/>
      </c>
      <c r="D73" s="8" t="str">
        <f t="array" ref="D73">IFERROR(INDEX(출고!$F$8:$F$1013,SMALL(IF(출고!$C$8:$C$1013=마스터!$M$12,ROW(출고!$C$8:$C$1013)-7),29)),"")</f>
        <v/>
      </c>
      <c r="E73" s="46" t="str">
        <f t="array" ref="E73">IFERROR(INDEX(출고!$H$8:$H$1013,SMALL(IF(출고!$C$8:$C$1013=마스터!$M$12,ROW(출고!$C$8:$C$1013)-7),29)),"")</f>
        <v/>
      </c>
      <c r="F73" s="46" t="str">
        <f t="array" ref="F73">IFERROR(INDEX(출고!$I$8:$I$1013,SMALL(IF(출고!$C$8:$C$1013=마스터!$M$12,ROW(출고!$C$8:$C$1013)-7),29)),"")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IFERROR(INDEX(출고!$B$8:$B$1013,SMALL(IF(출고!$C$8:$C$1013=마스터!$M$12,ROW(출고!$C$8:$C$1013)-7),30)),"")</f>
        <v/>
      </c>
      <c r="C74" s="11" t="str">
        <f t="array" ref="C74">IFERROR(INDEX(출고!$E$8:$E$1013,SMALL(IF(출고!$C$8:$C$1013=마스터!$M$12,ROW(출고!$C$8:$C$1013)-7),30)),"")</f>
        <v/>
      </c>
      <c r="D74" s="13" t="str">
        <f t="array" ref="D74">IFERROR(INDEX(출고!$F$8:$F$1013,SMALL(IF(출고!$C$8:$C$1013=마스터!$M$12,ROW(출고!$C$8:$C$1013)-7),30)),"")</f>
        <v/>
      </c>
      <c r="E74" s="50" t="str">
        <f t="array" ref="E74">IFERROR(INDEX(출고!$H$8:$H$1013,SMALL(IF(출고!$C$8:$C$1013=마스터!$M$12,ROW(출고!$C$8:$C$1013)-7),30)),"")</f>
        <v/>
      </c>
      <c r="F74" s="50" t="str">
        <f t="array" ref="F74">IFERROR(INDEX(출고!$I$8:$I$1013,SMALL(IF(출고!$C$8:$C$1013=마스터!$M$12,ROW(출고!$C$8:$C$1013)-7),30)),"")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IFERROR(INDEX(입고!$E$8:$E$1013,SMALL(IF((입고!$C$8:$C$1013=마스터!$M$12)*(입고!$AC$8:$AC$1013=1),ROW(입고!$C$8:$C$1013)-7),1)),"")</f>
        <v>260203CW007</v>
      </c>
      <c r="C78" s="8">
        <f>IF(B78="","",SUMIFS(입고!$F$8:$F$1013,입고!$C$8:$C$1013,마스터!$M$12,입고!$E$8:$E$1013,B78))</f>
        <v>50</v>
      </c>
      <c r="D78" s="8">
        <f>IF(B78="","",SUMIFS(출고!$F$8:$F$1013,출고!$C$8:$C$1013,마스터!$M$12,출고!$E$8:$E$1013,B78))</f>
        <v>0</v>
      </c>
      <c r="E78" s="40">
        <f t="shared" ref="E78:E107" si="5">IF(B78="","",C78-D78)</f>
        <v>50</v>
      </c>
    </row>
    <row r="79" spans="1:7" ht="15" customHeight="1" x14ac:dyDescent="0.25">
      <c r="A79" s="11">
        <f t="shared" si="4"/>
        <v>2</v>
      </c>
      <c r="B79" s="11" t="str">
        <f t="array" ref="B79">IFERROR(INDEX(입고!$E$8:$E$1013,SMALL(IF((입고!$C$8:$C$1013=마스터!$M$12)*(입고!$AC$8:$AC$1013=1),ROW(입고!$C$8:$C$1013)-7),2)),"")</f>
        <v>R260203CW007</v>
      </c>
      <c r="C79" s="13">
        <f>IF(B79="","",SUMIFS(입고!$F$8:$F$1013,입고!$C$8:$C$1013,마스터!$M$12,입고!$E$8:$E$1013,B79))</f>
        <v>15</v>
      </c>
      <c r="D79" s="13">
        <f>IF(B79="","",SUMIFS(출고!$F$8:$F$1013,출고!$C$8:$C$1013,마스터!$M$12,출고!$E$8:$E$1013,B79))</f>
        <v>0</v>
      </c>
      <c r="E79" s="41">
        <f t="shared" si="5"/>
        <v>15</v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IFERROR(INDEX(입고!$E$8:$E$1013,SMALL(IF((입고!$C$8:$C$1013=마스터!$M$12)*(입고!$AC$8:$AC$1013=1),ROW(입고!$C$8:$C$1013)-7),3)),"")</f>
        <v/>
      </c>
      <c r="C80" s="8" t="str">
        <f>IF(B80="","",SUMIFS(입고!$F$8:$F$1013,입고!$C$8:$C$1013,마스터!$M$12,입고!$E$8:$E$1013,B80))</f>
        <v/>
      </c>
      <c r="D80" s="8" t="str">
        <f>IF(B80="","",SUMIFS(출고!$F$8:$F$1013,출고!$C$8:$C$1013,마스터!$M$12,출고!$E$8:$E$1013,B80))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IFERROR(INDEX(입고!$E$8:$E$1013,SMALL(IF((입고!$C$8:$C$1013=마스터!$M$12)*(입고!$AC$8:$AC$1013=1),ROW(입고!$C$8:$C$1013)-7),4)),"")</f>
        <v/>
      </c>
      <c r="C81" s="13" t="str">
        <f>IF(B81="","",SUMIFS(입고!$F$8:$F$1013,입고!$C$8:$C$1013,마스터!$M$12,입고!$E$8:$E$1013,B81))</f>
        <v/>
      </c>
      <c r="D81" s="13" t="str">
        <f>IF(B81="","",SUMIFS(출고!$F$8:$F$1013,출고!$C$8:$C$1013,마스터!$M$12,출고!$E$8:$E$1013,B81))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IFERROR(INDEX(입고!$E$8:$E$1013,SMALL(IF((입고!$C$8:$C$1013=마스터!$M$12)*(입고!$AC$8:$AC$1013=1),ROW(입고!$C$8:$C$1013)-7),5)),"")</f>
        <v/>
      </c>
      <c r="C82" s="8" t="str">
        <f>IF(B82="","",SUMIFS(입고!$F$8:$F$1013,입고!$C$8:$C$1013,마스터!$M$12,입고!$E$8:$E$1013,B82))</f>
        <v/>
      </c>
      <c r="D82" s="8" t="str">
        <f>IF(B82="","",SUMIFS(출고!$F$8:$F$1013,출고!$C$8:$C$1013,마스터!$M$12,출고!$E$8:$E$1013,B82))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IFERROR(INDEX(입고!$E$8:$E$1013,SMALL(IF((입고!$C$8:$C$1013=마스터!$M$12)*(입고!$AC$8:$AC$1013=1),ROW(입고!$C$8:$C$1013)-7),6)),"")</f>
        <v/>
      </c>
      <c r="C83" s="13" t="str">
        <f>IF(B83="","",SUMIFS(입고!$F$8:$F$1013,입고!$C$8:$C$1013,마스터!$M$12,입고!$E$8:$E$1013,B83))</f>
        <v/>
      </c>
      <c r="D83" s="13" t="str">
        <f>IF(B83="","",SUMIFS(출고!$F$8:$F$1013,출고!$C$8:$C$1013,마스터!$M$12,출고!$E$8:$E$1013,B83))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IFERROR(INDEX(입고!$E$8:$E$1013,SMALL(IF((입고!$C$8:$C$1013=마스터!$M$12)*(입고!$AC$8:$AC$1013=1),ROW(입고!$C$8:$C$1013)-7),7)),"")</f>
        <v/>
      </c>
      <c r="C84" s="8" t="str">
        <f>IF(B84="","",SUMIFS(입고!$F$8:$F$1013,입고!$C$8:$C$1013,마스터!$M$12,입고!$E$8:$E$1013,B84))</f>
        <v/>
      </c>
      <c r="D84" s="8" t="str">
        <f>IF(B84="","",SUMIFS(출고!$F$8:$F$1013,출고!$C$8:$C$1013,마스터!$M$12,출고!$E$8:$E$1013,B84))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IFERROR(INDEX(입고!$E$8:$E$1013,SMALL(IF((입고!$C$8:$C$1013=마스터!$M$12)*(입고!$AC$8:$AC$1013=1),ROW(입고!$C$8:$C$1013)-7),8)),"")</f>
        <v/>
      </c>
      <c r="C85" s="13" t="str">
        <f>IF(B85="","",SUMIFS(입고!$F$8:$F$1013,입고!$C$8:$C$1013,마스터!$M$12,입고!$E$8:$E$1013,B85))</f>
        <v/>
      </c>
      <c r="D85" s="13" t="str">
        <f>IF(B85="","",SUMIFS(출고!$F$8:$F$1013,출고!$C$8:$C$1013,마스터!$M$12,출고!$E$8:$E$1013,B85))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IFERROR(INDEX(입고!$E$8:$E$1013,SMALL(IF((입고!$C$8:$C$1013=마스터!$M$12)*(입고!$AC$8:$AC$1013=1),ROW(입고!$C$8:$C$1013)-7),9)),"")</f>
        <v/>
      </c>
      <c r="C86" s="8" t="str">
        <f>IF(B86="","",SUMIFS(입고!$F$8:$F$1013,입고!$C$8:$C$1013,마스터!$M$12,입고!$E$8:$E$1013,B86))</f>
        <v/>
      </c>
      <c r="D86" s="8" t="str">
        <f>IF(B86="","",SUMIFS(출고!$F$8:$F$1013,출고!$C$8:$C$1013,마스터!$M$12,출고!$E$8:$E$1013,B86))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IFERROR(INDEX(입고!$E$8:$E$1013,SMALL(IF((입고!$C$8:$C$1013=마스터!$M$12)*(입고!$AC$8:$AC$1013=1),ROW(입고!$C$8:$C$1013)-7),10)),"")</f>
        <v/>
      </c>
      <c r="C87" s="13" t="str">
        <f>IF(B87="","",SUMIFS(입고!$F$8:$F$1013,입고!$C$8:$C$1013,마스터!$M$12,입고!$E$8:$E$1013,B87))</f>
        <v/>
      </c>
      <c r="D87" s="13" t="str">
        <f>IF(B87="","",SUMIFS(출고!$F$8:$F$1013,출고!$C$8:$C$1013,마스터!$M$12,출고!$E$8:$E$1013,B87))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IFERROR(INDEX(입고!$E$8:$E$1013,SMALL(IF((입고!$C$8:$C$1013=마스터!$M$12)*(입고!$AC$8:$AC$1013=1),ROW(입고!$C$8:$C$1013)-7),11)),"")</f>
        <v/>
      </c>
      <c r="C88" s="8" t="str">
        <f>IF(B88="","",SUMIFS(입고!$F$8:$F$1013,입고!$C$8:$C$1013,마스터!$M$12,입고!$E$8:$E$1013,B88))</f>
        <v/>
      </c>
      <c r="D88" s="8" t="str">
        <f>IF(B88="","",SUMIFS(출고!$F$8:$F$1013,출고!$C$8:$C$1013,마스터!$M$12,출고!$E$8:$E$1013,B88))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IFERROR(INDEX(입고!$E$8:$E$1013,SMALL(IF((입고!$C$8:$C$1013=마스터!$M$12)*(입고!$AC$8:$AC$1013=1),ROW(입고!$C$8:$C$1013)-7),12)),"")</f>
        <v/>
      </c>
      <c r="C89" s="13" t="str">
        <f>IF(B89="","",SUMIFS(입고!$F$8:$F$1013,입고!$C$8:$C$1013,마스터!$M$12,입고!$E$8:$E$1013,B89))</f>
        <v/>
      </c>
      <c r="D89" s="13" t="str">
        <f>IF(B89="","",SUMIFS(출고!$F$8:$F$1013,출고!$C$8:$C$1013,마스터!$M$12,출고!$E$8:$E$1013,B89))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IFERROR(INDEX(입고!$E$8:$E$1013,SMALL(IF((입고!$C$8:$C$1013=마스터!$M$12)*(입고!$AC$8:$AC$1013=1),ROW(입고!$C$8:$C$1013)-7),13)),"")</f>
        <v/>
      </c>
      <c r="C90" s="8" t="str">
        <f>IF(B90="","",SUMIFS(입고!$F$8:$F$1013,입고!$C$8:$C$1013,마스터!$M$12,입고!$E$8:$E$1013,B90))</f>
        <v/>
      </c>
      <c r="D90" s="8" t="str">
        <f>IF(B90="","",SUMIFS(출고!$F$8:$F$1013,출고!$C$8:$C$1013,마스터!$M$12,출고!$E$8:$E$1013,B90))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IFERROR(INDEX(입고!$E$8:$E$1013,SMALL(IF((입고!$C$8:$C$1013=마스터!$M$12)*(입고!$AC$8:$AC$1013=1),ROW(입고!$C$8:$C$1013)-7),14)),"")</f>
        <v/>
      </c>
      <c r="C91" s="13" t="str">
        <f>IF(B91="","",SUMIFS(입고!$F$8:$F$1013,입고!$C$8:$C$1013,마스터!$M$12,입고!$E$8:$E$1013,B91))</f>
        <v/>
      </c>
      <c r="D91" s="13" t="str">
        <f>IF(B91="","",SUMIFS(출고!$F$8:$F$1013,출고!$C$8:$C$1013,마스터!$M$12,출고!$E$8:$E$1013,B91))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IFERROR(INDEX(입고!$E$8:$E$1013,SMALL(IF((입고!$C$8:$C$1013=마스터!$M$12)*(입고!$AC$8:$AC$1013=1),ROW(입고!$C$8:$C$1013)-7),15)),"")</f>
        <v/>
      </c>
      <c r="C92" s="8" t="str">
        <f>IF(B92="","",SUMIFS(입고!$F$8:$F$1013,입고!$C$8:$C$1013,마스터!$M$12,입고!$E$8:$E$1013,B92))</f>
        <v/>
      </c>
      <c r="D92" s="8" t="str">
        <f>IF(B92="","",SUMIFS(출고!$F$8:$F$1013,출고!$C$8:$C$1013,마스터!$M$12,출고!$E$8:$E$1013,B92))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IFERROR(INDEX(입고!$E$8:$E$1013,SMALL(IF((입고!$C$8:$C$1013=마스터!$M$12)*(입고!$AC$8:$AC$1013=1),ROW(입고!$C$8:$C$1013)-7),16)),"")</f>
        <v/>
      </c>
      <c r="C93" s="13" t="str">
        <f>IF(B93="","",SUMIFS(입고!$F$8:$F$1013,입고!$C$8:$C$1013,마스터!$M$12,입고!$E$8:$E$1013,B93))</f>
        <v/>
      </c>
      <c r="D93" s="13" t="str">
        <f>IF(B93="","",SUMIFS(출고!$F$8:$F$1013,출고!$C$8:$C$1013,마스터!$M$12,출고!$E$8:$E$1013,B93))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IFERROR(INDEX(입고!$E$8:$E$1013,SMALL(IF((입고!$C$8:$C$1013=마스터!$M$12)*(입고!$AC$8:$AC$1013=1),ROW(입고!$C$8:$C$1013)-7),17)),"")</f>
        <v/>
      </c>
      <c r="C94" s="8" t="str">
        <f>IF(B94="","",SUMIFS(입고!$F$8:$F$1013,입고!$C$8:$C$1013,마스터!$M$12,입고!$E$8:$E$1013,B94))</f>
        <v/>
      </c>
      <c r="D94" s="8" t="str">
        <f>IF(B94="","",SUMIFS(출고!$F$8:$F$1013,출고!$C$8:$C$1013,마스터!$M$12,출고!$E$8:$E$1013,B94))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IFERROR(INDEX(입고!$E$8:$E$1013,SMALL(IF((입고!$C$8:$C$1013=마스터!$M$12)*(입고!$AC$8:$AC$1013=1),ROW(입고!$C$8:$C$1013)-7),18)),"")</f>
        <v/>
      </c>
      <c r="C95" s="13" t="str">
        <f>IF(B95="","",SUMIFS(입고!$F$8:$F$1013,입고!$C$8:$C$1013,마스터!$M$12,입고!$E$8:$E$1013,B95))</f>
        <v/>
      </c>
      <c r="D95" s="13" t="str">
        <f>IF(B95="","",SUMIFS(출고!$F$8:$F$1013,출고!$C$8:$C$1013,마스터!$M$12,출고!$E$8:$E$1013,B95))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IFERROR(INDEX(입고!$E$8:$E$1013,SMALL(IF((입고!$C$8:$C$1013=마스터!$M$12)*(입고!$AC$8:$AC$1013=1),ROW(입고!$C$8:$C$1013)-7),19)),"")</f>
        <v/>
      </c>
      <c r="C96" s="8" t="str">
        <f>IF(B96="","",SUMIFS(입고!$F$8:$F$1013,입고!$C$8:$C$1013,마스터!$M$12,입고!$E$8:$E$1013,B96))</f>
        <v/>
      </c>
      <c r="D96" s="8" t="str">
        <f>IF(B96="","",SUMIFS(출고!$F$8:$F$1013,출고!$C$8:$C$1013,마스터!$M$12,출고!$E$8:$E$1013,B96))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IFERROR(INDEX(입고!$E$8:$E$1013,SMALL(IF((입고!$C$8:$C$1013=마스터!$M$12)*(입고!$AC$8:$AC$1013=1),ROW(입고!$C$8:$C$1013)-7),20)),"")</f>
        <v/>
      </c>
      <c r="C97" s="13" t="str">
        <f>IF(B97="","",SUMIFS(입고!$F$8:$F$1013,입고!$C$8:$C$1013,마스터!$M$12,입고!$E$8:$E$1013,B97))</f>
        <v/>
      </c>
      <c r="D97" s="13" t="str">
        <f>IF(B97="","",SUMIFS(출고!$F$8:$F$1013,출고!$C$8:$C$1013,마스터!$M$12,출고!$E$8:$E$1013,B97))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IFERROR(INDEX(입고!$E$8:$E$1013,SMALL(IF((입고!$C$8:$C$1013=마스터!$M$12)*(입고!$AC$8:$AC$1013=1),ROW(입고!$C$8:$C$1013)-7),21)),"")</f>
        <v/>
      </c>
      <c r="C98" s="8" t="str">
        <f>IF(B98="","",SUMIFS(입고!$F$8:$F$1013,입고!$C$8:$C$1013,마스터!$M$12,입고!$E$8:$E$1013,B98))</f>
        <v/>
      </c>
      <c r="D98" s="8" t="str">
        <f>IF(B98="","",SUMIFS(출고!$F$8:$F$1013,출고!$C$8:$C$1013,마스터!$M$12,출고!$E$8:$E$1013,B98))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IFERROR(INDEX(입고!$E$8:$E$1013,SMALL(IF((입고!$C$8:$C$1013=마스터!$M$12)*(입고!$AC$8:$AC$1013=1),ROW(입고!$C$8:$C$1013)-7),22)),"")</f>
        <v/>
      </c>
      <c r="C99" s="13" t="str">
        <f>IF(B99="","",SUMIFS(입고!$F$8:$F$1013,입고!$C$8:$C$1013,마스터!$M$12,입고!$E$8:$E$1013,B99))</f>
        <v/>
      </c>
      <c r="D99" s="13" t="str">
        <f>IF(B99="","",SUMIFS(출고!$F$8:$F$1013,출고!$C$8:$C$1013,마스터!$M$12,출고!$E$8:$E$1013,B99))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IFERROR(INDEX(입고!$E$8:$E$1013,SMALL(IF((입고!$C$8:$C$1013=마스터!$M$12)*(입고!$AC$8:$AC$1013=1),ROW(입고!$C$8:$C$1013)-7),23)),"")</f>
        <v/>
      </c>
      <c r="C100" s="8" t="str">
        <f>IF(B100="","",SUMIFS(입고!$F$8:$F$1013,입고!$C$8:$C$1013,마스터!$M$12,입고!$E$8:$E$1013,B100))</f>
        <v/>
      </c>
      <c r="D100" s="8" t="str">
        <f>IF(B100="","",SUMIFS(출고!$F$8:$F$1013,출고!$C$8:$C$1013,마스터!$M$12,출고!$E$8:$E$1013,B100))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IFERROR(INDEX(입고!$E$8:$E$1013,SMALL(IF((입고!$C$8:$C$1013=마스터!$M$12)*(입고!$AC$8:$AC$1013=1),ROW(입고!$C$8:$C$1013)-7),24)),"")</f>
        <v/>
      </c>
      <c r="C101" s="13" t="str">
        <f>IF(B101="","",SUMIFS(입고!$F$8:$F$1013,입고!$C$8:$C$1013,마스터!$M$12,입고!$E$8:$E$1013,B101))</f>
        <v/>
      </c>
      <c r="D101" s="13" t="str">
        <f>IF(B101="","",SUMIFS(출고!$F$8:$F$1013,출고!$C$8:$C$1013,마스터!$M$12,출고!$E$8:$E$1013,B101))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IFERROR(INDEX(입고!$E$8:$E$1013,SMALL(IF((입고!$C$8:$C$1013=마스터!$M$12)*(입고!$AC$8:$AC$1013=1),ROW(입고!$C$8:$C$1013)-7),25)),"")</f>
        <v/>
      </c>
      <c r="C102" s="8" t="str">
        <f>IF(B102="","",SUMIFS(입고!$F$8:$F$1013,입고!$C$8:$C$1013,마스터!$M$12,입고!$E$8:$E$1013,B102))</f>
        <v/>
      </c>
      <c r="D102" s="8" t="str">
        <f>IF(B102="","",SUMIFS(출고!$F$8:$F$1013,출고!$C$8:$C$1013,마스터!$M$12,출고!$E$8:$E$1013,B102))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IFERROR(INDEX(입고!$E$8:$E$1013,SMALL(IF((입고!$C$8:$C$1013=마스터!$M$12)*(입고!$AC$8:$AC$1013=1),ROW(입고!$C$8:$C$1013)-7),26)),"")</f>
        <v/>
      </c>
      <c r="C103" s="13" t="str">
        <f>IF(B103="","",SUMIFS(입고!$F$8:$F$1013,입고!$C$8:$C$1013,마스터!$M$12,입고!$E$8:$E$1013,B103))</f>
        <v/>
      </c>
      <c r="D103" s="13" t="str">
        <f>IF(B103="","",SUMIFS(출고!$F$8:$F$1013,출고!$C$8:$C$1013,마스터!$M$12,출고!$E$8:$E$1013,B103))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IFERROR(INDEX(입고!$E$8:$E$1013,SMALL(IF((입고!$C$8:$C$1013=마스터!$M$12)*(입고!$AC$8:$AC$1013=1),ROW(입고!$C$8:$C$1013)-7),27)),"")</f>
        <v/>
      </c>
      <c r="C104" s="8" t="str">
        <f>IF(B104="","",SUMIFS(입고!$F$8:$F$1013,입고!$C$8:$C$1013,마스터!$M$12,입고!$E$8:$E$1013,B104))</f>
        <v/>
      </c>
      <c r="D104" s="8" t="str">
        <f>IF(B104="","",SUMIFS(출고!$F$8:$F$1013,출고!$C$8:$C$1013,마스터!$M$12,출고!$E$8:$E$1013,B104))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IFERROR(INDEX(입고!$E$8:$E$1013,SMALL(IF((입고!$C$8:$C$1013=마스터!$M$12)*(입고!$AC$8:$AC$1013=1),ROW(입고!$C$8:$C$1013)-7),28)),"")</f>
        <v/>
      </c>
      <c r="C105" s="13" t="str">
        <f>IF(B105="","",SUMIFS(입고!$F$8:$F$1013,입고!$C$8:$C$1013,마스터!$M$12,입고!$E$8:$E$1013,B105))</f>
        <v/>
      </c>
      <c r="D105" s="13" t="str">
        <f>IF(B105="","",SUMIFS(출고!$F$8:$F$1013,출고!$C$8:$C$1013,마스터!$M$12,출고!$E$8:$E$1013,B105))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IFERROR(INDEX(입고!$E$8:$E$1013,SMALL(IF((입고!$C$8:$C$1013=마스터!$M$12)*(입고!$AC$8:$AC$1013=1),ROW(입고!$C$8:$C$1013)-7),29)),"")</f>
        <v/>
      </c>
      <c r="C106" s="8" t="str">
        <f>IF(B106="","",SUMIFS(입고!$F$8:$F$1013,입고!$C$8:$C$1013,마스터!$M$12,입고!$E$8:$E$1013,B106))</f>
        <v/>
      </c>
      <c r="D106" s="8" t="str">
        <f>IF(B106="","",SUMIFS(출고!$F$8:$F$1013,출고!$C$8:$C$1013,마스터!$M$12,출고!$E$8:$E$1013,B106))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IFERROR(INDEX(입고!$E$8:$E$1013,SMALL(IF((입고!$C$8:$C$1013=마스터!$M$12)*(입고!$AC$8:$AC$1013=1),ROW(입고!$C$8:$C$1013)-7),30)),"")</f>
        <v/>
      </c>
      <c r="C107" s="13" t="str">
        <f>IF(B107="","",SUMIFS(입고!$F$8:$F$1013,입고!$C$8:$C$1013,마스터!$M$12,입고!$E$8:$E$1013,B107))</f>
        <v/>
      </c>
      <c r="D107" s="13" t="str">
        <f>IF(B107="","",SUMIFS(출고!$F$8:$F$1013,출고!$C$8:$C$1013,마스터!$M$12,출고!$E$8:$E$1013,B107))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8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CONCATENATE("[10] ", 마스터!D13, "  |  ", 마스터!F13)</f>
        <v>[10] 세라믹울 96K 수입  |  50T × 600W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마스터!D13</f>
        <v>세라믹울 96K 수입</v>
      </c>
      <c r="D4" s="1" t="s">
        <v>11</v>
      </c>
      <c r="E4" s="53">
        <f>SUMIFS(입고!$F$8:$F$1013,입고!$C$8:$C$1013,마스터!$M$13)</f>
        <v>172</v>
      </c>
    </row>
    <row r="5" spans="1:9" ht="15" customHeight="1" x14ac:dyDescent="0.25">
      <c r="A5" s="1" t="s">
        <v>7</v>
      </c>
      <c r="B5" s="52" t="str">
        <f>마스터!E13</f>
        <v>506003600</v>
      </c>
      <c r="D5" s="1" t="s">
        <v>12</v>
      </c>
      <c r="E5" s="53">
        <f>SUMIFS(출고!$F$8:$F$1013,출고!$C$8:$C$1013,마스터!$M$13)</f>
        <v>0</v>
      </c>
    </row>
    <row r="6" spans="1:9" ht="23.25" customHeight="1" x14ac:dyDescent="0.25">
      <c r="A6" s="1" t="s">
        <v>26</v>
      </c>
      <c r="B6" s="52" t="str">
        <f>마스터!F13</f>
        <v>50T × 600W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마스터!M13</f>
        <v>96K수입 50T × 600W × 3600L</v>
      </c>
      <c r="D7" s="1" t="s">
        <v>13</v>
      </c>
      <c r="E7" s="54">
        <f>마스터!$K$13+E4-E5</f>
        <v>172</v>
      </c>
    </row>
    <row r="8" spans="1:9" ht="15" customHeight="1" x14ac:dyDescent="0.25">
      <c r="A8" s="1" t="s">
        <v>10</v>
      </c>
      <c r="B8" s="53">
        <f>마스터!K13</f>
        <v>0</v>
      </c>
      <c r="D8" s="1" t="s">
        <v>123</v>
      </c>
      <c r="E8" s="55">
        <f t="array" ref="E8">IFERROR(MAX(MAX(IF(입고!$C$8:$C$1013=마스터!$M$13,입고!$B$8:$B$1013)),MAX(IF(출고!$C$8:$C$1013=마스터!$M$13,출고!$B$8:$B$1013))),"-")</f>
        <v>46156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IFERROR(INDEX(입고!$B$8:$B$1013,SMALL(IF(입고!$C$8:$C$1013=마스터!$M$13,ROW(입고!$C$8:$C$1013)-7),1)),"")</f>
        <v>46080</v>
      </c>
      <c r="C12" s="6" t="str">
        <f t="array" ref="C12">IFERROR(INDEX(입고!$E$8:$E$1013,SMALL(IF(입고!$C$8:$C$1013=마스터!$M$13,ROW(입고!$C$8:$C$1013)-7),1)),"")</f>
        <v>260227CW002</v>
      </c>
      <c r="D12" s="8">
        <f t="array" ref="D12">IFERROR(INDEX(입고!$F$8:$F$1013,SMALL(IF(입고!$C$8:$C$1013=마스터!$M$13,ROW(입고!$C$8:$C$1013)-7),1)),"")</f>
        <v>98</v>
      </c>
      <c r="E12" s="46" t="str">
        <f t="array" ref="E12">IFERROR(INDEX(입고!$H$8:$H$1013,SMALL(IF(입고!$C$8:$C$1013=마스터!$M$13,ROW(입고!$C$8:$C$1013)-7),1)),"")</f>
        <v>(초기재고)</v>
      </c>
      <c r="F12" s="46" t="str">
        <f t="array" ref="F12">IFERROR(INDEX(입고!$I$8:$I$1013,SMALL(IF(입고!$C$8:$C$1013=마스터!$M$13,ROW(입고!$C$8:$C$1013)-7),1)),"")</f>
        <v>2026-02-12 기준</v>
      </c>
      <c r="G12" s="57">
        <f>IF(B12="","",IFERROR(D12,0))</f>
        <v>98</v>
      </c>
    </row>
    <row r="13" spans="1:9" ht="15" customHeight="1" x14ac:dyDescent="0.25">
      <c r="A13" s="11">
        <f t="shared" si="0"/>
        <v>2</v>
      </c>
      <c r="B13" s="58">
        <f t="array" ref="B13">IFERROR(INDEX(입고!$B$8:$B$1013,SMALL(IF(입고!$C$8:$C$1013=마스터!$M$13,ROW(입고!$C$8:$C$1013)-7),2)),"")</f>
        <v>46156</v>
      </c>
      <c r="C13" s="11" t="str">
        <f t="array" ref="C13">IFERROR(INDEX(입고!$E$8:$E$1013,SMALL(IF(입고!$C$8:$C$1013=마스터!$M$13,ROW(입고!$C$8:$C$1013)-7),2)),"")</f>
        <v>260514CW001</v>
      </c>
      <c r="D13" s="13">
        <f t="array" ref="D13">IFERROR(INDEX(입고!$F$8:$F$1013,SMALL(IF(입고!$C$8:$C$1013=마스터!$M$13,ROW(입고!$C$8:$C$1013)-7),2)),"")</f>
        <v>74</v>
      </c>
      <c r="E13" s="50" t="str">
        <f t="array" ref="E13">IFERROR(INDEX(입고!$H$8:$H$1013,SMALL(IF(입고!$C$8:$C$1013=마스터!$M$13,ROW(입고!$C$8:$C$1013)-7),2)),"")</f>
        <v>(초기재고)</v>
      </c>
      <c r="F13" s="50" t="str">
        <f t="array" ref="F13">IFERROR(INDEX(입고!$I$8:$I$1013,SMALL(IF(입고!$C$8:$C$1013=마스터!$M$13,ROW(입고!$C$8:$C$1013)-7),2)),"")</f>
        <v>2026-02-12 기준</v>
      </c>
      <c r="G13" s="59">
        <f t="shared" ref="G13:G41" si="1">IF(B13="","",IFERROR(G12,0)+IFERROR(D13,0))</f>
        <v>172</v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IFERROR(INDEX(입고!$B$8:$B$1013,SMALL(IF(입고!$C$8:$C$1013=마스터!$M$13,ROW(입고!$C$8:$C$1013)-7),3)),"")</f>
        <v/>
      </c>
      <c r="C14" s="6" t="str">
        <f t="array" ref="C14">IFERROR(INDEX(입고!$E$8:$E$1013,SMALL(IF(입고!$C$8:$C$1013=마스터!$M$13,ROW(입고!$C$8:$C$1013)-7),3)),"")</f>
        <v/>
      </c>
      <c r="D14" s="8" t="str">
        <f t="array" ref="D14">IFERROR(INDEX(입고!$F$8:$F$1013,SMALL(IF(입고!$C$8:$C$1013=마스터!$M$13,ROW(입고!$C$8:$C$1013)-7),3)),"")</f>
        <v/>
      </c>
      <c r="E14" s="46" t="str">
        <f t="array" ref="E14">IFERROR(INDEX(입고!$H$8:$H$1013,SMALL(IF(입고!$C$8:$C$1013=마스터!$M$13,ROW(입고!$C$8:$C$1013)-7),3)),"")</f>
        <v/>
      </c>
      <c r="F14" s="46" t="str">
        <f t="array" ref="F14">IFERROR(INDEX(입고!$I$8:$I$1013,SMALL(IF(입고!$C$8:$C$1013=마스터!$M$13,ROW(입고!$C$8:$C$1013)-7),3)),"")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IFERROR(INDEX(입고!$B$8:$B$1013,SMALL(IF(입고!$C$8:$C$1013=마스터!$M$13,ROW(입고!$C$8:$C$1013)-7),4)),"")</f>
        <v/>
      </c>
      <c r="C15" s="11" t="str">
        <f t="array" ref="C15">IFERROR(INDEX(입고!$E$8:$E$1013,SMALL(IF(입고!$C$8:$C$1013=마스터!$M$13,ROW(입고!$C$8:$C$1013)-7),4)),"")</f>
        <v/>
      </c>
      <c r="D15" s="13" t="str">
        <f t="array" ref="D15">IFERROR(INDEX(입고!$F$8:$F$1013,SMALL(IF(입고!$C$8:$C$1013=마스터!$M$13,ROW(입고!$C$8:$C$1013)-7),4)),"")</f>
        <v/>
      </c>
      <c r="E15" s="50" t="str">
        <f t="array" ref="E15">IFERROR(INDEX(입고!$H$8:$H$1013,SMALL(IF(입고!$C$8:$C$1013=마스터!$M$13,ROW(입고!$C$8:$C$1013)-7),4)),"")</f>
        <v/>
      </c>
      <c r="F15" s="50" t="str">
        <f t="array" ref="F15">IFERROR(INDEX(입고!$I$8:$I$1013,SMALL(IF(입고!$C$8:$C$1013=마스터!$M$13,ROW(입고!$C$8:$C$1013)-7),4)),"")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IFERROR(INDEX(입고!$B$8:$B$1013,SMALL(IF(입고!$C$8:$C$1013=마스터!$M$13,ROW(입고!$C$8:$C$1013)-7),5)),"")</f>
        <v/>
      </c>
      <c r="C16" s="6" t="str">
        <f t="array" ref="C16">IFERROR(INDEX(입고!$E$8:$E$1013,SMALL(IF(입고!$C$8:$C$1013=마스터!$M$13,ROW(입고!$C$8:$C$1013)-7),5)),"")</f>
        <v/>
      </c>
      <c r="D16" s="8" t="str">
        <f t="array" ref="D16">IFERROR(INDEX(입고!$F$8:$F$1013,SMALL(IF(입고!$C$8:$C$1013=마스터!$M$13,ROW(입고!$C$8:$C$1013)-7),5)),"")</f>
        <v/>
      </c>
      <c r="E16" s="46" t="str">
        <f t="array" ref="E16">IFERROR(INDEX(입고!$H$8:$H$1013,SMALL(IF(입고!$C$8:$C$1013=마스터!$M$13,ROW(입고!$C$8:$C$1013)-7),5)),"")</f>
        <v/>
      </c>
      <c r="F16" s="46" t="str">
        <f t="array" ref="F16">IFERROR(INDEX(입고!$I$8:$I$1013,SMALL(IF(입고!$C$8:$C$1013=마스터!$M$13,ROW(입고!$C$8:$C$1013)-7),5)),"")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IFERROR(INDEX(입고!$B$8:$B$1013,SMALL(IF(입고!$C$8:$C$1013=마스터!$M$13,ROW(입고!$C$8:$C$1013)-7),6)),"")</f>
        <v/>
      </c>
      <c r="C17" s="11" t="str">
        <f t="array" ref="C17">IFERROR(INDEX(입고!$E$8:$E$1013,SMALL(IF(입고!$C$8:$C$1013=마스터!$M$13,ROW(입고!$C$8:$C$1013)-7),6)),"")</f>
        <v/>
      </c>
      <c r="D17" s="13" t="str">
        <f t="array" ref="D17">IFERROR(INDEX(입고!$F$8:$F$1013,SMALL(IF(입고!$C$8:$C$1013=마스터!$M$13,ROW(입고!$C$8:$C$1013)-7),6)),"")</f>
        <v/>
      </c>
      <c r="E17" s="50" t="str">
        <f t="array" ref="E17">IFERROR(INDEX(입고!$H$8:$H$1013,SMALL(IF(입고!$C$8:$C$1013=마스터!$M$13,ROW(입고!$C$8:$C$1013)-7),6)),"")</f>
        <v/>
      </c>
      <c r="F17" s="50" t="str">
        <f t="array" ref="F17">IFERROR(INDEX(입고!$I$8:$I$1013,SMALL(IF(입고!$C$8:$C$1013=마스터!$M$13,ROW(입고!$C$8:$C$1013)-7),6)),"")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IFERROR(INDEX(입고!$B$8:$B$1013,SMALL(IF(입고!$C$8:$C$1013=마스터!$M$13,ROW(입고!$C$8:$C$1013)-7),7)),"")</f>
        <v/>
      </c>
      <c r="C18" s="6" t="str">
        <f t="array" ref="C18">IFERROR(INDEX(입고!$E$8:$E$1013,SMALL(IF(입고!$C$8:$C$1013=마스터!$M$13,ROW(입고!$C$8:$C$1013)-7),7)),"")</f>
        <v/>
      </c>
      <c r="D18" s="8" t="str">
        <f t="array" ref="D18">IFERROR(INDEX(입고!$F$8:$F$1013,SMALL(IF(입고!$C$8:$C$1013=마스터!$M$13,ROW(입고!$C$8:$C$1013)-7),7)),"")</f>
        <v/>
      </c>
      <c r="E18" s="46" t="str">
        <f t="array" ref="E18">IFERROR(INDEX(입고!$H$8:$H$1013,SMALL(IF(입고!$C$8:$C$1013=마스터!$M$13,ROW(입고!$C$8:$C$1013)-7),7)),"")</f>
        <v/>
      </c>
      <c r="F18" s="46" t="str">
        <f t="array" ref="F18">IFERROR(INDEX(입고!$I$8:$I$1013,SMALL(IF(입고!$C$8:$C$1013=마스터!$M$13,ROW(입고!$C$8:$C$1013)-7),7)),"")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IFERROR(INDEX(입고!$B$8:$B$1013,SMALL(IF(입고!$C$8:$C$1013=마스터!$M$13,ROW(입고!$C$8:$C$1013)-7),8)),"")</f>
        <v/>
      </c>
      <c r="C19" s="11" t="str">
        <f t="array" ref="C19">IFERROR(INDEX(입고!$E$8:$E$1013,SMALL(IF(입고!$C$8:$C$1013=마스터!$M$13,ROW(입고!$C$8:$C$1013)-7),8)),"")</f>
        <v/>
      </c>
      <c r="D19" s="13" t="str">
        <f t="array" ref="D19">IFERROR(INDEX(입고!$F$8:$F$1013,SMALL(IF(입고!$C$8:$C$1013=마스터!$M$13,ROW(입고!$C$8:$C$1013)-7),8)),"")</f>
        <v/>
      </c>
      <c r="E19" s="50" t="str">
        <f t="array" ref="E19">IFERROR(INDEX(입고!$H$8:$H$1013,SMALL(IF(입고!$C$8:$C$1013=마스터!$M$13,ROW(입고!$C$8:$C$1013)-7),8)),"")</f>
        <v/>
      </c>
      <c r="F19" s="50" t="str">
        <f t="array" ref="F19">IFERROR(INDEX(입고!$I$8:$I$1013,SMALL(IF(입고!$C$8:$C$1013=마스터!$M$13,ROW(입고!$C$8:$C$1013)-7),8)),"")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IFERROR(INDEX(입고!$B$8:$B$1013,SMALL(IF(입고!$C$8:$C$1013=마스터!$M$13,ROW(입고!$C$8:$C$1013)-7),9)),"")</f>
        <v/>
      </c>
      <c r="C20" s="6" t="str">
        <f t="array" ref="C20">IFERROR(INDEX(입고!$E$8:$E$1013,SMALL(IF(입고!$C$8:$C$1013=마스터!$M$13,ROW(입고!$C$8:$C$1013)-7),9)),"")</f>
        <v/>
      </c>
      <c r="D20" s="8" t="str">
        <f t="array" ref="D20">IFERROR(INDEX(입고!$F$8:$F$1013,SMALL(IF(입고!$C$8:$C$1013=마스터!$M$13,ROW(입고!$C$8:$C$1013)-7),9)),"")</f>
        <v/>
      </c>
      <c r="E20" s="46" t="str">
        <f t="array" ref="E20">IFERROR(INDEX(입고!$H$8:$H$1013,SMALL(IF(입고!$C$8:$C$1013=마스터!$M$13,ROW(입고!$C$8:$C$1013)-7),9)),"")</f>
        <v/>
      </c>
      <c r="F20" s="46" t="str">
        <f t="array" ref="F20">IFERROR(INDEX(입고!$I$8:$I$1013,SMALL(IF(입고!$C$8:$C$1013=마스터!$M$13,ROW(입고!$C$8:$C$1013)-7),9)),"")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IFERROR(INDEX(입고!$B$8:$B$1013,SMALL(IF(입고!$C$8:$C$1013=마스터!$M$13,ROW(입고!$C$8:$C$1013)-7),10)),"")</f>
        <v/>
      </c>
      <c r="C21" s="11" t="str">
        <f t="array" ref="C21">IFERROR(INDEX(입고!$E$8:$E$1013,SMALL(IF(입고!$C$8:$C$1013=마스터!$M$13,ROW(입고!$C$8:$C$1013)-7),10)),"")</f>
        <v/>
      </c>
      <c r="D21" s="13" t="str">
        <f t="array" ref="D21">IFERROR(INDEX(입고!$F$8:$F$1013,SMALL(IF(입고!$C$8:$C$1013=마스터!$M$13,ROW(입고!$C$8:$C$1013)-7),10)),"")</f>
        <v/>
      </c>
      <c r="E21" s="50" t="str">
        <f t="array" ref="E21">IFERROR(INDEX(입고!$H$8:$H$1013,SMALL(IF(입고!$C$8:$C$1013=마스터!$M$13,ROW(입고!$C$8:$C$1013)-7),10)),"")</f>
        <v/>
      </c>
      <c r="F21" s="50" t="str">
        <f t="array" ref="F21">IFERROR(INDEX(입고!$I$8:$I$1013,SMALL(IF(입고!$C$8:$C$1013=마스터!$M$13,ROW(입고!$C$8:$C$1013)-7),10)),"")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IFERROR(INDEX(입고!$B$8:$B$1013,SMALL(IF(입고!$C$8:$C$1013=마스터!$M$13,ROW(입고!$C$8:$C$1013)-7),11)),"")</f>
        <v/>
      </c>
      <c r="C22" s="6" t="str">
        <f t="array" ref="C22">IFERROR(INDEX(입고!$E$8:$E$1013,SMALL(IF(입고!$C$8:$C$1013=마스터!$M$13,ROW(입고!$C$8:$C$1013)-7),11)),"")</f>
        <v/>
      </c>
      <c r="D22" s="8" t="str">
        <f t="array" ref="D22">IFERROR(INDEX(입고!$F$8:$F$1013,SMALL(IF(입고!$C$8:$C$1013=마스터!$M$13,ROW(입고!$C$8:$C$1013)-7),11)),"")</f>
        <v/>
      </c>
      <c r="E22" s="46" t="str">
        <f t="array" ref="E22">IFERROR(INDEX(입고!$H$8:$H$1013,SMALL(IF(입고!$C$8:$C$1013=마스터!$M$13,ROW(입고!$C$8:$C$1013)-7),11)),"")</f>
        <v/>
      </c>
      <c r="F22" s="46" t="str">
        <f t="array" ref="F22">IFERROR(INDEX(입고!$I$8:$I$1013,SMALL(IF(입고!$C$8:$C$1013=마스터!$M$13,ROW(입고!$C$8:$C$1013)-7),11)),"")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IFERROR(INDEX(입고!$B$8:$B$1013,SMALL(IF(입고!$C$8:$C$1013=마스터!$M$13,ROW(입고!$C$8:$C$1013)-7),12)),"")</f>
        <v/>
      </c>
      <c r="C23" s="11" t="str">
        <f t="array" ref="C23">IFERROR(INDEX(입고!$E$8:$E$1013,SMALL(IF(입고!$C$8:$C$1013=마스터!$M$13,ROW(입고!$C$8:$C$1013)-7),12)),"")</f>
        <v/>
      </c>
      <c r="D23" s="13" t="str">
        <f t="array" ref="D23">IFERROR(INDEX(입고!$F$8:$F$1013,SMALL(IF(입고!$C$8:$C$1013=마스터!$M$13,ROW(입고!$C$8:$C$1013)-7),12)),"")</f>
        <v/>
      </c>
      <c r="E23" s="50" t="str">
        <f t="array" ref="E23">IFERROR(INDEX(입고!$H$8:$H$1013,SMALL(IF(입고!$C$8:$C$1013=마스터!$M$13,ROW(입고!$C$8:$C$1013)-7),12)),"")</f>
        <v/>
      </c>
      <c r="F23" s="50" t="str">
        <f t="array" ref="F23">IFERROR(INDEX(입고!$I$8:$I$1013,SMALL(IF(입고!$C$8:$C$1013=마스터!$M$13,ROW(입고!$C$8:$C$1013)-7),12)),"")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IFERROR(INDEX(입고!$B$8:$B$1013,SMALL(IF(입고!$C$8:$C$1013=마스터!$M$13,ROW(입고!$C$8:$C$1013)-7),13)),"")</f>
        <v/>
      </c>
      <c r="C24" s="6" t="str">
        <f t="array" ref="C24">IFERROR(INDEX(입고!$E$8:$E$1013,SMALL(IF(입고!$C$8:$C$1013=마스터!$M$13,ROW(입고!$C$8:$C$1013)-7),13)),"")</f>
        <v/>
      </c>
      <c r="D24" s="8" t="str">
        <f t="array" ref="D24">IFERROR(INDEX(입고!$F$8:$F$1013,SMALL(IF(입고!$C$8:$C$1013=마스터!$M$13,ROW(입고!$C$8:$C$1013)-7),13)),"")</f>
        <v/>
      </c>
      <c r="E24" s="46" t="str">
        <f t="array" ref="E24">IFERROR(INDEX(입고!$H$8:$H$1013,SMALL(IF(입고!$C$8:$C$1013=마스터!$M$13,ROW(입고!$C$8:$C$1013)-7),13)),"")</f>
        <v/>
      </c>
      <c r="F24" s="46" t="str">
        <f t="array" ref="F24">IFERROR(INDEX(입고!$I$8:$I$1013,SMALL(IF(입고!$C$8:$C$1013=마스터!$M$13,ROW(입고!$C$8:$C$1013)-7),13)),"")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IFERROR(INDEX(입고!$B$8:$B$1013,SMALL(IF(입고!$C$8:$C$1013=마스터!$M$13,ROW(입고!$C$8:$C$1013)-7),14)),"")</f>
        <v/>
      </c>
      <c r="C25" s="11" t="str">
        <f t="array" ref="C25">IFERROR(INDEX(입고!$E$8:$E$1013,SMALL(IF(입고!$C$8:$C$1013=마스터!$M$13,ROW(입고!$C$8:$C$1013)-7),14)),"")</f>
        <v/>
      </c>
      <c r="D25" s="13" t="str">
        <f t="array" ref="D25">IFERROR(INDEX(입고!$F$8:$F$1013,SMALL(IF(입고!$C$8:$C$1013=마스터!$M$13,ROW(입고!$C$8:$C$1013)-7),14)),"")</f>
        <v/>
      </c>
      <c r="E25" s="50" t="str">
        <f t="array" ref="E25">IFERROR(INDEX(입고!$H$8:$H$1013,SMALL(IF(입고!$C$8:$C$1013=마스터!$M$13,ROW(입고!$C$8:$C$1013)-7),14)),"")</f>
        <v/>
      </c>
      <c r="F25" s="50" t="str">
        <f t="array" ref="F25">IFERROR(INDEX(입고!$I$8:$I$1013,SMALL(IF(입고!$C$8:$C$1013=마스터!$M$13,ROW(입고!$C$8:$C$1013)-7),14)),"")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IFERROR(INDEX(입고!$B$8:$B$1013,SMALL(IF(입고!$C$8:$C$1013=마스터!$M$13,ROW(입고!$C$8:$C$1013)-7),15)),"")</f>
        <v/>
      </c>
      <c r="C26" s="6" t="str">
        <f t="array" ref="C26">IFERROR(INDEX(입고!$E$8:$E$1013,SMALL(IF(입고!$C$8:$C$1013=마스터!$M$13,ROW(입고!$C$8:$C$1013)-7),15)),"")</f>
        <v/>
      </c>
      <c r="D26" s="8" t="str">
        <f t="array" ref="D26">IFERROR(INDEX(입고!$F$8:$F$1013,SMALL(IF(입고!$C$8:$C$1013=마스터!$M$13,ROW(입고!$C$8:$C$1013)-7),15)),"")</f>
        <v/>
      </c>
      <c r="E26" s="46" t="str">
        <f t="array" ref="E26">IFERROR(INDEX(입고!$H$8:$H$1013,SMALL(IF(입고!$C$8:$C$1013=마스터!$M$13,ROW(입고!$C$8:$C$1013)-7),15)),"")</f>
        <v/>
      </c>
      <c r="F26" s="46" t="str">
        <f t="array" ref="F26">IFERROR(INDEX(입고!$I$8:$I$1013,SMALL(IF(입고!$C$8:$C$1013=마스터!$M$13,ROW(입고!$C$8:$C$1013)-7),15)),"")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IFERROR(INDEX(입고!$B$8:$B$1013,SMALL(IF(입고!$C$8:$C$1013=마스터!$M$13,ROW(입고!$C$8:$C$1013)-7),16)),"")</f>
        <v/>
      </c>
      <c r="C27" s="11" t="str">
        <f t="array" ref="C27">IFERROR(INDEX(입고!$E$8:$E$1013,SMALL(IF(입고!$C$8:$C$1013=마스터!$M$13,ROW(입고!$C$8:$C$1013)-7),16)),"")</f>
        <v/>
      </c>
      <c r="D27" s="13" t="str">
        <f t="array" ref="D27">IFERROR(INDEX(입고!$F$8:$F$1013,SMALL(IF(입고!$C$8:$C$1013=마스터!$M$13,ROW(입고!$C$8:$C$1013)-7),16)),"")</f>
        <v/>
      </c>
      <c r="E27" s="50" t="str">
        <f t="array" ref="E27">IFERROR(INDEX(입고!$H$8:$H$1013,SMALL(IF(입고!$C$8:$C$1013=마스터!$M$13,ROW(입고!$C$8:$C$1013)-7),16)),"")</f>
        <v/>
      </c>
      <c r="F27" s="50" t="str">
        <f t="array" ref="F27">IFERROR(INDEX(입고!$I$8:$I$1013,SMALL(IF(입고!$C$8:$C$1013=마스터!$M$13,ROW(입고!$C$8:$C$1013)-7),16)),"")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IFERROR(INDEX(입고!$B$8:$B$1013,SMALL(IF(입고!$C$8:$C$1013=마스터!$M$13,ROW(입고!$C$8:$C$1013)-7),17)),"")</f>
        <v/>
      </c>
      <c r="C28" s="6" t="str">
        <f t="array" ref="C28">IFERROR(INDEX(입고!$E$8:$E$1013,SMALL(IF(입고!$C$8:$C$1013=마스터!$M$13,ROW(입고!$C$8:$C$1013)-7),17)),"")</f>
        <v/>
      </c>
      <c r="D28" s="8" t="str">
        <f t="array" ref="D28">IFERROR(INDEX(입고!$F$8:$F$1013,SMALL(IF(입고!$C$8:$C$1013=마스터!$M$13,ROW(입고!$C$8:$C$1013)-7),17)),"")</f>
        <v/>
      </c>
      <c r="E28" s="46" t="str">
        <f t="array" ref="E28">IFERROR(INDEX(입고!$H$8:$H$1013,SMALL(IF(입고!$C$8:$C$1013=마스터!$M$13,ROW(입고!$C$8:$C$1013)-7),17)),"")</f>
        <v/>
      </c>
      <c r="F28" s="46" t="str">
        <f t="array" ref="F28">IFERROR(INDEX(입고!$I$8:$I$1013,SMALL(IF(입고!$C$8:$C$1013=마스터!$M$13,ROW(입고!$C$8:$C$1013)-7),17)),"")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IFERROR(INDEX(입고!$B$8:$B$1013,SMALL(IF(입고!$C$8:$C$1013=마스터!$M$13,ROW(입고!$C$8:$C$1013)-7),18)),"")</f>
        <v/>
      </c>
      <c r="C29" s="11" t="str">
        <f t="array" ref="C29">IFERROR(INDEX(입고!$E$8:$E$1013,SMALL(IF(입고!$C$8:$C$1013=마스터!$M$13,ROW(입고!$C$8:$C$1013)-7),18)),"")</f>
        <v/>
      </c>
      <c r="D29" s="13" t="str">
        <f t="array" ref="D29">IFERROR(INDEX(입고!$F$8:$F$1013,SMALL(IF(입고!$C$8:$C$1013=마스터!$M$13,ROW(입고!$C$8:$C$1013)-7),18)),"")</f>
        <v/>
      </c>
      <c r="E29" s="50" t="str">
        <f t="array" ref="E29">IFERROR(INDEX(입고!$H$8:$H$1013,SMALL(IF(입고!$C$8:$C$1013=마스터!$M$13,ROW(입고!$C$8:$C$1013)-7),18)),"")</f>
        <v/>
      </c>
      <c r="F29" s="50" t="str">
        <f t="array" ref="F29">IFERROR(INDEX(입고!$I$8:$I$1013,SMALL(IF(입고!$C$8:$C$1013=마스터!$M$13,ROW(입고!$C$8:$C$1013)-7),18)),"")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IFERROR(INDEX(입고!$B$8:$B$1013,SMALL(IF(입고!$C$8:$C$1013=마스터!$M$13,ROW(입고!$C$8:$C$1013)-7),19)),"")</f>
        <v/>
      </c>
      <c r="C30" s="6" t="str">
        <f t="array" ref="C30">IFERROR(INDEX(입고!$E$8:$E$1013,SMALL(IF(입고!$C$8:$C$1013=마스터!$M$13,ROW(입고!$C$8:$C$1013)-7),19)),"")</f>
        <v/>
      </c>
      <c r="D30" s="8" t="str">
        <f t="array" ref="D30">IFERROR(INDEX(입고!$F$8:$F$1013,SMALL(IF(입고!$C$8:$C$1013=마스터!$M$13,ROW(입고!$C$8:$C$1013)-7),19)),"")</f>
        <v/>
      </c>
      <c r="E30" s="46" t="str">
        <f t="array" ref="E30">IFERROR(INDEX(입고!$H$8:$H$1013,SMALL(IF(입고!$C$8:$C$1013=마스터!$M$13,ROW(입고!$C$8:$C$1013)-7),19)),"")</f>
        <v/>
      </c>
      <c r="F30" s="46" t="str">
        <f t="array" ref="F30">IFERROR(INDEX(입고!$I$8:$I$1013,SMALL(IF(입고!$C$8:$C$1013=마스터!$M$13,ROW(입고!$C$8:$C$1013)-7),19)),"")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IFERROR(INDEX(입고!$B$8:$B$1013,SMALL(IF(입고!$C$8:$C$1013=마스터!$M$13,ROW(입고!$C$8:$C$1013)-7),20)),"")</f>
        <v/>
      </c>
      <c r="C31" s="11" t="str">
        <f t="array" ref="C31">IFERROR(INDEX(입고!$E$8:$E$1013,SMALL(IF(입고!$C$8:$C$1013=마스터!$M$13,ROW(입고!$C$8:$C$1013)-7),20)),"")</f>
        <v/>
      </c>
      <c r="D31" s="13" t="str">
        <f t="array" ref="D31">IFERROR(INDEX(입고!$F$8:$F$1013,SMALL(IF(입고!$C$8:$C$1013=마스터!$M$13,ROW(입고!$C$8:$C$1013)-7),20)),"")</f>
        <v/>
      </c>
      <c r="E31" s="50" t="str">
        <f t="array" ref="E31">IFERROR(INDEX(입고!$H$8:$H$1013,SMALL(IF(입고!$C$8:$C$1013=마스터!$M$13,ROW(입고!$C$8:$C$1013)-7),20)),"")</f>
        <v/>
      </c>
      <c r="F31" s="50" t="str">
        <f t="array" ref="F31">IFERROR(INDEX(입고!$I$8:$I$1013,SMALL(IF(입고!$C$8:$C$1013=마스터!$M$13,ROW(입고!$C$8:$C$1013)-7),20)),"")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IFERROR(INDEX(입고!$B$8:$B$1013,SMALL(IF(입고!$C$8:$C$1013=마스터!$M$13,ROW(입고!$C$8:$C$1013)-7),21)),"")</f>
        <v/>
      </c>
      <c r="C32" s="6" t="str">
        <f t="array" ref="C32">IFERROR(INDEX(입고!$E$8:$E$1013,SMALL(IF(입고!$C$8:$C$1013=마스터!$M$13,ROW(입고!$C$8:$C$1013)-7),21)),"")</f>
        <v/>
      </c>
      <c r="D32" s="8" t="str">
        <f t="array" ref="D32">IFERROR(INDEX(입고!$F$8:$F$1013,SMALL(IF(입고!$C$8:$C$1013=마스터!$M$13,ROW(입고!$C$8:$C$1013)-7),21)),"")</f>
        <v/>
      </c>
      <c r="E32" s="46" t="str">
        <f t="array" ref="E32">IFERROR(INDEX(입고!$H$8:$H$1013,SMALL(IF(입고!$C$8:$C$1013=마스터!$M$13,ROW(입고!$C$8:$C$1013)-7),21)),"")</f>
        <v/>
      </c>
      <c r="F32" s="46" t="str">
        <f t="array" ref="F32">IFERROR(INDEX(입고!$I$8:$I$1013,SMALL(IF(입고!$C$8:$C$1013=마스터!$M$13,ROW(입고!$C$8:$C$1013)-7),21)),"")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IFERROR(INDEX(입고!$B$8:$B$1013,SMALL(IF(입고!$C$8:$C$1013=마스터!$M$13,ROW(입고!$C$8:$C$1013)-7),22)),"")</f>
        <v/>
      </c>
      <c r="C33" s="11" t="str">
        <f t="array" ref="C33">IFERROR(INDEX(입고!$E$8:$E$1013,SMALL(IF(입고!$C$8:$C$1013=마스터!$M$13,ROW(입고!$C$8:$C$1013)-7),22)),"")</f>
        <v/>
      </c>
      <c r="D33" s="13" t="str">
        <f t="array" ref="D33">IFERROR(INDEX(입고!$F$8:$F$1013,SMALL(IF(입고!$C$8:$C$1013=마스터!$M$13,ROW(입고!$C$8:$C$1013)-7),22)),"")</f>
        <v/>
      </c>
      <c r="E33" s="50" t="str">
        <f t="array" ref="E33">IFERROR(INDEX(입고!$H$8:$H$1013,SMALL(IF(입고!$C$8:$C$1013=마스터!$M$13,ROW(입고!$C$8:$C$1013)-7),22)),"")</f>
        <v/>
      </c>
      <c r="F33" s="50" t="str">
        <f t="array" ref="F33">IFERROR(INDEX(입고!$I$8:$I$1013,SMALL(IF(입고!$C$8:$C$1013=마스터!$M$13,ROW(입고!$C$8:$C$1013)-7),22)),"")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IFERROR(INDEX(입고!$B$8:$B$1013,SMALL(IF(입고!$C$8:$C$1013=마스터!$M$13,ROW(입고!$C$8:$C$1013)-7),23)),"")</f>
        <v/>
      </c>
      <c r="C34" s="6" t="str">
        <f t="array" ref="C34">IFERROR(INDEX(입고!$E$8:$E$1013,SMALL(IF(입고!$C$8:$C$1013=마스터!$M$13,ROW(입고!$C$8:$C$1013)-7),23)),"")</f>
        <v/>
      </c>
      <c r="D34" s="8" t="str">
        <f t="array" ref="D34">IFERROR(INDEX(입고!$F$8:$F$1013,SMALL(IF(입고!$C$8:$C$1013=마스터!$M$13,ROW(입고!$C$8:$C$1013)-7),23)),"")</f>
        <v/>
      </c>
      <c r="E34" s="46" t="str">
        <f t="array" ref="E34">IFERROR(INDEX(입고!$H$8:$H$1013,SMALL(IF(입고!$C$8:$C$1013=마스터!$M$13,ROW(입고!$C$8:$C$1013)-7),23)),"")</f>
        <v/>
      </c>
      <c r="F34" s="46" t="str">
        <f t="array" ref="F34">IFERROR(INDEX(입고!$I$8:$I$1013,SMALL(IF(입고!$C$8:$C$1013=마스터!$M$13,ROW(입고!$C$8:$C$1013)-7),23)),"")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IFERROR(INDEX(입고!$B$8:$B$1013,SMALL(IF(입고!$C$8:$C$1013=마스터!$M$13,ROW(입고!$C$8:$C$1013)-7),24)),"")</f>
        <v/>
      </c>
      <c r="C35" s="11" t="str">
        <f t="array" ref="C35">IFERROR(INDEX(입고!$E$8:$E$1013,SMALL(IF(입고!$C$8:$C$1013=마스터!$M$13,ROW(입고!$C$8:$C$1013)-7),24)),"")</f>
        <v/>
      </c>
      <c r="D35" s="13" t="str">
        <f t="array" ref="D35">IFERROR(INDEX(입고!$F$8:$F$1013,SMALL(IF(입고!$C$8:$C$1013=마스터!$M$13,ROW(입고!$C$8:$C$1013)-7),24)),"")</f>
        <v/>
      </c>
      <c r="E35" s="50" t="str">
        <f t="array" ref="E35">IFERROR(INDEX(입고!$H$8:$H$1013,SMALL(IF(입고!$C$8:$C$1013=마스터!$M$13,ROW(입고!$C$8:$C$1013)-7),24)),"")</f>
        <v/>
      </c>
      <c r="F35" s="50" t="str">
        <f t="array" ref="F35">IFERROR(INDEX(입고!$I$8:$I$1013,SMALL(IF(입고!$C$8:$C$1013=마스터!$M$13,ROW(입고!$C$8:$C$1013)-7),24)),"")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IFERROR(INDEX(입고!$B$8:$B$1013,SMALL(IF(입고!$C$8:$C$1013=마스터!$M$13,ROW(입고!$C$8:$C$1013)-7),25)),"")</f>
        <v/>
      </c>
      <c r="C36" s="6" t="str">
        <f t="array" ref="C36">IFERROR(INDEX(입고!$E$8:$E$1013,SMALL(IF(입고!$C$8:$C$1013=마스터!$M$13,ROW(입고!$C$8:$C$1013)-7),25)),"")</f>
        <v/>
      </c>
      <c r="D36" s="8" t="str">
        <f t="array" ref="D36">IFERROR(INDEX(입고!$F$8:$F$1013,SMALL(IF(입고!$C$8:$C$1013=마스터!$M$13,ROW(입고!$C$8:$C$1013)-7),25)),"")</f>
        <v/>
      </c>
      <c r="E36" s="46" t="str">
        <f t="array" ref="E36">IFERROR(INDEX(입고!$H$8:$H$1013,SMALL(IF(입고!$C$8:$C$1013=마스터!$M$13,ROW(입고!$C$8:$C$1013)-7),25)),"")</f>
        <v/>
      </c>
      <c r="F36" s="46" t="str">
        <f t="array" ref="F36">IFERROR(INDEX(입고!$I$8:$I$1013,SMALL(IF(입고!$C$8:$C$1013=마스터!$M$13,ROW(입고!$C$8:$C$1013)-7),25)),"")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IFERROR(INDEX(입고!$B$8:$B$1013,SMALL(IF(입고!$C$8:$C$1013=마스터!$M$13,ROW(입고!$C$8:$C$1013)-7),26)),"")</f>
        <v/>
      </c>
      <c r="C37" s="11" t="str">
        <f t="array" ref="C37">IFERROR(INDEX(입고!$E$8:$E$1013,SMALL(IF(입고!$C$8:$C$1013=마스터!$M$13,ROW(입고!$C$8:$C$1013)-7),26)),"")</f>
        <v/>
      </c>
      <c r="D37" s="13" t="str">
        <f t="array" ref="D37">IFERROR(INDEX(입고!$F$8:$F$1013,SMALL(IF(입고!$C$8:$C$1013=마스터!$M$13,ROW(입고!$C$8:$C$1013)-7),26)),"")</f>
        <v/>
      </c>
      <c r="E37" s="50" t="str">
        <f t="array" ref="E37">IFERROR(INDEX(입고!$H$8:$H$1013,SMALL(IF(입고!$C$8:$C$1013=마스터!$M$13,ROW(입고!$C$8:$C$1013)-7),26)),"")</f>
        <v/>
      </c>
      <c r="F37" s="50" t="str">
        <f t="array" ref="F37">IFERROR(INDEX(입고!$I$8:$I$1013,SMALL(IF(입고!$C$8:$C$1013=마스터!$M$13,ROW(입고!$C$8:$C$1013)-7),26)),"")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IFERROR(INDEX(입고!$B$8:$B$1013,SMALL(IF(입고!$C$8:$C$1013=마스터!$M$13,ROW(입고!$C$8:$C$1013)-7),27)),"")</f>
        <v/>
      </c>
      <c r="C38" s="6" t="str">
        <f t="array" ref="C38">IFERROR(INDEX(입고!$E$8:$E$1013,SMALL(IF(입고!$C$8:$C$1013=마스터!$M$13,ROW(입고!$C$8:$C$1013)-7),27)),"")</f>
        <v/>
      </c>
      <c r="D38" s="8" t="str">
        <f t="array" ref="D38">IFERROR(INDEX(입고!$F$8:$F$1013,SMALL(IF(입고!$C$8:$C$1013=마스터!$M$13,ROW(입고!$C$8:$C$1013)-7),27)),"")</f>
        <v/>
      </c>
      <c r="E38" s="46" t="str">
        <f t="array" ref="E38">IFERROR(INDEX(입고!$H$8:$H$1013,SMALL(IF(입고!$C$8:$C$1013=마스터!$M$13,ROW(입고!$C$8:$C$1013)-7),27)),"")</f>
        <v/>
      </c>
      <c r="F38" s="46" t="str">
        <f t="array" ref="F38">IFERROR(INDEX(입고!$I$8:$I$1013,SMALL(IF(입고!$C$8:$C$1013=마스터!$M$13,ROW(입고!$C$8:$C$1013)-7),27)),"")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IFERROR(INDEX(입고!$B$8:$B$1013,SMALL(IF(입고!$C$8:$C$1013=마스터!$M$13,ROW(입고!$C$8:$C$1013)-7),28)),"")</f>
        <v/>
      </c>
      <c r="C39" s="11" t="str">
        <f t="array" ref="C39">IFERROR(INDEX(입고!$E$8:$E$1013,SMALL(IF(입고!$C$8:$C$1013=마스터!$M$13,ROW(입고!$C$8:$C$1013)-7),28)),"")</f>
        <v/>
      </c>
      <c r="D39" s="13" t="str">
        <f t="array" ref="D39">IFERROR(INDEX(입고!$F$8:$F$1013,SMALL(IF(입고!$C$8:$C$1013=마스터!$M$13,ROW(입고!$C$8:$C$1013)-7),28)),"")</f>
        <v/>
      </c>
      <c r="E39" s="50" t="str">
        <f t="array" ref="E39">IFERROR(INDEX(입고!$H$8:$H$1013,SMALL(IF(입고!$C$8:$C$1013=마스터!$M$13,ROW(입고!$C$8:$C$1013)-7),28)),"")</f>
        <v/>
      </c>
      <c r="F39" s="50" t="str">
        <f t="array" ref="F39">IFERROR(INDEX(입고!$I$8:$I$1013,SMALL(IF(입고!$C$8:$C$1013=마스터!$M$13,ROW(입고!$C$8:$C$1013)-7),28)),"")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IFERROR(INDEX(입고!$B$8:$B$1013,SMALL(IF(입고!$C$8:$C$1013=마스터!$M$13,ROW(입고!$C$8:$C$1013)-7),29)),"")</f>
        <v/>
      </c>
      <c r="C40" s="6" t="str">
        <f t="array" ref="C40">IFERROR(INDEX(입고!$E$8:$E$1013,SMALL(IF(입고!$C$8:$C$1013=마스터!$M$13,ROW(입고!$C$8:$C$1013)-7),29)),"")</f>
        <v/>
      </c>
      <c r="D40" s="8" t="str">
        <f t="array" ref="D40">IFERROR(INDEX(입고!$F$8:$F$1013,SMALL(IF(입고!$C$8:$C$1013=마스터!$M$13,ROW(입고!$C$8:$C$1013)-7),29)),"")</f>
        <v/>
      </c>
      <c r="E40" s="46" t="str">
        <f t="array" ref="E40">IFERROR(INDEX(입고!$H$8:$H$1013,SMALL(IF(입고!$C$8:$C$1013=마스터!$M$13,ROW(입고!$C$8:$C$1013)-7),29)),"")</f>
        <v/>
      </c>
      <c r="F40" s="46" t="str">
        <f t="array" ref="F40">IFERROR(INDEX(입고!$I$8:$I$1013,SMALL(IF(입고!$C$8:$C$1013=마스터!$M$13,ROW(입고!$C$8:$C$1013)-7),29)),"")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IFERROR(INDEX(입고!$B$8:$B$1013,SMALL(IF(입고!$C$8:$C$1013=마스터!$M$13,ROW(입고!$C$8:$C$1013)-7),30)),"")</f>
        <v/>
      </c>
      <c r="C41" s="11" t="str">
        <f t="array" ref="C41">IFERROR(INDEX(입고!$E$8:$E$1013,SMALL(IF(입고!$C$8:$C$1013=마스터!$M$13,ROW(입고!$C$8:$C$1013)-7),30)),"")</f>
        <v/>
      </c>
      <c r="D41" s="13" t="str">
        <f t="array" ref="D41">IFERROR(INDEX(입고!$F$8:$F$1013,SMALL(IF(입고!$C$8:$C$1013=마스터!$M$13,ROW(입고!$C$8:$C$1013)-7),30)),"")</f>
        <v/>
      </c>
      <c r="E41" s="50" t="str">
        <f t="array" ref="E41">IFERROR(INDEX(입고!$H$8:$H$1013,SMALL(IF(입고!$C$8:$C$1013=마스터!$M$13,ROW(입고!$C$8:$C$1013)-7),30)),"")</f>
        <v/>
      </c>
      <c r="F41" s="50" t="str">
        <f t="array" ref="F41">IFERROR(INDEX(입고!$I$8:$I$1013,SMALL(IF(입고!$C$8:$C$1013=마스터!$M$13,ROW(입고!$C$8:$C$1013)-7),30)),"")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IFERROR(INDEX(출고!$B$8:$B$1013,SMALL(IF(출고!$C$8:$C$1013=마스터!$M$13,ROW(출고!$C$8:$C$1013)-7),1)),"")</f>
        <v/>
      </c>
      <c r="C45" s="6" t="str">
        <f t="array" ref="C45">IFERROR(INDEX(출고!$E$8:$E$1013,SMALL(IF(출고!$C$8:$C$1013=마스터!$M$13,ROW(출고!$C$8:$C$1013)-7),1)),"")</f>
        <v/>
      </c>
      <c r="D45" s="8" t="str">
        <f t="array" ref="D45">IFERROR(INDEX(출고!$F$8:$F$1013,SMALL(IF(출고!$C$8:$C$1013=마스터!$M$13,ROW(출고!$C$8:$C$1013)-7),1)),"")</f>
        <v/>
      </c>
      <c r="E45" s="46" t="str">
        <f t="array" ref="E45">IFERROR(INDEX(출고!$H$8:$H$1013,SMALL(IF(출고!$C$8:$C$1013=마스터!$M$13,ROW(출고!$C$8:$C$1013)-7),1)),"")</f>
        <v/>
      </c>
      <c r="F45" s="46" t="str">
        <f t="array" ref="F45">IFERROR(INDEX(출고!$I$8:$I$1013,SMALL(IF(출고!$C$8:$C$1013=마스터!$M$13,ROW(출고!$C$8:$C$1013)-7),1)),"")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IFERROR(INDEX(출고!$B$8:$B$1013,SMALL(IF(출고!$C$8:$C$1013=마스터!$M$13,ROW(출고!$C$8:$C$1013)-7),2)),"")</f>
        <v/>
      </c>
      <c r="C46" s="11" t="str">
        <f t="array" ref="C46">IFERROR(INDEX(출고!$E$8:$E$1013,SMALL(IF(출고!$C$8:$C$1013=마스터!$M$13,ROW(출고!$C$8:$C$1013)-7),2)),"")</f>
        <v/>
      </c>
      <c r="D46" s="13" t="str">
        <f t="array" ref="D46">IFERROR(INDEX(출고!$F$8:$F$1013,SMALL(IF(출고!$C$8:$C$1013=마스터!$M$13,ROW(출고!$C$8:$C$1013)-7),2)),"")</f>
        <v/>
      </c>
      <c r="E46" s="50" t="str">
        <f t="array" ref="E46">IFERROR(INDEX(출고!$H$8:$H$1013,SMALL(IF(출고!$C$8:$C$1013=마스터!$M$13,ROW(출고!$C$8:$C$1013)-7),2)),"")</f>
        <v/>
      </c>
      <c r="F46" s="50" t="str">
        <f t="array" ref="F46">IFERROR(INDEX(출고!$I$8:$I$1013,SMALL(IF(출고!$C$8:$C$1013=마스터!$M$13,ROW(출고!$C$8:$C$1013)-7),2)),"")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IFERROR(INDEX(출고!$B$8:$B$1013,SMALL(IF(출고!$C$8:$C$1013=마스터!$M$13,ROW(출고!$C$8:$C$1013)-7),3)),"")</f>
        <v/>
      </c>
      <c r="C47" s="6" t="str">
        <f t="array" ref="C47">IFERROR(INDEX(출고!$E$8:$E$1013,SMALL(IF(출고!$C$8:$C$1013=마스터!$M$13,ROW(출고!$C$8:$C$1013)-7),3)),"")</f>
        <v/>
      </c>
      <c r="D47" s="8" t="str">
        <f t="array" ref="D47">IFERROR(INDEX(출고!$F$8:$F$1013,SMALL(IF(출고!$C$8:$C$1013=마스터!$M$13,ROW(출고!$C$8:$C$1013)-7),3)),"")</f>
        <v/>
      </c>
      <c r="E47" s="46" t="str">
        <f t="array" ref="E47">IFERROR(INDEX(출고!$H$8:$H$1013,SMALL(IF(출고!$C$8:$C$1013=마스터!$M$13,ROW(출고!$C$8:$C$1013)-7),3)),"")</f>
        <v/>
      </c>
      <c r="F47" s="46" t="str">
        <f t="array" ref="F47">IFERROR(INDEX(출고!$I$8:$I$1013,SMALL(IF(출고!$C$8:$C$1013=마스터!$M$13,ROW(출고!$C$8:$C$1013)-7),3)),"")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IFERROR(INDEX(출고!$B$8:$B$1013,SMALL(IF(출고!$C$8:$C$1013=마스터!$M$13,ROW(출고!$C$8:$C$1013)-7),4)),"")</f>
        <v/>
      </c>
      <c r="C48" s="11" t="str">
        <f t="array" ref="C48">IFERROR(INDEX(출고!$E$8:$E$1013,SMALL(IF(출고!$C$8:$C$1013=마스터!$M$13,ROW(출고!$C$8:$C$1013)-7),4)),"")</f>
        <v/>
      </c>
      <c r="D48" s="13" t="str">
        <f t="array" ref="D48">IFERROR(INDEX(출고!$F$8:$F$1013,SMALL(IF(출고!$C$8:$C$1013=마스터!$M$13,ROW(출고!$C$8:$C$1013)-7),4)),"")</f>
        <v/>
      </c>
      <c r="E48" s="50" t="str">
        <f t="array" ref="E48">IFERROR(INDEX(출고!$H$8:$H$1013,SMALL(IF(출고!$C$8:$C$1013=마스터!$M$13,ROW(출고!$C$8:$C$1013)-7),4)),"")</f>
        <v/>
      </c>
      <c r="F48" s="50" t="str">
        <f t="array" ref="F48">IFERROR(INDEX(출고!$I$8:$I$1013,SMALL(IF(출고!$C$8:$C$1013=마스터!$M$13,ROW(출고!$C$8:$C$1013)-7),4)),"")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IFERROR(INDEX(출고!$B$8:$B$1013,SMALL(IF(출고!$C$8:$C$1013=마스터!$M$13,ROW(출고!$C$8:$C$1013)-7),5)),"")</f>
        <v/>
      </c>
      <c r="C49" s="6" t="str">
        <f t="array" ref="C49">IFERROR(INDEX(출고!$E$8:$E$1013,SMALL(IF(출고!$C$8:$C$1013=마스터!$M$13,ROW(출고!$C$8:$C$1013)-7),5)),"")</f>
        <v/>
      </c>
      <c r="D49" s="8" t="str">
        <f t="array" ref="D49">IFERROR(INDEX(출고!$F$8:$F$1013,SMALL(IF(출고!$C$8:$C$1013=마스터!$M$13,ROW(출고!$C$8:$C$1013)-7),5)),"")</f>
        <v/>
      </c>
      <c r="E49" s="46" t="str">
        <f t="array" ref="E49">IFERROR(INDEX(출고!$H$8:$H$1013,SMALL(IF(출고!$C$8:$C$1013=마스터!$M$13,ROW(출고!$C$8:$C$1013)-7),5)),"")</f>
        <v/>
      </c>
      <c r="F49" s="46" t="str">
        <f t="array" ref="F49">IFERROR(INDEX(출고!$I$8:$I$1013,SMALL(IF(출고!$C$8:$C$1013=마스터!$M$13,ROW(출고!$C$8:$C$1013)-7),5)),"")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IFERROR(INDEX(출고!$B$8:$B$1013,SMALL(IF(출고!$C$8:$C$1013=마스터!$M$13,ROW(출고!$C$8:$C$1013)-7),6)),"")</f>
        <v/>
      </c>
      <c r="C50" s="11" t="str">
        <f t="array" ref="C50">IFERROR(INDEX(출고!$E$8:$E$1013,SMALL(IF(출고!$C$8:$C$1013=마스터!$M$13,ROW(출고!$C$8:$C$1013)-7),6)),"")</f>
        <v/>
      </c>
      <c r="D50" s="13" t="str">
        <f t="array" ref="D50">IFERROR(INDEX(출고!$F$8:$F$1013,SMALL(IF(출고!$C$8:$C$1013=마스터!$M$13,ROW(출고!$C$8:$C$1013)-7),6)),"")</f>
        <v/>
      </c>
      <c r="E50" s="50" t="str">
        <f t="array" ref="E50">IFERROR(INDEX(출고!$H$8:$H$1013,SMALL(IF(출고!$C$8:$C$1013=마스터!$M$13,ROW(출고!$C$8:$C$1013)-7),6)),"")</f>
        <v/>
      </c>
      <c r="F50" s="50" t="str">
        <f t="array" ref="F50">IFERROR(INDEX(출고!$I$8:$I$1013,SMALL(IF(출고!$C$8:$C$1013=마스터!$M$13,ROW(출고!$C$8:$C$1013)-7),6)),"")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IFERROR(INDEX(출고!$B$8:$B$1013,SMALL(IF(출고!$C$8:$C$1013=마스터!$M$13,ROW(출고!$C$8:$C$1013)-7),7)),"")</f>
        <v/>
      </c>
      <c r="C51" s="6" t="str">
        <f t="array" ref="C51">IFERROR(INDEX(출고!$E$8:$E$1013,SMALL(IF(출고!$C$8:$C$1013=마스터!$M$13,ROW(출고!$C$8:$C$1013)-7),7)),"")</f>
        <v/>
      </c>
      <c r="D51" s="8" t="str">
        <f t="array" ref="D51">IFERROR(INDEX(출고!$F$8:$F$1013,SMALL(IF(출고!$C$8:$C$1013=마스터!$M$13,ROW(출고!$C$8:$C$1013)-7),7)),"")</f>
        <v/>
      </c>
      <c r="E51" s="46" t="str">
        <f t="array" ref="E51">IFERROR(INDEX(출고!$H$8:$H$1013,SMALL(IF(출고!$C$8:$C$1013=마스터!$M$13,ROW(출고!$C$8:$C$1013)-7),7)),"")</f>
        <v/>
      </c>
      <c r="F51" s="46" t="str">
        <f t="array" ref="F51">IFERROR(INDEX(출고!$I$8:$I$1013,SMALL(IF(출고!$C$8:$C$1013=마스터!$M$13,ROW(출고!$C$8:$C$1013)-7),7)),"")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IFERROR(INDEX(출고!$B$8:$B$1013,SMALL(IF(출고!$C$8:$C$1013=마스터!$M$13,ROW(출고!$C$8:$C$1013)-7),8)),"")</f>
        <v/>
      </c>
      <c r="C52" s="11" t="str">
        <f t="array" ref="C52">IFERROR(INDEX(출고!$E$8:$E$1013,SMALL(IF(출고!$C$8:$C$1013=마스터!$M$13,ROW(출고!$C$8:$C$1013)-7),8)),"")</f>
        <v/>
      </c>
      <c r="D52" s="13" t="str">
        <f t="array" ref="D52">IFERROR(INDEX(출고!$F$8:$F$1013,SMALL(IF(출고!$C$8:$C$1013=마스터!$M$13,ROW(출고!$C$8:$C$1013)-7),8)),"")</f>
        <v/>
      </c>
      <c r="E52" s="50" t="str">
        <f t="array" ref="E52">IFERROR(INDEX(출고!$H$8:$H$1013,SMALL(IF(출고!$C$8:$C$1013=마스터!$M$13,ROW(출고!$C$8:$C$1013)-7),8)),"")</f>
        <v/>
      </c>
      <c r="F52" s="50" t="str">
        <f t="array" ref="F52">IFERROR(INDEX(출고!$I$8:$I$1013,SMALL(IF(출고!$C$8:$C$1013=마스터!$M$13,ROW(출고!$C$8:$C$1013)-7),8)),"")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IFERROR(INDEX(출고!$B$8:$B$1013,SMALL(IF(출고!$C$8:$C$1013=마스터!$M$13,ROW(출고!$C$8:$C$1013)-7),9)),"")</f>
        <v/>
      </c>
      <c r="C53" s="6" t="str">
        <f t="array" ref="C53">IFERROR(INDEX(출고!$E$8:$E$1013,SMALL(IF(출고!$C$8:$C$1013=마스터!$M$13,ROW(출고!$C$8:$C$1013)-7),9)),"")</f>
        <v/>
      </c>
      <c r="D53" s="8" t="str">
        <f t="array" ref="D53">IFERROR(INDEX(출고!$F$8:$F$1013,SMALL(IF(출고!$C$8:$C$1013=마스터!$M$13,ROW(출고!$C$8:$C$1013)-7),9)),"")</f>
        <v/>
      </c>
      <c r="E53" s="46" t="str">
        <f t="array" ref="E53">IFERROR(INDEX(출고!$H$8:$H$1013,SMALL(IF(출고!$C$8:$C$1013=마스터!$M$13,ROW(출고!$C$8:$C$1013)-7),9)),"")</f>
        <v/>
      </c>
      <c r="F53" s="46" t="str">
        <f t="array" ref="F53">IFERROR(INDEX(출고!$I$8:$I$1013,SMALL(IF(출고!$C$8:$C$1013=마스터!$M$13,ROW(출고!$C$8:$C$1013)-7),9)),"")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IFERROR(INDEX(출고!$B$8:$B$1013,SMALL(IF(출고!$C$8:$C$1013=마스터!$M$13,ROW(출고!$C$8:$C$1013)-7),10)),"")</f>
        <v/>
      </c>
      <c r="C54" s="11" t="str">
        <f t="array" ref="C54">IFERROR(INDEX(출고!$E$8:$E$1013,SMALL(IF(출고!$C$8:$C$1013=마스터!$M$13,ROW(출고!$C$8:$C$1013)-7),10)),"")</f>
        <v/>
      </c>
      <c r="D54" s="13" t="str">
        <f t="array" ref="D54">IFERROR(INDEX(출고!$F$8:$F$1013,SMALL(IF(출고!$C$8:$C$1013=마스터!$M$13,ROW(출고!$C$8:$C$1013)-7),10)),"")</f>
        <v/>
      </c>
      <c r="E54" s="50" t="str">
        <f t="array" ref="E54">IFERROR(INDEX(출고!$H$8:$H$1013,SMALL(IF(출고!$C$8:$C$1013=마스터!$M$13,ROW(출고!$C$8:$C$1013)-7),10)),"")</f>
        <v/>
      </c>
      <c r="F54" s="50" t="str">
        <f t="array" ref="F54">IFERROR(INDEX(출고!$I$8:$I$1013,SMALL(IF(출고!$C$8:$C$1013=마스터!$M$13,ROW(출고!$C$8:$C$1013)-7),10)),"")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IFERROR(INDEX(출고!$B$8:$B$1013,SMALL(IF(출고!$C$8:$C$1013=마스터!$M$13,ROW(출고!$C$8:$C$1013)-7),11)),"")</f>
        <v/>
      </c>
      <c r="C55" s="6" t="str">
        <f t="array" ref="C55">IFERROR(INDEX(출고!$E$8:$E$1013,SMALL(IF(출고!$C$8:$C$1013=마스터!$M$13,ROW(출고!$C$8:$C$1013)-7),11)),"")</f>
        <v/>
      </c>
      <c r="D55" s="8" t="str">
        <f t="array" ref="D55">IFERROR(INDEX(출고!$F$8:$F$1013,SMALL(IF(출고!$C$8:$C$1013=마스터!$M$13,ROW(출고!$C$8:$C$1013)-7),11)),"")</f>
        <v/>
      </c>
      <c r="E55" s="46" t="str">
        <f t="array" ref="E55">IFERROR(INDEX(출고!$H$8:$H$1013,SMALL(IF(출고!$C$8:$C$1013=마스터!$M$13,ROW(출고!$C$8:$C$1013)-7),11)),"")</f>
        <v/>
      </c>
      <c r="F55" s="46" t="str">
        <f t="array" ref="F55">IFERROR(INDEX(출고!$I$8:$I$1013,SMALL(IF(출고!$C$8:$C$1013=마스터!$M$13,ROW(출고!$C$8:$C$1013)-7),11)),"")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IFERROR(INDEX(출고!$B$8:$B$1013,SMALL(IF(출고!$C$8:$C$1013=마스터!$M$13,ROW(출고!$C$8:$C$1013)-7),12)),"")</f>
        <v/>
      </c>
      <c r="C56" s="11" t="str">
        <f t="array" ref="C56">IFERROR(INDEX(출고!$E$8:$E$1013,SMALL(IF(출고!$C$8:$C$1013=마스터!$M$13,ROW(출고!$C$8:$C$1013)-7),12)),"")</f>
        <v/>
      </c>
      <c r="D56" s="13" t="str">
        <f t="array" ref="D56">IFERROR(INDEX(출고!$F$8:$F$1013,SMALL(IF(출고!$C$8:$C$1013=마스터!$M$13,ROW(출고!$C$8:$C$1013)-7),12)),"")</f>
        <v/>
      </c>
      <c r="E56" s="50" t="str">
        <f t="array" ref="E56">IFERROR(INDEX(출고!$H$8:$H$1013,SMALL(IF(출고!$C$8:$C$1013=마스터!$M$13,ROW(출고!$C$8:$C$1013)-7),12)),"")</f>
        <v/>
      </c>
      <c r="F56" s="50" t="str">
        <f t="array" ref="F56">IFERROR(INDEX(출고!$I$8:$I$1013,SMALL(IF(출고!$C$8:$C$1013=마스터!$M$13,ROW(출고!$C$8:$C$1013)-7),12)),"")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IFERROR(INDEX(출고!$B$8:$B$1013,SMALL(IF(출고!$C$8:$C$1013=마스터!$M$13,ROW(출고!$C$8:$C$1013)-7),13)),"")</f>
        <v/>
      </c>
      <c r="C57" s="6" t="str">
        <f t="array" ref="C57">IFERROR(INDEX(출고!$E$8:$E$1013,SMALL(IF(출고!$C$8:$C$1013=마스터!$M$13,ROW(출고!$C$8:$C$1013)-7),13)),"")</f>
        <v/>
      </c>
      <c r="D57" s="8" t="str">
        <f t="array" ref="D57">IFERROR(INDEX(출고!$F$8:$F$1013,SMALL(IF(출고!$C$8:$C$1013=마스터!$M$13,ROW(출고!$C$8:$C$1013)-7),13)),"")</f>
        <v/>
      </c>
      <c r="E57" s="46" t="str">
        <f t="array" ref="E57">IFERROR(INDEX(출고!$H$8:$H$1013,SMALL(IF(출고!$C$8:$C$1013=마스터!$M$13,ROW(출고!$C$8:$C$1013)-7),13)),"")</f>
        <v/>
      </c>
      <c r="F57" s="46" t="str">
        <f t="array" ref="F57">IFERROR(INDEX(출고!$I$8:$I$1013,SMALL(IF(출고!$C$8:$C$1013=마스터!$M$13,ROW(출고!$C$8:$C$1013)-7),13)),"")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IFERROR(INDEX(출고!$B$8:$B$1013,SMALL(IF(출고!$C$8:$C$1013=마스터!$M$13,ROW(출고!$C$8:$C$1013)-7),14)),"")</f>
        <v/>
      </c>
      <c r="C58" s="11" t="str">
        <f t="array" ref="C58">IFERROR(INDEX(출고!$E$8:$E$1013,SMALL(IF(출고!$C$8:$C$1013=마스터!$M$13,ROW(출고!$C$8:$C$1013)-7),14)),"")</f>
        <v/>
      </c>
      <c r="D58" s="13" t="str">
        <f t="array" ref="D58">IFERROR(INDEX(출고!$F$8:$F$1013,SMALL(IF(출고!$C$8:$C$1013=마스터!$M$13,ROW(출고!$C$8:$C$1013)-7),14)),"")</f>
        <v/>
      </c>
      <c r="E58" s="50" t="str">
        <f t="array" ref="E58">IFERROR(INDEX(출고!$H$8:$H$1013,SMALL(IF(출고!$C$8:$C$1013=마스터!$M$13,ROW(출고!$C$8:$C$1013)-7),14)),"")</f>
        <v/>
      </c>
      <c r="F58" s="50" t="str">
        <f t="array" ref="F58">IFERROR(INDEX(출고!$I$8:$I$1013,SMALL(IF(출고!$C$8:$C$1013=마스터!$M$13,ROW(출고!$C$8:$C$1013)-7),14)),"")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IFERROR(INDEX(출고!$B$8:$B$1013,SMALL(IF(출고!$C$8:$C$1013=마스터!$M$13,ROW(출고!$C$8:$C$1013)-7),15)),"")</f>
        <v/>
      </c>
      <c r="C59" s="6" t="str">
        <f t="array" ref="C59">IFERROR(INDEX(출고!$E$8:$E$1013,SMALL(IF(출고!$C$8:$C$1013=마스터!$M$13,ROW(출고!$C$8:$C$1013)-7),15)),"")</f>
        <v/>
      </c>
      <c r="D59" s="8" t="str">
        <f t="array" ref="D59">IFERROR(INDEX(출고!$F$8:$F$1013,SMALL(IF(출고!$C$8:$C$1013=마스터!$M$13,ROW(출고!$C$8:$C$1013)-7),15)),"")</f>
        <v/>
      </c>
      <c r="E59" s="46" t="str">
        <f t="array" ref="E59">IFERROR(INDEX(출고!$H$8:$H$1013,SMALL(IF(출고!$C$8:$C$1013=마스터!$M$13,ROW(출고!$C$8:$C$1013)-7),15)),"")</f>
        <v/>
      </c>
      <c r="F59" s="46" t="str">
        <f t="array" ref="F59">IFERROR(INDEX(출고!$I$8:$I$1013,SMALL(IF(출고!$C$8:$C$1013=마스터!$M$13,ROW(출고!$C$8:$C$1013)-7),15)),"")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IFERROR(INDEX(출고!$B$8:$B$1013,SMALL(IF(출고!$C$8:$C$1013=마스터!$M$13,ROW(출고!$C$8:$C$1013)-7),16)),"")</f>
        <v/>
      </c>
      <c r="C60" s="11" t="str">
        <f t="array" ref="C60">IFERROR(INDEX(출고!$E$8:$E$1013,SMALL(IF(출고!$C$8:$C$1013=마스터!$M$13,ROW(출고!$C$8:$C$1013)-7),16)),"")</f>
        <v/>
      </c>
      <c r="D60" s="13" t="str">
        <f t="array" ref="D60">IFERROR(INDEX(출고!$F$8:$F$1013,SMALL(IF(출고!$C$8:$C$1013=마스터!$M$13,ROW(출고!$C$8:$C$1013)-7),16)),"")</f>
        <v/>
      </c>
      <c r="E60" s="50" t="str">
        <f t="array" ref="E60">IFERROR(INDEX(출고!$H$8:$H$1013,SMALL(IF(출고!$C$8:$C$1013=마스터!$M$13,ROW(출고!$C$8:$C$1013)-7),16)),"")</f>
        <v/>
      </c>
      <c r="F60" s="50" t="str">
        <f t="array" ref="F60">IFERROR(INDEX(출고!$I$8:$I$1013,SMALL(IF(출고!$C$8:$C$1013=마스터!$M$13,ROW(출고!$C$8:$C$1013)-7),16)),"")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IFERROR(INDEX(출고!$B$8:$B$1013,SMALL(IF(출고!$C$8:$C$1013=마스터!$M$13,ROW(출고!$C$8:$C$1013)-7),17)),"")</f>
        <v/>
      </c>
      <c r="C61" s="6" t="str">
        <f t="array" ref="C61">IFERROR(INDEX(출고!$E$8:$E$1013,SMALL(IF(출고!$C$8:$C$1013=마스터!$M$13,ROW(출고!$C$8:$C$1013)-7),17)),"")</f>
        <v/>
      </c>
      <c r="D61" s="8" t="str">
        <f t="array" ref="D61">IFERROR(INDEX(출고!$F$8:$F$1013,SMALL(IF(출고!$C$8:$C$1013=마스터!$M$13,ROW(출고!$C$8:$C$1013)-7),17)),"")</f>
        <v/>
      </c>
      <c r="E61" s="46" t="str">
        <f t="array" ref="E61">IFERROR(INDEX(출고!$H$8:$H$1013,SMALL(IF(출고!$C$8:$C$1013=마스터!$M$13,ROW(출고!$C$8:$C$1013)-7),17)),"")</f>
        <v/>
      </c>
      <c r="F61" s="46" t="str">
        <f t="array" ref="F61">IFERROR(INDEX(출고!$I$8:$I$1013,SMALL(IF(출고!$C$8:$C$1013=마스터!$M$13,ROW(출고!$C$8:$C$1013)-7),17)),"")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IFERROR(INDEX(출고!$B$8:$B$1013,SMALL(IF(출고!$C$8:$C$1013=마스터!$M$13,ROW(출고!$C$8:$C$1013)-7),18)),"")</f>
        <v/>
      </c>
      <c r="C62" s="11" t="str">
        <f t="array" ref="C62">IFERROR(INDEX(출고!$E$8:$E$1013,SMALL(IF(출고!$C$8:$C$1013=마스터!$M$13,ROW(출고!$C$8:$C$1013)-7),18)),"")</f>
        <v/>
      </c>
      <c r="D62" s="13" t="str">
        <f t="array" ref="D62">IFERROR(INDEX(출고!$F$8:$F$1013,SMALL(IF(출고!$C$8:$C$1013=마스터!$M$13,ROW(출고!$C$8:$C$1013)-7),18)),"")</f>
        <v/>
      </c>
      <c r="E62" s="50" t="str">
        <f t="array" ref="E62">IFERROR(INDEX(출고!$H$8:$H$1013,SMALL(IF(출고!$C$8:$C$1013=마스터!$M$13,ROW(출고!$C$8:$C$1013)-7),18)),"")</f>
        <v/>
      </c>
      <c r="F62" s="50" t="str">
        <f t="array" ref="F62">IFERROR(INDEX(출고!$I$8:$I$1013,SMALL(IF(출고!$C$8:$C$1013=마스터!$M$13,ROW(출고!$C$8:$C$1013)-7),18)),"")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IFERROR(INDEX(출고!$B$8:$B$1013,SMALL(IF(출고!$C$8:$C$1013=마스터!$M$13,ROW(출고!$C$8:$C$1013)-7),19)),"")</f>
        <v/>
      </c>
      <c r="C63" s="6" t="str">
        <f t="array" ref="C63">IFERROR(INDEX(출고!$E$8:$E$1013,SMALL(IF(출고!$C$8:$C$1013=마스터!$M$13,ROW(출고!$C$8:$C$1013)-7),19)),"")</f>
        <v/>
      </c>
      <c r="D63" s="8" t="str">
        <f t="array" ref="D63">IFERROR(INDEX(출고!$F$8:$F$1013,SMALL(IF(출고!$C$8:$C$1013=마스터!$M$13,ROW(출고!$C$8:$C$1013)-7),19)),"")</f>
        <v/>
      </c>
      <c r="E63" s="46" t="str">
        <f t="array" ref="E63">IFERROR(INDEX(출고!$H$8:$H$1013,SMALL(IF(출고!$C$8:$C$1013=마스터!$M$13,ROW(출고!$C$8:$C$1013)-7),19)),"")</f>
        <v/>
      </c>
      <c r="F63" s="46" t="str">
        <f t="array" ref="F63">IFERROR(INDEX(출고!$I$8:$I$1013,SMALL(IF(출고!$C$8:$C$1013=마스터!$M$13,ROW(출고!$C$8:$C$1013)-7),19)),"")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IFERROR(INDEX(출고!$B$8:$B$1013,SMALL(IF(출고!$C$8:$C$1013=마스터!$M$13,ROW(출고!$C$8:$C$1013)-7),20)),"")</f>
        <v/>
      </c>
      <c r="C64" s="11" t="str">
        <f t="array" ref="C64">IFERROR(INDEX(출고!$E$8:$E$1013,SMALL(IF(출고!$C$8:$C$1013=마스터!$M$13,ROW(출고!$C$8:$C$1013)-7),20)),"")</f>
        <v/>
      </c>
      <c r="D64" s="13" t="str">
        <f t="array" ref="D64">IFERROR(INDEX(출고!$F$8:$F$1013,SMALL(IF(출고!$C$8:$C$1013=마스터!$M$13,ROW(출고!$C$8:$C$1013)-7),20)),"")</f>
        <v/>
      </c>
      <c r="E64" s="50" t="str">
        <f t="array" ref="E64">IFERROR(INDEX(출고!$H$8:$H$1013,SMALL(IF(출고!$C$8:$C$1013=마스터!$M$13,ROW(출고!$C$8:$C$1013)-7),20)),"")</f>
        <v/>
      </c>
      <c r="F64" s="50" t="str">
        <f t="array" ref="F64">IFERROR(INDEX(출고!$I$8:$I$1013,SMALL(IF(출고!$C$8:$C$1013=마스터!$M$13,ROW(출고!$C$8:$C$1013)-7),20)),"")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IFERROR(INDEX(출고!$B$8:$B$1013,SMALL(IF(출고!$C$8:$C$1013=마스터!$M$13,ROW(출고!$C$8:$C$1013)-7),21)),"")</f>
        <v/>
      </c>
      <c r="C65" s="6" t="str">
        <f t="array" ref="C65">IFERROR(INDEX(출고!$E$8:$E$1013,SMALL(IF(출고!$C$8:$C$1013=마스터!$M$13,ROW(출고!$C$8:$C$1013)-7),21)),"")</f>
        <v/>
      </c>
      <c r="D65" s="8" t="str">
        <f t="array" ref="D65">IFERROR(INDEX(출고!$F$8:$F$1013,SMALL(IF(출고!$C$8:$C$1013=마스터!$M$13,ROW(출고!$C$8:$C$1013)-7),21)),"")</f>
        <v/>
      </c>
      <c r="E65" s="46" t="str">
        <f t="array" ref="E65">IFERROR(INDEX(출고!$H$8:$H$1013,SMALL(IF(출고!$C$8:$C$1013=마스터!$M$13,ROW(출고!$C$8:$C$1013)-7),21)),"")</f>
        <v/>
      </c>
      <c r="F65" s="46" t="str">
        <f t="array" ref="F65">IFERROR(INDEX(출고!$I$8:$I$1013,SMALL(IF(출고!$C$8:$C$1013=마스터!$M$13,ROW(출고!$C$8:$C$1013)-7),21)),"")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IFERROR(INDEX(출고!$B$8:$B$1013,SMALL(IF(출고!$C$8:$C$1013=마스터!$M$13,ROW(출고!$C$8:$C$1013)-7),22)),"")</f>
        <v/>
      </c>
      <c r="C66" s="11" t="str">
        <f t="array" ref="C66">IFERROR(INDEX(출고!$E$8:$E$1013,SMALL(IF(출고!$C$8:$C$1013=마스터!$M$13,ROW(출고!$C$8:$C$1013)-7),22)),"")</f>
        <v/>
      </c>
      <c r="D66" s="13" t="str">
        <f t="array" ref="D66">IFERROR(INDEX(출고!$F$8:$F$1013,SMALL(IF(출고!$C$8:$C$1013=마스터!$M$13,ROW(출고!$C$8:$C$1013)-7),22)),"")</f>
        <v/>
      </c>
      <c r="E66" s="50" t="str">
        <f t="array" ref="E66">IFERROR(INDEX(출고!$H$8:$H$1013,SMALL(IF(출고!$C$8:$C$1013=마스터!$M$13,ROW(출고!$C$8:$C$1013)-7),22)),"")</f>
        <v/>
      </c>
      <c r="F66" s="50" t="str">
        <f t="array" ref="F66">IFERROR(INDEX(출고!$I$8:$I$1013,SMALL(IF(출고!$C$8:$C$1013=마스터!$M$13,ROW(출고!$C$8:$C$1013)-7),22)),"")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IFERROR(INDEX(출고!$B$8:$B$1013,SMALL(IF(출고!$C$8:$C$1013=마스터!$M$13,ROW(출고!$C$8:$C$1013)-7),23)),"")</f>
        <v/>
      </c>
      <c r="C67" s="6" t="str">
        <f t="array" ref="C67">IFERROR(INDEX(출고!$E$8:$E$1013,SMALL(IF(출고!$C$8:$C$1013=마스터!$M$13,ROW(출고!$C$8:$C$1013)-7),23)),"")</f>
        <v/>
      </c>
      <c r="D67" s="8" t="str">
        <f t="array" ref="D67">IFERROR(INDEX(출고!$F$8:$F$1013,SMALL(IF(출고!$C$8:$C$1013=마스터!$M$13,ROW(출고!$C$8:$C$1013)-7),23)),"")</f>
        <v/>
      </c>
      <c r="E67" s="46" t="str">
        <f t="array" ref="E67">IFERROR(INDEX(출고!$H$8:$H$1013,SMALL(IF(출고!$C$8:$C$1013=마스터!$M$13,ROW(출고!$C$8:$C$1013)-7),23)),"")</f>
        <v/>
      </c>
      <c r="F67" s="46" t="str">
        <f t="array" ref="F67">IFERROR(INDEX(출고!$I$8:$I$1013,SMALL(IF(출고!$C$8:$C$1013=마스터!$M$13,ROW(출고!$C$8:$C$1013)-7),23)),"")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IFERROR(INDEX(출고!$B$8:$B$1013,SMALL(IF(출고!$C$8:$C$1013=마스터!$M$13,ROW(출고!$C$8:$C$1013)-7),24)),"")</f>
        <v/>
      </c>
      <c r="C68" s="11" t="str">
        <f t="array" ref="C68">IFERROR(INDEX(출고!$E$8:$E$1013,SMALL(IF(출고!$C$8:$C$1013=마스터!$M$13,ROW(출고!$C$8:$C$1013)-7),24)),"")</f>
        <v/>
      </c>
      <c r="D68" s="13" t="str">
        <f t="array" ref="D68">IFERROR(INDEX(출고!$F$8:$F$1013,SMALL(IF(출고!$C$8:$C$1013=마스터!$M$13,ROW(출고!$C$8:$C$1013)-7),24)),"")</f>
        <v/>
      </c>
      <c r="E68" s="50" t="str">
        <f t="array" ref="E68">IFERROR(INDEX(출고!$H$8:$H$1013,SMALL(IF(출고!$C$8:$C$1013=마스터!$M$13,ROW(출고!$C$8:$C$1013)-7),24)),"")</f>
        <v/>
      </c>
      <c r="F68" s="50" t="str">
        <f t="array" ref="F68">IFERROR(INDEX(출고!$I$8:$I$1013,SMALL(IF(출고!$C$8:$C$1013=마스터!$M$13,ROW(출고!$C$8:$C$1013)-7),24)),"")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IFERROR(INDEX(출고!$B$8:$B$1013,SMALL(IF(출고!$C$8:$C$1013=마스터!$M$13,ROW(출고!$C$8:$C$1013)-7),25)),"")</f>
        <v/>
      </c>
      <c r="C69" s="6" t="str">
        <f t="array" ref="C69">IFERROR(INDEX(출고!$E$8:$E$1013,SMALL(IF(출고!$C$8:$C$1013=마스터!$M$13,ROW(출고!$C$8:$C$1013)-7),25)),"")</f>
        <v/>
      </c>
      <c r="D69" s="8" t="str">
        <f t="array" ref="D69">IFERROR(INDEX(출고!$F$8:$F$1013,SMALL(IF(출고!$C$8:$C$1013=마스터!$M$13,ROW(출고!$C$8:$C$1013)-7),25)),"")</f>
        <v/>
      </c>
      <c r="E69" s="46" t="str">
        <f t="array" ref="E69">IFERROR(INDEX(출고!$H$8:$H$1013,SMALL(IF(출고!$C$8:$C$1013=마스터!$M$13,ROW(출고!$C$8:$C$1013)-7),25)),"")</f>
        <v/>
      </c>
      <c r="F69" s="46" t="str">
        <f t="array" ref="F69">IFERROR(INDEX(출고!$I$8:$I$1013,SMALL(IF(출고!$C$8:$C$1013=마스터!$M$13,ROW(출고!$C$8:$C$1013)-7),25)),"")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IFERROR(INDEX(출고!$B$8:$B$1013,SMALL(IF(출고!$C$8:$C$1013=마스터!$M$13,ROW(출고!$C$8:$C$1013)-7),26)),"")</f>
        <v/>
      </c>
      <c r="C70" s="11" t="str">
        <f t="array" ref="C70">IFERROR(INDEX(출고!$E$8:$E$1013,SMALL(IF(출고!$C$8:$C$1013=마스터!$M$13,ROW(출고!$C$8:$C$1013)-7),26)),"")</f>
        <v/>
      </c>
      <c r="D70" s="13" t="str">
        <f t="array" ref="D70">IFERROR(INDEX(출고!$F$8:$F$1013,SMALL(IF(출고!$C$8:$C$1013=마스터!$M$13,ROW(출고!$C$8:$C$1013)-7),26)),"")</f>
        <v/>
      </c>
      <c r="E70" s="50" t="str">
        <f t="array" ref="E70">IFERROR(INDEX(출고!$H$8:$H$1013,SMALL(IF(출고!$C$8:$C$1013=마스터!$M$13,ROW(출고!$C$8:$C$1013)-7),26)),"")</f>
        <v/>
      </c>
      <c r="F70" s="50" t="str">
        <f t="array" ref="F70">IFERROR(INDEX(출고!$I$8:$I$1013,SMALL(IF(출고!$C$8:$C$1013=마스터!$M$13,ROW(출고!$C$8:$C$1013)-7),26)),"")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IFERROR(INDEX(출고!$B$8:$B$1013,SMALL(IF(출고!$C$8:$C$1013=마스터!$M$13,ROW(출고!$C$8:$C$1013)-7),27)),"")</f>
        <v/>
      </c>
      <c r="C71" s="6" t="str">
        <f t="array" ref="C71">IFERROR(INDEX(출고!$E$8:$E$1013,SMALL(IF(출고!$C$8:$C$1013=마스터!$M$13,ROW(출고!$C$8:$C$1013)-7),27)),"")</f>
        <v/>
      </c>
      <c r="D71" s="8" t="str">
        <f t="array" ref="D71">IFERROR(INDEX(출고!$F$8:$F$1013,SMALL(IF(출고!$C$8:$C$1013=마스터!$M$13,ROW(출고!$C$8:$C$1013)-7),27)),"")</f>
        <v/>
      </c>
      <c r="E71" s="46" t="str">
        <f t="array" ref="E71">IFERROR(INDEX(출고!$H$8:$H$1013,SMALL(IF(출고!$C$8:$C$1013=마스터!$M$13,ROW(출고!$C$8:$C$1013)-7),27)),"")</f>
        <v/>
      </c>
      <c r="F71" s="46" t="str">
        <f t="array" ref="F71">IFERROR(INDEX(출고!$I$8:$I$1013,SMALL(IF(출고!$C$8:$C$1013=마스터!$M$13,ROW(출고!$C$8:$C$1013)-7),27)),"")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IFERROR(INDEX(출고!$B$8:$B$1013,SMALL(IF(출고!$C$8:$C$1013=마스터!$M$13,ROW(출고!$C$8:$C$1013)-7),28)),"")</f>
        <v/>
      </c>
      <c r="C72" s="11" t="str">
        <f t="array" ref="C72">IFERROR(INDEX(출고!$E$8:$E$1013,SMALL(IF(출고!$C$8:$C$1013=마스터!$M$13,ROW(출고!$C$8:$C$1013)-7),28)),"")</f>
        <v/>
      </c>
      <c r="D72" s="13" t="str">
        <f t="array" ref="D72">IFERROR(INDEX(출고!$F$8:$F$1013,SMALL(IF(출고!$C$8:$C$1013=마스터!$M$13,ROW(출고!$C$8:$C$1013)-7),28)),"")</f>
        <v/>
      </c>
      <c r="E72" s="50" t="str">
        <f t="array" ref="E72">IFERROR(INDEX(출고!$H$8:$H$1013,SMALL(IF(출고!$C$8:$C$1013=마스터!$M$13,ROW(출고!$C$8:$C$1013)-7),28)),"")</f>
        <v/>
      </c>
      <c r="F72" s="50" t="str">
        <f t="array" ref="F72">IFERROR(INDEX(출고!$I$8:$I$1013,SMALL(IF(출고!$C$8:$C$1013=마스터!$M$13,ROW(출고!$C$8:$C$1013)-7),28)),"")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IFERROR(INDEX(출고!$B$8:$B$1013,SMALL(IF(출고!$C$8:$C$1013=마스터!$M$13,ROW(출고!$C$8:$C$1013)-7),29)),"")</f>
        <v/>
      </c>
      <c r="C73" s="6" t="str">
        <f t="array" ref="C73">IFERROR(INDEX(출고!$E$8:$E$1013,SMALL(IF(출고!$C$8:$C$1013=마스터!$M$13,ROW(출고!$C$8:$C$1013)-7),29)),"")</f>
        <v/>
      </c>
      <c r="D73" s="8" t="str">
        <f t="array" ref="D73">IFERROR(INDEX(출고!$F$8:$F$1013,SMALL(IF(출고!$C$8:$C$1013=마스터!$M$13,ROW(출고!$C$8:$C$1013)-7),29)),"")</f>
        <v/>
      </c>
      <c r="E73" s="46" t="str">
        <f t="array" ref="E73">IFERROR(INDEX(출고!$H$8:$H$1013,SMALL(IF(출고!$C$8:$C$1013=마스터!$M$13,ROW(출고!$C$8:$C$1013)-7),29)),"")</f>
        <v/>
      </c>
      <c r="F73" s="46" t="str">
        <f t="array" ref="F73">IFERROR(INDEX(출고!$I$8:$I$1013,SMALL(IF(출고!$C$8:$C$1013=마스터!$M$13,ROW(출고!$C$8:$C$1013)-7),29)),"")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IFERROR(INDEX(출고!$B$8:$B$1013,SMALL(IF(출고!$C$8:$C$1013=마스터!$M$13,ROW(출고!$C$8:$C$1013)-7),30)),"")</f>
        <v/>
      </c>
      <c r="C74" s="11" t="str">
        <f t="array" ref="C74">IFERROR(INDEX(출고!$E$8:$E$1013,SMALL(IF(출고!$C$8:$C$1013=마스터!$M$13,ROW(출고!$C$8:$C$1013)-7),30)),"")</f>
        <v/>
      </c>
      <c r="D74" s="13" t="str">
        <f t="array" ref="D74">IFERROR(INDEX(출고!$F$8:$F$1013,SMALL(IF(출고!$C$8:$C$1013=마스터!$M$13,ROW(출고!$C$8:$C$1013)-7),30)),"")</f>
        <v/>
      </c>
      <c r="E74" s="50" t="str">
        <f t="array" ref="E74">IFERROR(INDEX(출고!$H$8:$H$1013,SMALL(IF(출고!$C$8:$C$1013=마스터!$M$13,ROW(출고!$C$8:$C$1013)-7),30)),"")</f>
        <v/>
      </c>
      <c r="F74" s="50" t="str">
        <f t="array" ref="F74">IFERROR(INDEX(출고!$I$8:$I$1013,SMALL(IF(출고!$C$8:$C$1013=마스터!$M$13,ROW(출고!$C$8:$C$1013)-7),30)),"")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1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IFERROR(INDEX(입고!$E$8:$E$1013,SMALL(IF((입고!$C$8:$C$1013=마스터!$M$13)*(입고!$AC$8:$AC$1013=1),ROW(입고!$C$8:$C$1013)-7),1)),"")</f>
        <v>260227CW002</v>
      </c>
      <c r="C78" s="8">
        <f>IF(B78="","",SUMIFS(입고!$F$8:$F$1013,입고!$C$8:$C$1013,마스터!$M$13,입고!$E$8:$E$1013,B78))</f>
        <v>98</v>
      </c>
      <c r="D78" s="8">
        <f>IF(B78="","",SUMIFS(출고!$F$8:$F$1013,출고!$C$8:$C$1013,마스터!$M$13,출고!$E$8:$E$1013,B78))</f>
        <v>0</v>
      </c>
      <c r="E78" s="40">
        <f t="shared" ref="E78:E107" si="5">IF(B78="","",C78-D78)</f>
        <v>98</v>
      </c>
    </row>
    <row r="79" spans="1:7" ht="15" customHeight="1" x14ac:dyDescent="0.25">
      <c r="A79" s="11">
        <f t="shared" si="4"/>
        <v>2</v>
      </c>
      <c r="B79" s="11" t="str">
        <f t="array" ref="B79">IFERROR(INDEX(입고!$E$8:$E$1013,SMALL(IF((입고!$C$8:$C$1013=마스터!$M$13)*(입고!$AC$8:$AC$1013=1),ROW(입고!$C$8:$C$1013)-7),2)),"")</f>
        <v>260514CW001</v>
      </c>
      <c r="C79" s="13">
        <f>IF(B79="","",SUMIFS(입고!$F$8:$F$1013,입고!$C$8:$C$1013,마스터!$M$13,입고!$E$8:$E$1013,B79))</f>
        <v>74</v>
      </c>
      <c r="D79" s="13">
        <f>IF(B79="","",SUMIFS(출고!$F$8:$F$1013,출고!$C$8:$C$1013,마스터!$M$13,출고!$E$8:$E$1013,B79))</f>
        <v>0</v>
      </c>
      <c r="E79" s="41">
        <f t="shared" si="5"/>
        <v>74</v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IFERROR(INDEX(입고!$E$8:$E$1013,SMALL(IF((입고!$C$8:$C$1013=마스터!$M$13)*(입고!$AC$8:$AC$1013=1),ROW(입고!$C$8:$C$1013)-7),3)),"")</f>
        <v/>
      </c>
      <c r="C80" s="8" t="str">
        <f>IF(B80="","",SUMIFS(입고!$F$8:$F$1013,입고!$C$8:$C$1013,마스터!$M$13,입고!$E$8:$E$1013,B80))</f>
        <v/>
      </c>
      <c r="D80" s="8" t="str">
        <f>IF(B80="","",SUMIFS(출고!$F$8:$F$1013,출고!$C$8:$C$1013,마스터!$M$13,출고!$E$8:$E$1013,B80))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IFERROR(INDEX(입고!$E$8:$E$1013,SMALL(IF((입고!$C$8:$C$1013=마스터!$M$13)*(입고!$AC$8:$AC$1013=1),ROW(입고!$C$8:$C$1013)-7),4)),"")</f>
        <v/>
      </c>
      <c r="C81" s="13" t="str">
        <f>IF(B81="","",SUMIFS(입고!$F$8:$F$1013,입고!$C$8:$C$1013,마스터!$M$13,입고!$E$8:$E$1013,B81))</f>
        <v/>
      </c>
      <c r="D81" s="13" t="str">
        <f>IF(B81="","",SUMIFS(출고!$F$8:$F$1013,출고!$C$8:$C$1013,마스터!$M$13,출고!$E$8:$E$1013,B81))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IFERROR(INDEX(입고!$E$8:$E$1013,SMALL(IF((입고!$C$8:$C$1013=마스터!$M$13)*(입고!$AC$8:$AC$1013=1),ROW(입고!$C$8:$C$1013)-7),5)),"")</f>
        <v/>
      </c>
      <c r="C82" s="8" t="str">
        <f>IF(B82="","",SUMIFS(입고!$F$8:$F$1013,입고!$C$8:$C$1013,마스터!$M$13,입고!$E$8:$E$1013,B82))</f>
        <v/>
      </c>
      <c r="D82" s="8" t="str">
        <f>IF(B82="","",SUMIFS(출고!$F$8:$F$1013,출고!$C$8:$C$1013,마스터!$M$13,출고!$E$8:$E$1013,B82))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IFERROR(INDEX(입고!$E$8:$E$1013,SMALL(IF((입고!$C$8:$C$1013=마스터!$M$13)*(입고!$AC$8:$AC$1013=1),ROW(입고!$C$8:$C$1013)-7),6)),"")</f>
        <v/>
      </c>
      <c r="C83" s="13" t="str">
        <f>IF(B83="","",SUMIFS(입고!$F$8:$F$1013,입고!$C$8:$C$1013,마스터!$M$13,입고!$E$8:$E$1013,B83))</f>
        <v/>
      </c>
      <c r="D83" s="13" t="str">
        <f>IF(B83="","",SUMIFS(출고!$F$8:$F$1013,출고!$C$8:$C$1013,마스터!$M$13,출고!$E$8:$E$1013,B83))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IFERROR(INDEX(입고!$E$8:$E$1013,SMALL(IF((입고!$C$8:$C$1013=마스터!$M$13)*(입고!$AC$8:$AC$1013=1),ROW(입고!$C$8:$C$1013)-7),7)),"")</f>
        <v/>
      </c>
      <c r="C84" s="8" t="str">
        <f>IF(B84="","",SUMIFS(입고!$F$8:$F$1013,입고!$C$8:$C$1013,마스터!$M$13,입고!$E$8:$E$1013,B84))</f>
        <v/>
      </c>
      <c r="D84" s="8" t="str">
        <f>IF(B84="","",SUMIFS(출고!$F$8:$F$1013,출고!$C$8:$C$1013,마스터!$M$13,출고!$E$8:$E$1013,B84))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IFERROR(INDEX(입고!$E$8:$E$1013,SMALL(IF((입고!$C$8:$C$1013=마스터!$M$13)*(입고!$AC$8:$AC$1013=1),ROW(입고!$C$8:$C$1013)-7),8)),"")</f>
        <v/>
      </c>
      <c r="C85" s="13" t="str">
        <f>IF(B85="","",SUMIFS(입고!$F$8:$F$1013,입고!$C$8:$C$1013,마스터!$M$13,입고!$E$8:$E$1013,B85))</f>
        <v/>
      </c>
      <c r="D85" s="13" t="str">
        <f>IF(B85="","",SUMIFS(출고!$F$8:$F$1013,출고!$C$8:$C$1013,마스터!$M$13,출고!$E$8:$E$1013,B85))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IFERROR(INDEX(입고!$E$8:$E$1013,SMALL(IF((입고!$C$8:$C$1013=마스터!$M$13)*(입고!$AC$8:$AC$1013=1),ROW(입고!$C$8:$C$1013)-7),9)),"")</f>
        <v/>
      </c>
      <c r="C86" s="8" t="str">
        <f>IF(B86="","",SUMIFS(입고!$F$8:$F$1013,입고!$C$8:$C$1013,마스터!$M$13,입고!$E$8:$E$1013,B86))</f>
        <v/>
      </c>
      <c r="D86" s="8" t="str">
        <f>IF(B86="","",SUMIFS(출고!$F$8:$F$1013,출고!$C$8:$C$1013,마스터!$M$13,출고!$E$8:$E$1013,B86))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IFERROR(INDEX(입고!$E$8:$E$1013,SMALL(IF((입고!$C$8:$C$1013=마스터!$M$13)*(입고!$AC$8:$AC$1013=1),ROW(입고!$C$8:$C$1013)-7),10)),"")</f>
        <v/>
      </c>
      <c r="C87" s="13" t="str">
        <f>IF(B87="","",SUMIFS(입고!$F$8:$F$1013,입고!$C$8:$C$1013,마스터!$M$13,입고!$E$8:$E$1013,B87))</f>
        <v/>
      </c>
      <c r="D87" s="13" t="str">
        <f>IF(B87="","",SUMIFS(출고!$F$8:$F$1013,출고!$C$8:$C$1013,마스터!$M$13,출고!$E$8:$E$1013,B87))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IFERROR(INDEX(입고!$E$8:$E$1013,SMALL(IF((입고!$C$8:$C$1013=마스터!$M$13)*(입고!$AC$8:$AC$1013=1),ROW(입고!$C$8:$C$1013)-7),11)),"")</f>
        <v/>
      </c>
      <c r="C88" s="8" t="str">
        <f>IF(B88="","",SUMIFS(입고!$F$8:$F$1013,입고!$C$8:$C$1013,마스터!$M$13,입고!$E$8:$E$1013,B88))</f>
        <v/>
      </c>
      <c r="D88" s="8" t="str">
        <f>IF(B88="","",SUMIFS(출고!$F$8:$F$1013,출고!$C$8:$C$1013,마스터!$M$13,출고!$E$8:$E$1013,B88))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IFERROR(INDEX(입고!$E$8:$E$1013,SMALL(IF((입고!$C$8:$C$1013=마스터!$M$13)*(입고!$AC$8:$AC$1013=1),ROW(입고!$C$8:$C$1013)-7),12)),"")</f>
        <v/>
      </c>
      <c r="C89" s="13" t="str">
        <f>IF(B89="","",SUMIFS(입고!$F$8:$F$1013,입고!$C$8:$C$1013,마스터!$M$13,입고!$E$8:$E$1013,B89))</f>
        <v/>
      </c>
      <c r="D89" s="13" t="str">
        <f>IF(B89="","",SUMIFS(출고!$F$8:$F$1013,출고!$C$8:$C$1013,마스터!$M$13,출고!$E$8:$E$1013,B89))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IFERROR(INDEX(입고!$E$8:$E$1013,SMALL(IF((입고!$C$8:$C$1013=마스터!$M$13)*(입고!$AC$8:$AC$1013=1),ROW(입고!$C$8:$C$1013)-7),13)),"")</f>
        <v/>
      </c>
      <c r="C90" s="8" t="str">
        <f>IF(B90="","",SUMIFS(입고!$F$8:$F$1013,입고!$C$8:$C$1013,마스터!$M$13,입고!$E$8:$E$1013,B90))</f>
        <v/>
      </c>
      <c r="D90" s="8" t="str">
        <f>IF(B90="","",SUMIFS(출고!$F$8:$F$1013,출고!$C$8:$C$1013,마스터!$M$13,출고!$E$8:$E$1013,B90))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IFERROR(INDEX(입고!$E$8:$E$1013,SMALL(IF((입고!$C$8:$C$1013=마스터!$M$13)*(입고!$AC$8:$AC$1013=1),ROW(입고!$C$8:$C$1013)-7),14)),"")</f>
        <v/>
      </c>
      <c r="C91" s="13" t="str">
        <f>IF(B91="","",SUMIFS(입고!$F$8:$F$1013,입고!$C$8:$C$1013,마스터!$M$13,입고!$E$8:$E$1013,B91))</f>
        <v/>
      </c>
      <c r="D91" s="13" t="str">
        <f>IF(B91="","",SUMIFS(출고!$F$8:$F$1013,출고!$C$8:$C$1013,마스터!$M$13,출고!$E$8:$E$1013,B91))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IFERROR(INDEX(입고!$E$8:$E$1013,SMALL(IF((입고!$C$8:$C$1013=마스터!$M$13)*(입고!$AC$8:$AC$1013=1),ROW(입고!$C$8:$C$1013)-7),15)),"")</f>
        <v/>
      </c>
      <c r="C92" s="8" t="str">
        <f>IF(B92="","",SUMIFS(입고!$F$8:$F$1013,입고!$C$8:$C$1013,마스터!$M$13,입고!$E$8:$E$1013,B92))</f>
        <v/>
      </c>
      <c r="D92" s="8" t="str">
        <f>IF(B92="","",SUMIFS(출고!$F$8:$F$1013,출고!$C$8:$C$1013,마스터!$M$13,출고!$E$8:$E$1013,B92))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IFERROR(INDEX(입고!$E$8:$E$1013,SMALL(IF((입고!$C$8:$C$1013=마스터!$M$13)*(입고!$AC$8:$AC$1013=1),ROW(입고!$C$8:$C$1013)-7),16)),"")</f>
        <v/>
      </c>
      <c r="C93" s="13" t="str">
        <f>IF(B93="","",SUMIFS(입고!$F$8:$F$1013,입고!$C$8:$C$1013,마스터!$M$13,입고!$E$8:$E$1013,B93))</f>
        <v/>
      </c>
      <c r="D93" s="13" t="str">
        <f>IF(B93="","",SUMIFS(출고!$F$8:$F$1013,출고!$C$8:$C$1013,마스터!$M$13,출고!$E$8:$E$1013,B93))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IFERROR(INDEX(입고!$E$8:$E$1013,SMALL(IF((입고!$C$8:$C$1013=마스터!$M$13)*(입고!$AC$8:$AC$1013=1),ROW(입고!$C$8:$C$1013)-7),17)),"")</f>
        <v/>
      </c>
      <c r="C94" s="8" t="str">
        <f>IF(B94="","",SUMIFS(입고!$F$8:$F$1013,입고!$C$8:$C$1013,마스터!$M$13,입고!$E$8:$E$1013,B94))</f>
        <v/>
      </c>
      <c r="D94" s="8" t="str">
        <f>IF(B94="","",SUMIFS(출고!$F$8:$F$1013,출고!$C$8:$C$1013,마스터!$M$13,출고!$E$8:$E$1013,B94))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IFERROR(INDEX(입고!$E$8:$E$1013,SMALL(IF((입고!$C$8:$C$1013=마스터!$M$13)*(입고!$AC$8:$AC$1013=1),ROW(입고!$C$8:$C$1013)-7),18)),"")</f>
        <v/>
      </c>
      <c r="C95" s="13" t="str">
        <f>IF(B95="","",SUMIFS(입고!$F$8:$F$1013,입고!$C$8:$C$1013,마스터!$M$13,입고!$E$8:$E$1013,B95))</f>
        <v/>
      </c>
      <c r="D95" s="13" t="str">
        <f>IF(B95="","",SUMIFS(출고!$F$8:$F$1013,출고!$C$8:$C$1013,마스터!$M$13,출고!$E$8:$E$1013,B95))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IFERROR(INDEX(입고!$E$8:$E$1013,SMALL(IF((입고!$C$8:$C$1013=마스터!$M$13)*(입고!$AC$8:$AC$1013=1),ROW(입고!$C$8:$C$1013)-7),19)),"")</f>
        <v/>
      </c>
      <c r="C96" s="8" t="str">
        <f>IF(B96="","",SUMIFS(입고!$F$8:$F$1013,입고!$C$8:$C$1013,마스터!$M$13,입고!$E$8:$E$1013,B96))</f>
        <v/>
      </c>
      <c r="D96" s="8" t="str">
        <f>IF(B96="","",SUMIFS(출고!$F$8:$F$1013,출고!$C$8:$C$1013,마스터!$M$13,출고!$E$8:$E$1013,B96))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IFERROR(INDEX(입고!$E$8:$E$1013,SMALL(IF((입고!$C$8:$C$1013=마스터!$M$13)*(입고!$AC$8:$AC$1013=1),ROW(입고!$C$8:$C$1013)-7),20)),"")</f>
        <v/>
      </c>
      <c r="C97" s="13" t="str">
        <f>IF(B97="","",SUMIFS(입고!$F$8:$F$1013,입고!$C$8:$C$1013,마스터!$M$13,입고!$E$8:$E$1013,B97))</f>
        <v/>
      </c>
      <c r="D97" s="13" t="str">
        <f>IF(B97="","",SUMIFS(출고!$F$8:$F$1013,출고!$C$8:$C$1013,마스터!$M$13,출고!$E$8:$E$1013,B97))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IFERROR(INDEX(입고!$E$8:$E$1013,SMALL(IF((입고!$C$8:$C$1013=마스터!$M$13)*(입고!$AC$8:$AC$1013=1),ROW(입고!$C$8:$C$1013)-7),21)),"")</f>
        <v/>
      </c>
      <c r="C98" s="8" t="str">
        <f>IF(B98="","",SUMIFS(입고!$F$8:$F$1013,입고!$C$8:$C$1013,마스터!$M$13,입고!$E$8:$E$1013,B98))</f>
        <v/>
      </c>
      <c r="D98" s="8" t="str">
        <f>IF(B98="","",SUMIFS(출고!$F$8:$F$1013,출고!$C$8:$C$1013,마스터!$M$13,출고!$E$8:$E$1013,B98))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IFERROR(INDEX(입고!$E$8:$E$1013,SMALL(IF((입고!$C$8:$C$1013=마스터!$M$13)*(입고!$AC$8:$AC$1013=1),ROW(입고!$C$8:$C$1013)-7),22)),"")</f>
        <v/>
      </c>
      <c r="C99" s="13" t="str">
        <f>IF(B99="","",SUMIFS(입고!$F$8:$F$1013,입고!$C$8:$C$1013,마스터!$M$13,입고!$E$8:$E$1013,B99))</f>
        <v/>
      </c>
      <c r="D99" s="13" t="str">
        <f>IF(B99="","",SUMIFS(출고!$F$8:$F$1013,출고!$C$8:$C$1013,마스터!$M$13,출고!$E$8:$E$1013,B99))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IFERROR(INDEX(입고!$E$8:$E$1013,SMALL(IF((입고!$C$8:$C$1013=마스터!$M$13)*(입고!$AC$8:$AC$1013=1),ROW(입고!$C$8:$C$1013)-7),23)),"")</f>
        <v/>
      </c>
      <c r="C100" s="8" t="str">
        <f>IF(B100="","",SUMIFS(입고!$F$8:$F$1013,입고!$C$8:$C$1013,마스터!$M$13,입고!$E$8:$E$1013,B100))</f>
        <v/>
      </c>
      <c r="D100" s="8" t="str">
        <f>IF(B100="","",SUMIFS(출고!$F$8:$F$1013,출고!$C$8:$C$1013,마스터!$M$13,출고!$E$8:$E$1013,B100))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IFERROR(INDEX(입고!$E$8:$E$1013,SMALL(IF((입고!$C$8:$C$1013=마스터!$M$13)*(입고!$AC$8:$AC$1013=1),ROW(입고!$C$8:$C$1013)-7),24)),"")</f>
        <v/>
      </c>
      <c r="C101" s="13" t="str">
        <f>IF(B101="","",SUMIFS(입고!$F$8:$F$1013,입고!$C$8:$C$1013,마스터!$M$13,입고!$E$8:$E$1013,B101))</f>
        <v/>
      </c>
      <c r="D101" s="13" t="str">
        <f>IF(B101="","",SUMIFS(출고!$F$8:$F$1013,출고!$C$8:$C$1013,마스터!$M$13,출고!$E$8:$E$1013,B101))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IFERROR(INDEX(입고!$E$8:$E$1013,SMALL(IF((입고!$C$8:$C$1013=마스터!$M$13)*(입고!$AC$8:$AC$1013=1),ROW(입고!$C$8:$C$1013)-7),25)),"")</f>
        <v/>
      </c>
      <c r="C102" s="8" t="str">
        <f>IF(B102="","",SUMIFS(입고!$F$8:$F$1013,입고!$C$8:$C$1013,마스터!$M$13,입고!$E$8:$E$1013,B102))</f>
        <v/>
      </c>
      <c r="D102" s="8" t="str">
        <f>IF(B102="","",SUMIFS(출고!$F$8:$F$1013,출고!$C$8:$C$1013,마스터!$M$13,출고!$E$8:$E$1013,B102))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IFERROR(INDEX(입고!$E$8:$E$1013,SMALL(IF((입고!$C$8:$C$1013=마스터!$M$13)*(입고!$AC$8:$AC$1013=1),ROW(입고!$C$8:$C$1013)-7),26)),"")</f>
        <v/>
      </c>
      <c r="C103" s="13" t="str">
        <f>IF(B103="","",SUMIFS(입고!$F$8:$F$1013,입고!$C$8:$C$1013,마스터!$M$13,입고!$E$8:$E$1013,B103))</f>
        <v/>
      </c>
      <c r="D103" s="13" t="str">
        <f>IF(B103="","",SUMIFS(출고!$F$8:$F$1013,출고!$C$8:$C$1013,마스터!$M$13,출고!$E$8:$E$1013,B103))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IFERROR(INDEX(입고!$E$8:$E$1013,SMALL(IF((입고!$C$8:$C$1013=마스터!$M$13)*(입고!$AC$8:$AC$1013=1),ROW(입고!$C$8:$C$1013)-7),27)),"")</f>
        <v/>
      </c>
      <c r="C104" s="8" t="str">
        <f>IF(B104="","",SUMIFS(입고!$F$8:$F$1013,입고!$C$8:$C$1013,마스터!$M$13,입고!$E$8:$E$1013,B104))</f>
        <v/>
      </c>
      <c r="D104" s="8" t="str">
        <f>IF(B104="","",SUMIFS(출고!$F$8:$F$1013,출고!$C$8:$C$1013,마스터!$M$13,출고!$E$8:$E$1013,B104))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IFERROR(INDEX(입고!$E$8:$E$1013,SMALL(IF((입고!$C$8:$C$1013=마스터!$M$13)*(입고!$AC$8:$AC$1013=1),ROW(입고!$C$8:$C$1013)-7),28)),"")</f>
        <v/>
      </c>
      <c r="C105" s="13" t="str">
        <f>IF(B105="","",SUMIFS(입고!$F$8:$F$1013,입고!$C$8:$C$1013,마스터!$M$13,입고!$E$8:$E$1013,B105))</f>
        <v/>
      </c>
      <c r="D105" s="13" t="str">
        <f>IF(B105="","",SUMIFS(출고!$F$8:$F$1013,출고!$C$8:$C$1013,마스터!$M$13,출고!$E$8:$E$1013,B105))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IFERROR(INDEX(입고!$E$8:$E$1013,SMALL(IF((입고!$C$8:$C$1013=마스터!$M$13)*(입고!$AC$8:$AC$1013=1),ROW(입고!$C$8:$C$1013)-7),29)),"")</f>
        <v/>
      </c>
      <c r="C106" s="8" t="str">
        <f>IF(B106="","",SUMIFS(입고!$F$8:$F$1013,입고!$C$8:$C$1013,마스터!$M$13,입고!$E$8:$E$1013,B106))</f>
        <v/>
      </c>
      <c r="D106" s="8" t="str">
        <f>IF(B106="","",SUMIFS(출고!$F$8:$F$1013,출고!$C$8:$C$1013,마스터!$M$13,출고!$E$8:$E$1013,B106))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IFERROR(INDEX(입고!$E$8:$E$1013,SMALL(IF((입고!$C$8:$C$1013=마스터!$M$13)*(입고!$AC$8:$AC$1013=1),ROW(입고!$C$8:$C$1013)-7),30)),"")</f>
        <v/>
      </c>
      <c r="C107" s="13" t="str">
        <f>IF(B107="","",SUMIFS(입고!$F$8:$F$1013,입고!$C$8:$C$1013,마스터!$M$13,입고!$E$8:$E$1013,B107))</f>
        <v/>
      </c>
      <c r="D107" s="13" t="str">
        <f>IF(B107="","",SUMIFS(출고!$F$8:$F$1013,출고!$C$8:$C$1013,마스터!$M$13,출고!$E$8:$E$1013,B107))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7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CONCATENATE("[11] ", 마스터!D14, "  |  ", 마스터!F14)</f>
        <v>[11] 세라믹울 96K 수입  |  50T × 1000W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15" customHeight="1" x14ac:dyDescent="0.25">
      <c r="A4" s="1" t="s">
        <v>6</v>
      </c>
      <c r="B4" s="52" t="str">
        <f>마스터!D14</f>
        <v>세라믹울 96K 수입</v>
      </c>
      <c r="D4" s="1" t="s">
        <v>11</v>
      </c>
      <c r="E4" s="53">
        <f>SUMIFS(입고!$F$8:$F$1013,입고!$C$8:$C$1013,마스터!$M$14)</f>
        <v>10</v>
      </c>
    </row>
    <row r="5" spans="1:9" ht="23.25" customHeight="1" x14ac:dyDescent="0.25">
      <c r="A5" s="1" t="s">
        <v>7</v>
      </c>
      <c r="B5" s="52" t="str">
        <f>마스터!E14</f>
        <v>5010003600</v>
      </c>
      <c r="D5" s="1" t="s">
        <v>12</v>
      </c>
      <c r="E5" s="53">
        <f>SUMIFS(출고!$F$8:$F$1013,출고!$C$8:$C$1013,마스터!$M$14)</f>
        <v>0</v>
      </c>
    </row>
    <row r="6" spans="1:9" ht="34.5" customHeight="1" x14ac:dyDescent="0.25">
      <c r="A6" s="1" t="s">
        <v>26</v>
      </c>
      <c r="B6" s="52" t="str">
        <f>마스터!F14</f>
        <v>50T × 1000W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마스터!M14</f>
        <v>96K수입 50T × 1000W × 3600L</v>
      </c>
      <c r="D7" s="1" t="s">
        <v>13</v>
      </c>
      <c r="E7" s="54">
        <f>마스터!$K$14+E4-E5</f>
        <v>10</v>
      </c>
    </row>
    <row r="8" spans="1:9" ht="15" customHeight="1" x14ac:dyDescent="0.25">
      <c r="A8" s="1" t="s">
        <v>10</v>
      </c>
      <c r="B8" s="53">
        <f>마스터!K14</f>
        <v>0</v>
      </c>
      <c r="D8" s="1" t="s">
        <v>123</v>
      </c>
      <c r="E8" s="55">
        <f t="array" ref="E8">IFERROR(MAX(MAX(IF(입고!$C$8:$C$1013=마스터!$M$14,입고!$B$8:$B$1013)),MAX(IF(출고!$C$8:$C$1013=마스터!$M$14,출고!$B$8:$B$1013))),"-")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IFERROR(INDEX(입고!$B$8:$B$1013,SMALL(IF(입고!$C$8:$C$1013=마스터!$M$14,ROW(입고!$C$8:$C$1013)-7),1)),"")</f>
        <v>46056</v>
      </c>
      <c r="C12" s="6" t="str">
        <f t="array" ref="C12">IFERROR(INDEX(입고!$E$8:$E$1013,SMALL(IF(입고!$C$8:$C$1013=마스터!$M$14,ROW(입고!$C$8:$C$1013)-7),1)),"")</f>
        <v>260203CW006</v>
      </c>
      <c r="D12" s="8">
        <f t="array" ref="D12">IFERROR(INDEX(입고!$F$8:$F$1013,SMALL(IF(입고!$C$8:$C$1013=마스터!$M$14,ROW(입고!$C$8:$C$1013)-7),1)),"")</f>
        <v>10</v>
      </c>
      <c r="E12" s="46" t="str">
        <f t="array" ref="E12">IFERROR(INDEX(입고!$H$8:$H$1013,SMALL(IF(입고!$C$8:$C$1013=마스터!$M$14,ROW(입고!$C$8:$C$1013)-7),1)),"")</f>
        <v>(초기재고)</v>
      </c>
      <c r="F12" s="46" t="str">
        <f t="array" ref="F12">IFERROR(INDEX(입고!$I$8:$I$1013,SMALL(IF(입고!$C$8:$C$1013=마스터!$M$14,ROW(입고!$C$8:$C$1013)-7),1)),"")</f>
        <v>2026-02-12 기준</v>
      </c>
      <c r="G12" s="57">
        <f>IF(B12="","",IFERROR(D12,0))</f>
        <v>10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IFERROR(INDEX(입고!$B$8:$B$1013,SMALL(IF(입고!$C$8:$C$1013=마스터!$M$14,ROW(입고!$C$8:$C$1013)-7),2)),"")</f>
        <v/>
      </c>
      <c r="C13" s="11" t="str">
        <f t="array" ref="C13">IFERROR(INDEX(입고!$E$8:$E$1013,SMALL(IF(입고!$C$8:$C$1013=마스터!$M$14,ROW(입고!$C$8:$C$1013)-7),2)),"")</f>
        <v/>
      </c>
      <c r="D13" s="13" t="str">
        <f t="array" ref="D13">IFERROR(INDEX(입고!$F$8:$F$1013,SMALL(IF(입고!$C$8:$C$1013=마스터!$M$14,ROW(입고!$C$8:$C$1013)-7),2)),"")</f>
        <v/>
      </c>
      <c r="E13" s="50" t="str">
        <f t="array" ref="E13">IFERROR(INDEX(입고!$H$8:$H$1013,SMALL(IF(입고!$C$8:$C$1013=마스터!$M$14,ROW(입고!$C$8:$C$1013)-7),2)),"")</f>
        <v/>
      </c>
      <c r="F13" s="50" t="str">
        <f t="array" ref="F13">IFERROR(INDEX(입고!$I$8:$I$1013,SMALL(IF(입고!$C$8:$C$1013=마스터!$M$14,ROW(입고!$C$8:$C$1013)-7),2)),"")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IFERROR(INDEX(입고!$B$8:$B$1013,SMALL(IF(입고!$C$8:$C$1013=마스터!$M$14,ROW(입고!$C$8:$C$1013)-7),3)),"")</f>
        <v/>
      </c>
      <c r="C14" s="6" t="str">
        <f t="array" ref="C14">IFERROR(INDEX(입고!$E$8:$E$1013,SMALL(IF(입고!$C$8:$C$1013=마스터!$M$14,ROW(입고!$C$8:$C$1013)-7),3)),"")</f>
        <v/>
      </c>
      <c r="D14" s="8" t="str">
        <f t="array" ref="D14">IFERROR(INDEX(입고!$F$8:$F$1013,SMALL(IF(입고!$C$8:$C$1013=마스터!$M$14,ROW(입고!$C$8:$C$1013)-7),3)),"")</f>
        <v/>
      </c>
      <c r="E14" s="46" t="str">
        <f t="array" ref="E14">IFERROR(INDEX(입고!$H$8:$H$1013,SMALL(IF(입고!$C$8:$C$1013=마스터!$M$14,ROW(입고!$C$8:$C$1013)-7),3)),"")</f>
        <v/>
      </c>
      <c r="F14" s="46" t="str">
        <f t="array" ref="F14">IFERROR(INDEX(입고!$I$8:$I$1013,SMALL(IF(입고!$C$8:$C$1013=마스터!$M$14,ROW(입고!$C$8:$C$1013)-7),3)),"")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IFERROR(INDEX(입고!$B$8:$B$1013,SMALL(IF(입고!$C$8:$C$1013=마스터!$M$14,ROW(입고!$C$8:$C$1013)-7),4)),"")</f>
        <v/>
      </c>
      <c r="C15" s="11" t="str">
        <f t="array" ref="C15">IFERROR(INDEX(입고!$E$8:$E$1013,SMALL(IF(입고!$C$8:$C$1013=마스터!$M$14,ROW(입고!$C$8:$C$1013)-7),4)),"")</f>
        <v/>
      </c>
      <c r="D15" s="13" t="str">
        <f t="array" ref="D15">IFERROR(INDEX(입고!$F$8:$F$1013,SMALL(IF(입고!$C$8:$C$1013=마스터!$M$14,ROW(입고!$C$8:$C$1013)-7),4)),"")</f>
        <v/>
      </c>
      <c r="E15" s="50" t="str">
        <f t="array" ref="E15">IFERROR(INDEX(입고!$H$8:$H$1013,SMALL(IF(입고!$C$8:$C$1013=마스터!$M$14,ROW(입고!$C$8:$C$1013)-7),4)),"")</f>
        <v/>
      </c>
      <c r="F15" s="50" t="str">
        <f t="array" ref="F15">IFERROR(INDEX(입고!$I$8:$I$1013,SMALL(IF(입고!$C$8:$C$1013=마스터!$M$14,ROW(입고!$C$8:$C$1013)-7),4)),"")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IFERROR(INDEX(입고!$B$8:$B$1013,SMALL(IF(입고!$C$8:$C$1013=마스터!$M$14,ROW(입고!$C$8:$C$1013)-7),5)),"")</f>
        <v/>
      </c>
      <c r="C16" s="6" t="str">
        <f t="array" ref="C16">IFERROR(INDEX(입고!$E$8:$E$1013,SMALL(IF(입고!$C$8:$C$1013=마스터!$M$14,ROW(입고!$C$8:$C$1013)-7),5)),"")</f>
        <v/>
      </c>
      <c r="D16" s="8" t="str">
        <f t="array" ref="D16">IFERROR(INDEX(입고!$F$8:$F$1013,SMALL(IF(입고!$C$8:$C$1013=마스터!$M$14,ROW(입고!$C$8:$C$1013)-7),5)),"")</f>
        <v/>
      </c>
      <c r="E16" s="46" t="str">
        <f t="array" ref="E16">IFERROR(INDEX(입고!$H$8:$H$1013,SMALL(IF(입고!$C$8:$C$1013=마스터!$M$14,ROW(입고!$C$8:$C$1013)-7),5)),"")</f>
        <v/>
      </c>
      <c r="F16" s="46" t="str">
        <f t="array" ref="F16">IFERROR(INDEX(입고!$I$8:$I$1013,SMALL(IF(입고!$C$8:$C$1013=마스터!$M$14,ROW(입고!$C$8:$C$1013)-7),5)),"")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IFERROR(INDEX(입고!$B$8:$B$1013,SMALL(IF(입고!$C$8:$C$1013=마스터!$M$14,ROW(입고!$C$8:$C$1013)-7),6)),"")</f>
        <v/>
      </c>
      <c r="C17" s="11" t="str">
        <f t="array" ref="C17">IFERROR(INDEX(입고!$E$8:$E$1013,SMALL(IF(입고!$C$8:$C$1013=마스터!$M$14,ROW(입고!$C$8:$C$1013)-7),6)),"")</f>
        <v/>
      </c>
      <c r="D17" s="13" t="str">
        <f t="array" ref="D17">IFERROR(INDEX(입고!$F$8:$F$1013,SMALL(IF(입고!$C$8:$C$1013=마스터!$M$14,ROW(입고!$C$8:$C$1013)-7),6)),"")</f>
        <v/>
      </c>
      <c r="E17" s="50" t="str">
        <f t="array" ref="E17">IFERROR(INDEX(입고!$H$8:$H$1013,SMALL(IF(입고!$C$8:$C$1013=마스터!$M$14,ROW(입고!$C$8:$C$1013)-7),6)),"")</f>
        <v/>
      </c>
      <c r="F17" s="50" t="str">
        <f t="array" ref="F17">IFERROR(INDEX(입고!$I$8:$I$1013,SMALL(IF(입고!$C$8:$C$1013=마스터!$M$14,ROW(입고!$C$8:$C$1013)-7),6)),"")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IFERROR(INDEX(입고!$B$8:$B$1013,SMALL(IF(입고!$C$8:$C$1013=마스터!$M$14,ROW(입고!$C$8:$C$1013)-7),7)),"")</f>
        <v/>
      </c>
      <c r="C18" s="6" t="str">
        <f t="array" ref="C18">IFERROR(INDEX(입고!$E$8:$E$1013,SMALL(IF(입고!$C$8:$C$1013=마스터!$M$14,ROW(입고!$C$8:$C$1013)-7),7)),"")</f>
        <v/>
      </c>
      <c r="D18" s="8" t="str">
        <f t="array" ref="D18">IFERROR(INDEX(입고!$F$8:$F$1013,SMALL(IF(입고!$C$8:$C$1013=마스터!$M$14,ROW(입고!$C$8:$C$1013)-7),7)),"")</f>
        <v/>
      </c>
      <c r="E18" s="46" t="str">
        <f t="array" ref="E18">IFERROR(INDEX(입고!$H$8:$H$1013,SMALL(IF(입고!$C$8:$C$1013=마스터!$M$14,ROW(입고!$C$8:$C$1013)-7),7)),"")</f>
        <v/>
      </c>
      <c r="F18" s="46" t="str">
        <f t="array" ref="F18">IFERROR(INDEX(입고!$I$8:$I$1013,SMALL(IF(입고!$C$8:$C$1013=마스터!$M$14,ROW(입고!$C$8:$C$1013)-7),7)),"")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IFERROR(INDEX(입고!$B$8:$B$1013,SMALL(IF(입고!$C$8:$C$1013=마스터!$M$14,ROW(입고!$C$8:$C$1013)-7),8)),"")</f>
        <v/>
      </c>
      <c r="C19" s="11" t="str">
        <f t="array" ref="C19">IFERROR(INDEX(입고!$E$8:$E$1013,SMALL(IF(입고!$C$8:$C$1013=마스터!$M$14,ROW(입고!$C$8:$C$1013)-7),8)),"")</f>
        <v/>
      </c>
      <c r="D19" s="13" t="str">
        <f t="array" ref="D19">IFERROR(INDEX(입고!$F$8:$F$1013,SMALL(IF(입고!$C$8:$C$1013=마스터!$M$14,ROW(입고!$C$8:$C$1013)-7),8)),"")</f>
        <v/>
      </c>
      <c r="E19" s="50" t="str">
        <f t="array" ref="E19">IFERROR(INDEX(입고!$H$8:$H$1013,SMALL(IF(입고!$C$8:$C$1013=마스터!$M$14,ROW(입고!$C$8:$C$1013)-7),8)),"")</f>
        <v/>
      </c>
      <c r="F19" s="50" t="str">
        <f t="array" ref="F19">IFERROR(INDEX(입고!$I$8:$I$1013,SMALL(IF(입고!$C$8:$C$1013=마스터!$M$14,ROW(입고!$C$8:$C$1013)-7),8)),"")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IFERROR(INDEX(입고!$B$8:$B$1013,SMALL(IF(입고!$C$8:$C$1013=마스터!$M$14,ROW(입고!$C$8:$C$1013)-7),9)),"")</f>
        <v/>
      </c>
      <c r="C20" s="6" t="str">
        <f t="array" ref="C20">IFERROR(INDEX(입고!$E$8:$E$1013,SMALL(IF(입고!$C$8:$C$1013=마스터!$M$14,ROW(입고!$C$8:$C$1013)-7),9)),"")</f>
        <v/>
      </c>
      <c r="D20" s="8" t="str">
        <f t="array" ref="D20">IFERROR(INDEX(입고!$F$8:$F$1013,SMALL(IF(입고!$C$8:$C$1013=마스터!$M$14,ROW(입고!$C$8:$C$1013)-7),9)),"")</f>
        <v/>
      </c>
      <c r="E20" s="46" t="str">
        <f t="array" ref="E20">IFERROR(INDEX(입고!$H$8:$H$1013,SMALL(IF(입고!$C$8:$C$1013=마스터!$M$14,ROW(입고!$C$8:$C$1013)-7),9)),"")</f>
        <v/>
      </c>
      <c r="F20" s="46" t="str">
        <f t="array" ref="F20">IFERROR(INDEX(입고!$I$8:$I$1013,SMALL(IF(입고!$C$8:$C$1013=마스터!$M$14,ROW(입고!$C$8:$C$1013)-7),9)),"")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IFERROR(INDEX(입고!$B$8:$B$1013,SMALL(IF(입고!$C$8:$C$1013=마스터!$M$14,ROW(입고!$C$8:$C$1013)-7),10)),"")</f>
        <v/>
      </c>
      <c r="C21" s="11" t="str">
        <f t="array" ref="C21">IFERROR(INDEX(입고!$E$8:$E$1013,SMALL(IF(입고!$C$8:$C$1013=마스터!$M$14,ROW(입고!$C$8:$C$1013)-7),10)),"")</f>
        <v/>
      </c>
      <c r="D21" s="13" t="str">
        <f t="array" ref="D21">IFERROR(INDEX(입고!$F$8:$F$1013,SMALL(IF(입고!$C$8:$C$1013=마스터!$M$14,ROW(입고!$C$8:$C$1013)-7),10)),"")</f>
        <v/>
      </c>
      <c r="E21" s="50" t="str">
        <f t="array" ref="E21">IFERROR(INDEX(입고!$H$8:$H$1013,SMALL(IF(입고!$C$8:$C$1013=마스터!$M$14,ROW(입고!$C$8:$C$1013)-7),10)),"")</f>
        <v/>
      </c>
      <c r="F21" s="50" t="str">
        <f t="array" ref="F21">IFERROR(INDEX(입고!$I$8:$I$1013,SMALL(IF(입고!$C$8:$C$1013=마스터!$M$14,ROW(입고!$C$8:$C$1013)-7),10)),"")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IFERROR(INDEX(입고!$B$8:$B$1013,SMALL(IF(입고!$C$8:$C$1013=마스터!$M$14,ROW(입고!$C$8:$C$1013)-7),11)),"")</f>
        <v/>
      </c>
      <c r="C22" s="6" t="str">
        <f t="array" ref="C22">IFERROR(INDEX(입고!$E$8:$E$1013,SMALL(IF(입고!$C$8:$C$1013=마스터!$M$14,ROW(입고!$C$8:$C$1013)-7),11)),"")</f>
        <v/>
      </c>
      <c r="D22" s="8" t="str">
        <f t="array" ref="D22">IFERROR(INDEX(입고!$F$8:$F$1013,SMALL(IF(입고!$C$8:$C$1013=마스터!$M$14,ROW(입고!$C$8:$C$1013)-7),11)),"")</f>
        <v/>
      </c>
      <c r="E22" s="46" t="str">
        <f t="array" ref="E22">IFERROR(INDEX(입고!$H$8:$H$1013,SMALL(IF(입고!$C$8:$C$1013=마스터!$M$14,ROW(입고!$C$8:$C$1013)-7),11)),"")</f>
        <v/>
      </c>
      <c r="F22" s="46" t="str">
        <f t="array" ref="F22">IFERROR(INDEX(입고!$I$8:$I$1013,SMALL(IF(입고!$C$8:$C$1013=마스터!$M$14,ROW(입고!$C$8:$C$1013)-7),11)),"")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IFERROR(INDEX(입고!$B$8:$B$1013,SMALL(IF(입고!$C$8:$C$1013=마스터!$M$14,ROW(입고!$C$8:$C$1013)-7),12)),"")</f>
        <v/>
      </c>
      <c r="C23" s="11" t="str">
        <f t="array" ref="C23">IFERROR(INDEX(입고!$E$8:$E$1013,SMALL(IF(입고!$C$8:$C$1013=마스터!$M$14,ROW(입고!$C$8:$C$1013)-7),12)),"")</f>
        <v/>
      </c>
      <c r="D23" s="13" t="str">
        <f t="array" ref="D23">IFERROR(INDEX(입고!$F$8:$F$1013,SMALL(IF(입고!$C$8:$C$1013=마스터!$M$14,ROW(입고!$C$8:$C$1013)-7),12)),"")</f>
        <v/>
      </c>
      <c r="E23" s="50" t="str">
        <f t="array" ref="E23">IFERROR(INDEX(입고!$H$8:$H$1013,SMALL(IF(입고!$C$8:$C$1013=마스터!$M$14,ROW(입고!$C$8:$C$1013)-7),12)),"")</f>
        <v/>
      </c>
      <c r="F23" s="50" t="str">
        <f t="array" ref="F23">IFERROR(INDEX(입고!$I$8:$I$1013,SMALL(IF(입고!$C$8:$C$1013=마스터!$M$14,ROW(입고!$C$8:$C$1013)-7),12)),"")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IFERROR(INDEX(입고!$B$8:$B$1013,SMALL(IF(입고!$C$8:$C$1013=마스터!$M$14,ROW(입고!$C$8:$C$1013)-7),13)),"")</f>
        <v/>
      </c>
      <c r="C24" s="6" t="str">
        <f t="array" ref="C24">IFERROR(INDEX(입고!$E$8:$E$1013,SMALL(IF(입고!$C$8:$C$1013=마스터!$M$14,ROW(입고!$C$8:$C$1013)-7),13)),"")</f>
        <v/>
      </c>
      <c r="D24" s="8" t="str">
        <f t="array" ref="D24">IFERROR(INDEX(입고!$F$8:$F$1013,SMALL(IF(입고!$C$8:$C$1013=마스터!$M$14,ROW(입고!$C$8:$C$1013)-7),13)),"")</f>
        <v/>
      </c>
      <c r="E24" s="46" t="str">
        <f t="array" ref="E24">IFERROR(INDEX(입고!$H$8:$H$1013,SMALL(IF(입고!$C$8:$C$1013=마스터!$M$14,ROW(입고!$C$8:$C$1013)-7),13)),"")</f>
        <v/>
      </c>
      <c r="F24" s="46" t="str">
        <f t="array" ref="F24">IFERROR(INDEX(입고!$I$8:$I$1013,SMALL(IF(입고!$C$8:$C$1013=마스터!$M$14,ROW(입고!$C$8:$C$1013)-7),13)),"")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IFERROR(INDEX(입고!$B$8:$B$1013,SMALL(IF(입고!$C$8:$C$1013=마스터!$M$14,ROW(입고!$C$8:$C$1013)-7),14)),"")</f>
        <v/>
      </c>
      <c r="C25" s="11" t="str">
        <f t="array" ref="C25">IFERROR(INDEX(입고!$E$8:$E$1013,SMALL(IF(입고!$C$8:$C$1013=마스터!$M$14,ROW(입고!$C$8:$C$1013)-7),14)),"")</f>
        <v/>
      </c>
      <c r="D25" s="13" t="str">
        <f t="array" ref="D25">IFERROR(INDEX(입고!$F$8:$F$1013,SMALL(IF(입고!$C$8:$C$1013=마스터!$M$14,ROW(입고!$C$8:$C$1013)-7),14)),"")</f>
        <v/>
      </c>
      <c r="E25" s="50" t="str">
        <f t="array" ref="E25">IFERROR(INDEX(입고!$H$8:$H$1013,SMALL(IF(입고!$C$8:$C$1013=마스터!$M$14,ROW(입고!$C$8:$C$1013)-7),14)),"")</f>
        <v/>
      </c>
      <c r="F25" s="50" t="str">
        <f t="array" ref="F25">IFERROR(INDEX(입고!$I$8:$I$1013,SMALL(IF(입고!$C$8:$C$1013=마스터!$M$14,ROW(입고!$C$8:$C$1013)-7),14)),"")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IFERROR(INDEX(입고!$B$8:$B$1013,SMALL(IF(입고!$C$8:$C$1013=마스터!$M$14,ROW(입고!$C$8:$C$1013)-7),15)),"")</f>
        <v/>
      </c>
      <c r="C26" s="6" t="str">
        <f t="array" ref="C26">IFERROR(INDEX(입고!$E$8:$E$1013,SMALL(IF(입고!$C$8:$C$1013=마스터!$M$14,ROW(입고!$C$8:$C$1013)-7),15)),"")</f>
        <v/>
      </c>
      <c r="D26" s="8" t="str">
        <f t="array" ref="D26">IFERROR(INDEX(입고!$F$8:$F$1013,SMALL(IF(입고!$C$8:$C$1013=마스터!$M$14,ROW(입고!$C$8:$C$1013)-7),15)),"")</f>
        <v/>
      </c>
      <c r="E26" s="46" t="str">
        <f t="array" ref="E26">IFERROR(INDEX(입고!$H$8:$H$1013,SMALL(IF(입고!$C$8:$C$1013=마스터!$M$14,ROW(입고!$C$8:$C$1013)-7),15)),"")</f>
        <v/>
      </c>
      <c r="F26" s="46" t="str">
        <f t="array" ref="F26">IFERROR(INDEX(입고!$I$8:$I$1013,SMALL(IF(입고!$C$8:$C$1013=마스터!$M$14,ROW(입고!$C$8:$C$1013)-7),15)),"")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IFERROR(INDEX(입고!$B$8:$B$1013,SMALL(IF(입고!$C$8:$C$1013=마스터!$M$14,ROW(입고!$C$8:$C$1013)-7),16)),"")</f>
        <v/>
      </c>
      <c r="C27" s="11" t="str">
        <f t="array" ref="C27">IFERROR(INDEX(입고!$E$8:$E$1013,SMALL(IF(입고!$C$8:$C$1013=마스터!$M$14,ROW(입고!$C$8:$C$1013)-7),16)),"")</f>
        <v/>
      </c>
      <c r="D27" s="13" t="str">
        <f t="array" ref="D27">IFERROR(INDEX(입고!$F$8:$F$1013,SMALL(IF(입고!$C$8:$C$1013=마스터!$M$14,ROW(입고!$C$8:$C$1013)-7),16)),"")</f>
        <v/>
      </c>
      <c r="E27" s="50" t="str">
        <f t="array" ref="E27">IFERROR(INDEX(입고!$H$8:$H$1013,SMALL(IF(입고!$C$8:$C$1013=마스터!$M$14,ROW(입고!$C$8:$C$1013)-7),16)),"")</f>
        <v/>
      </c>
      <c r="F27" s="50" t="str">
        <f t="array" ref="F27">IFERROR(INDEX(입고!$I$8:$I$1013,SMALL(IF(입고!$C$8:$C$1013=마스터!$M$14,ROW(입고!$C$8:$C$1013)-7),16)),"")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IFERROR(INDEX(입고!$B$8:$B$1013,SMALL(IF(입고!$C$8:$C$1013=마스터!$M$14,ROW(입고!$C$8:$C$1013)-7),17)),"")</f>
        <v/>
      </c>
      <c r="C28" s="6" t="str">
        <f t="array" ref="C28">IFERROR(INDEX(입고!$E$8:$E$1013,SMALL(IF(입고!$C$8:$C$1013=마스터!$M$14,ROW(입고!$C$8:$C$1013)-7),17)),"")</f>
        <v/>
      </c>
      <c r="D28" s="8" t="str">
        <f t="array" ref="D28">IFERROR(INDEX(입고!$F$8:$F$1013,SMALL(IF(입고!$C$8:$C$1013=마스터!$M$14,ROW(입고!$C$8:$C$1013)-7),17)),"")</f>
        <v/>
      </c>
      <c r="E28" s="46" t="str">
        <f t="array" ref="E28">IFERROR(INDEX(입고!$H$8:$H$1013,SMALL(IF(입고!$C$8:$C$1013=마스터!$M$14,ROW(입고!$C$8:$C$1013)-7),17)),"")</f>
        <v/>
      </c>
      <c r="F28" s="46" t="str">
        <f t="array" ref="F28">IFERROR(INDEX(입고!$I$8:$I$1013,SMALL(IF(입고!$C$8:$C$1013=마스터!$M$14,ROW(입고!$C$8:$C$1013)-7),17)),"")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IFERROR(INDEX(입고!$B$8:$B$1013,SMALL(IF(입고!$C$8:$C$1013=마스터!$M$14,ROW(입고!$C$8:$C$1013)-7),18)),"")</f>
        <v/>
      </c>
      <c r="C29" s="11" t="str">
        <f t="array" ref="C29">IFERROR(INDEX(입고!$E$8:$E$1013,SMALL(IF(입고!$C$8:$C$1013=마스터!$M$14,ROW(입고!$C$8:$C$1013)-7),18)),"")</f>
        <v/>
      </c>
      <c r="D29" s="13" t="str">
        <f t="array" ref="D29">IFERROR(INDEX(입고!$F$8:$F$1013,SMALL(IF(입고!$C$8:$C$1013=마스터!$M$14,ROW(입고!$C$8:$C$1013)-7),18)),"")</f>
        <v/>
      </c>
      <c r="E29" s="50" t="str">
        <f t="array" ref="E29">IFERROR(INDEX(입고!$H$8:$H$1013,SMALL(IF(입고!$C$8:$C$1013=마스터!$M$14,ROW(입고!$C$8:$C$1013)-7),18)),"")</f>
        <v/>
      </c>
      <c r="F29" s="50" t="str">
        <f t="array" ref="F29">IFERROR(INDEX(입고!$I$8:$I$1013,SMALL(IF(입고!$C$8:$C$1013=마스터!$M$14,ROW(입고!$C$8:$C$1013)-7),18)),"")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IFERROR(INDEX(입고!$B$8:$B$1013,SMALL(IF(입고!$C$8:$C$1013=마스터!$M$14,ROW(입고!$C$8:$C$1013)-7),19)),"")</f>
        <v/>
      </c>
      <c r="C30" s="6" t="str">
        <f t="array" ref="C30">IFERROR(INDEX(입고!$E$8:$E$1013,SMALL(IF(입고!$C$8:$C$1013=마스터!$M$14,ROW(입고!$C$8:$C$1013)-7),19)),"")</f>
        <v/>
      </c>
      <c r="D30" s="8" t="str">
        <f t="array" ref="D30">IFERROR(INDEX(입고!$F$8:$F$1013,SMALL(IF(입고!$C$8:$C$1013=마스터!$M$14,ROW(입고!$C$8:$C$1013)-7),19)),"")</f>
        <v/>
      </c>
      <c r="E30" s="46" t="str">
        <f t="array" ref="E30">IFERROR(INDEX(입고!$H$8:$H$1013,SMALL(IF(입고!$C$8:$C$1013=마스터!$M$14,ROW(입고!$C$8:$C$1013)-7),19)),"")</f>
        <v/>
      </c>
      <c r="F30" s="46" t="str">
        <f t="array" ref="F30">IFERROR(INDEX(입고!$I$8:$I$1013,SMALL(IF(입고!$C$8:$C$1013=마스터!$M$14,ROW(입고!$C$8:$C$1013)-7),19)),"")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IFERROR(INDEX(입고!$B$8:$B$1013,SMALL(IF(입고!$C$8:$C$1013=마스터!$M$14,ROW(입고!$C$8:$C$1013)-7),20)),"")</f>
        <v/>
      </c>
      <c r="C31" s="11" t="str">
        <f t="array" ref="C31">IFERROR(INDEX(입고!$E$8:$E$1013,SMALL(IF(입고!$C$8:$C$1013=마스터!$M$14,ROW(입고!$C$8:$C$1013)-7),20)),"")</f>
        <v/>
      </c>
      <c r="D31" s="13" t="str">
        <f t="array" ref="D31">IFERROR(INDEX(입고!$F$8:$F$1013,SMALL(IF(입고!$C$8:$C$1013=마스터!$M$14,ROW(입고!$C$8:$C$1013)-7),20)),"")</f>
        <v/>
      </c>
      <c r="E31" s="50" t="str">
        <f t="array" ref="E31">IFERROR(INDEX(입고!$H$8:$H$1013,SMALL(IF(입고!$C$8:$C$1013=마스터!$M$14,ROW(입고!$C$8:$C$1013)-7),20)),"")</f>
        <v/>
      </c>
      <c r="F31" s="50" t="str">
        <f t="array" ref="F31">IFERROR(INDEX(입고!$I$8:$I$1013,SMALL(IF(입고!$C$8:$C$1013=마스터!$M$14,ROW(입고!$C$8:$C$1013)-7),20)),"")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IFERROR(INDEX(입고!$B$8:$B$1013,SMALL(IF(입고!$C$8:$C$1013=마스터!$M$14,ROW(입고!$C$8:$C$1013)-7),21)),"")</f>
        <v/>
      </c>
      <c r="C32" s="6" t="str">
        <f t="array" ref="C32">IFERROR(INDEX(입고!$E$8:$E$1013,SMALL(IF(입고!$C$8:$C$1013=마스터!$M$14,ROW(입고!$C$8:$C$1013)-7),21)),"")</f>
        <v/>
      </c>
      <c r="D32" s="8" t="str">
        <f t="array" ref="D32">IFERROR(INDEX(입고!$F$8:$F$1013,SMALL(IF(입고!$C$8:$C$1013=마스터!$M$14,ROW(입고!$C$8:$C$1013)-7),21)),"")</f>
        <v/>
      </c>
      <c r="E32" s="46" t="str">
        <f t="array" ref="E32">IFERROR(INDEX(입고!$H$8:$H$1013,SMALL(IF(입고!$C$8:$C$1013=마스터!$M$14,ROW(입고!$C$8:$C$1013)-7),21)),"")</f>
        <v/>
      </c>
      <c r="F32" s="46" t="str">
        <f t="array" ref="F32">IFERROR(INDEX(입고!$I$8:$I$1013,SMALL(IF(입고!$C$8:$C$1013=마스터!$M$14,ROW(입고!$C$8:$C$1013)-7),21)),"")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IFERROR(INDEX(입고!$B$8:$B$1013,SMALL(IF(입고!$C$8:$C$1013=마스터!$M$14,ROW(입고!$C$8:$C$1013)-7),22)),"")</f>
        <v/>
      </c>
      <c r="C33" s="11" t="str">
        <f t="array" ref="C33">IFERROR(INDEX(입고!$E$8:$E$1013,SMALL(IF(입고!$C$8:$C$1013=마스터!$M$14,ROW(입고!$C$8:$C$1013)-7),22)),"")</f>
        <v/>
      </c>
      <c r="D33" s="13" t="str">
        <f t="array" ref="D33">IFERROR(INDEX(입고!$F$8:$F$1013,SMALL(IF(입고!$C$8:$C$1013=마스터!$M$14,ROW(입고!$C$8:$C$1013)-7),22)),"")</f>
        <v/>
      </c>
      <c r="E33" s="50" t="str">
        <f t="array" ref="E33">IFERROR(INDEX(입고!$H$8:$H$1013,SMALL(IF(입고!$C$8:$C$1013=마스터!$M$14,ROW(입고!$C$8:$C$1013)-7),22)),"")</f>
        <v/>
      </c>
      <c r="F33" s="50" t="str">
        <f t="array" ref="F33">IFERROR(INDEX(입고!$I$8:$I$1013,SMALL(IF(입고!$C$8:$C$1013=마스터!$M$14,ROW(입고!$C$8:$C$1013)-7),22)),"")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IFERROR(INDEX(입고!$B$8:$B$1013,SMALL(IF(입고!$C$8:$C$1013=마스터!$M$14,ROW(입고!$C$8:$C$1013)-7),23)),"")</f>
        <v/>
      </c>
      <c r="C34" s="6" t="str">
        <f t="array" ref="C34">IFERROR(INDEX(입고!$E$8:$E$1013,SMALL(IF(입고!$C$8:$C$1013=마스터!$M$14,ROW(입고!$C$8:$C$1013)-7),23)),"")</f>
        <v/>
      </c>
      <c r="D34" s="8" t="str">
        <f t="array" ref="D34">IFERROR(INDEX(입고!$F$8:$F$1013,SMALL(IF(입고!$C$8:$C$1013=마스터!$M$14,ROW(입고!$C$8:$C$1013)-7),23)),"")</f>
        <v/>
      </c>
      <c r="E34" s="46" t="str">
        <f t="array" ref="E34">IFERROR(INDEX(입고!$H$8:$H$1013,SMALL(IF(입고!$C$8:$C$1013=마스터!$M$14,ROW(입고!$C$8:$C$1013)-7),23)),"")</f>
        <v/>
      </c>
      <c r="F34" s="46" t="str">
        <f t="array" ref="F34">IFERROR(INDEX(입고!$I$8:$I$1013,SMALL(IF(입고!$C$8:$C$1013=마스터!$M$14,ROW(입고!$C$8:$C$1013)-7),23)),"")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IFERROR(INDEX(입고!$B$8:$B$1013,SMALL(IF(입고!$C$8:$C$1013=마스터!$M$14,ROW(입고!$C$8:$C$1013)-7),24)),"")</f>
        <v/>
      </c>
      <c r="C35" s="11" t="str">
        <f t="array" ref="C35">IFERROR(INDEX(입고!$E$8:$E$1013,SMALL(IF(입고!$C$8:$C$1013=마스터!$M$14,ROW(입고!$C$8:$C$1013)-7),24)),"")</f>
        <v/>
      </c>
      <c r="D35" s="13" t="str">
        <f t="array" ref="D35">IFERROR(INDEX(입고!$F$8:$F$1013,SMALL(IF(입고!$C$8:$C$1013=마스터!$M$14,ROW(입고!$C$8:$C$1013)-7),24)),"")</f>
        <v/>
      </c>
      <c r="E35" s="50" t="str">
        <f t="array" ref="E35">IFERROR(INDEX(입고!$H$8:$H$1013,SMALL(IF(입고!$C$8:$C$1013=마스터!$M$14,ROW(입고!$C$8:$C$1013)-7),24)),"")</f>
        <v/>
      </c>
      <c r="F35" s="50" t="str">
        <f t="array" ref="F35">IFERROR(INDEX(입고!$I$8:$I$1013,SMALL(IF(입고!$C$8:$C$1013=마스터!$M$14,ROW(입고!$C$8:$C$1013)-7),24)),"")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IFERROR(INDEX(입고!$B$8:$B$1013,SMALL(IF(입고!$C$8:$C$1013=마스터!$M$14,ROW(입고!$C$8:$C$1013)-7),25)),"")</f>
        <v/>
      </c>
      <c r="C36" s="6" t="str">
        <f t="array" ref="C36">IFERROR(INDEX(입고!$E$8:$E$1013,SMALL(IF(입고!$C$8:$C$1013=마스터!$M$14,ROW(입고!$C$8:$C$1013)-7),25)),"")</f>
        <v/>
      </c>
      <c r="D36" s="8" t="str">
        <f t="array" ref="D36">IFERROR(INDEX(입고!$F$8:$F$1013,SMALL(IF(입고!$C$8:$C$1013=마스터!$M$14,ROW(입고!$C$8:$C$1013)-7),25)),"")</f>
        <v/>
      </c>
      <c r="E36" s="46" t="str">
        <f t="array" ref="E36">IFERROR(INDEX(입고!$H$8:$H$1013,SMALL(IF(입고!$C$8:$C$1013=마스터!$M$14,ROW(입고!$C$8:$C$1013)-7),25)),"")</f>
        <v/>
      </c>
      <c r="F36" s="46" t="str">
        <f t="array" ref="F36">IFERROR(INDEX(입고!$I$8:$I$1013,SMALL(IF(입고!$C$8:$C$1013=마스터!$M$14,ROW(입고!$C$8:$C$1013)-7),25)),"")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IFERROR(INDEX(입고!$B$8:$B$1013,SMALL(IF(입고!$C$8:$C$1013=마스터!$M$14,ROW(입고!$C$8:$C$1013)-7),26)),"")</f>
        <v/>
      </c>
      <c r="C37" s="11" t="str">
        <f t="array" ref="C37">IFERROR(INDEX(입고!$E$8:$E$1013,SMALL(IF(입고!$C$8:$C$1013=마스터!$M$14,ROW(입고!$C$8:$C$1013)-7),26)),"")</f>
        <v/>
      </c>
      <c r="D37" s="13" t="str">
        <f t="array" ref="D37">IFERROR(INDEX(입고!$F$8:$F$1013,SMALL(IF(입고!$C$8:$C$1013=마스터!$M$14,ROW(입고!$C$8:$C$1013)-7),26)),"")</f>
        <v/>
      </c>
      <c r="E37" s="50" t="str">
        <f t="array" ref="E37">IFERROR(INDEX(입고!$H$8:$H$1013,SMALL(IF(입고!$C$8:$C$1013=마스터!$M$14,ROW(입고!$C$8:$C$1013)-7),26)),"")</f>
        <v/>
      </c>
      <c r="F37" s="50" t="str">
        <f t="array" ref="F37">IFERROR(INDEX(입고!$I$8:$I$1013,SMALL(IF(입고!$C$8:$C$1013=마스터!$M$14,ROW(입고!$C$8:$C$1013)-7),26)),"")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IFERROR(INDEX(입고!$B$8:$B$1013,SMALL(IF(입고!$C$8:$C$1013=마스터!$M$14,ROW(입고!$C$8:$C$1013)-7),27)),"")</f>
        <v/>
      </c>
      <c r="C38" s="6" t="str">
        <f t="array" ref="C38">IFERROR(INDEX(입고!$E$8:$E$1013,SMALL(IF(입고!$C$8:$C$1013=마스터!$M$14,ROW(입고!$C$8:$C$1013)-7),27)),"")</f>
        <v/>
      </c>
      <c r="D38" s="8" t="str">
        <f t="array" ref="D38">IFERROR(INDEX(입고!$F$8:$F$1013,SMALL(IF(입고!$C$8:$C$1013=마스터!$M$14,ROW(입고!$C$8:$C$1013)-7),27)),"")</f>
        <v/>
      </c>
      <c r="E38" s="46" t="str">
        <f t="array" ref="E38">IFERROR(INDEX(입고!$H$8:$H$1013,SMALL(IF(입고!$C$8:$C$1013=마스터!$M$14,ROW(입고!$C$8:$C$1013)-7),27)),"")</f>
        <v/>
      </c>
      <c r="F38" s="46" t="str">
        <f t="array" ref="F38">IFERROR(INDEX(입고!$I$8:$I$1013,SMALL(IF(입고!$C$8:$C$1013=마스터!$M$14,ROW(입고!$C$8:$C$1013)-7),27)),"")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IFERROR(INDEX(입고!$B$8:$B$1013,SMALL(IF(입고!$C$8:$C$1013=마스터!$M$14,ROW(입고!$C$8:$C$1013)-7),28)),"")</f>
        <v/>
      </c>
      <c r="C39" s="11" t="str">
        <f t="array" ref="C39">IFERROR(INDEX(입고!$E$8:$E$1013,SMALL(IF(입고!$C$8:$C$1013=마스터!$M$14,ROW(입고!$C$8:$C$1013)-7),28)),"")</f>
        <v/>
      </c>
      <c r="D39" s="13" t="str">
        <f t="array" ref="D39">IFERROR(INDEX(입고!$F$8:$F$1013,SMALL(IF(입고!$C$8:$C$1013=마스터!$M$14,ROW(입고!$C$8:$C$1013)-7),28)),"")</f>
        <v/>
      </c>
      <c r="E39" s="50" t="str">
        <f t="array" ref="E39">IFERROR(INDEX(입고!$H$8:$H$1013,SMALL(IF(입고!$C$8:$C$1013=마스터!$M$14,ROW(입고!$C$8:$C$1013)-7),28)),"")</f>
        <v/>
      </c>
      <c r="F39" s="50" t="str">
        <f t="array" ref="F39">IFERROR(INDEX(입고!$I$8:$I$1013,SMALL(IF(입고!$C$8:$C$1013=마스터!$M$14,ROW(입고!$C$8:$C$1013)-7),28)),"")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IFERROR(INDEX(입고!$B$8:$B$1013,SMALL(IF(입고!$C$8:$C$1013=마스터!$M$14,ROW(입고!$C$8:$C$1013)-7),29)),"")</f>
        <v/>
      </c>
      <c r="C40" s="6" t="str">
        <f t="array" ref="C40">IFERROR(INDEX(입고!$E$8:$E$1013,SMALL(IF(입고!$C$8:$C$1013=마스터!$M$14,ROW(입고!$C$8:$C$1013)-7),29)),"")</f>
        <v/>
      </c>
      <c r="D40" s="8" t="str">
        <f t="array" ref="D40">IFERROR(INDEX(입고!$F$8:$F$1013,SMALL(IF(입고!$C$8:$C$1013=마스터!$M$14,ROW(입고!$C$8:$C$1013)-7),29)),"")</f>
        <v/>
      </c>
      <c r="E40" s="46" t="str">
        <f t="array" ref="E40">IFERROR(INDEX(입고!$H$8:$H$1013,SMALL(IF(입고!$C$8:$C$1013=마스터!$M$14,ROW(입고!$C$8:$C$1013)-7),29)),"")</f>
        <v/>
      </c>
      <c r="F40" s="46" t="str">
        <f t="array" ref="F40">IFERROR(INDEX(입고!$I$8:$I$1013,SMALL(IF(입고!$C$8:$C$1013=마스터!$M$14,ROW(입고!$C$8:$C$1013)-7),29)),"")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IFERROR(INDEX(입고!$B$8:$B$1013,SMALL(IF(입고!$C$8:$C$1013=마스터!$M$14,ROW(입고!$C$8:$C$1013)-7),30)),"")</f>
        <v/>
      </c>
      <c r="C41" s="11" t="str">
        <f t="array" ref="C41">IFERROR(INDEX(입고!$E$8:$E$1013,SMALL(IF(입고!$C$8:$C$1013=마스터!$M$14,ROW(입고!$C$8:$C$1013)-7),30)),"")</f>
        <v/>
      </c>
      <c r="D41" s="13" t="str">
        <f t="array" ref="D41">IFERROR(INDEX(입고!$F$8:$F$1013,SMALL(IF(입고!$C$8:$C$1013=마스터!$M$14,ROW(입고!$C$8:$C$1013)-7),30)),"")</f>
        <v/>
      </c>
      <c r="E41" s="50" t="str">
        <f t="array" ref="E41">IFERROR(INDEX(입고!$H$8:$H$1013,SMALL(IF(입고!$C$8:$C$1013=마스터!$M$14,ROW(입고!$C$8:$C$1013)-7),30)),"")</f>
        <v/>
      </c>
      <c r="F41" s="50" t="str">
        <f t="array" ref="F41">IFERROR(INDEX(입고!$I$8:$I$1013,SMALL(IF(입고!$C$8:$C$1013=마스터!$M$14,ROW(입고!$C$8:$C$1013)-7),30)),"")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IFERROR(INDEX(출고!$B$8:$B$1013,SMALL(IF(출고!$C$8:$C$1013=마스터!$M$14,ROW(출고!$C$8:$C$1013)-7),1)),"")</f>
        <v/>
      </c>
      <c r="C45" s="6" t="str">
        <f t="array" ref="C45">IFERROR(INDEX(출고!$E$8:$E$1013,SMALL(IF(출고!$C$8:$C$1013=마스터!$M$14,ROW(출고!$C$8:$C$1013)-7),1)),"")</f>
        <v/>
      </c>
      <c r="D45" s="8" t="str">
        <f t="array" ref="D45">IFERROR(INDEX(출고!$F$8:$F$1013,SMALL(IF(출고!$C$8:$C$1013=마스터!$M$14,ROW(출고!$C$8:$C$1013)-7),1)),"")</f>
        <v/>
      </c>
      <c r="E45" s="46" t="str">
        <f t="array" ref="E45">IFERROR(INDEX(출고!$H$8:$H$1013,SMALL(IF(출고!$C$8:$C$1013=마스터!$M$14,ROW(출고!$C$8:$C$1013)-7),1)),"")</f>
        <v/>
      </c>
      <c r="F45" s="46" t="str">
        <f t="array" ref="F45">IFERROR(INDEX(출고!$I$8:$I$1013,SMALL(IF(출고!$C$8:$C$1013=마스터!$M$14,ROW(출고!$C$8:$C$1013)-7),1)),"")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IFERROR(INDEX(출고!$B$8:$B$1013,SMALL(IF(출고!$C$8:$C$1013=마스터!$M$14,ROW(출고!$C$8:$C$1013)-7),2)),"")</f>
        <v/>
      </c>
      <c r="C46" s="11" t="str">
        <f t="array" ref="C46">IFERROR(INDEX(출고!$E$8:$E$1013,SMALL(IF(출고!$C$8:$C$1013=마스터!$M$14,ROW(출고!$C$8:$C$1013)-7),2)),"")</f>
        <v/>
      </c>
      <c r="D46" s="13" t="str">
        <f t="array" ref="D46">IFERROR(INDEX(출고!$F$8:$F$1013,SMALL(IF(출고!$C$8:$C$1013=마스터!$M$14,ROW(출고!$C$8:$C$1013)-7),2)),"")</f>
        <v/>
      </c>
      <c r="E46" s="50" t="str">
        <f t="array" ref="E46">IFERROR(INDEX(출고!$H$8:$H$1013,SMALL(IF(출고!$C$8:$C$1013=마스터!$M$14,ROW(출고!$C$8:$C$1013)-7),2)),"")</f>
        <v/>
      </c>
      <c r="F46" s="50" t="str">
        <f t="array" ref="F46">IFERROR(INDEX(출고!$I$8:$I$1013,SMALL(IF(출고!$C$8:$C$1013=마스터!$M$14,ROW(출고!$C$8:$C$1013)-7),2)),"")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IFERROR(INDEX(출고!$B$8:$B$1013,SMALL(IF(출고!$C$8:$C$1013=마스터!$M$14,ROW(출고!$C$8:$C$1013)-7),3)),"")</f>
        <v/>
      </c>
      <c r="C47" s="6" t="str">
        <f t="array" ref="C47">IFERROR(INDEX(출고!$E$8:$E$1013,SMALL(IF(출고!$C$8:$C$1013=마스터!$M$14,ROW(출고!$C$8:$C$1013)-7),3)),"")</f>
        <v/>
      </c>
      <c r="D47" s="8" t="str">
        <f t="array" ref="D47">IFERROR(INDEX(출고!$F$8:$F$1013,SMALL(IF(출고!$C$8:$C$1013=마스터!$M$14,ROW(출고!$C$8:$C$1013)-7),3)),"")</f>
        <v/>
      </c>
      <c r="E47" s="46" t="str">
        <f t="array" ref="E47">IFERROR(INDEX(출고!$H$8:$H$1013,SMALL(IF(출고!$C$8:$C$1013=마스터!$M$14,ROW(출고!$C$8:$C$1013)-7),3)),"")</f>
        <v/>
      </c>
      <c r="F47" s="46" t="str">
        <f t="array" ref="F47">IFERROR(INDEX(출고!$I$8:$I$1013,SMALL(IF(출고!$C$8:$C$1013=마스터!$M$14,ROW(출고!$C$8:$C$1013)-7),3)),"")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IFERROR(INDEX(출고!$B$8:$B$1013,SMALL(IF(출고!$C$8:$C$1013=마스터!$M$14,ROW(출고!$C$8:$C$1013)-7),4)),"")</f>
        <v/>
      </c>
      <c r="C48" s="11" t="str">
        <f t="array" ref="C48">IFERROR(INDEX(출고!$E$8:$E$1013,SMALL(IF(출고!$C$8:$C$1013=마스터!$M$14,ROW(출고!$C$8:$C$1013)-7),4)),"")</f>
        <v/>
      </c>
      <c r="D48" s="13" t="str">
        <f t="array" ref="D48">IFERROR(INDEX(출고!$F$8:$F$1013,SMALL(IF(출고!$C$8:$C$1013=마스터!$M$14,ROW(출고!$C$8:$C$1013)-7),4)),"")</f>
        <v/>
      </c>
      <c r="E48" s="50" t="str">
        <f t="array" ref="E48">IFERROR(INDEX(출고!$H$8:$H$1013,SMALL(IF(출고!$C$8:$C$1013=마스터!$M$14,ROW(출고!$C$8:$C$1013)-7),4)),"")</f>
        <v/>
      </c>
      <c r="F48" s="50" t="str">
        <f t="array" ref="F48">IFERROR(INDEX(출고!$I$8:$I$1013,SMALL(IF(출고!$C$8:$C$1013=마스터!$M$14,ROW(출고!$C$8:$C$1013)-7),4)),"")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IFERROR(INDEX(출고!$B$8:$B$1013,SMALL(IF(출고!$C$8:$C$1013=마스터!$M$14,ROW(출고!$C$8:$C$1013)-7),5)),"")</f>
        <v/>
      </c>
      <c r="C49" s="6" t="str">
        <f t="array" ref="C49">IFERROR(INDEX(출고!$E$8:$E$1013,SMALL(IF(출고!$C$8:$C$1013=마스터!$M$14,ROW(출고!$C$8:$C$1013)-7),5)),"")</f>
        <v/>
      </c>
      <c r="D49" s="8" t="str">
        <f t="array" ref="D49">IFERROR(INDEX(출고!$F$8:$F$1013,SMALL(IF(출고!$C$8:$C$1013=마스터!$M$14,ROW(출고!$C$8:$C$1013)-7),5)),"")</f>
        <v/>
      </c>
      <c r="E49" s="46" t="str">
        <f t="array" ref="E49">IFERROR(INDEX(출고!$H$8:$H$1013,SMALL(IF(출고!$C$8:$C$1013=마스터!$M$14,ROW(출고!$C$8:$C$1013)-7),5)),"")</f>
        <v/>
      </c>
      <c r="F49" s="46" t="str">
        <f t="array" ref="F49">IFERROR(INDEX(출고!$I$8:$I$1013,SMALL(IF(출고!$C$8:$C$1013=마스터!$M$14,ROW(출고!$C$8:$C$1013)-7),5)),"")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IFERROR(INDEX(출고!$B$8:$B$1013,SMALL(IF(출고!$C$8:$C$1013=마스터!$M$14,ROW(출고!$C$8:$C$1013)-7),6)),"")</f>
        <v/>
      </c>
      <c r="C50" s="11" t="str">
        <f t="array" ref="C50">IFERROR(INDEX(출고!$E$8:$E$1013,SMALL(IF(출고!$C$8:$C$1013=마스터!$M$14,ROW(출고!$C$8:$C$1013)-7),6)),"")</f>
        <v/>
      </c>
      <c r="D50" s="13" t="str">
        <f t="array" ref="D50">IFERROR(INDEX(출고!$F$8:$F$1013,SMALL(IF(출고!$C$8:$C$1013=마스터!$M$14,ROW(출고!$C$8:$C$1013)-7),6)),"")</f>
        <v/>
      </c>
      <c r="E50" s="50" t="str">
        <f t="array" ref="E50">IFERROR(INDEX(출고!$H$8:$H$1013,SMALL(IF(출고!$C$8:$C$1013=마스터!$M$14,ROW(출고!$C$8:$C$1013)-7),6)),"")</f>
        <v/>
      </c>
      <c r="F50" s="50" t="str">
        <f t="array" ref="F50">IFERROR(INDEX(출고!$I$8:$I$1013,SMALL(IF(출고!$C$8:$C$1013=마스터!$M$14,ROW(출고!$C$8:$C$1013)-7),6)),"")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IFERROR(INDEX(출고!$B$8:$B$1013,SMALL(IF(출고!$C$8:$C$1013=마스터!$M$14,ROW(출고!$C$8:$C$1013)-7),7)),"")</f>
        <v/>
      </c>
      <c r="C51" s="6" t="str">
        <f t="array" ref="C51">IFERROR(INDEX(출고!$E$8:$E$1013,SMALL(IF(출고!$C$8:$C$1013=마스터!$M$14,ROW(출고!$C$8:$C$1013)-7),7)),"")</f>
        <v/>
      </c>
      <c r="D51" s="8" t="str">
        <f t="array" ref="D51">IFERROR(INDEX(출고!$F$8:$F$1013,SMALL(IF(출고!$C$8:$C$1013=마스터!$M$14,ROW(출고!$C$8:$C$1013)-7),7)),"")</f>
        <v/>
      </c>
      <c r="E51" s="46" t="str">
        <f t="array" ref="E51">IFERROR(INDEX(출고!$H$8:$H$1013,SMALL(IF(출고!$C$8:$C$1013=마스터!$M$14,ROW(출고!$C$8:$C$1013)-7),7)),"")</f>
        <v/>
      </c>
      <c r="F51" s="46" t="str">
        <f t="array" ref="F51">IFERROR(INDEX(출고!$I$8:$I$1013,SMALL(IF(출고!$C$8:$C$1013=마스터!$M$14,ROW(출고!$C$8:$C$1013)-7),7)),"")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IFERROR(INDEX(출고!$B$8:$B$1013,SMALL(IF(출고!$C$8:$C$1013=마스터!$M$14,ROW(출고!$C$8:$C$1013)-7),8)),"")</f>
        <v/>
      </c>
      <c r="C52" s="11" t="str">
        <f t="array" ref="C52">IFERROR(INDEX(출고!$E$8:$E$1013,SMALL(IF(출고!$C$8:$C$1013=마스터!$M$14,ROW(출고!$C$8:$C$1013)-7),8)),"")</f>
        <v/>
      </c>
      <c r="D52" s="13" t="str">
        <f t="array" ref="D52">IFERROR(INDEX(출고!$F$8:$F$1013,SMALL(IF(출고!$C$8:$C$1013=마스터!$M$14,ROW(출고!$C$8:$C$1013)-7),8)),"")</f>
        <v/>
      </c>
      <c r="E52" s="50" t="str">
        <f t="array" ref="E52">IFERROR(INDEX(출고!$H$8:$H$1013,SMALL(IF(출고!$C$8:$C$1013=마스터!$M$14,ROW(출고!$C$8:$C$1013)-7),8)),"")</f>
        <v/>
      </c>
      <c r="F52" s="50" t="str">
        <f t="array" ref="F52">IFERROR(INDEX(출고!$I$8:$I$1013,SMALL(IF(출고!$C$8:$C$1013=마스터!$M$14,ROW(출고!$C$8:$C$1013)-7),8)),"")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IFERROR(INDEX(출고!$B$8:$B$1013,SMALL(IF(출고!$C$8:$C$1013=마스터!$M$14,ROW(출고!$C$8:$C$1013)-7),9)),"")</f>
        <v/>
      </c>
      <c r="C53" s="6" t="str">
        <f t="array" ref="C53">IFERROR(INDEX(출고!$E$8:$E$1013,SMALL(IF(출고!$C$8:$C$1013=마스터!$M$14,ROW(출고!$C$8:$C$1013)-7),9)),"")</f>
        <v/>
      </c>
      <c r="D53" s="8" t="str">
        <f t="array" ref="D53">IFERROR(INDEX(출고!$F$8:$F$1013,SMALL(IF(출고!$C$8:$C$1013=마스터!$M$14,ROW(출고!$C$8:$C$1013)-7),9)),"")</f>
        <v/>
      </c>
      <c r="E53" s="46" t="str">
        <f t="array" ref="E53">IFERROR(INDEX(출고!$H$8:$H$1013,SMALL(IF(출고!$C$8:$C$1013=마스터!$M$14,ROW(출고!$C$8:$C$1013)-7),9)),"")</f>
        <v/>
      </c>
      <c r="F53" s="46" t="str">
        <f t="array" ref="F53">IFERROR(INDEX(출고!$I$8:$I$1013,SMALL(IF(출고!$C$8:$C$1013=마스터!$M$14,ROW(출고!$C$8:$C$1013)-7),9)),"")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IFERROR(INDEX(출고!$B$8:$B$1013,SMALL(IF(출고!$C$8:$C$1013=마스터!$M$14,ROW(출고!$C$8:$C$1013)-7),10)),"")</f>
        <v/>
      </c>
      <c r="C54" s="11" t="str">
        <f t="array" ref="C54">IFERROR(INDEX(출고!$E$8:$E$1013,SMALL(IF(출고!$C$8:$C$1013=마스터!$M$14,ROW(출고!$C$8:$C$1013)-7),10)),"")</f>
        <v/>
      </c>
      <c r="D54" s="13" t="str">
        <f t="array" ref="D54">IFERROR(INDEX(출고!$F$8:$F$1013,SMALL(IF(출고!$C$8:$C$1013=마스터!$M$14,ROW(출고!$C$8:$C$1013)-7),10)),"")</f>
        <v/>
      </c>
      <c r="E54" s="50" t="str">
        <f t="array" ref="E54">IFERROR(INDEX(출고!$H$8:$H$1013,SMALL(IF(출고!$C$8:$C$1013=마스터!$M$14,ROW(출고!$C$8:$C$1013)-7),10)),"")</f>
        <v/>
      </c>
      <c r="F54" s="50" t="str">
        <f t="array" ref="F54">IFERROR(INDEX(출고!$I$8:$I$1013,SMALL(IF(출고!$C$8:$C$1013=마스터!$M$14,ROW(출고!$C$8:$C$1013)-7),10)),"")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IFERROR(INDEX(출고!$B$8:$B$1013,SMALL(IF(출고!$C$8:$C$1013=마스터!$M$14,ROW(출고!$C$8:$C$1013)-7),11)),"")</f>
        <v/>
      </c>
      <c r="C55" s="6" t="str">
        <f t="array" ref="C55">IFERROR(INDEX(출고!$E$8:$E$1013,SMALL(IF(출고!$C$8:$C$1013=마스터!$M$14,ROW(출고!$C$8:$C$1013)-7),11)),"")</f>
        <v/>
      </c>
      <c r="D55" s="8" t="str">
        <f t="array" ref="D55">IFERROR(INDEX(출고!$F$8:$F$1013,SMALL(IF(출고!$C$8:$C$1013=마스터!$M$14,ROW(출고!$C$8:$C$1013)-7),11)),"")</f>
        <v/>
      </c>
      <c r="E55" s="46" t="str">
        <f t="array" ref="E55">IFERROR(INDEX(출고!$H$8:$H$1013,SMALL(IF(출고!$C$8:$C$1013=마스터!$M$14,ROW(출고!$C$8:$C$1013)-7),11)),"")</f>
        <v/>
      </c>
      <c r="F55" s="46" t="str">
        <f t="array" ref="F55">IFERROR(INDEX(출고!$I$8:$I$1013,SMALL(IF(출고!$C$8:$C$1013=마스터!$M$14,ROW(출고!$C$8:$C$1013)-7),11)),"")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IFERROR(INDEX(출고!$B$8:$B$1013,SMALL(IF(출고!$C$8:$C$1013=마스터!$M$14,ROW(출고!$C$8:$C$1013)-7),12)),"")</f>
        <v/>
      </c>
      <c r="C56" s="11" t="str">
        <f t="array" ref="C56">IFERROR(INDEX(출고!$E$8:$E$1013,SMALL(IF(출고!$C$8:$C$1013=마스터!$M$14,ROW(출고!$C$8:$C$1013)-7),12)),"")</f>
        <v/>
      </c>
      <c r="D56" s="13" t="str">
        <f t="array" ref="D56">IFERROR(INDEX(출고!$F$8:$F$1013,SMALL(IF(출고!$C$8:$C$1013=마스터!$M$14,ROW(출고!$C$8:$C$1013)-7),12)),"")</f>
        <v/>
      </c>
      <c r="E56" s="50" t="str">
        <f t="array" ref="E56">IFERROR(INDEX(출고!$H$8:$H$1013,SMALL(IF(출고!$C$8:$C$1013=마스터!$M$14,ROW(출고!$C$8:$C$1013)-7),12)),"")</f>
        <v/>
      </c>
      <c r="F56" s="50" t="str">
        <f t="array" ref="F56">IFERROR(INDEX(출고!$I$8:$I$1013,SMALL(IF(출고!$C$8:$C$1013=마스터!$M$14,ROW(출고!$C$8:$C$1013)-7),12)),"")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IFERROR(INDEX(출고!$B$8:$B$1013,SMALL(IF(출고!$C$8:$C$1013=마스터!$M$14,ROW(출고!$C$8:$C$1013)-7),13)),"")</f>
        <v/>
      </c>
      <c r="C57" s="6" t="str">
        <f t="array" ref="C57">IFERROR(INDEX(출고!$E$8:$E$1013,SMALL(IF(출고!$C$8:$C$1013=마스터!$M$14,ROW(출고!$C$8:$C$1013)-7),13)),"")</f>
        <v/>
      </c>
      <c r="D57" s="8" t="str">
        <f t="array" ref="D57">IFERROR(INDEX(출고!$F$8:$F$1013,SMALL(IF(출고!$C$8:$C$1013=마스터!$M$14,ROW(출고!$C$8:$C$1013)-7),13)),"")</f>
        <v/>
      </c>
      <c r="E57" s="46" t="str">
        <f t="array" ref="E57">IFERROR(INDEX(출고!$H$8:$H$1013,SMALL(IF(출고!$C$8:$C$1013=마스터!$M$14,ROW(출고!$C$8:$C$1013)-7),13)),"")</f>
        <v/>
      </c>
      <c r="F57" s="46" t="str">
        <f t="array" ref="F57">IFERROR(INDEX(출고!$I$8:$I$1013,SMALL(IF(출고!$C$8:$C$1013=마스터!$M$14,ROW(출고!$C$8:$C$1013)-7),13)),"")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IFERROR(INDEX(출고!$B$8:$B$1013,SMALL(IF(출고!$C$8:$C$1013=마스터!$M$14,ROW(출고!$C$8:$C$1013)-7),14)),"")</f>
        <v/>
      </c>
      <c r="C58" s="11" t="str">
        <f t="array" ref="C58">IFERROR(INDEX(출고!$E$8:$E$1013,SMALL(IF(출고!$C$8:$C$1013=마스터!$M$14,ROW(출고!$C$8:$C$1013)-7),14)),"")</f>
        <v/>
      </c>
      <c r="D58" s="13" t="str">
        <f t="array" ref="D58">IFERROR(INDEX(출고!$F$8:$F$1013,SMALL(IF(출고!$C$8:$C$1013=마스터!$M$14,ROW(출고!$C$8:$C$1013)-7),14)),"")</f>
        <v/>
      </c>
      <c r="E58" s="50" t="str">
        <f t="array" ref="E58">IFERROR(INDEX(출고!$H$8:$H$1013,SMALL(IF(출고!$C$8:$C$1013=마스터!$M$14,ROW(출고!$C$8:$C$1013)-7),14)),"")</f>
        <v/>
      </c>
      <c r="F58" s="50" t="str">
        <f t="array" ref="F58">IFERROR(INDEX(출고!$I$8:$I$1013,SMALL(IF(출고!$C$8:$C$1013=마스터!$M$14,ROW(출고!$C$8:$C$1013)-7),14)),"")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IFERROR(INDEX(출고!$B$8:$B$1013,SMALL(IF(출고!$C$8:$C$1013=마스터!$M$14,ROW(출고!$C$8:$C$1013)-7),15)),"")</f>
        <v/>
      </c>
      <c r="C59" s="6" t="str">
        <f t="array" ref="C59">IFERROR(INDEX(출고!$E$8:$E$1013,SMALL(IF(출고!$C$8:$C$1013=마스터!$M$14,ROW(출고!$C$8:$C$1013)-7),15)),"")</f>
        <v/>
      </c>
      <c r="D59" s="8" t="str">
        <f t="array" ref="D59">IFERROR(INDEX(출고!$F$8:$F$1013,SMALL(IF(출고!$C$8:$C$1013=마스터!$M$14,ROW(출고!$C$8:$C$1013)-7),15)),"")</f>
        <v/>
      </c>
      <c r="E59" s="46" t="str">
        <f t="array" ref="E59">IFERROR(INDEX(출고!$H$8:$H$1013,SMALL(IF(출고!$C$8:$C$1013=마스터!$M$14,ROW(출고!$C$8:$C$1013)-7),15)),"")</f>
        <v/>
      </c>
      <c r="F59" s="46" t="str">
        <f t="array" ref="F59">IFERROR(INDEX(출고!$I$8:$I$1013,SMALL(IF(출고!$C$8:$C$1013=마스터!$M$14,ROW(출고!$C$8:$C$1013)-7),15)),"")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IFERROR(INDEX(출고!$B$8:$B$1013,SMALL(IF(출고!$C$8:$C$1013=마스터!$M$14,ROW(출고!$C$8:$C$1013)-7),16)),"")</f>
        <v/>
      </c>
      <c r="C60" s="11" t="str">
        <f t="array" ref="C60">IFERROR(INDEX(출고!$E$8:$E$1013,SMALL(IF(출고!$C$8:$C$1013=마스터!$M$14,ROW(출고!$C$8:$C$1013)-7),16)),"")</f>
        <v/>
      </c>
      <c r="D60" s="13" t="str">
        <f t="array" ref="D60">IFERROR(INDEX(출고!$F$8:$F$1013,SMALL(IF(출고!$C$8:$C$1013=마스터!$M$14,ROW(출고!$C$8:$C$1013)-7),16)),"")</f>
        <v/>
      </c>
      <c r="E60" s="50" t="str">
        <f t="array" ref="E60">IFERROR(INDEX(출고!$H$8:$H$1013,SMALL(IF(출고!$C$8:$C$1013=마스터!$M$14,ROW(출고!$C$8:$C$1013)-7),16)),"")</f>
        <v/>
      </c>
      <c r="F60" s="50" t="str">
        <f t="array" ref="F60">IFERROR(INDEX(출고!$I$8:$I$1013,SMALL(IF(출고!$C$8:$C$1013=마스터!$M$14,ROW(출고!$C$8:$C$1013)-7),16)),"")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IFERROR(INDEX(출고!$B$8:$B$1013,SMALL(IF(출고!$C$8:$C$1013=마스터!$M$14,ROW(출고!$C$8:$C$1013)-7),17)),"")</f>
        <v/>
      </c>
      <c r="C61" s="6" t="str">
        <f t="array" ref="C61">IFERROR(INDEX(출고!$E$8:$E$1013,SMALL(IF(출고!$C$8:$C$1013=마스터!$M$14,ROW(출고!$C$8:$C$1013)-7),17)),"")</f>
        <v/>
      </c>
      <c r="D61" s="8" t="str">
        <f t="array" ref="D61">IFERROR(INDEX(출고!$F$8:$F$1013,SMALL(IF(출고!$C$8:$C$1013=마스터!$M$14,ROW(출고!$C$8:$C$1013)-7),17)),"")</f>
        <v/>
      </c>
      <c r="E61" s="46" t="str">
        <f t="array" ref="E61">IFERROR(INDEX(출고!$H$8:$H$1013,SMALL(IF(출고!$C$8:$C$1013=마스터!$M$14,ROW(출고!$C$8:$C$1013)-7),17)),"")</f>
        <v/>
      </c>
      <c r="F61" s="46" t="str">
        <f t="array" ref="F61">IFERROR(INDEX(출고!$I$8:$I$1013,SMALL(IF(출고!$C$8:$C$1013=마스터!$M$14,ROW(출고!$C$8:$C$1013)-7),17)),"")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IFERROR(INDEX(출고!$B$8:$B$1013,SMALL(IF(출고!$C$8:$C$1013=마스터!$M$14,ROW(출고!$C$8:$C$1013)-7),18)),"")</f>
        <v/>
      </c>
      <c r="C62" s="11" t="str">
        <f t="array" ref="C62">IFERROR(INDEX(출고!$E$8:$E$1013,SMALL(IF(출고!$C$8:$C$1013=마스터!$M$14,ROW(출고!$C$8:$C$1013)-7),18)),"")</f>
        <v/>
      </c>
      <c r="D62" s="13" t="str">
        <f t="array" ref="D62">IFERROR(INDEX(출고!$F$8:$F$1013,SMALL(IF(출고!$C$8:$C$1013=마스터!$M$14,ROW(출고!$C$8:$C$1013)-7),18)),"")</f>
        <v/>
      </c>
      <c r="E62" s="50" t="str">
        <f t="array" ref="E62">IFERROR(INDEX(출고!$H$8:$H$1013,SMALL(IF(출고!$C$8:$C$1013=마스터!$M$14,ROW(출고!$C$8:$C$1013)-7),18)),"")</f>
        <v/>
      </c>
      <c r="F62" s="50" t="str">
        <f t="array" ref="F62">IFERROR(INDEX(출고!$I$8:$I$1013,SMALL(IF(출고!$C$8:$C$1013=마스터!$M$14,ROW(출고!$C$8:$C$1013)-7),18)),"")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IFERROR(INDEX(출고!$B$8:$B$1013,SMALL(IF(출고!$C$8:$C$1013=마스터!$M$14,ROW(출고!$C$8:$C$1013)-7),19)),"")</f>
        <v/>
      </c>
      <c r="C63" s="6" t="str">
        <f t="array" ref="C63">IFERROR(INDEX(출고!$E$8:$E$1013,SMALL(IF(출고!$C$8:$C$1013=마스터!$M$14,ROW(출고!$C$8:$C$1013)-7),19)),"")</f>
        <v/>
      </c>
      <c r="D63" s="8" t="str">
        <f t="array" ref="D63">IFERROR(INDEX(출고!$F$8:$F$1013,SMALL(IF(출고!$C$8:$C$1013=마스터!$M$14,ROW(출고!$C$8:$C$1013)-7),19)),"")</f>
        <v/>
      </c>
      <c r="E63" s="46" t="str">
        <f t="array" ref="E63">IFERROR(INDEX(출고!$H$8:$H$1013,SMALL(IF(출고!$C$8:$C$1013=마스터!$M$14,ROW(출고!$C$8:$C$1013)-7),19)),"")</f>
        <v/>
      </c>
      <c r="F63" s="46" t="str">
        <f t="array" ref="F63">IFERROR(INDEX(출고!$I$8:$I$1013,SMALL(IF(출고!$C$8:$C$1013=마스터!$M$14,ROW(출고!$C$8:$C$1013)-7),19)),"")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IFERROR(INDEX(출고!$B$8:$B$1013,SMALL(IF(출고!$C$8:$C$1013=마스터!$M$14,ROW(출고!$C$8:$C$1013)-7),20)),"")</f>
        <v/>
      </c>
      <c r="C64" s="11" t="str">
        <f t="array" ref="C64">IFERROR(INDEX(출고!$E$8:$E$1013,SMALL(IF(출고!$C$8:$C$1013=마스터!$M$14,ROW(출고!$C$8:$C$1013)-7),20)),"")</f>
        <v/>
      </c>
      <c r="D64" s="13" t="str">
        <f t="array" ref="D64">IFERROR(INDEX(출고!$F$8:$F$1013,SMALL(IF(출고!$C$8:$C$1013=마스터!$M$14,ROW(출고!$C$8:$C$1013)-7),20)),"")</f>
        <v/>
      </c>
      <c r="E64" s="50" t="str">
        <f t="array" ref="E64">IFERROR(INDEX(출고!$H$8:$H$1013,SMALL(IF(출고!$C$8:$C$1013=마스터!$M$14,ROW(출고!$C$8:$C$1013)-7),20)),"")</f>
        <v/>
      </c>
      <c r="F64" s="50" t="str">
        <f t="array" ref="F64">IFERROR(INDEX(출고!$I$8:$I$1013,SMALL(IF(출고!$C$8:$C$1013=마스터!$M$14,ROW(출고!$C$8:$C$1013)-7),20)),"")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IFERROR(INDEX(출고!$B$8:$B$1013,SMALL(IF(출고!$C$8:$C$1013=마스터!$M$14,ROW(출고!$C$8:$C$1013)-7),21)),"")</f>
        <v/>
      </c>
      <c r="C65" s="6" t="str">
        <f t="array" ref="C65">IFERROR(INDEX(출고!$E$8:$E$1013,SMALL(IF(출고!$C$8:$C$1013=마스터!$M$14,ROW(출고!$C$8:$C$1013)-7),21)),"")</f>
        <v/>
      </c>
      <c r="D65" s="8" t="str">
        <f t="array" ref="D65">IFERROR(INDEX(출고!$F$8:$F$1013,SMALL(IF(출고!$C$8:$C$1013=마스터!$M$14,ROW(출고!$C$8:$C$1013)-7),21)),"")</f>
        <v/>
      </c>
      <c r="E65" s="46" t="str">
        <f t="array" ref="E65">IFERROR(INDEX(출고!$H$8:$H$1013,SMALL(IF(출고!$C$8:$C$1013=마스터!$M$14,ROW(출고!$C$8:$C$1013)-7),21)),"")</f>
        <v/>
      </c>
      <c r="F65" s="46" t="str">
        <f t="array" ref="F65">IFERROR(INDEX(출고!$I$8:$I$1013,SMALL(IF(출고!$C$8:$C$1013=마스터!$M$14,ROW(출고!$C$8:$C$1013)-7),21)),"")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IFERROR(INDEX(출고!$B$8:$B$1013,SMALL(IF(출고!$C$8:$C$1013=마스터!$M$14,ROW(출고!$C$8:$C$1013)-7),22)),"")</f>
        <v/>
      </c>
      <c r="C66" s="11" t="str">
        <f t="array" ref="C66">IFERROR(INDEX(출고!$E$8:$E$1013,SMALL(IF(출고!$C$8:$C$1013=마스터!$M$14,ROW(출고!$C$8:$C$1013)-7),22)),"")</f>
        <v/>
      </c>
      <c r="D66" s="13" t="str">
        <f t="array" ref="D66">IFERROR(INDEX(출고!$F$8:$F$1013,SMALL(IF(출고!$C$8:$C$1013=마스터!$M$14,ROW(출고!$C$8:$C$1013)-7),22)),"")</f>
        <v/>
      </c>
      <c r="E66" s="50" t="str">
        <f t="array" ref="E66">IFERROR(INDEX(출고!$H$8:$H$1013,SMALL(IF(출고!$C$8:$C$1013=마스터!$M$14,ROW(출고!$C$8:$C$1013)-7),22)),"")</f>
        <v/>
      </c>
      <c r="F66" s="50" t="str">
        <f t="array" ref="F66">IFERROR(INDEX(출고!$I$8:$I$1013,SMALL(IF(출고!$C$8:$C$1013=마스터!$M$14,ROW(출고!$C$8:$C$1013)-7),22)),"")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IFERROR(INDEX(출고!$B$8:$B$1013,SMALL(IF(출고!$C$8:$C$1013=마스터!$M$14,ROW(출고!$C$8:$C$1013)-7),23)),"")</f>
        <v/>
      </c>
      <c r="C67" s="6" t="str">
        <f t="array" ref="C67">IFERROR(INDEX(출고!$E$8:$E$1013,SMALL(IF(출고!$C$8:$C$1013=마스터!$M$14,ROW(출고!$C$8:$C$1013)-7),23)),"")</f>
        <v/>
      </c>
      <c r="D67" s="8" t="str">
        <f t="array" ref="D67">IFERROR(INDEX(출고!$F$8:$F$1013,SMALL(IF(출고!$C$8:$C$1013=마스터!$M$14,ROW(출고!$C$8:$C$1013)-7),23)),"")</f>
        <v/>
      </c>
      <c r="E67" s="46" t="str">
        <f t="array" ref="E67">IFERROR(INDEX(출고!$H$8:$H$1013,SMALL(IF(출고!$C$8:$C$1013=마스터!$M$14,ROW(출고!$C$8:$C$1013)-7),23)),"")</f>
        <v/>
      </c>
      <c r="F67" s="46" t="str">
        <f t="array" ref="F67">IFERROR(INDEX(출고!$I$8:$I$1013,SMALL(IF(출고!$C$8:$C$1013=마스터!$M$14,ROW(출고!$C$8:$C$1013)-7),23)),"")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IFERROR(INDEX(출고!$B$8:$B$1013,SMALL(IF(출고!$C$8:$C$1013=마스터!$M$14,ROW(출고!$C$8:$C$1013)-7),24)),"")</f>
        <v/>
      </c>
      <c r="C68" s="11" t="str">
        <f t="array" ref="C68">IFERROR(INDEX(출고!$E$8:$E$1013,SMALL(IF(출고!$C$8:$C$1013=마스터!$M$14,ROW(출고!$C$8:$C$1013)-7),24)),"")</f>
        <v/>
      </c>
      <c r="D68" s="13" t="str">
        <f t="array" ref="D68">IFERROR(INDEX(출고!$F$8:$F$1013,SMALL(IF(출고!$C$8:$C$1013=마스터!$M$14,ROW(출고!$C$8:$C$1013)-7),24)),"")</f>
        <v/>
      </c>
      <c r="E68" s="50" t="str">
        <f t="array" ref="E68">IFERROR(INDEX(출고!$H$8:$H$1013,SMALL(IF(출고!$C$8:$C$1013=마스터!$M$14,ROW(출고!$C$8:$C$1013)-7),24)),"")</f>
        <v/>
      </c>
      <c r="F68" s="50" t="str">
        <f t="array" ref="F68">IFERROR(INDEX(출고!$I$8:$I$1013,SMALL(IF(출고!$C$8:$C$1013=마스터!$M$14,ROW(출고!$C$8:$C$1013)-7),24)),"")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IFERROR(INDEX(출고!$B$8:$B$1013,SMALL(IF(출고!$C$8:$C$1013=마스터!$M$14,ROW(출고!$C$8:$C$1013)-7),25)),"")</f>
        <v/>
      </c>
      <c r="C69" s="6" t="str">
        <f t="array" ref="C69">IFERROR(INDEX(출고!$E$8:$E$1013,SMALL(IF(출고!$C$8:$C$1013=마스터!$M$14,ROW(출고!$C$8:$C$1013)-7),25)),"")</f>
        <v/>
      </c>
      <c r="D69" s="8" t="str">
        <f t="array" ref="D69">IFERROR(INDEX(출고!$F$8:$F$1013,SMALL(IF(출고!$C$8:$C$1013=마스터!$M$14,ROW(출고!$C$8:$C$1013)-7),25)),"")</f>
        <v/>
      </c>
      <c r="E69" s="46" t="str">
        <f t="array" ref="E69">IFERROR(INDEX(출고!$H$8:$H$1013,SMALL(IF(출고!$C$8:$C$1013=마스터!$M$14,ROW(출고!$C$8:$C$1013)-7),25)),"")</f>
        <v/>
      </c>
      <c r="F69" s="46" t="str">
        <f t="array" ref="F69">IFERROR(INDEX(출고!$I$8:$I$1013,SMALL(IF(출고!$C$8:$C$1013=마스터!$M$14,ROW(출고!$C$8:$C$1013)-7),25)),"")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IFERROR(INDEX(출고!$B$8:$B$1013,SMALL(IF(출고!$C$8:$C$1013=마스터!$M$14,ROW(출고!$C$8:$C$1013)-7),26)),"")</f>
        <v/>
      </c>
      <c r="C70" s="11" t="str">
        <f t="array" ref="C70">IFERROR(INDEX(출고!$E$8:$E$1013,SMALL(IF(출고!$C$8:$C$1013=마스터!$M$14,ROW(출고!$C$8:$C$1013)-7),26)),"")</f>
        <v/>
      </c>
      <c r="D70" s="13" t="str">
        <f t="array" ref="D70">IFERROR(INDEX(출고!$F$8:$F$1013,SMALL(IF(출고!$C$8:$C$1013=마스터!$M$14,ROW(출고!$C$8:$C$1013)-7),26)),"")</f>
        <v/>
      </c>
      <c r="E70" s="50" t="str">
        <f t="array" ref="E70">IFERROR(INDEX(출고!$H$8:$H$1013,SMALL(IF(출고!$C$8:$C$1013=마스터!$M$14,ROW(출고!$C$8:$C$1013)-7),26)),"")</f>
        <v/>
      </c>
      <c r="F70" s="50" t="str">
        <f t="array" ref="F70">IFERROR(INDEX(출고!$I$8:$I$1013,SMALL(IF(출고!$C$8:$C$1013=마스터!$M$14,ROW(출고!$C$8:$C$1013)-7),26)),"")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IFERROR(INDEX(출고!$B$8:$B$1013,SMALL(IF(출고!$C$8:$C$1013=마스터!$M$14,ROW(출고!$C$8:$C$1013)-7),27)),"")</f>
        <v/>
      </c>
      <c r="C71" s="6" t="str">
        <f t="array" ref="C71">IFERROR(INDEX(출고!$E$8:$E$1013,SMALL(IF(출고!$C$8:$C$1013=마스터!$M$14,ROW(출고!$C$8:$C$1013)-7),27)),"")</f>
        <v/>
      </c>
      <c r="D71" s="8" t="str">
        <f t="array" ref="D71">IFERROR(INDEX(출고!$F$8:$F$1013,SMALL(IF(출고!$C$8:$C$1013=마스터!$M$14,ROW(출고!$C$8:$C$1013)-7),27)),"")</f>
        <v/>
      </c>
      <c r="E71" s="46" t="str">
        <f t="array" ref="E71">IFERROR(INDEX(출고!$H$8:$H$1013,SMALL(IF(출고!$C$8:$C$1013=마스터!$M$14,ROW(출고!$C$8:$C$1013)-7),27)),"")</f>
        <v/>
      </c>
      <c r="F71" s="46" t="str">
        <f t="array" ref="F71">IFERROR(INDEX(출고!$I$8:$I$1013,SMALL(IF(출고!$C$8:$C$1013=마스터!$M$14,ROW(출고!$C$8:$C$1013)-7),27)),"")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IFERROR(INDEX(출고!$B$8:$B$1013,SMALL(IF(출고!$C$8:$C$1013=마스터!$M$14,ROW(출고!$C$8:$C$1013)-7),28)),"")</f>
        <v/>
      </c>
      <c r="C72" s="11" t="str">
        <f t="array" ref="C72">IFERROR(INDEX(출고!$E$8:$E$1013,SMALL(IF(출고!$C$8:$C$1013=마스터!$M$14,ROW(출고!$C$8:$C$1013)-7),28)),"")</f>
        <v/>
      </c>
      <c r="D72" s="13" t="str">
        <f t="array" ref="D72">IFERROR(INDEX(출고!$F$8:$F$1013,SMALL(IF(출고!$C$8:$C$1013=마스터!$M$14,ROW(출고!$C$8:$C$1013)-7),28)),"")</f>
        <v/>
      </c>
      <c r="E72" s="50" t="str">
        <f t="array" ref="E72">IFERROR(INDEX(출고!$H$8:$H$1013,SMALL(IF(출고!$C$8:$C$1013=마스터!$M$14,ROW(출고!$C$8:$C$1013)-7),28)),"")</f>
        <v/>
      </c>
      <c r="F72" s="50" t="str">
        <f t="array" ref="F72">IFERROR(INDEX(출고!$I$8:$I$1013,SMALL(IF(출고!$C$8:$C$1013=마스터!$M$14,ROW(출고!$C$8:$C$1013)-7),28)),"")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IFERROR(INDEX(출고!$B$8:$B$1013,SMALL(IF(출고!$C$8:$C$1013=마스터!$M$14,ROW(출고!$C$8:$C$1013)-7),29)),"")</f>
        <v/>
      </c>
      <c r="C73" s="6" t="str">
        <f t="array" ref="C73">IFERROR(INDEX(출고!$E$8:$E$1013,SMALL(IF(출고!$C$8:$C$1013=마스터!$M$14,ROW(출고!$C$8:$C$1013)-7),29)),"")</f>
        <v/>
      </c>
      <c r="D73" s="8" t="str">
        <f t="array" ref="D73">IFERROR(INDEX(출고!$F$8:$F$1013,SMALL(IF(출고!$C$8:$C$1013=마스터!$M$14,ROW(출고!$C$8:$C$1013)-7),29)),"")</f>
        <v/>
      </c>
      <c r="E73" s="46" t="str">
        <f t="array" ref="E73">IFERROR(INDEX(출고!$H$8:$H$1013,SMALL(IF(출고!$C$8:$C$1013=마스터!$M$14,ROW(출고!$C$8:$C$1013)-7),29)),"")</f>
        <v/>
      </c>
      <c r="F73" s="46" t="str">
        <f t="array" ref="F73">IFERROR(INDEX(출고!$I$8:$I$1013,SMALL(IF(출고!$C$8:$C$1013=마스터!$M$14,ROW(출고!$C$8:$C$1013)-7),29)),"")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IFERROR(INDEX(출고!$B$8:$B$1013,SMALL(IF(출고!$C$8:$C$1013=마스터!$M$14,ROW(출고!$C$8:$C$1013)-7),30)),"")</f>
        <v/>
      </c>
      <c r="C74" s="11" t="str">
        <f t="array" ref="C74">IFERROR(INDEX(출고!$E$8:$E$1013,SMALL(IF(출고!$C$8:$C$1013=마스터!$M$14,ROW(출고!$C$8:$C$1013)-7),30)),"")</f>
        <v/>
      </c>
      <c r="D74" s="13" t="str">
        <f t="array" ref="D74">IFERROR(INDEX(출고!$F$8:$F$1013,SMALL(IF(출고!$C$8:$C$1013=마스터!$M$14,ROW(출고!$C$8:$C$1013)-7),30)),"")</f>
        <v/>
      </c>
      <c r="E74" s="50" t="str">
        <f t="array" ref="E74">IFERROR(INDEX(출고!$H$8:$H$1013,SMALL(IF(출고!$C$8:$C$1013=마스터!$M$14,ROW(출고!$C$8:$C$1013)-7),30)),"")</f>
        <v/>
      </c>
      <c r="F74" s="50" t="str">
        <f t="array" ref="F74">IFERROR(INDEX(출고!$I$8:$I$1013,SMALL(IF(출고!$C$8:$C$1013=마스터!$M$14,ROW(출고!$C$8:$C$1013)-7),30)),"")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IFERROR(INDEX(입고!$E$8:$E$1013,SMALL(IF((입고!$C$8:$C$1013=마스터!$M$14)*(입고!$AC$8:$AC$1013=1),ROW(입고!$C$8:$C$1013)-7),1)),"")</f>
        <v>260203CW006</v>
      </c>
      <c r="C78" s="8">
        <f>IF(B78="","",SUMIFS(입고!$F$8:$F$1013,입고!$C$8:$C$1013,마스터!$M$14,입고!$E$8:$E$1013,B78))</f>
        <v>10</v>
      </c>
      <c r="D78" s="8">
        <f>IF(B78="","",SUMIFS(출고!$F$8:$F$1013,출고!$C$8:$C$1013,마스터!$M$14,출고!$E$8:$E$1013,B78))</f>
        <v>0</v>
      </c>
      <c r="E78" s="40">
        <f t="shared" ref="E78:E107" si="5">IF(B78="","",C78-D78)</f>
        <v>10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IFERROR(INDEX(입고!$E$8:$E$1013,SMALL(IF((입고!$C$8:$C$1013=마스터!$M$14)*(입고!$AC$8:$AC$1013=1),ROW(입고!$C$8:$C$1013)-7),2)),"")</f>
        <v/>
      </c>
      <c r="C79" s="13" t="str">
        <f>IF(B79="","",SUMIFS(입고!$F$8:$F$1013,입고!$C$8:$C$1013,마스터!$M$14,입고!$E$8:$E$1013,B79))</f>
        <v/>
      </c>
      <c r="D79" s="13" t="str">
        <f>IF(B79="","",SUMIFS(출고!$F$8:$F$1013,출고!$C$8:$C$1013,마스터!$M$14,출고!$E$8:$E$1013,B79))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IFERROR(INDEX(입고!$E$8:$E$1013,SMALL(IF((입고!$C$8:$C$1013=마스터!$M$14)*(입고!$AC$8:$AC$1013=1),ROW(입고!$C$8:$C$1013)-7),3)),"")</f>
        <v/>
      </c>
      <c r="C80" s="8" t="str">
        <f>IF(B80="","",SUMIFS(입고!$F$8:$F$1013,입고!$C$8:$C$1013,마스터!$M$14,입고!$E$8:$E$1013,B80))</f>
        <v/>
      </c>
      <c r="D80" s="8" t="str">
        <f>IF(B80="","",SUMIFS(출고!$F$8:$F$1013,출고!$C$8:$C$1013,마스터!$M$14,출고!$E$8:$E$1013,B80))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IFERROR(INDEX(입고!$E$8:$E$1013,SMALL(IF((입고!$C$8:$C$1013=마스터!$M$14)*(입고!$AC$8:$AC$1013=1),ROW(입고!$C$8:$C$1013)-7),4)),"")</f>
        <v/>
      </c>
      <c r="C81" s="13" t="str">
        <f>IF(B81="","",SUMIFS(입고!$F$8:$F$1013,입고!$C$8:$C$1013,마스터!$M$14,입고!$E$8:$E$1013,B81))</f>
        <v/>
      </c>
      <c r="D81" s="13" t="str">
        <f>IF(B81="","",SUMIFS(출고!$F$8:$F$1013,출고!$C$8:$C$1013,마스터!$M$14,출고!$E$8:$E$1013,B81))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IFERROR(INDEX(입고!$E$8:$E$1013,SMALL(IF((입고!$C$8:$C$1013=마스터!$M$14)*(입고!$AC$8:$AC$1013=1),ROW(입고!$C$8:$C$1013)-7),5)),"")</f>
        <v/>
      </c>
      <c r="C82" s="8" t="str">
        <f>IF(B82="","",SUMIFS(입고!$F$8:$F$1013,입고!$C$8:$C$1013,마스터!$M$14,입고!$E$8:$E$1013,B82))</f>
        <v/>
      </c>
      <c r="D82" s="8" t="str">
        <f>IF(B82="","",SUMIFS(출고!$F$8:$F$1013,출고!$C$8:$C$1013,마스터!$M$14,출고!$E$8:$E$1013,B82))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IFERROR(INDEX(입고!$E$8:$E$1013,SMALL(IF((입고!$C$8:$C$1013=마스터!$M$14)*(입고!$AC$8:$AC$1013=1),ROW(입고!$C$8:$C$1013)-7),6)),"")</f>
        <v/>
      </c>
      <c r="C83" s="13" t="str">
        <f>IF(B83="","",SUMIFS(입고!$F$8:$F$1013,입고!$C$8:$C$1013,마스터!$M$14,입고!$E$8:$E$1013,B83))</f>
        <v/>
      </c>
      <c r="D83" s="13" t="str">
        <f>IF(B83="","",SUMIFS(출고!$F$8:$F$1013,출고!$C$8:$C$1013,마스터!$M$14,출고!$E$8:$E$1013,B83))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IFERROR(INDEX(입고!$E$8:$E$1013,SMALL(IF((입고!$C$8:$C$1013=마스터!$M$14)*(입고!$AC$8:$AC$1013=1),ROW(입고!$C$8:$C$1013)-7),7)),"")</f>
        <v/>
      </c>
      <c r="C84" s="8" t="str">
        <f>IF(B84="","",SUMIFS(입고!$F$8:$F$1013,입고!$C$8:$C$1013,마스터!$M$14,입고!$E$8:$E$1013,B84))</f>
        <v/>
      </c>
      <c r="D84" s="8" t="str">
        <f>IF(B84="","",SUMIFS(출고!$F$8:$F$1013,출고!$C$8:$C$1013,마스터!$M$14,출고!$E$8:$E$1013,B84))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IFERROR(INDEX(입고!$E$8:$E$1013,SMALL(IF((입고!$C$8:$C$1013=마스터!$M$14)*(입고!$AC$8:$AC$1013=1),ROW(입고!$C$8:$C$1013)-7),8)),"")</f>
        <v/>
      </c>
      <c r="C85" s="13" t="str">
        <f>IF(B85="","",SUMIFS(입고!$F$8:$F$1013,입고!$C$8:$C$1013,마스터!$M$14,입고!$E$8:$E$1013,B85))</f>
        <v/>
      </c>
      <c r="D85" s="13" t="str">
        <f>IF(B85="","",SUMIFS(출고!$F$8:$F$1013,출고!$C$8:$C$1013,마스터!$M$14,출고!$E$8:$E$1013,B85))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IFERROR(INDEX(입고!$E$8:$E$1013,SMALL(IF((입고!$C$8:$C$1013=마스터!$M$14)*(입고!$AC$8:$AC$1013=1),ROW(입고!$C$8:$C$1013)-7),9)),"")</f>
        <v/>
      </c>
      <c r="C86" s="8" t="str">
        <f>IF(B86="","",SUMIFS(입고!$F$8:$F$1013,입고!$C$8:$C$1013,마스터!$M$14,입고!$E$8:$E$1013,B86))</f>
        <v/>
      </c>
      <c r="D86" s="8" t="str">
        <f>IF(B86="","",SUMIFS(출고!$F$8:$F$1013,출고!$C$8:$C$1013,마스터!$M$14,출고!$E$8:$E$1013,B86))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IFERROR(INDEX(입고!$E$8:$E$1013,SMALL(IF((입고!$C$8:$C$1013=마스터!$M$14)*(입고!$AC$8:$AC$1013=1),ROW(입고!$C$8:$C$1013)-7),10)),"")</f>
        <v/>
      </c>
      <c r="C87" s="13" t="str">
        <f>IF(B87="","",SUMIFS(입고!$F$8:$F$1013,입고!$C$8:$C$1013,마스터!$M$14,입고!$E$8:$E$1013,B87))</f>
        <v/>
      </c>
      <c r="D87" s="13" t="str">
        <f>IF(B87="","",SUMIFS(출고!$F$8:$F$1013,출고!$C$8:$C$1013,마스터!$M$14,출고!$E$8:$E$1013,B87))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IFERROR(INDEX(입고!$E$8:$E$1013,SMALL(IF((입고!$C$8:$C$1013=마스터!$M$14)*(입고!$AC$8:$AC$1013=1),ROW(입고!$C$8:$C$1013)-7),11)),"")</f>
        <v/>
      </c>
      <c r="C88" s="8" t="str">
        <f>IF(B88="","",SUMIFS(입고!$F$8:$F$1013,입고!$C$8:$C$1013,마스터!$M$14,입고!$E$8:$E$1013,B88))</f>
        <v/>
      </c>
      <c r="D88" s="8" t="str">
        <f>IF(B88="","",SUMIFS(출고!$F$8:$F$1013,출고!$C$8:$C$1013,마스터!$M$14,출고!$E$8:$E$1013,B88))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IFERROR(INDEX(입고!$E$8:$E$1013,SMALL(IF((입고!$C$8:$C$1013=마스터!$M$14)*(입고!$AC$8:$AC$1013=1),ROW(입고!$C$8:$C$1013)-7),12)),"")</f>
        <v/>
      </c>
      <c r="C89" s="13" t="str">
        <f>IF(B89="","",SUMIFS(입고!$F$8:$F$1013,입고!$C$8:$C$1013,마스터!$M$14,입고!$E$8:$E$1013,B89))</f>
        <v/>
      </c>
      <c r="D89" s="13" t="str">
        <f>IF(B89="","",SUMIFS(출고!$F$8:$F$1013,출고!$C$8:$C$1013,마스터!$M$14,출고!$E$8:$E$1013,B89))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IFERROR(INDEX(입고!$E$8:$E$1013,SMALL(IF((입고!$C$8:$C$1013=마스터!$M$14)*(입고!$AC$8:$AC$1013=1),ROW(입고!$C$8:$C$1013)-7),13)),"")</f>
        <v/>
      </c>
      <c r="C90" s="8" t="str">
        <f>IF(B90="","",SUMIFS(입고!$F$8:$F$1013,입고!$C$8:$C$1013,마스터!$M$14,입고!$E$8:$E$1013,B90))</f>
        <v/>
      </c>
      <c r="D90" s="8" t="str">
        <f>IF(B90="","",SUMIFS(출고!$F$8:$F$1013,출고!$C$8:$C$1013,마스터!$M$14,출고!$E$8:$E$1013,B90))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IFERROR(INDEX(입고!$E$8:$E$1013,SMALL(IF((입고!$C$8:$C$1013=마스터!$M$14)*(입고!$AC$8:$AC$1013=1),ROW(입고!$C$8:$C$1013)-7),14)),"")</f>
        <v/>
      </c>
      <c r="C91" s="13" t="str">
        <f>IF(B91="","",SUMIFS(입고!$F$8:$F$1013,입고!$C$8:$C$1013,마스터!$M$14,입고!$E$8:$E$1013,B91))</f>
        <v/>
      </c>
      <c r="D91" s="13" t="str">
        <f>IF(B91="","",SUMIFS(출고!$F$8:$F$1013,출고!$C$8:$C$1013,마스터!$M$14,출고!$E$8:$E$1013,B91))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IFERROR(INDEX(입고!$E$8:$E$1013,SMALL(IF((입고!$C$8:$C$1013=마스터!$M$14)*(입고!$AC$8:$AC$1013=1),ROW(입고!$C$8:$C$1013)-7),15)),"")</f>
        <v/>
      </c>
      <c r="C92" s="8" t="str">
        <f>IF(B92="","",SUMIFS(입고!$F$8:$F$1013,입고!$C$8:$C$1013,마스터!$M$14,입고!$E$8:$E$1013,B92))</f>
        <v/>
      </c>
      <c r="D92" s="8" t="str">
        <f>IF(B92="","",SUMIFS(출고!$F$8:$F$1013,출고!$C$8:$C$1013,마스터!$M$14,출고!$E$8:$E$1013,B92))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IFERROR(INDEX(입고!$E$8:$E$1013,SMALL(IF((입고!$C$8:$C$1013=마스터!$M$14)*(입고!$AC$8:$AC$1013=1),ROW(입고!$C$8:$C$1013)-7),16)),"")</f>
        <v/>
      </c>
      <c r="C93" s="13" t="str">
        <f>IF(B93="","",SUMIFS(입고!$F$8:$F$1013,입고!$C$8:$C$1013,마스터!$M$14,입고!$E$8:$E$1013,B93))</f>
        <v/>
      </c>
      <c r="D93" s="13" t="str">
        <f>IF(B93="","",SUMIFS(출고!$F$8:$F$1013,출고!$C$8:$C$1013,마스터!$M$14,출고!$E$8:$E$1013,B93))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IFERROR(INDEX(입고!$E$8:$E$1013,SMALL(IF((입고!$C$8:$C$1013=마스터!$M$14)*(입고!$AC$8:$AC$1013=1),ROW(입고!$C$8:$C$1013)-7),17)),"")</f>
        <v/>
      </c>
      <c r="C94" s="8" t="str">
        <f>IF(B94="","",SUMIFS(입고!$F$8:$F$1013,입고!$C$8:$C$1013,마스터!$M$14,입고!$E$8:$E$1013,B94))</f>
        <v/>
      </c>
      <c r="D94" s="8" t="str">
        <f>IF(B94="","",SUMIFS(출고!$F$8:$F$1013,출고!$C$8:$C$1013,마스터!$M$14,출고!$E$8:$E$1013,B94))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IFERROR(INDEX(입고!$E$8:$E$1013,SMALL(IF((입고!$C$8:$C$1013=마스터!$M$14)*(입고!$AC$8:$AC$1013=1),ROW(입고!$C$8:$C$1013)-7),18)),"")</f>
        <v/>
      </c>
      <c r="C95" s="13" t="str">
        <f>IF(B95="","",SUMIFS(입고!$F$8:$F$1013,입고!$C$8:$C$1013,마스터!$M$14,입고!$E$8:$E$1013,B95))</f>
        <v/>
      </c>
      <c r="D95" s="13" t="str">
        <f>IF(B95="","",SUMIFS(출고!$F$8:$F$1013,출고!$C$8:$C$1013,마스터!$M$14,출고!$E$8:$E$1013,B95))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IFERROR(INDEX(입고!$E$8:$E$1013,SMALL(IF((입고!$C$8:$C$1013=마스터!$M$14)*(입고!$AC$8:$AC$1013=1),ROW(입고!$C$8:$C$1013)-7),19)),"")</f>
        <v/>
      </c>
      <c r="C96" s="8" t="str">
        <f>IF(B96="","",SUMIFS(입고!$F$8:$F$1013,입고!$C$8:$C$1013,마스터!$M$14,입고!$E$8:$E$1013,B96))</f>
        <v/>
      </c>
      <c r="D96" s="8" t="str">
        <f>IF(B96="","",SUMIFS(출고!$F$8:$F$1013,출고!$C$8:$C$1013,마스터!$M$14,출고!$E$8:$E$1013,B96))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IFERROR(INDEX(입고!$E$8:$E$1013,SMALL(IF((입고!$C$8:$C$1013=마스터!$M$14)*(입고!$AC$8:$AC$1013=1),ROW(입고!$C$8:$C$1013)-7),20)),"")</f>
        <v/>
      </c>
      <c r="C97" s="13" t="str">
        <f>IF(B97="","",SUMIFS(입고!$F$8:$F$1013,입고!$C$8:$C$1013,마스터!$M$14,입고!$E$8:$E$1013,B97))</f>
        <v/>
      </c>
      <c r="D97" s="13" t="str">
        <f>IF(B97="","",SUMIFS(출고!$F$8:$F$1013,출고!$C$8:$C$1013,마스터!$M$14,출고!$E$8:$E$1013,B97))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IFERROR(INDEX(입고!$E$8:$E$1013,SMALL(IF((입고!$C$8:$C$1013=마스터!$M$14)*(입고!$AC$8:$AC$1013=1),ROW(입고!$C$8:$C$1013)-7),21)),"")</f>
        <v/>
      </c>
      <c r="C98" s="8" t="str">
        <f>IF(B98="","",SUMIFS(입고!$F$8:$F$1013,입고!$C$8:$C$1013,마스터!$M$14,입고!$E$8:$E$1013,B98))</f>
        <v/>
      </c>
      <c r="D98" s="8" t="str">
        <f>IF(B98="","",SUMIFS(출고!$F$8:$F$1013,출고!$C$8:$C$1013,마스터!$M$14,출고!$E$8:$E$1013,B98))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IFERROR(INDEX(입고!$E$8:$E$1013,SMALL(IF((입고!$C$8:$C$1013=마스터!$M$14)*(입고!$AC$8:$AC$1013=1),ROW(입고!$C$8:$C$1013)-7),22)),"")</f>
        <v/>
      </c>
      <c r="C99" s="13" t="str">
        <f>IF(B99="","",SUMIFS(입고!$F$8:$F$1013,입고!$C$8:$C$1013,마스터!$M$14,입고!$E$8:$E$1013,B99))</f>
        <v/>
      </c>
      <c r="D99" s="13" t="str">
        <f>IF(B99="","",SUMIFS(출고!$F$8:$F$1013,출고!$C$8:$C$1013,마스터!$M$14,출고!$E$8:$E$1013,B99))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IFERROR(INDEX(입고!$E$8:$E$1013,SMALL(IF((입고!$C$8:$C$1013=마스터!$M$14)*(입고!$AC$8:$AC$1013=1),ROW(입고!$C$8:$C$1013)-7),23)),"")</f>
        <v/>
      </c>
      <c r="C100" s="8" t="str">
        <f>IF(B100="","",SUMIFS(입고!$F$8:$F$1013,입고!$C$8:$C$1013,마스터!$M$14,입고!$E$8:$E$1013,B100))</f>
        <v/>
      </c>
      <c r="D100" s="8" t="str">
        <f>IF(B100="","",SUMIFS(출고!$F$8:$F$1013,출고!$C$8:$C$1013,마스터!$M$14,출고!$E$8:$E$1013,B100))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IFERROR(INDEX(입고!$E$8:$E$1013,SMALL(IF((입고!$C$8:$C$1013=마스터!$M$14)*(입고!$AC$8:$AC$1013=1),ROW(입고!$C$8:$C$1013)-7),24)),"")</f>
        <v/>
      </c>
      <c r="C101" s="13" t="str">
        <f>IF(B101="","",SUMIFS(입고!$F$8:$F$1013,입고!$C$8:$C$1013,마스터!$M$14,입고!$E$8:$E$1013,B101))</f>
        <v/>
      </c>
      <c r="D101" s="13" t="str">
        <f>IF(B101="","",SUMIFS(출고!$F$8:$F$1013,출고!$C$8:$C$1013,마스터!$M$14,출고!$E$8:$E$1013,B101))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IFERROR(INDEX(입고!$E$8:$E$1013,SMALL(IF((입고!$C$8:$C$1013=마스터!$M$14)*(입고!$AC$8:$AC$1013=1),ROW(입고!$C$8:$C$1013)-7),25)),"")</f>
        <v/>
      </c>
      <c r="C102" s="8" t="str">
        <f>IF(B102="","",SUMIFS(입고!$F$8:$F$1013,입고!$C$8:$C$1013,마스터!$M$14,입고!$E$8:$E$1013,B102))</f>
        <v/>
      </c>
      <c r="D102" s="8" t="str">
        <f>IF(B102="","",SUMIFS(출고!$F$8:$F$1013,출고!$C$8:$C$1013,마스터!$M$14,출고!$E$8:$E$1013,B102))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IFERROR(INDEX(입고!$E$8:$E$1013,SMALL(IF((입고!$C$8:$C$1013=마스터!$M$14)*(입고!$AC$8:$AC$1013=1),ROW(입고!$C$8:$C$1013)-7),26)),"")</f>
        <v/>
      </c>
      <c r="C103" s="13" t="str">
        <f>IF(B103="","",SUMIFS(입고!$F$8:$F$1013,입고!$C$8:$C$1013,마스터!$M$14,입고!$E$8:$E$1013,B103))</f>
        <v/>
      </c>
      <c r="D103" s="13" t="str">
        <f>IF(B103="","",SUMIFS(출고!$F$8:$F$1013,출고!$C$8:$C$1013,마스터!$M$14,출고!$E$8:$E$1013,B103))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IFERROR(INDEX(입고!$E$8:$E$1013,SMALL(IF((입고!$C$8:$C$1013=마스터!$M$14)*(입고!$AC$8:$AC$1013=1),ROW(입고!$C$8:$C$1013)-7),27)),"")</f>
        <v/>
      </c>
      <c r="C104" s="8" t="str">
        <f>IF(B104="","",SUMIFS(입고!$F$8:$F$1013,입고!$C$8:$C$1013,마스터!$M$14,입고!$E$8:$E$1013,B104))</f>
        <v/>
      </c>
      <c r="D104" s="8" t="str">
        <f>IF(B104="","",SUMIFS(출고!$F$8:$F$1013,출고!$C$8:$C$1013,마스터!$M$14,출고!$E$8:$E$1013,B104))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IFERROR(INDEX(입고!$E$8:$E$1013,SMALL(IF((입고!$C$8:$C$1013=마스터!$M$14)*(입고!$AC$8:$AC$1013=1),ROW(입고!$C$8:$C$1013)-7),28)),"")</f>
        <v/>
      </c>
      <c r="C105" s="13" t="str">
        <f>IF(B105="","",SUMIFS(입고!$F$8:$F$1013,입고!$C$8:$C$1013,마스터!$M$14,입고!$E$8:$E$1013,B105))</f>
        <v/>
      </c>
      <c r="D105" s="13" t="str">
        <f>IF(B105="","",SUMIFS(출고!$F$8:$F$1013,출고!$C$8:$C$1013,마스터!$M$14,출고!$E$8:$E$1013,B105))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IFERROR(INDEX(입고!$E$8:$E$1013,SMALL(IF((입고!$C$8:$C$1013=마스터!$M$14)*(입고!$AC$8:$AC$1013=1),ROW(입고!$C$8:$C$1013)-7),29)),"")</f>
        <v/>
      </c>
      <c r="C106" s="8" t="str">
        <f>IF(B106="","",SUMIFS(입고!$F$8:$F$1013,입고!$C$8:$C$1013,마스터!$M$14,입고!$E$8:$E$1013,B106))</f>
        <v/>
      </c>
      <c r="D106" s="8" t="str">
        <f>IF(B106="","",SUMIFS(출고!$F$8:$F$1013,출고!$C$8:$C$1013,마스터!$M$14,출고!$E$8:$E$1013,B106))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IFERROR(INDEX(입고!$E$8:$E$1013,SMALL(IF((입고!$C$8:$C$1013=마스터!$M$14)*(입고!$AC$8:$AC$1013=1),ROW(입고!$C$8:$C$1013)-7),30)),"")</f>
        <v/>
      </c>
      <c r="C107" s="13" t="str">
        <f>IF(B107="","",SUMIFS(입고!$F$8:$F$1013,입고!$C$8:$C$1013,마스터!$M$14,입고!$E$8:$E$1013,B107))</f>
        <v/>
      </c>
      <c r="D107" s="13" t="str">
        <f>IF(B107="","",SUMIFS(출고!$F$8:$F$1013,출고!$C$8:$C$1013,마스터!$M$14,출고!$E$8:$E$1013,B107))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6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CONCATENATE("[12] ", 마스터!D15, "  |  ", 마스터!F15)</f>
        <v>[12] 세라믹울 100K 수입  |  25T × 150W × 7400L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마스터!D15</f>
        <v>세라믹울 100K 수입</v>
      </c>
      <c r="D4" s="1" t="s">
        <v>11</v>
      </c>
      <c r="E4" s="53">
        <f>SUMIFS(입고!$F$8:$F$1013,입고!$C$8:$C$1013,마스터!$M$15)</f>
        <v>0</v>
      </c>
    </row>
    <row r="5" spans="1:9" ht="15" customHeight="1" x14ac:dyDescent="0.25">
      <c r="A5" s="1" t="s">
        <v>7</v>
      </c>
      <c r="B5" s="52" t="str">
        <f>마스터!E15</f>
        <v>251507400</v>
      </c>
      <c r="D5" s="1" t="s">
        <v>12</v>
      </c>
      <c r="E5" s="53">
        <f>SUMIFS(출고!$F$8:$F$1013,출고!$C$8:$C$1013,마스터!$M$15)</f>
        <v>0</v>
      </c>
    </row>
    <row r="6" spans="1:9" ht="23.25" customHeight="1" x14ac:dyDescent="0.25">
      <c r="A6" s="1" t="s">
        <v>26</v>
      </c>
      <c r="B6" s="52" t="str">
        <f>마스터!F15</f>
        <v>25T × 150W × 7400L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마스터!M15</f>
        <v>100K수입 25T × 150W × 7400L</v>
      </c>
      <c r="D7" s="1" t="s">
        <v>13</v>
      </c>
      <c r="E7" s="54">
        <f>마스터!$K$15+E4-E5</f>
        <v>0</v>
      </c>
    </row>
    <row r="8" spans="1:9" ht="15" customHeight="1" x14ac:dyDescent="0.25">
      <c r="A8" s="1" t="s">
        <v>10</v>
      </c>
      <c r="B8" s="53">
        <f>마스터!K15</f>
        <v>0</v>
      </c>
      <c r="D8" s="1" t="s">
        <v>123</v>
      </c>
      <c r="E8" s="55">
        <f t="array" ref="E8">IFERROR(MAX(MAX(IF(입고!$C$8:$C$1013=마스터!$M$15,입고!$B$8:$B$1013)),MAX(IF(출고!$C$8:$C$1013=마스터!$M$15,출고!$B$8:$B$1013))),"-")</f>
        <v>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 t="str">
        <f t="shared" ref="A12:A41" si="0">IF(B12="","",ROW()-11)</f>
        <v/>
      </c>
      <c r="B12" s="56" t="str">
        <f t="array" ref="B12">IFERROR(INDEX(입고!$B$8:$B$1013,SMALL(IF(입고!$C$8:$C$1013=마스터!$M$15,ROW(입고!$C$8:$C$1013)-7),1)),"")</f>
        <v/>
      </c>
      <c r="C12" s="6" t="str">
        <f t="array" ref="C12">IFERROR(INDEX(입고!$E$8:$E$1013,SMALL(IF(입고!$C$8:$C$1013=마스터!$M$15,ROW(입고!$C$8:$C$1013)-7),1)),"")</f>
        <v/>
      </c>
      <c r="D12" s="8" t="str">
        <f t="array" ref="D12">IFERROR(INDEX(입고!$F$8:$F$1013,SMALL(IF(입고!$C$8:$C$1013=마스터!$M$15,ROW(입고!$C$8:$C$1013)-7),1)),"")</f>
        <v/>
      </c>
      <c r="E12" s="46" t="str">
        <f t="array" ref="E12">IFERROR(INDEX(입고!$H$8:$H$1013,SMALL(IF(입고!$C$8:$C$1013=마스터!$M$15,ROW(입고!$C$8:$C$1013)-7),1)),"")</f>
        <v/>
      </c>
      <c r="F12" s="46" t="str">
        <f t="array" ref="F12">IFERROR(INDEX(입고!$I$8:$I$1013,SMALL(IF(입고!$C$8:$C$1013=마스터!$M$15,ROW(입고!$C$8:$C$1013)-7),1)),"")</f>
        <v/>
      </c>
      <c r="G12" s="57" t="str">
        <f>IF(B12="","",IFERROR(D12,0))</f>
        <v/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IFERROR(INDEX(입고!$B$8:$B$1013,SMALL(IF(입고!$C$8:$C$1013=마스터!$M$15,ROW(입고!$C$8:$C$1013)-7),2)),"")</f>
        <v/>
      </c>
      <c r="C13" s="11" t="str">
        <f t="array" ref="C13">IFERROR(INDEX(입고!$E$8:$E$1013,SMALL(IF(입고!$C$8:$C$1013=마스터!$M$15,ROW(입고!$C$8:$C$1013)-7),2)),"")</f>
        <v/>
      </c>
      <c r="D13" s="13" t="str">
        <f t="array" ref="D13">IFERROR(INDEX(입고!$F$8:$F$1013,SMALL(IF(입고!$C$8:$C$1013=마스터!$M$15,ROW(입고!$C$8:$C$1013)-7),2)),"")</f>
        <v/>
      </c>
      <c r="E13" s="50" t="str">
        <f t="array" ref="E13">IFERROR(INDEX(입고!$H$8:$H$1013,SMALL(IF(입고!$C$8:$C$1013=마스터!$M$15,ROW(입고!$C$8:$C$1013)-7),2)),"")</f>
        <v/>
      </c>
      <c r="F13" s="50" t="str">
        <f t="array" ref="F13">IFERROR(INDEX(입고!$I$8:$I$1013,SMALL(IF(입고!$C$8:$C$1013=마스터!$M$15,ROW(입고!$C$8:$C$1013)-7),2)),"")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IFERROR(INDEX(입고!$B$8:$B$1013,SMALL(IF(입고!$C$8:$C$1013=마스터!$M$15,ROW(입고!$C$8:$C$1013)-7),3)),"")</f>
        <v/>
      </c>
      <c r="C14" s="6" t="str">
        <f t="array" ref="C14">IFERROR(INDEX(입고!$E$8:$E$1013,SMALL(IF(입고!$C$8:$C$1013=마스터!$M$15,ROW(입고!$C$8:$C$1013)-7),3)),"")</f>
        <v/>
      </c>
      <c r="D14" s="8" t="str">
        <f t="array" ref="D14">IFERROR(INDEX(입고!$F$8:$F$1013,SMALL(IF(입고!$C$8:$C$1013=마스터!$M$15,ROW(입고!$C$8:$C$1013)-7),3)),"")</f>
        <v/>
      </c>
      <c r="E14" s="46" t="str">
        <f t="array" ref="E14">IFERROR(INDEX(입고!$H$8:$H$1013,SMALL(IF(입고!$C$8:$C$1013=마스터!$M$15,ROW(입고!$C$8:$C$1013)-7),3)),"")</f>
        <v/>
      </c>
      <c r="F14" s="46" t="str">
        <f t="array" ref="F14">IFERROR(INDEX(입고!$I$8:$I$1013,SMALL(IF(입고!$C$8:$C$1013=마스터!$M$15,ROW(입고!$C$8:$C$1013)-7),3)),"")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IFERROR(INDEX(입고!$B$8:$B$1013,SMALL(IF(입고!$C$8:$C$1013=마스터!$M$15,ROW(입고!$C$8:$C$1013)-7),4)),"")</f>
        <v/>
      </c>
      <c r="C15" s="11" t="str">
        <f t="array" ref="C15">IFERROR(INDEX(입고!$E$8:$E$1013,SMALL(IF(입고!$C$8:$C$1013=마스터!$M$15,ROW(입고!$C$8:$C$1013)-7),4)),"")</f>
        <v/>
      </c>
      <c r="D15" s="13" t="str">
        <f t="array" ref="D15">IFERROR(INDEX(입고!$F$8:$F$1013,SMALL(IF(입고!$C$8:$C$1013=마스터!$M$15,ROW(입고!$C$8:$C$1013)-7),4)),"")</f>
        <v/>
      </c>
      <c r="E15" s="50" t="str">
        <f t="array" ref="E15">IFERROR(INDEX(입고!$H$8:$H$1013,SMALL(IF(입고!$C$8:$C$1013=마스터!$M$15,ROW(입고!$C$8:$C$1013)-7),4)),"")</f>
        <v/>
      </c>
      <c r="F15" s="50" t="str">
        <f t="array" ref="F15">IFERROR(INDEX(입고!$I$8:$I$1013,SMALL(IF(입고!$C$8:$C$1013=마스터!$M$15,ROW(입고!$C$8:$C$1013)-7),4)),"")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IFERROR(INDEX(입고!$B$8:$B$1013,SMALL(IF(입고!$C$8:$C$1013=마스터!$M$15,ROW(입고!$C$8:$C$1013)-7),5)),"")</f>
        <v/>
      </c>
      <c r="C16" s="6" t="str">
        <f t="array" ref="C16">IFERROR(INDEX(입고!$E$8:$E$1013,SMALL(IF(입고!$C$8:$C$1013=마스터!$M$15,ROW(입고!$C$8:$C$1013)-7),5)),"")</f>
        <v/>
      </c>
      <c r="D16" s="8" t="str">
        <f t="array" ref="D16">IFERROR(INDEX(입고!$F$8:$F$1013,SMALL(IF(입고!$C$8:$C$1013=마스터!$M$15,ROW(입고!$C$8:$C$1013)-7),5)),"")</f>
        <v/>
      </c>
      <c r="E16" s="46" t="str">
        <f t="array" ref="E16">IFERROR(INDEX(입고!$H$8:$H$1013,SMALL(IF(입고!$C$8:$C$1013=마스터!$M$15,ROW(입고!$C$8:$C$1013)-7),5)),"")</f>
        <v/>
      </c>
      <c r="F16" s="46" t="str">
        <f t="array" ref="F16">IFERROR(INDEX(입고!$I$8:$I$1013,SMALL(IF(입고!$C$8:$C$1013=마스터!$M$15,ROW(입고!$C$8:$C$1013)-7),5)),"")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IFERROR(INDEX(입고!$B$8:$B$1013,SMALL(IF(입고!$C$8:$C$1013=마스터!$M$15,ROW(입고!$C$8:$C$1013)-7),6)),"")</f>
        <v/>
      </c>
      <c r="C17" s="11" t="str">
        <f t="array" ref="C17">IFERROR(INDEX(입고!$E$8:$E$1013,SMALL(IF(입고!$C$8:$C$1013=마스터!$M$15,ROW(입고!$C$8:$C$1013)-7),6)),"")</f>
        <v/>
      </c>
      <c r="D17" s="13" t="str">
        <f t="array" ref="D17">IFERROR(INDEX(입고!$F$8:$F$1013,SMALL(IF(입고!$C$8:$C$1013=마스터!$M$15,ROW(입고!$C$8:$C$1013)-7),6)),"")</f>
        <v/>
      </c>
      <c r="E17" s="50" t="str">
        <f t="array" ref="E17">IFERROR(INDEX(입고!$H$8:$H$1013,SMALL(IF(입고!$C$8:$C$1013=마스터!$M$15,ROW(입고!$C$8:$C$1013)-7),6)),"")</f>
        <v/>
      </c>
      <c r="F17" s="50" t="str">
        <f t="array" ref="F17">IFERROR(INDEX(입고!$I$8:$I$1013,SMALL(IF(입고!$C$8:$C$1013=마스터!$M$15,ROW(입고!$C$8:$C$1013)-7),6)),"")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IFERROR(INDEX(입고!$B$8:$B$1013,SMALL(IF(입고!$C$8:$C$1013=마스터!$M$15,ROW(입고!$C$8:$C$1013)-7),7)),"")</f>
        <v/>
      </c>
      <c r="C18" s="6" t="str">
        <f t="array" ref="C18">IFERROR(INDEX(입고!$E$8:$E$1013,SMALL(IF(입고!$C$8:$C$1013=마스터!$M$15,ROW(입고!$C$8:$C$1013)-7),7)),"")</f>
        <v/>
      </c>
      <c r="D18" s="8" t="str">
        <f t="array" ref="D18">IFERROR(INDEX(입고!$F$8:$F$1013,SMALL(IF(입고!$C$8:$C$1013=마스터!$M$15,ROW(입고!$C$8:$C$1013)-7),7)),"")</f>
        <v/>
      </c>
      <c r="E18" s="46" t="str">
        <f t="array" ref="E18">IFERROR(INDEX(입고!$H$8:$H$1013,SMALL(IF(입고!$C$8:$C$1013=마스터!$M$15,ROW(입고!$C$8:$C$1013)-7),7)),"")</f>
        <v/>
      </c>
      <c r="F18" s="46" t="str">
        <f t="array" ref="F18">IFERROR(INDEX(입고!$I$8:$I$1013,SMALL(IF(입고!$C$8:$C$1013=마스터!$M$15,ROW(입고!$C$8:$C$1013)-7),7)),"")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IFERROR(INDEX(입고!$B$8:$B$1013,SMALL(IF(입고!$C$8:$C$1013=마스터!$M$15,ROW(입고!$C$8:$C$1013)-7),8)),"")</f>
        <v/>
      </c>
      <c r="C19" s="11" t="str">
        <f t="array" ref="C19">IFERROR(INDEX(입고!$E$8:$E$1013,SMALL(IF(입고!$C$8:$C$1013=마스터!$M$15,ROW(입고!$C$8:$C$1013)-7),8)),"")</f>
        <v/>
      </c>
      <c r="D19" s="13" t="str">
        <f t="array" ref="D19">IFERROR(INDEX(입고!$F$8:$F$1013,SMALL(IF(입고!$C$8:$C$1013=마스터!$M$15,ROW(입고!$C$8:$C$1013)-7),8)),"")</f>
        <v/>
      </c>
      <c r="E19" s="50" t="str">
        <f t="array" ref="E19">IFERROR(INDEX(입고!$H$8:$H$1013,SMALL(IF(입고!$C$8:$C$1013=마스터!$M$15,ROW(입고!$C$8:$C$1013)-7),8)),"")</f>
        <v/>
      </c>
      <c r="F19" s="50" t="str">
        <f t="array" ref="F19">IFERROR(INDEX(입고!$I$8:$I$1013,SMALL(IF(입고!$C$8:$C$1013=마스터!$M$15,ROW(입고!$C$8:$C$1013)-7),8)),"")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IFERROR(INDEX(입고!$B$8:$B$1013,SMALL(IF(입고!$C$8:$C$1013=마스터!$M$15,ROW(입고!$C$8:$C$1013)-7),9)),"")</f>
        <v/>
      </c>
      <c r="C20" s="6" t="str">
        <f t="array" ref="C20">IFERROR(INDEX(입고!$E$8:$E$1013,SMALL(IF(입고!$C$8:$C$1013=마스터!$M$15,ROW(입고!$C$8:$C$1013)-7),9)),"")</f>
        <v/>
      </c>
      <c r="D20" s="8" t="str">
        <f t="array" ref="D20">IFERROR(INDEX(입고!$F$8:$F$1013,SMALL(IF(입고!$C$8:$C$1013=마스터!$M$15,ROW(입고!$C$8:$C$1013)-7),9)),"")</f>
        <v/>
      </c>
      <c r="E20" s="46" t="str">
        <f t="array" ref="E20">IFERROR(INDEX(입고!$H$8:$H$1013,SMALL(IF(입고!$C$8:$C$1013=마스터!$M$15,ROW(입고!$C$8:$C$1013)-7),9)),"")</f>
        <v/>
      </c>
      <c r="F20" s="46" t="str">
        <f t="array" ref="F20">IFERROR(INDEX(입고!$I$8:$I$1013,SMALL(IF(입고!$C$8:$C$1013=마스터!$M$15,ROW(입고!$C$8:$C$1013)-7),9)),"")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IFERROR(INDEX(입고!$B$8:$B$1013,SMALL(IF(입고!$C$8:$C$1013=마스터!$M$15,ROW(입고!$C$8:$C$1013)-7),10)),"")</f>
        <v/>
      </c>
      <c r="C21" s="11" t="str">
        <f t="array" ref="C21">IFERROR(INDEX(입고!$E$8:$E$1013,SMALL(IF(입고!$C$8:$C$1013=마스터!$M$15,ROW(입고!$C$8:$C$1013)-7),10)),"")</f>
        <v/>
      </c>
      <c r="D21" s="13" t="str">
        <f t="array" ref="D21">IFERROR(INDEX(입고!$F$8:$F$1013,SMALL(IF(입고!$C$8:$C$1013=마스터!$M$15,ROW(입고!$C$8:$C$1013)-7),10)),"")</f>
        <v/>
      </c>
      <c r="E21" s="50" t="str">
        <f t="array" ref="E21">IFERROR(INDEX(입고!$H$8:$H$1013,SMALL(IF(입고!$C$8:$C$1013=마스터!$M$15,ROW(입고!$C$8:$C$1013)-7),10)),"")</f>
        <v/>
      </c>
      <c r="F21" s="50" t="str">
        <f t="array" ref="F21">IFERROR(INDEX(입고!$I$8:$I$1013,SMALL(IF(입고!$C$8:$C$1013=마스터!$M$15,ROW(입고!$C$8:$C$1013)-7),10)),"")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IFERROR(INDEX(입고!$B$8:$B$1013,SMALL(IF(입고!$C$8:$C$1013=마스터!$M$15,ROW(입고!$C$8:$C$1013)-7),11)),"")</f>
        <v/>
      </c>
      <c r="C22" s="6" t="str">
        <f t="array" ref="C22">IFERROR(INDEX(입고!$E$8:$E$1013,SMALL(IF(입고!$C$8:$C$1013=마스터!$M$15,ROW(입고!$C$8:$C$1013)-7),11)),"")</f>
        <v/>
      </c>
      <c r="D22" s="8" t="str">
        <f t="array" ref="D22">IFERROR(INDEX(입고!$F$8:$F$1013,SMALL(IF(입고!$C$8:$C$1013=마스터!$M$15,ROW(입고!$C$8:$C$1013)-7),11)),"")</f>
        <v/>
      </c>
      <c r="E22" s="46" t="str">
        <f t="array" ref="E22">IFERROR(INDEX(입고!$H$8:$H$1013,SMALL(IF(입고!$C$8:$C$1013=마스터!$M$15,ROW(입고!$C$8:$C$1013)-7),11)),"")</f>
        <v/>
      </c>
      <c r="F22" s="46" t="str">
        <f t="array" ref="F22">IFERROR(INDEX(입고!$I$8:$I$1013,SMALL(IF(입고!$C$8:$C$1013=마스터!$M$15,ROW(입고!$C$8:$C$1013)-7),11)),"")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IFERROR(INDEX(입고!$B$8:$B$1013,SMALL(IF(입고!$C$8:$C$1013=마스터!$M$15,ROW(입고!$C$8:$C$1013)-7),12)),"")</f>
        <v/>
      </c>
      <c r="C23" s="11" t="str">
        <f t="array" ref="C23">IFERROR(INDEX(입고!$E$8:$E$1013,SMALL(IF(입고!$C$8:$C$1013=마스터!$M$15,ROW(입고!$C$8:$C$1013)-7),12)),"")</f>
        <v/>
      </c>
      <c r="D23" s="13" t="str">
        <f t="array" ref="D23">IFERROR(INDEX(입고!$F$8:$F$1013,SMALL(IF(입고!$C$8:$C$1013=마스터!$M$15,ROW(입고!$C$8:$C$1013)-7),12)),"")</f>
        <v/>
      </c>
      <c r="E23" s="50" t="str">
        <f t="array" ref="E23">IFERROR(INDEX(입고!$H$8:$H$1013,SMALL(IF(입고!$C$8:$C$1013=마스터!$M$15,ROW(입고!$C$8:$C$1013)-7),12)),"")</f>
        <v/>
      </c>
      <c r="F23" s="50" t="str">
        <f t="array" ref="F23">IFERROR(INDEX(입고!$I$8:$I$1013,SMALL(IF(입고!$C$8:$C$1013=마스터!$M$15,ROW(입고!$C$8:$C$1013)-7),12)),"")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IFERROR(INDEX(입고!$B$8:$B$1013,SMALL(IF(입고!$C$8:$C$1013=마스터!$M$15,ROW(입고!$C$8:$C$1013)-7),13)),"")</f>
        <v/>
      </c>
      <c r="C24" s="6" t="str">
        <f t="array" ref="C24">IFERROR(INDEX(입고!$E$8:$E$1013,SMALL(IF(입고!$C$8:$C$1013=마스터!$M$15,ROW(입고!$C$8:$C$1013)-7),13)),"")</f>
        <v/>
      </c>
      <c r="D24" s="8" t="str">
        <f t="array" ref="D24">IFERROR(INDEX(입고!$F$8:$F$1013,SMALL(IF(입고!$C$8:$C$1013=마스터!$M$15,ROW(입고!$C$8:$C$1013)-7),13)),"")</f>
        <v/>
      </c>
      <c r="E24" s="46" t="str">
        <f t="array" ref="E24">IFERROR(INDEX(입고!$H$8:$H$1013,SMALL(IF(입고!$C$8:$C$1013=마스터!$M$15,ROW(입고!$C$8:$C$1013)-7),13)),"")</f>
        <v/>
      </c>
      <c r="F24" s="46" t="str">
        <f t="array" ref="F24">IFERROR(INDEX(입고!$I$8:$I$1013,SMALL(IF(입고!$C$8:$C$1013=마스터!$M$15,ROW(입고!$C$8:$C$1013)-7),13)),"")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IFERROR(INDEX(입고!$B$8:$B$1013,SMALL(IF(입고!$C$8:$C$1013=마스터!$M$15,ROW(입고!$C$8:$C$1013)-7),14)),"")</f>
        <v/>
      </c>
      <c r="C25" s="11" t="str">
        <f t="array" ref="C25">IFERROR(INDEX(입고!$E$8:$E$1013,SMALL(IF(입고!$C$8:$C$1013=마스터!$M$15,ROW(입고!$C$8:$C$1013)-7),14)),"")</f>
        <v/>
      </c>
      <c r="D25" s="13" t="str">
        <f t="array" ref="D25">IFERROR(INDEX(입고!$F$8:$F$1013,SMALL(IF(입고!$C$8:$C$1013=마스터!$M$15,ROW(입고!$C$8:$C$1013)-7),14)),"")</f>
        <v/>
      </c>
      <c r="E25" s="50" t="str">
        <f t="array" ref="E25">IFERROR(INDEX(입고!$H$8:$H$1013,SMALL(IF(입고!$C$8:$C$1013=마스터!$M$15,ROW(입고!$C$8:$C$1013)-7),14)),"")</f>
        <v/>
      </c>
      <c r="F25" s="50" t="str">
        <f t="array" ref="F25">IFERROR(INDEX(입고!$I$8:$I$1013,SMALL(IF(입고!$C$8:$C$1013=마스터!$M$15,ROW(입고!$C$8:$C$1013)-7),14)),"")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IFERROR(INDEX(입고!$B$8:$B$1013,SMALL(IF(입고!$C$8:$C$1013=마스터!$M$15,ROW(입고!$C$8:$C$1013)-7),15)),"")</f>
        <v/>
      </c>
      <c r="C26" s="6" t="str">
        <f t="array" ref="C26">IFERROR(INDEX(입고!$E$8:$E$1013,SMALL(IF(입고!$C$8:$C$1013=마스터!$M$15,ROW(입고!$C$8:$C$1013)-7),15)),"")</f>
        <v/>
      </c>
      <c r="D26" s="8" t="str">
        <f t="array" ref="D26">IFERROR(INDEX(입고!$F$8:$F$1013,SMALL(IF(입고!$C$8:$C$1013=마스터!$M$15,ROW(입고!$C$8:$C$1013)-7),15)),"")</f>
        <v/>
      </c>
      <c r="E26" s="46" t="str">
        <f t="array" ref="E26">IFERROR(INDEX(입고!$H$8:$H$1013,SMALL(IF(입고!$C$8:$C$1013=마스터!$M$15,ROW(입고!$C$8:$C$1013)-7),15)),"")</f>
        <v/>
      </c>
      <c r="F26" s="46" t="str">
        <f t="array" ref="F26">IFERROR(INDEX(입고!$I$8:$I$1013,SMALL(IF(입고!$C$8:$C$1013=마스터!$M$15,ROW(입고!$C$8:$C$1013)-7),15)),"")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IFERROR(INDEX(입고!$B$8:$B$1013,SMALL(IF(입고!$C$8:$C$1013=마스터!$M$15,ROW(입고!$C$8:$C$1013)-7),16)),"")</f>
        <v/>
      </c>
      <c r="C27" s="11" t="str">
        <f t="array" ref="C27">IFERROR(INDEX(입고!$E$8:$E$1013,SMALL(IF(입고!$C$8:$C$1013=마스터!$M$15,ROW(입고!$C$8:$C$1013)-7),16)),"")</f>
        <v/>
      </c>
      <c r="D27" s="13" t="str">
        <f t="array" ref="D27">IFERROR(INDEX(입고!$F$8:$F$1013,SMALL(IF(입고!$C$8:$C$1013=마스터!$M$15,ROW(입고!$C$8:$C$1013)-7),16)),"")</f>
        <v/>
      </c>
      <c r="E27" s="50" t="str">
        <f t="array" ref="E27">IFERROR(INDEX(입고!$H$8:$H$1013,SMALL(IF(입고!$C$8:$C$1013=마스터!$M$15,ROW(입고!$C$8:$C$1013)-7),16)),"")</f>
        <v/>
      </c>
      <c r="F27" s="50" t="str">
        <f t="array" ref="F27">IFERROR(INDEX(입고!$I$8:$I$1013,SMALL(IF(입고!$C$8:$C$1013=마스터!$M$15,ROW(입고!$C$8:$C$1013)-7),16)),"")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IFERROR(INDEX(입고!$B$8:$B$1013,SMALL(IF(입고!$C$8:$C$1013=마스터!$M$15,ROW(입고!$C$8:$C$1013)-7),17)),"")</f>
        <v/>
      </c>
      <c r="C28" s="6" t="str">
        <f t="array" ref="C28">IFERROR(INDEX(입고!$E$8:$E$1013,SMALL(IF(입고!$C$8:$C$1013=마스터!$M$15,ROW(입고!$C$8:$C$1013)-7),17)),"")</f>
        <v/>
      </c>
      <c r="D28" s="8" t="str">
        <f t="array" ref="D28">IFERROR(INDEX(입고!$F$8:$F$1013,SMALL(IF(입고!$C$8:$C$1013=마스터!$M$15,ROW(입고!$C$8:$C$1013)-7),17)),"")</f>
        <v/>
      </c>
      <c r="E28" s="46" t="str">
        <f t="array" ref="E28">IFERROR(INDEX(입고!$H$8:$H$1013,SMALL(IF(입고!$C$8:$C$1013=마스터!$M$15,ROW(입고!$C$8:$C$1013)-7),17)),"")</f>
        <v/>
      </c>
      <c r="F28" s="46" t="str">
        <f t="array" ref="F28">IFERROR(INDEX(입고!$I$8:$I$1013,SMALL(IF(입고!$C$8:$C$1013=마스터!$M$15,ROW(입고!$C$8:$C$1013)-7),17)),"")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IFERROR(INDEX(입고!$B$8:$B$1013,SMALL(IF(입고!$C$8:$C$1013=마스터!$M$15,ROW(입고!$C$8:$C$1013)-7),18)),"")</f>
        <v/>
      </c>
      <c r="C29" s="11" t="str">
        <f t="array" ref="C29">IFERROR(INDEX(입고!$E$8:$E$1013,SMALL(IF(입고!$C$8:$C$1013=마스터!$M$15,ROW(입고!$C$8:$C$1013)-7),18)),"")</f>
        <v/>
      </c>
      <c r="D29" s="13" t="str">
        <f t="array" ref="D29">IFERROR(INDEX(입고!$F$8:$F$1013,SMALL(IF(입고!$C$8:$C$1013=마스터!$M$15,ROW(입고!$C$8:$C$1013)-7),18)),"")</f>
        <v/>
      </c>
      <c r="E29" s="50" t="str">
        <f t="array" ref="E29">IFERROR(INDEX(입고!$H$8:$H$1013,SMALL(IF(입고!$C$8:$C$1013=마스터!$M$15,ROW(입고!$C$8:$C$1013)-7),18)),"")</f>
        <v/>
      </c>
      <c r="F29" s="50" t="str">
        <f t="array" ref="F29">IFERROR(INDEX(입고!$I$8:$I$1013,SMALL(IF(입고!$C$8:$C$1013=마스터!$M$15,ROW(입고!$C$8:$C$1013)-7),18)),"")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IFERROR(INDEX(입고!$B$8:$B$1013,SMALL(IF(입고!$C$8:$C$1013=마스터!$M$15,ROW(입고!$C$8:$C$1013)-7),19)),"")</f>
        <v/>
      </c>
      <c r="C30" s="6" t="str">
        <f t="array" ref="C30">IFERROR(INDEX(입고!$E$8:$E$1013,SMALL(IF(입고!$C$8:$C$1013=마스터!$M$15,ROW(입고!$C$8:$C$1013)-7),19)),"")</f>
        <v/>
      </c>
      <c r="D30" s="8" t="str">
        <f t="array" ref="D30">IFERROR(INDEX(입고!$F$8:$F$1013,SMALL(IF(입고!$C$8:$C$1013=마스터!$M$15,ROW(입고!$C$8:$C$1013)-7),19)),"")</f>
        <v/>
      </c>
      <c r="E30" s="46" t="str">
        <f t="array" ref="E30">IFERROR(INDEX(입고!$H$8:$H$1013,SMALL(IF(입고!$C$8:$C$1013=마스터!$M$15,ROW(입고!$C$8:$C$1013)-7),19)),"")</f>
        <v/>
      </c>
      <c r="F30" s="46" t="str">
        <f t="array" ref="F30">IFERROR(INDEX(입고!$I$8:$I$1013,SMALL(IF(입고!$C$8:$C$1013=마스터!$M$15,ROW(입고!$C$8:$C$1013)-7),19)),"")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IFERROR(INDEX(입고!$B$8:$B$1013,SMALL(IF(입고!$C$8:$C$1013=마스터!$M$15,ROW(입고!$C$8:$C$1013)-7),20)),"")</f>
        <v/>
      </c>
      <c r="C31" s="11" t="str">
        <f t="array" ref="C31">IFERROR(INDEX(입고!$E$8:$E$1013,SMALL(IF(입고!$C$8:$C$1013=마스터!$M$15,ROW(입고!$C$8:$C$1013)-7),20)),"")</f>
        <v/>
      </c>
      <c r="D31" s="13" t="str">
        <f t="array" ref="D31">IFERROR(INDEX(입고!$F$8:$F$1013,SMALL(IF(입고!$C$8:$C$1013=마스터!$M$15,ROW(입고!$C$8:$C$1013)-7),20)),"")</f>
        <v/>
      </c>
      <c r="E31" s="50" t="str">
        <f t="array" ref="E31">IFERROR(INDEX(입고!$H$8:$H$1013,SMALL(IF(입고!$C$8:$C$1013=마스터!$M$15,ROW(입고!$C$8:$C$1013)-7),20)),"")</f>
        <v/>
      </c>
      <c r="F31" s="50" t="str">
        <f t="array" ref="F31">IFERROR(INDEX(입고!$I$8:$I$1013,SMALL(IF(입고!$C$8:$C$1013=마스터!$M$15,ROW(입고!$C$8:$C$1013)-7),20)),"")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IFERROR(INDEX(입고!$B$8:$B$1013,SMALL(IF(입고!$C$8:$C$1013=마스터!$M$15,ROW(입고!$C$8:$C$1013)-7),21)),"")</f>
        <v/>
      </c>
      <c r="C32" s="6" t="str">
        <f t="array" ref="C32">IFERROR(INDEX(입고!$E$8:$E$1013,SMALL(IF(입고!$C$8:$C$1013=마스터!$M$15,ROW(입고!$C$8:$C$1013)-7),21)),"")</f>
        <v/>
      </c>
      <c r="D32" s="8" t="str">
        <f t="array" ref="D32">IFERROR(INDEX(입고!$F$8:$F$1013,SMALL(IF(입고!$C$8:$C$1013=마스터!$M$15,ROW(입고!$C$8:$C$1013)-7),21)),"")</f>
        <v/>
      </c>
      <c r="E32" s="46" t="str">
        <f t="array" ref="E32">IFERROR(INDEX(입고!$H$8:$H$1013,SMALL(IF(입고!$C$8:$C$1013=마스터!$M$15,ROW(입고!$C$8:$C$1013)-7),21)),"")</f>
        <v/>
      </c>
      <c r="F32" s="46" t="str">
        <f t="array" ref="F32">IFERROR(INDEX(입고!$I$8:$I$1013,SMALL(IF(입고!$C$8:$C$1013=마스터!$M$15,ROW(입고!$C$8:$C$1013)-7),21)),"")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IFERROR(INDEX(입고!$B$8:$B$1013,SMALL(IF(입고!$C$8:$C$1013=마스터!$M$15,ROW(입고!$C$8:$C$1013)-7),22)),"")</f>
        <v/>
      </c>
      <c r="C33" s="11" t="str">
        <f t="array" ref="C33">IFERROR(INDEX(입고!$E$8:$E$1013,SMALL(IF(입고!$C$8:$C$1013=마스터!$M$15,ROW(입고!$C$8:$C$1013)-7),22)),"")</f>
        <v/>
      </c>
      <c r="D33" s="13" t="str">
        <f t="array" ref="D33">IFERROR(INDEX(입고!$F$8:$F$1013,SMALL(IF(입고!$C$8:$C$1013=마스터!$M$15,ROW(입고!$C$8:$C$1013)-7),22)),"")</f>
        <v/>
      </c>
      <c r="E33" s="50" t="str">
        <f t="array" ref="E33">IFERROR(INDEX(입고!$H$8:$H$1013,SMALL(IF(입고!$C$8:$C$1013=마스터!$M$15,ROW(입고!$C$8:$C$1013)-7),22)),"")</f>
        <v/>
      </c>
      <c r="F33" s="50" t="str">
        <f t="array" ref="F33">IFERROR(INDEX(입고!$I$8:$I$1013,SMALL(IF(입고!$C$8:$C$1013=마스터!$M$15,ROW(입고!$C$8:$C$1013)-7),22)),"")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IFERROR(INDEX(입고!$B$8:$B$1013,SMALL(IF(입고!$C$8:$C$1013=마스터!$M$15,ROW(입고!$C$8:$C$1013)-7),23)),"")</f>
        <v/>
      </c>
      <c r="C34" s="6" t="str">
        <f t="array" ref="C34">IFERROR(INDEX(입고!$E$8:$E$1013,SMALL(IF(입고!$C$8:$C$1013=마스터!$M$15,ROW(입고!$C$8:$C$1013)-7),23)),"")</f>
        <v/>
      </c>
      <c r="D34" s="8" t="str">
        <f t="array" ref="D34">IFERROR(INDEX(입고!$F$8:$F$1013,SMALL(IF(입고!$C$8:$C$1013=마스터!$M$15,ROW(입고!$C$8:$C$1013)-7),23)),"")</f>
        <v/>
      </c>
      <c r="E34" s="46" t="str">
        <f t="array" ref="E34">IFERROR(INDEX(입고!$H$8:$H$1013,SMALL(IF(입고!$C$8:$C$1013=마스터!$M$15,ROW(입고!$C$8:$C$1013)-7),23)),"")</f>
        <v/>
      </c>
      <c r="F34" s="46" t="str">
        <f t="array" ref="F34">IFERROR(INDEX(입고!$I$8:$I$1013,SMALL(IF(입고!$C$8:$C$1013=마스터!$M$15,ROW(입고!$C$8:$C$1013)-7),23)),"")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IFERROR(INDEX(입고!$B$8:$B$1013,SMALL(IF(입고!$C$8:$C$1013=마스터!$M$15,ROW(입고!$C$8:$C$1013)-7),24)),"")</f>
        <v/>
      </c>
      <c r="C35" s="11" t="str">
        <f t="array" ref="C35">IFERROR(INDEX(입고!$E$8:$E$1013,SMALL(IF(입고!$C$8:$C$1013=마스터!$M$15,ROW(입고!$C$8:$C$1013)-7),24)),"")</f>
        <v/>
      </c>
      <c r="D35" s="13" t="str">
        <f t="array" ref="D35">IFERROR(INDEX(입고!$F$8:$F$1013,SMALL(IF(입고!$C$8:$C$1013=마스터!$M$15,ROW(입고!$C$8:$C$1013)-7),24)),"")</f>
        <v/>
      </c>
      <c r="E35" s="50" t="str">
        <f t="array" ref="E35">IFERROR(INDEX(입고!$H$8:$H$1013,SMALL(IF(입고!$C$8:$C$1013=마스터!$M$15,ROW(입고!$C$8:$C$1013)-7),24)),"")</f>
        <v/>
      </c>
      <c r="F35" s="50" t="str">
        <f t="array" ref="F35">IFERROR(INDEX(입고!$I$8:$I$1013,SMALL(IF(입고!$C$8:$C$1013=마스터!$M$15,ROW(입고!$C$8:$C$1013)-7),24)),"")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IFERROR(INDEX(입고!$B$8:$B$1013,SMALL(IF(입고!$C$8:$C$1013=마스터!$M$15,ROW(입고!$C$8:$C$1013)-7),25)),"")</f>
        <v/>
      </c>
      <c r="C36" s="6" t="str">
        <f t="array" ref="C36">IFERROR(INDEX(입고!$E$8:$E$1013,SMALL(IF(입고!$C$8:$C$1013=마스터!$M$15,ROW(입고!$C$8:$C$1013)-7),25)),"")</f>
        <v/>
      </c>
      <c r="D36" s="8" t="str">
        <f t="array" ref="D36">IFERROR(INDEX(입고!$F$8:$F$1013,SMALL(IF(입고!$C$8:$C$1013=마스터!$M$15,ROW(입고!$C$8:$C$1013)-7),25)),"")</f>
        <v/>
      </c>
      <c r="E36" s="46" t="str">
        <f t="array" ref="E36">IFERROR(INDEX(입고!$H$8:$H$1013,SMALL(IF(입고!$C$8:$C$1013=마스터!$M$15,ROW(입고!$C$8:$C$1013)-7),25)),"")</f>
        <v/>
      </c>
      <c r="F36" s="46" t="str">
        <f t="array" ref="F36">IFERROR(INDEX(입고!$I$8:$I$1013,SMALL(IF(입고!$C$8:$C$1013=마스터!$M$15,ROW(입고!$C$8:$C$1013)-7),25)),"")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IFERROR(INDEX(입고!$B$8:$B$1013,SMALL(IF(입고!$C$8:$C$1013=마스터!$M$15,ROW(입고!$C$8:$C$1013)-7),26)),"")</f>
        <v/>
      </c>
      <c r="C37" s="11" t="str">
        <f t="array" ref="C37">IFERROR(INDEX(입고!$E$8:$E$1013,SMALL(IF(입고!$C$8:$C$1013=마스터!$M$15,ROW(입고!$C$8:$C$1013)-7),26)),"")</f>
        <v/>
      </c>
      <c r="D37" s="13" t="str">
        <f t="array" ref="D37">IFERROR(INDEX(입고!$F$8:$F$1013,SMALL(IF(입고!$C$8:$C$1013=마스터!$M$15,ROW(입고!$C$8:$C$1013)-7),26)),"")</f>
        <v/>
      </c>
      <c r="E37" s="50" t="str">
        <f t="array" ref="E37">IFERROR(INDEX(입고!$H$8:$H$1013,SMALL(IF(입고!$C$8:$C$1013=마스터!$M$15,ROW(입고!$C$8:$C$1013)-7),26)),"")</f>
        <v/>
      </c>
      <c r="F37" s="50" t="str">
        <f t="array" ref="F37">IFERROR(INDEX(입고!$I$8:$I$1013,SMALL(IF(입고!$C$8:$C$1013=마스터!$M$15,ROW(입고!$C$8:$C$1013)-7),26)),"")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IFERROR(INDEX(입고!$B$8:$B$1013,SMALL(IF(입고!$C$8:$C$1013=마스터!$M$15,ROW(입고!$C$8:$C$1013)-7),27)),"")</f>
        <v/>
      </c>
      <c r="C38" s="6" t="str">
        <f t="array" ref="C38">IFERROR(INDEX(입고!$E$8:$E$1013,SMALL(IF(입고!$C$8:$C$1013=마스터!$M$15,ROW(입고!$C$8:$C$1013)-7),27)),"")</f>
        <v/>
      </c>
      <c r="D38" s="8" t="str">
        <f t="array" ref="D38">IFERROR(INDEX(입고!$F$8:$F$1013,SMALL(IF(입고!$C$8:$C$1013=마스터!$M$15,ROW(입고!$C$8:$C$1013)-7),27)),"")</f>
        <v/>
      </c>
      <c r="E38" s="46" t="str">
        <f t="array" ref="E38">IFERROR(INDEX(입고!$H$8:$H$1013,SMALL(IF(입고!$C$8:$C$1013=마스터!$M$15,ROW(입고!$C$8:$C$1013)-7),27)),"")</f>
        <v/>
      </c>
      <c r="F38" s="46" t="str">
        <f t="array" ref="F38">IFERROR(INDEX(입고!$I$8:$I$1013,SMALL(IF(입고!$C$8:$C$1013=마스터!$M$15,ROW(입고!$C$8:$C$1013)-7),27)),"")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IFERROR(INDEX(입고!$B$8:$B$1013,SMALL(IF(입고!$C$8:$C$1013=마스터!$M$15,ROW(입고!$C$8:$C$1013)-7),28)),"")</f>
        <v/>
      </c>
      <c r="C39" s="11" t="str">
        <f t="array" ref="C39">IFERROR(INDEX(입고!$E$8:$E$1013,SMALL(IF(입고!$C$8:$C$1013=마스터!$M$15,ROW(입고!$C$8:$C$1013)-7),28)),"")</f>
        <v/>
      </c>
      <c r="D39" s="13" t="str">
        <f t="array" ref="D39">IFERROR(INDEX(입고!$F$8:$F$1013,SMALL(IF(입고!$C$8:$C$1013=마스터!$M$15,ROW(입고!$C$8:$C$1013)-7),28)),"")</f>
        <v/>
      </c>
      <c r="E39" s="50" t="str">
        <f t="array" ref="E39">IFERROR(INDEX(입고!$H$8:$H$1013,SMALL(IF(입고!$C$8:$C$1013=마스터!$M$15,ROW(입고!$C$8:$C$1013)-7),28)),"")</f>
        <v/>
      </c>
      <c r="F39" s="50" t="str">
        <f t="array" ref="F39">IFERROR(INDEX(입고!$I$8:$I$1013,SMALL(IF(입고!$C$8:$C$1013=마스터!$M$15,ROW(입고!$C$8:$C$1013)-7),28)),"")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IFERROR(INDEX(입고!$B$8:$B$1013,SMALL(IF(입고!$C$8:$C$1013=마스터!$M$15,ROW(입고!$C$8:$C$1013)-7),29)),"")</f>
        <v/>
      </c>
      <c r="C40" s="6" t="str">
        <f t="array" ref="C40">IFERROR(INDEX(입고!$E$8:$E$1013,SMALL(IF(입고!$C$8:$C$1013=마스터!$M$15,ROW(입고!$C$8:$C$1013)-7),29)),"")</f>
        <v/>
      </c>
      <c r="D40" s="8" t="str">
        <f t="array" ref="D40">IFERROR(INDEX(입고!$F$8:$F$1013,SMALL(IF(입고!$C$8:$C$1013=마스터!$M$15,ROW(입고!$C$8:$C$1013)-7),29)),"")</f>
        <v/>
      </c>
      <c r="E40" s="46" t="str">
        <f t="array" ref="E40">IFERROR(INDEX(입고!$H$8:$H$1013,SMALL(IF(입고!$C$8:$C$1013=마스터!$M$15,ROW(입고!$C$8:$C$1013)-7),29)),"")</f>
        <v/>
      </c>
      <c r="F40" s="46" t="str">
        <f t="array" ref="F40">IFERROR(INDEX(입고!$I$8:$I$1013,SMALL(IF(입고!$C$8:$C$1013=마스터!$M$15,ROW(입고!$C$8:$C$1013)-7),29)),"")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IFERROR(INDEX(입고!$B$8:$B$1013,SMALL(IF(입고!$C$8:$C$1013=마스터!$M$15,ROW(입고!$C$8:$C$1013)-7),30)),"")</f>
        <v/>
      </c>
      <c r="C41" s="11" t="str">
        <f t="array" ref="C41">IFERROR(INDEX(입고!$E$8:$E$1013,SMALL(IF(입고!$C$8:$C$1013=마스터!$M$15,ROW(입고!$C$8:$C$1013)-7),30)),"")</f>
        <v/>
      </c>
      <c r="D41" s="13" t="str">
        <f t="array" ref="D41">IFERROR(INDEX(입고!$F$8:$F$1013,SMALL(IF(입고!$C$8:$C$1013=마스터!$M$15,ROW(입고!$C$8:$C$1013)-7),30)),"")</f>
        <v/>
      </c>
      <c r="E41" s="50" t="str">
        <f t="array" ref="E41">IFERROR(INDEX(입고!$H$8:$H$1013,SMALL(IF(입고!$C$8:$C$1013=마스터!$M$15,ROW(입고!$C$8:$C$1013)-7),30)),"")</f>
        <v/>
      </c>
      <c r="F41" s="50" t="str">
        <f t="array" ref="F41">IFERROR(INDEX(입고!$I$8:$I$1013,SMALL(IF(입고!$C$8:$C$1013=마스터!$M$15,ROW(입고!$C$8:$C$1013)-7),30)),"")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IFERROR(INDEX(출고!$B$8:$B$1013,SMALL(IF(출고!$C$8:$C$1013=마스터!$M$15,ROW(출고!$C$8:$C$1013)-7),1)),"")</f>
        <v/>
      </c>
      <c r="C45" s="6" t="str">
        <f t="array" ref="C45">IFERROR(INDEX(출고!$E$8:$E$1013,SMALL(IF(출고!$C$8:$C$1013=마스터!$M$15,ROW(출고!$C$8:$C$1013)-7),1)),"")</f>
        <v/>
      </c>
      <c r="D45" s="8" t="str">
        <f t="array" ref="D45">IFERROR(INDEX(출고!$F$8:$F$1013,SMALL(IF(출고!$C$8:$C$1013=마스터!$M$15,ROW(출고!$C$8:$C$1013)-7),1)),"")</f>
        <v/>
      </c>
      <c r="E45" s="46" t="str">
        <f t="array" ref="E45">IFERROR(INDEX(출고!$H$8:$H$1013,SMALL(IF(출고!$C$8:$C$1013=마스터!$M$15,ROW(출고!$C$8:$C$1013)-7),1)),"")</f>
        <v/>
      </c>
      <c r="F45" s="46" t="str">
        <f t="array" ref="F45">IFERROR(INDEX(출고!$I$8:$I$1013,SMALL(IF(출고!$C$8:$C$1013=마스터!$M$15,ROW(출고!$C$8:$C$1013)-7),1)),"")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IFERROR(INDEX(출고!$B$8:$B$1013,SMALL(IF(출고!$C$8:$C$1013=마스터!$M$15,ROW(출고!$C$8:$C$1013)-7),2)),"")</f>
        <v/>
      </c>
      <c r="C46" s="11" t="str">
        <f t="array" ref="C46">IFERROR(INDEX(출고!$E$8:$E$1013,SMALL(IF(출고!$C$8:$C$1013=마스터!$M$15,ROW(출고!$C$8:$C$1013)-7),2)),"")</f>
        <v/>
      </c>
      <c r="D46" s="13" t="str">
        <f t="array" ref="D46">IFERROR(INDEX(출고!$F$8:$F$1013,SMALL(IF(출고!$C$8:$C$1013=마스터!$M$15,ROW(출고!$C$8:$C$1013)-7),2)),"")</f>
        <v/>
      </c>
      <c r="E46" s="50" t="str">
        <f t="array" ref="E46">IFERROR(INDEX(출고!$H$8:$H$1013,SMALL(IF(출고!$C$8:$C$1013=마스터!$M$15,ROW(출고!$C$8:$C$1013)-7),2)),"")</f>
        <v/>
      </c>
      <c r="F46" s="50" t="str">
        <f t="array" ref="F46">IFERROR(INDEX(출고!$I$8:$I$1013,SMALL(IF(출고!$C$8:$C$1013=마스터!$M$15,ROW(출고!$C$8:$C$1013)-7),2)),"")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IFERROR(INDEX(출고!$B$8:$B$1013,SMALL(IF(출고!$C$8:$C$1013=마스터!$M$15,ROW(출고!$C$8:$C$1013)-7),3)),"")</f>
        <v/>
      </c>
      <c r="C47" s="6" t="str">
        <f t="array" ref="C47">IFERROR(INDEX(출고!$E$8:$E$1013,SMALL(IF(출고!$C$8:$C$1013=마스터!$M$15,ROW(출고!$C$8:$C$1013)-7),3)),"")</f>
        <v/>
      </c>
      <c r="D47" s="8" t="str">
        <f t="array" ref="D47">IFERROR(INDEX(출고!$F$8:$F$1013,SMALL(IF(출고!$C$8:$C$1013=마스터!$M$15,ROW(출고!$C$8:$C$1013)-7),3)),"")</f>
        <v/>
      </c>
      <c r="E47" s="46" t="str">
        <f t="array" ref="E47">IFERROR(INDEX(출고!$H$8:$H$1013,SMALL(IF(출고!$C$8:$C$1013=마스터!$M$15,ROW(출고!$C$8:$C$1013)-7),3)),"")</f>
        <v/>
      </c>
      <c r="F47" s="46" t="str">
        <f t="array" ref="F47">IFERROR(INDEX(출고!$I$8:$I$1013,SMALL(IF(출고!$C$8:$C$1013=마스터!$M$15,ROW(출고!$C$8:$C$1013)-7),3)),"")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IFERROR(INDEX(출고!$B$8:$B$1013,SMALL(IF(출고!$C$8:$C$1013=마스터!$M$15,ROW(출고!$C$8:$C$1013)-7),4)),"")</f>
        <v/>
      </c>
      <c r="C48" s="11" t="str">
        <f t="array" ref="C48">IFERROR(INDEX(출고!$E$8:$E$1013,SMALL(IF(출고!$C$8:$C$1013=마스터!$M$15,ROW(출고!$C$8:$C$1013)-7),4)),"")</f>
        <v/>
      </c>
      <c r="D48" s="13" t="str">
        <f t="array" ref="D48">IFERROR(INDEX(출고!$F$8:$F$1013,SMALL(IF(출고!$C$8:$C$1013=마스터!$M$15,ROW(출고!$C$8:$C$1013)-7),4)),"")</f>
        <v/>
      </c>
      <c r="E48" s="50" t="str">
        <f t="array" ref="E48">IFERROR(INDEX(출고!$H$8:$H$1013,SMALL(IF(출고!$C$8:$C$1013=마스터!$M$15,ROW(출고!$C$8:$C$1013)-7),4)),"")</f>
        <v/>
      </c>
      <c r="F48" s="50" t="str">
        <f t="array" ref="F48">IFERROR(INDEX(출고!$I$8:$I$1013,SMALL(IF(출고!$C$8:$C$1013=마스터!$M$15,ROW(출고!$C$8:$C$1013)-7),4)),"")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IFERROR(INDEX(출고!$B$8:$B$1013,SMALL(IF(출고!$C$8:$C$1013=마스터!$M$15,ROW(출고!$C$8:$C$1013)-7),5)),"")</f>
        <v/>
      </c>
      <c r="C49" s="6" t="str">
        <f t="array" ref="C49">IFERROR(INDEX(출고!$E$8:$E$1013,SMALL(IF(출고!$C$8:$C$1013=마스터!$M$15,ROW(출고!$C$8:$C$1013)-7),5)),"")</f>
        <v/>
      </c>
      <c r="D49" s="8" t="str">
        <f t="array" ref="D49">IFERROR(INDEX(출고!$F$8:$F$1013,SMALL(IF(출고!$C$8:$C$1013=마스터!$M$15,ROW(출고!$C$8:$C$1013)-7),5)),"")</f>
        <v/>
      </c>
      <c r="E49" s="46" t="str">
        <f t="array" ref="E49">IFERROR(INDEX(출고!$H$8:$H$1013,SMALL(IF(출고!$C$8:$C$1013=마스터!$M$15,ROW(출고!$C$8:$C$1013)-7),5)),"")</f>
        <v/>
      </c>
      <c r="F49" s="46" t="str">
        <f t="array" ref="F49">IFERROR(INDEX(출고!$I$8:$I$1013,SMALL(IF(출고!$C$8:$C$1013=마스터!$M$15,ROW(출고!$C$8:$C$1013)-7),5)),"")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IFERROR(INDEX(출고!$B$8:$B$1013,SMALL(IF(출고!$C$8:$C$1013=마스터!$M$15,ROW(출고!$C$8:$C$1013)-7),6)),"")</f>
        <v/>
      </c>
      <c r="C50" s="11" t="str">
        <f t="array" ref="C50">IFERROR(INDEX(출고!$E$8:$E$1013,SMALL(IF(출고!$C$8:$C$1013=마스터!$M$15,ROW(출고!$C$8:$C$1013)-7),6)),"")</f>
        <v/>
      </c>
      <c r="D50" s="13" t="str">
        <f t="array" ref="D50">IFERROR(INDEX(출고!$F$8:$F$1013,SMALL(IF(출고!$C$8:$C$1013=마스터!$M$15,ROW(출고!$C$8:$C$1013)-7),6)),"")</f>
        <v/>
      </c>
      <c r="E50" s="50" t="str">
        <f t="array" ref="E50">IFERROR(INDEX(출고!$H$8:$H$1013,SMALL(IF(출고!$C$8:$C$1013=마스터!$M$15,ROW(출고!$C$8:$C$1013)-7),6)),"")</f>
        <v/>
      </c>
      <c r="F50" s="50" t="str">
        <f t="array" ref="F50">IFERROR(INDEX(출고!$I$8:$I$1013,SMALL(IF(출고!$C$8:$C$1013=마스터!$M$15,ROW(출고!$C$8:$C$1013)-7),6)),"")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IFERROR(INDEX(출고!$B$8:$B$1013,SMALL(IF(출고!$C$8:$C$1013=마스터!$M$15,ROW(출고!$C$8:$C$1013)-7),7)),"")</f>
        <v/>
      </c>
      <c r="C51" s="6" t="str">
        <f t="array" ref="C51">IFERROR(INDEX(출고!$E$8:$E$1013,SMALL(IF(출고!$C$8:$C$1013=마스터!$M$15,ROW(출고!$C$8:$C$1013)-7),7)),"")</f>
        <v/>
      </c>
      <c r="D51" s="8" t="str">
        <f t="array" ref="D51">IFERROR(INDEX(출고!$F$8:$F$1013,SMALL(IF(출고!$C$8:$C$1013=마스터!$M$15,ROW(출고!$C$8:$C$1013)-7),7)),"")</f>
        <v/>
      </c>
      <c r="E51" s="46" t="str">
        <f t="array" ref="E51">IFERROR(INDEX(출고!$H$8:$H$1013,SMALL(IF(출고!$C$8:$C$1013=마스터!$M$15,ROW(출고!$C$8:$C$1013)-7),7)),"")</f>
        <v/>
      </c>
      <c r="F51" s="46" t="str">
        <f t="array" ref="F51">IFERROR(INDEX(출고!$I$8:$I$1013,SMALL(IF(출고!$C$8:$C$1013=마스터!$M$15,ROW(출고!$C$8:$C$1013)-7),7)),"")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IFERROR(INDEX(출고!$B$8:$B$1013,SMALL(IF(출고!$C$8:$C$1013=마스터!$M$15,ROW(출고!$C$8:$C$1013)-7),8)),"")</f>
        <v/>
      </c>
      <c r="C52" s="11" t="str">
        <f t="array" ref="C52">IFERROR(INDEX(출고!$E$8:$E$1013,SMALL(IF(출고!$C$8:$C$1013=마스터!$M$15,ROW(출고!$C$8:$C$1013)-7),8)),"")</f>
        <v/>
      </c>
      <c r="D52" s="13" t="str">
        <f t="array" ref="D52">IFERROR(INDEX(출고!$F$8:$F$1013,SMALL(IF(출고!$C$8:$C$1013=마스터!$M$15,ROW(출고!$C$8:$C$1013)-7),8)),"")</f>
        <v/>
      </c>
      <c r="E52" s="50" t="str">
        <f t="array" ref="E52">IFERROR(INDEX(출고!$H$8:$H$1013,SMALL(IF(출고!$C$8:$C$1013=마스터!$M$15,ROW(출고!$C$8:$C$1013)-7),8)),"")</f>
        <v/>
      </c>
      <c r="F52" s="50" t="str">
        <f t="array" ref="F52">IFERROR(INDEX(출고!$I$8:$I$1013,SMALL(IF(출고!$C$8:$C$1013=마스터!$M$15,ROW(출고!$C$8:$C$1013)-7),8)),"")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IFERROR(INDEX(출고!$B$8:$B$1013,SMALL(IF(출고!$C$8:$C$1013=마스터!$M$15,ROW(출고!$C$8:$C$1013)-7),9)),"")</f>
        <v/>
      </c>
      <c r="C53" s="6" t="str">
        <f t="array" ref="C53">IFERROR(INDEX(출고!$E$8:$E$1013,SMALL(IF(출고!$C$8:$C$1013=마스터!$M$15,ROW(출고!$C$8:$C$1013)-7),9)),"")</f>
        <v/>
      </c>
      <c r="D53" s="8" t="str">
        <f t="array" ref="D53">IFERROR(INDEX(출고!$F$8:$F$1013,SMALL(IF(출고!$C$8:$C$1013=마스터!$M$15,ROW(출고!$C$8:$C$1013)-7),9)),"")</f>
        <v/>
      </c>
      <c r="E53" s="46" t="str">
        <f t="array" ref="E53">IFERROR(INDEX(출고!$H$8:$H$1013,SMALL(IF(출고!$C$8:$C$1013=마스터!$M$15,ROW(출고!$C$8:$C$1013)-7),9)),"")</f>
        <v/>
      </c>
      <c r="F53" s="46" t="str">
        <f t="array" ref="F53">IFERROR(INDEX(출고!$I$8:$I$1013,SMALL(IF(출고!$C$8:$C$1013=마스터!$M$15,ROW(출고!$C$8:$C$1013)-7),9)),"")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IFERROR(INDEX(출고!$B$8:$B$1013,SMALL(IF(출고!$C$8:$C$1013=마스터!$M$15,ROW(출고!$C$8:$C$1013)-7),10)),"")</f>
        <v/>
      </c>
      <c r="C54" s="11" t="str">
        <f t="array" ref="C54">IFERROR(INDEX(출고!$E$8:$E$1013,SMALL(IF(출고!$C$8:$C$1013=마스터!$M$15,ROW(출고!$C$8:$C$1013)-7),10)),"")</f>
        <v/>
      </c>
      <c r="D54" s="13" t="str">
        <f t="array" ref="D54">IFERROR(INDEX(출고!$F$8:$F$1013,SMALL(IF(출고!$C$8:$C$1013=마스터!$M$15,ROW(출고!$C$8:$C$1013)-7),10)),"")</f>
        <v/>
      </c>
      <c r="E54" s="50" t="str">
        <f t="array" ref="E54">IFERROR(INDEX(출고!$H$8:$H$1013,SMALL(IF(출고!$C$8:$C$1013=마스터!$M$15,ROW(출고!$C$8:$C$1013)-7),10)),"")</f>
        <v/>
      </c>
      <c r="F54" s="50" t="str">
        <f t="array" ref="F54">IFERROR(INDEX(출고!$I$8:$I$1013,SMALL(IF(출고!$C$8:$C$1013=마스터!$M$15,ROW(출고!$C$8:$C$1013)-7),10)),"")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IFERROR(INDEX(출고!$B$8:$B$1013,SMALL(IF(출고!$C$8:$C$1013=마스터!$M$15,ROW(출고!$C$8:$C$1013)-7),11)),"")</f>
        <v/>
      </c>
      <c r="C55" s="6" t="str">
        <f t="array" ref="C55">IFERROR(INDEX(출고!$E$8:$E$1013,SMALL(IF(출고!$C$8:$C$1013=마스터!$M$15,ROW(출고!$C$8:$C$1013)-7),11)),"")</f>
        <v/>
      </c>
      <c r="D55" s="8" t="str">
        <f t="array" ref="D55">IFERROR(INDEX(출고!$F$8:$F$1013,SMALL(IF(출고!$C$8:$C$1013=마스터!$M$15,ROW(출고!$C$8:$C$1013)-7),11)),"")</f>
        <v/>
      </c>
      <c r="E55" s="46" t="str">
        <f t="array" ref="E55">IFERROR(INDEX(출고!$H$8:$H$1013,SMALL(IF(출고!$C$8:$C$1013=마스터!$M$15,ROW(출고!$C$8:$C$1013)-7),11)),"")</f>
        <v/>
      </c>
      <c r="F55" s="46" t="str">
        <f t="array" ref="F55">IFERROR(INDEX(출고!$I$8:$I$1013,SMALL(IF(출고!$C$8:$C$1013=마스터!$M$15,ROW(출고!$C$8:$C$1013)-7),11)),"")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IFERROR(INDEX(출고!$B$8:$B$1013,SMALL(IF(출고!$C$8:$C$1013=마스터!$M$15,ROW(출고!$C$8:$C$1013)-7),12)),"")</f>
        <v/>
      </c>
      <c r="C56" s="11" t="str">
        <f t="array" ref="C56">IFERROR(INDEX(출고!$E$8:$E$1013,SMALL(IF(출고!$C$8:$C$1013=마스터!$M$15,ROW(출고!$C$8:$C$1013)-7),12)),"")</f>
        <v/>
      </c>
      <c r="D56" s="13" t="str">
        <f t="array" ref="D56">IFERROR(INDEX(출고!$F$8:$F$1013,SMALL(IF(출고!$C$8:$C$1013=마스터!$M$15,ROW(출고!$C$8:$C$1013)-7),12)),"")</f>
        <v/>
      </c>
      <c r="E56" s="50" t="str">
        <f t="array" ref="E56">IFERROR(INDEX(출고!$H$8:$H$1013,SMALL(IF(출고!$C$8:$C$1013=마스터!$M$15,ROW(출고!$C$8:$C$1013)-7),12)),"")</f>
        <v/>
      </c>
      <c r="F56" s="50" t="str">
        <f t="array" ref="F56">IFERROR(INDEX(출고!$I$8:$I$1013,SMALL(IF(출고!$C$8:$C$1013=마스터!$M$15,ROW(출고!$C$8:$C$1013)-7),12)),"")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IFERROR(INDEX(출고!$B$8:$B$1013,SMALL(IF(출고!$C$8:$C$1013=마스터!$M$15,ROW(출고!$C$8:$C$1013)-7),13)),"")</f>
        <v/>
      </c>
      <c r="C57" s="6" t="str">
        <f t="array" ref="C57">IFERROR(INDEX(출고!$E$8:$E$1013,SMALL(IF(출고!$C$8:$C$1013=마스터!$M$15,ROW(출고!$C$8:$C$1013)-7),13)),"")</f>
        <v/>
      </c>
      <c r="D57" s="8" t="str">
        <f t="array" ref="D57">IFERROR(INDEX(출고!$F$8:$F$1013,SMALL(IF(출고!$C$8:$C$1013=마스터!$M$15,ROW(출고!$C$8:$C$1013)-7),13)),"")</f>
        <v/>
      </c>
      <c r="E57" s="46" t="str">
        <f t="array" ref="E57">IFERROR(INDEX(출고!$H$8:$H$1013,SMALL(IF(출고!$C$8:$C$1013=마스터!$M$15,ROW(출고!$C$8:$C$1013)-7),13)),"")</f>
        <v/>
      </c>
      <c r="F57" s="46" t="str">
        <f t="array" ref="F57">IFERROR(INDEX(출고!$I$8:$I$1013,SMALL(IF(출고!$C$8:$C$1013=마스터!$M$15,ROW(출고!$C$8:$C$1013)-7),13)),"")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IFERROR(INDEX(출고!$B$8:$B$1013,SMALL(IF(출고!$C$8:$C$1013=마스터!$M$15,ROW(출고!$C$8:$C$1013)-7),14)),"")</f>
        <v/>
      </c>
      <c r="C58" s="11" t="str">
        <f t="array" ref="C58">IFERROR(INDEX(출고!$E$8:$E$1013,SMALL(IF(출고!$C$8:$C$1013=마스터!$M$15,ROW(출고!$C$8:$C$1013)-7),14)),"")</f>
        <v/>
      </c>
      <c r="D58" s="13" t="str">
        <f t="array" ref="D58">IFERROR(INDEX(출고!$F$8:$F$1013,SMALL(IF(출고!$C$8:$C$1013=마스터!$M$15,ROW(출고!$C$8:$C$1013)-7),14)),"")</f>
        <v/>
      </c>
      <c r="E58" s="50" t="str">
        <f t="array" ref="E58">IFERROR(INDEX(출고!$H$8:$H$1013,SMALL(IF(출고!$C$8:$C$1013=마스터!$M$15,ROW(출고!$C$8:$C$1013)-7),14)),"")</f>
        <v/>
      </c>
      <c r="F58" s="50" t="str">
        <f t="array" ref="F58">IFERROR(INDEX(출고!$I$8:$I$1013,SMALL(IF(출고!$C$8:$C$1013=마스터!$M$15,ROW(출고!$C$8:$C$1013)-7),14)),"")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IFERROR(INDEX(출고!$B$8:$B$1013,SMALL(IF(출고!$C$8:$C$1013=마스터!$M$15,ROW(출고!$C$8:$C$1013)-7),15)),"")</f>
        <v/>
      </c>
      <c r="C59" s="6" t="str">
        <f t="array" ref="C59">IFERROR(INDEX(출고!$E$8:$E$1013,SMALL(IF(출고!$C$8:$C$1013=마스터!$M$15,ROW(출고!$C$8:$C$1013)-7),15)),"")</f>
        <v/>
      </c>
      <c r="D59" s="8" t="str">
        <f t="array" ref="D59">IFERROR(INDEX(출고!$F$8:$F$1013,SMALL(IF(출고!$C$8:$C$1013=마스터!$M$15,ROW(출고!$C$8:$C$1013)-7),15)),"")</f>
        <v/>
      </c>
      <c r="E59" s="46" t="str">
        <f t="array" ref="E59">IFERROR(INDEX(출고!$H$8:$H$1013,SMALL(IF(출고!$C$8:$C$1013=마스터!$M$15,ROW(출고!$C$8:$C$1013)-7),15)),"")</f>
        <v/>
      </c>
      <c r="F59" s="46" t="str">
        <f t="array" ref="F59">IFERROR(INDEX(출고!$I$8:$I$1013,SMALL(IF(출고!$C$8:$C$1013=마스터!$M$15,ROW(출고!$C$8:$C$1013)-7),15)),"")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IFERROR(INDEX(출고!$B$8:$B$1013,SMALL(IF(출고!$C$8:$C$1013=마스터!$M$15,ROW(출고!$C$8:$C$1013)-7),16)),"")</f>
        <v/>
      </c>
      <c r="C60" s="11" t="str">
        <f t="array" ref="C60">IFERROR(INDEX(출고!$E$8:$E$1013,SMALL(IF(출고!$C$8:$C$1013=마스터!$M$15,ROW(출고!$C$8:$C$1013)-7),16)),"")</f>
        <v/>
      </c>
      <c r="D60" s="13" t="str">
        <f t="array" ref="D60">IFERROR(INDEX(출고!$F$8:$F$1013,SMALL(IF(출고!$C$8:$C$1013=마스터!$M$15,ROW(출고!$C$8:$C$1013)-7),16)),"")</f>
        <v/>
      </c>
      <c r="E60" s="50" t="str">
        <f t="array" ref="E60">IFERROR(INDEX(출고!$H$8:$H$1013,SMALL(IF(출고!$C$8:$C$1013=마스터!$M$15,ROW(출고!$C$8:$C$1013)-7),16)),"")</f>
        <v/>
      </c>
      <c r="F60" s="50" t="str">
        <f t="array" ref="F60">IFERROR(INDEX(출고!$I$8:$I$1013,SMALL(IF(출고!$C$8:$C$1013=마스터!$M$15,ROW(출고!$C$8:$C$1013)-7),16)),"")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IFERROR(INDEX(출고!$B$8:$B$1013,SMALL(IF(출고!$C$8:$C$1013=마스터!$M$15,ROW(출고!$C$8:$C$1013)-7),17)),"")</f>
        <v/>
      </c>
      <c r="C61" s="6" t="str">
        <f t="array" ref="C61">IFERROR(INDEX(출고!$E$8:$E$1013,SMALL(IF(출고!$C$8:$C$1013=마스터!$M$15,ROW(출고!$C$8:$C$1013)-7),17)),"")</f>
        <v/>
      </c>
      <c r="D61" s="8" t="str">
        <f t="array" ref="D61">IFERROR(INDEX(출고!$F$8:$F$1013,SMALL(IF(출고!$C$8:$C$1013=마스터!$M$15,ROW(출고!$C$8:$C$1013)-7),17)),"")</f>
        <v/>
      </c>
      <c r="E61" s="46" t="str">
        <f t="array" ref="E61">IFERROR(INDEX(출고!$H$8:$H$1013,SMALL(IF(출고!$C$8:$C$1013=마스터!$M$15,ROW(출고!$C$8:$C$1013)-7),17)),"")</f>
        <v/>
      </c>
      <c r="F61" s="46" t="str">
        <f t="array" ref="F61">IFERROR(INDEX(출고!$I$8:$I$1013,SMALL(IF(출고!$C$8:$C$1013=마스터!$M$15,ROW(출고!$C$8:$C$1013)-7),17)),"")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IFERROR(INDEX(출고!$B$8:$B$1013,SMALL(IF(출고!$C$8:$C$1013=마스터!$M$15,ROW(출고!$C$8:$C$1013)-7),18)),"")</f>
        <v/>
      </c>
      <c r="C62" s="11" t="str">
        <f t="array" ref="C62">IFERROR(INDEX(출고!$E$8:$E$1013,SMALL(IF(출고!$C$8:$C$1013=마스터!$M$15,ROW(출고!$C$8:$C$1013)-7),18)),"")</f>
        <v/>
      </c>
      <c r="D62" s="13" t="str">
        <f t="array" ref="D62">IFERROR(INDEX(출고!$F$8:$F$1013,SMALL(IF(출고!$C$8:$C$1013=마스터!$M$15,ROW(출고!$C$8:$C$1013)-7),18)),"")</f>
        <v/>
      </c>
      <c r="E62" s="50" t="str">
        <f t="array" ref="E62">IFERROR(INDEX(출고!$H$8:$H$1013,SMALL(IF(출고!$C$8:$C$1013=마스터!$M$15,ROW(출고!$C$8:$C$1013)-7),18)),"")</f>
        <v/>
      </c>
      <c r="F62" s="50" t="str">
        <f t="array" ref="F62">IFERROR(INDEX(출고!$I$8:$I$1013,SMALL(IF(출고!$C$8:$C$1013=마스터!$M$15,ROW(출고!$C$8:$C$1013)-7),18)),"")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IFERROR(INDEX(출고!$B$8:$B$1013,SMALL(IF(출고!$C$8:$C$1013=마스터!$M$15,ROW(출고!$C$8:$C$1013)-7),19)),"")</f>
        <v/>
      </c>
      <c r="C63" s="6" t="str">
        <f t="array" ref="C63">IFERROR(INDEX(출고!$E$8:$E$1013,SMALL(IF(출고!$C$8:$C$1013=마스터!$M$15,ROW(출고!$C$8:$C$1013)-7),19)),"")</f>
        <v/>
      </c>
      <c r="D63" s="8" t="str">
        <f t="array" ref="D63">IFERROR(INDEX(출고!$F$8:$F$1013,SMALL(IF(출고!$C$8:$C$1013=마스터!$M$15,ROW(출고!$C$8:$C$1013)-7),19)),"")</f>
        <v/>
      </c>
      <c r="E63" s="46" t="str">
        <f t="array" ref="E63">IFERROR(INDEX(출고!$H$8:$H$1013,SMALL(IF(출고!$C$8:$C$1013=마스터!$M$15,ROW(출고!$C$8:$C$1013)-7),19)),"")</f>
        <v/>
      </c>
      <c r="F63" s="46" t="str">
        <f t="array" ref="F63">IFERROR(INDEX(출고!$I$8:$I$1013,SMALL(IF(출고!$C$8:$C$1013=마스터!$M$15,ROW(출고!$C$8:$C$1013)-7),19)),"")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IFERROR(INDEX(출고!$B$8:$B$1013,SMALL(IF(출고!$C$8:$C$1013=마스터!$M$15,ROW(출고!$C$8:$C$1013)-7),20)),"")</f>
        <v/>
      </c>
      <c r="C64" s="11" t="str">
        <f t="array" ref="C64">IFERROR(INDEX(출고!$E$8:$E$1013,SMALL(IF(출고!$C$8:$C$1013=마스터!$M$15,ROW(출고!$C$8:$C$1013)-7),20)),"")</f>
        <v/>
      </c>
      <c r="D64" s="13" t="str">
        <f t="array" ref="D64">IFERROR(INDEX(출고!$F$8:$F$1013,SMALL(IF(출고!$C$8:$C$1013=마스터!$M$15,ROW(출고!$C$8:$C$1013)-7),20)),"")</f>
        <v/>
      </c>
      <c r="E64" s="50" t="str">
        <f t="array" ref="E64">IFERROR(INDEX(출고!$H$8:$H$1013,SMALL(IF(출고!$C$8:$C$1013=마스터!$M$15,ROW(출고!$C$8:$C$1013)-7),20)),"")</f>
        <v/>
      </c>
      <c r="F64" s="50" t="str">
        <f t="array" ref="F64">IFERROR(INDEX(출고!$I$8:$I$1013,SMALL(IF(출고!$C$8:$C$1013=마스터!$M$15,ROW(출고!$C$8:$C$1013)-7),20)),"")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IFERROR(INDEX(출고!$B$8:$B$1013,SMALL(IF(출고!$C$8:$C$1013=마스터!$M$15,ROW(출고!$C$8:$C$1013)-7),21)),"")</f>
        <v/>
      </c>
      <c r="C65" s="6" t="str">
        <f t="array" ref="C65">IFERROR(INDEX(출고!$E$8:$E$1013,SMALL(IF(출고!$C$8:$C$1013=마스터!$M$15,ROW(출고!$C$8:$C$1013)-7),21)),"")</f>
        <v/>
      </c>
      <c r="D65" s="8" t="str">
        <f t="array" ref="D65">IFERROR(INDEX(출고!$F$8:$F$1013,SMALL(IF(출고!$C$8:$C$1013=마스터!$M$15,ROW(출고!$C$8:$C$1013)-7),21)),"")</f>
        <v/>
      </c>
      <c r="E65" s="46" t="str">
        <f t="array" ref="E65">IFERROR(INDEX(출고!$H$8:$H$1013,SMALL(IF(출고!$C$8:$C$1013=마스터!$M$15,ROW(출고!$C$8:$C$1013)-7),21)),"")</f>
        <v/>
      </c>
      <c r="F65" s="46" t="str">
        <f t="array" ref="F65">IFERROR(INDEX(출고!$I$8:$I$1013,SMALL(IF(출고!$C$8:$C$1013=마스터!$M$15,ROW(출고!$C$8:$C$1013)-7),21)),"")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IFERROR(INDEX(출고!$B$8:$B$1013,SMALL(IF(출고!$C$8:$C$1013=마스터!$M$15,ROW(출고!$C$8:$C$1013)-7),22)),"")</f>
        <v/>
      </c>
      <c r="C66" s="11" t="str">
        <f t="array" ref="C66">IFERROR(INDEX(출고!$E$8:$E$1013,SMALL(IF(출고!$C$8:$C$1013=마스터!$M$15,ROW(출고!$C$8:$C$1013)-7),22)),"")</f>
        <v/>
      </c>
      <c r="D66" s="13" t="str">
        <f t="array" ref="D66">IFERROR(INDEX(출고!$F$8:$F$1013,SMALL(IF(출고!$C$8:$C$1013=마스터!$M$15,ROW(출고!$C$8:$C$1013)-7),22)),"")</f>
        <v/>
      </c>
      <c r="E66" s="50" t="str">
        <f t="array" ref="E66">IFERROR(INDEX(출고!$H$8:$H$1013,SMALL(IF(출고!$C$8:$C$1013=마스터!$M$15,ROW(출고!$C$8:$C$1013)-7),22)),"")</f>
        <v/>
      </c>
      <c r="F66" s="50" t="str">
        <f t="array" ref="F66">IFERROR(INDEX(출고!$I$8:$I$1013,SMALL(IF(출고!$C$8:$C$1013=마스터!$M$15,ROW(출고!$C$8:$C$1013)-7),22)),"")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IFERROR(INDEX(출고!$B$8:$B$1013,SMALL(IF(출고!$C$8:$C$1013=마스터!$M$15,ROW(출고!$C$8:$C$1013)-7),23)),"")</f>
        <v/>
      </c>
      <c r="C67" s="6" t="str">
        <f t="array" ref="C67">IFERROR(INDEX(출고!$E$8:$E$1013,SMALL(IF(출고!$C$8:$C$1013=마스터!$M$15,ROW(출고!$C$8:$C$1013)-7),23)),"")</f>
        <v/>
      </c>
      <c r="D67" s="8" t="str">
        <f t="array" ref="D67">IFERROR(INDEX(출고!$F$8:$F$1013,SMALL(IF(출고!$C$8:$C$1013=마스터!$M$15,ROW(출고!$C$8:$C$1013)-7),23)),"")</f>
        <v/>
      </c>
      <c r="E67" s="46" t="str">
        <f t="array" ref="E67">IFERROR(INDEX(출고!$H$8:$H$1013,SMALL(IF(출고!$C$8:$C$1013=마스터!$M$15,ROW(출고!$C$8:$C$1013)-7),23)),"")</f>
        <v/>
      </c>
      <c r="F67" s="46" t="str">
        <f t="array" ref="F67">IFERROR(INDEX(출고!$I$8:$I$1013,SMALL(IF(출고!$C$8:$C$1013=마스터!$M$15,ROW(출고!$C$8:$C$1013)-7),23)),"")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IFERROR(INDEX(출고!$B$8:$B$1013,SMALL(IF(출고!$C$8:$C$1013=마스터!$M$15,ROW(출고!$C$8:$C$1013)-7),24)),"")</f>
        <v/>
      </c>
      <c r="C68" s="11" t="str">
        <f t="array" ref="C68">IFERROR(INDEX(출고!$E$8:$E$1013,SMALL(IF(출고!$C$8:$C$1013=마스터!$M$15,ROW(출고!$C$8:$C$1013)-7),24)),"")</f>
        <v/>
      </c>
      <c r="D68" s="13" t="str">
        <f t="array" ref="D68">IFERROR(INDEX(출고!$F$8:$F$1013,SMALL(IF(출고!$C$8:$C$1013=마스터!$M$15,ROW(출고!$C$8:$C$1013)-7),24)),"")</f>
        <v/>
      </c>
      <c r="E68" s="50" t="str">
        <f t="array" ref="E68">IFERROR(INDEX(출고!$H$8:$H$1013,SMALL(IF(출고!$C$8:$C$1013=마스터!$M$15,ROW(출고!$C$8:$C$1013)-7),24)),"")</f>
        <v/>
      </c>
      <c r="F68" s="50" t="str">
        <f t="array" ref="F68">IFERROR(INDEX(출고!$I$8:$I$1013,SMALL(IF(출고!$C$8:$C$1013=마스터!$M$15,ROW(출고!$C$8:$C$1013)-7),24)),"")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IFERROR(INDEX(출고!$B$8:$B$1013,SMALL(IF(출고!$C$8:$C$1013=마스터!$M$15,ROW(출고!$C$8:$C$1013)-7),25)),"")</f>
        <v/>
      </c>
      <c r="C69" s="6" t="str">
        <f t="array" ref="C69">IFERROR(INDEX(출고!$E$8:$E$1013,SMALL(IF(출고!$C$8:$C$1013=마스터!$M$15,ROW(출고!$C$8:$C$1013)-7),25)),"")</f>
        <v/>
      </c>
      <c r="D69" s="8" t="str">
        <f t="array" ref="D69">IFERROR(INDEX(출고!$F$8:$F$1013,SMALL(IF(출고!$C$8:$C$1013=마스터!$M$15,ROW(출고!$C$8:$C$1013)-7),25)),"")</f>
        <v/>
      </c>
      <c r="E69" s="46" t="str">
        <f t="array" ref="E69">IFERROR(INDEX(출고!$H$8:$H$1013,SMALL(IF(출고!$C$8:$C$1013=마스터!$M$15,ROW(출고!$C$8:$C$1013)-7),25)),"")</f>
        <v/>
      </c>
      <c r="F69" s="46" t="str">
        <f t="array" ref="F69">IFERROR(INDEX(출고!$I$8:$I$1013,SMALL(IF(출고!$C$8:$C$1013=마스터!$M$15,ROW(출고!$C$8:$C$1013)-7),25)),"")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IFERROR(INDEX(출고!$B$8:$B$1013,SMALL(IF(출고!$C$8:$C$1013=마스터!$M$15,ROW(출고!$C$8:$C$1013)-7),26)),"")</f>
        <v/>
      </c>
      <c r="C70" s="11" t="str">
        <f t="array" ref="C70">IFERROR(INDEX(출고!$E$8:$E$1013,SMALL(IF(출고!$C$8:$C$1013=마스터!$M$15,ROW(출고!$C$8:$C$1013)-7),26)),"")</f>
        <v/>
      </c>
      <c r="D70" s="13" t="str">
        <f t="array" ref="D70">IFERROR(INDEX(출고!$F$8:$F$1013,SMALL(IF(출고!$C$8:$C$1013=마스터!$M$15,ROW(출고!$C$8:$C$1013)-7),26)),"")</f>
        <v/>
      </c>
      <c r="E70" s="50" t="str">
        <f t="array" ref="E70">IFERROR(INDEX(출고!$H$8:$H$1013,SMALL(IF(출고!$C$8:$C$1013=마스터!$M$15,ROW(출고!$C$8:$C$1013)-7),26)),"")</f>
        <v/>
      </c>
      <c r="F70" s="50" t="str">
        <f t="array" ref="F70">IFERROR(INDEX(출고!$I$8:$I$1013,SMALL(IF(출고!$C$8:$C$1013=마스터!$M$15,ROW(출고!$C$8:$C$1013)-7),26)),"")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IFERROR(INDEX(출고!$B$8:$B$1013,SMALL(IF(출고!$C$8:$C$1013=마스터!$M$15,ROW(출고!$C$8:$C$1013)-7),27)),"")</f>
        <v/>
      </c>
      <c r="C71" s="6" t="str">
        <f t="array" ref="C71">IFERROR(INDEX(출고!$E$8:$E$1013,SMALL(IF(출고!$C$8:$C$1013=마스터!$M$15,ROW(출고!$C$8:$C$1013)-7),27)),"")</f>
        <v/>
      </c>
      <c r="D71" s="8" t="str">
        <f t="array" ref="D71">IFERROR(INDEX(출고!$F$8:$F$1013,SMALL(IF(출고!$C$8:$C$1013=마스터!$M$15,ROW(출고!$C$8:$C$1013)-7),27)),"")</f>
        <v/>
      </c>
      <c r="E71" s="46" t="str">
        <f t="array" ref="E71">IFERROR(INDEX(출고!$H$8:$H$1013,SMALL(IF(출고!$C$8:$C$1013=마스터!$M$15,ROW(출고!$C$8:$C$1013)-7),27)),"")</f>
        <v/>
      </c>
      <c r="F71" s="46" t="str">
        <f t="array" ref="F71">IFERROR(INDEX(출고!$I$8:$I$1013,SMALL(IF(출고!$C$8:$C$1013=마스터!$M$15,ROW(출고!$C$8:$C$1013)-7),27)),"")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IFERROR(INDEX(출고!$B$8:$B$1013,SMALL(IF(출고!$C$8:$C$1013=마스터!$M$15,ROW(출고!$C$8:$C$1013)-7),28)),"")</f>
        <v/>
      </c>
      <c r="C72" s="11" t="str">
        <f t="array" ref="C72">IFERROR(INDEX(출고!$E$8:$E$1013,SMALL(IF(출고!$C$8:$C$1013=마스터!$M$15,ROW(출고!$C$8:$C$1013)-7),28)),"")</f>
        <v/>
      </c>
      <c r="D72" s="13" t="str">
        <f t="array" ref="D72">IFERROR(INDEX(출고!$F$8:$F$1013,SMALL(IF(출고!$C$8:$C$1013=마스터!$M$15,ROW(출고!$C$8:$C$1013)-7),28)),"")</f>
        <v/>
      </c>
      <c r="E72" s="50" t="str">
        <f t="array" ref="E72">IFERROR(INDEX(출고!$H$8:$H$1013,SMALL(IF(출고!$C$8:$C$1013=마스터!$M$15,ROW(출고!$C$8:$C$1013)-7),28)),"")</f>
        <v/>
      </c>
      <c r="F72" s="50" t="str">
        <f t="array" ref="F72">IFERROR(INDEX(출고!$I$8:$I$1013,SMALL(IF(출고!$C$8:$C$1013=마스터!$M$15,ROW(출고!$C$8:$C$1013)-7),28)),"")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IFERROR(INDEX(출고!$B$8:$B$1013,SMALL(IF(출고!$C$8:$C$1013=마스터!$M$15,ROW(출고!$C$8:$C$1013)-7),29)),"")</f>
        <v/>
      </c>
      <c r="C73" s="6" t="str">
        <f t="array" ref="C73">IFERROR(INDEX(출고!$E$8:$E$1013,SMALL(IF(출고!$C$8:$C$1013=마스터!$M$15,ROW(출고!$C$8:$C$1013)-7),29)),"")</f>
        <v/>
      </c>
      <c r="D73" s="8" t="str">
        <f t="array" ref="D73">IFERROR(INDEX(출고!$F$8:$F$1013,SMALL(IF(출고!$C$8:$C$1013=마스터!$M$15,ROW(출고!$C$8:$C$1013)-7),29)),"")</f>
        <v/>
      </c>
      <c r="E73" s="46" t="str">
        <f t="array" ref="E73">IFERROR(INDEX(출고!$H$8:$H$1013,SMALL(IF(출고!$C$8:$C$1013=마스터!$M$15,ROW(출고!$C$8:$C$1013)-7),29)),"")</f>
        <v/>
      </c>
      <c r="F73" s="46" t="str">
        <f t="array" ref="F73">IFERROR(INDEX(출고!$I$8:$I$1013,SMALL(IF(출고!$C$8:$C$1013=마스터!$M$15,ROW(출고!$C$8:$C$1013)-7),29)),"")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IFERROR(INDEX(출고!$B$8:$B$1013,SMALL(IF(출고!$C$8:$C$1013=마스터!$M$15,ROW(출고!$C$8:$C$1013)-7),30)),"")</f>
        <v/>
      </c>
      <c r="C74" s="11" t="str">
        <f t="array" ref="C74">IFERROR(INDEX(출고!$E$8:$E$1013,SMALL(IF(출고!$C$8:$C$1013=마스터!$M$15,ROW(출고!$C$8:$C$1013)-7),30)),"")</f>
        <v/>
      </c>
      <c r="D74" s="13" t="str">
        <f t="array" ref="D74">IFERROR(INDEX(출고!$F$8:$F$1013,SMALL(IF(출고!$C$8:$C$1013=마스터!$M$15,ROW(출고!$C$8:$C$1013)-7),30)),"")</f>
        <v/>
      </c>
      <c r="E74" s="50" t="str">
        <f t="array" ref="E74">IFERROR(INDEX(출고!$H$8:$H$1013,SMALL(IF(출고!$C$8:$C$1013=마스터!$M$15,ROW(출고!$C$8:$C$1013)-7),30)),"")</f>
        <v/>
      </c>
      <c r="F74" s="50" t="str">
        <f t="array" ref="F74">IFERROR(INDEX(출고!$I$8:$I$1013,SMALL(IF(출고!$C$8:$C$1013=마스터!$M$15,ROW(출고!$C$8:$C$1013)-7),30)),"")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 t="str">
        <f t="shared" ref="A78:A107" si="4">IF(B78="","",ROW()-77)</f>
        <v/>
      </c>
      <c r="B78" s="6" t="str">
        <f t="array" ref="B78">IFERROR(INDEX(입고!$E$8:$E$1013,SMALL(IF((입고!$C$8:$C$1013=마스터!$M$15)*(입고!$AC$8:$AC$1013=1),ROW(입고!$C$8:$C$1013)-7),1)),"")</f>
        <v/>
      </c>
      <c r="C78" s="8" t="str">
        <f>IF(B78="","",SUMIFS(입고!$F$8:$F$1013,입고!$C$8:$C$1013,마스터!$M$15,입고!$E$8:$E$1013,B78))</f>
        <v/>
      </c>
      <c r="D78" s="8" t="str">
        <f>IF(B78="","",SUMIFS(출고!$F$8:$F$1013,출고!$C$8:$C$1013,마스터!$M$15,출고!$E$8:$E$1013,B78))</f>
        <v/>
      </c>
      <c r="E78" s="40" t="str">
        <f t="shared" ref="E78:E107" si="5">IF(B78="","",C78-D78)</f>
        <v/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IFERROR(INDEX(입고!$E$8:$E$1013,SMALL(IF((입고!$C$8:$C$1013=마스터!$M$15)*(입고!$AC$8:$AC$1013=1),ROW(입고!$C$8:$C$1013)-7),2)),"")</f>
        <v/>
      </c>
      <c r="C79" s="13" t="str">
        <f>IF(B79="","",SUMIFS(입고!$F$8:$F$1013,입고!$C$8:$C$1013,마스터!$M$15,입고!$E$8:$E$1013,B79))</f>
        <v/>
      </c>
      <c r="D79" s="13" t="str">
        <f>IF(B79="","",SUMIFS(출고!$F$8:$F$1013,출고!$C$8:$C$1013,마스터!$M$15,출고!$E$8:$E$1013,B79))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IFERROR(INDEX(입고!$E$8:$E$1013,SMALL(IF((입고!$C$8:$C$1013=마스터!$M$15)*(입고!$AC$8:$AC$1013=1),ROW(입고!$C$8:$C$1013)-7),3)),"")</f>
        <v/>
      </c>
      <c r="C80" s="8" t="str">
        <f>IF(B80="","",SUMIFS(입고!$F$8:$F$1013,입고!$C$8:$C$1013,마스터!$M$15,입고!$E$8:$E$1013,B80))</f>
        <v/>
      </c>
      <c r="D80" s="8" t="str">
        <f>IF(B80="","",SUMIFS(출고!$F$8:$F$1013,출고!$C$8:$C$1013,마스터!$M$15,출고!$E$8:$E$1013,B80))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IFERROR(INDEX(입고!$E$8:$E$1013,SMALL(IF((입고!$C$8:$C$1013=마스터!$M$15)*(입고!$AC$8:$AC$1013=1),ROW(입고!$C$8:$C$1013)-7),4)),"")</f>
        <v/>
      </c>
      <c r="C81" s="13" t="str">
        <f>IF(B81="","",SUMIFS(입고!$F$8:$F$1013,입고!$C$8:$C$1013,마스터!$M$15,입고!$E$8:$E$1013,B81))</f>
        <v/>
      </c>
      <c r="D81" s="13" t="str">
        <f>IF(B81="","",SUMIFS(출고!$F$8:$F$1013,출고!$C$8:$C$1013,마스터!$M$15,출고!$E$8:$E$1013,B81))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IFERROR(INDEX(입고!$E$8:$E$1013,SMALL(IF((입고!$C$8:$C$1013=마스터!$M$15)*(입고!$AC$8:$AC$1013=1),ROW(입고!$C$8:$C$1013)-7),5)),"")</f>
        <v/>
      </c>
      <c r="C82" s="8" t="str">
        <f>IF(B82="","",SUMIFS(입고!$F$8:$F$1013,입고!$C$8:$C$1013,마스터!$M$15,입고!$E$8:$E$1013,B82))</f>
        <v/>
      </c>
      <c r="D82" s="8" t="str">
        <f>IF(B82="","",SUMIFS(출고!$F$8:$F$1013,출고!$C$8:$C$1013,마스터!$M$15,출고!$E$8:$E$1013,B82))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IFERROR(INDEX(입고!$E$8:$E$1013,SMALL(IF((입고!$C$8:$C$1013=마스터!$M$15)*(입고!$AC$8:$AC$1013=1),ROW(입고!$C$8:$C$1013)-7),6)),"")</f>
        <v/>
      </c>
      <c r="C83" s="13" t="str">
        <f>IF(B83="","",SUMIFS(입고!$F$8:$F$1013,입고!$C$8:$C$1013,마스터!$M$15,입고!$E$8:$E$1013,B83))</f>
        <v/>
      </c>
      <c r="D83" s="13" t="str">
        <f>IF(B83="","",SUMIFS(출고!$F$8:$F$1013,출고!$C$8:$C$1013,마스터!$M$15,출고!$E$8:$E$1013,B83))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IFERROR(INDEX(입고!$E$8:$E$1013,SMALL(IF((입고!$C$8:$C$1013=마스터!$M$15)*(입고!$AC$8:$AC$1013=1),ROW(입고!$C$8:$C$1013)-7),7)),"")</f>
        <v/>
      </c>
      <c r="C84" s="8" t="str">
        <f>IF(B84="","",SUMIFS(입고!$F$8:$F$1013,입고!$C$8:$C$1013,마스터!$M$15,입고!$E$8:$E$1013,B84))</f>
        <v/>
      </c>
      <c r="D84" s="8" t="str">
        <f>IF(B84="","",SUMIFS(출고!$F$8:$F$1013,출고!$C$8:$C$1013,마스터!$M$15,출고!$E$8:$E$1013,B84))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IFERROR(INDEX(입고!$E$8:$E$1013,SMALL(IF((입고!$C$8:$C$1013=마스터!$M$15)*(입고!$AC$8:$AC$1013=1),ROW(입고!$C$8:$C$1013)-7),8)),"")</f>
        <v/>
      </c>
      <c r="C85" s="13" t="str">
        <f>IF(B85="","",SUMIFS(입고!$F$8:$F$1013,입고!$C$8:$C$1013,마스터!$M$15,입고!$E$8:$E$1013,B85))</f>
        <v/>
      </c>
      <c r="D85" s="13" t="str">
        <f>IF(B85="","",SUMIFS(출고!$F$8:$F$1013,출고!$C$8:$C$1013,마스터!$M$15,출고!$E$8:$E$1013,B85))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IFERROR(INDEX(입고!$E$8:$E$1013,SMALL(IF((입고!$C$8:$C$1013=마스터!$M$15)*(입고!$AC$8:$AC$1013=1),ROW(입고!$C$8:$C$1013)-7),9)),"")</f>
        <v/>
      </c>
      <c r="C86" s="8" t="str">
        <f>IF(B86="","",SUMIFS(입고!$F$8:$F$1013,입고!$C$8:$C$1013,마스터!$M$15,입고!$E$8:$E$1013,B86))</f>
        <v/>
      </c>
      <c r="D86" s="8" t="str">
        <f>IF(B86="","",SUMIFS(출고!$F$8:$F$1013,출고!$C$8:$C$1013,마스터!$M$15,출고!$E$8:$E$1013,B86))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IFERROR(INDEX(입고!$E$8:$E$1013,SMALL(IF((입고!$C$8:$C$1013=마스터!$M$15)*(입고!$AC$8:$AC$1013=1),ROW(입고!$C$8:$C$1013)-7),10)),"")</f>
        <v/>
      </c>
      <c r="C87" s="13" t="str">
        <f>IF(B87="","",SUMIFS(입고!$F$8:$F$1013,입고!$C$8:$C$1013,마스터!$M$15,입고!$E$8:$E$1013,B87))</f>
        <v/>
      </c>
      <c r="D87" s="13" t="str">
        <f>IF(B87="","",SUMIFS(출고!$F$8:$F$1013,출고!$C$8:$C$1013,마스터!$M$15,출고!$E$8:$E$1013,B87))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IFERROR(INDEX(입고!$E$8:$E$1013,SMALL(IF((입고!$C$8:$C$1013=마스터!$M$15)*(입고!$AC$8:$AC$1013=1),ROW(입고!$C$8:$C$1013)-7),11)),"")</f>
        <v/>
      </c>
      <c r="C88" s="8" t="str">
        <f>IF(B88="","",SUMIFS(입고!$F$8:$F$1013,입고!$C$8:$C$1013,마스터!$M$15,입고!$E$8:$E$1013,B88))</f>
        <v/>
      </c>
      <c r="D88" s="8" t="str">
        <f>IF(B88="","",SUMIFS(출고!$F$8:$F$1013,출고!$C$8:$C$1013,마스터!$M$15,출고!$E$8:$E$1013,B88))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IFERROR(INDEX(입고!$E$8:$E$1013,SMALL(IF((입고!$C$8:$C$1013=마스터!$M$15)*(입고!$AC$8:$AC$1013=1),ROW(입고!$C$8:$C$1013)-7),12)),"")</f>
        <v/>
      </c>
      <c r="C89" s="13" t="str">
        <f>IF(B89="","",SUMIFS(입고!$F$8:$F$1013,입고!$C$8:$C$1013,마스터!$M$15,입고!$E$8:$E$1013,B89))</f>
        <v/>
      </c>
      <c r="D89" s="13" t="str">
        <f>IF(B89="","",SUMIFS(출고!$F$8:$F$1013,출고!$C$8:$C$1013,마스터!$M$15,출고!$E$8:$E$1013,B89))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IFERROR(INDEX(입고!$E$8:$E$1013,SMALL(IF((입고!$C$8:$C$1013=마스터!$M$15)*(입고!$AC$8:$AC$1013=1),ROW(입고!$C$8:$C$1013)-7),13)),"")</f>
        <v/>
      </c>
      <c r="C90" s="8" t="str">
        <f>IF(B90="","",SUMIFS(입고!$F$8:$F$1013,입고!$C$8:$C$1013,마스터!$M$15,입고!$E$8:$E$1013,B90))</f>
        <v/>
      </c>
      <c r="D90" s="8" t="str">
        <f>IF(B90="","",SUMIFS(출고!$F$8:$F$1013,출고!$C$8:$C$1013,마스터!$M$15,출고!$E$8:$E$1013,B90))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IFERROR(INDEX(입고!$E$8:$E$1013,SMALL(IF((입고!$C$8:$C$1013=마스터!$M$15)*(입고!$AC$8:$AC$1013=1),ROW(입고!$C$8:$C$1013)-7),14)),"")</f>
        <v/>
      </c>
      <c r="C91" s="13" t="str">
        <f>IF(B91="","",SUMIFS(입고!$F$8:$F$1013,입고!$C$8:$C$1013,마스터!$M$15,입고!$E$8:$E$1013,B91))</f>
        <v/>
      </c>
      <c r="D91" s="13" t="str">
        <f>IF(B91="","",SUMIFS(출고!$F$8:$F$1013,출고!$C$8:$C$1013,마스터!$M$15,출고!$E$8:$E$1013,B91))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IFERROR(INDEX(입고!$E$8:$E$1013,SMALL(IF((입고!$C$8:$C$1013=마스터!$M$15)*(입고!$AC$8:$AC$1013=1),ROW(입고!$C$8:$C$1013)-7),15)),"")</f>
        <v/>
      </c>
      <c r="C92" s="8" t="str">
        <f>IF(B92="","",SUMIFS(입고!$F$8:$F$1013,입고!$C$8:$C$1013,마스터!$M$15,입고!$E$8:$E$1013,B92))</f>
        <v/>
      </c>
      <c r="D92" s="8" t="str">
        <f>IF(B92="","",SUMIFS(출고!$F$8:$F$1013,출고!$C$8:$C$1013,마스터!$M$15,출고!$E$8:$E$1013,B92))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IFERROR(INDEX(입고!$E$8:$E$1013,SMALL(IF((입고!$C$8:$C$1013=마스터!$M$15)*(입고!$AC$8:$AC$1013=1),ROW(입고!$C$8:$C$1013)-7),16)),"")</f>
        <v/>
      </c>
      <c r="C93" s="13" t="str">
        <f>IF(B93="","",SUMIFS(입고!$F$8:$F$1013,입고!$C$8:$C$1013,마스터!$M$15,입고!$E$8:$E$1013,B93))</f>
        <v/>
      </c>
      <c r="D93" s="13" t="str">
        <f>IF(B93="","",SUMIFS(출고!$F$8:$F$1013,출고!$C$8:$C$1013,마스터!$M$15,출고!$E$8:$E$1013,B93))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IFERROR(INDEX(입고!$E$8:$E$1013,SMALL(IF((입고!$C$8:$C$1013=마스터!$M$15)*(입고!$AC$8:$AC$1013=1),ROW(입고!$C$8:$C$1013)-7),17)),"")</f>
        <v/>
      </c>
      <c r="C94" s="8" t="str">
        <f>IF(B94="","",SUMIFS(입고!$F$8:$F$1013,입고!$C$8:$C$1013,마스터!$M$15,입고!$E$8:$E$1013,B94))</f>
        <v/>
      </c>
      <c r="D94" s="8" t="str">
        <f>IF(B94="","",SUMIFS(출고!$F$8:$F$1013,출고!$C$8:$C$1013,마스터!$M$15,출고!$E$8:$E$1013,B94))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IFERROR(INDEX(입고!$E$8:$E$1013,SMALL(IF((입고!$C$8:$C$1013=마스터!$M$15)*(입고!$AC$8:$AC$1013=1),ROW(입고!$C$8:$C$1013)-7),18)),"")</f>
        <v/>
      </c>
      <c r="C95" s="13" t="str">
        <f>IF(B95="","",SUMIFS(입고!$F$8:$F$1013,입고!$C$8:$C$1013,마스터!$M$15,입고!$E$8:$E$1013,B95))</f>
        <v/>
      </c>
      <c r="D95" s="13" t="str">
        <f>IF(B95="","",SUMIFS(출고!$F$8:$F$1013,출고!$C$8:$C$1013,마스터!$M$15,출고!$E$8:$E$1013,B95))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IFERROR(INDEX(입고!$E$8:$E$1013,SMALL(IF((입고!$C$8:$C$1013=마스터!$M$15)*(입고!$AC$8:$AC$1013=1),ROW(입고!$C$8:$C$1013)-7),19)),"")</f>
        <v/>
      </c>
      <c r="C96" s="8" t="str">
        <f>IF(B96="","",SUMIFS(입고!$F$8:$F$1013,입고!$C$8:$C$1013,마스터!$M$15,입고!$E$8:$E$1013,B96))</f>
        <v/>
      </c>
      <c r="D96" s="8" t="str">
        <f>IF(B96="","",SUMIFS(출고!$F$8:$F$1013,출고!$C$8:$C$1013,마스터!$M$15,출고!$E$8:$E$1013,B96))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IFERROR(INDEX(입고!$E$8:$E$1013,SMALL(IF((입고!$C$8:$C$1013=마스터!$M$15)*(입고!$AC$8:$AC$1013=1),ROW(입고!$C$8:$C$1013)-7),20)),"")</f>
        <v/>
      </c>
      <c r="C97" s="13" t="str">
        <f>IF(B97="","",SUMIFS(입고!$F$8:$F$1013,입고!$C$8:$C$1013,마스터!$M$15,입고!$E$8:$E$1013,B97))</f>
        <v/>
      </c>
      <c r="D97" s="13" t="str">
        <f>IF(B97="","",SUMIFS(출고!$F$8:$F$1013,출고!$C$8:$C$1013,마스터!$M$15,출고!$E$8:$E$1013,B97))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IFERROR(INDEX(입고!$E$8:$E$1013,SMALL(IF((입고!$C$8:$C$1013=마스터!$M$15)*(입고!$AC$8:$AC$1013=1),ROW(입고!$C$8:$C$1013)-7),21)),"")</f>
        <v/>
      </c>
      <c r="C98" s="8" t="str">
        <f>IF(B98="","",SUMIFS(입고!$F$8:$F$1013,입고!$C$8:$C$1013,마스터!$M$15,입고!$E$8:$E$1013,B98))</f>
        <v/>
      </c>
      <c r="D98" s="8" t="str">
        <f>IF(B98="","",SUMIFS(출고!$F$8:$F$1013,출고!$C$8:$C$1013,마스터!$M$15,출고!$E$8:$E$1013,B98))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IFERROR(INDEX(입고!$E$8:$E$1013,SMALL(IF((입고!$C$8:$C$1013=마스터!$M$15)*(입고!$AC$8:$AC$1013=1),ROW(입고!$C$8:$C$1013)-7),22)),"")</f>
        <v/>
      </c>
      <c r="C99" s="13" t="str">
        <f>IF(B99="","",SUMIFS(입고!$F$8:$F$1013,입고!$C$8:$C$1013,마스터!$M$15,입고!$E$8:$E$1013,B99))</f>
        <v/>
      </c>
      <c r="D99" s="13" t="str">
        <f>IF(B99="","",SUMIFS(출고!$F$8:$F$1013,출고!$C$8:$C$1013,마스터!$M$15,출고!$E$8:$E$1013,B99))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IFERROR(INDEX(입고!$E$8:$E$1013,SMALL(IF((입고!$C$8:$C$1013=마스터!$M$15)*(입고!$AC$8:$AC$1013=1),ROW(입고!$C$8:$C$1013)-7),23)),"")</f>
        <v/>
      </c>
      <c r="C100" s="8" t="str">
        <f>IF(B100="","",SUMIFS(입고!$F$8:$F$1013,입고!$C$8:$C$1013,마스터!$M$15,입고!$E$8:$E$1013,B100))</f>
        <v/>
      </c>
      <c r="D100" s="8" t="str">
        <f>IF(B100="","",SUMIFS(출고!$F$8:$F$1013,출고!$C$8:$C$1013,마스터!$M$15,출고!$E$8:$E$1013,B100))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IFERROR(INDEX(입고!$E$8:$E$1013,SMALL(IF((입고!$C$8:$C$1013=마스터!$M$15)*(입고!$AC$8:$AC$1013=1),ROW(입고!$C$8:$C$1013)-7),24)),"")</f>
        <v/>
      </c>
      <c r="C101" s="13" t="str">
        <f>IF(B101="","",SUMIFS(입고!$F$8:$F$1013,입고!$C$8:$C$1013,마스터!$M$15,입고!$E$8:$E$1013,B101))</f>
        <v/>
      </c>
      <c r="D101" s="13" t="str">
        <f>IF(B101="","",SUMIFS(출고!$F$8:$F$1013,출고!$C$8:$C$1013,마스터!$M$15,출고!$E$8:$E$1013,B101))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IFERROR(INDEX(입고!$E$8:$E$1013,SMALL(IF((입고!$C$8:$C$1013=마스터!$M$15)*(입고!$AC$8:$AC$1013=1),ROW(입고!$C$8:$C$1013)-7),25)),"")</f>
        <v/>
      </c>
      <c r="C102" s="8" t="str">
        <f>IF(B102="","",SUMIFS(입고!$F$8:$F$1013,입고!$C$8:$C$1013,마스터!$M$15,입고!$E$8:$E$1013,B102))</f>
        <v/>
      </c>
      <c r="D102" s="8" t="str">
        <f>IF(B102="","",SUMIFS(출고!$F$8:$F$1013,출고!$C$8:$C$1013,마스터!$M$15,출고!$E$8:$E$1013,B102))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IFERROR(INDEX(입고!$E$8:$E$1013,SMALL(IF((입고!$C$8:$C$1013=마스터!$M$15)*(입고!$AC$8:$AC$1013=1),ROW(입고!$C$8:$C$1013)-7),26)),"")</f>
        <v/>
      </c>
      <c r="C103" s="13" t="str">
        <f>IF(B103="","",SUMIFS(입고!$F$8:$F$1013,입고!$C$8:$C$1013,마스터!$M$15,입고!$E$8:$E$1013,B103))</f>
        <v/>
      </c>
      <c r="D103" s="13" t="str">
        <f>IF(B103="","",SUMIFS(출고!$F$8:$F$1013,출고!$C$8:$C$1013,마스터!$M$15,출고!$E$8:$E$1013,B103))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IFERROR(INDEX(입고!$E$8:$E$1013,SMALL(IF((입고!$C$8:$C$1013=마스터!$M$15)*(입고!$AC$8:$AC$1013=1),ROW(입고!$C$8:$C$1013)-7),27)),"")</f>
        <v/>
      </c>
      <c r="C104" s="8" t="str">
        <f>IF(B104="","",SUMIFS(입고!$F$8:$F$1013,입고!$C$8:$C$1013,마스터!$M$15,입고!$E$8:$E$1013,B104))</f>
        <v/>
      </c>
      <c r="D104" s="8" t="str">
        <f>IF(B104="","",SUMIFS(출고!$F$8:$F$1013,출고!$C$8:$C$1013,마스터!$M$15,출고!$E$8:$E$1013,B104))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IFERROR(INDEX(입고!$E$8:$E$1013,SMALL(IF((입고!$C$8:$C$1013=마스터!$M$15)*(입고!$AC$8:$AC$1013=1),ROW(입고!$C$8:$C$1013)-7),28)),"")</f>
        <v/>
      </c>
      <c r="C105" s="13" t="str">
        <f>IF(B105="","",SUMIFS(입고!$F$8:$F$1013,입고!$C$8:$C$1013,마스터!$M$15,입고!$E$8:$E$1013,B105))</f>
        <v/>
      </c>
      <c r="D105" s="13" t="str">
        <f>IF(B105="","",SUMIFS(출고!$F$8:$F$1013,출고!$C$8:$C$1013,마스터!$M$15,출고!$E$8:$E$1013,B105))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IFERROR(INDEX(입고!$E$8:$E$1013,SMALL(IF((입고!$C$8:$C$1013=마스터!$M$15)*(입고!$AC$8:$AC$1013=1),ROW(입고!$C$8:$C$1013)-7),29)),"")</f>
        <v/>
      </c>
      <c r="C106" s="8" t="str">
        <f>IF(B106="","",SUMIFS(입고!$F$8:$F$1013,입고!$C$8:$C$1013,마스터!$M$15,입고!$E$8:$E$1013,B106))</f>
        <v/>
      </c>
      <c r="D106" s="8" t="str">
        <f>IF(B106="","",SUMIFS(출고!$F$8:$F$1013,출고!$C$8:$C$1013,마스터!$M$15,출고!$E$8:$E$1013,B106))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IFERROR(INDEX(입고!$E$8:$E$1013,SMALL(IF((입고!$C$8:$C$1013=마스터!$M$15)*(입고!$AC$8:$AC$1013=1),ROW(입고!$C$8:$C$1013)-7),30)),"")</f>
        <v/>
      </c>
      <c r="C107" s="13" t="str">
        <f>IF(B107="","",SUMIFS(입고!$F$8:$F$1013,입고!$C$8:$C$1013,마스터!$M$15,입고!$E$8:$E$1013,B107))</f>
        <v/>
      </c>
      <c r="D107" s="13" t="str">
        <f>IF(B107="","",SUMIFS(출고!$F$8:$F$1013,출고!$C$8:$C$1013,마스터!$M$15,출고!$E$8:$E$1013,B107))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5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CONCATENATE("[13] ", 마스터!D16, "  |  ", 마스터!F16)</f>
        <v>[13] 세라믹울 100K 수입  |  25T × 200W × 7400L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마스터!D16</f>
        <v>세라믹울 100K 수입</v>
      </c>
      <c r="D4" s="1" t="s">
        <v>11</v>
      </c>
      <c r="E4" s="53">
        <f>SUMIFS(입고!$F$8:$F$1013,입고!$C$8:$C$1013,마스터!$M$16)</f>
        <v>12</v>
      </c>
    </row>
    <row r="5" spans="1:9" ht="15" customHeight="1" x14ac:dyDescent="0.25">
      <c r="A5" s="1" t="s">
        <v>7</v>
      </c>
      <c r="B5" s="52" t="str">
        <f>마스터!E16</f>
        <v>252007400</v>
      </c>
      <c r="D5" s="1" t="s">
        <v>12</v>
      </c>
      <c r="E5" s="53">
        <f>SUMIFS(출고!$F$8:$F$1013,출고!$C$8:$C$1013,마스터!$M$16)</f>
        <v>0</v>
      </c>
    </row>
    <row r="6" spans="1:9" ht="23.25" customHeight="1" x14ac:dyDescent="0.25">
      <c r="A6" s="1" t="s">
        <v>26</v>
      </c>
      <c r="B6" s="52" t="str">
        <f>마스터!F16</f>
        <v>25T × 200W × 7400L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마스터!M16</f>
        <v>100K수입 25T × 200W × 7400L</v>
      </c>
      <c r="D7" s="1" t="s">
        <v>13</v>
      </c>
      <c r="E7" s="54">
        <f>마스터!$K$16+E4-E5</f>
        <v>12</v>
      </c>
    </row>
    <row r="8" spans="1:9" ht="15" customHeight="1" x14ac:dyDescent="0.25">
      <c r="A8" s="1" t="s">
        <v>10</v>
      </c>
      <c r="B8" s="53">
        <f>마스터!K16</f>
        <v>0</v>
      </c>
      <c r="D8" s="1" t="s">
        <v>123</v>
      </c>
      <c r="E8" s="55">
        <f t="array" ref="E8">IFERROR(MAX(MAX(IF(입고!$C$8:$C$1013=마스터!$M$16,입고!$B$8:$B$1013)),MAX(IF(출고!$C$8:$C$1013=마스터!$M$16,출고!$B$8:$B$1013))),"-")</f>
        <v>46080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IFERROR(INDEX(입고!$B$8:$B$1013,SMALL(IF(입고!$C$8:$C$1013=마스터!$M$16,ROW(입고!$C$8:$C$1013)-7),1)),"")</f>
        <v>46080</v>
      </c>
      <c r="C12" s="6" t="str">
        <f t="array" ref="C12">IFERROR(INDEX(입고!$E$8:$E$1013,SMALL(IF(입고!$C$8:$C$1013=마스터!$M$16,ROW(입고!$C$8:$C$1013)-7),1)),"")</f>
        <v>260227CW004</v>
      </c>
      <c r="D12" s="8">
        <f t="array" ref="D12">IFERROR(INDEX(입고!$F$8:$F$1013,SMALL(IF(입고!$C$8:$C$1013=마스터!$M$16,ROW(입고!$C$8:$C$1013)-7),1)),"")</f>
        <v>12</v>
      </c>
      <c r="E12" s="46" t="str">
        <f t="array" ref="E12">IFERROR(INDEX(입고!$H$8:$H$1013,SMALL(IF(입고!$C$8:$C$1013=마스터!$M$16,ROW(입고!$C$8:$C$1013)-7),1)),"")</f>
        <v>(초기재고)</v>
      </c>
      <c r="F12" s="46" t="str">
        <f t="array" ref="F12">IFERROR(INDEX(입고!$I$8:$I$1013,SMALL(IF(입고!$C$8:$C$1013=마스터!$M$16,ROW(입고!$C$8:$C$1013)-7),1)),"")</f>
        <v>2026-02-12 기준</v>
      </c>
      <c r="G12" s="57">
        <f>IF(B12="","",IFERROR(D12,0))</f>
        <v>12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IFERROR(INDEX(입고!$B$8:$B$1013,SMALL(IF(입고!$C$8:$C$1013=마스터!$M$16,ROW(입고!$C$8:$C$1013)-7),2)),"")</f>
        <v/>
      </c>
      <c r="C13" s="11" t="str">
        <f t="array" ref="C13">IFERROR(INDEX(입고!$E$8:$E$1013,SMALL(IF(입고!$C$8:$C$1013=마스터!$M$16,ROW(입고!$C$8:$C$1013)-7),2)),"")</f>
        <v/>
      </c>
      <c r="D13" s="13" t="str">
        <f t="array" ref="D13">IFERROR(INDEX(입고!$F$8:$F$1013,SMALL(IF(입고!$C$8:$C$1013=마스터!$M$16,ROW(입고!$C$8:$C$1013)-7),2)),"")</f>
        <v/>
      </c>
      <c r="E13" s="50" t="str">
        <f t="array" ref="E13">IFERROR(INDEX(입고!$H$8:$H$1013,SMALL(IF(입고!$C$8:$C$1013=마스터!$M$16,ROW(입고!$C$8:$C$1013)-7),2)),"")</f>
        <v/>
      </c>
      <c r="F13" s="50" t="str">
        <f t="array" ref="F13">IFERROR(INDEX(입고!$I$8:$I$1013,SMALL(IF(입고!$C$8:$C$1013=마스터!$M$16,ROW(입고!$C$8:$C$1013)-7),2)),"")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IFERROR(INDEX(입고!$B$8:$B$1013,SMALL(IF(입고!$C$8:$C$1013=마스터!$M$16,ROW(입고!$C$8:$C$1013)-7),3)),"")</f>
        <v/>
      </c>
      <c r="C14" s="6" t="str">
        <f t="array" ref="C14">IFERROR(INDEX(입고!$E$8:$E$1013,SMALL(IF(입고!$C$8:$C$1013=마스터!$M$16,ROW(입고!$C$8:$C$1013)-7),3)),"")</f>
        <v/>
      </c>
      <c r="D14" s="8" t="str">
        <f t="array" ref="D14">IFERROR(INDEX(입고!$F$8:$F$1013,SMALL(IF(입고!$C$8:$C$1013=마스터!$M$16,ROW(입고!$C$8:$C$1013)-7),3)),"")</f>
        <v/>
      </c>
      <c r="E14" s="46" t="str">
        <f t="array" ref="E14">IFERROR(INDEX(입고!$H$8:$H$1013,SMALL(IF(입고!$C$8:$C$1013=마스터!$M$16,ROW(입고!$C$8:$C$1013)-7),3)),"")</f>
        <v/>
      </c>
      <c r="F14" s="46" t="str">
        <f t="array" ref="F14">IFERROR(INDEX(입고!$I$8:$I$1013,SMALL(IF(입고!$C$8:$C$1013=마스터!$M$16,ROW(입고!$C$8:$C$1013)-7),3)),"")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IFERROR(INDEX(입고!$B$8:$B$1013,SMALL(IF(입고!$C$8:$C$1013=마스터!$M$16,ROW(입고!$C$8:$C$1013)-7),4)),"")</f>
        <v/>
      </c>
      <c r="C15" s="11" t="str">
        <f t="array" ref="C15">IFERROR(INDEX(입고!$E$8:$E$1013,SMALL(IF(입고!$C$8:$C$1013=마스터!$M$16,ROW(입고!$C$8:$C$1013)-7),4)),"")</f>
        <v/>
      </c>
      <c r="D15" s="13" t="str">
        <f t="array" ref="D15">IFERROR(INDEX(입고!$F$8:$F$1013,SMALL(IF(입고!$C$8:$C$1013=마스터!$M$16,ROW(입고!$C$8:$C$1013)-7),4)),"")</f>
        <v/>
      </c>
      <c r="E15" s="50" t="str">
        <f t="array" ref="E15">IFERROR(INDEX(입고!$H$8:$H$1013,SMALL(IF(입고!$C$8:$C$1013=마스터!$M$16,ROW(입고!$C$8:$C$1013)-7),4)),"")</f>
        <v/>
      </c>
      <c r="F15" s="50" t="str">
        <f t="array" ref="F15">IFERROR(INDEX(입고!$I$8:$I$1013,SMALL(IF(입고!$C$8:$C$1013=마스터!$M$16,ROW(입고!$C$8:$C$1013)-7),4)),"")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IFERROR(INDEX(입고!$B$8:$B$1013,SMALL(IF(입고!$C$8:$C$1013=마스터!$M$16,ROW(입고!$C$8:$C$1013)-7),5)),"")</f>
        <v/>
      </c>
      <c r="C16" s="6" t="str">
        <f t="array" ref="C16">IFERROR(INDEX(입고!$E$8:$E$1013,SMALL(IF(입고!$C$8:$C$1013=마스터!$M$16,ROW(입고!$C$8:$C$1013)-7),5)),"")</f>
        <v/>
      </c>
      <c r="D16" s="8" t="str">
        <f t="array" ref="D16">IFERROR(INDEX(입고!$F$8:$F$1013,SMALL(IF(입고!$C$8:$C$1013=마스터!$M$16,ROW(입고!$C$8:$C$1013)-7),5)),"")</f>
        <v/>
      </c>
      <c r="E16" s="46" t="str">
        <f t="array" ref="E16">IFERROR(INDEX(입고!$H$8:$H$1013,SMALL(IF(입고!$C$8:$C$1013=마스터!$M$16,ROW(입고!$C$8:$C$1013)-7),5)),"")</f>
        <v/>
      </c>
      <c r="F16" s="46" t="str">
        <f t="array" ref="F16">IFERROR(INDEX(입고!$I$8:$I$1013,SMALL(IF(입고!$C$8:$C$1013=마스터!$M$16,ROW(입고!$C$8:$C$1013)-7),5)),"")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IFERROR(INDEX(입고!$B$8:$B$1013,SMALL(IF(입고!$C$8:$C$1013=마스터!$M$16,ROW(입고!$C$8:$C$1013)-7),6)),"")</f>
        <v/>
      </c>
      <c r="C17" s="11" t="str">
        <f t="array" ref="C17">IFERROR(INDEX(입고!$E$8:$E$1013,SMALL(IF(입고!$C$8:$C$1013=마스터!$M$16,ROW(입고!$C$8:$C$1013)-7),6)),"")</f>
        <v/>
      </c>
      <c r="D17" s="13" t="str">
        <f t="array" ref="D17">IFERROR(INDEX(입고!$F$8:$F$1013,SMALL(IF(입고!$C$8:$C$1013=마스터!$M$16,ROW(입고!$C$8:$C$1013)-7),6)),"")</f>
        <v/>
      </c>
      <c r="E17" s="50" t="str">
        <f t="array" ref="E17">IFERROR(INDEX(입고!$H$8:$H$1013,SMALL(IF(입고!$C$8:$C$1013=마스터!$M$16,ROW(입고!$C$8:$C$1013)-7),6)),"")</f>
        <v/>
      </c>
      <c r="F17" s="50" t="str">
        <f t="array" ref="F17">IFERROR(INDEX(입고!$I$8:$I$1013,SMALL(IF(입고!$C$8:$C$1013=마스터!$M$16,ROW(입고!$C$8:$C$1013)-7),6)),"")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IFERROR(INDEX(입고!$B$8:$B$1013,SMALL(IF(입고!$C$8:$C$1013=마스터!$M$16,ROW(입고!$C$8:$C$1013)-7),7)),"")</f>
        <v/>
      </c>
      <c r="C18" s="6" t="str">
        <f t="array" ref="C18">IFERROR(INDEX(입고!$E$8:$E$1013,SMALL(IF(입고!$C$8:$C$1013=마스터!$M$16,ROW(입고!$C$8:$C$1013)-7),7)),"")</f>
        <v/>
      </c>
      <c r="D18" s="8" t="str">
        <f t="array" ref="D18">IFERROR(INDEX(입고!$F$8:$F$1013,SMALL(IF(입고!$C$8:$C$1013=마스터!$M$16,ROW(입고!$C$8:$C$1013)-7),7)),"")</f>
        <v/>
      </c>
      <c r="E18" s="46" t="str">
        <f t="array" ref="E18">IFERROR(INDEX(입고!$H$8:$H$1013,SMALL(IF(입고!$C$8:$C$1013=마스터!$M$16,ROW(입고!$C$8:$C$1013)-7),7)),"")</f>
        <v/>
      </c>
      <c r="F18" s="46" t="str">
        <f t="array" ref="F18">IFERROR(INDEX(입고!$I$8:$I$1013,SMALL(IF(입고!$C$8:$C$1013=마스터!$M$16,ROW(입고!$C$8:$C$1013)-7),7)),"")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IFERROR(INDEX(입고!$B$8:$B$1013,SMALL(IF(입고!$C$8:$C$1013=마스터!$M$16,ROW(입고!$C$8:$C$1013)-7),8)),"")</f>
        <v/>
      </c>
      <c r="C19" s="11" t="str">
        <f t="array" ref="C19">IFERROR(INDEX(입고!$E$8:$E$1013,SMALL(IF(입고!$C$8:$C$1013=마스터!$M$16,ROW(입고!$C$8:$C$1013)-7),8)),"")</f>
        <v/>
      </c>
      <c r="D19" s="13" t="str">
        <f t="array" ref="D19">IFERROR(INDEX(입고!$F$8:$F$1013,SMALL(IF(입고!$C$8:$C$1013=마스터!$M$16,ROW(입고!$C$8:$C$1013)-7),8)),"")</f>
        <v/>
      </c>
      <c r="E19" s="50" t="str">
        <f t="array" ref="E19">IFERROR(INDEX(입고!$H$8:$H$1013,SMALL(IF(입고!$C$8:$C$1013=마스터!$M$16,ROW(입고!$C$8:$C$1013)-7),8)),"")</f>
        <v/>
      </c>
      <c r="F19" s="50" t="str">
        <f t="array" ref="F19">IFERROR(INDEX(입고!$I$8:$I$1013,SMALL(IF(입고!$C$8:$C$1013=마스터!$M$16,ROW(입고!$C$8:$C$1013)-7),8)),"")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IFERROR(INDEX(입고!$B$8:$B$1013,SMALL(IF(입고!$C$8:$C$1013=마스터!$M$16,ROW(입고!$C$8:$C$1013)-7),9)),"")</f>
        <v/>
      </c>
      <c r="C20" s="6" t="str">
        <f t="array" ref="C20">IFERROR(INDEX(입고!$E$8:$E$1013,SMALL(IF(입고!$C$8:$C$1013=마스터!$M$16,ROW(입고!$C$8:$C$1013)-7),9)),"")</f>
        <v/>
      </c>
      <c r="D20" s="8" t="str">
        <f t="array" ref="D20">IFERROR(INDEX(입고!$F$8:$F$1013,SMALL(IF(입고!$C$8:$C$1013=마스터!$M$16,ROW(입고!$C$8:$C$1013)-7),9)),"")</f>
        <v/>
      </c>
      <c r="E20" s="46" t="str">
        <f t="array" ref="E20">IFERROR(INDEX(입고!$H$8:$H$1013,SMALL(IF(입고!$C$8:$C$1013=마스터!$M$16,ROW(입고!$C$8:$C$1013)-7),9)),"")</f>
        <v/>
      </c>
      <c r="F20" s="46" t="str">
        <f t="array" ref="F20">IFERROR(INDEX(입고!$I$8:$I$1013,SMALL(IF(입고!$C$8:$C$1013=마스터!$M$16,ROW(입고!$C$8:$C$1013)-7),9)),"")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IFERROR(INDEX(입고!$B$8:$B$1013,SMALL(IF(입고!$C$8:$C$1013=마스터!$M$16,ROW(입고!$C$8:$C$1013)-7),10)),"")</f>
        <v/>
      </c>
      <c r="C21" s="11" t="str">
        <f t="array" ref="C21">IFERROR(INDEX(입고!$E$8:$E$1013,SMALL(IF(입고!$C$8:$C$1013=마스터!$M$16,ROW(입고!$C$8:$C$1013)-7),10)),"")</f>
        <v/>
      </c>
      <c r="D21" s="13" t="str">
        <f t="array" ref="D21">IFERROR(INDEX(입고!$F$8:$F$1013,SMALL(IF(입고!$C$8:$C$1013=마스터!$M$16,ROW(입고!$C$8:$C$1013)-7),10)),"")</f>
        <v/>
      </c>
      <c r="E21" s="50" t="str">
        <f t="array" ref="E21">IFERROR(INDEX(입고!$H$8:$H$1013,SMALL(IF(입고!$C$8:$C$1013=마스터!$M$16,ROW(입고!$C$8:$C$1013)-7),10)),"")</f>
        <v/>
      </c>
      <c r="F21" s="50" t="str">
        <f t="array" ref="F21">IFERROR(INDEX(입고!$I$8:$I$1013,SMALL(IF(입고!$C$8:$C$1013=마스터!$M$16,ROW(입고!$C$8:$C$1013)-7),10)),"")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IFERROR(INDEX(입고!$B$8:$B$1013,SMALL(IF(입고!$C$8:$C$1013=마스터!$M$16,ROW(입고!$C$8:$C$1013)-7),11)),"")</f>
        <v/>
      </c>
      <c r="C22" s="6" t="str">
        <f t="array" ref="C22">IFERROR(INDEX(입고!$E$8:$E$1013,SMALL(IF(입고!$C$8:$C$1013=마스터!$M$16,ROW(입고!$C$8:$C$1013)-7),11)),"")</f>
        <v/>
      </c>
      <c r="D22" s="8" t="str">
        <f t="array" ref="D22">IFERROR(INDEX(입고!$F$8:$F$1013,SMALL(IF(입고!$C$8:$C$1013=마스터!$M$16,ROW(입고!$C$8:$C$1013)-7),11)),"")</f>
        <v/>
      </c>
      <c r="E22" s="46" t="str">
        <f t="array" ref="E22">IFERROR(INDEX(입고!$H$8:$H$1013,SMALL(IF(입고!$C$8:$C$1013=마스터!$M$16,ROW(입고!$C$8:$C$1013)-7),11)),"")</f>
        <v/>
      </c>
      <c r="F22" s="46" t="str">
        <f t="array" ref="F22">IFERROR(INDEX(입고!$I$8:$I$1013,SMALL(IF(입고!$C$8:$C$1013=마스터!$M$16,ROW(입고!$C$8:$C$1013)-7),11)),"")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IFERROR(INDEX(입고!$B$8:$B$1013,SMALL(IF(입고!$C$8:$C$1013=마스터!$M$16,ROW(입고!$C$8:$C$1013)-7),12)),"")</f>
        <v/>
      </c>
      <c r="C23" s="11" t="str">
        <f t="array" ref="C23">IFERROR(INDEX(입고!$E$8:$E$1013,SMALL(IF(입고!$C$8:$C$1013=마스터!$M$16,ROW(입고!$C$8:$C$1013)-7),12)),"")</f>
        <v/>
      </c>
      <c r="D23" s="13" t="str">
        <f t="array" ref="D23">IFERROR(INDEX(입고!$F$8:$F$1013,SMALL(IF(입고!$C$8:$C$1013=마스터!$M$16,ROW(입고!$C$8:$C$1013)-7),12)),"")</f>
        <v/>
      </c>
      <c r="E23" s="50" t="str">
        <f t="array" ref="E23">IFERROR(INDEX(입고!$H$8:$H$1013,SMALL(IF(입고!$C$8:$C$1013=마스터!$M$16,ROW(입고!$C$8:$C$1013)-7),12)),"")</f>
        <v/>
      </c>
      <c r="F23" s="50" t="str">
        <f t="array" ref="F23">IFERROR(INDEX(입고!$I$8:$I$1013,SMALL(IF(입고!$C$8:$C$1013=마스터!$M$16,ROW(입고!$C$8:$C$1013)-7),12)),"")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IFERROR(INDEX(입고!$B$8:$B$1013,SMALL(IF(입고!$C$8:$C$1013=마스터!$M$16,ROW(입고!$C$8:$C$1013)-7),13)),"")</f>
        <v/>
      </c>
      <c r="C24" s="6" t="str">
        <f t="array" ref="C24">IFERROR(INDEX(입고!$E$8:$E$1013,SMALL(IF(입고!$C$8:$C$1013=마스터!$M$16,ROW(입고!$C$8:$C$1013)-7),13)),"")</f>
        <v/>
      </c>
      <c r="D24" s="8" t="str">
        <f t="array" ref="D24">IFERROR(INDEX(입고!$F$8:$F$1013,SMALL(IF(입고!$C$8:$C$1013=마스터!$M$16,ROW(입고!$C$8:$C$1013)-7),13)),"")</f>
        <v/>
      </c>
      <c r="E24" s="46" t="str">
        <f t="array" ref="E24">IFERROR(INDEX(입고!$H$8:$H$1013,SMALL(IF(입고!$C$8:$C$1013=마스터!$M$16,ROW(입고!$C$8:$C$1013)-7),13)),"")</f>
        <v/>
      </c>
      <c r="F24" s="46" t="str">
        <f t="array" ref="F24">IFERROR(INDEX(입고!$I$8:$I$1013,SMALL(IF(입고!$C$8:$C$1013=마스터!$M$16,ROW(입고!$C$8:$C$1013)-7),13)),"")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IFERROR(INDEX(입고!$B$8:$B$1013,SMALL(IF(입고!$C$8:$C$1013=마스터!$M$16,ROW(입고!$C$8:$C$1013)-7),14)),"")</f>
        <v/>
      </c>
      <c r="C25" s="11" t="str">
        <f t="array" ref="C25">IFERROR(INDEX(입고!$E$8:$E$1013,SMALL(IF(입고!$C$8:$C$1013=마스터!$M$16,ROW(입고!$C$8:$C$1013)-7),14)),"")</f>
        <v/>
      </c>
      <c r="D25" s="13" t="str">
        <f t="array" ref="D25">IFERROR(INDEX(입고!$F$8:$F$1013,SMALL(IF(입고!$C$8:$C$1013=마스터!$M$16,ROW(입고!$C$8:$C$1013)-7),14)),"")</f>
        <v/>
      </c>
      <c r="E25" s="50" t="str">
        <f t="array" ref="E25">IFERROR(INDEX(입고!$H$8:$H$1013,SMALL(IF(입고!$C$8:$C$1013=마스터!$M$16,ROW(입고!$C$8:$C$1013)-7),14)),"")</f>
        <v/>
      </c>
      <c r="F25" s="50" t="str">
        <f t="array" ref="F25">IFERROR(INDEX(입고!$I$8:$I$1013,SMALL(IF(입고!$C$8:$C$1013=마스터!$M$16,ROW(입고!$C$8:$C$1013)-7),14)),"")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IFERROR(INDEX(입고!$B$8:$B$1013,SMALL(IF(입고!$C$8:$C$1013=마스터!$M$16,ROW(입고!$C$8:$C$1013)-7),15)),"")</f>
        <v/>
      </c>
      <c r="C26" s="6" t="str">
        <f t="array" ref="C26">IFERROR(INDEX(입고!$E$8:$E$1013,SMALL(IF(입고!$C$8:$C$1013=마스터!$M$16,ROW(입고!$C$8:$C$1013)-7),15)),"")</f>
        <v/>
      </c>
      <c r="D26" s="8" t="str">
        <f t="array" ref="D26">IFERROR(INDEX(입고!$F$8:$F$1013,SMALL(IF(입고!$C$8:$C$1013=마스터!$M$16,ROW(입고!$C$8:$C$1013)-7),15)),"")</f>
        <v/>
      </c>
      <c r="E26" s="46" t="str">
        <f t="array" ref="E26">IFERROR(INDEX(입고!$H$8:$H$1013,SMALL(IF(입고!$C$8:$C$1013=마스터!$M$16,ROW(입고!$C$8:$C$1013)-7),15)),"")</f>
        <v/>
      </c>
      <c r="F26" s="46" t="str">
        <f t="array" ref="F26">IFERROR(INDEX(입고!$I$8:$I$1013,SMALL(IF(입고!$C$8:$C$1013=마스터!$M$16,ROW(입고!$C$8:$C$1013)-7),15)),"")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IFERROR(INDEX(입고!$B$8:$B$1013,SMALL(IF(입고!$C$8:$C$1013=마스터!$M$16,ROW(입고!$C$8:$C$1013)-7),16)),"")</f>
        <v/>
      </c>
      <c r="C27" s="11" t="str">
        <f t="array" ref="C27">IFERROR(INDEX(입고!$E$8:$E$1013,SMALL(IF(입고!$C$8:$C$1013=마스터!$M$16,ROW(입고!$C$8:$C$1013)-7),16)),"")</f>
        <v/>
      </c>
      <c r="D27" s="13" t="str">
        <f t="array" ref="D27">IFERROR(INDEX(입고!$F$8:$F$1013,SMALL(IF(입고!$C$8:$C$1013=마스터!$M$16,ROW(입고!$C$8:$C$1013)-7),16)),"")</f>
        <v/>
      </c>
      <c r="E27" s="50" t="str">
        <f t="array" ref="E27">IFERROR(INDEX(입고!$H$8:$H$1013,SMALL(IF(입고!$C$8:$C$1013=마스터!$M$16,ROW(입고!$C$8:$C$1013)-7),16)),"")</f>
        <v/>
      </c>
      <c r="F27" s="50" t="str">
        <f t="array" ref="F27">IFERROR(INDEX(입고!$I$8:$I$1013,SMALL(IF(입고!$C$8:$C$1013=마스터!$M$16,ROW(입고!$C$8:$C$1013)-7),16)),"")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IFERROR(INDEX(입고!$B$8:$B$1013,SMALL(IF(입고!$C$8:$C$1013=마스터!$M$16,ROW(입고!$C$8:$C$1013)-7),17)),"")</f>
        <v/>
      </c>
      <c r="C28" s="6" t="str">
        <f t="array" ref="C28">IFERROR(INDEX(입고!$E$8:$E$1013,SMALL(IF(입고!$C$8:$C$1013=마스터!$M$16,ROW(입고!$C$8:$C$1013)-7),17)),"")</f>
        <v/>
      </c>
      <c r="D28" s="8" t="str">
        <f t="array" ref="D28">IFERROR(INDEX(입고!$F$8:$F$1013,SMALL(IF(입고!$C$8:$C$1013=마스터!$M$16,ROW(입고!$C$8:$C$1013)-7),17)),"")</f>
        <v/>
      </c>
      <c r="E28" s="46" t="str">
        <f t="array" ref="E28">IFERROR(INDEX(입고!$H$8:$H$1013,SMALL(IF(입고!$C$8:$C$1013=마스터!$M$16,ROW(입고!$C$8:$C$1013)-7),17)),"")</f>
        <v/>
      </c>
      <c r="F28" s="46" t="str">
        <f t="array" ref="F28">IFERROR(INDEX(입고!$I$8:$I$1013,SMALL(IF(입고!$C$8:$C$1013=마스터!$M$16,ROW(입고!$C$8:$C$1013)-7),17)),"")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IFERROR(INDEX(입고!$B$8:$B$1013,SMALL(IF(입고!$C$8:$C$1013=마스터!$M$16,ROW(입고!$C$8:$C$1013)-7),18)),"")</f>
        <v/>
      </c>
      <c r="C29" s="11" t="str">
        <f t="array" ref="C29">IFERROR(INDEX(입고!$E$8:$E$1013,SMALL(IF(입고!$C$8:$C$1013=마스터!$M$16,ROW(입고!$C$8:$C$1013)-7),18)),"")</f>
        <v/>
      </c>
      <c r="D29" s="13" t="str">
        <f t="array" ref="D29">IFERROR(INDEX(입고!$F$8:$F$1013,SMALL(IF(입고!$C$8:$C$1013=마스터!$M$16,ROW(입고!$C$8:$C$1013)-7),18)),"")</f>
        <v/>
      </c>
      <c r="E29" s="50" t="str">
        <f t="array" ref="E29">IFERROR(INDEX(입고!$H$8:$H$1013,SMALL(IF(입고!$C$8:$C$1013=마스터!$M$16,ROW(입고!$C$8:$C$1013)-7),18)),"")</f>
        <v/>
      </c>
      <c r="F29" s="50" t="str">
        <f t="array" ref="F29">IFERROR(INDEX(입고!$I$8:$I$1013,SMALL(IF(입고!$C$8:$C$1013=마스터!$M$16,ROW(입고!$C$8:$C$1013)-7),18)),"")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IFERROR(INDEX(입고!$B$8:$B$1013,SMALL(IF(입고!$C$8:$C$1013=마스터!$M$16,ROW(입고!$C$8:$C$1013)-7),19)),"")</f>
        <v/>
      </c>
      <c r="C30" s="6" t="str">
        <f t="array" ref="C30">IFERROR(INDEX(입고!$E$8:$E$1013,SMALL(IF(입고!$C$8:$C$1013=마스터!$M$16,ROW(입고!$C$8:$C$1013)-7),19)),"")</f>
        <v/>
      </c>
      <c r="D30" s="8" t="str">
        <f t="array" ref="D30">IFERROR(INDEX(입고!$F$8:$F$1013,SMALL(IF(입고!$C$8:$C$1013=마스터!$M$16,ROW(입고!$C$8:$C$1013)-7),19)),"")</f>
        <v/>
      </c>
      <c r="E30" s="46" t="str">
        <f t="array" ref="E30">IFERROR(INDEX(입고!$H$8:$H$1013,SMALL(IF(입고!$C$8:$C$1013=마스터!$M$16,ROW(입고!$C$8:$C$1013)-7),19)),"")</f>
        <v/>
      </c>
      <c r="F30" s="46" t="str">
        <f t="array" ref="F30">IFERROR(INDEX(입고!$I$8:$I$1013,SMALL(IF(입고!$C$8:$C$1013=마스터!$M$16,ROW(입고!$C$8:$C$1013)-7),19)),"")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IFERROR(INDEX(입고!$B$8:$B$1013,SMALL(IF(입고!$C$8:$C$1013=마스터!$M$16,ROW(입고!$C$8:$C$1013)-7),20)),"")</f>
        <v/>
      </c>
      <c r="C31" s="11" t="str">
        <f t="array" ref="C31">IFERROR(INDEX(입고!$E$8:$E$1013,SMALL(IF(입고!$C$8:$C$1013=마스터!$M$16,ROW(입고!$C$8:$C$1013)-7),20)),"")</f>
        <v/>
      </c>
      <c r="D31" s="13" t="str">
        <f t="array" ref="D31">IFERROR(INDEX(입고!$F$8:$F$1013,SMALL(IF(입고!$C$8:$C$1013=마스터!$M$16,ROW(입고!$C$8:$C$1013)-7),20)),"")</f>
        <v/>
      </c>
      <c r="E31" s="50" t="str">
        <f t="array" ref="E31">IFERROR(INDEX(입고!$H$8:$H$1013,SMALL(IF(입고!$C$8:$C$1013=마스터!$M$16,ROW(입고!$C$8:$C$1013)-7),20)),"")</f>
        <v/>
      </c>
      <c r="F31" s="50" t="str">
        <f t="array" ref="F31">IFERROR(INDEX(입고!$I$8:$I$1013,SMALL(IF(입고!$C$8:$C$1013=마스터!$M$16,ROW(입고!$C$8:$C$1013)-7),20)),"")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IFERROR(INDEX(입고!$B$8:$B$1013,SMALL(IF(입고!$C$8:$C$1013=마스터!$M$16,ROW(입고!$C$8:$C$1013)-7),21)),"")</f>
        <v/>
      </c>
      <c r="C32" s="6" t="str">
        <f t="array" ref="C32">IFERROR(INDEX(입고!$E$8:$E$1013,SMALL(IF(입고!$C$8:$C$1013=마스터!$M$16,ROW(입고!$C$8:$C$1013)-7),21)),"")</f>
        <v/>
      </c>
      <c r="D32" s="8" t="str">
        <f t="array" ref="D32">IFERROR(INDEX(입고!$F$8:$F$1013,SMALL(IF(입고!$C$8:$C$1013=마스터!$M$16,ROW(입고!$C$8:$C$1013)-7),21)),"")</f>
        <v/>
      </c>
      <c r="E32" s="46" t="str">
        <f t="array" ref="E32">IFERROR(INDEX(입고!$H$8:$H$1013,SMALL(IF(입고!$C$8:$C$1013=마스터!$M$16,ROW(입고!$C$8:$C$1013)-7),21)),"")</f>
        <v/>
      </c>
      <c r="F32" s="46" t="str">
        <f t="array" ref="F32">IFERROR(INDEX(입고!$I$8:$I$1013,SMALL(IF(입고!$C$8:$C$1013=마스터!$M$16,ROW(입고!$C$8:$C$1013)-7),21)),"")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IFERROR(INDEX(입고!$B$8:$B$1013,SMALL(IF(입고!$C$8:$C$1013=마스터!$M$16,ROW(입고!$C$8:$C$1013)-7),22)),"")</f>
        <v/>
      </c>
      <c r="C33" s="11" t="str">
        <f t="array" ref="C33">IFERROR(INDEX(입고!$E$8:$E$1013,SMALL(IF(입고!$C$8:$C$1013=마스터!$M$16,ROW(입고!$C$8:$C$1013)-7),22)),"")</f>
        <v/>
      </c>
      <c r="D33" s="13" t="str">
        <f t="array" ref="D33">IFERROR(INDEX(입고!$F$8:$F$1013,SMALL(IF(입고!$C$8:$C$1013=마스터!$M$16,ROW(입고!$C$8:$C$1013)-7),22)),"")</f>
        <v/>
      </c>
      <c r="E33" s="50" t="str">
        <f t="array" ref="E33">IFERROR(INDEX(입고!$H$8:$H$1013,SMALL(IF(입고!$C$8:$C$1013=마스터!$M$16,ROW(입고!$C$8:$C$1013)-7),22)),"")</f>
        <v/>
      </c>
      <c r="F33" s="50" t="str">
        <f t="array" ref="F33">IFERROR(INDEX(입고!$I$8:$I$1013,SMALL(IF(입고!$C$8:$C$1013=마스터!$M$16,ROW(입고!$C$8:$C$1013)-7),22)),"")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IFERROR(INDEX(입고!$B$8:$B$1013,SMALL(IF(입고!$C$8:$C$1013=마스터!$M$16,ROW(입고!$C$8:$C$1013)-7),23)),"")</f>
        <v/>
      </c>
      <c r="C34" s="6" t="str">
        <f t="array" ref="C34">IFERROR(INDEX(입고!$E$8:$E$1013,SMALL(IF(입고!$C$8:$C$1013=마스터!$M$16,ROW(입고!$C$8:$C$1013)-7),23)),"")</f>
        <v/>
      </c>
      <c r="D34" s="8" t="str">
        <f t="array" ref="D34">IFERROR(INDEX(입고!$F$8:$F$1013,SMALL(IF(입고!$C$8:$C$1013=마스터!$M$16,ROW(입고!$C$8:$C$1013)-7),23)),"")</f>
        <v/>
      </c>
      <c r="E34" s="46" t="str">
        <f t="array" ref="E34">IFERROR(INDEX(입고!$H$8:$H$1013,SMALL(IF(입고!$C$8:$C$1013=마스터!$M$16,ROW(입고!$C$8:$C$1013)-7),23)),"")</f>
        <v/>
      </c>
      <c r="F34" s="46" t="str">
        <f t="array" ref="F34">IFERROR(INDEX(입고!$I$8:$I$1013,SMALL(IF(입고!$C$8:$C$1013=마스터!$M$16,ROW(입고!$C$8:$C$1013)-7),23)),"")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IFERROR(INDEX(입고!$B$8:$B$1013,SMALL(IF(입고!$C$8:$C$1013=마스터!$M$16,ROW(입고!$C$8:$C$1013)-7),24)),"")</f>
        <v/>
      </c>
      <c r="C35" s="11" t="str">
        <f t="array" ref="C35">IFERROR(INDEX(입고!$E$8:$E$1013,SMALL(IF(입고!$C$8:$C$1013=마스터!$M$16,ROW(입고!$C$8:$C$1013)-7),24)),"")</f>
        <v/>
      </c>
      <c r="D35" s="13" t="str">
        <f t="array" ref="D35">IFERROR(INDEX(입고!$F$8:$F$1013,SMALL(IF(입고!$C$8:$C$1013=마스터!$M$16,ROW(입고!$C$8:$C$1013)-7),24)),"")</f>
        <v/>
      </c>
      <c r="E35" s="50" t="str">
        <f t="array" ref="E35">IFERROR(INDEX(입고!$H$8:$H$1013,SMALL(IF(입고!$C$8:$C$1013=마스터!$M$16,ROW(입고!$C$8:$C$1013)-7),24)),"")</f>
        <v/>
      </c>
      <c r="F35" s="50" t="str">
        <f t="array" ref="F35">IFERROR(INDEX(입고!$I$8:$I$1013,SMALL(IF(입고!$C$8:$C$1013=마스터!$M$16,ROW(입고!$C$8:$C$1013)-7),24)),"")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IFERROR(INDEX(입고!$B$8:$B$1013,SMALL(IF(입고!$C$8:$C$1013=마스터!$M$16,ROW(입고!$C$8:$C$1013)-7),25)),"")</f>
        <v/>
      </c>
      <c r="C36" s="6" t="str">
        <f t="array" ref="C36">IFERROR(INDEX(입고!$E$8:$E$1013,SMALL(IF(입고!$C$8:$C$1013=마스터!$M$16,ROW(입고!$C$8:$C$1013)-7),25)),"")</f>
        <v/>
      </c>
      <c r="D36" s="8" t="str">
        <f t="array" ref="D36">IFERROR(INDEX(입고!$F$8:$F$1013,SMALL(IF(입고!$C$8:$C$1013=마스터!$M$16,ROW(입고!$C$8:$C$1013)-7),25)),"")</f>
        <v/>
      </c>
      <c r="E36" s="46" t="str">
        <f t="array" ref="E36">IFERROR(INDEX(입고!$H$8:$H$1013,SMALL(IF(입고!$C$8:$C$1013=마스터!$M$16,ROW(입고!$C$8:$C$1013)-7),25)),"")</f>
        <v/>
      </c>
      <c r="F36" s="46" t="str">
        <f t="array" ref="F36">IFERROR(INDEX(입고!$I$8:$I$1013,SMALL(IF(입고!$C$8:$C$1013=마스터!$M$16,ROW(입고!$C$8:$C$1013)-7),25)),"")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IFERROR(INDEX(입고!$B$8:$B$1013,SMALL(IF(입고!$C$8:$C$1013=마스터!$M$16,ROW(입고!$C$8:$C$1013)-7),26)),"")</f>
        <v/>
      </c>
      <c r="C37" s="11" t="str">
        <f t="array" ref="C37">IFERROR(INDEX(입고!$E$8:$E$1013,SMALL(IF(입고!$C$8:$C$1013=마스터!$M$16,ROW(입고!$C$8:$C$1013)-7),26)),"")</f>
        <v/>
      </c>
      <c r="D37" s="13" t="str">
        <f t="array" ref="D37">IFERROR(INDEX(입고!$F$8:$F$1013,SMALL(IF(입고!$C$8:$C$1013=마스터!$M$16,ROW(입고!$C$8:$C$1013)-7),26)),"")</f>
        <v/>
      </c>
      <c r="E37" s="50" t="str">
        <f t="array" ref="E37">IFERROR(INDEX(입고!$H$8:$H$1013,SMALL(IF(입고!$C$8:$C$1013=마스터!$M$16,ROW(입고!$C$8:$C$1013)-7),26)),"")</f>
        <v/>
      </c>
      <c r="F37" s="50" t="str">
        <f t="array" ref="F37">IFERROR(INDEX(입고!$I$8:$I$1013,SMALL(IF(입고!$C$8:$C$1013=마스터!$M$16,ROW(입고!$C$8:$C$1013)-7),26)),"")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IFERROR(INDEX(입고!$B$8:$B$1013,SMALL(IF(입고!$C$8:$C$1013=마스터!$M$16,ROW(입고!$C$8:$C$1013)-7),27)),"")</f>
        <v/>
      </c>
      <c r="C38" s="6" t="str">
        <f t="array" ref="C38">IFERROR(INDEX(입고!$E$8:$E$1013,SMALL(IF(입고!$C$8:$C$1013=마스터!$M$16,ROW(입고!$C$8:$C$1013)-7),27)),"")</f>
        <v/>
      </c>
      <c r="D38" s="8" t="str">
        <f t="array" ref="D38">IFERROR(INDEX(입고!$F$8:$F$1013,SMALL(IF(입고!$C$8:$C$1013=마스터!$M$16,ROW(입고!$C$8:$C$1013)-7),27)),"")</f>
        <v/>
      </c>
      <c r="E38" s="46" t="str">
        <f t="array" ref="E38">IFERROR(INDEX(입고!$H$8:$H$1013,SMALL(IF(입고!$C$8:$C$1013=마스터!$M$16,ROW(입고!$C$8:$C$1013)-7),27)),"")</f>
        <v/>
      </c>
      <c r="F38" s="46" t="str">
        <f t="array" ref="F38">IFERROR(INDEX(입고!$I$8:$I$1013,SMALL(IF(입고!$C$8:$C$1013=마스터!$M$16,ROW(입고!$C$8:$C$1013)-7),27)),"")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IFERROR(INDEX(입고!$B$8:$B$1013,SMALL(IF(입고!$C$8:$C$1013=마스터!$M$16,ROW(입고!$C$8:$C$1013)-7),28)),"")</f>
        <v/>
      </c>
      <c r="C39" s="11" t="str">
        <f t="array" ref="C39">IFERROR(INDEX(입고!$E$8:$E$1013,SMALL(IF(입고!$C$8:$C$1013=마스터!$M$16,ROW(입고!$C$8:$C$1013)-7),28)),"")</f>
        <v/>
      </c>
      <c r="D39" s="13" t="str">
        <f t="array" ref="D39">IFERROR(INDEX(입고!$F$8:$F$1013,SMALL(IF(입고!$C$8:$C$1013=마스터!$M$16,ROW(입고!$C$8:$C$1013)-7),28)),"")</f>
        <v/>
      </c>
      <c r="E39" s="50" t="str">
        <f t="array" ref="E39">IFERROR(INDEX(입고!$H$8:$H$1013,SMALL(IF(입고!$C$8:$C$1013=마스터!$M$16,ROW(입고!$C$8:$C$1013)-7),28)),"")</f>
        <v/>
      </c>
      <c r="F39" s="50" t="str">
        <f t="array" ref="F39">IFERROR(INDEX(입고!$I$8:$I$1013,SMALL(IF(입고!$C$8:$C$1013=마스터!$M$16,ROW(입고!$C$8:$C$1013)-7),28)),"")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IFERROR(INDEX(입고!$B$8:$B$1013,SMALL(IF(입고!$C$8:$C$1013=마스터!$M$16,ROW(입고!$C$8:$C$1013)-7),29)),"")</f>
        <v/>
      </c>
      <c r="C40" s="6" t="str">
        <f t="array" ref="C40">IFERROR(INDEX(입고!$E$8:$E$1013,SMALL(IF(입고!$C$8:$C$1013=마스터!$M$16,ROW(입고!$C$8:$C$1013)-7),29)),"")</f>
        <v/>
      </c>
      <c r="D40" s="8" t="str">
        <f t="array" ref="D40">IFERROR(INDEX(입고!$F$8:$F$1013,SMALL(IF(입고!$C$8:$C$1013=마스터!$M$16,ROW(입고!$C$8:$C$1013)-7),29)),"")</f>
        <v/>
      </c>
      <c r="E40" s="46" t="str">
        <f t="array" ref="E40">IFERROR(INDEX(입고!$H$8:$H$1013,SMALL(IF(입고!$C$8:$C$1013=마스터!$M$16,ROW(입고!$C$8:$C$1013)-7),29)),"")</f>
        <v/>
      </c>
      <c r="F40" s="46" t="str">
        <f t="array" ref="F40">IFERROR(INDEX(입고!$I$8:$I$1013,SMALL(IF(입고!$C$8:$C$1013=마스터!$M$16,ROW(입고!$C$8:$C$1013)-7),29)),"")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IFERROR(INDEX(입고!$B$8:$B$1013,SMALL(IF(입고!$C$8:$C$1013=마스터!$M$16,ROW(입고!$C$8:$C$1013)-7),30)),"")</f>
        <v/>
      </c>
      <c r="C41" s="11" t="str">
        <f t="array" ref="C41">IFERROR(INDEX(입고!$E$8:$E$1013,SMALL(IF(입고!$C$8:$C$1013=마스터!$M$16,ROW(입고!$C$8:$C$1013)-7),30)),"")</f>
        <v/>
      </c>
      <c r="D41" s="13" t="str">
        <f t="array" ref="D41">IFERROR(INDEX(입고!$F$8:$F$1013,SMALL(IF(입고!$C$8:$C$1013=마스터!$M$16,ROW(입고!$C$8:$C$1013)-7),30)),"")</f>
        <v/>
      </c>
      <c r="E41" s="50" t="str">
        <f t="array" ref="E41">IFERROR(INDEX(입고!$H$8:$H$1013,SMALL(IF(입고!$C$8:$C$1013=마스터!$M$16,ROW(입고!$C$8:$C$1013)-7),30)),"")</f>
        <v/>
      </c>
      <c r="F41" s="50" t="str">
        <f t="array" ref="F41">IFERROR(INDEX(입고!$I$8:$I$1013,SMALL(IF(입고!$C$8:$C$1013=마스터!$M$16,ROW(입고!$C$8:$C$1013)-7),30)),"")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IFERROR(INDEX(출고!$B$8:$B$1013,SMALL(IF(출고!$C$8:$C$1013=마스터!$M$16,ROW(출고!$C$8:$C$1013)-7),1)),"")</f>
        <v/>
      </c>
      <c r="C45" s="6" t="str">
        <f t="array" ref="C45">IFERROR(INDEX(출고!$E$8:$E$1013,SMALL(IF(출고!$C$8:$C$1013=마스터!$M$16,ROW(출고!$C$8:$C$1013)-7),1)),"")</f>
        <v/>
      </c>
      <c r="D45" s="8" t="str">
        <f t="array" ref="D45">IFERROR(INDEX(출고!$F$8:$F$1013,SMALL(IF(출고!$C$8:$C$1013=마스터!$M$16,ROW(출고!$C$8:$C$1013)-7),1)),"")</f>
        <v/>
      </c>
      <c r="E45" s="46" t="str">
        <f t="array" ref="E45">IFERROR(INDEX(출고!$H$8:$H$1013,SMALL(IF(출고!$C$8:$C$1013=마스터!$M$16,ROW(출고!$C$8:$C$1013)-7),1)),"")</f>
        <v/>
      </c>
      <c r="F45" s="46" t="str">
        <f t="array" ref="F45">IFERROR(INDEX(출고!$I$8:$I$1013,SMALL(IF(출고!$C$8:$C$1013=마스터!$M$16,ROW(출고!$C$8:$C$1013)-7),1)),"")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IFERROR(INDEX(출고!$B$8:$B$1013,SMALL(IF(출고!$C$8:$C$1013=마스터!$M$16,ROW(출고!$C$8:$C$1013)-7),2)),"")</f>
        <v/>
      </c>
      <c r="C46" s="11" t="str">
        <f t="array" ref="C46">IFERROR(INDEX(출고!$E$8:$E$1013,SMALL(IF(출고!$C$8:$C$1013=마스터!$M$16,ROW(출고!$C$8:$C$1013)-7),2)),"")</f>
        <v/>
      </c>
      <c r="D46" s="13" t="str">
        <f t="array" ref="D46">IFERROR(INDEX(출고!$F$8:$F$1013,SMALL(IF(출고!$C$8:$C$1013=마스터!$M$16,ROW(출고!$C$8:$C$1013)-7),2)),"")</f>
        <v/>
      </c>
      <c r="E46" s="50" t="str">
        <f t="array" ref="E46">IFERROR(INDEX(출고!$H$8:$H$1013,SMALL(IF(출고!$C$8:$C$1013=마스터!$M$16,ROW(출고!$C$8:$C$1013)-7),2)),"")</f>
        <v/>
      </c>
      <c r="F46" s="50" t="str">
        <f t="array" ref="F46">IFERROR(INDEX(출고!$I$8:$I$1013,SMALL(IF(출고!$C$8:$C$1013=마스터!$M$16,ROW(출고!$C$8:$C$1013)-7),2)),"")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IFERROR(INDEX(출고!$B$8:$B$1013,SMALL(IF(출고!$C$8:$C$1013=마스터!$M$16,ROW(출고!$C$8:$C$1013)-7),3)),"")</f>
        <v/>
      </c>
      <c r="C47" s="6" t="str">
        <f t="array" ref="C47">IFERROR(INDEX(출고!$E$8:$E$1013,SMALL(IF(출고!$C$8:$C$1013=마스터!$M$16,ROW(출고!$C$8:$C$1013)-7),3)),"")</f>
        <v/>
      </c>
      <c r="D47" s="8" t="str">
        <f t="array" ref="D47">IFERROR(INDEX(출고!$F$8:$F$1013,SMALL(IF(출고!$C$8:$C$1013=마스터!$M$16,ROW(출고!$C$8:$C$1013)-7),3)),"")</f>
        <v/>
      </c>
      <c r="E47" s="46" t="str">
        <f t="array" ref="E47">IFERROR(INDEX(출고!$H$8:$H$1013,SMALL(IF(출고!$C$8:$C$1013=마스터!$M$16,ROW(출고!$C$8:$C$1013)-7),3)),"")</f>
        <v/>
      </c>
      <c r="F47" s="46" t="str">
        <f t="array" ref="F47">IFERROR(INDEX(출고!$I$8:$I$1013,SMALL(IF(출고!$C$8:$C$1013=마스터!$M$16,ROW(출고!$C$8:$C$1013)-7),3)),"")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IFERROR(INDEX(출고!$B$8:$B$1013,SMALL(IF(출고!$C$8:$C$1013=마스터!$M$16,ROW(출고!$C$8:$C$1013)-7),4)),"")</f>
        <v/>
      </c>
      <c r="C48" s="11" t="str">
        <f t="array" ref="C48">IFERROR(INDEX(출고!$E$8:$E$1013,SMALL(IF(출고!$C$8:$C$1013=마스터!$M$16,ROW(출고!$C$8:$C$1013)-7),4)),"")</f>
        <v/>
      </c>
      <c r="D48" s="13" t="str">
        <f t="array" ref="D48">IFERROR(INDEX(출고!$F$8:$F$1013,SMALL(IF(출고!$C$8:$C$1013=마스터!$M$16,ROW(출고!$C$8:$C$1013)-7),4)),"")</f>
        <v/>
      </c>
      <c r="E48" s="50" t="str">
        <f t="array" ref="E48">IFERROR(INDEX(출고!$H$8:$H$1013,SMALL(IF(출고!$C$8:$C$1013=마스터!$M$16,ROW(출고!$C$8:$C$1013)-7),4)),"")</f>
        <v/>
      </c>
      <c r="F48" s="50" t="str">
        <f t="array" ref="F48">IFERROR(INDEX(출고!$I$8:$I$1013,SMALL(IF(출고!$C$8:$C$1013=마스터!$M$16,ROW(출고!$C$8:$C$1013)-7),4)),"")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IFERROR(INDEX(출고!$B$8:$B$1013,SMALL(IF(출고!$C$8:$C$1013=마스터!$M$16,ROW(출고!$C$8:$C$1013)-7),5)),"")</f>
        <v/>
      </c>
      <c r="C49" s="6" t="str">
        <f t="array" ref="C49">IFERROR(INDEX(출고!$E$8:$E$1013,SMALL(IF(출고!$C$8:$C$1013=마스터!$M$16,ROW(출고!$C$8:$C$1013)-7),5)),"")</f>
        <v/>
      </c>
      <c r="D49" s="8" t="str">
        <f t="array" ref="D49">IFERROR(INDEX(출고!$F$8:$F$1013,SMALL(IF(출고!$C$8:$C$1013=마스터!$M$16,ROW(출고!$C$8:$C$1013)-7),5)),"")</f>
        <v/>
      </c>
      <c r="E49" s="46" t="str">
        <f t="array" ref="E49">IFERROR(INDEX(출고!$H$8:$H$1013,SMALL(IF(출고!$C$8:$C$1013=마스터!$M$16,ROW(출고!$C$8:$C$1013)-7),5)),"")</f>
        <v/>
      </c>
      <c r="F49" s="46" t="str">
        <f t="array" ref="F49">IFERROR(INDEX(출고!$I$8:$I$1013,SMALL(IF(출고!$C$8:$C$1013=마스터!$M$16,ROW(출고!$C$8:$C$1013)-7),5)),"")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IFERROR(INDEX(출고!$B$8:$B$1013,SMALL(IF(출고!$C$8:$C$1013=마스터!$M$16,ROW(출고!$C$8:$C$1013)-7),6)),"")</f>
        <v/>
      </c>
      <c r="C50" s="11" t="str">
        <f t="array" ref="C50">IFERROR(INDEX(출고!$E$8:$E$1013,SMALL(IF(출고!$C$8:$C$1013=마스터!$M$16,ROW(출고!$C$8:$C$1013)-7),6)),"")</f>
        <v/>
      </c>
      <c r="D50" s="13" t="str">
        <f t="array" ref="D50">IFERROR(INDEX(출고!$F$8:$F$1013,SMALL(IF(출고!$C$8:$C$1013=마스터!$M$16,ROW(출고!$C$8:$C$1013)-7),6)),"")</f>
        <v/>
      </c>
      <c r="E50" s="50" t="str">
        <f t="array" ref="E50">IFERROR(INDEX(출고!$H$8:$H$1013,SMALL(IF(출고!$C$8:$C$1013=마스터!$M$16,ROW(출고!$C$8:$C$1013)-7),6)),"")</f>
        <v/>
      </c>
      <c r="F50" s="50" t="str">
        <f t="array" ref="F50">IFERROR(INDEX(출고!$I$8:$I$1013,SMALL(IF(출고!$C$8:$C$1013=마스터!$M$16,ROW(출고!$C$8:$C$1013)-7),6)),"")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IFERROR(INDEX(출고!$B$8:$B$1013,SMALL(IF(출고!$C$8:$C$1013=마스터!$M$16,ROW(출고!$C$8:$C$1013)-7),7)),"")</f>
        <v/>
      </c>
      <c r="C51" s="6" t="str">
        <f t="array" ref="C51">IFERROR(INDEX(출고!$E$8:$E$1013,SMALL(IF(출고!$C$8:$C$1013=마스터!$M$16,ROW(출고!$C$8:$C$1013)-7),7)),"")</f>
        <v/>
      </c>
      <c r="D51" s="8" t="str">
        <f t="array" ref="D51">IFERROR(INDEX(출고!$F$8:$F$1013,SMALL(IF(출고!$C$8:$C$1013=마스터!$M$16,ROW(출고!$C$8:$C$1013)-7),7)),"")</f>
        <v/>
      </c>
      <c r="E51" s="46" t="str">
        <f t="array" ref="E51">IFERROR(INDEX(출고!$H$8:$H$1013,SMALL(IF(출고!$C$8:$C$1013=마스터!$M$16,ROW(출고!$C$8:$C$1013)-7),7)),"")</f>
        <v/>
      </c>
      <c r="F51" s="46" t="str">
        <f t="array" ref="F51">IFERROR(INDEX(출고!$I$8:$I$1013,SMALL(IF(출고!$C$8:$C$1013=마스터!$M$16,ROW(출고!$C$8:$C$1013)-7),7)),"")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IFERROR(INDEX(출고!$B$8:$B$1013,SMALL(IF(출고!$C$8:$C$1013=마스터!$M$16,ROW(출고!$C$8:$C$1013)-7),8)),"")</f>
        <v/>
      </c>
      <c r="C52" s="11" t="str">
        <f t="array" ref="C52">IFERROR(INDEX(출고!$E$8:$E$1013,SMALL(IF(출고!$C$8:$C$1013=마스터!$M$16,ROW(출고!$C$8:$C$1013)-7),8)),"")</f>
        <v/>
      </c>
      <c r="D52" s="13" t="str">
        <f t="array" ref="D52">IFERROR(INDEX(출고!$F$8:$F$1013,SMALL(IF(출고!$C$8:$C$1013=마스터!$M$16,ROW(출고!$C$8:$C$1013)-7),8)),"")</f>
        <v/>
      </c>
      <c r="E52" s="50" t="str">
        <f t="array" ref="E52">IFERROR(INDEX(출고!$H$8:$H$1013,SMALL(IF(출고!$C$8:$C$1013=마스터!$M$16,ROW(출고!$C$8:$C$1013)-7),8)),"")</f>
        <v/>
      </c>
      <c r="F52" s="50" t="str">
        <f t="array" ref="F52">IFERROR(INDEX(출고!$I$8:$I$1013,SMALL(IF(출고!$C$8:$C$1013=마스터!$M$16,ROW(출고!$C$8:$C$1013)-7),8)),"")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IFERROR(INDEX(출고!$B$8:$B$1013,SMALL(IF(출고!$C$8:$C$1013=마스터!$M$16,ROW(출고!$C$8:$C$1013)-7),9)),"")</f>
        <v/>
      </c>
      <c r="C53" s="6" t="str">
        <f t="array" ref="C53">IFERROR(INDEX(출고!$E$8:$E$1013,SMALL(IF(출고!$C$8:$C$1013=마스터!$M$16,ROW(출고!$C$8:$C$1013)-7),9)),"")</f>
        <v/>
      </c>
      <c r="D53" s="8" t="str">
        <f t="array" ref="D53">IFERROR(INDEX(출고!$F$8:$F$1013,SMALL(IF(출고!$C$8:$C$1013=마스터!$M$16,ROW(출고!$C$8:$C$1013)-7),9)),"")</f>
        <v/>
      </c>
      <c r="E53" s="46" t="str">
        <f t="array" ref="E53">IFERROR(INDEX(출고!$H$8:$H$1013,SMALL(IF(출고!$C$8:$C$1013=마스터!$M$16,ROW(출고!$C$8:$C$1013)-7),9)),"")</f>
        <v/>
      </c>
      <c r="F53" s="46" t="str">
        <f t="array" ref="F53">IFERROR(INDEX(출고!$I$8:$I$1013,SMALL(IF(출고!$C$8:$C$1013=마스터!$M$16,ROW(출고!$C$8:$C$1013)-7),9)),"")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IFERROR(INDEX(출고!$B$8:$B$1013,SMALL(IF(출고!$C$8:$C$1013=마스터!$M$16,ROW(출고!$C$8:$C$1013)-7),10)),"")</f>
        <v/>
      </c>
      <c r="C54" s="11" t="str">
        <f t="array" ref="C54">IFERROR(INDEX(출고!$E$8:$E$1013,SMALL(IF(출고!$C$8:$C$1013=마스터!$M$16,ROW(출고!$C$8:$C$1013)-7),10)),"")</f>
        <v/>
      </c>
      <c r="D54" s="13" t="str">
        <f t="array" ref="D54">IFERROR(INDEX(출고!$F$8:$F$1013,SMALL(IF(출고!$C$8:$C$1013=마스터!$M$16,ROW(출고!$C$8:$C$1013)-7),10)),"")</f>
        <v/>
      </c>
      <c r="E54" s="50" t="str">
        <f t="array" ref="E54">IFERROR(INDEX(출고!$H$8:$H$1013,SMALL(IF(출고!$C$8:$C$1013=마스터!$M$16,ROW(출고!$C$8:$C$1013)-7),10)),"")</f>
        <v/>
      </c>
      <c r="F54" s="50" t="str">
        <f t="array" ref="F54">IFERROR(INDEX(출고!$I$8:$I$1013,SMALL(IF(출고!$C$8:$C$1013=마스터!$M$16,ROW(출고!$C$8:$C$1013)-7),10)),"")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IFERROR(INDEX(출고!$B$8:$B$1013,SMALL(IF(출고!$C$8:$C$1013=마스터!$M$16,ROW(출고!$C$8:$C$1013)-7),11)),"")</f>
        <v/>
      </c>
      <c r="C55" s="6" t="str">
        <f t="array" ref="C55">IFERROR(INDEX(출고!$E$8:$E$1013,SMALL(IF(출고!$C$8:$C$1013=마스터!$M$16,ROW(출고!$C$8:$C$1013)-7),11)),"")</f>
        <v/>
      </c>
      <c r="D55" s="8" t="str">
        <f t="array" ref="D55">IFERROR(INDEX(출고!$F$8:$F$1013,SMALL(IF(출고!$C$8:$C$1013=마스터!$M$16,ROW(출고!$C$8:$C$1013)-7),11)),"")</f>
        <v/>
      </c>
      <c r="E55" s="46" t="str">
        <f t="array" ref="E55">IFERROR(INDEX(출고!$H$8:$H$1013,SMALL(IF(출고!$C$8:$C$1013=마스터!$M$16,ROW(출고!$C$8:$C$1013)-7),11)),"")</f>
        <v/>
      </c>
      <c r="F55" s="46" t="str">
        <f t="array" ref="F55">IFERROR(INDEX(출고!$I$8:$I$1013,SMALL(IF(출고!$C$8:$C$1013=마스터!$M$16,ROW(출고!$C$8:$C$1013)-7),11)),"")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IFERROR(INDEX(출고!$B$8:$B$1013,SMALL(IF(출고!$C$8:$C$1013=마스터!$M$16,ROW(출고!$C$8:$C$1013)-7),12)),"")</f>
        <v/>
      </c>
      <c r="C56" s="11" t="str">
        <f t="array" ref="C56">IFERROR(INDEX(출고!$E$8:$E$1013,SMALL(IF(출고!$C$8:$C$1013=마스터!$M$16,ROW(출고!$C$8:$C$1013)-7),12)),"")</f>
        <v/>
      </c>
      <c r="D56" s="13" t="str">
        <f t="array" ref="D56">IFERROR(INDEX(출고!$F$8:$F$1013,SMALL(IF(출고!$C$8:$C$1013=마스터!$M$16,ROW(출고!$C$8:$C$1013)-7),12)),"")</f>
        <v/>
      </c>
      <c r="E56" s="50" t="str">
        <f t="array" ref="E56">IFERROR(INDEX(출고!$H$8:$H$1013,SMALL(IF(출고!$C$8:$C$1013=마스터!$M$16,ROW(출고!$C$8:$C$1013)-7),12)),"")</f>
        <v/>
      </c>
      <c r="F56" s="50" t="str">
        <f t="array" ref="F56">IFERROR(INDEX(출고!$I$8:$I$1013,SMALL(IF(출고!$C$8:$C$1013=마스터!$M$16,ROW(출고!$C$8:$C$1013)-7),12)),"")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IFERROR(INDEX(출고!$B$8:$B$1013,SMALL(IF(출고!$C$8:$C$1013=마스터!$M$16,ROW(출고!$C$8:$C$1013)-7),13)),"")</f>
        <v/>
      </c>
      <c r="C57" s="6" t="str">
        <f t="array" ref="C57">IFERROR(INDEX(출고!$E$8:$E$1013,SMALL(IF(출고!$C$8:$C$1013=마스터!$M$16,ROW(출고!$C$8:$C$1013)-7),13)),"")</f>
        <v/>
      </c>
      <c r="D57" s="8" t="str">
        <f t="array" ref="D57">IFERROR(INDEX(출고!$F$8:$F$1013,SMALL(IF(출고!$C$8:$C$1013=마스터!$M$16,ROW(출고!$C$8:$C$1013)-7),13)),"")</f>
        <v/>
      </c>
      <c r="E57" s="46" t="str">
        <f t="array" ref="E57">IFERROR(INDEX(출고!$H$8:$H$1013,SMALL(IF(출고!$C$8:$C$1013=마스터!$M$16,ROW(출고!$C$8:$C$1013)-7),13)),"")</f>
        <v/>
      </c>
      <c r="F57" s="46" t="str">
        <f t="array" ref="F57">IFERROR(INDEX(출고!$I$8:$I$1013,SMALL(IF(출고!$C$8:$C$1013=마스터!$M$16,ROW(출고!$C$8:$C$1013)-7),13)),"")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IFERROR(INDEX(출고!$B$8:$B$1013,SMALL(IF(출고!$C$8:$C$1013=마스터!$M$16,ROW(출고!$C$8:$C$1013)-7),14)),"")</f>
        <v/>
      </c>
      <c r="C58" s="11" t="str">
        <f t="array" ref="C58">IFERROR(INDEX(출고!$E$8:$E$1013,SMALL(IF(출고!$C$8:$C$1013=마스터!$M$16,ROW(출고!$C$8:$C$1013)-7),14)),"")</f>
        <v/>
      </c>
      <c r="D58" s="13" t="str">
        <f t="array" ref="D58">IFERROR(INDEX(출고!$F$8:$F$1013,SMALL(IF(출고!$C$8:$C$1013=마스터!$M$16,ROW(출고!$C$8:$C$1013)-7),14)),"")</f>
        <v/>
      </c>
      <c r="E58" s="50" t="str">
        <f t="array" ref="E58">IFERROR(INDEX(출고!$H$8:$H$1013,SMALL(IF(출고!$C$8:$C$1013=마스터!$M$16,ROW(출고!$C$8:$C$1013)-7),14)),"")</f>
        <v/>
      </c>
      <c r="F58" s="50" t="str">
        <f t="array" ref="F58">IFERROR(INDEX(출고!$I$8:$I$1013,SMALL(IF(출고!$C$8:$C$1013=마스터!$M$16,ROW(출고!$C$8:$C$1013)-7),14)),"")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IFERROR(INDEX(출고!$B$8:$B$1013,SMALL(IF(출고!$C$8:$C$1013=마스터!$M$16,ROW(출고!$C$8:$C$1013)-7),15)),"")</f>
        <v/>
      </c>
      <c r="C59" s="6" t="str">
        <f t="array" ref="C59">IFERROR(INDEX(출고!$E$8:$E$1013,SMALL(IF(출고!$C$8:$C$1013=마스터!$M$16,ROW(출고!$C$8:$C$1013)-7),15)),"")</f>
        <v/>
      </c>
      <c r="D59" s="8" t="str">
        <f t="array" ref="D59">IFERROR(INDEX(출고!$F$8:$F$1013,SMALL(IF(출고!$C$8:$C$1013=마스터!$M$16,ROW(출고!$C$8:$C$1013)-7),15)),"")</f>
        <v/>
      </c>
      <c r="E59" s="46" t="str">
        <f t="array" ref="E59">IFERROR(INDEX(출고!$H$8:$H$1013,SMALL(IF(출고!$C$8:$C$1013=마스터!$M$16,ROW(출고!$C$8:$C$1013)-7),15)),"")</f>
        <v/>
      </c>
      <c r="F59" s="46" t="str">
        <f t="array" ref="F59">IFERROR(INDEX(출고!$I$8:$I$1013,SMALL(IF(출고!$C$8:$C$1013=마스터!$M$16,ROW(출고!$C$8:$C$1013)-7),15)),"")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IFERROR(INDEX(출고!$B$8:$B$1013,SMALL(IF(출고!$C$8:$C$1013=마스터!$M$16,ROW(출고!$C$8:$C$1013)-7),16)),"")</f>
        <v/>
      </c>
      <c r="C60" s="11" t="str">
        <f t="array" ref="C60">IFERROR(INDEX(출고!$E$8:$E$1013,SMALL(IF(출고!$C$8:$C$1013=마스터!$M$16,ROW(출고!$C$8:$C$1013)-7),16)),"")</f>
        <v/>
      </c>
      <c r="D60" s="13" t="str">
        <f t="array" ref="D60">IFERROR(INDEX(출고!$F$8:$F$1013,SMALL(IF(출고!$C$8:$C$1013=마스터!$M$16,ROW(출고!$C$8:$C$1013)-7),16)),"")</f>
        <v/>
      </c>
      <c r="E60" s="50" t="str">
        <f t="array" ref="E60">IFERROR(INDEX(출고!$H$8:$H$1013,SMALL(IF(출고!$C$8:$C$1013=마스터!$M$16,ROW(출고!$C$8:$C$1013)-7),16)),"")</f>
        <v/>
      </c>
      <c r="F60" s="50" t="str">
        <f t="array" ref="F60">IFERROR(INDEX(출고!$I$8:$I$1013,SMALL(IF(출고!$C$8:$C$1013=마스터!$M$16,ROW(출고!$C$8:$C$1013)-7),16)),"")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IFERROR(INDEX(출고!$B$8:$B$1013,SMALL(IF(출고!$C$8:$C$1013=마스터!$M$16,ROW(출고!$C$8:$C$1013)-7),17)),"")</f>
        <v/>
      </c>
      <c r="C61" s="6" t="str">
        <f t="array" ref="C61">IFERROR(INDEX(출고!$E$8:$E$1013,SMALL(IF(출고!$C$8:$C$1013=마스터!$M$16,ROW(출고!$C$8:$C$1013)-7),17)),"")</f>
        <v/>
      </c>
      <c r="D61" s="8" t="str">
        <f t="array" ref="D61">IFERROR(INDEX(출고!$F$8:$F$1013,SMALL(IF(출고!$C$8:$C$1013=마스터!$M$16,ROW(출고!$C$8:$C$1013)-7),17)),"")</f>
        <v/>
      </c>
      <c r="E61" s="46" t="str">
        <f t="array" ref="E61">IFERROR(INDEX(출고!$H$8:$H$1013,SMALL(IF(출고!$C$8:$C$1013=마스터!$M$16,ROW(출고!$C$8:$C$1013)-7),17)),"")</f>
        <v/>
      </c>
      <c r="F61" s="46" t="str">
        <f t="array" ref="F61">IFERROR(INDEX(출고!$I$8:$I$1013,SMALL(IF(출고!$C$8:$C$1013=마스터!$M$16,ROW(출고!$C$8:$C$1013)-7),17)),"")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IFERROR(INDEX(출고!$B$8:$B$1013,SMALL(IF(출고!$C$8:$C$1013=마스터!$M$16,ROW(출고!$C$8:$C$1013)-7),18)),"")</f>
        <v/>
      </c>
      <c r="C62" s="11" t="str">
        <f t="array" ref="C62">IFERROR(INDEX(출고!$E$8:$E$1013,SMALL(IF(출고!$C$8:$C$1013=마스터!$M$16,ROW(출고!$C$8:$C$1013)-7),18)),"")</f>
        <v/>
      </c>
      <c r="D62" s="13" t="str">
        <f t="array" ref="D62">IFERROR(INDEX(출고!$F$8:$F$1013,SMALL(IF(출고!$C$8:$C$1013=마스터!$M$16,ROW(출고!$C$8:$C$1013)-7),18)),"")</f>
        <v/>
      </c>
      <c r="E62" s="50" t="str">
        <f t="array" ref="E62">IFERROR(INDEX(출고!$H$8:$H$1013,SMALL(IF(출고!$C$8:$C$1013=마스터!$M$16,ROW(출고!$C$8:$C$1013)-7),18)),"")</f>
        <v/>
      </c>
      <c r="F62" s="50" t="str">
        <f t="array" ref="F62">IFERROR(INDEX(출고!$I$8:$I$1013,SMALL(IF(출고!$C$8:$C$1013=마스터!$M$16,ROW(출고!$C$8:$C$1013)-7),18)),"")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IFERROR(INDEX(출고!$B$8:$B$1013,SMALL(IF(출고!$C$8:$C$1013=마스터!$M$16,ROW(출고!$C$8:$C$1013)-7),19)),"")</f>
        <v/>
      </c>
      <c r="C63" s="6" t="str">
        <f t="array" ref="C63">IFERROR(INDEX(출고!$E$8:$E$1013,SMALL(IF(출고!$C$8:$C$1013=마스터!$M$16,ROW(출고!$C$8:$C$1013)-7),19)),"")</f>
        <v/>
      </c>
      <c r="D63" s="8" t="str">
        <f t="array" ref="D63">IFERROR(INDEX(출고!$F$8:$F$1013,SMALL(IF(출고!$C$8:$C$1013=마스터!$M$16,ROW(출고!$C$8:$C$1013)-7),19)),"")</f>
        <v/>
      </c>
      <c r="E63" s="46" t="str">
        <f t="array" ref="E63">IFERROR(INDEX(출고!$H$8:$H$1013,SMALL(IF(출고!$C$8:$C$1013=마스터!$M$16,ROW(출고!$C$8:$C$1013)-7),19)),"")</f>
        <v/>
      </c>
      <c r="F63" s="46" t="str">
        <f t="array" ref="F63">IFERROR(INDEX(출고!$I$8:$I$1013,SMALL(IF(출고!$C$8:$C$1013=마스터!$M$16,ROW(출고!$C$8:$C$1013)-7),19)),"")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IFERROR(INDEX(출고!$B$8:$B$1013,SMALL(IF(출고!$C$8:$C$1013=마스터!$M$16,ROW(출고!$C$8:$C$1013)-7),20)),"")</f>
        <v/>
      </c>
      <c r="C64" s="11" t="str">
        <f t="array" ref="C64">IFERROR(INDEX(출고!$E$8:$E$1013,SMALL(IF(출고!$C$8:$C$1013=마스터!$M$16,ROW(출고!$C$8:$C$1013)-7),20)),"")</f>
        <v/>
      </c>
      <c r="D64" s="13" t="str">
        <f t="array" ref="D64">IFERROR(INDEX(출고!$F$8:$F$1013,SMALL(IF(출고!$C$8:$C$1013=마스터!$M$16,ROW(출고!$C$8:$C$1013)-7),20)),"")</f>
        <v/>
      </c>
      <c r="E64" s="50" t="str">
        <f t="array" ref="E64">IFERROR(INDEX(출고!$H$8:$H$1013,SMALL(IF(출고!$C$8:$C$1013=마스터!$M$16,ROW(출고!$C$8:$C$1013)-7),20)),"")</f>
        <v/>
      </c>
      <c r="F64" s="50" t="str">
        <f t="array" ref="F64">IFERROR(INDEX(출고!$I$8:$I$1013,SMALL(IF(출고!$C$8:$C$1013=마스터!$M$16,ROW(출고!$C$8:$C$1013)-7),20)),"")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IFERROR(INDEX(출고!$B$8:$B$1013,SMALL(IF(출고!$C$8:$C$1013=마스터!$M$16,ROW(출고!$C$8:$C$1013)-7),21)),"")</f>
        <v/>
      </c>
      <c r="C65" s="6" t="str">
        <f t="array" ref="C65">IFERROR(INDEX(출고!$E$8:$E$1013,SMALL(IF(출고!$C$8:$C$1013=마스터!$M$16,ROW(출고!$C$8:$C$1013)-7),21)),"")</f>
        <v/>
      </c>
      <c r="D65" s="8" t="str">
        <f t="array" ref="D65">IFERROR(INDEX(출고!$F$8:$F$1013,SMALL(IF(출고!$C$8:$C$1013=마스터!$M$16,ROW(출고!$C$8:$C$1013)-7),21)),"")</f>
        <v/>
      </c>
      <c r="E65" s="46" t="str">
        <f t="array" ref="E65">IFERROR(INDEX(출고!$H$8:$H$1013,SMALL(IF(출고!$C$8:$C$1013=마스터!$M$16,ROW(출고!$C$8:$C$1013)-7),21)),"")</f>
        <v/>
      </c>
      <c r="F65" s="46" t="str">
        <f t="array" ref="F65">IFERROR(INDEX(출고!$I$8:$I$1013,SMALL(IF(출고!$C$8:$C$1013=마스터!$M$16,ROW(출고!$C$8:$C$1013)-7),21)),"")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IFERROR(INDEX(출고!$B$8:$B$1013,SMALL(IF(출고!$C$8:$C$1013=마스터!$M$16,ROW(출고!$C$8:$C$1013)-7),22)),"")</f>
        <v/>
      </c>
      <c r="C66" s="11" t="str">
        <f t="array" ref="C66">IFERROR(INDEX(출고!$E$8:$E$1013,SMALL(IF(출고!$C$8:$C$1013=마스터!$M$16,ROW(출고!$C$8:$C$1013)-7),22)),"")</f>
        <v/>
      </c>
      <c r="D66" s="13" t="str">
        <f t="array" ref="D66">IFERROR(INDEX(출고!$F$8:$F$1013,SMALL(IF(출고!$C$8:$C$1013=마스터!$M$16,ROW(출고!$C$8:$C$1013)-7),22)),"")</f>
        <v/>
      </c>
      <c r="E66" s="50" t="str">
        <f t="array" ref="E66">IFERROR(INDEX(출고!$H$8:$H$1013,SMALL(IF(출고!$C$8:$C$1013=마스터!$M$16,ROW(출고!$C$8:$C$1013)-7),22)),"")</f>
        <v/>
      </c>
      <c r="F66" s="50" t="str">
        <f t="array" ref="F66">IFERROR(INDEX(출고!$I$8:$I$1013,SMALL(IF(출고!$C$8:$C$1013=마스터!$M$16,ROW(출고!$C$8:$C$1013)-7),22)),"")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IFERROR(INDEX(출고!$B$8:$B$1013,SMALL(IF(출고!$C$8:$C$1013=마스터!$M$16,ROW(출고!$C$8:$C$1013)-7),23)),"")</f>
        <v/>
      </c>
      <c r="C67" s="6" t="str">
        <f t="array" ref="C67">IFERROR(INDEX(출고!$E$8:$E$1013,SMALL(IF(출고!$C$8:$C$1013=마스터!$M$16,ROW(출고!$C$8:$C$1013)-7),23)),"")</f>
        <v/>
      </c>
      <c r="D67" s="8" t="str">
        <f t="array" ref="D67">IFERROR(INDEX(출고!$F$8:$F$1013,SMALL(IF(출고!$C$8:$C$1013=마스터!$M$16,ROW(출고!$C$8:$C$1013)-7),23)),"")</f>
        <v/>
      </c>
      <c r="E67" s="46" t="str">
        <f t="array" ref="E67">IFERROR(INDEX(출고!$H$8:$H$1013,SMALL(IF(출고!$C$8:$C$1013=마스터!$M$16,ROW(출고!$C$8:$C$1013)-7),23)),"")</f>
        <v/>
      </c>
      <c r="F67" s="46" t="str">
        <f t="array" ref="F67">IFERROR(INDEX(출고!$I$8:$I$1013,SMALL(IF(출고!$C$8:$C$1013=마스터!$M$16,ROW(출고!$C$8:$C$1013)-7),23)),"")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IFERROR(INDEX(출고!$B$8:$B$1013,SMALL(IF(출고!$C$8:$C$1013=마스터!$M$16,ROW(출고!$C$8:$C$1013)-7),24)),"")</f>
        <v/>
      </c>
      <c r="C68" s="11" t="str">
        <f t="array" ref="C68">IFERROR(INDEX(출고!$E$8:$E$1013,SMALL(IF(출고!$C$8:$C$1013=마스터!$M$16,ROW(출고!$C$8:$C$1013)-7),24)),"")</f>
        <v/>
      </c>
      <c r="D68" s="13" t="str">
        <f t="array" ref="D68">IFERROR(INDEX(출고!$F$8:$F$1013,SMALL(IF(출고!$C$8:$C$1013=마스터!$M$16,ROW(출고!$C$8:$C$1013)-7),24)),"")</f>
        <v/>
      </c>
      <c r="E68" s="50" t="str">
        <f t="array" ref="E68">IFERROR(INDEX(출고!$H$8:$H$1013,SMALL(IF(출고!$C$8:$C$1013=마스터!$M$16,ROW(출고!$C$8:$C$1013)-7),24)),"")</f>
        <v/>
      </c>
      <c r="F68" s="50" t="str">
        <f t="array" ref="F68">IFERROR(INDEX(출고!$I$8:$I$1013,SMALL(IF(출고!$C$8:$C$1013=마스터!$M$16,ROW(출고!$C$8:$C$1013)-7),24)),"")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IFERROR(INDEX(출고!$B$8:$B$1013,SMALL(IF(출고!$C$8:$C$1013=마스터!$M$16,ROW(출고!$C$8:$C$1013)-7),25)),"")</f>
        <v/>
      </c>
      <c r="C69" s="6" t="str">
        <f t="array" ref="C69">IFERROR(INDEX(출고!$E$8:$E$1013,SMALL(IF(출고!$C$8:$C$1013=마스터!$M$16,ROW(출고!$C$8:$C$1013)-7),25)),"")</f>
        <v/>
      </c>
      <c r="D69" s="8" t="str">
        <f t="array" ref="D69">IFERROR(INDEX(출고!$F$8:$F$1013,SMALL(IF(출고!$C$8:$C$1013=마스터!$M$16,ROW(출고!$C$8:$C$1013)-7),25)),"")</f>
        <v/>
      </c>
      <c r="E69" s="46" t="str">
        <f t="array" ref="E69">IFERROR(INDEX(출고!$H$8:$H$1013,SMALL(IF(출고!$C$8:$C$1013=마스터!$M$16,ROW(출고!$C$8:$C$1013)-7),25)),"")</f>
        <v/>
      </c>
      <c r="F69" s="46" t="str">
        <f t="array" ref="F69">IFERROR(INDEX(출고!$I$8:$I$1013,SMALL(IF(출고!$C$8:$C$1013=마스터!$M$16,ROW(출고!$C$8:$C$1013)-7),25)),"")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IFERROR(INDEX(출고!$B$8:$B$1013,SMALL(IF(출고!$C$8:$C$1013=마스터!$M$16,ROW(출고!$C$8:$C$1013)-7),26)),"")</f>
        <v/>
      </c>
      <c r="C70" s="11" t="str">
        <f t="array" ref="C70">IFERROR(INDEX(출고!$E$8:$E$1013,SMALL(IF(출고!$C$8:$C$1013=마스터!$M$16,ROW(출고!$C$8:$C$1013)-7),26)),"")</f>
        <v/>
      </c>
      <c r="D70" s="13" t="str">
        <f t="array" ref="D70">IFERROR(INDEX(출고!$F$8:$F$1013,SMALL(IF(출고!$C$8:$C$1013=마스터!$M$16,ROW(출고!$C$8:$C$1013)-7),26)),"")</f>
        <v/>
      </c>
      <c r="E70" s="50" t="str">
        <f t="array" ref="E70">IFERROR(INDEX(출고!$H$8:$H$1013,SMALL(IF(출고!$C$8:$C$1013=마스터!$M$16,ROW(출고!$C$8:$C$1013)-7),26)),"")</f>
        <v/>
      </c>
      <c r="F70" s="50" t="str">
        <f t="array" ref="F70">IFERROR(INDEX(출고!$I$8:$I$1013,SMALL(IF(출고!$C$8:$C$1013=마스터!$M$16,ROW(출고!$C$8:$C$1013)-7),26)),"")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IFERROR(INDEX(출고!$B$8:$B$1013,SMALL(IF(출고!$C$8:$C$1013=마스터!$M$16,ROW(출고!$C$8:$C$1013)-7),27)),"")</f>
        <v/>
      </c>
      <c r="C71" s="6" t="str">
        <f t="array" ref="C71">IFERROR(INDEX(출고!$E$8:$E$1013,SMALL(IF(출고!$C$8:$C$1013=마스터!$M$16,ROW(출고!$C$8:$C$1013)-7),27)),"")</f>
        <v/>
      </c>
      <c r="D71" s="8" t="str">
        <f t="array" ref="D71">IFERROR(INDEX(출고!$F$8:$F$1013,SMALL(IF(출고!$C$8:$C$1013=마스터!$M$16,ROW(출고!$C$8:$C$1013)-7),27)),"")</f>
        <v/>
      </c>
      <c r="E71" s="46" t="str">
        <f t="array" ref="E71">IFERROR(INDEX(출고!$H$8:$H$1013,SMALL(IF(출고!$C$8:$C$1013=마스터!$M$16,ROW(출고!$C$8:$C$1013)-7),27)),"")</f>
        <v/>
      </c>
      <c r="F71" s="46" t="str">
        <f t="array" ref="F71">IFERROR(INDEX(출고!$I$8:$I$1013,SMALL(IF(출고!$C$8:$C$1013=마스터!$M$16,ROW(출고!$C$8:$C$1013)-7),27)),"")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IFERROR(INDEX(출고!$B$8:$B$1013,SMALL(IF(출고!$C$8:$C$1013=마스터!$M$16,ROW(출고!$C$8:$C$1013)-7),28)),"")</f>
        <v/>
      </c>
      <c r="C72" s="11" t="str">
        <f t="array" ref="C72">IFERROR(INDEX(출고!$E$8:$E$1013,SMALL(IF(출고!$C$8:$C$1013=마스터!$M$16,ROW(출고!$C$8:$C$1013)-7),28)),"")</f>
        <v/>
      </c>
      <c r="D72" s="13" t="str">
        <f t="array" ref="D72">IFERROR(INDEX(출고!$F$8:$F$1013,SMALL(IF(출고!$C$8:$C$1013=마스터!$M$16,ROW(출고!$C$8:$C$1013)-7),28)),"")</f>
        <v/>
      </c>
      <c r="E72" s="50" t="str">
        <f t="array" ref="E72">IFERROR(INDEX(출고!$H$8:$H$1013,SMALL(IF(출고!$C$8:$C$1013=마스터!$M$16,ROW(출고!$C$8:$C$1013)-7),28)),"")</f>
        <v/>
      </c>
      <c r="F72" s="50" t="str">
        <f t="array" ref="F72">IFERROR(INDEX(출고!$I$8:$I$1013,SMALL(IF(출고!$C$8:$C$1013=마스터!$M$16,ROW(출고!$C$8:$C$1013)-7),28)),"")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IFERROR(INDEX(출고!$B$8:$B$1013,SMALL(IF(출고!$C$8:$C$1013=마스터!$M$16,ROW(출고!$C$8:$C$1013)-7),29)),"")</f>
        <v/>
      </c>
      <c r="C73" s="6" t="str">
        <f t="array" ref="C73">IFERROR(INDEX(출고!$E$8:$E$1013,SMALL(IF(출고!$C$8:$C$1013=마스터!$M$16,ROW(출고!$C$8:$C$1013)-7),29)),"")</f>
        <v/>
      </c>
      <c r="D73" s="8" t="str">
        <f t="array" ref="D73">IFERROR(INDEX(출고!$F$8:$F$1013,SMALL(IF(출고!$C$8:$C$1013=마스터!$M$16,ROW(출고!$C$8:$C$1013)-7),29)),"")</f>
        <v/>
      </c>
      <c r="E73" s="46" t="str">
        <f t="array" ref="E73">IFERROR(INDEX(출고!$H$8:$H$1013,SMALL(IF(출고!$C$8:$C$1013=마스터!$M$16,ROW(출고!$C$8:$C$1013)-7),29)),"")</f>
        <v/>
      </c>
      <c r="F73" s="46" t="str">
        <f t="array" ref="F73">IFERROR(INDEX(출고!$I$8:$I$1013,SMALL(IF(출고!$C$8:$C$1013=마스터!$M$16,ROW(출고!$C$8:$C$1013)-7),29)),"")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IFERROR(INDEX(출고!$B$8:$B$1013,SMALL(IF(출고!$C$8:$C$1013=마스터!$M$16,ROW(출고!$C$8:$C$1013)-7),30)),"")</f>
        <v/>
      </c>
      <c r="C74" s="11" t="str">
        <f t="array" ref="C74">IFERROR(INDEX(출고!$E$8:$E$1013,SMALL(IF(출고!$C$8:$C$1013=마스터!$M$16,ROW(출고!$C$8:$C$1013)-7),30)),"")</f>
        <v/>
      </c>
      <c r="D74" s="13" t="str">
        <f t="array" ref="D74">IFERROR(INDEX(출고!$F$8:$F$1013,SMALL(IF(출고!$C$8:$C$1013=마스터!$M$16,ROW(출고!$C$8:$C$1013)-7),30)),"")</f>
        <v/>
      </c>
      <c r="E74" s="50" t="str">
        <f t="array" ref="E74">IFERROR(INDEX(출고!$H$8:$H$1013,SMALL(IF(출고!$C$8:$C$1013=마스터!$M$16,ROW(출고!$C$8:$C$1013)-7),30)),"")</f>
        <v/>
      </c>
      <c r="F74" s="50" t="str">
        <f t="array" ref="F74">IFERROR(INDEX(출고!$I$8:$I$1013,SMALL(IF(출고!$C$8:$C$1013=마스터!$M$16,ROW(출고!$C$8:$C$1013)-7),30)),"")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IFERROR(INDEX(입고!$E$8:$E$1013,SMALL(IF((입고!$C$8:$C$1013=마스터!$M$16)*(입고!$AC$8:$AC$1013=1),ROW(입고!$C$8:$C$1013)-7),1)),"")</f>
        <v>260227CW004</v>
      </c>
      <c r="C78" s="8">
        <f>IF(B78="","",SUMIFS(입고!$F$8:$F$1013,입고!$C$8:$C$1013,마스터!$M$16,입고!$E$8:$E$1013,B78))</f>
        <v>12</v>
      </c>
      <c r="D78" s="8">
        <f>IF(B78="","",SUMIFS(출고!$F$8:$F$1013,출고!$C$8:$C$1013,마스터!$M$16,출고!$E$8:$E$1013,B78))</f>
        <v>0</v>
      </c>
      <c r="E78" s="40">
        <f t="shared" ref="E78:E107" si="5">IF(B78="","",C78-D78)</f>
        <v>12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IFERROR(INDEX(입고!$E$8:$E$1013,SMALL(IF((입고!$C$8:$C$1013=마스터!$M$16)*(입고!$AC$8:$AC$1013=1),ROW(입고!$C$8:$C$1013)-7),2)),"")</f>
        <v/>
      </c>
      <c r="C79" s="13" t="str">
        <f>IF(B79="","",SUMIFS(입고!$F$8:$F$1013,입고!$C$8:$C$1013,마스터!$M$16,입고!$E$8:$E$1013,B79))</f>
        <v/>
      </c>
      <c r="D79" s="13" t="str">
        <f>IF(B79="","",SUMIFS(출고!$F$8:$F$1013,출고!$C$8:$C$1013,마스터!$M$16,출고!$E$8:$E$1013,B79))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IFERROR(INDEX(입고!$E$8:$E$1013,SMALL(IF((입고!$C$8:$C$1013=마스터!$M$16)*(입고!$AC$8:$AC$1013=1),ROW(입고!$C$8:$C$1013)-7),3)),"")</f>
        <v/>
      </c>
      <c r="C80" s="8" t="str">
        <f>IF(B80="","",SUMIFS(입고!$F$8:$F$1013,입고!$C$8:$C$1013,마스터!$M$16,입고!$E$8:$E$1013,B80))</f>
        <v/>
      </c>
      <c r="D80" s="8" t="str">
        <f>IF(B80="","",SUMIFS(출고!$F$8:$F$1013,출고!$C$8:$C$1013,마스터!$M$16,출고!$E$8:$E$1013,B80))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IFERROR(INDEX(입고!$E$8:$E$1013,SMALL(IF((입고!$C$8:$C$1013=마스터!$M$16)*(입고!$AC$8:$AC$1013=1),ROW(입고!$C$8:$C$1013)-7),4)),"")</f>
        <v/>
      </c>
      <c r="C81" s="13" t="str">
        <f>IF(B81="","",SUMIFS(입고!$F$8:$F$1013,입고!$C$8:$C$1013,마스터!$M$16,입고!$E$8:$E$1013,B81))</f>
        <v/>
      </c>
      <c r="D81" s="13" t="str">
        <f>IF(B81="","",SUMIFS(출고!$F$8:$F$1013,출고!$C$8:$C$1013,마스터!$M$16,출고!$E$8:$E$1013,B81))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IFERROR(INDEX(입고!$E$8:$E$1013,SMALL(IF((입고!$C$8:$C$1013=마스터!$M$16)*(입고!$AC$8:$AC$1013=1),ROW(입고!$C$8:$C$1013)-7),5)),"")</f>
        <v/>
      </c>
      <c r="C82" s="8" t="str">
        <f>IF(B82="","",SUMIFS(입고!$F$8:$F$1013,입고!$C$8:$C$1013,마스터!$M$16,입고!$E$8:$E$1013,B82))</f>
        <v/>
      </c>
      <c r="D82" s="8" t="str">
        <f>IF(B82="","",SUMIFS(출고!$F$8:$F$1013,출고!$C$8:$C$1013,마스터!$M$16,출고!$E$8:$E$1013,B82))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IFERROR(INDEX(입고!$E$8:$E$1013,SMALL(IF((입고!$C$8:$C$1013=마스터!$M$16)*(입고!$AC$8:$AC$1013=1),ROW(입고!$C$8:$C$1013)-7),6)),"")</f>
        <v/>
      </c>
      <c r="C83" s="13" t="str">
        <f>IF(B83="","",SUMIFS(입고!$F$8:$F$1013,입고!$C$8:$C$1013,마스터!$M$16,입고!$E$8:$E$1013,B83))</f>
        <v/>
      </c>
      <c r="D83" s="13" t="str">
        <f>IF(B83="","",SUMIFS(출고!$F$8:$F$1013,출고!$C$8:$C$1013,마스터!$M$16,출고!$E$8:$E$1013,B83))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IFERROR(INDEX(입고!$E$8:$E$1013,SMALL(IF((입고!$C$8:$C$1013=마스터!$M$16)*(입고!$AC$8:$AC$1013=1),ROW(입고!$C$8:$C$1013)-7),7)),"")</f>
        <v/>
      </c>
      <c r="C84" s="8" t="str">
        <f>IF(B84="","",SUMIFS(입고!$F$8:$F$1013,입고!$C$8:$C$1013,마스터!$M$16,입고!$E$8:$E$1013,B84))</f>
        <v/>
      </c>
      <c r="D84" s="8" t="str">
        <f>IF(B84="","",SUMIFS(출고!$F$8:$F$1013,출고!$C$8:$C$1013,마스터!$M$16,출고!$E$8:$E$1013,B84))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IFERROR(INDEX(입고!$E$8:$E$1013,SMALL(IF((입고!$C$8:$C$1013=마스터!$M$16)*(입고!$AC$8:$AC$1013=1),ROW(입고!$C$8:$C$1013)-7),8)),"")</f>
        <v/>
      </c>
      <c r="C85" s="13" t="str">
        <f>IF(B85="","",SUMIFS(입고!$F$8:$F$1013,입고!$C$8:$C$1013,마스터!$M$16,입고!$E$8:$E$1013,B85))</f>
        <v/>
      </c>
      <c r="D85" s="13" t="str">
        <f>IF(B85="","",SUMIFS(출고!$F$8:$F$1013,출고!$C$8:$C$1013,마스터!$M$16,출고!$E$8:$E$1013,B85))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IFERROR(INDEX(입고!$E$8:$E$1013,SMALL(IF((입고!$C$8:$C$1013=마스터!$M$16)*(입고!$AC$8:$AC$1013=1),ROW(입고!$C$8:$C$1013)-7),9)),"")</f>
        <v/>
      </c>
      <c r="C86" s="8" t="str">
        <f>IF(B86="","",SUMIFS(입고!$F$8:$F$1013,입고!$C$8:$C$1013,마스터!$M$16,입고!$E$8:$E$1013,B86))</f>
        <v/>
      </c>
      <c r="D86" s="8" t="str">
        <f>IF(B86="","",SUMIFS(출고!$F$8:$F$1013,출고!$C$8:$C$1013,마스터!$M$16,출고!$E$8:$E$1013,B86))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IFERROR(INDEX(입고!$E$8:$E$1013,SMALL(IF((입고!$C$8:$C$1013=마스터!$M$16)*(입고!$AC$8:$AC$1013=1),ROW(입고!$C$8:$C$1013)-7),10)),"")</f>
        <v/>
      </c>
      <c r="C87" s="13" t="str">
        <f>IF(B87="","",SUMIFS(입고!$F$8:$F$1013,입고!$C$8:$C$1013,마스터!$M$16,입고!$E$8:$E$1013,B87))</f>
        <v/>
      </c>
      <c r="D87" s="13" t="str">
        <f>IF(B87="","",SUMIFS(출고!$F$8:$F$1013,출고!$C$8:$C$1013,마스터!$M$16,출고!$E$8:$E$1013,B87))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IFERROR(INDEX(입고!$E$8:$E$1013,SMALL(IF((입고!$C$8:$C$1013=마스터!$M$16)*(입고!$AC$8:$AC$1013=1),ROW(입고!$C$8:$C$1013)-7),11)),"")</f>
        <v/>
      </c>
      <c r="C88" s="8" t="str">
        <f>IF(B88="","",SUMIFS(입고!$F$8:$F$1013,입고!$C$8:$C$1013,마스터!$M$16,입고!$E$8:$E$1013,B88))</f>
        <v/>
      </c>
      <c r="D88" s="8" t="str">
        <f>IF(B88="","",SUMIFS(출고!$F$8:$F$1013,출고!$C$8:$C$1013,마스터!$M$16,출고!$E$8:$E$1013,B88))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IFERROR(INDEX(입고!$E$8:$E$1013,SMALL(IF((입고!$C$8:$C$1013=마스터!$M$16)*(입고!$AC$8:$AC$1013=1),ROW(입고!$C$8:$C$1013)-7),12)),"")</f>
        <v/>
      </c>
      <c r="C89" s="13" t="str">
        <f>IF(B89="","",SUMIFS(입고!$F$8:$F$1013,입고!$C$8:$C$1013,마스터!$M$16,입고!$E$8:$E$1013,B89))</f>
        <v/>
      </c>
      <c r="D89" s="13" t="str">
        <f>IF(B89="","",SUMIFS(출고!$F$8:$F$1013,출고!$C$8:$C$1013,마스터!$M$16,출고!$E$8:$E$1013,B89))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IFERROR(INDEX(입고!$E$8:$E$1013,SMALL(IF((입고!$C$8:$C$1013=마스터!$M$16)*(입고!$AC$8:$AC$1013=1),ROW(입고!$C$8:$C$1013)-7),13)),"")</f>
        <v/>
      </c>
      <c r="C90" s="8" t="str">
        <f>IF(B90="","",SUMIFS(입고!$F$8:$F$1013,입고!$C$8:$C$1013,마스터!$M$16,입고!$E$8:$E$1013,B90))</f>
        <v/>
      </c>
      <c r="D90" s="8" t="str">
        <f>IF(B90="","",SUMIFS(출고!$F$8:$F$1013,출고!$C$8:$C$1013,마스터!$M$16,출고!$E$8:$E$1013,B90))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IFERROR(INDEX(입고!$E$8:$E$1013,SMALL(IF((입고!$C$8:$C$1013=마스터!$M$16)*(입고!$AC$8:$AC$1013=1),ROW(입고!$C$8:$C$1013)-7),14)),"")</f>
        <v/>
      </c>
      <c r="C91" s="13" t="str">
        <f>IF(B91="","",SUMIFS(입고!$F$8:$F$1013,입고!$C$8:$C$1013,마스터!$M$16,입고!$E$8:$E$1013,B91))</f>
        <v/>
      </c>
      <c r="D91" s="13" t="str">
        <f>IF(B91="","",SUMIFS(출고!$F$8:$F$1013,출고!$C$8:$C$1013,마스터!$M$16,출고!$E$8:$E$1013,B91))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IFERROR(INDEX(입고!$E$8:$E$1013,SMALL(IF((입고!$C$8:$C$1013=마스터!$M$16)*(입고!$AC$8:$AC$1013=1),ROW(입고!$C$8:$C$1013)-7),15)),"")</f>
        <v/>
      </c>
      <c r="C92" s="8" t="str">
        <f>IF(B92="","",SUMIFS(입고!$F$8:$F$1013,입고!$C$8:$C$1013,마스터!$M$16,입고!$E$8:$E$1013,B92))</f>
        <v/>
      </c>
      <c r="D92" s="8" t="str">
        <f>IF(B92="","",SUMIFS(출고!$F$8:$F$1013,출고!$C$8:$C$1013,마스터!$M$16,출고!$E$8:$E$1013,B92))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IFERROR(INDEX(입고!$E$8:$E$1013,SMALL(IF((입고!$C$8:$C$1013=마스터!$M$16)*(입고!$AC$8:$AC$1013=1),ROW(입고!$C$8:$C$1013)-7),16)),"")</f>
        <v/>
      </c>
      <c r="C93" s="13" t="str">
        <f>IF(B93="","",SUMIFS(입고!$F$8:$F$1013,입고!$C$8:$C$1013,마스터!$M$16,입고!$E$8:$E$1013,B93))</f>
        <v/>
      </c>
      <c r="D93" s="13" t="str">
        <f>IF(B93="","",SUMIFS(출고!$F$8:$F$1013,출고!$C$8:$C$1013,마스터!$M$16,출고!$E$8:$E$1013,B93))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IFERROR(INDEX(입고!$E$8:$E$1013,SMALL(IF((입고!$C$8:$C$1013=마스터!$M$16)*(입고!$AC$8:$AC$1013=1),ROW(입고!$C$8:$C$1013)-7),17)),"")</f>
        <v/>
      </c>
      <c r="C94" s="8" t="str">
        <f>IF(B94="","",SUMIFS(입고!$F$8:$F$1013,입고!$C$8:$C$1013,마스터!$M$16,입고!$E$8:$E$1013,B94))</f>
        <v/>
      </c>
      <c r="D94" s="8" t="str">
        <f>IF(B94="","",SUMIFS(출고!$F$8:$F$1013,출고!$C$8:$C$1013,마스터!$M$16,출고!$E$8:$E$1013,B94))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IFERROR(INDEX(입고!$E$8:$E$1013,SMALL(IF((입고!$C$8:$C$1013=마스터!$M$16)*(입고!$AC$8:$AC$1013=1),ROW(입고!$C$8:$C$1013)-7),18)),"")</f>
        <v/>
      </c>
      <c r="C95" s="13" t="str">
        <f>IF(B95="","",SUMIFS(입고!$F$8:$F$1013,입고!$C$8:$C$1013,마스터!$M$16,입고!$E$8:$E$1013,B95))</f>
        <v/>
      </c>
      <c r="D95" s="13" t="str">
        <f>IF(B95="","",SUMIFS(출고!$F$8:$F$1013,출고!$C$8:$C$1013,마스터!$M$16,출고!$E$8:$E$1013,B95))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IFERROR(INDEX(입고!$E$8:$E$1013,SMALL(IF((입고!$C$8:$C$1013=마스터!$M$16)*(입고!$AC$8:$AC$1013=1),ROW(입고!$C$8:$C$1013)-7),19)),"")</f>
        <v/>
      </c>
      <c r="C96" s="8" t="str">
        <f>IF(B96="","",SUMIFS(입고!$F$8:$F$1013,입고!$C$8:$C$1013,마스터!$M$16,입고!$E$8:$E$1013,B96))</f>
        <v/>
      </c>
      <c r="D96" s="8" t="str">
        <f>IF(B96="","",SUMIFS(출고!$F$8:$F$1013,출고!$C$8:$C$1013,마스터!$M$16,출고!$E$8:$E$1013,B96))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IFERROR(INDEX(입고!$E$8:$E$1013,SMALL(IF((입고!$C$8:$C$1013=마스터!$M$16)*(입고!$AC$8:$AC$1013=1),ROW(입고!$C$8:$C$1013)-7),20)),"")</f>
        <v/>
      </c>
      <c r="C97" s="13" t="str">
        <f>IF(B97="","",SUMIFS(입고!$F$8:$F$1013,입고!$C$8:$C$1013,마스터!$M$16,입고!$E$8:$E$1013,B97))</f>
        <v/>
      </c>
      <c r="D97" s="13" t="str">
        <f>IF(B97="","",SUMIFS(출고!$F$8:$F$1013,출고!$C$8:$C$1013,마스터!$M$16,출고!$E$8:$E$1013,B97))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IFERROR(INDEX(입고!$E$8:$E$1013,SMALL(IF((입고!$C$8:$C$1013=마스터!$M$16)*(입고!$AC$8:$AC$1013=1),ROW(입고!$C$8:$C$1013)-7),21)),"")</f>
        <v/>
      </c>
      <c r="C98" s="8" t="str">
        <f>IF(B98="","",SUMIFS(입고!$F$8:$F$1013,입고!$C$8:$C$1013,마스터!$M$16,입고!$E$8:$E$1013,B98))</f>
        <v/>
      </c>
      <c r="D98" s="8" t="str">
        <f>IF(B98="","",SUMIFS(출고!$F$8:$F$1013,출고!$C$8:$C$1013,마스터!$M$16,출고!$E$8:$E$1013,B98))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IFERROR(INDEX(입고!$E$8:$E$1013,SMALL(IF((입고!$C$8:$C$1013=마스터!$M$16)*(입고!$AC$8:$AC$1013=1),ROW(입고!$C$8:$C$1013)-7),22)),"")</f>
        <v/>
      </c>
      <c r="C99" s="13" t="str">
        <f>IF(B99="","",SUMIFS(입고!$F$8:$F$1013,입고!$C$8:$C$1013,마스터!$M$16,입고!$E$8:$E$1013,B99))</f>
        <v/>
      </c>
      <c r="D99" s="13" t="str">
        <f>IF(B99="","",SUMIFS(출고!$F$8:$F$1013,출고!$C$8:$C$1013,마스터!$M$16,출고!$E$8:$E$1013,B99))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IFERROR(INDEX(입고!$E$8:$E$1013,SMALL(IF((입고!$C$8:$C$1013=마스터!$M$16)*(입고!$AC$8:$AC$1013=1),ROW(입고!$C$8:$C$1013)-7),23)),"")</f>
        <v/>
      </c>
      <c r="C100" s="8" t="str">
        <f>IF(B100="","",SUMIFS(입고!$F$8:$F$1013,입고!$C$8:$C$1013,마스터!$M$16,입고!$E$8:$E$1013,B100))</f>
        <v/>
      </c>
      <c r="D100" s="8" t="str">
        <f>IF(B100="","",SUMIFS(출고!$F$8:$F$1013,출고!$C$8:$C$1013,마스터!$M$16,출고!$E$8:$E$1013,B100))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IFERROR(INDEX(입고!$E$8:$E$1013,SMALL(IF((입고!$C$8:$C$1013=마스터!$M$16)*(입고!$AC$8:$AC$1013=1),ROW(입고!$C$8:$C$1013)-7),24)),"")</f>
        <v/>
      </c>
      <c r="C101" s="13" t="str">
        <f>IF(B101="","",SUMIFS(입고!$F$8:$F$1013,입고!$C$8:$C$1013,마스터!$M$16,입고!$E$8:$E$1013,B101))</f>
        <v/>
      </c>
      <c r="D101" s="13" t="str">
        <f>IF(B101="","",SUMIFS(출고!$F$8:$F$1013,출고!$C$8:$C$1013,마스터!$M$16,출고!$E$8:$E$1013,B101))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IFERROR(INDEX(입고!$E$8:$E$1013,SMALL(IF((입고!$C$8:$C$1013=마스터!$M$16)*(입고!$AC$8:$AC$1013=1),ROW(입고!$C$8:$C$1013)-7),25)),"")</f>
        <v/>
      </c>
      <c r="C102" s="8" t="str">
        <f>IF(B102="","",SUMIFS(입고!$F$8:$F$1013,입고!$C$8:$C$1013,마스터!$M$16,입고!$E$8:$E$1013,B102))</f>
        <v/>
      </c>
      <c r="D102" s="8" t="str">
        <f>IF(B102="","",SUMIFS(출고!$F$8:$F$1013,출고!$C$8:$C$1013,마스터!$M$16,출고!$E$8:$E$1013,B102))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IFERROR(INDEX(입고!$E$8:$E$1013,SMALL(IF((입고!$C$8:$C$1013=마스터!$M$16)*(입고!$AC$8:$AC$1013=1),ROW(입고!$C$8:$C$1013)-7),26)),"")</f>
        <v/>
      </c>
      <c r="C103" s="13" t="str">
        <f>IF(B103="","",SUMIFS(입고!$F$8:$F$1013,입고!$C$8:$C$1013,마스터!$M$16,입고!$E$8:$E$1013,B103))</f>
        <v/>
      </c>
      <c r="D103" s="13" t="str">
        <f>IF(B103="","",SUMIFS(출고!$F$8:$F$1013,출고!$C$8:$C$1013,마스터!$M$16,출고!$E$8:$E$1013,B103))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IFERROR(INDEX(입고!$E$8:$E$1013,SMALL(IF((입고!$C$8:$C$1013=마스터!$M$16)*(입고!$AC$8:$AC$1013=1),ROW(입고!$C$8:$C$1013)-7),27)),"")</f>
        <v/>
      </c>
      <c r="C104" s="8" t="str">
        <f>IF(B104="","",SUMIFS(입고!$F$8:$F$1013,입고!$C$8:$C$1013,마스터!$M$16,입고!$E$8:$E$1013,B104))</f>
        <v/>
      </c>
      <c r="D104" s="8" t="str">
        <f>IF(B104="","",SUMIFS(출고!$F$8:$F$1013,출고!$C$8:$C$1013,마스터!$M$16,출고!$E$8:$E$1013,B104))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IFERROR(INDEX(입고!$E$8:$E$1013,SMALL(IF((입고!$C$8:$C$1013=마스터!$M$16)*(입고!$AC$8:$AC$1013=1),ROW(입고!$C$8:$C$1013)-7),28)),"")</f>
        <v/>
      </c>
      <c r="C105" s="13" t="str">
        <f>IF(B105="","",SUMIFS(입고!$F$8:$F$1013,입고!$C$8:$C$1013,마스터!$M$16,입고!$E$8:$E$1013,B105))</f>
        <v/>
      </c>
      <c r="D105" s="13" t="str">
        <f>IF(B105="","",SUMIFS(출고!$F$8:$F$1013,출고!$C$8:$C$1013,마스터!$M$16,출고!$E$8:$E$1013,B105))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IFERROR(INDEX(입고!$E$8:$E$1013,SMALL(IF((입고!$C$8:$C$1013=마스터!$M$16)*(입고!$AC$8:$AC$1013=1),ROW(입고!$C$8:$C$1013)-7),29)),"")</f>
        <v/>
      </c>
      <c r="C106" s="8" t="str">
        <f>IF(B106="","",SUMIFS(입고!$F$8:$F$1013,입고!$C$8:$C$1013,마스터!$M$16,입고!$E$8:$E$1013,B106))</f>
        <v/>
      </c>
      <c r="D106" s="8" t="str">
        <f>IF(B106="","",SUMIFS(출고!$F$8:$F$1013,출고!$C$8:$C$1013,마스터!$M$16,출고!$E$8:$E$1013,B106))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IFERROR(INDEX(입고!$E$8:$E$1013,SMALL(IF((입고!$C$8:$C$1013=마스터!$M$16)*(입고!$AC$8:$AC$1013=1),ROW(입고!$C$8:$C$1013)-7),30)),"")</f>
        <v/>
      </c>
      <c r="C107" s="13" t="str">
        <f>IF(B107="","",SUMIFS(입고!$F$8:$F$1013,입고!$C$8:$C$1013,마스터!$M$16,입고!$E$8:$E$1013,B107))</f>
        <v/>
      </c>
      <c r="D107" s="13" t="str">
        <f>IF(B107="","",SUMIFS(출고!$F$8:$F$1013,출고!$C$8:$C$1013,마스터!$M$16,출고!$E$8:$E$1013,B107))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4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CONCATENATE("[14] ", 마스터!D17, "  |  ", 마스터!F17)</f>
        <v>[14] 세라믹울 100K 수입  |  25T × 300W × 7400L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마스터!D17</f>
        <v>세라믹울 100K 수입</v>
      </c>
      <c r="D4" s="1" t="s">
        <v>11</v>
      </c>
      <c r="E4" s="53">
        <f>SUMIFS(입고!$F$8:$F$1013,입고!$C$8:$C$1013,마스터!$M$17)</f>
        <v>270</v>
      </c>
    </row>
    <row r="5" spans="1:9" ht="15" customHeight="1" x14ac:dyDescent="0.25">
      <c r="A5" s="1" t="s">
        <v>7</v>
      </c>
      <c r="B5" s="52" t="str">
        <f>마스터!E17</f>
        <v>253007400</v>
      </c>
      <c r="D5" s="1" t="s">
        <v>12</v>
      </c>
      <c r="E5" s="53">
        <f>SUMIFS(출고!$F$8:$F$1013,출고!$C$8:$C$1013,마스터!$M$17)</f>
        <v>0</v>
      </c>
    </row>
    <row r="6" spans="1:9" ht="23.25" customHeight="1" x14ac:dyDescent="0.25">
      <c r="A6" s="1" t="s">
        <v>26</v>
      </c>
      <c r="B6" s="52" t="str">
        <f>마스터!F17</f>
        <v>25T × 300W × 7400L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마스터!M17</f>
        <v>100K수입 25T × 300W × 7400L</v>
      </c>
      <c r="D7" s="1" t="s">
        <v>13</v>
      </c>
      <c r="E7" s="54">
        <f>마스터!$K$17+E4-E5</f>
        <v>270</v>
      </c>
    </row>
    <row r="8" spans="1:9" ht="15" customHeight="1" x14ac:dyDescent="0.25">
      <c r="A8" s="1" t="s">
        <v>10</v>
      </c>
      <c r="B8" s="53">
        <f>마스터!K17</f>
        <v>0</v>
      </c>
      <c r="D8" s="1" t="s">
        <v>123</v>
      </c>
      <c r="E8" s="55">
        <f t="array" ref="E8">IFERROR(MAX(MAX(IF(입고!$C$8:$C$1013=마스터!$M$17,입고!$B$8:$B$1013)),MAX(IF(출고!$C$8:$C$1013=마스터!$M$17,출고!$B$8:$B$1013))),"-")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IFERROR(INDEX(입고!$B$8:$B$1013,SMALL(IF(입고!$C$8:$C$1013=마스터!$M$17,ROW(입고!$C$8:$C$1013)-7),1)),"")</f>
        <v>46056</v>
      </c>
      <c r="C12" s="6" t="str">
        <f t="array" ref="C12">IFERROR(INDEX(입고!$E$8:$E$1013,SMALL(IF(입고!$C$8:$C$1013=마스터!$M$17,ROW(입고!$C$8:$C$1013)-7),1)),"")</f>
        <v>260203CW001</v>
      </c>
      <c r="D12" s="8">
        <f t="array" ref="D12">IFERROR(INDEX(입고!$F$8:$F$1013,SMALL(IF(입고!$C$8:$C$1013=마스터!$M$17,ROW(입고!$C$8:$C$1013)-7),1)),"")</f>
        <v>270</v>
      </c>
      <c r="E12" s="46" t="str">
        <f t="array" ref="E12">IFERROR(INDEX(입고!$H$8:$H$1013,SMALL(IF(입고!$C$8:$C$1013=마스터!$M$17,ROW(입고!$C$8:$C$1013)-7),1)),"")</f>
        <v>(초기재고)</v>
      </c>
      <c r="F12" s="46" t="str">
        <f t="array" ref="F12">IFERROR(INDEX(입고!$I$8:$I$1013,SMALL(IF(입고!$C$8:$C$1013=마스터!$M$17,ROW(입고!$C$8:$C$1013)-7),1)),"")</f>
        <v>2026-02-12 기준</v>
      </c>
      <c r="G12" s="57">
        <f>IF(B12="","",IFERROR(D12,0))</f>
        <v>270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IFERROR(INDEX(입고!$B$8:$B$1013,SMALL(IF(입고!$C$8:$C$1013=마스터!$M$17,ROW(입고!$C$8:$C$1013)-7),2)),"")</f>
        <v/>
      </c>
      <c r="C13" s="11" t="str">
        <f t="array" ref="C13">IFERROR(INDEX(입고!$E$8:$E$1013,SMALL(IF(입고!$C$8:$C$1013=마스터!$M$17,ROW(입고!$C$8:$C$1013)-7),2)),"")</f>
        <v/>
      </c>
      <c r="D13" s="13" t="str">
        <f t="array" ref="D13">IFERROR(INDEX(입고!$F$8:$F$1013,SMALL(IF(입고!$C$8:$C$1013=마스터!$M$17,ROW(입고!$C$8:$C$1013)-7),2)),"")</f>
        <v/>
      </c>
      <c r="E13" s="50" t="str">
        <f t="array" ref="E13">IFERROR(INDEX(입고!$H$8:$H$1013,SMALL(IF(입고!$C$8:$C$1013=마스터!$M$17,ROW(입고!$C$8:$C$1013)-7),2)),"")</f>
        <v/>
      </c>
      <c r="F13" s="50" t="str">
        <f t="array" ref="F13">IFERROR(INDEX(입고!$I$8:$I$1013,SMALL(IF(입고!$C$8:$C$1013=마스터!$M$17,ROW(입고!$C$8:$C$1013)-7),2)),"")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IFERROR(INDEX(입고!$B$8:$B$1013,SMALL(IF(입고!$C$8:$C$1013=마스터!$M$17,ROW(입고!$C$8:$C$1013)-7),3)),"")</f>
        <v/>
      </c>
      <c r="C14" s="6" t="str">
        <f t="array" ref="C14">IFERROR(INDEX(입고!$E$8:$E$1013,SMALL(IF(입고!$C$8:$C$1013=마스터!$M$17,ROW(입고!$C$8:$C$1013)-7),3)),"")</f>
        <v/>
      </c>
      <c r="D14" s="8" t="str">
        <f t="array" ref="D14">IFERROR(INDEX(입고!$F$8:$F$1013,SMALL(IF(입고!$C$8:$C$1013=마스터!$M$17,ROW(입고!$C$8:$C$1013)-7),3)),"")</f>
        <v/>
      </c>
      <c r="E14" s="46" t="str">
        <f t="array" ref="E14">IFERROR(INDEX(입고!$H$8:$H$1013,SMALL(IF(입고!$C$8:$C$1013=마스터!$M$17,ROW(입고!$C$8:$C$1013)-7),3)),"")</f>
        <v/>
      </c>
      <c r="F14" s="46" t="str">
        <f t="array" ref="F14">IFERROR(INDEX(입고!$I$8:$I$1013,SMALL(IF(입고!$C$8:$C$1013=마스터!$M$17,ROW(입고!$C$8:$C$1013)-7),3)),"")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IFERROR(INDEX(입고!$B$8:$B$1013,SMALL(IF(입고!$C$8:$C$1013=마스터!$M$17,ROW(입고!$C$8:$C$1013)-7),4)),"")</f>
        <v/>
      </c>
      <c r="C15" s="11" t="str">
        <f t="array" ref="C15">IFERROR(INDEX(입고!$E$8:$E$1013,SMALL(IF(입고!$C$8:$C$1013=마스터!$M$17,ROW(입고!$C$8:$C$1013)-7),4)),"")</f>
        <v/>
      </c>
      <c r="D15" s="13" t="str">
        <f t="array" ref="D15">IFERROR(INDEX(입고!$F$8:$F$1013,SMALL(IF(입고!$C$8:$C$1013=마스터!$M$17,ROW(입고!$C$8:$C$1013)-7),4)),"")</f>
        <v/>
      </c>
      <c r="E15" s="50" t="str">
        <f t="array" ref="E15">IFERROR(INDEX(입고!$H$8:$H$1013,SMALL(IF(입고!$C$8:$C$1013=마스터!$M$17,ROW(입고!$C$8:$C$1013)-7),4)),"")</f>
        <v/>
      </c>
      <c r="F15" s="50" t="str">
        <f t="array" ref="F15">IFERROR(INDEX(입고!$I$8:$I$1013,SMALL(IF(입고!$C$8:$C$1013=마스터!$M$17,ROW(입고!$C$8:$C$1013)-7),4)),"")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IFERROR(INDEX(입고!$B$8:$B$1013,SMALL(IF(입고!$C$8:$C$1013=마스터!$M$17,ROW(입고!$C$8:$C$1013)-7),5)),"")</f>
        <v/>
      </c>
      <c r="C16" s="6" t="str">
        <f t="array" ref="C16">IFERROR(INDEX(입고!$E$8:$E$1013,SMALL(IF(입고!$C$8:$C$1013=마스터!$M$17,ROW(입고!$C$8:$C$1013)-7),5)),"")</f>
        <v/>
      </c>
      <c r="D16" s="8" t="str">
        <f t="array" ref="D16">IFERROR(INDEX(입고!$F$8:$F$1013,SMALL(IF(입고!$C$8:$C$1013=마스터!$M$17,ROW(입고!$C$8:$C$1013)-7),5)),"")</f>
        <v/>
      </c>
      <c r="E16" s="46" t="str">
        <f t="array" ref="E16">IFERROR(INDEX(입고!$H$8:$H$1013,SMALL(IF(입고!$C$8:$C$1013=마스터!$M$17,ROW(입고!$C$8:$C$1013)-7),5)),"")</f>
        <v/>
      </c>
      <c r="F16" s="46" t="str">
        <f t="array" ref="F16">IFERROR(INDEX(입고!$I$8:$I$1013,SMALL(IF(입고!$C$8:$C$1013=마스터!$M$17,ROW(입고!$C$8:$C$1013)-7),5)),"")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IFERROR(INDEX(입고!$B$8:$B$1013,SMALL(IF(입고!$C$8:$C$1013=마스터!$M$17,ROW(입고!$C$8:$C$1013)-7),6)),"")</f>
        <v/>
      </c>
      <c r="C17" s="11" t="str">
        <f t="array" ref="C17">IFERROR(INDEX(입고!$E$8:$E$1013,SMALL(IF(입고!$C$8:$C$1013=마스터!$M$17,ROW(입고!$C$8:$C$1013)-7),6)),"")</f>
        <v/>
      </c>
      <c r="D17" s="13" t="str">
        <f t="array" ref="D17">IFERROR(INDEX(입고!$F$8:$F$1013,SMALL(IF(입고!$C$8:$C$1013=마스터!$M$17,ROW(입고!$C$8:$C$1013)-7),6)),"")</f>
        <v/>
      </c>
      <c r="E17" s="50" t="str">
        <f t="array" ref="E17">IFERROR(INDEX(입고!$H$8:$H$1013,SMALL(IF(입고!$C$8:$C$1013=마스터!$M$17,ROW(입고!$C$8:$C$1013)-7),6)),"")</f>
        <v/>
      </c>
      <c r="F17" s="50" t="str">
        <f t="array" ref="F17">IFERROR(INDEX(입고!$I$8:$I$1013,SMALL(IF(입고!$C$8:$C$1013=마스터!$M$17,ROW(입고!$C$8:$C$1013)-7),6)),"")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IFERROR(INDEX(입고!$B$8:$B$1013,SMALL(IF(입고!$C$8:$C$1013=마스터!$M$17,ROW(입고!$C$8:$C$1013)-7),7)),"")</f>
        <v/>
      </c>
      <c r="C18" s="6" t="str">
        <f t="array" ref="C18">IFERROR(INDEX(입고!$E$8:$E$1013,SMALL(IF(입고!$C$8:$C$1013=마스터!$M$17,ROW(입고!$C$8:$C$1013)-7),7)),"")</f>
        <v/>
      </c>
      <c r="D18" s="8" t="str">
        <f t="array" ref="D18">IFERROR(INDEX(입고!$F$8:$F$1013,SMALL(IF(입고!$C$8:$C$1013=마스터!$M$17,ROW(입고!$C$8:$C$1013)-7),7)),"")</f>
        <v/>
      </c>
      <c r="E18" s="46" t="str">
        <f t="array" ref="E18">IFERROR(INDEX(입고!$H$8:$H$1013,SMALL(IF(입고!$C$8:$C$1013=마스터!$M$17,ROW(입고!$C$8:$C$1013)-7),7)),"")</f>
        <v/>
      </c>
      <c r="F18" s="46" t="str">
        <f t="array" ref="F18">IFERROR(INDEX(입고!$I$8:$I$1013,SMALL(IF(입고!$C$8:$C$1013=마스터!$M$17,ROW(입고!$C$8:$C$1013)-7),7)),"")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IFERROR(INDEX(입고!$B$8:$B$1013,SMALL(IF(입고!$C$8:$C$1013=마스터!$M$17,ROW(입고!$C$8:$C$1013)-7),8)),"")</f>
        <v/>
      </c>
      <c r="C19" s="11" t="str">
        <f t="array" ref="C19">IFERROR(INDEX(입고!$E$8:$E$1013,SMALL(IF(입고!$C$8:$C$1013=마스터!$M$17,ROW(입고!$C$8:$C$1013)-7),8)),"")</f>
        <v/>
      </c>
      <c r="D19" s="13" t="str">
        <f t="array" ref="D19">IFERROR(INDEX(입고!$F$8:$F$1013,SMALL(IF(입고!$C$8:$C$1013=마스터!$M$17,ROW(입고!$C$8:$C$1013)-7),8)),"")</f>
        <v/>
      </c>
      <c r="E19" s="50" t="str">
        <f t="array" ref="E19">IFERROR(INDEX(입고!$H$8:$H$1013,SMALL(IF(입고!$C$8:$C$1013=마스터!$M$17,ROW(입고!$C$8:$C$1013)-7),8)),"")</f>
        <v/>
      </c>
      <c r="F19" s="50" t="str">
        <f t="array" ref="F19">IFERROR(INDEX(입고!$I$8:$I$1013,SMALL(IF(입고!$C$8:$C$1013=마스터!$M$17,ROW(입고!$C$8:$C$1013)-7),8)),"")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IFERROR(INDEX(입고!$B$8:$B$1013,SMALL(IF(입고!$C$8:$C$1013=마스터!$M$17,ROW(입고!$C$8:$C$1013)-7),9)),"")</f>
        <v/>
      </c>
      <c r="C20" s="6" t="str">
        <f t="array" ref="C20">IFERROR(INDEX(입고!$E$8:$E$1013,SMALL(IF(입고!$C$8:$C$1013=마스터!$M$17,ROW(입고!$C$8:$C$1013)-7),9)),"")</f>
        <v/>
      </c>
      <c r="D20" s="8" t="str">
        <f t="array" ref="D20">IFERROR(INDEX(입고!$F$8:$F$1013,SMALL(IF(입고!$C$8:$C$1013=마스터!$M$17,ROW(입고!$C$8:$C$1013)-7),9)),"")</f>
        <v/>
      </c>
      <c r="E20" s="46" t="str">
        <f t="array" ref="E20">IFERROR(INDEX(입고!$H$8:$H$1013,SMALL(IF(입고!$C$8:$C$1013=마스터!$M$17,ROW(입고!$C$8:$C$1013)-7),9)),"")</f>
        <v/>
      </c>
      <c r="F20" s="46" t="str">
        <f t="array" ref="F20">IFERROR(INDEX(입고!$I$8:$I$1013,SMALL(IF(입고!$C$8:$C$1013=마스터!$M$17,ROW(입고!$C$8:$C$1013)-7),9)),"")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IFERROR(INDEX(입고!$B$8:$B$1013,SMALL(IF(입고!$C$8:$C$1013=마스터!$M$17,ROW(입고!$C$8:$C$1013)-7),10)),"")</f>
        <v/>
      </c>
      <c r="C21" s="11" t="str">
        <f t="array" ref="C21">IFERROR(INDEX(입고!$E$8:$E$1013,SMALL(IF(입고!$C$8:$C$1013=마스터!$M$17,ROW(입고!$C$8:$C$1013)-7),10)),"")</f>
        <v/>
      </c>
      <c r="D21" s="13" t="str">
        <f t="array" ref="D21">IFERROR(INDEX(입고!$F$8:$F$1013,SMALL(IF(입고!$C$8:$C$1013=마스터!$M$17,ROW(입고!$C$8:$C$1013)-7),10)),"")</f>
        <v/>
      </c>
      <c r="E21" s="50" t="str">
        <f t="array" ref="E21">IFERROR(INDEX(입고!$H$8:$H$1013,SMALL(IF(입고!$C$8:$C$1013=마스터!$M$17,ROW(입고!$C$8:$C$1013)-7),10)),"")</f>
        <v/>
      </c>
      <c r="F21" s="50" t="str">
        <f t="array" ref="F21">IFERROR(INDEX(입고!$I$8:$I$1013,SMALL(IF(입고!$C$8:$C$1013=마스터!$M$17,ROW(입고!$C$8:$C$1013)-7),10)),"")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IFERROR(INDEX(입고!$B$8:$B$1013,SMALL(IF(입고!$C$8:$C$1013=마스터!$M$17,ROW(입고!$C$8:$C$1013)-7),11)),"")</f>
        <v/>
      </c>
      <c r="C22" s="6" t="str">
        <f t="array" ref="C22">IFERROR(INDEX(입고!$E$8:$E$1013,SMALL(IF(입고!$C$8:$C$1013=마스터!$M$17,ROW(입고!$C$8:$C$1013)-7),11)),"")</f>
        <v/>
      </c>
      <c r="D22" s="8" t="str">
        <f t="array" ref="D22">IFERROR(INDEX(입고!$F$8:$F$1013,SMALL(IF(입고!$C$8:$C$1013=마스터!$M$17,ROW(입고!$C$8:$C$1013)-7),11)),"")</f>
        <v/>
      </c>
      <c r="E22" s="46" t="str">
        <f t="array" ref="E22">IFERROR(INDEX(입고!$H$8:$H$1013,SMALL(IF(입고!$C$8:$C$1013=마스터!$M$17,ROW(입고!$C$8:$C$1013)-7),11)),"")</f>
        <v/>
      </c>
      <c r="F22" s="46" t="str">
        <f t="array" ref="F22">IFERROR(INDEX(입고!$I$8:$I$1013,SMALL(IF(입고!$C$8:$C$1013=마스터!$M$17,ROW(입고!$C$8:$C$1013)-7),11)),"")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IFERROR(INDEX(입고!$B$8:$B$1013,SMALL(IF(입고!$C$8:$C$1013=마스터!$M$17,ROW(입고!$C$8:$C$1013)-7),12)),"")</f>
        <v/>
      </c>
      <c r="C23" s="11" t="str">
        <f t="array" ref="C23">IFERROR(INDEX(입고!$E$8:$E$1013,SMALL(IF(입고!$C$8:$C$1013=마스터!$M$17,ROW(입고!$C$8:$C$1013)-7),12)),"")</f>
        <v/>
      </c>
      <c r="D23" s="13" t="str">
        <f t="array" ref="D23">IFERROR(INDEX(입고!$F$8:$F$1013,SMALL(IF(입고!$C$8:$C$1013=마스터!$M$17,ROW(입고!$C$8:$C$1013)-7),12)),"")</f>
        <v/>
      </c>
      <c r="E23" s="50" t="str">
        <f t="array" ref="E23">IFERROR(INDEX(입고!$H$8:$H$1013,SMALL(IF(입고!$C$8:$C$1013=마스터!$M$17,ROW(입고!$C$8:$C$1013)-7),12)),"")</f>
        <v/>
      </c>
      <c r="F23" s="50" t="str">
        <f t="array" ref="F23">IFERROR(INDEX(입고!$I$8:$I$1013,SMALL(IF(입고!$C$8:$C$1013=마스터!$M$17,ROW(입고!$C$8:$C$1013)-7),12)),"")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IFERROR(INDEX(입고!$B$8:$B$1013,SMALL(IF(입고!$C$8:$C$1013=마스터!$M$17,ROW(입고!$C$8:$C$1013)-7),13)),"")</f>
        <v/>
      </c>
      <c r="C24" s="6" t="str">
        <f t="array" ref="C24">IFERROR(INDEX(입고!$E$8:$E$1013,SMALL(IF(입고!$C$8:$C$1013=마스터!$M$17,ROW(입고!$C$8:$C$1013)-7),13)),"")</f>
        <v/>
      </c>
      <c r="D24" s="8" t="str">
        <f t="array" ref="D24">IFERROR(INDEX(입고!$F$8:$F$1013,SMALL(IF(입고!$C$8:$C$1013=마스터!$M$17,ROW(입고!$C$8:$C$1013)-7),13)),"")</f>
        <v/>
      </c>
      <c r="E24" s="46" t="str">
        <f t="array" ref="E24">IFERROR(INDEX(입고!$H$8:$H$1013,SMALL(IF(입고!$C$8:$C$1013=마스터!$M$17,ROW(입고!$C$8:$C$1013)-7),13)),"")</f>
        <v/>
      </c>
      <c r="F24" s="46" t="str">
        <f t="array" ref="F24">IFERROR(INDEX(입고!$I$8:$I$1013,SMALL(IF(입고!$C$8:$C$1013=마스터!$M$17,ROW(입고!$C$8:$C$1013)-7),13)),"")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IFERROR(INDEX(입고!$B$8:$B$1013,SMALL(IF(입고!$C$8:$C$1013=마스터!$M$17,ROW(입고!$C$8:$C$1013)-7),14)),"")</f>
        <v/>
      </c>
      <c r="C25" s="11" t="str">
        <f t="array" ref="C25">IFERROR(INDEX(입고!$E$8:$E$1013,SMALL(IF(입고!$C$8:$C$1013=마스터!$M$17,ROW(입고!$C$8:$C$1013)-7),14)),"")</f>
        <v/>
      </c>
      <c r="D25" s="13" t="str">
        <f t="array" ref="D25">IFERROR(INDEX(입고!$F$8:$F$1013,SMALL(IF(입고!$C$8:$C$1013=마스터!$M$17,ROW(입고!$C$8:$C$1013)-7),14)),"")</f>
        <v/>
      </c>
      <c r="E25" s="50" t="str">
        <f t="array" ref="E25">IFERROR(INDEX(입고!$H$8:$H$1013,SMALL(IF(입고!$C$8:$C$1013=마스터!$M$17,ROW(입고!$C$8:$C$1013)-7),14)),"")</f>
        <v/>
      </c>
      <c r="F25" s="50" t="str">
        <f t="array" ref="F25">IFERROR(INDEX(입고!$I$8:$I$1013,SMALL(IF(입고!$C$8:$C$1013=마스터!$M$17,ROW(입고!$C$8:$C$1013)-7),14)),"")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IFERROR(INDEX(입고!$B$8:$B$1013,SMALL(IF(입고!$C$8:$C$1013=마스터!$M$17,ROW(입고!$C$8:$C$1013)-7),15)),"")</f>
        <v/>
      </c>
      <c r="C26" s="6" t="str">
        <f t="array" ref="C26">IFERROR(INDEX(입고!$E$8:$E$1013,SMALL(IF(입고!$C$8:$C$1013=마스터!$M$17,ROW(입고!$C$8:$C$1013)-7),15)),"")</f>
        <v/>
      </c>
      <c r="D26" s="8" t="str">
        <f t="array" ref="D26">IFERROR(INDEX(입고!$F$8:$F$1013,SMALL(IF(입고!$C$8:$C$1013=마스터!$M$17,ROW(입고!$C$8:$C$1013)-7),15)),"")</f>
        <v/>
      </c>
      <c r="E26" s="46" t="str">
        <f t="array" ref="E26">IFERROR(INDEX(입고!$H$8:$H$1013,SMALL(IF(입고!$C$8:$C$1013=마스터!$M$17,ROW(입고!$C$8:$C$1013)-7),15)),"")</f>
        <v/>
      </c>
      <c r="F26" s="46" t="str">
        <f t="array" ref="F26">IFERROR(INDEX(입고!$I$8:$I$1013,SMALL(IF(입고!$C$8:$C$1013=마스터!$M$17,ROW(입고!$C$8:$C$1013)-7),15)),"")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IFERROR(INDEX(입고!$B$8:$B$1013,SMALL(IF(입고!$C$8:$C$1013=마스터!$M$17,ROW(입고!$C$8:$C$1013)-7),16)),"")</f>
        <v/>
      </c>
      <c r="C27" s="11" t="str">
        <f t="array" ref="C27">IFERROR(INDEX(입고!$E$8:$E$1013,SMALL(IF(입고!$C$8:$C$1013=마스터!$M$17,ROW(입고!$C$8:$C$1013)-7),16)),"")</f>
        <v/>
      </c>
      <c r="D27" s="13" t="str">
        <f t="array" ref="D27">IFERROR(INDEX(입고!$F$8:$F$1013,SMALL(IF(입고!$C$8:$C$1013=마스터!$M$17,ROW(입고!$C$8:$C$1013)-7),16)),"")</f>
        <v/>
      </c>
      <c r="E27" s="50" t="str">
        <f t="array" ref="E27">IFERROR(INDEX(입고!$H$8:$H$1013,SMALL(IF(입고!$C$8:$C$1013=마스터!$M$17,ROW(입고!$C$8:$C$1013)-7),16)),"")</f>
        <v/>
      </c>
      <c r="F27" s="50" t="str">
        <f t="array" ref="F27">IFERROR(INDEX(입고!$I$8:$I$1013,SMALL(IF(입고!$C$8:$C$1013=마스터!$M$17,ROW(입고!$C$8:$C$1013)-7),16)),"")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IFERROR(INDEX(입고!$B$8:$B$1013,SMALL(IF(입고!$C$8:$C$1013=마스터!$M$17,ROW(입고!$C$8:$C$1013)-7),17)),"")</f>
        <v/>
      </c>
      <c r="C28" s="6" t="str">
        <f t="array" ref="C28">IFERROR(INDEX(입고!$E$8:$E$1013,SMALL(IF(입고!$C$8:$C$1013=마스터!$M$17,ROW(입고!$C$8:$C$1013)-7),17)),"")</f>
        <v/>
      </c>
      <c r="D28" s="8" t="str">
        <f t="array" ref="D28">IFERROR(INDEX(입고!$F$8:$F$1013,SMALL(IF(입고!$C$8:$C$1013=마스터!$M$17,ROW(입고!$C$8:$C$1013)-7),17)),"")</f>
        <v/>
      </c>
      <c r="E28" s="46" t="str">
        <f t="array" ref="E28">IFERROR(INDEX(입고!$H$8:$H$1013,SMALL(IF(입고!$C$8:$C$1013=마스터!$M$17,ROW(입고!$C$8:$C$1013)-7),17)),"")</f>
        <v/>
      </c>
      <c r="F28" s="46" t="str">
        <f t="array" ref="F28">IFERROR(INDEX(입고!$I$8:$I$1013,SMALL(IF(입고!$C$8:$C$1013=마스터!$M$17,ROW(입고!$C$8:$C$1013)-7),17)),"")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IFERROR(INDEX(입고!$B$8:$B$1013,SMALL(IF(입고!$C$8:$C$1013=마스터!$M$17,ROW(입고!$C$8:$C$1013)-7),18)),"")</f>
        <v/>
      </c>
      <c r="C29" s="11" t="str">
        <f t="array" ref="C29">IFERROR(INDEX(입고!$E$8:$E$1013,SMALL(IF(입고!$C$8:$C$1013=마스터!$M$17,ROW(입고!$C$8:$C$1013)-7),18)),"")</f>
        <v/>
      </c>
      <c r="D29" s="13" t="str">
        <f t="array" ref="D29">IFERROR(INDEX(입고!$F$8:$F$1013,SMALL(IF(입고!$C$8:$C$1013=마스터!$M$17,ROW(입고!$C$8:$C$1013)-7),18)),"")</f>
        <v/>
      </c>
      <c r="E29" s="50" t="str">
        <f t="array" ref="E29">IFERROR(INDEX(입고!$H$8:$H$1013,SMALL(IF(입고!$C$8:$C$1013=마스터!$M$17,ROW(입고!$C$8:$C$1013)-7),18)),"")</f>
        <v/>
      </c>
      <c r="F29" s="50" t="str">
        <f t="array" ref="F29">IFERROR(INDEX(입고!$I$8:$I$1013,SMALL(IF(입고!$C$8:$C$1013=마스터!$M$17,ROW(입고!$C$8:$C$1013)-7),18)),"")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IFERROR(INDEX(입고!$B$8:$B$1013,SMALL(IF(입고!$C$8:$C$1013=마스터!$M$17,ROW(입고!$C$8:$C$1013)-7),19)),"")</f>
        <v/>
      </c>
      <c r="C30" s="6" t="str">
        <f t="array" ref="C30">IFERROR(INDEX(입고!$E$8:$E$1013,SMALL(IF(입고!$C$8:$C$1013=마스터!$M$17,ROW(입고!$C$8:$C$1013)-7),19)),"")</f>
        <v/>
      </c>
      <c r="D30" s="8" t="str">
        <f t="array" ref="D30">IFERROR(INDEX(입고!$F$8:$F$1013,SMALL(IF(입고!$C$8:$C$1013=마스터!$M$17,ROW(입고!$C$8:$C$1013)-7),19)),"")</f>
        <v/>
      </c>
      <c r="E30" s="46" t="str">
        <f t="array" ref="E30">IFERROR(INDEX(입고!$H$8:$H$1013,SMALL(IF(입고!$C$8:$C$1013=마스터!$M$17,ROW(입고!$C$8:$C$1013)-7),19)),"")</f>
        <v/>
      </c>
      <c r="F30" s="46" t="str">
        <f t="array" ref="F30">IFERROR(INDEX(입고!$I$8:$I$1013,SMALL(IF(입고!$C$8:$C$1013=마스터!$M$17,ROW(입고!$C$8:$C$1013)-7),19)),"")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IFERROR(INDEX(입고!$B$8:$B$1013,SMALL(IF(입고!$C$8:$C$1013=마스터!$M$17,ROW(입고!$C$8:$C$1013)-7),20)),"")</f>
        <v/>
      </c>
      <c r="C31" s="11" t="str">
        <f t="array" ref="C31">IFERROR(INDEX(입고!$E$8:$E$1013,SMALL(IF(입고!$C$8:$C$1013=마스터!$M$17,ROW(입고!$C$8:$C$1013)-7),20)),"")</f>
        <v/>
      </c>
      <c r="D31" s="13" t="str">
        <f t="array" ref="D31">IFERROR(INDEX(입고!$F$8:$F$1013,SMALL(IF(입고!$C$8:$C$1013=마스터!$M$17,ROW(입고!$C$8:$C$1013)-7),20)),"")</f>
        <v/>
      </c>
      <c r="E31" s="50" t="str">
        <f t="array" ref="E31">IFERROR(INDEX(입고!$H$8:$H$1013,SMALL(IF(입고!$C$8:$C$1013=마스터!$M$17,ROW(입고!$C$8:$C$1013)-7),20)),"")</f>
        <v/>
      </c>
      <c r="F31" s="50" t="str">
        <f t="array" ref="F31">IFERROR(INDEX(입고!$I$8:$I$1013,SMALL(IF(입고!$C$8:$C$1013=마스터!$M$17,ROW(입고!$C$8:$C$1013)-7),20)),"")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IFERROR(INDEX(입고!$B$8:$B$1013,SMALL(IF(입고!$C$8:$C$1013=마스터!$M$17,ROW(입고!$C$8:$C$1013)-7),21)),"")</f>
        <v/>
      </c>
      <c r="C32" s="6" t="str">
        <f t="array" ref="C32">IFERROR(INDEX(입고!$E$8:$E$1013,SMALL(IF(입고!$C$8:$C$1013=마스터!$M$17,ROW(입고!$C$8:$C$1013)-7),21)),"")</f>
        <v/>
      </c>
      <c r="D32" s="8" t="str">
        <f t="array" ref="D32">IFERROR(INDEX(입고!$F$8:$F$1013,SMALL(IF(입고!$C$8:$C$1013=마스터!$M$17,ROW(입고!$C$8:$C$1013)-7),21)),"")</f>
        <v/>
      </c>
      <c r="E32" s="46" t="str">
        <f t="array" ref="E32">IFERROR(INDEX(입고!$H$8:$H$1013,SMALL(IF(입고!$C$8:$C$1013=마스터!$M$17,ROW(입고!$C$8:$C$1013)-7),21)),"")</f>
        <v/>
      </c>
      <c r="F32" s="46" t="str">
        <f t="array" ref="F32">IFERROR(INDEX(입고!$I$8:$I$1013,SMALL(IF(입고!$C$8:$C$1013=마스터!$M$17,ROW(입고!$C$8:$C$1013)-7),21)),"")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IFERROR(INDEX(입고!$B$8:$B$1013,SMALL(IF(입고!$C$8:$C$1013=마스터!$M$17,ROW(입고!$C$8:$C$1013)-7),22)),"")</f>
        <v/>
      </c>
      <c r="C33" s="11" t="str">
        <f t="array" ref="C33">IFERROR(INDEX(입고!$E$8:$E$1013,SMALL(IF(입고!$C$8:$C$1013=마스터!$M$17,ROW(입고!$C$8:$C$1013)-7),22)),"")</f>
        <v/>
      </c>
      <c r="D33" s="13" t="str">
        <f t="array" ref="D33">IFERROR(INDEX(입고!$F$8:$F$1013,SMALL(IF(입고!$C$8:$C$1013=마스터!$M$17,ROW(입고!$C$8:$C$1013)-7),22)),"")</f>
        <v/>
      </c>
      <c r="E33" s="50" t="str">
        <f t="array" ref="E33">IFERROR(INDEX(입고!$H$8:$H$1013,SMALL(IF(입고!$C$8:$C$1013=마스터!$M$17,ROW(입고!$C$8:$C$1013)-7),22)),"")</f>
        <v/>
      </c>
      <c r="F33" s="50" t="str">
        <f t="array" ref="F33">IFERROR(INDEX(입고!$I$8:$I$1013,SMALL(IF(입고!$C$8:$C$1013=마스터!$M$17,ROW(입고!$C$8:$C$1013)-7),22)),"")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IFERROR(INDEX(입고!$B$8:$B$1013,SMALL(IF(입고!$C$8:$C$1013=마스터!$M$17,ROW(입고!$C$8:$C$1013)-7),23)),"")</f>
        <v/>
      </c>
      <c r="C34" s="6" t="str">
        <f t="array" ref="C34">IFERROR(INDEX(입고!$E$8:$E$1013,SMALL(IF(입고!$C$8:$C$1013=마스터!$M$17,ROW(입고!$C$8:$C$1013)-7),23)),"")</f>
        <v/>
      </c>
      <c r="D34" s="8" t="str">
        <f t="array" ref="D34">IFERROR(INDEX(입고!$F$8:$F$1013,SMALL(IF(입고!$C$8:$C$1013=마스터!$M$17,ROW(입고!$C$8:$C$1013)-7),23)),"")</f>
        <v/>
      </c>
      <c r="E34" s="46" t="str">
        <f t="array" ref="E34">IFERROR(INDEX(입고!$H$8:$H$1013,SMALL(IF(입고!$C$8:$C$1013=마스터!$M$17,ROW(입고!$C$8:$C$1013)-7),23)),"")</f>
        <v/>
      </c>
      <c r="F34" s="46" t="str">
        <f t="array" ref="F34">IFERROR(INDEX(입고!$I$8:$I$1013,SMALL(IF(입고!$C$8:$C$1013=마스터!$M$17,ROW(입고!$C$8:$C$1013)-7),23)),"")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IFERROR(INDEX(입고!$B$8:$B$1013,SMALL(IF(입고!$C$8:$C$1013=마스터!$M$17,ROW(입고!$C$8:$C$1013)-7),24)),"")</f>
        <v/>
      </c>
      <c r="C35" s="11" t="str">
        <f t="array" ref="C35">IFERROR(INDEX(입고!$E$8:$E$1013,SMALL(IF(입고!$C$8:$C$1013=마스터!$M$17,ROW(입고!$C$8:$C$1013)-7),24)),"")</f>
        <v/>
      </c>
      <c r="D35" s="13" t="str">
        <f t="array" ref="D35">IFERROR(INDEX(입고!$F$8:$F$1013,SMALL(IF(입고!$C$8:$C$1013=마스터!$M$17,ROW(입고!$C$8:$C$1013)-7),24)),"")</f>
        <v/>
      </c>
      <c r="E35" s="50" t="str">
        <f t="array" ref="E35">IFERROR(INDEX(입고!$H$8:$H$1013,SMALL(IF(입고!$C$8:$C$1013=마스터!$M$17,ROW(입고!$C$8:$C$1013)-7),24)),"")</f>
        <v/>
      </c>
      <c r="F35" s="50" t="str">
        <f t="array" ref="F35">IFERROR(INDEX(입고!$I$8:$I$1013,SMALL(IF(입고!$C$8:$C$1013=마스터!$M$17,ROW(입고!$C$8:$C$1013)-7),24)),"")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IFERROR(INDEX(입고!$B$8:$B$1013,SMALL(IF(입고!$C$8:$C$1013=마스터!$M$17,ROW(입고!$C$8:$C$1013)-7),25)),"")</f>
        <v/>
      </c>
      <c r="C36" s="6" t="str">
        <f t="array" ref="C36">IFERROR(INDEX(입고!$E$8:$E$1013,SMALL(IF(입고!$C$8:$C$1013=마스터!$M$17,ROW(입고!$C$8:$C$1013)-7),25)),"")</f>
        <v/>
      </c>
      <c r="D36" s="8" t="str">
        <f t="array" ref="D36">IFERROR(INDEX(입고!$F$8:$F$1013,SMALL(IF(입고!$C$8:$C$1013=마스터!$M$17,ROW(입고!$C$8:$C$1013)-7),25)),"")</f>
        <v/>
      </c>
      <c r="E36" s="46" t="str">
        <f t="array" ref="E36">IFERROR(INDEX(입고!$H$8:$H$1013,SMALL(IF(입고!$C$8:$C$1013=마스터!$M$17,ROW(입고!$C$8:$C$1013)-7),25)),"")</f>
        <v/>
      </c>
      <c r="F36" s="46" t="str">
        <f t="array" ref="F36">IFERROR(INDEX(입고!$I$8:$I$1013,SMALL(IF(입고!$C$8:$C$1013=마스터!$M$17,ROW(입고!$C$8:$C$1013)-7),25)),"")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IFERROR(INDEX(입고!$B$8:$B$1013,SMALL(IF(입고!$C$8:$C$1013=마스터!$M$17,ROW(입고!$C$8:$C$1013)-7),26)),"")</f>
        <v/>
      </c>
      <c r="C37" s="11" t="str">
        <f t="array" ref="C37">IFERROR(INDEX(입고!$E$8:$E$1013,SMALL(IF(입고!$C$8:$C$1013=마스터!$M$17,ROW(입고!$C$8:$C$1013)-7),26)),"")</f>
        <v/>
      </c>
      <c r="D37" s="13" t="str">
        <f t="array" ref="D37">IFERROR(INDEX(입고!$F$8:$F$1013,SMALL(IF(입고!$C$8:$C$1013=마스터!$M$17,ROW(입고!$C$8:$C$1013)-7),26)),"")</f>
        <v/>
      </c>
      <c r="E37" s="50" t="str">
        <f t="array" ref="E37">IFERROR(INDEX(입고!$H$8:$H$1013,SMALL(IF(입고!$C$8:$C$1013=마스터!$M$17,ROW(입고!$C$8:$C$1013)-7),26)),"")</f>
        <v/>
      </c>
      <c r="F37" s="50" t="str">
        <f t="array" ref="F37">IFERROR(INDEX(입고!$I$8:$I$1013,SMALL(IF(입고!$C$8:$C$1013=마스터!$M$17,ROW(입고!$C$8:$C$1013)-7),26)),"")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IFERROR(INDEX(입고!$B$8:$B$1013,SMALL(IF(입고!$C$8:$C$1013=마스터!$M$17,ROW(입고!$C$8:$C$1013)-7),27)),"")</f>
        <v/>
      </c>
      <c r="C38" s="6" t="str">
        <f t="array" ref="C38">IFERROR(INDEX(입고!$E$8:$E$1013,SMALL(IF(입고!$C$8:$C$1013=마스터!$M$17,ROW(입고!$C$8:$C$1013)-7),27)),"")</f>
        <v/>
      </c>
      <c r="D38" s="8" t="str">
        <f t="array" ref="D38">IFERROR(INDEX(입고!$F$8:$F$1013,SMALL(IF(입고!$C$8:$C$1013=마스터!$M$17,ROW(입고!$C$8:$C$1013)-7),27)),"")</f>
        <v/>
      </c>
      <c r="E38" s="46" t="str">
        <f t="array" ref="E38">IFERROR(INDEX(입고!$H$8:$H$1013,SMALL(IF(입고!$C$8:$C$1013=마스터!$M$17,ROW(입고!$C$8:$C$1013)-7),27)),"")</f>
        <v/>
      </c>
      <c r="F38" s="46" t="str">
        <f t="array" ref="F38">IFERROR(INDEX(입고!$I$8:$I$1013,SMALL(IF(입고!$C$8:$C$1013=마스터!$M$17,ROW(입고!$C$8:$C$1013)-7),27)),"")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IFERROR(INDEX(입고!$B$8:$B$1013,SMALL(IF(입고!$C$8:$C$1013=마스터!$M$17,ROW(입고!$C$8:$C$1013)-7),28)),"")</f>
        <v/>
      </c>
      <c r="C39" s="11" t="str">
        <f t="array" ref="C39">IFERROR(INDEX(입고!$E$8:$E$1013,SMALL(IF(입고!$C$8:$C$1013=마스터!$M$17,ROW(입고!$C$8:$C$1013)-7),28)),"")</f>
        <v/>
      </c>
      <c r="D39" s="13" t="str">
        <f t="array" ref="D39">IFERROR(INDEX(입고!$F$8:$F$1013,SMALL(IF(입고!$C$8:$C$1013=마스터!$M$17,ROW(입고!$C$8:$C$1013)-7),28)),"")</f>
        <v/>
      </c>
      <c r="E39" s="50" t="str">
        <f t="array" ref="E39">IFERROR(INDEX(입고!$H$8:$H$1013,SMALL(IF(입고!$C$8:$C$1013=마스터!$M$17,ROW(입고!$C$8:$C$1013)-7),28)),"")</f>
        <v/>
      </c>
      <c r="F39" s="50" t="str">
        <f t="array" ref="F39">IFERROR(INDEX(입고!$I$8:$I$1013,SMALL(IF(입고!$C$8:$C$1013=마스터!$M$17,ROW(입고!$C$8:$C$1013)-7),28)),"")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IFERROR(INDEX(입고!$B$8:$B$1013,SMALL(IF(입고!$C$8:$C$1013=마스터!$M$17,ROW(입고!$C$8:$C$1013)-7),29)),"")</f>
        <v/>
      </c>
      <c r="C40" s="6" t="str">
        <f t="array" ref="C40">IFERROR(INDEX(입고!$E$8:$E$1013,SMALL(IF(입고!$C$8:$C$1013=마스터!$M$17,ROW(입고!$C$8:$C$1013)-7),29)),"")</f>
        <v/>
      </c>
      <c r="D40" s="8" t="str">
        <f t="array" ref="D40">IFERROR(INDEX(입고!$F$8:$F$1013,SMALL(IF(입고!$C$8:$C$1013=마스터!$M$17,ROW(입고!$C$8:$C$1013)-7),29)),"")</f>
        <v/>
      </c>
      <c r="E40" s="46" t="str">
        <f t="array" ref="E40">IFERROR(INDEX(입고!$H$8:$H$1013,SMALL(IF(입고!$C$8:$C$1013=마스터!$M$17,ROW(입고!$C$8:$C$1013)-7),29)),"")</f>
        <v/>
      </c>
      <c r="F40" s="46" t="str">
        <f t="array" ref="F40">IFERROR(INDEX(입고!$I$8:$I$1013,SMALL(IF(입고!$C$8:$C$1013=마스터!$M$17,ROW(입고!$C$8:$C$1013)-7),29)),"")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IFERROR(INDEX(입고!$B$8:$B$1013,SMALL(IF(입고!$C$8:$C$1013=마스터!$M$17,ROW(입고!$C$8:$C$1013)-7),30)),"")</f>
        <v/>
      </c>
      <c r="C41" s="11" t="str">
        <f t="array" ref="C41">IFERROR(INDEX(입고!$E$8:$E$1013,SMALL(IF(입고!$C$8:$C$1013=마스터!$M$17,ROW(입고!$C$8:$C$1013)-7),30)),"")</f>
        <v/>
      </c>
      <c r="D41" s="13" t="str">
        <f t="array" ref="D41">IFERROR(INDEX(입고!$F$8:$F$1013,SMALL(IF(입고!$C$8:$C$1013=마스터!$M$17,ROW(입고!$C$8:$C$1013)-7),30)),"")</f>
        <v/>
      </c>
      <c r="E41" s="50" t="str">
        <f t="array" ref="E41">IFERROR(INDEX(입고!$H$8:$H$1013,SMALL(IF(입고!$C$8:$C$1013=마스터!$M$17,ROW(입고!$C$8:$C$1013)-7),30)),"")</f>
        <v/>
      </c>
      <c r="F41" s="50" t="str">
        <f t="array" ref="F41">IFERROR(INDEX(입고!$I$8:$I$1013,SMALL(IF(입고!$C$8:$C$1013=마스터!$M$17,ROW(입고!$C$8:$C$1013)-7),30)),"")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IFERROR(INDEX(출고!$B$8:$B$1013,SMALL(IF(출고!$C$8:$C$1013=마스터!$M$17,ROW(출고!$C$8:$C$1013)-7),1)),"")</f>
        <v/>
      </c>
      <c r="C45" s="6" t="str">
        <f t="array" ref="C45">IFERROR(INDEX(출고!$E$8:$E$1013,SMALL(IF(출고!$C$8:$C$1013=마스터!$M$17,ROW(출고!$C$8:$C$1013)-7),1)),"")</f>
        <v/>
      </c>
      <c r="D45" s="8" t="str">
        <f t="array" ref="D45">IFERROR(INDEX(출고!$F$8:$F$1013,SMALL(IF(출고!$C$8:$C$1013=마스터!$M$17,ROW(출고!$C$8:$C$1013)-7),1)),"")</f>
        <v/>
      </c>
      <c r="E45" s="46" t="str">
        <f t="array" ref="E45">IFERROR(INDEX(출고!$H$8:$H$1013,SMALL(IF(출고!$C$8:$C$1013=마스터!$M$17,ROW(출고!$C$8:$C$1013)-7),1)),"")</f>
        <v/>
      </c>
      <c r="F45" s="46" t="str">
        <f t="array" ref="F45">IFERROR(INDEX(출고!$I$8:$I$1013,SMALL(IF(출고!$C$8:$C$1013=마스터!$M$17,ROW(출고!$C$8:$C$1013)-7),1)),"")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IFERROR(INDEX(출고!$B$8:$B$1013,SMALL(IF(출고!$C$8:$C$1013=마스터!$M$17,ROW(출고!$C$8:$C$1013)-7),2)),"")</f>
        <v/>
      </c>
      <c r="C46" s="11" t="str">
        <f t="array" ref="C46">IFERROR(INDEX(출고!$E$8:$E$1013,SMALL(IF(출고!$C$8:$C$1013=마스터!$M$17,ROW(출고!$C$8:$C$1013)-7),2)),"")</f>
        <v/>
      </c>
      <c r="D46" s="13" t="str">
        <f t="array" ref="D46">IFERROR(INDEX(출고!$F$8:$F$1013,SMALL(IF(출고!$C$8:$C$1013=마스터!$M$17,ROW(출고!$C$8:$C$1013)-7),2)),"")</f>
        <v/>
      </c>
      <c r="E46" s="50" t="str">
        <f t="array" ref="E46">IFERROR(INDEX(출고!$H$8:$H$1013,SMALL(IF(출고!$C$8:$C$1013=마스터!$M$17,ROW(출고!$C$8:$C$1013)-7),2)),"")</f>
        <v/>
      </c>
      <c r="F46" s="50" t="str">
        <f t="array" ref="F46">IFERROR(INDEX(출고!$I$8:$I$1013,SMALL(IF(출고!$C$8:$C$1013=마스터!$M$17,ROW(출고!$C$8:$C$1013)-7),2)),"")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IFERROR(INDEX(출고!$B$8:$B$1013,SMALL(IF(출고!$C$8:$C$1013=마스터!$M$17,ROW(출고!$C$8:$C$1013)-7),3)),"")</f>
        <v/>
      </c>
      <c r="C47" s="6" t="str">
        <f t="array" ref="C47">IFERROR(INDEX(출고!$E$8:$E$1013,SMALL(IF(출고!$C$8:$C$1013=마스터!$M$17,ROW(출고!$C$8:$C$1013)-7),3)),"")</f>
        <v/>
      </c>
      <c r="D47" s="8" t="str">
        <f t="array" ref="D47">IFERROR(INDEX(출고!$F$8:$F$1013,SMALL(IF(출고!$C$8:$C$1013=마스터!$M$17,ROW(출고!$C$8:$C$1013)-7),3)),"")</f>
        <v/>
      </c>
      <c r="E47" s="46" t="str">
        <f t="array" ref="E47">IFERROR(INDEX(출고!$H$8:$H$1013,SMALL(IF(출고!$C$8:$C$1013=마스터!$M$17,ROW(출고!$C$8:$C$1013)-7),3)),"")</f>
        <v/>
      </c>
      <c r="F47" s="46" t="str">
        <f t="array" ref="F47">IFERROR(INDEX(출고!$I$8:$I$1013,SMALL(IF(출고!$C$8:$C$1013=마스터!$M$17,ROW(출고!$C$8:$C$1013)-7),3)),"")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IFERROR(INDEX(출고!$B$8:$B$1013,SMALL(IF(출고!$C$8:$C$1013=마스터!$M$17,ROW(출고!$C$8:$C$1013)-7),4)),"")</f>
        <v/>
      </c>
      <c r="C48" s="11" t="str">
        <f t="array" ref="C48">IFERROR(INDEX(출고!$E$8:$E$1013,SMALL(IF(출고!$C$8:$C$1013=마스터!$M$17,ROW(출고!$C$8:$C$1013)-7),4)),"")</f>
        <v/>
      </c>
      <c r="D48" s="13" t="str">
        <f t="array" ref="D48">IFERROR(INDEX(출고!$F$8:$F$1013,SMALL(IF(출고!$C$8:$C$1013=마스터!$M$17,ROW(출고!$C$8:$C$1013)-7),4)),"")</f>
        <v/>
      </c>
      <c r="E48" s="50" t="str">
        <f t="array" ref="E48">IFERROR(INDEX(출고!$H$8:$H$1013,SMALL(IF(출고!$C$8:$C$1013=마스터!$M$17,ROW(출고!$C$8:$C$1013)-7),4)),"")</f>
        <v/>
      </c>
      <c r="F48" s="50" t="str">
        <f t="array" ref="F48">IFERROR(INDEX(출고!$I$8:$I$1013,SMALL(IF(출고!$C$8:$C$1013=마스터!$M$17,ROW(출고!$C$8:$C$1013)-7),4)),"")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IFERROR(INDEX(출고!$B$8:$B$1013,SMALL(IF(출고!$C$8:$C$1013=마스터!$M$17,ROW(출고!$C$8:$C$1013)-7),5)),"")</f>
        <v/>
      </c>
      <c r="C49" s="6" t="str">
        <f t="array" ref="C49">IFERROR(INDEX(출고!$E$8:$E$1013,SMALL(IF(출고!$C$8:$C$1013=마스터!$M$17,ROW(출고!$C$8:$C$1013)-7),5)),"")</f>
        <v/>
      </c>
      <c r="D49" s="8" t="str">
        <f t="array" ref="D49">IFERROR(INDEX(출고!$F$8:$F$1013,SMALL(IF(출고!$C$8:$C$1013=마스터!$M$17,ROW(출고!$C$8:$C$1013)-7),5)),"")</f>
        <v/>
      </c>
      <c r="E49" s="46" t="str">
        <f t="array" ref="E49">IFERROR(INDEX(출고!$H$8:$H$1013,SMALL(IF(출고!$C$8:$C$1013=마스터!$M$17,ROW(출고!$C$8:$C$1013)-7),5)),"")</f>
        <v/>
      </c>
      <c r="F49" s="46" t="str">
        <f t="array" ref="F49">IFERROR(INDEX(출고!$I$8:$I$1013,SMALL(IF(출고!$C$8:$C$1013=마스터!$M$17,ROW(출고!$C$8:$C$1013)-7),5)),"")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IFERROR(INDEX(출고!$B$8:$B$1013,SMALL(IF(출고!$C$8:$C$1013=마스터!$M$17,ROW(출고!$C$8:$C$1013)-7),6)),"")</f>
        <v/>
      </c>
      <c r="C50" s="11" t="str">
        <f t="array" ref="C50">IFERROR(INDEX(출고!$E$8:$E$1013,SMALL(IF(출고!$C$8:$C$1013=마스터!$M$17,ROW(출고!$C$8:$C$1013)-7),6)),"")</f>
        <v/>
      </c>
      <c r="D50" s="13" t="str">
        <f t="array" ref="D50">IFERROR(INDEX(출고!$F$8:$F$1013,SMALL(IF(출고!$C$8:$C$1013=마스터!$M$17,ROW(출고!$C$8:$C$1013)-7),6)),"")</f>
        <v/>
      </c>
      <c r="E50" s="50" t="str">
        <f t="array" ref="E50">IFERROR(INDEX(출고!$H$8:$H$1013,SMALL(IF(출고!$C$8:$C$1013=마스터!$M$17,ROW(출고!$C$8:$C$1013)-7),6)),"")</f>
        <v/>
      </c>
      <c r="F50" s="50" t="str">
        <f t="array" ref="F50">IFERROR(INDEX(출고!$I$8:$I$1013,SMALL(IF(출고!$C$8:$C$1013=마스터!$M$17,ROW(출고!$C$8:$C$1013)-7),6)),"")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IFERROR(INDEX(출고!$B$8:$B$1013,SMALL(IF(출고!$C$8:$C$1013=마스터!$M$17,ROW(출고!$C$8:$C$1013)-7),7)),"")</f>
        <v/>
      </c>
      <c r="C51" s="6" t="str">
        <f t="array" ref="C51">IFERROR(INDEX(출고!$E$8:$E$1013,SMALL(IF(출고!$C$8:$C$1013=마스터!$M$17,ROW(출고!$C$8:$C$1013)-7),7)),"")</f>
        <v/>
      </c>
      <c r="D51" s="8" t="str">
        <f t="array" ref="D51">IFERROR(INDEX(출고!$F$8:$F$1013,SMALL(IF(출고!$C$8:$C$1013=마스터!$M$17,ROW(출고!$C$8:$C$1013)-7),7)),"")</f>
        <v/>
      </c>
      <c r="E51" s="46" t="str">
        <f t="array" ref="E51">IFERROR(INDEX(출고!$H$8:$H$1013,SMALL(IF(출고!$C$8:$C$1013=마스터!$M$17,ROW(출고!$C$8:$C$1013)-7),7)),"")</f>
        <v/>
      </c>
      <c r="F51" s="46" t="str">
        <f t="array" ref="F51">IFERROR(INDEX(출고!$I$8:$I$1013,SMALL(IF(출고!$C$8:$C$1013=마스터!$M$17,ROW(출고!$C$8:$C$1013)-7),7)),"")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IFERROR(INDEX(출고!$B$8:$B$1013,SMALL(IF(출고!$C$8:$C$1013=마스터!$M$17,ROW(출고!$C$8:$C$1013)-7),8)),"")</f>
        <v/>
      </c>
      <c r="C52" s="11" t="str">
        <f t="array" ref="C52">IFERROR(INDEX(출고!$E$8:$E$1013,SMALL(IF(출고!$C$8:$C$1013=마스터!$M$17,ROW(출고!$C$8:$C$1013)-7),8)),"")</f>
        <v/>
      </c>
      <c r="D52" s="13" t="str">
        <f t="array" ref="D52">IFERROR(INDEX(출고!$F$8:$F$1013,SMALL(IF(출고!$C$8:$C$1013=마스터!$M$17,ROW(출고!$C$8:$C$1013)-7),8)),"")</f>
        <v/>
      </c>
      <c r="E52" s="50" t="str">
        <f t="array" ref="E52">IFERROR(INDEX(출고!$H$8:$H$1013,SMALL(IF(출고!$C$8:$C$1013=마스터!$M$17,ROW(출고!$C$8:$C$1013)-7),8)),"")</f>
        <v/>
      </c>
      <c r="F52" s="50" t="str">
        <f t="array" ref="F52">IFERROR(INDEX(출고!$I$8:$I$1013,SMALL(IF(출고!$C$8:$C$1013=마스터!$M$17,ROW(출고!$C$8:$C$1013)-7),8)),"")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IFERROR(INDEX(출고!$B$8:$B$1013,SMALL(IF(출고!$C$8:$C$1013=마스터!$M$17,ROW(출고!$C$8:$C$1013)-7),9)),"")</f>
        <v/>
      </c>
      <c r="C53" s="6" t="str">
        <f t="array" ref="C53">IFERROR(INDEX(출고!$E$8:$E$1013,SMALL(IF(출고!$C$8:$C$1013=마스터!$M$17,ROW(출고!$C$8:$C$1013)-7),9)),"")</f>
        <v/>
      </c>
      <c r="D53" s="8" t="str">
        <f t="array" ref="D53">IFERROR(INDEX(출고!$F$8:$F$1013,SMALL(IF(출고!$C$8:$C$1013=마스터!$M$17,ROW(출고!$C$8:$C$1013)-7),9)),"")</f>
        <v/>
      </c>
      <c r="E53" s="46" t="str">
        <f t="array" ref="E53">IFERROR(INDEX(출고!$H$8:$H$1013,SMALL(IF(출고!$C$8:$C$1013=마스터!$M$17,ROW(출고!$C$8:$C$1013)-7),9)),"")</f>
        <v/>
      </c>
      <c r="F53" s="46" t="str">
        <f t="array" ref="F53">IFERROR(INDEX(출고!$I$8:$I$1013,SMALL(IF(출고!$C$8:$C$1013=마스터!$M$17,ROW(출고!$C$8:$C$1013)-7),9)),"")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IFERROR(INDEX(출고!$B$8:$B$1013,SMALL(IF(출고!$C$8:$C$1013=마스터!$M$17,ROW(출고!$C$8:$C$1013)-7),10)),"")</f>
        <v/>
      </c>
      <c r="C54" s="11" t="str">
        <f t="array" ref="C54">IFERROR(INDEX(출고!$E$8:$E$1013,SMALL(IF(출고!$C$8:$C$1013=마스터!$M$17,ROW(출고!$C$8:$C$1013)-7),10)),"")</f>
        <v/>
      </c>
      <c r="D54" s="13" t="str">
        <f t="array" ref="D54">IFERROR(INDEX(출고!$F$8:$F$1013,SMALL(IF(출고!$C$8:$C$1013=마스터!$M$17,ROW(출고!$C$8:$C$1013)-7),10)),"")</f>
        <v/>
      </c>
      <c r="E54" s="50" t="str">
        <f t="array" ref="E54">IFERROR(INDEX(출고!$H$8:$H$1013,SMALL(IF(출고!$C$8:$C$1013=마스터!$M$17,ROW(출고!$C$8:$C$1013)-7),10)),"")</f>
        <v/>
      </c>
      <c r="F54" s="50" t="str">
        <f t="array" ref="F54">IFERROR(INDEX(출고!$I$8:$I$1013,SMALL(IF(출고!$C$8:$C$1013=마스터!$M$17,ROW(출고!$C$8:$C$1013)-7),10)),"")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IFERROR(INDEX(출고!$B$8:$B$1013,SMALL(IF(출고!$C$8:$C$1013=마스터!$M$17,ROW(출고!$C$8:$C$1013)-7),11)),"")</f>
        <v/>
      </c>
      <c r="C55" s="6" t="str">
        <f t="array" ref="C55">IFERROR(INDEX(출고!$E$8:$E$1013,SMALL(IF(출고!$C$8:$C$1013=마스터!$M$17,ROW(출고!$C$8:$C$1013)-7),11)),"")</f>
        <v/>
      </c>
      <c r="D55" s="8" t="str">
        <f t="array" ref="D55">IFERROR(INDEX(출고!$F$8:$F$1013,SMALL(IF(출고!$C$8:$C$1013=마스터!$M$17,ROW(출고!$C$8:$C$1013)-7),11)),"")</f>
        <v/>
      </c>
      <c r="E55" s="46" t="str">
        <f t="array" ref="E55">IFERROR(INDEX(출고!$H$8:$H$1013,SMALL(IF(출고!$C$8:$C$1013=마스터!$M$17,ROW(출고!$C$8:$C$1013)-7),11)),"")</f>
        <v/>
      </c>
      <c r="F55" s="46" t="str">
        <f t="array" ref="F55">IFERROR(INDEX(출고!$I$8:$I$1013,SMALL(IF(출고!$C$8:$C$1013=마스터!$M$17,ROW(출고!$C$8:$C$1013)-7),11)),"")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IFERROR(INDEX(출고!$B$8:$B$1013,SMALL(IF(출고!$C$8:$C$1013=마스터!$M$17,ROW(출고!$C$8:$C$1013)-7),12)),"")</f>
        <v/>
      </c>
      <c r="C56" s="11" t="str">
        <f t="array" ref="C56">IFERROR(INDEX(출고!$E$8:$E$1013,SMALL(IF(출고!$C$8:$C$1013=마스터!$M$17,ROW(출고!$C$8:$C$1013)-7),12)),"")</f>
        <v/>
      </c>
      <c r="D56" s="13" t="str">
        <f t="array" ref="D56">IFERROR(INDEX(출고!$F$8:$F$1013,SMALL(IF(출고!$C$8:$C$1013=마스터!$M$17,ROW(출고!$C$8:$C$1013)-7),12)),"")</f>
        <v/>
      </c>
      <c r="E56" s="50" t="str">
        <f t="array" ref="E56">IFERROR(INDEX(출고!$H$8:$H$1013,SMALL(IF(출고!$C$8:$C$1013=마스터!$M$17,ROW(출고!$C$8:$C$1013)-7),12)),"")</f>
        <v/>
      </c>
      <c r="F56" s="50" t="str">
        <f t="array" ref="F56">IFERROR(INDEX(출고!$I$8:$I$1013,SMALL(IF(출고!$C$8:$C$1013=마스터!$M$17,ROW(출고!$C$8:$C$1013)-7),12)),"")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IFERROR(INDEX(출고!$B$8:$B$1013,SMALL(IF(출고!$C$8:$C$1013=마스터!$M$17,ROW(출고!$C$8:$C$1013)-7),13)),"")</f>
        <v/>
      </c>
      <c r="C57" s="6" t="str">
        <f t="array" ref="C57">IFERROR(INDEX(출고!$E$8:$E$1013,SMALL(IF(출고!$C$8:$C$1013=마스터!$M$17,ROW(출고!$C$8:$C$1013)-7),13)),"")</f>
        <v/>
      </c>
      <c r="D57" s="8" t="str">
        <f t="array" ref="D57">IFERROR(INDEX(출고!$F$8:$F$1013,SMALL(IF(출고!$C$8:$C$1013=마스터!$M$17,ROW(출고!$C$8:$C$1013)-7),13)),"")</f>
        <v/>
      </c>
      <c r="E57" s="46" t="str">
        <f t="array" ref="E57">IFERROR(INDEX(출고!$H$8:$H$1013,SMALL(IF(출고!$C$8:$C$1013=마스터!$M$17,ROW(출고!$C$8:$C$1013)-7),13)),"")</f>
        <v/>
      </c>
      <c r="F57" s="46" t="str">
        <f t="array" ref="F57">IFERROR(INDEX(출고!$I$8:$I$1013,SMALL(IF(출고!$C$8:$C$1013=마스터!$M$17,ROW(출고!$C$8:$C$1013)-7),13)),"")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IFERROR(INDEX(출고!$B$8:$B$1013,SMALL(IF(출고!$C$8:$C$1013=마스터!$M$17,ROW(출고!$C$8:$C$1013)-7),14)),"")</f>
        <v/>
      </c>
      <c r="C58" s="11" t="str">
        <f t="array" ref="C58">IFERROR(INDEX(출고!$E$8:$E$1013,SMALL(IF(출고!$C$8:$C$1013=마스터!$M$17,ROW(출고!$C$8:$C$1013)-7),14)),"")</f>
        <v/>
      </c>
      <c r="D58" s="13" t="str">
        <f t="array" ref="D58">IFERROR(INDEX(출고!$F$8:$F$1013,SMALL(IF(출고!$C$8:$C$1013=마스터!$M$17,ROW(출고!$C$8:$C$1013)-7),14)),"")</f>
        <v/>
      </c>
      <c r="E58" s="50" t="str">
        <f t="array" ref="E58">IFERROR(INDEX(출고!$H$8:$H$1013,SMALL(IF(출고!$C$8:$C$1013=마스터!$M$17,ROW(출고!$C$8:$C$1013)-7),14)),"")</f>
        <v/>
      </c>
      <c r="F58" s="50" t="str">
        <f t="array" ref="F58">IFERROR(INDEX(출고!$I$8:$I$1013,SMALL(IF(출고!$C$8:$C$1013=마스터!$M$17,ROW(출고!$C$8:$C$1013)-7),14)),"")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IFERROR(INDEX(출고!$B$8:$B$1013,SMALL(IF(출고!$C$8:$C$1013=마스터!$M$17,ROW(출고!$C$8:$C$1013)-7),15)),"")</f>
        <v/>
      </c>
      <c r="C59" s="6" t="str">
        <f t="array" ref="C59">IFERROR(INDEX(출고!$E$8:$E$1013,SMALL(IF(출고!$C$8:$C$1013=마스터!$M$17,ROW(출고!$C$8:$C$1013)-7),15)),"")</f>
        <v/>
      </c>
      <c r="D59" s="8" t="str">
        <f t="array" ref="D59">IFERROR(INDEX(출고!$F$8:$F$1013,SMALL(IF(출고!$C$8:$C$1013=마스터!$M$17,ROW(출고!$C$8:$C$1013)-7),15)),"")</f>
        <v/>
      </c>
      <c r="E59" s="46" t="str">
        <f t="array" ref="E59">IFERROR(INDEX(출고!$H$8:$H$1013,SMALL(IF(출고!$C$8:$C$1013=마스터!$M$17,ROW(출고!$C$8:$C$1013)-7),15)),"")</f>
        <v/>
      </c>
      <c r="F59" s="46" t="str">
        <f t="array" ref="F59">IFERROR(INDEX(출고!$I$8:$I$1013,SMALL(IF(출고!$C$8:$C$1013=마스터!$M$17,ROW(출고!$C$8:$C$1013)-7),15)),"")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IFERROR(INDEX(출고!$B$8:$B$1013,SMALL(IF(출고!$C$8:$C$1013=마스터!$M$17,ROW(출고!$C$8:$C$1013)-7),16)),"")</f>
        <v/>
      </c>
      <c r="C60" s="11" t="str">
        <f t="array" ref="C60">IFERROR(INDEX(출고!$E$8:$E$1013,SMALL(IF(출고!$C$8:$C$1013=마스터!$M$17,ROW(출고!$C$8:$C$1013)-7),16)),"")</f>
        <v/>
      </c>
      <c r="D60" s="13" t="str">
        <f t="array" ref="D60">IFERROR(INDEX(출고!$F$8:$F$1013,SMALL(IF(출고!$C$8:$C$1013=마스터!$M$17,ROW(출고!$C$8:$C$1013)-7),16)),"")</f>
        <v/>
      </c>
      <c r="E60" s="50" t="str">
        <f t="array" ref="E60">IFERROR(INDEX(출고!$H$8:$H$1013,SMALL(IF(출고!$C$8:$C$1013=마스터!$M$17,ROW(출고!$C$8:$C$1013)-7),16)),"")</f>
        <v/>
      </c>
      <c r="F60" s="50" t="str">
        <f t="array" ref="F60">IFERROR(INDEX(출고!$I$8:$I$1013,SMALL(IF(출고!$C$8:$C$1013=마스터!$M$17,ROW(출고!$C$8:$C$1013)-7),16)),"")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IFERROR(INDEX(출고!$B$8:$B$1013,SMALL(IF(출고!$C$8:$C$1013=마스터!$M$17,ROW(출고!$C$8:$C$1013)-7),17)),"")</f>
        <v/>
      </c>
      <c r="C61" s="6" t="str">
        <f t="array" ref="C61">IFERROR(INDEX(출고!$E$8:$E$1013,SMALL(IF(출고!$C$8:$C$1013=마스터!$M$17,ROW(출고!$C$8:$C$1013)-7),17)),"")</f>
        <v/>
      </c>
      <c r="D61" s="8" t="str">
        <f t="array" ref="D61">IFERROR(INDEX(출고!$F$8:$F$1013,SMALL(IF(출고!$C$8:$C$1013=마스터!$M$17,ROW(출고!$C$8:$C$1013)-7),17)),"")</f>
        <v/>
      </c>
      <c r="E61" s="46" t="str">
        <f t="array" ref="E61">IFERROR(INDEX(출고!$H$8:$H$1013,SMALL(IF(출고!$C$8:$C$1013=마스터!$M$17,ROW(출고!$C$8:$C$1013)-7),17)),"")</f>
        <v/>
      </c>
      <c r="F61" s="46" t="str">
        <f t="array" ref="F61">IFERROR(INDEX(출고!$I$8:$I$1013,SMALL(IF(출고!$C$8:$C$1013=마스터!$M$17,ROW(출고!$C$8:$C$1013)-7),17)),"")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IFERROR(INDEX(출고!$B$8:$B$1013,SMALL(IF(출고!$C$8:$C$1013=마스터!$M$17,ROW(출고!$C$8:$C$1013)-7),18)),"")</f>
        <v/>
      </c>
      <c r="C62" s="11" t="str">
        <f t="array" ref="C62">IFERROR(INDEX(출고!$E$8:$E$1013,SMALL(IF(출고!$C$8:$C$1013=마스터!$M$17,ROW(출고!$C$8:$C$1013)-7),18)),"")</f>
        <v/>
      </c>
      <c r="D62" s="13" t="str">
        <f t="array" ref="D62">IFERROR(INDEX(출고!$F$8:$F$1013,SMALL(IF(출고!$C$8:$C$1013=마스터!$M$17,ROW(출고!$C$8:$C$1013)-7),18)),"")</f>
        <v/>
      </c>
      <c r="E62" s="50" t="str">
        <f t="array" ref="E62">IFERROR(INDEX(출고!$H$8:$H$1013,SMALL(IF(출고!$C$8:$C$1013=마스터!$M$17,ROW(출고!$C$8:$C$1013)-7),18)),"")</f>
        <v/>
      </c>
      <c r="F62" s="50" t="str">
        <f t="array" ref="F62">IFERROR(INDEX(출고!$I$8:$I$1013,SMALL(IF(출고!$C$8:$C$1013=마스터!$M$17,ROW(출고!$C$8:$C$1013)-7),18)),"")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IFERROR(INDEX(출고!$B$8:$B$1013,SMALL(IF(출고!$C$8:$C$1013=마스터!$M$17,ROW(출고!$C$8:$C$1013)-7),19)),"")</f>
        <v/>
      </c>
      <c r="C63" s="6" t="str">
        <f t="array" ref="C63">IFERROR(INDEX(출고!$E$8:$E$1013,SMALL(IF(출고!$C$8:$C$1013=마스터!$M$17,ROW(출고!$C$8:$C$1013)-7),19)),"")</f>
        <v/>
      </c>
      <c r="D63" s="8" t="str">
        <f t="array" ref="D63">IFERROR(INDEX(출고!$F$8:$F$1013,SMALL(IF(출고!$C$8:$C$1013=마스터!$M$17,ROW(출고!$C$8:$C$1013)-7),19)),"")</f>
        <v/>
      </c>
      <c r="E63" s="46" t="str">
        <f t="array" ref="E63">IFERROR(INDEX(출고!$H$8:$H$1013,SMALL(IF(출고!$C$8:$C$1013=마스터!$M$17,ROW(출고!$C$8:$C$1013)-7),19)),"")</f>
        <v/>
      </c>
      <c r="F63" s="46" t="str">
        <f t="array" ref="F63">IFERROR(INDEX(출고!$I$8:$I$1013,SMALL(IF(출고!$C$8:$C$1013=마스터!$M$17,ROW(출고!$C$8:$C$1013)-7),19)),"")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IFERROR(INDEX(출고!$B$8:$B$1013,SMALL(IF(출고!$C$8:$C$1013=마스터!$M$17,ROW(출고!$C$8:$C$1013)-7),20)),"")</f>
        <v/>
      </c>
      <c r="C64" s="11" t="str">
        <f t="array" ref="C64">IFERROR(INDEX(출고!$E$8:$E$1013,SMALL(IF(출고!$C$8:$C$1013=마스터!$M$17,ROW(출고!$C$8:$C$1013)-7),20)),"")</f>
        <v/>
      </c>
      <c r="D64" s="13" t="str">
        <f t="array" ref="D64">IFERROR(INDEX(출고!$F$8:$F$1013,SMALL(IF(출고!$C$8:$C$1013=마스터!$M$17,ROW(출고!$C$8:$C$1013)-7),20)),"")</f>
        <v/>
      </c>
      <c r="E64" s="50" t="str">
        <f t="array" ref="E64">IFERROR(INDEX(출고!$H$8:$H$1013,SMALL(IF(출고!$C$8:$C$1013=마스터!$M$17,ROW(출고!$C$8:$C$1013)-7),20)),"")</f>
        <v/>
      </c>
      <c r="F64" s="50" t="str">
        <f t="array" ref="F64">IFERROR(INDEX(출고!$I$8:$I$1013,SMALL(IF(출고!$C$8:$C$1013=마스터!$M$17,ROW(출고!$C$8:$C$1013)-7),20)),"")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IFERROR(INDEX(출고!$B$8:$B$1013,SMALL(IF(출고!$C$8:$C$1013=마스터!$M$17,ROW(출고!$C$8:$C$1013)-7),21)),"")</f>
        <v/>
      </c>
      <c r="C65" s="6" t="str">
        <f t="array" ref="C65">IFERROR(INDEX(출고!$E$8:$E$1013,SMALL(IF(출고!$C$8:$C$1013=마스터!$M$17,ROW(출고!$C$8:$C$1013)-7),21)),"")</f>
        <v/>
      </c>
      <c r="D65" s="8" t="str">
        <f t="array" ref="D65">IFERROR(INDEX(출고!$F$8:$F$1013,SMALL(IF(출고!$C$8:$C$1013=마스터!$M$17,ROW(출고!$C$8:$C$1013)-7),21)),"")</f>
        <v/>
      </c>
      <c r="E65" s="46" t="str">
        <f t="array" ref="E65">IFERROR(INDEX(출고!$H$8:$H$1013,SMALL(IF(출고!$C$8:$C$1013=마스터!$M$17,ROW(출고!$C$8:$C$1013)-7),21)),"")</f>
        <v/>
      </c>
      <c r="F65" s="46" t="str">
        <f t="array" ref="F65">IFERROR(INDEX(출고!$I$8:$I$1013,SMALL(IF(출고!$C$8:$C$1013=마스터!$M$17,ROW(출고!$C$8:$C$1013)-7),21)),"")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IFERROR(INDEX(출고!$B$8:$B$1013,SMALL(IF(출고!$C$8:$C$1013=마스터!$M$17,ROW(출고!$C$8:$C$1013)-7),22)),"")</f>
        <v/>
      </c>
      <c r="C66" s="11" t="str">
        <f t="array" ref="C66">IFERROR(INDEX(출고!$E$8:$E$1013,SMALL(IF(출고!$C$8:$C$1013=마스터!$M$17,ROW(출고!$C$8:$C$1013)-7),22)),"")</f>
        <v/>
      </c>
      <c r="D66" s="13" t="str">
        <f t="array" ref="D66">IFERROR(INDEX(출고!$F$8:$F$1013,SMALL(IF(출고!$C$8:$C$1013=마스터!$M$17,ROW(출고!$C$8:$C$1013)-7),22)),"")</f>
        <v/>
      </c>
      <c r="E66" s="50" t="str">
        <f t="array" ref="E66">IFERROR(INDEX(출고!$H$8:$H$1013,SMALL(IF(출고!$C$8:$C$1013=마스터!$M$17,ROW(출고!$C$8:$C$1013)-7),22)),"")</f>
        <v/>
      </c>
      <c r="F66" s="50" t="str">
        <f t="array" ref="F66">IFERROR(INDEX(출고!$I$8:$I$1013,SMALL(IF(출고!$C$8:$C$1013=마스터!$M$17,ROW(출고!$C$8:$C$1013)-7),22)),"")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IFERROR(INDEX(출고!$B$8:$B$1013,SMALL(IF(출고!$C$8:$C$1013=마스터!$M$17,ROW(출고!$C$8:$C$1013)-7),23)),"")</f>
        <v/>
      </c>
      <c r="C67" s="6" t="str">
        <f t="array" ref="C67">IFERROR(INDEX(출고!$E$8:$E$1013,SMALL(IF(출고!$C$8:$C$1013=마스터!$M$17,ROW(출고!$C$8:$C$1013)-7),23)),"")</f>
        <v/>
      </c>
      <c r="D67" s="8" t="str">
        <f t="array" ref="D67">IFERROR(INDEX(출고!$F$8:$F$1013,SMALL(IF(출고!$C$8:$C$1013=마스터!$M$17,ROW(출고!$C$8:$C$1013)-7),23)),"")</f>
        <v/>
      </c>
      <c r="E67" s="46" t="str">
        <f t="array" ref="E67">IFERROR(INDEX(출고!$H$8:$H$1013,SMALL(IF(출고!$C$8:$C$1013=마스터!$M$17,ROW(출고!$C$8:$C$1013)-7),23)),"")</f>
        <v/>
      </c>
      <c r="F67" s="46" t="str">
        <f t="array" ref="F67">IFERROR(INDEX(출고!$I$8:$I$1013,SMALL(IF(출고!$C$8:$C$1013=마스터!$M$17,ROW(출고!$C$8:$C$1013)-7),23)),"")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IFERROR(INDEX(출고!$B$8:$B$1013,SMALL(IF(출고!$C$8:$C$1013=마스터!$M$17,ROW(출고!$C$8:$C$1013)-7),24)),"")</f>
        <v/>
      </c>
      <c r="C68" s="11" t="str">
        <f t="array" ref="C68">IFERROR(INDEX(출고!$E$8:$E$1013,SMALL(IF(출고!$C$8:$C$1013=마스터!$M$17,ROW(출고!$C$8:$C$1013)-7),24)),"")</f>
        <v/>
      </c>
      <c r="D68" s="13" t="str">
        <f t="array" ref="D68">IFERROR(INDEX(출고!$F$8:$F$1013,SMALL(IF(출고!$C$8:$C$1013=마스터!$M$17,ROW(출고!$C$8:$C$1013)-7),24)),"")</f>
        <v/>
      </c>
      <c r="E68" s="50" t="str">
        <f t="array" ref="E68">IFERROR(INDEX(출고!$H$8:$H$1013,SMALL(IF(출고!$C$8:$C$1013=마스터!$M$17,ROW(출고!$C$8:$C$1013)-7),24)),"")</f>
        <v/>
      </c>
      <c r="F68" s="50" t="str">
        <f t="array" ref="F68">IFERROR(INDEX(출고!$I$8:$I$1013,SMALL(IF(출고!$C$8:$C$1013=마스터!$M$17,ROW(출고!$C$8:$C$1013)-7),24)),"")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IFERROR(INDEX(출고!$B$8:$B$1013,SMALL(IF(출고!$C$8:$C$1013=마스터!$M$17,ROW(출고!$C$8:$C$1013)-7),25)),"")</f>
        <v/>
      </c>
      <c r="C69" s="6" t="str">
        <f t="array" ref="C69">IFERROR(INDEX(출고!$E$8:$E$1013,SMALL(IF(출고!$C$8:$C$1013=마스터!$M$17,ROW(출고!$C$8:$C$1013)-7),25)),"")</f>
        <v/>
      </c>
      <c r="D69" s="8" t="str">
        <f t="array" ref="D69">IFERROR(INDEX(출고!$F$8:$F$1013,SMALL(IF(출고!$C$8:$C$1013=마스터!$M$17,ROW(출고!$C$8:$C$1013)-7),25)),"")</f>
        <v/>
      </c>
      <c r="E69" s="46" t="str">
        <f t="array" ref="E69">IFERROR(INDEX(출고!$H$8:$H$1013,SMALL(IF(출고!$C$8:$C$1013=마스터!$M$17,ROW(출고!$C$8:$C$1013)-7),25)),"")</f>
        <v/>
      </c>
      <c r="F69" s="46" t="str">
        <f t="array" ref="F69">IFERROR(INDEX(출고!$I$8:$I$1013,SMALL(IF(출고!$C$8:$C$1013=마스터!$M$17,ROW(출고!$C$8:$C$1013)-7),25)),"")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IFERROR(INDEX(출고!$B$8:$B$1013,SMALL(IF(출고!$C$8:$C$1013=마스터!$M$17,ROW(출고!$C$8:$C$1013)-7),26)),"")</f>
        <v/>
      </c>
      <c r="C70" s="11" t="str">
        <f t="array" ref="C70">IFERROR(INDEX(출고!$E$8:$E$1013,SMALL(IF(출고!$C$8:$C$1013=마스터!$M$17,ROW(출고!$C$8:$C$1013)-7),26)),"")</f>
        <v/>
      </c>
      <c r="D70" s="13" t="str">
        <f t="array" ref="D70">IFERROR(INDEX(출고!$F$8:$F$1013,SMALL(IF(출고!$C$8:$C$1013=마스터!$M$17,ROW(출고!$C$8:$C$1013)-7),26)),"")</f>
        <v/>
      </c>
      <c r="E70" s="50" t="str">
        <f t="array" ref="E70">IFERROR(INDEX(출고!$H$8:$H$1013,SMALL(IF(출고!$C$8:$C$1013=마스터!$M$17,ROW(출고!$C$8:$C$1013)-7),26)),"")</f>
        <v/>
      </c>
      <c r="F70" s="50" t="str">
        <f t="array" ref="F70">IFERROR(INDEX(출고!$I$8:$I$1013,SMALL(IF(출고!$C$8:$C$1013=마스터!$M$17,ROW(출고!$C$8:$C$1013)-7),26)),"")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IFERROR(INDEX(출고!$B$8:$B$1013,SMALL(IF(출고!$C$8:$C$1013=마스터!$M$17,ROW(출고!$C$8:$C$1013)-7),27)),"")</f>
        <v/>
      </c>
      <c r="C71" s="6" t="str">
        <f t="array" ref="C71">IFERROR(INDEX(출고!$E$8:$E$1013,SMALL(IF(출고!$C$8:$C$1013=마스터!$M$17,ROW(출고!$C$8:$C$1013)-7),27)),"")</f>
        <v/>
      </c>
      <c r="D71" s="8" t="str">
        <f t="array" ref="D71">IFERROR(INDEX(출고!$F$8:$F$1013,SMALL(IF(출고!$C$8:$C$1013=마스터!$M$17,ROW(출고!$C$8:$C$1013)-7),27)),"")</f>
        <v/>
      </c>
      <c r="E71" s="46" t="str">
        <f t="array" ref="E71">IFERROR(INDEX(출고!$H$8:$H$1013,SMALL(IF(출고!$C$8:$C$1013=마스터!$M$17,ROW(출고!$C$8:$C$1013)-7),27)),"")</f>
        <v/>
      </c>
      <c r="F71" s="46" t="str">
        <f t="array" ref="F71">IFERROR(INDEX(출고!$I$8:$I$1013,SMALL(IF(출고!$C$8:$C$1013=마스터!$M$17,ROW(출고!$C$8:$C$1013)-7),27)),"")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IFERROR(INDEX(출고!$B$8:$B$1013,SMALL(IF(출고!$C$8:$C$1013=마스터!$M$17,ROW(출고!$C$8:$C$1013)-7),28)),"")</f>
        <v/>
      </c>
      <c r="C72" s="11" t="str">
        <f t="array" ref="C72">IFERROR(INDEX(출고!$E$8:$E$1013,SMALL(IF(출고!$C$8:$C$1013=마스터!$M$17,ROW(출고!$C$8:$C$1013)-7),28)),"")</f>
        <v/>
      </c>
      <c r="D72" s="13" t="str">
        <f t="array" ref="D72">IFERROR(INDEX(출고!$F$8:$F$1013,SMALL(IF(출고!$C$8:$C$1013=마스터!$M$17,ROW(출고!$C$8:$C$1013)-7),28)),"")</f>
        <v/>
      </c>
      <c r="E72" s="50" t="str">
        <f t="array" ref="E72">IFERROR(INDEX(출고!$H$8:$H$1013,SMALL(IF(출고!$C$8:$C$1013=마스터!$M$17,ROW(출고!$C$8:$C$1013)-7),28)),"")</f>
        <v/>
      </c>
      <c r="F72" s="50" t="str">
        <f t="array" ref="F72">IFERROR(INDEX(출고!$I$8:$I$1013,SMALL(IF(출고!$C$8:$C$1013=마스터!$M$17,ROW(출고!$C$8:$C$1013)-7),28)),"")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IFERROR(INDEX(출고!$B$8:$B$1013,SMALL(IF(출고!$C$8:$C$1013=마스터!$M$17,ROW(출고!$C$8:$C$1013)-7),29)),"")</f>
        <v/>
      </c>
      <c r="C73" s="6" t="str">
        <f t="array" ref="C73">IFERROR(INDEX(출고!$E$8:$E$1013,SMALL(IF(출고!$C$8:$C$1013=마스터!$M$17,ROW(출고!$C$8:$C$1013)-7),29)),"")</f>
        <v/>
      </c>
      <c r="D73" s="8" t="str">
        <f t="array" ref="D73">IFERROR(INDEX(출고!$F$8:$F$1013,SMALL(IF(출고!$C$8:$C$1013=마스터!$M$17,ROW(출고!$C$8:$C$1013)-7),29)),"")</f>
        <v/>
      </c>
      <c r="E73" s="46" t="str">
        <f t="array" ref="E73">IFERROR(INDEX(출고!$H$8:$H$1013,SMALL(IF(출고!$C$8:$C$1013=마스터!$M$17,ROW(출고!$C$8:$C$1013)-7),29)),"")</f>
        <v/>
      </c>
      <c r="F73" s="46" t="str">
        <f t="array" ref="F73">IFERROR(INDEX(출고!$I$8:$I$1013,SMALL(IF(출고!$C$8:$C$1013=마스터!$M$17,ROW(출고!$C$8:$C$1013)-7),29)),"")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IFERROR(INDEX(출고!$B$8:$B$1013,SMALL(IF(출고!$C$8:$C$1013=마스터!$M$17,ROW(출고!$C$8:$C$1013)-7),30)),"")</f>
        <v/>
      </c>
      <c r="C74" s="11" t="str">
        <f t="array" ref="C74">IFERROR(INDEX(출고!$E$8:$E$1013,SMALL(IF(출고!$C$8:$C$1013=마스터!$M$17,ROW(출고!$C$8:$C$1013)-7),30)),"")</f>
        <v/>
      </c>
      <c r="D74" s="13" t="str">
        <f t="array" ref="D74">IFERROR(INDEX(출고!$F$8:$F$1013,SMALL(IF(출고!$C$8:$C$1013=마스터!$M$17,ROW(출고!$C$8:$C$1013)-7),30)),"")</f>
        <v/>
      </c>
      <c r="E74" s="50" t="str">
        <f t="array" ref="E74">IFERROR(INDEX(출고!$H$8:$H$1013,SMALL(IF(출고!$C$8:$C$1013=마스터!$M$17,ROW(출고!$C$8:$C$1013)-7),30)),"")</f>
        <v/>
      </c>
      <c r="F74" s="50" t="str">
        <f t="array" ref="F74">IFERROR(INDEX(출고!$I$8:$I$1013,SMALL(IF(출고!$C$8:$C$1013=마스터!$M$17,ROW(출고!$C$8:$C$1013)-7),30)),"")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IFERROR(INDEX(입고!$E$8:$E$1013,SMALL(IF((입고!$C$8:$C$1013=마스터!$M$17)*(입고!$AC$8:$AC$1013=1),ROW(입고!$C$8:$C$1013)-7),1)),"")</f>
        <v>260203CW001</v>
      </c>
      <c r="C78" s="8">
        <f>IF(B78="","",SUMIFS(입고!$F$8:$F$1013,입고!$C$8:$C$1013,마스터!$M$17,입고!$E$8:$E$1013,B78))</f>
        <v>270</v>
      </c>
      <c r="D78" s="8">
        <f>IF(B78="","",SUMIFS(출고!$F$8:$F$1013,출고!$C$8:$C$1013,마스터!$M$17,출고!$E$8:$E$1013,B78))</f>
        <v>0</v>
      </c>
      <c r="E78" s="40">
        <f t="shared" ref="E78:E107" si="5">IF(B78="","",C78-D78)</f>
        <v>270</v>
      </c>
    </row>
    <row r="79" spans="1:7" ht="23.25" customHeight="1" x14ac:dyDescent="0.25">
      <c r="A79" s="11" t="str">
        <f t="shared" si="4"/>
        <v/>
      </c>
      <c r="B79" s="11" t="str">
        <f t="array" ref="B79">IFERROR(INDEX(입고!$E$8:$E$1013,SMALL(IF((입고!$C$8:$C$1013=마스터!$M$17)*(입고!$AC$8:$AC$1013=1),ROW(입고!$C$8:$C$1013)-7),2)),"")</f>
        <v/>
      </c>
      <c r="C79" s="13" t="str">
        <f>IF(B79="","",SUMIFS(입고!$F$8:$F$1013,입고!$C$8:$C$1013,마스터!$M$17,입고!$E$8:$E$1013,B79))</f>
        <v/>
      </c>
      <c r="D79" s="13" t="str">
        <f>IF(B79="","",SUMIFS(출고!$F$8:$F$1013,출고!$C$8:$C$1013,마스터!$M$17,출고!$E$8:$E$1013,B79))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IFERROR(INDEX(입고!$E$8:$E$1013,SMALL(IF((입고!$C$8:$C$1013=마스터!$M$17)*(입고!$AC$8:$AC$1013=1),ROW(입고!$C$8:$C$1013)-7),3)),"")</f>
        <v/>
      </c>
      <c r="C80" s="8" t="str">
        <f>IF(B80="","",SUMIFS(입고!$F$8:$F$1013,입고!$C$8:$C$1013,마스터!$M$17,입고!$E$8:$E$1013,B80))</f>
        <v/>
      </c>
      <c r="D80" s="8" t="str">
        <f>IF(B80="","",SUMIFS(출고!$F$8:$F$1013,출고!$C$8:$C$1013,마스터!$M$17,출고!$E$8:$E$1013,B80))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IFERROR(INDEX(입고!$E$8:$E$1013,SMALL(IF((입고!$C$8:$C$1013=마스터!$M$17)*(입고!$AC$8:$AC$1013=1),ROW(입고!$C$8:$C$1013)-7),4)),"")</f>
        <v/>
      </c>
      <c r="C81" s="13" t="str">
        <f>IF(B81="","",SUMIFS(입고!$F$8:$F$1013,입고!$C$8:$C$1013,마스터!$M$17,입고!$E$8:$E$1013,B81))</f>
        <v/>
      </c>
      <c r="D81" s="13" t="str">
        <f>IF(B81="","",SUMIFS(출고!$F$8:$F$1013,출고!$C$8:$C$1013,마스터!$M$17,출고!$E$8:$E$1013,B81))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IFERROR(INDEX(입고!$E$8:$E$1013,SMALL(IF((입고!$C$8:$C$1013=마스터!$M$17)*(입고!$AC$8:$AC$1013=1),ROW(입고!$C$8:$C$1013)-7),5)),"")</f>
        <v/>
      </c>
      <c r="C82" s="8" t="str">
        <f>IF(B82="","",SUMIFS(입고!$F$8:$F$1013,입고!$C$8:$C$1013,마스터!$M$17,입고!$E$8:$E$1013,B82))</f>
        <v/>
      </c>
      <c r="D82" s="8" t="str">
        <f>IF(B82="","",SUMIFS(출고!$F$8:$F$1013,출고!$C$8:$C$1013,마스터!$M$17,출고!$E$8:$E$1013,B82))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IFERROR(INDEX(입고!$E$8:$E$1013,SMALL(IF((입고!$C$8:$C$1013=마스터!$M$17)*(입고!$AC$8:$AC$1013=1),ROW(입고!$C$8:$C$1013)-7),6)),"")</f>
        <v/>
      </c>
      <c r="C83" s="13" t="str">
        <f>IF(B83="","",SUMIFS(입고!$F$8:$F$1013,입고!$C$8:$C$1013,마스터!$M$17,입고!$E$8:$E$1013,B83))</f>
        <v/>
      </c>
      <c r="D83" s="13" t="str">
        <f>IF(B83="","",SUMIFS(출고!$F$8:$F$1013,출고!$C$8:$C$1013,마스터!$M$17,출고!$E$8:$E$1013,B83))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IFERROR(INDEX(입고!$E$8:$E$1013,SMALL(IF((입고!$C$8:$C$1013=마스터!$M$17)*(입고!$AC$8:$AC$1013=1),ROW(입고!$C$8:$C$1013)-7),7)),"")</f>
        <v/>
      </c>
      <c r="C84" s="8" t="str">
        <f>IF(B84="","",SUMIFS(입고!$F$8:$F$1013,입고!$C$8:$C$1013,마스터!$M$17,입고!$E$8:$E$1013,B84))</f>
        <v/>
      </c>
      <c r="D84" s="8" t="str">
        <f>IF(B84="","",SUMIFS(출고!$F$8:$F$1013,출고!$C$8:$C$1013,마스터!$M$17,출고!$E$8:$E$1013,B84))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IFERROR(INDEX(입고!$E$8:$E$1013,SMALL(IF((입고!$C$8:$C$1013=마스터!$M$17)*(입고!$AC$8:$AC$1013=1),ROW(입고!$C$8:$C$1013)-7),8)),"")</f>
        <v/>
      </c>
      <c r="C85" s="13" t="str">
        <f>IF(B85="","",SUMIFS(입고!$F$8:$F$1013,입고!$C$8:$C$1013,마스터!$M$17,입고!$E$8:$E$1013,B85))</f>
        <v/>
      </c>
      <c r="D85" s="13" t="str">
        <f>IF(B85="","",SUMIFS(출고!$F$8:$F$1013,출고!$C$8:$C$1013,마스터!$M$17,출고!$E$8:$E$1013,B85))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IFERROR(INDEX(입고!$E$8:$E$1013,SMALL(IF((입고!$C$8:$C$1013=마스터!$M$17)*(입고!$AC$8:$AC$1013=1),ROW(입고!$C$8:$C$1013)-7),9)),"")</f>
        <v/>
      </c>
      <c r="C86" s="8" t="str">
        <f>IF(B86="","",SUMIFS(입고!$F$8:$F$1013,입고!$C$8:$C$1013,마스터!$M$17,입고!$E$8:$E$1013,B86))</f>
        <v/>
      </c>
      <c r="D86" s="8" t="str">
        <f>IF(B86="","",SUMIFS(출고!$F$8:$F$1013,출고!$C$8:$C$1013,마스터!$M$17,출고!$E$8:$E$1013,B86))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IFERROR(INDEX(입고!$E$8:$E$1013,SMALL(IF((입고!$C$8:$C$1013=마스터!$M$17)*(입고!$AC$8:$AC$1013=1),ROW(입고!$C$8:$C$1013)-7),10)),"")</f>
        <v/>
      </c>
      <c r="C87" s="13" t="str">
        <f>IF(B87="","",SUMIFS(입고!$F$8:$F$1013,입고!$C$8:$C$1013,마스터!$M$17,입고!$E$8:$E$1013,B87))</f>
        <v/>
      </c>
      <c r="D87" s="13" t="str">
        <f>IF(B87="","",SUMIFS(출고!$F$8:$F$1013,출고!$C$8:$C$1013,마스터!$M$17,출고!$E$8:$E$1013,B87))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IFERROR(INDEX(입고!$E$8:$E$1013,SMALL(IF((입고!$C$8:$C$1013=마스터!$M$17)*(입고!$AC$8:$AC$1013=1),ROW(입고!$C$8:$C$1013)-7),11)),"")</f>
        <v/>
      </c>
      <c r="C88" s="8" t="str">
        <f>IF(B88="","",SUMIFS(입고!$F$8:$F$1013,입고!$C$8:$C$1013,마스터!$M$17,입고!$E$8:$E$1013,B88))</f>
        <v/>
      </c>
      <c r="D88" s="8" t="str">
        <f>IF(B88="","",SUMIFS(출고!$F$8:$F$1013,출고!$C$8:$C$1013,마스터!$M$17,출고!$E$8:$E$1013,B88))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IFERROR(INDEX(입고!$E$8:$E$1013,SMALL(IF((입고!$C$8:$C$1013=마스터!$M$17)*(입고!$AC$8:$AC$1013=1),ROW(입고!$C$8:$C$1013)-7),12)),"")</f>
        <v/>
      </c>
      <c r="C89" s="13" t="str">
        <f>IF(B89="","",SUMIFS(입고!$F$8:$F$1013,입고!$C$8:$C$1013,마스터!$M$17,입고!$E$8:$E$1013,B89))</f>
        <v/>
      </c>
      <c r="D89" s="13" t="str">
        <f>IF(B89="","",SUMIFS(출고!$F$8:$F$1013,출고!$C$8:$C$1013,마스터!$M$17,출고!$E$8:$E$1013,B89))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IFERROR(INDEX(입고!$E$8:$E$1013,SMALL(IF((입고!$C$8:$C$1013=마스터!$M$17)*(입고!$AC$8:$AC$1013=1),ROW(입고!$C$8:$C$1013)-7),13)),"")</f>
        <v/>
      </c>
      <c r="C90" s="8" t="str">
        <f>IF(B90="","",SUMIFS(입고!$F$8:$F$1013,입고!$C$8:$C$1013,마스터!$M$17,입고!$E$8:$E$1013,B90))</f>
        <v/>
      </c>
      <c r="D90" s="8" t="str">
        <f>IF(B90="","",SUMIFS(출고!$F$8:$F$1013,출고!$C$8:$C$1013,마스터!$M$17,출고!$E$8:$E$1013,B90))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IFERROR(INDEX(입고!$E$8:$E$1013,SMALL(IF((입고!$C$8:$C$1013=마스터!$M$17)*(입고!$AC$8:$AC$1013=1),ROW(입고!$C$8:$C$1013)-7),14)),"")</f>
        <v/>
      </c>
      <c r="C91" s="13" t="str">
        <f>IF(B91="","",SUMIFS(입고!$F$8:$F$1013,입고!$C$8:$C$1013,마스터!$M$17,입고!$E$8:$E$1013,B91))</f>
        <v/>
      </c>
      <c r="D91" s="13" t="str">
        <f>IF(B91="","",SUMIFS(출고!$F$8:$F$1013,출고!$C$8:$C$1013,마스터!$M$17,출고!$E$8:$E$1013,B91))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IFERROR(INDEX(입고!$E$8:$E$1013,SMALL(IF((입고!$C$8:$C$1013=마스터!$M$17)*(입고!$AC$8:$AC$1013=1),ROW(입고!$C$8:$C$1013)-7),15)),"")</f>
        <v/>
      </c>
      <c r="C92" s="8" t="str">
        <f>IF(B92="","",SUMIFS(입고!$F$8:$F$1013,입고!$C$8:$C$1013,마스터!$M$17,입고!$E$8:$E$1013,B92))</f>
        <v/>
      </c>
      <c r="D92" s="8" t="str">
        <f>IF(B92="","",SUMIFS(출고!$F$8:$F$1013,출고!$C$8:$C$1013,마스터!$M$17,출고!$E$8:$E$1013,B92))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IFERROR(INDEX(입고!$E$8:$E$1013,SMALL(IF((입고!$C$8:$C$1013=마스터!$M$17)*(입고!$AC$8:$AC$1013=1),ROW(입고!$C$8:$C$1013)-7),16)),"")</f>
        <v/>
      </c>
      <c r="C93" s="13" t="str">
        <f>IF(B93="","",SUMIFS(입고!$F$8:$F$1013,입고!$C$8:$C$1013,마스터!$M$17,입고!$E$8:$E$1013,B93))</f>
        <v/>
      </c>
      <c r="D93" s="13" t="str">
        <f>IF(B93="","",SUMIFS(출고!$F$8:$F$1013,출고!$C$8:$C$1013,마스터!$M$17,출고!$E$8:$E$1013,B93))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IFERROR(INDEX(입고!$E$8:$E$1013,SMALL(IF((입고!$C$8:$C$1013=마스터!$M$17)*(입고!$AC$8:$AC$1013=1),ROW(입고!$C$8:$C$1013)-7),17)),"")</f>
        <v/>
      </c>
      <c r="C94" s="8" t="str">
        <f>IF(B94="","",SUMIFS(입고!$F$8:$F$1013,입고!$C$8:$C$1013,마스터!$M$17,입고!$E$8:$E$1013,B94))</f>
        <v/>
      </c>
      <c r="D94" s="8" t="str">
        <f>IF(B94="","",SUMIFS(출고!$F$8:$F$1013,출고!$C$8:$C$1013,마스터!$M$17,출고!$E$8:$E$1013,B94))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IFERROR(INDEX(입고!$E$8:$E$1013,SMALL(IF((입고!$C$8:$C$1013=마스터!$M$17)*(입고!$AC$8:$AC$1013=1),ROW(입고!$C$8:$C$1013)-7),18)),"")</f>
        <v/>
      </c>
      <c r="C95" s="13" t="str">
        <f>IF(B95="","",SUMIFS(입고!$F$8:$F$1013,입고!$C$8:$C$1013,마스터!$M$17,입고!$E$8:$E$1013,B95))</f>
        <v/>
      </c>
      <c r="D95" s="13" t="str">
        <f>IF(B95="","",SUMIFS(출고!$F$8:$F$1013,출고!$C$8:$C$1013,마스터!$M$17,출고!$E$8:$E$1013,B95))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IFERROR(INDEX(입고!$E$8:$E$1013,SMALL(IF((입고!$C$8:$C$1013=마스터!$M$17)*(입고!$AC$8:$AC$1013=1),ROW(입고!$C$8:$C$1013)-7),19)),"")</f>
        <v/>
      </c>
      <c r="C96" s="8" t="str">
        <f>IF(B96="","",SUMIFS(입고!$F$8:$F$1013,입고!$C$8:$C$1013,마스터!$M$17,입고!$E$8:$E$1013,B96))</f>
        <v/>
      </c>
      <c r="D96" s="8" t="str">
        <f>IF(B96="","",SUMIFS(출고!$F$8:$F$1013,출고!$C$8:$C$1013,마스터!$M$17,출고!$E$8:$E$1013,B96))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IFERROR(INDEX(입고!$E$8:$E$1013,SMALL(IF((입고!$C$8:$C$1013=마스터!$M$17)*(입고!$AC$8:$AC$1013=1),ROW(입고!$C$8:$C$1013)-7),20)),"")</f>
        <v/>
      </c>
      <c r="C97" s="13" t="str">
        <f>IF(B97="","",SUMIFS(입고!$F$8:$F$1013,입고!$C$8:$C$1013,마스터!$M$17,입고!$E$8:$E$1013,B97))</f>
        <v/>
      </c>
      <c r="D97" s="13" t="str">
        <f>IF(B97="","",SUMIFS(출고!$F$8:$F$1013,출고!$C$8:$C$1013,마스터!$M$17,출고!$E$8:$E$1013,B97))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IFERROR(INDEX(입고!$E$8:$E$1013,SMALL(IF((입고!$C$8:$C$1013=마스터!$M$17)*(입고!$AC$8:$AC$1013=1),ROW(입고!$C$8:$C$1013)-7),21)),"")</f>
        <v/>
      </c>
      <c r="C98" s="8" t="str">
        <f>IF(B98="","",SUMIFS(입고!$F$8:$F$1013,입고!$C$8:$C$1013,마스터!$M$17,입고!$E$8:$E$1013,B98))</f>
        <v/>
      </c>
      <c r="D98" s="8" t="str">
        <f>IF(B98="","",SUMIFS(출고!$F$8:$F$1013,출고!$C$8:$C$1013,마스터!$M$17,출고!$E$8:$E$1013,B98))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IFERROR(INDEX(입고!$E$8:$E$1013,SMALL(IF((입고!$C$8:$C$1013=마스터!$M$17)*(입고!$AC$8:$AC$1013=1),ROW(입고!$C$8:$C$1013)-7),22)),"")</f>
        <v/>
      </c>
      <c r="C99" s="13" t="str">
        <f>IF(B99="","",SUMIFS(입고!$F$8:$F$1013,입고!$C$8:$C$1013,마스터!$M$17,입고!$E$8:$E$1013,B99))</f>
        <v/>
      </c>
      <c r="D99" s="13" t="str">
        <f>IF(B99="","",SUMIFS(출고!$F$8:$F$1013,출고!$C$8:$C$1013,마스터!$M$17,출고!$E$8:$E$1013,B99))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IFERROR(INDEX(입고!$E$8:$E$1013,SMALL(IF((입고!$C$8:$C$1013=마스터!$M$17)*(입고!$AC$8:$AC$1013=1),ROW(입고!$C$8:$C$1013)-7),23)),"")</f>
        <v/>
      </c>
      <c r="C100" s="8" t="str">
        <f>IF(B100="","",SUMIFS(입고!$F$8:$F$1013,입고!$C$8:$C$1013,마스터!$M$17,입고!$E$8:$E$1013,B100))</f>
        <v/>
      </c>
      <c r="D100" s="8" t="str">
        <f>IF(B100="","",SUMIFS(출고!$F$8:$F$1013,출고!$C$8:$C$1013,마스터!$M$17,출고!$E$8:$E$1013,B100))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IFERROR(INDEX(입고!$E$8:$E$1013,SMALL(IF((입고!$C$8:$C$1013=마스터!$M$17)*(입고!$AC$8:$AC$1013=1),ROW(입고!$C$8:$C$1013)-7),24)),"")</f>
        <v/>
      </c>
      <c r="C101" s="13" t="str">
        <f>IF(B101="","",SUMIFS(입고!$F$8:$F$1013,입고!$C$8:$C$1013,마스터!$M$17,입고!$E$8:$E$1013,B101))</f>
        <v/>
      </c>
      <c r="D101" s="13" t="str">
        <f>IF(B101="","",SUMIFS(출고!$F$8:$F$1013,출고!$C$8:$C$1013,마스터!$M$17,출고!$E$8:$E$1013,B101))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IFERROR(INDEX(입고!$E$8:$E$1013,SMALL(IF((입고!$C$8:$C$1013=마스터!$M$17)*(입고!$AC$8:$AC$1013=1),ROW(입고!$C$8:$C$1013)-7),25)),"")</f>
        <v/>
      </c>
      <c r="C102" s="8" t="str">
        <f>IF(B102="","",SUMIFS(입고!$F$8:$F$1013,입고!$C$8:$C$1013,마스터!$M$17,입고!$E$8:$E$1013,B102))</f>
        <v/>
      </c>
      <c r="D102" s="8" t="str">
        <f>IF(B102="","",SUMIFS(출고!$F$8:$F$1013,출고!$C$8:$C$1013,마스터!$M$17,출고!$E$8:$E$1013,B102))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IFERROR(INDEX(입고!$E$8:$E$1013,SMALL(IF((입고!$C$8:$C$1013=마스터!$M$17)*(입고!$AC$8:$AC$1013=1),ROW(입고!$C$8:$C$1013)-7),26)),"")</f>
        <v/>
      </c>
      <c r="C103" s="13" t="str">
        <f>IF(B103="","",SUMIFS(입고!$F$8:$F$1013,입고!$C$8:$C$1013,마스터!$M$17,입고!$E$8:$E$1013,B103))</f>
        <v/>
      </c>
      <c r="D103" s="13" t="str">
        <f>IF(B103="","",SUMIFS(출고!$F$8:$F$1013,출고!$C$8:$C$1013,마스터!$M$17,출고!$E$8:$E$1013,B103))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IFERROR(INDEX(입고!$E$8:$E$1013,SMALL(IF((입고!$C$8:$C$1013=마스터!$M$17)*(입고!$AC$8:$AC$1013=1),ROW(입고!$C$8:$C$1013)-7),27)),"")</f>
        <v/>
      </c>
      <c r="C104" s="8" t="str">
        <f>IF(B104="","",SUMIFS(입고!$F$8:$F$1013,입고!$C$8:$C$1013,마스터!$M$17,입고!$E$8:$E$1013,B104))</f>
        <v/>
      </c>
      <c r="D104" s="8" t="str">
        <f>IF(B104="","",SUMIFS(출고!$F$8:$F$1013,출고!$C$8:$C$1013,마스터!$M$17,출고!$E$8:$E$1013,B104))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IFERROR(INDEX(입고!$E$8:$E$1013,SMALL(IF((입고!$C$8:$C$1013=마스터!$M$17)*(입고!$AC$8:$AC$1013=1),ROW(입고!$C$8:$C$1013)-7),28)),"")</f>
        <v/>
      </c>
      <c r="C105" s="13" t="str">
        <f>IF(B105="","",SUMIFS(입고!$F$8:$F$1013,입고!$C$8:$C$1013,마스터!$M$17,입고!$E$8:$E$1013,B105))</f>
        <v/>
      </c>
      <c r="D105" s="13" t="str">
        <f>IF(B105="","",SUMIFS(출고!$F$8:$F$1013,출고!$C$8:$C$1013,마스터!$M$17,출고!$E$8:$E$1013,B105))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IFERROR(INDEX(입고!$E$8:$E$1013,SMALL(IF((입고!$C$8:$C$1013=마스터!$M$17)*(입고!$AC$8:$AC$1013=1),ROW(입고!$C$8:$C$1013)-7),29)),"")</f>
        <v/>
      </c>
      <c r="C106" s="8" t="str">
        <f>IF(B106="","",SUMIFS(입고!$F$8:$F$1013,입고!$C$8:$C$1013,마스터!$M$17,입고!$E$8:$E$1013,B106))</f>
        <v/>
      </c>
      <c r="D106" s="8" t="str">
        <f>IF(B106="","",SUMIFS(출고!$F$8:$F$1013,출고!$C$8:$C$1013,마스터!$M$17,출고!$E$8:$E$1013,B106))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IFERROR(INDEX(입고!$E$8:$E$1013,SMALL(IF((입고!$C$8:$C$1013=마스터!$M$17)*(입고!$AC$8:$AC$1013=1),ROW(입고!$C$8:$C$1013)-7),30)),"")</f>
        <v/>
      </c>
      <c r="C107" s="13" t="str">
        <f>IF(B107="","",SUMIFS(입고!$F$8:$F$1013,입고!$C$8:$C$1013,마스터!$M$17,입고!$E$8:$E$1013,B107))</f>
        <v/>
      </c>
      <c r="D107" s="13" t="str">
        <f>IF(B107="","",SUMIFS(출고!$F$8:$F$1013,출고!$C$8:$C$1013,마스터!$M$17,출고!$E$8:$E$1013,B107))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3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CONCATENATE("[15] ", 마스터!D18, "  |  ", 마스터!F18)</f>
        <v>[15] 세라믹울 100K 수입  |  38T × 600W × 4800L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마스터!D18</f>
        <v>세라믹울 100K 수입</v>
      </c>
      <c r="D4" s="1" t="s">
        <v>11</v>
      </c>
      <c r="E4" s="53">
        <f>SUMIFS(입고!$F$8:$F$1013,입고!$C$8:$C$1013,마스터!$M$18)</f>
        <v>192</v>
      </c>
    </row>
    <row r="5" spans="1:9" ht="15" customHeight="1" x14ac:dyDescent="0.25">
      <c r="A5" s="1" t="s">
        <v>7</v>
      </c>
      <c r="B5" s="52" t="str">
        <f>마스터!E18</f>
        <v>386004800</v>
      </c>
      <c r="D5" s="1" t="s">
        <v>12</v>
      </c>
      <c r="E5" s="53">
        <f>SUMIFS(출고!$F$8:$F$1013,출고!$C$8:$C$1013,마스터!$M$18)</f>
        <v>0</v>
      </c>
    </row>
    <row r="6" spans="1:9" ht="23.25" customHeight="1" x14ac:dyDescent="0.25">
      <c r="A6" s="1" t="s">
        <v>26</v>
      </c>
      <c r="B6" s="52" t="str">
        <f>마스터!F18</f>
        <v>38T × 600W × 4800L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마스터!M18</f>
        <v>100K수입 38T × 600W × 4800L</v>
      </c>
      <c r="D7" s="1" t="s">
        <v>13</v>
      </c>
      <c r="E7" s="54">
        <f>마스터!$K$18+E4-E5</f>
        <v>192</v>
      </c>
    </row>
    <row r="8" spans="1:9" ht="15" customHeight="1" x14ac:dyDescent="0.25">
      <c r="A8" s="1" t="s">
        <v>10</v>
      </c>
      <c r="B8" s="53">
        <f>마스터!K18</f>
        <v>0</v>
      </c>
      <c r="D8" s="1" t="s">
        <v>123</v>
      </c>
      <c r="E8" s="55">
        <f t="array" ref="E8">IFERROR(MAX(MAX(IF(입고!$C$8:$C$1013=마스터!$M$18,입고!$B$8:$B$1013)),MAX(IF(출고!$C$8:$C$1013=마스터!$M$18,출고!$B$8:$B$1013))),"-")</f>
        <v>46056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IFERROR(INDEX(입고!$B$8:$B$1013,SMALL(IF(입고!$C$8:$C$1013=마스터!$M$18,ROW(입고!$C$8:$C$1013)-7),1)),"")</f>
        <v>46056</v>
      </c>
      <c r="C12" s="6" t="str">
        <f t="array" ref="C12">IFERROR(INDEX(입고!$E$8:$E$1013,SMALL(IF(입고!$C$8:$C$1013=마스터!$M$18,ROW(입고!$C$8:$C$1013)-7),1)),"")</f>
        <v>260203CW004</v>
      </c>
      <c r="D12" s="8">
        <f t="array" ref="D12">IFERROR(INDEX(입고!$F$8:$F$1013,SMALL(IF(입고!$C$8:$C$1013=마스터!$M$18,ROW(입고!$C$8:$C$1013)-7),1)),"")</f>
        <v>192</v>
      </c>
      <c r="E12" s="46" t="str">
        <f t="array" ref="E12">IFERROR(INDEX(입고!$H$8:$H$1013,SMALL(IF(입고!$C$8:$C$1013=마스터!$M$18,ROW(입고!$C$8:$C$1013)-7),1)),"")</f>
        <v>(초기재고)</v>
      </c>
      <c r="F12" s="46" t="str">
        <f t="array" ref="F12">IFERROR(INDEX(입고!$I$8:$I$1013,SMALL(IF(입고!$C$8:$C$1013=마스터!$M$18,ROW(입고!$C$8:$C$1013)-7),1)),"")</f>
        <v>2026-02-12 기준</v>
      </c>
      <c r="G12" s="57">
        <f>IF(B12="","",IFERROR(D12,0))</f>
        <v>192</v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IFERROR(INDEX(입고!$B$8:$B$1013,SMALL(IF(입고!$C$8:$C$1013=마스터!$M$18,ROW(입고!$C$8:$C$1013)-7),2)),"")</f>
        <v/>
      </c>
      <c r="C13" s="11" t="str">
        <f t="array" ref="C13">IFERROR(INDEX(입고!$E$8:$E$1013,SMALL(IF(입고!$C$8:$C$1013=마스터!$M$18,ROW(입고!$C$8:$C$1013)-7),2)),"")</f>
        <v/>
      </c>
      <c r="D13" s="13" t="str">
        <f t="array" ref="D13">IFERROR(INDEX(입고!$F$8:$F$1013,SMALL(IF(입고!$C$8:$C$1013=마스터!$M$18,ROW(입고!$C$8:$C$1013)-7),2)),"")</f>
        <v/>
      </c>
      <c r="E13" s="50" t="str">
        <f t="array" ref="E13">IFERROR(INDEX(입고!$H$8:$H$1013,SMALL(IF(입고!$C$8:$C$1013=마스터!$M$18,ROW(입고!$C$8:$C$1013)-7),2)),"")</f>
        <v/>
      </c>
      <c r="F13" s="50" t="str">
        <f t="array" ref="F13">IFERROR(INDEX(입고!$I$8:$I$1013,SMALL(IF(입고!$C$8:$C$1013=마스터!$M$18,ROW(입고!$C$8:$C$1013)-7),2)),"")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IFERROR(INDEX(입고!$B$8:$B$1013,SMALL(IF(입고!$C$8:$C$1013=마스터!$M$18,ROW(입고!$C$8:$C$1013)-7),3)),"")</f>
        <v/>
      </c>
      <c r="C14" s="6" t="str">
        <f t="array" ref="C14">IFERROR(INDEX(입고!$E$8:$E$1013,SMALL(IF(입고!$C$8:$C$1013=마스터!$M$18,ROW(입고!$C$8:$C$1013)-7),3)),"")</f>
        <v/>
      </c>
      <c r="D14" s="8" t="str">
        <f t="array" ref="D14">IFERROR(INDEX(입고!$F$8:$F$1013,SMALL(IF(입고!$C$8:$C$1013=마스터!$M$18,ROW(입고!$C$8:$C$1013)-7),3)),"")</f>
        <v/>
      </c>
      <c r="E14" s="46" t="str">
        <f t="array" ref="E14">IFERROR(INDEX(입고!$H$8:$H$1013,SMALL(IF(입고!$C$8:$C$1013=마스터!$M$18,ROW(입고!$C$8:$C$1013)-7),3)),"")</f>
        <v/>
      </c>
      <c r="F14" s="46" t="str">
        <f t="array" ref="F14">IFERROR(INDEX(입고!$I$8:$I$1013,SMALL(IF(입고!$C$8:$C$1013=마스터!$M$18,ROW(입고!$C$8:$C$1013)-7),3)),"")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IFERROR(INDEX(입고!$B$8:$B$1013,SMALL(IF(입고!$C$8:$C$1013=마스터!$M$18,ROW(입고!$C$8:$C$1013)-7),4)),"")</f>
        <v/>
      </c>
      <c r="C15" s="11" t="str">
        <f t="array" ref="C15">IFERROR(INDEX(입고!$E$8:$E$1013,SMALL(IF(입고!$C$8:$C$1013=마스터!$M$18,ROW(입고!$C$8:$C$1013)-7),4)),"")</f>
        <v/>
      </c>
      <c r="D15" s="13" t="str">
        <f t="array" ref="D15">IFERROR(INDEX(입고!$F$8:$F$1013,SMALL(IF(입고!$C$8:$C$1013=마스터!$M$18,ROW(입고!$C$8:$C$1013)-7),4)),"")</f>
        <v/>
      </c>
      <c r="E15" s="50" t="str">
        <f t="array" ref="E15">IFERROR(INDEX(입고!$H$8:$H$1013,SMALL(IF(입고!$C$8:$C$1013=마스터!$M$18,ROW(입고!$C$8:$C$1013)-7),4)),"")</f>
        <v/>
      </c>
      <c r="F15" s="50" t="str">
        <f t="array" ref="F15">IFERROR(INDEX(입고!$I$8:$I$1013,SMALL(IF(입고!$C$8:$C$1013=마스터!$M$18,ROW(입고!$C$8:$C$1013)-7),4)),"")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IFERROR(INDEX(입고!$B$8:$B$1013,SMALL(IF(입고!$C$8:$C$1013=마스터!$M$18,ROW(입고!$C$8:$C$1013)-7),5)),"")</f>
        <v/>
      </c>
      <c r="C16" s="6" t="str">
        <f t="array" ref="C16">IFERROR(INDEX(입고!$E$8:$E$1013,SMALL(IF(입고!$C$8:$C$1013=마스터!$M$18,ROW(입고!$C$8:$C$1013)-7),5)),"")</f>
        <v/>
      </c>
      <c r="D16" s="8" t="str">
        <f t="array" ref="D16">IFERROR(INDEX(입고!$F$8:$F$1013,SMALL(IF(입고!$C$8:$C$1013=마스터!$M$18,ROW(입고!$C$8:$C$1013)-7),5)),"")</f>
        <v/>
      </c>
      <c r="E16" s="46" t="str">
        <f t="array" ref="E16">IFERROR(INDEX(입고!$H$8:$H$1013,SMALL(IF(입고!$C$8:$C$1013=마스터!$M$18,ROW(입고!$C$8:$C$1013)-7),5)),"")</f>
        <v/>
      </c>
      <c r="F16" s="46" t="str">
        <f t="array" ref="F16">IFERROR(INDEX(입고!$I$8:$I$1013,SMALL(IF(입고!$C$8:$C$1013=마스터!$M$18,ROW(입고!$C$8:$C$1013)-7),5)),"")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IFERROR(INDEX(입고!$B$8:$B$1013,SMALL(IF(입고!$C$8:$C$1013=마스터!$M$18,ROW(입고!$C$8:$C$1013)-7),6)),"")</f>
        <v/>
      </c>
      <c r="C17" s="11" t="str">
        <f t="array" ref="C17">IFERROR(INDEX(입고!$E$8:$E$1013,SMALL(IF(입고!$C$8:$C$1013=마스터!$M$18,ROW(입고!$C$8:$C$1013)-7),6)),"")</f>
        <v/>
      </c>
      <c r="D17" s="13" t="str">
        <f t="array" ref="D17">IFERROR(INDEX(입고!$F$8:$F$1013,SMALL(IF(입고!$C$8:$C$1013=마스터!$M$18,ROW(입고!$C$8:$C$1013)-7),6)),"")</f>
        <v/>
      </c>
      <c r="E17" s="50" t="str">
        <f t="array" ref="E17">IFERROR(INDEX(입고!$H$8:$H$1013,SMALL(IF(입고!$C$8:$C$1013=마스터!$M$18,ROW(입고!$C$8:$C$1013)-7),6)),"")</f>
        <v/>
      </c>
      <c r="F17" s="50" t="str">
        <f t="array" ref="F17">IFERROR(INDEX(입고!$I$8:$I$1013,SMALL(IF(입고!$C$8:$C$1013=마스터!$M$18,ROW(입고!$C$8:$C$1013)-7),6)),"")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IFERROR(INDEX(입고!$B$8:$B$1013,SMALL(IF(입고!$C$8:$C$1013=마스터!$M$18,ROW(입고!$C$8:$C$1013)-7),7)),"")</f>
        <v/>
      </c>
      <c r="C18" s="6" t="str">
        <f t="array" ref="C18">IFERROR(INDEX(입고!$E$8:$E$1013,SMALL(IF(입고!$C$8:$C$1013=마스터!$M$18,ROW(입고!$C$8:$C$1013)-7),7)),"")</f>
        <v/>
      </c>
      <c r="D18" s="8" t="str">
        <f t="array" ref="D18">IFERROR(INDEX(입고!$F$8:$F$1013,SMALL(IF(입고!$C$8:$C$1013=마스터!$M$18,ROW(입고!$C$8:$C$1013)-7),7)),"")</f>
        <v/>
      </c>
      <c r="E18" s="46" t="str">
        <f t="array" ref="E18">IFERROR(INDEX(입고!$H$8:$H$1013,SMALL(IF(입고!$C$8:$C$1013=마스터!$M$18,ROW(입고!$C$8:$C$1013)-7),7)),"")</f>
        <v/>
      </c>
      <c r="F18" s="46" t="str">
        <f t="array" ref="F18">IFERROR(INDEX(입고!$I$8:$I$1013,SMALL(IF(입고!$C$8:$C$1013=마스터!$M$18,ROW(입고!$C$8:$C$1013)-7),7)),"")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IFERROR(INDEX(입고!$B$8:$B$1013,SMALL(IF(입고!$C$8:$C$1013=마스터!$M$18,ROW(입고!$C$8:$C$1013)-7),8)),"")</f>
        <v/>
      </c>
      <c r="C19" s="11" t="str">
        <f t="array" ref="C19">IFERROR(INDEX(입고!$E$8:$E$1013,SMALL(IF(입고!$C$8:$C$1013=마스터!$M$18,ROW(입고!$C$8:$C$1013)-7),8)),"")</f>
        <v/>
      </c>
      <c r="D19" s="13" t="str">
        <f t="array" ref="D19">IFERROR(INDEX(입고!$F$8:$F$1013,SMALL(IF(입고!$C$8:$C$1013=마스터!$M$18,ROW(입고!$C$8:$C$1013)-7),8)),"")</f>
        <v/>
      </c>
      <c r="E19" s="50" t="str">
        <f t="array" ref="E19">IFERROR(INDEX(입고!$H$8:$H$1013,SMALL(IF(입고!$C$8:$C$1013=마스터!$M$18,ROW(입고!$C$8:$C$1013)-7),8)),"")</f>
        <v/>
      </c>
      <c r="F19" s="50" t="str">
        <f t="array" ref="F19">IFERROR(INDEX(입고!$I$8:$I$1013,SMALL(IF(입고!$C$8:$C$1013=마스터!$M$18,ROW(입고!$C$8:$C$1013)-7),8)),"")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IFERROR(INDEX(입고!$B$8:$B$1013,SMALL(IF(입고!$C$8:$C$1013=마스터!$M$18,ROW(입고!$C$8:$C$1013)-7),9)),"")</f>
        <v/>
      </c>
      <c r="C20" s="6" t="str">
        <f t="array" ref="C20">IFERROR(INDEX(입고!$E$8:$E$1013,SMALL(IF(입고!$C$8:$C$1013=마스터!$M$18,ROW(입고!$C$8:$C$1013)-7),9)),"")</f>
        <v/>
      </c>
      <c r="D20" s="8" t="str">
        <f t="array" ref="D20">IFERROR(INDEX(입고!$F$8:$F$1013,SMALL(IF(입고!$C$8:$C$1013=마스터!$M$18,ROW(입고!$C$8:$C$1013)-7),9)),"")</f>
        <v/>
      </c>
      <c r="E20" s="46" t="str">
        <f t="array" ref="E20">IFERROR(INDEX(입고!$H$8:$H$1013,SMALL(IF(입고!$C$8:$C$1013=마스터!$M$18,ROW(입고!$C$8:$C$1013)-7),9)),"")</f>
        <v/>
      </c>
      <c r="F20" s="46" t="str">
        <f t="array" ref="F20">IFERROR(INDEX(입고!$I$8:$I$1013,SMALL(IF(입고!$C$8:$C$1013=마스터!$M$18,ROW(입고!$C$8:$C$1013)-7),9)),"")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IFERROR(INDEX(입고!$B$8:$B$1013,SMALL(IF(입고!$C$8:$C$1013=마스터!$M$18,ROW(입고!$C$8:$C$1013)-7),10)),"")</f>
        <v/>
      </c>
      <c r="C21" s="11" t="str">
        <f t="array" ref="C21">IFERROR(INDEX(입고!$E$8:$E$1013,SMALL(IF(입고!$C$8:$C$1013=마스터!$M$18,ROW(입고!$C$8:$C$1013)-7),10)),"")</f>
        <v/>
      </c>
      <c r="D21" s="13" t="str">
        <f t="array" ref="D21">IFERROR(INDEX(입고!$F$8:$F$1013,SMALL(IF(입고!$C$8:$C$1013=마스터!$M$18,ROW(입고!$C$8:$C$1013)-7),10)),"")</f>
        <v/>
      </c>
      <c r="E21" s="50" t="str">
        <f t="array" ref="E21">IFERROR(INDEX(입고!$H$8:$H$1013,SMALL(IF(입고!$C$8:$C$1013=마스터!$M$18,ROW(입고!$C$8:$C$1013)-7),10)),"")</f>
        <v/>
      </c>
      <c r="F21" s="50" t="str">
        <f t="array" ref="F21">IFERROR(INDEX(입고!$I$8:$I$1013,SMALL(IF(입고!$C$8:$C$1013=마스터!$M$18,ROW(입고!$C$8:$C$1013)-7),10)),"")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IFERROR(INDEX(입고!$B$8:$B$1013,SMALL(IF(입고!$C$8:$C$1013=마스터!$M$18,ROW(입고!$C$8:$C$1013)-7),11)),"")</f>
        <v/>
      </c>
      <c r="C22" s="6" t="str">
        <f t="array" ref="C22">IFERROR(INDEX(입고!$E$8:$E$1013,SMALL(IF(입고!$C$8:$C$1013=마스터!$M$18,ROW(입고!$C$8:$C$1013)-7),11)),"")</f>
        <v/>
      </c>
      <c r="D22" s="8" t="str">
        <f t="array" ref="D22">IFERROR(INDEX(입고!$F$8:$F$1013,SMALL(IF(입고!$C$8:$C$1013=마스터!$M$18,ROW(입고!$C$8:$C$1013)-7),11)),"")</f>
        <v/>
      </c>
      <c r="E22" s="46" t="str">
        <f t="array" ref="E22">IFERROR(INDEX(입고!$H$8:$H$1013,SMALL(IF(입고!$C$8:$C$1013=마스터!$M$18,ROW(입고!$C$8:$C$1013)-7),11)),"")</f>
        <v/>
      </c>
      <c r="F22" s="46" t="str">
        <f t="array" ref="F22">IFERROR(INDEX(입고!$I$8:$I$1013,SMALL(IF(입고!$C$8:$C$1013=마스터!$M$18,ROW(입고!$C$8:$C$1013)-7),11)),"")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IFERROR(INDEX(입고!$B$8:$B$1013,SMALL(IF(입고!$C$8:$C$1013=마스터!$M$18,ROW(입고!$C$8:$C$1013)-7),12)),"")</f>
        <v/>
      </c>
      <c r="C23" s="11" t="str">
        <f t="array" ref="C23">IFERROR(INDEX(입고!$E$8:$E$1013,SMALL(IF(입고!$C$8:$C$1013=마스터!$M$18,ROW(입고!$C$8:$C$1013)-7),12)),"")</f>
        <v/>
      </c>
      <c r="D23" s="13" t="str">
        <f t="array" ref="D23">IFERROR(INDEX(입고!$F$8:$F$1013,SMALL(IF(입고!$C$8:$C$1013=마스터!$M$18,ROW(입고!$C$8:$C$1013)-7),12)),"")</f>
        <v/>
      </c>
      <c r="E23" s="50" t="str">
        <f t="array" ref="E23">IFERROR(INDEX(입고!$H$8:$H$1013,SMALL(IF(입고!$C$8:$C$1013=마스터!$M$18,ROW(입고!$C$8:$C$1013)-7),12)),"")</f>
        <v/>
      </c>
      <c r="F23" s="50" t="str">
        <f t="array" ref="F23">IFERROR(INDEX(입고!$I$8:$I$1013,SMALL(IF(입고!$C$8:$C$1013=마스터!$M$18,ROW(입고!$C$8:$C$1013)-7),12)),"")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IFERROR(INDEX(입고!$B$8:$B$1013,SMALL(IF(입고!$C$8:$C$1013=마스터!$M$18,ROW(입고!$C$8:$C$1013)-7),13)),"")</f>
        <v/>
      </c>
      <c r="C24" s="6" t="str">
        <f t="array" ref="C24">IFERROR(INDEX(입고!$E$8:$E$1013,SMALL(IF(입고!$C$8:$C$1013=마스터!$M$18,ROW(입고!$C$8:$C$1013)-7),13)),"")</f>
        <v/>
      </c>
      <c r="D24" s="8" t="str">
        <f t="array" ref="D24">IFERROR(INDEX(입고!$F$8:$F$1013,SMALL(IF(입고!$C$8:$C$1013=마스터!$M$18,ROW(입고!$C$8:$C$1013)-7),13)),"")</f>
        <v/>
      </c>
      <c r="E24" s="46" t="str">
        <f t="array" ref="E24">IFERROR(INDEX(입고!$H$8:$H$1013,SMALL(IF(입고!$C$8:$C$1013=마스터!$M$18,ROW(입고!$C$8:$C$1013)-7),13)),"")</f>
        <v/>
      </c>
      <c r="F24" s="46" t="str">
        <f t="array" ref="F24">IFERROR(INDEX(입고!$I$8:$I$1013,SMALL(IF(입고!$C$8:$C$1013=마스터!$M$18,ROW(입고!$C$8:$C$1013)-7),13)),"")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IFERROR(INDEX(입고!$B$8:$B$1013,SMALL(IF(입고!$C$8:$C$1013=마스터!$M$18,ROW(입고!$C$8:$C$1013)-7),14)),"")</f>
        <v/>
      </c>
      <c r="C25" s="11" t="str">
        <f t="array" ref="C25">IFERROR(INDEX(입고!$E$8:$E$1013,SMALL(IF(입고!$C$8:$C$1013=마스터!$M$18,ROW(입고!$C$8:$C$1013)-7),14)),"")</f>
        <v/>
      </c>
      <c r="D25" s="13" t="str">
        <f t="array" ref="D25">IFERROR(INDEX(입고!$F$8:$F$1013,SMALL(IF(입고!$C$8:$C$1013=마스터!$M$18,ROW(입고!$C$8:$C$1013)-7),14)),"")</f>
        <v/>
      </c>
      <c r="E25" s="50" t="str">
        <f t="array" ref="E25">IFERROR(INDEX(입고!$H$8:$H$1013,SMALL(IF(입고!$C$8:$C$1013=마스터!$M$18,ROW(입고!$C$8:$C$1013)-7),14)),"")</f>
        <v/>
      </c>
      <c r="F25" s="50" t="str">
        <f t="array" ref="F25">IFERROR(INDEX(입고!$I$8:$I$1013,SMALL(IF(입고!$C$8:$C$1013=마스터!$M$18,ROW(입고!$C$8:$C$1013)-7),14)),"")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IFERROR(INDEX(입고!$B$8:$B$1013,SMALL(IF(입고!$C$8:$C$1013=마스터!$M$18,ROW(입고!$C$8:$C$1013)-7),15)),"")</f>
        <v/>
      </c>
      <c r="C26" s="6" t="str">
        <f t="array" ref="C26">IFERROR(INDEX(입고!$E$8:$E$1013,SMALL(IF(입고!$C$8:$C$1013=마스터!$M$18,ROW(입고!$C$8:$C$1013)-7),15)),"")</f>
        <v/>
      </c>
      <c r="D26" s="8" t="str">
        <f t="array" ref="D26">IFERROR(INDEX(입고!$F$8:$F$1013,SMALL(IF(입고!$C$8:$C$1013=마스터!$M$18,ROW(입고!$C$8:$C$1013)-7),15)),"")</f>
        <v/>
      </c>
      <c r="E26" s="46" t="str">
        <f t="array" ref="E26">IFERROR(INDEX(입고!$H$8:$H$1013,SMALL(IF(입고!$C$8:$C$1013=마스터!$M$18,ROW(입고!$C$8:$C$1013)-7),15)),"")</f>
        <v/>
      </c>
      <c r="F26" s="46" t="str">
        <f t="array" ref="F26">IFERROR(INDEX(입고!$I$8:$I$1013,SMALL(IF(입고!$C$8:$C$1013=마스터!$M$18,ROW(입고!$C$8:$C$1013)-7),15)),"")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IFERROR(INDEX(입고!$B$8:$B$1013,SMALL(IF(입고!$C$8:$C$1013=마스터!$M$18,ROW(입고!$C$8:$C$1013)-7),16)),"")</f>
        <v/>
      </c>
      <c r="C27" s="11" t="str">
        <f t="array" ref="C27">IFERROR(INDEX(입고!$E$8:$E$1013,SMALL(IF(입고!$C$8:$C$1013=마스터!$M$18,ROW(입고!$C$8:$C$1013)-7),16)),"")</f>
        <v/>
      </c>
      <c r="D27" s="13" t="str">
        <f t="array" ref="D27">IFERROR(INDEX(입고!$F$8:$F$1013,SMALL(IF(입고!$C$8:$C$1013=마스터!$M$18,ROW(입고!$C$8:$C$1013)-7),16)),"")</f>
        <v/>
      </c>
      <c r="E27" s="50" t="str">
        <f t="array" ref="E27">IFERROR(INDEX(입고!$H$8:$H$1013,SMALL(IF(입고!$C$8:$C$1013=마스터!$M$18,ROW(입고!$C$8:$C$1013)-7),16)),"")</f>
        <v/>
      </c>
      <c r="F27" s="50" t="str">
        <f t="array" ref="F27">IFERROR(INDEX(입고!$I$8:$I$1013,SMALL(IF(입고!$C$8:$C$1013=마스터!$M$18,ROW(입고!$C$8:$C$1013)-7),16)),"")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IFERROR(INDEX(입고!$B$8:$B$1013,SMALL(IF(입고!$C$8:$C$1013=마스터!$M$18,ROW(입고!$C$8:$C$1013)-7),17)),"")</f>
        <v/>
      </c>
      <c r="C28" s="6" t="str">
        <f t="array" ref="C28">IFERROR(INDEX(입고!$E$8:$E$1013,SMALL(IF(입고!$C$8:$C$1013=마스터!$M$18,ROW(입고!$C$8:$C$1013)-7),17)),"")</f>
        <v/>
      </c>
      <c r="D28" s="8" t="str">
        <f t="array" ref="D28">IFERROR(INDEX(입고!$F$8:$F$1013,SMALL(IF(입고!$C$8:$C$1013=마스터!$M$18,ROW(입고!$C$8:$C$1013)-7),17)),"")</f>
        <v/>
      </c>
      <c r="E28" s="46" t="str">
        <f t="array" ref="E28">IFERROR(INDEX(입고!$H$8:$H$1013,SMALL(IF(입고!$C$8:$C$1013=마스터!$M$18,ROW(입고!$C$8:$C$1013)-7),17)),"")</f>
        <v/>
      </c>
      <c r="F28" s="46" t="str">
        <f t="array" ref="F28">IFERROR(INDEX(입고!$I$8:$I$1013,SMALL(IF(입고!$C$8:$C$1013=마스터!$M$18,ROW(입고!$C$8:$C$1013)-7),17)),"")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IFERROR(INDEX(입고!$B$8:$B$1013,SMALL(IF(입고!$C$8:$C$1013=마스터!$M$18,ROW(입고!$C$8:$C$1013)-7),18)),"")</f>
        <v/>
      </c>
      <c r="C29" s="11" t="str">
        <f t="array" ref="C29">IFERROR(INDEX(입고!$E$8:$E$1013,SMALL(IF(입고!$C$8:$C$1013=마스터!$M$18,ROW(입고!$C$8:$C$1013)-7),18)),"")</f>
        <v/>
      </c>
      <c r="D29" s="13" t="str">
        <f t="array" ref="D29">IFERROR(INDEX(입고!$F$8:$F$1013,SMALL(IF(입고!$C$8:$C$1013=마스터!$M$18,ROW(입고!$C$8:$C$1013)-7),18)),"")</f>
        <v/>
      </c>
      <c r="E29" s="50" t="str">
        <f t="array" ref="E29">IFERROR(INDEX(입고!$H$8:$H$1013,SMALL(IF(입고!$C$8:$C$1013=마스터!$M$18,ROW(입고!$C$8:$C$1013)-7),18)),"")</f>
        <v/>
      </c>
      <c r="F29" s="50" t="str">
        <f t="array" ref="F29">IFERROR(INDEX(입고!$I$8:$I$1013,SMALL(IF(입고!$C$8:$C$1013=마스터!$M$18,ROW(입고!$C$8:$C$1013)-7),18)),"")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IFERROR(INDEX(입고!$B$8:$B$1013,SMALL(IF(입고!$C$8:$C$1013=마스터!$M$18,ROW(입고!$C$8:$C$1013)-7),19)),"")</f>
        <v/>
      </c>
      <c r="C30" s="6" t="str">
        <f t="array" ref="C30">IFERROR(INDEX(입고!$E$8:$E$1013,SMALL(IF(입고!$C$8:$C$1013=마스터!$M$18,ROW(입고!$C$8:$C$1013)-7),19)),"")</f>
        <v/>
      </c>
      <c r="D30" s="8" t="str">
        <f t="array" ref="D30">IFERROR(INDEX(입고!$F$8:$F$1013,SMALL(IF(입고!$C$8:$C$1013=마스터!$M$18,ROW(입고!$C$8:$C$1013)-7),19)),"")</f>
        <v/>
      </c>
      <c r="E30" s="46" t="str">
        <f t="array" ref="E30">IFERROR(INDEX(입고!$H$8:$H$1013,SMALL(IF(입고!$C$8:$C$1013=마스터!$M$18,ROW(입고!$C$8:$C$1013)-7),19)),"")</f>
        <v/>
      </c>
      <c r="F30" s="46" t="str">
        <f t="array" ref="F30">IFERROR(INDEX(입고!$I$8:$I$1013,SMALL(IF(입고!$C$8:$C$1013=마스터!$M$18,ROW(입고!$C$8:$C$1013)-7),19)),"")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IFERROR(INDEX(입고!$B$8:$B$1013,SMALL(IF(입고!$C$8:$C$1013=마스터!$M$18,ROW(입고!$C$8:$C$1013)-7),20)),"")</f>
        <v/>
      </c>
      <c r="C31" s="11" t="str">
        <f t="array" ref="C31">IFERROR(INDEX(입고!$E$8:$E$1013,SMALL(IF(입고!$C$8:$C$1013=마스터!$M$18,ROW(입고!$C$8:$C$1013)-7),20)),"")</f>
        <v/>
      </c>
      <c r="D31" s="13" t="str">
        <f t="array" ref="D31">IFERROR(INDEX(입고!$F$8:$F$1013,SMALL(IF(입고!$C$8:$C$1013=마스터!$M$18,ROW(입고!$C$8:$C$1013)-7),20)),"")</f>
        <v/>
      </c>
      <c r="E31" s="50" t="str">
        <f t="array" ref="E31">IFERROR(INDEX(입고!$H$8:$H$1013,SMALL(IF(입고!$C$8:$C$1013=마스터!$M$18,ROW(입고!$C$8:$C$1013)-7),20)),"")</f>
        <v/>
      </c>
      <c r="F31" s="50" t="str">
        <f t="array" ref="F31">IFERROR(INDEX(입고!$I$8:$I$1013,SMALL(IF(입고!$C$8:$C$1013=마스터!$M$18,ROW(입고!$C$8:$C$1013)-7),20)),"")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IFERROR(INDEX(입고!$B$8:$B$1013,SMALL(IF(입고!$C$8:$C$1013=마스터!$M$18,ROW(입고!$C$8:$C$1013)-7),21)),"")</f>
        <v/>
      </c>
      <c r="C32" s="6" t="str">
        <f t="array" ref="C32">IFERROR(INDEX(입고!$E$8:$E$1013,SMALL(IF(입고!$C$8:$C$1013=마스터!$M$18,ROW(입고!$C$8:$C$1013)-7),21)),"")</f>
        <v/>
      </c>
      <c r="D32" s="8" t="str">
        <f t="array" ref="D32">IFERROR(INDEX(입고!$F$8:$F$1013,SMALL(IF(입고!$C$8:$C$1013=마스터!$M$18,ROW(입고!$C$8:$C$1013)-7),21)),"")</f>
        <v/>
      </c>
      <c r="E32" s="46" t="str">
        <f t="array" ref="E32">IFERROR(INDEX(입고!$H$8:$H$1013,SMALL(IF(입고!$C$8:$C$1013=마스터!$M$18,ROW(입고!$C$8:$C$1013)-7),21)),"")</f>
        <v/>
      </c>
      <c r="F32" s="46" t="str">
        <f t="array" ref="F32">IFERROR(INDEX(입고!$I$8:$I$1013,SMALL(IF(입고!$C$8:$C$1013=마스터!$M$18,ROW(입고!$C$8:$C$1013)-7),21)),"")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IFERROR(INDEX(입고!$B$8:$B$1013,SMALL(IF(입고!$C$8:$C$1013=마스터!$M$18,ROW(입고!$C$8:$C$1013)-7),22)),"")</f>
        <v/>
      </c>
      <c r="C33" s="11" t="str">
        <f t="array" ref="C33">IFERROR(INDEX(입고!$E$8:$E$1013,SMALL(IF(입고!$C$8:$C$1013=마스터!$M$18,ROW(입고!$C$8:$C$1013)-7),22)),"")</f>
        <v/>
      </c>
      <c r="D33" s="13" t="str">
        <f t="array" ref="D33">IFERROR(INDEX(입고!$F$8:$F$1013,SMALL(IF(입고!$C$8:$C$1013=마스터!$M$18,ROW(입고!$C$8:$C$1013)-7),22)),"")</f>
        <v/>
      </c>
      <c r="E33" s="50" t="str">
        <f t="array" ref="E33">IFERROR(INDEX(입고!$H$8:$H$1013,SMALL(IF(입고!$C$8:$C$1013=마스터!$M$18,ROW(입고!$C$8:$C$1013)-7),22)),"")</f>
        <v/>
      </c>
      <c r="F33" s="50" t="str">
        <f t="array" ref="F33">IFERROR(INDEX(입고!$I$8:$I$1013,SMALL(IF(입고!$C$8:$C$1013=마스터!$M$18,ROW(입고!$C$8:$C$1013)-7),22)),"")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IFERROR(INDEX(입고!$B$8:$B$1013,SMALL(IF(입고!$C$8:$C$1013=마스터!$M$18,ROW(입고!$C$8:$C$1013)-7),23)),"")</f>
        <v/>
      </c>
      <c r="C34" s="6" t="str">
        <f t="array" ref="C34">IFERROR(INDEX(입고!$E$8:$E$1013,SMALL(IF(입고!$C$8:$C$1013=마스터!$M$18,ROW(입고!$C$8:$C$1013)-7),23)),"")</f>
        <v/>
      </c>
      <c r="D34" s="8" t="str">
        <f t="array" ref="D34">IFERROR(INDEX(입고!$F$8:$F$1013,SMALL(IF(입고!$C$8:$C$1013=마스터!$M$18,ROW(입고!$C$8:$C$1013)-7),23)),"")</f>
        <v/>
      </c>
      <c r="E34" s="46" t="str">
        <f t="array" ref="E34">IFERROR(INDEX(입고!$H$8:$H$1013,SMALL(IF(입고!$C$8:$C$1013=마스터!$M$18,ROW(입고!$C$8:$C$1013)-7),23)),"")</f>
        <v/>
      </c>
      <c r="F34" s="46" t="str">
        <f t="array" ref="F34">IFERROR(INDEX(입고!$I$8:$I$1013,SMALL(IF(입고!$C$8:$C$1013=마스터!$M$18,ROW(입고!$C$8:$C$1013)-7),23)),"")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IFERROR(INDEX(입고!$B$8:$B$1013,SMALL(IF(입고!$C$8:$C$1013=마스터!$M$18,ROW(입고!$C$8:$C$1013)-7),24)),"")</f>
        <v/>
      </c>
      <c r="C35" s="11" t="str">
        <f t="array" ref="C35">IFERROR(INDEX(입고!$E$8:$E$1013,SMALL(IF(입고!$C$8:$C$1013=마스터!$M$18,ROW(입고!$C$8:$C$1013)-7),24)),"")</f>
        <v/>
      </c>
      <c r="D35" s="13" t="str">
        <f t="array" ref="D35">IFERROR(INDEX(입고!$F$8:$F$1013,SMALL(IF(입고!$C$8:$C$1013=마스터!$M$18,ROW(입고!$C$8:$C$1013)-7),24)),"")</f>
        <v/>
      </c>
      <c r="E35" s="50" t="str">
        <f t="array" ref="E35">IFERROR(INDEX(입고!$H$8:$H$1013,SMALL(IF(입고!$C$8:$C$1013=마스터!$M$18,ROW(입고!$C$8:$C$1013)-7),24)),"")</f>
        <v/>
      </c>
      <c r="F35" s="50" t="str">
        <f t="array" ref="F35">IFERROR(INDEX(입고!$I$8:$I$1013,SMALL(IF(입고!$C$8:$C$1013=마스터!$M$18,ROW(입고!$C$8:$C$1013)-7),24)),"")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IFERROR(INDEX(입고!$B$8:$B$1013,SMALL(IF(입고!$C$8:$C$1013=마스터!$M$18,ROW(입고!$C$8:$C$1013)-7),25)),"")</f>
        <v/>
      </c>
      <c r="C36" s="6" t="str">
        <f t="array" ref="C36">IFERROR(INDEX(입고!$E$8:$E$1013,SMALL(IF(입고!$C$8:$C$1013=마스터!$M$18,ROW(입고!$C$8:$C$1013)-7),25)),"")</f>
        <v/>
      </c>
      <c r="D36" s="8" t="str">
        <f t="array" ref="D36">IFERROR(INDEX(입고!$F$8:$F$1013,SMALL(IF(입고!$C$8:$C$1013=마스터!$M$18,ROW(입고!$C$8:$C$1013)-7),25)),"")</f>
        <v/>
      </c>
      <c r="E36" s="46" t="str">
        <f t="array" ref="E36">IFERROR(INDEX(입고!$H$8:$H$1013,SMALL(IF(입고!$C$8:$C$1013=마스터!$M$18,ROW(입고!$C$8:$C$1013)-7),25)),"")</f>
        <v/>
      </c>
      <c r="F36" s="46" t="str">
        <f t="array" ref="F36">IFERROR(INDEX(입고!$I$8:$I$1013,SMALL(IF(입고!$C$8:$C$1013=마스터!$M$18,ROW(입고!$C$8:$C$1013)-7),25)),"")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IFERROR(INDEX(입고!$B$8:$B$1013,SMALL(IF(입고!$C$8:$C$1013=마스터!$M$18,ROW(입고!$C$8:$C$1013)-7),26)),"")</f>
        <v/>
      </c>
      <c r="C37" s="11" t="str">
        <f t="array" ref="C37">IFERROR(INDEX(입고!$E$8:$E$1013,SMALL(IF(입고!$C$8:$C$1013=마스터!$M$18,ROW(입고!$C$8:$C$1013)-7),26)),"")</f>
        <v/>
      </c>
      <c r="D37" s="13" t="str">
        <f t="array" ref="D37">IFERROR(INDEX(입고!$F$8:$F$1013,SMALL(IF(입고!$C$8:$C$1013=마스터!$M$18,ROW(입고!$C$8:$C$1013)-7),26)),"")</f>
        <v/>
      </c>
      <c r="E37" s="50" t="str">
        <f t="array" ref="E37">IFERROR(INDEX(입고!$H$8:$H$1013,SMALL(IF(입고!$C$8:$C$1013=마스터!$M$18,ROW(입고!$C$8:$C$1013)-7),26)),"")</f>
        <v/>
      </c>
      <c r="F37" s="50" t="str">
        <f t="array" ref="F37">IFERROR(INDEX(입고!$I$8:$I$1013,SMALL(IF(입고!$C$8:$C$1013=마스터!$M$18,ROW(입고!$C$8:$C$1013)-7),26)),"")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IFERROR(INDEX(입고!$B$8:$B$1013,SMALL(IF(입고!$C$8:$C$1013=마스터!$M$18,ROW(입고!$C$8:$C$1013)-7),27)),"")</f>
        <v/>
      </c>
      <c r="C38" s="6" t="str">
        <f t="array" ref="C38">IFERROR(INDEX(입고!$E$8:$E$1013,SMALL(IF(입고!$C$8:$C$1013=마스터!$M$18,ROW(입고!$C$8:$C$1013)-7),27)),"")</f>
        <v/>
      </c>
      <c r="D38" s="8" t="str">
        <f t="array" ref="D38">IFERROR(INDEX(입고!$F$8:$F$1013,SMALL(IF(입고!$C$8:$C$1013=마스터!$M$18,ROW(입고!$C$8:$C$1013)-7),27)),"")</f>
        <v/>
      </c>
      <c r="E38" s="46" t="str">
        <f t="array" ref="E38">IFERROR(INDEX(입고!$H$8:$H$1013,SMALL(IF(입고!$C$8:$C$1013=마스터!$M$18,ROW(입고!$C$8:$C$1013)-7),27)),"")</f>
        <v/>
      </c>
      <c r="F38" s="46" t="str">
        <f t="array" ref="F38">IFERROR(INDEX(입고!$I$8:$I$1013,SMALL(IF(입고!$C$8:$C$1013=마스터!$M$18,ROW(입고!$C$8:$C$1013)-7),27)),"")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IFERROR(INDEX(입고!$B$8:$B$1013,SMALL(IF(입고!$C$8:$C$1013=마스터!$M$18,ROW(입고!$C$8:$C$1013)-7),28)),"")</f>
        <v/>
      </c>
      <c r="C39" s="11" t="str">
        <f t="array" ref="C39">IFERROR(INDEX(입고!$E$8:$E$1013,SMALL(IF(입고!$C$8:$C$1013=마스터!$M$18,ROW(입고!$C$8:$C$1013)-7),28)),"")</f>
        <v/>
      </c>
      <c r="D39" s="13" t="str">
        <f t="array" ref="D39">IFERROR(INDEX(입고!$F$8:$F$1013,SMALL(IF(입고!$C$8:$C$1013=마스터!$M$18,ROW(입고!$C$8:$C$1013)-7),28)),"")</f>
        <v/>
      </c>
      <c r="E39" s="50" t="str">
        <f t="array" ref="E39">IFERROR(INDEX(입고!$H$8:$H$1013,SMALL(IF(입고!$C$8:$C$1013=마스터!$M$18,ROW(입고!$C$8:$C$1013)-7),28)),"")</f>
        <v/>
      </c>
      <c r="F39" s="50" t="str">
        <f t="array" ref="F39">IFERROR(INDEX(입고!$I$8:$I$1013,SMALL(IF(입고!$C$8:$C$1013=마스터!$M$18,ROW(입고!$C$8:$C$1013)-7),28)),"")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IFERROR(INDEX(입고!$B$8:$B$1013,SMALL(IF(입고!$C$8:$C$1013=마스터!$M$18,ROW(입고!$C$8:$C$1013)-7),29)),"")</f>
        <v/>
      </c>
      <c r="C40" s="6" t="str">
        <f t="array" ref="C40">IFERROR(INDEX(입고!$E$8:$E$1013,SMALL(IF(입고!$C$8:$C$1013=마스터!$M$18,ROW(입고!$C$8:$C$1013)-7),29)),"")</f>
        <v/>
      </c>
      <c r="D40" s="8" t="str">
        <f t="array" ref="D40">IFERROR(INDEX(입고!$F$8:$F$1013,SMALL(IF(입고!$C$8:$C$1013=마스터!$M$18,ROW(입고!$C$8:$C$1013)-7),29)),"")</f>
        <v/>
      </c>
      <c r="E40" s="46" t="str">
        <f t="array" ref="E40">IFERROR(INDEX(입고!$H$8:$H$1013,SMALL(IF(입고!$C$8:$C$1013=마스터!$M$18,ROW(입고!$C$8:$C$1013)-7),29)),"")</f>
        <v/>
      </c>
      <c r="F40" s="46" t="str">
        <f t="array" ref="F40">IFERROR(INDEX(입고!$I$8:$I$1013,SMALL(IF(입고!$C$8:$C$1013=마스터!$M$18,ROW(입고!$C$8:$C$1013)-7),29)),"")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IFERROR(INDEX(입고!$B$8:$B$1013,SMALL(IF(입고!$C$8:$C$1013=마스터!$M$18,ROW(입고!$C$8:$C$1013)-7),30)),"")</f>
        <v/>
      </c>
      <c r="C41" s="11" t="str">
        <f t="array" ref="C41">IFERROR(INDEX(입고!$E$8:$E$1013,SMALL(IF(입고!$C$8:$C$1013=마스터!$M$18,ROW(입고!$C$8:$C$1013)-7),30)),"")</f>
        <v/>
      </c>
      <c r="D41" s="13" t="str">
        <f t="array" ref="D41">IFERROR(INDEX(입고!$F$8:$F$1013,SMALL(IF(입고!$C$8:$C$1013=마스터!$M$18,ROW(입고!$C$8:$C$1013)-7),30)),"")</f>
        <v/>
      </c>
      <c r="E41" s="50" t="str">
        <f t="array" ref="E41">IFERROR(INDEX(입고!$H$8:$H$1013,SMALL(IF(입고!$C$8:$C$1013=마스터!$M$18,ROW(입고!$C$8:$C$1013)-7),30)),"")</f>
        <v/>
      </c>
      <c r="F41" s="50" t="str">
        <f t="array" ref="F41">IFERROR(INDEX(입고!$I$8:$I$1013,SMALL(IF(입고!$C$8:$C$1013=마스터!$M$18,ROW(입고!$C$8:$C$1013)-7),30)),"")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IFERROR(INDEX(출고!$B$8:$B$1013,SMALL(IF(출고!$C$8:$C$1013=마스터!$M$18,ROW(출고!$C$8:$C$1013)-7),1)),"")</f>
        <v/>
      </c>
      <c r="C45" s="6" t="str">
        <f t="array" ref="C45">IFERROR(INDEX(출고!$E$8:$E$1013,SMALL(IF(출고!$C$8:$C$1013=마스터!$M$18,ROW(출고!$C$8:$C$1013)-7),1)),"")</f>
        <v/>
      </c>
      <c r="D45" s="8" t="str">
        <f t="array" ref="D45">IFERROR(INDEX(출고!$F$8:$F$1013,SMALL(IF(출고!$C$8:$C$1013=마스터!$M$18,ROW(출고!$C$8:$C$1013)-7),1)),"")</f>
        <v/>
      </c>
      <c r="E45" s="46" t="str">
        <f t="array" ref="E45">IFERROR(INDEX(출고!$H$8:$H$1013,SMALL(IF(출고!$C$8:$C$1013=마스터!$M$18,ROW(출고!$C$8:$C$1013)-7),1)),"")</f>
        <v/>
      </c>
      <c r="F45" s="46" t="str">
        <f t="array" ref="F45">IFERROR(INDEX(출고!$I$8:$I$1013,SMALL(IF(출고!$C$8:$C$1013=마스터!$M$18,ROW(출고!$C$8:$C$1013)-7),1)),"")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IFERROR(INDEX(출고!$B$8:$B$1013,SMALL(IF(출고!$C$8:$C$1013=마스터!$M$18,ROW(출고!$C$8:$C$1013)-7),2)),"")</f>
        <v/>
      </c>
      <c r="C46" s="11" t="str">
        <f t="array" ref="C46">IFERROR(INDEX(출고!$E$8:$E$1013,SMALL(IF(출고!$C$8:$C$1013=마스터!$M$18,ROW(출고!$C$8:$C$1013)-7),2)),"")</f>
        <v/>
      </c>
      <c r="D46" s="13" t="str">
        <f t="array" ref="D46">IFERROR(INDEX(출고!$F$8:$F$1013,SMALL(IF(출고!$C$8:$C$1013=마스터!$M$18,ROW(출고!$C$8:$C$1013)-7),2)),"")</f>
        <v/>
      </c>
      <c r="E46" s="50" t="str">
        <f t="array" ref="E46">IFERROR(INDEX(출고!$H$8:$H$1013,SMALL(IF(출고!$C$8:$C$1013=마스터!$M$18,ROW(출고!$C$8:$C$1013)-7),2)),"")</f>
        <v/>
      </c>
      <c r="F46" s="50" t="str">
        <f t="array" ref="F46">IFERROR(INDEX(출고!$I$8:$I$1013,SMALL(IF(출고!$C$8:$C$1013=마스터!$M$18,ROW(출고!$C$8:$C$1013)-7),2)),"")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IFERROR(INDEX(출고!$B$8:$B$1013,SMALL(IF(출고!$C$8:$C$1013=마스터!$M$18,ROW(출고!$C$8:$C$1013)-7),3)),"")</f>
        <v/>
      </c>
      <c r="C47" s="6" t="str">
        <f t="array" ref="C47">IFERROR(INDEX(출고!$E$8:$E$1013,SMALL(IF(출고!$C$8:$C$1013=마스터!$M$18,ROW(출고!$C$8:$C$1013)-7),3)),"")</f>
        <v/>
      </c>
      <c r="D47" s="8" t="str">
        <f t="array" ref="D47">IFERROR(INDEX(출고!$F$8:$F$1013,SMALL(IF(출고!$C$8:$C$1013=마스터!$M$18,ROW(출고!$C$8:$C$1013)-7),3)),"")</f>
        <v/>
      </c>
      <c r="E47" s="46" t="str">
        <f t="array" ref="E47">IFERROR(INDEX(출고!$H$8:$H$1013,SMALL(IF(출고!$C$8:$C$1013=마스터!$M$18,ROW(출고!$C$8:$C$1013)-7),3)),"")</f>
        <v/>
      </c>
      <c r="F47" s="46" t="str">
        <f t="array" ref="F47">IFERROR(INDEX(출고!$I$8:$I$1013,SMALL(IF(출고!$C$8:$C$1013=마스터!$M$18,ROW(출고!$C$8:$C$1013)-7),3)),"")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IFERROR(INDEX(출고!$B$8:$B$1013,SMALL(IF(출고!$C$8:$C$1013=마스터!$M$18,ROW(출고!$C$8:$C$1013)-7),4)),"")</f>
        <v/>
      </c>
      <c r="C48" s="11" t="str">
        <f t="array" ref="C48">IFERROR(INDEX(출고!$E$8:$E$1013,SMALL(IF(출고!$C$8:$C$1013=마스터!$M$18,ROW(출고!$C$8:$C$1013)-7),4)),"")</f>
        <v/>
      </c>
      <c r="D48" s="13" t="str">
        <f t="array" ref="D48">IFERROR(INDEX(출고!$F$8:$F$1013,SMALL(IF(출고!$C$8:$C$1013=마스터!$M$18,ROW(출고!$C$8:$C$1013)-7),4)),"")</f>
        <v/>
      </c>
      <c r="E48" s="50" t="str">
        <f t="array" ref="E48">IFERROR(INDEX(출고!$H$8:$H$1013,SMALL(IF(출고!$C$8:$C$1013=마스터!$M$18,ROW(출고!$C$8:$C$1013)-7),4)),"")</f>
        <v/>
      </c>
      <c r="F48" s="50" t="str">
        <f t="array" ref="F48">IFERROR(INDEX(출고!$I$8:$I$1013,SMALL(IF(출고!$C$8:$C$1013=마스터!$M$18,ROW(출고!$C$8:$C$1013)-7),4)),"")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IFERROR(INDEX(출고!$B$8:$B$1013,SMALL(IF(출고!$C$8:$C$1013=마스터!$M$18,ROW(출고!$C$8:$C$1013)-7),5)),"")</f>
        <v/>
      </c>
      <c r="C49" s="6" t="str">
        <f t="array" ref="C49">IFERROR(INDEX(출고!$E$8:$E$1013,SMALL(IF(출고!$C$8:$C$1013=마스터!$M$18,ROW(출고!$C$8:$C$1013)-7),5)),"")</f>
        <v/>
      </c>
      <c r="D49" s="8" t="str">
        <f t="array" ref="D49">IFERROR(INDEX(출고!$F$8:$F$1013,SMALL(IF(출고!$C$8:$C$1013=마스터!$M$18,ROW(출고!$C$8:$C$1013)-7),5)),"")</f>
        <v/>
      </c>
      <c r="E49" s="46" t="str">
        <f t="array" ref="E49">IFERROR(INDEX(출고!$H$8:$H$1013,SMALL(IF(출고!$C$8:$C$1013=마스터!$M$18,ROW(출고!$C$8:$C$1013)-7),5)),"")</f>
        <v/>
      </c>
      <c r="F49" s="46" t="str">
        <f t="array" ref="F49">IFERROR(INDEX(출고!$I$8:$I$1013,SMALL(IF(출고!$C$8:$C$1013=마스터!$M$18,ROW(출고!$C$8:$C$1013)-7),5)),"")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IFERROR(INDEX(출고!$B$8:$B$1013,SMALL(IF(출고!$C$8:$C$1013=마스터!$M$18,ROW(출고!$C$8:$C$1013)-7),6)),"")</f>
        <v/>
      </c>
      <c r="C50" s="11" t="str">
        <f t="array" ref="C50">IFERROR(INDEX(출고!$E$8:$E$1013,SMALL(IF(출고!$C$8:$C$1013=마스터!$M$18,ROW(출고!$C$8:$C$1013)-7),6)),"")</f>
        <v/>
      </c>
      <c r="D50" s="13" t="str">
        <f t="array" ref="D50">IFERROR(INDEX(출고!$F$8:$F$1013,SMALL(IF(출고!$C$8:$C$1013=마스터!$M$18,ROW(출고!$C$8:$C$1013)-7),6)),"")</f>
        <v/>
      </c>
      <c r="E50" s="50" t="str">
        <f t="array" ref="E50">IFERROR(INDEX(출고!$H$8:$H$1013,SMALL(IF(출고!$C$8:$C$1013=마스터!$M$18,ROW(출고!$C$8:$C$1013)-7),6)),"")</f>
        <v/>
      </c>
      <c r="F50" s="50" t="str">
        <f t="array" ref="F50">IFERROR(INDEX(출고!$I$8:$I$1013,SMALL(IF(출고!$C$8:$C$1013=마스터!$M$18,ROW(출고!$C$8:$C$1013)-7),6)),"")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IFERROR(INDEX(출고!$B$8:$B$1013,SMALL(IF(출고!$C$8:$C$1013=마스터!$M$18,ROW(출고!$C$8:$C$1013)-7),7)),"")</f>
        <v/>
      </c>
      <c r="C51" s="6" t="str">
        <f t="array" ref="C51">IFERROR(INDEX(출고!$E$8:$E$1013,SMALL(IF(출고!$C$8:$C$1013=마스터!$M$18,ROW(출고!$C$8:$C$1013)-7),7)),"")</f>
        <v/>
      </c>
      <c r="D51" s="8" t="str">
        <f t="array" ref="D51">IFERROR(INDEX(출고!$F$8:$F$1013,SMALL(IF(출고!$C$8:$C$1013=마스터!$M$18,ROW(출고!$C$8:$C$1013)-7),7)),"")</f>
        <v/>
      </c>
      <c r="E51" s="46" t="str">
        <f t="array" ref="E51">IFERROR(INDEX(출고!$H$8:$H$1013,SMALL(IF(출고!$C$8:$C$1013=마스터!$M$18,ROW(출고!$C$8:$C$1013)-7),7)),"")</f>
        <v/>
      </c>
      <c r="F51" s="46" t="str">
        <f t="array" ref="F51">IFERROR(INDEX(출고!$I$8:$I$1013,SMALL(IF(출고!$C$8:$C$1013=마스터!$M$18,ROW(출고!$C$8:$C$1013)-7),7)),"")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IFERROR(INDEX(출고!$B$8:$B$1013,SMALL(IF(출고!$C$8:$C$1013=마스터!$M$18,ROW(출고!$C$8:$C$1013)-7),8)),"")</f>
        <v/>
      </c>
      <c r="C52" s="11" t="str">
        <f t="array" ref="C52">IFERROR(INDEX(출고!$E$8:$E$1013,SMALL(IF(출고!$C$8:$C$1013=마스터!$M$18,ROW(출고!$C$8:$C$1013)-7),8)),"")</f>
        <v/>
      </c>
      <c r="D52" s="13" t="str">
        <f t="array" ref="D52">IFERROR(INDEX(출고!$F$8:$F$1013,SMALL(IF(출고!$C$8:$C$1013=마스터!$M$18,ROW(출고!$C$8:$C$1013)-7),8)),"")</f>
        <v/>
      </c>
      <c r="E52" s="50" t="str">
        <f t="array" ref="E52">IFERROR(INDEX(출고!$H$8:$H$1013,SMALL(IF(출고!$C$8:$C$1013=마스터!$M$18,ROW(출고!$C$8:$C$1013)-7),8)),"")</f>
        <v/>
      </c>
      <c r="F52" s="50" t="str">
        <f t="array" ref="F52">IFERROR(INDEX(출고!$I$8:$I$1013,SMALL(IF(출고!$C$8:$C$1013=마스터!$M$18,ROW(출고!$C$8:$C$1013)-7),8)),"")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IFERROR(INDEX(출고!$B$8:$B$1013,SMALL(IF(출고!$C$8:$C$1013=마스터!$M$18,ROW(출고!$C$8:$C$1013)-7),9)),"")</f>
        <v/>
      </c>
      <c r="C53" s="6" t="str">
        <f t="array" ref="C53">IFERROR(INDEX(출고!$E$8:$E$1013,SMALL(IF(출고!$C$8:$C$1013=마스터!$M$18,ROW(출고!$C$8:$C$1013)-7),9)),"")</f>
        <v/>
      </c>
      <c r="D53" s="8" t="str">
        <f t="array" ref="D53">IFERROR(INDEX(출고!$F$8:$F$1013,SMALL(IF(출고!$C$8:$C$1013=마스터!$M$18,ROW(출고!$C$8:$C$1013)-7),9)),"")</f>
        <v/>
      </c>
      <c r="E53" s="46" t="str">
        <f t="array" ref="E53">IFERROR(INDEX(출고!$H$8:$H$1013,SMALL(IF(출고!$C$8:$C$1013=마스터!$M$18,ROW(출고!$C$8:$C$1013)-7),9)),"")</f>
        <v/>
      </c>
      <c r="F53" s="46" t="str">
        <f t="array" ref="F53">IFERROR(INDEX(출고!$I$8:$I$1013,SMALL(IF(출고!$C$8:$C$1013=마스터!$M$18,ROW(출고!$C$8:$C$1013)-7),9)),"")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IFERROR(INDEX(출고!$B$8:$B$1013,SMALL(IF(출고!$C$8:$C$1013=마스터!$M$18,ROW(출고!$C$8:$C$1013)-7),10)),"")</f>
        <v/>
      </c>
      <c r="C54" s="11" t="str">
        <f t="array" ref="C54">IFERROR(INDEX(출고!$E$8:$E$1013,SMALL(IF(출고!$C$8:$C$1013=마스터!$M$18,ROW(출고!$C$8:$C$1013)-7),10)),"")</f>
        <v/>
      </c>
      <c r="D54" s="13" t="str">
        <f t="array" ref="D54">IFERROR(INDEX(출고!$F$8:$F$1013,SMALL(IF(출고!$C$8:$C$1013=마스터!$M$18,ROW(출고!$C$8:$C$1013)-7),10)),"")</f>
        <v/>
      </c>
      <c r="E54" s="50" t="str">
        <f t="array" ref="E54">IFERROR(INDEX(출고!$H$8:$H$1013,SMALL(IF(출고!$C$8:$C$1013=마스터!$M$18,ROW(출고!$C$8:$C$1013)-7),10)),"")</f>
        <v/>
      </c>
      <c r="F54" s="50" t="str">
        <f t="array" ref="F54">IFERROR(INDEX(출고!$I$8:$I$1013,SMALL(IF(출고!$C$8:$C$1013=마스터!$M$18,ROW(출고!$C$8:$C$1013)-7),10)),"")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IFERROR(INDEX(출고!$B$8:$B$1013,SMALL(IF(출고!$C$8:$C$1013=마스터!$M$18,ROW(출고!$C$8:$C$1013)-7),11)),"")</f>
        <v/>
      </c>
      <c r="C55" s="6" t="str">
        <f t="array" ref="C55">IFERROR(INDEX(출고!$E$8:$E$1013,SMALL(IF(출고!$C$8:$C$1013=마스터!$M$18,ROW(출고!$C$8:$C$1013)-7),11)),"")</f>
        <v/>
      </c>
      <c r="D55" s="8" t="str">
        <f t="array" ref="D55">IFERROR(INDEX(출고!$F$8:$F$1013,SMALL(IF(출고!$C$8:$C$1013=마스터!$M$18,ROW(출고!$C$8:$C$1013)-7),11)),"")</f>
        <v/>
      </c>
      <c r="E55" s="46" t="str">
        <f t="array" ref="E55">IFERROR(INDEX(출고!$H$8:$H$1013,SMALL(IF(출고!$C$8:$C$1013=마스터!$M$18,ROW(출고!$C$8:$C$1013)-7),11)),"")</f>
        <v/>
      </c>
      <c r="F55" s="46" t="str">
        <f t="array" ref="F55">IFERROR(INDEX(출고!$I$8:$I$1013,SMALL(IF(출고!$C$8:$C$1013=마스터!$M$18,ROW(출고!$C$8:$C$1013)-7),11)),"")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IFERROR(INDEX(출고!$B$8:$B$1013,SMALL(IF(출고!$C$8:$C$1013=마스터!$M$18,ROW(출고!$C$8:$C$1013)-7),12)),"")</f>
        <v/>
      </c>
      <c r="C56" s="11" t="str">
        <f t="array" ref="C56">IFERROR(INDEX(출고!$E$8:$E$1013,SMALL(IF(출고!$C$8:$C$1013=마스터!$M$18,ROW(출고!$C$8:$C$1013)-7),12)),"")</f>
        <v/>
      </c>
      <c r="D56" s="13" t="str">
        <f t="array" ref="D56">IFERROR(INDEX(출고!$F$8:$F$1013,SMALL(IF(출고!$C$8:$C$1013=마스터!$M$18,ROW(출고!$C$8:$C$1013)-7),12)),"")</f>
        <v/>
      </c>
      <c r="E56" s="50" t="str">
        <f t="array" ref="E56">IFERROR(INDEX(출고!$H$8:$H$1013,SMALL(IF(출고!$C$8:$C$1013=마스터!$M$18,ROW(출고!$C$8:$C$1013)-7),12)),"")</f>
        <v/>
      </c>
      <c r="F56" s="50" t="str">
        <f t="array" ref="F56">IFERROR(INDEX(출고!$I$8:$I$1013,SMALL(IF(출고!$C$8:$C$1013=마스터!$M$18,ROW(출고!$C$8:$C$1013)-7),12)),"")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IFERROR(INDEX(출고!$B$8:$B$1013,SMALL(IF(출고!$C$8:$C$1013=마스터!$M$18,ROW(출고!$C$8:$C$1013)-7),13)),"")</f>
        <v/>
      </c>
      <c r="C57" s="6" t="str">
        <f t="array" ref="C57">IFERROR(INDEX(출고!$E$8:$E$1013,SMALL(IF(출고!$C$8:$C$1013=마스터!$M$18,ROW(출고!$C$8:$C$1013)-7),13)),"")</f>
        <v/>
      </c>
      <c r="D57" s="8" t="str">
        <f t="array" ref="D57">IFERROR(INDEX(출고!$F$8:$F$1013,SMALL(IF(출고!$C$8:$C$1013=마스터!$M$18,ROW(출고!$C$8:$C$1013)-7),13)),"")</f>
        <v/>
      </c>
      <c r="E57" s="46" t="str">
        <f t="array" ref="E57">IFERROR(INDEX(출고!$H$8:$H$1013,SMALL(IF(출고!$C$8:$C$1013=마스터!$M$18,ROW(출고!$C$8:$C$1013)-7),13)),"")</f>
        <v/>
      </c>
      <c r="F57" s="46" t="str">
        <f t="array" ref="F57">IFERROR(INDEX(출고!$I$8:$I$1013,SMALL(IF(출고!$C$8:$C$1013=마스터!$M$18,ROW(출고!$C$8:$C$1013)-7),13)),"")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IFERROR(INDEX(출고!$B$8:$B$1013,SMALL(IF(출고!$C$8:$C$1013=마스터!$M$18,ROW(출고!$C$8:$C$1013)-7),14)),"")</f>
        <v/>
      </c>
      <c r="C58" s="11" t="str">
        <f t="array" ref="C58">IFERROR(INDEX(출고!$E$8:$E$1013,SMALL(IF(출고!$C$8:$C$1013=마스터!$M$18,ROW(출고!$C$8:$C$1013)-7),14)),"")</f>
        <v/>
      </c>
      <c r="D58" s="13" t="str">
        <f t="array" ref="D58">IFERROR(INDEX(출고!$F$8:$F$1013,SMALL(IF(출고!$C$8:$C$1013=마스터!$M$18,ROW(출고!$C$8:$C$1013)-7),14)),"")</f>
        <v/>
      </c>
      <c r="E58" s="50" t="str">
        <f t="array" ref="E58">IFERROR(INDEX(출고!$H$8:$H$1013,SMALL(IF(출고!$C$8:$C$1013=마스터!$M$18,ROW(출고!$C$8:$C$1013)-7),14)),"")</f>
        <v/>
      </c>
      <c r="F58" s="50" t="str">
        <f t="array" ref="F58">IFERROR(INDEX(출고!$I$8:$I$1013,SMALL(IF(출고!$C$8:$C$1013=마스터!$M$18,ROW(출고!$C$8:$C$1013)-7),14)),"")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IFERROR(INDEX(출고!$B$8:$B$1013,SMALL(IF(출고!$C$8:$C$1013=마스터!$M$18,ROW(출고!$C$8:$C$1013)-7),15)),"")</f>
        <v/>
      </c>
      <c r="C59" s="6" t="str">
        <f t="array" ref="C59">IFERROR(INDEX(출고!$E$8:$E$1013,SMALL(IF(출고!$C$8:$C$1013=마스터!$M$18,ROW(출고!$C$8:$C$1013)-7),15)),"")</f>
        <v/>
      </c>
      <c r="D59" s="8" t="str">
        <f t="array" ref="D59">IFERROR(INDEX(출고!$F$8:$F$1013,SMALL(IF(출고!$C$8:$C$1013=마스터!$M$18,ROW(출고!$C$8:$C$1013)-7),15)),"")</f>
        <v/>
      </c>
      <c r="E59" s="46" t="str">
        <f t="array" ref="E59">IFERROR(INDEX(출고!$H$8:$H$1013,SMALL(IF(출고!$C$8:$C$1013=마스터!$M$18,ROW(출고!$C$8:$C$1013)-7),15)),"")</f>
        <v/>
      </c>
      <c r="F59" s="46" t="str">
        <f t="array" ref="F59">IFERROR(INDEX(출고!$I$8:$I$1013,SMALL(IF(출고!$C$8:$C$1013=마스터!$M$18,ROW(출고!$C$8:$C$1013)-7),15)),"")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IFERROR(INDEX(출고!$B$8:$B$1013,SMALL(IF(출고!$C$8:$C$1013=마스터!$M$18,ROW(출고!$C$8:$C$1013)-7),16)),"")</f>
        <v/>
      </c>
      <c r="C60" s="11" t="str">
        <f t="array" ref="C60">IFERROR(INDEX(출고!$E$8:$E$1013,SMALL(IF(출고!$C$8:$C$1013=마스터!$M$18,ROW(출고!$C$8:$C$1013)-7),16)),"")</f>
        <v/>
      </c>
      <c r="D60" s="13" t="str">
        <f t="array" ref="D60">IFERROR(INDEX(출고!$F$8:$F$1013,SMALL(IF(출고!$C$8:$C$1013=마스터!$M$18,ROW(출고!$C$8:$C$1013)-7),16)),"")</f>
        <v/>
      </c>
      <c r="E60" s="50" t="str">
        <f t="array" ref="E60">IFERROR(INDEX(출고!$H$8:$H$1013,SMALL(IF(출고!$C$8:$C$1013=마스터!$M$18,ROW(출고!$C$8:$C$1013)-7),16)),"")</f>
        <v/>
      </c>
      <c r="F60" s="50" t="str">
        <f t="array" ref="F60">IFERROR(INDEX(출고!$I$8:$I$1013,SMALL(IF(출고!$C$8:$C$1013=마스터!$M$18,ROW(출고!$C$8:$C$1013)-7),16)),"")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IFERROR(INDEX(출고!$B$8:$B$1013,SMALL(IF(출고!$C$8:$C$1013=마스터!$M$18,ROW(출고!$C$8:$C$1013)-7),17)),"")</f>
        <v/>
      </c>
      <c r="C61" s="6" t="str">
        <f t="array" ref="C61">IFERROR(INDEX(출고!$E$8:$E$1013,SMALL(IF(출고!$C$8:$C$1013=마스터!$M$18,ROW(출고!$C$8:$C$1013)-7),17)),"")</f>
        <v/>
      </c>
      <c r="D61" s="8" t="str">
        <f t="array" ref="D61">IFERROR(INDEX(출고!$F$8:$F$1013,SMALL(IF(출고!$C$8:$C$1013=마스터!$M$18,ROW(출고!$C$8:$C$1013)-7),17)),"")</f>
        <v/>
      </c>
      <c r="E61" s="46" t="str">
        <f t="array" ref="E61">IFERROR(INDEX(출고!$H$8:$H$1013,SMALL(IF(출고!$C$8:$C$1013=마스터!$M$18,ROW(출고!$C$8:$C$1013)-7),17)),"")</f>
        <v/>
      </c>
      <c r="F61" s="46" t="str">
        <f t="array" ref="F61">IFERROR(INDEX(출고!$I$8:$I$1013,SMALL(IF(출고!$C$8:$C$1013=마스터!$M$18,ROW(출고!$C$8:$C$1013)-7),17)),"")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IFERROR(INDEX(출고!$B$8:$B$1013,SMALL(IF(출고!$C$8:$C$1013=마스터!$M$18,ROW(출고!$C$8:$C$1013)-7),18)),"")</f>
        <v/>
      </c>
      <c r="C62" s="11" t="str">
        <f t="array" ref="C62">IFERROR(INDEX(출고!$E$8:$E$1013,SMALL(IF(출고!$C$8:$C$1013=마스터!$M$18,ROW(출고!$C$8:$C$1013)-7),18)),"")</f>
        <v/>
      </c>
      <c r="D62" s="13" t="str">
        <f t="array" ref="D62">IFERROR(INDEX(출고!$F$8:$F$1013,SMALL(IF(출고!$C$8:$C$1013=마스터!$M$18,ROW(출고!$C$8:$C$1013)-7),18)),"")</f>
        <v/>
      </c>
      <c r="E62" s="50" t="str">
        <f t="array" ref="E62">IFERROR(INDEX(출고!$H$8:$H$1013,SMALL(IF(출고!$C$8:$C$1013=마스터!$M$18,ROW(출고!$C$8:$C$1013)-7),18)),"")</f>
        <v/>
      </c>
      <c r="F62" s="50" t="str">
        <f t="array" ref="F62">IFERROR(INDEX(출고!$I$8:$I$1013,SMALL(IF(출고!$C$8:$C$1013=마스터!$M$18,ROW(출고!$C$8:$C$1013)-7),18)),"")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IFERROR(INDEX(출고!$B$8:$B$1013,SMALL(IF(출고!$C$8:$C$1013=마스터!$M$18,ROW(출고!$C$8:$C$1013)-7),19)),"")</f>
        <v/>
      </c>
      <c r="C63" s="6" t="str">
        <f t="array" ref="C63">IFERROR(INDEX(출고!$E$8:$E$1013,SMALL(IF(출고!$C$8:$C$1013=마스터!$M$18,ROW(출고!$C$8:$C$1013)-7),19)),"")</f>
        <v/>
      </c>
      <c r="D63" s="8" t="str">
        <f t="array" ref="D63">IFERROR(INDEX(출고!$F$8:$F$1013,SMALL(IF(출고!$C$8:$C$1013=마스터!$M$18,ROW(출고!$C$8:$C$1013)-7),19)),"")</f>
        <v/>
      </c>
      <c r="E63" s="46" t="str">
        <f t="array" ref="E63">IFERROR(INDEX(출고!$H$8:$H$1013,SMALL(IF(출고!$C$8:$C$1013=마스터!$M$18,ROW(출고!$C$8:$C$1013)-7),19)),"")</f>
        <v/>
      </c>
      <c r="F63" s="46" t="str">
        <f t="array" ref="F63">IFERROR(INDEX(출고!$I$8:$I$1013,SMALL(IF(출고!$C$8:$C$1013=마스터!$M$18,ROW(출고!$C$8:$C$1013)-7),19)),"")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IFERROR(INDEX(출고!$B$8:$B$1013,SMALL(IF(출고!$C$8:$C$1013=마스터!$M$18,ROW(출고!$C$8:$C$1013)-7),20)),"")</f>
        <v/>
      </c>
      <c r="C64" s="11" t="str">
        <f t="array" ref="C64">IFERROR(INDEX(출고!$E$8:$E$1013,SMALL(IF(출고!$C$8:$C$1013=마스터!$M$18,ROW(출고!$C$8:$C$1013)-7),20)),"")</f>
        <v/>
      </c>
      <c r="D64" s="13" t="str">
        <f t="array" ref="D64">IFERROR(INDEX(출고!$F$8:$F$1013,SMALL(IF(출고!$C$8:$C$1013=마스터!$M$18,ROW(출고!$C$8:$C$1013)-7),20)),"")</f>
        <v/>
      </c>
      <c r="E64" s="50" t="str">
        <f t="array" ref="E64">IFERROR(INDEX(출고!$H$8:$H$1013,SMALL(IF(출고!$C$8:$C$1013=마스터!$M$18,ROW(출고!$C$8:$C$1013)-7),20)),"")</f>
        <v/>
      </c>
      <c r="F64" s="50" t="str">
        <f t="array" ref="F64">IFERROR(INDEX(출고!$I$8:$I$1013,SMALL(IF(출고!$C$8:$C$1013=마스터!$M$18,ROW(출고!$C$8:$C$1013)-7),20)),"")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IFERROR(INDEX(출고!$B$8:$B$1013,SMALL(IF(출고!$C$8:$C$1013=마스터!$M$18,ROW(출고!$C$8:$C$1013)-7),21)),"")</f>
        <v/>
      </c>
      <c r="C65" s="6" t="str">
        <f t="array" ref="C65">IFERROR(INDEX(출고!$E$8:$E$1013,SMALL(IF(출고!$C$8:$C$1013=마스터!$M$18,ROW(출고!$C$8:$C$1013)-7),21)),"")</f>
        <v/>
      </c>
      <c r="D65" s="8" t="str">
        <f t="array" ref="D65">IFERROR(INDEX(출고!$F$8:$F$1013,SMALL(IF(출고!$C$8:$C$1013=마스터!$M$18,ROW(출고!$C$8:$C$1013)-7),21)),"")</f>
        <v/>
      </c>
      <c r="E65" s="46" t="str">
        <f t="array" ref="E65">IFERROR(INDEX(출고!$H$8:$H$1013,SMALL(IF(출고!$C$8:$C$1013=마스터!$M$18,ROW(출고!$C$8:$C$1013)-7),21)),"")</f>
        <v/>
      </c>
      <c r="F65" s="46" t="str">
        <f t="array" ref="F65">IFERROR(INDEX(출고!$I$8:$I$1013,SMALL(IF(출고!$C$8:$C$1013=마스터!$M$18,ROW(출고!$C$8:$C$1013)-7),21)),"")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IFERROR(INDEX(출고!$B$8:$B$1013,SMALL(IF(출고!$C$8:$C$1013=마스터!$M$18,ROW(출고!$C$8:$C$1013)-7),22)),"")</f>
        <v/>
      </c>
      <c r="C66" s="11" t="str">
        <f t="array" ref="C66">IFERROR(INDEX(출고!$E$8:$E$1013,SMALL(IF(출고!$C$8:$C$1013=마스터!$M$18,ROW(출고!$C$8:$C$1013)-7),22)),"")</f>
        <v/>
      </c>
      <c r="D66" s="13" t="str">
        <f t="array" ref="D66">IFERROR(INDEX(출고!$F$8:$F$1013,SMALL(IF(출고!$C$8:$C$1013=마스터!$M$18,ROW(출고!$C$8:$C$1013)-7),22)),"")</f>
        <v/>
      </c>
      <c r="E66" s="50" t="str">
        <f t="array" ref="E66">IFERROR(INDEX(출고!$H$8:$H$1013,SMALL(IF(출고!$C$8:$C$1013=마스터!$M$18,ROW(출고!$C$8:$C$1013)-7),22)),"")</f>
        <v/>
      </c>
      <c r="F66" s="50" t="str">
        <f t="array" ref="F66">IFERROR(INDEX(출고!$I$8:$I$1013,SMALL(IF(출고!$C$8:$C$1013=마스터!$M$18,ROW(출고!$C$8:$C$1013)-7),22)),"")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IFERROR(INDEX(출고!$B$8:$B$1013,SMALL(IF(출고!$C$8:$C$1013=마스터!$M$18,ROW(출고!$C$8:$C$1013)-7),23)),"")</f>
        <v/>
      </c>
      <c r="C67" s="6" t="str">
        <f t="array" ref="C67">IFERROR(INDEX(출고!$E$8:$E$1013,SMALL(IF(출고!$C$8:$C$1013=마스터!$M$18,ROW(출고!$C$8:$C$1013)-7),23)),"")</f>
        <v/>
      </c>
      <c r="D67" s="8" t="str">
        <f t="array" ref="D67">IFERROR(INDEX(출고!$F$8:$F$1013,SMALL(IF(출고!$C$8:$C$1013=마스터!$M$18,ROW(출고!$C$8:$C$1013)-7),23)),"")</f>
        <v/>
      </c>
      <c r="E67" s="46" t="str">
        <f t="array" ref="E67">IFERROR(INDEX(출고!$H$8:$H$1013,SMALL(IF(출고!$C$8:$C$1013=마스터!$M$18,ROW(출고!$C$8:$C$1013)-7),23)),"")</f>
        <v/>
      </c>
      <c r="F67" s="46" t="str">
        <f t="array" ref="F67">IFERROR(INDEX(출고!$I$8:$I$1013,SMALL(IF(출고!$C$8:$C$1013=마스터!$M$18,ROW(출고!$C$8:$C$1013)-7),23)),"")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IFERROR(INDEX(출고!$B$8:$B$1013,SMALL(IF(출고!$C$8:$C$1013=마스터!$M$18,ROW(출고!$C$8:$C$1013)-7),24)),"")</f>
        <v/>
      </c>
      <c r="C68" s="11" t="str">
        <f t="array" ref="C68">IFERROR(INDEX(출고!$E$8:$E$1013,SMALL(IF(출고!$C$8:$C$1013=마스터!$M$18,ROW(출고!$C$8:$C$1013)-7),24)),"")</f>
        <v/>
      </c>
      <c r="D68" s="13" t="str">
        <f t="array" ref="D68">IFERROR(INDEX(출고!$F$8:$F$1013,SMALL(IF(출고!$C$8:$C$1013=마스터!$M$18,ROW(출고!$C$8:$C$1013)-7),24)),"")</f>
        <v/>
      </c>
      <c r="E68" s="50" t="str">
        <f t="array" ref="E68">IFERROR(INDEX(출고!$H$8:$H$1013,SMALL(IF(출고!$C$8:$C$1013=마스터!$M$18,ROW(출고!$C$8:$C$1013)-7),24)),"")</f>
        <v/>
      </c>
      <c r="F68" s="50" t="str">
        <f t="array" ref="F68">IFERROR(INDEX(출고!$I$8:$I$1013,SMALL(IF(출고!$C$8:$C$1013=마스터!$M$18,ROW(출고!$C$8:$C$1013)-7),24)),"")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IFERROR(INDEX(출고!$B$8:$B$1013,SMALL(IF(출고!$C$8:$C$1013=마스터!$M$18,ROW(출고!$C$8:$C$1013)-7),25)),"")</f>
        <v/>
      </c>
      <c r="C69" s="6" t="str">
        <f t="array" ref="C69">IFERROR(INDEX(출고!$E$8:$E$1013,SMALL(IF(출고!$C$8:$C$1013=마스터!$M$18,ROW(출고!$C$8:$C$1013)-7),25)),"")</f>
        <v/>
      </c>
      <c r="D69" s="8" t="str">
        <f t="array" ref="D69">IFERROR(INDEX(출고!$F$8:$F$1013,SMALL(IF(출고!$C$8:$C$1013=마스터!$M$18,ROW(출고!$C$8:$C$1013)-7),25)),"")</f>
        <v/>
      </c>
      <c r="E69" s="46" t="str">
        <f t="array" ref="E69">IFERROR(INDEX(출고!$H$8:$H$1013,SMALL(IF(출고!$C$8:$C$1013=마스터!$M$18,ROW(출고!$C$8:$C$1013)-7),25)),"")</f>
        <v/>
      </c>
      <c r="F69" s="46" t="str">
        <f t="array" ref="F69">IFERROR(INDEX(출고!$I$8:$I$1013,SMALL(IF(출고!$C$8:$C$1013=마스터!$M$18,ROW(출고!$C$8:$C$1013)-7),25)),"")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IFERROR(INDEX(출고!$B$8:$B$1013,SMALL(IF(출고!$C$8:$C$1013=마스터!$M$18,ROW(출고!$C$8:$C$1013)-7),26)),"")</f>
        <v/>
      </c>
      <c r="C70" s="11" t="str">
        <f t="array" ref="C70">IFERROR(INDEX(출고!$E$8:$E$1013,SMALL(IF(출고!$C$8:$C$1013=마스터!$M$18,ROW(출고!$C$8:$C$1013)-7),26)),"")</f>
        <v/>
      </c>
      <c r="D70" s="13" t="str">
        <f t="array" ref="D70">IFERROR(INDEX(출고!$F$8:$F$1013,SMALL(IF(출고!$C$8:$C$1013=마스터!$M$18,ROW(출고!$C$8:$C$1013)-7),26)),"")</f>
        <v/>
      </c>
      <c r="E70" s="50" t="str">
        <f t="array" ref="E70">IFERROR(INDEX(출고!$H$8:$H$1013,SMALL(IF(출고!$C$8:$C$1013=마스터!$M$18,ROW(출고!$C$8:$C$1013)-7),26)),"")</f>
        <v/>
      </c>
      <c r="F70" s="50" t="str">
        <f t="array" ref="F70">IFERROR(INDEX(출고!$I$8:$I$1013,SMALL(IF(출고!$C$8:$C$1013=마스터!$M$18,ROW(출고!$C$8:$C$1013)-7),26)),"")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IFERROR(INDEX(출고!$B$8:$B$1013,SMALL(IF(출고!$C$8:$C$1013=마스터!$M$18,ROW(출고!$C$8:$C$1013)-7),27)),"")</f>
        <v/>
      </c>
      <c r="C71" s="6" t="str">
        <f t="array" ref="C71">IFERROR(INDEX(출고!$E$8:$E$1013,SMALL(IF(출고!$C$8:$C$1013=마스터!$M$18,ROW(출고!$C$8:$C$1013)-7),27)),"")</f>
        <v/>
      </c>
      <c r="D71" s="8" t="str">
        <f t="array" ref="D71">IFERROR(INDEX(출고!$F$8:$F$1013,SMALL(IF(출고!$C$8:$C$1013=마스터!$M$18,ROW(출고!$C$8:$C$1013)-7),27)),"")</f>
        <v/>
      </c>
      <c r="E71" s="46" t="str">
        <f t="array" ref="E71">IFERROR(INDEX(출고!$H$8:$H$1013,SMALL(IF(출고!$C$8:$C$1013=마스터!$M$18,ROW(출고!$C$8:$C$1013)-7),27)),"")</f>
        <v/>
      </c>
      <c r="F71" s="46" t="str">
        <f t="array" ref="F71">IFERROR(INDEX(출고!$I$8:$I$1013,SMALL(IF(출고!$C$8:$C$1013=마스터!$M$18,ROW(출고!$C$8:$C$1013)-7),27)),"")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IFERROR(INDEX(출고!$B$8:$B$1013,SMALL(IF(출고!$C$8:$C$1013=마스터!$M$18,ROW(출고!$C$8:$C$1013)-7),28)),"")</f>
        <v/>
      </c>
      <c r="C72" s="11" t="str">
        <f t="array" ref="C72">IFERROR(INDEX(출고!$E$8:$E$1013,SMALL(IF(출고!$C$8:$C$1013=마스터!$M$18,ROW(출고!$C$8:$C$1013)-7),28)),"")</f>
        <v/>
      </c>
      <c r="D72" s="13" t="str">
        <f t="array" ref="D72">IFERROR(INDEX(출고!$F$8:$F$1013,SMALL(IF(출고!$C$8:$C$1013=마스터!$M$18,ROW(출고!$C$8:$C$1013)-7),28)),"")</f>
        <v/>
      </c>
      <c r="E72" s="50" t="str">
        <f t="array" ref="E72">IFERROR(INDEX(출고!$H$8:$H$1013,SMALL(IF(출고!$C$8:$C$1013=마스터!$M$18,ROW(출고!$C$8:$C$1013)-7),28)),"")</f>
        <v/>
      </c>
      <c r="F72" s="50" t="str">
        <f t="array" ref="F72">IFERROR(INDEX(출고!$I$8:$I$1013,SMALL(IF(출고!$C$8:$C$1013=마스터!$M$18,ROW(출고!$C$8:$C$1013)-7),28)),"")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IFERROR(INDEX(출고!$B$8:$B$1013,SMALL(IF(출고!$C$8:$C$1013=마스터!$M$18,ROW(출고!$C$8:$C$1013)-7),29)),"")</f>
        <v/>
      </c>
      <c r="C73" s="6" t="str">
        <f t="array" ref="C73">IFERROR(INDEX(출고!$E$8:$E$1013,SMALL(IF(출고!$C$8:$C$1013=마스터!$M$18,ROW(출고!$C$8:$C$1013)-7),29)),"")</f>
        <v/>
      </c>
      <c r="D73" s="8" t="str">
        <f t="array" ref="D73">IFERROR(INDEX(출고!$F$8:$F$1013,SMALL(IF(출고!$C$8:$C$1013=마스터!$M$18,ROW(출고!$C$8:$C$1013)-7),29)),"")</f>
        <v/>
      </c>
      <c r="E73" s="46" t="str">
        <f t="array" ref="E73">IFERROR(INDEX(출고!$H$8:$H$1013,SMALL(IF(출고!$C$8:$C$1013=마스터!$M$18,ROW(출고!$C$8:$C$1013)-7),29)),"")</f>
        <v/>
      </c>
      <c r="F73" s="46" t="str">
        <f t="array" ref="F73">IFERROR(INDEX(출고!$I$8:$I$1013,SMALL(IF(출고!$C$8:$C$1013=마스터!$M$18,ROW(출고!$C$8:$C$1013)-7),29)),"")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IFERROR(INDEX(출고!$B$8:$B$1013,SMALL(IF(출고!$C$8:$C$1013=마스터!$M$18,ROW(출고!$C$8:$C$1013)-7),30)),"")</f>
        <v/>
      </c>
      <c r="C74" s="11" t="str">
        <f t="array" ref="C74">IFERROR(INDEX(출고!$E$8:$E$1013,SMALL(IF(출고!$C$8:$C$1013=마스터!$M$18,ROW(출고!$C$8:$C$1013)-7),30)),"")</f>
        <v/>
      </c>
      <c r="D74" s="13" t="str">
        <f t="array" ref="D74">IFERROR(INDEX(출고!$F$8:$F$1013,SMALL(IF(출고!$C$8:$C$1013=마스터!$M$18,ROW(출고!$C$8:$C$1013)-7),30)),"")</f>
        <v/>
      </c>
      <c r="E74" s="50" t="str">
        <f t="array" ref="E74">IFERROR(INDEX(출고!$H$8:$H$1013,SMALL(IF(출고!$C$8:$C$1013=마스터!$M$18,ROW(출고!$C$8:$C$1013)-7),30)),"")</f>
        <v/>
      </c>
      <c r="F74" s="50" t="str">
        <f t="array" ref="F74">IFERROR(INDEX(출고!$I$8:$I$1013,SMALL(IF(출고!$C$8:$C$1013=마스터!$M$18,ROW(출고!$C$8:$C$1013)-7),30)),"")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IFERROR(INDEX(입고!$E$8:$E$1013,SMALL(IF((입고!$C$8:$C$1013=마스터!$M$18)*(입고!$AC$8:$AC$1013=1),ROW(입고!$C$8:$C$1013)-7),1)),"")</f>
        <v>260203CW004</v>
      </c>
      <c r="C78" s="8">
        <f>IF(B78="","",SUMIFS(입고!$F$8:$F$1013,입고!$C$8:$C$1013,마스터!$M$18,입고!$E$8:$E$1013,B78))</f>
        <v>192</v>
      </c>
      <c r="D78" s="8">
        <f>IF(B78="","",SUMIFS(출고!$F$8:$F$1013,출고!$C$8:$C$1013,마스터!$M$18,출고!$E$8:$E$1013,B78))</f>
        <v>0</v>
      </c>
      <c r="E78" s="40">
        <f t="shared" ref="E78:E107" si="5">IF(B78="","",C78-D78)</f>
        <v>192</v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IFERROR(INDEX(입고!$E$8:$E$1013,SMALL(IF((입고!$C$8:$C$1013=마스터!$M$18)*(입고!$AC$8:$AC$1013=1),ROW(입고!$C$8:$C$1013)-7),2)),"")</f>
        <v/>
      </c>
      <c r="C79" s="13" t="str">
        <f>IF(B79="","",SUMIFS(입고!$F$8:$F$1013,입고!$C$8:$C$1013,마스터!$M$18,입고!$E$8:$E$1013,B79))</f>
        <v/>
      </c>
      <c r="D79" s="13" t="str">
        <f>IF(B79="","",SUMIFS(출고!$F$8:$F$1013,출고!$C$8:$C$1013,마스터!$M$18,출고!$E$8:$E$1013,B79))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IFERROR(INDEX(입고!$E$8:$E$1013,SMALL(IF((입고!$C$8:$C$1013=마스터!$M$18)*(입고!$AC$8:$AC$1013=1),ROW(입고!$C$8:$C$1013)-7),3)),"")</f>
        <v/>
      </c>
      <c r="C80" s="8" t="str">
        <f>IF(B80="","",SUMIFS(입고!$F$8:$F$1013,입고!$C$8:$C$1013,마스터!$M$18,입고!$E$8:$E$1013,B80))</f>
        <v/>
      </c>
      <c r="D80" s="8" t="str">
        <f>IF(B80="","",SUMIFS(출고!$F$8:$F$1013,출고!$C$8:$C$1013,마스터!$M$18,출고!$E$8:$E$1013,B80))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IFERROR(INDEX(입고!$E$8:$E$1013,SMALL(IF((입고!$C$8:$C$1013=마스터!$M$18)*(입고!$AC$8:$AC$1013=1),ROW(입고!$C$8:$C$1013)-7),4)),"")</f>
        <v/>
      </c>
      <c r="C81" s="13" t="str">
        <f>IF(B81="","",SUMIFS(입고!$F$8:$F$1013,입고!$C$8:$C$1013,마스터!$M$18,입고!$E$8:$E$1013,B81))</f>
        <v/>
      </c>
      <c r="D81" s="13" t="str">
        <f>IF(B81="","",SUMIFS(출고!$F$8:$F$1013,출고!$C$8:$C$1013,마스터!$M$18,출고!$E$8:$E$1013,B81))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IFERROR(INDEX(입고!$E$8:$E$1013,SMALL(IF((입고!$C$8:$C$1013=마스터!$M$18)*(입고!$AC$8:$AC$1013=1),ROW(입고!$C$8:$C$1013)-7),5)),"")</f>
        <v/>
      </c>
      <c r="C82" s="8" t="str">
        <f>IF(B82="","",SUMIFS(입고!$F$8:$F$1013,입고!$C$8:$C$1013,마스터!$M$18,입고!$E$8:$E$1013,B82))</f>
        <v/>
      </c>
      <c r="D82" s="8" t="str">
        <f>IF(B82="","",SUMIFS(출고!$F$8:$F$1013,출고!$C$8:$C$1013,마스터!$M$18,출고!$E$8:$E$1013,B82))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IFERROR(INDEX(입고!$E$8:$E$1013,SMALL(IF((입고!$C$8:$C$1013=마스터!$M$18)*(입고!$AC$8:$AC$1013=1),ROW(입고!$C$8:$C$1013)-7),6)),"")</f>
        <v/>
      </c>
      <c r="C83" s="13" t="str">
        <f>IF(B83="","",SUMIFS(입고!$F$8:$F$1013,입고!$C$8:$C$1013,마스터!$M$18,입고!$E$8:$E$1013,B83))</f>
        <v/>
      </c>
      <c r="D83" s="13" t="str">
        <f>IF(B83="","",SUMIFS(출고!$F$8:$F$1013,출고!$C$8:$C$1013,마스터!$M$18,출고!$E$8:$E$1013,B83))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IFERROR(INDEX(입고!$E$8:$E$1013,SMALL(IF((입고!$C$8:$C$1013=마스터!$M$18)*(입고!$AC$8:$AC$1013=1),ROW(입고!$C$8:$C$1013)-7),7)),"")</f>
        <v/>
      </c>
      <c r="C84" s="8" t="str">
        <f>IF(B84="","",SUMIFS(입고!$F$8:$F$1013,입고!$C$8:$C$1013,마스터!$M$18,입고!$E$8:$E$1013,B84))</f>
        <v/>
      </c>
      <c r="D84" s="8" t="str">
        <f>IF(B84="","",SUMIFS(출고!$F$8:$F$1013,출고!$C$8:$C$1013,마스터!$M$18,출고!$E$8:$E$1013,B84))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IFERROR(INDEX(입고!$E$8:$E$1013,SMALL(IF((입고!$C$8:$C$1013=마스터!$M$18)*(입고!$AC$8:$AC$1013=1),ROW(입고!$C$8:$C$1013)-7),8)),"")</f>
        <v/>
      </c>
      <c r="C85" s="13" t="str">
        <f>IF(B85="","",SUMIFS(입고!$F$8:$F$1013,입고!$C$8:$C$1013,마스터!$M$18,입고!$E$8:$E$1013,B85))</f>
        <v/>
      </c>
      <c r="D85" s="13" t="str">
        <f>IF(B85="","",SUMIFS(출고!$F$8:$F$1013,출고!$C$8:$C$1013,마스터!$M$18,출고!$E$8:$E$1013,B85))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IFERROR(INDEX(입고!$E$8:$E$1013,SMALL(IF((입고!$C$8:$C$1013=마스터!$M$18)*(입고!$AC$8:$AC$1013=1),ROW(입고!$C$8:$C$1013)-7),9)),"")</f>
        <v/>
      </c>
      <c r="C86" s="8" t="str">
        <f>IF(B86="","",SUMIFS(입고!$F$8:$F$1013,입고!$C$8:$C$1013,마스터!$M$18,입고!$E$8:$E$1013,B86))</f>
        <v/>
      </c>
      <c r="D86" s="8" t="str">
        <f>IF(B86="","",SUMIFS(출고!$F$8:$F$1013,출고!$C$8:$C$1013,마스터!$M$18,출고!$E$8:$E$1013,B86))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IFERROR(INDEX(입고!$E$8:$E$1013,SMALL(IF((입고!$C$8:$C$1013=마스터!$M$18)*(입고!$AC$8:$AC$1013=1),ROW(입고!$C$8:$C$1013)-7),10)),"")</f>
        <v/>
      </c>
      <c r="C87" s="13" t="str">
        <f>IF(B87="","",SUMIFS(입고!$F$8:$F$1013,입고!$C$8:$C$1013,마스터!$M$18,입고!$E$8:$E$1013,B87))</f>
        <v/>
      </c>
      <c r="D87" s="13" t="str">
        <f>IF(B87="","",SUMIFS(출고!$F$8:$F$1013,출고!$C$8:$C$1013,마스터!$M$18,출고!$E$8:$E$1013,B87))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IFERROR(INDEX(입고!$E$8:$E$1013,SMALL(IF((입고!$C$8:$C$1013=마스터!$M$18)*(입고!$AC$8:$AC$1013=1),ROW(입고!$C$8:$C$1013)-7),11)),"")</f>
        <v/>
      </c>
      <c r="C88" s="8" t="str">
        <f>IF(B88="","",SUMIFS(입고!$F$8:$F$1013,입고!$C$8:$C$1013,마스터!$M$18,입고!$E$8:$E$1013,B88))</f>
        <v/>
      </c>
      <c r="D88" s="8" t="str">
        <f>IF(B88="","",SUMIFS(출고!$F$8:$F$1013,출고!$C$8:$C$1013,마스터!$M$18,출고!$E$8:$E$1013,B88))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IFERROR(INDEX(입고!$E$8:$E$1013,SMALL(IF((입고!$C$8:$C$1013=마스터!$M$18)*(입고!$AC$8:$AC$1013=1),ROW(입고!$C$8:$C$1013)-7),12)),"")</f>
        <v/>
      </c>
      <c r="C89" s="13" t="str">
        <f>IF(B89="","",SUMIFS(입고!$F$8:$F$1013,입고!$C$8:$C$1013,마스터!$M$18,입고!$E$8:$E$1013,B89))</f>
        <v/>
      </c>
      <c r="D89" s="13" t="str">
        <f>IF(B89="","",SUMIFS(출고!$F$8:$F$1013,출고!$C$8:$C$1013,마스터!$M$18,출고!$E$8:$E$1013,B89))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IFERROR(INDEX(입고!$E$8:$E$1013,SMALL(IF((입고!$C$8:$C$1013=마스터!$M$18)*(입고!$AC$8:$AC$1013=1),ROW(입고!$C$8:$C$1013)-7),13)),"")</f>
        <v/>
      </c>
      <c r="C90" s="8" t="str">
        <f>IF(B90="","",SUMIFS(입고!$F$8:$F$1013,입고!$C$8:$C$1013,마스터!$M$18,입고!$E$8:$E$1013,B90))</f>
        <v/>
      </c>
      <c r="D90" s="8" t="str">
        <f>IF(B90="","",SUMIFS(출고!$F$8:$F$1013,출고!$C$8:$C$1013,마스터!$M$18,출고!$E$8:$E$1013,B90))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IFERROR(INDEX(입고!$E$8:$E$1013,SMALL(IF((입고!$C$8:$C$1013=마스터!$M$18)*(입고!$AC$8:$AC$1013=1),ROW(입고!$C$8:$C$1013)-7),14)),"")</f>
        <v/>
      </c>
      <c r="C91" s="13" t="str">
        <f>IF(B91="","",SUMIFS(입고!$F$8:$F$1013,입고!$C$8:$C$1013,마스터!$M$18,입고!$E$8:$E$1013,B91))</f>
        <v/>
      </c>
      <c r="D91" s="13" t="str">
        <f>IF(B91="","",SUMIFS(출고!$F$8:$F$1013,출고!$C$8:$C$1013,마스터!$M$18,출고!$E$8:$E$1013,B91))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IFERROR(INDEX(입고!$E$8:$E$1013,SMALL(IF((입고!$C$8:$C$1013=마스터!$M$18)*(입고!$AC$8:$AC$1013=1),ROW(입고!$C$8:$C$1013)-7),15)),"")</f>
        <v/>
      </c>
      <c r="C92" s="8" t="str">
        <f>IF(B92="","",SUMIFS(입고!$F$8:$F$1013,입고!$C$8:$C$1013,마스터!$M$18,입고!$E$8:$E$1013,B92))</f>
        <v/>
      </c>
      <c r="D92" s="8" t="str">
        <f>IF(B92="","",SUMIFS(출고!$F$8:$F$1013,출고!$C$8:$C$1013,마스터!$M$18,출고!$E$8:$E$1013,B92))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IFERROR(INDEX(입고!$E$8:$E$1013,SMALL(IF((입고!$C$8:$C$1013=마스터!$M$18)*(입고!$AC$8:$AC$1013=1),ROW(입고!$C$8:$C$1013)-7),16)),"")</f>
        <v/>
      </c>
      <c r="C93" s="13" t="str">
        <f>IF(B93="","",SUMIFS(입고!$F$8:$F$1013,입고!$C$8:$C$1013,마스터!$M$18,입고!$E$8:$E$1013,B93))</f>
        <v/>
      </c>
      <c r="D93" s="13" t="str">
        <f>IF(B93="","",SUMIFS(출고!$F$8:$F$1013,출고!$C$8:$C$1013,마스터!$M$18,출고!$E$8:$E$1013,B93))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IFERROR(INDEX(입고!$E$8:$E$1013,SMALL(IF((입고!$C$8:$C$1013=마스터!$M$18)*(입고!$AC$8:$AC$1013=1),ROW(입고!$C$8:$C$1013)-7),17)),"")</f>
        <v/>
      </c>
      <c r="C94" s="8" t="str">
        <f>IF(B94="","",SUMIFS(입고!$F$8:$F$1013,입고!$C$8:$C$1013,마스터!$M$18,입고!$E$8:$E$1013,B94))</f>
        <v/>
      </c>
      <c r="D94" s="8" t="str">
        <f>IF(B94="","",SUMIFS(출고!$F$8:$F$1013,출고!$C$8:$C$1013,마스터!$M$18,출고!$E$8:$E$1013,B94))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IFERROR(INDEX(입고!$E$8:$E$1013,SMALL(IF((입고!$C$8:$C$1013=마스터!$M$18)*(입고!$AC$8:$AC$1013=1),ROW(입고!$C$8:$C$1013)-7),18)),"")</f>
        <v/>
      </c>
      <c r="C95" s="13" t="str">
        <f>IF(B95="","",SUMIFS(입고!$F$8:$F$1013,입고!$C$8:$C$1013,마스터!$M$18,입고!$E$8:$E$1013,B95))</f>
        <v/>
      </c>
      <c r="D95" s="13" t="str">
        <f>IF(B95="","",SUMIFS(출고!$F$8:$F$1013,출고!$C$8:$C$1013,마스터!$M$18,출고!$E$8:$E$1013,B95))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IFERROR(INDEX(입고!$E$8:$E$1013,SMALL(IF((입고!$C$8:$C$1013=마스터!$M$18)*(입고!$AC$8:$AC$1013=1),ROW(입고!$C$8:$C$1013)-7),19)),"")</f>
        <v/>
      </c>
      <c r="C96" s="8" t="str">
        <f>IF(B96="","",SUMIFS(입고!$F$8:$F$1013,입고!$C$8:$C$1013,마스터!$M$18,입고!$E$8:$E$1013,B96))</f>
        <v/>
      </c>
      <c r="D96" s="8" t="str">
        <f>IF(B96="","",SUMIFS(출고!$F$8:$F$1013,출고!$C$8:$C$1013,마스터!$M$18,출고!$E$8:$E$1013,B96))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IFERROR(INDEX(입고!$E$8:$E$1013,SMALL(IF((입고!$C$8:$C$1013=마스터!$M$18)*(입고!$AC$8:$AC$1013=1),ROW(입고!$C$8:$C$1013)-7),20)),"")</f>
        <v/>
      </c>
      <c r="C97" s="13" t="str">
        <f>IF(B97="","",SUMIFS(입고!$F$8:$F$1013,입고!$C$8:$C$1013,마스터!$M$18,입고!$E$8:$E$1013,B97))</f>
        <v/>
      </c>
      <c r="D97" s="13" t="str">
        <f>IF(B97="","",SUMIFS(출고!$F$8:$F$1013,출고!$C$8:$C$1013,마스터!$M$18,출고!$E$8:$E$1013,B97))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IFERROR(INDEX(입고!$E$8:$E$1013,SMALL(IF((입고!$C$8:$C$1013=마스터!$M$18)*(입고!$AC$8:$AC$1013=1),ROW(입고!$C$8:$C$1013)-7),21)),"")</f>
        <v/>
      </c>
      <c r="C98" s="8" t="str">
        <f>IF(B98="","",SUMIFS(입고!$F$8:$F$1013,입고!$C$8:$C$1013,마스터!$M$18,입고!$E$8:$E$1013,B98))</f>
        <v/>
      </c>
      <c r="D98" s="8" t="str">
        <f>IF(B98="","",SUMIFS(출고!$F$8:$F$1013,출고!$C$8:$C$1013,마스터!$M$18,출고!$E$8:$E$1013,B98))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IFERROR(INDEX(입고!$E$8:$E$1013,SMALL(IF((입고!$C$8:$C$1013=마스터!$M$18)*(입고!$AC$8:$AC$1013=1),ROW(입고!$C$8:$C$1013)-7),22)),"")</f>
        <v/>
      </c>
      <c r="C99" s="13" t="str">
        <f>IF(B99="","",SUMIFS(입고!$F$8:$F$1013,입고!$C$8:$C$1013,마스터!$M$18,입고!$E$8:$E$1013,B99))</f>
        <v/>
      </c>
      <c r="D99" s="13" t="str">
        <f>IF(B99="","",SUMIFS(출고!$F$8:$F$1013,출고!$C$8:$C$1013,마스터!$M$18,출고!$E$8:$E$1013,B99))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IFERROR(INDEX(입고!$E$8:$E$1013,SMALL(IF((입고!$C$8:$C$1013=마스터!$M$18)*(입고!$AC$8:$AC$1013=1),ROW(입고!$C$8:$C$1013)-7),23)),"")</f>
        <v/>
      </c>
      <c r="C100" s="8" t="str">
        <f>IF(B100="","",SUMIFS(입고!$F$8:$F$1013,입고!$C$8:$C$1013,마스터!$M$18,입고!$E$8:$E$1013,B100))</f>
        <v/>
      </c>
      <c r="D100" s="8" t="str">
        <f>IF(B100="","",SUMIFS(출고!$F$8:$F$1013,출고!$C$8:$C$1013,마스터!$M$18,출고!$E$8:$E$1013,B100))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IFERROR(INDEX(입고!$E$8:$E$1013,SMALL(IF((입고!$C$8:$C$1013=마스터!$M$18)*(입고!$AC$8:$AC$1013=1),ROW(입고!$C$8:$C$1013)-7),24)),"")</f>
        <v/>
      </c>
      <c r="C101" s="13" t="str">
        <f>IF(B101="","",SUMIFS(입고!$F$8:$F$1013,입고!$C$8:$C$1013,마스터!$M$18,입고!$E$8:$E$1013,B101))</f>
        <v/>
      </c>
      <c r="D101" s="13" t="str">
        <f>IF(B101="","",SUMIFS(출고!$F$8:$F$1013,출고!$C$8:$C$1013,마스터!$M$18,출고!$E$8:$E$1013,B101))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IFERROR(INDEX(입고!$E$8:$E$1013,SMALL(IF((입고!$C$8:$C$1013=마스터!$M$18)*(입고!$AC$8:$AC$1013=1),ROW(입고!$C$8:$C$1013)-7),25)),"")</f>
        <v/>
      </c>
      <c r="C102" s="8" t="str">
        <f>IF(B102="","",SUMIFS(입고!$F$8:$F$1013,입고!$C$8:$C$1013,마스터!$M$18,입고!$E$8:$E$1013,B102))</f>
        <v/>
      </c>
      <c r="D102" s="8" t="str">
        <f>IF(B102="","",SUMIFS(출고!$F$8:$F$1013,출고!$C$8:$C$1013,마스터!$M$18,출고!$E$8:$E$1013,B102))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IFERROR(INDEX(입고!$E$8:$E$1013,SMALL(IF((입고!$C$8:$C$1013=마스터!$M$18)*(입고!$AC$8:$AC$1013=1),ROW(입고!$C$8:$C$1013)-7),26)),"")</f>
        <v/>
      </c>
      <c r="C103" s="13" t="str">
        <f>IF(B103="","",SUMIFS(입고!$F$8:$F$1013,입고!$C$8:$C$1013,마스터!$M$18,입고!$E$8:$E$1013,B103))</f>
        <v/>
      </c>
      <c r="D103" s="13" t="str">
        <f>IF(B103="","",SUMIFS(출고!$F$8:$F$1013,출고!$C$8:$C$1013,마스터!$M$18,출고!$E$8:$E$1013,B103))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IFERROR(INDEX(입고!$E$8:$E$1013,SMALL(IF((입고!$C$8:$C$1013=마스터!$M$18)*(입고!$AC$8:$AC$1013=1),ROW(입고!$C$8:$C$1013)-7),27)),"")</f>
        <v/>
      </c>
      <c r="C104" s="8" t="str">
        <f>IF(B104="","",SUMIFS(입고!$F$8:$F$1013,입고!$C$8:$C$1013,마스터!$M$18,입고!$E$8:$E$1013,B104))</f>
        <v/>
      </c>
      <c r="D104" s="8" t="str">
        <f>IF(B104="","",SUMIFS(출고!$F$8:$F$1013,출고!$C$8:$C$1013,마스터!$M$18,출고!$E$8:$E$1013,B104))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IFERROR(INDEX(입고!$E$8:$E$1013,SMALL(IF((입고!$C$8:$C$1013=마스터!$M$18)*(입고!$AC$8:$AC$1013=1),ROW(입고!$C$8:$C$1013)-7),28)),"")</f>
        <v/>
      </c>
      <c r="C105" s="13" t="str">
        <f>IF(B105="","",SUMIFS(입고!$F$8:$F$1013,입고!$C$8:$C$1013,마스터!$M$18,입고!$E$8:$E$1013,B105))</f>
        <v/>
      </c>
      <c r="D105" s="13" t="str">
        <f>IF(B105="","",SUMIFS(출고!$F$8:$F$1013,출고!$C$8:$C$1013,마스터!$M$18,출고!$E$8:$E$1013,B105))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IFERROR(INDEX(입고!$E$8:$E$1013,SMALL(IF((입고!$C$8:$C$1013=마스터!$M$18)*(입고!$AC$8:$AC$1013=1),ROW(입고!$C$8:$C$1013)-7),29)),"")</f>
        <v/>
      </c>
      <c r="C106" s="8" t="str">
        <f>IF(B106="","",SUMIFS(입고!$F$8:$F$1013,입고!$C$8:$C$1013,마스터!$M$18,입고!$E$8:$E$1013,B106))</f>
        <v/>
      </c>
      <c r="D106" s="8" t="str">
        <f>IF(B106="","",SUMIFS(출고!$F$8:$F$1013,출고!$C$8:$C$1013,마스터!$M$18,출고!$E$8:$E$1013,B106))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IFERROR(INDEX(입고!$E$8:$E$1013,SMALL(IF((입고!$C$8:$C$1013=마스터!$M$18)*(입고!$AC$8:$AC$1013=1),ROW(입고!$C$8:$C$1013)-7),30)),"")</f>
        <v/>
      </c>
      <c r="C107" s="13" t="str">
        <f>IF(B107="","",SUMIFS(입고!$F$8:$F$1013,입고!$C$8:$C$1013,마스터!$M$18,입고!$E$8:$E$1013,B107))</f>
        <v/>
      </c>
      <c r="D107" s="13" t="str">
        <f>IF(B107="","",SUMIFS(출고!$F$8:$F$1013,출고!$C$8:$C$1013,마스터!$M$18,출고!$E$8:$E$1013,B107))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2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CONCATENATE("[16] ", 마스터!D19, "  |  ", 마스터!F19)</f>
        <v>[16] 세라믹울 100K 수입  |  50T × 600W × 3600L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마스터!D19</f>
        <v>세라믹울 100K 수입</v>
      </c>
      <c r="D4" s="1" t="s">
        <v>11</v>
      </c>
      <c r="E4" s="53">
        <f>SUMIFS(입고!$F$8:$F$1013,입고!$C$8:$C$1013,마스터!$M$19)</f>
        <v>0</v>
      </c>
    </row>
    <row r="5" spans="1:9" ht="15" customHeight="1" x14ac:dyDescent="0.25">
      <c r="A5" s="1" t="s">
        <v>7</v>
      </c>
      <c r="B5" s="52" t="str">
        <f>마스터!E19</f>
        <v>506003600</v>
      </c>
      <c r="D5" s="1" t="s">
        <v>12</v>
      </c>
      <c r="E5" s="53">
        <f>SUMIFS(출고!$F$8:$F$1013,출고!$C$8:$C$1013,마스터!$M$19)</f>
        <v>0</v>
      </c>
    </row>
    <row r="6" spans="1:9" ht="23.25" customHeight="1" x14ac:dyDescent="0.25">
      <c r="A6" s="1" t="s">
        <v>26</v>
      </c>
      <c r="B6" s="52" t="str">
        <f>마스터!F19</f>
        <v>50T × 600W × 3600L</v>
      </c>
      <c r="D6" s="1" t="s">
        <v>121</v>
      </c>
      <c r="E6" s="53">
        <f>E5</f>
        <v>0</v>
      </c>
    </row>
    <row r="7" spans="1:9" ht="34.5" customHeight="1" x14ac:dyDescent="0.25">
      <c r="A7" s="1" t="s">
        <v>122</v>
      </c>
      <c r="B7" s="52" t="str">
        <f>마스터!M19</f>
        <v>100K수입 50T × 600W × 3600L</v>
      </c>
      <c r="D7" s="1" t="s">
        <v>13</v>
      </c>
      <c r="E7" s="54">
        <f>마스터!$K$19+E4-E5</f>
        <v>0</v>
      </c>
    </row>
    <row r="8" spans="1:9" ht="15" customHeight="1" x14ac:dyDescent="0.25">
      <c r="A8" s="1" t="s">
        <v>10</v>
      </c>
      <c r="B8" s="53">
        <f>마스터!K19</f>
        <v>0</v>
      </c>
      <c r="D8" s="1" t="s">
        <v>123</v>
      </c>
      <c r="E8" s="55">
        <f t="array" ref="E8">IFERROR(MAX(MAX(IF(입고!$C$8:$C$1013=마스터!$M$19,입고!$B$8:$B$1013)),MAX(IF(출고!$C$8:$C$1013=마스터!$M$19,출고!$B$8:$B$1013))),"-")</f>
        <v>0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 t="str">
        <f t="shared" ref="A12:A41" si="0">IF(B12="","",ROW()-11)</f>
        <v/>
      </c>
      <c r="B12" s="56" t="str">
        <f t="array" ref="B12">IFERROR(INDEX(입고!$B$8:$B$1013,SMALL(IF(입고!$C$8:$C$1013=마스터!$M$19,ROW(입고!$C$8:$C$1013)-7),1)),"")</f>
        <v/>
      </c>
      <c r="C12" s="6" t="str">
        <f t="array" ref="C12">IFERROR(INDEX(입고!$E$8:$E$1013,SMALL(IF(입고!$C$8:$C$1013=마스터!$M$19,ROW(입고!$C$8:$C$1013)-7),1)),"")</f>
        <v/>
      </c>
      <c r="D12" s="8" t="str">
        <f t="array" ref="D12">IFERROR(INDEX(입고!$F$8:$F$1013,SMALL(IF(입고!$C$8:$C$1013=마스터!$M$19,ROW(입고!$C$8:$C$1013)-7),1)),"")</f>
        <v/>
      </c>
      <c r="E12" s="46" t="str">
        <f t="array" ref="E12">IFERROR(INDEX(입고!$H$8:$H$1013,SMALL(IF(입고!$C$8:$C$1013=마스터!$M$19,ROW(입고!$C$8:$C$1013)-7),1)),"")</f>
        <v/>
      </c>
      <c r="F12" s="46" t="str">
        <f t="array" ref="F12">IFERROR(INDEX(입고!$I$8:$I$1013,SMALL(IF(입고!$C$8:$C$1013=마스터!$M$19,ROW(입고!$C$8:$C$1013)-7),1)),"")</f>
        <v/>
      </c>
      <c r="G12" s="57" t="str">
        <f>IF(B12="","",IFERROR(D12,0))</f>
        <v/>
      </c>
    </row>
    <row r="13" spans="1:9" ht="15" customHeight="1" x14ac:dyDescent="0.25">
      <c r="A13" s="11" t="str">
        <f t="shared" si="0"/>
        <v/>
      </c>
      <c r="B13" s="58" t="str">
        <f t="array" ref="B13">IFERROR(INDEX(입고!$B$8:$B$1013,SMALL(IF(입고!$C$8:$C$1013=마스터!$M$19,ROW(입고!$C$8:$C$1013)-7),2)),"")</f>
        <v/>
      </c>
      <c r="C13" s="11" t="str">
        <f t="array" ref="C13">IFERROR(INDEX(입고!$E$8:$E$1013,SMALL(IF(입고!$C$8:$C$1013=마스터!$M$19,ROW(입고!$C$8:$C$1013)-7),2)),"")</f>
        <v/>
      </c>
      <c r="D13" s="13" t="str">
        <f t="array" ref="D13">IFERROR(INDEX(입고!$F$8:$F$1013,SMALL(IF(입고!$C$8:$C$1013=마스터!$M$19,ROW(입고!$C$8:$C$1013)-7),2)),"")</f>
        <v/>
      </c>
      <c r="E13" s="50" t="str">
        <f t="array" ref="E13">IFERROR(INDEX(입고!$H$8:$H$1013,SMALL(IF(입고!$C$8:$C$1013=마스터!$M$19,ROW(입고!$C$8:$C$1013)-7),2)),"")</f>
        <v/>
      </c>
      <c r="F13" s="50" t="str">
        <f t="array" ref="F13">IFERROR(INDEX(입고!$I$8:$I$1013,SMALL(IF(입고!$C$8:$C$1013=마스터!$M$19,ROW(입고!$C$8:$C$1013)-7),2)),"")</f>
        <v/>
      </c>
      <c r="G13" s="59" t="str">
        <f t="shared" ref="G13:G41" si="1">IF(B13="","",IFERROR(G12,0)+IFERROR(D13,0))</f>
        <v/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IFERROR(INDEX(입고!$B$8:$B$1013,SMALL(IF(입고!$C$8:$C$1013=마스터!$M$19,ROW(입고!$C$8:$C$1013)-7),3)),"")</f>
        <v/>
      </c>
      <c r="C14" s="6" t="str">
        <f t="array" ref="C14">IFERROR(INDEX(입고!$E$8:$E$1013,SMALL(IF(입고!$C$8:$C$1013=마스터!$M$19,ROW(입고!$C$8:$C$1013)-7),3)),"")</f>
        <v/>
      </c>
      <c r="D14" s="8" t="str">
        <f t="array" ref="D14">IFERROR(INDEX(입고!$F$8:$F$1013,SMALL(IF(입고!$C$8:$C$1013=마스터!$M$19,ROW(입고!$C$8:$C$1013)-7),3)),"")</f>
        <v/>
      </c>
      <c r="E14" s="46" t="str">
        <f t="array" ref="E14">IFERROR(INDEX(입고!$H$8:$H$1013,SMALL(IF(입고!$C$8:$C$1013=마스터!$M$19,ROW(입고!$C$8:$C$1013)-7),3)),"")</f>
        <v/>
      </c>
      <c r="F14" s="46" t="str">
        <f t="array" ref="F14">IFERROR(INDEX(입고!$I$8:$I$1013,SMALL(IF(입고!$C$8:$C$1013=마스터!$M$19,ROW(입고!$C$8:$C$1013)-7),3)),"")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IFERROR(INDEX(입고!$B$8:$B$1013,SMALL(IF(입고!$C$8:$C$1013=마스터!$M$19,ROW(입고!$C$8:$C$1013)-7),4)),"")</f>
        <v/>
      </c>
      <c r="C15" s="11" t="str">
        <f t="array" ref="C15">IFERROR(INDEX(입고!$E$8:$E$1013,SMALL(IF(입고!$C$8:$C$1013=마스터!$M$19,ROW(입고!$C$8:$C$1013)-7),4)),"")</f>
        <v/>
      </c>
      <c r="D15" s="13" t="str">
        <f t="array" ref="D15">IFERROR(INDEX(입고!$F$8:$F$1013,SMALL(IF(입고!$C$8:$C$1013=마스터!$M$19,ROW(입고!$C$8:$C$1013)-7),4)),"")</f>
        <v/>
      </c>
      <c r="E15" s="50" t="str">
        <f t="array" ref="E15">IFERROR(INDEX(입고!$H$8:$H$1013,SMALL(IF(입고!$C$8:$C$1013=마스터!$M$19,ROW(입고!$C$8:$C$1013)-7),4)),"")</f>
        <v/>
      </c>
      <c r="F15" s="50" t="str">
        <f t="array" ref="F15">IFERROR(INDEX(입고!$I$8:$I$1013,SMALL(IF(입고!$C$8:$C$1013=마스터!$M$19,ROW(입고!$C$8:$C$1013)-7),4)),"")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IFERROR(INDEX(입고!$B$8:$B$1013,SMALL(IF(입고!$C$8:$C$1013=마스터!$M$19,ROW(입고!$C$8:$C$1013)-7),5)),"")</f>
        <v/>
      </c>
      <c r="C16" s="6" t="str">
        <f t="array" ref="C16">IFERROR(INDEX(입고!$E$8:$E$1013,SMALL(IF(입고!$C$8:$C$1013=마스터!$M$19,ROW(입고!$C$8:$C$1013)-7),5)),"")</f>
        <v/>
      </c>
      <c r="D16" s="8" t="str">
        <f t="array" ref="D16">IFERROR(INDEX(입고!$F$8:$F$1013,SMALL(IF(입고!$C$8:$C$1013=마스터!$M$19,ROW(입고!$C$8:$C$1013)-7),5)),"")</f>
        <v/>
      </c>
      <c r="E16" s="46" t="str">
        <f t="array" ref="E16">IFERROR(INDEX(입고!$H$8:$H$1013,SMALL(IF(입고!$C$8:$C$1013=마스터!$M$19,ROW(입고!$C$8:$C$1013)-7),5)),"")</f>
        <v/>
      </c>
      <c r="F16" s="46" t="str">
        <f t="array" ref="F16">IFERROR(INDEX(입고!$I$8:$I$1013,SMALL(IF(입고!$C$8:$C$1013=마스터!$M$19,ROW(입고!$C$8:$C$1013)-7),5)),"")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IFERROR(INDEX(입고!$B$8:$B$1013,SMALL(IF(입고!$C$8:$C$1013=마스터!$M$19,ROW(입고!$C$8:$C$1013)-7),6)),"")</f>
        <v/>
      </c>
      <c r="C17" s="11" t="str">
        <f t="array" ref="C17">IFERROR(INDEX(입고!$E$8:$E$1013,SMALL(IF(입고!$C$8:$C$1013=마스터!$M$19,ROW(입고!$C$8:$C$1013)-7),6)),"")</f>
        <v/>
      </c>
      <c r="D17" s="13" t="str">
        <f t="array" ref="D17">IFERROR(INDEX(입고!$F$8:$F$1013,SMALL(IF(입고!$C$8:$C$1013=마스터!$M$19,ROW(입고!$C$8:$C$1013)-7),6)),"")</f>
        <v/>
      </c>
      <c r="E17" s="50" t="str">
        <f t="array" ref="E17">IFERROR(INDEX(입고!$H$8:$H$1013,SMALL(IF(입고!$C$8:$C$1013=마스터!$M$19,ROW(입고!$C$8:$C$1013)-7),6)),"")</f>
        <v/>
      </c>
      <c r="F17" s="50" t="str">
        <f t="array" ref="F17">IFERROR(INDEX(입고!$I$8:$I$1013,SMALL(IF(입고!$C$8:$C$1013=마스터!$M$19,ROW(입고!$C$8:$C$1013)-7),6)),"")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IFERROR(INDEX(입고!$B$8:$B$1013,SMALL(IF(입고!$C$8:$C$1013=마스터!$M$19,ROW(입고!$C$8:$C$1013)-7),7)),"")</f>
        <v/>
      </c>
      <c r="C18" s="6" t="str">
        <f t="array" ref="C18">IFERROR(INDEX(입고!$E$8:$E$1013,SMALL(IF(입고!$C$8:$C$1013=마스터!$M$19,ROW(입고!$C$8:$C$1013)-7),7)),"")</f>
        <v/>
      </c>
      <c r="D18" s="8" t="str">
        <f t="array" ref="D18">IFERROR(INDEX(입고!$F$8:$F$1013,SMALL(IF(입고!$C$8:$C$1013=마스터!$M$19,ROW(입고!$C$8:$C$1013)-7),7)),"")</f>
        <v/>
      </c>
      <c r="E18" s="46" t="str">
        <f t="array" ref="E18">IFERROR(INDEX(입고!$H$8:$H$1013,SMALL(IF(입고!$C$8:$C$1013=마스터!$M$19,ROW(입고!$C$8:$C$1013)-7),7)),"")</f>
        <v/>
      </c>
      <c r="F18" s="46" t="str">
        <f t="array" ref="F18">IFERROR(INDEX(입고!$I$8:$I$1013,SMALL(IF(입고!$C$8:$C$1013=마스터!$M$19,ROW(입고!$C$8:$C$1013)-7),7)),"")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IFERROR(INDEX(입고!$B$8:$B$1013,SMALL(IF(입고!$C$8:$C$1013=마스터!$M$19,ROW(입고!$C$8:$C$1013)-7),8)),"")</f>
        <v/>
      </c>
      <c r="C19" s="11" t="str">
        <f t="array" ref="C19">IFERROR(INDEX(입고!$E$8:$E$1013,SMALL(IF(입고!$C$8:$C$1013=마스터!$M$19,ROW(입고!$C$8:$C$1013)-7),8)),"")</f>
        <v/>
      </c>
      <c r="D19" s="13" t="str">
        <f t="array" ref="D19">IFERROR(INDEX(입고!$F$8:$F$1013,SMALL(IF(입고!$C$8:$C$1013=마스터!$M$19,ROW(입고!$C$8:$C$1013)-7),8)),"")</f>
        <v/>
      </c>
      <c r="E19" s="50" t="str">
        <f t="array" ref="E19">IFERROR(INDEX(입고!$H$8:$H$1013,SMALL(IF(입고!$C$8:$C$1013=마스터!$M$19,ROW(입고!$C$8:$C$1013)-7),8)),"")</f>
        <v/>
      </c>
      <c r="F19" s="50" t="str">
        <f t="array" ref="F19">IFERROR(INDEX(입고!$I$8:$I$1013,SMALL(IF(입고!$C$8:$C$1013=마스터!$M$19,ROW(입고!$C$8:$C$1013)-7),8)),"")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IFERROR(INDEX(입고!$B$8:$B$1013,SMALL(IF(입고!$C$8:$C$1013=마스터!$M$19,ROW(입고!$C$8:$C$1013)-7),9)),"")</f>
        <v/>
      </c>
      <c r="C20" s="6" t="str">
        <f t="array" ref="C20">IFERROR(INDEX(입고!$E$8:$E$1013,SMALL(IF(입고!$C$8:$C$1013=마스터!$M$19,ROW(입고!$C$8:$C$1013)-7),9)),"")</f>
        <v/>
      </c>
      <c r="D20" s="8" t="str">
        <f t="array" ref="D20">IFERROR(INDEX(입고!$F$8:$F$1013,SMALL(IF(입고!$C$8:$C$1013=마스터!$M$19,ROW(입고!$C$8:$C$1013)-7),9)),"")</f>
        <v/>
      </c>
      <c r="E20" s="46" t="str">
        <f t="array" ref="E20">IFERROR(INDEX(입고!$H$8:$H$1013,SMALL(IF(입고!$C$8:$C$1013=마스터!$M$19,ROW(입고!$C$8:$C$1013)-7),9)),"")</f>
        <v/>
      </c>
      <c r="F20" s="46" t="str">
        <f t="array" ref="F20">IFERROR(INDEX(입고!$I$8:$I$1013,SMALL(IF(입고!$C$8:$C$1013=마스터!$M$19,ROW(입고!$C$8:$C$1013)-7),9)),"")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IFERROR(INDEX(입고!$B$8:$B$1013,SMALL(IF(입고!$C$8:$C$1013=마스터!$M$19,ROW(입고!$C$8:$C$1013)-7),10)),"")</f>
        <v/>
      </c>
      <c r="C21" s="11" t="str">
        <f t="array" ref="C21">IFERROR(INDEX(입고!$E$8:$E$1013,SMALL(IF(입고!$C$8:$C$1013=마스터!$M$19,ROW(입고!$C$8:$C$1013)-7),10)),"")</f>
        <v/>
      </c>
      <c r="D21" s="13" t="str">
        <f t="array" ref="D21">IFERROR(INDEX(입고!$F$8:$F$1013,SMALL(IF(입고!$C$8:$C$1013=마스터!$M$19,ROW(입고!$C$8:$C$1013)-7),10)),"")</f>
        <v/>
      </c>
      <c r="E21" s="50" t="str">
        <f t="array" ref="E21">IFERROR(INDEX(입고!$H$8:$H$1013,SMALL(IF(입고!$C$8:$C$1013=마스터!$M$19,ROW(입고!$C$8:$C$1013)-7),10)),"")</f>
        <v/>
      </c>
      <c r="F21" s="50" t="str">
        <f t="array" ref="F21">IFERROR(INDEX(입고!$I$8:$I$1013,SMALL(IF(입고!$C$8:$C$1013=마스터!$M$19,ROW(입고!$C$8:$C$1013)-7),10)),"")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IFERROR(INDEX(입고!$B$8:$B$1013,SMALL(IF(입고!$C$8:$C$1013=마스터!$M$19,ROW(입고!$C$8:$C$1013)-7),11)),"")</f>
        <v/>
      </c>
      <c r="C22" s="6" t="str">
        <f t="array" ref="C22">IFERROR(INDEX(입고!$E$8:$E$1013,SMALL(IF(입고!$C$8:$C$1013=마스터!$M$19,ROW(입고!$C$8:$C$1013)-7),11)),"")</f>
        <v/>
      </c>
      <c r="D22" s="8" t="str">
        <f t="array" ref="D22">IFERROR(INDEX(입고!$F$8:$F$1013,SMALL(IF(입고!$C$8:$C$1013=마스터!$M$19,ROW(입고!$C$8:$C$1013)-7),11)),"")</f>
        <v/>
      </c>
      <c r="E22" s="46" t="str">
        <f t="array" ref="E22">IFERROR(INDEX(입고!$H$8:$H$1013,SMALL(IF(입고!$C$8:$C$1013=마스터!$M$19,ROW(입고!$C$8:$C$1013)-7),11)),"")</f>
        <v/>
      </c>
      <c r="F22" s="46" t="str">
        <f t="array" ref="F22">IFERROR(INDEX(입고!$I$8:$I$1013,SMALL(IF(입고!$C$8:$C$1013=마스터!$M$19,ROW(입고!$C$8:$C$1013)-7),11)),"")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IFERROR(INDEX(입고!$B$8:$B$1013,SMALL(IF(입고!$C$8:$C$1013=마스터!$M$19,ROW(입고!$C$8:$C$1013)-7),12)),"")</f>
        <v/>
      </c>
      <c r="C23" s="11" t="str">
        <f t="array" ref="C23">IFERROR(INDEX(입고!$E$8:$E$1013,SMALL(IF(입고!$C$8:$C$1013=마스터!$M$19,ROW(입고!$C$8:$C$1013)-7),12)),"")</f>
        <v/>
      </c>
      <c r="D23" s="13" t="str">
        <f t="array" ref="D23">IFERROR(INDEX(입고!$F$8:$F$1013,SMALL(IF(입고!$C$8:$C$1013=마스터!$M$19,ROW(입고!$C$8:$C$1013)-7),12)),"")</f>
        <v/>
      </c>
      <c r="E23" s="50" t="str">
        <f t="array" ref="E23">IFERROR(INDEX(입고!$H$8:$H$1013,SMALL(IF(입고!$C$8:$C$1013=마스터!$M$19,ROW(입고!$C$8:$C$1013)-7),12)),"")</f>
        <v/>
      </c>
      <c r="F23" s="50" t="str">
        <f t="array" ref="F23">IFERROR(INDEX(입고!$I$8:$I$1013,SMALL(IF(입고!$C$8:$C$1013=마스터!$M$19,ROW(입고!$C$8:$C$1013)-7),12)),"")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IFERROR(INDEX(입고!$B$8:$B$1013,SMALL(IF(입고!$C$8:$C$1013=마스터!$M$19,ROW(입고!$C$8:$C$1013)-7),13)),"")</f>
        <v/>
      </c>
      <c r="C24" s="6" t="str">
        <f t="array" ref="C24">IFERROR(INDEX(입고!$E$8:$E$1013,SMALL(IF(입고!$C$8:$C$1013=마스터!$M$19,ROW(입고!$C$8:$C$1013)-7),13)),"")</f>
        <v/>
      </c>
      <c r="D24" s="8" t="str">
        <f t="array" ref="D24">IFERROR(INDEX(입고!$F$8:$F$1013,SMALL(IF(입고!$C$8:$C$1013=마스터!$M$19,ROW(입고!$C$8:$C$1013)-7),13)),"")</f>
        <v/>
      </c>
      <c r="E24" s="46" t="str">
        <f t="array" ref="E24">IFERROR(INDEX(입고!$H$8:$H$1013,SMALL(IF(입고!$C$8:$C$1013=마스터!$M$19,ROW(입고!$C$8:$C$1013)-7),13)),"")</f>
        <v/>
      </c>
      <c r="F24" s="46" t="str">
        <f t="array" ref="F24">IFERROR(INDEX(입고!$I$8:$I$1013,SMALL(IF(입고!$C$8:$C$1013=마스터!$M$19,ROW(입고!$C$8:$C$1013)-7),13)),"")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IFERROR(INDEX(입고!$B$8:$B$1013,SMALL(IF(입고!$C$8:$C$1013=마스터!$M$19,ROW(입고!$C$8:$C$1013)-7),14)),"")</f>
        <v/>
      </c>
      <c r="C25" s="11" t="str">
        <f t="array" ref="C25">IFERROR(INDEX(입고!$E$8:$E$1013,SMALL(IF(입고!$C$8:$C$1013=마스터!$M$19,ROW(입고!$C$8:$C$1013)-7),14)),"")</f>
        <v/>
      </c>
      <c r="D25" s="13" t="str">
        <f t="array" ref="D25">IFERROR(INDEX(입고!$F$8:$F$1013,SMALL(IF(입고!$C$8:$C$1013=마스터!$M$19,ROW(입고!$C$8:$C$1013)-7),14)),"")</f>
        <v/>
      </c>
      <c r="E25" s="50" t="str">
        <f t="array" ref="E25">IFERROR(INDEX(입고!$H$8:$H$1013,SMALL(IF(입고!$C$8:$C$1013=마스터!$M$19,ROW(입고!$C$8:$C$1013)-7),14)),"")</f>
        <v/>
      </c>
      <c r="F25" s="50" t="str">
        <f t="array" ref="F25">IFERROR(INDEX(입고!$I$8:$I$1013,SMALL(IF(입고!$C$8:$C$1013=마스터!$M$19,ROW(입고!$C$8:$C$1013)-7),14)),"")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IFERROR(INDEX(입고!$B$8:$B$1013,SMALL(IF(입고!$C$8:$C$1013=마스터!$M$19,ROW(입고!$C$8:$C$1013)-7),15)),"")</f>
        <v/>
      </c>
      <c r="C26" s="6" t="str">
        <f t="array" ref="C26">IFERROR(INDEX(입고!$E$8:$E$1013,SMALL(IF(입고!$C$8:$C$1013=마스터!$M$19,ROW(입고!$C$8:$C$1013)-7),15)),"")</f>
        <v/>
      </c>
      <c r="D26" s="8" t="str">
        <f t="array" ref="D26">IFERROR(INDEX(입고!$F$8:$F$1013,SMALL(IF(입고!$C$8:$C$1013=마스터!$M$19,ROW(입고!$C$8:$C$1013)-7),15)),"")</f>
        <v/>
      </c>
      <c r="E26" s="46" t="str">
        <f t="array" ref="E26">IFERROR(INDEX(입고!$H$8:$H$1013,SMALL(IF(입고!$C$8:$C$1013=마스터!$M$19,ROW(입고!$C$8:$C$1013)-7),15)),"")</f>
        <v/>
      </c>
      <c r="F26" s="46" t="str">
        <f t="array" ref="F26">IFERROR(INDEX(입고!$I$8:$I$1013,SMALL(IF(입고!$C$8:$C$1013=마스터!$M$19,ROW(입고!$C$8:$C$1013)-7),15)),"")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IFERROR(INDEX(입고!$B$8:$B$1013,SMALL(IF(입고!$C$8:$C$1013=마스터!$M$19,ROW(입고!$C$8:$C$1013)-7),16)),"")</f>
        <v/>
      </c>
      <c r="C27" s="11" t="str">
        <f t="array" ref="C27">IFERROR(INDEX(입고!$E$8:$E$1013,SMALL(IF(입고!$C$8:$C$1013=마스터!$M$19,ROW(입고!$C$8:$C$1013)-7),16)),"")</f>
        <v/>
      </c>
      <c r="D27" s="13" t="str">
        <f t="array" ref="D27">IFERROR(INDEX(입고!$F$8:$F$1013,SMALL(IF(입고!$C$8:$C$1013=마스터!$M$19,ROW(입고!$C$8:$C$1013)-7),16)),"")</f>
        <v/>
      </c>
      <c r="E27" s="50" t="str">
        <f t="array" ref="E27">IFERROR(INDEX(입고!$H$8:$H$1013,SMALL(IF(입고!$C$8:$C$1013=마스터!$M$19,ROW(입고!$C$8:$C$1013)-7),16)),"")</f>
        <v/>
      </c>
      <c r="F27" s="50" t="str">
        <f t="array" ref="F27">IFERROR(INDEX(입고!$I$8:$I$1013,SMALL(IF(입고!$C$8:$C$1013=마스터!$M$19,ROW(입고!$C$8:$C$1013)-7),16)),"")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IFERROR(INDEX(입고!$B$8:$B$1013,SMALL(IF(입고!$C$8:$C$1013=마스터!$M$19,ROW(입고!$C$8:$C$1013)-7),17)),"")</f>
        <v/>
      </c>
      <c r="C28" s="6" t="str">
        <f t="array" ref="C28">IFERROR(INDEX(입고!$E$8:$E$1013,SMALL(IF(입고!$C$8:$C$1013=마스터!$M$19,ROW(입고!$C$8:$C$1013)-7),17)),"")</f>
        <v/>
      </c>
      <c r="D28" s="8" t="str">
        <f t="array" ref="D28">IFERROR(INDEX(입고!$F$8:$F$1013,SMALL(IF(입고!$C$8:$C$1013=마스터!$M$19,ROW(입고!$C$8:$C$1013)-7),17)),"")</f>
        <v/>
      </c>
      <c r="E28" s="46" t="str">
        <f t="array" ref="E28">IFERROR(INDEX(입고!$H$8:$H$1013,SMALL(IF(입고!$C$8:$C$1013=마스터!$M$19,ROW(입고!$C$8:$C$1013)-7),17)),"")</f>
        <v/>
      </c>
      <c r="F28" s="46" t="str">
        <f t="array" ref="F28">IFERROR(INDEX(입고!$I$8:$I$1013,SMALL(IF(입고!$C$8:$C$1013=마스터!$M$19,ROW(입고!$C$8:$C$1013)-7),17)),"")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IFERROR(INDEX(입고!$B$8:$B$1013,SMALL(IF(입고!$C$8:$C$1013=마스터!$M$19,ROW(입고!$C$8:$C$1013)-7),18)),"")</f>
        <v/>
      </c>
      <c r="C29" s="11" t="str">
        <f t="array" ref="C29">IFERROR(INDEX(입고!$E$8:$E$1013,SMALL(IF(입고!$C$8:$C$1013=마스터!$M$19,ROW(입고!$C$8:$C$1013)-7),18)),"")</f>
        <v/>
      </c>
      <c r="D29" s="13" t="str">
        <f t="array" ref="D29">IFERROR(INDEX(입고!$F$8:$F$1013,SMALL(IF(입고!$C$8:$C$1013=마스터!$M$19,ROW(입고!$C$8:$C$1013)-7),18)),"")</f>
        <v/>
      </c>
      <c r="E29" s="50" t="str">
        <f t="array" ref="E29">IFERROR(INDEX(입고!$H$8:$H$1013,SMALL(IF(입고!$C$8:$C$1013=마스터!$M$19,ROW(입고!$C$8:$C$1013)-7),18)),"")</f>
        <v/>
      </c>
      <c r="F29" s="50" t="str">
        <f t="array" ref="F29">IFERROR(INDEX(입고!$I$8:$I$1013,SMALL(IF(입고!$C$8:$C$1013=마스터!$M$19,ROW(입고!$C$8:$C$1013)-7),18)),"")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IFERROR(INDEX(입고!$B$8:$B$1013,SMALL(IF(입고!$C$8:$C$1013=마스터!$M$19,ROW(입고!$C$8:$C$1013)-7),19)),"")</f>
        <v/>
      </c>
      <c r="C30" s="6" t="str">
        <f t="array" ref="C30">IFERROR(INDEX(입고!$E$8:$E$1013,SMALL(IF(입고!$C$8:$C$1013=마스터!$M$19,ROW(입고!$C$8:$C$1013)-7),19)),"")</f>
        <v/>
      </c>
      <c r="D30" s="8" t="str">
        <f t="array" ref="D30">IFERROR(INDEX(입고!$F$8:$F$1013,SMALL(IF(입고!$C$8:$C$1013=마스터!$M$19,ROW(입고!$C$8:$C$1013)-7),19)),"")</f>
        <v/>
      </c>
      <c r="E30" s="46" t="str">
        <f t="array" ref="E30">IFERROR(INDEX(입고!$H$8:$H$1013,SMALL(IF(입고!$C$8:$C$1013=마스터!$M$19,ROW(입고!$C$8:$C$1013)-7),19)),"")</f>
        <v/>
      </c>
      <c r="F30" s="46" t="str">
        <f t="array" ref="F30">IFERROR(INDEX(입고!$I$8:$I$1013,SMALL(IF(입고!$C$8:$C$1013=마스터!$M$19,ROW(입고!$C$8:$C$1013)-7),19)),"")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IFERROR(INDEX(입고!$B$8:$B$1013,SMALL(IF(입고!$C$8:$C$1013=마스터!$M$19,ROW(입고!$C$8:$C$1013)-7),20)),"")</f>
        <v/>
      </c>
      <c r="C31" s="11" t="str">
        <f t="array" ref="C31">IFERROR(INDEX(입고!$E$8:$E$1013,SMALL(IF(입고!$C$8:$C$1013=마스터!$M$19,ROW(입고!$C$8:$C$1013)-7),20)),"")</f>
        <v/>
      </c>
      <c r="D31" s="13" t="str">
        <f t="array" ref="D31">IFERROR(INDEX(입고!$F$8:$F$1013,SMALL(IF(입고!$C$8:$C$1013=마스터!$M$19,ROW(입고!$C$8:$C$1013)-7),20)),"")</f>
        <v/>
      </c>
      <c r="E31" s="50" t="str">
        <f t="array" ref="E31">IFERROR(INDEX(입고!$H$8:$H$1013,SMALL(IF(입고!$C$8:$C$1013=마스터!$M$19,ROW(입고!$C$8:$C$1013)-7),20)),"")</f>
        <v/>
      </c>
      <c r="F31" s="50" t="str">
        <f t="array" ref="F31">IFERROR(INDEX(입고!$I$8:$I$1013,SMALL(IF(입고!$C$8:$C$1013=마스터!$M$19,ROW(입고!$C$8:$C$1013)-7),20)),"")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IFERROR(INDEX(입고!$B$8:$B$1013,SMALL(IF(입고!$C$8:$C$1013=마스터!$M$19,ROW(입고!$C$8:$C$1013)-7),21)),"")</f>
        <v/>
      </c>
      <c r="C32" s="6" t="str">
        <f t="array" ref="C32">IFERROR(INDEX(입고!$E$8:$E$1013,SMALL(IF(입고!$C$8:$C$1013=마스터!$M$19,ROW(입고!$C$8:$C$1013)-7),21)),"")</f>
        <v/>
      </c>
      <c r="D32" s="8" t="str">
        <f t="array" ref="D32">IFERROR(INDEX(입고!$F$8:$F$1013,SMALL(IF(입고!$C$8:$C$1013=마스터!$M$19,ROW(입고!$C$8:$C$1013)-7),21)),"")</f>
        <v/>
      </c>
      <c r="E32" s="46" t="str">
        <f t="array" ref="E32">IFERROR(INDEX(입고!$H$8:$H$1013,SMALL(IF(입고!$C$8:$C$1013=마스터!$M$19,ROW(입고!$C$8:$C$1013)-7),21)),"")</f>
        <v/>
      </c>
      <c r="F32" s="46" t="str">
        <f t="array" ref="F32">IFERROR(INDEX(입고!$I$8:$I$1013,SMALL(IF(입고!$C$8:$C$1013=마스터!$M$19,ROW(입고!$C$8:$C$1013)-7),21)),"")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IFERROR(INDEX(입고!$B$8:$B$1013,SMALL(IF(입고!$C$8:$C$1013=마스터!$M$19,ROW(입고!$C$8:$C$1013)-7),22)),"")</f>
        <v/>
      </c>
      <c r="C33" s="11" t="str">
        <f t="array" ref="C33">IFERROR(INDEX(입고!$E$8:$E$1013,SMALL(IF(입고!$C$8:$C$1013=마스터!$M$19,ROW(입고!$C$8:$C$1013)-7),22)),"")</f>
        <v/>
      </c>
      <c r="D33" s="13" t="str">
        <f t="array" ref="D33">IFERROR(INDEX(입고!$F$8:$F$1013,SMALL(IF(입고!$C$8:$C$1013=마스터!$M$19,ROW(입고!$C$8:$C$1013)-7),22)),"")</f>
        <v/>
      </c>
      <c r="E33" s="50" t="str">
        <f t="array" ref="E33">IFERROR(INDEX(입고!$H$8:$H$1013,SMALL(IF(입고!$C$8:$C$1013=마스터!$M$19,ROW(입고!$C$8:$C$1013)-7),22)),"")</f>
        <v/>
      </c>
      <c r="F33" s="50" t="str">
        <f t="array" ref="F33">IFERROR(INDEX(입고!$I$8:$I$1013,SMALL(IF(입고!$C$8:$C$1013=마스터!$M$19,ROW(입고!$C$8:$C$1013)-7),22)),"")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IFERROR(INDEX(입고!$B$8:$B$1013,SMALL(IF(입고!$C$8:$C$1013=마스터!$M$19,ROW(입고!$C$8:$C$1013)-7),23)),"")</f>
        <v/>
      </c>
      <c r="C34" s="6" t="str">
        <f t="array" ref="C34">IFERROR(INDEX(입고!$E$8:$E$1013,SMALL(IF(입고!$C$8:$C$1013=마스터!$M$19,ROW(입고!$C$8:$C$1013)-7),23)),"")</f>
        <v/>
      </c>
      <c r="D34" s="8" t="str">
        <f t="array" ref="D34">IFERROR(INDEX(입고!$F$8:$F$1013,SMALL(IF(입고!$C$8:$C$1013=마스터!$M$19,ROW(입고!$C$8:$C$1013)-7),23)),"")</f>
        <v/>
      </c>
      <c r="E34" s="46" t="str">
        <f t="array" ref="E34">IFERROR(INDEX(입고!$H$8:$H$1013,SMALL(IF(입고!$C$8:$C$1013=마스터!$M$19,ROW(입고!$C$8:$C$1013)-7),23)),"")</f>
        <v/>
      </c>
      <c r="F34" s="46" t="str">
        <f t="array" ref="F34">IFERROR(INDEX(입고!$I$8:$I$1013,SMALL(IF(입고!$C$8:$C$1013=마스터!$M$19,ROW(입고!$C$8:$C$1013)-7),23)),"")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IFERROR(INDEX(입고!$B$8:$B$1013,SMALL(IF(입고!$C$8:$C$1013=마스터!$M$19,ROW(입고!$C$8:$C$1013)-7),24)),"")</f>
        <v/>
      </c>
      <c r="C35" s="11" t="str">
        <f t="array" ref="C35">IFERROR(INDEX(입고!$E$8:$E$1013,SMALL(IF(입고!$C$8:$C$1013=마스터!$M$19,ROW(입고!$C$8:$C$1013)-7),24)),"")</f>
        <v/>
      </c>
      <c r="D35" s="13" t="str">
        <f t="array" ref="D35">IFERROR(INDEX(입고!$F$8:$F$1013,SMALL(IF(입고!$C$8:$C$1013=마스터!$M$19,ROW(입고!$C$8:$C$1013)-7),24)),"")</f>
        <v/>
      </c>
      <c r="E35" s="50" t="str">
        <f t="array" ref="E35">IFERROR(INDEX(입고!$H$8:$H$1013,SMALL(IF(입고!$C$8:$C$1013=마스터!$M$19,ROW(입고!$C$8:$C$1013)-7),24)),"")</f>
        <v/>
      </c>
      <c r="F35" s="50" t="str">
        <f t="array" ref="F35">IFERROR(INDEX(입고!$I$8:$I$1013,SMALL(IF(입고!$C$8:$C$1013=마스터!$M$19,ROW(입고!$C$8:$C$1013)-7),24)),"")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IFERROR(INDEX(입고!$B$8:$B$1013,SMALL(IF(입고!$C$8:$C$1013=마스터!$M$19,ROW(입고!$C$8:$C$1013)-7),25)),"")</f>
        <v/>
      </c>
      <c r="C36" s="6" t="str">
        <f t="array" ref="C36">IFERROR(INDEX(입고!$E$8:$E$1013,SMALL(IF(입고!$C$8:$C$1013=마스터!$M$19,ROW(입고!$C$8:$C$1013)-7),25)),"")</f>
        <v/>
      </c>
      <c r="D36" s="8" t="str">
        <f t="array" ref="D36">IFERROR(INDEX(입고!$F$8:$F$1013,SMALL(IF(입고!$C$8:$C$1013=마스터!$M$19,ROW(입고!$C$8:$C$1013)-7),25)),"")</f>
        <v/>
      </c>
      <c r="E36" s="46" t="str">
        <f t="array" ref="E36">IFERROR(INDEX(입고!$H$8:$H$1013,SMALL(IF(입고!$C$8:$C$1013=마스터!$M$19,ROW(입고!$C$8:$C$1013)-7),25)),"")</f>
        <v/>
      </c>
      <c r="F36" s="46" t="str">
        <f t="array" ref="F36">IFERROR(INDEX(입고!$I$8:$I$1013,SMALL(IF(입고!$C$8:$C$1013=마스터!$M$19,ROW(입고!$C$8:$C$1013)-7),25)),"")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IFERROR(INDEX(입고!$B$8:$B$1013,SMALL(IF(입고!$C$8:$C$1013=마스터!$M$19,ROW(입고!$C$8:$C$1013)-7),26)),"")</f>
        <v/>
      </c>
      <c r="C37" s="11" t="str">
        <f t="array" ref="C37">IFERROR(INDEX(입고!$E$8:$E$1013,SMALL(IF(입고!$C$8:$C$1013=마스터!$M$19,ROW(입고!$C$8:$C$1013)-7),26)),"")</f>
        <v/>
      </c>
      <c r="D37" s="13" t="str">
        <f t="array" ref="D37">IFERROR(INDEX(입고!$F$8:$F$1013,SMALL(IF(입고!$C$8:$C$1013=마스터!$M$19,ROW(입고!$C$8:$C$1013)-7),26)),"")</f>
        <v/>
      </c>
      <c r="E37" s="50" t="str">
        <f t="array" ref="E37">IFERROR(INDEX(입고!$H$8:$H$1013,SMALL(IF(입고!$C$8:$C$1013=마스터!$M$19,ROW(입고!$C$8:$C$1013)-7),26)),"")</f>
        <v/>
      </c>
      <c r="F37" s="50" t="str">
        <f t="array" ref="F37">IFERROR(INDEX(입고!$I$8:$I$1013,SMALL(IF(입고!$C$8:$C$1013=마스터!$M$19,ROW(입고!$C$8:$C$1013)-7),26)),"")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IFERROR(INDEX(입고!$B$8:$B$1013,SMALL(IF(입고!$C$8:$C$1013=마스터!$M$19,ROW(입고!$C$8:$C$1013)-7),27)),"")</f>
        <v/>
      </c>
      <c r="C38" s="6" t="str">
        <f t="array" ref="C38">IFERROR(INDEX(입고!$E$8:$E$1013,SMALL(IF(입고!$C$8:$C$1013=마스터!$M$19,ROW(입고!$C$8:$C$1013)-7),27)),"")</f>
        <v/>
      </c>
      <c r="D38" s="8" t="str">
        <f t="array" ref="D38">IFERROR(INDEX(입고!$F$8:$F$1013,SMALL(IF(입고!$C$8:$C$1013=마스터!$M$19,ROW(입고!$C$8:$C$1013)-7),27)),"")</f>
        <v/>
      </c>
      <c r="E38" s="46" t="str">
        <f t="array" ref="E38">IFERROR(INDEX(입고!$H$8:$H$1013,SMALL(IF(입고!$C$8:$C$1013=마스터!$M$19,ROW(입고!$C$8:$C$1013)-7),27)),"")</f>
        <v/>
      </c>
      <c r="F38" s="46" t="str">
        <f t="array" ref="F38">IFERROR(INDEX(입고!$I$8:$I$1013,SMALL(IF(입고!$C$8:$C$1013=마스터!$M$19,ROW(입고!$C$8:$C$1013)-7),27)),"")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IFERROR(INDEX(입고!$B$8:$B$1013,SMALL(IF(입고!$C$8:$C$1013=마스터!$M$19,ROW(입고!$C$8:$C$1013)-7),28)),"")</f>
        <v/>
      </c>
      <c r="C39" s="11" t="str">
        <f t="array" ref="C39">IFERROR(INDEX(입고!$E$8:$E$1013,SMALL(IF(입고!$C$8:$C$1013=마스터!$M$19,ROW(입고!$C$8:$C$1013)-7),28)),"")</f>
        <v/>
      </c>
      <c r="D39" s="13" t="str">
        <f t="array" ref="D39">IFERROR(INDEX(입고!$F$8:$F$1013,SMALL(IF(입고!$C$8:$C$1013=마스터!$M$19,ROW(입고!$C$8:$C$1013)-7),28)),"")</f>
        <v/>
      </c>
      <c r="E39" s="50" t="str">
        <f t="array" ref="E39">IFERROR(INDEX(입고!$H$8:$H$1013,SMALL(IF(입고!$C$8:$C$1013=마스터!$M$19,ROW(입고!$C$8:$C$1013)-7),28)),"")</f>
        <v/>
      </c>
      <c r="F39" s="50" t="str">
        <f t="array" ref="F39">IFERROR(INDEX(입고!$I$8:$I$1013,SMALL(IF(입고!$C$8:$C$1013=마스터!$M$19,ROW(입고!$C$8:$C$1013)-7),28)),"")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IFERROR(INDEX(입고!$B$8:$B$1013,SMALL(IF(입고!$C$8:$C$1013=마스터!$M$19,ROW(입고!$C$8:$C$1013)-7),29)),"")</f>
        <v/>
      </c>
      <c r="C40" s="6" t="str">
        <f t="array" ref="C40">IFERROR(INDEX(입고!$E$8:$E$1013,SMALL(IF(입고!$C$8:$C$1013=마스터!$M$19,ROW(입고!$C$8:$C$1013)-7),29)),"")</f>
        <v/>
      </c>
      <c r="D40" s="8" t="str">
        <f t="array" ref="D40">IFERROR(INDEX(입고!$F$8:$F$1013,SMALL(IF(입고!$C$8:$C$1013=마스터!$M$19,ROW(입고!$C$8:$C$1013)-7),29)),"")</f>
        <v/>
      </c>
      <c r="E40" s="46" t="str">
        <f t="array" ref="E40">IFERROR(INDEX(입고!$H$8:$H$1013,SMALL(IF(입고!$C$8:$C$1013=마스터!$M$19,ROW(입고!$C$8:$C$1013)-7),29)),"")</f>
        <v/>
      </c>
      <c r="F40" s="46" t="str">
        <f t="array" ref="F40">IFERROR(INDEX(입고!$I$8:$I$1013,SMALL(IF(입고!$C$8:$C$1013=마스터!$M$19,ROW(입고!$C$8:$C$1013)-7),29)),"")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IFERROR(INDEX(입고!$B$8:$B$1013,SMALL(IF(입고!$C$8:$C$1013=마스터!$M$19,ROW(입고!$C$8:$C$1013)-7),30)),"")</f>
        <v/>
      </c>
      <c r="C41" s="11" t="str">
        <f t="array" ref="C41">IFERROR(INDEX(입고!$E$8:$E$1013,SMALL(IF(입고!$C$8:$C$1013=마스터!$M$19,ROW(입고!$C$8:$C$1013)-7),30)),"")</f>
        <v/>
      </c>
      <c r="D41" s="13" t="str">
        <f t="array" ref="D41">IFERROR(INDEX(입고!$F$8:$F$1013,SMALL(IF(입고!$C$8:$C$1013=마스터!$M$19,ROW(입고!$C$8:$C$1013)-7),30)),"")</f>
        <v/>
      </c>
      <c r="E41" s="50" t="str">
        <f t="array" ref="E41">IFERROR(INDEX(입고!$H$8:$H$1013,SMALL(IF(입고!$C$8:$C$1013=마스터!$M$19,ROW(입고!$C$8:$C$1013)-7),30)),"")</f>
        <v/>
      </c>
      <c r="F41" s="50" t="str">
        <f t="array" ref="F41">IFERROR(INDEX(입고!$I$8:$I$1013,SMALL(IF(입고!$C$8:$C$1013=마스터!$M$19,ROW(입고!$C$8:$C$1013)-7),30)),"")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 t="str">
        <f t="shared" ref="A45:A74" si="2">IF(B45="","",ROW()-44)</f>
        <v/>
      </c>
      <c r="B45" s="56" t="str">
        <f t="array" ref="B45">IFERROR(INDEX(출고!$B$8:$B$1013,SMALL(IF(출고!$C$8:$C$1013=마스터!$M$19,ROW(출고!$C$8:$C$1013)-7),1)),"")</f>
        <v/>
      </c>
      <c r="C45" s="6" t="str">
        <f t="array" ref="C45">IFERROR(INDEX(출고!$E$8:$E$1013,SMALL(IF(출고!$C$8:$C$1013=마스터!$M$19,ROW(출고!$C$8:$C$1013)-7),1)),"")</f>
        <v/>
      </c>
      <c r="D45" s="8" t="str">
        <f t="array" ref="D45">IFERROR(INDEX(출고!$F$8:$F$1013,SMALL(IF(출고!$C$8:$C$1013=마스터!$M$19,ROW(출고!$C$8:$C$1013)-7),1)),"")</f>
        <v/>
      </c>
      <c r="E45" s="46" t="str">
        <f t="array" ref="E45">IFERROR(INDEX(출고!$H$8:$H$1013,SMALL(IF(출고!$C$8:$C$1013=마스터!$M$19,ROW(출고!$C$8:$C$1013)-7),1)),"")</f>
        <v/>
      </c>
      <c r="F45" s="46" t="str">
        <f t="array" ref="F45">IFERROR(INDEX(출고!$I$8:$I$1013,SMALL(IF(출고!$C$8:$C$1013=마스터!$M$19,ROW(출고!$C$8:$C$1013)-7),1)),"")</f>
        <v/>
      </c>
      <c r="G45" s="57" t="str">
        <f>IF(B45="","",IFERROR(D45,0))</f>
        <v/>
      </c>
    </row>
    <row r="46" spans="1:7" ht="15" customHeight="1" x14ac:dyDescent="0.25">
      <c r="A46" s="11" t="str">
        <f t="shared" si="2"/>
        <v/>
      </c>
      <c r="B46" s="58" t="str">
        <f t="array" ref="B46">IFERROR(INDEX(출고!$B$8:$B$1013,SMALL(IF(출고!$C$8:$C$1013=마스터!$M$19,ROW(출고!$C$8:$C$1013)-7),2)),"")</f>
        <v/>
      </c>
      <c r="C46" s="11" t="str">
        <f t="array" ref="C46">IFERROR(INDEX(출고!$E$8:$E$1013,SMALL(IF(출고!$C$8:$C$1013=마스터!$M$19,ROW(출고!$C$8:$C$1013)-7),2)),"")</f>
        <v/>
      </c>
      <c r="D46" s="13" t="str">
        <f t="array" ref="D46">IFERROR(INDEX(출고!$F$8:$F$1013,SMALL(IF(출고!$C$8:$C$1013=마스터!$M$19,ROW(출고!$C$8:$C$1013)-7),2)),"")</f>
        <v/>
      </c>
      <c r="E46" s="50" t="str">
        <f t="array" ref="E46">IFERROR(INDEX(출고!$H$8:$H$1013,SMALL(IF(출고!$C$8:$C$1013=마스터!$M$19,ROW(출고!$C$8:$C$1013)-7),2)),"")</f>
        <v/>
      </c>
      <c r="F46" s="50" t="str">
        <f t="array" ref="F46">IFERROR(INDEX(출고!$I$8:$I$1013,SMALL(IF(출고!$C$8:$C$1013=마스터!$M$19,ROW(출고!$C$8:$C$1013)-7),2)),"")</f>
        <v/>
      </c>
      <c r="G46" s="59" t="str">
        <f t="shared" ref="G46:G74" si="3">IF(B46="","",IFERROR(G45,0)+IFERROR(D46,0))</f>
        <v/>
      </c>
    </row>
    <row r="47" spans="1:7" ht="15" customHeight="1" x14ac:dyDescent="0.25">
      <c r="A47" s="6" t="str">
        <f t="shared" si="2"/>
        <v/>
      </c>
      <c r="B47" s="56" t="str">
        <f t="array" ref="B47">IFERROR(INDEX(출고!$B$8:$B$1013,SMALL(IF(출고!$C$8:$C$1013=마스터!$M$19,ROW(출고!$C$8:$C$1013)-7),3)),"")</f>
        <v/>
      </c>
      <c r="C47" s="6" t="str">
        <f t="array" ref="C47">IFERROR(INDEX(출고!$E$8:$E$1013,SMALL(IF(출고!$C$8:$C$1013=마스터!$M$19,ROW(출고!$C$8:$C$1013)-7),3)),"")</f>
        <v/>
      </c>
      <c r="D47" s="8" t="str">
        <f t="array" ref="D47">IFERROR(INDEX(출고!$F$8:$F$1013,SMALL(IF(출고!$C$8:$C$1013=마스터!$M$19,ROW(출고!$C$8:$C$1013)-7),3)),"")</f>
        <v/>
      </c>
      <c r="E47" s="46" t="str">
        <f t="array" ref="E47">IFERROR(INDEX(출고!$H$8:$H$1013,SMALL(IF(출고!$C$8:$C$1013=마스터!$M$19,ROW(출고!$C$8:$C$1013)-7),3)),"")</f>
        <v/>
      </c>
      <c r="F47" s="46" t="str">
        <f t="array" ref="F47">IFERROR(INDEX(출고!$I$8:$I$1013,SMALL(IF(출고!$C$8:$C$1013=마스터!$M$19,ROW(출고!$C$8:$C$1013)-7),3)),"")</f>
        <v/>
      </c>
      <c r="G47" s="57" t="str">
        <f t="shared" si="3"/>
        <v/>
      </c>
    </row>
    <row r="48" spans="1:7" ht="15" customHeight="1" x14ac:dyDescent="0.25">
      <c r="A48" s="11" t="str">
        <f t="shared" si="2"/>
        <v/>
      </c>
      <c r="B48" s="58" t="str">
        <f t="array" ref="B48">IFERROR(INDEX(출고!$B$8:$B$1013,SMALL(IF(출고!$C$8:$C$1013=마스터!$M$19,ROW(출고!$C$8:$C$1013)-7),4)),"")</f>
        <v/>
      </c>
      <c r="C48" s="11" t="str">
        <f t="array" ref="C48">IFERROR(INDEX(출고!$E$8:$E$1013,SMALL(IF(출고!$C$8:$C$1013=마스터!$M$19,ROW(출고!$C$8:$C$1013)-7),4)),"")</f>
        <v/>
      </c>
      <c r="D48" s="13" t="str">
        <f t="array" ref="D48">IFERROR(INDEX(출고!$F$8:$F$1013,SMALL(IF(출고!$C$8:$C$1013=마스터!$M$19,ROW(출고!$C$8:$C$1013)-7),4)),"")</f>
        <v/>
      </c>
      <c r="E48" s="50" t="str">
        <f t="array" ref="E48">IFERROR(INDEX(출고!$H$8:$H$1013,SMALL(IF(출고!$C$8:$C$1013=마스터!$M$19,ROW(출고!$C$8:$C$1013)-7),4)),"")</f>
        <v/>
      </c>
      <c r="F48" s="50" t="str">
        <f t="array" ref="F48">IFERROR(INDEX(출고!$I$8:$I$1013,SMALL(IF(출고!$C$8:$C$1013=마스터!$M$19,ROW(출고!$C$8:$C$1013)-7),4)),"")</f>
        <v/>
      </c>
      <c r="G48" s="59" t="str">
        <f t="shared" si="3"/>
        <v/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IFERROR(INDEX(출고!$B$8:$B$1013,SMALL(IF(출고!$C$8:$C$1013=마스터!$M$19,ROW(출고!$C$8:$C$1013)-7),5)),"")</f>
        <v/>
      </c>
      <c r="C49" s="6" t="str">
        <f t="array" ref="C49">IFERROR(INDEX(출고!$E$8:$E$1013,SMALL(IF(출고!$C$8:$C$1013=마스터!$M$19,ROW(출고!$C$8:$C$1013)-7),5)),"")</f>
        <v/>
      </c>
      <c r="D49" s="8" t="str">
        <f t="array" ref="D49">IFERROR(INDEX(출고!$F$8:$F$1013,SMALL(IF(출고!$C$8:$C$1013=마스터!$M$19,ROW(출고!$C$8:$C$1013)-7),5)),"")</f>
        <v/>
      </c>
      <c r="E49" s="46" t="str">
        <f t="array" ref="E49">IFERROR(INDEX(출고!$H$8:$H$1013,SMALL(IF(출고!$C$8:$C$1013=마스터!$M$19,ROW(출고!$C$8:$C$1013)-7),5)),"")</f>
        <v/>
      </c>
      <c r="F49" s="46" t="str">
        <f t="array" ref="F49">IFERROR(INDEX(출고!$I$8:$I$1013,SMALL(IF(출고!$C$8:$C$1013=마스터!$M$19,ROW(출고!$C$8:$C$1013)-7),5)),"")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IFERROR(INDEX(출고!$B$8:$B$1013,SMALL(IF(출고!$C$8:$C$1013=마스터!$M$19,ROW(출고!$C$8:$C$1013)-7),6)),"")</f>
        <v/>
      </c>
      <c r="C50" s="11" t="str">
        <f t="array" ref="C50">IFERROR(INDEX(출고!$E$8:$E$1013,SMALL(IF(출고!$C$8:$C$1013=마스터!$M$19,ROW(출고!$C$8:$C$1013)-7),6)),"")</f>
        <v/>
      </c>
      <c r="D50" s="13" t="str">
        <f t="array" ref="D50">IFERROR(INDEX(출고!$F$8:$F$1013,SMALL(IF(출고!$C$8:$C$1013=마스터!$M$19,ROW(출고!$C$8:$C$1013)-7),6)),"")</f>
        <v/>
      </c>
      <c r="E50" s="50" t="str">
        <f t="array" ref="E50">IFERROR(INDEX(출고!$H$8:$H$1013,SMALL(IF(출고!$C$8:$C$1013=마스터!$M$19,ROW(출고!$C$8:$C$1013)-7),6)),"")</f>
        <v/>
      </c>
      <c r="F50" s="50" t="str">
        <f t="array" ref="F50">IFERROR(INDEX(출고!$I$8:$I$1013,SMALL(IF(출고!$C$8:$C$1013=마스터!$M$19,ROW(출고!$C$8:$C$1013)-7),6)),"")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IFERROR(INDEX(출고!$B$8:$B$1013,SMALL(IF(출고!$C$8:$C$1013=마스터!$M$19,ROW(출고!$C$8:$C$1013)-7),7)),"")</f>
        <v/>
      </c>
      <c r="C51" s="6" t="str">
        <f t="array" ref="C51">IFERROR(INDEX(출고!$E$8:$E$1013,SMALL(IF(출고!$C$8:$C$1013=마스터!$M$19,ROW(출고!$C$8:$C$1013)-7),7)),"")</f>
        <v/>
      </c>
      <c r="D51" s="8" t="str">
        <f t="array" ref="D51">IFERROR(INDEX(출고!$F$8:$F$1013,SMALL(IF(출고!$C$8:$C$1013=마스터!$M$19,ROW(출고!$C$8:$C$1013)-7),7)),"")</f>
        <v/>
      </c>
      <c r="E51" s="46" t="str">
        <f t="array" ref="E51">IFERROR(INDEX(출고!$H$8:$H$1013,SMALL(IF(출고!$C$8:$C$1013=마스터!$M$19,ROW(출고!$C$8:$C$1013)-7),7)),"")</f>
        <v/>
      </c>
      <c r="F51" s="46" t="str">
        <f t="array" ref="F51">IFERROR(INDEX(출고!$I$8:$I$1013,SMALL(IF(출고!$C$8:$C$1013=마스터!$M$19,ROW(출고!$C$8:$C$1013)-7),7)),"")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IFERROR(INDEX(출고!$B$8:$B$1013,SMALL(IF(출고!$C$8:$C$1013=마스터!$M$19,ROW(출고!$C$8:$C$1013)-7),8)),"")</f>
        <v/>
      </c>
      <c r="C52" s="11" t="str">
        <f t="array" ref="C52">IFERROR(INDEX(출고!$E$8:$E$1013,SMALL(IF(출고!$C$8:$C$1013=마스터!$M$19,ROW(출고!$C$8:$C$1013)-7),8)),"")</f>
        <v/>
      </c>
      <c r="D52" s="13" t="str">
        <f t="array" ref="D52">IFERROR(INDEX(출고!$F$8:$F$1013,SMALL(IF(출고!$C$8:$C$1013=마스터!$M$19,ROW(출고!$C$8:$C$1013)-7),8)),"")</f>
        <v/>
      </c>
      <c r="E52" s="50" t="str">
        <f t="array" ref="E52">IFERROR(INDEX(출고!$H$8:$H$1013,SMALL(IF(출고!$C$8:$C$1013=마스터!$M$19,ROW(출고!$C$8:$C$1013)-7),8)),"")</f>
        <v/>
      </c>
      <c r="F52" s="50" t="str">
        <f t="array" ref="F52">IFERROR(INDEX(출고!$I$8:$I$1013,SMALL(IF(출고!$C$8:$C$1013=마스터!$M$19,ROW(출고!$C$8:$C$1013)-7),8)),"")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IFERROR(INDEX(출고!$B$8:$B$1013,SMALL(IF(출고!$C$8:$C$1013=마스터!$M$19,ROW(출고!$C$8:$C$1013)-7),9)),"")</f>
        <v/>
      </c>
      <c r="C53" s="6" t="str">
        <f t="array" ref="C53">IFERROR(INDEX(출고!$E$8:$E$1013,SMALL(IF(출고!$C$8:$C$1013=마스터!$M$19,ROW(출고!$C$8:$C$1013)-7),9)),"")</f>
        <v/>
      </c>
      <c r="D53" s="8" t="str">
        <f t="array" ref="D53">IFERROR(INDEX(출고!$F$8:$F$1013,SMALL(IF(출고!$C$8:$C$1013=마스터!$M$19,ROW(출고!$C$8:$C$1013)-7),9)),"")</f>
        <v/>
      </c>
      <c r="E53" s="46" t="str">
        <f t="array" ref="E53">IFERROR(INDEX(출고!$H$8:$H$1013,SMALL(IF(출고!$C$8:$C$1013=마스터!$M$19,ROW(출고!$C$8:$C$1013)-7),9)),"")</f>
        <v/>
      </c>
      <c r="F53" s="46" t="str">
        <f t="array" ref="F53">IFERROR(INDEX(출고!$I$8:$I$1013,SMALL(IF(출고!$C$8:$C$1013=마스터!$M$19,ROW(출고!$C$8:$C$1013)-7),9)),"")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IFERROR(INDEX(출고!$B$8:$B$1013,SMALL(IF(출고!$C$8:$C$1013=마스터!$M$19,ROW(출고!$C$8:$C$1013)-7),10)),"")</f>
        <v/>
      </c>
      <c r="C54" s="11" t="str">
        <f t="array" ref="C54">IFERROR(INDEX(출고!$E$8:$E$1013,SMALL(IF(출고!$C$8:$C$1013=마스터!$M$19,ROW(출고!$C$8:$C$1013)-7),10)),"")</f>
        <v/>
      </c>
      <c r="D54" s="13" t="str">
        <f t="array" ref="D54">IFERROR(INDEX(출고!$F$8:$F$1013,SMALL(IF(출고!$C$8:$C$1013=마스터!$M$19,ROW(출고!$C$8:$C$1013)-7),10)),"")</f>
        <v/>
      </c>
      <c r="E54" s="50" t="str">
        <f t="array" ref="E54">IFERROR(INDEX(출고!$H$8:$H$1013,SMALL(IF(출고!$C$8:$C$1013=마스터!$M$19,ROW(출고!$C$8:$C$1013)-7),10)),"")</f>
        <v/>
      </c>
      <c r="F54" s="50" t="str">
        <f t="array" ref="F54">IFERROR(INDEX(출고!$I$8:$I$1013,SMALL(IF(출고!$C$8:$C$1013=마스터!$M$19,ROW(출고!$C$8:$C$1013)-7),10)),"")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IFERROR(INDEX(출고!$B$8:$B$1013,SMALL(IF(출고!$C$8:$C$1013=마스터!$M$19,ROW(출고!$C$8:$C$1013)-7),11)),"")</f>
        <v/>
      </c>
      <c r="C55" s="6" t="str">
        <f t="array" ref="C55">IFERROR(INDEX(출고!$E$8:$E$1013,SMALL(IF(출고!$C$8:$C$1013=마스터!$M$19,ROW(출고!$C$8:$C$1013)-7),11)),"")</f>
        <v/>
      </c>
      <c r="D55" s="8" t="str">
        <f t="array" ref="D55">IFERROR(INDEX(출고!$F$8:$F$1013,SMALL(IF(출고!$C$8:$C$1013=마스터!$M$19,ROW(출고!$C$8:$C$1013)-7),11)),"")</f>
        <v/>
      </c>
      <c r="E55" s="46" t="str">
        <f t="array" ref="E55">IFERROR(INDEX(출고!$H$8:$H$1013,SMALL(IF(출고!$C$8:$C$1013=마스터!$M$19,ROW(출고!$C$8:$C$1013)-7),11)),"")</f>
        <v/>
      </c>
      <c r="F55" s="46" t="str">
        <f t="array" ref="F55">IFERROR(INDEX(출고!$I$8:$I$1013,SMALL(IF(출고!$C$8:$C$1013=마스터!$M$19,ROW(출고!$C$8:$C$1013)-7),11)),"")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IFERROR(INDEX(출고!$B$8:$B$1013,SMALL(IF(출고!$C$8:$C$1013=마스터!$M$19,ROW(출고!$C$8:$C$1013)-7),12)),"")</f>
        <v/>
      </c>
      <c r="C56" s="11" t="str">
        <f t="array" ref="C56">IFERROR(INDEX(출고!$E$8:$E$1013,SMALL(IF(출고!$C$8:$C$1013=마스터!$M$19,ROW(출고!$C$8:$C$1013)-7),12)),"")</f>
        <v/>
      </c>
      <c r="D56" s="13" t="str">
        <f t="array" ref="D56">IFERROR(INDEX(출고!$F$8:$F$1013,SMALL(IF(출고!$C$8:$C$1013=마스터!$M$19,ROW(출고!$C$8:$C$1013)-7),12)),"")</f>
        <v/>
      </c>
      <c r="E56" s="50" t="str">
        <f t="array" ref="E56">IFERROR(INDEX(출고!$H$8:$H$1013,SMALL(IF(출고!$C$8:$C$1013=마스터!$M$19,ROW(출고!$C$8:$C$1013)-7),12)),"")</f>
        <v/>
      </c>
      <c r="F56" s="50" t="str">
        <f t="array" ref="F56">IFERROR(INDEX(출고!$I$8:$I$1013,SMALL(IF(출고!$C$8:$C$1013=마스터!$M$19,ROW(출고!$C$8:$C$1013)-7),12)),"")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IFERROR(INDEX(출고!$B$8:$B$1013,SMALL(IF(출고!$C$8:$C$1013=마스터!$M$19,ROW(출고!$C$8:$C$1013)-7),13)),"")</f>
        <v/>
      </c>
      <c r="C57" s="6" t="str">
        <f t="array" ref="C57">IFERROR(INDEX(출고!$E$8:$E$1013,SMALL(IF(출고!$C$8:$C$1013=마스터!$M$19,ROW(출고!$C$8:$C$1013)-7),13)),"")</f>
        <v/>
      </c>
      <c r="D57" s="8" t="str">
        <f t="array" ref="D57">IFERROR(INDEX(출고!$F$8:$F$1013,SMALL(IF(출고!$C$8:$C$1013=마스터!$M$19,ROW(출고!$C$8:$C$1013)-7),13)),"")</f>
        <v/>
      </c>
      <c r="E57" s="46" t="str">
        <f t="array" ref="E57">IFERROR(INDEX(출고!$H$8:$H$1013,SMALL(IF(출고!$C$8:$C$1013=마스터!$M$19,ROW(출고!$C$8:$C$1013)-7),13)),"")</f>
        <v/>
      </c>
      <c r="F57" s="46" t="str">
        <f t="array" ref="F57">IFERROR(INDEX(출고!$I$8:$I$1013,SMALL(IF(출고!$C$8:$C$1013=마스터!$M$19,ROW(출고!$C$8:$C$1013)-7),13)),"")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IFERROR(INDEX(출고!$B$8:$B$1013,SMALL(IF(출고!$C$8:$C$1013=마스터!$M$19,ROW(출고!$C$8:$C$1013)-7),14)),"")</f>
        <v/>
      </c>
      <c r="C58" s="11" t="str">
        <f t="array" ref="C58">IFERROR(INDEX(출고!$E$8:$E$1013,SMALL(IF(출고!$C$8:$C$1013=마스터!$M$19,ROW(출고!$C$8:$C$1013)-7),14)),"")</f>
        <v/>
      </c>
      <c r="D58" s="13" t="str">
        <f t="array" ref="D58">IFERROR(INDEX(출고!$F$8:$F$1013,SMALL(IF(출고!$C$8:$C$1013=마스터!$M$19,ROW(출고!$C$8:$C$1013)-7),14)),"")</f>
        <v/>
      </c>
      <c r="E58" s="50" t="str">
        <f t="array" ref="E58">IFERROR(INDEX(출고!$H$8:$H$1013,SMALL(IF(출고!$C$8:$C$1013=마스터!$M$19,ROW(출고!$C$8:$C$1013)-7),14)),"")</f>
        <v/>
      </c>
      <c r="F58" s="50" t="str">
        <f t="array" ref="F58">IFERROR(INDEX(출고!$I$8:$I$1013,SMALL(IF(출고!$C$8:$C$1013=마스터!$M$19,ROW(출고!$C$8:$C$1013)-7),14)),"")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IFERROR(INDEX(출고!$B$8:$B$1013,SMALL(IF(출고!$C$8:$C$1013=마스터!$M$19,ROW(출고!$C$8:$C$1013)-7),15)),"")</f>
        <v/>
      </c>
      <c r="C59" s="6" t="str">
        <f t="array" ref="C59">IFERROR(INDEX(출고!$E$8:$E$1013,SMALL(IF(출고!$C$8:$C$1013=마스터!$M$19,ROW(출고!$C$8:$C$1013)-7),15)),"")</f>
        <v/>
      </c>
      <c r="D59" s="8" t="str">
        <f t="array" ref="D59">IFERROR(INDEX(출고!$F$8:$F$1013,SMALL(IF(출고!$C$8:$C$1013=마스터!$M$19,ROW(출고!$C$8:$C$1013)-7),15)),"")</f>
        <v/>
      </c>
      <c r="E59" s="46" t="str">
        <f t="array" ref="E59">IFERROR(INDEX(출고!$H$8:$H$1013,SMALL(IF(출고!$C$8:$C$1013=마스터!$M$19,ROW(출고!$C$8:$C$1013)-7),15)),"")</f>
        <v/>
      </c>
      <c r="F59" s="46" t="str">
        <f t="array" ref="F59">IFERROR(INDEX(출고!$I$8:$I$1013,SMALL(IF(출고!$C$8:$C$1013=마스터!$M$19,ROW(출고!$C$8:$C$1013)-7),15)),"")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IFERROR(INDEX(출고!$B$8:$B$1013,SMALL(IF(출고!$C$8:$C$1013=마스터!$M$19,ROW(출고!$C$8:$C$1013)-7),16)),"")</f>
        <v/>
      </c>
      <c r="C60" s="11" t="str">
        <f t="array" ref="C60">IFERROR(INDEX(출고!$E$8:$E$1013,SMALL(IF(출고!$C$8:$C$1013=마스터!$M$19,ROW(출고!$C$8:$C$1013)-7),16)),"")</f>
        <v/>
      </c>
      <c r="D60" s="13" t="str">
        <f t="array" ref="D60">IFERROR(INDEX(출고!$F$8:$F$1013,SMALL(IF(출고!$C$8:$C$1013=마스터!$M$19,ROW(출고!$C$8:$C$1013)-7),16)),"")</f>
        <v/>
      </c>
      <c r="E60" s="50" t="str">
        <f t="array" ref="E60">IFERROR(INDEX(출고!$H$8:$H$1013,SMALL(IF(출고!$C$8:$C$1013=마스터!$M$19,ROW(출고!$C$8:$C$1013)-7),16)),"")</f>
        <v/>
      </c>
      <c r="F60" s="50" t="str">
        <f t="array" ref="F60">IFERROR(INDEX(출고!$I$8:$I$1013,SMALL(IF(출고!$C$8:$C$1013=마스터!$M$19,ROW(출고!$C$8:$C$1013)-7),16)),"")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IFERROR(INDEX(출고!$B$8:$B$1013,SMALL(IF(출고!$C$8:$C$1013=마스터!$M$19,ROW(출고!$C$8:$C$1013)-7),17)),"")</f>
        <v/>
      </c>
      <c r="C61" s="6" t="str">
        <f t="array" ref="C61">IFERROR(INDEX(출고!$E$8:$E$1013,SMALL(IF(출고!$C$8:$C$1013=마스터!$M$19,ROW(출고!$C$8:$C$1013)-7),17)),"")</f>
        <v/>
      </c>
      <c r="D61" s="8" t="str">
        <f t="array" ref="D61">IFERROR(INDEX(출고!$F$8:$F$1013,SMALL(IF(출고!$C$8:$C$1013=마스터!$M$19,ROW(출고!$C$8:$C$1013)-7),17)),"")</f>
        <v/>
      </c>
      <c r="E61" s="46" t="str">
        <f t="array" ref="E61">IFERROR(INDEX(출고!$H$8:$H$1013,SMALL(IF(출고!$C$8:$C$1013=마스터!$M$19,ROW(출고!$C$8:$C$1013)-7),17)),"")</f>
        <v/>
      </c>
      <c r="F61" s="46" t="str">
        <f t="array" ref="F61">IFERROR(INDEX(출고!$I$8:$I$1013,SMALL(IF(출고!$C$8:$C$1013=마스터!$M$19,ROW(출고!$C$8:$C$1013)-7),17)),"")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IFERROR(INDEX(출고!$B$8:$B$1013,SMALL(IF(출고!$C$8:$C$1013=마스터!$M$19,ROW(출고!$C$8:$C$1013)-7),18)),"")</f>
        <v/>
      </c>
      <c r="C62" s="11" t="str">
        <f t="array" ref="C62">IFERROR(INDEX(출고!$E$8:$E$1013,SMALL(IF(출고!$C$8:$C$1013=마스터!$M$19,ROW(출고!$C$8:$C$1013)-7),18)),"")</f>
        <v/>
      </c>
      <c r="D62" s="13" t="str">
        <f t="array" ref="D62">IFERROR(INDEX(출고!$F$8:$F$1013,SMALL(IF(출고!$C$8:$C$1013=마스터!$M$19,ROW(출고!$C$8:$C$1013)-7),18)),"")</f>
        <v/>
      </c>
      <c r="E62" s="50" t="str">
        <f t="array" ref="E62">IFERROR(INDEX(출고!$H$8:$H$1013,SMALL(IF(출고!$C$8:$C$1013=마스터!$M$19,ROW(출고!$C$8:$C$1013)-7),18)),"")</f>
        <v/>
      </c>
      <c r="F62" s="50" t="str">
        <f t="array" ref="F62">IFERROR(INDEX(출고!$I$8:$I$1013,SMALL(IF(출고!$C$8:$C$1013=마스터!$M$19,ROW(출고!$C$8:$C$1013)-7),18)),"")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IFERROR(INDEX(출고!$B$8:$B$1013,SMALL(IF(출고!$C$8:$C$1013=마스터!$M$19,ROW(출고!$C$8:$C$1013)-7),19)),"")</f>
        <v/>
      </c>
      <c r="C63" s="6" t="str">
        <f t="array" ref="C63">IFERROR(INDEX(출고!$E$8:$E$1013,SMALL(IF(출고!$C$8:$C$1013=마스터!$M$19,ROW(출고!$C$8:$C$1013)-7),19)),"")</f>
        <v/>
      </c>
      <c r="D63" s="8" t="str">
        <f t="array" ref="D63">IFERROR(INDEX(출고!$F$8:$F$1013,SMALL(IF(출고!$C$8:$C$1013=마스터!$M$19,ROW(출고!$C$8:$C$1013)-7),19)),"")</f>
        <v/>
      </c>
      <c r="E63" s="46" t="str">
        <f t="array" ref="E63">IFERROR(INDEX(출고!$H$8:$H$1013,SMALL(IF(출고!$C$8:$C$1013=마스터!$M$19,ROW(출고!$C$8:$C$1013)-7),19)),"")</f>
        <v/>
      </c>
      <c r="F63" s="46" t="str">
        <f t="array" ref="F63">IFERROR(INDEX(출고!$I$8:$I$1013,SMALL(IF(출고!$C$8:$C$1013=마스터!$M$19,ROW(출고!$C$8:$C$1013)-7),19)),"")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IFERROR(INDEX(출고!$B$8:$B$1013,SMALL(IF(출고!$C$8:$C$1013=마스터!$M$19,ROW(출고!$C$8:$C$1013)-7),20)),"")</f>
        <v/>
      </c>
      <c r="C64" s="11" t="str">
        <f t="array" ref="C64">IFERROR(INDEX(출고!$E$8:$E$1013,SMALL(IF(출고!$C$8:$C$1013=마스터!$M$19,ROW(출고!$C$8:$C$1013)-7),20)),"")</f>
        <v/>
      </c>
      <c r="D64" s="13" t="str">
        <f t="array" ref="D64">IFERROR(INDEX(출고!$F$8:$F$1013,SMALL(IF(출고!$C$8:$C$1013=마스터!$M$19,ROW(출고!$C$8:$C$1013)-7),20)),"")</f>
        <v/>
      </c>
      <c r="E64" s="50" t="str">
        <f t="array" ref="E64">IFERROR(INDEX(출고!$H$8:$H$1013,SMALL(IF(출고!$C$8:$C$1013=마스터!$M$19,ROW(출고!$C$8:$C$1013)-7),20)),"")</f>
        <v/>
      </c>
      <c r="F64" s="50" t="str">
        <f t="array" ref="F64">IFERROR(INDEX(출고!$I$8:$I$1013,SMALL(IF(출고!$C$8:$C$1013=마스터!$M$19,ROW(출고!$C$8:$C$1013)-7),20)),"")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IFERROR(INDEX(출고!$B$8:$B$1013,SMALL(IF(출고!$C$8:$C$1013=마스터!$M$19,ROW(출고!$C$8:$C$1013)-7),21)),"")</f>
        <v/>
      </c>
      <c r="C65" s="6" t="str">
        <f t="array" ref="C65">IFERROR(INDEX(출고!$E$8:$E$1013,SMALL(IF(출고!$C$8:$C$1013=마스터!$M$19,ROW(출고!$C$8:$C$1013)-7),21)),"")</f>
        <v/>
      </c>
      <c r="D65" s="8" t="str">
        <f t="array" ref="D65">IFERROR(INDEX(출고!$F$8:$F$1013,SMALL(IF(출고!$C$8:$C$1013=마스터!$M$19,ROW(출고!$C$8:$C$1013)-7),21)),"")</f>
        <v/>
      </c>
      <c r="E65" s="46" t="str">
        <f t="array" ref="E65">IFERROR(INDEX(출고!$H$8:$H$1013,SMALL(IF(출고!$C$8:$C$1013=마스터!$M$19,ROW(출고!$C$8:$C$1013)-7),21)),"")</f>
        <v/>
      </c>
      <c r="F65" s="46" t="str">
        <f t="array" ref="F65">IFERROR(INDEX(출고!$I$8:$I$1013,SMALL(IF(출고!$C$8:$C$1013=마스터!$M$19,ROW(출고!$C$8:$C$1013)-7),21)),"")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IFERROR(INDEX(출고!$B$8:$B$1013,SMALL(IF(출고!$C$8:$C$1013=마스터!$M$19,ROW(출고!$C$8:$C$1013)-7),22)),"")</f>
        <v/>
      </c>
      <c r="C66" s="11" t="str">
        <f t="array" ref="C66">IFERROR(INDEX(출고!$E$8:$E$1013,SMALL(IF(출고!$C$8:$C$1013=마스터!$M$19,ROW(출고!$C$8:$C$1013)-7),22)),"")</f>
        <v/>
      </c>
      <c r="D66" s="13" t="str">
        <f t="array" ref="D66">IFERROR(INDEX(출고!$F$8:$F$1013,SMALL(IF(출고!$C$8:$C$1013=마스터!$M$19,ROW(출고!$C$8:$C$1013)-7),22)),"")</f>
        <v/>
      </c>
      <c r="E66" s="50" t="str">
        <f t="array" ref="E66">IFERROR(INDEX(출고!$H$8:$H$1013,SMALL(IF(출고!$C$8:$C$1013=마스터!$M$19,ROW(출고!$C$8:$C$1013)-7),22)),"")</f>
        <v/>
      </c>
      <c r="F66" s="50" t="str">
        <f t="array" ref="F66">IFERROR(INDEX(출고!$I$8:$I$1013,SMALL(IF(출고!$C$8:$C$1013=마스터!$M$19,ROW(출고!$C$8:$C$1013)-7),22)),"")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IFERROR(INDEX(출고!$B$8:$B$1013,SMALL(IF(출고!$C$8:$C$1013=마스터!$M$19,ROW(출고!$C$8:$C$1013)-7),23)),"")</f>
        <v/>
      </c>
      <c r="C67" s="6" t="str">
        <f t="array" ref="C67">IFERROR(INDEX(출고!$E$8:$E$1013,SMALL(IF(출고!$C$8:$C$1013=마스터!$M$19,ROW(출고!$C$8:$C$1013)-7),23)),"")</f>
        <v/>
      </c>
      <c r="D67" s="8" t="str">
        <f t="array" ref="D67">IFERROR(INDEX(출고!$F$8:$F$1013,SMALL(IF(출고!$C$8:$C$1013=마스터!$M$19,ROW(출고!$C$8:$C$1013)-7),23)),"")</f>
        <v/>
      </c>
      <c r="E67" s="46" t="str">
        <f t="array" ref="E67">IFERROR(INDEX(출고!$H$8:$H$1013,SMALL(IF(출고!$C$8:$C$1013=마스터!$M$19,ROW(출고!$C$8:$C$1013)-7),23)),"")</f>
        <v/>
      </c>
      <c r="F67" s="46" t="str">
        <f t="array" ref="F67">IFERROR(INDEX(출고!$I$8:$I$1013,SMALL(IF(출고!$C$8:$C$1013=마스터!$M$19,ROW(출고!$C$8:$C$1013)-7),23)),"")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IFERROR(INDEX(출고!$B$8:$B$1013,SMALL(IF(출고!$C$8:$C$1013=마스터!$M$19,ROW(출고!$C$8:$C$1013)-7),24)),"")</f>
        <v/>
      </c>
      <c r="C68" s="11" t="str">
        <f t="array" ref="C68">IFERROR(INDEX(출고!$E$8:$E$1013,SMALL(IF(출고!$C$8:$C$1013=마스터!$M$19,ROW(출고!$C$8:$C$1013)-7),24)),"")</f>
        <v/>
      </c>
      <c r="D68" s="13" t="str">
        <f t="array" ref="D68">IFERROR(INDEX(출고!$F$8:$F$1013,SMALL(IF(출고!$C$8:$C$1013=마스터!$M$19,ROW(출고!$C$8:$C$1013)-7),24)),"")</f>
        <v/>
      </c>
      <c r="E68" s="50" t="str">
        <f t="array" ref="E68">IFERROR(INDEX(출고!$H$8:$H$1013,SMALL(IF(출고!$C$8:$C$1013=마스터!$M$19,ROW(출고!$C$8:$C$1013)-7),24)),"")</f>
        <v/>
      </c>
      <c r="F68" s="50" t="str">
        <f t="array" ref="F68">IFERROR(INDEX(출고!$I$8:$I$1013,SMALL(IF(출고!$C$8:$C$1013=마스터!$M$19,ROW(출고!$C$8:$C$1013)-7),24)),"")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IFERROR(INDEX(출고!$B$8:$B$1013,SMALL(IF(출고!$C$8:$C$1013=마스터!$M$19,ROW(출고!$C$8:$C$1013)-7),25)),"")</f>
        <v/>
      </c>
      <c r="C69" s="6" t="str">
        <f t="array" ref="C69">IFERROR(INDEX(출고!$E$8:$E$1013,SMALL(IF(출고!$C$8:$C$1013=마스터!$M$19,ROW(출고!$C$8:$C$1013)-7),25)),"")</f>
        <v/>
      </c>
      <c r="D69" s="8" t="str">
        <f t="array" ref="D69">IFERROR(INDEX(출고!$F$8:$F$1013,SMALL(IF(출고!$C$8:$C$1013=마스터!$M$19,ROW(출고!$C$8:$C$1013)-7),25)),"")</f>
        <v/>
      </c>
      <c r="E69" s="46" t="str">
        <f t="array" ref="E69">IFERROR(INDEX(출고!$H$8:$H$1013,SMALL(IF(출고!$C$8:$C$1013=마스터!$M$19,ROW(출고!$C$8:$C$1013)-7),25)),"")</f>
        <v/>
      </c>
      <c r="F69" s="46" t="str">
        <f t="array" ref="F69">IFERROR(INDEX(출고!$I$8:$I$1013,SMALL(IF(출고!$C$8:$C$1013=마스터!$M$19,ROW(출고!$C$8:$C$1013)-7),25)),"")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IFERROR(INDEX(출고!$B$8:$B$1013,SMALL(IF(출고!$C$8:$C$1013=마스터!$M$19,ROW(출고!$C$8:$C$1013)-7),26)),"")</f>
        <v/>
      </c>
      <c r="C70" s="11" t="str">
        <f t="array" ref="C70">IFERROR(INDEX(출고!$E$8:$E$1013,SMALL(IF(출고!$C$8:$C$1013=마스터!$M$19,ROW(출고!$C$8:$C$1013)-7),26)),"")</f>
        <v/>
      </c>
      <c r="D70" s="13" t="str">
        <f t="array" ref="D70">IFERROR(INDEX(출고!$F$8:$F$1013,SMALL(IF(출고!$C$8:$C$1013=마스터!$M$19,ROW(출고!$C$8:$C$1013)-7),26)),"")</f>
        <v/>
      </c>
      <c r="E70" s="50" t="str">
        <f t="array" ref="E70">IFERROR(INDEX(출고!$H$8:$H$1013,SMALL(IF(출고!$C$8:$C$1013=마스터!$M$19,ROW(출고!$C$8:$C$1013)-7),26)),"")</f>
        <v/>
      </c>
      <c r="F70" s="50" t="str">
        <f t="array" ref="F70">IFERROR(INDEX(출고!$I$8:$I$1013,SMALL(IF(출고!$C$8:$C$1013=마스터!$M$19,ROW(출고!$C$8:$C$1013)-7),26)),"")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IFERROR(INDEX(출고!$B$8:$B$1013,SMALL(IF(출고!$C$8:$C$1013=마스터!$M$19,ROW(출고!$C$8:$C$1013)-7),27)),"")</f>
        <v/>
      </c>
      <c r="C71" s="6" t="str">
        <f t="array" ref="C71">IFERROR(INDEX(출고!$E$8:$E$1013,SMALL(IF(출고!$C$8:$C$1013=마스터!$M$19,ROW(출고!$C$8:$C$1013)-7),27)),"")</f>
        <v/>
      </c>
      <c r="D71" s="8" t="str">
        <f t="array" ref="D71">IFERROR(INDEX(출고!$F$8:$F$1013,SMALL(IF(출고!$C$8:$C$1013=마스터!$M$19,ROW(출고!$C$8:$C$1013)-7),27)),"")</f>
        <v/>
      </c>
      <c r="E71" s="46" t="str">
        <f t="array" ref="E71">IFERROR(INDEX(출고!$H$8:$H$1013,SMALL(IF(출고!$C$8:$C$1013=마스터!$M$19,ROW(출고!$C$8:$C$1013)-7),27)),"")</f>
        <v/>
      </c>
      <c r="F71" s="46" t="str">
        <f t="array" ref="F71">IFERROR(INDEX(출고!$I$8:$I$1013,SMALL(IF(출고!$C$8:$C$1013=마스터!$M$19,ROW(출고!$C$8:$C$1013)-7),27)),"")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IFERROR(INDEX(출고!$B$8:$B$1013,SMALL(IF(출고!$C$8:$C$1013=마스터!$M$19,ROW(출고!$C$8:$C$1013)-7),28)),"")</f>
        <v/>
      </c>
      <c r="C72" s="11" t="str">
        <f t="array" ref="C72">IFERROR(INDEX(출고!$E$8:$E$1013,SMALL(IF(출고!$C$8:$C$1013=마스터!$M$19,ROW(출고!$C$8:$C$1013)-7),28)),"")</f>
        <v/>
      </c>
      <c r="D72" s="13" t="str">
        <f t="array" ref="D72">IFERROR(INDEX(출고!$F$8:$F$1013,SMALL(IF(출고!$C$8:$C$1013=마스터!$M$19,ROW(출고!$C$8:$C$1013)-7),28)),"")</f>
        <v/>
      </c>
      <c r="E72" s="50" t="str">
        <f t="array" ref="E72">IFERROR(INDEX(출고!$H$8:$H$1013,SMALL(IF(출고!$C$8:$C$1013=마스터!$M$19,ROW(출고!$C$8:$C$1013)-7),28)),"")</f>
        <v/>
      </c>
      <c r="F72" s="50" t="str">
        <f t="array" ref="F72">IFERROR(INDEX(출고!$I$8:$I$1013,SMALL(IF(출고!$C$8:$C$1013=마스터!$M$19,ROW(출고!$C$8:$C$1013)-7),28)),"")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IFERROR(INDEX(출고!$B$8:$B$1013,SMALL(IF(출고!$C$8:$C$1013=마스터!$M$19,ROW(출고!$C$8:$C$1013)-7),29)),"")</f>
        <v/>
      </c>
      <c r="C73" s="6" t="str">
        <f t="array" ref="C73">IFERROR(INDEX(출고!$E$8:$E$1013,SMALL(IF(출고!$C$8:$C$1013=마스터!$M$19,ROW(출고!$C$8:$C$1013)-7),29)),"")</f>
        <v/>
      </c>
      <c r="D73" s="8" t="str">
        <f t="array" ref="D73">IFERROR(INDEX(출고!$F$8:$F$1013,SMALL(IF(출고!$C$8:$C$1013=마스터!$M$19,ROW(출고!$C$8:$C$1013)-7),29)),"")</f>
        <v/>
      </c>
      <c r="E73" s="46" t="str">
        <f t="array" ref="E73">IFERROR(INDEX(출고!$H$8:$H$1013,SMALL(IF(출고!$C$8:$C$1013=마스터!$M$19,ROW(출고!$C$8:$C$1013)-7),29)),"")</f>
        <v/>
      </c>
      <c r="F73" s="46" t="str">
        <f t="array" ref="F73">IFERROR(INDEX(출고!$I$8:$I$1013,SMALL(IF(출고!$C$8:$C$1013=마스터!$M$19,ROW(출고!$C$8:$C$1013)-7),29)),"")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IFERROR(INDEX(출고!$B$8:$B$1013,SMALL(IF(출고!$C$8:$C$1013=마스터!$M$19,ROW(출고!$C$8:$C$1013)-7),30)),"")</f>
        <v/>
      </c>
      <c r="C74" s="11" t="str">
        <f t="array" ref="C74">IFERROR(INDEX(출고!$E$8:$E$1013,SMALL(IF(출고!$C$8:$C$1013=마스터!$M$19,ROW(출고!$C$8:$C$1013)-7),30)),"")</f>
        <v/>
      </c>
      <c r="D74" s="13" t="str">
        <f t="array" ref="D74">IFERROR(INDEX(출고!$F$8:$F$1013,SMALL(IF(출고!$C$8:$C$1013=마스터!$M$19,ROW(출고!$C$8:$C$1013)-7),30)),"")</f>
        <v/>
      </c>
      <c r="E74" s="50" t="str">
        <f t="array" ref="E74">IFERROR(INDEX(출고!$H$8:$H$1013,SMALL(IF(출고!$C$8:$C$1013=마스터!$M$19,ROW(출고!$C$8:$C$1013)-7),30)),"")</f>
        <v/>
      </c>
      <c r="F74" s="50" t="str">
        <f t="array" ref="F74">IFERROR(INDEX(출고!$I$8:$I$1013,SMALL(IF(출고!$C$8:$C$1013=마스터!$M$19,ROW(출고!$C$8:$C$1013)-7),30)),"")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 t="str">
        <f t="shared" ref="A78:A107" si="4">IF(B78="","",ROW()-77)</f>
        <v/>
      </c>
      <c r="B78" s="6" t="str">
        <f t="array" ref="B78">IFERROR(INDEX(입고!$E$8:$E$1013,SMALL(IF((입고!$C$8:$C$1013=마스터!$M$19)*(입고!$AC$8:$AC$1013=1),ROW(입고!$C$8:$C$1013)-7),1)),"")</f>
        <v/>
      </c>
      <c r="C78" s="8" t="str">
        <f>IF(B78="","",SUMIFS(입고!$F$8:$F$1013,입고!$C$8:$C$1013,마스터!$M$19,입고!$E$8:$E$1013,B78))</f>
        <v/>
      </c>
      <c r="D78" s="8" t="str">
        <f>IF(B78="","",SUMIFS(출고!$F$8:$F$1013,출고!$C$8:$C$1013,마스터!$M$19,출고!$E$8:$E$1013,B78))</f>
        <v/>
      </c>
      <c r="E78" s="40" t="str">
        <f t="shared" ref="E78:E107" si="5">IF(B78="","",C78-D78)</f>
        <v/>
      </c>
    </row>
    <row r="79" spans="1:7" ht="15" customHeight="1" x14ac:dyDescent="0.25">
      <c r="A79" s="11" t="str">
        <f t="shared" si="4"/>
        <v/>
      </c>
      <c r="B79" s="11" t="str">
        <f t="array" ref="B79">IFERROR(INDEX(입고!$E$8:$E$1013,SMALL(IF((입고!$C$8:$C$1013=마스터!$M$19)*(입고!$AC$8:$AC$1013=1),ROW(입고!$C$8:$C$1013)-7),2)),"")</f>
        <v/>
      </c>
      <c r="C79" s="13" t="str">
        <f>IF(B79="","",SUMIFS(입고!$F$8:$F$1013,입고!$C$8:$C$1013,마스터!$M$19,입고!$E$8:$E$1013,B79))</f>
        <v/>
      </c>
      <c r="D79" s="13" t="str">
        <f>IF(B79="","",SUMIFS(출고!$F$8:$F$1013,출고!$C$8:$C$1013,마스터!$M$19,출고!$E$8:$E$1013,B79))</f>
        <v/>
      </c>
      <c r="E79" s="41" t="str">
        <f t="shared" si="5"/>
        <v/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IFERROR(INDEX(입고!$E$8:$E$1013,SMALL(IF((입고!$C$8:$C$1013=마스터!$M$19)*(입고!$AC$8:$AC$1013=1),ROW(입고!$C$8:$C$1013)-7),3)),"")</f>
        <v/>
      </c>
      <c r="C80" s="8" t="str">
        <f>IF(B80="","",SUMIFS(입고!$F$8:$F$1013,입고!$C$8:$C$1013,마스터!$M$19,입고!$E$8:$E$1013,B80))</f>
        <v/>
      </c>
      <c r="D80" s="8" t="str">
        <f>IF(B80="","",SUMIFS(출고!$F$8:$F$1013,출고!$C$8:$C$1013,마스터!$M$19,출고!$E$8:$E$1013,B80))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IFERROR(INDEX(입고!$E$8:$E$1013,SMALL(IF((입고!$C$8:$C$1013=마스터!$M$19)*(입고!$AC$8:$AC$1013=1),ROW(입고!$C$8:$C$1013)-7),4)),"")</f>
        <v/>
      </c>
      <c r="C81" s="13" t="str">
        <f>IF(B81="","",SUMIFS(입고!$F$8:$F$1013,입고!$C$8:$C$1013,마스터!$M$19,입고!$E$8:$E$1013,B81))</f>
        <v/>
      </c>
      <c r="D81" s="13" t="str">
        <f>IF(B81="","",SUMIFS(출고!$F$8:$F$1013,출고!$C$8:$C$1013,마스터!$M$19,출고!$E$8:$E$1013,B81))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IFERROR(INDEX(입고!$E$8:$E$1013,SMALL(IF((입고!$C$8:$C$1013=마스터!$M$19)*(입고!$AC$8:$AC$1013=1),ROW(입고!$C$8:$C$1013)-7),5)),"")</f>
        <v/>
      </c>
      <c r="C82" s="8" t="str">
        <f>IF(B82="","",SUMIFS(입고!$F$8:$F$1013,입고!$C$8:$C$1013,마스터!$M$19,입고!$E$8:$E$1013,B82))</f>
        <v/>
      </c>
      <c r="D82" s="8" t="str">
        <f>IF(B82="","",SUMIFS(출고!$F$8:$F$1013,출고!$C$8:$C$1013,마스터!$M$19,출고!$E$8:$E$1013,B82))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IFERROR(INDEX(입고!$E$8:$E$1013,SMALL(IF((입고!$C$8:$C$1013=마스터!$M$19)*(입고!$AC$8:$AC$1013=1),ROW(입고!$C$8:$C$1013)-7),6)),"")</f>
        <v/>
      </c>
      <c r="C83" s="13" t="str">
        <f>IF(B83="","",SUMIFS(입고!$F$8:$F$1013,입고!$C$8:$C$1013,마스터!$M$19,입고!$E$8:$E$1013,B83))</f>
        <v/>
      </c>
      <c r="D83" s="13" t="str">
        <f>IF(B83="","",SUMIFS(출고!$F$8:$F$1013,출고!$C$8:$C$1013,마스터!$M$19,출고!$E$8:$E$1013,B83))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IFERROR(INDEX(입고!$E$8:$E$1013,SMALL(IF((입고!$C$8:$C$1013=마스터!$M$19)*(입고!$AC$8:$AC$1013=1),ROW(입고!$C$8:$C$1013)-7),7)),"")</f>
        <v/>
      </c>
      <c r="C84" s="8" t="str">
        <f>IF(B84="","",SUMIFS(입고!$F$8:$F$1013,입고!$C$8:$C$1013,마스터!$M$19,입고!$E$8:$E$1013,B84))</f>
        <v/>
      </c>
      <c r="D84" s="8" t="str">
        <f>IF(B84="","",SUMIFS(출고!$F$8:$F$1013,출고!$C$8:$C$1013,마스터!$M$19,출고!$E$8:$E$1013,B84))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IFERROR(INDEX(입고!$E$8:$E$1013,SMALL(IF((입고!$C$8:$C$1013=마스터!$M$19)*(입고!$AC$8:$AC$1013=1),ROW(입고!$C$8:$C$1013)-7),8)),"")</f>
        <v/>
      </c>
      <c r="C85" s="13" t="str">
        <f>IF(B85="","",SUMIFS(입고!$F$8:$F$1013,입고!$C$8:$C$1013,마스터!$M$19,입고!$E$8:$E$1013,B85))</f>
        <v/>
      </c>
      <c r="D85" s="13" t="str">
        <f>IF(B85="","",SUMIFS(출고!$F$8:$F$1013,출고!$C$8:$C$1013,마스터!$M$19,출고!$E$8:$E$1013,B85))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IFERROR(INDEX(입고!$E$8:$E$1013,SMALL(IF((입고!$C$8:$C$1013=마스터!$M$19)*(입고!$AC$8:$AC$1013=1),ROW(입고!$C$8:$C$1013)-7),9)),"")</f>
        <v/>
      </c>
      <c r="C86" s="8" t="str">
        <f>IF(B86="","",SUMIFS(입고!$F$8:$F$1013,입고!$C$8:$C$1013,마스터!$M$19,입고!$E$8:$E$1013,B86))</f>
        <v/>
      </c>
      <c r="D86" s="8" t="str">
        <f>IF(B86="","",SUMIFS(출고!$F$8:$F$1013,출고!$C$8:$C$1013,마스터!$M$19,출고!$E$8:$E$1013,B86))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IFERROR(INDEX(입고!$E$8:$E$1013,SMALL(IF((입고!$C$8:$C$1013=마스터!$M$19)*(입고!$AC$8:$AC$1013=1),ROW(입고!$C$8:$C$1013)-7),10)),"")</f>
        <v/>
      </c>
      <c r="C87" s="13" t="str">
        <f>IF(B87="","",SUMIFS(입고!$F$8:$F$1013,입고!$C$8:$C$1013,마스터!$M$19,입고!$E$8:$E$1013,B87))</f>
        <v/>
      </c>
      <c r="D87" s="13" t="str">
        <f>IF(B87="","",SUMIFS(출고!$F$8:$F$1013,출고!$C$8:$C$1013,마스터!$M$19,출고!$E$8:$E$1013,B87))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IFERROR(INDEX(입고!$E$8:$E$1013,SMALL(IF((입고!$C$8:$C$1013=마스터!$M$19)*(입고!$AC$8:$AC$1013=1),ROW(입고!$C$8:$C$1013)-7),11)),"")</f>
        <v/>
      </c>
      <c r="C88" s="8" t="str">
        <f>IF(B88="","",SUMIFS(입고!$F$8:$F$1013,입고!$C$8:$C$1013,마스터!$M$19,입고!$E$8:$E$1013,B88))</f>
        <v/>
      </c>
      <c r="D88" s="8" t="str">
        <f>IF(B88="","",SUMIFS(출고!$F$8:$F$1013,출고!$C$8:$C$1013,마스터!$M$19,출고!$E$8:$E$1013,B88))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IFERROR(INDEX(입고!$E$8:$E$1013,SMALL(IF((입고!$C$8:$C$1013=마스터!$M$19)*(입고!$AC$8:$AC$1013=1),ROW(입고!$C$8:$C$1013)-7),12)),"")</f>
        <v/>
      </c>
      <c r="C89" s="13" t="str">
        <f>IF(B89="","",SUMIFS(입고!$F$8:$F$1013,입고!$C$8:$C$1013,마스터!$M$19,입고!$E$8:$E$1013,B89))</f>
        <v/>
      </c>
      <c r="D89" s="13" t="str">
        <f>IF(B89="","",SUMIFS(출고!$F$8:$F$1013,출고!$C$8:$C$1013,마스터!$M$19,출고!$E$8:$E$1013,B89))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IFERROR(INDEX(입고!$E$8:$E$1013,SMALL(IF((입고!$C$8:$C$1013=마스터!$M$19)*(입고!$AC$8:$AC$1013=1),ROW(입고!$C$8:$C$1013)-7),13)),"")</f>
        <v/>
      </c>
      <c r="C90" s="8" t="str">
        <f>IF(B90="","",SUMIFS(입고!$F$8:$F$1013,입고!$C$8:$C$1013,마스터!$M$19,입고!$E$8:$E$1013,B90))</f>
        <v/>
      </c>
      <c r="D90" s="8" t="str">
        <f>IF(B90="","",SUMIFS(출고!$F$8:$F$1013,출고!$C$8:$C$1013,마스터!$M$19,출고!$E$8:$E$1013,B90))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IFERROR(INDEX(입고!$E$8:$E$1013,SMALL(IF((입고!$C$8:$C$1013=마스터!$M$19)*(입고!$AC$8:$AC$1013=1),ROW(입고!$C$8:$C$1013)-7),14)),"")</f>
        <v/>
      </c>
      <c r="C91" s="13" t="str">
        <f>IF(B91="","",SUMIFS(입고!$F$8:$F$1013,입고!$C$8:$C$1013,마스터!$M$19,입고!$E$8:$E$1013,B91))</f>
        <v/>
      </c>
      <c r="D91" s="13" t="str">
        <f>IF(B91="","",SUMIFS(출고!$F$8:$F$1013,출고!$C$8:$C$1013,마스터!$M$19,출고!$E$8:$E$1013,B91))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IFERROR(INDEX(입고!$E$8:$E$1013,SMALL(IF((입고!$C$8:$C$1013=마스터!$M$19)*(입고!$AC$8:$AC$1013=1),ROW(입고!$C$8:$C$1013)-7),15)),"")</f>
        <v/>
      </c>
      <c r="C92" s="8" t="str">
        <f>IF(B92="","",SUMIFS(입고!$F$8:$F$1013,입고!$C$8:$C$1013,마스터!$M$19,입고!$E$8:$E$1013,B92))</f>
        <v/>
      </c>
      <c r="D92" s="8" t="str">
        <f>IF(B92="","",SUMIFS(출고!$F$8:$F$1013,출고!$C$8:$C$1013,마스터!$M$19,출고!$E$8:$E$1013,B92))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IFERROR(INDEX(입고!$E$8:$E$1013,SMALL(IF((입고!$C$8:$C$1013=마스터!$M$19)*(입고!$AC$8:$AC$1013=1),ROW(입고!$C$8:$C$1013)-7),16)),"")</f>
        <v/>
      </c>
      <c r="C93" s="13" t="str">
        <f>IF(B93="","",SUMIFS(입고!$F$8:$F$1013,입고!$C$8:$C$1013,마스터!$M$19,입고!$E$8:$E$1013,B93))</f>
        <v/>
      </c>
      <c r="D93" s="13" t="str">
        <f>IF(B93="","",SUMIFS(출고!$F$8:$F$1013,출고!$C$8:$C$1013,마스터!$M$19,출고!$E$8:$E$1013,B93))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IFERROR(INDEX(입고!$E$8:$E$1013,SMALL(IF((입고!$C$8:$C$1013=마스터!$M$19)*(입고!$AC$8:$AC$1013=1),ROW(입고!$C$8:$C$1013)-7),17)),"")</f>
        <v/>
      </c>
      <c r="C94" s="8" t="str">
        <f>IF(B94="","",SUMIFS(입고!$F$8:$F$1013,입고!$C$8:$C$1013,마스터!$M$19,입고!$E$8:$E$1013,B94))</f>
        <v/>
      </c>
      <c r="D94" s="8" t="str">
        <f>IF(B94="","",SUMIFS(출고!$F$8:$F$1013,출고!$C$8:$C$1013,마스터!$M$19,출고!$E$8:$E$1013,B94))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IFERROR(INDEX(입고!$E$8:$E$1013,SMALL(IF((입고!$C$8:$C$1013=마스터!$M$19)*(입고!$AC$8:$AC$1013=1),ROW(입고!$C$8:$C$1013)-7),18)),"")</f>
        <v/>
      </c>
      <c r="C95" s="13" t="str">
        <f>IF(B95="","",SUMIFS(입고!$F$8:$F$1013,입고!$C$8:$C$1013,마스터!$M$19,입고!$E$8:$E$1013,B95))</f>
        <v/>
      </c>
      <c r="D95" s="13" t="str">
        <f>IF(B95="","",SUMIFS(출고!$F$8:$F$1013,출고!$C$8:$C$1013,마스터!$M$19,출고!$E$8:$E$1013,B95))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IFERROR(INDEX(입고!$E$8:$E$1013,SMALL(IF((입고!$C$8:$C$1013=마스터!$M$19)*(입고!$AC$8:$AC$1013=1),ROW(입고!$C$8:$C$1013)-7),19)),"")</f>
        <v/>
      </c>
      <c r="C96" s="8" t="str">
        <f>IF(B96="","",SUMIFS(입고!$F$8:$F$1013,입고!$C$8:$C$1013,마스터!$M$19,입고!$E$8:$E$1013,B96))</f>
        <v/>
      </c>
      <c r="D96" s="8" t="str">
        <f>IF(B96="","",SUMIFS(출고!$F$8:$F$1013,출고!$C$8:$C$1013,마스터!$M$19,출고!$E$8:$E$1013,B96))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IFERROR(INDEX(입고!$E$8:$E$1013,SMALL(IF((입고!$C$8:$C$1013=마스터!$M$19)*(입고!$AC$8:$AC$1013=1),ROW(입고!$C$8:$C$1013)-7),20)),"")</f>
        <v/>
      </c>
      <c r="C97" s="13" t="str">
        <f>IF(B97="","",SUMIFS(입고!$F$8:$F$1013,입고!$C$8:$C$1013,마스터!$M$19,입고!$E$8:$E$1013,B97))</f>
        <v/>
      </c>
      <c r="D97" s="13" t="str">
        <f>IF(B97="","",SUMIFS(출고!$F$8:$F$1013,출고!$C$8:$C$1013,마스터!$M$19,출고!$E$8:$E$1013,B97))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IFERROR(INDEX(입고!$E$8:$E$1013,SMALL(IF((입고!$C$8:$C$1013=마스터!$M$19)*(입고!$AC$8:$AC$1013=1),ROW(입고!$C$8:$C$1013)-7),21)),"")</f>
        <v/>
      </c>
      <c r="C98" s="8" t="str">
        <f>IF(B98="","",SUMIFS(입고!$F$8:$F$1013,입고!$C$8:$C$1013,마스터!$M$19,입고!$E$8:$E$1013,B98))</f>
        <v/>
      </c>
      <c r="D98" s="8" t="str">
        <f>IF(B98="","",SUMIFS(출고!$F$8:$F$1013,출고!$C$8:$C$1013,마스터!$M$19,출고!$E$8:$E$1013,B98))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IFERROR(INDEX(입고!$E$8:$E$1013,SMALL(IF((입고!$C$8:$C$1013=마스터!$M$19)*(입고!$AC$8:$AC$1013=1),ROW(입고!$C$8:$C$1013)-7),22)),"")</f>
        <v/>
      </c>
      <c r="C99" s="13" t="str">
        <f>IF(B99="","",SUMIFS(입고!$F$8:$F$1013,입고!$C$8:$C$1013,마스터!$M$19,입고!$E$8:$E$1013,B99))</f>
        <v/>
      </c>
      <c r="D99" s="13" t="str">
        <f>IF(B99="","",SUMIFS(출고!$F$8:$F$1013,출고!$C$8:$C$1013,마스터!$M$19,출고!$E$8:$E$1013,B99))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IFERROR(INDEX(입고!$E$8:$E$1013,SMALL(IF((입고!$C$8:$C$1013=마스터!$M$19)*(입고!$AC$8:$AC$1013=1),ROW(입고!$C$8:$C$1013)-7),23)),"")</f>
        <v/>
      </c>
      <c r="C100" s="8" t="str">
        <f>IF(B100="","",SUMIFS(입고!$F$8:$F$1013,입고!$C$8:$C$1013,마스터!$M$19,입고!$E$8:$E$1013,B100))</f>
        <v/>
      </c>
      <c r="D100" s="8" t="str">
        <f>IF(B100="","",SUMIFS(출고!$F$8:$F$1013,출고!$C$8:$C$1013,마스터!$M$19,출고!$E$8:$E$1013,B100))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IFERROR(INDEX(입고!$E$8:$E$1013,SMALL(IF((입고!$C$8:$C$1013=마스터!$M$19)*(입고!$AC$8:$AC$1013=1),ROW(입고!$C$8:$C$1013)-7),24)),"")</f>
        <v/>
      </c>
      <c r="C101" s="13" t="str">
        <f>IF(B101="","",SUMIFS(입고!$F$8:$F$1013,입고!$C$8:$C$1013,마스터!$M$19,입고!$E$8:$E$1013,B101))</f>
        <v/>
      </c>
      <c r="D101" s="13" t="str">
        <f>IF(B101="","",SUMIFS(출고!$F$8:$F$1013,출고!$C$8:$C$1013,마스터!$M$19,출고!$E$8:$E$1013,B101))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IFERROR(INDEX(입고!$E$8:$E$1013,SMALL(IF((입고!$C$8:$C$1013=마스터!$M$19)*(입고!$AC$8:$AC$1013=1),ROW(입고!$C$8:$C$1013)-7),25)),"")</f>
        <v/>
      </c>
      <c r="C102" s="8" t="str">
        <f>IF(B102="","",SUMIFS(입고!$F$8:$F$1013,입고!$C$8:$C$1013,마스터!$M$19,입고!$E$8:$E$1013,B102))</f>
        <v/>
      </c>
      <c r="D102" s="8" t="str">
        <f>IF(B102="","",SUMIFS(출고!$F$8:$F$1013,출고!$C$8:$C$1013,마스터!$M$19,출고!$E$8:$E$1013,B102))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IFERROR(INDEX(입고!$E$8:$E$1013,SMALL(IF((입고!$C$8:$C$1013=마스터!$M$19)*(입고!$AC$8:$AC$1013=1),ROW(입고!$C$8:$C$1013)-7),26)),"")</f>
        <v/>
      </c>
      <c r="C103" s="13" t="str">
        <f>IF(B103="","",SUMIFS(입고!$F$8:$F$1013,입고!$C$8:$C$1013,마스터!$M$19,입고!$E$8:$E$1013,B103))</f>
        <v/>
      </c>
      <c r="D103" s="13" t="str">
        <f>IF(B103="","",SUMIFS(출고!$F$8:$F$1013,출고!$C$8:$C$1013,마스터!$M$19,출고!$E$8:$E$1013,B103))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IFERROR(INDEX(입고!$E$8:$E$1013,SMALL(IF((입고!$C$8:$C$1013=마스터!$M$19)*(입고!$AC$8:$AC$1013=1),ROW(입고!$C$8:$C$1013)-7),27)),"")</f>
        <v/>
      </c>
      <c r="C104" s="8" t="str">
        <f>IF(B104="","",SUMIFS(입고!$F$8:$F$1013,입고!$C$8:$C$1013,마스터!$M$19,입고!$E$8:$E$1013,B104))</f>
        <v/>
      </c>
      <c r="D104" s="8" t="str">
        <f>IF(B104="","",SUMIFS(출고!$F$8:$F$1013,출고!$C$8:$C$1013,마스터!$M$19,출고!$E$8:$E$1013,B104))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IFERROR(INDEX(입고!$E$8:$E$1013,SMALL(IF((입고!$C$8:$C$1013=마스터!$M$19)*(입고!$AC$8:$AC$1013=1),ROW(입고!$C$8:$C$1013)-7),28)),"")</f>
        <v/>
      </c>
      <c r="C105" s="13" t="str">
        <f>IF(B105="","",SUMIFS(입고!$F$8:$F$1013,입고!$C$8:$C$1013,마스터!$M$19,입고!$E$8:$E$1013,B105))</f>
        <v/>
      </c>
      <c r="D105" s="13" t="str">
        <f>IF(B105="","",SUMIFS(출고!$F$8:$F$1013,출고!$C$8:$C$1013,마스터!$M$19,출고!$E$8:$E$1013,B105))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IFERROR(INDEX(입고!$E$8:$E$1013,SMALL(IF((입고!$C$8:$C$1013=마스터!$M$19)*(입고!$AC$8:$AC$1013=1),ROW(입고!$C$8:$C$1013)-7),29)),"")</f>
        <v/>
      </c>
      <c r="C106" s="8" t="str">
        <f>IF(B106="","",SUMIFS(입고!$F$8:$F$1013,입고!$C$8:$C$1013,마스터!$M$19,입고!$E$8:$E$1013,B106))</f>
        <v/>
      </c>
      <c r="D106" s="8" t="str">
        <f>IF(B106="","",SUMIFS(출고!$F$8:$F$1013,출고!$C$8:$C$1013,마스터!$M$19,출고!$E$8:$E$1013,B106))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IFERROR(INDEX(입고!$E$8:$E$1013,SMALL(IF((입고!$C$8:$C$1013=마스터!$M$19)*(입고!$AC$8:$AC$1013=1),ROW(입고!$C$8:$C$1013)-7),30)),"")</f>
        <v/>
      </c>
      <c r="C107" s="13" t="str">
        <f>IF(B107="","",SUMIFS(입고!$F$8:$F$1013,입고!$C$8:$C$1013,마스터!$M$19,입고!$E$8:$E$1013,B107))</f>
        <v/>
      </c>
      <c r="D107" s="13" t="str">
        <f>IF(B107="","",SUMIFS(출고!$F$8:$F$1013,출고!$C$8:$C$1013,마스터!$M$19,출고!$E$8:$E$1013,B107))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1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3" customWidth="1"/>
    <col min="3" max="3" width="16" customWidth="1"/>
    <col min="4" max="4" width="9" customWidth="1"/>
    <col min="5" max="5" width="14" customWidth="1"/>
    <col min="6" max="6" width="18" customWidth="1"/>
    <col min="7" max="7" width="12" customWidth="1"/>
    <col min="8" max="8" width="4" customWidth="1"/>
    <col min="9" max="9" width="11" customWidth="1"/>
  </cols>
  <sheetData>
    <row r="1" spans="1:9" ht="30" customHeight="1" x14ac:dyDescent="0.25">
      <c r="A1" s="72" t="str">
        <f>CONCATENATE("[17] ", 마스터!D20, "  |  ", 마스터!F20)</f>
        <v>[17] 세라믹울 128K 수입  |  25T × 200W × 7400L</v>
      </c>
      <c r="B1" s="72"/>
      <c r="C1" s="72"/>
      <c r="D1" s="72"/>
      <c r="E1" s="72"/>
      <c r="F1" s="72"/>
      <c r="G1" s="72"/>
      <c r="H1" s="72"/>
      <c r="I1" s="72"/>
    </row>
    <row r="2" spans="1:9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9" ht="15" customHeight="1" x14ac:dyDescent="0.25">
      <c r="I3" s="51" t="str">
        <f>HYPERLINK("#인덱스!A1","◀ 인덱스")</f>
        <v>◀ 인덱스</v>
      </c>
    </row>
    <row r="4" spans="1:9" ht="23.25" customHeight="1" x14ac:dyDescent="0.25">
      <c r="A4" s="1" t="s">
        <v>6</v>
      </c>
      <c r="B4" s="52" t="str">
        <f>마스터!D20</f>
        <v>세라믹울 128K 수입</v>
      </c>
      <c r="D4" s="1" t="s">
        <v>11</v>
      </c>
      <c r="E4" s="53">
        <f>SUMIFS(입고!$F$8:$F$1013,입고!$C$8:$C$1013,마스터!$M$20)</f>
        <v>318</v>
      </c>
    </row>
    <row r="5" spans="1:9" ht="15" customHeight="1" x14ac:dyDescent="0.25">
      <c r="A5" s="1" t="s">
        <v>7</v>
      </c>
      <c r="B5" s="52" t="str">
        <f>마스터!E20</f>
        <v>252007400</v>
      </c>
      <c r="D5" s="1" t="s">
        <v>12</v>
      </c>
      <c r="E5" s="53">
        <f>SUMIFS(출고!$F$8:$F$1013,출고!$C$8:$C$1013,마스터!$M$20)</f>
        <v>79</v>
      </c>
    </row>
    <row r="6" spans="1:9" ht="23.25" customHeight="1" x14ac:dyDescent="0.25">
      <c r="A6" s="1" t="s">
        <v>26</v>
      </c>
      <c r="B6" s="52" t="str">
        <f>마스터!F20</f>
        <v>25T × 200W × 7400L</v>
      </c>
      <c r="D6" s="1" t="s">
        <v>121</v>
      </c>
      <c r="E6" s="53">
        <f>E5</f>
        <v>79</v>
      </c>
    </row>
    <row r="7" spans="1:9" ht="34.5" customHeight="1" x14ac:dyDescent="0.25">
      <c r="A7" s="1" t="s">
        <v>122</v>
      </c>
      <c r="B7" s="52" t="str">
        <f>마스터!M20</f>
        <v>128K수입 25T × 200W × 7400L</v>
      </c>
      <c r="D7" s="1" t="s">
        <v>13</v>
      </c>
      <c r="E7" s="54">
        <f>마스터!$K$20+E4-E5</f>
        <v>239</v>
      </c>
    </row>
    <row r="8" spans="1:9" ht="15" customHeight="1" x14ac:dyDescent="0.25">
      <c r="A8" s="1" t="s">
        <v>10</v>
      </c>
      <c r="B8" s="53">
        <f>마스터!K20</f>
        <v>0</v>
      </c>
      <c r="D8" s="1" t="s">
        <v>123</v>
      </c>
      <c r="E8" s="55">
        <f t="array" ref="E8">IFERROR(MAX(MAX(IF(입고!$C$8:$C$1013=마스터!$M$20,입고!$B$8:$B$1013)),MAX(IF(출고!$C$8:$C$1013=마스터!$M$20,출고!$B$8:$B$1013))),"-")</f>
        <v>46162</v>
      </c>
    </row>
    <row r="10" spans="1:9" ht="15" customHeight="1" x14ac:dyDescent="0.25">
      <c r="A10" s="76" t="s">
        <v>124</v>
      </c>
      <c r="B10" s="76"/>
      <c r="C10" s="76"/>
      <c r="D10" s="76"/>
      <c r="E10" s="76"/>
      <c r="F10" s="76"/>
      <c r="G10" s="76"/>
    </row>
    <row r="11" spans="1:9" ht="24" customHeight="1" x14ac:dyDescent="0.25">
      <c r="A11" s="23" t="s">
        <v>5</v>
      </c>
      <c r="B11" s="24" t="s">
        <v>25</v>
      </c>
      <c r="C11" s="23" t="s">
        <v>70</v>
      </c>
      <c r="D11" s="24" t="s">
        <v>28</v>
      </c>
      <c r="E11" s="24" t="s">
        <v>29</v>
      </c>
      <c r="F11" s="24" t="s">
        <v>30</v>
      </c>
      <c r="G11" s="24" t="s">
        <v>125</v>
      </c>
    </row>
    <row r="12" spans="1:9" ht="15" customHeight="1" x14ac:dyDescent="0.25">
      <c r="A12" s="6">
        <f t="shared" ref="A12:A41" si="0">IF(B12="","",ROW()-11)</f>
        <v>1</v>
      </c>
      <c r="B12" s="56">
        <f t="array" ref="B12">IFERROR(INDEX(입고!$B$8:$B$1013,SMALL(IF(입고!$C$8:$C$1013=마스터!$M$20,ROW(입고!$C$8:$C$1013)-7),1)),"")</f>
        <v>46056</v>
      </c>
      <c r="C12" s="6" t="str">
        <f t="array" ref="C12">IFERROR(INDEX(입고!$E$8:$E$1013,SMALL(IF(입고!$C$8:$C$1013=마스터!$M$20,ROW(입고!$C$8:$C$1013)-7),1)),"")</f>
        <v>260203CW002</v>
      </c>
      <c r="D12" s="8">
        <f t="array" ref="D12">IFERROR(INDEX(입고!$F$8:$F$1013,SMALL(IF(입고!$C$8:$C$1013=마스터!$M$20,ROW(입고!$C$8:$C$1013)-7),1)),"")</f>
        <v>3</v>
      </c>
      <c r="E12" s="46" t="str">
        <f t="array" ref="E12">IFERROR(INDEX(입고!$H$8:$H$1013,SMALL(IF(입고!$C$8:$C$1013=마스터!$M$20,ROW(입고!$C$8:$C$1013)-7),1)),"")</f>
        <v>(초기재고)</v>
      </c>
      <c r="F12" s="46" t="str">
        <f t="array" ref="F12">IFERROR(INDEX(입고!$I$8:$I$1013,SMALL(IF(입고!$C$8:$C$1013=마스터!$M$20,ROW(입고!$C$8:$C$1013)-7),1)),"")</f>
        <v>2026-02-12 기준</v>
      </c>
      <c r="G12" s="57">
        <f>IF(B12="","",IFERROR(D12,0))</f>
        <v>3</v>
      </c>
    </row>
    <row r="13" spans="1:9" ht="15" customHeight="1" x14ac:dyDescent="0.25">
      <c r="A13" s="11">
        <f t="shared" si="0"/>
        <v>2</v>
      </c>
      <c r="B13" s="58">
        <f t="array" ref="B13">IFERROR(INDEX(입고!$B$8:$B$1013,SMALL(IF(입고!$C$8:$C$1013=마스터!$M$20,ROW(입고!$C$8:$C$1013)-7),2)),"")</f>
        <v>46156</v>
      </c>
      <c r="C13" s="11" t="str">
        <f t="array" ref="C13">IFERROR(INDEX(입고!$E$8:$E$1013,SMALL(IF(입고!$C$8:$C$1013=마스터!$M$20,ROW(입고!$C$8:$C$1013)-7),2)),"")</f>
        <v>260514CW002</v>
      </c>
      <c r="D13" s="13">
        <f t="array" ref="D13">IFERROR(INDEX(입고!$F$8:$F$1013,SMALL(IF(입고!$C$8:$C$1013=마스터!$M$20,ROW(입고!$C$8:$C$1013)-7),2)),"")</f>
        <v>315</v>
      </c>
      <c r="E13" s="50" t="str">
        <f t="array" ref="E13">IFERROR(INDEX(입고!$H$8:$H$1013,SMALL(IF(입고!$C$8:$C$1013=마스터!$M$20,ROW(입고!$C$8:$C$1013)-7),2)),"")</f>
        <v>(초기재고)</v>
      </c>
      <c r="F13" s="50" t="str">
        <f t="array" ref="F13">IFERROR(INDEX(입고!$I$8:$I$1013,SMALL(IF(입고!$C$8:$C$1013=마스터!$M$20,ROW(입고!$C$8:$C$1013)-7),2)),"")</f>
        <v>2026-02-12 기준</v>
      </c>
      <c r="G13" s="59">
        <f t="shared" ref="G13:G41" si="1">IF(B13="","",IFERROR(G12,0)+IFERROR(D13,0))</f>
        <v>318</v>
      </c>
    </row>
    <row r="14" spans="1:9" ht="15" customHeight="1" x14ac:dyDescent="0.25">
      <c r="A14" s="6" t="str">
        <f t="shared" si="0"/>
        <v/>
      </c>
      <c r="B14" s="56" t="str">
        <f t="array" ref="B14">IFERROR(INDEX(입고!$B$8:$B$1013,SMALL(IF(입고!$C$8:$C$1013=마스터!$M$20,ROW(입고!$C$8:$C$1013)-7),3)),"")</f>
        <v/>
      </c>
      <c r="C14" s="6" t="str">
        <f t="array" ref="C14">IFERROR(INDEX(입고!$E$8:$E$1013,SMALL(IF(입고!$C$8:$C$1013=마스터!$M$20,ROW(입고!$C$8:$C$1013)-7),3)),"")</f>
        <v/>
      </c>
      <c r="D14" s="8" t="str">
        <f t="array" ref="D14">IFERROR(INDEX(입고!$F$8:$F$1013,SMALL(IF(입고!$C$8:$C$1013=마스터!$M$20,ROW(입고!$C$8:$C$1013)-7),3)),"")</f>
        <v/>
      </c>
      <c r="E14" s="46" t="str">
        <f t="array" ref="E14">IFERROR(INDEX(입고!$H$8:$H$1013,SMALL(IF(입고!$C$8:$C$1013=마스터!$M$20,ROW(입고!$C$8:$C$1013)-7),3)),"")</f>
        <v/>
      </c>
      <c r="F14" s="46" t="str">
        <f t="array" ref="F14">IFERROR(INDEX(입고!$I$8:$I$1013,SMALL(IF(입고!$C$8:$C$1013=마스터!$M$20,ROW(입고!$C$8:$C$1013)-7),3)),"")</f>
        <v/>
      </c>
      <c r="G14" s="57" t="str">
        <f t="shared" si="1"/>
        <v/>
      </c>
    </row>
    <row r="15" spans="1:9" ht="15" customHeight="1" x14ac:dyDescent="0.25">
      <c r="A15" s="11" t="str">
        <f t="shared" si="0"/>
        <v/>
      </c>
      <c r="B15" s="58" t="str">
        <f t="array" ref="B15">IFERROR(INDEX(입고!$B$8:$B$1013,SMALL(IF(입고!$C$8:$C$1013=마스터!$M$20,ROW(입고!$C$8:$C$1013)-7),4)),"")</f>
        <v/>
      </c>
      <c r="C15" s="11" t="str">
        <f t="array" ref="C15">IFERROR(INDEX(입고!$E$8:$E$1013,SMALL(IF(입고!$C$8:$C$1013=마스터!$M$20,ROW(입고!$C$8:$C$1013)-7),4)),"")</f>
        <v/>
      </c>
      <c r="D15" s="13" t="str">
        <f t="array" ref="D15">IFERROR(INDEX(입고!$F$8:$F$1013,SMALL(IF(입고!$C$8:$C$1013=마스터!$M$20,ROW(입고!$C$8:$C$1013)-7),4)),"")</f>
        <v/>
      </c>
      <c r="E15" s="50" t="str">
        <f t="array" ref="E15">IFERROR(INDEX(입고!$H$8:$H$1013,SMALL(IF(입고!$C$8:$C$1013=마스터!$M$20,ROW(입고!$C$8:$C$1013)-7),4)),"")</f>
        <v/>
      </c>
      <c r="F15" s="50" t="str">
        <f t="array" ref="F15">IFERROR(INDEX(입고!$I$8:$I$1013,SMALL(IF(입고!$C$8:$C$1013=마스터!$M$20,ROW(입고!$C$8:$C$1013)-7),4)),"")</f>
        <v/>
      </c>
      <c r="G15" s="59" t="str">
        <f t="shared" si="1"/>
        <v/>
      </c>
    </row>
    <row r="16" spans="1:9" ht="15" customHeight="1" x14ac:dyDescent="0.25">
      <c r="A16" s="6" t="str">
        <f t="shared" si="0"/>
        <v/>
      </c>
      <c r="B16" s="56" t="str">
        <f t="array" ref="B16">IFERROR(INDEX(입고!$B$8:$B$1013,SMALL(IF(입고!$C$8:$C$1013=마스터!$M$20,ROW(입고!$C$8:$C$1013)-7),5)),"")</f>
        <v/>
      </c>
      <c r="C16" s="6" t="str">
        <f t="array" ref="C16">IFERROR(INDEX(입고!$E$8:$E$1013,SMALL(IF(입고!$C$8:$C$1013=마스터!$M$20,ROW(입고!$C$8:$C$1013)-7),5)),"")</f>
        <v/>
      </c>
      <c r="D16" s="8" t="str">
        <f t="array" ref="D16">IFERROR(INDEX(입고!$F$8:$F$1013,SMALL(IF(입고!$C$8:$C$1013=마스터!$M$20,ROW(입고!$C$8:$C$1013)-7),5)),"")</f>
        <v/>
      </c>
      <c r="E16" s="46" t="str">
        <f t="array" ref="E16">IFERROR(INDEX(입고!$H$8:$H$1013,SMALL(IF(입고!$C$8:$C$1013=마스터!$M$20,ROW(입고!$C$8:$C$1013)-7),5)),"")</f>
        <v/>
      </c>
      <c r="F16" s="46" t="str">
        <f t="array" ref="F16">IFERROR(INDEX(입고!$I$8:$I$1013,SMALL(IF(입고!$C$8:$C$1013=마스터!$M$20,ROW(입고!$C$8:$C$1013)-7),5)),"")</f>
        <v/>
      </c>
      <c r="G16" s="57" t="str">
        <f t="shared" si="1"/>
        <v/>
      </c>
    </row>
    <row r="17" spans="1:7" ht="15" customHeight="1" x14ac:dyDescent="0.25">
      <c r="A17" s="11" t="str">
        <f t="shared" si="0"/>
        <v/>
      </c>
      <c r="B17" s="58" t="str">
        <f t="array" ref="B17">IFERROR(INDEX(입고!$B$8:$B$1013,SMALL(IF(입고!$C$8:$C$1013=마스터!$M$20,ROW(입고!$C$8:$C$1013)-7),6)),"")</f>
        <v/>
      </c>
      <c r="C17" s="11" t="str">
        <f t="array" ref="C17">IFERROR(INDEX(입고!$E$8:$E$1013,SMALL(IF(입고!$C$8:$C$1013=마스터!$M$20,ROW(입고!$C$8:$C$1013)-7),6)),"")</f>
        <v/>
      </c>
      <c r="D17" s="13" t="str">
        <f t="array" ref="D17">IFERROR(INDEX(입고!$F$8:$F$1013,SMALL(IF(입고!$C$8:$C$1013=마스터!$M$20,ROW(입고!$C$8:$C$1013)-7),6)),"")</f>
        <v/>
      </c>
      <c r="E17" s="50" t="str">
        <f t="array" ref="E17">IFERROR(INDEX(입고!$H$8:$H$1013,SMALL(IF(입고!$C$8:$C$1013=마스터!$M$20,ROW(입고!$C$8:$C$1013)-7),6)),"")</f>
        <v/>
      </c>
      <c r="F17" s="50" t="str">
        <f t="array" ref="F17">IFERROR(INDEX(입고!$I$8:$I$1013,SMALL(IF(입고!$C$8:$C$1013=마스터!$M$20,ROW(입고!$C$8:$C$1013)-7),6)),"")</f>
        <v/>
      </c>
      <c r="G17" s="59" t="str">
        <f t="shared" si="1"/>
        <v/>
      </c>
    </row>
    <row r="18" spans="1:7" ht="15" customHeight="1" x14ac:dyDescent="0.25">
      <c r="A18" s="6" t="str">
        <f t="shared" si="0"/>
        <v/>
      </c>
      <c r="B18" s="56" t="str">
        <f t="array" ref="B18">IFERROR(INDEX(입고!$B$8:$B$1013,SMALL(IF(입고!$C$8:$C$1013=마스터!$M$20,ROW(입고!$C$8:$C$1013)-7),7)),"")</f>
        <v/>
      </c>
      <c r="C18" s="6" t="str">
        <f t="array" ref="C18">IFERROR(INDEX(입고!$E$8:$E$1013,SMALL(IF(입고!$C$8:$C$1013=마스터!$M$20,ROW(입고!$C$8:$C$1013)-7),7)),"")</f>
        <v/>
      </c>
      <c r="D18" s="8" t="str">
        <f t="array" ref="D18">IFERROR(INDEX(입고!$F$8:$F$1013,SMALL(IF(입고!$C$8:$C$1013=마스터!$M$20,ROW(입고!$C$8:$C$1013)-7),7)),"")</f>
        <v/>
      </c>
      <c r="E18" s="46" t="str">
        <f t="array" ref="E18">IFERROR(INDEX(입고!$H$8:$H$1013,SMALL(IF(입고!$C$8:$C$1013=마스터!$M$20,ROW(입고!$C$8:$C$1013)-7),7)),"")</f>
        <v/>
      </c>
      <c r="F18" s="46" t="str">
        <f t="array" ref="F18">IFERROR(INDEX(입고!$I$8:$I$1013,SMALL(IF(입고!$C$8:$C$1013=마스터!$M$20,ROW(입고!$C$8:$C$1013)-7),7)),"")</f>
        <v/>
      </c>
      <c r="G18" s="57" t="str">
        <f t="shared" si="1"/>
        <v/>
      </c>
    </row>
    <row r="19" spans="1:7" ht="15" customHeight="1" x14ac:dyDescent="0.25">
      <c r="A19" s="11" t="str">
        <f t="shared" si="0"/>
        <v/>
      </c>
      <c r="B19" s="58" t="str">
        <f t="array" ref="B19">IFERROR(INDEX(입고!$B$8:$B$1013,SMALL(IF(입고!$C$8:$C$1013=마스터!$M$20,ROW(입고!$C$8:$C$1013)-7),8)),"")</f>
        <v/>
      </c>
      <c r="C19" s="11" t="str">
        <f t="array" ref="C19">IFERROR(INDEX(입고!$E$8:$E$1013,SMALL(IF(입고!$C$8:$C$1013=마스터!$M$20,ROW(입고!$C$8:$C$1013)-7),8)),"")</f>
        <v/>
      </c>
      <c r="D19" s="13" t="str">
        <f t="array" ref="D19">IFERROR(INDEX(입고!$F$8:$F$1013,SMALL(IF(입고!$C$8:$C$1013=마스터!$M$20,ROW(입고!$C$8:$C$1013)-7),8)),"")</f>
        <v/>
      </c>
      <c r="E19" s="50" t="str">
        <f t="array" ref="E19">IFERROR(INDEX(입고!$H$8:$H$1013,SMALL(IF(입고!$C$8:$C$1013=마스터!$M$20,ROW(입고!$C$8:$C$1013)-7),8)),"")</f>
        <v/>
      </c>
      <c r="F19" s="50" t="str">
        <f t="array" ref="F19">IFERROR(INDEX(입고!$I$8:$I$1013,SMALL(IF(입고!$C$8:$C$1013=마스터!$M$20,ROW(입고!$C$8:$C$1013)-7),8)),"")</f>
        <v/>
      </c>
      <c r="G19" s="59" t="str">
        <f t="shared" si="1"/>
        <v/>
      </c>
    </row>
    <row r="20" spans="1:7" ht="15" customHeight="1" x14ac:dyDescent="0.25">
      <c r="A20" s="6" t="str">
        <f t="shared" si="0"/>
        <v/>
      </c>
      <c r="B20" s="56" t="str">
        <f t="array" ref="B20">IFERROR(INDEX(입고!$B$8:$B$1013,SMALL(IF(입고!$C$8:$C$1013=마스터!$M$20,ROW(입고!$C$8:$C$1013)-7),9)),"")</f>
        <v/>
      </c>
      <c r="C20" s="6" t="str">
        <f t="array" ref="C20">IFERROR(INDEX(입고!$E$8:$E$1013,SMALL(IF(입고!$C$8:$C$1013=마스터!$M$20,ROW(입고!$C$8:$C$1013)-7),9)),"")</f>
        <v/>
      </c>
      <c r="D20" s="8" t="str">
        <f t="array" ref="D20">IFERROR(INDEX(입고!$F$8:$F$1013,SMALL(IF(입고!$C$8:$C$1013=마스터!$M$20,ROW(입고!$C$8:$C$1013)-7),9)),"")</f>
        <v/>
      </c>
      <c r="E20" s="46" t="str">
        <f t="array" ref="E20">IFERROR(INDEX(입고!$H$8:$H$1013,SMALL(IF(입고!$C$8:$C$1013=마스터!$M$20,ROW(입고!$C$8:$C$1013)-7),9)),"")</f>
        <v/>
      </c>
      <c r="F20" s="46" t="str">
        <f t="array" ref="F20">IFERROR(INDEX(입고!$I$8:$I$1013,SMALL(IF(입고!$C$8:$C$1013=마스터!$M$20,ROW(입고!$C$8:$C$1013)-7),9)),"")</f>
        <v/>
      </c>
      <c r="G20" s="57" t="str">
        <f t="shared" si="1"/>
        <v/>
      </c>
    </row>
    <row r="21" spans="1:7" ht="15" customHeight="1" x14ac:dyDescent="0.25">
      <c r="A21" s="11" t="str">
        <f t="shared" si="0"/>
        <v/>
      </c>
      <c r="B21" s="58" t="str">
        <f t="array" ref="B21">IFERROR(INDEX(입고!$B$8:$B$1013,SMALL(IF(입고!$C$8:$C$1013=마스터!$M$20,ROW(입고!$C$8:$C$1013)-7),10)),"")</f>
        <v/>
      </c>
      <c r="C21" s="11" t="str">
        <f t="array" ref="C21">IFERROR(INDEX(입고!$E$8:$E$1013,SMALL(IF(입고!$C$8:$C$1013=마스터!$M$20,ROW(입고!$C$8:$C$1013)-7),10)),"")</f>
        <v/>
      </c>
      <c r="D21" s="13" t="str">
        <f t="array" ref="D21">IFERROR(INDEX(입고!$F$8:$F$1013,SMALL(IF(입고!$C$8:$C$1013=마스터!$M$20,ROW(입고!$C$8:$C$1013)-7),10)),"")</f>
        <v/>
      </c>
      <c r="E21" s="50" t="str">
        <f t="array" ref="E21">IFERROR(INDEX(입고!$H$8:$H$1013,SMALL(IF(입고!$C$8:$C$1013=마스터!$M$20,ROW(입고!$C$8:$C$1013)-7),10)),"")</f>
        <v/>
      </c>
      <c r="F21" s="50" t="str">
        <f t="array" ref="F21">IFERROR(INDEX(입고!$I$8:$I$1013,SMALL(IF(입고!$C$8:$C$1013=마스터!$M$20,ROW(입고!$C$8:$C$1013)-7),10)),"")</f>
        <v/>
      </c>
      <c r="G21" s="59" t="str">
        <f t="shared" si="1"/>
        <v/>
      </c>
    </row>
    <row r="22" spans="1:7" ht="15" customHeight="1" x14ac:dyDescent="0.25">
      <c r="A22" s="6" t="str">
        <f t="shared" si="0"/>
        <v/>
      </c>
      <c r="B22" s="56" t="str">
        <f t="array" ref="B22">IFERROR(INDEX(입고!$B$8:$B$1013,SMALL(IF(입고!$C$8:$C$1013=마스터!$M$20,ROW(입고!$C$8:$C$1013)-7),11)),"")</f>
        <v/>
      </c>
      <c r="C22" s="6" t="str">
        <f t="array" ref="C22">IFERROR(INDEX(입고!$E$8:$E$1013,SMALL(IF(입고!$C$8:$C$1013=마스터!$M$20,ROW(입고!$C$8:$C$1013)-7),11)),"")</f>
        <v/>
      </c>
      <c r="D22" s="8" t="str">
        <f t="array" ref="D22">IFERROR(INDEX(입고!$F$8:$F$1013,SMALL(IF(입고!$C$8:$C$1013=마스터!$M$20,ROW(입고!$C$8:$C$1013)-7),11)),"")</f>
        <v/>
      </c>
      <c r="E22" s="46" t="str">
        <f t="array" ref="E22">IFERROR(INDEX(입고!$H$8:$H$1013,SMALL(IF(입고!$C$8:$C$1013=마스터!$M$20,ROW(입고!$C$8:$C$1013)-7),11)),"")</f>
        <v/>
      </c>
      <c r="F22" s="46" t="str">
        <f t="array" ref="F22">IFERROR(INDEX(입고!$I$8:$I$1013,SMALL(IF(입고!$C$8:$C$1013=마스터!$M$20,ROW(입고!$C$8:$C$1013)-7),11)),"")</f>
        <v/>
      </c>
      <c r="G22" s="57" t="str">
        <f t="shared" si="1"/>
        <v/>
      </c>
    </row>
    <row r="23" spans="1:7" ht="15" customHeight="1" x14ac:dyDescent="0.25">
      <c r="A23" s="11" t="str">
        <f t="shared" si="0"/>
        <v/>
      </c>
      <c r="B23" s="58" t="str">
        <f t="array" ref="B23">IFERROR(INDEX(입고!$B$8:$B$1013,SMALL(IF(입고!$C$8:$C$1013=마스터!$M$20,ROW(입고!$C$8:$C$1013)-7),12)),"")</f>
        <v/>
      </c>
      <c r="C23" s="11" t="str">
        <f t="array" ref="C23">IFERROR(INDEX(입고!$E$8:$E$1013,SMALL(IF(입고!$C$8:$C$1013=마스터!$M$20,ROW(입고!$C$8:$C$1013)-7),12)),"")</f>
        <v/>
      </c>
      <c r="D23" s="13" t="str">
        <f t="array" ref="D23">IFERROR(INDEX(입고!$F$8:$F$1013,SMALL(IF(입고!$C$8:$C$1013=마스터!$M$20,ROW(입고!$C$8:$C$1013)-7),12)),"")</f>
        <v/>
      </c>
      <c r="E23" s="50" t="str">
        <f t="array" ref="E23">IFERROR(INDEX(입고!$H$8:$H$1013,SMALL(IF(입고!$C$8:$C$1013=마스터!$M$20,ROW(입고!$C$8:$C$1013)-7),12)),"")</f>
        <v/>
      </c>
      <c r="F23" s="50" t="str">
        <f t="array" ref="F23">IFERROR(INDEX(입고!$I$8:$I$1013,SMALL(IF(입고!$C$8:$C$1013=마스터!$M$20,ROW(입고!$C$8:$C$1013)-7),12)),"")</f>
        <v/>
      </c>
      <c r="G23" s="59" t="str">
        <f t="shared" si="1"/>
        <v/>
      </c>
    </row>
    <row r="24" spans="1:7" ht="15" customHeight="1" x14ac:dyDescent="0.25">
      <c r="A24" s="6" t="str">
        <f t="shared" si="0"/>
        <v/>
      </c>
      <c r="B24" s="56" t="str">
        <f t="array" ref="B24">IFERROR(INDEX(입고!$B$8:$B$1013,SMALL(IF(입고!$C$8:$C$1013=마스터!$M$20,ROW(입고!$C$8:$C$1013)-7),13)),"")</f>
        <v/>
      </c>
      <c r="C24" s="6" t="str">
        <f t="array" ref="C24">IFERROR(INDEX(입고!$E$8:$E$1013,SMALL(IF(입고!$C$8:$C$1013=마스터!$M$20,ROW(입고!$C$8:$C$1013)-7),13)),"")</f>
        <v/>
      </c>
      <c r="D24" s="8" t="str">
        <f t="array" ref="D24">IFERROR(INDEX(입고!$F$8:$F$1013,SMALL(IF(입고!$C$8:$C$1013=마스터!$M$20,ROW(입고!$C$8:$C$1013)-7),13)),"")</f>
        <v/>
      </c>
      <c r="E24" s="46" t="str">
        <f t="array" ref="E24">IFERROR(INDEX(입고!$H$8:$H$1013,SMALL(IF(입고!$C$8:$C$1013=마스터!$M$20,ROW(입고!$C$8:$C$1013)-7),13)),"")</f>
        <v/>
      </c>
      <c r="F24" s="46" t="str">
        <f t="array" ref="F24">IFERROR(INDEX(입고!$I$8:$I$1013,SMALL(IF(입고!$C$8:$C$1013=마스터!$M$20,ROW(입고!$C$8:$C$1013)-7),13)),"")</f>
        <v/>
      </c>
      <c r="G24" s="57" t="str">
        <f t="shared" si="1"/>
        <v/>
      </c>
    </row>
    <row r="25" spans="1:7" ht="15" customHeight="1" x14ac:dyDescent="0.25">
      <c r="A25" s="11" t="str">
        <f t="shared" si="0"/>
        <v/>
      </c>
      <c r="B25" s="58" t="str">
        <f t="array" ref="B25">IFERROR(INDEX(입고!$B$8:$B$1013,SMALL(IF(입고!$C$8:$C$1013=마스터!$M$20,ROW(입고!$C$8:$C$1013)-7),14)),"")</f>
        <v/>
      </c>
      <c r="C25" s="11" t="str">
        <f t="array" ref="C25">IFERROR(INDEX(입고!$E$8:$E$1013,SMALL(IF(입고!$C$8:$C$1013=마스터!$M$20,ROW(입고!$C$8:$C$1013)-7),14)),"")</f>
        <v/>
      </c>
      <c r="D25" s="13" t="str">
        <f t="array" ref="D25">IFERROR(INDEX(입고!$F$8:$F$1013,SMALL(IF(입고!$C$8:$C$1013=마스터!$M$20,ROW(입고!$C$8:$C$1013)-7),14)),"")</f>
        <v/>
      </c>
      <c r="E25" s="50" t="str">
        <f t="array" ref="E25">IFERROR(INDEX(입고!$H$8:$H$1013,SMALL(IF(입고!$C$8:$C$1013=마스터!$M$20,ROW(입고!$C$8:$C$1013)-7),14)),"")</f>
        <v/>
      </c>
      <c r="F25" s="50" t="str">
        <f t="array" ref="F25">IFERROR(INDEX(입고!$I$8:$I$1013,SMALL(IF(입고!$C$8:$C$1013=마스터!$M$20,ROW(입고!$C$8:$C$1013)-7),14)),"")</f>
        <v/>
      </c>
      <c r="G25" s="59" t="str">
        <f t="shared" si="1"/>
        <v/>
      </c>
    </row>
    <row r="26" spans="1:7" ht="15" customHeight="1" x14ac:dyDescent="0.25">
      <c r="A26" s="6" t="str">
        <f t="shared" si="0"/>
        <v/>
      </c>
      <c r="B26" s="56" t="str">
        <f t="array" ref="B26">IFERROR(INDEX(입고!$B$8:$B$1013,SMALL(IF(입고!$C$8:$C$1013=마스터!$M$20,ROW(입고!$C$8:$C$1013)-7),15)),"")</f>
        <v/>
      </c>
      <c r="C26" s="6" t="str">
        <f t="array" ref="C26">IFERROR(INDEX(입고!$E$8:$E$1013,SMALL(IF(입고!$C$8:$C$1013=마스터!$M$20,ROW(입고!$C$8:$C$1013)-7),15)),"")</f>
        <v/>
      </c>
      <c r="D26" s="8" t="str">
        <f t="array" ref="D26">IFERROR(INDEX(입고!$F$8:$F$1013,SMALL(IF(입고!$C$8:$C$1013=마스터!$M$20,ROW(입고!$C$8:$C$1013)-7),15)),"")</f>
        <v/>
      </c>
      <c r="E26" s="46" t="str">
        <f t="array" ref="E26">IFERROR(INDEX(입고!$H$8:$H$1013,SMALL(IF(입고!$C$8:$C$1013=마스터!$M$20,ROW(입고!$C$8:$C$1013)-7),15)),"")</f>
        <v/>
      </c>
      <c r="F26" s="46" t="str">
        <f t="array" ref="F26">IFERROR(INDEX(입고!$I$8:$I$1013,SMALL(IF(입고!$C$8:$C$1013=마스터!$M$20,ROW(입고!$C$8:$C$1013)-7),15)),"")</f>
        <v/>
      </c>
      <c r="G26" s="57" t="str">
        <f t="shared" si="1"/>
        <v/>
      </c>
    </row>
    <row r="27" spans="1:7" ht="15" customHeight="1" x14ac:dyDescent="0.25">
      <c r="A27" s="11" t="str">
        <f t="shared" si="0"/>
        <v/>
      </c>
      <c r="B27" s="58" t="str">
        <f t="array" ref="B27">IFERROR(INDEX(입고!$B$8:$B$1013,SMALL(IF(입고!$C$8:$C$1013=마스터!$M$20,ROW(입고!$C$8:$C$1013)-7),16)),"")</f>
        <v/>
      </c>
      <c r="C27" s="11" t="str">
        <f t="array" ref="C27">IFERROR(INDEX(입고!$E$8:$E$1013,SMALL(IF(입고!$C$8:$C$1013=마스터!$M$20,ROW(입고!$C$8:$C$1013)-7),16)),"")</f>
        <v/>
      </c>
      <c r="D27" s="13" t="str">
        <f t="array" ref="D27">IFERROR(INDEX(입고!$F$8:$F$1013,SMALL(IF(입고!$C$8:$C$1013=마스터!$M$20,ROW(입고!$C$8:$C$1013)-7),16)),"")</f>
        <v/>
      </c>
      <c r="E27" s="50" t="str">
        <f t="array" ref="E27">IFERROR(INDEX(입고!$H$8:$H$1013,SMALL(IF(입고!$C$8:$C$1013=마스터!$M$20,ROW(입고!$C$8:$C$1013)-7),16)),"")</f>
        <v/>
      </c>
      <c r="F27" s="50" t="str">
        <f t="array" ref="F27">IFERROR(INDEX(입고!$I$8:$I$1013,SMALL(IF(입고!$C$8:$C$1013=마스터!$M$20,ROW(입고!$C$8:$C$1013)-7),16)),"")</f>
        <v/>
      </c>
      <c r="G27" s="59" t="str">
        <f t="shared" si="1"/>
        <v/>
      </c>
    </row>
    <row r="28" spans="1:7" ht="15" customHeight="1" x14ac:dyDescent="0.25">
      <c r="A28" s="6" t="str">
        <f t="shared" si="0"/>
        <v/>
      </c>
      <c r="B28" s="56" t="str">
        <f t="array" ref="B28">IFERROR(INDEX(입고!$B$8:$B$1013,SMALL(IF(입고!$C$8:$C$1013=마스터!$M$20,ROW(입고!$C$8:$C$1013)-7),17)),"")</f>
        <v/>
      </c>
      <c r="C28" s="6" t="str">
        <f t="array" ref="C28">IFERROR(INDEX(입고!$E$8:$E$1013,SMALL(IF(입고!$C$8:$C$1013=마스터!$M$20,ROW(입고!$C$8:$C$1013)-7),17)),"")</f>
        <v/>
      </c>
      <c r="D28" s="8" t="str">
        <f t="array" ref="D28">IFERROR(INDEX(입고!$F$8:$F$1013,SMALL(IF(입고!$C$8:$C$1013=마스터!$M$20,ROW(입고!$C$8:$C$1013)-7),17)),"")</f>
        <v/>
      </c>
      <c r="E28" s="46" t="str">
        <f t="array" ref="E28">IFERROR(INDEX(입고!$H$8:$H$1013,SMALL(IF(입고!$C$8:$C$1013=마스터!$M$20,ROW(입고!$C$8:$C$1013)-7),17)),"")</f>
        <v/>
      </c>
      <c r="F28" s="46" t="str">
        <f t="array" ref="F28">IFERROR(INDEX(입고!$I$8:$I$1013,SMALL(IF(입고!$C$8:$C$1013=마스터!$M$20,ROW(입고!$C$8:$C$1013)-7),17)),"")</f>
        <v/>
      </c>
      <c r="G28" s="57" t="str">
        <f t="shared" si="1"/>
        <v/>
      </c>
    </row>
    <row r="29" spans="1:7" ht="15" customHeight="1" x14ac:dyDescent="0.25">
      <c r="A29" s="11" t="str">
        <f t="shared" si="0"/>
        <v/>
      </c>
      <c r="B29" s="58" t="str">
        <f t="array" ref="B29">IFERROR(INDEX(입고!$B$8:$B$1013,SMALL(IF(입고!$C$8:$C$1013=마스터!$M$20,ROW(입고!$C$8:$C$1013)-7),18)),"")</f>
        <v/>
      </c>
      <c r="C29" s="11" t="str">
        <f t="array" ref="C29">IFERROR(INDEX(입고!$E$8:$E$1013,SMALL(IF(입고!$C$8:$C$1013=마스터!$M$20,ROW(입고!$C$8:$C$1013)-7),18)),"")</f>
        <v/>
      </c>
      <c r="D29" s="13" t="str">
        <f t="array" ref="D29">IFERROR(INDEX(입고!$F$8:$F$1013,SMALL(IF(입고!$C$8:$C$1013=마스터!$M$20,ROW(입고!$C$8:$C$1013)-7),18)),"")</f>
        <v/>
      </c>
      <c r="E29" s="50" t="str">
        <f t="array" ref="E29">IFERROR(INDEX(입고!$H$8:$H$1013,SMALL(IF(입고!$C$8:$C$1013=마스터!$M$20,ROW(입고!$C$8:$C$1013)-7),18)),"")</f>
        <v/>
      </c>
      <c r="F29" s="50" t="str">
        <f t="array" ref="F29">IFERROR(INDEX(입고!$I$8:$I$1013,SMALL(IF(입고!$C$8:$C$1013=마스터!$M$20,ROW(입고!$C$8:$C$1013)-7),18)),"")</f>
        <v/>
      </c>
      <c r="G29" s="59" t="str">
        <f t="shared" si="1"/>
        <v/>
      </c>
    </row>
    <row r="30" spans="1:7" ht="15" customHeight="1" x14ac:dyDescent="0.25">
      <c r="A30" s="6" t="str">
        <f t="shared" si="0"/>
        <v/>
      </c>
      <c r="B30" s="56" t="str">
        <f t="array" ref="B30">IFERROR(INDEX(입고!$B$8:$B$1013,SMALL(IF(입고!$C$8:$C$1013=마스터!$M$20,ROW(입고!$C$8:$C$1013)-7),19)),"")</f>
        <v/>
      </c>
      <c r="C30" s="6" t="str">
        <f t="array" ref="C30">IFERROR(INDEX(입고!$E$8:$E$1013,SMALL(IF(입고!$C$8:$C$1013=마스터!$M$20,ROW(입고!$C$8:$C$1013)-7),19)),"")</f>
        <v/>
      </c>
      <c r="D30" s="8" t="str">
        <f t="array" ref="D30">IFERROR(INDEX(입고!$F$8:$F$1013,SMALL(IF(입고!$C$8:$C$1013=마스터!$M$20,ROW(입고!$C$8:$C$1013)-7),19)),"")</f>
        <v/>
      </c>
      <c r="E30" s="46" t="str">
        <f t="array" ref="E30">IFERROR(INDEX(입고!$H$8:$H$1013,SMALL(IF(입고!$C$8:$C$1013=마스터!$M$20,ROW(입고!$C$8:$C$1013)-7),19)),"")</f>
        <v/>
      </c>
      <c r="F30" s="46" t="str">
        <f t="array" ref="F30">IFERROR(INDEX(입고!$I$8:$I$1013,SMALL(IF(입고!$C$8:$C$1013=마스터!$M$20,ROW(입고!$C$8:$C$1013)-7),19)),"")</f>
        <v/>
      </c>
      <c r="G30" s="57" t="str">
        <f t="shared" si="1"/>
        <v/>
      </c>
    </row>
    <row r="31" spans="1:7" ht="15" customHeight="1" x14ac:dyDescent="0.25">
      <c r="A31" s="11" t="str">
        <f t="shared" si="0"/>
        <v/>
      </c>
      <c r="B31" s="58" t="str">
        <f t="array" ref="B31">IFERROR(INDEX(입고!$B$8:$B$1013,SMALL(IF(입고!$C$8:$C$1013=마스터!$M$20,ROW(입고!$C$8:$C$1013)-7),20)),"")</f>
        <v/>
      </c>
      <c r="C31" s="11" t="str">
        <f t="array" ref="C31">IFERROR(INDEX(입고!$E$8:$E$1013,SMALL(IF(입고!$C$8:$C$1013=마스터!$M$20,ROW(입고!$C$8:$C$1013)-7),20)),"")</f>
        <v/>
      </c>
      <c r="D31" s="13" t="str">
        <f t="array" ref="D31">IFERROR(INDEX(입고!$F$8:$F$1013,SMALL(IF(입고!$C$8:$C$1013=마스터!$M$20,ROW(입고!$C$8:$C$1013)-7),20)),"")</f>
        <v/>
      </c>
      <c r="E31" s="50" t="str">
        <f t="array" ref="E31">IFERROR(INDEX(입고!$H$8:$H$1013,SMALL(IF(입고!$C$8:$C$1013=마스터!$M$20,ROW(입고!$C$8:$C$1013)-7),20)),"")</f>
        <v/>
      </c>
      <c r="F31" s="50" t="str">
        <f t="array" ref="F31">IFERROR(INDEX(입고!$I$8:$I$1013,SMALL(IF(입고!$C$8:$C$1013=마스터!$M$20,ROW(입고!$C$8:$C$1013)-7),20)),"")</f>
        <v/>
      </c>
      <c r="G31" s="59" t="str">
        <f t="shared" si="1"/>
        <v/>
      </c>
    </row>
    <row r="32" spans="1:7" ht="15" customHeight="1" x14ac:dyDescent="0.25">
      <c r="A32" s="6" t="str">
        <f t="shared" si="0"/>
        <v/>
      </c>
      <c r="B32" s="56" t="str">
        <f t="array" ref="B32">IFERROR(INDEX(입고!$B$8:$B$1013,SMALL(IF(입고!$C$8:$C$1013=마스터!$M$20,ROW(입고!$C$8:$C$1013)-7),21)),"")</f>
        <v/>
      </c>
      <c r="C32" s="6" t="str">
        <f t="array" ref="C32">IFERROR(INDEX(입고!$E$8:$E$1013,SMALL(IF(입고!$C$8:$C$1013=마스터!$M$20,ROW(입고!$C$8:$C$1013)-7),21)),"")</f>
        <v/>
      </c>
      <c r="D32" s="8" t="str">
        <f t="array" ref="D32">IFERROR(INDEX(입고!$F$8:$F$1013,SMALL(IF(입고!$C$8:$C$1013=마스터!$M$20,ROW(입고!$C$8:$C$1013)-7),21)),"")</f>
        <v/>
      </c>
      <c r="E32" s="46" t="str">
        <f t="array" ref="E32">IFERROR(INDEX(입고!$H$8:$H$1013,SMALL(IF(입고!$C$8:$C$1013=마스터!$M$20,ROW(입고!$C$8:$C$1013)-7),21)),"")</f>
        <v/>
      </c>
      <c r="F32" s="46" t="str">
        <f t="array" ref="F32">IFERROR(INDEX(입고!$I$8:$I$1013,SMALL(IF(입고!$C$8:$C$1013=마스터!$M$20,ROW(입고!$C$8:$C$1013)-7),21)),"")</f>
        <v/>
      </c>
      <c r="G32" s="57" t="str">
        <f t="shared" si="1"/>
        <v/>
      </c>
    </row>
    <row r="33" spans="1:7" ht="15" customHeight="1" x14ac:dyDescent="0.25">
      <c r="A33" s="11" t="str">
        <f t="shared" si="0"/>
        <v/>
      </c>
      <c r="B33" s="58" t="str">
        <f t="array" ref="B33">IFERROR(INDEX(입고!$B$8:$B$1013,SMALL(IF(입고!$C$8:$C$1013=마스터!$M$20,ROW(입고!$C$8:$C$1013)-7),22)),"")</f>
        <v/>
      </c>
      <c r="C33" s="11" t="str">
        <f t="array" ref="C33">IFERROR(INDEX(입고!$E$8:$E$1013,SMALL(IF(입고!$C$8:$C$1013=마스터!$M$20,ROW(입고!$C$8:$C$1013)-7),22)),"")</f>
        <v/>
      </c>
      <c r="D33" s="13" t="str">
        <f t="array" ref="D33">IFERROR(INDEX(입고!$F$8:$F$1013,SMALL(IF(입고!$C$8:$C$1013=마스터!$M$20,ROW(입고!$C$8:$C$1013)-7),22)),"")</f>
        <v/>
      </c>
      <c r="E33" s="50" t="str">
        <f t="array" ref="E33">IFERROR(INDEX(입고!$H$8:$H$1013,SMALL(IF(입고!$C$8:$C$1013=마스터!$M$20,ROW(입고!$C$8:$C$1013)-7),22)),"")</f>
        <v/>
      </c>
      <c r="F33" s="50" t="str">
        <f t="array" ref="F33">IFERROR(INDEX(입고!$I$8:$I$1013,SMALL(IF(입고!$C$8:$C$1013=마스터!$M$20,ROW(입고!$C$8:$C$1013)-7),22)),"")</f>
        <v/>
      </c>
      <c r="G33" s="59" t="str">
        <f t="shared" si="1"/>
        <v/>
      </c>
    </row>
    <row r="34" spans="1:7" ht="15" customHeight="1" x14ac:dyDescent="0.25">
      <c r="A34" s="6" t="str">
        <f t="shared" si="0"/>
        <v/>
      </c>
      <c r="B34" s="56" t="str">
        <f t="array" ref="B34">IFERROR(INDEX(입고!$B$8:$B$1013,SMALL(IF(입고!$C$8:$C$1013=마스터!$M$20,ROW(입고!$C$8:$C$1013)-7),23)),"")</f>
        <v/>
      </c>
      <c r="C34" s="6" t="str">
        <f t="array" ref="C34">IFERROR(INDEX(입고!$E$8:$E$1013,SMALL(IF(입고!$C$8:$C$1013=마스터!$M$20,ROW(입고!$C$8:$C$1013)-7),23)),"")</f>
        <v/>
      </c>
      <c r="D34" s="8" t="str">
        <f t="array" ref="D34">IFERROR(INDEX(입고!$F$8:$F$1013,SMALL(IF(입고!$C$8:$C$1013=마스터!$M$20,ROW(입고!$C$8:$C$1013)-7),23)),"")</f>
        <v/>
      </c>
      <c r="E34" s="46" t="str">
        <f t="array" ref="E34">IFERROR(INDEX(입고!$H$8:$H$1013,SMALL(IF(입고!$C$8:$C$1013=마스터!$M$20,ROW(입고!$C$8:$C$1013)-7),23)),"")</f>
        <v/>
      </c>
      <c r="F34" s="46" t="str">
        <f t="array" ref="F34">IFERROR(INDEX(입고!$I$8:$I$1013,SMALL(IF(입고!$C$8:$C$1013=마스터!$M$20,ROW(입고!$C$8:$C$1013)-7),23)),"")</f>
        <v/>
      </c>
      <c r="G34" s="57" t="str">
        <f t="shared" si="1"/>
        <v/>
      </c>
    </row>
    <row r="35" spans="1:7" ht="15" customHeight="1" x14ac:dyDescent="0.25">
      <c r="A35" s="11" t="str">
        <f t="shared" si="0"/>
        <v/>
      </c>
      <c r="B35" s="58" t="str">
        <f t="array" ref="B35">IFERROR(INDEX(입고!$B$8:$B$1013,SMALL(IF(입고!$C$8:$C$1013=마스터!$M$20,ROW(입고!$C$8:$C$1013)-7),24)),"")</f>
        <v/>
      </c>
      <c r="C35" s="11" t="str">
        <f t="array" ref="C35">IFERROR(INDEX(입고!$E$8:$E$1013,SMALL(IF(입고!$C$8:$C$1013=마스터!$M$20,ROW(입고!$C$8:$C$1013)-7),24)),"")</f>
        <v/>
      </c>
      <c r="D35" s="13" t="str">
        <f t="array" ref="D35">IFERROR(INDEX(입고!$F$8:$F$1013,SMALL(IF(입고!$C$8:$C$1013=마스터!$M$20,ROW(입고!$C$8:$C$1013)-7),24)),"")</f>
        <v/>
      </c>
      <c r="E35" s="50" t="str">
        <f t="array" ref="E35">IFERROR(INDEX(입고!$H$8:$H$1013,SMALL(IF(입고!$C$8:$C$1013=마스터!$M$20,ROW(입고!$C$8:$C$1013)-7),24)),"")</f>
        <v/>
      </c>
      <c r="F35" s="50" t="str">
        <f t="array" ref="F35">IFERROR(INDEX(입고!$I$8:$I$1013,SMALL(IF(입고!$C$8:$C$1013=마스터!$M$20,ROW(입고!$C$8:$C$1013)-7),24)),"")</f>
        <v/>
      </c>
      <c r="G35" s="59" t="str">
        <f t="shared" si="1"/>
        <v/>
      </c>
    </row>
    <row r="36" spans="1:7" ht="15" customHeight="1" x14ac:dyDescent="0.25">
      <c r="A36" s="6" t="str">
        <f t="shared" si="0"/>
        <v/>
      </c>
      <c r="B36" s="56" t="str">
        <f t="array" ref="B36">IFERROR(INDEX(입고!$B$8:$B$1013,SMALL(IF(입고!$C$8:$C$1013=마스터!$M$20,ROW(입고!$C$8:$C$1013)-7),25)),"")</f>
        <v/>
      </c>
      <c r="C36" s="6" t="str">
        <f t="array" ref="C36">IFERROR(INDEX(입고!$E$8:$E$1013,SMALL(IF(입고!$C$8:$C$1013=마스터!$M$20,ROW(입고!$C$8:$C$1013)-7),25)),"")</f>
        <v/>
      </c>
      <c r="D36" s="8" t="str">
        <f t="array" ref="D36">IFERROR(INDEX(입고!$F$8:$F$1013,SMALL(IF(입고!$C$8:$C$1013=마스터!$M$20,ROW(입고!$C$8:$C$1013)-7),25)),"")</f>
        <v/>
      </c>
      <c r="E36" s="46" t="str">
        <f t="array" ref="E36">IFERROR(INDEX(입고!$H$8:$H$1013,SMALL(IF(입고!$C$8:$C$1013=마스터!$M$20,ROW(입고!$C$8:$C$1013)-7),25)),"")</f>
        <v/>
      </c>
      <c r="F36" s="46" t="str">
        <f t="array" ref="F36">IFERROR(INDEX(입고!$I$8:$I$1013,SMALL(IF(입고!$C$8:$C$1013=마스터!$M$20,ROW(입고!$C$8:$C$1013)-7),25)),"")</f>
        <v/>
      </c>
      <c r="G36" s="57" t="str">
        <f t="shared" si="1"/>
        <v/>
      </c>
    </row>
    <row r="37" spans="1:7" ht="15" customHeight="1" x14ac:dyDescent="0.25">
      <c r="A37" s="11" t="str">
        <f t="shared" si="0"/>
        <v/>
      </c>
      <c r="B37" s="58" t="str">
        <f t="array" ref="B37">IFERROR(INDEX(입고!$B$8:$B$1013,SMALL(IF(입고!$C$8:$C$1013=마스터!$M$20,ROW(입고!$C$8:$C$1013)-7),26)),"")</f>
        <v/>
      </c>
      <c r="C37" s="11" t="str">
        <f t="array" ref="C37">IFERROR(INDEX(입고!$E$8:$E$1013,SMALL(IF(입고!$C$8:$C$1013=마스터!$M$20,ROW(입고!$C$8:$C$1013)-7),26)),"")</f>
        <v/>
      </c>
      <c r="D37" s="13" t="str">
        <f t="array" ref="D37">IFERROR(INDEX(입고!$F$8:$F$1013,SMALL(IF(입고!$C$8:$C$1013=마스터!$M$20,ROW(입고!$C$8:$C$1013)-7),26)),"")</f>
        <v/>
      </c>
      <c r="E37" s="50" t="str">
        <f t="array" ref="E37">IFERROR(INDEX(입고!$H$8:$H$1013,SMALL(IF(입고!$C$8:$C$1013=마스터!$M$20,ROW(입고!$C$8:$C$1013)-7),26)),"")</f>
        <v/>
      </c>
      <c r="F37" s="50" t="str">
        <f t="array" ref="F37">IFERROR(INDEX(입고!$I$8:$I$1013,SMALL(IF(입고!$C$8:$C$1013=마스터!$M$20,ROW(입고!$C$8:$C$1013)-7),26)),"")</f>
        <v/>
      </c>
      <c r="G37" s="59" t="str">
        <f t="shared" si="1"/>
        <v/>
      </c>
    </row>
    <row r="38" spans="1:7" ht="15" customHeight="1" x14ac:dyDescent="0.25">
      <c r="A38" s="6" t="str">
        <f t="shared" si="0"/>
        <v/>
      </c>
      <c r="B38" s="56" t="str">
        <f t="array" ref="B38">IFERROR(INDEX(입고!$B$8:$B$1013,SMALL(IF(입고!$C$8:$C$1013=마스터!$M$20,ROW(입고!$C$8:$C$1013)-7),27)),"")</f>
        <v/>
      </c>
      <c r="C38" s="6" t="str">
        <f t="array" ref="C38">IFERROR(INDEX(입고!$E$8:$E$1013,SMALL(IF(입고!$C$8:$C$1013=마스터!$M$20,ROW(입고!$C$8:$C$1013)-7),27)),"")</f>
        <v/>
      </c>
      <c r="D38" s="8" t="str">
        <f t="array" ref="D38">IFERROR(INDEX(입고!$F$8:$F$1013,SMALL(IF(입고!$C$8:$C$1013=마스터!$M$20,ROW(입고!$C$8:$C$1013)-7),27)),"")</f>
        <v/>
      </c>
      <c r="E38" s="46" t="str">
        <f t="array" ref="E38">IFERROR(INDEX(입고!$H$8:$H$1013,SMALL(IF(입고!$C$8:$C$1013=마스터!$M$20,ROW(입고!$C$8:$C$1013)-7),27)),"")</f>
        <v/>
      </c>
      <c r="F38" s="46" t="str">
        <f t="array" ref="F38">IFERROR(INDEX(입고!$I$8:$I$1013,SMALL(IF(입고!$C$8:$C$1013=마스터!$M$20,ROW(입고!$C$8:$C$1013)-7),27)),"")</f>
        <v/>
      </c>
      <c r="G38" s="57" t="str">
        <f t="shared" si="1"/>
        <v/>
      </c>
    </row>
    <row r="39" spans="1:7" ht="15" customHeight="1" x14ac:dyDescent="0.25">
      <c r="A39" s="11" t="str">
        <f t="shared" si="0"/>
        <v/>
      </c>
      <c r="B39" s="58" t="str">
        <f t="array" ref="B39">IFERROR(INDEX(입고!$B$8:$B$1013,SMALL(IF(입고!$C$8:$C$1013=마스터!$M$20,ROW(입고!$C$8:$C$1013)-7),28)),"")</f>
        <v/>
      </c>
      <c r="C39" s="11" t="str">
        <f t="array" ref="C39">IFERROR(INDEX(입고!$E$8:$E$1013,SMALL(IF(입고!$C$8:$C$1013=마스터!$M$20,ROW(입고!$C$8:$C$1013)-7),28)),"")</f>
        <v/>
      </c>
      <c r="D39" s="13" t="str">
        <f t="array" ref="D39">IFERROR(INDEX(입고!$F$8:$F$1013,SMALL(IF(입고!$C$8:$C$1013=마스터!$M$20,ROW(입고!$C$8:$C$1013)-7),28)),"")</f>
        <v/>
      </c>
      <c r="E39" s="50" t="str">
        <f t="array" ref="E39">IFERROR(INDEX(입고!$H$8:$H$1013,SMALL(IF(입고!$C$8:$C$1013=마스터!$M$20,ROW(입고!$C$8:$C$1013)-7),28)),"")</f>
        <v/>
      </c>
      <c r="F39" s="50" t="str">
        <f t="array" ref="F39">IFERROR(INDEX(입고!$I$8:$I$1013,SMALL(IF(입고!$C$8:$C$1013=마스터!$M$20,ROW(입고!$C$8:$C$1013)-7),28)),"")</f>
        <v/>
      </c>
      <c r="G39" s="59" t="str">
        <f t="shared" si="1"/>
        <v/>
      </c>
    </row>
    <row r="40" spans="1:7" ht="15" customHeight="1" x14ac:dyDescent="0.25">
      <c r="A40" s="6" t="str">
        <f t="shared" si="0"/>
        <v/>
      </c>
      <c r="B40" s="56" t="str">
        <f t="array" ref="B40">IFERROR(INDEX(입고!$B$8:$B$1013,SMALL(IF(입고!$C$8:$C$1013=마스터!$M$20,ROW(입고!$C$8:$C$1013)-7),29)),"")</f>
        <v/>
      </c>
      <c r="C40" s="6" t="str">
        <f t="array" ref="C40">IFERROR(INDEX(입고!$E$8:$E$1013,SMALL(IF(입고!$C$8:$C$1013=마스터!$M$20,ROW(입고!$C$8:$C$1013)-7),29)),"")</f>
        <v/>
      </c>
      <c r="D40" s="8" t="str">
        <f t="array" ref="D40">IFERROR(INDEX(입고!$F$8:$F$1013,SMALL(IF(입고!$C$8:$C$1013=마스터!$M$20,ROW(입고!$C$8:$C$1013)-7),29)),"")</f>
        <v/>
      </c>
      <c r="E40" s="46" t="str">
        <f t="array" ref="E40">IFERROR(INDEX(입고!$H$8:$H$1013,SMALL(IF(입고!$C$8:$C$1013=마스터!$M$20,ROW(입고!$C$8:$C$1013)-7),29)),"")</f>
        <v/>
      </c>
      <c r="F40" s="46" t="str">
        <f t="array" ref="F40">IFERROR(INDEX(입고!$I$8:$I$1013,SMALL(IF(입고!$C$8:$C$1013=마스터!$M$20,ROW(입고!$C$8:$C$1013)-7),29)),"")</f>
        <v/>
      </c>
      <c r="G40" s="57" t="str">
        <f t="shared" si="1"/>
        <v/>
      </c>
    </row>
    <row r="41" spans="1:7" ht="15" customHeight="1" x14ac:dyDescent="0.25">
      <c r="A41" s="11" t="str">
        <f t="shared" si="0"/>
        <v/>
      </c>
      <c r="B41" s="58" t="str">
        <f t="array" ref="B41">IFERROR(INDEX(입고!$B$8:$B$1013,SMALL(IF(입고!$C$8:$C$1013=마스터!$M$20,ROW(입고!$C$8:$C$1013)-7),30)),"")</f>
        <v/>
      </c>
      <c r="C41" s="11" t="str">
        <f t="array" ref="C41">IFERROR(INDEX(입고!$E$8:$E$1013,SMALL(IF(입고!$C$8:$C$1013=마스터!$M$20,ROW(입고!$C$8:$C$1013)-7),30)),"")</f>
        <v/>
      </c>
      <c r="D41" s="13" t="str">
        <f t="array" ref="D41">IFERROR(INDEX(입고!$F$8:$F$1013,SMALL(IF(입고!$C$8:$C$1013=마스터!$M$20,ROW(입고!$C$8:$C$1013)-7),30)),"")</f>
        <v/>
      </c>
      <c r="E41" s="50" t="str">
        <f t="array" ref="E41">IFERROR(INDEX(입고!$H$8:$H$1013,SMALL(IF(입고!$C$8:$C$1013=마스터!$M$20,ROW(입고!$C$8:$C$1013)-7),30)),"")</f>
        <v/>
      </c>
      <c r="F41" s="50" t="str">
        <f t="array" ref="F41">IFERROR(INDEX(입고!$I$8:$I$1013,SMALL(IF(입고!$C$8:$C$1013=마스터!$M$20,ROW(입고!$C$8:$C$1013)-7),30)),"")</f>
        <v/>
      </c>
      <c r="G41" s="59" t="str">
        <f t="shared" si="1"/>
        <v/>
      </c>
    </row>
    <row r="43" spans="1:7" ht="15" customHeight="1" x14ac:dyDescent="0.25">
      <c r="A43" s="77" t="s">
        <v>126</v>
      </c>
      <c r="B43" s="77"/>
      <c r="C43" s="77"/>
      <c r="D43" s="77"/>
      <c r="E43" s="77"/>
      <c r="F43" s="77"/>
      <c r="G43" s="77"/>
    </row>
    <row r="44" spans="1:7" ht="24" customHeight="1" x14ac:dyDescent="0.25">
      <c r="A44" s="33" t="s">
        <v>5</v>
      </c>
      <c r="B44" s="34" t="s">
        <v>25</v>
      </c>
      <c r="C44" s="33" t="s">
        <v>70</v>
      </c>
      <c r="D44" s="34" t="s">
        <v>28</v>
      </c>
      <c r="E44" s="34" t="s">
        <v>64</v>
      </c>
      <c r="F44" s="34" t="s">
        <v>30</v>
      </c>
      <c r="G44" s="34" t="s">
        <v>127</v>
      </c>
    </row>
    <row r="45" spans="1:7" ht="15" customHeight="1" x14ac:dyDescent="0.25">
      <c r="A45" s="6">
        <f t="shared" ref="A45:A74" si="2">IF(B45="","",ROW()-44)</f>
        <v>1</v>
      </c>
      <c r="B45" s="56">
        <f t="array" ref="B45">IFERROR(INDEX(출고!$B$8:$B$1013,SMALL(IF(출고!$C$8:$C$1013=마스터!$M$20,ROW(출고!$C$8:$C$1013)-7),1)),"")</f>
        <v>46160</v>
      </c>
      <c r="C45" s="6" t="str">
        <f t="array" ref="C45">IFERROR(INDEX(출고!$E$8:$E$1013,SMALL(IF(출고!$C$8:$C$1013=마스터!$M$20,ROW(출고!$C$8:$C$1013)-7),1)),"")</f>
        <v>260203CW002</v>
      </c>
      <c r="D45" s="8">
        <f t="array" ref="D45">IFERROR(INDEX(출고!$F$8:$F$1013,SMALL(IF(출고!$C$8:$C$1013=마스터!$M$20,ROW(출고!$C$8:$C$1013)-7),1)),"")</f>
        <v>3</v>
      </c>
      <c r="E45" s="46" t="str">
        <f t="array" ref="E45">IFERROR(INDEX(출고!$H$8:$H$1013,SMALL(IF(출고!$C$8:$C$1013=마스터!$M$20,ROW(출고!$C$8:$C$1013)-7),1)),"")</f>
        <v>아산탐정자이</v>
      </c>
      <c r="F45" s="46">
        <f t="array" ref="F45">IFERROR(INDEX(출고!$I$8:$I$1013,SMALL(IF(출고!$C$8:$C$1013=마스터!$M$20,ROW(출고!$C$8:$C$1013)-7),1)),"")</f>
        <v>0</v>
      </c>
      <c r="G45" s="57">
        <f>IF(B45="","",IFERROR(D45,0))</f>
        <v>3</v>
      </c>
    </row>
    <row r="46" spans="1:7" ht="15" customHeight="1" x14ac:dyDescent="0.25">
      <c r="A46" s="11">
        <f t="shared" si="2"/>
        <v>2</v>
      </c>
      <c r="B46" s="58">
        <f t="array" ref="B46">IFERROR(INDEX(출고!$B$8:$B$1013,SMALL(IF(출고!$C$8:$C$1013=마스터!$M$20,ROW(출고!$C$8:$C$1013)-7),2)),"")</f>
        <v>46160</v>
      </c>
      <c r="C46" s="11" t="str">
        <f t="array" ref="C46">IFERROR(INDEX(출고!$E$8:$E$1013,SMALL(IF(출고!$C$8:$C$1013=마스터!$M$20,ROW(출고!$C$8:$C$1013)-7),2)),"")</f>
        <v>260514CW002</v>
      </c>
      <c r="D46" s="13">
        <f t="array" ref="D46">IFERROR(INDEX(출고!$F$8:$F$1013,SMALL(IF(출고!$C$8:$C$1013=마스터!$M$20,ROW(출고!$C$8:$C$1013)-7),2)),"")</f>
        <v>33</v>
      </c>
      <c r="E46" s="50" t="str">
        <f t="array" ref="E46">IFERROR(INDEX(출고!$H$8:$H$1013,SMALL(IF(출고!$C$8:$C$1013=마스터!$M$20,ROW(출고!$C$8:$C$1013)-7),2)),"")</f>
        <v>아산탐정자이</v>
      </c>
      <c r="F46" s="50">
        <f t="array" ref="F46">IFERROR(INDEX(출고!$I$8:$I$1013,SMALL(IF(출고!$C$8:$C$1013=마스터!$M$20,ROW(출고!$C$8:$C$1013)-7),2)),"")</f>
        <v>0</v>
      </c>
      <c r="G46" s="59">
        <f t="shared" ref="G46:G74" si="3">IF(B46="","",IFERROR(G45,0)+IFERROR(D46,0))</f>
        <v>36</v>
      </c>
    </row>
    <row r="47" spans="1:7" ht="15" customHeight="1" x14ac:dyDescent="0.25">
      <c r="A47" s="6">
        <f t="shared" si="2"/>
        <v>3</v>
      </c>
      <c r="B47" s="56">
        <f t="array" ref="B47">IFERROR(INDEX(출고!$B$8:$B$1013,SMALL(IF(출고!$C$8:$C$1013=마스터!$M$20,ROW(출고!$C$8:$C$1013)-7),3)),"")</f>
        <v>46161</v>
      </c>
      <c r="C47" s="6" t="str">
        <f t="array" ref="C47">IFERROR(INDEX(출고!$E$8:$E$1013,SMALL(IF(출고!$C$8:$C$1013=마스터!$M$20,ROW(출고!$C$8:$C$1013)-7),3)),"")</f>
        <v>260514CW002</v>
      </c>
      <c r="D47" s="8">
        <f t="array" ref="D47">IFERROR(INDEX(출고!$F$8:$F$1013,SMALL(IF(출고!$C$8:$C$1013=마스터!$M$20,ROW(출고!$C$8:$C$1013)-7),3)),"")</f>
        <v>30</v>
      </c>
      <c r="E47" s="46" t="str">
        <f t="array" ref="E47">IFERROR(INDEX(출고!$H$8:$H$1013,SMALL(IF(출고!$C$8:$C$1013=마스터!$M$20,ROW(출고!$C$8:$C$1013)-7),3)),"")</f>
        <v>아산탐정자이</v>
      </c>
      <c r="F47" s="46">
        <f t="array" ref="F47">IFERROR(INDEX(출고!$I$8:$I$1013,SMALL(IF(출고!$C$8:$C$1013=마스터!$M$20,ROW(출고!$C$8:$C$1013)-7),3)),"")</f>
        <v>0</v>
      </c>
      <c r="G47" s="57">
        <f t="shared" si="3"/>
        <v>66</v>
      </c>
    </row>
    <row r="48" spans="1:7" ht="15" customHeight="1" x14ac:dyDescent="0.25">
      <c r="A48" s="11">
        <f t="shared" si="2"/>
        <v>4</v>
      </c>
      <c r="B48" s="58">
        <f t="array" ref="B48">IFERROR(INDEX(출고!$B$8:$B$1013,SMALL(IF(출고!$C$8:$C$1013=마스터!$M$20,ROW(출고!$C$8:$C$1013)-7),4)),"")</f>
        <v>46162</v>
      </c>
      <c r="C48" s="11" t="str">
        <f t="array" ref="C48">IFERROR(INDEX(출고!$E$8:$E$1013,SMALL(IF(출고!$C$8:$C$1013=마스터!$M$20,ROW(출고!$C$8:$C$1013)-7),4)),"")</f>
        <v>260514CW002</v>
      </c>
      <c r="D48" s="13">
        <f t="array" ref="D48">IFERROR(INDEX(출고!$F$8:$F$1013,SMALL(IF(출고!$C$8:$C$1013=마스터!$M$20,ROW(출고!$C$8:$C$1013)-7),4)),"")</f>
        <v>13</v>
      </c>
      <c r="E48" s="50" t="str">
        <f t="array" ref="E48">IFERROR(INDEX(출고!$H$8:$H$1013,SMALL(IF(출고!$C$8:$C$1013=마스터!$M$20,ROW(출고!$C$8:$C$1013)-7),4)),"")</f>
        <v>아산탐정자이,조선대 감염병원</v>
      </c>
      <c r="F48" s="50">
        <f t="array" ref="F48">IFERROR(INDEX(출고!$I$8:$I$1013,SMALL(IF(출고!$C$8:$C$1013=마스터!$M$20,ROW(출고!$C$8:$C$1013)-7),4)),"")</f>
        <v>0</v>
      </c>
      <c r="G48" s="59">
        <f t="shared" si="3"/>
        <v>79</v>
      </c>
    </row>
    <row r="49" spans="1:7" ht="15" customHeight="1" x14ac:dyDescent="0.25">
      <c r="A49" s="6" t="str">
        <f t="shared" si="2"/>
        <v/>
      </c>
      <c r="B49" s="56" t="str">
        <f t="array" ref="B49">IFERROR(INDEX(출고!$B$8:$B$1013,SMALL(IF(출고!$C$8:$C$1013=마스터!$M$20,ROW(출고!$C$8:$C$1013)-7),5)),"")</f>
        <v/>
      </c>
      <c r="C49" s="6" t="str">
        <f t="array" ref="C49">IFERROR(INDEX(출고!$E$8:$E$1013,SMALL(IF(출고!$C$8:$C$1013=마스터!$M$20,ROW(출고!$C$8:$C$1013)-7),5)),"")</f>
        <v/>
      </c>
      <c r="D49" s="8" t="str">
        <f t="array" ref="D49">IFERROR(INDEX(출고!$F$8:$F$1013,SMALL(IF(출고!$C$8:$C$1013=마스터!$M$20,ROW(출고!$C$8:$C$1013)-7),5)),"")</f>
        <v/>
      </c>
      <c r="E49" s="46" t="str">
        <f t="array" ref="E49">IFERROR(INDEX(출고!$H$8:$H$1013,SMALL(IF(출고!$C$8:$C$1013=마스터!$M$20,ROW(출고!$C$8:$C$1013)-7),5)),"")</f>
        <v/>
      </c>
      <c r="F49" s="46" t="str">
        <f t="array" ref="F49">IFERROR(INDEX(출고!$I$8:$I$1013,SMALL(IF(출고!$C$8:$C$1013=마스터!$M$20,ROW(출고!$C$8:$C$1013)-7),5)),"")</f>
        <v/>
      </c>
      <c r="G49" s="57" t="str">
        <f t="shared" si="3"/>
        <v/>
      </c>
    </row>
    <row r="50" spans="1:7" ht="15" customHeight="1" x14ac:dyDescent="0.25">
      <c r="A50" s="11" t="str">
        <f t="shared" si="2"/>
        <v/>
      </c>
      <c r="B50" s="58" t="str">
        <f t="array" ref="B50">IFERROR(INDEX(출고!$B$8:$B$1013,SMALL(IF(출고!$C$8:$C$1013=마스터!$M$20,ROW(출고!$C$8:$C$1013)-7),6)),"")</f>
        <v/>
      </c>
      <c r="C50" s="11" t="str">
        <f t="array" ref="C50">IFERROR(INDEX(출고!$E$8:$E$1013,SMALL(IF(출고!$C$8:$C$1013=마스터!$M$20,ROW(출고!$C$8:$C$1013)-7),6)),"")</f>
        <v/>
      </c>
      <c r="D50" s="13" t="str">
        <f t="array" ref="D50">IFERROR(INDEX(출고!$F$8:$F$1013,SMALL(IF(출고!$C$8:$C$1013=마스터!$M$20,ROW(출고!$C$8:$C$1013)-7),6)),"")</f>
        <v/>
      </c>
      <c r="E50" s="50" t="str">
        <f t="array" ref="E50">IFERROR(INDEX(출고!$H$8:$H$1013,SMALL(IF(출고!$C$8:$C$1013=마스터!$M$20,ROW(출고!$C$8:$C$1013)-7),6)),"")</f>
        <v/>
      </c>
      <c r="F50" s="50" t="str">
        <f t="array" ref="F50">IFERROR(INDEX(출고!$I$8:$I$1013,SMALL(IF(출고!$C$8:$C$1013=마스터!$M$20,ROW(출고!$C$8:$C$1013)-7),6)),"")</f>
        <v/>
      </c>
      <c r="G50" s="59" t="str">
        <f t="shared" si="3"/>
        <v/>
      </c>
    </row>
    <row r="51" spans="1:7" ht="15" customHeight="1" x14ac:dyDescent="0.25">
      <c r="A51" s="6" t="str">
        <f t="shared" si="2"/>
        <v/>
      </c>
      <c r="B51" s="56" t="str">
        <f t="array" ref="B51">IFERROR(INDEX(출고!$B$8:$B$1013,SMALL(IF(출고!$C$8:$C$1013=마스터!$M$20,ROW(출고!$C$8:$C$1013)-7),7)),"")</f>
        <v/>
      </c>
      <c r="C51" s="6" t="str">
        <f t="array" ref="C51">IFERROR(INDEX(출고!$E$8:$E$1013,SMALL(IF(출고!$C$8:$C$1013=마스터!$M$20,ROW(출고!$C$8:$C$1013)-7),7)),"")</f>
        <v/>
      </c>
      <c r="D51" s="8" t="str">
        <f t="array" ref="D51">IFERROR(INDEX(출고!$F$8:$F$1013,SMALL(IF(출고!$C$8:$C$1013=마스터!$M$20,ROW(출고!$C$8:$C$1013)-7),7)),"")</f>
        <v/>
      </c>
      <c r="E51" s="46" t="str">
        <f t="array" ref="E51">IFERROR(INDEX(출고!$H$8:$H$1013,SMALL(IF(출고!$C$8:$C$1013=마스터!$M$20,ROW(출고!$C$8:$C$1013)-7),7)),"")</f>
        <v/>
      </c>
      <c r="F51" s="46" t="str">
        <f t="array" ref="F51">IFERROR(INDEX(출고!$I$8:$I$1013,SMALL(IF(출고!$C$8:$C$1013=마스터!$M$20,ROW(출고!$C$8:$C$1013)-7),7)),"")</f>
        <v/>
      </c>
      <c r="G51" s="57" t="str">
        <f t="shared" si="3"/>
        <v/>
      </c>
    </row>
    <row r="52" spans="1:7" ht="15" customHeight="1" x14ac:dyDescent="0.25">
      <c r="A52" s="11" t="str">
        <f t="shared" si="2"/>
        <v/>
      </c>
      <c r="B52" s="58" t="str">
        <f t="array" ref="B52">IFERROR(INDEX(출고!$B$8:$B$1013,SMALL(IF(출고!$C$8:$C$1013=마스터!$M$20,ROW(출고!$C$8:$C$1013)-7),8)),"")</f>
        <v/>
      </c>
      <c r="C52" s="11" t="str">
        <f t="array" ref="C52">IFERROR(INDEX(출고!$E$8:$E$1013,SMALL(IF(출고!$C$8:$C$1013=마스터!$M$20,ROW(출고!$C$8:$C$1013)-7),8)),"")</f>
        <v/>
      </c>
      <c r="D52" s="13" t="str">
        <f t="array" ref="D52">IFERROR(INDEX(출고!$F$8:$F$1013,SMALL(IF(출고!$C$8:$C$1013=마스터!$M$20,ROW(출고!$C$8:$C$1013)-7),8)),"")</f>
        <v/>
      </c>
      <c r="E52" s="50" t="str">
        <f t="array" ref="E52">IFERROR(INDEX(출고!$H$8:$H$1013,SMALL(IF(출고!$C$8:$C$1013=마스터!$M$20,ROW(출고!$C$8:$C$1013)-7),8)),"")</f>
        <v/>
      </c>
      <c r="F52" s="50" t="str">
        <f t="array" ref="F52">IFERROR(INDEX(출고!$I$8:$I$1013,SMALL(IF(출고!$C$8:$C$1013=마스터!$M$20,ROW(출고!$C$8:$C$1013)-7),8)),"")</f>
        <v/>
      </c>
      <c r="G52" s="59" t="str">
        <f t="shared" si="3"/>
        <v/>
      </c>
    </row>
    <row r="53" spans="1:7" ht="15" customHeight="1" x14ac:dyDescent="0.25">
      <c r="A53" s="6" t="str">
        <f t="shared" si="2"/>
        <v/>
      </c>
      <c r="B53" s="56" t="str">
        <f t="array" ref="B53">IFERROR(INDEX(출고!$B$8:$B$1013,SMALL(IF(출고!$C$8:$C$1013=마스터!$M$20,ROW(출고!$C$8:$C$1013)-7),9)),"")</f>
        <v/>
      </c>
      <c r="C53" s="6" t="str">
        <f t="array" ref="C53">IFERROR(INDEX(출고!$E$8:$E$1013,SMALL(IF(출고!$C$8:$C$1013=마스터!$M$20,ROW(출고!$C$8:$C$1013)-7),9)),"")</f>
        <v/>
      </c>
      <c r="D53" s="8" t="str">
        <f t="array" ref="D53">IFERROR(INDEX(출고!$F$8:$F$1013,SMALL(IF(출고!$C$8:$C$1013=마스터!$M$20,ROW(출고!$C$8:$C$1013)-7),9)),"")</f>
        <v/>
      </c>
      <c r="E53" s="46" t="str">
        <f t="array" ref="E53">IFERROR(INDEX(출고!$H$8:$H$1013,SMALL(IF(출고!$C$8:$C$1013=마스터!$M$20,ROW(출고!$C$8:$C$1013)-7),9)),"")</f>
        <v/>
      </c>
      <c r="F53" s="46" t="str">
        <f t="array" ref="F53">IFERROR(INDEX(출고!$I$8:$I$1013,SMALL(IF(출고!$C$8:$C$1013=마스터!$M$20,ROW(출고!$C$8:$C$1013)-7),9)),"")</f>
        <v/>
      </c>
      <c r="G53" s="57" t="str">
        <f t="shared" si="3"/>
        <v/>
      </c>
    </row>
    <row r="54" spans="1:7" ht="15" customHeight="1" x14ac:dyDescent="0.25">
      <c r="A54" s="11" t="str">
        <f t="shared" si="2"/>
        <v/>
      </c>
      <c r="B54" s="58" t="str">
        <f t="array" ref="B54">IFERROR(INDEX(출고!$B$8:$B$1013,SMALL(IF(출고!$C$8:$C$1013=마스터!$M$20,ROW(출고!$C$8:$C$1013)-7),10)),"")</f>
        <v/>
      </c>
      <c r="C54" s="11" t="str">
        <f t="array" ref="C54">IFERROR(INDEX(출고!$E$8:$E$1013,SMALL(IF(출고!$C$8:$C$1013=마스터!$M$20,ROW(출고!$C$8:$C$1013)-7),10)),"")</f>
        <v/>
      </c>
      <c r="D54" s="13" t="str">
        <f t="array" ref="D54">IFERROR(INDEX(출고!$F$8:$F$1013,SMALL(IF(출고!$C$8:$C$1013=마스터!$M$20,ROW(출고!$C$8:$C$1013)-7),10)),"")</f>
        <v/>
      </c>
      <c r="E54" s="50" t="str">
        <f t="array" ref="E54">IFERROR(INDEX(출고!$H$8:$H$1013,SMALL(IF(출고!$C$8:$C$1013=마스터!$M$20,ROW(출고!$C$8:$C$1013)-7),10)),"")</f>
        <v/>
      </c>
      <c r="F54" s="50" t="str">
        <f t="array" ref="F54">IFERROR(INDEX(출고!$I$8:$I$1013,SMALL(IF(출고!$C$8:$C$1013=마스터!$M$20,ROW(출고!$C$8:$C$1013)-7),10)),"")</f>
        <v/>
      </c>
      <c r="G54" s="59" t="str">
        <f t="shared" si="3"/>
        <v/>
      </c>
    </row>
    <row r="55" spans="1:7" ht="15" customHeight="1" x14ac:dyDescent="0.25">
      <c r="A55" s="6" t="str">
        <f t="shared" si="2"/>
        <v/>
      </c>
      <c r="B55" s="56" t="str">
        <f t="array" ref="B55">IFERROR(INDEX(출고!$B$8:$B$1013,SMALL(IF(출고!$C$8:$C$1013=마스터!$M$20,ROW(출고!$C$8:$C$1013)-7),11)),"")</f>
        <v/>
      </c>
      <c r="C55" s="6" t="str">
        <f t="array" ref="C55">IFERROR(INDEX(출고!$E$8:$E$1013,SMALL(IF(출고!$C$8:$C$1013=마스터!$M$20,ROW(출고!$C$8:$C$1013)-7),11)),"")</f>
        <v/>
      </c>
      <c r="D55" s="8" t="str">
        <f t="array" ref="D55">IFERROR(INDEX(출고!$F$8:$F$1013,SMALL(IF(출고!$C$8:$C$1013=마스터!$M$20,ROW(출고!$C$8:$C$1013)-7),11)),"")</f>
        <v/>
      </c>
      <c r="E55" s="46" t="str">
        <f t="array" ref="E55">IFERROR(INDEX(출고!$H$8:$H$1013,SMALL(IF(출고!$C$8:$C$1013=마스터!$M$20,ROW(출고!$C$8:$C$1013)-7),11)),"")</f>
        <v/>
      </c>
      <c r="F55" s="46" t="str">
        <f t="array" ref="F55">IFERROR(INDEX(출고!$I$8:$I$1013,SMALL(IF(출고!$C$8:$C$1013=마스터!$M$20,ROW(출고!$C$8:$C$1013)-7),11)),"")</f>
        <v/>
      </c>
      <c r="G55" s="57" t="str">
        <f t="shared" si="3"/>
        <v/>
      </c>
    </row>
    <row r="56" spans="1:7" ht="15" customHeight="1" x14ac:dyDescent="0.25">
      <c r="A56" s="11" t="str">
        <f t="shared" si="2"/>
        <v/>
      </c>
      <c r="B56" s="58" t="str">
        <f t="array" ref="B56">IFERROR(INDEX(출고!$B$8:$B$1013,SMALL(IF(출고!$C$8:$C$1013=마스터!$M$20,ROW(출고!$C$8:$C$1013)-7),12)),"")</f>
        <v/>
      </c>
      <c r="C56" s="11" t="str">
        <f t="array" ref="C56">IFERROR(INDEX(출고!$E$8:$E$1013,SMALL(IF(출고!$C$8:$C$1013=마스터!$M$20,ROW(출고!$C$8:$C$1013)-7),12)),"")</f>
        <v/>
      </c>
      <c r="D56" s="13" t="str">
        <f t="array" ref="D56">IFERROR(INDEX(출고!$F$8:$F$1013,SMALL(IF(출고!$C$8:$C$1013=마스터!$M$20,ROW(출고!$C$8:$C$1013)-7),12)),"")</f>
        <v/>
      </c>
      <c r="E56" s="50" t="str">
        <f t="array" ref="E56">IFERROR(INDEX(출고!$H$8:$H$1013,SMALL(IF(출고!$C$8:$C$1013=마스터!$M$20,ROW(출고!$C$8:$C$1013)-7),12)),"")</f>
        <v/>
      </c>
      <c r="F56" s="50" t="str">
        <f t="array" ref="F56">IFERROR(INDEX(출고!$I$8:$I$1013,SMALL(IF(출고!$C$8:$C$1013=마스터!$M$20,ROW(출고!$C$8:$C$1013)-7),12)),"")</f>
        <v/>
      </c>
      <c r="G56" s="59" t="str">
        <f t="shared" si="3"/>
        <v/>
      </c>
    </row>
    <row r="57" spans="1:7" ht="15" customHeight="1" x14ac:dyDescent="0.25">
      <c r="A57" s="6" t="str">
        <f t="shared" si="2"/>
        <v/>
      </c>
      <c r="B57" s="56" t="str">
        <f t="array" ref="B57">IFERROR(INDEX(출고!$B$8:$B$1013,SMALL(IF(출고!$C$8:$C$1013=마스터!$M$20,ROW(출고!$C$8:$C$1013)-7),13)),"")</f>
        <v/>
      </c>
      <c r="C57" s="6" t="str">
        <f t="array" ref="C57">IFERROR(INDEX(출고!$E$8:$E$1013,SMALL(IF(출고!$C$8:$C$1013=마스터!$M$20,ROW(출고!$C$8:$C$1013)-7),13)),"")</f>
        <v/>
      </c>
      <c r="D57" s="8" t="str">
        <f t="array" ref="D57">IFERROR(INDEX(출고!$F$8:$F$1013,SMALL(IF(출고!$C$8:$C$1013=마스터!$M$20,ROW(출고!$C$8:$C$1013)-7),13)),"")</f>
        <v/>
      </c>
      <c r="E57" s="46" t="str">
        <f t="array" ref="E57">IFERROR(INDEX(출고!$H$8:$H$1013,SMALL(IF(출고!$C$8:$C$1013=마스터!$M$20,ROW(출고!$C$8:$C$1013)-7),13)),"")</f>
        <v/>
      </c>
      <c r="F57" s="46" t="str">
        <f t="array" ref="F57">IFERROR(INDEX(출고!$I$8:$I$1013,SMALL(IF(출고!$C$8:$C$1013=마스터!$M$20,ROW(출고!$C$8:$C$1013)-7),13)),"")</f>
        <v/>
      </c>
      <c r="G57" s="57" t="str">
        <f t="shared" si="3"/>
        <v/>
      </c>
    </row>
    <row r="58" spans="1:7" ht="15" customHeight="1" x14ac:dyDescent="0.25">
      <c r="A58" s="11" t="str">
        <f t="shared" si="2"/>
        <v/>
      </c>
      <c r="B58" s="58" t="str">
        <f t="array" ref="B58">IFERROR(INDEX(출고!$B$8:$B$1013,SMALL(IF(출고!$C$8:$C$1013=마스터!$M$20,ROW(출고!$C$8:$C$1013)-7),14)),"")</f>
        <v/>
      </c>
      <c r="C58" s="11" t="str">
        <f t="array" ref="C58">IFERROR(INDEX(출고!$E$8:$E$1013,SMALL(IF(출고!$C$8:$C$1013=마스터!$M$20,ROW(출고!$C$8:$C$1013)-7),14)),"")</f>
        <v/>
      </c>
      <c r="D58" s="13" t="str">
        <f t="array" ref="D58">IFERROR(INDEX(출고!$F$8:$F$1013,SMALL(IF(출고!$C$8:$C$1013=마스터!$M$20,ROW(출고!$C$8:$C$1013)-7),14)),"")</f>
        <v/>
      </c>
      <c r="E58" s="50" t="str">
        <f t="array" ref="E58">IFERROR(INDEX(출고!$H$8:$H$1013,SMALL(IF(출고!$C$8:$C$1013=마스터!$M$20,ROW(출고!$C$8:$C$1013)-7),14)),"")</f>
        <v/>
      </c>
      <c r="F58" s="50" t="str">
        <f t="array" ref="F58">IFERROR(INDEX(출고!$I$8:$I$1013,SMALL(IF(출고!$C$8:$C$1013=마스터!$M$20,ROW(출고!$C$8:$C$1013)-7),14)),"")</f>
        <v/>
      </c>
      <c r="G58" s="59" t="str">
        <f t="shared" si="3"/>
        <v/>
      </c>
    </row>
    <row r="59" spans="1:7" ht="15" customHeight="1" x14ac:dyDescent="0.25">
      <c r="A59" s="6" t="str">
        <f t="shared" si="2"/>
        <v/>
      </c>
      <c r="B59" s="56" t="str">
        <f t="array" ref="B59">IFERROR(INDEX(출고!$B$8:$B$1013,SMALL(IF(출고!$C$8:$C$1013=마스터!$M$20,ROW(출고!$C$8:$C$1013)-7),15)),"")</f>
        <v/>
      </c>
      <c r="C59" s="6" t="str">
        <f t="array" ref="C59">IFERROR(INDEX(출고!$E$8:$E$1013,SMALL(IF(출고!$C$8:$C$1013=마스터!$M$20,ROW(출고!$C$8:$C$1013)-7),15)),"")</f>
        <v/>
      </c>
      <c r="D59" s="8" t="str">
        <f t="array" ref="D59">IFERROR(INDEX(출고!$F$8:$F$1013,SMALL(IF(출고!$C$8:$C$1013=마스터!$M$20,ROW(출고!$C$8:$C$1013)-7),15)),"")</f>
        <v/>
      </c>
      <c r="E59" s="46" t="str">
        <f t="array" ref="E59">IFERROR(INDEX(출고!$H$8:$H$1013,SMALL(IF(출고!$C$8:$C$1013=마스터!$M$20,ROW(출고!$C$8:$C$1013)-7),15)),"")</f>
        <v/>
      </c>
      <c r="F59" s="46" t="str">
        <f t="array" ref="F59">IFERROR(INDEX(출고!$I$8:$I$1013,SMALL(IF(출고!$C$8:$C$1013=마스터!$M$20,ROW(출고!$C$8:$C$1013)-7),15)),"")</f>
        <v/>
      </c>
      <c r="G59" s="57" t="str">
        <f t="shared" si="3"/>
        <v/>
      </c>
    </row>
    <row r="60" spans="1:7" ht="15" customHeight="1" x14ac:dyDescent="0.25">
      <c r="A60" s="11" t="str">
        <f t="shared" si="2"/>
        <v/>
      </c>
      <c r="B60" s="58" t="str">
        <f t="array" ref="B60">IFERROR(INDEX(출고!$B$8:$B$1013,SMALL(IF(출고!$C$8:$C$1013=마스터!$M$20,ROW(출고!$C$8:$C$1013)-7),16)),"")</f>
        <v/>
      </c>
      <c r="C60" s="11" t="str">
        <f t="array" ref="C60">IFERROR(INDEX(출고!$E$8:$E$1013,SMALL(IF(출고!$C$8:$C$1013=마스터!$M$20,ROW(출고!$C$8:$C$1013)-7),16)),"")</f>
        <v/>
      </c>
      <c r="D60" s="13" t="str">
        <f t="array" ref="D60">IFERROR(INDEX(출고!$F$8:$F$1013,SMALL(IF(출고!$C$8:$C$1013=마스터!$M$20,ROW(출고!$C$8:$C$1013)-7),16)),"")</f>
        <v/>
      </c>
      <c r="E60" s="50" t="str">
        <f t="array" ref="E60">IFERROR(INDEX(출고!$H$8:$H$1013,SMALL(IF(출고!$C$8:$C$1013=마스터!$M$20,ROW(출고!$C$8:$C$1013)-7),16)),"")</f>
        <v/>
      </c>
      <c r="F60" s="50" t="str">
        <f t="array" ref="F60">IFERROR(INDEX(출고!$I$8:$I$1013,SMALL(IF(출고!$C$8:$C$1013=마스터!$M$20,ROW(출고!$C$8:$C$1013)-7),16)),"")</f>
        <v/>
      </c>
      <c r="G60" s="59" t="str">
        <f t="shared" si="3"/>
        <v/>
      </c>
    </row>
    <row r="61" spans="1:7" ht="15" customHeight="1" x14ac:dyDescent="0.25">
      <c r="A61" s="6" t="str">
        <f t="shared" si="2"/>
        <v/>
      </c>
      <c r="B61" s="56" t="str">
        <f t="array" ref="B61">IFERROR(INDEX(출고!$B$8:$B$1013,SMALL(IF(출고!$C$8:$C$1013=마스터!$M$20,ROW(출고!$C$8:$C$1013)-7),17)),"")</f>
        <v/>
      </c>
      <c r="C61" s="6" t="str">
        <f t="array" ref="C61">IFERROR(INDEX(출고!$E$8:$E$1013,SMALL(IF(출고!$C$8:$C$1013=마스터!$M$20,ROW(출고!$C$8:$C$1013)-7),17)),"")</f>
        <v/>
      </c>
      <c r="D61" s="8" t="str">
        <f t="array" ref="D61">IFERROR(INDEX(출고!$F$8:$F$1013,SMALL(IF(출고!$C$8:$C$1013=마스터!$M$20,ROW(출고!$C$8:$C$1013)-7),17)),"")</f>
        <v/>
      </c>
      <c r="E61" s="46" t="str">
        <f t="array" ref="E61">IFERROR(INDEX(출고!$H$8:$H$1013,SMALL(IF(출고!$C$8:$C$1013=마스터!$M$20,ROW(출고!$C$8:$C$1013)-7),17)),"")</f>
        <v/>
      </c>
      <c r="F61" s="46" t="str">
        <f t="array" ref="F61">IFERROR(INDEX(출고!$I$8:$I$1013,SMALL(IF(출고!$C$8:$C$1013=마스터!$M$20,ROW(출고!$C$8:$C$1013)-7),17)),"")</f>
        <v/>
      </c>
      <c r="G61" s="57" t="str">
        <f t="shared" si="3"/>
        <v/>
      </c>
    </row>
    <row r="62" spans="1:7" ht="15" customHeight="1" x14ac:dyDescent="0.25">
      <c r="A62" s="11" t="str">
        <f t="shared" si="2"/>
        <v/>
      </c>
      <c r="B62" s="58" t="str">
        <f t="array" ref="B62">IFERROR(INDEX(출고!$B$8:$B$1013,SMALL(IF(출고!$C$8:$C$1013=마스터!$M$20,ROW(출고!$C$8:$C$1013)-7),18)),"")</f>
        <v/>
      </c>
      <c r="C62" s="11" t="str">
        <f t="array" ref="C62">IFERROR(INDEX(출고!$E$8:$E$1013,SMALL(IF(출고!$C$8:$C$1013=마스터!$M$20,ROW(출고!$C$8:$C$1013)-7),18)),"")</f>
        <v/>
      </c>
      <c r="D62" s="13" t="str">
        <f t="array" ref="D62">IFERROR(INDEX(출고!$F$8:$F$1013,SMALL(IF(출고!$C$8:$C$1013=마스터!$M$20,ROW(출고!$C$8:$C$1013)-7),18)),"")</f>
        <v/>
      </c>
      <c r="E62" s="50" t="str">
        <f t="array" ref="E62">IFERROR(INDEX(출고!$H$8:$H$1013,SMALL(IF(출고!$C$8:$C$1013=마스터!$M$20,ROW(출고!$C$8:$C$1013)-7),18)),"")</f>
        <v/>
      </c>
      <c r="F62" s="50" t="str">
        <f t="array" ref="F62">IFERROR(INDEX(출고!$I$8:$I$1013,SMALL(IF(출고!$C$8:$C$1013=마스터!$M$20,ROW(출고!$C$8:$C$1013)-7),18)),"")</f>
        <v/>
      </c>
      <c r="G62" s="59" t="str">
        <f t="shared" si="3"/>
        <v/>
      </c>
    </row>
    <row r="63" spans="1:7" ht="15" customHeight="1" x14ac:dyDescent="0.25">
      <c r="A63" s="6" t="str">
        <f t="shared" si="2"/>
        <v/>
      </c>
      <c r="B63" s="56" t="str">
        <f t="array" ref="B63">IFERROR(INDEX(출고!$B$8:$B$1013,SMALL(IF(출고!$C$8:$C$1013=마스터!$M$20,ROW(출고!$C$8:$C$1013)-7),19)),"")</f>
        <v/>
      </c>
      <c r="C63" s="6" t="str">
        <f t="array" ref="C63">IFERROR(INDEX(출고!$E$8:$E$1013,SMALL(IF(출고!$C$8:$C$1013=마스터!$M$20,ROW(출고!$C$8:$C$1013)-7),19)),"")</f>
        <v/>
      </c>
      <c r="D63" s="8" t="str">
        <f t="array" ref="D63">IFERROR(INDEX(출고!$F$8:$F$1013,SMALL(IF(출고!$C$8:$C$1013=마스터!$M$20,ROW(출고!$C$8:$C$1013)-7),19)),"")</f>
        <v/>
      </c>
      <c r="E63" s="46" t="str">
        <f t="array" ref="E63">IFERROR(INDEX(출고!$H$8:$H$1013,SMALL(IF(출고!$C$8:$C$1013=마스터!$M$20,ROW(출고!$C$8:$C$1013)-7),19)),"")</f>
        <v/>
      </c>
      <c r="F63" s="46" t="str">
        <f t="array" ref="F63">IFERROR(INDEX(출고!$I$8:$I$1013,SMALL(IF(출고!$C$8:$C$1013=마스터!$M$20,ROW(출고!$C$8:$C$1013)-7),19)),"")</f>
        <v/>
      </c>
      <c r="G63" s="57" t="str">
        <f t="shared" si="3"/>
        <v/>
      </c>
    </row>
    <row r="64" spans="1:7" ht="15" customHeight="1" x14ac:dyDescent="0.25">
      <c r="A64" s="11" t="str">
        <f t="shared" si="2"/>
        <v/>
      </c>
      <c r="B64" s="58" t="str">
        <f t="array" ref="B64">IFERROR(INDEX(출고!$B$8:$B$1013,SMALL(IF(출고!$C$8:$C$1013=마스터!$M$20,ROW(출고!$C$8:$C$1013)-7),20)),"")</f>
        <v/>
      </c>
      <c r="C64" s="11" t="str">
        <f t="array" ref="C64">IFERROR(INDEX(출고!$E$8:$E$1013,SMALL(IF(출고!$C$8:$C$1013=마스터!$M$20,ROW(출고!$C$8:$C$1013)-7),20)),"")</f>
        <v/>
      </c>
      <c r="D64" s="13" t="str">
        <f t="array" ref="D64">IFERROR(INDEX(출고!$F$8:$F$1013,SMALL(IF(출고!$C$8:$C$1013=마스터!$M$20,ROW(출고!$C$8:$C$1013)-7),20)),"")</f>
        <v/>
      </c>
      <c r="E64" s="50" t="str">
        <f t="array" ref="E64">IFERROR(INDEX(출고!$H$8:$H$1013,SMALL(IF(출고!$C$8:$C$1013=마스터!$M$20,ROW(출고!$C$8:$C$1013)-7),20)),"")</f>
        <v/>
      </c>
      <c r="F64" s="50" t="str">
        <f t="array" ref="F64">IFERROR(INDEX(출고!$I$8:$I$1013,SMALL(IF(출고!$C$8:$C$1013=마스터!$M$20,ROW(출고!$C$8:$C$1013)-7),20)),"")</f>
        <v/>
      </c>
      <c r="G64" s="59" t="str">
        <f t="shared" si="3"/>
        <v/>
      </c>
    </row>
    <row r="65" spans="1:7" ht="15" customHeight="1" x14ac:dyDescent="0.25">
      <c r="A65" s="6" t="str">
        <f t="shared" si="2"/>
        <v/>
      </c>
      <c r="B65" s="56" t="str">
        <f t="array" ref="B65">IFERROR(INDEX(출고!$B$8:$B$1013,SMALL(IF(출고!$C$8:$C$1013=마스터!$M$20,ROW(출고!$C$8:$C$1013)-7),21)),"")</f>
        <v/>
      </c>
      <c r="C65" s="6" t="str">
        <f t="array" ref="C65">IFERROR(INDEX(출고!$E$8:$E$1013,SMALL(IF(출고!$C$8:$C$1013=마스터!$M$20,ROW(출고!$C$8:$C$1013)-7),21)),"")</f>
        <v/>
      </c>
      <c r="D65" s="8" t="str">
        <f t="array" ref="D65">IFERROR(INDEX(출고!$F$8:$F$1013,SMALL(IF(출고!$C$8:$C$1013=마스터!$M$20,ROW(출고!$C$8:$C$1013)-7),21)),"")</f>
        <v/>
      </c>
      <c r="E65" s="46" t="str">
        <f t="array" ref="E65">IFERROR(INDEX(출고!$H$8:$H$1013,SMALL(IF(출고!$C$8:$C$1013=마스터!$M$20,ROW(출고!$C$8:$C$1013)-7),21)),"")</f>
        <v/>
      </c>
      <c r="F65" s="46" t="str">
        <f t="array" ref="F65">IFERROR(INDEX(출고!$I$8:$I$1013,SMALL(IF(출고!$C$8:$C$1013=마스터!$M$20,ROW(출고!$C$8:$C$1013)-7),21)),"")</f>
        <v/>
      </c>
      <c r="G65" s="57" t="str">
        <f t="shared" si="3"/>
        <v/>
      </c>
    </row>
    <row r="66" spans="1:7" ht="15" customHeight="1" x14ac:dyDescent="0.25">
      <c r="A66" s="11" t="str">
        <f t="shared" si="2"/>
        <v/>
      </c>
      <c r="B66" s="58" t="str">
        <f t="array" ref="B66">IFERROR(INDEX(출고!$B$8:$B$1013,SMALL(IF(출고!$C$8:$C$1013=마스터!$M$20,ROW(출고!$C$8:$C$1013)-7),22)),"")</f>
        <v/>
      </c>
      <c r="C66" s="11" t="str">
        <f t="array" ref="C66">IFERROR(INDEX(출고!$E$8:$E$1013,SMALL(IF(출고!$C$8:$C$1013=마스터!$M$20,ROW(출고!$C$8:$C$1013)-7),22)),"")</f>
        <v/>
      </c>
      <c r="D66" s="13" t="str">
        <f t="array" ref="D66">IFERROR(INDEX(출고!$F$8:$F$1013,SMALL(IF(출고!$C$8:$C$1013=마스터!$M$20,ROW(출고!$C$8:$C$1013)-7),22)),"")</f>
        <v/>
      </c>
      <c r="E66" s="50" t="str">
        <f t="array" ref="E66">IFERROR(INDEX(출고!$H$8:$H$1013,SMALL(IF(출고!$C$8:$C$1013=마스터!$M$20,ROW(출고!$C$8:$C$1013)-7),22)),"")</f>
        <v/>
      </c>
      <c r="F66" s="50" t="str">
        <f t="array" ref="F66">IFERROR(INDEX(출고!$I$8:$I$1013,SMALL(IF(출고!$C$8:$C$1013=마스터!$M$20,ROW(출고!$C$8:$C$1013)-7),22)),"")</f>
        <v/>
      </c>
      <c r="G66" s="59" t="str">
        <f t="shared" si="3"/>
        <v/>
      </c>
    </row>
    <row r="67" spans="1:7" ht="15" customHeight="1" x14ac:dyDescent="0.25">
      <c r="A67" s="6" t="str">
        <f t="shared" si="2"/>
        <v/>
      </c>
      <c r="B67" s="56" t="str">
        <f t="array" ref="B67">IFERROR(INDEX(출고!$B$8:$B$1013,SMALL(IF(출고!$C$8:$C$1013=마스터!$M$20,ROW(출고!$C$8:$C$1013)-7),23)),"")</f>
        <v/>
      </c>
      <c r="C67" s="6" t="str">
        <f t="array" ref="C67">IFERROR(INDEX(출고!$E$8:$E$1013,SMALL(IF(출고!$C$8:$C$1013=마스터!$M$20,ROW(출고!$C$8:$C$1013)-7),23)),"")</f>
        <v/>
      </c>
      <c r="D67" s="8" t="str">
        <f t="array" ref="D67">IFERROR(INDEX(출고!$F$8:$F$1013,SMALL(IF(출고!$C$8:$C$1013=마스터!$M$20,ROW(출고!$C$8:$C$1013)-7),23)),"")</f>
        <v/>
      </c>
      <c r="E67" s="46" t="str">
        <f t="array" ref="E67">IFERROR(INDEX(출고!$H$8:$H$1013,SMALL(IF(출고!$C$8:$C$1013=마스터!$M$20,ROW(출고!$C$8:$C$1013)-7),23)),"")</f>
        <v/>
      </c>
      <c r="F67" s="46" t="str">
        <f t="array" ref="F67">IFERROR(INDEX(출고!$I$8:$I$1013,SMALL(IF(출고!$C$8:$C$1013=마스터!$M$20,ROW(출고!$C$8:$C$1013)-7),23)),"")</f>
        <v/>
      </c>
      <c r="G67" s="57" t="str">
        <f t="shared" si="3"/>
        <v/>
      </c>
    </row>
    <row r="68" spans="1:7" ht="15" customHeight="1" x14ac:dyDescent="0.25">
      <c r="A68" s="11" t="str">
        <f t="shared" si="2"/>
        <v/>
      </c>
      <c r="B68" s="58" t="str">
        <f t="array" ref="B68">IFERROR(INDEX(출고!$B$8:$B$1013,SMALL(IF(출고!$C$8:$C$1013=마스터!$M$20,ROW(출고!$C$8:$C$1013)-7),24)),"")</f>
        <v/>
      </c>
      <c r="C68" s="11" t="str">
        <f t="array" ref="C68">IFERROR(INDEX(출고!$E$8:$E$1013,SMALL(IF(출고!$C$8:$C$1013=마스터!$M$20,ROW(출고!$C$8:$C$1013)-7),24)),"")</f>
        <v/>
      </c>
      <c r="D68" s="13" t="str">
        <f t="array" ref="D68">IFERROR(INDEX(출고!$F$8:$F$1013,SMALL(IF(출고!$C$8:$C$1013=마스터!$M$20,ROW(출고!$C$8:$C$1013)-7),24)),"")</f>
        <v/>
      </c>
      <c r="E68" s="50" t="str">
        <f t="array" ref="E68">IFERROR(INDEX(출고!$H$8:$H$1013,SMALL(IF(출고!$C$8:$C$1013=마스터!$M$20,ROW(출고!$C$8:$C$1013)-7),24)),"")</f>
        <v/>
      </c>
      <c r="F68" s="50" t="str">
        <f t="array" ref="F68">IFERROR(INDEX(출고!$I$8:$I$1013,SMALL(IF(출고!$C$8:$C$1013=마스터!$M$20,ROW(출고!$C$8:$C$1013)-7),24)),"")</f>
        <v/>
      </c>
      <c r="G68" s="59" t="str">
        <f t="shared" si="3"/>
        <v/>
      </c>
    </row>
    <row r="69" spans="1:7" ht="15" customHeight="1" x14ac:dyDescent="0.25">
      <c r="A69" s="6" t="str">
        <f t="shared" si="2"/>
        <v/>
      </c>
      <c r="B69" s="56" t="str">
        <f t="array" ref="B69">IFERROR(INDEX(출고!$B$8:$B$1013,SMALL(IF(출고!$C$8:$C$1013=마스터!$M$20,ROW(출고!$C$8:$C$1013)-7),25)),"")</f>
        <v/>
      </c>
      <c r="C69" s="6" t="str">
        <f t="array" ref="C69">IFERROR(INDEX(출고!$E$8:$E$1013,SMALL(IF(출고!$C$8:$C$1013=마스터!$M$20,ROW(출고!$C$8:$C$1013)-7),25)),"")</f>
        <v/>
      </c>
      <c r="D69" s="8" t="str">
        <f t="array" ref="D69">IFERROR(INDEX(출고!$F$8:$F$1013,SMALL(IF(출고!$C$8:$C$1013=마스터!$M$20,ROW(출고!$C$8:$C$1013)-7),25)),"")</f>
        <v/>
      </c>
      <c r="E69" s="46" t="str">
        <f t="array" ref="E69">IFERROR(INDEX(출고!$H$8:$H$1013,SMALL(IF(출고!$C$8:$C$1013=마스터!$M$20,ROW(출고!$C$8:$C$1013)-7),25)),"")</f>
        <v/>
      </c>
      <c r="F69" s="46" t="str">
        <f t="array" ref="F69">IFERROR(INDEX(출고!$I$8:$I$1013,SMALL(IF(출고!$C$8:$C$1013=마스터!$M$20,ROW(출고!$C$8:$C$1013)-7),25)),"")</f>
        <v/>
      </c>
      <c r="G69" s="57" t="str">
        <f t="shared" si="3"/>
        <v/>
      </c>
    </row>
    <row r="70" spans="1:7" ht="15" customHeight="1" x14ac:dyDescent="0.25">
      <c r="A70" s="11" t="str">
        <f t="shared" si="2"/>
        <v/>
      </c>
      <c r="B70" s="58" t="str">
        <f t="array" ref="B70">IFERROR(INDEX(출고!$B$8:$B$1013,SMALL(IF(출고!$C$8:$C$1013=마스터!$M$20,ROW(출고!$C$8:$C$1013)-7),26)),"")</f>
        <v/>
      </c>
      <c r="C70" s="11" t="str">
        <f t="array" ref="C70">IFERROR(INDEX(출고!$E$8:$E$1013,SMALL(IF(출고!$C$8:$C$1013=마스터!$M$20,ROW(출고!$C$8:$C$1013)-7),26)),"")</f>
        <v/>
      </c>
      <c r="D70" s="13" t="str">
        <f t="array" ref="D70">IFERROR(INDEX(출고!$F$8:$F$1013,SMALL(IF(출고!$C$8:$C$1013=마스터!$M$20,ROW(출고!$C$8:$C$1013)-7),26)),"")</f>
        <v/>
      </c>
      <c r="E70" s="50" t="str">
        <f t="array" ref="E70">IFERROR(INDEX(출고!$H$8:$H$1013,SMALL(IF(출고!$C$8:$C$1013=마스터!$M$20,ROW(출고!$C$8:$C$1013)-7),26)),"")</f>
        <v/>
      </c>
      <c r="F70" s="50" t="str">
        <f t="array" ref="F70">IFERROR(INDEX(출고!$I$8:$I$1013,SMALL(IF(출고!$C$8:$C$1013=마스터!$M$20,ROW(출고!$C$8:$C$1013)-7),26)),"")</f>
        <v/>
      </c>
      <c r="G70" s="59" t="str">
        <f t="shared" si="3"/>
        <v/>
      </c>
    </row>
    <row r="71" spans="1:7" ht="15" customHeight="1" x14ac:dyDescent="0.25">
      <c r="A71" s="6" t="str">
        <f t="shared" si="2"/>
        <v/>
      </c>
      <c r="B71" s="56" t="str">
        <f t="array" ref="B71">IFERROR(INDEX(출고!$B$8:$B$1013,SMALL(IF(출고!$C$8:$C$1013=마스터!$M$20,ROW(출고!$C$8:$C$1013)-7),27)),"")</f>
        <v/>
      </c>
      <c r="C71" s="6" t="str">
        <f t="array" ref="C71">IFERROR(INDEX(출고!$E$8:$E$1013,SMALL(IF(출고!$C$8:$C$1013=마스터!$M$20,ROW(출고!$C$8:$C$1013)-7),27)),"")</f>
        <v/>
      </c>
      <c r="D71" s="8" t="str">
        <f t="array" ref="D71">IFERROR(INDEX(출고!$F$8:$F$1013,SMALL(IF(출고!$C$8:$C$1013=마스터!$M$20,ROW(출고!$C$8:$C$1013)-7),27)),"")</f>
        <v/>
      </c>
      <c r="E71" s="46" t="str">
        <f t="array" ref="E71">IFERROR(INDEX(출고!$H$8:$H$1013,SMALL(IF(출고!$C$8:$C$1013=마스터!$M$20,ROW(출고!$C$8:$C$1013)-7),27)),"")</f>
        <v/>
      </c>
      <c r="F71" s="46" t="str">
        <f t="array" ref="F71">IFERROR(INDEX(출고!$I$8:$I$1013,SMALL(IF(출고!$C$8:$C$1013=마스터!$M$20,ROW(출고!$C$8:$C$1013)-7),27)),"")</f>
        <v/>
      </c>
      <c r="G71" s="57" t="str">
        <f t="shared" si="3"/>
        <v/>
      </c>
    </row>
    <row r="72" spans="1:7" ht="15" customHeight="1" x14ac:dyDescent="0.25">
      <c r="A72" s="11" t="str">
        <f t="shared" si="2"/>
        <v/>
      </c>
      <c r="B72" s="58" t="str">
        <f t="array" ref="B72">IFERROR(INDEX(출고!$B$8:$B$1013,SMALL(IF(출고!$C$8:$C$1013=마스터!$M$20,ROW(출고!$C$8:$C$1013)-7),28)),"")</f>
        <v/>
      </c>
      <c r="C72" s="11" t="str">
        <f t="array" ref="C72">IFERROR(INDEX(출고!$E$8:$E$1013,SMALL(IF(출고!$C$8:$C$1013=마스터!$M$20,ROW(출고!$C$8:$C$1013)-7),28)),"")</f>
        <v/>
      </c>
      <c r="D72" s="13" t="str">
        <f t="array" ref="D72">IFERROR(INDEX(출고!$F$8:$F$1013,SMALL(IF(출고!$C$8:$C$1013=마스터!$M$20,ROW(출고!$C$8:$C$1013)-7),28)),"")</f>
        <v/>
      </c>
      <c r="E72" s="50" t="str">
        <f t="array" ref="E72">IFERROR(INDEX(출고!$H$8:$H$1013,SMALL(IF(출고!$C$8:$C$1013=마스터!$M$20,ROW(출고!$C$8:$C$1013)-7),28)),"")</f>
        <v/>
      </c>
      <c r="F72" s="50" t="str">
        <f t="array" ref="F72">IFERROR(INDEX(출고!$I$8:$I$1013,SMALL(IF(출고!$C$8:$C$1013=마스터!$M$20,ROW(출고!$C$8:$C$1013)-7),28)),"")</f>
        <v/>
      </c>
      <c r="G72" s="59" t="str">
        <f t="shared" si="3"/>
        <v/>
      </c>
    </row>
    <row r="73" spans="1:7" ht="15" customHeight="1" x14ac:dyDescent="0.25">
      <c r="A73" s="6" t="str">
        <f t="shared" si="2"/>
        <v/>
      </c>
      <c r="B73" s="56" t="str">
        <f t="array" ref="B73">IFERROR(INDEX(출고!$B$8:$B$1013,SMALL(IF(출고!$C$8:$C$1013=마스터!$M$20,ROW(출고!$C$8:$C$1013)-7),29)),"")</f>
        <v/>
      </c>
      <c r="C73" s="6" t="str">
        <f t="array" ref="C73">IFERROR(INDEX(출고!$E$8:$E$1013,SMALL(IF(출고!$C$8:$C$1013=마스터!$M$20,ROW(출고!$C$8:$C$1013)-7),29)),"")</f>
        <v/>
      </c>
      <c r="D73" s="8" t="str">
        <f t="array" ref="D73">IFERROR(INDEX(출고!$F$8:$F$1013,SMALL(IF(출고!$C$8:$C$1013=마스터!$M$20,ROW(출고!$C$8:$C$1013)-7),29)),"")</f>
        <v/>
      </c>
      <c r="E73" s="46" t="str">
        <f t="array" ref="E73">IFERROR(INDEX(출고!$H$8:$H$1013,SMALL(IF(출고!$C$8:$C$1013=마스터!$M$20,ROW(출고!$C$8:$C$1013)-7),29)),"")</f>
        <v/>
      </c>
      <c r="F73" s="46" t="str">
        <f t="array" ref="F73">IFERROR(INDEX(출고!$I$8:$I$1013,SMALL(IF(출고!$C$8:$C$1013=마스터!$M$20,ROW(출고!$C$8:$C$1013)-7),29)),"")</f>
        <v/>
      </c>
      <c r="G73" s="57" t="str">
        <f t="shared" si="3"/>
        <v/>
      </c>
    </row>
    <row r="74" spans="1:7" ht="15" customHeight="1" x14ac:dyDescent="0.25">
      <c r="A74" s="11" t="str">
        <f t="shared" si="2"/>
        <v/>
      </c>
      <c r="B74" s="58" t="str">
        <f t="array" ref="B74">IFERROR(INDEX(출고!$B$8:$B$1013,SMALL(IF(출고!$C$8:$C$1013=마스터!$M$20,ROW(출고!$C$8:$C$1013)-7),30)),"")</f>
        <v/>
      </c>
      <c r="C74" s="11" t="str">
        <f t="array" ref="C74">IFERROR(INDEX(출고!$E$8:$E$1013,SMALL(IF(출고!$C$8:$C$1013=마스터!$M$20,ROW(출고!$C$8:$C$1013)-7),30)),"")</f>
        <v/>
      </c>
      <c r="D74" s="13" t="str">
        <f t="array" ref="D74">IFERROR(INDEX(출고!$F$8:$F$1013,SMALL(IF(출고!$C$8:$C$1013=마스터!$M$20,ROW(출고!$C$8:$C$1013)-7),30)),"")</f>
        <v/>
      </c>
      <c r="E74" s="50" t="str">
        <f t="array" ref="E74">IFERROR(INDEX(출고!$H$8:$H$1013,SMALL(IF(출고!$C$8:$C$1013=마스터!$M$20,ROW(출고!$C$8:$C$1013)-7),30)),"")</f>
        <v/>
      </c>
      <c r="F74" s="50" t="str">
        <f t="array" ref="F74">IFERROR(INDEX(출고!$I$8:$I$1013,SMALL(IF(출고!$C$8:$C$1013=마스터!$M$20,ROW(출고!$C$8:$C$1013)-7),30)),"")</f>
        <v/>
      </c>
      <c r="G74" s="59" t="str">
        <f t="shared" si="3"/>
        <v/>
      </c>
    </row>
    <row r="76" spans="1:7" ht="15" customHeight="1" x14ac:dyDescent="0.25">
      <c r="A76" s="73" t="s">
        <v>128</v>
      </c>
      <c r="B76" s="73"/>
      <c r="C76" s="73"/>
      <c r="D76" s="73"/>
      <c r="E76" s="73"/>
    </row>
    <row r="77" spans="1:7" ht="24" customHeight="1" x14ac:dyDescent="0.25">
      <c r="A77" s="38" t="s">
        <v>5</v>
      </c>
      <c r="B77" s="38" t="s">
        <v>70</v>
      </c>
      <c r="C77" s="39" t="s">
        <v>11</v>
      </c>
      <c r="D77" s="39" t="s">
        <v>12</v>
      </c>
      <c r="E77" s="38" t="s">
        <v>71</v>
      </c>
    </row>
    <row r="78" spans="1:7" ht="23.25" customHeight="1" x14ac:dyDescent="0.25">
      <c r="A78" s="6">
        <f t="shared" ref="A78:A107" si="4">IF(B78="","",ROW()-77)</f>
        <v>1</v>
      </c>
      <c r="B78" s="6" t="str">
        <f t="array" ref="B78">IFERROR(INDEX(입고!$E$8:$E$1013,SMALL(IF((입고!$C$8:$C$1013=마스터!$M$20)*(입고!$AC$8:$AC$1013=1),ROW(입고!$C$8:$C$1013)-7),1)),"")</f>
        <v>260203CW002</v>
      </c>
      <c r="C78" s="8">
        <f>IF(B78="","",SUMIFS(입고!$F$8:$F$1013,입고!$C$8:$C$1013,마스터!$M$20,입고!$E$8:$E$1013,B78))</f>
        <v>3</v>
      </c>
      <c r="D78" s="8">
        <f>IF(B78="","",SUMIFS(출고!$F$8:$F$1013,출고!$C$8:$C$1013,마스터!$M$20,출고!$E$8:$E$1013,B78))</f>
        <v>3</v>
      </c>
      <c r="E78" s="40">
        <f t="shared" ref="E78:E107" si="5">IF(B78="","",C78-D78)</f>
        <v>0</v>
      </c>
    </row>
    <row r="79" spans="1:7" ht="15" customHeight="1" x14ac:dyDescent="0.25">
      <c r="A79" s="11">
        <f t="shared" si="4"/>
        <v>2</v>
      </c>
      <c r="B79" s="11" t="str">
        <f t="array" ref="B79">IFERROR(INDEX(입고!$E$8:$E$1013,SMALL(IF((입고!$C$8:$C$1013=마스터!$M$20)*(입고!$AC$8:$AC$1013=1),ROW(입고!$C$8:$C$1013)-7),2)),"")</f>
        <v>260514CW002</v>
      </c>
      <c r="C79" s="13">
        <f>IF(B79="","",SUMIFS(입고!$F$8:$F$1013,입고!$C$8:$C$1013,마스터!$M$20,입고!$E$8:$E$1013,B79))</f>
        <v>315</v>
      </c>
      <c r="D79" s="13">
        <f>IF(B79="","",SUMIFS(출고!$F$8:$F$1013,출고!$C$8:$C$1013,마스터!$M$20,출고!$E$8:$E$1013,B79))</f>
        <v>76</v>
      </c>
      <c r="E79" s="41">
        <f t="shared" si="5"/>
        <v>239</v>
      </c>
    </row>
    <row r="80" spans="1:7" ht="15" customHeight="1" x14ac:dyDescent="0.25">
      <c r="A80" s="6" t="str">
        <f t="shared" si="4"/>
        <v/>
      </c>
      <c r="B80" s="6" t="str">
        <f t="array" ref="B80">IFERROR(INDEX(입고!$E$8:$E$1013,SMALL(IF((입고!$C$8:$C$1013=마스터!$M$20)*(입고!$AC$8:$AC$1013=1),ROW(입고!$C$8:$C$1013)-7),3)),"")</f>
        <v/>
      </c>
      <c r="C80" s="8" t="str">
        <f>IF(B80="","",SUMIFS(입고!$F$8:$F$1013,입고!$C$8:$C$1013,마스터!$M$20,입고!$E$8:$E$1013,B80))</f>
        <v/>
      </c>
      <c r="D80" s="8" t="str">
        <f>IF(B80="","",SUMIFS(출고!$F$8:$F$1013,출고!$C$8:$C$1013,마스터!$M$20,출고!$E$8:$E$1013,B80))</f>
        <v/>
      </c>
      <c r="E80" s="40" t="str">
        <f t="shared" si="5"/>
        <v/>
      </c>
    </row>
    <row r="81" spans="1:5" ht="15" customHeight="1" x14ac:dyDescent="0.25">
      <c r="A81" s="11" t="str">
        <f t="shared" si="4"/>
        <v/>
      </c>
      <c r="B81" s="11" t="str">
        <f t="array" ref="B81">IFERROR(INDEX(입고!$E$8:$E$1013,SMALL(IF((입고!$C$8:$C$1013=마스터!$M$20)*(입고!$AC$8:$AC$1013=1),ROW(입고!$C$8:$C$1013)-7),4)),"")</f>
        <v/>
      </c>
      <c r="C81" s="13" t="str">
        <f>IF(B81="","",SUMIFS(입고!$F$8:$F$1013,입고!$C$8:$C$1013,마스터!$M$20,입고!$E$8:$E$1013,B81))</f>
        <v/>
      </c>
      <c r="D81" s="13" t="str">
        <f>IF(B81="","",SUMIFS(출고!$F$8:$F$1013,출고!$C$8:$C$1013,마스터!$M$20,출고!$E$8:$E$1013,B81))</f>
        <v/>
      </c>
      <c r="E81" s="41" t="str">
        <f t="shared" si="5"/>
        <v/>
      </c>
    </row>
    <row r="82" spans="1:5" ht="15" customHeight="1" x14ac:dyDescent="0.25">
      <c r="A82" s="6" t="str">
        <f t="shared" si="4"/>
        <v/>
      </c>
      <c r="B82" s="6" t="str">
        <f t="array" ref="B82">IFERROR(INDEX(입고!$E$8:$E$1013,SMALL(IF((입고!$C$8:$C$1013=마스터!$M$20)*(입고!$AC$8:$AC$1013=1),ROW(입고!$C$8:$C$1013)-7),5)),"")</f>
        <v/>
      </c>
      <c r="C82" s="8" t="str">
        <f>IF(B82="","",SUMIFS(입고!$F$8:$F$1013,입고!$C$8:$C$1013,마스터!$M$20,입고!$E$8:$E$1013,B82))</f>
        <v/>
      </c>
      <c r="D82" s="8" t="str">
        <f>IF(B82="","",SUMIFS(출고!$F$8:$F$1013,출고!$C$8:$C$1013,마스터!$M$20,출고!$E$8:$E$1013,B82))</f>
        <v/>
      </c>
      <c r="E82" s="40" t="str">
        <f t="shared" si="5"/>
        <v/>
      </c>
    </row>
    <row r="83" spans="1:5" ht="15" customHeight="1" x14ac:dyDescent="0.25">
      <c r="A83" s="11" t="str">
        <f t="shared" si="4"/>
        <v/>
      </c>
      <c r="B83" s="11" t="str">
        <f t="array" ref="B83">IFERROR(INDEX(입고!$E$8:$E$1013,SMALL(IF((입고!$C$8:$C$1013=마스터!$M$20)*(입고!$AC$8:$AC$1013=1),ROW(입고!$C$8:$C$1013)-7),6)),"")</f>
        <v/>
      </c>
      <c r="C83" s="13" t="str">
        <f>IF(B83="","",SUMIFS(입고!$F$8:$F$1013,입고!$C$8:$C$1013,마스터!$M$20,입고!$E$8:$E$1013,B83))</f>
        <v/>
      </c>
      <c r="D83" s="13" t="str">
        <f>IF(B83="","",SUMIFS(출고!$F$8:$F$1013,출고!$C$8:$C$1013,마스터!$M$20,출고!$E$8:$E$1013,B83))</f>
        <v/>
      </c>
      <c r="E83" s="41" t="str">
        <f t="shared" si="5"/>
        <v/>
      </c>
    </row>
    <row r="84" spans="1:5" ht="15" customHeight="1" x14ac:dyDescent="0.25">
      <c r="A84" s="6" t="str">
        <f t="shared" si="4"/>
        <v/>
      </c>
      <c r="B84" s="6" t="str">
        <f t="array" ref="B84">IFERROR(INDEX(입고!$E$8:$E$1013,SMALL(IF((입고!$C$8:$C$1013=마스터!$M$20)*(입고!$AC$8:$AC$1013=1),ROW(입고!$C$8:$C$1013)-7),7)),"")</f>
        <v/>
      </c>
      <c r="C84" s="8" t="str">
        <f>IF(B84="","",SUMIFS(입고!$F$8:$F$1013,입고!$C$8:$C$1013,마스터!$M$20,입고!$E$8:$E$1013,B84))</f>
        <v/>
      </c>
      <c r="D84" s="8" t="str">
        <f>IF(B84="","",SUMIFS(출고!$F$8:$F$1013,출고!$C$8:$C$1013,마스터!$M$20,출고!$E$8:$E$1013,B84))</f>
        <v/>
      </c>
      <c r="E84" s="40" t="str">
        <f t="shared" si="5"/>
        <v/>
      </c>
    </row>
    <row r="85" spans="1:5" ht="15" customHeight="1" x14ac:dyDescent="0.25">
      <c r="A85" s="11" t="str">
        <f t="shared" si="4"/>
        <v/>
      </c>
      <c r="B85" s="11" t="str">
        <f t="array" ref="B85">IFERROR(INDEX(입고!$E$8:$E$1013,SMALL(IF((입고!$C$8:$C$1013=마스터!$M$20)*(입고!$AC$8:$AC$1013=1),ROW(입고!$C$8:$C$1013)-7),8)),"")</f>
        <v/>
      </c>
      <c r="C85" s="13" t="str">
        <f>IF(B85="","",SUMIFS(입고!$F$8:$F$1013,입고!$C$8:$C$1013,마스터!$M$20,입고!$E$8:$E$1013,B85))</f>
        <v/>
      </c>
      <c r="D85" s="13" t="str">
        <f>IF(B85="","",SUMIFS(출고!$F$8:$F$1013,출고!$C$8:$C$1013,마스터!$M$20,출고!$E$8:$E$1013,B85))</f>
        <v/>
      </c>
      <c r="E85" s="41" t="str">
        <f t="shared" si="5"/>
        <v/>
      </c>
    </row>
    <row r="86" spans="1:5" ht="15" customHeight="1" x14ac:dyDescent="0.25">
      <c r="A86" s="6" t="str">
        <f t="shared" si="4"/>
        <v/>
      </c>
      <c r="B86" s="6" t="str">
        <f t="array" ref="B86">IFERROR(INDEX(입고!$E$8:$E$1013,SMALL(IF((입고!$C$8:$C$1013=마스터!$M$20)*(입고!$AC$8:$AC$1013=1),ROW(입고!$C$8:$C$1013)-7),9)),"")</f>
        <v/>
      </c>
      <c r="C86" s="8" t="str">
        <f>IF(B86="","",SUMIFS(입고!$F$8:$F$1013,입고!$C$8:$C$1013,마스터!$M$20,입고!$E$8:$E$1013,B86))</f>
        <v/>
      </c>
      <c r="D86" s="8" t="str">
        <f>IF(B86="","",SUMIFS(출고!$F$8:$F$1013,출고!$C$8:$C$1013,마스터!$M$20,출고!$E$8:$E$1013,B86))</f>
        <v/>
      </c>
      <c r="E86" s="40" t="str">
        <f t="shared" si="5"/>
        <v/>
      </c>
    </row>
    <row r="87" spans="1:5" ht="15" customHeight="1" x14ac:dyDescent="0.25">
      <c r="A87" s="11" t="str">
        <f t="shared" si="4"/>
        <v/>
      </c>
      <c r="B87" s="11" t="str">
        <f t="array" ref="B87">IFERROR(INDEX(입고!$E$8:$E$1013,SMALL(IF((입고!$C$8:$C$1013=마스터!$M$20)*(입고!$AC$8:$AC$1013=1),ROW(입고!$C$8:$C$1013)-7),10)),"")</f>
        <v/>
      </c>
      <c r="C87" s="13" t="str">
        <f>IF(B87="","",SUMIFS(입고!$F$8:$F$1013,입고!$C$8:$C$1013,마스터!$M$20,입고!$E$8:$E$1013,B87))</f>
        <v/>
      </c>
      <c r="D87" s="13" t="str">
        <f>IF(B87="","",SUMIFS(출고!$F$8:$F$1013,출고!$C$8:$C$1013,마스터!$M$20,출고!$E$8:$E$1013,B87))</f>
        <v/>
      </c>
      <c r="E87" s="41" t="str">
        <f t="shared" si="5"/>
        <v/>
      </c>
    </row>
    <row r="88" spans="1:5" ht="15" customHeight="1" x14ac:dyDescent="0.25">
      <c r="A88" s="6" t="str">
        <f t="shared" si="4"/>
        <v/>
      </c>
      <c r="B88" s="6" t="str">
        <f t="array" ref="B88">IFERROR(INDEX(입고!$E$8:$E$1013,SMALL(IF((입고!$C$8:$C$1013=마스터!$M$20)*(입고!$AC$8:$AC$1013=1),ROW(입고!$C$8:$C$1013)-7),11)),"")</f>
        <v/>
      </c>
      <c r="C88" s="8" t="str">
        <f>IF(B88="","",SUMIFS(입고!$F$8:$F$1013,입고!$C$8:$C$1013,마스터!$M$20,입고!$E$8:$E$1013,B88))</f>
        <v/>
      </c>
      <c r="D88" s="8" t="str">
        <f>IF(B88="","",SUMIFS(출고!$F$8:$F$1013,출고!$C$8:$C$1013,마스터!$M$20,출고!$E$8:$E$1013,B88))</f>
        <v/>
      </c>
      <c r="E88" s="40" t="str">
        <f t="shared" si="5"/>
        <v/>
      </c>
    </row>
    <row r="89" spans="1:5" ht="15" customHeight="1" x14ac:dyDescent="0.25">
      <c r="A89" s="11" t="str">
        <f t="shared" si="4"/>
        <v/>
      </c>
      <c r="B89" s="11" t="str">
        <f t="array" ref="B89">IFERROR(INDEX(입고!$E$8:$E$1013,SMALL(IF((입고!$C$8:$C$1013=마스터!$M$20)*(입고!$AC$8:$AC$1013=1),ROW(입고!$C$8:$C$1013)-7),12)),"")</f>
        <v/>
      </c>
      <c r="C89" s="13" t="str">
        <f>IF(B89="","",SUMIFS(입고!$F$8:$F$1013,입고!$C$8:$C$1013,마스터!$M$20,입고!$E$8:$E$1013,B89))</f>
        <v/>
      </c>
      <c r="D89" s="13" t="str">
        <f>IF(B89="","",SUMIFS(출고!$F$8:$F$1013,출고!$C$8:$C$1013,마스터!$M$20,출고!$E$8:$E$1013,B89))</f>
        <v/>
      </c>
      <c r="E89" s="41" t="str">
        <f t="shared" si="5"/>
        <v/>
      </c>
    </row>
    <row r="90" spans="1:5" ht="15" customHeight="1" x14ac:dyDescent="0.25">
      <c r="A90" s="6" t="str">
        <f t="shared" si="4"/>
        <v/>
      </c>
      <c r="B90" s="6" t="str">
        <f t="array" ref="B90">IFERROR(INDEX(입고!$E$8:$E$1013,SMALL(IF((입고!$C$8:$C$1013=마스터!$M$20)*(입고!$AC$8:$AC$1013=1),ROW(입고!$C$8:$C$1013)-7),13)),"")</f>
        <v/>
      </c>
      <c r="C90" s="8" t="str">
        <f>IF(B90="","",SUMIFS(입고!$F$8:$F$1013,입고!$C$8:$C$1013,마스터!$M$20,입고!$E$8:$E$1013,B90))</f>
        <v/>
      </c>
      <c r="D90" s="8" t="str">
        <f>IF(B90="","",SUMIFS(출고!$F$8:$F$1013,출고!$C$8:$C$1013,마스터!$M$20,출고!$E$8:$E$1013,B90))</f>
        <v/>
      </c>
      <c r="E90" s="40" t="str">
        <f t="shared" si="5"/>
        <v/>
      </c>
    </row>
    <row r="91" spans="1:5" ht="15" customHeight="1" x14ac:dyDescent="0.25">
      <c r="A91" s="11" t="str">
        <f t="shared" si="4"/>
        <v/>
      </c>
      <c r="B91" s="11" t="str">
        <f t="array" ref="B91">IFERROR(INDEX(입고!$E$8:$E$1013,SMALL(IF((입고!$C$8:$C$1013=마스터!$M$20)*(입고!$AC$8:$AC$1013=1),ROW(입고!$C$8:$C$1013)-7),14)),"")</f>
        <v/>
      </c>
      <c r="C91" s="13" t="str">
        <f>IF(B91="","",SUMIFS(입고!$F$8:$F$1013,입고!$C$8:$C$1013,마스터!$M$20,입고!$E$8:$E$1013,B91))</f>
        <v/>
      </c>
      <c r="D91" s="13" t="str">
        <f>IF(B91="","",SUMIFS(출고!$F$8:$F$1013,출고!$C$8:$C$1013,마스터!$M$20,출고!$E$8:$E$1013,B91))</f>
        <v/>
      </c>
      <c r="E91" s="41" t="str">
        <f t="shared" si="5"/>
        <v/>
      </c>
    </row>
    <row r="92" spans="1:5" ht="15" customHeight="1" x14ac:dyDescent="0.25">
      <c r="A92" s="6" t="str">
        <f t="shared" si="4"/>
        <v/>
      </c>
      <c r="B92" s="6" t="str">
        <f t="array" ref="B92">IFERROR(INDEX(입고!$E$8:$E$1013,SMALL(IF((입고!$C$8:$C$1013=마스터!$M$20)*(입고!$AC$8:$AC$1013=1),ROW(입고!$C$8:$C$1013)-7),15)),"")</f>
        <v/>
      </c>
      <c r="C92" s="8" t="str">
        <f>IF(B92="","",SUMIFS(입고!$F$8:$F$1013,입고!$C$8:$C$1013,마스터!$M$20,입고!$E$8:$E$1013,B92))</f>
        <v/>
      </c>
      <c r="D92" s="8" t="str">
        <f>IF(B92="","",SUMIFS(출고!$F$8:$F$1013,출고!$C$8:$C$1013,마스터!$M$20,출고!$E$8:$E$1013,B92))</f>
        <v/>
      </c>
      <c r="E92" s="40" t="str">
        <f t="shared" si="5"/>
        <v/>
      </c>
    </row>
    <row r="93" spans="1:5" ht="15" customHeight="1" x14ac:dyDescent="0.25">
      <c r="A93" s="11" t="str">
        <f t="shared" si="4"/>
        <v/>
      </c>
      <c r="B93" s="11" t="str">
        <f t="array" ref="B93">IFERROR(INDEX(입고!$E$8:$E$1013,SMALL(IF((입고!$C$8:$C$1013=마스터!$M$20)*(입고!$AC$8:$AC$1013=1),ROW(입고!$C$8:$C$1013)-7),16)),"")</f>
        <v/>
      </c>
      <c r="C93" s="13" t="str">
        <f>IF(B93="","",SUMIFS(입고!$F$8:$F$1013,입고!$C$8:$C$1013,마스터!$M$20,입고!$E$8:$E$1013,B93))</f>
        <v/>
      </c>
      <c r="D93" s="13" t="str">
        <f>IF(B93="","",SUMIFS(출고!$F$8:$F$1013,출고!$C$8:$C$1013,마스터!$M$20,출고!$E$8:$E$1013,B93))</f>
        <v/>
      </c>
      <c r="E93" s="41" t="str">
        <f t="shared" si="5"/>
        <v/>
      </c>
    </row>
    <row r="94" spans="1:5" ht="15" customHeight="1" x14ac:dyDescent="0.25">
      <c r="A94" s="6" t="str">
        <f t="shared" si="4"/>
        <v/>
      </c>
      <c r="B94" s="6" t="str">
        <f t="array" ref="B94">IFERROR(INDEX(입고!$E$8:$E$1013,SMALL(IF((입고!$C$8:$C$1013=마스터!$M$20)*(입고!$AC$8:$AC$1013=1),ROW(입고!$C$8:$C$1013)-7),17)),"")</f>
        <v/>
      </c>
      <c r="C94" s="8" t="str">
        <f>IF(B94="","",SUMIFS(입고!$F$8:$F$1013,입고!$C$8:$C$1013,마스터!$M$20,입고!$E$8:$E$1013,B94))</f>
        <v/>
      </c>
      <c r="D94" s="8" t="str">
        <f>IF(B94="","",SUMIFS(출고!$F$8:$F$1013,출고!$C$8:$C$1013,마스터!$M$20,출고!$E$8:$E$1013,B94))</f>
        <v/>
      </c>
      <c r="E94" s="40" t="str">
        <f t="shared" si="5"/>
        <v/>
      </c>
    </row>
    <row r="95" spans="1:5" ht="15" customHeight="1" x14ac:dyDescent="0.25">
      <c r="A95" s="11" t="str">
        <f t="shared" si="4"/>
        <v/>
      </c>
      <c r="B95" s="11" t="str">
        <f t="array" ref="B95">IFERROR(INDEX(입고!$E$8:$E$1013,SMALL(IF((입고!$C$8:$C$1013=마스터!$M$20)*(입고!$AC$8:$AC$1013=1),ROW(입고!$C$8:$C$1013)-7),18)),"")</f>
        <v/>
      </c>
      <c r="C95" s="13" t="str">
        <f>IF(B95="","",SUMIFS(입고!$F$8:$F$1013,입고!$C$8:$C$1013,마스터!$M$20,입고!$E$8:$E$1013,B95))</f>
        <v/>
      </c>
      <c r="D95" s="13" t="str">
        <f>IF(B95="","",SUMIFS(출고!$F$8:$F$1013,출고!$C$8:$C$1013,마스터!$M$20,출고!$E$8:$E$1013,B95))</f>
        <v/>
      </c>
      <c r="E95" s="41" t="str">
        <f t="shared" si="5"/>
        <v/>
      </c>
    </row>
    <row r="96" spans="1:5" ht="15" customHeight="1" x14ac:dyDescent="0.25">
      <c r="A96" s="6" t="str">
        <f t="shared" si="4"/>
        <v/>
      </c>
      <c r="B96" s="6" t="str">
        <f t="array" ref="B96">IFERROR(INDEX(입고!$E$8:$E$1013,SMALL(IF((입고!$C$8:$C$1013=마스터!$M$20)*(입고!$AC$8:$AC$1013=1),ROW(입고!$C$8:$C$1013)-7),19)),"")</f>
        <v/>
      </c>
      <c r="C96" s="8" t="str">
        <f>IF(B96="","",SUMIFS(입고!$F$8:$F$1013,입고!$C$8:$C$1013,마스터!$M$20,입고!$E$8:$E$1013,B96))</f>
        <v/>
      </c>
      <c r="D96" s="8" t="str">
        <f>IF(B96="","",SUMIFS(출고!$F$8:$F$1013,출고!$C$8:$C$1013,마스터!$M$20,출고!$E$8:$E$1013,B96))</f>
        <v/>
      </c>
      <c r="E96" s="40" t="str">
        <f t="shared" si="5"/>
        <v/>
      </c>
    </row>
    <row r="97" spans="1:5" ht="15" customHeight="1" x14ac:dyDescent="0.25">
      <c r="A97" s="11" t="str">
        <f t="shared" si="4"/>
        <v/>
      </c>
      <c r="B97" s="11" t="str">
        <f t="array" ref="B97">IFERROR(INDEX(입고!$E$8:$E$1013,SMALL(IF((입고!$C$8:$C$1013=마스터!$M$20)*(입고!$AC$8:$AC$1013=1),ROW(입고!$C$8:$C$1013)-7),20)),"")</f>
        <v/>
      </c>
      <c r="C97" s="13" t="str">
        <f>IF(B97="","",SUMIFS(입고!$F$8:$F$1013,입고!$C$8:$C$1013,마스터!$M$20,입고!$E$8:$E$1013,B97))</f>
        <v/>
      </c>
      <c r="D97" s="13" t="str">
        <f>IF(B97="","",SUMIFS(출고!$F$8:$F$1013,출고!$C$8:$C$1013,마스터!$M$20,출고!$E$8:$E$1013,B97))</f>
        <v/>
      </c>
      <c r="E97" s="41" t="str">
        <f t="shared" si="5"/>
        <v/>
      </c>
    </row>
    <row r="98" spans="1:5" ht="15" customHeight="1" x14ac:dyDescent="0.25">
      <c r="A98" s="6" t="str">
        <f t="shared" si="4"/>
        <v/>
      </c>
      <c r="B98" s="6" t="str">
        <f t="array" ref="B98">IFERROR(INDEX(입고!$E$8:$E$1013,SMALL(IF((입고!$C$8:$C$1013=마스터!$M$20)*(입고!$AC$8:$AC$1013=1),ROW(입고!$C$8:$C$1013)-7),21)),"")</f>
        <v/>
      </c>
      <c r="C98" s="8" t="str">
        <f>IF(B98="","",SUMIFS(입고!$F$8:$F$1013,입고!$C$8:$C$1013,마스터!$M$20,입고!$E$8:$E$1013,B98))</f>
        <v/>
      </c>
      <c r="D98" s="8" t="str">
        <f>IF(B98="","",SUMIFS(출고!$F$8:$F$1013,출고!$C$8:$C$1013,마스터!$M$20,출고!$E$8:$E$1013,B98))</f>
        <v/>
      </c>
      <c r="E98" s="40" t="str">
        <f t="shared" si="5"/>
        <v/>
      </c>
    </row>
    <row r="99" spans="1:5" ht="15" customHeight="1" x14ac:dyDescent="0.25">
      <c r="A99" s="11" t="str">
        <f t="shared" si="4"/>
        <v/>
      </c>
      <c r="B99" s="11" t="str">
        <f t="array" ref="B99">IFERROR(INDEX(입고!$E$8:$E$1013,SMALL(IF((입고!$C$8:$C$1013=마스터!$M$20)*(입고!$AC$8:$AC$1013=1),ROW(입고!$C$8:$C$1013)-7),22)),"")</f>
        <v/>
      </c>
      <c r="C99" s="13" t="str">
        <f>IF(B99="","",SUMIFS(입고!$F$8:$F$1013,입고!$C$8:$C$1013,마스터!$M$20,입고!$E$8:$E$1013,B99))</f>
        <v/>
      </c>
      <c r="D99" s="13" t="str">
        <f>IF(B99="","",SUMIFS(출고!$F$8:$F$1013,출고!$C$8:$C$1013,마스터!$M$20,출고!$E$8:$E$1013,B99))</f>
        <v/>
      </c>
      <c r="E99" s="41" t="str">
        <f t="shared" si="5"/>
        <v/>
      </c>
    </row>
    <row r="100" spans="1:5" ht="15" customHeight="1" x14ac:dyDescent="0.25">
      <c r="A100" s="6" t="str">
        <f t="shared" si="4"/>
        <v/>
      </c>
      <c r="B100" s="6" t="str">
        <f t="array" ref="B100">IFERROR(INDEX(입고!$E$8:$E$1013,SMALL(IF((입고!$C$8:$C$1013=마스터!$M$20)*(입고!$AC$8:$AC$1013=1),ROW(입고!$C$8:$C$1013)-7),23)),"")</f>
        <v/>
      </c>
      <c r="C100" s="8" t="str">
        <f>IF(B100="","",SUMIFS(입고!$F$8:$F$1013,입고!$C$8:$C$1013,마스터!$M$20,입고!$E$8:$E$1013,B100))</f>
        <v/>
      </c>
      <c r="D100" s="8" t="str">
        <f>IF(B100="","",SUMIFS(출고!$F$8:$F$1013,출고!$C$8:$C$1013,마스터!$M$20,출고!$E$8:$E$1013,B100))</f>
        <v/>
      </c>
      <c r="E100" s="40" t="str">
        <f t="shared" si="5"/>
        <v/>
      </c>
    </row>
    <row r="101" spans="1:5" ht="15" customHeight="1" x14ac:dyDescent="0.25">
      <c r="A101" s="11" t="str">
        <f t="shared" si="4"/>
        <v/>
      </c>
      <c r="B101" s="11" t="str">
        <f t="array" ref="B101">IFERROR(INDEX(입고!$E$8:$E$1013,SMALL(IF((입고!$C$8:$C$1013=마스터!$M$20)*(입고!$AC$8:$AC$1013=1),ROW(입고!$C$8:$C$1013)-7),24)),"")</f>
        <v/>
      </c>
      <c r="C101" s="13" t="str">
        <f>IF(B101="","",SUMIFS(입고!$F$8:$F$1013,입고!$C$8:$C$1013,마스터!$M$20,입고!$E$8:$E$1013,B101))</f>
        <v/>
      </c>
      <c r="D101" s="13" t="str">
        <f>IF(B101="","",SUMIFS(출고!$F$8:$F$1013,출고!$C$8:$C$1013,마스터!$M$20,출고!$E$8:$E$1013,B101))</f>
        <v/>
      </c>
      <c r="E101" s="41" t="str">
        <f t="shared" si="5"/>
        <v/>
      </c>
    </row>
    <row r="102" spans="1:5" ht="15" customHeight="1" x14ac:dyDescent="0.25">
      <c r="A102" s="6" t="str">
        <f t="shared" si="4"/>
        <v/>
      </c>
      <c r="B102" s="6" t="str">
        <f t="array" ref="B102">IFERROR(INDEX(입고!$E$8:$E$1013,SMALL(IF((입고!$C$8:$C$1013=마스터!$M$20)*(입고!$AC$8:$AC$1013=1),ROW(입고!$C$8:$C$1013)-7),25)),"")</f>
        <v/>
      </c>
      <c r="C102" s="8" t="str">
        <f>IF(B102="","",SUMIFS(입고!$F$8:$F$1013,입고!$C$8:$C$1013,마스터!$M$20,입고!$E$8:$E$1013,B102))</f>
        <v/>
      </c>
      <c r="D102" s="8" t="str">
        <f>IF(B102="","",SUMIFS(출고!$F$8:$F$1013,출고!$C$8:$C$1013,마스터!$M$20,출고!$E$8:$E$1013,B102))</f>
        <v/>
      </c>
      <c r="E102" s="40" t="str">
        <f t="shared" si="5"/>
        <v/>
      </c>
    </row>
    <row r="103" spans="1:5" ht="15" customHeight="1" x14ac:dyDescent="0.25">
      <c r="A103" s="11" t="str">
        <f t="shared" si="4"/>
        <v/>
      </c>
      <c r="B103" s="11" t="str">
        <f t="array" ref="B103">IFERROR(INDEX(입고!$E$8:$E$1013,SMALL(IF((입고!$C$8:$C$1013=마스터!$M$20)*(입고!$AC$8:$AC$1013=1),ROW(입고!$C$8:$C$1013)-7),26)),"")</f>
        <v/>
      </c>
      <c r="C103" s="13" t="str">
        <f>IF(B103="","",SUMIFS(입고!$F$8:$F$1013,입고!$C$8:$C$1013,마스터!$M$20,입고!$E$8:$E$1013,B103))</f>
        <v/>
      </c>
      <c r="D103" s="13" t="str">
        <f>IF(B103="","",SUMIFS(출고!$F$8:$F$1013,출고!$C$8:$C$1013,마스터!$M$20,출고!$E$8:$E$1013,B103))</f>
        <v/>
      </c>
      <c r="E103" s="41" t="str">
        <f t="shared" si="5"/>
        <v/>
      </c>
    </row>
    <row r="104" spans="1:5" ht="15" customHeight="1" x14ac:dyDescent="0.25">
      <c r="A104" s="6" t="str">
        <f t="shared" si="4"/>
        <v/>
      </c>
      <c r="B104" s="6" t="str">
        <f t="array" ref="B104">IFERROR(INDEX(입고!$E$8:$E$1013,SMALL(IF((입고!$C$8:$C$1013=마스터!$M$20)*(입고!$AC$8:$AC$1013=1),ROW(입고!$C$8:$C$1013)-7),27)),"")</f>
        <v/>
      </c>
      <c r="C104" s="8" t="str">
        <f>IF(B104="","",SUMIFS(입고!$F$8:$F$1013,입고!$C$8:$C$1013,마스터!$M$20,입고!$E$8:$E$1013,B104))</f>
        <v/>
      </c>
      <c r="D104" s="8" t="str">
        <f>IF(B104="","",SUMIFS(출고!$F$8:$F$1013,출고!$C$8:$C$1013,마스터!$M$20,출고!$E$8:$E$1013,B104))</f>
        <v/>
      </c>
      <c r="E104" s="40" t="str">
        <f t="shared" si="5"/>
        <v/>
      </c>
    </row>
    <row r="105" spans="1:5" ht="15" customHeight="1" x14ac:dyDescent="0.25">
      <c r="A105" s="11" t="str">
        <f t="shared" si="4"/>
        <v/>
      </c>
      <c r="B105" s="11" t="str">
        <f t="array" ref="B105">IFERROR(INDEX(입고!$E$8:$E$1013,SMALL(IF((입고!$C$8:$C$1013=마스터!$M$20)*(입고!$AC$8:$AC$1013=1),ROW(입고!$C$8:$C$1013)-7),28)),"")</f>
        <v/>
      </c>
      <c r="C105" s="13" t="str">
        <f>IF(B105="","",SUMIFS(입고!$F$8:$F$1013,입고!$C$8:$C$1013,마스터!$M$20,입고!$E$8:$E$1013,B105))</f>
        <v/>
      </c>
      <c r="D105" s="13" t="str">
        <f>IF(B105="","",SUMIFS(출고!$F$8:$F$1013,출고!$C$8:$C$1013,마스터!$M$20,출고!$E$8:$E$1013,B105))</f>
        <v/>
      </c>
      <c r="E105" s="41" t="str">
        <f t="shared" si="5"/>
        <v/>
      </c>
    </row>
    <row r="106" spans="1:5" ht="15" customHeight="1" x14ac:dyDescent="0.25">
      <c r="A106" s="6" t="str">
        <f t="shared" si="4"/>
        <v/>
      </c>
      <c r="B106" s="6" t="str">
        <f t="array" ref="B106">IFERROR(INDEX(입고!$E$8:$E$1013,SMALL(IF((입고!$C$8:$C$1013=마스터!$M$20)*(입고!$AC$8:$AC$1013=1),ROW(입고!$C$8:$C$1013)-7),29)),"")</f>
        <v/>
      </c>
      <c r="C106" s="8" t="str">
        <f>IF(B106="","",SUMIFS(입고!$F$8:$F$1013,입고!$C$8:$C$1013,마스터!$M$20,입고!$E$8:$E$1013,B106))</f>
        <v/>
      </c>
      <c r="D106" s="8" t="str">
        <f>IF(B106="","",SUMIFS(출고!$F$8:$F$1013,출고!$C$8:$C$1013,마스터!$M$20,출고!$E$8:$E$1013,B106))</f>
        <v/>
      </c>
      <c r="E106" s="40" t="str">
        <f t="shared" si="5"/>
        <v/>
      </c>
    </row>
    <row r="107" spans="1:5" ht="15" customHeight="1" x14ac:dyDescent="0.25">
      <c r="A107" s="11" t="str">
        <f t="shared" si="4"/>
        <v/>
      </c>
      <c r="B107" s="11" t="str">
        <f t="array" ref="B107">IFERROR(INDEX(입고!$E$8:$E$1013,SMALL(IF((입고!$C$8:$C$1013=마스터!$M$20)*(입고!$AC$8:$AC$1013=1),ROW(입고!$C$8:$C$1013)-7),30)),"")</f>
        <v/>
      </c>
      <c r="C107" s="13" t="str">
        <f>IF(B107="","",SUMIFS(입고!$F$8:$F$1013,입고!$C$8:$C$1013,마스터!$M$20,입고!$E$8:$E$1013,B107))</f>
        <v/>
      </c>
      <c r="D107" s="13" t="str">
        <f>IF(B107="","",SUMIFS(출고!$F$8:$F$1013,출고!$C$8:$C$1013,마스터!$M$20,출고!$E$8:$E$1013,B107))</f>
        <v/>
      </c>
      <c r="E107" s="41" t="str">
        <f t="shared" si="5"/>
        <v/>
      </c>
    </row>
  </sheetData>
  <mergeCells count="4">
    <mergeCell ref="A1:I2"/>
    <mergeCell ref="A10:G10"/>
    <mergeCell ref="A43:G43"/>
    <mergeCell ref="A76:E76"/>
  </mergeCells>
  <phoneticPr fontId="40" type="noConversion"/>
  <conditionalFormatting sqref="E78:E107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인덱스</vt:lpstr>
      <vt:lpstr>입고</vt:lpstr>
      <vt:lpstr>출고</vt:lpstr>
      <vt:lpstr>LOT조회</vt:lpstr>
      <vt:lpstr>마스터</vt:lpstr>
      <vt:lpstr>96K국산 25T × 200W × 7320L</vt:lpstr>
      <vt:lpstr>96K국산 25T × 300W × 7320L</vt:lpstr>
      <vt:lpstr>96K국산 38T × 600W × 4800L</vt:lpstr>
      <vt:lpstr>96K국산 50T × 400W × 3800L</vt:lpstr>
      <vt:lpstr>96K국산 50T × 610W × 3600L</vt:lpstr>
      <vt:lpstr>96K수입 25T × 150W × 7400L</vt:lpstr>
      <vt:lpstr>96K수입 38T × 150W × 4800L</vt:lpstr>
      <vt:lpstr>96K수입 50T × 150W × 3600L</vt:lpstr>
      <vt:lpstr>96K수입 50T × 400W × 3600L</vt:lpstr>
      <vt:lpstr>96K수입 50T × 600W × 3600L</vt:lpstr>
      <vt:lpstr>96K수입 50T × 1000W × 3600L</vt:lpstr>
      <vt:lpstr>100K수입 25T × 150W × 7400L</vt:lpstr>
      <vt:lpstr>100K수입 25T × 200W × 7400L</vt:lpstr>
      <vt:lpstr>100K수입 25T × 300W × 7400L</vt:lpstr>
      <vt:lpstr>100K수입 38T × 600W × 4800L</vt:lpstr>
      <vt:lpstr>100K수입 50T × 600W × 3600L</vt:lpstr>
      <vt:lpstr>128K수입 25T × 200W × 7400L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숙희 정</cp:lastModifiedBy>
  <cp:revision>0</cp:revision>
  <dcterms:created xsi:type="dcterms:W3CDTF">2026-05-19T11:04:34Z</dcterms:created>
  <dcterms:modified xsi:type="dcterms:W3CDTF">2026-05-20T23:11:23Z</dcterms:modified>
  <dc:language>en-US</dc:language>
</cp:coreProperties>
</file>