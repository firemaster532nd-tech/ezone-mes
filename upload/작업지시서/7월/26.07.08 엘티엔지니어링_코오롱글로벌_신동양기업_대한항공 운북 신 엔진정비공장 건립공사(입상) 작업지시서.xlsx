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D\Desktop\"/>
    </mc:Choice>
  </mc:AlternateContent>
  <xr:revisionPtr revIDLastSave="0" documentId="13_ncr:1_{F6CB085A-7690-45BB-B6B9-FA1D4554C0F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1. 소켓인수검사" sheetId="1" r:id="rId1"/>
    <sheet name="2.1 재단(1.69,064)" sheetId="2" r:id="rId2"/>
    <sheet name="3.1 절곡(HTG1.69)(브라켓,보강대,받침대)" sheetId="3" r:id="rId3"/>
    <sheet name="4. 차열재 소켓용 (수정)" sheetId="4" r:id="rId4"/>
    <sheet name="5. 차열재 출하용" sheetId="5" r:id="rId5"/>
    <sheet name="라벨소요량" sheetId="6" r:id="rId6"/>
    <sheet name="발주서정리" sheetId="7" r:id="rId7"/>
  </sheets>
  <definedNames>
    <definedName name="_xlnm.Print_Area" localSheetId="0">'1. 소켓인수검사'!$A$1:$G$11</definedName>
    <definedName name="_xlnm.Print_Area" localSheetId="2">'3.1 절곡(HTG1.69)(브라켓,보강대,받침대)'!$A$1:$AY$11</definedName>
    <definedName name="_xlnm.Print_Titles" localSheetId="0">'1. 소켓인수검사'!$6:$8</definedName>
    <definedName name="_xlnm.Print_Titles" localSheetId="1">'2.1 재단(1.69,064)'!$5:$7</definedName>
    <definedName name="_xlnm.Print_Titles" localSheetId="2">'3.1 절곡(HTG1.69)(브라켓,보강대,받침대)'!$1:$3</definedName>
    <definedName name="_xlnm.Print_Titles" localSheetId="3">'4. 차열재 소켓용 (수정)'!$1:$6</definedName>
    <definedName name="_xlnm.Print_Titles" localSheetId="4">'5. 차열재 출하용'!$8:$9</definedName>
    <definedName name="_xlnm.Print_Titles" localSheetId="5">라벨소요량!$5:$6</definedName>
    <definedName name="_xlnm.Print_Titl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9" i="6" l="1"/>
  <c r="X8" i="6"/>
  <c r="X7" i="6"/>
  <c r="V9" i="6"/>
  <c r="V8" i="6"/>
  <c r="V7" i="6"/>
  <c r="T9" i="6"/>
  <c r="T8" i="6"/>
  <c r="T7" i="6"/>
  <c r="R7" i="6"/>
  <c r="R9" i="6"/>
  <c r="R8" i="6"/>
  <c r="V11" i="3" l="1"/>
  <c r="J2" i="2"/>
  <c r="AA9" i="6" l="1"/>
  <c r="AA8" i="6"/>
  <c r="AA7" i="6"/>
  <c r="P10" i="6" l="1"/>
  <c r="N10" i="6"/>
  <c r="L10" i="6"/>
  <c r="J10" i="6"/>
  <c r="H10" i="6"/>
  <c r="K14" i="4"/>
  <c r="I14" i="4"/>
  <c r="AN11" i="3"/>
  <c r="AH11" i="3"/>
  <c r="P11" i="3"/>
  <c r="J11" i="3"/>
  <c r="J1" i="6"/>
  <c r="P5" i="5"/>
  <c r="M5" i="4"/>
  <c r="M1" i="3"/>
  <c r="D1" i="1"/>
  <c r="AM10" i="3"/>
  <c r="AL10" i="3"/>
  <c r="AM9" i="3"/>
  <c r="AL9" i="3"/>
  <c r="AG10" i="3"/>
  <c r="AF10" i="3"/>
  <c r="AG9" i="3"/>
  <c r="AF9" i="3"/>
  <c r="N10" i="3"/>
  <c r="N9" i="3"/>
  <c r="N8" i="3"/>
  <c r="D9" i="6" l="1"/>
  <c r="C9" i="6"/>
  <c r="B9" i="6"/>
  <c r="A9" i="6"/>
  <c r="D8" i="6"/>
  <c r="C8" i="6"/>
  <c r="B8" i="6"/>
  <c r="A8" i="6"/>
  <c r="D7" i="6"/>
  <c r="C7" i="6"/>
  <c r="B7" i="6"/>
  <c r="A7" i="6"/>
  <c r="D12" i="5"/>
  <c r="C12" i="5"/>
  <c r="B12" i="5"/>
  <c r="A12" i="5"/>
  <c r="D11" i="5"/>
  <c r="C11" i="5"/>
  <c r="B11" i="5"/>
  <c r="A11" i="5"/>
  <c r="D10" i="5"/>
  <c r="C10" i="5"/>
  <c r="B10" i="5"/>
  <c r="A10" i="5"/>
  <c r="D13" i="4"/>
  <c r="J13" i="4" s="1"/>
  <c r="C13" i="4"/>
  <c r="H13" i="4" s="1"/>
  <c r="B13" i="4"/>
  <c r="A13" i="4"/>
  <c r="D12" i="4"/>
  <c r="J12" i="4" s="1"/>
  <c r="C12" i="4"/>
  <c r="H12" i="4" s="1"/>
  <c r="B12" i="4"/>
  <c r="A12" i="4"/>
  <c r="D11" i="4"/>
  <c r="J11" i="4" s="1"/>
  <c r="C11" i="4"/>
  <c r="H11" i="4" s="1"/>
  <c r="B11" i="4"/>
  <c r="A11" i="4"/>
  <c r="AB10" i="3"/>
  <c r="AA10" i="3"/>
  <c r="Z10" i="3"/>
  <c r="D10" i="3"/>
  <c r="Y10" i="3" s="1"/>
  <c r="C10" i="3"/>
  <c r="A10" i="3"/>
  <c r="AB9" i="3"/>
  <c r="AA9" i="3"/>
  <c r="Z9" i="3"/>
  <c r="D9" i="3"/>
  <c r="Y9" i="3" s="1"/>
  <c r="C9" i="3"/>
  <c r="A9" i="3"/>
  <c r="AM8" i="3"/>
  <c r="AL8" i="3"/>
  <c r="AG8" i="3"/>
  <c r="AF8" i="3"/>
  <c r="AB8" i="3"/>
  <c r="AA8" i="3"/>
  <c r="Z8" i="3"/>
  <c r="D8" i="3"/>
  <c r="Y8" i="3" s="1"/>
  <c r="C8" i="3"/>
  <c r="A8" i="3"/>
  <c r="L10" i="2"/>
  <c r="H10" i="2"/>
  <c r="D10" i="2"/>
  <c r="C10" i="2"/>
  <c r="A10" i="2"/>
  <c r="L9" i="2"/>
  <c r="H9" i="2"/>
  <c r="D9" i="2"/>
  <c r="C9" i="2"/>
  <c r="A9" i="2"/>
  <c r="L8" i="2"/>
  <c r="H8" i="2"/>
  <c r="D8" i="2"/>
  <c r="C8" i="2"/>
  <c r="A8" i="2"/>
  <c r="AB11" i="3" l="1"/>
  <c r="AC10" i="2"/>
  <c r="K10" i="2"/>
  <c r="AB10" i="2"/>
  <c r="J10" i="2"/>
  <c r="AB8" i="2"/>
  <c r="AH8" i="2" s="1"/>
  <c r="AI8" i="2" s="1"/>
  <c r="AJ8" i="2" s="1"/>
  <c r="AK8" i="2" s="1"/>
  <c r="T8" i="2" s="1"/>
  <c r="J8" i="2"/>
  <c r="AC8" i="2"/>
  <c r="K8" i="2"/>
  <c r="AB9" i="2"/>
  <c r="AH9" i="2" s="1"/>
  <c r="AI9" i="2" s="1"/>
  <c r="AJ9" i="2" s="1"/>
  <c r="AK9" i="2" s="1"/>
  <c r="T9" i="2" s="1"/>
  <c r="J9" i="2"/>
  <c r="AC9" i="2"/>
  <c r="K9" i="2"/>
  <c r="G8" i="2"/>
  <c r="G9" i="2"/>
  <c r="G10" i="2"/>
  <c r="AK10" i="3"/>
  <c r="M10" i="3"/>
  <c r="I10" i="3"/>
  <c r="O10" i="3" s="1"/>
  <c r="AE10" i="3"/>
  <c r="AE9" i="3"/>
  <c r="M9" i="3"/>
  <c r="AK9" i="3"/>
  <c r="I9" i="3"/>
  <c r="O9" i="3" s="1"/>
  <c r="AK8" i="3"/>
  <c r="M8" i="3"/>
  <c r="AE8" i="3"/>
  <c r="I8" i="3"/>
  <c r="O8" i="3" s="1"/>
  <c r="G7" i="6"/>
  <c r="M7" i="6" s="1"/>
  <c r="F12" i="5"/>
  <c r="G12" i="5" s="1"/>
  <c r="I12" i="5" s="1"/>
  <c r="F7" i="6"/>
  <c r="F8" i="6"/>
  <c r="E10" i="5"/>
  <c r="F10" i="5"/>
  <c r="G9" i="6"/>
  <c r="M9" i="6" s="1"/>
  <c r="F9" i="6"/>
  <c r="E12" i="5"/>
  <c r="E11" i="5"/>
  <c r="G8" i="6"/>
  <c r="K8" i="6" s="1"/>
  <c r="F11" i="5"/>
  <c r="N11" i="5" l="1"/>
  <c r="U8" i="6"/>
  <c r="AS9" i="3"/>
  <c r="W8" i="6"/>
  <c r="W7" i="6"/>
  <c r="N10" i="5"/>
  <c r="U7" i="6"/>
  <c r="AS8" i="3"/>
  <c r="AD8" i="2"/>
  <c r="AE8" i="2" s="1"/>
  <c r="AF8" i="2" s="1"/>
  <c r="AG8" i="2" s="1"/>
  <c r="Z8" i="2" s="1"/>
  <c r="AH10" i="2"/>
  <c r="AI10" i="2" s="1"/>
  <c r="AJ10" i="2" s="1"/>
  <c r="AK10" i="2" s="1"/>
  <c r="T10" i="2" s="1"/>
  <c r="AD10" i="2"/>
  <c r="AE10" i="2" s="1"/>
  <c r="AF10" i="2" s="1"/>
  <c r="AG10" i="2" s="1"/>
  <c r="Z10" i="2" s="1"/>
  <c r="AD9" i="2"/>
  <c r="AE9" i="2" s="1"/>
  <c r="AF9" i="2" s="1"/>
  <c r="AG9" i="2" s="1"/>
  <c r="Z9" i="2" s="1"/>
  <c r="J10" i="5"/>
  <c r="L10" i="5" s="1"/>
  <c r="J12" i="5"/>
  <c r="L12" i="5" s="1"/>
  <c r="K7" i="6"/>
  <c r="G10" i="5"/>
  <c r="I10" i="5" s="1"/>
  <c r="I7" i="6"/>
  <c r="I9" i="6"/>
  <c r="K9" i="6"/>
  <c r="P12" i="5"/>
  <c r="R12" i="5" s="1"/>
  <c r="P10" i="5"/>
  <c r="R10" i="5" s="1"/>
  <c r="I8" i="6"/>
  <c r="M8" i="6"/>
  <c r="G11" i="5"/>
  <c r="I11" i="5" s="1"/>
  <c r="P11" i="5"/>
  <c r="R11" i="5" s="1"/>
  <c r="J11" i="5"/>
  <c r="L11" i="5" s="1"/>
  <c r="L13" i="5" l="1"/>
  <c r="G15" i="5" s="1"/>
  <c r="Z11" i="2"/>
  <c r="T11" i="2"/>
  <c r="S7" i="6"/>
  <c r="AY8" i="3"/>
  <c r="Q7" i="6"/>
  <c r="AY9" i="3"/>
  <c r="S8" i="6"/>
  <c r="Q8" i="6"/>
  <c r="S9" i="6"/>
  <c r="AY10" i="3"/>
  <c r="Q9" i="6"/>
  <c r="W9" i="6"/>
  <c r="N12" i="5"/>
  <c r="U9" i="6"/>
  <c r="AS10" i="3"/>
  <c r="I13" i="5"/>
  <c r="G14" i="5" s="1"/>
  <c r="R13" i="5"/>
  <c r="G16" i="5" s="1"/>
  <c r="U13" i="5"/>
  <c r="G17" i="5" s="1"/>
  <c r="N13" i="5" l="1"/>
  <c r="AY11" i="3"/>
  <c r="V10" i="6"/>
  <c r="R10" i="6"/>
  <c r="T10" i="6"/>
  <c r="AS11" i="3"/>
  <c r="X10" i="6"/>
</calcChain>
</file>

<file path=xl/sharedStrings.xml><?xml version="1.0" encoding="utf-8"?>
<sst xmlns="http://schemas.openxmlformats.org/spreadsheetml/2006/main" count="243" uniqueCount="117">
  <si>
    <t>HTG-1.69</t>
  </si>
  <si>
    <t>차열시트</t>
  </si>
  <si>
    <t>수량</t>
  </si>
  <si>
    <t>차열재</t>
  </si>
  <si>
    <t>No</t>
  </si>
  <si>
    <t>비고</t>
  </si>
  <si>
    <t>특이사항 및
   조치사항</t>
  </si>
  <si>
    <t>특이사항 및   조치사항</t>
  </si>
  <si>
    <t>차열재생산일지(출하용)</t>
  </si>
  <si>
    <t>업체</t>
  </si>
  <si>
    <t>상하1</t>
  </si>
  <si>
    <t>d</t>
  </si>
  <si>
    <t>보강대</t>
  </si>
  <si>
    <t>상하2</t>
  </si>
  <si>
    <t>25*
1400</t>
  </si>
  <si>
    <t>세로</t>
  </si>
  <si>
    <t>산출량</t>
  </si>
  <si>
    <t>TTL</t>
  </si>
  <si>
    <t>상하</t>
  </si>
  <si>
    <t>폭</t>
  </si>
  <si>
    <t>둘레</t>
  </si>
  <si>
    <t>품명</t>
  </si>
  <si>
    <t>작업자</t>
  </si>
  <si>
    <t>좌우</t>
  </si>
  <si>
    <t>합계</t>
  </si>
  <si>
    <t>규격</t>
  </si>
  <si>
    <t>No.</t>
  </si>
  <si>
    <t>가로</t>
  </si>
  <si>
    <t>면적</t>
  </si>
  <si>
    <t>총량</t>
  </si>
  <si>
    <t>두께</t>
  </si>
  <si>
    <t>구조</t>
  </si>
  <si>
    <t>25*1400</t>
  </si>
  <si>
    <t xml:space="preserve">업 체 </t>
  </si>
  <si>
    <t>생산 종료</t>
  </si>
  <si>
    <t>수량(EA)</t>
  </si>
  <si>
    <t>방화
소켓</t>
  </si>
  <si>
    <t>생산 시작</t>
  </si>
  <si>
    <t>수량
(EA)</t>
  </si>
  <si>
    <t>인정번호</t>
  </si>
  <si>
    <t>생산일자</t>
  </si>
  <si>
    <t>50*600</t>
  </si>
  <si>
    <t>소켓 Lot</t>
  </si>
  <si>
    <t>설치위치</t>
  </si>
  <si>
    <t>재고여부</t>
  </si>
  <si>
    <t>평철(mm)</t>
  </si>
  <si>
    <t>설비번호</t>
  </si>
  <si>
    <t>소켓내부용</t>
  </si>
  <si>
    <t>50*
600</t>
  </si>
  <si>
    <t>차열재(50*600*3.6M)</t>
  </si>
  <si>
    <t>차열재(38*600*4.8M)</t>
  </si>
  <si>
    <t>그라스울(25*1000*20M)</t>
  </si>
  <si>
    <t>그라스울(25*1400*20M)</t>
  </si>
  <si>
    <t>차열재(96K)
(틈새복합시트용)</t>
  </si>
  <si>
    <t>*VM 200(1000*1000)기준</t>
  </si>
  <si>
    <t>LOT NO</t>
  </si>
  <si>
    <t>틈새강판(Z형)</t>
  </si>
  <si>
    <t>플래싱시트(Z형)</t>
  </si>
  <si>
    <t>플래싱(Z형 강판)</t>
  </si>
  <si>
    <t>25*
1000</t>
  </si>
  <si>
    <t>※ 상하 : [상(3장)+하(3장)] * 소켓(2개) = 12개
※ 받침대 : [2장/대] * 4곳 * 소켓(2개) = 16개
* 4T*255* 55M</t>
  </si>
  <si>
    <t>FS-MP25-0910-04</t>
  </si>
  <si>
    <t>차열재(96K) : 단열용</t>
  </si>
  <si>
    <t>차열재(소켓용)(25T*300)(96K)</t>
  </si>
  <si>
    <t>EZ F.B POSMAC Duct-HTG-1.69</t>
  </si>
  <si>
    <t>25*200</t>
  </si>
  <si>
    <t>25*1000</t>
  </si>
  <si>
    <t>받침대1</t>
  </si>
  <si>
    <t>Lot No</t>
  </si>
  <si>
    <t>틈새복합시트용</t>
  </si>
  <si>
    <t>Z형 플래싱용</t>
  </si>
  <si>
    <t>받침대2</t>
  </si>
  <si>
    <t>틈새복합시트</t>
  </si>
  <si>
    <t>플래싱(Z형)</t>
  </si>
  <si>
    <t>그라스울</t>
  </si>
  <si>
    <t>38*600</t>
  </si>
  <si>
    <t>38*
600</t>
  </si>
  <si>
    <t>분할</t>
    <phoneticPr fontId="32" type="noConversion"/>
  </si>
  <si>
    <t>재단작업지시서</t>
    <phoneticPr fontId="32" type="noConversion"/>
  </si>
  <si>
    <t>절곡작업지시서</t>
    <phoneticPr fontId="32" type="noConversion"/>
  </si>
  <si>
    <t>차열재 생산일지(소켓외부용)</t>
    <phoneticPr fontId="32" type="noConversion"/>
  </si>
  <si>
    <t>라벨소요량(웰스홈_국립한국문학관(입상)_251203 )</t>
    <phoneticPr fontId="32" type="noConversion"/>
  </si>
  <si>
    <t>라벨소요량</t>
    <phoneticPr fontId="32" type="noConversion"/>
  </si>
  <si>
    <t>소요량</t>
    <phoneticPr fontId="32" type="noConversion"/>
  </si>
  <si>
    <t>구조체작업지시서</t>
    <phoneticPr fontId="32" type="noConversion"/>
  </si>
  <si>
    <t>개구부W</t>
  </si>
  <si>
    <t>개구부H</t>
  </si>
  <si>
    <t>Z둘레</t>
  </si>
  <si>
    <t>Z이론</t>
  </si>
  <si>
    <t>Z×로스</t>
  </si>
  <si>
    <t>Z올림</t>
  </si>
  <si>
    <t>H둘레</t>
  </si>
  <si>
    <t>H이론</t>
  </si>
  <si>
    <t>H×로스</t>
  </si>
  <si>
    <t>H올림</t>
  </si>
  <si>
    <t>틈새</t>
    <phoneticPr fontId="32" type="noConversion"/>
  </si>
  <si>
    <t>z형</t>
    <phoneticPr fontId="32" type="noConversion"/>
  </si>
  <si>
    <t>좌우</t>
    <phoneticPr fontId="32" type="noConversion"/>
  </si>
  <si>
    <t>규격</t>
    <phoneticPr fontId="32" type="noConversion"/>
  </si>
  <si>
    <t>상하(4T)</t>
    <phoneticPr fontId="32" type="noConversion"/>
  </si>
  <si>
    <t>받침대(4T)</t>
    <phoneticPr fontId="32" type="noConversion"/>
  </si>
  <si>
    <t>좌우(4T)</t>
    <phoneticPr fontId="32" type="noConversion"/>
  </si>
  <si>
    <t>26.07.08 엘티엔지니어링_코오롱글로벌_신동양기업_대한항공 운북 신 엔진정비공장 건립공사</t>
    <phoneticPr fontId="32" type="noConversion"/>
  </si>
  <si>
    <t>1300</t>
  </si>
  <si>
    <t>1100</t>
  </si>
  <si>
    <t>1500</t>
  </si>
  <si>
    <t>800</t>
  </si>
  <si>
    <t>1800</t>
  </si>
  <si>
    <r>
      <t>지하</t>
    </r>
    <r>
      <rPr>
        <b/>
        <sz val="10"/>
        <color rgb="FF000000"/>
        <rFont val="Helvetica Neue"/>
        <family val="2"/>
      </rPr>
      <t>1</t>
    </r>
    <r>
      <rPr>
        <b/>
        <sz val="10"/>
        <color rgb="FF000000"/>
        <rFont val="Helvetica Neue"/>
      </rPr>
      <t>층</t>
    </r>
    <r>
      <rPr>
        <b/>
        <sz val="10"/>
        <color rgb="FF000000"/>
        <rFont val="Helvetica Neue"/>
        <family val="2"/>
      </rPr>
      <t xml:space="preserve"> PS-9(B1F</t>
    </r>
    <r>
      <rPr>
        <b/>
        <sz val="10"/>
        <color rgb="FF000000"/>
        <rFont val="Helvetica Neue"/>
      </rPr>
      <t>→</t>
    </r>
    <r>
      <rPr>
        <b/>
        <sz val="10"/>
        <color rgb="FF000000"/>
        <rFont val="Helvetica Neue"/>
        <family val="2"/>
      </rPr>
      <t>1F)</t>
    </r>
  </si>
  <si>
    <r>
      <rPr>
        <b/>
        <sz val="10"/>
        <color rgb="FF000000"/>
        <rFont val="Helvetica Neue"/>
      </rPr>
      <t>지상</t>
    </r>
    <r>
      <rPr>
        <b/>
        <sz val="10"/>
        <color rgb="FF000000"/>
        <rFont val="Helvetica Neue"/>
        <family val="2"/>
      </rPr>
      <t>3</t>
    </r>
    <r>
      <rPr>
        <b/>
        <sz val="10"/>
        <color rgb="FF000000"/>
        <rFont val="Helvetica Neue"/>
      </rPr>
      <t>층</t>
    </r>
    <r>
      <rPr>
        <b/>
        <sz val="10"/>
        <color rgb="FF000000"/>
        <rFont val="Helvetica Neue"/>
        <family val="2"/>
      </rPr>
      <t xml:space="preserve"> </t>
    </r>
    <r>
      <rPr>
        <b/>
        <sz val="10"/>
        <color rgb="FF000000"/>
        <rFont val="Helvetica Neue"/>
      </rPr>
      <t>세척장상부</t>
    </r>
    <r>
      <rPr>
        <b/>
        <sz val="10"/>
        <color rgb="FF000000"/>
        <rFont val="Helvetica Neue"/>
        <family val="2"/>
      </rPr>
      <t>(3F</t>
    </r>
    <r>
      <rPr>
        <b/>
        <sz val="10"/>
        <color rgb="FF000000"/>
        <rFont val="Helvetica Neue"/>
      </rPr>
      <t>→</t>
    </r>
    <r>
      <rPr>
        <b/>
        <sz val="10"/>
        <color rgb="FF000000"/>
        <rFont val="Helvetica Neue"/>
        <family val="2"/>
      </rPr>
      <t>4F)</t>
    </r>
  </si>
  <si>
    <t>03</t>
    <phoneticPr fontId="32" type="noConversion"/>
  </si>
  <si>
    <t>04</t>
    <phoneticPr fontId="32" type="noConversion"/>
  </si>
  <si>
    <t>05</t>
    <phoneticPr fontId="32" type="noConversion"/>
  </si>
  <si>
    <t>AJ085</t>
  </si>
  <si>
    <t>AJ086</t>
  </si>
  <si>
    <t>AJ087</t>
  </si>
  <si>
    <t>HTG-1.69</t>
    <phoneticPr fontId="3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</si>
</sst>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&quot; &quot;* #,##0&quot; &quot;;&quot;-&quot;* #,##0&quot; &quot;;&quot; &quot;* &quot;- &quot;;&quot; &quot;@&quot; &quot;"/>
    <numFmt numFmtId="177" formatCode="0_);[Red]\(0\)"/>
  </numFmts>
  <fonts count="39">
    <font>
      <sz val="11"/>
      <color rgb="FF000000"/>
      <name val="맑은 고딕"/>
    </font>
    <font>
      <sz val="10"/>
      <color rgb="FF000000"/>
      <name val="Helvetica Neue"/>
    </font>
    <font>
      <sz val="10"/>
      <color rgb="FF000000"/>
      <name val="맑은 고딕"/>
      <family val="3"/>
      <charset val="129"/>
    </font>
    <font>
      <b/>
      <sz val="10"/>
      <color rgb="FF000000"/>
      <name val="Helvetica Neue"/>
    </font>
    <font>
      <sz val="18"/>
      <color rgb="FF000000"/>
      <name val="맑은 고딕"/>
      <family val="3"/>
      <charset val="129"/>
    </font>
    <font>
      <b/>
      <sz val="10"/>
      <color rgb="FF002060"/>
      <name val="Helvetica Neue"/>
    </font>
    <font>
      <sz val="11"/>
      <color rgb="FF000000"/>
      <name val="Helvetica Neue"/>
    </font>
    <font>
      <b/>
      <sz val="11"/>
      <color rgb="FF002060"/>
      <name val="Helvetica Neue"/>
    </font>
    <font>
      <b/>
      <sz val="11"/>
      <color rgb="FF00206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28"/>
      <color rgb="FF000000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sz val="11"/>
      <color rgb="FF002060"/>
      <name val="Helvetica Neue"/>
    </font>
    <font>
      <sz val="9"/>
      <color rgb="FF000000"/>
      <name val="Helvetica Neue"/>
    </font>
    <font>
      <b/>
      <sz val="11"/>
      <color rgb="FF00B050"/>
      <name val="맑은 고딕"/>
      <family val="3"/>
      <charset val="129"/>
    </font>
    <font>
      <b/>
      <sz val="11"/>
      <color rgb="FF7030A0"/>
      <name val="맑은 고딕"/>
      <family val="3"/>
      <charset val="129"/>
    </font>
    <font>
      <b/>
      <sz val="11"/>
      <color rgb="FF4472C4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10"/>
      <color rgb="FF002060"/>
      <name val="맑은 고딕"/>
      <family val="3"/>
      <charset val="129"/>
    </font>
    <font>
      <sz val="10"/>
      <color rgb="FF5B9BD5"/>
      <name val="맑은 고딕"/>
      <family val="3"/>
      <charset val="129"/>
    </font>
    <font>
      <sz val="10"/>
      <color rgb="FF44546A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sz val="19"/>
      <color rgb="FF00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1"/>
      <color rgb="FF7030A0"/>
      <name val="맑은 고딕"/>
      <family val="3"/>
      <charset val="129"/>
    </font>
    <font>
      <sz val="20"/>
      <color rgb="FF000000"/>
      <name val="맑은 고딕"/>
      <family val="3"/>
      <charset val="129"/>
    </font>
    <font>
      <b/>
      <sz val="11"/>
      <color rgb="FFC00000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sz val="14"/>
      <color rgb="FF4472C4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70C0"/>
      <name val="맑은 고딕"/>
      <family val="3"/>
      <charset val="129"/>
    </font>
    <font>
      <sz val="16"/>
      <color rgb="FF000000"/>
      <name val="맑은 고딕"/>
      <family val="3"/>
      <charset val="129"/>
    </font>
    <font>
      <sz val="18"/>
      <color rgb="FF000000"/>
      <name val="Helvetica Neue"/>
      <family val="3"/>
      <charset val="129"/>
    </font>
    <font>
      <sz val="12"/>
      <color rgb="FF000000"/>
      <name val="맑은 고딕"/>
      <family val="3"/>
      <charset val="129"/>
    </font>
    <font>
      <sz val="12"/>
      <color rgb="FF000000"/>
      <name val="Helvetica Neue"/>
      <family val="3"/>
      <charset val="129"/>
    </font>
    <font>
      <b/>
      <sz val="10"/>
      <color rgb="FF000000"/>
      <name val="Helvetica Neue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8D6"/>
        <bgColor indexed="64"/>
      </patternFill>
    </fill>
    <fill>
      <patternFill patternType="solid">
        <fgColor rgb="FFC6E0B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</fills>
  <borders count="7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A5A5A5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rgb="FFA5A5A5"/>
      </left>
      <right style="thin">
        <color rgb="FFA5A5A5"/>
      </right>
      <top/>
      <bottom/>
      <diagonal/>
    </border>
    <border>
      <left style="thin">
        <color rgb="FFA5A5A5"/>
      </left>
      <right style="thin">
        <color rgb="FFA5A5A5"/>
      </right>
      <top/>
      <bottom style="thin">
        <color rgb="FFA5A5A5"/>
      </bottom>
      <diagonal/>
    </border>
    <border>
      <left/>
      <right/>
      <top/>
      <bottom style="medium">
        <color auto="1"/>
      </bottom>
      <diagonal/>
    </border>
    <border>
      <left style="thin">
        <color rgb="FFA5A5A5"/>
      </left>
      <right/>
      <top style="thin">
        <color rgb="FFA5A5A5"/>
      </top>
      <bottom/>
      <diagonal/>
    </border>
    <border>
      <left style="thin">
        <color rgb="FFA5A5A5"/>
      </left>
      <right/>
      <top/>
      <bottom style="thin">
        <color rgb="FFA5A5A5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</borders>
  <cellStyleXfs count="4">
    <xf numFmtId="0" fontId="0" fillId="0" borderId="0">
      <alignment vertical="center"/>
    </xf>
    <xf numFmtId="0" fontId="31" fillId="0" borderId="0">
      <alignment vertical="center"/>
    </xf>
    <xf numFmtId="176" fontId="31" fillId="0" borderId="0">
      <alignment vertical="center"/>
    </xf>
    <xf numFmtId="0" fontId="1" fillId="0" borderId="0">
      <alignment vertical="center"/>
    </xf>
  </cellStyleXfs>
  <cellXfs count="29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31" fillId="0" borderId="0" xfId="1">
      <alignment vertical="center"/>
    </xf>
    <xf numFmtId="0" fontId="1" fillId="0" borderId="0" xfId="3" applyAlignment="1">
      <alignment vertical="top" wrapText="1"/>
    </xf>
    <xf numFmtId="0" fontId="1" fillId="0" borderId="0" xfId="3">
      <alignment vertical="center"/>
    </xf>
    <xf numFmtId="0" fontId="3" fillId="2" borderId="0" xfId="3" applyFont="1" applyFill="1" applyAlignment="1">
      <alignment vertical="center" wrapText="1"/>
    </xf>
    <xf numFmtId="0" fontId="1" fillId="0" borderId="0" xfId="3" applyAlignment="1">
      <alignment vertical="center" wrapText="1"/>
    </xf>
    <xf numFmtId="0" fontId="3" fillId="2" borderId="0" xfId="3" applyFont="1" applyFill="1" applyAlignment="1">
      <alignment horizontal="center" vertical="center" wrapText="1"/>
    </xf>
    <xf numFmtId="0" fontId="4" fillId="0" borderId="0" xfId="3" applyFont="1" applyAlignment="1">
      <alignment horizontal="left" vertical="center"/>
    </xf>
    <xf numFmtId="0" fontId="5" fillId="0" borderId="3" xfId="3" applyFont="1" applyBorder="1" applyAlignment="1">
      <alignment horizontal="center" vertical="center" wrapText="1"/>
    </xf>
    <xf numFmtId="0" fontId="3" fillId="0" borderId="2" xfId="3" applyFont="1" applyBorder="1" applyAlignment="1">
      <alignment horizontal="center" vertical="center" wrapText="1"/>
    </xf>
    <xf numFmtId="0" fontId="3" fillId="0" borderId="0" xfId="3" applyFont="1" applyAlignment="1">
      <alignment horizontal="center" vertical="center" wrapText="1"/>
    </xf>
    <xf numFmtId="176" fontId="31" fillId="0" borderId="4" xfId="2" applyBorder="1" applyAlignment="1">
      <alignment horizontal="center" vertical="center"/>
    </xf>
    <xf numFmtId="176" fontId="31" fillId="0" borderId="5" xfId="2" applyBorder="1" applyAlignment="1">
      <alignment horizontal="center" vertical="center"/>
    </xf>
    <xf numFmtId="176" fontId="31" fillId="0" borderId="6" xfId="2" applyBorder="1" applyAlignment="1">
      <alignment horizontal="center" vertical="center"/>
    </xf>
    <xf numFmtId="0" fontId="6" fillId="3" borderId="3" xfId="3" applyFont="1" applyFill="1" applyBorder="1" applyAlignment="1">
      <alignment horizontal="center" vertical="center" wrapText="1"/>
    </xf>
    <xf numFmtId="0" fontId="31" fillId="0" borderId="9" xfId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9" fillId="0" borderId="0" xfId="0" applyFont="1">
      <alignment vertical="center"/>
    </xf>
    <xf numFmtId="0" fontId="9" fillId="0" borderId="1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1" fillId="0" borderId="11" xfId="1" applyFont="1" applyBorder="1" applyAlignment="1">
      <alignment horizontal="center" vertical="center"/>
    </xf>
    <xf numFmtId="0" fontId="31" fillId="0" borderId="16" xfId="1" applyBorder="1" applyAlignment="1">
      <alignment horizontal="center" vertical="center"/>
    </xf>
    <xf numFmtId="0" fontId="31" fillId="0" borderId="0" xfId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31" fillId="0" borderId="20" xfId="1" applyBorder="1" applyAlignment="1">
      <alignment horizontal="center" vertical="center" wrapText="1"/>
    </xf>
    <xf numFmtId="0" fontId="7" fillId="0" borderId="20" xfId="3" applyFont="1" applyBorder="1" applyAlignment="1">
      <alignment horizontal="center" vertical="center" wrapText="1"/>
    </xf>
    <xf numFmtId="0" fontId="12" fillId="0" borderId="20" xfId="1" applyFont="1" applyBorder="1" applyAlignment="1">
      <alignment horizontal="center" vertical="center" wrapText="1"/>
    </xf>
    <xf numFmtId="0" fontId="9" fillId="0" borderId="20" xfId="1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1" fillId="0" borderId="21" xfId="1" applyBorder="1">
      <alignment vertical="center"/>
    </xf>
    <xf numFmtId="0" fontId="0" fillId="0" borderId="20" xfId="1" applyFont="1" applyBorder="1" applyAlignment="1">
      <alignment horizontal="center" vertical="center" wrapText="1"/>
    </xf>
    <xf numFmtId="0" fontId="13" fillId="0" borderId="20" xfId="3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2" borderId="20" xfId="1" applyFont="1" applyFill="1" applyBorder="1" applyAlignment="1">
      <alignment horizontal="center" vertical="center"/>
    </xf>
    <xf numFmtId="0" fontId="14" fillId="3" borderId="20" xfId="3" applyFont="1" applyFill="1" applyBorder="1" applyAlignment="1">
      <alignment horizontal="center" vertical="center" wrapText="1"/>
    </xf>
    <xf numFmtId="0" fontId="10" fillId="4" borderId="20" xfId="0" applyFont="1" applyFill="1" applyBorder="1" applyAlignment="1">
      <alignment horizontal="center" vertical="center" wrapText="1"/>
    </xf>
    <xf numFmtId="0" fontId="2" fillId="4" borderId="23" xfId="0" applyFont="1" applyFill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0" fillId="5" borderId="20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2" fillId="0" borderId="20" xfId="1" applyFont="1" applyBorder="1" applyAlignment="1">
      <alignment horizontal="center" vertical="center" wrapText="1"/>
    </xf>
    <xf numFmtId="0" fontId="2" fillId="6" borderId="20" xfId="1" applyFont="1" applyFill="1" applyBorder="1" applyAlignment="1">
      <alignment horizontal="center" vertical="center" wrapText="1"/>
    </xf>
    <xf numFmtId="0" fontId="0" fillId="0" borderId="19" xfId="1" applyFont="1" applyBorder="1" applyAlignment="1">
      <alignment horizontal="center" vertical="center"/>
    </xf>
    <xf numFmtId="0" fontId="19" fillId="0" borderId="20" xfId="1" applyFont="1" applyBorder="1" applyAlignment="1">
      <alignment horizontal="center" vertical="center" wrapText="1"/>
    </xf>
    <xf numFmtId="0" fontId="19" fillId="6" borderId="20" xfId="1" applyFont="1" applyFill="1" applyBorder="1" applyAlignment="1">
      <alignment horizontal="center" vertical="center" wrapText="1"/>
    </xf>
    <xf numFmtId="0" fontId="2" fillId="2" borderId="20" xfId="1" applyFont="1" applyFill="1" applyBorder="1" applyAlignment="1">
      <alignment horizontal="center" vertical="center" wrapText="1"/>
    </xf>
    <xf numFmtId="0" fontId="2" fillId="0" borderId="23" xfId="1" applyFont="1" applyBorder="1" applyAlignment="1">
      <alignment horizontal="center" vertical="center" shrinkToFit="1"/>
    </xf>
    <xf numFmtId="0" fontId="18" fillId="0" borderId="20" xfId="1" applyFont="1" applyBorder="1" applyAlignment="1">
      <alignment horizontal="center" vertical="center" wrapText="1"/>
    </xf>
    <xf numFmtId="0" fontId="0" fillId="2" borderId="20" xfId="1" applyFont="1" applyFill="1" applyBorder="1" applyAlignment="1">
      <alignment horizontal="center" vertical="center" wrapText="1"/>
    </xf>
    <xf numFmtId="0" fontId="20" fillId="0" borderId="20" xfId="1" applyFont="1" applyBorder="1" applyAlignment="1">
      <alignment horizontal="center" vertical="center" shrinkToFit="1"/>
    </xf>
    <xf numFmtId="0" fontId="21" fillId="0" borderId="20" xfId="1" applyFont="1" applyBorder="1" applyAlignment="1">
      <alignment horizontal="center" vertical="center" shrinkToFit="1"/>
    </xf>
    <xf numFmtId="0" fontId="2" fillId="0" borderId="21" xfId="1" applyFont="1" applyBorder="1" applyAlignment="1">
      <alignment horizontal="center" vertical="center" wrapText="1"/>
    </xf>
    <xf numFmtId="0" fontId="2" fillId="0" borderId="21" xfId="1" applyFont="1" applyBorder="1" applyAlignment="1">
      <alignment vertical="center" wrapText="1"/>
    </xf>
    <xf numFmtId="0" fontId="10" fillId="0" borderId="21" xfId="1" applyFont="1" applyBorder="1" applyAlignment="1">
      <alignment horizontal="center" vertical="center" wrapText="1"/>
    </xf>
    <xf numFmtId="0" fontId="31" fillId="0" borderId="24" xfId="1" applyBorder="1">
      <alignment vertical="center"/>
    </xf>
    <xf numFmtId="0" fontId="7" fillId="10" borderId="20" xfId="3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 wrapText="1"/>
    </xf>
    <xf numFmtId="0" fontId="0" fillId="0" borderId="37" xfId="0" applyBorder="1" applyAlignment="1">
      <alignment horizontal="center" vertical="center"/>
    </xf>
    <xf numFmtId="0" fontId="10" fillId="3" borderId="20" xfId="1" applyFont="1" applyFill="1" applyBorder="1" applyAlignment="1">
      <alignment horizontal="center" vertical="center" wrapText="1"/>
    </xf>
    <xf numFmtId="0" fontId="15" fillId="0" borderId="20" xfId="1" applyFont="1" applyBorder="1" applyAlignment="1">
      <alignment horizontal="center" vertical="center" wrapText="1"/>
    </xf>
    <xf numFmtId="0" fontId="9" fillId="0" borderId="20" xfId="1" applyFont="1" applyBorder="1">
      <alignment vertical="center"/>
    </xf>
    <xf numFmtId="0" fontId="0" fillId="5" borderId="21" xfId="0" applyFill="1" applyBorder="1" applyAlignment="1">
      <alignment horizontal="center" vertical="center" wrapText="1"/>
    </xf>
    <xf numFmtId="0" fontId="9" fillId="7" borderId="21" xfId="0" applyFont="1" applyFill="1" applyBorder="1" applyAlignment="1">
      <alignment horizontal="center" vertical="center" wrapText="1"/>
    </xf>
    <xf numFmtId="0" fontId="22" fillId="6" borderId="21" xfId="0" applyFont="1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 wrapText="1"/>
    </xf>
    <xf numFmtId="0" fontId="1" fillId="0" borderId="8" xfId="3" applyBorder="1" applyAlignment="1">
      <alignment vertical="top" wrapText="1"/>
    </xf>
    <xf numFmtId="0" fontId="23" fillId="0" borderId="25" xfId="0" applyFont="1" applyBorder="1">
      <alignment vertical="center"/>
    </xf>
    <xf numFmtId="0" fontId="23" fillId="0" borderId="61" xfId="0" applyFont="1" applyBorder="1">
      <alignment vertical="center"/>
    </xf>
    <xf numFmtId="0" fontId="23" fillId="0" borderId="53" xfId="0" applyFont="1" applyBorder="1">
      <alignment vertical="center"/>
    </xf>
    <xf numFmtId="0" fontId="23" fillId="0" borderId="54" xfId="0" applyFont="1" applyBorder="1">
      <alignment vertical="center"/>
    </xf>
    <xf numFmtId="0" fontId="23" fillId="0" borderId="65" xfId="0" applyFont="1" applyBorder="1">
      <alignment vertical="center"/>
    </xf>
    <xf numFmtId="0" fontId="11" fillId="0" borderId="68" xfId="1" applyFont="1" applyBorder="1" applyAlignment="1">
      <alignment horizontal="center" vertical="center"/>
    </xf>
    <xf numFmtId="0" fontId="11" fillId="0" borderId="72" xfId="1" applyFont="1" applyBorder="1" applyAlignment="1">
      <alignment horizontal="center" vertical="center"/>
    </xf>
    <xf numFmtId="0" fontId="4" fillId="0" borderId="25" xfId="1" applyFont="1" applyBorder="1">
      <alignment vertical="center"/>
    </xf>
    <xf numFmtId="0" fontId="4" fillId="0" borderId="61" xfId="1" applyFont="1" applyBorder="1">
      <alignment vertical="center"/>
    </xf>
    <xf numFmtId="0" fontId="4" fillId="0" borderId="65" xfId="1" applyFont="1" applyBorder="1">
      <alignment vertical="center"/>
    </xf>
    <xf numFmtId="0" fontId="2" fillId="0" borderId="0" xfId="3" applyFont="1">
      <alignment vertical="center"/>
    </xf>
    <xf numFmtId="0" fontId="10" fillId="7" borderId="21" xfId="1" applyFont="1" applyFill="1" applyBorder="1" applyAlignment="1">
      <alignment horizontal="center" vertical="center" wrapText="1"/>
    </xf>
    <xf numFmtId="0" fontId="1" fillId="0" borderId="2" xfId="3" quotePrefix="1" applyBorder="1" applyAlignment="1">
      <alignment horizontal="center" vertical="center" wrapText="1"/>
    </xf>
    <xf numFmtId="2" fontId="0" fillId="0" borderId="0" xfId="0" applyNumberFormat="1">
      <alignment vertical="center"/>
    </xf>
    <xf numFmtId="0" fontId="0" fillId="6" borderId="0" xfId="0" applyFill="1">
      <alignment vertical="center"/>
    </xf>
    <xf numFmtId="0" fontId="9" fillId="6" borderId="0" xfId="0" applyFont="1" applyFill="1">
      <alignment vertical="center"/>
    </xf>
    <xf numFmtId="0" fontId="9" fillId="11" borderId="0" xfId="0" applyFont="1" applyFill="1">
      <alignment vertical="center"/>
    </xf>
    <xf numFmtId="0" fontId="0" fillId="11" borderId="0" xfId="0" applyFill="1">
      <alignment vertical="center"/>
    </xf>
    <xf numFmtId="0" fontId="12" fillId="0" borderId="20" xfId="1" applyFont="1" applyBorder="1" applyAlignment="1">
      <alignment vertical="center" wrapText="1"/>
    </xf>
    <xf numFmtId="0" fontId="31" fillId="4" borderId="20" xfId="1" applyFill="1" applyBorder="1" applyAlignment="1">
      <alignment horizontal="center" vertical="center"/>
    </xf>
    <xf numFmtId="0" fontId="2" fillId="4" borderId="20" xfId="1" applyFont="1" applyFill="1" applyBorder="1" applyAlignment="1">
      <alignment horizontal="center" vertical="center" wrapText="1"/>
    </xf>
    <xf numFmtId="0" fontId="2" fillId="4" borderId="20" xfId="1" applyFont="1" applyFill="1" applyBorder="1" applyAlignment="1">
      <alignment vertical="center" wrapText="1"/>
    </xf>
    <xf numFmtId="0" fontId="0" fillId="0" borderId="20" xfId="0" applyBorder="1" applyAlignment="1">
      <alignment horizontal="center" vertical="center"/>
    </xf>
    <xf numFmtId="0" fontId="31" fillId="0" borderId="20" xfId="1" applyBorder="1" applyAlignment="1">
      <alignment vertical="center" wrapText="1"/>
    </xf>
    <xf numFmtId="0" fontId="33" fillId="0" borderId="20" xfId="1" applyFont="1" applyBorder="1" applyAlignment="1">
      <alignment vertical="center" wrapText="1"/>
    </xf>
    <xf numFmtId="0" fontId="25" fillId="0" borderId="20" xfId="1" applyFont="1" applyBorder="1" applyAlignment="1">
      <alignment vertical="center" wrapText="1"/>
    </xf>
    <xf numFmtId="176" fontId="31" fillId="0" borderId="20" xfId="1" applyNumberFormat="1" applyBorder="1" applyAlignment="1">
      <alignment horizontal="center" vertical="center" wrapText="1"/>
    </xf>
    <xf numFmtId="0" fontId="22" fillId="6" borderId="20" xfId="0" applyFont="1" applyFill="1" applyBorder="1" applyAlignment="1">
      <alignment vertical="center" wrapText="1"/>
    </xf>
    <xf numFmtId="0" fontId="2" fillId="0" borderId="30" xfId="1" applyFont="1" applyBorder="1" applyAlignment="1">
      <alignment vertical="center" wrapText="1"/>
    </xf>
    <xf numFmtId="0" fontId="38" fillId="0" borderId="2" xfId="3" applyFont="1" applyBorder="1" applyAlignment="1">
      <alignment horizontal="center" vertical="center" wrapText="1"/>
    </xf>
    <xf numFmtId="0" fontId="4" fillId="0" borderId="52" xfId="3" applyFont="1" applyBorder="1" applyAlignment="1">
      <alignment horizontal="center" vertical="center" wrapText="1"/>
    </xf>
    <xf numFmtId="0" fontId="35" fillId="0" borderId="53" xfId="3" applyFont="1" applyBorder="1" applyAlignment="1">
      <alignment horizontal="center" vertical="center" wrapText="1"/>
    </xf>
    <xf numFmtId="0" fontId="35" fillId="0" borderId="55" xfId="3" applyFont="1" applyBorder="1" applyAlignment="1">
      <alignment horizontal="center" vertical="center" wrapText="1"/>
    </xf>
    <xf numFmtId="0" fontId="35" fillId="0" borderId="0" xfId="3" applyFont="1" applyAlignment="1">
      <alignment horizontal="center" vertical="center" wrapText="1"/>
    </xf>
    <xf numFmtId="0" fontId="35" fillId="0" borderId="57" xfId="3" applyFont="1" applyBorder="1" applyAlignment="1">
      <alignment horizontal="center" vertical="center" wrapText="1"/>
    </xf>
    <xf numFmtId="0" fontId="35" fillId="0" borderId="34" xfId="3" applyFont="1" applyBorder="1" applyAlignment="1">
      <alignment horizontal="center" vertical="center" wrapText="1"/>
    </xf>
    <xf numFmtId="0" fontId="36" fillId="0" borderId="53" xfId="3" applyFont="1" applyBorder="1" applyAlignment="1">
      <alignment horizontal="center" vertical="center" wrapText="1"/>
    </xf>
    <xf numFmtId="0" fontId="37" fillId="0" borderId="53" xfId="3" applyFont="1" applyBorder="1" applyAlignment="1">
      <alignment horizontal="center" vertical="center" wrapText="1"/>
    </xf>
    <xf numFmtId="0" fontId="37" fillId="0" borderId="54" xfId="3" applyFont="1" applyBorder="1" applyAlignment="1">
      <alignment horizontal="center" vertical="center" wrapText="1"/>
    </xf>
    <xf numFmtId="0" fontId="37" fillId="0" borderId="0" xfId="3" applyFont="1" applyAlignment="1">
      <alignment horizontal="center" vertical="center" wrapText="1"/>
    </xf>
    <xf numFmtId="0" fontId="37" fillId="0" borderId="56" xfId="3" applyFont="1" applyBorder="1" applyAlignment="1">
      <alignment horizontal="center" vertical="center" wrapText="1"/>
    </xf>
    <xf numFmtId="0" fontId="37" fillId="0" borderId="34" xfId="3" applyFont="1" applyBorder="1" applyAlignment="1">
      <alignment horizontal="center" vertical="center" wrapText="1"/>
    </xf>
    <xf numFmtId="0" fontId="37" fillId="0" borderId="58" xfId="3" applyFont="1" applyBorder="1" applyAlignment="1">
      <alignment horizontal="center" vertical="center" wrapText="1"/>
    </xf>
    <xf numFmtId="0" fontId="1" fillId="8" borderId="3" xfId="3" applyFill="1" applyBorder="1" applyAlignment="1">
      <alignment horizontal="center" vertical="center" wrapText="1"/>
    </xf>
    <xf numFmtId="0" fontId="1" fillId="8" borderId="32" xfId="3" applyFill="1" applyBorder="1" applyAlignment="1">
      <alignment horizontal="center" vertical="center" wrapText="1"/>
    </xf>
    <xf numFmtId="0" fontId="1" fillId="8" borderId="33" xfId="3" applyFill="1" applyBorder="1" applyAlignment="1">
      <alignment horizontal="center" vertical="center" wrapText="1"/>
    </xf>
    <xf numFmtId="0" fontId="3" fillId="8" borderId="3" xfId="3" applyFont="1" applyFill="1" applyBorder="1" applyAlignment="1">
      <alignment horizontal="center" vertical="center" wrapText="1"/>
    </xf>
    <xf numFmtId="0" fontId="3" fillId="8" borderId="32" xfId="3" applyFont="1" applyFill="1" applyBorder="1" applyAlignment="1">
      <alignment horizontal="center" vertical="center" wrapText="1"/>
    </xf>
    <xf numFmtId="0" fontId="3" fillId="8" borderId="33" xfId="3" applyFont="1" applyFill="1" applyBorder="1" applyAlignment="1">
      <alignment horizontal="center" vertical="center" wrapText="1"/>
    </xf>
    <xf numFmtId="0" fontId="3" fillId="8" borderId="2" xfId="3" applyFont="1" applyFill="1" applyBorder="1" applyAlignment="1">
      <alignment horizontal="center" vertical="center" wrapText="1"/>
    </xf>
    <xf numFmtId="176" fontId="31" fillId="0" borderId="31" xfId="2" applyBorder="1" applyAlignment="1">
      <alignment horizontal="center" vertical="center"/>
    </xf>
    <xf numFmtId="176" fontId="31" fillId="0" borderId="13" xfId="2" applyBorder="1" applyAlignment="1">
      <alignment horizontal="center" vertical="center"/>
    </xf>
    <xf numFmtId="0" fontId="4" fillId="0" borderId="34" xfId="3" applyFont="1" applyBorder="1" applyAlignment="1">
      <alignment horizontal="left" vertical="center"/>
    </xf>
    <xf numFmtId="0" fontId="3" fillId="8" borderId="35" xfId="3" applyFont="1" applyFill="1" applyBorder="1" applyAlignment="1">
      <alignment horizontal="center" vertical="center" wrapText="1"/>
    </xf>
    <xf numFmtId="0" fontId="3" fillId="8" borderId="36" xfId="3" applyFont="1" applyFill="1" applyBorder="1" applyAlignment="1">
      <alignment horizontal="center" vertical="center" wrapText="1"/>
    </xf>
    <xf numFmtId="0" fontId="9" fillId="0" borderId="29" xfId="1" applyFont="1" applyBorder="1" applyAlignment="1">
      <alignment horizontal="center" vertical="center" wrapText="1"/>
    </xf>
    <xf numFmtId="0" fontId="15" fillId="0" borderId="29" xfId="1" applyFont="1" applyBorder="1" applyAlignment="1">
      <alignment horizontal="center" vertical="center" wrapText="1"/>
    </xf>
    <xf numFmtId="0" fontId="17" fillId="0" borderId="29" xfId="1" applyFont="1" applyBorder="1" applyAlignment="1">
      <alignment horizontal="center" vertical="center" wrapText="1"/>
    </xf>
    <xf numFmtId="177" fontId="17" fillId="0" borderId="74" xfId="1" applyNumberFormat="1" applyFont="1" applyBorder="1" applyAlignment="1">
      <alignment horizontal="center" vertical="center" wrapText="1"/>
    </xf>
    <xf numFmtId="177" fontId="17" fillId="0" borderId="75" xfId="1" applyNumberFormat="1" applyFont="1" applyBorder="1" applyAlignment="1">
      <alignment horizontal="center" vertical="center" wrapText="1"/>
    </xf>
    <xf numFmtId="0" fontId="17" fillId="0" borderId="20" xfId="1" applyFont="1" applyBorder="1" applyAlignment="1">
      <alignment horizontal="center" vertical="center" wrapText="1"/>
    </xf>
    <xf numFmtId="0" fontId="0" fillId="0" borderId="59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3" borderId="20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 wrapText="1"/>
    </xf>
    <xf numFmtId="0" fontId="10" fillId="3" borderId="20" xfId="0" applyFont="1" applyFill="1" applyBorder="1" applyAlignment="1">
      <alignment horizontal="center" vertical="center" wrapText="1"/>
    </xf>
    <xf numFmtId="0" fontId="23" fillId="0" borderId="52" xfId="0" applyFont="1" applyBorder="1" applyAlignment="1">
      <alignment horizontal="center" vertical="center"/>
    </xf>
    <xf numFmtId="0" fontId="23" fillId="0" borderId="53" xfId="0" applyFont="1" applyBorder="1" applyAlignment="1">
      <alignment horizontal="center" vertical="center"/>
    </xf>
    <xf numFmtId="0" fontId="23" fillId="0" borderId="57" xfId="0" applyFont="1" applyBorder="1" applyAlignment="1">
      <alignment horizontal="center" vertical="center"/>
    </xf>
    <xf numFmtId="0" fontId="23" fillId="0" borderId="34" xfId="0" applyFont="1" applyBorder="1" applyAlignment="1">
      <alignment horizontal="center" vertical="center"/>
    </xf>
    <xf numFmtId="0" fontId="34" fillId="0" borderId="53" xfId="0" applyFont="1" applyBorder="1" applyAlignment="1">
      <alignment horizontal="center" vertical="center" wrapText="1"/>
    </xf>
    <xf numFmtId="0" fontId="34" fillId="0" borderId="54" xfId="0" applyFont="1" applyBorder="1" applyAlignment="1">
      <alignment horizontal="center" vertical="center" wrapText="1"/>
    </xf>
    <xf numFmtId="0" fontId="34" fillId="0" borderId="34" xfId="0" applyFont="1" applyBorder="1" applyAlignment="1">
      <alignment horizontal="center" vertical="center" wrapText="1"/>
    </xf>
    <xf numFmtId="0" fontId="34" fillId="0" borderId="58" xfId="0" applyFont="1" applyBorder="1" applyAlignment="1">
      <alignment horizontal="center" vertical="center" wrapText="1"/>
    </xf>
    <xf numFmtId="0" fontId="10" fillId="3" borderId="20" xfId="1" applyFont="1" applyFill="1" applyBorder="1" applyAlignment="1">
      <alignment horizontal="center" vertical="center" wrapText="1"/>
    </xf>
    <xf numFmtId="0" fontId="10" fillId="3" borderId="74" xfId="1" applyFont="1" applyFill="1" applyBorder="1" applyAlignment="1">
      <alignment horizontal="center" vertical="center" wrapText="1"/>
    </xf>
    <xf numFmtId="0" fontId="10" fillId="3" borderId="75" xfId="1" applyFont="1" applyFill="1" applyBorder="1" applyAlignment="1">
      <alignment horizontal="center" vertical="center" wrapText="1"/>
    </xf>
    <xf numFmtId="0" fontId="10" fillId="3" borderId="73" xfId="0" applyFont="1" applyFill="1" applyBorder="1" applyAlignment="1">
      <alignment horizontal="center" vertical="center" wrapText="1"/>
    </xf>
    <xf numFmtId="0" fontId="10" fillId="3" borderId="45" xfId="0" applyFont="1" applyFill="1" applyBorder="1" applyAlignment="1">
      <alignment horizontal="center" vertical="center" wrapText="1"/>
    </xf>
    <xf numFmtId="0" fontId="10" fillId="3" borderId="76" xfId="0" applyFont="1" applyFill="1" applyBorder="1" applyAlignment="1">
      <alignment horizontal="center" vertical="center" wrapText="1"/>
    </xf>
    <xf numFmtId="0" fontId="10" fillId="3" borderId="22" xfId="0" applyFont="1" applyFill="1" applyBorder="1" applyAlignment="1">
      <alignment horizontal="center" vertical="center" wrapText="1"/>
    </xf>
    <xf numFmtId="0" fontId="10" fillId="3" borderId="23" xfId="0" applyFont="1" applyFill="1" applyBorder="1" applyAlignment="1">
      <alignment horizontal="center" vertical="center" wrapText="1"/>
    </xf>
    <xf numFmtId="177" fontId="9" fillId="0" borderId="27" xfId="1" applyNumberFormat="1" applyFont="1" applyBorder="1" applyAlignment="1">
      <alignment horizontal="center" vertical="center" wrapText="1"/>
    </xf>
    <xf numFmtId="177" fontId="9" fillId="0" borderId="0" xfId="1" applyNumberFormat="1" applyFont="1" applyAlignment="1">
      <alignment horizontal="center" vertical="center" wrapText="1"/>
    </xf>
    <xf numFmtId="177" fontId="9" fillId="0" borderId="28" xfId="1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7" xfId="0" applyBorder="1" applyAlignment="1">
      <alignment horizontal="left" vertical="top" wrapText="1"/>
    </xf>
    <xf numFmtId="0" fontId="0" fillId="0" borderId="38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26" xfId="0" applyBorder="1" applyAlignment="1">
      <alignment horizontal="left" vertical="top"/>
    </xf>
    <xf numFmtId="0" fontId="0" fillId="0" borderId="39" xfId="0" applyBorder="1" applyAlignment="1">
      <alignment horizontal="left" vertical="top"/>
    </xf>
    <xf numFmtId="0" fontId="0" fillId="0" borderId="16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0" fillId="9" borderId="19" xfId="0" applyFill="1" applyBorder="1" applyAlignment="1">
      <alignment horizontal="center" vertical="center"/>
    </xf>
    <xf numFmtId="0" fontId="0" fillId="9" borderId="20" xfId="0" applyFill="1" applyBorder="1" applyAlignment="1">
      <alignment horizontal="center" vertical="center"/>
    </xf>
    <xf numFmtId="177" fontId="9" fillId="0" borderId="20" xfId="1" applyNumberFormat="1" applyFont="1" applyBorder="1" applyAlignment="1">
      <alignment horizontal="center" vertical="center" wrapText="1"/>
    </xf>
    <xf numFmtId="0" fontId="31" fillId="0" borderId="20" xfId="1" applyBorder="1" applyAlignment="1">
      <alignment horizontal="center" vertical="center" wrapText="1"/>
    </xf>
    <xf numFmtId="0" fontId="25" fillId="0" borderId="20" xfId="1" applyFont="1" applyBorder="1" applyAlignment="1">
      <alignment horizontal="center" vertical="center" wrapText="1"/>
    </xf>
    <xf numFmtId="0" fontId="27" fillId="0" borderId="20" xfId="1" applyFont="1" applyBorder="1" applyAlignment="1">
      <alignment horizontal="center" vertical="center" wrapText="1"/>
    </xf>
    <xf numFmtId="177" fontId="31" fillId="0" borderId="20" xfId="1" applyNumberFormat="1" applyBorder="1" applyAlignment="1">
      <alignment horizontal="center" vertical="center" wrapText="1"/>
    </xf>
    <xf numFmtId="0" fontId="26" fillId="0" borderId="47" xfId="1" applyFont="1" applyBorder="1" applyAlignment="1">
      <alignment horizontal="center" vertical="center"/>
    </xf>
    <xf numFmtId="0" fontId="26" fillId="0" borderId="0" xfId="1" applyFont="1" applyAlignment="1">
      <alignment horizontal="center" vertical="center"/>
    </xf>
    <xf numFmtId="0" fontId="26" fillId="0" borderId="50" xfId="1" applyFont="1" applyBorder="1" applyAlignment="1">
      <alignment horizontal="center" vertical="center"/>
    </xf>
    <xf numFmtId="0" fontId="26" fillId="0" borderId="47" xfId="1" applyFont="1" applyBorder="1" applyAlignment="1">
      <alignment horizontal="center" vertical="center" wrapText="1"/>
    </xf>
    <xf numFmtId="0" fontId="26" fillId="0" borderId="48" xfId="1" applyFont="1" applyBorder="1" applyAlignment="1">
      <alignment horizontal="center" vertical="center" wrapText="1"/>
    </xf>
    <xf numFmtId="0" fontId="26" fillId="0" borderId="0" xfId="1" applyFont="1" applyAlignment="1">
      <alignment horizontal="center" vertical="center" wrapText="1"/>
    </xf>
    <xf numFmtId="0" fontId="26" fillId="0" borderId="49" xfId="1" applyFont="1" applyBorder="1" applyAlignment="1">
      <alignment horizontal="center" vertical="center" wrapText="1"/>
    </xf>
    <xf numFmtId="0" fontId="26" fillId="0" borderId="50" xfId="1" applyFont="1" applyBorder="1" applyAlignment="1">
      <alignment horizontal="center" vertical="center" wrapText="1"/>
    </xf>
    <xf numFmtId="0" fontId="26" fillId="0" borderId="51" xfId="1" applyFont="1" applyBorder="1" applyAlignment="1">
      <alignment horizontal="center" vertical="center" wrapText="1"/>
    </xf>
    <xf numFmtId="0" fontId="24" fillId="0" borderId="20" xfId="1" applyFont="1" applyBorder="1" applyAlignment="1">
      <alignment horizontal="center" vertical="center" wrapText="1"/>
    </xf>
    <xf numFmtId="0" fontId="9" fillId="0" borderId="20" xfId="1" applyFont="1" applyBorder="1" applyAlignment="1">
      <alignment horizontal="center" vertical="center" wrapText="1"/>
    </xf>
    <xf numFmtId="0" fontId="16" fillId="0" borderId="20" xfId="1" applyFont="1" applyBorder="1" applyAlignment="1">
      <alignment horizontal="center" vertical="center" wrapText="1"/>
    </xf>
    <xf numFmtId="0" fontId="2" fillId="4" borderId="20" xfId="1" applyFont="1" applyFill="1" applyBorder="1" applyAlignment="1">
      <alignment horizontal="center" vertical="center" wrapText="1"/>
    </xf>
    <xf numFmtId="0" fontId="31" fillId="0" borderId="66" xfId="1" applyBorder="1" applyAlignment="1">
      <alignment horizontal="center" vertical="center"/>
    </xf>
    <xf numFmtId="0" fontId="31" fillId="0" borderId="67" xfId="1" applyBorder="1" applyAlignment="1">
      <alignment horizontal="center" vertical="center"/>
    </xf>
    <xf numFmtId="0" fontId="31" fillId="0" borderId="69" xfId="1" applyBorder="1" applyAlignment="1">
      <alignment horizontal="center" vertical="center"/>
    </xf>
    <xf numFmtId="0" fontId="31" fillId="0" borderId="1" xfId="1" applyBorder="1" applyAlignment="1">
      <alignment horizontal="center" vertical="center"/>
    </xf>
    <xf numFmtId="0" fontId="31" fillId="0" borderId="70" xfId="1" applyBorder="1" applyAlignment="1">
      <alignment horizontal="center" vertical="center"/>
    </xf>
    <xf numFmtId="0" fontId="31" fillId="0" borderId="71" xfId="1" applyBorder="1" applyAlignment="1">
      <alignment horizontal="center" vertical="center"/>
    </xf>
    <xf numFmtId="0" fontId="31" fillId="0" borderId="0" xfId="1" applyAlignment="1">
      <alignment horizontal="center" vertical="center"/>
    </xf>
    <xf numFmtId="0" fontId="31" fillId="4" borderId="20" xfId="1" applyFill="1" applyBorder="1" applyAlignment="1">
      <alignment horizontal="center" vertical="center"/>
    </xf>
    <xf numFmtId="177" fontId="33" fillId="0" borderId="20" xfId="1" applyNumberFormat="1" applyFont="1" applyBorder="1" applyAlignment="1">
      <alignment horizontal="center" vertical="center"/>
    </xf>
    <xf numFmtId="0" fontId="2" fillId="4" borderId="37" xfId="0" applyFont="1" applyFill="1" applyBorder="1" applyAlignment="1">
      <alignment horizontal="center" vertical="center" wrapText="1"/>
    </xf>
    <xf numFmtId="0" fontId="2" fillId="4" borderId="38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2" fillId="4" borderId="39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center" vertical="center" wrapText="1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31" fillId="0" borderId="1" xfId="1" applyBorder="1" applyAlignment="1">
      <alignment horizontal="center" vertical="center" wrapText="1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4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7" xfId="0" applyBorder="1" applyAlignment="1">
      <alignment horizontal="center" vertical="center" wrapText="1" shrinkToFit="1"/>
    </xf>
    <xf numFmtId="0" fontId="0" fillId="0" borderId="38" xfId="0" applyBorder="1" applyAlignment="1">
      <alignment horizontal="center" vertical="center" wrapText="1" shrinkToFit="1"/>
    </xf>
    <xf numFmtId="0" fontId="0" fillId="0" borderId="14" xfId="0" applyBorder="1" applyAlignment="1">
      <alignment horizontal="center" vertical="center" wrapText="1" shrinkToFit="1"/>
    </xf>
    <xf numFmtId="0" fontId="0" fillId="0" borderId="39" xfId="0" applyBorder="1" applyAlignment="1">
      <alignment horizontal="center" vertical="center" wrapText="1" shrinkToFit="1"/>
    </xf>
    <xf numFmtId="0" fontId="0" fillId="0" borderId="16" xfId="0" applyBorder="1" applyAlignment="1">
      <alignment horizontal="center" vertical="center" wrapText="1" shrinkToFit="1"/>
    </xf>
    <xf numFmtId="0" fontId="0" fillId="0" borderId="15" xfId="0" applyBorder="1" applyAlignment="1">
      <alignment horizontal="center" vertical="center" wrapText="1" shrinkToFit="1"/>
    </xf>
    <xf numFmtId="0" fontId="0" fillId="0" borderId="46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 wrapText="1"/>
    </xf>
    <xf numFmtId="0" fontId="28" fillId="2" borderId="1" xfId="0" applyFont="1" applyFill="1" applyBorder="1" applyAlignment="1">
      <alignment horizontal="center" vertical="center" wrapText="1"/>
    </xf>
    <xf numFmtId="0" fontId="0" fillId="2" borderId="20" xfId="0" applyFill="1" applyBorder="1" applyAlignment="1">
      <alignment horizontal="center" vertical="center" wrapText="1"/>
    </xf>
    <xf numFmtId="0" fontId="0" fillId="2" borderId="74" xfId="0" applyFill="1" applyBorder="1" applyAlignment="1">
      <alignment horizontal="center" vertical="center" wrapText="1"/>
    </xf>
    <xf numFmtId="0" fontId="0" fillId="2" borderId="23" xfId="0" applyFill="1" applyBorder="1" applyAlignment="1">
      <alignment horizontal="center" vertical="center" wrapText="1"/>
    </xf>
    <xf numFmtId="0" fontId="0" fillId="4" borderId="17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 wrapText="1"/>
    </xf>
    <xf numFmtId="0" fontId="2" fillId="4" borderId="20" xfId="0" applyFont="1" applyFill="1" applyBorder="1" applyAlignment="1">
      <alignment horizontal="center" vertical="center" wrapText="1"/>
    </xf>
    <xf numFmtId="0" fontId="2" fillId="4" borderId="73" xfId="0" applyFont="1" applyFill="1" applyBorder="1" applyAlignment="1">
      <alignment horizontal="center" vertical="center" wrapText="1"/>
    </xf>
    <xf numFmtId="0" fontId="2" fillId="4" borderId="22" xfId="0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/>
    </xf>
    <xf numFmtId="0" fontId="2" fillId="0" borderId="18" xfId="1" applyFont="1" applyBorder="1" applyAlignment="1">
      <alignment horizontal="center" vertical="center" wrapText="1"/>
    </xf>
    <xf numFmtId="0" fontId="2" fillId="0" borderId="46" xfId="1" applyFont="1" applyBorder="1" applyAlignment="1">
      <alignment horizontal="center" vertical="center" wrapText="1"/>
    </xf>
    <xf numFmtId="0" fontId="2" fillId="0" borderId="21" xfId="1" applyFont="1" applyBorder="1" applyAlignment="1">
      <alignment horizontal="center" vertical="center" wrapText="1"/>
    </xf>
    <xf numFmtId="0" fontId="31" fillId="0" borderId="37" xfId="1" applyBorder="1" applyAlignment="1">
      <alignment horizontal="center" vertical="center"/>
    </xf>
    <xf numFmtId="0" fontId="31" fillId="0" borderId="38" xfId="1" applyBorder="1" applyAlignment="1">
      <alignment horizontal="center" vertical="center"/>
    </xf>
    <xf numFmtId="0" fontId="31" fillId="0" borderId="25" xfId="1" applyBorder="1" applyAlignment="1">
      <alignment horizontal="center" vertical="center"/>
    </xf>
    <xf numFmtId="0" fontId="31" fillId="0" borderId="39" xfId="1" applyBorder="1" applyAlignment="1">
      <alignment horizontal="center" vertical="center"/>
    </xf>
    <xf numFmtId="0" fontId="31" fillId="0" borderId="16" xfId="1" applyBorder="1" applyAlignment="1">
      <alignment horizontal="center" vertical="center"/>
    </xf>
    <xf numFmtId="0" fontId="4" fillId="0" borderId="53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34" xfId="1" applyFont="1" applyBorder="1" applyAlignment="1">
      <alignment horizontal="center" vertical="center"/>
    </xf>
    <xf numFmtId="0" fontId="4" fillId="0" borderId="54" xfId="1" applyFont="1" applyBorder="1" applyAlignment="1">
      <alignment horizontal="center" vertical="center"/>
    </xf>
    <xf numFmtId="0" fontId="4" fillId="0" borderId="56" xfId="1" applyFont="1" applyBorder="1" applyAlignment="1">
      <alignment horizontal="center" vertical="center"/>
    </xf>
    <xf numFmtId="0" fontId="4" fillId="0" borderId="58" xfId="1" applyFont="1" applyBorder="1" applyAlignment="1">
      <alignment horizontal="center" vertical="center"/>
    </xf>
    <xf numFmtId="0" fontId="31" fillId="0" borderId="59" xfId="1" applyBorder="1" applyAlignment="1">
      <alignment horizontal="center" vertical="center"/>
    </xf>
    <xf numFmtId="0" fontId="31" fillId="0" borderId="60" xfId="1" applyBorder="1" applyAlignment="1">
      <alignment horizontal="center" vertical="center"/>
    </xf>
    <xf numFmtId="0" fontId="31" fillId="0" borderId="62" xfId="1" applyBorder="1" applyAlignment="1">
      <alignment horizontal="center" vertical="center"/>
    </xf>
    <xf numFmtId="0" fontId="31" fillId="0" borderId="63" xfId="1" applyBorder="1" applyAlignment="1">
      <alignment horizontal="center" vertical="center"/>
    </xf>
    <xf numFmtId="0" fontId="31" fillId="0" borderId="64" xfId="1" applyBorder="1" applyAlignment="1">
      <alignment horizontal="center" vertical="center"/>
    </xf>
    <xf numFmtId="0" fontId="31" fillId="0" borderId="17" xfId="1" applyBorder="1" applyAlignment="1">
      <alignment horizontal="center" vertical="center"/>
    </xf>
    <xf numFmtId="0" fontId="31" fillId="0" borderId="19" xfId="1" applyBorder="1" applyAlignment="1">
      <alignment horizontal="center" vertical="center"/>
    </xf>
    <xf numFmtId="0" fontId="2" fillId="0" borderId="20" xfId="1" applyFont="1" applyBorder="1" applyAlignment="1">
      <alignment horizontal="center" vertical="center" wrapText="1"/>
    </xf>
    <xf numFmtId="0" fontId="2" fillId="6" borderId="18" xfId="1" applyFont="1" applyFill="1" applyBorder="1" applyAlignment="1">
      <alignment horizontal="center" vertical="center" wrapText="1"/>
    </xf>
    <xf numFmtId="0" fontId="2" fillId="6" borderId="20" xfId="1" applyFont="1" applyFill="1" applyBorder="1" applyAlignment="1">
      <alignment horizontal="center" vertical="center" wrapText="1"/>
    </xf>
    <xf numFmtId="0" fontId="2" fillId="5" borderId="22" xfId="1" applyFont="1" applyFill="1" applyBorder="1" applyAlignment="1">
      <alignment horizontal="center" vertical="center" wrapText="1"/>
    </xf>
    <xf numFmtId="0" fontId="2" fillId="5" borderId="23" xfId="1" applyFont="1" applyFill="1" applyBorder="1" applyAlignment="1">
      <alignment horizontal="center" vertical="center" wrapText="1"/>
    </xf>
    <xf numFmtId="0" fontId="2" fillId="5" borderId="18" xfId="1" applyFont="1" applyFill="1" applyBorder="1" applyAlignment="1">
      <alignment horizontal="center" vertical="center" wrapText="1"/>
    </xf>
    <xf numFmtId="0" fontId="2" fillId="5" borderId="20" xfId="1" applyFont="1" applyFill="1" applyBorder="1" applyAlignment="1">
      <alignment horizontal="center" vertical="center" wrapText="1"/>
    </xf>
    <xf numFmtId="0" fontId="31" fillId="0" borderId="18" xfId="1" applyBorder="1" applyAlignment="1">
      <alignment horizontal="center" vertical="center"/>
    </xf>
  </cellXfs>
  <cellStyles count="4">
    <cellStyle name="쉼표 [0] 2 2" xfId="2" xr:uid="{00000000-0005-0000-0000-000002000000}"/>
    <cellStyle name="표준" xfId="0" builtinId="0"/>
    <cellStyle name="표준 2" xfId="1" xr:uid="{00000000-0005-0000-0000-000001000000}"/>
    <cellStyle name="표준 3" xfId="3" xr:uid="{00000000-0005-0000-0000-000003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200025</xdr:rowOff>
    </xdr:from>
    <xdr:to>
      <xdr:col>3</xdr:col>
      <xdr:colOff>434009</xdr:colOff>
      <xdr:row>2</xdr:row>
      <xdr:rowOff>171449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16565" y="198782"/>
          <a:ext cx="2045804" cy="670891"/>
        </a:xfrm>
        <a:prstGeom prst="rect">
          <a:avLst/>
        </a:prstGeom>
        <a:noFill/>
        <a:ln>
          <a:noFill/>
        </a:ln>
        <a:effectLst/>
      </xdr:spPr>
    </xdr:pic>
    <xdr:clientData/>
  </xdr:twoCellAnchor>
  <xdr:oneCellAnchor>
    <xdr:from>
      <xdr:col>3</xdr:col>
      <xdr:colOff>157370</xdr:colOff>
      <xdr:row>16</xdr:row>
      <xdr:rowOff>0</xdr:rowOff>
    </xdr:from>
    <xdr:ext cx="844205" cy="405432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9E08D9E-8E2B-4AEB-8C31-AD0275494691}"/>
            </a:ext>
          </a:extLst>
        </xdr:cNvPr>
        <xdr:cNvSpPr txBox="1"/>
      </xdr:nvSpPr>
      <xdr:spPr>
        <a:xfrm>
          <a:off x="1780761" y="3785152"/>
          <a:ext cx="844205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2000"/>
            <a:t>61.5m</a:t>
          </a:r>
          <a:endParaRPr lang="ko-KR" altLang="en-US" sz="20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47625</xdr:rowOff>
    </xdr:from>
    <xdr:to>
      <xdr:col>6</xdr:col>
      <xdr:colOff>139513</xdr:colOff>
      <xdr:row>2</xdr:row>
      <xdr:rowOff>438150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28600" y="47625"/>
          <a:ext cx="1434913" cy="1130113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2</xdr:col>
      <xdr:colOff>905995</xdr:colOff>
      <xdr:row>3</xdr:row>
      <xdr:rowOff>38100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24117" y="0"/>
          <a:ext cx="2039470" cy="672352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57149</xdr:colOff>
      <xdr:row>0</xdr:row>
      <xdr:rowOff>0</xdr:rowOff>
    </xdr:from>
    <xdr:to>
      <xdr:col>3</xdr:col>
      <xdr:colOff>396128</xdr:colOff>
      <xdr:row>2</xdr:row>
      <xdr:rowOff>247649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57149" y="0"/>
          <a:ext cx="2053479" cy="673473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18</xdr:col>
      <xdr:colOff>0</xdr:colOff>
      <xdr:row>12</xdr:row>
      <xdr:rowOff>0</xdr:rowOff>
    </xdr:to>
    <xdr:sp macro="" textlink="">
      <xdr:nvSpPr>
        <xdr:cNvPr id="2049" name="AutoShape 1" hidden="1">
          <a:extLst>
            <a:ext uri="{FF2B5EF4-FFF2-40B4-BE49-F238E27FC236}">
              <a16:creationId xmlns:a16="http://schemas.microsoft.com/office/drawing/2014/main" id="{00000000-0008-0000-0400-000001080000}"/>
            </a:ext>
          </a:extLst>
        </xdr:cNvPr>
        <xdr:cNvSpPr>
          <a:spLocks noSelect="1" noChangeArrowheads="1"/>
        </xdr:cNvSpPr>
      </xdr:nvSpPr>
      <xdr:spPr>
        <a:xfrm>
          <a:off x="0" y="0"/>
          <a:ext cx="9233647" cy="1494864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3</xdr:col>
      <xdr:colOff>485775</xdr:colOff>
      <xdr:row>2</xdr:row>
      <xdr:rowOff>247649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1590675" cy="666749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FFFFFF"/>
  </sheetPr>
  <dimension ref="A1:R11"/>
  <sheetViews>
    <sheetView tabSelected="1" view="pageBreakPreview" zoomScale="120" zoomScaleNormal="120" zoomScaleSheetLayoutView="12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Q9" sqref="Q9:Q11"/>
    </sheetView>
  </sheetViews>
  <sheetFormatPr defaultColWidth="8" defaultRowHeight="12.75"/>
  <cols>
    <col min="1" max="1" width="4.125" style="7" customWidth="1"/>
    <col min="2" max="2" width="12.75" style="7" customWidth="1"/>
    <col min="3" max="4" width="12.125" style="7" customWidth="1"/>
    <col min="5" max="5" width="13.75" style="7" customWidth="1"/>
    <col min="6" max="6" width="16.375" style="7" customWidth="1"/>
    <col min="7" max="7" width="13.125" style="7" customWidth="1"/>
    <col min="8" max="8" width="2.125" style="7" hidden="1" customWidth="1"/>
    <col min="9" max="16" width="8" style="7" hidden="1" customWidth="1"/>
    <col min="17" max="16384" width="8" style="8"/>
  </cols>
  <sheetData>
    <row r="1" spans="1:18" ht="13.5" customHeight="1">
      <c r="A1" s="108" t="s">
        <v>84</v>
      </c>
      <c r="B1" s="109"/>
      <c r="C1" s="109"/>
      <c r="D1" s="114" t="str">
        <f>R1</f>
        <v>26.07.08 엘티엔지니어링_코오롱글로벌_신동양기업_대한항공 운북 신 엔진정비공장 건립공사</v>
      </c>
      <c r="E1" s="115"/>
      <c r="F1" s="115"/>
      <c r="G1" s="116"/>
      <c r="R1" s="88" t="s">
        <v>102</v>
      </c>
    </row>
    <row r="2" spans="1:18" ht="12.75" customHeight="1">
      <c r="A2" s="110"/>
      <c r="B2" s="111"/>
      <c r="C2" s="111"/>
      <c r="D2" s="117"/>
      <c r="E2" s="117"/>
      <c r="F2" s="117"/>
      <c r="G2" s="118"/>
    </row>
    <row r="3" spans="1:18" ht="13.5" customHeight="1">
      <c r="A3" s="110"/>
      <c r="B3" s="111"/>
      <c r="C3" s="111"/>
      <c r="D3" s="117"/>
      <c r="E3" s="117"/>
      <c r="F3" s="117"/>
      <c r="G3" s="118"/>
    </row>
    <row r="4" spans="1:18" ht="17.25" customHeight="1" thickBot="1">
      <c r="A4" s="112"/>
      <c r="B4" s="113"/>
      <c r="C4" s="113"/>
      <c r="D4" s="119"/>
      <c r="E4" s="119"/>
      <c r="F4" s="119"/>
      <c r="G4" s="120"/>
    </row>
    <row r="5" spans="1:18" ht="6.75" customHeight="1">
      <c r="A5" s="77"/>
      <c r="B5" s="77"/>
      <c r="C5" s="77"/>
      <c r="D5" s="77"/>
      <c r="E5" s="77"/>
      <c r="F5" s="77"/>
      <c r="G5" s="77"/>
    </row>
    <row r="6" spans="1:18" s="10" customFormat="1" ht="18" customHeight="1" thickBot="1">
      <c r="A6" s="121" t="s">
        <v>4</v>
      </c>
      <c r="B6" s="124" t="s">
        <v>31</v>
      </c>
      <c r="C6" s="127" t="s">
        <v>25</v>
      </c>
      <c r="D6" s="127"/>
      <c r="E6" s="127" t="s">
        <v>77</v>
      </c>
      <c r="F6" s="124" t="s">
        <v>44</v>
      </c>
      <c r="G6" s="124" t="s">
        <v>5</v>
      </c>
      <c r="H6" s="9"/>
      <c r="I6" s="130" t="s">
        <v>54</v>
      </c>
      <c r="J6" s="130"/>
      <c r="K6" s="130"/>
      <c r="L6" s="130"/>
      <c r="M6" s="130"/>
      <c r="N6" s="130"/>
      <c r="O6" s="8"/>
    </row>
    <row r="7" spans="1:18" s="10" customFormat="1" ht="18" customHeight="1">
      <c r="A7" s="122"/>
      <c r="B7" s="125"/>
      <c r="C7" s="131" t="s">
        <v>27</v>
      </c>
      <c r="D7" s="124" t="s">
        <v>15</v>
      </c>
      <c r="E7" s="127"/>
      <c r="F7" s="125"/>
      <c r="G7" s="125"/>
      <c r="H7" s="11"/>
      <c r="I7" s="12"/>
      <c r="J7" s="12"/>
      <c r="K7" s="12"/>
      <c r="L7" s="12"/>
      <c r="M7" s="12"/>
      <c r="N7" s="12"/>
      <c r="O7" s="8"/>
    </row>
    <row r="8" spans="1:18" s="10" customFormat="1" ht="18" customHeight="1" thickBot="1">
      <c r="A8" s="123"/>
      <c r="B8" s="126"/>
      <c r="C8" s="132"/>
      <c r="D8" s="126"/>
      <c r="E8" s="127"/>
      <c r="F8" s="126"/>
      <c r="G8" s="126"/>
      <c r="H8" s="11"/>
      <c r="I8" s="12"/>
      <c r="J8" s="12"/>
      <c r="K8" s="12"/>
      <c r="L8" s="12"/>
      <c r="M8" s="12"/>
      <c r="N8" s="12"/>
      <c r="O8" s="8"/>
    </row>
    <row r="9" spans="1:18" s="10" customFormat="1" ht="26.25" thickBot="1">
      <c r="A9" s="90" t="s">
        <v>110</v>
      </c>
      <c r="B9" s="19" t="s">
        <v>116</v>
      </c>
      <c r="C9" s="25" t="s">
        <v>103</v>
      </c>
      <c r="D9" s="26" t="s">
        <v>104</v>
      </c>
      <c r="E9" s="13"/>
      <c r="F9" s="14"/>
      <c r="G9" s="14" t="s">
        <v>108</v>
      </c>
      <c r="H9" s="15"/>
      <c r="I9" s="128"/>
      <c r="J9" s="129"/>
      <c r="K9" s="16"/>
      <c r="L9" s="17"/>
      <c r="M9" s="18"/>
      <c r="N9" s="129"/>
      <c r="O9" s="8"/>
      <c r="Q9" s="10" t="s">
        <v>113</v>
      </c>
    </row>
    <row r="10" spans="1:18" s="10" customFormat="1" ht="25.5">
      <c r="A10" s="90" t="s">
        <v>111</v>
      </c>
      <c r="B10" s="19" t="s">
        <v>0</v>
      </c>
      <c r="C10" s="25" t="s">
        <v>105</v>
      </c>
      <c r="D10" s="26" t="s">
        <v>106</v>
      </c>
      <c r="E10" s="14"/>
      <c r="F10" s="14"/>
      <c r="G10" s="107" t="s">
        <v>109</v>
      </c>
      <c r="H10" s="15"/>
      <c r="I10" s="128"/>
      <c r="J10" s="129"/>
      <c r="K10" s="16"/>
      <c r="L10" s="17"/>
      <c r="M10" s="18"/>
      <c r="N10" s="129"/>
      <c r="O10" s="8"/>
      <c r="Q10" s="10" t="s">
        <v>114</v>
      </c>
    </row>
    <row r="11" spans="1:18" s="10" customFormat="1" ht="25.5">
      <c r="A11" s="90" t="s">
        <v>112</v>
      </c>
      <c r="B11" s="19" t="s">
        <v>0</v>
      </c>
      <c r="C11" s="25" t="s">
        <v>107</v>
      </c>
      <c r="D11" s="26" t="s">
        <v>106</v>
      </c>
      <c r="E11" s="13"/>
      <c r="F11" s="14"/>
      <c r="G11" s="107" t="s">
        <v>109</v>
      </c>
      <c r="H11" s="15"/>
      <c r="I11" s="128"/>
      <c r="J11" s="129"/>
      <c r="K11" s="16"/>
      <c r="L11" s="17"/>
      <c r="M11" s="18"/>
      <c r="N11" s="129"/>
      <c r="O11" s="8"/>
      <c r="Q11" s="10" t="s">
        <v>115</v>
      </c>
    </row>
  </sheetData>
  <mergeCells count="14">
    <mergeCell ref="I9:I11"/>
    <mergeCell ref="J9:J11"/>
    <mergeCell ref="N9:N11"/>
    <mergeCell ref="I6:N6"/>
    <mergeCell ref="C7:C8"/>
    <mergeCell ref="D7:D8"/>
    <mergeCell ref="A1:C4"/>
    <mergeCell ref="D1:G4"/>
    <mergeCell ref="A6:A8"/>
    <mergeCell ref="B6:B8"/>
    <mergeCell ref="C6:D6"/>
    <mergeCell ref="E6:E8"/>
    <mergeCell ref="F6:F8"/>
    <mergeCell ref="G6:G8"/>
  </mergeCells>
  <phoneticPr fontId="32" type="noConversion"/>
  <pageMargins left="0.2361111044883728" right="0.2361111044883728" top="0.74791663885116577" bottom="0.74791663885116577" header="0.31486111879348755" footer="0.3148611187934875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AK18"/>
  <sheetViews>
    <sheetView topLeftCell="A2" zoomScale="115" zoomScaleNormal="115" zoomScaleSheetLayoutView="115" workbookViewId="0">
      <pane ySplit="6" topLeftCell="A8" activePane="bottomLeft" state="frozen"/>
      <selection pane="bottomLeft" activeCell="AN24" sqref="AN24"/>
    </sheetView>
  </sheetViews>
  <sheetFormatPr defaultColWidth="9" defaultRowHeight="16.5"/>
  <cols>
    <col min="1" max="1" width="4.875" bestFit="1" customWidth="1"/>
    <col min="2" max="2" width="8.25" customWidth="1"/>
    <col min="3" max="4" width="8.125" customWidth="1"/>
    <col min="5" max="5" width="13.875" hidden="1" customWidth="1"/>
    <col min="6" max="7" width="7" style="6" customWidth="1"/>
    <col min="8" max="8" width="7.75" style="6" customWidth="1"/>
    <col min="9" max="9" width="6.375" style="6" customWidth="1"/>
    <col min="10" max="11" width="2.75" style="6" customWidth="1"/>
    <col min="12" max="12" width="8" style="6" customWidth="1"/>
    <col min="13" max="13" width="6.375" style="6" customWidth="1"/>
    <col min="14" max="15" width="2.75" style="6" customWidth="1"/>
    <col min="16" max="16" width="8" style="6" customWidth="1"/>
    <col min="17" max="19" width="7" style="6" customWidth="1"/>
    <col min="20" max="20" width="7.75" style="6" customWidth="1"/>
    <col min="21" max="22" width="6.375" style="6" customWidth="1"/>
    <col min="23" max="25" width="2.75" style="6" customWidth="1"/>
    <col min="26" max="26" width="8" style="6" customWidth="1"/>
    <col min="27" max="27" width="7.75" customWidth="1"/>
    <col min="28" max="37" width="0" hidden="1" customWidth="1"/>
  </cols>
  <sheetData>
    <row r="1" spans="1:37" ht="16.5" customHeight="1" thickBot="1">
      <c r="A1" s="139"/>
      <c r="B1" s="140"/>
      <c r="C1" s="140"/>
      <c r="D1" s="140"/>
      <c r="E1" s="79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1"/>
    </row>
    <row r="2" spans="1:37" ht="38.25" customHeight="1">
      <c r="A2" s="141"/>
      <c r="B2" s="142"/>
      <c r="C2" s="142"/>
      <c r="D2" s="142"/>
      <c r="E2" s="78"/>
      <c r="F2" s="153" t="s">
        <v>78</v>
      </c>
      <c r="G2" s="154"/>
      <c r="H2" s="154"/>
      <c r="I2" s="154"/>
      <c r="J2" s="157" t="str">
        <f>'1. 소켓인수검사'!R1</f>
        <v>26.07.08 엘티엔지니어링_코오롱글로벌_신동양기업_대한항공 운북 신 엔진정비공장 건립공사</v>
      </c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7"/>
      <c r="AA2" s="158"/>
    </row>
    <row r="3" spans="1:37" ht="38.25" customHeight="1" thickBot="1">
      <c r="A3" s="143"/>
      <c r="B3" s="144"/>
      <c r="C3" s="144"/>
      <c r="D3" s="144"/>
      <c r="E3" s="82"/>
      <c r="F3" s="155"/>
      <c r="G3" s="156"/>
      <c r="H3" s="156"/>
      <c r="I3" s="156"/>
      <c r="J3" s="159"/>
      <c r="K3" s="159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59"/>
      <c r="W3" s="159"/>
      <c r="X3" s="159"/>
      <c r="Y3" s="159"/>
      <c r="Z3" s="159"/>
      <c r="AA3" s="160"/>
    </row>
    <row r="4" spans="1:37" ht="8.1" customHeight="1">
      <c r="A4" s="145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65"/>
    </row>
    <row r="5" spans="1:37" s="24" customFormat="1" ht="26.45" customHeight="1">
      <c r="A5" s="147" t="s">
        <v>26</v>
      </c>
      <c r="B5" s="149" t="s">
        <v>31</v>
      </c>
      <c r="C5" s="151" t="s">
        <v>25</v>
      </c>
      <c r="D5" s="151"/>
      <c r="E5" s="151" t="s">
        <v>42</v>
      </c>
      <c r="F5" s="164" t="s">
        <v>47</v>
      </c>
      <c r="G5" s="165"/>
      <c r="H5" s="165"/>
      <c r="I5" s="165"/>
      <c r="J5" s="165"/>
      <c r="K5" s="165"/>
      <c r="L5" s="165"/>
      <c r="M5" s="165"/>
      <c r="N5" s="165"/>
      <c r="O5" s="165"/>
      <c r="P5" s="166"/>
      <c r="Q5" s="151" t="s">
        <v>1</v>
      </c>
      <c r="R5" s="151"/>
      <c r="S5" s="151"/>
      <c r="T5" s="151"/>
      <c r="U5" s="151"/>
      <c r="V5" s="151"/>
      <c r="W5" s="151"/>
      <c r="X5" s="151"/>
      <c r="Y5" s="151"/>
      <c r="Z5" s="151"/>
      <c r="AA5" s="167" t="s">
        <v>5</v>
      </c>
      <c r="AB5" s="24">
        <v>15</v>
      </c>
      <c r="AC5" s="24">
        <v>50</v>
      </c>
    </row>
    <row r="6" spans="1:37" s="24" customFormat="1" ht="16.5" customHeight="1">
      <c r="A6" s="148"/>
      <c r="B6" s="150"/>
      <c r="C6" s="152" t="s">
        <v>27</v>
      </c>
      <c r="D6" s="152" t="s">
        <v>15</v>
      </c>
      <c r="E6" s="152"/>
      <c r="F6" s="161" t="s">
        <v>99</v>
      </c>
      <c r="G6" s="161"/>
      <c r="H6" s="161"/>
      <c r="I6" s="161" t="s">
        <v>100</v>
      </c>
      <c r="J6" s="161"/>
      <c r="K6" s="161"/>
      <c r="L6" s="161"/>
      <c r="M6" s="161" t="s">
        <v>101</v>
      </c>
      <c r="N6" s="161"/>
      <c r="O6" s="161"/>
      <c r="P6" s="161"/>
      <c r="Q6" s="161" t="s">
        <v>69</v>
      </c>
      <c r="R6" s="161"/>
      <c r="S6" s="161"/>
      <c r="T6" s="161"/>
      <c r="U6" s="161" t="s">
        <v>70</v>
      </c>
      <c r="V6" s="161"/>
      <c r="W6" s="161"/>
      <c r="X6" s="161"/>
      <c r="Y6" s="161"/>
      <c r="Z6" s="161"/>
      <c r="AA6" s="168"/>
      <c r="AG6" s="93" t="s">
        <v>96</v>
      </c>
      <c r="AK6" s="94" t="s">
        <v>95</v>
      </c>
    </row>
    <row r="7" spans="1:37" s="24" customFormat="1" ht="16.5" customHeight="1">
      <c r="A7" s="148"/>
      <c r="B7" s="150"/>
      <c r="C7" s="152"/>
      <c r="D7" s="152"/>
      <c r="E7" s="152"/>
      <c r="F7" s="69" t="s">
        <v>19</v>
      </c>
      <c r="G7" s="69" t="s">
        <v>25</v>
      </c>
      <c r="H7" s="69" t="s">
        <v>35</v>
      </c>
      <c r="I7" s="69" t="s">
        <v>19</v>
      </c>
      <c r="J7" s="162" t="s">
        <v>25</v>
      </c>
      <c r="K7" s="163"/>
      <c r="L7" s="69" t="s">
        <v>35</v>
      </c>
      <c r="M7" s="69" t="s">
        <v>19</v>
      </c>
      <c r="N7" s="162" t="s">
        <v>98</v>
      </c>
      <c r="O7" s="163"/>
      <c r="P7" s="69" t="s">
        <v>35</v>
      </c>
      <c r="Q7" s="69" t="s">
        <v>30</v>
      </c>
      <c r="R7" s="69" t="s">
        <v>19</v>
      </c>
      <c r="S7" s="69" t="s">
        <v>25</v>
      </c>
      <c r="T7" s="69" t="s">
        <v>35</v>
      </c>
      <c r="U7" s="69" t="s">
        <v>30</v>
      </c>
      <c r="V7" s="69" t="s">
        <v>19</v>
      </c>
      <c r="W7" s="161" t="s">
        <v>25</v>
      </c>
      <c r="X7" s="161"/>
      <c r="Y7" s="161"/>
      <c r="Z7" s="69" t="s">
        <v>35</v>
      </c>
      <c r="AA7" s="168"/>
      <c r="AB7" s="24" t="s">
        <v>85</v>
      </c>
      <c r="AC7" s="24" t="s">
        <v>86</v>
      </c>
      <c r="AD7" s="24" t="s">
        <v>87</v>
      </c>
      <c r="AE7" s="24" t="s">
        <v>88</v>
      </c>
      <c r="AF7" s="24" t="s">
        <v>89</v>
      </c>
      <c r="AG7" s="24" t="s">
        <v>90</v>
      </c>
      <c r="AH7" s="24" t="s">
        <v>91</v>
      </c>
      <c r="AI7" s="24" t="s">
        <v>92</v>
      </c>
      <c r="AJ7" s="24" t="s">
        <v>93</v>
      </c>
      <c r="AK7" s="24" t="s">
        <v>94</v>
      </c>
    </row>
    <row r="8" spans="1:37">
      <c r="A8" s="31" t="str">
        <f>'1. 소켓인수검사'!A9</f>
        <v>03</v>
      </c>
      <c r="B8" s="42" t="s">
        <v>0</v>
      </c>
      <c r="C8" s="35" t="str">
        <f>'1. 소켓인수검사'!C9</f>
        <v>1300</v>
      </c>
      <c r="D8" s="35" t="str">
        <f>'1. 소켓인수검사'!D9</f>
        <v>1100</v>
      </c>
      <c r="E8" s="33"/>
      <c r="F8" s="138"/>
      <c r="G8" s="34">
        <f>(C8-60)/2-5</f>
        <v>615</v>
      </c>
      <c r="H8" s="35">
        <f>3*4</f>
        <v>12</v>
      </c>
      <c r="I8" s="138"/>
      <c r="J8" s="136">
        <f>(C8-60)/2-5</f>
        <v>615</v>
      </c>
      <c r="K8" s="137">
        <f t="shared" ref="K8" si="0">(D8-20)/2-10</f>
        <v>530</v>
      </c>
      <c r="L8" s="35">
        <f>4*4</f>
        <v>16</v>
      </c>
      <c r="M8" s="138"/>
      <c r="N8" s="136"/>
      <c r="O8" s="137"/>
      <c r="P8" s="35"/>
      <c r="Q8" s="134"/>
      <c r="R8" s="135"/>
      <c r="S8" s="133"/>
      <c r="T8" s="35">
        <f t="shared" ref="T8:T10" si="1">+AK8*2</f>
        <v>12</v>
      </c>
      <c r="U8" s="134"/>
      <c r="V8" s="135"/>
      <c r="W8" s="169"/>
      <c r="X8" s="170"/>
      <c r="Y8" s="171"/>
      <c r="Z8" s="35">
        <f t="shared" ref="Z8:Z10" si="2">+AG8</f>
        <v>6</v>
      </c>
      <c r="AA8" s="40"/>
      <c r="AB8">
        <f t="shared" ref="AB8:AB10" si="3" xml:space="preserve"> C8+$AC$5*2</f>
        <v>1400</v>
      </c>
      <c r="AC8">
        <f t="shared" ref="AC8:AC10" si="4" xml:space="preserve"> D8+$AC$5*2</f>
        <v>1200</v>
      </c>
      <c r="AD8">
        <f t="shared" ref="AD8:AD10" si="5">(AB8+AC8)*2</f>
        <v>5200</v>
      </c>
      <c r="AE8">
        <f t="shared" ref="AE8:AE10" si="6">AD8/1000</f>
        <v>5.2</v>
      </c>
      <c r="AF8" s="91">
        <f t="shared" ref="AF8:AF10" si="7">AE8*(1+$AB$5/100)</f>
        <v>5.9799999999999995</v>
      </c>
      <c r="AG8" s="92">
        <f t="shared" ref="AG8:AG10" si="8">CEILING(AF8,1)</f>
        <v>6</v>
      </c>
      <c r="AH8">
        <f t="shared" ref="AH8:AH10" si="9">D8*2+AB8*2</f>
        <v>5000</v>
      </c>
      <c r="AI8">
        <f t="shared" ref="AI8:AI10" si="10">AH8/1000</f>
        <v>5</v>
      </c>
      <c r="AJ8" s="91">
        <f t="shared" ref="AJ8:AJ10" si="11">AI8*(1+$AB$5/100)</f>
        <v>5.75</v>
      </c>
      <c r="AK8" s="95">
        <f t="shared" ref="AK8:AK10" si="12">CEILING(AJ8,1)</f>
        <v>6</v>
      </c>
    </row>
    <row r="9" spans="1:37">
      <c r="A9" s="31" t="str">
        <f>'1. 소켓인수검사'!A10</f>
        <v>04</v>
      </c>
      <c r="B9" s="42" t="s">
        <v>0</v>
      </c>
      <c r="C9" s="35" t="str">
        <f>'1. 소켓인수검사'!C10</f>
        <v>1500</v>
      </c>
      <c r="D9" s="35" t="str">
        <f>'1. 소켓인수검사'!D10</f>
        <v>800</v>
      </c>
      <c r="E9" s="33"/>
      <c r="F9" s="138"/>
      <c r="G9" s="34">
        <f t="shared" ref="G9:G10" si="13">(C9-60)/2-5</f>
        <v>715</v>
      </c>
      <c r="H9" s="35">
        <f>3*4</f>
        <v>12</v>
      </c>
      <c r="I9" s="138"/>
      <c r="J9" s="136">
        <f t="shared" ref="J9:J10" si="14">(C9-60)/2-5</f>
        <v>715</v>
      </c>
      <c r="K9" s="137">
        <f t="shared" ref="K9:K10" si="15">(D9-20)/2-10</f>
        <v>380</v>
      </c>
      <c r="L9" s="35">
        <f>4*4</f>
        <v>16</v>
      </c>
      <c r="M9" s="138"/>
      <c r="N9" s="136"/>
      <c r="O9" s="137"/>
      <c r="P9" s="35"/>
      <c r="Q9" s="134"/>
      <c r="R9" s="135"/>
      <c r="S9" s="133"/>
      <c r="T9" s="35">
        <f t="shared" si="1"/>
        <v>12</v>
      </c>
      <c r="U9" s="134"/>
      <c r="V9" s="135"/>
      <c r="W9" s="169"/>
      <c r="X9" s="170"/>
      <c r="Y9" s="171"/>
      <c r="Z9" s="35">
        <f t="shared" si="2"/>
        <v>6</v>
      </c>
      <c r="AA9" s="40"/>
      <c r="AB9">
        <f t="shared" si="3"/>
        <v>1600</v>
      </c>
      <c r="AC9">
        <f t="shared" si="4"/>
        <v>900</v>
      </c>
      <c r="AD9">
        <f t="shared" si="5"/>
        <v>5000</v>
      </c>
      <c r="AE9">
        <f t="shared" si="6"/>
        <v>5</v>
      </c>
      <c r="AF9" s="91">
        <f t="shared" si="7"/>
        <v>5.75</v>
      </c>
      <c r="AG9" s="92">
        <f t="shared" si="8"/>
        <v>6</v>
      </c>
      <c r="AH9">
        <f t="shared" si="9"/>
        <v>4800</v>
      </c>
      <c r="AI9">
        <f t="shared" si="10"/>
        <v>4.8</v>
      </c>
      <c r="AJ9" s="91">
        <f t="shared" si="11"/>
        <v>5.52</v>
      </c>
      <c r="AK9" s="95">
        <f t="shared" si="12"/>
        <v>6</v>
      </c>
    </row>
    <row r="10" spans="1:37">
      <c r="A10" s="31" t="str">
        <f>'1. 소켓인수검사'!A11</f>
        <v>05</v>
      </c>
      <c r="B10" s="42" t="s">
        <v>0</v>
      </c>
      <c r="C10" s="35" t="str">
        <f>'1. 소켓인수검사'!C11</f>
        <v>1800</v>
      </c>
      <c r="D10" s="35" t="str">
        <f>'1. 소켓인수검사'!D11</f>
        <v>800</v>
      </c>
      <c r="E10" s="33"/>
      <c r="F10" s="138"/>
      <c r="G10" s="34">
        <f t="shared" si="13"/>
        <v>865</v>
      </c>
      <c r="H10" s="35">
        <f t="shared" ref="H10" si="16">3*4</f>
        <v>12</v>
      </c>
      <c r="I10" s="138"/>
      <c r="J10" s="136">
        <f t="shared" si="14"/>
        <v>865</v>
      </c>
      <c r="K10" s="137">
        <f t="shared" si="15"/>
        <v>380</v>
      </c>
      <c r="L10" s="35">
        <f t="shared" ref="L10" si="17">4*4</f>
        <v>16</v>
      </c>
      <c r="M10" s="138"/>
      <c r="N10" s="136"/>
      <c r="O10" s="137"/>
      <c r="P10" s="35"/>
      <c r="Q10" s="134"/>
      <c r="R10" s="135"/>
      <c r="S10" s="133"/>
      <c r="T10" s="35">
        <f t="shared" si="1"/>
        <v>14</v>
      </c>
      <c r="U10" s="134"/>
      <c r="V10" s="135"/>
      <c r="W10" s="169"/>
      <c r="X10" s="170"/>
      <c r="Y10" s="171"/>
      <c r="Z10" s="35">
        <f t="shared" si="2"/>
        <v>7</v>
      </c>
      <c r="AA10" s="40"/>
      <c r="AB10">
        <f t="shared" si="3"/>
        <v>1900</v>
      </c>
      <c r="AC10">
        <f t="shared" si="4"/>
        <v>900</v>
      </c>
      <c r="AD10">
        <f t="shared" si="5"/>
        <v>5600</v>
      </c>
      <c r="AE10">
        <f t="shared" si="6"/>
        <v>5.6</v>
      </c>
      <c r="AF10" s="91">
        <f t="shared" si="7"/>
        <v>6.4399999999999995</v>
      </c>
      <c r="AG10" s="92">
        <f t="shared" si="8"/>
        <v>7</v>
      </c>
      <c r="AH10">
        <f t="shared" si="9"/>
        <v>5400</v>
      </c>
      <c r="AI10">
        <f t="shared" si="10"/>
        <v>5.4</v>
      </c>
      <c r="AJ10" s="91">
        <f t="shared" si="11"/>
        <v>6.21</v>
      </c>
      <c r="AK10" s="95">
        <f t="shared" si="12"/>
        <v>7</v>
      </c>
    </row>
    <row r="11" spans="1:37">
      <c r="A11" s="182" t="s">
        <v>24</v>
      </c>
      <c r="B11" s="183"/>
      <c r="C11" s="183"/>
      <c r="D11" s="183"/>
      <c r="E11" s="183"/>
      <c r="F11" s="183"/>
      <c r="G11" s="183"/>
      <c r="H11" s="183"/>
      <c r="I11" s="183"/>
      <c r="J11" s="183"/>
      <c r="K11" s="183"/>
      <c r="L11" s="183"/>
      <c r="M11" s="183"/>
      <c r="N11" s="183"/>
      <c r="O11" s="183"/>
      <c r="P11" s="183"/>
      <c r="Q11" s="183"/>
      <c r="R11" s="183"/>
      <c r="S11" s="183"/>
      <c r="T11" s="41">
        <f>SUM(T8:T10)</f>
        <v>38</v>
      </c>
      <c r="U11" s="70"/>
      <c r="V11" s="71"/>
      <c r="W11" s="184"/>
      <c r="X11" s="184"/>
      <c r="Y11" s="184"/>
      <c r="Z11" s="41">
        <f>SUM(Z8:Z10)</f>
        <v>19</v>
      </c>
      <c r="AA11" s="40"/>
    </row>
    <row r="12" spans="1:37" ht="8.1" customHeight="1">
      <c r="A12" s="145"/>
      <c r="B12" s="146"/>
      <c r="C12" s="146"/>
      <c r="D12" s="146"/>
      <c r="E12" s="146"/>
      <c r="F12" s="146"/>
      <c r="G12" s="146"/>
      <c r="H12" s="146"/>
      <c r="I12" s="146"/>
      <c r="J12" s="146"/>
      <c r="K12" s="146"/>
      <c r="L12" s="146"/>
      <c r="M12" s="5"/>
      <c r="N12" s="5"/>
      <c r="O12" s="5"/>
      <c r="P12" s="5"/>
      <c r="AA12" s="5"/>
    </row>
    <row r="13" spans="1:37">
      <c r="A13" s="172" t="s">
        <v>6</v>
      </c>
      <c r="B13" s="172"/>
      <c r="C13" s="172"/>
      <c r="D13" s="173" t="s">
        <v>60</v>
      </c>
      <c r="E13" s="174"/>
      <c r="F13" s="174"/>
      <c r="G13" s="174"/>
      <c r="H13" s="174"/>
      <c r="I13" s="174"/>
      <c r="J13" s="174"/>
      <c r="K13" s="174"/>
      <c r="L13" s="174"/>
      <c r="M13" s="174"/>
      <c r="N13" s="174"/>
      <c r="O13" s="174"/>
      <c r="P13" s="174"/>
      <c r="Q13" s="174"/>
      <c r="R13" s="174"/>
      <c r="S13" s="174"/>
      <c r="T13" s="174"/>
      <c r="U13" s="174"/>
      <c r="V13" s="174"/>
      <c r="W13" s="174"/>
      <c r="X13" s="174"/>
      <c r="Y13" s="174"/>
      <c r="Z13" s="174"/>
      <c r="AA13" s="175"/>
    </row>
    <row r="14" spans="1:37">
      <c r="A14" s="172"/>
      <c r="B14" s="172"/>
      <c r="C14" s="172"/>
      <c r="D14" s="176"/>
      <c r="E14" s="177"/>
      <c r="F14" s="177"/>
      <c r="G14" s="177"/>
      <c r="H14" s="177"/>
      <c r="I14" s="177"/>
      <c r="J14" s="177"/>
      <c r="K14" s="177"/>
      <c r="L14" s="177"/>
      <c r="M14" s="177"/>
      <c r="N14" s="177"/>
      <c r="O14" s="177"/>
      <c r="P14" s="177"/>
      <c r="Q14" s="177"/>
      <c r="R14" s="177"/>
      <c r="S14" s="177"/>
      <c r="T14" s="177"/>
      <c r="U14" s="177"/>
      <c r="V14" s="177"/>
      <c r="W14" s="177"/>
      <c r="X14" s="177"/>
      <c r="Y14" s="177"/>
      <c r="Z14" s="177"/>
      <c r="AA14" s="178"/>
    </row>
    <row r="15" spans="1:37">
      <c r="A15" s="172"/>
      <c r="B15" s="172"/>
      <c r="C15" s="172"/>
      <c r="D15" s="176"/>
      <c r="E15" s="177"/>
      <c r="F15" s="177"/>
      <c r="G15" s="177"/>
      <c r="H15" s="177"/>
      <c r="I15" s="177"/>
      <c r="J15" s="177"/>
      <c r="K15" s="177"/>
      <c r="L15" s="177"/>
      <c r="M15" s="177"/>
      <c r="N15" s="177"/>
      <c r="O15" s="177"/>
      <c r="P15" s="177"/>
      <c r="Q15" s="177"/>
      <c r="R15" s="177"/>
      <c r="S15" s="177"/>
      <c r="T15" s="177"/>
      <c r="U15" s="177"/>
      <c r="V15" s="177"/>
      <c r="W15" s="177"/>
      <c r="X15" s="177"/>
      <c r="Y15" s="177"/>
      <c r="Z15" s="177"/>
      <c r="AA15" s="178"/>
    </row>
    <row r="16" spans="1:37">
      <c r="A16" s="172"/>
      <c r="B16" s="172"/>
      <c r="C16" s="172"/>
      <c r="D16" s="176"/>
      <c r="E16" s="177"/>
      <c r="F16" s="177"/>
      <c r="G16" s="177"/>
      <c r="H16" s="177"/>
      <c r="I16" s="177"/>
      <c r="J16" s="177"/>
      <c r="K16" s="177"/>
      <c r="L16" s="177"/>
      <c r="M16" s="177"/>
      <c r="N16" s="177"/>
      <c r="O16" s="177"/>
      <c r="P16" s="177"/>
      <c r="Q16" s="177"/>
      <c r="R16" s="177"/>
      <c r="S16" s="177"/>
      <c r="T16" s="177"/>
      <c r="U16" s="177"/>
      <c r="V16" s="177"/>
      <c r="W16" s="177"/>
      <c r="X16" s="177"/>
      <c r="Y16" s="177"/>
      <c r="Z16" s="177"/>
      <c r="AA16" s="178"/>
    </row>
    <row r="17" spans="1:27">
      <c r="A17" s="172"/>
      <c r="B17" s="172"/>
      <c r="C17" s="172"/>
      <c r="D17" s="176"/>
      <c r="E17" s="177"/>
      <c r="F17" s="177"/>
      <c r="G17" s="177"/>
      <c r="H17" s="177"/>
      <c r="I17" s="177"/>
      <c r="J17" s="177"/>
      <c r="K17" s="177"/>
      <c r="L17" s="177"/>
      <c r="M17" s="177"/>
      <c r="N17" s="177"/>
      <c r="O17" s="177"/>
      <c r="P17" s="177"/>
      <c r="Q17" s="177"/>
      <c r="R17" s="177"/>
      <c r="S17" s="177"/>
      <c r="T17" s="177"/>
      <c r="U17" s="177"/>
      <c r="V17" s="177"/>
      <c r="W17" s="177"/>
      <c r="X17" s="177"/>
      <c r="Y17" s="177"/>
      <c r="Z17" s="177"/>
      <c r="AA17" s="178"/>
    </row>
    <row r="18" spans="1:27">
      <c r="A18" s="172"/>
      <c r="B18" s="172"/>
      <c r="C18" s="172"/>
      <c r="D18" s="179"/>
      <c r="E18" s="180"/>
      <c r="F18" s="180"/>
      <c r="G18" s="180"/>
      <c r="H18" s="180"/>
      <c r="I18" s="180"/>
      <c r="J18" s="180"/>
      <c r="K18" s="180"/>
      <c r="L18" s="180"/>
      <c r="M18" s="180"/>
      <c r="N18" s="180"/>
      <c r="O18" s="180"/>
      <c r="P18" s="180"/>
      <c r="Q18" s="180"/>
      <c r="R18" s="180"/>
      <c r="S18" s="180"/>
      <c r="T18" s="180"/>
      <c r="U18" s="180"/>
      <c r="V18" s="180"/>
      <c r="W18" s="180"/>
      <c r="X18" s="180"/>
      <c r="Y18" s="180"/>
      <c r="Z18" s="180"/>
      <c r="AA18" s="181"/>
    </row>
  </sheetData>
  <mergeCells count="41">
    <mergeCell ref="A12:L12"/>
    <mergeCell ref="A13:C18"/>
    <mergeCell ref="D13:AA18"/>
    <mergeCell ref="A11:S11"/>
    <mergeCell ref="W11:Y11"/>
    <mergeCell ref="I8:I10"/>
    <mergeCell ref="F8:F10"/>
    <mergeCell ref="W8:Y10"/>
    <mergeCell ref="Q8:Q10"/>
    <mergeCell ref="R8:R10"/>
    <mergeCell ref="I6:L6"/>
    <mergeCell ref="Q6:T6"/>
    <mergeCell ref="U6:Z6"/>
    <mergeCell ref="J7:K7"/>
    <mergeCell ref="W7:Y7"/>
    <mergeCell ref="A1:D3"/>
    <mergeCell ref="A4:L4"/>
    <mergeCell ref="A5:A7"/>
    <mergeCell ref="B5:B7"/>
    <mergeCell ref="C5:D5"/>
    <mergeCell ref="E5:E7"/>
    <mergeCell ref="F2:I3"/>
    <mergeCell ref="J2:AA3"/>
    <mergeCell ref="M6:P6"/>
    <mergeCell ref="N7:O7"/>
    <mergeCell ref="F5:P5"/>
    <mergeCell ref="Q5:Z5"/>
    <mergeCell ref="AA5:AA7"/>
    <mergeCell ref="C6:C7"/>
    <mergeCell ref="D6:D7"/>
    <mergeCell ref="F6:H6"/>
    <mergeCell ref="S8:S10"/>
    <mergeCell ref="U8:U10"/>
    <mergeCell ref="V8:V10"/>
    <mergeCell ref="J9:K9"/>
    <mergeCell ref="J10:K10"/>
    <mergeCell ref="M8:M10"/>
    <mergeCell ref="N8:O8"/>
    <mergeCell ref="N9:O9"/>
    <mergeCell ref="N10:O10"/>
    <mergeCell ref="J8:K8"/>
  </mergeCells>
  <phoneticPr fontId="32" type="noConversion"/>
  <pageMargins left="0.39361110329627991" right="0.19680555164813995" top="0.47236111760139465" bottom="0.31486111879348755" header="0.31486111879348755" footer="0.31486111879348755"/>
  <pageSetup paperSize="9" scale="83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AY11"/>
  <sheetViews>
    <sheetView view="pageBreakPreview" zoomScale="85" zoomScaleNormal="85" zoomScaleSheetLayoutView="85" workbookViewId="0">
      <pane ySplit="7" topLeftCell="A8" activePane="bottomLeft" state="frozen"/>
      <selection pane="bottomLeft" activeCell="A11" sqref="A11:XFD67"/>
    </sheetView>
  </sheetViews>
  <sheetFormatPr defaultColWidth="9" defaultRowHeight="16.5"/>
  <cols>
    <col min="1" max="1" width="3.125" style="6" customWidth="1"/>
    <col min="2" max="2" width="5.125" style="6" customWidth="1"/>
    <col min="3" max="4" width="4" style="6" customWidth="1"/>
    <col min="5" max="5" width="3.75" style="6" customWidth="1"/>
    <col min="6" max="6" width="19" style="6" hidden="1" customWidth="1"/>
    <col min="7" max="7" width="4.5" style="6" customWidth="1"/>
    <col min="8" max="8" width="4.625" style="6" customWidth="1"/>
    <col min="9" max="9" width="6.75" style="6" customWidth="1"/>
    <col min="10" max="10" width="5.375" style="6" customWidth="1"/>
    <col min="11" max="11" width="4.5" style="6" customWidth="1"/>
    <col min="12" max="12" width="5.125" style="6" customWidth="1"/>
    <col min="13" max="15" width="2.25" style="6" customWidth="1"/>
    <col min="16" max="16" width="5.375" style="6" customWidth="1"/>
    <col min="17" max="17" width="4.5" style="6" customWidth="1"/>
    <col min="18" max="18" width="4.125" style="6" customWidth="1"/>
    <col min="19" max="21" width="2.25" style="6" customWidth="1"/>
    <col min="22" max="22" width="5.375" style="6" customWidth="1"/>
    <col min="23" max="23" width="4.5" style="6" customWidth="1"/>
    <col min="24" max="24" width="4.125" style="6" customWidth="1"/>
    <col min="25" max="27" width="2.25" style="6" customWidth="1"/>
    <col min="28" max="28" width="5.375" style="6" customWidth="1"/>
    <col min="29" max="29" width="4.5" style="6" customWidth="1"/>
    <col min="30" max="30" width="5.125" style="6" customWidth="1"/>
    <col min="31" max="33" width="2.25" style="6" customWidth="1"/>
    <col min="34" max="34" width="5.375" style="6" customWidth="1"/>
    <col min="35" max="35" width="4.5" style="6" customWidth="1"/>
    <col min="36" max="36" width="5.625" style="6" customWidth="1"/>
    <col min="37" max="39" width="2.125" style="6" customWidth="1"/>
    <col min="40" max="40" width="5" style="6" customWidth="1"/>
    <col min="41" max="41" width="9.75" style="6" hidden="1" customWidth="1"/>
    <col min="42" max="42" width="5.125" style="6" customWidth="1"/>
    <col min="43" max="43" width="6.375" style="6" customWidth="1"/>
    <col min="44" max="44" width="6.125" style="6" customWidth="1"/>
    <col min="45" max="45" width="4.375" style="6" customWidth="1"/>
    <col min="46" max="46" width="5.25" style="6" customWidth="1"/>
    <col min="47" max="47" width="5.375" style="6" customWidth="1"/>
    <col min="48" max="50" width="2" style="6" customWidth="1"/>
    <col min="51" max="51" width="5.25" style="6" customWidth="1"/>
    <col min="52" max="16384" width="9" style="6"/>
  </cols>
  <sheetData>
    <row r="1" spans="1:51" ht="16.5" customHeight="1" thickTop="1">
      <c r="A1" s="202"/>
      <c r="B1" s="203"/>
      <c r="C1" s="203"/>
      <c r="D1" s="203"/>
      <c r="E1" s="203"/>
      <c r="F1" s="83"/>
      <c r="G1" s="189" t="s">
        <v>79</v>
      </c>
      <c r="H1" s="189"/>
      <c r="I1" s="189"/>
      <c r="J1" s="189"/>
      <c r="K1" s="189"/>
      <c r="L1" s="189"/>
      <c r="M1" s="192" t="str">
        <f>'1. 소켓인수검사'!R1</f>
        <v>26.07.08 엘티엔지니어링_코오롱글로벌_신동양기업_대한항공 운북 신 엔진정비공장 건립공사</v>
      </c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  <c r="Y1" s="192"/>
      <c r="Z1" s="192"/>
      <c r="AA1" s="192"/>
      <c r="AB1" s="192"/>
      <c r="AC1" s="192"/>
      <c r="AD1" s="192"/>
      <c r="AE1" s="192"/>
      <c r="AF1" s="192"/>
      <c r="AG1" s="192"/>
      <c r="AH1" s="192"/>
      <c r="AI1" s="192"/>
      <c r="AJ1" s="192"/>
      <c r="AK1" s="192"/>
      <c r="AL1" s="192"/>
      <c r="AM1" s="192"/>
      <c r="AN1" s="192"/>
      <c r="AO1" s="192"/>
      <c r="AP1" s="192"/>
      <c r="AQ1" s="192"/>
      <c r="AR1" s="192"/>
      <c r="AS1" s="192"/>
      <c r="AT1" s="192"/>
      <c r="AU1" s="192"/>
      <c r="AV1" s="192"/>
      <c r="AW1" s="192"/>
      <c r="AX1" s="192"/>
      <c r="AY1" s="193"/>
    </row>
    <row r="2" spans="1:51" ht="41.25">
      <c r="A2" s="204"/>
      <c r="B2" s="205"/>
      <c r="C2" s="205"/>
      <c r="D2" s="205"/>
      <c r="E2" s="205"/>
      <c r="F2" s="28"/>
      <c r="G2" s="190"/>
      <c r="H2" s="190"/>
      <c r="I2" s="190"/>
      <c r="J2" s="190"/>
      <c r="K2" s="190"/>
      <c r="L2" s="190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5"/>
    </row>
    <row r="3" spans="1:51" ht="42" thickBot="1">
      <c r="A3" s="206"/>
      <c r="B3" s="207"/>
      <c r="C3" s="207"/>
      <c r="D3" s="207"/>
      <c r="E3" s="207"/>
      <c r="F3" s="84"/>
      <c r="G3" s="191"/>
      <c r="H3" s="191"/>
      <c r="I3" s="191"/>
      <c r="J3" s="191"/>
      <c r="K3" s="191"/>
      <c r="L3" s="191"/>
      <c r="M3" s="196"/>
      <c r="N3" s="196"/>
      <c r="O3" s="196"/>
      <c r="P3" s="196"/>
      <c r="Q3" s="196"/>
      <c r="R3" s="196"/>
      <c r="S3" s="196"/>
      <c r="T3" s="196"/>
      <c r="U3" s="196"/>
      <c r="V3" s="196"/>
      <c r="W3" s="196"/>
      <c r="X3" s="196"/>
      <c r="Y3" s="196"/>
      <c r="Z3" s="196"/>
      <c r="AA3" s="196"/>
      <c r="AB3" s="196"/>
      <c r="AC3" s="196"/>
      <c r="AD3" s="196"/>
      <c r="AE3" s="196"/>
      <c r="AF3" s="196"/>
      <c r="AG3" s="196"/>
      <c r="AH3" s="196"/>
      <c r="AI3" s="196"/>
      <c r="AJ3" s="196"/>
      <c r="AK3" s="196"/>
      <c r="AL3" s="196"/>
      <c r="AM3" s="196"/>
      <c r="AN3" s="196"/>
      <c r="AO3" s="196"/>
      <c r="AP3" s="196"/>
      <c r="AQ3" s="196"/>
      <c r="AR3" s="196"/>
      <c r="AS3" s="196"/>
      <c r="AT3" s="196"/>
      <c r="AU3" s="196"/>
      <c r="AV3" s="196"/>
      <c r="AW3" s="196"/>
      <c r="AX3" s="196"/>
      <c r="AY3" s="197"/>
    </row>
    <row r="4" spans="1:51" ht="8.1" customHeight="1" thickTop="1">
      <c r="A4" s="208"/>
      <c r="B4" s="208"/>
      <c r="C4" s="208"/>
      <c r="D4" s="208"/>
      <c r="E4" s="208"/>
      <c r="F4" s="208"/>
      <c r="G4" s="208"/>
      <c r="H4" s="208"/>
      <c r="I4" s="208"/>
      <c r="J4" s="208"/>
      <c r="K4" s="208"/>
      <c r="L4" s="208"/>
      <c r="M4" s="208"/>
      <c r="N4" s="208"/>
      <c r="O4" s="208"/>
      <c r="P4" s="208"/>
      <c r="Q4" s="208"/>
      <c r="R4" s="208"/>
      <c r="S4" s="208"/>
      <c r="T4" s="208"/>
      <c r="U4" s="208"/>
      <c r="V4" s="208"/>
      <c r="W4" s="208"/>
      <c r="X4" s="208"/>
      <c r="Y4" s="208"/>
      <c r="Z4" s="208"/>
      <c r="AA4" s="208"/>
      <c r="AB4" s="208"/>
      <c r="AC4" s="208"/>
      <c r="AD4" s="208"/>
      <c r="AE4" s="208"/>
      <c r="AF4" s="208"/>
      <c r="AG4" s="208"/>
      <c r="AH4" s="208"/>
      <c r="AI4" s="208"/>
      <c r="AJ4" s="208"/>
      <c r="AK4" s="208"/>
      <c r="AL4" s="208"/>
      <c r="AM4" s="208"/>
      <c r="AN4" s="208"/>
      <c r="AO4" s="208"/>
      <c r="AP4" s="30"/>
      <c r="AQ4" s="30"/>
      <c r="AR4" s="30"/>
      <c r="AS4" s="30"/>
      <c r="AT4" s="30"/>
      <c r="AU4" s="30"/>
      <c r="AV4" s="30"/>
      <c r="AW4" s="30"/>
      <c r="AX4" s="30"/>
      <c r="AY4" s="30"/>
    </row>
    <row r="5" spans="1:51" ht="21" customHeight="1">
      <c r="A5" s="209" t="s">
        <v>26</v>
      </c>
      <c r="B5" s="97"/>
      <c r="C5" s="201" t="s">
        <v>25</v>
      </c>
      <c r="D5" s="201"/>
      <c r="E5" s="201" t="s">
        <v>38</v>
      </c>
      <c r="F5" s="201" t="s">
        <v>42</v>
      </c>
      <c r="G5" s="201" t="s">
        <v>45</v>
      </c>
      <c r="H5" s="201"/>
      <c r="I5" s="201"/>
      <c r="J5" s="201"/>
      <c r="K5" s="201"/>
      <c r="L5" s="201"/>
      <c r="M5" s="201"/>
      <c r="N5" s="201"/>
      <c r="O5" s="201"/>
      <c r="P5" s="201"/>
      <c r="Q5" s="201"/>
      <c r="R5" s="201"/>
      <c r="S5" s="201"/>
      <c r="T5" s="201"/>
      <c r="U5" s="201"/>
      <c r="V5" s="201"/>
      <c r="W5" s="201"/>
      <c r="X5" s="201"/>
      <c r="Y5" s="201"/>
      <c r="Z5" s="201"/>
      <c r="AA5" s="201"/>
      <c r="AB5" s="201"/>
      <c r="AC5" s="201"/>
      <c r="AD5" s="201"/>
      <c r="AE5" s="201"/>
      <c r="AF5" s="201"/>
      <c r="AG5" s="201"/>
      <c r="AH5" s="201"/>
      <c r="AI5" s="201"/>
      <c r="AJ5" s="201"/>
      <c r="AK5" s="201"/>
      <c r="AL5" s="201"/>
      <c r="AM5" s="201"/>
      <c r="AN5" s="201"/>
      <c r="AO5" s="99" t="s">
        <v>11</v>
      </c>
      <c r="AP5" s="201" t="s">
        <v>45</v>
      </c>
      <c r="AQ5" s="201"/>
      <c r="AR5" s="201"/>
      <c r="AS5" s="201"/>
      <c r="AT5" s="201"/>
      <c r="AU5" s="201"/>
      <c r="AV5" s="201"/>
      <c r="AW5" s="201"/>
      <c r="AX5" s="201"/>
      <c r="AY5" s="201"/>
    </row>
    <row r="6" spans="1:51" ht="21" customHeight="1">
      <c r="A6" s="209"/>
      <c r="B6" s="201" t="s">
        <v>31</v>
      </c>
      <c r="C6" s="201" t="s">
        <v>27</v>
      </c>
      <c r="D6" s="201" t="s">
        <v>15</v>
      </c>
      <c r="E6" s="201"/>
      <c r="F6" s="201"/>
      <c r="G6" s="201" t="s">
        <v>10</v>
      </c>
      <c r="H6" s="201"/>
      <c r="I6" s="201"/>
      <c r="J6" s="201"/>
      <c r="K6" s="201" t="s">
        <v>13</v>
      </c>
      <c r="L6" s="201"/>
      <c r="M6" s="201"/>
      <c r="N6" s="201"/>
      <c r="O6" s="201"/>
      <c r="P6" s="201"/>
      <c r="Q6" s="201" t="s">
        <v>97</v>
      </c>
      <c r="R6" s="201"/>
      <c r="S6" s="201"/>
      <c r="T6" s="201"/>
      <c r="U6" s="201"/>
      <c r="V6" s="201"/>
      <c r="W6" s="201" t="s">
        <v>12</v>
      </c>
      <c r="X6" s="201"/>
      <c r="Y6" s="201"/>
      <c r="Z6" s="201"/>
      <c r="AA6" s="201"/>
      <c r="AB6" s="201"/>
      <c r="AC6" s="201" t="s">
        <v>67</v>
      </c>
      <c r="AD6" s="201"/>
      <c r="AE6" s="201"/>
      <c r="AF6" s="201"/>
      <c r="AG6" s="201"/>
      <c r="AH6" s="201"/>
      <c r="AI6" s="201" t="s">
        <v>71</v>
      </c>
      <c r="AJ6" s="201"/>
      <c r="AK6" s="201"/>
      <c r="AL6" s="201"/>
      <c r="AM6" s="201"/>
      <c r="AN6" s="201"/>
      <c r="AO6" s="99"/>
      <c r="AP6" s="201" t="s">
        <v>56</v>
      </c>
      <c r="AQ6" s="201"/>
      <c r="AR6" s="201"/>
      <c r="AS6" s="201"/>
      <c r="AT6" s="201" t="s">
        <v>58</v>
      </c>
      <c r="AU6" s="201"/>
      <c r="AV6" s="201"/>
      <c r="AW6" s="201"/>
      <c r="AX6" s="201"/>
      <c r="AY6" s="201"/>
    </row>
    <row r="7" spans="1:51" ht="24.75" customHeight="1">
      <c r="A7" s="209"/>
      <c r="B7" s="201"/>
      <c r="C7" s="201"/>
      <c r="D7" s="201"/>
      <c r="E7" s="201"/>
      <c r="F7" s="201"/>
      <c r="G7" s="98" t="s">
        <v>30</v>
      </c>
      <c r="H7" s="98" t="s">
        <v>19</v>
      </c>
      <c r="I7" s="98" t="s">
        <v>25</v>
      </c>
      <c r="J7" s="98" t="s">
        <v>38</v>
      </c>
      <c r="K7" s="98" t="s">
        <v>30</v>
      </c>
      <c r="L7" s="98" t="s">
        <v>19</v>
      </c>
      <c r="M7" s="201" t="s">
        <v>25</v>
      </c>
      <c r="N7" s="201"/>
      <c r="O7" s="201"/>
      <c r="P7" s="98" t="s">
        <v>35</v>
      </c>
      <c r="Q7" s="98" t="s">
        <v>30</v>
      </c>
      <c r="R7" s="98" t="s">
        <v>19</v>
      </c>
      <c r="S7" s="201" t="s">
        <v>25</v>
      </c>
      <c r="T7" s="201"/>
      <c r="U7" s="201"/>
      <c r="V7" s="98" t="s">
        <v>35</v>
      </c>
      <c r="W7" s="98" t="s">
        <v>30</v>
      </c>
      <c r="X7" s="98" t="s">
        <v>19</v>
      </c>
      <c r="Y7" s="201" t="s">
        <v>25</v>
      </c>
      <c r="Z7" s="201"/>
      <c r="AA7" s="201"/>
      <c r="AB7" s="98" t="s">
        <v>35</v>
      </c>
      <c r="AC7" s="98" t="s">
        <v>30</v>
      </c>
      <c r="AD7" s="98" t="s">
        <v>19</v>
      </c>
      <c r="AE7" s="201" t="s">
        <v>25</v>
      </c>
      <c r="AF7" s="201"/>
      <c r="AG7" s="201"/>
      <c r="AH7" s="98" t="s">
        <v>35</v>
      </c>
      <c r="AI7" s="98" t="s">
        <v>30</v>
      </c>
      <c r="AJ7" s="98" t="s">
        <v>19</v>
      </c>
      <c r="AK7" s="201" t="s">
        <v>25</v>
      </c>
      <c r="AL7" s="201"/>
      <c r="AM7" s="201"/>
      <c r="AN7" s="98" t="s">
        <v>35</v>
      </c>
      <c r="AO7" s="99"/>
      <c r="AP7" s="98" t="s">
        <v>30</v>
      </c>
      <c r="AQ7" s="98" t="s">
        <v>19</v>
      </c>
      <c r="AR7" s="98" t="s">
        <v>25</v>
      </c>
      <c r="AS7" s="98" t="s">
        <v>38</v>
      </c>
      <c r="AT7" s="98" t="s">
        <v>30</v>
      </c>
      <c r="AU7" s="98" t="s">
        <v>19</v>
      </c>
      <c r="AV7" s="201" t="s">
        <v>25</v>
      </c>
      <c r="AW7" s="201"/>
      <c r="AX7" s="201"/>
      <c r="AY7" s="98" t="s">
        <v>35</v>
      </c>
    </row>
    <row r="8" spans="1:51" ht="16.5" customHeight="1">
      <c r="A8" s="100" t="str">
        <f>'1. 소켓인수검사'!A9</f>
        <v>03</v>
      </c>
      <c r="B8" s="42" t="s">
        <v>0</v>
      </c>
      <c r="C8" s="35" t="str">
        <f>'1. 소켓인수검사'!C9</f>
        <v>1300</v>
      </c>
      <c r="D8" s="35" t="str">
        <f>'1. 소켓인수검사'!D9</f>
        <v>1100</v>
      </c>
      <c r="E8" s="32">
        <v>1</v>
      </c>
      <c r="F8" s="33"/>
      <c r="G8" s="198"/>
      <c r="H8" s="199"/>
      <c r="I8" s="32">
        <f>(C8-60)/2-5</f>
        <v>615</v>
      </c>
      <c r="J8" s="32">
        <v>4</v>
      </c>
      <c r="K8" s="198"/>
      <c r="L8" s="200"/>
      <c r="M8" s="188">
        <f>(C8-60)/2-5</f>
        <v>615</v>
      </c>
      <c r="N8" s="188">
        <f t="shared" ref="N8:O8" si="0">(H8-60)/2-5</f>
        <v>-35</v>
      </c>
      <c r="O8" s="188">
        <f t="shared" si="0"/>
        <v>272.5</v>
      </c>
      <c r="P8" s="32">
        <v>4</v>
      </c>
      <c r="Q8" s="186"/>
      <c r="R8" s="187"/>
      <c r="S8" s="188"/>
      <c r="T8" s="188"/>
      <c r="U8" s="188"/>
      <c r="V8" s="32"/>
      <c r="W8" s="186"/>
      <c r="X8" s="187"/>
      <c r="Y8" s="188" t="str">
        <f>D8</f>
        <v>1100</v>
      </c>
      <c r="Z8" s="188">
        <f t="shared" ref="Z8:Z10" si="1">(F8-20)/2-10</f>
        <v>-20</v>
      </c>
      <c r="AA8" s="188">
        <f t="shared" ref="AA8:AA10" si="2">(G8-20)/2-10</f>
        <v>-20</v>
      </c>
      <c r="AB8" s="32">
        <f t="shared" ref="AB8:AB10" si="3">3*2</f>
        <v>6</v>
      </c>
      <c r="AC8" s="198"/>
      <c r="AD8" s="38">
        <v>318</v>
      </c>
      <c r="AE8" s="188">
        <f>(C8-60)/2</f>
        <v>620</v>
      </c>
      <c r="AF8" s="188">
        <f t="shared" ref="AF8" si="4">(K8-20)/2-10</f>
        <v>-20</v>
      </c>
      <c r="AG8" s="188">
        <f t="shared" ref="AG8" si="5">(L8-20)/2-10</f>
        <v>-20</v>
      </c>
      <c r="AH8" s="32">
        <v>8</v>
      </c>
      <c r="AI8" s="198"/>
      <c r="AJ8" s="38">
        <v>255</v>
      </c>
      <c r="AK8" s="188">
        <f>(C8-60)/2</f>
        <v>620</v>
      </c>
      <c r="AL8" s="188">
        <f t="shared" ref="AL8" si="6">(W8-20)/2-10</f>
        <v>-20</v>
      </c>
      <c r="AM8" s="188">
        <f t="shared" ref="AM8" si="7">(X8-20)/2-10</f>
        <v>-20</v>
      </c>
      <c r="AN8" s="32">
        <v>8</v>
      </c>
      <c r="AO8" s="32"/>
      <c r="AP8" s="198"/>
      <c r="AQ8" s="101">
        <v>260</v>
      </c>
      <c r="AR8" s="102">
        <v>1000</v>
      </c>
      <c r="AS8" s="96">
        <f>'2.1 재단(1.69,064)'!T8/2</f>
        <v>6</v>
      </c>
      <c r="AT8" s="198"/>
      <c r="AU8" s="103">
        <v>310</v>
      </c>
      <c r="AV8" s="210">
        <v>1000</v>
      </c>
      <c r="AW8" s="210"/>
      <c r="AX8" s="210"/>
      <c r="AY8" s="96">
        <f>'2.1 재단(1.69,064)'!Z8</f>
        <v>6</v>
      </c>
    </row>
    <row r="9" spans="1:51" ht="16.5" customHeight="1">
      <c r="A9" s="100" t="str">
        <f>'1. 소켓인수검사'!A10</f>
        <v>04</v>
      </c>
      <c r="B9" s="42" t="s">
        <v>0</v>
      </c>
      <c r="C9" s="35" t="str">
        <f>'1. 소켓인수검사'!C10</f>
        <v>1500</v>
      </c>
      <c r="D9" s="35" t="str">
        <f>'1. 소켓인수검사'!D10</f>
        <v>800</v>
      </c>
      <c r="E9" s="32">
        <v>1</v>
      </c>
      <c r="F9" s="33"/>
      <c r="G9" s="198"/>
      <c r="H9" s="199"/>
      <c r="I9" s="32">
        <f t="shared" ref="I9:I10" si="8">(C9-60)/2-5</f>
        <v>715</v>
      </c>
      <c r="J9" s="32">
        <v>4</v>
      </c>
      <c r="K9" s="198"/>
      <c r="L9" s="200"/>
      <c r="M9" s="188">
        <f t="shared" ref="M9:M10" si="9">(C9-60)/2-5</f>
        <v>715</v>
      </c>
      <c r="N9" s="188">
        <f t="shared" ref="N9:N10" si="10">(H9-60)/2-5</f>
        <v>-35</v>
      </c>
      <c r="O9" s="188">
        <f t="shared" ref="O9:O10" si="11">(I9-60)/2-5</f>
        <v>322.5</v>
      </c>
      <c r="P9" s="32">
        <v>4</v>
      </c>
      <c r="Q9" s="186"/>
      <c r="R9" s="187"/>
      <c r="S9" s="188"/>
      <c r="T9" s="188"/>
      <c r="U9" s="188"/>
      <c r="V9" s="32"/>
      <c r="W9" s="186"/>
      <c r="X9" s="187"/>
      <c r="Y9" s="188" t="str">
        <f t="shared" ref="Y9:Y10" si="12">D9</f>
        <v>800</v>
      </c>
      <c r="Z9" s="188">
        <f t="shared" si="1"/>
        <v>-20</v>
      </c>
      <c r="AA9" s="188">
        <f t="shared" si="2"/>
        <v>-20</v>
      </c>
      <c r="AB9" s="32">
        <f t="shared" si="3"/>
        <v>6</v>
      </c>
      <c r="AC9" s="198"/>
      <c r="AD9" s="38">
        <v>318</v>
      </c>
      <c r="AE9" s="188">
        <f t="shared" ref="AE9:AE10" si="13">(C9-60)/2</f>
        <v>720</v>
      </c>
      <c r="AF9" s="188">
        <f t="shared" ref="AF9:AF10" si="14">(K9-20)/2-10</f>
        <v>-20</v>
      </c>
      <c r="AG9" s="188">
        <f t="shared" ref="AG9:AG10" si="15">(L9-20)/2-10</f>
        <v>-20</v>
      </c>
      <c r="AH9" s="32">
        <v>8</v>
      </c>
      <c r="AI9" s="198"/>
      <c r="AJ9" s="38">
        <v>255</v>
      </c>
      <c r="AK9" s="188">
        <f t="shared" ref="AK9:AK10" si="16">(C9-60)/2</f>
        <v>720</v>
      </c>
      <c r="AL9" s="188">
        <f t="shared" ref="AL9:AL10" si="17">(W9-20)/2-10</f>
        <v>-20</v>
      </c>
      <c r="AM9" s="188">
        <f t="shared" ref="AM9:AM10" si="18">(X9-20)/2-10</f>
        <v>-20</v>
      </c>
      <c r="AN9" s="32">
        <v>8</v>
      </c>
      <c r="AO9" s="32"/>
      <c r="AP9" s="198"/>
      <c r="AQ9" s="101">
        <v>260</v>
      </c>
      <c r="AR9" s="102">
        <v>1000</v>
      </c>
      <c r="AS9" s="96">
        <f>'2.1 재단(1.69,064)'!T9/2</f>
        <v>6</v>
      </c>
      <c r="AT9" s="198"/>
      <c r="AU9" s="103">
        <v>310</v>
      </c>
      <c r="AV9" s="210">
        <v>1000</v>
      </c>
      <c r="AW9" s="210"/>
      <c r="AX9" s="210"/>
      <c r="AY9" s="96">
        <f>'2.1 재단(1.69,064)'!Z9</f>
        <v>6</v>
      </c>
    </row>
    <row r="10" spans="1:51" ht="16.5" customHeight="1">
      <c r="A10" s="100" t="str">
        <f>'1. 소켓인수검사'!A11</f>
        <v>05</v>
      </c>
      <c r="B10" s="42" t="s">
        <v>0</v>
      </c>
      <c r="C10" s="35" t="str">
        <f>'1. 소켓인수검사'!C11</f>
        <v>1800</v>
      </c>
      <c r="D10" s="35" t="str">
        <f>'1. 소켓인수검사'!D11</f>
        <v>800</v>
      </c>
      <c r="E10" s="32">
        <v>1</v>
      </c>
      <c r="F10" s="33"/>
      <c r="G10" s="198"/>
      <c r="H10" s="199"/>
      <c r="I10" s="32">
        <f t="shared" si="8"/>
        <v>865</v>
      </c>
      <c r="J10" s="32">
        <v>4</v>
      </c>
      <c r="K10" s="198"/>
      <c r="L10" s="200"/>
      <c r="M10" s="188">
        <f t="shared" si="9"/>
        <v>865</v>
      </c>
      <c r="N10" s="188">
        <f t="shared" si="10"/>
        <v>-35</v>
      </c>
      <c r="O10" s="188">
        <f t="shared" si="11"/>
        <v>397.5</v>
      </c>
      <c r="P10" s="32">
        <v>4</v>
      </c>
      <c r="Q10" s="186"/>
      <c r="R10" s="187"/>
      <c r="S10" s="188"/>
      <c r="T10" s="188"/>
      <c r="U10" s="188"/>
      <c r="V10" s="32"/>
      <c r="W10" s="186"/>
      <c r="X10" s="187"/>
      <c r="Y10" s="188" t="str">
        <f t="shared" si="12"/>
        <v>800</v>
      </c>
      <c r="Z10" s="188">
        <f t="shared" si="1"/>
        <v>-20</v>
      </c>
      <c r="AA10" s="188">
        <f t="shared" si="2"/>
        <v>-20</v>
      </c>
      <c r="AB10" s="32">
        <f t="shared" si="3"/>
        <v>6</v>
      </c>
      <c r="AC10" s="198"/>
      <c r="AD10" s="38">
        <v>318</v>
      </c>
      <c r="AE10" s="188">
        <f t="shared" si="13"/>
        <v>870</v>
      </c>
      <c r="AF10" s="188">
        <f t="shared" si="14"/>
        <v>-20</v>
      </c>
      <c r="AG10" s="188">
        <f t="shared" si="15"/>
        <v>-20</v>
      </c>
      <c r="AH10" s="32">
        <v>8</v>
      </c>
      <c r="AI10" s="198"/>
      <c r="AJ10" s="38">
        <v>255</v>
      </c>
      <c r="AK10" s="188">
        <f t="shared" si="16"/>
        <v>870</v>
      </c>
      <c r="AL10" s="188">
        <f t="shared" si="17"/>
        <v>-20</v>
      </c>
      <c r="AM10" s="188">
        <f t="shared" si="18"/>
        <v>-20</v>
      </c>
      <c r="AN10" s="32">
        <v>8</v>
      </c>
      <c r="AO10" s="32"/>
      <c r="AP10" s="198"/>
      <c r="AQ10" s="101">
        <v>260</v>
      </c>
      <c r="AR10" s="102">
        <v>1000</v>
      </c>
      <c r="AS10" s="96">
        <f>'2.1 재단(1.69,064)'!T10/2</f>
        <v>7</v>
      </c>
      <c r="AT10" s="198"/>
      <c r="AU10" s="103">
        <v>310</v>
      </c>
      <c r="AV10" s="210">
        <v>1000</v>
      </c>
      <c r="AW10" s="210"/>
      <c r="AX10" s="210"/>
      <c r="AY10" s="96">
        <f>'2.1 재단(1.69,064)'!Z10</f>
        <v>7</v>
      </c>
    </row>
    <row r="11" spans="1:51">
      <c r="A11" s="185" t="s">
        <v>17</v>
      </c>
      <c r="B11" s="185"/>
      <c r="C11" s="185"/>
      <c r="D11" s="32"/>
      <c r="E11" s="104"/>
      <c r="F11" s="101"/>
      <c r="G11" s="32"/>
      <c r="H11" s="32"/>
      <c r="I11" s="32"/>
      <c r="J11" s="32">
        <f>SUM(J8:J10)</f>
        <v>12</v>
      </c>
      <c r="K11" s="32"/>
      <c r="L11" s="32"/>
      <c r="M11" s="185"/>
      <c r="N11" s="185"/>
      <c r="O11" s="185"/>
      <c r="P11" s="32">
        <f>SUM(P8:P10)</f>
        <v>12</v>
      </c>
      <c r="Q11" s="32"/>
      <c r="R11" s="32"/>
      <c r="S11" s="185"/>
      <c r="T11" s="185"/>
      <c r="U11" s="185"/>
      <c r="V11" s="32">
        <f>SUM(V8:V10)</f>
        <v>0</v>
      </c>
      <c r="W11" s="32"/>
      <c r="X11" s="32"/>
      <c r="Y11" s="185"/>
      <c r="Z11" s="185"/>
      <c r="AA11" s="185"/>
      <c r="AB11" s="32">
        <f>SUM(AB8:AB10)</f>
        <v>18</v>
      </c>
      <c r="AC11" s="32"/>
      <c r="AD11" s="32"/>
      <c r="AE11" s="185"/>
      <c r="AF11" s="185"/>
      <c r="AG11" s="185"/>
      <c r="AH11" s="32">
        <f>SUM(AH8:AH10)</f>
        <v>24</v>
      </c>
      <c r="AI11" s="32"/>
      <c r="AJ11" s="32"/>
      <c r="AK11" s="185"/>
      <c r="AL11" s="185"/>
      <c r="AM11" s="185"/>
      <c r="AN11" s="32">
        <f>SUM(AN8:AN10)</f>
        <v>24</v>
      </c>
      <c r="AO11" s="32"/>
      <c r="AP11" s="198"/>
      <c r="AQ11" s="32"/>
      <c r="AR11" s="35"/>
      <c r="AS11" s="32">
        <f>SUM(AS8:AS10)</f>
        <v>19</v>
      </c>
      <c r="AT11" s="198"/>
      <c r="AU11" s="32"/>
      <c r="AV11" s="184"/>
      <c r="AW11" s="184"/>
      <c r="AX11" s="184"/>
      <c r="AY11" s="32">
        <f>SUM(AY8:AY10)</f>
        <v>19</v>
      </c>
    </row>
  </sheetData>
  <mergeCells count="64">
    <mergeCell ref="AV8:AX8"/>
    <mergeCell ref="AV9:AX9"/>
    <mergeCell ref="AV10:AX10"/>
    <mergeCell ref="AV11:AX11"/>
    <mergeCell ref="A11:C11"/>
    <mergeCell ref="M11:O11"/>
    <mergeCell ref="Y11:AA11"/>
    <mergeCell ref="AE11:AG11"/>
    <mergeCell ref="AK11:AM11"/>
    <mergeCell ref="AK10:AM10"/>
    <mergeCell ref="AK8:AM8"/>
    <mergeCell ref="M9:O9"/>
    <mergeCell ref="Y9:AA9"/>
    <mergeCell ref="AE9:AG9"/>
    <mergeCell ref="AK9:AM9"/>
    <mergeCell ref="AP8:AP11"/>
    <mergeCell ref="AT8:AT11"/>
    <mergeCell ref="A1:E3"/>
    <mergeCell ref="A4:AO4"/>
    <mergeCell ref="A5:A7"/>
    <mergeCell ref="C5:D5"/>
    <mergeCell ref="E5:E7"/>
    <mergeCell ref="F5:F7"/>
    <mergeCell ref="G5:AN5"/>
    <mergeCell ref="AP5:AY5"/>
    <mergeCell ref="B6:B7"/>
    <mergeCell ref="C6:C7"/>
    <mergeCell ref="D6:D7"/>
    <mergeCell ref="G6:J6"/>
    <mergeCell ref="K6:P6"/>
    <mergeCell ref="W6:AB6"/>
    <mergeCell ref="AC6:AH6"/>
    <mergeCell ref="AI6:AN6"/>
    <mergeCell ref="AP6:AS6"/>
    <mergeCell ref="AT6:AY6"/>
    <mergeCell ref="M7:O7"/>
    <mergeCell ref="Y7:AA7"/>
    <mergeCell ref="AE7:AG7"/>
    <mergeCell ref="AK7:AM7"/>
    <mergeCell ref="AV7:AX7"/>
    <mergeCell ref="Q6:V6"/>
    <mergeCell ref="S7:U7"/>
    <mergeCell ref="G1:L3"/>
    <mergeCell ref="M8:O8"/>
    <mergeCell ref="Y8:AA8"/>
    <mergeCell ref="AE8:AG8"/>
    <mergeCell ref="M10:O10"/>
    <mergeCell ref="Y10:AA10"/>
    <mergeCell ref="AE10:AG10"/>
    <mergeCell ref="M1:AY3"/>
    <mergeCell ref="G8:G10"/>
    <mergeCell ref="H8:H10"/>
    <mergeCell ref="L8:L10"/>
    <mergeCell ref="X8:X10"/>
    <mergeCell ref="AC8:AC10"/>
    <mergeCell ref="AI8:AI10"/>
    <mergeCell ref="W8:W10"/>
    <mergeCell ref="K8:K10"/>
    <mergeCell ref="S11:U11"/>
    <mergeCell ref="Q8:Q10"/>
    <mergeCell ref="R8:R10"/>
    <mergeCell ref="S8:U8"/>
    <mergeCell ref="S9:U9"/>
    <mergeCell ref="S10:U10"/>
  </mergeCells>
  <phoneticPr fontId="32" type="noConversion"/>
  <pageMargins left="0.39370078740157483" right="0.19685039370078741" top="0.47244094488188981" bottom="0.31496062992125984" header="0.31496062992125984" footer="0.31496062992125984"/>
  <pageSetup paperSize="9" scale="64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rgb="FFC00000"/>
  </sheetPr>
  <dimension ref="A1:O21"/>
  <sheetViews>
    <sheetView zoomScale="85" zoomScaleNormal="75" zoomScaleSheetLayoutView="85" workbookViewId="0">
      <selection activeCell="L35" sqref="L35"/>
    </sheetView>
  </sheetViews>
  <sheetFormatPr defaultColWidth="9" defaultRowHeight="16.5"/>
  <cols>
    <col min="1" max="1" width="4.875" bestFit="1" customWidth="1"/>
    <col min="2" max="4" width="13" customWidth="1"/>
    <col min="5" max="5" width="13.875" hidden="1" customWidth="1"/>
    <col min="6" max="7" width="7.625" hidden="1" customWidth="1"/>
    <col min="8" max="8" width="15.125" customWidth="1"/>
    <col min="9" max="9" width="12.5" customWidth="1"/>
    <col min="10" max="10" width="15.125" customWidth="1"/>
    <col min="11" max="11" width="12.5" customWidth="1"/>
    <col min="12" max="14" width="6.625" customWidth="1"/>
    <col min="15" max="15" width="9.75" customWidth="1"/>
  </cols>
  <sheetData>
    <row r="1" spans="1:15" ht="16.5" customHeight="1">
      <c r="A1" s="142"/>
      <c r="B1" s="142"/>
      <c r="C1" s="142"/>
      <c r="D1" s="142"/>
      <c r="E1" s="217" t="s">
        <v>80</v>
      </c>
      <c r="F1" s="218"/>
      <c r="G1" s="218"/>
      <c r="H1" s="218"/>
      <c r="I1" s="218"/>
      <c r="J1" s="218"/>
      <c r="K1" s="218"/>
      <c r="L1" s="218"/>
      <c r="M1" s="218"/>
      <c r="N1" s="218"/>
      <c r="O1" s="219"/>
    </row>
    <row r="2" spans="1:15" ht="16.5" customHeight="1">
      <c r="A2" s="142"/>
      <c r="B2" s="142"/>
      <c r="C2" s="142"/>
      <c r="D2" s="142"/>
      <c r="E2" s="220"/>
      <c r="F2" s="221"/>
      <c r="G2" s="221"/>
      <c r="H2" s="221"/>
      <c r="I2" s="221"/>
      <c r="J2" s="221"/>
      <c r="K2" s="221"/>
      <c r="L2" s="221"/>
      <c r="M2" s="221"/>
      <c r="N2" s="221"/>
      <c r="O2" s="222"/>
    </row>
    <row r="3" spans="1:15" ht="16.5" customHeight="1">
      <c r="A3" s="142"/>
      <c r="B3" s="142"/>
      <c r="C3" s="142"/>
      <c r="D3" s="142"/>
      <c r="E3" s="220"/>
      <c r="F3" s="221"/>
      <c r="G3" s="221"/>
      <c r="H3" s="221"/>
      <c r="I3" s="221"/>
      <c r="J3" s="221"/>
      <c r="K3" s="221"/>
      <c r="L3" s="221"/>
      <c r="M3" s="221"/>
      <c r="N3" s="221"/>
      <c r="O3" s="222"/>
    </row>
    <row r="4" spans="1:15" ht="16.5" customHeight="1">
      <c r="A4" s="142" t="s">
        <v>46</v>
      </c>
      <c r="B4" s="142"/>
      <c r="C4" s="142"/>
      <c r="D4" s="1"/>
      <c r="E4" s="223"/>
      <c r="F4" s="224"/>
      <c r="G4" s="224"/>
      <c r="H4" s="224"/>
      <c r="I4" s="224"/>
      <c r="J4" s="224"/>
      <c r="K4" s="224"/>
      <c r="L4" s="224"/>
      <c r="M4" s="224"/>
      <c r="N4" s="224"/>
      <c r="O4" s="225"/>
    </row>
    <row r="5" spans="1:15" ht="35.1" customHeight="1">
      <c r="A5" s="142" t="s">
        <v>40</v>
      </c>
      <c r="B5" s="142"/>
      <c r="C5" s="142"/>
      <c r="D5" s="142"/>
      <c r="E5" s="2" t="s">
        <v>37</v>
      </c>
      <c r="F5" s="226"/>
      <c r="G5" s="227"/>
      <c r="H5" s="228" t="s">
        <v>22</v>
      </c>
      <c r="I5" s="230"/>
      <c r="J5" s="231"/>
      <c r="K5" s="230" t="s">
        <v>9</v>
      </c>
      <c r="L5" s="231"/>
      <c r="M5" s="234" t="str">
        <f>'1. 소켓인수검사'!R1</f>
        <v>26.07.08 엘티엔지니어링_코오롱글로벌_신동양기업_대한항공 운북 신 엔진정비공장 건립공사</v>
      </c>
      <c r="N5" s="234"/>
      <c r="O5" s="234"/>
    </row>
    <row r="6" spans="1:15" ht="35.1" customHeight="1">
      <c r="A6" s="142"/>
      <c r="B6" s="142"/>
      <c r="C6" s="142"/>
      <c r="D6" s="142"/>
      <c r="E6" s="2" t="s">
        <v>34</v>
      </c>
      <c r="F6" s="226"/>
      <c r="G6" s="227"/>
      <c r="H6" s="229"/>
      <c r="I6" s="232"/>
      <c r="J6" s="233"/>
      <c r="K6" s="232"/>
      <c r="L6" s="233"/>
      <c r="M6" s="234"/>
      <c r="N6" s="234"/>
      <c r="O6" s="234"/>
    </row>
    <row r="7" spans="1:15" ht="8.1" customHeight="1">
      <c r="A7" s="238"/>
      <c r="B7" s="238"/>
      <c r="C7" s="238"/>
      <c r="D7" s="238"/>
      <c r="E7" s="238"/>
      <c r="F7" s="238"/>
      <c r="G7" s="238"/>
      <c r="H7" s="238"/>
      <c r="I7" s="238"/>
      <c r="J7" s="238"/>
      <c r="K7" s="238"/>
      <c r="L7" s="238"/>
      <c r="M7" s="238"/>
      <c r="N7" s="238"/>
      <c r="O7" s="238"/>
    </row>
    <row r="8" spans="1:15" ht="26.45" customHeight="1">
      <c r="A8" s="239" t="s">
        <v>26</v>
      </c>
      <c r="B8" s="240" t="s">
        <v>31</v>
      </c>
      <c r="C8" s="243" t="s">
        <v>25</v>
      </c>
      <c r="D8" s="243"/>
      <c r="E8" s="243" t="s">
        <v>42</v>
      </c>
      <c r="F8" s="243" t="s">
        <v>30</v>
      </c>
      <c r="G8" s="243" t="s">
        <v>19</v>
      </c>
      <c r="H8" s="244" t="s">
        <v>63</v>
      </c>
      <c r="I8" s="244"/>
      <c r="J8" s="244"/>
      <c r="K8" s="244"/>
      <c r="L8" s="244"/>
      <c r="M8" s="244"/>
      <c r="N8" s="244"/>
      <c r="O8" s="243" t="s">
        <v>5</v>
      </c>
    </row>
    <row r="9" spans="1:15" ht="16.5" customHeight="1">
      <c r="A9" s="239"/>
      <c r="B9" s="241"/>
      <c r="C9" s="243" t="s">
        <v>27</v>
      </c>
      <c r="D9" s="243" t="s">
        <v>15</v>
      </c>
      <c r="E9" s="243"/>
      <c r="F9" s="243"/>
      <c r="G9" s="243"/>
      <c r="H9" s="243" t="s">
        <v>18</v>
      </c>
      <c r="I9" s="243"/>
      <c r="J9" s="243" t="s">
        <v>23</v>
      </c>
      <c r="K9" s="243"/>
      <c r="L9" s="211" t="s">
        <v>68</v>
      </c>
      <c r="M9" s="212"/>
      <c r="N9" s="213"/>
      <c r="O9" s="243"/>
    </row>
    <row r="10" spans="1:15">
      <c r="A10" s="239"/>
      <c r="B10" s="242"/>
      <c r="C10" s="243"/>
      <c r="D10" s="243"/>
      <c r="E10" s="243"/>
      <c r="F10" s="27">
        <v>25</v>
      </c>
      <c r="G10" s="27">
        <v>300</v>
      </c>
      <c r="H10" s="27" t="s">
        <v>25</v>
      </c>
      <c r="I10" s="27" t="s">
        <v>2</v>
      </c>
      <c r="J10" s="27" t="s">
        <v>25</v>
      </c>
      <c r="K10" s="27" t="s">
        <v>2</v>
      </c>
      <c r="L10" s="214"/>
      <c r="M10" s="215"/>
      <c r="N10" s="216"/>
      <c r="O10" s="243"/>
    </row>
    <row r="11" spans="1:15">
      <c r="A11" s="31" t="str">
        <f>'1. 소켓인수검사'!A9</f>
        <v>03</v>
      </c>
      <c r="B11" s="42" t="str">
        <f>'1. 소켓인수검사'!B9</f>
        <v>HTG-1.69</v>
      </c>
      <c r="C11" s="35" t="str">
        <f>'1. 소켓인수검사'!C9</f>
        <v>1300</v>
      </c>
      <c r="D11" s="35" t="str">
        <f>'1. 소켓인수검사'!D9</f>
        <v>1100</v>
      </c>
      <c r="E11" s="20"/>
      <c r="F11" s="23"/>
      <c r="G11" s="23"/>
      <c r="H11" s="22">
        <f>(C11-60)/2+60</f>
        <v>680</v>
      </c>
      <c r="I11" s="22">
        <v>4</v>
      </c>
      <c r="J11" s="22" t="str">
        <f t="shared" ref="J11:J13" si="0">D11</f>
        <v>1100</v>
      </c>
      <c r="K11" s="22">
        <v>4</v>
      </c>
      <c r="L11" s="235"/>
      <c r="M11" s="236"/>
      <c r="N11" s="237"/>
      <c r="O11" s="21"/>
    </row>
    <row r="12" spans="1:15">
      <c r="A12" s="31" t="str">
        <f>'1. 소켓인수검사'!A10</f>
        <v>04</v>
      </c>
      <c r="B12" s="42" t="str">
        <f>'1. 소켓인수검사'!B10</f>
        <v>HTG-1.69</v>
      </c>
      <c r="C12" s="35" t="str">
        <f>'1. 소켓인수검사'!C10</f>
        <v>1500</v>
      </c>
      <c r="D12" s="35" t="str">
        <f>'1. 소켓인수검사'!D10</f>
        <v>800</v>
      </c>
      <c r="E12" s="20"/>
      <c r="F12" s="23"/>
      <c r="G12" s="23"/>
      <c r="H12" s="22">
        <f t="shared" ref="H12:H13" si="1">(C12-60)/2+60</f>
        <v>780</v>
      </c>
      <c r="I12" s="22">
        <v>4</v>
      </c>
      <c r="J12" s="22" t="str">
        <f t="shared" si="0"/>
        <v>800</v>
      </c>
      <c r="K12" s="22">
        <v>4</v>
      </c>
      <c r="L12" s="235"/>
      <c r="M12" s="236"/>
      <c r="N12" s="237"/>
      <c r="O12" s="21"/>
    </row>
    <row r="13" spans="1:15">
      <c r="A13" s="31" t="str">
        <f>'1. 소켓인수검사'!A11</f>
        <v>05</v>
      </c>
      <c r="B13" s="42" t="str">
        <f>'1. 소켓인수검사'!B11</f>
        <v>HTG-1.69</v>
      </c>
      <c r="C13" s="35" t="str">
        <f>'1. 소켓인수검사'!C11</f>
        <v>1800</v>
      </c>
      <c r="D13" s="35" t="str">
        <f>'1. 소켓인수검사'!D11</f>
        <v>800</v>
      </c>
      <c r="E13" s="20"/>
      <c r="F13" s="23"/>
      <c r="G13" s="23"/>
      <c r="H13" s="22">
        <f t="shared" si="1"/>
        <v>930</v>
      </c>
      <c r="I13" s="22">
        <v>4</v>
      </c>
      <c r="J13" s="22" t="str">
        <f t="shared" si="0"/>
        <v>800</v>
      </c>
      <c r="K13" s="22">
        <v>4</v>
      </c>
      <c r="L13" s="235"/>
      <c r="M13" s="236"/>
      <c r="N13" s="237"/>
      <c r="O13" s="21"/>
    </row>
    <row r="14" spans="1:15">
      <c r="A14" s="245" t="s">
        <v>17</v>
      </c>
      <c r="B14" s="245"/>
      <c r="C14" s="245"/>
      <c r="D14" s="3"/>
      <c r="E14" s="4"/>
      <c r="F14" s="4"/>
      <c r="G14" s="4"/>
      <c r="H14" s="3"/>
      <c r="I14" s="3">
        <f>SUM(I11:I13)</f>
        <v>12</v>
      </c>
      <c r="J14" s="3"/>
      <c r="K14" s="3">
        <f>SUM(K11:K13)</f>
        <v>12</v>
      </c>
      <c r="L14" s="226"/>
      <c r="M14" s="246"/>
      <c r="N14" s="227"/>
      <c r="O14" s="3"/>
    </row>
    <row r="15" spans="1:15" ht="8.1" customHeight="1">
      <c r="A15" s="247"/>
      <c r="B15" s="247"/>
      <c r="C15" s="247"/>
      <c r="D15" s="247"/>
      <c r="E15" s="247"/>
      <c r="F15" s="247"/>
      <c r="G15" s="247"/>
      <c r="H15" s="247"/>
      <c r="I15" s="247"/>
      <c r="J15" s="247"/>
      <c r="K15" s="247"/>
      <c r="L15" s="247"/>
      <c r="M15" s="247"/>
      <c r="N15" s="247"/>
      <c r="O15" s="247"/>
    </row>
    <row r="16" spans="1:15">
      <c r="A16" s="172" t="s">
        <v>7</v>
      </c>
      <c r="B16" s="172"/>
      <c r="C16" s="172"/>
      <c r="D16" s="142"/>
      <c r="E16" s="142"/>
      <c r="F16" s="142"/>
      <c r="G16" s="142"/>
      <c r="H16" s="142"/>
      <c r="I16" s="142"/>
      <c r="J16" s="142"/>
      <c r="K16" s="142"/>
      <c r="L16" s="142"/>
      <c r="M16" s="142"/>
      <c r="N16" s="142"/>
      <c r="O16" s="142"/>
    </row>
    <row r="17" spans="1:15">
      <c r="A17" s="172"/>
      <c r="B17" s="172"/>
      <c r="C17" s="172"/>
      <c r="D17" s="142"/>
      <c r="E17" s="142"/>
      <c r="F17" s="142"/>
      <c r="G17" s="142"/>
      <c r="H17" s="142"/>
      <c r="I17" s="142"/>
      <c r="J17" s="142"/>
      <c r="K17" s="142"/>
      <c r="L17" s="142"/>
      <c r="M17" s="142"/>
      <c r="N17" s="142"/>
      <c r="O17" s="142"/>
    </row>
    <row r="18" spans="1:15">
      <c r="A18" s="172"/>
      <c r="B18" s="172"/>
      <c r="C18" s="172"/>
      <c r="D18" s="142"/>
      <c r="E18" s="142"/>
      <c r="F18" s="142"/>
      <c r="G18" s="142"/>
      <c r="H18" s="142"/>
      <c r="I18" s="142"/>
      <c r="J18" s="142"/>
      <c r="K18" s="142"/>
      <c r="L18" s="142"/>
      <c r="M18" s="142"/>
      <c r="N18" s="142"/>
      <c r="O18" s="142"/>
    </row>
    <row r="19" spans="1:15">
      <c r="A19" s="172"/>
      <c r="B19" s="172"/>
      <c r="C19" s="172"/>
      <c r="D19" s="142"/>
      <c r="E19" s="142"/>
      <c r="F19" s="142"/>
      <c r="G19" s="142"/>
      <c r="H19" s="142"/>
      <c r="I19" s="142"/>
      <c r="J19" s="142"/>
      <c r="K19" s="142"/>
      <c r="L19" s="142"/>
      <c r="M19" s="142"/>
      <c r="N19" s="142"/>
      <c r="O19" s="142"/>
    </row>
    <row r="20" spans="1:15">
      <c r="A20" s="172"/>
      <c r="B20" s="172"/>
      <c r="C20" s="172"/>
      <c r="D20" s="142"/>
      <c r="E20" s="142"/>
      <c r="F20" s="142"/>
      <c r="G20" s="142"/>
      <c r="H20" s="142"/>
      <c r="I20" s="142"/>
      <c r="J20" s="142"/>
      <c r="K20" s="142"/>
      <c r="L20" s="142"/>
      <c r="M20" s="142"/>
      <c r="N20" s="142"/>
      <c r="O20" s="142"/>
    </row>
    <row r="21" spans="1:15">
      <c r="A21" s="172"/>
      <c r="B21" s="172"/>
      <c r="C21" s="172"/>
      <c r="D21" s="142"/>
      <c r="E21" s="142"/>
      <c r="F21" s="142"/>
      <c r="G21" s="142"/>
      <c r="H21" s="142"/>
      <c r="I21" s="142"/>
      <c r="J21" s="142"/>
      <c r="K21" s="142"/>
      <c r="L21" s="142"/>
      <c r="M21" s="142"/>
      <c r="N21" s="142"/>
      <c r="O21" s="142"/>
    </row>
  </sheetData>
  <mergeCells count="33">
    <mergeCell ref="A16:C21"/>
    <mergeCell ref="D16:O21"/>
    <mergeCell ref="A14:C14"/>
    <mergeCell ref="L14:N14"/>
    <mergeCell ref="A15:O15"/>
    <mergeCell ref="L11:N11"/>
    <mergeCell ref="L12:N12"/>
    <mergeCell ref="L13:N13"/>
    <mergeCell ref="A7:O7"/>
    <mergeCell ref="A8:A10"/>
    <mergeCell ref="B8:B10"/>
    <mergeCell ref="C8:D8"/>
    <mergeCell ref="E8:E10"/>
    <mergeCell ref="F8:F9"/>
    <mergeCell ref="G8:G9"/>
    <mergeCell ref="H8:N8"/>
    <mergeCell ref="O8:O10"/>
    <mergeCell ref="C9:C10"/>
    <mergeCell ref="D9:D10"/>
    <mergeCell ref="H9:I9"/>
    <mergeCell ref="J9:K9"/>
    <mergeCell ref="L9:N10"/>
    <mergeCell ref="A1:D3"/>
    <mergeCell ref="E1:O4"/>
    <mergeCell ref="A4:C4"/>
    <mergeCell ref="A5:C6"/>
    <mergeCell ref="D5:D6"/>
    <mergeCell ref="F5:G5"/>
    <mergeCell ref="H5:H6"/>
    <mergeCell ref="I5:J6"/>
    <mergeCell ref="K5:L6"/>
    <mergeCell ref="M5:O6"/>
    <mergeCell ref="F6:G6"/>
  </mergeCells>
  <phoneticPr fontId="32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>
    <tabColor rgb="FFC00000"/>
  </sheetPr>
  <dimension ref="A1:U21"/>
  <sheetViews>
    <sheetView view="pageBreakPreview" zoomScale="85" zoomScaleNormal="85" zoomScaleSheetLayoutView="85" workbookViewId="0">
      <pane ySplit="9" topLeftCell="A10" activePane="bottomLeft" state="frozen"/>
      <selection pane="bottomLeft" activeCell="K29" sqref="K29"/>
    </sheetView>
  </sheetViews>
  <sheetFormatPr defaultColWidth="9" defaultRowHeight="16.5"/>
  <cols>
    <col min="1" max="1" width="4.875" bestFit="1" customWidth="1"/>
    <col min="2" max="3" width="8.75" customWidth="1"/>
    <col min="4" max="4" width="13.875" customWidth="1"/>
    <col min="5" max="6" width="7.5" customWidth="1"/>
    <col min="7" max="7" width="10.375" customWidth="1"/>
    <col min="8" max="9" width="5" customWidth="1"/>
    <col min="10" max="10" width="8" customWidth="1"/>
    <col min="11" max="12" width="4.5" customWidth="1"/>
    <col min="13" max="13" width="10" customWidth="1"/>
    <col min="14" max="14" width="8.875" customWidth="1"/>
    <col min="15" max="15" width="2.75" hidden="1" customWidth="1"/>
    <col min="16" max="16" width="11.75" customWidth="1"/>
    <col min="17" max="18" width="6.25" customWidth="1"/>
    <col min="19" max="19" width="10" customWidth="1"/>
    <col min="20" max="20" width="5" bestFit="1" customWidth="1"/>
    <col min="21" max="21" width="6.625" bestFit="1" customWidth="1"/>
  </cols>
  <sheetData>
    <row r="1" spans="1:21" ht="16.5" customHeight="1">
      <c r="A1" s="142"/>
      <c r="B1" s="142"/>
      <c r="C1" s="142"/>
      <c r="D1" s="217" t="s">
        <v>8</v>
      </c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9"/>
    </row>
    <row r="2" spans="1:21" ht="16.5" customHeight="1">
      <c r="A2" s="142"/>
      <c r="B2" s="142"/>
      <c r="C2" s="142"/>
      <c r="D2" s="220"/>
      <c r="E2" s="221"/>
      <c r="F2" s="221"/>
      <c r="G2" s="221"/>
      <c r="H2" s="221"/>
      <c r="I2" s="221"/>
      <c r="J2" s="221"/>
      <c r="K2" s="221"/>
      <c r="L2" s="221"/>
      <c r="M2" s="221"/>
      <c r="N2" s="221"/>
      <c r="O2" s="221"/>
      <c r="P2" s="221"/>
      <c r="Q2" s="221"/>
      <c r="R2" s="221"/>
      <c r="S2" s="221"/>
      <c r="T2" s="221"/>
      <c r="U2" s="222"/>
    </row>
    <row r="3" spans="1:21" ht="24" customHeight="1">
      <c r="A3" s="142"/>
      <c r="B3" s="142"/>
      <c r="C3" s="142"/>
      <c r="D3" s="220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1"/>
      <c r="P3" s="221"/>
      <c r="Q3" s="221"/>
      <c r="R3" s="221"/>
      <c r="S3" s="221"/>
      <c r="T3" s="221"/>
      <c r="U3" s="222"/>
    </row>
    <row r="4" spans="1:21" ht="16.5" customHeight="1">
      <c r="A4" s="142" t="s">
        <v>46</v>
      </c>
      <c r="B4" s="142"/>
      <c r="C4" s="1"/>
      <c r="D4" s="220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1"/>
      <c r="R4" s="221"/>
      <c r="S4" s="221"/>
      <c r="T4" s="221"/>
      <c r="U4" s="222"/>
    </row>
    <row r="5" spans="1:21" ht="16.5" customHeight="1">
      <c r="A5" s="142" t="s">
        <v>40</v>
      </c>
      <c r="B5" s="142"/>
      <c r="C5" s="142"/>
      <c r="D5" s="2" t="s">
        <v>37</v>
      </c>
      <c r="E5" s="226"/>
      <c r="F5" s="227"/>
      <c r="G5" s="228" t="s">
        <v>22</v>
      </c>
      <c r="H5" s="64"/>
      <c r="I5" s="64"/>
      <c r="J5" s="228" t="s">
        <v>22</v>
      </c>
      <c r="K5" s="68"/>
      <c r="L5" s="230"/>
      <c r="M5" s="247"/>
      <c r="N5" s="231"/>
      <c r="O5" s="228" t="s">
        <v>33</v>
      </c>
      <c r="P5" s="248" t="str">
        <f>'1. 소켓인수검사'!R1</f>
        <v>26.07.08 엘티엔지니어링_코오롱글로벌_신동양기업_대한항공 운북 신 엔진정비공장 건립공사</v>
      </c>
      <c r="Q5" s="249"/>
      <c r="R5" s="249"/>
      <c r="S5" s="249"/>
      <c r="T5" s="249"/>
      <c r="U5" s="250"/>
    </row>
    <row r="6" spans="1:21">
      <c r="A6" s="142"/>
      <c r="B6" s="142"/>
      <c r="C6" s="142"/>
      <c r="D6" s="2" t="s">
        <v>34</v>
      </c>
      <c r="E6" s="226"/>
      <c r="F6" s="227"/>
      <c r="G6" s="229"/>
      <c r="H6" s="66"/>
      <c r="I6" s="66"/>
      <c r="J6" s="229"/>
      <c r="K6" s="65"/>
      <c r="L6" s="232"/>
      <c r="M6" s="238"/>
      <c r="N6" s="233"/>
      <c r="O6" s="229"/>
      <c r="P6" s="251"/>
      <c r="Q6" s="252"/>
      <c r="R6" s="252"/>
      <c r="S6" s="252"/>
      <c r="T6" s="252"/>
      <c r="U6" s="253"/>
    </row>
    <row r="7" spans="1:21" ht="8.1" customHeight="1">
      <c r="A7" s="145"/>
      <c r="B7" s="146"/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6"/>
      <c r="O7" s="146"/>
      <c r="P7" s="146"/>
      <c r="Q7" s="146"/>
      <c r="R7" s="146"/>
      <c r="S7" s="5"/>
      <c r="T7" s="5"/>
      <c r="U7" s="5"/>
    </row>
    <row r="8" spans="1:21" ht="29.25" customHeight="1">
      <c r="A8" s="261" t="s">
        <v>26</v>
      </c>
      <c r="B8" s="263" t="s">
        <v>27</v>
      </c>
      <c r="C8" s="263" t="s">
        <v>15</v>
      </c>
      <c r="D8" s="263" t="s">
        <v>31</v>
      </c>
      <c r="E8" s="263" t="s">
        <v>28</v>
      </c>
      <c r="F8" s="263" t="s">
        <v>20</v>
      </c>
      <c r="G8" s="263" t="s">
        <v>74</v>
      </c>
      <c r="H8" s="263"/>
      <c r="I8" s="263"/>
      <c r="J8" s="263"/>
      <c r="K8" s="263"/>
      <c r="L8" s="263"/>
      <c r="M8" s="263" t="s">
        <v>53</v>
      </c>
      <c r="N8" s="263"/>
      <c r="O8" s="263"/>
      <c r="P8" s="263" t="s">
        <v>62</v>
      </c>
      <c r="Q8" s="263"/>
      <c r="R8" s="263"/>
      <c r="S8" s="263"/>
      <c r="T8" s="265"/>
      <c r="U8" s="266"/>
    </row>
    <row r="9" spans="1:21" ht="26.45" customHeight="1">
      <c r="A9" s="262"/>
      <c r="B9" s="264"/>
      <c r="C9" s="264"/>
      <c r="D9" s="264"/>
      <c r="E9" s="264"/>
      <c r="F9" s="264"/>
      <c r="G9" s="67" t="s">
        <v>32</v>
      </c>
      <c r="H9" s="67" t="s">
        <v>2</v>
      </c>
      <c r="I9" s="67" t="s">
        <v>83</v>
      </c>
      <c r="J9" s="43" t="s">
        <v>66</v>
      </c>
      <c r="K9" s="67" t="s">
        <v>2</v>
      </c>
      <c r="L9" s="67" t="s">
        <v>83</v>
      </c>
      <c r="M9" s="67" t="s">
        <v>65</v>
      </c>
      <c r="N9" s="67" t="s">
        <v>2</v>
      </c>
      <c r="O9" s="67" t="s">
        <v>55</v>
      </c>
      <c r="P9" s="67" t="s">
        <v>75</v>
      </c>
      <c r="Q9" s="67" t="s">
        <v>2</v>
      </c>
      <c r="R9" s="67" t="s">
        <v>83</v>
      </c>
      <c r="S9" s="67" t="s">
        <v>41</v>
      </c>
      <c r="T9" s="44" t="s">
        <v>2</v>
      </c>
      <c r="U9" s="44" t="s">
        <v>83</v>
      </c>
    </row>
    <row r="10" spans="1:21" ht="16.5" customHeight="1">
      <c r="A10" s="31" t="str">
        <f>+'1. 소켓인수검사'!A9</f>
        <v>03</v>
      </c>
      <c r="B10" s="32" t="str">
        <f>+'1. 소켓인수검사'!C9</f>
        <v>1300</v>
      </c>
      <c r="C10" s="32" t="str">
        <f>+'1. 소켓인수검사'!D9</f>
        <v>1100</v>
      </c>
      <c r="D10" s="63" t="str">
        <f>+'1. 소켓인수검사'!B9</f>
        <v>HTG-1.69</v>
      </c>
      <c r="E10" s="45">
        <f t="shared" ref="E10:E12" si="0">B10*C10/1000000</f>
        <v>1.43</v>
      </c>
      <c r="F10" s="45">
        <f t="shared" ref="F10:F12" si="1">(B10+C10)*2/1000</f>
        <v>4.8</v>
      </c>
      <c r="G10" s="46">
        <f t="shared" ref="G10:G12" si="2">F10+0.4</f>
        <v>5.2</v>
      </c>
      <c r="H10" s="47">
        <v>1</v>
      </c>
      <c r="I10" s="47">
        <f t="shared" ref="I10:I12" si="3">H10*G10</f>
        <v>5.2</v>
      </c>
      <c r="J10" s="46">
        <f t="shared" ref="J10:J12" si="4">F10+0.4</f>
        <v>5.2</v>
      </c>
      <c r="K10" s="47">
        <v>1</v>
      </c>
      <c r="L10" s="47">
        <f>K10*J10</f>
        <v>5.2</v>
      </c>
      <c r="M10" s="46">
        <v>1</v>
      </c>
      <c r="N10" s="105">
        <f>'2.1 재단(1.69,064)'!T8/2</f>
        <v>6</v>
      </c>
      <c r="O10" s="36"/>
      <c r="P10" s="46">
        <f t="shared" ref="P10:P12" si="5">F10+0.5</f>
        <v>5.3</v>
      </c>
      <c r="Q10" s="47">
        <v>4</v>
      </c>
      <c r="R10" s="47">
        <f>Q10*P10</f>
        <v>21.2</v>
      </c>
      <c r="S10" s="258"/>
      <c r="T10" s="259"/>
      <c r="U10" s="260"/>
    </row>
    <row r="11" spans="1:21" ht="16.5" customHeight="1">
      <c r="A11" s="31" t="str">
        <f>+'1. 소켓인수검사'!A10</f>
        <v>04</v>
      </c>
      <c r="B11" s="32" t="str">
        <f>+'1. 소켓인수검사'!C10</f>
        <v>1500</v>
      </c>
      <c r="C11" s="32" t="str">
        <f>+'1. 소켓인수검사'!D10</f>
        <v>800</v>
      </c>
      <c r="D11" s="63" t="str">
        <f>+'1. 소켓인수검사'!B10</f>
        <v>HTG-1.69</v>
      </c>
      <c r="E11" s="45">
        <f t="shared" si="0"/>
        <v>1.2</v>
      </c>
      <c r="F11" s="45">
        <f t="shared" si="1"/>
        <v>4.5999999999999996</v>
      </c>
      <c r="G11" s="46">
        <f t="shared" si="2"/>
        <v>5</v>
      </c>
      <c r="H11" s="47">
        <v>1</v>
      </c>
      <c r="I11" s="47">
        <f t="shared" si="3"/>
        <v>5</v>
      </c>
      <c r="J11" s="46">
        <f t="shared" si="4"/>
        <v>5</v>
      </c>
      <c r="K11" s="47">
        <v>1</v>
      </c>
      <c r="L11" s="47">
        <f t="shared" ref="L11:L12" si="6">K11*J11</f>
        <v>5</v>
      </c>
      <c r="M11" s="46">
        <v>1</v>
      </c>
      <c r="N11" s="105">
        <f>'2.1 재단(1.69,064)'!T9/2</f>
        <v>6</v>
      </c>
      <c r="O11" s="36"/>
      <c r="P11" s="46">
        <f t="shared" si="5"/>
        <v>5.0999999999999996</v>
      </c>
      <c r="Q11" s="47">
        <v>4</v>
      </c>
      <c r="R11" s="47">
        <f t="shared" ref="R11:R12" si="7">Q11*P11</f>
        <v>20.399999999999999</v>
      </c>
      <c r="S11" s="258"/>
      <c r="T11" s="259"/>
      <c r="U11" s="260"/>
    </row>
    <row r="12" spans="1:21" ht="16.5" customHeight="1">
      <c r="A12" s="31" t="str">
        <f>+'1. 소켓인수검사'!A11</f>
        <v>05</v>
      </c>
      <c r="B12" s="32" t="str">
        <f>+'1. 소켓인수검사'!C11</f>
        <v>1800</v>
      </c>
      <c r="C12" s="32" t="str">
        <f>+'1. 소켓인수검사'!D11</f>
        <v>800</v>
      </c>
      <c r="D12" s="63" t="str">
        <f>+'1. 소켓인수검사'!B11</f>
        <v>HTG-1.69</v>
      </c>
      <c r="E12" s="45">
        <f t="shared" si="0"/>
        <v>1.44</v>
      </c>
      <c r="F12" s="45">
        <f t="shared" si="1"/>
        <v>5.2</v>
      </c>
      <c r="G12" s="46">
        <f t="shared" si="2"/>
        <v>5.6000000000000005</v>
      </c>
      <c r="H12" s="47">
        <v>1</v>
      </c>
      <c r="I12" s="47">
        <f t="shared" si="3"/>
        <v>5.6000000000000005</v>
      </c>
      <c r="J12" s="46">
        <f t="shared" si="4"/>
        <v>5.6000000000000005</v>
      </c>
      <c r="K12" s="47">
        <v>1</v>
      </c>
      <c r="L12" s="47">
        <f t="shared" si="6"/>
        <v>5.6000000000000005</v>
      </c>
      <c r="M12" s="46">
        <v>1</v>
      </c>
      <c r="N12" s="105">
        <f>'2.1 재단(1.69,064)'!T10/2</f>
        <v>7</v>
      </c>
      <c r="O12" s="36"/>
      <c r="P12" s="46">
        <f t="shared" si="5"/>
        <v>5.7</v>
      </c>
      <c r="Q12" s="47">
        <v>4</v>
      </c>
      <c r="R12" s="47">
        <f t="shared" si="7"/>
        <v>22.8</v>
      </c>
      <c r="S12" s="258"/>
      <c r="T12" s="259"/>
      <c r="U12" s="260"/>
    </row>
    <row r="13" spans="1:21" ht="20.25">
      <c r="A13" s="254" t="s">
        <v>24</v>
      </c>
      <c r="B13" s="255"/>
      <c r="C13" s="255"/>
      <c r="D13" s="255"/>
      <c r="E13" s="255"/>
      <c r="F13" s="255"/>
      <c r="G13" s="72"/>
      <c r="H13" s="72"/>
      <c r="I13" s="73">
        <f>SUM(I10:I12)</f>
        <v>15.8</v>
      </c>
      <c r="J13" s="72"/>
      <c r="K13" s="72"/>
      <c r="L13" s="73">
        <f>SUM(L10:L12)</f>
        <v>15.8</v>
      </c>
      <c r="M13" s="72"/>
      <c r="N13" s="74">
        <f>SUM(N10:N12)</f>
        <v>19</v>
      </c>
      <c r="O13" s="75"/>
      <c r="P13" s="72"/>
      <c r="Q13" s="72"/>
      <c r="R13" s="73">
        <f>SUM(R10:R12)</f>
        <v>64.399999999999991</v>
      </c>
      <c r="S13" s="76"/>
      <c r="T13" s="72"/>
      <c r="U13" s="73">
        <f>SUM(U10:U12)</f>
        <v>0</v>
      </c>
    </row>
    <row r="14" spans="1:21" ht="17.25" customHeight="1">
      <c r="A14" s="256" t="s">
        <v>52</v>
      </c>
      <c r="B14" s="256"/>
      <c r="C14" s="256"/>
      <c r="D14" s="256"/>
      <c r="E14" s="256"/>
      <c r="F14" s="256"/>
      <c r="G14" s="257">
        <f>I13/20</f>
        <v>0.79</v>
      </c>
      <c r="H14" s="257"/>
      <c r="I14" s="257"/>
      <c r="J14" s="257"/>
      <c r="K14" s="257"/>
      <c r="L14" s="257"/>
      <c r="M14" s="257"/>
      <c r="N14" s="257"/>
      <c r="O14" s="257"/>
      <c r="P14" s="257"/>
      <c r="Q14" s="257"/>
      <c r="R14" s="257"/>
      <c r="S14" s="257"/>
      <c r="T14" s="257"/>
      <c r="U14" s="257"/>
    </row>
    <row r="15" spans="1:21" ht="17.25" customHeight="1">
      <c r="A15" s="256" t="s">
        <v>51</v>
      </c>
      <c r="B15" s="256"/>
      <c r="C15" s="256"/>
      <c r="D15" s="256"/>
      <c r="E15" s="256"/>
      <c r="F15" s="256"/>
      <c r="G15" s="257">
        <f>L13/20</f>
        <v>0.79</v>
      </c>
      <c r="H15" s="257"/>
      <c r="I15" s="257"/>
      <c r="J15" s="257"/>
      <c r="K15" s="257"/>
      <c r="L15" s="257"/>
      <c r="M15" s="257"/>
      <c r="N15" s="257"/>
      <c r="O15" s="257"/>
      <c r="P15" s="257"/>
      <c r="Q15" s="257"/>
      <c r="R15" s="257"/>
      <c r="S15" s="257"/>
      <c r="T15" s="257"/>
      <c r="U15" s="257"/>
    </row>
    <row r="16" spans="1:21" ht="17.25" customHeight="1">
      <c r="A16" s="256" t="s">
        <v>50</v>
      </c>
      <c r="B16" s="256"/>
      <c r="C16" s="256"/>
      <c r="D16" s="256"/>
      <c r="E16" s="256"/>
      <c r="F16" s="256"/>
      <c r="G16" s="257">
        <f>R13/4.8</f>
        <v>13.416666666666666</v>
      </c>
      <c r="H16" s="257"/>
      <c r="I16" s="257"/>
      <c r="J16" s="257"/>
      <c r="K16" s="257"/>
      <c r="L16" s="257"/>
      <c r="M16" s="257"/>
      <c r="N16" s="257"/>
      <c r="O16" s="257"/>
      <c r="P16" s="257"/>
      <c r="Q16" s="257"/>
      <c r="R16" s="257"/>
      <c r="S16" s="257"/>
      <c r="T16" s="257"/>
      <c r="U16" s="257"/>
    </row>
    <row r="17" spans="1:21" ht="17.25" customHeight="1">
      <c r="A17" s="256" t="s">
        <v>49</v>
      </c>
      <c r="B17" s="256"/>
      <c r="C17" s="256"/>
      <c r="D17" s="256"/>
      <c r="E17" s="256"/>
      <c r="F17" s="256"/>
      <c r="G17" s="257">
        <f>U13/3.6</f>
        <v>0</v>
      </c>
      <c r="H17" s="257"/>
      <c r="I17" s="257"/>
      <c r="J17" s="257"/>
      <c r="K17" s="257"/>
      <c r="L17" s="257"/>
      <c r="M17" s="257"/>
      <c r="N17" s="257"/>
      <c r="O17" s="257"/>
      <c r="P17" s="257"/>
      <c r="Q17" s="257"/>
      <c r="R17" s="257"/>
      <c r="S17" s="257"/>
      <c r="T17" s="257"/>
      <c r="U17" s="257"/>
    </row>
    <row r="18" spans="1:21" ht="20.25" customHeight="1">
      <c r="A18" s="172" t="s">
        <v>7</v>
      </c>
      <c r="B18" s="172"/>
      <c r="C18" s="267"/>
      <c r="D18" s="267"/>
      <c r="E18" s="267"/>
      <c r="F18" s="267"/>
      <c r="G18" s="267"/>
      <c r="H18" s="267"/>
      <c r="I18" s="267"/>
      <c r="J18" s="267"/>
      <c r="K18" s="267"/>
      <c r="L18" s="267"/>
      <c r="M18" s="267"/>
      <c r="N18" s="267"/>
      <c r="O18" s="267"/>
      <c r="P18" s="267"/>
      <c r="Q18" s="267"/>
      <c r="R18" s="267"/>
      <c r="S18" s="267"/>
      <c r="T18" s="267"/>
      <c r="U18" s="267"/>
    </row>
    <row r="19" spans="1:21" ht="20.25" customHeight="1">
      <c r="A19" s="172"/>
      <c r="B19" s="172"/>
      <c r="C19" s="267"/>
      <c r="D19" s="267"/>
      <c r="E19" s="267"/>
      <c r="F19" s="267"/>
      <c r="G19" s="267"/>
      <c r="H19" s="267"/>
      <c r="I19" s="267"/>
      <c r="J19" s="267"/>
      <c r="K19" s="267"/>
      <c r="L19" s="267"/>
      <c r="M19" s="267"/>
      <c r="N19" s="267"/>
      <c r="O19" s="267"/>
      <c r="P19" s="267"/>
      <c r="Q19" s="267"/>
      <c r="R19" s="267"/>
      <c r="S19" s="267"/>
      <c r="T19" s="267"/>
      <c r="U19" s="267"/>
    </row>
    <row r="20" spans="1:21" ht="20.25" customHeight="1">
      <c r="A20" s="172"/>
      <c r="B20" s="172"/>
      <c r="C20" s="267"/>
      <c r="D20" s="267"/>
      <c r="E20" s="267"/>
      <c r="F20" s="267"/>
      <c r="G20" s="267"/>
      <c r="H20" s="267"/>
      <c r="I20" s="267"/>
      <c r="J20" s="267"/>
      <c r="K20" s="267"/>
      <c r="L20" s="267"/>
      <c r="M20" s="267"/>
      <c r="N20" s="267"/>
      <c r="O20" s="267"/>
      <c r="P20" s="267"/>
      <c r="Q20" s="267"/>
      <c r="R20" s="267"/>
      <c r="S20" s="267"/>
      <c r="T20" s="267"/>
      <c r="U20" s="267"/>
    </row>
    <row r="21" spans="1:21" ht="20.25" customHeight="1">
      <c r="A21" s="172"/>
      <c r="B21" s="172"/>
      <c r="C21" s="267"/>
      <c r="D21" s="267"/>
      <c r="E21" s="267"/>
      <c r="F21" s="267"/>
      <c r="G21" s="267"/>
      <c r="H21" s="267"/>
      <c r="I21" s="267"/>
      <c r="J21" s="267"/>
      <c r="K21" s="267"/>
      <c r="L21" s="267"/>
      <c r="M21" s="267"/>
      <c r="N21" s="267"/>
      <c r="O21" s="267"/>
      <c r="P21" s="267"/>
      <c r="Q21" s="267"/>
      <c r="R21" s="267"/>
      <c r="S21" s="267"/>
      <c r="T21" s="267"/>
      <c r="U21" s="267"/>
    </row>
  </sheetData>
  <mergeCells count="34">
    <mergeCell ref="A18:B21"/>
    <mergeCell ref="C18:U21"/>
    <mergeCell ref="A15:F15"/>
    <mergeCell ref="G15:U15"/>
    <mergeCell ref="A16:F16"/>
    <mergeCell ref="G16:U16"/>
    <mergeCell ref="A17:F17"/>
    <mergeCell ref="G17:U17"/>
    <mergeCell ref="A13:F13"/>
    <mergeCell ref="A14:F14"/>
    <mergeCell ref="G14:U14"/>
    <mergeCell ref="S10:U12"/>
    <mergeCell ref="A7:R7"/>
    <mergeCell ref="A8:A9"/>
    <mergeCell ref="B8:B9"/>
    <mergeCell ref="C8:C9"/>
    <mergeCell ref="D8:D9"/>
    <mergeCell ref="E8:E9"/>
    <mergeCell ref="F8:F9"/>
    <mergeCell ref="G8:L8"/>
    <mergeCell ref="M8:O8"/>
    <mergeCell ref="P8:U8"/>
    <mergeCell ref="A1:C3"/>
    <mergeCell ref="D1:U4"/>
    <mergeCell ref="A4:B4"/>
    <mergeCell ref="A5:B6"/>
    <mergeCell ref="C5:C6"/>
    <mergeCell ref="E5:F5"/>
    <mergeCell ref="G5:G6"/>
    <mergeCell ref="J5:J6"/>
    <mergeCell ref="L5:N6"/>
    <mergeCell ref="O5:O6"/>
    <mergeCell ref="P5:U6"/>
    <mergeCell ref="E6:F6"/>
  </mergeCells>
  <phoneticPr fontId="32" type="noConversion"/>
  <pageMargins left="0.2361111044883728" right="0.2361111044883728" top="0.74791663885116577" bottom="0.74791663885116577" header="0.31486111879348755" footer="0.31486111879348755"/>
  <pageSetup paperSize="9" scale="81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AA17"/>
  <sheetViews>
    <sheetView zoomScaleNormal="75" zoomScaleSheetLayoutView="100" workbookViewId="0">
      <pane xSplit="4" ySplit="6" topLeftCell="E7" activePane="bottomRight" state="frozen"/>
      <selection pane="topRight"/>
      <selection pane="bottomLeft"/>
      <selection pane="bottomRight" activeCell="T23" sqref="T23"/>
    </sheetView>
  </sheetViews>
  <sheetFormatPr defaultColWidth="9" defaultRowHeight="16.5"/>
  <cols>
    <col min="1" max="1" width="3.625" style="6" customWidth="1"/>
    <col min="2" max="2" width="6.5" style="6" customWidth="1"/>
    <col min="3" max="4" width="7.25" style="6" customWidth="1"/>
    <col min="5" max="5" width="13.875" style="6" hidden="1" customWidth="1"/>
    <col min="6" max="6" width="6.125" style="6" customWidth="1"/>
    <col min="7" max="7" width="6" style="6" customWidth="1"/>
    <col min="8" max="8" width="5" style="6" customWidth="1"/>
    <col min="9" max="9" width="4.875" style="6" customWidth="1"/>
    <col min="10" max="10" width="5.25" style="6" customWidth="1"/>
    <col min="11" max="11" width="4.875" style="6" customWidth="1"/>
    <col min="12" max="12" width="5.25" style="6" customWidth="1"/>
    <col min="13" max="13" width="4.875" style="6" customWidth="1"/>
    <col min="14" max="14" width="5.25" style="6" customWidth="1"/>
    <col min="15" max="15" width="4.875" style="6" customWidth="1"/>
    <col min="16" max="16" width="5.25" style="6" customWidth="1"/>
    <col min="17" max="17" width="6" style="6" customWidth="1"/>
    <col min="18" max="18" width="5.25" style="6" customWidth="1"/>
    <col min="19" max="20" width="6.875" style="6" customWidth="1"/>
    <col min="21" max="22" width="6" style="6" customWidth="1"/>
    <col min="23" max="24" width="5.75" style="6" customWidth="1"/>
    <col min="25" max="25" width="16.5" style="6" customWidth="1"/>
    <col min="26" max="26" width="19.25" style="6" customWidth="1"/>
    <col min="27" max="27" width="13.25" style="6" customWidth="1"/>
    <col min="28" max="16384" width="9" style="6"/>
  </cols>
  <sheetData>
    <row r="1" spans="1:27" ht="16.5" customHeight="1">
      <c r="A1" s="282"/>
      <c r="B1" s="283"/>
      <c r="C1" s="283"/>
      <c r="D1" s="283"/>
      <c r="E1" s="86" t="s">
        <v>81</v>
      </c>
      <c r="F1" s="276" t="s">
        <v>82</v>
      </c>
      <c r="G1" s="276"/>
      <c r="H1" s="276"/>
      <c r="I1" s="276"/>
      <c r="J1" s="276" t="str">
        <f>'1. 소켓인수검사'!R1</f>
        <v>26.07.08 엘티엔지니어링_코오롱글로벌_신동양기업_대한항공 운북 신 엔진정비공장 건립공사</v>
      </c>
      <c r="K1" s="276"/>
      <c r="L1" s="276"/>
      <c r="M1" s="276"/>
      <c r="N1" s="276"/>
      <c r="O1" s="276"/>
      <c r="P1" s="276"/>
      <c r="Q1" s="276"/>
      <c r="R1" s="276"/>
      <c r="S1" s="276"/>
      <c r="T1" s="276"/>
      <c r="U1" s="276"/>
      <c r="V1" s="276"/>
      <c r="W1" s="276"/>
      <c r="X1" s="276"/>
      <c r="Y1" s="276"/>
      <c r="Z1" s="276"/>
      <c r="AA1" s="279"/>
    </row>
    <row r="2" spans="1:27" ht="16.5" customHeight="1">
      <c r="A2" s="284"/>
      <c r="B2" s="205"/>
      <c r="C2" s="205"/>
      <c r="D2" s="205"/>
      <c r="E2" s="85"/>
      <c r="F2" s="277"/>
      <c r="G2" s="277"/>
      <c r="H2" s="277"/>
      <c r="I2" s="277"/>
      <c r="J2" s="277"/>
      <c r="K2" s="277"/>
      <c r="L2" s="277"/>
      <c r="M2" s="277"/>
      <c r="N2" s="277"/>
      <c r="O2" s="277"/>
      <c r="P2" s="277"/>
      <c r="Q2" s="277"/>
      <c r="R2" s="277"/>
      <c r="S2" s="277"/>
      <c r="T2" s="277"/>
      <c r="U2" s="277"/>
      <c r="V2" s="277"/>
      <c r="W2" s="277"/>
      <c r="X2" s="277"/>
      <c r="Y2" s="277"/>
      <c r="Z2" s="277"/>
      <c r="AA2" s="280"/>
    </row>
    <row r="3" spans="1:27" ht="24" customHeight="1" thickBot="1">
      <c r="A3" s="285"/>
      <c r="B3" s="286"/>
      <c r="C3" s="286"/>
      <c r="D3" s="286"/>
      <c r="E3" s="87"/>
      <c r="F3" s="278"/>
      <c r="G3" s="278"/>
      <c r="H3" s="278"/>
      <c r="I3" s="278"/>
      <c r="J3" s="278"/>
      <c r="K3" s="278"/>
      <c r="L3" s="278"/>
      <c r="M3" s="278"/>
      <c r="N3" s="278"/>
      <c r="O3" s="278"/>
      <c r="P3" s="278"/>
      <c r="Q3" s="278"/>
      <c r="R3" s="278"/>
      <c r="S3" s="278"/>
      <c r="T3" s="278"/>
      <c r="U3" s="278"/>
      <c r="V3" s="278"/>
      <c r="W3" s="278"/>
      <c r="X3" s="278"/>
      <c r="Y3" s="278"/>
      <c r="Z3" s="278"/>
      <c r="AA3" s="281"/>
    </row>
    <row r="4" spans="1:27" ht="8.1" customHeight="1">
      <c r="A4" s="274"/>
      <c r="B4" s="275"/>
      <c r="C4" s="275"/>
      <c r="D4" s="275"/>
      <c r="E4" s="275"/>
      <c r="F4" s="275"/>
      <c r="G4" s="275"/>
      <c r="H4" s="274"/>
      <c r="I4" s="275"/>
      <c r="J4" s="275"/>
      <c r="K4" s="275"/>
      <c r="L4" s="275"/>
      <c r="M4" s="275"/>
      <c r="N4" s="275"/>
      <c r="O4" s="29"/>
      <c r="P4" s="29"/>
      <c r="Q4" s="29"/>
      <c r="S4" s="29"/>
      <c r="U4" s="29"/>
      <c r="W4" s="29"/>
      <c r="Y4" s="29"/>
      <c r="Z4" s="29"/>
      <c r="AA4" s="29"/>
    </row>
    <row r="5" spans="1:27" ht="16.5" customHeight="1">
      <c r="A5" s="287" t="s">
        <v>26</v>
      </c>
      <c r="B5" s="268" t="s">
        <v>31</v>
      </c>
      <c r="C5" s="268" t="s">
        <v>27</v>
      </c>
      <c r="D5" s="268" t="s">
        <v>15</v>
      </c>
      <c r="E5" s="268" t="s">
        <v>42</v>
      </c>
      <c r="F5" s="268" t="s">
        <v>28</v>
      </c>
      <c r="G5" s="268" t="s">
        <v>20</v>
      </c>
      <c r="H5" s="290" t="s">
        <v>36</v>
      </c>
      <c r="I5" s="268" t="s">
        <v>74</v>
      </c>
      <c r="J5" s="268"/>
      <c r="K5" s="268" t="s">
        <v>74</v>
      </c>
      <c r="L5" s="268"/>
      <c r="M5" s="268" t="s">
        <v>3</v>
      </c>
      <c r="N5" s="268"/>
      <c r="O5" s="268" t="s">
        <v>3</v>
      </c>
      <c r="P5" s="268"/>
      <c r="Q5" s="296" t="s">
        <v>73</v>
      </c>
      <c r="R5" s="296"/>
      <c r="S5" s="296" t="s">
        <v>57</v>
      </c>
      <c r="T5" s="296"/>
      <c r="U5" s="296" t="s">
        <v>56</v>
      </c>
      <c r="V5" s="296"/>
      <c r="W5" s="296" t="s">
        <v>72</v>
      </c>
      <c r="X5" s="296"/>
      <c r="Y5" s="294" t="s">
        <v>39</v>
      </c>
      <c r="Z5" s="294" t="s">
        <v>21</v>
      </c>
      <c r="AA5" s="292" t="s">
        <v>43</v>
      </c>
    </row>
    <row r="6" spans="1:27" ht="26.45" customHeight="1">
      <c r="A6" s="288"/>
      <c r="B6" s="289"/>
      <c r="C6" s="289"/>
      <c r="D6" s="289"/>
      <c r="E6" s="289"/>
      <c r="F6" s="289"/>
      <c r="G6" s="289"/>
      <c r="H6" s="291"/>
      <c r="I6" s="48" t="s">
        <v>14</v>
      </c>
      <c r="J6" s="49" t="s">
        <v>2</v>
      </c>
      <c r="K6" s="48" t="s">
        <v>59</v>
      </c>
      <c r="L6" s="49" t="s">
        <v>2</v>
      </c>
      <c r="M6" s="48" t="s">
        <v>76</v>
      </c>
      <c r="N6" s="49" t="s">
        <v>2</v>
      </c>
      <c r="O6" s="48" t="s">
        <v>48</v>
      </c>
      <c r="P6" s="49" t="s">
        <v>2</v>
      </c>
      <c r="Q6" s="48" t="s">
        <v>16</v>
      </c>
      <c r="R6" s="49" t="s">
        <v>29</v>
      </c>
      <c r="S6" s="48" t="s">
        <v>16</v>
      </c>
      <c r="T6" s="49" t="s">
        <v>29</v>
      </c>
      <c r="U6" s="48" t="s">
        <v>16</v>
      </c>
      <c r="V6" s="49" t="s">
        <v>29</v>
      </c>
      <c r="W6" s="48" t="s">
        <v>16</v>
      </c>
      <c r="X6" s="49" t="s">
        <v>29</v>
      </c>
      <c r="Y6" s="295"/>
      <c r="Z6" s="295"/>
      <c r="AA6" s="293"/>
    </row>
    <row r="7" spans="1:27">
      <c r="A7" s="50" t="str">
        <f>'1. 소켓인수검사'!A9</f>
        <v>03</v>
      </c>
      <c r="B7" s="55" t="str">
        <f>'1. 소켓인수검사'!B9</f>
        <v>HTG-1.69</v>
      </c>
      <c r="C7" s="38" t="str">
        <f>'1. 소켓인수검사'!C9</f>
        <v>1300</v>
      </c>
      <c r="D7" s="38" t="str">
        <f>'1. 소켓인수검사'!D9</f>
        <v>1100</v>
      </c>
      <c r="E7" s="39"/>
      <c r="F7" s="51">
        <f t="shared" ref="F7:F9" si="0">C7*D7/1000000</f>
        <v>1.43</v>
      </c>
      <c r="G7" s="51">
        <f t="shared" ref="G7:G9" si="1">(C7+D7)*2/1000</f>
        <v>4.8</v>
      </c>
      <c r="H7" s="52">
        <v>4</v>
      </c>
      <c r="I7" s="48">
        <f>(G7+0.4)</f>
        <v>5.2</v>
      </c>
      <c r="J7" s="49">
        <v>2</v>
      </c>
      <c r="K7" s="48">
        <f t="shared" ref="K7:K9" si="2">(G7+0.4)</f>
        <v>5.2</v>
      </c>
      <c r="L7" s="49">
        <v>2</v>
      </c>
      <c r="M7" s="38">
        <f t="shared" ref="M7:M9" si="3">G7+0.5</f>
        <v>5.3</v>
      </c>
      <c r="N7" s="49">
        <v>8</v>
      </c>
      <c r="O7" s="56"/>
      <c r="P7" s="53"/>
      <c r="Q7" s="106">
        <f>'2.1 재단(1.69,064)'!Z8</f>
        <v>6</v>
      </c>
      <c r="R7" s="49">
        <f>Q7*2</f>
        <v>12</v>
      </c>
      <c r="S7" s="106">
        <f>'2.1 재단(1.69,064)'!Z8</f>
        <v>6</v>
      </c>
      <c r="T7" s="49">
        <f>S7*2</f>
        <v>12</v>
      </c>
      <c r="U7" s="106">
        <f>'2.1 재단(1.69,064)'!T8/2</f>
        <v>6</v>
      </c>
      <c r="V7" s="49">
        <f>U7*2</f>
        <v>12</v>
      </c>
      <c r="W7" s="106">
        <f>'2.1 재단(1.69,064)'!T8/2</f>
        <v>6</v>
      </c>
      <c r="X7" s="49">
        <f>W7*2</f>
        <v>12</v>
      </c>
      <c r="Y7" s="57" t="s">
        <v>61</v>
      </c>
      <c r="Z7" s="58" t="s">
        <v>64</v>
      </c>
      <c r="AA7" s="54" t="str">
        <f>'1. 소켓인수검사'!G9</f>
        <v>지하1층 PS-9(B1F→1F)</v>
      </c>
    </row>
    <row r="8" spans="1:27">
      <c r="A8" s="50" t="str">
        <f>'1. 소켓인수검사'!A10</f>
        <v>04</v>
      </c>
      <c r="B8" s="55" t="str">
        <f>'1. 소켓인수검사'!B10</f>
        <v>HTG-1.69</v>
      </c>
      <c r="C8" s="38" t="str">
        <f>'1. 소켓인수검사'!C10</f>
        <v>1500</v>
      </c>
      <c r="D8" s="38" t="str">
        <f>'1. 소켓인수검사'!D10</f>
        <v>800</v>
      </c>
      <c r="E8" s="39"/>
      <c r="F8" s="51">
        <f t="shared" si="0"/>
        <v>1.2</v>
      </c>
      <c r="G8" s="51">
        <f t="shared" si="1"/>
        <v>4.5999999999999996</v>
      </c>
      <c r="H8" s="52">
        <v>4</v>
      </c>
      <c r="I8" s="48">
        <f>(G8+0.4)</f>
        <v>5</v>
      </c>
      <c r="J8" s="49">
        <v>2</v>
      </c>
      <c r="K8" s="48">
        <f t="shared" si="2"/>
        <v>5</v>
      </c>
      <c r="L8" s="49">
        <v>2</v>
      </c>
      <c r="M8" s="38">
        <f t="shared" si="3"/>
        <v>5.0999999999999996</v>
      </c>
      <c r="N8" s="49">
        <v>8</v>
      </c>
      <c r="O8" s="56"/>
      <c r="P8" s="53"/>
      <c r="Q8" s="106">
        <f>'2.1 재단(1.69,064)'!Z9</f>
        <v>6</v>
      </c>
      <c r="R8" s="49">
        <f>Q8*2</f>
        <v>12</v>
      </c>
      <c r="S8" s="106">
        <f>'2.1 재단(1.69,064)'!Z9</f>
        <v>6</v>
      </c>
      <c r="T8" s="49">
        <f>S8*2</f>
        <v>12</v>
      </c>
      <c r="U8" s="106">
        <f>'2.1 재단(1.69,064)'!T9/2</f>
        <v>6</v>
      </c>
      <c r="V8" s="49">
        <f>U8*2</f>
        <v>12</v>
      </c>
      <c r="W8" s="106">
        <f>'2.1 재단(1.69,064)'!T9/2</f>
        <v>6</v>
      </c>
      <c r="X8" s="49">
        <f>W8*2</f>
        <v>12</v>
      </c>
      <c r="Y8" s="57" t="s">
        <v>61</v>
      </c>
      <c r="Z8" s="58" t="s">
        <v>64</v>
      </c>
      <c r="AA8" s="54" t="str">
        <f>'1. 소켓인수검사'!G10</f>
        <v>지상3층 세척장상부(3F→4F)</v>
      </c>
    </row>
    <row r="9" spans="1:27">
      <c r="A9" s="50" t="str">
        <f>'1. 소켓인수검사'!A11</f>
        <v>05</v>
      </c>
      <c r="B9" s="55" t="str">
        <f>'1. 소켓인수검사'!B11</f>
        <v>HTG-1.69</v>
      </c>
      <c r="C9" s="38" t="str">
        <f>'1. 소켓인수검사'!C11</f>
        <v>1800</v>
      </c>
      <c r="D9" s="38" t="str">
        <f>'1. 소켓인수검사'!D11</f>
        <v>800</v>
      </c>
      <c r="E9" s="39"/>
      <c r="F9" s="51">
        <f t="shared" si="0"/>
        <v>1.44</v>
      </c>
      <c r="G9" s="51">
        <f t="shared" si="1"/>
        <v>5.2</v>
      </c>
      <c r="H9" s="52">
        <v>4</v>
      </c>
      <c r="I9" s="48">
        <f>(G9+0.4)</f>
        <v>5.6000000000000005</v>
      </c>
      <c r="J9" s="49">
        <v>2</v>
      </c>
      <c r="K9" s="48">
        <f t="shared" si="2"/>
        <v>5.6000000000000005</v>
      </c>
      <c r="L9" s="49">
        <v>2</v>
      </c>
      <c r="M9" s="38">
        <f t="shared" si="3"/>
        <v>5.7</v>
      </c>
      <c r="N9" s="49">
        <v>8</v>
      </c>
      <c r="O9" s="56"/>
      <c r="P9" s="53"/>
      <c r="Q9" s="106">
        <f>'2.1 재단(1.69,064)'!Z10</f>
        <v>7</v>
      </c>
      <c r="R9" s="49">
        <f>Q9*2</f>
        <v>14</v>
      </c>
      <c r="S9" s="106">
        <f>'2.1 재단(1.69,064)'!Z10</f>
        <v>7</v>
      </c>
      <c r="T9" s="49">
        <f>S9*2</f>
        <v>14</v>
      </c>
      <c r="U9" s="106">
        <f>'2.1 재단(1.69,064)'!T10/2</f>
        <v>7</v>
      </c>
      <c r="V9" s="49">
        <f>U9*2</f>
        <v>14</v>
      </c>
      <c r="W9" s="106">
        <f>'2.1 재단(1.69,064)'!T10/2</f>
        <v>7</v>
      </c>
      <c r="X9" s="49">
        <f>W9*2</f>
        <v>14</v>
      </c>
      <c r="Y9" s="57" t="s">
        <v>61</v>
      </c>
      <c r="Z9" s="58" t="s">
        <v>64</v>
      </c>
      <c r="AA9" s="54" t="str">
        <f>'1. 소켓인수검사'!G11</f>
        <v>지상3층 세척장상부(3F→4F)</v>
      </c>
    </row>
    <row r="10" spans="1:27">
      <c r="A10" s="269" t="s">
        <v>17</v>
      </c>
      <c r="B10" s="270"/>
      <c r="C10" s="270"/>
      <c r="D10" s="59"/>
      <c r="E10" s="60"/>
      <c r="F10" s="60"/>
      <c r="G10" s="60"/>
      <c r="H10" s="89">
        <f>SUM(H7:H9)</f>
        <v>12</v>
      </c>
      <c r="I10" s="59"/>
      <c r="J10" s="89">
        <f>SUM(J7:J9)</f>
        <v>6</v>
      </c>
      <c r="K10" s="59"/>
      <c r="L10" s="89">
        <f>SUM(L7:L9)</f>
        <v>6</v>
      </c>
      <c r="M10" s="61"/>
      <c r="N10" s="89">
        <f>SUM(N7:N9)</f>
        <v>24</v>
      </c>
      <c r="O10" s="61"/>
      <c r="P10" s="89">
        <f>SUM(P7:P9)</f>
        <v>0</v>
      </c>
      <c r="Q10" s="61"/>
      <c r="R10" s="89">
        <f>SUM(R7:R9)</f>
        <v>38</v>
      </c>
      <c r="S10" s="61"/>
      <c r="T10" s="89">
        <f>SUM(T7:T9)</f>
        <v>38</v>
      </c>
      <c r="U10" s="61"/>
      <c r="V10" s="89">
        <f>SUM(V7:V9)</f>
        <v>38</v>
      </c>
      <c r="W10" s="61"/>
      <c r="X10" s="89">
        <f>SUM(X7:X9)</f>
        <v>38</v>
      </c>
      <c r="Y10" s="37"/>
      <c r="Z10" s="37"/>
      <c r="AA10" s="62"/>
    </row>
    <row r="11" spans="1:27" ht="8.1" customHeight="1">
      <c r="A11" s="208"/>
      <c r="B11" s="208"/>
      <c r="C11" s="208"/>
      <c r="D11" s="208"/>
      <c r="E11" s="208"/>
      <c r="F11" s="208"/>
      <c r="G11" s="208"/>
      <c r="H11" s="208"/>
      <c r="I11" s="208"/>
      <c r="J11" s="208"/>
      <c r="K11" s="208"/>
      <c r="L11" s="208"/>
      <c r="M11" s="208"/>
      <c r="N11" s="208"/>
      <c r="O11" s="30"/>
      <c r="P11" s="30"/>
      <c r="Q11" s="30"/>
      <c r="S11" s="30"/>
      <c r="U11" s="30"/>
      <c r="W11" s="30"/>
    </row>
    <row r="12" spans="1:27" ht="16.5" hidden="1" customHeight="1">
      <c r="A12" s="234" t="s">
        <v>7</v>
      </c>
      <c r="B12" s="234"/>
      <c r="C12" s="234"/>
      <c r="D12" s="271"/>
      <c r="E12" s="272"/>
      <c r="F12" s="272"/>
      <c r="G12" s="272"/>
      <c r="H12" s="272"/>
      <c r="I12" s="272"/>
      <c r="J12" s="272"/>
      <c r="K12" s="272"/>
      <c r="L12" s="272"/>
      <c r="M12" s="272"/>
      <c r="N12" s="272"/>
      <c r="O12" s="272"/>
      <c r="P12" s="272"/>
      <c r="Q12" s="272"/>
      <c r="R12" s="272"/>
      <c r="S12" s="272"/>
      <c r="T12" s="272"/>
      <c r="U12" s="272"/>
      <c r="V12" s="272"/>
      <c r="W12" s="272"/>
      <c r="X12" s="272"/>
    </row>
    <row r="13" spans="1:27" ht="16.5" hidden="1" customHeight="1">
      <c r="A13" s="234"/>
      <c r="B13" s="234"/>
      <c r="C13" s="234"/>
      <c r="D13" s="273"/>
      <c r="E13" s="208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</row>
    <row r="14" spans="1:27" ht="16.5" hidden="1" customHeight="1">
      <c r="A14" s="234"/>
      <c r="B14" s="234"/>
      <c r="C14" s="234"/>
      <c r="D14" s="273"/>
      <c r="E14" s="208"/>
      <c r="F14" s="208"/>
      <c r="G14" s="208"/>
      <c r="H14" s="208"/>
      <c r="I14" s="208"/>
      <c r="J14" s="208"/>
      <c r="K14" s="208"/>
      <c r="L14" s="208"/>
      <c r="M14" s="208"/>
      <c r="N14" s="208"/>
      <c r="O14" s="208"/>
      <c r="P14" s="208"/>
      <c r="Q14" s="208"/>
      <c r="R14" s="208"/>
      <c r="S14" s="208"/>
      <c r="T14" s="208"/>
      <c r="U14" s="208"/>
      <c r="V14" s="208"/>
      <c r="W14" s="208"/>
      <c r="X14" s="208"/>
    </row>
    <row r="15" spans="1:27" ht="16.5" hidden="1" customHeight="1">
      <c r="A15" s="234"/>
      <c r="B15" s="234"/>
      <c r="C15" s="234"/>
      <c r="D15" s="273"/>
      <c r="E15" s="208"/>
      <c r="F15" s="208"/>
      <c r="G15" s="208"/>
      <c r="H15" s="208"/>
      <c r="I15" s="208"/>
      <c r="J15" s="208"/>
      <c r="K15" s="208"/>
      <c r="L15" s="208"/>
      <c r="M15" s="208"/>
      <c r="N15" s="208"/>
      <c r="O15" s="208"/>
      <c r="P15" s="208"/>
      <c r="Q15" s="208"/>
      <c r="R15" s="208"/>
      <c r="S15" s="208"/>
      <c r="T15" s="208"/>
      <c r="U15" s="208"/>
      <c r="V15" s="208"/>
      <c r="W15" s="208"/>
      <c r="X15" s="208"/>
    </row>
    <row r="16" spans="1:27" ht="16.5" hidden="1" customHeight="1">
      <c r="A16" s="234"/>
      <c r="B16" s="234"/>
      <c r="C16" s="234"/>
      <c r="D16" s="273"/>
      <c r="E16" s="208"/>
      <c r="F16" s="208"/>
      <c r="G16" s="208"/>
      <c r="H16" s="208"/>
      <c r="I16" s="208"/>
      <c r="J16" s="208"/>
      <c r="K16" s="208"/>
      <c r="L16" s="208"/>
      <c r="M16" s="208"/>
      <c r="N16" s="208"/>
      <c r="O16" s="208"/>
      <c r="P16" s="208"/>
      <c r="Q16" s="208"/>
      <c r="R16" s="208"/>
      <c r="S16" s="208"/>
      <c r="T16" s="208"/>
      <c r="U16" s="208"/>
      <c r="V16" s="208"/>
      <c r="W16" s="208"/>
      <c r="X16" s="208"/>
    </row>
    <row r="17" spans="1:24" ht="16.5" hidden="1" customHeight="1">
      <c r="A17" s="234"/>
      <c r="B17" s="234"/>
      <c r="C17" s="234"/>
      <c r="D17" s="274"/>
      <c r="E17" s="275"/>
      <c r="F17" s="275"/>
      <c r="G17" s="275"/>
      <c r="H17" s="275"/>
      <c r="I17" s="275"/>
      <c r="J17" s="275"/>
      <c r="K17" s="275"/>
      <c r="L17" s="275"/>
      <c r="M17" s="275"/>
      <c r="N17" s="275"/>
      <c r="O17" s="275"/>
      <c r="P17" s="275"/>
      <c r="Q17" s="275"/>
      <c r="R17" s="275"/>
      <c r="S17" s="275"/>
      <c r="T17" s="275"/>
      <c r="U17" s="275"/>
      <c r="V17" s="275"/>
      <c r="W17" s="275"/>
      <c r="X17" s="275"/>
    </row>
  </sheetData>
  <mergeCells count="27">
    <mergeCell ref="Y5:Y6"/>
    <mergeCell ref="Z5:Z6"/>
    <mergeCell ref="Q5:R5"/>
    <mergeCell ref="S5:T5"/>
    <mergeCell ref="U5:V5"/>
    <mergeCell ref="W5:X5"/>
    <mergeCell ref="A11:N11"/>
    <mergeCell ref="A12:C17"/>
    <mergeCell ref="D12:X17"/>
    <mergeCell ref="F1:I3"/>
    <mergeCell ref="J1:AA3"/>
    <mergeCell ref="A1:D3"/>
    <mergeCell ref="A4:N4"/>
    <mergeCell ref="A5:A6"/>
    <mergeCell ref="B5:B6"/>
    <mergeCell ref="C5:C6"/>
    <mergeCell ref="D5:D6"/>
    <mergeCell ref="E5:E6"/>
    <mergeCell ref="F5:F6"/>
    <mergeCell ref="G5:G6"/>
    <mergeCell ref="H5:H6"/>
    <mergeCell ref="AA5:AA6"/>
    <mergeCell ref="I5:J5"/>
    <mergeCell ref="K5:L5"/>
    <mergeCell ref="M5:N5"/>
    <mergeCell ref="O5:P5"/>
    <mergeCell ref="A10:C10"/>
  </mergeCells>
  <phoneticPr fontId="32" type="noConversion"/>
  <pageMargins left="0.2361111044883728" right="0.2361111044883728" top="0.74791663885116577" bottom="0.74791663885116577" header="0.31486111879348755" footer="0.31486111879348755"/>
  <pageSetup paperSize="9" scale="73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BA62E-313F-4F27-A22B-0E722101DA4F}">
  <dimension ref="A1"/>
  <sheetViews>
    <sheetView workbookViewId="0"/>
  </sheetViews>
  <sheetFormatPr defaultRowHeight="16.5"/>
  <sheetData/>
  <phoneticPr fontId="3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303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8</vt:i4>
      </vt:variant>
    </vt:vector>
  </HeadingPairs>
  <TitlesOfParts>
    <vt:vector size="15" baseType="lpstr">
      <vt:lpstr>1. 소켓인수검사</vt:lpstr>
      <vt:lpstr>2.1 재단(1.69,064)</vt:lpstr>
      <vt:lpstr>3.1 절곡(HTG1.69)(브라켓,보강대,받침대)</vt:lpstr>
      <vt:lpstr>4. 차열재 소켓용 (수정)</vt:lpstr>
      <vt:lpstr>5. 차열재 출하용</vt:lpstr>
      <vt:lpstr>라벨소요량</vt:lpstr>
      <vt:lpstr>발주서정리</vt:lpstr>
      <vt:lpstr>'1. 소켓인수검사'!Print_Area</vt:lpstr>
      <vt:lpstr>'3.1 절곡(HTG1.69)(브라켓,보강대,받침대)'!Print_Area</vt:lpstr>
      <vt:lpstr>'1. 소켓인수검사'!Print_Titles</vt:lpstr>
      <vt:lpstr>'2.1 재단(1.69,064)'!Print_Titles</vt:lpstr>
      <vt:lpstr>'3.1 절곡(HTG1.69)(브라켓,보강대,받침대)'!Print_Titles</vt:lpstr>
      <vt:lpstr>'4. 차열재 소켓용 (수정)'!Print_Titles</vt:lpstr>
      <vt:lpstr>'5. 차열재 출하용'!Print_Titles</vt:lpstr>
      <vt:lpstr>라벨소요량!Print_Titles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declan48@outlook.kr</dc:creator>
  <cp:lastModifiedBy>k5366</cp:lastModifiedBy>
  <cp:revision>35</cp:revision>
  <cp:lastPrinted>2026-07-08T01:03:40Z</cp:lastPrinted>
  <dcterms:created xsi:type="dcterms:W3CDTF">2025-03-13T00:09:10Z</dcterms:created>
  <dcterms:modified xsi:type="dcterms:W3CDTF">2026-07-08T01:03:46Z</dcterms:modified>
  <cp:version>1200.0100.01</cp:version>
</cp:coreProperties>
</file>