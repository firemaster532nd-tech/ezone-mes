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EB559E70-F02C-4B75-9B28-90ABB1F09088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소켓인수검사'!$A$1:$P$9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0" l="1"/>
  <c r="H1" i="12"/>
  <c r="D8" i="12"/>
  <c r="C8" i="12"/>
  <c r="A8" i="12"/>
  <c r="J8" i="12"/>
  <c r="H8" i="12"/>
  <c r="M8" i="12"/>
  <c r="G1" i="2"/>
  <c r="K1" i="10"/>
  <c r="P5" i="9"/>
  <c r="N5" i="5"/>
  <c r="D1" i="1"/>
  <c r="P8" i="10"/>
  <c r="H8" i="10"/>
  <c r="U7" i="10"/>
  <c r="D7" i="10"/>
  <c r="C7" i="10"/>
  <c r="A7" i="10"/>
  <c r="C10" i="9"/>
  <c r="B10" i="9"/>
  <c r="A10" i="9"/>
  <c r="N11" i="5"/>
  <c r="I11" i="5"/>
  <c r="C11" i="5"/>
  <c r="K11" i="5" s="1"/>
  <c r="B11" i="5"/>
  <c r="H11" i="5" s="1"/>
  <c r="A11" i="5"/>
  <c r="D8" i="2"/>
  <c r="I8" i="2" s="1"/>
  <c r="C8" i="2"/>
  <c r="G8" i="2" s="1"/>
  <c r="A8" i="2"/>
  <c r="K8" i="12" l="1"/>
  <c r="G8" i="12"/>
  <c r="I8" i="12"/>
  <c r="Q7" i="10"/>
  <c r="G7" i="10"/>
  <c r="I7" i="10" s="1"/>
  <c r="N8" i="10"/>
  <c r="F10" i="9"/>
  <c r="G10" i="9" s="1"/>
  <c r="I10" i="9" s="1"/>
  <c r="E10" i="9"/>
  <c r="J8" i="10"/>
  <c r="L8" i="10"/>
  <c r="F7" i="10"/>
  <c r="O11" i="9" l="1"/>
  <c r="G14" i="9" s="1"/>
  <c r="R8" i="10"/>
  <c r="Q8" i="10"/>
  <c r="I11" i="9" l="1"/>
  <c r="G12" i="9" s="1"/>
  <c r="R11" i="9"/>
  <c r="G15" i="9" s="1"/>
  <c r="L11" i="9"/>
  <c r="G13" i="9" s="1"/>
</calcChain>
</file>

<file path=xl/sharedStrings.xml><?xml version="1.0" encoding="utf-8"?>
<sst xmlns="http://schemas.openxmlformats.org/spreadsheetml/2006/main" count="155" uniqueCount="73">
  <si>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</si>
  <si>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</si>
  <si>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</si>
  <si>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</si>
  <si>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</si>
  <si>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</si>
  <si>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</si>
  <si>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</si>
  <si>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</si>
  <si>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</si>
  <si>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</si>
  <si>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</si>
  <si>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</si>
  <si>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</si>
  <si>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</si>
  <si>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</si>
  <si>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</si>
  <si>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</si>
  <si>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</si>
  <si>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</si>
  <si>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</si>
  <si>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</si>
  <si>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</si>
  <si>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</si>
  <si>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</si>
  <si>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</si>
  <si>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</si>
  <si>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</si>
  <si>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</si>
  <si>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</si>
  <si>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</si>
  <si>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</si>
  <si>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</si>
  <si>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</si>
  <si>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</si>
  <si>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</si>
  <si>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</si>
  <si>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</si>
  <si>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방화
소켓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</si>
  <si>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</si>
  <si>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</si>
  <si>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</si>
  <si>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</si>
  <si>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</si>
  <si>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</si>
  <si>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</si>
  <si>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</si>
  <si>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</si>
  <si>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</si>
  <si>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</si>
  <si>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</si>
  <si>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</si>
  <si>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</si>
  <si>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</si>
  <si>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</si>
  <si>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</si>
  <si>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</si>
  <si>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</si>
  <si>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</si>
  <si>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</si>
  <si>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</si>
  <si>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1" type="noConversion"/>
  </si>
  <si>
    <t>재단작업지시서(VM)</t>
    <phoneticPr fontId="21" type="noConversion"/>
  </si>
  <si>
    <t>절 곡 생 산 일 지(VM)</t>
    <phoneticPr fontId="21" type="noConversion"/>
  </si>
  <si>
    <t>라벨소요량</t>
    <phoneticPr fontId="21" type="noConversion"/>
  </si>
  <si>
    <t>25*
200</t>
    <phoneticPr fontId="21" type="noConversion"/>
  </si>
  <si>
    <t>구조체작업지시서</t>
    <phoneticPr fontId="21" type="noConversion"/>
  </si>
  <si>
    <t>차열재 25T*200*7.4M</t>
    <phoneticPr fontId="21" type="noConversion"/>
  </si>
  <si>
    <t>01</t>
    <phoneticPr fontId="21" type="noConversion"/>
  </si>
  <si>
    <t>재단작업지시서차열재</t>
    <phoneticPr fontId="21" type="noConversion"/>
  </si>
  <si>
    <t>26.07.16 엘티엔지니어링_코오롱글로벌_신동양기업_대한항공 운북 신 엔진정비공장 건립공사</t>
    <phoneticPr fontId="21" type="noConversion"/>
  </si>
  <si>
    <t>지하1층 PS-14</t>
    <phoneticPr fontId="21" type="noConversion"/>
  </si>
  <si>
    <t>AJ088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</si>
</sst>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27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6" fillId="8" borderId="14" xfId="0" applyFont="1" applyFill="1" applyBorder="1" applyAlignment="1">
      <alignment horizontal="center" vertical="center" wrapText="1"/>
    </xf>
    <xf numFmtId="0" fontId="20" fillId="0" borderId="0">
      <alignment vertical="center"/>
    </xf>
    <xf numFmtId="176" fontId="20" fillId="0" borderId="0">
      <alignment vertical="center"/>
    </xf>
    <xf numFmtId="0" fontId="1" fillId="0" borderId="0">
      <alignment vertical="center"/>
    </xf>
  </cellStyleXfs>
  <cellXfs count="2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2">
      <alignment vertical="center"/>
    </xf>
    <xf numFmtId="0" fontId="20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0" fillId="0" borderId="6" xfId="3" applyBorder="1" applyAlignment="1">
      <alignment horizontal="center" vertical="center"/>
    </xf>
    <xf numFmtId="176" fontId="20" fillId="0" borderId="7" xfId="3" applyBorder="1" applyAlignment="1">
      <alignment horizontal="center" vertical="center"/>
    </xf>
    <xf numFmtId="176" fontId="20" fillId="0" borderId="8" xfId="3" applyBorder="1" applyAlignment="1">
      <alignment horizontal="center" vertical="center"/>
    </xf>
    <xf numFmtId="176" fontId="20" fillId="0" borderId="10" xfId="3" applyBorder="1" applyAlignment="1">
      <alignment horizontal="center" vertical="center"/>
    </xf>
    <xf numFmtId="176" fontId="20" fillId="0" borderId="12" xfId="3" applyBorder="1" applyAlignment="1">
      <alignment horizontal="center" vertical="center"/>
    </xf>
    <xf numFmtId="0" fontId="20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0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1" fillId="0" borderId="17" xfId="4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5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2" fillId="2" borderId="14" xfId="4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3" fillId="4" borderId="16" xfId="4" applyFont="1" applyFill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0" fontId="24" fillId="4" borderId="13" xfId="4" applyFont="1" applyFill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178" fontId="14" fillId="0" borderId="13" xfId="2" applyNumberFormat="1" applyFont="1" applyBorder="1" applyAlignment="1">
      <alignment horizontal="center" vertical="center" wrapText="1"/>
    </xf>
    <xf numFmtId="0" fontId="15" fillId="0" borderId="13" xfId="2" applyFont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22" fillId="0" borderId="33" xfId="4" applyFont="1" applyBorder="1" applyAlignment="1">
      <alignment horizontal="center" vertical="center" wrapText="1"/>
    </xf>
    <xf numFmtId="0" fontId="22" fillId="0" borderId="35" xfId="4" applyFont="1" applyBorder="1" applyAlignment="1">
      <alignment horizontal="center" vertical="center" wrapText="1"/>
    </xf>
    <xf numFmtId="0" fontId="22" fillId="0" borderId="0" xfId="4" applyFont="1" applyAlignment="1">
      <alignment horizontal="center" vertical="center" wrapText="1"/>
    </xf>
    <xf numFmtId="0" fontId="22" fillId="0" borderId="37" xfId="4" applyFont="1" applyBorder="1" applyAlignment="1">
      <alignment horizontal="center" vertical="center" wrapText="1"/>
    </xf>
    <xf numFmtId="0" fontId="22" fillId="0" borderId="32" xfId="4" applyFont="1" applyBorder="1" applyAlignment="1">
      <alignment horizontal="center" vertical="center" wrapText="1"/>
    </xf>
    <xf numFmtId="0" fontId="23" fillId="0" borderId="33" xfId="4" applyFont="1" applyBorder="1" applyAlignment="1">
      <alignment horizontal="center" vertical="center" shrinkToFit="1"/>
    </xf>
    <xf numFmtId="0" fontId="23" fillId="0" borderId="34" xfId="4" applyFont="1" applyBorder="1" applyAlignment="1">
      <alignment horizontal="center" vertical="center" shrinkToFit="1"/>
    </xf>
    <xf numFmtId="0" fontId="23" fillId="0" borderId="0" xfId="4" applyFont="1" applyAlignment="1">
      <alignment horizontal="center" vertical="center" shrinkToFit="1"/>
    </xf>
    <xf numFmtId="0" fontId="23" fillId="0" borderId="36" xfId="4" applyFont="1" applyBorder="1" applyAlignment="1">
      <alignment horizontal="center" vertical="center" shrinkToFit="1"/>
    </xf>
    <xf numFmtId="0" fontId="23" fillId="0" borderId="32" xfId="4" applyFont="1" applyBorder="1" applyAlignment="1">
      <alignment horizontal="center" vertical="center" shrinkToFit="1"/>
    </xf>
    <xf numFmtId="0" fontId="23" fillId="0" borderId="38" xfId="4" applyFont="1" applyBorder="1" applyAlignment="1">
      <alignment horizontal="center" vertical="center" shrinkToFit="1"/>
    </xf>
    <xf numFmtId="0" fontId="1" fillId="7" borderId="15" xfId="4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4" xfId="4" applyFont="1" applyFill="1" applyBorder="1" applyAlignment="1">
      <alignment horizontal="center" vertical="center" wrapText="1"/>
    </xf>
    <xf numFmtId="0" fontId="2" fillId="7" borderId="17" xfId="4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0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6" xfId="2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 shrinkToFit="1"/>
    </xf>
    <xf numFmtId="0" fontId="26" fillId="0" borderId="28" xfId="0" applyFont="1" applyBorder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" xfId="0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shrinkToFit="1"/>
    </xf>
    <xf numFmtId="0" fontId="18" fillId="0" borderId="11" xfId="2" applyFont="1" applyBorder="1" applyAlignment="1">
      <alignment horizontal="center" vertical="center" shrinkToFit="1"/>
    </xf>
    <xf numFmtId="0" fontId="18" fillId="0" borderId="3" xfId="2" applyFont="1" applyBorder="1" applyAlignment="1">
      <alignment horizontal="center" vertical="center" shrinkToFit="1"/>
    </xf>
    <xf numFmtId="0" fontId="18" fillId="0" borderId="28" xfId="2" applyFont="1" applyBorder="1" applyAlignment="1">
      <alignment horizontal="center" vertical="center" shrinkToFit="1"/>
    </xf>
    <xf numFmtId="0" fontId="18" fillId="0" borderId="0" xfId="2" applyFont="1" applyAlignment="1">
      <alignment horizontal="center" vertical="center" shrinkToFit="1"/>
    </xf>
    <xf numFmtId="0" fontId="18" fillId="0" borderId="29" xfId="2" applyFont="1" applyBorder="1" applyAlignment="1">
      <alignment horizontal="center" vertical="center" shrinkToFit="1"/>
    </xf>
    <xf numFmtId="0" fontId="18" fillId="0" borderId="23" xfId="2" applyFont="1" applyBorder="1" applyAlignment="1">
      <alignment horizontal="center" vertical="center" shrinkToFit="1"/>
    </xf>
    <xf numFmtId="0" fontId="18" fillId="0" borderId="2" xfId="2" applyFont="1" applyBorder="1" applyAlignment="1">
      <alignment horizontal="center" vertical="center" shrinkToFit="1"/>
    </xf>
    <xf numFmtId="0" fontId="18" fillId="0" borderId="27" xfId="2" applyFont="1" applyBorder="1" applyAlignment="1">
      <alignment horizontal="center" vertical="center" shrinkToFit="1"/>
    </xf>
    <xf numFmtId="0" fontId="20" fillId="0" borderId="4" xfId="2" applyBorder="1" applyAlignment="1">
      <alignment horizontal="center" vertical="center"/>
    </xf>
    <xf numFmtId="0" fontId="20" fillId="0" borderId="26" xfId="2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/>
    </xf>
    <xf numFmtId="0" fontId="20" fillId="0" borderId="19" xfId="2" applyBorder="1" applyAlignment="1">
      <alignment horizontal="center" vertical="center"/>
    </xf>
    <xf numFmtId="0" fontId="20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178" fontId="20" fillId="0" borderId="16" xfId="2" applyNumberFormat="1" applyBorder="1" applyAlignment="1">
      <alignment horizontal="center" vertical="center" wrapText="1"/>
    </xf>
    <xf numFmtId="0" fontId="20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 shrinkToFit="1"/>
    </xf>
    <xf numFmtId="0" fontId="25" fillId="0" borderId="11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5" fillId="0" borderId="27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10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9"/>
  <sheetViews>
    <sheetView view="pageBreakPreview" zoomScale="120" zoomScaleNormal="120" zoomScaleSheetLayoutView="120" workbookViewId="0">
      <pane ySplit="8" topLeftCell="A9" activePane="bottomLeft" state="frozen"/>
      <selection pane="bottomLeft" activeCell="E12" sqref="E1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00" t="s">
        <v>66</v>
      </c>
      <c r="B1" s="110"/>
      <c r="C1" s="110"/>
      <c r="D1" s="115" t="str">
        <f>R2</f>
        <v>26.07.16 엘티엔지니어링_코오롱글로벌_신동양기업_대한항공 운북 신 엔진정비공장 건립공사</v>
      </c>
      <c r="E1" s="115"/>
      <c r="F1" s="115"/>
      <c r="G1" s="116"/>
      <c r="R1" s="8" t="s">
        <v>61</v>
      </c>
    </row>
    <row r="2" spans="1:18" ht="16.5" customHeight="1">
      <c r="A2" s="111"/>
      <c r="B2" s="112"/>
      <c r="C2" s="112"/>
      <c r="D2" s="117"/>
      <c r="E2" s="117"/>
      <c r="F2" s="117"/>
      <c r="G2" s="118"/>
      <c r="R2" s="59" t="s">
        <v>70</v>
      </c>
    </row>
    <row r="3" spans="1:18" ht="16.5" customHeight="1">
      <c r="A3" s="111"/>
      <c r="B3" s="112"/>
      <c r="C3" s="112"/>
      <c r="D3" s="117"/>
      <c r="E3" s="117"/>
      <c r="F3" s="117"/>
      <c r="G3" s="118"/>
    </row>
    <row r="4" spans="1:18" ht="17.25" customHeight="1" thickBot="1">
      <c r="A4" s="113"/>
      <c r="B4" s="114"/>
      <c r="C4" s="114"/>
      <c r="D4" s="119"/>
      <c r="E4" s="119"/>
      <c r="F4" s="119"/>
      <c r="G4" s="120"/>
    </row>
    <row r="5" spans="1:18" ht="6.75" customHeight="1" thickTop="1">
      <c r="A5" s="60"/>
      <c r="B5" s="60"/>
      <c r="C5" s="60"/>
      <c r="D5" s="60"/>
      <c r="E5" s="60"/>
      <c r="F5" s="60"/>
      <c r="G5" s="60"/>
    </row>
    <row r="6" spans="1:18" s="10" customFormat="1" ht="18" customHeight="1" thickBot="1">
      <c r="A6" s="101" t="s">
        <v>1</v>
      </c>
      <c r="B6" s="122" t="s">
        <v>60</v>
      </c>
      <c r="C6" s="122" t="s">
        <v>4</v>
      </c>
      <c r="D6" s="122"/>
      <c r="E6" s="122" t="s">
        <v>40</v>
      </c>
      <c r="F6" s="122" t="s">
        <v>37</v>
      </c>
      <c r="G6" s="124" t="s">
        <v>17</v>
      </c>
      <c r="H6" s="9"/>
      <c r="I6" s="126" t="s">
        <v>9</v>
      </c>
      <c r="J6" s="126"/>
      <c r="K6" s="126"/>
      <c r="L6" s="126"/>
      <c r="M6" s="126"/>
      <c r="N6" s="126"/>
      <c r="O6" s="8"/>
    </row>
    <row r="7" spans="1:18" s="10" customFormat="1" ht="18" customHeight="1">
      <c r="A7" s="121"/>
      <c r="B7" s="123"/>
      <c r="C7" s="123" t="s">
        <v>57</v>
      </c>
      <c r="D7" s="123" t="s">
        <v>55</v>
      </c>
      <c r="E7" s="123"/>
      <c r="F7" s="123"/>
      <c r="G7" s="12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1"/>
      <c r="B8" s="123"/>
      <c r="C8" s="123"/>
      <c r="D8" s="123"/>
      <c r="E8" s="123"/>
      <c r="F8" s="123"/>
      <c r="G8" s="12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>
      <c r="A9" s="68" t="s">
        <v>68</v>
      </c>
      <c r="B9" s="45" t="s">
        <v>15</v>
      </c>
      <c r="C9" s="24">
        <v>400</v>
      </c>
      <c r="D9" s="24">
        <v>400</v>
      </c>
      <c r="E9" s="61"/>
      <c r="F9" s="61"/>
      <c r="G9" s="62" t="s">
        <v>71</v>
      </c>
      <c r="H9" s="13"/>
      <c r="I9" s="21"/>
      <c r="J9" s="20"/>
      <c r="K9" s="17"/>
      <c r="L9" s="18"/>
      <c r="M9" s="19"/>
      <c r="N9" s="20"/>
      <c r="O9" s="8"/>
      <c r="Q9" s="10" t="s">
        <v>72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1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2"/>
  <sheetViews>
    <sheetView zoomScaleNormal="100" zoomScaleSheetLayoutView="100" workbookViewId="0">
      <selection activeCell="P7" sqref="P7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00"/>
      <c r="B1" s="100"/>
      <c r="C1" s="100"/>
      <c r="D1" s="100"/>
      <c r="E1" s="133" t="s">
        <v>62</v>
      </c>
      <c r="F1" s="134"/>
      <c r="G1" s="134"/>
      <c r="H1" s="134" t="str">
        <f>'1. 소켓인수검사'!R2</f>
        <v>26.07.16 엘티엔지니어링_코오롱글로벌_신동양기업_대한항공 운북 신 엔진정비공장 건립공사</v>
      </c>
      <c r="I1" s="134"/>
      <c r="J1" s="134"/>
      <c r="K1" s="134"/>
      <c r="L1" s="134"/>
      <c r="M1" s="134"/>
      <c r="N1" s="134"/>
      <c r="O1" s="139"/>
    </row>
    <row r="2" spans="1:15" ht="16.5" customHeight="1">
      <c r="A2" s="100"/>
      <c r="B2" s="100"/>
      <c r="C2" s="100"/>
      <c r="D2" s="100"/>
      <c r="E2" s="135"/>
      <c r="F2" s="136"/>
      <c r="G2" s="136"/>
      <c r="H2" s="136"/>
      <c r="I2" s="136"/>
      <c r="J2" s="136"/>
      <c r="K2" s="136"/>
      <c r="L2" s="136"/>
      <c r="M2" s="136"/>
      <c r="N2" s="136"/>
      <c r="O2" s="140"/>
    </row>
    <row r="3" spans="1:15" ht="16.5" customHeight="1">
      <c r="A3" s="100"/>
      <c r="B3" s="100"/>
      <c r="C3" s="100"/>
      <c r="D3" s="100"/>
      <c r="E3" s="137"/>
      <c r="F3" s="138"/>
      <c r="G3" s="138"/>
      <c r="H3" s="138"/>
      <c r="I3" s="138"/>
      <c r="J3" s="138"/>
      <c r="K3" s="138"/>
      <c r="L3" s="138"/>
      <c r="M3" s="138"/>
      <c r="N3" s="138"/>
      <c r="O3" s="141"/>
    </row>
    <row r="4" spans="1:15" ht="8.1" customHeight="1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</row>
    <row r="5" spans="1:15" ht="26.45" customHeight="1">
      <c r="A5" s="143" t="s">
        <v>50</v>
      </c>
      <c r="B5" s="144" t="s">
        <v>60</v>
      </c>
      <c r="C5" s="132" t="s">
        <v>4</v>
      </c>
      <c r="D5" s="132"/>
      <c r="E5" s="132" t="s">
        <v>23</v>
      </c>
      <c r="F5" s="129" t="s">
        <v>48</v>
      </c>
      <c r="G5" s="127" t="s">
        <v>19</v>
      </c>
      <c r="H5" s="128"/>
      <c r="I5" s="128"/>
      <c r="J5" s="147"/>
      <c r="K5" s="127" t="s">
        <v>33</v>
      </c>
      <c r="L5" s="128"/>
      <c r="M5" s="128"/>
      <c r="N5" s="128"/>
      <c r="O5" s="129" t="s">
        <v>2</v>
      </c>
    </row>
    <row r="6" spans="1:15" ht="16.5" customHeight="1">
      <c r="A6" s="143"/>
      <c r="B6" s="145"/>
      <c r="C6" s="132" t="s">
        <v>57</v>
      </c>
      <c r="D6" s="132" t="s">
        <v>55</v>
      </c>
      <c r="E6" s="132"/>
      <c r="F6" s="130"/>
      <c r="G6" s="132" t="s">
        <v>57</v>
      </c>
      <c r="H6" s="132"/>
      <c r="I6" s="132" t="s">
        <v>55</v>
      </c>
      <c r="J6" s="132"/>
      <c r="K6" s="132" t="s">
        <v>59</v>
      </c>
      <c r="L6" s="132"/>
      <c r="M6" s="127" t="s">
        <v>56</v>
      </c>
      <c r="N6" s="128"/>
      <c r="O6" s="130"/>
    </row>
    <row r="7" spans="1:15">
      <c r="A7" s="143"/>
      <c r="B7" s="146"/>
      <c r="C7" s="132"/>
      <c r="D7" s="132"/>
      <c r="E7" s="132"/>
      <c r="F7" s="131"/>
      <c r="G7" s="69" t="s">
        <v>4</v>
      </c>
      <c r="H7" s="69" t="s">
        <v>30</v>
      </c>
      <c r="I7" s="72" t="s">
        <v>4</v>
      </c>
      <c r="J7" s="71" t="s">
        <v>30</v>
      </c>
      <c r="K7" s="69" t="s">
        <v>4</v>
      </c>
      <c r="L7" s="69" t="s">
        <v>48</v>
      </c>
      <c r="M7" s="69" t="s">
        <v>4</v>
      </c>
      <c r="N7" s="70" t="s">
        <v>48</v>
      </c>
      <c r="O7" s="131"/>
    </row>
    <row r="8" spans="1:15">
      <c r="A8" s="73" t="str">
        <f>'1. 소켓인수검사'!A9</f>
        <v>01</v>
      </c>
      <c r="B8" s="74" t="s">
        <v>15</v>
      </c>
      <c r="C8" s="46">
        <f>'1. 소켓인수검사'!C9</f>
        <v>400</v>
      </c>
      <c r="D8" s="46">
        <f>'1. 소켓인수검사'!D9</f>
        <v>400</v>
      </c>
      <c r="E8" s="42"/>
      <c r="F8" s="46">
        <v>1</v>
      </c>
      <c r="G8" s="75">
        <f>C8-5</f>
        <v>395</v>
      </c>
      <c r="H8" s="46">
        <f t="shared" ref="H8" si="0">F8*4</f>
        <v>4</v>
      </c>
      <c r="I8" s="76">
        <f t="shared" ref="I8" si="1">D8-30</f>
        <v>370</v>
      </c>
      <c r="J8" s="46">
        <f t="shared" ref="J8" si="2">F8*4</f>
        <v>4</v>
      </c>
      <c r="K8" s="77">
        <f t="shared" ref="K8" si="3">C8+60</f>
        <v>460</v>
      </c>
      <c r="L8" s="46">
        <v>2</v>
      </c>
      <c r="M8" s="77">
        <f>D8</f>
        <v>400</v>
      </c>
      <c r="N8" s="46">
        <v>2</v>
      </c>
      <c r="O8" s="43"/>
    </row>
    <row r="9" spans="1:15" ht="8.1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1:15">
      <c r="A10" s="100" t="s">
        <v>42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5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9:O9"/>
    <mergeCell ref="A10:C12"/>
    <mergeCell ref="D10:O12"/>
    <mergeCell ref="K5:N5"/>
    <mergeCell ref="O5:O7"/>
    <mergeCell ref="C6:C7"/>
    <mergeCell ref="D6:D7"/>
    <mergeCell ref="G6:H6"/>
    <mergeCell ref="I6:J6"/>
    <mergeCell ref="K6:L6"/>
    <mergeCell ref="M6:N6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1"/>
  <sheetViews>
    <sheetView zoomScaleNormal="100" zoomScaleSheetLayoutView="100" workbookViewId="0">
      <selection activeCell="L16" sqref="L16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00"/>
      <c r="B1" s="100"/>
      <c r="C1" s="100"/>
      <c r="D1" s="100"/>
      <c r="E1" s="100" t="s">
        <v>69</v>
      </c>
      <c r="F1" s="150"/>
      <c r="G1" s="85" t="str">
        <f>'1. 소켓인수검사'!R2</f>
        <v>26.07.16 엘티엔지니어링_코오롱글로벌_신동양기업_대한항공 운북 신 엔진정비공장 건립공사</v>
      </c>
      <c r="H1" s="85"/>
      <c r="I1" s="85"/>
      <c r="J1" s="85"/>
      <c r="K1" s="86"/>
    </row>
    <row r="2" spans="1:11" ht="16.5" customHeight="1">
      <c r="A2" s="100"/>
      <c r="B2" s="100"/>
      <c r="C2" s="100"/>
      <c r="D2" s="100"/>
      <c r="E2" s="151"/>
      <c r="F2" s="152"/>
      <c r="G2" s="87"/>
      <c r="H2" s="87"/>
      <c r="I2" s="87"/>
      <c r="J2" s="87"/>
      <c r="K2" s="88"/>
    </row>
    <row r="3" spans="1:11" ht="16.5" customHeight="1">
      <c r="A3" s="100"/>
      <c r="B3" s="100"/>
      <c r="C3" s="100"/>
      <c r="D3" s="100"/>
      <c r="E3" s="153"/>
      <c r="F3" s="154"/>
      <c r="G3" s="89"/>
      <c r="H3" s="89"/>
      <c r="I3" s="89"/>
      <c r="J3" s="89"/>
      <c r="K3" s="90"/>
    </row>
    <row r="4" spans="1:11" ht="8.1" customHeigh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</row>
    <row r="5" spans="1:11" ht="26.45" customHeight="1">
      <c r="A5" s="155" t="s">
        <v>50</v>
      </c>
      <c r="B5" s="156" t="s">
        <v>60</v>
      </c>
      <c r="C5" s="159" t="s">
        <v>4</v>
      </c>
      <c r="D5" s="159"/>
      <c r="E5" s="159" t="s">
        <v>23</v>
      </c>
      <c r="F5" s="160" t="s">
        <v>48</v>
      </c>
      <c r="G5" s="148" t="s">
        <v>33</v>
      </c>
      <c r="H5" s="149"/>
      <c r="I5" s="149"/>
      <c r="J5" s="149"/>
      <c r="K5" s="160" t="s">
        <v>2</v>
      </c>
    </row>
    <row r="6" spans="1:11" ht="16.5" customHeight="1">
      <c r="A6" s="155"/>
      <c r="B6" s="157"/>
      <c r="C6" s="159" t="s">
        <v>57</v>
      </c>
      <c r="D6" s="159" t="s">
        <v>55</v>
      </c>
      <c r="E6" s="159"/>
      <c r="F6" s="161"/>
      <c r="G6" s="159" t="s">
        <v>59</v>
      </c>
      <c r="H6" s="159"/>
      <c r="I6" s="148" t="s">
        <v>56</v>
      </c>
      <c r="J6" s="149"/>
      <c r="K6" s="161"/>
    </row>
    <row r="7" spans="1:11">
      <c r="A7" s="155"/>
      <c r="B7" s="158"/>
      <c r="C7" s="159"/>
      <c r="D7" s="159"/>
      <c r="E7" s="159"/>
      <c r="F7" s="162"/>
      <c r="G7" s="15" t="s">
        <v>4</v>
      </c>
      <c r="H7" s="15" t="s">
        <v>48</v>
      </c>
      <c r="I7" s="15" t="s">
        <v>4</v>
      </c>
      <c r="J7" s="16" t="s">
        <v>48</v>
      </c>
      <c r="K7" s="162"/>
    </row>
    <row r="8" spans="1:11">
      <c r="A8" s="63" t="str">
        <f>'1. 소켓인수검사'!A9</f>
        <v>01</v>
      </c>
      <c r="B8" s="45" t="s">
        <v>15</v>
      </c>
      <c r="C8" s="41">
        <f>'1. 소켓인수검사'!C9</f>
        <v>400</v>
      </c>
      <c r="D8" s="41">
        <f>'1. 소켓인수검사'!D9</f>
        <v>400</v>
      </c>
      <c r="E8" s="42"/>
      <c r="F8" s="41">
        <v>1</v>
      </c>
      <c r="G8" s="64">
        <f t="shared" ref="G8" si="0">C8+60</f>
        <v>460</v>
      </c>
      <c r="H8" s="41">
        <v>2</v>
      </c>
      <c r="I8" s="64">
        <f>D8</f>
        <v>400</v>
      </c>
      <c r="J8" s="41">
        <v>2</v>
      </c>
      <c r="K8" s="43"/>
    </row>
    <row r="9" spans="1:11">
      <c r="A9" s="100" t="s">
        <v>42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</row>
    <row r="10" spans="1:1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</row>
    <row r="11" spans="1:1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</row>
  </sheetData>
  <mergeCells count="17">
    <mergeCell ref="G6:H6"/>
    <mergeCell ref="I6:J6"/>
    <mergeCell ref="E1:F3"/>
    <mergeCell ref="G1:K3"/>
    <mergeCell ref="A9:C11"/>
    <mergeCell ref="D9:K11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6"/>
  <sheetViews>
    <sheetView zoomScaleNormal="100" zoomScaleSheetLayoutView="100" workbookViewId="0">
      <selection activeCell="I25" sqref="I25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00"/>
      <c r="B1" s="100"/>
      <c r="C1" s="100"/>
      <c r="D1" s="100"/>
      <c r="E1" s="163" t="s">
        <v>63</v>
      </c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5"/>
    </row>
    <row r="2" spans="1:16" ht="16.5" customHeight="1">
      <c r="A2" s="100"/>
      <c r="B2" s="100"/>
      <c r="C2" s="100"/>
      <c r="D2" s="100"/>
      <c r="E2" s="166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8"/>
    </row>
    <row r="3" spans="1:16" ht="16.5" customHeight="1">
      <c r="A3" s="100"/>
      <c r="B3" s="100"/>
      <c r="C3" s="100"/>
      <c r="D3" s="100"/>
      <c r="E3" s="166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8"/>
    </row>
    <row r="4" spans="1:16" ht="16.5" customHeight="1">
      <c r="A4" s="100" t="s">
        <v>16</v>
      </c>
      <c r="B4" s="100"/>
      <c r="C4" s="172"/>
      <c r="D4" s="173"/>
      <c r="E4" s="169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1"/>
    </row>
    <row r="5" spans="1:16">
      <c r="A5" s="100" t="s">
        <v>25</v>
      </c>
      <c r="B5" s="100"/>
      <c r="C5" s="100"/>
      <c r="D5" s="100"/>
      <c r="E5" s="6" t="s">
        <v>31</v>
      </c>
      <c r="F5" s="100"/>
      <c r="G5" s="100"/>
      <c r="H5" s="100" t="s">
        <v>53</v>
      </c>
      <c r="I5" s="100"/>
      <c r="J5" s="100"/>
      <c r="K5" s="100" t="s">
        <v>49</v>
      </c>
      <c r="L5" s="100"/>
      <c r="M5" s="100"/>
      <c r="N5" s="174" t="str">
        <f>'1. 소켓인수검사'!R2</f>
        <v>26.07.16 엘티엔지니어링_코오롱글로벌_신동양기업_대한항공 운북 신 엔진정비공장 건립공사</v>
      </c>
      <c r="O5" s="174"/>
      <c r="P5" s="174"/>
    </row>
    <row r="6" spans="1:16">
      <c r="A6" s="100"/>
      <c r="B6" s="100"/>
      <c r="C6" s="100"/>
      <c r="D6" s="100"/>
      <c r="E6" s="6" t="s">
        <v>28</v>
      </c>
      <c r="F6" s="100"/>
      <c r="G6" s="100"/>
      <c r="H6" s="100"/>
      <c r="I6" s="100"/>
      <c r="J6" s="100"/>
      <c r="K6" s="100"/>
      <c r="L6" s="100"/>
      <c r="M6" s="100"/>
      <c r="N6" s="174"/>
      <c r="O6" s="174"/>
      <c r="P6" s="174"/>
    </row>
    <row r="7" spans="1:16" ht="8.1" customHeight="1">
      <c r="A7" s="142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</row>
    <row r="8" spans="1:16">
      <c r="A8" s="175" t="s">
        <v>50</v>
      </c>
      <c r="B8" s="177" t="s">
        <v>4</v>
      </c>
      <c r="C8" s="177"/>
      <c r="D8" s="177" t="s">
        <v>27</v>
      </c>
      <c r="E8" s="177" t="s">
        <v>23</v>
      </c>
      <c r="F8" s="177" t="s">
        <v>54</v>
      </c>
      <c r="G8" s="177" t="s">
        <v>26</v>
      </c>
      <c r="H8" s="177"/>
      <c r="I8" s="177"/>
      <c r="J8" s="177"/>
      <c r="K8" s="177"/>
      <c r="L8" s="177"/>
      <c r="M8" s="177"/>
      <c r="N8" s="177"/>
      <c r="O8" s="177"/>
      <c r="P8" s="179" t="s">
        <v>2</v>
      </c>
    </row>
    <row r="9" spans="1:16" ht="16.5" customHeight="1">
      <c r="A9" s="176"/>
      <c r="B9" s="178" t="s">
        <v>57</v>
      </c>
      <c r="C9" s="178" t="s">
        <v>55</v>
      </c>
      <c r="D9" s="178"/>
      <c r="E9" s="178"/>
      <c r="F9" s="178"/>
      <c r="G9" s="178" t="s">
        <v>51</v>
      </c>
      <c r="H9" s="178" t="s">
        <v>57</v>
      </c>
      <c r="I9" s="178"/>
      <c r="J9" s="178" t="s">
        <v>10</v>
      </c>
      <c r="K9" s="178" t="s">
        <v>55</v>
      </c>
      <c r="L9" s="178"/>
      <c r="M9" s="178"/>
      <c r="N9" s="178"/>
      <c r="O9" s="178" t="s">
        <v>10</v>
      </c>
      <c r="P9" s="180"/>
    </row>
    <row r="10" spans="1:16">
      <c r="A10" s="176"/>
      <c r="B10" s="178"/>
      <c r="C10" s="178"/>
      <c r="D10" s="178"/>
      <c r="E10" s="178"/>
      <c r="F10" s="178"/>
      <c r="G10" s="178"/>
      <c r="H10" s="23" t="s">
        <v>4</v>
      </c>
      <c r="I10" s="23" t="s">
        <v>30</v>
      </c>
      <c r="J10" s="178"/>
      <c r="K10" s="178" t="s">
        <v>4</v>
      </c>
      <c r="L10" s="178"/>
      <c r="M10" s="178"/>
      <c r="N10" s="23" t="s">
        <v>30</v>
      </c>
      <c r="O10" s="178"/>
      <c r="P10" s="180"/>
    </row>
    <row r="11" spans="1:16">
      <c r="A11" s="22" t="str">
        <f>'1. 소켓인수검사'!A9</f>
        <v>01</v>
      </c>
      <c r="B11" s="24">
        <f>'1. 소켓인수검사'!C9</f>
        <v>400</v>
      </c>
      <c r="C11" s="24">
        <f>'1. 소켓인수검사'!D9</f>
        <v>400</v>
      </c>
      <c r="D11" s="25">
        <v>1</v>
      </c>
      <c r="E11" s="26"/>
      <c r="F11" s="25">
        <v>1.6</v>
      </c>
      <c r="G11" s="25"/>
      <c r="H11" s="25">
        <f>B11-1</f>
        <v>399</v>
      </c>
      <c r="I11" s="25">
        <f t="shared" ref="I11" si="0">D11*4</f>
        <v>4</v>
      </c>
      <c r="J11" s="25"/>
      <c r="K11" s="181">
        <f t="shared" ref="K11" si="1">C11-30</f>
        <v>370</v>
      </c>
      <c r="L11" s="181"/>
      <c r="M11" s="181"/>
      <c r="N11" s="25">
        <f t="shared" ref="N11" si="2">D11*4</f>
        <v>4</v>
      </c>
      <c r="O11" s="25"/>
      <c r="P11" s="27"/>
    </row>
    <row r="12" spans="1:16" ht="8.1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</row>
    <row r="13" spans="1:16">
      <c r="A13" s="182" t="s">
        <v>43</v>
      </c>
      <c r="B13" s="182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182"/>
      <c r="B14" s="182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  <row r="15" spans="1:16">
      <c r="A15" s="182"/>
      <c r="B15" s="182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</row>
    <row r="16" spans="1:16">
      <c r="A16" s="182"/>
      <c r="B16" s="182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</row>
  </sheetData>
  <mergeCells count="32">
    <mergeCell ref="A12:P12"/>
    <mergeCell ref="A13:B16"/>
    <mergeCell ref="C13:P16"/>
    <mergeCell ref="K11:M11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0"/>
  <sheetViews>
    <sheetView zoomScaleNormal="100" zoomScaleSheetLayoutView="100" workbookViewId="0">
      <pane ySplit="9" topLeftCell="A10" activePane="bottomLeft" state="frozen"/>
      <selection pane="bottomLeft" activeCell="A17" sqref="A17:B2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00"/>
      <c r="B1" s="100"/>
      <c r="C1" s="100"/>
      <c r="D1" s="184" t="s">
        <v>41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  <c r="R1" s="186"/>
      <c r="S1" s="14"/>
    </row>
    <row r="2" spans="1:19">
      <c r="A2" s="100"/>
      <c r="B2" s="100"/>
      <c r="C2" s="100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5"/>
      <c r="R2" s="187"/>
      <c r="S2" s="188"/>
    </row>
    <row r="3" spans="1:19" ht="24" customHeight="1">
      <c r="A3" s="100"/>
      <c r="B3" s="100"/>
      <c r="C3" s="100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5"/>
      <c r="R3" s="187"/>
      <c r="S3" s="188"/>
    </row>
    <row r="4" spans="1:19">
      <c r="A4" s="100" t="s">
        <v>16</v>
      </c>
      <c r="B4" s="100"/>
      <c r="C4" s="1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5"/>
      <c r="R4" s="187"/>
      <c r="S4" s="188"/>
    </row>
    <row r="5" spans="1:19">
      <c r="A5" s="100" t="s">
        <v>25</v>
      </c>
      <c r="B5" s="100"/>
      <c r="C5" s="100"/>
      <c r="D5" s="2" t="s">
        <v>31</v>
      </c>
      <c r="E5" s="189"/>
      <c r="F5" s="190"/>
      <c r="G5" s="191" t="s">
        <v>53</v>
      </c>
      <c r="H5" s="91"/>
      <c r="I5" s="92"/>
      <c r="J5" s="92"/>
      <c r="K5" s="93"/>
      <c r="L5" s="191" t="s">
        <v>20</v>
      </c>
      <c r="M5" s="49"/>
      <c r="N5" s="49"/>
      <c r="O5" s="191" t="s">
        <v>20</v>
      </c>
      <c r="P5" s="193" t="str">
        <f>'1. 소켓인수검사'!R2</f>
        <v>26.07.16 엘티엔지니어링_코오롱글로벌_신동양기업_대한항공 운북 신 엔진정비공장 건립공사</v>
      </c>
      <c r="Q5" s="194"/>
      <c r="R5" s="194"/>
      <c r="S5" s="195"/>
    </row>
    <row r="6" spans="1:19">
      <c r="A6" s="100"/>
      <c r="B6" s="100"/>
      <c r="C6" s="100"/>
      <c r="D6" s="2" t="s">
        <v>28</v>
      </c>
      <c r="E6" s="189"/>
      <c r="F6" s="190"/>
      <c r="G6" s="192"/>
      <c r="H6" s="97"/>
      <c r="I6" s="98"/>
      <c r="J6" s="98"/>
      <c r="K6" s="99"/>
      <c r="L6" s="192"/>
      <c r="M6" s="50"/>
      <c r="N6" s="50"/>
      <c r="O6" s="192"/>
      <c r="P6" s="196"/>
      <c r="Q6" s="197"/>
      <c r="R6" s="197"/>
      <c r="S6" s="198"/>
    </row>
    <row r="7" spans="1:19" ht="8.1" customHeight="1">
      <c r="A7" s="97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9"/>
    </row>
    <row r="8" spans="1:19" ht="16.5" customHeight="1">
      <c r="A8" s="101" t="s">
        <v>50</v>
      </c>
      <c r="B8" s="105" t="s">
        <v>57</v>
      </c>
      <c r="C8" s="105" t="s">
        <v>55</v>
      </c>
      <c r="D8" s="105" t="s">
        <v>60</v>
      </c>
      <c r="E8" s="105" t="s">
        <v>45</v>
      </c>
      <c r="F8" s="105" t="s">
        <v>52</v>
      </c>
      <c r="G8" s="105" t="s">
        <v>22</v>
      </c>
      <c r="H8" s="105"/>
      <c r="I8" s="105"/>
      <c r="J8" s="105" t="s">
        <v>0</v>
      </c>
      <c r="K8" s="105"/>
      <c r="L8" s="105"/>
      <c r="M8" s="105" t="s">
        <v>0</v>
      </c>
      <c r="N8" s="105"/>
      <c r="O8" s="105"/>
      <c r="P8" s="105" t="s">
        <v>0</v>
      </c>
      <c r="Q8" s="105"/>
      <c r="R8" s="105"/>
      <c r="S8" s="199"/>
    </row>
    <row r="9" spans="1:19" ht="33" customHeight="1">
      <c r="A9" s="102"/>
      <c r="B9" s="106"/>
      <c r="C9" s="106"/>
      <c r="D9" s="106"/>
      <c r="E9" s="106"/>
      <c r="F9" s="106"/>
      <c r="G9" s="52" t="s">
        <v>32</v>
      </c>
      <c r="H9" s="52" t="s">
        <v>48</v>
      </c>
      <c r="I9" s="52" t="s">
        <v>47</v>
      </c>
      <c r="J9" s="52" t="s">
        <v>18</v>
      </c>
      <c r="K9" s="52" t="s">
        <v>48</v>
      </c>
      <c r="L9" s="52" t="s">
        <v>47</v>
      </c>
      <c r="M9" s="52" t="s">
        <v>24</v>
      </c>
      <c r="N9" s="52" t="s">
        <v>48</v>
      </c>
      <c r="O9" s="52" t="s">
        <v>47</v>
      </c>
      <c r="P9" s="52" t="s">
        <v>21</v>
      </c>
      <c r="Q9" s="52" t="s">
        <v>48</v>
      </c>
      <c r="R9" s="106" t="s">
        <v>47</v>
      </c>
      <c r="S9" s="200"/>
    </row>
    <row r="10" spans="1:19">
      <c r="A10" s="44" t="str">
        <f>'1. 소켓인수검사'!A9</f>
        <v>01</v>
      </c>
      <c r="B10" s="30">
        <f>'1. 소켓인수검사'!C9</f>
        <v>400</v>
      </c>
      <c r="C10" s="30">
        <f>'1. 소켓인수검사'!D9</f>
        <v>400</v>
      </c>
      <c r="D10" s="45" t="s">
        <v>15</v>
      </c>
      <c r="E10" s="47">
        <f>B10*C10/1000000</f>
        <v>0.16</v>
      </c>
      <c r="F10" s="47">
        <f>(B10+C10)*2/1000</f>
        <v>1.6</v>
      </c>
      <c r="G10" s="24">
        <f>(F10+0.4)</f>
        <v>2</v>
      </c>
      <c r="H10" s="24">
        <v>4</v>
      </c>
      <c r="I10" s="48">
        <f>G10*H10</f>
        <v>8</v>
      </c>
      <c r="J10" s="24"/>
      <c r="K10" s="24"/>
      <c r="L10" s="24"/>
      <c r="M10" s="24"/>
      <c r="N10" s="24"/>
      <c r="O10" s="24"/>
      <c r="P10" s="24"/>
      <c r="Q10" s="24"/>
      <c r="R10" s="201"/>
      <c r="S10" s="202"/>
    </row>
    <row r="11" spans="1:19">
      <c r="A11" s="203" t="s">
        <v>3</v>
      </c>
      <c r="B11" s="204"/>
      <c r="C11" s="204"/>
      <c r="D11" s="204"/>
      <c r="E11" s="204"/>
      <c r="F11" s="205"/>
      <c r="G11" s="28"/>
      <c r="H11" s="38"/>
      <c r="I11" s="56">
        <f>SUM(I10:I10)</f>
        <v>8</v>
      </c>
      <c r="J11" s="28"/>
      <c r="K11" s="28"/>
      <c r="L11" s="56">
        <f>SUM(L10:L10)</f>
        <v>0</v>
      </c>
      <c r="M11" s="28"/>
      <c r="N11" s="28"/>
      <c r="O11" s="56">
        <f>SUM(O10:O10)</f>
        <v>0</v>
      </c>
      <c r="P11" s="28"/>
      <c r="Q11" s="28"/>
      <c r="R11" s="206">
        <f>SUM(R10:S10)</f>
        <v>0</v>
      </c>
      <c r="S11" s="207"/>
    </row>
    <row r="12" spans="1:19" ht="17.25" customHeight="1">
      <c r="A12" s="210" t="s">
        <v>13</v>
      </c>
      <c r="B12" s="211"/>
      <c r="C12" s="211"/>
      <c r="D12" s="211"/>
      <c r="E12" s="211"/>
      <c r="F12" s="212"/>
      <c r="G12" s="213">
        <f>I11/20</f>
        <v>0.4</v>
      </c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5"/>
    </row>
    <row r="13" spans="1:19">
      <c r="A13" s="210" t="s">
        <v>12</v>
      </c>
      <c r="B13" s="211"/>
      <c r="C13" s="211"/>
      <c r="D13" s="211"/>
      <c r="E13" s="211"/>
      <c r="F13" s="212"/>
      <c r="G13" s="213">
        <f>L11/3.6</f>
        <v>0</v>
      </c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5"/>
    </row>
    <row r="14" spans="1:19">
      <c r="A14" s="216" t="s">
        <v>67</v>
      </c>
      <c r="B14" s="211"/>
      <c r="C14" s="211"/>
      <c r="D14" s="211"/>
      <c r="E14" s="211"/>
      <c r="F14" s="212"/>
      <c r="G14" s="213">
        <f>O11/7.4</f>
        <v>0</v>
      </c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5"/>
    </row>
    <row r="15" spans="1:19">
      <c r="A15" s="210" t="s">
        <v>14</v>
      </c>
      <c r="B15" s="211"/>
      <c r="C15" s="211"/>
      <c r="D15" s="211"/>
      <c r="E15" s="211"/>
      <c r="F15" s="212"/>
      <c r="G15" s="213">
        <f>R11/3.6</f>
        <v>0</v>
      </c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5"/>
    </row>
    <row r="16" spans="1:19" ht="8.1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</row>
    <row r="17" spans="1:19">
      <c r="A17" s="217" t="s">
        <v>43</v>
      </c>
      <c r="B17" s="217"/>
      <c r="C17" s="208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</row>
    <row r="18" spans="1:19">
      <c r="A18" s="217"/>
      <c r="B18" s="217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</row>
    <row r="19" spans="1:19">
      <c r="A19" s="217"/>
      <c r="B19" s="217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</row>
    <row r="20" spans="1:19">
      <c r="A20" s="217"/>
      <c r="B20" s="217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</row>
  </sheetData>
  <mergeCells count="40">
    <mergeCell ref="A17:B20"/>
    <mergeCell ref="C17:S20"/>
    <mergeCell ref="A12:F12"/>
    <mergeCell ref="G12:S12"/>
    <mergeCell ref="A13:F13"/>
    <mergeCell ref="G13:S13"/>
    <mergeCell ref="A14:F14"/>
    <mergeCell ref="G14:S14"/>
    <mergeCell ref="A15:F15"/>
    <mergeCell ref="G15:S15"/>
    <mergeCell ref="A16:S16"/>
    <mergeCell ref="A11:F11"/>
    <mergeCell ref="R11:S11"/>
    <mergeCell ref="R10:S10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:C3"/>
    <mergeCell ref="D1:Q4"/>
    <mergeCell ref="R1:R4"/>
    <mergeCell ref="S2:S4"/>
    <mergeCell ref="A4:B4"/>
    <mergeCell ref="A5:B6"/>
    <mergeCell ref="C5:C6"/>
    <mergeCell ref="E5:F5"/>
    <mergeCell ref="G5:G6"/>
    <mergeCell ref="H5:K6"/>
    <mergeCell ref="L5:L6"/>
    <mergeCell ref="O5:O6"/>
    <mergeCell ref="P5:S6"/>
    <mergeCell ref="E6:F6"/>
  </mergeCells>
  <phoneticPr fontId="21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5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10" sqref="A10:C15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00"/>
      <c r="B1" s="100"/>
      <c r="C1" s="100"/>
      <c r="D1" s="100"/>
      <c r="E1" s="66" t="s">
        <v>6</v>
      </c>
      <c r="F1" s="82" t="s">
        <v>64</v>
      </c>
      <c r="G1" s="82"/>
      <c r="H1" s="82"/>
      <c r="I1" s="82"/>
      <c r="J1" s="82"/>
      <c r="K1" s="85" t="str">
        <f>'1. 소켓인수검사'!R2</f>
        <v>26.07.16 엘티엔지니어링_코오롱글로벌_신동양기업_대한항공 운북 신 엔진정비공장 건립공사</v>
      </c>
      <c r="L1" s="85"/>
      <c r="M1" s="85"/>
      <c r="N1" s="85"/>
      <c r="O1" s="85"/>
      <c r="P1" s="85"/>
      <c r="Q1" s="85"/>
      <c r="R1" s="85"/>
      <c r="S1" s="85"/>
      <c r="T1" s="85"/>
      <c r="U1" s="86"/>
    </row>
    <row r="2" spans="1:21" ht="16.5" customHeight="1">
      <c r="A2" s="100"/>
      <c r="B2" s="100"/>
      <c r="C2" s="100"/>
      <c r="D2" s="100"/>
      <c r="E2" s="65"/>
      <c r="F2" s="83"/>
      <c r="G2" s="83"/>
      <c r="H2" s="83"/>
      <c r="I2" s="83"/>
      <c r="J2" s="83"/>
      <c r="K2" s="87"/>
      <c r="L2" s="87"/>
      <c r="M2" s="87"/>
      <c r="N2" s="87"/>
      <c r="O2" s="87"/>
      <c r="P2" s="87"/>
      <c r="Q2" s="87"/>
      <c r="R2" s="87"/>
      <c r="S2" s="87"/>
      <c r="T2" s="87"/>
      <c r="U2" s="88"/>
    </row>
    <row r="3" spans="1:21" ht="24" customHeight="1">
      <c r="A3" s="100"/>
      <c r="B3" s="100"/>
      <c r="C3" s="100"/>
      <c r="D3" s="100"/>
      <c r="E3" s="67"/>
      <c r="F3" s="84"/>
      <c r="G3" s="84"/>
      <c r="H3" s="84"/>
      <c r="I3" s="84"/>
      <c r="J3" s="84"/>
      <c r="K3" s="89"/>
      <c r="L3" s="89"/>
      <c r="M3" s="89"/>
      <c r="N3" s="89"/>
      <c r="O3" s="89"/>
      <c r="P3" s="89"/>
      <c r="Q3" s="89"/>
      <c r="R3" s="89"/>
      <c r="S3" s="89"/>
      <c r="T3" s="89"/>
      <c r="U3" s="90"/>
    </row>
    <row r="4" spans="1:21" ht="8.1" customHeight="1">
      <c r="A4" s="97"/>
      <c r="B4" s="98"/>
      <c r="C4" s="98"/>
      <c r="D4" s="98"/>
      <c r="E4" s="98"/>
      <c r="F4" s="98"/>
      <c r="G4" s="98"/>
      <c r="H4" s="97"/>
      <c r="I4" s="98"/>
      <c r="J4" s="98"/>
      <c r="K4" s="98"/>
      <c r="L4" s="98"/>
      <c r="M4" s="98"/>
      <c r="N4" s="98"/>
      <c r="O4" s="98"/>
      <c r="P4" s="98"/>
      <c r="Q4" s="3"/>
      <c r="S4" s="3"/>
      <c r="T4" s="3"/>
      <c r="U4" s="3"/>
    </row>
    <row r="5" spans="1:21" ht="16.5" customHeight="1">
      <c r="A5" s="101" t="s">
        <v>50</v>
      </c>
      <c r="B5" s="103" t="s">
        <v>35</v>
      </c>
      <c r="C5" s="105" t="s">
        <v>57</v>
      </c>
      <c r="D5" s="105" t="s">
        <v>55</v>
      </c>
      <c r="E5" s="105" t="s">
        <v>23</v>
      </c>
      <c r="F5" s="105" t="s">
        <v>45</v>
      </c>
      <c r="G5" s="105" t="s">
        <v>52</v>
      </c>
      <c r="H5" s="105" t="s">
        <v>38</v>
      </c>
      <c r="I5" s="105" t="s">
        <v>22</v>
      </c>
      <c r="J5" s="105"/>
      <c r="K5" s="105" t="s">
        <v>0</v>
      </c>
      <c r="L5" s="105"/>
      <c r="M5" s="105" t="s">
        <v>0</v>
      </c>
      <c r="N5" s="105"/>
      <c r="O5" s="105" t="s">
        <v>0</v>
      </c>
      <c r="P5" s="105"/>
      <c r="Q5" s="107" t="s">
        <v>44</v>
      </c>
      <c r="R5" s="107"/>
      <c r="S5" s="108" t="s">
        <v>29</v>
      </c>
      <c r="T5" s="108" t="s">
        <v>49</v>
      </c>
      <c r="U5" s="1" t="s">
        <v>17</v>
      </c>
    </row>
    <row r="6" spans="1:21" ht="26.45" customHeight="1">
      <c r="A6" s="102"/>
      <c r="B6" s="104"/>
      <c r="C6" s="106"/>
      <c r="D6" s="106"/>
      <c r="E6" s="106"/>
      <c r="F6" s="106"/>
      <c r="G6" s="106"/>
      <c r="H6" s="106"/>
      <c r="I6" s="52" t="s">
        <v>7</v>
      </c>
      <c r="J6" s="29" t="s">
        <v>48</v>
      </c>
      <c r="K6" s="52" t="s">
        <v>65</v>
      </c>
      <c r="L6" s="29" t="s">
        <v>48</v>
      </c>
      <c r="M6" s="52" t="s">
        <v>34</v>
      </c>
      <c r="N6" s="29" t="s">
        <v>48</v>
      </c>
      <c r="O6" s="52" t="s">
        <v>36</v>
      </c>
      <c r="P6" s="29" t="s">
        <v>48</v>
      </c>
      <c r="Q6" s="52" t="s">
        <v>46</v>
      </c>
      <c r="R6" s="29" t="s">
        <v>58</v>
      </c>
      <c r="S6" s="109"/>
      <c r="T6" s="109"/>
      <c r="U6" s="79"/>
    </row>
    <row r="7" spans="1:21">
      <c r="A7" s="44" t="str">
        <f>'1. 소켓인수검사'!A9</f>
        <v>01</v>
      </c>
      <c r="B7" s="53" t="s">
        <v>39</v>
      </c>
      <c r="C7" s="30">
        <f>'1. 소켓인수검사'!C9</f>
        <v>400</v>
      </c>
      <c r="D7" s="30">
        <f>'1. 소켓인수검사'!D9</f>
        <v>400</v>
      </c>
      <c r="E7" s="31"/>
      <c r="F7" s="32">
        <f>C7*D7/1000000</f>
        <v>0.16</v>
      </c>
      <c r="G7" s="32">
        <f>(C7+D7)*2/1000</f>
        <v>1.6</v>
      </c>
      <c r="H7" s="37">
        <v>3</v>
      </c>
      <c r="I7" s="52">
        <f>(G7+0.4)</f>
        <v>2</v>
      </c>
      <c r="J7" s="29">
        <v>8</v>
      </c>
      <c r="K7" s="24"/>
      <c r="L7" s="29"/>
      <c r="M7" s="24"/>
      <c r="N7" s="29"/>
      <c r="O7" s="24"/>
      <c r="P7" s="29"/>
      <c r="Q7" s="33">
        <f>(((C7+60)+250+(D7+60))*2/1000)*2</f>
        <v>4.68</v>
      </c>
      <c r="R7" s="78">
        <f>Q7*2</f>
        <v>9.36</v>
      </c>
      <c r="S7" s="34" t="s">
        <v>8</v>
      </c>
      <c r="T7" s="35" t="s">
        <v>11</v>
      </c>
      <c r="U7" s="36" t="str">
        <f>'1. 소켓인수검사'!G9</f>
        <v>지하1층 PS-14</v>
      </c>
    </row>
    <row r="8" spans="1:21">
      <c r="A8" s="80" t="s">
        <v>5</v>
      </c>
      <c r="B8" s="81"/>
      <c r="C8" s="81"/>
      <c r="D8" s="51"/>
      <c r="E8" s="40"/>
      <c r="F8" s="40"/>
      <c r="G8" s="40"/>
      <c r="H8" s="39">
        <f>SUM(H7:H7)</f>
        <v>3</v>
      </c>
      <c r="I8" s="57"/>
      <c r="J8" s="39">
        <f>SUM(J7:J7)</f>
        <v>8</v>
      </c>
      <c r="K8" s="57"/>
      <c r="L8" s="39">
        <f>SUM(L7:L7)</f>
        <v>0</v>
      </c>
      <c r="M8" s="57"/>
      <c r="N8" s="39">
        <f>SUM(N7:N7)</f>
        <v>0</v>
      </c>
      <c r="O8" s="57"/>
      <c r="P8" s="39">
        <f>SUM(P7:P7)</f>
        <v>0</v>
      </c>
      <c r="Q8" s="57">
        <f>SUM(Q7:Q7)</f>
        <v>4.68</v>
      </c>
      <c r="R8" s="39">
        <f>SUM(R7:R7)</f>
        <v>9.36</v>
      </c>
      <c r="S8" s="54"/>
      <c r="T8" s="54"/>
      <c r="U8" s="55"/>
    </row>
    <row r="9" spans="1:21" ht="8.1" customHeight="1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4"/>
    </row>
    <row r="10" spans="1:21">
      <c r="A10" s="217" t="s">
        <v>43</v>
      </c>
      <c r="B10" s="217"/>
      <c r="C10" s="217"/>
      <c r="D10" s="91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3"/>
    </row>
    <row r="11" spans="1:21">
      <c r="A11" s="217"/>
      <c r="B11" s="217"/>
      <c r="C11" s="217"/>
      <c r="D11" s="94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6"/>
    </row>
    <row r="12" spans="1:21">
      <c r="A12" s="217"/>
      <c r="B12" s="217"/>
      <c r="C12" s="217"/>
      <c r="D12" s="94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6"/>
    </row>
    <row r="13" spans="1:21">
      <c r="A13" s="217"/>
      <c r="B13" s="217"/>
      <c r="C13" s="217"/>
      <c r="D13" s="94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6"/>
    </row>
    <row r="14" spans="1:21">
      <c r="A14" s="217"/>
      <c r="B14" s="217"/>
      <c r="C14" s="217"/>
      <c r="D14" s="94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6"/>
    </row>
    <row r="15" spans="1:21">
      <c r="A15" s="217"/>
      <c r="B15" s="217"/>
      <c r="C15" s="217"/>
      <c r="D15" s="97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9"/>
    </row>
  </sheetData>
  <mergeCells count="24">
    <mergeCell ref="A9:P9"/>
    <mergeCell ref="A10:C15"/>
    <mergeCell ref="Q5:R5"/>
    <mergeCell ref="S5:S6"/>
    <mergeCell ref="T5:T6"/>
    <mergeCell ref="K5:L5"/>
    <mergeCell ref="O5:P5"/>
    <mergeCell ref="M5:N5"/>
    <mergeCell ref="U5:U6"/>
    <mergeCell ref="A8:C8"/>
    <mergeCell ref="F1:J3"/>
    <mergeCell ref="K1:U3"/>
    <mergeCell ref="D10:U15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1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58"/>
  </cols>
  <sheetData/>
  <phoneticPr fontId="2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2026-07-20T00:10:00Z</dcterms:modified>
  <cp:version>1200.0100.01</cp:version>
</cp:coreProperties>
</file>