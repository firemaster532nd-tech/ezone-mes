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7F2253AC-907E-4F39-8C6A-099C7DFFE6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소켓인수검사'!$A$1:$P$16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15" i="12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I12" i="12" s="1"/>
  <c r="C12" i="12"/>
  <c r="D11" i="12"/>
  <c r="C11" i="12"/>
  <c r="G11" i="12" s="1"/>
  <c r="D10" i="12"/>
  <c r="I10" i="12" s="1"/>
  <c r="C10" i="12"/>
  <c r="G10" i="12" s="1"/>
  <c r="D9" i="12"/>
  <c r="M9" i="12" s="1"/>
  <c r="C9" i="12"/>
  <c r="G9" i="12" s="1"/>
  <c r="D8" i="12"/>
  <c r="C8" i="12"/>
  <c r="A15" i="12"/>
  <c r="A14" i="12"/>
  <c r="A13" i="12"/>
  <c r="A12" i="12"/>
  <c r="A11" i="12"/>
  <c r="A10" i="12"/>
  <c r="A9" i="12"/>
  <c r="A8" i="12"/>
  <c r="J15" i="12"/>
  <c r="H15" i="12"/>
  <c r="G15" i="12"/>
  <c r="M15" i="12"/>
  <c r="K14" i="12"/>
  <c r="J14" i="12"/>
  <c r="H14" i="12"/>
  <c r="J13" i="12"/>
  <c r="H13" i="12"/>
  <c r="K13" i="12"/>
  <c r="J12" i="12"/>
  <c r="H12" i="12"/>
  <c r="M11" i="12"/>
  <c r="K11" i="12"/>
  <c r="J11" i="12"/>
  <c r="H11" i="12"/>
  <c r="I11" i="12"/>
  <c r="K10" i="12"/>
  <c r="J10" i="12"/>
  <c r="H10" i="12"/>
  <c r="J9" i="12"/>
  <c r="H9" i="12"/>
  <c r="J8" i="12"/>
  <c r="H8" i="12"/>
  <c r="M8" i="12"/>
  <c r="G1" i="2"/>
  <c r="D15" i="2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15" i="10"/>
  <c r="H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I15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K9" i="12" l="1"/>
  <c r="M12" i="12"/>
  <c r="M10" i="12"/>
  <c r="Q9" i="10"/>
  <c r="R9" i="10" s="1"/>
  <c r="M14" i="12"/>
  <c r="M13" i="12"/>
  <c r="I9" i="12"/>
  <c r="K8" i="12"/>
  <c r="G8" i="12"/>
  <c r="I15" i="12"/>
  <c r="K12" i="12"/>
  <c r="G12" i="12"/>
  <c r="I8" i="12"/>
  <c r="I14" i="2"/>
  <c r="G13" i="2"/>
  <c r="G13" i="10"/>
  <c r="I13" i="10" s="1"/>
  <c r="G9" i="2"/>
  <c r="Q7" i="10"/>
  <c r="R7" i="10" s="1"/>
  <c r="F14" i="9"/>
  <c r="G14" i="9" s="1"/>
  <c r="I14" i="9" s="1"/>
  <c r="I10" i="2"/>
  <c r="G11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R13" i="10" s="1"/>
  <c r="G9" i="10"/>
  <c r="I9" i="10" s="1"/>
  <c r="G7" i="10"/>
  <c r="I7" i="10" s="1"/>
  <c r="Q11" i="10"/>
  <c r="R11" i="10" s="1"/>
  <c r="N15" i="10"/>
  <c r="E17" i="9"/>
  <c r="E13" i="9"/>
  <c r="E16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F12" i="9"/>
  <c r="G12" i="9" s="1"/>
  <c r="I12" i="9" s="1"/>
  <c r="F16" i="9"/>
  <c r="G16" i="9" s="1"/>
  <c r="I16" i="9" s="1"/>
  <c r="E10" i="9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J15" i="10"/>
  <c r="L15" i="10"/>
  <c r="F7" i="10"/>
  <c r="F9" i="10"/>
  <c r="F11" i="10"/>
  <c r="F13" i="10"/>
  <c r="O18" i="9" l="1"/>
  <c r="G21" i="9" s="1"/>
  <c r="R15" i="10"/>
  <c r="Q15" i="10"/>
  <c r="I18" i="9" l="1"/>
  <c r="G19" i="9" s="1"/>
  <c r="R18" i="9"/>
  <c r="L18" i="9"/>
  <c r="G20" i="9" s="1"/>
  <c r="G2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<sst xmlns="http://schemas.openxmlformats.org/spreadsheetml/2006/main" count="217" uniqueCount="88">
  <si>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</si>
  <si>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</si>
  <si>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</si>
  <si>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</si>
  <si>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</si>
  <si>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</si>
  <si>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</si>
  <si>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</si>
  <si>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</si>
  <si>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</si>
  <si>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</si>
  <si>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</si>
  <si>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</si>
  <si>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</si>
  <si>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</si>
  <si>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</si>
  <si>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</si>
  <si>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</si>
  <si>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</si>
  <si>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</si>
  <si>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</si>
  <si>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</si>
  <si>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</si>
  <si>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</si>
  <si>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</si>
  <si>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</si>
  <si>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</si>
  <si>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</si>
  <si>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</si>
  <si>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</si>
  <si>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</si>
  <si>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</si>
  <si>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</si>
  <si>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</si>
  <si>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</si>
  <si>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</si>
  <si>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</si>
  <si>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</si>
  <si>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</si>
  <si>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</si>
  <si>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</si>
  <si>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</si>
  <si>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</si>
  <si>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</si>
  <si>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</si>
  <si>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</si>
  <si>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</si>
  <si>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</si>
  <si>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</si>
  <si>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</si>
  <si>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</si>
  <si>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</si>
  <si>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</si>
  <si>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</si>
  <si>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</si>
  <si>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</si>
  <si>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</si>
  <si>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</si>
  <si>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</si>
  <si>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</si>
  <si>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</si>
  <si>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</si>
  <si>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</si>
  <si>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</si>
  <si>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</si>
  <si>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</si>
  <si>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</si>
  <si>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</si>
  <si>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</si>
  <si>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</si>
  <si>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</si>
  <si>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</si>
  <si>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</si>
  <si>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</si>
  <si>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</si>
  <si>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</si>
  <si>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</si>
  <si>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</si>
  <si>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재단작업지시서차열재</t>
    <phoneticPr fontId="25" type="noConversion"/>
  </si>
  <si>
    <t>CU001</t>
    <phoneticPr fontId="25" type="noConversion"/>
  </si>
  <si>
    <t>CU002</t>
  </si>
  <si>
    <t>CU003</t>
  </si>
  <si>
    <t>CU004</t>
  </si>
  <si>
    <t>CU005</t>
  </si>
  <si>
    <t>CU006</t>
  </si>
  <si>
    <t>CU007</t>
  </si>
  <si>
    <t>CU008</t>
  </si>
  <si>
    <r>
      <t xml:space="preserve">26.07.01 </t>
    </r>
    <r>
      <rPr>
        <sz val="10"/>
        <color rgb="FF000000"/>
        <rFont val="맑은 고딕"/>
        <family val="3"/>
        <charset val="129"/>
      </rPr>
      <t>성운기업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홍항주택종합건설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밀양삼문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시그니처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웰가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신축공사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</si>
</sst>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3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0" fillId="0" borderId="24" xfId="0" applyFont="1" applyBorder="1" applyAlignment="1">
      <alignment horizontal="center" vertical="center" wrapText="1" shrinkToFit="1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2" fillId="7" borderId="18" xfId="4" applyFont="1" applyFill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78" fontId="24" fillId="0" borderId="18" xfId="2" applyNumberFormat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 wrapText="1" shrinkToFit="1"/>
    </xf>
    <xf numFmtId="0" fontId="31" fillId="0" borderId="11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1" fillId="0" borderId="25" xfId="0" applyFont="1" applyBorder="1" applyAlignment="1">
      <alignment horizontal="center" vertical="center" wrapText="1" shrinkToFit="1"/>
    </xf>
    <xf numFmtId="0" fontId="31" fillId="0" borderId="2" xfId="0" applyFont="1" applyBorder="1" applyAlignment="1">
      <alignment horizontal="center" vertical="center" wrapText="1" shrinkToFit="1"/>
    </xf>
    <xf numFmtId="0" fontId="31" fillId="0" borderId="29" xfId="0" applyFont="1" applyBorder="1" applyAlignment="1">
      <alignment horizontal="center" vertical="center" wrapText="1" shrinkToFi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17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6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05" t="s">
        <v>68</v>
      </c>
      <c r="B1" s="119"/>
      <c r="C1" s="119"/>
      <c r="D1" s="124" t="str">
        <f>R2</f>
        <v>26.07.01 성운기업_홍항주택종합건설_밀양삼문 시그니처 웰가 신축공사</v>
      </c>
      <c r="E1" s="124"/>
      <c r="F1" s="124"/>
      <c r="G1" s="125"/>
      <c r="R1" s="8" t="s">
        <v>63</v>
      </c>
    </row>
    <row r="2" spans="1:18" ht="16.5" customHeight="1">
      <c r="A2" s="120"/>
      <c r="B2" s="121"/>
      <c r="C2" s="121"/>
      <c r="D2" s="126"/>
      <c r="E2" s="126"/>
      <c r="F2" s="126"/>
      <c r="G2" s="127"/>
      <c r="R2" s="67" t="s">
        <v>87</v>
      </c>
    </row>
    <row r="3" spans="1:18" ht="16.5" customHeight="1">
      <c r="A3" s="120"/>
      <c r="B3" s="121"/>
      <c r="C3" s="121"/>
      <c r="D3" s="126"/>
      <c r="E3" s="126"/>
      <c r="F3" s="126"/>
      <c r="G3" s="127"/>
    </row>
    <row r="4" spans="1:18" ht="17.25" customHeight="1" thickBot="1">
      <c r="A4" s="122"/>
      <c r="B4" s="123"/>
      <c r="C4" s="123"/>
      <c r="D4" s="128"/>
      <c r="E4" s="128"/>
      <c r="F4" s="128"/>
      <c r="G4" s="129"/>
    </row>
    <row r="5" spans="1:18" ht="6.75" customHeight="1" thickTop="1">
      <c r="A5" s="68"/>
      <c r="B5" s="68"/>
      <c r="C5" s="68"/>
      <c r="D5" s="68"/>
      <c r="E5" s="68"/>
      <c r="F5" s="68"/>
      <c r="G5" s="68"/>
    </row>
    <row r="6" spans="1:18" s="10" customFormat="1" ht="18" customHeight="1" thickBot="1">
      <c r="A6" s="130" t="s">
        <v>1</v>
      </c>
      <c r="B6" s="132" t="s">
        <v>62</v>
      </c>
      <c r="C6" s="132" t="s">
        <v>4</v>
      </c>
      <c r="D6" s="132"/>
      <c r="E6" s="132" t="s">
        <v>42</v>
      </c>
      <c r="F6" s="132" t="s">
        <v>37</v>
      </c>
      <c r="G6" s="133" t="s">
        <v>17</v>
      </c>
      <c r="H6" s="9"/>
      <c r="I6" s="117" t="s">
        <v>9</v>
      </c>
      <c r="J6" s="117"/>
      <c r="K6" s="117"/>
      <c r="L6" s="117"/>
      <c r="M6" s="117"/>
      <c r="N6" s="117"/>
      <c r="O6" s="8"/>
    </row>
    <row r="7" spans="1:18" s="10" customFormat="1" ht="18" customHeight="1">
      <c r="A7" s="131"/>
      <c r="B7" s="118"/>
      <c r="C7" s="118" t="s">
        <v>59</v>
      </c>
      <c r="D7" s="118" t="s">
        <v>57</v>
      </c>
      <c r="E7" s="118"/>
      <c r="F7" s="118"/>
      <c r="G7" s="134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1"/>
      <c r="B8" s="118"/>
      <c r="C8" s="118"/>
      <c r="D8" s="118"/>
      <c r="E8" s="118"/>
      <c r="F8" s="118"/>
      <c r="G8" s="134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7" t="s">
        <v>70</v>
      </c>
      <c r="B9" s="49" t="s">
        <v>15</v>
      </c>
      <c r="C9" s="26">
        <v>390</v>
      </c>
      <c r="D9" s="26">
        <v>390</v>
      </c>
      <c r="E9" s="69"/>
      <c r="F9" s="69"/>
      <c r="G9" s="70"/>
      <c r="H9" s="13"/>
      <c r="I9" s="23"/>
      <c r="J9" s="21"/>
      <c r="K9" s="17"/>
      <c r="L9" s="18"/>
      <c r="M9" s="19"/>
      <c r="N9" s="21"/>
      <c r="O9" s="8"/>
      <c r="Q9" s="10" t="s">
        <v>79</v>
      </c>
    </row>
    <row r="10" spans="1:18" s="10" customFormat="1" ht="18" customHeight="1" thickBot="1">
      <c r="A10" s="77" t="s">
        <v>71</v>
      </c>
      <c r="B10" s="49" t="s">
        <v>15</v>
      </c>
      <c r="C10" s="26">
        <v>390</v>
      </c>
      <c r="D10" s="26">
        <v>390</v>
      </c>
      <c r="E10" s="54"/>
      <c r="F10" s="69"/>
      <c r="G10" s="70"/>
      <c r="H10" s="13"/>
      <c r="I10" s="23"/>
      <c r="J10" s="21"/>
      <c r="K10" s="17"/>
      <c r="L10" s="18"/>
      <c r="M10" s="19"/>
      <c r="N10" s="21"/>
      <c r="O10" s="8"/>
      <c r="Q10" s="10" t="s">
        <v>80</v>
      </c>
    </row>
    <row r="11" spans="1:18" s="10" customFormat="1" ht="18" customHeight="1" thickBot="1">
      <c r="A11" s="77" t="s">
        <v>72</v>
      </c>
      <c r="B11" s="49" t="s">
        <v>15</v>
      </c>
      <c r="C11" s="26">
        <v>390</v>
      </c>
      <c r="D11" s="26">
        <v>390</v>
      </c>
      <c r="E11" s="54"/>
      <c r="F11" s="69"/>
      <c r="G11" s="70"/>
      <c r="H11" s="13"/>
      <c r="I11" s="23"/>
      <c r="J11" s="21"/>
      <c r="K11" s="17"/>
      <c r="L11" s="18"/>
      <c r="M11" s="19"/>
      <c r="N11" s="21"/>
      <c r="O11" s="8"/>
      <c r="Q11" s="10" t="s">
        <v>81</v>
      </c>
    </row>
    <row r="12" spans="1:18" s="10" customFormat="1" ht="18" customHeight="1" thickBot="1">
      <c r="A12" s="77" t="s">
        <v>73</v>
      </c>
      <c r="B12" s="49" t="s">
        <v>15</v>
      </c>
      <c r="C12" s="26">
        <v>390</v>
      </c>
      <c r="D12" s="26">
        <v>390</v>
      </c>
      <c r="E12" s="54"/>
      <c r="F12" s="69"/>
      <c r="G12" s="70"/>
      <c r="H12" s="13"/>
      <c r="I12" s="23"/>
      <c r="J12" s="21"/>
      <c r="K12" s="17"/>
      <c r="L12" s="18"/>
      <c r="M12" s="19"/>
      <c r="N12" s="21"/>
      <c r="O12" s="8"/>
      <c r="Q12" s="10" t="s">
        <v>82</v>
      </c>
    </row>
    <row r="13" spans="1:18" s="10" customFormat="1" ht="18" customHeight="1" thickBot="1">
      <c r="A13" s="77" t="s">
        <v>74</v>
      </c>
      <c r="B13" s="49" t="s">
        <v>15</v>
      </c>
      <c r="C13" s="26">
        <v>390</v>
      </c>
      <c r="D13" s="26">
        <v>390</v>
      </c>
      <c r="E13" s="54"/>
      <c r="F13" s="69"/>
      <c r="G13" s="70"/>
      <c r="H13" s="13"/>
      <c r="I13" s="12"/>
      <c r="J13" s="12"/>
      <c r="K13" s="17"/>
      <c r="L13" s="18"/>
      <c r="M13" s="19"/>
      <c r="N13" s="12"/>
      <c r="O13" s="8"/>
      <c r="Q13" s="10" t="s">
        <v>83</v>
      </c>
    </row>
    <row r="14" spans="1:18" s="10" customFormat="1" ht="18" customHeight="1" thickBot="1">
      <c r="A14" s="77" t="s">
        <v>75</v>
      </c>
      <c r="B14" s="49" t="s">
        <v>15</v>
      </c>
      <c r="C14" s="26">
        <v>390</v>
      </c>
      <c r="D14" s="26">
        <v>390</v>
      </c>
      <c r="E14" s="54"/>
      <c r="F14" s="69"/>
      <c r="G14" s="70"/>
      <c r="H14" s="13"/>
      <c r="I14" s="23"/>
      <c r="J14" s="21"/>
      <c r="K14" s="17"/>
      <c r="L14" s="18"/>
      <c r="M14" s="19"/>
      <c r="N14" s="21"/>
      <c r="O14" s="8"/>
      <c r="Q14" s="10" t="s">
        <v>84</v>
      </c>
    </row>
    <row r="15" spans="1:18" s="10" customFormat="1" ht="18" customHeight="1" thickBot="1">
      <c r="A15" s="77" t="s">
        <v>76</v>
      </c>
      <c r="B15" s="49" t="s">
        <v>15</v>
      </c>
      <c r="C15" s="26">
        <v>390</v>
      </c>
      <c r="D15" s="26">
        <v>390</v>
      </c>
      <c r="E15" s="54"/>
      <c r="F15" s="69"/>
      <c r="G15" s="70"/>
      <c r="H15" s="13"/>
      <c r="I15" s="22"/>
      <c r="J15" s="20"/>
      <c r="K15" s="17"/>
      <c r="L15" s="18"/>
      <c r="M15" s="19"/>
      <c r="N15" s="20"/>
      <c r="O15" s="8"/>
      <c r="Q15" s="10" t="s">
        <v>85</v>
      </c>
    </row>
    <row r="16" spans="1:18" s="10" customFormat="1" ht="18" customHeight="1">
      <c r="A16" s="77" t="s">
        <v>77</v>
      </c>
      <c r="B16" s="49" t="s">
        <v>15</v>
      </c>
      <c r="C16" s="26">
        <v>390</v>
      </c>
      <c r="D16" s="26">
        <v>390</v>
      </c>
      <c r="E16" s="54"/>
      <c r="F16" s="69"/>
      <c r="G16" s="70"/>
      <c r="H16" s="13"/>
      <c r="I16" s="23"/>
      <c r="J16" s="21"/>
      <c r="K16" s="17"/>
      <c r="L16" s="18"/>
      <c r="M16" s="19"/>
      <c r="N16" s="21"/>
      <c r="O16" s="8"/>
      <c r="Q16" s="10" t="s">
        <v>86</v>
      </c>
    </row>
  </sheetData>
  <mergeCells count="11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9"/>
  <sheetViews>
    <sheetView zoomScaleNormal="100" zoomScaleSheetLayoutView="100" workbookViewId="0">
      <selection activeCell="H29" sqref="H29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105"/>
      <c r="B1" s="105"/>
      <c r="C1" s="105"/>
      <c r="D1" s="105"/>
      <c r="E1" s="135" t="s">
        <v>64</v>
      </c>
      <c r="F1" s="136"/>
      <c r="G1" s="136"/>
      <c r="H1" s="136" t="str">
        <f>'1. 소켓인수검사'!R2</f>
        <v>26.07.01 성운기업_홍항주택종합건설_밀양삼문 시그니처 웰가 신축공사</v>
      </c>
      <c r="I1" s="136"/>
      <c r="J1" s="136"/>
      <c r="K1" s="136"/>
      <c r="L1" s="136"/>
      <c r="M1" s="136"/>
      <c r="N1" s="136"/>
      <c r="O1" s="141"/>
    </row>
    <row r="2" spans="1:15" ht="16.5" customHeight="1">
      <c r="A2" s="105"/>
      <c r="B2" s="105"/>
      <c r="C2" s="105"/>
      <c r="D2" s="105"/>
      <c r="E2" s="137"/>
      <c r="F2" s="138"/>
      <c r="G2" s="138"/>
      <c r="H2" s="138"/>
      <c r="I2" s="138"/>
      <c r="J2" s="138"/>
      <c r="K2" s="138"/>
      <c r="L2" s="138"/>
      <c r="M2" s="138"/>
      <c r="N2" s="138"/>
      <c r="O2" s="142"/>
    </row>
    <row r="3" spans="1:15" ht="16.5" customHeight="1">
      <c r="A3" s="105"/>
      <c r="B3" s="105"/>
      <c r="C3" s="105"/>
      <c r="D3" s="105"/>
      <c r="E3" s="139"/>
      <c r="F3" s="140"/>
      <c r="G3" s="140"/>
      <c r="H3" s="140"/>
      <c r="I3" s="140"/>
      <c r="J3" s="140"/>
      <c r="K3" s="140"/>
      <c r="L3" s="140"/>
      <c r="M3" s="140"/>
      <c r="N3" s="140"/>
      <c r="O3" s="143"/>
    </row>
    <row r="4" spans="1:15" ht="8.1" customHeight="1">
      <c r="A4" s="144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</row>
    <row r="5" spans="1:15" ht="26.45" customHeight="1">
      <c r="A5" s="145" t="s">
        <v>52</v>
      </c>
      <c r="B5" s="146" t="s">
        <v>62</v>
      </c>
      <c r="C5" s="149" t="s">
        <v>4</v>
      </c>
      <c r="D5" s="149"/>
      <c r="E5" s="149" t="s">
        <v>23</v>
      </c>
      <c r="F5" s="150" t="s">
        <v>50</v>
      </c>
      <c r="G5" s="153" t="s">
        <v>19</v>
      </c>
      <c r="H5" s="154"/>
      <c r="I5" s="154"/>
      <c r="J5" s="155"/>
      <c r="K5" s="153" t="s">
        <v>33</v>
      </c>
      <c r="L5" s="154"/>
      <c r="M5" s="154"/>
      <c r="N5" s="154"/>
      <c r="O5" s="150" t="s">
        <v>2</v>
      </c>
    </row>
    <row r="6" spans="1:15" ht="16.5" customHeight="1">
      <c r="A6" s="145"/>
      <c r="B6" s="147"/>
      <c r="C6" s="149" t="s">
        <v>59</v>
      </c>
      <c r="D6" s="149" t="s">
        <v>57</v>
      </c>
      <c r="E6" s="149"/>
      <c r="F6" s="151"/>
      <c r="G6" s="149" t="s">
        <v>59</v>
      </c>
      <c r="H6" s="149"/>
      <c r="I6" s="149" t="s">
        <v>57</v>
      </c>
      <c r="J6" s="149"/>
      <c r="K6" s="149" t="s">
        <v>61</v>
      </c>
      <c r="L6" s="149"/>
      <c r="M6" s="153" t="s">
        <v>58</v>
      </c>
      <c r="N6" s="154"/>
      <c r="O6" s="151"/>
    </row>
    <row r="7" spans="1:15">
      <c r="A7" s="145"/>
      <c r="B7" s="148"/>
      <c r="C7" s="149"/>
      <c r="D7" s="149"/>
      <c r="E7" s="149"/>
      <c r="F7" s="152"/>
      <c r="G7" s="78" t="s">
        <v>4</v>
      </c>
      <c r="H7" s="78" t="s">
        <v>30</v>
      </c>
      <c r="I7" s="81" t="s">
        <v>4</v>
      </c>
      <c r="J7" s="80" t="s">
        <v>30</v>
      </c>
      <c r="K7" s="78" t="s">
        <v>4</v>
      </c>
      <c r="L7" s="78" t="s">
        <v>50</v>
      </c>
      <c r="M7" s="78" t="s">
        <v>4</v>
      </c>
      <c r="N7" s="79" t="s">
        <v>50</v>
      </c>
      <c r="O7" s="152"/>
    </row>
    <row r="8" spans="1:15">
      <c r="A8" s="82" t="str">
        <f>'1. 소켓인수검사'!A9</f>
        <v>01</v>
      </c>
      <c r="B8" s="83" t="s">
        <v>15</v>
      </c>
      <c r="C8" s="52">
        <f>'1. 소켓인수검사'!C9</f>
        <v>390</v>
      </c>
      <c r="D8" s="52">
        <f>'1. 소켓인수검사'!D9</f>
        <v>390</v>
      </c>
      <c r="E8" s="46"/>
      <c r="F8" s="52">
        <v>1</v>
      </c>
      <c r="G8" s="84">
        <f>C8-5</f>
        <v>385</v>
      </c>
      <c r="H8" s="52">
        <f t="shared" ref="H8:H15" si="0">F8*4</f>
        <v>4</v>
      </c>
      <c r="I8" s="85">
        <f t="shared" ref="I8:I15" si="1">D8-30</f>
        <v>360</v>
      </c>
      <c r="J8" s="52">
        <f t="shared" ref="J8:J15" si="2">F8*4</f>
        <v>4</v>
      </c>
      <c r="K8" s="86">
        <f t="shared" ref="K8:K15" si="3">C8+60</f>
        <v>450</v>
      </c>
      <c r="L8" s="52">
        <v>2</v>
      </c>
      <c r="M8" s="86">
        <f>D8</f>
        <v>390</v>
      </c>
      <c r="N8" s="52">
        <v>2</v>
      </c>
      <c r="O8" s="47"/>
    </row>
    <row r="9" spans="1:15">
      <c r="A9" s="87" t="str">
        <f>'1. 소켓인수검사'!A10</f>
        <v>02</v>
      </c>
      <c r="B9" s="88" t="s">
        <v>15</v>
      </c>
      <c r="C9" s="53">
        <f>'1. 소켓인수검사'!C10</f>
        <v>390</v>
      </c>
      <c r="D9" s="53">
        <f>'1. 소켓인수검사'!D10</f>
        <v>390</v>
      </c>
      <c r="E9" s="35"/>
      <c r="F9" s="53">
        <v>1</v>
      </c>
      <c r="G9" s="89">
        <f t="shared" ref="G9:G15" si="4">C9-5</f>
        <v>385</v>
      </c>
      <c r="H9" s="53">
        <f t="shared" si="0"/>
        <v>4</v>
      </c>
      <c r="I9" s="90">
        <f t="shared" si="1"/>
        <v>360</v>
      </c>
      <c r="J9" s="53">
        <f t="shared" si="2"/>
        <v>4</v>
      </c>
      <c r="K9" s="91">
        <f t="shared" si="3"/>
        <v>450</v>
      </c>
      <c r="L9" s="53">
        <v>2</v>
      </c>
      <c r="M9" s="91">
        <f t="shared" ref="M9:M15" si="5">D9</f>
        <v>390</v>
      </c>
      <c r="N9" s="53">
        <v>2</v>
      </c>
      <c r="O9" s="92"/>
    </row>
    <row r="10" spans="1:15">
      <c r="A10" s="87" t="str">
        <f>'1. 소켓인수검사'!A11</f>
        <v>03</v>
      </c>
      <c r="B10" s="88" t="s">
        <v>15</v>
      </c>
      <c r="C10" s="53">
        <f>'1. 소켓인수검사'!C11</f>
        <v>390</v>
      </c>
      <c r="D10" s="53">
        <f>'1. 소켓인수검사'!D11</f>
        <v>390</v>
      </c>
      <c r="E10" s="35"/>
      <c r="F10" s="53">
        <v>1</v>
      </c>
      <c r="G10" s="89">
        <f t="shared" si="4"/>
        <v>385</v>
      </c>
      <c r="H10" s="53">
        <f t="shared" si="0"/>
        <v>4</v>
      </c>
      <c r="I10" s="90">
        <f t="shared" si="1"/>
        <v>360</v>
      </c>
      <c r="J10" s="53">
        <f t="shared" si="2"/>
        <v>4</v>
      </c>
      <c r="K10" s="91">
        <f t="shared" si="3"/>
        <v>450</v>
      </c>
      <c r="L10" s="53">
        <v>2</v>
      </c>
      <c r="M10" s="91">
        <f t="shared" si="5"/>
        <v>390</v>
      </c>
      <c r="N10" s="53">
        <v>2</v>
      </c>
      <c r="O10" s="92"/>
    </row>
    <row r="11" spans="1:15">
      <c r="A11" s="87" t="str">
        <f>'1. 소켓인수검사'!A12</f>
        <v>04</v>
      </c>
      <c r="B11" s="88" t="s">
        <v>15</v>
      </c>
      <c r="C11" s="53">
        <f>'1. 소켓인수검사'!C12</f>
        <v>390</v>
      </c>
      <c r="D11" s="53">
        <f>'1. 소켓인수검사'!D12</f>
        <v>390</v>
      </c>
      <c r="E11" s="35"/>
      <c r="F11" s="53">
        <v>1</v>
      </c>
      <c r="G11" s="89">
        <f t="shared" si="4"/>
        <v>385</v>
      </c>
      <c r="H11" s="53">
        <f t="shared" si="0"/>
        <v>4</v>
      </c>
      <c r="I11" s="90">
        <f t="shared" si="1"/>
        <v>360</v>
      </c>
      <c r="J11" s="53">
        <f t="shared" si="2"/>
        <v>4</v>
      </c>
      <c r="K11" s="91">
        <f t="shared" si="3"/>
        <v>450</v>
      </c>
      <c r="L11" s="53">
        <v>2</v>
      </c>
      <c r="M11" s="91">
        <f t="shared" si="5"/>
        <v>390</v>
      </c>
      <c r="N11" s="53">
        <v>2</v>
      </c>
      <c r="O11" s="92"/>
    </row>
    <row r="12" spans="1:15">
      <c r="A12" s="87" t="str">
        <f>'1. 소켓인수검사'!A13</f>
        <v>05</v>
      </c>
      <c r="B12" s="88" t="s">
        <v>15</v>
      </c>
      <c r="C12" s="53">
        <f>'1. 소켓인수검사'!C13</f>
        <v>390</v>
      </c>
      <c r="D12" s="53">
        <f>'1. 소켓인수검사'!D13</f>
        <v>390</v>
      </c>
      <c r="E12" s="35"/>
      <c r="F12" s="53">
        <v>1</v>
      </c>
      <c r="G12" s="89">
        <f t="shared" si="4"/>
        <v>385</v>
      </c>
      <c r="H12" s="53">
        <f t="shared" si="0"/>
        <v>4</v>
      </c>
      <c r="I12" s="90">
        <f t="shared" si="1"/>
        <v>360</v>
      </c>
      <c r="J12" s="53">
        <f t="shared" si="2"/>
        <v>4</v>
      </c>
      <c r="K12" s="91">
        <f t="shared" si="3"/>
        <v>450</v>
      </c>
      <c r="L12" s="53">
        <v>2</v>
      </c>
      <c r="M12" s="91">
        <f t="shared" si="5"/>
        <v>390</v>
      </c>
      <c r="N12" s="53">
        <v>2</v>
      </c>
      <c r="O12" s="92"/>
    </row>
    <row r="13" spans="1:15">
      <c r="A13" s="87" t="str">
        <f>'1. 소켓인수검사'!A14</f>
        <v>06</v>
      </c>
      <c r="B13" s="88" t="s">
        <v>15</v>
      </c>
      <c r="C13" s="53">
        <f>'1. 소켓인수검사'!C14</f>
        <v>390</v>
      </c>
      <c r="D13" s="53">
        <f>'1. 소켓인수검사'!D14</f>
        <v>390</v>
      </c>
      <c r="E13" s="35"/>
      <c r="F13" s="53">
        <v>1</v>
      </c>
      <c r="G13" s="89">
        <f t="shared" si="4"/>
        <v>385</v>
      </c>
      <c r="H13" s="53">
        <f t="shared" si="0"/>
        <v>4</v>
      </c>
      <c r="I13" s="90">
        <f t="shared" si="1"/>
        <v>360</v>
      </c>
      <c r="J13" s="53">
        <f t="shared" si="2"/>
        <v>4</v>
      </c>
      <c r="K13" s="91">
        <f t="shared" si="3"/>
        <v>450</v>
      </c>
      <c r="L13" s="53">
        <v>2</v>
      </c>
      <c r="M13" s="91">
        <f t="shared" si="5"/>
        <v>390</v>
      </c>
      <c r="N13" s="53">
        <v>2</v>
      </c>
      <c r="O13" s="92"/>
    </row>
    <row r="14" spans="1:15">
      <c r="A14" s="87" t="str">
        <f>'1. 소켓인수검사'!A15</f>
        <v>07</v>
      </c>
      <c r="B14" s="88" t="s">
        <v>15</v>
      </c>
      <c r="C14" s="53">
        <f>'1. 소켓인수검사'!C15</f>
        <v>390</v>
      </c>
      <c r="D14" s="53">
        <f>'1. 소켓인수검사'!D15</f>
        <v>390</v>
      </c>
      <c r="E14" s="35"/>
      <c r="F14" s="53">
        <v>1</v>
      </c>
      <c r="G14" s="89">
        <f t="shared" si="4"/>
        <v>385</v>
      </c>
      <c r="H14" s="53">
        <f t="shared" si="0"/>
        <v>4</v>
      </c>
      <c r="I14" s="90">
        <f t="shared" si="1"/>
        <v>360</v>
      </c>
      <c r="J14" s="53">
        <f t="shared" si="2"/>
        <v>4</v>
      </c>
      <c r="K14" s="91">
        <f t="shared" si="3"/>
        <v>450</v>
      </c>
      <c r="L14" s="53">
        <v>2</v>
      </c>
      <c r="M14" s="91">
        <f t="shared" si="5"/>
        <v>390</v>
      </c>
      <c r="N14" s="53">
        <v>2</v>
      </c>
      <c r="O14" s="92"/>
    </row>
    <row r="15" spans="1:15">
      <c r="A15" s="87" t="str">
        <f>'1. 소켓인수검사'!A16</f>
        <v>08</v>
      </c>
      <c r="B15" s="88" t="s">
        <v>15</v>
      </c>
      <c r="C15" s="53">
        <f>'1. 소켓인수검사'!C16</f>
        <v>390</v>
      </c>
      <c r="D15" s="53">
        <f>'1. 소켓인수검사'!D16</f>
        <v>390</v>
      </c>
      <c r="E15" s="35"/>
      <c r="F15" s="53">
        <v>1</v>
      </c>
      <c r="G15" s="89">
        <f t="shared" si="4"/>
        <v>385</v>
      </c>
      <c r="H15" s="53">
        <f t="shared" si="0"/>
        <v>4</v>
      </c>
      <c r="I15" s="90">
        <f t="shared" si="1"/>
        <v>360</v>
      </c>
      <c r="J15" s="53">
        <f t="shared" si="2"/>
        <v>4</v>
      </c>
      <c r="K15" s="91">
        <f t="shared" si="3"/>
        <v>450</v>
      </c>
      <c r="L15" s="53">
        <v>2</v>
      </c>
      <c r="M15" s="91">
        <f t="shared" si="5"/>
        <v>390</v>
      </c>
      <c r="N15" s="53">
        <v>2</v>
      </c>
      <c r="O15" s="92"/>
    </row>
    <row r="16" spans="1:15" ht="8.1" customHeight="1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</row>
    <row r="17" spans="1:15">
      <c r="A17" s="105" t="s">
        <v>44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5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5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</sheetData>
  <mergeCells count="21">
    <mergeCell ref="A16:O16"/>
    <mergeCell ref="A17:C19"/>
    <mergeCell ref="D17:O19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8"/>
  <sheetViews>
    <sheetView zoomScaleNormal="100" zoomScaleSheetLayoutView="100" workbookViewId="0">
      <selection activeCell="H29" sqref="H29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105"/>
      <c r="B1" s="105"/>
      <c r="C1" s="105"/>
      <c r="D1" s="105"/>
      <c r="E1" s="1" t="s">
        <v>78</v>
      </c>
      <c r="F1" s="94"/>
      <c r="G1" s="99" t="str">
        <f>'1. 소켓인수검사'!R2</f>
        <v>26.07.01 성운기업_홍항주택종합건설_밀양삼문 시그니처 웰가 신축공사</v>
      </c>
      <c r="H1" s="99"/>
      <c r="I1" s="99"/>
      <c r="J1" s="99"/>
      <c r="K1" s="100"/>
    </row>
    <row r="2" spans="1:11" ht="16.5" customHeight="1">
      <c r="A2" s="105"/>
      <c r="B2" s="105"/>
      <c r="C2" s="105"/>
      <c r="D2" s="105"/>
      <c r="E2" s="95"/>
      <c r="F2" s="96"/>
      <c r="G2" s="101"/>
      <c r="H2" s="101"/>
      <c r="I2" s="101"/>
      <c r="J2" s="101"/>
      <c r="K2" s="102"/>
    </row>
    <row r="3" spans="1:11" ht="16.5" customHeight="1">
      <c r="A3" s="105"/>
      <c r="B3" s="105"/>
      <c r="C3" s="105"/>
      <c r="D3" s="105"/>
      <c r="E3" s="97"/>
      <c r="F3" s="98"/>
      <c r="G3" s="103"/>
      <c r="H3" s="103"/>
      <c r="I3" s="103"/>
      <c r="J3" s="103"/>
      <c r="K3" s="104"/>
    </row>
    <row r="4" spans="1:11" ht="8.1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spans="1:11" ht="26.45" customHeight="1">
      <c r="A5" s="107" t="s">
        <v>52</v>
      </c>
      <c r="B5" s="108" t="s">
        <v>62</v>
      </c>
      <c r="C5" s="111" t="s">
        <v>4</v>
      </c>
      <c r="D5" s="111"/>
      <c r="E5" s="111" t="s">
        <v>23</v>
      </c>
      <c r="F5" s="112" t="s">
        <v>50</v>
      </c>
      <c r="G5" s="115" t="s">
        <v>33</v>
      </c>
      <c r="H5" s="116"/>
      <c r="I5" s="116"/>
      <c r="J5" s="116"/>
      <c r="K5" s="112" t="s">
        <v>2</v>
      </c>
    </row>
    <row r="6" spans="1:11" ht="16.5" customHeight="1">
      <c r="A6" s="107"/>
      <c r="B6" s="109"/>
      <c r="C6" s="111" t="s">
        <v>59</v>
      </c>
      <c r="D6" s="111" t="s">
        <v>57</v>
      </c>
      <c r="E6" s="111"/>
      <c r="F6" s="113"/>
      <c r="G6" s="111" t="s">
        <v>61</v>
      </c>
      <c r="H6" s="111"/>
      <c r="I6" s="115" t="s">
        <v>58</v>
      </c>
      <c r="J6" s="116"/>
      <c r="K6" s="113"/>
    </row>
    <row r="7" spans="1:11">
      <c r="A7" s="107"/>
      <c r="B7" s="110"/>
      <c r="C7" s="111"/>
      <c r="D7" s="111"/>
      <c r="E7" s="111"/>
      <c r="F7" s="114"/>
      <c r="G7" s="15" t="s">
        <v>4</v>
      </c>
      <c r="H7" s="15" t="s">
        <v>50</v>
      </c>
      <c r="I7" s="15" t="s">
        <v>4</v>
      </c>
      <c r="J7" s="16" t="s">
        <v>50</v>
      </c>
      <c r="K7" s="114"/>
    </row>
    <row r="8" spans="1:11">
      <c r="A8" s="71" t="str">
        <f>'1. 소켓인수검사'!A9</f>
        <v>01</v>
      </c>
      <c r="B8" s="49" t="s">
        <v>15</v>
      </c>
      <c r="C8" s="45">
        <f>'1. 소켓인수검사'!C9</f>
        <v>390</v>
      </c>
      <c r="D8" s="45">
        <f>'1. 소켓인수검사'!D9</f>
        <v>390</v>
      </c>
      <c r="E8" s="46"/>
      <c r="F8" s="45">
        <v>1</v>
      </c>
      <c r="G8" s="72">
        <f t="shared" ref="G8:G11" si="0">C8+60</f>
        <v>450</v>
      </c>
      <c r="H8" s="45">
        <v>2</v>
      </c>
      <c r="I8" s="72">
        <f>D8</f>
        <v>390</v>
      </c>
      <c r="J8" s="45">
        <v>2</v>
      </c>
      <c r="K8" s="47"/>
    </row>
    <row r="9" spans="1:11">
      <c r="A9" s="73" t="str">
        <f>'1. 소켓인수검사'!A10</f>
        <v>02</v>
      </c>
      <c r="B9" s="49" t="s">
        <v>15</v>
      </c>
      <c r="C9" s="34">
        <f>'1. 소켓인수검사'!C10</f>
        <v>390</v>
      </c>
      <c r="D9" s="34">
        <f>'1. 소켓인수검사'!D10</f>
        <v>390</v>
      </c>
      <c r="E9" s="35"/>
      <c r="F9" s="34">
        <v>1</v>
      </c>
      <c r="G9" s="51">
        <f t="shared" si="0"/>
        <v>450</v>
      </c>
      <c r="H9" s="34">
        <v>2</v>
      </c>
      <c r="I9" s="51">
        <f t="shared" ref="I9:I15" si="1">D9</f>
        <v>390</v>
      </c>
      <c r="J9" s="34">
        <v>2</v>
      </c>
      <c r="K9" s="50"/>
    </row>
    <row r="10" spans="1:11">
      <c r="A10" s="73" t="str">
        <f>'1. 소켓인수검사'!A11</f>
        <v>03</v>
      </c>
      <c r="B10" s="49" t="s">
        <v>15</v>
      </c>
      <c r="C10" s="34">
        <f>'1. 소켓인수검사'!C11</f>
        <v>390</v>
      </c>
      <c r="D10" s="34">
        <f>'1. 소켓인수검사'!D11</f>
        <v>390</v>
      </c>
      <c r="E10" s="35"/>
      <c r="F10" s="34">
        <v>1</v>
      </c>
      <c r="G10" s="51">
        <f t="shared" si="0"/>
        <v>450</v>
      </c>
      <c r="H10" s="34">
        <v>2</v>
      </c>
      <c r="I10" s="51">
        <f t="shared" si="1"/>
        <v>390</v>
      </c>
      <c r="J10" s="34">
        <v>2</v>
      </c>
      <c r="K10" s="50"/>
    </row>
    <row r="11" spans="1:11">
      <c r="A11" s="73" t="str">
        <f>'1. 소켓인수검사'!A12</f>
        <v>04</v>
      </c>
      <c r="B11" s="49" t="s">
        <v>15</v>
      </c>
      <c r="C11" s="34">
        <f>'1. 소켓인수검사'!C12</f>
        <v>390</v>
      </c>
      <c r="D11" s="34">
        <f>'1. 소켓인수검사'!D12</f>
        <v>390</v>
      </c>
      <c r="E11" s="35"/>
      <c r="F11" s="34">
        <v>1</v>
      </c>
      <c r="G11" s="51">
        <f t="shared" si="0"/>
        <v>450</v>
      </c>
      <c r="H11" s="34">
        <v>2</v>
      </c>
      <c r="I11" s="51">
        <f t="shared" si="1"/>
        <v>390</v>
      </c>
      <c r="J11" s="34">
        <v>2</v>
      </c>
      <c r="K11" s="50"/>
    </row>
    <row r="12" spans="1:11">
      <c r="A12" s="73" t="str">
        <f>'1. 소켓인수검사'!A13</f>
        <v>05</v>
      </c>
      <c r="B12" s="49" t="s">
        <v>15</v>
      </c>
      <c r="C12" s="34">
        <f>'1. 소켓인수검사'!C13</f>
        <v>390</v>
      </c>
      <c r="D12" s="34">
        <f>'1. 소켓인수검사'!D13</f>
        <v>390</v>
      </c>
      <c r="E12" s="35"/>
      <c r="F12" s="34">
        <v>1</v>
      </c>
      <c r="G12" s="51">
        <f t="shared" ref="G12:G15" si="2">C12+60</f>
        <v>450</v>
      </c>
      <c r="H12" s="34">
        <v>2</v>
      </c>
      <c r="I12" s="51">
        <f t="shared" si="1"/>
        <v>390</v>
      </c>
      <c r="J12" s="34">
        <v>2</v>
      </c>
      <c r="K12" s="50"/>
    </row>
    <row r="13" spans="1:11">
      <c r="A13" s="73" t="str">
        <f>'1. 소켓인수검사'!A14</f>
        <v>06</v>
      </c>
      <c r="B13" s="49" t="s">
        <v>15</v>
      </c>
      <c r="C13" s="34">
        <f>'1. 소켓인수검사'!C14</f>
        <v>390</v>
      </c>
      <c r="D13" s="34">
        <f>'1. 소켓인수검사'!D14</f>
        <v>390</v>
      </c>
      <c r="E13" s="35"/>
      <c r="F13" s="34">
        <v>1</v>
      </c>
      <c r="G13" s="51">
        <f t="shared" si="2"/>
        <v>450</v>
      </c>
      <c r="H13" s="34">
        <v>2</v>
      </c>
      <c r="I13" s="51">
        <f t="shared" si="1"/>
        <v>390</v>
      </c>
      <c r="J13" s="34">
        <v>2</v>
      </c>
      <c r="K13" s="50"/>
    </row>
    <row r="14" spans="1:11">
      <c r="A14" s="73" t="str">
        <f>'1. 소켓인수검사'!A15</f>
        <v>07</v>
      </c>
      <c r="B14" s="49" t="s">
        <v>15</v>
      </c>
      <c r="C14" s="34">
        <f>'1. 소켓인수검사'!C15</f>
        <v>390</v>
      </c>
      <c r="D14" s="34">
        <f>'1. 소켓인수검사'!D15</f>
        <v>390</v>
      </c>
      <c r="E14" s="35"/>
      <c r="F14" s="34">
        <v>1</v>
      </c>
      <c r="G14" s="51">
        <f t="shared" si="2"/>
        <v>450</v>
      </c>
      <c r="H14" s="34">
        <v>2</v>
      </c>
      <c r="I14" s="51">
        <f t="shared" si="1"/>
        <v>390</v>
      </c>
      <c r="J14" s="34">
        <v>2</v>
      </c>
      <c r="K14" s="50"/>
    </row>
    <row r="15" spans="1:11">
      <c r="A15" s="73" t="str">
        <f>'1. 소켓인수검사'!A16</f>
        <v>08</v>
      </c>
      <c r="B15" s="49" t="s">
        <v>15</v>
      </c>
      <c r="C15" s="34">
        <f>'1. 소켓인수검사'!C16</f>
        <v>390</v>
      </c>
      <c r="D15" s="34">
        <f>'1. 소켓인수검사'!D16</f>
        <v>390</v>
      </c>
      <c r="E15" s="35"/>
      <c r="F15" s="34">
        <v>1</v>
      </c>
      <c r="G15" s="51">
        <f t="shared" si="2"/>
        <v>450</v>
      </c>
      <c r="H15" s="34">
        <v>2</v>
      </c>
      <c r="I15" s="51">
        <f t="shared" si="1"/>
        <v>390</v>
      </c>
      <c r="J15" s="34">
        <v>2</v>
      </c>
      <c r="K15" s="50"/>
    </row>
    <row r="16" spans="1:11">
      <c r="A16" s="105" t="s">
        <v>44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</row>
    <row r="18" spans="1:11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</row>
  </sheetData>
  <mergeCells count="17">
    <mergeCell ref="I6:J6"/>
    <mergeCell ref="E1:F3"/>
    <mergeCell ref="G1:K3"/>
    <mergeCell ref="A16:C18"/>
    <mergeCell ref="D16:K18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3"/>
  <sheetViews>
    <sheetView zoomScaleNormal="100" zoomScaleSheetLayoutView="100" workbookViewId="0">
      <selection activeCell="H38" sqref="H38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105"/>
      <c r="B1" s="105"/>
      <c r="C1" s="105"/>
      <c r="D1" s="105"/>
      <c r="E1" s="175" t="s">
        <v>65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7"/>
    </row>
    <row r="2" spans="1:16" ht="16.5" customHeight="1">
      <c r="A2" s="105"/>
      <c r="B2" s="105"/>
      <c r="C2" s="105"/>
      <c r="D2" s="105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</row>
    <row r="3" spans="1:16" ht="16.5" customHeight="1">
      <c r="A3" s="105"/>
      <c r="B3" s="105"/>
      <c r="C3" s="105"/>
      <c r="D3" s="105"/>
      <c r="E3" s="178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80"/>
    </row>
    <row r="4" spans="1:16" ht="16.5" customHeight="1">
      <c r="A4" s="105" t="s">
        <v>16</v>
      </c>
      <c r="B4" s="105"/>
      <c r="C4" s="184"/>
      <c r="D4" s="185"/>
      <c r="E4" s="181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/>
    </row>
    <row r="5" spans="1:16">
      <c r="A5" s="105" t="s">
        <v>25</v>
      </c>
      <c r="B5" s="105"/>
      <c r="C5" s="105"/>
      <c r="D5" s="105"/>
      <c r="E5" s="6" t="s">
        <v>31</v>
      </c>
      <c r="F5" s="105"/>
      <c r="G5" s="105"/>
      <c r="H5" s="105" t="s">
        <v>55</v>
      </c>
      <c r="I5" s="105"/>
      <c r="J5" s="105"/>
      <c r="K5" s="105" t="s">
        <v>51</v>
      </c>
      <c r="L5" s="105"/>
      <c r="M5" s="105"/>
      <c r="N5" s="186" t="str">
        <f>'1. 소켓인수검사'!R2</f>
        <v>26.07.01 성운기업_홍항주택종합건설_밀양삼문 시그니처 웰가 신축공사</v>
      </c>
      <c r="O5" s="186"/>
      <c r="P5" s="186"/>
    </row>
    <row r="6" spans="1:16">
      <c r="A6" s="105"/>
      <c r="B6" s="105"/>
      <c r="C6" s="105"/>
      <c r="D6" s="105"/>
      <c r="E6" s="6" t="s">
        <v>28</v>
      </c>
      <c r="F6" s="105"/>
      <c r="G6" s="105"/>
      <c r="H6" s="105"/>
      <c r="I6" s="105"/>
      <c r="J6" s="105"/>
      <c r="K6" s="105"/>
      <c r="L6" s="105"/>
      <c r="M6" s="105"/>
      <c r="N6" s="186"/>
      <c r="O6" s="186"/>
      <c r="P6" s="186"/>
    </row>
    <row r="7" spans="1:16" ht="8.1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</row>
    <row r="8" spans="1:16">
      <c r="A8" s="169" t="s">
        <v>52</v>
      </c>
      <c r="B8" s="171" t="s">
        <v>4</v>
      </c>
      <c r="C8" s="171"/>
      <c r="D8" s="171" t="s">
        <v>27</v>
      </c>
      <c r="E8" s="171" t="s">
        <v>23</v>
      </c>
      <c r="F8" s="171" t="s">
        <v>56</v>
      </c>
      <c r="G8" s="171" t="s">
        <v>26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59</v>
      </c>
      <c r="C9" s="172" t="s">
        <v>57</v>
      </c>
      <c r="D9" s="172"/>
      <c r="E9" s="172"/>
      <c r="F9" s="172"/>
      <c r="G9" s="172" t="s">
        <v>53</v>
      </c>
      <c r="H9" s="172" t="s">
        <v>59</v>
      </c>
      <c r="I9" s="172"/>
      <c r="J9" s="172" t="s">
        <v>10</v>
      </c>
      <c r="K9" s="172" t="s">
        <v>57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30</v>
      </c>
      <c r="J10" s="172"/>
      <c r="K10" s="172" t="s">
        <v>4</v>
      </c>
      <c r="L10" s="172"/>
      <c r="M10" s="172"/>
      <c r="N10" s="25" t="s">
        <v>30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390</v>
      </c>
      <c r="C11" s="26">
        <f>'1. 소켓인수검사'!D9</f>
        <v>390</v>
      </c>
      <c r="D11" s="27">
        <v>1</v>
      </c>
      <c r="E11" s="28"/>
      <c r="F11" s="27">
        <v>1.6</v>
      </c>
      <c r="G11" s="27"/>
      <c r="H11" s="27">
        <f>B11-1</f>
        <v>389</v>
      </c>
      <c r="I11" s="27">
        <f t="shared" ref="I11:I12" si="0">D11*4</f>
        <v>4</v>
      </c>
      <c r="J11" s="27"/>
      <c r="K11" s="166">
        <f t="shared" ref="K11:K12" si="1">C11-30</f>
        <v>360</v>
      </c>
      <c r="L11" s="166"/>
      <c r="M11" s="166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390</v>
      </c>
      <c r="C12" s="26">
        <f>'1. 소켓인수검사'!D10</f>
        <v>390</v>
      </c>
      <c r="D12" s="27">
        <v>1</v>
      </c>
      <c r="E12" s="28"/>
      <c r="F12" s="27">
        <v>1.6</v>
      </c>
      <c r="G12" s="27"/>
      <c r="H12" s="27">
        <f t="shared" ref="H12" si="3">B12-1</f>
        <v>389</v>
      </c>
      <c r="I12" s="27">
        <f t="shared" si="0"/>
        <v>4</v>
      </c>
      <c r="J12" s="27"/>
      <c r="K12" s="166">
        <f t="shared" si="1"/>
        <v>360</v>
      </c>
      <c r="L12" s="166"/>
      <c r="M12" s="166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390</v>
      </c>
      <c r="C13" s="26">
        <f>'1. 소켓인수검사'!D11</f>
        <v>390</v>
      </c>
      <c r="D13" s="27">
        <v>1</v>
      </c>
      <c r="E13" s="28"/>
      <c r="F13" s="27">
        <v>1.6</v>
      </c>
      <c r="G13" s="27"/>
      <c r="H13" s="27">
        <f t="shared" ref="H13:H18" si="4">B13-1</f>
        <v>389</v>
      </c>
      <c r="I13" s="27">
        <f t="shared" ref="I13:I18" si="5">D13*4</f>
        <v>4</v>
      </c>
      <c r="J13" s="27"/>
      <c r="K13" s="166">
        <f t="shared" ref="K13:K18" si="6">C13-30</f>
        <v>360</v>
      </c>
      <c r="L13" s="166"/>
      <c r="M13" s="166"/>
      <c r="N13" s="27">
        <f t="shared" ref="N13:N18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390</v>
      </c>
      <c r="C14" s="26">
        <f>'1. 소켓인수검사'!D12</f>
        <v>390</v>
      </c>
      <c r="D14" s="27">
        <v>1</v>
      </c>
      <c r="E14" s="28"/>
      <c r="F14" s="27">
        <v>1.6</v>
      </c>
      <c r="G14" s="27"/>
      <c r="H14" s="27">
        <f t="shared" si="4"/>
        <v>389</v>
      </c>
      <c r="I14" s="27">
        <f t="shared" si="5"/>
        <v>4</v>
      </c>
      <c r="J14" s="27"/>
      <c r="K14" s="166">
        <f t="shared" si="6"/>
        <v>360</v>
      </c>
      <c r="L14" s="166"/>
      <c r="M14" s="166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390</v>
      </c>
      <c r="C15" s="26">
        <f>'1. 소켓인수검사'!D13</f>
        <v>390</v>
      </c>
      <c r="D15" s="27">
        <v>1</v>
      </c>
      <c r="E15" s="28"/>
      <c r="F15" s="27">
        <v>1.6</v>
      </c>
      <c r="G15" s="27"/>
      <c r="H15" s="27">
        <f t="shared" si="4"/>
        <v>389</v>
      </c>
      <c r="I15" s="27">
        <f t="shared" si="5"/>
        <v>4</v>
      </c>
      <c r="J15" s="27"/>
      <c r="K15" s="166">
        <f t="shared" si="6"/>
        <v>360</v>
      </c>
      <c r="L15" s="166"/>
      <c r="M15" s="166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390</v>
      </c>
      <c r="C16" s="26">
        <f>'1. 소켓인수검사'!D14</f>
        <v>390</v>
      </c>
      <c r="D16" s="27">
        <v>1</v>
      </c>
      <c r="E16" s="28"/>
      <c r="F16" s="27">
        <v>1.6</v>
      </c>
      <c r="G16" s="27"/>
      <c r="H16" s="27">
        <f t="shared" si="4"/>
        <v>389</v>
      </c>
      <c r="I16" s="27">
        <f t="shared" si="5"/>
        <v>4</v>
      </c>
      <c r="J16" s="27"/>
      <c r="K16" s="166">
        <f t="shared" si="6"/>
        <v>360</v>
      </c>
      <c r="L16" s="166"/>
      <c r="M16" s="166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390</v>
      </c>
      <c r="C17" s="26">
        <f>'1. 소켓인수검사'!D15</f>
        <v>390</v>
      </c>
      <c r="D17" s="27">
        <v>1</v>
      </c>
      <c r="E17" s="28"/>
      <c r="F17" s="27">
        <v>1.6</v>
      </c>
      <c r="G17" s="27"/>
      <c r="H17" s="27">
        <f t="shared" si="4"/>
        <v>389</v>
      </c>
      <c r="I17" s="27">
        <f t="shared" si="5"/>
        <v>4</v>
      </c>
      <c r="J17" s="27"/>
      <c r="K17" s="166">
        <f t="shared" si="6"/>
        <v>360</v>
      </c>
      <c r="L17" s="166"/>
      <c r="M17" s="166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390</v>
      </c>
      <c r="C18" s="26">
        <f>'1. 소켓인수검사'!D16</f>
        <v>390</v>
      </c>
      <c r="D18" s="27">
        <v>1</v>
      </c>
      <c r="E18" s="28"/>
      <c r="F18" s="27">
        <v>1.6</v>
      </c>
      <c r="G18" s="27"/>
      <c r="H18" s="27">
        <f t="shared" si="4"/>
        <v>389</v>
      </c>
      <c r="I18" s="27">
        <f t="shared" si="5"/>
        <v>4</v>
      </c>
      <c r="J18" s="27"/>
      <c r="K18" s="166">
        <f t="shared" si="6"/>
        <v>360</v>
      </c>
      <c r="L18" s="166"/>
      <c r="M18" s="166"/>
      <c r="N18" s="27">
        <f t="shared" si="7"/>
        <v>4</v>
      </c>
      <c r="O18" s="27"/>
      <c r="P18" s="31"/>
    </row>
    <row r="19" spans="1:16" ht="8.1" customHeight="1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</row>
    <row r="20" spans="1:16">
      <c r="A20" s="167" t="s">
        <v>45</v>
      </c>
      <c r="B20" s="167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16">
      <c r="A21" s="167"/>
      <c r="B21" s="167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</row>
    <row r="22" spans="1:16">
      <c r="A22" s="167"/>
      <c r="B22" s="167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</row>
    <row r="23" spans="1:16">
      <c r="A23" s="167"/>
      <c r="B23" s="167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</sheetData>
  <mergeCells count="39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A19:P19"/>
    <mergeCell ref="A20:B23"/>
    <mergeCell ref="C20:P23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7"/>
  <sheetViews>
    <sheetView zoomScaleNormal="100" zoomScaleSheetLayoutView="100" workbookViewId="0">
      <pane ySplit="9" topLeftCell="A10" activePane="bottomLeft" state="frozen"/>
      <selection pane="bottomLeft" activeCell="W16" sqref="W1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05"/>
      <c r="B1" s="105"/>
      <c r="C1" s="105"/>
      <c r="D1" s="208" t="s">
        <v>43</v>
      </c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9"/>
      <c r="R1" s="210"/>
      <c r="S1" s="14"/>
    </row>
    <row r="2" spans="1:19">
      <c r="A2" s="105"/>
      <c r="B2" s="105"/>
      <c r="C2" s="105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9"/>
      <c r="R2" s="211"/>
      <c r="S2" s="212"/>
    </row>
    <row r="3" spans="1:19" ht="24" customHeight="1">
      <c r="A3" s="105"/>
      <c r="B3" s="105"/>
      <c r="C3" s="105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9"/>
      <c r="R3" s="211"/>
      <c r="S3" s="212"/>
    </row>
    <row r="4" spans="1:19">
      <c r="A4" s="105" t="s">
        <v>16</v>
      </c>
      <c r="B4" s="105"/>
      <c r="C4" s="1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9"/>
      <c r="R4" s="211"/>
      <c r="S4" s="212"/>
    </row>
    <row r="5" spans="1:19">
      <c r="A5" s="105" t="s">
        <v>25</v>
      </c>
      <c r="B5" s="105"/>
      <c r="C5" s="105"/>
      <c r="D5" s="2" t="s">
        <v>31</v>
      </c>
      <c r="E5" s="213"/>
      <c r="F5" s="214"/>
      <c r="G5" s="215" t="s">
        <v>55</v>
      </c>
      <c r="H5" s="156"/>
      <c r="I5" s="157"/>
      <c r="J5" s="157"/>
      <c r="K5" s="158"/>
      <c r="L5" s="215" t="s">
        <v>20</v>
      </c>
      <c r="M5" s="57"/>
      <c r="N5" s="57"/>
      <c r="O5" s="215" t="s">
        <v>20</v>
      </c>
      <c r="P5" s="227" t="str">
        <f>'1. 소켓인수검사'!R2</f>
        <v>26.07.01 성운기업_홍항주택종합건설_밀양삼문 시그니처 웰가 신축공사</v>
      </c>
      <c r="Q5" s="228"/>
      <c r="R5" s="228"/>
      <c r="S5" s="229"/>
    </row>
    <row r="6" spans="1:19">
      <c r="A6" s="105"/>
      <c r="B6" s="105"/>
      <c r="C6" s="105"/>
      <c r="D6" s="2" t="s">
        <v>28</v>
      </c>
      <c r="E6" s="213"/>
      <c r="F6" s="214"/>
      <c r="G6" s="216"/>
      <c r="H6" s="162"/>
      <c r="I6" s="106"/>
      <c r="J6" s="106"/>
      <c r="K6" s="163"/>
      <c r="L6" s="216"/>
      <c r="M6" s="58"/>
      <c r="N6" s="58"/>
      <c r="O6" s="216"/>
      <c r="P6" s="230"/>
      <c r="Q6" s="231"/>
      <c r="R6" s="231"/>
      <c r="S6" s="232"/>
    </row>
    <row r="7" spans="1:19" ht="8.1" customHeight="1">
      <c r="A7" s="162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63"/>
    </row>
    <row r="8" spans="1:19" ht="16.5" customHeight="1">
      <c r="A8" s="130" t="s">
        <v>52</v>
      </c>
      <c r="B8" s="204" t="s">
        <v>59</v>
      </c>
      <c r="C8" s="204" t="s">
        <v>57</v>
      </c>
      <c r="D8" s="204" t="s">
        <v>62</v>
      </c>
      <c r="E8" s="204" t="s">
        <v>47</v>
      </c>
      <c r="F8" s="204" t="s">
        <v>54</v>
      </c>
      <c r="G8" s="204" t="s">
        <v>22</v>
      </c>
      <c r="H8" s="204"/>
      <c r="I8" s="204"/>
      <c r="J8" s="204" t="s">
        <v>0</v>
      </c>
      <c r="K8" s="204"/>
      <c r="L8" s="204"/>
      <c r="M8" s="204" t="s">
        <v>0</v>
      </c>
      <c r="N8" s="204"/>
      <c r="O8" s="204"/>
      <c r="P8" s="204" t="s">
        <v>0</v>
      </c>
      <c r="Q8" s="204"/>
      <c r="R8" s="204"/>
      <c r="S8" s="206"/>
    </row>
    <row r="9" spans="1:19" ht="33" customHeight="1">
      <c r="A9" s="203"/>
      <c r="B9" s="205"/>
      <c r="C9" s="205"/>
      <c r="D9" s="205"/>
      <c r="E9" s="205"/>
      <c r="F9" s="205"/>
      <c r="G9" s="60" t="s">
        <v>32</v>
      </c>
      <c r="H9" s="60" t="s">
        <v>50</v>
      </c>
      <c r="I9" s="60" t="s">
        <v>49</v>
      </c>
      <c r="J9" s="60" t="s">
        <v>18</v>
      </c>
      <c r="K9" s="60" t="s">
        <v>50</v>
      </c>
      <c r="L9" s="60" t="s">
        <v>49</v>
      </c>
      <c r="M9" s="60" t="s">
        <v>24</v>
      </c>
      <c r="N9" s="60" t="s">
        <v>50</v>
      </c>
      <c r="O9" s="60" t="s">
        <v>49</v>
      </c>
      <c r="P9" s="60" t="s">
        <v>21</v>
      </c>
      <c r="Q9" s="60" t="s">
        <v>50</v>
      </c>
      <c r="R9" s="205" t="s">
        <v>49</v>
      </c>
      <c r="S9" s="207"/>
    </row>
    <row r="10" spans="1:19">
      <c r="A10" s="48" t="str">
        <f>'1. 소켓인수검사'!A9</f>
        <v>01</v>
      </c>
      <c r="B10" s="34">
        <f>'1. 소켓인수검사'!C9</f>
        <v>390</v>
      </c>
      <c r="C10" s="34">
        <f>'1. 소켓인수검사'!D9</f>
        <v>390</v>
      </c>
      <c r="D10" s="49" t="s">
        <v>15</v>
      </c>
      <c r="E10" s="55">
        <f>B10*C10/1000000</f>
        <v>0.15210000000000001</v>
      </c>
      <c r="F10" s="55">
        <f>(B10+C10)*2/1000</f>
        <v>1.56</v>
      </c>
      <c r="G10" s="26">
        <f>(F10+0.4)</f>
        <v>1.96</v>
      </c>
      <c r="H10" s="26">
        <v>4</v>
      </c>
      <c r="I10" s="56">
        <f>G10*H10</f>
        <v>7.84</v>
      </c>
      <c r="J10" s="26"/>
      <c r="K10" s="26"/>
      <c r="L10" s="26"/>
      <c r="M10" s="26"/>
      <c r="N10" s="26"/>
      <c r="O10" s="26"/>
      <c r="P10" s="26"/>
      <c r="Q10" s="26"/>
      <c r="R10" s="196"/>
      <c r="S10" s="197"/>
    </row>
    <row r="11" spans="1:19">
      <c r="A11" s="48" t="str">
        <f>'1. 소켓인수검사'!A10</f>
        <v>02</v>
      </c>
      <c r="B11" s="34">
        <f>'1. 소켓인수검사'!C10</f>
        <v>390</v>
      </c>
      <c r="C11" s="34">
        <f>'1. 소켓인수검사'!D10</f>
        <v>390</v>
      </c>
      <c r="D11" s="49" t="s">
        <v>15</v>
      </c>
      <c r="E11" s="55">
        <f t="shared" ref="E11:E17" si="0">B11*C11/1000000</f>
        <v>0.15210000000000001</v>
      </c>
      <c r="F11" s="55">
        <f t="shared" ref="F11:F17" si="1">(B11+C11)*2/1000</f>
        <v>1.56</v>
      </c>
      <c r="G11" s="26">
        <f>(F11+0.4)</f>
        <v>1.96</v>
      </c>
      <c r="H11" s="26">
        <v>4</v>
      </c>
      <c r="I11" s="56">
        <f>G11*H11</f>
        <v>7.84</v>
      </c>
      <c r="J11" s="26"/>
      <c r="K11" s="26"/>
      <c r="L11" s="26"/>
      <c r="M11" s="26"/>
      <c r="N11" s="26"/>
      <c r="O11" s="26"/>
      <c r="P11" s="26"/>
      <c r="Q11" s="26"/>
      <c r="R11" s="196"/>
      <c r="S11" s="197"/>
    </row>
    <row r="12" spans="1:19">
      <c r="A12" s="48" t="str">
        <f>'1. 소켓인수검사'!A11</f>
        <v>03</v>
      </c>
      <c r="B12" s="34">
        <f>'1. 소켓인수검사'!C11</f>
        <v>390</v>
      </c>
      <c r="C12" s="34">
        <f>'1. 소켓인수검사'!D11</f>
        <v>390</v>
      </c>
      <c r="D12" s="49" t="s">
        <v>15</v>
      </c>
      <c r="E12" s="55">
        <f t="shared" si="0"/>
        <v>0.15210000000000001</v>
      </c>
      <c r="F12" s="55">
        <f t="shared" si="1"/>
        <v>1.56</v>
      </c>
      <c r="G12" s="26">
        <f t="shared" ref="G12:G17" si="2">(F12+0.4)</f>
        <v>1.96</v>
      </c>
      <c r="H12" s="26">
        <v>4</v>
      </c>
      <c r="I12" s="56">
        <f t="shared" ref="I12:I17" si="3">G12*H12</f>
        <v>7.84</v>
      </c>
      <c r="J12" s="26"/>
      <c r="K12" s="26"/>
      <c r="L12" s="26"/>
      <c r="M12" s="26"/>
      <c r="N12" s="26"/>
      <c r="O12" s="26"/>
      <c r="P12" s="26"/>
      <c r="Q12" s="26"/>
      <c r="R12" s="196"/>
      <c r="S12" s="197"/>
    </row>
    <row r="13" spans="1:19">
      <c r="A13" s="48" t="str">
        <f>'1. 소켓인수검사'!A12</f>
        <v>04</v>
      </c>
      <c r="B13" s="34">
        <f>'1. 소켓인수검사'!C12</f>
        <v>390</v>
      </c>
      <c r="C13" s="34">
        <f>'1. 소켓인수검사'!D12</f>
        <v>390</v>
      </c>
      <c r="D13" s="49" t="s">
        <v>15</v>
      </c>
      <c r="E13" s="55">
        <f t="shared" si="0"/>
        <v>0.15210000000000001</v>
      </c>
      <c r="F13" s="55">
        <f t="shared" si="1"/>
        <v>1.56</v>
      </c>
      <c r="G13" s="26">
        <f t="shared" si="2"/>
        <v>1.96</v>
      </c>
      <c r="H13" s="26">
        <v>4</v>
      </c>
      <c r="I13" s="56">
        <f t="shared" si="3"/>
        <v>7.84</v>
      </c>
      <c r="J13" s="26"/>
      <c r="K13" s="26"/>
      <c r="L13" s="26"/>
      <c r="M13" s="26"/>
      <c r="N13" s="26"/>
      <c r="O13" s="26"/>
      <c r="P13" s="26"/>
      <c r="Q13" s="26"/>
      <c r="R13" s="196"/>
      <c r="S13" s="197"/>
    </row>
    <row r="14" spans="1:19">
      <c r="A14" s="48" t="str">
        <f>'1. 소켓인수검사'!A13</f>
        <v>05</v>
      </c>
      <c r="B14" s="34">
        <f>'1. 소켓인수검사'!C13</f>
        <v>390</v>
      </c>
      <c r="C14" s="34">
        <f>'1. 소켓인수검사'!D13</f>
        <v>390</v>
      </c>
      <c r="D14" s="49" t="s">
        <v>15</v>
      </c>
      <c r="E14" s="55">
        <f t="shared" si="0"/>
        <v>0.15210000000000001</v>
      </c>
      <c r="F14" s="55">
        <f t="shared" si="1"/>
        <v>1.56</v>
      </c>
      <c r="G14" s="26">
        <f t="shared" si="2"/>
        <v>1.96</v>
      </c>
      <c r="H14" s="26">
        <v>4</v>
      </c>
      <c r="I14" s="56">
        <f t="shared" si="3"/>
        <v>7.84</v>
      </c>
      <c r="J14" s="26"/>
      <c r="K14" s="26"/>
      <c r="L14" s="26"/>
      <c r="M14" s="26"/>
      <c r="N14" s="26"/>
      <c r="O14" s="26"/>
      <c r="P14" s="26"/>
      <c r="Q14" s="26"/>
      <c r="R14" s="196"/>
      <c r="S14" s="197"/>
    </row>
    <row r="15" spans="1:19">
      <c r="A15" s="48" t="str">
        <f>'1. 소켓인수검사'!A14</f>
        <v>06</v>
      </c>
      <c r="B15" s="34">
        <f>'1. 소켓인수검사'!C14</f>
        <v>390</v>
      </c>
      <c r="C15" s="34">
        <f>'1. 소켓인수검사'!D14</f>
        <v>390</v>
      </c>
      <c r="D15" s="49" t="s">
        <v>15</v>
      </c>
      <c r="E15" s="55">
        <f t="shared" si="0"/>
        <v>0.15210000000000001</v>
      </c>
      <c r="F15" s="55">
        <f t="shared" si="1"/>
        <v>1.56</v>
      </c>
      <c r="G15" s="26">
        <f t="shared" si="2"/>
        <v>1.96</v>
      </c>
      <c r="H15" s="26">
        <v>4</v>
      </c>
      <c r="I15" s="56">
        <f t="shared" si="3"/>
        <v>7.84</v>
      </c>
      <c r="J15" s="26"/>
      <c r="K15" s="26"/>
      <c r="L15" s="26"/>
      <c r="M15" s="26"/>
      <c r="N15" s="26"/>
      <c r="O15" s="26"/>
      <c r="P15" s="26"/>
      <c r="Q15" s="26"/>
      <c r="R15" s="196"/>
      <c r="S15" s="197"/>
    </row>
    <row r="16" spans="1:19">
      <c r="A16" s="48" t="str">
        <f>'1. 소켓인수검사'!A15</f>
        <v>07</v>
      </c>
      <c r="B16" s="34">
        <f>'1. 소켓인수검사'!C15</f>
        <v>390</v>
      </c>
      <c r="C16" s="34">
        <f>'1. 소켓인수검사'!D15</f>
        <v>390</v>
      </c>
      <c r="D16" s="49" t="s">
        <v>15</v>
      </c>
      <c r="E16" s="55">
        <f t="shared" si="0"/>
        <v>0.15210000000000001</v>
      </c>
      <c r="F16" s="55">
        <f t="shared" si="1"/>
        <v>1.56</v>
      </c>
      <c r="G16" s="26">
        <f t="shared" si="2"/>
        <v>1.96</v>
      </c>
      <c r="H16" s="26">
        <v>4</v>
      </c>
      <c r="I16" s="56">
        <f t="shared" si="3"/>
        <v>7.84</v>
      </c>
      <c r="J16" s="26"/>
      <c r="K16" s="26"/>
      <c r="L16" s="26"/>
      <c r="M16" s="26"/>
      <c r="N16" s="26"/>
      <c r="O16" s="26"/>
      <c r="P16" s="26"/>
      <c r="Q16" s="26"/>
      <c r="R16" s="196"/>
      <c r="S16" s="197"/>
    </row>
    <row r="17" spans="1:19">
      <c r="A17" s="48" t="str">
        <f>'1. 소켓인수검사'!A16</f>
        <v>08</v>
      </c>
      <c r="B17" s="34">
        <f>'1. 소켓인수검사'!C16</f>
        <v>390</v>
      </c>
      <c r="C17" s="34">
        <f>'1. 소켓인수검사'!D16</f>
        <v>390</v>
      </c>
      <c r="D17" s="49" t="s">
        <v>15</v>
      </c>
      <c r="E17" s="55">
        <f t="shared" si="0"/>
        <v>0.15210000000000001</v>
      </c>
      <c r="F17" s="55">
        <f t="shared" si="1"/>
        <v>1.56</v>
      </c>
      <c r="G17" s="26">
        <f t="shared" si="2"/>
        <v>1.96</v>
      </c>
      <c r="H17" s="26">
        <v>4</v>
      </c>
      <c r="I17" s="56">
        <f t="shared" si="3"/>
        <v>7.84</v>
      </c>
      <c r="J17" s="26"/>
      <c r="K17" s="26"/>
      <c r="L17" s="26"/>
      <c r="M17" s="26"/>
      <c r="N17" s="26"/>
      <c r="O17" s="26"/>
      <c r="P17" s="26"/>
      <c r="Q17" s="26"/>
      <c r="R17" s="196"/>
      <c r="S17" s="197"/>
    </row>
    <row r="18" spans="1:19">
      <c r="A18" s="198" t="s">
        <v>3</v>
      </c>
      <c r="B18" s="199"/>
      <c r="C18" s="199"/>
      <c r="D18" s="199"/>
      <c r="E18" s="199"/>
      <c r="F18" s="200"/>
      <c r="G18" s="32"/>
      <c r="H18" s="42"/>
      <c r="I18" s="64">
        <f>SUM(I10:I17)</f>
        <v>62.720000000000013</v>
      </c>
      <c r="J18" s="32"/>
      <c r="K18" s="32"/>
      <c r="L18" s="64">
        <f>SUM(L10:L17)</f>
        <v>0</v>
      </c>
      <c r="M18" s="32"/>
      <c r="N18" s="32"/>
      <c r="O18" s="64">
        <f>SUM(O10:O17)</f>
        <v>0</v>
      </c>
      <c r="P18" s="32"/>
      <c r="Q18" s="32"/>
      <c r="R18" s="201">
        <f>SUM(R10:S17)</f>
        <v>0</v>
      </c>
      <c r="S18" s="202"/>
    </row>
    <row r="19" spans="1:19" ht="17.25" customHeight="1">
      <c r="A19" s="189" t="s">
        <v>13</v>
      </c>
      <c r="B19" s="190"/>
      <c r="C19" s="190"/>
      <c r="D19" s="190"/>
      <c r="E19" s="190"/>
      <c r="F19" s="191"/>
      <c r="G19" s="192">
        <f>I18/20</f>
        <v>3.1360000000000006</v>
      </c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4"/>
    </row>
    <row r="20" spans="1:19">
      <c r="A20" s="189" t="s">
        <v>12</v>
      </c>
      <c r="B20" s="190"/>
      <c r="C20" s="190"/>
      <c r="D20" s="190"/>
      <c r="E20" s="190"/>
      <c r="F20" s="191"/>
      <c r="G20" s="192">
        <f>L18/3.6</f>
        <v>0</v>
      </c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4"/>
    </row>
    <row r="21" spans="1:19">
      <c r="A21" s="195" t="s">
        <v>69</v>
      </c>
      <c r="B21" s="190"/>
      <c r="C21" s="190"/>
      <c r="D21" s="190"/>
      <c r="E21" s="190"/>
      <c r="F21" s="191"/>
      <c r="G21" s="192">
        <f>O18/7.4</f>
        <v>0</v>
      </c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4"/>
    </row>
    <row r="22" spans="1:19">
      <c r="A22" s="189" t="s">
        <v>14</v>
      </c>
      <c r="B22" s="190"/>
      <c r="C22" s="190"/>
      <c r="D22" s="190"/>
      <c r="E22" s="190"/>
      <c r="F22" s="191"/>
      <c r="G22" s="192">
        <f>R18/3.6</f>
        <v>0</v>
      </c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4"/>
    </row>
    <row r="23" spans="1:19" ht="8.1" customHeight="1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</row>
    <row r="24" spans="1:19">
      <c r="A24" s="105" t="s">
        <v>45</v>
      </c>
      <c r="B24" s="105"/>
      <c r="C24" s="187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</row>
    <row r="25" spans="1:19">
      <c r="A25" s="105"/>
      <c r="B25" s="105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</row>
    <row r="26" spans="1:19">
      <c r="A26" s="105"/>
      <c r="B26" s="105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</row>
    <row r="27" spans="1:19">
      <c r="A27" s="105"/>
      <c r="B27" s="105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</row>
  </sheetData>
  <mergeCells count="47"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A18:F18"/>
    <mergeCell ref="R18:S18"/>
    <mergeCell ref="A24:B27"/>
    <mergeCell ref="C24:S27"/>
    <mergeCell ref="A19:F19"/>
    <mergeCell ref="G19:S19"/>
    <mergeCell ref="A20:F20"/>
    <mergeCell ref="G20:S20"/>
    <mergeCell ref="A21:F21"/>
    <mergeCell ref="G21:S21"/>
    <mergeCell ref="A22:F22"/>
    <mergeCell ref="G22:S22"/>
    <mergeCell ref="A23:S23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2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L36" sqref="L36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05"/>
      <c r="B1" s="105"/>
      <c r="C1" s="105"/>
      <c r="D1" s="105"/>
      <c r="E1" s="75" t="s">
        <v>6</v>
      </c>
      <c r="F1" s="222" t="s">
        <v>66</v>
      </c>
      <c r="G1" s="222"/>
      <c r="H1" s="222"/>
      <c r="I1" s="222"/>
      <c r="J1" s="222"/>
      <c r="K1" s="99" t="str">
        <f>'1. 소켓인수검사'!R2</f>
        <v>26.07.01 성운기업_홍항주택종합건설_밀양삼문 시그니처 웰가 신축공사</v>
      </c>
      <c r="L1" s="99"/>
      <c r="M1" s="99"/>
      <c r="N1" s="99"/>
      <c r="O1" s="99"/>
      <c r="P1" s="99"/>
      <c r="Q1" s="99"/>
      <c r="R1" s="99"/>
      <c r="S1" s="99"/>
      <c r="T1" s="99"/>
      <c r="U1" s="100"/>
    </row>
    <row r="2" spans="1:21" ht="16.5" customHeight="1">
      <c r="A2" s="105"/>
      <c r="B2" s="105"/>
      <c r="C2" s="105"/>
      <c r="D2" s="105"/>
      <c r="E2" s="74"/>
      <c r="F2" s="223"/>
      <c r="G2" s="223"/>
      <c r="H2" s="223"/>
      <c r="I2" s="223"/>
      <c r="J2" s="223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2"/>
    </row>
    <row r="3" spans="1:21" ht="24" customHeight="1">
      <c r="A3" s="105"/>
      <c r="B3" s="105"/>
      <c r="C3" s="105"/>
      <c r="D3" s="105"/>
      <c r="E3" s="76"/>
      <c r="F3" s="224"/>
      <c r="G3" s="224"/>
      <c r="H3" s="224"/>
      <c r="I3" s="224"/>
      <c r="J3" s="224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4"/>
    </row>
    <row r="4" spans="1:21" ht="8.1" customHeight="1">
      <c r="A4" s="162"/>
      <c r="B4" s="106"/>
      <c r="C4" s="106"/>
      <c r="D4" s="106"/>
      <c r="E4" s="106"/>
      <c r="F4" s="106"/>
      <c r="G4" s="106"/>
      <c r="H4" s="162"/>
      <c r="I4" s="106"/>
      <c r="J4" s="106"/>
      <c r="K4" s="106"/>
      <c r="L4" s="106"/>
      <c r="M4" s="106"/>
      <c r="N4" s="106"/>
      <c r="O4" s="106"/>
      <c r="P4" s="106"/>
      <c r="Q4" s="3"/>
      <c r="S4" s="3"/>
      <c r="T4" s="3"/>
      <c r="U4" s="3"/>
    </row>
    <row r="5" spans="1:21" ht="16.5" customHeight="1">
      <c r="A5" s="130" t="s">
        <v>52</v>
      </c>
      <c r="B5" s="225" t="s">
        <v>35</v>
      </c>
      <c r="C5" s="204" t="s">
        <v>59</v>
      </c>
      <c r="D5" s="204" t="s">
        <v>57</v>
      </c>
      <c r="E5" s="204" t="s">
        <v>23</v>
      </c>
      <c r="F5" s="204" t="s">
        <v>47</v>
      </c>
      <c r="G5" s="204" t="s">
        <v>54</v>
      </c>
      <c r="H5" s="204" t="s">
        <v>39</v>
      </c>
      <c r="I5" s="204" t="s">
        <v>22</v>
      </c>
      <c r="J5" s="204"/>
      <c r="K5" s="204" t="s">
        <v>0</v>
      </c>
      <c r="L5" s="204"/>
      <c r="M5" s="204" t="s">
        <v>0</v>
      </c>
      <c r="N5" s="204"/>
      <c r="O5" s="204" t="s">
        <v>0</v>
      </c>
      <c r="P5" s="204"/>
      <c r="Q5" s="217" t="s">
        <v>46</v>
      </c>
      <c r="R5" s="217"/>
      <c r="S5" s="218" t="s">
        <v>29</v>
      </c>
      <c r="T5" s="218" t="s">
        <v>51</v>
      </c>
      <c r="U5" s="220" t="s">
        <v>17</v>
      </c>
    </row>
    <row r="6" spans="1:21" ht="26.45" customHeight="1">
      <c r="A6" s="203"/>
      <c r="B6" s="226"/>
      <c r="C6" s="205"/>
      <c r="D6" s="205"/>
      <c r="E6" s="205"/>
      <c r="F6" s="205"/>
      <c r="G6" s="205"/>
      <c r="H6" s="205"/>
      <c r="I6" s="60" t="s">
        <v>7</v>
      </c>
      <c r="J6" s="33" t="s">
        <v>50</v>
      </c>
      <c r="K6" s="60" t="s">
        <v>67</v>
      </c>
      <c r="L6" s="33" t="s">
        <v>50</v>
      </c>
      <c r="M6" s="60" t="s">
        <v>34</v>
      </c>
      <c r="N6" s="33" t="s">
        <v>50</v>
      </c>
      <c r="O6" s="60" t="s">
        <v>36</v>
      </c>
      <c r="P6" s="33" t="s">
        <v>50</v>
      </c>
      <c r="Q6" s="60" t="s">
        <v>48</v>
      </c>
      <c r="R6" s="33" t="s">
        <v>60</v>
      </c>
      <c r="S6" s="219"/>
      <c r="T6" s="219"/>
      <c r="U6" s="221"/>
    </row>
    <row r="7" spans="1:21">
      <c r="A7" s="48" t="str">
        <f>'1. 소켓인수검사'!A9</f>
        <v>01</v>
      </c>
      <c r="B7" s="61" t="s">
        <v>41</v>
      </c>
      <c r="C7" s="34">
        <f>'1. 소켓인수검사'!C9</f>
        <v>390</v>
      </c>
      <c r="D7" s="34">
        <f>'1. 소켓인수검사'!D9</f>
        <v>390</v>
      </c>
      <c r="E7" s="35"/>
      <c r="F7" s="36">
        <f>C7*D7/1000000</f>
        <v>0.15210000000000001</v>
      </c>
      <c r="G7" s="36">
        <f>(C7+D7)*2/1000</f>
        <v>1.56</v>
      </c>
      <c r="H7" s="41">
        <v>1</v>
      </c>
      <c r="I7" s="60">
        <f>(G7+0.4)</f>
        <v>1.96</v>
      </c>
      <c r="J7" s="33">
        <v>4</v>
      </c>
      <c r="K7" s="26"/>
      <c r="L7" s="33"/>
      <c r="M7" s="26"/>
      <c r="N7" s="33"/>
      <c r="O7" s="26"/>
      <c r="P7" s="33"/>
      <c r="Q7" s="37">
        <f>(((C7+60)+250+(D7+60))*2/1000)*2</f>
        <v>4.5999999999999996</v>
      </c>
      <c r="R7" s="93">
        <f>Q7</f>
        <v>4.5999999999999996</v>
      </c>
      <c r="S7" s="38" t="s">
        <v>8</v>
      </c>
      <c r="T7" s="39" t="s">
        <v>11</v>
      </c>
      <c r="U7" s="40">
        <f>'1. 소켓인수검사'!G9</f>
        <v>0</v>
      </c>
    </row>
    <row r="8" spans="1:21">
      <c r="A8" s="48" t="str">
        <f>'1. 소켓인수검사'!A10</f>
        <v>02</v>
      </c>
      <c r="B8" s="61" t="s">
        <v>40</v>
      </c>
      <c r="C8" s="34">
        <f>'1. 소켓인수검사'!C10</f>
        <v>390</v>
      </c>
      <c r="D8" s="34">
        <f>'1. 소켓인수검사'!D10</f>
        <v>390</v>
      </c>
      <c r="E8" s="35"/>
      <c r="F8" s="36">
        <f t="shared" ref="F8:F9" si="0">C8*D8/1000000</f>
        <v>0.15210000000000001</v>
      </c>
      <c r="G8" s="36">
        <f t="shared" ref="G8:G9" si="1">(C8+D8)*2/1000</f>
        <v>1.56</v>
      </c>
      <c r="H8" s="41">
        <v>1</v>
      </c>
      <c r="I8" s="60">
        <f>(G8+0.4)</f>
        <v>1.96</v>
      </c>
      <c r="J8" s="33">
        <v>4</v>
      </c>
      <c r="K8" s="26"/>
      <c r="L8" s="33"/>
      <c r="M8" s="26"/>
      <c r="N8" s="33"/>
      <c r="O8" s="26"/>
      <c r="P8" s="33"/>
      <c r="Q8" s="37">
        <f t="shared" ref="Q8:Q14" si="2">(((C8+60)+250+(D8+60))*2/1000)*2</f>
        <v>4.5999999999999996</v>
      </c>
      <c r="R8" s="93">
        <f>Q8</f>
        <v>4.5999999999999996</v>
      </c>
      <c r="S8" s="38" t="s">
        <v>8</v>
      </c>
      <c r="T8" s="39" t="s">
        <v>11</v>
      </c>
      <c r="U8" s="40">
        <f>'1. 소켓인수검사'!G10</f>
        <v>0</v>
      </c>
    </row>
    <row r="9" spans="1:21">
      <c r="A9" s="48" t="str">
        <f>'1. 소켓인수검사'!A11</f>
        <v>03</v>
      </c>
      <c r="B9" s="61" t="s">
        <v>38</v>
      </c>
      <c r="C9" s="34">
        <f>'1. 소켓인수검사'!C11</f>
        <v>390</v>
      </c>
      <c r="D9" s="34">
        <f>'1. 소켓인수검사'!D11</f>
        <v>390</v>
      </c>
      <c r="E9" s="35"/>
      <c r="F9" s="36">
        <f t="shared" si="0"/>
        <v>0.15210000000000001</v>
      </c>
      <c r="G9" s="36">
        <f t="shared" si="1"/>
        <v>1.56</v>
      </c>
      <c r="H9" s="41">
        <v>1</v>
      </c>
      <c r="I9" s="60">
        <f>(G9+0.4)</f>
        <v>1.96</v>
      </c>
      <c r="J9" s="33">
        <v>4</v>
      </c>
      <c r="K9" s="26"/>
      <c r="L9" s="33"/>
      <c r="M9" s="26"/>
      <c r="N9" s="33"/>
      <c r="O9" s="26"/>
      <c r="P9" s="33"/>
      <c r="Q9" s="37">
        <f t="shared" si="2"/>
        <v>4.5999999999999996</v>
      </c>
      <c r="R9" s="93">
        <f>Q9</f>
        <v>4.5999999999999996</v>
      </c>
      <c r="S9" s="38" t="s">
        <v>8</v>
      </c>
      <c r="T9" s="39" t="s">
        <v>11</v>
      </c>
      <c r="U9" s="40">
        <f>'1. 소켓인수검사'!G11</f>
        <v>0</v>
      </c>
    </row>
    <row r="10" spans="1:21">
      <c r="A10" s="48" t="str">
        <f>'1. 소켓인수검사'!A12</f>
        <v>04</v>
      </c>
      <c r="B10" s="61" t="s">
        <v>38</v>
      </c>
      <c r="C10" s="34">
        <f>'1. 소켓인수검사'!C12</f>
        <v>390</v>
      </c>
      <c r="D10" s="34">
        <f>'1. 소켓인수검사'!D12</f>
        <v>390</v>
      </c>
      <c r="E10" s="35"/>
      <c r="F10" s="36">
        <f t="shared" ref="F10:F14" si="3">C10*D10/1000000</f>
        <v>0.15210000000000001</v>
      </c>
      <c r="G10" s="36">
        <f t="shared" ref="G10:G14" si="4">(C10+D10)*2/1000</f>
        <v>1.56</v>
      </c>
      <c r="H10" s="41">
        <v>1</v>
      </c>
      <c r="I10" s="60">
        <f t="shared" ref="I10:I14" si="5">(G10+0.4)</f>
        <v>1.96</v>
      </c>
      <c r="J10" s="33">
        <v>4</v>
      </c>
      <c r="K10" s="26"/>
      <c r="L10" s="33"/>
      <c r="M10" s="26"/>
      <c r="N10" s="33"/>
      <c r="O10" s="26"/>
      <c r="P10" s="33"/>
      <c r="Q10" s="37">
        <f t="shared" si="2"/>
        <v>4.5999999999999996</v>
      </c>
      <c r="R10" s="93">
        <f t="shared" ref="R10:R14" si="6">Q10</f>
        <v>4.5999999999999996</v>
      </c>
      <c r="S10" s="38" t="s">
        <v>8</v>
      </c>
      <c r="T10" s="39" t="s">
        <v>11</v>
      </c>
      <c r="U10" s="40">
        <f>'1. 소켓인수검사'!G12</f>
        <v>0</v>
      </c>
    </row>
    <row r="11" spans="1:21">
      <c r="A11" s="48" t="str">
        <f>'1. 소켓인수검사'!A13</f>
        <v>05</v>
      </c>
      <c r="B11" s="61" t="s">
        <v>38</v>
      </c>
      <c r="C11" s="34">
        <f>'1. 소켓인수검사'!C13</f>
        <v>390</v>
      </c>
      <c r="D11" s="34">
        <f>'1. 소켓인수검사'!D13</f>
        <v>390</v>
      </c>
      <c r="E11" s="35"/>
      <c r="F11" s="36">
        <f t="shared" si="3"/>
        <v>0.15210000000000001</v>
      </c>
      <c r="G11" s="36">
        <f t="shared" si="4"/>
        <v>1.56</v>
      </c>
      <c r="H11" s="41">
        <v>1</v>
      </c>
      <c r="I11" s="60">
        <f t="shared" si="5"/>
        <v>1.96</v>
      </c>
      <c r="J11" s="33">
        <v>4</v>
      </c>
      <c r="K11" s="26"/>
      <c r="L11" s="33"/>
      <c r="M11" s="26"/>
      <c r="N11" s="33"/>
      <c r="O11" s="26"/>
      <c r="P11" s="33"/>
      <c r="Q11" s="37">
        <f t="shared" si="2"/>
        <v>4.5999999999999996</v>
      </c>
      <c r="R11" s="93">
        <f t="shared" si="6"/>
        <v>4.5999999999999996</v>
      </c>
      <c r="S11" s="38" t="s">
        <v>8</v>
      </c>
      <c r="T11" s="39" t="s">
        <v>11</v>
      </c>
      <c r="U11" s="40">
        <f>'1. 소켓인수검사'!G13</f>
        <v>0</v>
      </c>
    </row>
    <row r="12" spans="1:21">
      <c r="A12" s="48" t="str">
        <f>'1. 소켓인수검사'!A14</f>
        <v>06</v>
      </c>
      <c r="B12" s="61" t="s">
        <v>38</v>
      </c>
      <c r="C12" s="34">
        <f>'1. 소켓인수검사'!C14</f>
        <v>390</v>
      </c>
      <c r="D12" s="34">
        <f>'1. 소켓인수검사'!D14</f>
        <v>390</v>
      </c>
      <c r="E12" s="35"/>
      <c r="F12" s="36">
        <f t="shared" si="3"/>
        <v>0.15210000000000001</v>
      </c>
      <c r="G12" s="36">
        <f t="shared" si="4"/>
        <v>1.56</v>
      </c>
      <c r="H12" s="41">
        <v>1</v>
      </c>
      <c r="I12" s="60">
        <f t="shared" si="5"/>
        <v>1.96</v>
      </c>
      <c r="J12" s="33">
        <v>4</v>
      </c>
      <c r="K12" s="26"/>
      <c r="L12" s="33"/>
      <c r="M12" s="26"/>
      <c r="N12" s="33"/>
      <c r="O12" s="26"/>
      <c r="P12" s="33"/>
      <c r="Q12" s="37">
        <f t="shared" si="2"/>
        <v>4.5999999999999996</v>
      </c>
      <c r="R12" s="93">
        <f t="shared" si="6"/>
        <v>4.5999999999999996</v>
      </c>
      <c r="S12" s="38" t="s">
        <v>8</v>
      </c>
      <c r="T12" s="39" t="s">
        <v>11</v>
      </c>
      <c r="U12" s="40">
        <f>'1. 소켓인수검사'!G14</f>
        <v>0</v>
      </c>
    </row>
    <row r="13" spans="1:21">
      <c r="A13" s="48" t="str">
        <f>'1. 소켓인수검사'!A15</f>
        <v>07</v>
      </c>
      <c r="B13" s="61" t="s">
        <v>38</v>
      </c>
      <c r="C13" s="34">
        <f>'1. 소켓인수검사'!C15</f>
        <v>390</v>
      </c>
      <c r="D13" s="34">
        <f>'1. 소켓인수검사'!D15</f>
        <v>390</v>
      </c>
      <c r="E13" s="35"/>
      <c r="F13" s="36">
        <f t="shared" si="3"/>
        <v>0.15210000000000001</v>
      </c>
      <c r="G13" s="36">
        <f t="shared" si="4"/>
        <v>1.56</v>
      </c>
      <c r="H13" s="41">
        <v>1</v>
      </c>
      <c r="I13" s="60">
        <f t="shared" si="5"/>
        <v>1.96</v>
      </c>
      <c r="J13" s="33">
        <v>4</v>
      </c>
      <c r="K13" s="26"/>
      <c r="L13" s="33"/>
      <c r="M13" s="26"/>
      <c r="N13" s="33"/>
      <c r="O13" s="26"/>
      <c r="P13" s="33"/>
      <c r="Q13" s="37">
        <f t="shared" si="2"/>
        <v>4.5999999999999996</v>
      </c>
      <c r="R13" s="93">
        <f t="shared" si="6"/>
        <v>4.5999999999999996</v>
      </c>
      <c r="S13" s="38" t="s">
        <v>8</v>
      </c>
      <c r="T13" s="39" t="s">
        <v>11</v>
      </c>
      <c r="U13" s="40">
        <f>'1. 소켓인수검사'!G15</f>
        <v>0</v>
      </c>
    </row>
    <row r="14" spans="1:21">
      <c r="A14" s="48" t="str">
        <f>'1. 소켓인수검사'!A16</f>
        <v>08</v>
      </c>
      <c r="B14" s="61" t="s">
        <v>38</v>
      </c>
      <c r="C14" s="34">
        <f>'1. 소켓인수검사'!C16</f>
        <v>390</v>
      </c>
      <c r="D14" s="34">
        <f>'1. 소켓인수검사'!D16</f>
        <v>390</v>
      </c>
      <c r="E14" s="35"/>
      <c r="F14" s="36">
        <f t="shared" si="3"/>
        <v>0.15210000000000001</v>
      </c>
      <c r="G14" s="36">
        <f t="shared" si="4"/>
        <v>1.56</v>
      </c>
      <c r="H14" s="41">
        <v>1</v>
      </c>
      <c r="I14" s="60">
        <f t="shared" si="5"/>
        <v>1.96</v>
      </c>
      <c r="J14" s="33">
        <v>4</v>
      </c>
      <c r="K14" s="26"/>
      <c r="L14" s="33"/>
      <c r="M14" s="26"/>
      <c r="N14" s="33"/>
      <c r="O14" s="26"/>
      <c r="P14" s="33"/>
      <c r="Q14" s="37">
        <f t="shared" si="2"/>
        <v>4.5999999999999996</v>
      </c>
      <c r="R14" s="93">
        <f t="shared" si="6"/>
        <v>4.5999999999999996</v>
      </c>
      <c r="S14" s="38" t="s">
        <v>8</v>
      </c>
      <c r="T14" s="39" t="s">
        <v>11</v>
      </c>
      <c r="U14" s="40">
        <f>'1. 소켓인수검사'!G16</f>
        <v>0</v>
      </c>
    </row>
    <row r="15" spans="1:21">
      <c r="A15" s="164" t="s">
        <v>5</v>
      </c>
      <c r="B15" s="165"/>
      <c r="C15" s="165"/>
      <c r="D15" s="59"/>
      <c r="E15" s="44"/>
      <c r="F15" s="44"/>
      <c r="G15" s="44"/>
      <c r="H15" s="43">
        <f>SUM(H7:H14)</f>
        <v>8</v>
      </c>
      <c r="I15" s="65"/>
      <c r="J15" s="43">
        <f>SUM(J7:J14)</f>
        <v>32</v>
      </c>
      <c r="K15" s="65"/>
      <c r="L15" s="43">
        <f>SUM(L7:L14)</f>
        <v>0</v>
      </c>
      <c r="M15" s="65"/>
      <c r="N15" s="43">
        <f>SUM(N7:N14)</f>
        <v>0</v>
      </c>
      <c r="O15" s="65"/>
      <c r="P15" s="43">
        <f>SUM(P7:P14)</f>
        <v>0</v>
      </c>
      <c r="Q15" s="65">
        <f>SUM(Q7:Q14)</f>
        <v>36.800000000000004</v>
      </c>
      <c r="R15" s="43">
        <f>SUM(R7:R14)</f>
        <v>36.800000000000004</v>
      </c>
      <c r="S15" s="62"/>
      <c r="T15" s="62"/>
      <c r="U15" s="63"/>
    </row>
    <row r="16" spans="1:21" ht="8.1" customHeight="1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4"/>
    </row>
    <row r="17" spans="1:21">
      <c r="A17" s="105" t="s">
        <v>45</v>
      </c>
      <c r="B17" s="105"/>
      <c r="C17" s="105"/>
      <c r="D17" s="156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8"/>
    </row>
    <row r="18" spans="1:21">
      <c r="A18" s="105"/>
      <c r="B18" s="105"/>
      <c r="C18" s="105"/>
      <c r="D18" s="159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1"/>
    </row>
    <row r="19" spans="1:21">
      <c r="A19" s="105"/>
      <c r="B19" s="105"/>
      <c r="C19" s="105"/>
      <c r="D19" s="159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1"/>
    </row>
    <row r="20" spans="1:21">
      <c r="A20" s="105"/>
      <c r="B20" s="105"/>
      <c r="C20" s="105"/>
      <c r="D20" s="159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1"/>
    </row>
    <row r="21" spans="1:21">
      <c r="A21" s="105"/>
      <c r="B21" s="105"/>
      <c r="C21" s="105"/>
      <c r="D21" s="159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1"/>
    </row>
    <row r="22" spans="1:21">
      <c r="A22" s="105"/>
      <c r="B22" s="105"/>
      <c r="C22" s="105"/>
      <c r="D22" s="162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63"/>
    </row>
  </sheetData>
  <mergeCells count="24">
    <mergeCell ref="U5:U6"/>
    <mergeCell ref="A15:C15"/>
    <mergeCell ref="F1:J3"/>
    <mergeCell ref="K1:U3"/>
    <mergeCell ref="D17:U22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6:P16"/>
    <mergeCell ref="A17:C22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6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2026-07-02T00:32:11Z</dcterms:modified>
  <cp:version>1200.0100.01</cp:version>
</cp:coreProperties>
</file>