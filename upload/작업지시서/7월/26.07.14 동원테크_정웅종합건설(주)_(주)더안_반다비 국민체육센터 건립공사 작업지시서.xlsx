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C49FE263-561E-40AC-9AC9-B8B12F307FC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 소켓인수검사" sheetId="1" r:id="rId1"/>
    <sheet name="2.재단(VM)작업" sheetId="12" r:id="rId2"/>
    <sheet name="차열재 재단(VM,VT)" sheetId="2" r:id="rId3"/>
    <sheet name="3. 1절곡(VM)" sheetId="5" r:id="rId4"/>
    <sheet name="5. 차열재 출하용(VM,VT,VAG)" sheetId="9" r:id="rId5"/>
    <sheet name="6. 라벨소요량" sheetId="10" r:id="rId6"/>
    <sheet name="발주서정리" sheetId="11" r:id="rId7"/>
  </sheets>
  <definedNames>
    <definedName name="_xlnm.Print_Area" localSheetId="0">'1. 소켓인수검사'!$A$1:$P$17</definedName>
    <definedName name="_xlnm.Print_Titles" localSheetId="0">'1. 소켓인수검사'!$6:$8</definedName>
    <definedName name="_xlnm.Print_Titles" localSheetId="1">'2.재단(VM)작업'!$5:$7</definedName>
    <definedName name="_xlnm.Print_Titles" localSheetId="3">'3. 1절곡(VM)'!$1:$6</definedName>
    <definedName name="_xlnm.Print_Titles" localSheetId="4">'5. 차열재 출하용(VM,VT,VAG)'!$8:$9</definedName>
    <definedName name="_xlnm.Print_Titles" localSheetId="5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2" l="1"/>
  <c r="D16" i="12"/>
  <c r="I16" i="12" s="1"/>
  <c r="C16" i="12"/>
  <c r="D15" i="12"/>
  <c r="C15" i="12"/>
  <c r="K15" i="12" s="1"/>
  <c r="D14" i="12"/>
  <c r="I14" i="12" s="1"/>
  <c r="C14" i="12"/>
  <c r="G14" i="12" s="1"/>
  <c r="D13" i="12"/>
  <c r="I13" i="12" s="1"/>
  <c r="C13" i="12"/>
  <c r="G13" i="12" s="1"/>
  <c r="D12" i="12"/>
  <c r="I12" i="12" s="1"/>
  <c r="C12" i="12"/>
  <c r="D11" i="12"/>
  <c r="I11" i="12" s="1"/>
  <c r="C11" i="12"/>
  <c r="G11" i="12" s="1"/>
  <c r="D10" i="12"/>
  <c r="C10" i="12"/>
  <c r="G10" i="12" s="1"/>
  <c r="D9" i="12"/>
  <c r="M9" i="12" s="1"/>
  <c r="C9" i="12"/>
  <c r="G9" i="12" s="1"/>
  <c r="D8" i="12"/>
  <c r="M8" i="12" s="1"/>
  <c r="C8" i="12"/>
  <c r="A16" i="12"/>
  <c r="A15" i="12"/>
  <c r="A14" i="12"/>
  <c r="A13" i="12"/>
  <c r="A12" i="12"/>
  <c r="A11" i="12"/>
  <c r="A10" i="12"/>
  <c r="A9" i="12"/>
  <c r="A8" i="12"/>
  <c r="J16" i="12"/>
  <c r="H16" i="12"/>
  <c r="M16" i="12"/>
  <c r="J15" i="12"/>
  <c r="H15" i="12"/>
  <c r="G15" i="12"/>
  <c r="M15" i="12"/>
  <c r="J14" i="12"/>
  <c r="H14" i="12"/>
  <c r="J13" i="12"/>
  <c r="H13" i="12"/>
  <c r="K13" i="12"/>
  <c r="J12" i="12"/>
  <c r="H12" i="12"/>
  <c r="M12" i="12"/>
  <c r="M11" i="12"/>
  <c r="J11" i="12"/>
  <c r="H11" i="12"/>
  <c r="M10" i="12"/>
  <c r="J10" i="12"/>
  <c r="I10" i="12"/>
  <c r="H10" i="12"/>
  <c r="J9" i="12"/>
  <c r="H9" i="12"/>
  <c r="J8" i="12"/>
  <c r="H8" i="12"/>
  <c r="G1" i="2"/>
  <c r="D16" i="2"/>
  <c r="C16" i="2"/>
  <c r="D15" i="2"/>
  <c r="C15" i="2"/>
  <c r="D14" i="2"/>
  <c r="C14" i="2"/>
  <c r="G14" i="2" s="1"/>
  <c r="D13" i="2"/>
  <c r="I13" i="2" s="1"/>
  <c r="C13" i="2"/>
  <c r="D12" i="2"/>
  <c r="I12" i="2" s="1"/>
  <c r="C12" i="2"/>
  <c r="D11" i="2"/>
  <c r="I11" i="2" s="1"/>
  <c r="C11" i="2"/>
  <c r="D10" i="2"/>
  <c r="C10" i="2"/>
  <c r="K1" i="10"/>
  <c r="P5" i="9"/>
  <c r="N5" i="5"/>
  <c r="D1" i="1"/>
  <c r="P16" i="10"/>
  <c r="H16" i="10"/>
  <c r="U15" i="10"/>
  <c r="D15" i="10"/>
  <c r="C15" i="10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Q9" i="10" s="1"/>
  <c r="R9" i="10" s="1"/>
  <c r="A9" i="10"/>
  <c r="U8" i="10"/>
  <c r="D8" i="10"/>
  <c r="C8" i="10"/>
  <c r="A8" i="10"/>
  <c r="U7" i="10"/>
  <c r="D7" i="10"/>
  <c r="C7" i="10"/>
  <c r="A7" i="10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N19" i="5"/>
  <c r="I19" i="5"/>
  <c r="C19" i="5"/>
  <c r="K19" i="5" s="1"/>
  <c r="B19" i="5"/>
  <c r="H19" i="5" s="1"/>
  <c r="A19" i="5"/>
  <c r="N18" i="5"/>
  <c r="I18" i="5"/>
  <c r="C18" i="5"/>
  <c r="K18" i="5" s="1"/>
  <c r="B18" i="5"/>
  <c r="H18" i="5" s="1"/>
  <c r="A18" i="5"/>
  <c r="N17" i="5"/>
  <c r="I17" i="5"/>
  <c r="C17" i="5"/>
  <c r="K17" i="5" s="1"/>
  <c r="B17" i="5"/>
  <c r="H17" i="5" s="1"/>
  <c r="A17" i="5"/>
  <c r="N16" i="5"/>
  <c r="I16" i="5"/>
  <c r="C16" i="5"/>
  <c r="K16" i="5" s="1"/>
  <c r="B16" i="5"/>
  <c r="H16" i="5" s="1"/>
  <c r="A16" i="5"/>
  <c r="N15" i="5"/>
  <c r="I15" i="5"/>
  <c r="C15" i="5"/>
  <c r="K15" i="5" s="1"/>
  <c r="B15" i="5"/>
  <c r="H15" i="5" s="1"/>
  <c r="A15" i="5"/>
  <c r="N14" i="5"/>
  <c r="I14" i="5"/>
  <c r="C14" i="5"/>
  <c r="K14" i="5" s="1"/>
  <c r="B14" i="5"/>
  <c r="H14" i="5" s="1"/>
  <c r="A14" i="5"/>
  <c r="N13" i="5"/>
  <c r="I13" i="5"/>
  <c r="C13" i="5"/>
  <c r="K13" i="5" s="1"/>
  <c r="B13" i="5"/>
  <c r="H13" i="5" s="1"/>
  <c r="A13" i="5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I16" i="2"/>
  <c r="A16" i="2"/>
  <c r="I15" i="2"/>
  <c r="A15" i="2"/>
  <c r="A14" i="2"/>
  <c r="A13" i="2"/>
  <c r="A12" i="2"/>
  <c r="A11" i="2"/>
  <c r="A10" i="2"/>
  <c r="D9" i="2"/>
  <c r="I9" i="2" s="1"/>
  <c r="C9" i="2"/>
  <c r="A9" i="2"/>
  <c r="D8" i="2"/>
  <c r="I8" i="2" s="1"/>
  <c r="C8" i="2"/>
  <c r="G8" i="2" s="1"/>
  <c r="A8" i="2"/>
  <c r="K14" i="12" l="1"/>
  <c r="K10" i="12"/>
  <c r="M14" i="12"/>
  <c r="Q15" i="10"/>
  <c r="R15" i="10" s="1"/>
  <c r="K9" i="12"/>
  <c r="K11" i="12"/>
  <c r="F18" i="9"/>
  <c r="G18" i="9" s="1"/>
  <c r="I18" i="9" s="1"/>
  <c r="M13" i="12"/>
  <c r="K16" i="12"/>
  <c r="G16" i="12"/>
  <c r="I9" i="12"/>
  <c r="K8" i="12"/>
  <c r="G8" i="12"/>
  <c r="I15" i="12"/>
  <c r="K12" i="12"/>
  <c r="G12" i="12"/>
  <c r="I8" i="12"/>
  <c r="I14" i="2"/>
  <c r="G13" i="2"/>
  <c r="G13" i="10"/>
  <c r="I13" i="10" s="1"/>
  <c r="G9" i="2"/>
  <c r="Q7" i="10"/>
  <c r="R7" i="10" s="1"/>
  <c r="F14" i="9"/>
  <c r="G14" i="9" s="1"/>
  <c r="I14" i="9" s="1"/>
  <c r="I10" i="2"/>
  <c r="G16" i="2"/>
  <c r="G11" i="2"/>
  <c r="G12" i="2"/>
  <c r="G10" i="2"/>
  <c r="F17" i="9"/>
  <c r="G17" i="9" s="1"/>
  <c r="I17" i="9" s="1"/>
  <c r="F13" i="9"/>
  <c r="G13" i="9" s="1"/>
  <c r="I13" i="9" s="1"/>
  <c r="G11" i="10"/>
  <c r="I11" i="10" s="1"/>
  <c r="Q13" i="10"/>
  <c r="R13" i="10" s="1"/>
  <c r="G9" i="10"/>
  <c r="I9" i="10" s="1"/>
  <c r="G7" i="10"/>
  <c r="I7" i="10" s="1"/>
  <c r="Q11" i="10"/>
  <c r="R11" i="10" s="1"/>
  <c r="G15" i="10"/>
  <c r="I15" i="10" s="1"/>
  <c r="N16" i="10"/>
  <c r="E17" i="9"/>
  <c r="E13" i="9"/>
  <c r="E16" i="9"/>
  <c r="E18" i="9"/>
  <c r="F10" i="9"/>
  <c r="G10" i="9" s="1"/>
  <c r="I10" i="9" s="1"/>
  <c r="E12" i="9"/>
  <c r="E14" i="9"/>
  <c r="E15" i="9"/>
  <c r="F15" i="9"/>
  <c r="G15" i="9" s="1"/>
  <c r="I15" i="9" s="1"/>
  <c r="E11" i="9"/>
  <c r="F11" i="9"/>
  <c r="G11" i="9" s="1"/>
  <c r="I11" i="9" s="1"/>
  <c r="G15" i="2"/>
  <c r="F12" i="9"/>
  <c r="G12" i="9" s="1"/>
  <c r="I12" i="9" s="1"/>
  <c r="F16" i="9"/>
  <c r="G16" i="9" s="1"/>
  <c r="I16" i="9" s="1"/>
  <c r="E10" i="9"/>
  <c r="G8" i="10"/>
  <c r="I8" i="10" s="1"/>
  <c r="Q8" i="10"/>
  <c r="R8" i="10" s="1"/>
  <c r="F8" i="10"/>
  <c r="G10" i="10"/>
  <c r="I10" i="10" s="1"/>
  <c r="Q10" i="10"/>
  <c r="R10" i="10" s="1"/>
  <c r="F10" i="10"/>
  <c r="G12" i="10"/>
  <c r="I12" i="10" s="1"/>
  <c r="Q12" i="10"/>
  <c r="R12" i="10" s="1"/>
  <c r="F12" i="10"/>
  <c r="G14" i="10"/>
  <c r="I14" i="10" s="1"/>
  <c r="Q14" i="10"/>
  <c r="R14" i="10" s="1"/>
  <c r="F14" i="10"/>
  <c r="J16" i="10"/>
  <c r="L16" i="10"/>
  <c r="F7" i="10"/>
  <c r="F9" i="10"/>
  <c r="F11" i="10"/>
  <c r="F13" i="10"/>
  <c r="F15" i="10"/>
  <c r="O19" i="9" l="1"/>
  <c r="G22" i="9" s="1"/>
  <c r="R16" i="10"/>
  <c r="Q16" i="10"/>
  <c r="I19" i="9" l="1"/>
  <c r="G20" i="9" s="1"/>
  <c r="R19" i="9"/>
  <c r="G23" i="9" s="1"/>
  <c r="L19" i="9"/>
  <c r="G21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</author>
  </authors>
  <commentList>
    <comment ref="K13" authorId="0" shapeId="0" xr:uid="{00000000-0006-0000-0000-000005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15" authorId="0" shapeId="0" xr:uid="{00000000-0006-0000-0000-000006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</commentList>
</comments>
</file>

<file path=xl/sharedStrings.xml><?xml version="1.0" encoding="utf-8"?>
<sst xmlns="http://schemas.openxmlformats.org/spreadsheetml/2006/main" count="235" uniqueCount="93">
  <si>
    <t>차열재</t>
  </si>
  <si>
    <t>No</t>
  </si>
  <si>
    <t>비고</t>
  </si>
  <si>
    <t>합계</t>
  </si>
  <si>
    <t>규격</t>
  </si>
  <si>
    <t>TTL</t>
  </si>
  <si>
    <t>라벨소요량(행복산업_KEC 구미공장_251128)</t>
  </si>
  <si>
    <t>25*
1400</t>
  </si>
  <si>
    <t>FS-MP25-0310-3</t>
  </si>
  <si>
    <t>*VM 200(1000*1000)기준</t>
  </si>
  <si>
    <t>수량                확인</t>
  </si>
  <si>
    <t>EZ F.B POSMAC Duct-VT-049</t>
  </si>
  <si>
    <t>차열재 50T*400*3.6M</t>
  </si>
  <si>
    <t>글라스울 25T*1400*20M</t>
  </si>
  <si>
    <t>차열재 50T*600*3.6M</t>
  </si>
  <si>
    <t>VT-049</t>
  </si>
  <si>
    <t>설비번호</t>
  </si>
  <si>
    <t>설치위치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</si>
  <si>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</si>
  <si>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</si>
  <si>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</si>
  <si>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</si>
  <si>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</si>
  <si>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</si>
  <si>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</si>
  <si>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</si>
  <si>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</si>
  <si>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</si>
  <si>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</si>
  <si>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</si>
  <si>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</si>
  <si>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</si>
  <si>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</si>
  <si>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</si>
  <si>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</si>
  <si>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</si>
  <si>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</si>
  <si>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</si>
  <si>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</si>
  <si>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</si>
  <si>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E256</t>
  </si>
  <si>
    <t>E255</t>
  </si>
  <si>
    <t>분할구조</t>
  </si>
  <si>
    <t>차열재생산일지(출하용)</t>
  </si>
  <si>
    <t>특이사항 및
 조치사항</t>
  </si>
  <si>
    <t>특이사항 및   조치사항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</si>
  <si>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</si>
  <si>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</si>
  <si>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</si>
  <si>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</si>
  <si>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</si>
  <si>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</si>
  <si>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</si>
  <si>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</si>
  <si>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</si>
  <si>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</si>
  <si>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</si>
  <si>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</si>
  <si>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</si>
  <si>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</si>
  <si>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</si>
  <si>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</si>
  <si>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</si>
  <si>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5" type="noConversion"/>
  </si>
  <si>
    <t>재단작업지시서(VM)</t>
    <phoneticPr fontId="25" type="noConversion"/>
  </si>
  <si>
    <t>절 곡 생 산 일 지(VM)</t>
    <phoneticPr fontId="25" type="noConversion"/>
  </si>
  <si>
    <t>라벨소요량</t>
    <phoneticPr fontId="25" type="noConversion"/>
  </si>
  <si>
    <t>25*
200</t>
    <phoneticPr fontId="25" type="noConversion"/>
  </si>
  <si>
    <t>구조체작업지시서</t>
    <phoneticPr fontId="25" type="noConversion"/>
  </si>
  <si>
    <t>차열재 25T*200*7.4M</t>
    <phoneticPr fontId="25" type="noConversion"/>
  </si>
  <si>
    <t>01</t>
    <phoneticPr fontId="25" type="noConversion"/>
  </si>
  <si>
    <t>02</t>
  </si>
  <si>
    <t>03</t>
  </si>
  <si>
    <t>04</t>
  </si>
  <si>
    <t>05</t>
  </si>
  <si>
    <t>06</t>
  </si>
  <si>
    <t>07</t>
  </si>
  <si>
    <t>08</t>
  </si>
  <si>
    <t>09</t>
  </si>
  <si>
    <t>재단작업지시서차열재</t>
    <phoneticPr fontId="25" type="noConversion"/>
  </si>
  <si>
    <t>2층 화장실</t>
  </si>
  <si>
    <t>지하기계실</t>
  </si>
  <si>
    <t>2층 전열교환기</t>
  </si>
  <si>
    <t>CW001</t>
  </si>
  <si>
    <t>CW002</t>
  </si>
  <si>
    <t>CW003</t>
  </si>
  <si>
    <t>CW004</t>
  </si>
  <si>
    <t>CW005</t>
  </si>
  <si>
    <t>CW006</t>
  </si>
  <si>
    <t>CW007</t>
  </si>
  <si>
    <t>CW008</t>
  </si>
  <si>
    <t>CW009</t>
  </si>
  <si>
    <r>
      <t xml:space="preserve">26.07.14 </t>
    </r>
    <r>
      <rPr>
        <sz val="10"/>
        <color rgb="FF000000"/>
        <rFont val="맑은 고딕"/>
        <family val="3"/>
        <charset val="129"/>
      </rPr>
      <t>동원테크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정웅종합건설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주</t>
    </r>
    <r>
      <rPr>
        <sz val="10"/>
        <color rgb="FF000000"/>
        <rFont val="Arial"/>
        <family val="2"/>
      </rPr>
      <t>)_(</t>
    </r>
    <r>
      <rPr>
        <sz val="10"/>
        <color rgb="FF000000"/>
        <rFont val="맑은 고딕"/>
        <family val="3"/>
        <charset val="129"/>
      </rPr>
      <t>주</t>
    </r>
    <r>
      <rPr>
        <sz val="10"/>
        <color rgb="FF000000"/>
        <rFont val="Arial"/>
        <family val="2"/>
      </rPr>
      <t>)</t>
    </r>
    <r>
      <rPr>
        <sz val="10"/>
        <color rgb="FF000000"/>
        <rFont val="맑은 고딕"/>
        <family val="3"/>
        <charset val="129"/>
      </rPr>
      <t>더안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반다비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국민체육센터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건립공사</t>
    </r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</si>
</sst>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2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sz val="10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0"/>
      <color rgb="FF002060"/>
      <name val="Helvetica Neue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0" fillId="0" borderId="0" xfId="0" applyAlignment="1">
      <alignment horizontal="center" vertical="center"/>
    </xf>
    <xf numFmtId="0" fontId="24" fillId="0" borderId="0">
      <alignment vertical="center"/>
    </xf>
    <xf numFmtId="176" fontId="24" fillId="0" borderId="0">
      <alignment vertical="center"/>
    </xf>
    <xf numFmtId="0" fontId="1" fillId="0" borderId="0">
      <alignment vertical="center"/>
    </xf>
  </cellStyleXfs>
  <cellXfs count="23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0" xfId="2">
      <alignment vertical="center"/>
    </xf>
    <xf numFmtId="0" fontId="24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6" fontId="24" fillId="0" borderId="6" xfId="3" applyBorder="1" applyAlignment="1">
      <alignment horizontal="center" vertical="center"/>
    </xf>
    <xf numFmtId="176" fontId="24" fillId="0" borderId="7" xfId="3" applyBorder="1" applyAlignment="1">
      <alignment horizontal="center" vertical="center"/>
    </xf>
    <xf numFmtId="176" fontId="24" fillId="0" borderId="8" xfId="3" applyBorder="1" applyAlignment="1">
      <alignment horizontal="center" vertical="center"/>
    </xf>
    <xf numFmtId="176" fontId="24" fillId="0" borderId="12" xfId="3" applyBorder="1" applyAlignment="1">
      <alignment horizontal="center" vertical="center"/>
    </xf>
    <xf numFmtId="176" fontId="24" fillId="0" borderId="10" xfId="3" applyBorder="1" applyAlignment="1">
      <alignment horizontal="center" vertical="center"/>
    </xf>
    <xf numFmtId="176" fontId="24" fillId="0" borderId="13" xfId="3" applyBorder="1" applyAlignment="1">
      <alignment horizontal="center" vertical="center"/>
    </xf>
    <xf numFmtId="176" fontId="24" fillId="0" borderId="14" xfId="3" applyBorder="1" applyAlignment="1">
      <alignment horizontal="center" vertical="center"/>
    </xf>
    <xf numFmtId="0" fontId="24" fillId="0" borderId="17" xfId="2" applyBorder="1" applyAlignment="1">
      <alignment horizontal="center" vertical="center"/>
    </xf>
    <xf numFmtId="0" fontId="6" fillId="0" borderId="18" xfId="2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4" fillId="0" borderId="18" xfId="2" applyBorder="1" applyAlignment="1">
      <alignment horizontal="center" vertical="center" wrapText="1"/>
    </xf>
    <xf numFmtId="0" fontId="7" fillId="0" borderId="18" xfId="4" applyFont="1" applyBorder="1" applyAlignment="1">
      <alignment horizontal="center" vertical="center" wrapText="1"/>
    </xf>
    <xf numFmtId="0" fontId="1" fillId="0" borderId="19" xfId="4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8" fillId="0" borderId="19" xfId="4" applyFont="1" applyBorder="1" applyAlignment="1">
      <alignment horizontal="center" vertical="center" shrinkToFit="1"/>
    </xf>
    <xf numFmtId="0" fontId="0" fillId="0" borderId="20" xfId="0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9" fillId="0" borderId="18" xfId="4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177" fontId="6" fillId="0" borderId="18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center" vertical="center" shrinkToFit="1"/>
    </xf>
    <xf numFmtId="0" fontId="10" fillId="5" borderId="18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9" fillId="0" borderId="15" xfId="4" applyFont="1" applyBorder="1" applyAlignment="1">
      <alignment horizontal="center" vertical="center" wrapText="1"/>
    </xf>
    <xf numFmtId="0" fontId="2" fillId="2" borderId="16" xfId="4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14" fillId="4" borderId="18" xfId="4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17" fillId="0" borderId="18" xfId="4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3" xfId="0" applyBorder="1">
      <alignment vertical="center"/>
    </xf>
    <xf numFmtId="0" fontId="0" fillId="5" borderId="20" xfId="0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0" borderId="0" xfId="1" applyFill="1" applyBorder="1" applyAlignment="1">
      <alignment vertical="center"/>
    </xf>
    <xf numFmtId="0" fontId="1" fillId="9" borderId="0" xfId="4" applyFill="1">
      <alignment vertical="center"/>
    </xf>
    <xf numFmtId="0" fontId="1" fillId="0" borderId="35" xfId="4" applyBorder="1" applyAlignment="1">
      <alignment vertical="top" wrapText="1"/>
    </xf>
    <xf numFmtId="0" fontId="2" fillId="0" borderId="18" xfId="4" applyFont="1" applyBorder="1" applyAlignment="1">
      <alignment horizontal="center" vertical="center" wrapText="1"/>
    </xf>
    <xf numFmtId="0" fontId="2" fillId="0" borderId="19" xfId="4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3" fillId="0" borderId="30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1" fillId="0" borderId="17" xfId="4" quotePrefix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5" fillId="0" borderId="21" xfId="2" applyFont="1" applyBorder="1" applyAlignment="1">
      <alignment horizontal="center" vertical="center"/>
    </xf>
    <xf numFmtId="0" fontId="28" fillId="4" borderId="15" xfId="4" applyFont="1" applyFill="1" applyBorder="1" applyAlignment="1">
      <alignment horizontal="center" vertical="center" wrapText="1"/>
    </xf>
    <xf numFmtId="0" fontId="15" fillId="0" borderId="15" xfId="2" applyFont="1" applyBorder="1" applyAlignment="1">
      <alignment horizontal="center" vertical="center" wrapText="1"/>
    </xf>
    <xf numFmtId="178" fontId="15" fillId="0" borderId="15" xfId="2" applyNumberFormat="1" applyFont="1" applyBorder="1" applyAlignment="1">
      <alignment horizontal="center" vertical="center" wrapText="1"/>
    </xf>
    <xf numFmtId="0" fontId="16" fillId="0" borderId="15" xfId="2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/>
    </xf>
    <xf numFmtId="0" fontId="28" fillId="4" borderId="18" xfId="4" applyFont="1" applyFill="1" applyBorder="1" applyAlignment="1">
      <alignment horizontal="center" vertical="center" wrapText="1"/>
    </xf>
    <xf numFmtId="0" fontId="15" fillId="0" borderId="18" xfId="2" applyFont="1" applyBorder="1" applyAlignment="1">
      <alignment horizontal="center" vertical="center" wrapText="1"/>
    </xf>
    <xf numFmtId="178" fontId="15" fillId="0" borderId="18" xfId="2" applyNumberFormat="1" applyFont="1" applyBorder="1" applyAlignment="1">
      <alignment horizontal="center" vertical="center" wrapText="1"/>
    </xf>
    <xf numFmtId="0" fontId="16" fillId="0" borderId="18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 wrapText="1"/>
    </xf>
    <xf numFmtId="177" fontId="6" fillId="5" borderId="18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3" fillId="0" borderId="26" xfId="4" applyFont="1" applyBorder="1" applyAlignment="1">
      <alignment horizontal="left" vertical="center"/>
    </xf>
    <xf numFmtId="0" fontId="2" fillId="7" borderId="18" xfId="4" applyFont="1" applyFill="1" applyBorder="1" applyAlignment="1">
      <alignment horizontal="center" vertical="center" wrapText="1"/>
    </xf>
    <xf numFmtId="0" fontId="26" fillId="0" borderId="35" xfId="4" applyFont="1" applyBorder="1" applyAlignment="1">
      <alignment horizontal="center" vertical="center" wrapText="1"/>
    </xf>
    <xf numFmtId="0" fontId="26" fillId="0" borderId="37" xfId="4" applyFont="1" applyBorder="1" applyAlignment="1">
      <alignment horizontal="center" vertical="center" wrapText="1"/>
    </xf>
    <xf numFmtId="0" fontId="26" fillId="0" borderId="0" xfId="4" applyFont="1" applyAlignment="1">
      <alignment horizontal="center" vertical="center" wrapText="1"/>
    </xf>
    <xf numFmtId="0" fontId="26" fillId="0" borderId="39" xfId="4" applyFont="1" applyBorder="1" applyAlignment="1">
      <alignment horizontal="center" vertical="center" wrapText="1"/>
    </xf>
    <xf numFmtId="0" fontId="26" fillId="0" borderId="34" xfId="4" applyFont="1" applyBorder="1" applyAlignment="1">
      <alignment horizontal="center" vertical="center" wrapText="1"/>
    </xf>
    <xf numFmtId="0" fontId="27" fillId="0" borderId="35" xfId="4" applyFont="1" applyBorder="1" applyAlignment="1">
      <alignment horizontal="center" vertical="center" shrinkToFit="1"/>
    </xf>
    <xf numFmtId="0" fontId="27" fillId="0" borderId="36" xfId="4" applyFont="1" applyBorder="1" applyAlignment="1">
      <alignment horizontal="center" vertical="center" shrinkToFit="1"/>
    </xf>
    <xf numFmtId="0" fontId="27" fillId="0" borderId="0" xfId="4" applyFont="1" applyAlignment="1">
      <alignment horizontal="center" vertical="center" shrinkToFit="1"/>
    </xf>
    <xf numFmtId="0" fontId="27" fillId="0" borderId="38" xfId="4" applyFont="1" applyBorder="1" applyAlignment="1">
      <alignment horizontal="center" vertical="center" shrinkToFit="1"/>
    </xf>
    <xf numFmtId="0" fontId="27" fillId="0" borderId="34" xfId="4" applyFont="1" applyBorder="1" applyAlignment="1">
      <alignment horizontal="center" vertical="center" shrinkToFit="1"/>
    </xf>
    <xf numFmtId="0" fontId="27" fillId="0" borderId="40" xfId="4" applyFont="1" applyBorder="1" applyAlignment="1">
      <alignment horizontal="center" vertical="center" shrinkToFit="1"/>
    </xf>
    <xf numFmtId="0" fontId="1" fillId="7" borderId="17" xfId="4" applyFill="1" applyBorder="1" applyAlignment="1">
      <alignment horizontal="center" vertical="center" wrapText="1"/>
    </xf>
    <xf numFmtId="0" fontId="2" fillId="7" borderId="15" xfId="4" applyFont="1" applyFill="1" applyBorder="1" applyAlignment="1">
      <alignment horizontal="center" vertical="center" wrapText="1"/>
    </xf>
    <xf numFmtId="0" fontId="2" fillId="7" borderId="16" xfId="4" applyFont="1" applyFill="1" applyBorder="1" applyAlignment="1">
      <alignment horizontal="center" vertical="center" wrapText="1"/>
    </xf>
    <xf numFmtId="0" fontId="2" fillId="7" borderId="19" xfId="4" applyFont="1" applyFill="1" applyBorder="1" applyAlignment="1">
      <alignment horizontal="center" vertical="center" wrapText="1"/>
    </xf>
    <xf numFmtId="0" fontId="3" fillId="0" borderId="24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30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5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31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24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27" xfId="2" applyFont="1" applyFill="1" applyBorder="1" applyAlignment="1">
      <alignment horizontal="center" vertical="center" wrapText="1"/>
    </xf>
    <xf numFmtId="0" fontId="4" fillId="3" borderId="28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 shrinkToFit="1"/>
    </xf>
    <xf numFmtId="0" fontId="30" fillId="0" borderId="30" xfId="0" applyFont="1" applyBorder="1" applyAlignment="1">
      <alignment horizontal="center" vertical="center" wrapText="1" shrinkToFit="1"/>
    </xf>
    <xf numFmtId="0" fontId="30" fillId="0" borderId="0" xfId="0" applyFont="1" applyAlignment="1">
      <alignment horizontal="center" vertical="center" wrapText="1" shrinkToFit="1"/>
    </xf>
    <xf numFmtId="0" fontId="30" fillId="0" borderId="25" xfId="0" applyFont="1" applyBorder="1" applyAlignment="1">
      <alignment horizontal="center" vertical="center" wrapText="1" shrinkToFit="1"/>
    </xf>
    <xf numFmtId="0" fontId="30" fillId="0" borderId="2" xfId="0" applyFont="1" applyBorder="1" applyAlignment="1">
      <alignment horizontal="center" vertical="center" wrapText="1" shrinkToFit="1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4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178" fontId="24" fillId="0" borderId="18" xfId="2" applyNumberFormat="1" applyBorder="1" applyAlignment="1">
      <alignment horizontal="center" vertical="center" wrapText="1"/>
    </xf>
    <xf numFmtId="0" fontId="24" fillId="0" borderId="21" xfId="2" applyBorder="1" applyAlignment="1">
      <alignment horizontal="center" vertical="center"/>
    </xf>
    <xf numFmtId="0" fontId="24" fillId="0" borderId="17" xfId="2" applyBorder="1" applyAlignment="1">
      <alignment horizontal="center" vertical="center"/>
    </xf>
    <xf numFmtId="0" fontId="6" fillId="0" borderId="15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0" fontId="20" fillId="0" borderId="24" xfId="2" applyFont="1" applyBorder="1" applyAlignment="1">
      <alignment horizontal="center" vertical="center" shrinkToFit="1"/>
    </xf>
    <xf numFmtId="0" fontId="20" fillId="0" borderId="11" xfId="2" applyFont="1" applyBorder="1" applyAlignment="1">
      <alignment horizontal="center" vertical="center" shrinkToFit="1"/>
    </xf>
    <xf numFmtId="0" fontId="20" fillId="0" borderId="3" xfId="2" applyFont="1" applyBorder="1" applyAlignment="1">
      <alignment horizontal="center" vertical="center" shrinkToFit="1"/>
    </xf>
    <xf numFmtId="0" fontId="20" fillId="0" borderId="30" xfId="2" applyFont="1" applyBorder="1" applyAlignment="1">
      <alignment horizontal="center" vertical="center" shrinkToFit="1"/>
    </xf>
    <xf numFmtId="0" fontId="20" fillId="0" borderId="0" xfId="2" applyFont="1" applyAlignment="1">
      <alignment horizontal="center" vertical="center" shrinkToFit="1"/>
    </xf>
    <xf numFmtId="0" fontId="20" fillId="0" borderId="31" xfId="2" applyFont="1" applyBorder="1" applyAlignment="1">
      <alignment horizontal="center" vertical="center" shrinkToFit="1"/>
    </xf>
    <xf numFmtId="0" fontId="20" fillId="0" borderId="25" xfId="2" applyFont="1" applyBorder="1" applyAlignment="1">
      <alignment horizontal="center" vertical="center" shrinkToFit="1"/>
    </xf>
    <xf numFmtId="0" fontId="20" fillId="0" borderId="2" xfId="2" applyFont="1" applyBorder="1" applyAlignment="1">
      <alignment horizontal="center" vertical="center" shrinkToFit="1"/>
    </xf>
    <xf numFmtId="0" fontId="20" fillId="0" borderId="29" xfId="2" applyFont="1" applyBorder="1" applyAlignment="1">
      <alignment horizontal="center" vertical="center" shrinkToFit="1"/>
    </xf>
    <xf numFmtId="0" fontId="24" fillId="0" borderId="4" xfId="2" applyBorder="1" applyAlignment="1">
      <alignment horizontal="center" vertical="center"/>
    </xf>
    <xf numFmtId="0" fontId="24" fillId="0" borderId="28" xfId="2" applyBorder="1" applyAlignment="1">
      <alignment horizontal="center" vertical="center"/>
    </xf>
    <xf numFmtId="0" fontId="29" fillId="0" borderId="1" xfId="2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7" fontId="0" fillId="2" borderId="33" xfId="0" applyNumberFormat="1" applyFill="1" applyBorder="1" applyAlignment="1">
      <alignment horizontal="center" vertical="center" wrapText="1"/>
    </xf>
    <xf numFmtId="177" fontId="0" fillId="2" borderId="27" xfId="0" applyNumberFormat="1" applyFill="1" applyBorder="1" applyAlignment="1">
      <alignment horizontal="center" vertical="center" wrapText="1"/>
    </xf>
    <xf numFmtId="177" fontId="0" fillId="2" borderId="28" xfId="0" applyNumberForma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9" fillId="0" borderId="24" xfId="0" applyFont="1" applyBorder="1" applyAlignment="1">
      <alignment horizontal="center" vertical="center" wrapText="1" shrinkToFit="1"/>
    </xf>
    <xf numFmtId="0" fontId="29" fillId="0" borderId="11" xfId="0" applyFont="1" applyBorder="1" applyAlignment="1">
      <alignment horizontal="center" vertical="center" wrapText="1" shrinkToFit="1"/>
    </xf>
    <xf numFmtId="0" fontId="29" fillId="0" borderId="3" xfId="0" applyFont="1" applyBorder="1" applyAlignment="1">
      <alignment horizontal="center" vertical="center" wrapText="1" shrinkToFit="1"/>
    </xf>
    <xf numFmtId="0" fontId="29" fillId="0" borderId="25" xfId="0" applyFont="1" applyBorder="1" applyAlignment="1">
      <alignment horizontal="center" vertical="center" wrapText="1" shrinkToFit="1"/>
    </xf>
    <xf numFmtId="0" fontId="29" fillId="0" borderId="2" xfId="0" applyFont="1" applyBorder="1" applyAlignment="1">
      <alignment horizontal="center" vertical="center" wrapText="1" shrinkToFit="1"/>
    </xf>
    <xf numFmtId="0" fontId="29" fillId="0" borderId="29" xfId="0" applyFont="1" applyBorder="1" applyAlignment="1">
      <alignment horizontal="center" vertical="center" wrapText="1" shrinkToFit="1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18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17"/>
  <sheetViews>
    <sheetView tabSelected="1" view="pageBreakPreview" zoomScale="120" zoomScaleNormal="120" zoomScaleSheetLayoutView="120" workbookViewId="0">
      <pane ySplit="8" topLeftCell="A9" activePane="bottomLeft" state="frozen"/>
      <selection pane="bottomLeft" activeCell="Q9" sqref="Q9:Q17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94" t="s">
        <v>68</v>
      </c>
      <c r="B1" s="126"/>
      <c r="C1" s="126"/>
      <c r="D1" s="131" t="str">
        <f>R2</f>
        <v>26.07.14 동원테크_정웅종합건설(주)_(주)더안_반다비 국민체육센터 건립공사</v>
      </c>
      <c r="E1" s="131"/>
      <c r="F1" s="131"/>
      <c r="G1" s="132"/>
      <c r="R1" s="8" t="s">
        <v>63</v>
      </c>
    </row>
    <row r="2" spans="1:18" ht="16.5" customHeight="1">
      <c r="A2" s="127"/>
      <c r="B2" s="128"/>
      <c r="C2" s="128"/>
      <c r="D2" s="133"/>
      <c r="E2" s="133"/>
      <c r="F2" s="133"/>
      <c r="G2" s="134"/>
      <c r="R2" s="67" t="s">
        <v>92</v>
      </c>
    </row>
    <row r="3" spans="1:18" ht="16.5" customHeight="1">
      <c r="A3" s="127"/>
      <c r="B3" s="128"/>
      <c r="C3" s="128"/>
      <c r="D3" s="133"/>
      <c r="E3" s="133"/>
      <c r="F3" s="133"/>
      <c r="G3" s="134"/>
    </row>
    <row r="4" spans="1:18" ht="17.25" customHeight="1" thickBot="1">
      <c r="A4" s="129"/>
      <c r="B4" s="130"/>
      <c r="C4" s="130"/>
      <c r="D4" s="135"/>
      <c r="E4" s="135"/>
      <c r="F4" s="135"/>
      <c r="G4" s="136"/>
    </row>
    <row r="5" spans="1:18" ht="6.75" customHeight="1" thickTop="1">
      <c r="A5" s="68"/>
      <c r="B5" s="68"/>
      <c r="C5" s="68"/>
      <c r="D5" s="68"/>
      <c r="E5" s="68"/>
      <c r="F5" s="68"/>
      <c r="G5" s="68"/>
    </row>
    <row r="6" spans="1:18" s="10" customFormat="1" ht="18" customHeight="1" thickBot="1">
      <c r="A6" s="119" t="s">
        <v>1</v>
      </c>
      <c r="B6" s="138" t="s">
        <v>62</v>
      </c>
      <c r="C6" s="138" t="s">
        <v>4</v>
      </c>
      <c r="D6" s="138"/>
      <c r="E6" s="138" t="s">
        <v>42</v>
      </c>
      <c r="F6" s="138" t="s">
        <v>37</v>
      </c>
      <c r="G6" s="139" t="s">
        <v>17</v>
      </c>
      <c r="H6" s="9"/>
      <c r="I6" s="124" t="s">
        <v>9</v>
      </c>
      <c r="J6" s="124"/>
      <c r="K6" s="124"/>
      <c r="L6" s="124"/>
      <c r="M6" s="124"/>
      <c r="N6" s="124"/>
      <c r="O6" s="8"/>
    </row>
    <row r="7" spans="1:18" s="10" customFormat="1" ht="18" customHeight="1">
      <c r="A7" s="137"/>
      <c r="B7" s="125"/>
      <c r="C7" s="125" t="s">
        <v>59</v>
      </c>
      <c r="D7" s="125" t="s">
        <v>57</v>
      </c>
      <c r="E7" s="125"/>
      <c r="F7" s="125"/>
      <c r="G7" s="140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37"/>
      <c r="B8" s="125"/>
      <c r="C8" s="125"/>
      <c r="D8" s="125"/>
      <c r="E8" s="125"/>
      <c r="F8" s="125"/>
      <c r="G8" s="140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77" t="s">
        <v>70</v>
      </c>
      <c r="B9" s="49" t="s">
        <v>15</v>
      </c>
      <c r="C9" s="26">
        <v>350</v>
      </c>
      <c r="D9" s="26">
        <v>300</v>
      </c>
      <c r="E9" s="69"/>
      <c r="F9" s="69"/>
      <c r="G9" s="70" t="s">
        <v>80</v>
      </c>
      <c r="H9" s="13"/>
      <c r="I9" s="23"/>
      <c r="J9" s="21"/>
      <c r="K9" s="17"/>
      <c r="L9" s="18"/>
      <c r="M9" s="19"/>
      <c r="N9" s="21"/>
      <c r="O9" s="8"/>
      <c r="Q9" s="10" t="s">
        <v>83</v>
      </c>
    </row>
    <row r="10" spans="1:18" s="10" customFormat="1" ht="18" customHeight="1" thickBot="1">
      <c r="A10" s="77" t="s">
        <v>71</v>
      </c>
      <c r="B10" s="49" t="s">
        <v>15</v>
      </c>
      <c r="C10" s="26">
        <v>450</v>
      </c>
      <c r="D10" s="26">
        <v>300</v>
      </c>
      <c r="E10" s="54"/>
      <c r="F10" s="69"/>
      <c r="G10" s="70" t="s">
        <v>81</v>
      </c>
      <c r="H10" s="13"/>
      <c r="I10" s="23"/>
      <c r="J10" s="21"/>
      <c r="K10" s="17"/>
      <c r="L10" s="18"/>
      <c r="M10" s="19"/>
      <c r="N10" s="21"/>
      <c r="O10" s="8"/>
      <c r="Q10" s="10" t="s">
        <v>84</v>
      </c>
    </row>
    <row r="11" spans="1:18" s="10" customFormat="1" ht="18" customHeight="1" thickBot="1">
      <c r="A11" s="77" t="s">
        <v>72</v>
      </c>
      <c r="B11" s="49" t="s">
        <v>15</v>
      </c>
      <c r="C11" s="26">
        <v>500</v>
      </c>
      <c r="D11" s="26">
        <v>300</v>
      </c>
      <c r="E11" s="54"/>
      <c r="F11" s="69"/>
      <c r="G11" s="70" t="s">
        <v>81</v>
      </c>
      <c r="H11" s="13"/>
      <c r="I11" s="23"/>
      <c r="J11" s="21"/>
      <c r="K11" s="17"/>
      <c r="L11" s="18"/>
      <c r="M11" s="19"/>
      <c r="N11" s="21"/>
      <c r="O11" s="8"/>
      <c r="Q11" s="10" t="s">
        <v>85</v>
      </c>
    </row>
    <row r="12" spans="1:18" s="10" customFormat="1" ht="18" customHeight="1" thickBot="1">
      <c r="A12" s="77" t="s">
        <v>73</v>
      </c>
      <c r="B12" s="49" t="s">
        <v>15</v>
      </c>
      <c r="C12" s="26">
        <v>500</v>
      </c>
      <c r="D12" s="26">
        <v>300</v>
      </c>
      <c r="E12" s="54"/>
      <c r="F12" s="69"/>
      <c r="G12" s="70" t="s">
        <v>81</v>
      </c>
      <c r="H12" s="13"/>
      <c r="I12" s="23"/>
      <c r="J12" s="21"/>
      <c r="K12" s="17"/>
      <c r="L12" s="18"/>
      <c r="M12" s="19"/>
      <c r="N12" s="21"/>
      <c r="O12" s="8"/>
      <c r="Q12" s="10" t="s">
        <v>86</v>
      </c>
    </row>
    <row r="13" spans="1:18" s="10" customFormat="1" ht="18" customHeight="1" thickBot="1">
      <c r="A13" s="77" t="s">
        <v>74</v>
      </c>
      <c r="B13" s="49" t="s">
        <v>15</v>
      </c>
      <c r="C13" s="26">
        <v>700</v>
      </c>
      <c r="D13" s="26">
        <v>500</v>
      </c>
      <c r="E13" s="54"/>
      <c r="F13" s="69"/>
      <c r="G13" s="70" t="s">
        <v>81</v>
      </c>
      <c r="H13" s="13"/>
      <c r="I13" s="12"/>
      <c r="J13" s="12"/>
      <c r="K13" s="17"/>
      <c r="L13" s="18"/>
      <c r="M13" s="19"/>
      <c r="N13" s="12"/>
      <c r="O13" s="8"/>
      <c r="Q13" s="10" t="s">
        <v>87</v>
      </c>
    </row>
    <row r="14" spans="1:18" s="10" customFormat="1" ht="18" customHeight="1" thickBot="1">
      <c r="A14" s="77" t="s">
        <v>75</v>
      </c>
      <c r="B14" s="49" t="s">
        <v>15</v>
      </c>
      <c r="C14" s="26">
        <v>750</v>
      </c>
      <c r="D14" s="26">
        <v>500</v>
      </c>
      <c r="E14" s="54"/>
      <c r="F14" s="69"/>
      <c r="G14" s="70" t="s">
        <v>81</v>
      </c>
      <c r="H14" s="13"/>
      <c r="I14" s="23"/>
      <c r="J14" s="21"/>
      <c r="K14" s="17"/>
      <c r="L14" s="18"/>
      <c r="M14" s="19"/>
      <c r="N14" s="21"/>
      <c r="O14" s="8"/>
      <c r="Q14" s="10" t="s">
        <v>88</v>
      </c>
    </row>
    <row r="15" spans="1:18" s="10" customFormat="1" ht="18" customHeight="1" thickBot="1">
      <c r="A15" s="77" t="s">
        <v>76</v>
      </c>
      <c r="B15" s="49" t="s">
        <v>15</v>
      </c>
      <c r="C15" s="26">
        <v>750</v>
      </c>
      <c r="D15" s="26">
        <v>500</v>
      </c>
      <c r="E15" s="54"/>
      <c r="F15" s="69"/>
      <c r="G15" s="70" t="s">
        <v>81</v>
      </c>
      <c r="H15" s="13"/>
      <c r="I15" s="22"/>
      <c r="J15" s="20"/>
      <c r="K15" s="17"/>
      <c r="L15" s="18"/>
      <c r="M15" s="19"/>
      <c r="N15" s="20"/>
      <c r="O15" s="8"/>
      <c r="Q15" s="10" t="s">
        <v>89</v>
      </c>
    </row>
    <row r="16" spans="1:18" s="10" customFormat="1" ht="18" customHeight="1" thickBot="1">
      <c r="A16" s="77" t="s">
        <v>77</v>
      </c>
      <c r="B16" s="49" t="s">
        <v>15</v>
      </c>
      <c r="C16" s="26">
        <v>1000</v>
      </c>
      <c r="D16" s="26">
        <v>200</v>
      </c>
      <c r="E16" s="54"/>
      <c r="F16" s="69"/>
      <c r="G16" s="70" t="s">
        <v>82</v>
      </c>
      <c r="H16" s="13"/>
      <c r="I16" s="23"/>
      <c r="J16" s="21"/>
      <c r="K16" s="17"/>
      <c r="L16" s="18"/>
      <c r="M16" s="19"/>
      <c r="N16" s="21"/>
      <c r="O16" s="8"/>
      <c r="Q16" s="10" t="s">
        <v>90</v>
      </c>
    </row>
    <row r="17" spans="1:17" s="10" customFormat="1" ht="18" customHeight="1">
      <c r="A17" s="77" t="s">
        <v>78</v>
      </c>
      <c r="B17" s="49" t="s">
        <v>15</v>
      </c>
      <c r="C17" s="26">
        <v>1000</v>
      </c>
      <c r="D17" s="26">
        <v>200</v>
      </c>
      <c r="E17" s="54"/>
      <c r="F17" s="69"/>
      <c r="G17" s="70" t="s">
        <v>82</v>
      </c>
      <c r="H17" s="13"/>
      <c r="I17" s="23"/>
      <c r="J17" s="21"/>
      <c r="K17" s="17"/>
      <c r="L17" s="18"/>
      <c r="M17" s="19"/>
      <c r="N17" s="21"/>
      <c r="O17" s="8"/>
      <c r="Q17" s="10" t="s">
        <v>91</v>
      </c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20"/>
  <sheetViews>
    <sheetView zoomScaleNormal="100" zoomScaleSheetLayoutView="100" workbookViewId="0">
      <selection activeCell="E31" sqref="E31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94"/>
      <c r="B1" s="94"/>
      <c r="C1" s="94"/>
      <c r="D1" s="94"/>
      <c r="E1" s="141" t="s">
        <v>64</v>
      </c>
      <c r="F1" s="142"/>
      <c r="G1" s="142"/>
      <c r="H1" s="142" t="str">
        <f>'1. 소켓인수검사'!R2</f>
        <v>26.07.14 동원테크_정웅종합건설(주)_(주)더안_반다비 국민체육센터 건립공사</v>
      </c>
      <c r="I1" s="142"/>
      <c r="J1" s="142"/>
      <c r="K1" s="142"/>
      <c r="L1" s="142"/>
      <c r="M1" s="142"/>
      <c r="N1" s="142"/>
      <c r="O1" s="147"/>
    </row>
    <row r="2" spans="1:15" ht="16.5" customHeight="1">
      <c r="A2" s="94"/>
      <c r="B2" s="94"/>
      <c r="C2" s="94"/>
      <c r="D2" s="94"/>
      <c r="E2" s="143"/>
      <c r="F2" s="144"/>
      <c r="G2" s="144"/>
      <c r="H2" s="144"/>
      <c r="I2" s="144"/>
      <c r="J2" s="144"/>
      <c r="K2" s="144"/>
      <c r="L2" s="144"/>
      <c r="M2" s="144"/>
      <c r="N2" s="144"/>
      <c r="O2" s="148"/>
    </row>
    <row r="3" spans="1:15" ht="16.5" customHeight="1">
      <c r="A3" s="94"/>
      <c r="B3" s="94"/>
      <c r="C3" s="94"/>
      <c r="D3" s="94"/>
      <c r="E3" s="145"/>
      <c r="F3" s="146"/>
      <c r="G3" s="146"/>
      <c r="H3" s="146"/>
      <c r="I3" s="146"/>
      <c r="J3" s="146"/>
      <c r="K3" s="146"/>
      <c r="L3" s="146"/>
      <c r="M3" s="146"/>
      <c r="N3" s="146"/>
      <c r="O3" s="149"/>
    </row>
    <row r="4" spans="1:15" ht="8.1" customHeight="1">
      <c r="A4" s="150"/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</row>
    <row r="5" spans="1:15" ht="26.45" customHeight="1">
      <c r="A5" s="151" t="s">
        <v>52</v>
      </c>
      <c r="B5" s="152" t="s">
        <v>62</v>
      </c>
      <c r="C5" s="155" t="s">
        <v>4</v>
      </c>
      <c r="D5" s="155"/>
      <c r="E5" s="155" t="s">
        <v>23</v>
      </c>
      <c r="F5" s="156" t="s">
        <v>50</v>
      </c>
      <c r="G5" s="159" t="s">
        <v>19</v>
      </c>
      <c r="H5" s="160"/>
      <c r="I5" s="160"/>
      <c r="J5" s="161"/>
      <c r="K5" s="159" t="s">
        <v>33</v>
      </c>
      <c r="L5" s="160"/>
      <c r="M5" s="160"/>
      <c r="N5" s="160"/>
      <c r="O5" s="156" t="s">
        <v>2</v>
      </c>
    </row>
    <row r="6" spans="1:15" ht="16.5" customHeight="1">
      <c r="A6" s="151"/>
      <c r="B6" s="153"/>
      <c r="C6" s="155" t="s">
        <v>59</v>
      </c>
      <c r="D6" s="155" t="s">
        <v>57</v>
      </c>
      <c r="E6" s="155"/>
      <c r="F6" s="157"/>
      <c r="G6" s="155" t="s">
        <v>59</v>
      </c>
      <c r="H6" s="155"/>
      <c r="I6" s="155" t="s">
        <v>57</v>
      </c>
      <c r="J6" s="155"/>
      <c r="K6" s="155" t="s">
        <v>61</v>
      </c>
      <c r="L6" s="155"/>
      <c r="M6" s="159" t="s">
        <v>58</v>
      </c>
      <c r="N6" s="160"/>
      <c r="O6" s="157"/>
    </row>
    <row r="7" spans="1:15">
      <c r="A7" s="151"/>
      <c r="B7" s="154"/>
      <c r="C7" s="155"/>
      <c r="D7" s="155"/>
      <c r="E7" s="155"/>
      <c r="F7" s="158"/>
      <c r="G7" s="78" t="s">
        <v>4</v>
      </c>
      <c r="H7" s="78" t="s">
        <v>30</v>
      </c>
      <c r="I7" s="81" t="s">
        <v>4</v>
      </c>
      <c r="J7" s="80" t="s">
        <v>30</v>
      </c>
      <c r="K7" s="78" t="s">
        <v>4</v>
      </c>
      <c r="L7" s="78" t="s">
        <v>50</v>
      </c>
      <c r="M7" s="78" t="s">
        <v>4</v>
      </c>
      <c r="N7" s="79" t="s">
        <v>50</v>
      </c>
      <c r="O7" s="158"/>
    </row>
    <row r="8" spans="1:15">
      <c r="A8" s="82" t="str">
        <f>'1. 소켓인수검사'!A9</f>
        <v>01</v>
      </c>
      <c r="B8" s="83" t="s">
        <v>15</v>
      </c>
      <c r="C8" s="52">
        <f>'1. 소켓인수검사'!C9</f>
        <v>350</v>
      </c>
      <c r="D8" s="52">
        <f>'1. 소켓인수검사'!D9</f>
        <v>300</v>
      </c>
      <c r="E8" s="46"/>
      <c r="F8" s="52">
        <v>1</v>
      </c>
      <c r="G8" s="84">
        <f>C8-5</f>
        <v>345</v>
      </c>
      <c r="H8" s="52">
        <f t="shared" ref="H8:H16" si="0">F8*4</f>
        <v>4</v>
      </c>
      <c r="I8" s="85">
        <f t="shared" ref="I8:I16" si="1">D8-30</f>
        <v>270</v>
      </c>
      <c r="J8" s="52">
        <f t="shared" ref="J8:J16" si="2">F8*4</f>
        <v>4</v>
      </c>
      <c r="K8" s="86">
        <f t="shared" ref="K8:K16" si="3">C8+60</f>
        <v>410</v>
      </c>
      <c r="L8" s="52">
        <v>2</v>
      </c>
      <c r="M8" s="86">
        <f>D8</f>
        <v>300</v>
      </c>
      <c r="N8" s="52">
        <v>2</v>
      </c>
      <c r="O8" s="47"/>
    </row>
    <row r="9" spans="1:15">
      <c r="A9" s="87" t="str">
        <f>'1. 소켓인수검사'!A10</f>
        <v>02</v>
      </c>
      <c r="B9" s="88" t="s">
        <v>15</v>
      </c>
      <c r="C9" s="53">
        <f>'1. 소켓인수검사'!C10</f>
        <v>450</v>
      </c>
      <c r="D9" s="53">
        <f>'1. 소켓인수검사'!D10</f>
        <v>300</v>
      </c>
      <c r="E9" s="35"/>
      <c r="F9" s="53">
        <v>1</v>
      </c>
      <c r="G9" s="89">
        <f t="shared" ref="G9:G16" si="4">C9-5</f>
        <v>445</v>
      </c>
      <c r="H9" s="53">
        <f t="shared" si="0"/>
        <v>4</v>
      </c>
      <c r="I9" s="90">
        <f t="shared" si="1"/>
        <v>270</v>
      </c>
      <c r="J9" s="53">
        <f t="shared" si="2"/>
        <v>4</v>
      </c>
      <c r="K9" s="91">
        <f t="shared" si="3"/>
        <v>510</v>
      </c>
      <c r="L9" s="53">
        <v>2</v>
      </c>
      <c r="M9" s="91">
        <f t="shared" ref="M9:M16" si="5">D9</f>
        <v>300</v>
      </c>
      <c r="N9" s="53">
        <v>2</v>
      </c>
      <c r="O9" s="92"/>
    </row>
    <row r="10" spans="1:15">
      <c r="A10" s="87" t="str">
        <f>'1. 소켓인수검사'!A11</f>
        <v>03</v>
      </c>
      <c r="B10" s="88" t="s">
        <v>15</v>
      </c>
      <c r="C10" s="53">
        <f>'1. 소켓인수검사'!C11</f>
        <v>500</v>
      </c>
      <c r="D10" s="53">
        <f>'1. 소켓인수검사'!D11</f>
        <v>300</v>
      </c>
      <c r="E10" s="35"/>
      <c r="F10" s="53">
        <v>1</v>
      </c>
      <c r="G10" s="89">
        <f t="shared" si="4"/>
        <v>495</v>
      </c>
      <c r="H10" s="53">
        <f t="shared" si="0"/>
        <v>4</v>
      </c>
      <c r="I10" s="90">
        <f t="shared" si="1"/>
        <v>270</v>
      </c>
      <c r="J10" s="53">
        <f t="shared" si="2"/>
        <v>4</v>
      </c>
      <c r="K10" s="91">
        <f t="shared" si="3"/>
        <v>560</v>
      </c>
      <c r="L10" s="53">
        <v>2</v>
      </c>
      <c r="M10" s="91">
        <f t="shared" si="5"/>
        <v>300</v>
      </c>
      <c r="N10" s="53">
        <v>2</v>
      </c>
      <c r="O10" s="92"/>
    </row>
    <row r="11" spans="1:15">
      <c r="A11" s="87" t="str">
        <f>'1. 소켓인수검사'!A12</f>
        <v>04</v>
      </c>
      <c r="B11" s="88" t="s">
        <v>15</v>
      </c>
      <c r="C11" s="53">
        <f>'1. 소켓인수검사'!C12</f>
        <v>500</v>
      </c>
      <c r="D11" s="53">
        <f>'1. 소켓인수검사'!D12</f>
        <v>300</v>
      </c>
      <c r="E11" s="35"/>
      <c r="F11" s="53">
        <v>1</v>
      </c>
      <c r="G11" s="89">
        <f t="shared" si="4"/>
        <v>495</v>
      </c>
      <c r="H11" s="53">
        <f t="shared" si="0"/>
        <v>4</v>
      </c>
      <c r="I11" s="90">
        <f t="shared" si="1"/>
        <v>270</v>
      </c>
      <c r="J11" s="53">
        <f t="shared" si="2"/>
        <v>4</v>
      </c>
      <c r="K11" s="91">
        <f t="shared" si="3"/>
        <v>560</v>
      </c>
      <c r="L11" s="53">
        <v>2</v>
      </c>
      <c r="M11" s="91">
        <f t="shared" si="5"/>
        <v>300</v>
      </c>
      <c r="N11" s="53">
        <v>2</v>
      </c>
      <c r="O11" s="92"/>
    </row>
    <row r="12" spans="1:15">
      <c r="A12" s="87" t="str">
        <f>'1. 소켓인수검사'!A13</f>
        <v>05</v>
      </c>
      <c r="B12" s="88" t="s">
        <v>15</v>
      </c>
      <c r="C12" s="53">
        <f>'1. 소켓인수검사'!C13</f>
        <v>700</v>
      </c>
      <c r="D12" s="53">
        <f>'1. 소켓인수검사'!D13</f>
        <v>500</v>
      </c>
      <c r="E12" s="35"/>
      <c r="F12" s="53">
        <v>1</v>
      </c>
      <c r="G12" s="89">
        <f t="shared" si="4"/>
        <v>695</v>
      </c>
      <c r="H12" s="53">
        <f t="shared" si="0"/>
        <v>4</v>
      </c>
      <c r="I12" s="90">
        <f t="shared" si="1"/>
        <v>470</v>
      </c>
      <c r="J12" s="53">
        <f t="shared" si="2"/>
        <v>4</v>
      </c>
      <c r="K12" s="91">
        <f t="shared" si="3"/>
        <v>760</v>
      </c>
      <c r="L12" s="53">
        <v>2</v>
      </c>
      <c r="M12" s="91">
        <f t="shared" si="5"/>
        <v>500</v>
      </c>
      <c r="N12" s="53">
        <v>2</v>
      </c>
      <c r="O12" s="92"/>
    </row>
    <row r="13" spans="1:15">
      <c r="A13" s="87" t="str">
        <f>'1. 소켓인수검사'!A14</f>
        <v>06</v>
      </c>
      <c r="B13" s="88" t="s">
        <v>15</v>
      </c>
      <c r="C13" s="53">
        <f>'1. 소켓인수검사'!C14</f>
        <v>750</v>
      </c>
      <c r="D13" s="53">
        <f>'1. 소켓인수검사'!D14</f>
        <v>500</v>
      </c>
      <c r="E13" s="35"/>
      <c r="F13" s="53">
        <v>1</v>
      </c>
      <c r="G13" s="89">
        <f t="shared" si="4"/>
        <v>745</v>
      </c>
      <c r="H13" s="53">
        <f t="shared" si="0"/>
        <v>4</v>
      </c>
      <c r="I13" s="90">
        <f t="shared" si="1"/>
        <v>470</v>
      </c>
      <c r="J13" s="53">
        <f t="shared" si="2"/>
        <v>4</v>
      </c>
      <c r="K13" s="91">
        <f t="shared" si="3"/>
        <v>810</v>
      </c>
      <c r="L13" s="53">
        <v>2</v>
      </c>
      <c r="M13" s="91">
        <f t="shared" si="5"/>
        <v>500</v>
      </c>
      <c r="N13" s="53">
        <v>2</v>
      </c>
      <c r="O13" s="92"/>
    </row>
    <row r="14" spans="1:15">
      <c r="A14" s="87" t="str">
        <f>'1. 소켓인수검사'!A15</f>
        <v>07</v>
      </c>
      <c r="B14" s="88" t="s">
        <v>15</v>
      </c>
      <c r="C14" s="53">
        <f>'1. 소켓인수검사'!C15</f>
        <v>750</v>
      </c>
      <c r="D14" s="53">
        <f>'1. 소켓인수검사'!D15</f>
        <v>500</v>
      </c>
      <c r="E14" s="35"/>
      <c r="F14" s="53">
        <v>1</v>
      </c>
      <c r="G14" s="89">
        <f t="shared" si="4"/>
        <v>745</v>
      </c>
      <c r="H14" s="53">
        <f t="shared" si="0"/>
        <v>4</v>
      </c>
      <c r="I14" s="90">
        <f t="shared" si="1"/>
        <v>470</v>
      </c>
      <c r="J14" s="53">
        <f t="shared" si="2"/>
        <v>4</v>
      </c>
      <c r="K14" s="91">
        <f t="shared" si="3"/>
        <v>810</v>
      </c>
      <c r="L14" s="53">
        <v>2</v>
      </c>
      <c r="M14" s="91">
        <f t="shared" si="5"/>
        <v>500</v>
      </c>
      <c r="N14" s="53">
        <v>2</v>
      </c>
      <c r="O14" s="92"/>
    </row>
    <row r="15" spans="1:15">
      <c r="A15" s="87" t="str">
        <f>'1. 소켓인수검사'!A16</f>
        <v>08</v>
      </c>
      <c r="B15" s="88" t="s">
        <v>15</v>
      </c>
      <c r="C15" s="53">
        <f>'1. 소켓인수검사'!C16</f>
        <v>1000</v>
      </c>
      <c r="D15" s="53">
        <f>'1. 소켓인수검사'!D16</f>
        <v>200</v>
      </c>
      <c r="E15" s="35"/>
      <c r="F15" s="53">
        <v>1</v>
      </c>
      <c r="G15" s="89">
        <f t="shared" si="4"/>
        <v>995</v>
      </c>
      <c r="H15" s="53">
        <f t="shared" si="0"/>
        <v>4</v>
      </c>
      <c r="I15" s="90">
        <f t="shared" si="1"/>
        <v>170</v>
      </c>
      <c r="J15" s="53">
        <f t="shared" si="2"/>
        <v>4</v>
      </c>
      <c r="K15" s="91">
        <f t="shared" si="3"/>
        <v>1060</v>
      </c>
      <c r="L15" s="53">
        <v>2</v>
      </c>
      <c r="M15" s="91">
        <f t="shared" si="5"/>
        <v>200</v>
      </c>
      <c r="N15" s="53">
        <v>2</v>
      </c>
      <c r="O15" s="92"/>
    </row>
    <row r="16" spans="1:15">
      <c r="A16" s="87" t="str">
        <f>'1. 소켓인수검사'!A17</f>
        <v>09</v>
      </c>
      <c r="B16" s="88" t="s">
        <v>15</v>
      </c>
      <c r="C16" s="53">
        <f>'1. 소켓인수검사'!C17</f>
        <v>1000</v>
      </c>
      <c r="D16" s="53">
        <f>'1. 소켓인수검사'!D17</f>
        <v>200</v>
      </c>
      <c r="E16" s="35"/>
      <c r="F16" s="53">
        <v>1</v>
      </c>
      <c r="G16" s="89">
        <f t="shared" si="4"/>
        <v>995</v>
      </c>
      <c r="H16" s="53">
        <f t="shared" si="0"/>
        <v>4</v>
      </c>
      <c r="I16" s="90">
        <f t="shared" si="1"/>
        <v>170</v>
      </c>
      <c r="J16" s="53">
        <f t="shared" si="2"/>
        <v>4</v>
      </c>
      <c r="K16" s="91">
        <f t="shared" si="3"/>
        <v>1060</v>
      </c>
      <c r="L16" s="53">
        <v>2</v>
      </c>
      <c r="M16" s="91">
        <f t="shared" si="5"/>
        <v>200</v>
      </c>
      <c r="N16" s="53">
        <v>2</v>
      </c>
      <c r="O16" s="92"/>
    </row>
    <row r="17" spans="1:15" ht="8.1" customHeight="1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</row>
    <row r="18" spans="1:15">
      <c r="A18" s="94" t="s">
        <v>44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</row>
    <row r="19" spans="1:15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</row>
    <row r="20" spans="1:15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</row>
  </sheetData>
  <mergeCells count="21">
    <mergeCell ref="A17:O17"/>
    <mergeCell ref="A18:C20"/>
    <mergeCell ref="D18:O20"/>
    <mergeCell ref="K5:N5"/>
    <mergeCell ref="O5:O7"/>
    <mergeCell ref="C6:C7"/>
    <mergeCell ref="D6:D7"/>
    <mergeCell ref="G6:H6"/>
    <mergeCell ref="I6:J6"/>
    <mergeCell ref="K6:L6"/>
    <mergeCell ref="M6:N6"/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19"/>
  <sheetViews>
    <sheetView zoomScaleNormal="100" zoomScaleSheetLayoutView="100" workbookViewId="0">
      <selection activeCell="H30" sqref="H30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94"/>
      <c r="B1" s="94"/>
      <c r="C1" s="94"/>
      <c r="D1" s="94"/>
      <c r="E1" s="94" t="s">
        <v>79</v>
      </c>
      <c r="F1" s="165"/>
      <c r="G1" s="105" t="str">
        <f>'1. 소켓인수검사'!R2</f>
        <v>26.07.14 동원테크_정웅종합건설(주)_(주)더안_반다비 국민체육센터 건립공사</v>
      </c>
      <c r="H1" s="105"/>
      <c r="I1" s="105"/>
      <c r="J1" s="105"/>
      <c r="K1" s="106"/>
    </row>
    <row r="2" spans="1:11" ht="16.5" customHeight="1">
      <c r="A2" s="94"/>
      <c r="B2" s="94"/>
      <c r="C2" s="94"/>
      <c r="D2" s="94"/>
      <c r="E2" s="166"/>
      <c r="F2" s="167"/>
      <c r="G2" s="107"/>
      <c r="H2" s="107"/>
      <c r="I2" s="107"/>
      <c r="J2" s="107"/>
      <c r="K2" s="108"/>
    </row>
    <row r="3" spans="1:11" ht="16.5" customHeight="1">
      <c r="A3" s="94"/>
      <c r="B3" s="94"/>
      <c r="C3" s="94"/>
      <c r="D3" s="94"/>
      <c r="E3" s="168"/>
      <c r="F3" s="169"/>
      <c r="G3" s="109"/>
      <c r="H3" s="109"/>
      <c r="I3" s="109"/>
      <c r="J3" s="109"/>
      <c r="K3" s="110"/>
    </row>
    <row r="4" spans="1:11" ht="8.1" customHeight="1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</row>
    <row r="5" spans="1:11" ht="26.45" customHeight="1">
      <c r="A5" s="170" t="s">
        <v>52</v>
      </c>
      <c r="B5" s="171" t="s">
        <v>62</v>
      </c>
      <c r="C5" s="162" t="s">
        <v>4</v>
      </c>
      <c r="D5" s="162"/>
      <c r="E5" s="162" t="s">
        <v>23</v>
      </c>
      <c r="F5" s="174" t="s">
        <v>50</v>
      </c>
      <c r="G5" s="163" t="s">
        <v>33</v>
      </c>
      <c r="H5" s="164"/>
      <c r="I5" s="164"/>
      <c r="J5" s="164"/>
      <c r="K5" s="174" t="s">
        <v>2</v>
      </c>
    </row>
    <row r="6" spans="1:11" ht="16.5" customHeight="1">
      <c r="A6" s="170"/>
      <c r="B6" s="172"/>
      <c r="C6" s="162" t="s">
        <v>59</v>
      </c>
      <c r="D6" s="162" t="s">
        <v>57</v>
      </c>
      <c r="E6" s="162"/>
      <c r="F6" s="175"/>
      <c r="G6" s="162" t="s">
        <v>61</v>
      </c>
      <c r="H6" s="162"/>
      <c r="I6" s="163" t="s">
        <v>58</v>
      </c>
      <c r="J6" s="164"/>
      <c r="K6" s="175"/>
    </row>
    <row r="7" spans="1:11">
      <c r="A7" s="170"/>
      <c r="B7" s="173"/>
      <c r="C7" s="162"/>
      <c r="D7" s="162"/>
      <c r="E7" s="162"/>
      <c r="F7" s="176"/>
      <c r="G7" s="15" t="s">
        <v>4</v>
      </c>
      <c r="H7" s="15" t="s">
        <v>50</v>
      </c>
      <c r="I7" s="15" t="s">
        <v>4</v>
      </c>
      <c r="J7" s="16" t="s">
        <v>50</v>
      </c>
      <c r="K7" s="176"/>
    </row>
    <row r="8" spans="1:11">
      <c r="A8" s="71" t="str">
        <f>'1. 소켓인수검사'!A9</f>
        <v>01</v>
      </c>
      <c r="B8" s="49" t="s">
        <v>15</v>
      </c>
      <c r="C8" s="45">
        <f>'1. 소켓인수검사'!C9</f>
        <v>350</v>
      </c>
      <c r="D8" s="45">
        <f>'1. 소켓인수검사'!D9</f>
        <v>300</v>
      </c>
      <c r="E8" s="46"/>
      <c r="F8" s="45">
        <v>1</v>
      </c>
      <c r="G8" s="72">
        <f t="shared" ref="G8:G11" si="0">C8+60</f>
        <v>410</v>
      </c>
      <c r="H8" s="45">
        <v>2</v>
      </c>
      <c r="I8" s="72">
        <f>D8</f>
        <v>300</v>
      </c>
      <c r="J8" s="45">
        <v>2</v>
      </c>
      <c r="K8" s="47"/>
    </row>
    <row r="9" spans="1:11">
      <c r="A9" s="73" t="str">
        <f>'1. 소켓인수검사'!A10</f>
        <v>02</v>
      </c>
      <c r="B9" s="49" t="s">
        <v>15</v>
      </c>
      <c r="C9" s="34">
        <f>'1. 소켓인수검사'!C10</f>
        <v>450</v>
      </c>
      <c r="D9" s="34">
        <f>'1. 소켓인수검사'!D10</f>
        <v>300</v>
      </c>
      <c r="E9" s="35"/>
      <c r="F9" s="34">
        <v>1</v>
      </c>
      <c r="G9" s="51">
        <f t="shared" si="0"/>
        <v>510</v>
      </c>
      <c r="H9" s="34">
        <v>2</v>
      </c>
      <c r="I9" s="51">
        <f t="shared" ref="I9:I16" si="1">D9</f>
        <v>300</v>
      </c>
      <c r="J9" s="34">
        <v>2</v>
      </c>
      <c r="K9" s="50"/>
    </row>
    <row r="10" spans="1:11">
      <c r="A10" s="73" t="str">
        <f>'1. 소켓인수검사'!A11</f>
        <v>03</v>
      </c>
      <c r="B10" s="49" t="s">
        <v>15</v>
      </c>
      <c r="C10" s="34">
        <f>'1. 소켓인수검사'!C11</f>
        <v>500</v>
      </c>
      <c r="D10" s="34">
        <f>'1. 소켓인수검사'!D11</f>
        <v>300</v>
      </c>
      <c r="E10" s="35"/>
      <c r="F10" s="34">
        <v>1</v>
      </c>
      <c r="G10" s="51">
        <f t="shared" si="0"/>
        <v>560</v>
      </c>
      <c r="H10" s="34">
        <v>2</v>
      </c>
      <c r="I10" s="51">
        <f t="shared" si="1"/>
        <v>300</v>
      </c>
      <c r="J10" s="34">
        <v>2</v>
      </c>
      <c r="K10" s="50"/>
    </row>
    <row r="11" spans="1:11">
      <c r="A11" s="73" t="str">
        <f>'1. 소켓인수검사'!A12</f>
        <v>04</v>
      </c>
      <c r="B11" s="49" t="s">
        <v>15</v>
      </c>
      <c r="C11" s="34">
        <f>'1. 소켓인수검사'!C12</f>
        <v>500</v>
      </c>
      <c r="D11" s="34">
        <f>'1. 소켓인수검사'!D12</f>
        <v>300</v>
      </c>
      <c r="E11" s="35"/>
      <c r="F11" s="34">
        <v>1</v>
      </c>
      <c r="G11" s="51">
        <f t="shared" si="0"/>
        <v>560</v>
      </c>
      <c r="H11" s="34">
        <v>2</v>
      </c>
      <c r="I11" s="51">
        <f t="shared" si="1"/>
        <v>300</v>
      </c>
      <c r="J11" s="34">
        <v>2</v>
      </c>
      <c r="K11" s="50"/>
    </row>
    <row r="12" spans="1:11">
      <c r="A12" s="73" t="str">
        <f>'1. 소켓인수검사'!A13</f>
        <v>05</v>
      </c>
      <c r="B12" s="49" t="s">
        <v>15</v>
      </c>
      <c r="C12" s="34">
        <f>'1. 소켓인수검사'!C13</f>
        <v>700</v>
      </c>
      <c r="D12" s="34">
        <f>'1. 소켓인수검사'!D13</f>
        <v>500</v>
      </c>
      <c r="E12" s="35"/>
      <c r="F12" s="34">
        <v>1</v>
      </c>
      <c r="G12" s="51">
        <f t="shared" ref="G12:G16" si="2">C12+60</f>
        <v>760</v>
      </c>
      <c r="H12" s="34">
        <v>2</v>
      </c>
      <c r="I12" s="51">
        <f t="shared" si="1"/>
        <v>500</v>
      </c>
      <c r="J12" s="34">
        <v>2</v>
      </c>
      <c r="K12" s="50"/>
    </row>
    <row r="13" spans="1:11">
      <c r="A13" s="73" t="str">
        <f>'1. 소켓인수검사'!A14</f>
        <v>06</v>
      </c>
      <c r="B13" s="49" t="s">
        <v>15</v>
      </c>
      <c r="C13" s="34">
        <f>'1. 소켓인수검사'!C14</f>
        <v>750</v>
      </c>
      <c r="D13" s="34">
        <f>'1. 소켓인수검사'!D14</f>
        <v>500</v>
      </c>
      <c r="E13" s="35"/>
      <c r="F13" s="34">
        <v>1</v>
      </c>
      <c r="G13" s="51">
        <f t="shared" si="2"/>
        <v>810</v>
      </c>
      <c r="H13" s="34">
        <v>2</v>
      </c>
      <c r="I13" s="51">
        <f t="shared" si="1"/>
        <v>500</v>
      </c>
      <c r="J13" s="34">
        <v>2</v>
      </c>
      <c r="K13" s="50"/>
    </row>
    <row r="14" spans="1:11">
      <c r="A14" s="73" t="str">
        <f>'1. 소켓인수검사'!A15</f>
        <v>07</v>
      </c>
      <c r="B14" s="49" t="s">
        <v>15</v>
      </c>
      <c r="C14" s="34">
        <f>'1. 소켓인수검사'!C15</f>
        <v>750</v>
      </c>
      <c r="D14" s="34">
        <f>'1. 소켓인수검사'!D15</f>
        <v>500</v>
      </c>
      <c r="E14" s="35"/>
      <c r="F14" s="34">
        <v>1</v>
      </c>
      <c r="G14" s="51">
        <f t="shared" si="2"/>
        <v>810</v>
      </c>
      <c r="H14" s="34">
        <v>2</v>
      </c>
      <c r="I14" s="51">
        <f t="shared" si="1"/>
        <v>500</v>
      </c>
      <c r="J14" s="34">
        <v>2</v>
      </c>
      <c r="K14" s="50"/>
    </row>
    <row r="15" spans="1:11">
      <c r="A15" s="73" t="str">
        <f>'1. 소켓인수검사'!A16</f>
        <v>08</v>
      </c>
      <c r="B15" s="49" t="s">
        <v>15</v>
      </c>
      <c r="C15" s="34">
        <f>'1. 소켓인수검사'!C16</f>
        <v>1000</v>
      </c>
      <c r="D15" s="34">
        <f>'1. 소켓인수검사'!D16</f>
        <v>200</v>
      </c>
      <c r="E15" s="35"/>
      <c r="F15" s="34">
        <v>1</v>
      </c>
      <c r="G15" s="51">
        <f t="shared" si="2"/>
        <v>1060</v>
      </c>
      <c r="H15" s="34">
        <v>2</v>
      </c>
      <c r="I15" s="51">
        <f t="shared" si="1"/>
        <v>200</v>
      </c>
      <c r="J15" s="34">
        <v>2</v>
      </c>
      <c r="K15" s="50"/>
    </row>
    <row r="16" spans="1:11">
      <c r="A16" s="73" t="str">
        <f>'1. 소켓인수검사'!A17</f>
        <v>09</v>
      </c>
      <c r="B16" s="49" t="s">
        <v>15</v>
      </c>
      <c r="C16" s="34">
        <f>'1. 소켓인수검사'!C17</f>
        <v>1000</v>
      </c>
      <c r="D16" s="34">
        <f>'1. 소켓인수검사'!D17</f>
        <v>200</v>
      </c>
      <c r="E16" s="35"/>
      <c r="F16" s="34">
        <v>1</v>
      </c>
      <c r="G16" s="51">
        <f t="shared" si="2"/>
        <v>1060</v>
      </c>
      <c r="H16" s="34">
        <v>2</v>
      </c>
      <c r="I16" s="51">
        <f t="shared" si="1"/>
        <v>200</v>
      </c>
      <c r="J16" s="34">
        <v>2</v>
      </c>
      <c r="K16" s="50"/>
    </row>
    <row r="17" spans="1:11">
      <c r="A17" s="94" t="s">
        <v>44</v>
      </c>
      <c r="B17" s="94"/>
      <c r="C17" s="94"/>
      <c r="D17" s="94"/>
      <c r="E17" s="94"/>
      <c r="F17" s="94"/>
      <c r="G17" s="94"/>
      <c r="H17" s="94"/>
      <c r="I17" s="94"/>
      <c r="J17" s="94"/>
      <c r="K17" s="94"/>
    </row>
    <row r="18" spans="1:11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</row>
    <row r="19" spans="1:1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</row>
  </sheetData>
  <mergeCells count="17">
    <mergeCell ref="D6:D7"/>
    <mergeCell ref="G6:H6"/>
    <mergeCell ref="I6:J6"/>
    <mergeCell ref="E1:F3"/>
    <mergeCell ref="G1:K3"/>
    <mergeCell ref="A17:C19"/>
    <mergeCell ref="D17:K19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24"/>
  <sheetViews>
    <sheetView zoomScaleNormal="100" zoomScaleSheetLayoutView="100" workbookViewId="0">
      <selection activeCell="I32" sqref="I32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94"/>
      <c r="B1" s="94"/>
      <c r="C1" s="94"/>
      <c r="D1" s="94"/>
      <c r="E1" s="186" t="s">
        <v>65</v>
      </c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8"/>
    </row>
    <row r="2" spans="1:16" ht="16.5" customHeight="1">
      <c r="A2" s="94"/>
      <c r="B2" s="94"/>
      <c r="C2" s="94"/>
      <c r="D2" s="94"/>
      <c r="E2" s="189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1"/>
    </row>
    <row r="3" spans="1:16" ht="16.5" customHeight="1">
      <c r="A3" s="94"/>
      <c r="B3" s="94"/>
      <c r="C3" s="94"/>
      <c r="D3" s="94"/>
      <c r="E3" s="189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1"/>
    </row>
    <row r="4" spans="1:16" ht="16.5" customHeight="1">
      <c r="A4" s="94" t="s">
        <v>16</v>
      </c>
      <c r="B4" s="94"/>
      <c r="C4" s="195"/>
      <c r="D4" s="196"/>
      <c r="E4" s="192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4"/>
    </row>
    <row r="5" spans="1:16">
      <c r="A5" s="94" t="s">
        <v>25</v>
      </c>
      <c r="B5" s="94"/>
      <c r="C5" s="94"/>
      <c r="D5" s="94"/>
      <c r="E5" s="6" t="s">
        <v>31</v>
      </c>
      <c r="F5" s="94"/>
      <c r="G5" s="94"/>
      <c r="H5" s="94" t="s">
        <v>55</v>
      </c>
      <c r="I5" s="94"/>
      <c r="J5" s="94"/>
      <c r="K5" s="94" t="s">
        <v>51</v>
      </c>
      <c r="L5" s="94"/>
      <c r="M5" s="94"/>
      <c r="N5" s="197" t="str">
        <f>'1. 소켓인수검사'!R2</f>
        <v>26.07.14 동원테크_정웅종합건설(주)_(주)더안_반다비 국민체육센터 건립공사</v>
      </c>
      <c r="O5" s="197"/>
      <c r="P5" s="197"/>
    </row>
    <row r="6" spans="1:16">
      <c r="A6" s="94"/>
      <c r="B6" s="94"/>
      <c r="C6" s="94"/>
      <c r="D6" s="94"/>
      <c r="E6" s="6" t="s">
        <v>28</v>
      </c>
      <c r="F6" s="94"/>
      <c r="G6" s="94"/>
      <c r="H6" s="94"/>
      <c r="I6" s="94"/>
      <c r="J6" s="94"/>
      <c r="K6" s="94"/>
      <c r="L6" s="94"/>
      <c r="M6" s="94"/>
      <c r="N6" s="197"/>
      <c r="O6" s="197"/>
      <c r="P6" s="197"/>
    </row>
    <row r="7" spans="1:16" ht="8.1" customHeight="1">
      <c r="A7" s="150"/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</row>
    <row r="8" spans="1:16">
      <c r="A8" s="180" t="s">
        <v>52</v>
      </c>
      <c r="B8" s="182" t="s">
        <v>4</v>
      </c>
      <c r="C8" s="182"/>
      <c r="D8" s="182" t="s">
        <v>27</v>
      </c>
      <c r="E8" s="182" t="s">
        <v>23</v>
      </c>
      <c r="F8" s="182" t="s">
        <v>56</v>
      </c>
      <c r="G8" s="182" t="s">
        <v>26</v>
      </c>
      <c r="H8" s="182"/>
      <c r="I8" s="182"/>
      <c r="J8" s="182"/>
      <c r="K8" s="182"/>
      <c r="L8" s="182"/>
      <c r="M8" s="182"/>
      <c r="N8" s="182"/>
      <c r="O8" s="182"/>
      <c r="P8" s="184" t="s">
        <v>2</v>
      </c>
    </row>
    <row r="9" spans="1:16" ht="16.5" customHeight="1">
      <c r="A9" s="181"/>
      <c r="B9" s="183" t="s">
        <v>59</v>
      </c>
      <c r="C9" s="183" t="s">
        <v>57</v>
      </c>
      <c r="D9" s="183"/>
      <c r="E9" s="183"/>
      <c r="F9" s="183"/>
      <c r="G9" s="183" t="s">
        <v>53</v>
      </c>
      <c r="H9" s="183" t="s">
        <v>59</v>
      </c>
      <c r="I9" s="183"/>
      <c r="J9" s="183" t="s">
        <v>10</v>
      </c>
      <c r="K9" s="183" t="s">
        <v>57</v>
      </c>
      <c r="L9" s="183"/>
      <c r="M9" s="183"/>
      <c r="N9" s="183"/>
      <c r="O9" s="183" t="s">
        <v>10</v>
      </c>
      <c r="P9" s="185"/>
    </row>
    <row r="10" spans="1:16">
      <c r="A10" s="181"/>
      <c r="B10" s="183"/>
      <c r="C10" s="183"/>
      <c r="D10" s="183"/>
      <c r="E10" s="183"/>
      <c r="F10" s="183"/>
      <c r="G10" s="183"/>
      <c r="H10" s="25" t="s">
        <v>4</v>
      </c>
      <c r="I10" s="25" t="s">
        <v>30</v>
      </c>
      <c r="J10" s="183"/>
      <c r="K10" s="183" t="s">
        <v>4</v>
      </c>
      <c r="L10" s="183"/>
      <c r="M10" s="183"/>
      <c r="N10" s="25" t="s">
        <v>30</v>
      </c>
      <c r="O10" s="183"/>
      <c r="P10" s="185"/>
    </row>
    <row r="11" spans="1:16">
      <c r="A11" s="24" t="str">
        <f>'1. 소켓인수검사'!A9</f>
        <v>01</v>
      </c>
      <c r="B11" s="26">
        <f>'1. 소켓인수검사'!C9</f>
        <v>350</v>
      </c>
      <c r="C11" s="26">
        <f>'1. 소켓인수검사'!D9</f>
        <v>300</v>
      </c>
      <c r="D11" s="27">
        <v>1</v>
      </c>
      <c r="E11" s="28"/>
      <c r="F11" s="27">
        <v>1.6</v>
      </c>
      <c r="G11" s="27"/>
      <c r="H11" s="27">
        <f>B11-1</f>
        <v>349</v>
      </c>
      <c r="I11" s="27">
        <f t="shared" ref="I11:I12" si="0">D11*4</f>
        <v>4</v>
      </c>
      <c r="J11" s="27"/>
      <c r="K11" s="179">
        <f t="shared" ref="K11:K12" si="1">C11-30</f>
        <v>270</v>
      </c>
      <c r="L11" s="179"/>
      <c r="M11" s="179"/>
      <c r="N11" s="27">
        <f t="shared" ref="N11:N12" si="2">D11*4</f>
        <v>4</v>
      </c>
      <c r="O11" s="27"/>
      <c r="P11" s="29"/>
    </row>
    <row r="12" spans="1:16">
      <c r="A12" s="24" t="str">
        <f>'1. 소켓인수검사'!A10</f>
        <v>02</v>
      </c>
      <c r="B12" s="26">
        <f>'1. 소켓인수검사'!C10</f>
        <v>450</v>
      </c>
      <c r="C12" s="26">
        <f>'1. 소켓인수검사'!D10</f>
        <v>300</v>
      </c>
      <c r="D12" s="27">
        <v>1</v>
      </c>
      <c r="E12" s="28"/>
      <c r="F12" s="27">
        <v>1.6</v>
      </c>
      <c r="G12" s="27"/>
      <c r="H12" s="27">
        <f t="shared" ref="H12" si="3">B12-1</f>
        <v>449</v>
      </c>
      <c r="I12" s="27">
        <f t="shared" si="0"/>
        <v>4</v>
      </c>
      <c r="J12" s="27"/>
      <c r="K12" s="179">
        <f t="shared" si="1"/>
        <v>270</v>
      </c>
      <c r="L12" s="179"/>
      <c r="M12" s="179"/>
      <c r="N12" s="27">
        <f t="shared" si="2"/>
        <v>4</v>
      </c>
      <c r="O12" s="27"/>
      <c r="P12" s="30"/>
    </row>
    <row r="13" spans="1:16">
      <c r="A13" s="24" t="str">
        <f>'1. 소켓인수검사'!A11</f>
        <v>03</v>
      </c>
      <c r="B13" s="26">
        <f>'1. 소켓인수검사'!C11</f>
        <v>500</v>
      </c>
      <c r="C13" s="26">
        <f>'1. 소켓인수검사'!D11</f>
        <v>300</v>
      </c>
      <c r="D13" s="27">
        <v>1</v>
      </c>
      <c r="E13" s="28"/>
      <c r="F13" s="27">
        <v>1.6</v>
      </c>
      <c r="G13" s="27"/>
      <c r="H13" s="27">
        <f t="shared" ref="H13:H19" si="4">B13-1</f>
        <v>499</v>
      </c>
      <c r="I13" s="27">
        <f t="shared" ref="I13:I19" si="5">D13*4</f>
        <v>4</v>
      </c>
      <c r="J13" s="27"/>
      <c r="K13" s="179">
        <f t="shared" ref="K13:K19" si="6">C13-30</f>
        <v>270</v>
      </c>
      <c r="L13" s="179"/>
      <c r="M13" s="179"/>
      <c r="N13" s="27">
        <f t="shared" ref="N13:N19" si="7">D13*4</f>
        <v>4</v>
      </c>
      <c r="O13" s="27"/>
      <c r="P13" s="30"/>
    </row>
    <row r="14" spans="1:16">
      <c r="A14" s="24" t="str">
        <f>'1. 소켓인수검사'!A12</f>
        <v>04</v>
      </c>
      <c r="B14" s="26">
        <f>'1. 소켓인수검사'!C12</f>
        <v>500</v>
      </c>
      <c r="C14" s="26">
        <f>'1. 소켓인수검사'!D12</f>
        <v>300</v>
      </c>
      <c r="D14" s="27">
        <v>1</v>
      </c>
      <c r="E14" s="28"/>
      <c r="F14" s="27">
        <v>1.6</v>
      </c>
      <c r="G14" s="27"/>
      <c r="H14" s="27">
        <f t="shared" si="4"/>
        <v>499</v>
      </c>
      <c r="I14" s="27">
        <f t="shared" si="5"/>
        <v>4</v>
      </c>
      <c r="J14" s="27"/>
      <c r="K14" s="179">
        <f t="shared" si="6"/>
        <v>270</v>
      </c>
      <c r="L14" s="179"/>
      <c r="M14" s="179"/>
      <c r="N14" s="27">
        <f t="shared" si="7"/>
        <v>4</v>
      </c>
      <c r="O14" s="27"/>
      <c r="P14" s="31"/>
    </row>
    <row r="15" spans="1:16">
      <c r="A15" s="24" t="str">
        <f>'1. 소켓인수검사'!A13</f>
        <v>05</v>
      </c>
      <c r="B15" s="26">
        <f>'1. 소켓인수검사'!C13</f>
        <v>700</v>
      </c>
      <c r="C15" s="26">
        <f>'1. 소켓인수검사'!D13</f>
        <v>500</v>
      </c>
      <c r="D15" s="27">
        <v>1</v>
      </c>
      <c r="E15" s="28"/>
      <c r="F15" s="27">
        <v>1.6</v>
      </c>
      <c r="G15" s="27"/>
      <c r="H15" s="27">
        <f t="shared" si="4"/>
        <v>699</v>
      </c>
      <c r="I15" s="27">
        <f t="shared" si="5"/>
        <v>4</v>
      </c>
      <c r="J15" s="27"/>
      <c r="K15" s="179">
        <f t="shared" si="6"/>
        <v>470</v>
      </c>
      <c r="L15" s="179"/>
      <c r="M15" s="179"/>
      <c r="N15" s="27">
        <f t="shared" si="7"/>
        <v>4</v>
      </c>
      <c r="O15" s="27"/>
      <c r="P15" s="31"/>
    </row>
    <row r="16" spans="1:16">
      <c r="A16" s="24" t="str">
        <f>'1. 소켓인수검사'!A14</f>
        <v>06</v>
      </c>
      <c r="B16" s="26">
        <f>'1. 소켓인수검사'!C14</f>
        <v>750</v>
      </c>
      <c r="C16" s="26">
        <f>'1. 소켓인수검사'!D14</f>
        <v>500</v>
      </c>
      <c r="D16" s="27">
        <v>1</v>
      </c>
      <c r="E16" s="28"/>
      <c r="F16" s="27">
        <v>1.6</v>
      </c>
      <c r="G16" s="27"/>
      <c r="H16" s="27">
        <f t="shared" si="4"/>
        <v>749</v>
      </c>
      <c r="I16" s="27">
        <f t="shared" si="5"/>
        <v>4</v>
      </c>
      <c r="J16" s="27"/>
      <c r="K16" s="179">
        <f t="shared" si="6"/>
        <v>470</v>
      </c>
      <c r="L16" s="179"/>
      <c r="M16" s="179"/>
      <c r="N16" s="27">
        <f t="shared" si="7"/>
        <v>4</v>
      </c>
      <c r="O16" s="27"/>
      <c r="P16" s="31"/>
    </row>
    <row r="17" spans="1:16">
      <c r="A17" s="24" t="str">
        <f>'1. 소켓인수검사'!A15</f>
        <v>07</v>
      </c>
      <c r="B17" s="26">
        <f>'1. 소켓인수검사'!C15</f>
        <v>750</v>
      </c>
      <c r="C17" s="26">
        <f>'1. 소켓인수검사'!D15</f>
        <v>500</v>
      </c>
      <c r="D17" s="27">
        <v>1</v>
      </c>
      <c r="E17" s="28"/>
      <c r="F17" s="27">
        <v>1.6</v>
      </c>
      <c r="G17" s="27"/>
      <c r="H17" s="27">
        <f t="shared" si="4"/>
        <v>749</v>
      </c>
      <c r="I17" s="27">
        <f t="shared" si="5"/>
        <v>4</v>
      </c>
      <c r="J17" s="27"/>
      <c r="K17" s="179">
        <f t="shared" si="6"/>
        <v>470</v>
      </c>
      <c r="L17" s="179"/>
      <c r="M17" s="179"/>
      <c r="N17" s="27">
        <f t="shared" si="7"/>
        <v>4</v>
      </c>
      <c r="O17" s="27"/>
      <c r="P17" s="31"/>
    </row>
    <row r="18" spans="1:16">
      <c r="A18" s="24" t="str">
        <f>'1. 소켓인수검사'!A16</f>
        <v>08</v>
      </c>
      <c r="B18" s="26">
        <f>'1. 소켓인수검사'!C16</f>
        <v>1000</v>
      </c>
      <c r="C18" s="26">
        <f>'1. 소켓인수검사'!D16</f>
        <v>200</v>
      </c>
      <c r="D18" s="27">
        <v>1</v>
      </c>
      <c r="E18" s="28"/>
      <c r="F18" s="27">
        <v>1.6</v>
      </c>
      <c r="G18" s="27"/>
      <c r="H18" s="27">
        <f t="shared" si="4"/>
        <v>999</v>
      </c>
      <c r="I18" s="27">
        <f t="shared" si="5"/>
        <v>4</v>
      </c>
      <c r="J18" s="27"/>
      <c r="K18" s="179">
        <f t="shared" si="6"/>
        <v>170</v>
      </c>
      <c r="L18" s="179"/>
      <c r="M18" s="179"/>
      <c r="N18" s="27">
        <f t="shared" si="7"/>
        <v>4</v>
      </c>
      <c r="O18" s="27"/>
      <c r="P18" s="31"/>
    </row>
    <row r="19" spans="1:16">
      <c r="A19" s="24" t="str">
        <f>'1. 소켓인수검사'!A17</f>
        <v>09</v>
      </c>
      <c r="B19" s="26">
        <f>'1. 소켓인수검사'!C17</f>
        <v>1000</v>
      </c>
      <c r="C19" s="26">
        <f>'1. 소켓인수검사'!D17</f>
        <v>200</v>
      </c>
      <c r="D19" s="27">
        <v>1</v>
      </c>
      <c r="E19" s="28"/>
      <c r="F19" s="27">
        <v>1.6</v>
      </c>
      <c r="G19" s="27"/>
      <c r="H19" s="27">
        <f t="shared" si="4"/>
        <v>999</v>
      </c>
      <c r="I19" s="27">
        <f t="shared" si="5"/>
        <v>4</v>
      </c>
      <c r="J19" s="27"/>
      <c r="K19" s="179">
        <f t="shared" si="6"/>
        <v>170</v>
      </c>
      <c r="L19" s="179"/>
      <c r="M19" s="179"/>
      <c r="N19" s="27">
        <f t="shared" si="7"/>
        <v>4</v>
      </c>
      <c r="O19" s="27"/>
      <c r="P19" s="31"/>
    </row>
    <row r="20" spans="1:16" ht="8.1" customHeight="1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</row>
    <row r="21" spans="1:16">
      <c r="A21" s="177" t="s">
        <v>45</v>
      </c>
      <c r="B21" s="177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</row>
    <row r="22" spans="1:16">
      <c r="A22" s="177"/>
      <c r="B22" s="177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</row>
    <row r="23" spans="1:16">
      <c r="A23" s="177"/>
      <c r="B23" s="177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</row>
    <row r="24" spans="1:16">
      <c r="A24" s="177"/>
      <c r="B24" s="177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</row>
  </sheetData>
  <mergeCells count="40"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A20:P20"/>
    <mergeCell ref="A21:B24"/>
    <mergeCell ref="C21:P24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28"/>
  <sheetViews>
    <sheetView zoomScaleNormal="100" zoomScaleSheetLayoutView="100" workbookViewId="0">
      <pane ySplit="9" topLeftCell="A10" activePane="bottomLeft" state="frozen"/>
      <selection pane="bottomLeft" activeCell="K36" sqref="K36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94"/>
      <c r="B1" s="94"/>
      <c r="C1" s="94"/>
      <c r="D1" s="216" t="s">
        <v>43</v>
      </c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7"/>
      <c r="R1" s="218"/>
      <c r="S1" s="14"/>
    </row>
    <row r="2" spans="1:19">
      <c r="A2" s="94"/>
      <c r="B2" s="94"/>
      <c r="C2" s="94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7"/>
      <c r="R2" s="219"/>
      <c r="S2" s="220"/>
    </row>
    <row r="3" spans="1:19" ht="24" customHeight="1">
      <c r="A3" s="94"/>
      <c r="B3" s="94"/>
      <c r="C3" s="94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7"/>
      <c r="R3" s="219"/>
      <c r="S3" s="220"/>
    </row>
    <row r="4" spans="1:19">
      <c r="A4" s="94" t="s">
        <v>16</v>
      </c>
      <c r="B4" s="94"/>
      <c r="C4" s="1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7"/>
      <c r="R4" s="219"/>
      <c r="S4" s="220"/>
    </row>
    <row r="5" spans="1:19">
      <c r="A5" s="94" t="s">
        <v>25</v>
      </c>
      <c r="B5" s="94"/>
      <c r="C5" s="94"/>
      <c r="D5" s="2" t="s">
        <v>31</v>
      </c>
      <c r="E5" s="221"/>
      <c r="F5" s="222"/>
      <c r="G5" s="223" t="s">
        <v>55</v>
      </c>
      <c r="H5" s="111"/>
      <c r="I5" s="112"/>
      <c r="J5" s="112"/>
      <c r="K5" s="113"/>
      <c r="L5" s="223" t="s">
        <v>20</v>
      </c>
      <c r="M5" s="57"/>
      <c r="N5" s="57"/>
      <c r="O5" s="223" t="s">
        <v>20</v>
      </c>
      <c r="P5" s="225" t="str">
        <f>'1. 소켓인수검사'!R2</f>
        <v>26.07.14 동원테크_정웅종합건설(주)_(주)더안_반다비 국민체육센터 건립공사</v>
      </c>
      <c r="Q5" s="226"/>
      <c r="R5" s="226"/>
      <c r="S5" s="227"/>
    </row>
    <row r="6" spans="1:19">
      <c r="A6" s="94"/>
      <c r="B6" s="94"/>
      <c r="C6" s="94"/>
      <c r="D6" s="2" t="s">
        <v>28</v>
      </c>
      <c r="E6" s="221"/>
      <c r="F6" s="222"/>
      <c r="G6" s="224"/>
      <c r="H6" s="116"/>
      <c r="I6" s="117"/>
      <c r="J6" s="117"/>
      <c r="K6" s="118"/>
      <c r="L6" s="224"/>
      <c r="M6" s="58"/>
      <c r="N6" s="58"/>
      <c r="O6" s="224"/>
      <c r="P6" s="228"/>
      <c r="Q6" s="229"/>
      <c r="R6" s="229"/>
      <c r="S6" s="230"/>
    </row>
    <row r="7" spans="1:19" ht="8.1" customHeight="1">
      <c r="A7" s="116"/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8"/>
    </row>
    <row r="8" spans="1:19" ht="16.5" customHeight="1">
      <c r="A8" s="119" t="s">
        <v>52</v>
      </c>
      <c r="B8" s="98" t="s">
        <v>59</v>
      </c>
      <c r="C8" s="98" t="s">
        <v>57</v>
      </c>
      <c r="D8" s="98" t="s">
        <v>62</v>
      </c>
      <c r="E8" s="98" t="s">
        <v>47</v>
      </c>
      <c r="F8" s="98" t="s">
        <v>54</v>
      </c>
      <c r="G8" s="98" t="s">
        <v>22</v>
      </c>
      <c r="H8" s="98"/>
      <c r="I8" s="98"/>
      <c r="J8" s="98" t="s">
        <v>0</v>
      </c>
      <c r="K8" s="98"/>
      <c r="L8" s="98"/>
      <c r="M8" s="98" t="s">
        <v>0</v>
      </c>
      <c r="N8" s="98"/>
      <c r="O8" s="98"/>
      <c r="P8" s="98" t="s">
        <v>0</v>
      </c>
      <c r="Q8" s="98"/>
      <c r="R8" s="98"/>
      <c r="S8" s="214"/>
    </row>
    <row r="9" spans="1:19" ht="33" customHeight="1">
      <c r="A9" s="120"/>
      <c r="B9" s="123"/>
      <c r="C9" s="123"/>
      <c r="D9" s="123"/>
      <c r="E9" s="123"/>
      <c r="F9" s="123"/>
      <c r="G9" s="60" t="s">
        <v>32</v>
      </c>
      <c r="H9" s="60" t="s">
        <v>50</v>
      </c>
      <c r="I9" s="60" t="s">
        <v>49</v>
      </c>
      <c r="J9" s="60" t="s">
        <v>18</v>
      </c>
      <c r="K9" s="60" t="s">
        <v>50</v>
      </c>
      <c r="L9" s="60" t="s">
        <v>49</v>
      </c>
      <c r="M9" s="60" t="s">
        <v>24</v>
      </c>
      <c r="N9" s="60" t="s">
        <v>50</v>
      </c>
      <c r="O9" s="60" t="s">
        <v>49</v>
      </c>
      <c r="P9" s="60" t="s">
        <v>21</v>
      </c>
      <c r="Q9" s="60" t="s">
        <v>50</v>
      </c>
      <c r="R9" s="123" t="s">
        <v>49</v>
      </c>
      <c r="S9" s="215"/>
    </row>
    <row r="10" spans="1:19">
      <c r="A10" s="48" t="str">
        <f>'1. 소켓인수검사'!A9</f>
        <v>01</v>
      </c>
      <c r="B10" s="34">
        <f>'1. 소켓인수검사'!C9</f>
        <v>350</v>
      </c>
      <c r="C10" s="34">
        <f>'1. 소켓인수검사'!D9</f>
        <v>300</v>
      </c>
      <c r="D10" s="49" t="s">
        <v>15</v>
      </c>
      <c r="E10" s="55">
        <f>B10*C10/1000000</f>
        <v>0.105</v>
      </c>
      <c r="F10" s="55">
        <f>(B10+C10)*2/1000</f>
        <v>1.3</v>
      </c>
      <c r="G10" s="26">
        <f>(F10+0.4)</f>
        <v>1.7000000000000002</v>
      </c>
      <c r="H10" s="26">
        <v>4</v>
      </c>
      <c r="I10" s="56">
        <f>G10*H10</f>
        <v>6.8000000000000007</v>
      </c>
      <c r="J10" s="26"/>
      <c r="K10" s="26"/>
      <c r="L10" s="26"/>
      <c r="M10" s="26"/>
      <c r="N10" s="26"/>
      <c r="O10" s="26"/>
      <c r="P10" s="26"/>
      <c r="Q10" s="26"/>
      <c r="R10" s="212"/>
      <c r="S10" s="213"/>
    </row>
    <row r="11" spans="1:19">
      <c r="A11" s="48" t="str">
        <f>'1. 소켓인수검사'!A10</f>
        <v>02</v>
      </c>
      <c r="B11" s="34">
        <f>'1. 소켓인수검사'!C10</f>
        <v>450</v>
      </c>
      <c r="C11" s="34">
        <f>'1. 소켓인수검사'!D10</f>
        <v>300</v>
      </c>
      <c r="D11" s="49" t="s">
        <v>15</v>
      </c>
      <c r="E11" s="55">
        <f t="shared" ref="E11:E18" si="0">B11*C11/1000000</f>
        <v>0.13500000000000001</v>
      </c>
      <c r="F11" s="55">
        <f t="shared" ref="F11:F18" si="1">(B11+C11)*2/1000</f>
        <v>1.5</v>
      </c>
      <c r="G11" s="26">
        <f>(F11+0.4)</f>
        <v>1.9</v>
      </c>
      <c r="H11" s="26">
        <v>4</v>
      </c>
      <c r="I11" s="56">
        <f>G11*H11</f>
        <v>7.6</v>
      </c>
      <c r="J11" s="26"/>
      <c r="K11" s="26"/>
      <c r="L11" s="26"/>
      <c r="M11" s="26"/>
      <c r="N11" s="26"/>
      <c r="O11" s="26"/>
      <c r="P11" s="26"/>
      <c r="Q11" s="26"/>
      <c r="R11" s="212"/>
      <c r="S11" s="213"/>
    </row>
    <row r="12" spans="1:19">
      <c r="A12" s="48" t="str">
        <f>'1. 소켓인수검사'!A11</f>
        <v>03</v>
      </c>
      <c r="B12" s="34">
        <f>'1. 소켓인수검사'!C11</f>
        <v>500</v>
      </c>
      <c r="C12" s="34">
        <f>'1. 소켓인수검사'!D11</f>
        <v>300</v>
      </c>
      <c r="D12" s="49" t="s">
        <v>15</v>
      </c>
      <c r="E12" s="55">
        <f t="shared" si="0"/>
        <v>0.15</v>
      </c>
      <c r="F12" s="55">
        <f t="shared" si="1"/>
        <v>1.6</v>
      </c>
      <c r="G12" s="26">
        <f t="shared" ref="G12:G18" si="2">(F12+0.4)</f>
        <v>2</v>
      </c>
      <c r="H12" s="26">
        <v>4</v>
      </c>
      <c r="I12" s="56">
        <f t="shared" ref="I12:I18" si="3">G12*H12</f>
        <v>8</v>
      </c>
      <c r="J12" s="26"/>
      <c r="K12" s="26"/>
      <c r="L12" s="26"/>
      <c r="M12" s="26"/>
      <c r="N12" s="26"/>
      <c r="O12" s="26"/>
      <c r="P12" s="26"/>
      <c r="Q12" s="26"/>
      <c r="R12" s="212"/>
      <c r="S12" s="213"/>
    </row>
    <row r="13" spans="1:19">
      <c r="A13" s="48" t="str">
        <f>'1. 소켓인수검사'!A12</f>
        <v>04</v>
      </c>
      <c r="B13" s="34">
        <f>'1. 소켓인수검사'!C12</f>
        <v>500</v>
      </c>
      <c r="C13" s="34">
        <f>'1. 소켓인수검사'!D12</f>
        <v>300</v>
      </c>
      <c r="D13" s="49" t="s">
        <v>15</v>
      </c>
      <c r="E13" s="55">
        <f t="shared" si="0"/>
        <v>0.15</v>
      </c>
      <c r="F13" s="55">
        <f t="shared" si="1"/>
        <v>1.6</v>
      </c>
      <c r="G13" s="26">
        <f t="shared" si="2"/>
        <v>2</v>
      </c>
      <c r="H13" s="26">
        <v>4</v>
      </c>
      <c r="I13" s="56">
        <f t="shared" si="3"/>
        <v>8</v>
      </c>
      <c r="J13" s="26"/>
      <c r="K13" s="26"/>
      <c r="L13" s="26"/>
      <c r="M13" s="26"/>
      <c r="N13" s="26"/>
      <c r="O13" s="26"/>
      <c r="P13" s="26"/>
      <c r="Q13" s="26"/>
      <c r="R13" s="212"/>
      <c r="S13" s="213"/>
    </row>
    <row r="14" spans="1:19">
      <c r="A14" s="48" t="str">
        <f>'1. 소켓인수검사'!A13</f>
        <v>05</v>
      </c>
      <c r="B14" s="34">
        <f>'1. 소켓인수검사'!C13</f>
        <v>700</v>
      </c>
      <c r="C14" s="34">
        <f>'1. 소켓인수검사'!D13</f>
        <v>500</v>
      </c>
      <c r="D14" s="49" t="s">
        <v>15</v>
      </c>
      <c r="E14" s="55">
        <f t="shared" si="0"/>
        <v>0.35</v>
      </c>
      <c r="F14" s="55">
        <f t="shared" si="1"/>
        <v>2.4</v>
      </c>
      <c r="G14" s="26">
        <f t="shared" si="2"/>
        <v>2.8</v>
      </c>
      <c r="H14" s="26">
        <v>4</v>
      </c>
      <c r="I14" s="56">
        <f t="shared" si="3"/>
        <v>11.2</v>
      </c>
      <c r="J14" s="26"/>
      <c r="K14" s="26"/>
      <c r="L14" s="26"/>
      <c r="M14" s="26"/>
      <c r="N14" s="26"/>
      <c r="O14" s="26"/>
      <c r="P14" s="26"/>
      <c r="Q14" s="26"/>
      <c r="R14" s="212"/>
      <c r="S14" s="213"/>
    </row>
    <row r="15" spans="1:19">
      <c r="A15" s="48" t="str">
        <f>'1. 소켓인수검사'!A14</f>
        <v>06</v>
      </c>
      <c r="B15" s="34">
        <f>'1. 소켓인수검사'!C14</f>
        <v>750</v>
      </c>
      <c r="C15" s="34">
        <f>'1. 소켓인수검사'!D14</f>
        <v>500</v>
      </c>
      <c r="D15" s="49" t="s">
        <v>15</v>
      </c>
      <c r="E15" s="55">
        <f t="shared" si="0"/>
        <v>0.375</v>
      </c>
      <c r="F15" s="55">
        <f t="shared" si="1"/>
        <v>2.5</v>
      </c>
      <c r="G15" s="26">
        <f t="shared" si="2"/>
        <v>2.9</v>
      </c>
      <c r="H15" s="26">
        <v>4</v>
      </c>
      <c r="I15" s="56">
        <f t="shared" si="3"/>
        <v>11.6</v>
      </c>
      <c r="J15" s="26"/>
      <c r="K15" s="26"/>
      <c r="L15" s="26"/>
      <c r="M15" s="26"/>
      <c r="N15" s="26"/>
      <c r="O15" s="26"/>
      <c r="P15" s="26"/>
      <c r="Q15" s="26"/>
      <c r="R15" s="212"/>
      <c r="S15" s="213"/>
    </row>
    <row r="16" spans="1:19">
      <c r="A16" s="48" t="str">
        <f>'1. 소켓인수검사'!A15</f>
        <v>07</v>
      </c>
      <c r="B16" s="34">
        <f>'1. 소켓인수검사'!C15</f>
        <v>750</v>
      </c>
      <c r="C16" s="34">
        <f>'1. 소켓인수검사'!D15</f>
        <v>500</v>
      </c>
      <c r="D16" s="49" t="s">
        <v>15</v>
      </c>
      <c r="E16" s="55">
        <f t="shared" si="0"/>
        <v>0.375</v>
      </c>
      <c r="F16" s="55">
        <f t="shared" si="1"/>
        <v>2.5</v>
      </c>
      <c r="G16" s="26">
        <f t="shared" si="2"/>
        <v>2.9</v>
      </c>
      <c r="H16" s="26">
        <v>4</v>
      </c>
      <c r="I16" s="56">
        <f t="shared" si="3"/>
        <v>11.6</v>
      </c>
      <c r="J16" s="26"/>
      <c r="K16" s="26"/>
      <c r="L16" s="26"/>
      <c r="M16" s="26"/>
      <c r="N16" s="26"/>
      <c r="O16" s="26"/>
      <c r="P16" s="26"/>
      <c r="Q16" s="26"/>
      <c r="R16" s="212"/>
      <c r="S16" s="213"/>
    </row>
    <row r="17" spans="1:19">
      <c r="A17" s="48" t="str">
        <f>'1. 소켓인수검사'!A16</f>
        <v>08</v>
      </c>
      <c r="B17" s="34">
        <f>'1. 소켓인수검사'!C16</f>
        <v>1000</v>
      </c>
      <c r="C17" s="34">
        <f>'1. 소켓인수검사'!D16</f>
        <v>200</v>
      </c>
      <c r="D17" s="49" t="s">
        <v>15</v>
      </c>
      <c r="E17" s="55">
        <f t="shared" si="0"/>
        <v>0.2</v>
      </c>
      <c r="F17" s="55">
        <f t="shared" si="1"/>
        <v>2.4</v>
      </c>
      <c r="G17" s="26">
        <f t="shared" si="2"/>
        <v>2.8</v>
      </c>
      <c r="H17" s="26">
        <v>4</v>
      </c>
      <c r="I17" s="56">
        <f t="shared" si="3"/>
        <v>11.2</v>
      </c>
      <c r="J17" s="26"/>
      <c r="K17" s="26"/>
      <c r="L17" s="26"/>
      <c r="M17" s="26"/>
      <c r="N17" s="26"/>
      <c r="O17" s="26"/>
      <c r="P17" s="26"/>
      <c r="Q17" s="26"/>
      <c r="R17" s="212"/>
      <c r="S17" s="213"/>
    </row>
    <row r="18" spans="1:19">
      <c r="A18" s="48" t="str">
        <f>'1. 소켓인수검사'!A17</f>
        <v>09</v>
      </c>
      <c r="B18" s="34">
        <f>'1. 소켓인수검사'!C17</f>
        <v>1000</v>
      </c>
      <c r="C18" s="34">
        <f>'1. 소켓인수검사'!D17</f>
        <v>200</v>
      </c>
      <c r="D18" s="49" t="s">
        <v>15</v>
      </c>
      <c r="E18" s="55">
        <f t="shared" si="0"/>
        <v>0.2</v>
      </c>
      <c r="F18" s="55">
        <f t="shared" si="1"/>
        <v>2.4</v>
      </c>
      <c r="G18" s="26">
        <f t="shared" si="2"/>
        <v>2.8</v>
      </c>
      <c r="H18" s="26">
        <v>4</v>
      </c>
      <c r="I18" s="56">
        <f t="shared" si="3"/>
        <v>11.2</v>
      </c>
      <c r="J18" s="26"/>
      <c r="K18" s="26"/>
      <c r="L18" s="26"/>
      <c r="M18" s="26"/>
      <c r="N18" s="26"/>
      <c r="O18" s="26"/>
      <c r="P18" s="26"/>
      <c r="Q18" s="26"/>
      <c r="R18" s="212"/>
      <c r="S18" s="213"/>
    </row>
    <row r="19" spans="1:19">
      <c r="A19" s="207" t="s">
        <v>3</v>
      </c>
      <c r="B19" s="208"/>
      <c r="C19" s="208"/>
      <c r="D19" s="208"/>
      <c r="E19" s="208"/>
      <c r="F19" s="209"/>
      <c r="G19" s="32"/>
      <c r="H19" s="42"/>
      <c r="I19" s="64">
        <f>SUM(I10:I18)</f>
        <v>87.2</v>
      </c>
      <c r="J19" s="32"/>
      <c r="K19" s="32"/>
      <c r="L19" s="64">
        <f>SUM(L10:L18)</f>
        <v>0</v>
      </c>
      <c r="M19" s="32"/>
      <c r="N19" s="32"/>
      <c r="O19" s="64">
        <f>SUM(O10:O18)</f>
        <v>0</v>
      </c>
      <c r="P19" s="32"/>
      <c r="Q19" s="32"/>
      <c r="R19" s="210">
        <f>SUM(R10:S18)</f>
        <v>0</v>
      </c>
      <c r="S19" s="211"/>
    </row>
    <row r="20" spans="1:19" ht="17.25" customHeight="1">
      <c r="A20" s="200" t="s">
        <v>13</v>
      </c>
      <c r="B20" s="201"/>
      <c r="C20" s="201"/>
      <c r="D20" s="201"/>
      <c r="E20" s="201"/>
      <c r="F20" s="202"/>
      <c r="G20" s="203">
        <f>I19/20</f>
        <v>4.3600000000000003</v>
      </c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5"/>
    </row>
    <row r="21" spans="1:19">
      <c r="A21" s="200" t="s">
        <v>12</v>
      </c>
      <c r="B21" s="201"/>
      <c r="C21" s="201"/>
      <c r="D21" s="201"/>
      <c r="E21" s="201"/>
      <c r="F21" s="202"/>
      <c r="G21" s="203">
        <f>L19/3.6</f>
        <v>0</v>
      </c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5"/>
    </row>
    <row r="22" spans="1:19">
      <c r="A22" s="206" t="s">
        <v>69</v>
      </c>
      <c r="B22" s="201"/>
      <c r="C22" s="201"/>
      <c r="D22" s="201"/>
      <c r="E22" s="201"/>
      <c r="F22" s="202"/>
      <c r="G22" s="203">
        <f>O19/7.4</f>
        <v>0</v>
      </c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5"/>
    </row>
    <row r="23" spans="1:19">
      <c r="A23" s="200" t="s">
        <v>14</v>
      </c>
      <c r="B23" s="201"/>
      <c r="C23" s="201"/>
      <c r="D23" s="201"/>
      <c r="E23" s="201"/>
      <c r="F23" s="202"/>
      <c r="G23" s="203">
        <f>R19/3.6</f>
        <v>0</v>
      </c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5"/>
    </row>
    <row r="24" spans="1:19" ht="8.1" customHeight="1">
      <c r="A24" s="1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</row>
    <row r="25" spans="1:19">
      <c r="A25" s="94" t="s">
        <v>45</v>
      </c>
      <c r="B25" s="94"/>
      <c r="C25" s="198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</row>
    <row r="26" spans="1:19">
      <c r="A26" s="94"/>
      <c r="B26" s="94"/>
      <c r="C26" s="199"/>
      <c r="D26" s="199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</row>
    <row r="27" spans="1:19">
      <c r="A27" s="94"/>
      <c r="B27" s="94"/>
      <c r="C27" s="199"/>
      <c r="D27" s="199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</row>
    <row r="28" spans="1:19">
      <c r="A28" s="94"/>
      <c r="B28" s="94"/>
      <c r="C28" s="199"/>
      <c r="D28" s="199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</row>
  </sheetData>
  <mergeCells count="48">
    <mergeCell ref="L5:L6"/>
    <mergeCell ref="O5:O6"/>
    <mergeCell ref="P5:S6"/>
    <mergeCell ref="E6:F6"/>
    <mergeCell ref="A5:B6"/>
    <mergeCell ref="C5:C6"/>
    <mergeCell ref="E5:F5"/>
    <mergeCell ref="G5:G6"/>
    <mergeCell ref="H5:K6"/>
    <mergeCell ref="A1:C3"/>
    <mergeCell ref="D1:Q4"/>
    <mergeCell ref="R1:R4"/>
    <mergeCell ref="S2:S4"/>
    <mergeCell ref="A4:B4"/>
    <mergeCell ref="A7:S7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A19:F19"/>
    <mergeCell ref="R19:S1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A25:B28"/>
    <mergeCell ref="C25:S28"/>
    <mergeCell ref="A20:F20"/>
    <mergeCell ref="G20:S20"/>
    <mergeCell ref="A21:F21"/>
    <mergeCell ref="G21:S21"/>
    <mergeCell ref="A22:F22"/>
    <mergeCell ref="G22:S22"/>
    <mergeCell ref="A23:F23"/>
    <mergeCell ref="G23:S23"/>
    <mergeCell ref="A24:S24"/>
  </mergeCells>
  <phoneticPr fontId="25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23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L27" sqref="L27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94"/>
      <c r="B1" s="94"/>
      <c r="C1" s="94"/>
      <c r="D1" s="94"/>
      <c r="E1" s="75" t="s">
        <v>6</v>
      </c>
      <c r="F1" s="102" t="s">
        <v>66</v>
      </c>
      <c r="G1" s="102"/>
      <c r="H1" s="102"/>
      <c r="I1" s="102"/>
      <c r="J1" s="102"/>
      <c r="K1" s="105" t="str">
        <f>'1. 소켓인수검사'!R2</f>
        <v>26.07.14 동원테크_정웅종합건설(주)_(주)더안_반다비 국민체육센터 건립공사</v>
      </c>
      <c r="L1" s="105"/>
      <c r="M1" s="105"/>
      <c r="N1" s="105"/>
      <c r="O1" s="105"/>
      <c r="P1" s="105"/>
      <c r="Q1" s="105"/>
      <c r="R1" s="105"/>
      <c r="S1" s="105"/>
      <c r="T1" s="105"/>
      <c r="U1" s="106"/>
    </row>
    <row r="2" spans="1:21" ht="16.5" customHeight="1">
      <c r="A2" s="94"/>
      <c r="B2" s="94"/>
      <c r="C2" s="94"/>
      <c r="D2" s="94"/>
      <c r="E2" s="74"/>
      <c r="F2" s="103"/>
      <c r="G2" s="103"/>
      <c r="H2" s="103"/>
      <c r="I2" s="103"/>
      <c r="J2" s="103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8"/>
    </row>
    <row r="3" spans="1:21" ht="24" customHeight="1">
      <c r="A3" s="94"/>
      <c r="B3" s="94"/>
      <c r="C3" s="94"/>
      <c r="D3" s="94"/>
      <c r="E3" s="76"/>
      <c r="F3" s="104"/>
      <c r="G3" s="104"/>
      <c r="H3" s="104"/>
      <c r="I3" s="104"/>
      <c r="J3" s="104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10"/>
    </row>
    <row r="4" spans="1:21" ht="8.1" customHeight="1">
      <c r="A4" s="116"/>
      <c r="B4" s="117"/>
      <c r="C4" s="117"/>
      <c r="D4" s="117"/>
      <c r="E4" s="117"/>
      <c r="F4" s="117"/>
      <c r="G4" s="117"/>
      <c r="H4" s="116"/>
      <c r="I4" s="117"/>
      <c r="J4" s="117"/>
      <c r="K4" s="117"/>
      <c r="L4" s="117"/>
      <c r="M4" s="117"/>
      <c r="N4" s="117"/>
      <c r="O4" s="117"/>
      <c r="P4" s="117"/>
      <c r="Q4" s="3"/>
      <c r="S4" s="3"/>
      <c r="T4" s="3"/>
      <c r="U4" s="3"/>
    </row>
    <row r="5" spans="1:21" ht="16.5" customHeight="1">
      <c r="A5" s="119" t="s">
        <v>52</v>
      </c>
      <c r="B5" s="121" t="s">
        <v>35</v>
      </c>
      <c r="C5" s="98" t="s">
        <v>59</v>
      </c>
      <c r="D5" s="98" t="s">
        <v>57</v>
      </c>
      <c r="E5" s="98" t="s">
        <v>23</v>
      </c>
      <c r="F5" s="98" t="s">
        <v>47</v>
      </c>
      <c r="G5" s="98" t="s">
        <v>54</v>
      </c>
      <c r="H5" s="98" t="s">
        <v>39</v>
      </c>
      <c r="I5" s="98" t="s">
        <v>22</v>
      </c>
      <c r="J5" s="98"/>
      <c r="K5" s="98" t="s">
        <v>0</v>
      </c>
      <c r="L5" s="98"/>
      <c r="M5" s="98" t="s">
        <v>0</v>
      </c>
      <c r="N5" s="98"/>
      <c r="O5" s="98" t="s">
        <v>0</v>
      </c>
      <c r="P5" s="98"/>
      <c r="Q5" s="95" t="s">
        <v>46</v>
      </c>
      <c r="R5" s="95"/>
      <c r="S5" s="96" t="s">
        <v>29</v>
      </c>
      <c r="T5" s="96" t="s">
        <v>51</v>
      </c>
      <c r="U5" s="94" t="s">
        <v>17</v>
      </c>
    </row>
    <row r="6" spans="1:21" ht="26.45" customHeight="1">
      <c r="A6" s="120"/>
      <c r="B6" s="122"/>
      <c r="C6" s="123"/>
      <c r="D6" s="123"/>
      <c r="E6" s="123"/>
      <c r="F6" s="123"/>
      <c r="G6" s="123"/>
      <c r="H6" s="123"/>
      <c r="I6" s="60" t="s">
        <v>7</v>
      </c>
      <c r="J6" s="33" t="s">
        <v>50</v>
      </c>
      <c r="K6" s="60" t="s">
        <v>67</v>
      </c>
      <c r="L6" s="33" t="s">
        <v>50</v>
      </c>
      <c r="M6" s="60" t="s">
        <v>34</v>
      </c>
      <c r="N6" s="33" t="s">
        <v>50</v>
      </c>
      <c r="O6" s="60" t="s">
        <v>36</v>
      </c>
      <c r="P6" s="33" t="s">
        <v>50</v>
      </c>
      <c r="Q6" s="60" t="s">
        <v>48</v>
      </c>
      <c r="R6" s="33" t="s">
        <v>60</v>
      </c>
      <c r="S6" s="97"/>
      <c r="T6" s="97"/>
      <c r="U6" s="99"/>
    </row>
    <row r="7" spans="1:21">
      <c r="A7" s="48" t="str">
        <f>'1. 소켓인수검사'!A9</f>
        <v>01</v>
      </c>
      <c r="B7" s="61" t="s">
        <v>41</v>
      </c>
      <c r="C7" s="34">
        <f>'1. 소켓인수검사'!C9</f>
        <v>350</v>
      </c>
      <c r="D7" s="34">
        <f>'1. 소켓인수검사'!D9</f>
        <v>300</v>
      </c>
      <c r="E7" s="35"/>
      <c r="F7" s="36">
        <f>C7*D7/1000000</f>
        <v>0.105</v>
      </c>
      <c r="G7" s="36">
        <f>(C7+D7)*2/1000</f>
        <v>1.3</v>
      </c>
      <c r="H7" s="41">
        <v>3</v>
      </c>
      <c r="I7" s="60">
        <f>(G7+0.4)</f>
        <v>1.7000000000000002</v>
      </c>
      <c r="J7" s="33">
        <v>4</v>
      </c>
      <c r="K7" s="26"/>
      <c r="L7" s="33"/>
      <c r="M7" s="26"/>
      <c r="N7" s="33"/>
      <c r="O7" s="26"/>
      <c r="P7" s="33"/>
      <c r="Q7" s="37">
        <f>(((C7+60)+250+(D7+60))*2/1000)*2</f>
        <v>4.08</v>
      </c>
      <c r="R7" s="93">
        <f>Q7</f>
        <v>4.08</v>
      </c>
      <c r="S7" s="38" t="s">
        <v>8</v>
      </c>
      <c r="T7" s="39" t="s">
        <v>11</v>
      </c>
      <c r="U7" s="40" t="str">
        <f>'1. 소켓인수검사'!G9</f>
        <v>2층 화장실</v>
      </c>
    </row>
    <row r="8" spans="1:21">
      <c r="A8" s="48" t="str">
        <f>'1. 소켓인수검사'!A10</f>
        <v>02</v>
      </c>
      <c r="B8" s="61" t="s">
        <v>40</v>
      </c>
      <c r="C8" s="34">
        <f>'1. 소켓인수검사'!C10</f>
        <v>450</v>
      </c>
      <c r="D8" s="34">
        <f>'1. 소켓인수검사'!D10</f>
        <v>300</v>
      </c>
      <c r="E8" s="35"/>
      <c r="F8" s="36">
        <f t="shared" ref="F8:F9" si="0">C8*D8/1000000</f>
        <v>0.13500000000000001</v>
      </c>
      <c r="G8" s="36">
        <f t="shared" ref="G8:G9" si="1">(C8+D8)*2/1000</f>
        <v>1.5</v>
      </c>
      <c r="H8" s="41">
        <v>3</v>
      </c>
      <c r="I8" s="60">
        <f>(G8+0.4)</f>
        <v>1.9</v>
      </c>
      <c r="J8" s="33">
        <v>4</v>
      </c>
      <c r="K8" s="26"/>
      <c r="L8" s="33"/>
      <c r="M8" s="26"/>
      <c r="N8" s="33"/>
      <c r="O8" s="26"/>
      <c r="P8" s="33"/>
      <c r="Q8" s="37">
        <f t="shared" ref="Q8:Q15" si="2">(((C8+60)+250+(D8+60))*2/1000)*2</f>
        <v>4.4800000000000004</v>
      </c>
      <c r="R8" s="93">
        <f>Q8</f>
        <v>4.4800000000000004</v>
      </c>
      <c r="S8" s="38" t="s">
        <v>8</v>
      </c>
      <c r="T8" s="39" t="s">
        <v>11</v>
      </c>
      <c r="U8" s="40" t="str">
        <f>'1. 소켓인수검사'!G10</f>
        <v>지하기계실</v>
      </c>
    </row>
    <row r="9" spans="1:21">
      <c r="A9" s="48" t="str">
        <f>'1. 소켓인수검사'!A11</f>
        <v>03</v>
      </c>
      <c r="B9" s="61" t="s">
        <v>38</v>
      </c>
      <c r="C9" s="34">
        <f>'1. 소켓인수검사'!C11</f>
        <v>500</v>
      </c>
      <c r="D9" s="34">
        <f>'1. 소켓인수검사'!D11</f>
        <v>300</v>
      </c>
      <c r="E9" s="35"/>
      <c r="F9" s="36">
        <f t="shared" si="0"/>
        <v>0.15</v>
      </c>
      <c r="G9" s="36">
        <f t="shared" si="1"/>
        <v>1.6</v>
      </c>
      <c r="H9" s="41">
        <v>3</v>
      </c>
      <c r="I9" s="60">
        <f>(G9+0.4)</f>
        <v>2</v>
      </c>
      <c r="J9" s="33">
        <v>4</v>
      </c>
      <c r="K9" s="26"/>
      <c r="L9" s="33"/>
      <c r="M9" s="26"/>
      <c r="N9" s="33"/>
      <c r="O9" s="26"/>
      <c r="P9" s="33"/>
      <c r="Q9" s="37">
        <f t="shared" si="2"/>
        <v>4.68</v>
      </c>
      <c r="R9" s="93">
        <f>Q9</f>
        <v>4.68</v>
      </c>
      <c r="S9" s="38" t="s">
        <v>8</v>
      </c>
      <c r="T9" s="39" t="s">
        <v>11</v>
      </c>
      <c r="U9" s="40" t="str">
        <f>'1. 소켓인수검사'!G11</f>
        <v>지하기계실</v>
      </c>
    </row>
    <row r="10" spans="1:21">
      <c r="A10" s="48" t="str">
        <f>'1. 소켓인수검사'!A12</f>
        <v>04</v>
      </c>
      <c r="B10" s="61" t="s">
        <v>38</v>
      </c>
      <c r="C10" s="34">
        <f>'1. 소켓인수검사'!C12</f>
        <v>500</v>
      </c>
      <c r="D10" s="34">
        <f>'1. 소켓인수검사'!D12</f>
        <v>300</v>
      </c>
      <c r="E10" s="35"/>
      <c r="F10" s="36">
        <f t="shared" ref="F10:F15" si="3">C10*D10/1000000</f>
        <v>0.15</v>
      </c>
      <c r="G10" s="36">
        <f t="shared" ref="G10:G15" si="4">(C10+D10)*2/1000</f>
        <v>1.6</v>
      </c>
      <c r="H10" s="41">
        <v>3</v>
      </c>
      <c r="I10" s="60">
        <f t="shared" ref="I10:I15" si="5">(G10+0.4)</f>
        <v>2</v>
      </c>
      <c r="J10" s="33">
        <v>4</v>
      </c>
      <c r="K10" s="26"/>
      <c r="L10" s="33"/>
      <c r="M10" s="26"/>
      <c r="N10" s="33"/>
      <c r="O10" s="26"/>
      <c r="P10" s="33"/>
      <c r="Q10" s="37">
        <f t="shared" si="2"/>
        <v>4.68</v>
      </c>
      <c r="R10" s="93">
        <f t="shared" ref="R10:R15" si="6">Q10</f>
        <v>4.68</v>
      </c>
      <c r="S10" s="38" t="s">
        <v>8</v>
      </c>
      <c r="T10" s="39" t="s">
        <v>11</v>
      </c>
      <c r="U10" s="40" t="str">
        <f>'1. 소켓인수검사'!G12</f>
        <v>지하기계실</v>
      </c>
    </row>
    <row r="11" spans="1:21">
      <c r="A11" s="48" t="str">
        <f>'1. 소켓인수검사'!A13</f>
        <v>05</v>
      </c>
      <c r="B11" s="61" t="s">
        <v>38</v>
      </c>
      <c r="C11" s="34">
        <f>'1. 소켓인수검사'!C13</f>
        <v>700</v>
      </c>
      <c r="D11" s="34">
        <f>'1. 소켓인수검사'!D13</f>
        <v>500</v>
      </c>
      <c r="E11" s="35"/>
      <c r="F11" s="36">
        <f t="shared" si="3"/>
        <v>0.35</v>
      </c>
      <c r="G11" s="36">
        <f t="shared" si="4"/>
        <v>2.4</v>
      </c>
      <c r="H11" s="41">
        <v>3</v>
      </c>
      <c r="I11" s="60">
        <f t="shared" si="5"/>
        <v>2.8</v>
      </c>
      <c r="J11" s="33">
        <v>4</v>
      </c>
      <c r="K11" s="26"/>
      <c r="L11" s="33"/>
      <c r="M11" s="26"/>
      <c r="N11" s="33"/>
      <c r="O11" s="26"/>
      <c r="P11" s="33"/>
      <c r="Q11" s="37">
        <f t="shared" si="2"/>
        <v>6.28</v>
      </c>
      <c r="R11" s="93">
        <f t="shared" si="6"/>
        <v>6.28</v>
      </c>
      <c r="S11" s="38" t="s">
        <v>8</v>
      </c>
      <c r="T11" s="39" t="s">
        <v>11</v>
      </c>
      <c r="U11" s="40" t="str">
        <f>'1. 소켓인수검사'!G13</f>
        <v>지하기계실</v>
      </c>
    </row>
    <row r="12" spans="1:21">
      <c r="A12" s="48" t="str">
        <f>'1. 소켓인수검사'!A14</f>
        <v>06</v>
      </c>
      <c r="B12" s="61" t="s">
        <v>38</v>
      </c>
      <c r="C12" s="34">
        <f>'1. 소켓인수검사'!C14</f>
        <v>750</v>
      </c>
      <c r="D12" s="34">
        <f>'1. 소켓인수검사'!D14</f>
        <v>500</v>
      </c>
      <c r="E12" s="35"/>
      <c r="F12" s="36">
        <f t="shared" si="3"/>
        <v>0.375</v>
      </c>
      <c r="G12" s="36">
        <f t="shared" si="4"/>
        <v>2.5</v>
      </c>
      <c r="H12" s="41">
        <v>3</v>
      </c>
      <c r="I12" s="60">
        <f t="shared" si="5"/>
        <v>2.9</v>
      </c>
      <c r="J12" s="33">
        <v>4</v>
      </c>
      <c r="K12" s="26"/>
      <c r="L12" s="33"/>
      <c r="M12" s="26"/>
      <c r="N12" s="33"/>
      <c r="O12" s="26"/>
      <c r="P12" s="33"/>
      <c r="Q12" s="37">
        <f t="shared" si="2"/>
        <v>6.48</v>
      </c>
      <c r="R12" s="93">
        <f t="shared" si="6"/>
        <v>6.48</v>
      </c>
      <c r="S12" s="38" t="s">
        <v>8</v>
      </c>
      <c r="T12" s="39" t="s">
        <v>11</v>
      </c>
      <c r="U12" s="40" t="str">
        <f>'1. 소켓인수검사'!G14</f>
        <v>지하기계실</v>
      </c>
    </row>
    <row r="13" spans="1:21">
      <c r="A13" s="48" t="str">
        <f>'1. 소켓인수검사'!A15</f>
        <v>07</v>
      </c>
      <c r="B13" s="61" t="s">
        <v>38</v>
      </c>
      <c r="C13" s="34">
        <f>'1. 소켓인수검사'!C15</f>
        <v>750</v>
      </c>
      <c r="D13" s="34">
        <f>'1. 소켓인수검사'!D15</f>
        <v>500</v>
      </c>
      <c r="E13" s="35"/>
      <c r="F13" s="36">
        <f t="shared" si="3"/>
        <v>0.375</v>
      </c>
      <c r="G13" s="36">
        <f t="shared" si="4"/>
        <v>2.5</v>
      </c>
      <c r="H13" s="41">
        <v>3</v>
      </c>
      <c r="I13" s="60">
        <f t="shared" si="5"/>
        <v>2.9</v>
      </c>
      <c r="J13" s="33">
        <v>4</v>
      </c>
      <c r="K13" s="26"/>
      <c r="L13" s="33"/>
      <c r="M13" s="26"/>
      <c r="N13" s="33"/>
      <c r="O13" s="26"/>
      <c r="P13" s="33"/>
      <c r="Q13" s="37">
        <f t="shared" si="2"/>
        <v>6.48</v>
      </c>
      <c r="R13" s="93">
        <f t="shared" si="6"/>
        <v>6.48</v>
      </c>
      <c r="S13" s="38" t="s">
        <v>8</v>
      </c>
      <c r="T13" s="39" t="s">
        <v>11</v>
      </c>
      <c r="U13" s="40" t="str">
        <f>'1. 소켓인수검사'!G15</f>
        <v>지하기계실</v>
      </c>
    </row>
    <row r="14" spans="1:21">
      <c r="A14" s="48" t="str">
        <f>'1. 소켓인수검사'!A16</f>
        <v>08</v>
      </c>
      <c r="B14" s="61" t="s">
        <v>38</v>
      </c>
      <c r="C14" s="34">
        <f>'1. 소켓인수검사'!C16</f>
        <v>1000</v>
      </c>
      <c r="D14" s="34">
        <f>'1. 소켓인수검사'!D16</f>
        <v>200</v>
      </c>
      <c r="E14" s="35"/>
      <c r="F14" s="36">
        <f t="shared" si="3"/>
        <v>0.2</v>
      </c>
      <c r="G14" s="36">
        <f t="shared" si="4"/>
        <v>2.4</v>
      </c>
      <c r="H14" s="41">
        <v>3</v>
      </c>
      <c r="I14" s="60">
        <f t="shared" si="5"/>
        <v>2.8</v>
      </c>
      <c r="J14" s="33">
        <v>4</v>
      </c>
      <c r="K14" s="26"/>
      <c r="L14" s="33"/>
      <c r="M14" s="26"/>
      <c r="N14" s="33"/>
      <c r="O14" s="26"/>
      <c r="P14" s="33"/>
      <c r="Q14" s="37">
        <f t="shared" si="2"/>
        <v>6.28</v>
      </c>
      <c r="R14" s="93">
        <f t="shared" si="6"/>
        <v>6.28</v>
      </c>
      <c r="S14" s="38" t="s">
        <v>8</v>
      </c>
      <c r="T14" s="39" t="s">
        <v>11</v>
      </c>
      <c r="U14" s="40" t="str">
        <f>'1. 소켓인수검사'!G16</f>
        <v>2층 전열교환기</v>
      </c>
    </row>
    <row r="15" spans="1:21">
      <c r="A15" s="48" t="str">
        <f>'1. 소켓인수검사'!A17</f>
        <v>09</v>
      </c>
      <c r="B15" s="61" t="s">
        <v>38</v>
      </c>
      <c r="C15" s="34">
        <f>'1. 소켓인수검사'!C17</f>
        <v>1000</v>
      </c>
      <c r="D15" s="34">
        <f>'1. 소켓인수검사'!D17</f>
        <v>200</v>
      </c>
      <c r="E15" s="35"/>
      <c r="F15" s="36">
        <f t="shared" si="3"/>
        <v>0.2</v>
      </c>
      <c r="G15" s="36">
        <f t="shared" si="4"/>
        <v>2.4</v>
      </c>
      <c r="H15" s="41">
        <v>3</v>
      </c>
      <c r="I15" s="60">
        <f t="shared" si="5"/>
        <v>2.8</v>
      </c>
      <c r="J15" s="33">
        <v>4</v>
      </c>
      <c r="K15" s="26"/>
      <c r="L15" s="33"/>
      <c r="M15" s="26"/>
      <c r="N15" s="33"/>
      <c r="O15" s="26"/>
      <c r="P15" s="33"/>
      <c r="Q15" s="37">
        <f t="shared" si="2"/>
        <v>6.28</v>
      </c>
      <c r="R15" s="93">
        <f t="shared" si="6"/>
        <v>6.28</v>
      </c>
      <c r="S15" s="38" t="s">
        <v>8</v>
      </c>
      <c r="T15" s="39" t="s">
        <v>11</v>
      </c>
      <c r="U15" s="40" t="str">
        <f>'1. 소켓인수검사'!G17</f>
        <v>2층 전열교환기</v>
      </c>
    </row>
    <row r="16" spans="1:21">
      <c r="A16" s="100" t="s">
        <v>5</v>
      </c>
      <c r="B16" s="101"/>
      <c r="C16" s="101"/>
      <c r="D16" s="59"/>
      <c r="E16" s="44"/>
      <c r="F16" s="44"/>
      <c r="G16" s="44"/>
      <c r="H16" s="43">
        <f>SUM(H7:H15)</f>
        <v>27</v>
      </c>
      <c r="I16" s="65"/>
      <c r="J16" s="43">
        <f>SUM(J7:J15)</f>
        <v>36</v>
      </c>
      <c r="K16" s="65"/>
      <c r="L16" s="43">
        <f>SUM(L7:L15)</f>
        <v>0</v>
      </c>
      <c r="M16" s="65"/>
      <c r="N16" s="43">
        <f>SUM(N7:N15)</f>
        <v>0</v>
      </c>
      <c r="O16" s="65"/>
      <c r="P16" s="43">
        <f>SUM(P7:P15)</f>
        <v>0</v>
      </c>
      <c r="Q16" s="65">
        <f>SUM(Q7:Q15)</f>
        <v>49.720000000000006</v>
      </c>
      <c r="R16" s="43">
        <f>SUM(R7:R15)</f>
        <v>49.720000000000006</v>
      </c>
      <c r="S16" s="62"/>
      <c r="T16" s="62"/>
      <c r="U16" s="63"/>
    </row>
    <row r="17" spans="1:21" ht="8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4"/>
    </row>
    <row r="18" spans="1:21">
      <c r="A18" s="94" t="s">
        <v>45</v>
      </c>
      <c r="B18" s="94"/>
      <c r="C18" s="94"/>
      <c r="D18" s="111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3"/>
    </row>
    <row r="19" spans="1:21">
      <c r="A19" s="94"/>
      <c r="B19" s="94"/>
      <c r="C19" s="94"/>
      <c r="D19" s="11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15"/>
    </row>
    <row r="20" spans="1:21">
      <c r="A20" s="94"/>
      <c r="B20" s="94"/>
      <c r="C20" s="94"/>
      <c r="D20" s="11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15"/>
    </row>
    <row r="21" spans="1:21">
      <c r="A21" s="94"/>
      <c r="B21" s="94"/>
      <c r="C21" s="94"/>
      <c r="D21" s="11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15"/>
    </row>
    <row r="22" spans="1:21">
      <c r="A22" s="94"/>
      <c r="B22" s="94"/>
      <c r="C22" s="94"/>
      <c r="D22" s="114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15"/>
    </row>
    <row r="23" spans="1:21">
      <c r="A23" s="94"/>
      <c r="B23" s="94"/>
      <c r="C23" s="94"/>
      <c r="D23" s="116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8"/>
    </row>
  </sheetData>
  <mergeCells count="24">
    <mergeCell ref="U5:U6"/>
    <mergeCell ref="A16:C16"/>
    <mergeCell ref="F1:J3"/>
    <mergeCell ref="K1:U3"/>
    <mergeCell ref="D18:U23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  <mergeCell ref="A17:P17"/>
    <mergeCell ref="A18:C23"/>
    <mergeCell ref="Q5:R5"/>
    <mergeCell ref="S5:S6"/>
    <mergeCell ref="T5:T6"/>
    <mergeCell ref="K5:L5"/>
    <mergeCell ref="O5:P5"/>
    <mergeCell ref="M5:N5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66"/>
  </cols>
  <sheetData/>
  <phoneticPr fontId="2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1. 소켓인수검사</vt:lpstr>
      <vt:lpstr>2.재단(VM)작업</vt:lpstr>
      <vt:lpstr>차열재 재단(VM,VT)</vt:lpstr>
      <vt:lpstr>3. 1절곡(VM)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'2.재단(VM)작업'!Print_Titles</vt:lpstr>
      <vt:lpstr>'3. 1절곡(VM)'!Print_Titles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53</cp:revision>
  <cp:lastPrinted>2026-01-07T23:38:07Z</cp:lastPrinted>
  <dcterms:created xsi:type="dcterms:W3CDTF">2025-03-13T00:09:10Z</dcterms:created>
  <dcterms:modified xsi:type="dcterms:W3CDTF">2026-07-14T06:10:46Z</dcterms:modified>
  <cp:version>1200.0100.01</cp:version>
</cp:coreProperties>
</file>