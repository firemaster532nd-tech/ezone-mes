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0DBA21A3-6FD3-450A-B39C-97103196E2F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. 소켓인수검사" sheetId="1" r:id="rId1"/>
    <sheet name="2.1 재단작업(VT)" sheetId="3" r:id="rId2"/>
    <sheet name="차열재 재단(VM,VT)" sheetId="2" r:id="rId3"/>
    <sheet name="3.2 절곡(VT)" sheetId="6" r:id="rId4"/>
    <sheet name="3.3 절곡(VT-보강대)" sheetId="7" r:id="rId5"/>
    <sheet name="5. 차열재 출하용(VM,VT,VAG)" sheetId="9" r:id="rId6"/>
    <sheet name="6. 라벨소요량" sheetId="10" r:id="rId7"/>
    <sheet name="발주서정리" sheetId="11" r:id="rId8"/>
  </sheets>
  <definedNames>
    <definedName name="_xlnm.Print_Area" localSheetId="0">'1. 소켓인수검사'!$A$1:$P$9</definedName>
    <definedName name="_xlnm.Print_Titles" localSheetId="0">'1. 소켓인수검사'!$6:$8</definedName>
    <definedName name="_xlnm.Print_Titles" localSheetId="1">'2.1 재단작업(VT)'!$5:$7</definedName>
    <definedName name="_xlnm.Print_Titles" localSheetId="3">'3.2 절곡(VT)'!$1:$6</definedName>
    <definedName name="_xlnm.Print_Titles" localSheetId="4">'3.3 절곡(VT-보강대)'!$1:$6</definedName>
    <definedName name="_xlnm.Print_Titles" localSheetId="5">'5. 차열재 출하용(VM,VT,VAG)'!$8:$9</definedName>
    <definedName name="_xlnm.Print_Titles" localSheetId="6">'6. 라벨소요량'!$5:$6</definedName>
    <definedName name="_xlnm.Print_Titles" localSheetId="2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10" l="1"/>
  <c r="G1" i="2"/>
  <c r="D8" i="2"/>
  <c r="I8" i="2" s="1"/>
  <c r="C8" i="2"/>
  <c r="G8" i="2" s="1"/>
  <c r="A8" i="2"/>
  <c r="C8" i="3"/>
  <c r="G8" i="3" s="1"/>
  <c r="K1" i="10"/>
  <c r="P5" i="9"/>
  <c r="O5" i="7"/>
  <c r="N5" i="6"/>
  <c r="H1" i="3"/>
  <c r="D1" i="1"/>
  <c r="P8" i="10"/>
  <c r="H8" i="10"/>
  <c r="U7" i="10"/>
  <c r="D7" i="10"/>
  <c r="C7" i="10"/>
  <c r="A7" i="10"/>
  <c r="C10" i="9"/>
  <c r="B10" i="9"/>
  <c r="A10" i="9"/>
  <c r="O11" i="7"/>
  <c r="K11" i="7"/>
  <c r="I11" i="7"/>
  <c r="G11" i="7"/>
  <c r="C11" i="7"/>
  <c r="L11" i="7" s="1"/>
  <c r="B11" i="7"/>
  <c r="H11" i="7" s="1"/>
  <c r="A11" i="7"/>
  <c r="N11" i="6"/>
  <c r="I11" i="6"/>
  <c r="C11" i="6"/>
  <c r="K11" i="6" s="1"/>
  <c r="B11" i="6"/>
  <c r="H11" i="6" s="1"/>
  <c r="A11" i="6"/>
  <c r="N9" i="3"/>
  <c r="L9" i="3"/>
  <c r="J8" i="3"/>
  <c r="H8" i="3"/>
  <c r="D8" i="3"/>
  <c r="A8" i="3"/>
  <c r="J9" i="3" l="1"/>
  <c r="H9" i="3"/>
  <c r="K8" i="3"/>
  <c r="I8" i="3"/>
  <c r="M8" i="3"/>
  <c r="E10" i="9"/>
  <c r="F10" i="9"/>
  <c r="P10" i="9" s="1"/>
  <c r="R10" i="9" s="1"/>
  <c r="N8" i="10"/>
  <c r="J8" i="10"/>
  <c r="L8" i="10"/>
  <c r="G7" i="10"/>
  <c r="Q7" i="10"/>
  <c r="F7" i="10"/>
  <c r="G10" i="9" l="1"/>
  <c r="I10" i="9" s="1"/>
  <c r="O11" i="9"/>
  <c r="G14" i="9" s="1"/>
  <c r="I7" i="10"/>
  <c r="O7" i="10"/>
  <c r="R8" i="10"/>
  <c r="Q8" i="10"/>
  <c r="I11" i="9" l="1"/>
  <c r="G12" i="9" s="1"/>
  <c r="R11" i="9"/>
  <c r="G15" i="9" s="1"/>
  <c r="L11" i="9"/>
  <c r="G13" i="9" s="1"/>
</calcChain>
</file>

<file path=xl/sharedStrings.xml><?xml version="1.0" encoding="utf-8"?>
<sst xmlns="http://schemas.openxmlformats.org/spreadsheetml/2006/main" count="184" uniqueCount="79">
  <si>
    <t>차열재</t>
  </si>
  <si>
    <t>No</t>
  </si>
  <si>
    <t>비고</t>
  </si>
  <si>
    <t>합계</t>
  </si>
  <si>
    <t>규격</t>
  </si>
  <si>
    <t>TTL</t>
  </si>
  <si>
    <t>EZ F.B POSMAC Duct-VT-01</t>
  </si>
  <si>
    <t>라벨소요량(행복산업_KEC 구미공장_251128)</t>
  </si>
  <si>
    <t>25*
1400</t>
  </si>
  <si>
    <t>*VM 200(1000*1000)기준</t>
  </si>
  <si>
    <t>수량                확인</t>
  </si>
  <si>
    <t>차열재 50T*400*3.6M</t>
  </si>
  <si>
    <t>글라스울 25T*1400*20M</t>
  </si>
  <si>
    <t>차열재 50T*600*3.6M</t>
  </si>
  <si>
    <t>절 곡 생 산 일 지(VT_보강대)</t>
  </si>
  <si>
    <t>특이사항 및
   조치사항</t>
  </si>
  <si>
    <t>설비번호</t>
  </si>
  <si>
    <t>설치위치</t>
  </si>
  <si>
    <t>세로(보강대)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</si>
  <si>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</si>
  <si>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</si>
  <si>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</si>
  <si>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</si>
  <si>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</si>
  <si>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</si>
  <si>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</si>
  <si>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</si>
  <si>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</si>
  <si>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</si>
  <si>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</si>
  <si>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</si>
  <si>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</si>
  <si>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</si>
  <si>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</si>
  <si>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</si>
  <si>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</si>
  <si>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</si>
  <si>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</si>
  <si>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</si>
  <si>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</si>
  <si>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</si>
  <si>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분할구조</t>
  </si>
  <si>
    <t>FS-MP25-0310-1</t>
  </si>
  <si>
    <t>차열재생산일지(출하용)</t>
  </si>
  <si>
    <t>특이사항 및
 조치사항</t>
  </si>
  <si>
    <t>특이사항 및   조치사항</t>
  </si>
  <si>
    <t>VT-01</t>
  </si>
  <si>
    <t>60mm</t>
  </si>
  <si>
    <t>1.6
이상</t>
  </si>
  <si>
    <t>가로(받침대)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</si>
  <si>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</si>
  <si>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</si>
  <si>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</si>
  <si>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</si>
  <si>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</si>
  <si>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</si>
  <si>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</si>
  <si>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</si>
  <si>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</si>
  <si>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</si>
  <si>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</si>
  <si>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</si>
  <si>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</si>
  <si>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</si>
  <si>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</si>
  <si>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</si>
  <si>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</si>
  <si>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4" type="noConversion"/>
  </si>
  <si>
    <t>재단작업지시서
(VT)</t>
    <phoneticPr fontId="24" type="noConversion"/>
  </si>
  <si>
    <t>절 곡 생 산 일 지(VT_브라켓)</t>
    <phoneticPr fontId="24" type="noConversion"/>
  </si>
  <si>
    <t>라벨소요량</t>
    <phoneticPr fontId="24" type="noConversion"/>
  </si>
  <si>
    <t>25*
200</t>
    <phoneticPr fontId="24" type="noConversion"/>
  </si>
  <si>
    <t>구조체작업지시서</t>
    <phoneticPr fontId="24" type="noConversion"/>
  </si>
  <si>
    <t>차열재 25T*200*7.4M</t>
    <phoneticPr fontId="24" type="noConversion"/>
  </si>
  <si>
    <t>재단작업지시서차열재</t>
    <phoneticPr fontId="24" type="noConversion"/>
  </si>
  <si>
    <t>01</t>
    <phoneticPr fontId="24" type="noConversion"/>
  </si>
  <si>
    <t>지하1층 폐수처리장 인입</t>
    <phoneticPr fontId="24" type="noConversion"/>
  </si>
  <si>
    <t>VT-01</t>
    <phoneticPr fontId="24" type="noConversion"/>
  </si>
  <si>
    <r>
      <t xml:space="preserve">26.07.23 </t>
    </r>
    <r>
      <rPr>
        <sz val="10"/>
        <color rgb="FF000000"/>
        <rFont val="맑은 고딕"/>
        <family val="3"/>
        <charset val="129"/>
      </rPr>
      <t>엘티엔지니어링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코오롱글로벌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신동양기업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대한항공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운북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엔진정비공장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건립공사</t>
    </r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</si>
</sst>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32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7C7C7C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4472C4"/>
      <name val="맑은 고딕"/>
      <family val="3"/>
      <charset val="129"/>
    </font>
    <font>
      <b/>
      <sz val="10"/>
      <color rgb="FF002060"/>
      <name val="Helvetica Neue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b/>
      <sz val="11"/>
      <color rgb="FFC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3" fillId="0" borderId="23" xfId="0" applyFont="1" applyBorder="1" applyAlignment="1">
      <alignment horizontal="left" vertical="center"/>
    </xf>
    <xf numFmtId="0" fontId="23" fillId="0" borderId="0">
      <alignment vertical="center"/>
    </xf>
    <xf numFmtId="176" fontId="23" fillId="0" borderId="0">
      <alignment vertical="center"/>
    </xf>
    <xf numFmtId="0" fontId="1" fillId="0" borderId="0">
      <alignment vertical="center"/>
    </xf>
  </cellStyleXfs>
  <cellXfs count="23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2">
      <alignment vertical="center"/>
    </xf>
    <xf numFmtId="0" fontId="23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176" fontId="23" fillId="0" borderId="6" xfId="3" applyBorder="1" applyAlignment="1">
      <alignment horizontal="center" vertical="center"/>
    </xf>
    <xf numFmtId="176" fontId="23" fillId="0" borderId="7" xfId="3" applyBorder="1" applyAlignment="1">
      <alignment horizontal="center" vertical="center"/>
    </xf>
    <xf numFmtId="176" fontId="23" fillId="0" borderId="8" xfId="3" applyBorder="1" applyAlignment="1">
      <alignment horizontal="center" vertical="center"/>
    </xf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7" fillId="0" borderId="15" xfId="4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177" fontId="6" fillId="0" borderId="15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shrinkToFit="1"/>
    </xf>
    <xf numFmtId="0" fontId="8" fillId="5" borderId="15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shrinkToFit="1"/>
    </xf>
    <xf numFmtId="0" fontId="12" fillId="0" borderId="15" xfId="0" applyFont="1" applyBorder="1" applyAlignment="1">
      <alignment horizontal="center" vertical="center" shrinkToFit="1"/>
    </xf>
    <xf numFmtId="0" fontId="5" fillId="0" borderId="17" xfId="0" applyFont="1" applyBorder="1" applyAlignment="1">
      <alignment horizontal="center" vertical="center" wrapText="1"/>
    </xf>
    <xf numFmtId="0" fontId="7" fillId="0" borderId="17" xfId="4" applyFont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vertical="center" wrapText="1"/>
    </xf>
    <xf numFmtId="0" fontId="0" fillId="0" borderId="18" xfId="0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7" fillId="0" borderId="12" xfId="4" applyFont="1" applyBorder="1" applyAlignment="1">
      <alignment horizontal="center" vertical="center" wrapText="1"/>
    </xf>
    <xf numFmtId="0" fontId="23" fillId="0" borderId="12" xfId="2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13" fillId="6" borderId="15" xfId="4" applyFont="1" applyFill="1" applyBorder="1" applyAlignment="1">
      <alignment horizontal="center" vertical="center" wrapText="1"/>
    </xf>
    <xf numFmtId="0" fontId="16" fillId="0" borderId="15" xfId="2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/>
    </xf>
    <xf numFmtId="0" fontId="5" fillId="0" borderId="20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 wrapText="1"/>
    </xf>
    <xf numFmtId="0" fontId="23" fillId="0" borderId="13" xfId="2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 wrapText="1"/>
    </xf>
    <xf numFmtId="0" fontId="23" fillId="0" borderId="12" xfId="2" applyBorder="1" applyAlignment="1">
      <alignment vertical="center" wrapText="1"/>
    </xf>
    <xf numFmtId="0" fontId="17" fillId="0" borderId="12" xfId="4" applyFont="1" applyBorder="1" applyAlignment="1">
      <alignment horizontal="center" vertical="center" wrapText="1"/>
    </xf>
    <xf numFmtId="0" fontId="17" fillId="0" borderId="15" xfId="4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/>
    </xf>
    <xf numFmtId="0" fontId="0" fillId="0" borderId="17" xfId="0" applyBorder="1">
      <alignment vertical="center"/>
    </xf>
    <xf numFmtId="0" fontId="0" fillId="0" borderId="20" xfId="0" applyBorder="1">
      <alignment vertical="center"/>
    </xf>
    <xf numFmtId="0" fontId="0" fillId="5" borderId="17" xfId="0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0" borderId="0" xfId="1" applyFill="1" applyBorder="1" applyAlignment="1">
      <alignment vertical="center"/>
    </xf>
    <xf numFmtId="0" fontId="1" fillId="9" borderId="0" xfId="4" applyFill="1">
      <alignment vertical="center"/>
    </xf>
    <xf numFmtId="0" fontId="1" fillId="0" borderId="32" xfId="4" applyBorder="1" applyAlignment="1">
      <alignment vertical="top" wrapText="1"/>
    </xf>
    <xf numFmtId="0" fontId="2" fillId="0" borderId="15" xfId="4" applyFont="1" applyBorder="1" applyAlignment="1">
      <alignment horizontal="center" vertical="center" wrapText="1"/>
    </xf>
    <xf numFmtId="0" fontId="2" fillId="0" borderId="16" xfId="4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4" fillId="4" borderId="15" xfId="2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27" fillId="6" borderId="15" xfId="4" applyFont="1" applyFill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5" fillId="0" borderId="17" xfId="2" applyFont="1" applyBorder="1">
      <alignment vertical="center"/>
    </xf>
    <xf numFmtId="0" fontId="3" fillId="0" borderId="27" xfId="0" applyFont="1" applyBorder="1">
      <alignment vertical="center"/>
    </xf>
    <xf numFmtId="0" fontId="3" fillId="0" borderId="21" xfId="0" applyFont="1" applyBorder="1">
      <alignment vertical="center"/>
    </xf>
    <xf numFmtId="0" fontId="3" fillId="0" borderId="22" xfId="0" applyFont="1" applyBorder="1">
      <alignment vertical="center"/>
    </xf>
    <xf numFmtId="0" fontId="1" fillId="0" borderId="14" xfId="4" quotePrefix="1" applyBorder="1" applyAlignment="1">
      <alignment horizontal="center" vertical="center" wrapText="1"/>
    </xf>
    <xf numFmtId="178" fontId="16" fillId="0" borderId="15" xfId="2" applyNumberFormat="1" applyFont="1" applyBorder="1" applyAlignment="1">
      <alignment horizontal="center" vertical="center" wrapText="1"/>
    </xf>
    <xf numFmtId="177" fontId="6" fillId="5" borderId="15" xfId="0" applyNumberFormat="1" applyFont="1" applyFill="1" applyBorder="1" applyAlignment="1">
      <alignment horizontal="center" vertical="center" wrapText="1"/>
    </xf>
    <xf numFmtId="0" fontId="2" fillId="7" borderId="15" xfId="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5" fillId="0" borderId="32" xfId="4" applyFont="1" applyBorder="1" applyAlignment="1">
      <alignment horizontal="center" vertical="center" wrapText="1"/>
    </xf>
    <xf numFmtId="0" fontId="25" fillId="0" borderId="34" xfId="4" applyFont="1" applyBorder="1" applyAlignment="1">
      <alignment horizontal="center" vertical="center" wrapText="1"/>
    </xf>
    <xf numFmtId="0" fontId="25" fillId="0" borderId="0" xfId="4" applyFont="1" applyAlignment="1">
      <alignment horizontal="center" vertical="center" wrapText="1"/>
    </xf>
    <xf numFmtId="0" fontId="25" fillId="0" borderId="36" xfId="4" applyFont="1" applyBorder="1" applyAlignment="1">
      <alignment horizontal="center" vertical="center" wrapText="1"/>
    </xf>
    <xf numFmtId="0" fontId="25" fillId="0" borderId="31" xfId="4" applyFont="1" applyBorder="1" applyAlignment="1">
      <alignment horizontal="center" vertical="center" wrapText="1"/>
    </xf>
    <xf numFmtId="0" fontId="26" fillId="0" borderId="32" xfId="4" applyFont="1" applyBorder="1" applyAlignment="1">
      <alignment horizontal="center" vertical="center" shrinkToFit="1"/>
    </xf>
    <xf numFmtId="0" fontId="26" fillId="0" borderId="33" xfId="4" applyFont="1" applyBorder="1" applyAlignment="1">
      <alignment horizontal="center" vertical="center" shrinkToFit="1"/>
    </xf>
    <xf numFmtId="0" fontId="26" fillId="0" borderId="0" xfId="4" applyFont="1" applyAlignment="1">
      <alignment horizontal="center" vertical="center" shrinkToFit="1"/>
    </xf>
    <xf numFmtId="0" fontId="26" fillId="0" borderId="35" xfId="4" applyFont="1" applyBorder="1" applyAlignment="1">
      <alignment horizontal="center" vertical="center" shrinkToFit="1"/>
    </xf>
    <xf numFmtId="0" fontId="26" fillId="0" borderId="31" xfId="4" applyFont="1" applyBorder="1" applyAlignment="1">
      <alignment horizontal="center" vertical="center" shrinkToFit="1"/>
    </xf>
    <xf numFmtId="0" fontId="26" fillId="0" borderId="37" xfId="4" applyFont="1" applyBorder="1" applyAlignment="1">
      <alignment horizontal="center" vertical="center" shrinkToFit="1"/>
    </xf>
    <xf numFmtId="0" fontId="0" fillId="0" borderId="18" xfId="0" applyBorder="1" applyAlignment="1">
      <alignment horizontal="center" vertical="center"/>
    </xf>
    <xf numFmtId="0" fontId="1" fillId="7" borderId="14" xfId="4" applyFill="1" applyBorder="1" applyAlignment="1">
      <alignment horizontal="center" vertical="center" wrapText="1"/>
    </xf>
    <xf numFmtId="0" fontId="2" fillId="7" borderId="12" xfId="4" applyFont="1" applyFill="1" applyBorder="1" applyAlignment="1">
      <alignment horizontal="center" vertical="center" wrapText="1"/>
    </xf>
    <xf numFmtId="0" fontId="2" fillId="7" borderId="13" xfId="4" applyFont="1" applyFill="1" applyBorder="1" applyAlignment="1">
      <alignment horizontal="center" vertical="center" wrapText="1"/>
    </xf>
    <xf numFmtId="0" fontId="2" fillId="7" borderId="16" xfId="4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 shrinkToFit="1"/>
    </xf>
    <xf numFmtId="0" fontId="20" fillId="0" borderId="3" xfId="0" applyFont="1" applyBorder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20" fillId="0" borderId="28" xfId="0" applyFont="1" applyBorder="1" applyAlignment="1">
      <alignment horizontal="center" vertical="center" shrinkToFit="1"/>
    </xf>
    <xf numFmtId="0" fontId="20" fillId="0" borderId="2" xfId="0" applyFont="1" applyBorder="1" applyAlignment="1">
      <alignment horizontal="center" vertical="center" shrinkToFit="1"/>
    </xf>
    <xf numFmtId="0" fontId="20" fillId="0" borderId="26" xfId="0" applyFont="1" applyBorder="1" applyAlignment="1">
      <alignment horizontal="center" vertical="center" shrinkToFit="1"/>
    </xf>
    <xf numFmtId="0" fontId="5" fillId="4" borderId="18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4" borderId="15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 shrinkToFit="1"/>
    </xf>
    <xf numFmtId="0" fontId="30" fillId="0" borderId="27" xfId="0" applyFont="1" applyBorder="1" applyAlignment="1">
      <alignment horizontal="center" vertical="center" wrapText="1" shrinkToFit="1"/>
    </xf>
    <xf numFmtId="0" fontId="30" fillId="0" borderId="0" xfId="0" applyFont="1" applyAlignment="1">
      <alignment horizontal="center" vertical="center" wrapText="1" shrinkToFit="1"/>
    </xf>
    <xf numFmtId="0" fontId="30" fillId="0" borderId="22" xfId="0" applyFont="1" applyBorder="1" applyAlignment="1">
      <alignment horizontal="center" vertical="center" wrapText="1" shrinkToFit="1"/>
    </xf>
    <xf numFmtId="0" fontId="30" fillId="0" borderId="2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28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6" xfId="0" applyFont="1" applyBorder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3" fillId="0" borderId="21" xfId="2" applyBorder="1" applyAlignment="1">
      <alignment horizontal="center" vertical="center"/>
    </xf>
    <xf numFmtId="0" fontId="23" fillId="0" borderId="3" xfId="2" applyBorder="1" applyAlignment="1">
      <alignment horizontal="center" vertical="center"/>
    </xf>
    <xf numFmtId="0" fontId="23" fillId="0" borderId="1" xfId="2" applyBorder="1" applyAlignment="1">
      <alignment horizontal="center" vertical="center" wrapText="1"/>
    </xf>
    <xf numFmtId="178" fontId="5" fillId="0" borderId="12" xfId="2" applyNumberFormat="1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 shrinkToFit="1"/>
    </xf>
    <xf numFmtId="0" fontId="21" fillId="0" borderId="21" xfId="2" applyFont="1" applyBorder="1" applyAlignment="1">
      <alignment horizontal="center" vertical="center"/>
    </xf>
    <xf numFmtId="0" fontId="21" fillId="0" borderId="11" xfId="2" applyFont="1" applyBorder="1" applyAlignment="1">
      <alignment horizontal="center" vertical="center"/>
    </xf>
    <xf numFmtId="0" fontId="21" fillId="0" borderId="3" xfId="2" applyFont="1" applyBorder="1" applyAlignment="1">
      <alignment horizontal="center" vertical="center"/>
    </xf>
    <xf numFmtId="0" fontId="21" fillId="0" borderId="27" xfId="2" applyFont="1" applyBorder="1" applyAlignment="1">
      <alignment horizontal="center" vertical="center"/>
    </xf>
    <xf numFmtId="0" fontId="21" fillId="0" borderId="0" xfId="2" applyFont="1" applyAlignment="1">
      <alignment horizontal="center" vertical="center"/>
    </xf>
    <xf numFmtId="0" fontId="21" fillId="0" borderId="28" xfId="2" applyFont="1" applyBorder="1" applyAlignment="1">
      <alignment horizontal="center" vertical="center"/>
    </xf>
    <xf numFmtId="0" fontId="21" fillId="0" borderId="22" xfId="2" applyFont="1" applyBorder="1" applyAlignment="1">
      <alignment horizontal="center" vertical="center"/>
    </xf>
    <xf numFmtId="0" fontId="21" fillId="0" borderId="2" xfId="2" applyFont="1" applyBorder="1" applyAlignment="1">
      <alignment horizontal="center" vertical="center"/>
    </xf>
    <xf numFmtId="0" fontId="21" fillId="0" borderId="26" xfId="2" applyFont="1" applyBorder="1" applyAlignment="1">
      <alignment horizontal="center" vertical="center"/>
    </xf>
    <xf numFmtId="0" fontId="23" fillId="0" borderId="22" xfId="2" applyBorder="1" applyAlignment="1">
      <alignment horizontal="center" vertical="center"/>
    </xf>
    <xf numFmtId="0" fontId="23" fillId="0" borderId="2" xfId="2" applyBorder="1" applyAlignment="1">
      <alignment horizontal="center" vertical="center"/>
    </xf>
    <xf numFmtId="0" fontId="23" fillId="0" borderId="26" xfId="2" applyBorder="1" applyAlignment="1">
      <alignment horizontal="center" vertical="center"/>
    </xf>
    <xf numFmtId="0" fontId="23" fillId="0" borderId="9" xfId="2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25" xfId="2" applyFont="1" applyBorder="1" applyAlignment="1">
      <alignment horizontal="center" vertical="center" wrapText="1"/>
    </xf>
    <xf numFmtId="0" fontId="6" fillId="0" borderId="21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27" xfId="2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28" xfId="2" applyFont="1" applyBorder="1" applyAlignment="1">
      <alignment horizontal="center" vertical="center" wrapText="1"/>
    </xf>
    <xf numFmtId="41" fontId="23" fillId="0" borderId="12" xfId="2" applyNumberFormat="1" applyBorder="1" applyAlignment="1">
      <alignment horizontal="left" vertical="center" wrapText="1"/>
    </xf>
    <xf numFmtId="0" fontId="23" fillId="0" borderId="12" xfId="2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177" fontId="0" fillId="2" borderId="30" xfId="0" applyNumberFormat="1" applyFill="1" applyBorder="1" applyAlignment="1">
      <alignment horizontal="center" vertical="center" wrapText="1"/>
    </xf>
    <xf numFmtId="177" fontId="0" fillId="2" borderId="24" xfId="0" applyNumberFormat="1" applyFill="1" applyBorder="1" applyAlignment="1">
      <alignment horizontal="center" vertical="center" wrapText="1"/>
    </xf>
    <xf numFmtId="177" fontId="0" fillId="2" borderId="25" xfId="0" applyNumberForma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 shrinkToFit="1"/>
    </xf>
    <xf numFmtId="0" fontId="29" fillId="0" borderId="11" xfId="0" applyFont="1" applyBorder="1" applyAlignment="1">
      <alignment horizontal="center" vertical="center" wrapText="1" shrinkToFit="1"/>
    </xf>
    <xf numFmtId="0" fontId="29" fillId="0" borderId="3" xfId="0" applyFont="1" applyBorder="1" applyAlignment="1">
      <alignment horizontal="center" vertical="center" wrapText="1" shrinkToFit="1"/>
    </xf>
    <xf numFmtId="0" fontId="29" fillId="0" borderId="22" xfId="0" applyFont="1" applyBorder="1" applyAlignment="1">
      <alignment horizontal="center" vertical="center" wrapText="1" shrinkToFit="1"/>
    </xf>
    <xf numFmtId="0" fontId="29" fillId="0" borderId="2" xfId="0" applyFont="1" applyBorder="1" applyAlignment="1">
      <alignment horizontal="center" vertical="center" wrapText="1" shrinkToFit="1"/>
    </xf>
    <xf numFmtId="0" fontId="29" fillId="0" borderId="26" xfId="0" applyFont="1" applyBorder="1" applyAlignment="1">
      <alignment horizontal="center" vertical="center" wrapText="1" shrinkToFit="1"/>
    </xf>
    <xf numFmtId="0" fontId="0" fillId="0" borderId="12" xfId="0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 wrapText="1"/>
    </xf>
    <xf numFmtId="0" fontId="6" fillId="8" borderId="15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200025</xdr:rowOff>
    </xdr:from>
    <xdr:to>
      <xdr:col>3</xdr:col>
      <xdr:colOff>590549</xdr:colOff>
      <xdr:row>2</xdr:row>
      <xdr:rowOff>171449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9050" y="200025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514350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9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9"/>
  <sheetViews>
    <sheetView tabSelected="1" view="pageBreakPreview" zoomScale="120" zoomScaleNormal="120" zoomScaleSheetLayoutView="120" workbookViewId="0">
      <pane ySplit="8" topLeftCell="A9" activePane="bottomLeft" state="frozen"/>
      <selection pane="bottomLeft" activeCell="R2" sqref="R2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92" t="s">
        <v>72</v>
      </c>
      <c r="B1" s="93"/>
      <c r="C1" s="93"/>
      <c r="D1" s="98" t="str">
        <f>R2</f>
        <v>26.07.23 엘티엔지니어링_코오롱글로벌_신동양기업_대한항공 운북 신 엔진정비공장 건립공사</v>
      </c>
      <c r="E1" s="98"/>
      <c r="F1" s="98"/>
      <c r="G1" s="99"/>
      <c r="R1" s="8" t="s">
        <v>67</v>
      </c>
    </row>
    <row r="2" spans="1:18" ht="16.5" customHeight="1">
      <c r="A2" s="94"/>
      <c r="B2" s="95"/>
      <c r="C2" s="95"/>
      <c r="D2" s="100"/>
      <c r="E2" s="100"/>
      <c r="F2" s="100"/>
      <c r="G2" s="101"/>
      <c r="R2" s="70" t="s">
        <v>78</v>
      </c>
    </row>
    <row r="3" spans="1:18" ht="16.5" customHeight="1">
      <c r="A3" s="94"/>
      <c r="B3" s="95"/>
      <c r="C3" s="95"/>
      <c r="D3" s="100"/>
      <c r="E3" s="100"/>
      <c r="F3" s="100"/>
      <c r="G3" s="101"/>
    </row>
    <row r="4" spans="1:18" ht="17.25" customHeight="1" thickBot="1">
      <c r="A4" s="96"/>
      <c r="B4" s="97"/>
      <c r="C4" s="97"/>
      <c r="D4" s="102"/>
      <c r="E4" s="102"/>
      <c r="F4" s="102"/>
      <c r="G4" s="103"/>
    </row>
    <row r="5" spans="1:18" ht="6.75" customHeight="1" thickTop="1">
      <c r="A5" s="71"/>
      <c r="B5" s="71"/>
      <c r="C5" s="71"/>
      <c r="D5" s="71"/>
      <c r="E5" s="71"/>
      <c r="F5" s="71"/>
      <c r="G5" s="71"/>
    </row>
    <row r="6" spans="1:18" s="10" customFormat="1" ht="18" customHeight="1" thickBot="1">
      <c r="A6" s="104" t="s">
        <v>1</v>
      </c>
      <c r="B6" s="106" t="s">
        <v>66</v>
      </c>
      <c r="C6" s="106" t="s">
        <v>4</v>
      </c>
      <c r="D6" s="106"/>
      <c r="E6" s="106" t="s">
        <v>41</v>
      </c>
      <c r="F6" s="106" t="s">
        <v>38</v>
      </c>
      <c r="G6" s="107" t="s">
        <v>17</v>
      </c>
      <c r="H6" s="9"/>
      <c r="I6" s="1" t="s">
        <v>9</v>
      </c>
      <c r="J6" s="1"/>
      <c r="K6" s="1"/>
      <c r="L6" s="1"/>
      <c r="M6" s="1"/>
      <c r="N6" s="1"/>
      <c r="O6" s="8"/>
    </row>
    <row r="7" spans="1:18" s="10" customFormat="1" ht="18" customHeight="1">
      <c r="A7" s="105"/>
      <c r="B7" s="91"/>
      <c r="C7" s="91" t="s">
        <v>63</v>
      </c>
      <c r="D7" s="91" t="s">
        <v>61</v>
      </c>
      <c r="E7" s="91"/>
      <c r="F7" s="91"/>
      <c r="G7" s="108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05"/>
      <c r="B8" s="91"/>
      <c r="C8" s="91"/>
      <c r="D8" s="91"/>
      <c r="E8" s="91"/>
      <c r="F8" s="91"/>
      <c r="G8" s="108"/>
      <c r="H8" s="11"/>
      <c r="I8" s="12"/>
      <c r="J8" s="12"/>
      <c r="K8" s="12"/>
      <c r="L8" s="12"/>
      <c r="M8" s="12"/>
      <c r="N8" s="12"/>
      <c r="O8" s="8"/>
    </row>
    <row r="9" spans="1:18" s="10" customFormat="1" ht="25.5">
      <c r="A9" s="88" t="s">
        <v>75</v>
      </c>
      <c r="B9" s="48" t="s">
        <v>77</v>
      </c>
      <c r="C9" s="26">
        <v>1800</v>
      </c>
      <c r="D9" s="26">
        <v>800</v>
      </c>
      <c r="E9" s="58"/>
      <c r="F9" s="72"/>
      <c r="G9" s="73" t="s">
        <v>76</v>
      </c>
      <c r="H9" s="13"/>
      <c r="I9" s="7"/>
      <c r="J9" s="7"/>
      <c r="K9" s="19"/>
      <c r="L9" s="20"/>
      <c r="M9" s="21"/>
      <c r="N9" s="7"/>
      <c r="O9" s="8"/>
    </row>
  </sheetData>
  <mergeCells count="11">
    <mergeCell ref="I6:N6"/>
    <mergeCell ref="C7:C8"/>
    <mergeCell ref="D7:D8"/>
    <mergeCell ref="A1:C4"/>
    <mergeCell ref="D1:G4"/>
    <mergeCell ref="A6:A8"/>
    <mergeCell ref="B6:B8"/>
    <mergeCell ref="C6:D6"/>
    <mergeCell ref="E6:E8"/>
    <mergeCell ref="F6:F8"/>
    <mergeCell ref="G6:G8"/>
  </mergeCells>
  <phoneticPr fontId="24" type="noConversion"/>
  <pageMargins left="0.23597222566604614" right="0.23597222566604614" top="0.74750000238418579" bottom="0.74750000238418579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O16"/>
  <sheetViews>
    <sheetView zoomScaleNormal="100" zoomScaleSheetLayoutView="100" workbookViewId="0">
      <selection activeCell="F26" sqref="F26"/>
    </sheetView>
  </sheetViews>
  <sheetFormatPr defaultColWidth="9" defaultRowHeight="16.5"/>
  <cols>
    <col min="1" max="1" width="5.125" bestFit="1" customWidth="1"/>
    <col min="2" max="2" width="6" customWidth="1"/>
    <col min="3" max="4" width="8.125" customWidth="1"/>
    <col min="5" max="5" width="13.875" customWidth="1"/>
    <col min="6" max="6" width="5.125" customWidth="1"/>
    <col min="7" max="7" width="7" style="5" customWidth="1"/>
    <col min="8" max="8" width="7.75" style="5" customWidth="1"/>
    <col min="9" max="9" width="5.25" style="5" bestFit="1" customWidth="1"/>
    <col min="10" max="10" width="8" style="5" customWidth="1"/>
    <col min="11" max="11" width="7.375" customWidth="1"/>
    <col min="12" max="12" width="5.875" customWidth="1"/>
    <col min="13" max="13" width="7.125" customWidth="1"/>
    <col min="14" max="14" width="6.25" customWidth="1"/>
    <col min="15" max="15" width="25.5" customWidth="1"/>
  </cols>
  <sheetData>
    <row r="1" spans="1:15" ht="16.5" customHeight="1">
      <c r="A1" s="92"/>
      <c r="B1" s="92"/>
      <c r="C1" s="92"/>
      <c r="D1" s="92"/>
      <c r="E1" s="121" t="s">
        <v>68</v>
      </c>
      <c r="F1" s="122"/>
      <c r="G1" s="122"/>
      <c r="H1" s="127" t="str">
        <f>'1. 소켓인수검사'!R2</f>
        <v>26.07.23 엘티엔지니어링_코오롱글로벌_신동양기업_대한항공 운북 신 엔진정비공장 건립공사</v>
      </c>
      <c r="I1" s="127"/>
      <c r="J1" s="127"/>
      <c r="K1" s="127"/>
      <c r="L1" s="127"/>
      <c r="M1" s="127"/>
      <c r="N1" s="127"/>
      <c r="O1" s="128"/>
    </row>
    <row r="2" spans="1:15" ht="38.25" customHeight="1">
      <c r="A2" s="92"/>
      <c r="B2" s="92"/>
      <c r="C2" s="92"/>
      <c r="D2" s="92"/>
      <c r="E2" s="123"/>
      <c r="F2" s="124"/>
      <c r="G2" s="124"/>
      <c r="H2" s="129"/>
      <c r="I2" s="129"/>
      <c r="J2" s="129"/>
      <c r="K2" s="129"/>
      <c r="L2" s="129"/>
      <c r="M2" s="129"/>
      <c r="N2" s="129"/>
      <c r="O2" s="130"/>
    </row>
    <row r="3" spans="1:15" ht="38.25" customHeight="1">
      <c r="A3" s="92"/>
      <c r="B3" s="92"/>
      <c r="C3" s="92"/>
      <c r="D3" s="92"/>
      <c r="E3" s="125"/>
      <c r="F3" s="126"/>
      <c r="G3" s="126"/>
      <c r="H3" s="131"/>
      <c r="I3" s="131"/>
      <c r="J3" s="131"/>
      <c r="K3" s="131"/>
      <c r="L3" s="131"/>
      <c r="M3" s="131"/>
      <c r="N3" s="131"/>
      <c r="O3" s="132"/>
    </row>
    <row r="4" spans="1:15" ht="8.1" customHeight="1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5"/>
      <c r="O4" s="15"/>
    </row>
    <row r="5" spans="1:15" s="18" customFormat="1" ht="26.45" customHeight="1">
      <c r="A5" s="133" t="s">
        <v>56</v>
      </c>
      <c r="B5" s="135" t="s">
        <v>66</v>
      </c>
      <c r="C5" s="137" t="s">
        <v>4</v>
      </c>
      <c r="D5" s="137"/>
      <c r="E5" s="137" t="s">
        <v>24</v>
      </c>
      <c r="F5" s="137" t="s">
        <v>54</v>
      </c>
      <c r="G5" s="137" t="s">
        <v>20</v>
      </c>
      <c r="H5" s="137"/>
      <c r="I5" s="137"/>
      <c r="J5" s="137"/>
      <c r="K5" s="137" t="s">
        <v>34</v>
      </c>
      <c r="L5" s="137"/>
      <c r="M5" s="137"/>
      <c r="N5" s="137"/>
      <c r="O5" s="138" t="s">
        <v>2</v>
      </c>
    </row>
    <row r="6" spans="1:15" s="18" customFormat="1" ht="16.5" customHeight="1">
      <c r="A6" s="134"/>
      <c r="B6" s="136"/>
      <c r="C6" s="109" t="s">
        <v>63</v>
      </c>
      <c r="D6" s="109" t="s">
        <v>61</v>
      </c>
      <c r="E6" s="109"/>
      <c r="F6" s="109"/>
      <c r="G6" s="140" t="s">
        <v>63</v>
      </c>
      <c r="H6" s="140"/>
      <c r="I6" s="140" t="s">
        <v>61</v>
      </c>
      <c r="J6" s="140"/>
      <c r="K6" s="109" t="s">
        <v>65</v>
      </c>
      <c r="L6" s="109"/>
      <c r="M6" s="109" t="s">
        <v>62</v>
      </c>
      <c r="N6" s="109"/>
      <c r="O6" s="139"/>
    </row>
    <row r="7" spans="1:15" s="18" customFormat="1" ht="16.5" customHeight="1">
      <c r="A7" s="134"/>
      <c r="B7" s="136"/>
      <c r="C7" s="109"/>
      <c r="D7" s="109"/>
      <c r="E7" s="109"/>
      <c r="F7" s="109"/>
      <c r="G7" s="78" t="s">
        <v>4</v>
      </c>
      <c r="H7" s="78" t="s">
        <v>31</v>
      </c>
      <c r="I7" s="78" t="s">
        <v>4</v>
      </c>
      <c r="J7" s="78" t="s">
        <v>31</v>
      </c>
      <c r="K7" s="79" t="s">
        <v>4</v>
      </c>
      <c r="L7" s="79" t="s">
        <v>54</v>
      </c>
      <c r="M7" s="79" t="s">
        <v>4</v>
      </c>
      <c r="N7" s="79" t="s">
        <v>54</v>
      </c>
      <c r="O7" s="139"/>
    </row>
    <row r="8" spans="1:15">
      <c r="A8" s="74" t="str">
        <f>'1. 소켓인수검사'!A9</f>
        <v>01</v>
      </c>
      <c r="B8" s="80" t="s">
        <v>46</v>
      </c>
      <c r="C8" s="29">
        <f>'1. 소켓인수검사'!C9</f>
        <v>1800</v>
      </c>
      <c r="D8" s="29">
        <f>'1. 소켓인수검사'!D9</f>
        <v>800</v>
      </c>
      <c r="E8" s="30"/>
      <c r="F8" s="29">
        <v>1</v>
      </c>
      <c r="G8" s="49">
        <f>(C8-30)/2-5</f>
        <v>880</v>
      </c>
      <c r="H8" s="55">
        <f>F8*8*2</f>
        <v>16</v>
      </c>
      <c r="I8" s="89">
        <f>(D8-20)/2-10</f>
        <v>380</v>
      </c>
      <c r="J8" s="55">
        <f>F8*16</f>
        <v>16</v>
      </c>
      <c r="K8" s="50">
        <f t="shared" ref="K8" si="0">C8+60</f>
        <v>1860</v>
      </c>
      <c r="L8" s="81">
        <v>4</v>
      </c>
      <c r="M8" s="50">
        <f>D8</f>
        <v>800</v>
      </c>
      <c r="N8" s="81">
        <v>4</v>
      </c>
      <c r="O8" s="47"/>
    </row>
    <row r="9" spans="1:15">
      <c r="A9" s="119"/>
      <c r="B9" s="120"/>
      <c r="C9" s="120"/>
      <c r="D9" s="82"/>
      <c r="E9" s="83"/>
      <c r="F9" s="83"/>
      <c r="G9" s="84"/>
      <c r="H9" s="51">
        <f>SUM(H8:H8)</f>
        <v>16</v>
      </c>
      <c r="I9" s="84"/>
      <c r="J9" s="51">
        <f>SUM(J8:J8)</f>
        <v>16</v>
      </c>
      <c r="K9" s="82"/>
      <c r="L9" s="51">
        <f>SUM(L8:L8)</f>
        <v>4</v>
      </c>
      <c r="M9" s="82"/>
      <c r="N9" s="51">
        <f>SUM(N8:N8)</f>
        <v>4</v>
      </c>
      <c r="O9" s="52"/>
    </row>
    <row r="10" spans="1:15" ht="8.1" customHeight="1">
      <c r="A10" s="110"/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2"/>
      <c r="O10" s="4"/>
    </row>
    <row r="11" spans="1:15">
      <c r="A11" s="92" t="s">
        <v>15</v>
      </c>
      <c r="B11" s="92"/>
      <c r="C11" s="92"/>
      <c r="D11" s="110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2"/>
    </row>
    <row r="12" spans="1:15">
      <c r="A12" s="92"/>
      <c r="B12" s="92"/>
      <c r="C12" s="92"/>
      <c r="D12" s="113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5"/>
    </row>
    <row r="13" spans="1:15">
      <c r="A13" s="92"/>
      <c r="B13" s="92"/>
      <c r="C13" s="92"/>
      <c r="D13" s="113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5"/>
    </row>
    <row r="14" spans="1:15">
      <c r="A14" s="92"/>
      <c r="B14" s="92"/>
      <c r="C14" s="92"/>
      <c r="D14" s="113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5"/>
    </row>
    <row r="15" spans="1:15">
      <c r="A15" s="92"/>
      <c r="B15" s="92"/>
      <c r="C15" s="92"/>
      <c r="D15" s="113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5"/>
    </row>
    <row r="16" spans="1:15">
      <c r="A16" s="92"/>
      <c r="B16" s="92"/>
      <c r="C16" s="92"/>
      <c r="D16" s="116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8"/>
    </row>
  </sheetData>
  <mergeCells count="22">
    <mergeCell ref="E1:G3"/>
    <mergeCell ref="H1:O3"/>
    <mergeCell ref="A1:D3"/>
    <mergeCell ref="A4:N4"/>
    <mergeCell ref="A5:A7"/>
    <mergeCell ref="B5:B7"/>
    <mergeCell ref="C5:D5"/>
    <mergeCell ref="E5:E7"/>
    <mergeCell ref="F5:F7"/>
    <mergeCell ref="G5:J5"/>
    <mergeCell ref="K5:N5"/>
    <mergeCell ref="O5:O7"/>
    <mergeCell ref="C6:C7"/>
    <mergeCell ref="D6:D7"/>
    <mergeCell ref="G6:H6"/>
    <mergeCell ref="I6:J6"/>
    <mergeCell ref="K6:L6"/>
    <mergeCell ref="M6:N6"/>
    <mergeCell ref="A11:C16"/>
    <mergeCell ref="D11:O16"/>
    <mergeCell ref="A9:C9"/>
    <mergeCell ref="A10:N10"/>
  </mergeCells>
  <phoneticPr fontId="24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11"/>
  <sheetViews>
    <sheetView zoomScaleNormal="100" zoomScaleSheetLayoutView="100" workbookViewId="0">
      <selection activeCell="K24" sqref="K24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92"/>
      <c r="B1" s="92"/>
      <c r="C1" s="92"/>
      <c r="D1" s="92"/>
      <c r="E1" s="92" t="s">
        <v>74</v>
      </c>
      <c r="F1" s="144"/>
      <c r="G1" s="149" t="str">
        <f>'1. 소켓인수검사'!R2</f>
        <v>26.07.23 엘티엔지니어링_코오롱글로벌_신동양기업_대한항공 운북 신 엔진정비공장 건립공사</v>
      </c>
      <c r="H1" s="149"/>
      <c r="I1" s="149"/>
      <c r="J1" s="149"/>
      <c r="K1" s="150"/>
    </row>
    <row r="2" spans="1:11" ht="16.5" customHeight="1">
      <c r="A2" s="92"/>
      <c r="B2" s="92"/>
      <c r="C2" s="92"/>
      <c r="D2" s="92"/>
      <c r="E2" s="145"/>
      <c r="F2" s="146"/>
      <c r="G2" s="151"/>
      <c r="H2" s="151"/>
      <c r="I2" s="151"/>
      <c r="J2" s="151"/>
      <c r="K2" s="152"/>
    </row>
    <row r="3" spans="1:11" ht="16.5" customHeight="1">
      <c r="A3" s="92"/>
      <c r="B3" s="92"/>
      <c r="C3" s="92"/>
      <c r="D3" s="92"/>
      <c r="E3" s="147"/>
      <c r="F3" s="148"/>
      <c r="G3" s="153"/>
      <c r="H3" s="153"/>
      <c r="I3" s="153"/>
      <c r="J3" s="153"/>
      <c r="K3" s="154"/>
    </row>
    <row r="4" spans="1:11" ht="8.1" customHeight="1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</row>
    <row r="5" spans="1:11" ht="26.45" customHeight="1">
      <c r="A5" s="155" t="s">
        <v>56</v>
      </c>
      <c r="B5" s="156" t="s">
        <v>66</v>
      </c>
      <c r="C5" s="141" t="s">
        <v>4</v>
      </c>
      <c r="D5" s="141"/>
      <c r="E5" s="141" t="s">
        <v>24</v>
      </c>
      <c r="F5" s="159" t="s">
        <v>54</v>
      </c>
      <c r="G5" s="142" t="s">
        <v>34</v>
      </c>
      <c r="H5" s="143"/>
      <c r="I5" s="143"/>
      <c r="J5" s="143"/>
      <c r="K5" s="159" t="s">
        <v>2</v>
      </c>
    </row>
    <row r="6" spans="1:11" ht="16.5" customHeight="1">
      <c r="A6" s="155"/>
      <c r="B6" s="157"/>
      <c r="C6" s="141" t="s">
        <v>63</v>
      </c>
      <c r="D6" s="141" t="s">
        <v>61</v>
      </c>
      <c r="E6" s="141"/>
      <c r="F6" s="160"/>
      <c r="G6" s="141" t="s">
        <v>65</v>
      </c>
      <c r="H6" s="141"/>
      <c r="I6" s="142" t="s">
        <v>62</v>
      </c>
      <c r="J6" s="143"/>
      <c r="K6" s="160"/>
    </row>
    <row r="7" spans="1:11">
      <c r="A7" s="155"/>
      <c r="B7" s="158"/>
      <c r="C7" s="141"/>
      <c r="D7" s="141"/>
      <c r="E7" s="141"/>
      <c r="F7" s="161"/>
      <c r="G7" s="16" t="s">
        <v>4</v>
      </c>
      <c r="H7" s="16" t="s">
        <v>54</v>
      </c>
      <c r="I7" s="16" t="s">
        <v>4</v>
      </c>
      <c r="J7" s="17" t="s">
        <v>54</v>
      </c>
      <c r="K7" s="161"/>
    </row>
    <row r="8" spans="1:11">
      <c r="A8" s="75" t="str">
        <f>'1. 소켓인수검사'!A9</f>
        <v>01</v>
      </c>
      <c r="B8" s="48" t="s">
        <v>46</v>
      </c>
      <c r="C8" s="29">
        <f>'1. 소켓인수검사'!C9</f>
        <v>1800</v>
      </c>
      <c r="D8" s="29">
        <f>'1. 소켓인수검사'!D9</f>
        <v>800</v>
      </c>
      <c r="E8" s="39"/>
      <c r="F8" s="38">
        <v>1</v>
      </c>
      <c r="G8" s="76">
        <f t="shared" ref="G8" si="0">C8+60</f>
        <v>1860</v>
      </c>
      <c r="H8" s="38">
        <v>2</v>
      </c>
      <c r="I8" s="76">
        <f t="shared" ref="I8" si="1">D8</f>
        <v>800</v>
      </c>
      <c r="J8" s="38">
        <v>2</v>
      </c>
      <c r="K8" s="77"/>
    </row>
    <row r="9" spans="1:11">
      <c r="A9" s="92" t="s">
        <v>44</v>
      </c>
      <c r="B9" s="92"/>
      <c r="C9" s="92"/>
      <c r="D9" s="92"/>
      <c r="E9" s="92"/>
      <c r="F9" s="92"/>
      <c r="G9" s="92"/>
      <c r="H9" s="92"/>
      <c r="I9" s="92"/>
      <c r="J9" s="92"/>
      <c r="K9" s="92"/>
    </row>
    <row r="10" spans="1:11">
      <c r="A10" s="92"/>
      <c r="B10" s="92"/>
      <c r="C10" s="92"/>
      <c r="D10" s="92"/>
      <c r="E10" s="92"/>
      <c r="F10" s="92"/>
      <c r="G10" s="92"/>
      <c r="H10" s="92"/>
      <c r="I10" s="92"/>
      <c r="J10" s="92"/>
      <c r="K10" s="92"/>
    </row>
    <row r="11" spans="1:11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</row>
  </sheetData>
  <mergeCells count="17">
    <mergeCell ref="D6:D7"/>
    <mergeCell ref="G6:H6"/>
    <mergeCell ref="I6:J6"/>
    <mergeCell ref="E1:F3"/>
    <mergeCell ref="G1:K3"/>
    <mergeCell ref="A9:C11"/>
    <mergeCell ref="D9:K11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</mergeCells>
  <phoneticPr fontId="24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P18"/>
  <sheetViews>
    <sheetView showGridLines="0" zoomScaleNormal="100" zoomScaleSheetLayoutView="100" workbookViewId="0">
      <selection activeCell="E27" sqref="E27"/>
    </sheetView>
  </sheetViews>
  <sheetFormatPr defaultColWidth="9" defaultRowHeight="16.5"/>
  <cols>
    <col min="1" max="1" width="3.625" style="5" customWidth="1"/>
    <col min="2" max="3" width="9.625" style="5" customWidth="1"/>
    <col min="4" max="4" width="6.875" style="5" customWidth="1"/>
    <col min="5" max="5" width="19" style="5" bestFit="1" customWidth="1"/>
    <col min="6" max="6" width="6.375" style="5" customWidth="1"/>
    <col min="7" max="7" width="6.125" style="5" customWidth="1"/>
    <col min="8" max="9" width="9.625" style="5" customWidth="1"/>
    <col min="10" max="10" width="7.1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92"/>
      <c r="B1" s="92"/>
      <c r="C1" s="92"/>
      <c r="D1" s="92"/>
      <c r="E1" s="167" t="s">
        <v>69</v>
      </c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9"/>
    </row>
    <row r="2" spans="1:16" ht="16.5" customHeight="1">
      <c r="A2" s="92"/>
      <c r="B2" s="92"/>
      <c r="C2" s="92"/>
      <c r="D2" s="92"/>
      <c r="E2" s="170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2"/>
    </row>
    <row r="3" spans="1:16" ht="16.5" customHeight="1">
      <c r="A3" s="92"/>
      <c r="B3" s="92"/>
      <c r="C3" s="92"/>
      <c r="D3" s="92"/>
      <c r="E3" s="170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2"/>
    </row>
    <row r="4" spans="1:16" ht="16.5" customHeight="1">
      <c r="A4" s="92" t="s">
        <v>16</v>
      </c>
      <c r="B4" s="92"/>
      <c r="C4" s="92"/>
      <c r="D4" s="92"/>
      <c r="E4" s="173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5"/>
    </row>
    <row r="5" spans="1:16" ht="16.5" customHeight="1">
      <c r="A5" s="92" t="s">
        <v>26</v>
      </c>
      <c r="B5" s="92"/>
      <c r="C5" s="92"/>
      <c r="D5" s="92"/>
      <c r="E5" s="6" t="s">
        <v>32</v>
      </c>
      <c r="F5" s="92"/>
      <c r="G5" s="92"/>
      <c r="H5" s="92" t="s">
        <v>59</v>
      </c>
      <c r="I5" s="92"/>
      <c r="J5" s="92"/>
      <c r="K5" s="92" t="s">
        <v>55</v>
      </c>
      <c r="L5" s="92"/>
      <c r="M5" s="92"/>
      <c r="N5" s="166" t="str">
        <f>'1. 소켓인수검사'!R2</f>
        <v>26.07.23 엘티엔지니어링_코오롱글로벌_신동양기업_대한항공 운북 신 엔진정비공장 건립공사</v>
      </c>
      <c r="O5" s="166"/>
      <c r="P5" s="166"/>
    </row>
    <row r="6" spans="1:16">
      <c r="A6" s="92"/>
      <c r="B6" s="92"/>
      <c r="C6" s="92"/>
      <c r="D6" s="92"/>
      <c r="E6" s="6" t="s">
        <v>29</v>
      </c>
      <c r="F6" s="92"/>
      <c r="G6" s="92"/>
      <c r="H6" s="92"/>
      <c r="I6" s="92"/>
      <c r="J6" s="92"/>
      <c r="K6" s="92"/>
      <c r="L6" s="92"/>
      <c r="M6" s="92"/>
      <c r="N6" s="166"/>
      <c r="O6" s="166"/>
      <c r="P6" s="166"/>
    </row>
    <row r="7" spans="1:16" ht="8.1" customHeight="1">
      <c r="A7" s="176"/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8"/>
    </row>
    <row r="8" spans="1:16" ht="21" customHeight="1">
      <c r="A8" s="92" t="s">
        <v>56</v>
      </c>
      <c r="B8" s="180" t="s">
        <v>4</v>
      </c>
      <c r="C8" s="180"/>
      <c r="D8" s="180" t="s">
        <v>28</v>
      </c>
      <c r="E8" s="180" t="s">
        <v>24</v>
      </c>
      <c r="F8" s="180" t="s">
        <v>60</v>
      </c>
      <c r="G8" s="182" t="s">
        <v>27</v>
      </c>
      <c r="H8" s="183"/>
      <c r="I8" s="183"/>
      <c r="J8" s="183"/>
      <c r="K8" s="183"/>
      <c r="L8" s="183"/>
      <c r="M8" s="183"/>
      <c r="N8" s="183"/>
      <c r="O8" s="184"/>
      <c r="P8" s="180" t="s">
        <v>2</v>
      </c>
    </row>
    <row r="9" spans="1:16" ht="21" customHeight="1">
      <c r="A9" s="92"/>
      <c r="B9" s="182" t="s">
        <v>63</v>
      </c>
      <c r="C9" s="180" t="s">
        <v>61</v>
      </c>
      <c r="D9" s="180"/>
      <c r="E9" s="180"/>
      <c r="F9" s="180"/>
      <c r="G9" s="180" t="s">
        <v>57</v>
      </c>
      <c r="H9" s="180" t="s">
        <v>63</v>
      </c>
      <c r="I9" s="180"/>
      <c r="J9" s="181" t="s">
        <v>10</v>
      </c>
      <c r="K9" s="180" t="s">
        <v>61</v>
      </c>
      <c r="L9" s="180"/>
      <c r="M9" s="180"/>
      <c r="N9" s="180"/>
      <c r="O9" s="181" t="s">
        <v>10</v>
      </c>
      <c r="P9" s="180"/>
    </row>
    <row r="10" spans="1:16" ht="21" customHeight="1">
      <c r="A10" s="179"/>
      <c r="B10" s="185"/>
      <c r="C10" s="181"/>
      <c r="D10" s="181"/>
      <c r="E10" s="181"/>
      <c r="F10" s="181"/>
      <c r="G10" s="181"/>
      <c r="H10" s="22" t="s">
        <v>4</v>
      </c>
      <c r="I10" s="22" t="s">
        <v>31</v>
      </c>
      <c r="J10" s="186"/>
      <c r="K10" s="187" t="s">
        <v>4</v>
      </c>
      <c r="L10" s="188"/>
      <c r="M10" s="189"/>
      <c r="N10" s="23" t="s">
        <v>31</v>
      </c>
      <c r="O10" s="186"/>
      <c r="P10" s="181"/>
    </row>
    <row r="11" spans="1:16" ht="16.5" customHeight="1">
      <c r="A11" s="42" t="str">
        <f>'1. 소켓인수검사'!A9</f>
        <v>01</v>
      </c>
      <c r="B11" s="43">
        <f>'1. 소켓인수검사'!C9</f>
        <v>1800</v>
      </c>
      <c r="C11" s="43">
        <f>'1. 소켓인수검사'!D9</f>
        <v>800</v>
      </c>
      <c r="D11" s="45">
        <v>1</v>
      </c>
      <c r="E11" s="44"/>
      <c r="F11" s="56" t="s">
        <v>48</v>
      </c>
      <c r="G11" s="45" t="s">
        <v>47</v>
      </c>
      <c r="H11" s="53">
        <f>(B11-30)/2-1</f>
        <v>884</v>
      </c>
      <c r="I11" s="45">
        <f>D11*8*2</f>
        <v>16</v>
      </c>
      <c r="J11" s="45"/>
      <c r="K11" s="165">
        <f>(C11-20)/2-10-1</f>
        <v>379</v>
      </c>
      <c r="L11" s="165"/>
      <c r="M11" s="165"/>
      <c r="N11" s="45">
        <f>D11*16*2</f>
        <v>32</v>
      </c>
      <c r="O11" s="45"/>
      <c r="P11" s="54"/>
    </row>
    <row r="12" spans="1:16" ht="8.1" customHeight="1">
      <c r="A12" s="16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163"/>
    </row>
    <row r="13" spans="1:16">
      <c r="A13" s="164" t="s">
        <v>45</v>
      </c>
      <c r="B13" s="164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</row>
    <row r="14" spans="1:16">
      <c r="A14" s="164"/>
      <c r="B14" s="164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</row>
    <row r="15" spans="1:16">
      <c r="A15" s="164"/>
      <c r="B15" s="164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</row>
    <row r="16" spans="1:16">
      <c r="A16" s="164"/>
      <c r="B16" s="164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</row>
    <row r="17" spans="1:16">
      <c r="A17" s="164"/>
      <c r="B17" s="164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</row>
    <row r="18" spans="1:16">
      <c r="A18" s="164"/>
      <c r="B18" s="164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</row>
  </sheetData>
  <mergeCells count="32">
    <mergeCell ref="A1:D3"/>
    <mergeCell ref="A4:B4"/>
    <mergeCell ref="C4:D4"/>
    <mergeCell ref="A5:B6"/>
    <mergeCell ref="C5:D6"/>
    <mergeCell ref="E1:P4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A12:P12"/>
    <mergeCell ref="A13:B18"/>
    <mergeCell ref="C13:P18"/>
    <mergeCell ref="K11:M11"/>
    <mergeCell ref="F5:G5"/>
    <mergeCell ref="H5:H6"/>
    <mergeCell ref="I5:J6"/>
    <mergeCell ref="K5:M6"/>
    <mergeCell ref="N5:P6"/>
    <mergeCell ref="F6:G6"/>
    <mergeCell ref="K10:M10"/>
  </mergeCells>
  <phoneticPr fontId="24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/>
  <dimension ref="A1:Q18"/>
  <sheetViews>
    <sheetView showGridLines="0" zoomScaleNormal="100" zoomScaleSheetLayoutView="100" workbookViewId="0">
      <selection activeCell="H32" sqref="H32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6.625" style="5" customWidth="1"/>
    <col min="6" max="6" width="6.75" style="5" customWidth="1"/>
    <col min="7" max="7" width="6.625" style="5" customWidth="1"/>
    <col min="8" max="9" width="9.625" style="5" customWidth="1"/>
    <col min="10" max="10" width="7.125" style="5" customWidth="1"/>
    <col min="11" max="11" width="6.625" style="5" customWidth="1"/>
    <col min="12" max="14" width="3" style="5" customWidth="1"/>
    <col min="15" max="17" width="9.75" style="5" customWidth="1"/>
    <col min="18" max="16384" width="9" style="5"/>
  </cols>
  <sheetData>
    <row r="1" spans="1:17" ht="16.5" customHeight="1">
      <c r="A1" s="92"/>
      <c r="B1" s="92"/>
      <c r="C1" s="92"/>
      <c r="D1" s="92"/>
      <c r="E1" s="167" t="s">
        <v>14</v>
      </c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9"/>
    </row>
    <row r="2" spans="1:17" ht="16.5" customHeight="1">
      <c r="A2" s="92"/>
      <c r="B2" s="92"/>
      <c r="C2" s="92"/>
      <c r="D2" s="92"/>
      <c r="E2" s="170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2"/>
    </row>
    <row r="3" spans="1:17" ht="16.5" customHeight="1">
      <c r="A3" s="92"/>
      <c r="B3" s="92"/>
      <c r="C3" s="92"/>
      <c r="D3" s="92"/>
      <c r="E3" s="170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2"/>
    </row>
    <row r="4" spans="1:17" ht="16.5" customHeight="1">
      <c r="A4" s="92" t="s">
        <v>16</v>
      </c>
      <c r="B4" s="92"/>
      <c r="C4" s="92"/>
      <c r="D4" s="92"/>
      <c r="E4" s="173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5"/>
    </row>
    <row r="5" spans="1:17" ht="16.5" customHeight="1">
      <c r="A5" s="92" t="s">
        <v>26</v>
      </c>
      <c r="B5" s="92"/>
      <c r="C5" s="92"/>
      <c r="D5" s="92"/>
      <c r="E5" s="6" t="s">
        <v>32</v>
      </c>
      <c r="F5" s="92"/>
      <c r="G5" s="92"/>
      <c r="H5" s="92" t="s">
        <v>59</v>
      </c>
      <c r="I5" s="92"/>
      <c r="J5" s="92"/>
      <c r="K5" s="162" t="s">
        <v>55</v>
      </c>
      <c r="L5" s="92"/>
      <c r="M5" s="92"/>
      <c r="N5" s="163"/>
      <c r="O5" s="166" t="str">
        <f>'1. 소켓인수검사'!R2</f>
        <v>26.07.23 엘티엔지니어링_코오롱글로벌_신동양기업_대한항공 운북 신 엔진정비공장 건립공사</v>
      </c>
      <c r="P5" s="166"/>
      <c r="Q5" s="166"/>
    </row>
    <row r="6" spans="1:17">
      <c r="A6" s="92"/>
      <c r="B6" s="92"/>
      <c r="C6" s="92"/>
      <c r="D6" s="92"/>
      <c r="E6" s="6" t="s">
        <v>29</v>
      </c>
      <c r="F6" s="92"/>
      <c r="G6" s="92"/>
      <c r="H6" s="92"/>
      <c r="I6" s="92"/>
      <c r="J6" s="92"/>
      <c r="K6" s="176"/>
      <c r="L6" s="177"/>
      <c r="M6" s="177"/>
      <c r="N6" s="178"/>
      <c r="O6" s="166"/>
      <c r="P6" s="166"/>
      <c r="Q6" s="166"/>
    </row>
    <row r="7" spans="1:17" ht="8.1" customHeight="1">
      <c r="A7" s="176"/>
      <c r="B7" s="177"/>
      <c r="C7" s="177"/>
      <c r="D7" s="177"/>
      <c r="E7" s="177"/>
      <c r="F7" s="177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8"/>
    </row>
    <row r="8" spans="1:17">
      <c r="A8" s="92" t="s">
        <v>56</v>
      </c>
      <c r="B8" s="180" t="s">
        <v>4</v>
      </c>
      <c r="C8" s="180"/>
      <c r="D8" s="180" t="s">
        <v>28</v>
      </c>
      <c r="E8" s="180" t="s">
        <v>24</v>
      </c>
      <c r="F8" s="180" t="s">
        <v>60</v>
      </c>
      <c r="G8" s="182" t="s">
        <v>27</v>
      </c>
      <c r="H8" s="183"/>
      <c r="I8" s="183"/>
      <c r="J8" s="183"/>
      <c r="K8" s="182"/>
      <c r="L8" s="183"/>
      <c r="M8" s="183"/>
      <c r="N8" s="183"/>
      <c r="O8" s="183"/>
      <c r="P8" s="184"/>
      <c r="Q8" s="180" t="s">
        <v>2</v>
      </c>
    </row>
    <row r="9" spans="1:17" ht="16.5" customHeight="1">
      <c r="A9" s="92"/>
      <c r="B9" s="182" t="s">
        <v>63</v>
      </c>
      <c r="C9" s="180" t="s">
        <v>61</v>
      </c>
      <c r="D9" s="180"/>
      <c r="E9" s="180"/>
      <c r="F9" s="180"/>
      <c r="G9" s="180" t="s">
        <v>57</v>
      </c>
      <c r="H9" s="180" t="s">
        <v>49</v>
      </c>
      <c r="I9" s="180"/>
      <c r="J9" s="181" t="s">
        <v>10</v>
      </c>
      <c r="K9" s="181" t="s">
        <v>57</v>
      </c>
      <c r="L9" s="180" t="s">
        <v>18</v>
      </c>
      <c r="M9" s="180"/>
      <c r="N9" s="180"/>
      <c r="O9" s="180"/>
      <c r="P9" s="181" t="s">
        <v>10</v>
      </c>
      <c r="Q9" s="180"/>
    </row>
    <row r="10" spans="1:17">
      <c r="A10" s="179"/>
      <c r="B10" s="185"/>
      <c r="C10" s="181"/>
      <c r="D10" s="181"/>
      <c r="E10" s="181"/>
      <c r="F10" s="181"/>
      <c r="G10" s="181"/>
      <c r="H10" s="22" t="s">
        <v>4</v>
      </c>
      <c r="I10" s="22" t="s">
        <v>31</v>
      </c>
      <c r="J10" s="186"/>
      <c r="K10" s="186"/>
      <c r="L10" s="187" t="s">
        <v>4</v>
      </c>
      <c r="M10" s="188"/>
      <c r="N10" s="189"/>
      <c r="O10" s="23" t="s">
        <v>31</v>
      </c>
      <c r="P10" s="186"/>
      <c r="Q10" s="181"/>
    </row>
    <row r="11" spans="1:17" ht="20.100000000000001" customHeight="1">
      <c r="A11" s="42" t="str">
        <f>'1. 소켓인수검사'!A9</f>
        <v>01</v>
      </c>
      <c r="B11" s="43">
        <f>'1. 소켓인수검사'!C9</f>
        <v>1800</v>
      </c>
      <c r="C11" s="43">
        <f>'1. 소켓인수검사'!D9</f>
        <v>800</v>
      </c>
      <c r="D11" s="45">
        <v>1</v>
      </c>
      <c r="E11" s="57"/>
      <c r="F11" s="24" t="s">
        <v>48</v>
      </c>
      <c r="G11" s="53">
        <f>228-3</f>
        <v>225</v>
      </c>
      <c r="H11" s="45">
        <f>((B11-30)/2)-1</f>
        <v>884</v>
      </c>
      <c r="I11" s="45">
        <f t="shared" ref="I11" si="0">D11*4*2</f>
        <v>8</v>
      </c>
      <c r="J11" s="45"/>
      <c r="K11" s="53">
        <f>240-3</f>
        <v>237</v>
      </c>
      <c r="L11" s="190">
        <f t="shared" ref="L11" si="1">C11</f>
        <v>800</v>
      </c>
      <c r="M11" s="191"/>
      <c r="N11" s="191"/>
      <c r="O11" s="45">
        <f t="shared" ref="O11" si="2">D11*2*2</f>
        <v>4</v>
      </c>
      <c r="P11" s="24"/>
      <c r="Q11" s="25"/>
    </row>
    <row r="12" spans="1:17" ht="8.1" customHeight="1">
      <c r="A12" s="16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163"/>
    </row>
    <row r="13" spans="1:17">
      <c r="A13" s="164" t="s">
        <v>45</v>
      </c>
      <c r="B13" s="164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</row>
    <row r="14" spans="1:17">
      <c r="A14" s="164"/>
      <c r="B14" s="164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</row>
    <row r="15" spans="1:17">
      <c r="A15" s="164"/>
      <c r="B15" s="164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</row>
    <row r="16" spans="1:17">
      <c r="A16" s="164"/>
      <c r="B16" s="164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</row>
    <row r="17" spans="1:17">
      <c r="A17" s="164"/>
      <c r="B17" s="164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</row>
    <row r="18" spans="1:17">
      <c r="A18" s="164"/>
      <c r="B18" s="164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</row>
  </sheetData>
  <mergeCells count="33">
    <mergeCell ref="F5:G5"/>
    <mergeCell ref="H5:H6"/>
    <mergeCell ref="I5:J6"/>
    <mergeCell ref="K5:N6"/>
    <mergeCell ref="A1:D3"/>
    <mergeCell ref="A4:B4"/>
    <mergeCell ref="C4:D4"/>
    <mergeCell ref="A5:B6"/>
    <mergeCell ref="C5:D6"/>
    <mergeCell ref="O5:Q6"/>
    <mergeCell ref="F6:G6"/>
    <mergeCell ref="E1:Q4"/>
    <mergeCell ref="A7:Q7"/>
    <mergeCell ref="A8:A10"/>
    <mergeCell ref="B8:C8"/>
    <mergeCell ref="D8:D10"/>
    <mergeCell ref="E8:E10"/>
    <mergeCell ref="F8:F10"/>
    <mergeCell ref="G8:P8"/>
    <mergeCell ref="Q8:Q10"/>
    <mergeCell ref="B9:B10"/>
    <mergeCell ref="C9:C10"/>
    <mergeCell ref="G9:G10"/>
    <mergeCell ref="H9:I9"/>
    <mergeCell ref="J9:J10"/>
    <mergeCell ref="A12:Q12"/>
    <mergeCell ref="A13:B18"/>
    <mergeCell ref="C13:Q18"/>
    <mergeCell ref="L11:N11"/>
    <mergeCell ref="L10:N10"/>
    <mergeCell ref="K9:K10"/>
    <mergeCell ref="L9:O9"/>
    <mergeCell ref="P9:P10"/>
  </mergeCells>
  <phoneticPr fontId="24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20"/>
  <sheetViews>
    <sheetView zoomScaleNormal="100" zoomScaleSheetLayoutView="100" workbookViewId="0">
      <pane ySplit="9" topLeftCell="A10" activePane="bottomLeft" state="frozen"/>
      <selection pane="bottomLeft" activeCell="S25" sqref="S25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92"/>
      <c r="B1" s="92"/>
      <c r="C1" s="92"/>
      <c r="D1" s="213" t="s">
        <v>43</v>
      </c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4"/>
      <c r="R1" s="215"/>
      <c r="S1" s="14"/>
    </row>
    <row r="2" spans="1:19">
      <c r="A2" s="92"/>
      <c r="B2" s="92"/>
      <c r="C2" s="92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4"/>
      <c r="R2" s="216"/>
      <c r="S2" s="217"/>
    </row>
    <row r="3" spans="1:19" ht="24" customHeight="1">
      <c r="A3" s="92"/>
      <c r="B3" s="92"/>
      <c r="C3" s="92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4"/>
      <c r="R3" s="216"/>
      <c r="S3" s="217"/>
    </row>
    <row r="4" spans="1:19">
      <c r="A4" s="92" t="s">
        <v>16</v>
      </c>
      <c r="B4" s="92"/>
      <c r="C4" s="1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4"/>
      <c r="R4" s="216"/>
      <c r="S4" s="217"/>
    </row>
    <row r="5" spans="1:19">
      <c r="A5" s="92" t="s">
        <v>26</v>
      </c>
      <c r="B5" s="92"/>
      <c r="C5" s="92"/>
      <c r="D5" s="2" t="s">
        <v>32</v>
      </c>
      <c r="E5" s="218"/>
      <c r="F5" s="219"/>
      <c r="G5" s="220" t="s">
        <v>59</v>
      </c>
      <c r="H5" s="110"/>
      <c r="I5" s="111"/>
      <c r="J5" s="111"/>
      <c r="K5" s="112"/>
      <c r="L5" s="220" t="s">
        <v>21</v>
      </c>
      <c r="M5" s="60"/>
      <c r="N5" s="60"/>
      <c r="O5" s="220" t="s">
        <v>21</v>
      </c>
      <c r="P5" s="222" t="str">
        <f>'1. 소켓인수검사'!R2</f>
        <v>26.07.23 엘티엔지니어링_코오롱글로벌_신동양기업_대한항공 운북 신 엔진정비공장 건립공사</v>
      </c>
      <c r="Q5" s="223"/>
      <c r="R5" s="223"/>
      <c r="S5" s="224"/>
    </row>
    <row r="6" spans="1:19">
      <c r="A6" s="92"/>
      <c r="B6" s="92"/>
      <c r="C6" s="92"/>
      <c r="D6" s="2" t="s">
        <v>29</v>
      </c>
      <c r="E6" s="218"/>
      <c r="F6" s="219"/>
      <c r="G6" s="221"/>
      <c r="H6" s="116"/>
      <c r="I6" s="117"/>
      <c r="J6" s="117"/>
      <c r="K6" s="118"/>
      <c r="L6" s="221"/>
      <c r="M6" s="61"/>
      <c r="N6" s="61"/>
      <c r="O6" s="221"/>
      <c r="P6" s="225"/>
      <c r="Q6" s="226"/>
      <c r="R6" s="226"/>
      <c r="S6" s="227"/>
    </row>
    <row r="7" spans="1:19" ht="8.1" customHeight="1">
      <c r="A7" s="116"/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8"/>
    </row>
    <row r="8" spans="1:19" ht="16.5" customHeight="1">
      <c r="A8" s="104" t="s">
        <v>56</v>
      </c>
      <c r="B8" s="209" t="s">
        <v>63</v>
      </c>
      <c r="C8" s="209" t="s">
        <v>61</v>
      </c>
      <c r="D8" s="209" t="s">
        <v>66</v>
      </c>
      <c r="E8" s="209" t="s">
        <v>51</v>
      </c>
      <c r="F8" s="209" t="s">
        <v>58</v>
      </c>
      <c r="G8" s="209" t="s">
        <v>23</v>
      </c>
      <c r="H8" s="209"/>
      <c r="I8" s="209"/>
      <c r="J8" s="209" t="s">
        <v>0</v>
      </c>
      <c r="K8" s="209"/>
      <c r="L8" s="209"/>
      <c r="M8" s="209" t="s">
        <v>0</v>
      </c>
      <c r="N8" s="209"/>
      <c r="O8" s="209"/>
      <c r="P8" s="209" t="s">
        <v>0</v>
      </c>
      <c r="Q8" s="209"/>
      <c r="R8" s="209"/>
      <c r="S8" s="211"/>
    </row>
    <row r="9" spans="1:19" ht="33" customHeight="1">
      <c r="A9" s="208"/>
      <c r="B9" s="210"/>
      <c r="C9" s="210"/>
      <c r="D9" s="210"/>
      <c r="E9" s="210"/>
      <c r="F9" s="210"/>
      <c r="G9" s="63" t="s">
        <v>33</v>
      </c>
      <c r="H9" s="63" t="s">
        <v>54</v>
      </c>
      <c r="I9" s="63" t="s">
        <v>53</v>
      </c>
      <c r="J9" s="63" t="s">
        <v>19</v>
      </c>
      <c r="K9" s="63" t="s">
        <v>54</v>
      </c>
      <c r="L9" s="63" t="s">
        <v>53</v>
      </c>
      <c r="M9" s="63" t="s">
        <v>25</v>
      </c>
      <c r="N9" s="63" t="s">
        <v>54</v>
      </c>
      <c r="O9" s="63" t="s">
        <v>53</v>
      </c>
      <c r="P9" s="63" t="s">
        <v>22</v>
      </c>
      <c r="Q9" s="63" t="s">
        <v>54</v>
      </c>
      <c r="R9" s="210" t="s">
        <v>53</v>
      </c>
      <c r="S9" s="212"/>
    </row>
    <row r="10" spans="1:19">
      <c r="A10" s="46" t="str">
        <f>'1. 소켓인수검사'!A9</f>
        <v>01</v>
      </c>
      <c r="B10" s="29">
        <f>'1. 소켓인수검사'!C9</f>
        <v>1800</v>
      </c>
      <c r="C10" s="29">
        <f>'1. 소켓인수검사'!D9</f>
        <v>800</v>
      </c>
      <c r="D10" s="48" t="s">
        <v>46</v>
      </c>
      <c r="E10" s="59">
        <f t="shared" ref="E10" si="0">B10*C10/1000000</f>
        <v>1.44</v>
      </c>
      <c r="F10" s="59">
        <f t="shared" ref="F10" si="1">(B10+C10)*2/1000</f>
        <v>5.2</v>
      </c>
      <c r="G10" s="26">
        <f t="shared" ref="G10" si="2">(F10+0.4)</f>
        <v>5.6000000000000005</v>
      </c>
      <c r="H10" s="29">
        <v>2</v>
      </c>
      <c r="I10" s="26">
        <f>G10*H10</f>
        <v>11.200000000000001</v>
      </c>
      <c r="J10" s="26"/>
      <c r="K10" s="26"/>
      <c r="L10" s="26"/>
      <c r="M10" s="26"/>
      <c r="N10" s="26"/>
      <c r="O10" s="26"/>
      <c r="P10" s="26">
        <f t="shared" ref="P10" si="3">F10+0.5</f>
        <v>5.7</v>
      </c>
      <c r="Q10" s="26">
        <v>2</v>
      </c>
      <c r="R10" s="206">
        <f>P10*Q10</f>
        <v>11.4</v>
      </c>
      <c r="S10" s="207"/>
    </row>
    <row r="11" spans="1:19">
      <c r="A11" s="201" t="s">
        <v>3</v>
      </c>
      <c r="B11" s="202"/>
      <c r="C11" s="202"/>
      <c r="D11" s="202"/>
      <c r="E11" s="202"/>
      <c r="F11" s="203"/>
      <c r="G11" s="27"/>
      <c r="H11" s="38"/>
      <c r="I11" s="67">
        <f>SUM(I10:I10)</f>
        <v>11.200000000000001</v>
      </c>
      <c r="J11" s="27"/>
      <c r="K11" s="27"/>
      <c r="L11" s="67">
        <f>SUM(L10:L10)</f>
        <v>0</v>
      </c>
      <c r="M11" s="27"/>
      <c r="N11" s="27"/>
      <c r="O11" s="67">
        <f>SUM(O10:O10)</f>
        <v>0</v>
      </c>
      <c r="P11" s="27"/>
      <c r="Q11" s="27"/>
      <c r="R11" s="204">
        <f>SUM(R10:S10)</f>
        <v>11.4</v>
      </c>
      <c r="S11" s="205"/>
    </row>
    <row r="12" spans="1:19" ht="17.25" customHeight="1">
      <c r="A12" s="194" t="s">
        <v>12</v>
      </c>
      <c r="B12" s="195"/>
      <c r="C12" s="195"/>
      <c r="D12" s="195"/>
      <c r="E12" s="195"/>
      <c r="F12" s="196"/>
      <c r="G12" s="197">
        <f>I11/20</f>
        <v>0.56000000000000005</v>
      </c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9"/>
    </row>
    <row r="13" spans="1:19">
      <c r="A13" s="194" t="s">
        <v>11</v>
      </c>
      <c r="B13" s="195"/>
      <c r="C13" s="195"/>
      <c r="D13" s="195"/>
      <c r="E13" s="195"/>
      <c r="F13" s="196"/>
      <c r="G13" s="197">
        <f>L11/3.6</f>
        <v>0</v>
      </c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9"/>
    </row>
    <row r="14" spans="1:19">
      <c r="A14" s="200" t="s">
        <v>73</v>
      </c>
      <c r="B14" s="195"/>
      <c r="C14" s="195"/>
      <c r="D14" s="195"/>
      <c r="E14" s="195"/>
      <c r="F14" s="196"/>
      <c r="G14" s="197">
        <f>O11/7.4</f>
        <v>0</v>
      </c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9"/>
    </row>
    <row r="15" spans="1:19">
      <c r="A15" s="194" t="s">
        <v>13</v>
      </c>
      <c r="B15" s="195"/>
      <c r="C15" s="195"/>
      <c r="D15" s="195"/>
      <c r="E15" s="195"/>
      <c r="F15" s="196"/>
      <c r="G15" s="197">
        <f>R11/3.6</f>
        <v>3.1666666666666665</v>
      </c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9"/>
    </row>
    <row r="16" spans="1:19" ht="8.1" customHeight="1">
      <c r="A16" s="111"/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</row>
    <row r="17" spans="1:19">
      <c r="A17" s="92" t="s">
        <v>45</v>
      </c>
      <c r="B17" s="92"/>
      <c r="C17" s="192"/>
      <c r="D17" s="193"/>
      <c r="E17" s="193"/>
      <c r="F17" s="193"/>
      <c r="G17" s="193"/>
      <c r="H17" s="193"/>
      <c r="I17" s="193"/>
      <c r="J17" s="193"/>
      <c r="K17" s="193"/>
      <c r="L17" s="193"/>
      <c r="M17" s="193"/>
      <c r="N17" s="193"/>
      <c r="O17" s="193"/>
      <c r="P17" s="193"/>
      <c r="Q17" s="193"/>
      <c r="R17" s="193"/>
      <c r="S17" s="193"/>
    </row>
    <row r="18" spans="1:19">
      <c r="A18" s="92"/>
      <c r="B18" s="92"/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</row>
    <row r="19" spans="1:19">
      <c r="A19" s="92"/>
      <c r="B19" s="92"/>
      <c r="C19" s="193"/>
      <c r="D19" s="193"/>
      <c r="E19" s="193"/>
      <c r="F19" s="193"/>
      <c r="G19" s="193"/>
      <c r="H19" s="193"/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193"/>
    </row>
    <row r="20" spans="1:19">
      <c r="A20" s="92"/>
      <c r="B20" s="92"/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  <c r="N20" s="193"/>
      <c r="O20" s="193"/>
      <c r="P20" s="193"/>
      <c r="Q20" s="193"/>
      <c r="R20" s="193"/>
      <c r="S20" s="193"/>
    </row>
  </sheetData>
  <mergeCells count="40">
    <mergeCell ref="L5:L6"/>
    <mergeCell ref="O5:O6"/>
    <mergeCell ref="P5:S6"/>
    <mergeCell ref="E6:F6"/>
    <mergeCell ref="A5:B6"/>
    <mergeCell ref="C5:C6"/>
    <mergeCell ref="E5:F5"/>
    <mergeCell ref="G5:G6"/>
    <mergeCell ref="H5:K6"/>
    <mergeCell ref="A1:C3"/>
    <mergeCell ref="D1:Q4"/>
    <mergeCell ref="R1:R4"/>
    <mergeCell ref="S2:S4"/>
    <mergeCell ref="A4:B4"/>
    <mergeCell ref="A11:F11"/>
    <mergeCell ref="R11:S11"/>
    <mergeCell ref="R10:S10"/>
    <mergeCell ref="A7:S7"/>
    <mergeCell ref="A8:A9"/>
    <mergeCell ref="B8:B9"/>
    <mergeCell ref="C8:C9"/>
    <mergeCell ref="D8:D9"/>
    <mergeCell ref="E8:E9"/>
    <mergeCell ref="F8:F9"/>
    <mergeCell ref="G8:I8"/>
    <mergeCell ref="J8:L8"/>
    <mergeCell ref="M8:O8"/>
    <mergeCell ref="P8:S8"/>
    <mergeCell ref="R9:S9"/>
    <mergeCell ref="A17:B20"/>
    <mergeCell ref="C17:S20"/>
    <mergeCell ref="A12:F12"/>
    <mergeCell ref="G12:S12"/>
    <mergeCell ref="A13:F13"/>
    <mergeCell ref="G13:S13"/>
    <mergeCell ref="A14:F14"/>
    <mergeCell ref="G14:S14"/>
    <mergeCell ref="A15:F15"/>
    <mergeCell ref="G15:S15"/>
    <mergeCell ref="A16:S16"/>
  </mergeCells>
  <phoneticPr fontId="24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15"/>
  <sheetViews>
    <sheetView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S27" sqref="S27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92"/>
      <c r="B1" s="92"/>
      <c r="C1" s="92"/>
      <c r="D1" s="92"/>
      <c r="E1" s="86" t="s">
        <v>7</v>
      </c>
      <c r="F1" s="234" t="s">
        <v>70</v>
      </c>
      <c r="G1" s="234"/>
      <c r="H1" s="234"/>
      <c r="I1" s="234"/>
      <c r="J1" s="234"/>
      <c r="K1" s="149" t="str">
        <f>'1. 소켓인수검사'!R2</f>
        <v>26.07.23 엘티엔지니어링_코오롱글로벌_신동양기업_대한항공 운북 신 엔진정비공장 건립공사</v>
      </c>
      <c r="L1" s="149"/>
      <c r="M1" s="149"/>
      <c r="N1" s="149"/>
      <c r="O1" s="149"/>
      <c r="P1" s="149"/>
      <c r="Q1" s="149"/>
      <c r="R1" s="149"/>
      <c r="S1" s="149"/>
      <c r="T1" s="149"/>
      <c r="U1" s="150"/>
    </row>
    <row r="2" spans="1:21" ht="16.5" customHeight="1">
      <c r="A2" s="92"/>
      <c r="B2" s="92"/>
      <c r="C2" s="92"/>
      <c r="D2" s="92"/>
      <c r="E2" s="85"/>
      <c r="F2" s="235"/>
      <c r="G2" s="235"/>
      <c r="H2" s="235"/>
      <c r="I2" s="235"/>
      <c r="J2" s="235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2"/>
    </row>
    <row r="3" spans="1:21" ht="24" customHeight="1">
      <c r="A3" s="92"/>
      <c r="B3" s="92"/>
      <c r="C3" s="92"/>
      <c r="D3" s="92"/>
      <c r="E3" s="87"/>
      <c r="F3" s="236"/>
      <c r="G3" s="236"/>
      <c r="H3" s="236"/>
      <c r="I3" s="236"/>
      <c r="J3" s="236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4"/>
    </row>
    <row r="4" spans="1:21" ht="8.1" customHeight="1">
      <c r="A4" s="116"/>
      <c r="B4" s="117"/>
      <c r="C4" s="117"/>
      <c r="D4" s="117"/>
      <c r="E4" s="117"/>
      <c r="F4" s="117"/>
      <c r="G4" s="117"/>
      <c r="H4" s="116"/>
      <c r="I4" s="117"/>
      <c r="J4" s="117"/>
      <c r="K4" s="117"/>
      <c r="L4" s="117"/>
      <c r="M4" s="117"/>
      <c r="N4" s="117"/>
      <c r="O4" s="117"/>
      <c r="P4" s="117"/>
      <c r="Q4" s="3"/>
      <c r="S4" s="3"/>
      <c r="T4" s="3"/>
      <c r="U4" s="3"/>
    </row>
    <row r="5" spans="1:21" ht="16.5" customHeight="1">
      <c r="A5" s="104" t="s">
        <v>56</v>
      </c>
      <c r="B5" s="237" t="s">
        <v>36</v>
      </c>
      <c r="C5" s="209" t="s">
        <v>63</v>
      </c>
      <c r="D5" s="209" t="s">
        <v>61</v>
      </c>
      <c r="E5" s="209" t="s">
        <v>24</v>
      </c>
      <c r="F5" s="209" t="s">
        <v>51</v>
      </c>
      <c r="G5" s="209" t="s">
        <v>58</v>
      </c>
      <c r="H5" s="209" t="s">
        <v>40</v>
      </c>
      <c r="I5" s="209" t="s">
        <v>23</v>
      </c>
      <c r="J5" s="209"/>
      <c r="K5" s="209" t="s">
        <v>0</v>
      </c>
      <c r="L5" s="209"/>
      <c r="M5" s="209" t="s">
        <v>0</v>
      </c>
      <c r="N5" s="209"/>
      <c r="O5" s="209" t="s">
        <v>0</v>
      </c>
      <c r="P5" s="209"/>
      <c r="Q5" s="228" t="s">
        <v>50</v>
      </c>
      <c r="R5" s="228"/>
      <c r="S5" s="229" t="s">
        <v>30</v>
      </c>
      <c r="T5" s="229" t="s">
        <v>55</v>
      </c>
      <c r="U5" s="92" t="s">
        <v>17</v>
      </c>
    </row>
    <row r="6" spans="1:21" ht="26.45" customHeight="1">
      <c r="A6" s="208"/>
      <c r="B6" s="238"/>
      <c r="C6" s="210"/>
      <c r="D6" s="210"/>
      <c r="E6" s="210"/>
      <c r="F6" s="210"/>
      <c r="G6" s="210"/>
      <c r="H6" s="210"/>
      <c r="I6" s="63" t="s">
        <v>8</v>
      </c>
      <c r="J6" s="28" t="s">
        <v>54</v>
      </c>
      <c r="K6" s="63" t="s">
        <v>71</v>
      </c>
      <c r="L6" s="28" t="s">
        <v>54</v>
      </c>
      <c r="M6" s="63" t="s">
        <v>35</v>
      </c>
      <c r="N6" s="28" t="s">
        <v>54</v>
      </c>
      <c r="O6" s="63" t="s">
        <v>37</v>
      </c>
      <c r="P6" s="28" t="s">
        <v>54</v>
      </c>
      <c r="Q6" s="63" t="s">
        <v>52</v>
      </c>
      <c r="R6" s="28" t="s">
        <v>64</v>
      </c>
      <c r="S6" s="230"/>
      <c r="T6" s="230"/>
      <c r="U6" s="231"/>
    </row>
    <row r="7" spans="1:21">
      <c r="A7" s="46" t="str">
        <f>'1. 소켓인수검사'!A9</f>
        <v>01</v>
      </c>
      <c r="B7" s="64" t="s">
        <v>39</v>
      </c>
      <c r="C7" s="29">
        <f>'1. 소켓인수검사'!C9</f>
        <v>1800</v>
      </c>
      <c r="D7" s="29">
        <f>'1. 소켓인수검사'!D9</f>
        <v>800</v>
      </c>
      <c r="E7" s="30"/>
      <c r="F7" s="31">
        <f t="shared" ref="F7" si="0">C7*D7/1000000</f>
        <v>1.44</v>
      </c>
      <c r="G7" s="31">
        <f t="shared" ref="G7" si="1">(C7+D7)*2/1000</f>
        <v>5.2</v>
      </c>
      <c r="H7" s="34">
        <v>4</v>
      </c>
      <c r="I7" s="63">
        <f t="shared" ref="I7" si="2">(G7+0.4)</f>
        <v>5.6000000000000005</v>
      </c>
      <c r="J7" s="35">
        <v>4</v>
      </c>
      <c r="K7" s="26"/>
      <c r="L7" s="28"/>
      <c r="M7" s="26"/>
      <c r="N7" s="28"/>
      <c r="O7" s="63">
        <f t="shared" ref="O7" si="3">(G7+0.5)</f>
        <v>5.7</v>
      </c>
      <c r="P7" s="35">
        <v>4</v>
      </c>
      <c r="Q7" s="32">
        <f t="shared" ref="Q7" si="4">(((C7+60)+250+(D7+60))*2/1000)*2</f>
        <v>11.88</v>
      </c>
      <c r="R7" s="90">
        <f>Q7*2</f>
        <v>23.76</v>
      </c>
      <c r="S7" s="36" t="s">
        <v>42</v>
      </c>
      <c r="T7" s="37" t="s">
        <v>6</v>
      </c>
      <c r="U7" s="33" t="str">
        <f>'1. 소켓인수검사'!G9</f>
        <v>지하1층 폐수처리장 인입</v>
      </c>
    </row>
    <row r="8" spans="1:21">
      <c r="A8" s="232" t="s">
        <v>5</v>
      </c>
      <c r="B8" s="233"/>
      <c r="C8" s="233"/>
      <c r="D8" s="62"/>
      <c r="E8" s="41"/>
      <c r="F8" s="41"/>
      <c r="G8" s="41"/>
      <c r="H8" s="40">
        <f>SUM(H7:H7)</f>
        <v>4</v>
      </c>
      <c r="I8" s="68"/>
      <c r="J8" s="40">
        <f>SUM(J7:J7)</f>
        <v>4</v>
      </c>
      <c r="K8" s="68"/>
      <c r="L8" s="40">
        <f>SUM(L7:L7)</f>
        <v>0</v>
      </c>
      <c r="M8" s="68"/>
      <c r="N8" s="40">
        <f>SUM(N7:N7)</f>
        <v>0</v>
      </c>
      <c r="O8" s="68"/>
      <c r="P8" s="40">
        <f>SUM(P7:P7)</f>
        <v>4</v>
      </c>
      <c r="Q8" s="68">
        <f>SUM(Q7:Q7)</f>
        <v>11.88</v>
      </c>
      <c r="R8" s="40">
        <f>SUM(R7:R7)</f>
        <v>23.76</v>
      </c>
      <c r="S8" s="65"/>
      <c r="T8" s="65"/>
      <c r="U8" s="66"/>
    </row>
    <row r="9" spans="1:21" ht="8.1" customHeight="1">
      <c r="A9" s="114"/>
      <c r="B9" s="114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4"/>
    </row>
    <row r="10" spans="1:21">
      <c r="A10" s="92" t="s">
        <v>45</v>
      </c>
      <c r="B10" s="92"/>
      <c r="C10" s="92"/>
      <c r="D10" s="110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2"/>
    </row>
    <row r="11" spans="1:21">
      <c r="A11" s="92"/>
      <c r="B11" s="92"/>
      <c r="C11" s="92"/>
      <c r="D11" s="113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5"/>
    </row>
    <row r="12" spans="1:21">
      <c r="A12" s="92"/>
      <c r="B12" s="92"/>
      <c r="C12" s="92"/>
      <c r="D12" s="113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5"/>
    </row>
    <row r="13" spans="1:21">
      <c r="A13" s="92"/>
      <c r="B13" s="92"/>
      <c r="C13" s="92"/>
      <c r="D13" s="113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5"/>
    </row>
    <row r="14" spans="1:21">
      <c r="A14" s="92"/>
      <c r="B14" s="92"/>
      <c r="C14" s="92"/>
      <c r="D14" s="113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5"/>
    </row>
    <row r="15" spans="1:21">
      <c r="A15" s="92"/>
      <c r="B15" s="92"/>
      <c r="C15" s="92"/>
      <c r="D15" s="116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8"/>
    </row>
  </sheetData>
  <mergeCells count="24">
    <mergeCell ref="U5:U6"/>
    <mergeCell ref="A8:C8"/>
    <mergeCell ref="F1:J3"/>
    <mergeCell ref="K1:U3"/>
    <mergeCell ref="D10:U15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  <mergeCell ref="A9:P9"/>
    <mergeCell ref="A10:C15"/>
    <mergeCell ref="Q5:R5"/>
    <mergeCell ref="S5:S6"/>
    <mergeCell ref="T5:T6"/>
    <mergeCell ref="K5:L5"/>
    <mergeCell ref="O5:P5"/>
    <mergeCell ref="M5:N5"/>
  </mergeCells>
  <phoneticPr fontId="24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69"/>
  </cols>
  <sheetData/>
  <phoneticPr fontId="24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8</vt:i4>
      </vt:variant>
    </vt:vector>
  </HeadingPairs>
  <TitlesOfParts>
    <vt:vector size="16" baseType="lpstr">
      <vt:lpstr>1. 소켓인수검사</vt:lpstr>
      <vt:lpstr>2.1 재단작업(VT)</vt:lpstr>
      <vt:lpstr>차열재 재단(VM,VT)</vt:lpstr>
      <vt:lpstr>3.2 절곡(VT)</vt:lpstr>
      <vt:lpstr>3.3 절곡(VT-보강대)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'2.1 재단작업(VT)'!Print_Titles</vt:lpstr>
      <vt:lpstr>'3.2 절곡(VT)'!Print_Titles</vt:lpstr>
      <vt:lpstr>'3.3 절곡(VT-보강대)'!Print_Titles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53</cp:revision>
  <cp:lastPrinted>2026-01-07T23:38:07Z</cp:lastPrinted>
  <dcterms:created xsi:type="dcterms:W3CDTF">2025-03-13T00:09:10Z</dcterms:created>
  <dcterms:modified xsi:type="dcterms:W3CDTF">2026-07-23T01:45:47Z</dcterms:modified>
  <cp:version>1200.0100.01</cp:version>
</cp:coreProperties>
</file>