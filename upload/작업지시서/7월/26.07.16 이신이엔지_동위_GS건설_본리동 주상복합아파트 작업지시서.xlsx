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D\Desktop\"/>
    </mc:Choice>
  </mc:AlternateContent>
  <xr:revisionPtr revIDLastSave="0" documentId="13_ncr:1_{7AE6B079-79B4-40A1-9696-B999A433133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. 소켓인수검사" sheetId="1" r:id="rId1"/>
    <sheet name="2.재단(VM)작업" sheetId="12" r:id="rId2"/>
    <sheet name="차열재 재단(VM,VT)" sheetId="2" r:id="rId3"/>
    <sheet name="3. 1절곡(VM)" sheetId="5" r:id="rId4"/>
    <sheet name="5. 차열재 출하용(VM,VT,VAG)" sheetId="9" r:id="rId5"/>
    <sheet name="6. 라벨소요량" sheetId="10" r:id="rId6"/>
    <sheet name="발주서정리" sheetId="11" r:id="rId7"/>
  </sheets>
  <definedNames>
    <definedName name="_xlnm.Print_Area" localSheetId="0">'1. 소켓인수검사'!$A$1:$P$12</definedName>
    <definedName name="_xlnm.Print_Titles" localSheetId="0">'1. 소켓인수검사'!$6:$8</definedName>
    <definedName name="_xlnm.Print_Titles" localSheetId="1">'2.재단(VM)작업'!$5:$7</definedName>
    <definedName name="_xlnm.Print_Titles" localSheetId="3">'3. 1절곡(VM)'!$1:$6</definedName>
    <definedName name="_xlnm.Print_Titles" localSheetId="4">'5. 차열재 출하용(VM,VT,VAG)'!$8:$9</definedName>
    <definedName name="_xlnm.Print_Titles" localSheetId="5">'6. 라벨소요량'!$5:$6</definedName>
    <definedName name="_xlnm.Print_Titles" localSheetId="2">'차열재 재단(VM,VT)'!$5:$7</definedName>
    <definedName name="_xlnm.Print_Titles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9" i="10" l="1"/>
  <c r="R10" i="10"/>
  <c r="R8" i="10"/>
  <c r="R7" i="10"/>
  <c r="H1" i="12"/>
  <c r="D11" i="12"/>
  <c r="C11" i="12"/>
  <c r="D10" i="12"/>
  <c r="I10" i="12" s="1"/>
  <c r="C10" i="12"/>
  <c r="K10" i="12" s="1"/>
  <c r="D9" i="12"/>
  <c r="C9" i="12"/>
  <c r="G9" i="12" s="1"/>
  <c r="D8" i="12"/>
  <c r="I8" i="12" s="1"/>
  <c r="C8" i="12"/>
  <c r="G8" i="12" s="1"/>
  <c r="A11" i="12"/>
  <c r="A10" i="12"/>
  <c r="A9" i="12"/>
  <c r="A8" i="12"/>
  <c r="J11" i="12"/>
  <c r="H11" i="12"/>
  <c r="M10" i="12"/>
  <c r="J10" i="12"/>
  <c r="H10" i="12"/>
  <c r="J9" i="12"/>
  <c r="H9" i="12"/>
  <c r="J8" i="12"/>
  <c r="H8" i="12"/>
  <c r="K8" i="12"/>
  <c r="G1" i="2"/>
  <c r="D11" i="2"/>
  <c r="C11" i="2"/>
  <c r="D10" i="2"/>
  <c r="C10" i="2"/>
  <c r="D9" i="2"/>
  <c r="I9" i="2" s="1"/>
  <c r="C9" i="2"/>
  <c r="D8" i="2"/>
  <c r="C8" i="2"/>
  <c r="K1" i="10"/>
  <c r="P5" i="9"/>
  <c r="N5" i="5"/>
  <c r="D1" i="1"/>
  <c r="P11" i="10"/>
  <c r="H11" i="10"/>
  <c r="U10" i="10"/>
  <c r="D10" i="10"/>
  <c r="C10" i="10"/>
  <c r="A10" i="10"/>
  <c r="U9" i="10"/>
  <c r="D9" i="10"/>
  <c r="C9" i="10"/>
  <c r="A9" i="10"/>
  <c r="U8" i="10"/>
  <c r="D8" i="10"/>
  <c r="C8" i="10"/>
  <c r="A8" i="10"/>
  <c r="U7" i="10"/>
  <c r="D7" i="10"/>
  <c r="C7" i="10"/>
  <c r="A7" i="10"/>
  <c r="C13" i="9"/>
  <c r="B13" i="9"/>
  <c r="A13" i="9"/>
  <c r="C12" i="9"/>
  <c r="B12" i="9"/>
  <c r="A12" i="9"/>
  <c r="C11" i="9"/>
  <c r="B11" i="9"/>
  <c r="A11" i="9"/>
  <c r="C10" i="9"/>
  <c r="B10" i="9"/>
  <c r="A10" i="9"/>
  <c r="N14" i="5"/>
  <c r="I14" i="5"/>
  <c r="C14" i="5"/>
  <c r="K14" i="5" s="1"/>
  <c r="B14" i="5"/>
  <c r="H14" i="5" s="1"/>
  <c r="A14" i="5"/>
  <c r="N13" i="5"/>
  <c r="I13" i="5"/>
  <c r="C13" i="5"/>
  <c r="K13" i="5" s="1"/>
  <c r="B13" i="5"/>
  <c r="H13" i="5" s="1"/>
  <c r="A13" i="5"/>
  <c r="N12" i="5"/>
  <c r="I12" i="5"/>
  <c r="C12" i="5"/>
  <c r="K12" i="5" s="1"/>
  <c r="B12" i="5"/>
  <c r="H12" i="5" s="1"/>
  <c r="A12" i="5"/>
  <c r="N11" i="5"/>
  <c r="I11" i="5"/>
  <c r="C11" i="5"/>
  <c r="K11" i="5" s="1"/>
  <c r="B11" i="5"/>
  <c r="H11" i="5" s="1"/>
  <c r="A11" i="5"/>
  <c r="A11" i="2"/>
  <c r="A10" i="2"/>
  <c r="A9" i="2"/>
  <c r="A8" i="2"/>
  <c r="K9" i="12" l="1"/>
  <c r="I11" i="12"/>
  <c r="M11" i="12"/>
  <c r="G10" i="12"/>
  <c r="K11" i="12"/>
  <c r="G11" i="12"/>
  <c r="M9" i="12"/>
  <c r="I9" i="12"/>
  <c r="M8" i="12"/>
  <c r="G7" i="10"/>
  <c r="K7" i="10" s="1"/>
  <c r="E10" i="9"/>
  <c r="G9" i="2"/>
  <c r="I11" i="2"/>
  <c r="I10" i="2"/>
  <c r="I8" i="2"/>
  <c r="G8" i="2"/>
  <c r="G10" i="2"/>
  <c r="G11" i="2"/>
  <c r="F10" i="10"/>
  <c r="E12" i="9"/>
  <c r="Q10" i="10"/>
  <c r="G10" i="10"/>
  <c r="K10" i="10" s="1"/>
  <c r="F7" i="10"/>
  <c r="Q7" i="10"/>
  <c r="Q9" i="10"/>
  <c r="N11" i="10"/>
  <c r="F12" i="9"/>
  <c r="M12" i="9" s="1"/>
  <c r="O12" i="9" s="1"/>
  <c r="F10" i="9"/>
  <c r="M10" i="9" s="1"/>
  <c r="O10" i="9" s="1"/>
  <c r="E13" i="9"/>
  <c r="F13" i="9"/>
  <c r="M13" i="9" s="1"/>
  <c r="O13" i="9" s="1"/>
  <c r="E11" i="9"/>
  <c r="F11" i="9"/>
  <c r="M11" i="9" s="1"/>
  <c r="O11" i="9" s="1"/>
  <c r="J11" i="10"/>
  <c r="L11" i="10"/>
  <c r="Q8" i="10"/>
  <c r="G8" i="10"/>
  <c r="F8" i="10"/>
  <c r="G9" i="10"/>
  <c r="F9" i="10"/>
  <c r="O14" i="9" l="1"/>
  <c r="G17" i="9" s="1"/>
  <c r="K9" i="10"/>
  <c r="R11" i="10"/>
  <c r="Q11" i="10"/>
  <c r="K8" i="10"/>
  <c r="I14" i="9" l="1"/>
  <c r="G15" i="9" s="1"/>
  <c r="R14" i="9"/>
  <c r="G18" i="9" s="1"/>
  <c r="L14" i="9"/>
  <c r="G16" i="9" s="1"/>
</calcChain>
</file>

<file path=xl/sharedStrings.xml><?xml version="1.0" encoding="utf-8"?>
<sst xmlns="http://schemas.openxmlformats.org/spreadsheetml/2006/main" count="185" uniqueCount="80">
  <si>
    <t>차열재</t>
  </si>
  <si>
    <t>No</t>
  </si>
  <si>
    <t>비고</t>
  </si>
  <si>
    <t>합계</t>
  </si>
  <si>
    <t>규격</t>
  </si>
  <si>
    <t>TTL</t>
  </si>
  <si>
    <t>EZ F.B POSMAC Duct-VA-064</t>
  </si>
  <si>
    <t>라벨소요량(행복산업_KEC 구미공장_251128)</t>
  </si>
  <si>
    <t>25*
1400</t>
  </si>
  <si>
    <t>*VM 200(1000*1000)기준</t>
  </si>
  <si>
    <t>수량                확인</t>
  </si>
  <si>
    <t>차열재 50T*400*3.6M</t>
  </si>
  <si>
    <t>글라스울 25T*1400*20M</t>
  </si>
  <si>
    <t>차열재 50T*600*3.6M</t>
  </si>
  <si>
    <t>설비번호</t>
  </si>
  <si>
    <t>설치위치</t>
  </si>
  <si>
    <t>50*400</t>
  </si>
  <si>
    <t>소켓내부용</t>
  </si>
  <si>
    <t xml:space="preserve">업 체 </t>
  </si>
  <si>
    <t>50*600</t>
  </si>
  <si>
    <t>글라스울</t>
  </si>
  <si>
    <t>소켓 Lot</t>
  </si>
  <si>
    <t>25*200</t>
  </si>
  <si>
    <t>생산일자</t>
  </si>
  <si>
    <t>평철(mm)</t>
  </si>
  <si>
    <t>수량
(EA)</t>
  </si>
  <si>
    <t>생산 종료</t>
  </si>
  <si>
    <t>인정번호</t>
  </si>
  <si>
    <t>수량(EA)</t>
  </si>
  <si>
    <t>생산 시작</t>
  </si>
  <si>
    <t>25*1400</t>
  </si>
  <si>
    <t>소켓외부용</t>
  </si>
  <si>
    <t>50*
400</t>
  </si>
  <si>
    <t>제품
번호</t>
  </si>
  <si>
    <t>50*
600</t>
  </si>
  <si>
    <t>재고여부</t>
  </si>
  <si>
    <t>E257</t>
  </si>
  <si>
    <t>방화
소켓</t>
  </si>
  <si>
    <t>분할구조</t>
  </si>
  <si>
    <t>FS-MP25-0310-4</t>
  </si>
  <si>
    <t>차열재생산일지(출하용)</t>
  </si>
  <si>
    <t>특이사항 및
 조치사항</t>
  </si>
  <si>
    <t>특이사항 및   조치사항</t>
  </si>
  <si>
    <t>VA-064</t>
  </si>
  <si>
    <t>플래싱</t>
  </si>
  <si>
    <t>면적</t>
  </si>
  <si>
    <t>산출량</t>
  </si>
  <si>
    <t>소요량</t>
  </si>
  <si>
    <t>수량</t>
  </si>
  <si>
    <t>품명</t>
  </si>
  <si>
    <t>No.</t>
  </si>
  <si>
    <t>폭</t>
  </si>
  <si>
    <t>둘레</t>
  </si>
  <si>
    <t>작업자</t>
  </si>
  <si>
    <t>두께</t>
  </si>
  <si>
    <t>세로</t>
  </si>
  <si>
    <t>좌우</t>
  </si>
  <si>
    <t>가로</t>
  </si>
  <si>
    <t>총량</t>
  </si>
  <si>
    <t>상하</t>
  </si>
  <si>
    <t>구조</t>
  </si>
  <si>
    <t>현장명</t>
    <phoneticPr fontId="22" type="noConversion"/>
  </si>
  <si>
    <t>재단작업지시서(VM)</t>
    <phoneticPr fontId="22" type="noConversion"/>
  </si>
  <si>
    <t>절 곡 생 산 일 지(VM)</t>
    <phoneticPr fontId="22" type="noConversion"/>
  </si>
  <si>
    <t>라벨소요량</t>
    <phoneticPr fontId="22" type="noConversion"/>
  </si>
  <si>
    <t>25*
200</t>
    <phoneticPr fontId="22" type="noConversion"/>
  </si>
  <si>
    <t>구조체작업지시서</t>
    <phoneticPr fontId="22" type="noConversion"/>
  </si>
  <si>
    <t>차열재 25T*200*7.4M</t>
    <phoneticPr fontId="22" type="noConversion"/>
  </si>
  <si>
    <t>재단작업지시서차열재</t>
    <phoneticPr fontId="22" type="noConversion"/>
  </si>
  <si>
    <t>01</t>
    <phoneticPr fontId="22" type="noConversion"/>
  </si>
  <si>
    <t>02</t>
    <phoneticPr fontId="22" type="noConversion"/>
  </si>
  <si>
    <t>03</t>
    <phoneticPr fontId="22" type="noConversion"/>
  </si>
  <si>
    <t>04</t>
    <phoneticPr fontId="22" type="noConversion"/>
  </si>
  <si>
    <t>103동 옥상층</t>
    <phoneticPr fontId="22" type="noConversion"/>
  </si>
  <si>
    <r>
      <t xml:space="preserve">26.07.16 </t>
    </r>
    <r>
      <rPr>
        <sz val="10"/>
        <color rgb="FF000000"/>
        <rFont val="맑은 고딕"/>
        <family val="3"/>
        <charset val="129"/>
      </rPr>
      <t>이신이엔지</t>
    </r>
    <r>
      <rPr>
        <sz val="10"/>
        <color rgb="FF000000"/>
        <rFont val="Arial"/>
        <family val="2"/>
      </rPr>
      <t>_</t>
    </r>
    <r>
      <rPr>
        <sz val="10"/>
        <color rgb="FF000000"/>
        <rFont val="맑은 고딕"/>
        <family val="3"/>
        <charset val="129"/>
      </rPr>
      <t>동위</t>
    </r>
    <r>
      <rPr>
        <sz val="10"/>
        <color rgb="FF000000"/>
        <rFont val="Arial"/>
        <family val="2"/>
      </rPr>
      <t>_GS</t>
    </r>
    <r>
      <rPr>
        <sz val="10"/>
        <color rgb="FF000000"/>
        <rFont val="맑은 고딕"/>
        <family val="3"/>
        <charset val="129"/>
      </rPr>
      <t>건설</t>
    </r>
    <r>
      <rPr>
        <sz val="10"/>
        <color rgb="FF000000"/>
        <rFont val="Arial"/>
        <family val="2"/>
      </rPr>
      <t>_</t>
    </r>
    <r>
      <rPr>
        <sz val="10"/>
        <color rgb="FF000000"/>
        <rFont val="맑은 고딕"/>
        <family val="3"/>
        <charset val="129"/>
      </rPr>
      <t>본리동</t>
    </r>
    <r>
      <rPr>
        <sz val="10"/>
        <color rgb="FF000000"/>
        <rFont val="Arial"/>
        <family val="2"/>
      </rPr>
      <t xml:space="preserve"> </t>
    </r>
    <r>
      <rPr>
        <sz val="10"/>
        <color rgb="FF000000"/>
        <rFont val="맑은 고딕"/>
        <family val="3"/>
        <charset val="129"/>
      </rPr>
      <t>주상복합아파트</t>
    </r>
    <phoneticPr fontId="22" type="noConversion"/>
  </si>
  <si>
    <t>BO066</t>
    <phoneticPr fontId="22" type="noConversion"/>
  </si>
  <si>
    <t>BO067</t>
  </si>
  <si>
    <t>BO068</t>
  </si>
  <si>
    <t>BO069</t>
  </si>
  <si>
    <t>VA-064</t>
    <phoneticPr fontId="2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</si>
</sst>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&quot; &quot;* #,##0&quot; &quot;;&quot;-&quot;* #,##0&quot; &quot;;&quot; &quot;* &quot;- &quot;;&quot; &quot;@&quot; &quot;"/>
    <numFmt numFmtId="177" formatCode="0.0"/>
    <numFmt numFmtId="178" formatCode="0_);[Red]\(0\)"/>
  </numFmts>
  <fonts count="29">
    <font>
      <sz val="11"/>
      <color rgb="FF000000"/>
      <name val="맑은 고딕"/>
    </font>
    <font>
      <sz val="10"/>
      <color rgb="FF000000"/>
      <name val="Helvetica Neue"/>
    </font>
    <font>
      <b/>
      <sz val="10"/>
      <color rgb="FF000000"/>
      <name val="Helvetica Neue"/>
    </font>
    <font>
      <sz val="18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11"/>
      <color rgb="FF002060"/>
      <name val="Helvetica Neue"/>
    </font>
    <font>
      <b/>
      <sz val="11"/>
      <color rgb="FF002060"/>
      <name val="Helvetica Neue"/>
    </font>
    <font>
      <b/>
      <sz val="10"/>
      <color rgb="FF002060"/>
      <name val="맑은 고딕"/>
      <family val="3"/>
      <charset val="129"/>
    </font>
    <font>
      <b/>
      <sz val="10"/>
      <color rgb="FF5B9BD5"/>
      <name val="맑은 고딕"/>
      <family val="3"/>
      <charset val="129"/>
    </font>
    <font>
      <b/>
      <sz val="10"/>
      <color rgb="FF44546A"/>
      <name val="맑은 고딕"/>
      <family val="3"/>
      <charset val="129"/>
    </font>
    <font>
      <b/>
      <sz val="10"/>
      <color rgb="FF0070C0"/>
      <name val="맑은 고딕"/>
      <family val="3"/>
      <charset val="129"/>
    </font>
    <font>
      <sz val="11"/>
      <color rgb="FF000000"/>
      <name val="Helvetica Neue"/>
    </font>
    <font>
      <b/>
      <sz val="11"/>
      <color rgb="FF7030A0"/>
      <name val="맑은 고딕"/>
      <family val="3"/>
      <charset val="129"/>
    </font>
    <font>
      <b/>
      <sz val="11"/>
      <color rgb="FF0070C0"/>
      <name val="맑은 고딕"/>
      <family val="3"/>
      <charset val="129"/>
    </font>
    <font>
      <b/>
      <sz val="10"/>
      <color rgb="FF002060"/>
      <name val="Helvetica Neue"/>
    </font>
    <font>
      <b/>
      <sz val="11"/>
      <color rgb="FF002060"/>
      <name val="맑은 고딕"/>
      <family val="3"/>
      <charset val="129"/>
    </font>
    <font>
      <sz val="11"/>
      <color rgb="FFED7D31"/>
      <name val="맑은 고딕"/>
      <family val="3"/>
      <charset val="129"/>
    </font>
    <font>
      <sz val="28"/>
      <color rgb="FF000000"/>
      <name val="맑은 고딕"/>
      <family val="3"/>
      <charset val="129"/>
    </font>
    <font>
      <sz val="18"/>
      <color rgb="FF0070C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20"/>
      <color rgb="FF000000"/>
      <name val="Helvetica Neue"/>
      <family val="2"/>
    </font>
    <font>
      <sz val="20"/>
      <color rgb="FF000000"/>
      <name val="Helvetica Neue"/>
    </font>
    <font>
      <b/>
      <sz val="11"/>
      <color rgb="FF000000"/>
      <name val="Helvetica Neue"/>
    </font>
    <font>
      <sz val="9"/>
      <color rgb="FF000000"/>
      <name val="맑은 고딕"/>
      <family val="3"/>
      <charset val="129"/>
    </font>
    <font>
      <sz val="16"/>
      <color rgb="FF000000"/>
      <name val="맑은 고딕"/>
      <family val="3"/>
      <charset val="129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FFF8D6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0000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rgb="FFA5A5A5"/>
      </bottom>
      <diagonal/>
    </border>
    <border>
      <left/>
      <right/>
      <top style="thick">
        <color rgb="FFA5A5A5"/>
      </top>
      <bottom/>
      <diagonal/>
    </border>
    <border>
      <left/>
      <right style="thick">
        <color rgb="FFA5A5A5"/>
      </right>
      <top style="thick">
        <color rgb="FFA5A5A5"/>
      </top>
      <bottom/>
      <diagonal/>
    </border>
    <border>
      <left style="thick">
        <color rgb="FFA5A5A5"/>
      </left>
      <right/>
      <top/>
      <bottom/>
      <diagonal/>
    </border>
    <border>
      <left/>
      <right style="thick">
        <color rgb="FFA5A5A5"/>
      </right>
      <top/>
      <bottom/>
      <diagonal/>
    </border>
    <border>
      <left style="thick">
        <color rgb="FFA5A5A5"/>
      </left>
      <right/>
      <top/>
      <bottom style="thick">
        <color rgb="FFA5A5A5"/>
      </bottom>
      <diagonal/>
    </border>
    <border>
      <left/>
      <right style="thick">
        <color rgb="FFA5A5A5"/>
      </right>
      <top/>
      <bottom style="thick">
        <color rgb="FFA5A5A5"/>
      </bottom>
      <diagonal/>
    </border>
  </borders>
  <cellStyleXfs count="5">
    <xf numFmtId="0" fontId="0" fillId="0" borderId="0">
      <alignment vertical="center"/>
    </xf>
    <xf numFmtId="0" fontId="0" fillId="0" borderId="0" xfId="0" applyAlignment="1">
      <alignment horizontal="center" vertical="center"/>
    </xf>
    <xf numFmtId="0" fontId="21" fillId="0" borderId="0">
      <alignment vertical="center"/>
    </xf>
    <xf numFmtId="176" fontId="21" fillId="0" borderId="0">
      <alignment vertical="center"/>
    </xf>
    <xf numFmtId="0" fontId="1" fillId="0" borderId="0">
      <alignment vertical="center"/>
    </xf>
  </cellStyleXfs>
  <cellXfs count="21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0" borderId="0" xfId="2">
      <alignment vertical="center"/>
    </xf>
    <xf numFmtId="0" fontId="21" fillId="0" borderId="1" xfId="2" applyBorder="1">
      <alignment vertical="center"/>
    </xf>
    <xf numFmtId="0" fontId="1" fillId="0" borderId="0" xfId="4" applyAlignment="1">
      <alignment vertical="top" wrapText="1"/>
    </xf>
    <xf numFmtId="0" fontId="1" fillId="0" borderId="0" xfId="4">
      <alignment vertical="center"/>
    </xf>
    <xf numFmtId="0" fontId="2" fillId="2" borderId="0" xfId="4" applyFont="1" applyFill="1" applyAlignment="1">
      <alignment vertical="center" wrapText="1"/>
    </xf>
    <xf numFmtId="0" fontId="1" fillId="0" borderId="0" xfId="4" applyAlignment="1">
      <alignment vertical="center" wrapText="1"/>
    </xf>
    <xf numFmtId="0" fontId="2" fillId="2" borderId="0" xfId="4" applyFont="1" applyFill="1" applyAlignment="1">
      <alignment horizontal="center" vertical="center" wrapText="1"/>
    </xf>
    <xf numFmtId="0" fontId="3" fillId="0" borderId="0" xfId="4" applyFont="1" applyAlignment="1">
      <alignment horizontal="left" vertical="center"/>
    </xf>
    <xf numFmtId="0" fontId="2" fillId="0" borderId="0" xfId="4" applyFont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176" fontId="21" fillId="0" borderId="6" xfId="3" applyBorder="1" applyAlignment="1">
      <alignment horizontal="center" vertical="center"/>
    </xf>
    <xf numFmtId="176" fontId="21" fillId="0" borderId="7" xfId="3" applyBorder="1" applyAlignment="1">
      <alignment horizontal="center" vertical="center"/>
    </xf>
    <xf numFmtId="176" fontId="21" fillId="0" borderId="8" xfId="3" applyBorder="1" applyAlignment="1">
      <alignment horizontal="center" vertical="center"/>
    </xf>
    <xf numFmtId="176" fontId="21" fillId="0" borderId="10" xfId="3" applyBorder="1" applyAlignment="1">
      <alignment horizontal="center" vertical="center"/>
    </xf>
    <xf numFmtId="176" fontId="21" fillId="0" borderId="12" xfId="3" applyBorder="1" applyAlignment="1">
      <alignment horizontal="center" vertical="center"/>
    </xf>
    <xf numFmtId="0" fontId="21" fillId="0" borderId="15" xfId="2" applyBorder="1" applyAlignment="1">
      <alignment horizontal="center" vertical="center"/>
    </xf>
    <xf numFmtId="0" fontId="6" fillId="0" borderId="16" xfId="2" applyFont="1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0" fontId="21" fillId="0" borderId="16" xfId="2" applyBorder="1" applyAlignment="1">
      <alignment horizontal="center" vertical="center" wrapText="1"/>
    </xf>
    <xf numFmtId="0" fontId="7" fillId="0" borderId="16" xfId="4" applyFont="1" applyBorder="1" applyAlignment="1">
      <alignment horizontal="center" vertical="center" wrapText="1"/>
    </xf>
    <xf numFmtId="0" fontId="21" fillId="0" borderId="17" xfId="2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6" fillId="4" borderId="16" xfId="0" applyFont="1" applyFill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8" fillId="0" borderId="16" xfId="4" applyFont="1" applyBorder="1" applyAlignment="1">
      <alignment horizontal="center" vertical="center" wrapText="1"/>
    </xf>
    <xf numFmtId="0" fontId="9" fillId="0" borderId="16" xfId="0" applyFont="1" applyBorder="1" applyAlignment="1">
      <alignment horizontal="center" vertical="center" wrapText="1"/>
    </xf>
    <xf numFmtId="177" fontId="6" fillId="0" borderId="16" xfId="0" applyNumberFormat="1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center" shrinkToFit="1"/>
    </xf>
    <xf numFmtId="0" fontId="11" fillId="0" borderId="16" xfId="0" applyFont="1" applyBorder="1" applyAlignment="1">
      <alignment horizontal="center" vertical="center" shrinkToFit="1"/>
    </xf>
    <xf numFmtId="0" fontId="12" fillId="0" borderId="17" xfId="0" applyFont="1" applyBorder="1" applyAlignment="1">
      <alignment horizontal="center" vertical="center" shrinkToFit="1"/>
    </xf>
    <xf numFmtId="0" fontId="9" fillId="4" borderId="16" xfId="0" applyFont="1" applyFill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6" fillId="4" borderId="18" xfId="0" applyFont="1" applyFill="1" applyBorder="1" applyAlignment="1">
      <alignment horizontal="center" vertical="center" wrapText="1"/>
    </xf>
    <xf numFmtId="0" fontId="6" fillId="0" borderId="18" xfId="0" applyFont="1" applyBorder="1" applyAlignment="1">
      <alignment vertical="center" wrapText="1"/>
    </xf>
    <xf numFmtId="0" fontId="0" fillId="0" borderId="15" xfId="0" applyBorder="1" applyAlignment="1">
      <alignment horizontal="center" vertical="center"/>
    </xf>
    <xf numFmtId="0" fontId="5" fillId="0" borderId="17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13" fillId="5" borderId="16" xfId="4" applyFont="1" applyFill="1" applyBorder="1" applyAlignment="1">
      <alignment horizontal="center" vertical="center" wrapText="1"/>
    </xf>
    <xf numFmtId="0" fontId="5" fillId="0" borderId="16" xfId="2" applyFont="1" applyBorder="1" applyAlignment="1">
      <alignment horizontal="center" vertical="center" wrapText="1"/>
    </xf>
    <xf numFmtId="0" fontId="16" fillId="0" borderId="16" xfId="4" applyFont="1" applyBorder="1" applyAlignment="1">
      <alignment horizontal="center" vertical="center" wrapText="1"/>
    </xf>
    <xf numFmtId="0" fontId="17" fillId="0" borderId="16" xfId="0" applyFont="1" applyBorder="1" applyAlignment="1">
      <alignment horizontal="center" vertical="center" wrapText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0" borderId="16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/>
    </xf>
    <xf numFmtId="0" fontId="0" fillId="0" borderId="18" xfId="0" applyBorder="1">
      <alignment vertical="center"/>
    </xf>
    <xf numFmtId="0" fontId="0" fillId="0" borderId="21" xfId="0" applyBorder="1">
      <alignment vertical="center"/>
    </xf>
    <xf numFmtId="0" fontId="0" fillId="4" borderId="18" xfId="0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6" fillId="0" borderId="0" xfId="1" applyFill="1" applyBorder="1" applyAlignment="1">
      <alignment vertical="center"/>
    </xf>
    <xf numFmtId="0" fontId="1" fillId="8" borderId="0" xfId="4" applyFill="1">
      <alignment vertical="center"/>
    </xf>
    <xf numFmtId="0" fontId="1" fillId="0" borderId="33" xfId="4" applyBorder="1" applyAlignment="1">
      <alignment vertical="top" wrapText="1"/>
    </xf>
    <xf numFmtId="0" fontId="2" fillId="0" borderId="16" xfId="4" applyFont="1" applyBorder="1" applyAlignment="1">
      <alignment horizontal="center" vertical="center" wrapText="1"/>
    </xf>
    <xf numFmtId="0" fontId="2" fillId="0" borderId="17" xfId="4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/>
    </xf>
    <xf numFmtId="0" fontId="3" fillId="0" borderId="28" xfId="0" applyFont="1" applyBorder="1">
      <alignment vertical="center"/>
    </xf>
    <xf numFmtId="0" fontId="3" fillId="0" borderId="22" xfId="0" applyFont="1" applyBorder="1">
      <alignment vertical="center"/>
    </xf>
    <xf numFmtId="0" fontId="3" fillId="0" borderId="23" xfId="0" applyFont="1" applyBorder="1">
      <alignment vertical="center"/>
    </xf>
    <xf numFmtId="0" fontId="1" fillId="0" borderId="15" xfId="4" quotePrefix="1" applyBorder="1" applyAlignment="1">
      <alignment horizontal="center" vertical="center" wrapText="1"/>
    </xf>
    <xf numFmtId="0" fontId="4" fillId="3" borderId="1" xfId="2" applyFont="1" applyFill="1" applyBorder="1" applyAlignment="1">
      <alignment horizontal="center" vertical="center" wrapText="1"/>
    </xf>
    <xf numFmtId="0" fontId="4" fillId="3" borderId="4" xfId="2" applyFont="1" applyFill="1" applyBorder="1" applyAlignment="1">
      <alignment horizontal="center" vertical="center" wrapText="1"/>
    </xf>
    <xf numFmtId="0" fontId="4" fillId="3" borderId="5" xfId="2" applyFont="1" applyFill="1" applyBorder="1" applyAlignment="1">
      <alignment horizontal="center" vertical="center" wrapText="1"/>
    </xf>
    <xf numFmtId="0" fontId="4" fillId="3" borderId="23" xfId="2" applyFont="1" applyFill="1" applyBorder="1" applyAlignment="1">
      <alignment horizontal="center" vertical="center" wrapText="1"/>
    </xf>
    <xf numFmtId="0" fontId="5" fillId="0" borderId="15" xfId="2" applyFont="1" applyBorder="1" applyAlignment="1">
      <alignment horizontal="center" vertical="center"/>
    </xf>
    <xf numFmtId="0" fontId="14" fillId="0" borderId="16" xfId="2" applyFont="1" applyBorder="1" applyAlignment="1">
      <alignment horizontal="center" vertical="center" wrapText="1"/>
    </xf>
    <xf numFmtId="178" fontId="14" fillId="0" borderId="16" xfId="2" applyNumberFormat="1" applyFont="1" applyBorder="1" applyAlignment="1">
      <alignment horizontal="center" vertical="center" wrapText="1"/>
    </xf>
    <xf numFmtId="0" fontId="15" fillId="0" borderId="16" xfId="2" applyFont="1" applyBorder="1" applyAlignment="1">
      <alignment horizontal="center" vertical="center" wrapText="1"/>
    </xf>
    <xf numFmtId="0" fontId="5" fillId="0" borderId="17" xfId="2" applyFont="1" applyBorder="1" applyAlignment="1">
      <alignment horizontal="center" vertical="center" wrapText="1"/>
    </xf>
    <xf numFmtId="0" fontId="25" fillId="5" borderId="16" xfId="4" applyFont="1" applyFill="1" applyBorder="1" applyAlignment="1">
      <alignment horizontal="center" vertical="center" wrapText="1"/>
    </xf>
    <xf numFmtId="177" fontId="6" fillId="4" borderId="16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/>
    </xf>
    <xf numFmtId="0" fontId="6" fillId="7" borderId="13" xfId="0" applyFont="1" applyFill="1" applyBorder="1" applyAlignment="1">
      <alignment horizontal="center" vertical="center" wrapText="1"/>
    </xf>
    <xf numFmtId="0" fontId="6" fillId="7" borderId="16" xfId="0" applyFont="1" applyFill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 shrinkToFit="1"/>
    </xf>
    <xf numFmtId="0" fontId="3" fillId="0" borderId="3" xfId="0" applyFont="1" applyBorder="1" applyAlignment="1">
      <alignment horizontal="center" vertical="center" shrinkToFit="1"/>
    </xf>
    <xf numFmtId="0" fontId="3" fillId="0" borderId="0" xfId="0" applyFont="1" applyAlignment="1">
      <alignment horizontal="center" vertical="center" shrinkToFit="1"/>
    </xf>
    <xf numFmtId="0" fontId="3" fillId="0" borderId="29" xfId="0" applyFont="1" applyBorder="1" applyAlignment="1">
      <alignment horizontal="center" vertical="center" shrinkToFit="1"/>
    </xf>
    <xf numFmtId="0" fontId="3" fillId="0" borderId="2" xfId="0" applyFont="1" applyBorder="1" applyAlignment="1">
      <alignment horizontal="center" vertical="center" shrinkToFit="1"/>
    </xf>
    <xf numFmtId="0" fontId="3" fillId="0" borderId="27" xfId="0" applyFont="1" applyBorder="1" applyAlignment="1">
      <alignment horizontal="center" vertical="center" shrinkToFit="1"/>
    </xf>
    <xf numFmtId="0" fontId="0" fillId="0" borderId="2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8" fillId="0" borderId="13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 wrapText="1"/>
    </xf>
    <xf numFmtId="0" fontId="3" fillId="0" borderId="24" xfId="4" applyFont="1" applyBorder="1" applyAlignment="1">
      <alignment horizontal="left" vertical="center"/>
    </xf>
    <xf numFmtId="0" fontId="2" fillId="6" borderId="16" xfId="4" applyFont="1" applyFill="1" applyBorder="1" applyAlignment="1">
      <alignment horizontal="center" vertical="center" wrapText="1"/>
    </xf>
    <xf numFmtId="0" fontId="23" fillId="0" borderId="33" xfId="4" applyFont="1" applyBorder="1" applyAlignment="1">
      <alignment horizontal="center" vertical="center" wrapText="1"/>
    </xf>
    <xf numFmtId="0" fontId="23" fillId="0" borderId="35" xfId="4" applyFont="1" applyBorder="1" applyAlignment="1">
      <alignment horizontal="center" vertical="center" wrapText="1"/>
    </xf>
    <xf numFmtId="0" fontId="23" fillId="0" borderId="0" xfId="4" applyFont="1" applyAlignment="1">
      <alignment horizontal="center" vertical="center" wrapText="1"/>
    </xf>
    <xf numFmtId="0" fontId="23" fillId="0" borderId="37" xfId="4" applyFont="1" applyBorder="1" applyAlignment="1">
      <alignment horizontal="center" vertical="center" wrapText="1"/>
    </xf>
    <xf numFmtId="0" fontId="23" fillId="0" borderId="32" xfId="4" applyFont="1" applyBorder="1" applyAlignment="1">
      <alignment horizontal="center" vertical="center" wrapText="1"/>
    </xf>
    <xf numFmtId="0" fontId="24" fillId="0" borderId="33" xfId="4" applyFont="1" applyBorder="1" applyAlignment="1">
      <alignment horizontal="center" vertical="center" shrinkToFit="1"/>
    </xf>
    <xf numFmtId="0" fontId="24" fillId="0" borderId="34" xfId="4" applyFont="1" applyBorder="1" applyAlignment="1">
      <alignment horizontal="center" vertical="center" shrinkToFit="1"/>
    </xf>
    <xf numFmtId="0" fontId="24" fillId="0" borderId="0" xfId="4" applyFont="1" applyAlignment="1">
      <alignment horizontal="center" vertical="center" shrinkToFit="1"/>
    </xf>
    <xf numFmtId="0" fontId="24" fillId="0" borderId="36" xfId="4" applyFont="1" applyBorder="1" applyAlignment="1">
      <alignment horizontal="center" vertical="center" shrinkToFit="1"/>
    </xf>
    <xf numFmtId="0" fontId="24" fillId="0" borderId="32" xfId="4" applyFont="1" applyBorder="1" applyAlignment="1">
      <alignment horizontal="center" vertical="center" shrinkToFit="1"/>
    </xf>
    <xf numFmtId="0" fontId="24" fillId="0" borderId="38" xfId="4" applyFont="1" applyBorder="1" applyAlignment="1">
      <alignment horizontal="center" vertical="center" shrinkToFit="1"/>
    </xf>
    <xf numFmtId="0" fontId="1" fillId="6" borderId="15" xfId="4" applyFill="1" applyBorder="1" applyAlignment="1">
      <alignment horizontal="center" vertical="center" wrapText="1"/>
    </xf>
    <xf numFmtId="0" fontId="2" fillId="6" borderId="13" xfId="4" applyFont="1" applyFill="1" applyBorder="1" applyAlignment="1">
      <alignment horizontal="center" vertical="center" wrapText="1"/>
    </xf>
    <xf numFmtId="0" fontId="2" fillId="6" borderId="14" xfId="4" applyFont="1" applyFill="1" applyBorder="1" applyAlignment="1">
      <alignment horizontal="center" vertical="center" wrapText="1"/>
    </xf>
    <xf numFmtId="0" fontId="2" fillId="6" borderId="17" xfId="4" applyFont="1" applyFill="1" applyBorder="1" applyAlignment="1">
      <alignment horizontal="center" vertical="center" wrapText="1"/>
    </xf>
    <xf numFmtId="0" fontId="3" fillId="0" borderId="22" xfId="2" applyFont="1" applyBorder="1" applyAlignment="1">
      <alignment horizontal="center" vertical="center" shrinkToFit="1"/>
    </xf>
    <xf numFmtId="0" fontId="3" fillId="0" borderId="11" xfId="2" applyFont="1" applyBorder="1" applyAlignment="1">
      <alignment horizontal="center" vertical="center" shrinkToFit="1"/>
    </xf>
    <xf numFmtId="0" fontId="3" fillId="0" borderId="28" xfId="2" applyFont="1" applyBorder="1" applyAlignment="1">
      <alignment horizontal="center" vertical="center" shrinkToFit="1"/>
    </xf>
    <xf numFmtId="0" fontId="3" fillId="0" borderId="0" xfId="2" applyFont="1" applyAlignment="1">
      <alignment horizontal="center" vertical="center" shrinkToFit="1"/>
    </xf>
    <xf numFmtId="0" fontId="3" fillId="0" borderId="23" xfId="2" applyFont="1" applyBorder="1" applyAlignment="1">
      <alignment horizontal="center" vertical="center" shrinkToFit="1"/>
    </xf>
    <xf numFmtId="0" fontId="3" fillId="0" borderId="2" xfId="2" applyFont="1" applyBorder="1" applyAlignment="1">
      <alignment horizontal="center" vertical="center" shrinkToFit="1"/>
    </xf>
    <xf numFmtId="0" fontId="3" fillId="0" borderId="3" xfId="2" applyFont="1" applyBorder="1" applyAlignment="1">
      <alignment horizontal="center" vertical="center" shrinkToFit="1"/>
    </xf>
    <xf numFmtId="0" fontId="3" fillId="0" borderId="29" xfId="2" applyFont="1" applyBorder="1" applyAlignment="1">
      <alignment horizontal="center" vertical="center" shrinkToFit="1"/>
    </xf>
    <xf numFmtId="0" fontId="3" fillId="0" borderId="27" xfId="2" applyFont="1" applyBorder="1" applyAlignment="1">
      <alignment horizontal="center" vertical="center" shrinkToFit="1"/>
    </xf>
    <xf numFmtId="0" fontId="21" fillId="0" borderId="2" xfId="2" applyBorder="1" applyAlignment="1">
      <alignment horizontal="center" vertical="center"/>
    </xf>
    <xf numFmtId="0" fontId="5" fillId="3" borderId="1" xfId="2" applyFont="1" applyFill="1" applyBorder="1" applyAlignment="1">
      <alignment horizontal="center" vertical="center"/>
    </xf>
    <xf numFmtId="0" fontId="5" fillId="3" borderId="9" xfId="2" applyFont="1" applyFill="1" applyBorder="1" applyAlignment="1">
      <alignment horizontal="center" vertical="center"/>
    </xf>
    <xf numFmtId="0" fontId="5" fillId="3" borderId="10" xfId="2" applyFont="1" applyFill="1" applyBorder="1" applyAlignment="1">
      <alignment horizontal="center" vertical="center"/>
    </xf>
    <xf numFmtId="0" fontId="5" fillId="3" borderId="5" xfId="2" applyFont="1" applyFill="1" applyBorder="1" applyAlignment="1">
      <alignment horizontal="center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9" xfId="2" applyFont="1" applyFill="1" applyBorder="1" applyAlignment="1">
      <alignment horizontal="center" vertical="center" wrapText="1"/>
    </xf>
    <xf numFmtId="0" fontId="4" fillId="3" borderId="10" xfId="2" applyFont="1" applyFill="1" applyBorder="1" applyAlignment="1">
      <alignment horizontal="center" vertical="center" wrapText="1"/>
    </xf>
    <xf numFmtId="0" fontId="4" fillId="3" borderId="5" xfId="2" applyFont="1" applyFill="1" applyBorder="1" applyAlignment="1">
      <alignment horizontal="center" vertical="center" wrapText="1"/>
    </xf>
    <xf numFmtId="0" fontId="4" fillId="3" borderId="4" xfId="2" applyFont="1" applyFill="1" applyBorder="1" applyAlignment="1">
      <alignment horizontal="center" vertical="center" wrapText="1"/>
    </xf>
    <xf numFmtId="0" fontId="4" fillId="3" borderId="25" xfId="2" applyFont="1" applyFill="1" applyBorder="1" applyAlignment="1">
      <alignment horizontal="center" vertical="center" wrapText="1"/>
    </xf>
    <xf numFmtId="0" fontId="4" fillId="3" borderId="26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 shrinkToFit="1"/>
    </xf>
    <xf numFmtId="0" fontId="27" fillId="0" borderId="28" xfId="0" applyFont="1" applyBorder="1" applyAlignment="1">
      <alignment horizontal="center" vertical="center" wrapText="1" shrinkToFit="1"/>
    </xf>
    <xf numFmtId="0" fontId="27" fillId="0" borderId="0" xfId="0" applyFont="1" applyAlignment="1">
      <alignment horizontal="center" vertical="center" wrapText="1" shrinkToFit="1"/>
    </xf>
    <xf numFmtId="0" fontId="27" fillId="0" borderId="23" xfId="0" applyFont="1" applyBorder="1" applyAlignment="1">
      <alignment horizontal="center" vertical="center" wrapText="1" shrinkToFit="1"/>
    </xf>
    <xf numFmtId="0" fontId="27" fillId="0" borderId="2" xfId="0" applyFont="1" applyBorder="1" applyAlignment="1">
      <alignment horizontal="center" vertical="center" wrapText="1" shrinkToFit="1"/>
    </xf>
    <xf numFmtId="0" fontId="5" fillId="3" borderId="1" xfId="0" applyFont="1" applyFill="1" applyBorder="1" applyAlignment="1">
      <alignment horizontal="center" vertical="center"/>
    </xf>
    <xf numFmtId="0" fontId="5" fillId="3" borderId="9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21" fillId="0" borderId="1" xfId="2" applyBorder="1" applyAlignment="1">
      <alignment horizontal="center" vertical="center" wrapText="1"/>
    </xf>
    <xf numFmtId="0" fontId="5" fillId="0" borderId="1" xfId="2" applyFont="1" applyBorder="1" applyAlignment="1">
      <alignment horizontal="center" vertical="center"/>
    </xf>
    <xf numFmtId="178" fontId="21" fillId="0" borderId="16" xfId="2" applyNumberFormat="1" applyBorder="1" applyAlignment="1">
      <alignment horizontal="center" vertical="center" wrapText="1"/>
    </xf>
    <xf numFmtId="0" fontId="21" fillId="0" borderId="19" xfId="2" applyBorder="1" applyAlignment="1">
      <alignment horizontal="center" vertical="center"/>
    </xf>
    <xf numFmtId="0" fontId="21" fillId="0" borderId="15" xfId="2" applyBorder="1" applyAlignment="1">
      <alignment horizontal="center" vertical="center"/>
    </xf>
    <xf numFmtId="0" fontId="6" fillId="0" borderId="13" xfId="2" applyFont="1" applyBorder="1" applyAlignment="1">
      <alignment horizontal="center" vertical="center" wrapText="1"/>
    </xf>
    <xf numFmtId="0" fontId="6" fillId="0" borderId="16" xfId="2" applyFont="1" applyBorder="1" applyAlignment="1">
      <alignment horizontal="center" vertical="center" wrapText="1"/>
    </xf>
    <xf numFmtId="0" fontId="6" fillId="0" borderId="14" xfId="2" applyFont="1" applyBorder="1" applyAlignment="1">
      <alignment horizontal="center" vertical="center" wrapText="1"/>
    </xf>
    <xf numFmtId="0" fontId="6" fillId="0" borderId="17" xfId="2" applyFont="1" applyBorder="1" applyAlignment="1">
      <alignment horizontal="center" vertical="center" wrapText="1"/>
    </xf>
    <xf numFmtId="0" fontId="19" fillId="0" borderId="22" xfId="2" applyFont="1" applyBorder="1" applyAlignment="1">
      <alignment horizontal="center" vertical="center" shrinkToFit="1"/>
    </xf>
    <xf numFmtId="0" fontId="19" fillId="0" borderId="11" xfId="2" applyFont="1" applyBorder="1" applyAlignment="1">
      <alignment horizontal="center" vertical="center" shrinkToFit="1"/>
    </xf>
    <xf numFmtId="0" fontId="19" fillId="0" borderId="3" xfId="2" applyFont="1" applyBorder="1" applyAlignment="1">
      <alignment horizontal="center" vertical="center" shrinkToFit="1"/>
    </xf>
    <xf numFmtId="0" fontId="19" fillId="0" borderId="28" xfId="2" applyFont="1" applyBorder="1" applyAlignment="1">
      <alignment horizontal="center" vertical="center" shrinkToFit="1"/>
    </xf>
    <xf numFmtId="0" fontId="19" fillId="0" borderId="0" xfId="2" applyFont="1" applyAlignment="1">
      <alignment horizontal="center" vertical="center" shrinkToFit="1"/>
    </xf>
    <xf numFmtId="0" fontId="19" fillId="0" borderId="29" xfId="2" applyFont="1" applyBorder="1" applyAlignment="1">
      <alignment horizontal="center" vertical="center" shrinkToFit="1"/>
    </xf>
    <xf numFmtId="0" fontId="19" fillId="0" borderId="23" xfId="2" applyFont="1" applyBorder="1" applyAlignment="1">
      <alignment horizontal="center" vertical="center" shrinkToFit="1"/>
    </xf>
    <xf numFmtId="0" fontId="19" fillId="0" borderId="2" xfId="2" applyFont="1" applyBorder="1" applyAlignment="1">
      <alignment horizontal="center" vertical="center" shrinkToFit="1"/>
    </xf>
    <xf numFmtId="0" fontId="19" fillId="0" borderId="27" xfId="2" applyFont="1" applyBorder="1" applyAlignment="1">
      <alignment horizontal="center" vertical="center" shrinkToFit="1"/>
    </xf>
    <xf numFmtId="0" fontId="21" fillId="0" borderId="4" xfId="2" applyBorder="1" applyAlignment="1">
      <alignment horizontal="center" vertical="center"/>
    </xf>
    <xf numFmtId="0" fontId="21" fillId="0" borderId="26" xfId="2" applyBorder="1" applyAlignment="1">
      <alignment horizontal="center" vertical="center"/>
    </xf>
    <xf numFmtId="0" fontId="26" fillId="0" borderId="1" xfId="2" applyFont="1" applyBorder="1" applyAlignment="1">
      <alignment horizontal="center" vertical="center" wrapText="1"/>
    </xf>
    <xf numFmtId="0" fontId="20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2" borderId="4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177" fontId="0" fillId="2" borderId="31" xfId="0" applyNumberFormat="1" applyFill="1" applyBorder="1" applyAlignment="1">
      <alignment horizontal="center" vertical="center" wrapText="1"/>
    </xf>
    <xf numFmtId="177" fontId="0" fillId="2" borderId="25" xfId="0" applyNumberFormat="1" applyFill="1" applyBorder="1" applyAlignment="1">
      <alignment horizontal="center" vertical="center" wrapText="1"/>
    </xf>
    <xf numFmtId="177" fontId="0" fillId="2" borderId="26" xfId="0" applyNumberFormat="1" applyFill="1" applyBorder="1" applyAlignment="1">
      <alignment horizontal="center" vertical="center" wrapText="1"/>
    </xf>
    <xf numFmtId="0" fontId="21" fillId="2" borderId="4" xfId="0" applyFont="1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4" borderId="25" xfId="0" applyFill="1" applyBorder="1" applyAlignment="1">
      <alignment horizontal="center" vertical="center"/>
    </xf>
    <xf numFmtId="0" fontId="0" fillId="4" borderId="30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0" fillId="4" borderId="21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6" fillId="0" borderId="14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6" fillId="0" borderId="22" xfId="0" applyFont="1" applyBorder="1" applyAlignment="1">
      <alignment horizontal="center" vertical="center" wrapText="1" shrinkToFit="1"/>
    </xf>
    <xf numFmtId="0" fontId="26" fillId="0" borderId="11" xfId="0" applyFont="1" applyBorder="1" applyAlignment="1">
      <alignment horizontal="center" vertical="center" wrapText="1" shrinkToFit="1"/>
    </xf>
    <xf numFmtId="0" fontId="26" fillId="0" borderId="3" xfId="0" applyFont="1" applyBorder="1" applyAlignment="1">
      <alignment horizontal="center" vertical="center" wrapText="1" shrinkToFit="1"/>
    </xf>
    <xf numFmtId="0" fontId="26" fillId="0" borderId="23" xfId="0" applyFont="1" applyBorder="1" applyAlignment="1">
      <alignment horizontal="center" vertical="center" wrapText="1" shrinkToFit="1"/>
    </xf>
    <xf numFmtId="0" fontId="26" fillId="0" borderId="2" xfId="0" applyFont="1" applyBorder="1" applyAlignment="1">
      <alignment horizontal="center" vertical="center" wrapText="1" shrinkToFit="1"/>
    </xf>
    <xf numFmtId="0" fontId="26" fillId="0" borderId="27" xfId="0" applyFont="1" applyBorder="1" applyAlignment="1">
      <alignment horizontal="center" vertical="center" wrapText="1" shrinkToFit="1"/>
    </xf>
  </cellXfs>
  <cellStyles count="4">
    <cellStyle name="쉼표 [0] 2 2" xfId="3" xr:uid="{00000000-0005-0000-0000-000002000000}"/>
    <cellStyle name="표준" xfId="0" builtinId="0"/>
    <cellStyle name="표준 2" xfId="2" xr:uid="{00000000-0005-0000-0000-000001000000}"/>
    <cellStyle name="표준 3" xfId="4" xr:uid="{00000000-0005-0000-0000-000003000000}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 xr9:uid="{00000000-0011-0000-FFFF-FFFF00000000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 xr9:uid="{00000000-0011-0000-FFFF-FFFF01000000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142875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EF33AE9F-5E46-41B8-9EC1-F6CF615ECC5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457325" cy="5715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3</xdr:col>
      <xdr:colOff>142875</xdr:colOff>
      <xdr:row>2</xdr:row>
      <xdr:rowOff>152400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1457325" cy="57150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0</xdr:rowOff>
    </xdr:from>
    <xdr:to>
      <xdr:col>4</xdr:col>
      <xdr:colOff>85724</xdr:colOff>
      <xdr:row>3</xdr:row>
      <xdr:rowOff>38100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19075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247649</xdr:colOff>
      <xdr:row>0</xdr:row>
      <xdr:rowOff>0</xdr:rowOff>
    </xdr:from>
    <xdr:to>
      <xdr:col>3</xdr:col>
      <xdr:colOff>904875</xdr:colOff>
      <xdr:row>2</xdr:row>
      <xdr:rowOff>247649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247650" y="0"/>
          <a:ext cx="2038350" cy="666750"/>
        </a:xfrm>
        <a:prstGeom prst="rect">
          <a:avLst/>
        </a:prstGeom>
        <a:noFill/>
        <a:ln>
          <a:noFill/>
        </a:ln>
        <a:effectLst/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18</xdr:col>
      <xdr:colOff>419100</xdr:colOff>
      <xdr:row>9</xdr:row>
      <xdr:rowOff>0</xdr:rowOff>
    </xdr:to>
    <xdr:sp macro="" textlink="">
      <xdr:nvSpPr>
        <xdr:cNvPr id="2049" name="AutoShape 1" hidden="1">
          <a:extLst>
            <a:ext uri="{FF2B5EF4-FFF2-40B4-BE49-F238E27FC236}">
              <a16:creationId xmlns:a16="http://schemas.microsoft.com/office/drawing/2014/main" id="{00000000-0008-0000-0800-00000108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9763125" cy="90011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47625</xdr:rowOff>
    </xdr:from>
    <xdr:to>
      <xdr:col>3</xdr:col>
      <xdr:colOff>485775</xdr:colOff>
      <xdr:row>2</xdr:row>
      <xdr:rowOff>295275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xfrm>
          <a:off x="0" y="44823"/>
          <a:ext cx="1344705" cy="672352"/>
        </a:xfrm>
        <a:prstGeom prst="rect">
          <a:avLst/>
        </a:prstGeom>
        <a:noFill/>
        <a:ln>
          <a:noFill/>
        </a:ln>
        <a:effectLst/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0</xdr:colOff>
      <xdr:row>0</xdr:row>
      <xdr:rowOff>0</xdr:rowOff>
    </xdr:to>
    <xdr:sp macro="" textlink="">
      <xdr:nvSpPr>
        <xdr:cNvPr id="4098" name="AutoShape 2" hidden="1">
          <a:extLst>
            <a:ext uri="{FF2B5EF4-FFF2-40B4-BE49-F238E27FC236}">
              <a16:creationId xmlns:a16="http://schemas.microsoft.com/office/drawing/2014/main" id="{00000000-0008-0000-0A00-000002100000}"/>
            </a:ext>
          </a:extLst>
        </xdr:cNvPr>
        <xdr:cNvSpPr>
          <a:spLocks noSelect="1" noChangeArrowheads="1"/>
        </xdr:cNvSpPr>
      </xdr:nvSpPr>
      <xdr:spPr>
        <a:xfrm>
          <a:off x="0" y="0"/>
          <a:ext cx="8153400" cy="7953374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/>
        </a:ln>
      </xdr:spPr>
      <xdr:txBody>
        <a:bodyPr vertOverflow="clip" horzOverflow="clip" wrap="square" lIns="0" tIns="0" rIns="0" bIns="0"/>
        <a:lstStyle/>
        <a:p>
          <a:pPr algn="l" eaLnBrk="0" latinLnBrk="0">
            <a:lnSpc>
              <a:spcPct val="100000"/>
            </a:lnSpc>
          </a:pP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3">
    <tabColor rgb="FFFFFFFF"/>
  </sheetPr>
  <dimension ref="A1:R12"/>
  <sheetViews>
    <sheetView tabSelected="1" view="pageBreakPreview" zoomScale="120" zoomScaleNormal="120" zoomScaleSheetLayoutView="120" workbookViewId="0">
      <pane ySplit="8" topLeftCell="A9" activePane="bottomLeft" state="frozen"/>
      <selection pane="bottomLeft" activeCell="R2" sqref="R2"/>
    </sheetView>
  </sheetViews>
  <sheetFormatPr defaultColWidth="8" defaultRowHeight="12.75"/>
  <cols>
    <col min="1" max="1" width="4.125" style="7" customWidth="1"/>
    <col min="2" max="2" width="12.75" style="7" customWidth="1"/>
    <col min="3" max="4" width="12.125" style="7" customWidth="1"/>
    <col min="5" max="5" width="13.75" style="7" customWidth="1"/>
    <col min="6" max="6" width="16.375" style="7" customWidth="1"/>
    <col min="7" max="7" width="13.125" style="7" customWidth="1"/>
    <col min="8" max="8" width="2.125" style="7" hidden="1" customWidth="1"/>
    <col min="9" max="16" width="8" style="7" hidden="1" customWidth="1"/>
    <col min="17" max="16384" width="8" style="8"/>
  </cols>
  <sheetData>
    <row r="1" spans="1:18" ht="16.5" customHeight="1" thickTop="1">
      <c r="A1" s="83" t="s">
        <v>66</v>
      </c>
      <c r="B1" s="111"/>
      <c r="C1" s="111"/>
      <c r="D1" s="116" t="str">
        <f>R2</f>
        <v>26.07.16 이신이엔지_동위_GS건설_본리동 주상복합아파트</v>
      </c>
      <c r="E1" s="116"/>
      <c r="F1" s="116"/>
      <c r="G1" s="117"/>
      <c r="R1" s="8" t="s">
        <v>61</v>
      </c>
    </row>
    <row r="2" spans="1:18" ht="16.5" customHeight="1">
      <c r="A2" s="112"/>
      <c r="B2" s="113"/>
      <c r="C2" s="113"/>
      <c r="D2" s="118"/>
      <c r="E2" s="118"/>
      <c r="F2" s="118"/>
      <c r="G2" s="119"/>
      <c r="R2" s="58" t="s">
        <v>74</v>
      </c>
    </row>
    <row r="3" spans="1:18" ht="16.5" customHeight="1">
      <c r="A3" s="112"/>
      <c r="B3" s="113"/>
      <c r="C3" s="113"/>
      <c r="D3" s="118"/>
      <c r="E3" s="118"/>
      <c r="F3" s="118"/>
      <c r="G3" s="119"/>
    </row>
    <row r="4" spans="1:18" ht="17.25" customHeight="1" thickBot="1">
      <c r="A4" s="114"/>
      <c r="B4" s="115"/>
      <c r="C4" s="115"/>
      <c r="D4" s="120"/>
      <c r="E4" s="120"/>
      <c r="F4" s="120"/>
      <c r="G4" s="121"/>
    </row>
    <row r="5" spans="1:18" ht="6.75" customHeight="1" thickTop="1">
      <c r="A5" s="59"/>
      <c r="B5" s="59"/>
      <c r="C5" s="59"/>
      <c r="D5" s="59"/>
      <c r="E5" s="59"/>
      <c r="F5" s="59"/>
      <c r="G5" s="59"/>
    </row>
    <row r="6" spans="1:18" s="10" customFormat="1" ht="18" customHeight="1" thickBot="1">
      <c r="A6" s="104" t="s">
        <v>1</v>
      </c>
      <c r="B6" s="123" t="s">
        <v>60</v>
      </c>
      <c r="C6" s="123" t="s">
        <v>4</v>
      </c>
      <c r="D6" s="123"/>
      <c r="E6" s="123" t="s">
        <v>38</v>
      </c>
      <c r="F6" s="123" t="s">
        <v>35</v>
      </c>
      <c r="G6" s="124" t="s">
        <v>15</v>
      </c>
      <c r="H6" s="9"/>
      <c r="I6" s="109" t="s">
        <v>9</v>
      </c>
      <c r="J6" s="109"/>
      <c r="K6" s="109"/>
      <c r="L6" s="109"/>
      <c r="M6" s="109"/>
      <c r="N6" s="109"/>
      <c r="O6" s="8"/>
    </row>
    <row r="7" spans="1:18" s="10" customFormat="1" ht="18" customHeight="1">
      <c r="A7" s="122"/>
      <c r="B7" s="110"/>
      <c r="C7" s="110" t="s">
        <v>57</v>
      </c>
      <c r="D7" s="110" t="s">
        <v>55</v>
      </c>
      <c r="E7" s="110"/>
      <c r="F7" s="110"/>
      <c r="G7" s="125"/>
      <c r="H7" s="11"/>
      <c r="I7" s="12"/>
      <c r="J7" s="12"/>
      <c r="K7" s="12"/>
      <c r="L7" s="12"/>
      <c r="M7" s="12"/>
      <c r="N7" s="12"/>
      <c r="O7" s="8"/>
    </row>
    <row r="8" spans="1:18" s="10" customFormat="1" ht="18" customHeight="1" thickBot="1">
      <c r="A8" s="122"/>
      <c r="B8" s="110"/>
      <c r="C8" s="110"/>
      <c r="D8" s="110"/>
      <c r="E8" s="110"/>
      <c r="F8" s="110"/>
      <c r="G8" s="125"/>
      <c r="H8" s="11"/>
      <c r="I8" s="12"/>
      <c r="J8" s="12"/>
      <c r="K8" s="12"/>
      <c r="L8" s="12"/>
      <c r="M8" s="12"/>
      <c r="N8" s="12"/>
      <c r="O8" s="8"/>
    </row>
    <row r="9" spans="1:18" s="10" customFormat="1" ht="18" customHeight="1" thickBot="1">
      <c r="A9" s="66" t="s">
        <v>69</v>
      </c>
      <c r="B9" s="44" t="s">
        <v>79</v>
      </c>
      <c r="C9" s="24">
        <v>450</v>
      </c>
      <c r="D9" s="24">
        <v>550</v>
      </c>
      <c r="E9" s="60"/>
      <c r="F9" s="60"/>
      <c r="G9" s="61" t="s">
        <v>73</v>
      </c>
      <c r="H9" s="13"/>
      <c r="I9" s="21"/>
      <c r="J9" s="20"/>
      <c r="K9" s="17"/>
      <c r="L9" s="18"/>
      <c r="M9" s="19"/>
      <c r="N9" s="20"/>
      <c r="O9" s="8"/>
      <c r="Q9" s="10" t="s">
        <v>75</v>
      </c>
    </row>
    <row r="10" spans="1:18" s="10" customFormat="1" ht="18" customHeight="1" thickBot="1">
      <c r="A10" s="66" t="s">
        <v>70</v>
      </c>
      <c r="B10" s="44" t="s">
        <v>43</v>
      </c>
      <c r="C10" s="24">
        <v>450</v>
      </c>
      <c r="D10" s="24">
        <v>550</v>
      </c>
      <c r="E10" s="46"/>
      <c r="F10" s="60"/>
      <c r="G10" s="61" t="s">
        <v>73</v>
      </c>
      <c r="H10" s="13"/>
      <c r="I10" s="21"/>
      <c r="J10" s="20"/>
      <c r="K10" s="17"/>
      <c r="L10" s="18"/>
      <c r="M10" s="19"/>
      <c r="N10" s="20"/>
      <c r="O10" s="8"/>
      <c r="Q10" s="10" t="s">
        <v>76</v>
      </c>
    </row>
    <row r="11" spans="1:18" s="10" customFormat="1" ht="18" customHeight="1" thickBot="1">
      <c r="A11" s="66" t="s">
        <v>71</v>
      </c>
      <c r="B11" s="44" t="s">
        <v>43</v>
      </c>
      <c r="C11" s="24">
        <v>450</v>
      </c>
      <c r="D11" s="24">
        <v>550</v>
      </c>
      <c r="E11" s="46"/>
      <c r="F11" s="60"/>
      <c r="G11" s="61" t="s">
        <v>73</v>
      </c>
      <c r="H11" s="13"/>
      <c r="I11" s="21"/>
      <c r="J11" s="20"/>
      <c r="K11" s="17"/>
      <c r="L11" s="18"/>
      <c r="M11" s="19"/>
      <c r="N11" s="20"/>
      <c r="O11" s="8"/>
      <c r="Q11" s="10" t="s">
        <v>77</v>
      </c>
    </row>
    <row r="12" spans="1:18" s="10" customFormat="1" ht="18" customHeight="1">
      <c r="A12" s="66" t="s">
        <v>72</v>
      </c>
      <c r="B12" s="44" t="s">
        <v>43</v>
      </c>
      <c r="C12" s="24">
        <v>450</v>
      </c>
      <c r="D12" s="24">
        <v>550</v>
      </c>
      <c r="E12" s="46"/>
      <c r="F12" s="60"/>
      <c r="G12" s="61" t="s">
        <v>73</v>
      </c>
      <c r="H12" s="13"/>
      <c r="I12" s="21"/>
      <c r="J12" s="20"/>
      <c r="K12" s="17"/>
      <c r="L12" s="18"/>
      <c r="M12" s="19"/>
      <c r="N12" s="20"/>
      <c r="O12" s="8"/>
      <c r="Q12" s="10" t="s">
        <v>78</v>
      </c>
    </row>
  </sheetData>
  <mergeCells count="11">
    <mergeCell ref="I6:N6"/>
    <mergeCell ref="C7:C8"/>
    <mergeCell ref="D7:D8"/>
    <mergeCell ref="A1:C4"/>
    <mergeCell ref="D1:G4"/>
    <mergeCell ref="A6:A8"/>
    <mergeCell ref="B6:B8"/>
    <mergeCell ref="C6:D6"/>
    <mergeCell ref="E6:E8"/>
    <mergeCell ref="F6:F8"/>
    <mergeCell ref="G6:G8"/>
  </mergeCells>
  <phoneticPr fontId="22" type="noConversion"/>
  <pageMargins left="0.23597222566604614" right="0.23597222566604614" top="0.74750000238418579" bottom="0.74750000238418579" header="0.31486111879348755" footer="0.3148611187934875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384E-E625-4433-A311-ACB260D6E4A3}">
  <dimension ref="A1:O15"/>
  <sheetViews>
    <sheetView zoomScaleNormal="100" zoomScaleSheetLayoutView="100" workbookViewId="0">
      <selection activeCell="E20" sqref="E20"/>
    </sheetView>
  </sheetViews>
  <sheetFormatPr defaultColWidth="9" defaultRowHeight="16.5"/>
  <cols>
    <col min="1" max="1" width="5.125" style="5" bestFit="1" customWidth="1"/>
    <col min="2" max="2" width="8.125" style="5" customWidth="1"/>
    <col min="3" max="4" width="6.875" style="5" customWidth="1"/>
    <col min="5" max="5" width="13.875" style="5" customWidth="1"/>
    <col min="6" max="6" width="5.75" style="5" customWidth="1"/>
    <col min="7" max="7" width="7.5" style="5" customWidth="1"/>
    <col min="8" max="8" width="7.125" style="5" customWidth="1"/>
    <col min="9" max="9" width="5.25" style="5" bestFit="1" customWidth="1"/>
    <col min="10" max="10" width="7.875" style="5" customWidth="1"/>
    <col min="11" max="11" width="7.5" style="5" customWidth="1"/>
    <col min="12" max="12" width="5.5" style="5" customWidth="1"/>
    <col min="13" max="13" width="7.5" style="5" customWidth="1"/>
    <col min="14" max="14" width="5.5" style="5" customWidth="1"/>
    <col min="15" max="15" width="26.875" style="5" customWidth="1"/>
    <col min="16" max="16384" width="9" style="5"/>
  </cols>
  <sheetData>
    <row r="1" spans="1:15" ht="16.5" customHeight="1">
      <c r="A1" s="83"/>
      <c r="B1" s="83"/>
      <c r="C1" s="83"/>
      <c r="D1" s="83"/>
      <c r="E1" s="126" t="s">
        <v>62</v>
      </c>
      <c r="F1" s="127"/>
      <c r="G1" s="127"/>
      <c r="H1" s="127" t="str">
        <f>'1. 소켓인수검사'!R2</f>
        <v>26.07.16 이신이엔지_동위_GS건설_본리동 주상복합아파트</v>
      </c>
      <c r="I1" s="127"/>
      <c r="J1" s="127"/>
      <c r="K1" s="127"/>
      <c r="L1" s="127"/>
      <c r="M1" s="127"/>
      <c r="N1" s="127"/>
      <c r="O1" s="132"/>
    </row>
    <row r="2" spans="1:15" ht="16.5" customHeight="1">
      <c r="A2" s="83"/>
      <c r="B2" s="83"/>
      <c r="C2" s="83"/>
      <c r="D2" s="83"/>
      <c r="E2" s="128"/>
      <c r="F2" s="129"/>
      <c r="G2" s="129"/>
      <c r="H2" s="129"/>
      <c r="I2" s="129"/>
      <c r="J2" s="129"/>
      <c r="K2" s="129"/>
      <c r="L2" s="129"/>
      <c r="M2" s="129"/>
      <c r="N2" s="129"/>
      <c r="O2" s="133"/>
    </row>
    <row r="3" spans="1:15" ht="16.5" customHeight="1">
      <c r="A3" s="83"/>
      <c r="B3" s="83"/>
      <c r="C3" s="83"/>
      <c r="D3" s="83"/>
      <c r="E3" s="130"/>
      <c r="F3" s="131"/>
      <c r="G3" s="131"/>
      <c r="H3" s="131"/>
      <c r="I3" s="131"/>
      <c r="J3" s="131"/>
      <c r="K3" s="131"/>
      <c r="L3" s="131"/>
      <c r="M3" s="131"/>
      <c r="N3" s="131"/>
      <c r="O3" s="134"/>
    </row>
    <row r="4" spans="1:15" ht="8.1" customHeight="1">
      <c r="A4" s="135"/>
      <c r="B4" s="135"/>
      <c r="C4" s="135"/>
      <c r="D4" s="135"/>
      <c r="E4" s="135"/>
      <c r="F4" s="135"/>
      <c r="G4" s="135"/>
      <c r="H4" s="135"/>
      <c r="I4" s="135"/>
      <c r="J4" s="135"/>
      <c r="K4" s="135"/>
      <c r="L4" s="135"/>
      <c r="M4" s="135"/>
      <c r="N4" s="135"/>
      <c r="O4" s="135"/>
    </row>
    <row r="5" spans="1:15" ht="26.45" customHeight="1">
      <c r="A5" s="136" t="s">
        <v>50</v>
      </c>
      <c r="B5" s="137" t="s">
        <v>60</v>
      </c>
      <c r="C5" s="140" t="s">
        <v>4</v>
      </c>
      <c r="D5" s="140"/>
      <c r="E5" s="140" t="s">
        <v>21</v>
      </c>
      <c r="F5" s="141" t="s">
        <v>48</v>
      </c>
      <c r="G5" s="144" t="s">
        <v>17</v>
      </c>
      <c r="H5" s="145"/>
      <c r="I5" s="145"/>
      <c r="J5" s="146"/>
      <c r="K5" s="144" t="s">
        <v>31</v>
      </c>
      <c r="L5" s="145"/>
      <c r="M5" s="145"/>
      <c r="N5" s="145"/>
      <c r="O5" s="141" t="s">
        <v>2</v>
      </c>
    </row>
    <row r="6" spans="1:15" ht="16.5" customHeight="1">
      <c r="A6" s="136"/>
      <c r="B6" s="138"/>
      <c r="C6" s="140" t="s">
        <v>57</v>
      </c>
      <c r="D6" s="140" t="s">
        <v>55</v>
      </c>
      <c r="E6" s="140"/>
      <c r="F6" s="142"/>
      <c r="G6" s="140" t="s">
        <v>57</v>
      </c>
      <c r="H6" s="140"/>
      <c r="I6" s="140" t="s">
        <v>55</v>
      </c>
      <c r="J6" s="140"/>
      <c r="K6" s="140" t="s">
        <v>59</v>
      </c>
      <c r="L6" s="140"/>
      <c r="M6" s="144" t="s">
        <v>56</v>
      </c>
      <c r="N6" s="145"/>
      <c r="O6" s="142"/>
    </row>
    <row r="7" spans="1:15">
      <c r="A7" s="136"/>
      <c r="B7" s="139"/>
      <c r="C7" s="140"/>
      <c r="D7" s="140"/>
      <c r="E7" s="140"/>
      <c r="F7" s="143"/>
      <c r="G7" s="67" t="s">
        <v>4</v>
      </c>
      <c r="H7" s="67" t="s">
        <v>28</v>
      </c>
      <c r="I7" s="70" t="s">
        <v>4</v>
      </c>
      <c r="J7" s="69" t="s">
        <v>28</v>
      </c>
      <c r="K7" s="67" t="s">
        <v>4</v>
      </c>
      <c r="L7" s="67" t="s">
        <v>48</v>
      </c>
      <c r="M7" s="67" t="s">
        <v>4</v>
      </c>
      <c r="N7" s="68" t="s">
        <v>48</v>
      </c>
      <c r="O7" s="143"/>
    </row>
    <row r="8" spans="1:15">
      <c r="A8" s="71" t="str">
        <f>'1. 소켓인수검사'!A9</f>
        <v>01</v>
      </c>
      <c r="B8" s="76" t="s">
        <v>43</v>
      </c>
      <c r="C8" s="45">
        <f>'1. 소켓인수검사'!C9</f>
        <v>450</v>
      </c>
      <c r="D8" s="45">
        <f>'1. 소켓인수검사'!D9</f>
        <v>550</v>
      </c>
      <c r="E8" s="31"/>
      <c r="F8" s="45">
        <v>1</v>
      </c>
      <c r="G8" s="72">
        <f t="shared" ref="G8:G11" si="0">C8-5</f>
        <v>445</v>
      </c>
      <c r="H8" s="45">
        <f t="shared" ref="H8:H11" si="1">F8*4</f>
        <v>4</v>
      </c>
      <c r="I8" s="73">
        <f t="shared" ref="I8:I11" si="2">D8-30</f>
        <v>520</v>
      </c>
      <c r="J8" s="45">
        <f t="shared" ref="J8:J11" si="3">F8*4</f>
        <v>4</v>
      </c>
      <c r="K8" s="74">
        <f t="shared" ref="K8:K11" si="4">C8+60</f>
        <v>510</v>
      </c>
      <c r="L8" s="45">
        <v>2</v>
      </c>
      <c r="M8" s="74">
        <f t="shared" ref="M8:M11" si="5">D8</f>
        <v>550</v>
      </c>
      <c r="N8" s="45">
        <v>2</v>
      </c>
      <c r="O8" s="75"/>
    </row>
    <row r="9" spans="1:15">
      <c r="A9" s="71" t="str">
        <f>'1. 소켓인수검사'!A10</f>
        <v>02</v>
      </c>
      <c r="B9" s="76" t="s">
        <v>43</v>
      </c>
      <c r="C9" s="45">
        <f>'1. 소켓인수검사'!C10</f>
        <v>450</v>
      </c>
      <c r="D9" s="45">
        <f>'1. 소켓인수검사'!D10</f>
        <v>550</v>
      </c>
      <c r="E9" s="31"/>
      <c r="F9" s="45">
        <v>1</v>
      </c>
      <c r="G9" s="72">
        <f t="shared" si="0"/>
        <v>445</v>
      </c>
      <c r="H9" s="45">
        <f t="shared" si="1"/>
        <v>4</v>
      </c>
      <c r="I9" s="73">
        <f t="shared" si="2"/>
        <v>520</v>
      </c>
      <c r="J9" s="45">
        <f t="shared" si="3"/>
        <v>4</v>
      </c>
      <c r="K9" s="74">
        <f t="shared" si="4"/>
        <v>510</v>
      </c>
      <c r="L9" s="45">
        <v>2</v>
      </c>
      <c r="M9" s="74">
        <f t="shared" si="5"/>
        <v>550</v>
      </c>
      <c r="N9" s="45">
        <v>2</v>
      </c>
      <c r="O9" s="75"/>
    </row>
    <row r="10" spans="1:15">
      <c r="A10" s="71" t="str">
        <f>'1. 소켓인수검사'!A11</f>
        <v>03</v>
      </c>
      <c r="B10" s="76" t="s">
        <v>43</v>
      </c>
      <c r="C10" s="45">
        <f>'1. 소켓인수검사'!C11</f>
        <v>450</v>
      </c>
      <c r="D10" s="45">
        <f>'1. 소켓인수검사'!D11</f>
        <v>550</v>
      </c>
      <c r="E10" s="31"/>
      <c r="F10" s="45">
        <v>1</v>
      </c>
      <c r="G10" s="72">
        <f t="shared" si="0"/>
        <v>445</v>
      </c>
      <c r="H10" s="45">
        <f t="shared" si="1"/>
        <v>4</v>
      </c>
      <c r="I10" s="73">
        <f t="shared" si="2"/>
        <v>520</v>
      </c>
      <c r="J10" s="45">
        <f t="shared" si="3"/>
        <v>4</v>
      </c>
      <c r="K10" s="74">
        <f t="shared" si="4"/>
        <v>510</v>
      </c>
      <c r="L10" s="45">
        <v>2</v>
      </c>
      <c r="M10" s="74">
        <f t="shared" si="5"/>
        <v>550</v>
      </c>
      <c r="N10" s="45">
        <v>2</v>
      </c>
      <c r="O10" s="75"/>
    </row>
    <row r="11" spans="1:15">
      <c r="A11" s="71" t="str">
        <f>'1. 소켓인수검사'!A12</f>
        <v>04</v>
      </c>
      <c r="B11" s="76" t="s">
        <v>43</v>
      </c>
      <c r="C11" s="45">
        <f>'1. 소켓인수검사'!C12</f>
        <v>450</v>
      </c>
      <c r="D11" s="45">
        <f>'1. 소켓인수검사'!D12</f>
        <v>550</v>
      </c>
      <c r="E11" s="31"/>
      <c r="F11" s="45">
        <v>1</v>
      </c>
      <c r="G11" s="72">
        <f t="shared" si="0"/>
        <v>445</v>
      </c>
      <c r="H11" s="45">
        <f t="shared" si="1"/>
        <v>4</v>
      </c>
      <c r="I11" s="73">
        <f t="shared" si="2"/>
        <v>520</v>
      </c>
      <c r="J11" s="45">
        <f t="shared" si="3"/>
        <v>4</v>
      </c>
      <c r="K11" s="74">
        <f t="shared" si="4"/>
        <v>510</v>
      </c>
      <c r="L11" s="45">
        <v>2</v>
      </c>
      <c r="M11" s="74">
        <f t="shared" si="5"/>
        <v>550</v>
      </c>
      <c r="N11" s="45">
        <v>2</v>
      </c>
      <c r="O11" s="75"/>
    </row>
    <row r="12" spans="1:15" ht="8.1" customHeight="1">
      <c r="A12" s="83"/>
      <c r="B12" s="83"/>
      <c r="C12" s="83"/>
      <c r="D12" s="83"/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</row>
    <row r="13" spans="1:15">
      <c r="A13" s="83" t="s">
        <v>41</v>
      </c>
      <c r="B13" s="83"/>
      <c r="C13" s="83"/>
      <c r="D13" s="83"/>
      <c r="E13" s="83"/>
      <c r="F13" s="83"/>
      <c r="G13" s="83"/>
      <c r="H13" s="83"/>
      <c r="I13" s="83"/>
      <c r="J13" s="83"/>
      <c r="K13" s="83"/>
      <c r="L13" s="83"/>
      <c r="M13" s="83"/>
      <c r="N13" s="83"/>
      <c r="O13" s="83"/>
    </row>
    <row r="14" spans="1:15">
      <c r="A14" s="83"/>
      <c r="B14" s="83"/>
      <c r="C14" s="83"/>
      <c r="D14" s="83"/>
      <c r="E14" s="83"/>
      <c r="F14" s="83"/>
      <c r="G14" s="83"/>
      <c r="H14" s="83"/>
      <c r="I14" s="83"/>
      <c r="J14" s="83"/>
      <c r="K14" s="83"/>
      <c r="L14" s="83"/>
      <c r="M14" s="83"/>
      <c r="N14" s="83"/>
      <c r="O14" s="83"/>
    </row>
    <row r="15" spans="1:15">
      <c r="A15" s="83"/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</row>
  </sheetData>
  <mergeCells count="21">
    <mergeCell ref="A12:O12"/>
    <mergeCell ref="A13:C15"/>
    <mergeCell ref="D13:O15"/>
    <mergeCell ref="K5:N5"/>
    <mergeCell ref="O5:O7"/>
    <mergeCell ref="C6:C7"/>
    <mergeCell ref="D6:D7"/>
    <mergeCell ref="G6:H6"/>
    <mergeCell ref="I6:J6"/>
    <mergeCell ref="K6:L6"/>
    <mergeCell ref="M6:N6"/>
    <mergeCell ref="A1:D3"/>
    <mergeCell ref="E1:G3"/>
    <mergeCell ref="H1:O3"/>
    <mergeCell ref="A4:O4"/>
    <mergeCell ref="A5:A7"/>
    <mergeCell ref="B5:B7"/>
    <mergeCell ref="C5:D5"/>
    <mergeCell ref="E5:E7"/>
    <mergeCell ref="F5:F7"/>
    <mergeCell ref="G5:J5"/>
  </mergeCells>
  <phoneticPr fontId="22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5"/>
  <dimension ref="A1:K14"/>
  <sheetViews>
    <sheetView zoomScaleNormal="100" zoomScaleSheetLayoutView="100" workbookViewId="0">
      <selection activeCell="F17" sqref="F17"/>
    </sheetView>
  </sheetViews>
  <sheetFormatPr defaultColWidth="9" defaultRowHeight="16.5"/>
  <cols>
    <col min="1" max="1" width="5.125" bestFit="1" customWidth="1"/>
    <col min="2" max="2" width="8.125" customWidth="1"/>
    <col min="3" max="4" width="6.875" customWidth="1"/>
    <col min="5" max="5" width="13.875" customWidth="1"/>
    <col min="6" max="6" width="5.75" customWidth="1"/>
    <col min="7" max="7" width="7.5" customWidth="1"/>
    <col min="8" max="8" width="5.5" customWidth="1"/>
    <col min="9" max="9" width="7.5" customWidth="1"/>
    <col min="10" max="10" width="5.5" customWidth="1"/>
    <col min="11" max="11" width="26.875" customWidth="1"/>
  </cols>
  <sheetData>
    <row r="1" spans="1:11" ht="16.5" customHeight="1">
      <c r="A1" s="83"/>
      <c r="B1" s="83"/>
      <c r="C1" s="83"/>
      <c r="D1" s="83"/>
      <c r="E1" s="83" t="s">
        <v>68</v>
      </c>
      <c r="F1" s="150"/>
      <c r="G1" s="90" t="str">
        <f>'1. 소켓인수검사'!R2</f>
        <v>26.07.16 이신이엔지_동위_GS건설_본리동 주상복합아파트</v>
      </c>
      <c r="H1" s="90"/>
      <c r="I1" s="90"/>
      <c r="J1" s="90"/>
      <c r="K1" s="91"/>
    </row>
    <row r="2" spans="1:11" ht="16.5" customHeight="1">
      <c r="A2" s="83"/>
      <c r="B2" s="83"/>
      <c r="C2" s="83"/>
      <c r="D2" s="83"/>
      <c r="E2" s="151"/>
      <c r="F2" s="152"/>
      <c r="G2" s="92"/>
      <c r="H2" s="92"/>
      <c r="I2" s="92"/>
      <c r="J2" s="92"/>
      <c r="K2" s="93"/>
    </row>
    <row r="3" spans="1:11" ht="16.5" customHeight="1">
      <c r="A3" s="83"/>
      <c r="B3" s="83"/>
      <c r="C3" s="83"/>
      <c r="D3" s="83"/>
      <c r="E3" s="153"/>
      <c r="F3" s="154"/>
      <c r="G3" s="94"/>
      <c r="H3" s="94"/>
      <c r="I3" s="94"/>
      <c r="J3" s="94"/>
      <c r="K3" s="95"/>
    </row>
    <row r="4" spans="1:11" ht="8.1" customHeight="1">
      <c r="A4" s="102"/>
      <c r="B4" s="102"/>
      <c r="C4" s="102"/>
      <c r="D4" s="102"/>
      <c r="E4" s="102"/>
      <c r="F4" s="102"/>
      <c r="G4" s="102"/>
      <c r="H4" s="102"/>
      <c r="I4" s="102"/>
      <c r="J4" s="102"/>
      <c r="K4" s="102"/>
    </row>
    <row r="5" spans="1:11" ht="26.45" customHeight="1">
      <c r="A5" s="155" t="s">
        <v>50</v>
      </c>
      <c r="B5" s="156" t="s">
        <v>60</v>
      </c>
      <c r="C5" s="147" t="s">
        <v>4</v>
      </c>
      <c r="D5" s="147"/>
      <c r="E5" s="147" t="s">
        <v>21</v>
      </c>
      <c r="F5" s="159" t="s">
        <v>48</v>
      </c>
      <c r="G5" s="148" t="s">
        <v>31</v>
      </c>
      <c r="H5" s="149"/>
      <c r="I5" s="149"/>
      <c r="J5" s="149"/>
      <c r="K5" s="159" t="s">
        <v>2</v>
      </c>
    </row>
    <row r="6" spans="1:11" ht="16.5" customHeight="1">
      <c r="A6" s="155"/>
      <c r="B6" s="157"/>
      <c r="C6" s="147" t="s">
        <v>57</v>
      </c>
      <c r="D6" s="147" t="s">
        <v>55</v>
      </c>
      <c r="E6" s="147"/>
      <c r="F6" s="160"/>
      <c r="G6" s="147" t="s">
        <v>59</v>
      </c>
      <c r="H6" s="147"/>
      <c r="I6" s="148" t="s">
        <v>56</v>
      </c>
      <c r="J6" s="149"/>
      <c r="K6" s="160"/>
    </row>
    <row r="7" spans="1:11">
      <c r="A7" s="155"/>
      <c r="B7" s="158"/>
      <c r="C7" s="147"/>
      <c r="D7" s="147"/>
      <c r="E7" s="147"/>
      <c r="F7" s="161"/>
      <c r="G7" s="15" t="s">
        <v>4</v>
      </c>
      <c r="H7" s="15" t="s">
        <v>48</v>
      </c>
      <c r="I7" s="15" t="s">
        <v>4</v>
      </c>
      <c r="J7" s="16" t="s">
        <v>48</v>
      </c>
      <c r="K7" s="161"/>
    </row>
    <row r="8" spans="1:11">
      <c r="A8" s="62" t="str">
        <f>'1. 소켓인수검사'!A9</f>
        <v>01</v>
      </c>
      <c r="B8" s="44" t="s">
        <v>43</v>
      </c>
      <c r="C8" s="30">
        <f>'1. 소켓인수검사'!C9</f>
        <v>450</v>
      </c>
      <c r="D8" s="30">
        <f>'1. 소켓인수검사'!D9</f>
        <v>550</v>
      </c>
      <c r="E8" s="31"/>
      <c r="F8" s="30">
        <v>1</v>
      </c>
      <c r="G8" s="43">
        <f t="shared" ref="G8:G11" si="0">C8+60</f>
        <v>510</v>
      </c>
      <c r="H8" s="30">
        <v>2</v>
      </c>
      <c r="I8" s="43">
        <f t="shared" ref="I8:I11" si="1">D8</f>
        <v>550</v>
      </c>
      <c r="J8" s="30">
        <v>2</v>
      </c>
      <c r="K8" s="42"/>
    </row>
    <row r="9" spans="1:11">
      <c r="A9" s="62" t="str">
        <f>'1. 소켓인수검사'!A10</f>
        <v>02</v>
      </c>
      <c r="B9" s="44" t="s">
        <v>43</v>
      </c>
      <c r="C9" s="30">
        <f>'1. 소켓인수검사'!C10</f>
        <v>450</v>
      </c>
      <c r="D9" s="30">
        <f>'1. 소켓인수검사'!D10</f>
        <v>550</v>
      </c>
      <c r="E9" s="31"/>
      <c r="F9" s="30">
        <v>1</v>
      </c>
      <c r="G9" s="43">
        <f t="shared" si="0"/>
        <v>510</v>
      </c>
      <c r="H9" s="30">
        <v>2</v>
      </c>
      <c r="I9" s="43">
        <f t="shared" si="1"/>
        <v>550</v>
      </c>
      <c r="J9" s="30">
        <v>2</v>
      </c>
      <c r="K9" s="42"/>
    </row>
    <row r="10" spans="1:11">
      <c r="A10" s="62" t="str">
        <f>'1. 소켓인수검사'!A11</f>
        <v>03</v>
      </c>
      <c r="B10" s="44" t="s">
        <v>43</v>
      </c>
      <c r="C10" s="30">
        <f>'1. 소켓인수검사'!C11</f>
        <v>450</v>
      </c>
      <c r="D10" s="30">
        <f>'1. 소켓인수검사'!D11</f>
        <v>550</v>
      </c>
      <c r="E10" s="31"/>
      <c r="F10" s="30">
        <v>1</v>
      </c>
      <c r="G10" s="43">
        <f t="shared" si="0"/>
        <v>510</v>
      </c>
      <c r="H10" s="30">
        <v>2</v>
      </c>
      <c r="I10" s="43">
        <f t="shared" si="1"/>
        <v>550</v>
      </c>
      <c r="J10" s="30">
        <v>2</v>
      </c>
      <c r="K10" s="42"/>
    </row>
    <row r="11" spans="1:11">
      <c r="A11" s="62" t="str">
        <f>'1. 소켓인수검사'!A12</f>
        <v>04</v>
      </c>
      <c r="B11" s="44" t="s">
        <v>43</v>
      </c>
      <c r="C11" s="30">
        <f>'1. 소켓인수검사'!C12</f>
        <v>450</v>
      </c>
      <c r="D11" s="30">
        <f>'1. 소켓인수검사'!D12</f>
        <v>550</v>
      </c>
      <c r="E11" s="31"/>
      <c r="F11" s="30">
        <v>1</v>
      </c>
      <c r="G11" s="43">
        <f t="shared" si="0"/>
        <v>510</v>
      </c>
      <c r="H11" s="30">
        <v>2</v>
      </c>
      <c r="I11" s="43">
        <f t="shared" si="1"/>
        <v>550</v>
      </c>
      <c r="J11" s="30">
        <v>2</v>
      </c>
      <c r="K11" s="42"/>
    </row>
    <row r="12" spans="1:11">
      <c r="A12" s="83" t="s">
        <v>41</v>
      </c>
      <c r="B12" s="83"/>
      <c r="C12" s="83"/>
      <c r="D12" s="83"/>
      <c r="E12" s="83"/>
      <c r="F12" s="83"/>
      <c r="G12" s="83"/>
      <c r="H12" s="83"/>
      <c r="I12" s="83"/>
      <c r="J12" s="83"/>
      <c r="K12" s="83"/>
    </row>
    <row r="13" spans="1:11">
      <c r="A13" s="83"/>
      <c r="B13" s="83"/>
      <c r="C13" s="83"/>
      <c r="D13" s="83"/>
      <c r="E13" s="83"/>
      <c r="F13" s="83"/>
      <c r="G13" s="83"/>
      <c r="H13" s="83"/>
      <c r="I13" s="83"/>
      <c r="J13" s="83"/>
      <c r="K13" s="83"/>
    </row>
    <row r="14" spans="1:11">
      <c r="A14" s="83"/>
      <c r="B14" s="83"/>
      <c r="C14" s="83"/>
      <c r="D14" s="83"/>
      <c r="E14" s="83"/>
      <c r="F14" s="83"/>
      <c r="G14" s="83"/>
      <c r="H14" s="83"/>
      <c r="I14" s="83"/>
      <c r="J14" s="83"/>
      <c r="K14" s="83"/>
    </row>
  </sheetData>
  <mergeCells count="17">
    <mergeCell ref="D6:D7"/>
    <mergeCell ref="G6:H6"/>
    <mergeCell ref="I6:J6"/>
    <mergeCell ref="E1:F3"/>
    <mergeCell ref="G1:K3"/>
    <mergeCell ref="A12:C14"/>
    <mergeCell ref="D12:K14"/>
    <mergeCell ref="A1:D3"/>
    <mergeCell ref="A4:K4"/>
    <mergeCell ref="A5:A7"/>
    <mergeCell ref="B5:B7"/>
    <mergeCell ref="C5:D5"/>
    <mergeCell ref="E5:E7"/>
    <mergeCell ref="F5:F7"/>
    <mergeCell ref="G5:J5"/>
    <mergeCell ref="K5:K7"/>
    <mergeCell ref="C6:C7"/>
  </mergeCells>
  <phoneticPr fontId="22" type="noConversion"/>
  <pageMargins left="0.39347222447395325" right="0.19666667282581329" top="0.47236111760139465" bottom="0.31486111879348755" header="0.31486111879348755" footer="0.31486111879348755"/>
  <pageSetup paperSize="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A1:P19"/>
  <sheetViews>
    <sheetView zoomScaleNormal="100" zoomScaleSheetLayoutView="100" workbookViewId="0">
      <selection activeCell="G23" sqref="G23"/>
    </sheetView>
  </sheetViews>
  <sheetFormatPr defaultColWidth="9" defaultRowHeight="16.5"/>
  <cols>
    <col min="1" max="1" width="3.625" style="5" customWidth="1"/>
    <col min="2" max="3" width="9.625" style="5" customWidth="1"/>
    <col min="4" max="4" width="5.625" style="5" customWidth="1"/>
    <col min="5" max="5" width="13.875" style="5" customWidth="1"/>
    <col min="6" max="6" width="5.125" style="5" customWidth="1"/>
    <col min="7" max="10" width="9.625" style="5" customWidth="1"/>
    <col min="11" max="13" width="3.625" style="5" customWidth="1"/>
    <col min="14" max="16" width="9.75" style="5" customWidth="1"/>
    <col min="17" max="16384" width="9" style="5"/>
  </cols>
  <sheetData>
    <row r="1" spans="1:16" ht="16.5" customHeight="1">
      <c r="A1" s="83"/>
      <c r="B1" s="83"/>
      <c r="C1" s="83"/>
      <c r="D1" s="83"/>
      <c r="E1" s="171" t="s">
        <v>63</v>
      </c>
      <c r="F1" s="172"/>
      <c r="G1" s="172"/>
      <c r="H1" s="172"/>
      <c r="I1" s="172"/>
      <c r="J1" s="172"/>
      <c r="K1" s="172"/>
      <c r="L1" s="172"/>
      <c r="M1" s="172"/>
      <c r="N1" s="172"/>
      <c r="O1" s="172"/>
      <c r="P1" s="173"/>
    </row>
    <row r="2" spans="1:16" ht="16.5" customHeight="1">
      <c r="A2" s="83"/>
      <c r="B2" s="83"/>
      <c r="C2" s="83"/>
      <c r="D2" s="83"/>
      <c r="E2" s="174"/>
      <c r="F2" s="175"/>
      <c r="G2" s="175"/>
      <c r="H2" s="175"/>
      <c r="I2" s="175"/>
      <c r="J2" s="175"/>
      <c r="K2" s="175"/>
      <c r="L2" s="175"/>
      <c r="M2" s="175"/>
      <c r="N2" s="175"/>
      <c r="O2" s="175"/>
      <c r="P2" s="176"/>
    </row>
    <row r="3" spans="1:16" ht="16.5" customHeight="1">
      <c r="A3" s="83"/>
      <c r="B3" s="83"/>
      <c r="C3" s="83"/>
      <c r="D3" s="83"/>
      <c r="E3" s="174"/>
      <c r="F3" s="175"/>
      <c r="G3" s="175"/>
      <c r="H3" s="175"/>
      <c r="I3" s="175"/>
      <c r="J3" s="175"/>
      <c r="K3" s="175"/>
      <c r="L3" s="175"/>
      <c r="M3" s="175"/>
      <c r="N3" s="175"/>
      <c r="O3" s="175"/>
      <c r="P3" s="176"/>
    </row>
    <row r="4" spans="1:16" ht="16.5" customHeight="1">
      <c r="A4" s="83" t="s">
        <v>14</v>
      </c>
      <c r="B4" s="83"/>
      <c r="C4" s="180"/>
      <c r="D4" s="181"/>
      <c r="E4" s="177"/>
      <c r="F4" s="178"/>
      <c r="G4" s="178"/>
      <c r="H4" s="178"/>
      <c r="I4" s="178"/>
      <c r="J4" s="178"/>
      <c r="K4" s="178"/>
      <c r="L4" s="178"/>
      <c r="M4" s="178"/>
      <c r="N4" s="178"/>
      <c r="O4" s="178"/>
      <c r="P4" s="179"/>
    </row>
    <row r="5" spans="1:16">
      <c r="A5" s="83" t="s">
        <v>23</v>
      </c>
      <c r="B5" s="83"/>
      <c r="C5" s="83"/>
      <c r="D5" s="83"/>
      <c r="E5" s="6" t="s">
        <v>29</v>
      </c>
      <c r="F5" s="83"/>
      <c r="G5" s="83"/>
      <c r="H5" s="83" t="s">
        <v>53</v>
      </c>
      <c r="I5" s="83"/>
      <c r="J5" s="83"/>
      <c r="K5" s="83" t="s">
        <v>49</v>
      </c>
      <c r="L5" s="83"/>
      <c r="M5" s="83"/>
      <c r="N5" s="182" t="str">
        <f>'1. 소켓인수검사'!R2</f>
        <v>26.07.16 이신이엔지_동위_GS건설_본리동 주상복합아파트</v>
      </c>
      <c r="O5" s="182"/>
      <c r="P5" s="182"/>
    </row>
    <row r="6" spans="1:16">
      <c r="A6" s="83"/>
      <c r="B6" s="83"/>
      <c r="C6" s="83"/>
      <c r="D6" s="83"/>
      <c r="E6" s="6" t="s">
        <v>26</v>
      </c>
      <c r="F6" s="83"/>
      <c r="G6" s="83"/>
      <c r="H6" s="83"/>
      <c r="I6" s="83"/>
      <c r="J6" s="83"/>
      <c r="K6" s="83"/>
      <c r="L6" s="83"/>
      <c r="M6" s="83"/>
      <c r="N6" s="182"/>
      <c r="O6" s="182"/>
      <c r="P6" s="182"/>
    </row>
    <row r="7" spans="1:16" ht="8.1" customHeight="1">
      <c r="A7" s="135"/>
      <c r="B7" s="135"/>
      <c r="C7" s="135"/>
      <c r="D7" s="135"/>
      <c r="E7" s="135"/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135"/>
    </row>
    <row r="8" spans="1:16">
      <c r="A8" s="165" t="s">
        <v>50</v>
      </c>
      <c r="B8" s="167" t="s">
        <v>4</v>
      </c>
      <c r="C8" s="167"/>
      <c r="D8" s="167" t="s">
        <v>25</v>
      </c>
      <c r="E8" s="167" t="s">
        <v>21</v>
      </c>
      <c r="F8" s="167" t="s">
        <v>54</v>
      </c>
      <c r="G8" s="167" t="s">
        <v>24</v>
      </c>
      <c r="H8" s="167"/>
      <c r="I8" s="167"/>
      <c r="J8" s="167"/>
      <c r="K8" s="167"/>
      <c r="L8" s="167"/>
      <c r="M8" s="167"/>
      <c r="N8" s="167"/>
      <c r="O8" s="167"/>
      <c r="P8" s="169" t="s">
        <v>2</v>
      </c>
    </row>
    <row r="9" spans="1:16" ht="16.5" customHeight="1">
      <c r="A9" s="166"/>
      <c r="B9" s="168" t="s">
        <v>57</v>
      </c>
      <c r="C9" s="168" t="s">
        <v>55</v>
      </c>
      <c r="D9" s="168"/>
      <c r="E9" s="168"/>
      <c r="F9" s="168"/>
      <c r="G9" s="168" t="s">
        <v>51</v>
      </c>
      <c r="H9" s="168" t="s">
        <v>57</v>
      </c>
      <c r="I9" s="168"/>
      <c r="J9" s="168" t="s">
        <v>10</v>
      </c>
      <c r="K9" s="168" t="s">
        <v>55</v>
      </c>
      <c r="L9" s="168"/>
      <c r="M9" s="168"/>
      <c r="N9" s="168"/>
      <c r="O9" s="168" t="s">
        <v>10</v>
      </c>
      <c r="P9" s="170"/>
    </row>
    <row r="10" spans="1:16">
      <c r="A10" s="166"/>
      <c r="B10" s="168"/>
      <c r="C10" s="168"/>
      <c r="D10" s="168"/>
      <c r="E10" s="168"/>
      <c r="F10" s="168"/>
      <c r="G10" s="168"/>
      <c r="H10" s="23" t="s">
        <v>4</v>
      </c>
      <c r="I10" s="23" t="s">
        <v>28</v>
      </c>
      <c r="J10" s="168"/>
      <c r="K10" s="168" t="s">
        <v>4</v>
      </c>
      <c r="L10" s="168"/>
      <c r="M10" s="168"/>
      <c r="N10" s="23" t="s">
        <v>28</v>
      </c>
      <c r="O10" s="168"/>
      <c r="P10" s="170"/>
    </row>
    <row r="11" spans="1:16">
      <c r="A11" s="22" t="str">
        <f>'1. 소켓인수검사'!A9</f>
        <v>01</v>
      </c>
      <c r="B11" s="24">
        <f>'1. 소켓인수검사'!C9</f>
        <v>450</v>
      </c>
      <c r="C11" s="24">
        <f>'1. 소켓인수검사'!D9</f>
        <v>550</v>
      </c>
      <c r="D11" s="25">
        <v>1</v>
      </c>
      <c r="E11" s="26"/>
      <c r="F11" s="25">
        <v>1.6</v>
      </c>
      <c r="G11" s="25"/>
      <c r="H11" s="25">
        <f t="shared" ref="H11:H14" si="0">B11-1</f>
        <v>449</v>
      </c>
      <c r="I11" s="25">
        <f t="shared" ref="I11:I14" si="1">D11*4</f>
        <v>4</v>
      </c>
      <c r="J11" s="25"/>
      <c r="K11" s="164">
        <f t="shared" ref="K11:K14" si="2">C11-30</f>
        <v>520</v>
      </c>
      <c r="L11" s="164"/>
      <c r="M11" s="164"/>
      <c r="N11" s="25">
        <f t="shared" ref="N11:N14" si="3">D11*4</f>
        <v>4</v>
      </c>
      <c r="O11" s="25"/>
      <c r="P11" s="27"/>
    </row>
    <row r="12" spans="1:16">
      <c r="A12" s="22" t="str">
        <f>'1. 소켓인수검사'!A10</f>
        <v>02</v>
      </c>
      <c r="B12" s="24">
        <f>'1. 소켓인수검사'!C10</f>
        <v>450</v>
      </c>
      <c r="C12" s="24">
        <f>'1. 소켓인수검사'!D10</f>
        <v>550</v>
      </c>
      <c r="D12" s="25">
        <v>1</v>
      </c>
      <c r="E12" s="26"/>
      <c r="F12" s="25">
        <v>1.6</v>
      </c>
      <c r="G12" s="25"/>
      <c r="H12" s="25">
        <f t="shared" si="0"/>
        <v>449</v>
      </c>
      <c r="I12" s="25">
        <f t="shared" si="1"/>
        <v>4</v>
      </c>
      <c r="J12" s="25"/>
      <c r="K12" s="164">
        <f t="shared" si="2"/>
        <v>520</v>
      </c>
      <c r="L12" s="164"/>
      <c r="M12" s="164"/>
      <c r="N12" s="25">
        <f t="shared" si="3"/>
        <v>4</v>
      </c>
      <c r="O12" s="25"/>
      <c r="P12" s="27"/>
    </row>
    <row r="13" spans="1:16">
      <c r="A13" s="22" t="str">
        <f>'1. 소켓인수검사'!A11</f>
        <v>03</v>
      </c>
      <c r="B13" s="24">
        <f>'1. 소켓인수검사'!C11</f>
        <v>450</v>
      </c>
      <c r="C13" s="24">
        <f>'1. 소켓인수검사'!D11</f>
        <v>550</v>
      </c>
      <c r="D13" s="25">
        <v>1</v>
      </c>
      <c r="E13" s="26"/>
      <c r="F13" s="25">
        <v>1.6</v>
      </c>
      <c r="G13" s="25"/>
      <c r="H13" s="25">
        <f t="shared" si="0"/>
        <v>449</v>
      </c>
      <c r="I13" s="25">
        <f t="shared" si="1"/>
        <v>4</v>
      </c>
      <c r="J13" s="25"/>
      <c r="K13" s="164">
        <f t="shared" si="2"/>
        <v>520</v>
      </c>
      <c r="L13" s="164"/>
      <c r="M13" s="164"/>
      <c r="N13" s="25">
        <f t="shared" si="3"/>
        <v>4</v>
      </c>
      <c r="O13" s="25"/>
      <c r="P13" s="27"/>
    </row>
    <row r="14" spans="1:16">
      <c r="A14" s="22" t="str">
        <f>'1. 소켓인수검사'!A12</f>
        <v>04</v>
      </c>
      <c r="B14" s="24">
        <f>'1. 소켓인수검사'!C12</f>
        <v>450</v>
      </c>
      <c r="C14" s="24">
        <f>'1. 소켓인수검사'!D12</f>
        <v>550</v>
      </c>
      <c r="D14" s="25">
        <v>1</v>
      </c>
      <c r="E14" s="26"/>
      <c r="F14" s="25">
        <v>1.6</v>
      </c>
      <c r="G14" s="25"/>
      <c r="H14" s="25">
        <f t="shared" si="0"/>
        <v>449</v>
      </c>
      <c r="I14" s="25">
        <f t="shared" si="1"/>
        <v>4</v>
      </c>
      <c r="J14" s="25"/>
      <c r="K14" s="164">
        <f t="shared" si="2"/>
        <v>520</v>
      </c>
      <c r="L14" s="164"/>
      <c r="M14" s="164"/>
      <c r="N14" s="25">
        <f t="shared" si="3"/>
        <v>4</v>
      </c>
      <c r="O14" s="25"/>
      <c r="P14" s="27"/>
    </row>
    <row r="15" spans="1:16" ht="8.1" customHeight="1">
      <c r="A15" s="83"/>
      <c r="B15" s="83"/>
      <c r="C15" s="83"/>
      <c r="D15" s="83"/>
      <c r="E15" s="83"/>
      <c r="F15" s="83"/>
      <c r="G15" s="83"/>
      <c r="H15" s="83"/>
      <c r="I15" s="83"/>
      <c r="J15" s="83"/>
      <c r="K15" s="83"/>
      <c r="L15" s="83"/>
      <c r="M15" s="83"/>
      <c r="N15" s="83"/>
      <c r="O15" s="83"/>
      <c r="P15" s="83"/>
    </row>
    <row r="16" spans="1:16">
      <c r="A16" s="162" t="s">
        <v>42</v>
      </c>
      <c r="B16" s="162"/>
      <c r="C16" s="163"/>
      <c r="D16" s="163"/>
      <c r="E16" s="163"/>
      <c r="F16" s="163"/>
      <c r="G16" s="163"/>
      <c r="H16" s="163"/>
      <c r="I16" s="163"/>
      <c r="J16" s="163"/>
      <c r="K16" s="163"/>
      <c r="L16" s="163"/>
      <c r="M16" s="163"/>
      <c r="N16" s="163"/>
      <c r="O16" s="163"/>
      <c r="P16" s="163"/>
    </row>
    <row r="17" spans="1:16">
      <c r="A17" s="162"/>
      <c r="B17" s="162"/>
      <c r="C17" s="163"/>
      <c r="D17" s="163"/>
      <c r="E17" s="163"/>
      <c r="F17" s="163"/>
      <c r="G17" s="163"/>
      <c r="H17" s="163"/>
      <c r="I17" s="163"/>
      <c r="J17" s="163"/>
      <c r="K17" s="163"/>
      <c r="L17" s="163"/>
      <c r="M17" s="163"/>
      <c r="N17" s="163"/>
      <c r="O17" s="163"/>
      <c r="P17" s="163"/>
    </row>
    <row r="18" spans="1:16">
      <c r="A18" s="162"/>
      <c r="B18" s="162"/>
      <c r="C18" s="163"/>
      <c r="D18" s="163"/>
      <c r="E18" s="163"/>
      <c r="F18" s="163"/>
      <c r="G18" s="163"/>
      <c r="H18" s="163"/>
      <c r="I18" s="163"/>
      <c r="J18" s="163"/>
      <c r="K18" s="163"/>
      <c r="L18" s="163"/>
      <c r="M18" s="163"/>
      <c r="N18" s="163"/>
      <c r="O18" s="163"/>
      <c r="P18" s="163"/>
    </row>
    <row r="19" spans="1:16">
      <c r="A19" s="162"/>
      <c r="B19" s="162"/>
      <c r="C19" s="163"/>
      <c r="D19" s="163"/>
      <c r="E19" s="163"/>
      <c r="F19" s="163"/>
      <c r="G19" s="163"/>
      <c r="H19" s="163"/>
      <c r="I19" s="163"/>
      <c r="J19" s="163"/>
      <c r="K19" s="163"/>
      <c r="L19" s="163"/>
      <c r="M19" s="163"/>
      <c r="N19" s="163"/>
      <c r="O19" s="163"/>
      <c r="P19" s="163"/>
    </row>
  </sheetData>
  <mergeCells count="35">
    <mergeCell ref="A1:D3"/>
    <mergeCell ref="E1:P4"/>
    <mergeCell ref="A4:B4"/>
    <mergeCell ref="C4:D4"/>
    <mergeCell ref="A5:B6"/>
    <mergeCell ref="C5:D6"/>
    <mergeCell ref="F5:G5"/>
    <mergeCell ref="H5:H6"/>
    <mergeCell ref="I5:J6"/>
    <mergeCell ref="K5:M6"/>
    <mergeCell ref="N5:P6"/>
    <mergeCell ref="F6:G6"/>
    <mergeCell ref="A7:P7"/>
    <mergeCell ref="A8:A10"/>
    <mergeCell ref="B8:C8"/>
    <mergeCell ref="D8:D10"/>
    <mergeCell ref="E8:E10"/>
    <mergeCell ref="F8:F10"/>
    <mergeCell ref="G8:O8"/>
    <mergeCell ref="P8:P10"/>
    <mergeCell ref="B9:B10"/>
    <mergeCell ref="C9:C10"/>
    <mergeCell ref="G9:G10"/>
    <mergeCell ref="H9:I9"/>
    <mergeCell ref="J9:J10"/>
    <mergeCell ref="K9:N9"/>
    <mergeCell ref="O9:O10"/>
    <mergeCell ref="K10:M10"/>
    <mergeCell ref="A15:P15"/>
    <mergeCell ref="A16:B19"/>
    <mergeCell ref="C16:P19"/>
    <mergeCell ref="K11:M11"/>
    <mergeCell ref="K12:M12"/>
    <mergeCell ref="K13:M13"/>
    <mergeCell ref="K14:M14"/>
  </mergeCells>
  <phoneticPr fontId="22" type="noConversion"/>
  <pageMargins left="0.39347222447395325" right="0.19666667282581329" top="0.47236111760139465" bottom="0.31486111879348755" header="0.31486111879348755" footer="0.31486111879348755"/>
  <pageSetup paperSize="9" scale="95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"/>
  <dimension ref="A1:S23"/>
  <sheetViews>
    <sheetView zoomScaleNormal="100" zoomScaleSheetLayoutView="100" workbookViewId="0">
      <pane ySplit="9" topLeftCell="A10" activePane="bottomLeft" state="frozen"/>
      <selection pane="bottomLeft" activeCell="A20" sqref="A20:B23"/>
    </sheetView>
  </sheetViews>
  <sheetFormatPr defaultColWidth="9" defaultRowHeight="16.5"/>
  <cols>
    <col min="1" max="1" width="3.625" customWidth="1"/>
    <col min="2" max="3" width="7.25" customWidth="1"/>
    <col min="4" max="4" width="13.875" customWidth="1"/>
    <col min="5" max="5" width="6.125" customWidth="1"/>
    <col min="6" max="6" width="6" customWidth="1"/>
    <col min="7" max="7" width="8" customWidth="1"/>
    <col min="8" max="8" width="5" customWidth="1"/>
    <col min="9" max="9" width="6.625" customWidth="1"/>
    <col min="10" max="10" width="8" customWidth="1"/>
    <col min="11" max="11" width="6" customWidth="1"/>
    <col min="12" max="12" width="6.625" customWidth="1"/>
    <col min="13" max="13" width="8" customWidth="1"/>
    <col min="14" max="14" width="6" customWidth="1"/>
    <col min="15" max="15" width="6.625" customWidth="1"/>
    <col min="16" max="16" width="8" customWidth="1"/>
    <col min="17" max="17" width="6" customWidth="1"/>
    <col min="18" max="18" width="3.625" customWidth="1"/>
    <col min="19" max="19" width="6.625" customWidth="1"/>
  </cols>
  <sheetData>
    <row r="1" spans="1:19" ht="16.5" customHeight="1">
      <c r="A1" s="83"/>
      <c r="B1" s="83"/>
      <c r="C1" s="83"/>
      <c r="D1" s="201" t="s">
        <v>40</v>
      </c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  <c r="Q1" s="202"/>
      <c r="R1" s="203"/>
      <c r="S1" s="14"/>
    </row>
    <row r="2" spans="1:19">
      <c r="A2" s="83"/>
      <c r="B2" s="83"/>
      <c r="C2" s="83"/>
      <c r="D2" s="201"/>
      <c r="E2" s="201"/>
      <c r="F2" s="201"/>
      <c r="G2" s="201"/>
      <c r="H2" s="201"/>
      <c r="I2" s="201"/>
      <c r="J2" s="201"/>
      <c r="K2" s="201"/>
      <c r="L2" s="201"/>
      <c r="M2" s="201"/>
      <c r="N2" s="201"/>
      <c r="O2" s="201"/>
      <c r="P2" s="201"/>
      <c r="Q2" s="202"/>
      <c r="R2" s="204"/>
      <c r="S2" s="205"/>
    </row>
    <row r="3" spans="1:19" ht="24" customHeight="1">
      <c r="A3" s="83"/>
      <c r="B3" s="83"/>
      <c r="C3" s="83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1"/>
      <c r="P3" s="201"/>
      <c r="Q3" s="202"/>
      <c r="R3" s="204"/>
      <c r="S3" s="205"/>
    </row>
    <row r="4" spans="1:19">
      <c r="A4" s="83" t="s">
        <v>14</v>
      </c>
      <c r="B4" s="83"/>
      <c r="C4" s="1"/>
      <c r="D4" s="201"/>
      <c r="E4" s="201"/>
      <c r="F4" s="201"/>
      <c r="G4" s="201"/>
      <c r="H4" s="201"/>
      <c r="I4" s="201"/>
      <c r="J4" s="201"/>
      <c r="K4" s="201"/>
      <c r="L4" s="201"/>
      <c r="M4" s="201"/>
      <c r="N4" s="201"/>
      <c r="O4" s="201"/>
      <c r="P4" s="201"/>
      <c r="Q4" s="202"/>
      <c r="R4" s="204"/>
      <c r="S4" s="205"/>
    </row>
    <row r="5" spans="1:19">
      <c r="A5" s="83" t="s">
        <v>23</v>
      </c>
      <c r="B5" s="83"/>
      <c r="C5" s="83"/>
      <c r="D5" s="2" t="s">
        <v>29</v>
      </c>
      <c r="E5" s="206"/>
      <c r="F5" s="207"/>
      <c r="G5" s="208" t="s">
        <v>53</v>
      </c>
      <c r="H5" s="96"/>
      <c r="I5" s="97"/>
      <c r="J5" s="97"/>
      <c r="K5" s="98"/>
      <c r="L5" s="208" t="s">
        <v>18</v>
      </c>
      <c r="M5" s="48"/>
      <c r="N5" s="48"/>
      <c r="O5" s="208" t="s">
        <v>18</v>
      </c>
      <c r="P5" s="210" t="str">
        <f>'1. 소켓인수검사'!R2</f>
        <v>26.07.16 이신이엔지_동위_GS건설_본리동 주상복합아파트</v>
      </c>
      <c r="Q5" s="211"/>
      <c r="R5" s="211"/>
      <c r="S5" s="212"/>
    </row>
    <row r="6" spans="1:19">
      <c r="A6" s="83"/>
      <c r="B6" s="83"/>
      <c r="C6" s="83"/>
      <c r="D6" s="2" t="s">
        <v>26</v>
      </c>
      <c r="E6" s="206"/>
      <c r="F6" s="207"/>
      <c r="G6" s="209"/>
      <c r="H6" s="101"/>
      <c r="I6" s="102"/>
      <c r="J6" s="102"/>
      <c r="K6" s="103"/>
      <c r="L6" s="209"/>
      <c r="M6" s="49"/>
      <c r="N6" s="49"/>
      <c r="O6" s="209"/>
      <c r="P6" s="213"/>
      <c r="Q6" s="214"/>
      <c r="R6" s="214"/>
      <c r="S6" s="215"/>
    </row>
    <row r="7" spans="1:19" ht="8.1" customHeight="1">
      <c r="A7" s="101"/>
      <c r="B7" s="102"/>
      <c r="C7" s="102"/>
      <c r="D7" s="102"/>
      <c r="E7" s="102"/>
      <c r="F7" s="102"/>
      <c r="G7" s="102"/>
      <c r="H7" s="102"/>
      <c r="I7" s="102"/>
      <c r="J7" s="102"/>
      <c r="K7" s="102"/>
      <c r="L7" s="102"/>
      <c r="M7" s="102"/>
      <c r="N7" s="102"/>
      <c r="O7" s="102"/>
      <c r="P7" s="102"/>
      <c r="Q7" s="102"/>
      <c r="R7" s="102"/>
      <c r="S7" s="103"/>
    </row>
    <row r="8" spans="1:19" ht="16.5" customHeight="1">
      <c r="A8" s="104" t="s">
        <v>50</v>
      </c>
      <c r="B8" s="82" t="s">
        <v>57</v>
      </c>
      <c r="C8" s="82" t="s">
        <v>55</v>
      </c>
      <c r="D8" s="82" t="s">
        <v>60</v>
      </c>
      <c r="E8" s="82" t="s">
        <v>45</v>
      </c>
      <c r="F8" s="82" t="s">
        <v>52</v>
      </c>
      <c r="G8" s="82" t="s">
        <v>20</v>
      </c>
      <c r="H8" s="82"/>
      <c r="I8" s="82"/>
      <c r="J8" s="82" t="s">
        <v>0</v>
      </c>
      <c r="K8" s="82"/>
      <c r="L8" s="82"/>
      <c r="M8" s="82" t="s">
        <v>0</v>
      </c>
      <c r="N8" s="82"/>
      <c r="O8" s="82"/>
      <c r="P8" s="82" t="s">
        <v>0</v>
      </c>
      <c r="Q8" s="82"/>
      <c r="R8" s="82"/>
      <c r="S8" s="199"/>
    </row>
    <row r="9" spans="1:19" ht="33" customHeight="1">
      <c r="A9" s="105"/>
      <c r="B9" s="108"/>
      <c r="C9" s="108"/>
      <c r="D9" s="108"/>
      <c r="E9" s="108"/>
      <c r="F9" s="108"/>
      <c r="G9" s="51" t="s">
        <v>30</v>
      </c>
      <c r="H9" s="51" t="s">
        <v>48</v>
      </c>
      <c r="I9" s="51" t="s">
        <v>47</v>
      </c>
      <c r="J9" s="51" t="s">
        <v>16</v>
      </c>
      <c r="K9" s="51" t="s">
        <v>48</v>
      </c>
      <c r="L9" s="51" t="s">
        <v>47</v>
      </c>
      <c r="M9" s="51" t="s">
        <v>22</v>
      </c>
      <c r="N9" s="51" t="s">
        <v>48</v>
      </c>
      <c r="O9" s="51" t="s">
        <v>47</v>
      </c>
      <c r="P9" s="51" t="s">
        <v>19</v>
      </c>
      <c r="Q9" s="51" t="s">
        <v>48</v>
      </c>
      <c r="R9" s="108" t="s">
        <v>47</v>
      </c>
      <c r="S9" s="200"/>
    </row>
    <row r="10" spans="1:19">
      <c r="A10" s="41" t="str">
        <f>'1. 소켓인수검사'!A9</f>
        <v>01</v>
      </c>
      <c r="B10" s="30">
        <f>'1. 소켓인수검사'!C9</f>
        <v>450</v>
      </c>
      <c r="C10" s="30">
        <f>'1. 소켓인수검사'!D9</f>
        <v>550</v>
      </c>
      <c r="D10" s="44" t="s">
        <v>43</v>
      </c>
      <c r="E10" s="47">
        <f>B10*C10/1000000</f>
        <v>0.2475</v>
      </c>
      <c r="F10" s="47">
        <f>(B10+C10)*2/1000</f>
        <v>2</v>
      </c>
      <c r="G10" s="24"/>
      <c r="H10" s="30"/>
      <c r="I10" s="24"/>
      <c r="J10" s="24"/>
      <c r="K10" s="30"/>
      <c r="L10" s="24"/>
      <c r="M10" s="24">
        <f>F10+0.5</f>
        <v>2.5</v>
      </c>
      <c r="N10" s="30">
        <v>4</v>
      </c>
      <c r="O10" s="24">
        <f>+N10*M10</f>
        <v>10</v>
      </c>
      <c r="P10" s="24"/>
      <c r="Q10" s="30"/>
      <c r="R10" s="197"/>
      <c r="S10" s="198"/>
    </row>
    <row r="11" spans="1:19">
      <c r="A11" s="41" t="str">
        <f>'1. 소켓인수검사'!A10</f>
        <v>02</v>
      </c>
      <c r="B11" s="30">
        <f>'1. 소켓인수검사'!C10</f>
        <v>450</v>
      </c>
      <c r="C11" s="30">
        <f>'1. 소켓인수검사'!D10</f>
        <v>550</v>
      </c>
      <c r="D11" s="44" t="s">
        <v>43</v>
      </c>
      <c r="E11" s="47">
        <f>B11*C11/1000000</f>
        <v>0.2475</v>
      </c>
      <c r="F11" s="47">
        <f>(B11+C11)*2/1000</f>
        <v>2</v>
      </c>
      <c r="G11" s="24"/>
      <c r="H11" s="30"/>
      <c r="I11" s="24"/>
      <c r="J11" s="24"/>
      <c r="K11" s="30"/>
      <c r="L11" s="24"/>
      <c r="M11" s="24">
        <f t="shared" ref="M11:M13" si="0">F11+0.5</f>
        <v>2.5</v>
      </c>
      <c r="N11" s="30">
        <v>4</v>
      </c>
      <c r="O11" s="24">
        <f t="shared" ref="O11:O13" si="1">+N11*M11</f>
        <v>10</v>
      </c>
      <c r="P11" s="24"/>
      <c r="Q11" s="30"/>
      <c r="R11" s="197"/>
      <c r="S11" s="198"/>
    </row>
    <row r="12" spans="1:19">
      <c r="A12" s="41" t="str">
        <f>'1. 소켓인수검사'!A11</f>
        <v>03</v>
      </c>
      <c r="B12" s="30">
        <f>'1. 소켓인수검사'!C11</f>
        <v>450</v>
      </c>
      <c r="C12" s="30">
        <f>'1. 소켓인수검사'!D11</f>
        <v>550</v>
      </c>
      <c r="D12" s="44" t="s">
        <v>43</v>
      </c>
      <c r="E12" s="47">
        <f t="shared" ref="E12:E13" si="2">B12*C12/1000000</f>
        <v>0.2475</v>
      </c>
      <c r="F12" s="47">
        <f t="shared" ref="F12:F13" si="3">(B12+C12)*2/1000</f>
        <v>2</v>
      </c>
      <c r="G12" s="24"/>
      <c r="H12" s="30"/>
      <c r="I12" s="24"/>
      <c r="J12" s="24"/>
      <c r="K12" s="30"/>
      <c r="L12" s="24"/>
      <c r="M12" s="24">
        <f t="shared" si="0"/>
        <v>2.5</v>
      </c>
      <c r="N12" s="30">
        <v>4</v>
      </c>
      <c r="O12" s="24">
        <f t="shared" si="1"/>
        <v>10</v>
      </c>
      <c r="P12" s="24"/>
      <c r="Q12" s="30"/>
      <c r="R12" s="197"/>
      <c r="S12" s="198"/>
    </row>
    <row r="13" spans="1:19">
      <c r="A13" s="41" t="str">
        <f>'1. 소켓인수검사'!A12</f>
        <v>04</v>
      </c>
      <c r="B13" s="30">
        <f>'1. 소켓인수검사'!C12</f>
        <v>450</v>
      </c>
      <c r="C13" s="30">
        <f>'1. 소켓인수검사'!D12</f>
        <v>550</v>
      </c>
      <c r="D13" s="44" t="s">
        <v>43</v>
      </c>
      <c r="E13" s="47">
        <f t="shared" si="2"/>
        <v>0.2475</v>
      </c>
      <c r="F13" s="47">
        <f t="shared" si="3"/>
        <v>2</v>
      </c>
      <c r="G13" s="24"/>
      <c r="H13" s="30"/>
      <c r="I13" s="24"/>
      <c r="J13" s="24"/>
      <c r="K13" s="30"/>
      <c r="L13" s="24"/>
      <c r="M13" s="24">
        <f t="shared" si="0"/>
        <v>2.5</v>
      </c>
      <c r="N13" s="30">
        <v>4</v>
      </c>
      <c r="O13" s="24">
        <f t="shared" si="1"/>
        <v>10</v>
      </c>
      <c r="P13" s="24"/>
      <c r="Q13" s="30"/>
      <c r="R13" s="197"/>
      <c r="S13" s="198"/>
    </row>
    <row r="14" spans="1:19">
      <c r="A14" s="192" t="s">
        <v>3</v>
      </c>
      <c r="B14" s="193"/>
      <c r="C14" s="193"/>
      <c r="D14" s="193"/>
      <c r="E14" s="193"/>
      <c r="F14" s="194"/>
      <c r="G14" s="28"/>
      <c r="H14" s="38"/>
      <c r="I14" s="55">
        <f>SUM(I10:I13)</f>
        <v>0</v>
      </c>
      <c r="J14" s="28"/>
      <c r="K14" s="28"/>
      <c r="L14" s="55">
        <f>SUM(L10:L13)</f>
        <v>0</v>
      </c>
      <c r="M14" s="28"/>
      <c r="N14" s="28"/>
      <c r="O14" s="55">
        <f>SUM(O10:O13)</f>
        <v>40</v>
      </c>
      <c r="P14" s="28"/>
      <c r="Q14" s="28"/>
      <c r="R14" s="195">
        <f>SUM(R10:S13)</f>
        <v>0</v>
      </c>
      <c r="S14" s="196"/>
    </row>
    <row r="15" spans="1:19" ht="17.25" customHeight="1">
      <c r="A15" s="185" t="s">
        <v>12</v>
      </c>
      <c r="B15" s="186"/>
      <c r="C15" s="186"/>
      <c r="D15" s="186"/>
      <c r="E15" s="186"/>
      <c r="F15" s="187"/>
      <c r="G15" s="188">
        <f>I14/20</f>
        <v>0</v>
      </c>
      <c r="H15" s="189"/>
      <c r="I15" s="189"/>
      <c r="J15" s="189"/>
      <c r="K15" s="189"/>
      <c r="L15" s="189"/>
      <c r="M15" s="189"/>
      <c r="N15" s="189"/>
      <c r="O15" s="189"/>
      <c r="P15" s="189"/>
      <c r="Q15" s="189"/>
      <c r="R15" s="189"/>
      <c r="S15" s="190"/>
    </row>
    <row r="16" spans="1:19">
      <c r="A16" s="185" t="s">
        <v>11</v>
      </c>
      <c r="B16" s="186"/>
      <c r="C16" s="186"/>
      <c r="D16" s="186"/>
      <c r="E16" s="186"/>
      <c r="F16" s="187"/>
      <c r="G16" s="188">
        <f>L14/3.6</f>
        <v>0</v>
      </c>
      <c r="H16" s="189"/>
      <c r="I16" s="189"/>
      <c r="J16" s="189"/>
      <c r="K16" s="189"/>
      <c r="L16" s="189"/>
      <c r="M16" s="189"/>
      <c r="N16" s="189"/>
      <c r="O16" s="189"/>
      <c r="P16" s="189"/>
      <c r="Q16" s="189"/>
      <c r="R16" s="189"/>
      <c r="S16" s="190"/>
    </row>
    <row r="17" spans="1:19">
      <c r="A17" s="191" t="s">
        <v>67</v>
      </c>
      <c r="B17" s="186"/>
      <c r="C17" s="186"/>
      <c r="D17" s="186"/>
      <c r="E17" s="186"/>
      <c r="F17" s="187"/>
      <c r="G17" s="188">
        <f>O14/7.4</f>
        <v>5.4054054054054053</v>
      </c>
      <c r="H17" s="189"/>
      <c r="I17" s="189"/>
      <c r="J17" s="189"/>
      <c r="K17" s="189"/>
      <c r="L17" s="189"/>
      <c r="M17" s="189"/>
      <c r="N17" s="189"/>
      <c r="O17" s="189"/>
      <c r="P17" s="189"/>
      <c r="Q17" s="189"/>
      <c r="R17" s="189"/>
      <c r="S17" s="190"/>
    </row>
    <row r="18" spans="1:19">
      <c r="A18" s="185" t="s">
        <v>13</v>
      </c>
      <c r="B18" s="186"/>
      <c r="C18" s="186"/>
      <c r="D18" s="186"/>
      <c r="E18" s="186"/>
      <c r="F18" s="187"/>
      <c r="G18" s="188">
        <f>R14/3.6</f>
        <v>0</v>
      </c>
      <c r="H18" s="189"/>
      <c r="I18" s="189"/>
      <c r="J18" s="189"/>
      <c r="K18" s="189"/>
      <c r="L18" s="189"/>
      <c r="M18" s="189"/>
      <c r="N18" s="189"/>
      <c r="O18" s="189"/>
      <c r="P18" s="189"/>
      <c r="Q18" s="189"/>
      <c r="R18" s="189"/>
      <c r="S18" s="190"/>
    </row>
    <row r="19" spans="1:19" ht="8.1" customHeight="1">
      <c r="A19" s="97"/>
      <c r="B19" s="97"/>
      <c r="C19" s="97"/>
      <c r="D19" s="97"/>
      <c r="E19" s="97"/>
      <c r="F19" s="97"/>
      <c r="G19" s="97"/>
      <c r="H19" s="97"/>
      <c r="I19" s="97"/>
      <c r="J19" s="97"/>
      <c r="K19" s="97"/>
      <c r="L19" s="97"/>
      <c r="M19" s="97"/>
      <c r="N19" s="97"/>
      <c r="O19" s="97"/>
      <c r="P19" s="97"/>
      <c r="Q19" s="97"/>
      <c r="R19" s="97"/>
      <c r="S19" s="97"/>
    </row>
    <row r="20" spans="1:19">
      <c r="A20" s="78" t="s">
        <v>42</v>
      </c>
      <c r="B20" s="78"/>
      <c r="C20" s="183"/>
      <c r="D20" s="184"/>
      <c r="E20" s="184"/>
      <c r="F20" s="184"/>
      <c r="G20" s="184"/>
      <c r="H20" s="184"/>
      <c r="I20" s="184"/>
      <c r="J20" s="184"/>
      <c r="K20" s="184"/>
      <c r="L20" s="184"/>
      <c r="M20" s="184"/>
      <c r="N20" s="184"/>
      <c r="O20" s="184"/>
      <c r="P20" s="184"/>
      <c r="Q20" s="184"/>
      <c r="R20" s="184"/>
      <c r="S20" s="184"/>
    </row>
    <row r="21" spans="1:19">
      <c r="A21" s="78"/>
      <c r="B21" s="78"/>
      <c r="C21" s="184"/>
      <c r="D21" s="184"/>
      <c r="E21" s="184"/>
      <c r="F21" s="184"/>
      <c r="G21" s="184"/>
      <c r="H21" s="184"/>
      <c r="I21" s="184"/>
      <c r="J21" s="184"/>
      <c r="K21" s="184"/>
      <c r="L21" s="184"/>
      <c r="M21" s="184"/>
      <c r="N21" s="184"/>
      <c r="O21" s="184"/>
      <c r="P21" s="184"/>
      <c r="Q21" s="184"/>
      <c r="R21" s="184"/>
      <c r="S21" s="184"/>
    </row>
    <row r="22" spans="1:19">
      <c r="A22" s="78"/>
      <c r="B22" s="78"/>
      <c r="C22" s="184"/>
      <c r="D22" s="184"/>
      <c r="E22" s="184"/>
      <c r="F22" s="184"/>
      <c r="G22" s="184"/>
      <c r="H22" s="184"/>
      <c r="I22" s="184"/>
      <c r="J22" s="184"/>
      <c r="K22" s="184"/>
      <c r="L22" s="184"/>
      <c r="M22" s="184"/>
      <c r="N22" s="184"/>
      <c r="O22" s="184"/>
      <c r="P22" s="184"/>
      <c r="Q22" s="184"/>
      <c r="R22" s="184"/>
      <c r="S22" s="184"/>
    </row>
    <row r="23" spans="1:19">
      <c r="A23" s="78"/>
      <c r="B23" s="78"/>
      <c r="C23" s="184"/>
      <c r="D23" s="184"/>
      <c r="E23" s="184"/>
      <c r="F23" s="184"/>
      <c r="G23" s="184"/>
      <c r="H23" s="184"/>
      <c r="I23" s="184"/>
      <c r="J23" s="184"/>
      <c r="K23" s="184"/>
      <c r="L23" s="184"/>
      <c r="M23" s="184"/>
      <c r="N23" s="184"/>
      <c r="O23" s="184"/>
      <c r="P23" s="184"/>
      <c r="Q23" s="184"/>
      <c r="R23" s="184"/>
      <c r="S23" s="184"/>
    </row>
  </sheetData>
  <mergeCells count="43">
    <mergeCell ref="L5:L6"/>
    <mergeCell ref="O5:O6"/>
    <mergeCell ref="P5:S6"/>
    <mergeCell ref="E6:F6"/>
    <mergeCell ref="A5:B6"/>
    <mergeCell ref="C5:C6"/>
    <mergeCell ref="E5:F5"/>
    <mergeCell ref="G5:G6"/>
    <mergeCell ref="H5:K6"/>
    <mergeCell ref="A1:C3"/>
    <mergeCell ref="D1:Q4"/>
    <mergeCell ref="R1:R4"/>
    <mergeCell ref="S2:S4"/>
    <mergeCell ref="A4:B4"/>
    <mergeCell ref="A7:S7"/>
    <mergeCell ref="A8:A9"/>
    <mergeCell ref="B8:B9"/>
    <mergeCell ref="C8:C9"/>
    <mergeCell ref="D8:D9"/>
    <mergeCell ref="E8:E9"/>
    <mergeCell ref="F8:F9"/>
    <mergeCell ref="G8:I8"/>
    <mergeCell ref="J8:L8"/>
    <mergeCell ref="M8:O8"/>
    <mergeCell ref="P8:S8"/>
    <mergeCell ref="R9:S9"/>
    <mergeCell ref="A14:F14"/>
    <mergeCell ref="R14:S14"/>
    <mergeCell ref="R10:S10"/>
    <mergeCell ref="R11:S11"/>
    <mergeCell ref="R12:S12"/>
    <mergeCell ref="R13:S13"/>
    <mergeCell ref="A20:B23"/>
    <mergeCell ref="C20:S23"/>
    <mergeCell ref="A15:F15"/>
    <mergeCell ref="G15:S15"/>
    <mergeCell ref="A16:F16"/>
    <mergeCell ref="G16:S16"/>
    <mergeCell ref="A17:F17"/>
    <mergeCell ref="G17:S17"/>
    <mergeCell ref="A18:F18"/>
    <mergeCell ref="G18:S18"/>
    <mergeCell ref="A19:S19"/>
  </mergeCells>
  <phoneticPr fontId="22" type="noConversion"/>
  <pageMargins left="0.23597222566604614" right="0.23597222566604614" top="0.74750000238418579" bottom="0.35430556535720825" header="0.31486111879348755" footer="0.31486111879348755"/>
  <pageSetup paperSize="9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4"/>
  <dimension ref="A1:U18"/>
  <sheetViews>
    <sheetView zoomScale="85" zoomScaleNormal="85" zoomScaleSheetLayoutView="85" workbookViewId="0">
      <pane xSplit="4" ySplit="6" topLeftCell="E7" activePane="bottomRight" state="frozen"/>
      <selection pane="topRight"/>
      <selection pane="bottomLeft"/>
      <selection pane="bottomRight" activeCell="P24" sqref="P24"/>
    </sheetView>
  </sheetViews>
  <sheetFormatPr defaultColWidth="9" defaultRowHeight="16.5"/>
  <cols>
    <col min="1" max="1" width="4.125" bestFit="1" customWidth="1"/>
    <col min="2" max="2" width="6" hidden="1" customWidth="1"/>
    <col min="3" max="4" width="7.25" customWidth="1"/>
    <col min="5" max="5" width="13.875" hidden="1" customWidth="1"/>
    <col min="6" max="6" width="6.125" customWidth="1"/>
    <col min="7" max="7" width="6" customWidth="1"/>
    <col min="8" max="8" width="5" customWidth="1"/>
    <col min="9" max="9" width="4.875" customWidth="1"/>
    <col min="10" max="10" width="5.25" customWidth="1"/>
    <col min="11" max="11" width="4.875" customWidth="1"/>
    <col min="12" max="12" width="5.125" customWidth="1"/>
    <col min="13" max="13" width="4.875" customWidth="1"/>
    <col min="14" max="14" width="5.125" customWidth="1"/>
    <col min="15" max="15" width="4.875" customWidth="1"/>
    <col min="16" max="16" width="5.25" customWidth="1"/>
    <col min="17" max="17" width="6" customWidth="1"/>
    <col min="18" max="18" width="5.25" customWidth="1"/>
    <col min="19" max="19" width="17.875" customWidth="1"/>
    <col min="20" max="20" width="19.25" customWidth="1"/>
    <col min="21" max="21" width="14.75" customWidth="1"/>
  </cols>
  <sheetData>
    <row r="1" spans="1:21" ht="16.5" customHeight="1">
      <c r="A1" s="83"/>
      <c r="B1" s="83"/>
      <c r="C1" s="83"/>
      <c r="D1" s="83"/>
      <c r="E1" s="64" t="s">
        <v>7</v>
      </c>
      <c r="F1" s="87" t="s">
        <v>64</v>
      </c>
      <c r="G1" s="87"/>
      <c r="H1" s="87"/>
      <c r="I1" s="87"/>
      <c r="J1" s="87"/>
      <c r="K1" s="90" t="str">
        <f>'1. 소켓인수검사'!R2</f>
        <v>26.07.16 이신이엔지_동위_GS건설_본리동 주상복합아파트</v>
      </c>
      <c r="L1" s="90"/>
      <c r="M1" s="90"/>
      <c r="N1" s="90"/>
      <c r="O1" s="90"/>
      <c r="P1" s="90"/>
      <c r="Q1" s="90"/>
      <c r="R1" s="90"/>
      <c r="S1" s="90"/>
      <c r="T1" s="90"/>
      <c r="U1" s="91"/>
    </row>
    <row r="2" spans="1:21" ht="16.5" customHeight="1">
      <c r="A2" s="83"/>
      <c r="B2" s="83"/>
      <c r="C2" s="83"/>
      <c r="D2" s="83"/>
      <c r="E2" s="63"/>
      <c r="F2" s="88"/>
      <c r="G2" s="88"/>
      <c r="H2" s="88"/>
      <c r="I2" s="88"/>
      <c r="J2" s="88"/>
      <c r="K2" s="92"/>
      <c r="L2" s="92"/>
      <c r="M2" s="92"/>
      <c r="N2" s="92"/>
      <c r="O2" s="92"/>
      <c r="P2" s="92"/>
      <c r="Q2" s="92"/>
      <c r="R2" s="92"/>
      <c r="S2" s="92"/>
      <c r="T2" s="92"/>
      <c r="U2" s="93"/>
    </row>
    <row r="3" spans="1:21" ht="24" customHeight="1">
      <c r="A3" s="83"/>
      <c r="B3" s="83"/>
      <c r="C3" s="83"/>
      <c r="D3" s="83"/>
      <c r="E3" s="65"/>
      <c r="F3" s="89"/>
      <c r="G3" s="89"/>
      <c r="H3" s="89"/>
      <c r="I3" s="89"/>
      <c r="J3" s="89"/>
      <c r="K3" s="94"/>
      <c r="L3" s="94"/>
      <c r="M3" s="94"/>
      <c r="N3" s="94"/>
      <c r="O3" s="94"/>
      <c r="P3" s="94"/>
      <c r="Q3" s="94"/>
      <c r="R3" s="94"/>
      <c r="S3" s="94"/>
      <c r="T3" s="94"/>
      <c r="U3" s="95"/>
    </row>
    <row r="4" spans="1:21" ht="8.1" customHeight="1">
      <c r="A4" s="101"/>
      <c r="B4" s="102"/>
      <c r="C4" s="102"/>
      <c r="D4" s="102"/>
      <c r="E4" s="102"/>
      <c r="F4" s="102"/>
      <c r="G4" s="102"/>
      <c r="H4" s="101"/>
      <c r="I4" s="102"/>
      <c r="J4" s="102"/>
      <c r="K4" s="102"/>
      <c r="L4" s="102"/>
      <c r="M4" s="102"/>
      <c r="N4" s="102"/>
      <c r="O4" s="102"/>
      <c r="P4" s="102"/>
      <c r="Q4" s="3"/>
      <c r="S4" s="3"/>
      <c r="T4" s="3"/>
      <c r="U4" s="3"/>
    </row>
    <row r="5" spans="1:21" ht="16.5" customHeight="1">
      <c r="A5" s="104" t="s">
        <v>50</v>
      </c>
      <c r="B5" s="106" t="s">
        <v>33</v>
      </c>
      <c r="C5" s="82" t="s">
        <v>57</v>
      </c>
      <c r="D5" s="82" t="s">
        <v>55</v>
      </c>
      <c r="E5" s="82" t="s">
        <v>21</v>
      </c>
      <c r="F5" s="82" t="s">
        <v>45</v>
      </c>
      <c r="G5" s="82" t="s">
        <v>52</v>
      </c>
      <c r="H5" s="82" t="s">
        <v>37</v>
      </c>
      <c r="I5" s="82" t="s">
        <v>20</v>
      </c>
      <c r="J5" s="82"/>
      <c r="K5" s="82" t="s">
        <v>0</v>
      </c>
      <c r="L5" s="82"/>
      <c r="M5" s="82" t="s">
        <v>0</v>
      </c>
      <c r="N5" s="82"/>
      <c r="O5" s="82" t="s">
        <v>0</v>
      </c>
      <c r="P5" s="82"/>
      <c r="Q5" s="79" t="s">
        <v>44</v>
      </c>
      <c r="R5" s="79"/>
      <c r="S5" s="80" t="s">
        <v>27</v>
      </c>
      <c r="T5" s="80" t="s">
        <v>49</v>
      </c>
      <c r="U5" s="83" t="s">
        <v>15</v>
      </c>
    </row>
    <row r="6" spans="1:21" ht="26.45" customHeight="1">
      <c r="A6" s="105"/>
      <c r="B6" s="107"/>
      <c r="C6" s="108"/>
      <c r="D6" s="108"/>
      <c r="E6" s="108"/>
      <c r="F6" s="108"/>
      <c r="G6" s="108"/>
      <c r="H6" s="108"/>
      <c r="I6" s="51" t="s">
        <v>8</v>
      </c>
      <c r="J6" s="29" t="s">
        <v>48</v>
      </c>
      <c r="K6" s="51" t="s">
        <v>65</v>
      </c>
      <c r="L6" s="29" t="s">
        <v>48</v>
      </c>
      <c r="M6" s="51" t="s">
        <v>32</v>
      </c>
      <c r="N6" s="29" t="s">
        <v>48</v>
      </c>
      <c r="O6" s="51" t="s">
        <v>34</v>
      </c>
      <c r="P6" s="29" t="s">
        <v>48</v>
      </c>
      <c r="Q6" s="51" t="s">
        <v>46</v>
      </c>
      <c r="R6" s="29" t="s">
        <v>58</v>
      </c>
      <c r="S6" s="81"/>
      <c r="T6" s="81"/>
      <c r="U6" s="84"/>
    </row>
    <row r="7" spans="1:21">
      <c r="A7" s="41" t="str">
        <f>'1. 소켓인수검사'!A9</f>
        <v>01</v>
      </c>
      <c r="B7" s="52" t="s">
        <v>36</v>
      </c>
      <c r="C7" s="30">
        <f>'1. 소켓인수검사'!C9</f>
        <v>450</v>
      </c>
      <c r="D7" s="30">
        <f>'1. 소켓인수검사'!D9</f>
        <v>550</v>
      </c>
      <c r="E7" s="31"/>
      <c r="F7" s="32">
        <f t="shared" ref="F7:F10" si="0">C7*D7/1000000</f>
        <v>0.2475</v>
      </c>
      <c r="G7" s="32">
        <f t="shared" ref="G7:G10" si="1">(C7+D7)*2/1000</f>
        <v>2</v>
      </c>
      <c r="H7" s="37">
        <v>3</v>
      </c>
      <c r="I7" s="51"/>
      <c r="J7" s="29"/>
      <c r="K7" s="24">
        <f t="shared" ref="K7:K10" si="2">G7+0.5</f>
        <v>2.5</v>
      </c>
      <c r="L7" s="29">
        <v>8</v>
      </c>
      <c r="M7" s="24"/>
      <c r="N7" s="29"/>
      <c r="O7" s="24"/>
      <c r="P7" s="29"/>
      <c r="Q7" s="33">
        <f t="shared" ref="Q7:Q10" si="3">(((C7+60)+250+(D7+60))*2/1000)*2</f>
        <v>5.48</v>
      </c>
      <c r="R7" s="77">
        <f>Q7*2</f>
        <v>10.96</v>
      </c>
      <c r="S7" s="34" t="s">
        <v>39</v>
      </c>
      <c r="T7" s="35" t="s">
        <v>6</v>
      </c>
      <c r="U7" s="36" t="str">
        <f>'1. 소켓인수검사'!G9</f>
        <v>103동 옥상층</v>
      </c>
    </row>
    <row r="8" spans="1:21">
      <c r="A8" s="41" t="str">
        <f>'1. 소켓인수검사'!A10</f>
        <v>02</v>
      </c>
      <c r="B8" s="52" t="s">
        <v>36</v>
      </c>
      <c r="C8" s="30">
        <f>'1. 소켓인수검사'!C10</f>
        <v>450</v>
      </c>
      <c r="D8" s="30">
        <f>'1. 소켓인수검사'!D10</f>
        <v>550</v>
      </c>
      <c r="E8" s="31"/>
      <c r="F8" s="32">
        <f t="shared" si="0"/>
        <v>0.2475</v>
      </c>
      <c r="G8" s="32">
        <f t="shared" si="1"/>
        <v>2</v>
      </c>
      <c r="H8" s="37">
        <v>3</v>
      </c>
      <c r="I8" s="51"/>
      <c r="J8" s="29"/>
      <c r="K8" s="24">
        <f t="shared" si="2"/>
        <v>2.5</v>
      </c>
      <c r="L8" s="29">
        <v>8</v>
      </c>
      <c r="M8" s="24"/>
      <c r="N8" s="29"/>
      <c r="O8" s="24"/>
      <c r="P8" s="29"/>
      <c r="Q8" s="33">
        <f t="shared" si="3"/>
        <v>5.48</v>
      </c>
      <c r="R8" s="77">
        <f>Q8*2</f>
        <v>10.96</v>
      </c>
      <c r="S8" s="34" t="s">
        <v>39</v>
      </c>
      <c r="T8" s="35" t="s">
        <v>6</v>
      </c>
      <c r="U8" s="36" t="str">
        <f>'1. 소켓인수검사'!G10</f>
        <v>103동 옥상층</v>
      </c>
    </row>
    <row r="9" spans="1:21">
      <c r="A9" s="41" t="str">
        <f>'1. 소켓인수검사'!A11</f>
        <v>03</v>
      </c>
      <c r="B9" s="52" t="s">
        <v>36</v>
      </c>
      <c r="C9" s="30">
        <f>'1. 소켓인수검사'!C11</f>
        <v>450</v>
      </c>
      <c r="D9" s="30">
        <f>'1. 소켓인수검사'!D11</f>
        <v>550</v>
      </c>
      <c r="E9" s="31"/>
      <c r="F9" s="32">
        <f t="shared" si="0"/>
        <v>0.2475</v>
      </c>
      <c r="G9" s="32">
        <f t="shared" si="1"/>
        <v>2</v>
      </c>
      <c r="H9" s="37">
        <v>3</v>
      </c>
      <c r="I9" s="51"/>
      <c r="J9" s="29"/>
      <c r="K9" s="24">
        <f t="shared" si="2"/>
        <v>2.5</v>
      </c>
      <c r="L9" s="29">
        <v>8</v>
      </c>
      <c r="M9" s="24"/>
      <c r="N9" s="29"/>
      <c r="O9" s="24"/>
      <c r="P9" s="29"/>
      <c r="Q9" s="33">
        <f t="shared" si="3"/>
        <v>5.48</v>
      </c>
      <c r="R9" s="77">
        <f t="shared" ref="R9:R10" si="4">Q9*2</f>
        <v>10.96</v>
      </c>
      <c r="S9" s="34" t="s">
        <v>39</v>
      </c>
      <c r="T9" s="35" t="s">
        <v>6</v>
      </c>
      <c r="U9" s="36" t="str">
        <f>'1. 소켓인수검사'!G11</f>
        <v>103동 옥상층</v>
      </c>
    </row>
    <row r="10" spans="1:21">
      <c r="A10" s="41" t="str">
        <f>'1. 소켓인수검사'!A12</f>
        <v>04</v>
      </c>
      <c r="B10" s="52" t="s">
        <v>36</v>
      </c>
      <c r="C10" s="30">
        <f>'1. 소켓인수검사'!C12</f>
        <v>450</v>
      </c>
      <c r="D10" s="30">
        <f>'1. 소켓인수검사'!D12</f>
        <v>550</v>
      </c>
      <c r="E10" s="31"/>
      <c r="F10" s="32">
        <f t="shared" si="0"/>
        <v>0.2475</v>
      </c>
      <c r="G10" s="32">
        <f t="shared" si="1"/>
        <v>2</v>
      </c>
      <c r="H10" s="37">
        <v>3</v>
      </c>
      <c r="I10" s="51"/>
      <c r="J10" s="29"/>
      <c r="K10" s="24">
        <f t="shared" si="2"/>
        <v>2.5</v>
      </c>
      <c r="L10" s="29">
        <v>8</v>
      </c>
      <c r="M10" s="24"/>
      <c r="N10" s="29"/>
      <c r="O10" s="24"/>
      <c r="P10" s="29"/>
      <c r="Q10" s="33">
        <f t="shared" si="3"/>
        <v>5.48</v>
      </c>
      <c r="R10" s="77">
        <f t="shared" si="4"/>
        <v>10.96</v>
      </c>
      <c r="S10" s="34" t="s">
        <v>39</v>
      </c>
      <c r="T10" s="35" t="s">
        <v>6</v>
      </c>
      <c r="U10" s="36" t="str">
        <f>'1. 소켓인수검사'!G12</f>
        <v>103동 옥상층</v>
      </c>
    </row>
    <row r="11" spans="1:21">
      <c r="A11" s="85" t="s">
        <v>5</v>
      </c>
      <c r="B11" s="86"/>
      <c r="C11" s="86"/>
      <c r="D11" s="50"/>
      <c r="E11" s="40"/>
      <c r="F11" s="40"/>
      <c r="G11" s="40"/>
      <c r="H11" s="39">
        <f>SUM(H7:H10)</f>
        <v>12</v>
      </c>
      <c r="I11" s="56"/>
      <c r="J11" s="39">
        <f>SUM(J7:J10)</f>
        <v>0</v>
      </c>
      <c r="K11" s="56"/>
      <c r="L11" s="39">
        <f>SUM(L7:L10)</f>
        <v>32</v>
      </c>
      <c r="M11" s="56"/>
      <c r="N11" s="39">
        <f>SUM(N7:N10)</f>
        <v>0</v>
      </c>
      <c r="O11" s="56"/>
      <c r="P11" s="39">
        <f>SUM(P7:P10)</f>
        <v>0</v>
      </c>
      <c r="Q11" s="56">
        <f>SUM(Q7:Q10)</f>
        <v>21.92</v>
      </c>
      <c r="R11" s="39">
        <f>SUM(R7:R10)</f>
        <v>43.84</v>
      </c>
      <c r="S11" s="53"/>
      <c r="T11" s="53"/>
      <c r="U11" s="54"/>
    </row>
    <row r="12" spans="1:21" ht="8.1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4"/>
    </row>
    <row r="13" spans="1:21">
      <c r="A13" s="78" t="s">
        <v>42</v>
      </c>
      <c r="B13" s="78"/>
      <c r="C13" s="78"/>
      <c r="D13" s="96"/>
      <c r="E13" s="97"/>
      <c r="F13" s="97"/>
      <c r="G13" s="97"/>
      <c r="H13" s="97"/>
      <c r="I13" s="97"/>
      <c r="J13" s="97"/>
      <c r="K13" s="97"/>
      <c r="L13" s="97"/>
      <c r="M13" s="97"/>
      <c r="N13" s="97"/>
      <c r="O13" s="97"/>
      <c r="P13" s="97"/>
      <c r="Q13" s="97"/>
      <c r="R13" s="97"/>
      <c r="S13" s="97"/>
      <c r="T13" s="97"/>
      <c r="U13" s="98"/>
    </row>
    <row r="14" spans="1:21">
      <c r="A14" s="78"/>
      <c r="B14" s="78"/>
      <c r="C14" s="78"/>
      <c r="D14" s="99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00"/>
    </row>
    <row r="15" spans="1:21">
      <c r="A15" s="78"/>
      <c r="B15" s="78"/>
      <c r="C15" s="78"/>
      <c r="D15" s="99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00"/>
    </row>
    <row r="16" spans="1:21">
      <c r="A16" s="78"/>
      <c r="B16" s="78"/>
      <c r="C16" s="78"/>
      <c r="D16" s="99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00"/>
    </row>
    <row r="17" spans="1:21">
      <c r="A17" s="78"/>
      <c r="B17" s="78"/>
      <c r="C17" s="78"/>
      <c r="D17" s="99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00"/>
    </row>
    <row r="18" spans="1:21">
      <c r="A18" s="78"/>
      <c r="B18" s="78"/>
      <c r="C18" s="78"/>
      <c r="D18" s="101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3"/>
    </row>
  </sheetData>
  <mergeCells count="24">
    <mergeCell ref="U5:U6"/>
    <mergeCell ref="A11:C11"/>
    <mergeCell ref="F1:J3"/>
    <mergeCell ref="K1:U3"/>
    <mergeCell ref="D13:U18"/>
    <mergeCell ref="A1:D3"/>
    <mergeCell ref="A4:P4"/>
    <mergeCell ref="A5:A6"/>
    <mergeCell ref="B5:B6"/>
    <mergeCell ref="C5:C6"/>
    <mergeCell ref="D5:D6"/>
    <mergeCell ref="E5:E6"/>
    <mergeCell ref="F5:F6"/>
    <mergeCell ref="G5:G6"/>
    <mergeCell ref="H5:H6"/>
    <mergeCell ref="I5:J5"/>
    <mergeCell ref="A12:P12"/>
    <mergeCell ref="A13:C18"/>
    <mergeCell ref="Q5:R5"/>
    <mergeCell ref="S5:S6"/>
    <mergeCell ref="T5:T6"/>
    <mergeCell ref="K5:L5"/>
    <mergeCell ref="O5:P5"/>
    <mergeCell ref="M5:N5"/>
  </mergeCells>
  <phoneticPr fontId="22" type="noConversion"/>
  <pageMargins left="0.23597222566604614" right="0.23597222566604614" top="0.74750000238418579" bottom="0.74750000238418579" header="0.31486111879348755" footer="0.31486111879348755"/>
  <pageSetup paperSize="9" scale="9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2"/>
  <dimension ref="A1"/>
  <sheetViews>
    <sheetView zoomScaleNormal="100" zoomScaleSheetLayoutView="100" workbookViewId="0">
      <selection activeCell="E27" sqref="E27"/>
    </sheetView>
  </sheetViews>
  <sheetFormatPr defaultColWidth="9" defaultRowHeight="13.5"/>
  <cols>
    <col min="1" max="16384" width="9" style="57"/>
  </cols>
  <sheetData/>
  <phoneticPr fontId="22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1817</TotalTime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7</vt:i4>
      </vt:variant>
      <vt:variant>
        <vt:lpstr>이름 지정된 범위</vt:lpstr>
      </vt:variant>
      <vt:variant>
        <vt:i4>7</vt:i4>
      </vt:variant>
    </vt:vector>
  </HeadingPairs>
  <TitlesOfParts>
    <vt:vector size="14" baseType="lpstr">
      <vt:lpstr>1. 소켓인수검사</vt:lpstr>
      <vt:lpstr>2.재단(VM)작업</vt:lpstr>
      <vt:lpstr>차열재 재단(VM,VT)</vt:lpstr>
      <vt:lpstr>3. 1절곡(VM)</vt:lpstr>
      <vt:lpstr>5. 차열재 출하용(VM,VT,VAG)</vt:lpstr>
      <vt:lpstr>6. 라벨소요량</vt:lpstr>
      <vt:lpstr>발주서정리</vt:lpstr>
      <vt:lpstr>'1. 소켓인수검사'!Print_Area</vt:lpstr>
      <vt:lpstr>'1. 소켓인수검사'!Print_Titles</vt:lpstr>
      <vt:lpstr>'2.재단(VM)작업'!Print_Titles</vt:lpstr>
      <vt:lpstr>'3. 1절곡(VM)'!Print_Titles</vt:lpstr>
      <vt:lpstr>'5. 차열재 출하용(VM,VT,VAG)'!Print_Titles</vt:lpstr>
      <vt:lpstr>'6. 라벨소요량'!Print_Titles</vt:lpstr>
      <vt:lpstr>'차열재 재단(VM,VT)'!Print_Titles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declan48@outlook.kr</dc:creator>
  <cp:lastModifiedBy>k5366</cp:lastModifiedBy>
  <cp:revision>53</cp:revision>
  <cp:lastPrinted>2026-07-19T23:54:08Z</cp:lastPrinted>
  <dcterms:created xsi:type="dcterms:W3CDTF">2025-03-13T00:09:10Z</dcterms:created>
  <dcterms:modified xsi:type="dcterms:W3CDTF">2026-07-20T00:00:32Z</dcterms:modified>
  <cp:version>1200.0100.01</cp:version>
</cp:coreProperties>
</file>