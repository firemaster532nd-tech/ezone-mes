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6FC4E50D-CAF7-44FF-BE9B-BC260E541610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소켓인수검사'!$A$1:$P$9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0" l="1"/>
  <c r="H1" i="12"/>
  <c r="D8" i="12"/>
  <c r="C8" i="12"/>
  <c r="A8" i="12"/>
  <c r="J8" i="12"/>
  <c r="H8" i="12"/>
  <c r="M8" i="12"/>
  <c r="G1" i="2"/>
  <c r="K1" i="10"/>
  <c r="P5" i="9"/>
  <c r="N5" i="5"/>
  <c r="D1" i="1"/>
  <c r="P8" i="10"/>
  <c r="H8" i="10"/>
  <c r="U7" i="10"/>
  <c r="D7" i="10"/>
  <c r="C7" i="10"/>
  <c r="A7" i="10"/>
  <c r="C10" i="9"/>
  <c r="B10" i="9"/>
  <c r="A10" i="9"/>
  <c r="N11" i="5"/>
  <c r="I11" i="5"/>
  <c r="C11" i="5"/>
  <c r="K11" i="5" s="1"/>
  <c r="B11" i="5"/>
  <c r="H11" i="5" s="1"/>
  <c r="A11" i="5"/>
  <c r="D8" i="2"/>
  <c r="I8" i="2" s="1"/>
  <c r="C8" i="2"/>
  <c r="G8" i="2" s="1"/>
  <c r="A8" i="2"/>
  <c r="K8" i="12" l="1"/>
  <c r="G8" i="12"/>
  <c r="I8" i="12"/>
  <c r="Q7" i="10"/>
  <c r="G7" i="10"/>
  <c r="I7" i="10" s="1"/>
  <c r="N8" i="10"/>
  <c r="F10" i="9"/>
  <c r="G10" i="9" s="1"/>
  <c r="I10" i="9" s="1"/>
  <c r="E10" i="9"/>
  <c r="J8" i="10"/>
  <c r="L8" i="10"/>
  <c r="F7" i="10"/>
  <c r="O11" i="9" l="1"/>
  <c r="G14" i="9" s="1"/>
  <c r="R8" i="10"/>
  <c r="Q8" i="10"/>
  <c r="I11" i="9" l="1"/>
  <c r="G12" i="9" s="1"/>
  <c r="R11" i="9"/>
  <c r="L11" i="9"/>
  <c r="G13" i="9" s="1"/>
  <c r="G15" i="9"/>
</calcChain>
</file>

<file path=xl/sharedStrings.xml><?xml version="1.0" encoding="utf-8"?>
<sst xmlns="http://schemas.openxmlformats.org/spreadsheetml/2006/main" count="155" uniqueCount="74">
  <si>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</si>
  <si>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</si>
  <si>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</si>
  <si>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</si>
  <si>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</si>
  <si>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</si>
  <si>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</si>
  <si>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</si>
  <si>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</si>
  <si>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</si>
  <si>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</si>
  <si>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</si>
  <si>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</si>
  <si>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</si>
  <si>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</si>
  <si>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</si>
  <si>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</si>
  <si>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</si>
  <si>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</si>
  <si>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</si>
  <si>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</si>
  <si>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</si>
  <si>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</si>
  <si>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</si>
  <si>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</si>
  <si>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</si>
  <si>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</si>
  <si>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</si>
  <si>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</si>
  <si>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</si>
  <si>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</si>
  <si>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</si>
  <si>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</si>
  <si>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</si>
  <si>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</si>
  <si>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</si>
  <si>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</si>
  <si>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</si>
  <si>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방화
소켓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</si>
  <si>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</si>
  <si>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</si>
  <si>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</si>
  <si>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</si>
  <si>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</si>
  <si>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</si>
  <si>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</si>
  <si>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</si>
  <si>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</si>
  <si>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</si>
  <si>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</si>
  <si>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</si>
  <si>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</si>
  <si>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</si>
  <si>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</si>
  <si>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</si>
  <si>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</si>
  <si>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</si>
  <si>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</si>
  <si>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</si>
  <si>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</si>
  <si>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</si>
  <si>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1" type="noConversion"/>
  </si>
  <si>
    <t>재단작업지시서(VM)</t>
    <phoneticPr fontId="21" type="noConversion"/>
  </si>
  <si>
    <t>절 곡 생 산 일 지(VM)</t>
    <phoneticPr fontId="21" type="noConversion"/>
  </si>
  <si>
    <t>라벨소요량</t>
    <phoneticPr fontId="21" type="noConversion"/>
  </si>
  <si>
    <t>25*
200</t>
    <phoneticPr fontId="21" type="noConversion"/>
  </si>
  <si>
    <t>구조체작업지시서</t>
    <phoneticPr fontId="21" type="noConversion"/>
  </si>
  <si>
    <t>차열재 25T*200*7.4M</t>
    <phoneticPr fontId="21" type="noConversion"/>
  </si>
  <si>
    <t>01</t>
    <phoneticPr fontId="21" type="noConversion"/>
  </si>
  <si>
    <t>재단작업지시서차열재</t>
    <phoneticPr fontId="21" type="noConversion"/>
  </si>
  <si>
    <t>108동 2코어</t>
    <phoneticPr fontId="21" type="noConversion"/>
  </si>
  <si>
    <r>
      <t xml:space="preserve">26.07.15 </t>
    </r>
    <r>
      <rPr>
        <sz val="10"/>
        <color rgb="FF000000"/>
        <rFont val="맑은 고딕"/>
        <family val="3"/>
        <charset val="129"/>
      </rPr>
      <t>바로에코</t>
    </r>
    <r>
      <rPr>
        <sz val="10"/>
        <color rgb="FF000000"/>
        <rFont val="Arial"/>
        <family val="2"/>
      </rPr>
      <t>_DL</t>
    </r>
    <r>
      <rPr>
        <sz val="10"/>
        <color rgb="FF000000"/>
        <rFont val="맑은 고딕"/>
        <family val="3"/>
        <charset val="129"/>
      </rPr>
      <t>이엔씨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무경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이편한세상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내포퍼스트드림</t>
    </r>
    <phoneticPr fontId="21" type="noConversion"/>
  </si>
  <si>
    <t>BP097</t>
    <phoneticPr fontId="21" type="noConversion"/>
  </si>
  <si>
    <t>VT-049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</si>
</sst>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28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4" xfId="0" applyFont="1" applyBorder="1" applyAlignment="1">
      <alignment horizontal="left" vertical="center"/>
    </xf>
    <xf numFmtId="0" fontId="20" fillId="0" borderId="0">
      <alignment vertical="center"/>
    </xf>
    <xf numFmtId="176" fontId="20" fillId="0" borderId="0">
      <alignment vertical="center"/>
    </xf>
    <xf numFmtId="0" fontId="1" fillId="0" borderId="0">
      <alignment vertical="center"/>
    </xf>
  </cellStyleXfs>
  <cellXfs count="2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2">
      <alignment vertical="center"/>
    </xf>
    <xf numFmtId="0" fontId="20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0" fillId="0" borderId="6" xfId="3" applyBorder="1" applyAlignment="1">
      <alignment horizontal="center" vertical="center"/>
    </xf>
    <xf numFmtId="176" fontId="20" fillId="0" borderId="7" xfId="3" applyBorder="1" applyAlignment="1">
      <alignment horizontal="center" vertical="center"/>
    </xf>
    <xf numFmtId="176" fontId="20" fillId="0" borderId="8" xfId="3" applyBorder="1" applyAlignment="1">
      <alignment horizontal="center" vertical="center"/>
    </xf>
    <xf numFmtId="176" fontId="20" fillId="0" borderId="10" xfId="3" applyBorder="1" applyAlignment="1">
      <alignment horizontal="center" vertical="center"/>
    </xf>
    <xf numFmtId="176" fontId="20" fillId="0" borderId="12" xfId="3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0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1" fillId="0" borderId="17" xfId="4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5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2" fillId="2" borderId="14" xfId="4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3" fillId="4" borderId="16" xfId="4" applyFont="1" applyFill="1" applyBorder="1" applyAlignment="1">
      <alignment horizontal="center" vertical="center" wrapText="1"/>
    </xf>
    <xf numFmtId="0" fontId="5" fillId="0" borderId="13" xfId="2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5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9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24" fillId="4" borderId="13" xfId="4" applyFont="1" applyFill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178" fontId="14" fillId="0" borderId="13" xfId="2" applyNumberFormat="1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177" fontId="6" fillId="5" borderId="16" xfId="0" applyNumberFormat="1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33" xfId="4" applyFont="1" applyBorder="1" applyAlignment="1">
      <alignment horizontal="center" vertical="center" wrapText="1"/>
    </xf>
    <xf numFmtId="0" fontId="22" fillId="0" borderId="35" xfId="4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2" fillId="0" borderId="37" xfId="4" applyFont="1" applyBorder="1" applyAlignment="1">
      <alignment horizontal="center" vertical="center" wrapText="1"/>
    </xf>
    <xf numFmtId="0" fontId="22" fillId="0" borderId="32" xfId="4" applyFont="1" applyBorder="1" applyAlignment="1">
      <alignment horizontal="center" vertical="center" wrapText="1"/>
    </xf>
    <xf numFmtId="0" fontId="23" fillId="0" borderId="33" xfId="4" applyFont="1" applyBorder="1" applyAlignment="1">
      <alignment horizontal="center" vertical="center" shrinkToFit="1"/>
    </xf>
    <xf numFmtId="0" fontId="23" fillId="0" borderId="34" xfId="4" applyFont="1" applyBorder="1" applyAlignment="1">
      <alignment horizontal="center" vertical="center" shrinkToFit="1"/>
    </xf>
    <xf numFmtId="0" fontId="23" fillId="0" borderId="0" xfId="4" applyFont="1" applyAlignment="1">
      <alignment horizontal="center" vertical="center" shrinkToFit="1"/>
    </xf>
    <xf numFmtId="0" fontId="23" fillId="0" borderId="36" xfId="4" applyFont="1" applyBorder="1" applyAlignment="1">
      <alignment horizontal="center" vertical="center" shrinkToFit="1"/>
    </xf>
    <xf numFmtId="0" fontId="23" fillId="0" borderId="32" xfId="4" applyFont="1" applyBorder="1" applyAlignment="1">
      <alignment horizontal="center" vertical="center" shrinkToFit="1"/>
    </xf>
    <xf numFmtId="0" fontId="23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7" borderId="15" xfId="4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4" xfId="4" applyFont="1" applyFill="1" applyBorder="1" applyAlignment="1">
      <alignment horizontal="center" vertical="center" wrapText="1"/>
    </xf>
    <xf numFmtId="0" fontId="2" fillId="7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0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28" xfId="0" applyFont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0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8" fontId="20" fillId="0" borderId="16" xfId="2" applyNumberFormat="1" applyBorder="1" applyAlignment="1">
      <alignment horizontal="center" vertical="center" wrapText="1"/>
    </xf>
    <xf numFmtId="0" fontId="20" fillId="0" borderId="19" xfId="2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shrinkToFit="1"/>
    </xf>
    <xf numFmtId="0" fontId="18" fillId="0" borderId="11" xfId="2" applyFont="1" applyBorder="1" applyAlignment="1">
      <alignment horizontal="center" vertical="center" shrinkToFit="1"/>
    </xf>
    <xf numFmtId="0" fontId="18" fillId="0" borderId="3" xfId="2" applyFont="1" applyBorder="1" applyAlignment="1">
      <alignment horizontal="center" vertical="center" shrinkToFit="1"/>
    </xf>
    <xf numFmtId="0" fontId="18" fillId="0" borderId="28" xfId="2" applyFont="1" applyBorder="1" applyAlignment="1">
      <alignment horizontal="center" vertical="center" shrinkToFit="1"/>
    </xf>
    <xf numFmtId="0" fontId="18" fillId="0" borderId="0" xfId="2" applyFont="1" applyAlignment="1">
      <alignment horizontal="center" vertical="center" shrinkToFit="1"/>
    </xf>
    <xf numFmtId="0" fontId="18" fillId="0" borderId="29" xfId="2" applyFont="1" applyBorder="1" applyAlignment="1">
      <alignment horizontal="center" vertical="center" shrinkToFit="1"/>
    </xf>
    <xf numFmtId="0" fontId="18" fillId="0" borderId="23" xfId="2" applyFont="1" applyBorder="1" applyAlignment="1">
      <alignment horizontal="center" vertical="center" shrinkToFit="1"/>
    </xf>
    <xf numFmtId="0" fontId="18" fillId="0" borderId="2" xfId="2" applyFont="1" applyBorder="1" applyAlignment="1">
      <alignment horizontal="center" vertical="center" shrinkToFit="1"/>
    </xf>
    <xf numFmtId="0" fontId="18" fillId="0" borderId="27" xfId="2" applyFont="1" applyBorder="1" applyAlignment="1">
      <alignment horizontal="center" vertical="center" shrinkToFit="1"/>
    </xf>
    <xf numFmtId="0" fontId="20" fillId="0" borderId="4" xfId="2" applyBorder="1" applyAlignment="1">
      <alignment horizontal="center" vertical="center"/>
    </xf>
    <xf numFmtId="0" fontId="20" fillId="0" borderId="26" xfId="2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 shrinkToFit="1"/>
    </xf>
    <xf numFmtId="0" fontId="25" fillId="0" borderId="11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5" fillId="0" borderId="27" xfId="0" applyFont="1" applyBorder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10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9"/>
  <sheetViews>
    <sheetView view="pageBreakPreview" zoomScale="120" zoomScaleNormal="120" zoomScaleSheetLayoutView="120" workbookViewId="0">
      <pane ySplit="8" topLeftCell="A9" activePane="bottomLeft" state="frozen"/>
      <selection pane="bottomLeft" activeCell="W11" sqref="W11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0" t="s">
        <v>66</v>
      </c>
      <c r="B1" s="81"/>
      <c r="C1" s="81"/>
      <c r="D1" s="86" t="str">
        <f>R2</f>
        <v>26.07.15 바로에코_DL이엔씨_무경_이편한세상 내포퍼스트드림</v>
      </c>
      <c r="E1" s="86"/>
      <c r="F1" s="86"/>
      <c r="G1" s="87"/>
      <c r="R1" s="8" t="s">
        <v>61</v>
      </c>
    </row>
    <row r="2" spans="1:18" ht="16.5" customHeight="1">
      <c r="A2" s="82"/>
      <c r="B2" s="83"/>
      <c r="C2" s="83"/>
      <c r="D2" s="88"/>
      <c r="E2" s="88"/>
      <c r="F2" s="88"/>
      <c r="G2" s="89"/>
      <c r="R2" s="59" t="s">
        <v>71</v>
      </c>
    </row>
    <row r="3" spans="1:18" ht="16.5" customHeight="1">
      <c r="A3" s="82"/>
      <c r="B3" s="83"/>
      <c r="C3" s="83"/>
      <c r="D3" s="88"/>
      <c r="E3" s="88"/>
      <c r="F3" s="88"/>
      <c r="G3" s="89"/>
    </row>
    <row r="4" spans="1:18" ht="17.25" customHeight="1" thickBot="1">
      <c r="A4" s="84"/>
      <c r="B4" s="85"/>
      <c r="C4" s="85"/>
      <c r="D4" s="90"/>
      <c r="E4" s="90"/>
      <c r="F4" s="90"/>
      <c r="G4" s="91"/>
    </row>
    <row r="5" spans="1:18" ht="6.75" customHeight="1" thickTop="1">
      <c r="A5" s="60"/>
      <c r="B5" s="60"/>
      <c r="C5" s="60"/>
      <c r="D5" s="60"/>
      <c r="E5" s="60"/>
      <c r="F5" s="60"/>
      <c r="G5" s="60"/>
    </row>
    <row r="6" spans="1:18" s="10" customFormat="1" ht="18" customHeight="1" thickBot="1">
      <c r="A6" s="92" t="s">
        <v>1</v>
      </c>
      <c r="B6" s="94" t="s">
        <v>60</v>
      </c>
      <c r="C6" s="94" t="s">
        <v>4</v>
      </c>
      <c r="D6" s="94"/>
      <c r="E6" s="94" t="s">
        <v>40</v>
      </c>
      <c r="F6" s="94" t="s">
        <v>37</v>
      </c>
      <c r="G6" s="95" t="s">
        <v>17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93"/>
      <c r="B7" s="79"/>
      <c r="C7" s="79" t="s">
        <v>57</v>
      </c>
      <c r="D7" s="79" t="s">
        <v>55</v>
      </c>
      <c r="E7" s="79"/>
      <c r="F7" s="79"/>
      <c r="G7" s="96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93"/>
      <c r="B8" s="79"/>
      <c r="C8" s="79"/>
      <c r="D8" s="79"/>
      <c r="E8" s="79"/>
      <c r="F8" s="79"/>
      <c r="G8" s="9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>
      <c r="A9" s="68" t="s">
        <v>68</v>
      </c>
      <c r="B9" s="45" t="s">
        <v>73</v>
      </c>
      <c r="C9" s="24">
        <v>200</v>
      </c>
      <c r="D9" s="24">
        <v>200</v>
      </c>
      <c r="E9" s="61"/>
      <c r="F9" s="61"/>
      <c r="G9" s="62" t="s">
        <v>70</v>
      </c>
      <c r="H9" s="13"/>
      <c r="I9" s="21"/>
      <c r="J9" s="20"/>
      <c r="K9" s="17"/>
      <c r="L9" s="18"/>
      <c r="M9" s="19"/>
      <c r="N9" s="20"/>
      <c r="O9" s="8"/>
      <c r="Q9" s="10" t="s">
        <v>72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M20" sqref="M20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0"/>
      <c r="B1" s="80"/>
      <c r="C1" s="80"/>
      <c r="D1" s="80"/>
      <c r="E1" s="97" t="s">
        <v>62</v>
      </c>
      <c r="F1" s="98"/>
      <c r="G1" s="98"/>
      <c r="H1" s="98" t="str">
        <f>'1. 소켓인수검사'!R2</f>
        <v>26.07.15 바로에코_DL이엔씨_무경_이편한세상 내포퍼스트드림</v>
      </c>
      <c r="I1" s="98"/>
      <c r="J1" s="98"/>
      <c r="K1" s="98"/>
      <c r="L1" s="98"/>
      <c r="M1" s="98"/>
      <c r="N1" s="98"/>
      <c r="O1" s="103"/>
    </row>
    <row r="2" spans="1:15" ht="16.5" customHeight="1">
      <c r="A2" s="80"/>
      <c r="B2" s="80"/>
      <c r="C2" s="80"/>
      <c r="D2" s="80"/>
      <c r="E2" s="99"/>
      <c r="F2" s="100"/>
      <c r="G2" s="100"/>
      <c r="H2" s="100"/>
      <c r="I2" s="100"/>
      <c r="J2" s="100"/>
      <c r="K2" s="100"/>
      <c r="L2" s="100"/>
      <c r="M2" s="100"/>
      <c r="N2" s="100"/>
      <c r="O2" s="104"/>
    </row>
    <row r="3" spans="1:15" ht="16.5" customHeight="1">
      <c r="A3" s="80"/>
      <c r="B3" s="80"/>
      <c r="C3" s="80"/>
      <c r="D3" s="80"/>
      <c r="E3" s="101"/>
      <c r="F3" s="102"/>
      <c r="G3" s="102"/>
      <c r="H3" s="102"/>
      <c r="I3" s="102"/>
      <c r="J3" s="102"/>
      <c r="K3" s="102"/>
      <c r="L3" s="102"/>
      <c r="M3" s="102"/>
      <c r="N3" s="102"/>
      <c r="O3" s="105"/>
    </row>
    <row r="4" spans="1:15" ht="8.1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ht="26.45" customHeight="1">
      <c r="A5" s="107" t="s">
        <v>50</v>
      </c>
      <c r="B5" s="108" t="s">
        <v>60</v>
      </c>
      <c r="C5" s="111" t="s">
        <v>4</v>
      </c>
      <c r="D5" s="111"/>
      <c r="E5" s="111" t="s">
        <v>23</v>
      </c>
      <c r="F5" s="112" t="s">
        <v>48</v>
      </c>
      <c r="G5" s="115" t="s">
        <v>19</v>
      </c>
      <c r="H5" s="116"/>
      <c r="I5" s="116"/>
      <c r="J5" s="117"/>
      <c r="K5" s="115" t="s">
        <v>33</v>
      </c>
      <c r="L5" s="116"/>
      <c r="M5" s="116"/>
      <c r="N5" s="116"/>
      <c r="O5" s="112" t="s">
        <v>2</v>
      </c>
    </row>
    <row r="6" spans="1:15" ht="16.5" customHeight="1">
      <c r="A6" s="107"/>
      <c r="B6" s="109"/>
      <c r="C6" s="111" t="s">
        <v>57</v>
      </c>
      <c r="D6" s="111" t="s">
        <v>55</v>
      </c>
      <c r="E6" s="111"/>
      <c r="F6" s="113"/>
      <c r="G6" s="111" t="s">
        <v>57</v>
      </c>
      <c r="H6" s="111"/>
      <c r="I6" s="111" t="s">
        <v>55</v>
      </c>
      <c r="J6" s="111"/>
      <c r="K6" s="111" t="s">
        <v>59</v>
      </c>
      <c r="L6" s="111"/>
      <c r="M6" s="115" t="s">
        <v>56</v>
      </c>
      <c r="N6" s="116"/>
      <c r="O6" s="113"/>
    </row>
    <row r="7" spans="1:15">
      <c r="A7" s="107"/>
      <c r="B7" s="110"/>
      <c r="C7" s="111"/>
      <c r="D7" s="111"/>
      <c r="E7" s="111"/>
      <c r="F7" s="114"/>
      <c r="G7" s="69" t="s">
        <v>4</v>
      </c>
      <c r="H7" s="69" t="s">
        <v>30</v>
      </c>
      <c r="I7" s="72" t="s">
        <v>4</v>
      </c>
      <c r="J7" s="71" t="s">
        <v>30</v>
      </c>
      <c r="K7" s="69" t="s">
        <v>4</v>
      </c>
      <c r="L7" s="69" t="s">
        <v>48</v>
      </c>
      <c r="M7" s="69" t="s">
        <v>4</v>
      </c>
      <c r="N7" s="70" t="s">
        <v>48</v>
      </c>
      <c r="O7" s="114"/>
    </row>
    <row r="8" spans="1:15">
      <c r="A8" s="73" t="str">
        <f>'1. 소켓인수검사'!A9</f>
        <v>01</v>
      </c>
      <c r="B8" s="74" t="s">
        <v>15</v>
      </c>
      <c r="C8" s="46">
        <f>'1. 소켓인수검사'!C9</f>
        <v>200</v>
      </c>
      <c r="D8" s="46">
        <f>'1. 소켓인수검사'!D9</f>
        <v>200</v>
      </c>
      <c r="E8" s="42"/>
      <c r="F8" s="46">
        <v>1</v>
      </c>
      <c r="G8" s="75">
        <f>C8-5</f>
        <v>195</v>
      </c>
      <c r="H8" s="46">
        <f t="shared" ref="H8" si="0">F8*4</f>
        <v>4</v>
      </c>
      <c r="I8" s="76">
        <f t="shared" ref="I8" si="1">D8-30</f>
        <v>170</v>
      </c>
      <c r="J8" s="46">
        <f t="shared" ref="J8" si="2">F8*4</f>
        <v>4</v>
      </c>
      <c r="K8" s="77">
        <f t="shared" ref="K8" si="3">C8+60</f>
        <v>260</v>
      </c>
      <c r="L8" s="46">
        <v>2</v>
      </c>
      <c r="M8" s="77">
        <f>D8</f>
        <v>200</v>
      </c>
      <c r="N8" s="46">
        <v>2</v>
      </c>
      <c r="O8" s="43"/>
    </row>
    <row r="9" spans="1:15" ht="8.1" customHeight="1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</row>
    <row r="10" spans="1:15">
      <c r="A10" s="80" t="s">
        <v>42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</row>
    <row r="11" spans="1:15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</row>
    <row r="12" spans="1:15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</row>
  </sheetData>
  <mergeCells count="21"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1"/>
  <sheetViews>
    <sheetView zoomScaleNormal="100" zoomScaleSheetLayoutView="100" workbookViewId="0">
      <selection activeCell="H18" sqref="H18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0"/>
      <c r="B1" s="80"/>
      <c r="C1" s="80"/>
      <c r="D1" s="80"/>
      <c r="E1" s="80" t="s">
        <v>69</v>
      </c>
      <c r="F1" s="121"/>
      <c r="G1" s="126" t="str">
        <f>'1. 소켓인수검사'!R2</f>
        <v>26.07.15 바로에코_DL이엔씨_무경_이편한세상 내포퍼스트드림</v>
      </c>
      <c r="H1" s="126"/>
      <c r="I1" s="126"/>
      <c r="J1" s="126"/>
      <c r="K1" s="127"/>
    </row>
    <row r="2" spans="1:11" ht="16.5" customHeight="1">
      <c r="A2" s="80"/>
      <c r="B2" s="80"/>
      <c r="C2" s="80"/>
      <c r="D2" s="80"/>
      <c r="E2" s="122"/>
      <c r="F2" s="123"/>
      <c r="G2" s="128"/>
      <c r="H2" s="128"/>
      <c r="I2" s="128"/>
      <c r="J2" s="128"/>
      <c r="K2" s="129"/>
    </row>
    <row r="3" spans="1:11" ht="16.5" customHeight="1">
      <c r="A3" s="80"/>
      <c r="B3" s="80"/>
      <c r="C3" s="80"/>
      <c r="D3" s="80"/>
      <c r="E3" s="124"/>
      <c r="F3" s="125"/>
      <c r="G3" s="130"/>
      <c r="H3" s="130"/>
      <c r="I3" s="130"/>
      <c r="J3" s="130"/>
      <c r="K3" s="131"/>
    </row>
    <row r="4" spans="1:11" ht="8.1" customHeight="1">
      <c r="A4" s="132"/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26.45" customHeight="1">
      <c r="A5" s="133" t="s">
        <v>50</v>
      </c>
      <c r="B5" s="134" t="s">
        <v>60</v>
      </c>
      <c r="C5" s="118" t="s">
        <v>4</v>
      </c>
      <c r="D5" s="118"/>
      <c r="E5" s="118" t="s">
        <v>23</v>
      </c>
      <c r="F5" s="137" t="s">
        <v>48</v>
      </c>
      <c r="G5" s="119" t="s">
        <v>33</v>
      </c>
      <c r="H5" s="120"/>
      <c r="I5" s="120"/>
      <c r="J5" s="120"/>
      <c r="K5" s="137" t="s">
        <v>2</v>
      </c>
    </row>
    <row r="6" spans="1:11" ht="16.5" customHeight="1">
      <c r="A6" s="133"/>
      <c r="B6" s="135"/>
      <c r="C6" s="118" t="s">
        <v>57</v>
      </c>
      <c r="D6" s="118" t="s">
        <v>55</v>
      </c>
      <c r="E6" s="118"/>
      <c r="F6" s="138"/>
      <c r="G6" s="118" t="s">
        <v>59</v>
      </c>
      <c r="H6" s="118"/>
      <c r="I6" s="119" t="s">
        <v>56</v>
      </c>
      <c r="J6" s="120"/>
      <c r="K6" s="138"/>
    </row>
    <row r="7" spans="1:11">
      <c r="A7" s="133"/>
      <c r="B7" s="136"/>
      <c r="C7" s="118"/>
      <c r="D7" s="118"/>
      <c r="E7" s="118"/>
      <c r="F7" s="139"/>
      <c r="G7" s="15" t="s">
        <v>4</v>
      </c>
      <c r="H7" s="15" t="s">
        <v>48</v>
      </c>
      <c r="I7" s="15" t="s">
        <v>4</v>
      </c>
      <c r="J7" s="16" t="s">
        <v>48</v>
      </c>
      <c r="K7" s="139"/>
    </row>
    <row r="8" spans="1:11">
      <c r="A8" s="63" t="str">
        <f>'1. 소켓인수검사'!A9</f>
        <v>01</v>
      </c>
      <c r="B8" s="45" t="s">
        <v>15</v>
      </c>
      <c r="C8" s="41">
        <f>'1. 소켓인수검사'!C9</f>
        <v>200</v>
      </c>
      <c r="D8" s="41">
        <f>'1. 소켓인수검사'!D9</f>
        <v>200</v>
      </c>
      <c r="E8" s="42"/>
      <c r="F8" s="41">
        <v>1</v>
      </c>
      <c r="G8" s="64">
        <f t="shared" ref="G8" si="0">C8+60</f>
        <v>260</v>
      </c>
      <c r="H8" s="41">
        <v>2</v>
      </c>
      <c r="I8" s="64">
        <f>D8</f>
        <v>200</v>
      </c>
      <c r="J8" s="41">
        <v>2</v>
      </c>
      <c r="K8" s="43"/>
    </row>
    <row r="9" spans="1:11">
      <c r="A9" s="80" t="s">
        <v>42</v>
      </c>
      <c r="B9" s="80"/>
      <c r="C9" s="80"/>
      <c r="D9" s="80"/>
      <c r="E9" s="80"/>
      <c r="F9" s="80"/>
      <c r="G9" s="80"/>
      <c r="H9" s="80"/>
      <c r="I9" s="80"/>
      <c r="J9" s="80"/>
      <c r="K9" s="80"/>
    </row>
    <row r="10" spans="1:11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</row>
    <row r="11" spans="1: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</row>
  </sheetData>
  <mergeCells count="17">
    <mergeCell ref="D6:D7"/>
    <mergeCell ref="G6:H6"/>
    <mergeCell ref="I6:J6"/>
    <mergeCell ref="E1:F3"/>
    <mergeCell ref="G1:K3"/>
    <mergeCell ref="A9:C11"/>
    <mergeCell ref="D9:K1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I24" sqref="I24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0"/>
      <c r="B1" s="80"/>
      <c r="C1" s="80"/>
      <c r="D1" s="80"/>
      <c r="E1" s="149" t="s">
        <v>63</v>
      </c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1"/>
    </row>
    <row r="2" spans="1:16" ht="16.5" customHeight="1">
      <c r="A2" s="80"/>
      <c r="B2" s="80"/>
      <c r="C2" s="80"/>
      <c r="D2" s="80"/>
      <c r="E2" s="152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4"/>
    </row>
    <row r="3" spans="1:16" ht="16.5" customHeight="1">
      <c r="A3" s="80"/>
      <c r="B3" s="80"/>
      <c r="C3" s="80"/>
      <c r="D3" s="80"/>
      <c r="E3" s="152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4"/>
    </row>
    <row r="4" spans="1:16" ht="16.5" customHeight="1">
      <c r="A4" s="80" t="s">
        <v>16</v>
      </c>
      <c r="B4" s="80"/>
      <c r="C4" s="158"/>
      <c r="D4" s="159"/>
      <c r="E4" s="155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7"/>
    </row>
    <row r="5" spans="1:16">
      <c r="A5" s="80" t="s">
        <v>25</v>
      </c>
      <c r="B5" s="80"/>
      <c r="C5" s="80"/>
      <c r="D5" s="80"/>
      <c r="E5" s="6" t="s">
        <v>31</v>
      </c>
      <c r="F5" s="80"/>
      <c r="G5" s="80"/>
      <c r="H5" s="80" t="s">
        <v>53</v>
      </c>
      <c r="I5" s="80"/>
      <c r="J5" s="80"/>
      <c r="K5" s="80" t="s">
        <v>49</v>
      </c>
      <c r="L5" s="80"/>
      <c r="M5" s="80"/>
      <c r="N5" s="160" t="str">
        <f>'1. 소켓인수검사'!R2</f>
        <v>26.07.15 바로에코_DL이엔씨_무경_이편한세상 내포퍼스트드림</v>
      </c>
      <c r="O5" s="160"/>
      <c r="P5" s="160"/>
    </row>
    <row r="6" spans="1:16">
      <c r="A6" s="80"/>
      <c r="B6" s="80"/>
      <c r="C6" s="80"/>
      <c r="D6" s="80"/>
      <c r="E6" s="6" t="s">
        <v>28</v>
      </c>
      <c r="F6" s="80"/>
      <c r="G6" s="80"/>
      <c r="H6" s="80"/>
      <c r="I6" s="80"/>
      <c r="J6" s="80"/>
      <c r="K6" s="80"/>
      <c r="L6" s="80"/>
      <c r="M6" s="80"/>
      <c r="N6" s="160"/>
      <c r="O6" s="160"/>
      <c r="P6" s="160"/>
    </row>
    <row r="7" spans="1:16" ht="8.1" customHeight="1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</row>
    <row r="8" spans="1:16">
      <c r="A8" s="143" t="s">
        <v>50</v>
      </c>
      <c r="B8" s="145" t="s">
        <v>4</v>
      </c>
      <c r="C8" s="145"/>
      <c r="D8" s="145" t="s">
        <v>27</v>
      </c>
      <c r="E8" s="145" t="s">
        <v>23</v>
      </c>
      <c r="F8" s="145" t="s">
        <v>54</v>
      </c>
      <c r="G8" s="145" t="s">
        <v>26</v>
      </c>
      <c r="H8" s="145"/>
      <c r="I8" s="145"/>
      <c r="J8" s="145"/>
      <c r="K8" s="145"/>
      <c r="L8" s="145"/>
      <c r="M8" s="145"/>
      <c r="N8" s="145"/>
      <c r="O8" s="145"/>
      <c r="P8" s="147" t="s">
        <v>2</v>
      </c>
    </row>
    <row r="9" spans="1:16" ht="16.5" customHeight="1">
      <c r="A9" s="144"/>
      <c r="B9" s="146" t="s">
        <v>57</v>
      </c>
      <c r="C9" s="146" t="s">
        <v>55</v>
      </c>
      <c r="D9" s="146"/>
      <c r="E9" s="146"/>
      <c r="F9" s="146"/>
      <c r="G9" s="146" t="s">
        <v>51</v>
      </c>
      <c r="H9" s="146" t="s">
        <v>57</v>
      </c>
      <c r="I9" s="146"/>
      <c r="J9" s="146" t="s">
        <v>10</v>
      </c>
      <c r="K9" s="146" t="s">
        <v>55</v>
      </c>
      <c r="L9" s="146"/>
      <c r="M9" s="146"/>
      <c r="N9" s="146"/>
      <c r="O9" s="146" t="s">
        <v>10</v>
      </c>
      <c r="P9" s="148"/>
    </row>
    <row r="10" spans="1:16">
      <c r="A10" s="144"/>
      <c r="B10" s="146"/>
      <c r="C10" s="146"/>
      <c r="D10" s="146"/>
      <c r="E10" s="146"/>
      <c r="F10" s="146"/>
      <c r="G10" s="146"/>
      <c r="H10" s="23" t="s">
        <v>4</v>
      </c>
      <c r="I10" s="23" t="s">
        <v>30</v>
      </c>
      <c r="J10" s="146"/>
      <c r="K10" s="146" t="s">
        <v>4</v>
      </c>
      <c r="L10" s="146"/>
      <c r="M10" s="146"/>
      <c r="N10" s="23" t="s">
        <v>30</v>
      </c>
      <c r="O10" s="146"/>
      <c r="P10" s="148"/>
    </row>
    <row r="11" spans="1:16">
      <c r="A11" s="22" t="str">
        <f>'1. 소켓인수검사'!A9</f>
        <v>01</v>
      </c>
      <c r="B11" s="24">
        <f>'1. 소켓인수검사'!C9</f>
        <v>200</v>
      </c>
      <c r="C11" s="24">
        <f>'1. 소켓인수검사'!D9</f>
        <v>200</v>
      </c>
      <c r="D11" s="25">
        <v>1</v>
      </c>
      <c r="E11" s="26"/>
      <c r="F11" s="25">
        <v>1.6</v>
      </c>
      <c r="G11" s="25"/>
      <c r="H11" s="25">
        <f>B11-1</f>
        <v>199</v>
      </c>
      <c r="I11" s="25">
        <f t="shared" ref="I11" si="0">D11*4</f>
        <v>4</v>
      </c>
      <c r="J11" s="25"/>
      <c r="K11" s="142">
        <f t="shared" ref="K11" si="1">C11-30</f>
        <v>170</v>
      </c>
      <c r="L11" s="142"/>
      <c r="M11" s="142"/>
      <c r="N11" s="25">
        <f t="shared" ref="N11" si="2">D11*4</f>
        <v>4</v>
      </c>
      <c r="O11" s="25"/>
      <c r="P11" s="27"/>
    </row>
    <row r="12" spans="1:16" ht="8.1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</row>
    <row r="13" spans="1:16">
      <c r="A13" s="140" t="s">
        <v>43</v>
      </c>
      <c r="B13" s="140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</row>
    <row r="14" spans="1:16">
      <c r="A14" s="140"/>
      <c r="B14" s="140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</row>
    <row r="15" spans="1:16">
      <c r="A15" s="140"/>
      <c r="B15" s="140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</row>
    <row r="16" spans="1:16">
      <c r="A16" s="140"/>
      <c r="B16" s="14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</row>
  </sheetData>
  <mergeCells count="32"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12:P12"/>
    <mergeCell ref="A13:B16"/>
    <mergeCell ref="C13:P16"/>
    <mergeCell ref="K11:M11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0"/>
  <sheetViews>
    <sheetView zoomScaleNormal="100" zoomScaleSheetLayoutView="100" workbookViewId="0">
      <pane ySplit="9" topLeftCell="A10" activePane="bottomLeft" state="frozen"/>
      <selection pane="bottomLeft" activeCell="P28" sqref="P28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0"/>
      <c r="B1" s="80"/>
      <c r="C1" s="80"/>
      <c r="D1" s="185" t="s">
        <v>41</v>
      </c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6"/>
      <c r="R1" s="187"/>
      <c r="S1" s="14"/>
    </row>
    <row r="2" spans="1:19">
      <c r="A2" s="80"/>
      <c r="B2" s="80"/>
      <c r="C2" s="80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6"/>
      <c r="R2" s="188"/>
      <c r="S2" s="189"/>
    </row>
    <row r="3" spans="1:19" ht="24" customHeight="1">
      <c r="A3" s="80"/>
      <c r="B3" s="80"/>
      <c r="C3" s="80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6"/>
      <c r="R3" s="188"/>
      <c r="S3" s="189"/>
    </row>
    <row r="4" spans="1:19">
      <c r="A4" s="80" t="s">
        <v>16</v>
      </c>
      <c r="B4" s="80"/>
      <c r="C4" s="1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6"/>
      <c r="R4" s="188"/>
      <c r="S4" s="189"/>
    </row>
    <row r="5" spans="1:19">
      <c r="A5" s="80" t="s">
        <v>25</v>
      </c>
      <c r="B5" s="80"/>
      <c r="C5" s="80"/>
      <c r="D5" s="2" t="s">
        <v>31</v>
      </c>
      <c r="E5" s="190"/>
      <c r="F5" s="191"/>
      <c r="G5" s="192" t="s">
        <v>53</v>
      </c>
      <c r="H5" s="194"/>
      <c r="I5" s="170"/>
      <c r="J5" s="170"/>
      <c r="K5" s="195"/>
      <c r="L5" s="192" t="s">
        <v>20</v>
      </c>
      <c r="M5" s="49"/>
      <c r="N5" s="49"/>
      <c r="O5" s="192" t="s">
        <v>20</v>
      </c>
      <c r="P5" s="196" t="str">
        <f>'1. 소켓인수검사'!R2</f>
        <v>26.07.15 바로에코_DL이엔씨_무경_이편한세상 내포퍼스트드림</v>
      </c>
      <c r="Q5" s="197"/>
      <c r="R5" s="197"/>
      <c r="S5" s="198"/>
    </row>
    <row r="6" spans="1:19">
      <c r="A6" s="80"/>
      <c r="B6" s="80"/>
      <c r="C6" s="80"/>
      <c r="D6" s="2" t="s">
        <v>28</v>
      </c>
      <c r="E6" s="190"/>
      <c r="F6" s="191"/>
      <c r="G6" s="193"/>
      <c r="H6" s="178"/>
      <c r="I6" s="132"/>
      <c r="J6" s="132"/>
      <c r="K6" s="179"/>
      <c r="L6" s="193"/>
      <c r="M6" s="50"/>
      <c r="N6" s="50"/>
      <c r="O6" s="193"/>
      <c r="P6" s="199"/>
      <c r="Q6" s="200"/>
      <c r="R6" s="200"/>
      <c r="S6" s="201"/>
    </row>
    <row r="7" spans="1:19" ht="8.1" customHeight="1">
      <c r="A7" s="178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79"/>
    </row>
    <row r="8" spans="1:19" ht="16.5" customHeight="1">
      <c r="A8" s="92" t="s">
        <v>50</v>
      </c>
      <c r="B8" s="181" t="s">
        <v>57</v>
      </c>
      <c r="C8" s="181" t="s">
        <v>55</v>
      </c>
      <c r="D8" s="181" t="s">
        <v>60</v>
      </c>
      <c r="E8" s="181" t="s">
        <v>45</v>
      </c>
      <c r="F8" s="181" t="s">
        <v>52</v>
      </c>
      <c r="G8" s="181" t="s">
        <v>22</v>
      </c>
      <c r="H8" s="181"/>
      <c r="I8" s="181"/>
      <c r="J8" s="181" t="s">
        <v>0</v>
      </c>
      <c r="K8" s="181"/>
      <c r="L8" s="181"/>
      <c r="M8" s="181" t="s">
        <v>0</v>
      </c>
      <c r="N8" s="181"/>
      <c r="O8" s="181"/>
      <c r="P8" s="181" t="s">
        <v>0</v>
      </c>
      <c r="Q8" s="181"/>
      <c r="R8" s="181"/>
      <c r="S8" s="183"/>
    </row>
    <row r="9" spans="1:19" ht="33" customHeight="1">
      <c r="A9" s="180"/>
      <c r="B9" s="182"/>
      <c r="C9" s="182"/>
      <c r="D9" s="182"/>
      <c r="E9" s="182"/>
      <c r="F9" s="182"/>
      <c r="G9" s="52" t="s">
        <v>32</v>
      </c>
      <c r="H9" s="52" t="s">
        <v>48</v>
      </c>
      <c r="I9" s="52" t="s">
        <v>47</v>
      </c>
      <c r="J9" s="52" t="s">
        <v>18</v>
      </c>
      <c r="K9" s="52" t="s">
        <v>48</v>
      </c>
      <c r="L9" s="52" t="s">
        <v>47</v>
      </c>
      <c r="M9" s="52" t="s">
        <v>24</v>
      </c>
      <c r="N9" s="52" t="s">
        <v>48</v>
      </c>
      <c r="O9" s="52" t="s">
        <v>47</v>
      </c>
      <c r="P9" s="52" t="s">
        <v>21</v>
      </c>
      <c r="Q9" s="52" t="s">
        <v>48</v>
      </c>
      <c r="R9" s="182" t="s">
        <v>47</v>
      </c>
      <c r="S9" s="184"/>
    </row>
    <row r="10" spans="1:19">
      <c r="A10" s="44" t="str">
        <f>'1. 소켓인수검사'!A9</f>
        <v>01</v>
      </c>
      <c r="B10" s="30">
        <f>'1. 소켓인수검사'!C9</f>
        <v>200</v>
      </c>
      <c r="C10" s="30">
        <f>'1. 소켓인수검사'!D9</f>
        <v>200</v>
      </c>
      <c r="D10" s="45" t="s">
        <v>15</v>
      </c>
      <c r="E10" s="47">
        <f>B10*C10/1000000</f>
        <v>0.04</v>
      </c>
      <c r="F10" s="47">
        <f>(B10+C10)*2/1000</f>
        <v>0.8</v>
      </c>
      <c r="G10" s="24">
        <f>(F10+0.4)</f>
        <v>1.2000000000000002</v>
      </c>
      <c r="H10" s="24">
        <v>4</v>
      </c>
      <c r="I10" s="48">
        <f>G10*H10</f>
        <v>4.8000000000000007</v>
      </c>
      <c r="J10" s="24"/>
      <c r="K10" s="24"/>
      <c r="L10" s="24"/>
      <c r="M10" s="24"/>
      <c r="N10" s="24"/>
      <c r="O10" s="24"/>
      <c r="P10" s="24"/>
      <c r="Q10" s="24"/>
      <c r="R10" s="176"/>
      <c r="S10" s="177"/>
    </row>
    <row r="11" spans="1:19">
      <c r="A11" s="171" t="s">
        <v>3</v>
      </c>
      <c r="B11" s="172"/>
      <c r="C11" s="172"/>
      <c r="D11" s="172"/>
      <c r="E11" s="172"/>
      <c r="F11" s="173"/>
      <c r="G11" s="28"/>
      <c r="H11" s="38"/>
      <c r="I11" s="56">
        <f>SUM(I10:I10)</f>
        <v>4.8000000000000007</v>
      </c>
      <c r="J11" s="28"/>
      <c r="K11" s="28"/>
      <c r="L11" s="56">
        <f>SUM(L10:L10)</f>
        <v>0</v>
      </c>
      <c r="M11" s="28"/>
      <c r="N11" s="28"/>
      <c r="O11" s="56">
        <f>SUM(O10:O10)</f>
        <v>0</v>
      </c>
      <c r="P11" s="28"/>
      <c r="Q11" s="28"/>
      <c r="R11" s="174">
        <f>SUM(R10:S10)</f>
        <v>0</v>
      </c>
      <c r="S11" s="175"/>
    </row>
    <row r="12" spans="1:19" ht="17.25" customHeight="1">
      <c r="A12" s="163" t="s">
        <v>13</v>
      </c>
      <c r="B12" s="164"/>
      <c r="C12" s="164"/>
      <c r="D12" s="164"/>
      <c r="E12" s="164"/>
      <c r="F12" s="165"/>
      <c r="G12" s="166">
        <f>I11/20</f>
        <v>0.24000000000000005</v>
      </c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8"/>
    </row>
    <row r="13" spans="1:19">
      <c r="A13" s="163" t="s">
        <v>12</v>
      </c>
      <c r="B13" s="164"/>
      <c r="C13" s="164"/>
      <c r="D13" s="164"/>
      <c r="E13" s="164"/>
      <c r="F13" s="165"/>
      <c r="G13" s="166">
        <f>L11/3.6</f>
        <v>0</v>
      </c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8"/>
    </row>
    <row r="14" spans="1:19">
      <c r="A14" s="169" t="s">
        <v>67</v>
      </c>
      <c r="B14" s="164"/>
      <c r="C14" s="164"/>
      <c r="D14" s="164"/>
      <c r="E14" s="164"/>
      <c r="F14" s="165"/>
      <c r="G14" s="166">
        <f>O11/7.4</f>
        <v>0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8"/>
    </row>
    <row r="15" spans="1:19">
      <c r="A15" s="163" t="s">
        <v>14</v>
      </c>
      <c r="B15" s="164"/>
      <c r="C15" s="164"/>
      <c r="D15" s="164"/>
      <c r="E15" s="164"/>
      <c r="F15" s="165"/>
      <c r="G15" s="166">
        <f>R11/3.6</f>
        <v>0</v>
      </c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8"/>
    </row>
    <row r="16" spans="1:19" ht="8.1" customHeight="1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</row>
    <row r="17" spans="1:19">
      <c r="A17" s="80" t="s">
        <v>43</v>
      </c>
      <c r="B17" s="80"/>
      <c r="C17" s="161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</row>
    <row r="18" spans="1:19">
      <c r="A18" s="80"/>
      <c r="B18" s="80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</row>
    <row r="19" spans="1:19">
      <c r="A19" s="80"/>
      <c r="B19" s="80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</row>
    <row r="20" spans="1:19">
      <c r="A20" s="80"/>
      <c r="B20" s="80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</row>
  </sheetData>
  <mergeCells count="40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A11:F11"/>
    <mergeCell ref="R11:S11"/>
    <mergeCell ref="R10:S10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7:B20"/>
    <mergeCell ref="C17:S20"/>
    <mergeCell ref="A12:F12"/>
    <mergeCell ref="G12:S12"/>
    <mergeCell ref="A13:F13"/>
    <mergeCell ref="G13:S13"/>
    <mergeCell ref="A14:F14"/>
    <mergeCell ref="G14:S14"/>
    <mergeCell ref="A15:F15"/>
    <mergeCell ref="G15:S15"/>
    <mergeCell ref="A16:S16"/>
  </mergeCells>
  <phoneticPr fontId="21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5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S20" sqref="S20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0"/>
      <c r="B1" s="80"/>
      <c r="C1" s="80"/>
      <c r="D1" s="80"/>
      <c r="E1" s="66" t="s">
        <v>6</v>
      </c>
      <c r="F1" s="209" t="s">
        <v>64</v>
      </c>
      <c r="G1" s="209"/>
      <c r="H1" s="209"/>
      <c r="I1" s="209"/>
      <c r="J1" s="209"/>
      <c r="K1" s="126" t="str">
        <f>'1. 소켓인수검사'!R2</f>
        <v>26.07.15 바로에코_DL이엔씨_무경_이편한세상 내포퍼스트드림</v>
      </c>
      <c r="L1" s="126"/>
      <c r="M1" s="126"/>
      <c r="N1" s="126"/>
      <c r="O1" s="126"/>
      <c r="P1" s="126"/>
      <c r="Q1" s="126"/>
      <c r="R1" s="126"/>
      <c r="S1" s="126"/>
      <c r="T1" s="126"/>
      <c r="U1" s="127"/>
    </row>
    <row r="2" spans="1:21" ht="16.5" customHeight="1">
      <c r="A2" s="80"/>
      <c r="B2" s="80"/>
      <c r="C2" s="80"/>
      <c r="D2" s="80"/>
      <c r="E2" s="65"/>
      <c r="F2" s="210"/>
      <c r="G2" s="210"/>
      <c r="H2" s="210"/>
      <c r="I2" s="210"/>
      <c r="J2" s="210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9"/>
    </row>
    <row r="3" spans="1:21" ht="24" customHeight="1">
      <c r="A3" s="80"/>
      <c r="B3" s="80"/>
      <c r="C3" s="80"/>
      <c r="D3" s="80"/>
      <c r="E3" s="67"/>
      <c r="F3" s="211"/>
      <c r="G3" s="211"/>
      <c r="H3" s="211"/>
      <c r="I3" s="211"/>
      <c r="J3" s="211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1"/>
    </row>
    <row r="4" spans="1:21" ht="8.1" customHeight="1">
      <c r="A4" s="178"/>
      <c r="B4" s="132"/>
      <c r="C4" s="132"/>
      <c r="D4" s="132"/>
      <c r="E4" s="132"/>
      <c r="F4" s="132"/>
      <c r="G4" s="132"/>
      <c r="H4" s="178"/>
      <c r="I4" s="132"/>
      <c r="J4" s="132"/>
      <c r="K4" s="132"/>
      <c r="L4" s="132"/>
      <c r="M4" s="132"/>
      <c r="N4" s="132"/>
      <c r="O4" s="132"/>
      <c r="P4" s="132"/>
      <c r="Q4" s="3"/>
      <c r="S4" s="3"/>
      <c r="T4" s="3"/>
      <c r="U4" s="3"/>
    </row>
    <row r="5" spans="1:21" ht="16.5" customHeight="1">
      <c r="A5" s="92" t="s">
        <v>50</v>
      </c>
      <c r="B5" s="214" t="s">
        <v>35</v>
      </c>
      <c r="C5" s="181" t="s">
        <v>57</v>
      </c>
      <c r="D5" s="181" t="s">
        <v>55</v>
      </c>
      <c r="E5" s="181" t="s">
        <v>23</v>
      </c>
      <c r="F5" s="181" t="s">
        <v>45</v>
      </c>
      <c r="G5" s="181" t="s">
        <v>52</v>
      </c>
      <c r="H5" s="181" t="s">
        <v>38</v>
      </c>
      <c r="I5" s="181" t="s">
        <v>22</v>
      </c>
      <c r="J5" s="181"/>
      <c r="K5" s="181" t="s">
        <v>0</v>
      </c>
      <c r="L5" s="181"/>
      <c r="M5" s="181" t="s">
        <v>0</v>
      </c>
      <c r="N5" s="181"/>
      <c r="O5" s="181" t="s">
        <v>0</v>
      </c>
      <c r="P5" s="181"/>
      <c r="Q5" s="203" t="s">
        <v>44</v>
      </c>
      <c r="R5" s="203"/>
      <c r="S5" s="204" t="s">
        <v>29</v>
      </c>
      <c r="T5" s="204" t="s">
        <v>49</v>
      </c>
      <c r="U5" s="80" t="s">
        <v>17</v>
      </c>
    </row>
    <row r="6" spans="1:21" ht="26.45" customHeight="1">
      <c r="A6" s="180"/>
      <c r="B6" s="215"/>
      <c r="C6" s="182"/>
      <c r="D6" s="182"/>
      <c r="E6" s="182"/>
      <c r="F6" s="182"/>
      <c r="G6" s="182"/>
      <c r="H6" s="182"/>
      <c r="I6" s="52" t="s">
        <v>7</v>
      </c>
      <c r="J6" s="29" t="s">
        <v>48</v>
      </c>
      <c r="K6" s="52" t="s">
        <v>65</v>
      </c>
      <c r="L6" s="29" t="s">
        <v>48</v>
      </c>
      <c r="M6" s="52" t="s">
        <v>34</v>
      </c>
      <c r="N6" s="29" t="s">
        <v>48</v>
      </c>
      <c r="O6" s="52" t="s">
        <v>36</v>
      </c>
      <c r="P6" s="29" t="s">
        <v>48</v>
      </c>
      <c r="Q6" s="52" t="s">
        <v>46</v>
      </c>
      <c r="R6" s="29" t="s">
        <v>58</v>
      </c>
      <c r="S6" s="205"/>
      <c r="T6" s="205"/>
      <c r="U6" s="206"/>
    </row>
    <row r="7" spans="1:21">
      <c r="A7" s="44" t="str">
        <f>'1. 소켓인수검사'!A9</f>
        <v>01</v>
      </c>
      <c r="B7" s="53" t="s">
        <v>39</v>
      </c>
      <c r="C7" s="30">
        <f>'1. 소켓인수검사'!C9</f>
        <v>200</v>
      </c>
      <c r="D7" s="30">
        <f>'1. 소켓인수검사'!D9</f>
        <v>200</v>
      </c>
      <c r="E7" s="31"/>
      <c r="F7" s="32">
        <f>C7*D7/1000000</f>
        <v>0.04</v>
      </c>
      <c r="G7" s="32">
        <f>(C7+D7)*2/1000</f>
        <v>0.8</v>
      </c>
      <c r="H7" s="37">
        <v>3</v>
      </c>
      <c r="I7" s="52">
        <f>(G7+0.4)</f>
        <v>1.2000000000000002</v>
      </c>
      <c r="J7" s="29">
        <v>8</v>
      </c>
      <c r="K7" s="24"/>
      <c r="L7" s="29"/>
      <c r="M7" s="24"/>
      <c r="N7" s="29"/>
      <c r="O7" s="24"/>
      <c r="P7" s="29"/>
      <c r="Q7" s="33">
        <f>(((C7+60)+250+(D7+60))*2/1000)*2</f>
        <v>3.08</v>
      </c>
      <c r="R7" s="78">
        <f>Q7*2</f>
        <v>6.16</v>
      </c>
      <c r="S7" s="34" t="s">
        <v>8</v>
      </c>
      <c r="T7" s="35" t="s">
        <v>11</v>
      </c>
      <c r="U7" s="36" t="str">
        <f>'1. 소켓인수검사'!G9</f>
        <v>108동 2코어</v>
      </c>
    </row>
    <row r="8" spans="1:21">
      <c r="A8" s="207" t="s">
        <v>5</v>
      </c>
      <c r="B8" s="208"/>
      <c r="C8" s="208"/>
      <c r="D8" s="51"/>
      <c r="E8" s="40"/>
      <c r="F8" s="40"/>
      <c r="G8" s="40"/>
      <c r="H8" s="39">
        <f>SUM(H7:H7)</f>
        <v>3</v>
      </c>
      <c r="I8" s="57"/>
      <c r="J8" s="39">
        <f>SUM(J7:J7)</f>
        <v>8</v>
      </c>
      <c r="K8" s="57"/>
      <c r="L8" s="39">
        <f>SUM(L7:L7)</f>
        <v>0</v>
      </c>
      <c r="M8" s="57"/>
      <c r="N8" s="39">
        <f>SUM(N7:N7)</f>
        <v>0</v>
      </c>
      <c r="O8" s="57"/>
      <c r="P8" s="39">
        <f>SUM(P7:P7)</f>
        <v>0</v>
      </c>
      <c r="Q8" s="57">
        <f>SUM(Q7:Q7)</f>
        <v>3.08</v>
      </c>
      <c r="R8" s="39">
        <f>SUM(R7:R7)</f>
        <v>6.16</v>
      </c>
      <c r="S8" s="54"/>
      <c r="T8" s="54"/>
      <c r="U8" s="55"/>
    </row>
    <row r="9" spans="1:21" ht="8.1" customHeight="1">
      <c r="A9" s="202"/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4"/>
    </row>
    <row r="10" spans="1:21">
      <c r="A10" s="80" t="s">
        <v>43</v>
      </c>
      <c r="B10" s="80"/>
      <c r="C10" s="80"/>
      <c r="D10" s="194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95"/>
    </row>
    <row r="11" spans="1:21">
      <c r="A11" s="80"/>
      <c r="B11" s="80"/>
      <c r="C11" s="80"/>
      <c r="D11" s="21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13"/>
    </row>
    <row r="12" spans="1:21">
      <c r="A12" s="80"/>
      <c r="B12" s="80"/>
      <c r="C12" s="80"/>
      <c r="D12" s="21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13"/>
    </row>
    <row r="13" spans="1:21">
      <c r="A13" s="80"/>
      <c r="B13" s="80"/>
      <c r="C13" s="80"/>
      <c r="D13" s="21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13"/>
    </row>
    <row r="14" spans="1:21">
      <c r="A14" s="80"/>
      <c r="B14" s="80"/>
      <c r="C14" s="80"/>
      <c r="D14" s="21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13"/>
    </row>
    <row r="15" spans="1:21">
      <c r="A15" s="80"/>
      <c r="B15" s="80"/>
      <c r="C15" s="80"/>
      <c r="D15" s="178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79"/>
    </row>
  </sheetData>
  <mergeCells count="24">
    <mergeCell ref="U5:U6"/>
    <mergeCell ref="A8:C8"/>
    <mergeCell ref="F1:J3"/>
    <mergeCell ref="K1:U3"/>
    <mergeCell ref="D10:U1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9:P9"/>
    <mergeCell ref="A10:C15"/>
    <mergeCell ref="Q5:R5"/>
    <mergeCell ref="S5:S6"/>
    <mergeCell ref="T5:T6"/>
    <mergeCell ref="K5:L5"/>
    <mergeCell ref="O5:P5"/>
    <mergeCell ref="M5:N5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58"/>
  </cols>
  <sheetData/>
  <phoneticPr fontId="2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2026-07-15T01:29:58Z</dcterms:modified>
  <cp:version>1200.0100.01</cp:version>
</cp:coreProperties>
</file>