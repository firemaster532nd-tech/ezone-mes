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889E9B95-CDF0-4E4A-82C2-2C3D1E4D733C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1. 소켓인수검사" sheetId="1" r:id="rId1"/>
    <sheet name="2.1 재단작업(VT)" sheetId="3" r:id="rId2"/>
    <sheet name="차열재 재단(VM,VT)" sheetId="2" r:id="rId3"/>
    <sheet name="3.2 절곡(VT)" sheetId="6" r:id="rId4"/>
    <sheet name="3.3 절곡(VT-보강대)" sheetId="7" r:id="rId5"/>
    <sheet name="5. 차열재 출하용(VM,VT,VAG)" sheetId="9" r:id="rId6"/>
    <sheet name="6. 라벨소요량" sheetId="10" r:id="rId7"/>
    <sheet name="발주서정리" sheetId="11" r:id="rId8"/>
  </sheets>
  <definedNames>
    <definedName name="_xlnm.Print_Area" localSheetId="0">'1. 소켓인수검사'!$A$1:$P$17</definedName>
    <definedName name="_xlnm.Print_Titles" localSheetId="0">'1. 소켓인수검사'!$6:$8</definedName>
    <definedName name="_xlnm.Print_Titles" localSheetId="1">'2.1 재단작업(VT)'!$5:$7</definedName>
    <definedName name="_xlnm.Print_Titles" localSheetId="3">'3.2 절곡(VT)'!$1:$6</definedName>
    <definedName name="_xlnm.Print_Titles" localSheetId="4">'3.3 절곡(VT-보강대)'!$1:$6</definedName>
    <definedName name="_xlnm.Print_Titles" localSheetId="5">'5. 차열재 출하용(VM,VT,VAG)'!$8:$9</definedName>
    <definedName name="_xlnm.Print_Titles" localSheetId="6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8" i="10"/>
  <c r="R7" i="10"/>
  <c r="G1" i="2"/>
  <c r="D16" i="2"/>
  <c r="C16" i="2"/>
  <c r="G16" i="2" s="1"/>
  <c r="D15" i="2"/>
  <c r="C15" i="2"/>
  <c r="G15" i="2" s="1"/>
  <c r="D14" i="2"/>
  <c r="I14" i="2" s="1"/>
  <c r="C14" i="2"/>
  <c r="G14" i="2" s="1"/>
  <c r="D13" i="2"/>
  <c r="I13" i="2" s="1"/>
  <c r="C13" i="2"/>
  <c r="G13" i="2" s="1"/>
  <c r="D12" i="2"/>
  <c r="I12" i="2" s="1"/>
  <c r="C12" i="2"/>
  <c r="G12" i="2" s="1"/>
  <c r="D11" i="2"/>
  <c r="I11" i="2" s="1"/>
  <c r="C11" i="2"/>
  <c r="G11" i="2" s="1"/>
  <c r="D10" i="2"/>
  <c r="I10" i="2" s="1"/>
  <c r="C10" i="2"/>
  <c r="G10" i="2" s="1"/>
  <c r="D9" i="2"/>
  <c r="I9" i="2" s="1"/>
  <c r="C9" i="2"/>
  <c r="G9" i="2" s="1"/>
  <c r="D8" i="2"/>
  <c r="I8" i="2" s="1"/>
  <c r="C8" i="2"/>
  <c r="G8" i="2" s="1"/>
  <c r="A16" i="2"/>
  <c r="A15" i="2"/>
  <c r="A14" i="2"/>
  <c r="A13" i="2"/>
  <c r="A12" i="2"/>
  <c r="A11" i="2"/>
  <c r="A10" i="2"/>
  <c r="A9" i="2"/>
  <c r="A8" i="2"/>
  <c r="C8" i="3"/>
  <c r="G8" i="3" s="1"/>
  <c r="K1" i="10"/>
  <c r="P5" i="9"/>
  <c r="O5" i="7"/>
  <c r="N5" i="6"/>
  <c r="H1" i="3"/>
  <c r="D1" i="1"/>
  <c r="P16" i="10"/>
  <c r="H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K19" i="7"/>
  <c r="G19" i="7"/>
  <c r="C19" i="7"/>
  <c r="B19" i="7"/>
  <c r="H19" i="7" s="1"/>
  <c r="A19" i="7"/>
  <c r="K18" i="7"/>
  <c r="G18" i="7"/>
  <c r="C18" i="7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C19" i="6"/>
  <c r="B19" i="6"/>
  <c r="H19" i="6" s="1"/>
  <c r="A19" i="6"/>
  <c r="C18" i="6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7" i="3"/>
  <c r="L17" i="3"/>
  <c r="D16" i="3"/>
  <c r="C16" i="3"/>
  <c r="A16" i="3"/>
  <c r="D15" i="3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F14" i="10" l="1"/>
  <c r="Q13" i="10"/>
  <c r="J17" i="3"/>
  <c r="H17" i="3"/>
  <c r="M11" i="3"/>
  <c r="I9" i="3"/>
  <c r="K8" i="3"/>
  <c r="G13" i="10"/>
  <c r="O13" i="10" s="1"/>
  <c r="K12" i="3"/>
  <c r="G12" i="3"/>
  <c r="G14" i="3"/>
  <c r="K16" i="3"/>
  <c r="I8" i="3"/>
  <c r="M8" i="3"/>
  <c r="M10" i="3"/>
  <c r="I12" i="3"/>
  <c r="M12" i="3"/>
  <c r="M14" i="3"/>
  <c r="G13" i="3"/>
  <c r="K15" i="3"/>
  <c r="I13" i="3"/>
  <c r="G9" i="3"/>
  <c r="Q15" i="10"/>
  <c r="R15" i="10" s="1"/>
  <c r="G10" i="10"/>
  <c r="O10" i="10" s="1"/>
  <c r="E10" i="9"/>
  <c r="F10" i="9"/>
  <c r="Q12" i="10"/>
  <c r="G12" i="10"/>
  <c r="O12" i="10" s="1"/>
  <c r="F15" i="10"/>
  <c r="Q8" i="10"/>
  <c r="G8" i="10"/>
  <c r="O8" i="10" s="1"/>
  <c r="F13" i="10"/>
  <c r="G15" i="10"/>
  <c r="O15" i="10" s="1"/>
  <c r="N16" i="10"/>
  <c r="Q10" i="10"/>
  <c r="F14" i="9"/>
  <c r="E14" i="9"/>
  <c r="F18" i="9"/>
  <c r="P18" i="9" s="1"/>
  <c r="R18" i="9" s="1"/>
  <c r="E18" i="9"/>
  <c r="F12" i="9"/>
  <c r="E12" i="9"/>
  <c r="F16" i="9"/>
  <c r="E16" i="9"/>
  <c r="K11" i="3"/>
  <c r="I10" i="3"/>
  <c r="K10" i="3"/>
  <c r="I14" i="3"/>
  <c r="K14" i="3"/>
  <c r="K9" i="3"/>
  <c r="K13" i="3"/>
  <c r="G14" i="9"/>
  <c r="I14" i="9" s="1"/>
  <c r="P14" i="9"/>
  <c r="R14" i="9" s="1"/>
  <c r="F11" i="9"/>
  <c r="E11" i="9"/>
  <c r="F15" i="9"/>
  <c r="E15" i="9"/>
  <c r="P10" i="9"/>
  <c r="R10" i="9" s="1"/>
  <c r="G10" i="9"/>
  <c r="I10" i="9" s="1"/>
  <c r="F13" i="9"/>
  <c r="E13" i="9"/>
  <c r="F17" i="9"/>
  <c r="E17" i="9"/>
  <c r="I10" i="10"/>
  <c r="J16" i="10"/>
  <c r="L16" i="10"/>
  <c r="G11" i="10"/>
  <c r="Q11" i="10"/>
  <c r="F11" i="10"/>
  <c r="G9" i="10"/>
  <c r="Q9" i="10"/>
  <c r="F9" i="10"/>
  <c r="G7" i="10"/>
  <c r="Q7" i="10"/>
  <c r="F7" i="10"/>
  <c r="Q14" i="10"/>
  <c r="R14" i="10" s="1"/>
  <c r="F8" i="10"/>
  <c r="F10" i="10"/>
  <c r="F12" i="10"/>
  <c r="G14" i="10"/>
  <c r="I15" i="10" l="1"/>
  <c r="G18" i="9"/>
  <c r="I18" i="9" s="1"/>
  <c r="I8" i="10"/>
  <c r="I12" i="10"/>
  <c r="I13" i="10"/>
  <c r="O19" i="9"/>
  <c r="G22" i="9" s="1"/>
  <c r="G16" i="9"/>
  <c r="I16" i="9" s="1"/>
  <c r="P16" i="9"/>
  <c r="R16" i="9" s="1"/>
  <c r="G12" i="9"/>
  <c r="I12" i="9" s="1"/>
  <c r="P12" i="9"/>
  <c r="R12" i="9" s="1"/>
  <c r="O14" i="10"/>
  <c r="I14" i="10"/>
  <c r="I7" i="10"/>
  <c r="O7" i="10"/>
  <c r="R16" i="10"/>
  <c r="P13" i="9"/>
  <c r="R13" i="9" s="1"/>
  <c r="G13" i="9"/>
  <c r="I13" i="9" s="1"/>
  <c r="P15" i="9"/>
  <c r="R15" i="9" s="1"/>
  <c r="G15" i="9"/>
  <c r="I15" i="9" s="1"/>
  <c r="I11" i="10"/>
  <c r="O11" i="10"/>
  <c r="Q16" i="10"/>
  <c r="I9" i="10"/>
  <c r="O9" i="10"/>
  <c r="P17" i="9"/>
  <c r="R17" i="9" s="1"/>
  <c r="G17" i="9"/>
  <c r="I17" i="9" s="1"/>
  <c r="P11" i="9"/>
  <c r="R11" i="9" s="1"/>
  <c r="G11" i="9"/>
  <c r="I11" i="9" s="1"/>
  <c r="I19" i="9" l="1"/>
  <c r="G20" i="9" s="1"/>
  <c r="R19" i="9"/>
  <c r="G23" i="9" s="1"/>
  <c r="L19" i="9"/>
  <c r="G21" i="9" s="1"/>
</calcChain>
</file>

<file path=xl/sharedStrings.xml><?xml version="1.0" encoding="utf-8"?>
<sst xmlns="http://schemas.openxmlformats.org/spreadsheetml/2006/main" count="269" uniqueCount="100">
  <si>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</si>
  <si>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</si>
  <si>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</si>
  <si>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</si>
  <si>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</si>
  <si>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</si>
  <si>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</si>
  <si>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</si>
  <si>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</si>
  <si>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</si>
  <si>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</si>
  <si>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</si>
  <si>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</si>
  <si>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</si>
  <si>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</si>
  <si>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</si>
  <si>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</si>
  <si>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</si>
  <si>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</si>
  <si>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</si>
  <si>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</si>
  <si>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</si>
  <si>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</si>
  <si>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</si>
  <si>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</si>
  <si>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</si>
  <si>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</si>
  <si>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</si>
  <si>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</si>
  <si>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</si>
  <si>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</si>
  <si>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</si>
  <si>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</si>
  <si>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</si>
  <si>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</si>
  <si>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</si>
  <si>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</si>
  <si>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</si>
  <si>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</si>
  <si>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</si>
  <si>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</si>
  <si>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</si>
  <si>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</si>
  <si>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</si>
  <si>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</si>
  <si>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</si>
  <si>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</si>
  <si>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</si>
  <si>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</si>
  <si>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</si>
  <si>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</si>
  <si>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</si>
  <si>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</si>
  <si>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</si>
  <si>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</si>
  <si>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</si>
  <si>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</si>
  <si>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</si>
  <si>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</si>
  <si>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</si>
  <si>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</si>
  <si>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</si>
  <si>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</si>
  <si>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</si>
  <si>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</si>
  <si>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</si>
  <si>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</si>
  <si>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</si>
  <si>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
(VT)</t>
    <phoneticPr fontId="25" type="noConversion"/>
  </si>
  <si>
    <t>절 곡 생 산 일 지(VT_브라켓)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</si>
  <si>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</si>
  <si>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</si>
  <si>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</si>
  <si>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</si>
  <si>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04</t>
  </si>
  <si>
    <t>05</t>
  </si>
  <si>
    <t>06</t>
  </si>
  <si>
    <t>07</t>
  </si>
  <si>
    <t>08</t>
  </si>
  <si>
    <t>09</t>
  </si>
  <si>
    <t>재단작업지시서차열재</t>
    <phoneticPr fontId="25" type="noConversion"/>
  </si>
  <si>
    <t>근생2</t>
  </si>
  <si>
    <t>근생3</t>
  </si>
  <si>
    <t>근생1</t>
  </si>
  <si>
    <t>근생5</t>
  </si>
  <si>
    <t>근생1/세로분할</t>
  </si>
  <si>
    <t>01</t>
    <phoneticPr fontId="25" type="noConversion"/>
  </si>
  <si>
    <t>02</t>
    <phoneticPr fontId="25" type="noConversion"/>
  </si>
  <si>
    <t>03</t>
    <phoneticPr fontId="25" type="noConversion"/>
  </si>
  <si>
    <t>BV027</t>
  </si>
  <si>
    <t>BV028</t>
  </si>
  <si>
    <t>BV029</t>
  </si>
  <si>
    <t>BV030</t>
  </si>
  <si>
    <t>BV031</t>
  </si>
  <si>
    <t>BV032</t>
  </si>
  <si>
    <t>BV033</t>
  </si>
  <si>
    <t>BV034</t>
  </si>
  <si>
    <t>BV035</t>
  </si>
  <si>
    <r>
      <t xml:space="preserve">26.07.22 </t>
    </r>
    <r>
      <rPr>
        <sz val="10"/>
        <color rgb="FF000000"/>
        <rFont val="맑은 고딕"/>
        <family val="3"/>
        <charset val="129"/>
      </rPr>
      <t>성운에프에스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지에프에스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신대</t>
    </r>
    <r>
      <rPr>
        <sz val="10"/>
        <color rgb="FF000000"/>
        <rFont val="Arial"/>
        <family val="2"/>
      </rPr>
      <t>1</t>
    </r>
    <r>
      <rPr>
        <sz val="10"/>
        <color rgb="FF000000"/>
        <rFont val="맑은 고딕"/>
        <family val="3"/>
        <charset val="129"/>
      </rPr>
      <t>지구</t>
    </r>
    <r>
      <rPr>
        <sz val="10"/>
        <color rgb="FF000000"/>
        <rFont val="Arial"/>
        <family val="2"/>
      </rPr>
      <t xml:space="preserve"> B1</t>
    </r>
    <r>
      <rPr>
        <sz val="10"/>
        <color rgb="FF000000"/>
        <rFont val="맑은 고딕"/>
        <family val="3"/>
        <charset val="129"/>
      </rPr>
      <t>블럭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공동주택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신축공사</t>
    </r>
    <phoneticPr fontId="25" type="noConversion"/>
  </si>
  <si>
    <t>2분할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</si>
</sst>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3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4" fillId="4" borderId="15" xfId="0" applyFont="1" applyFill="1" applyBorder="1" applyAlignment="1">
      <alignment horizontal="center" vertical="center" wrapText="1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5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4" fillId="0" borderId="5" xfId="3" applyBorder="1" applyAlignment="1">
      <alignment horizontal="center" vertical="center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4" fillId="0" borderId="15" xfId="2" applyBorder="1" applyAlignment="1">
      <alignment horizontal="center" vertical="center" wrapText="1"/>
    </xf>
    <xf numFmtId="0" fontId="24" fillId="0" borderId="16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shrinkToFit="1"/>
    </xf>
    <xf numFmtId="0" fontId="8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 wrapText="1"/>
    </xf>
    <xf numFmtId="0" fontId="24" fillId="0" borderId="12" xfId="2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3" fillId="6" borderId="15" xfId="4" applyFont="1" applyFill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24" fillId="0" borderId="13" xfId="2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24" fillId="0" borderId="12" xfId="2" applyBorder="1" applyAlignment="1">
      <alignment vertical="center" wrapText="1"/>
    </xf>
    <xf numFmtId="0" fontId="24" fillId="0" borderId="15" xfId="2" applyBorder="1" applyAlignment="1">
      <alignment vertical="center" wrapText="1"/>
    </xf>
    <xf numFmtId="0" fontId="17" fillId="0" borderId="12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5" borderId="17" xfId="0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vertical="center"/>
    </xf>
    <xf numFmtId="0" fontId="1" fillId="9" borderId="0" xfId="4" applyFill="1">
      <alignment vertical="center"/>
    </xf>
    <xf numFmtId="0" fontId="1" fillId="0" borderId="32" xfId="4" applyBorder="1" applyAlignment="1">
      <alignment vertical="top" wrapText="1"/>
    </xf>
    <xf numFmtId="0" fontId="2" fillId="0" borderId="15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8" fillId="6" borderId="15" xfId="4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5" fillId="0" borderId="17" xfId="2" applyFont="1" applyBorder="1">
      <alignment vertical="center"/>
    </xf>
    <xf numFmtId="0" fontId="3" fillId="0" borderId="27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4" xfId="4" quotePrefix="1" applyBorder="1" applyAlignment="1">
      <alignment horizontal="center" vertical="center" wrapText="1"/>
    </xf>
    <xf numFmtId="178" fontId="16" fillId="0" borderId="15" xfId="2" applyNumberFormat="1" applyFont="1" applyBorder="1" applyAlignment="1">
      <alignment horizontal="center" vertical="center" wrapText="1"/>
    </xf>
    <xf numFmtId="177" fontId="6" fillId="5" borderId="15" xfId="0" applyNumberFormat="1" applyFont="1" applyFill="1" applyBorder="1" applyAlignment="1">
      <alignment horizontal="center" vertical="center" wrapText="1"/>
    </xf>
    <xf numFmtId="0" fontId="13" fillId="6" borderId="12" xfId="4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3" fillId="6" borderId="17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28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21" fillId="0" borderId="26" xfId="0" applyFont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0" fillId="0" borderId="24" xfId="4" applyFont="1" applyBorder="1" applyAlignment="1">
      <alignment horizontal="center" vertical="center"/>
    </xf>
    <xf numFmtId="0" fontId="0" fillId="0" borderId="25" xfId="4" applyFont="1" applyBorder="1" applyAlignment="1">
      <alignment horizontal="center" vertical="center"/>
    </xf>
    <xf numFmtId="0" fontId="3" fillId="0" borderId="23" xfId="4" applyFont="1" applyBorder="1" applyAlignment="1">
      <alignment horizontal="left" vertical="center"/>
    </xf>
    <xf numFmtId="0" fontId="26" fillId="0" borderId="32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6" xfId="4" applyFont="1" applyBorder="1" applyAlignment="1">
      <alignment horizontal="center" vertical="center" wrapText="1"/>
    </xf>
    <xf numFmtId="0" fontId="26" fillId="0" borderId="31" xfId="4" applyFont="1" applyBorder="1" applyAlignment="1">
      <alignment horizontal="center" vertical="center" wrapText="1"/>
    </xf>
    <xf numFmtId="0" fontId="27" fillId="0" borderId="32" xfId="4" applyFont="1" applyBorder="1" applyAlignment="1">
      <alignment horizontal="center" vertical="center" shrinkToFit="1"/>
    </xf>
    <xf numFmtId="0" fontId="27" fillId="0" borderId="33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5" xfId="4" applyFont="1" applyBorder="1" applyAlignment="1">
      <alignment horizontal="center" vertical="center" shrinkToFit="1"/>
    </xf>
    <xf numFmtId="0" fontId="27" fillId="0" borderId="31" xfId="4" applyFont="1" applyBorder="1" applyAlignment="1">
      <alignment horizontal="center" vertical="center" shrinkToFit="1"/>
    </xf>
    <xf numFmtId="0" fontId="27" fillId="0" borderId="37" xfId="4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" fillId="7" borderId="14" xfId="4" applyFill="1" applyBorder="1" applyAlignment="1">
      <alignment horizontal="center" vertical="center" wrapText="1"/>
    </xf>
    <xf numFmtId="0" fontId="2" fillId="7" borderId="12" xfId="4" applyFont="1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 shrinkToFit="1"/>
    </xf>
    <xf numFmtId="0" fontId="31" fillId="0" borderId="27" xfId="0" applyFont="1" applyBorder="1" applyAlignment="1">
      <alignment horizontal="center" vertical="center" wrapText="1" shrinkToFit="1"/>
    </xf>
    <xf numFmtId="0" fontId="31" fillId="0" borderId="0" xfId="0" applyFont="1" applyAlignment="1">
      <alignment horizontal="center" vertical="center" wrapText="1" shrinkToFit="1"/>
    </xf>
    <xf numFmtId="0" fontId="31" fillId="0" borderId="22" xfId="0" applyFont="1" applyBorder="1" applyAlignment="1">
      <alignment horizontal="center" vertical="center" wrapText="1" shrinkToFit="1"/>
    </xf>
    <xf numFmtId="0" fontId="31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24" fillId="0" borderId="21" xfId="2" applyBorder="1" applyAlignment="1">
      <alignment horizontal="center" vertical="center"/>
    </xf>
    <xf numFmtId="0" fontId="24" fillId="0" borderId="3" xfId="2" applyBorder="1" applyAlignment="1">
      <alignment horizontal="center" vertical="center"/>
    </xf>
    <xf numFmtId="0" fontId="24" fillId="0" borderId="1" xfId="2" applyBorder="1" applyAlignment="1">
      <alignment horizontal="center" vertical="center" wrapText="1"/>
    </xf>
    <xf numFmtId="178" fontId="5" fillId="0" borderId="15" xfId="2" applyNumberFormat="1" applyFont="1" applyBorder="1" applyAlignment="1">
      <alignment horizontal="center" vertical="center" wrapText="1"/>
    </xf>
    <xf numFmtId="178" fontId="5" fillId="0" borderId="12" xfId="2" applyNumberFormat="1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 shrinkToFit="1"/>
    </xf>
    <xf numFmtId="0" fontId="6" fillId="0" borderId="1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22" fillId="0" borderId="21" xfId="2" applyFont="1" applyBorder="1" applyAlignment="1">
      <alignment horizontal="center" vertical="center"/>
    </xf>
    <xf numFmtId="0" fontId="22" fillId="0" borderId="11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27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22" xfId="2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22" fillId="0" borderId="26" xfId="2" applyFont="1" applyBorder="1" applyAlignment="1">
      <alignment horizontal="center" vertical="center"/>
    </xf>
    <xf numFmtId="0" fontId="24" fillId="0" borderId="22" xfId="2" applyBorder="1" applyAlignment="1">
      <alignment horizontal="center" vertical="center"/>
    </xf>
    <xf numFmtId="0" fontId="24" fillId="0" borderId="2" xfId="2" applyBorder="1" applyAlignment="1">
      <alignment horizontal="center" vertical="center"/>
    </xf>
    <xf numFmtId="0" fontId="24" fillId="0" borderId="26" xfId="2" applyBorder="1" applyAlignment="1">
      <alignment horizontal="center" vertical="center"/>
    </xf>
    <xf numFmtId="0" fontId="24" fillId="0" borderId="9" xfId="2" applyBorder="1" applyAlignment="1">
      <alignment horizontal="center" vertical="center"/>
    </xf>
    <xf numFmtId="0" fontId="6" fillId="0" borderId="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41" fontId="24" fillId="0" borderId="12" xfId="2" applyNumberFormat="1" applyBorder="1" applyAlignment="1">
      <alignment horizontal="left" vertical="center" wrapText="1"/>
    </xf>
    <xf numFmtId="0" fontId="24" fillId="0" borderId="12" xfId="2" applyBorder="1" applyAlignment="1">
      <alignment horizontal="left" vertical="center" wrapText="1"/>
    </xf>
    <xf numFmtId="41" fontId="24" fillId="0" borderId="15" xfId="2" applyNumberFormat="1" applyBorder="1" applyAlignment="1">
      <alignment horizontal="left" vertical="center" wrapText="1"/>
    </xf>
    <xf numFmtId="0" fontId="24" fillId="0" borderId="15" xfId="2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7" fontId="0" fillId="2" borderId="30" xfId="0" applyNumberFormat="1" applyFill="1" applyBorder="1" applyAlignment="1">
      <alignment horizontal="center" vertical="center" wrapText="1"/>
    </xf>
    <xf numFmtId="177" fontId="0" fillId="2" borderId="24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0" fillId="0" borderId="2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0" fillId="0" borderId="26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7"/>
  <sheetViews>
    <sheetView view="pageBreakPreview" zoomScale="120" zoomScaleNormal="120" zoomScaleSheetLayoutView="120" workbookViewId="0">
      <pane ySplit="8" topLeftCell="A9" activePane="bottomLeft" state="frozen"/>
      <selection pane="bottomLeft" activeCell="D18" sqref="D1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04" t="s">
        <v>72</v>
      </c>
      <c r="B1" s="139"/>
      <c r="C1" s="139"/>
      <c r="D1" s="144" t="str">
        <f>R2</f>
        <v>26.07.22 성운에프에스_지에프에스_신대1지구 B1블럭 공동주택 신축공사</v>
      </c>
      <c r="E1" s="144"/>
      <c r="F1" s="144"/>
      <c r="G1" s="145"/>
      <c r="R1" s="8" t="s">
        <v>67</v>
      </c>
    </row>
    <row r="2" spans="1:18" ht="16.5" customHeight="1">
      <c r="A2" s="140"/>
      <c r="B2" s="141"/>
      <c r="C2" s="141"/>
      <c r="D2" s="146"/>
      <c r="E2" s="146"/>
      <c r="F2" s="146"/>
      <c r="G2" s="147"/>
      <c r="R2" s="78" t="s">
        <v>98</v>
      </c>
    </row>
    <row r="3" spans="1:18" ht="16.5" customHeight="1">
      <c r="A3" s="140"/>
      <c r="B3" s="141"/>
      <c r="C3" s="141"/>
      <c r="D3" s="146"/>
      <c r="E3" s="146"/>
      <c r="F3" s="146"/>
      <c r="G3" s="147"/>
    </row>
    <row r="4" spans="1:18" ht="17.25" customHeight="1" thickBot="1">
      <c r="A4" s="142"/>
      <c r="B4" s="143"/>
      <c r="C4" s="143"/>
      <c r="D4" s="148"/>
      <c r="E4" s="148"/>
      <c r="F4" s="148"/>
      <c r="G4" s="149"/>
    </row>
    <row r="5" spans="1:18" ht="6.75" customHeight="1" thickTop="1">
      <c r="A5" s="79"/>
      <c r="B5" s="79"/>
      <c r="C5" s="79"/>
      <c r="D5" s="79"/>
      <c r="E5" s="79"/>
      <c r="F5" s="79"/>
      <c r="G5" s="79"/>
    </row>
    <row r="6" spans="1:18" s="10" customFormat="1" ht="18" customHeight="1" thickBot="1">
      <c r="A6" s="150" t="s">
        <v>1</v>
      </c>
      <c r="B6" s="152" t="s">
        <v>66</v>
      </c>
      <c r="C6" s="152" t="s">
        <v>4</v>
      </c>
      <c r="D6" s="152"/>
      <c r="E6" s="152" t="s">
        <v>41</v>
      </c>
      <c r="F6" s="152" t="s">
        <v>38</v>
      </c>
      <c r="G6" s="153" t="s">
        <v>17</v>
      </c>
      <c r="H6" s="9"/>
      <c r="I6" s="138" t="s">
        <v>9</v>
      </c>
      <c r="J6" s="138"/>
      <c r="K6" s="138"/>
      <c r="L6" s="138"/>
      <c r="M6" s="138"/>
      <c r="N6" s="138"/>
      <c r="O6" s="8"/>
    </row>
    <row r="7" spans="1:18" s="10" customFormat="1" ht="18" customHeight="1">
      <c r="A7" s="151"/>
      <c r="B7" s="104"/>
      <c r="C7" s="104" t="s">
        <v>63</v>
      </c>
      <c r="D7" s="104" t="s">
        <v>61</v>
      </c>
      <c r="E7" s="104"/>
      <c r="F7" s="104"/>
      <c r="G7" s="15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51"/>
      <c r="B8" s="104"/>
      <c r="C8" s="104"/>
      <c r="D8" s="104"/>
      <c r="E8" s="104"/>
      <c r="F8" s="104"/>
      <c r="G8" s="154"/>
      <c r="H8" s="11"/>
      <c r="I8" s="12"/>
      <c r="J8" s="12"/>
      <c r="K8" s="12"/>
      <c r="L8" s="12"/>
      <c r="M8" s="12"/>
      <c r="N8" s="12"/>
      <c r="O8" s="8"/>
    </row>
    <row r="9" spans="1:18" s="10" customFormat="1" ht="16.5">
      <c r="A9" s="98" t="s">
        <v>86</v>
      </c>
      <c r="B9" s="54" t="s">
        <v>46</v>
      </c>
      <c r="C9" s="29">
        <v>880</v>
      </c>
      <c r="D9" s="29">
        <v>980</v>
      </c>
      <c r="E9" s="65"/>
      <c r="F9" s="80"/>
      <c r="G9" s="81" t="s">
        <v>81</v>
      </c>
      <c r="H9" s="13"/>
      <c r="I9" s="7"/>
      <c r="J9" s="7"/>
      <c r="K9" s="20"/>
      <c r="L9" s="21"/>
      <c r="M9" s="22"/>
      <c r="N9" s="7"/>
      <c r="O9" s="8"/>
      <c r="Q9" s="10" t="s">
        <v>89</v>
      </c>
    </row>
    <row r="10" spans="1:18" s="10" customFormat="1" ht="16.5">
      <c r="A10" s="98" t="s">
        <v>87</v>
      </c>
      <c r="B10" s="54" t="s">
        <v>46</v>
      </c>
      <c r="C10" s="29">
        <v>880</v>
      </c>
      <c r="D10" s="29">
        <v>980</v>
      </c>
      <c r="E10" s="65"/>
      <c r="F10" s="80"/>
      <c r="G10" s="81" t="s">
        <v>81</v>
      </c>
      <c r="H10" s="13"/>
      <c r="I10" s="7"/>
      <c r="J10" s="7"/>
      <c r="K10" s="19"/>
      <c r="L10" s="19"/>
      <c r="M10" s="19"/>
      <c r="N10" s="7"/>
      <c r="O10" s="8"/>
      <c r="Q10" s="10" t="s">
        <v>90</v>
      </c>
    </row>
    <row r="11" spans="1:18" s="10" customFormat="1" ht="17.25" thickBot="1">
      <c r="A11" s="98" t="s">
        <v>88</v>
      </c>
      <c r="B11" s="54" t="s">
        <v>46</v>
      </c>
      <c r="C11" s="29">
        <v>910</v>
      </c>
      <c r="D11" s="29">
        <v>2300</v>
      </c>
      <c r="E11" s="80"/>
      <c r="F11" s="80"/>
      <c r="G11" s="81" t="s">
        <v>82</v>
      </c>
      <c r="H11" s="13"/>
      <c r="I11" s="104"/>
      <c r="J11" s="136"/>
      <c r="K11" s="137"/>
      <c r="L11" s="8"/>
      <c r="M11" s="104"/>
      <c r="N11" s="136"/>
      <c r="O11" s="137"/>
      <c r="Q11" s="10" t="s">
        <v>91</v>
      </c>
    </row>
    <row r="12" spans="1:18" s="10" customFormat="1" ht="16.5">
      <c r="A12" s="98" t="s">
        <v>74</v>
      </c>
      <c r="B12" s="54" t="s">
        <v>46</v>
      </c>
      <c r="C12" s="29">
        <v>1000</v>
      </c>
      <c r="D12" s="29">
        <v>900</v>
      </c>
      <c r="E12" s="65"/>
      <c r="F12" s="80"/>
      <c r="G12" s="81" t="s">
        <v>83</v>
      </c>
      <c r="H12" s="13"/>
      <c r="I12" s="7"/>
      <c r="J12" s="7"/>
      <c r="K12" s="20"/>
      <c r="L12" s="21"/>
      <c r="M12" s="22"/>
      <c r="N12" s="7"/>
      <c r="O12" s="8"/>
      <c r="Q12" s="10" t="s">
        <v>92</v>
      </c>
    </row>
    <row r="13" spans="1:18" s="10" customFormat="1" ht="16.5">
      <c r="A13" s="98" t="s">
        <v>75</v>
      </c>
      <c r="B13" s="54" t="s">
        <v>46</v>
      </c>
      <c r="C13" s="29">
        <v>1000</v>
      </c>
      <c r="D13" s="29">
        <v>1000</v>
      </c>
      <c r="E13" s="65"/>
      <c r="F13" s="80"/>
      <c r="G13" s="81" t="s">
        <v>84</v>
      </c>
      <c r="H13" s="13"/>
      <c r="I13" s="7"/>
      <c r="J13" s="7"/>
      <c r="K13" s="19"/>
      <c r="L13" s="19"/>
      <c r="M13" s="19"/>
      <c r="N13" s="7"/>
      <c r="O13" s="8"/>
      <c r="Q13" s="10" t="s">
        <v>93</v>
      </c>
    </row>
    <row r="14" spans="1:18" s="10" customFormat="1" ht="17.25" thickBot="1">
      <c r="A14" s="98" t="s">
        <v>76</v>
      </c>
      <c r="B14" s="54" t="s">
        <v>46</v>
      </c>
      <c r="C14" s="29">
        <v>1400</v>
      </c>
      <c r="D14" s="29">
        <v>700</v>
      </c>
      <c r="E14" s="80"/>
      <c r="F14" s="80"/>
      <c r="G14" s="81" t="s">
        <v>84</v>
      </c>
      <c r="H14" s="13"/>
      <c r="I14" s="104"/>
      <c r="J14" s="136"/>
      <c r="K14" s="137"/>
      <c r="L14" s="8"/>
      <c r="M14" s="104"/>
      <c r="N14" s="136"/>
      <c r="O14" s="137"/>
      <c r="Q14" s="10" t="s">
        <v>94</v>
      </c>
    </row>
    <row r="15" spans="1:18" s="10" customFormat="1" ht="16.5">
      <c r="A15" s="98" t="s">
        <v>77</v>
      </c>
      <c r="B15" s="54" t="s">
        <v>46</v>
      </c>
      <c r="C15" s="29">
        <v>1400</v>
      </c>
      <c r="D15" s="29">
        <v>850</v>
      </c>
      <c r="E15" s="65"/>
      <c r="F15" s="80"/>
      <c r="G15" s="81" t="s">
        <v>84</v>
      </c>
      <c r="H15" s="13"/>
      <c r="I15" s="7"/>
      <c r="J15" s="7"/>
      <c r="K15" s="20"/>
      <c r="L15" s="21"/>
      <c r="M15" s="22"/>
      <c r="N15" s="7"/>
      <c r="O15" s="8"/>
      <c r="Q15" s="10" t="s">
        <v>95</v>
      </c>
    </row>
    <row r="16" spans="1:18" s="10" customFormat="1" ht="16.5">
      <c r="A16" s="98" t="s">
        <v>78</v>
      </c>
      <c r="B16" s="54" t="s">
        <v>46</v>
      </c>
      <c r="C16" s="29">
        <v>2400</v>
      </c>
      <c r="D16" s="29">
        <v>2700</v>
      </c>
      <c r="E16" s="65"/>
      <c r="F16" s="80"/>
      <c r="G16" s="81" t="s">
        <v>85</v>
      </c>
      <c r="H16" s="13"/>
      <c r="I16" s="7"/>
      <c r="J16" s="7"/>
      <c r="K16" s="19"/>
      <c r="L16" s="19"/>
      <c r="M16" s="19"/>
      <c r="N16" s="7"/>
      <c r="O16" s="8"/>
      <c r="Q16" s="10" t="s">
        <v>96</v>
      </c>
    </row>
    <row r="17" spans="1:17" s="10" customFormat="1" ht="16.5">
      <c r="A17" s="98" t="s">
        <v>79</v>
      </c>
      <c r="B17" s="54" t="s">
        <v>46</v>
      </c>
      <c r="C17" s="29">
        <v>2550</v>
      </c>
      <c r="D17" s="29">
        <v>2700</v>
      </c>
      <c r="E17" s="80"/>
      <c r="F17" s="80"/>
      <c r="G17" s="81" t="s">
        <v>85</v>
      </c>
      <c r="H17" s="13"/>
      <c r="I17" s="104"/>
      <c r="J17" s="136"/>
      <c r="K17" s="137"/>
      <c r="L17" s="8"/>
      <c r="M17" s="104"/>
      <c r="N17" s="136"/>
      <c r="O17" s="137"/>
      <c r="Q17" s="10" t="s">
        <v>97</v>
      </c>
    </row>
  </sheetData>
  <mergeCells count="17">
    <mergeCell ref="C7:C8"/>
    <mergeCell ref="D7:D8"/>
    <mergeCell ref="I11:K11"/>
    <mergeCell ref="M11:O11"/>
    <mergeCell ref="A1:C4"/>
    <mergeCell ref="D1:G4"/>
    <mergeCell ref="A6:A8"/>
    <mergeCell ref="B6:B8"/>
    <mergeCell ref="C6:D6"/>
    <mergeCell ref="E6:E8"/>
    <mergeCell ref="F6:F8"/>
    <mergeCell ref="G6:G8"/>
    <mergeCell ref="I14:K14"/>
    <mergeCell ref="M14:O14"/>
    <mergeCell ref="I17:K17"/>
    <mergeCell ref="M17:O17"/>
    <mergeCell ref="I6:N6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24"/>
  <sheetViews>
    <sheetView zoomScaleNormal="100" zoomScaleSheetLayoutView="100" workbookViewId="0">
      <selection activeCell="O15" sqref="O15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6.87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04"/>
      <c r="B1" s="104"/>
      <c r="C1" s="104"/>
      <c r="D1" s="104"/>
      <c r="E1" s="116" t="s">
        <v>68</v>
      </c>
      <c r="F1" s="117"/>
      <c r="G1" s="117"/>
      <c r="H1" s="122" t="str">
        <f>'1. 소켓인수검사'!R2</f>
        <v>26.07.22 성운에프에스_지에프에스_신대1지구 B1블럭 공동주택 신축공사</v>
      </c>
      <c r="I1" s="122"/>
      <c r="J1" s="122"/>
      <c r="K1" s="122"/>
      <c r="L1" s="122"/>
      <c r="M1" s="122"/>
      <c r="N1" s="122"/>
      <c r="O1" s="123"/>
    </row>
    <row r="2" spans="1:15" ht="38.25" customHeight="1">
      <c r="A2" s="104"/>
      <c r="B2" s="104"/>
      <c r="C2" s="104"/>
      <c r="D2" s="104"/>
      <c r="E2" s="118"/>
      <c r="F2" s="119"/>
      <c r="G2" s="119"/>
      <c r="H2" s="124"/>
      <c r="I2" s="124"/>
      <c r="J2" s="124"/>
      <c r="K2" s="124"/>
      <c r="L2" s="124"/>
      <c r="M2" s="124"/>
      <c r="N2" s="124"/>
      <c r="O2" s="125"/>
    </row>
    <row r="3" spans="1:15" ht="38.25" customHeight="1">
      <c r="A3" s="104"/>
      <c r="B3" s="104"/>
      <c r="C3" s="104"/>
      <c r="D3" s="104"/>
      <c r="E3" s="120"/>
      <c r="F3" s="121"/>
      <c r="G3" s="121"/>
      <c r="H3" s="126"/>
      <c r="I3" s="126"/>
      <c r="J3" s="126"/>
      <c r="K3" s="126"/>
      <c r="L3" s="126"/>
      <c r="M3" s="126"/>
      <c r="N3" s="126"/>
      <c r="O3" s="127"/>
    </row>
    <row r="4" spans="1:15" ht="8.1" customHeight="1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10"/>
      <c r="O4" s="15"/>
    </row>
    <row r="5" spans="1:15" s="18" customFormat="1" ht="26.45" customHeight="1">
      <c r="A5" s="128" t="s">
        <v>56</v>
      </c>
      <c r="B5" s="130" t="s">
        <v>66</v>
      </c>
      <c r="C5" s="132" t="s">
        <v>4</v>
      </c>
      <c r="D5" s="132"/>
      <c r="E5" s="132" t="s">
        <v>24</v>
      </c>
      <c r="F5" s="132" t="s">
        <v>54</v>
      </c>
      <c r="G5" s="132" t="s">
        <v>20</v>
      </c>
      <c r="H5" s="132"/>
      <c r="I5" s="132"/>
      <c r="J5" s="132"/>
      <c r="K5" s="132" t="s">
        <v>34</v>
      </c>
      <c r="L5" s="132"/>
      <c r="M5" s="132"/>
      <c r="N5" s="132"/>
      <c r="O5" s="133" t="s">
        <v>2</v>
      </c>
    </row>
    <row r="6" spans="1:15" s="18" customFormat="1" ht="16.5" customHeight="1">
      <c r="A6" s="129"/>
      <c r="B6" s="131"/>
      <c r="C6" s="1" t="s">
        <v>63</v>
      </c>
      <c r="D6" s="1" t="s">
        <v>61</v>
      </c>
      <c r="E6" s="1"/>
      <c r="F6" s="1"/>
      <c r="G6" s="135" t="s">
        <v>63</v>
      </c>
      <c r="H6" s="135"/>
      <c r="I6" s="135" t="s">
        <v>61</v>
      </c>
      <c r="J6" s="135"/>
      <c r="K6" s="1" t="s">
        <v>65</v>
      </c>
      <c r="L6" s="1"/>
      <c r="M6" s="1" t="s">
        <v>62</v>
      </c>
      <c r="N6" s="1"/>
      <c r="O6" s="134"/>
    </row>
    <row r="7" spans="1:15" s="18" customFormat="1" ht="16.5" customHeight="1">
      <c r="A7" s="129"/>
      <c r="B7" s="131"/>
      <c r="C7" s="1"/>
      <c r="D7" s="1"/>
      <c r="E7" s="1"/>
      <c r="F7" s="1"/>
      <c r="G7" s="88" t="s">
        <v>4</v>
      </c>
      <c r="H7" s="88" t="s">
        <v>31</v>
      </c>
      <c r="I7" s="88" t="s">
        <v>4</v>
      </c>
      <c r="J7" s="88" t="s">
        <v>31</v>
      </c>
      <c r="K7" s="89" t="s">
        <v>4</v>
      </c>
      <c r="L7" s="89" t="s">
        <v>54</v>
      </c>
      <c r="M7" s="89" t="s">
        <v>4</v>
      </c>
      <c r="N7" s="89" t="s">
        <v>54</v>
      </c>
      <c r="O7" s="134"/>
    </row>
    <row r="8" spans="1:15">
      <c r="A8" s="84" t="str">
        <f>'1. 소켓인수검사'!A9</f>
        <v>01</v>
      </c>
      <c r="B8" s="90" t="s">
        <v>46</v>
      </c>
      <c r="C8" s="34">
        <f>'1. 소켓인수검사'!C9</f>
        <v>880</v>
      </c>
      <c r="D8" s="34">
        <f>'1. 소켓인수검사'!D9</f>
        <v>980</v>
      </c>
      <c r="E8" s="35"/>
      <c r="F8" s="34">
        <v>1</v>
      </c>
      <c r="G8" s="55">
        <f>(C8-30)/2-5</f>
        <v>420</v>
      </c>
      <c r="H8" s="61">
        <f>F8*8*2</f>
        <v>16</v>
      </c>
      <c r="I8" s="99">
        <f>(D8-20)/2-10</f>
        <v>470</v>
      </c>
      <c r="J8" s="61">
        <f>F8*16</f>
        <v>16</v>
      </c>
      <c r="K8" s="56">
        <f t="shared" ref="K8:K11" si="0">C8+60</f>
        <v>940</v>
      </c>
      <c r="L8" s="91">
        <v>4</v>
      </c>
      <c r="M8" s="56">
        <f>D8</f>
        <v>980</v>
      </c>
      <c r="N8" s="91">
        <v>4</v>
      </c>
      <c r="O8" s="52"/>
    </row>
    <row r="9" spans="1:15">
      <c r="A9" s="84" t="str">
        <f>'1. 소켓인수검사'!A10</f>
        <v>02</v>
      </c>
      <c r="B9" s="90" t="s">
        <v>46</v>
      </c>
      <c r="C9" s="34">
        <f>'1. 소켓인수검사'!C10</f>
        <v>880</v>
      </c>
      <c r="D9" s="34">
        <f>'1. 소켓인수검사'!D10</f>
        <v>980</v>
      </c>
      <c r="E9" s="35"/>
      <c r="F9" s="34">
        <v>1</v>
      </c>
      <c r="G9" s="55">
        <f t="shared" ref="G9:G14" si="1">(C9-30)/2-5</f>
        <v>420</v>
      </c>
      <c r="H9" s="61">
        <f>F9*8*2</f>
        <v>16</v>
      </c>
      <c r="I9" s="99">
        <f>(D9-20)/2-10</f>
        <v>470</v>
      </c>
      <c r="J9" s="61">
        <f>F9*16</f>
        <v>16</v>
      </c>
      <c r="K9" s="56">
        <f t="shared" si="0"/>
        <v>940</v>
      </c>
      <c r="L9" s="91">
        <v>4</v>
      </c>
      <c r="M9" s="56">
        <f t="shared" ref="M9:M14" si="2">D9</f>
        <v>980</v>
      </c>
      <c r="N9" s="91">
        <v>4</v>
      </c>
      <c r="O9" s="52"/>
    </row>
    <row r="10" spans="1:15">
      <c r="A10" s="84" t="str">
        <f>'1. 소켓인수검사'!A11</f>
        <v>03</v>
      </c>
      <c r="B10" s="90" t="s">
        <v>46</v>
      </c>
      <c r="C10" s="34">
        <f>'1. 소켓인수검사'!C11</f>
        <v>910</v>
      </c>
      <c r="D10" s="34">
        <f>'1. 소켓인수검사'!D11</f>
        <v>2300</v>
      </c>
      <c r="E10" s="35"/>
      <c r="F10" s="34">
        <v>1</v>
      </c>
      <c r="G10" s="55">
        <f t="shared" si="1"/>
        <v>435</v>
      </c>
      <c r="H10" s="61">
        <f t="shared" ref="H10:H11" si="3">F10*8*2</f>
        <v>16</v>
      </c>
      <c r="I10" s="99">
        <f>(D10-20)/2-10</f>
        <v>1130</v>
      </c>
      <c r="J10" s="61">
        <f t="shared" ref="J10:J11" si="4">F10*16</f>
        <v>16</v>
      </c>
      <c r="K10" s="56">
        <f t="shared" si="0"/>
        <v>970</v>
      </c>
      <c r="L10" s="91">
        <v>4</v>
      </c>
      <c r="M10" s="56">
        <f t="shared" si="2"/>
        <v>2300</v>
      </c>
      <c r="N10" s="91">
        <v>4</v>
      </c>
      <c r="O10" s="52"/>
    </row>
    <row r="11" spans="1:15">
      <c r="A11" s="84" t="str">
        <f>'1. 소켓인수검사'!A12</f>
        <v>04</v>
      </c>
      <c r="B11" s="90" t="s">
        <v>46</v>
      </c>
      <c r="C11" s="34">
        <f>'1. 소켓인수검사'!C12</f>
        <v>1000</v>
      </c>
      <c r="D11" s="34">
        <f>'1. 소켓인수검사'!D12</f>
        <v>900</v>
      </c>
      <c r="E11" s="35"/>
      <c r="F11" s="34">
        <v>1</v>
      </c>
      <c r="G11" s="55">
        <f t="shared" si="1"/>
        <v>480</v>
      </c>
      <c r="H11" s="61">
        <f t="shared" si="3"/>
        <v>16</v>
      </c>
      <c r="I11" s="99">
        <f t="shared" ref="I11" si="5">(D11-20)/2-10</f>
        <v>430</v>
      </c>
      <c r="J11" s="61">
        <f t="shared" si="4"/>
        <v>16</v>
      </c>
      <c r="K11" s="56">
        <f t="shared" si="0"/>
        <v>1060</v>
      </c>
      <c r="L11" s="91">
        <v>4</v>
      </c>
      <c r="M11" s="56">
        <f t="shared" si="2"/>
        <v>900</v>
      </c>
      <c r="N11" s="91">
        <v>4</v>
      </c>
      <c r="O11" s="52"/>
    </row>
    <row r="12" spans="1:15">
      <c r="A12" s="84" t="str">
        <f>'1. 소켓인수검사'!A13</f>
        <v>05</v>
      </c>
      <c r="B12" s="90" t="s">
        <v>46</v>
      </c>
      <c r="C12" s="34">
        <f>'1. 소켓인수검사'!C13</f>
        <v>1000</v>
      </c>
      <c r="D12" s="34">
        <f>'1. 소켓인수검사'!D13</f>
        <v>1000</v>
      </c>
      <c r="E12" s="35"/>
      <c r="F12" s="34">
        <v>1</v>
      </c>
      <c r="G12" s="55">
        <f t="shared" si="1"/>
        <v>480</v>
      </c>
      <c r="H12" s="61">
        <f t="shared" ref="H12:H14" si="6">F12*8*2</f>
        <v>16</v>
      </c>
      <c r="I12" s="99">
        <f t="shared" ref="I12:I14" si="7">(D12-20)/2-10</f>
        <v>480</v>
      </c>
      <c r="J12" s="61">
        <f t="shared" ref="J12:J14" si="8">F12*16</f>
        <v>16</v>
      </c>
      <c r="K12" s="56">
        <f t="shared" ref="K12:K16" si="9">C12+60</f>
        <v>1060</v>
      </c>
      <c r="L12" s="91">
        <v>4</v>
      </c>
      <c r="M12" s="56">
        <f t="shared" si="2"/>
        <v>1000</v>
      </c>
      <c r="N12" s="91">
        <v>4</v>
      </c>
      <c r="O12" s="52"/>
    </row>
    <row r="13" spans="1:15">
      <c r="A13" s="84" t="str">
        <f>'1. 소켓인수검사'!A14</f>
        <v>06</v>
      </c>
      <c r="B13" s="90" t="s">
        <v>46</v>
      </c>
      <c r="C13" s="34">
        <f>'1. 소켓인수검사'!C14</f>
        <v>1400</v>
      </c>
      <c r="D13" s="34">
        <f>'1. 소켓인수검사'!D14</f>
        <v>700</v>
      </c>
      <c r="E13" s="35"/>
      <c r="F13" s="34">
        <v>1</v>
      </c>
      <c r="G13" s="55">
        <f t="shared" si="1"/>
        <v>680</v>
      </c>
      <c r="H13" s="61">
        <f t="shared" si="6"/>
        <v>16</v>
      </c>
      <c r="I13" s="99">
        <f t="shared" si="7"/>
        <v>330</v>
      </c>
      <c r="J13" s="61">
        <f t="shared" si="8"/>
        <v>16</v>
      </c>
      <c r="K13" s="56">
        <f t="shared" si="9"/>
        <v>1460</v>
      </c>
      <c r="L13" s="91">
        <v>4</v>
      </c>
      <c r="M13" s="56">
        <f t="shared" si="2"/>
        <v>700</v>
      </c>
      <c r="N13" s="91">
        <v>4</v>
      </c>
      <c r="O13" s="52"/>
    </row>
    <row r="14" spans="1:15">
      <c r="A14" s="84" t="str">
        <f>'1. 소켓인수검사'!A15</f>
        <v>07</v>
      </c>
      <c r="B14" s="90" t="s">
        <v>46</v>
      </c>
      <c r="C14" s="34">
        <f>'1. 소켓인수검사'!C15</f>
        <v>1400</v>
      </c>
      <c r="D14" s="34">
        <f>'1. 소켓인수검사'!D15</f>
        <v>850</v>
      </c>
      <c r="E14" s="35"/>
      <c r="F14" s="34">
        <v>1</v>
      </c>
      <c r="G14" s="55">
        <f t="shared" si="1"/>
        <v>680</v>
      </c>
      <c r="H14" s="61">
        <f t="shared" si="6"/>
        <v>16</v>
      </c>
      <c r="I14" s="99">
        <f t="shared" si="7"/>
        <v>405</v>
      </c>
      <c r="J14" s="61">
        <f t="shared" si="8"/>
        <v>16</v>
      </c>
      <c r="K14" s="56">
        <f t="shared" si="9"/>
        <v>1460</v>
      </c>
      <c r="L14" s="91">
        <v>4</v>
      </c>
      <c r="M14" s="56">
        <f t="shared" si="2"/>
        <v>850</v>
      </c>
      <c r="N14" s="91">
        <v>4</v>
      </c>
      <c r="O14" s="52"/>
    </row>
    <row r="15" spans="1:15">
      <c r="A15" s="84" t="str">
        <f>'1. 소켓인수검사'!A16</f>
        <v>08</v>
      </c>
      <c r="B15" s="90" t="s">
        <v>46</v>
      </c>
      <c r="C15" s="34">
        <f>'1. 소켓인수검사'!C16</f>
        <v>2400</v>
      </c>
      <c r="D15" s="34">
        <f>'1. 소켓인수검사'!D16</f>
        <v>2700</v>
      </c>
      <c r="E15" s="35"/>
      <c r="F15" s="34">
        <v>1</v>
      </c>
      <c r="G15" s="55">
        <v>1180</v>
      </c>
      <c r="H15" s="61">
        <v>32</v>
      </c>
      <c r="I15" s="99">
        <v>640</v>
      </c>
      <c r="J15" s="61">
        <v>32</v>
      </c>
      <c r="K15" s="56">
        <f t="shared" si="9"/>
        <v>2460</v>
      </c>
      <c r="L15" s="91">
        <v>8</v>
      </c>
      <c r="M15" s="56">
        <v>1320</v>
      </c>
      <c r="N15" s="91">
        <v>8</v>
      </c>
      <c r="O15" s="52" t="s">
        <v>99</v>
      </c>
    </row>
    <row r="16" spans="1:15">
      <c r="A16" s="84" t="str">
        <f>'1. 소켓인수검사'!A17</f>
        <v>09</v>
      </c>
      <c r="B16" s="90" t="s">
        <v>46</v>
      </c>
      <c r="C16" s="34">
        <f>'1. 소켓인수검사'!C17</f>
        <v>2550</v>
      </c>
      <c r="D16" s="34">
        <f>'1. 소켓인수검사'!D17</f>
        <v>2700</v>
      </c>
      <c r="E16" s="35"/>
      <c r="F16" s="34">
        <v>1</v>
      </c>
      <c r="G16" s="55">
        <v>1255</v>
      </c>
      <c r="H16" s="61">
        <v>32</v>
      </c>
      <c r="I16" s="99">
        <v>640</v>
      </c>
      <c r="J16" s="61">
        <v>32</v>
      </c>
      <c r="K16" s="56">
        <f t="shared" si="9"/>
        <v>2610</v>
      </c>
      <c r="L16" s="91">
        <v>8</v>
      </c>
      <c r="M16" s="56">
        <v>1320</v>
      </c>
      <c r="N16" s="91">
        <v>8</v>
      </c>
      <c r="O16" s="52" t="s">
        <v>99</v>
      </c>
    </row>
    <row r="17" spans="1:15">
      <c r="A17" s="114"/>
      <c r="B17" s="115"/>
      <c r="C17" s="115"/>
      <c r="D17" s="92"/>
      <c r="E17" s="93"/>
      <c r="F17" s="93"/>
      <c r="G17" s="94"/>
      <c r="H17" s="57">
        <f>SUM(H8:H16)</f>
        <v>176</v>
      </c>
      <c r="I17" s="94"/>
      <c r="J17" s="57">
        <f>SUM(J8:J16)</f>
        <v>176</v>
      </c>
      <c r="K17" s="92"/>
      <c r="L17" s="57">
        <f>SUM(L8:L16)</f>
        <v>44</v>
      </c>
      <c r="M17" s="92"/>
      <c r="N17" s="57">
        <f>SUM(N8:N16)</f>
        <v>44</v>
      </c>
      <c r="O17" s="58"/>
    </row>
    <row r="18" spans="1:15" ht="8.1" customHeight="1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7"/>
      <c r="O18" s="4"/>
    </row>
    <row r="19" spans="1:15">
      <c r="A19" s="104" t="s">
        <v>15</v>
      </c>
      <c r="B19" s="104"/>
      <c r="C19" s="104"/>
      <c r="D19" s="105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7"/>
    </row>
    <row r="20" spans="1:15">
      <c r="A20" s="104"/>
      <c r="B20" s="104"/>
      <c r="C20" s="104"/>
      <c r="D20" s="108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10"/>
    </row>
    <row r="21" spans="1:15">
      <c r="A21" s="104"/>
      <c r="B21" s="104"/>
      <c r="C21" s="104"/>
      <c r="D21" s="108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10"/>
    </row>
    <row r="22" spans="1:15">
      <c r="A22" s="104"/>
      <c r="B22" s="104"/>
      <c r="C22" s="104"/>
      <c r="D22" s="108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10"/>
    </row>
    <row r="23" spans="1:15">
      <c r="A23" s="104"/>
      <c r="B23" s="104"/>
      <c r="C23" s="104"/>
      <c r="D23" s="108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10"/>
    </row>
    <row r="24" spans="1:15">
      <c r="A24" s="104"/>
      <c r="B24" s="104"/>
      <c r="C24" s="104"/>
      <c r="D24" s="111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3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19:C24"/>
    <mergeCell ref="D19:O24"/>
    <mergeCell ref="A17:C17"/>
    <mergeCell ref="A18:N18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9"/>
  <sheetViews>
    <sheetView zoomScaleNormal="100" zoomScaleSheetLayoutView="100" workbookViewId="0">
      <selection activeCell="P26" sqref="P26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04"/>
      <c r="B1" s="104"/>
      <c r="C1" s="104"/>
      <c r="D1" s="104"/>
      <c r="E1" s="104" t="s">
        <v>80</v>
      </c>
      <c r="F1" s="165"/>
      <c r="G1" s="170" t="str">
        <f>'1. 소켓인수검사'!R2</f>
        <v>26.07.22 성운에프에스_지에프에스_신대1지구 B1블럭 공동주택 신축공사</v>
      </c>
      <c r="H1" s="170"/>
      <c r="I1" s="170"/>
      <c r="J1" s="170"/>
      <c r="K1" s="171"/>
    </row>
    <row r="2" spans="1:11" ht="16.5" customHeight="1">
      <c r="A2" s="104"/>
      <c r="B2" s="104"/>
      <c r="C2" s="104"/>
      <c r="D2" s="104"/>
      <c r="E2" s="166"/>
      <c r="F2" s="167"/>
      <c r="G2" s="172"/>
      <c r="H2" s="172"/>
      <c r="I2" s="172"/>
      <c r="J2" s="172"/>
      <c r="K2" s="173"/>
    </row>
    <row r="3" spans="1:11" ht="16.5" customHeight="1">
      <c r="A3" s="104"/>
      <c r="B3" s="104"/>
      <c r="C3" s="104"/>
      <c r="D3" s="104"/>
      <c r="E3" s="168"/>
      <c r="F3" s="169"/>
      <c r="G3" s="174"/>
      <c r="H3" s="174"/>
      <c r="I3" s="174"/>
      <c r="J3" s="174"/>
      <c r="K3" s="175"/>
    </row>
    <row r="4" spans="1:11" ht="8.1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</row>
    <row r="5" spans="1:11" ht="26.45" customHeight="1">
      <c r="A5" s="155" t="s">
        <v>56</v>
      </c>
      <c r="B5" s="156" t="s">
        <v>66</v>
      </c>
      <c r="C5" s="159" t="s">
        <v>4</v>
      </c>
      <c r="D5" s="159"/>
      <c r="E5" s="159" t="s">
        <v>24</v>
      </c>
      <c r="F5" s="160" t="s">
        <v>54</v>
      </c>
      <c r="G5" s="163" t="s">
        <v>34</v>
      </c>
      <c r="H5" s="164"/>
      <c r="I5" s="164"/>
      <c r="J5" s="164"/>
      <c r="K5" s="160" t="s">
        <v>2</v>
      </c>
    </row>
    <row r="6" spans="1:11" ht="16.5" customHeight="1">
      <c r="A6" s="155"/>
      <c r="B6" s="157"/>
      <c r="C6" s="159" t="s">
        <v>63</v>
      </c>
      <c r="D6" s="159" t="s">
        <v>61</v>
      </c>
      <c r="E6" s="159"/>
      <c r="F6" s="161"/>
      <c r="G6" s="159" t="s">
        <v>65</v>
      </c>
      <c r="H6" s="159"/>
      <c r="I6" s="163" t="s">
        <v>62</v>
      </c>
      <c r="J6" s="164"/>
      <c r="K6" s="161"/>
    </row>
    <row r="7" spans="1:11">
      <c r="A7" s="155"/>
      <c r="B7" s="158"/>
      <c r="C7" s="159"/>
      <c r="D7" s="159"/>
      <c r="E7" s="159"/>
      <c r="F7" s="162"/>
      <c r="G7" s="16" t="s">
        <v>4</v>
      </c>
      <c r="H7" s="16" t="s">
        <v>54</v>
      </c>
      <c r="I7" s="16" t="s">
        <v>4</v>
      </c>
      <c r="J7" s="17" t="s">
        <v>54</v>
      </c>
      <c r="K7" s="162"/>
    </row>
    <row r="8" spans="1:11">
      <c r="A8" s="82" t="str">
        <f>'1. 소켓인수검사'!A9</f>
        <v>01</v>
      </c>
      <c r="B8" s="101" t="s">
        <v>46</v>
      </c>
      <c r="C8" s="48">
        <f>'1. 소켓인수검사'!C9</f>
        <v>880</v>
      </c>
      <c r="D8" s="48">
        <f>'1. 소켓인수검사'!D9</f>
        <v>980</v>
      </c>
      <c r="E8" s="49"/>
      <c r="F8" s="48">
        <v>1</v>
      </c>
      <c r="G8" s="83">
        <f t="shared" ref="G8:G16" si="0">C8+60</f>
        <v>940</v>
      </c>
      <c r="H8" s="48">
        <v>2</v>
      </c>
      <c r="I8" s="83">
        <f t="shared" ref="I8:I14" si="1">D8</f>
        <v>980</v>
      </c>
      <c r="J8" s="48">
        <v>2</v>
      </c>
      <c r="K8" s="102"/>
    </row>
    <row r="9" spans="1:11">
      <c r="A9" s="84" t="str">
        <f>'1. 소켓인수검사'!A10</f>
        <v>02</v>
      </c>
      <c r="B9" s="54" t="s">
        <v>46</v>
      </c>
      <c r="C9" s="34">
        <f>'1. 소켓인수검사'!C10</f>
        <v>880</v>
      </c>
      <c r="D9" s="34">
        <f>'1. 소켓인수검사'!D10</f>
        <v>980</v>
      </c>
      <c r="E9" s="35"/>
      <c r="F9" s="34">
        <v>1</v>
      </c>
      <c r="G9" s="53">
        <f t="shared" si="0"/>
        <v>940</v>
      </c>
      <c r="H9" s="34">
        <v>2</v>
      </c>
      <c r="I9" s="53">
        <f t="shared" si="1"/>
        <v>980</v>
      </c>
      <c r="J9" s="34">
        <v>2</v>
      </c>
      <c r="K9" s="52"/>
    </row>
    <row r="10" spans="1:11">
      <c r="A10" s="84" t="str">
        <f>'1. 소켓인수검사'!A11</f>
        <v>03</v>
      </c>
      <c r="B10" s="54" t="s">
        <v>46</v>
      </c>
      <c r="C10" s="34">
        <f>'1. 소켓인수검사'!C11</f>
        <v>910</v>
      </c>
      <c r="D10" s="34">
        <f>'1. 소켓인수검사'!D11</f>
        <v>2300</v>
      </c>
      <c r="E10" s="35"/>
      <c r="F10" s="34">
        <v>1</v>
      </c>
      <c r="G10" s="53">
        <f t="shared" si="0"/>
        <v>970</v>
      </c>
      <c r="H10" s="34">
        <v>2</v>
      </c>
      <c r="I10" s="53">
        <f t="shared" si="1"/>
        <v>2300</v>
      </c>
      <c r="J10" s="34">
        <v>2</v>
      </c>
      <c r="K10" s="52"/>
    </row>
    <row r="11" spans="1:11">
      <c r="A11" s="84" t="str">
        <f>'1. 소켓인수검사'!A12</f>
        <v>04</v>
      </c>
      <c r="B11" s="54" t="s">
        <v>46</v>
      </c>
      <c r="C11" s="34">
        <f>'1. 소켓인수검사'!C12</f>
        <v>1000</v>
      </c>
      <c r="D11" s="34">
        <f>'1. 소켓인수검사'!D12</f>
        <v>900</v>
      </c>
      <c r="E11" s="35"/>
      <c r="F11" s="34">
        <v>1</v>
      </c>
      <c r="G11" s="53">
        <f t="shared" si="0"/>
        <v>1060</v>
      </c>
      <c r="H11" s="34">
        <v>2</v>
      </c>
      <c r="I11" s="53">
        <f t="shared" si="1"/>
        <v>900</v>
      </c>
      <c r="J11" s="34">
        <v>2</v>
      </c>
      <c r="K11" s="52"/>
    </row>
    <row r="12" spans="1:11">
      <c r="A12" s="84" t="str">
        <f>'1. 소켓인수검사'!A13</f>
        <v>05</v>
      </c>
      <c r="B12" s="54" t="s">
        <v>46</v>
      </c>
      <c r="C12" s="34">
        <f>'1. 소켓인수검사'!C13</f>
        <v>1000</v>
      </c>
      <c r="D12" s="34">
        <f>'1. 소켓인수검사'!D13</f>
        <v>1000</v>
      </c>
      <c r="E12" s="35"/>
      <c r="F12" s="34">
        <v>1</v>
      </c>
      <c r="G12" s="53">
        <f t="shared" si="0"/>
        <v>1060</v>
      </c>
      <c r="H12" s="34">
        <v>2</v>
      </c>
      <c r="I12" s="53">
        <f t="shared" si="1"/>
        <v>1000</v>
      </c>
      <c r="J12" s="34">
        <v>2</v>
      </c>
      <c r="K12" s="52"/>
    </row>
    <row r="13" spans="1:11">
      <c r="A13" s="84" t="str">
        <f>'1. 소켓인수검사'!A14</f>
        <v>06</v>
      </c>
      <c r="B13" s="54" t="s">
        <v>46</v>
      </c>
      <c r="C13" s="34">
        <f>'1. 소켓인수검사'!C14</f>
        <v>1400</v>
      </c>
      <c r="D13" s="34">
        <f>'1. 소켓인수검사'!D14</f>
        <v>700</v>
      </c>
      <c r="E13" s="35"/>
      <c r="F13" s="34">
        <v>1</v>
      </c>
      <c r="G13" s="53">
        <f t="shared" si="0"/>
        <v>1460</v>
      </c>
      <c r="H13" s="34">
        <v>2</v>
      </c>
      <c r="I13" s="53">
        <f t="shared" si="1"/>
        <v>700</v>
      </c>
      <c r="J13" s="34">
        <v>2</v>
      </c>
      <c r="K13" s="52"/>
    </row>
    <row r="14" spans="1:11">
      <c r="A14" s="84" t="str">
        <f>'1. 소켓인수검사'!A15</f>
        <v>07</v>
      </c>
      <c r="B14" s="54" t="s">
        <v>46</v>
      </c>
      <c r="C14" s="34">
        <f>'1. 소켓인수검사'!C15</f>
        <v>1400</v>
      </c>
      <c r="D14" s="34">
        <f>'1. 소켓인수검사'!D15</f>
        <v>850</v>
      </c>
      <c r="E14" s="35"/>
      <c r="F14" s="34">
        <v>1</v>
      </c>
      <c r="G14" s="53">
        <f t="shared" si="0"/>
        <v>1460</v>
      </c>
      <c r="H14" s="34">
        <v>2</v>
      </c>
      <c r="I14" s="53">
        <f t="shared" si="1"/>
        <v>850</v>
      </c>
      <c r="J14" s="34">
        <v>2</v>
      </c>
      <c r="K14" s="52"/>
    </row>
    <row r="15" spans="1:11">
      <c r="A15" s="84" t="str">
        <f>'1. 소켓인수검사'!A16</f>
        <v>08</v>
      </c>
      <c r="B15" s="54" t="s">
        <v>46</v>
      </c>
      <c r="C15" s="34">
        <f>'1. 소켓인수검사'!C16</f>
        <v>2400</v>
      </c>
      <c r="D15" s="34">
        <f>'1. 소켓인수검사'!D16</f>
        <v>2700</v>
      </c>
      <c r="E15" s="35"/>
      <c r="F15" s="34">
        <v>1</v>
      </c>
      <c r="G15" s="53">
        <f t="shared" si="0"/>
        <v>2460</v>
      </c>
      <c r="H15" s="34">
        <v>8</v>
      </c>
      <c r="I15" s="53">
        <v>1320</v>
      </c>
      <c r="J15" s="34">
        <v>8</v>
      </c>
      <c r="K15" s="52" t="s">
        <v>99</v>
      </c>
    </row>
    <row r="16" spans="1:11">
      <c r="A16" s="85" t="str">
        <f>'1. 소켓인수검사'!A17</f>
        <v>09</v>
      </c>
      <c r="B16" s="103" t="s">
        <v>46</v>
      </c>
      <c r="C16" s="43">
        <f>'1. 소켓인수검사'!C17</f>
        <v>2550</v>
      </c>
      <c r="D16" s="43">
        <f>'1. 소켓인수검사'!D17</f>
        <v>2700</v>
      </c>
      <c r="E16" s="44"/>
      <c r="F16" s="43">
        <v>1</v>
      </c>
      <c r="G16" s="86">
        <f t="shared" si="0"/>
        <v>2610</v>
      </c>
      <c r="H16" s="43">
        <v>8</v>
      </c>
      <c r="I16" s="86">
        <v>1320</v>
      </c>
      <c r="J16" s="43">
        <v>8</v>
      </c>
      <c r="K16" s="87" t="s">
        <v>99</v>
      </c>
    </row>
    <row r="17" spans="1:11">
      <c r="A17" s="104" t="s">
        <v>44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</row>
    <row r="18" spans="1:11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</row>
    <row r="19" spans="1:11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</row>
  </sheetData>
  <mergeCells count="17">
    <mergeCell ref="G1:K3"/>
    <mergeCell ref="A17:C19"/>
    <mergeCell ref="D17:K19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  <mergeCell ref="I6:J6"/>
    <mergeCell ref="E1:F3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26"/>
  <sheetViews>
    <sheetView showGridLines="0" zoomScaleNormal="100" zoomScaleSheetLayoutView="100" workbookViewId="0">
      <selection activeCell="N18" sqref="N18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04"/>
      <c r="B1" s="104"/>
      <c r="C1" s="104"/>
      <c r="D1" s="104"/>
      <c r="E1" s="188" t="s">
        <v>69</v>
      </c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90"/>
    </row>
    <row r="2" spans="1:16" ht="16.5" customHeight="1">
      <c r="A2" s="104"/>
      <c r="B2" s="104"/>
      <c r="C2" s="104"/>
      <c r="D2" s="104"/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3"/>
    </row>
    <row r="3" spans="1:16" ht="16.5" customHeight="1">
      <c r="A3" s="104"/>
      <c r="B3" s="104"/>
      <c r="C3" s="104"/>
      <c r="D3" s="104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3"/>
    </row>
    <row r="4" spans="1:16" ht="16.5" customHeight="1">
      <c r="A4" s="104" t="s">
        <v>16</v>
      </c>
      <c r="B4" s="104"/>
      <c r="C4" s="104"/>
      <c r="D4" s="104"/>
      <c r="E4" s="194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6"/>
    </row>
    <row r="5" spans="1:16" ht="16.5" customHeight="1">
      <c r="A5" s="104" t="s">
        <v>26</v>
      </c>
      <c r="B5" s="104"/>
      <c r="C5" s="104"/>
      <c r="D5" s="104"/>
      <c r="E5" s="6" t="s">
        <v>32</v>
      </c>
      <c r="F5" s="104"/>
      <c r="G5" s="104"/>
      <c r="H5" s="104" t="s">
        <v>59</v>
      </c>
      <c r="I5" s="104"/>
      <c r="J5" s="104"/>
      <c r="K5" s="104" t="s">
        <v>55</v>
      </c>
      <c r="L5" s="104"/>
      <c r="M5" s="104"/>
      <c r="N5" s="183" t="str">
        <f>'1. 소켓인수검사'!R2</f>
        <v>26.07.22 성운에프에스_지에프에스_신대1지구 B1블럭 공동주택 신축공사</v>
      </c>
      <c r="O5" s="183"/>
      <c r="P5" s="183"/>
    </row>
    <row r="6" spans="1:16">
      <c r="A6" s="104"/>
      <c r="B6" s="104"/>
      <c r="C6" s="104"/>
      <c r="D6" s="104"/>
      <c r="E6" s="6" t="s">
        <v>29</v>
      </c>
      <c r="F6" s="104"/>
      <c r="G6" s="104"/>
      <c r="H6" s="104"/>
      <c r="I6" s="104"/>
      <c r="J6" s="104"/>
      <c r="K6" s="104"/>
      <c r="L6" s="104"/>
      <c r="M6" s="104"/>
      <c r="N6" s="183"/>
      <c r="O6" s="183"/>
      <c r="P6" s="183"/>
    </row>
    <row r="7" spans="1:16" ht="8.1" customHeight="1">
      <c r="A7" s="197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9"/>
    </row>
    <row r="8" spans="1:16" ht="21" customHeight="1">
      <c r="A8" s="104" t="s">
        <v>56</v>
      </c>
      <c r="B8" s="184" t="s">
        <v>4</v>
      </c>
      <c r="C8" s="184"/>
      <c r="D8" s="184" t="s">
        <v>28</v>
      </c>
      <c r="E8" s="184" t="s">
        <v>24</v>
      </c>
      <c r="F8" s="184" t="s">
        <v>60</v>
      </c>
      <c r="G8" s="201" t="s">
        <v>27</v>
      </c>
      <c r="H8" s="202"/>
      <c r="I8" s="202"/>
      <c r="J8" s="202"/>
      <c r="K8" s="202"/>
      <c r="L8" s="202"/>
      <c r="M8" s="202"/>
      <c r="N8" s="202"/>
      <c r="O8" s="203"/>
      <c r="P8" s="184" t="s">
        <v>2</v>
      </c>
    </row>
    <row r="9" spans="1:16" ht="21" customHeight="1">
      <c r="A9" s="104"/>
      <c r="B9" s="201" t="s">
        <v>63</v>
      </c>
      <c r="C9" s="184" t="s">
        <v>61</v>
      </c>
      <c r="D9" s="184"/>
      <c r="E9" s="184"/>
      <c r="F9" s="184"/>
      <c r="G9" s="184" t="s">
        <v>57</v>
      </c>
      <c r="H9" s="184" t="s">
        <v>63</v>
      </c>
      <c r="I9" s="184"/>
      <c r="J9" s="181" t="s">
        <v>10</v>
      </c>
      <c r="K9" s="184" t="s">
        <v>61</v>
      </c>
      <c r="L9" s="184"/>
      <c r="M9" s="184"/>
      <c r="N9" s="184"/>
      <c r="O9" s="181" t="s">
        <v>10</v>
      </c>
      <c r="P9" s="184"/>
    </row>
    <row r="10" spans="1:16" ht="21" customHeight="1">
      <c r="A10" s="200"/>
      <c r="B10" s="204"/>
      <c r="C10" s="181"/>
      <c r="D10" s="181"/>
      <c r="E10" s="181"/>
      <c r="F10" s="181"/>
      <c r="G10" s="181"/>
      <c r="H10" s="23" t="s">
        <v>4</v>
      </c>
      <c r="I10" s="23" t="s">
        <v>31</v>
      </c>
      <c r="J10" s="182"/>
      <c r="K10" s="185" t="s">
        <v>4</v>
      </c>
      <c r="L10" s="186"/>
      <c r="M10" s="187"/>
      <c r="N10" s="24" t="s">
        <v>31</v>
      </c>
      <c r="O10" s="182"/>
      <c r="P10" s="181"/>
    </row>
    <row r="11" spans="1:16" ht="16.5" customHeight="1">
      <c r="A11" s="47" t="str">
        <f>'1. 소켓인수검사'!A9</f>
        <v>01</v>
      </c>
      <c r="B11" s="48">
        <f>'1. 소켓인수검사'!C9</f>
        <v>880</v>
      </c>
      <c r="C11" s="48">
        <f>'1. 소켓인수검사'!D9</f>
        <v>980</v>
      </c>
      <c r="D11" s="50">
        <v>1</v>
      </c>
      <c r="E11" s="49"/>
      <c r="F11" s="62" t="s">
        <v>48</v>
      </c>
      <c r="G11" s="50" t="s">
        <v>47</v>
      </c>
      <c r="H11" s="59">
        <f>(B11-30)/2-1</f>
        <v>424</v>
      </c>
      <c r="I11" s="50">
        <f>D11*8*2</f>
        <v>16</v>
      </c>
      <c r="J11" s="50"/>
      <c r="K11" s="180">
        <f>(C11-20)/2-10-1</f>
        <v>469</v>
      </c>
      <c r="L11" s="180"/>
      <c r="M11" s="180"/>
      <c r="N11" s="50">
        <f>D11*16*2</f>
        <v>32</v>
      </c>
      <c r="O11" s="50"/>
      <c r="P11" s="60"/>
    </row>
    <row r="12" spans="1:16">
      <c r="A12" s="51" t="str">
        <f>'1. 소켓인수검사'!A10</f>
        <v>02</v>
      </c>
      <c r="B12" s="34">
        <f>'1. 소켓인수검사'!C10</f>
        <v>880</v>
      </c>
      <c r="C12" s="34">
        <f>'1. 소켓인수검사'!D10</f>
        <v>980</v>
      </c>
      <c r="D12" s="30">
        <v>1</v>
      </c>
      <c r="E12" s="35"/>
      <c r="F12" s="63"/>
      <c r="G12" s="30"/>
      <c r="H12" s="61">
        <f t="shared" ref="H12" si="0">(B12-30)/2-1</f>
        <v>424</v>
      </c>
      <c r="I12" s="30">
        <f>D12*8*2</f>
        <v>16</v>
      </c>
      <c r="J12" s="30"/>
      <c r="K12" s="179">
        <f>(C12-20)/2-10-1</f>
        <v>469</v>
      </c>
      <c r="L12" s="179"/>
      <c r="M12" s="179"/>
      <c r="N12" s="30">
        <f>D12*16*2</f>
        <v>32</v>
      </c>
      <c r="O12" s="30"/>
      <c r="P12" s="31"/>
    </row>
    <row r="13" spans="1:16">
      <c r="A13" s="51" t="str">
        <f>'1. 소켓인수검사'!A11</f>
        <v>03</v>
      </c>
      <c r="B13" s="34">
        <f>'1. 소켓인수검사'!C11</f>
        <v>910</v>
      </c>
      <c r="C13" s="34">
        <f>'1. 소켓인수검사'!D11</f>
        <v>2300</v>
      </c>
      <c r="D13" s="30">
        <v>1</v>
      </c>
      <c r="E13" s="35"/>
      <c r="F13" s="63"/>
      <c r="G13" s="30"/>
      <c r="H13" s="61">
        <f t="shared" ref="H13:H19" si="1">(B13-30)/2-1</f>
        <v>439</v>
      </c>
      <c r="I13" s="30">
        <f>D13*8*2</f>
        <v>16</v>
      </c>
      <c r="J13" s="30"/>
      <c r="K13" s="179">
        <f t="shared" ref="K13:K17" si="2">(C13-20)/2-10-1</f>
        <v>1129</v>
      </c>
      <c r="L13" s="179"/>
      <c r="M13" s="179"/>
      <c r="N13" s="30">
        <f>D13*16*2</f>
        <v>32</v>
      </c>
      <c r="O13" s="30"/>
      <c r="P13" s="31"/>
    </row>
    <row r="14" spans="1:16">
      <c r="A14" s="51" t="str">
        <f>'1. 소켓인수검사'!A12</f>
        <v>04</v>
      </c>
      <c r="B14" s="34">
        <f>'1. 소켓인수검사'!C12</f>
        <v>1000</v>
      </c>
      <c r="C14" s="34">
        <f>'1. 소켓인수검사'!D12</f>
        <v>900</v>
      </c>
      <c r="D14" s="30">
        <v>1</v>
      </c>
      <c r="E14" s="35"/>
      <c r="F14" s="63"/>
      <c r="G14" s="30"/>
      <c r="H14" s="61">
        <f t="shared" si="1"/>
        <v>484</v>
      </c>
      <c r="I14" s="30">
        <f t="shared" ref="I14:I17" si="3">D14*8*2</f>
        <v>16</v>
      </c>
      <c r="J14" s="30"/>
      <c r="K14" s="179">
        <f t="shared" si="2"/>
        <v>429</v>
      </c>
      <c r="L14" s="179"/>
      <c r="M14" s="179"/>
      <c r="N14" s="30">
        <f t="shared" ref="N14:N17" si="4">D14*16*2</f>
        <v>32</v>
      </c>
      <c r="O14" s="30"/>
      <c r="P14" s="31"/>
    </row>
    <row r="15" spans="1:16">
      <c r="A15" s="51" t="str">
        <f>'1. 소켓인수검사'!A13</f>
        <v>05</v>
      </c>
      <c r="B15" s="34">
        <f>'1. 소켓인수검사'!C13</f>
        <v>1000</v>
      </c>
      <c r="C15" s="34">
        <f>'1. 소켓인수검사'!D13</f>
        <v>1000</v>
      </c>
      <c r="D15" s="30">
        <v>1</v>
      </c>
      <c r="E15" s="35"/>
      <c r="F15" s="63"/>
      <c r="G15" s="30"/>
      <c r="H15" s="61">
        <f t="shared" si="1"/>
        <v>484</v>
      </c>
      <c r="I15" s="30">
        <f t="shared" si="3"/>
        <v>16</v>
      </c>
      <c r="J15" s="30"/>
      <c r="K15" s="179">
        <f t="shared" si="2"/>
        <v>479</v>
      </c>
      <c r="L15" s="179"/>
      <c r="M15" s="179"/>
      <c r="N15" s="30">
        <f t="shared" si="4"/>
        <v>32</v>
      </c>
      <c r="O15" s="30"/>
      <c r="P15" s="31"/>
    </row>
    <row r="16" spans="1:16">
      <c r="A16" s="51" t="str">
        <f>'1. 소켓인수검사'!A14</f>
        <v>06</v>
      </c>
      <c r="B16" s="34">
        <f>'1. 소켓인수검사'!C14</f>
        <v>1400</v>
      </c>
      <c r="C16" s="34">
        <f>'1. 소켓인수검사'!D14</f>
        <v>700</v>
      </c>
      <c r="D16" s="30">
        <v>1</v>
      </c>
      <c r="E16" s="35"/>
      <c r="F16" s="63"/>
      <c r="G16" s="30"/>
      <c r="H16" s="61">
        <f t="shared" si="1"/>
        <v>684</v>
      </c>
      <c r="I16" s="30">
        <f t="shared" si="3"/>
        <v>16</v>
      </c>
      <c r="J16" s="30"/>
      <c r="K16" s="179">
        <f t="shared" si="2"/>
        <v>329</v>
      </c>
      <c r="L16" s="179"/>
      <c r="M16" s="179"/>
      <c r="N16" s="30">
        <f t="shared" si="4"/>
        <v>32</v>
      </c>
      <c r="O16" s="30"/>
      <c r="P16" s="31"/>
    </row>
    <row r="17" spans="1:16">
      <c r="A17" s="51" t="str">
        <f>'1. 소켓인수검사'!A15</f>
        <v>07</v>
      </c>
      <c r="B17" s="34">
        <f>'1. 소켓인수검사'!C15</f>
        <v>1400</v>
      </c>
      <c r="C17" s="34">
        <f>'1. 소켓인수검사'!D15</f>
        <v>850</v>
      </c>
      <c r="D17" s="30">
        <v>1</v>
      </c>
      <c r="E17" s="35"/>
      <c r="F17" s="63"/>
      <c r="G17" s="30"/>
      <c r="H17" s="61">
        <f t="shared" si="1"/>
        <v>684</v>
      </c>
      <c r="I17" s="30">
        <f t="shared" si="3"/>
        <v>16</v>
      </c>
      <c r="J17" s="30"/>
      <c r="K17" s="179">
        <f t="shared" si="2"/>
        <v>404</v>
      </c>
      <c r="L17" s="179"/>
      <c r="M17" s="179"/>
      <c r="N17" s="30">
        <f t="shared" si="4"/>
        <v>32</v>
      </c>
      <c r="O17" s="30"/>
      <c r="P17" s="31"/>
    </row>
    <row r="18" spans="1:16">
      <c r="A18" s="51" t="str">
        <f>'1. 소켓인수검사'!A16</f>
        <v>08</v>
      </c>
      <c r="B18" s="34">
        <f>'1. 소켓인수검사'!C16</f>
        <v>2400</v>
      </c>
      <c r="C18" s="34">
        <f>'1. 소켓인수검사'!D16</f>
        <v>2700</v>
      </c>
      <c r="D18" s="30">
        <v>1</v>
      </c>
      <c r="E18" s="35"/>
      <c r="F18" s="63"/>
      <c r="G18" s="30"/>
      <c r="H18" s="61">
        <f t="shared" si="1"/>
        <v>1184</v>
      </c>
      <c r="I18" s="30">
        <v>32</v>
      </c>
      <c r="J18" s="30"/>
      <c r="K18" s="179">
        <v>640</v>
      </c>
      <c r="L18" s="179"/>
      <c r="M18" s="179"/>
      <c r="N18" s="30">
        <v>64</v>
      </c>
      <c r="O18" s="30"/>
      <c r="P18" s="31"/>
    </row>
    <row r="19" spans="1:16">
      <c r="A19" s="51" t="str">
        <f>'1. 소켓인수검사'!A17</f>
        <v>09</v>
      </c>
      <c r="B19" s="34">
        <f>'1. 소켓인수검사'!C17</f>
        <v>2550</v>
      </c>
      <c r="C19" s="34">
        <f>'1. 소켓인수검사'!D17</f>
        <v>2700</v>
      </c>
      <c r="D19" s="30">
        <v>1</v>
      </c>
      <c r="E19" s="35"/>
      <c r="F19" s="63"/>
      <c r="G19" s="30"/>
      <c r="H19" s="61">
        <f t="shared" si="1"/>
        <v>1259</v>
      </c>
      <c r="I19" s="30">
        <v>32</v>
      </c>
      <c r="J19" s="30"/>
      <c r="K19" s="179">
        <v>640</v>
      </c>
      <c r="L19" s="179"/>
      <c r="M19" s="179"/>
      <c r="N19" s="30">
        <v>64</v>
      </c>
      <c r="O19" s="30"/>
      <c r="P19" s="31"/>
    </row>
    <row r="20" spans="1:16" ht="8.1" customHeight="1">
      <c r="A20" s="176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77"/>
    </row>
    <row r="21" spans="1:16">
      <c r="A21" s="178" t="s">
        <v>45</v>
      </c>
      <c r="B21" s="178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</row>
    <row r="22" spans="1:16">
      <c r="A22" s="178"/>
      <c r="B22" s="178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</row>
    <row r="23" spans="1:16">
      <c r="A23" s="178"/>
      <c r="B23" s="178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</row>
    <row r="24" spans="1:16">
      <c r="A24" s="178"/>
      <c r="B24" s="178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</row>
    <row r="25" spans="1:16">
      <c r="A25" s="178"/>
      <c r="B25" s="178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</row>
    <row r="26" spans="1:16">
      <c r="A26" s="178"/>
      <c r="B26" s="178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</row>
  </sheetData>
  <mergeCells count="40"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A1:D3"/>
    <mergeCell ref="A4:B4"/>
    <mergeCell ref="C4:D4"/>
    <mergeCell ref="A5:B6"/>
    <mergeCell ref="C5:D6"/>
    <mergeCell ref="C9:C10"/>
    <mergeCell ref="G9:G10"/>
    <mergeCell ref="H9:I9"/>
    <mergeCell ref="J9:J10"/>
    <mergeCell ref="K9:N9"/>
    <mergeCell ref="K10:M10"/>
    <mergeCell ref="O9:O10"/>
    <mergeCell ref="F5:G5"/>
    <mergeCell ref="H5:H6"/>
    <mergeCell ref="I5:J6"/>
    <mergeCell ref="K5:M6"/>
    <mergeCell ref="N5:P6"/>
    <mergeCell ref="F6:G6"/>
    <mergeCell ref="K11:M11"/>
    <mergeCell ref="K12:M12"/>
    <mergeCell ref="K13:M13"/>
    <mergeCell ref="K14:M14"/>
    <mergeCell ref="K15:M15"/>
    <mergeCell ref="A20:P20"/>
    <mergeCell ref="A21:B26"/>
    <mergeCell ref="C21:P26"/>
    <mergeCell ref="K16:M16"/>
    <mergeCell ref="K17:M17"/>
    <mergeCell ref="K18:M18"/>
    <mergeCell ref="K19:M19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26"/>
  <sheetViews>
    <sheetView showGridLines="0" zoomScaleNormal="100" zoomScaleSheetLayoutView="100" workbookViewId="0">
      <selection activeCell="T18" sqref="T18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04"/>
      <c r="B1" s="104"/>
      <c r="C1" s="104"/>
      <c r="D1" s="104"/>
      <c r="E1" s="188" t="s">
        <v>14</v>
      </c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90"/>
    </row>
    <row r="2" spans="1:17" ht="16.5" customHeight="1">
      <c r="A2" s="104"/>
      <c r="B2" s="104"/>
      <c r="C2" s="104"/>
      <c r="D2" s="104"/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3"/>
    </row>
    <row r="3" spans="1:17" ht="16.5" customHeight="1">
      <c r="A3" s="104"/>
      <c r="B3" s="104"/>
      <c r="C3" s="104"/>
      <c r="D3" s="104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3"/>
    </row>
    <row r="4" spans="1:17" ht="16.5" customHeight="1">
      <c r="A4" s="104" t="s">
        <v>16</v>
      </c>
      <c r="B4" s="104"/>
      <c r="C4" s="104"/>
      <c r="D4" s="104"/>
      <c r="E4" s="194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6"/>
    </row>
    <row r="5" spans="1:17" ht="16.5" customHeight="1">
      <c r="A5" s="104" t="s">
        <v>26</v>
      </c>
      <c r="B5" s="104"/>
      <c r="C5" s="104"/>
      <c r="D5" s="104"/>
      <c r="E5" s="6" t="s">
        <v>32</v>
      </c>
      <c r="F5" s="104"/>
      <c r="G5" s="104"/>
      <c r="H5" s="104" t="s">
        <v>59</v>
      </c>
      <c r="I5" s="104"/>
      <c r="J5" s="104"/>
      <c r="K5" s="176" t="s">
        <v>55</v>
      </c>
      <c r="L5" s="104"/>
      <c r="M5" s="104"/>
      <c r="N5" s="177"/>
      <c r="O5" s="183" t="str">
        <f>'1. 소켓인수검사'!R2</f>
        <v>26.07.22 성운에프에스_지에프에스_신대1지구 B1블럭 공동주택 신축공사</v>
      </c>
      <c r="P5" s="183"/>
      <c r="Q5" s="183"/>
    </row>
    <row r="6" spans="1:17">
      <c r="A6" s="104"/>
      <c r="B6" s="104"/>
      <c r="C6" s="104"/>
      <c r="D6" s="104"/>
      <c r="E6" s="6" t="s">
        <v>29</v>
      </c>
      <c r="F6" s="104"/>
      <c r="G6" s="104"/>
      <c r="H6" s="104"/>
      <c r="I6" s="104"/>
      <c r="J6" s="104"/>
      <c r="K6" s="197"/>
      <c r="L6" s="198"/>
      <c r="M6" s="198"/>
      <c r="N6" s="199"/>
      <c r="O6" s="183"/>
      <c r="P6" s="183"/>
      <c r="Q6" s="183"/>
    </row>
    <row r="7" spans="1:17" ht="8.1" customHeight="1">
      <c r="A7" s="197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9"/>
    </row>
    <row r="8" spans="1:17">
      <c r="A8" s="104" t="s">
        <v>56</v>
      </c>
      <c r="B8" s="184" t="s">
        <v>4</v>
      </c>
      <c r="C8" s="184"/>
      <c r="D8" s="184" t="s">
        <v>28</v>
      </c>
      <c r="E8" s="184" t="s">
        <v>24</v>
      </c>
      <c r="F8" s="184" t="s">
        <v>60</v>
      </c>
      <c r="G8" s="201" t="s">
        <v>27</v>
      </c>
      <c r="H8" s="202"/>
      <c r="I8" s="202"/>
      <c r="J8" s="202"/>
      <c r="K8" s="201"/>
      <c r="L8" s="202"/>
      <c r="M8" s="202"/>
      <c r="N8" s="202"/>
      <c r="O8" s="202"/>
      <c r="P8" s="203"/>
      <c r="Q8" s="184" t="s">
        <v>2</v>
      </c>
    </row>
    <row r="9" spans="1:17" ht="16.5" customHeight="1">
      <c r="A9" s="104"/>
      <c r="B9" s="201" t="s">
        <v>63</v>
      </c>
      <c r="C9" s="184" t="s">
        <v>61</v>
      </c>
      <c r="D9" s="184"/>
      <c r="E9" s="184"/>
      <c r="F9" s="184"/>
      <c r="G9" s="184" t="s">
        <v>57</v>
      </c>
      <c r="H9" s="184" t="s">
        <v>49</v>
      </c>
      <c r="I9" s="184"/>
      <c r="J9" s="181" t="s">
        <v>10</v>
      </c>
      <c r="K9" s="181" t="s">
        <v>57</v>
      </c>
      <c r="L9" s="184" t="s">
        <v>18</v>
      </c>
      <c r="M9" s="184"/>
      <c r="N9" s="184"/>
      <c r="O9" s="184"/>
      <c r="P9" s="181" t="s">
        <v>10</v>
      </c>
      <c r="Q9" s="184"/>
    </row>
    <row r="10" spans="1:17">
      <c r="A10" s="200"/>
      <c r="B10" s="204"/>
      <c r="C10" s="181"/>
      <c r="D10" s="181"/>
      <c r="E10" s="181"/>
      <c r="F10" s="181"/>
      <c r="G10" s="181"/>
      <c r="H10" s="23" t="s">
        <v>4</v>
      </c>
      <c r="I10" s="23" t="s">
        <v>31</v>
      </c>
      <c r="J10" s="182"/>
      <c r="K10" s="182"/>
      <c r="L10" s="185" t="s">
        <v>4</v>
      </c>
      <c r="M10" s="186"/>
      <c r="N10" s="187"/>
      <c r="O10" s="24" t="s">
        <v>31</v>
      </c>
      <c r="P10" s="182"/>
      <c r="Q10" s="181"/>
    </row>
    <row r="11" spans="1:17" ht="20.100000000000001" customHeight="1">
      <c r="A11" s="47" t="str">
        <f>'1. 소켓인수검사'!A9</f>
        <v>01</v>
      </c>
      <c r="B11" s="48">
        <f>'1. 소켓인수검사'!C9</f>
        <v>880</v>
      </c>
      <c r="C11" s="48">
        <f>'1. 소켓인수검사'!D9</f>
        <v>980</v>
      </c>
      <c r="D11" s="50">
        <v>1</v>
      </c>
      <c r="E11" s="64"/>
      <c r="F11" s="205" t="s">
        <v>48</v>
      </c>
      <c r="G11" s="59">
        <f>228-3</f>
        <v>225</v>
      </c>
      <c r="H11" s="50">
        <f>((B11-30)/2)-1</f>
        <v>424</v>
      </c>
      <c r="I11" s="50">
        <f t="shared" ref="I11:I17" si="0">D11*4*2</f>
        <v>8</v>
      </c>
      <c r="J11" s="50"/>
      <c r="K11" s="59">
        <f>240-3</f>
        <v>237</v>
      </c>
      <c r="L11" s="207">
        <f t="shared" ref="L11:L17" si="1">C11</f>
        <v>980</v>
      </c>
      <c r="M11" s="208"/>
      <c r="N11" s="208"/>
      <c r="O11" s="50">
        <f t="shared" ref="O11:O17" si="2">D11*2*2</f>
        <v>4</v>
      </c>
      <c r="P11" s="25"/>
      <c r="Q11" s="26"/>
    </row>
    <row r="12" spans="1:17" ht="19.5" customHeight="1">
      <c r="A12" s="51" t="str">
        <f>'1. 소켓인수검사'!A10</f>
        <v>02</v>
      </c>
      <c r="B12" s="34">
        <f>'1. 소켓인수검사'!C10</f>
        <v>880</v>
      </c>
      <c r="C12" s="34">
        <f>'1. 소켓인수검사'!D10</f>
        <v>980</v>
      </c>
      <c r="D12" s="30">
        <v>1</v>
      </c>
      <c r="E12" s="65"/>
      <c r="F12" s="206"/>
      <c r="G12" s="61">
        <f t="shared" ref="G12:G19" si="3">228-3</f>
        <v>225</v>
      </c>
      <c r="H12" s="30">
        <f>((B12-30)/2)-1</f>
        <v>424</v>
      </c>
      <c r="I12" s="30">
        <f t="shared" si="0"/>
        <v>8</v>
      </c>
      <c r="J12" s="30"/>
      <c r="K12" s="61">
        <f t="shared" ref="K12:K19" si="4">240-3</f>
        <v>237</v>
      </c>
      <c r="L12" s="209">
        <f t="shared" si="1"/>
        <v>980</v>
      </c>
      <c r="M12" s="210"/>
      <c r="N12" s="210"/>
      <c r="O12" s="30">
        <f t="shared" si="2"/>
        <v>4</v>
      </c>
      <c r="P12" s="27"/>
      <c r="Q12" s="28"/>
    </row>
    <row r="13" spans="1:17" ht="20.100000000000001" customHeight="1">
      <c r="A13" s="51" t="str">
        <f>'1. 소켓인수검사'!A11</f>
        <v>03</v>
      </c>
      <c r="B13" s="34">
        <f>'1. 소켓인수검사'!C11</f>
        <v>910</v>
      </c>
      <c r="C13" s="34">
        <f>'1. 소켓인수검사'!D11</f>
        <v>2300</v>
      </c>
      <c r="D13" s="30">
        <v>1</v>
      </c>
      <c r="E13" s="65"/>
      <c r="F13" s="206"/>
      <c r="G13" s="61">
        <f t="shared" si="3"/>
        <v>225</v>
      </c>
      <c r="H13" s="30">
        <f t="shared" ref="H13:H19" si="5">((B13-30)/2)-1</f>
        <v>439</v>
      </c>
      <c r="I13" s="30">
        <f t="shared" si="0"/>
        <v>8</v>
      </c>
      <c r="J13" s="30"/>
      <c r="K13" s="61">
        <f t="shared" si="4"/>
        <v>237</v>
      </c>
      <c r="L13" s="209">
        <f t="shared" si="1"/>
        <v>2300</v>
      </c>
      <c r="M13" s="210"/>
      <c r="N13" s="210"/>
      <c r="O13" s="30">
        <f t="shared" si="2"/>
        <v>4</v>
      </c>
      <c r="P13" s="27"/>
      <c r="Q13" s="28"/>
    </row>
    <row r="14" spans="1:17" ht="20.100000000000001" customHeight="1">
      <c r="A14" s="51" t="str">
        <f>'1. 소켓인수검사'!A12</f>
        <v>04</v>
      </c>
      <c r="B14" s="34">
        <f>'1. 소켓인수검사'!C12</f>
        <v>1000</v>
      </c>
      <c r="C14" s="34">
        <f>'1. 소켓인수검사'!D12</f>
        <v>900</v>
      </c>
      <c r="D14" s="30">
        <v>1</v>
      </c>
      <c r="E14" s="65"/>
      <c r="F14" s="206"/>
      <c r="G14" s="61">
        <f t="shared" si="3"/>
        <v>225</v>
      </c>
      <c r="H14" s="30">
        <f t="shared" si="5"/>
        <v>484</v>
      </c>
      <c r="I14" s="30">
        <f t="shared" si="0"/>
        <v>8</v>
      </c>
      <c r="J14" s="30"/>
      <c r="K14" s="61">
        <f t="shared" si="4"/>
        <v>237</v>
      </c>
      <c r="L14" s="209">
        <f t="shared" si="1"/>
        <v>900</v>
      </c>
      <c r="M14" s="210"/>
      <c r="N14" s="210"/>
      <c r="O14" s="30">
        <f t="shared" si="2"/>
        <v>4</v>
      </c>
      <c r="P14" s="27"/>
      <c r="Q14" s="28"/>
    </row>
    <row r="15" spans="1:17" ht="20.100000000000001" customHeight="1">
      <c r="A15" s="51" t="str">
        <f>'1. 소켓인수검사'!A13</f>
        <v>05</v>
      </c>
      <c r="B15" s="34">
        <f>'1. 소켓인수검사'!C13</f>
        <v>1000</v>
      </c>
      <c r="C15" s="34">
        <f>'1. 소켓인수검사'!D13</f>
        <v>1000</v>
      </c>
      <c r="D15" s="30">
        <v>1</v>
      </c>
      <c r="E15" s="65"/>
      <c r="F15" s="206"/>
      <c r="G15" s="61">
        <f t="shared" si="3"/>
        <v>225</v>
      </c>
      <c r="H15" s="30">
        <f t="shared" si="5"/>
        <v>484</v>
      </c>
      <c r="I15" s="30">
        <f t="shared" si="0"/>
        <v>8</v>
      </c>
      <c r="J15" s="30"/>
      <c r="K15" s="61">
        <f t="shared" si="4"/>
        <v>237</v>
      </c>
      <c r="L15" s="209">
        <f t="shared" si="1"/>
        <v>1000</v>
      </c>
      <c r="M15" s="210"/>
      <c r="N15" s="210"/>
      <c r="O15" s="30">
        <f t="shared" si="2"/>
        <v>4</v>
      </c>
      <c r="P15" s="27"/>
      <c r="Q15" s="66"/>
    </row>
    <row r="16" spans="1:17" ht="20.100000000000001" customHeight="1">
      <c r="A16" s="51" t="str">
        <f>'1. 소켓인수검사'!A14</f>
        <v>06</v>
      </c>
      <c r="B16" s="34">
        <f>'1. 소켓인수검사'!C14</f>
        <v>1400</v>
      </c>
      <c r="C16" s="34">
        <f>'1. 소켓인수검사'!D14</f>
        <v>700</v>
      </c>
      <c r="D16" s="30">
        <v>1</v>
      </c>
      <c r="E16" s="65"/>
      <c r="F16" s="206"/>
      <c r="G16" s="61">
        <f t="shared" si="3"/>
        <v>225</v>
      </c>
      <c r="H16" s="30">
        <f t="shared" si="5"/>
        <v>684</v>
      </c>
      <c r="I16" s="30">
        <f t="shared" si="0"/>
        <v>8</v>
      </c>
      <c r="J16" s="30"/>
      <c r="K16" s="61">
        <f t="shared" si="4"/>
        <v>237</v>
      </c>
      <c r="L16" s="209">
        <f t="shared" si="1"/>
        <v>700</v>
      </c>
      <c r="M16" s="210"/>
      <c r="N16" s="210"/>
      <c r="O16" s="30">
        <f t="shared" si="2"/>
        <v>4</v>
      </c>
      <c r="P16" s="27"/>
      <c r="Q16" s="66"/>
    </row>
    <row r="17" spans="1:17" ht="20.100000000000001" customHeight="1">
      <c r="A17" s="51" t="str">
        <f>'1. 소켓인수검사'!A15</f>
        <v>07</v>
      </c>
      <c r="B17" s="34">
        <f>'1. 소켓인수검사'!C15</f>
        <v>1400</v>
      </c>
      <c r="C17" s="34">
        <f>'1. 소켓인수검사'!D15</f>
        <v>850</v>
      </c>
      <c r="D17" s="30">
        <v>1</v>
      </c>
      <c r="E17" s="65"/>
      <c r="F17" s="206"/>
      <c r="G17" s="61">
        <f t="shared" si="3"/>
        <v>225</v>
      </c>
      <c r="H17" s="30">
        <f t="shared" si="5"/>
        <v>684</v>
      </c>
      <c r="I17" s="30">
        <f t="shared" si="0"/>
        <v>8</v>
      </c>
      <c r="J17" s="30"/>
      <c r="K17" s="61">
        <f t="shared" si="4"/>
        <v>237</v>
      </c>
      <c r="L17" s="209">
        <f t="shared" si="1"/>
        <v>850</v>
      </c>
      <c r="M17" s="210"/>
      <c r="N17" s="210"/>
      <c r="O17" s="30">
        <f t="shared" si="2"/>
        <v>4</v>
      </c>
      <c r="P17" s="27"/>
      <c r="Q17" s="28"/>
    </row>
    <row r="18" spans="1:17" ht="20.100000000000001" customHeight="1">
      <c r="A18" s="51" t="str">
        <f>'1. 소켓인수검사'!A16</f>
        <v>08</v>
      </c>
      <c r="B18" s="34">
        <f>'1. 소켓인수검사'!C16</f>
        <v>2400</v>
      </c>
      <c r="C18" s="34">
        <f>'1. 소켓인수검사'!D16</f>
        <v>2700</v>
      </c>
      <c r="D18" s="30">
        <v>1</v>
      </c>
      <c r="E18" s="65"/>
      <c r="F18" s="206"/>
      <c r="G18" s="61">
        <f t="shared" si="3"/>
        <v>225</v>
      </c>
      <c r="H18" s="30">
        <f t="shared" si="5"/>
        <v>1184</v>
      </c>
      <c r="I18" s="30">
        <v>16</v>
      </c>
      <c r="J18" s="30"/>
      <c r="K18" s="61">
        <f t="shared" si="4"/>
        <v>237</v>
      </c>
      <c r="L18" s="209">
        <v>1320</v>
      </c>
      <c r="M18" s="210"/>
      <c r="N18" s="210"/>
      <c r="O18" s="30">
        <v>8</v>
      </c>
      <c r="P18" s="27"/>
      <c r="Q18" s="28"/>
    </row>
    <row r="19" spans="1:17" ht="20.100000000000001" customHeight="1">
      <c r="A19" s="51" t="str">
        <f>'1. 소켓인수검사'!A17</f>
        <v>09</v>
      </c>
      <c r="B19" s="34">
        <f>'1. 소켓인수검사'!C17</f>
        <v>2550</v>
      </c>
      <c r="C19" s="34">
        <f>'1. 소켓인수검사'!D17</f>
        <v>2700</v>
      </c>
      <c r="D19" s="30">
        <v>1</v>
      </c>
      <c r="E19" s="65"/>
      <c r="F19" s="206"/>
      <c r="G19" s="61">
        <f t="shared" si="3"/>
        <v>225</v>
      </c>
      <c r="H19" s="30">
        <f t="shared" si="5"/>
        <v>1259</v>
      </c>
      <c r="I19" s="30">
        <v>16</v>
      </c>
      <c r="J19" s="30"/>
      <c r="K19" s="61">
        <f t="shared" si="4"/>
        <v>237</v>
      </c>
      <c r="L19" s="209">
        <v>1320</v>
      </c>
      <c r="M19" s="210"/>
      <c r="N19" s="210"/>
      <c r="O19" s="30">
        <v>8</v>
      </c>
      <c r="P19" s="27"/>
      <c r="Q19" s="28"/>
    </row>
    <row r="20" spans="1:17" ht="8.1" customHeight="1">
      <c r="A20" s="176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77"/>
    </row>
    <row r="21" spans="1:17">
      <c r="A21" s="178" t="s">
        <v>45</v>
      </c>
      <c r="B21" s="178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 spans="1:17">
      <c r="A22" s="178"/>
      <c r="B22" s="178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spans="1:17">
      <c r="A23" s="178"/>
      <c r="B23" s="178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</row>
    <row r="24" spans="1:17">
      <c r="A24" s="178"/>
      <c r="B24" s="178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</row>
    <row r="25" spans="1:17">
      <c r="A25" s="178"/>
      <c r="B25" s="178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</row>
    <row r="26" spans="1:17">
      <c r="A26" s="178"/>
      <c r="B26" s="178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</row>
  </sheetData>
  <mergeCells count="42">
    <mergeCell ref="A1:D3"/>
    <mergeCell ref="A4:B4"/>
    <mergeCell ref="C4:D4"/>
    <mergeCell ref="A5:B6"/>
    <mergeCell ref="C5:D6"/>
    <mergeCell ref="K9:K10"/>
    <mergeCell ref="L9:O9"/>
    <mergeCell ref="P9:P10"/>
    <mergeCell ref="L10:N10"/>
    <mergeCell ref="F5:G5"/>
    <mergeCell ref="H5:H6"/>
    <mergeCell ref="I5:J6"/>
    <mergeCell ref="K5:N6"/>
    <mergeCell ref="O5:Q6"/>
    <mergeCell ref="F6:G6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A20:Q20"/>
    <mergeCell ref="A21:B26"/>
    <mergeCell ref="C21:Q26"/>
    <mergeCell ref="F11:F19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8"/>
  <sheetViews>
    <sheetView zoomScaleNormal="100" zoomScaleSheetLayoutView="100" workbookViewId="0">
      <pane ySplit="9" topLeftCell="A10" activePane="bottomLeft" state="frozen"/>
      <selection pane="bottomLeft" activeCell="J30" sqref="J3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04"/>
      <c r="B1" s="104"/>
      <c r="C1" s="104"/>
      <c r="D1" s="232" t="s">
        <v>43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3"/>
      <c r="R1" s="234"/>
      <c r="S1" s="14"/>
    </row>
    <row r="2" spans="1:19">
      <c r="A2" s="104"/>
      <c r="B2" s="104"/>
      <c r="C2" s="104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3"/>
      <c r="R2" s="235"/>
      <c r="S2" s="236"/>
    </row>
    <row r="3" spans="1:19" ht="24" customHeight="1">
      <c r="A3" s="104"/>
      <c r="B3" s="104"/>
      <c r="C3" s="104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3"/>
      <c r="R3" s="235"/>
      <c r="S3" s="236"/>
    </row>
    <row r="4" spans="1:19">
      <c r="A4" s="104" t="s">
        <v>16</v>
      </c>
      <c r="B4" s="104"/>
      <c r="C4" s="1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3"/>
      <c r="R4" s="235"/>
      <c r="S4" s="236"/>
    </row>
    <row r="5" spans="1:19">
      <c r="A5" s="104" t="s">
        <v>26</v>
      </c>
      <c r="B5" s="104"/>
      <c r="C5" s="104"/>
      <c r="D5" s="2" t="s">
        <v>32</v>
      </c>
      <c r="E5" s="245"/>
      <c r="F5" s="246"/>
      <c r="G5" s="237" t="s">
        <v>59</v>
      </c>
      <c r="H5" s="105"/>
      <c r="I5" s="106"/>
      <c r="J5" s="106"/>
      <c r="K5" s="107"/>
      <c r="L5" s="237" t="s">
        <v>21</v>
      </c>
      <c r="M5" s="68"/>
      <c r="N5" s="68"/>
      <c r="O5" s="237" t="s">
        <v>21</v>
      </c>
      <c r="P5" s="239" t="str">
        <f>'1. 소켓인수검사'!R2</f>
        <v>26.07.22 성운에프에스_지에프에스_신대1지구 B1블럭 공동주택 신축공사</v>
      </c>
      <c r="Q5" s="240"/>
      <c r="R5" s="240"/>
      <c r="S5" s="241"/>
    </row>
    <row r="6" spans="1:19">
      <c r="A6" s="104"/>
      <c r="B6" s="104"/>
      <c r="C6" s="104"/>
      <c r="D6" s="2" t="s">
        <v>29</v>
      </c>
      <c r="E6" s="245"/>
      <c r="F6" s="246"/>
      <c r="G6" s="238"/>
      <c r="H6" s="111"/>
      <c r="I6" s="112"/>
      <c r="J6" s="112"/>
      <c r="K6" s="113"/>
      <c r="L6" s="238"/>
      <c r="M6" s="69"/>
      <c r="N6" s="69"/>
      <c r="O6" s="238"/>
      <c r="P6" s="242"/>
      <c r="Q6" s="243"/>
      <c r="R6" s="243"/>
      <c r="S6" s="244"/>
    </row>
    <row r="7" spans="1:19" ht="8.1" customHeight="1">
      <c r="A7" s="111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3"/>
    </row>
    <row r="8" spans="1:19" ht="16.5" customHeight="1">
      <c r="A8" s="150" t="s">
        <v>56</v>
      </c>
      <c r="B8" s="228" t="s">
        <v>63</v>
      </c>
      <c r="C8" s="228" t="s">
        <v>61</v>
      </c>
      <c r="D8" s="228" t="s">
        <v>66</v>
      </c>
      <c r="E8" s="228" t="s">
        <v>51</v>
      </c>
      <c r="F8" s="228" t="s">
        <v>58</v>
      </c>
      <c r="G8" s="228" t="s">
        <v>23</v>
      </c>
      <c r="H8" s="228"/>
      <c r="I8" s="228"/>
      <c r="J8" s="228" t="s">
        <v>0</v>
      </c>
      <c r="K8" s="228"/>
      <c r="L8" s="228"/>
      <c r="M8" s="228" t="s">
        <v>0</v>
      </c>
      <c r="N8" s="228"/>
      <c r="O8" s="228"/>
      <c r="P8" s="228" t="s">
        <v>0</v>
      </c>
      <c r="Q8" s="228"/>
      <c r="R8" s="228"/>
      <c r="S8" s="230"/>
    </row>
    <row r="9" spans="1:19" ht="33" customHeight="1">
      <c r="A9" s="227"/>
      <c r="B9" s="229"/>
      <c r="C9" s="229"/>
      <c r="D9" s="229"/>
      <c r="E9" s="229"/>
      <c r="F9" s="229"/>
      <c r="G9" s="71" t="s">
        <v>33</v>
      </c>
      <c r="H9" s="71" t="s">
        <v>54</v>
      </c>
      <c r="I9" s="71" t="s">
        <v>53</v>
      </c>
      <c r="J9" s="71" t="s">
        <v>19</v>
      </c>
      <c r="K9" s="71" t="s">
        <v>54</v>
      </c>
      <c r="L9" s="71" t="s">
        <v>53</v>
      </c>
      <c r="M9" s="71" t="s">
        <v>25</v>
      </c>
      <c r="N9" s="71" t="s">
        <v>54</v>
      </c>
      <c r="O9" s="71" t="s">
        <v>53</v>
      </c>
      <c r="P9" s="71" t="s">
        <v>22</v>
      </c>
      <c r="Q9" s="71" t="s">
        <v>54</v>
      </c>
      <c r="R9" s="229" t="s">
        <v>53</v>
      </c>
      <c r="S9" s="231"/>
    </row>
    <row r="10" spans="1:19">
      <c r="A10" s="51" t="str">
        <f>'1. 소켓인수검사'!A9</f>
        <v>01</v>
      </c>
      <c r="B10" s="34">
        <f>'1. 소켓인수검사'!C9</f>
        <v>880</v>
      </c>
      <c r="C10" s="34">
        <f>'1. 소켓인수검사'!D9</f>
        <v>980</v>
      </c>
      <c r="D10" s="54" t="s">
        <v>46</v>
      </c>
      <c r="E10" s="67">
        <f t="shared" ref="E10:E16" si="0">B10*C10/1000000</f>
        <v>0.86240000000000006</v>
      </c>
      <c r="F10" s="67">
        <f t="shared" ref="F10:F16" si="1">(B10+C10)*2/1000</f>
        <v>3.72</v>
      </c>
      <c r="G10" s="29">
        <f t="shared" ref="G10:G18" si="2">(F10+0.4)</f>
        <v>4.12</v>
      </c>
      <c r="H10" s="34">
        <v>2</v>
      </c>
      <c r="I10" s="29">
        <f>G10*H10</f>
        <v>8.24</v>
      </c>
      <c r="J10" s="29"/>
      <c r="K10" s="29"/>
      <c r="L10" s="29"/>
      <c r="M10" s="29"/>
      <c r="N10" s="29"/>
      <c r="O10" s="29"/>
      <c r="P10" s="29">
        <f t="shared" ref="P10:P18" si="3">F10+0.5</f>
        <v>4.2200000000000006</v>
      </c>
      <c r="Q10" s="29">
        <v>2</v>
      </c>
      <c r="R10" s="220">
        <f>P10*Q10</f>
        <v>8.4400000000000013</v>
      </c>
      <c r="S10" s="221"/>
    </row>
    <row r="11" spans="1:19">
      <c r="A11" s="51" t="str">
        <f>'1. 소켓인수검사'!A10</f>
        <v>02</v>
      </c>
      <c r="B11" s="34">
        <f>'1. 소켓인수검사'!C10</f>
        <v>880</v>
      </c>
      <c r="C11" s="34">
        <f>'1. 소켓인수검사'!D10</f>
        <v>980</v>
      </c>
      <c r="D11" s="54" t="s">
        <v>46</v>
      </c>
      <c r="E11" s="67">
        <f t="shared" si="0"/>
        <v>0.86240000000000006</v>
      </c>
      <c r="F11" s="67">
        <f t="shared" si="1"/>
        <v>3.72</v>
      </c>
      <c r="G11" s="29">
        <f t="shared" si="2"/>
        <v>4.12</v>
      </c>
      <c r="H11" s="34">
        <v>2</v>
      </c>
      <c r="I11" s="29">
        <f>G11*H11</f>
        <v>8.24</v>
      </c>
      <c r="J11" s="29"/>
      <c r="K11" s="29"/>
      <c r="L11" s="29"/>
      <c r="M11" s="29"/>
      <c r="N11" s="29"/>
      <c r="O11" s="29"/>
      <c r="P11" s="29">
        <f t="shared" si="3"/>
        <v>4.2200000000000006</v>
      </c>
      <c r="Q11" s="29">
        <v>2</v>
      </c>
      <c r="R11" s="220">
        <f t="shared" ref="R11:R18" si="4">P11*Q11</f>
        <v>8.4400000000000013</v>
      </c>
      <c r="S11" s="221"/>
    </row>
    <row r="12" spans="1:19">
      <c r="A12" s="51" t="str">
        <f>'1. 소켓인수검사'!A11</f>
        <v>03</v>
      </c>
      <c r="B12" s="34">
        <f>'1. 소켓인수검사'!C11</f>
        <v>910</v>
      </c>
      <c r="C12" s="34">
        <f>'1. 소켓인수검사'!D11</f>
        <v>2300</v>
      </c>
      <c r="D12" s="54" t="s">
        <v>46</v>
      </c>
      <c r="E12" s="67">
        <f t="shared" si="0"/>
        <v>2.093</v>
      </c>
      <c r="F12" s="67">
        <f t="shared" si="1"/>
        <v>6.42</v>
      </c>
      <c r="G12" s="29">
        <f t="shared" si="2"/>
        <v>6.82</v>
      </c>
      <c r="H12" s="34">
        <v>2</v>
      </c>
      <c r="I12" s="29">
        <f t="shared" ref="I12:I18" si="5">G12*H12</f>
        <v>13.64</v>
      </c>
      <c r="J12" s="29"/>
      <c r="K12" s="29"/>
      <c r="L12" s="29"/>
      <c r="M12" s="29"/>
      <c r="N12" s="29"/>
      <c r="O12" s="29"/>
      <c r="P12" s="29">
        <f t="shared" si="3"/>
        <v>6.92</v>
      </c>
      <c r="Q12" s="29">
        <v>2</v>
      </c>
      <c r="R12" s="220">
        <f t="shared" si="4"/>
        <v>13.84</v>
      </c>
      <c r="S12" s="221"/>
    </row>
    <row r="13" spans="1:19">
      <c r="A13" s="51" t="str">
        <f>'1. 소켓인수검사'!A12</f>
        <v>04</v>
      </c>
      <c r="B13" s="34">
        <f>'1. 소켓인수검사'!C12</f>
        <v>1000</v>
      </c>
      <c r="C13" s="34">
        <f>'1. 소켓인수검사'!D12</f>
        <v>900</v>
      </c>
      <c r="D13" s="54" t="s">
        <v>46</v>
      </c>
      <c r="E13" s="67">
        <f t="shared" si="0"/>
        <v>0.9</v>
      </c>
      <c r="F13" s="67">
        <f t="shared" si="1"/>
        <v>3.8</v>
      </c>
      <c r="G13" s="29">
        <f t="shared" si="2"/>
        <v>4.2</v>
      </c>
      <c r="H13" s="34">
        <v>2</v>
      </c>
      <c r="I13" s="29">
        <f t="shared" si="5"/>
        <v>8.4</v>
      </c>
      <c r="J13" s="29"/>
      <c r="K13" s="29"/>
      <c r="L13" s="29"/>
      <c r="M13" s="29"/>
      <c r="N13" s="29"/>
      <c r="O13" s="29"/>
      <c r="P13" s="29">
        <f t="shared" si="3"/>
        <v>4.3</v>
      </c>
      <c r="Q13" s="29">
        <v>2</v>
      </c>
      <c r="R13" s="220">
        <f t="shared" si="4"/>
        <v>8.6</v>
      </c>
      <c r="S13" s="221"/>
    </row>
    <row r="14" spans="1:19">
      <c r="A14" s="51" t="str">
        <f>'1. 소켓인수검사'!A13</f>
        <v>05</v>
      </c>
      <c r="B14" s="34">
        <f>'1. 소켓인수검사'!C13</f>
        <v>1000</v>
      </c>
      <c r="C14" s="34">
        <f>'1. 소켓인수검사'!D13</f>
        <v>1000</v>
      </c>
      <c r="D14" s="54" t="s">
        <v>46</v>
      </c>
      <c r="E14" s="67">
        <f t="shared" si="0"/>
        <v>1</v>
      </c>
      <c r="F14" s="67">
        <f t="shared" si="1"/>
        <v>4</v>
      </c>
      <c r="G14" s="29">
        <f t="shared" si="2"/>
        <v>4.4000000000000004</v>
      </c>
      <c r="H14" s="34">
        <v>2</v>
      </c>
      <c r="I14" s="29">
        <f t="shared" si="5"/>
        <v>8.8000000000000007</v>
      </c>
      <c r="J14" s="29"/>
      <c r="K14" s="29"/>
      <c r="L14" s="29"/>
      <c r="M14" s="29"/>
      <c r="N14" s="29"/>
      <c r="O14" s="29"/>
      <c r="P14" s="29">
        <f t="shared" si="3"/>
        <v>4.5</v>
      </c>
      <c r="Q14" s="29">
        <v>2</v>
      </c>
      <c r="R14" s="220">
        <f t="shared" si="4"/>
        <v>9</v>
      </c>
      <c r="S14" s="221"/>
    </row>
    <row r="15" spans="1:19">
      <c r="A15" s="51" t="str">
        <f>'1. 소켓인수검사'!A14</f>
        <v>06</v>
      </c>
      <c r="B15" s="34">
        <f>'1. 소켓인수검사'!C14</f>
        <v>1400</v>
      </c>
      <c r="C15" s="34">
        <f>'1. 소켓인수검사'!D14</f>
        <v>700</v>
      </c>
      <c r="D15" s="54" t="s">
        <v>46</v>
      </c>
      <c r="E15" s="67">
        <f t="shared" si="0"/>
        <v>0.98</v>
      </c>
      <c r="F15" s="67">
        <f t="shared" si="1"/>
        <v>4.2</v>
      </c>
      <c r="G15" s="29">
        <f t="shared" si="2"/>
        <v>4.6000000000000005</v>
      </c>
      <c r="H15" s="34">
        <v>2</v>
      </c>
      <c r="I15" s="29">
        <f t="shared" si="5"/>
        <v>9.2000000000000011</v>
      </c>
      <c r="J15" s="29"/>
      <c r="K15" s="29"/>
      <c r="L15" s="29"/>
      <c r="M15" s="29"/>
      <c r="N15" s="29"/>
      <c r="O15" s="29"/>
      <c r="P15" s="29">
        <f t="shared" si="3"/>
        <v>4.7</v>
      </c>
      <c r="Q15" s="29">
        <v>2</v>
      </c>
      <c r="R15" s="220">
        <f t="shared" si="4"/>
        <v>9.4</v>
      </c>
      <c r="S15" s="221"/>
    </row>
    <row r="16" spans="1:19">
      <c r="A16" s="51" t="str">
        <f>'1. 소켓인수검사'!A15</f>
        <v>07</v>
      </c>
      <c r="B16" s="34">
        <f>'1. 소켓인수검사'!C15</f>
        <v>1400</v>
      </c>
      <c r="C16" s="34">
        <f>'1. 소켓인수검사'!D15</f>
        <v>850</v>
      </c>
      <c r="D16" s="54" t="s">
        <v>46</v>
      </c>
      <c r="E16" s="67">
        <f t="shared" si="0"/>
        <v>1.19</v>
      </c>
      <c r="F16" s="67">
        <f t="shared" si="1"/>
        <v>4.5</v>
      </c>
      <c r="G16" s="29">
        <f t="shared" si="2"/>
        <v>4.9000000000000004</v>
      </c>
      <c r="H16" s="34">
        <v>2</v>
      </c>
      <c r="I16" s="29">
        <f t="shared" si="5"/>
        <v>9.8000000000000007</v>
      </c>
      <c r="J16" s="29"/>
      <c r="K16" s="29"/>
      <c r="L16" s="29"/>
      <c r="M16" s="29"/>
      <c r="N16" s="29"/>
      <c r="O16" s="29"/>
      <c r="P16" s="29">
        <f t="shared" si="3"/>
        <v>5</v>
      </c>
      <c r="Q16" s="29">
        <v>2</v>
      </c>
      <c r="R16" s="220">
        <f t="shared" si="4"/>
        <v>10</v>
      </c>
      <c r="S16" s="221"/>
    </row>
    <row r="17" spans="1:19">
      <c r="A17" s="51" t="str">
        <f>'1. 소켓인수검사'!A16</f>
        <v>08</v>
      </c>
      <c r="B17" s="34">
        <f>'1. 소켓인수검사'!C16</f>
        <v>2400</v>
      </c>
      <c r="C17" s="34">
        <f>'1. 소켓인수검사'!D16</f>
        <v>2700</v>
      </c>
      <c r="D17" s="54" t="s">
        <v>46</v>
      </c>
      <c r="E17" s="67">
        <f t="shared" ref="E17" si="6">B17*C17/1000000</f>
        <v>6.48</v>
      </c>
      <c r="F17" s="67">
        <f t="shared" ref="F17" si="7">(B17+C17)*2/1000</f>
        <v>10.199999999999999</v>
      </c>
      <c r="G17" s="29">
        <f t="shared" si="2"/>
        <v>10.6</v>
      </c>
      <c r="H17" s="34">
        <v>2</v>
      </c>
      <c r="I17" s="29">
        <f t="shared" si="5"/>
        <v>21.2</v>
      </c>
      <c r="J17" s="29"/>
      <c r="K17" s="29"/>
      <c r="L17" s="29"/>
      <c r="M17" s="29"/>
      <c r="N17" s="29"/>
      <c r="O17" s="29"/>
      <c r="P17" s="29">
        <f t="shared" si="3"/>
        <v>10.7</v>
      </c>
      <c r="Q17" s="29">
        <v>2</v>
      </c>
      <c r="R17" s="220">
        <f t="shared" si="4"/>
        <v>21.4</v>
      </c>
      <c r="S17" s="221"/>
    </row>
    <row r="18" spans="1:19">
      <c r="A18" s="51" t="str">
        <f>'1. 소켓인수검사'!A17</f>
        <v>09</v>
      </c>
      <c r="B18" s="34">
        <f>'1. 소켓인수검사'!C17</f>
        <v>2550</v>
      </c>
      <c r="C18" s="34">
        <f>'1. 소켓인수검사'!D17</f>
        <v>2700</v>
      </c>
      <c r="D18" s="54" t="s">
        <v>46</v>
      </c>
      <c r="E18" s="67">
        <f t="shared" ref="E18" si="8">B18*C18/1000000</f>
        <v>6.8849999999999998</v>
      </c>
      <c r="F18" s="67">
        <f t="shared" ref="F18" si="9">(B18+C18)*2/1000</f>
        <v>10.5</v>
      </c>
      <c r="G18" s="29">
        <f t="shared" si="2"/>
        <v>10.9</v>
      </c>
      <c r="H18" s="34">
        <v>2</v>
      </c>
      <c r="I18" s="29">
        <f t="shared" si="5"/>
        <v>21.8</v>
      </c>
      <c r="J18" s="29"/>
      <c r="K18" s="29"/>
      <c r="L18" s="29"/>
      <c r="M18" s="29"/>
      <c r="N18" s="29"/>
      <c r="O18" s="29"/>
      <c r="P18" s="29">
        <f t="shared" si="3"/>
        <v>11</v>
      </c>
      <c r="Q18" s="29">
        <v>2</v>
      </c>
      <c r="R18" s="220">
        <f t="shared" si="4"/>
        <v>22</v>
      </c>
      <c r="S18" s="221"/>
    </row>
    <row r="19" spans="1:19">
      <c r="A19" s="222" t="s">
        <v>3</v>
      </c>
      <c r="B19" s="223"/>
      <c r="C19" s="223"/>
      <c r="D19" s="223"/>
      <c r="E19" s="223"/>
      <c r="F19" s="224"/>
      <c r="G19" s="32"/>
      <c r="H19" s="43"/>
      <c r="I19" s="75">
        <f>SUM(I10:I18)</f>
        <v>109.32000000000001</v>
      </c>
      <c r="J19" s="32"/>
      <c r="K19" s="32"/>
      <c r="L19" s="75">
        <f>SUM(L10:L18)</f>
        <v>0</v>
      </c>
      <c r="M19" s="32"/>
      <c r="N19" s="32"/>
      <c r="O19" s="75">
        <f>SUM(O10:O18)</f>
        <v>0</v>
      </c>
      <c r="P19" s="32"/>
      <c r="Q19" s="32"/>
      <c r="R19" s="225">
        <f>SUM(R10:S18)</f>
        <v>111.12</v>
      </c>
      <c r="S19" s="226"/>
    </row>
    <row r="20" spans="1:19" ht="17.25" customHeight="1">
      <c r="A20" s="213" t="s">
        <v>12</v>
      </c>
      <c r="B20" s="214"/>
      <c r="C20" s="214"/>
      <c r="D20" s="214"/>
      <c r="E20" s="214"/>
      <c r="F20" s="215"/>
      <c r="G20" s="216">
        <f>I19/20</f>
        <v>5.4660000000000002</v>
      </c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8"/>
    </row>
    <row r="21" spans="1:19">
      <c r="A21" s="213" t="s">
        <v>11</v>
      </c>
      <c r="B21" s="214"/>
      <c r="C21" s="214"/>
      <c r="D21" s="214"/>
      <c r="E21" s="214"/>
      <c r="F21" s="215"/>
      <c r="G21" s="216">
        <f>L19/3.6</f>
        <v>0</v>
      </c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8"/>
    </row>
    <row r="22" spans="1:19">
      <c r="A22" s="219" t="s">
        <v>73</v>
      </c>
      <c r="B22" s="214"/>
      <c r="C22" s="214"/>
      <c r="D22" s="214"/>
      <c r="E22" s="214"/>
      <c r="F22" s="215"/>
      <c r="G22" s="216">
        <f>O19/7.4</f>
        <v>0</v>
      </c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8"/>
    </row>
    <row r="23" spans="1:19">
      <c r="A23" s="213" t="s">
        <v>13</v>
      </c>
      <c r="B23" s="214"/>
      <c r="C23" s="214"/>
      <c r="D23" s="214"/>
      <c r="E23" s="214"/>
      <c r="F23" s="215"/>
      <c r="G23" s="216">
        <f>R19/3.6</f>
        <v>30.866666666666667</v>
      </c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8"/>
    </row>
    <row r="24" spans="1:19" ht="8.1" customHeight="1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</row>
    <row r="25" spans="1:19">
      <c r="A25" s="104" t="s">
        <v>45</v>
      </c>
      <c r="B25" s="104"/>
      <c r="C25" s="211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</row>
    <row r="26" spans="1:19">
      <c r="A26" s="104"/>
      <c r="B26" s="104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</row>
    <row r="27" spans="1:19">
      <c r="A27" s="104"/>
      <c r="B27" s="104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</row>
    <row r="28" spans="1:19">
      <c r="A28" s="104"/>
      <c r="B28" s="104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</row>
  </sheetData>
  <mergeCells count="48">
    <mergeCell ref="H5:K6"/>
    <mergeCell ref="R10:S10"/>
    <mergeCell ref="R11:S11"/>
    <mergeCell ref="R12:S12"/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5:B6"/>
    <mergeCell ref="C5:C6"/>
    <mergeCell ref="E5:F5"/>
    <mergeCell ref="G5:G6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3:S13"/>
    <mergeCell ref="R14:S14"/>
    <mergeCell ref="A19:F19"/>
    <mergeCell ref="R19:S19"/>
    <mergeCell ref="R16:S16"/>
    <mergeCell ref="R17:S17"/>
    <mergeCell ref="R18:S18"/>
    <mergeCell ref="R15:S15"/>
    <mergeCell ref="A25:B28"/>
    <mergeCell ref="C25:S28"/>
    <mergeCell ref="A20:F20"/>
    <mergeCell ref="G20:S20"/>
    <mergeCell ref="A21:F21"/>
    <mergeCell ref="G21:S21"/>
    <mergeCell ref="A22:F22"/>
    <mergeCell ref="G22:S22"/>
    <mergeCell ref="A23:F23"/>
    <mergeCell ref="G23:S23"/>
    <mergeCell ref="A24:S24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3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Z18" sqref="Z18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04"/>
      <c r="B1" s="104"/>
      <c r="C1" s="104"/>
      <c r="D1" s="104"/>
      <c r="E1" s="96" t="s">
        <v>7</v>
      </c>
      <c r="F1" s="253" t="s">
        <v>70</v>
      </c>
      <c r="G1" s="253"/>
      <c r="H1" s="253"/>
      <c r="I1" s="253"/>
      <c r="J1" s="253"/>
      <c r="K1" s="170" t="str">
        <f>'1. 소켓인수검사'!R2</f>
        <v>26.07.22 성운에프에스_지에프에스_신대1지구 B1블럭 공동주택 신축공사</v>
      </c>
      <c r="L1" s="170"/>
      <c r="M1" s="170"/>
      <c r="N1" s="170"/>
      <c r="O1" s="170"/>
      <c r="P1" s="170"/>
      <c r="Q1" s="170"/>
      <c r="R1" s="170"/>
      <c r="S1" s="170"/>
      <c r="T1" s="170"/>
      <c r="U1" s="171"/>
    </row>
    <row r="2" spans="1:21" ht="16.5" customHeight="1">
      <c r="A2" s="104"/>
      <c r="B2" s="104"/>
      <c r="C2" s="104"/>
      <c r="D2" s="104"/>
      <c r="E2" s="95"/>
      <c r="F2" s="254"/>
      <c r="G2" s="254"/>
      <c r="H2" s="254"/>
      <c r="I2" s="254"/>
      <c r="J2" s="254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3"/>
    </row>
    <row r="3" spans="1:21" ht="24" customHeight="1">
      <c r="A3" s="104"/>
      <c r="B3" s="104"/>
      <c r="C3" s="104"/>
      <c r="D3" s="104"/>
      <c r="E3" s="97"/>
      <c r="F3" s="255"/>
      <c r="G3" s="255"/>
      <c r="H3" s="255"/>
      <c r="I3" s="255"/>
      <c r="J3" s="255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5"/>
    </row>
    <row r="4" spans="1:21" ht="8.1" customHeight="1">
      <c r="A4" s="111"/>
      <c r="B4" s="112"/>
      <c r="C4" s="112"/>
      <c r="D4" s="112"/>
      <c r="E4" s="112"/>
      <c r="F4" s="112"/>
      <c r="G4" s="112"/>
      <c r="H4" s="111"/>
      <c r="I4" s="112"/>
      <c r="J4" s="112"/>
      <c r="K4" s="112"/>
      <c r="L4" s="112"/>
      <c r="M4" s="112"/>
      <c r="N4" s="112"/>
      <c r="O4" s="112"/>
      <c r="P4" s="112"/>
      <c r="Q4" s="3"/>
      <c r="S4" s="3"/>
      <c r="T4" s="3"/>
      <c r="U4" s="3"/>
    </row>
    <row r="5" spans="1:21" ht="16.5" customHeight="1">
      <c r="A5" s="150" t="s">
        <v>56</v>
      </c>
      <c r="B5" s="256" t="s">
        <v>36</v>
      </c>
      <c r="C5" s="228" t="s">
        <v>63</v>
      </c>
      <c r="D5" s="228" t="s">
        <v>61</v>
      </c>
      <c r="E5" s="228" t="s">
        <v>24</v>
      </c>
      <c r="F5" s="228" t="s">
        <v>51</v>
      </c>
      <c r="G5" s="228" t="s">
        <v>58</v>
      </c>
      <c r="H5" s="228" t="s">
        <v>40</v>
      </c>
      <c r="I5" s="228" t="s">
        <v>23</v>
      </c>
      <c r="J5" s="228"/>
      <c r="K5" s="228" t="s">
        <v>0</v>
      </c>
      <c r="L5" s="228"/>
      <c r="M5" s="228" t="s">
        <v>0</v>
      </c>
      <c r="N5" s="228"/>
      <c r="O5" s="228" t="s">
        <v>0</v>
      </c>
      <c r="P5" s="228"/>
      <c r="Q5" s="247" t="s">
        <v>50</v>
      </c>
      <c r="R5" s="247"/>
      <c r="S5" s="248" t="s">
        <v>30</v>
      </c>
      <c r="T5" s="248" t="s">
        <v>55</v>
      </c>
      <c r="U5" s="104" t="s">
        <v>17</v>
      </c>
    </row>
    <row r="6" spans="1:21" ht="26.45" customHeight="1">
      <c r="A6" s="227"/>
      <c r="B6" s="257"/>
      <c r="C6" s="229"/>
      <c r="D6" s="229"/>
      <c r="E6" s="229"/>
      <c r="F6" s="229"/>
      <c r="G6" s="229"/>
      <c r="H6" s="229"/>
      <c r="I6" s="71" t="s">
        <v>8</v>
      </c>
      <c r="J6" s="33" t="s">
        <v>54</v>
      </c>
      <c r="K6" s="71" t="s">
        <v>71</v>
      </c>
      <c r="L6" s="33" t="s">
        <v>54</v>
      </c>
      <c r="M6" s="71" t="s">
        <v>35</v>
      </c>
      <c r="N6" s="33" t="s">
        <v>54</v>
      </c>
      <c r="O6" s="71" t="s">
        <v>37</v>
      </c>
      <c r="P6" s="33" t="s">
        <v>54</v>
      </c>
      <c r="Q6" s="71" t="s">
        <v>52</v>
      </c>
      <c r="R6" s="33" t="s">
        <v>64</v>
      </c>
      <c r="S6" s="249"/>
      <c r="T6" s="249"/>
      <c r="U6" s="250"/>
    </row>
    <row r="7" spans="1:21">
      <c r="A7" s="51" t="str">
        <f>'1. 소켓인수검사'!A9</f>
        <v>01</v>
      </c>
      <c r="B7" s="72" t="s">
        <v>39</v>
      </c>
      <c r="C7" s="34">
        <f>'1. 소켓인수검사'!C9</f>
        <v>880</v>
      </c>
      <c r="D7" s="34">
        <f>'1. 소켓인수검사'!D9</f>
        <v>980</v>
      </c>
      <c r="E7" s="35"/>
      <c r="F7" s="36">
        <f t="shared" ref="F7:F15" si="0">C7*D7/1000000</f>
        <v>0.86240000000000006</v>
      </c>
      <c r="G7" s="36">
        <f t="shared" ref="G7:G15" si="1">(C7+D7)*2/1000</f>
        <v>3.72</v>
      </c>
      <c r="H7" s="39">
        <v>4</v>
      </c>
      <c r="I7" s="71">
        <f t="shared" ref="I7:I15" si="2">(G7+0.4)</f>
        <v>4.12</v>
      </c>
      <c r="J7" s="40">
        <v>4</v>
      </c>
      <c r="K7" s="29"/>
      <c r="L7" s="33"/>
      <c r="M7" s="29"/>
      <c r="N7" s="33"/>
      <c r="O7" s="71">
        <f t="shared" ref="O7:O15" si="3">(G7+0.5)</f>
        <v>4.2200000000000006</v>
      </c>
      <c r="P7" s="40">
        <v>4</v>
      </c>
      <c r="Q7" s="37">
        <f t="shared" ref="Q7:Q15" si="4">(((C7+60)+250+(D7+60))*2/1000)*2</f>
        <v>8.92</v>
      </c>
      <c r="R7" s="100">
        <f>Q7*2</f>
        <v>17.84</v>
      </c>
      <c r="S7" s="41" t="s">
        <v>42</v>
      </c>
      <c r="T7" s="42" t="s">
        <v>6</v>
      </c>
      <c r="U7" s="38" t="str">
        <f>'1. 소켓인수검사'!G9</f>
        <v>근생2</v>
      </c>
    </row>
    <row r="8" spans="1:21">
      <c r="A8" s="51" t="str">
        <f>'1. 소켓인수검사'!A10</f>
        <v>02</v>
      </c>
      <c r="B8" s="72" t="s">
        <v>39</v>
      </c>
      <c r="C8" s="34">
        <f>'1. 소켓인수검사'!C10</f>
        <v>880</v>
      </c>
      <c r="D8" s="34">
        <f>'1. 소켓인수검사'!D10</f>
        <v>980</v>
      </c>
      <c r="E8" s="35"/>
      <c r="F8" s="36">
        <f t="shared" si="0"/>
        <v>0.86240000000000006</v>
      </c>
      <c r="G8" s="36">
        <f t="shared" si="1"/>
        <v>3.72</v>
      </c>
      <c r="H8" s="39">
        <v>4</v>
      </c>
      <c r="I8" s="71">
        <f t="shared" si="2"/>
        <v>4.12</v>
      </c>
      <c r="J8" s="40">
        <v>4</v>
      </c>
      <c r="K8" s="29"/>
      <c r="L8" s="33"/>
      <c r="M8" s="29"/>
      <c r="N8" s="33"/>
      <c r="O8" s="71">
        <f t="shared" si="3"/>
        <v>4.2200000000000006</v>
      </c>
      <c r="P8" s="40">
        <v>4</v>
      </c>
      <c r="Q8" s="37">
        <f t="shared" si="4"/>
        <v>8.92</v>
      </c>
      <c r="R8" s="100">
        <f>Q8*2</f>
        <v>17.84</v>
      </c>
      <c r="S8" s="41" t="s">
        <v>42</v>
      </c>
      <c r="T8" s="42" t="s">
        <v>6</v>
      </c>
      <c r="U8" s="38" t="str">
        <f>'1. 소켓인수검사'!G10</f>
        <v>근생2</v>
      </c>
    </row>
    <row r="9" spans="1:21">
      <c r="A9" s="51" t="str">
        <f>'1. 소켓인수검사'!A11</f>
        <v>03</v>
      </c>
      <c r="B9" s="72" t="s">
        <v>39</v>
      </c>
      <c r="C9" s="34">
        <f>'1. 소켓인수검사'!C11</f>
        <v>910</v>
      </c>
      <c r="D9" s="34">
        <f>'1. 소켓인수검사'!D11</f>
        <v>2300</v>
      </c>
      <c r="E9" s="35"/>
      <c r="F9" s="36">
        <f t="shared" si="0"/>
        <v>2.093</v>
      </c>
      <c r="G9" s="36">
        <f t="shared" si="1"/>
        <v>6.42</v>
      </c>
      <c r="H9" s="39">
        <v>4</v>
      </c>
      <c r="I9" s="71">
        <f t="shared" si="2"/>
        <v>6.82</v>
      </c>
      <c r="J9" s="40">
        <v>4</v>
      </c>
      <c r="K9" s="29"/>
      <c r="L9" s="33"/>
      <c r="M9" s="29"/>
      <c r="N9" s="33"/>
      <c r="O9" s="71">
        <f t="shared" si="3"/>
        <v>6.92</v>
      </c>
      <c r="P9" s="40">
        <v>4</v>
      </c>
      <c r="Q9" s="37">
        <f t="shared" si="4"/>
        <v>14.32</v>
      </c>
      <c r="R9" s="100">
        <f t="shared" ref="R9:R15" si="5">Q9*2</f>
        <v>28.64</v>
      </c>
      <c r="S9" s="41" t="s">
        <v>42</v>
      </c>
      <c r="T9" s="42" t="s">
        <v>6</v>
      </c>
      <c r="U9" s="38" t="str">
        <f>'1. 소켓인수검사'!G11</f>
        <v>근생3</v>
      </c>
    </row>
    <row r="10" spans="1:21">
      <c r="A10" s="51" t="str">
        <f>'1. 소켓인수검사'!A12</f>
        <v>04</v>
      </c>
      <c r="B10" s="72" t="s">
        <v>39</v>
      </c>
      <c r="C10" s="34">
        <f>'1. 소켓인수검사'!C12</f>
        <v>1000</v>
      </c>
      <c r="D10" s="34">
        <f>'1. 소켓인수검사'!D12</f>
        <v>900</v>
      </c>
      <c r="E10" s="35"/>
      <c r="F10" s="36">
        <f t="shared" si="0"/>
        <v>0.9</v>
      </c>
      <c r="G10" s="36">
        <f t="shared" si="1"/>
        <v>3.8</v>
      </c>
      <c r="H10" s="39">
        <v>4</v>
      </c>
      <c r="I10" s="71">
        <f t="shared" si="2"/>
        <v>4.2</v>
      </c>
      <c r="J10" s="40">
        <v>4</v>
      </c>
      <c r="K10" s="29"/>
      <c r="L10" s="33"/>
      <c r="M10" s="29"/>
      <c r="N10" s="33"/>
      <c r="O10" s="71">
        <f t="shared" si="3"/>
        <v>4.3</v>
      </c>
      <c r="P10" s="40">
        <v>4</v>
      </c>
      <c r="Q10" s="37">
        <f t="shared" si="4"/>
        <v>9.08</v>
      </c>
      <c r="R10" s="100">
        <f t="shared" si="5"/>
        <v>18.16</v>
      </c>
      <c r="S10" s="41" t="s">
        <v>42</v>
      </c>
      <c r="T10" s="42" t="s">
        <v>6</v>
      </c>
      <c r="U10" s="38" t="str">
        <f>'1. 소켓인수검사'!G12</f>
        <v>근생1</v>
      </c>
    </row>
    <row r="11" spans="1:21">
      <c r="A11" s="51" t="str">
        <f>'1. 소켓인수검사'!A13</f>
        <v>05</v>
      </c>
      <c r="B11" s="72" t="s">
        <v>39</v>
      </c>
      <c r="C11" s="34">
        <f>'1. 소켓인수검사'!C13</f>
        <v>1000</v>
      </c>
      <c r="D11" s="34">
        <f>'1. 소켓인수검사'!D13</f>
        <v>1000</v>
      </c>
      <c r="E11" s="35"/>
      <c r="F11" s="36">
        <f t="shared" si="0"/>
        <v>1</v>
      </c>
      <c r="G11" s="36">
        <f t="shared" si="1"/>
        <v>4</v>
      </c>
      <c r="H11" s="39">
        <v>4</v>
      </c>
      <c r="I11" s="71">
        <f t="shared" si="2"/>
        <v>4.4000000000000004</v>
      </c>
      <c r="J11" s="40">
        <v>4</v>
      </c>
      <c r="K11" s="29"/>
      <c r="L11" s="33"/>
      <c r="M11" s="29"/>
      <c r="N11" s="33"/>
      <c r="O11" s="71">
        <f t="shared" si="3"/>
        <v>4.5</v>
      </c>
      <c r="P11" s="40">
        <v>4</v>
      </c>
      <c r="Q11" s="37">
        <f t="shared" si="4"/>
        <v>9.48</v>
      </c>
      <c r="R11" s="100">
        <f t="shared" si="5"/>
        <v>18.96</v>
      </c>
      <c r="S11" s="41" t="s">
        <v>42</v>
      </c>
      <c r="T11" s="42" t="s">
        <v>6</v>
      </c>
      <c r="U11" s="38" t="str">
        <f>'1. 소켓인수검사'!G13</f>
        <v>근생5</v>
      </c>
    </row>
    <row r="12" spans="1:21">
      <c r="A12" s="51" t="str">
        <f>'1. 소켓인수검사'!A14</f>
        <v>06</v>
      </c>
      <c r="B12" s="72" t="s">
        <v>39</v>
      </c>
      <c r="C12" s="34">
        <f>'1. 소켓인수검사'!C14</f>
        <v>1400</v>
      </c>
      <c r="D12" s="34">
        <f>'1. 소켓인수검사'!D14</f>
        <v>700</v>
      </c>
      <c r="E12" s="35"/>
      <c r="F12" s="36">
        <f t="shared" si="0"/>
        <v>0.98</v>
      </c>
      <c r="G12" s="36">
        <f t="shared" si="1"/>
        <v>4.2</v>
      </c>
      <c r="H12" s="39">
        <v>4</v>
      </c>
      <c r="I12" s="71">
        <f t="shared" si="2"/>
        <v>4.6000000000000005</v>
      </c>
      <c r="J12" s="40">
        <v>4</v>
      </c>
      <c r="K12" s="29"/>
      <c r="L12" s="33"/>
      <c r="M12" s="29"/>
      <c r="N12" s="33"/>
      <c r="O12" s="71">
        <f t="shared" si="3"/>
        <v>4.7</v>
      </c>
      <c r="P12" s="40">
        <v>4</v>
      </c>
      <c r="Q12" s="37">
        <f t="shared" si="4"/>
        <v>9.8800000000000008</v>
      </c>
      <c r="R12" s="100">
        <f t="shared" si="5"/>
        <v>19.760000000000002</v>
      </c>
      <c r="S12" s="41" t="s">
        <v>42</v>
      </c>
      <c r="T12" s="42" t="s">
        <v>6</v>
      </c>
      <c r="U12" s="38" t="str">
        <f>'1. 소켓인수검사'!G14</f>
        <v>근생5</v>
      </c>
    </row>
    <row r="13" spans="1:21">
      <c r="A13" s="51" t="str">
        <f>'1. 소켓인수검사'!A15</f>
        <v>07</v>
      </c>
      <c r="B13" s="72" t="s">
        <v>39</v>
      </c>
      <c r="C13" s="34">
        <f>'1. 소켓인수검사'!C15</f>
        <v>1400</v>
      </c>
      <c r="D13" s="34">
        <f>'1. 소켓인수검사'!D15</f>
        <v>850</v>
      </c>
      <c r="E13" s="35"/>
      <c r="F13" s="36">
        <f t="shared" si="0"/>
        <v>1.19</v>
      </c>
      <c r="G13" s="36">
        <f t="shared" si="1"/>
        <v>4.5</v>
      </c>
      <c r="H13" s="39">
        <v>4</v>
      </c>
      <c r="I13" s="71">
        <f t="shared" si="2"/>
        <v>4.9000000000000004</v>
      </c>
      <c r="J13" s="40">
        <v>4</v>
      </c>
      <c r="K13" s="29"/>
      <c r="L13" s="33"/>
      <c r="M13" s="29"/>
      <c r="N13" s="33"/>
      <c r="O13" s="71">
        <f t="shared" si="3"/>
        <v>5</v>
      </c>
      <c r="P13" s="40">
        <v>4</v>
      </c>
      <c r="Q13" s="37">
        <f t="shared" si="4"/>
        <v>10.48</v>
      </c>
      <c r="R13" s="100">
        <f t="shared" si="5"/>
        <v>20.96</v>
      </c>
      <c r="S13" s="41" t="s">
        <v>42</v>
      </c>
      <c r="T13" s="42" t="s">
        <v>6</v>
      </c>
      <c r="U13" s="38" t="str">
        <f>'1. 소켓인수검사'!G15</f>
        <v>근생5</v>
      </c>
    </row>
    <row r="14" spans="1:21">
      <c r="A14" s="51" t="str">
        <f>'1. 소켓인수검사'!A16</f>
        <v>08</v>
      </c>
      <c r="B14" s="72" t="s">
        <v>39</v>
      </c>
      <c r="C14" s="34">
        <f>'1. 소켓인수검사'!C16</f>
        <v>2400</v>
      </c>
      <c r="D14" s="34">
        <f>'1. 소켓인수검사'!D16</f>
        <v>2700</v>
      </c>
      <c r="E14" s="35"/>
      <c r="F14" s="36">
        <f t="shared" si="0"/>
        <v>6.48</v>
      </c>
      <c r="G14" s="36">
        <f t="shared" si="1"/>
        <v>10.199999999999999</v>
      </c>
      <c r="H14" s="39">
        <v>4</v>
      </c>
      <c r="I14" s="71">
        <f t="shared" si="2"/>
        <v>10.6</v>
      </c>
      <c r="J14" s="40">
        <v>4</v>
      </c>
      <c r="K14" s="29"/>
      <c r="L14" s="33"/>
      <c r="M14" s="29"/>
      <c r="N14" s="33"/>
      <c r="O14" s="71">
        <f t="shared" si="3"/>
        <v>10.7</v>
      </c>
      <c r="P14" s="40">
        <v>4</v>
      </c>
      <c r="Q14" s="37">
        <f t="shared" si="4"/>
        <v>21.88</v>
      </c>
      <c r="R14" s="100">
        <f t="shared" si="5"/>
        <v>43.76</v>
      </c>
      <c r="S14" s="41" t="s">
        <v>42</v>
      </c>
      <c r="T14" s="42" t="s">
        <v>6</v>
      </c>
      <c r="U14" s="38" t="str">
        <f>'1. 소켓인수검사'!G16</f>
        <v>근생1/세로분할</v>
      </c>
    </row>
    <row r="15" spans="1:21">
      <c r="A15" s="51" t="str">
        <f>'1. 소켓인수검사'!A17</f>
        <v>09</v>
      </c>
      <c r="B15" s="72" t="s">
        <v>39</v>
      </c>
      <c r="C15" s="34">
        <f>'1. 소켓인수검사'!C17</f>
        <v>2550</v>
      </c>
      <c r="D15" s="34">
        <f>'1. 소켓인수검사'!D17</f>
        <v>2700</v>
      </c>
      <c r="E15" s="35"/>
      <c r="F15" s="36">
        <f t="shared" si="0"/>
        <v>6.8849999999999998</v>
      </c>
      <c r="G15" s="36">
        <f t="shared" si="1"/>
        <v>10.5</v>
      </c>
      <c r="H15" s="39">
        <v>4</v>
      </c>
      <c r="I15" s="71">
        <f t="shared" si="2"/>
        <v>10.9</v>
      </c>
      <c r="J15" s="40">
        <v>4</v>
      </c>
      <c r="K15" s="29"/>
      <c r="L15" s="33"/>
      <c r="M15" s="29"/>
      <c r="N15" s="33"/>
      <c r="O15" s="71">
        <f t="shared" si="3"/>
        <v>11</v>
      </c>
      <c r="P15" s="40">
        <v>4</v>
      </c>
      <c r="Q15" s="37">
        <f t="shared" si="4"/>
        <v>22.48</v>
      </c>
      <c r="R15" s="100">
        <f t="shared" si="5"/>
        <v>44.96</v>
      </c>
      <c r="S15" s="41" t="s">
        <v>42</v>
      </c>
      <c r="T15" s="42" t="s">
        <v>6</v>
      </c>
      <c r="U15" s="38" t="str">
        <f>'1. 소켓인수검사'!G17</f>
        <v>근생1/세로분할</v>
      </c>
    </row>
    <row r="16" spans="1:21">
      <c r="A16" s="251" t="s">
        <v>5</v>
      </c>
      <c r="B16" s="252"/>
      <c r="C16" s="252"/>
      <c r="D16" s="70"/>
      <c r="E16" s="46"/>
      <c r="F16" s="46"/>
      <c r="G16" s="46"/>
      <c r="H16" s="45">
        <f>SUM(H7:H15)</f>
        <v>36</v>
      </c>
      <c r="I16" s="76"/>
      <c r="J16" s="45">
        <f>SUM(J7:J15)</f>
        <v>36</v>
      </c>
      <c r="K16" s="76"/>
      <c r="L16" s="45">
        <f>SUM(L7:L15)</f>
        <v>0</v>
      </c>
      <c r="M16" s="76"/>
      <c r="N16" s="45">
        <f>SUM(N7:N15)</f>
        <v>0</v>
      </c>
      <c r="O16" s="76"/>
      <c r="P16" s="45">
        <f>SUM(P7:P15)</f>
        <v>36</v>
      </c>
      <c r="Q16" s="76">
        <f>SUM(Q7:Q15)</f>
        <v>115.44</v>
      </c>
      <c r="R16" s="45">
        <f>SUM(R7:R15)</f>
        <v>230.88</v>
      </c>
      <c r="S16" s="73"/>
      <c r="T16" s="73"/>
      <c r="U16" s="74"/>
    </row>
    <row r="17" spans="1:21" ht="8.1" customHeight="1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4"/>
    </row>
    <row r="18" spans="1:21">
      <c r="A18" s="104" t="s">
        <v>45</v>
      </c>
      <c r="B18" s="104"/>
      <c r="C18" s="104"/>
      <c r="D18" s="105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7"/>
    </row>
    <row r="19" spans="1:21">
      <c r="A19" s="104"/>
      <c r="B19" s="104"/>
      <c r="C19" s="104"/>
      <c r="D19" s="108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10"/>
    </row>
    <row r="20" spans="1:21">
      <c r="A20" s="104"/>
      <c r="B20" s="104"/>
      <c r="C20" s="104"/>
      <c r="D20" s="108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10"/>
    </row>
    <row r="21" spans="1:21">
      <c r="A21" s="104"/>
      <c r="B21" s="104"/>
      <c r="C21" s="104"/>
      <c r="D21" s="108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10"/>
    </row>
    <row r="22" spans="1:21">
      <c r="A22" s="104"/>
      <c r="B22" s="104"/>
      <c r="C22" s="104"/>
      <c r="D22" s="108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10"/>
    </row>
    <row r="23" spans="1:21">
      <c r="A23" s="104"/>
      <c r="B23" s="104"/>
      <c r="C23" s="104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3"/>
    </row>
  </sheetData>
  <mergeCells count="24">
    <mergeCell ref="U5:U6"/>
    <mergeCell ref="A16:C16"/>
    <mergeCell ref="F1:J3"/>
    <mergeCell ref="K1:U3"/>
    <mergeCell ref="D18:U23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7:P17"/>
    <mergeCell ref="A18:C23"/>
    <mergeCell ref="Q5:R5"/>
    <mergeCell ref="S5:S6"/>
    <mergeCell ref="T5:T6"/>
    <mergeCell ref="K5:L5"/>
    <mergeCell ref="O5:P5"/>
    <mergeCell ref="M5:N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77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1. 소켓인수검사</vt:lpstr>
      <vt:lpstr>2.1 재단작업(VT)</vt:lpstr>
      <vt:lpstr>차열재 재단(VM,VT)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2026-07-22T23:43:04Z</cp:lastPrinted>
  <dcterms:created xsi:type="dcterms:W3CDTF">2025-03-13T00:09:10Z</dcterms:created>
  <dcterms:modified xsi:type="dcterms:W3CDTF">2026-07-23T01:27:57Z</dcterms:modified>
  <cp:version>1200.0100.01</cp:version>
</cp:coreProperties>
</file>