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08767F69-5414-4CCE-BB57-5388568BCF5F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1. 소켓인수검사" sheetId="1" r:id="rId1"/>
    <sheet name="2.재단(VM)작업" sheetId="12" r:id="rId2"/>
    <sheet name="차열재 재단(VM,VT)" sheetId="2" r:id="rId3"/>
    <sheet name="3. 1절곡(VM)" sheetId="5" r:id="rId4"/>
    <sheet name="5. 차열재 출하용(VM,VT,VAG)" sheetId="9" r:id="rId5"/>
    <sheet name="6. 라벨소요량" sheetId="10" r:id="rId6"/>
    <sheet name="발주서정리" sheetId="11" r:id="rId7"/>
  </sheets>
  <definedNames>
    <definedName name="_xlnm.Print_Area" localSheetId="0">'1. 소켓인수검사'!$A$1:$P$21</definedName>
    <definedName name="_xlnm.Print_Titles" localSheetId="0">'1. 소켓인수검사'!$6:$8</definedName>
    <definedName name="_xlnm.Print_Titles" localSheetId="1">'2.재단(VM)작업'!$5:$7</definedName>
    <definedName name="_xlnm.Print_Titles" localSheetId="3">'3. 1절곡(VM)'!$1:$6</definedName>
    <definedName name="_xlnm.Print_Titles" localSheetId="4">'5. 차열재 출하용(VM,VT,VAG)'!$8:$9</definedName>
    <definedName name="_xlnm.Print_Titles" localSheetId="5">'6. 라벨소요량'!$5:$6</definedName>
    <definedName name="_xlnm.Print_Titles" localSheetId="2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2" l="1"/>
  <c r="D20" i="12"/>
  <c r="C20" i="12"/>
  <c r="K20" i="12" s="1"/>
  <c r="D19" i="12"/>
  <c r="I19" i="12" s="1"/>
  <c r="C19" i="12"/>
  <c r="D18" i="12"/>
  <c r="M18" i="12" s="1"/>
  <c r="C18" i="12"/>
  <c r="K18" i="12" s="1"/>
  <c r="D17" i="12"/>
  <c r="C17" i="12"/>
  <c r="G17" i="12" s="1"/>
  <c r="D16" i="12"/>
  <c r="I16" i="12" s="1"/>
  <c r="C16" i="12"/>
  <c r="G16" i="12" s="1"/>
  <c r="D15" i="12"/>
  <c r="M15" i="12" s="1"/>
  <c r="C15" i="12"/>
  <c r="D14" i="12"/>
  <c r="I14" i="12" s="1"/>
  <c r="C14" i="12"/>
  <c r="G14" i="12" s="1"/>
  <c r="D13" i="12"/>
  <c r="C13" i="12"/>
  <c r="K13" i="12" s="1"/>
  <c r="D12" i="12"/>
  <c r="I12" i="12" s="1"/>
  <c r="C12" i="12"/>
  <c r="K12" i="12" s="1"/>
  <c r="D11" i="12"/>
  <c r="I11" i="12" s="1"/>
  <c r="C11" i="12"/>
  <c r="D10" i="12"/>
  <c r="M10" i="12" s="1"/>
  <c r="C10" i="12"/>
  <c r="K10" i="12" s="1"/>
  <c r="D9" i="12"/>
  <c r="C9" i="12"/>
  <c r="G9" i="12" s="1"/>
  <c r="D8" i="12"/>
  <c r="I8" i="12" s="1"/>
  <c r="C8" i="12"/>
  <c r="G8" i="12" s="1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J20" i="12"/>
  <c r="H20" i="12"/>
  <c r="I20" i="12"/>
  <c r="M19" i="12"/>
  <c r="J19" i="12"/>
  <c r="H19" i="12"/>
  <c r="J18" i="12"/>
  <c r="H18" i="12"/>
  <c r="J17" i="12"/>
  <c r="H17" i="12"/>
  <c r="J16" i="12"/>
  <c r="H16" i="12"/>
  <c r="J15" i="12"/>
  <c r="H15" i="12"/>
  <c r="I15" i="12"/>
  <c r="J14" i="12"/>
  <c r="H14" i="12"/>
  <c r="J13" i="12"/>
  <c r="H13" i="12"/>
  <c r="J12" i="12"/>
  <c r="H12" i="12"/>
  <c r="G12" i="12"/>
  <c r="J11" i="12"/>
  <c r="H11" i="12"/>
  <c r="J10" i="12"/>
  <c r="H10" i="12"/>
  <c r="K9" i="12"/>
  <c r="J9" i="12"/>
  <c r="H9" i="12"/>
  <c r="J8" i="12"/>
  <c r="H8" i="12"/>
  <c r="G1" i="2"/>
  <c r="D20" i="2"/>
  <c r="C20" i="2"/>
  <c r="D19" i="2"/>
  <c r="C19" i="2"/>
  <c r="D18" i="2"/>
  <c r="C18" i="2"/>
  <c r="D17" i="2"/>
  <c r="I17" i="2" s="1"/>
  <c r="C17" i="2"/>
  <c r="D16" i="2"/>
  <c r="C16" i="2"/>
  <c r="D15" i="2"/>
  <c r="C15" i="2"/>
  <c r="G15" i="2" s="1"/>
  <c r="D14" i="2"/>
  <c r="C14" i="2"/>
  <c r="D13" i="2"/>
  <c r="C13" i="2"/>
  <c r="D12" i="2"/>
  <c r="C12" i="2"/>
  <c r="D11" i="2"/>
  <c r="C11" i="2"/>
  <c r="D10" i="2"/>
  <c r="C10" i="2"/>
  <c r="D9" i="2"/>
  <c r="I9" i="2" s="1"/>
  <c r="C9" i="2"/>
  <c r="D8" i="2"/>
  <c r="C8" i="2"/>
  <c r="K1" i="10"/>
  <c r="P5" i="9"/>
  <c r="N5" i="5"/>
  <c r="D1" i="1"/>
  <c r="P20" i="10"/>
  <c r="H20" i="10"/>
  <c r="U19" i="10"/>
  <c r="D19" i="10"/>
  <c r="C19" i="10"/>
  <c r="A19" i="10"/>
  <c r="U18" i="10"/>
  <c r="D18" i="10"/>
  <c r="C18" i="10"/>
  <c r="A18" i="10"/>
  <c r="U17" i="10"/>
  <c r="D17" i="10"/>
  <c r="C17" i="10"/>
  <c r="A17" i="10"/>
  <c r="U16" i="10"/>
  <c r="D16" i="10"/>
  <c r="C16" i="10"/>
  <c r="A16" i="10"/>
  <c r="U15" i="10"/>
  <c r="D15" i="10"/>
  <c r="C15" i="10"/>
  <c r="A15" i="10"/>
  <c r="U14" i="10"/>
  <c r="D14" i="10"/>
  <c r="C14" i="10"/>
  <c r="A14" i="10"/>
  <c r="U13" i="10"/>
  <c r="D13" i="10"/>
  <c r="C13" i="10"/>
  <c r="A13" i="10"/>
  <c r="U12" i="10"/>
  <c r="D12" i="10"/>
  <c r="C12" i="10"/>
  <c r="A12" i="10"/>
  <c r="U11" i="10"/>
  <c r="D11" i="10"/>
  <c r="C11" i="10"/>
  <c r="A11" i="10"/>
  <c r="U10" i="10"/>
  <c r="D10" i="10"/>
  <c r="C10" i="10"/>
  <c r="A10" i="10"/>
  <c r="U9" i="10"/>
  <c r="D9" i="10"/>
  <c r="C9" i="10"/>
  <c r="A9" i="10"/>
  <c r="U8" i="10"/>
  <c r="D8" i="10"/>
  <c r="C8" i="10"/>
  <c r="A8" i="10"/>
  <c r="U7" i="10"/>
  <c r="D7" i="10"/>
  <c r="C7" i="10"/>
  <c r="A7" i="10"/>
  <c r="C22" i="9"/>
  <c r="B22" i="9"/>
  <c r="A22" i="9"/>
  <c r="C21" i="9"/>
  <c r="B21" i="9"/>
  <c r="A21" i="9"/>
  <c r="C20" i="9"/>
  <c r="B20" i="9"/>
  <c r="A20" i="9"/>
  <c r="C19" i="9"/>
  <c r="B19" i="9"/>
  <c r="A19" i="9"/>
  <c r="C18" i="9"/>
  <c r="B18" i="9"/>
  <c r="A18" i="9"/>
  <c r="C17" i="9"/>
  <c r="B17" i="9"/>
  <c r="A17" i="9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C10" i="9"/>
  <c r="B10" i="9"/>
  <c r="A10" i="9"/>
  <c r="N23" i="5"/>
  <c r="I23" i="5"/>
  <c r="C23" i="5"/>
  <c r="K23" i="5" s="1"/>
  <c r="B23" i="5"/>
  <c r="H23" i="5" s="1"/>
  <c r="A23" i="5"/>
  <c r="N22" i="5"/>
  <c r="I22" i="5"/>
  <c r="C22" i="5"/>
  <c r="K22" i="5" s="1"/>
  <c r="B22" i="5"/>
  <c r="H22" i="5" s="1"/>
  <c r="A22" i="5"/>
  <c r="N21" i="5"/>
  <c r="I21" i="5"/>
  <c r="C21" i="5"/>
  <c r="K21" i="5" s="1"/>
  <c r="B21" i="5"/>
  <c r="H21" i="5" s="1"/>
  <c r="A21" i="5"/>
  <c r="N20" i="5"/>
  <c r="I20" i="5"/>
  <c r="C20" i="5"/>
  <c r="K20" i="5" s="1"/>
  <c r="B20" i="5"/>
  <c r="H20" i="5" s="1"/>
  <c r="A20" i="5"/>
  <c r="N19" i="5"/>
  <c r="I19" i="5"/>
  <c r="C19" i="5"/>
  <c r="K19" i="5" s="1"/>
  <c r="B19" i="5"/>
  <c r="H19" i="5" s="1"/>
  <c r="A19" i="5"/>
  <c r="N18" i="5"/>
  <c r="I18" i="5"/>
  <c r="C18" i="5"/>
  <c r="K18" i="5" s="1"/>
  <c r="B18" i="5"/>
  <c r="H18" i="5" s="1"/>
  <c r="A18" i="5"/>
  <c r="N17" i="5"/>
  <c r="I17" i="5"/>
  <c r="C17" i="5"/>
  <c r="K17" i="5" s="1"/>
  <c r="B17" i="5"/>
  <c r="H17" i="5" s="1"/>
  <c r="A17" i="5"/>
  <c r="N16" i="5"/>
  <c r="I16" i="5"/>
  <c r="C16" i="5"/>
  <c r="K16" i="5" s="1"/>
  <c r="B16" i="5"/>
  <c r="H16" i="5" s="1"/>
  <c r="A16" i="5"/>
  <c r="N15" i="5"/>
  <c r="I15" i="5"/>
  <c r="C15" i="5"/>
  <c r="K15" i="5" s="1"/>
  <c r="B15" i="5"/>
  <c r="H15" i="5" s="1"/>
  <c r="A15" i="5"/>
  <c r="N14" i="5"/>
  <c r="I14" i="5"/>
  <c r="C14" i="5"/>
  <c r="K14" i="5" s="1"/>
  <c r="B14" i="5"/>
  <c r="H14" i="5" s="1"/>
  <c r="A14" i="5"/>
  <c r="N13" i="5"/>
  <c r="I13" i="5"/>
  <c r="C13" i="5"/>
  <c r="K13" i="5" s="1"/>
  <c r="B13" i="5"/>
  <c r="H13" i="5" s="1"/>
  <c r="A13" i="5"/>
  <c r="N12" i="5"/>
  <c r="I12" i="5"/>
  <c r="C12" i="5"/>
  <c r="K12" i="5" s="1"/>
  <c r="B12" i="5"/>
  <c r="H12" i="5" s="1"/>
  <c r="A12" i="5"/>
  <c r="N11" i="5"/>
  <c r="I11" i="5"/>
  <c r="C11" i="5"/>
  <c r="K11" i="5" s="1"/>
  <c r="B11" i="5"/>
  <c r="H11" i="5" s="1"/>
  <c r="A11" i="5"/>
  <c r="A20" i="2"/>
  <c r="A19" i="2"/>
  <c r="A18" i="2"/>
  <c r="A17" i="2"/>
  <c r="A16" i="2"/>
  <c r="A15" i="2"/>
  <c r="A14" i="2"/>
  <c r="I13" i="2"/>
  <c r="A13" i="2"/>
  <c r="A12" i="2"/>
  <c r="A11" i="2"/>
  <c r="A10" i="2"/>
  <c r="A9" i="2"/>
  <c r="A8" i="2"/>
  <c r="M11" i="12" l="1"/>
  <c r="K14" i="12"/>
  <c r="M14" i="12"/>
  <c r="K17" i="12"/>
  <c r="I10" i="12"/>
  <c r="G15" i="10"/>
  <c r="G10" i="12"/>
  <c r="G20" i="12"/>
  <c r="Q17" i="10"/>
  <c r="R17" i="10" s="1"/>
  <c r="K8" i="12"/>
  <c r="K16" i="12"/>
  <c r="F14" i="9"/>
  <c r="M14" i="9" s="1"/>
  <c r="O14" i="9" s="1"/>
  <c r="F22" i="9"/>
  <c r="M22" i="9" s="1"/>
  <c r="O22" i="9" s="1"/>
  <c r="G18" i="12"/>
  <c r="G13" i="12"/>
  <c r="I18" i="12"/>
  <c r="K11" i="12"/>
  <c r="G11" i="12"/>
  <c r="M13" i="12"/>
  <c r="I13" i="12"/>
  <c r="K15" i="12"/>
  <c r="G15" i="12"/>
  <c r="M17" i="12"/>
  <c r="I17" i="12"/>
  <c r="K19" i="12"/>
  <c r="G19" i="12"/>
  <c r="M9" i="12"/>
  <c r="I9" i="12"/>
  <c r="M8" i="12"/>
  <c r="M12" i="12"/>
  <c r="M16" i="12"/>
  <c r="M20" i="12"/>
  <c r="G19" i="10"/>
  <c r="K19" i="10" s="1"/>
  <c r="Q14" i="10"/>
  <c r="R14" i="10" s="1"/>
  <c r="G7" i="10"/>
  <c r="K7" i="10" s="1"/>
  <c r="F14" i="10"/>
  <c r="G14" i="10"/>
  <c r="K14" i="10" s="1"/>
  <c r="E10" i="9"/>
  <c r="E18" i="9"/>
  <c r="G17" i="2"/>
  <c r="G13" i="2"/>
  <c r="G9" i="2"/>
  <c r="I19" i="2"/>
  <c r="I15" i="2"/>
  <c r="I11" i="2"/>
  <c r="G20" i="2"/>
  <c r="I20" i="2"/>
  <c r="I16" i="2"/>
  <c r="G16" i="2"/>
  <c r="G18" i="2"/>
  <c r="I18" i="2"/>
  <c r="I10" i="2"/>
  <c r="G12" i="2"/>
  <c r="G14" i="2"/>
  <c r="I8" i="2"/>
  <c r="I14" i="2"/>
  <c r="I12" i="2"/>
  <c r="G8" i="2"/>
  <c r="G10" i="2"/>
  <c r="E20" i="9"/>
  <c r="F20" i="9"/>
  <c r="M20" i="9" s="1"/>
  <c r="O20" i="9" s="1"/>
  <c r="G11" i="2"/>
  <c r="G19" i="2"/>
  <c r="F10" i="10"/>
  <c r="Q13" i="10"/>
  <c r="R13" i="10" s="1"/>
  <c r="F15" i="10"/>
  <c r="Q11" i="10"/>
  <c r="R11" i="10" s="1"/>
  <c r="E12" i="9"/>
  <c r="F16" i="9"/>
  <c r="M16" i="9" s="1"/>
  <c r="O16" i="9" s="1"/>
  <c r="G18" i="10"/>
  <c r="K18" i="10" s="1"/>
  <c r="F18" i="10"/>
  <c r="Q18" i="10"/>
  <c r="R18" i="10" s="1"/>
  <c r="Q10" i="10"/>
  <c r="R10" i="10" s="1"/>
  <c r="G10" i="10"/>
  <c r="K10" i="10" s="1"/>
  <c r="Q15" i="10"/>
  <c r="R15" i="10" s="1"/>
  <c r="F7" i="10"/>
  <c r="Q7" i="10"/>
  <c r="R7" i="10" s="1"/>
  <c r="Q9" i="10"/>
  <c r="R9" i="10" s="1"/>
  <c r="F11" i="10"/>
  <c r="G11" i="10"/>
  <c r="K11" i="10" s="1"/>
  <c r="N20" i="10"/>
  <c r="F17" i="10"/>
  <c r="F19" i="10"/>
  <c r="Q19" i="10"/>
  <c r="R19" i="10" s="1"/>
  <c r="F12" i="9"/>
  <c r="M12" i="9" s="1"/>
  <c r="O12" i="9" s="1"/>
  <c r="F18" i="9"/>
  <c r="M18" i="9" s="1"/>
  <c r="O18" i="9" s="1"/>
  <c r="E16" i="9"/>
  <c r="F10" i="9"/>
  <c r="M10" i="9" s="1"/>
  <c r="O10" i="9" s="1"/>
  <c r="E14" i="9"/>
  <c r="E22" i="9"/>
  <c r="E15" i="9"/>
  <c r="F15" i="9"/>
  <c r="M15" i="9" s="1"/>
  <c r="O15" i="9" s="1"/>
  <c r="E17" i="9"/>
  <c r="F17" i="9"/>
  <c r="M17" i="9" s="1"/>
  <c r="O17" i="9" s="1"/>
  <c r="E13" i="9"/>
  <c r="F13" i="9"/>
  <c r="M13" i="9" s="1"/>
  <c r="O13" i="9" s="1"/>
  <c r="E21" i="9"/>
  <c r="F21" i="9"/>
  <c r="M21" i="9" s="1"/>
  <c r="O21" i="9" s="1"/>
  <c r="E11" i="9"/>
  <c r="F11" i="9"/>
  <c r="M11" i="9" s="1"/>
  <c r="O11" i="9" s="1"/>
  <c r="E19" i="9"/>
  <c r="F19" i="9"/>
  <c r="M19" i="9" s="1"/>
  <c r="O19" i="9" s="1"/>
  <c r="J20" i="10"/>
  <c r="L20" i="10"/>
  <c r="K15" i="10"/>
  <c r="Q8" i="10"/>
  <c r="R8" i="10" s="1"/>
  <c r="G8" i="10"/>
  <c r="F8" i="10"/>
  <c r="G9" i="10"/>
  <c r="F9" i="10"/>
  <c r="Q12" i="10"/>
  <c r="R12" i="10" s="1"/>
  <c r="G12" i="10"/>
  <c r="F12" i="10"/>
  <c r="G13" i="10"/>
  <c r="F13" i="10"/>
  <c r="Q16" i="10"/>
  <c r="R16" i="10" s="1"/>
  <c r="G16" i="10"/>
  <c r="F16" i="10"/>
  <c r="G17" i="10"/>
  <c r="O23" i="9" l="1"/>
  <c r="G26" i="9" s="1"/>
  <c r="K16" i="10"/>
  <c r="K9" i="10"/>
  <c r="R20" i="10"/>
  <c r="K13" i="10"/>
  <c r="K12" i="10"/>
  <c r="Q20" i="10"/>
  <c r="K17" i="10"/>
  <c r="K8" i="10"/>
  <c r="I23" i="9" l="1"/>
  <c r="G24" i="9" s="1"/>
  <c r="R23" i="9"/>
  <c r="G27" i="9" s="1"/>
  <c r="L23" i="9"/>
  <c r="G25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</author>
  </authors>
  <commentList>
    <comment ref="K13" authorId="0" shapeId="0" xr:uid="{00000000-0006-0000-0000-000019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15" authorId="0" shapeId="0" xr:uid="{00000000-0006-0000-0000-00001A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</commentList>
</comments>
</file>

<file path=xl/sharedStrings.xml><?xml version="1.0" encoding="utf-8"?>
<sst xmlns="http://schemas.openxmlformats.org/spreadsheetml/2006/main" count="275" uniqueCount="105">
  <si>
    <t>차열재</t>
  </si>
  <si>
    <t>No</t>
  </si>
  <si>
    <t>비고</t>
  </si>
  <si>
    <t>합계</t>
  </si>
  <si>
    <t>규격</t>
  </si>
  <si>
    <t>TTL</t>
  </si>
  <si>
    <t>EZ F.B POSMAC Duct-VA-064</t>
  </si>
  <si>
    <t>라벨소요량(행복산업_KEC 구미공장_251128)</t>
  </si>
  <si>
    <t>25*
1400</t>
  </si>
  <si>
    <t>*VM 200(1000*1000)기준</t>
  </si>
  <si>
    <t>수량                확인</t>
  </si>
  <si>
    <t>차열재 50T*400*3.6M</t>
  </si>
  <si>
    <t>글라스울 25T*1400*20M</t>
  </si>
  <si>
    <t>차열재 50T*600*3.6M</t>
  </si>
  <si>
    <t>설비번호</t>
  </si>
  <si>
    <t>설치위치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</si>
  <si>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</si>
  <si>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</si>
  <si>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</si>
  <si>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</si>
  <si>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</si>
  <si>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</si>
  <si>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</si>
  <si>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</si>
  <si>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</si>
  <si>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</si>
  <si>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</si>
  <si>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</si>
  <si>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</si>
  <si>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</si>
  <si>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</si>
  <si>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</si>
  <si>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</si>
  <si>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</si>
  <si>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</si>
  <si>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</si>
  <si>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</si>
  <si>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</si>
  <si>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분할구조</t>
  </si>
  <si>
    <t>FS-MP25-0310-4</t>
  </si>
  <si>
    <t>차열재생산일지(출하용)</t>
  </si>
  <si>
    <t>특이사항 및
 조치사항</t>
  </si>
  <si>
    <t>특이사항 및   조치사항</t>
  </si>
  <si>
    <t>VA-064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</si>
  <si>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</si>
  <si>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</si>
  <si>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</si>
  <si>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</si>
  <si>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</si>
  <si>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</si>
  <si>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</si>
  <si>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</si>
  <si>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</si>
  <si>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</si>
  <si>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</si>
  <si>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</si>
  <si>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</si>
  <si>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</si>
  <si>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</si>
  <si>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</si>
  <si>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</si>
  <si>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25" type="noConversion"/>
  </si>
  <si>
    <t>재단작업지시서(VM)</t>
    <phoneticPr fontId="25" type="noConversion"/>
  </si>
  <si>
    <t>절 곡 생 산 일 지(VM)</t>
    <phoneticPr fontId="25" type="noConversion"/>
  </si>
  <si>
    <t>라벨소요량</t>
    <phoneticPr fontId="25" type="noConversion"/>
  </si>
  <si>
    <t>25*
200</t>
    <phoneticPr fontId="25" type="noConversion"/>
  </si>
  <si>
    <t>구조체작업지시서</t>
    <phoneticPr fontId="25" type="noConversion"/>
  </si>
  <si>
    <t>차열재 25T*200*7.4M</t>
    <phoneticPr fontId="25" type="noConversion"/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</si>
  <si>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</si>
  <si>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</si>
  <si>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</si>
  <si>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</si>
  <si>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</si>
  <si>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</si>
  <si>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</si>
  <si>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</si>
  <si>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</si>
  <si>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</si>
  <si>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재단작업지시서차열재</t>
    <phoneticPr fontId="25" type="noConversion"/>
  </si>
  <si>
    <t>01</t>
    <phoneticPr fontId="25" type="noConversion"/>
  </si>
  <si>
    <t>02</t>
    <phoneticPr fontId="25" type="noConversion"/>
  </si>
  <si>
    <t>03</t>
    <phoneticPr fontId="25" type="noConversion"/>
  </si>
  <si>
    <t>AHU-5 SA 방재실</t>
  </si>
  <si>
    <t>AHU-5 RA 복도</t>
  </si>
  <si>
    <t>베이커리 배기</t>
  </si>
  <si>
    <t>사무실 복도</t>
  </si>
  <si>
    <t>AHU-5 SA 복도</t>
  </si>
  <si>
    <r>
      <t xml:space="preserve">AHU-5 SA </t>
    </r>
    <r>
      <rPr>
        <b/>
        <sz val="9"/>
        <color rgb="FF000000"/>
        <rFont val="Helvetica Neue"/>
      </rPr>
      <t>방재실</t>
    </r>
  </si>
  <si>
    <r>
      <t xml:space="preserve">AHU-5 RA </t>
    </r>
    <r>
      <rPr>
        <b/>
        <sz val="9"/>
        <color rgb="FF000000"/>
        <rFont val="Helvetica Neue"/>
      </rPr>
      <t>복도</t>
    </r>
  </si>
  <si>
    <r>
      <t xml:space="preserve">AHU-5 RA </t>
    </r>
    <r>
      <rPr>
        <b/>
        <sz val="9"/>
        <color rgb="FF000000"/>
        <rFont val="Helvetica Neue"/>
      </rPr>
      <t>방재실</t>
    </r>
  </si>
  <si>
    <r>
      <rPr>
        <b/>
        <sz val="9"/>
        <color rgb="FF000000"/>
        <rFont val="Helvetica Neue"/>
      </rPr>
      <t>노브랜드</t>
    </r>
    <r>
      <rPr>
        <b/>
        <sz val="9"/>
        <color rgb="FF000000"/>
        <rFont val="Helvetica Neue"/>
        <family val="2"/>
      </rPr>
      <t xml:space="preserve"> SA</t>
    </r>
  </si>
  <si>
    <r>
      <t xml:space="preserve">26.07.07 </t>
    </r>
    <r>
      <rPr>
        <sz val="10"/>
        <color rgb="FF000000"/>
        <rFont val="맑은 고딕"/>
        <family val="3"/>
        <charset val="129"/>
      </rPr>
      <t>엘티엔지니어링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신세계건설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대현기건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트레이더스의정부</t>
    </r>
    <phoneticPr fontId="25" type="noConversion"/>
  </si>
  <si>
    <t>CL052</t>
    <phoneticPr fontId="25" type="noConversion"/>
  </si>
  <si>
    <t>CL053</t>
  </si>
  <si>
    <t>CL054</t>
  </si>
  <si>
    <t>CL055</t>
  </si>
  <si>
    <t>CL056</t>
  </si>
  <si>
    <t>CL057</t>
  </si>
  <si>
    <t>CL058</t>
  </si>
  <si>
    <t>CL059</t>
  </si>
  <si>
    <t>CL060</t>
  </si>
  <si>
    <t>CL061</t>
  </si>
  <si>
    <t>CL062</t>
  </si>
  <si>
    <t>CL063</t>
  </si>
  <si>
    <t>CL064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</si>
</sst>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34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2060"/>
      <name val="Helvetica Neue"/>
    </font>
    <font>
      <sz val="10"/>
      <color rgb="FF002060"/>
      <name val="Helvetica Neue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0"/>
      <color rgb="FF002060"/>
      <name val="Helvetica Neue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b/>
      <sz val="9"/>
      <color rgb="FF000000"/>
      <name val="Helvetica Neue"/>
    </font>
    <font>
      <b/>
      <sz val="9"/>
      <color rgb="FF000000"/>
      <name val="Helvetica Neue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5">
    <xf numFmtId="0" fontId="0" fillId="0" borderId="0">
      <alignment vertical="center"/>
    </xf>
    <xf numFmtId="0" fontId="3" fillId="0" borderId="26" xfId="0" applyFont="1" applyBorder="1" applyAlignment="1">
      <alignment horizontal="left" vertical="center"/>
    </xf>
    <xf numFmtId="0" fontId="24" fillId="0" borderId="0">
      <alignment vertical="center"/>
    </xf>
    <xf numFmtId="176" fontId="24" fillId="0" borderId="0">
      <alignment vertical="center"/>
    </xf>
    <xf numFmtId="0" fontId="1" fillId="0" borderId="0">
      <alignment vertical="center"/>
    </xf>
  </cellStyleXfs>
  <cellXfs count="22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0" xfId="2">
      <alignment vertical="center"/>
    </xf>
    <xf numFmtId="0" fontId="24" fillId="0" borderId="1" xfId="2" applyBorder="1">
      <alignment vertical="center"/>
    </xf>
    <xf numFmtId="0" fontId="1" fillId="0" borderId="0" xfId="4" applyAlignment="1">
      <alignment vertical="top" wrapText="1"/>
    </xf>
    <xf numFmtId="0" fontId="1" fillId="0" borderId="0" xfId="4">
      <alignment vertical="center"/>
    </xf>
    <xf numFmtId="0" fontId="2" fillId="2" borderId="0" xfId="4" applyFont="1" applyFill="1" applyAlignment="1">
      <alignment vertical="center" wrapText="1"/>
    </xf>
    <xf numFmtId="0" fontId="1" fillId="0" borderId="0" xfId="4" applyAlignment="1">
      <alignment vertical="center" wrapText="1"/>
    </xf>
    <xf numFmtId="0" fontId="2" fillId="2" borderId="0" xfId="4" applyFont="1" applyFill="1" applyAlignment="1">
      <alignment horizontal="center" vertical="center" wrapText="1"/>
    </xf>
    <xf numFmtId="0" fontId="3" fillId="0" borderId="0" xfId="4" applyFont="1" applyAlignment="1">
      <alignment horizontal="left" vertical="center"/>
    </xf>
    <xf numFmtId="0" fontId="2" fillId="0" borderId="0" xfId="4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76" fontId="24" fillId="0" borderId="6" xfId="3" applyBorder="1" applyAlignment="1">
      <alignment horizontal="center" vertical="center"/>
    </xf>
    <xf numFmtId="176" fontId="24" fillId="0" borderId="7" xfId="3" applyBorder="1" applyAlignment="1">
      <alignment horizontal="center" vertical="center"/>
    </xf>
    <xf numFmtId="176" fontId="24" fillId="0" borderId="8" xfId="3" applyBorder="1" applyAlignment="1">
      <alignment horizontal="center" vertical="center"/>
    </xf>
    <xf numFmtId="176" fontId="24" fillId="0" borderId="12" xfId="3" applyBorder="1" applyAlignment="1">
      <alignment horizontal="center" vertical="center"/>
    </xf>
    <xf numFmtId="176" fontId="24" fillId="0" borderId="10" xfId="3" applyBorder="1" applyAlignment="1">
      <alignment horizontal="center" vertical="center"/>
    </xf>
    <xf numFmtId="176" fontId="24" fillId="0" borderId="13" xfId="3" applyBorder="1" applyAlignment="1">
      <alignment horizontal="center" vertical="center"/>
    </xf>
    <xf numFmtId="176" fontId="24" fillId="0" borderId="14" xfId="3" applyBorder="1" applyAlignment="1">
      <alignment horizontal="center" vertical="center"/>
    </xf>
    <xf numFmtId="0" fontId="24" fillId="0" borderId="17" xfId="2" applyBorder="1" applyAlignment="1">
      <alignment horizontal="center" vertical="center"/>
    </xf>
    <xf numFmtId="0" fontId="6" fillId="0" borderId="18" xfId="2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4" fillId="0" borderId="18" xfId="2" applyBorder="1" applyAlignment="1">
      <alignment horizontal="center" vertical="center" wrapText="1"/>
    </xf>
    <xf numFmtId="0" fontId="7" fillId="0" borderId="18" xfId="4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8" fillId="0" borderId="19" xfId="4" applyFont="1" applyBorder="1" applyAlignment="1">
      <alignment horizontal="center" vertical="center" shrinkToFit="1"/>
    </xf>
    <xf numFmtId="0" fontId="24" fillId="0" borderId="19" xfId="2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9" fillId="0" borderId="18" xfId="4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177" fontId="6" fillId="0" borderId="18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shrinkToFit="1"/>
    </xf>
    <xf numFmtId="0" fontId="12" fillId="0" borderId="18" xfId="0" applyFont="1" applyBorder="1" applyAlignment="1">
      <alignment horizontal="center" vertical="center" shrinkToFit="1"/>
    </xf>
    <xf numFmtId="0" fontId="13" fillId="0" borderId="19" xfId="0" applyFont="1" applyBorder="1" applyAlignment="1">
      <alignment horizontal="center" vertical="center" shrinkToFit="1"/>
    </xf>
    <xf numFmtId="0" fontId="10" fillId="4" borderId="18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vertical="center" wrapText="1"/>
    </xf>
    <xf numFmtId="0" fontId="0" fillId="0" borderId="17" xfId="0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4" fillId="5" borderId="18" xfId="4" applyFont="1" applyFill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 wrapText="1"/>
    </xf>
    <xf numFmtId="0" fontId="17" fillId="0" borderId="18" xfId="4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3" xfId="0" applyBorder="1">
      <alignment vertical="center"/>
    </xf>
    <xf numFmtId="0" fontId="0" fillId="4" borderId="20" xfId="0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0" borderId="0" xfId="1" applyFill="1" applyBorder="1" applyAlignment="1">
      <alignment vertical="center"/>
    </xf>
    <xf numFmtId="0" fontId="1" fillId="8" borderId="0" xfId="4" applyFill="1">
      <alignment vertical="center"/>
    </xf>
    <xf numFmtId="0" fontId="1" fillId="0" borderId="35" xfId="4" applyBorder="1" applyAlignment="1">
      <alignment vertical="top" wrapText="1"/>
    </xf>
    <xf numFmtId="0" fontId="2" fillId="0" borderId="18" xfId="4" applyFont="1" applyBorder="1" applyAlignment="1">
      <alignment horizontal="center" vertical="center" wrapText="1"/>
    </xf>
    <xf numFmtId="0" fontId="2" fillId="0" borderId="19" xfId="4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3" fillId="0" borderId="30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1" fillId="0" borderId="17" xfId="4" quotePrefix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25" xfId="2" applyFont="1" applyFill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/>
    </xf>
    <xf numFmtId="0" fontId="15" fillId="0" borderId="18" xfId="2" applyFont="1" applyBorder="1" applyAlignment="1">
      <alignment horizontal="center" vertical="center" wrapText="1"/>
    </xf>
    <xf numFmtId="178" fontId="15" fillId="0" borderId="18" xfId="2" applyNumberFormat="1" applyFont="1" applyBorder="1" applyAlignment="1">
      <alignment horizontal="center" vertical="center" wrapText="1"/>
    </xf>
    <xf numFmtId="0" fontId="16" fillId="0" borderId="18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 wrapText="1"/>
    </xf>
    <xf numFmtId="0" fontId="28" fillId="5" borderId="18" xfId="4" applyFont="1" applyFill="1" applyBorder="1" applyAlignment="1">
      <alignment horizontal="center" vertical="center" wrapText="1"/>
    </xf>
    <xf numFmtId="177" fontId="6" fillId="4" borderId="18" xfId="0" applyNumberFormat="1" applyFont="1" applyFill="1" applyBorder="1" applyAlignment="1">
      <alignment horizontal="center" vertical="center" wrapText="1"/>
    </xf>
    <xf numFmtId="0" fontId="31" fillId="0" borderId="19" xfId="4" applyFont="1" applyBorder="1" applyAlignment="1">
      <alignment horizontal="center" vertical="center" wrapText="1"/>
    </xf>
    <xf numFmtId="0" fontId="32" fillId="0" borderId="19" xfId="4" applyFont="1" applyBorder="1" applyAlignment="1">
      <alignment horizontal="center" vertical="center" wrapText="1"/>
    </xf>
    <xf numFmtId="0" fontId="2" fillId="6" borderId="18" xfId="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6" fillId="0" borderId="35" xfId="4" applyFont="1" applyBorder="1" applyAlignment="1">
      <alignment horizontal="center" vertical="center" wrapText="1"/>
    </xf>
    <xf numFmtId="0" fontId="26" fillId="0" borderId="37" xfId="4" applyFont="1" applyBorder="1" applyAlignment="1">
      <alignment horizontal="center" vertical="center" wrapText="1"/>
    </xf>
    <xf numFmtId="0" fontId="26" fillId="0" borderId="0" xfId="4" applyFont="1" applyAlignment="1">
      <alignment horizontal="center" vertical="center" wrapText="1"/>
    </xf>
    <xf numFmtId="0" fontId="26" fillId="0" borderId="39" xfId="4" applyFont="1" applyBorder="1" applyAlignment="1">
      <alignment horizontal="center" vertical="center" wrapText="1"/>
    </xf>
    <xf numFmtId="0" fontId="26" fillId="0" borderId="34" xfId="4" applyFont="1" applyBorder="1" applyAlignment="1">
      <alignment horizontal="center" vertical="center" wrapText="1"/>
    </xf>
    <xf numFmtId="0" fontId="27" fillId="0" borderId="35" xfId="4" applyFont="1" applyBorder="1" applyAlignment="1">
      <alignment horizontal="center" vertical="center" shrinkToFit="1"/>
    </xf>
    <xf numFmtId="0" fontId="27" fillId="0" borderId="36" xfId="4" applyFont="1" applyBorder="1" applyAlignment="1">
      <alignment horizontal="center" vertical="center" shrinkToFit="1"/>
    </xf>
    <xf numFmtId="0" fontId="27" fillId="0" borderId="0" xfId="4" applyFont="1" applyAlignment="1">
      <alignment horizontal="center" vertical="center" shrinkToFit="1"/>
    </xf>
    <xf numFmtId="0" fontId="27" fillId="0" borderId="38" xfId="4" applyFont="1" applyBorder="1" applyAlignment="1">
      <alignment horizontal="center" vertical="center" shrinkToFit="1"/>
    </xf>
    <xf numFmtId="0" fontId="27" fillId="0" borderId="34" xfId="4" applyFont="1" applyBorder="1" applyAlignment="1">
      <alignment horizontal="center" vertical="center" shrinkToFit="1"/>
    </xf>
    <xf numFmtId="0" fontId="27" fillId="0" borderId="40" xfId="4" applyFont="1" applyBorder="1" applyAlignment="1">
      <alignment horizontal="center" vertical="center" shrinkToFit="1"/>
    </xf>
    <xf numFmtId="0" fontId="0" fillId="0" borderId="21" xfId="0" applyBorder="1" applyAlignment="1">
      <alignment horizontal="center" vertical="center"/>
    </xf>
    <xf numFmtId="0" fontId="1" fillId="6" borderId="17" xfId="4" applyFill="1" applyBorder="1" applyAlignment="1">
      <alignment horizontal="center" vertical="center" wrapText="1"/>
    </xf>
    <xf numFmtId="0" fontId="2" fillId="6" borderId="15" xfId="4" applyFont="1" applyFill="1" applyBorder="1" applyAlignment="1">
      <alignment horizontal="center" vertical="center" wrapText="1"/>
    </xf>
    <xf numFmtId="0" fontId="2" fillId="6" borderId="16" xfId="4" applyFont="1" applyFill="1" applyBorder="1" applyAlignment="1">
      <alignment horizontal="center" vertical="center" wrapText="1"/>
    </xf>
    <xf numFmtId="0" fontId="2" fillId="6" borderId="19" xfId="4" applyFont="1" applyFill="1" applyBorder="1" applyAlignment="1">
      <alignment horizontal="center" vertical="center" wrapText="1"/>
    </xf>
    <xf numFmtId="0" fontId="3" fillId="0" borderId="24" xfId="2" applyFont="1" applyBorder="1" applyAlignment="1">
      <alignment horizontal="center" vertical="center" shrinkToFit="1"/>
    </xf>
    <xf numFmtId="0" fontId="3" fillId="0" borderId="11" xfId="2" applyFont="1" applyBorder="1" applyAlignment="1">
      <alignment horizontal="center" vertical="center" shrinkToFit="1"/>
    </xf>
    <xf numFmtId="0" fontId="3" fillId="0" borderId="30" xfId="2" applyFont="1" applyBorder="1" applyAlignment="1">
      <alignment horizontal="center" vertical="center" shrinkToFit="1"/>
    </xf>
    <xf numFmtId="0" fontId="3" fillId="0" borderId="0" xfId="2" applyFont="1" applyAlignment="1">
      <alignment horizontal="center" vertical="center" shrinkToFit="1"/>
    </xf>
    <xf numFmtId="0" fontId="3" fillId="0" borderId="25" xfId="2" applyFont="1" applyBorder="1" applyAlignment="1">
      <alignment horizontal="center" vertical="center" shrinkToFit="1"/>
    </xf>
    <xf numFmtId="0" fontId="3" fillId="0" borderId="2" xfId="2" applyFont="1" applyBorder="1" applyAlignment="1">
      <alignment horizontal="center" vertical="center" shrinkToFit="1"/>
    </xf>
    <xf numFmtId="0" fontId="3" fillId="0" borderId="3" xfId="2" applyFont="1" applyBorder="1" applyAlignment="1">
      <alignment horizontal="center" vertical="center" shrinkToFit="1"/>
    </xf>
    <xf numFmtId="0" fontId="3" fillId="0" borderId="31" xfId="2" applyFont="1" applyBorder="1" applyAlignment="1">
      <alignment horizontal="center" vertical="center" shrinkToFit="1"/>
    </xf>
    <xf numFmtId="0" fontId="3" fillId="0" borderId="29" xfId="2" applyFont="1" applyBorder="1" applyAlignment="1">
      <alignment horizontal="center" vertical="center" shrinkToFit="1"/>
    </xf>
    <xf numFmtId="0" fontId="24" fillId="0" borderId="2" xfId="2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27" xfId="2" applyFont="1" applyFill="1" applyBorder="1" applyAlignment="1">
      <alignment horizontal="center" vertical="center" wrapText="1"/>
    </xf>
    <xf numFmtId="0" fontId="4" fillId="3" borderId="28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 shrinkToFit="1"/>
    </xf>
    <xf numFmtId="0" fontId="30" fillId="0" borderId="30" xfId="0" applyFont="1" applyBorder="1" applyAlignment="1">
      <alignment horizontal="center" vertical="center" wrapText="1" shrinkToFit="1"/>
    </xf>
    <xf numFmtId="0" fontId="30" fillId="0" borderId="0" xfId="0" applyFont="1" applyAlignment="1">
      <alignment horizontal="center" vertical="center" wrapText="1" shrinkToFit="1"/>
    </xf>
    <xf numFmtId="0" fontId="30" fillId="0" borderId="25" xfId="0" applyFont="1" applyBorder="1" applyAlignment="1">
      <alignment horizontal="center" vertical="center" wrapText="1" shrinkToFit="1"/>
    </xf>
    <xf numFmtId="0" fontId="30" fillId="0" borderId="2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78" fontId="24" fillId="0" borderId="18" xfId="2" applyNumberFormat="1" applyBorder="1" applyAlignment="1">
      <alignment horizontal="center" vertical="center" wrapText="1"/>
    </xf>
    <xf numFmtId="0" fontId="24" fillId="0" borderId="1" xfId="2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24" fillId="0" borderId="21" xfId="2" applyBorder="1" applyAlignment="1">
      <alignment horizontal="center" vertical="center"/>
    </xf>
    <xf numFmtId="0" fontId="24" fillId="0" borderId="17" xfId="2" applyBorder="1" applyAlignment="1">
      <alignment horizontal="center" vertical="center"/>
    </xf>
    <xf numFmtId="0" fontId="6" fillId="0" borderId="15" xfId="2" applyFont="1" applyBorder="1" applyAlignment="1">
      <alignment horizontal="center" vertical="center" wrapText="1"/>
    </xf>
    <xf numFmtId="0" fontId="6" fillId="0" borderId="18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6" fillId="0" borderId="19" xfId="2" applyFont="1" applyBorder="1" applyAlignment="1">
      <alignment horizontal="center" vertical="center" wrapText="1"/>
    </xf>
    <xf numFmtId="0" fontId="20" fillId="0" borderId="24" xfId="2" applyFont="1" applyBorder="1" applyAlignment="1">
      <alignment horizontal="center" vertical="center" shrinkToFit="1"/>
    </xf>
    <xf numFmtId="0" fontId="20" fillId="0" borderId="11" xfId="2" applyFont="1" applyBorder="1" applyAlignment="1">
      <alignment horizontal="center" vertical="center" shrinkToFit="1"/>
    </xf>
    <xf numFmtId="0" fontId="20" fillId="0" borderId="3" xfId="2" applyFont="1" applyBorder="1" applyAlignment="1">
      <alignment horizontal="center" vertical="center" shrinkToFit="1"/>
    </xf>
    <xf numFmtId="0" fontId="20" fillId="0" borderId="30" xfId="2" applyFont="1" applyBorder="1" applyAlignment="1">
      <alignment horizontal="center" vertical="center" shrinkToFit="1"/>
    </xf>
    <xf numFmtId="0" fontId="20" fillId="0" borderId="0" xfId="2" applyFont="1" applyAlignment="1">
      <alignment horizontal="center" vertical="center" shrinkToFit="1"/>
    </xf>
    <xf numFmtId="0" fontId="20" fillId="0" borderId="31" xfId="2" applyFont="1" applyBorder="1" applyAlignment="1">
      <alignment horizontal="center" vertical="center" shrinkToFit="1"/>
    </xf>
    <xf numFmtId="0" fontId="20" fillId="0" borderId="25" xfId="2" applyFont="1" applyBorder="1" applyAlignment="1">
      <alignment horizontal="center" vertical="center" shrinkToFit="1"/>
    </xf>
    <xf numFmtId="0" fontId="20" fillId="0" borderId="2" xfId="2" applyFont="1" applyBorder="1" applyAlignment="1">
      <alignment horizontal="center" vertical="center" shrinkToFit="1"/>
    </xf>
    <xf numFmtId="0" fontId="20" fillId="0" borderId="29" xfId="2" applyFont="1" applyBorder="1" applyAlignment="1">
      <alignment horizontal="center" vertical="center" shrinkToFit="1"/>
    </xf>
    <xf numFmtId="0" fontId="24" fillId="0" borderId="4" xfId="2" applyBorder="1" applyAlignment="1">
      <alignment horizontal="center" vertical="center"/>
    </xf>
    <xf numFmtId="0" fontId="24" fillId="0" borderId="28" xfId="2" applyBorder="1" applyAlignment="1">
      <alignment horizontal="center" vertical="center"/>
    </xf>
    <xf numFmtId="0" fontId="29" fillId="0" borderId="1" xfId="2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177" fontId="0" fillId="2" borderId="33" xfId="0" applyNumberFormat="1" applyFill="1" applyBorder="1" applyAlignment="1">
      <alignment horizontal="center" vertical="center" wrapText="1"/>
    </xf>
    <xf numFmtId="177" fontId="0" fillId="2" borderId="27" xfId="0" applyNumberFormat="1" applyFill="1" applyBorder="1" applyAlignment="1">
      <alignment horizontal="center" vertical="center" wrapText="1"/>
    </xf>
    <xf numFmtId="177" fontId="0" fillId="2" borderId="28" xfId="0" applyNumberForma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9" fillId="0" borderId="24" xfId="0" applyFont="1" applyBorder="1" applyAlignment="1">
      <alignment horizontal="center" vertical="center" wrapText="1" shrinkToFit="1"/>
    </xf>
    <xf numFmtId="0" fontId="29" fillId="0" borderId="11" xfId="0" applyFont="1" applyBorder="1" applyAlignment="1">
      <alignment horizontal="center" vertical="center" wrapText="1" shrinkToFit="1"/>
    </xf>
    <xf numFmtId="0" fontId="29" fillId="0" borderId="3" xfId="0" applyFont="1" applyBorder="1" applyAlignment="1">
      <alignment horizontal="center" vertical="center" wrapText="1" shrinkToFit="1"/>
    </xf>
    <xf numFmtId="0" fontId="29" fillId="0" borderId="25" xfId="0" applyFont="1" applyBorder="1" applyAlignment="1">
      <alignment horizontal="center" vertical="center" wrapText="1" shrinkToFit="1"/>
    </xf>
    <xf numFmtId="0" fontId="29" fillId="0" borderId="2" xfId="0" applyFont="1" applyBorder="1" applyAlignment="1">
      <alignment horizontal="center" vertical="center" wrapText="1" shrinkToFit="1"/>
    </xf>
    <xf numFmtId="0" fontId="29" fillId="0" borderId="29" xfId="0" applyFont="1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 wrapText="1"/>
    </xf>
    <xf numFmtId="0" fontId="6" fillId="7" borderId="18" xfId="0" applyFont="1" applyFill="1" applyBorder="1" applyAlignment="1">
      <alignment horizontal="center" vertical="center" wrapText="1"/>
    </xf>
    <xf numFmtId="0" fontId="6" fillId="7" borderId="19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">
    <cellStyle name="쉼표 [0] 2 2" xfId="3" xr:uid="{00000000-0005-0000-0000-000002000000}"/>
    <cellStyle name="표준" xfId="0" builtinId="0"/>
    <cellStyle name="표준 2" xfId="2" xr:uid="{00000000-0005-0000-0000-000001000000}"/>
    <cellStyle name="표준 3" xfId="4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F33AE9F-5E46-41B8-9EC1-F6CF615EC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9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098" name="AutoShape 2" hidden="1">
          <a:extLst>
            <a:ext uri="{FF2B5EF4-FFF2-40B4-BE49-F238E27FC236}">
              <a16:creationId xmlns:a16="http://schemas.microsoft.com/office/drawing/2014/main" id="{00000000-0008-0000-0A00-00000210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8153400" cy="7953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21"/>
  <sheetViews>
    <sheetView view="pageBreakPreview" zoomScale="120" zoomScaleNormal="120" zoomScaleSheetLayoutView="120" workbookViewId="0">
      <pane ySplit="8" topLeftCell="A9" activePane="bottomLeft" state="frozen"/>
      <selection pane="bottomLeft" activeCell="R2" sqref="R2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85" t="s">
        <v>66</v>
      </c>
      <c r="B1" s="86"/>
      <c r="C1" s="86"/>
      <c r="D1" s="91" t="str">
        <f>R2</f>
        <v>26.07.07 엘티엔지니어링_신세계건설_대현기건_트레이더스의정부</v>
      </c>
      <c r="E1" s="91"/>
      <c r="F1" s="91"/>
      <c r="G1" s="92"/>
      <c r="R1" s="8" t="s">
        <v>61</v>
      </c>
    </row>
    <row r="2" spans="1:18" ht="16.5" customHeight="1">
      <c r="A2" s="87"/>
      <c r="B2" s="88"/>
      <c r="C2" s="88"/>
      <c r="D2" s="93"/>
      <c r="E2" s="93"/>
      <c r="F2" s="93"/>
      <c r="G2" s="94"/>
      <c r="R2" s="62" t="s">
        <v>91</v>
      </c>
    </row>
    <row r="3" spans="1:18" ht="16.5" customHeight="1">
      <c r="A3" s="87"/>
      <c r="B3" s="88"/>
      <c r="C3" s="88"/>
      <c r="D3" s="93"/>
      <c r="E3" s="93"/>
      <c r="F3" s="93"/>
      <c r="G3" s="94"/>
    </row>
    <row r="4" spans="1:18" ht="17.25" customHeight="1" thickBot="1">
      <c r="A4" s="89"/>
      <c r="B4" s="90"/>
      <c r="C4" s="90"/>
      <c r="D4" s="95"/>
      <c r="E4" s="95"/>
      <c r="F4" s="95"/>
      <c r="G4" s="96"/>
    </row>
    <row r="5" spans="1:18" ht="6.75" customHeight="1" thickTop="1">
      <c r="A5" s="63"/>
      <c r="B5" s="63"/>
      <c r="C5" s="63"/>
      <c r="D5" s="63"/>
      <c r="E5" s="63"/>
      <c r="F5" s="63"/>
      <c r="G5" s="63"/>
    </row>
    <row r="6" spans="1:18" s="10" customFormat="1" ht="18" customHeight="1" thickBot="1">
      <c r="A6" s="97" t="s">
        <v>1</v>
      </c>
      <c r="B6" s="99" t="s">
        <v>60</v>
      </c>
      <c r="C6" s="99" t="s">
        <v>4</v>
      </c>
      <c r="D6" s="99"/>
      <c r="E6" s="99" t="s">
        <v>38</v>
      </c>
      <c r="F6" s="99" t="s">
        <v>35</v>
      </c>
      <c r="G6" s="100" t="s">
        <v>15</v>
      </c>
      <c r="H6" s="9"/>
      <c r="I6" s="1" t="s">
        <v>9</v>
      </c>
      <c r="J6" s="1"/>
      <c r="K6" s="1"/>
      <c r="L6" s="1"/>
      <c r="M6" s="1"/>
      <c r="N6" s="1"/>
      <c r="O6" s="8"/>
    </row>
    <row r="7" spans="1:18" s="10" customFormat="1" ht="18" customHeight="1">
      <c r="A7" s="98"/>
      <c r="B7" s="84"/>
      <c r="C7" s="84" t="s">
        <v>57</v>
      </c>
      <c r="D7" s="84" t="s">
        <v>55</v>
      </c>
      <c r="E7" s="84"/>
      <c r="F7" s="84"/>
      <c r="G7" s="101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98"/>
      <c r="B8" s="84"/>
      <c r="C8" s="84"/>
      <c r="D8" s="84"/>
      <c r="E8" s="84"/>
      <c r="F8" s="84"/>
      <c r="G8" s="101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70" t="s">
        <v>79</v>
      </c>
      <c r="B9" s="48" t="s">
        <v>43</v>
      </c>
      <c r="C9" s="26">
        <v>300</v>
      </c>
      <c r="D9" s="26">
        <v>450</v>
      </c>
      <c r="E9" s="64"/>
      <c r="F9" s="64"/>
      <c r="G9" s="82" t="s">
        <v>82</v>
      </c>
      <c r="H9" s="13"/>
      <c r="I9" s="23"/>
      <c r="J9" s="21"/>
      <c r="K9" s="17"/>
      <c r="L9" s="18"/>
      <c r="M9" s="19"/>
      <c r="N9" s="21"/>
      <c r="O9" s="8"/>
      <c r="Q9" s="10" t="s">
        <v>92</v>
      </c>
    </row>
    <row r="10" spans="1:18" s="10" customFormat="1" ht="18" customHeight="1" thickBot="1">
      <c r="A10" s="70" t="s">
        <v>80</v>
      </c>
      <c r="B10" s="48" t="s">
        <v>43</v>
      </c>
      <c r="C10" s="26">
        <v>300</v>
      </c>
      <c r="D10" s="26">
        <v>450</v>
      </c>
      <c r="E10" s="50"/>
      <c r="F10" s="64"/>
      <c r="G10" s="83" t="s">
        <v>87</v>
      </c>
      <c r="H10" s="13"/>
      <c r="I10" s="23"/>
      <c r="J10" s="21"/>
      <c r="K10" s="17"/>
      <c r="L10" s="18"/>
      <c r="M10" s="19"/>
      <c r="N10" s="21"/>
      <c r="O10" s="8"/>
      <c r="Q10" s="10" t="s">
        <v>93</v>
      </c>
    </row>
    <row r="11" spans="1:18" s="10" customFormat="1" ht="18" customHeight="1" thickBot="1">
      <c r="A11" s="70" t="s">
        <v>81</v>
      </c>
      <c r="B11" s="48" t="s">
        <v>43</v>
      </c>
      <c r="C11" s="26">
        <v>350</v>
      </c>
      <c r="D11" s="26">
        <v>350</v>
      </c>
      <c r="E11" s="50"/>
      <c r="F11" s="64"/>
      <c r="G11" s="83" t="s">
        <v>88</v>
      </c>
      <c r="H11" s="13"/>
      <c r="I11" s="23"/>
      <c r="J11" s="21"/>
      <c r="K11" s="17"/>
      <c r="L11" s="18"/>
      <c r="M11" s="19"/>
      <c r="N11" s="21"/>
      <c r="O11" s="8"/>
      <c r="Q11" s="10" t="s">
        <v>94</v>
      </c>
    </row>
    <row r="12" spans="1:18" s="10" customFormat="1" ht="18" customHeight="1" thickBot="1">
      <c r="A12" s="70" t="s">
        <v>68</v>
      </c>
      <c r="B12" s="48" t="s">
        <v>43</v>
      </c>
      <c r="C12" s="26">
        <v>400</v>
      </c>
      <c r="D12" s="26">
        <v>300</v>
      </c>
      <c r="E12" s="50"/>
      <c r="F12" s="64"/>
      <c r="G12" s="83" t="s">
        <v>89</v>
      </c>
      <c r="H12" s="13"/>
      <c r="I12" s="23"/>
      <c r="J12" s="21"/>
      <c r="K12" s="17"/>
      <c r="L12" s="18"/>
      <c r="M12" s="19"/>
      <c r="N12" s="21"/>
      <c r="O12" s="8"/>
      <c r="Q12" s="10" t="s">
        <v>95</v>
      </c>
    </row>
    <row r="13" spans="1:18" s="10" customFormat="1" ht="18" customHeight="1" thickBot="1">
      <c r="A13" s="70" t="s">
        <v>69</v>
      </c>
      <c r="B13" s="48" t="s">
        <v>43</v>
      </c>
      <c r="C13" s="26">
        <v>450</v>
      </c>
      <c r="D13" s="26">
        <v>450</v>
      </c>
      <c r="E13" s="50"/>
      <c r="F13" s="64"/>
      <c r="G13" s="83" t="s">
        <v>90</v>
      </c>
      <c r="H13" s="13"/>
      <c r="I13" s="12"/>
      <c r="J13" s="12"/>
      <c r="K13" s="17"/>
      <c r="L13" s="18"/>
      <c r="M13" s="19"/>
      <c r="N13" s="12"/>
      <c r="O13" s="8"/>
      <c r="Q13" s="10" t="s">
        <v>96</v>
      </c>
    </row>
    <row r="14" spans="1:18" s="10" customFormat="1" ht="18" customHeight="1" thickBot="1">
      <c r="A14" s="70" t="s">
        <v>70</v>
      </c>
      <c r="B14" s="48" t="s">
        <v>43</v>
      </c>
      <c r="C14" s="26">
        <v>500</v>
      </c>
      <c r="D14" s="26">
        <v>300</v>
      </c>
      <c r="E14" s="50"/>
      <c r="F14" s="64"/>
      <c r="G14" s="83" t="s">
        <v>89</v>
      </c>
      <c r="H14" s="13"/>
      <c r="I14" s="23"/>
      <c r="J14" s="21"/>
      <c r="K14" s="17"/>
      <c r="L14" s="18"/>
      <c r="M14" s="19"/>
      <c r="N14" s="21"/>
      <c r="O14" s="8"/>
      <c r="Q14" s="10" t="s">
        <v>97</v>
      </c>
    </row>
    <row r="15" spans="1:18" s="10" customFormat="1" ht="18" customHeight="1" thickBot="1">
      <c r="A15" s="70" t="s">
        <v>71</v>
      </c>
      <c r="B15" s="48" t="s">
        <v>43</v>
      </c>
      <c r="C15" s="26">
        <v>600</v>
      </c>
      <c r="D15" s="26">
        <v>550</v>
      </c>
      <c r="E15" s="50"/>
      <c r="F15" s="64"/>
      <c r="G15" s="65" t="s">
        <v>84</v>
      </c>
      <c r="H15" s="13"/>
      <c r="I15" s="22"/>
      <c r="J15" s="20"/>
      <c r="K15" s="17"/>
      <c r="L15" s="18"/>
      <c r="M15" s="19"/>
      <c r="N15" s="20"/>
      <c r="O15" s="8"/>
      <c r="Q15" s="10" t="s">
        <v>98</v>
      </c>
    </row>
    <row r="16" spans="1:18" s="10" customFormat="1" ht="18" customHeight="1" thickBot="1">
      <c r="A16" s="70" t="s">
        <v>72</v>
      </c>
      <c r="B16" s="48" t="s">
        <v>43</v>
      </c>
      <c r="C16" s="26">
        <v>700</v>
      </c>
      <c r="D16" s="26">
        <v>500</v>
      </c>
      <c r="E16" s="50"/>
      <c r="F16" s="64"/>
      <c r="G16" s="65" t="s">
        <v>85</v>
      </c>
      <c r="H16" s="13"/>
      <c r="I16" s="23"/>
      <c r="J16" s="21"/>
      <c r="K16" s="17"/>
      <c r="L16" s="18"/>
      <c r="M16" s="19"/>
      <c r="N16" s="21"/>
      <c r="O16" s="8"/>
      <c r="Q16" s="10" t="s">
        <v>99</v>
      </c>
    </row>
    <row r="17" spans="1:17" s="10" customFormat="1" ht="18" customHeight="1" thickBot="1">
      <c r="A17" s="70" t="s">
        <v>73</v>
      </c>
      <c r="B17" s="48" t="s">
        <v>43</v>
      </c>
      <c r="C17" s="26">
        <v>700</v>
      </c>
      <c r="D17" s="26">
        <v>500</v>
      </c>
      <c r="E17" s="50"/>
      <c r="F17" s="64"/>
      <c r="G17" s="65" t="s">
        <v>85</v>
      </c>
      <c r="H17" s="13"/>
      <c r="I17" s="23"/>
      <c r="J17" s="21"/>
      <c r="K17" s="17"/>
      <c r="L17" s="18"/>
      <c r="M17" s="19"/>
      <c r="N17" s="21"/>
      <c r="O17" s="8"/>
      <c r="Q17" s="10" t="s">
        <v>100</v>
      </c>
    </row>
    <row r="18" spans="1:17" s="10" customFormat="1" ht="18" customHeight="1" thickBot="1">
      <c r="A18" s="70" t="s">
        <v>74</v>
      </c>
      <c r="B18" s="48" t="s">
        <v>43</v>
      </c>
      <c r="C18" s="26">
        <v>700</v>
      </c>
      <c r="D18" s="26">
        <v>650</v>
      </c>
      <c r="E18" s="50"/>
      <c r="F18" s="64"/>
      <c r="G18" s="65" t="s">
        <v>83</v>
      </c>
      <c r="H18" s="13"/>
      <c r="I18" s="23"/>
      <c r="J18" s="21"/>
      <c r="K18" s="17"/>
      <c r="L18" s="18"/>
      <c r="M18" s="19"/>
      <c r="N18" s="21"/>
      <c r="O18" s="8"/>
      <c r="Q18" s="10" t="s">
        <v>101</v>
      </c>
    </row>
    <row r="19" spans="1:17" s="10" customFormat="1" ht="18" customHeight="1" thickBot="1">
      <c r="A19" s="70" t="s">
        <v>75</v>
      </c>
      <c r="B19" s="48" t="s">
        <v>43</v>
      </c>
      <c r="C19" s="26">
        <v>700</v>
      </c>
      <c r="D19" s="26">
        <v>700</v>
      </c>
      <c r="E19" s="50"/>
      <c r="F19" s="64"/>
      <c r="G19" s="65" t="s">
        <v>83</v>
      </c>
      <c r="H19" s="13"/>
      <c r="I19" s="23"/>
      <c r="J19" s="21"/>
      <c r="K19" s="17"/>
      <c r="L19" s="18"/>
      <c r="M19" s="19"/>
      <c r="N19" s="21"/>
      <c r="O19" s="8"/>
      <c r="Q19" s="10" t="s">
        <v>102</v>
      </c>
    </row>
    <row r="20" spans="1:17" s="10" customFormat="1" ht="18" customHeight="1" thickBot="1">
      <c r="A20" s="70" t="s">
        <v>76</v>
      </c>
      <c r="B20" s="48" t="s">
        <v>43</v>
      </c>
      <c r="C20" s="26">
        <v>900</v>
      </c>
      <c r="D20" s="26">
        <v>550</v>
      </c>
      <c r="E20" s="64"/>
      <c r="F20" s="64"/>
      <c r="G20" s="65" t="s">
        <v>86</v>
      </c>
      <c r="H20" s="13"/>
      <c r="I20" s="23"/>
      <c r="J20" s="21"/>
      <c r="K20" s="17"/>
      <c r="L20" s="18"/>
      <c r="M20" s="19"/>
      <c r="N20" s="21"/>
      <c r="O20" s="8"/>
      <c r="Q20" s="10" t="s">
        <v>103</v>
      </c>
    </row>
    <row r="21" spans="1:17" s="10" customFormat="1" ht="18" customHeight="1">
      <c r="A21" s="70" t="s">
        <v>77</v>
      </c>
      <c r="B21" s="48" t="s">
        <v>43</v>
      </c>
      <c r="C21" s="26">
        <v>900</v>
      </c>
      <c r="D21" s="26">
        <v>700</v>
      </c>
      <c r="E21" s="64"/>
      <c r="F21" s="64"/>
      <c r="G21" s="65" t="s">
        <v>83</v>
      </c>
      <c r="H21" s="13"/>
      <c r="I21" s="23"/>
      <c r="J21" s="21"/>
      <c r="K21" s="17"/>
      <c r="L21" s="18"/>
      <c r="M21" s="19"/>
      <c r="N21" s="21"/>
      <c r="O21" s="8"/>
      <c r="Q21" s="10" t="s">
        <v>104</v>
      </c>
    </row>
  </sheetData>
  <mergeCells count="11">
    <mergeCell ref="I6:N6"/>
    <mergeCell ref="C7:C8"/>
    <mergeCell ref="D7:D8"/>
    <mergeCell ref="A1:C4"/>
    <mergeCell ref="D1:G4"/>
    <mergeCell ref="A6:A8"/>
    <mergeCell ref="B6:B8"/>
    <mergeCell ref="C6:D6"/>
    <mergeCell ref="E6:E8"/>
    <mergeCell ref="F6:F8"/>
    <mergeCell ref="G6:G8"/>
  </mergeCells>
  <phoneticPr fontId="25" type="noConversion"/>
  <pageMargins left="0.23597222566604614" right="0.23597222566604614" top="0.74750000238418579" bottom="0.74750000238418579" header="0.31486111879348755" footer="0.3148611187934875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84E-E625-4433-A311-ACB260D6E4A3}">
  <dimension ref="A1:O24"/>
  <sheetViews>
    <sheetView tabSelected="1" zoomScaleNormal="100" zoomScaleSheetLayoutView="100" workbookViewId="0">
      <selection activeCell="S14" sqref="S14"/>
    </sheetView>
  </sheetViews>
  <sheetFormatPr defaultColWidth="9" defaultRowHeight="16.5"/>
  <cols>
    <col min="1" max="1" width="5.125" style="5" bestFit="1" customWidth="1"/>
    <col min="2" max="2" width="8.125" style="5" customWidth="1"/>
    <col min="3" max="4" width="6.875" style="5" customWidth="1"/>
    <col min="5" max="5" width="13.875" style="5" customWidth="1"/>
    <col min="6" max="6" width="5.75" style="5" customWidth="1"/>
    <col min="7" max="7" width="7.5" style="5" customWidth="1"/>
    <col min="8" max="8" width="7.125" style="5" customWidth="1"/>
    <col min="9" max="9" width="5.25" style="5" bestFit="1" customWidth="1"/>
    <col min="10" max="10" width="7.875" style="5" customWidth="1"/>
    <col min="11" max="11" width="7.5" style="5" customWidth="1"/>
    <col min="12" max="12" width="5.5" style="5" customWidth="1"/>
    <col min="13" max="13" width="7.5" style="5" customWidth="1"/>
    <col min="14" max="14" width="5.5" style="5" customWidth="1"/>
    <col min="15" max="15" width="26.875" style="5" customWidth="1"/>
    <col min="16" max="16384" width="9" style="5"/>
  </cols>
  <sheetData>
    <row r="1" spans="1:15" ht="16.5" customHeight="1">
      <c r="A1" s="85"/>
      <c r="B1" s="85"/>
      <c r="C1" s="85"/>
      <c r="D1" s="85"/>
      <c r="E1" s="102" t="s">
        <v>62</v>
      </c>
      <c r="F1" s="103"/>
      <c r="G1" s="103"/>
      <c r="H1" s="103" t="str">
        <f>'1. 소켓인수검사'!R2</f>
        <v>26.07.07 엘티엔지니어링_신세계건설_대현기건_트레이더스의정부</v>
      </c>
      <c r="I1" s="103"/>
      <c r="J1" s="103"/>
      <c r="K1" s="103"/>
      <c r="L1" s="103"/>
      <c r="M1" s="103"/>
      <c r="N1" s="103"/>
      <c r="O1" s="108"/>
    </row>
    <row r="2" spans="1:15" ht="16.5" customHeight="1">
      <c r="A2" s="85"/>
      <c r="B2" s="85"/>
      <c r="C2" s="85"/>
      <c r="D2" s="85"/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9"/>
    </row>
    <row r="3" spans="1:15" ht="16.5" customHeight="1">
      <c r="A3" s="85"/>
      <c r="B3" s="85"/>
      <c r="C3" s="85"/>
      <c r="D3" s="85"/>
      <c r="E3" s="106"/>
      <c r="F3" s="107"/>
      <c r="G3" s="107"/>
      <c r="H3" s="107"/>
      <c r="I3" s="107"/>
      <c r="J3" s="107"/>
      <c r="K3" s="107"/>
      <c r="L3" s="107"/>
      <c r="M3" s="107"/>
      <c r="N3" s="107"/>
      <c r="O3" s="110"/>
    </row>
    <row r="4" spans="1:15" ht="8.1" customHeight="1">
      <c r="A4" s="111"/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</row>
    <row r="5" spans="1:15" ht="26.45" customHeight="1">
      <c r="A5" s="112" t="s">
        <v>50</v>
      </c>
      <c r="B5" s="113" t="s">
        <v>60</v>
      </c>
      <c r="C5" s="116" t="s">
        <v>4</v>
      </c>
      <c r="D5" s="116"/>
      <c r="E5" s="116" t="s">
        <v>21</v>
      </c>
      <c r="F5" s="117" t="s">
        <v>48</v>
      </c>
      <c r="G5" s="120" t="s">
        <v>17</v>
      </c>
      <c r="H5" s="121"/>
      <c r="I5" s="121"/>
      <c r="J5" s="122"/>
      <c r="K5" s="120" t="s">
        <v>31</v>
      </c>
      <c r="L5" s="121"/>
      <c r="M5" s="121"/>
      <c r="N5" s="121"/>
      <c r="O5" s="117" t="s">
        <v>2</v>
      </c>
    </row>
    <row r="6" spans="1:15" ht="16.5" customHeight="1">
      <c r="A6" s="112"/>
      <c r="B6" s="114"/>
      <c r="C6" s="116" t="s">
        <v>57</v>
      </c>
      <c r="D6" s="116" t="s">
        <v>55</v>
      </c>
      <c r="E6" s="116"/>
      <c r="F6" s="118"/>
      <c r="G6" s="116" t="s">
        <v>57</v>
      </c>
      <c r="H6" s="116"/>
      <c r="I6" s="116" t="s">
        <v>55</v>
      </c>
      <c r="J6" s="116"/>
      <c r="K6" s="116" t="s">
        <v>59</v>
      </c>
      <c r="L6" s="116"/>
      <c r="M6" s="120" t="s">
        <v>56</v>
      </c>
      <c r="N6" s="121"/>
      <c r="O6" s="118"/>
    </row>
    <row r="7" spans="1:15">
      <c r="A7" s="112"/>
      <c r="B7" s="115"/>
      <c r="C7" s="116"/>
      <c r="D7" s="116"/>
      <c r="E7" s="116"/>
      <c r="F7" s="119"/>
      <c r="G7" s="71" t="s">
        <v>4</v>
      </c>
      <c r="H7" s="71" t="s">
        <v>28</v>
      </c>
      <c r="I7" s="74" t="s">
        <v>4</v>
      </c>
      <c r="J7" s="73" t="s">
        <v>28</v>
      </c>
      <c r="K7" s="71" t="s">
        <v>4</v>
      </c>
      <c r="L7" s="71" t="s">
        <v>48</v>
      </c>
      <c r="M7" s="71" t="s">
        <v>4</v>
      </c>
      <c r="N7" s="72" t="s">
        <v>48</v>
      </c>
      <c r="O7" s="119"/>
    </row>
    <row r="8" spans="1:15">
      <c r="A8" s="75" t="str">
        <f>'1. 소켓인수검사'!A9</f>
        <v>01</v>
      </c>
      <c r="B8" s="80" t="s">
        <v>43</v>
      </c>
      <c r="C8" s="49">
        <f>'1. 소켓인수검사'!C9</f>
        <v>300</v>
      </c>
      <c r="D8" s="49">
        <f>'1. 소켓인수검사'!D9</f>
        <v>450</v>
      </c>
      <c r="E8" s="35"/>
      <c r="F8" s="49">
        <v>1</v>
      </c>
      <c r="G8" s="76">
        <f t="shared" ref="G8:G20" si="0">C8-5</f>
        <v>295</v>
      </c>
      <c r="H8" s="49">
        <f t="shared" ref="H8:H20" si="1">F8*4</f>
        <v>4</v>
      </c>
      <c r="I8" s="77">
        <f t="shared" ref="I8:I20" si="2">D8-30</f>
        <v>420</v>
      </c>
      <c r="J8" s="49">
        <f t="shared" ref="J8:J20" si="3">F8*4</f>
        <v>4</v>
      </c>
      <c r="K8" s="78">
        <f t="shared" ref="K8:K20" si="4">C8+60</f>
        <v>360</v>
      </c>
      <c r="L8" s="49">
        <v>2</v>
      </c>
      <c r="M8" s="78">
        <f t="shared" ref="M8:M20" si="5">D8</f>
        <v>450</v>
      </c>
      <c r="N8" s="49">
        <v>2</v>
      </c>
      <c r="O8" s="79"/>
    </row>
    <row r="9" spans="1:15">
      <c r="A9" s="75" t="str">
        <f>'1. 소켓인수검사'!A10</f>
        <v>02</v>
      </c>
      <c r="B9" s="80" t="s">
        <v>43</v>
      </c>
      <c r="C9" s="49">
        <f>'1. 소켓인수검사'!C10</f>
        <v>300</v>
      </c>
      <c r="D9" s="49">
        <f>'1. 소켓인수검사'!D10</f>
        <v>450</v>
      </c>
      <c r="E9" s="35"/>
      <c r="F9" s="49">
        <v>1</v>
      </c>
      <c r="G9" s="76">
        <f t="shared" si="0"/>
        <v>295</v>
      </c>
      <c r="H9" s="49">
        <f t="shared" si="1"/>
        <v>4</v>
      </c>
      <c r="I9" s="77">
        <f t="shared" si="2"/>
        <v>420</v>
      </c>
      <c r="J9" s="49">
        <f t="shared" si="3"/>
        <v>4</v>
      </c>
      <c r="K9" s="78">
        <f t="shared" si="4"/>
        <v>360</v>
      </c>
      <c r="L9" s="49">
        <v>2</v>
      </c>
      <c r="M9" s="78">
        <f t="shared" si="5"/>
        <v>450</v>
      </c>
      <c r="N9" s="49">
        <v>2</v>
      </c>
      <c r="O9" s="79"/>
    </row>
    <row r="10" spans="1:15">
      <c r="A10" s="75" t="str">
        <f>'1. 소켓인수검사'!A11</f>
        <v>03</v>
      </c>
      <c r="B10" s="80" t="s">
        <v>43</v>
      </c>
      <c r="C10" s="49">
        <f>'1. 소켓인수검사'!C11</f>
        <v>350</v>
      </c>
      <c r="D10" s="49">
        <f>'1. 소켓인수검사'!D11</f>
        <v>350</v>
      </c>
      <c r="E10" s="35"/>
      <c r="F10" s="49">
        <v>1</v>
      </c>
      <c r="G10" s="76">
        <f t="shared" si="0"/>
        <v>345</v>
      </c>
      <c r="H10" s="49">
        <f t="shared" si="1"/>
        <v>4</v>
      </c>
      <c r="I10" s="77">
        <f t="shared" si="2"/>
        <v>320</v>
      </c>
      <c r="J10" s="49">
        <f t="shared" si="3"/>
        <v>4</v>
      </c>
      <c r="K10" s="78">
        <f t="shared" si="4"/>
        <v>410</v>
      </c>
      <c r="L10" s="49">
        <v>2</v>
      </c>
      <c r="M10" s="78">
        <f t="shared" si="5"/>
        <v>350</v>
      </c>
      <c r="N10" s="49">
        <v>2</v>
      </c>
      <c r="O10" s="79"/>
    </row>
    <row r="11" spans="1:15">
      <c r="A11" s="75" t="str">
        <f>'1. 소켓인수검사'!A12</f>
        <v>04</v>
      </c>
      <c r="B11" s="80" t="s">
        <v>43</v>
      </c>
      <c r="C11" s="49">
        <f>'1. 소켓인수검사'!C12</f>
        <v>400</v>
      </c>
      <c r="D11" s="49">
        <f>'1. 소켓인수검사'!D12</f>
        <v>300</v>
      </c>
      <c r="E11" s="35"/>
      <c r="F11" s="49">
        <v>1</v>
      </c>
      <c r="G11" s="76">
        <f t="shared" si="0"/>
        <v>395</v>
      </c>
      <c r="H11" s="49">
        <f t="shared" si="1"/>
        <v>4</v>
      </c>
      <c r="I11" s="77">
        <f t="shared" si="2"/>
        <v>270</v>
      </c>
      <c r="J11" s="49">
        <f t="shared" si="3"/>
        <v>4</v>
      </c>
      <c r="K11" s="78">
        <f t="shared" si="4"/>
        <v>460</v>
      </c>
      <c r="L11" s="49">
        <v>2</v>
      </c>
      <c r="M11" s="78">
        <f t="shared" si="5"/>
        <v>300</v>
      </c>
      <c r="N11" s="49">
        <v>2</v>
      </c>
      <c r="O11" s="79"/>
    </row>
    <row r="12" spans="1:15">
      <c r="A12" s="75" t="str">
        <f>'1. 소켓인수검사'!A13</f>
        <v>05</v>
      </c>
      <c r="B12" s="80" t="s">
        <v>43</v>
      </c>
      <c r="C12" s="49">
        <f>'1. 소켓인수검사'!C13</f>
        <v>450</v>
      </c>
      <c r="D12" s="49">
        <f>'1. 소켓인수검사'!D13</f>
        <v>450</v>
      </c>
      <c r="E12" s="35"/>
      <c r="F12" s="49">
        <v>1</v>
      </c>
      <c r="G12" s="76">
        <f t="shared" si="0"/>
        <v>445</v>
      </c>
      <c r="H12" s="49">
        <f t="shared" si="1"/>
        <v>4</v>
      </c>
      <c r="I12" s="77">
        <f t="shared" si="2"/>
        <v>420</v>
      </c>
      <c r="J12" s="49">
        <f t="shared" si="3"/>
        <v>4</v>
      </c>
      <c r="K12" s="78">
        <f t="shared" si="4"/>
        <v>510</v>
      </c>
      <c r="L12" s="49">
        <v>2</v>
      </c>
      <c r="M12" s="78">
        <f t="shared" si="5"/>
        <v>450</v>
      </c>
      <c r="N12" s="49">
        <v>2</v>
      </c>
      <c r="O12" s="79"/>
    </row>
    <row r="13" spans="1:15">
      <c r="A13" s="75" t="str">
        <f>'1. 소켓인수검사'!A14</f>
        <v>06</v>
      </c>
      <c r="B13" s="80" t="s">
        <v>43</v>
      </c>
      <c r="C13" s="49">
        <f>'1. 소켓인수검사'!C14</f>
        <v>500</v>
      </c>
      <c r="D13" s="49">
        <f>'1. 소켓인수검사'!D14</f>
        <v>300</v>
      </c>
      <c r="E13" s="35"/>
      <c r="F13" s="49">
        <v>1</v>
      </c>
      <c r="G13" s="76">
        <f t="shared" si="0"/>
        <v>495</v>
      </c>
      <c r="H13" s="49">
        <f t="shared" si="1"/>
        <v>4</v>
      </c>
      <c r="I13" s="77">
        <f t="shared" si="2"/>
        <v>270</v>
      </c>
      <c r="J13" s="49">
        <f t="shared" si="3"/>
        <v>4</v>
      </c>
      <c r="K13" s="78">
        <f t="shared" si="4"/>
        <v>560</v>
      </c>
      <c r="L13" s="49">
        <v>2</v>
      </c>
      <c r="M13" s="78">
        <f t="shared" si="5"/>
        <v>300</v>
      </c>
      <c r="N13" s="49">
        <v>2</v>
      </c>
      <c r="O13" s="79"/>
    </row>
    <row r="14" spans="1:15">
      <c r="A14" s="75" t="str">
        <f>'1. 소켓인수검사'!A15</f>
        <v>07</v>
      </c>
      <c r="B14" s="80" t="s">
        <v>43</v>
      </c>
      <c r="C14" s="49">
        <f>'1. 소켓인수검사'!C15</f>
        <v>600</v>
      </c>
      <c r="D14" s="49">
        <f>'1. 소켓인수검사'!D15</f>
        <v>550</v>
      </c>
      <c r="E14" s="35"/>
      <c r="F14" s="49">
        <v>1</v>
      </c>
      <c r="G14" s="76">
        <f t="shared" si="0"/>
        <v>595</v>
      </c>
      <c r="H14" s="49">
        <f t="shared" si="1"/>
        <v>4</v>
      </c>
      <c r="I14" s="77">
        <f t="shared" si="2"/>
        <v>520</v>
      </c>
      <c r="J14" s="49">
        <f t="shared" si="3"/>
        <v>4</v>
      </c>
      <c r="K14" s="78">
        <f t="shared" si="4"/>
        <v>660</v>
      </c>
      <c r="L14" s="49">
        <v>2</v>
      </c>
      <c r="M14" s="78">
        <f t="shared" si="5"/>
        <v>550</v>
      </c>
      <c r="N14" s="49">
        <v>2</v>
      </c>
      <c r="O14" s="79"/>
    </row>
    <row r="15" spans="1:15">
      <c r="A15" s="75" t="str">
        <f>'1. 소켓인수검사'!A16</f>
        <v>08</v>
      </c>
      <c r="B15" s="80" t="s">
        <v>43</v>
      </c>
      <c r="C15" s="49">
        <f>'1. 소켓인수검사'!C16</f>
        <v>700</v>
      </c>
      <c r="D15" s="49">
        <f>'1. 소켓인수검사'!D16</f>
        <v>500</v>
      </c>
      <c r="E15" s="35"/>
      <c r="F15" s="49">
        <v>1</v>
      </c>
      <c r="G15" s="76">
        <f t="shared" si="0"/>
        <v>695</v>
      </c>
      <c r="H15" s="49">
        <f t="shared" si="1"/>
        <v>4</v>
      </c>
      <c r="I15" s="77">
        <f t="shared" si="2"/>
        <v>470</v>
      </c>
      <c r="J15" s="49">
        <f t="shared" si="3"/>
        <v>4</v>
      </c>
      <c r="K15" s="78">
        <f t="shared" si="4"/>
        <v>760</v>
      </c>
      <c r="L15" s="49">
        <v>2</v>
      </c>
      <c r="M15" s="78">
        <f t="shared" si="5"/>
        <v>500</v>
      </c>
      <c r="N15" s="49">
        <v>2</v>
      </c>
      <c r="O15" s="79"/>
    </row>
    <row r="16" spans="1:15">
      <c r="A16" s="75" t="str">
        <f>'1. 소켓인수검사'!A17</f>
        <v>09</v>
      </c>
      <c r="B16" s="80" t="s">
        <v>43</v>
      </c>
      <c r="C16" s="49">
        <f>'1. 소켓인수검사'!C17</f>
        <v>700</v>
      </c>
      <c r="D16" s="49">
        <f>'1. 소켓인수검사'!D17</f>
        <v>500</v>
      </c>
      <c r="E16" s="35"/>
      <c r="F16" s="49">
        <v>1</v>
      </c>
      <c r="G16" s="76">
        <f t="shared" si="0"/>
        <v>695</v>
      </c>
      <c r="H16" s="49">
        <f t="shared" si="1"/>
        <v>4</v>
      </c>
      <c r="I16" s="77">
        <f t="shared" si="2"/>
        <v>470</v>
      </c>
      <c r="J16" s="49">
        <f t="shared" si="3"/>
        <v>4</v>
      </c>
      <c r="K16" s="78">
        <f t="shared" si="4"/>
        <v>760</v>
      </c>
      <c r="L16" s="49">
        <v>2</v>
      </c>
      <c r="M16" s="78">
        <f t="shared" si="5"/>
        <v>500</v>
      </c>
      <c r="N16" s="49">
        <v>2</v>
      </c>
      <c r="O16" s="79"/>
    </row>
    <row r="17" spans="1:15">
      <c r="A17" s="75" t="str">
        <f>'1. 소켓인수검사'!A18</f>
        <v>10</v>
      </c>
      <c r="B17" s="80" t="s">
        <v>43</v>
      </c>
      <c r="C17" s="49">
        <f>'1. 소켓인수검사'!C18</f>
        <v>700</v>
      </c>
      <c r="D17" s="49">
        <f>'1. 소켓인수검사'!D18</f>
        <v>650</v>
      </c>
      <c r="E17" s="35"/>
      <c r="F17" s="49">
        <v>1</v>
      </c>
      <c r="G17" s="76">
        <f t="shared" si="0"/>
        <v>695</v>
      </c>
      <c r="H17" s="49">
        <f t="shared" si="1"/>
        <v>4</v>
      </c>
      <c r="I17" s="77">
        <f t="shared" si="2"/>
        <v>620</v>
      </c>
      <c r="J17" s="49">
        <f t="shared" si="3"/>
        <v>4</v>
      </c>
      <c r="K17" s="78">
        <f t="shared" si="4"/>
        <v>760</v>
      </c>
      <c r="L17" s="49">
        <v>2</v>
      </c>
      <c r="M17" s="78">
        <f t="shared" si="5"/>
        <v>650</v>
      </c>
      <c r="N17" s="49">
        <v>2</v>
      </c>
      <c r="O17" s="79"/>
    </row>
    <row r="18" spans="1:15">
      <c r="A18" s="75" t="str">
        <f>'1. 소켓인수검사'!A19</f>
        <v>11</v>
      </c>
      <c r="B18" s="80" t="s">
        <v>43</v>
      </c>
      <c r="C18" s="49">
        <f>'1. 소켓인수검사'!C19</f>
        <v>700</v>
      </c>
      <c r="D18" s="49">
        <f>'1. 소켓인수검사'!D19</f>
        <v>700</v>
      </c>
      <c r="E18" s="35"/>
      <c r="F18" s="49">
        <v>1</v>
      </c>
      <c r="G18" s="76">
        <f t="shared" si="0"/>
        <v>695</v>
      </c>
      <c r="H18" s="49">
        <f t="shared" si="1"/>
        <v>4</v>
      </c>
      <c r="I18" s="77">
        <f t="shared" si="2"/>
        <v>670</v>
      </c>
      <c r="J18" s="49">
        <f t="shared" si="3"/>
        <v>4</v>
      </c>
      <c r="K18" s="78">
        <f t="shared" si="4"/>
        <v>760</v>
      </c>
      <c r="L18" s="49">
        <v>2</v>
      </c>
      <c r="M18" s="78">
        <f t="shared" si="5"/>
        <v>700</v>
      </c>
      <c r="N18" s="49">
        <v>2</v>
      </c>
      <c r="O18" s="79"/>
    </row>
    <row r="19" spans="1:15">
      <c r="A19" s="75" t="str">
        <f>'1. 소켓인수검사'!A20</f>
        <v>12</v>
      </c>
      <c r="B19" s="80" t="s">
        <v>43</v>
      </c>
      <c r="C19" s="49">
        <f>'1. 소켓인수검사'!C20</f>
        <v>900</v>
      </c>
      <c r="D19" s="49">
        <f>'1. 소켓인수검사'!D20</f>
        <v>550</v>
      </c>
      <c r="E19" s="35"/>
      <c r="F19" s="49">
        <v>1</v>
      </c>
      <c r="G19" s="76">
        <f t="shared" si="0"/>
        <v>895</v>
      </c>
      <c r="H19" s="49">
        <f t="shared" si="1"/>
        <v>4</v>
      </c>
      <c r="I19" s="77">
        <f t="shared" si="2"/>
        <v>520</v>
      </c>
      <c r="J19" s="49">
        <f t="shared" si="3"/>
        <v>4</v>
      </c>
      <c r="K19" s="78">
        <f t="shared" si="4"/>
        <v>960</v>
      </c>
      <c r="L19" s="49">
        <v>2</v>
      </c>
      <c r="M19" s="78">
        <f t="shared" si="5"/>
        <v>550</v>
      </c>
      <c r="N19" s="49">
        <v>2</v>
      </c>
      <c r="O19" s="79"/>
    </row>
    <row r="20" spans="1:15">
      <c r="A20" s="75" t="str">
        <f>'1. 소켓인수검사'!A21</f>
        <v>13</v>
      </c>
      <c r="B20" s="80" t="s">
        <v>43</v>
      </c>
      <c r="C20" s="49">
        <f>'1. 소켓인수검사'!C21</f>
        <v>900</v>
      </c>
      <c r="D20" s="49">
        <f>'1. 소켓인수검사'!D21</f>
        <v>700</v>
      </c>
      <c r="E20" s="35"/>
      <c r="F20" s="49">
        <v>1</v>
      </c>
      <c r="G20" s="76">
        <f t="shared" si="0"/>
        <v>895</v>
      </c>
      <c r="H20" s="49">
        <f t="shared" si="1"/>
        <v>4</v>
      </c>
      <c r="I20" s="77">
        <f t="shared" si="2"/>
        <v>670</v>
      </c>
      <c r="J20" s="49">
        <f t="shared" si="3"/>
        <v>4</v>
      </c>
      <c r="K20" s="78">
        <f t="shared" si="4"/>
        <v>960</v>
      </c>
      <c r="L20" s="49">
        <v>2</v>
      </c>
      <c r="M20" s="78">
        <f t="shared" si="5"/>
        <v>700</v>
      </c>
      <c r="N20" s="49">
        <v>2</v>
      </c>
      <c r="O20" s="79"/>
    </row>
    <row r="21" spans="1:15" ht="8.1" customHeight="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</row>
    <row r="22" spans="1:15">
      <c r="A22" s="85" t="s">
        <v>41</v>
      </c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</row>
    <row r="23" spans="1:15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</row>
    <row r="24" spans="1:15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</row>
  </sheetData>
  <mergeCells count="21">
    <mergeCell ref="A21:O21"/>
    <mergeCell ref="A22:C24"/>
    <mergeCell ref="D22:O24"/>
    <mergeCell ref="K5:N5"/>
    <mergeCell ref="O5:O7"/>
    <mergeCell ref="C6:C7"/>
    <mergeCell ref="D6:D7"/>
    <mergeCell ref="G6:H6"/>
    <mergeCell ref="I6:J6"/>
    <mergeCell ref="K6:L6"/>
    <mergeCell ref="M6:N6"/>
    <mergeCell ref="A1:D3"/>
    <mergeCell ref="E1:G3"/>
    <mergeCell ref="H1:O3"/>
    <mergeCell ref="A4:O4"/>
    <mergeCell ref="A5:A7"/>
    <mergeCell ref="B5:B7"/>
    <mergeCell ref="C5:D5"/>
    <mergeCell ref="E5:E7"/>
    <mergeCell ref="F5:F7"/>
    <mergeCell ref="G5:J5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23"/>
  <sheetViews>
    <sheetView zoomScaleNormal="100" zoomScaleSheetLayoutView="100" workbookViewId="0">
      <selection activeCell="H29" sqref="H29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85"/>
      <c r="B1" s="85"/>
      <c r="C1" s="85"/>
      <c r="D1" s="85"/>
      <c r="E1" s="85" t="s">
        <v>78</v>
      </c>
      <c r="F1" s="126"/>
      <c r="G1" s="131" t="str">
        <f>'1. 소켓인수검사'!R2</f>
        <v>26.07.07 엘티엔지니어링_신세계건설_대현기건_트레이더스의정부</v>
      </c>
      <c r="H1" s="131"/>
      <c r="I1" s="131"/>
      <c r="J1" s="131"/>
      <c r="K1" s="132"/>
    </row>
    <row r="2" spans="1:11" ht="16.5" customHeight="1">
      <c r="A2" s="85"/>
      <c r="B2" s="85"/>
      <c r="C2" s="85"/>
      <c r="D2" s="85"/>
      <c r="E2" s="127"/>
      <c r="F2" s="128"/>
      <c r="G2" s="133"/>
      <c r="H2" s="133"/>
      <c r="I2" s="133"/>
      <c r="J2" s="133"/>
      <c r="K2" s="134"/>
    </row>
    <row r="3" spans="1:11" ht="16.5" customHeight="1">
      <c r="A3" s="85"/>
      <c r="B3" s="85"/>
      <c r="C3" s="85"/>
      <c r="D3" s="85"/>
      <c r="E3" s="129"/>
      <c r="F3" s="130"/>
      <c r="G3" s="135"/>
      <c r="H3" s="135"/>
      <c r="I3" s="135"/>
      <c r="J3" s="135"/>
      <c r="K3" s="136"/>
    </row>
    <row r="4" spans="1:11" ht="8.1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</row>
    <row r="5" spans="1:11" ht="26.45" customHeight="1">
      <c r="A5" s="138" t="s">
        <v>50</v>
      </c>
      <c r="B5" s="139" t="s">
        <v>60</v>
      </c>
      <c r="C5" s="123" t="s">
        <v>4</v>
      </c>
      <c r="D5" s="123"/>
      <c r="E5" s="123" t="s">
        <v>21</v>
      </c>
      <c r="F5" s="142" t="s">
        <v>48</v>
      </c>
      <c r="G5" s="124" t="s">
        <v>31</v>
      </c>
      <c r="H5" s="125"/>
      <c r="I5" s="125"/>
      <c r="J5" s="125"/>
      <c r="K5" s="142" t="s">
        <v>2</v>
      </c>
    </row>
    <row r="6" spans="1:11" ht="16.5" customHeight="1">
      <c r="A6" s="138"/>
      <c r="B6" s="140"/>
      <c r="C6" s="123" t="s">
        <v>57</v>
      </c>
      <c r="D6" s="123" t="s">
        <v>55</v>
      </c>
      <c r="E6" s="123"/>
      <c r="F6" s="143"/>
      <c r="G6" s="123" t="s">
        <v>59</v>
      </c>
      <c r="H6" s="123"/>
      <c r="I6" s="124" t="s">
        <v>56</v>
      </c>
      <c r="J6" s="125"/>
      <c r="K6" s="143"/>
    </row>
    <row r="7" spans="1:11">
      <c r="A7" s="138"/>
      <c r="B7" s="141"/>
      <c r="C7" s="123"/>
      <c r="D7" s="123"/>
      <c r="E7" s="123"/>
      <c r="F7" s="144"/>
      <c r="G7" s="15" t="s">
        <v>4</v>
      </c>
      <c r="H7" s="15" t="s">
        <v>48</v>
      </c>
      <c r="I7" s="15" t="s">
        <v>4</v>
      </c>
      <c r="J7" s="16" t="s">
        <v>48</v>
      </c>
      <c r="K7" s="144"/>
    </row>
    <row r="8" spans="1:11">
      <c r="A8" s="66" t="str">
        <f>'1. 소켓인수검사'!A9</f>
        <v>01</v>
      </c>
      <c r="B8" s="48" t="s">
        <v>43</v>
      </c>
      <c r="C8" s="34">
        <f>'1. 소켓인수검사'!C9</f>
        <v>300</v>
      </c>
      <c r="D8" s="34">
        <f>'1. 소켓인수검사'!D9</f>
        <v>450</v>
      </c>
      <c r="E8" s="35"/>
      <c r="F8" s="34">
        <v>1</v>
      </c>
      <c r="G8" s="47">
        <f t="shared" ref="G8:G20" si="0">C8+60</f>
        <v>360</v>
      </c>
      <c r="H8" s="34">
        <v>2</v>
      </c>
      <c r="I8" s="47">
        <f t="shared" ref="I8:I20" si="1">D8</f>
        <v>450</v>
      </c>
      <c r="J8" s="34">
        <v>2</v>
      </c>
      <c r="K8" s="46"/>
    </row>
    <row r="9" spans="1:11">
      <c r="A9" s="66" t="str">
        <f>'1. 소켓인수검사'!A10</f>
        <v>02</v>
      </c>
      <c r="B9" s="48" t="s">
        <v>43</v>
      </c>
      <c r="C9" s="34">
        <f>'1. 소켓인수검사'!C10</f>
        <v>300</v>
      </c>
      <c r="D9" s="34">
        <f>'1. 소켓인수검사'!D10</f>
        <v>450</v>
      </c>
      <c r="E9" s="35"/>
      <c r="F9" s="34">
        <v>1</v>
      </c>
      <c r="G9" s="47">
        <f t="shared" si="0"/>
        <v>360</v>
      </c>
      <c r="H9" s="34">
        <v>2</v>
      </c>
      <c r="I9" s="47">
        <f t="shared" si="1"/>
        <v>450</v>
      </c>
      <c r="J9" s="34">
        <v>2</v>
      </c>
      <c r="K9" s="46"/>
    </row>
    <row r="10" spans="1:11">
      <c r="A10" s="66" t="str">
        <f>'1. 소켓인수검사'!A11</f>
        <v>03</v>
      </c>
      <c r="B10" s="48" t="s">
        <v>43</v>
      </c>
      <c r="C10" s="34">
        <f>'1. 소켓인수검사'!C11</f>
        <v>350</v>
      </c>
      <c r="D10" s="34">
        <f>'1. 소켓인수검사'!D11</f>
        <v>350</v>
      </c>
      <c r="E10" s="35"/>
      <c r="F10" s="34">
        <v>1</v>
      </c>
      <c r="G10" s="47">
        <f t="shared" si="0"/>
        <v>410</v>
      </c>
      <c r="H10" s="34">
        <v>2</v>
      </c>
      <c r="I10" s="47">
        <f t="shared" si="1"/>
        <v>350</v>
      </c>
      <c r="J10" s="34">
        <v>2</v>
      </c>
      <c r="K10" s="46"/>
    </row>
    <row r="11" spans="1:11">
      <c r="A11" s="66" t="str">
        <f>'1. 소켓인수검사'!A12</f>
        <v>04</v>
      </c>
      <c r="B11" s="48" t="s">
        <v>43</v>
      </c>
      <c r="C11" s="34">
        <f>'1. 소켓인수검사'!C12</f>
        <v>400</v>
      </c>
      <c r="D11" s="34">
        <f>'1. 소켓인수검사'!D12</f>
        <v>300</v>
      </c>
      <c r="E11" s="35"/>
      <c r="F11" s="34">
        <v>1</v>
      </c>
      <c r="G11" s="47">
        <f t="shared" si="0"/>
        <v>460</v>
      </c>
      <c r="H11" s="34">
        <v>2</v>
      </c>
      <c r="I11" s="47">
        <f t="shared" si="1"/>
        <v>300</v>
      </c>
      <c r="J11" s="34">
        <v>2</v>
      </c>
      <c r="K11" s="46"/>
    </row>
    <row r="12" spans="1:11">
      <c r="A12" s="66" t="str">
        <f>'1. 소켓인수검사'!A13</f>
        <v>05</v>
      </c>
      <c r="B12" s="48" t="s">
        <v>43</v>
      </c>
      <c r="C12" s="34">
        <f>'1. 소켓인수검사'!C13</f>
        <v>450</v>
      </c>
      <c r="D12" s="34">
        <f>'1. 소켓인수검사'!D13</f>
        <v>450</v>
      </c>
      <c r="E12" s="35"/>
      <c r="F12" s="34">
        <v>1</v>
      </c>
      <c r="G12" s="47">
        <f t="shared" si="0"/>
        <v>510</v>
      </c>
      <c r="H12" s="34">
        <v>2</v>
      </c>
      <c r="I12" s="47">
        <f t="shared" si="1"/>
        <v>450</v>
      </c>
      <c r="J12" s="34">
        <v>2</v>
      </c>
      <c r="K12" s="46"/>
    </row>
    <row r="13" spans="1:11">
      <c r="A13" s="66" t="str">
        <f>'1. 소켓인수검사'!A14</f>
        <v>06</v>
      </c>
      <c r="B13" s="48" t="s">
        <v>43</v>
      </c>
      <c r="C13" s="34">
        <f>'1. 소켓인수검사'!C14</f>
        <v>500</v>
      </c>
      <c r="D13" s="34">
        <f>'1. 소켓인수검사'!D14</f>
        <v>300</v>
      </c>
      <c r="E13" s="35"/>
      <c r="F13" s="34">
        <v>1</v>
      </c>
      <c r="G13" s="47">
        <f t="shared" si="0"/>
        <v>560</v>
      </c>
      <c r="H13" s="34">
        <v>2</v>
      </c>
      <c r="I13" s="47">
        <f t="shared" si="1"/>
        <v>300</v>
      </c>
      <c r="J13" s="34">
        <v>2</v>
      </c>
      <c r="K13" s="46"/>
    </row>
    <row r="14" spans="1:11">
      <c r="A14" s="66" t="str">
        <f>'1. 소켓인수검사'!A15</f>
        <v>07</v>
      </c>
      <c r="B14" s="48" t="s">
        <v>43</v>
      </c>
      <c r="C14" s="34">
        <f>'1. 소켓인수검사'!C15</f>
        <v>600</v>
      </c>
      <c r="D14" s="34">
        <f>'1. 소켓인수검사'!D15</f>
        <v>550</v>
      </c>
      <c r="E14" s="35"/>
      <c r="F14" s="34">
        <v>1</v>
      </c>
      <c r="G14" s="47">
        <f t="shared" si="0"/>
        <v>660</v>
      </c>
      <c r="H14" s="34">
        <v>2</v>
      </c>
      <c r="I14" s="47">
        <f t="shared" si="1"/>
        <v>550</v>
      </c>
      <c r="J14" s="34">
        <v>2</v>
      </c>
      <c r="K14" s="46"/>
    </row>
    <row r="15" spans="1:11">
      <c r="A15" s="66" t="str">
        <f>'1. 소켓인수검사'!A16</f>
        <v>08</v>
      </c>
      <c r="B15" s="48" t="s">
        <v>43</v>
      </c>
      <c r="C15" s="34">
        <f>'1. 소켓인수검사'!C16</f>
        <v>700</v>
      </c>
      <c r="D15" s="34">
        <f>'1. 소켓인수검사'!D16</f>
        <v>500</v>
      </c>
      <c r="E15" s="35"/>
      <c r="F15" s="34">
        <v>1</v>
      </c>
      <c r="G15" s="47">
        <f t="shared" si="0"/>
        <v>760</v>
      </c>
      <c r="H15" s="34">
        <v>2</v>
      </c>
      <c r="I15" s="47">
        <f t="shared" si="1"/>
        <v>500</v>
      </c>
      <c r="J15" s="34">
        <v>2</v>
      </c>
      <c r="K15" s="46"/>
    </row>
    <row r="16" spans="1:11">
      <c r="A16" s="66" t="str">
        <f>'1. 소켓인수검사'!A17</f>
        <v>09</v>
      </c>
      <c r="B16" s="48" t="s">
        <v>43</v>
      </c>
      <c r="C16" s="34">
        <f>'1. 소켓인수검사'!C17</f>
        <v>700</v>
      </c>
      <c r="D16" s="34">
        <f>'1. 소켓인수검사'!D17</f>
        <v>500</v>
      </c>
      <c r="E16" s="35"/>
      <c r="F16" s="34">
        <v>1</v>
      </c>
      <c r="G16" s="47">
        <f t="shared" si="0"/>
        <v>760</v>
      </c>
      <c r="H16" s="34">
        <v>2</v>
      </c>
      <c r="I16" s="47">
        <f t="shared" si="1"/>
        <v>500</v>
      </c>
      <c r="J16" s="34">
        <v>2</v>
      </c>
      <c r="K16" s="46"/>
    </row>
    <row r="17" spans="1:11">
      <c r="A17" s="66" t="str">
        <f>'1. 소켓인수검사'!A18</f>
        <v>10</v>
      </c>
      <c r="B17" s="48" t="s">
        <v>43</v>
      </c>
      <c r="C17" s="34">
        <f>'1. 소켓인수검사'!C18</f>
        <v>700</v>
      </c>
      <c r="D17" s="34">
        <f>'1. 소켓인수검사'!D18</f>
        <v>650</v>
      </c>
      <c r="E17" s="35"/>
      <c r="F17" s="34">
        <v>1</v>
      </c>
      <c r="G17" s="47">
        <f t="shared" si="0"/>
        <v>760</v>
      </c>
      <c r="H17" s="34">
        <v>2</v>
      </c>
      <c r="I17" s="47">
        <f t="shared" si="1"/>
        <v>650</v>
      </c>
      <c r="J17" s="34">
        <v>2</v>
      </c>
      <c r="K17" s="46"/>
    </row>
    <row r="18" spans="1:11">
      <c r="A18" s="66" t="str">
        <f>'1. 소켓인수검사'!A19</f>
        <v>11</v>
      </c>
      <c r="B18" s="48" t="s">
        <v>43</v>
      </c>
      <c r="C18" s="34">
        <f>'1. 소켓인수검사'!C19</f>
        <v>700</v>
      </c>
      <c r="D18" s="34">
        <f>'1. 소켓인수검사'!D19</f>
        <v>700</v>
      </c>
      <c r="E18" s="35"/>
      <c r="F18" s="34">
        <v>1</v>
      </c>
      <c r="G18" s="47">
        <f t="shared" si="0"/>
        <v>760</v>
      </c>
      <c r="H18" s="34">
        <v>2</v>
      </c>
      <c r="I18" s="47">
        <f t="shared" si="1"/>
        <v>700</v>
      </c>
      <c r="J18" s="34">
        <v>2</v>
      </c>
      <c r="K18" s="46"/>
    </row>
    <row r="19" spans="1:11">
      <c r="A19" s="66" t="str">
        <f>'1. 소켓인수검사'!A20</f>
        <v>12</v>
      </c>
      <c r="B19" s="48" t="s">
        <v>43</v>
      </c>
      <c r="C19" s="34">
        <f>'1. 소켓인수검사'!C20</f>
        <v>900</v>
      </c>
      <c r="D19" s="34">
        <f>'1. 소켓인수검사'!D20</f>
        <v>550</v>
      </c>
      <c r="E19" s="35"/>
      <c r="F19" s="34">
        <v>1</v>
      </c>
      <c r="G19" s="47">
        <f t="shared" si="0"/>
        <v>960</v>
      </c>
      <c r="H19" s="34">
        <v>2</v>
      </c>
      <c r="I19" s="47">
        <f t="shared" si="1"/>
        <v>550</v>
      </c>
      <c r="J19" s="34">
        <v>2</v>
      </c>
      <c r="K19" s="46"/>
    </row>
    <row r="20" spans="1:11">
      <c r="A20" s="66" t="str">
        <f>'1. 소켓인수검사'!A21</f>
        <v>13</v>
      </c>
      <c r="B20" s="48" t="s">
        <v>43</v>
      </c>
      <c r="C20" s="34">
        <f>'1. 소켓인수검사'!C21</f>
        <v>900</v>
      </c>
      <c r="D20" s="34">
        <f>'1. 소켓인수검사'!D21</f>
        <v>700</v>
      </c>
      <c r="E20" s="35"/>
      <c r="F20" s="34">
        <v>1</v>
      </c>
      <c r="G20" s="47">
        <f t="shared" si="0"/>
        <v>960</v>
      </c>
      <c r="H20" s="34">
        <v>2</v>
      </c>
      <c r="I20" s="47">
        <f t="shared" si="1"/>
        <v>700</v>
      </c>
      <c r="J20" s="34">
        <v>2</v>
      </c>
      <c r="K20" s="46"/>
    </row>
    <row r="21" spans="1:11">
      <c r="A21" s="85" t="s">
        <v>41</v>
      </c>
      <c r="B21" s="85"/>
      <c r="C21" s="85"/>
      <c r="D21" s="85"/>
      <c r="E21" s="85"/>
      <c r="F21" s="85"/>
      <c r="G21" s="85"/>
      <c r="H21" s="85"/>
      <c r="I21" s="85"/>
      <c r="J21" s="85"/>
      <c r="K21" s="85"/>
    </row>
    <row r="22" spans="1:11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</row>
    <row r="23" spans="1:11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</row>
  </sheetData>
  <mergeCells count="17">
    <mergeCell ref="D6:D7"/>
    <mergeCell ref="G6:H6"/>
    <mergeCell ref="I6:J6"/>
    <mergeCell ref="E1:F3"/>
    <mergeCell ref="G1:K3"/>
    <mergeCell ref="A21:C23"/>
    <mergeCell ref="D21:K23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P28"/>
  <sheetViews>
    <sheetView zoomScaleNormal="100" zoomScaleSheetLayoutView="100" workbookViewId="0">
      <selection activeCell="G36" sqref="G36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3.875" style="5" customWidth="1"/>
    <col min="6" max="6" width="5.125" style="5" customWidth="1"/>
    <col min="7" max="10" width="9.6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85"/>
      <c r="B1" s="85"/>
      <c r="C1" s="85"/>
      <c r="D1" s="85"/>
      <c r="E1" s="154" t="s">
        <v>63</v>
      </c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6"/>
    </row>
    <row r="2" spans="1:16" ht="16.5" customHeight="1">
      <c r="A2" s="85"/>
      <c r="B2" s="85"/>
      <c r="C2" s="85"/>
      <c r="D2" s="85"/>
      <c r="E2" s="157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9"/>
    </row>
    <row r="3" spans="1:16" ht="16.5" customHeight="1">
      <c r="A3" s="85"/>
      <c r="B3" s="85"/>
      <c r="C3" s="85"/>
      <c r="D3" s="85"/>
      <c r="E3" s="157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9"/>
    </row>
    <row r="4" spans="1:16" ht="16.5" customHeight="1">
      <c r="A4" s="85" t="s">
        <v>14</v>
      </c>
      <c r="B4" s="85"/>
      <c r="C4" s="163"/>
      <c r="D4" s="164"/>
      <c r="E4" s="160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2"/>
    </row>
    <row r="5" spans="1:16">
      <c r="A5" s="85" t="s">
        <v>23</v>
      </c>
      <c r="B5" s="85"/>
      <c r="C5" s="85"/>
      <c r="D5" s="85"/>
      <c r="E5" s="6" t="s">
        <v>29</v>
      </c>
      <c r="F5" s="85"/>
      <c r="G5" s="85"/>
      <c r="H5" s="85" t="s">
        <v>53</v>
      </c>
      <c r="I5" s="85"/>
      <c r="J5" s="85"/>
      <c r="K5" s="85" t="s">
        <v>49</v>
      </c>
      <c r="L5" s="85"/>
      <c r="M5" s="85"/>
      <c r="N5" s="165" t="str">
        <f>'1. 소켓인수검사'!R2</f>
        <v>26.07.07 엘티엔지니어링_신세계건설_대현기건_트레이더스의정부</v>
      </c>
      <c r="O5" s="165"/>
      <c r="P5" s="165"/>
    </row>
    <row r="6" spans="1:16">
      <c r="A6" s="85"/>
      <c r="B6" s="85"/>
      <c r="C6" s="85"/>
      <c r="D6" s="85"/>
      <c r="E6" s="6" t="s">
        <v>26</v>
      </c>
      <c r="F6" s="85"/>
      <c r="G6" s="85"/>
      <c r="H6" s="85"/>
      <c r="I6" s="85"/>
      <c r="J6" s="85"/>
      <c r="K6" s="85"/>
      <c r="L6" s="85"/>
      <c r="M6" s="85"/>
      <c r="N6" s="165"/>
      <c r="O6" s="165"/>
      <c r="P6" s="165"/>
    </row>
    <row r="7" spans="1:16" ht="8.1" customHeight="1">
      <c r="A7" s="111"/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</row>
    <row r="8" spans="1:16">
      <c r="A8" s="148" t="s">
        <v>50</v>
      </c>
      <c r="B8" s="150" t="s">
        <v>4</v>
      </c>
      <c r="C8" s="150"/>
      <c r="D8" s="150" t="s">
        <v>25</v>
      </c>
      <c r="E8" s="150" t="s">
        <v>21</v>
      </c>
      <c r="F8" s="150" t="s">
        <v>54</v>
      </c>
      <c r="G8" s="150" t="s">
        <v>24</v>
      </c>
      <c r="H8" s="150"/>
      <c r="I8" s="150"/>
      <c r="J8" s="150"/>
      <c r="K8" s="150"/>
      <c r="L8" s="150"/>
      <c r="M8" s="150"/>
      <c r="N8" s="150"/>
      <c r="O8" s="150"/>
      <c r="P8" s="152" t="s">
        <v>2</v>
      </c>
    </row>
    <row r="9" spans="1:16" ht="16.5" customHeight="1">
      <c r="A9" s="149"/>
      <c r="B9" s="151" t="s">
        <v>57</v>
      </c>
      <c r="C9" s="151" t="s">
        <v>55</v>
      </c>
      <c r="D9" s="151"/>
      <c r="E9" s="151"/>
      <c r="F9" s="151"/>
      <c r="G9" s="151" t="s">
        <v>51</v>
      </c>
      <c r="H9" s="151" t="s">
        <v>57</v>
      </c>
      <c r="I9" s="151"/>
      <c r="J9" s="151" t="s">
        <v>10</v>
      </c>
      <c r="K9" s="151" t="s">
        <v>55</v>
      </c>
      <c r="L9" s="151"/>
      <c r="M9" s="151"/>
      <c r="N9" s="151"/>
      <c r="O9" s="151" t="s">
        <v>10</v>
      </c>
      <c r="P9" s="153"/>
    </row>
    <row r="10" spans="1:16">
      <c r="A10" s="149"/>
      <c r="B10" s="151"/>
      <c r="C10" s="151"/>
      <c r="D10" s="151"/>
      <c r="E10" s="151"/>
      <c r="F10" s="151"/>
      <c r="G10" s="151"/>
      <c r="H10" s="25" t="s">
        <v>4</v>
      </c>
      <c r="I10" s="25" t="s">
        <v>28</v>
      </c>
      <c r="J10" s="151"/>
      <c r="K10" s="151" t="s">
        <v>4</v>
      </c>
      <c r="L10" s="151"/>
      <c r="M10" s="151"/>
      <c r="N10" s="25" t="s">
        <v>28</v>
      </c>
      <c r="O10" s="151"/>
      <c r="P10" s="153"/>
    </row>
    <row r="11" spans="1:16">
      <c r="A11" s="24" t="str">
        <f>'1. 소켓인수검사'!A9</f>
        <v>01</v>
      </c>
      <c r="B11" s="26">
        <f>'1. 소켓인수검사'!C9</f>
        <v>300</v>
      </c>
      <c r="C11" s="26">
        <f>'1. 소켓인수검사'!D9</f>
        <v>450</v>
      </c>
      <c r="D11" s="27">
        <v>1</v>
      </c>
      <c r="E11" s="28"/>
      <c r="F11" s="27">
        <v>1.6</v>
      </c>
      <c r="G11" s="27"/>
      <c r="H11" s="27">
        <f t="shared" ref="H11:H23" si="0">B11-1</f>
        <v>299</v>
      </c>
      <c r="I11" s="27">
        <f t="shared" ref="I11:I23" si="1">D11*4</f>
        <v>4</v>
      </c>
      <c r="J11" s="27"/>
      <c r="K11" s="145">
        <f t="shared" ref="K11:K23" si="2">C11-30</f>
        <v>420</v>
      </c>
      <c r="L11" s="145"/>
      <c r="M11" s="145"/>
      <c r="N11" s="27">
        <f t="shared" ref="N11:N23" si="3">D11*4</f>
        <v>4</v>
      </c>
      <c r="O11" s="27"/>
      <c r="P11" s="31"/>
    </row>
    <row r="12" spans="1:16">
      <c r="A12" s="24" t="str">
        <f>'1. 소켓인수검사'!A10</f>
        <v>02</v>
      </c>
      <c r="B12" s="26">
        <f>'1. 소켓인수검사'!C10</f>
        <v>300</v>
      </c>
      <c r="C12" s="26">
        <f>'1. 소켓인수검사'!D10</f>
        <v>450</v>
      </c>
      <c r="D12" s="27">
        <v>1</v>
      </c>
      <c r="E12" s="28"/>
      <c r="F12" s="27">
        <v>1.6</v>
      </c>
      <c r="G12" s="27"/>
      <c r="H12" s="27">
        <f t="shared" si="0"/>
        <v>299</v>
      </c>
      <c r="I12" s="27">
        <f t="shared" si="1"/>
        <v>4</v>
      </c>
      <c r="J12" s="27"/>
      <c r="K12" s="145">
        <f t="shared" si="2"/>
        <v>420</v>
      </c>
      <c r="L12" s="145"/>
      <c r="M12" s="145"/>
      <c r="N12" s="27">
        <f t="shared" si="3"/>
        <v>4</v>
      </c>
      <c r="O12" s="27"/>
      <c r="P12" s="31"/>
    </row>
    <row r="13" spans="1:16">
      <c r="A13" s="24" t="str">
        <f>'1. 소켓인수검사'!A11</f>
        <v>03</v>
      </c>
      <c r="B13" s="26">
        <f>'1. 소켓인수검사'!C11</f>
        <v>350</v>
      </c>
      <c r="C13" s="26">
        <f>'1. 소켓인수검사'!D11</f>
        <v>350</v>
      </c>
      <c r="D13" s="27">
        <v>1</v>
      </c>
      <c r="E13" s="28"/>
      <c r="F13" s="27">
        <v>1.6</v>
      </c>
      <c r="G13" s="27"/>
      <c r="H13" s="27">
        <f t="shared" si="0"/>
        <v>349</v>
      </c>
      <c r="I13" s="27">
        <f t="shared" si="1"/>
        <v>4</v>
      </c>
      <c r="J13" s="27"/>
      <c r="K13" s="145">
        <f t="shared" si="2"/>
        <v>320</v>
      </c>
      <c r="L13" s="145"/>
      <c r="M13" s="145"/>
      <c r="N13" s="27">
        <f t="shared" si="3"/>
        <v>4</v>
      </c>
      <c r="O13" s="27"/>
      <c r="P13" s="31"/>
    </row>
    <row r="14" spans="1:16">
      <c r="A14" s="24" t="str">
        <f>'1. 소켓인수검사'!A12</f>
        <v>04</v>
      </c>
      <c r="B14" s="26">
        <f>'1. 소켓인수검사'!C12</f>
        <v>400</v>
      </c>
      <c r="C14" s="26">
        <f>'1. 소켓인수검사'!D12</f>
        <v>300</v>
      </c>
      <c r="D14" s="27">
        <v>1</v>
      </c>
      <c r="E14" s="28"/>
      <c r="F14" s="27">
        <v>1.6</v>
      </c>
      <c r="G14" s="27"/>
      <c r="H14" s="27">
        <f t="shared" si="0"/>
        <v>399</v>
      </c>
      <c r="I14" s="27">
        <f t="shared" si="1"/>
        <v>4</v>
      </c>
      <c r="J14" s="27"/>
      <c r="K14" s="145">
        <f t="shared" si="2"/>
        <v>270</v>
      </c>
      <c r="L14" s="145"/>
      <c r="M14" s="145"/>
      <c r="N14" s="27">
        <f t="shared" si="3"/>
        <v>4</v>
      </c>
      <c r="O14" s="27"/>
      <c r="P14" s="31"/>
    </row>
    <row r="15" spans="1:16">
      <c r="A15" s="24" t="str">
        <f>'1. 소켓인수검사'!A13</f>
        <v>05</v>
      </c>
      <c r="B15" s="26">
        <f>'1. 소켓인수검사'!C13</f>
        <v>450</v>
      </c>
      <c r="C15" s="26">
        <f>'1. 소켓인수검사'!D13</f>
        <v>450</v>
      </c>
      <c r="D15" s="27">
        <v>1</v>
      </c>
      <c r="E15" s="28"/>
      <c r="F15" s="27">
        <v>1.6</v>
      </c>
      <c r="G15" s="27"/>
      <c r="H15" s="27">
        <f t="shared" si="0"/>
        <v>449</v>
      </c>
      <c r="I15" s="27">
        <f t="shared" si="1"/>
        <v>4</v>
      </c>
      <c r="J15" s="27"/>
      <c r="K15" s="145">
        <f t="shared" si="2"/>
        <v>420</v>
      </c>
      <c r="L15" s="145"/>
      <c r="M15" s="145"/>
      <c r="N15" s="27">
        <f t="shared" si="3"/>
        <v>4</v>
      </c>
      <c r="O15" s="27"/>
      <c r="P15" s="31"/>
    </row>
    <row r="16" spans="1:16">
      <c r="A16" s="24" t="str">
        <f>'1. 소켓인수검사'!A14</f>
        <v>06</v>
      </c>
      <c r="B16" s="26">
        <f>'1. 소켓인수검사'!C14</f>
        <v>500</v>
      </c>
      <c r="C16" s="26">
        <f>'1. 소켓인수검사'!D14</f>
        <v>300</v>
      </c>
      <c r="D16" s="27">
        <v>1</v>
      </c>
      <c r="E16" s="28"/>
      <c r="F16" s="27">
        <v>1.6</v>
      </c>
      <c r="G16" s="27"/>
      <c r="H16" s="27">
        <f t="shared" si="0"/>
        <v>499</v>
      </c>
      <c r="I16" s="27">
        <f t="shared" si="1"/>
        <v>4</v>
      </c>
      <c r="J16" s="27"/>
      <c r="K16" s="145">
        <f t="shared" si="2"/>
        <v>270</v>
      </c>
      <c r="L16" s="145"/>
      <c r="M16" s="145"/>
      <c r="N16" s="27">
        <f t="shared" si="3"/>
        <v>4</v>
      </c>
      <c r="O16" s="27"/>
      <c r="P16" s="31"/>
    </row>
    <row r="17" spans="1:16">
      <c r="A17" s="24" t="str">
        <f>'1. 소켓인수검사'!A15</f>
        <v>07</v>
      </c>
      <c r="B17" s="26">
        <f>'1. 소켓인수검사'!C15</f>
        <v>600</v>
      </c>
      <c r="C17" s="26">
        <f>'1. 소켓인수검사'!D15</f>
        <v>550</v>
      </c>
      <c r="D17" s="27">
        <v>1</v>
      </c>
      <c r="E17" s="28"/>
      <c r="F17" s="27">
        <v>1.6</v>
      </c>
      <c r="G17" s="27"/>
      <c r="H17" s="27">
        <f t="shared" si="0"/>
        <v>599</v>
      </c>
      <c r="I17" s="27">
        <f t="shared" si="1"/>
        <v>4</v>
      </c>
      <c r="J17" s="27"/>
      <c r="K17" s="145">
        <f t="shared" si="2"/>
        <v>520</v>
      </c>
      <c r="L17" s="145"/>
      <c r="M17" s="145"/>
      <c r="N17" s="27">
        <f t="shared" si="3"/>
        <v>4</v>
      </c>
      <c r="O17" s="27"/>
      <c r="P17" s="31"/>
    </row>
    <row r="18" spans="1:16">
      <c r="A18" s="24" t="str">
        <f>'1. 소켓인수검사'!A16</f>
        <v>08</v>
      </c>
      <c r="B18" s="26">
        <f>'1. 소켓인수검사'!C16</f>
        <v>700</v>
      </c>
      <c r="C18" s="26">
        <f>'1. 소켓인수검사'!D16</f>
        <v>500</v>
      </c>
      <c r="D18" s="27">
        <v>1</v>
      </c>
      <c r="E18" s="28"/>
      <c r="F18" s="27">
        <v>1.6</v>
      </c>
      <c r="G18" s="27"/>
      <c r="H18" s="27">
        <f t="shared" si="0"/>
        <v>699</v>
      </c>
      <c r="I18" s="27">
        <f t="shared" si="1"/>
        <v>4</v>
      </c>
      <c r="J18" s="27"/>
      <c r="K18" s="145">
        <f t="shared" si="2"/>
        <v>470</v>
      </c>
      <c r="L18" s="145"/>
      <c r="M18" s="145"/>
      <c r="N18" s="27">
        <f t="shared" si="3"/>
        <v>4</v>
      </c>
      <c r="O18" s="27"/>
      <c r="P18" s="31"/>
    </row>
    <row r="19" spans="1:16">
      <c r="A19" s="24" t="str">
        <f>'1. 소켓인수검사'!A17</f>
        <v>09</v>
      </c>
      <c r="B19" s="26">
        <f>'1. 소켓인수검사'!C17</f>
        <v>700</v>
      </c>
      <c r="C19" s="26">
        <f>'1. 소켓인수검사'!D17</f>
        <v>500</v>
      </c>
      <c r="D19" s="27">
        <v>1</v>
      </c>
      <c r="E19" s="28"/>
      <c r="F19" s="27">
        <v>1.6</v>
      </c>
      <c r="G19" s="27"/>
      <c r="H19" s="27">
        <f t="shared" si="0"/>
        <v>699</v>
      </c>
      <c r="I19" s="27">
        <f t="shared" si="1"/>
        <v>4</v>
      </c>
      <c r="J19" s="27"/>
      <c r="K19" s="145">
        <f t="shared" si="2"/>
        <v>470</v>
      </c>
      <c r="L19" s="145"/>
      <c r="M19" s="145"/>
      <c r="N19" s="27">
        <f t="shared" si="3"/>
        <v>4</v>
      </c>
      <c r="O19" s="27"/>
      <c r="P19" s="31"/>
    </row>
    <row r="20" spans="1:16">
      <c r="A20" s="24" t="str">
        <f>'1. 소켓인수검사'!A18</f>
        <v>10</v>
      </c>
      <c r="B20" s="26">
        <f>'1. 소켓인수검사'!C18</f>
        <v>700</v>
      </c>
      <c r="C20" s="26">
        <f>'1. 소켓인수검사'!D18</f>
        <v>650</v>
      </c>
      <c r="D20" s="27">
        <v>1</v>
      </c>
      <c r="E20" s="28"/>
      <c r="F20" s="27">
        <v>1.6</v>
      </c>
      <c r="G20" s="27"/>
      <c r="H20" s="27">
        <f t="shared" si="0"/>
        <v>699</v>
      </c>
      <c r="I20" s="27">
        <f t="shared" si="1"/>
        <v>4</v>
      </c>
      <c r="J20" s="27"/>
      <c r="K20" s="145">
        <f t="shared" si="2"/>
        <v>620</v>
      </c>
      <c r="L20" s="145"/>
      <c r="M20" s="145"/>
      <c r="N20" s="27">
        <f t="shared" si="3"/>
        <v>4</v>
      </c>
      <c r="O20" s="27"/>
      <c r="P20" s="31"/>
    </row>
    <row r="21" spans="1:16">
      <c r="A21" s="24" t="str">
        <f>'1. 소켓인수검사'!A19</f>
        <v>11</v>
      </c>
      <c r="B21" s="26">
        <f>'1. 소켓인수검사'!C19</f>
        <v>700</v>
      </c>
      <c r="C21" s="26">
        <f>'1. 소켓인수검사'!D19</f>
        <v>700</v>
      </c>
      <c r="D21" s="27">
        <v>1</v>
      </c>
      <c r="E21" s="28"/>
      <c r="F21" s="27">
        <v>1.6</v>
      </c>
      <c r="G21" s="27"/>
      <c r="H21" s="27">
        <f t="shared" si="0"/>
        <v>699</v>
      </c>
      <c r="I21" s="27">
        <f t="shared" si="1"/>
        <v>4</v>
      </c>
      <c r="J21" s="27"/>
      <c r="K21" s="145">
        <f t="shared" si="2"/>
        <v>670</v>
      </c>
      <c r="L21" s="145"/>
      <c r="M21" s="145"/>
      <c r="N21" s="27">
        <f t="shared" si="3"/>
        <v>4</v>
      </c>
      <c r="O21" s="27"/>
      <c r="P21" s="31"/>
    </row>
    <row r="22" spans="1:16">
      <c r="A22" s="24" t="str">
        <f>'1. 소켓인수검사'!A20</f>
        <v>12</v>
      </c>
      <c r="B22" s="26">
        <f>'1. 소켓인수검사'!C20</f>
        <v>900</v>
      </c>
      <c r="C22" s="26">
        <f>'1. 소켓인수검사'!D20</f>
        <v>550</v>
      </c>
      <c r="D22" s="27">
        <v>1</v>
      </c>
      <c r="E22" s="28"/>
      <c r="F22" s="27">
        <v>1.6</v>
      </c>
      <c r="G22" s="27"/>
      <c r="H22" s="27">
        <f t="shared" si="0"/>
        <v>899</v>
      </c>
      <c r="I22" s="27">
        <f t="shared" si="1"/>
        <v>4</v>
      </c>
      <c r="J22" s="27"/>
      <c r="K22" s="145">
        <f t="shared" si="2"/>
        <v>520</v>
      </c>
      <c r="L22" s="145"/>
      <c r="M22" s="145"/>
      <c r="N22" s="27">
        <f t="shared" si="3"/>
        <v>4</v>
      </c>
      <c r="O22" s="27"/>
      <c r="P22" s="29"/>
    </row>
    <row r="23" spans="1:16">
      <c r="A23" s="24" t="str">
        <f>'1. 소켓인수검사'!A21</f>
        <v>13</v>
      </c>
      <c r="B23" s="26">
        <f>'1. 소켓인수검사'!C21</f>
        <v>900</v>
      </c>
      <c r="C23" s="26">
        <f>'1. 소켓인수검사'!D21</f>
        <v>700</v>
      </c>
      <c r="D23" s="27">
        <v>1</v>
      </c>
      <c r="E23" s="28"/>
      <c r="F23" s="27">
        <v>1.6</v>
      </c>
      <c r="G23" s="27"/>
      <c r="H23" s="27">
        <f t="shared" si="0"/>
        <v>899</v>
      </c>
      <c r="I23" s="27">
        <f t="shared" si="1"/>
        <v>4</v>
      </c>
      <c r="J23" s="27"/>
      <c r="K23" s="145">
        <f t="shared" si="2"/>
        <v>670</v>
      </c>
      <c r="L23" s="145"/>
      <c r="M23" s="145"/>
      <c r="N23" s="27">
        <f t="shared" si="3"/>
        <v>4</v>
      </c>
      <c r="O23" s="27"/>
      <c r="P23" s="30"/>
    </row>
    <row r="24" spans="1:16" ht="8.1" customHeight="1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</row>
    <row r="25" spans="1:16">
      <c r="A25" s="146" t="s">
        <v>42</v>
      </c>
      <c r="B25" s="146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</row>
    <row r="26" spans="1:16">
      <c r="A26" s="146"/>
      <c r="B26" s="146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</row>
    <row r="27" spans="1:16">
      <c r="A27" s="146"/>
      <c r="B27" s="146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</row>
    <row r="28" spans="1:16">
      <c r="A28" s="146"/>
      <c r="B28" s="146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</row>
  </sheetData>
  <mergeCells count="44">
    <mergeCell ref="A1:D3"/>
    <mergeCell ref="E1:P4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  <mergeCell ref="K9:N9"/>
    <mergeCell ref="O9:O10"/>
    <mergeCell ref="K10:M10"/>
    <mergeCell ref="K11:M11"/>
    <mergeCell ref="K12:M12"/>
    <mergeCell ref="K13:M13"/>
    <mergeCell ref="K14:M14"/>
    <mergeCell ref="K15:M15"/>
    <mergeCell ref="K16:M16"/>
    <mergeCell ref="K17:M17"/>
    <mergeCell ref="K18:M18"/>
    <mergeCell ref="K19:M19"/>
    <mergeCell ref="K20:M20"/>
    <mergeCell ref="K21:M21"/>
    <mergeCell ref="K22:M22"/>
    <mergeCell ref="K23:M23"/>
    <mergeCell ref="A24:P24"/>
    <mergeCell ref="A25:B28"/>
    <mergeCell ref="C25:P28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scale="9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30"/>
  <sheetViews>
    <sheetView zoomScaleNormal="100" zoomScaleSheetLayoutView="100" workbookViewId="0">
      <pane ySplit="9" topLeftCell="A12" activePane="bottomLeft" state="frozen"/>
      <selection pane="bottomLeft" activeCell="U14" sqref="U14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85"/>
      <c r="B1" s="85"/>
      <c r="C1" s="85"/>
      <c r="D1" s="202" t="s">
        <v>40</v>
      </c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3"/>
      <c r="R1" s="204"/>
      <c r="S1" s="14"/>
    </row>
    <row r="2" spans="1:19">
      <c r="A2" s="85"/>
      <c r="B2" s="85"/>
      <c r="C2" s="85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3"/>
      <c r="R2" s="205"/>
      <c r="S2" s="206"/>
    </row>
    <row r="3" spans="1:19" ht="24" customHeight="1">
      <c r="A3" s="85"/>
      <c r="B3" s="85"/>
      <c r="C3" s="85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3"/>
      <c r="R3" s="205"/>
      <c r="S3" s="206"/>
    </row>
    <row r="4" spans="1:19">
      <c r="A4" s="85" t="s">
        <v>14</v>
      </c>
      <c r="B4" s="85"/>
      <c r="C4" s="1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3"/>
      <c r="R4" s="205"/>
      <c r="S4" s="206"/>
    </row>
    <row r="5" spans="1:19">
      <c r="A5" s="85" t="s">
        <v>23</v>
      </c>
      <c r="B5" s="85"/>
      <c r="C5" s="85"/>
      <c r="D5" s="2" t="s">
        <v>29</v>
      </c>
      <c r="E5" s="196"/>
      <c r="F5" s="197"/>
      <c r="G5" s="188" t="s">
        <v>53</v>
      </c>
      <c r="H5" s="200"/>
      <c r="I5" s="175"/>
      <c r="J5" s="175"/>
      <c r="K5" s="201"/>
      <c r="L5" s="188" t="s">
        <v>18</v>
      </c>
      <c r="M5" s="52"/>
      <c r="N5" s="52"/>
      <c r="O5" s="188" t="s">
        <v>18</v>
      </c>
      <c r="P5" s="190" t="str">
        <f>'1. 소켓인수검사'!R2</f>
        <v>26.07.07 엘티엔지니어링_신세계건설_대현기건_트레이더스의정부</v>
      </c>
      <c r="Q5" s="191"/>
      <c r="R5" s="191"/>
      <c r="S5" s="192"/>
    </row>
    <row r="6" spans="1:19">
      <c r="A6" s="85"/>
      <c r="B6" s="85"/>
      <c r="C6" s="85"/>
      <c r="D6" s="2" t="s">
        <v>26</v>
      </c>
      <c r="E6" s="196"/>
      <c r="F6" s="197"/>
      <c r="G6" s="189"/>
      <c r="H6" s="198"/>
      <c r="I6" s="137"/>
      <c r="J6" s="137"/>
      <c r="K6" s="199"/>
      <c r="L6" s="189"/>
      <c r="M6" s="53"/>
      <c r="N6" s="53"/>
      <c r="O6" s="189"/>
      <c r="P6" s="193"/>
      <c r="Q6" s="194"/>
      <c r="R6" s="194"/>
      <c r="S6" s="195"/>
    </row>
    <row r="7" spans="1:19" ht="8.1" customHeight="1">
      <c r="A7" s="198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99"/>
    </row>
    <row r="8" spans="1:19" ht="16.5" customHeight="1">
      <c r="A8" s="97" t="s">
        <v>50</v>
      </c>
      <c r="B8" s="183" t="s">
        <v>57</v>
      </c>
      <c r="C8" s="183" t="s">
        <v>55</v>
      </c>
      <c r="D8" s="183" t="s">
        <v>60</v>
      </c>
      <c r="E8" s="183" t="s">
        <v>45</v>
      </c>
      <c r="F8" s="183" t="s">
        <v>52</v>
      </c>
      <c r="G8" s="183" t="s">
        <v>20</v>
      </c>
      <c r="H8" s="183"/>
      <c r="I8" s="183"/>
      <c r="J8" s="183" t="s">
        <v>0</v>
      </c>
      <c r="K8" s="183"/>
      <c r="L8" s="183"/>
      <c r="M8" s="183" t="s">
        <v>0</v>
      </c>
      <c r="N8" s="183"/>
      <c r="O8" s="183"/>
      <c r="P8" s="183" t="s">
        <v>0</v>
      </c>
      <c r="Q8" s="183"/>
      <c r="R8" s="183"/>
      <c r="S8" s="185"/>
    </row>
    <row r="9" spans="1:19" ht="33" customHeight="1">
      <c r="A9" s="187"/>
      <c r="B9" s="184"/>
      <c r="C9" s="184"/>
      <c r="D9" s="184"/>
      <c r="E9" s="184"/>
      <c r="F9" s="184"/>
      <c r="G9" s="55" t="s">
        <v>30</v>
      </c>
      <c r="H9" s="55" t="s">
        <v>48</v>
      </c>
      <c r="I9" s="55" t="s">
        <v>47</v>
      </c>
      <c r="J9" s="55" t="s">
        <v>16</v>
      </c>
      <c r="K9" s="55" t="s">
        <v>48</v>
      </c>
      <c r="L9" s="55" t="s">
        <v>47</v>
      </c>
      <c r="M9" s="55" t="s">
        <v>22</v>
      </c>
      <c r="N9" s="55" t="s">
        <v>48</v>
      </c>
      <c r="O9" s="55" t="s">
        <v>47</v>
      </c>
      <c r="P9" s="55" t="s">
        <v>19</v>
      </c>
      <c r="Q9" s="55" t="s">
        <v>48</v>
      </c>
      <c r="R9" s="184" t="s">
        <v>47</v>
      </c>
      <c r="S9" s="186"/>
    </row>
    <row r="10" spans="1:19">
      <c r="A10" s="45" t="str">
        <f>'1. 소켓인수검사'!A9</f>
        <v>01</v>
      </c>
      <c r="B10" s="34">
        <f>'1. 소켓인수검사'!C9</f>
        <v>300</v>
      </c>
      <c r="C10" s="34">
        <f>'1. 소켓인수검사'!D9</f>
        <v>450</v>
      </c>
      <c r="D10" s="48" t="s">
        <v>43</v>
      </c>
      <c r="E10" s="51">
        <f>B10*C10/1000000</f>
        <v>0.13500000000000001</v>
      </c>
      <c r="F10" s="51">
        <f>(B10+C10)*2/1000</f>
        <v>1.5</v>
      </c>
      <c r="G10" s="26"/>
      <c r="H10" s="34"/>
      <c r="I10" s="26"/>
      <c r="J10" s="26"/>
      <c r="K10" s="34"/>
      <c r="L10" s="26"/>
      <c r="M10" s="26">
        <f>F10+0.5</f>
        <v>2</v>
      </c>
      <c r="N10" s="34">
        <v>4</v>
      </c>
      <c r="O10" s="26">
        <f>+N10*M10</f>
        <v>8</v>
      </c>
      <c r="P10" s="26"/>
      <c r="Q10" s="34"/>
      <c r="R10" s="176"/>
      <c r="S10" s="177"/>
    </row>
    <row r="11" spans="1:19">
      <c r="A11" s="45" t="str">
        <f>'1. 소켓인수검사'!A10</f>
        <v>02</v>
      </c>
      <c r="B11" s="34">
        <f>'1. 소켓인수검사'!C10</f>
        <v>300</v>
      </c>
      <c r="C11" s="34">
        <f>'1. 소켓인수검사'!D10</f>
        <v>450</v>
      </c>
      <c r="D11" s="48" t="s">
        <v>43</v>
      </c>
      <c r="E11" s="51">
        <f>B11*C11/1000000</f>
        <v>0.13500000000000001</v>
      </c>
      <c r="F11" s="51">
        <f>(B11+C11)*2/1000</f>
        <v>1.5</v>
      </c>
      <c r="G11" s="26"/>
      <c r="H11" s="34"/>
      <c r="I11" s="26"/>
      <c r="J11" s="26"/>
      <c r="K11" s="34"/>
      <c r="L11" s="26"/>
      <c r="M11" s="26">
        <f t="shared" ref="M11:M22" si="0">F11+0.5</f>
        <v>2</v>
      </c>
      <c r="N11" s="34">
        <v>4</v>
      </c>
      <c r="O11" s="26">
        <f t="shared" ref="O11:O22" si="1">+N11*M11</f>
        <v>8</v>
      </c>
      <c r="P11" s="26"/>
      <c r="Q11" s="34"/>
      <c r="R11" s="176"/>
      <c r="S11" s="177"/>
    </row>
    <row r="12" spans="1:19">
      <c r="A12" s="45" t="str">
        <f>'1. 소켓인수검사'!A11</f>
        <v>03</v>
      </c>
      <c r="B12" s="34">
        <f>'1. 소켓인수검사'!C11</f>
        <v>350</v>
      </c>
      <c r="C12" s="34">
        <f>'1. 소켓인수검사'!D11</f>
        <v>350</v>
      </c>
      <c r="D12" s="48" t="s">
        <v>43</v>
      </c>
      <c r="E12" s="51">
        <f t="shared" ref="E12:E22" si="2">B12*C12/1000000</f>
        <v>0.1225</v>
      </c>
      <c r="F12" s="51">
        <f t="shared" ref="F12:F22" si="3">(B12+C12)*2/1000</f>
        <v>1.4</v>
      </c>
      <c r="G12" s="26"/>
      <c r="H12" s="34"/>
      <c r="I12" s="26"/>
      <c r="J12" s="26"/>
      <c r="K12" s="34"/>
      <c r="L12" s="26"/>
      <c r="M12" s="26">
        <f t="shared" si="0"/>
        <v>1.9</v>
      </c>
      <c r="N12" s="34">
        <v>4</v>
      </c>
      <c r="O12" s="26">
        <f t="shared" si="1"/>
        <v>7.6</v>
      </c>
      <c r="P12" s="26"/>
      <c r="Q12" s="34"/>
      <c r="R12" s="176"/>
      <c r="S12" s="177"/>
    </row>
    <row r="13" spans="1:19">
      <c r="A13" s="45" t="str">
        <f>'1. 소켓인수검사'!A12</f>
        <v>04</v>
      </c>
      <c r="B13" s="34">
        <f>'1. 소켓인수검사'!C12</f>
        <v>400</v>
      </c>
      <c r="C13" s="34">
        <f>'1. 소켓인수검사'!D12</f>
        <v>300</v>
      </c>
      <c r="D13" s="48" t="s">
        <v>43</v>
      </c>
      <c r="E13" s="51">
        <f t="shared" si="2"/>
        <v>0.12</v>
      </c>
      <c r="F13" s="51">
        <f t="shared" si="3"/>
        <v>1.4</v>
      </c>
      <c r="G13" s="26"/>
      <c r="H13" s="34"/>
      <c r="I13" s="26"/>
      <c r="J13" s="26"/>
      <c r="K13" s="34"/>
      <c r="L13" s="26"/>
      <c r="M13" s="26">
        <f t="shared" si="0"/>
        <v>1.9</v>
      </c>
      <c r="N13" s="34">
        <v>4</v>
      </c>
      <c r="O13" s="26">
        <f t="shared" si="1"/>
        <v>7.6</v>
      </c>
      <c r="P13" s="26"/>
      <c r="Q13" s="34"/>
      <c r="R13" s="176"/>
      <c r="S13" s="177"/>
    </row>
    <row r="14" spans="1:19">
      <c r="A14" s="45" t="str">
        <f>'1. 소켓인수검사'!A13</f>
        <v>05</v>
      </c>
      <c r="B14" s="34">
        <f>'1. 소켓인수검사'!C13</f>
        <v>450</v>
      </c>
      <c r="C14" s="34">
        <f>'1. 소켓인수검사'!D13</f>
        <v>450</v>
      </c>
      <c r="D14" s="48" t="s">
        <v>43</v>
      </c>
      <c r="E14" s="51">
        <f t="shared" si="2"/>
        <v>0.20250000000000001</v>
      </c>
      <c r="F14" s="51">
        <f t="shared" si="3"/>
        <v>1.8</v>
      </c>
      <c r="G14" s="26"/>
      <c r="H14" s="34"/>
      <c r="I14" s="26"/>
      <c r="J14" s="26"/>
      <c r="K14" s="34"/>
      <c r="L14" s="26"/>
      <c r="M14" s="26">
        <f t="shared" si="0"/>
        <v>2.2999999999999998</v>
      </c>
      <c r="N14" s="34">
        <v>4</v>
      </c>
      <c r="O14" s="26">
        <f t="shared" si="1"/>
        <v>9.1999999999999993</v>
      </c>
      <c r="P14" s="26"/>
      <c r="Q14" s="34"/>
      <c r="R14" s="176"/>
      <c r="S14" s="177"/>
    </row>
    <row r="15" spans="1:19">
      <c r="A15" s="45" t="str">
        <f>'1. 소켓인수검사'!A14</f>
        <v>06</v>
      </c>
      <c r="B15" s="34">
        <f>'1. 소켓인수검사'!C14</f>
        <v>500</v>
      </c>
      <c r="C15" s="34">
        <f>'1. 소켓인수검사'!D14</f>
        <v>300</v>
      </c>
      <c r="D15" s="48" t="s">
        <v>43</v>
      </c>
      <c r="E15" s="51">
        <f t="shared" si="2"/>
        <v>0.15</v>
      </c>
      <c r="F15" s="51">
        <f t="shared" si="3"/>
        <v>1.6</v>
      </c>
      <c r="G15" s="26"/>
      <c r="H15" s="34"/>
      <c r="I15" s="26"/>
      <c r="J15" s="26"/>
      <c r="K15" s="34"/>
      <c r="L15" s="26"/>
      <c r="M15" s="26">
        <f t="shared" si="0"/>
        <v>2.1</v>
      </c>
      <c r="N15" s="34">
        <v>4</v>
      </c>
      <c r="O15" s="26">
        <f t="shared" si="1"/>
        <v>8.4</v>
      </c>
      <c r="P15" s="26"/>
      <c r="Q15" s="26"/>
      <c r="R15" s="176"/>
      <c r="S15" s="177"/>
    </row>
    <row r="16" spans="1:19">
      <c r="A16" s="45" t="str">
        <f>'1. 소켓인수검사'!A15</f>
        <v>07</v>
      </c>
      <c r="B16" s="34">
        <f>'1. 소켓인수검사'!C15</f>
        <v>600</v>
      </c>
      <c r="C16" s="34">
        <f>'1. 소켓인수검사'!D15</f>
        <v>550</v>
      </c>
      <c r="D16" s="48" t="s">
        <v>43</v>
      </c>
      <c r="E16" s="51">
        <f t="shared" si="2"/>
        <v>0.33</v>
      </c>
      <c r="F16" s="51">
        <f t="shared" si="3"/>
        <v>2.2999999999999998</v>
      </c>
      <c r="G16" s="26"/>
      <c r="H16" s="34"/>
      <c r="I16" s="26"/>
      <c r="J16" s="26"/>
      <c r="K16" s="34"/>
      <c r="L16" s="26"/>
      <c r="M16" s="26">
        <f t="shared" si="0"/>
        <v>2.8</v>
      </c>
      <c r="N16" s="34">
        <v>4</v>
      </c>
      <c r="O16" s="26">
        <f t="shared" si="1"/>
        <v>11.2</v>
      </c>
      <c r="P16" s="26"/>
      <c r="Q16" s="26"/>
      <c r="R16" s="176"/>
      <c r="S16" s="177"/>
    </row>
    <row r="17" spans="1:19">
      <c r="A17" s="45" t="str">
        <f>'1. 소켓인수검사'!A16</f>
        <v>08</v>
      </c>
      <c r="B17" s="34">
        <f>'1. 소켓인수검사'!C16</f>
        <v>700</v>
      </c>
      <c r="C17" s="34">
        <f>'1. 소켓인수검사'!D16</f>
        <v>500</v>
      </c>
      <c r="D17" s="48" t="s">
        <v>43</v>
      </c>
      <c r="E17" s="51">
        <f t="shared" si="2"/>
        <v>0.35</v>
      </c>
      <c r="F17" s="51">
        <f t="shared" si="3"/>
        <v>2.4</v>
      </c>
      <c r="G17" s="26"/>
      <c r="H17" s="34"/>
      <c r="I17" s="26"/>
      <c r="J17" s="26"/>
      <c r="K17" s="34"/>
      <c r="L17" s="26"/>
      <c r="M17" s="26">
        <f t="shared" si="0"/>
        <v>2.9</v>
      </c>
      <c r="N17" s="34">
        <v>4</v>
      </c>
      <c r="O17" s="26">
        <f t="shared" si="1"/>
        <v>11.6</v>
      </c>
      <c r="P17" s="26"/>
      <c r="Q17" s="26"/>
      <c r="R17" s="176"/>
      <c r="S17" s="177"/>
    </row>
    <row r="18" spans="1:19" ht="16.5" customHeight="1">
      <c r="A18" s="45" t="str">
        <f>'1. 소켓인수검사'!A17</f>
        <v>09</v>
      </c>
      <c r="B18" s="34">
        <f>'1. 소켓인수검사'!C17</f>
        <v>700</v>
      </c>
      <c r="C18" s="34">
        <f>'1. 소켓인수검사'!D17</f>
        <v>500</v>
      </c>
      <c r="D18" s="48" t="s">
        <v>43</v>
      </c>
      <c r="E18" s="51">
        <f t="shared" si="2"/>
        <v>0.35</v>
      </c>
      <c r="F18" s="51">
        <f t="shared" si="3"/>
        <v>2.4</v>
      </c>
      <c r="G18" s="26"/>
      <c r="H18" s="34"/>
      <c r="I18" s="26"/>
      <c r="J18" s="26"/>
      <c r="K18" s="34"/>
      <c r="L18" s="26"/>
      <c r="M18" s="26">
        <f t="shared" si="0"/>
        <v>2.9</v>
      </c>
      <c r="N18" s="34">
        <v>4</v>
      </c>
      <c r="O18" s="26">
        <f t="shared" si="1"/>
        <v>11.6</v>
      </c>
      <c r="P18" s="26"/>
      <c r="Q18" s="26"/>
      <c r="R18" s="176"/>
      <c r="S18" s="177"/>
    </row>
    <row r="19" spans="1:19">
      <c r="A19" s="45" t="str">
        <f>'1. 소켓인수검사'!A18</f>
        <v>10</v>
      </c>
      <c r="B19" s="34">
        <f>'1. 소켓인수검사'!C18</f>
        <v>700</v>
      </c>
      <c r="C19" s="34">
        <f>'1. 소켓인수검사'!D18</f>
        <v>650</v>
      </c>
      <c r="D19" s="48" t="s">
        <v>43</v>
      </c>
      <c r="E19" s="51">
        <f t="shared" si="2"/>
        <v>0.45500000000000002</v>
      </c>
      <c r="F19" s="51">
        <f t="shared" si="3"/>
        <v>2.7</v>
      </c>
      <c r="G19" s="26"/>
      <c r="H19" s="34"/>
      <c r="I19" s="26"/>
      <c r="J19" s="26"/>
      <c r="K19" s="34"/>
      <c r="L19" s="26"/>
      <c r="M19" s="26">
        <f t="shared" si="0"/>
        <v>3.2</v>
      </c>
      <c r="N19" s="34">
        <v>4</v>
      </c>
      <c r="O19" s="26">
        <f t="shared" si="1"/>
        <v>12.8</v>
      </c>
      <c r="P19" s="26"/>
      <c r="Q19" s="26"/>
      <c r="R19" s="176"/>
      <c r="S19" s="177"/>
    </row>
    <row r="20" spans="1:19">
      <c r="A20" s="45" t="str">
        <f>'1. 소켓인수검사'!A19</f>
        <v>11</v>
      </c>
      <c r="B20" s="34">
        <f>'1. 소켓인수검사'!C19</f>
        <v>700</v>
      </c>
      <c r="C20" s="34">
        <f>'1. 소켓인수검사'!D19</f>
        <v>700</v>
      </c>
      <c r="D20" s="48" t="s">
        <v>43</v>
      </c>
      <c r="E20" s="51">
        <f t="shared" si="2"/>
        <v>0.49</v>
      </c>
      <c r="F20" s="51">
        <f t="shared" si="3"/>
        <v>2.8</v>
      </c>
      <c r="G20" s="26"/>
      <c r="H20" s="34"/>
      <c r="I20" s="26"/>
      <c r="J20" s="26"/>
      <c r="K20" s="34"/>
      <c r="L20" s="26"/>
      <c r="M20" s="26">
        <f t="shared" si="0"/>
        <v>3.3</v>
      </c>
      <c r="N20" s="34">
        <v>4</v>
      </c>
      <c r="O20" s="26">
        <f t="shared" si="1"/>
        <v>13.2</v>
      </c>
      <c r="P20" s="26"/>
      <c r="Q20" s="26"/>
      <c r="R20" s="176"/>
      <c r="S20" s="177"/>
    </row>
    <row r="21" spans="1:19">
      <c r="A21" s="45" t="str">
        <f>'1. 소켓인수검사'!A20</f>
        <v>12</v>
      </c>
      <c r="B21" s="34">
        <f>'1. 소켓인수검사'!C20</f>
        <v>900</v>
      </c>
      <c r="C21" s="34">
        <f>'1. 소켓인수검사'!D20</f>
        <v>550</v>
      </c>
      <c r="D21" s="48" t="s">
        <v>43</v>
      </c>
      <c r="E21" s="51">
        <f t="shared" si="2"/>
        <v>0.495</v>
      </c>
      <c r="F21" s="51">
        <f t="shared" si="3"/>
        <v>2.9</v>
      </c>
      <c r="G21" s="26"/>
      <c r="H21" s="26"/>
      <c r="I21" s="26"/>
      <c r="J21" s="26"/>
      <c r="K21" s="34"/>
      <c r="L21" s="26"/>
      <c r="M21" s="26">
        <f t="shared" si="0"/>
        <v>3.4</v>
      </c>
      <c r="N21" s="34">
        <v>4</v>
      </c>
      <c r="O21" s="26">
        <f t="shared" si="1"/>
        <v>13.6</v>
      </c>
      <c r="P21" s="26"/>
      <c r="Q21" s="26"/>
      <c r="R21" s="176"/>
      <c r="S21" s="177"/>
    </row>
    <row r="22" spans="1:19">
      <c r="A22" s="45" t="str">
        <f>'1. 소켓인수검사'!A21</f>
        <v>13</v>
      </c>
      <c r="B22" s="34">
        <f>'1. 소켓인수검사'!C21</f>
        <v>900</v>
      </c>
      <c r="C22" s="34">
        <f>'1. 소켓인수검사'!D21</f>
        <v>700</v>
      </c>
      <c r="D22" s="48" t="s">
        <v>43</v>
      </c>
      <c r="E22" s="51">
        <f t="shared" si="2"/>
        <v>0.63</v>
      </c>
      <c r="F22" s="51">
        <f t="shared" si="3"/>
        <v>3.2</v>
      </c>
      <c r="G22" s="26"/>
      <c r="H22" s="26"/>
      <c r="I22" s="26"/>
      <c r="J22" s="26"/>
      <c r="K22" s="34"/>
      <c r="L22" s="26"/>
      <c r="M22" s="26">
        <f t="shared" si="0"/>
        <v>3.7</v>
      </c>
      <c r="N22" s="34">
        <v>4</v>
      </c>
      <c r="O22" s="26">
        <f t="shared" si="1"/>
        <v>14.8</v>
      </c>
      <c r="P22" s="26"/>
      <c r="Q22" s="26"/>
      <c r="R22" s="176"/>
      <c r="S22" s="177"/>
    </row>
    <row r="23" spans="1:19">
      <c r="A23" s="178" t="s">
        <v>3</v>
      </c>
      <c r="B23" s="179"/>
      <c r="C23" s="179"/>
      <c r="D23" s="179"/>
      <c r="E23" s="179"/>
      <c r="F23" s="180"/>
      <c r="G23" s="32"/>
      <c r="H23" s="42"/>
      <c r="I23" s="59">
        <f>SUM(I10:I22)</f>
        <v>0</v>
      </c>
      <c r="J23" s="32"/>
      <c r="K23" s="32"/>
      <c r="L23" s="59">
        <f>SUM(L10:L22)</f>
        <v>0</v>
      </c>
      <c r="M23" s="32"/>
      <c r="N23" s="32"/>
      <c r="O23" s="59">
        <f>SUM(O10:O22)</f>
        <v>137.6</v>
      </c>
      <c r="P23" s="32"/>
      <c r="Q23" s="32"/>
      <c r="R23" s="181">
        <f>SUM(R10:S22)</f>
        <v>0</v>
      </c>
      <c r="S23" s="182"/>
    </row>
    <row r="24" spans="1:19" ht="17.25" customHeight="1">
      <c r="A24" s="168" t="s">
        <v>12</v>
      </c>
      <c r="B24" s="169"/>
      <c r="C24" s="169"/>
      <c r="D24" s="169"/>
      <c r="E24" s="169"/>
      <c r="F24" s="170"/>
      <c r="G24" s="171">
        <f>I23/20</f>
        <v>0</v>
      </c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3"/>
    </row>
    <row r="25" spans="1:19">
      <c r="A25" s="168" t="s">
        <v>11</v>
      </c>
      <c r="B25" s="169"/>
      <c r="C25" s="169"/>
      <c r="D25" s="169"/>
      <c r="E25" s="169"/>
      <c r="F25" s="170"/>
      <c r="G25" s="171">
        <f>L23/3.6</f>
        <v>0</v>
      </c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3"/>
    </row>
    <row r="26" spans="1:19">
      <c r="A26" s="174" t="s">
        <v>67</v>
      </c>
      <c r="B26" s="169"/>
      <c r="C26" s="169"/>
      <c r="D26" s="169"/>
      <c r="E26" s="169"/>
      <c r="F26" s="170"/>
      <c r="G26" s="171">
        <f>O23/7.4</f>
        <v>18.594594594594593</v>
      </c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3"/>
    </row>
    <row r="27" spans="1:19">
      <c r="A27" s="168" t="s">
        <v>13</v>
      </c>
      <c r="B27" s="169"/>
      <c r="C27" s="169"/>
      <c r="D27" s="169"/>
      <c r="E27" s="169"/>
      <c r="F27" s="170"/>
      <c r="G27" s="171">
        <f>R23/3.6</f>
        <v>0</v>
      </c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3"/>
    </row>
    <row r="28" spans="1:19" ht="8.1" customHeight="1">
      <c r="A28" s="175"/>
      <c r="B28" s="175"/>
      <c r="C28" s="175"/>
      <c r="D28" s="175"/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5"/>
      <c r="R28" s="175"/>
      <c r="S28" s="175"/>
    </row>
    <row r="29" spans="1:19">
      <c r="A29" s="221" t="s">
        <v>42</v>
      </c>
      <c r="B29" s="221"/>
      <c r="C29" s="166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</row>
    <row r="30" spans="1:19">
      <c r="A30" s="221"/>
      <c r="B30" s="221"/>
      <c r="C30" s="167"/>
      <c r="D30" s="167"/>
      <c r="E30" s="167"/>
      <c r="F30" s="167"/>
      <c r="G30" s="167"/>
      <c r="H30" s="167"/>
      <c r="I30" s="167"/>
      <c r="J30" s="167"/>
      <c r="K30" s="167"/>
      <c r="L30" s="167"/>
      <c r="M30" s="167"/>
      <c r="N30" s="167"/>
      <c r="O30" s="167"/>
      <c r="P30" s="167"/>
      <c r="Q30" s="167"/>
      <c r="R30" s="167"/>
      <c r="S30" s="167"/>
    </row>
  </sheetData>
  <mergeCells count="52">
    <mergeCell ref="A1:C3"/>
    <mergeCell ref="D1:Q4"/>
    <mergeCell ref="R1:R4"/>
    <mergeCell ref="S2:S4"/>
    <mergeCell ref="A4:B4"/>
    <mergeCell ref="L5:L6"/>
    <mergeCell ref="O5:O6"/>
    <mergeCell ref="P5:S6"/>
    <mergeCell ref="E6:F6"/>
    <mergeCell ref="A7:S7"/>
    <mergeCell ref="A5:B6"/>
    <mergeCell ref="C5:C6"/>
    <mergeCell ref="E5:F5"/>
    <mergeCell ref="G5:G6"/>
    <mergeCell ref="H5:K6"/>
    <mergeCell ref="A8:A9"/>
    <mergeCell ref="B8:B9"/>
    <mergeCell ref="C8:C9"/>
    <mergeCell ref="D8:D9"/>
    <mergeCell ref="E8:E9"/>
    <mergeCell ref="F8:F9"/>
    <mergeCell ref="G8:I8"/>
    <mergeCell ref="J8:L8"/>
    <mergeCell ref="M8:O8"/>
    <mergeCell ref="P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A23:F23"/>
    <mergeCell ref="R23:S23"/>
    <mergeCell ref="A29:B30"/>
    <mergeCell ref="C29:S30"/>
    <mergeCell ref="A24:F24"/>
    <mergeCell ref="G24:S24"/>
    <mergeCell ref="A25:F25"/>
    <mergeCell ref="G25:S25"/>
    <mergeCell ref="A26:F26"/>
    <mergeCell ref="G26:S26"/>
    <mergeCell ref="A27:F27"/>
    <mergeCell ref="G27:S27"/>
    <mergeCell ref="A28:S28"/>
  </mergeCells>
  <phoneticPr fontId="25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27"/>
  <sheetViews>
    <sheetView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A22" sqref="A22:C27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85"/>
      <c r="B1" s="85"/>
      <c r="C1" s="85"/>
      <c r="D1" s="85"/>
      <c r="E1" s="68" t="s">
        <v>7</v>
      </c>
      <c r="F1" s="214" t="s">
        <v>64</v>
      </c>
      <c r="G1" s="214"/>
      <c r="H1" s="214"/>
      <c r="I1" s="214"/>
      <c r="J1" s="214"/>
      <c r="K1" s="131" t="str">
        <f>'1. 소켓인수검사'!R2</f>
        <v>26.07.07 엘티엔지니어링_신세계건설_대현기건_트레이더스의정부</v>
      </c>
      <c r="L1" s="131"/>
      <c r="M1" s="131"/>
      <c r="N1" s="131"/>
      <c r="O1" s="131"/>
      <c r="P1" s="131"/>
      <c r="Q1" s="131"/>
      <c r="R1" s="131"/>
      <c r="S1" s="131"/>
      <c r="T1" s="131"/>
      <c r="U1" s="132"/>
    </row>
    <row r="2" spans="1:21" ht="16.5" customHeight="1">
      <c r="A2" s="85"/>
      <c r="B2" s="85"/>
      <c r="C2" s="85"/>
      <c r="D2" s="85"/>
      <c r="E2" s="67"/>
      <c r="F2" s="215"/>
      <c r="G2" s="215"/>
      <c r="H2" s="215"/>
      <c r="I2" s="215"/>
      <c r="J2" s="215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4"/>
    </row>
    <row r="3" spans="1:21" ht="24" customHeight="1">
      <c r="A3" s="85"/>
      <c r="B3" s="85"/>
      <c r="C3" s="85"/>
      <c r="D3" s="85"/>
      <c r="E3" s="69"/>
      <c r="F3" s="216"/>
      <c r="G3" s="216"/>
      <c r="H3" s="216"/>
      <c r="I3" s="216"/>
      <c r="J3" s="216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6"/>
    </row>
    <row r="4" spans="1:21" ht="8.1" customHeight="1">
      <c r="A4" s="198"/>
      <c r="B4" s="137"/>
      <c r="C4" s="137"/>
      <c r="D4" s="137"/>
      <c r="E4" s="137"/>
      <c r="F4" s="137"/>
      <c r="G4" s="137"/>
      <c r="H4" s="198"/>
      <c r="I4" s="137"/>
      <c r="J4" s="137"/>
      <c r="K4" s="137"/>
      <c r="L4" s="137"/>
      <c r="M4" s="137"/>
      <c r="N4" s="137"/>
      <c r="O4" s="137"/>
      <c r="P4" s="137"/>
      <c r="Q4" s="3"/>
      <c r="S4" s="3"/>
      <c r="T4" s="3"/>
      <c r="U4" s="3"/>
    </row>
    <row r="5" spans="1:21" ht="16.5" customHeight="1">
      <c r="A5" s="97" t="s">
        <v>50</v>
      </c>
      <c r="B5" s="219" t="s">
        <v>33</v>
      </c>
      <c r="C5" s="183" t="s">
        <v>57</v>
      </c>
      <c r="D5" s="183" t="s">
        <v>55</v>
      </c>
      <c r="E5" s="183" t="s">
        <v>21</v>
      </c>
      <c r="F5" s="183" t="s">
        <v>45</v>
      </c>
      <c r="G5" s="183" t="s">
        <v>52</v>
      </c>
      <c r="H5" s="183" t="s">
        <v>37</v>
      </c>
      <c r="I5" s="183" t="s">
        <v>20</v>
      </c>
      <c r="J5" s="183"/>
      <c r="K5" s="183" t="s">
        <v>0</v>
      </c>
      <c r="L5" s="183"/>
      <c r="M5" s="183" t="s">
        <v>0</v>
      </c>
      <c r="N5" s="183"/>
      <c r="O5" s="183" t="s">
        <v>0</v>
      </c>
      <c r="P5" s="183"/>
      <c r="Q5" s="208" t="s">
        <v>44</v>
      </c>
      <c r="R5" s="208"/>
      <c r="S5" s="209" t="s">
        <v>27</v>
      </c>
      <c r="T5" s="209" t="s">
        <v>49</v>
      </c>
      <c r="U5" s="85" t="s">
        <v>15</v>
      </c>
    </row>
    <row r="6" spans="1:21" ht="26.45" customHeight="1">
      <c r="A6" s="187"/>
      <c r="B6" s="220"/>
      <c r="C6" s="184"/>
      <c r="D6" s="184"/>
      <c r="E6" s="184"/>
      <c r="F6" s="184"/>
      <c r="G6" s="184"/>
      <c r="H6" s="184"/>
      <c r="I6" s="55" t="s">
        <v>8</v>
      </c>
      <c r="J6" s="33" t="s">
        <v>48</v>
      </c>
      <c r="K6" s="55" t="s">
        <v>65</v>
      </c>
      <c r="L6" s="33" t="s">
        <v>48</v>
      </c>
      <c r="M6" s="55" t="s">
        <v>32</v>
      </c>
      <c r="N6" s="33" t="s">
        <v>48</v>
      </c>
      <c r="O6" s="55" t="s">
        <v>34</v>
      </c>
      <c r="P6" s="33" t="s">
        <v>48</v>
      </c>
      <c r="Q6" s="55" t="s">
        <v>46</v>
      </c>
      <c r="R6" s="33" t="s">
        <v>58</v>
      </c>
      <c r="S6" s="210"/>
      <c r="T6" s="210"/>
      <c r="U6" s="211"/>
    </row>
    <row r="7" spans="1:21">
      <c r="A7" s="45" t="str">
        <f>'1. 소켓인수검사'!A9</f>
        <v>01</v>
      </c>
      <c r="B7" s="56" t="s">
        <v>36</v>
      </c>
      <c r="C7" s="34">
        <f>'1. 소켓인수검사'!C9</f>
        <v>300</v>
      </c>
      <c r="D7" s="34">
        <f>'1. 소켓인수검사'!D9</f>
        <v>450</v>
      </c>
      <c r="E7" s="35"/>
      <c r="F7" s="36">
        <f t="shared" ref="F7:F19" si="0">C7*D7/1000000</f>
        <v>0.13500000000000001</v>
      </c>
      <c r="G7" s="36">
        <f t="shared" ref="G7:G19" si="1">(C7+D7)*2/1000</f>
        <v>1.5</v>
      </c>
      <c r="H7" s="41">
        <v>1</v>
      </c>
      <c r="I7" s="55"/>
      <c r="J7" s="33"/>
      <c r="K7" s="26">
        <f t="shared" ref="K7:K19" si="2">G7+0.5</f>
        <v>2</v>
      </c>
      <c r="L7" s="33">
        <v>4</v>
      </c>
      <c r="M7" s="26"/>
      <c r="N7" s="33"/>
      <c r="O7" s="26"/>
      <c r="P7" s="33"/>
      <c r="Q7" s="37">
        <f t="shared" ref="Q7:Q19" si="3">(((C7+60)+250+(D7+60))*2/1000)*2</f>
        <v>4.4800000000000004</v>
      </c>
      <c r="R7" s="81">
        <f t="shared" ref="R7:R19" si="4">Q7</f>
        <v>4.4800000000000004</v>
      </c>
      <c r="S7" s="38" t="s">
        <v>39</v>
      </c>
      <c r="T7" s="39" t="s">
        <v>6</v>
      </c>
      <c r="U7" s="40" t="str">
        <f>'1. 소켓인수검사'!G9</f>
        <v>AHU-5 SA 방재실</v>
      </c>
    </row>
    <row r="8" spans="1:21">
      <c r="A8" s="45" t="str">
        <f>'1. 소켓인수검사'!A10</f>
        <v>02</v>
      </c>
      <c r="B8" s="56" t="s">
        <v>36</v>
      </c>
      <c r="C8" s="34">
        <f>'1. 소켓인수검사'!C10</f>
        <v>300</v>
      </c>
      <c r="D8" s="34">
        <f>'1. 소켓인수검사'!D10</f>
        <v>450</v>
      </c>
      <c r="E8" s="35"/>
      <c r="F8" s="36">
        <f t="shared" si="0"/>
        <v>0.13500000000000001</v>
      </c>
      <c r="G8" s="36">
        <f t="shared" si="1"/>
        <v>1.5</v>
      </c>
      <c r="H8" s="41">
        <v>1</v>
      </c>
      <c r="I8" s="55"/>
      <c r="J8" s="33"/>
      <c r="K8" s="26">
        <f t="shared" si="2"/>
        <v>2</v>
      </c>
      <c r="L8" s="33">
        <v>4</v>
      </c>
      <c r="M8" s="26"/>
      <c r="N8" s="33"/>
      <c r="O8" s="26"/>
      <c r="P8" s="33"/>
      <c r="Q8" s="37">
        <f t="shared" si="3"/>
        <v>4.4800000000000004</v>
      </c>
      <c r="R8" s="81">
        <f t="shared" si="4"/>
        <v>4.4800000000000004</v>
      </c>
      <c r="S8" s="38" t="s">
        <v>39</v>
      </c>
      <c r="T8" s="39" t="s">
        <v>6</v>
      </c>
      <c r="U8" s="40" t="str">
        <f>'1. 소켓인수검사'!G10</f>
        <v>AHU-5 SA 방재실</v>
      </c>
    </row>
    <row r="9" spans="1:21">
      <c r="A9" s="45" t="str">
        <f>'1. 소켓인수검사'!A11</f>
        <v>03</v>
      </c>
      <c r="B9" s="56" t="s">
        <v>36</v>
      </c>
      <c r="C9" s="34">
        <f>'1. 소켓인수검사'!C11</f>
        <v>350</v>
      </c>
      <c r="D9" s="34">
        <f>'1. 소켓인수검사'!D11</f>
        <v>350</v>
      </c>
      <c r="E9" s="35"/>
      <c r="F9" s="36">
        <f t="shared" si="0"/>
        <v>0.1225</v>
      </c>
      <c r="G9" s="36">
        <f t="shared" si="1"/>
        <v>1.4</v>
      </c>
      <c r="H9" s="41">
        <v>1</v>
      </c>
      <c r="I9" s="55"/>
      <c r="J9" s="33"/>
      <c r="K9" s="26">
        <f t="shared" si="2"/>
        <v>1.9</v>
      </c>
      <c r="L9" s="33">
        <v>4</v>
      </c>
      <c r="M9" s="26"/>
      <c r="N9" s="33"/>
      <c r="O9" s="26"/>
      <c r="P9" s="33"/>
      <c r="Q9" s="37">
        <f t="shared" si="3"/>
        <v>4.28</v>
      </c>
      <c r="R9" s="81">
        <f t="shared" si="4"/>
        <v>4.28</v>
      </c>
      <c r="S9" s="38" t="s">
        <v>39</v>
      </c>
      <c r="T9" s="39" t="s">
        <v>6</v>
      </c>
      <c r="U9" s="40" t="str">
        <f>'1. 소켓인수검사'!G11</f>
        <v>AHU-5 RA 복도</v>
      </c>
    </row>
    <row r="10" spans="1:21">
      <c r="A10" s="45" t="str">
        <f>'1. 소켓인수검사'!A12</f>
        <v>04</v>
      </c>
      <c r="B10" s="56" t="s">
        <v>36</v>
      </c>
      <c r="C10" s="34">
        <f>'1. 소켓인수검사'!C12</f>
        <v>400</v>
      </c>
      <c r="D10" s="34">
        <f>'1. 소켓인수검사'!D12</f>
        <v>300</v>
      </c>
      <c r="E10" s="35"/>
      <c r="F10" s="36">
        <f t="shared" si="0"/>
        <v>0.12</v>
      </c>
      <c r="G10" s="36">
        <f t="shared" si="1"/>
        <v>1.4</v>
      </c>
      <c r="H10" s="41">
        <v>1</v>
      </c>
      <c r="I10" s="55"/>
      <c r="J10" s="33"/>
      <c r="K10" s="26">
        <f t="shared" si="2"/>
        <v>1.9</v>
      </c>
      <c r="L10" s="33">
        <v>4</v>
      </c>
      <c r="M10" s="26"/>
      <c r="N10" s="33"/>
      <c r="O10" s="26"/>
      <c r="P10" s="33"/>
      <c r="Q10" s="37">
        <f t="shared" si="3"/>
        <v>4.28</v>
      </c>
      <c r="R10" s="81">
        <f t="shared" si="4"/>
        <v>4.28</v>
      </c>
      <c r="S10" s="38" t="s">
        <v>39</v>
      </c>
      <c r="T10" s="39" t="s">
        <v>6</v>
      </c>
      <c r="U10" s="40" t="str">
        <f>'1. 소켓인수검사'!G12</f>
        <v>AHU-5 RA 방재실</v>
      </c>
    </row>
    <row r="11" spans="1:21">
      <c r="A11" s="45" t="str">
        <f>'1. 소켓인수검사'!A13</f>
        <v>05</v>
      </c>
      <c r="B11" s="56" t="s">
        <v>36</v>
      </c>
      <c r="C11" s="34">
        <f>'1. 소켓인수검사'!C13</f>
        <v>450</v>
      </c>
      <c r="D11" s="34">
        <f>'1. 소켓인수검사'!D13</f>
        <v>450</v>
      </c>
      <c r="E11" s="35"/>
      <c r="F11" s="36">
        <f t="shared" si="0"/>
        <v>0.20250000000000001</v>
      </c>
      <c r="G11" s="36">
        <f t="shared" si="1"/>
        <v>1.8</v>
      </c>
      <c r="H11" s="41">
        <v>1</v>
      </c>
      <c r="I11" s="55"/>
      <c r="J11" s="33"/>
      <c r="K11" s="26">
        <f t="shared" si="2"/>
        <v>2.2999999999999998</v>
      </c>
      <c r="L11" s="33">
        <v>4</v>
      </c>
      <c r="M11" s="26"/>
      <c r="N11" s="33"/>
      <c r="O11" s="26"/>
      <c r="P11" s="33"/>
      <c r="Q11" s="37">
        <f t="shared" si="3"/>
        <v>5.08</v>
      </c>
      <c r="R11" s="81">
        <f t="shared" si="4"/>
        <v>5.08</v>
      </c>
      <c r="S11" s="38" t="s">
        <v>39</v>
      </c>
      <c r="T11" s="39" t="s">
        <v>6</v>
      </c>
      <c r="U11" s="40" t="str">
        <f>'1. 소켓인수검사'!G13</f>
        <v>노브랜드 SA</v>
      </c>
    </row>
    <row r="12" spans="1:21">
      <c r="A12" s="45" t="str">
        <f>'1. 소켓인수검사'!A14</f>
        <v>06</v>
      </c>
      <c r="B12" s="56" t="s">
        <v>36</v>
      </c>
      <c r="C12" s="34">
        <f>'1. 소켓인수검사'!C14</f>
        <v>500</v>
      </c>
      <c r="D12" s="34">
        <f>'1. 소켓인수검사'!D14</f>
        <v>300</v>
      </c>
      <c r="E12" s="35"/>
      <c r="F12" s="36">
        <f t="shared" si="0"/>
        <v>0.15</v>
      </c>
      <c r="G12" s="36">
        <f t="shared" si="1"/>
        <v>1.6</v>
      </c>
      <c r="H12" s="41">
        <v>1</v>
      </c>
      <c r="I12" s="55"/>
      <c r="J12" s="33"/>
      <c r="K12" s="26">
        <f t="shared" si="2"/>
        <v>2.1</v>
      </c>
      <c r="L12" s="33">
        <v>4</v>
      </c>
      <c r="M12" s="26"/>
      <c r="N12" s="33"/>
      <c r="O12" s="26"/>
      <c r="P12" s="33"/>
      <c r="Q12" s="37">
        <f t="shared" si="3"/>
        <v>4.68</v>
      </c>
      <c r="R12" s="81">
        <f t="shared" si="4"/>
        <v>4.68</v>
      </c>
      <c r="S12" s="38" t="s">
        <v>39</v>
      </c>
      <c r="T12" s="39" t="s">
        <v>6</v>
      </c>
      <c r="U12" s="40" t="str">
        <f>'1. 소켓인수검사'!G14</f>
        <v>AHU-5 RA 방재실</v>
      </c>
    </row>
    <row r="13" spans="1:21">
      <c r="A13" s="45" t="str">
        <f>'1. 소켓인수검사'!A15</f>
        <v>07</v>
      </c>
      <c r="B13" s="56" t="s">
        <v>36</v>
      </c>
      <c r="C13" s="34">
        <f>'1. 소켓인수검사'!C15</f>
        <v>600</v>
      </c>
      <c r="D13" s="34">
        <f>'1. 소켓인수검사'!D15</f>
        <v>550</v>
      </c>
      <c r="E13" s="35"/>
      <c r="F13" s="36">
        <f t="shared" si="0"/>
        <v>0.33</v>
      </c>
      <c r="G13" s="36">
        <f t="shared" si="1"/>
        <v>2.2999999999999998</v>
      </c>
      <c r="H13" s="41">
        <v>1</v>
      </c>
      <c r="I13" s="55"/>
      <c r="J13" s="33"/>
      <c r="K13" s="26">
        <f t="shared" si="2"/>
        <v>2.8</v>
      </c>
      <c r="L13" s="33">
        <v>4</v>
      </c>
      <c r="M13" s="26"/>
      <c r="N13" s="33"/>
      <c r="O13" s="26"/>
      <c r="P13" s="33"/>
      <c r="Q13" s="37">
        <f t="shared" si="3"/>
        <v>6.08</v>
      </c>
      <c r="R13" s="81">
        <f t="shared" si="4"/>
        <v>6.08</v>
      </c>
      <c r="S13" s="38" t="s">
        <v>39</v>
      </c>
      <c r="T13" s="39" t="s">
        <v>6</v>
      </c>
      <c r="U13" s="40" t="str">
        <f>'1. 소켓인수검사'!G15</f>
        <v>베이커리 배기</v>
      </c>
    </row>
    <row r="14" spans="1:21">
      <c r="A14" s="45" t="str">
        <f>'1. 소켓인수검사'!A16</f>
        <v>08</v>
      </c>
      <c r="B14" s="56" t="s">
        <v>36</v>
      </c>
      <c r="C14" s="34">
        <f>'1. 소켓인수검사'!C16</f>
        <v>700</v>
      </c>
      <c r="D14" s="34">
        <f>'1. 소켓인수검사'!D16</f>
        <v>500</v>
      </c>
      <c r="E14" s="35"/>
      <c r="F14" s="36">
        <f t="shared" si="0"/>
        <v>0.35</v>
      </c>
      <c r="G14" s="36">
        <f t="shared" si="1"/>
        <v>2.4</v>
      </c>
      <c r="H14" s="41">
        <v>1</v>
      </c>
      <c r="I14" s="55"/>
      <c r="J14" s="33"/>
      <c r="K14" s="26">
        <f t="shared" si="2"/>
        <v>2.9</v>
      </c>
      <c r="L14" s="33">
        <v>4</v>
      </c>
      <c r="M14" s="26"/>
      <c r="N14" s="33"/>
      <c r="O14" s="26"/>
      <c r="P14" s="33"/>
      <c r="Q14" s="37">
        <f t="shared" si="3"/>
        <v>6.28</v>
      </c>
      <c r="R14" s="81">
        <f t="shared" si="4"/>
        <v>6.28</v>
      </c>
      <c r="S14" s="38" t="s">
        <v>39</v>
      </c>
      <c r="T14" s="39" t="s">
        <v>6</v>
      </c>
      <c r="U14" s="40" t="str">
        <f>'1. 소켓인수검사'!G16</f>
        <v>사무실 복도</v>
      </c>
    </row>
    <row r="15" spans="1:21">
      <c r="A15" s="45" t="str">
        <f>'1. 소켓인수검사'!A17</f>
        <v>09</v>
      </c>
      <c r="B15" s="56" t="s">
        <v>36</v>
      </c>
      <c r="C15" s="34">
        <f>'1. 소켓인수검사'!C17</f>
        <v>700</v>
      </c>
      <c r="D15" s="34">
        <f>'1. 소켓인수검사'!D17</f>
        <v>500</v>
      </c>
      <c r="E15" s="35"/>
      <c r="F15" s="36">
        <f t="shared" si="0"/>
        <v>0.35</v>
      </c>
      <c r="G15" s="36">
        <f t="shared" si="1"/>
        <v>2.4</v>
      </c>
      <c r="H15" s="41">
        <v>1</v>
      </c>
      <c r="I15" s="55"/>
      <c r="J15" s="33"/>
      <c r="K15" s="26">
        <f t="shared" si="2"/>
        <v>2.9</v>
      </c>
      <c r="L15" s="33">
        <v>4</v>
      </c>
      <c r="M15" s="26"/>
      <c r="N15" s="33"/>
      <c r="O15" s="26"/>
      <c r="P15" s="33"/>
      <c r="Q15" s="37">
        <f t="shared" si="3"/>
        <v>6.28</v>
      </c>
      <c r="R15" s="81">
        <f t="shared" si="4"/>
        <v>6.28</v>
      </c>
      <c r="S15" s="38" t="s">
        <v>39</v>
      </c>
      <c r="T15" s="39" t="s">
        <v>6</v>
      </c>
      <c r="U15" s="40" t="str">
        <f>'1. 소켓인수검사'!G17</f>
        <v>사무실 복도</v>
      </c>
    </row>
    <row r="16" spans="1:21">
      <c r="A16" s="45" t="str">
        <f>'1. 소켓인수검사'!A18</f>
        <v>10</v>
      </c>
      <c r="B16" s="56" t="s">
        <v>36</v>
      </c>
      <c r="C16" s="34">
        <f>'1. 소켓인수검사'!C18</f>
        <v>700</v>
      </c>
      <c r="D16" s="34">
        <f>'1. 소켓인수검사'!D18</f>
        <v>650</v>
      </c>
      <c r="E16" s="35"/>
      <c r="F16" s="36">
        <f t="shared" si="0"/>
        <v>0.45500000000000002</v>
      </c>
      <c r="G16" s="36">
        <f t="shared" si="1"/>
        <v>2.7</v>
      </c>
      <c r="H16" s="41">
        <v>1</v>
      </c>
      <c r="I16" s="55"/>
      <c r="J16" s="33"/>
      <c r="K16" s="26">
        <f t="shared" si="2"/>
        <v>3.2</v>
      </c>
      <c r="L16" s="33">
        <v>4</v>
      </c>
      <c r="M16" s="26"/>
      <c r="N16" s="33"/>
      <c r="O16" s="26"/>
      <c r="P16" s="33"/>
      <c r="Q16" s="37">
        <f t="shared" si="3"/>
        <v>6.88</v>
      </c>
      <c r="R16" s="81">
        <f t="shared" si="4"/>
        <v>6.88</v>
      </c>
      <c r="S16" s="38" t="s">
        <v>39</v>
      </c>
      <c r="T16" s="39" t="s">
        <v>6</v>
      </c>
      <c r="U16" s="40" t="str">
        <f>'1. 소켓인수검사'!G18</f>
        <v>AHU-5 RA 복도</v>
      </c>
    </row>
    <row r="17" spans="1:21">
      <c r="A17" s="45" t="str">
        <f>'1. 소켓인수검사'!A19</f>
        <v>11</v>
      </c>
      <c r="B17" s="56" t="s">
        <v>36</v>
      </c>
      <c r="C17" s="34">
        <f>'1. 소켓인수검사'!C19</f>
        <v>700</v>
      </c>
      <c r="D17" s="34">
        <f>'1. 소켓인수검사'!D19</f>
        <v>700</v>
      </c>
      <c r="E17" s="35"/>
      <c r="F17" s="36">
        <f t="shared" si="0"/>
        <v>0.49</v>
      </c>
      <c r="G17" s="36">
        <f t="shared" si="1"/>
        <v>2.8</v>
      </c>
      <c r="H17" s="41">
        <v>1</v>
      </c>
      <c r="I17" s="55"/>
      <c r="J17" s="33"/>
      <c r="K17" s="26">
        <f t="shared" si="2"/>
        <v>3.3</v>
      </c>
      <c r="L17" s="33">
        <v>4</v>
      </c>
      <c r="M17" s="26"/>
      <c r="N17" s="33"/>
      <c r="O17" s="26"/>
      <c r="P17" s="33"/>
      <c r="Q17" s="37">
        <f t="shared" si="3"/>
        <v>7.08</v>
      </c>
      <c r="R17" s="81">
        <f t="shared" si="4"/>
        <v>7.08</v>
      </c>
      <c r="S17" s="38" t="s">
        <v>39</v>
      </c>
      <c r="T17" s="39" t="s">
        <v>6</v>
      </c>
      <c r="U17" s="40" t="str">
        <f>'1. 소켓인수검사'!G19</f>
        <v>AHU-5 RA 복도</v>
      </c>
    </row>
    <row r="18" spans="1:21">
      <c r="A18" s="45" t="str">
        <f>'1. 소켓인수검사'!A20</f>
        <v>12</v>
      </c>
      <c r="B18" s="56" t="s">
        <v>36</v>
      </c>
      <c r="C18" s="34">
        <f>'1. 소켓인수검사'!C20</f>
        <v>900</v>
      </c>
      <c r="D18" s="34">
        <f>'1. 소켓인수검사'!D20</f>
        <v>550</v>
      </c>
      <c r="E18" s="35"/>
      <c r="F18" s="36">
        <f t="shared" si="0"/>
        <v>0.495</v>
      </c>
      <c r="G18" s="36">
        <f t="shared" si="1"/>
        <v>2.9</v>
      </c>
      <c r="H18" s="41">
        <v>1</v>
      </c>
      <c r="I18" s="55"/>
      <c r="J18" s="33"/>
      <c r="K18" s="26">
        <f t="shared" si="2"/>
        <v>3.4</v>
      </c>
      <c r="L18" s="33">
        <v>4</v>
      </c>
      <c r="M18" s="26"/>
      <c r="N18" s="33"/>
      <c r="O18" s="26"/>
      <c r="P18" s="33"/>
      <c r="Q18" s="37">
        <f t="shared" si="3"/>
        <v>7.28</v>
      </c>
      <c r="R18" s="81">
        <f t="shared" si="4"/>
        <v>7.28</v>
      </c>
      <c r="S18" s="38" t="s">
        <v>39</v>
      </c>
      <c r="T18" s="39" t="s">
        <v>6</v>
      </c>
      <c r="U18" s="40" t="str">
        <f>'1. 소켓인수검사'!G20</f>
        <v>AHU-5 SA 복도</v>
      </c>
    </row>
    <row r="19" spans="1:21">
      <c r="A19" s="45" t="str">
        <f>'1. 소켓인수검사'!A21</f>
        <v>13</v>
      </c>
      <c r="B19" s="56" t="s">
        <v>36</v>
      </c>
      <c r="C19" s="34">
        <f>'1. 소켓인수검사'!C21</f>
        <v>900</v>
      </c>
      <c r="D19" s="34">
        <f>'1. 소켓인수검사'!D21</f>
        <v>700</v>
      </c>
      <c r="E19" s="35"/>
      <c r="F19" s="36">
        <f t="shared" si="0"/>
        <v>0.63</v>
      </c>
      <c r="G19" s="36">
        <f t="shared" si="1"/>
        <v>3.2</v>
      </c>
      <c r="H19" s="41">
        <v>1</v>
      </c>
      <c r="I19" s="55"/>
      <c r="J19" s="33"/>
      <c r="K19" s="26">
        <f t="shared" si="2"/>
        <v>3.7</v>
      </c>
      <c r="L19" s="33">
        <v>4</v>
      </c>
      <c r="M19" s="26"/>
      <c r="N19" s="33"/>
      <c r="O19" s="26"/>
      <c r="P19" s="33"/>
      <c r="Q19" s="37">
        <f t="shared" si="3"/>
        <v>7.88</v>
      </c>
      <c r="R19" s="81">
        <f t="shared" si="4"/>
        <v>7.88</v>
      </c>
      <c r="S19" s="38" t="s">
        <v>39</v>
      </c>
      <c r="T19" s="39" t="s">
        <v>6</v>
      </c>
      <c r="U19" s="40" t="str">
        <f>'1. 소켓인수검사'!G21</f>
        <v>AHU-5 RA 복도</v>
      </c>
    </row>
    <row r="20" spans="1:21">
      <c r="A20" s="212" t="s">
        <v>5</v>
      </c>
      <c r="B20" s="213"/>
      <c r="C20" s="213"/>
      <c r="D20" s="54"/>
      <c r="E20" s="44"/>
      <c r="F20" s="44"/>
      <c r="G20" s="44"/>
      <c r="H20" s="43">
        <f>SUM(H7:H19)</f>
        <v>13</v>
      </c>
      <c r="I20" s="60"/>
      <c r="J20" s="43">
        <f>SUM(J7:J19)</f>
        <v>0</v>
      </c>
      <c r="K20" s="60"/>
      <c r="L20" s="43">
        <f>SUM(L7:L19)</f>
        <v>52</v>
      </c>
      <c r="M20" s="60"/>
      <c r="N20" s="43">
        <f>SUM(N7:N19)</f>
        <v>0</v>
      </c>
      <c r="O20" s="60"/>
      <c r="P20" s="43">
        <f>SUM(P7:P19)</f>
        <v>0</v>
      </c>
      <c r="Q20" s="60">
        <f>SUM(Q7:Q19)</f>
        <v>75.039999999999992</v>
      </c>
      <c r="R20" s="43">
        <f>SUM(R7:R19)</f>
        <v>75.039999999999992</v>
      </c>
      <c r="S20" s="57"/>
      <c r="T20" s="57"/>
      <c r="U20" s="58"/>
    </row>
    <row r="21" spans="1:21" ht="8.1" customHeight="1">
      <c r="A21" s="207"/>
      <c r="B21" s="207"/>
      <c r="C21" s="207"/>
      <c r="D21" s="207"/>
      <c r="E21" s="207"/>
      <c r="F21" s="207"/>
      <c r="G21" s="207"/>
      <c r="H21" s="207"/>
      <c r="I21" s="207"/>
      <c r="J21" s="207"/>
      <c r="K21" s="207"/>
      <c r="L21" s="207"/>
      <c r="M21" s="207"/>
      <c r="N21" s="207"/>
      <c r="O21" s="207"/>
      <c r="P21" s="207"/>
      <c r="Q21" s="4"/>
    </row>
    <row r="22" spans="1:21">
      <c r="A22" s="221" t="s">
        <v>42</v>
      </c>
      <c r="B22" s="221"/>
      <c r="C22" s="221"/>
      <c r="D22" s="200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5"/>
      <c r="R22" s="175"/>
      <c r="S22" s="175"/>
      <c r="T22" s="175"/>
      <c r="U22" s="201"/>
    </row>
    <row r="23" spans="1:21">
      <c r="A23" s="221"/>
      <c r="B23" s="221"/>
      <c r="C23" s="221"/>
      <c r="D23" s="21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18"/>
    </row>
    <row r="24" spans="1:21">
      <c r="A24" s="221"/>
      <c r="B24" s="221"/>
      <c r="C24" s="221"/>
      <c r="D24" s="217"/>
      <c r="E24" s="207"/>
      <c r="F24" s="207"/>
      <c r="G24" s="207"/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18"/>
    </row>
    <row r="25" spans="1:21">
      <c r="A25" s="221"/>
      <c r="B25" s="221"/>
      <c r="C25" s="221"/>
      <c r="D25" s="21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18"/>
    </row>
    <row r="26" spans="1:21">
      <c r="A26" s="221"/>
      <c r="B26" s="221"/>
      <c r="C26" s="221"/>
      <c r="D26" s="217"/>
      <c r="E26" s="207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  <c r="U26" s="218"/>
    </row>
    <row r="27" spans="1:21">
      <c r="A27" s="221"/>
      <c r="B27" s="221"/>
      <c r="C27" s="221"/>
      <c r="D27" s="198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99"/>
    </row>
  </sheetData>
  <mergeCells count="24">
    <mergeCell ref="U5:U6"/>
    <mergeCell ref="A20:C20"/>
    <mergeCell ref="F1:J3"/>
    <mergeCell ref="K1:U3"/>
    <mergeCell ref="D22:U27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  <mergeCell ref="A21:P21"/>
    <mergeCell ref="A22:C27"/>
    <mergeCell ref="Q5:R5"/>
    <mergeCell ref="S5:S6"/>
    <mergeCell ref="T5:T6"/>
    <mergeCell ref="K5:L5"/>
    <mergeCell ref="O5:P5"/>
    <mergeCell ref="M5:N5"/>
  </mergeCells>
  <phoneticPr fontId="25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"/>
  <sheetViews>
    <sheetView zoomScaleNormal="100" zoomScaleSheetLayoutView="100" workbookViewId="0">
      <selection activeCell="E27" sqref="E27"/>
    </sheetView>
  </sheetViews>
  <sheetFormatPr defaultColWidth="9" defaultRowHeight="13.5"/>
  <cols>
    <col min="1" max="16384" width="9" style="61"/>
  </cols>
  <sheetData/>
  <phoneticPr fontId="25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7</vt:i4>
      </vt:variant>
    </vt:vector>
  </HeadingPairs>
  <TitlesOfParts>
    <vt:vector size="14" baseType="lpstr">
      <vt:lpstr>1. 소켓인수검사</vt:lpstr>
      <vt:lpstr>2.재단(VM)작업</vt:lpstr>
      <vt:lpstr>차열재 재단(VM,VT)</vt:lpstr>
      <vt:lpstr>3. 1절곡(VM)</vt:lpstr>
      <vt:lpstr>5. 차열재 출하용(VM,VT,VAG)</vt:lpstr>
      <vt:lpstr>6. 라벨소요량</vt:lpstr>
      <vt:lpstr>발주서정리</vt:lpstr>
      <vt:lpstr>'1. 소켓인수검사'!Print_Area</vt:lpstr>
      <vt:lpstr>'1. 소켓인수검사'!Print_Titles</vt:lpstr>
      <vt:lpstr>'2.재단(VM)작업'!Print_Titles</vt:lpstr>
      <vt:lpstr>'3. 1절곡(VM)'!Print_Titles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53</cp:revision>
  <cp:lastPrinted>2026-07-07T05:35:57Z</cp:lastPrinted>
  <dcterms:created xsi:type="dcterms:W3CDTF">2025-03-13T00:09:10Z</dcterms:created>
  <dcterms:modified xsi:type="dcterms:W3CDTF">2026-07-07T05:36:02Z</dcterms:modified>
  <cp:version>1200.0100.01</cp:version>
</cp:coreProperties>
</file>