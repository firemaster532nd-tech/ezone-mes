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1CF0A841-5C26-4E3C-9261-F12D4EF63DD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소켓인수검사'!$A$1:$G$33</definedName>
    <definedName name="_xlnm.Print_Area" localSheetId="2">'3.1 절곡(HTG1.69)(브라켓,보강대,받침대)'!$A$1:$AY$33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6" l="1"/>
  <c r="P10" i="6"/>
  <c r="P14" i="6"/>
  <c r="P16" i="6"/>
  <c r="P18" i="6"/>
  <c r="P20" i="6"/>
  <c r="P22" i="6"/>
  <c r="P24" i="6"/>
  <c r="P8" i="6"/>
  <c r="P7" i="6"/>
  <c r="V33" i="3"/>
  <c r="J2" i="2"/>
  <c r="AA31" i="6" l="1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P32" i="6" l="1"/>
  <c r="N32" i="6"/>
  <c r="L32" i="6"/>
  <c r="J32" i="6"/>
  <c r="H32" i="6"/>
  <c r="K36" i="4"/>
  <c r="I36" i="4"/>
  <c r="AN33" i="3"/>
  <c r="AH33" i="3"/>
  <c r="P33" i="3"/>
  <c r="J33" i="3"/>
  <c r="J1" i="6"/>
  <c r="P5" i="5"/>
  <c r="M5" i="4"/>
  <c r="M1" i="3"/>
  <c r="D1" i="1"/>
  <c r="AM32" i="3"/>
  <c r="AL32" i="3"/>
  <c r="AM31" i="3"/>
  <c r="AL31" i="3"/>
  <c r="AM30" i="3"/>
  <c r="AL30" i="3"/>
  <c r="AM29" i="3"/>
  <c r="AL29" i="3"/>
  <c r="AM28" i="3"/>
  <c r="AL28" i="3"/>
  <c r="AG32" i="3"/>
  <c r="AF32" i="3"/>
  <c r="AG31" i="3"/>
  <c r="AF31" i="3"/>
  <c r="AG30" i="3"/>
  <c r="AF30" i="3"/>
  <c r="AG29" i="3"/>
  <c r="AF29" i="3"/>
  <c r="AG28" i="3"/>
  <c r="AF28" i="3"/>
  <c r="N32" i="3"/>
  <c r="N31" i="3"/>
  <c r="N30" i="3"/>
  <c r="N29" i="3"/>
  <c r="N28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D31" i="6" l="1"/>
  <c r="C31" i="6"/>
  <c r="B31" i="6"/>
  <c r="A31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D26" i="6"/>
  <c r="C26" i="6"/>
  <c r="B26" i="6"/>
  <c r="A26" i="6"/>
  <c r="D25" i="6"/>
  <c r="C25" i="6"/>
  <c r="B25" i="6"/>
  <c r="A25" i="6"/>
  <c r="D24" i="6"/>
  <c r="C24" i="6"/>
  <c r="B24" i="6"/>
  <c r="A24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D19" i="6"/>
  <c r="C19" i="6"/>
  <c r="B19" i="6"/>
  <c r="A19" i="6"/>
  <c r="D18" i="6"/>
  <c r="C18" i="6"/>
  <c r="B18" i="6"/>
  <c r="A18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D12" i="6"/>
  <c r="C12" i="6"/>
  <c r="B12" i="6"/>
  <c r="A12" i="6"/>
  <c r="D11" i="6"/>
  <c r="C11" i="6"/>
  <c r="B11" i="6"/>
  <c r="A11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35" i="4"/>
  <c r="J35" i="4" s="1"/>
  <c r="C35" i="4"/>
  <c r="H35" i="4" s="1"/>
  <c r="B35" i="4"/>
  <c r="A35" i="4"/>
  <c r="D34" i="4"/>
  <c r="J34" i="4" s="1"/>
  <c r="C34" i="4"/>
  <c r="H34" i="4" s="1"/>
  <c r="B34" i="4"/>
  <c r="A34" i="4"/>
  <c r="D33" i="4"/>
  <c r="J33" i="4" s="1"/>
  <c r="C33" i="4"/>
  <c r="H33" i="4" s="1"/>
  <c r="B33" i="4"/>
  <c r="A33" i="4"/>
  <c r="D32" i="4"/>
  <c r="J32" i="4" s="1"/>
  <c r="C32" i="4"/>
  <c r="H32" i="4" s="1"/>
  <c r="B32" i="4"/>
  <c r="A32" i="4"/>
  <c r="D31" i="4"/>
  <c r="J31" i="4" s="1"/>
  <c r="C31" i="4"/>
  <c r="H31" i="4" s="1"/>
  <c r="B31" i="4"/>
  <c r="A31" i="4"/>
  <c r="D30" i="4"/>
  <c r="J30" i="4" s="1"/>
  <c r="C30" i="4"/>
  <c r="H30" i="4" s="1"/>
  <c r="B30" i="4"/>
  <c r="A30" i="4"/>
  <c r="D29" i="4"/>
  <c r="J29" i="4" s="1"/>
  <c r="C29" i="4"/>
  <c r="H29" i="4" s="1"/>
  <c r="B29" i="4"/>
  <c r="A29" i="4"/>
  <c r="D28" i="4"/>
  <c r="J28" i="4" s="1"/>
  <c r="C28" i="4"/>
  <c r="H28" i="4" s="1"/>
  <c r="B28" i="4"/>
  <c r="A28" i="4"/>
  <c r="D27" i="4"/>
  <c r="J27" i="4" s="1"/>
  <c r="C27" i="4"/>
  <c r="H27" i="4" s="1"/>
  <c r="B27" i="4"/>
  <c r="A27" i="4"/>
  <c r="D26" i="4"/>
  <c r="J26" i="4" s="1"/>
  <c r="C26" i="4"/>
  <c r="H26" i="4" s="1"/>
  <c r="B26" i="4"/>
  <c r="A26" i="4"/>
  <c r="D25" i="4"/>
  <c r="J25" i="4" s="1"/>
  <c r="C25" i="4"/>
  <c r="H25" i="4" s="1"/>
  <c r="B25" i="4"/>
  <c r="A25" i="4"/>
  <c r="D24" i="4"/>
  <c r="J24" i="4" s="1"/>
  <c r="C24" i="4"/>
  <c r="H24" i="4" s="1"/>
  <c r="B24" i="4"/>
  <c r="A24" i="4"/>
  <c r="D23" i="4"/>
  <c r="J23" i="4" s="1"/>
  <c r="C23" i="4"/>
  <c r="H23" i="4" s="1"/>
  <c r="B23" i="4"/>
  <c r="A23" i="4"/>
  <c r="D22" i="4"/>
  <c r="J22" i="4" s="1"/>
  <c r="C22" i="4"/>
  <c r="H22" i="4" s="1"/>
  <c r="B22" i="4"/>
  <c r="A22" i="4"/>
  <c r="D21" i="4"/>
  <c r="J21" i="4" s="1"/>
  <c r="C21" i="4"/>
  <c r="H21" i="4" s="1"/>
  <c r="B21" i="4"/>
  <c r="A21" i="4"/>
  <c r="D20" i="4"/>
  <c r="J20" i="4" s="1"/>
  <c r="C20" i="4"/>
  <c r="H20" i="4" s="1"/>
  <c r="B20" i="4"/>
  <c r="A20" i="4"/>
  <c r="D19" i="4"/>
  <c r="J19" i="4" s="1"/>
  <c r="C19" i="4"/>
  <c r="H19" i="4" s="1"/>
  <c r="B19" i="4"/>
  <c r="A19" i="4"/>
  <c r="D18" i="4"/>
  <c r="J18" i="4" s="1"/>
  <c r="C18" i="4"/>
  <c r="H18" i="4" s="1"/>
  <c r="B18" i="4"/>
  <c r="A18" i="4"/>
  <c r="D17" i="4"/>
  <c r="J17" i="4" s="1"/>
  <c r="C17" i="4"/>
  <c r="H17" i="4" s="1"/>
  <c r="B17" i="4"/>
  <c r="A17" i="4"/>
  <c r="D16" i="4"/>
  <c r="J16" i="4" s="1"/>
  <c r="C16" i="4"/>
  <c r="H16" i="4" s="1"/>
  <c r="B16" i="4"/>
  <c r="A16" i="4"/>
  <c r="D15" i="4"/>
  <c r="J15" i="4" s="1"/>
  <c r="C15" i="4"/>
  <c r="H15" i="4" s="1"/>
  <c r="B15" i="4"/>
  <c r="A15" i="4"/>
  <c r="D14" i="4"/>
  <c r="J14" i="4" s="1"/>
  <c r="C14" i="4"/>
  <c r="H14" i="4" s="1"/>
  <c r="B14" i="4"/>
  <c r="A14" i="4"/>
  <c r="D13" i="4"/>
  <c r="J13" i="4" s="1"/>
  <c r="C13" i="4"/>
  <c r="H13" i="4" s="1"/>
  <c r="B13" i="4"/>
  <c r="A13" i="4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B32" i="3"/>
  <c r="AA32" i="3"/>
  <c r="Z32" i="3"/>
  <c r="D32" i="3"/>
  <c r="Y32" i="3" s="1"/>
  <c r="C32" i="3"/>
  <c r="A32" i="3"/>
  <c r="AB31" i="3"/>
  <c r="AA31" i="3"/>
  <c r="Z31" i="3"/>
  <c r="D31" i="3"/>
  <c r="Y31" i="3" s="1"/>
  <c r="C31" i="3"/>
  <c r="A31" i="3"/>
  <c r="AB30" i="3"/>
  <c r="AA30" i="3"/>
  <c r="Z30" i="3"/>
  <c r="D30" i="3"/>
  <c r="Y30" i="3" s="1"/>
  <c r="C30" i="3"/>
  <c r="A30" i="3"/>
  <c r="AB29" i="3"/>
  <c r="AA29" i="3"/>
  <c r="Z29" i="3"/>
  <c r="D29" i="3"/>
  <c r="Y29" i="3" s="1"/>
  <c r="C29" i="3"/>
  <c r="A29" i="3"/>
  <c r="AB28" i="3"/>
  <c r="AA28" i="3"/>
  <c r="Z28" i="3"/>
  <c r="D28" i="3"/>
  <c r="Y28" i="3" s="1"/>
  <c r="C28" i="3"/>
  <c r="A28" i="3"/>
  <c r="AM27" i="3"/>
  <c r="AL27" i="3"/>
  <c r="AG27" i="3"/>
  <c r="AF27" i="3"/>
  <c r="AB27" i="3"/>
  <c r="AA27" i="3"/>
  <c r="Z27" i="3"/>
  <c r="D27" i="3"/>
  <c r="Y27" i="3" s="1"/>
  <c r="C27" i="3"/>
  <c r="A27" i="3"/>
  <c r="AA26" i="3"/>
  <c r="Z26" i="3"/>
  <c r="D26" i="3"/>
  <c r="C26" i="3"/>
  <c r="A26" i="3"/>
  <c r="AA25" i="3"/>
  <c r="Z25" i="3"/>
  <c r="D25" i="3"/>
  <c r="C25" i="3"/>
  <c r="A25" i="3"/>
  <c r="AA24" i="3"/>
  <c r="Z24" i="3"/>
  <c r="D24" i="3"/>
  <c r="C24" i="3"/>
  <c r="A24" i="3"/>
  <c r="AA23" i="3"/>
  <c r="Z23" i="3"/>
  <c r="D23" i="3"/>
  <c r="C23" i="3"/>
  <c r="A23" i="3"/>
  <c r="AA22" i="3"/>
  <c r="Z22" i="3"/>
  <c r="D22" i="3"/>
  <c r="C22" i="3"/>
  <c r="A22" i="3"/>
  <c r="AA21" i="3"/>
  <c r="Z21" i="3"/>
  <c r="D21" i="3"/>
  <c r="C21" i="3"/>
  <c r="A21" i="3"/>
  <c r="AA20" i="3"/>
  <c r="Z20" i="3"/>
  <c r="D20" i="3"/>
  <c r="C20" i="3"/>
  <c r="A20" i="3"/>
  <c r="AA19" i="3"/>
  <c r="Z19" i="3"/>
  <c r="D19" i="3"/>
  <c r="C19" i="3"/>
  <c r="A19" i="3"/>
  <c r="AA18" i="3"/>
  <c r="Z18" i="3"/>
  <c r="D18" i="3"/>
  <c r="C18" i="3"/>
  <c r="A18" i="3"/>
  <c r="AA17" i="3"/>
  <c r="Z17" i="3"/>
  <c r="D17" i="3"/>
  <c r="C17" i="3"/>
  <c r="A17" i="3"/>
  <c r="AA16" i="3"/>
  <c r="Z16" i="3"/>
  <c r="D16" i="3"/>
  <c r="C16" i="3"/>
  <c r="A16" i="3"/>
  <c r="AA15" i="3"/>
  <c r="Z15" i="3"/>
  <c r="D15" i="3"/>
  <c r="C15" i="3"/>
  <c r="A15" i="3"/>
  <c r="AA14" i="3"/>
  <c r="Z14" i="3"/>
  <c r="D14" i="3"/>
  <c r="C14" i="3"/>
  <c r="A14" i="3"/>
  <c r="AA13" i="3"/>
  <c r="Z13" i="3"/>
  <c r="D13" i="3"/>
  <c r="C13" i="3"/>
  <c r="A13" i="3"/>
  <c r="AA12" i="3"/>
  <c r="Z12" i="3"/>
  <c r="D12" i="3"/>
  <c r="C12" i="3"/>
  <c r="A12" i="3"/>
  <c r="AA11" i="3"/>
  <c r="Z11" i="3"/>
  <c r="D11" i="3"/>
  <c r="C11" i="3"/>
  <c r="A11" i="3"/>
  <c r="AA10" i="3"/>
  <c r="Z10" i="3"/>
  <c r="D10" i="3"/>
  <c r="C10" i="3"/>
  <c r="A10" i="3"/>
  <c r="AA9" i="3"/>
  <c r="Z9" i="3"/>
  <c r="D9" i="3"/>
  <c r="C9" i="3"/>
  <c r="A9" i="3"/>
  <c r="AA8" i="3"/>
  <c r="Z8" i="3"/>
  <c r="O8" i="3"/>
  <c r="N8" i="3"/>
  <c r="D8" i="3"/>
  <c r="C8" i="3"/>
  <c r="A8" i="3"/>
  <c r="L32" i="2"/>
  <c r="H32" i="2"/>
  <c r="D32" i="2"/>
  <c r="C32" i="2"/>
  <c r="A32" i="2"/>
  <c r="L31" i="2"/>
  <c r="H31" i="2"/>
  <c r="D31" i="2"/>
  <c r="C31" i="2"/>
  <c r="A31" i="2"/>
  <c r="L30" i="2"/>
  <c r="H30" i="2"/>
  <c r="D30" i="2"/>
  <c r="C30" i="2"/>
  <c r="A30" i="2"/>
  <c r="L29" i="2"/>
  <c r="H29" i="2"/>
  <c r="D29" i="2"/>
  <c r="C29" i="2"/>
  <c r="A29" i="2"/>
  <c r="L28" i="2"/>
  <c r="H28" i="2"/>
  <c r="D28" i="2"/>
  <c r="C28" i="2"/>
  <c r="A28" i="2"/>
  <c r="L27" i="2"/>
  <c r="H27" i="2"/>
  <c r="D27" i="2"/>
  <c r="C27" i="2"/>
  <c r="A27" i="2"/>
  <c r="H26" i="2"/>
  <c r="D26" i="2"/>
  <c r="C26" i="2"/>
  <c r="A26" i="2"/>
  <c r="H25" i="2"/>
  <c r="D25" i="2"/>
  <c r="N25" i="2" s="1"/>
  <c r="C25" i="2"/>
  <c r="A25" i="2"/>
  <c r="H24" i="2"/>
  <c r="D24" i="2"/>
  <c r="N24" i="2" s="1"/>
  <c r="C24" i="2"/>
  <c r="A24" i="2"/>
  <c r="H23" i="2"/>
  <c r="D23" i="2"/>
  <c r="C23" i="2"/>
  <c r="A23" i="2"/>
  <c r="H22" i="2"/>
  <c r="D22" i="2"/>
  <c r="N22" i="2" s="1"/>
  <c r="C22" i="2"/>
  <c r="A22" i="2"/>
  <c r="H21" i="2"/>
  <c r="D21" i="2"/>
  <c r="C21" i="2"/>
  <c r="A21" i="2"/>
  <c r="H20" i="2"/>
  <c r="D20" i="2"/>
  <c r="C20" i="2"/>
  <c r="A20" i="2"/>
  <c r="H19" i="2"/>
  <c r="D19" i="2"/>
  <c r="N19" i="2" s="1"/>
  <c r="C19" i="2"/>
  <c r="A19" i="2"/>
  <c r="H18" i="2"/>
  <c r="D18" i="2"/>
  <c r="N18" i="2" s="1"/>
  <c r="C18" i="2"/>
  <c r="A18" i="2"/>
  <c r="H17" i="2"/>
  <c r="D17" i="2"/>
  <c r="N17" i="2" s="1"/>
  <c r="C17" i="2"/>
  <c r="A17" i="2"/>
  <c r="H16" i="2"/>
  <c r="D16" i="2"/>
  <c r="N16" i="2" s="1"/>
  <c r="C16" i="2"/>
  <c r="A16" i="2"/>
  <c r="H15" i="2"/>
  <c r="D15" i="2"/>
  <c r="N15" i="2" s="1"/>
  <c r="C15" i="2"/>
  <c r="A15" i="2"/>
  <c r="H14" i="2"/>
  <c r="D14" i="2"/>
  <c r="N14" i="2" s="1"/>
  <c r="C14" i="2"/>
  <c r="A14" i="2"/>
  <c r="H13" i="2"/>
  <c r="D13" i="2"/>
  <c r="C13" i="2"/>
  <c r="A13" i="2"/>
  <c r="H12" i="2"/>
  <c r="D12" i="2"/>
  <c r="C12" i="2"/>
  <c r="A12" i="2"/>
  <c r="H11" i="2"/>
  <c r="D11" i="2"/>
  <c r="N11" i="2" s="1"/>
  <c r="C11" i="2"/>
  <c r="A11" i="2"/>
  <c r="H10" i="2"/>
  <c r="D10" i="2"/>
  <c r="N10" i="2" s="1"/>
  <c r="C10" i="2"/>
  <c r="A10" i="2"/>
  <c r="H9" i="2"/>
  <c r="D9" i="2"/>
  <c r="N9" i="2" s="1"/>
  <c r="C9" i="2"/>
  <c r="A9" i="2"/>
  <c r="H8" i="2"/>
  <c r="F8" i="2"/>
  <c r="D8" i="2"/>
  <c r="N8" i="2" s="1"/>
  <c r="C8" i="2"/>
  <c r="AB8" i="2" s="1"/>
  <c r="A8" i="2"/>
  <c r="Y11" i="3" l="1"/>
  <c r="S11" i="3"/>
  <c r="Y15" i="3"/>
  <c r="S15" i="3"/>
  <c r="Y19" i="3"/>
  <c r="S19" i="3"/>
  <c r="Y23" i="3"/>
  <c r="S23" i="3"/>
  <c r="AC12" i="2"/>
  <c r="N12" i="2"/>
  <c r="AC13" i="2"/>
  <c r="N13" i="2"/>
  <c r="AC20" i="2"/>
  <c r="N20" i="2"/>
  <c r="AC21" i="2"/>
  <c r="N21" i="2"/>
  <c r="AC23" i="2"/>
  <c r="N23" i="2"/>
  <c r="AC26" i="2"/>
  <c r="N26" i="2"/>
  <c r="Y12" i="3"/>
  <c r="S12" i="3"/>
  <c r="Y16" i="3"/>
  <c r="S16" i="3"/>
  <c r="Y20" i="3"/>
  <c r="S20" i="3"/>
  <c r="Y24" i="3"/>
  <c r="S24" i="3"/>
  <c r="Y9" i="3"/>
  <c r="S9" i="3"/>
  <c r="Y13" i="3"/>
  <c r="S13" i="3"/>
  <c r="Y17" i="3"/>
  <c r="S17" i="3"/>
  <c r="Y21" i="3"/>
  <c r="S21" i="3"/>
  <c r="Y25" i="3"/>
  <c r="S25" i="3"/>
  <c r="Y8" i="3"/>
  <c r="S8" i="3"/>
  <c r="Y10" i="3"/>
  <c r="S10" i="3"/>
  <c r="Y14" i="3"/>
  <c r="S14" i="3"/>
  <c r="Y18" i="3"/>
  <c r="S18" i="3"/>
  <c r="Y22" i="3"/>
  <c r="S22" i="3"/>
  <c r="Y26" i="3"/>
  <c r="S26" i="3"/>
  <c r="AB33" i="3"/>
  <c r="G22" i="2"/>
  <c r="AB22" i="2"/>
  <c r="AH22" i="2" s="1"/>
  <c r="AI22" i="2" s="1"/>
  <c r="AJ22" i="2" s="1"/>
  <c r="AK22" i="2" s="1"/>
  <c r="T22" i="2" s="1"/>
  <c r="AC16" i="2"/>
  <c r="AC19" i="2"/>
  <c r="AC22" i="2"/>
  <c r="AC25" i="2"/>
  <c r="K31" i="2"/>
  <c r="AC31" i="2"/>
  <c r="AC29" i="2"/>
  <c r="K29" i="2"/>
  <c r="G16" i="2"/>
  <c r="AB16" i="2"/>
  <c r="G19" i="2"/>
  <c r="AB19" i="2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G17" i="2"/>
  <c r="AB17" i="2"/>
  <c r="G23" i="2"/>
  <c r="AB23" i="2"/>
  <c r="AC17" i="2"/>
  <c r="AH17" i="2"/>
  <c r="AI17" i="2" s="1"/>
  <c r="AJ17" i="2" s="1"/>
  <c r="AK17" i="2" s="1"/>
  <c r="T17" i="2" s="1"/>
  <c r="K32" i="2"/>
  <c r="AC32" i="2"/>
  <c r="J30" i="2"/>
  <c r="AB30" i="2"/>
  <c r="G21" i="2"/>
  <c r="AB21" i="2"/>
  <c r="AH21" i="2" s="1"/>
  <c r="AI21" i="2" s="1"/>
  <c r="AJ21" i="2" s="1"/>
  <c r="AK21" i="2" s="1"/>
  <c r="T21" i="2" s="1"/>
  <c r="G25" i="2"/>
  <c r="AB25" i="2"/>
  <c r="AH25" i="2" s="1"/>
  <c r="AI25" i="2" s="1"/>
  <c r="AJ25" i="2" s="1"/>
  <c r="AK25" i="2" s="1"/>
  <c r="T25" i="2" s="1"/>
  <c r="AB31" i="2"/>
  <c r="AH31" i="2" s="1"/>
  <c r="AI31" i="2" s="1"/>
  <c r="AJ31" i="2" s="1"/>
  <c r="AK31" i="2" s="1"/>
  <c r="T31" i="2" s="1"/>
  <c r="J31" i="2"/>
  <c r="AC18" i="2"/>
  <c r="AB29" i="2"/>
  <c r="J29" i="2"/>
  <c r="G20" i="2"/>
  <c r="AB20" i="2"/>
  <c r="G26" i="2"/>
  <c r="AB26" i="2"/>
  <c r="AB27" i="2"/>
  <c r="AH27" i="2" s="1"/>
  <c r="AI27" i="2" s="1"/>
  <c r="AJ27" i="2" s="1"/>
  <c r="AK27" i="2" s="1"/>
  <c r="T27" i="2" s="1"/>
  <c r="J27" i="2"/>
  <c r="AC27" i="2"/>
  <c r="K27" i="2"/>
  <c r="J32" i="2"/>
  <c r="AB32" i="2"/>
  <c r="AH32" i="2" s="1"/>
  <c r="AI32" i="2" s="1"/>
  <c r="AJ32" i="2" s="1"/>
  <c r="AK32" i="2" s="1"/>
  <c r="T32" i="2" s="1"/>
  <c r="G18" i="2"/>
  <c r="AB18" i="2"/>
  <c r="AH18" i="2" s="1"/>
  <c r="AI18" i="2" s="1"/>
  <c r="AJ18" i="2" s="1"/>
  <c r="AK18" i="2" s="1"/>
  <c r="T18" i="2" s="1"/>
  <c r="G24" i="2"/>
  <c r="AB24" i="2"/>
  <c r="K30" i="2"/>
  <c r="AC30" i="2"/>
  <c r="AC24" i="2"/>
  <c r="AB28" i="2"/>
  <c r="AH28" i="2" s="1"/>
  <c r="AI28" i="2" s="1"/>
  <c r="AJ28" i="2" s="1"/>
  <c r="AK28" i="2" s="1"/>
  <c r="T28" i="2" s="1"/>
  <c r="J28" i="2"/>
  <c r="AC28" i="2"/>
  <c r="K28" i="2"/>
  <c r="AC9" i="2"/>
  <c r="G13" i="2"/>
  <c r="AB13" i="2"/>
  <c r="G11" i="2"/>
  <c r="AB11" i="2"/>
  <c r="G14" i="2"/>
  <c r="AB14" i="2"/>
  <c r="AC15" i="2"/>
  <c r="G10" i="2"/>
  <c r="AB10" i="2"/>
  <c r="AC10" i="2"/>
  <c r="AC14" i="2"/>
  <c r="AC11" i="2"/>
  <c r="G9" i="2"/>
  <c r="AB9" i="2"/>
  <c r="G12" i="2"/>
  <c r="AB12" i="2"/>
  <c r="G15" i="2"/>
  <c r="AB15" i="2"/>
  <c r="G8" i="2"/>
  <c r="G30" i="2"/>
  <c r="G27" i="2"/>
  <c r="G31" i="2"/>
  <c r="G28" i="2"/>
  <c r="G32" i="2"/>
  <c r="G29" i="2"/>
  <c r="M23" i="3"/>
  <c r="I23" i="3"/>
  <c r="I12" i="3"/>
  <c r="M12" i="3"/>
  <c r="I16" i="3"/>
  <c r="M16" i="3"/>
  <c r="M8" i="3"/>
  <c r="I8" i="3"/>
  <c r="M10" i="3"/>
  <c r="I10" i="3"/>
  <c r="M14" i="3"/>
  <c r="I14" i="3"/>
  <c r="M18" i="3"/>
  <c r="I18" i="3"/>
  <c r="M22" i="3"/>
  <c r="I22" i="3"/>
  <c r="M26" i="3"/>
  <c r="I26" i="3"/>
  <c r="M19" i="3"/>
  <c r="I19" i="3"/>
  <c r="I20" i="3"/>
  <c r="M20" i="3"/>
  <c r="I24" i="3"/>
  <c r="M24" i="3"/>
  <c r="M11" i="3"/>
  <c r="I11" i="3"/>
  <c r="M15" i="3"/>
  <c r="I15" i="3"/>
  <c r="M9" i="3"/>
  <c r="I9" i="3"/>
  <c r="M13" i="3"/>
  <c r="I13" i="3"/>
  <c r="M17" i="3"/>
  <c r="I17" i="3"/>
  <c r="M21" i="3"/>
  <c r="I21" i="3"/>
  <c r="M25" i="3"/>
  <c r="I25" i="3"/>
  <c r="G31" i="6"/>
  <c r="K31" i="6" s="1"/>
  <c r="M31" i="3"/>
  <c r="AE31" i="3"/>
  <c r="I31" i="3"/>
  <c r="O31" i="3" s="1"/>
  <c r="AK31" i="3"/>
  <c r="AK29" i="3"/>
  <c r="M29" i="3"/>
  <c r="I29" i="3"/>
  <c r="O29" i="3" s="1"/>
  <c r="AE29" i="3"/>
  <c r="AE28" i="3"/>
  <c r="M28" i="3"/>
  <c r="AK28" i="3"/>
  <c r="I28" i="3"/>
  <c r="O28" i="3" s="1"/>
  <c r="AK30" i="3"/>
  <c r="AE30" i="3"/>
  <c r="I30" i="3"/>
  <c r="O30" i="3" s="1"/>
  <c r="M30" i="3"/>
  <c r="AE32" i="3"/>
  <c r="AK32" i="3"/>
  <c r="M32" i="3"/>
  <c r="I32" i="3"/>
  <c r="O32" i="3" s="1"/>
  <c r="AK27" i="3"/>
  <c r="M27" i="3"/>
  <c r="AE27" i="3"/>
  <c r="I27" i="3"/>
  <c r="O27" i="3" s="1"/>
  <c r="G23" i="6"/>
  <c r="I23" i="6" s="1"/>
  <c r="O23" i="6" s="1"/>
  <c r="G26" i="6"/>
  <c r="M26" i="6" s="1"/>
  <c r="F8" i="6"/>
  <c r="G24" i="6"/>
  <c r="I24" i="6" s="1"/>
  <c r="O24" i="6" s="1"/>
  <c r="F10" i="5"/>
  <c r="G10" i="5" s="1"/>
  <c r="I10" i="5" s="1"/>
  <c r="F14" i="5"/>
  <c r="G14" i="5" s="1"/>
  <c r="I14" i="5" s="1"/>
  <c r="F15" i="5"/>
  <c r="E27" i="5"/>
  <c r="E16" i="5"/>
  <c r="F31" i="5"/>
  <c r="G31" i="5" s="1"/>
  <c r="I31" i="5" s="1"/>
  <c r="F33" i="5"/>
  <c r="E17" i="5"/>
  <c r="E19" i="5"/>
  <c r="F26" i="6"/>
  <c r="F27" i="6"/>
  <c r="F16" i="5"/>
  <c r="E29" i="5"/>
  <c r="G29" i="6"/>
  <c r="K29" i="6" s="1"/>
  <c r="E20" i="5"/>
  <c r="E21" i="5"/>
  <c r="E22" i="5"/>
  <c r="E24" i="5"/>
  <c r="G9" i="6"/>
  <c r="I9" i="6" s="1"/>
  <c r="O9" i="6" s="1"/>
  <c r="E28" i="5"/>
  <c r="G15" i="6"/>
  <c r="I15" i="6" s="1"/>
  <c r="O15" i="6" s="1"/>
  <c r="F29" i="6"/>
  <c r="G30" i="6"/>
  <c r="K30" i="6" s="1"/>
  <c r="F31" i="6"/>
  <c r="F19" i="5"/>
  <c r="F29" i="5"/>
  <c r="E33" i="5"/>
  <c r="G8" i="6"/>
  <c r="I8" i="6" s="1"/>
  <c r="O8" i="6" s="1"/>
  <c r="F24" i="6"/>
  <c r="F18" i="5"/>
  <c r="E18" i="5"/>
  <c r="G17" i="6"/>
  <c r="I17" i="6" s="1"/>
  <c r="O17" i="6" s="1"/>
  <c r="F23" i="6"/>
  <c r="G25" i="6"/>
  <c r="I25" i="6" s="1"/>
  <c r="O25" i="6" s="1"/>
  <c r="F25" i="6"/>
  <c r="G28" i="6"/>
  <c r="M28" i="6" s="1"/>
  <c r="F28" i="6"/>
  <c r="F14" i="6"/>
  <c r="G14" i="6"/>
  <c r="I14" i="6" s="1"/>
  <c r="O14" i="6" s="1"/>
  <c r="E25" i="5"/>
  <c r="F25" i="5"/>
  <c r="F26" i="5"/>
  <c r="E26" i="5"/>
  <c r="E31" i="5"/>
  <c r="E34" i="5"/>
  <c r="F11" i="5"/>
  <c r="E11" i="5"/>
  <c r="E30" i="5"/>
  <c r="F16" i="6"/>
  <c r="G16" i="6"/>
  <c r="I16" i="6" s="1"/>
  <c r="O16" i="6" s="1"/>
  <c r="E10" i="5"/>
  <c r="E12" i="5"/>
  <c r="E13" i="5"/>
  <c r="E14" i="5"/>
  <c r="G13" i="6"/>
  <c r="I13" i="6" s="1"/>
  <c r="O13" i="6" s="1"/>
  <c r="F15" i="6"/>
  <c r="G27" i="6"/>
  <c r="K27" i="6" s="1"/>
  <c r="F30" i="6"/>
  <c r="F17" i="5"/>
  <c r="F21" i="5"/>
  <c r="F24" i="5"/>
  <c r="F27" i="5"/>
  <c r="E32" i="5"/>
  <c r="F7" i="6"/>
  <c r="G21" i="6"/>
  <c r="I21" i="6" s="1"/>
  <c r="O21" i="6" s="1"/>
  <c r="F21" i="6"/>
  <c r="E23" i="5"/>
  <c r="F23" i="5"/>
  <c r="G11" i="6"/>
  <c r="I11" i="6" s="1"/>
  <c r="O11" i="6" s="1"/>
  <c r="F11" i="6"/>
  <c r="F18" i="6"/>
  <c r="G18" i="6"/>
  <c r="I18" i="6" s="1"/>
  <c r="O18" i="6" s="1"/>
  <c r="F10" i="6"/>
  <c r="G10" i="6"/>
  <c r="I10" i="6" s="1"/>
  <c r="O10" i="6" s="1"/>
  <c r="F20" i="6"/>
  <c r="G20" i="6"/>
  <c r="I20" i="6" s="1"/>
  <c r="O20" i="6" s="1"/>
  <c r="F13" i="5"/>
  <c r="E15" i="5"/>
  <c r="F22" i="5"/>
  <c r="F12" i="6"/>
  <c r="G12" i="6"/>
  <c r="I12" i="6" s="1"/>
  <c r="O12" i="6" s="1"/>
  <c r="F13" i="6"/>
  <c r="G19" i="6"/>
  <c r="I19" i="6" s="1"/>
  <c r="O19" i="6" s="1"/>
  <c r="F19" i="6"/>
  <c r="F12" i="5"/>
  <c r="F20" i="5"/>
  <c r="F28" i="5"/>
  <c r="F30" i="5"/>
  <c r="F32" i="5"/>
  <c r="F34" i="5"/>
  <c r="G7" i="6"/>
  <c r="F9" i="6"/>
  <c r="F17" i="6"/>
  <c r="F22" i="6"/>
  <c r="G22" i="6"/>
  <c r="I22" i="6" s="1"/>
  <c r="O22" i="6" s="1"/>
  <c r="AD16" i="2" l="1"/>
  <c r="AE16" i="2" s="1"/>
  <c r="AF16" i="2" s="1"/>
  <c r="AG16" i="2" s="1"/>
  <c r="Z16" i="2" s="1"/>
  <c r="AD21" i="2"/>
  <c r="AE21" i="2" s="1"/>
  <c r="AF21" i="2" s="1"/>
  <c r="AG21" i="2" s="1"/>
  <c r="Z21" i="2" s="1"/>
  <c r="W30" i="6"/>
  <c r="X30" i="6" s="1"/>
  <c r="U30" i="6"/>
  <c r="V30" i="6" s="1"/>
  <c r="N33" i="5"/>
  <c r="AS31" i="3"/>
  <c r="W21" i="6"/>
  <c r="X21" i="6" s="1"/>
  <c r="N24" i="5"/>
  <c r="U21" i="6"/>
  <c r="V21" i="6" s="1"/>
  <c r="AS22" i="3"/>
  <c r="N30" i="5"/>
  <c r="U27" i="6"/>
  <c r="V27" i="6" s="1"/>
  <c r="AS28" i="3"/>
  <c r="W27" i="6"/>
  <c r="X27" i="6" s="1"/>
  <c r="W26" i="6"/>
  <c r="X26" i="6" s="1"/>
  <c r="N29" i="5"/>
  <c r="U26" i="6"/>
  <c r="V26" i="6" s="1"/>
  <c r="AS27" i="3"/>
  <c r="W31" i="6"/>
  <c r="X31" i="6" s="1"/>
  <c r="N34" i="5"/>
  <c r="AS32" i="3"/>
  <c r="U31" i="6"/>
  <c r="V31" i="6" s="1"/>
  <c r="AS17" i="3"/>
  <c r="W16" i="6"/>
  <c r="X16" i="6" s="1"/>
  <c r="U16" i="6"/>
  <c r="V16" i="6" s="1"/>
  <c r="N19" i="5"/>
  <c r="S15" i="6"/>
  <c r="T15" i="6" s="1"/>
  <c r="Q15" i="6"/>
  <c r="R15" i="6" s="1"/>
  <c r="AY16" i="3"/>
  <c r="W17" i="6"/>
  <c r="X17" i="6" s="1"/>
  <c r="AS18" i="3"/>
  <c r="U17" i="6"/>
  <c r="V17" i="6" s="1"/>
  <c r="N20" i="5"/>
  <c r="W24" i="6"/>
  <c r="X24" i="6" s="1"/>
  <c r="AS25" i="3"/>
  <c r="U24" i="6"/>
  <c r="V24" i="6" s="1"/>
  <c r="N27" i="5"/>
  <c r="AD27" i="2"/>
  <c r="AE27" i="2" s="1"/>
  <c r="AF27" i="2" s="1"/>
  <c r="AG27" i="2" s="1"/>
  <c r="Z27" i="2" s="1"/>
  <c r="N10" i="5"/>
  <c r="U7" i="6"/>
  <c r="V7" i="6" s="1"/>
  <c r="AS8" i="3"/>
  <c r="W7" i="6"/>
  <c r="X7" i="6" s="1"/>
  <c r="S7" i="6"/>
  <c r="T7" i="6" s="1"/>
  <c r="Q7" i="6"/>
  <c r="R7" i="6" s="1"/>
  <c r="AY8" i="3"/>
  <c r="AD31" i="2"/>
  <c r="AE31" i="2" s="1"/>
  <c r="AF31" i="2" s="1"/>
  <c r="AG31" i="2" s="1"/>
  <c r="Z31" i="2" s="1"/>
  <c r="AD19" i="2"/>
  <c r="AE19" i="2" s="1"/>
  <c r="AF19" i="2" s="1"/>
  <c r="AG19" i="2" s="1"/>
  <c r="Z19" i="2" s="1"/>
  <c r="AY21" i="3"/>
  <c r="Q20" i="6"/>
  <c r="R20" i="6" s="1"/>
  <c r="S20" i="6"/>
  <c r="T20" i="6" s="1"/>
  <c r="AD9" i="2"/>
  <c r="AE9" i="2" s="1"/>
  <c r="AF9" i="2" s="1"/>
  <c r="AG9" i="2" s="1"/>
  <c r="Z9" i="2" s="1"/>
  <c r="AD18" i="2"/>
  <c r="AE18" i="2" s="1"/>
  <c r="AF18" i="2" s="1"/>
  <c r="AG18" i="2" s="1"/>
  <c r="Z18" i="2" s="1"/>
  <c r="W20" i="6"/>
  <c r="X20" i="6" s="1"/>
  <c r="U20" i="6"/>
  <c r="V20" i="6" s="1"/>
  <c r="N23" i="5"/>
  <c r="AS21" i="3"/>
  <c r="AD30" i="2"/>
  <c r="AE30" i="2" s="1"/>
  <c r="AF30" i="2" s="1"/>
  <c r="AG30" i="2" s="1"/>
  <c r="Z30" i="2" s="1"/>
  <c r="AD15" i="2"/>
  <c r="AE15" i="2" s="1"/>
  <c r="AF15" i="2" s="1"/>
  <c r="AG15" i="2" s="1"/>
  <c r="Z15" i="2" s="1"/>
  <c r="AD11" i="2"/>
  <c r="AE11" i="2" s="1"/>
  <c r="AF11" i="2" s="1"/>
  <c r="AG11" i="2" s="1"/>
  <c r="Z11" i="2" s="1"/>
  <c r="AH30" i="2"/>
  <c r="AI30" i="2" s="1"/>
  <c r="AJ30" i="2" s="1"/>
  <c r="AK30" i="2" s="1"/>
  <c r="T30" i="2" s="1"/>
  <c r="AH26" i="2"/>
  <c r="AI26" i="2" s="1"/>
  <c r="AJ26" i="2" s="1"/>
  <c r="AK26" i="2" s="1"/>
  <c r="T26" i="2" s="1"/>
  <c r="AD26" i="2"/>
  <c r="AE26" i="2" s="1"/>
  <c r="AF26" i="2" s="1"/>
  <c r="AG26" i="2" s="1"/>
  <c r="Z26" i="2" s="1"/>
  <c r="AH19" i="2"/>
  <c r="AI19" i="2" s="1"/>
  <c r="AJ19" i="2" s="1"/>
  <c r="AK19" i="2" s="1"/>
  <c r="T19" i="2" s="1"/>
  <c r="AD10" i="2"/>
  <c r="AE10" i="2" s="1"/>
  <c r="AF10" i="2" s="1"/>
  <c r="AG10" i="2" s="1"/>
  <c r="Z10" i="2" s="1"/>
  <c r="AD17" i="2"/>
  <c r="AE17" i="2" s="1"/>
  <c r="AF17" i="2" s="1"/>
  <c r="AG17" i="2" s="1"/>
  <c r="Z17" i="2" s="1"/>
  <c r="AH16" i="2"/>
  <c r="AI16" i="2" s="1"/>
  <c r="AJ16" i="2" s="1"/>
  <c r="AK16" i="2" s="1"/>
  <c r="T16" i="2" s="1"/>
  <c r="AH20" i="2"/>
  <c r="AI20" i="2" s="1"/>
  <c r="AJ20" i="2" s="1"/>
  <c r="AK20" i="2" s="1"/>
  <c r="T20" i="2" s="1"/>
  <c r="AD20" i="2"/>
  <c r="AE20" i="2" s="1"/>
  <c r="AF20" i="2" s="1"/>
  <c r="AG20" i="2" s="1"/>
  <c r="Z20" i="2" s="1"/>
  <c r="AH23" i="2"/>
  <c r="AI23" i="2" s="1"/>
  <c r="AJ23" i="2" s="1"/>
  <c r="AK23" i="2" s="1"/>
  <c r="T23" i="2" s="1"/>
  <c r="AD23" i="2"/>
  <c r="AE23" i="2" s="1"/>
  <c r="AF23" i="2" s="1"/>
  <c r="AG23" i="2" s="1"/>
  <c r="Z23" i="2" s="1"/>
  <c r="AD22" i="2"/>
  <c r="AE22" i="2" s="1"/>
  <c r="AF22" i="2" s="1"/>
  <c r="AG22" i="2" s="1"/>
  <c r="Z22" i="2" s="1"/>
  <c r="AH11" i="2"/>
  <c r="AI11" i="2" s="1"/>
  <c r="AJ11" i="2" s="1"/>
  <c r="AK11" i="2" s="1"/>
  <c r="T11" i="2" s="1"/>
  <c r="AH29" i="2"/>
  <c r="AI29" i="2" s="1"/>
  <c r="AJ29" i="2" s="1"/>
  <c r="AK29" i="2" s="1"/>
  <c r="T29" i="2" s="1"/>
  <c r="AD29" i="2"/>
  <c r="AE29" i="2" s="1"/>
  <c r="AF29" i="2" s="1"/>
  <c r="AG29" i="2" s="1"/>
  <c r="Z29" i="2" s="1"/>
  <c r="AD24" i="2"/>
  <c r="AE24" i="2" s="1"/>
  <c r="AF24" i="2" s="1"/>
  <c r="AG24" i="2" s="1"/>
  <c r="Z24" i="2" s="1"/>
  <c r="AD28" i="2"/>
  <c r="AE28" i="2" s="1"/>
  <c r="AF28" i="2" s="1"/>
  <c r="AG28" i="2" s="1"/>
  <c r="Z28" i="2" s="1"/>
  <c r="AD14" i="2"/>
  <c r="AE14" i="2" s="1"/>
  <c r="AF14" i="2" s="1"/>
  <c r="AG14" i="2" s="1"/>
  <c r="Z14" i="2" s="1"/>
  <c r="AH24" i="2"/>
  <c r="AI24" i="2" s="1"/>
  <c r="AJ24" i="2" s="1"/>
  <c r="AK24" i="2" s="1"/>
  <c r="T24" i="2" s="1"/>
  <c r="AD32" i="2"/>
  <c r="AE32" i="2" s="1"/>
  <c r="AF32" i="2" s="1"/>
  <c r="AG32" i="2" s="1"/>
  <c r="Z32" i="2" s="1"/>
  <c r="AD25" i="2"/>
  <c r="AE25" i="2" s="1"/>
  <c r="AF25" i="2" s="1"/>
  <c r="AG25" i="2" s="1"/>
  <c r="Z25" i="2" s="1"/>
  <c r="AH12" i="2"/>
  <c r="AI12" i="2" s="1"/>
  <c r="AJ12" i="2" s="1"/>
  <c r="AK12" i="2" s="1"/>
  <c r="T12" i="2" s="1"/>
  <c r="AD12" i="2"/>
  <c r="AE12" i="2" s="1"/>
  <c r="AF12" i="2" s="1"/>
  <c r="AG12" i="2" s="1"/>
  <c r="Z12" i="2" s="1"/>
  <c r="AH15" i="2"/>
  <c r="AI15" i="2" s="1"/>
  <c r="AJ15" i="2" s="1"/>
  <c r="AK15" i="2" s="1"/>
  <c r="T15" i="2" s="1"/>
  <c r="AH14" i="2"/>
  <c r="AI14" i="2" s="1"/>
  <c r="AJ14" i="2" s="1"/>
  <c r="AK14" i="2" s="1"/>
  <c r="T14" i="2" s="1"/>
  <c r="AH10" i="2"/>
  <c r="AI10" i="2" s="1"/>
  <c r="AJ10" i="2" s="1"/>
  <c r="AK10" i="2" s="1"/>
  <c r="T10" i="2" s="1"/>
  <c r="AH9" i="2"/>
  <c r="AI9" i="2" s="1"/>
  <c r="AJ9" i="2" s="1"/>
  <c r="AK9" i="2" s="1"/>
  <c r="T9" i="2" s="1"/>
  <c r="AH13" i="2"/>
  <c r="AI13" i="2" s="1"/>
  <c r="AJ13" i="2" s="1"/>
  <c r="AK13" i="2" s="1"/>
  <c r="T13" i="2" s="1"/>
  <c r="AD13" i="2"/>
  <c r="AE13" i="2" s="1"/>
  <c r="AF13" i="2" s="1"/>
  <c r="AG13" i="2" s="1"/>
  <c r="Z13" i="2" s="1"/>
  <c r="S24" i="5"/>
  <c r="U24" i="5" s="1"/>
  <c r="G11" i="5"/>
  <c r="I11" i="5" s="1"/>
  <c r="S25" i="5"/>
  <c r="U25" i="5" s="1"/>
  <c r="J29" i="5"/>
  <c r="L29" i="5" s="1"/>
  <c r="J33" i="5"/>
  <c r="L33" i="5" s="1"/>
  <c r="S15" i="5"/>
  <c r="U15" i="5" s="1"/>
  <c r="G27" i="5"/>
  <c r="I27" i="5" s="1"/>
  <c r="G21" i="5"/>
  <c r="I21" i="5" s="1"/>
  <c r="J31" i="5"/>
  <c r="L31" i="5" s="1"/>
  <c r="S14" i="5"/>
  <c r="U14" i="5" s="1"/>
  <c r="S17" i="5"/>
  <c r="U17" i="5" s="1"/>
  <c r="G19" i="5"/>
  <c r="I19" i="5" s="1"/>
  <c r="S16" i="5"/>
  <c r="U16" i="5" s="1"/>
  <c r="S10" i="5"/>
  <c r="U10" i="5" s="1"/>
  <c r="G15" i="5"/>
  <c r="I15" i="5" s="1"/>
  <c r="I31" i="6"/>
  <c r="M31" i="6"/>
  <c r="P33" i="5"/>
  <c r="R33" i="5" s="1"/>
  <c r="K26" i="6"/>
  <c r="G29" i="5"/>
  <c r="I29" i="5" s="1"/>
  <c r="I26" i="6"/>
  <c r="I28" i="6"/>
  <c r="I29" i="6"/>
  <c r="M29" i="6"/>
  <c r="K28" i="6"/>
  <c r="P31" i="5"/>
  <c r="R31" i="5" s="1"/>
  <c r="G25" i="5"/>
  <c r="I25" i="5" s="1"/>
  <c r="P29" i="5"/>
  <c r="R29" i="5" s="1"/>
  <c r="S27" i="5"/>
  <c r="U27" i="5" s="1"/>
  <c r="G16" i="5"/>
  <c r="I16" i="5" s="1"/>
  <c r="G33" i="5"/>
  <c r="I33" i="5" s="1"/>
  <c r="I30" i="6"/>
  <c r="S19" i="5"/>
  <c r="U19" i="5" s="1"/>
  <c r="M30" i="6"/>
  <c r="G24" i="5"/>
  <c r="I24" i="5" s="1"/>
  <c r="S21" i="5"/>
  <c r="U21" i="5" s="1"/>
  <c r="G17" i="5"/>
  <c r="I17" i="5" s="1"/>
  <c r="G26" i="5"/>
  <c r="I26" i="5" s="1"/>
  <c r="S26" i="5"/>
  <c r="U26" i="5" s="1"/>
  <c r="G18" i="5"/>
  <c r="I18" i="5" s="1"/>
  <c r="S18" i="5"/>
  <c r="U18" i="5" s="1"/>
  <c r="I27" i="6"/>
  <c r="S11" i="5"/>
  <c r="U11" i="5" s="1"/>
  <c r="M27" i="6"/>
  <c r="G30" i="5"/>
  <c r="I30" i="5" s="1"/>
  <c r="P30" i="5"/>
  <c r="R30" i="5" s="1"/>
  <c r="J30" i="5"/>
  <c r="L30" i="5" s="1"/>
  <c r="S23" i="5"/>
  <c r="U23" i="5" s="1"/>
  <c r="G23" i="5"/>
  <c r="I23" i="5" s="1"/>
  <c r="G34" i="5"/>
  <c r="I34" i="5" s="1"/>
  <c r="P34" i="5"/>
  <c r="R34" i="5" s="1"/>
  <c r="J34" i="5"/>
  <c r="L34" i="5" s="1"/>
  <c r="G28" i="5"/>
  <c r="I28" i="5" s="1"/>
  <c r="S28" i="5"/>
  <c r="U28" i="5" s="1"/>
  <c r="I7" i="6"/>
  <c r="O7" i="6"/>
  <c r="G12" i="5"/>
  <c r="I12" i="5" s="1"/>
  <c r="S12" i="5"/>
  <c r="U12" i="5" s="1"/>
  <c r="S22" i="5"/>
  <c r="U22" i="5" s="1"/>
  <c r="G22" i="5"/>
  <c r="I22" i="5" s="1"/>
  <c r="G32" i="5"/>
  <c r="I32" i="5" s="1"/>
  <c r="P32" i="5"/>
  <c r="R32" i="5" s="1"/>
  <c r="J32" i="5"/>
  <c r="L32" i="5" s="1"/>
  <c r="G20" i="5"/>
  <c r="I20" i="5" s="1"/>
  <c r="S20" i="5"/>
  <c r="U20" i="5" s="1"/>
  <c r="S13" i="5"/>
  <c r="U13" i="5" s="1"/>
  <c r="G13" i="5"/>
  <c r="I13" i="5" s="1"/>
  <c r="L35" i="5" l="1"/>
  <c r="Z33" i="2"/>
  <c r="T33" i="2"/>
  <c r="U10" i="6"/>
  <c r="V10" i="6" s="1"/>
  <c r="N13" i="5"/>
  <c r="W10" i="6"/>
  <c r="X10" i="6" s="1"/>
  <c r="AS11" i="3"/>
  <c r="AY10" i="3"/>
  <c r="S9" i="6"/>
  <c r="T9" i="6" s="1"/>
  <c r="Q9" i="6"/>
  <c r="R9" i="6" s="1"/>
  <c r="S14" i="6"/>
  <c r="T14" i="6" s="1"/>
  <c r="Q14" i="6"/>
  <c r="R14" i="6" s="1"/>
  <c r="AY15" i="3"/>
  <c r="S31" i="6"/>
  <c r="T31" i="6" s="1"/>
  <c r="Q31" i="6"/>
  <c r="R31" i="6" s="1"/>
  <c r="AY32" i="3"/>
  <c r="S29" i="6"/>
  <c r="T29" i="6" s="1"/>
  <c r="AY30" i="3"/>
  <c r="Q29" i="6"/>
  <c r="R29" i="6" s="1"/>
  <c r="S26" i="6"/>
  <c r="T26" i="6" s="1"/>
  <c r="AY27" i="3"/>
  <c r="Q26" i="6"/>
  <c r="R26" i="6" s="1"/>
  <c r="S21" i="6"/>
  <c r="T21" i="6" s="1"/>
  <c r="AY22" i="3"/>
  <c r="Q21" i="6"/>
  <c r="R21" i="6" s="1"/>
  <c r="U8" i="6"/>
  <c r="V8" i="6" s="1"/>
  <c r="N11" i="5"/>
  <c r="AS9" i="3"/>
  <c r="W8" i="6"/>
  <c r="X8" i="6" s="1"/>
  <c r="S13" i="6"/>
  <c r="T13" i="6" s="1"/>
  <c r="AY14" i="3"/>
  <c r="Q13" i="6"/>
  <c r="R13" i="6" s="1"/>
  <c r="S22" i="6"/>
  <c r="T22" i="6" s="1"/>
  <c r="Q22" i="6"/>
  <c r="R22" i="6" s="1"/>
  <c r="AY23" i="3"/>
  <c r="AY31" i="3"/>
  <c r="S30" i="6"/>
  <c r="T30" i="6" s="1"/>
  <c r="Q30" i="6"/>
  <c r="R30" i="6" s="1"/>
  <c r="U12" i="6"/>
  <c r="V12" i="6" s="1"/>
  <c r="AS13" i="3"/>
  <c r="N15" i="5"/>
  <c r="W12" i="6"/>
  <c r="X12" i="6" s="1"/>
  <c r="S12" i="6"/>
  <c r="T12" i="6" s="1"/>
  <c r="AY13" i="3"/>
  <c r="Q12" i="6"/>
  <c r="R12" i="6" s="1"/>
  <c r="AY26" i="3"/>
  <c r="S25" i="6"/>
  <c r="T25" i="6" s="1"/>
  <c r="Q25" i="6"/>
  <c r="R25" i="6" s="1"/>
  <c r="W15" i="6"/>
  <c r="X15" i="6" s="1"/>
  <c r="AS16" i="3"/>
  <c r="U15" i="6"/>
  <c r="V15" i="6" s="1"/>
  <c r="N18" i="5"/>
  <c r="S16" i="6"/>
  <c r="T16" i="6" s="1"/>
  <c r="AY17" i="3"/>
  <c r="Q16" i="6"/>
  <c r="R16" i="6" s="1"/>
  <c r="W13" i="6"/>
  <c r="X13" i="6" s="1"/>
  <c r="U13" i="6"/>
  <c r="V13" i="6" s="1"/>
  <c r="AS14" i="3"/>
  <c r="N16" i="5"/>
  <c r="Q18" i="6"/>
  <c r="R18" i="6" s="1"/>
  <c r="S18" i="6"/>
  <c r="T18" i="6" s="1"/>
  <c r="AY19" i="3"/>
  <c r="AY28" i="3"/>
  <c r="S27" i="6"/>
  <c r="T27" i="6" s="1"/>
  <c r="Q27" i="6"/>
  <c r="R27" i="6" s="1"/>
  <c r="Q24" i="6"/>
  <c r="R24" i="6" s="1"/>
  <c r="AY25" i="3"/>
  <c r="S24" i="6"/>
  <c r="T24" i="6" s="1"/>
  <c r="W18" i="6"/>
  <c r="X18" i="6" s="1"/>
  <c r="U18" i="6"/>
  <c r="V18" i="6" s="1"/>
  <c r="N21" i="5"/>
  <c r="AS19" i="3"/>
  <c r="S23" i="6"/>
  <c r="T23" i="6" s="1"/>
  <c r="Q23" i="6"/>
  <c r="R23" i="6" s="1"/>
  <c r="AY24" i="3"/>
  <c r="N12" i="5"/>
  <c r="U9" i="6"/>
  <c r="V9" i="6" s="1"/>
  <c r="W9" i="6"/>
  <c r="X9" i="6" s="1"/>
  <c r="AS10" i="3"/>
  <c r="W29" i="6"/>
  <c r="X29" i="6" s="1"/>
  <c r="U29" i="6"/>
  <c r="V29" i="6" s="1"/>
  <c r="N32" i="5"/>
  <c r="AS30" i="3"/>
  <c r="S19" i="6"/>
  <c r="T19" i="6" s="1"/>
  <c r="Q19" i="6"/>
  <c r="R19" i="6" s="1"/>
  <c r="AY20" i="3"/>
  <c r="AS15" i="3"/>
  <c r="N17" i="5"/>
  <c r="U14" i="6"/>
  <c r="V14" i="6" s="1"/>
  <c r="W14" i="6"/>
  <c r="X14" i="6" s="1"/>
  <c r="N22" i="5"/>
  <c r="U19" i="6"/>
  <c r="V19" i="6" s="1"/>
  <c r="AS20" i="3"/>
  <c r="W19" i="6"/>
  <c r="X19" i="6" s="1"/>
  <c r="S17" i="6"/>
  <c r="T17" i="6" s="1"/>
  <c r="Q17" i="6"/>
  <c r="R17" i="6" s="1"/>
  <c r="AY18" i="3"/>
  <c r="W25" i="6"/>
  <c r="X25" i="6" s="1"/>
  <c r="U25" i="6"/>
  <c r="V25" i="6" s="1"/>
  <c r="N28" i="5"/>
  <c r="AS26" i="3"/>
  <c r="Q8" i="6"/>
  <c r="R8" i="6" s="1"/>
  <c r="AY9" i="3"/>
  <c r="S8" i="6"/>
  <c r="T8" i="6" s="1"/>
  <c r="Q11" i="6"/>
  <c r="R11" i="6" s="1"/>
  <c r="AY12" i="3"/>
  <c r="S11" i="6"/>
  <c r="T11" i="6" s="1"/>
  <c r="S28" i="6"/>
  <c r="T28" i="6" s="1"/>
  <c r="AY29" i="3"/>
  <c r="Q28" i="6"/>
  <c r="R28" i="6" s="1"/>
  <c r="N26" i="5"/>
  <c r="W23" i="6"/>
  <c r="X23" i="6" s="1"/>
  <c r="AS24" i="3"/>
  <c r="U23" i="6"/>
  <c r="V23" i="6" s="1"/>
  <c r="U22" i="6"/>
  <c r="V22" i="6" s="1"/>
  <c r="N25" i="5"/>
  <c r="W22" i="6"/>
  <c r="X22" i="6" s="1"/>
  <c r="AS23" i="3"/>
  <c r="W11" i="6"/>
  <c r="X11" i="6" s="1"/>
  <c r="U11" i="6"/>
  <c r="V11" i="6" s="1"/>
  <c r="AS12" i="3"/>
  <c r="N14" i="5"/>
  <c r="W28" i="6"/>
  <c r="X28" i="6" s="1"/>
  <c r="N31" i="5"/>
  <c r="U28" i="6"/>
  <c r="V28" i="6" s="1"/>
  <c r="AS29" i="3"/>
  <c r="Q10" i="6"/>
  <c r="R10" i="6" s="1"/>
  <c r="AY11" i="3"/>
  <c r="S10" i="6"/>
  <c r="T10" i="6" s="1"/>
  <c r="I35" i="5"/>
  <c r="G36" i="5" s="1"/>
  <c r="R35" i="5"/>
  <c r="G38" i="5" s="1"/>
  <c r="U35" i="5"/>
  <c r="G39" i="5" s="1"/>
  <c r="G37" i="5"/>
  <c r="N35" i="5" l="1"/>
  <c r="AY33" i="3"/>
  <c r="V32" i="6"/>
  <c r="R32" i="6"/>
  <c r="T32" i="6"/>
  <c r="AS33" i="3"/>
  <c r="X32" i="6"/>
</calcChain>
</file>

<file path=xl/sharedStrings.xml><?xml version="1.0" encoding="utf-8"?>
<sst xmlns="http://schemas.openxmlformats.org/spreadsheetml/2006/main" count="398" uniqueCount="160">
  <si>
    <t>HTG-1.69</t>
  </si>
  <si>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</si>
  <si>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</si>
  <si>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</si>
  <si>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</si>
  <si>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</si>
  <si>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</si>
  <si>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</si>
  <si>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</si>
  <si>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</si>
  <si>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</si>
  <si>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</si>
  <si>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</si>
  <si>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</si>
  <si>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</si>
  <si>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</si>
  <si>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</si>
  <si>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</si>
  <si>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</si>
  <si>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</si>
  <si>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</si>
  <si>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</si>
  <si>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</si>
  <si>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</si>
  <si>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</si>
  <si>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</si>
  <si>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</si>
  <si>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</si>
  <si>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</si>
  <si>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</si>
  <si>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</si>
  <si>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</si>
  <si>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</si>
  <si>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</si>
  <si>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</si>
  <si>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</si>
  <si>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</si>
  <si>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</si>
  <si>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</si>
  <si>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</si>
  <si>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</si>
  <si>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</si>
  <si>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</si>
  <si>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</si>
  <si>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</si>
  <si>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</si>
  <si>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</si>
  <si>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</si>
  <si>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</si>
  <si>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</si>
  <si>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</si>
  <si>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</si>
  <si>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</si>
  <si>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</si>
  <si>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</si>
  <si>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</si>
  <si>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</si>
  <si>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</si>
  <si>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</si>
  <si>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</si>
  <si>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</si>
  <si>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</si>
  <si>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※ 상하 : [상(3장)+하(3장)] * 소켓(2개) = 12개
※ 받침대 : [2장/대] * 4곳 * 소켓(2개) = 16개
* 4T*255* 55M</t>
  </si>
  <si>
    <t>FS-MP25-0910-04</t>
  </si>
  <si>
    <t>FS-MP25-0910-05</t>
  </si>
  <si>
    <t>차열재(96K) : 단열용</t>
  </si>
  <si>
    <t>차열재(소켓용)(25T*300)(96K)</t>
  </si>
  <si>
    <t>EZ F.B POSMAC Duct-HTG-1.69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</si>
  <si>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</si>
  <si>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</si>
  <si>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</si>
  <si>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</si>
  <si>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</si>
  <si>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</si>
  <si>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</si>
  <si>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</si>
  <si>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</si>
  <si>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</si>
  <si>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</si>
  <si>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</si>
  <si>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</si>
  <si>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</si>
  <si>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</si>
  <si>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5" type="noConversion"/>
  </si>
  <si>
    <t>재단작업지시서</t>
    <phoneticPr fontId="35" type="noConversion"/>
  </si>
  <si>
    <t>절곡작업지시서</t>
    <phoneticPr fontId="35" type="noConversion"/>
  </si>
  <si>
    <t>차열재 생산일지(소켓외부용)</t>
    <phoneticPr fontId="35" type="noConversion"/>
  </si>
  <si>
    <t>라벨소요량(웰스홈_국립한국문학관(입상)_251203 )</t>
    <phoneticPr fontId="35" type="noConversion"/>
  </si>
  <si>
    <t>라벨소요량</t>
    <phoneticPr fontId="35" type="noConversion"/>
  </si>
  <si>
    <t>소요량</t>
    <phoneticPr fontId="35" type="noConversion"/>
  </si>
  <si>
    <t>EZ F.B POSMAC Duct-HTG-064</t>
    <phoneticPr fontId="35" type="noConversion"/>
  </si>
  <si>
    <t>구조체작업지시서</t>
    <phoneticPr fontId="35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</si>
  <si>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</si>
  <si>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</si>
  <si>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</si>
  <si>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</si>
  <si>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</si>
  <si>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</si>
  <si>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</si>
  <si>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</si>
  <si>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</si>
  <si>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</si>
  <si>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5" type="noConversion"/>
  </si>
  <si>
    <t>z형</t>
    <phoneticPr fontId="35" type="noConversion"/>
  </si>
  <si>
    <t>01</t>
    <phoneticPr fontId="35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</si>
  <si>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</si>
  <si>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</si>
  <si>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</si>
  <si>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</si>
  <si>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</si>
  <si>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</si>
  <si>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</si>
  <si>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</si>
  <si>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</si>
  <si>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</si>
  <si>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</si>
  <si>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</si>
  <si>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</si>
  <si>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</si>
  <si>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</si>
  <si>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</si>
  <si>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</si>
  <si>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</si>
  <si>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</si>
  <si>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</si>
  <si>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</si>
  <si>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</si>
  <si>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</si>
  <si>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</si>
  <si>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좌우</t>
    <phoneticPr fontId="35" type="noConversion"/>
  </si>
  <si>
    <t>규격</t>
    <phoneticPr fontId="35" type="noConversion"/>
  </si>
  <si>
    <t>상하(4T)</t>
    <phoneticPr fontId="35" type="noConversion"/>
  </si>
  <si>
    <t>받침대(4T)</t>
    <phoneticPr fontId="35" type="noConversion"/>
  </si>
  <si>
    <t>좌우(4T)</t>
    <phoneticPr fontId="35" type="noConversion"/>
  </si>
  <si>
    <t>26.07.20 씨에스하이테크_삼성물산_세방테크_판교641 PSM타워</t>
    <phoneticPr fontId="35" type="noConversion"/>
  </si>
  <si>
    <t>CY001</t>
    <phoneticPr fontId="35" type="noConversion"/>
  </si>
  <si>
    <t>CY002</t>
  </si>
  <si>
    <t>CY003</t>
  </si>
  <si>
    <t>CY004</t>
  </si>
  <si>
    <t>CY005</t>
  </si>
  <si>
    <t>CY006</t>
  </si>
  <si>
    <t>CY007</t>
  </si>
  <si>
    <t>CY008</t>
  </si>
  <si>
    <t>CY009</t>
  </si>
  <si>
    <t>CY010</t>
  </si>
  <si>
    <t>CY011</t>
  </si>
  <si>
    <t>CY012</t>
  </si>
  <si>
    <t>CY013</t>
  </si>
  <si>
    <t>CY014</t>
  </si>
  <si>
    <t>CY015</t>
  </si>
  <si>
    <t>CY016</t>
  </si>
  <si>
    <t>CY017</t>
  </si>
  <si>
    <t>CY018</t>
  </si>
  <si>
    <t>CY019</t>
  </si>
  <si>
    <t>CY020</t>
  </si>
  <si>
    <t>CY021</t>
  </si>
  <si>
    <t>CY022</t>
  </si>
  <si>
    <t>CY023</t>
  </si>
  <si>
    <t>CY024</t>
  </si>
  <si>
    <t>CY025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</si>
</sst>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41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sz val="10"/>
      <color rgb="FF5B9BD5"/>
      <name val="맑은 고딕"/>
      <family val="3"/>
      <charset val="129"/>
    </font>
    <font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4" fillId="0" borderId="0">
      <alignment vertical="center"/>
    </xf>
    <xf numFmtId="176" fontId="34" fillId="0" borderId="0">
      <alignment vertical="center"/>
    </xf>
    <xf numFmtId="0" fontId="1" fillId="0" borderId="0">
      <alignment vertical="center"/>
    </xf>
  </cellStyleXfs>
  <cellXfs count="33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4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4" fillId="0" borderId="4" xfId="2" applyBorder="1" applyAlignment="1">
      <alignment horizontal="center" vertical="center"/>
    </xf>
    <xf numFmtId="176" fontId="34" fillId="0" borderId="5" xfId="2" applyBorder="1" applyAlignment="1">
      <alignment horizontal="center" vertical="center"/>
    </xf>
    <xf numFmtId="176" fontId="34" fillId="0" borderId="6" xfId="2" applyBorder="1" applyAlignment="1">
      <alignment horizontal="center" vertical="center"/>
    </xf>
    <xf numFmtId="176" fontId="34" fillId="0" borderId="7" xfId="2" applyBorder="1" applyAlignment="1">
      <alignment horizontal="center" vertical="center"/>
    </xf>
    <xf numFmtId="0" fontId="3" fillId="0" borderId="8" xfId="3" applyFont="1" applyBorder="1" applyAlignment="1">
      <alignment horizontal="center" vertical="center" wrapText="1"/>
    </xf>
    <xf numFmtId="176" fontId="34" fillId="0" borderId="9" xfId="2" applyBorder="1" applyAlignment="1">
      <alignment horizontal="center" vertical="center"/>
    </xf>
    <xf numFmtId="0" fontId="1" fillId="0" borderId="8" xfId="3" applyBorder="1">
      <alignment vertical="center"/>
    </xf>
    <xf numFmtId="0" fontId="1" fillId="0" borderId="8" xfId="3" applyBorder="1" applyAlignment="1">
      <alignment vertical="center" wrapText="1"/>
    </xf>
    <xf numFmtId="0" fontId="5" fillId="0" borderId="2" xfId="3" applyFont="1" applyBorder="1" applyAlignment="1">
      <alignment horizontal="center" vertical="center" wrapText="1"/>
    </xf>
    <xf numFmtId="0" fontId="6" fillId="3" borderId="3" xfId="3" applyFont="1" applyFill="1" applyBorder="1" applyAlignment="1">
      <alignment horizontal="center" vertical="center" wrapText="1"/>
    </xf>
    <xf numFmtId="0" fontId="34" fillId="0" borderId="10" xfId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34" fillId="0" borderId="17" xfId="1" applyBorder="1" applyAlignment="1">
      <alignment horizontal="center" vertical="center"/>
    </xf>
    <xf numFmtId="0" fontId="34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9" fillId="0" borderId="19" xfId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4" fillId="0" borderId="21" xfId="1" applyBorder="1" applyAlignment="1">
      <alignment horizontal="center" vertical="center" wrapText="1"/>
    </xf>
    <xf numFmtId="0" fontId="7" fillId="0" borderId="21" xfId="3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34" fillId="0" borderId="22" xfId="1" applyBorder="1">
      <alignment vertical="center"/>
    </xf>
    <xf numFmtId="0" fontId="0" fillId="0" borderId="21" xfId="1" applyFont="1" applyBorder="1" applyAlignment="1">
      <alignment horizontal="center" vertical="center" wrapText="1"/>
    </xf>
    <xf numFmtId="0" fontId="13" fillId="0" borderId="21" xfId="3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1" fontId="12" fillId="0" borderId="21" xfId="1" applyNumberFormat="1" applyFont="1" applyBorder="1" applyAlignment="1">
      <alignment horizontal="center" vertical="center" wrapText="1"/>
    </xf>
    <xf numFmtId="0" fontId="9" fillId="2" borderId="21" xfId="1" applyFont="1" applyFill="1" applyBorder="1" applyAlignment="1">
      <alignment horizontal="center" vertical="center"/>
    </xf>
    <xf numFmtId="0" fontId="14" fillId="5" borderId="19" xfId="3" applyFont="1" applyFill="1" applyBorder="1" applyAlignment="1">
      <alignment horizontal="center" vertical="center" wrapText="1"/>
    </xf>
    <xf numFmtId="0" fontId="14" fillId="5" borderId="21" xfId="3" applyFont="1" applyFill="1" applyBorder="1" applyAlignment="1">
      <alignment horizontal="center" vertical="center" wrapText="1"/>
    </xf>
    <xf numFmtId="0" fontId="14" fillId="3" borderId="21" xfId="3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9" fillId="7" borderId="24" xfId="0" applyFont="1" applyFill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7" borderId="21" xfId="1" applyFont="1" applyFill="1" applyBorder="1" applyAlignment="1">
      <alignment horizontal="center" vertical="center" wrapText="1"/>
    </xf>
    <xf numFmtId="0" fontId="0" fillId="0" borderId="20" xfId="1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9" fillId="0" borderId="21" xfId="1" applyFont="1" applyBorder="1" applyAlignment="1">
      <alignment horizontal="center" vertical="center" wrapText="1"/>
    </xf>
    <xf numFmtId="0" fontId="19" fillId="7" borderId="21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0" fillId="0" borderId="21" xfId="1" applyFont="1" applyBorder="1" applyAlignment="1">
      <alignment horizontal="center" vertical="center" shrinkToFit="1"/>
    </xf>
    <xf numFmtId="0" fontId="21" fillId="0" borderId="21" xfId="1" applyFont="1" applyBorder="1" applyAlignment="1">
      <alignment horizontal="center" vertical="center" shrinkToFit="1"/>
    </xf>
    <xf numFmtId="0" fontId="2" fillId="0" borderId="24" xfId="1" applyFont="1" applyBorder="1" applyAlignment="1">
      <alignment horizontal="center" vertical="center" shrinkToFit="1"/>
    </xf>
    <xf numFmtId="0" fontId="18" fillId="0" borderId="21" xfId="1" applyFont="1" applyBorder="1" applyAlignment="1">
      <alignment horizontal="center" vertical="center" wrapText="1"/>
    </xf>
    <xf numFmtId="0" fontId="0" fillId="2" borderId="21" xfId="1" applyFont="1" applyFill="1" applyBorder="1" applyAlignment="1">
      <alignment horizontal="center" vertical="center" wrapText="1"/>
    </xf>
    <xf numFmtId="0" fontId="22" fillId="0" borderId="21" xfId="1" applyFont="1" applyBorder="1" applyAlignment="1">
      <alignment horizontal="center" vertical="center" shrinkToFit="1"/>
    </xf>
    <xf numFmtId="0" fontId="23" fillId="0" borderId="21" xfId="1" applyFont="1" applyBorder="1" applyAlignment="1">
      <alignment horizontal="center" vertical="center" shrinkToFit="1"/>
    </xf>
    <xf numFmtId="0" fontId="2" fillId="0" borderId="22" xfId="1" applyFont="1" applyBorder="1" applyAlignment="1">
      <alignment horizontal="center" vertical="center" wrapText="1"/>
    </xf>
    <xf numFmtId="0" fontId="2" fillId="0" borderId="22" xfId="1" applyFont="1" applyBorder="1" applyAlignment="1">
      <alignment vertical="center" wrapText="1"/>
    </xf>
    <xf numFmtId="0" fontId="10" fillId="0" borderId="22" xfId="1" applyFont="1" applyBorder="1" applyAlignment="1">
      <alignment horizontal="center" vertical="center" wrapText="1"/>
    </xf>
    <xf numFmtId="0" fontId="34" fillId="0" borderId="25" xfId="1" applyBorder="1">
      <alignment vertical="center"/>
    </xf>
    <xf numFmtId="0" fontId="7" fillId="11" borderId="21" xfId="3" applyFont="1" applyFill="1" applyBorder="1" applyAlignment="1">
      <alignment horizontal="center" vertical="center" wrapText="1"/>
    </xf>
    <xf numFmtId="0" fontId="7" fillId="12" borderId="21" xfId="3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10" fillId="3" borderId="21" xfId="1" applyFont="1" applyFill="1" applyBorder="1" applyAlignment="1">
      <alignment horizontal="center" vertical="center" wrapText="1"/>
    </xf>
    <xf numFmtId="0" fontId="15" fillId="0" borderId="21" xfId="1" applyFont="1" applyBorder="1" applyAlignment="1">
      <alignment horizontal="center" vertical="center" wrapText="1"/>
    </xf>
    <xf numFmtId="0" fontId="9" fillId="0" borderId="21" xfId="1" applyFont="1" applyBorder="1">
      <alignment vertical="center"/>
    </xf>
    <xf numFmtId="0" fontId="0" fillId="2" borderId="21" xfId="0" applyFill="1" applyBorder="1" applyAlignment="1">
      <alignment vertical="center" wrapText="1"/>
    </xf>
    <xf numFmtId="0" fontId="0" fillId="6" borderId="22" xfId="0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0" fontId="24" fillId="7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5" fillId="0" borderId="26" xfId="0" applyFont="1" applyBorder="1">
      <alignment vertical="center"/>
    </xf>
    <xf numFmtId="0" fontId="25" fillId="0" borderId="69" xfId="0" applyFont="1" applyBorder="1">
      <alignment vertical="center"/>
    </xf>
    <xf numFmtId="0" fontId="25" fillId="0" borderId="61" xfId="0" applyFont="1" applyBorder="1">
      <alignment vertical="center"/>
    </xf>
    <xf numFmtId="0" fontId="25" fillId="0" borderId="62" xfId="0" applyFont="1" applyBorder="1">
      <alignment vertical="center"/>
    </xf>
    <xf numFmtId="0" fontId="25" fillId="0" borderId="73" xfId="0" applyFont="1" applyBorder="1">
      <alignment vertical="center"/>
    </xf>
    <xf numFmtId="0" fontId="11" fillId="0" borderId="76" xfId="1" applyFont="1" applyBorder="1" applyAlignment="1">
      <alignment horizontal="center" vertical="center"/>
    </xf>
    <xf numFmtId="0" fontId="11" fillId="0" borderId="80" xfId="1" applyFont="1" applyBorder="1" applyAlignment="1">
      <alignment horizontal="center" vertical="center"/>
    </xf>
    <xf numFmtId="0" fontId="4" fillId="0" borderId="26" xfId="1" applyFont="1" applyBorder="1">
      <alignment vertical="center"/>
    </xf>
    <xf numFmtId="0" fontId="4" fillId="0" borderId="69" xfId="1" applyFont="1" applyBorder="1">
      <alignment vertical="center"/>
    </xf>
    <xf numFmtId="0" fontId="4" fillId="0" borderId="73" xfId="1" applyFont="1" applyBorder="1">
      <alignment vertical="center"/>
    </xf>
    <xf numFmtId="0" fontId="2" fillId="0" borderId="0" xfId="3" applyFont="1">
      <alignment vertical="center"/>
    </xf>
    <xf numFmtId="0" fontId="10" fillId="8" borderId="22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3" borderId="0" xfId="0" applyFont="1" applyFill="1">
      <alignment vertical="center"/>
    </xf>
    <xf numFmtId="0" fontId="0" fillId="13" borderId="0" xfId="0" applyFill="1">
      <alignment vertical="center"/>
    </xf>
    <xf numFmtId="0" fontId="12" fillId="0" borderId="21" xfId="1" applyFont="1" applyBorder="1" applyAlignment="1">
      <alignment vertical="center" wrapText="1"/>
    </xf>
    <xf numFmtId="0" fontId="34" fillId="4" borderId="21" xfId="1" applyFill="1" applyBorder="1" applyAlignment="1">
      <alignment horizontal="center" vertical="center"/>
    </xf>
    <xf numFmtId="0" fontId="2" fillId="4" borderId="21" xfId="1" applyFont="1" applyFill="1" applyBorder="1" applyAlignment="1">
      <alignment horizontal="center" vertical="center" wrapText="1"/>
    </xf>
    <xf numFmtId="0" fontId="2" fillId="4" borderId="21" xfId="1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34" fillId="0" borderId="21" xfId="1" applyBorder="1" applyAlignment="1">
      <alignment vertical="center" wrapText="1"/>
    </xf>
    <xf numFmtId="0" fontId="36" fillId="0" borderId="21" xfId="1" applyFont="1" applyBorder="1" applyAlignment="1">
      <alignment vertical="center" wrapText="1"/>
    </xf>
    <xf numFmtId="0" fontId="27" fillId="0" borderId="21" xfId="1" applyFont="1" applyBorder="1" applyAlignment="1">
      <alignment vertical="center" wrapText="1"/>
    </xf>
    <xf numFmtId="176" fontId="34" fillId="0" borderId="21" xfId="1" applyNumberFormat="1" applyBorder="1" applyAlignment="1">
      <alignment horizontal="center" vertical="center" wrapText="1"/>
    </xf>
    <xf numFmtId="0" fontId="24" fillId="7" borderId="21" xfId="0" applyFont="1" applyFill="1" applyBorder="1" applyAlignment="1">
      <alignment vertical="center" wrapText="1"/>
    </xf>
    <xf numFmtId="0" fontId="2" fillId="0" borderId="34" xfId="1" applyFont="1" applyBorder="1" applyAlignment="1">
      <alignment vertical="center" wrapText="1"/>
    </xf>
    <xf numFmtId="0" fontId="4" fillId="0" borderId="60" xfId="3" applyFont="1" applyBorder="1" applyAlignment="1">
      <alignment horizontal="center" vertical="center" wrapText="1"/>
    </xf>
    <xf numFmtId="0" fontId="38" fillId="0" borderId="61" xfId="3" applyFont="1" applyBorder="1" applyAlignment="1">
      <alignment horizontal="center" vertical="center" wrapText="1"/>
    </xf>
    <xf numFmtId="0" fontId="38" fillId="0" borderId="63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65" xfId="3" applyFont="1" applyBorder="1" applyAlignment="1">
      <alignment horizontal="center" vertical="center" wrapText="1"/>
    </xf>
    <xf numFmtId="0" fontId="38" fillId="0" borderId="39" xfId="3" applyFont="1" applyBorder="1" applyAlignment="1">
      <alignment horizontal="center" vertical="center" wrapText="1"/>
    </xf>
    <xf numFmtId="0" fontId="39" fillId="0" borderId="61" xfId="3" applyFont="1" applyBorder="1" applyAlignment="1">
      <alignment horizontal="center" vertical="center" wrapText="1"/>
    </xf>
    <xf numFmtId="0" fontId="40" fillId="0" borderId="61" xfId="3" applyFont="1" applyBorder="1" applyAlignment="1">
      <alignment horizontal="center" vertical="center" wrapText="1"/>
    </xf>
    <xf numFmtId="0" fontId="40" fillId="0" borderId="62" xfId="3" applyFont="1" applyBorder="1" applyAlignment="1">
      <alignment horizontal="center" vertical="center" wrapText="1"/>
    </xf>
    <xf numFmtId="0" fontId="40" fillId="0" borderId="0" xfId="3" applyFont="1" applyAlignment="1">
      <alignment horizontal="center" vertical="center" wrapText="1"/>
    </xf>
    <xf numFmtId="0" fontId="40" fillId="0" borderId="64" xfId="3" applyFont="1" applyBorder="1" applyAlignment="1">
      <alignment horizontal="center" vertical="center" wrapText="1"/>
    </xf>
    <xf numFmtId="0" fontId="40" fillId="0" borderId="39" xfId="3" applyFont="1" applyBorder="1" applyAlignment="1">
      <alignment horizontal="center" vertical="center" wrapText="1"/>
    </xf>
    <xf numFmtId="0" fontId="40" fillId="0" borderId="66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7" xfId="3" applyFill="1" applyBorder="1" applyAlignment="1">
      <alignment horizontal="center" vertical="center" wrapText="1"/>
    </xf>
    <xf numFmtId="0" fontId="1" fillId="9" borderId="38" xfId="3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7" xfId="3" applyFont="1" applyFill="1" applyBorder="1" applyAlignment="1">
      <alignment horizontal="center" vertical="center" wrapText="1"/>
    </xf>
    <xf numFmtId="0" fontId="3" fillId="9" borderId="38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0" fontId="4" fillId="0" borderId="39" xfId="3" applyFont="1" applyBorder="1" applyAlignment="1">
      <alignment horizontal="left" vertical="center"/>
    </xf>
    <xf numFmtId="0" fontId="3" fillId="9" borderId="40" xfId="3" applyFont="1" applyFill="1" applyBorder="1" applyAlignment="1">
      <alignment horizontal="center" vertical="center" wrapText="1"/>
    </xf>
    <xf numFmtId="0" fontId="3" fillId="9" borderId="41" xfId="3" applyFont="1" applyFill="1" applyBorder="1" applyAlignment="1">
      <alignment horizontal="center" vertical="center" wrapText="1"/>
    </xf>
    <xf numFmtId="176" fontId="34" fillId="0" borderId="36" xfId="2" applyBorder="1" applyAlignment="1">
      <alignment horizontal="center" vertical="center"/>
    </xf>
    <xf numFmtId="176" fontId="34" fillId="0" borderId="42" xfId="2" applyBorder="1" applyAlignment="1">
      <alignment horizontal="center" vertical="center"/>
    </xf>
    <xf numFmtId="176" fontId="34" fillId="0" borderId="14" xfId="2" applyBorder="1" applyAlignment="1">
      <alignment horizontal="center" vertical="center"/>
    </xf>
    <xf numFmtId="176" fontId="34" fillId="0" borderId="7" xfId="2" applyBorder="1" applyAlignment="1">
      <alignment horizontal="center" vertical="center"/>
    </xf>
    <xf numFmtId="176" fontId="34" fillId="0" borderId="35" xfId="2" applyBorder="1" applyAlignment="1">
      <alignment horizontal="center" vertical="center"/>
    </xf>
    <xf numFmtId="176" fontId="34" fillId="0" borderId="11" xfId="2" applyBorder="1" applyAlignment="1">
      <alignment horizontal="center" vertical="center"/>
    </xf>
    <xf numFmtId="177" fontId="17" fillId="0" borderId="82" xfId="1" applyNumberFormat="1" applyFont="1" applyBorder="1" applyAlignment="1">
      <alignment horizontal="center" vertical="center" wrapText="1"/>
    </xf>
    <xf numFmtId="177" fontId="17" fillId="0" borderId="83" xfId="1" applyNumberFormat="1" applyFont="1" applyBorder="1" applyAlignment="1">
      <alignment horizontal="center" vertical="center" wrapText="1"/>
    </xf>
    <xf numFmtId="0" fontId="10" fillId="3" borderId="21" xfId="1" applyFont="1" applyFill="1" applyBorder="1" applyAlignment="1">
      <alignment horizontal="center" vertical="center" wrapText="1"/>
    </xf>
    <xf numFmtId="0" fontId="10" fillId="3" borderId="82" xfId="1" applyFont="1" applyFill="1" applyBorder="1" applyAlignment="1">
      <alignment horizontal="center" vertical="center" wrapText="1"/>
    </xf>
    <xf numFmtId="0" fontId="10" fillId="3" borderId="83" xfId="1" applyFont="1" applyFill="1" applyBorder="1" applyAlignment="1">
      <alignment horizontal="center" vertical="center" wrapText="1"/>
    </xf>
    <xf numFmtId="0" fontId="17" fillId="0" borderId="21" xfId="1" applyFont="1" applyBorder="1" applyAlignment="1">
      <alignment horizontal="center" vertical="center" wrapText="1"/>
    </xf>
    <xf numFmtId="177" fontId="12" fillId="0" borderId="82" xfId="1" applyNumberFormat="1" applyFont="1" applyBorder="1" applyAlignment="1">
      <alignment horizontal="center" vertical="center" wrapText="1"/>
    </xf>
    <xf numFmtId="177" fontId="12" fillId="0" borderId="83" xfId="1" applyNumberFormat="1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81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 vertical="center" wrapText="1"/>
    </xf>
    <xf numFmtId="0" fontId="10" fillId="3" borderId="84" xfId="0" applyFont="1" applyFill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37" fillId="0" borderId="61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177" fontId="9" fillId="0" borderId="29" xfId="1" applyNumberFormat="1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177" fontId="9" fillId="0" borderId="30" xfId="1" applyNumberFormat="1" applyFont="1" applyBorder="1" applyAlignment="1">
      <alignment horizontal="center" vertical="center" wrapText="1"/>
    </xf>
    <xf numFmtId="177" fontId="9" fillId="0" borderId="31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32" xfId="1" applyNumberFormat="1" applyFont="1" applyBorder="1" applyAlignment="1">
      <alignment horizontal="center" vertical="center" wrapText="1"/>
    </xf>
    <xf numFmtId="0" fontId="15" fillId="0" borderId="34" xfId="1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vertical="center" wrapText="1"/>
    </xf>
    <xf numFmtId="0" fontId="17" fillId="0" borderId="34" xfId="1" applyFont="1" applyBorder="1" applyAlignment="1">
      <alignment horizontal="center" vertical="center" wrapText="1"/>
    </xf>
    <xf numFmtId="0" fontId="17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3" xfId="0" applyBorder="1" applyAlignment="1">
      <alignment horizontal="left" vertical="top" wrapText="1"/>
    </xf>
    <xf numFmtId="0" fontId="0" fillId="0" borderId="4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10" borderId="20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177" fontId="9" fillId="0" borderId="21" xfId="1" applyNumberFormat="1" applyFont="1" applyBorder="1" applyAlignment="1">
      <alignment horizontal="center" vertical="center" wrapText="1"/>
    </xf>
    <xf numFmtId="0" fontId="34" fillId="0" borderId="21" xfId="1" applyBorder="1" applyAlignment="1">
      <alignment horizontal="center" vertical="center" wrapText="1"/>
    </xf>
    <xf numFmtId="177" fontId="34" fillId="0" borderId="21" xfId="1" applyNumberFormat="1" applyBorder="1" applyAlignment="1">
      <alignment horizontal="center" vertical="center" wrapText="1"/>
    </xf>
    <xf numFmtId="0" fontId="2" fillId="4" borderId="21" xfId="1" applyFont="1" applyFill="1" applyBorder="1" applyAlignment="1">
      <alignment horizontal="center" vertical="center" wrapText="1"/>
    </xf>
    <xf numFmtId="0" fontId="27" fillId="0" borderId="21" xfId="1" applyFont="1" applyBorder="1" applyAlignment="1">
      <alignment horizontal="center" vertical="center" wrapText="1"/>
    </xf>
    <xf numFmtId="0" fontId="30" fillId="0" borderId="21" xfId="1" applyFont="1" applyBorder="1" applyAlignment="1">
      <alignment horizontal="center" vertical="center" wrapText="1"/>
    </xf>
    <xf numFmtId="0" fontId="28" fillId="0" borderId="55" xfId="1" applyFont="1" applyBorder="1" applyAlignment="1">
      <alignment horizontal="center" vertical="center" wrapText="1"/>
    </xf>
    <xf numFmtId="0" fontId="28" fillId="0" borderId="56" xfId="1" applyFont="1" applyBorder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28" fillId="0" borderId="57" xfId="1" applyFont="1" applyBorder="1" applyAlignment="1">
      <alignment horizontal="center" vertical="center" wrapText="1"/>
    </xf>
    <xf numFmtId="0" fontId="28" fillId="0" borderId="58" xfId="1" applyFont="1" applyBorder="1" applyAlignment="1">
      <alignment horizontal="center" vertical="center" wrapText="1"/>
    </xf>
    <xf numFmtId="0" fontId="28" fillId="0" borderId="59" xfId="1" applyFont="1" applyBorder="1" applyAlignment="1">
      <alignment horizontal="center" vertical="center" wrapText="1"/>
    </xf>
    <xf numFmtId="0" fontId="26" fillId="0" borderId="21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17" fillId="2" borderId="21" xfId="1" applyFont="1" applyFill="1" applyBorder="1" applyAlignment="1">
      <alignment horizontal="center" vertical="center" wrapText="1"/>
    </xf>
    <xf numFmtId="0" fontId="29" fillId="0" borderId="21" xfId="1" applyFont="1" applyBorder="1" applyAlignment="1">
      <alignment horizontal="center" vertical="center" wrapText="1"/>
    </xf>
    <xf numFmtId="0" fontId="34" fillId="0" borderId="74" xfId="1" applyBorder="1" applyAlignment="1">
      <alignment horizontal="center" vertical="center"/>
    </xf>
    <xf numFmtId="0" fontId="34" fillId="0" borderId="75" xfId="1" applyBorder="1" applyAlignment="1">
      <alignment horizontal="center" vertical="center"/>
    </xf>
    <xf numFmtId="0" fontId="34" fillId="0" borderId="77" xfId="1" applyBorder="1" applyAlignment="1">
      <alignment horizontal="center" vertical="center"/>
    </xf>
    <xf numFmtId="0" fontId="34" fillId="0" borderId="1" xfId="1" applyBorder="1" applyAlignment="1">
      <alignment horizontal="center" vertical="center"/>
    </xf>
    <xf numFmtId="0" fontId="34" fillId="0" borderId="78" xfId="1" applyBorder="1" applyAlignment="1">
      <alignment horizontal="center" vertical="center"/>
    </xf>
    <xf numFmtId="0" fontId="34" fillId="0" borderId="79" xfId="1" applyBorder="1" applyAlignment="1">
      <alignment horizontal="center" vertical="center"/>
    </xf>
    <xf numFmtId="0" fontId="34" fillId="0" borderId="0" xfId="1" applyAlignment="1">
      <alignment horizontal="center" vertical="center"/>
    </xf>
    <xf numFmtId="0" fontId="34" fillId="4" borderId="21" xfId="1" applyFill="1" applyBorder="1" applyAlignment="1">
      <alignment horizontal="center" vertical="center"/>
    </xf>
    <xf numFmtId="0" fontId="28" fillId="0" borderId="55" xfId="1" applyFont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58" xfId="1" applyFont="1" applyBorder="1" applyAlignment="1">
      <alignment horizontal="center" vertical="center"/>
    </xf>
    <xf numFmtId="177" fontId="36" fillId="0" borderId="21" xfId="1" applyNumberFormat="1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4" fillId="0" borderId="1" xfId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 shrinkToFit="1"/>
    </xf>
    <xf numFmtId="0" fontId="0" fillId="0" borderId="44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45" xfId="0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 wrapText="1" shrinkToFit="1"/>
    </xf>
    <xf numFmtId="0" fontId="0" fillId="0" borderId="16" xfId="0" applyBorder="1" applyAlignment="1">
      <alignment horizontal="center" vertical="center" wrapText="1" shrinkToFit="1"/>
    </xf>
    <xf numFmtId="0" fontId="0" fillId="4" borderId="18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81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0" fillId="2" borderId="82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54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34" fillId="0" borderId="43" xfId="1" applyBorder="1" applyAlignment="1">
      <alignment horizontal="center" vertical="center"/>
    </xf>
    <xf numFmtId="0" fontId="34" fillId="0" borderId="44" xfId="1" applyBorder="1" applyAlignment="1">
      <alignment horizontal="center" vertical="center"/>
    </xf>
    <xf numFmtId="0" fontId="34" fillId="0" borderId="26" xfId="1" applyBorder="1" applyAlignment="1">
      <alignment horizontal="center" vertical="center"/>
    </xf>
    <xf numFmtId="0" fontId="34" fillId="0" borderId="45" xfId="1" applyBorder="1" applyAlignment="1">
      <alignment horizontal="center" vertical="center"/>
    </xf>
    <xf numFmtId="0" fontId="34" fillId="0" borderId="17" xfId="1" applyBorder="1" applyAlignment="1">
      <alignment horizontal="center" vertical="center"/>
    </xf>
    <xf numFmtId="0" fontId="4" fillId="0" borderId="6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4" fillId="0" borderId="64" xfId="1" applyFont="1" applyBorder="1" applyAlignment="1">
      <alignment horizontal="center" vertical="center"/>
    </xf>
    <xf numFmtId="0" fontId="4" fillId="0" borderId="66" xfId="1" applyFont="1" applyBorder="1" applyAlignment="1">
      <alignment horizontal="center" vertical="center"/>
    </xf>
    <xf numFmtId="0" fontId="34" fillId="0" borderId="67" xfId="1" applyBorder="1" applyAlignment="1">
      <alignment horizontal="center" vertical="center"/>
    </xf>
    <xf numFmtId="0" fontId="34" fillId="0" borderId="68" xfId="1" applyBorder="1" applyAlignment="1">
      <alignment horizontal="center" vertical="center"/>
    </xf>
    <xf numFmtId="0" fontId="34" fillId="0" borderId="70" xfId="1" applyBorder="1" applyAlignment="1">
      <alignment horizontal="center" vertical="center"/>
    </xf>
    <xf numFmtId="0" fontId="34" fillId="0" borderId="71" xfId="1" applyBorder="1" applyAlignment="1">
      <alignment horizontal="center" vertical="center"/>
    </xf>
    <xf numFmtId="0" fontId="34" fillId="0" borderId="72" xfId="1" applyBorder="1" applyAlignment="1">
      <alignment horizontal="center" vertical="center"/>
    </xf>
    <xf numFmtId="0" fontId="34" fillId="0" borderId="18" xfId="1" applyBorder="1" applyAlignment="1">
      <alignment horizontal="center" vertical="center"/>
    </xf>
    <xf numFmtId="0" fontId="34" fillId="0" borderId="20" xfId="1" applyBorder="1" applyAlignment="1">
      <alignment horizontal="center" vertical="center"/>
    </xf>
    <xf numFmtId="0" fontId="2" fillId="0" borderId="21" xfId="1" applyFont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7" borderId="21" xfId="1" applyFont="1" applyFill="1" applyBorder="1" applyAlignment="1">
      <alignment horizontal="center" vertical="center" wrapText="1"/>
    </xf>
    <xf numFmtId="0" fontId="2" fillId="6" borderId="23" xfId="1" applyFont="1" applyFill="1" applyBorder="1" applyAlignment="1">
      <alignment horizontal="center" vertical="center" wrapText="1"/>
    </xf>
    <xf numFmtId="0" fontId="2" fillId="6" borderId="24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34" fillId="0" borderId="19" xfId="1" applyBorder="1" applyAlignment="1">
      <alignment horizontal="center" vertical="center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3</xdr:col>
      <xdr:colOff>397566</xdr:colOff>
      <xdr:row>38</xdr:row>
      <xdr:rowOff>57978</xdr:rowOff>
    </xdr:from>
    <xdr:ext cx="895438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B0735B-F6BD-20D8-83FB-632253DD16A5}"/>
            </a:ext>
          </a:extLst>
        </xdr:cNvPr>
        <xdr:cNvSpPr txBox="1"/>
      </xdr:nvSpPr>
      <xdr:spPr>
        <a:xfrm>
          <a:off x="2020957" y="8398565"/>
          <a:ext cx="89543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/>
            <a:t>194.4m</a:t>
          </a:r>
          <a:endParaRPr lang="ko-KR" altLang="en-US" sz="1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4</xdr:col>
      <xdr:colOff>217954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34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</sheetPr>
  <dimension ref="A1:R33"/>
  <sheetViews>
    <sheetView tabSelected="1"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R1" sqref="R1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29" t="s">
        <v>91</v>
      </c>
      <c r="B1" s="130"/>
      <c r="C1" s="130"/>
      <c r="D1" s="135" t="str">
        <f>R1</f>
        <v>26.07.20 씨에스하이테크_삼성물산_세방테크_판교641 PSM타워</v>
      </c>
      <c r="E1" s="136"/>
      <c r="F1" s="136"/>
      <c r="G1" s="137"/>
      <c r="R1" s="110" t="s">
        <v>134</v>
      </c>
    </row>
    <row r="2" spans="1:18" ht="12.75" customHeight="1">
      <c r="A2" s="131"/>
      <c r="B2" s="132"/>
      <c r="C2" s="132"/>
      <c r="D2" s="138"/>
      <c r="E2" s="138"/>
      <c r="F2" s="138"/>
      <c r="G2" s="139"/>
    </row>
    <row r="3" spans="1:18" ht="13.5" customHeight="1">
      <c r="A3" s="131"/>
      <c r="B3" s="132"/>
      <c r="C3" s="132"/>
      <c r="D3" s="138"/>
      <c r="E3" s="138"/>
      <c r="F3" s="138"/>
      <c r="G3" s="139"/>
    </row>
    <row r="4" spans="1:18" ht="17.25" customHeight="1" thickBot="1">
      <c r="A4" s="133"/>
      <c r="B4" s="134"/>
      <c r="C4" s="134"/>
      <c r="D4" s="140"/>
      <c r="E4" s="140"/>
      <c r="F4" s="140"/>
      <c r="G4" s="141"/>
    </row>
    <row r="5" spans="1:18" ht="6.75" customHeight="1">
      <c r="A5" s="99"/>
      <c r="B5" s="99"/>
      <c r="C5" s="99"/>
      <c r="D5" s="99"/>
      <c r="E5" s="99"/>
      <c r="F5" s="99"/>
      <c r="G5" s="99"/>
    </row>
    <row r="6" spans="1:18" s="10" customFormat="1" ht="18" customHeight="1" thickBot="1">
      <c r="A6" s="142" t="s">
        <v>5</v>
      </c>
      <c r="B6" s="145" t="s">
        <v>33</v>
      </c>
      <c r="C6" s="148" t="s">
        <v>27</v>
      </c>
      <c r="D6" s="148"/>
      <c r="E6" s="148" t="s">
        <v>83</v>
      </c>
      <c r="F6" s="145" t="s">
        <v>46</v>
      </c>
      <c r="G6" s="145" t="s">
        <v>6</v>
      </c>
      <c r="H6" s="9"/>
      <c r="I6" s="149" t="s">
        <v>56</v>
      </c>
      <c r="J6" s="149"/>
      <c r="K6" s="149"/>
      <c r="L6" s="149"/>
      <c r="M6" s="149"/>
      <c r="N6" s="149"/>
      <c r="O6" s="8"/>
    </row>
    <row r="7" spans="1:18" s="10" customFormat="1" ht="18" customHeight="1">
      <c r="A7" s="143"/>
      <c r="B7" s="146"/>
      <c r="C7" s="150" t="s">
        <v>29</v>
      </c>
      <c r="D7" s="145" t="s">
        <v>17</v>
      </c>
      <c r="E7" s="148"/>
      <c r="F7" s="146"/>
      <c r="G7" s="146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44"/>
      <c r="B8" s="147"/>
      <c r="C8" s="151"/>
      <c r="D8" s="147"/>
      <c r="E8" s="148"/>
      <c r="F8" s="147"/>
      <c r="G8" s="147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12" t="s">
        <v>104</v>
      </c>
      <c r="B9" s="40" t="s">
        <v>2</v>
      </c>
      <c r="C9" s="34">
        <v>600</v>
      </c>
      <c r="D9" s="34">
        <v>400</v>
      </c>
      <c r="E9" s="13"/>
      <c r="F9" s="14"/>
      <c r="G9" s="14"/>
      <c r="H9" s="15"/>
      <c r="I9" s="152"/>
      <c r="J9" s="154"/>
      <c r="K9" s="16"/>
      <c r="L9" s="17"/>
      <c r="M9" s="18"/>
      <c r="N9" s="154"/>
      <c r="O9" s="8"/>
      <c r="Q9" s="10" t="s">
        <v>135</v>
      </c>
    </row>
    <row r="10" spans="1:18" s="10" customFormat="1" ht="18" customHeight="1" thickBot="1">
      <c r="A10" s="112" t="s">
        <v>105</v>
      </c>
      <c r="B10" s="40" t="s">
        <v>2</v>
      </c>
      <c r="C10" s="34">
        <v>600</v>
      </c>
      <c r="D10" s="34">
        <v>400</v>
      </c>
      <c r="E10" s="14"/>
      <c r="F10" s="14"/>
      <c r="G10" s="14"/>
      <c r="H10" s="15"/>
      <c r="I10" s="152"/>
      <c r="J10" s="154"/>
      <c r="K10" s="16"/>
      <c r="L10" s="17"/>
      <c r="M10" s="18"/>
      <c r="N10" s="154"/>
      <c r="O10" s="8"/>
      <c r="Q10" s="10" t="s">
        <v>136</v>
      </c>
    </row>
    <row r="11" spans="1:18" s="10" customFormat="1" ht="18" customHeight="1" thickBot="1">
      <c r="A11" s="112" t="s">
        <v>106</v>
      </c>
      <c r="B11" s="40" t="s">
        <v>2</v>
      </c>
      <c r="C11" s="34">
        <v>600</v>
      </c>
      <c r="D11" s="34">
        <v>400</v>
      </c>
      <c r="E11" s="13"/>
      <c r="F11" s="14"/>
      <c r="G11" s="14"/>
      <c r="H11" s="15"/>
      <c r="I11" s="152"/>
      <c r="J11" s="154"/>
      <c r="K11" s="16"/>
      <c r="L11" s="17"/>
      <c r="M11" s="18"/>
      <c r="N11" s="154"/>
      <c r="O11" s="8"/>
      <c r="Q11" s="10" t="s">
        <v>137</v>
      </c>
    </row>
    <row r="12" spans="1:18" s="10" customFormat="1" ht="18" customHeight="1" thickBot="1">
      <c r="A12" s="112" t="s">
        <v>107</v>
      </c>
      <c r="B12" s="40" t="s">
        <v>2</v>
      </c>
      <c r="C12" s="34">
        <v>700</v>
      </c>
      <c r="D12" s="34">
        <v>450</v>
      </c>
      <c r="E12" s="13"/>
      <c r="F12" s="14"/>
      <c r="G12" s="14"/>
      <c r="H12" s="15"/>
      <c r="I12" s="152"/>
      <c r="J12" s="154"/>
      <c r="K12" s="16"/>
      <c r="L12" s="17"/>
      <c r="M12" s="18"/>
      <c r="N12" s="154"/>
      <c r="O12" s="8"/>
      <c r="Q12" s="10" t="s">
        <v>138</v>
      </c>
    </row>
    <row r="13" spans="1:18" s="10" customFormat="1" ht="18" customHeight="1" thickBot="1">
      <c r="A13" s="112" t="s">
        <v>108</v>
      </c>
      <c r="B13" s="40" t="s">
        <v>2</v>
      </c>
      <c r="C13" s="34">
        <v>700</v>
      </c>
      <c r="D13" s="34">
        <v>450</v>
      </c>
      <c r="E13" s="13"/>
      <c r="F13" s="14"/>
      <c r="G13" s="14"/>
      <c r="H13" s="15"/>
      <c r="I13" s="152"/>
      <c r="J13" s="154"/>
      <c r="K13" s="16"/>
      <c r="L13" s="17"/>
      <c r="M13" s="18"/>
      <c r="N13" s="154"/>
      <c r="O13" s="8"/>
      <c r="Q13" s="10" t="s">
        <v>139</v>
      </c>
    </row>
    <row r="14" spans="1:18" s="10" customFormat="1" ht="18" customHeight="1">
      <c r="A14" s="112" t="s">
        <v>109</v>
      </c>
      <c r="B14" s="40" t="s">
        <v>2</v>
      </c>
      <c r="C14" s="34">
        <v>700</v>
      </c>
      <c r="D14" s="34">
        <v>450</v>
      </c>
      <c r="E14" s="13"/>
      <c r="F14" s="14"/>
      <c r="G14" s="14"/>
      <c r="H14" s="15"/>
      <c r="I14" s="153"/>
      <c r="J14" s="155"/>
      <c r="K14" s="16"/>
      <c r="L14" s="17"/>
      <c r="M14" s="18"/>
      <c r="N14" s="155"/>
      <c r="O14" s="8"/>
      <c r="Q14" s="10" t="s">
        <v>140</v>
      </c>
    </row>
    <row r="15" spans="1:18" s="10" customFormat="1" ht="18" customHeight="1">
      <c r="A15" s="112" t="s">
        <v>110</v>
      </c>
      <c r="B15" s="40" t="s">
        <v>2</v>
      </c>
      <c r="C15" s="34">
        <v>700</v>
      </c>
      <c r="D15" s="34">
        <v>450</v>
      </c>
      <c r="E15" s="24"/>
      <c r="F15" s="14"/>
      <c r="G15" s="14"/>
      <c r="H15" s="20"/>
      <c r="I15" s="21"/>
      <c r="J15" s="21"/>
      <c r="K15" s="21"/>
      <c r="L15" s="22"/>
      <c r="M15" s="21"/>
      <c r="N15" s="21"/>
      <c r="O15" s="21"/>
      <c r="P15" s="23"/>
      <c r="Q15" s="10" t="s">
        <v>141</v>
      </c>
    </row>
    <row r="16" spans="1:18" s="10" customFormat="1" ht="18" customHeight="1" thickBot="1">
      <c r="A16" s="112" t="s">
        <v>111</v>
      </c>
      <c r="B16" s="40" t="s">
        <v>2</v>
      </c>
      <c r="C16" s="34">
        <v>700</v>
      </c>
      <c r="D16" s="34">
        <v>450</v>
      </c>
      <c r="E16" s="13"/>
      <c r="F16" s="14"/>
      <c r="G16" s="14"/>
      <c r="H16" s="15"/>
      <c r="I16" s="19"/>
      <c r="J16" s="19"/>
      <c r="K16" s="19"/>
      <c r="L16" s="8"/>
      <c r="M16" s="19"/>
      <c r="N16" s="19"/>
      <c r="O16" s="19"/>
      <c r="Q16" s="10" t="s">
        <v>142</v>
      </c>
    </row>
    <row r="17" spans="1:17" s="10" customFormat="1" ht="18" customHeight="1" thickBot="1">
      <c r="A17" s="112" t="s">
        <v>112</v>
      </c>
      <c r="B17" s="40" t="s">
        <v>2</v>
      </c>
      <c r="C17" s="34">
        <v>850</v>
      </c>
      <c r="D17" s="34">
        <v>600</v>
      </c>
      <c r="E17" s="13"/>
      <c r="F17" s="14"/>
      <c r="G17" s="14"/>
      <c r="H17" s="15"/>
      <c r="I17" s="156"/>
      <c r="J17" s="157"/>
      <c r="K17" s="16"/>
      <c r="L17" s="17"/>
      <c r="M17" s="18"/>
      <c r="N17" s="157"/>
      <c r="O17" s="8"/>
      <c r="Q17" s="10" t="s">
        <v>143</v>
      </c>
    </row>
    <row r="18" spans="1:17" s="10" customFormat="1" ht="18" customHeight="1" thickBot="1">
      <c r="A18" s="112" t="s">
        <v>113</v>
      </c>
      <c r="B18" s="40" t="s">
        <v>2</v>
      </c>
      <c r="C18" s="33">
        <v>850</v>
      </c>
      <c r="D18" s="34">
        <v>600</v>
      </c>
      <c r="E18" s="14"/>
      <c r="F18" s="14"/>
      <c r="G18" s="14"/>
      <c r="H18" s="15"/>
      <c r="I18" s="152"/>
      <c r="J18" s="154"/>
      <c r="K18" s="16"/>
      <c r="L18" s="17"/>
      <c r="M18" s="18"/>
      <c r="N18" s="154"/>
      <c r="O18" s="8"/>
      <c r="Q18" s="10" t="s">
        <v>144</v>
      </c>
    </row>
    <row r="19" spans="1:17" s="10" customFormat="1" ht="18" customHeight="1">
      <c r="A19" s="112" t="s">
        <v>114</v>
      </c>
      <c r="B19" s="40" t="s">
        <v>2</v>
      </c>
      <c r="C19" s="33">
        <v>850</v>
      </c>
      <c r="D19" s="34">
        <v>600</v>
      </c>
      <c r="E19" s="13"/>
      <c r="F19" s="14"/>
      <c r="G19" s="14"/>
      <c r="H19" s="15"/>
      <c r="I19" s="152"/>
      <c r="J19" s="154"/>
      <c r="K19" s="16"/>
      <c r="L19" s="17"/>
      <c r="M19" s="18"/>
      <c r="N19" s="154"/>
      <c r="O19" s="8"/>
      <c r="Q19" s="10" t="s">
        <v>145</v>
      </c>
    </row>
    <row r="20" spans="1:17" s="10" customFormat="1" ht="18" customHeight="1">
      <c r="A20" s="112" t="s">
        <v>115</v>
      </c>
      <c r="B20" s="40" t="s">
        <v>2</v>
      </c>
      <c r="C20" s="33">
        <v>850</v>
      </c>
      <c r="D20" s="34">
        <v>600</v>
      </c>
      <c r="E20" s="13"/>
      <c r="F20" s="14"/>
      <c r="G20" s="14"/>
      <c r="H20" s="15"/>
      <c r="I20" s="152"/>
      <c r="J20" s="154"/>
      <c r="K20" s="16"/>
      <c r="L20" s="17"/>
      <c r="M20" s="18"/>
      <c r="N20" s="154"/>
      <c r="O20" s="8"/>
      <c r="Q20" s="10" t="s">
        <v>146</v>
      </c>
    </row>
    <row r="21" spans="1:17" s="10" customFormat="1" ht="18" customHeight="1">
      <c r="A21" s="112" t="s">
        <v>116</v>
      </c>
      <c r="B21" s="40" t="s">
        <v>2</v>
      </c>
      <c r="C21" s="33">
        <v>850</v>
      </c>
      <c r="D21" s="34">
        <v>600</v>
      </c>
      <c r="E21" s="13"/>
      <c r="F21" s="14"/>
      <c r="G21" s="14"/>
      <c r="H21" s="15"/>
      <c r="I21" s="152"/>
      <c r="J21" s="154"/>
      <c r="K21" s="16"/>
      <c r="L21" s="17"/>
      <c r="M21" s="18"/>
      <c r="N21" s="154"/>
      <c r="O21" s="8"/>
      <c r="Q21" s="10" t="s">
        <v>147</v>
      </c>
    </row>
    <row r="22" spans="1:17" s="10" customFormat="1" ht="18" customHeight="1">
      <c r="A22" s="112" t="s">
        <v>117</v>
      </c>
      <c r="B22" s="40" t="s">
        <v>2</v>
      </c>
      <c r="C22" s="33">
        <v>900</v>
      </c>
      <c r="D22" s="34">
        <v>600</v>
      </c>
      <c r="E22" s="13"/>
      <c r="F22" s="14"/>
      <c r="G22" s="14"/>
      <c r="H22" s="15"/>
      <c r="I22" s="153"/>
      <c r="J22" s="155"/>
      <c r="K22" s="16"/>
      <c r="L22" s="17"/>
      <c r="M22" s="18"/>
      <c r="N22" s="155"/>
      <c r="O22" s="8"/>
      <c r="Q22" s="10" t="s">
        <v>148</v>
      </c>
    </row>
    <row r="23" spans="1:17" s="10" customFormat="1" ht="18" customHeight="1">
      <c r="A23" s="112" t="s">
        <v>118</v>
      </c>
      <c r="B23" s="40" t="s">
        <v>2</v>
      </c>
      <c r="C23" s="33">
        <v>900</v>
      </c>
      <c r="D23" s="34">
        <v>600</v>
      </c>
      <c r="E23" s="24"/>
      <c r="F23" s="14"/>
      <c r="G23" s="14"/>
      <c r="H23" s="20"/>
      <c r="I23" s="21"/>
      <c r="J23" s="21"/>
      <c r="K23" s="21"/>
      <c r="L23" s="22"/>
      <c r="M23" s="21"/>
      <c r="N23" s="21"/>
      <c r="O23" s="21"/>
      <c r="P23" s="23"/>
      <c r="Q23" s="10" t="s">
        <v>149</v>
      </c>
    </row>
    <row r="24" spans="1:17" s="10" customFormat="1" ht="18" customHeight="1">
      <c r="A24" s="112" t="s">
        <v>119</v>
      </c>
      <c r="B24" s="40" t="s">
        <v>2</v>
      </c>
      <c r="C24" s="33">
        <v>900</v>
      </c>
      <c r="D24" s="34">
        <v>600</v>
      </c>
      <c r="E24" s="13"/>
      <c r="F24" s="14"/>
      <c r="G24" s="14"/>
      <c r="H24" s="15"/>
      <c r="I24" s="19"/>
      <c r="J24" s="19"/>
      <c r="K24" s="19"/>
      <c r="L24" s="8"/>
      <c r="M24" s="19"/>
      <c r="N24" s="19"/>
      <c r="O24" s="19"/>
      <c r="Q24" s="10" t="s">
        <v>150</v>
      </c>
    </row>
    <row r="25" spans="1:17" s="10" customFormat="1" ht="18" customHeight="1">
      <c r="A25" s="112" t="s">
        <v>120</v>
      </c>
      <c r="B25" s="40" t="s">
        <v>2</v>
      </c>
      <c r="C25" s="33">
        <v>900</v>
      </c>
      <c r="D25" s="34">
        <v>600</v>
      </c>
      <c r="E25" s="13"/>
      <c r="F25" s="14"/>
      <c r="G25" s="14"/>
      <c r="H25" s="15"/>
      <c r="I25" s="156"/>
      <c r="J25" s="157"/>
      <c r="K25" s="16"/>
      <c r="L25" s="17"/>
      <c r="M25" s="18"/>
      <c r="N25" s="157"/>
      <c r="O25" s="8"/>
      <c r="Q25" s="10" t="s">
        <v>151</v>
      </c>
    </row>
    <row r="26" spans="1:17" s="10" customFormat="1" ht="18" customHeight="1">
      <c r="A26" s="112" t="s">
        <v>121</v>
      </c>
      <c r="B26" s="40" t="s">
        <v>2</v>
      </c>
      <c r="C26" s="33">
        <v>900</v>
      </c>
      <c r="D26" s="34">
        <v>600</v>
      </c>
      <c r="E26" s="14"/>
      <c r="F26" s="14"/>
      <c r="G26" s="14"/>
      <c r="H26" s="15"/>
      <c r="I26" s="152"/>
      <c r="J26" s="154"/>
      <c r="K26" s="16"/>
      <c r="L26" s="17"/>
      <c r="M26" s="18"/>
      <c r="N26" s="154"/>
      <c r="O26" s="8"/>
      <c r="Q26" s="10" t="s">
        <v>152</v>
      </c>
    </row>
    <row r="27" spans="1:17" s="10" customFormat="1" ht="18" customHeight="1" thickBot="1">
      <c r="A27" s="112" t="s">
        <v>122</v>
      </c>
      <c r="B27" s="40" t="s">
        <v>2</v>
      </c>
      <c r="C27" s="33">
        <v>900</v>
      </c>
      <c r="D27" s="34">
        <v>600</v>
      </c>
      <c r="E27" s="13"/>
      <c r="F27" s="14"/>
      <c r="G27" s="14"/>
      <c r="H27" s="15"/>
      <c r="I27" s="152"/>
      <c r="J27" s="154"/>
      <c r="K27" s="16"/>
      <c r="L27" s="17"/>
      <c r="M27" s="18"/>
      <c r="N27" s="154"/>
      <c r="O27" s="8"/>
      <c r="Q27" s="10" t="s">
        <v>153</v>
      </c>
    </row>
    <row r="28" spans="1:17" s="10" customFormat="1" ht="18" customHeight="1" thickBot="1">
      <c r="A28" s="112" t="s">
        <v>123</v>
      </c>
      <c r="B28" s="25" t="s">
        <v>0</v>
      </c>
      <c r="C28" s="33">
        <v>1100</v>
      </c>
      <c r="D28" s="34">
        <v>700</v>
      </c>
      <c r="E28" s="13"/>
      <c r="F28" s="14"/>
      <c r="G28" s="14"/>
      <c r="H28" s="15"/>
      <c r="I28" s="152"/>
      <c r="J28" s="154"/>
      <c r="K28" s="16"/>
      <c r="L28" s="17"/>
      <c r="M28" s="18"/>
      <c r="N28" s="154"/>
      <c r="O28" s="8"/>
      <c r="Q28" s="10" t="s">
        <v>154</v>
      </c>
    </row>
    <row r="29" spans="1:17" s="10" customFormat="1" ht="18" customHeight="1">
      <c r="A29" s="112" t="s">
        <v>124</v>
      </c>
      <c r="B29" s="25" t="s">
        <v>0</v>
      </c>
      <c r="C29" s="33">
        <v>1100</v>
      </c>
      <c r="D29" s="34">
        <v>700</v>
      </c>
      <c r="E29" s="14"/>
      <c r="F29" s="14"/>
      <c r="G29" s="14"/>
      <c r="H29" s="15"/>
      <c r="I29" s="152"/>
      <c r="J29" s="154"/>
      <c r="K29" s="16"/>
      <c r="L29" s="17"/>
      <c r="M29" s="18"/>
      <c r="N29" s="154"/>
      <c r="O29" s="8"/>
      <c r="Q29" s="10" t="s">
        <v>155</v>
      </c>
    </row>
    <row r="30" spans="1:17" s="10" customFormat="1" ht="18" customHeight="1">
      <c r="A30" s="112" t="s">
        <v>125</v>
      </c>
      <c r="B30" s="25" t="s">
        <v>0</v>
      </c>
      <c r="C30" s="33">
        <v>1100</v>
      </c>
      <c r="D30" s="34">
        <v>700</v>
      </c>
      <c r="E30" s="13"/>
      <c r="F30" s="14"/>
      <c r="G30" s="14"/>
      <c r="H30" s="15"/>
      <c r="I30" s="152"/>
      <c r="J30" s="154"/>
      <c r="K30" s="16"/>
      <c r="L30" s="17"/>
      <c r="M30" s="18"/>
      <c r="N30" s="154"/>
      <c r="O30" s="8"/>
      <c r="Q30" s="10" t="s">
        <v>156</v>
      </c>
    </row>
    <row r="31" spans="1:17" s="10" customFormat="1" ht="18" customHeight="1">
      <c r="A31" s="112" t="s">
        <v>126</v>
      </c>
      <c r="B31" s="25" t="s">
        <v>0</v>
      </c>
      <c r="C31" s="33">
        <v>1100</v>
      </c>
      <c r="D31" s="34">
        <v>700</v>
      </c>
      <c r="E31" s="13"/>
      <c r="F31" s="14"/>
      <c r="G31" s="14"/>
      <c r="H31" s="15"/>
      <c r="I31" s="152"/>
      <c r="J31" s="154"/>
      <c r="K31" s="16"/>
      <c r="L31" s="17"/>
      <c r="M31" s="18"/>
      <c r="N31" s="154"/>
      <c r="O31" s="8"/>
      <c r="Q31" s="10" t="s">
        <v>157</v>
      </c>
    </row>
    <row r="32" spans="1:17" s="10" customFormat="1" ht="18" customHeight="1">
      <c r="A32" s="112" t="s">
        <v>127</v>
      </c>
      <c r="B32" s="25" t="s">
        <v>0</v>
      </c>
      <c r="C32" s="33">
        <v>1100</v>
      </c>
      <c r="D32" s="34">
        <v>700</v>
      </c>
      <c r="E32" s="13"/>
      <c r="F32" s="14"/>
      <c r="G32" s="14"/>
      <c r="H32" s="15"/>
      <c r="I32" s="152"/>
      <c r="J32" s="154"/>
      <c r="K32" s="16"/>
      <c r="L32" s="17"/>
      <c r="M32" s="18"/>
      <c r="N32" s="154"/>
      <c r="O32" s="8"/>
      <c r="Q32" s="10" t="s">
        <v>158</v>
      </c>
    </row>
    <row r="33" spans="1:17" s="10" customFormat="1" ht="18" customHeight="1">
      <c r="A33" s="112" t="s">
        <v>128</v>
      </c>
      <c r="B33" s="25" t="s">
        <v>0</v>
      </c>
      <c r="C33" s="33">
        <v>1100</v>
      </c>
      <c r="D33" s="34">
        <v>700</v>
      </c>
      <c r="E33" s="13"/>
      <c r="F33" s="14"/>
      <c r="G33" s="14"/>
      <c r="H33" s="15"/>
      <c r="I33" s="153"/>
      <c r="J33" s="155"/>
      <c r="K33" s="16"/>
      <c r="L33" s="17"/>
      <c r="M33" s="18"/>
      <c r="N33" s="155"/>
      <c r="O33" s="8"/>
      <c r="Q33" s="10" t="s">
        <v>159</v>
      </c>
    </row>
  </sheetData>
  <mergeCells count="23">
    <mergeCell ref="I28:I33"/>
    <mergeCell ref="J28:J33"/>
    <mergeCell ref="N28:N33"/>
    <mergeCell ref="I17:I22"/>
    <mergeCell ref="J17:J22"/>
    <mergeCell ref="N17:N22"/>
    <mergeCell ref="I25:I27"/>
    <mergeCell ref="J25:J27"/>
    <mergeCell ref="N25:N27"/>
    <mergeCell ref="I6:N6"/>
    <mergeCell ref="C7:C8"/>
    <mergeCell ref="D7:D8"/>
    <mergeCell ref="I9:I14"/>
    <mergeCell ref="J9:J14"/>
    <mergeCell ref="N9:N14"/>
    <mergeCell ref="A1:C4"/>
    <mergeCell ref="D1:G4"/>
    <mergeCell ref="A6:A8"/>
    <mergeCell ref="B6:B8"/>
    <mergeCell ref="C6:D6"/>
    <mergeCell ref="E6:E8"/>
    <mergeCell ref="F6:F8"/>
    <mergeCell ref="G6:G8"/>
  </mergeCells>
  <phoneticPr fontId="35" type="noConversion"/>
  <pageMargins left="0.2361111044883728" right="0.2361111044883728" top="0.74791663885116577" bottom="0.74791663885116577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40"/>
  <sheetViews>
    <sheetView topLeftCell="A2" zoomScale="115" zoomScaleNormal="115" zoomScaleSheetLayoutView="115" workbookViewId="0">
      <pane ySplit="6" topLeftCell="A8" activePane="bottomLeft" state="frozen"/>
      <selection pane="bottomLeft" activeCell="AN28" sqref="AN28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66"/>
      <c r="B1" s="167"/>
      <c r="C1" s="167"/>
      <c r="D1" s="167"/>
      <c r="E1" s="101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3"/>
    </row>
    <row r="2" spans="1:37" ht="38.25" customHeight="1">
      <c r="A2" s="168"/>
      <c r="B2" s="169"/>
      <c r="C2" s="169"/>
      <c r="D2" s="169"/>
      <c r="E2" s="100"/>
      <c r="F2" s="183" t="s">
        <v>84</v>
      </c>
      <c r="G2" s="184"/>
      <c r="H2" s="184"/>
      <c r="I2" s="184"/>
      <c r="J2" s="187" t="str">
        <f>'1. 소켓인수검사'!R1</f>
        <v>26.07.20 씨에스하이테크_삼성물산_세방테크_판교641 PSM타워</v>
      </c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8"/>
    </row>
    <row r="3" spans="1:37" ht="38.25" customHeight="1" thickBot="1">
      <c r="A3" s="170"/>
      <c r="B3" s="171"/>
      <c r="C3" s="171"/>
      <c r="D3" s="171"/>
      <c r="E3" s="104"/>
      <c r="F3" s="185"/>
      <c r="G3" s="186"/>
      <c r="H3" s="186"/>
      <c r="I3" s="186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90"/>
    </row>
    <row r="4" spans="1:37" ht="8.1" customHeight="1">
      <c r="A4" s="172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86"/>
    </row>
    <row r="5" spans="1:37" s="32" customFormat="1" ht="26.45" customHeight="1">
      <c r="A5" s="174" t="s">
        <v>28</v>
      </c>
      <c r="B5" s="176" t="s">
        <v>33</v>
      </c>
      <c r="C5" s="178" t="s">
        <v>27</v>
      </c>
      <c r="D5" s="178"/>
      <c r="E5" s="178" t="s">
        <v>44</v>
      </c>
      <c r="F5" s="180" t="s">
        <v>49</v>
      </c>
      <c r="G5" s="181"/>
      <c r="H5" s="181"/>
      <c r="I5" s="181"/>
      <c r="J5" s="181"/>
      <c r="K5" s="181"/>
      <c r="L5" s="181"/>
      <c r="M5" s="181"/>
      <c r="N5" s="181"/>
      <c r="O5" s="181"/>
      <c r="P5" s="182"/>
      <c r="Q5" s="178" t="s">
        <v>1</v>
      </c>
      <c r="R5" s="178"/>
      <c r="S5" s="178"/>
      <c r="T5" s="178"/>
      <c r="U5" s="178"/>
      <c r="V5" s="178"/>
      <c r="W5" s="178"/>
      <c r="X5" s="178"/>
      <c r="Y5" s="178"/>
      <c r="Z5" s="178"/>
      <c r="AA5" s="203" t="s">
        <v>6</v>
      </c>
      <c r="AB5" s="32">
        <v>15</v>
      </c>
      <c r="AC5" s="32">
        <v>50</v>
      </c>
    </row>
    <row r="6" spans="1:37" s="32" customFormat="1" ht="16.5" customHeight="1">
      <c r="A6" s="175"/>
      <c r="B6" s="177"/>
      <c r="C6" s="179" t="s">
        <v>29</v>
      </c>
      <c r="D6" s="179" t="s">
        <v>17</v>
      </c>
      <c r="E6" s="179"/>
      <c r="F6" s="160" t="s">
        <v>131</v>
      </c>
      <c r="G6" s="160"/>
      <c r="H6" s="160"/>
      <c r="I6" s="160" t="s">
        <v>132</v>
      </c>
      <c r="J6" s="160"/>
      <c r="K6" s="160"/>
      <c r="L6" s="160"/>
      <c r="M6" s="160" t="s">
        <v>133</v>
      </c>
      <c r="N6" s="160"/>
      <c r="O6" s="160"/>
      <c r="P6" s="160"/>
      <c r="Q6" s="160" t="s">
        <v>74</v>
      </c>
      <c r="R6" s="160"/>
      <c r="S6" s="160"/>
      <c r="T6" s="160"/>
      <c r="U6" s="160" t="s">
        <v>75</v>
      </c>
      <c r="V6" s="160"/>
      <c r="W6" s="160"/>
      <c r="X6" s="160"/>
      <c r="Y6" s="160"/>
      <c r="Z6" s="160"/>
      <c r="AA6" s="204"/>
      <c r="AG6" s="115" t="s">
        <v>103</v>
      </c>
      <c r="AK6" s="116" t="s">
        <v>102</v>
      </c>
    </row>
    <row r="7" spans="1:37" s="32" customFormat="1" ht="16.5" customHeight="1">
      <c r="A7" s="175"/>
      <c r="B7" s="177"/>
      <c r="C7" s="179"/>
      <c r="D7" s="179"/>
      <c r="E7" s="179"/>
      <c r="F7" s="90" t="s">
        <v>21</v>
      </c>
      <c r="G7" s="90" t="s">
        <v>27</v>
      </c>
      <c r="H7" s="90" t="s">
        <v>37</v>
      </c>
      <c r="I7" s="90" t="s">
        <v>21</v>
      </c>
      <c r="J7" s="161" t="s">
        <v>27</v>
      </c>
      <c r="K7" s="162"/>
      <c r="L7" s="90" t="s">
        <v>37</v>
      </c>
      <c r="M7" s="90" t="s">
        <v>21</v>
      </c>
      <c r="N7" s="161" t="s">
        <v>130</v>
      </c>
      <c r="O7" s="162"/>
      <c r="P7" s="90" t="s">
        <v>37</v>
      </c>
      <c r="Q7" s="90" t="s">
        <v>32</v>
      </c>
      <c r="R7" s="90" t="s">
        <v>21</v>
      </c>
      <c r="S7" s="90" t="s">
        <v>27</v>
      </c>
      <c r="T7" s="90" t="s">
        <v>37</v>
      </c>
      <c r="U7" s="90" t="s">
        <v>32</v>
      </c>
      <c r="V7" s="90" t="s">
        <v>21</v>
      </c>
      <c r="W7" s="160" t="s">
        <v>27</v>
      </c>
      <c r="X7" s="160"/>
      <c r="Y7" s="160"/>
      <c r="Z7" s="90" t="s">
        <v>37</v>
      </c>
      <c r="AA7" s="204"/>
      <c r="AB7" s="32" t="s">
        <v>92</v>
      </c>
      <c r="AC7" s="32" t="s">
        <v>93</v>
      </c>
      <c r="AD7" s="32" t="s">
        <v>94</v>
      </c>
      <c r="AE7" s="32" t="s">
        <v>95</v>
      </c>
      <c r="AF7" s="32" t="s">
        <v>96</v>
      </c>
      <c r="AG7" s="32" t="s">
        <v>97</v>
      </c>
      <c r="AH7" s="32" t="s">
        <v>98</v>
      </c>
      <c r="AI7" s="32" t="s">
        <v>99</v>
      </c>
      <c r="AJ7" s="32" t="s">
        <v>100</v>
      </c>
      <c r="AK7" s="32" t="s">
        <v>101</v>
      </c>
    </row>
    <row r="8" spans="1:37">
      <c r="A8" s="43" t="str">
        <f>'1. 소켓인수검사'!A9</f>
        <v>01</v>
      </c>
      <c r="B8" s="57" t="s">
        <v>2</v>
      </c>
      <c r="C8" s="47">
        <f>'1. 소켓인수검사'!C9</f>
        <v>600</v>
      </c>
      <c r="D8" s="47">
        <f>'1. 소켓인수검사'!D9</f>
        <v>400</v>
      </c>
      <c r="E8" s="45"/>
      <c r="F8" s="163">
        <f>255</f>
        <v>255</v>
      </c>
      <c r="G8" s="46">
        <f>C8-5</f>
        <v>595</v>
      </c>
      <c r="H8" s="47">
        <f>3*2</f>
        <v>6</v>
      </c>
      <c r="I8" s="163">
        <v>255</v>
      </c>
      <c r="J8" s="164"/>
      <c r="K8" s="165"/>
      <c r="L8" s="47"/>
      <c r="M8" s="163">
        <v>255</v>
      </c>
      <c r="N8" s="164">
        <f>D8-35</f>
        <v>365</v>
      </c>
      <c r="O8" s="165"/>
      <c r="P8" s="47">
        <v>2</v>
      </c>
      <c r="Q8" s="197" t="s">
        <v>11</v>
      </c>
      <c r="R8" s="199">
        <v>185</v>
      </c>
      <c r="S8" s="201">
        <v>1000</v>
      </c>
      <c r="T8" s="47">
        <f>+AK8*2</f>
        <v>6</v>
      </c>
      <c r="U8" s="197" t="s">
        <v>11</v>
      </c>
      <c r="V8" s="199">
        <v>125</v>
      </c>
      <c r="W8" s="191">
        <v>1000</v>
      </c>
      <c r="X8" s="192"/>
      <c r="Y8" s="193"/>
      <c r="Z8" s="47">
        <f>+AG8</f>
        <v>3</v>
      </c>
      <c r="AA8" s="53"/>
      <c r="AB8">
        <f xml:space="preserve"> C8+$AC$5*2</f>
        <v>700</v>
      </c>
      <c r="AC8">
        <f xml:space="preserve"> D8+$AC$5*2</f>
        <v>500</v>
      </c>
      <c r="AD8">
        <f>(AB8+AC8)*2</f>
        <v>2400</v>
      </c>
      <c r="AE8">
        <f>AD8/1000</f>
        <v>2.4</v>
      </c>
      <c r="AF8" s="113">
        <f>AE8*(1+$AB$5/100)</f>
        <v>2.76</v>
      </c>
      <c r="AG8" s="114">
        <f>CEILING(AF8,1)</f>
        <v>3</v>
      </c>
      <c r="AH8">
        <f>D8*2+AB8*2</f>
        <v>2200</v>
      </c>
      <c r="AI8">
        <f>AH8/1000</f>
        <v>2.2000000000000002</v>
      </c>
      <c r="AJ8" s="113">
        <f>AI8*(1+$AB$5/100)</f>
        <v>2.5299999999999998</v>
      </c>
      <c r="AK8" s="117">
        <f>CEILING(AJ8,1)</f>
        <v>3</v>
      </c>
    </row>
    <row r="9" spans="1:37">
      <c r="A9" s="43" t="str">
        <f>'1. 소켓인수검사'!A10</f>
        <v>02</v>
      </c>
      <c r="B9" s="57" t="s">
        <v>2</v>
      </c>
      <c r="C9" s="47">
        <f>'1. 소켓인수검사'!C10</f>
        <v>600</v>
      </c>
      <c r="D9" s="47">
        <f>'1. 소켓인수검사'!D10</f>
        <v>400</v>
      </c>
      <c r="E9" s="45"/>
      <c r="F9" s="163"/>
      <c r="G9" s="46">
        <f t="shared" ref="G9:G26" si="0">C9-5</f>
        <v>595</v>
      </c>
      <c r="H9" s="47">
        <f t="shared" ref="H9:H26" si="1">3*2</f>
        <v>6</v>
      </c>
      <c r="I9" s="163"/>
      <c r="J9" s="164"/>
      <c r="K9" s="165"/>
      <c r="L9" s="47"/>
      <c r="M9" s="163"/>
      <c r="N9" s="164">
        <f t="shared" ref="N9:N26" si="2">D9-35</f>
        <v>365</v>
      </c>
      <c r="O9" s="165"/>
      <c r="P9" s="47">
        <v>2</v>
      </c>
      <c r="Q9" s="198"/>
      <c r="R9" s="200"/>
      <c r="S9" s="202"/>
      <c r="T9" s="47">
        <f t="shared" ref="T9:T31" si="3">+AK9*2</f>
        <v>6</v>
      </c>
      <c r="U9" s="198"/>
      <c r="V9" s="200"/>
      <c r="W9" s="194"/>
      <c r="X9" s="195"/>
      <c r="Y9" s="196"/>
      <c r="Z9" s="47">
        <f t="shared" ref="Z9:Z31" si="4">+AG9</f>
        <v>3</v>
      </c>
      <c r="AA9" s="53"/>
      <c r="AB9">
        <f t="shared" ref="AB9:AB31" si="5" xml:space="preserve"> C9+$AC$5*2</f>
        <v>700</v>
      </c>
      <c r="AC9">
        <f t="shared" ref="AC9:AC31" si="6" xml:space="preserve"> D9+$AC$5*2</f>
        <v>500</v>
      </c>
      <c r="AD9">
        <f t="shared" ref="AD9:AD31" si="7">(AB9+AC9)*2</f>
        <v>2400</v>
      </c>
      <c r="AE9">
        <f t="shared" ref="AE9:AE31" si="8">AD9/1000</f>
        <v>2.4</v>
      </c>
      <c r="AF9" s="113">
        <f t="shared" ref="AF9:AF31" si="9">AE9*(1+$AB$5/100)</f>
        <v>2.76</v>
      </c>
      <c r="AG9" s="114">
        <f t="shared" ref="AG9:AG31" si="10">CEILING(AF9,1)</f>
        <v>3</v>
      </c>
      <c r="AH9">
        <f t="shared" ref="AH9:AH31" si="11">D9*2+AB9*2</f>
        <v>2200</v>
      </c>
      <c r="AI9">
        <f t="shared" ref="AI9:AI31" si="12">AH9/1000</f>
        <v>2.2000000000000002</v>
      </c>
      <c r="AJ9" s="113">
        <f t="shared" ref="AJ9:AJ31" si="13">AI9*(1+$AB$5/100)</f>
        <v>2.5299999999999998</v>
      </c>
      <c r="AK9" s="117">
        <f t="shared" ref="AK9:AK31" si="14">CEILING(AJ9,1)</f>
        <v>3</v>
      </c>
    </row>
    <row r="10" spans="1:37">
      <c r="A10" s="43" t="str">
        <f>'1. 소켓인수검사'!A11</f>
        <v>03</v>
      </c>
      <c r="B10" s="57" t="s">
        <v>2</v>
      </c>
      <c r="C10" s="47">
        <f>'1. 소켓인수검사'!C11</f>
        <v>600</v>
      </c>
      <c r="D10" s="47">
        <f>'1. 소켓인수검사'!D11</f>
        <v>400</v>
      </c>
      <c r="E10" s="45"/>
      <c r="F10" s="163"/>
      <c r="G10" s="46">
        <f t="shared" si="0"/>
        <v>595</v>
      </c>
      <c r="H10" s="47">
        <f t="shared" si="1"/>
        <v>6</v>
      </c>
      <c r="I10" s="163"/>
      <c r="J10" s="164"/>
      <c r="K10" s="165"/>
      <c r="L10" s="47"/>
      <c r="M10" s="163"/>
      <c r="N10" s="164">
        <f t="shared" si="2"/>
        <v>365</v>
      </c>
      <c r="O10" s="165"/>
      <c r="P10" s="47">
        <v>2</v>
      </c>
      <c r="Q10" s="198"/>
      <c r="R10" s="200"/>
      <c r="S10" s="202"/>
      <c r="T10" s="47">
        <f t="shared" si="3"/>
        <v>6</v>
      </c>
      <c r="U10" s="198"/>
      <c r="V10" s="200"/>
      <c r="W10" s="194"/>
      <c r="X10" s="195"/>
      <c r="Y10" s="196"/>
      <c r="Z10" s="47">
        <f t="shared" si="4"/>
        <v>3</v>
      </c>
      <c r="AA10" s="53"/>
      <c r="AB10">
        <f t="shared" si="5"/>
        <v>700</v>
      </c>
      <c r="AC10">
        <f t="shared" si="6"/>
        <v>500</v>
      </c>
      <c r="AD10">
        <f t="shared" si="7"/>
        <v>2400</v>
      </c>
      <c r="AE10">
        <f t="shared" si="8"/>
        <v>2.4</v>
      </c>
      <c r="AF10" s="113">
        <f t="shared" si="9"/>
        <v>2.76</v>
      </c>
      <c r="AG10" s="114">
        <f t="shared" si="10"/>
        <v>3</v>
      </c>
      <c r="AH10">
        <f t="shared" si="11"/>
        <v>2200</v>
      </c>
      <c r="AI10">
        <f t="shared" si="12"/>
        <v>2.2000000000000002</v>
      </c>
      <c r="AJ10" s="113">
        <f t="shared" si="13"/>
        <v>2.5299999999999998</v>
      </c>
      <c r="AK10" s="117">
        <f t="shared" si="14"/>
        <v>3</v>
      </c>
    </row>
    <row r="11" spans="1:37">
      <c r="A11" s="43" t="str">
        <f>'1. 소켓인수검사'!A12</f>
        <v>04</v>
      </c>
      <c r="B11" s="57" t="s">
        <v>2</v>
      </c>
      <c r="C11" s="47">
        <f>'1. 소켓인수검사'!C12</f>
        <v>700</v>
      </c>
      <c r="D11" s="47">
        <f>'1. 소켓인수검사'!D12</f>
        <v>450</v>
      </c>
      <c r="E11" s="45"/>
      <c r="F11" s="163"/>
      <c r="G11" s="46">
        <f t="shared" si="0"/>
        <v>695</v>
      </c>
      <c r="H11" s="47">
        <f t="shared" si="1"/>
        <v>6</v>
      </c>
      <c r="I11" s="163"/>
      <c r="J11" s="164"/>
      <c r="K11" s="165"/>
      <c r="L11" s="47"/>
      <c r="M11" s="163"/>
      <c r="N11" s="164">
        <f t="shared" si="2"/>
        <v>415</v>
      </c>
      <c r="O11" s="165"/>
      <c r="P11" s="47">
        <v>2</v>
      </c>
      <c r="Q11" s="198"/>
      <c r="R11" s="200"/>
      <c r="S11" s="202"/>
      <c r="T11" s="47">
        <f t="shared" si="3"/>
        <v>6</v>
      </c>
      <c r="U11" s="198"/>
      <c r="V11" s="200"/>
      <c r="W11" s="194"/>
      <c r="X11" s="195"/>
      <c r="Y11" s="196"/>
      <c r="Z11" s="47">
        <f t="shared" si="4"/>
        <v>4</v>
      </c>
      <c r="AA11" s="53"/>
      <c r="AB11">
        <f t="shared" si="5"/>
        <v>800</v>
      </c>
      <c r="AC11">
        <f t="shared" si="6"/>
        <v>550</v>
      </c>
      <c r="AD11">
        <f t="shared" si="7"/>
        <v>2700</v>
      </c>
      <c r="AE11">
        <f t="shared" si="8"/>
        <v>2.7</v>
      </c>
      <c r="AF11" s="113">
        <f t="shared" si="9"/>
        <v>3.105</v>
      </c>
      <c r="AG11" s="114">
        <f t="shared" si="10"/>
        <v>4</v>
      </c>
      <c r="AH11">
        <f t="shared" si="11"/>
        <v>2500</v>
      </c>
      <c r="AI11">
        <f t="shared" si="12"/>
        <v>2.5</v>
      </c>
      <c r="AJ11" s="113">
        <f t="shared" si="13"/>
        <v>2.875</v>
      </c>
      <c r="AK11" s="117">
        <f t="shared" si="14"/>
        <v>3</v>
      </c>
    </row>
    <row r="12" spans="1:37">
      <c r="A12" s="43" t="str">
        <f>'1. 소켓인수검사'!A13</f>
        <v>05</v>
      </c>
      <c r="B12" s="57" t="s">
        <v>2</v>
      </c>
      <c r="C12" s="49">
        <f>'1. 소켓인수검사'!C13</f>
        <v>700</v>
      </c>
      <c r="D12" s="49">
        <f>'1. 소켓인수검사'!D13</f>
        <v>450</v>
      </c>
      <c r="E12" s="45"/>
      <c r="F12" s="163"/>
      <c r="G12" s="46">
        <f t="shared" si="0"/>
        <v>695</v>
      </c>
      <c r="H12" s="47">
        <f t="shared" si="1"/>
        <v>6</v>
      </c>
      <c r="I12" s="163"/>
      <c r="J12" s="164"/>
      <c r="K12" s="165"/>
      <c r="L12" s="47"/>
      <c r="M12" s="163"/>
      <c r="N12" s="164">
        <f t="shared" si="2"/>
        <v>415</v>
      </c>
      <c r="O12" s="165"/>
      <c r="P12" s="47">
        <v>2</v>
      </c>
      <c r="Q12" s="198"/>
      <c r="R12" s="200"/>
      <c r="S12" s="202"/>
      <c r="T12" s="47">
        <f t="shared" si="3"/>
        <v>6</v>
      </c>
      <c r="U12" s="198"/>
      <c r="V12" s="200"/>
      <c r="W12" s="194"/>
      <c r="X12" s="195"/>
      <c r="Y12" s="196"/>
      <c r="Z12" s="47">
        <f t="shared" si="4"/>
        <v>4</v>
      </c>
      <c r="AA12" s="53"/>
      <c r="AB12">
        <f t="shared" si="5"/>
        <v>800</v>
      </c>
      <c r="AC12">
        <f t="shared" si="6"/>
        <v>550</v>
      </c>
      <c r="AD12">
        <f t="shared" si="7"/>
        <v>2700</v>
      </c>
      <c r="AE12">
        <f t="shared" si="8"/>
        <v>2.7</v>
      </c>
      <c r="AF12" s="113">
        <f t="shared" si="9"/>
        <v>3.105</v>
      </c>
      <c r="AG12" s="114">
        <f t="shared" si="10"/>
        <v>4</v>
      </c>
      <c r="AH12">
        <f t="shared" si="11"/>
        <v>2500</v>
      </c>
      <c r="AI12">
        <f t="shared" si="12"/>
        <v>2.5</v>
      </c>
      <c r="AJ12" s="113">
        <f t="shared" si="13"/>
        <v>2.875</v>
      </c>
      <c r="AK12" s="117">
        <f t="shared" si="14"/>
        <v>3</v>
      </c>
    </row>
    <row r="13" spans="1:37">
      <c r="A13" s="43" t="str">
        <f>'1. 소켓인수검사'!A14</f>
        <v>06</v>
      </c>
      <c r="B13" s="57" t="s">
        <v>2</v>
      </c>
      <c r="C13" s="49">
        <f>'1. 소켓인수검사'!C14</f>
        <v>700</v>
      </c>
      <c r="D13" s="49">
        <f>'1. 소켓인수검사'!D14</f>
        <v>450</v>
      </c>
      <c r="E13" s="45"/>
      <c r="F13" s="163"/>
      <c r="G13" s="46">
        <f t="shared" si="0"/>
        <v>695</v>
      </c>
      <c r="H13" s="47">
        <f t="shared" si="1"/>
        <v>6</v>
      </c>
      <c r="I13" s="163"/>
      <c r="J13" s="164"/>
      <c r="K13" s="165"/>
      <c r="L13" s="47"/>
      <c r="M13" s="163"/>
      <c r="N13" s="164">
        <f t="shared" si="2"/>
        <v>415</v>
      </c>
      <c r="O13" s="165"/>
      <c r="P13" s="47">
        <v>2</v>
      </c>
      <c r="Q13" s="198"/>
      <c r="R13" s="200"/>
      <c r="S13" s="202"/>
      <c r="T13" s="47">
        <f t="shared" si="3"/>
        <v>6</v>
      </c>
      <c r="U13" s="198"/>
      <c r="V13" s="200"/>
      <c r="W13" s="194"/>
      <c r="X13" s="195"/>
      <c r="Y13" s="196"/>
      <c r="Z13" s="47">
        <f t="shared" si="4"/>
        <v>4</v>
      </c>
      <c r="AA13" s="53"/>
      <c r="AB13">
        <f t="shared" si="5"/>
        <v>800</v>
      </c>
      <c r="AC13">
        <f t="shared" si="6"/>
        <v>550</v>
      </c>
      <c r="AD13">
        <f t="shared" si="7"/>
        <v>2700</v>
      </c>
      <c r="AE13">
        <f t="shared" si="8"/>
        <v>2.7</v>
      </c>
      <c r="AF13" s="113">
        <f t="shared" si="9"/>
        <v>3.105</v>
      </c>
      <c r="AG13" s="114">
        <f t="shared" si="10"/>
        <v>4</v>
      </c>
      <c r="AH13">
        <f t="shared" si="11"/>
        <v>2500</v>
      </c>
      <c r="AI13">
        <f t="shared" si="12"/>
        <v>2.5</v>
      </c>
      <c r="AJ13" s="113">
        <f t="shared" si="13"/>
        <v>2.875</v>
      </c>
      <c r="AK13" s="117">
        <f t="shared" si="14"/>
        <v>3</v>
      </c>
    </row>
    <row r="14" spans="1:37">
      <c r="A14" s="43" t="str">
        <f>'1. 소켓인수검사'!A15</f>
        <v>07</v>
      </c>
      <c r="B14" s="57" t="s">
        <v>2</v>
      </c>
      <c r="C14" s="49">
        <f>'1. 소켓인수검사'!C15</f>
        <v>700</v>
      </c>
      <c r="D14" s="49">
        <f>'1. 소켓인수검사'!D15</f>
        <v>450</v>
      </c>
      <c r="E14" s="45"/>
      <c r="F14" s="163"/>
      <c r="G14" s="46">
        <f t="shared" si="0"/>
        <v>695</v>
      </c>
      <c r="H14" s="47">
        <f t="shared" si="1"/>
        <v>6</v>
      </c>
      <c r="I14" s="163"/>
      <c r="J14" s="164"/>
      <c r="K14" s="165"/>
      <c r="L14" s="47"/>
      <c r="M14" s="163"/>
      <c r="N14" s="164">
        <f t="shared" si="2"/>
        <v>415</v>
      </c>
      <c r="O14" s="165"/>
      <c r="P14" s="47">
        <v>2</v>
      </c>
      <c r="Q14" s="198"/>
      <c r="R14" s="200"/>
      <c r="S14" s="202"/>
      <c r="T14" s="47">
        <f t="shared" si="3"/>
        <v>6</v>
      </c>
      <c r="U14" s="198"/>
      <c r="V14" s="200"/>
      <c r="W14" s="194"/>
      <c r="X14" s="195"/>
      <c r="Y14" s="196"/>
      <c r="Z14" s="47">
        <f t="shared" si="4"/>
        <v>4</v>
      </c>
      <c r="AA14" s="53"/>
      <c r="AB14">
        <f t="shared" si="5"/>
        <v>800</v>
      </c>
      <c r="AC14">
        <f t="shared" si="6"/>
        <v>550</v>
      </c>
      <c r="AD14">
        <f t="shared" si="7"/>
        <v>2700</v>
      </c>
      <c r="AE14">
        <f t="shared" si="8"/>
        <v>2.7</v>
      </c>
      <c r="AF14" s="113">
        <f t="shared" si="9"/>
        <v>3.105</v>
      </c>
      <c r="AG14" s="114">
        <f t="shared" si="10"/>
        <v>4</v>
      </c>
      <c r="AH14">
        <f t="shared" si="11"/>
        <v>2500</v>
      </c>
      <c r="AI14">
        <f t="shared" si="12"/>
        <v>2.5</v>
      </c>
      <c r="AJ14" s="113">
        <f t="shared" si="13"/>
        <v>2.875</v>
      </c>
      <c r="AK14" s="117">
        <f t="shared" si="14"/>
        <v>3</v>
      </c>
    </row>
    <row r="15" spans="1:37">
      <c r="A15" s="43" t="str">
        <f>'1. 소켓인수검사'!A16</f>
        <v>08</v>
      </c>
      <c r="B15" s="57" t="s">
        <v>2</v>
      </c>
      <c r="C15" s="49">
        <f>'1. 소켓인수검사'!C16</f>
        <v>700</v>
      </c>
      <c r="D15" s="49">
        <f>'1. 소켓인수검사'!D16</f>
        <v>450</v>
      </c>
      <c r="E15" s="45"/>
      <c r="F15" s="163"/>
      <c r="G15" s="46">
        <f t="shared" si="0"/>
        <v>695</v>
      </c>
      <c r="H15" s="47">
        <f t="shared" si="1"/>
        <v>6</v>
      </c>
      <c r="I15" s="163"/>
      <c r="J15" s="164"/>
      <c r="K15" s="165"/>
      <c r="L15" s="47"/>
      <c r="M15" s="163"/>
      <c r="N15" s="164">
        <f t="shared" si="2"/>
        <v>415</v>
      </c>
      <c r="O15" s="165"/>
      <c r="P15" s="47">
        <v>2</v>
      </c>
      <c r="Q15" s="198"/>
      <c r="R15" s="200"/>
      <c r="S15" s="202"/>
      <c r="T15" s="47">
        <f t="shared" si="3"/>
        <v>6</v>
      </c>
      <c r="U15" s="198"/>
      <c r="V15" s="200"/>
      <c r="W15" s="194"/>
      <c r="X15" s="195"/>
      <c r="Y15" s="196"/>
      <c r="Z15" s="47">
        <f t="shared" si="4"/>
        <v>4</v>
      </c>
      <c r="AA15" s="53"/>
      <c r="AB15">
        <f t="shared" si="5"/>
        <v>800</v>
      </c>
      <c r="AC15">
        <f t="shared" si="6"/>
        <v>550</v>
      </c>
      <c r="AD15">
        <f t="shared" si="7"/>
        <v>2700</v>
      </c>
      <c r="AE15">
        <f t="shared" si="8"/>
        <v>2.7</v>
      </c>
      <c r="AF15" s="113">
        <f t="shared" si="9"/>
        <v>3.105</v>
      </c>
      <c r="AG15" s="114">
        <f t="shared" si="10"/>
        <v>4</v>
      </c>
      <c r="AH15">
        <f t="shared" si="11"/>
        <v>2500</v>
      </c>
      <c r="AI15">
        <f t="shared" si="12"/>
        <v>2.5</v>
      </c>
      <c r="AJ15" s="113">
        <f t="shared" si="13"/>
        <v>2.875</v>
      </c>
      <c r="AK15" s="117">
        <f t="shared" si="14"/>
        <v>3</v>
      </c>
    </row>
    <row r="16" spans="1:37">
      <c r="A16" s="43" t="str">
        <f>'1. 소켓인수검사'!A17</f>
        <v>09</v>
      </c>
      <c r="B16" s="57" t="s">
        <v>2</v>
      </c>
      <c r="C16" s="49">
        <f>'1. 소켓인수검사'!C17</f>
        <v>850</v>
      </c>
      <c r="D16" s="49">
        <f>'1. 소켓인수검사'!D17</f>
        <v>600</v>
      </c>
      <c r="E16" s="45"/>
      <c r="F16" s="163"/>
      <c r="G16" s="46">
        <f t="shared" si="0"/>
        <v>845</v>
      </c>
      <c r="H16" s="47">
        <f t="shared" si="1"/>
        <v>6</v>
      </c>
      <c r="I16" s="163"/>
      <c r="J16" s="158"/>
      <c r="K16" s="159"/>
      <c r="L16" s="47"/>
      <c r="M16" s="163"/>
      <c r="N16" s="158">
        <f t="shared" si="2"/>
        <v>565</v>
      </c>
      <c r="O16" s="159"/>
      <c r="P16" s="47">
        <v>2</v>
      </c>
      <c r="Q16" s="198"/>
      <c r="R16" s="200"/>
      <c r="S16" s="202"/>
      <c r="T16" s="47">
        <f t="shared" si="3"/>
        <v>8</v>
      </c>
      <c r="U16" s="198"/>
      <c r="V16" s="200"/>
      <c r="W16" s="194"/>
      <c r="X16" s="195"/>
      <c r="Y16" s="196"/>
      <c r="Z16" s="47">
        <f t="shared" si="4"/>
        <v>4</v>
      </c>
      <c r="AA16" s="53"/>
      <c r="AB16">
        <f t="shared" si="5"/>
        <v>950</v>
      </c>
      <c r="AC16">
        <f t="shared" si="6"/>
        <v>700</v>
      </c>
      <c r="AD16">
        <f t="shared" si="7"/>
        <v>3300</v>
      </c>
      <c r="AE16">
        <f t="shared" si="8"/>
        <v>3.3</v>
      </c>
      <c r="AF16" s="113">
        <f t="shared" si="9"/>
        <v>3.7949999999999995</v>
      </c>
      <c r="AG16" s="114">
        <f t="shared" si="10"/>
        <v>4</v>
      </c>
      <c r="AH16">
        <f t="shared" si="11"/>
        <v>3100</v>
      </c>
      <c r="AI16">
        <f t="shared" si="12"/>
        <v>3.1</v>
      </c>
      <c r="AJ16" s="113">
        <f t="shared" si="13"/>
        <v>3.5649999999999999</v>
      </c>
      <c r="AK16" s="117">
        <f t="shared" si="14"/>
        <v>4</v>
      </c>
    </row>
    <row r="17" spans="1:37">
      <c r="A17" s="43" t="str">
        <f>'1. 소켓인수검사'!A18</f>
        <v>10</v>
      </c>
      <c r="B17" s="57" t="s">
        <v>2</v>
      </c>
      <c r="C17" s="49">
        <f>'1. 소켓인수검사'!C18</f>
        <v>850</v>
      </c>
      <c r="D17" s="49">
        <f>'1. 소켓인수검사'!D18</f>
        <v>600</v>
      </c>
      <c r="E17" s="45"/>
      <c r="F17" s="163"/>
      <c r="G17" s="46">
        <f t="shared" si="0"/>
        <v>845</v>
      </c>
      <c r="H17" s="47">
        <f t="shared" si="1"/>
        <v>6</v>
      </c>
      <c r="I17" s="163"/>
      <c r="J17" s="158"/>
      <c r="K17" s="159"/>
      <c r="L17" s="47"/>
      <c r="M17" s="163"/>
      <c r="N17" s="158">
        <f t="shared" si="2"/>
        <v>565</v>
      </c>
      <c r="O17" s="159"/>
      <c r="P17" s="47">
        <v>2</v>
      </c>
      <c r="Q17" s="198"/>
      <c r="R17" s="200"/>
      <c r="S17" s="202"/>
      <c r="T17" s="47">
        <f t="shared" si="3"/>
        <v>8</v>
      </c>
      <c r="U17" s="198"/>
      <c r="V17" s="200"/>
      <c r="W17" s="194"/>
      <c r="X17" s="195"/>
      <c r="Y17" s="196"/>
      <c r="Z17" s="47">
        <f t="shared" si="4"/>
        <v>4</v>
      </c>
      <c r="AA17" s="53"/>
      <c r="AB17">
        <f t="shared" si="5"/>
        <v>950</v>
      </c>
      <c r="AC17">
        <f t="shared" si="6"/>
        <v>700</v>
      </c>
      <c r="AD17">
        <f t="shared" si="7"/>
        <v>3300</v>
      </c>
      <c r="AE17">
        <f t="shared" si="8"/>
        <v>3.3</v>
      </c>
      <c r="AF17" s="113">
        <f t="shared" si="9"/>
        <v>3.7949999999999995</v>
      </c>
      <c r="AG17" s="114">
        <f t="shared" si="10"/>
        <v>4</v>
      </c>
      <c r="AH17">
        <f t="shared" si="11"/>
        <v>3100</v>
      </c>
      <c r="AI17">
        <f t="shared" si="12"/>
        <v>3.1</v>
      </c>
      <c r="AJ17" s="113">
        <f t="shared" si="13"/>
        <v>3.5649999999999999</v>
      </c>
      <c r="AK17" s="117">
        <f t="shared" si="14"/>
        <v>4</v>
      </c>
    </row>
    <row r="18" spans="1:37">
      <c r="A18" s="43" t="str">
        <f>'1. 소켓인수검사'!A19</f>
        <v>11</v>
      </c>
      <c r="B18" s="57" t="s">
        <v>2</v>
      </c>
      <c r="C18" s="49">
        <f>'1. 소켓인수검사'!C19</f>
        <v>850</v>
      </c>
      <c r="D18" s="49">
        <f>'1. 소켓인수검사'!D19</f>
        <v>600</v>
      </c>
      <c r="E18" s="45"/>
      <c r="F18" s="163"/>
      <c r="G18" s="46">
        <f t="shared" si="0"/>
        <v>845</v>
      </c>
      <c r="H18" s="47">
        <f t="shared" si="1"/>
        <v>6</v>
      </c>
      <c r="I18" s="163"/>
      <c r="J18" s="158"/>
      <c r="K18" s="159"/>
      <c r="L18" s="47"/>
      <c r="M18" s="163"/>
      <c r="N18" s="158">
        <f t="shared" si="2"/>
        <v>565</v>
      </c>
      <c r="O18" s="159"/>
      <c r="P18" s="47">
        <v>2</v>
      </c>
      <c r="Q18" s="198"/>
      <c r="R18" s="200"/>
      <c r="S18" s="202"/>
      <c r="T18" s="47">
        <f t="shared" si="3"/>
        <v>8</v>
      </c>
      <c r="U18" s="198"/>
      <c r="V18" s="200"/>
      <c r="W18" s="194"/>
      <c r="X18" s="195"/>
      <c r="Y18" s="196"/>
      <c r="Z18" s="47">
        <f t="shared" si="4"/>
        <v>4</v>
      </c>
      <c r="AA18" s="53"/>
      <c r="AB18">
        <f t="shared" si="5"/>
        <v>950</v>
      </c>
      <c r="AC18">
        <f t="shared" si="6"/>
        <v>700</v>
      </c>
      <c r="AD18">
        <f t="shared" si="7"/>
        <v>3300</v>
      </c>
      <c r="AE18">
        <f t="shared" si="8"/>
        <v>3.3</v>
      </c>
      <c r="AF18" s="113">
        <f t="shared" si="9"/>
        <v>3.7949999999999995</v>
      </c>
      <c r="AG18" s="114">
        <f t="shared" si="10"/>
        <v>4</v>
      </c>
      <c r="AH18">
        <f t="shared" si="11"/>
        <v>3100</v>
      </c>
      <c r="AI18">
        <f t="shared" si="12"/>
        <v>3.1</v>
      </c>
      <c r="AJ18" s="113">
        <f t="shared" si="13"/>
        <v>3.5649999999999999</v>
      </c>
      <c r="AK18" s="117">
        <f t="shared" si="14"/>
        <v>4</v>
      </c>
    </row>
    <row r="19" spans="1:37">
      <c r="A19" s="43" t="str">
        <f>'1. 소켓인수검사'!A20</f>
        <v>12</v>
      </c>
      <c r="B19" s="57" t="s">
        <v>2</v>
      </c>
      <c r="C19" s="49">
        <f>'1. 소켓인수검사'!C20</f>
        <v>850</v>
      </c>
      <c r="D19" s="49">
        <f>'1. 소켓인수검사'!D20</f>
        <v>600</v>
      </c>
      <c r="E19" s="45"/>
      <c r="F19" s="163"/>
      <c r="G19" s="54">
        <f t="shared" si="0"/>
        <v>845</v>
      </c>
      <c r="H19" s="47">
        <f t="shared" si="1"/>
        <v>6</v>
      </c>
      <c r="I19" s="163"/>
      <c r="J19" s="158"/>
      <c r="K19" s="159"/>
      <c r="L19" s="47"/>
      <c r="M19" s="163"/>
      <c r="N19" s="158">
        <f t="shared" si="2"/>
        <v>565</v>
      </c>
      <c r="O19" s="159"/>
      <c r="P19" s="47">
        <v>2</v>
      </c>
      <c r="Q19" s="198"/>
      <c r="R19" s="200"/>
      <c r="S19" s="202"/>
      <c r="T19" s="47">
        <f t="shared" si="3"/>
        <v>8</v>
      </c>
      <c r="U19" s="198"/>
      <c r="V19" s="200"/>
      <c r="W19" s="194"/>
      <c r="X19" s="195"/>
      <c r="Y19" s="196"/>
      <c r="Z19" s="47">
        <f t="shared" si="4"/>
        <v>4</v>
      </c>
      <c r="AA19" s="53"/>
      <c r="AB19">
        <f t="shared" si="5"/>
        <v>950</v>
      </c>
      <c r="AC19">
        <f t="shared" si="6"/>
        <v>700</v>
      </c>
      <c r="AD19">
        <f t="shared" si="7"/>
        <v>3300</v>
      </c>
      <c r="AE19">
        <f t="shared" si="8"/>
        <v>3.3</v>
      </c>
      <c r="AF19" s="113">
        <f t="shared" si="9"/>
        <v>3.7949999999999995</v>
      </c>
      <c r="AG19" s="114">
        <f t="shared" si="10"/>
        <v>4</v>
      </c>
      <c r="AH19">
        <f t="shared" si="11"/>
        <v>3100</v>
      </c>
      <c r="AI19">
        <f t="shared" si="12"/>
        <v>3.1</v>
      </c>
      <c r="AJ19" s="113">
        <f t="shared" si="13"/>
        <v>3.5649999999999999</v>
      </c>
      <c r="AK19" s="117">
        <f t="shared" si="14"/>
        <v>4</v>
      </c>
    </row>
    <row r="20" spans="1:37">
      <c r="A20" s="43" t="str">
        <f>'1. 소켓인수검사'!A21</f>
        <v>13</v>
      </c>
      <c r="B20" s="57" t="s">
        <v>2</v>
      </c>
      <c r="C20" s="49">
        <f>'1. 소켓인수검사'!C21</f>
        <v>850</v>
      </c>
      <c r="D20" s="49">
        <f>'1. 소켓인수검사'!D21</f>
        <v>600</v>
      </c>
      <c r="E20" s="45"/>
      <c r="F20" s="163"/>
      <c r="G20" s="54">
        <f t="shared" si="0"/>
        <v>845</v>
      </c>
      <c r="H20" s="47">
        <f t="shared" si="1"/>
        <v>6</v>
      </c>
      <c r="I20" s="163"/>
      <c r="J20" s="158"/>
      <c r="K20" s="159"/>
      <c r="L20" s="47"/>
      <c r="M20" s="163"/>
      <c r="N20" s="158">
        <f t="shared" si="2"/>
        <v>565</v>
      </c>
      <c r="O20" s="159"/>
      <c r="P20" s="47">
        <v>2</v>
      </c>
      <c r="Q20" s="198"/>
      <c r="R20" s="200"/>
      <c r="S20" s="202"/>
      <c r="T20" s="47">
        <f t="shared" si="3"/>
        <v>8</v>
      </c>
      <c r="U20" s="198"/>
      <c r="V20" s="200"/>
      <c r="W20" s="194"/>
      <c r="X20" s="195"/>
      <c r="Y20" s="196"/>
      <c r="Z20" s="47">
        <f t="shared" si="4"/>
        <v>4</v>
      </c>
      <c r="AA20" s="53"/>
      <c r="AB20">
        <f t="shared" si="5"/>
        <v>950</v>
      </c>
      <c r="AC20">
        <f t="shared" si="6"/>
        <v>700</v>
      </c>
      <c r="AD20">
        <f t="shared" si="7"/>
        <v>3300</v>
      </c>
      <c r="AE20">
        <f t="shared" si="8"/>
        <v>3.3</v>
      </c>
      <c r="AF20" s="113">
        <f t="shared" si="9"/>
        <v>3.7949999999999995</v>
      </c>
      <c r="AG20" s="114">
        <f t="shared" si="10"/>
        <v>4</v>
      </c>
      <c r="AH20">
        <f t="shared" si="11"/>
        <v>3100</v>
      </c>
      <c r="AI20">
        <f t="shared" si="12"/>
        <v>3.1</v>
      </c>
      <c r="AJ20" s="113">
        <f t="shared" si="13"/>
        <v>3.5649999999999999</v>
      </c>
      <c r="AK20" s="117">
        <f t="shared" si="14"/>
        <v>4</v>
      </c>
    </row>
    <row r="21" spans="1:37">
      <c r="A21" s="43" t="str">
        <f>'1. 소켓인수검사'!A22</f>
        <v>14</v>
      </c>
      <c r="B21" s="57" t="s">
        <v>2</v>
      </c>
      <c r="C21" s="49">
        <f>'1. 소켓인수검사'!C22</f>
        <v>900</v>
      </c>
      <c r="D21" s="49">
        <f>'1. 소켓인수검사'!D22</f>
        <v>600</v>
      </c>
      <c r="E21" s="45"/>
      <c r="F21" s="163"/>
      <c r="G21" s="46">
        <f t="shared" si="0"/>
        <v>895</v>
      </c>
      <c r="H21" s="47">
        <f t="shared" si="1"/>
        <v>6</v>
      </c>
      <c r="I21" s="163"/>
      <c r="J21" s="158"/>
      <c r="K21" s="159"/>
      <c r="L21" s="47"/>
      <c r="M21" s="163"/>
      <c r="N21" s="158">
        <f t="shared" si="2"/>
        <v>565</v>
      </c>
      <c r="O21" s="159"/>
      <c r="P21" s="47">
        <v>2</v>
      </c>
      <c r="Q21" s="198"/>
      <c r="R21" s="200"/>
      <c r="S21" s="202"/>
      <c r="T21" s="47">
        <f t="shared" si="3"/>
        <v>8</v>
      </c>
      <c r="U21" s="198"/>
      <c r="V21" s="200"/>
      <c r="W21" s="194"/>
      <c r="X21" s="195"/>
      <c r="Y21" s="196"/>
      <c r="Z21" s="47">
        <f t="shared" si="4"/>
        <v>4</v>
      </c>
      <c r="AA21" s="53"/>
      <c r="AB21">
        <f t="shared" si="5"/>
        <v>1000</v>
      </c>
      <c r="AC21">
        <f t="shared" si="6"/>
        <v>700</v>
      </c>
      <c r="AD21">
        <f t="shared" si="7"/>
        <v>3400</v>
      </c>
      <c r="AE21">
        <f t="shared" si="8"/>
        <v>3.4</v>
      </c>
      <c r="AF21" s="113">
        <f t="shared" si="9"/>
        <v>3.9099999999999997</v>
      </c>
      <c r="AG21" s="114">
        <f t="shared" si="10"/>
        <v>4</v>
      </c>
      <c r="AH21">
        <f t="shared" si="11"/>
        <v>3200</v>
      </c>
      <c r="AI21">
        <f t="shared" si="12"/>
        <v>3.2</v>
      </c>
      <c r="AJ21" s="113">
        <f t="shared" si="13"/>
        <v>3.6799999999999997</v>
      </c>
      <c r="AK21" s="117">
        <f t="shared" si="14"/>
        <v>4</v>
      </c>
    </row>
    <row r="22" spans="1:37">
      <c r="A22" s="43" t="str">
        <f>'1. 소켓인수검사'!A23</f>
        <v>15</v>
      </c>
      <c r="B22" s="57" t="s">
        <v>2</v>
      </c>
      <c r="C22" s="49">
        <f>'1. 소켓인수검사'!C23</f>
        <v>900</v>
      </c>
      <c r="D22" s="49">
        <f>'1. 소켓인수검사'!D23</f>
        <v>600</v>
      </c>
      <c r="E22" s="45"/>
      <c r="F22" s="163"/>
      <c r="G22" s="46">
        <f t="shared" si="0"/>
        <v>895</v>
      </c>
      <c r="H22" s="47">
        <f t="shared" si="1"/>
        <v>6</v>
      </c>
      <c r="I22" s="163"/>
      <c r="J22" s="158"/>
      <c r="K22" s="159"/>
      <c r="L22" s="47"/>
      <c r="M22" s="163"/>
      <c r="N22" s="158">
        <f t="shared" si="2"/>
        <v>565</v>
      </c>
      <c r="O22" s="159"/>
      <c r="P22" s="47">
        <v>2</v>
      </c>
      <c r="Q22" s="198"/>
      <c r="R22" s="200"/>
      <c r="S22" s="202"/>
      <c r="T22" s="47">
        <f t="shared" si="3"/>
        <v>8</v>
      </c>
      <c r="U22" s="198"/>
      <c r="V22" s="200"/>
      <c r="W22" s="194"/>
      <c r="X22" s="195"/>
      <c r="Y22" s="196"/>
      <c r="Z22" s="47">
        <f t="shared" si="4"/>
        <v>4</v>
      </c>
      <c r="AA22" s="53"/>
      <c r="AB22">
        <f t="shared" si="5"/>
        <v>1000</v>
      </c>
      <c r="AC22">
        <f t="shared" si="6"/>
        <v>700</v>
      </c>
      <c r="AD22">
        <f t="shared" si="7"/>
        <v>3400</v>
      </c>
      <c r="AE22">
        <f t="shared" si="8"/>
        <v>3.4</v>
      </c>
      <c r="AF22" s="113">
        <f t="shared" si="9"/>
        <v>3.9099999999999997</v>
      </c>
      <c r="AG22" s="114">
        <f t="shared" si="10"/>
        <v>4</v>
      </c>
      <c r="AH22">
        <f t="shared" si="11"/>
        <v>3200</v>
      </c>
      <c r="AI22">
        <f t="shared" si="12"/>
        <v>3.2</v>
      </c>
      <c r="AJ22" s="113">
        <f t="shared" si="13"/>
        <v>3.6799999999999997</v>
      </c>
      <c r="AK22" s="117">
        <f t="shared" si="14"/>
        <v>4</v>
      </c>
    </row>
    <row r="23" spans="1:37">
      <c r="A23" s="43" t="str">
        <f>'1. 소켓인수검사'!A24</f>
        <v>16</v>
      </c>
      <c r="B23" s="57" t="s">
        <v>2</v>
      </c>
      <c r="C23" s="49">
        <f>'1. 소켓인수검사'!C24</f>
        <v>900</v>
      </c>
      <c r="D23" s="49">
        <f>'1. 소켓인수검사'!D24</f>
        <v>600</v>
      </c>
      <c r="E23" s="45"/>
      <c r="F23" s="163"/>
      <c r="G23" s="46">
        <f t="shared" si="0"/>
        <v>895</v>
      </c>
      <c r="H23" s="47">
        <f t="shared" si="1"/>
        <v>6</v>
      </c>
      <c r="I23" s="163"/>
      <c r="J23" s="158"/>
      <c r="K23" s="159"/>
      <c r="L23" s="47"/>
      <c r="M23" s="163"/>
      <c r="N23" s="158">
        <f t="shared" si="2"/>
        <v>565</v>
      </c>
      <c r="O23" s="159"/>
      <c r="P23" s="47">
        <v>2</v>
      </c>
      <c r="Q23" s="198"/>
      <c r="R23" s="200"/>
      <c r="S23" s="202"/>
      <c r="T23" s="47">
        <f t="shared" si="3"/>
        <v>8</v>
      </c>
      <c r="U23" s="198"/>
      <c r="V23" s="200"/>
      <c r="W23" s="194"/>
      <c r="X23" s="195"/>
      <c r="Y23" s="196"/>
      <c r="Z23" s="47">
        <f t="shared" si="4"/>
        <v>4</v>
      </c>
      <c r="AA23" s="53"/>
      <c r="AB23">
        <f t="shared" si="5"/>
        <v>1000</v>
      </c>
      <c r="AC23">
        <f t="shared" si="6"/>
        <v>700</v>
      </c>
      <c r="AD23">
        <f t="shared" si="7"/>
        <v>3400</v>
      </c>
      <c r="AE23">
        <f t="shared" si="8"/>
        <v>3.4</v>
      </c>
      <c r="AF23" s="113">
        <f t="shared" si="9"/>
        <v>3.9099999999999997</v>
      </c>
      <c r="AG23" s="114">
        <f t="shared" si="10"/>
        <v>4</v>
      </c>
      <c r="AH23">
        <f t="shared" si="11"/>
        <v>3200</v>
      </c>
      <c r="AI23">
        <f t="shared" si="12"/>
        <v>3.2</v>
      </c>
      <c r="AJ23" s="113">
        <f t="shared" si="13"/>
        <v>3.6799999999999997</v>
      </c>
      <c r="AK23" s="117">
        <f t="shared" si="14"/>
        <v>4</v>
      </c>
    </row>
    <row r="24" spans="1:37">
      <c r="A24" s="43" t="str">
        <f>'1. 소켓인수검사'!A25</f>
        <v>17</v>
      </c>
      <c r="B24" s="57" t="s">
        <v>2</v>
      </c>
      <c r="C24" s="49">
        <f>'1. 소켓인수검사'!C25</f>
        <v>900</v>
      </c>
      <c r="D24" s="49">
        <f>'1. 소켓인수검사'!D25</f>
        <v>600</v>
      </c>
      <c r="E24" s="45"/>
      <c r="F24" s="163"/>
      <c r="G24" s="46">
        <f t="shared" si="0"/>
        <v>895</v>
      </c>
      <c r="H24" s="47">
        <f t="shared" si="1"/>
        <v>6</v>
      </c>
      <c r="I24" s="163"/>
      <c r="J24" s="158"/>
      <c r="K24" s="159"/>
      <c r="L24" s="47"/>
      <c r="M24" s="163"/>
      <c r="N24" s="158">
        <f t="shared" si="2"/>
        <v>565</v>
      </c>
      <c r="O24" s="159"/>
      <c r="P24" s="47">
        <v>2</v>
      </c>
      <c r="Q24" s="198"/>
      <c r="R24" s="200"/>
      <c r="S24" s="202"/>
      <c r="T24" s="47">
        <f t="shared" si="3"/>
        <v>8</v>
      </c>
      <c r="U24" s="198"/>
      <c r="V24" s="200"/>
      <c r="W24" s="194"/>
      <c r="X24" s="195"/>
      <c r="Y24" s="196"/>
      <c r="Z24" s="47">
        <f t="shared" si="4"/>
        <v>4</v>
      </c>
      <c r="AA24" s="53"/>
      <c r="AB24">
        <f t="shared" si="5"/>
        <v>1000</v>
      </c>
      <c r="AC24">
        <f t="shared" si="6"/>
        <v>700</v>
      </c>
      <c r="AD24">
        <f t="shared" si="7"/>
        <v>3400</v>
      </c>
      <c r="AE24">
        <f t="shared" si="8"/>
        <v>3.4</v>
      </c>
      <c r="AF24" s="113">
        <f t="shared" si="9"/>
        <v>3.9099999999999997</v>
      </c>
      <c r="AG24" s="114">
        <f t="shared" si="10"/>
        <v>4</v>
      </c>
      <c r="AH24">
        <f t="shared" si="11"/>
        <v>3200</v>
      </c>
      <c r="AI24">
        <f t="shared" si="12"/>
        <v>3.2</v>
      </c>
      <c r="AJ24" s="113">
        <f t="shared" si="13"/>
        <v>3.6799999999999997</v>
      </c>
      <c r="AK24" s="117">
        <f t="shared" si="14"/>
        <v>4</v>
      </c>
    </row>
    <row r="25" spans="1:37">
      <c r="A25" s="43" t="str">
        <f>'1. 소켓인수검사'!A26</f>
        <v>18</v>
      </c>
      <c r="B25" s="57" t="s">
        <v>2</v>
      </c>
      <c r="C25" s="49">
        <f>'1. 소켓인수검사'!C26</f>
        <v>900</v>
      </c>
      <c r="D25" s="49">
        <f>'1. 소켓인수검사'!D26</f>
        <v>600</v>
      </c>
      <c r="E25" s="45"/>
      <c r="F25" s="163"/>
      <c r="G25" s="46">
        <f t="shared" si="0"/>
        <v>895</v>
      </c>
      <c r="H25" s="47">
        <f t="shared" si="1"/>
        <v>6</v>
      </c>
      <c r="I25" s="163"/>
      <c r="J25" s="158"/>
      <c r="K25" s="159"/>
      <c r="L25" s="47"/>
      <c r="M25" s="163"/>
      <c r="N25" s="158">
        <f t="shared" si="2"/>
        <v>565</v>
      </c>
      <c r="O25" s="159"/>
      <c r="P25" s="47">
        <v>2</v>
      </c>
      <c r="Q25" s="198"/>
      <c r="R25" s="200"/>
      <c r="S25" s="202"/>
      <c r="T25" s="47">
        <f t="shared" si="3"/>
        <v>8</v>
      </c>
      <c r="U25" s="198"/>
      <c r="V25" s="200"/>
      <c r="W25" s="194"/>
      <c r="X25" s="195"/>
      <c r="Y25" s="196"/>
      <c r="Z25" s="47">
        <f t="shared" si="4"/>
        <v>4</v>
      </c>
      <c r="AA25" s="53"/>
      <c r="AB25">
        <f t="shared" si="5"/>
        <v>1000</v>
      </c>
      <c r="AC25">
        <f t="shared" si="6"/>
        <v>700</v>
      </c>
      <c r="AD25">
        <f t="shared" si="7"/>
        <v>3400</v>
      </c>
      <c r="AE25">
        <f t="shared" si="8"/>
        <v>3.4</v>
      </c>
      <c r="AF25" s="113">
        <f t="shared" si="9"/>
        <v>3.9099999999999997</v>
      </c>
      <c r="AG25" s="114">
        <f t="shared" si="10"/>
        <v>4</v>
      </c>
      <c r="AH25">
        <f t="shared" si="11"/>
        <v>3200</v>
      </c>
      <c r="AI25">
        <f t="shared" si="12"/>
        <v>3.2</v>
      </c>
      <c r="AJ25" s="113">
        <f t="shared" si="13"/>
        <v>3.6799999999999997</v>
      </c>
      <c r="AK25" s="117">
        <f t="shared" si="14"/>
        <v>4</v>
      </c>
    </row>
    <row r="26" spans="1:37">
      <c r="A26" s="43" t="str">
        <f>'1. 소켓인수검사'!A27</f>
        <v>19</v>
      </c>
      <c r="B26" s="57" t="s">
        <v>2</v>
      </c>
      <c r="C26" s="49">
        <f>'1. 소켓인수검사'!C27</f>
        <v>900</v>
      </c>
      <c r="D26" s="49">
        <f>'1. 소켓인수검사'!D27</f>
        <v>600</v>
      </c>
      <c r="E26" s="45"/>
      <c r="F26" s="163"/>
      <c r="G26" s="46">
        <f t="shared" si="0"/>
        <v>895</v>
      </c>
      <c r="H26" s="47">
        <f t="shared" si="1"/>
        <v>6</v>
      </c>
      <c r="I26" s="163"/>
      <c r="J26" s="158"/>
      <c r="K26" s="159"/>
      <c r="L26" s="47"/>
      <c r="M26" s="163"/>
      <c r="N26" s="158">
        <f t="shared" si="2"/>
        <v>565</v>
      </c>
      <c r="O26" s="159"/>
      <c r="P26" s="47">
        <v>2</v>
      </c>
      <c r="Q26" s="198"/>
      <c r="R26" s="200"/>
      <c r="S26" s="202"/>
      <c r="T26" s="47">
        <f t="shared" si="3"/>
        <v>8</v>
      </c>
      <c r="U26" s="198"/>
      <c r="V26" s="200"/>
      <c r="W26" s="194"/>
      <c r="X26" s="195"/>
      <c r="Y26" s="196"/>
      <c r="Z26" s="47">
        <f t="shared" si="4"/>
        <v>4</v>
      </c>
      <c r="AA26" s="53"/>
      <c r="AB26">
        <f t="shared" si="5"/>
        <v>1000</v>
      </c>
      <c r="AC26">
        <f t="shared" si="6"/>
        <v>700</v>
      </c>
      <c r="AD26">
        <f t="shared" si="7"/>
        <v>3400</v>
      </c>
      <c r="AE26">
        <f t="shared" si="8"/>
        <v>3.4</v>
      </c>
      <c r="AF26" s="113">
        <f t="shared" si="9"/>
        <v>3.9099999999999997</v>
      </c>
      <c r="AG26" s="114">
        <f t="shared" si="10"/>
        <v>4</v>
      </c>
      <c r="AH26">
        <f t="shared" si="11"/>
        <v>3200</v>
      </c>
      <c r="AI26">
        <f t="shared" si="12"/>
        <v>3.2</v>
      </c>
      <c r="AJ26" s="113">
        <f t="shared" si="13"/>
        <v>3.6799999999999997</v>
      </c>
      <c r="AK26" s="117">
        <f t="shared" si="14"/>
        <v>4</v>
      </c>
    </row>
    <row r="27" spans="1:37">
      <c r="A27" s="43" t="str">
        <f>'1. 소켓인수검사'!A28</f>
        <v>20</v>
      </c>
      <c r="B27" s="58" t="s">
        <v>0</v>
      </c>
      <c r="C27" s="47">
        <f>'1. 소켓인수검사'!C28</f>
        <v>1100</v>
      </c>
      <c r="D27" s="47">
        <f>'1. 소켓인수검사'!D28</f>
        <v>700</v>
      </c>
      <c r="E27" s="45"/>
      <c r="F27" s="163"/>
      <c r="G27" s="46">
        <f>(C27-60)/2-5</f>
        <v>515</v>
      </c>
      <c r="H27" s="47">
        <f>3*4</f>
        <v>12</v>
      </c>
      <c r="I27" s="163"/>
      <c r="J27" s="158">
        <f>(C27-60)/2-5</f>
        <v>515</v>
      </c>
      <c r="K27" s="159">
        <f t="shared" ref="K27" si="15">(D27-20)/2-10</f>
        <v>330</v>
      </c>
      <c r="L27" s="47">
        <f>4*4</f>
        <v>16</v>
      </c>
      <c r="M27" s="163"/>
      <c r="N27" s="158"/>
      <c r="O27" s="159"/>
      <c r="P27" s="47"/>
      <c r="Q27" s="198"/>
      <c r="R27" s="200"/>
      <c r="S27" s="202"/>
      <c r="T27" s="47">
        <f t="shared" si="3"/>
        <v>10</v>
      </c>
      <c r="U27" s="198"/>
      <c r="V27" s="200"/>
      <c r="W27" s="194"/>
      <c r="X27" s="195"/>
      <c r="Y27" s="196"/>
      <c r="Z27" s="47">
        <f t="shared" si="4"/>
        <v>5</v>
      </c>
      <c r="AA27" s="53"/>
      <c r="AB27">
        <f t="shared" si="5"/>
        <v>1200</v>
      </c>
      <c r="AC27">
        <f t="shared" si="6"/>
        <v>800</v>
      </c>
      <c r="AD27">
        <f t="shared" si="7"/>
        <v>4000</v>
      </c>
      <c r="AE27">
        <f t="shared" si="8"/>
        <v>4</v>
      </c>
      <c r="AF27" s="113">
        <f t="shared" si="9"/>
        <v>4.5999999999999996</v>
      </c>
      <c r="AG27" s="114">
        <f t="shared" si="10"/>
        <v>5</v>
      </c>
      <c r="AH27">
        <f t="shared" si="11"/>
        <v>3800</v>
      </c>
      <c r="AI27">
        <f t="shared" si="12"/>
        <v>3.8</v>
      </c>
      <c r="AJ27" s="113">
        <f t="shared" si="13"/>
        <v>4.3699999999999992</v>
      </c>
      <c r="AK27" s="117">
        <f t="shared" si="14"/>
        <v>5</v>
      </c>
    </row>
    <row r="28" spans="1:37">
      <c r="A28" s="43" t="str">
        <f>'1. 소켓인수검사'!A29</f>
        <v>21</v>
      </c>
      <c r="B28" s="58" t="s">
        <v>0</v>
      </c>
      <c r="C28" s="47">
        <f>'1. 소켓인수검사'!C29</f>
        <v>1100</v>
      </c>
      <c r="D28" s="47">
        <f>'1. 소켓인수검사'!D29</f>
        <v>700</v>
      </c>
      <c r="E28" s="45"/>
      <c r="F28" s="163"/>
      <c r="G28" s="46">
        <f t="shared" ref="G28:G32" si="16">(C28-60)/2-5</f>
        <v>515</v>
      </c>
      <c r="H28" s="47">
        <f>3*4</f>
        <v>12</v>
      </c>
      <c r="I28" s="163"/>
      <c r="J28" s="158">
        <f t="shared" ref="J28:J32" si="17">(C28-60)/2-5</f>
        <v>515</v>
      </c>
      <c r="K28" s="159">
        <f t="shared" ref="K28:K32" si="18">(D28-20)/2-10</f>
        <v>330</v>
      </c>
      <c r="L28" s="47">
        <f>4*4</f>
        <v>16</v>
      </c>
      <c r="M28" s="163"/>
      <c r="N28" s="158"/>
      <c r="O28" s="159"/>
      <c r="P28" s="47"/>
      <c r="Q28" s="198"/>
      <c r="R28" s="200"/>
      <c r="S28" s="202"/>
      <c r="T28" s="47">
        <f t="shared" si="3"/>
        <v>10</v>
      </c>
      <c r="U28" s="198"/>
      <c r="V28" s="200"/>
      <c r="W28" s="194"/>
      <c r="X28" s="195"/>
      <c r="Y28" s="196"/>
      <c r="Z28" s="47">
        <f t="shared" si="4"/>
        <v>5</v>
      </c>
      <c r="AA28" s="53"/>
      <c r="AB28">
        <f t="shared" si="5"/>
        <v>1200</v>
      </c>
      <c r="AC28">
        <f t="shared" si="6"/>
        <v>800</v>
      </c>
      <c r="AD28">
        <f t="shared" si="7"/>
        <v>4000</v>
      </c>
      <c r="AE28">
        <f t="shared" si="8"/>
        <v>4</v>
      </c>
      <c r="AF28" s="113">
        <f t="shared" si="9"/>
        <v>4.5999999999999996</v>
      </c>
      <c r="AG28" s="114">
        <f t="shared" si="10"/>
        <v>5</v>
      </c>
      <c r="AH28">
        <f t="shared" si="11"/>
        <v>3800</v>
      </c>
      <c r="AI28">
        <f t="shared" si="12"/>
        <v>3.8</v>
      </c>
      <c r="AJ28" s="113">
        <f t="shared" si="13"/>
        <v>4.3699999999999992</v>
      </c>
      <c r="AK28" s="117">
        <f t="shared" si="14"/>
        <v>5</v>
      </c>
    </row>
    <row r="29" spans="1:37">
      <c r="A29" s="43" t="str">
        <f>'1. 소켓인수검사'!A30</f>
        <v>22</v>
      </c>
      <c r="B29" s="58" t="s">
        <v>0</v>
      </c>
      <c r="C29" s="47">
        <f>'1. 소켓인수검사'!C30</f>
        <v>1100</v>
      </c>
      <c r="D29" s="47">
        <f>'1. 소켓인수검사'!D30</f>
        <v>700</v>
      </c>
      <c r="E29" s="45"/>
      <c r="F29" s="163"/>
      <c r="G29" s="46">
        <f t="shared" si="16"/>
        <v>515</v>
      </c>
      <c r="H29" s="47">
        <f t="shared" ref="H29:H32" si="19">3*4</f>
        <v>12</v>
      </c>
      <c r="I29" s="163"/>
      <c r="J29" s="158">
        <f t="shared" si="17"/>
        <v>515</v>
      </c>
      <c r="K29" s="159">
        <f t="shared" si="18"/>
        <v>330</v>
      </c>
      <c r="L29" s="47">
        <f t="shared" ref="L29:L32" si="20">4*4</f>
        <v>16</v>
      </c>
      <c r="M29" s="163"/>
      <c r="N29" s="158"/>
      <c r="O29" s="159"/>
      <c r="P29" s="47"/>
      <c r="Q29" s="198"/>
      <c r="R29" s="200"/>
      <c r="S29" s="202"/>
      <c r="T29" s="47">
        <f t="shared" si="3"/>
        <v>10</v>
      </c>
      <c r="U29" s="198"/>
      <c r="V29" s="200"/>
      <c r="W29" s="194"/>
      <c r="X29" s="195"/>
      <c r="Y29" s="196"/>
      <c r="Z29" s="47">
        <f t="shared" si="4"/>
        <v>5</v>
      </c>
      <c r="AA29" s="53"/>
      <c r="AB29">
        <f t="shared" si="5"/>
        <v>1200</v>
      </c>
      <c r="AC29">
        <f t="shared" si="6"/>
        <v>800</v>
      </c>
      <c r="AD29">
        <f t="shared" si="7"/>
        <v>4000</v>
      </c>
      <c r="AE29">
        <f t="shared" si="8"/>
        <v>4</v>
      </c>
      <c r="AF29" s="113">
        <f t="shared" si="9"/>
        <v>4.5999999999999996</v>
      </c>
      <c r="AG29" s="114">
        <f t="shared" si="10"/>
        <v>5</v>
      </c>
      <c r="AH29">
        <f t="shared" si="11"/>
        <v>3800</v>
      </c>
      <c r="AI29">
        <f t="shared" si="12"/>
        <v>3.8</v>
      </c>
      <c r="AJ29" s="113">
        <f t="shared" si="13"/>
        <v>4.3699999999999992</v>
      </c>
      <c r="AK29" s="117">
        <f t="shared" si="14"/>
        <v>5</v>
      </c>
    </row>
    <row r="30" spans="1:37">
      <c r="A30" s="43" t="str">
        <f>'1. 소켓인수검사'!A31</f>
        <v>23</v>
      </c>
      <c r="B30" s="58" t="s">
        <v>0</v>
      </c>
      <c r="C30" s="47">
        <f>'1. 소켓인수검사'!C31</f>
        <v>1100</v>
      </c>
      <c r="D30" s="47">
        <f>'1. 소켓인수검사'!D31</f>
        <v>700</v>
      </c>
      <c r="E30" s="45"/>
      <c r="F30" s="163"/>
      <c r="G30" s="46">
        <f t="shared" si="16"/>
        <v>515</v>
      </c>
      <c r="H30" s="47">
        <f t="shared" si="19"/>
        <v>12</v>
      </c>
      <c r="I30" s="163"/>
      <c r="J30" s="158">
        <f t="shared" si="17"/>
        <v>515</v>
      </c>
      <c r="K30" s="159">
        <f t="shared" si="18"/>
        <v>330</v>
      </c>
      <c r="L30" s="47">
        <f t="shared" si="20"/>
        <v>16</v>
      </c>
      <c r="M30" s="163"/>
      <c r="N30" s="158"/>
      <c r="O30" s="159"/>
      <c r="P30" s="47"/>
      <c r="Q30" s="198"/>
      <c r="R30" s="200"/>
      <c r="S30" s="202"/>
      <c r="T30" s="47">
        <f t="shared" si="3"/>
        <v>10</v>
      </c>
      <c r="U30" s="198"/>
      <c r="V30" s="200"/>
      <c r="W30" s="194"/>
      <c r="X30" s="195"/>
      <c r="Y30" s="196"/>
      <c r="Z30" s="47">
        <f t="shared" si="4"/>
        <v>5</v>
      </c>
      <c r="AA30" s="53"/>
      <c r="AB30">
        <f t="shared" si="5"/>
        <v>1200</v>
      </c>
      <c r="AC30">
        <f t="shared" si="6"/>
        <v>800</v>
      </c>
      <c r="AD30">
        <f t="shared" si="7"/>
        <v>4000</v>
      </c>
      <c r="AE30">
        <f t="shared" si="8"/>
        <v>4</v>
      </c>
      <c r="AF30" s="113">
        <f t="shared" si="9"/>
        <v>4.5999999999999996</v>
      </c>
      <c r="AG30" s="114">
        <f t="shared" si="10"/>
        <v>5</v>
      </c>
      <c r="AH30">
        <f t="shared" si="11"/>
        <v>3800</v>
      </c>
      <c r="AI30">
        <f t="shared" si="12"/>
        <v>3.8</v>
      </c>
      <c r="AJ30" s="113">
        <f t="shared" si="13"/>
        <v>4.3699999999999992</v>
      </c>
      <c r="AK30" s="117">
        <f t="shared" si="14"/>
        <v>5</v>
      </c>
    </row>
    <row r="31" spans="1:37">
      <c r="A31" s="43" t="str">
        <f>'1. 소켓인수검사'!A32</f>
        <v>24</v>
      </c>
      <c r="B31" s="58" t="s">
        <v>0</v>
      </c>
      <c r="C31" s="49">
        <f>'1. 소켓인수검사'!C32</f>
        <v>1100</v>
      </c>
      <c r="D31" s="49">
        <f>'1. 소켓인수검사'!D32</f>
        <v>700</v>
      </c>
      <c r="E31" s="45"/>
      <c r="F31" s="163"/>
      <c r="G31" s="46">
        <f t="shared" si="16"/>
        <v>515</v>
      </c>
      <c r="H31" s="47">
        <f t="shared" si="19"/>
        <v>12</v>
      </c>
      <c r="I31" s="163"/>
      <c r="J31" s="158">
        <f t="shared" si="17"/>
        <v>515</v>
      </c>
      <c r="K31" s="159">
        <f t="shared" si="18"/>
        <v>330</v>
      </c>
      <c r="L31" s="47">
        <f t="shared" si="20"/>
        <v>16</v>
      </c>
      <c r="M31" s="163"/>
      <c r="N31" s="158"/>
      <c r="O31" s="159"/>
      <c r="P31" s="47"/>
      <c r="Q31" s="198"/>
      <c r="R31" s="200"/>
      <c r="S31" s="202"/>
      <c r="T31" s="47">
        <f t="shared" si="3"/>
        <v>10</v>
      </c>
      <c r="U31" s="198"/>
      <c r="V31" s="200"/>
      <c r="W31" s="194"/>
      <c r="X31" s="195"/>
      <c r="Y31" s="196"/>
      <c r="Z31" s="47">
        <f t="shared" si="4"/>
        <v>5</v>
      </c>
      <c r="AA31" s="53"/>
      <c r="AB31">
        <f t="shared" si="5"/>
        <v>1200</v>
      </c>
      <c r="AC31">
        <f t="shared" si="6"/>
        <v>800</v>
      </c>
      <c r="AD31">
        <f t="shared" si="7"/>
        <v>4000</v>
      </c>
      <c r="AE31">
        <f t="shared" si="8"/>
        <v>4</v>
      </c>
      <c r="AF31" s="113">
        <f t="shared" si="9"/>
        <v>4.5999999999999996</v>
      </c>
      <c r="AG31" s="114">
        <f t="shared" si="10"/>
        <v>5</v>
      </c>
      <c r="AH31">
        <f t="shared" si="11"/>
        <v>3800</v>
      </c>
      <c r="AI31">
        <f t="shared" si="12"/>
        <v>3.8</v>
      </c>
      <c r="AJ31" s="113">
        <f t="shared" si="13"/>
        <v>4.3699999999999992</v>
      </c>
      <c r="AK31" s="117">
        <f t="shared" si="14"/>
        <v>5</v>
      </c>
    </row>
    <row r="32" spans="1:37">
      <c r="A32" s="43" t="str">
        <f>'1. 소켓인수검사'!A33</f>
        <v>25</v>
      </c>
      <c r="B32" s="58" t="s">
        <v>0</v>
      </c>
      <c r="C32" s="49">
        <f>'1. 소켓인수검사'!C33</f>
        <v>1100</v>
      </c>
      <c r="D32" s="49">
        <f>'1. 소켓인수검사'!D33</f>
        <v>700</v>
      </c>
      <c r="E32" s="45"/>
      <c r="F32" s="163"/>
      <c r="G32" s="46">
        <f t="shared" si="16"/>
        <v>515</v>
      </c>
      <c r="H32" s="47">
        <f t="shared" si="19"/>
        <v>12</v>
      </c>
      <c r="I32" s="163"/>
      <c r="J32" s="158">
        <f t="shared" si="17"/>
        <v>515</v>
      </c>
      <c r="K32" s="159">
        <f t="shared" si="18"/>
        <v>330</v>
      </c>
      <c r="L32" s="47">
        <f t="shared" si="20"/>
        <v>16</v>
      </c>
      <c r="M32" s="163"/>
      <c r="N32" s="158"/>
      <c r="O32" s="159"/>
      <c r="P32" s="47"/>
      <c r="Q32" s="198"/>
      <c r="R32" s="200"/>
      <c r="S32" s="202"/>
      <c r="T32" s="47">
        <f t="shared" ref="T32" si="21">+AK32*2</f>
        <v>10</v>
      </c>
      <c r="U32" s="198"/>
      <c r="V32" s="200"/>
      <c r="W32" s="194"/>
      <c r="X32" s="195"/>
      <c r="Y32" s="196"/>
      <c r="Z32" s="47">
        <f t="shared" ref="Z32" si="22">+AG32</f>
        <v>5</v>
      </c>
      <c r="AA32" s="53"/>
      <c r="AB32">
        <f t="shared" ref="AB32" si="23" xml:space="preserve"> C32+$AC$5*2</f>
        <v>1200</v>
      </c>
      <c r="AC32">
        <f t="shared" ref="AC32" si="24" xml:space="preserve"> D32+$AC$5*2</f>
        <v>800</v>
      </c>
      <c r="AD32">
        <f t="shared" ref="AD32" si="25">(AB32+AC32)*2</f>
        <v>4000</v>
      </c>
      <c r="AE32">
        <f t="shared" ref="AE32" si="26">AD32/1000</f>
        <v>4</v>
      </c>
      <c r="AF32" s="113">
        <f t="shared" ref="AF32" si="27">AE32*(1+$AB$5/100)</f>
        <v>4.5999999999999996</v>
      </c>
      <c r="AG32" s="114">
        <f t="shared" ref="AG32" si="28">CEILING(AF32,1)</f>
        <v>5</v>
      </c>
      <c r="AH32">
        <f t="shared" ref="AH32" si="29">D32*2+AB32*2</f>
        <v>3800</v>
      </c>
      <c r="AI32">
        <f t="shared" ref="AI32" si="30">AH32/1000</f>
        <v>3.8</v>
      </c>
      <c r="AJ32" s="113">
        <f t="shared" ref="AJ32" si="31">AI32*(1+$AB$5/100)</f>
        <v>4.3699999999999992</v>
      </c>
      <c r="AK32" s="117">
        <f t="shared" ref="AK32" si="32">CEILING(AJ32,1)</f>
        <v>5</v>
      </c>
    </row>
    <row r="33" spans="1:27">
      <c r="A33" s="215" t="s">
        <v>26</v>
      </c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55">
        <f>SUM(T8:T32)</f>
        <v>196</v>
      </c>
      <c r="U33" s="91"/>
      <c r="V33" s="92"/>
      <c r="W33" s="217"/>
      <c r="X33" s="217"/>
      <c r="Y33" s="217"/>
      <c r="Z33" s="55">
        <f>SUM(Z8:Z32)</f>
        <v>103</v>
      </c>
      <c r="AA33" s="53"/>
    </row>
    <row r="34" spans="1:27" ht="8.1" customHeight="1">
      <c r="A34" s="172"/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5"/>
      <c r="N34" s="5"/>
      <c r="O34" s="5"/>
      <c r="P34" s="5"/>
      <c r="AA34" s="5"/>
    </row>
    <row r="35" spans="1:27">
      <c r="A35" s="205" t="s">
        <v>7</v>
      </c>
      <c r="B35" s="205"/>
      <c r="C35" s="205"/>
      <c r="D35" s="206" t="s">
        <v>62</v>
      </c>
      <c r="E35" s="207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8"/>
    </row>
    <row r="36" spans="1:27">
      <c r="A36" s="205"/>
      <c r="B36" s="205"/>
      <c r="C36" s="205"/>
      <c r="D36" s="209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  <c r="AA36" s="211"/>
    </row>
    <row r="37" spans="1:27">
      <c r="A37" s="205"/>
      <c r="B37" s="205"/>
      <c r="C37" s="205"/>
      <c r="D37" s="209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1"/>
    </row>
    <row r="38" spans="1:27">
      <c r="A38" s="205"/>
      <c r="B38" s="205"/>
      <c r="C38" s="205"/>
      <c r="D38" s="209"/>
      <c r="E38" s="210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  <c r="AA38" s="211"/>
    </row>
    <row r="39" spans="1:27">
      <c r="A39" s="205"/>
      <c r="B39" s="205"/>
      <c r="C39" s="205"/>
      <c r="D39" s="209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211"/>
    </row>
    <row r="40" spans="1:27">
      <c r="A40" s="205"/>
      <c r="B40" s="205"/>
      <c r="C40" s="205"/>
      <c r="D40" s="212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4"/>
    </row>
  </sheetData>
  <mergeCells count="85">
    <mergeCell ref="I8:I32"/>
    <mergeCell ref="F8:F32"/>
    <mergeCell ref="J21:K21"/>
    <mergeCell ref="J26:K26"/>
    <mergeCell ref="J22:K22"/>
    <mergeCell ref="J23:K23"/>
    <mergeCell ref="A34:L34"/>
    <mergeCell ref="A35:C40"/>
    <mergeCell ref="D35:AA40"/>
    <mergeCell ref="A33:S33"/>
    <mergeCell ref="W33:Y33"/>
    <mergeCell ref="W7:Y7"/>
    <mergeCell ref="J20:K20"/>
    <mergeCell ref="J8:K8"/>
    <mergeCell ref="J9:K9"/>
    <mergeCell ref="J10:K10"/>
    <mergeCell ref="J12:K12"/>
    <mergeCell ref="J13:K13"/>
    <mergeCell ref="J14:K14"/>
    <mergeCell ref="J15:K15"/>
    <mergeCell ref="J16:K16"/>
    <mergeCell ref="J17:K17"/>
    <mergeCell ref="J18:K18"/>
    <mergeCell ref="J19:K19"/>
    <mergeCell ref="J31:K31"/>
    <mergeCell ref="J32:K32"/>
    <mergeCell ref="J24:K24"/>
    <mergeCell ref="J11:K11"/>
    <mergeCell ref="Q6:T6"/>
    <mergeCell ref="J7:K7"/>
    <mergeCell ref="J25:K25"/>
    <mergeCell ref="J27:K27"/>
    <mergeCell ref="N31:O31"/>
    <mergeCell ref="N32:O32"/>
    <mergeCell ref="N29:O29"/>
    <mergeCell ref="W8:Y32"/>
    <mergeCell ref="Q8:Q32"/>
    <mergeCell ref="R8:R32"/>
    <mergeCell ref="S8:S32"/>
    <mergeCell ref="U8:U32"/>
    <mergeCell ref="V8:V32"/>
    <mergeCell ref="A1:D3"/>
    <mergeCell ref="A4:L4"/>
    <mergeCell ref="A5:A7"/>
    <mergeCell ref="B5:B7"/>
    <mergeCell ref="C5:D5"/>
    <mergeCell ref="E5:E7"/>
    <mergeCell ref="C6:C7"/>
    <mergeCell ref="D6:D7"/>
    <mergeCell ref="F5:P5"/>
    <mergeCell ref="F2:I3"/>
    <mergeCell ref="J2:AA3"/>
    <mergeCell ref="Q5:Z5"/>
    <mergeCell ref="AA5:AA7"/>
    <mergeCell ref="F6:H6"/>
    <mergeCell ref="I6:L6"/>
    <mergeCell ref="U6:Z6"/>
    <mergeCell ref="M6:P6"/>
    <mergeCell ref="N7:O7"/>
    <mergeCell ref="M8:M32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27:O27"/>
    <mergeCell ref="N28:O28"/>
    <mergeCell ref="J28:K28"/>
    <mergeCell ref="J29:K29"/>
    <mergeCell ref="J30:K30"/>
    <mergeCell ref="N30:O30"/>
    <mergeCell ref="N19:O19"/>
    <mergeCell ref="N20:O20"/>
    <mergeCell ref="N21:O21"/>
    <mergeCell ref="N22:O22"/>
    <mergeCell ref="N23:O23"/>
    <mergeCell ref="N24:O24"/>
    <mergeCell ref="N25:O25"/>
    <mergeCell ref="N26:O26"/>
  </mergeCells>
  <phoneticPr fontId="35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33"/>
  <sheetViews>
    <sheetView view="pageBreakPreview" zoomScale="85" zoomScaleNormal="85" zoomScaleSheetLayoutView="85" workbookViewId="0">
      <pane ySplit="7" topLeftCell="A12" activePane="bottomLeft" state="frozen"/>
      <selection pane="bottomLeft" activeCell="A33" sqref="A33:XFD86"/>
    </sheetView>
  </sheetViews>
  <sheetFormatPr defaultColWidth="9" defaultRowHeight="16.5"/>
  <cols>
    <col min="1" max="1" width="3.125" style="6" customWidth="1"/>
    <col min="2" max="2" width="5.125" style="6" customWidth="1"/>
    <col min="3" max="3" width="6.75" style="6" bestFit="1" customWidth="1"/>
    <col min="4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234"/>
      <c r="B1" s="235"/>
      <c r="C1" s="235"/>
      <c r="D1" s="235"/>
      <c r="E1" s="235"/>
      <c r="F1" s="105"/>
      <c r="G1" s="242" t="s">
        <v>85</v>
      </c>
      <c r="H1" s="242"/>
      <c r="I1" s="242"/>
      <c r="J1" s="242"/>
      <c r="K1" s="242"/>
      <c r="L1" s="242"/>
      <c r="M1" s="223" t="str">
        <f>'1. 소켓인수검사'!R1</f>
        <v>26.07.20 씨에스하이테크_삼성물산_세방테크_판교641 PSM타워</v>
      </c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4"/>
    </row>
    <row r="2" spans="1:51" ht="41.25">
      <c r="A2" s="236"/>
      <c r="B2" s="237"/>
      <c r="C2" s="237"/>
      <c r="D2" s="237"/>
      <c r="E2" s="237"/>
      <c r="F2" s="37"/>
      <c r="G2" s="243"/>
      <c r="H2" s="243"/>
      <c r="I2" s="243"/>
      <c r="J2" s="243"/>
      <c r="K2" s="243"/>
      <c r="L2" s="243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6"/>
    </row>
    <row r="3" spans="1:51" ht="42" thickBot="1">
      <c r="A3" s="238"/>
      <c r="B3" s="239"/>
      <c r="C3" s="239"/>
      <c r="D3" s="239"/>
      <c r="E3" s="239"/>
      <c r="F3" s="106"/>
      <c r="G3" s="244"/>
      <c r="H3" s="244"/>
      <c r="I3" s="244"/>
      <c r="J3" s="244"/>
      <c r="K3" s="244"/>
      <c r="L3" s="244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8"/>
    </row>
    <row r="4" spans="1:51" ht="8.1" customHeight="1" thickTop="1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39"/>
      <c r="AQ4" s="39"/>
      <c r="AR4" s="39"/>
      <c r="AS4" s="39"/>
      <c r="AT4" s="39"/>
      <c r="AU4" s="39"/>
      <c r="AV4" s="39"/>
      <c r="AW4" s="39"/>
      <c r="AX4" s="39"/>
      <c r="AY4" s="39"/>
    </row>
    <row r="5" spans="1:51" ht="21" customHeight="1">
      <c r="A5" s="241" t="s">
        <v>28</v>
      </c>
      <c r="B5" s="119"/>
      <c r="C5" s="220" t="s">
        <v>27</v>
      </c>
      <c r="D5" s="220"/>
      <c r="E5" s="220" t="s">
        <v>40</v>
      </c>
      <c r="F5" s="220" t="s">
        <v>44</v>
      </c>
      <c r="G5" s="220" t="s">
        <v>47</v>
      </c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121" t="s">
        <v>13</v>
      </c>
      <c r="AP5" s="220" t="s">
        <v>47</v>
      </c>
      <c r="AQ5" s="220"/>
      <c r="AR5" s="220"/>
      <c r="AS5" s="220"/>
      <c r="AT5" s="220"/>
      <c r="AU5" s="220"/>
      <c r="AV5" s="220"/>
      <c r="AW5" s="220"/>
      <c r="AX5" s="220"/>
      <c r="AY5" s="220"/>
    </row>
    <row r="6" spans="1:51" ht="21" customHeight="1">
      <c r="A6" s="241"/>
      <c r="B6" s="220" t="s">
        <v>33</v>
      </c>
      <c r="C6" s="220" t="s">
        <v>29</v>
      </c>
      <c r="D6" s="220" t="s">
        <v>17</v>
      </c>
      <c r="E6" s="220"/>
      <c r="F6" s="220"/>
      <c r="G6" s="220" t="s">
        <v>12</v>
      </c>
      <c r="H6" s="220"/>
      <c r="I6" s="220"/>
      <c r="J6" s="220"/>
      <c r="K6" s="220" t="s">
        <v>15</v>
      </c>
      <c r="L6" s="220"/>
      <c r="M6" s="220"/>
      <c r="N6" s="220"/>
      <c r="O6" s="220"/>
      <c r="P6" s="220"/>
      <c r="Q6" s="220" t="s">
        <v>129</v>
      </c>
      <c r="R6" s="220"/>
      <c r="S6" s="220"/>
      <c r="T6" s="220"/>
      <c r="U6" s="220"/>
      <c r="V6" s="220"/>
      <c r="W6" s="220" t="s">
        <v>14</v>
      </c>
      <c r="X6" s="220"/>
      <c r="Y6" s="220"/>
      <c r="Z6" s="220"/>
      <c r="AA6" s="220"/>
      <c r="AB6" s="220"/>
      <c r="AC6" s="220" t="s">
        <v>70</v>
      </c>
      <c r="AD6" s="220"/>
      <c r="AE6" s="220"/>
      <c r="AF6" s="220"/>
      <c r="AG6" s="220"/>
      <c r="AH6" s="220"/>
      <c r="AI6" s="220" t="s">
        <v>76</v>
      </c>
      <c r="AJ6" s="220"/>
      <c r="AK6" s="220"/>
      <c r="AL6" s="220"/>
      <c r="AM6" s="220"/>
      <c r="AN6" s="220"/>
      <c r="AO6" s="121"/>
      <c r="AP6" s="220" t="s">
        <v>58</v>
      </c>
      <c r="AQ6" s="220"/>
      <c r="AR6" s="220"/>
      <c r="AS6" s="220"/>
      <c r="AT6" s="220" t="s">
        <v>60</v>
      </c>
      <c r="AU6" s="220"/>
      <c r="AV6" s="220"/>
      <c r="AW6" s="220"/>
      <c r="AX6" s="220"/>
      <c r="AY6" s="220"/>
    </row>
    <row r="7" spans="1:51" ht="24.75" customHeight="1">
      <c r="A7" s="241"/>
      <c r="B7" s="220"/>
      <c r="C7" s="220"/>
      <c r="D7" s="220"/>
      <c r="E7" s="220"/>
      <c r="F7" s="220"/>
      <c r="G7" s="120" t="s">
        <v>32</v>
      </c>
      <c r="H7" s="120" t="s">
        <v>21</v>
      </c>
      <c r="I7" s="120" t="s">
        <v>27</v>
      </c>
      <c r="J7" s="120" t="s">
        <v>40</v>
      </c>
      <c r="K7" s="120" t="s">
        <v>32</v>
      </c>
      <c r="L7" s="120" t="s">
        <v>21</v>
      </c>
      <c r="M7" s="220" t="s">
        <v>27</v>
      </c>
      <c r="N7" s="220"/>
      <c r="O7" s="220"/>
      <c r="P7" s="120" t="s">
        <v>37</v>
      </c>
      <c r="Q7" s="120" t="s">
        <v>32</v>
      </c>
      <c r="R7" s="120" t="s">
        <v>21</v>
      </c>
      <c r="S7" s="220" t="s">
        <v>27</v>
      </c>
      <c r="T7" s="220"/>
      <c r="U7" s="220"/>
      <c r="V7" s="120" t="s">
        <v>37</v>
      </c>
      <c r="W7" s="120" t="s">
        <v>32</v>
      </c>
      <c r="X7" s="120" t="s">
        <v>21</v>
      </c>
      <c r="Y7" s="220" t="s">
        <v>27</v>
      </c>
      <c r="Z7" s="220"/>
      <c r="AA7" s="220"/>
      <c r="AB7" s="120" t="s">
        <v>37</v>
      </c>
      <c r="AC7" s="120" t="s">
        <v>32</v>
      </c>
      <c r="AD7" s="120" t="s">
        <v>21</v>
      </c>
      <c r="AE7" s="220" t="s">
        <v>27</v>
      </c>
      <c r="AF7" s="220"/>
      <c r="AG7" s="220"/>
      <c r="AH7" s="120" t="s">
        <v>37</v>
      </c>
      <c r="AI7" s="120" t="s">
        <v>32</v>
      </c>
      <c r="AJ7" s="120" t="s">
        <v>21</v>
      </c>
      <c r="AK7" s="220" t="s">
        <v>27</v>
      </c>
      <c r="AL7" s="220"/>
      <c r="AM7" s="220"/>
      <c r="AN7" s="120" t="s">
        <v>37</v>
      </c>
      <c r="AO7" s="121"/>
      <c r="AP7" s="120" t="s">
        <v>32</v>
      </c>
      <c r="AQ7" s="120" t="s">
        <v>21</v>
      </c>
      <c r="AR7" s="120" t="s">
        <v>27</v>
      </c>
      <c r="AS7" s="120" t="s">
        <v>40</v>
      </c>
      <c r="AT7" s="120" t="s">
        <v>32</v>
      </c>
      <c r="AU7" s="120" t="s">
        <v>21</v>
      </c>
      <c r="AV7" s="220" t="s">
        <v>27</v>
      </c>
      <c r="AW7" s="220"/>
      <c r="AX7" s="220"/>
      <c r="AY7" s="120" t="s">
        <v>37</v>
      </c>
    </row>
    <row r="8" spans="1:51" ht="16.5" customHeight="1">
      <c r="A8" s="122" t="str">
        <f>'1. 소켓인수검사'!A9</f>
        <v>01</v>
      </c>
      <c r="B8" s="57" t="s">
        <v>2</v>
      </c>
      <c r="C8" s="47">
        <f>'1. 소켓인수검사'!C9</f>
        <v>600</v>
      </c>
      <c r="D8" s="47">
        <f>'1. 소켓인수검사'!D9</f>
        <v>400</v>
      </c>
      <c r="E8" s="44">
        <v>1</v>
      </c>
      <c r="F8" s="45"/>
      <c r="G8" s="229" t="s">
        <v>82</v>
      </c>
      <c r="H8" s="230">
        <v>60</v>
      </c>
      <c r="I8" s="44">
        <f>(C8)-5</f>
        <v>595</v>
      </c>
      <c r="J8" s="44">
        <v>2</v>
      </c>
      <c r="K8" s="229" t="s">
        <v>82</v>
      </c>
      <c r="L8" s="231">
        <v>274</v>
      </c>
      <c r="M8" s="219">
        <f>C8-5</f>
        <v>595</v>
      </c>
      <c r="N8" s="219" t="e">
        <f>(#REF!-20)/2-10</f>
        <v>#REF!</v>
      </c>
      <c r="O8" s="219" t="e">
        <f>(#REF!-20)/2-10</f>
        <v>#REF!</v>
      </c>
      <c r="P8" s="44">
        <v>2</v>
      </c>
      <c r="Q8" s="221" t="s">
        <v>72</v>
      </c>
      <c r="R8" s="222">
        <v>60</v>
      </c>
      <c r="S8" s="219">
        <f>D8-35</f>
        <v>365</v>
      </c>
      <c r="T8" s="219" t="e">
        <v>#REF!</v>
      </c>
      <c r="U8" s="219">
        <v>-19.5</v>
      </c>
      <c r="V8" s="44">
        <v>4</v>
      </c>
      <c r="W8" s="221" t="s">
        <v>72</v>
      </c>
      <c r="X8" s="222">
        <v>50</v>
      </c>
      <c r="Y8" s="219">
        <f>D8</f>
        <v>400</v>
      </c>
      <c r="Z8" s="219">
        <f>(F8-20)/2-10</f>
        <v>-20</v>
      </c>
      <c r="AA8" s="219" t="e">
        <f>(G8-20)/2-10</f>
        <v>#VALUE!</v>
      </c>
      <c r="AB8" s="44">
        <v>3</v>
      </c>
      <c r="AC8" s="229" t="s">
        <v>82</v>
      </c>
      <c r="AD8" s="232"/>
      <c r="AE8" s="232"/>
      <c r="AF8" s="232"/>
      <c r="AG8" s="232"/>
      <c r="AH8" s="232"/>
      <c r="AI8" s="229" t="s">
        <v>82</v>
      </c>
      <c r="AJ8" s="233"/>
      <c r="AK8" s="233"/>
      <c r="AL8" s="233"/>
      <c r="AM8" s="233"/>
      <c r="AN8" s="233"/>
      <c r="AO8" s="44"/>
      <c r="AP8" s="229" t="s">
        <v>71</v>
      </c>
      <c r="AQ8" s="123">
        <v>260</v>
      </c>
      <c r="AR8" s="124">
        <v>1000</v>
      </c>
      <c r="AS8" s="118">
        <f>'2.1 재단(1.69,064)'!T8/2</f>
        <v>3</v>
      </c>
      <c r="AT8" s="229" t="s">
        <v>71</v>
      </c>
      <c r="AU8" s="125">
        <v>310</v>
      </c>
      <c r="AV8" s="245">
        <v>1000</v>
      </c>
      <c r="AW8" s="245"/>
      <c r="AX8" s="245"/>
      <c r="AY8" s="118">
        <f>'2.1 재단(1.69,064)'!Z8</f>
        <v>3</v>
      </c>
    </row>
    <row r="9" spans="1:51" ht="16.5" customHeight="1">
      <c r="A9" s="122" t="str">
        <f>'1. 소켓인수검사'!A10</f>
        <v>02</v>
      </c>
      <c r="B9" s="57" t="s">
        <v>2</v>
      </c>
      <c r="C9" s="47">
        <f>'1. 소켓인수검사'!C10</f>
        <v>600</v>
      </c>
      <c r="D9" s="47">
        <f>'1. 소켓인수검사'!D10</f>
        <v>400</v>
      </c>
      <c r="E9" s="44">
        <v>1</v>
      </c>
      <c r="F9" s="45"/>
      <c r="G9" s="229"/>
      <c r="H9" s="230"/>
      <c r="I9" s="44">
        <f t="shared" ref="I9:I26" si="0">(C9)-5</f>
        <v>595</v>
      </c>
      <c r="J9" s="44">
        <v>2</v>
      </c>
      <c r="K9" s="229"/>
      <c r="L9" s="231"/>
      <c r="M9" s="219">
        <f t="shared" ref="M9:M26" si="1">C9-5</f>
        <v>595</v>
      </c>
      <c r="N9" s="219" t="e">
        <f>(#REF!-20)/2-10</f>
        <v>#REF!</v>
      </c>
      <c r="O9" s="219" t="e">
        <f>(#REF!-20)/2-10</f>
        <v>#REF!</v>
      </c>
      <c r="P9" s="44">
        <v>2</v>
      </c>
      <c r="Q9" s="221"/>
      <c r="R9" s="222"/>
      <c r="S9" s="219">
        <f t="shared" ref="S9:S26" si="2">D9-35</f>
        <v>365</v>
      </c>
      <c r="T9" s="219" t="e">
        <v>#REF!</v>
      </c>
      <c r="U9" s="219">
        <v>-19.5</v>
      </c>
      <c r="V9" s="44">
        <v>4</v>
      </c>
      <c r="W9" s="221"/>
      <c r="X9" s="222"/>
      <c r="Y9" s="219">
        <f t="shared" ref="Y9:Y32" si="3">D9</f>
        <v>400</v>
      </c>
      <c r="Z9" s="219">
        <f t="shared" ref="Z9:Z32" si="4">(F9-20)/2-10</f>
        <v>-20</v>
      </c>
      <c r="AA9" s="219">
        <f t="shared" ref="AA9:AA32" si="5">(G9-20)/2-10</f>
        <v>-20</v>
      </c>
      <c r="AB9" s="44">
        <v>3</v>
      </c>
      <c r="AC9" s="229"/>
      <c r="AD9" s="232"/>
      <c r="AE9" s="232"/>
      <c r="AF9" s="232"/>
      <c r="AG9" s="232"/>
      <c r="AH9" s="232"/>
      <c r="AI9" s="229"/>
      <c r="AJ9" s="233"/>
      <c r="AK9" s="233"/>
      <c r="AL9" s="233"/>
      <c r="AM9" s="233"/>
      <c r="AN9" s="233"/>
      <c r="AO9" s="44"/>
      <c r="AP9" s="229"/>
      <c r="AQ9" s="123">
        <v>260</v>
      </c>
      <c r="AR9" s="124">
        <v>1000</v>
      </c>
      <c r="AS9" s="118">
        <f>'2.1 재단(1.69,064)'!T9/2</f>
        <v>3</v>
      </c>
      <c r="AT9" s="229"/>
      <c r="AU9" s="125">
        <v>310</v>
      </c>
      <c r="AV9" s="245">
        <v>1000</v>
      </c>
      <c r="AW9" s="245"/>
      <c r="AX9" s="245"/>
      <c r="AY9" s="118">
        <f>'2.1 재단(1.69,064)'!Z9</f>
        <v>3</v>
      </c>
    </row>
    <row r="10" spans="1:51" ht="16.5" customHeight="1">
      <c r="A10" s="122" t="str">
        <f>'1. 소켓인수검사'!A11</f>
        <v>03</v>
      </c>
      <c r="B10" s="57" t="s">
        <v>2</v>
      </c>
      <c r="C10" s="47">
        <f>'1. 소켓인수검사'!C11</f>
        <v>600</v>
      </c>
      <c r="D10" s="47">
        <f>'1. 소켓인수검사'!D11</f>
        <v>400</v>
      </c>
      <c r="E10" s="44">
        <v>1</v>
      </c>
      <c r="F10" s="45"/>
      <c r="G10" s="229"/>
      <c r="H10" s="230"/>
      <c r="I10" s="44">
        <f t="shared" si="0"/>
        <v>595</v>
      </c>
      <c r="J10" s="44">
        <v>2</v>
      </c>
      <c r="K10" s="229"/>
      <c r="L10" s="231"/>
      <c r="M10" s="219">
        <f t="shared" si="1"/>
        <v>595</v>
      </c>
      <c r="N10" s="219" t="e">
        <f>(#REF!-20)/2-10</f>
        <v>#REF!</v>
      </c>
      <c r="O10" s="219" t="e">
        <f>(#REF!-20)/2-10</f>
        <v>#REF!</v>
      </c>
      <c r="P10" s="44">
        <v>2</v>
      </c>
      <c r="Q10" s="221"/>
      <c r="R10" s="222"/>
      <c r="S10" s="219">
        <f t="shared" si="2"/>
        <v>365</v>
      </c>
      <c r="T10" s="219" t="e">
        <v>#REF!</v>
      </c>
      <c r="U10" s="219">
        <v>-19.5</v>
      </c>
      <c r="V10" s="44">
        <v>4</v>
      </c>
      <c r="W10" s="221"/>
      <c r="X10" s="222"/>
      <c r="Y10" s="219">
        <f t="shared" si="3"/>
        <v>400</v>
      </c>
      <c r="Z10" s="219">
        <f t="shared" si="4"/>
        <v>-20</v>
      </c>
      <c r="AA10" s="219">
        <f t="shared" si="5"/>
        <v>-20</v>
      </c>
      <c r="AB10" s="44">
        <v>3</v>
      </c>
      <c r="AC10" s="229"/>
      <c r="AD10" s="232"/>
      <c r="AE10" s="232"/>
      <c r="AF10" s="232"/>
      <c r="AG10" s="232"/>
      <c r="AH10" s="232"/>
      <c r="AI10" s="229"/>
      <c r="AJ10" s="233"/>
      <c r="AK10" s="233"/>
      <c r="AL10" s="233"/>
      <c r="AM10" s="233"/>
      <c r="AN10" s="233"/>
      <c r="AO10" s="44"/>
      <c r="AP10" s="229"/>
      <c r="AQ10" s="123">
        <v>260</v>
      </c>
      <c r="AR10" s="124">
        <v>1000</v>
      </c>
      <c r="AS10" s="118">
        <f>'2.1 재단(1.69,064)'!T10/2</f>
        <v>3</v>
      </c>
      <c r="AT10" s="229"/>
      <c r="AU10" s="125">
        <v>310</v>
      </c>
      <c r="AV10" s="245">
        <v>1000</v>
      </c>
      <c r="AW10" s="245"/>
      <c r="AX10" s="245"/>
      <c r="AY10" s="118">
        <f>'2.1 재단(1.69,064)'!Z10</f>
        <v>3</v>
      </c>
    </row>
    <row r="11" spans="1:51" ht="16.5" customHeight="1">
      <c r="A11" s="122" t="str">
        <f>'1. 소켓인수검사'!A12</f>
        <v>04</v>
      </c>
      <c r="B11" s="57" t="s">
        <v>2</v>
      </c>
      <c r="C11" s="47">
        <f>'1. 소켓인수검사'!C12</f>
        <v>700</v>
      </c>
      <c r="D11" s="47">
        <f>'1. 소켓인수검사'!D12</f>
        <v>450</v>
      </c>
      <c r="E11" s="44">
        <v>1</v>
      </c>
      <c r="F11" s="45"/>
      <c r="G11" s="229"/>
      <c r="H11" s="230"/>
      <c r="I11" s="44">
        <f t="shared" si="0"/>
        <v>695</v>
      </c>
      <c r="J11" s="44">
        <v>2</v>
      </c>
      <c r="K11" s="229"/>
      <c r="L11" s="231"/>
      <c r="M11" s="219">
        <f t="shared" si="1"/>
        <v>695</v>
      </c>
      <c r="N11" s="219" t="e">
        <f>(#REF!-20)/2-10</f>
        <v>#REF!</v>
      </c>
      <c r="O11" s="219" t="e">
        <f>(#REF!-20)/2-10</f>
        <v>#REF!</v>
      </c>
      <c r="P11" s="44">
        <v>2</v>
      </c>
      <c r="Q11" s="221"/>
      <c r="R11" s="222"/>
      <c r="S11" s="219">
        <f t="shared" si="2"/>
        <v>415</v>
      </c>
      <c r="T11" s="219" t="e">
        <v>#REF!</v>
      </c>
      <c r="U11" s="219">
        <v>-19.5</v>
      </c>
      <c r="V11" s="44">
        <v>4</v>
      </c>
      <c r="W11" s="221"/>
      <c r="X11" s="222"/>
      <c r="Y11" s="219">
        <f t="shared" si="3"/>
        <v>450</v>
      </c>
      <c r="Z11" s="219">
        <f t="shared" si="4"/>
        <v>-20</v>
      </c>
      <c r="AA11" s="219">
        <f t="shared" si="5"/>
        <v>-20</v>
      </c>
      <c r="AB11" s="44">
        <v>3</v>
      </c>
      <c r="AC11" s="229"/>
      <c r="AD11" s="232"/>
      <c r="AE11" s="232"/>
      <c r="AF11" s="232"/>
      <c r="AG11" s="232"/>
      <c r="AH11" s="232"/>
      <c r="AI11" s="229"/>
      <c r="AJ11" s="233"/>
      <c r="AK11" s="233"/>
      <c r="AL11" s="233"/>
      <c r="AM11" s="233"/>
      <c r="AN11" s="233"/>
      <c r="AO11" s="44"/>
      <c r="AP11" s="229"/>
      <c r="AQ11" s="123">
        <v>260</v>
      </c>
      <c r="AR11" s="124">
        <v>1000</v>
      </c>
      <c r="AS11" s="118">
        <f>'2.1 재단(1.69,064)'!T11/2</f>
        <v>3</v>
      </c>
      <c r="AT11" s="229"/>
      <c r="AU11" s="125">
        <v>310</v>
      </c>
      <c r="AV11" s="245">
        <v>1000</v>
      </c>
      <c r="AW11" s="245"/>
      <c r="AX11" s="245"/>
      <c r="AY11" s="118">
        <f>'2.1 재단(1.69,064)'!Z11</f>
        <v>4</v>
      </c>
    </row>
    <row r="12" spans="1:51" ht="16.5" customHeight="1">
      <c r="A12" s="122" t="str">
        <f>'1. 소켓인수검사'!A13</f>
        <v>05</v>
      </c>
      <c r="B12" s="57" t="s">
        <v>2</v>
      </c>
      <c r="C12" s="49">
        <f>'1. 소켓인수검사'!C13</f>
        <v>700</v>
      </c>
      <c r="D12" s="49">
        <f>'1. 소켓인수검사'!D13</f>
        <v>450</v>
      </c>
      <c r="E12" s="44">
        <v>1</v>
      </c>
      <c r="F12" s="45"/>
      <c r="G12" s="229"/>
      <c r="H12" s="230"/>
      <c r="I12" s="44">
        <f t="shared" si="0"/>
        <v>695</v>
      </c>
      <c r="J12" s="44">
        <v>2</v>
      </c>
      <c r="K12" s="229"/>
      <c r="L12" s="231"/>
      <c r="M12" s="219">
        <f t="shared" si="1"/>
        <v>695</v>
      </c>
      <c r="N12" s="219" t="e">
        <f>(#REF!-20)/2-10</f>
        <v>#REF!</v>
      </c>
      <c r="O12" s="219" t="e">
        <f>(#REF!-20)/2-10</f>
        <v>#REF!</v>
      </c>
      <c r="P12" s="44">
        <v>2</v>
      </c>
      <c r="Q12" s="221"/>
      <c r="R12" s="222"/>
      <c r="S12" s="219">
        <f t="shared" si="2"/>
        <v>415</v>
      </c>
      <c r="T12" s="219" t="e">
        <v>#REF!</v>
      </c>
      <c r="U12" s="219">
        <v>-19.5</v>
      </c>
      <c r="V12" s="44">
        <v>4</v>
      </c>
      <c r="W12" s="221"/>
      <c r="X12" s="222"/>
      <c r="Y12" s="219">
        <f t="shared" si="3"/>
        <v>450</v>
      </c>
      <c r="Z12" s="219">
        <f t="shared" si="4"/>
        <v>-20</v>
      </c>
      <c r="AA12" s="219">
        <f t="shared" si="5"/>
        <v>-20</v>
      </c>
      <c r="AB12" s="44">
        <v>3</v>
      </c>
      <c r="AC12" s="229"/>
      <c r="AD12" s="232"/>
      <c r="AE12" s="232"/>
      <c r="AF12" s="232"/>
      <c r="AG12" s="232"/>
      <c r="AH12" s="232"/>
      <c r="AI12" s="229"/>
      <c r="AJ12" s="233"/>
      <c r="AK12" s="233"/>
      <c r="AL12" s="233"/>
      <c r="AM12" s="233"/>
      <c r="AN12" s="233"/>
      <c r="AO12" s="44"/>
      <c r="AP12" s="229"/>
      <c r="AQ12" s="123">
        <v>260</v>
      </c>
      <c r="AR12" s="124">
        <v>1000</v>
      </c>
      <c r="AS12" s="118">
        <f>'2.1 재단(1.69,064)'!T12/2</f>
        <v>3</v>
      </c>
      <c r="AT12" s="229"/>
      <c r="AU12" s="125">
        <v>310</v>
      </c>
      <c r="AV12" s="245">
        <v>1000</v>
      </c>
      <c r="AW12" s="245"/>
      <c r="AX12" s="245"/>
      <c r="AY12" s="118">
        <f>'2.1 재단(1.69,064)'!Z12</f>
        <v>4</v>
      </c>
    </row>
    <row r="13" spans="1:51" ht="16.5" customHeight="1">
      <c r="A13" s="122" t="str">
        <f>'1. 소켓인수검사'!A14</f>
        <v>06</v>
      </c>
      <c r="B13" s="57" t="s">
        <v>2</v>
      </c>
      <c r="C13" s="49">
        <f>'1. 소켓인수검사'!C14</f>
        <v>700</v>
      </c>
      <c r="D13" s="49">
        <f>'1. 소켓인수검사'!D14</f>
        <v>450</v>
      </c>
      <c r="E13" s="44">
        <v>1</v>
      </c>
      <c r="F13" s="45"/>
      <c r="G13" s="229"/>
      <c r="H13" s="230"/>
      <c r="I13" s="44">
        <f t="shared" si="0"/>
        <v>695</v>
      </c>
      <c r="J13" s="44">
        <v>2</v>
      </c>
      <c r="K13" s="229"/>
      <c r="L13" s="231"/>
      <c r="M13" s="219">
        <f t="shared" si="1"/>
        <v>695</v>
      </c>
      <c r="N13" s="219" t="e">
        <f>(#REF!-20)/2-10</f>
        <v>#REF!</v>
      </c>
      <c r="O13" s="219" t="e">
        <f>(#REF!-20)/2-10</f>
        <v>#REF!</v>
      </c>
      <c r="P13" s="44">
        <v>2</v>
      </c>
      <c r="Q13" s="221"/>
      <c r="R13" s="222"/>
      <c r="S13" s="219">
        <f t="shared" si="2"/>
        <v>415</v>
      </c>
      <c r="T13" s="219" t="e">
        <v>#REF!</v>
      </c>
      <c r="U13" s="219">
        <v>-19.5</v>
      </c>
      <c r="V13" s="44">
        <v>4</v>
      </c>
      <c r="W13" s="221"/>
      <c r="X13" s="222"/>
      <c r="Y13" s="219">
        <f t="shared" si="3"/>
        <v>450</v>
      </c>
      <c r="Z13" s="219">
        <f t="shared" si="4"/>
        <v>-20</v>
      </c>
      <c r="AA13" s="219">
        <f t="shared" si="5"/>
        <v>-20</v>
      </c>
      <c r="AB13" s="44">
        <v>3</v>
      </c>
      <c r="AC13" s="229"/>
      <c r="AD13" s="232"/>
      <c r="AE13" s="232"/>
      <c r="AF13" s="232"/>
      <c r="AG13" s="232"/>
      <c r="AH13" s="232"/>
      <c r="AI13" s="229"/>
      <c r="AJ13" s="233"/>
      <c r="AK13" s="233"/>
      <c r="AL13" s="233"/>
      <c r="AM13" s="233"/>
      <c r="AN13" s="233"/>
      <c r="AO13" s="44"/>
      <c r="AP13" s="229"/>
      <c r="AQ13" s="123">
        <v>260</v>
      </c>
      <c r="AR13" s="124">
        <v>1000</v>
      </c>
      <c r="AS13" s="118">
        <f>'2.1 재단(1.69,064)'!T13/2</f>
        <v>3</v>
      </c>
      <c r="AT13" s="229"/>
      <c r="AU13" s="125">
        <v>310</v>
      </c>
      <c r="AV13" s="245">
        <v>1000</v>
      </c>
      <c r="AW13" s="245"/>
      <c r="AX13" s="245"/>
      <c r="AY13" s="118">
        <f>'2.1 재단(1.69,064)'!Z13</f>
        <v>4</v>
      </c>
    </row>
    <row r="14" spans="1:51" ht="16.5" customHeight="1">
      <c r="A14" s="122" t="str">
        <f>'1. 소켓인수검사'!A15</f>
        <v>07</v>
      </c>
      <c r="B14" s="57" t="s">
        <v>2</v>
      </c>
      <c r="C14" s="49">
        <f>'1. 소켓인수검사'!C15</f>
        <v>700</v>
      </c>
      <c r="D14" s="49">
        <f>'1. 소켓인수검사'!D15</f>
        <v>450</v>
      </c>
      <c r="E14" s="44">
        <v>1</v>
      </c>
      <c r="F14" s="45"/>
      <c r="G14" s="229"/>
      <c r="H14" s="230"/>
      <c r="I14" s="44">
        <f t="shared" si="0"/>
        <v>695</v>
      </c>
      <c r="J14" s="44">
        <v>2</v>
      </c>
      <c r="K14" s="229"/>
      <c r="L14" s="231"/>
      <c r="M14" s="219">
        <f t="shared" si="1"/>
        <v>695</v>
      </c>
      <c r="N14" s="219" t="e">
        <f>(#REF!-20)/2-10</f>
        <v>#REF!</v>
      </c>
      <c r="O14" s="219" t="e">
        <f>(#REF!-20)/2-10</f>
        <v>#REF!</v>
      </c>
      <c r="P14" s="44">
        <v>2</v>
      </c>
      <c r="Q14" s="221"/>
      <c r="R14" s="222"/>
      <c r="S14" s="219">
        <f t="shared" si="2"/>
        <v>415</v>
      </c>
      <c r="T14" s="219" t="e">
        <v>#REF!</v>
      </c>
      <c r="U14" s="219">
        <v>-19.5</v>
      </c>
      <c r="V14" s="44">
        <v>4</v>
      </c>
      <c r="W14" s="221"/>
      <c r="X14" s="222"/>
      <c r="Y14" s="219">
        <f t="shared" si="3"/>
        <v>450</v>
      </c>
      <c r="Z14" s="219">
        <f t="shared" si="4"/>
        <v>-20</v>
      </c>
      <c r="AA14" s="219">
        <f t="shared" si="5"/>
        <v>-20</v>
      </c>
      <c r="AB14" s="44">
        <v>3</v>
      </c>
      <c r="AC14" s="229"/>
      <c r="AD14" s="232"/>
      <c r="AE14" s="232"/>
      <c r="AF14" s="232"/>
      <c r="AG14" s="232"/>
      <c r="AH14" s="232"/>
      <c r="AI14" s="229"/>
      <c r="AJ14" s="233"/>
      <c r="AK14" s="233"/>
      <c r="AL14" s="233"/>
      <c r="AM14" s="233"/>
      <c r="AN14" s="233"/>
      <c r="AO14" s="44"/>
      <c r="AP14" s="229"/>
      <c r="AQ14" s="123">
        <v>260</v>
      </c>
      <c r="AR14" s="124">
        <v>1000</v>
      </c>
      <c r="AS14" s="118">
        <f>'2.1 재단(1.69,064)'!T14/2</f>
        <v>3</v>
      </c>
      <c r="AT14" s="229"/>
      <c r="AU14" s="125">
        <v>310</v>
      </c>
      <c r="AV14" s="245">
        <v>1000</v>
      </c>
      <c r="AW14" s="245"/>
      <c r="AX14" s="245"/>
      <c r="AY14" s="118">
        <f>'2.1 재단(1.69,064)'!Z14</f>
        <v>4</v>
      </c>
    </row>
    <row r="15" spans="1:51" ht="16.5" customHeight="1">
      <c r="A15" s="122" t="str">
        <f>'1. 소켓인수검사'!A16</f>
        <v>08</v>
      </c>
      <c r="B15" s="57" t="s">
        <v>2</v>
      </c>
      <c r="C15" s="49">
        <f>'1. 소켓인수검사'!C16</f>
        <v>700</v>
      </c>
      <c r="D15" s="49">
        <f>'1. 소켓인수검사'!D16</f>
        <v>450</v>
      </c>
      <c r="E15" s="44">
        <v>1</v>
      </c>
      <c r="F15" s="45"/>
      <c r="G15" s="229"/>
      <c r="H15" s="230"/>
      <c r="I15" s="44">
        <f t="shared" si="0"/>
        <v>695</v>
      </c>
      <c r="J15" s="44">
        <v>2</v>
      </c>
      <c r="K15" s="229"/>
      <c r="L15" s="231"/>
      <c r="M15" s="219">
        <f t="shared" si="1"/>
        <v>695</v>
      </c>
      <c r="N15" s="219" t="e">
        <f>(#REF!-20)/2-10</f>
        <v>#REF!</v>
      </c>
      <c r="O15" s="219" t="e">
        <f>(#REF!-20)/2-10</f>
        <v>#REF!</v>
      </c>
      <c r="P15" s="44">
        <v>2</v>
      </c>
      <c r="Q15" s="221"/>
      <c r="R15" s="222"/>
      <c r="S15" s="219">
        <f t="shared" si="2"/>
        <v>415</v>
      </c>
      <c r="T15" s="219" t="e">
        <v>#REF!</v>
      </c>
      <c r="U15" s="219">
        <v>-19.5</v>
      </c>
      <c r="V15" s="44">
        <v>4</v>
      </c>
      <c r="W15" s="221"/>
      <c r="X15" s="222"/>
      <c r="Y15" s="219">
        <f t="shared" si="3"/>
        <v>450</v>
      </c>
      <c r="Z15" s="219">
        <f t="shared" si="4"/>
        <v>-20</v>
      </c>
      <c r="AA15" s="219">
        <f t="shared" si="5"/>
        <v>-20</v>
      </c>
      <c r="AB15" s="44">
        <v>3</v>
      </c>
      <c r="AC15" s="229"/>
      <c r="AD15" s="232"/>
      <c r="AE15" s="232"/>
      <c r="AF15" s="232"/>
      <c r="AG15" s="232"/>
      <c r="AH15" s="232"/>
      <c r="AI15" s="229"/>
      <c r="AJ15" s="233"/>
      <c r="AK15" s="233"/>
      <c r="AL15" s="233"/>
      <c r="AM15" s="233"/>
      <c r="AN15" s="233"/>
      <c r="AO15" s="44"/>
      <c r="AP15" s="229"/>
      <c r="AQ15" s="123">
        <v>260</v>
      </c>
      <c r="AR15" s="124">
        <v>1000</v>
      </c>
      <c r="AS15" s="118">
        <f>'2.1 재단(1.69,064)'!T15/2</f>
        <v>3</v>
      </c>
      <c r="AT15" s="229"/>
      <c r="AU15" s="125">
        <v>310</v>
      </c>
      <c r="AV15" s="245">
        <v>1000</v>
      </c>
      <c r="AW15" s="245"/>
      <c r="AX15" s="245"/>
      <c r="AY15" s="118">
        <f>'2.1 재단(1.69,064)'!Z15</f>
        <v>4</v>
      </c>
    </row>
    <row r="16" spans="1:51" ht="16.5" customHeight="1">
      <c r="A16" s="122" t="str">
        <f>'1. 소켓인수검사'!A17</f>
        <v>09</v>
      </c>
      <c r="B16" s="57" t="s">
        <v>2</v>
      </c>
      <c r="C16" s="49">
        <f>'1. 소켓인수검사'!C17</f>
        <v>850</v>
      </c>
      <c r="D16" s="49">
        <f>'1. 소켓인수검사'!D17</f>
        <v>600</v>
      </c>
      <c r="E16" s="44">
        <v>1</v>
      </c>
      <c r="F16" s="45"/>
      <c r="G16" s="229"/>
      <c r="H16" s="230"/>
      <c r="I16" s="44">
        <f t="shared" si="0"/>
        <v>845</v>
      </c>
      <c r="J16" s="44">
        <v>2</v>
      </c>
      <c r="K16" s="229"/>
      <c r="L16" s="231"/>
      <c r="M16" s="219">
        <f t="shared" si="1"/>
        <v>845</v>
      </c>
      <c r="N16" s="219" t="e">
        <f>(#REF!-20)/2-10</f>
        <v>#REF!</v>
      </c>
      <c r="O16" s="219" t="e">
        <f>(#REF!-20)/2-10</f>
        <v>#REF!</v>
      </c>
      <c r="P16" s="44">
        <v>2</v>
      </c>
      <c r="Q16" s="221"/>
      <c r="R16" s="222"/>
      <c r="S16" s="219">
        <f t="shared" si="2"/>
        <v>565</v>
      </c>
      <c r="T16" s="219" t="e">
        <v>#REF!</v>
      </c>
      <c r="U16" s="219">
        <v>-19.5</v>
      </c>
      <c r="V16" s="44">
        <v>4</v>
      </c>
      <c r="W16" s="221"/>
      <c r="X16" s="222"/>
      <c r="Y16" s="219">
        <f t="shared" si="3"/>
        <v>600</v>
      </c>
      <c r="Z16" s="219">
        <f t="shared" si="4"/>
        <v>-20</v>
      </c>
      <c r="AA16" s="219">
        <f t="shared" si="5"/>
        <v>-20</v>
      </c>
      <c r="AB16" s="44">
        <v>3</v>
      </c>
      <c r="AC16" s="229"/>
      <c r="AD16" s="232"/>
      <c r="AE16" s="232"/>
      <c r="AF16" s="232"/>
      <c r="AG16" s="232"/>
      <c r="AH16" s="232"/>
      <c r="AI16" s="229"/>
      <c r="AJ16" s="233"/>
      <c r="AK16" s="233"/>
      <c r="AL16" s="233"/>
      <c r="AM16" s="233"/>
      <c r="AN16" s="233"/>
      <c r="AO16" s="44"/>
      <c r="AP16" s="229"/>
      <c r="AQ16" s="123">
        <v>260</v>
      </c>
      <c r="AR16" s="124">
        <v>1000</v>
      </c>
      <c r="AS16" s="118">
        <f>'2.1 재단(1.69,064)'!T16/2</f>
        <v>4</v>
      </c>
      <c r="AT16" s="229"/>
      <c r="AU16" s="125">
        <v>310</v>
      </c>
      <c r="AV16" s="245">
        <v>1000</v>
      </c>
      <c r="AW16" s="245"/>
      <c r="AX16" s="245"/>
      <c r="AY16" s="118">
        <f>'2.1 재단(1.69,064)'!Z16</f>
        <v>4</v>
      </c>
    </row>
    <row r="17" spans="1:51" ht="16.5" customHeight="1">
      <c r="A17" s="122" t="str">
        <f>'1. 소켓인수검사'!A18</f>
        <v>10</v>
      </c>
      <c r="B17" s="57" t="s">
        <v>2</v>
      </c>
      <c r="C17" s="49">
        <f>'1. 소켓인수검사'!C18</f>
        <v>850</v>
      </c>
      <c r="D17" s="49">
        <f>'1. 소켓인수검사'!D18</f>
        <v>600</v>
      </c>
      <c r="E17" s="44">
        <v>1</v>
      </c>
      <c r="F17" s="45"/>
      <c r="G17" s="229"/>
      <c r="H17" s="230"/>
      <c r="I17" s="44">
        <f t="shared" si="0"/>
        <v>845</v>
      </c>
      <c r="J17" s="44">
        <v>2</v>
      </c>
      <c r="K17" s="229"/>
      <c r="L17" s="231"/>
      <c r="M17" s="219">
        <f t="shared" si="1"/>
        <v>845</v>
      </c>
      <c r="N17" s="219" t="e">
        <f>(#REF!-20)/2-10</f>
        <v>#REF!</v>
      </c>
      <c r="O17" s="219" t="e">
        <f>(#REF!-20)/2-10</f>
        <v>#REF!</v>
      </c>
      <c r="P17" s="44">
        <v>2</v>
      </c>
      <c r="Q17" s="221"/>
      <c r="R17" s="222"/>
      <c r="S17" s="219">
        <f t="shared" si="2"/>
        <v>565</v>
      </c>
      <c r="T17" s="219" t="e">
        <v>#REF!</v>
      </c>
      <c r="U17" s="219">
        <v>-19.5</v>
      </c>
      <c r="V17" s="44">
        <v>4</v>
      </c>
      <c r="W17" s="221"/>
      <c r="X17" s="222"/>
      <c r="Y17" s="219">
        <f t="shared" si="3"/>
        <v>600</v>
      </c>
      <c r="Z17" s="219">
        <f t="shared" si="4"/>
        <v>-20</v>
      </c>
      <c r="AA17" s="219">
        <f t="shared" si="5"/>
        <v>-20</v>
      </c>
      <c r="AB17" s="44">
        <v>3</v>
      </c>
      <c r="AC17" s="229"/>
      <c r="AD17" s="232"/>
      <c r="AE17" s="232"/>
      <c r="AF17" s="232"/>
      <c r="AG17" s="232"/>
      <c r="AH17" s="232"/>
      <c r="AI17" s="229"/>
      <c r="AJ17" s="233"/>
      <c r="AK17" s="233"/>
      <c r="AL17" s="233"/>
      <c r="AM17" s="233"/>
      <c r="AN17" s="233"/>
      <c r="AO17" s="44"/>
      <c r="AP17" s="229"/>
      <c r="AQ17" s="123">
        <v>260</v>
      </c>
      <c r="AR17" s="124">
        <v>1000</v>
      </c>
      <c r="AS17" s="118">
        <f>'2.1 재단(1.69,064)'!T17/2</f>
        <v>4</v>
      </c>
      <c r="AT17" s="229"/>
      <c r="AU17" s="125">
        <v>310</v>
      </c>
      <c r="AV17" s="245">
        <v>1000</v>
      </c>
      <c r="AW17" s="245"/>
      <c r="AX17" s="245"/>
      <c r="AY17" s="118">
        <f>'2.1 재단(1.69,064)'!Z17</f>
        <v>4</v>
      </c>
    </row>
    <row r="18" spans="1:51" ht="16.5" customHeight="1">
      <c r="A18" s="122" t="str">
        <f>'1. 소켓인수검사'!A19</f>
        <v>11</v>
      </c>
      <c r="B18" s="57" t="s">
        <v>2</v>
      </c>
      <c r="C18" s="49">
        <f>'1. 소켓인수검사'!C19</f>
        <v>850</v>
      </c>
      <c r="D18" s="49">
        <f>'1. 소켓인수검사'!D19</f>
        <v>600</v>
      </c>
      <c r="E18" s="44">
        <v>1</v>
      </c>
      <c r="F18" s="45"/>
      <c r="G18" s="229"/>
      <c r="H18" s="230"/>
      <c r="I18" s="44">
        <f t="shared" si="0"/>
        <v>845</v>
      </c>
      <c r="J18" s="44">
        <v>2</v>
      </c>
      <c r="K18" s="229"/>
      <c r="L18" s="231"/>
      <c r="M18" s="219">
        <f t="shared" si="1"/>
        <v>845</v>
      </c>
      <c r="N18" s="219" t="e">
        <f>(#REF!-20)/2-10</f>
        <v>#REF!</v>
      </c>
      <c r="O18" s="219" t="e">
        <f>(#REF!-20)/2-10</f>
        <v>#REF!</v>
      </c>
      <c r="P18" s="44">
        <v>2</v>
      </c>
      <c r="Q18" s="221"/>
      <c r="R18" s="222"/>
      <c r="S18" s="219">
        <f t="shared" si="2"/>
        <v>565</v>
      </c>
      <c r="T18" s="219" t="e">
        <v>#REF!</v>
      </c>
      <c r="U18" s="219">
        <v>-19.5</v>
      </c>
      <c r="V18" s="44">
        <v>4</v>
      </c>
      <c r="W18" s="221"/>
      <c r="X18" s="222"/>
      <c r="Y18" s="219">
        <f t="shared" si="3"/>
        <v>600</v>
      </c>
      <c r="Z18" s="219">
        <f t="shared" si="4"/>
        <v>-20</v>
      </c>
      <c r="AA18" s="219">
        <f t="shared" si="5"/>
        <v>-20</v>
      </c>
      <c r="AB18" s="44">
        <v>3</v>
      </c>
      <c r="AC18" s="229"/>
      <c r="AD18" s="232"/>
      <c r="AE18" s="232"/>
      <c r="AF18" s="232"/>
      <c r="AG18" s="232"/>
      <c r="AH18" s="232"/>
      <c r="AI18" s="229"/>
      <c r="AJ18" s="233"/>
      <c r="AK18" s="233"/>
      <c r="AL18" s="233"/>
      <c r="AM18" s="233"/>
      <c r="AN18" s="233"/>
      <c r="AO18" s="44"/>
      <c r="AP18" s="229"/>
      <c r="AQ18" s="123">
        <v>260</v>
      </c>
      <c r="AR18" s="124">
        <v>1000</v>
      </c>
      <c r="AS18" s="118">
        <f>'2.1 재단(1.69,064)'!T18/2</f>
        <v>4</v>
      </c>
      <c r="AT18" s="229"/>
      <c r="AU18" s="125">
        <v>310</v>
      </c>
      <c r="AV18" s="245">
        <v>1000</v>
      </c>
      <c r="AW18" s="245"/>
      <c r="AX18" s="245"/>
      <c r="AY18" s="118">
        <f>'2.1 재단(1.69,064)'!Z18</f>
        <v>4</v>
      </c>
    </row>
    <row r="19" spans="1:51" ht="16.5" customHeight="1">
      <c r="A19" s="122" t="str">
        <f>'1. 소켓인수검사'!A20</f>
        <v>12</v>
      </c>
      <c r="B19" s="57" t="s">
        <v>2</v>
      </c>
      <c r="C19" s="49">
        <f>'1. 소켓인수검사'!C20</f>
        <v>850</v>
      </c>
      <c r="D19" s="49">
        <f>'1. 소켓인수검사'!D20</f>
        <v>600</v>
      </c>
      <c r="E19" s="44">
        <v>1</v>
      </c>
      <c r="F19" s="45"/>
      <c r="G19" s="229"/>
      <c r="H19" s="230"/>
      <c r="I19" s="44">
        <f t="shared" si="0"/>
        <v>845</v>
      </c>
      <c r="J19" s="44">
        <v>2</v>
      </c>
      <c r="K19" s="229"/>
      <c r="L19" s="231"/>
      <c r="M19" s="219">
        <f t="shared" si="1"/>
        <v>845</v>
      </c>
      <c r="N19" s="219" t="e">
        <f>(#REF!-20)/2-10</f>
        <v>#REF!</v>
      </c>
      <c r="O19" s="219" t="e">
        <f>(#REF!-20)/2-10</f>
        <v>#REF!</v>
      </c>
      <c r="P19" s="44">
        <v>2</v>
      </c>
      <c r="Q19" s="221"/>
      <c r="R19" s="222"/>
      <c r="S19" s="219">
        <f t="shared" si="2"/>
        <v>565</v>
      </c>
      <c r="T19" s="219" t="e">
        <v>#REF!</v>
      </c>
      <c r="U19" s="219">
        <v>-19.5</v>
      </c>
      <c r="V19" s="44">
        <v>4</v>
      </c>
      <c r="W19" s="221"/>
      <c r="X19" s="222"/>
      <c r="Y19" s="219">
        <f t="shared" si="3"/>
        <v>600</v>
      </c>
      <c r="Z19" s="219">
        <f t="shared" si="4"/>
        <v>-20</v>
      </c>
      <c r="AA19" s="219">
        <f t="shared" si="5"/>
        <v>-20</v>
      </c>
      <c r="AB19" s="44">
        <v>3</v>
      </c>
      <c r="AC19" s="229"/>
      <c r="AD19" s="232"/>
      <c r="AE19" s="232"/>
      <c r="AF19" s="232"/>
      <c r="AG19" s="232"/>
      <c r="AH19" s="232"/>
      <c r="AI19" s="229"/>
      <c r="AJ19" s="233"/>
      <c r="AK19" s="233"/>
      <c r="AL19" s="233"/>
      <c r="AM19" s="233"/>
      <c r="AN19" s="233"/>
      <c r="AO19" s="44"/>
      <c r="AP19" s="229"/>
      <c r="AQ19" s="123">
        <v>260</v>
      </c>
      <c r="AR19" s="124">
        <v>1000</v>
      </c>
      <c r="AS19" s="118">
        <f>'2.1 재단(1.69,064)'!T19/2</f>
        <v>4</v>
      </c>
      <c r="AT19" s="229"/>
      <c r="AU19" s="125">
        <v>310</v>
      </c>
      <c r="AV19" s="245">
        <v>1000</v>
      </c>
      <c r="AW19" s="245"/>
      <c r="AX19" s="245"/>
      <c r="AY19" s="118">
        <f>'2.1 재단(1.69,064)'!Z19</f>
        <v>4</v>
      </c>
    </row>
    <row r="20" spans="1:51" ht="16.5" customHeight="1">
      <c r="A20" s="122" t="str">
        <f>'1. 소켓인수검사'!A21</f>
        <v>13</v>
      </c>
      <c r="B20" s="57" t="s">
        <v>2</v>
      </c>
      <c r="C20" s="49">
        <f>'1. 소켓인수검사'!C21</f>
        <v>850</v>
      </c>
      <c r="D20" s="49">
        <f>'1. 소켓인수검사'!D21</f>
        <v>600</v>
      </c>
      <c r="E20" s="44">
        <v>1</v>
      </c>
      <c r="F20" s="45"/>
      <c r="G20" s="229"/>
      <c r="H20" s="230"/>
      <c r="I20" s="44">
        <f t="shared" si="0"/>
        <v>845</v>
      </c>
      <c r="J20" s="44">
        <v>2</v>
      </c>
      <c r="K20" s="229"/>
      <c r="L20" s="231"/>
      <c r="M20" s="219">
        <f t="shared" si="1"/>
        <v>845</v>
      </c>
      <c r="N20" s="219" t="e">
        <f>(#REF!-20)/2-10</f>
        <v>#REF!</v>
      </c>
      <c r="O20" s="219" t="e">
        <f>(#REF!-20)/2-10</f>
        <v>#REF!</v>
      </c>
      <c r="P20" s="44">
        <v>2</v>
      </c>
      <c r="Q20" s="221"/>
      <c r="R20" s="222"/>
      <c r="S20" s="219">
        <f t="shared" si="2"/>
        <v>565</v>
      </c>
      <c r="T20" s="219" t="e">
        <v>#REF!</v>
      </c>
      <c r="U20" s="219">
        <v>-19.5</v>
      </c>
      <c r="V20" s="44">
        <v>4</v>
      </c>
      <c r="W20" s="221"/>
      <c r="X20" s="222"/>
      <c r="Y20" s="219">
        <f t="shared" si="3"/>
        <v>600</v>
      </c>
      <c r="Z20" s="219">
        <f t="shared" si="4"/>
        <v>-20</v>
      </c>
      <c r="AA20" s="219">
        <f t="shared" si="5"/>
        <v>-20</v>
      </c>
      <c r="AB20" s="44">
        <v>3</v>
      </c>
      <c r="AC20" s="229"/>
      <c r="AD20" s="232"/>
      <c r="AE20" s="232"/>
      <c r="AF20" s="232"/>
      <c r="AG20" s="232"/>
      <c r="AH20" s="232"/>
      <c r="AI20" s="229"/>
      <c r="AJ20" s="233"/>
      <c r="AK20" s="233"/>
      <c r="AL20" s="233"/>
      <c r="AM20" s="233"/>
      <c r="AN20" s="233"/>
      <c r="AO20" s="44"/>
      <c r="AP20" s="229"/>
      <c r="AQ20" s="123">
        <v>260</v>
      </c>
      <c r="AR20" s="124">
        <v>1000</v>
      </c>
      <c r="AS20" s="118">
        <f>'2.1 재단(1.69,064)'!T20/2</f>
        <v>4</v>
      </c>
      <c r="AT20" s="229"/>
      <c r="AU20" s="125">
        <v>310</v>
      </c>
      <c r="AV20" s="245">
        <v>1000</v>
      </c>
      <c r="AW20" s="245"/>
      <c r="AX20" s="245"/>
      <c r="AY20" s="118">
        <f>'2.1 재단(1.69,064)'!Z20</f>
        <v>4</v>
      </c>
    </row>
    <row r="21" spans="1:51" ht="16.5" customHeight="1">
      <c r="A21" s="122" t="str">
        <f>'1. 소켓인수검사'!A22</f>
        <v>14</v>
      </c>
      <c r="B21" s="57" t="s">
        <v>2</v>
      </c>
      <c r="C21" s="49">
        <f>'1. 소켓인수검사'!C22</f>
        <v>900</v>
      </c>
      <c r="D21" s="49">
        <f>'1. 소켓인수검사'!D22</f>
        <v>600</v>
      </c>
      <c r="E21" s="44">
        <v>1</v>
      </c>
      <c r="F21" s="45"/>
      <c r="G21" s="229"/>
      <c r="H21" s="230"/>
      <c r="I21" s="44">
        <f t="shared" si="0"/>
        <v>895</v>
      </c>
      <c r="J21" s="44">
        <v>2</v>
      </c>
      <c r="K21" s="229"/>
      <c r="L21" s="231"/>
      <c r="M21" s="219">
        <f t="shared" si="1"/>
        <v>895</v>
      </c>
      <c r="N21" s="219" t="e">
        <f>(#REF!-20)/2-10</f>
        <v>#REF!</v>
      </c>
      <c r="O21" s="219" t="e">
        <f>(#REF!-20)/2-10</f>
        <v>#REF!</v>
      </c>
      <c r="P21" s="44">
        <v>2</v>
      </c>
      <c r="Q21" s="221"/>
      <c r="R21" s="222"/>
      <c r="S21" s="219">
        <f t="shared" si="2"/>
        <v>565</v>
      </c>
      <c r="T21" s="219" t="e">
        <v>#REF!</v>
      </c>
      <c r="U21" s="219">
        <v>-19.5</v>
      </c>
      <c r="V21" s="44">
        <v>4</v>
      </c>
      <c r="W21" s="221"/>
      <c r="X21" s="222"/>
      <c r="Y21" s="219">
        <f t="shared" si="3"/>
        <v>600</v>
      </c>
      <c r="Z21" s="219">
        <f t="shared" si="4"/>
        <v>-20</v>
      </c>
      <c r="AA21" s="219">
        <f t="shared" si="5"/>
        <v>-20</v>
      </c>
      <c r="AB21" s="44">
        <v>3</v>
      </c>
      <c r="AC21" s="229"/>
      <c r="AD21" s="232"/>
      <c r="AE21" s="232"/>
      <c r="AF21" s="232"/>
      <c r="AG21" s="232"/>
      <c r="AH21" s="232"/>
      <c r="AI21" s="229"/>
      <c r="AJ21" s="233"/>
      <c r="AK21" s="233"/>
      <c r="AL21" s="233"/>
      <c r="AM21" s="233"/>
      <c r="AN21" s="233"/>
      <c r="AO21" s="44"/>
      <c r="AP21" s="229"/>
      <c r="AQ21" s="123">
        <v>260</v>
      </c>
      <c r="AR21" s="124">
        <v>1000</v>
      </c>
      <c r="AS21" s="118">
        <f>'2.1 재단(1.69,064)'!T21/2</f>
        <v>4</v>
      </c>
      <c r="AT21" s="229"/>
      <c r="AU21" s="125">
        <v>310</v>
      </c>
      <c r="AV21" s="245">
        <v>1000</v>
      </c>
      <c r="AW21" s="245"/>
      <c r="AX21" s="245"/>
      <c r="AY21" s="118">
        <f>'2.1 재단(1.69,064)'!Z21</f>
        <v>4</v>
      </c>
    </row>
    <row r="22" spans="1:51" ht="16.5" customHeight="1">
      <c r="A22" s="122" t="str">
        <f>'1. 소켓인수검사'!A23</f>
        <v>15</v>
      </c>
      <c r="B22" s="57" t="s">
        <v>2</v>
      </c>
      <c r="C22" s="49">
        <f>'1. 소켓인수검사'!C23</f>
        <v>900</v>
      </c>
      <c r="D22" s="49">
        <f>'1. 소켓인수검사'!D23</f>
        <v>600</v>
      </c>
      <c r="E22" s="44">
        <v>1</v>
      </c>
      <c r="F22" s="45"/>
      <c r="G22" s="229"/>
      <c r="H22" s="230"/>
      <c r="I22" s="44">
        <f t="shared" si="0"/>
        <v>895</v>
      </c>
      <c r="J22" s="44">
        <v>2</v>
      </c>
      <c r="K22" s="229"/>
      <c r="L22" s="231"/>
      <c r="M22" s="219">
        <f t="shared" si="1"/>
        <v>895</v>
      </c>
      <c r="N22" s="219" t="e">
        <f>(#REF!-20)/2-10</f>
        <v>#REF!</v>
      </c>
      <c r="O22" s="219" t="e">
        <f>(#REF!-20)/2-10</f>
        <v>#REF!</v>
      </c>
      <c r="P22" s="44">
        <v>2</v>
      </c>
      <c r="Q22" s="221"/>
      <c r="R22" s="222"/>
      <c r="S22" s="219">
        <f t="shared" si="2"/>
        <v>565</v>
      </c>
      <c r="T22" s="219" t="e">
        <v>#REF!</v>
      </c>
      <c r="U22" s="219">
        <v>-19.5</v>
      </c>
      <c r="V22" s="44">
        <v>4</v>
      </c>
      <c r="W22" s="221"/>
      <c r="X22" s="222"/>
      <c r="Y22" s="219">
        <f t="shared" si="3"/>
        <v>600</v>
      </c>
      <c r="Z22" s="219">
        <f t="shared" si="4"/>
        <v>-20</v>
      </c>
      <c r="AA22" s="219">
        <f t="shared" si="5"/>
        <v>-20</v>
      </c>
      <c r="AB22" s="44">
        <v>3</v>
      </c>
      <c r="AC22" s="229"/>
      <c r="AD22" s="232"/>
      <c r="AE22" s="232"/>
      <c r="AF22" s="232"/>
      <c r="AG22" s="232"/>
      <c r="AH22" s="232"/>
      <c r="AI22" s="229"/>
      <c r="AJ22" s="233"/>
      <c r="AK22" s="233"/>
      <c r="AL22" s="233"/>
      <c r="AM22" s="233"/>
      <c r="AN22" s="233"/>
      <c r="AO22" s="44"/>
      <c r="AP22" s="229"/>
      <c r="AQ22" s="123">
        <v>260</v>
      </c>
      <c r="AR22" s="124">
        <v>1000</v>
      </c>
      <c r="AS22" s="118">
        <f>'2.1 재단(1.69,064)'!T22/2</f>
        <v>4</v>
      </c>
      <c r="AT22" s="229"/>
      <c r="AU22" s="125">
        <v>310</v>
      </c>
      <c r="AV22" s="245">
        <v>1000</v>
      </c>
      <c r="AW22" s="245"/>
      <c r="AX22" s="245"/>
      <c r="AY22" s="118">
        <f>'2.1 재단(1.69,064)'!Z22</f>
        <v>4</v>
      </c>
    </row>
    <row r="23" spans="1:51" ht="16.5" customHeight="1">
      <c r="A23" s="122" t="str">
        <f>'1. 소켓인수검사'!A24</f>
        <v>16</v>
      </c>
      <c r="B23" s="57" t="s">
        <v>2</v>
      </c>
      <c r="C23" s="49">
        <f>'1. 소켓인수검사'!C24</f>
        <v>900</v>
      </c>
      <c r="D23" s="49">
        <f>'1. 소켓인수검사'!D24</f>
        <v>600</v>
      </c>
      <c r="E23" s="44">
        <v>1</v>
      </c>
      <c r="F23" s="45"/>
      <c r="G23" s="229"/>
      <c r="H23" s="230"/>
      <c r="I23" s="44">
        <f t="shared" si="0"/>
        <v>895</v>
      </c>
      <c r="J23" s="44">
        <v>2</v>
      </c>
      <c r="K23" s="229"/>
      <c r="L23" s="231"/>
      <c r="M23" s="219">
        <f t="shared" si="1"/>
        <v>895</v>
      </c>
      <c r="N23" s="219" t="e">
        <f>(#REF!-20)/2-10</f>
        <v>#REF!</v>
      </c>
      <c r="O23" s="219" t="e">
        <f>(#REF!-20)/2-10</f>
        <v>#REF!</v>
      </c>
      <c r="P23" s="44">
        <v>2</v>
      </c>
      <c r="Q23" s="221"/>
      <c r="R23" s="222"/>
      <c r="S23" s="219">
        <f t="shared" si="2"/>
        <v>565</v>
      </c>
      <c r="T23" s="219" t="e">
        <v>#REF!</v>
      </c>
      <c r="U23" s="219">
        <v>-19.5</v>
      </c>
      <c r="V23" s="44">
        <v>4</v>
      </c>
      <c r="W23" s="221"/>
      <c r="X23" s="222"/>
      <c r="Y23" s="219">
        <f t="shared" si="3"/>
        <v>600</v>
      </c>
      <c r="Z23" s="219">
        <f t="shared" si="4"/>
        <v>-20</v>
      </c>
      <c r="AA23" s="219">
        <f t="shared" si="5"/>
        <v>-20</v>
      </c>
      <c r="AB23" s="44">
        <v>3</v>
      </c>
      <c r="AC23" s="229"/>
      <c r="AD23" s="232"/>
      <c r="AE23" s="232"/>
      <c r="AF23" s="232"/>
      <c r="AG23" s="232"/>
      <c r="AH23" s="232"/>
      <c r="AI23" s="229"/>
      <c r="AJ23" s="233"/>
      <c r="AK23" s="233"/>
      <c r="AL23" s="233"/>
      <c r="AM23" s="233"/>
      <c r="AN23" s="233"/>
      <c r="AO23" s="44"/>
      <c r="AP23" s="229"/>
      <c r="AQ23" s="123">
        <v>260</v>
      </c>
      <c r="AR23" s="124">
        <v>1000</v>
      </c>
      <c r="AS23" s="118">
        <f>'2.1 재단(1.69,064)'!T23/2</f>
        <v>4</v>
      </c>
      <c r="AT23" s="229"/>
      <c r="AU23" s="125">
        <v>310</v>
      </c>
      <c r="AV23" s="245">
        <v>1000</v>
      </c>
      <c r="AW23" s="245"/>
      <c r="AX23" s="245"/>
      <c r="AY23" s="118">
        <f>'2.1 재단(1.69,064)'!Z23</f>
        <v>4</v>
      </c>
    </row>
    <row r="24" spans="1:51" ht="16.5" customHeight="1">
      <c r="A24" s="122" t="str">
        <f>'1. 소켓인수검사'!A25</f>
        <v>17</v>
      </c>
      <c r="B24" s="57" t="s">
        <v>2</v>
      </c>
      <c r="C24" s="49">
        <f>'1. 소켓인수검사'!C25</f>
        <v>900</v>
      </c>
      <c r="D24" s="49">
        <f>'1. 소켓인수검사'!D25</f>
        <v>600</v>
      </c>
      <c r="E24" s="44">
        <v>1</v>
      </c>
      <c r="F24" s="45"/>
      <c r="G24" s="229"/>
      <c r="H24" s="230"/>
      <c r="I24" s="44">
        <f t="shared" si="0"/>
        <v>895</v>
      </c>
      <c r="J24" s="44">
        <v>2</v>
      </c>
      <c r="K24" s="229"/>
      <c r="L24" s="231"/>
      <c r="M24" s="219">
        <f t="shared" si="1"/>
        <v>895</v>
      </c>
      <c r="N24" s="219" t="e">
        <f>(#REF!-20)/2-10</f>
        <v>#REF!</v>
      </c>
      <c r="O24" s="219" t="e">
        <f>(#REF!-20)/2-10</f>
        <v>#REF!</v>
      </c>
      <c r="P24" s="44">
        <v>2</v>
      </c>
      <c r="Q24" s="221"/>
      <c r="R24" s="222"/>
      <c r="S24" s="219">
        <f t="shared" si="2"/>
        <v>565</v>
      </c>
      <c r="T24" s="219" t="e">
        <v>#REF!</v>
      </c>
      <c r="U24" s="219">
        <v>-19.5</v>
      </c>
      <c r="V24" s="44">
        <v>4</v>
      </c>
      <c r="W24" s="221"/>
      <c r="X24" s="222"/>
      <c r="Y24" s="219">
        <f t="shared" si="3"/>
        <v>600</v>
      </c>
      <c r="Z24" s="219">
        <f t="shared" si="4"/>
        <v>-20</v>
      </c>
      <c r="AA24" s="219">
        <f t="shared" si="5"/>
        <v>-20</v>
      </c>
      <c r="AB24" s="44">
        <v>3</v>
      </c>
      <c r="AC24" s="229"/>
      <c r="AD24" s="232"/>
      <c r="AE24" s="232"/>
      <c r="AF24" s="232"/>
      <c r="AG24" s="232"/>
      <c r="AH24" s="232"/>
      <c r="AI24" s="229"/>
      <c r="AJ24" s="233"/>
      <c r="AK24" s="233"/>
      <c r="AL24" s="233"/>
      <c r="AM24" s="233"/>
      <c r="AN24" s="233"/>
      <c r="AO24" s="44"/>
      <c r="AP24" s="229"/>
      <c r="AQ24" s="123">
        <v>260</v>
      </c>
      <c r="AR24" s="124">
        <v>1000</v>
      </c>
      <c r="AS24" s="118">
        <f>'2.1 재단(1.69,064)'!T24/2</f>
        <v>4</v>
      </c>
      <c r="AT24" s="229"/>
      <c r="AU24" s="125">
        <v>310</v>
      </c>
      <c r="AV24" s="245">
        <v>1000</v>
      </c>
      <c r="AW24" s="245"/>
      <c r="AX24" s="245"/>
      <c r="AY24" s="118">
        <f>'2.1 재단(1.69,064)'!Z24</f>
        <v>4</v>
      </c>
    </row>
    <row r="25" spans="1:51" ht="16.5" customHeight="1">
      <c r="A25" s="122" t="str">
        <f>'1. 소켓인수검사'!A26</f>
        <v>18</v>
      </c>
      <c r="B25" s="57" t="s">
        <v>2</v>
      </c>
      <c r="C25" s="49">
        <f>'1. 소켓인수검사'!C26</f>
        <v>900</v>
      </c>
      <c r="D25" s="49">
        <f>'1. 소켓인수검사'!D26</f>
        <v>600</v>
      </c>
      <c r="E25" s="44">
        <v>1</v>
      </c>
      <c r="F25" s="45"/>
      <c r="G25" s="229"/>
      <c r="H25" s="230"/>
      <c r="I25" s="44">
        <f t="shared" si="0"/>
        <v>895</v>
      </c>
      <c r="J25" s="44">
        <v>2</v>
      </c>
      <c r="K25" s="229"/>
      <c r="L25" s="231"/>
      <c r="M25" s="219">
        <f t="shared" si="1"/>
        <v>895</v>
      </c>
      <c r="N25" s="219" t="e">
        <f>(#REF!-20)/2-10</f>
        <v>#REF!</v>
      </c>
      <c r="O25" s="219" t="e">
        <f>(#REF!-20)/2-10</f>
        <v>#REF!</v>
      </c>
      <c r="P25" s="44">
        <v>2</v>
      </c>
      <c r="Q25" s="221"/>
      <c r="R25" s="222"/>
      <c r="S25" s="219">
        <f t="shared" si="2"/>
        <v>565</v>
      </c>
      <c r="T25" s="219" t="e">
        <v>#REF!</v>
      </c>
      <c r="U25" s="219">
        <v>-19.5</v>
      </c>
      <c r="V25" s="44">
        <v>4</v>
      </c>
      <c r="W25" s="221"/>
      <c r="X25" s="222"/>
      <c r="Y25" s="219">
        <f t="shared" si="3"/>
        <v>600</v>
      </c>
      <c r="Z25" s="219">
        <f t="shared" si="4"/>
        <v>-20</v>
      </c>
      <c r="AA25" s="219">
        <f t="shared" si="5"/>
        <v>-20</v>
      </c>
      <c r="AB25" s="44">
        <v>3</v>
      </c>
      <c r="AC25" s="229"/>
      <c r="AD25" s="232"/>
      <c r="AE25" s="232"/>
      <c r="AF25" s="232"/>
      <c r="AG25" s="232"/>
      <c r="AH25" s="232"/>
      <c r="AI25" s="229"/>
      <c r="AJ25" s="233"/>
      <c r="AK25" s="233"/>
      <c r="AL25" s="233"/>
      <c r="AM25" s="233"/>
      <c r="AN25" s="233"/>
      <c r="AO25" s="44"/>
      <c r="AP25" s="229"/>
      <c r="AQ25" s="123">
        <v>260</v>
      </c>
      <c r="AR25" s="124">
        <v>1000</v>
      </c>
      <c r="AS25" s="118">
        <f>'2.1 재단(1.69,064)'!T25/2</f>
        <v>4</v>
      </c>
      <c r="AT25" s="229"/>
      <c r="AU25" s="125">
        <v>310</v>
      </c>
      <c r="AV25" s="245">
        <v>1000</v>
      </c>
      <c r="AW25" s="245"/>
      <c r="AX25" s="245"/>
      <c r="AY25" s="118">
        <f>'2.1 재단(1.69,064)'!Z25</f>
        <v>4</v>
      </c>
    </row>
    <row r="26" spans="1:51" ht="16.5" customHeight="1">
      <c r="A26" s="122" t="str">
        <f>'1. 소켓인수검사'!A27</f>
        <v>19</v>
      </c>
      <c r="B26" s="57" t="s">
        <v>2</v>
      </c>
      <c r="C26" s="49">
        <f>'1. 소켓인수검사'!C27</f>
        <v>900</v>
      </c>
      <c r="D26" s="49">
        <f>'1. 소켓인수검사'!D27</f>
        <v>600</v>
      </c>
      <c r="E26" s="44">
        <v>1</v>
      </c>
      <c r="F26" s="45"/>
      <c r="G26" s="229"/>
      <c r="H26" s="230"/>
      <c r="I26" s="44">
        <f t="shared" si="0"/>
        <v>895</v>
      </c>
      <c r="J26" s="44">
        <v>2</v>
      </c>
      <c r="K26" s="229"/>
      <c r="L26" s="231"/>
      <c r="M26" s="219">
        <f t="shared" si="1"/>
        <v>895</v>
      </c>
      <c r="N26" s="219" t="e">
        <f>(#REF!-20)/2-10</f>
        <v>#REF!</v>
      </c>
      <c r="O26" s="219" t="e">
        <f>(#REF!-20)/2-10</f>
        <v>#REF!</v>
      </c>
      <c r="P26" s="44">
        <v>2</v>
      </c>
      <c r="Q26" s="221"/>
      <c r="R26" s="222"/>
      <c r="S26" s="219">
        <f t="shared" si="2"/>
        <v>565</v>
      </c>
      <c r="T26" s="219" t="e">
        <v>#REF!</v>
      </c>
      <c r="U26" s="219">
        <v>-19.5</v>
      </c>
      <c r="V26" s="44">
        <v>4</v>
      </c>
      <c r="W26" s="221"/>
      <c r="X26" s="222"/>
      <c r="Y26" s="219">
        <f t="shared" si="3"/>
        <v>600</v>
      </c>
      <c r="Z26" s="219">
        <f t="shared" si="4"/>
        <v>-20</v>
      </c>
      <c r="AA26" s="219">
        <f t="shared" si="5"/>
        <v>-20</v>
      </c>
      <c r="AB26" s="44">
        <v>3</v>
      </c>
      <c r="AC26" s="229"/>
      <c r="AD26" s="232"/>
      <c r="AE26" s="232"/>
      <c r="AF26" s="232"/>
      <c r="AG26" s="232"/>
      <c r="AH26" s="232"/>
      <c r="AI26" s="229"/>
      <c r="AJ26" s="233"/>
      <c r="AK26" s="233"/>
      <c r="AL26" s="233"/>
      <c r="AM26" s="233"/>
      <c r="AN26" s="233"/>
      <c r="AO26" s="44"/>
      <c r="AP26" s="229"/>
      <c r="AQ26" s="123">
        <v>260</v>
      </c>
      <c r="AR26" s="124">
        <v>1000</v>
      </c>
      <c r="AS26" s="118">
        <f>'2.1 재단(1.69,064)'!T26/2</f>
        <v>4</v>
      </c>
      <c r="AT26" s="229"/>
      <c r="AU26" s="125">
        <v>310</v>
      </c>
      <c r="AV26" s="245">
        <v>1000</v>
      </c>
      <c r="AW26" s="245"/>
      <c r="AX26" s="245"/>
      <c r="AY26" s="118">
        <f>'2.1 재단(1.69,064)'!Z26</f>
        <v>4</v>
      </c>
    </row>
    <row r="27" spans="1:51" ht="16.5" customHeight="1">
      <c r="A27" s="122" t="str">
        <f>'1. 소켓인수검사'!A28</f>
        <v>20</v>
      </c>
      <c r="B27" s="58" t="s">
        <v>0</v>
      </c>
      <c r="C27" s="47">
        <f>'1. 소켓인수검사'!C28</f>
        <v>1100</v>
      </c>
      <c r="D27" s="47">
        <f>'1. 소켓인수검사'!D28</f>
        <v>700</v>
      </c>
      <c r="E27" s="44">
        <v>1</v>
      </c>
      <c r="F27" s="45"/>
      <c r="G27" s="229"/>
      <c r="H27" s="230"/>
      <c r="I27" s="44">
        <f>(C27-60)/2-5</f>
        <v>515</v>
      </c>
      <c r="J27" s="44">
        <v>4</v>
      </c>
      <c r="K27" s="229"/>
      <c r="L27" s="231"/>
      <c r="M27" s="219">
        <f>(C27-60)/2-5</f>
        <v>515</v>
      </c>
      <c r="N27" s="219">
        <f t="shared" ref="N27:O27" si="6">(H27-60)/2-5</f>
        <v>-35</v>
      </c>
      <c r="O27" s="219">
        <f t="shared" si="6"/>
        <v>222.5</v>
      </c>
      <c r="P27" s="44">
        <v>4</v>
      </c>
      <c r="Q27" s="221"/>
      <c r="R27" s="222"/>
      <c r="S27" s="219"/>
      <c r="T27" s="219"/>
      <c r="U27" s="219"/>
      <c r="V27" s="44"/>
      <c r="W27" s="221"/>
      <c r="X27" s="222"/>
      <c r="Y27" s="219">
        <f>D27</f>
        <v>700</v>
      </c>
      <c r="Z27" s="219">
        <f t="shared" si="4"/>
        <v>-20</v>
      </c>
      <c r="AA27" s="219">
        <f t="shared" si="5"/>
        <v>-20</v>
      </c>
      <c r="AB27" s="44">
        <f t="shared" ref="AB27:AB32" si="7">3*2</f>
        <v>6</v>
      </c>
      <c r="AC27" s="229"/>
      <c r="AD27" s="51">
        <v>318</v>
      </c>
      <c r="AE27" s="219">
        <f>(C27-60)/2</f>
        <v>520</v>
      </c>
      <c r="AF27" s="219">
        <f t="shared" ref="AF27" si="8">(K27-20)/2-10</f>
        <v>-20</v>
      </c>
      <c r="AG27" s="219">
        <f t="shared" ref="AG27" si="9">(L27-20)/2-10</f>
        <v>-20</v>
      </c>
      <c r="AH27" s="44">
        <v>8</v>
      </c>
      <c r="AI27" s="229"/>
      <c r="AJ27" s="51">
        <v>255</v>
      </c>
      <c r="AK27" s="219">
        <f>(C27-60)/2</f>
        <v>520</v>
      </c>
      <c r="AL27" s="219">
        <f t="shared" ref="AL27" si="10">(W27-20)/2-10</f>
        <v>-20</v>
      </c>
      <c r="AM27" s="219">
        <f t="shared" ref="AM27" si="11">(X27-20)/2-10</f>
        <v>-20</v>
      </c>
      <c r="AN27" s="44">
        <v>8</v>
      </c>
      <c r="AO27" s="44"/>
      <c r="AP27" s="229"/>
      <c r="AQ27" s="123">
        <v>260</v>
      </c>
      <c r="AR27" s="124">
        <v>1000</v>
      </c>
      <c r="AS27" s="118">
        <f>'2.1 재단(1.69,064)'!T27/2</f>
        <v>5</v>
      </c>
      <c r="AT27" s="229"/>
      <c r="AU27" s="125">
        <v>310</v>
      </c>
      <c r="AV27" s="245">
        <v>1000</v>
      </c>
      <c r="AW27" s="245"/>
      <c r="AX27" s="245"/>
      <c r="AY27" s="118">
        <f>'2.1 재단(1.69,064)'!Z27</f>
        <v>5</v>
      </c>
    </row>
    <row r="28" spans="1:51" ht="16.5" customHeight="1">
      <c r="A28" s="122" t="str">
        <f>'1. 소켓인수검사'!A29</f>
        <v>21</v>
      </c>
      <c r="B28" s="58" t="s">
        <v>0</v>
      </c>
      <c r="C28" s="47">
        <f>'1. 소켓인수검사'!C29</f>
        <v>1100</v>
      </c>
      <c r="D28" s="47">
        <f>'1. 소켓인수검사'!D29</f>
        <v>700</v>
      </c>
      <c r="E28" s="44">
        <v>1</v>
      </c>
      <c r="F28" s="45"/>
      <c r="G28" s="229"/>
      <c r="H28" s="230"/>
      <c r="I28" s="44">
        <f t="shared" ref="I28:I32" si="12">(C28-60)/2-5</f>
        <v>515</v>
      </c>
      <c r="J28" s="44">
        <v>4</v>
      </c>
      <c r="K28" s="229"/>
      <c r="L28" s="231"/>
      <c r="M28" s="219">
        <f t="shared" ref="M28:M32" si="13">(C28-60)/2-5</f>
        <v>515</v>
      </c>
      <c r="N28" s="219">
        <f t="shared" ref="N28:N32" si="14">(H28-60)/2-5</f>
        <v>-35</v>
      </c>
      <c r="O28" s="219">
        <f t="shared" ref="O28:O32" si="15">(I28-60)/2-5</f>
        <v>222.5</v>
      </c>
      <c r="P28" s="44">
        <v>4</v>
      </c>
      <c r="Q28" s="221"/>
      <c r="R28" s="222"/>
      <c r="S28" s="219"/>
      <c r="T28" s="219"/>
      <c r="U28" s="219"/>
      <c r="V28" s="44"/>
      <c r="W28" s="221"/>
      <c r="X28" s="222"/>
      <c r="Y28" s="219">
        <f t="shared" si="3"/>
        <v>700</v>
      </c>
      <c r="Z28" s="219">
        <f t="shared" si="4"/>
        <v>-20</v>
      </c>
      <c r="AA28" s="219">
        <f t="shared" si="5"/>
        <v>-20</v>
      </c>
      <c r="AB28" s="44">
        <f t="shared" si="7"/>
        <v>6</v>
      </c>
      <c r="AC28" s="229"/>
      <c r="AD28" s="51">
        <v>318</v>
      </c>
      <c r="AE28" s="219">
        <f t="shared" ref="AE28:AE32" si="16">(C28-60)/2</f>
        <v>520</v>
      </c>
      <c r="AF28" s="219">
        <f t="shared" ref="AF28:AF32" si="17">(K28-20)/2-10</f>
        <v>-20</v>
      </c>
      <c r="AG28" s="219">
        <f t="shared" ref="AG28:AG32" si="18">(L28-20)/2-10</f>
        <v>-20</v>
      </c>
      <c r="AH28" s="44">
        <v>8</v>
      </c>
      <c r="AI28" s="229"/>
      <c r="AJ28" s="51">
        <v>255</v>
      </c>
      <c r="AK28" s="219">
        <f t="shared" ref="AK28:AK32" si="19">(C28-60)/2</f>
        <v>520</v>
      </c>
      <c r="AL28" s="219">
        <f t="shared" ref="AL28:AL32" si="20">(W28-20)/2-10</f>
        <v>-20</v>
      </c>
      <c r="AM28" s="219">
        <f t="shared" ref="AM28:AM32" si="21">(X28-20)/2-10</f>
        <v>-20</v>
      </c>
      <c r="AN28" s="44">
        <v>8</v>
      </c>
      <c r="AO28" s="44"/>
      <c r="AP28" s="229"/>
      <c r="AQ28" s="123">
        <v>260</v>
      </c>
      <c r="AR28" s="124">
        <v>1000</v>
      </c>
      <c r="AS28" s="118">
        <f>'2.1 재단(1.69,064)'!T28/2</f>
        <v>5</v>
      </c>
      <c r="AT28" s="229"/>
      <c r="AU28" s="125">
        <v>310</v>
      </c>
      <c r="AV28" s="245">
        <v>1000</v>
      </c>
      <c r="AW28" s="245"/>
      <c r="AX28" s="245"/>
      <c r="AY28" s="118">
        <f>'2.1 재단(1.69,064)'!Z28</f>
        <v>5</v>
      </c>
    </row>
    <row r="29" spans="1:51" ht="16.5" customHeight="1">
      <c r="A29" s="122" t="str">
        <f>'1. 소켓인수검사'!A30</f>
        <v>22</v>
      </c>
      <c r="B29" s="58" t="s">
        <v>0</v>
      </c>
      <c r="C29" s="47">
        <f>'1. 소켓인수검사'!C30</f>
        <v>1100</v>
      </c>
      <c r="D29" s="47">
        <f>'1. 소켓인수검사'!D30</f>
        <v>700</v>
      </c>
      <c r="E29" s="44">
        <v>1</v>
      </c>
      <c r="F29" s="45"/>
      <c r="G29" s="229"/>
      <c r="H29" s="230"/>
      <c r="I29" s="44">
        <f t="shared" si="12"/>
        <v>515</v>
      </c>
      <c r="J29" s="44">
        <v>4</v>
      </c>
      <c r="K29" s="229"/>
      <c r="L29" s="231"/>
      <c r="M29" s="219">
        <f t="shared" si="13"/>
        <v>515</v>
      </c>
      <c r="N29" s="219">
        <f t="shared" si="14"/>
        <v>-35</v>
      </c>
      <c r="O29" s="219">
        <f t="shared" si="15"/>
        <v>222.5</v>
      </c>
      <c r="P29" s="44">
        <v>4</v>
      </c>
      <c r="Q29" s="221"/>
      <c r="R29" s="222"/>
      <c r="S29" s="219"/>
      <c r="T29" s="219"/>
      <c r="U29" s="219"/>
      <c r="V29" s="44"/>
      <c r="W29" s="221"/>
      <c r="X29" s="222"/>
      <c r="Y29" s="219">
        <f t="shared" si="3"/>
        <v>700</v>
      </c>
      <c r="Z29" s="219">
        <f t="shared" si="4"/>
        <v>-20</v>
      </c>
      <c r="AA29" s="219">
        <f t="shared" si="5"/>
        <v>-20</v>
      </c>
      <c r="AB29" s="44">
        <f t="shared" si="7"/>
        <v>6</v>
      </c>
      <c r="AC29" s="229"/>
      <c r="AD29" s="51">
        <v>318</v>
      </c>
      <c r="AE29" s="219">
        <f t="shared" si="16"/>
        <v>520</v>
      </c>
      <c r="AF29" s="219">
        <f t="shared" si="17"/>
        <v>-20</v>
      </c>
      <c r="AG29" s="219">
        <f t="shared" si="18"/>
        <v>-20</v>
      </c>
      <c r="AH29" s="44">
        <v>8</v>
      </c>
      <c r="AI29" s="229"/>
      <c r="AJ29" s="51">
        <v>255</v>
      </c>
      <c r="AK29" s="219">
        <f t="shared" si="19"/>
        <v>520</v>
      </c>
      <c r="AL29" s="219">
        <f t="shared" si="20"/>
        <v>-20</v>
      </c>
      <c r="AM29" s="219">
        <f t="shared" si="21"/>
        <v>-20</v>
      </c>
      <c r="AN29" s="44">
        <v>8</v>
      </c>
      <c r="AO29" s="44"/>
      <c r="AP29" s="229"/>
      <c r="AQ29" s="123">
        <v>260</v>
      </c>
      <c r="AR29" s="124">
        <v>1000</v>
      </c>
      <c r="AS29" s="118">
        <f>'2.1 재단(1.69,064)'!T29/2</f>
        <v>5</v>
      </c>
      <c r="AT29" s="229"/>
      <c r="AU29" s="125">
        <v>310</v>
      </c>
      <c r="AV29" s="245">
        <v>1000</v>
      </c>
      <c r="AW29" s="245"/>
      <c r="AX29" s="245"/>
      <c r="AY29" s="118">
        <f>'2.1 재단(1.69,064)'!Z29</f>
        <v>5</v>
      </c>
    </row>
    <row r="30" spans="1:51" ht="16.5" customHeight="1">
      <c r="A30" s="122" t="str">
        <f>'1. 소켓인수검사'!A31</f>
        <v>23</v>
      </c>
      <c r="B30" s="58" t="s">
        <v>0</v>
      </c>
      <c r="C30" s="47">
        <f>'1. 소켓인수검사'!C31</f>
        <v>1100</v>
      </c>
      <c r="D30" s="47">
        <f>'1. 소켓인수검사'!D31</f>
        <v>700</v>
      </c>
      <c r="E30" s="44">
        <v>1</v>
      </c>
      <c r="F30" s="45"/>
      <c r="G30" s="229"/>
      <c r="H30" s="230"/>
      <c r="I30" s="44">
        <f t="shared" si="12"/>
        <v>515</v>
      </c>
      <c r="J30" s="44">
        <v>4</v>
      </c>
      <c r="K30" s="229"/>
      <c r="L30" s="231"/>
      <c r="M30" s="219">
        <f t="shared" si="13"/>
        <v>515</v>
      </c>
      <c r="N30" s="219">
        <f t="shared" si="14"/>
        <v>-35</v>
      </c>
      <c r="O30" s="219">
        <f t="shared" si="15"/>
        <v>222.5</v>
      </c>
      <c r="P30" s="44">
        <v>4</v>
      </c>
      <c r="Q30" s="221"/>
      <c r="R30" s="222"/>
      <c r="S30" s="219"/>
      <c r="T30" s="219"/>
      <c r="U30" s="219"/>
      <c r="V30" s="44"/>
      <c r="W30" s="221"/>
      <c r="X30" s="222"/>
      <c r="Y30" s="219">
        <f t="shared" si="3"/>
        <v>700</v>
      </c>
      <c r="Z30" s="219">
        <f t="shared" si="4"/>
        <v>-20</v>
      </c>
      <c r="AA30" s="219">
        <f t="shared" si="5"/>
        <v>-20</v>
      </c>
      <c r="AB30" s="44">
        <f t="shared" si="7"/>
        <v>6</v>
      </c>
      <c r="AC30" s="229"/>
      <c r="AD30" s="51">
        <v>318</v>
      </c>
      <c r="AE30" s="219">
        <f t="shared" si="16"/>
        <v>520</v>
      </c>
      <c r="AF30" s="219">
        <f t="shared" si="17"/>
        <v>-20</v>
      </c>
      <c r="AG30" s="219">
        <f t="shared" si="18"/>
        <v>-20</v>
      </c>
      <c r="AH30" s="44">
        <v>8</v>
      </c>
      <c r="AI30" s="229"/>
      <c r="AJ30" s="51">
        <v>255</v>
      </c>
      <c r="AK30" s="219">
        <f t="shared" si="19"/>
        <v>520</v>
      </c>
      <c r="AL30" s="219">
        <f t="shared" si="20"/>
        <v>-20</v>
      </c>
      <c r="AM30" s="219">
        <f t="shared" si="21"/>
        <v>-20</v>
      </c>
      <c r="AN30" s="44">
        <v>8</v>
      </c>
      <c r="AO30" s="44"/>
      <c r="AP30" s="229"/>
      <c r="AQ30" s="123">
        <v>260</v>
      </c>
      <c r="AR30" s="124">
        <v>1000</v>
      </c>
      <c r="AS30" s="118">
        <f>'2.1 재단(1.69,064)'!T30/2</f>
        <v>5</v>
      </c>
      <c r="AT30" s="229"/>
      <c r="AU30" s="125">
        <v>310</v>
      </c>
      <c r="AV30" s="245">
        <v>1000</v>
      </c>
      <c r="AW30" s="245"/>
      <c r="AX30" s="245"/>
      <c r="AY30" s="118">
        <f>'2.1 재단(1.69,064)'!Z30</f>
        <v>5</v>
      </c>
    </row>
    <row r="31" spans="1:51" ht="16.5" customHeight="1">
      <c r="A31" s="122" t="str">
        <f>'1. 소켓인수검사'!A32</f>
        <v>24</v>
      </c>
      <c r="B31" s="58" t="s">
        <v>0</v>
      </c>
      <c r="C31" s="49">
        <f>'1. 소켓인수검사'!C32</f>
        <v>1100</v>
      </c>
      <c r="D31" s="49">
        <f>'1. 소켓인수검사'!D32</f>
        <v>700</v>
      </c>
      <c r="E31" s="44">
        <v>1</v>
      </c>
      <c r="F31" s="45"/>
      <c r="G31" s="229"/>
      <c r="H31" s="230"/>
      <c r="I31" s="44">
        <f t="shared" si="12"/>
        <v>515</v>
      </c>
      <c r="J31" s="44">
        <v>4</v>
      </c>
      <c r="K31" s="229"/>
      <c r="L31" s="231"/>
      <c r="M31" s="219">
        <f t="shared" si="13"/>
        <v>515</v>
      </c>
      <c r="N31" s="219">
        <f t="shared" si="14"/>
        <v>-35</v>
      </c>
      <c r="O31" s="219">
        <f t="shared" si="15"/>
        <v>222.5</v>
      </c>
      <c r="P31" s="44">
        <v>4</v>
      </c>
      <c r="Q31" s="221"/>
      <c r="R31" s="222"/>
      <c r="S31" s="219"/>
      <c r="T31" s="219"/>
      <c r="U31" s="219"/>
      <c r="V31" s="44"/>
      <c r="W31" s="221"/>
      <c r="X31" s="222"/>
      <c r="Y31" s="219">
        <f t="shared" si="3"/>
        <v>700</v>
      </c>
      <c r="Z31" s="219">
        <f t="shared" si="4"/>
        <v>-20</v>
      </c>
      <c r="AA31" s="219">
        <f t="shared" si="5"/>
        <v>-20</v>
      </c>
      <c r="AB31" s="44">
        <f t="shared" si="7"/>
        <v>6</v>
      </c>
      <c r="AC31" s="229"/>
      <c r="AD31" s="51">
        <v>318</v>
      </c>
      <c r="AE31" s="219">
        <f t="shared" si="16"/>
        <v>520</v>
      </c>
      <c r="AF31" s="219">
        <f t="shared" si="17"/>
        <v>-20</v>
      </c>
      <c r="AG31" s="219">
        <f t="shared" si="18"/>
        <v>-20</v>
      </c>
      <c r="AH31" s="44">
        <v>8</v>
      </c>
      <c r="AI31" s="229"/>
      <c r="AJ31" s="51">
        <v>255</v>
      </c>
      <c r="AK31" s="219">
        <f t="shared" si="19"/>
        <v>520</v>
      </c>
      <c r="AL31" s="219">
        <f t="shared" si="20"/>
        <v>-20</v>
      </c>
      <c r="AM31" s="219">
        <f t="shared" si="21"/>
        <v>-20</v>
      </c>
      <c r="AN31" s="44">
        <v>8</v>
      </c>
      <c r="AO31" s="44"/>
      <c r="AP31" s="229"/>
      <c r="AQ31" s="123">
        <v>260</v>
      </c>
      <c r="AR31" s="124">
        <v>1000</v>
      </c>
      <c r="AS31" s="118">
        <f>'2.1 재단(1.69,064)'!T31/2</f>
        <v>5</v>
      </c>
      <c r="AT31" s="229"/>
      <c r="AU31" s="125">
        <v>310</v>
      </c>
      <c r="AV31" s="245">
        <v>1000</v>
      </c>
      <c r="AW31" s="245"/>
      <c r="AX31" s="245"/>
      <c r="AY31" s="118">
        <f>'2.1 재단(1.69,064)'!Z31</f>
        <v>5</v>
      </c>
    </row>
    <row r="32" spans="1:51" ht="16.5" customHeight="1">
      <c r="A32" s="122" t="str">
        <f>'1. 소켓인수검사'!A33</f>
        <v>25</v>
      </c>
      <c r="B32" s="58" t="s">
        <v>0</v>
      </c>
      <c r="C32" s="49">
        <f>'1. 소켓인수검사'!C33</f>
        <v>1100</v>
      </c>
      <c r="D32" s="49">
        <f>'1. 소켓인수검사'!D33</f>
        <v>700</v>
      </c>
      <c r="E32" s="44">
        <v>1</v>
      </c>
      <c r="F32" s="45"/>
      <c r="G32" s="229"/>
      <c r="H32" s="230"/>
      <c r="I32" s="44">
        <f t="shared" si="12"/>
        <v>515</v>
      </c>
      <c r="J32" s="44">
        <v>4</v>
      </c>
      <c r="K32" s="229"/>
      <c r="L32" s="231"/>
      <c r="M32" s="219">
        <f t="shared" si="13"/>
        <v>515</v>
      </c>
      <c r="N32" s="219">
        <f t="shared" si="14"/>
        <v>-35</v>
      </c>
      <c r="O32" s="219">
        <f t="shared" si="15"/>
        <v>222.5</v>
      </c>
      <c r="P32" s="44">
        <v>4</v>
      </c>
      <c r="Q32" s="221"/>
      <c r="R32" s="222"/>
      <c r="S32" s="219"/>
      <c r="T32" s="219"/>
      <c r="U32" s="219"/>
      <c r="V32" s="44"/>
      <c r="W32" s="221"/>
      <c r="X32" s="222"/>
      <c r="Y32" s="219">
        <f t="shared" si="3"/>
        <v>700</v>
      </c>
      <c r="Z32" s="219">
        <f t="shared" si="4"/>
        <v>-20</v>
      </c>
      <c r="AA32" s="219">
        <f t="shared" si="5"/>
        <v>-20</v>
      </c>
      <c r="AB32" s="44">
        <f t="shared" si="7"/>
        <v>6</v>
      </c>
      <c r="AC32" s="229"/>
      <c r="AD32" s="51">
        <v>318</v>
      </c>
      <c r="AE32" s="219">
        <f t="shared" si="16"/>
        <v>520</v>
      </c>
      <c r="AF32" s="219">
        <f t="shared" si="17"/>
        <v>-20</v>
      </c>
      <c r="AG32" s="219">
        <f t="shared" si="18"/>
        <v>-20</v>
      </c>
      <c r="AH32" s="44">
        <v>8</v>
      </c>
      <c r="AI32" s="229"/>
      <c r="AJ32" s="51">
        <v>255</v>
      </c>
      <c r="AK32" s="219">
        <f t="shared" si="19"/>
        <v>520</v>
      </c>
      <c r="AL32" s="219">
        <f t="shared" si="20"/>
        <v>-20</v>
      </c>
      <c r="AM32" s="219">
        <f t="shared" si="21"/>
        <v>-20</v>
      </c>
      <c r="AN32" s="44">
        <v>8</v>
      </c>
      <c r="AO32" s="44"/>
      <c r="AP32" s="229"/>
      <c r="AQ32" s="123">
        <v>260</v>
      </c>
      <c r="AR32" s="124">
        <v>1000</v>
      </c>
      <c r="AS32" s="118">
        <f>'2.1 재단(1.69,064)'!T32/2</f>
        <v>5</v>
      </c>
      <c r="AT32" s="229"/>
      <c r="AU32" s="125">
        <v>310</v>
      </c>
      <c r="AV32" s="245">
        <v>1000</v>
      </c>
      <c r="AW32" s="245"/>
      <c r="AX32" s="245"/>
      <c r="AY32" s="118">
        <f>'2.1 재단(1.69,064)'!Z32</f>
        <v>5</v>
      </c>
    </row>
    <row r="33" spans="1:51">
      <c r="A33" s="218" t="s">
        <v>19</v>
      </c>
      <c r="B33" s="218"/>
      <c r="C33" s="218"/>
      <c r="D33" s="44"/>
      <c r="E33" s="126"/>
      <c r="F33" s="123"/>
      <c r="G33" s="44"/>
      <c r="H33" s="44"/>
      <c r="I33" s="44"/>
      <c r="J33" s="44">
        <f>SUM(J8:J32)</f>
        <v>62</v>
      </c>
      <c r="K33" s="44"/>
      <c r="L33" s="44"/>
      <c r="M33" s="218"/>
      <c r="N33" s="218"/>
      <c r="O33" s="218"/>
      <c r="P33" s="44">
        <f>SUM(P8:P32)</f>
        <v>62</v>
      </c>
      <c r="Q33" s="44"/>
      <c r="R33" s="44"/>
      <c r="S33" s="218"/>
      <c r="T33" s="218"/>
      <c r="U33" s="218"/>
      <c r="V33" s="44">
        <f>SUM(V8:V32)</f>
        <v>76</v>
      </c>
      <c r="W33" s="44"/>
      <c r="X33" s="44"/>
      <c r="Y33" s="218"/>
      <c r="Z33" s="218"/>
      <c r="AA33" s="218"/>
      <c r="AB33" s="44">
        <f>SUM(AB8:AB32)</f>
        <v>93</v>
      </c>
      <c r="AC33" s="44"/>
      <c r="AD33" s="44"/>
      <c r="AE33" s="218"/>
      <c r="AF33" s="218"/>
      <c r="AG33" s="218"/>
      <c r="AH33" s="44">
        <f>SUM(AH8:AH32)</f>
        <v>48</v>
      </c>
      <c r="AI33" s="44"/>
      <c r="AJ33" s="44"/>
      <c r="AK33" s="218"/>
      <c r="AL33" s="218"/>
      <c r="AM33" s="218"/>
      <c r="AN33" s="44">
        <f>SUM(AN8:AN32)</f>
        <v>48</v>
      </c>
      <c r="AO33" s="44"/>
      <c r="AP33" s="229"/>
      <c r="AQ33" s="44"/>
      <c r="AR33" s="47"/>
      <c r="AS33" s="44">
        <f>SUM(AS8:AS32)</f>
        <v>98</v>
      </c>
      <c r="AT33" s="229"/>
      <c r="AU33" s="44"/>
      <c r="AV33" s="217"/>
      <c r="AW33" s="217"/>
      <c r="AX33" s="217"/>
      <c r="AY33" s="44">
        <f>SUM(AY8:AY32)</f>
        <v>103</v>
      </c>
    </row>
  </sheetData>
  <mergeCells count="160">
    <mergeCell ref="AV27:AX27"/>
    <mergeCell ref="AV28:AX28"/>
    <mergeCell ref="AV29:AX29"/>
    <mergeCell ref="AV30:AX30"/>
    <mergeCell ref="AV31:AX31"/>
    <mergeCell ref="AV32:AX32"/>
    <mergeCell ref="A33:C33"/>
    <mergeCell ref="M33:O33"/>
    <mergeCell ref="Y33:AA33"/>
    <mergeCell ref="AE33:AG33"/>
    <mergeCell ref="AK33:AM33"/>
    <mergeCell ref="AV33:AX33"/>
    <mergeCell ref="M30:O30"/>
    <mergeCell ref="Y30:AA30"/>
    <mergeCell ref="AE30:AG30"/>
    <mergeCell ref="AK30:AM30"/>
    <mergeCell ref="M31:O31"/>
    <mergeCell ref="Y31:AA31"/>
    <mergeCell ref="AE31:AG31"/>
    <mergeCell ref="AK31:AM31"/>
    <mergeCell ref="AK32:AM32"/>
    <mergeCell ref="AP8:AP33"/>
    <mergeCell ref="AT8:AT33"/>
    <mergeCell ref="AV8:AX8"/>
    <mergeCell ref="AV9:AX9"/>
    <mergeCell ref="AV10:AX10"/>
    <mergeCell ref="AV11:AX11"/>
    <mergeCell ref="AV12:AX12"/>
    <mergeCell ref="AV13:AX13"/>
    <mergeCell ref="AV14:AX14"/>
    <mergeCell ref="AV15:AX15"/>
    <mergeCell ref="AV16:AX16"/>
    <mergeCell ref="AV17:AX17"/>
    <mergeCell ref="AV18:AX18"/>
    <mergeCell ref="AV19:AX19"/>
    <mergeCell ref="AV20:AX20"/>
    <mergeCell ref="AV21:AX21"/>
    <mergeCell ref="AV22:AX22"/>
    <mergeCell ref="AV23:AX23"/>
    <mergeCell ref="AV24:AX24"/>
    <mergeCell ref="AV25:AX25"/>
    <mergeCell ref="AV26:AX26"/>
    <mergeCell ref="Y25:AA25"/>
    <mergeCell ref="M26:O26"/>
    <mergeCell ref="Y26:AA26"/>
    <mergeCell ref="AK27:AM27"/>
    <mergeCell ref="M28:O28"/>
    <mergeCell ref="Y28:AA28"/>
    <mergeCell ref="AE28:AG28"/>
    <mergeCell ref="AK28:AM28"/>
    <mergeCell ref="AK29:AM29"/>
    <mergeCell ref="Y17:AA17"/>
    <mergeCell ref="M18:O18"/>
    <mergeCell ref="Y18:AA18"/>
    <mergeCell ref="M9:O9"/>
    <mergeCell ref="Y9:AA9"/>
    <mergeCell ref="M10:O10"/>
    <mergeCell ref="Y10:AA10"/>
    <mergeCell ref="M11:O11"/>
    <mergeCell ref="Y11:AA11"/>
    <mergeCell ref="M12:O12"/>
    <mergeCell ref="Y12:AA12"/>
    <mergeCell ref="M13:O13"/>
    <mergeCell ref="Y13:AA13"/>
    <mergeCell ref="M19:O19"/>
    <mergeCell ref="AP5:AY5"/>
    <mergeCell ref="B6:B7"/>
    <mergeCell ref="C6:C7"/>
    <mergeCell ref="D6:D7"/>
    <mergeCell ref="G6:J6"/>
    <mergeCell ref="K6:P6"/>
    <mergeCell ref="W6:AB6"/>
    <mergeCell ref="AC6:AH6"/>
    <mergeCell ref="AI6:AN6"/>
    <mergeCell ref="AP6:AS6"/>
    <mergeCell ref="AT6:AY6"/>
    <mergeCell ref="M7:O7"/>
    <mergeCell ref="Y7:AA7"/>
    <mergeCell ref="AE7:AG7"/>
    <mergeCell ref="AK7:AM7"/>
    <mergeCell ref="AV7:AX7"/>
    <mergeCell ref="M14:O14"/>
    <mergeCell ref="Y14:AA14"/>
    <mergeCell ref="M15:O15"/>
    <mergeCell ref="Y15:AA15"/>
    <mergeCell ref="M16:O16"/>
    <mergeCell ref="Y16:AA16"/>
    <mergeCell ref="M17:O17"/>
    <mergeCell ref="Y32:AA32"/>
    <mergeCell ref="AE32:AG32"/>
    <mergeCell ref="A1:E3"/>
    <mergeCell ref="A4:AO4"/>
    <mergeCell ref="A5:A7"/>
    <mergeCell ref="C5:D5"/>
    <mergeCell ref="E5:E7"/>
    <mergeCell ref="F5:F7"/>
    <mergeCell ref="G5:AN5"/>
    <mergeCell ref="G1:L3"/>
    <mergeCell ref="M8:O8"/>
    <mergeCell ref="Y8:AA8"/>
    <mergeCell ref="Y19:AA19"/>
    <mergeCell ref="M20:O20"/>
    <mergeCell ref="Y20:AA20"/>
    <mergeCell ref="M21:O21"/>
    <mergeCell ref="Y21:AA21"/>
    <mergeCell ref="M22:O22"/>
    <mergeCell ref="Y22:AA22"/>
    <mergeCell ref="M23:O23"/>
    <mergeCell ref="Y23:AA23"/>
    <mergeCell ref="M24:O24"/>
    <mergeCell ref="Y24:AA24"/>
    <mergeCell ref="M25:O25"/>
    <mergeCell ref="S21:U21"/>
    <mergeCell ref="S22:U22"/>
    <mergeCell ref="S23:U23"/>
    <mergeCell ref="S24:U24"/>
    <mergeCell ref="S25:U25"/>
    <mergeCell ref="S26:U26"/>
    <mergeCell ref="M1:AY3"/>
    <mergeCell ref="G8:G32"/>
    <mergeCell ref="H8:H32"/>
    <mergeCell ref="L8:L32"/>
    <mergeCell ref="X8:X32"/>
    <mergeCell ref="AC8:AC32"/>
    <mergeCell ref="AI8:AI32"/>
    <mergeCell ref="W8:W32"/>
    <mergeCell ref="K8:K32"/>
    <mergeCell ref="AD8:AH26"/>
    <mergeCell ref="AJ8:AN26"/>
    <mergeCell ref="M27:O27"/>
    <mergeCell ref="Y27:AA27"/>
    <mergeCell ref="AE27:AG27"/>
    <mergeCell ref="M29:O29"/>
    <mergeCell ref="Y29:AA29"/>
    <mergeCell ref="AE29:AG29"/>
    <mergeCell ref="M32:O32"/>
    <mergeCell ref="S33:U33"/>
    <mergeCell ref="S27:U27"/>
    <mergeCell ref="S28:U28"/>
    <mergeCell ref="S29:U29"/>
    <mergeCell ref="S30:U30"/>
    <mergeCell ref="S31:U31"/>
    <mergeCell ref="S32:U32"/>
    <mergeCell ref="Q6:V6"/>
    <mergeCell ref="S7:U7"/>
    <mergeCell ref="Q8:Q32"/>
    <mergeCell ref="R8:R32"/>
    <mergeCell ref="S8:U8"/>
    <mergeCell ref="S9:U9"/>
    <mergeCell ref="S10:U1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</mergeCells>
  <phoneticPr fontId="35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43"/>
  <sheetViews>
    <sheetView zoomScale="85" zoomScaleNormal="75" zoomScaleSheetLayoutView="85" workbookViewId="0">
      <selection activeCell="R15" sqref="R15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69"/>
      <c r="B1" s="169"/>
      <c r="C1" s="169"/>
      <c r="D1" s="169"/>
      <c r="E1" s="246" t="s">
        <v>86</v>
      </c>
      <c r="F1" s="247"/>
      <c r="G1" s="247"/>
      <c r="H1" s="247"/>
      <c r="I1" s="247"/>
      <c r="J1" s="247"/>
      <c r="K1" s="247"/>
      <c r="L1" s="247"/>
      <c r="M1" s="247"/>
      <c r="N1" s="247"/>
      <c r="O1" s="248"/>
    </row>
    <row r="2" spans="1:15" ht="16.5" customHeight="1">
      <c r="A2" s="169"/>
      <c r="B2" s="169"/>
      <c r="C2" s="169"/>
      <c r="D2" s="169"/>
      <c r="E2" s="249"/>
      <c r="F2" s="250"/>
      <c r="G2" s="250"/>
      <c r="H2" s="250"/>
      <c r="I2" s="250"/>
      <c r="J2" s="250"/>
      <c r="K2" s="250"/>
      <c r="L2" s="250"/>
      <c r="M2" s="250"/>
      <c r="N2" s="250"/>
      <c r="O2" s="251"/>
    </row>
    <row r="3" spans="1:15" ht="16.5" customHeight="1">
      <c r="A3" s="169"/>
      <c r="B3" s="169"/>
      <c r="C3" s="169"/>
      <c r="D3" s="169"/>
      <c r="E3" s="249"/>
      <c r="F3" s="250"/>
      <c r="G3" s="250"/>
      <c r="H3" s="250"/>
      <c r="I3" s="250"/>
      <c r="J3" s="250"/>
      <c r="K3" s="250"/>
      <c r="L3" s="250"/>
      <c r="M3" s="250"/>
      <c r="N3" s="250"/>
      <c r="O3" s="251"/>
    </row>
    <row r="4" spans="1:15" ht="16.5" customHeight="1">
      <c r="A4" s="169" t="s">
        <v>48</v>
      </c>
      <c r="B4" s="169"/>
      <c r="C4" s="169"/>
      <c r="D4" s="1"/>
      <c r="E4" s="252"/>
      <c r="F4" s="253"/>
      <c r="G4" s="253"/>
      <c r="H4" s="253"/>
      <c r="I4" s="253"/>
      <c r="J4" s="253"/>
      <c r="K4" s="253"/>
      <c r="L4" s="253"/>
      <c r="M4" s="253"/>
      <c r="N4" s="253"/>
      <c r="O4" s="254"/>
    </row>
    <row r="5" spans="1:15" ht="30" customHeight="1">
      <c r="A5" s="169" t="s">
        <v>42</v>
      </c>
      <c r="B5" s="169"/>
      <c r="C5" s="169"/>
      <c r="D5" s="169"/>
      <c r="E5" s="2" t="s">
        <v>39</v>
      </c>
      <c r="F5" s="255"/>
      <c r="G5" s="256"/>
      <c r="H5" s="257" t="s">
        <v>24</v>
      </c>
      <c r="I5" s="259"/>
      <c r="J5" s="260"/>
      <c r="K5" s="259" t="s">
        <v>10</v>
      </c>
      <c r="L5" s="260"/>
      <c r="M5" s="263" t="str">
        <f>'1. 소켓인수검사'!R1</f>
        <v>26.07.20 씨에스하이테크_삼성물산_세방테크_판교641 PSM타워</v>
      </c>
      <c r="N5" s="263"/>
      <c r="O5" s="263"/>
    </row>
    <row r="6" spans="1:15" ht="30" customHeight="1">
      <c r="A6" s="169"/>
      <c r="B6" s="169"/>
      <c r="C6" s="169"/>
      <c r="D6" s="169"/>
      <c r="E6" s="2" t="s">
        <v>36</v>
      </c>
      <c r="F6" s="255"/>
      <c r="G6" s="256"/>
      <c r="H6" s="258"/>
      <c r="I6" s="261"/>
      <c r="J6" s="262"/>
      <c r="K6" s="261"/>
      <c r="L6" s="262"/>
      <c r="M6" s="263"/>
      <c r="N6" s="263"/>
      <c r="O6" s="263"/>
    </row>
    <row r="7" spans="1:15" ht="8.1" customHeight="1">
      <c r="A7" s="264"/>
      <c r="B7" s="264"/>
      <c r="C7" s="264"/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</row>
    <row r="8" spans="1:15" ht="26.45" customHeight="1">
      <c r="A8" s="265" t="s">
        <v>28</v>
      </c>
      <c r="B8" s="266" t="s">
        <v>33</v>
      </c>
      <c r="C8" s="269" t="s">
        <v>27</v>
      </c>
      <c r="D8" s="269"/>
      <c r="E8" s="269" t="s">
        <v>44</v>
      </c>
      <c r="F8" s="269" t="s">
        <v>32</v>
      </c>
      <c r="G8" s="269" t="s">
        <v>21</v>
      </c>
      <c r="H8" s="270" t="s">
        <v>66</v>
      </c>
      <c r="I8" s="270"/>
      <c r="J8" s="270"/>
      <c r="K8" s="270"/>
      <c r="L8" s="270"/>
      <c r="M8" s="270"/>
      <c r="N8" s="270"/>
      <c r="O8" s="269" t="s">
        <v>6</v>
      </c>
    </row>
    <row r="9" spans="1:15" ht="16.5" customHeight="1">
      <c r="A9" s="265"/>
      <c r="B9" s="267"/>
      <c r="C9" s="269" t="s">
        <v>29</v>
      </c>
      <c r="D9" s="269" t="s">
        <v>17</v>
      </c>
      <c r="E9" s="269"/>
      <c r="F9" s="269"/>
      <c r="G9" s="269"/>
      <c r="H9" s="269" t="s">
        <v>20</v>
      </c>
      <c r="I9" s="269"/>
      <c r="J9" s="269" t="s">
        <v>25</v>
      </c>
      <c r="K9" s="269"/>
      <c r="L9" s="271" t="s">
        <v>73</v>
      </c>
      <c r="M9" s="272"/>
      <c r="N9" s="273"/>
      <c r="O9" s="269"/>
    </row>
    <row r="10" spans="1:15">
      <c r="A10" s="265"/>
      <c r="B10" s="268"/>
      <c r="C10" s="269"/>
      <c r="D10" s="269"/>
      <c r="E10" s="269"/>
      <c r="F10" s="36">
        <v>25</v>
      </c>
      <c r="G10" s="36">
        <v>300</v>
      </c>
      <c r="H10" s="36" t="s">
        <v>27</v>
      </c>
      <c r="I10" s="36" t="s">
        <v>3</v>
      </c>
      <c r="J10" s="36" t="s">
        <v>27</v>
      </c>
      <c r="K10" s="36" t="s">
        <v>3</v>
      </c>
      <c r="L10" s="274"/>
      <c r="M10" s="275"/>
      <c r="N10" s="276"/>
      <c r="O10" s="269"/>
    </row>
    <row r="11" spans="1:15">
      <c r="A11" s="41" t="str">
        <f>'1. 소켓인수검사'!A9</f>
        <v>01</v>
      </c>
      <c r="B11" s="56" t="str">
        <f>'1. 소켓인수검사'!B9</f>
        <v>HTG-064</v>
      </c>
      <c r="C11" s="42">
        <f>'1. 소켓인수검사'!C9</f>
        <v>600</v>
      </c>
      <c r="D11" s="42">
        <f>'1. 소켓인수검사'!D9</f>
        <v>400</v>
      </c>
      <c r="E11" s="26"/>
      <c r="F11" s="29"/>
      <c r="G11" s="29"/>
      <c r="H11" s="30">
        <f>(C11+60)</f>
        <v>660</v>
      </c>
      <c r="I11" s="30">
        <v>2</v>
      </c>
      <c r="J11" s="30">
        <f>D11</f>
        <v>400</v>
      </c>
      <c r="K11" s="30">
        <v>2</v>
      </c>
      <c r="L11" s="277"/>
      <c r="M11" s="278"/>
      <c r="N11" s="279"/>
      <c r="O11" s="35"/>
    </row>
    <row r="12" spans="1:15">
      <c r="A12" s="43" t="str">
        <f>'1. 소켓인수검사'!A10</f>
        <v>02</v>
      </c>
      <c r="B12" s="57" t="str">
        <f>'1. 소켓인수검사'!B10</f>
        <v>HTG-064</v>
      </c>
      <c r="C12" s="47">
        <f>'1. 소켓인수검사'!C10</f>
        <v>600</v>
      </c>
      <c r="D12" s="47">
        <f>'1. 소켓인수검사'!D10</f>
        <v>400</v>
      </c>
      <c r="E12" s="26"/>
      <c r="F12" s="31"/>
      <c r="G12" s="31"/>
      <c r="H12" s="30">
        <f t="shared" ref="H12:H29" si="0">(C12+60)</f>
        <v>660</v>
      </c>
      <c r="I12" s="30">
        <v>2</v>
      </c>
      <c r="J12" s="30">
        <f t="shared" ref="J12:J34" si="1">D12</f>
        <v>400</v>
      </c>
      <c r="K12" s="30">
        <v>2</v>
      </c>
      <c r="L12" s="280"/>
      <c r="M12" s="281"/>
      <c r="N12" s="282"/>
      <c r="O12" s="28"/>
    </row>
    <row r="13" spans="1:15">
      <c r="A13" s="43" t="str">
        <f>'1. 소켓인수검사'!A11</f>
        <v>03</v>
      </c>
      <c r="B13" s="57" t="str">
        <f>'1. 소켓인수검사'!B11</f>
        <v>HTG-064</v>
      </c>
      <c r="C13" s="47">
        <f>'1. 소켓인수검사'!C11</f>
        <v>600</v>
      </c>
      <c r="D13" s="47">
        <f>'1. 소켓인수검사'!D11</f>
        <v>400</v>
      </c>
      <c r="E13" s="26"/>
      <c r="F13" s="31"/>
      <c r="G13" s="31"/>
      <c r="H13" s="30">
        <f t="shared" si="0"/>
        <v>660</v>
      </c>
      <c r="I13" s="30">
        <v>2</v>
      </c>
      <c r="J13" s="30">
        <f t="shared" si="1"/>
        <v>400</v>
      </c>
      <c r="K13" s="30">
        <v>2</v>
      </c>
      <c r="L13" s="280"/>
      <c r="M13" s="281"/>
      <c r="N13" s="282"/>
      <c r="O13" s="28"/>
    </row>
    <row r="14" spans="1:15">
      <c r="A14" s="43" t="str">
        <f>'1. 소켓인수검사'!A12</f>
        <v>04</v>
      </c>
      <c r="B14" s="57" t="str">
        <f>'1. 소켓인수검사'!B12</f>
        <v>HTG-064</v>
      </c>
      <c r="C14" s="47">
        <f>'1. 소켓인수검사'!C12</f>
        <v>700</v>
      </c>
      <c r="D14" s="47">
        <f>'1. 소켓인수검사'!D12</f>
        <v>450</v>
      </c>
      <c r="E14" s="26"/>
      <c r="F14" s="31"/>
      <c r="G14" s="31"/>
      <c r="H14" s="30">
        <f t="shared" si="0"/>
        <v>760</v>
      </c>
      <c r="I14" s="30">
        <v>2</v>
      </c>
      <c r="J14" s="30">
        <f t="shared" si="1"/>
        <v>450</v>
      </c>
      <c r="K14" s="30">
        <v>2</v>
      </c>
      <c r="L14" s="280"/>
      <c r="M14" s="281"/>
      <c r="N14" s="282"/>
      <c r="O14" s="28"/>
    </row>
    <row r="15" spans="1:15">
      <c r="A15" s="43" t="str">
        <f>'1. 소켓인수검사'!A13</f>
        <v>05</v>
      </c>
      <c r="B15" s="57" t="str">
        <f>'1. 소켓인수검사'!B13</f>
        <v>HTG-064</v>
      </c>
      <c r="C15" s="49">
        <f>'1. 소켓인수검사'!C13</f>
        <v>700</v>
      </c>
      <c r="D15" s="49">
        <f>'1. 소켓인수검사'!D13</f>
        <v>450</v>
      </c>
      <c r="E15" s="26"/>
      <c r="F15" s="31"/>
      <c r="G15" s="31"/>
      <c r="H15" s="30">
        <f t="shared" si="0"/>
        <v>760</v>
      </c>
      <c r="I15" s="30">
        <v>2</v>
      </c>
      <c r="J15" s="30">
        <f t="shared" si="1"/>
        <v>450</v>
      </c>
      <c r="K15" s="30">
        <v>2</v>
      </c>
      <c r="L15" s="280"/>
      <c r="M15" s="281"/>
      <c r="N15" s="282"/>
      <c r="O15" s="28"/>
    </row>
    <row r="16" spans="1:15">
      <c r="A16" s="43" t="str">
        <f>'1. 소켓인수검사'!A14</f>
        <v>06</v>
      </c>
      <c r="B16" s="57" t="str">
        <f>'1. 소켓인수검사'!B14</f>
        <v>HTG-064</v>
      </c>
      <c r="C16" s="49">
        <f>'1. 소켓인수검사'!C14</f>
        <v>700</v>
      </c>
      <c r="D16" s="49">
        <f>'1. 소켓인수검사'!D14</f>
        <v>450</v>
      </c>
      <c r="E16" s="26"/>
      <c r="F16" s="31"/>
      <c r="G16" s="31"/>
      <c r="H16" s="30">
        <f t="shared" si="0"/>
        <v>760</v>
      </c>
      <c r="I16" s="30">
        <v>2</v>
      </c>
      <c r="J16" s="30">
        <f t="shared" si="1"/>
        <v>450</v>
      </c>
      <c r="K16" s="30">
        <v>2</v>
      </c>
      <c r="L16" s="280"/>
      <c r="M16" s="281"/>
      <c r="N16" s="282"/>
      <c r="O16" s="28"/>
    </row>
    <row r="17" spans="1:15">
      <c r="A17" s="43" t="str">
        <f>'1. 소켓인수검사'!A15</f>
        <v>07</v>
      </c>
      <c r="B17" s="57" t="str">
        <f>'1. 소켓인수검사'!B15</f>
        <v>HTG-064</v>
      </c>
      <c r="C17" s="49">
        <f>'1. 소켓인수검사'!C15</f>
        <v>700</v>
      </c>
      <c r="D17" s="49">
        <f>'1. 소켓인수검사'!D15</f>
        <v>450</v>
      </c>
      <c r="E17" s="26"/>
      <c r="F17" s="31"/>
      <c r="G17" s="31"/>
      <c r="H17" s="30">
        <f t="shared" si="0"/>
        <v>760</v>
      </c>
      <c r="I17" s="30">
        <v>2</v>
      </c>
      <c r="J17" s="30">
        <f t="shared" si="1"/>
        <v>450</v>
      </c>
      <c r="K17" s="30">
        <v>2</v>
      </c>
      <c r="L17" s="280"/>
      <c r="M17" s="281"/>
      <c r="N17" s="282"/>
      <c r="O17" s="28"/>
    </row>
    <row r="18" spans="1:15">
      <c r="A18" s="43" t="str">
        <f>'1. 소켓인수검사'!A16</f>
        <v>08</v>
      </c>
      <c r="B18" s="57" t="str">
        <f>'1. 소켓인수검사'!B16</f>
        <v>HTG-064</v>
      </c>
      <c r="C18" s="49">
        <f>'1. 소켓인수검사'!C16</f>
        <v>700</v>
      </c>
      <c r="D18" s="49">
        <f>'1. 소켓인수검사'!D16</f>
        <v>450</v>
      </c>
      <c r="E18" s="26"/>
      <c r="F18" s="31"/>
      <c r="G18" s="31"/>
      <c r="H18" s="30">
        <f t="shared" si="0"/>
        <v>760</v>
      </c>
      <c r="I18" s="30">
        <v>2</v>
      </c>
      <c r="J18" s="30">
        <f t="shared" si="1"/>
        <v>450</v>
      </c>
      <c r="K18" s="30">
        <v>2</v>
      </c>
      <c r="L18" s="280"/>
      <c r="M18" s="281"/>
      <c r="N18" s="282"/>
      <c r="O18" s="28"/>
    </row>
    <row r="19" spans="1:15">
      <c r="A19" s="43" t="str">
        <f>'1. 소켓인수검사'!A17</f>
        <v>09</v>
      </c>
      <c r="B19" s="57" t="str">
        <f>'1. 소켓인수검사'!B17</f>
        <v>HTG-064</v>
      </c>
      <c r="C19" s="49">
        <f>'1. 소켓인수검사'!C17</f>
        <v>850</v>
      </c>
      <c r="D19" s="49">
        <f>'1. 소켓인수검사'!D17</f>
        <v>600</v>
      </c>
      <c r="E19" s="26"/>
      <c r="F19" s="31"/>
      <c r="G19" s="31"/>
      <c r="H19" s="30">
        <f t="shared" si="0"/>
        <v>910</v>
      </c>
      <c r="I19" s="30">
        <v>2</v>
      </c>
      <c r="J19" s="30">
        <f t="shared" si="1"/>
        <v>600</v>
      </c>
      <c r="K19" s="30">
        <v>2</v>
      </c>
      <c r="L19" s="280"/>
      <c r="M19" s="281"/>
      <c r="N19" s="282"/>
      <c r="O19" s="28"/>
    </row>
    <row r="20" spans="1:15">
      <c r="A20" s="43" t="str">
        <f>'1. 소켓인수검사'!A18</f>
        <v>10</v>
      </c>
      <c r="B20" s="57" t="str">
        <f>'1. 소켓인수검사'!B18</f>
        <v>HTG-064</v>
      </c>
      <c r="C20" s="49">
        <f>'1. 소켓인수검사'!C18</f>
        <v>850</v>
      </c>
      <c r="D20" s="49">
        <f>'1. 소켓인수검사'!D18</f>
        <v>600</v>
      </c>
      <c r="E20" s="26"/>
      <c r="F20" s="31"/>
      <c r="G20" s="31"/>
      <c r="H20" s="30">
        <f t="shared" si="0"/>
        <v>910</v>
      </c>
      <c r="I20" s="30">
        <v>2</v>
      </c>
      <c r="J20" s="30">
        <f t="shared" si="1"/>
        <v>600</v>
      </c>
      <c r="K20" s="30">
        <v>2</v>
      </c>
      <c r="L20" s="280"/>
      <c r="M20" s="281"/>
      <c r="N20" s="282"/>
      <c r="O20" s="28"/>
    </row>
    <row r="21" spans="1:15">
      <c r="A21" s="43" t="str">
        <f>'1. 소켓인수검사'!A19</f>
        <v>11</v>
      </c>
      <c r="B21" s="57" t="str">
        <f>'1. 소켓인수검사'!B19</f>
        <v>HTG-064</v>
      </c>
      <c r="C21" s="49">
        <f>'1. 소켓인수검사'!C19</f>
        <v>850</v>
      </c>
      <c r="D21" s="49">
        <f>'1. 소켓인수검사'!D19</f>
        <v>600</v>
      </c>
      <c r="E21" s="26"/>
      <c r="F21" s="31"/>
      <c r="G21" s="31"/>
      <c r="H21" s="30">
        <f t="shared" si="0"/>
        <v>910</v>
      </c>
      <c r="I21" s="30">
        <v>2</v>
      </c>
      <c r="J21" s="30">
        <f t="shared" si="1"/>
        <v>600</v>
      </c>
      <c r="K21" s="30">
        <v>2</v>
      </c>
      <c r="L21" s="280"/>
      <c r="M21" s="281"/>
      <c r="N21" s="282"/>
      <c r="O21" s="28"/>
    </row>
    <row r="22" spans="1:15">
      <c r="A22" s="43" t="str">
        <f>'1. 소켓인수검사'!A20</f>
        <v>12</v>
      </c>
      <c r="B22" s="57" t="str">
        <f>'1. 소켓인수검사'!B20</f>
        <v>HTG-064</v>
      </c>
      <c r="C22" s="49">
        <f>'1. 소켓인수검사'!C20</f>
        <v>850</v>
      </c>
      <c r="D22" s="49">
        <f>'1. 소켓인수검사'!D20</f>
        <v>600</v>
      </c>
      <c r="E22" s="26"/>
      <c r="F22" s="31"/>
      <c r="G22" s="31"/>
      <c r="H22" s="30">
        <f t="shared" si="0"/>
        <v>910</v>
      </c>
      <c r="I22" s="30">
        <v>2</v>
      </c>
      <c r="J22" s="30">
        <f t="shared" si="1"/>
        <v>600</v>
      </c>
      <c r="K22" s="30">
        <v>2</v>
      </c>
      <c r="L22" s="280"/>
      <c r="M22" s="281"/>
      <c r="N22" s="282"/>
      <c r="O22" s="28"/>
    </row>
    <row r="23" spans="1:15">
      <c r="A23" s="43" t="str">
        <f>'1. 소켓인수검사'!A21</f>
        <v>13</v>
      </c>
      <c r="B23" s="57" t="str">
        <f>'1. 소켓인수검사'!B21</f>
        <v>HTG-064</v>
      </c>
      <c r="C23" s="49">
        <f>'1. 소켓인수검사'!C21</f>
        <v>850</v>
      </c>
      <c r="D23" s="49">
        <f>'1. 소켓인수검사'!D21</f>
        <v>600</v>
      </c>
      <c r="E23" s="27"/>
      <c r="F23" s="31"/>
      <c r="G23" s="31"/>
      <c r="H23" s="30">
        <f t="shared" si="0"/>
        <v>910</v>
      </c>
      <c r="I23" s="30">
        <v>2</v>
      </c>
      <c r="J23" s="30">
        <f t="shared" si="1"/>
        <v>600</v>
      </c>
      <c r="K23" s="30">
        <v>2</v>
      </c>
      <c r="L23" s="280"/>
      <c r="M23" s="281"/>
      <c r="N23" s="282"/>
      <c r="O23" s="28"/>
    </row>
    <row r="24" spans="1:15">
      <c r="A24" s="43" t="str">
        <f>'1. 소켓인수검사'!A22</f>
        <v>14</v>
      </c>
      <c r="B24" s="57" t="str">
        <f>'1. 소켓인수검사'!B22</f>
        <v>HTG-064</v>
      </c>
      <c r="C24" s="49">
        <f>'1. 소켓인수검사'!C22</f>
        <v>900</v>
      </c>
      <c r="D24" s="49">
        <f>'1. 소켓인수검사'!D22</f>
        <v>600</v>
      </c>
      <c r="E24" s="27"/>
      <c r="F24" s="31"/>
      <c r="G24" s="31"/>
      <c r="H24" s="30">
        <f t="shared" si="0"/>
        <v>960</v>
      </c>
      <c r="I24" s="30">
        <v>2</v>
      </c>
      <c r="J24" s="30">
        <f t="shared" si="1"/>
        <v>600</v>
      </c>
      <c r="K24" s="30">
        <v>2</v>
      </c>
      <c r="L24" s="280"/>
      <c r="M24" s="281"/>
      <c r="N24" s="282"/>
      <c r="O24" s="28"/>
    </row>
    <row r="25" spans="1:15">
      <c r="A25" s="43" t="str">
        <f>'1. 소켓인수검사'!A23</f>
        <v>15</v>
      </c>
      <c r="B25" s="57" t="str">
        <f>'1. 소켓인수검사'!B23</f>
        <v>HTG-064</v>
      </c>
      <c r="C25" s="49">
        <f>'1. 소켓인수검사'!C23</f>
        <v>900</v>
      </c>
      <c r="D25" s="49">
        <f>'1. 소켓인수검사'!D23</f>
        <v>600</v>
      </c>
      <c r="E25" s="27"/>
      <c r="F25" s="31"/>
      <c r="G25" s="31"/>
      <c r="H25" s="30">
        <f t="shared" si="0"/>
        <v>960</v>
      </c>
      <c r="I25" s="30">
        <v>2</v>
      </c>
      <c r="J25" s="30">
        <f t="shared" si="1"/>
        <v>600</v>
      </c>
      <c r="K25" s="30">
        <v>2</v>
      </c>
      <c r="L25" s="280"/>
      <c r="M25" s="281"/>
      <c r="N25" s="282"/>
      <c r="O25" s="28"/>
    </row>
    <row r="26" spans="1:15">
      <c r="A26" s="43" t="str">
        <f>'1. 소켓인수검사'!A24</f>
        <v>16</v>
      </c>
      <c r="B26" s="57" t="str">
        <f>'1. 소켓인수검사'!B24</f>
        <v>HTG-064</v>
      </c>
      <c r="C26" s="49">
        <f>'1. 소켓인수검사'!C24</f>
        <v>900</v>
      </c>
      <c r="D26" s="49">
        <f>'1. 소켓인수검사'!D24</f>
        <v>600</v>
      </c>
      <c r="E26" s="27"/>
      <c r="F26" s="31"/>
      <c r="G26" s="31"/>
      <c r="H26" s="30">
        <f t="shared" si="0"/>
        <v>960</v>
      </c>
      <c r="I26" s="30">
        <v>2</v>
      </c>
      <c r="J26" s="30">
        <f t="shared" si="1"/>
        <v>600</v>
      </c>
      <c r="K26" s="30">
        <v>2</v>
      </c>
      <c r="L26" s="280"/>
      <c r="M26" s="281"/>
      <c r="N26" s="282"/>
      <c r="O26" s="28"/>
    </row>
    <row r="27" spans="1:15">
      <c r="A27" s="43" t="str">
        <f>'1. 소켓인수검사'!A25</f>
        <v>17</v>
      </c>
      <c r="B27" s="57" t="str">
        <f>'1. 소켓인수검사'!B25</f>
        <v>HTG-064</v>
      </c>
      <c r="C27" s="49">
        <f>'1. 소켓인수검사'!C25</f>
        <v>900</v>
      </c>
      <c r="D27" s="49">
        <f>'1. 소켓인수검사'!D25</f>
        <v>600</v>
      </c>
      <c r="E27" s="27"/>
      <c r="F27" s="31"/>
      <c r="G27" s="31"/>
      <c r="H27" s="30">
        <f t="shared" si="0"/>
        <v>960</v>
      </c>
      <c r="I27" s="30">
        <v>2</v>
      </c>
      <c r="J27" s="30">
        <f t="shared" si="1"/>
        <v>600</v>
      </c>
      <c r="K27" s="30">
        <v>2</v>
      </c>
      <c r="L27" s="280"/>
      <c r="M27" s="281"/>
      <c r="N27" s="282"/>
      <c r="O27" s="28"/>
    </row>
    <row r="28" spans="1:15">
      <c r="A28" s="43" t="str">
        <f>'1. 소켓인수검사'!A26</f>
        <v>18</v>
      </c>
      <c r="B28" s="57" t="str">
        <f>'1. 소켓인수검사'!B26</f>
        <v>HTG-064</v>
      </c>
      <c r="C28" s="49">
        <f>'1. 소켓인수검사'!C26</f>
        <v>900</v>
      </c>
      <c r="D28" s="49">
        <f>'1. 소켓인수검사'!D26</f>
        <v>600</v>
      </c>
      <c r="E28" s="27"/>
      <c r="F28" s="31"/>
      <c r="G28" s="31"/>
      <c r="H28" s="30">
        <f t="shared" si="0"/>
        <v>960</v>
      </c>
      <c r="I28" s="30">
        <v>2</v>
      </c>
      <c r="J28" s="30">
        <f t="shared" si="1"/>
        <v>600</v>
      </c>
      <c r="K28" s="30">
        <v>2</v>
      </c>
      <c r="L28" s="280"/>
      <c r="M28" s="281"/>
      <c r="N28" s="282"/>
      <c r="O28" s="28"/>
    </row>
    <row r="29" spans="1:15">
      <c r="A29" s="43" t="str">
        <f>'1. 소켓인수검사'!A27</f>
        <v>19</v>
      </c>
      <c r="B29" s="57" t="str">
        <f>'1. 소켓인수검사'!B27</f>
        <v>HTG-064</v>
      </c>
      <c r="C29" s="49">
        <f>'1. 소켓인수검사'!C27</f>
        <v>900</v>
      </c>
      <c r="D29" s="49">
        <f>'1. 소켓인수검사'!D27</f>
        <v>600</v>
      </c>
      <c r="E29" s="27"/>
      <c r="F29" s="31"/>
      <c r="G29" s="31"/>
      <c r="H29" s="30">
        <f t="shared" si="0"/>
        <v>960</v>
      </c>
      <c r="I29" s="30">
        <v>2</v>
      </c>
      <c r="J29" s="30">
        <f t="shared" si="1"/>
        <v>600</v>
      </c>
      <c r="K29" s="30">
        <v>2</v>
      </c>
      <c r="L29" s="280"/>
      <c r="M29" s="281"/>
      <c r="N29" s="282"/>
      <c r="O29" s="28"/>
    </row>
    <row r="30" spans="1:15">
      <c r="A30" s="43" t="str">
        <f>'1. 소켓인수검사'!A28</f>
        <v>20</v>
      </c>
      <c r="B30" s="58" t="str">
        <f>'1. 소켓인수검사'!B28</f>
        <v>HTG-1.69</v>
      </c>
      <c r="C30" s="47">
        <f>'1. 소켓인수검사'!C28</f>
        <v>1100</v>
      </c>
      <c r="D30" s="47">
        <f>'1. 소켓인수검사'!D28</f>
        <v>700</v>
      </c>
      <c r="E30" s="26"/>
      <c r="F30" s="31"/>
      <c r="G30" s="31"/>
      <c r="H30" s="30">
        <f>(C30-60)/2+60</f>
        <v>580</v>
      </c>
      <c r="I30" s="30">
        <v>4</v>
      </c>
      <c r="J30" s="30">
        <f t="shared" si="1"/>
        <v>700</v>
      </c>
      <c r="K30" s="30">
        <v>4</v>
      </c>
      <c r="L30" s="280"/>
      <c r="M30" s="281"/>
      <c r="N30" s="282"/>
      <c r="O30" s="28"/>
    </row>
    <row r="31" spans="1:15">
      <c r="A31" s="43" t="str">
        <f>'1. 소켓인수검사'!A29</f>
        <v>21</v>
      </c>
      <c r="B31" s="58" t="str">
        <f>'1. 소켓인수검사'!B29</f>
        <v>HTG-1.69</v>
      </c>
      <c r="C31" s="47">
        <f>'1. 소켓인수검사'!C29</f>
        <v>1100</v>
      </c>
      <c r="D31" s="47">
        <f>'1. 소켓인수검사'!D29</f>
        <v>700</v>
      </c>
      <c r="E31" s="26"/>
      <c r="F31" s="31"/>
      <c r="G31" s="31"/>
      <c r="H31" s="30">
        <f t="shared" ref="H31:H35" si="2">(C31-60)/2+60</f>
        <v>580</v>
      </c>
      <c r="I31" s="30">
        <v>4</v>
      </c>
      <c r="J31" s="30">
        <f t="shared" si="1"/>
        <v>700</v>
      </c>
      <c r="K31" s="30">
        <v>4</v>
      </c>
      <c r="L31" s="280"/>
      <c r="M31" s="281"/>
      <c r="N31" s="282"/>
      <c r="O31" s="28"/>
    </row>
    <row r="32" spans="1:15">
      <c r="A32" s="43" t="str">
        <f>'1. 소켓인수검사'!A30</f>
        <v>22</v>
      </c>
      <c r="B32" s="58" t="str">
        <f>'1. 소켓인수검사'!B30</f>
        <v>HTG-1.69</v>
      </c>
      <c r="C32" s="47">
        <f>'1. 소켓인수검사'!C30</f>
        <v>1100</v>
      </c>
      <c r="D32" s="47">
        <f>'1. 소켓인수검사'!D30</f>
        <v>700</v>
      </c>
      <c r="E32" s="26"/>
      <c r="F32" s="31"/>
      <c r="G32" s="31"/>
      <c r="H32" s="30">
        <f t="shared" si="2"/>
        <v>580</v>
      </c>
      <c r="I32" s="30">
        <v>4</v>
      </c>
      <c r="J32" s="30">
        <f t="shared" si="1"/>
        <v>700</v>
      </c>
      <c r="K32" s="30">
        <v>4</v>
      </c>
      <c r="L32" s="280"/>
      <c r="M32" s="281"/>
      <c r="N32" s="282"/>
      <c r="O32" s="28"/>
    </row>
    <row r="33" spans="1:15">
      <c r="A33" s="43" t="str">
        <f>'1. 소켓인수검사'!A31</f>
        <v>23</v>
      </c>
      <c r="B33" s="58" t="str">
        <f>'1. 소켓인수검사'!B31</f>
        <v>HTG-1.69</v>
      </c>
      <c r="C33" s="47">
        <f>'1. 소켓인수검사'!C31</f>
        <v>1100</v>
      </c>
      <c r="D33" s="47">
        <f>'1. 소켓인수검사'!D31</f>
        <v>700</v>
      </c>
      <c r="E33" s="27"/>
      <c r="F33" s="31"/>
      <c r="G33" s="31"/>
      <c r="H33" s="30">
        <f t="shared" si="2"/>
        <v>580</v>
      </c>
      <c r="I33" s="30">
        <v>4</v>
      </c>
      <c r="J33" s="30">
        <f t="shared" si="1"/>
        <v>700</v>
      </c>
      <c r="K33" s="30">
        <v>4</v>
      </c>
      <c r="L33" s="280"/>
      <c r="M33" s="281"/>
      <c r="N33" s="282"/>
      <c r="O33" s="28"/>
    </row>
    <row r="34" spans="1:15">
      <c r="A34" s="43" t="str">
        <f>'1. 소켓인수검사'!A32</f>
        <v>24</v>
      </c>
      <c r="B34" s="58" t="str">
        <f>'1. 소켓인수검사'!B32</f>
        <v>HTG-1.69</v>
      </c>
      <c r="C34" s="49">
        <f>'1. 소켓인수검사'!C32</f>
        <v>1100</v>
      </c>
      <c r="D34" s="49">
        <f>'1. 소켓인수검사'!D32</f>
        <v>700</v>
      </c>
      <c r="E34" s="27"/>
      <c r="F34" s="31"/>
      <c r="G34" s="31"/>
      <c r="H34" s="30">
        <f t="shared" si="2"/>
        <v>580</v>
      </c>
      <c r="I34" s="30">
        <v>4</v>
      </c>
      <c r="J34" s="30">
        <f t="shared" si="1"/>
        <v>700</v>
      </c>
      <c r="K34" s="30">
        <v>4</v>
      </c>
      <c r="L34" s="280"/>
      <c r="M34" s="281"/>
      <c r="N34" s="282"/>
      <c r="O34" s="28"/>
    </row>
    <row r="35" spans="1:15">
      <c r="A35" s="43" t="str">
        <f>'1. 소켓인수검사'!A33</f>
        <v>25</v>
      </c>
      <c r="B35" s="58" t="str">
        <f>'1. 소켓인수검사'!B33</f>
        <v>HTG-1.69</v>
      </c>
      <c r="C35" s="49">
        <f>'1. 소켓인수검사'!C33</f>
        <v>1100</v>
      </c>
      <c r="D35" s="49">
        <f>'1. 소켓인수검사'!D33</f>
        <v>700</v>
      </c>
      <c r="E35" s="27"/>
      <c r="F35" s="31"/>
      <c r="G35" s="31"/>
      <c r="H35" s="30">
        <f t="shared" si="2"/>
        <v>580</v>
      </c>
      <c r="I35" s="30">
        <v>4</v>
      </c>
      <c r="J35" s="30">
        <f t="shared" ref="J35" si="3">D35</f>
        <v>700</v>
      </c>
      <c r="K35" s="30">
        <v>4</v>
      </c>
      <c r="L35" s="280"/>
      <c r="M35" s="281"/>
      <c r="N35" s="282"/>
      <c r="O35" s="28"/>
    </row>
    <row r="36" spans="1:15">
      <c r="A36" s="283" t="s">
        <v>19</v>
      </c>
      <c r="B36" s="283"/>
      <c r="C36" s="283"/>
      <c r="D36" s="3"/>
      <c r="E36" s="4"/>
      <c r="F36" s="4"/>
      <c r="G36" s="4"/>
      <c r="H36" s="3"/>
      <c r="I36" s="3">
        <f>SUM(I11:I35)</f>
        <v>62</v>
      </c>
      <c r="J36" s="3"/>
      <c r="K36" s="3">
        <f>SUM(K11:K35)</f>
        <v>62</v>
      </c>
      <c r="L36" s="255"/>
      <c r="M36" s="284"/>
      <c r="N36" s="256"/>
      <c r="O36" s="3"/>
    </row>
    <row r="37" spans="1:15" ht="8.1" customHeight="1">
      <c r="A37" s="285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</row>
    <row r="38" spans="1:15">
      <c r="A38" s="205" t="s">
        <v>8</v>
      </c>
      <c r="B38" s="205"/>
      <c r="C38" s="205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</row>
    <row r="39" spans="1:15">
      <c r="A39" s="205"/>
      <c r="B39" s="205"/>
      <c r="C39" s="205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</row>
    <row r="40" spans="1:15">
      <c r="A40" s="205"/>
      <c r="B40" s="205"/>
      <c r="C40" s="205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</row>
    <row r="41" spans="1:15">
      <c r="A41" s="205"/>
      <c r="B41" s="205"/>
      <c r="C41" s="205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</row>
    <row r="42" spans="1:15">
      <c r="A42" s="205"/>
      <c r="B42" s="205"/>
      <c r="C42" s="205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</row>
    <row r="43" spans="1:15">
      <c r="A43" s="205"/>
      <c r="B43" s="205"/>
      <c r="C43" s="205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</row>
  </sheetData>
  <mergeCells count="55">
    <mergeCell ref="A38:C43"/>
    <mergeCell ref="D38:O43"/>
    <mergeCell ref="A36:C36"/>
    <mergeCell ref="L36:N36"/>
    <mergeCell ref="A37:O37"/>
    <mergeCell ref="L31:N31"/>
    <mergeCell ref="L32:N32"/>
    <mergeCell ref="L33:N33"/>
    <mergeCell ref="L34:N34"/>
    <mergeCell ref="L35:N35"/>
    <mergeCell ref="L26:N26"/>
    <mergeCell ref="L27:N27"/>
    <mergeCell ref="L28:N28"/>
    <mergeCell ref="L29:N29"/>
    <mergeCell ref="L30:N30"/>
    <mergeCell ref="L21:N21"/>
    <mergeCell ref="L22:N22"/>
    <mergeCell ref="L23:N23"/>
    <mergeCell ref="L24:N24"/>
    <mergeCell ref="L25:N25"/>
    <mergeCell ref="L16:N16"/>
    <mergeCell ref="L17:N17"/>
    <mergeCell ref="L18:N18"/>
    <mergeCell ref="L19:N19"/>
    <mergeCell ref="L20:N20"/>
    <mergeCell ref="L11:N11"/>
    <mergeCell ref="L12:N12"/>
    <mergeCell ref="L13:N13"/>
    <mergeCell ref="L14:N14"/>
    <mergeCell ref="L15:N15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L9:N10"/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</mergeCells>
  <phoneticPr fontId="3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43"/>
  <sheetViews>
    <sheetView view="pageBreakPreview" zoomScale="85" zoomScaleNormal="85" zoomScaleSheetLayoutView="85" workbookViewId="0">
      <pane ySplit="9" topLeftCell="A14" activePane="bottomLeft" state="frozen"/>
      <selection pane="bottomLeft" activeCell="X38" sqref="X38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69"/>
      <c r="B1" s="169"/>
      <c r="C1" s="169"/>
      <c r="D1" s="246" t="s">
        <v>9</v>
      </c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8"/>
    </row>
    <row r="2" spans="1:21" ht="16.5" customHeight="1">
      <c r="A2" s="169"/>
      <c r="B2" s="169"/>
      <c r="C2" s="169"/>
      <c r="D2" s="249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1"/>
    </row>
    <row r="3" spans="1:21" ht="24" customHeight="1">
      <c r="A3" s="169"/>
      <c r="B3" s="169"/>
      <c r="C3" s="169"/>
      <c r="D3" s="249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1"/>
    </row>
    <row r="4" spans="1:21" ht="16.5" customHeight="1">
      <c r="A4" s="169" t="s">
        <v>48</v>
      </c>
      <c r="B4" s="169"/>
      <c r="C4" s="1"/>
      <c r="D4" s="249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1"/>
    </row>
    <row r="5" spans="1:21" ht="16.5" customHeight="1">
      <c r="A5" s="169" t="s">
        <v>42</v>
      </c>
      <c r="B5" s="169"/>
      <c r="C5" s="169"/>
      <c r="D5" s="2" t="s">
        <v>39</v>
      </c>
      <c r="E5" s="255"/>
      <c r="F5" s="256"/>
      <c r="G5" s="257" t="s">
        <v>24</v>
      </c>
      <c r="H5" s="85"/>
      <c r="I5" s="85"/>
      <c r="J5" s="257" t="s">
        <v>24</v>
      </c>
      <c r="K5" s="89"/>
      <c r="L5" s="259"/>
      <c r="M5" s="285"/>
      <c r="N5" s="260"/>
      <c r="O5" s="257" t="s">
        <v>35</v>
      </c>
      <c r="P5" s="286" t="str">
        <f>'1. 소켓인수검사'!R1</f>
        <v>26.07.20 씨에스하이테크_삼성물산_세방테크_판교641 PSM타워</v>
      </c>
      <c r="Q5" s="287"/>
      <c r="R5" s="287"/>
      <c r="S5" s="287"/>
      <c r="T5" s="287"/>
      <c r="U5" s="288"/>
    </row>
    <row r="6" spans="1:21">
      <c r="A6" s="169"/>
      <c r="B6" s="169"/>
      <c r="C6" s="169"/>
      <c r="D6" s="2" t="s">
        <v>36</v>
      </c>
      <c r="E6" s="255"/>
      <c r="F6" s="256"/>
      <c r="G6" s="258"/>
      <c r="H6" s="87"/>
      <c r="I6" s="87"/>
      <c r="J6" s="258"/>
      <c r="K6" s="86"/>
      <c r="L6" s="261"/>
      <c r="M6" s="264"/>
      <c r="N6" s="262"/>
      <c r="O6" s="258"/>
      <c r="P6" s="289"/>
      <c r="Q6" s="290"/>
      <c r="R6" s="290"/>
      <c r="S6" s="290"/>
      <c r="T6" s="290"/>
      <c r="U6" s="291"/>
    </row>
    <row r="7" spans="1:21" ht="8.1" customHeight="1">
      <c r="A7" s="172"/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5"/>
      <c r="T7" s="5"/>
      <c r="U7" s="5"/>
    </row>
    <row r="8" spans="1:21" ht="29.25" customHeight="1">
      <c r="A8" s="292" t="s">
        <v>28</v>
      </c>
      <c r="B8" s="294" t="s">
        <v>29</v>
      </c>
      <c r="C8" s="294" t="s">
        <v>17</v>
      </c>
      <c r="D8" s="294" t="s">
        <v>33</v>
      </c>
      <c r="E8" s="294" t="s">
        <v>30</v>
      </c>
      <c r="F8" s="294" t="s">
        <v>22</v>
      </c>
      <c r="G8" s="294" t="s">
        <v>79</v>
      </c>
      <c r="H8" s="294"/>
      <c r="I8" s="294"/>
      <c r="J8" s="294"/>
      <c r="K8" s="294"/>
      <c r="L8" s="294"/>
      <c r="M8" s="294" t="s">
        <v>55</v>
      </c>
      <c r="N8" s="294"/>
      <c r="O8" s="294"/>
      <c r="P8" s="294" t="s">
        <v>65</v>
      </c>
      <c r="Q8" s="294"/>
      <c r="R8" s="294"/>
      <c r="S8" s="294"/>
      <c r="T8" s="296"/>
      <c r="U8" s="297"/>
    </row>
    <row r="9" spans="1:21" ht="26.45" customHeight="1">
      <c r="A9" s="293"/>
      <c r="B9" s="295"/>
      <c r="C9" s="295"/>
      <c r="D9" s="295"/>
      <c r="E9" s="295"/>
      <c r="F9" s="295"/>
      <c r="G9" s="88" t="s">
        <v>34</v>
      </c>
      <c r="H9" s="88" t="s">
        <v>3</v>
      </c>
      <c r="I9" s="88" t="s">
        <v>89</v>
      </c>
      <c r="J9" s="59" t="s">
        <v>69</v>
      </c>
      <c r="K9" s="88" t="s">
        <v>3</v>
      </c>
      <c r="L9" s="88" t="s">
        <v>89</v>
      </c>
      <c r="M9" s="88" t="s">
        <v>68</v>
      </c>
      <c r="N9" s="88" t="s">
        <v>3</v>
      </c>
      <c r="O9" s="88" t="s">
        <v>57</v>
      </c>
      <c r="P9" s="88" t="s">
        <v>80</v>
      </c>
      <c r="Q9" s="88" t="s">
        <v>3</v>
      </c>
      <c r="R9" s="88" t="s">
        <v>89</v>
      </c>
      <c r="S9" s="88" t="s">
        <v>43</v>
      </c>
      <c r="T9" s="60" t="s">
        <v>3</v>
      </c>
      <c r="U9" s="60" t="s">
        <v>89</v>
      </c>
    </row>
    <row r="10" spans="1:21" ht="16.5" customHeight="1">
      <c r="A10" s="43" t="str">
        <f>+'1. 소켓인수검사'!A9</f>
        <v>01</v>
      </c>
      <c r="B10" s="47">
        <f>+'1. 소켓인수검사'!C9</f>
        <v>600</v>
      </c>
      <c r="C10" s="47">
        <f>+'1. 소켓인수검사'!D9</f>
        <v>400</v>
      </c>
      <c r="D10" s="84" t="str">
        <f>+'1. 소켓인수검사'!B9</f>
        <v>HTG-064</v>
      </c>
      <c r="E10" s="61">
        <f>B10*C10/1000000</f>
        <v>0.24</v>
      </c>
      <c r="F10" s="61">
        <f>(B10+C10)*2/1000</f>
        <v>2</v>
      </c>
      <c r="G10" s="62">
        <f t="shared" ref="G10:G28" si="0">F10+0.4</f>
        <v>2.4</v>
      </c>
      <c r="H10" s="63">
        <v>1</v>
      </c>
      <c r="I10" s="63">
        <f>H10*G10</f>
        <v>2.4</v>
      </c>
      <c r="J10" s="298"/>
      <c r="K10" s="298"/>
      <c r="L10" s="298"/>
      <c r="M10" s="62">
        <v>1</v>
      </c>
      <c r="N10" s="127">
        <f>'2.1 재단(1.69,064)'!T8/2</f>
        <v>3</v>
      </c>
      <c r="O10" s="48"/>
      <c r="P10" s="93"/>
      <c r="Q10" s="93"/>
      <c r="R10" s="93"/>
      <c r="S10" s="62">
        <f>F10+0.5</f>
        <v>2.5</v>
      </c>
      <c r="T10" s="64">
        <v>1</v>
      </c>
      <c r="U10" s="64">
        <f>T10*S10</f>
        <v>2.5</v>
      </c>
    </row>
    <row r="11" spans="1:21" ht="16.5" customHeight="1">
      <c r="A11" s="43" t="str">
        <f>+'1. 소켓인수검사'!A10</f>
        <v>02</v>
      </c>
      <c r="B11" s="44">
        <f>+'1. 소켓인수검사'!C10</f>
        <v>600</v>
      </c>
      <c r="C11" s="44">
        <f>+'1. 소켓인수검사'!D10</f>
        <v>400</v>
      </c>
      <c r="D11" s="84" t="str">
        <f>+'1. 소켓인수검사'!B10</f>
        <v>HTG-064</v>
      </c>
      <c r="E11" s="61">
        <f t="shared" ref="E11:E12" si="1">B11*C11/1000000</f>
        <v>0.24</v>
      </c>
      <c r="F11" s="61">
        <f t="shared" ref="F11:F12" si="2">(B11+C11)*2/1000</f>
        <v>2</v>
      </c>
      <c r="G11" s="62">
        <f t="shared" si="0"/>
        <v>2.4</v>
      </c>
      <c r="H11" s="63">
        <v>1</v>
      </c>
      <c r="I11" s="63">
        <f t="shared" ref="I11:I28" si="3">H11*G11</f>
        <v>2.4</v>
      </c>
      <c r="J11" s="298"/>
      <c r="K11" s="298"/>
      <c r="L11" s="298"/>
      <c r="M11" s="62">
        <v>1</v>
      </c>
      <c r="N11" s="127">
        <f>'2.1 재단(1.69,064)'!T9/2</f>
        <v>3</v>
      </c>
      <c r="O11" s="48"/>
      <c r="P11" s="93"/>
      <c r="Q11" s="93"/>
      <c r="R11" s="93"/>
      <c r="S11" s="62">
        <f t="shared" ref="S11:S28" si="4">F11+0.5</f>
        <v>2.5</v>
      </c>
      <c r="T11" s="64">
        <v>1</v>
      </c>
      <c r="U11" s="64">
        <f t="shared" ref="U11:U28" si="5">T11*S11</f>
        <v>2.5</v>
      </c>
    </row>
    <row r="12" spans="1:21" ht="16.5" customHeight="1">
      <c r="A12" s="43" t="str">
        <f>+'1. 소켓인수검사'!A11</f>
        <v>03</v>
      </c>
      <c r="B12" s="44">
        <f>+'1. 소켓인수검사'!C11</f>
        <v>600</v>
      </c>
      <c r="C12" s="47">
        <f>+'1. 소켓인수검사'!D11</f>
        <v>400</v>
      </c>
      <c r="D12" s="84" t="str">
        <f>+'1. 소켓인수검사'!B11</f>
        <v>HTG-064</v>
      </c>
      <c r="E12" s="61">
        <f t="shared" si="1"/>
        <v>0.24</v>
      </c>
      <c r="F12" s="61">
        <f t="shared" si="2"/>
        <v>2</v>
      </c>
      <c r="G12" s="62">
        <f t="shared" si="0"/>
        <v>2.4</v>
      </c>
      <c r="H12" s="63">
        <v>1</v>
      </c>
      <c r="I12" s="63">
        <f t="shared" si="3"/>
        <v>2.4</v>
      </c>
      <c r="J12" s="298"/>
      <c r="K12" s="298"/>
      <c r="L12" s="298"/>
      <c r="M12" s="62">
        <v>1</v>
      </c>
      <c r="N12" s="127">
        <f>'2.1 재단(1.69,064)'!T10/2</f>
        <v>3</v>
      </c>
      <c r="O12" s="48"/>
      <c r="P12" s="93"/>
      <c r="Q12" s="93"/>
      <c r="R12" s="93"/>
      <c r="S12" s="62">
        <f t="shared" si="4"/>
        <v>2.5</v>
      </c>
      <c r="T12" s="64">
        <v>1</v>
      </c>
      <c r="U12" s="64">
        <f t="shared" si="5"/>
        <v>2.5</v>
      </c>
    </row>
    <row r="13" spans="1:21" ht="16.5" customHeight="1">
      <c r="A13" s="43" t="str">
        <f>+'1. 소켓인수검사'!A12</f>
        <v>04</v>
      </c>
      <c r="B13" s="44">
        <f>+'1. 소켓인수검사'!C12</f>
        <v>700</v>
      </c>
      <c r="C13" s="44">
        <f>+'1. 소켓인수검사'!D12</f>
        <v>450</v>
      </c>
      <c r="D13" s="84" t="str">
        <f>+'1. 소켓인수검사'!B12</f>
        <v>HTG-064</v>
      </c>
      <c r="E13" s="61">
        <f t="shared" ref="E13:E34" si="6">B13*C13/1000000</f>
        <v>0.315</v>
      </c>
      <c r="F13" s="61">
        <f t="shared" ref="F13:F34" si="7">(B13+C13)*2/1000</f>
        <v>2.2999999999999998</v>
      </c>
      <c r="G13" s="62">
        <f t="shared" si="0"/>
        <v>2.6999999999999997</v>
      </c>
      <c r="H13" s="63">
        <v>1</v>
      </c>
      <c r="I13" s="63">
        <f t="shared" si="3"/>
        <v>2.6999999999999997</v>
      </c>
      <c r="J13" s="298"/>
      <c r="K13" s="298"/>
      <c r="L13" s="298"/>
      <c r="M13" s="62">
        <v>1</v>
      </c>
      <c r="N13" s="127">
        <f>'2.1 재단(1.69,064)'!T11/2</f>
        <v>3</v>
      </c>
      <c r="O13" s="48"/>
      <c r="P13" s="93"/>
      <c r="Q13" s="93"/>
      <c r="R13" s="93"/>
      <c r="S13" s="62">
        <f t="shared" si="4"/>
        <v>2.8</v>
      </c>
      <c r="T13" s="64">
        <v>1</v>
      </c>
      <c r="U13" s="64">
        <f t="shared" si="5"/>
        <v>2.8</v>
      </c>
    </row>
    <row r="14" spans="1:21" ht="16.5" customHeight="1">
      <c r="A14" s="43" t="str">
        <f>+'1. 소켓인수검사'!A13</f>
        <v>05</v>
      </c>
      <c r="B14" s="44">
        <f>+'1. 소켓인수검사'!C13</f>
        <v>700</v>
      </c>
      <c r="C14" s="44">
        <f>+'1. 소켓인수검사'!D13</f>
        <v>450</v>
      </c>
      <c r="D14" s="84" t="str">
        <f>+'1. 소켓인수검사'!B13</f>
        <v>HTG-064</v>
      </c>
      <c r="E14" s="61">
        <f t="shared" si="6"/>
        <v>0.315</v>
      </c>
      <c r="F14" s="61">
        <f t="shared" si="7"/>
        <v>2.2999999999999998</v>
      </c>
      <c r="G14" s="62">
        <f t="shared" si="0"/>
        <v>2.6999999999999997</v>
      </c>
      <c r="H14" s="63">
        <v>1</v>
      </c>
      <c r="I14" s="63">
        <f t="shared" si="3"/>
        <v>2.6999999999999997</v>
      </c>
      <c r="J14" s="298"/>
      <c r="K14" s="298"/>
      <c r="L14" s="298"/>
      <c r="M14" s="62">
        <v>1</v>
      </c>
      <c r="N14" s="127">
        <f>'2.1 재단(1.69,064)'!T12/2</f>
        <v>3</v>
      </c>
      <c r="O14" s="48"/>
      <c r="P14" s="93"/>
      <c r="Q14" s="93"/>
      <c r="R14" s="93"/>
      <c r="S14" s="62">
        <f t="shared" si="4"/>
        <v>2.8</v>
      </c>
      <c r="T14" s="64">
        <v>1</v>
      </c>
      <c r="U14" s="64">
        <f t="shared" si="5"/>
        <v>2.8</v>
      </c>
    </row>
    <row r="15" spans="1:21" ht="16.5" customHeight="1">
      <c r="A15" s="43" t="str">
        <f>+'1. 소켓인수검사'!A14</f>
        <v>06</v>
      </c>
      <c r="B15" s="44">
        <f>+'1. 소켓인수검사'!C14</f>
        <v>700</v>
      </c>
      <c r="C15" s="44">
        <f>+'1. 소켓인수검사'!D14</f>
        <v>450</v>
      </c>
      <c r="D15" s="84" t="str">
        <f>+'1. 소켓인수검사'!B14</f>
        <v>HTG-064</v>
      </c>
      <c r="E15" s="61">
        <f t="shared" si="6"/>
        <v>0.315</v>
      </c>
      <c r="F15" s="61">
        <f t="shared" si="7"/>
        <v>2.2999999999999998</v>
      </c>
      <c r="G15" s="62">
        <f t="shared" si="0"/>
        <v>2.6999999999999997</v>
      </c>
      <c r="H15" s="63">
        <v>1</v>
      </c>
      <c r="I15" s="63">
        <f t="shared" si="3"/>
        <v>2.6999999999999997</v>
      </c>
      <c r="J15" s="298"/>
      <c r="K15" s="298"/>
      <c r="L15" s="298"/>
      <c r="M15" s="62">
        <v>1</v>
      </c>
      <c r="N15" s="127">
        <f>'2.1 재단(1.69,064)'!T13/2</f>
        <v>3</v>
      </c>
      <c r="O15" s="48"/>
      <c r="P15" s="93"/>
      <c r="Q15" s="93"/>
      <c r="R15" s="93"/>
      <c r="S15" s="62">
        <f t="shared" si="4"/>
        <v>2.8</v>
      </c>
      <c r="T15" s="64">
        <v>1</v>
      </c>
      <c r="U15" s="64">
        <f t="shared" si="5"/>
        <v>2.8</v>
      </c>
    </row>
    <row r="16" spans="1:21" ht="16.5" customHeight="1">
      <c r="A16" s="43" t="str">
        <f>+'1. 소켓인수검사'!A15</f>
        <v>07</v>
      </c>
      <c r="B16" s="44">
        <f>+'1. 소켓인수검사'!C15</f>
        <v>700</v>
      </c>
      <c r="C16" s="44">
        <f>+'1. 소켓인수검사'!D15</f>
        <v>450</v>
      </c>
      <c r="D16" s="84" t="str">
        <f>+'1. 소켓인수검사'!B15</f>
        <v>HTG-064</v>
      </c>
      <c r="E16" s="61">
        <f t="shared" si="6"/>
        <v>0.315</v>
      </c>
      <c r="F16" s="61">
        <f t="shared" si="7"/>
        <v>2.2999999999999998</v>
      </c>
      <c r="G16" s="62">
        <f t="shared" si="0"/>
        <v>2.6999999999999997</v>
      </c>
      <c r="H16" s="63">
        <v>1</v>
      </c>
      <c r="I16" s="63">
        <f t="shared" si="3"/>
        <v>2.6999999999999997</v>
      </c>
      <c r="J16" s="298"/>
      <c r="K16" s="298"/>
      <c r="L16" s="298"/>
      <c r="M16" s="62">
        <v>1</v>
      </c>
      <c r="N16" s="127">
        <f>'2.1 재단(1.69,064)'!T14/2</f>
        <v>3</v>
      </c>
      <c r="O16" s="48"/>
      <c r="P16" s="93"/>
      <c r="Q16" s="93"/>
      <c r="R16" s="93"/>
      <c r="S16" s="62">
        <f t="shared" si="4"/>
        <v>2.8</v>
      </c>
      <c r="T16" s="64">
        <v>1</v>
      </c>
      <c r="U16" s="64">
        <f t="shared" si="5"/>
        <v>2.8</v>
      </c>
    </row>
    <row r="17" spans="1:21" ht="16.5" customHeight="1">
      <c r="A17" s="43" t="str">
        <f>+'1. 소켓인수검사'!A16</f>
        <v>08</v>
      </c>
      <c r="B17" s="44">
        <f>+'1. 소켓인수검사'!C16</f>
        <v>700</v>
      </c>
      <c r="C17" s="44">
        <f>+'1. 소켓인수검사'!D16</f>
        <v>450</v>
      </c>
      <c r="D17" s="84" t="str">
        <f>+'1. 소켓인수검사'!B16</f>
        <v>HTG-064</v>
      </c>
      <c r="E17" s="61">
        <f t="shared" si="6"/>
        <v>0.315</v>
      </c>
      <c r="F17" s="61">
        <f t="shared" si="7"/>
        <v>2.2999999999999998</v>
      </c>
      <c r="G17" s="62">
        <f t="shared" si="0"/>
        <v>2.6999999999999997</v>
      </c>
      <c r="H17" s="63">
        <v>1</v>
      </c>
      <c r="I17" s="63">
        <f t="shared" si="3"/>
        <v>2.6999999999999997</v>
      </c>
      <c r="J17" s="298"/>
      <c r="K17" s="298"/>
      <c r="L17" s="298"/>
      <c r="M17" s="62">
        <v>1</v>
      </c>
      <c r="N17" s="127">
        <f>'2.1 재단(1.69,064)'!T15/2</f>
        <v>3</v>
      </c>
      <c r="O17" s="48"/>
      <c r="P17" s="93"/>
      <c r="Q17" s="93"/>
      <c r="R17" s="93"/>
      <c r="S17" s="62">
        <f t="shared" si="4"/>
        <v>2.8</v>
      </c>
      <c r="T17" s="64">
        <v>1</v>
      </c>
      <c r="U17" s="64">
        <f t="shared" si="5"/>
        <v>2.8</v>
      </c>
    </row>
    <row r="18" spans="1:21" ht="16.5" customHeight="1">
      <c r="A18" s="43" t="str">
        <f>+'1. 소켓인수검사'!A17</f>
        <v>09</v>
      </c>
      <c r="B18" s="44">
        <f>+'1. 소켓인수검사'!C17</f>
        <v>850</v>
      </c>
      <c r="C18" s="44">
        <f>+'1. 소켓인수검사'!D17</f>
        <v>600</v>
      </c>
      <c r="D18" s="84" t="str">
        <f>+'1. 소켓인수검사'!B17</f>
        <v>HTG-064</v>
      </c>
      <c r="E18" s="61">
        <f t="shared" si="6"/>
        <v>0.51</v>
      </c>
      <c r="F18" s="61">
        <f t="shared" si="7"/>
        <v>2.9</v>
      </c>
      <c r="G18" s="62">
        <f t="shared" si="0"/>
        <v>3.3</v>
      </c>
      <c r="H18" s="63">
        <v>1</v>
      </c>
      <c r="I18" s="63">
        <f t="shared" si="3"/>
        <v>3.3</v>
      </c>
      <c r="J18" s="298"/>
      <c r="K18" s="298"/>
      <c r="L18" s="298"/>
      <c r="M18" s="62">
        <v>1</v>
      </c>
      <c r="N18" s="127">
        <f>'2.1 재단(1.69,064)'!T16/2</f>
        <v>4</v>
      </c>
      <c r="O18" s="48"/>
      <c r="P18" s="93"/>
      <c r="Q18" s="93"/>
      <c r="R18" s="93"/>
      <c r="S18" s="62">
        <f t="shared" si="4"/>
        <v>3.4</v>
      </c>
      <c r="T18" s="64">
        <v>1</v>
      </c>
      <c r="U18" s="64">
        <f t="shared" si="5"/>
        <v>3.4</v>
      </c>
    </row>
    <row r="19" spans="1:21" ht="16.5" customHeight="1">
      <c r="A19" s="43" t="str">
        <f>+'1. 소켓인수검사'!A18</f>
        <v>10</v>
      </c>
      <c r="B19" s="44">
        <f>+'1. 소켓인수검사'!C18</f>
        <v>850</v>
      </c>
      <c r="C19" s="44">
        <f>+'1. 소켓인수검사'!D18</f>
        <v>600</v>
      </c>
      <c r="D19" s="84" t="str">
        <f>+'1. 소켓인수검사'!B18</f>
        <v>HTG-064</v>
      </c>
      <c r="E19" s="61">
        <f t="shared" si="6"/>
        <v>0.51</v>
      </c>
      <c r="F19" s="61">
        <f t="shared" si="7"/>
        <v>2.9</v>
      </c>
      <c r="G19" s="62">
        <f t="shared" si="0"/>
        <v>3.3</v>
      </c>
      <c r="H19" s="63">
        <v>1</v>
      </c>
      <c r="I19" s="63">
        <f t="shared" si="3"/>
        <v>3.3</v>
      </c>
      <c r="J19" s="298"/>
      <c r="K19" s="298"/>
      <c r="L19" s="298"/>
      <c r="M19" s="62">
        <v>1</v>
      </c>
      <c r="N19" s="127">
        <f>'2.1 재단(1.69,064)'!T17/2</f>
        <v>4</v>
      </c>
      <c r="O19" s="48"/>
      <c r="P19" s="93"/>
      <c r="Q19" s="93"/>
      <c r="R19" s="93"/>
      <c r="S19" s="62">
        <f t="shared" si="4"/>
        <v>3.4</v>
      </c>
      <c r="T19" s="64">
        <v>1</v>
      </c>
      <c r="U19" s="64">
        <f t="shared" si="5"/>
        <v>3.4</v>
      </c>
    </row>
    <row r="20" spans="1:21" ht="16.5" customHeight="1">
      <c r="A20" s="43" t="str">
        <f>+'1. 소켓인수검사'!A19</f>
        <v>11</v>
      </c>
      <c r="B20" s="44">
        <f>+'1. 소켓인수검사'!C19</f>
        <v>850</v>
      </c>
      <c r="C20" s="44">
        <f>+'1. 소켓인수검사'!D19</f>
        <v>600</v>
      </c>
      <c r="D20" s="84" t="str">
        <f>+'1. 소켓인수검사'!B19</f>
        <v>HTG-064</v>
      </c>
      <c r="E20" s="61">
        <f t="shared" si="6"/>
        <v>0.51</v>
      </c>
      <c r="F20" s="61">
        <f t="shared" si="7"/>
        <v>2.9</v>
      </c>
      <c r="G20" s="62">
        <f t="shared" si="0"/>
        <v>3.3</v>
      </c>
      <c r="H20" s="63">
        <v>1</v>
      </c>
      <c r="I20" s="63">
        <f t="shared" si="3"/>
        <v>3.3</v>
      </c>
      <c r="J20" s="298"/>
      <c r="K20" s="298"/>
      <c r="L20" s="298"/>
      <c r="M20" s="62">
        <v>1</v>
      </c>
      <c r="N20" s="127">
        <f>'2.1 재단(1.69,064)'!T18/2</f>
        <v>4</v>
      </c>
      <c r="O20" s="48"/>
      <c r="P20" s="93"/>
      <c r="Q20" s="93"/>
      <c r="R20" s="93"/>
      <c r="S20" s="62">
        <f t="shared" si="4"/>
        <v>3.4</v>
      </c>
      <c r="T20" s="64">
        <v>1</v>
      </c>
      <c r="U20" s="64">
        <f t="shared" si="5"/>
        <v>3.4</v>
      </c>
    </row>
    <row r="21" spans="1:21" ht="16.5" customHeight="1">
      <c r="A21" s="43" t="str">
        <f>+'1. 소켓인수검사'!A20</f>
        <v>12</v>
      </c>
      <c r="B21" s="44">
        <f>+'1. 소켓인수검사'!C20</f>
        <v>850</v>
      </c>
      <c r="C21" s="44">
        <f>+'1. 소켓인수검사'!D20</f>
        <v>600</v>
      </c>
      <c r="D21" s="84" t="str">
        <f>+'1. 소켓인수검사'!B20</f>
        <v>HTG-064</v>
      </c>
      <c r="E21" s="61">
        <f t="shared" si="6"/>
        <v>0.51</v>
      </c>
      <c r="F21" s="61">
        <f t="shared" si="7"/>
        <v>2.9</v>
      </c>
      <c r="G21" s="62">
        <f t="shared" si="0"/>
        <v>3.3</v>
      </c>
      <c r="H21" s="63">
        <v>1</v>
      </c>
      <c r="I21" s="63">
        <f t="shared" si="3"/>
        <v>3.3</v>
      </c>
      <c r="J21" s="298"/>
      <c r="K21" s="298"/>
      <c r="L21" s="298"/>
      <c r="M21" s="62">
        <v>1</v>
      </c>
      <c r="N21" s="127">
        <f>'2.1 재단(1.69,064)'!T19/2</f>
        <v>4</v>
      </c>
      <c r="O21" s="48"/>
      <c r="P21" s="93"/>
      <c r="Q21" s="93"/>
      <c r="R21" s="93"/>
      <c r="S21" s="62">
        <f t="shared" si="4"/>
        <v>3.4</v>
      </c>
      <c r="T21" s="64">
        <v>1</v>
      </c>
      <c r="U21" s="64">
        <f t="shared" si="5"/>
        <v>3.4</v>
      </c>
    </row>
    <row r="22" spans="1:21" ht="16.5" customHeight="1">
      <c r="A22" s="43" t="str">
        <f>+'1. 소켓인수검사'!A21</f>
        <v>13</v>
      </c>
      <c r="B22" s="44">
        <f>+'1. 소켓인수검사'!C21</f>
        <v>850</v>
      </c>
      <c r="C22" s="44">
        <f>+'1. 소켓인수검사'!D21</f>
        <v>600</v>
      </c>
      <c r="D22" s="84" t="str">
        <f>+'1. 소켓인수검사'!B21</f>
        <v>HTG-064</v>
      </c>
      <c r="E22" s="61">
        <f t="shared" si="6"/>
        <v>0.51</v>
      </c>
      <c r="F22" s="61">
        <f t="shared" si="7"/>
        <v>2.9</v>
      </c>
      <c r="G22" s="62">
        <f t="shared" si="0"/>
        <v>3.3</v>
      </c>
      <c r="H22" s="63">
        <v>1</v>
      </c>
      <c r="I22" s="63">
        <f t="shared" si="3"/>
        <v>3.3</v>
      </c>
      <c r="J22" s="298"/>
      <c r="K22" s="298"/>
      <c r="L22" s="298"/>
      <c r="M22" s="62">
        <v>1</v>
      </c>
      <c r="N22" s="127">
        <f>'2.1 재단(1.69,064)'!T20/2</f>
        <v>4</v>
      </c>
      <c r="O22" s="48"/>
      <c r="P22" s="93"/>
      <c r="Q22" s="93"/>
      <c r="R22" s="93"/>
      <c r="S22" s="62">
        <f t="shared" si="4"/>
        <v>3.4</v>
      </c>
      <c r="T22" s="64">
        <v>1</v>
      </c>
      <c r="U22" s="64">
        <f t="shared" si="5"/>
        <v>3.4</v>
      </c>
    </row>
    <row r="23" spans="1:21" ht="16.5" customHeight="1">
      <c r="A23" s="43" t="str">
        <f>+'1. 소켓인수검사'!A22</f>
        <v>14</v>
      </c>
      <c r="B23" s="44">
        <f>+'1. 소켓인수검사'!C22</f>
        <v>900</v>
      </c>
      <c r="C23" s="44">
        <f>+'1. 소켓인수검사'!D22</f>
        <v>600</v>
      </c>
      <c r="D23" s="84" t="str">
        <f>+'1. 소켓인수검사'!B22</f>
        <v>HTG-064</v>
      </c>
      <c r="E23" s="61">
        <f t="shared" si="6"/>
        <v>0.54</v>
      </c>
      <c r="F23" s="61">
        <f t="shared" si="7"/>
        <v>3</v>
      </c>
      <c r="G23" s="62">
        <f t="shared" si="0"/>
        <v>3.4</v>
      </c>
      <c r="H23" s="63">
        <v>1</v>
      </c>
      <c r="I23" s="63">
        <f t="shared" si="3"/>
        <v>3.4</v>
      </c>
      <c r="J23" s="298"/>
      <c r="K23" s="298"/>
      <c r="L23" s="298"/>
      <c r="M23" s="62">
        <v>1</v>
      </c>
      <c r="N23" s="127">
        <f>'2.1 재단(1.69,064)'!T21/2</f>
        <v>4</v>
      </c>
      <c r="O23" s="48"/>
      <c r="P23" s="93"/>
      <c r="Q23" s="93"/>
      <c r="R23" s="93"/>
      <c r="S23" s="62">
        <f t="shared" si="4"/>
        <v>3.5</v>
      </c>
      <c r="T23" s="64">
        <v>1</v>
      </c>
      <c r="U23" s="64">
        <f t="shared" si="5"/>
        <v>3.5</v>
      </c>
    </row>
    <row r="24" spans="1:21" ht="16.5" customHeight="1">
      <c r="A24" s="43" t="str">
        <f>+'1. 소켓인수검사'!A23</f>
        <v>15</v>
      </c>
      <c r="B24" s="44">
        <f>+'1. 소켓인수검사'!C23</f>
        <v>900</v>
      </c>
      <c r="C24" s="44">
        <f>+'1. 소켓인수검사'!D23</f>
        <v>600</v>
      </c>
      <c r="D24" s="84" t="str">
        <f>+'1. 소켓인수검사'!B23</f>
        <v>HTG-064</v>
      </c>
      <c r="E24" s="61">
        <f t="shared" si="6"/>
        <v>0.54</v>
      </c>
      <c r="F24" s="61">
        <f t="shared" si="7"/>
        <v>3</v>
      </c>
      <c r="G24" s="62">
        <f t="shared" si="0"/>
        <v>3.4</v>
      </c>
      <c r="H24" s="63">
        <v>1</v>
      </c>
      <c r="I24" s="63">
        <f t="shared" si="3"/>
        <v>3.4</v>
      </c>
      <c r="J24" s="298"/>
      <c r="K24" s="298"/>
      <c r="L24" s="298"/>
      <c r="M24" s="62">
        <v>1</v>
      </c>
      <c r="N24" s="127">
        <f>'2.1 재단(1.69,064)'!T22/2</f>
        <v>4</v>
      </c>
      <c r="O24" s="48"/>
      <c r="P24" s="93"/>
      <c r="Q24" s="93"/>
      <c r="R24" s="93"/>
      <c r="S24" s="62">
        <f t="shared" si="4"/>
        <v>3.5</v>
      </c>
      <c r="T24" s="64">
        <v>1</v>
      </c>
      <c r="U24" s="64">
        <f t="shared" si="5"/>
        <v>3.5</v>
      </c>
    </row>
    <row r="25" spans="1:21" ht="16.5" customHeight="1">
      <c r="A25" s="43" t="str">
        <f>+'1. 소켓인수검사'!A24</f>
        <v>16</v>
      </c>
      <c r="B25" s="44">
        <f>+'1. 소켓인수검사'!C24</f>
        <v>900</v>
      </c>
      <c r="C25" s="44">
        <f>+'1. 소켓인수검사'!D24</f>
        <v>600</v>
      </c>
      <c r="D25" s="84" t="str">
        <f>+'1. 소켓인수검사'!B24</f>
        <v>HTG-064</v>
      </c>
      <c r="E25" s="61">
        <f t="shared" si="6"/>
        <v>0.54</v>
      </c>
      <c r="F25" s="61">
        <f t="shared" si="7"/>
        <v>3</v>
      </c>
      <c r="G25" s="62">
        <f t="shared" si="0"/>
        <v>3.4</v>
      </c>
      <c r="H25" s="63">
        <v>1</v>
      </c>
      <c r="I25" s="63">
        <f t="shared" si="3"/>
        <v>3.4</v>
      </c>
      <c r="J25" s="298"/>
      <c r="K25" s="298"/>
      <c r="L25" s="298"/>
      <c r="M25" s="62">
        <v>1</v>
      </c>
      <c r="N25" s="127">
        <f>'2.1 재단(1.69,064)'!T23/2</f>
        <v>4</v>
      </c>
      <c r="O25" s="48"/>
      <c r="P25" s="93"/>
      <c r="Q25" s="93"/>
      <c r="R25" s="93"/>
      <c r="S25" s="62">
        <f t="shared" si="4"/>
        <v>3.5</v>
      </c>
      <c r="T25" s="64">
        <v>1</v>
      </c>
      <c r="U25" s="64">
        <f t="shared" si="5"/>
        <v>3.5</v>
      </c>
    </row>
    <row r="26" spans="1:21" ht="16.5" customHeight="1">
      <c r="A26" s="43" t="str">
        <f>+'1. 소켓인수검사'!A25</f>
        <v>17</v>
      </c>
      <c r="B26" s="44">
        <f>+'1. 소켓인수검사'!C25</f>
        <v>900</v>
      </c>
      <c r="C26" s="44">
        <f>+'1. 소켓인수검사'!D25</f>
        <v>600</v>
      </c>
      <c r="D26" s="84" t="str">
        <f>+'1. 소켓인수검사'!B25</f>
        <v>HTG-064</v>
      </c>
      <c r="E26" s="61">
        <f t="shared" si="6"/>
        <v>0.54</v>
      </c>
      <c r="F26" s="61">
        <f t="shared" si="7"/>
        <v>3</v>
      </c>
      <c r="G26" s="62">
        <f t="shared" si="0"/>
        <v>3.4</v>
      </c>
      <c r="H26" s="63">
        <v>1</v>
      </c>
      <c r="I26" s="63">
        <f t="shared" si="3"/>
        <v>3.4</v>
      </c>
      <c r="J26" s="298"/>
      <c r="K26" s="298"/>
      <c r="L26" s="298"/>
      <c r="M26" s="62">
        <v>1</v>
      </c>
      <c r="N26" s="127">
        <f>'2.1 재단(1.69,064)'!T24/2</f>
        <v>4</v>
      </c>
      <c r="O26" s="48"/>
      <c r="P26" s="93"/>
      <c r="Q26" s="93"/>
      <c r="R26" s="93"/>
      <c r="S26" s="62">
        <f t="shared" si="4"/>
        <v>3.5</v>
      </c>
      <c r="T26" s="64">
        <v>1</v>
      </c>
      <c r="U26" s="64">
        <f t="shared" si="5"/>
        <v>3.5</v>
      </c>
    </row>
    <row r="27" spans="1:21" ht="16.5" customHeight="1">
      <c r="A27" s="43" t="str">
        <f>+'1. 소켓인수검사'!A26</f>
        <v>18</v>
      </c>
      <c r="B27" s="44">
        <f>+'1. 소켓인수검사'!C26</f>
        <v>900</v>
      </c>
      <c r="C27" s="44">
        <f>+'1. 소켓인수검사'!D26</f>
        <v>600</v>
      </c>
      <c r="D27" s="84" t="str">
        <f>+'1. 소켓인수검사'!B26</f>
        <v>HTG-064</v>
      </c>
      <c r="E27" s="61">
        <f t="shared" si="6"/>
        <v>0.54</v>
      </c>
      <c r="F27" s="61">
        <f t="shared" si="7"/>
        <v>3</v>
      </c>
      <c r="G27" s="62">
        <f t="shared" si="0"/>
        <v>3.4</v>
      </c>
      <c r="H27" s="63">
        <v>1</v>
      </c>
      <c r="I27" s="63">
        <f t="shared" si="3"/>
        <v>3.4</v>
      </c>
      <c r="J27" s="298"/>
      <c r="K27" s="298"/>
      <c r="L27" s="298"/>
      <c r="M27" s="62">
        <v>1</v>
      </c>
      <c r="N27" s="127">
        <f>'2.1 재단(1.69,064)'!T25/2</f>
        <v>4</v>
      </c>
      <c r="O27" s="48"/>
      <c r="P27" s="93"/>
      <c r="Q27" s="93"/>
      <c r="R27" s="93"/>
      <c r="S27" s="62">
        <f t="shared" si="4"/>
        <v>3.5</v>
      </c>
      <c r="T27" s="64">
        <v>1</v>
      </c>
      <c r="U27" s="64">
        <f t="shared" si="5"/>
        <v>3.5</v>
      </c>
    </row>
    <row r="28" spans="1:21" ht="16.5" customHeight="1">
      <c r="A28" s="43" t="str">
        <f>+'1. 소켓인수검사'!A27</f>
        <v>19</v>
      </c>
      <c r="B28" s="44">
        <f>+'1. 소켓인수검사'!C27</f>
        <v>900</v>
      </c>
      <c r="C28" s="44">
        <f>+'1. 소켓인수검사'!D27</f>
        <v>600</v>
      </c>
      <c r="D28" s="84" t="str">
        <f>+'1. 소켓인수검사'!B27</f>
        <v>HTG-064</v>
      </c>
      <c r="E28" s="61">
        <f t="shared" si="6"/>
        <v>0.54</v>
      </c>
      <c r="F28" s="61">
        <f t="shared" si="7"/>
        <v>3</v>
      </c>
      <c r="G28" s="62">
        <f t="shared" si="0"/>
        <v>3.4</v>
      </c>
      <c r="H28" s="63">
        <v>1</v>
      </c>
      <c r="I28" s="63">
        <f t="shared" si="3"/>
        <v>3.4</v>
      </c>
      <c r="J28" s="298"/>
      <c r="K28" s="298"/>
      <c r="L28" s="298"/>
      <c r="M28" s="62">
        <v>1</v>
      </c>
      <c r="N28" s="127">
        <f>'2.1 재단(1.69,064)'!T26/2</f>
        <v>4</v>
      </c>
      <c r="O28" s="48"/>
      <c r="P28" s="93"/>
      <c r="Q28" s="93"/>
      <c r="R28" s="93"/>
      <c r="S28" s="62">
        <f t="shared" si="4"/>
        <v>3.5</v>
      </c>
      <c r="T28" s="64">
        <v>1</v>
      </c>
      <c r="U28" s="64">
        <f t="shared" si="5"/>
        <v>3.5</v>
      </c>
    </row>
    <row r="29" spans="1:21" ht="16.5" customHeight="1">
      <c r="A29" s="43" t="str">
        <f>+'1. 소켓인수검사'!A28</f>
        <v>20</v>
      </c>
      <c r="B29" s="44">
        <f>+'1. 소켓인수검사'!C28</f>
        <v>1100</v>
      </c>
      <c r="C29" s="44">
        <f>+'1. 소켓인수검사'!D28</f>
        <v>700</v>
      </c>
      <c r="D29" s="83" t="str">
        <f>+'1. 소켓인수검사'!B28</f>
        <v>HTG-1.69</v>
      </c>
      <c r="E29" s="61">
        <f t="shared" si="6"/>
        <v>0.77</v>
      </c>
      <c r="F29" s="61">
        <f t="shared" si="7"/>
        <v>3.6</v>
      </c>
      <c r="G29" s="62">
        <f t="shared" ref="G29:G34" si="8">F29+0.4</f>
        <v>4</v>
      </c>
      <c r="H29" s="63">
        <v>1</v>
      </c>
      <c r="I29" s="63">
        <f t="shared" ref="I29:I34" si="9">H29*G29</f>
        <v>4</v>
      </c>
      <c r="J29" s="62">
        <f t="shared" ref="J29:J34" si="10">F29+0.4</f>
        <v>4</v>
      </c>
      <c r="K29" s="63">
        <v>1</v>
      </c>
      <c r="L29" s="63">
        <f>K29*J29</f>
        <v>4</v>
      </c>
      <c r="M29" s="62">
        <v>1</v>
      </c>
      <c r="N29" s="127">
        <f>'2.1 재단(1.69,064)'!T27/2</f>
        <v>5</v>
      </c>
      <c r="O29" s="48"/>
      <c r="P29" s="62">
        <f t="shared" ref="P29:P34" si="11">F29+0.5</f>
        <v>4.0999999999999996</v>
      </c>
      <c r="Q29" s="63">
        <v>4</v>
      </c>
      <c r="R29" s="63">
        <f>Q29*P29</f>
        <v>16.399999999999999</v>
      </c>
      <c r="S29" s="298"/>
      <c r="T29" s="303"/>
      <c r="U29" s="304"/>
    </row>
    <row r="30" spans="1:21" ht="16.5" customHeight="1">
      <c r="A30" s="43" t="str">
        <f>+'1. 소켓인수검사'!A29</f>
        <v>21</v>
      </c>
      <c r="B30" s="44">
        <f>+'1. 소켓인수검사'!C29</f>
        <v>1100</v>
      </c>
      <c r="C30" s="44">
        <f>+'1. 소켓인수검사'!D29</f>
        <v>700</v>
      </c>
      <c r="D30" s="83" t="str">
        <f>+'1. 소켓인수검사'!B29</f>
        <v>HTG-1.69</v>
      </c>
      <c r="E30" s="61">
        <f t="shared" si="6"/>
        <v>0.77</v>
      </c>
      <c r="F30" s="61">
        <f t="shared" si="7"/>
        <v>3.6</v>
      </c>
      <c r="G30" s="62">
        <f t="shared" si="8"/>
        <v>4</v>
      </c>
      <c r="H30" s="63">
        <v>1</v>
      </c>
      <c r="I30" s="63">
        <f t="shared" si="9"/>
        <v>4</v>
      </c>
      <c r="J30" s="62">
        <f t="shared" si="10"/>
        <v>4</v>
      </c>
      <c r="K30" s="63">
        <v>1</v>
      </c>
      <c r="L30" s="63">
        <f t="shared" ref="L30:L34" si="12">K30*J30</f>
        <v>4</v>
      </c>
      <c r="M30" s="62">
        <v>1</v>
      </c>
      <c r="N30" s="127">
        <f>'2.1 재단(1.69,064)'!T28/2</f>
        <v>5</v>
      </c>
      <c r="O30" s="48"/>
      <c r="P30" s="62">
        <f t="shared" si="11"/>
        <v>4.0999999999999996</v>
      </c>
      <c r="Q30" s="63">
        <v>4</v>
      </c>
      <c r="R30" s="63">
        <f t="shared" ref="R30:R34" si="13">Q30*P30</f>
        <v>16.399999999999999</v>
      </c>
      <c r="S30" s="298"/>
      <c r="T30" s="303"/>
      <c r="U30" s="304"/>
    </row>
    <row r="31" spans="1:21" ht="16.5" customHeight="1">
      <c r="A31" s="43" t="str">
        <f>+'1. 소켓인수검사'!A30</f>
        <v>22</v>
      </c>
      <c r="B31" s="44">
        <f>+'1. 소켓인수검사'!C30</f>
        <v>1100</v>
      </c>
      <c r="C31" s="44">
        <f>+'1. 소켓인수검사'!D30</f>
        <v>700</v>
      </c>
      <c r="D31" s="83" t="str">
        <f>+'1. 소켓인수검사'!B30</f>
        <v>HTG-1.69</v>
      </c>
      <c r="E31" s="61">
        <f t="shared" si="6"/>
        <v>0.77</v>
      </c>
      <c r="F31" s="61">
        <f t="shared" si="7"/>
        <v>3.6</v>
      </c>
      <c r="G31" s="62">
        <f t="shared" si="8"/>
        <v>4</v>
      </c>
      <c r="H31" s="63">
        <v>1</v>
      </c>
      <c r="I31" s="63">
        <f t="shared" si="9"/>
        <v>4</v>
      </c>
      <c r="J31" s="62">
        <f t="shared" si="10"/>
        <v>4</v>
      </c>
      <c r="K31" s="63">
        <v>1</v>
      </c>
      <c r="L31" s="63">
        <f t="shared" si="12"/>
        <v>4</v>
      </c>
      <c r="M31" s="62">
        <v>1</v>
      </c>
      <c r="N31" s="127">
        <f>'2.1 재단(1.69,064)'!T29/2</f>
        <v>5</v>
      </c>
      <c r="O31" s="48"/>
      <c r="P31" s="62">
        <f t="shared" si="11"/>
        <v>4.0999999999999996</v>
      </c>
      <c r="Q31" s="63">
        <v>4</v>
      </c>
      <c r="R31" s="63">
        <f t="shared" si="13"/>
        <v>16.399999999999999</v>
      </c>
      <c r="S31" s="298"/>
      <c r="T31" s="303"/>
      <c r="U31" s="304"/>
    </row>
    <row r="32" spans="1:21" ht="16.5" customHeight="1">
      <c r="A32" s="43" t="str">
        <f>+'1. 소켓인수검사'!A31</f>
        <v>23</v>
      </c>
      <c r="B32" s="44">
        <f>+'1. 소켓인수검사'!C31</f>
        <v>1100</v>
      </c>
      <c r="C32" s="44">
        <f>+'1. 소켓인수검사'!D31</f>
        <v>700</v>
      </c>
      <c r="D32" s="83" t="str">
        <f>+'1. 소켓인수검사'!B31</f>
        <v>HTG-1.69</v>
      </c>
      <c r="E32" s="61">
        <f t="shared" si="6"/>
        <v>0.77</v>
      </c>
      <c r="F32" s="61">
        <f t="shared" si="7"/>
        <v>3.6</v>
      </c>
      <c r="G32" s="62">
        <f t="shared" si="8"/>
        <v>4</v>
      </c>
      <c r="H32" s="63">
        <v>1</v>
      </c>
      <c r="I32" s="63">
        <f t="shared" si="9"/>
        <v>4</v>
      </c>
      <c r="J32" s="62">
        <f t="shared" si="10"/>
        <v>4</v>
      </c>
      <c r="K32" s="63">
        <v>1</v>
      </c>
      <c r="L32" s="63">
        <f t="shared" si="12"/>
        <v>4</v>
      </c>
      <c r="M32" s="62">
        <v>1</v>
      </c>
      <c r="N32" s="127">
        <f>'2.1 재단(1.69,064)'!T30/2</f>
        <v>5</v>
      </c>
      <c r="O32" s="48"/>
      <c r="P32" s="62">
        <f t="shared" si="11"/>
        <v>4.0999999999999996</v>
      </c>
      <c r="Q32" s="63">
        <v>4</v>
      </c>
      <c r="R32" s="63">
        <f t="shared" si="13"/>
        <v>16.399999999999999</v>
      </c>
      <c r="S32" s="298"/>
      <c r="T32" s="303"/>
      <c r="U32" s="304"/>
    </row>
    <row r="33" spans="1:21" ht="16.5" customHeight="1">
      <c r="A33" s="43" t="str">
        <f>+'1. 소켓인수검사'!A32</f>
        <v>24</v>
      </c>
      <c r="B33" s="44">
        <f>+'1. 소켓인수검사'!C32</f>
        <v>1100</v>
      </c>
      <c r="C33" s="44">
        <f>+'1. 소켓인수검사'!D32</f>
        <v>700</v>
      </c>
      <c r="D33" s="83" t="str">
        <f>+'1. 소켓인수검사'!B32</f>
        <v>HTG-1.69</v>
      </c>
      <c r="E33" s="61">
        <f t="shared" si="6"/>
        <v>0.77</v>
      </c>
      <c r="F33" s="61">
        <f t="shared" si="7"/>
        <v>3.6</v>
      </c>
      <c r="G33" s="62">
        <f t="shared" si="8"/>
        <v>4</v>
      </c>
      <c r="H33" s="63">
        <v>1</v>
      </c>
      <c r="I33" s="63">
        <f t="shared" si="9"/>
        <v>4</v>
      </c>
      <c r="J33" s="62">
        <f t="shared" si="10"/>
        <v>4</v>
      </c>
      <c r="K33" s="63">
        <v>1</v>
      </c>
      <c r="L33" s="63">
        <f t="shared" si="12"/>
        <v>4</v>
      </c>
      <c r="M33" s="62">
        <v>1</v>
      </c>
      <c r="N33" s="127">
        <f>'2.1 재단(1.69,064)'!T31/2</f>
        <v>5</v>
      </c>
      <c r="O33" s="48"/>
      <c r="P33" s="62">
        <f t="shared" si="11"/>
        <v>4.0999999999999996</v>
      </c>
      <c r="Q33" s="63">
        <v>4</v>
      </c>
      <c r="R33" s="63">
        <f t="shared" si="13"/>
        <v>16.399999999999999</v>
      </c>
      <c r="S33" s="298"/>
      <c r="T33" s="303"/>
      <c r="U33" s="304"/>
    </row>
    <row r="34" spans="1:21" ht="16.5" customHeight="1">
      <c r="A34" s="43" t="str">
        <f>+'1. 소켓인수검사'!A33</f>
        <v>25</v>
      </c>
      <c r="B34" s="44">
        <f>+'1. 소켓인수검사'!C33</f>
        <v>1100</v>
      </c>
      <c r="C34" s="44">
        <f>+'1. 소켓인수검사'!D33</f>
        <v>700</v>
      </c>
      <c r="D34" s="83" t="str">
        <f>+'1. 소켓인수검사'!B33</f>
        <v>HTG-1.69</v>
      </c>
      <c r="E34" s="61">
        <f t="shared" si="6"/>
        <v>0.77</v>
      </c>
      <c r="F34" s="61">
        <f t="shared" si="7"/>
        <v>3.6</v>
      </c>
      <c r="G34" s="62">
        <f t="shared" si="8"/>
        <v>4</v>
      </c>
      <c r="H34" s="63">
        <v>1</v>
      </c>
      <c r="I34" s="63">
        <f t="shared" si="9"/>
        <v>4</v>
      </c>
      <c r="J34" s="62">
        <f t="shared" si="10"/>
        <v>4</v>
      </c>
      <c r="K34" s="63">
        <v>1</v>
      </c>
      <c r="L34" s="63">
        <f t="shared" si="12"/>
        <v>4</v>
      </c>
      <c r="M34" s="62">
        <v>1</v>
      </c>
      <c r="N34" s="127">
        <f>'2.1 재단(1.69,064)'!T32/2</f>
        <v>5</v>
      </c>
      <c r="O34" s="48"/>
      <c r="P34" s="62">
        <f t="shared" si="11"/>
        <v>4.0999999999999996</v>
      </c>
      <c r="Q34" s="63">
        <v>4</v>
      </c>
      <c r="R34" s="63">
        <f t="shared" si="13"/>
        <v>16.399999999999999</v>
      </c>
      <c r="S34" s="298"/>
      <c r="T34" s="303"/>
      <c r="U34" s="304"/>
    </row>
    <row r="35" spans="1:21" ht="20.25">
      <c r="A35" s="299" t="s">
        <v>26</v>
      </c>
      <c r="B35" s="300"/>
      <c r="C35" s="300"/>
      <c r="D35" s="300"/>
      <c r="E35" s="300"/>
      <c r="F35" s="300"/>
      <c r="G35" s="94"/>
      <c r="H35" s="94"/>
      <c r="I35" s="95">
        <f>SUM(I10:I34)</f>
        <v>81.599999999999994</v>
      </c>
      <c r="J35" s="94"/>
      <c r="K35" s="94"/>
      <c r="L35" s="95">
        <f>SUM(L10:L34)</f>
        <v>24</v>
      </c>
      <c r="M35" s="94"/>
      <c r="N35" s="96">
        <f>SUM(N10:N34)</f>
        <v>98</v>
      </c>
      <c r="O35" s="97"/>
      <c r="P35" s="94"/>
      <c r="Q35" s="94"/>
      <c r="R35" s="95">
        <f>SUM(R10:R34)</f>
        <v>98.4</v>
      </c>
      <c r="S35" s="98"/>
      <c r="T35" s="94"/>
      <c r="U35" s="95">
        <f>SUM(U10:U34)</f>
        <v>59.5</v>
      </c>
    </row>
    <row r="36" spans="1:21" ht="17.25" customHeight="1">
      <c r="A36" s="301" t="s">
        <v>54</v>
      </c>
      <c r="B36" s="301"/>
      <c r="C36" s="301"/>
      <c r="D36" s="301"/>
      <c r="E36" s="301"/>
      <c r="F36" s="301"/>
      <c r="G36" s="302">
        <f>I35/20</f>
        <v>4.08</v>
      </c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</row>
    <row r="37" spans="1:21" ht="17.25" customHeight="1">
      <c r="A37" s="301" t="s">
        <v>53</v>
      </c>
      <c r="B37" s="301"/>
      <c r="C37" s="301"/>
      <c r="D37" s="301"/>
      <c r="E37" s="301"/>
      <c r="F37" s="301"/>
      <c r="G37" s="302">
        <f>L35/20</f>
        <v>1.2</v>
      </c>
      <c r="H37" s="302"/>
      <c r="I37" s="302"/>
      <c r="J37" s="302"/>
      <c r="K37" s="302"/>
      <c r="L37" s="302"/>
      <c r="M37" s="302"/>
      <c r="N37" s="302"/>
      <c r="O37" s="302"/>
      <c r="P37" s="302"/>
      <c r="Q37" s="302"/>
      <c r="R37" s="302"/>
      <c r="S37" s="302"/>
      <c r="T37" s="302"/>
      <c r="U37" s="302"/>
    </row>
    <row r="38" spans="1:21" ht="17.25" customHeight="1">
      <c r="A38" s="301" t="s">
        <v>52</v>
      </c>
      <c r="B38" s="301"/>
      <c r="C38" s="301"/>
      <c r="D38" s="301"/>
      <c r="E38" s="301"/>
      <c r="F38" s="301"/>
      <c r="G38" s="302">
        <f>R35/4.8</f>
        <v>20.500000000000004</v>
      </c>
      <c r="H38" s="302"/>
      <c r="I38" s="302"/>
      <c r="J38" s="302"/>
      <c r="K38" s="302"/>
      <c r="L38" s="302"/>
      <c r="M38" s="302"/>
      <c r="N38" s="302"/>
      <c r="O38" s="302"/>
      <c r="P38" s="302"/>
      <c r="Q38" s="302"/>
      <c r="R38" s="302"/>
      <c r="S38" s="302"/>
      <c r="T38" s="302"/>
      <c r="U38" s="302"/>
    </row>
    <row r="39" spans="1:21" ht="17.25" customHeight="1">
      <c r="A39" s="301" t="s">
        <v>51</v>
      </c>
      <c r="B39" s="301"/>
      <c r="C39" s="301"/>
      <c r="D39" s="301"/>
      <c r="E39" s="301"/>
      <c r="F39" s="301"/>
      <c r="G39" s="302">
        <f>U35/3.6</f>
        <v>16.527777777777779</v>
      </c>
      <c r="H39" s="302"/>
      <c r="I39" s="302"/>
      <c r="J39" s="302"/>
      <c r="K39" s="302"/>
      <c r="L39" s="302"/>
      <c r="M39" s="302"/>
      <c r="N39" s="302"/>
      <c r="O39" s="302"/>
      <c r="P39" s="302"/>
      <c r="Q39" s="302"/>
      <c r="R39" s="302"/>
      <c r="S39" s="302"/>
      <c r="T39" s="302"/>
      <c r="U39" s="302"/>
    </row>
    <row r="40" spans="1:21" ht="20.25" customHeight="1">
      <c r="A40" s="205" t="s">
        <v>8</v>
      </c>
      <c r="B40" s="2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</row>
    <row r="41" spans="1:21" ht="20.25" customHeight="1">
      <c r="A41" s="205"/>
      <c r="B41" s="205"/>
      <c r="C41" s="305"/>
      <c r="D41" s="305"/>
      <c r="E41" s="305"/>
      <c r="F41" s="305"/>
      <c r="G41" s="305"/>
      <c r="H41" s="305"/>
      <c r="I41" s="305"/>
      <c r="J41" s="305"/>
      <c r="K41" s="305"/>
      <c r="L41" s="305"/>
      <c r="M41" s="305"/>
      <c r="N41" s="305"/>
      <c r="O41" s="305"/>
      <c r="P41" s="305"/>
      <c r="Q41" s="305"/>
      <c r="R41" s="305"/>
      <c r="S41" s="305"/>
      <c r="T41" s="305"/>
      <c r="U41" s="305"/>
    </row>
    <row r="42" spans="1:21" ht="20.25" customHeight="1">
      <c r="A42" s="205"/>
      <c r="B42" s="205"/>
      <c r="C42" s="305"/>
      <c r="D42" s="305"/>
      <c r="E42" s="305"/>
      <c r="F42" s="305"/>
      <c r="G42" s="305"/>
      <c r="H42" s="305"/>
      <c r="I42" s="305"/>
      <c r="J42" s="305"/>
      <c r="K42" s="305"/>
      <c r="L42" s="305"/>
      <c r="M42" s="305"/>
      <c r="N42" s="305"/>
      <c r="O42" s="305"/>
      <c r="P42" s="305"/>
      <c r="Q42" s="305"/>
      <c r="R42" s="305"/>
      <c r="S42" s="305"/>
      <c r="T42" s="305"/>
      <c r="U42" s="305"/>
    </row>
    <row r="43" spans="1:21" ht="20.25" customHeight="1">
      <c r="A43" s="205"/>
      <c r="B43" s="205"/>
      <c r="C43" s="305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</row>
  </sheetData>
  <mergeCells count="35">
    <mergeCell ref="A40:B43"/>
    <mergeCell ref="C40:U43"/>
    <mergeCell ref="A37:F37"/>
    <mergeCell ref="G37:U37"/>
    <mergeCell ref="A38:F38"/>
    <mergeCell ref="G38:U38"/>
    <mergeCell ref="A39:F39"/>
    <mergeCell ref="G39:U39"/>
    <mergeCell ref="J10:L28"/>
    <mergeCell ref="A35:F35"/>
    <mergeCell ref="A36:F36"/>
    <mergeCell ref="G36:U36"/>
    <mergeCell ref="S29:U34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</mergeCells>
  <phoneticPr fontId="35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39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K43" sqref="K43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320"/>
      <c r="B1" s="321"/>
      <c r="C1" s="321"/>
      <c r="D1" s="321"/>
      <c r="E1" s="108" t="s">
        <v>87</v>
      </c>
      <c r="F1" s="314" t="s">
        <v>88</v>
      </c>
      <c r="G1" s="314"/>
      <c r="H1" s="314"/>
      <c r="I1" s="314"/>
      <c r="J1" s="314" t="str">
        <f>'1. 소켓인수검사'!R1</f>
        <v>26.07.20 씨에스하이테크_삼성물산_세방테크_판교641 PSM타워</v>
      </c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7"/>
    </row>
    <row r="2" spans="1:27" ht="16.5" customHeight="1">
      <c r="A2" s="322"/>
      <c r="B2" s="237"/>
      <c r="C2" s="237"/>
      <c r="D2" s="237"/>
      <c r="E2" s="107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  <c r="V2" s="315"/>
      <c r="W2" s="315"/>
      <c r="X2" s="315"/>
      <c r="Y2" s="315"/>
      <c r="Z2" s="315"/>
      <c r="AA2" s="318"/>
    </row>
    <row r="3" spans="1:27" ht="24" customHeight="1" thickBot="1">
      <c r="A3" s="323"/>
      <c r="B3" s="324"/>
      <c r="C3" s="324"/>
      <c r="D3" s="324"/>
      <c r="E3" s="109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9"/>
    </row>
    <row r="4" spans="1:27" ht="8.1" customHeight="1">
      <c r="A4" s="312"/>
      <c r="B4" s="313"/>
      <c r="C4" s="313"/>
      <c r="D4" s="313"/>
      <c r="E4" s="313"/>
      <c r="F4" s="313"/>
      <c r="G4" s="313"/>
      <c r="H4" s="312"/>
      <c r="I4" s="313"/>
      <c r="J4" s="313"/>
      <c r="K4" s="313"/>
      <c r="L4" s="313"/>
      <c r="M4" s="313"/>
      <c r="N4" s="313"/>
      <c r="O4" s="38"/>
      <c r="P4" s="38"/>
      <c r="Q4" s="38"/>
      <c r="S4" s="38"/>
      <c r="U4" s="38"/>
      <c r="W4" s="38"/>
      <c r="Y4" s="38"/>
      <c r="Z4" s="38"/>
      <c r="AA4" s="38"/>
    </row>
    <row r="5" spans="1:27" ht="16.5" customHeight="1">
      <c r="A5" s="325" t="s">
        <v>28</v>
      </c>
      <c r="B5" s="306" t="s">
        <v>33</v>
      </c>
      <c r="C5" s="306" t="s">
        <v>29</v>
      </c>
      <c r="D5" s="306" t="s">
        <v>17</v>
      </c>
      <c r="E5" s="306" t="s">
        <v>44</v>
      </c>
      <c r="F5" s="306" t="s">
        <v>30</v>
      </c>
      <c r="G5" s="306" t="s">
        <v>22</v>
      </c>
      <c r="H5" s="328" t="s">
        <v>38</v>
      </c>
      <c r="I5" s="306" t="s">
        <v>79</v>
      </c>
      <c r="J5" s="306"/>
      <c r="K5" s="306" t="s">
        <v>79</v>
      </c>
      <c r="L5" s="306"/>
      <c r="M5" s="306" t="s">
        <v>4</v>
      </c>
      <c r="N5" s="306"/>
      <c r="O5" s="306" t="s">
        <v>4</v>
      </c>
      <c r="P5" s="306"/>
      <c r="Q5" s="334" t="s">
        <v>78</v>
      </c>
      <c r="R5" s="334"/>
      <c r="S5" s="334" t="s">
        <v>59</v>
      </c>
      <c r="T5" s="334"/>
      <c r="U5" s="334" t="s">
        <v>58</v>
      </c>
      <c r="V5" s="334"/>
      <c r="W5" s="334" t="s">
        <v>77</v>
      </c>
      <c r="X5" s="334"/>
      <c r="Y5" s="332" t="s">
        <v>41</v>
      </c>
      <c r="Z5" s="332" t="s">
        <v>23</v>
      </c>
      <c r="AA5" s="330" t="s">
        <v>45</v>
      </c>
    </row>
    <row r="6" spans="1:27" ht="26.45" customHeight="1">
      <c r="A6" s="326"/>
      <c r="B6" s="327"/>
      <c r="C6" s="327"/>
      <c r="D6" s="327"/>
      <c r="E6" s="327"/>
      <c r="F6" s="327"/>
      <c r="G6" s="327"/>
      <c r="H6" s="329"/>
      <c r="I6" s="65" t="s">
        <v>16</v>
      </c>
      <c r="J6" s="66" t="s">
        <v>3</v>
      </c>
      <c r="K6" s="65" t="s">
        <v>61</v>
      </c>
      <c r="L6" s="66" t="s">
        <v>3</v>
      </c>
      <c r="M6" s="65" t="s">
        <v>81</v>
      </c>
      <c r="N6" s="66" t="s">
        <v>3</v>
      </c>
      <c r="O6" s="65" t="s">
        <v>50</v>
      </c>
      <c r="P6" s="66" t="s">
        <v>3</v>
      </c>
      <c r="Q6" s="65" t="s">
        <v>18</v>
      </c>
      <c r="R6" s="66" t="s">
        <v>31</v>
      </c>
      <c r="S6" s="65" t="s">
        <v>18</v>
      </c>
      <c r="T6" s="66" t="s">
        <v>31</v>
      </c>
      <c r="U6" s="65" t="s">
        <v>18</v>
      </c>
      <c r="V6" s="66" t="s">
        <v>31</v>
      </c>
      <c r="W6" s="65" t="s">
        <v>18</v>
      </c>
      <c r="X6" s="66" t="s">
        <v>31</v>
      </c>
      <c r="Y6" s="333"/>
      <c r="Z6" s="333"/>
      <c r="AA6" s="331"/>
    </row>
    <row r="7" spans="1:27">
      <c r="A7" s="67" t="str">
        <f>'1. 소켓인수검사'!A9</f>
        <v>01</v>
      </c>
      <c r="B7" s="68" t="str">
        <f>'1. 소켓인수검사'!B9</f>
        <v>HTG-064</v>
      </c>
      <c r="C7" s="48">
        <f>'1. 소켓인수검사'!C9</f>
        <v>600</v>
      </c>
      <c r="D7" s="48">
        <f>'1. 소켓인수검사'!D9</f>
        <v>400</v>
      </c>
      <c r="E7" s="52"/>
      <c r="F7" s="69">
        <f>C7*D7/1000000</f>
        <v>0.24</v>
      </c>
      <c r="G7" s="69">
        <f>(C7+D7)*2/1000</f>
        <v>2</v>
      </c>
      <c r="H7" s="70">
        <v>3</v>
      </c>
      <c r="I7" s="65">
        <f>(G7+0.4)</f>
        <v>2.4</v>
      </c>
      <c r="J7" s="66">
        <v>1</v>
      </c>
      <c r="K7" s="71"/>
      <c r="L7" s="71"/>
      <c r="M7" s="71"/>
      <c r="N7" s="71"/>
      <c r="O7" s="65">
        <f>G7+0.5</f>
        <v>2.5</v>
      </c>
      <c r="P7" s="66">
        <f>1</f>
        <v>1</v>
      </c>
      <c r="Q7" s="128">
        <f>'2.1 재단(1.69,064)'!Z8</f>
        <v>3</v>
      </c>
      <c r="R7" s="66">
        <f>Q7</f>
        <v>3</v>
      </c>
      <c r="S7" s="128">
        <f>'2.1 재단(1.69,064)'!Z8</f>
        <v>3</v>
      </c>
      <c r="T7" s="66">
        <f>S7</f>
        <v>3</v>
      </c>
      <c r="U7" s="128">
        <f>'2.1 재단(1.69,064)'!T8/2</f>
        <v>3</v>
      </c>
      <c r="V7" s="66">
        <f>U7</f>
        <v>3</v>
      </c>
      <c r="W7" s="128">
        <f>'2.1 재단(1.69,064)'!T8/2</f>
        <v>3</v>
      </c>
      <c r="X7" s="66">
        <f>W7</f>
        <v>3</v>
      </c>
      <c r="Y7" s="72" t="s">
        <v>64</v>
      </c>
      <c r="Z7" s="73" t="s">
        <v>90</v>
      </c>
      <c r="AA7" s="74">
        <f>'1. 소켓인수검사'!G9</f>
        <v>0</v>
      </c>
    </row>
    <row r="8" spans="1:27">
      <c r="A8" s="67" t="str">
        <f>'1. 소켓인수검사'!A10</f>
        <v>02</v>
      </c>
      <c r="B8" s="68" t="str">
        <f>'1. 소켓인수검사'!B10</f>
        <v>HTG-064</v>
      </c>
      <c r="C8" s="48">
        <f>'1. 소켓인수검사'!C10</f>
        <v>600</v>
      </c>
      <c r="D8" s="48">
        <f>'1. 소켓인수검사'!D10</f>
        <v>400</v>
      </c>
      <c r="E8" s="52"/>
      <c r="F8" s="69">
        <f t="shared" ref="F8:F31" si="0">C8*D8/1000000</f>
        <v>0.24</v>
      </c>
      <c r="G8" s="69">
        <f t="shared" ref="G8:G31" si="1">(C8+D8)*2/1000</f>
        <v>2</v>
      </c>
      <c r="H8" s="70">
        <v>3</v>
      </c>
      <c r="I8" s="65">
        <f>(G8+0.4)</f>
        <v>2.4</v>
      </c>
      <c r="J8" s="66">
        <v>1</v>
      </c>
      <c r="K8" s="71"/>
      <c r="L8" s="71"/>
      <c r="M8" s="71"/>
      <c r="N8" s="71"/>
      <c r="O8" s="65">
        <f t="shared" ref="O8:O25" si="2">I8+0.5</f>
        <v>2.9</v>
      </c>
      <c r="P8" s="66">
        <f>1</f>
        <v>1</v>
      </c>
      <c r="Q8" s="128">
        <f>'2.1 재단(1.69,064)'!Z9</f>
        <v>3</v>
      </c>
      <c r="R8" s="66">
        <f>Q8</f>
        <v>3</v>
      </c>
      <c r="S8" s="128">
        <f>'2.1 재단(1.69,064)'!Z9</f>
        <v>3</v>
      </c>
      <c r="T8" s="66">
        <f>S8</f>
        <v>3</v>
      </c>
      <c r="U8" s="128">
        <f>'2.1 재단(1.69,064)'!T9/2</f>
        <v>3</v>
      </c>
      <c r="V8" s="66">
        <f>U8</f>
        <v>3</v>
      </c>
      <c r="W8" s="128">
        <f>'2.1 재단(1.69,064)'!T9/2</f>
        <v>3</v>
      </c>
      <c r="X8" s="66">
        <f>W8</f>
        <v>3</v>
      </c>
      <c r="Y8" s="72" t="s">
        <v>64</v>
      </c>
      <c r="Z8" s="73" t="s">
        <v>90</v>
      </c>
      <c r="AA8" s="74">
        <f>'1. 소켓인수검사'!G10</f>
        <v>0</v>
      </c>
    </row>
    <row r="9" spans="1:27">
      <c r="A9" s="67" t="str">
        <f>'1. 소켓인수검사'!A11</f>
        <v>03</v>
      </c>
      <c r="B9" s="68" t="str">
        <f>'1. 소켓인수검사'!B11</f>
        <v>HTG-064</v>
      </c>
      <c r="C9" s="48">
        <f>'1. 소켓인수검사'!C11</f>
        <v>600</v>
      </c>
      <c r="D9" s="48">
        <f>'1. 소켓인수검사'!D11</f>
        <v>400</v>
      </c>
      <c r="E9" s="52"/>
      <c r="F9" s="69">
        <f t="shared" si="0"/>
        <v>0.24</v>
      </c>
      <c r="G9" s="69">
        <f t="shared" si="1"/>
        <v>2</v>
      </c>
      <c r="H9" s="70">
        <v>3</v>
      </c>
      <c r="I9" s="65">
        <f>(G9+0.4)</f>
        <v>2.4</v>
      </c>
      <c r="J9" s="66">
        <v>1</v>
      </c>
      <c r="K9" s="71"/>
      <c r="L9" s="71"/>
      <c r="M9" s="71"/>
      <c r="N9" s="71"/>
      <c r="O9" s="65">
        <f t="shared" si="2"/>
        <v>2.9</v>
      </c>
      <c r="P9" s="66">
        <v>1</v>
      </c>
      <c r="Q9" s="128">
        <f>'2.1 재단(1.69,064)'!Z10</f>
        <v>3</v>
      </c>
      <c r="R9" s="66">
        <f t="shared" ref="R9:R31" si="3">Q9</f>
        <v>3</v>
      </c>
      <c r="S9" s="128">
        <f>'2.1 재단(1.69,064)'!Z10</f>
        <v>3</v>
      </c>
      <c r="T9" s="66">
        <f t="shared" ref="T9:T31" si="4">S9</f>
        <v>3</v>
      </c>
      <c r="U9" s="128">
        <f>'2.1 재단(1.69,064)'!T10/2</f>
        <v>3</v>
      </c>
      <c r="V9" s="66">
        <f t="shared" ref="V9:V31" si="5">U9</f>
        <v>3</v>
      </c>
      <c r="W9" s="128">
        <f>'2.1 재단(1.69,064)'!T10/2</f>
        <v>3</v>
      </c>
      <c r="X9" s="66">
        <f t="shared" ref="X9:X31" si="6">W9</f>
        <v>3</v>
      </c>
      <c r="Y9" s="72" t="s">
        <v>64</v>
      </c>
      <c r="Z9" s="73" t="s">
        <v>90</v>
      </c>
      <c r="AA9" s="74">
        <f>'1. 소켓인수검사'!G11</f>
        <v>0</v>
      </c>
    </row>
    <row r="10" spans="1:27">
      <c r="A10" s="67" t="str">
        <f>'1. 소켓인수검사'!A12</f>
        <v>04</v>
      </c>
      <c r="B10" s="68" t="str">
        <f>'1. 소켓인수검사'!B12</f>
        <v>HTG-064</v>
      </c>
      <c r="C10" s="48">
        <f>'1. 소켓인수검사'!C12</f>
        <v>700</v>
      </c>
      <c r="D10" s="48">
        <f>'1. 소켓인수검사'!D12</f>
        <v>450</v>
      </c>
      <c r="E10" s="52"/>
      <c r="F10" s="69">
        <f t="shared" si="0"/>
        <v>0.315</v>
      </c>
      <c r="G10" s="69">
        <f t="shared" si="1"/>
        <v>2.2999999999999998</v>
      </c>
      <c r="H10" s="70">
        <v>3</v>
      </c>
      <c r="I10" s="65">
        <f t="shared" ref="I10:I25" si="7">(G10+0.4)</f>
        <v>2.6999999999999997</v>
      </c>
      <c r="J10" s="66">
        <v>1</v>
      </c>
      <c r="K10" s="71"/>
      <c r="L10" s="71"/>
      <c r="M10" s="71"/>
      <c r="N10" s="71"/>
      <c r="O10" s="65">
        <f t="shared" si="2"/>
        <v>3.1999999999999997</v>
      </c>
      <c r="P10" s="66">
        <f>1</f>
        <v>1</v>
      </c>
      <c r="Q10" s="128">
        <f>'2.1 재단(1.69,064)'!Z11</f>
        <v>4</v>
      </c>
      <c r="R10" s="66">
        <f t="shared" si="3"/>
        <v>4</v>
      </c>
      <c r="S10" s="128">
        <f>'2.1 재단(1.69,064)'!Z11</f>
        <v>4</v>
      </c>
      <c r="T10" s="66">
        <f t="shared" si="4"/>
        <v>4</v>
      </c>
      <c r="U10" s="128">
        <f>'2.1 재단(1.69,064)'!T11/2</f>
        <v>3</v>
      </c>
      <c r="V10" s="66">
        <f t="shared" si="5"/>
        <v>3</v>
      </c>
      <c r="W10" s="128">
        <f>'2.1 재단(1.69,064)'!T11/2</f>
        <v>3</v>
      </c>
      <c r="X10" s="66">
        <f t="shared" si="6"/>
        <v>3</v>
      </c>
      <c r="Y10" s="72" t="s">
        <v>64</v>
      </c>
      <c r="Z10" s="73" t="s">
        <v>90</v>
      </c>
      <c r="AA10" s="74">
        <f>'1. 소켓인수검사'!G12</f>
        <v>0</v>
      </c>
    </row>
    <row r="11" spans="1:27">
      <c r="A11" s="67" t="str">
        <f>'1. 소켓인수검사'!A13</f>
        <v>05</v>
      </c>
      <c r="B11" s="68" t="str">
        <f>'1. 소켓인수검사'!B13</f>
        <v>HTG-064</v>
      </c>
      <c r="C11" s="48">
        <f>'1. 소켓인수검사'!C13</f>
        <v>700</v>
      </c>
      <c r="D11" s="48">
        <f>'1. 소켓인수검사'!D13</f>
        <v>450</v>
      </c>
      <c r="E11" s="52"/>
      <c r="F11" s="69">
        <f t="shared" si="0"/>
        <v>0.315</v>
      </c>
      <c r="G11" s="69">
        <f t="shared" si="1"/>
        <v>2.2999999999999998</v>
      </c>
      <c r="H11" s="70">
        <v>3</v>
      </c>
      <c r="I11" s="65">
        <f t="shared" si="7"/>
        <v>2.6999999999999997</v>
      </c>
      <c r="J11" s="66">
        <v>1</v>
      </c>
      <c r="K11" s="71"/>
      <c r="L11" s="71"/>
      <c r="M11" s="71"/>
      <c r="N11" s="71"/>
      <c r="O11" s="65">
        <f t="shared" si="2"/>
        <v>3.1999999999999997</v>
      </c>
      <c r="P11" s="66">
        <v>1</v>
      </c>
      <c r="Q11" s="128">
        <f>'2.1 재단(1.69,064)'!Z12</f>
        <v>4</v>
      </c>
      <c r="R11" s="66">
        <f t="shared" si="3"/>
        <v>4</v>
      </c>
      <c r="S11" s="128">
        <f>'2.1 재단(1.69,064)'!Z12</f>
        <v>4</v>
      </c>
      <c r="T11" s="66">
        <f t="shared" si="4"/>
        <v>4</v>
      </c>
      <c r="U11" s="128">
        <f>'2.1 재단(1.69,064)'!T12/2</f>
        <v>3</v>
      </c>
      <c r="V11" s="66">
        <f t="shared" si="5"/>
        <v>3</v>
      </c>
      <c r="W11" s="128">
        <f>'2.1 재단(1.69,064)'!T12/2</f>
        <v>3</v>
      </c>
      <c r="X11" s="66">
        <f t="shared" si="6"/>
        <v>3</v>
      </c>
      <c r="Y11" s="72" t="s">
        <v>64</v>
      </c>
      <c r="Z11" s="73" t="s">
        <v>90</v>
      </c>
      <c r="AA11" s="74">
        <f>'1. 소켓인수검사'!G13</f>
        <v>0</v>
      </c>
    </row>
    <row r="12" spans="1:27">
      <c r="A12" s="67" t="str">
        <f>'1. 소켓인수검사'!A14</f>
        <v>06</v>
      </c>
      <c r="B12" s="68" t="str">
        <f>'1. 소켓인수검사'!B14</f>
        <v>HTG-064</v>
      </c>
      <c r="C12" s="48">
        <f>'1. 소켓인수검사'!C14</f>
        <v>700</v>
      </c>
      <c r="D12" s="48">
        <f>'1. 소켓인수검사'!D14</f>
        <v>450</v>
      </c>
      <c r="E12" s="52"/>
      <c r="F12" s="69">
        <f t="shared" si="0"/>
        <v>0.315</v>
      </c>
      <c r="G12" s="69">
        <f t="shared" si="1"/>
        <v>2.2999999999999998</v>
      </c>
      <c r="H12" s="70">
        <v>3</v>
      </c>
      <c r="I12" s="65">
        <f t="shared" si="7"/>
        <v>2.6999999999999997</v>
      </c>
      <c r="J12" s="66">
        <v>1</v>
      </c>
      <c r="K12" s="71"/>
      <c r="L12" s="71"/>
      <c r="M12" s="71"/>
      <c r="N12" s="71"/>
      <c r="O12" s="65">
        <f t="shared" si="2"/>
        <v>3.1999999999999997</v>
      </c>
      <c r="P12" s="66">
        <f>1</f>
        <v>1</v>
      </c>
      <c r="Q12" s="128">
        <f>'2.1 재단(1.69,064)'!Z13</f>
        <v>4</v>
      </c>
      <c r="R12" s="66">
        <f t="shared" si="3"/>
        <v>4</v>
      </c>
      <c r="S12" s="128">
        <f>'2.1 재단(1.69,064)'!Z13</f>
        <v>4</v>
      </c>
      <c r="T12" s="66">
        <f t="shared" si="4"/>
        <v>4</v>
      </c>
      <c r="U12" s="128">
        <f>'2.1 재단(1.69,064)'!T13/2</f>
        <v>3</v>
      </c>
      <c r="V12" s="66">
        <f t="shared" si="5"/>
        <v>3</v>
      </c>
      <c r="W12" s="128">
        <f>'2.1 재단(1.69,064)'!T13/2</f>
        <v>3</v>
      </c>
      <c r="X12" s="66">
        <f t="shared" si="6"/>
        <v>3</v>
      </c>
      <c r="Y12" s="72" t="s">
        <v>64</v>
      </c>
      <c r="Z12" s="73" t="s">
        <v>90</v>
      </c>
      <c r="AA12" s="74">
        <f>'1. 소켓인수검사'!G14</f>
        <v>0</v>
      </c>
    </row>
    <row r="13" spans="1:27">
      <c r="A13" s="67" t="str">
        <f>'1. 소켓인수검사'!A15</f>
        <v>07</v>
      </c>
      <c r="B13" s="68" t="str">
        <f>'1. 소켓인수검사'!B15</f>
        <v>HTG-064</v>
      </c>
      <c r="C13" s="48">
        <f>'1. 소켓인수검사'!C15</f>
        <v>700</v>
      </c>
      <c r="D13" s="48">
        <f>'1. 소켓인수검사'!D15</f>
        <v>450</v>
      </c>
      <c r="E13" s="52"/>
      <c r="F13" s="69">
        <f t="shared" si="0"/>
        <v>0.315</v>
      </c>
      <c r="G13" s="69">
        <f t="shared" si="1"/>
        <v>2.2999999999999998</v>
      </c>
      <c r="H13" s="70">
        <v>3</v>
      </c>
      <c r="I13" s="65">
        <f t="shared" si="7"/>
        <v>2.6999999999999997</v>
      </c>
      <c r="J13" s="66">
        <v>1</v>
      </c>
      <c r="K13" s="71"/>
      <c r="L13" s="71"/>
      <c r="M13" s="71"/>
      <c r="N13" s="71"/>
      <c r="O13" s="65">
        <f t="shared" si="2"/>
        <v>3.1999999999999997</v>
      </c>
      <c r="P13" s="66">
        <v>1</v>
      </c>
      <c r="Q13" s="128">
        <f>'2.1 재단(1.69,064)'!Z14</f>
        <v>4</v>
      </c>
      <c r="R13" s="66">
        <f t="shared" si="3"/>
        <v>4</v>
      </c>
      <c r="S13" s="128">
        <f>'2.1 재단(1.69,064)'!Z14</f>
        <v>4</v>
      </c>
      <c r="T13" s="66">
        <f t="shared" si="4"/>
        <v>4</v>
      </c>
      <c r="U13" s="128">
        <f>'2.1 재단(1.69,064)'!T14/2</f>
        <v>3</v>
      </c>
      <c r="V13" s="66">
        <f t="shared" si="5"/>
        <v>3</v>
      </c>
      <c r="W13" s="128">
        <f>'2.1 재단(1.69,064)'!T14/2</f>
        <v>3</v>
      </c>
      <c r="X13" s="66">
        <f t="shared" si="6"/>
        <v>3</v>
      </c>
      <c r="Y13" s="72" t="s">
        <v>64</v>
      </c>
      <c r="Z13" s="73" t="s">
        <v>90</v>
      </c>
      <c r="AA13" s="74">
        <f>'1. 소켓인수검사'!G15</f>
        <v>0</v>
      </c>
    </row>
    <row r="14" spans="1:27">
      <c r="A14" s="67" t="str">
        <f>'1. 소켓인수검사'!A16</f>
        <v>08</v>
      </c>
      <c r="B14" s="68" t="str">
        <f>'1. 소켓인수검사'!B16</f>
        <v>HTG-064</v>
      </c>
      <c r="C14" s="48">
        <f>'1. 소켓인수검사'!C16</f>
        <v>700</v>
      </c>
      <c r="D14" s="48">
        <f>'1. 소켓인수검사'!D16</f>
        <v>450</v>
      </c>
      <c r="E14" s="52"/>
      <c r="F14" s="69">
        <f t="shared" si="0"/>
        <v>0.315</v>
      </c>
      <c r="G14" s="69">
        <f t="shared" si="1"/>
        <v>2.2999999999999998</v>
      </c>
      <c r="H14" s="70">
        <v>3</v>
      </c>
      <c r="I14" s="65">
        <f t="shared" si="7"/>
        <v>2.6999999999999997</v>
      </c>
      <c r="J14" s="66">
        <v>1</v>
      </c>
      <c r="K14" s="71"/>
      <c r="L14" s="71"/>
      <c r="M14" s="71"/>
      <c r="N14" s="71"/>
      <c r="O14" s="65">
        <f t="shared" si="2"/>
        <v>3.1999999999999997</v>
      </c>
      <c r="P14" s="66">
        <f>1</f>
        <v>1</v>
      </c>
      <c r="Q14" s="128">
        <f>'2.1 재단(1.69,064)'!Z15</f>
        <v>4</v>
      </c>
      <c r="R14" s="66">
        <f t="shared" si="3"/>
        <v>4</v>
      </c>
      <c r="S14" s="128">
        <f>'2.1 재단(1.69,064)'!Z15</f>
        <v>4</v>
      </c>
      <c r="T14" s="66">
        <f t="shared" si="4"/>
        <v>4</v>
      </c>
      <c r="U14" s="128">
        <f>'2.1 재단(1.69,064)'!T15/2</f>
        <v>3</v>
      </c>
      <c r="V14" s="66">
        <f t="shared" si="5"/>
        <v>3</v>
      </c>
      <c r="W14" s="128">
        <f>'2.1 재단(1.69,064)'!T15/2</f>
        <v>3</v>
      </c>
      <c r="X14" s="66">
        <f t="shared" si="6"/>
        <v>3</v>
      </c>
      <c r="Y14" s="72" t="s">
        <v>64</v>
      </c>
      <c r="Z14" s="73" t="s">
        <v>90</v>
      </c>
      <c r="AA14" s="74">
        <f>'1. 소켓인수검사'!G16</f>
        <v>0</v>
      </c>
    </row>
    <row r="15" spans="1:27">
      <c r="A15" s="67" t="str">
        <f>'1. 소켓인수검사'!A17</f>
        <v>09</v>
      </c>
      <c r="B15" s="75" t="str">
        <f>'1. 소켓인수검사'!B17</f>
        <v>HTG-064</v>
      </c>
      <c r="C15" s="51">
        <f>'1. 소켓인수검사'!C17</f>
        <v>850</v>
      </c>
      <c r="D15" s="51">
        <f>'1. 소켓인수검사'!D17</f>
        <v>600</v>
      </c>
      <c r="E15" s="52"/>
      <c r="F15" s="69">
        <f t="shared" si="0"/>
        <v>0.51</v>
      </c>
      <c r="G15" s="69">
        <f t="shared" si="1"/>
        <v>2.9</v>
      </c>
      <c r="H15" s="70">
        <v>3</v>
      </c>
      <c r="I15" s="65">
        <f t="shared" si="7"/>
        <v>3.3</v>
      </c>
      <c r="J15" s="66">
        <v>1</v>
      </c>
      <c r="K15" s="71"/>
      <c r="L15" s="71"/>
      <c r="M15" s="76"/>
      <c r="N15" s="71"/>
      <c r="O15" s="65">
        <f t="shared" si="2"/>
        <v>3.8</v>
      </c>
      <c r="P15" s="66">
        <v>1</v>
      </c>
      <c r="Q15" s="128">
        <f>'2.1 재단(1.69,064)'!Z16</f>
        <v>4</v>
      </c>
      <c r="R15" s="66">
        <f t="shared" si="3"/>
        <v>4</v>
      </c>
      <c r="S15" s="128">
        <f>'2.1 재단(1.69,064)'!Z16</f>
        <v>4</v>
      </c>
      <c r="T15" s="66">
        <f t="shared" si="4"/>
        <v>4</v>
      </c>
      <c r="U15" s="128">
        <f>'2.1 재단(1.69,064)'!T16/2</f>
        <v>4</v>
      </c>
      <c r="V15" s="66">
        <f t="shared" si="5"/>
        <v>4</v>
      </c>
      <c r="W15" s="128">
        <f>'2.1 재단(1.69,064)'!T16/2</f>
        <v>4</v>
      </c>
      <c r="X15" s="66">
        <f t="shared" si="6"/>
        <v>4</v>
      </c>
      <c r="Y15" s="72" t="s">
        <v>64</v>
      </c>
      <c r="Z15" s="73" t="s">
        <v>90</v>
      </c>
      <c r="AA15" s="74">
        <f>'1. 소켓인수검사'!G17</f>
        <v>0</v>
      </c>
    </row>
    <row r="16" spans="1:27">
      <c r="A16" s="67" t="str">
        <f>'1. 소켓인수검사'!A18</f>
        <v>10</v>
      </c>
      <c r="B16" s="75" t="str">
        <f>'1. 소켓인수검사'!B18</f>
        <v>HTG-064</v>
      </c>
      <c r="C16" s="51">
        <f>'1. 소켓인수검사'!C18</f>
        <v>850</v>
      </c>
      <c r="D16" s="51">
        <f>'1. 소켓인수검사'!D18</f>
        <v>600</v>
      </c>
      <c r="E16" s="52"/>
      <c r="F16" s="69">
        <f t="shared" si="0"/>
        <v>0.51</v>
      </c>
      <c r="G16" s="69">
        <f t="shared" si="1"/>
        <v>2.9</v>
      </c>
      <c r="H16" s="70">
        <v>3</v>
      </c>
      <c r="I16" s="65">
        <f t="shared" si="7"/>
        <v>3.3</v>
      </c>
      <c r="J16" s="66">
        <v>1</v>
      </c>
      <c r="K16" s="71"/>
      <c r="L16" s="71"/>
      <c r="M16" s="76"/>
      <c r="N16" s="71"/>
      <c r="O16" s="65">
        <f t="shared" si="2"/>
        <v>3.8</v>
      </c>
      <c r="P16" s="66">
        <f>1</f>
        <v>1</v>
      </c>
      <c r="Q16" s="128">
        <f>'2.1 재단(1.69,064)'!Z17</f>
        <v>4</v>
      </c>
      <c r="R16" s="66">
        <f t="shared" si="3"/>
        <v>4</v>
      </c>
      <c r="S16" s="128">
        <f>'2.1 재단(1.69,064)'!Z17</f>
        <v>4</v>
      </c>
      <c r="T16" s="66">
        <f t="shared" si="4"/>
        <v>4</v>
      </c>
      <c r="U16" s="128">
        <f>'2.1 재단(1.69,064)'!T17/2</f>
        <v>4</v>
      </c>
      <c r="V16" s="66">
        <f t="shared" si="5"/>
        <v>4</v>
      </c>
      <c r="W16" s="128">
        <f>'2.1 재단(1.69,064)'!T17/2</f>
        <v>4</v>
      </c>
      <c r="X16" s="66">
        <f t="shared" si="6"/>
        <v>4</v>
      </c>
      <c r="Y16" s="72" t="s">
        <v>64</v>
      </c>
      <c r="Z16" s="73" t="s">
        <v>90</v>
      </c>
      <c r="AA16" s="74">
        <f>'1. 소켓인수검사'!G18</f>
        <v>0</v>
      </c>
    </row>
    <row r="17" spans="1:27">
      <c r="A17" s="67" t="str">
        <f>'1. 소켓인수검사'!A19</f>
        <v>11</v>
      </c>
      <c r="B17" s="75" t="str">
        <f>'1. 소켓인수검사'!B19</f>
        <v>HTG-064</v>
      </c>
      <c r="C17" s="51">
        <f>'1. 소켓인수검사'!C19</f>
        <v>850</v>
      </c>
      <c r="D17" s="51">
        <f>'1. 소켓인수검사'!D19</f>
        <v>600</v>
      </c>
      <c r="E17" s="52"/>
      <c r="F17" s="69">
        <f t="shared" si="0"/>
        <v>0.51</v>
      </c>
      <c r="G17" s="69">
        <f t="shared" si="1"/>
        <v>2.9</v>
      </c>
      <c r="H17" s="70">
        <v>3</v>
      </c>
      <c r="I17" s="65">
        <f t="shared" si="7"/>
        <v>3.3</v>
      </c>
      <c r="J17" s="66">
        <v>1</v>
      </c>
      <c r="K17" s="71"/>
      <c r="L17" s="71"/>
      <c r="M17" s="76"/>
      <c r="N17" s="71"/>
      <c r="O17" s="65">
        <f t="shared" si="2"/>
        <v>3.8</v>
      </c>
      <c r="P17" s="66">
        <v>1</v>
      </c>
      <c r="Q17" s="128">
        <f>'2.1 재단(1.69,064)'!Z18</f>
        <v>4</v>
      </c>
      <c r="R17" s="66">
        <f t="shared" si="3"/>
        <v>4</v>
      </c>
      <c r="S17" s="128">
        <f>'2.1 재단(1.69,064)'!Z18</f>
        <v>4</v>
      </c>
      <c r="T17" s="66">
        <f t="shared" si="4"/>
        <v>4</v>
      </c>
      <c r="U17" s="128">
        <f>'2.1 재단(1.69,064)'!T18/2</f>
        <v>4</v>
      </c>
      <c r="V17" s="66">
        <f t="shared" si="5"/>
        <v>4</v>
      </c>
      <c r="W17" s="128">
        <f>'2.1 재단(1.69,064)'!T18/2</f>
        <v>4</v>
      </c>
      <c r="X17" s="66">
        <f t="shared" si="6"/>
        <v>4</v>
      </c>
      <c r="Y17" s="72" t="s">
        <v>64</v>
      </c>
      <c r="Z17" s="73" t="s">
        <v>90</v>
      </c>
      <c r="AA17" s="74">
        <f>'1. 소켓인수검사'!G19</f>
        <v>0</v>
      </c>
    </row>
    <row r="18" spans="1:27">
      <c r="A18" s="67" t="str">
        <f>'1. 소켓인수검사'!A20</f>
        <v>12</v>
      </c>
      <c r="B18" s="75" t="str">
        <f>'1. 소켓인수검사'!B20</f>
        <v>HTG-064</v>
      </c>
      <c r="C18" s="51">
        <f>'1. 소켓인수검사'!C20</f>
        <v>850</v>
      </c>
      <c r="D18" s="51">
        <f>'1. 소켓인수검사'!D20</f>
        <v>600</v>
      </c>
      <c r="E18" s="52"/>
      <c r="F18" s="69">
        <f t="shared" si="0"/>
        <v>0.51</v>
      </c>
      <c r="G18" s="69">
        <f t="shared" si="1"/>
        <v>2.9</v>
      </c>
      <c r="H18" s="70">
        <v>3</v>
      </c>
      <c r="I18" s="65">
        <f t="shared" si="7"/>
        <v>3.3</v>
      </c>
      <c r="J18" s="66">
        <v>1</v>
      </c>
      <c r="K18" s="71"/>
      <c r="L18" s="71"/>
      <c r="M18" s="76"/>
      <c r="N18" s="71"/>
      <c r="O18" s="65">
        <f t="shared" si="2"/>
        <v>3.8</v>
      </c>
      <c r="P18" s="66">
        <f>1</f>
        <v>1</v>
      </c>
      <c r="Q18" s="128">
        <f>'2.1 재단(1.69,064)'!Z19</f>
        <v>4</v>
      </c>
      <c r="R18" s="66">
        <f t="shared" si="3"/>
        <v>4</v>
      </c>
      <c r="S18" s="128">
        <f>'2.1 재단(1.69,064)'!Z19</f>
        <v>4</v>
      </c>
      <c r="T18" s="66">
        <f t="shared" si="4"/>
        <v>4</v>
      </c>
      <c r="U18" s="128">
        <f>'2.1 재단(1.69,064)'!T19/2</f>
        <v>4</v>
      </c>
      <c r="V18" s="66">
        <f t="shared" si="5"/>
        <v>4</v>
      </c>
      <c r="W18" s="128">
        <f>'2.1 재단(1.69,064)'!T19/2</f>
        <v>4</v>
      </c>
      <c r="X18" s="66">
        <f t="shared" si="6"/>
        <v>4</v>
      </c>
      <c r="Y18" s="72" t="s">
        <v>64</v>
      </c>
      <c r="Z18" s="73" t="s">
        <v>90</v>
      </c>
      <c r="AA18" s="74">
        <f>'1. 소켓인수검사'!G20</f>
        <v>0</v>
      </c>
    </row>
    <row r="19" spans="1:27">
      <c r="A19" s="67" t="str">
        <f>'1. 소켓인수검사'!A21</f>
        <v>13</v>
      </c>
      <c r="B19" s="75" t="str">
        <f>'1. 소켓인수검사'!B21</f>
        <v>HTG-064</v>
      </c>
      <c r="C19" s="51">
        <f>'1. 소켓인수검사'!C21</f>
        <v>850</v>
      </c>
      <c r="D19" s="51">
        <f>'1. 소켓인수검사'!D21</f>
        <v>600</v>
      </c>
      <c r="E19" s="52"/>
      <c r="F19" s="69">
        <f t="shared" si="0"/>
        <v>0.51</v>
      </c>
      <c r="G19" s="69">
        <f t="shared" si="1"/>
        <v>2.9</v>
      </c>
      <c r="H19" s="70">
        <v>3</v>
      </c>
      <c r="I19" s="65">
        <f t="shared" si="7"/>
        <v>3.3</v>
      </c>
      <c r="J19" s="66">
        <v>1</v>
      </c>
      <c r="K19" s="71"/>
      <c r="L19" s="71"/>
      <c r="M19" s="76"/>
      <c r="N19" s="71"/>
      <c r="O19" s="65">
        <f t="shared" si="2"/>
        <v>3.8</v>
      </c>
      <c r="P19" s="66">
        <v>1</v>
      </c>
      <c r="Q19" s="128">
        <f>'2.1 재단(1.69,064)'!Z20</f>
        <v>4</v>
      </c>
      <c r="R19" s="66">
        <f t="shared" si="3"/>
        <v>4</v>
      </c>
      <c r="S19" s="128">
        <f>'2.1 재단(1.69,064)'!Z20</f>
        <v>4</v>
      </c>
      <c r="T19" s="66">
        <f t="shared" si="4"/>
        <v>4</v>
      </c>
      <c r="U19" s="128">
        <f>'2.1 재단(1.69,064)'!T20/2</f>
        <v>4</v>
      </c>
      <c r="V19" s="66">
        <f t="shared" si="5"/>
        <v>4</v>
      </c>
      <c r="W19" s="128">
        <f>'2.1 재단(1.69,064)'!T20/2</f>
        <v>4</v>
      </c>
      <c r="X19" s="66">
        <f t="shared" si="6"/>
        <v>4</v>
      </c>
      <c r="Y19" s="72" t="s">
        <v>64</v>
      </c>
      <c r="Z19" s="73" t="s">
        <v>90</v>
      </c>
      <c r="AA19" s="74">
        <f>'1. 소켓인수검사'!G21</f>
        <v>0</v>
      </c>
    </row>
    <row r="20" spans="1:27">
      <c r="A20" s="67" t="str">
        <f>'1. 소켓인수검사'!A22</f>
        <v>14</v>
      </c>
      <c r="B20" s="75" t="str">
        <f>'1. 소켓인수검사'!B22</f>
        <v>HTG-064</v>
      </c>
      <c r="C20" s="51">
        <f>'1. 소켓인수검사'!C22</f>
        <v>900</v>
      </c>
      <c r="D20" s="51">
        <f>'1. 소켓인수검사'!D22</f>
        <v>600</v>
      </c>
      <c r="E20" s="52"/>
      <c r="F20" s="69">
        <f t="shared" si="0"/>
        <v>0.54</v>
      </c>
      <c r="G20" s="69">
        <f t="shared" si="1"/>
        <v>3</v>
      </c>
      <c r="H20" s="70">
        <v>3</v>
      </c>
      <c r="I20" s="65">
        <f t="shared" si="7"/>
        <v>3.4</v>
      </c>
      <c r="J20" s="66">
        <v>1</v>
      </c>
      <c r="K20" s="71"/>
      <c r="L20" s="71"/>
      <c r="M20" s="76"/>
      <c r="N20" s="71"/>
      <c r="O20" s="65">
        <f t="shared" si="2"/>
        <v>3.9</v>
      </c>
      <c r="P20" s="66">
        <f>1</f>
        <v>1</v>
      </c>
      <c r="Q20" s="128">
        <f>'2.1 재단(1.69,064)'!Z21</f>
        <v>4</v>
      </c>
      <c r="R20" s="66">
        <f t="shared" si="3"/>
        <v>4</v>
      </c>
      <c r="S20" s="128">
        <f>'2.1 재단(1.69,064)'!Z21</f>
        <v>4</v>
      </c>
      <c r="T20" s="66">
        <f t="shared" si="4"/>
        <v>4</v>
      </c>
      <c r="U20" s="128">
        <f>'2.1 재단(1.69,064)'!T21/2</f>
        <v>4</v>
      </c>
      <c r="V20" s="66">
        <f t="shared" si="5"/>
        <v>4</v>
      </c>
      <c r="W20" s="128">
        <f>'2.1 재단(1.69,064)'!T21/2</f>
        <v>4</v>
      </c>
      <c r="X20" s="66">
        <f t="shared" si="6"/>
        <v>4</v>
      </c>
      <c r="Y20" s="72" t="s">
        <v>64</v>
      </c>
      <c r="Z20" s="73" t="s">
        <v>90</v>
      </c>
      <c r="AA20" s="74">
        <f>'1. 소켓인수검사'!G22</f>
        <v>0</v>
      </c>
    </row>
    <row r="21" spans="1:27">
      <c r="A21" s="67" t="str">
        <f>'1. 소켓인수검사'!A23</f>
        <v>15</v>
      </c>
      <c r="B21" s="75" t="str">
        <f>'1. 소켓인수검사'!B23</f>
        <v>HTG-064</v>
      </c>
      <c r="C21" s="51">
        <f>'1. 소켓인수검사'!C23</f>
        <v>900</v>
      </c>
      <c r="D21" s="51">
        <f>'1. 소켓인수검사'!D23</f>
        <v>600</v>
      </c>
      <c r="E21" s="52"/>
      <c r="F21" s="69">
        <f t="shared" si="0"/>
        <v>0.54</v>
      </c>
      <c r="G21" s="69">
        <f t="shared" si="1"/>
        <v>3</v>
      </c>
      <c r="H21" s="70">
        <v>3</v>
      </c>
      <c r="I21" s="65">
        <f t="shared" si="7"/>
        <v>3.4</v>
      </c>
      <c r="J21" s="66">
        <v>1</v>
      </c>
      <c r="K21" s="71"/>
      <c r="L21" s="71"/>
      <c r="M21" s="76"/>
      <c r="N21" s="71"/>
      <c r="O21" s="65">
        <f t="shared" si="2"/>
        <v>3.9</v>
      </c>
      <c r="P21" s="66">
        <v>1</v>
      </c>
      <c r="Q21" s="128">
        <f>'2.1 재단(1.69,064)'!Z22</f>
        <v>4</v>
      </c>
      <c r="R21" s="66">
        <f t="shared" si="3"/>
        <v>4</v>
      </c>
      <c r="S21" s="128">
        <f>'2.1 재단(1.69,064)'!Z22</f>
        <v>4</v>
      </c>
      <c r="T21" s="66">
        <f t="shared" si="4"/>
        <v>4</v>
      </c>
      <c r="U21" s="128">
        <f>'2.1 재단(1.69,064)'!T22/2</f>
        <v>4</v>
      </c>
      <c r="V21" s="66">
        <f t="shared" si="5"/>
        <v>4</v>
      </c>
      <c r="W21" s="128">
        <f>'2.1 재단(1.69,064)'!T22/2</f>
        <v>4</v>
      </c>
      <c r="X21" s="66">
        <f t="shared" si="6"/>
        <v>4</v>
      </c>
      <c r="Y21" s="72" t="s">
        <v>64</v>
      </c>
      <c r="Z21" s="73" t="s">
        <v>90</v>
      </c>
      <c r="AA21" s="74">
        <f>'1. 소켓인수검사'!G23</f>
        <v>0</v>
      </c>
    </row>
    <row r="22" spans="1:27">
      <c r="A22" s="67" t="str">
        <f>'1. 소켓인수검사'!A24</f>
        <v>16</v>
      </c>
      <c r="B22" s="75" t="str">
        <f>'1. 소켓인수검사'!B24</f>
        <v>HTG-064</v>
      </c>
      <c r="C22" s="51">
        <f>'1. 소켓인수검사'!C24</f>
        <v>900</v>
      </c>
      <c r="D22" s="51">
        <f>'1. 소켓인수검사'!D24</f>
        <v>600</v>
      </c>
      <c r="E22" s="52"/>
      <c r="F22" s="69">
        <f t="shared" si="0"/>
        <v>0.54</v>
      </c>
      <c r="G22" s="69">
        <f t="shared" si="1"/>
        <v>3</v>
      </c>
      <c r="H22" s="70">
        <v>3</v>
      </c>
      <c r="I22" s="65">
        <f t="shared" si="7"/>
        <v>3.4</v>
      </c>
      <c r="J22" s="66">
        <v>1</v>
      </c>
      <c r="K22" s="71"/>
      <c r="L22" s="71"/>
      <c r="M22" s="76"/>
      <c r="N22" s="71"/>
      <c r="O22" s="65">
        <f t="shared" si="2"/>
        <v>3.9</v>
      </c>
      <c r="P22" s="66">
        <f>1</f>
        <v>1</v>
      </c>
      <c r="Q22" s="128">
        <f>'2.1 재단(1.69,064)'!Z23</f>
        <v>4</v>
      </c>
      <c r="R22" s="66">
        <f t="shared" si="3"/>
        <v>4</v>
      </c>
      <c r="S22" s="128">
        <f>'2.1 재단(1.69,064)'!Z23</f>
        <v>4</v>
      </c>
      <c r="T22" s="66">
        <f t="shared" si="4"/>
        <v>4</v>
      </c>
      <c r="U22" s="128">
        <f>'2.1 재단(1.69,064)'!T23/2</f>
        <v>4</v>
      </c>
      <c r="V22" s="66">
        <f t="shared" si="5"/>
        <v>4</v>
      </c>
      <c r="W22" s="128">
        <f>'2.1 재단(1.69,064)'!T23/2</f>
        <v>4</v>
      </c>
      <c r="X22" s="66">
        <f t="shared" si="6"/>
        <v>4</v>
      </c>
      <c r="Y22" s="72" t="s">
        <v>64</v>
      </c>
      <c r="Z22" s="73" t="s">
        <v>90</v>
      </c>
      <c r="AA22" s="74">
        <f>'1. 소켓인수검사'!G24</f>
        <v>0</v>
      </c>
    </row>
    <row r="23" spans="1:27">
      <c r="A23" s="67" t="str">
        <f>'1. 소켓인수검사'!A25</f>
        <v>17</v>
      </c>
      <c r="B23" s="75" t="str">
        <f>'1. 소켓인수검사'!B25</f>
        <v>HTG-064</v>
      </c>
      <c r="C23" s="51">
        <f>'1. 소켓인수검사'!C25</f>
        <v>900</v>
      </c>
      <c r="D23" s="51">
        <f>'1. 소켓인수검사'!D25</f>
        <v>600</v>
      </c>
      <c r="E23" s="52"/>
      <c r="F23" s="69">
        <f t="shared" si="0"/>
        <v>0.54</v>
      </c>
      <c r="G23" s="69">
        <f t="shared" si="1"/>
        <v>3</v>
      </c>
      <c r="H23" s="70">
        <v>3</v>
      </c>
      <c r="I23" s="65">
        <f t="shared" si="7"/>
        <v>3.4</v>
      </c>
      <c r="J23" s="66">
        <v>1</v>
      </c>
      <c r="K23" s="71"/>
      <c r="L23" s="71"/>
      <c r="M23" s="76"/>
      <c r="N23" s="71"/>
      <c r="O23" s="65">
        <f t="shared" si="2"/>
        <v>3.9</v>
      </c>
      <c r="P23" s="66">
        <v>1</v>
      </c>
      <c r="Q23" s="128">
        <f>'2.1 재단(1.69,064)'!Z24</f>
        <v>4</v>
      </c>
      <c r="R23" s="66">
        <f t="shared" si="3"/>
        <v>4</v>
      </c>
      <c r="S23" s="128">
        <f>'2.1 재단(1.69,064)'!Z24</f>
        <v>4</v>
      </c>
      <c r="T23" s="66">
        <f t="shared" si="4"/>
        <v>4</v>
      </c>
      <c r="U23" s="128">
        <f>'2.1 재단(1.69,064)'!T24/2</f>
        <v>4</v>
      </c>
      <c r="V23" s="66">
        <f t="shared" si="5"/>
        <v>4</v>
      </c>
      <c r="W23" s="128">
        <f>'2.1 재단(1.69,064)'!T24/2</f>
        <v>4</v>
      </c>
      <c r="X23" s="66">
        <f t="shared" si="6"/>
        <v>4</v>
      </c>
      <c r="Y23" s="72" t="s">
        <v>64</v>
      </c>
      <c r="Z23" s="73" t="s">
        <v>90</v>
      </c>
      <c r="AA23" s="74">
        <f>'1. 소켓인수검사'!G25</f>
        <v>0</v>
      </c>
    </row>
    <row r="24" spans="1:27">
      <c r="A24" s="67" t="str">
        <f>'1. 소켓인수검사'!A26</f>
        <v>18</v>
      </c>
      <c r="B24" s="75" t="str">
        <f>'1. 소켓인수검사'!B26</f>
        <v>HTG-064</v>
      </c>
      <c r="C24" s="51">
        <f>'1. 소켓인수검사'!C26</f>
        <v>900</v>
      </c>
      <c r="D24" s="51">
        <f>'1. 소켓인수검사'!D26</f>
        <v>600</v>
      </c>
      <c r="E24" s="52"/>
      <c r="F24" s="69">
        <f t="shared" si="0"/>
        <v>0.54</v>
      </c>
      <c r="G24" s="69">
        <f t="shared" si="1"/>
        <v>3</v>
      </c>
      <c r="H24" s="70">
        <v>3</v>
      </c>
      <c r="I24" s="65">
        <f t="shared" si="7"/>
        <v>3.4</v>
      </c>
      <c r="J24" s="66">
        <v>1</v>
      </c>
      <c r="K24" s="71"/>
      <c r="L24" s="71"/>
      <c r="M24" s="76"/>
      <c r="N24" s="71"/>
      <c r="O24" s="65">
        <f t="shared" si="2"/>
        <v>3.9</v>
      </c>
      <c r="P24" s="66">
        <f>1</f>
        <v>1</v>
      </c>
      <c r="Q24" s="128">
        <f>'2.1 재단(1.69,064)'!Z25</f>
        <v>4</v>
      </c>
      <c r="R24" s="66">
        <f t="shared" si="3"/>
        <v>4</v>
      </c>
      <c r="S24" s="128">
        <f>'2.1 재단(1.69,064)'!Z25</f>
        <v>4</v>
      </c>
      <c r="T24" s="66">
        <f t="shared" si="4"/>
        <v>4</v>
      </c>
      <c r="U24" s="128">
        <f>'2.1 재단(1.69,064)'!T25/2</f>
        <v>4</v>
      </c>
      <c r="V24" s="66">
        <f t="shared" si="5"/>
        <v>4</v>
      </c>
      <c r="W24" s="128">
        <f>'2.1 재단(1.69,064)'!T25/2</f>
        <v>4</v>
      </c>
      <c r="X24" s="66">
        <f t="shared" si="6"/>
        <v>4</v>
      </c>
      <c r="Y24" s="72" t="s">
        <v>64</v>
      </c>
      <c r="Z24" s="73" t="s">
        <v>90</v>
      </c>
      <c r="AA24" s="74">
        <f>'1. 소켓인수검사'!G26</f>
        <v>0</v>
      </c>
    </row>
    <row r="25" spans="1:27">
      <c r="A25" s="67" t="str">
        <f>'1. 소켓인수검사'!A27</f>
        <v>19</v>
      </c>
      <c r="B25" s="75" t="str">
        <f>'1. 소켓인수검사'!B27</f>
        <v>HTG-064</v>
      </c>
      <c r="C25" s="51">
        <f>'1. 소켓인수검사'!C27</f>
        <v>900</v>
      </c>
      <c r="D25" s="51">
        <f>'1. 소켓인수검사'!D27</f>
        <v>600</v>
      </c>
      <c r="E25" s="52"/>
      <c r="F25" s="69">
        <f t="shared" si="0"/>
        <v>0.54</v>
      </c>
      <c r="G25" s="69">
        <f t="shared" si="1"/>
        <v>3</v>
      </c>
      <c r="H25" s="70">
        <v>3</v>
      </c>
      <c r="I25" s="65">
        <f t="shared" si="7"/>
        <v>3.4</v>
      </c>
      <c r="J25" s="66">
        <v>1</v>
      </c>
      <c r="K25" s="71"/>
      <c r="L25" s="71"/>
      <c r="M25" s="76"/>
      <c r="N25" s="71"/>
      <c r="O25" s="65">
        <f t="shared" si="2"/>
        <v>3.9</v>
      </c>
      <c r="P25" s="66">
        <v>1</v>
      </c>
      <c r="Q25" s="128">
        <f>'2.1 재단(1.69,064)'!Z26</f>
        <v>4</v>
      </c>
      <c r="R25" s="66">
        <f t="shared" si="3"/>
        <v>4</v>
      </c>
      <c r="S25" s="128">
        <f>'2.1 재단(1.69,064)'!Z26</f>
        <v>4</v>
      </c>
      <c r="T25" s="66">
        <f t="shared" si="4"/>
        <v>4</v>
      </c>
      <c r="U25" s="128">
        <f>'2.1 재단(1.69,064)'!T26/2</f>
        <v>4</v>
      </c>
      <c r="V25" s="66">
        <f t="shared" si="5"/>
        <v>4</v>
      </c>
      <c r="W25" s="128">
        <f>'2.1 재단(1.69,064)'!T26/2</f>
        <v>4</v>
      </c>
      <c r="X25" s="66">
        <f t="shared" si="6"/>
        <v>4</v>
      </c>
      <c r="Y25" s="72" t="s">
        <v>64</v>
      </c>
      <c r="Z25" s="73" t="s">
        <v>90</v>
      </c>
      <c r="AA25" s="74">
        <f>'1. 소켓인수검사'!G27</f>
        <v>0</v>
      </c>
    </row>
    <row r="26" spans="1:27">
      <c r="A26" s="67" t="str">
        <f>'1. 소켓인수검사'!A28</f>
        <v>20</v>
      </c>
      <c r="B26" s="75" t="str">
        <f>'1. 소켓인수검사'!B28</f>
        <v>HTG-1.69</v>
      </c>
      <c r="C26" s="51">
        <f>'1. 소켓인수검사'!C28</f>
        <v>1100</v>
      </c>
      <c r="D26" s="51">
        <f>'1. 소켓인수검사'!D28</f>
        <v>700</v>
      </c>
      <c r="E26" s="52"/>
      <c r="F26" s="69">
        <f t="shared" si="0"/>
        <v>0.77</v>
      </c>
      <c r="G26" s="69">
        <f t="shared" si="1"/>
        <v>3.6</v>
      </c>
      <c r="H26" s="70">
        <v>5</v>
      </c>
      <c r="I26" s="65">
        <f>(G26+0.4)</f>
        <v>4</v>
      </c>
      <c r="J26" s="66">
        <v>1</v>
      </c>
      <c r="K26" s="65">
        <f t="shared" ref="K26:K31" si="8">(G26+0.4)</f>
        <v>4</v>
      </c>
      <c r="L26" s="66">
        <v>1</v>
      </c>
      <c r="M26" s="51">
        <f t="shared" ref="M26:M31" si="9">G26+0.5</f>
        <v>4.0999999999999996</v>
      </c>
      <c r="N26" s="66">
        <v>4</v>
      </c>
      <c r="O26" s="76"/>
      <c r="P26" s="71"/>
      <c r="Q26" s="128">
        <f>'2.1 재단(1.69,064)'!Z27</f>
        <v>5</v>
      </c>
      <c r="R26" s="66">
        <f t="shared" si="3"/>
        <v>5</v>
      </c>
      <c r="S26" s="128">
        <f>'2.1 재단(1.69,064)'!Z27</f>
        <v>5</v>
      </c>
      <c r="T26" s="66">
        <f t="shared" si="4"/>
        <v>5</v>
      </c>
      <c r="U26" s="128">
        <f>'2.1 재단(1.69,064)'!T27/2</f>
        <v>5</v>
      </c>
      <c r="V26" s="66">
        <f t="shared" si="5"/>
        <v>5</v>
      </c>
      <c r="W26" s="128">
        <f>'2.1 재단(1.69,064)'!T27/2</f>
        <v>5</v>
      </c>
      <c r="X26" s="66">
        <f t="shared" si="6"/>
        <v>5</v>
      </c>
      <c r="Y26" s="77" t="s">
        <v>63</v>
      </c>
      <c r="Z26" s="78" t="s">
        <v>67</v>
      </c>
      <c r="AA26" s="74">
        <f>'1. 소켓인수검사'!G28</f>
        <v>0</v>
      </c>
    </row>
    <row r="27" spans="1:27">
      <c r="A27" s="67" t="str">
        <f>'1. 소켓인수검사'!A29</f>
        <v>21</v>
      </c>
      <c r="B27" s="75" t="str">
        <f>'1. 소켓인수검사'!B29</f>
        <v>HTG-1.69</v>
      </c>
      <c r="C27" s="51">
        <f>'1. 소켓인수검사'!C29</f>
        <v>1100</v>
      </c>
      <c r="D27" s="51">
        <f>'1. 소켓인수검사'!D29</f>
        <v>700</v>
      </c>
      <c r="E27" s="52"/>
      <c r="F27" s="69">
        <f t="shared" si="0"/>
        <v>0.77</v>
      </c>
      <c r="G27" s="69">
        <f t="shared" si="1"/>
        <v>3.6</v>
      </c>
      <c r="H27" s="70">
        <v>5</v>
      </c>
      <c r="I27" s="65">
        <f>(G27+0.4)</f>
        <v>4</v>
      </c>
      <c r="J27" s="66">
        <v>1</v>
      </c>
      <c r="K27" s="65">
        <f t="shared" si="8"/>
        <v>4</v>
      </c>
      <c r="L27" s="66">
        <v>1</v>
      </c>
      <c r="M27" s="51">
        <f t="shared" si="9"/>
        <v>4.0999999999999996</v>
      </c>
      <c r="N27" s="66">
        <v>4</v>
      </c>
      <c r="O27" s="76"/>
      <c r="P27" s="71"/>
      <c r="Q27" s="128">
        <f>'2.1 재단(1.69,064)'!Z28</f>
        <v>5</v>
      </c>
      <c r="R27" s="66">
        <f t="shared" si="3"/>
        <v>5</v>
      </c>
      <c r="S27" s="128">
        <f>'2.1 재단(1.69,064)'!Z28</f>
        <v>5</v>
      </c>
      <c r="T27" s="66">
        <f t="shared" si="4"/>
        <v>5</v>
      </c>
      <c r="U27" s="128">
        <f>'2.1 재단(1.69,064)'!T28/2</f>
        <v>5</v>
      </c>
      <c r="V27" s="66">
        <f t="shared" si="5"/>
        <v>5</v>
      </c>
      <c r="W27" s="128">
        <f>'2.1 재단(1.69,064)'!T28/2</f>
        <v>5</v>
      </c>
      <c r="X27" s="66">
        <f t="shared" si="6"/>
        <v>5</v>
      </c>
      <c r="Y27" s="77" t="s">
        <v>63</v>
      </c>
      <c r="Z27" s="78" t="s">
        <v>67</v>
      </c>
      <c r="AA27" s="74">
        <f>'1. 소켓인수검사'!G29</f>
        <v>0</v>
      </c>
    </row>
    <row r="28" spans="1:27">
      <c r="A28" s="67" t="str">
        <f>'1. 소켓인수검사'!A30</f>
        <v>22</v>
      </c>
      <c r="B28" s="75" t="str">
        <f>'1. 소켓인수검사'!B30</f>
        <v>HTG-1.69</v>
      </c>
      <c r="C28" s="51">
        <f>'1. 소켓인수검사'!C30</f>
        <v>1100</v>
      </c>
      <c r="D28" s="51">
        <f>'1. 소켓인수검사'!D30</f>
        <v>700</v>
      </c>
      <c r="E28" s="52"/>
      <c r="F28" s="69">
        <f t="shared" si="0"/>
        <v>0.77</v>
      </c>
      <c r="G28" s="69">
        <f t="shared" si="1"/>
        <v>3.6</v>
      </c>
      <c r="H28" s="70">
        <v>5</v>
      </c>
      <c r="I28" s="65">
        <f>(G28+0.4)</f>
        <v>4</v>
      </c>
      <c r="J28" s="66">
        <v>1</v>
      </c>
      <c r="K28" s="65">
        <f t="shared" si="8"/>
        <v>4</v>
      </c>
      <c r="L28" s="66">
        <v>1</v>
      </c>
      <c r="M28" s="51">
        <f t="shared" si="9"/>
        <v>4.0999999999999996</v>
      </c>
      <c r="N28" s="66">
        <v>4</v>
      </c>
      <c r="O28" s="76"/>
      <c r="P28" s="71"/>
      <c r="Q28" s="128">
        <f>'2.1 재단(1.69,064)'!Z29</f>
        <v>5</v>
      </c>
      <c r="R28" s="66">
        <f t="shared" si="3"/>
        <v>5</v>
      </c>
      <c r="S28" s="128">
        <f>'2.1 재단(1.69,064)'!Z29</f>
        <v>5</v>
      </c>
      <c r="T28" s="66">
        <f t="shared" si="4"/>
        <v>5</v>
      </c>
      <c r="U28" s="128">
        <f>'2.1 재단(1.69,064)'!T29/2</f>
        <v>5</v>
      </c>
      <c r="V28" s="66">
        <f t="shared" si="5"/>
        <v>5</v>
      </c>
      <c r="W28" s="128">
        <f>'2.1 재단(1.69,064)'!T29/2</f>
        <v>5</v>
      </c>
      <c r="X28" s="66">
        <f t="shared" si="6"/>
        <v>5</v>
      </c>
      <c r="Y28" s="77" t="s">
        <v>63</v>
      </c>
      <c r="Z28" s="78" t="s">
        <v>67</v>
      </c>
      <c r="AA28" s="74">
        <f>'1. 소켓인수검사'!G30</f>
        <v>0</v>
      </c>
    </row>
    <row r="29" spans="1:27">
      <c r="A29" s="67" t="str">
        <f>'1. 소켓인수검사'!A31</f>
        <v>23</v>
      </c>
      <c r="B29" s="75" t="str">
        <f>'1. 소켓인수검사'!B31</f>
        <v>HTG-1.69</v>
      </c>
      <c r="C29" s="51">
        <f>'1. 소켓인수검사'!C31</f>
        <v>1100</v>
      </c>
      <c r="D29" s="51">
        <f>'1. 소켓인수검사'!D31</f>
        <v>700</v>
      </c>
      <c r="E29" s="52"/>
      <c r="F29" s="69">
        <f t="shared" si="0"/>
        <v>0.77</v>
      </c>
      <c r="G29" s="69">
        <f t="shared" si="1"/>
        <v>3.6</v>
      </c>
      <c r="H29" s="70">
        <v>5</v>
      </c>
      <c r="I29" s="65">
        <f t="shared" ref="I29:I31" si="10">(G29+0.4)</f>
        <v>4</v>
      </c>
      <c r="J29" s="66">
        <v>1</v>
      </c>
      <c r="K29" s="65">
        <f t="shared" si="8"/>
        <v>4</v>
      </c>
      <c r="L29" s="66">
        <v>1</v>
      </c>
      <c r="M29" s="51">
        <f t="shared" si="9"/>
        <v>4.0999999999999996</v>
      </c>
      <c r="N29" s="66">
        <v>4</v>
      </c>
      <c r="O29" s="76"/>
      <c r="P29" s="71"/>
      <c r="Q29" s="128">
        <f>'2.1 재단(1.69,064)'!Z30</f>
        <v>5</v>
      </c>
      <c r="R29" s="66">
        <f t="shared" si="3"/>
        <v>5</v>
      </c>
      <c r="S29" s="128">
        <f>'2.1 재단(1.69,064)'!Z30</f>
        <v>5</v>
      </c>
      <c r="T29" s="66">
        <f t="shared" si="4"/>
        <v>5</v>
      </c>
      <c r="U29" s="128">
        <f>'2.1 재단(1.69,064)'!T30/2</f>
        <v>5</v>
      </c>
      <c r="V29" s="66">
        <f t="shared" si="5"/>
        <v>5</v>
      </c>
      <c r="W29" s="128">
        <f>'2.1 재단(1.69,064)'!T30/2</f>
        <v>5</v>
      </c>
      <c r="X29" s="66">
        <f t="shared" si="6"/>
        <v>5</v>
      </c>
      <c r="Y29" s="77" t="s">
        <v>63</v>
      </c>
      <c r="Z29" s="78" t="s">
        <v>67</v>
      </c>
      <c r="AA29" s="74">
        <f>'1. 소켓인수검사'!G31</f>
        <v>0</v>
      </c>
    </row>
    <row r="30" spans="1:27">
      <c r="A30" s="67" t="str">
        <f>'1. 소켓인수검사'!A32</f>
        <v>24</v>
      </c>
      <c r="B30" s="75" t="str">
        <f>'1. 소켓인수검사'!B32</f>
        <v>HTG-1.69</v>
      </c>
      <c r="C30" s="51">
        <f>'1. 소켓인수검사'!C32</f>
        <v>1100</v>
      </c>
      <c r="D30" s="51">
        <f>'1. 소켓인수검사'!D32</f>
        <v>700</v>
      </c>
      <c r="E30" s="52"/>
      <c r="F30" s="69">
        <f t="shared" si="0"/>
        <v>0.77</v>
      </c>
      <c r="G30" s="69">
        <f t="shared" si="1"/>
        <v>3.6</v>
      </c>
      <c r="H30" s="70">
        <v>5</v>
      </c>
      <c r="I30" s="65">
        <f t="shared" si="10"/>
        <v>4</v>
      </c>
      <c r="J30" s="66">
        <v>1</v>
      </c>
      <c r="K30" s="65">
        <f t="shared" si="8"/>
        <v>4</v>
      </c>
      <c r="L30" s="66">
        <v>1</v>
      </c>
      <c r="M30" s="51">
        <f t="shared" si="9"/>
        <v>4.0999999999999996</v>
      </c>
      <c r="N30" s="66">
        <v>4</v>
      </c>
      <c r="O30" s="76"/>
      <c r="P30" s="71"/>
      <c r="Q30" s="128">
        <f>'2.1 재단(1.69,064)'!Z31</f>
        <v>5</v>
      </c>
      <c r="R30" s="66">
        <f t="shared" si="3"/>
        <v>5</v>
      </c>
      <c r="S30" s="128">
        <f>'2.1 재단(1.69,064)'!Z31</f>
        <v>5</v>
      </c>
      <c r="T30" s="66">
        <f t="shared" si="4"/>
        <v>5</v>
      </c>
      <c r="U30" s="128">
        <f>'2.1 재단(1.69,064)'!T31/2</f>
        <v>5</v>
      </c>
      <c r="V30" s="66">
        <f t="shared" si="5"/>
        <v>5</v>
      </c>
      <c r="W30" s="128">
        <f>'2.1 재단(1.69,064)'!T31/2</f>
        <v>5</v>
      </c>
      <c r="X30" s="66">
        <f t="shared" si="6"/>
        <v>5</v>
      </c>
      <c r="Y30" s="77" t="s">
        <v>63</v>
      </c>
      <c r="Z30" s="78" t="s">
        <v>67</v>
      </c>
      <c r="AA30" s="74">
        <f>'1. 소켓인수검사'!G32</f>
        <v>0</v>
      </c>
    </row>
    <row r="31" spans="1:27">
      <c r="A31" s="67" t="str">
        <f>'1. 소켓인수검사'!A33</f>
        <v>25</v>
      </c>
      <c r="B31" s="75" t="str">
        <f>'1. 소켓인수검사'!B33</f>
        <v>HTG-1.69</v>
      </c>
      <c r="C31" s="51">
        <f>'1. 소켓인수검사'!C33</f>
        <v>1100</v>
      </c>
      <c r="D31" s="51">
        <f>'1. 소켓인수검사'!D33</f>
        <v>700</v>
      </c>
      <c r="E31" s="52"/>
      <c r="F31" s="69">
        <f t="shared" si="0"/>
        <v>0.77</v>
      </c>
      <c r="G31" s="69">
        <f t="shared" si="1"/>
        <v>3.6</v>
      </c>
      <c r="H31" s="70">
        <v>5</v>
      </c>
      <c r="I31" s="65">
        <f t="shared" si="10"/>
        <v>4</v>
      </c>
      <c r="J31" s="66">
        <v>1</v>
      </c>
      <c r="K31" s="65">
        <f t="shared" si="8"/>
        <v>4</v>
      </c>
      <c r="L31" s="66">
        <v>1</v>
      </c>
      <c r="M31" s="51">
        <f t="shared" si="9"/>
        <v>4.0999999999999996</v>
      </c>
      <c r="N31" s="66">
        <v>4</v>
      </c>
      <c r="O31" s="76"/>
      <c r="P31" s="71"/>
      <c r="Q31" s="128">
        <f>'2.1 재단(1.69,064)'!Z32</f>
        <v>5</v>
      </c>
      <c r="R31" s="66">
        <f t="shared" si="3"/>
        <v>5</v>
      </c>
      <c r="S31" s="128">
        <f>'2.1 재단(1.69,064)'!Z32</f>
        <v>5</v>
      </c>
      <c r="T31" s="66">
        <f t="shared" si="4"/>
        <v>5</v>
      </c>
      <c r="U31" s="128">
        <f>'2.1 재단(1.69,064)'!T32/2</f>
        <v>5</v>
      </c>
      <c r="V31" s="66">
        <f t="shared" si="5"/>
        <v>5</v>
      </c>
      <c r="W31" s="128">
        <f>'2.1 재단(1.69,064)'!T32/2</f>
        <v>5</v>
      </c>
      <c r="X31" s="66">
        <f t="shared" si="6"/>
        <v>5</v>
      </c>
      <c r="Y31" s="77" t="s">
        <v>63</v>
      </c>
      <c r="Z31" s="78" t="s">
        <v>67</v>
      </c>
      <c r="AA31" s="74">
        <f>'1. 소켓인수검사'!G33</f>
        <v>0</v>
      </c>
    </row>
    <row r="32" spans="1:27">
      <c r="A32" s="307" t="s">
        <v>19</v>
      </c>
      <c r="B32" s="308"/>
      <c r="C32" s="308"/>
      <c r="D32" s="79"/>
      <c r="E32" s="80"/>
      <c r="F32" s="80"/>
      <c r="G32" s="80"/>
      <c r="H32" s="111">
        <f>SUM(H7:H31)</f>
        <v>87</v>
      </c>
      <c r="I32" s="79"/>
      <c r="J32" s="111">
        <f>SUM(J7:J31)</f>
        <v>25</v>
      </c>
      <c r="K32" s="79"/>
      <c r="L32" s="111">
        <f>SUM(L7:L31)</f>
        <v>6</v>
      </c>
      <c r="M32" s="81"/>
      <c r="N32" s="111">
        <f>SUM(N7:N31)</f>
        <v>24</v>
      </c>
      <c r="O32" s="81"/>
      <c r="P32" s="111">
        <f>SUM(P7:P31)</f>
        <v>19</v>
      </c>
      <c r="Q32" s="81"/>
      <c r="R32" s="111">
        <f>SUM(R7:R31)</f>
        <v>103</v>
      </c>
      <c r="S32" s="81"/>
      <c r="T32" s="111">
        <f>SUM(T7:T31)</f>
        <v>103</v>
      </c>
      <c r="U32" s="81"/>
      <c r="V32" s="111">
        <f>SUM(V7:V31)</f>
        <v>98</v>
      </c>
      <c r="W32" s="81"/>
      <c r="X32" s="111">
        <f>SUM(X7:X31)</f>
        <v>98</v>
      </c>
      <c r="Y32" s="50"/>
      <c r="Z32" s="50"/>
      <c r="AA32" s="82"/>
    </row>
    <row r="33" spans="1:24" ht="8.1" customHeight="1">
      <c r="A33" s="240"/>
      <c r="B33" s="240"/>
      <c r="C33" s="240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240"/>
      <c r="O33" s="39"/>
      <c r="P33" s="39"/>
      <c r="Q33" s="39"/>
      <c r="S33" s="39"/>
      <c r="U33" s="39"/>
      <c r="W33" s="39"/>
    </row>
    <row r="34" spans="1:24" ht="16.5" hidden="1" customHeight="1">
      <c r="A34" s="263" t="s">
        <v>8</v>
      </c>
      <c r="B34" s="263"/>
      <c r="C34" s="263"/>
      <c r="D34" s="309"/>
      <c r="E34" s="310"/>
      <c r="F34" s="310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0"/>
      <c r="R34" s="310"/>
      <c r="S34" s="310"/>
      <c r="T34" s="310"/>
      <c r="U34" s="310"/>
      <c r="V34" s="310"/>
      <c r="W34" s="310"/>
      <c r="X34" s="310"/>
    </row>
    <row r="35" spans="1:24" ht="16.5" hidden="1" customHeight="1">
      <c r="A35" s="263"/>
      <c r="B35" s="263"/>
      <c r="C35" s="263"/>
      <c r="D35" s="311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</row>
    <row r="36" spans="1:24" ht="16.5" hidden="1" customHeight="1">
      <c r="A36" s="263"/>
      <c r="B36" s="263"/>
      <c r="C36" s="263"/>
      <c r="D36" s="311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</row>
    <row r="37" spans="1:24" ht="16.5" hidden="1" customHeight="1">
      <c r="A37" s="263"/>
      <c r="B37" s="263"/>
      <c r="C37" s="263"/>
      <c r="D37" s="311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</row>
    <row r="38" spans="1:24" ht="16.5" hidden="1" customHeight="1">
      <c r="A38" s="263"/>
      <c r="B38" s="263"/>
      <c r="C38" s="263"/>
      <c r="D38" s="311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</row>
    <row r="39" spans="1:24" ht="16.5" hidden="1" customHeight="1">
      <c r="A39" s="263"/>
      <c r="B39" s="263"/>
      <c r="C39" s="263"/>
      <c r="D39" s="312"/>
      <c r="E39" s="313"/>
      <c r="F39" s="313"/>
      <c r="G39" s="313"/>
      <c r="H39" s="313"/>
      <c r="I39" s="313"/>
      <c r="J39" s="313"/>
      <c r="K39" s="313"/>
      <c r="L39" s="313"/>
      <c r="M39" s="313"/>
      <c r="N39" s="313"/>
      <c r="O39" s="313"/>
      <c r="P39" s="313"/>
      <c r="Q39" s="313"/>
      <c r="R39" s="313"/>
      <c r="S39" s="313"/>
      <c r="T39" s="313"/>
      <c r="U39" s="313"/>
      <c r="V39" s="313"/>
      <c r="W39" s="313"/>
      <c r="X39" s="313"/>
    </row>
  </sheetData>
  <mergeCells count="27">
    <mergeCell ref="Y5:Y6"/>
    <mergeCell ref="Z5:Z6"/>
    <mergeCell ref="Q5:R5"/>
    <mergeCell ref="S5:T5"/>
    <mergeCell ref="U5:V5"/>
    <mergeCell ref="W5:X5"/>
    <mergeCell ref="A33:N33"/>
    <mergeCell ref="A34:C39"/>
    <mergeCell ref="D34:X39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I5:J5"/>
    <mergeCell ref="K5:L5"/>
    <mergeCell ref="M5:N5"/>
    <mergeCell ref="O5:P5"/>
    <mergeCell ref="A32:C32"/>
  </mergeCells>
  <phoneticPr fontId="35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35</cp:revision>
  <cp:lastPrinted>2026-07-20T23:03:24Z</cp:lastPrinted>
  <dcterms:created xsi:type="dcterms:W3CDTF">2025-03-13T00:09:10Z</dcterms:created>
  <dcterms:modified xsi:type="dcterms:W3CDTF">2026-07-20T23:04:01Z</dcterms:modified>
  <cp:version>1200.0100.01</cp:version>
</cp:coreProperties>
</file>