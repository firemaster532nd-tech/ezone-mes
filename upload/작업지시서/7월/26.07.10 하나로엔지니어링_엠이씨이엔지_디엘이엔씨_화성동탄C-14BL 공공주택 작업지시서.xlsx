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A0F74A2A-D84E-402C-95F8-6ABD51FAFD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소켓인수검사'!$A$1:$P$33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2" l="1"/>
  <c r="D32" i="12"/>
  <c r="I32" i="12" s="1"/>
  <c r="C32" i="12"/>
  <c r="D31" i="12"/>
  <c r="M31" i="12" s="1"/>
  <c r="C31" i="12"/>
  <c r="D30" i="12"/>
  <c r="M30" i="12" s="1"/>
  <c r="C30" i="12"/>
  <c r="K30" i="12" s="1"/>
  <c r="D29" i="12"/>
  <c r="C29" i="12"/>
  <c r="K29" i="12" s="1"/>
  <c r="D28" i="12"/>
  <c r="I28" i="12" s="1"/>
  <c r="C28" i="12"/>
  <c r="G28" i="12" s="1"/>
  <c r="D27" i="12"/>
  <c r="I27" i="12" s="1"/>
  <c r="C27" i="12"/>
  <c r="D26" i="12"/>
  <c r="I26" i="12" s="1"/>
  <c r="C26" i="12"/>
  <c r="K26" i="12" s="1"/>
  <c r="D25" i="12"/>
  <c r="C25" i="12"/>
  <c r="K25" i="12" s="1"/>
  <c r="D24" i="12"/>
  <c r="I24" i="12" s="1"/>
  <c r="C24" i="12"/>
  <c r="K24" i="12" s="1"/>
  <c r="D23" i="12"/>
  <c r="M23" i="12" s="1"/>
  <c r="C23" i="12"/>
  <c r="D22" i="12"/>
  <c r="I22" i="12" s="1"/>
  <c r="C22" i="12"/>
  <c r="K22" i="12" s="1"/>
  <c r="D21" i="12"/>
  <c r="C21" i="12"/>
  <c r="K21" i="12" s="1"/>
  <c r="D20" i="12"/>
  <c r="I20" i="12" s="1"/>
  <c r="C20" i="12"/>
  <c r="G20" i="12" s="1"/>
  <c r="D19" i="12"/>
  <c r="I19" i="12" s="1"/>
  <c r="C19" i="12"/>
  <c r="D18" i="12"/>
  <c r="M18" i="12" s="1"/>
  <c r="C18" i="12"/>
  <c r="K18" i="12" s="1"/>
  <c r="D17" i="12"/>
  <c r="C17" i="12"/>
  <c r="G17" i="12" s="1"/>
  <c r="D16" i="12"/>
  <c r="I16" i="12" s="1"/>
  <c r="C16" i="12"/>
  <c r="D15" i="12"/>
  <c r="I15" i="12" s="1"/>
  <c r="C15" i="12"/>
  <c r="D14" i="12"/>
  <c r="I14" i="12" s="1"/>
  <c r="C14" i="12"/>
  <c r="G14" i="12" s="1"/>
  <c r="D13" i="12"/>
  <c r="C13" i="12"/>
  <c r="K13" i="12" s="1"/>
  <c r="D12" i="12"/>
  <c r="C12" i="12"/>
  <c r="G12" i="12" s="1"/>
  <c r="D11" i="12"/>
  <c r="I11" i="12" s="1"/>
  <c r="C11" i="12"/>
  <c r="D10" i="12"/>
  <c r="I10" i="12" s="1"/>
  <c r="C10" i="12"/>
  <c r="D9" i="12"/>
  <c r="C9" i="12"/>
  <c r="G9" i="12" s="1"/>
  <c r="D8" i="12"/>
  <c r="I8" i="12" s="1"/>
  <c r="C8" i="12"/>
  <c r="G8" i="12" s="1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J32" i="12"/>
  <c r="H32" i="12"/>
  <c r="G32" i="12"/>
  <c r="K32" i="12"/>
  <c r="J31" i="12"/>
  <c r="H31" i="12"/>
  <c r="J30" i="12"/>
  <c r="H30" i="12"/>
  <c r="J29" i="12"/>
  <c r="H29" i="12"/>
  <c r="J28" i="12"/>
  <c r="H28" i="12"/>
  <c r="K28" i="12"/>
  <c r="M27" i="12"/>
  <c r="J27" i="12"/>
  <c r="H27" i="12"/>
  <c r="J26" i="12"/>
  <c r="H26" i="12"/>
  <c r="J25" i="12"/>
  <c r="H25" i="12"/>
  <c r="J24" i="12"/>
  <c r="H24" i="12"/>
  <c r="J23" i="12"/>
  <c r="H23" i="12"/>
  <c r="J22" i="12"/>
  <c r="H22" i="12"/>
  <c r="G22" i="12"/>
  <c r="J21" i="12"/>
  <c r="H21" i="12"/>
  <c r="J20" i="12"/>
  <c r="H20" i="12"/>
  <c r="J19" i="12"/>
  <c r="H19" i="12"/>
  <c r="J18" i="12"/>
  <c r="H18" i="12"/>
  <c r="J17" i="12"/>
  <c r="H17" i="12"/>
  <c r="J16" i="12"/>
  <c r="H16" i="12"/>
  <c r="G16" i="12"/>
  <c r="K16" i="12"/>
  <c r="J15" i="12"/>
  <c r="H15" i="12"/>
  <c r="K14" i="12"/>
  <c r="J14" i="12"/>
  <c r="H14" i="12"/>
  <c r="J13" i="12"/>
  <c r="H13" i="12"/>
  <c r="J12" i="12"/>
  <c r="H12" i="12"/>
  <c r="I12" i="12"/>
  <c r="K12" i="12"/>
  <c r="J11" i="12"/>
  <c r="H11" i="12"/>
  <c r="M10" i="12"/>
  <c r="K10" i="12"/>
  <c r="J10" i="12"/>
  <c r="H10" i="12"/>
  <c r="G10" i="12"/>
  <c r="J9" i="12"/>
  <c r="H9" i="12"/>
  <c r="J8" i="12"/>
  <c r="H8" i="12"/>
  <c r="K8" i="12"/>
  <c r="G1" i="2"/>
  <c r="D32" i="2"/>
  <c r="C32" i="2"/>
  <c r="D31" i="2"/>
  <c r="C31" i="2"/>
  <c r="D30" i="2"/>
  <c r="C30" i="2"/>
  <c r="D29" i="2"/>
  <c r="I29" i="2" s="1"/>
  <c r="C29" i="2"/>
  <c r="D28" i="2"/>
  <c r="C28" i="2"/>
  <c r="D27" i="2"/>
  <c r="C27" i="2"/>
  <c r="D26" i="2"/>
  <c r="C26" i="2"/>
  <c r="G26" i="2" s="1"/>
  <c r="D25" i="2"/>
  <c r="I25" i="2" s="1"/>
  <c r="C25" i="2"/>
  <c r="D24" i="2"/>
  <c r="C24" i="2"/>
  <c r="G24" i="2" s="1"/>
  <c r="D23" i="2"/>
  <c r="C23" i="2"/>
  <c r="D22" i="2"/>
  <c r="C22" i="2"/>
  <c r="D21" i="2"/>
  <c r="I21" i="2" s="1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I13" i="2" s="1"/>
  <c r="C13" i="2"/>
  <c r="D12" i="2"/>
  <c r="C12" i="2"/>
  <c r="D11" i="2"/>
  <c r="C11" i="2"/>
  <c r="D10" i="2"/>
  <c r="C10" i="2"/>
  <c r="D9" i="2"/>
  <c r="I9" i="2" s="1"/>
  <c r="C9" i="2"/>
  <c r="D8" i="2"/>
  <c r="C8" i="2"/>
  <c r="K1" i="10"/>
  <c r="P5" i="9"/>
  <c r="N5" i="5"/>
  <c r="D1" i="1"/>
  <c r="P32" i="10"/>
  <c r="H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N35" i="5"/>
  <c r="I35" i="5"/>
  <c r="C35" i="5"/>
  <c r="K35" i="5" s="1"/>
  <c r="B35" i="5"/>
  <c r="H35" i="5" s="1"/>
  <c r="A35" i="5"/>
  <c r="N34" i="5"/>
  <c r="I34" i="5"/>
  <c r="C34" i="5"/>
  <c r="K34" i="5" s="1"/>
  <c r="B34" i="5"/>
  <c r="H34" i="5" s="1"/>
  <c r="A34" i="5"/>
  <c r="N33" i="5"/>
  <c r="I33" i="5"/>
  <c r="C33" i="5"/>
  <c r="K33" i="5" s="1"/>
  <c r="B33" i="5"/>
  <c r="H33" i="5" s="1"/>
  <c r="A33" i="5"/>
  <c r="N32" i="5"/>
  <c r="I32" i="5"/>
  <c r="C32" i="5"/>
  <c r="K32" i="5" s="1"/>
  <c r="B32" i="5"/>
  <c r="H32" i="5" s="1"/>
  <c r="A32" i="5"/>
  <c r="N31" i="5"/>
  <c r="I31" i="5"/>
  <c r="C31" i="5"/>
  <c r="K31" i="5" s="1"/>
  <c r="B31" i="5"/>
  <c r="H31" i="5" s="1"/>
  <c r="A31" i="5"/>
  <c r="N30" i="5"/>
  <c r="I30" i="5"/>
  <c r="C30" i="5"/>
  <c r="K30" i="5" s="1"/>
  <c r="B30" i="5"/>
  <c r="H30" i="5" s="1"/>
  <c r="A30" i="5"/>
  <c r="N29" i="5"/>
  <c r="I29" i="5"/>
  <c r="C29" i="5"/>
  <c r="K29" i="5" s="1"/>
  <c r="B29" i="5"/>
  <c r="H29" i="5" s="1"/>
  <c r="A29" i="5"/>
  <c r="N28" i="5"/>
  <c r="I28" i="5"/>
  <c r="C28" i="5"/>
  <c r="K28" i="5" s="1"/>
  <c r="B28" i="5"/>
  <c r="H28" i="5" s="1"/>
  <c r="A28" i="5"/>
  <c r="N27" i="5"/>
  <c r="I27" i="5"/>
  <c r="C27" i="5"/>
  <c r="K27" i="5" s="1"/>
  <c r="B27" i="5"/>
  <c r="H27" i="5" s="1"/>
  <c r="A27" i="5"/>
  <c r="N26" i="5"/>
  <c r="I26" i="5"/>
  <c r="C26" i="5"/>
  <c r="K26" i="5" s="1"/>
  <c r="B26" i="5"/>
  <c r="H26" i="5" s="1"/>
  <c r="A26" i="5"/>
  <c r="N25" i="5"/>
  <c r="I25" i="5"/>
  <c r="C25" i="5"/>
  <c r="K25" i="5" s="1"/>
  <c r="B25" i="5"/>
  <c r="H25" i="5" s="1"/>
  <c r="A25" i="5"/>
  <c r="N24" i="5"/>
  <c r="I24" i="5"/>
  <c r="C24" i="5"/>
  <c r="K24" i="5" s="1"/>
  <c r="B24" i="5"/>
  <c r="H24" i="5" s="1"/>
  <c r="A24" i="5"/>
  <c r="N23" i="5"/>
  <c r="I23" i="5"/>
  <c r="C23" i="5"/>
  <c r="K23" i="5" s="1"/>
  <c r="B23" i="5"/>
  <c r="H23" i="5" s="1"/>
  <c r="A23" i="5"/>
  <c r="N22" i="5"/>
  <c r="I22" i="5"/>
  <c r="C22" i="5"/>
  <c r="K22" i="5" s="1"/>
  <c r="B22" i="5"/>
  <c r="H22" i="5" s="1"/>
  <c r="A22" i="5"/>
  <c r="N21" i="5"/>
  <c r="I21" i="5"/>
  <c r="C21" i="5"/>
  <c r="K21" i="5" s="1"/>
  <c r="B21" i="5"/>
  <c r="H21" i="5" s="1"/>
  <c r="A21" i="5"/>
  <c r="N20" i="5"/>
  <c r="I20" i="5"/>
  <c r="C20" i="5"/>
  <c r="K20" i="5" s="1"/>
  <c r="B20" i="5"/>
  <c r="H20" i="5" s="1"/>
  <c r="A20" i="5"/>
  <c r="N19" i="5"/>
  <c r="I19" i="5"/>
  <c r="C19" i="5"/>
  <c r="K19" i="5" s="1"/>
  <c r="B19" i="5"/>
  <c r="H19" i="5" s="1"/>
  <c r="A19" i="5"/>
  <c r="N18" i="5"/>
  <c r="I18" i="5"/>
  <c r="C18" i="5"/>
  <c r="K18" i="5" s="1"/>
  <c r="B18" i="5"/>
  <c r="H18" i="5" s="1"/>
  <c r="A18" i="5"/>
  <c r="N17" i="5"/>
  <c r="I17" i="5"/>
  <c r="C17" i="5"/>
  <c r="K17" i="5" s="1"/>
  <c r="B17" i="5"/>
  <c r="H17" i="5" s="1"/>
  <c r="A17" i="5"/>
  <c r="N16" i="5"/>
  <c r="I16" i="5"/>
  <c r="C16" i="5"/>
  <c r="K16" i="5" s="1"/>
  <c r="B16" i="5"/>
  <c r="H16" i="5" s="1"/>
  <c r="A16" i="5"/>
  <c r="N15" i="5"/>
  <c r="I15" i="5"/>
  <c r="C15" i="5"/>
  <c r="K15" i="5" s="1"/>
  <c r="B15" i="5"/>
  <c r="H15" i="5" s="1"/>
  <c r="A15" i="5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I17" i="2"/>
  <c r="A17" i="2"/>
  <c r="A16" i="2"/>
  <c r="G15" i="2"/>
  <c r="A15" i="2"/>
  <c r="A14" i="2"/>
  <c r="A13" i="2"/>
  <c r="A12" i="2"/>
  <c r="A11" i="2"/>
  <c r="A10" i="2"/>
  <c r="A9" i="2"/>
  <c r="A8" i="2"/>
  <c r="F30" i="10" l="1"/>
  <c r="K20" i="12"/>
  <c r="G24" i="12"/>
  <c r="G26" i="12"/>
  <c r="G30" i="12"/>
  <c r="K17" i="12"/>
  <c r="G25" i="12"/>
  <c r="K9" i="12"/>
  <c r="G29" i="12"/>
  <c r="M22" i="12"/>
  <c r="M26" i="12"/>
  <c r="M14" i="12"/>
  <c r="F14" i="9"/>
  <c r="M14" i="9" s="1"/>
  <c r="O14" i="9" s="1"/>
  <c r="F22" i="9"/>
  <c r="M22" i="9" s="1"/>
  <c r="O22" i="9" s="1"/>
  <c r="F26" i="9"/>
  <c r="M26" i="9" s="1"/>
  <c r="O26" i="9" s="1"/>
  <c r="M11" i="12"/>
  <c r="M15" i="12"/>
  <c r="G15" i="10"/>
  <c r="K15" i="10" s="1"/>
  <c r="Q17" i="10"/>
  <c r="R17" i="10" s="1"/>
  <c r="Q27" i="10"/>
  <c r="R27" i="10" s="1"/>
  <c r="M19" i="12"/>
  <c r="G18" i="12"/>
  <c r="I30" i="12"/>
  <c r="G13" i="12"/>
  <c r="I23" i="12"/>
  <c r="I18" i="12"/>
  <c r="G21" i="12"/>
  <c r="I31" i="12"/>
  <c r="K11" i="12"/>
  <c r="G11" i="12"/>
  <c r="K23" i="12"/>
  <c r="G23" i="12"/>
  <c r="M13" i="12"/>
  <c r="I13" i="12"/>
  <c r="M25" i="12"/>
  <c r="I25" i="12"/>
  <c r="K15" i="12"/>
  <c r="G15" i="12"/>
  <c r="K27" i="12"/>
  <c r="G27" i="12"/>
  <c r="M17" i="12"/>
  <c r="I17" i="12"/>
  <c r="M29" i="12"/>
  <c r="I29" i="12"/>
  <c r="K19" i="12"/>
  <c r="G19" i="12"/>
  <c r="K31" i="12"/>
  <c r="G31" i="12"/>
  <c r="M9" i="12"/>
  <c r="I9" i="12"/>
  <c r="M21" i="12"/>
  <c r="I21" i="12"/>
  <c r="M8" i="12"/>
  <c r="M12" i="12"/>
  <c r="M16" i="12"/>
  <c r="M20" i="12"/>
  <c r="M24" i="12"/>
  <c r="M28" i="12"/>
  <c r="M32" i="12"/>
  <c r="G29" i="2"/>
  <c r="G25" i="2"/>
  <c r="G30" i="10"/>
  <c r="K30" i="10" s="1"/>
  <c r="F28" i="9"/>
  <c r="M28" i="9" s="1"/>
  <c r="O28" i="9" s="1"/>
  <c r="G19" i="10"/>
  <c r="K19" i="10" s="1"/>
  <c r="G26" i="10"/>
  <c r="K26" i="10" s="1"/>
  <c r="Q14" i="10"/>
  <c r="R14" i="10" s="1"/>
  <c r="F23" i="10"/>
  <c r="G7" i="10"/>
  <c r="K7" i="10" s="1"/>
  <c r="F14" i="10"/>
  <c r="G23" i="10"/>
  <c r="K23" i="10" s="1"/>
  <c r="F22" i="10"/>
  <c r="G14" i="10"/>
  <c r="K14" i="10" s="1"/>
  <c r="E10" i="9"/>
  <c r="E18" i="9"/>
  <c r="G21" i="2"/>
  <c r="G17" i="2"/>
  <c r="G13" i="2"/>
  <c r="G9" i="2"/>
  <c r="I32" i="2"/>
  <c r="I19" i="2"/>
  <c r="G28" i="2"/>
  <c r="G30" i="2"/>
  <c r="I28" i="2"/>
  <c r="I30" i="2"/>
  <c r="I15" i="2"/>
  <c r="I26" i="2"/>
  <c r="I11" i="2"/>
  <c r="G20" i="2"/>
  <c r="G22" i="2"/>
  <c r="I20" i="2"/>
  <c r="I22" i="2"/>
  <c r="I16" i="2"/>
  <c r="G16" i="2"/>
  <c r="G18" i="2"/>
  <c r="I31" i="2"/>
  <c r="I24" i="2"/>
  <c r="I18" i="2"/>
  <c r="I10" i="2"/>
  <c r="G12" i="2"/>
  <c r="G14" i="2"/>
  <c r="I27" i="2"/>
  <c r="I8" i="2"/>
  <c r="I14" i="2"/>
  <c r="I12" i="2"/>
  <c r="G8" i="2"/>
  <c r="G10" i="2"/>
  <c r="I23" i="2"/>
  <c r="G32" i="2"/>
  <c r="E20" i="9"/>
  <c r="F20" i="9"/>
  <c r="M20" i="9" s="1"/>
  <c r="O20" i="9" s="1"/>
  <c r="G11" i="2"/>
  <c r="G19" i="2"/>
  <c r="G23" i="2"/>
  <c r="G27" i="2"/>
  <c r="G31" i="2"/>
  <c r="F29" i="9"/>
  <c r="M29" i="9" s="1"/>
  <c r="O29" i="9" s="1"/>
  <c r="F33" i="9"/>
  <c r="M33" i="9" s="1"/>
  <c r="O33" i="9" s="1"/>
  <c r="F10" i="10"/>
  <c r="F25" i="9"/>
  <c r="M25" i="9" s="1"/>
  <c r="O25" i="9" s="1"/>
  <c r="Q13" i="10"/>
  <c r="R13" i="10" s="1"/>
  <c r="F15" i="10"/>
  <c r="Q11" i="10"/>
  <c r="R11" i="10" s="1"/>
  <c r="E30" i="9"/>
  <c r="E34" i="9"/>
  <c r="E12" i="9"/>
  <c r="F16" i="9"/>
  <c r="M16" i="9" s="1"/>
  <c r="O16" i="9" s="1"/>
  <c r="F27" i="9"/>
  <c r="M27" i="9" s="1"/>
  <c r="O27" i="9" s="1"/>
  <c r="F31" i="10"/>
  <c r="G18" i="10"/>
  <c r="K18" i="10" s="1"/>
  <c r="Q30" i="10"/>
  <c r="R30" i="10" s="1"/>
  <c r="F18" i="10"/>
  <c r="Q18" i="10"/>
  <c r="R18" i="10" s="1"/>
  <c r="Q31" i="10"/>
  <c r="R31" i="10" s="1"/>
  <c r="Q10" i="10"/>
  <c r="R10" i="10" s="1"/>
  <c r="G10" i="10"/>
  <c r="K10" i="10" s="1"/>
  <c r="Q15" i="10"/>
  <c r="R15" i="10" s="1"/>
  <c r="Q23" i="10"/>
  <c r="R23" i="10" s="1"/>
  <c r="F27" i="10"/>
  <c r="G27" i="10"/>
  <c r="K27" i="10" s="1"/>
  <c r="F7" i="10"/>
  <c r="Q7" i="10"/>
  <c r="R7" i="10" s="1"/>
  <c r="Q9" i="10"/>
  <c r="R9" i="10" s="1"/>
  <c r="F11" i="10"/>
  <c r="G11" i="10"/>
  <c r="K11" i="10" s="1"/>
  <c r="G22" i="10"/>
  <c r="K22" i="10" s="1"/>
  <c r="Q22" i="10"/>
  <c r="R22" i="10" s="1"/>
  <c r="F26" i="10"/>
  <c r="Q26" i="10"/>
  <c r="R26" i="10" s="1"/>
  <c r="G31" i="10"/>
  <c r="K31" i="10" s="1"/>
  <c r="N32" i="10"/>
  <c r="F17" i="10"/>
  <c r="F19" i="10"/>
  <c r="Q19" i="10"/>
  <c r="R19" i="10" s="1"/>
  <c r="Q21" i="10"/>
  <c r="R21" i="10" s="1"/>
  <c r="F12" i="9"/>
  <c r="M12" i="9" s="1"/>
  <c r="O12" i="9" s="1"/>
  <c r="F18" i="9"/>
  <c r="M18" i="9" s="1"/>
  <c r="O18" i="9" s="1"/>
  <c r="E24" i="9"/>
  <c r="F24" i="9"/>
  <c r="M24" i="9" s="1"/>
  <c r="O24" i="9" s="1"/>
  <c r="E16" i="9"/>
  <c r="E26" i="9"/>
  <c r="F30" i="9"/>
  <c r="M30" i="9" s="1"/>
  <c r="O30" i="9" s="1"/>
  <c r="E32" i="9"/>
  <c r="F32" i="9"/>
  <c r="M32" i="9" s="1"/>
  <c r="O32" i="9" s="1"/>
  <c r="F34" i="9"/>
  <c r="M34" i="9" s="1"/>
  <c r="O34" i="9" s="1"/>
  <c r="F10" i="9"/>
  <c r="M10" i="9" s="1"/>
  <c r="O10" i="9" s="1"/>
  <c r="E14" i="9"/>
  <c r="E22" i="9"/>
  <c r="F23" i="9"/>
  <c r="M23" i="9" s="1"/>
  <c r="O23" i="9" s="1"/>
  <c r="E28" i="9"/>
  <c r="F31" i="9"/>
  <c r="M31" i="9" s="1"/>
  <c r="O31" i="9" s="1"/>
  <c r="E15" i="9"/>
  <c r="F15" i="9"/>
  <c r="M15" i="9" s="1"/>
  <c r="O15" i="9" s="1"/>
  <c r="E17" i="9"/>
  <c r="F17" i="9"/>
  <c r="M17" i="9" s="1"/>
  <c r="O17" i="9" s="1"/>
  <c r="E13" i="9"/>
  <c r="F13" i="9"/>
  <c r="M13" i="9" s="1"/>
  <c r="O13" i="9" s="1"/>
  <c r="E21" i="9"/>
  <c r="F21" i="9"/>
  <c r="M21" i="9" s="1"/>
  <c r="O21" i="9" s="1"/>
  <c r="E11" i="9"/>
  <c r="F11" i="9"/>
  <c r="M11" i="9" s="1"/>
  <c r="O11" i="9" s="1"/>
  <c r="E19" i="9"/>
  <c r="F19" i="9"/>
  <c r="M19" i="9" s="1"/>
  <c r="O19" i="9" s="1"/>
  <c r="E23" i="9"/>
  <c r="E27" i="9"/>
  <c r="E31" i="9"/>
  <c r="E25" i="9"/>
  <c r="E29" i="9"/>
  <c r="E33" i="9"/>
  <c r="J32" i="10"/>
  <c r="L32" i="10"/>
  <c r="Q8" i="10"/>
  <c r="R8" i="10" s="1"/>
  <c r="G8" i="10"/>
  <c r="F8" i="10"/>
  <c r="G9" i="10"/>
  <c r="F9" i="10"/>
  <c r="Q12" i="10"/>
  <c r="R12" i="10" s="1"/>
  <c r="G12" i="10"/>
  <c r="F12" i="10"/>
  <c r="G13" i="10"/>
  <c r="F13" i="10"/>
  <c r="Q16" i="10"/>
  <c r="R16" i="10" s="1"/>
  <c r="G16" i="10"/>
  <c r="F16" i="10"/>
  <c r="Q20" i="10"/>
  <c r="R20" i="10" s="1"/>
  <c r="G20" i="10"/>
  <c r="F20" i="10"/>
  <c r="G21" i="10"/>
  <c r="F21" i="10"/>
  <c r="Q24" i="10"/>
  <c r="R24" i="10" s="1"/>
  <c r="G24" i="10"/>
  <c r="F24" i="10"/>
  <c r="Q25" i="10"/>
  <c r="R25" i="10" s="1"/>
  <c r="G25" i="10"/>
  <c r="F25" i="10"/>
  <c r="Q28" i="10"/>
  <c r="R28" i="10" s="1"/>
  <c r="G28" i="10"/>
  <c r="F28" i="10"/>
  <c r="Q29" i="10"/>
  <c r="R29" i="10" s="1"/>
  <c r="G29" i="10"/>
  <c r="F29" i="10"/>
  <c r="G17" i="10"/>
  <c r="O35" i="9" l="1"/>
  <c r="G38" i="9" s="1"/>
  <c r="K24" i="10"/>
  <c r="K16" i="10"/>
  <c r="K9" i="10"/>
  <c r="R32" i="10"/>
  <c r="K21" i="10"/>
  <c r="K13" i="10"/>
  <c r="K25" i="10"/>
  <c r="K20" i="10"/>
  <c r="K12" i="10"/>
  <c r="Q32" i="10"/>
  <c r="K29" i="10"/>
  <c r="K17" i="10"/>
  <c r="K28" i="10"/>
  <c r="K8" i="10"/>
  <c r="I35" i="9" l="1"/>
  <c r="G36" i="9" s="1"/>
  <c r="R35" i="9"/>
  <c r="L35" i="9"/>
  <c r="G37" i="9" s="1"/>
  <c r="G3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</author>
  </authors>
  <commentList>
    <comment ref="K13" authorId="0" shapeId="0" xr:uid="{00000000-0006-0000-0000-000019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15" authorId="0" shapeId="0" xr:uid="{00000000-0006-0000-0000-00001A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4" authorId="0" shapeId="0" xr:uid="{00000000-0006-0000-0000-00001B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  <comment ref="K26" authorId="0" shapeId="0" xr:uid="{00000000-0006-0000-0000-00001C000000}">
      <text>
        <r>
          <rPr>
            <b/>
            <sz val="9"/>
            <color rgb="FF000000"/>
            <rFont val="돋움"/>
            <family val="3"/>
            <charset val="129"/>
          </rPr>
          <t>가로사이즈</t>
        </r>
        <r>
          <rPr>
            <b/>
            <sz val="9"/>
            <color rgb="FF000000"/>
            <rFont val="Tahoma"/>
            <family val="2"/>
          </rPr>
          <t xml:space="preserve"> 1200</t>
        </r>
        <r>
          <rPr>
            <b/>
            <sz val="9"/>
            <color rgb="FF000000"/>
            <rFont val="돋움"/>
            <family val="3"/>
            <charset val="129"/>
          </rPr>
          <t>부터</t>
        </r>
        <r>
          <rPr>
            <b/>
            <sz val="9"/>
            <color rgb="FF000000"/>
            <rFont val="Tahoma"/>
            <family val="2"/>
          </rPr>
          <t xml:space="preserve"> 2</t>
        </r>
        <r>
          <rPr>
            <b/>
            <sz val="9"/>
            <color rgb="FF000000"/>
            <rFont val="돋움"/>
            <family val="3"/>
            <charset val="129"/>
          </rPr>
          <t>등분해야함</t>
        </r>
      </text>
    </comment>
  </commentList>
</comments>
</file>

<file path=xl/sharedStrings.xml><?xml version="1.0" encoding="utf-8"?>
<sst xmlns="http://schemas.openxmlformats.org/spreadsheetml/2006/main" count="395" uniqueCount="142">
  <si>
    <t>차열재</t>
  </si>
  <si>
    <t>No</t>
  </si>
  <si>
    <t>비고</t>
  </si>
  <si>
    <t>합계</t>
  </si>
  <si>
    <t>규격</t>
  </si>
  <si>
    <t>TTL</t>
  </si>
  <si>
    <t>EZ F.B POSMAC Duct-VA-064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</si>
  <si>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</si>
  <si>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</si>
  <si>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</si>
  <si>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</si>
  <si>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</si>
  <si>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</si>
  <si>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</si>
  <si>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</si>
  <si>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</si>
  <si>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</si>
  <si>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</si>
  <si>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</si>
  <si>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</si>
  <si>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</si>
  <si>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</si>
  <si>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</si>
  <si>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</si>
  <si>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</si>
  <si>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</si>
  <si>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</si>
  <si>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</si>
  <si>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</si>
  <si>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</si>
  <si>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</si>
  <si>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</si>
  <si>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</si>
  <si>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</si>
  <si>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</si>
  <si>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</si>
  <si>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</si>
  <si>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</si>
  <si>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</si>
  <si>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FS-MP25-0310-4</t>
  </si>
  <si>
    <t>차열재생산일지(출하용)</t>
  </si>
  <si>
    <t>특이사항 및
 조치사항</t>
  </si>
  <si>
    <t>특이사항 및   조치사항</t>
  </si>
  <si>
    <t>VA-064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</si>
  <si>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</si>
  <si>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</si>
  <si>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</si>
  <si>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</si>
  <si>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</si>
  <si>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</si>
  <si>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</si>
  <si>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</si>
  <si>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</si>
  <si>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</si>
  <si>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</si>
  <si>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</si>
  <si>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</si>
  <si>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</si>
  <si>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</si>
  <si>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</si>
  <si>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</si>
  <si>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5" type="noConversion"/>
  </si>
  <si>
    <t>재단작업지시서(VM)</t>
    <phoneticPr fontId="25" type="noConversion"/>
  </si>
  <si>
    <t>절 곡 생 산 일 지(VM)</t>
    <phoneticPr fontId="25" type="noConversion"/>
  </si>
  <si>
    <t>라벨소요량</t>
    <phoneticPr fontId="25" type="noConversion"/>
  </si>
  <si>
    <t>25*
200</t>
    <phoneticPr fontId="25" type="noConversion"/>
  </si>
  <si>
    <t>구조체작업지시서</t>
    <phoneticPr fontId="25" type="noConversion"/>
  </si>
  <si>
    <t>차열재 25T*200*7.4M</t>
    <phoneticPr fontId="25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</si>
  <si>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</si>
  <si>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</si>
  <si>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</si>
  <si>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</si>
  <si>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</si>
  <si>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</si>
  <si>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</si>
  <si>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</si>
  <si>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</si>
  <si>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</si>
  <si>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</si>
  <si>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</si>
  <si>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</si>
  <si>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</si>
  <si>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</si>
  <si>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</si>
  <si>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</si>
  <si>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</si>
  <si>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</si>
  <si>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</si>
  <si>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</si>
  <si>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</si>
  <si>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재단작업지시서차열재</t>
    <phoneticPr fontId="25" type="noConversion"/>
  </si>
  <si>
    <r>
      <t>판매시설</t>
    </r>
    <r>
      <rPr>
        <b/>
        <sz val="8"/>
        <color rgb="FF000000"/>
        <rFont val="Helvetica Neue"/>
        <family val="2"/>
      </rPr>
      <t xml:space="preserve">A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2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</si>
  <si>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 xml:space="preserve">A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2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2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</si>
  <si>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4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</si>
  <si>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지하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2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</si>
  <si>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 xml:space="preserve">B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6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</si>
  <si>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 xml:space="preserve">B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2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6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</si>
  <si>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지하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5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</si>
  <si>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5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</si>
  <si>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2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7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</si>
  <si>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지하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7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</si>
  <si>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지하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4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</si>
  <si>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 xml:space="preserve">B </t>
    </r>
    <r>
      <rPr>
        <b/>
        <sz val="8"/>
        <color rgb="FF000000"/>
        <rFont val="Helvetica Neue"/>
      </rPr>
      <t>옥탑층</t>
    </r>
    <r>
      <rPr>
        <b/>
        <sz val="8"/>
        <color rgb="FF000000"/>
        <rFont val="Helvetica Neue"/>
        <family val="2"/>
      </rPr>
      <t xml:space="preserve"> 6</t>
    </r>
    <r>
      <rPr>
        <b/>
        <sz val="8"/>
        <color rgb="FF000000"/>
        <rFont val="Helvetica Neue"/>
      </rPr>
      <t>번</t>
    </r>
  </si>
  <si>
    <r>
      <t>시그니처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지하</t>
    </r>
    <r>
      <rPr>
        <b/>
        <sz val="8"/>
        <color rgb="FF000000"/>
        <rFont val="Helvetica Neue"/>
        <family val="2"/>
      </rPr>
      <t>2</t>
    </r>
    <r>
      <rPr>
        <b/>
        <sz val="8"/>
        <color rgb="FF000000"/>
        <rFont val="Helvetica Neue"/>
      </rPr>
      <t>층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</si>
  <si>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지하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3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</si>
  <si>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3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</si>
  <si>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7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</si>
  <si>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2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3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</si>
  <si>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2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5</t>
    </r>
    <r>
      <rPr>
        <b/>
        <sz val="8"/>
        <color rgb="FF000000"/>
        <rFont val="Helvetica Neue"/>
      </rPr>
      <t>번</t>
    </r>
  </si>
  <si>
    <r>
      <t>판매시설</t>
    </r>
    <r>
      <rPr>
        <b/>
        <sz val="8"/>
        <color rgb="FF000000"/>
        <rFont val="Helvetica Neue"/>
        <family val="2"/>
      </rPr>
      <t>A 201</t>
    </r>
    <r>
      <rPr>
        <b/>
        <sz val="8"/>
        <color rgb="FF000000"/>
        <rFont val="Helvetica Neue"/>
      </rPr>
      <t>동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지상</t>
    </r>
    <r>
      <rPr>
        <b/>
        <sz val="8"/>
        <color rgb="FF000000"/>
        <rFont val="Helvetica Neue"/>
        <family val="2"/>
      </rPr>
      <t>2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4</t>
    </r>
    <r>
      <rPr>
        <b/>
        <sz val="8"/>
        <color rgb="FF000000"/>
        <rFont val="Helvetica Neue"/>
      </rPr>
      <t>번</t>
    </r>
  </si>
  <si>
    <r>
      <t>시그니처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옥탑층</t>
    </r>
  </si>
  <si>
    <r>
      <t>판매시설</t>
    </r>
    <r>
      <rPr>
        <b/>
        <sz val="8"/>
        <color rgb="FF000000"/>
        <rFont val="Helvetica Neue"/>
        <family val="2"/>
      </rPr>
      <t xml:space="preserve">B </t>
    </r>
    <r>
      <rPr>
        <b/>
        <sz val="8"/>
        <color rgb="FF000000"/>
        <rFont val="Helvetica Neue"/>
      </rPr>
      <t>지하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제연휀룸</t>
    </r>
    <r>
      <rPr>
        <b/>
        <sz val="8"/>
        <color rgb="FF000000"/>
        <rFont val="Helvetica Neue"/>
        <family val="2"/>
      </rPr>
      <t>#8</t>
    </r>
  </si>
  <si>
    <r>
      <t>시그니처</t>
    </r>
    <r>
      <rPr>
        <b/>
        <sz val="8"/>
        <color rgb="FF000000"/>
        <rFont val="Helvetica Neue"/>
        <family val="2"/>
      </rPr>
      <t xml:space="preserve"> </t>
    </r>
    <r>
      <rPr>
        <b/>
        <sz val="8"/>
        <color rgb="FF000000"/>
        <rFont val="Helvetica Neue"/>
      </rPr>
      <t>지하</t>
    </r>
    <r>
      <rPr>
        <b/>
        <sz val="8"/>
        <color rgb="FF000000"/>
        <rFont val="Helvetica Neue"/>
        <family val="2"/>
      </rPr>
      <t>1</t>
    </r>
    <r>
      <rPr>
        <b/>
        <sz val="8"/>
        <color rgb="FF000000"/>
        <rFont val="Helvetica Neue"/>
      </rPr>
      <t>층</t>
    </r>
  </si>
  <si>
    <t>01</t>
    <phoneticPr fontId="25" type="noConversion"/>
  </si>
  <si>
    <t>02</t>
    <phoneticPr fontId="25" type="noConversion"/>
  </si>
  <si>
    <t>03</t>
    <phoneticPr fontId="25" type="noConversion"/>
  </si>
  <si>
    <r>
      <t xml:space="preserve">26.07.10 </t>
    </r>
    <r>
      <rPr>
        <sz val="10"/>
        <color rgb="FF000000"/>
        <rFont val="맑은 고딕"/>
        <family val="3"/>
        <charset val="129"/>
      </rPr>
      <t>하나로엔지니어링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엠이씨이엔지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디엘이엔씨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화성동탄</t>
    </r>
    <r>
      <rPr>
        <sz val="10"/>
        <color rgb="FF000000"/>
        <rFont val="Arial"/>
        <family val="2"/>
      </rPr>
      <t xml:space="preserve">C-14BL </t>
    </r>
    <r>
      <rPr>
        <sz val="10"/>
        <color rgb="FF000000"/>
        <rFont val="맑은 고딕"/>
        <family val="3"/>
        <charset val="129"/>
      </rPr>
      <t>공공주택</t>
    </r>
    <phoneticPr fontId="25" type="noConversion"/>
  </si>
  <si>
    <t>CV001</t>
    <phoneticPr fontId="25" type="noConversion"/>
  </si>
  <si>
    <t>CV002</t>
  </si>
  <si>
    <t>CV003</t>
  </si>
  <si>
    <t>CV004</t>
  </si>
  <si>
    <t>CV005</t>
  </si>
  <si>
    <t>CV006</t>
  </si>
  <si>
    <t>CV007</t>
  </si>
  <si>
    <t>CV008</t>
  </si>
  <si>
    <t>CV009</t>
  </si>
  <si>
    <t>CV010</t>
  </si>
  <si>
    <t>CV011</t>
  </si>
  <si>
    <t>CV012</t>
  </si>
  <si>
    <t>CV013</t>
  </si>
  <si>
    <t>CV014</t>
  </si>
  <si>
    <t>CV015</t>
  </si>
  <si>
    <t>CV016</t>
  </si>
  <si>
    <t>CV017</t>
  </si>
  <si>
    <t>CV018</t>
  </si>
  <si>
    <t>CV019</t>
  </si>
  <si>
    <t>CV020</t>
  </si>
  <si>
    <t>CV021</t>
  </si>
  <si>
    <t>CV022</t>
  </si>
  <si>
    <t>CV023</t>
  </si>
  <si>
    <t>CV024</t>
  </si>
  <si>
    <t>CV025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</si>
</sst>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4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sz val="10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8"/>
      <color rgb="FF000000"/>
      <name val="Helvetica Neue"/>
    </font>
    <font>
      <b/>
      <sz val="8"/>
      <color rgb="FF000000"/>
      <name val="Helvetica Neue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0" xfId="0" applyAlignment="1">
      <alignment horizontal="center" vertical="center"/>
    </xf>
    <xf numFmtId="0" fontId="24" fillId="0" borderId="0">
      <alignment vertical="center"/>
    </xf>
    <xf numFmtId="176" fontId="24" fillId="0" borderId="0">
      <alignment vertical="center"/>
    </xf>
    <xf numFmtId="0" fontId="1" fillId="0" borderId="0">
      <alignment vertical="center"/>
    </xf>
  </cellStyleXfs>
  <cellXfs count="2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0" xfId="2">
      <alignment vertical="center"/>
    </xf>
    <xf numFmtId="0" fontId="24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4" fillId="0" borderId="6" xfId="3" applyBorder="1" applyAlignment="1">
      <alignment horizontal="center" vertical="center"/>
    </xf>
    <xf numFmtId="176" fontId="24" fillId="0" borderId="7" xfId="3" applyBorder="1" applyAlignment="1">
      <alignment horizontal="center" vertical="center"/>
    </xf>
    <xf numFmtId="176" fontId="24" fillId="0" borderId="8" xfId="3" applyBorder="1" applyAlignment="1">
      <alignment horizontal="center" vertical="center"/>
    </xf>
    <xf numFmtId="176" fontId="24" fillId="0" borderId="12" xfId="3" applyBorder="1" applyAlignment="1">
      <alignment horizontal="center" vertical="center"/>
    </xf>
    <xf numFmtId="176" fontId="24" fillId="0" borderId="10" xfId="3" applyBorder="1" applyAlignment="1">
      <alignment horizontal="center" vertical="center"/>
    </xf>
    <xf numFmtId="176" fontId="24" fillId="0" borderId="13" xfId="3" applyBorder="1" applyAlignment="1">
      <alignment horizontal="center" vertical="center"/>
    </xf>
    <xf numFmtId="176" fontId="24" fillId="0" borderId="14" xfId="3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4" fillId="0" borderId="18" xfId="2" applyBorder="1" applyAlignment="1">
      <alignment horizontal="center" vertical="center" wrapText="1"/>
    </xf>
    <xf numFmtId="0" fontId="7" fillId="0" borderId="18" xfId="4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8" fillId="0" borderId="19" xfId="4" applyFont="1" applyBorder="1" applyAlignment="1">
      <alignment horizontal="center" vertical="center" shrinkToFit="1"/>
    </xf>
    <xf numFmtId="0" fontId="1" fillId="0" borderId="19" xfId="4" applyBorder="1" applyAlignment="1">
      <alignment horizontal="center" vertical="center" shrinkToFit="1"/>
    </xf>
    <xf numFmtId="0" fontId="24" fillId="0" borderId="19" xfId="2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9" fillId="0" borderId="18" xfId="4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77" fontId="6" fillId="0" borderId="18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13" fillId="0" borderId="19" xfId="0" applyFont="1" applyBorder="1" applyAlignment="1">
      <alignment horizontal="center" vertical="center" shrinkToFit="1"/>
    </xf>
    <xf numFmtId="0" fontId="10" fillId="4" borderId="18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0" fillId="0" borderId="17" xfId="0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4" fillId="5" borderId="18" xfId="4" applyFont="1" applyFill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7" fillId="0" borderId="18" xfId="4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3" xfId="0" applyBorder="1">
      <alignment vertical="center"/>
    </xf>
    <xf numFmtId="0" fontId="0" fillId="4" borderId="20" xfId="0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0" borderId="0" xfId="1" applyFill="1" applyBorder="1" applyAlignment="1">
      <alignment vertical="center"/>
    </xf>
    <xf numFmtId="0" fontId="1" fillId="8" borderId="0" xfId="4" applyFill="1">
      <alignment vertical="center"/>
    </xf>
    <xf numFmtId="0" fontId="1" fillId="0" borderId="35" xfId="4" applyBorder="1" applyAlignment="1">
      <alignment vertical="top" wrapText="1"/>
    </xf>
    <xf numFmtId="0" fontId="2" fillId="0" borderId="18" xfId="4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3" fillId="0" borderId="30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5" xfId="0" applyFont="1" applyBorder="1">
      <alignment vertical="center"/>
    </xf>
    <xf numFmtId="0" fontId="1" fillId="0" borderId="17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 wrapText="1"/>
    </xf>
    <xf numFmtId="178" fontId="15" fillId="0" borderId="18" xfId="2" applyNumberFormat="1" applyFont="1" applyBorder="1" applyAlignment="1">
      <alignment horizontal="center" vertical="center" wrapText="1"/>
    </xf>
    <xf numFmtId="0" fontId="16" fillId="0" borderId="18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28" fillId="5" borderId="18" xfId="4" applyFont="1" applyFill="1" applyBorder="1" applyAlignment="1">
      <alignment horizontal="center" vertical="center" wrapText="1"/>
    </xf>
    <xf numFmtId="177" fontId="6" fillId="4" borderId="18" xfId="0" applyNumberFormat="1" applyFont="1" applyFill="1" applyBorder="1" applyAlignment="1">
      <alignment horizontal="center" vertical="center" wrapText="1"/>
    </xf>
    <xf numFmtId="0" fontId="31" fillId="0" borderId="19" xfId="4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3" fillId="0" borderId="26" xfId="4" applyFont="1" applyBorder="1" applyAlignment="1">
      <alignment horizontal="left" vertical="center"/>
    </xf>
    <xf numFmtId="0" fontId="2" fillId="6" borderId="18" xfId="4" applyFont="1" applyFill="1" applyBorder="1" applyAlignment="1">
      <alignment horizontal="center" vertical="center" wrapText="1"/>
    </xf>
    <xf numFmtId="0" fontId="26" fillId="0" borderId="35" xfId="4" applyFont="1" applyBorder="1" applyAlignment="1">
      <alignment horizontal="center" vertical="center" wrapText="1"/>
    </xf>
    <xf numFmtId="0" fontId="26" fillId="0" borderId="37" xfId="4" applyFont="1" applyBorder="1" applyAlignment="1">
      <alignment horizontal="center" vertical="center" wrapText="1"/>
    </xf>
    <xf numFmtId="0" fontId="26" fillId="0" borderId="0" xfId="4" applyFont="1" applyAlignment="1">
      <alignment horizontal="center" vertical="center" wrapText="1"/>
    </xf>
    <xf numFmtId="0" fontId="26" fillId="0" borderId="39" xfId="4" applyFont="1" applyBorder="1" applyAlignment="1">
      <alignment horizontal="center" vertical="center" wrapText="1"/>
    </xf>
    <xf numFmtId="0" fontId="26" fillId="0" borderId="34" xfId="4" applyFont="1" applyBorder="1" applyAlignment="1">
      <alignment horizontal="center" vertical="center" wrapText="1"/>
    </xf>
    <xf numFmtId="0" fontId="27" fillId="0" borderId="35" xfId="4" applyFont="1" applyBorder="1" applyAlignment="1">
      <alignment horizontal="center" vertical="center" shrinkToFit="1"/>
    </xf>
    <xf numFmtId="0" fontId="27" fillId="0" borderId="36" xfId="4" applyFont="1" applyBorder="1" applyAlignment="1">
      <alignment horizontal="center" vertical="center" shrinkToFit="1"/>
    </xf>
    <xf numFmtId="0" fontId="27" fillId="0" borderId="0" xfId="4" applyFont="1" applyAlignment="1">
      <alignment horizontal="center" vertical="center" shrinkToFit="1"/>
    </xf>
    <xf numFmtId="0" fontId="27" fillId="0" borderId="38" xfId="4" applyFont="1" applyBorder="1" applyAlignment="1">
      <alignment horizontal="center" vertical="center" shrinkToFit="1"/>
    </xf>
    <xf numFmtId="0" fontId="27" fillId="0" borderId="34" xfId="4" applyFont="1" applyBorder="1" applyAlignment="1">
      <alignment horizontal="center" vertical="center" shrinkToFit="1"/>
    </xf>
    <xf numFmtId="0" fontId="27" fillId="0" borderId="40" xfId="4" applyFont="1" applyBorder="1" applyAlignment="1">
      <alignment horizontal="center" vertical="center" shrinkToFit="1"/>
    </xf>
    <xf numFmtId="0" fontId="1" fillId="6" borderId="17" xfId="4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0" fontId="2" fillId="6" borderId="16" xfId="4" applyFont="1" applyFill="1" applyBorder="1" applyAlignment="1">
      <alignment horizontal="center" vertical="center" wrapText="1"/>
    </xf>
    <xf numFmtId="0" fontId="2" fillId="6" borderId="19" xfId="4" applyFont="1" applyFill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30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5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31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24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7" xfId="2" applyFont="1" applyFill="1" applyBorder="1" applyAlignment="1">
      <alignment horizontal="center" vertical="center" wrapText="1"/>
    </xf>
    <xf numFmtId="0" fontId="4" fillId="3" borderId="28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30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5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4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178" fontId="24" fillId="0" borderId="18" xfId="2" applyNumberFormat="1" applyBorder="1" applyAlignment="1">
      <alignment horizontal="center" vertical="center" wrapText="1"/>
    </xf>
    <xf numFmtId="0" fontId="24" fillId="0" borderId="21" xfId="2" applyBorder="1" applyAlignment="1">
      <alignment horizontal="center" vertical="center"/>
    </xf>
    <xf numFmtId="0" fontId="24" fillId="0" borderId="17" xfId="2" applyBorder="1" applyAlignment="1">
      <alignment horizontal="center" vertical="center"/>
    </xf>
    <xf numFmtId="0" fontId="6" fillId="0" borderId="15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 wrapText="1"/>
    </xf>
    <xf numFmtId="0" fontId="20" fillId="0" borderId="24" xfId="2" applyFont="1" applyBorder="1" applyAlignment="1">
      <alignment horizontal="center" vertical="center" shrinkToFit="1"/>
    </xf>
    <xf numFmtId="0" fontId="20" fillId="0" borderId="11" xfId="2" applyFont="1" applyBorder="1" applyAlignment="1">
      <alignment horizontal="center" vertical="center" shrinkToFit="1"/>
    </xf>
    <xf numFmtId="0" fontId="20" fillId="0" borderId="3" xfId="2" applyFont="1" applyBorder="1" applyAlignment="1">
      <alignment horizontal="center" vertical="center" shrinkToFit="1"/>
    </xf>
    <xf numFmtId="0" fontId="20" fillId="0" borderId="30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0" fontId="20" fillId="0" borderId="31" xfId="2" applyFont="1" applyBorder="1" applyAlignment="1">
      <alignment horizontal="center" vertical="center" shrinkToFit="1"/>
    </xf>
    <xf numFmtId="0" fontId="20" fillId="0" borderId="25" xfId="2" applyFont="1" applyBorder="1" applyAlignment="1">
      <alignment horizontal="center" vertical="center" shrinkToFit="1"/>
    </xf>
    <xf numFmtId="0" fontId="20" fillId="0" borderId="2" xfId="2" applyFont="1" applyBorder="1" applyAlignment="1">
      <alignment horizontal="center" vertical="center" shrinkToFit="1"/>
    </xf>
    <xf numFmtId="0" fontId="20" fillId="0" borderId="29" xfId="2" applyFont="1" applyBorder="1" applyAlignment="1">
      <alignment horizontal="center" vertical="center" shrinkToFit="1"/>
    </xf>
    <xf numFmtId="0" fontId="24" fillId="0" borderId="4" xfId="2" applyBorder="1" applyAlignment="1">
      <alignment horizontal="center" vertical="center"/>
    </xf>
    <xf numFmtId="0" fontId="24" fillId="0" borderId="28" xfId="2" applyBorder="1" applyAlignment="1">
      <alignment horizontal="center" vertical="center"/>
    </xf>
    <xf numFmtId="0" fontId="29" fillId="0" borderId="1" xfId="2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177" fontId="0" fillId="2" borderId="33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177" fontId="0" fillId="2" borderId="28" xfId="0" applyNumberForma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4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5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9" xfId="0" applyFont="1" applyBorder="1" applyAlignment="1">
      <alignment horizontal="center" vertical="center" wrapText="1" shrinkToFi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33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Q9" sqref="Q9:Q33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83" t="s">
        <v>66</v>
      </c>
      <c r="B1" s="115"/>
      <c r="C1" s="115"/>
      <c r="D1" s="120" t="str">
        <f>R2</f>
        <v>26.07.10 하나로엔지니어링_엠이씨이엔지_디엘이엔씨_화성동탄C-14BL 공공주택</v>
      </c>
      <c r="E1" s="120"/>
      <c r="F1" s="120"/>
      <c r="G1" s="121"/>
      <c r="R1" s="8" t="s">
        <v>61</v>
      </c>
    </row>
    <row r="2" spans="1:18" ht="16.5" customHeight="1">
      <c r="A2" s="116"/>
      <c r="B2" s="117"/>
      <c r="C2" s="117"/>
      <c r="D2" s="122"/>
      <c r="E2" s="122"/>
      <c r="F2" s="122"/>
      <c r="G2" s="123"/>
      <c r="R2" s="63" t="s">
        <v>116</v>
      </c>
    </row>
    <row r="3" spans="1:18" ht="16.5" customHeight="1">
      <c r="A3" s="116"/>
      <c r="B3" s="117"/>
      <c r="C3" s="117"/>
      <c r="D3" s="122"/>
      <c r="E3" s="122"/>
      <c r="F3" s="122"/>
      <c r="G3" s="123"/>
    </row>
    <row r="4" spans="1:18" ht="17.25" customHeight="1" thickBot="1">
      <c r="A4" s="118"/>
      <c r="B4" s="119"/>
      <c r="C4" s="119"/>
      <c r="D4" s="124"/>
      <c r="E4" s="124"/>
      <c r="F4" s="124"/>
      <c r="G4" s="125"/>
    </row>
    <row r="5" spans="1:18" ht="6.75" customHeight="1" thickTop="1">
      <c r="A5" s="64"/>
      <c r="B5" s="64"/>
      <c r="C5" s="64"/>
      <c r="D5" s="64"/>
      <c r="E5" s="64"/>
      <c r="F5" s="64"/>
      <c r="G5" s="64"/>
    </row>
    <row r="6" spans="1:18" s="10" customFormat="1" ht="18" customHeight="1" thickBot="1">
      <c r="A6" s="108" t="s">
        <v>1</v>
      </c>
      <c r="B6" s="127" t="s">
        <v>60</v>
      </c>
      <c r="C6" s="127" t="s">
        <v>4</v>
      </c>
      <c r="D6" s="127"/>
      <c r="E6" s="127" t="s">
        <v>38</v>
      </c>
      <c r="F6" s="127" t="s">
        <v>35</v>
      </c>
      <c r="G6" s="128" t="s">
        <v>15</v>
      </c>
      <c r="H6" s="9"/>
      <c r="I6" s="113" t="s">
        <v>9</v>
      </c>
      <c r="J6" s="113"/>
      <c r="K6" s="113"/>
      <c r="L6" s="113"/>
      <c r="M6" s="113"/>
      <c r="N6" s="113"/>
      <c r="O6" s="8"/>
    </row>
    <row r="7" spans="1:18" s="10" customFormat="1" ht="18" customHeight="1">
      <c r="A7" s="126"/>
      <c r="B7" s="114"/>
      <c r="C7" s="114" t="s">
        <v>57</v>
      </c>
      <c r="D7" s="114" t="s">
        <v>55</v>
      </c>
      <c r="E7" s="114"/>
      <c r="F7" s="114"/>
      <c r="G7" s="129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6"/>
      <c r="B8" s="114"/>
      <c r="C8" s="114"/>
      <c r="D8" s="114"/>
      <c r="E8" s="114"/>
      <c r="F8" s="114"/>
      <c r="G8" s="129"/>
      <c r="H8" s="11"/>
      <c r="I8" s="12"/>
      <c r="J8" s="12"/>
      <c r="K8" s="12"/>
      <c r="L8" s="12"/>
      <c r="M8" s="12"/>
      <c r="N8" s="12"/>
      <c r="O8" s="8"/>
    </row>
    <row r="9" spans="1:18" s="10" customFormat="1" ht="23.25" thickBot="1">
      <c r="A9" s="70" t="s">
        <v>113</v>
      </c>
      <c r="B9" s="49" t="s">
        <v>43</v>
      </c>
      <c r="C9" s="26">
        <v>400</v>
      </c>
      <c r="D9" s="26">
        <v>300</v>
      </c>
      <c r="E9" s="65"/>
      <c r="F9" s="65"/>
      <c r="G9" s="82" t="s">
        <v>91</v>
      </c>
      <c r="H9" s="13"/>
      <c r="I9" s="23"/>
      <c r="J9" s="21"/>
      <c r="K9" s="17"/>
      <c r="L9" s="18"/>
      <c r="M9" s="19"/>
      <c r="N9" s="21"/>
      <c r="O9" s="8"/>
      <c r="Q9" s="10" t="s">
        <v>117</v>
      </c>
    </row>
    <row r="10" spans="1:18" s="10" customFormat="1" ht="23.25" thickBot="1">
      <c r="A10" s="70" t="s">
        <v>114</v>
      </c>
      <c r="B10" s="49" t="s">
        <v>43</v>
      </c>
      <c r="C10" s="26">
        <v>400</v>
      </c>
      <c r="D10" s="26">
        <v>350</v>
      </c>
      <c r="E10" s="51"/>
      <c r="F10" s="65"/>
      <c r="G10" s="82" t="s">
        <v>92</v>
      </c>
      <c r="H10" s="13"/>
      <c r="I10" s="23"/>
      <c r="J10" s="21"/>
      <c r="K10" s="17"/>
      <c r="L10" s="18"/>
      <c r="M10" s="19"/>
      <c r="N10" s="21"/>
      <c r="O10" s="8"/>
      <c r="Q10" s="10" t="s">
        <v>118</v>
      </c>
    </row>
    <row r="11" spans="1:18" s="10" customFormat="1" ht="23.25" thickBot="1">
      <c r="A11" s="70" t="s">
        <v>115</v>
      </c>
      <c r="B11" s="49" t="s">
        <v>43</v>
      </c>
      <c r="C11" s="26">
        <v>450</v>
      </c>
      <c r="D11" s="26">
        <v>400</v>
      </c>
      <c r="E11" s="51"/>
      <c r="F11" s="65"/>
      <c r="G11" s="82" t="s">
        <v>93</v>
      </c>
      <c r="H11" s="13"/>
      <c r="I11" s="23"/>
      <c r="J11" s="21"/>
      <c r="K11" s="17"/>
      <c r="L11" s="18"/>
      <c r="M11" s="19"/>
      <c r="N11" s="21"/>
      <c r="O11" s="8"/>
      <c r="Q11" s="10" t="s">
        <v>119</v>
      </c>
    </row>
    <row r="12" spans="1:18" s="10" customFormat="1" ht="23.25" thickBot="1">
      <c r="A12" s="70" t="s">
        <v>68</v>
      </c>
      <c r="B12" s="49" t="s">
        <v>43</v>
      </c>
      <c r="C12" s="26">
        <v>450</v>
      </c>
      <c r="D12" s="26">
        <v>500</v>
      </c>
      <c r="E12" s="51"/>
      <c r="F12" s="65"/>
      <c r="G12" s="82" t="s">
        <v>94</v>
      </c>
      <c r="H12" s="13"/>
      <c r="I12" s="23"/>
      <c r="J12" s="21"/>
      <c r="K12" s="17"/>
      <c r="L12" s="18"/>
      <c r="M12" s="19"/>
      <c r="N12" s="21"/>
      <c r="O12" s="8"/>
      <c r="Q12" s="10" t="s">
        <v>120</v>
      </c>
    </row>
    <row r="13" spans="1:18" s="10" customFormat="1" ht="27" thickBot="1">
      <c r="A13" s="70" t="s">
        <v>69</v>
      </c>
      <c r="B13" s="49" t="s">
        <v>43</v>
      </c>
      <c r="C13" s="26">
        <v>500</v>
      </c>
      <c r="D13" s="26">
        <v>300</v>
      </c>
      <c r="E13" s="51"/>
      <c r="F13" s="65"/>
      <c r="G13" s="82" t="s">
        <v>95</v>
      </c>
      <c r="H13" s="13"/>
      <c r="I13" s="12"/>
      <c r="J13" s="12"/>
      <c r="K13" s="17"/>
      <c r="L13" s="18"/>
      <c r="M13" s="19"/>
      <c r="N13" s="12"/>
      <c r="O13" s="8"/>
      <c r="Q13" s="10" t="s">
        <v>121</v>
      </c>
    </row>
    <row r="14" spans="1:18" s="10" customFormat="1" ht="23.25" thickBot="1">
      <c r="A14" s="70" t="s">
        <v>70</v>
      </c>
      <c r="B14" s="49" t="s">
        <v>43</v>
      </c>
      <c r="C14" s="26">
        <v>500</v>
      </c>
      <c r="D14" s="26">
        <v>300</v>
      </c>
      <c r="E14" s="51"/>
      <c r="F14" s="65"/>
      <c r="G14" s="82" t="s">
        <v>96</v>
      </c>
      <c r="H14" s="13"/>
      <c r="I14" s="23"/>
      <c r="J14" s="21"/>
      <c r="K14" s="17"/>
      <c r="L14" s="18"/>
      <c r="M14" s="19"/>
      <c r="N14" s="21"/>
      <c r="O14" s="8"/>
      <c r="Q14" s="10" t="s">
        <v>122</v>
      </c>
    </row>
    <row r="15" spans="1:18" s="10" customFormat="1" ht="23.25" thickBot="1">
      <c r="A15" s="70" t="s">
        <v>71</v>
      </c>
      <c r="B15" s="49" t="s">
        <v>43</v>
      </c>
      <c r="C15" s="26">
        <v>500</v>
      </c>
      <c r="D15" s="26">
        <v>300</v>
      </c>
      <c r="E15" s="51"/>
      <c r="F15" s="65"/>
      <c r="G15" s="82" t="s">
        <v>97</v>
      </c>
      <c r="H15" s="13"/>
      <c r="I15" s="22"/>
      <c r="J15" s="20"/>
      <c r="K15" s="17"/>
      <c r="L15" s="18"/>
      <c r="M15" s="19"/>
      <c r="N15" s="20"/>
      <c r="O15" s="8"/>
      <c r="Q15" s="10" t="s">
        <v>123</v>
      </c>
    </row>
    <row r="16" spans="1:18" s="10" customFormat="1" ht="23.25" thickBot="1">
      <c r="A16" s="70" t="s">
        <v>72</v>
      </c>
      <c r="B16" s="49" t="s">
        <v>43</v>
      </c>
      <c r="C16" s="26">
        <v>500</v>
      </c>
      <c r="D16" s="26">
        <v>300</v>
      </c>
      <c r="E16" s="51"/>
      <c r="F16" s="65"/>
      <c r="G16" s="82" t="s">
        <v>98</v>
      </c>
      <c r="H16" s="13"/>
      <c r="I16" s="23"/>
      <c r="J16" s="21"/>
      <c r="K16" s="17"/>
      <c r="L16" s="18"/>
      <c r="M16" s="19"/>
      <c r="N16" s="21"/>
      <c r="O16" s="8"/>
      <c r="Q16" s="10" t="s">
        <v>124</v>
      </c>
    </row>
    <row r="17" spans="1:17" s="10" customFormat="1" ht="23.25" thickBot="1">
      <c r="A17" s="70" t="s">
        <v>73</v>
      </c>
      <c r="B17" s="49" t="s">
        <v>43</v>
      </c>
      <c r="C17" s="26">
        <v>500</v>
      </c>
      <c r="D17" s="26">
        <v>300</v>
      </c>
      <c r="E17" s="51"/>
      <c r="F17" s="65"/>
      <c r="G17" s="82" t="s">
        <v>99</v>
      </c>
      <c r="H17" s="13"/>
      <c r="I17" s="23"/>
      <c r="J17" s="21"/>
      <c r="K17" s="17"/>
      <c r="L17" s="18"/>
      <c r="M17" s="19"/>
      <c r="N17" s="21"/>
      <c r="O17" s="8"/>
      <c r="Q17" s="10" t="s">
        <v>125</v>
      </c>
    </row>
    <row r="18" spans="1:17" s="10" customFormat="1" ht="23.25" thickBot="1">
      <c r="A18" s="70" t="s">
        <v>74</v>
      </c>
      <c r="B18" s="49" t="s">
        <v>43</v>
      </c>
      <c r="C18" s="26">
        <v>500</v>
      </c>
      <c r="D18" s="26">
        <v>500</v>
      </c>
      <c r="E18" s="51"/>
      <c r="F18" s="65"/>
      <c r="G18" s="82" t="s">
        <v>100</v>
      </c>
      <c r="H18" s="13"/>
      <c r="I18" s="23"/>
      <c r="J18" s="21"/>
      <c r="K18" s="17"/>
      <c r="L18" s="18"/>
      <c r="M18" s="19"/>
      <c r="N18" s="21"/>
      <c r="O18" s="8"/>
      <c r="Q18" s="10" t="s">
        <v>126</v>
      </c>
    </row>
    <row r="19" spans="1:17" s="10" customFormat="1" ht="23.25" thickBot="1">
      <c r="A19" s="70" t="s">
        <v>75</v>
      </c>
      <c r="B19" s="49" t="s">
        <v>43</v>
      </c>
      <c r="C19" s="26">
        <v>550</v>
      </c>
      <c r="D19" s="26">
        <v>500</v>
      </c>
      <c r="E19" s="51"/>
      <c r="F19" s="65"/>
      <c r="G19" s="82" t="s">
        <v>101</v>
      </c>
      <c r="H19" s="13"/>
      <c r="I19" s="23"/>
      <c r="J19" s="21"/>
      <c r="K19" s="17"/>
      <c r="L19" s="18"/>
      <c r="M19" s="19"/>
      <c r="N19" s="21"/>
      <c r="O19" s="8"/>
      <c r="Q19" s="10" t="s">
        <v>127</v>
      </c>
    </row>
    <row r="20" spans="1:17" s="10" customFormat="1" ht="23.25" thickBot="1">
      <c r="A20" s="70" t="s">
        <v>76</v>
      </c>
      <c r="B20" s="49" t="s">
        <v>43</v>
      </c>
      <c r="C20" s="26">
        <v>600</v>
      </c>
      <c r="D20" s="26">
        <v>250</v>
      </c>
      <c r="E20" s="65"/>
      <c r="F20" s="65"/>
      <c r="G20" s="82" t="s">
        <v>102</v>
      </c>
      <c r="H20" s="13"/>
      <c r="I20" s="23"/>
      <c r="J20" s="21"/>
      <c r="K20" s="17"/>
      <c r="L20" s="18"/>
      <c r="M20" s="19"/>
      <c r="N20" s="21"/>
      <c r="O20" s="8"/>
      <c r="Q20" s="10" t="s">
        <v>128</v>
      </c>
    </row>
    <row r="21" spans="1:17" s="10" customFormat="1" ht="17.25" thickBot="1">
      <c r="A21" s="70" t="s">
        <v>77</v>
      </c>
      <c r="B21" s="49" t="s">
        <v>43</v>
      </c>
      <c r="C21" s="26">
        <v>600</v>
      </c>
      <c r="D21" s="26">
        <v>300</v>
      </c>
      <c r="E21" s="65"/>
      <c r="F21" s="65"/>
      <c r="G21" s="82" t="s">
        <v>103</v>
      </c>
      <c r="H21" s="13"/>
      <c r="I21" s="23"/>
      <c r="J21" s="21"/>
      <c r="K21" s="17"/>
      <c r="L21" s="18"/>
      <c r="M21" s="19"/>
      <c r="N21" s="21"/>
      <c r="O21" s="8"/>
      <c r="Q21" s="10" t="s">
        <v>129</v>
      </c>
    </row>
    <row r="22" spans="1:17" s="10" customFormat="1" ht="23.25" thickBot="1">
      <c r="A22" s="70" t="s">
        <v>78</v>
      </c>
      <c r="B22" s="49" t="s">
        <v>43</v>
      </c>
      <c r="C22" s="26">
        <v>600</v>
      </c>
      <c r="D22" s="26">
        <v>300</v>
      </c>
      <c r="E22" s="65"/>
      <c r="F22" s="65"/>
      <c r="G22" s="82" t="s">
        <v>104</v>
      </c>
      <c r="H22" s="13"/>
      <c r="I22" s="23"/>
      <c r="J22" s="21"/>
      <c r="K22" s="17"/>
      <c r="L22" s="18"/>
      <c r="M22" s="19"/>
      <c r="N22" s="21"/>
      <c r="O22" s="8"/>
      <c r="Q22" s="10" t="s">
        <v>130</v>
      </c>
    </row>
    <row r="23" spans="1:17" s="10" customFormat="1" ht="23.25" thickBot="1">
      <c r="A23" s="70" t="s">
        <v>79</v>
      </c>
      <c r="B23" s="49" t="s">
        <v>43</v>
      </c>
      <c r="C23" s="26">
        <v>600</v>
      </c>
      <c r="D23" s="26">
        <v>300</v>
      </c>
      <c r="E23" s="51"/>
      <c r="F23" s="65"/>
      <c r="G23" s="82" t="s">
        <v>105</v>
      </c>
      <c r="H23" s="13"/>
      <c r="I23" s="23"/>
      <c r="J23" s="21"/>
      <c r="K23" s="17"/>
      <c r="L23" s="18"/>
      <c r="M23" s="19"/>
      <c r="N23" s="21"/>
      <c r="O23" s="8"/>
      <c r="Q23" s="10" t="s">
        <v>131</v>
      </c>
    </row>
    <row r="24" spans="1:17" s="10" customFormat="1" ht="27" thickBot="1">
      <c r="A24" s="70" t="s">
        <v>80</v>
      </c>
      <c r="B24" s="49" t="s">
        <v>43</v>
      </c>
      <c r="C24" s="26">
        <v>600</v>
      </c>
      <c r="D24" s="26">
        <v>300</v>
      </c>
      <c r="E24" s="51"/>
      <c r="F24" s="65"/>
      <c r="G24" s="82" t="s">
        <v>106</v>
      </c>
      <c r="H24" s="13"/>
      <c r="I24" s="12"/>
      <c r="J24" s="12"/>
      <c r="K24" s="17"/>
      <c r="L24" s="18"/>
      <c r="M24" s="19"/>
      <c r="N24" s="12"/>
      <c r="O24" s="8"/>
      <c r="Q24" s="10" t="s">
        <v>132</v>
      </c>
    </row>
    <row r="25" spans="1:17" s="10" customFormat="1" ht="23.25" thickBot="1">
      <c r="A25" s="70" t="s">
        <v>81</v>
      </c>
      <c r="B25" s="49" t="s">
        <v>43</v>
      </c>
      <c r="C25" s="26">
        <v>600</v>
      </c>
      <c r="D25" s="26">
        <v>300</v>
      </c>
      <c r="E25" s="51"/>
      <c r="F25" s="65"/>
      <c r="G25" s="82" t="s">
        <v>107</v>
      </c>
      <c r="H25" s="13"/>
      <c r="I25" s="23"/>
      <c r="J25" s="21"/>
      <c r="K25" s="17"/>
      <c r="L25" s="18"/>
      <c r="M25" s="19"/>
      <c r="N25" s="21"/>
      <c r="O25" s="8"/>
      <c r="Q25" s="10" t="s">
        <v>133</v>
      </c>
    </row>
    <row r="26" spans="1:17" s="10" customFormat="1" ht="23.25" thickBot="1">
      <c r="A26" s="70" t="s">
        <v>82</v>
      </c>
      <c r="B26" s="49" t="s">
        <v>43</v>
      </c>
      <c r="C26" s="26">
        <v>600</v>
      </c>
      <c r="D26" s="26">
        <v>300</v>
      </c>
      <c r="E26" s="51"/>
      <c r="F26" s="65"/>
      <c r="G26" s="82" t="s">
        <v>108</v>
      </c>
      <c r="H26" s="13"/>
      <c r="I26" s="22"/>
      <c r="J26" s="20"/>
      <c r="K26" s="17"/>
      <c r="L26" s="18"/>
      <c r="M26" s="19"/>
      <c r="N26" s="20"/>
      <c r="O26" s="8"/>
      <c r="Q26" s="10" t="s">
        <v>134</v>
      </c>
    </row>
    <row r="27" spans="1:17" s="10" customFormat="1" ht="23.25" thickBot="1">
      <c r="A27" s="70" t="s">
        <v>83</v>
      </c>
      <c r="B27" s="49" t="s">
        <v>43</v>
      </c>
      <c r="C27" s="26">
        <v>600</v>
      </c>
      <c r="D27" s="26">
        <v>400</v>
      </c>
      <c r="E27" s="51"/>
      <c r="F27" s="65"/>
      <c r="G27" s="82" t="s">
        <v>109</v>
      </c>
      <c r="H27" s="13"/>
      <c r="I27" s="23"/>
      <c r="J27" s="21"/>
      <c r="K27" s="17"/>
      <c r="L27" s="18"/>
      <c r="M27" s="19"/>
      <c r="N27" s="21"/>
      <c r="O27" s="8"/>
      <c r="Q27" s="10" t="s">
        <v>135</v>
      </c>
    </row>
    <row r="28" spans="1:17" s="10" customFormat="1" ht="17.25" thickBot="1">
      <c r="A28" s="70" t="s">
        <v>84</v>
      </c>
      <c r="B28" s="49" t="s">
        <v>43</v>
      </c>
      <c r="C28" s="26">
        <v>650</v>
      </c>
      <c r="D28" s="26">
        <v>250</v>
      </c>
      <c r="E28" s="51"/>
      <c r="F28" s="65"/>
      <c r="G28" s="82" t="s">
        <v>110</v>
      </c>
      <c r="H28" s="13"/>
      <c r="I28" s="23"/>
      <c r="J28" s="21"/>
      <c r="K28" s="17"/>
      <c r="L28" s="18"/>
      <c r="M28" s="19"/>
      <c r="N28" s="21"/>
      <c r="O28" s="8"/>
      <c r="Q28" s="10" t="s">
        <v>136</v>
      </c>
    </row>
    <row r="29" spans="1:17" s="10" customFormat="1" ht="23.25" thickBot="1">
      <c r="A29" s="70" t="s">
        <v>85</v>
      </c>
      <c r="B29" s="49" t="s">
        <v>43</v>
      </c>
      <c r="C29" s="26">
        <v>750</v>
      </c>
      <c r="D29" s="26">
        <v>400</v>
      </c>
      <c r="E29" s="51"/>
      <c r="F29" s="65"/>
      <c r="G29" s="82" t="s">
        <v>111</v>
      </c>
      <c r="H29" s="13"/>
      <c r="I29" s="23"/>
      <c r="J29" s="21"/>
      <c r="K29" s="17"/>
      <c r="L29" s="18"/>
      <c r="M29" s="19"/>
      <c r="N29" s="21"/>
      <c r="O29" s="8"/>
      <c r="Q29" s="10" t="s">
        <v>137</v>
      </c>
    </row>
    <row r="30" spans="1:17" s="10" customFormat="1" ht="23.25" thickBot="1">
      <c r="A30" s="70" t="s">
        <v>86</v>
      </c>
      <c r="B30" s="49" t="s">
        <v>43</v>
      </c>
      <c r="C30" s="26">
        <v>750</v>
      </c>
      <c r="D30" s="26">
        <v>400</v>
      </c>
      <c r="E30" s="51"/>
      <c r="F30" s="65"/>
      <c r="G30" s="82" t="s">
        <v>111</v>
      </c>
      <c r="H30" s="13"/>
      <c r="I30" s="23"/>
      <c r="J30" s="21"/>
      <c r="K30" s="17"/>
      <c r="L30" s="18"/>
      <c r="M30" s="19"/>
      <c r="N30" s="21"/>
      <c r="O30" s="8"/>
      <c r="Q30" s="10" t="s">
        <v>138</v>
      </c>
    </row>
    <row r="31" spans="1:17" s="10" customFormat="1" ht="23.25" thickBot="1">
      <c r="A31" s="70" t="s">
        <v>87</v>
      </c>
      <c r="B31" s="49" t="s">
        <v>43</v>
      </c>
      <c r="C31" s="26">
        <v>750</v>
      </c>
      <c r="D31" s="26">
        <v>400</v>
      </c>
      <c r="E31" s="65"/>
      <c r="F31" s="65"/>
      <c r="G31" s="82" t="s">
        <v>111</v>
      </c>
      <c r="H31" s="13"/>
      <c r="I31" s="23"/>
      <c r="J31" s="21"/>
      <c r="K31" s="17"/>
      <c r="L31" s="18"/>
      <c r="M31" s="19"/>
      <c r="N31" s="21"/>
      <c r="O31" s="8"/>
      <c r="Q31" s="10" t="s">
        <v>139</v>
      </c>
    </row>
    <row r="32" spans="1:17" s="10" customFormat="1" ht="23.25" thickBot="1">
      <c r="A32" s="70" t="s">
        <v>88</v>
      </c>
      <c r="B32" s="49" t="s">
        <v>43</v>
      </c>
      <c r="C32" s="26">
        <v>1000</v>
      </c>
      <c r="D32" s="26">
        <v>550</v>
      </c>
      <c r="E32" s="65"/>
      <c r="F32" s="65"/>
      <c r="G32" s="82" t="s">
        <v>104</v>
      </c>
      <c r="H32" s="13"/>
      <c r="I32" s="23"/>
      <c r="J32" s="21"/>
      <c r="K32" s="17"/>
      <c r="L32" s="18"/>
      <c r="M32" s="19"/>
      <c r="N32" s="21"/>
      <c r="O32" s="8"/>
      <c r="Q32" s="10" t="s">
        <v>140</v>
      </c>
    </row>
    <row r="33" spans="1:17" s="10" customFormat="1" ht="16.5">
      <c r="A33" s="70" t="s">
        <v>89</v>
      </c>
      <c r="B33" s="49" t="s">
        <v>43</v>
      </c>
      <c r="C33" s="26">
        <v>1150</v>
      </c>
      <c r="D33" s="26">
        <v>250</v>
      </c>
      <c r="E33" s="65"/>
      <c r="F33" s="65"/>
      <c r="G33" s="82" t="s">
        <v>112</v>
      </c>
      <c r="H33" s="13"/>
      <c r="I33" s="23"/>
      <c r="J33" s="21"/>
      <c r="K33" s="17"/>
      <c r="L33" s="18"/>
      <c r="M33" s="19"/>
      <c r="N33" s="21"/>
      <c r="O33" s="8"/>
      <c r="Q33" s="10" t="s">
        <v>141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36"/>
  <sheetViews>
    <sheetView zoomScaleNormal="100" zoomScaleSheetLayoutView="100" workbookViewId="0">
      <selection activeCell="F43" sqref="F43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83"/>
      <c r="B1" s="83"/>
      <c r="C1" s="83"/>
      <c r="D1" s="83"/>
      <c r="E1" s="130" t="s">
        <v>62</v>
      </c>
      <c r="F1" s="131"/>
      <c r="G1" s="131"/>
      <c r="H1" s="131" t="str">
        <f>'1. 소켓인수검사'!R2</f>
        <v>26.07.10 하나로엔지니어링_엠이씨이엔지_디엘이엔씨_화성동탄C-14BL 공공주택</v>
      </c>
      <c r="I1" s="131"/>
      <c r="J1" s="131"/>
      <c r="K1" s="131"/>
      <c r="L1" s="131"/>
      <c r="M1" s="131"/>
      <c r="N1" s="131"/>
      <c r="O1" s="136"/>
    </row>
    <row r="2" spans="1:15" ht="16.5" customHeight="1">
      <c r="A2" s="83"/>
      <c r="B2" s="83"/>
      <c r="C2" s="83"/>
      <c r="D2" s="83"/>
      <c r="E2" s="132"/>
      <c r="F2" s="133"/>
      <c r="G2" s="133"/>
      <c r="H2" s="133"/>
      <c r="I2" s="133"/>
      <c r="J2" s="133"/>
      <c r="K2" s="133"/>
      <c r="L2" s="133"/>
      <c r="M2" s="133"/>
      <c r="N2" s="133"/>
      <c r="O2" s="137"/>
    </row>
    <row r="3" spans="1:15" ht="16.5" customHeight="1">
      <c r="A3" s="83"/>
      <c r="B3" s="83"/>
      <c r="C3" s="83"/>
      <c r="D3" s="83"/>
      <c r="E3" s="134"/>
      <c r="F3" s="135"/>
      <c r="G3" s="135"/>
      <c r="H3" s="135"/>
      <c r="I3" s="135"/>
      <c r="J3" s="135"/>
      <c r="K3" s="135"/>
      <c r="L3" s="135"/>
      <c r="M3" s="135"/>
      <c r="N3" s="135"/>
      <c r="O3" s="138"/>
    </row>
    <row r="4" spans="1:15" ht="8.1" customHeight="1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</row>
    <row r="5" spans="1:15" ht="26.45" customHeight="1">
      <c r="A5" s="140" t="s">
        <v>50</v>
      </c>
      <c r="B5" s="141" t="s">
        <v>60</v>
      </c>
      <c r="C5" s="144" t="s">
        <v>4</v>
      </c>
      <c r="D5" s="144"/>
      <c r="E5" s="144" t="s">
        <v>21</v>
      </c>
      <c r="F5" s="145" t="s">
        <v>48</v>
      </c>
      <c r="G5" s="148" t="s">
        <v>17</v>
      </c>
      <c r="H5" s="149"/>
      <c r="I5" s="149"/>
      <c r="J5" s="150"/>
      <c r="K5" s="148" t="s">
        <v>31</v>
      </c>
      <c r="L5" s="149"/>
      <c r="M5" s="149"/>
      <c r="N5" s="149"/>
      <c r="O5" s="145" t="s">
        <v>2</v>
      </c>
    </row>
    <row r="6" spans="1:15" ht="16.5" customHeight="1">
      <c r="A6" s="140"/>
      <c r="B6" s="142"/>
      <c r="C6" s="144" t="s">
        <v>57</v>
      </c>
      <c r="D6" s="144" t="s">
        <v>55</v>
      </c>
      <c r="E6" s="144"/>
      <c r="F6" s="146"/>
      <c r="G6" s="144" t="s">
        <v>57</v>
      </c>
      <c r="H6" s="144"/>
      <c r="I6" s="144" t="s">
        <v>55</v>
      </c>
      <c r="J6" s="144"/>
      <c r="K6" s="144" t="s">
        <v>59</v>
      </c>
      <c r="L6" s="144"/>
      <c r="M6" s="148" t="s">
        <v>56</v>
      </c>
      <c r="N6" s="149"/>
      <c r="O6" s="146"/>
    </row>
    <row r="7" spans="1:15">
      <c r="A7" s="140"/>
      <c r="B7" s="143"/>
      <c r="C7" s="144"/>
      <c r="D7" s="144"/>
      <c r="E7" s="144"/>
      <c r="F7" s="147"/>
      <c r="G7" s="71" t="s">
        <v>4</v>
      </c>
      <c r="H7" s="71" t="s">
        <v>28</v>
      </c>
      <c r="I7" s="74" t="s">
        <v>4</v>
      </c>
      <c r="J7" s="73" t="s">
        <v>28</v>
      </c>
      <c r="K7" s="71" t="s">
        <v>4</v>
      </c>
      <c r="L7" s="71" t="s">
        <v>48</v>
      </c>
      <c r="M7" s="71" t="s">
        <v>4</v>
      </c>
      <c r="N7" s="72" t="s">
        <v>48</v>
      </c>
      <c r="O7" s="147"/>
    </row>
    <row r="8" spans="1:15">
      <c r="A8" s="75" t="str">
        <f>'1. 소켓인수검사'!A9</f>
        <v>01</v>
      </c>
      <c r="B8" s="80" t="s">
        <v>43</v>
      </c>
      <c r="C8" s="50">
        <f>'1. 소켓인수검사'!C9</f>
        <v>400</v>
      </c>
      <c r="D8" s="50">
        <f>'1. 소켓인수검사'!D9</f>
        <v>300</v>
      </c>
      <c r="E8" s="36"/>
      <c r="F8" s="50">
        <v>1</v>
      </c>
      <c r="G8" s="76">
        <f t="shared" ref="G8:G32" si="0">C8-5</f>
        <v>395</v>
      </c>
      <c r="H8" s="50">
        <f t="shared" ref="H8:H32" si="1">F8*4</f>
        <v>4</v>
      </c>
      <c r="I8" s="77">
        <f t="shared" ref="I8:I32" si="2">D8-30</f>
        <v>270</v>
      </c>
      <c r="J8" s="50">
        <f t="shared" ref="J8:J32" si="3">F8*4</f>
        <v>4</v>
      </c>
      <c r="K8" s="78">
        <f t="shared" ref="K8:K32" si="4">C8+60</f>
        <v>460</v>
      </c>
      <c r="L8" s="50">
        <v>2</v>
      </c>
      <c r="M8" s="78">
        <f t="shared" ref="M8:M32" si="5">D8</f>
        <v>300</v>
      </c>
      <c r="N8" s="50">
        <v>2</v>
      </c>
      <c r="O8" s="79"/>
    </row>
    <row r="9" spans="1:15">
      <c r="A9" s="75" t="str">
        <f>'1. 소켓인수검사'!A10</f>
        <v>02</v>
      </c>
      <c r="B9" s="80" t="s">
        <v>43</v>
      </c>
      <c r="C9" s="50">
        <f>'1. 소켓인수검사'!C10</f>
        <v>400</v>
      </c>
      <c r="D9" s="50">
        <f>'1. 소켓인수검사'!D10</f>
        <v>350</v>
      </c>
      <c r="E9" s="36"/>
      <c r="F9" s="50">
        <v>1</v>
      </c>
      <c r="G9" s="76">
        <f t="shared" si="0"/>
        <v>395</v>
      </c>
      <c r="H9" s="50">
        <f t="shared" si="1"/>
        <v>4</v>
      </c>
      <c r="I9" s="77">
        <f t="shared" si="2"/>
        <v>320</v>
      </c>
      <c r="J9" s="50">
        <f t="shared" si="3"/>
        <v>4</v>
      </c>
      <c r="K9" s="78">
        <f t="shared" si="4"/>
        <v>460</v>
      </c>
      <c r="L9" s="50">
        <v>2</v>
      </c>
      <c r="M9" s="78">
        <f t="shared" si="5"/>
        <v>350</v>
      </c>
      <c r="N9" s="50">
        <v>2</v>
      </c>
      <c r="O9" s="79"/>
    </row>
    <row r="10" spans="1:15">
      <c r="A10" s="75" t="str">
        <f>'1. 소켓인수검사'!A11</f>
        <v>03</v>
      </c>
      <c r="B10" s="80" t="s">
        <v>43</v>
      </c>
      <c r="C10" s="50">
        <f>'1. 소켓인수검사'!C11</f>
        <v>450</v>
      </c>
      <c r="D10" s="50">
        <f>'1. 소켓인수검사'!D11</f>
        <v>400</v>
      </c>
      <c r="E10" s="36"/>
      <c r="F10" s="50">
        <v>1</v>
      </c>
      <c r="G10" s="76">
        <f t="shared" si="0"/>
        <v>445</v>
      </c>
      <c r="H10" s="50">
        <f t="shared" si="1"/>
        <v>4</v>
      </c>
      <c r="I10" s="77">
        <f t="shared" si="2"/>
        <v>370</v>
      </c>
      <c r="J10" s="50">
        <f t="shared" si="3"/>
        <v>4</v>
      </c>
      <c r="K10" s="78">
        <f t="shared" si="4"/>
        <v>510</v>
      </c>
      <c r="L10" s="50">
        <v>2</v>
      </c>
      <c r="M10" s="78">
        <f t="shared" si="5"/>
        <v>400</v>
      </c>
      <c r="N10" s="50">
        <v>2</v>
      </c>
      <c r="O10" s="79"/>
    </row>
    <row r="11" spans="1:15">
      <c r="A11" s="75" t="str">
        <f>'1. 소켓인수검사'!A12</f>
        <v>04</v>
      </c>
      <c r="B11" s="80" t="s">
        <v>43</v>
      </c>
      <c r="C11" s="50">
        <f>'1. 소켓인수검사'!C12</f>
        <v>450</v>
      </c>
      <c r="D11" s="50">
        <f>'1. 소켓인수검사'!D12</f>
        <v>500</v>
      </c>
      <c r="E11" s="36"/>
      <c r="F11" s="50">
        <v>1</v>
      </c>
      <c r="G11" s="76">
        <f t="shared" si="0"/>
        <v>445</v>
      </c>
      <c r="H11" s="50">
        <f t="shared" si="1"/>
        <v>4</v>
      </c>
      <c r="I11" s="77">
        <f t="shared" si="2"/>
        <v>470</v>
      </c>
      <c r="J11" s="50">
        <f t="shared" si="3"/>
        <v>4</v>
      </c>
      <c r="K11" s="78">
        <f t="shared" si="4"/>
        <v>510</v>
      </c>
      <c r="L11" s="50">
        <v>2</v>
      </c>
      <c r="M11" s="78">
        <f t="shared" si="5"/>
        <v>500</v>
      </c>
      <c r="N11" s="50">
        <v>2</v>
      </c>
      <c r="O11" s="79"/>
    </row>
    <row r="12" spans="1:15">
      <c r="A12" s="75" t="str">
        <f>'1. 소켓인수검사'!A13</f>
        <v>05</v>
      </c>
      <c r="B12" s="80" t="s">
        <v>43</v>
      </c>
      <c r="C12" s="50">
        <f>'1. 소켓인수검사'!C13</f>
        <v>500</v>
      </c>
      <c r="D12" s="50">
        <f>'1. 소켓인수검사'!D13</f>
        <v>300</v>
      </c>
      <c r="E12" s="36"/>
      <c r="F12" s="50">
        <v>1</v>
      </c>
      <c r="G12" s="76">
        <f t="shared" si="0"/>
        <v>495</v>
      </c>
      <c r="H12" s="50">
        <f t="shared" si="1"/>
        <v>4</v>
      </c>
      <c r="I12" s="77">
        <f t="shared" si="2"/>
        <v>270</v>
      </c>
      <c r="J12" s="50">
        <f t="shared" si="3"/>
        <v>4</v>
      </c>
      <c r="K12" s="78">
        <f t="shared" si="4"/>
        <v>560</v>
      </c>
      <c r="L12" s="50">
        <v>2</v>
      </c>
      <c r="M12" s="78">
        <f t="shared" si="5"/>
        <v>300</v>
      </c>
      <c r="N12" s="50">
        <v>2</v>
      </c>
      <c r="O12" s="79"/>
    </row>
    <row r="13" spans="1:15">
      <c r="A13" s="75" t="str">
        <f>'1. 소켓인수검사'!A14</f>
        <v>06</v>
      </c>
      <c r="B13" s="80" t="s">
        <v>43</v>
      </c>
      <c r="C13" s="50">
        <f>'1. 소켓인수검사'!C14</f>
        <v>500</v>
      </c>
      <c r="D13" s="50">
        <f>'1. 소켓인수검사'!D14</f>
        <v>300</v>
      </c>
      <c r="E13" s="36"/>
      <c r="F13" s="50">
        <v>1</v>
      </c>
      <c r="G13" s="76">
        <f t="shared" si="0"/>
        <v>495</v>
      </c>
      <c r="H13" s="50">
        <f t="shared" si="1"/>
        <v>4</v>
      </c>
      <c r="I13" s="77">
        <f t="shared" si="2"/>
        <v>270</v>
      </c>
      <c r="J13" s="50">
        <f t="shared" si="3"/>
        <v>4</v>
      </c>
      <c r="K13" s="78">
        <f t="shared" si="4"/>
        <v>560</v>
      </c>
      <c r="L13" s="50">
        <v>2</v>
      </c>
      <c r="M13" s="78">
        <f t="shared" si="5"/>
        <v>300</v>
      </c>
      <c r="N13" s="50">
        <v>2</v>
      </c>
      <c r="O13" s="79"/>
    </row>
    <row r="14" spans="1:15">
      <c r="A14" s="75" t="str">
        <f>'1. 소켓인수검사'!A15</f>
        <v>07</v>
      </c>
      <c r="B14" s="80" t="s">
        <v>43</v>
      </c>
      <c r="C14" s="50">
        <f>'1. 소켓인수검사'!C15</f>
        <v>500</v>
      </c>
      <c r="D14" s="50">
        <f>'1. 소켓인수검사'!D15</f>
        <v>300</v>
      </c>
      <c r="E14" s="36"/>
      <c r="F14" s="50">
        <v>1</v>
      </c>
      <c r="G14" s="76">
        <f t="shared" si="0"/>
        <v>495</v>
      </c>
      <c r="H14" s="50">
        <f t="shared" si="1"/>
        <v>4</v>
      </c>
      <c r="I14" s="77">
        <f t="shared" si="2"/>
        <v>270</v>
      </c>
      <c r="J14" s="50">
        <f t="shared" si="3"/>
        <v>4</v>
      </c>
      <c r="K14" s="78">
        <f t="shared" si="4"/>
        <v>560</v>
      </c>
      <c r="L14" s="50">
        <v>2</v>
      </c>
      <c r="M14" s="78">
        <f t="shared" si="5"/>
        <v>300</v>
      </c>
      <c r="N14" s="50">
        <v>2</v>
      </c>
      <c r="O14" s="79"/>
    </row>
    <row r="15" spans="1:15">
      <c r="A15" s="75" t="str">
        <f>'1. 소켓인수검사'!A16</f>
        <v>08</v>
      </c>
      <c r="B15" s="80" t="s">
        <v>43</v>
      </c>
      <c r="C15" s="50">
        <f>'1. 소켓인수검사'!C16</f>
        <v>500</v>
      </c>
      <c r="D15" s="50">
        <f>'1. 소켓인수검사'!D16</f>
        <v>300</v>
      </c>
      <c r="E15" s="36"/>
      <c r="F15" s="50">
        <v>1</v>
      </c>
      <c r="G15" s="76">
        <f t="shared" si="0"/>
        <v>495</v>
      </c>
      <c r="H15" s="50">
        <f t="shared" si="1"/>
        <v>4</v>
      </c>
      <c r="I15" s="77">
        <f t="shared" si="2"/>
        <v>270</v>
      </c>
      <c r="J15" s="50">
        <f t="shared" si="3"/>
        <v>4</v>
      </c>
      <c r="K15" s="78">
        <f t="shared" si="4"/>
        <v>560</v>
      </c>
      <c r="L15" s="50">
        <v>2</v>
      </c>
      <c r="M15" s="78">
        <f t="shared" si="5"/>
        <v>300</v>
      </c>
      <c r="N15" s="50">
        <v>2</v>
      </c>
      <c r="O15" s="79"/>
    </row>
    <row r="16" spans="1:15">
      <c r="A16" s="75" t="str">
        <f>'1. 소켓인수검사'!A17</f>
        <v>09</v>
      </c>
      <c r="B16" s="80" t="s">
        <v>43</v>
      </c>
      <c r="C16" s="50">
        <f>'1. 소켓인수검사'!C17</f>
        <v>500</v>
      </c>
      <c r="D16" s="50">
        <f>'1. 소켓인수검사'!D17</f>
        <v>300</v>
      </c>
      <c r="E16" s="36"/>
      <c r="F16" s="50">
        <v>1</v>
      </c>
      <c r="G16" s="76">
        <f t="shared" si="0"/>
        <v>495</v>
      </c>
      <c r="H16" s="50">
        <f t="shared" si="1"/>
        <v>4</v>
      </c>
      <c r="I16" s="77">
        <f t="shared" si="2"/>
        <v>270</v>
      </c>
      <c r="J16" s="50">
        <f t="shared" si="3"/>
        <v>4</v>
      </c>
      <c r="K16" s="78">
        <f t="shared" si="4"/>
        <v>560</v>
      </c>
      <c r="L16" s="50">
        <v>2</v>
      </c>
      <c r="M16" s="78">
        <f t="shared" si="5"/>
        <v>300</v>
      </c>
      <c r="N16" s="50">
        <v>2</v>
      </c>
      <c r="O16" s="79"/>
    </row>
    <row r="17" spans="1:15">
      <c r="A17" s="75" t="str">
        <f>'1. 소켓인수검사'!A18</f>
        <v>10</v>
      </c>
      <c r="B17" s="80" t="s">
        <v>43</v>
      </c>
      <c r="C17" s="50">
        <f>'1. 소켓인수검사'!C18</f>
        <v>500</v>
      </c>
      <c r="D17" s="50">
        <f>'1. 소켓인수검사'!D18</f>
        <v>500</v>
      </c>
      <c r="E17" s="36"/>
      <c r="F17" s="50">
        <v>1</v>
      </c>
      <c r="G17" s="76">
        <f t="shared" si="0"/>
        <v>495</v>
      </c>
      <c r="H17" s="50">
        <f t="shared" si="1"/>
        <v>4</v>
      </c>
      <c r="I17" s="77">
        <f t="shared" si="2"/>
        <v>470</v>
      </c>
      <c r="J17" s="50">
        <f t="shared" si="3"/>
        <v>4</v>
      </c>
      <c r="K17" s="78">
        <f t="shared" si="4"/>
        <v>560</v>
      </c>
      <c r="L17" s="50">
        <v>2</v>
      </c>
      <c r="M17" s="78">
        <f t="shared" si="5"/>
        <v>500</v>
      </c>
      <c r="N17" s="50">
        <v>2</v>
      </c>
      <c r="O17" s="79"/>
    </row>
    <row r="18" spans="1:15">
      <c r="A18" s="75" t="str">
        <f>'1. 소켓인수검사'!A19</f>
        <v>11</v>
      </c>
      <c r="B18" s="80" t="s">
        <v>43</v>
      </c>
      <c r="C18" s="50">
        <f>'1. 소켓인수검사'!C19</f>
        <v>550</v>
      </c>
      <c r="D18" s="50">
        <f>'1. 소켓인수검사'!D19</f>
        <v>500</v>
      </c>
      <c r="E18" s="36"/>
      <c r="F18" s="50">
        <v>1</v>
      </c>
      <c r="G18" s="76">
        <f t="shared" si="0"/>
        <v>545</v>
      </c>
      <c r="H18" s="50">
        <f t="shared" si="1"/>
        <v>4</v>
      </c>
      <c r="I18" s="77">
        <f t="shared" si="2"/>
        <v>470</v>
      </c>
      <c r="J18" s="50">
        <f t="shared" si="3"/>
        <v>4</v>
      </c>
      <c r="K18" s="78">
        <f t="shared" si="4"/>
        <v>610</v>
      </c>
      <c r="L18" s="50">
        <v>2</v>
      </c>
      <c r="M18" s="78">
        <f t="shared" si="5"/>
        <v>500</v>
      </c>
      <c r="N18" s="50">
        <v>2</v>
      </c>
      <c r="O18" s="79"/>
    </row>
    <row r="19" spans="1:15">
      <c r="A19" s="75" t="str">
        <f>'1. 소켓인수검사'!A20</f>
        <v>12</v>
      </c>
      <c r="B19" s="80" t="s">
        <v>43</v>
      </c>
      <c r="C19" s="50">
        <f>'1. 소켓인수검사'!C20</f>
        <v>600</v>
      </c>
      <c r="D19" s="50">
        <f>'1. 소켓인수검사'!D20</f>
        <v>250</v>
      </c>
      <c r="E19" s="36"/>
      <c r="F19" s="50">
        <v>1</v>
      </c>
      <c r="G19" s="76">
        <f t="shared" si="0"/>
        <v>595</v>
      </c>
      <c r="H19" s="50">
        <f t="shared" si="1"/>
        <v>4</v>
      </c>
      <c r="I19" s="77">
        <f t="shared" si="2"/>
        <v>220</v>
      </c>
      <c r="J19" s="50">
        <f t="shared" si="3"/>
        <v>4</v>
      </c>
      <c r="K19" s="78">
        <f t="shared" si="4"/>
        <v>660</v>
      </c>
      <c r="L19" s="50">
        <v>2</v>
      </c>
      <c r="M19" s="78">
        <f t="shared" si="5"/>
        <v>250</v>
      </c>
      <c r="N19" s="50">
        <v>2</v>
      </c>
      <c r="O19" s="79"/>
    </row>
    <row r="20" spans="1:15">
      <c r="A20" s="75" t="str">
        <f>'1. 소켓인수검사'!A21</f>
        <v>13</v>
      </c>
      <c r="B20" s="80" t="s">
        <v>43</v>
      </c>
      <c r="C20" s="50">
        <f>'1. 소켓인수검사'!C21</f>
        <v>600</v>
      </c>
      <c r="D20" s="50">
        <f>'1. 소켓인수검사'!D21</f>
        <v>300</v>
      </c>
      <c r="E20" s="36"/>
      <c r="F20" s="50">
        <v>1</v>
      </c>
      <c r="G20" s="76">
        <f t="shared" si="0"/>
        <v>595</v>
      </c>
      <c r="H20" s="50">
        <f t="shared" si="1"/>
        <v>4</v>
      </c>
      <c r="I20" s="77">
        <f t="shared" si="2"/>
        <v>270</v>
      </c>
      <c r="J20" s="50">
        <f t="shared" si="3"/>
        <v>4</v>
      </c>
      <c r="K20" s="78">
        <f t="shared" si="4"/>
        <v>660</v>
      </c>
      <c r="L20" s="50">
        <v>2</v>
      </c>
      <c r="M20" s="78">
        <f t="shared" si="5"/>
        <v>300</v>
      </c>
      <c r="N20" s="50">
        <v>2</v>
      </c>
      <c r="O20" s="79"/>
    </row>
    <row r="21" spans="1:15">
      <c r="A21" s="75" t="str">
        <f>'1. 소켓인수검사'!A22</f>
        <v>14</v>
      </c>
      <c r="B21" s="80" t="s">
        <v>43</v>
      </c>
      <c r="C21" s="50">
        <f>'1. 소켓인수검사'!C22</f>
        <v>600</v>
      </c>
      <c r="D21" s="50">
        <f>'1. 소켓인수검사'!D22</f>
        <v>300</v>
      </c>
      <c r="E21" s="36"/>
      <c r="F21" s="50">
        <v>1</v>
      </c>
      <c r="G21" s="76">
        <f t="shared" si="0"/>
        <v>595</v>
      </c>
      <c r="H21" s="50">
        <f t="shared" si="1"/>
        <v>4</v>
      </c>
      <c r="I21" s="77">
        <f t="shared" si="2"/>
        <v>270</v>
      </c>
      <c r="J21" s="50">
        <f t="shared" si="3"/>
        <v>4</v>
      </c>
      <c r="K21" s="78">
        <f t="shared" si="4"/>
        <v>660</v>
      </c>
      <c r="L21" s="50">
        <v>2</v>
      </c>
      <c r="M21" s="78">
        <f t="shared" si="5"/>
        <v>300</v>
      </c>
      <c r="N21" s="50">
        <v>2</v>
      </c>
      <c r="O21" s="79"/>
    </row>
    <row r="22" spans="1:15">
      <c r="A22" s="75" t="str">
        <f>'1. 소켓인수검사'!A23</f>
        <v>15</v>
      </c>
      <c r="B22" s="80" t="s">
        <v>43</v>
      </c>
      <c r="C22" s="50">
        <f>'1. 소켓인수검사'!C23</f>
        <v>600</v>
      </c>
      <c r="D22" s="50">
        <f>'1. 소켓인수검사'!D23</f>
        <v>300</v>
      </c>
      <c r="E22" s="36"/>
      <c r="F22" s="50">
        <v>1</v>
      </c>
      <c r="G22" s="76">
        <f t="shared" si="0"/>
        <v>595</v>
      </c>
      <c r="H22" s="50">
        <f t="shared" si="1"/>
        <v>4</v>
      </c>
      <c r="I22" s="77">
        <f t="shared" si="2"/>
        <v>270</v>
      </c>
      <c r="J22" s="50">
        <f t="shared" si="3"/>
        <v>4</v>
      </c>
      <c r="K22" s="78">
        <f t="shared" si="4"/>
        <v>660</v>
      </c>
      <c r="L22" s="50">
        <v>2</v>
      </c>
      <c r="M22" s="78">
        <f t="shared" si="5"/>
        <v>300</v>
      </c>
      <c r="N22" s="50">
        <v>2</v>
      </c>
      <c r="O22" s="79"/>
    </row>
    <row r="23" spans="1:15">
      <c r="A23" s="75" t="str">
        <f>'1. 소켓인수검사'!A24</f>
        <v>16</v>
      </c>
      <c r="B23" s="80" t="s">
        <v>43</v>
      </c>
      <c r="C23" s="50">
        <f>'1. 소켓인수검사'!C24</f>
        <v>600</v>
      </c>
      <c r="D23" s="50">
        <f>'1. 소켓인수검사'!D24</f>
        <v>300</v>
      </c>
      <c r="E23" s="36"/>
      <c r="F23" s="50">
        <v>1</v>
      </c>
      <c r="G23" s="76">
        <f t="shared" si="0"/>
        <v>595</v>
      </c>
      <c r="H23" s="50">
        <f t="shared" si="1"/>
        <v>4</v>
      </c>
      <c r="I23" s="77">
        <f t="shared" si="2"/>
        <v>270</v>
      </c>
      <c r="J23" s="50">
        <f t="shared" si="3"/>
        <v>4</v>
      </c>
      <c r="K23" s="78">
        <f t="shared" si="4"/>
        <v>660</v>
      </c>
      <c r="L23" s="50">
        <v>2</v>
      </c>
      <c r="M23" s="78">
        <f t="shared" si="5"/>
        <v>300</v>
      </c>
      <c r="N23" s="50">
        <v>2</v>
      </c>
      <c r="O23" s="79"/>
    </row>
    <row r="24" spans="1:15">
      <c r="A24" s="75" t="str">
        <f>'1. 소켓인수검사'!A25</f>
        <v>17</v>
      </c>
      <c r="B24" s="80" t="s">
        <v>43</v>
      </c>
      <c r="C24" s="50">
        <f>'1. 소켓인수검사'!C25</f>
        <v>600</v>
      </c>
      <c r="D24" s="50">
        <f>'1. 소켓인수검사'!D25</f>
        <v>300</v>
      </c>
      <c r="E24" s="36"/>
      <c r="F24" s="50">
        <v>1</v>
      </c>
      <c r="G24" s="76">
        <f t="shared" si="0"/>
        <v>595</v>
      </c>
      <c r="H24" s="50">
        <f t="shared" si="1"/>
        <v>4</v>
      </c>
      <c r="I24" s="77">
        <f t="shared" si="2"/>
        <v>270</v>
      </c>
      <c r="J24" s="50">
        <f t="shared" si="3"/>
        <v>4</v>
      </c>
      <c r="K24" s="78">
        <f t="shared" si="4"/>
        <v>660</v>
      </c>
      <c r="L24" s="50">
        <v>2</v>
      </c>
      <c r="M24" s="78">
        <f t="shared" si="5"/>
        <v>300</v>
      </c>
      <c r="N24" s="50">
        <v>2</v>
      </c>
      <c r="O24" s="79"/>
    </row>
    <row r="25" spans="1:15">
      <c r="A25" s="75" t="str">
        <f>'1. 소켓인수검사'!A26</f>
        <v>18</v>
      </c>
      <c r="B25" s="80" t="s">
        <v>43</v>
      </c>
      <c r="C25" s="50">
        <f>'1. 소켓인수검사'!C26</f>
        <v>600</v>
      </c>
      <c r="D25" s="50">
        <f>'1. 소켓인수검사'!D26</f>
        <v>300</v>
      </c>
      <c r="E25" s="36"/>
      <c r="F25" s="50">
        <v>1</v>
      </c>
      <c r="G25" s="76">
        <f t="shared" si="0"/>
        <v>595</v>
      </c>
      <c r="H25" s="50">
        <f t="shared" si="1"/>
        <v>4</v>
      </c>
      <c r="I25" s="77">
        <f t="shared" si="2"/>
        <v>270</v>
      </c>
      <c r="J25" s="50">
        <f t="shared" si="3"/>
        <v>4</v>
      </c>
      <c r="K25" s="78">
        <f t="shared" si="4"/>
        <v>660</v>
      </c>
      <c r="L25" s="50">
        <v>2</v>
      </c>
      <c r="M25" s="78">
        <f t="shared" si="5"/>
        <v>300</v>
      </c>
      <c r="N25" s="50">
        <v>2</v>
      </c>
      <c r="O25" s="79"/>
    </row>
    <row r="26" spans="1:15">
      <c r="A26" s="75" t="str">
        <f>'1. 소켓인수검사'!A27</f>
        <v>19</v>
      </c>
      <c r="B26" s="80" t="s">
        <v>43</v>
      </c>
      <c r="C26" s="50">
        <f>'1. 소켓인수검사'!C27</f>
        <v>600</v>
      </c>
      <c r="D26" s="50">
        <f>'1. 소켓인수검사'!D27</f>
        <v>400</v>
      </c>
      <c r="E26" s="36"/>
      <c r="F26" s="50">
        <v>1</v>
      </c>
      <c r="G26" s="76">
        <f t="shared" si="0"/>
        <v>595</v>
      </c>
      <c r="H26" s="50">
        <f t="shared" si="1"/>
        <v>4</v>
      </c>
      <c r="I26" s="77">
        <f t="shared" si="2"/>
        <v>370</v>
      </c>
      <c r="J26" s="50">
        <f t="shared" si="3"/>
        <v>4</v>
      </c>
      <c r="K26" s="78">
        <f t="shared" si="4"/>
        <v>660</v>
      </c>
      <c r="L26" s="50">
        <v>2</v>
      </c>
      <c r="M26" s="78">
        <f t="shared" si="5"/>
        <v>400</v>
      </c>
      <c r="N26" s="50">
        <v>2</v>
      </c>
      <c r="O26" s="79"/>
    </row>
    <row r="27" spans="1:15">
      <c r="A27" s="75" t="str">
        <f>'1. 소켓인수검사'!A28</f>
        <v>20</v>
      </c>
      <c r="B27" s="80" t="s">
        <v>43</v>
      </c>
      <c r="C27" s="50">
        <f>'1. 소켓인수검사'!C28</f>
        <v>650</v>
      </c>
      <c r="D27" s="50">
        <f>'1. 소켓인수검사'!D28</f>
        <v>250</v>
      </c>
      <c r="E27" s="36"/>
      <c r="F27" s="50">
        <v>1</v>
      </c>
      <c r="G27" s="76">
        <f t="shared" si="0"/>
        <v>645</v>
      </c>
      <c r="H27" s="50">
        <f t="shared" si="1"/>
        <v>4</v>
      </c>
      <c r="I27" s="77">
        <f t="shared" si="2"/>
        <v>220</v>
      </c>
      <c r="J27" s="50">
        <f t="shared" si="3"/>
        <v>4</v>
      </c>
      <c r="K27" s="78">
        <f t="shared" si="4"/>
        <v>710</v>
      </c>
      <c r="L27" s="50">
        <v>2</v>
      </c>
      <c r="M27" s="78">
        <f t="shared" si="5"/>
        <v>250</v>
      </c>
      <c r="N27" s="50">
        <v>2</v>
      </c>
      <c r="O27" s="79"/>
    </row>
    <row r="28" spans="1:15">
      <c r="A28" s="75" t="str">
        <f>'1. 소켓인수검사'!A29</f>
        <v>21</v>
      </c>
      <c r="B28" s="80" t="s">
        <v>43</v>
      </c>
      <c r="C28" s="50">
        <f>'1. 소켓인수검사'!C29</f>
        <v>750</v>
      </c>
      <c r="D28" s="50">
        <f>'1. 소켓인수검사'!D29</f>
        <v>400</v>
      </c>
      <c r="E28" s="36"/>
      <c r="F28" s="50">
        <v>1</v>
      </c>
      <c r="G28" s="76">
        <f t="shared" si="0"/>
        <v>745</v>
      </c>
      <c r="H28" s="50">
        <f t="shared" si="1"/>
        <v>4</v>
      </c>
      <c r="I28" s="77">
        <f t="shared" si="2"/>
        <v>370</v>
      </c>
      <c r="J28" s="50">
        <f t="shared" si="3"/>
        <v>4</v>
      </c>
      <c r="K28" s="78">
        <f t="shared" si="4"/>
        <v>810</v>
      </c>
      <c r="L28" s="50">
        <v>2</v>
      </c>
      <c r="M28" s="78">
        <f t="shared" si="5"/>
        <v>400</v>
      </c>
      <c r="N28" s="50">
        <v>2</v>
      </c>
      <c r="O28" s="79"/>
    </row>
    <row r="29" spans="1:15">
      <c r="A29" s="75" t="str">
        <f>'1. 소켓인수검사'!A30</f>
        <v>22</v>
      </c>
      <c r="B29" s="80" t="s">
        <v>43</v>
      </c>
      <c r="C29" s="50">
        <f>'1. 소켓인수검사'!C30</f>
        <v>750</v>
      </c>
      <c r="D29" s="50">
        <f>'1. 소켓인수검사'!D30</f>
        <v>400</v>
      </c>
      <c r="E29" s="36"/>
      <c r="F29" s="50">
        <v>1</v>
      </c>
      <c r="G29" s="76">
        <f t="shared" si="0"/>
        <v>745</v>
      </c>
      <c r="H29" s="50">
        <f t="shared" si="1"/>
        <v>4</v>
      </c>
      <c r="I29" s="77">
        <f t="shared" si="2"/>
        <v>370</v>
      </c>
      <c r="J29" s="50">
        <f t="shared" si="3"/>
        <v>4</v>
      </c>
      <c r="K29" s="78">
        <f t="shared" si="4"/>
        <v>810</v>
      </c>
      <c r="L29" s="50">
        <v>2</v>
      </c>
      <c r="M29" s="78">
        <f t="shared" si="5"/>
        <v>400</v>
      </c>
      <c r="N29" s="50">
        <v>2</v>
      </c>
      <c r="O29" s="79"/>
    </row>
    <row r="30" spans="1:15">
      <c r="A30" s="75" t="str">
        <f>'1. 소켓인수검사'!A31</f>
        <v>23</v>
      </c>
      <c r="B30" s="80" t="s">
        <v>43</v>
      </c>
      <c r="C30" s="50">
        <f>'1. 소켓인수검사'!C31</f>
        <v>750</v>
      </c>
      <c r="D30" s="50">
        <f>'1. 소켓인수검사'!D31</f>
        <v>400</v>
      </c>
      <c r="E30" s="36"/>
      <c r="F30" s="50">
        <v>1</v>
      </c>
      <c r="G30" s="76">
        <f t="shared" si="0"/>
        <v>745</v>
      </c>
      <c r="H30" s="50">
        <f t="shared" si="1"/>
        <v>4</v>
      </c>
      <c r="I30" s="77">
        <f t="shared" si="2"/>
        <v>370</v>
      </c>
      <c r="J30" s="50">
        <f t="shared" si="3"/>
        <v>4</v>
      </c>
      <c r="K30" s="78">
        <f t="shared" si="4"/>
        <v>810</v>
      </c>
      <c r="L30" s="50">
        <v>2</v>
      </c>
      <c r="M30" s="78">
        <f t="shared" si="5"/>
        <v>400</v>
      </c>
      <c r="N30" s="50">
        <v>2</v>
      </c>
      <c r="O30" s="79"/>
    </row>
    <row r="31" spans="1:15">
      <c r="A31" s="75" t="str">
        <f>'1. 소켓인수검사'!A32</f>
        <v>24</v>
      </c>
      <c r="B31" s="80" t="s">
        <v>43</v>
      </c>
      <c r="C31" s="50">
        <f>'1. 소켓인수검사'!C32</f>
        <v>1000</v>
      </c>
      <c r="D31" s="50">
        <f>'1. 소켓인수검사'!D32</f>
        <v>550</v>
      </c>
      <c r="E31" s="36"/>
      <c r="F31" s="50">
        <v>1</v>
      </c>
      <c r="G31" s="76">
        <f t="shared" si="0"/>
        <v>995</v>
      </c>
      <c r="H31" s="50">
        <f t="shared" si="1"/>
        <v>4</v>
      </c>
      <c r="I31" s="77">
        <f t="shared" si="2"/>
        <v>520</v>
      </c>
      <c r="J31" s="50">
        <f t="shared" si="3"/>
        <v>4</v>
      </c>
      <c r="K31" s="78">
        <f t="shared" si="4"/>
        <v>1060</v>
      </c>
      <c r="L31" s="50">
        <v>2</v>
      </c>
      <c r="M31" s="78">
        <f t="shared" si="5"/>
        <v>550</v>
      </c>
      <c r="N31" s="50">
        <v>2</v>
      </c>
      <c r="O31" s="79"/>
    </row>
    <row r="32" spans="1:15">
      <c r="A32" s="75" t="str">
        <f>'1. 소켓인수검사'!A33</f>
        <v>25</v>
      </c>
      <c r="B32" s="80" t="s">
        <v>43</v>
      </c>
      <c r="C32" s="50">
        <f>'1. 소켓인수검사'!C33</f>
        <v>1150</v>
      </c>
      <c r="D32" s="50">
        <f>'1. 소켓인수검사'!D33</f>
        <v>250</v>
      </c>
      <c r="E32" s="36"/>
      <c r="F32" s="50">
        <v>1</v>
      </c>
      <c r="G32" s="76">
        <f t="shared" si="0"/>
        <v>1145</v>
      </c>
      <c r="H32" s="50">
        <f t="shared" si="1"/>
        <v>4</v>
      </c>
      <c r="I32" s="77">
        <f t="shared" si="2"/>
        <v>220</v>
      </c>
      <c r="J32" s="50">
        <f t="shared" si="3"/>
        <v>4</v>
      </c>
      <c r="K32" s="78">
        <f t="shared" si="4"/>
        <v>1210</v>
      </c>
      <c r="L32" s="50">
        <v>2</v>
      </c>
      <c r="M32" s="78">
        <f t="shared" si="5"/>
        <v>250</v>
      </c>
      <c r="N32" s="50">
        <v>2</v>
      </c>
      <c r="O32" s="79"/>
    </row>
    <row r="33" spans="1:15" ht="8.1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</row>
    <row r="34" spans="1:15">
      <c r="A34" s="83" t="s">
        <v>41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</row>
    <row r="35" spans="1:1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</row>
    <row r="36" spans="1:15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</row>
  </sheetData>
  <mergeCells count="21">
    <mergeCell ref="A33:O33"/>
    <mergeCell ref="A34:C36"/>
    <mergeCell ref="D34:O36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35"/>
  <sheetViews>
    <sheetView zoomScaleNormal="100" zoomScaleSheetLayoutView="100" workbookViewId="0">
      <selection activeCell="O30" sqref="O30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83"/>
      <c r="B1" s="83"/>
      <c r="C1" s="83"/>
      <c r="D1" s="83"/>
      <c r="E1" s="83" t="s">
        <v>90</v>
      </c>
      <c r="F1" s="154"/>
      <c r="G1" s="94" t="str">
        <f>'1. 소켓인수검사'!R2</f>
        <v>26.07.10 하나로엔지니어링_엠이씨이엔지_디엘이엔씨_화성동탄C-14BL 공공주택</v>
      </c>
      <c r="H1" s="94"/>
      <c r="I1" s="94"/>
      <c r="J1" s="94"/>
      <c r="K1" s="95"/>
    </row>
    <row r="2" spans="1:11" ht="16.5" customHeight="1">
      <c r="A2" s="83"/>
      <c r="B2" s="83"/>
      <c r="C2" s="83"/>
      <c r="D2" s="83"/>
      <c r="E2" s="155"/>
      <c r="F2" s="156"/>
      <c r="G2" s="96"/>
      <c r="H2" s="96"/>
      <c r="I2" s="96"/>
      <c r="J2" s="96"/>
      <c r="K2" s="97"/>
    </row>
    <row r="3" spans="1:11" ht="16.5" customHeight="1">
      <c r="A3" s="83"/>
      <c r="B3" s="83"/>
      <c r="C3" s="83"/>
      <c r="D3" s="83"/>
      <c r="E3" s="157"/>
      <c r="F3" s="158"/>
      <c r="G3" s="98"/>
      <c r="H3" s="98"/>
      <c r="I3" s="98"/>
      <c r="J3" s="98"/>
      <c r="K3" s="99"/>
    </row>
    <row r="4" spans="1:11" ht="8.1" customHeigh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</row>
    <row r="5" spans="1:11" ht="26.45" customHeight="1">
      <c r="A5" s="159" t="s">
        <v>50</v>
      </c>
      <c r="B5" s="160" t="s">
        <v>60</v>
      </c>
      <c r="C5" s="151" t="s">
        <v>4</v>
      </c>
      <c r="D5" s="151"/>
      <c r="E5" s="151" t="s">
        <v>21</v>
      </c>
      <c r="F5" s="163" t="s">
        <v>48</v>
      </c>
      <c r="G5" s="152" t="s">
        <v>31</v>
      </c>
      <c r="H5" s="153"/>
      <c r="I5" s="153"/>
      <c r="J5" s="153"/>
      <c r="K5" s="163" t="s">
        <v>2</v>
      </c>
    </row>
    <row r="6" spans="1:11" ht="16.5" customHeight="1">
      <c r="A6" s="159"/>
      <c r="B6" s="161"/>
      <c r="C6" s="151" t="s">
        <v>57</v>
      </c>
      <c r="D6" s="151" t="s">
        <v>55</v>
      </c>
      <c r="E6" s="151"/>
      <c r="F6" s="164"/>
      <c r="G6" s="151" t="s">
        <v>59</v>
      </c>
      <c r="H6" s="151"/>
      <c r="I6" s="152" t="s">
        <v>56</v>
      </c>
      <c r="J6" s="153"/>
      <c r="K6" s="164"/>
    </row>
    <row r="7" spans="1:11">
      <c r="A7" s="159"/>
      <c r="B7" s="162"/>
      <c r="C7" s="151"/>
      <c r="D7" s="151"/>
      <c r="E7" s="151"/>
      <c r="F7" s="165"/>
      <c r="G7" s="15" t="s">
        <v>4</v>
      </c>
      <c r="H7" s="15" t="s">
        <v>48</v>
      </c>
      <c r="I7" s="15" t="s">
        <v>4</v>
      </c>
      <c r="J7" s="16" t="s">
        <v>48</v>
      </c>
      <c r="K7" s="165"/>
    </row>
    <row r="8" spans="1:11">
      <c r="A8" s="66" t="str">
        <f>'1. 소켓인수검사'!A9</f>
        <v>01</v>
      </c>
      <c r="B8" s="49" t="s">
        <v>43</v>
      </c>
      <c r="C8" s="35">
        <f>'1. 소켓인수검사'!C9</f>
        <v>400</v>
      </c>
      <c r="D8" s="35">
        <f>'1. 소켓인수검사'!D9</f>
        <v>300</v>
      </c>
      <c r="E8" s="36"/>
      <c r="F8" s="35">
        <v>1</v>
      </c>
      <c r="G8" s="48">
        <f t="shared" ref="G8:G32" si="0">C8+60</f>
        <v>460</v>
      </c>
      <c r="H8" s="35">
        <v>2</v>
      </c>
      <c r="I8" s="48">
        <f t="shared" ref="I8:I32" si="1">D8</f>
        <v>300</v>
      </c>
      <c r="J8" s="35">
        <v>2</v>
      </c>
      <c r="K8" s="47"/>
    </row>
    <row r="9" spans="1:11">
      <c r="A9" s="66" t="str">
        <f>'1. 소켓인수검사'!A10</f>
        <v>02</v>
      </c>
      <c r="B9" s="49" t="s">
        <v>43</v>
      </c>
      <c r="C9" s="35">
        <f>'1. 소켓인수검사'!C10</f>
        <v>400</v>
      </c>
      <c r="D9" s="35">
        <f>'1. 소켓인수검사'!D10</f>
        <v>350</v>
      </c>
      <c r="E9" s="36"/>
      <c r="F9" s="35">
        <v>1</v>
      </c>
      <c r="G9" s="48">
        <f t="shared" si="0"/>
        <v>460</v>
      </c>
      <c r="H9" s="35">
        <v>2</v>
      </c>
      <c r="I9" s="48">
        <f t="shared" si="1"/>
        <v>350</v>
      </c>
      <c r="J9" s="35">
        <v>2</v>
      </c>
      <c r="K9" s="47"/>
    </row>
    <row r="10" spans="1:11">
      <c r="A10" s="66" t="str">
        <f>'1. 소켓인수검사'!A11</f>
        <v>03</v>
      </c>
      <c r="B10" s="49" t="s">
        <v>43</v>
      </c>
      <c r="C10" s="35">
        <f>'1. 소켓인수검사'!C11</f>
        <v>450</v>
      </c>
      <c r="D10" s="35">
        <f>'1. 소켓인수검사'!D11</f>
        <v>400</v>
      </c>
      <c r="E10" s="36"/>
      <c r="F10" s="35">
        <v>1</v>
      </c>
      <c r="G10" s="48">
        <f t="shared" si="0"/>
        <v>510</v>
      </c>
      <c r="H10" s="35">
        <v>2</v>
      </c>
      <c r="I10" s="48">
        <f t="shared" si="1"/>
        <v>400</v>
      </c>
      <c r="J10" s="35">
        <v>2</v>
      </c>
      <c r="K10" s="47"/>
    </row>
    <row r="11" spans="1:11">
      <c r="A11" s="66" t="str">
        <f>'1. 소켓인수검사'!A12</f>
        <v>04</v>
      </c>
      <c r="B11" s="49" t="s">
        <v>43</v>
      </c>
      <c r="C11" s="35">
        <f>'1. 소켓인수검사'!C12</f>
        <v>450</v>
      </c>
      <c r="D11" s="35">
        <f>'1. 소켓인수검사'!D12</f>
        <v>500</v>
      </c>
      <c r="E11" s="36"/>
      <c r="F11" s="35">
        <v>1</v>
      </c>
      <c r="G11" s="48">
        <f t="shared" si="0"/>
        <v>510</v>
      </c>
      <c r="H11" s="35">
        <v>2</v>
      </c>
      <c r="I11" s="48">
        <f t="shared" si="1"/>
        <v>500</v>
      </c>
      <c r="J11" s="35">
        <v>2</v>
      </c>
      <c r="K11" s="47"/>
    </row>
    <row r="12" spans="1:11">
      <c r="A12" s="66" t="str">
        <f>'1. 소켓인수검사'!A13</f>
        <v>05</v>
      </c>
      <c r="B12" s="49" t="s">
        <v>43</v>
      </c>
      <c r="C12" s="35">
        <f>'1. 소켓인수검사'!C13</f>
        <v>500</v>
      </c>
      <c r="D12" s="35">
        <f>'1. 소켓인수검사'!D13</f>
        <v>300</v>
      </c>
      <c r="E12" s="36"/>
      <c r="F12" s="35">
        <v>1</v>
      </c>
      <c r="G12" s="48">
        <f t="shared" si="0"/>
        <v>560</v>
      </c>
      <c r="H12" s="35">
        <v>2</v>
      </c>
      <c r="I12" s="48">
        <f t="shared" si="1"/>
        <v>300</v>
      </c>
      <c r="J12" s="35">
        <v>2</v>
      </c>
      <c r="K12" s="47"/>
    </row>
    <row r="13" spans="1:11">
      <c r="A13" s="66" t="str">
        <f>'1. 소켓인수검사'!A14</f>
        <v>06</v>
      </c>
      <c r="B13" s="49" t="s">
        <v>43</v>
      </c>
      <c r="C13" s="35">
        <f>'1. 소켓인수검사'!C14</f>
        <v>500</v>
      </c>
      <c r="D13" s="35">
        <f>'1. 소켓인수검사'!D14</f>
        <v>300</v>
      </c>
      <c r="E13" s="36"/>
      <c r="F13" s="35">
        <v>1</v>
      </c>
      <c r="G13" s="48">
        <f t="shared" si="0"/>
        <v>560</v>
      </c>
      <c r="H13" s="35">
        <v>2</v>
      </c>
      <c r="I13" s="48">
        <f t="shared" si="1"/>
        <v>300</v>
      </c>
      <c r="J13" s="35">
        <v>2</v>
      </c>
      <c r="K13" s="47"/>
    </row>
    <row r="14" spans="1:11">
      <c r="A14" s="66" t="str">
        <f>'1. 소켓인수검사'!A15</f>
        <v>07</v>
      </c>
      <c r="B14" s="49" t="s">
        <v>43</v>
      </c>
      <c r="C14" s="35">
        <f>'1. 소켓인수검사'!C15</f>
        <v>500</v>
      </c>
      <c r="D14" s="35">
        <f>'1. 소켓인수검사'!D15</f>
        <v>300</v>
      </c>
      <c r="E14" s="36"/>
      <c r="F14" s="35">
        <v>1</v>
      </c>
      <c r="G14" s="48">
        <f t="shared" si="0"/>
        <v>560</v>
      </c>
      <c r="H14" s="35">
        <v>2</v>
      </c>
      <c r="I14" s="48">
        <f t="shared" si="1"/>
        <v>300</v>
      </c>
      <c r="J14" s="35">
        <v>2</v>
      </c>
      <c r="K14" s="47"/>
    </row>
    <row r="15" spans="1:11">
      <c r="A15" s="66" t="str">
        <f>'1. 소켓인수검사'!A16</f>
        <v>08</v>
      </c>
      <c r="B15" s="49" t="s">
        <v>43</v>
      </c>
      <c r="C15" s="35">
        <f>'1. 소켓인수검사'!C16</f>
        <v>500</v>
      </c>
      <c r="D15" s="35">
        <f>'1. 소켓인수검사'!D16</f>
        <v>300</v>
      </c>
      <c r="E15" s="36"/>
      <c r="F15" s="35">
        <v>1</v>
      </c>
      <c r="G15" s="48">
        <f t="shared" si="0"/>
        <v>560</v>
      </c>
      <c r="H15" s="35">
        <v>2</v>
      </c>
      <c r="I15" s="48">
        <f t="shared" si="1"/>
        <v>300</v>
      </c>
      <c r="J15" s="35">
        <v>2</v>
      </c>
      <c r="K15" s="47"/>
    </row>
    <row r="16" spans="1:11">
      <c r="A16" s="66" t="str">
        <f>'1. 소켓인수검사'!A17</f>
        <v>09</v>
      </c>
      <c r="B16" s="49" t="s">
        <v>43</v>
      </c>
      <c r="C16" s="35">
        <f>'1. 소켓인수검사'!C17</f>
        <v>500</v>
      </c>
      <c r="D16" s="35">
        <f>'1. 소켓인수검사'!D17</f>
        <v>300</v>
      </c>
      <c r="E16" s="36"/>
      <c r="F16" s="35">
        <v>1</v>
      </c>
      <c r="G16" s="48">
        <f t="shared" si="0"/>
        <v>560</v>
      </c>
      <c r="H16" s="35">
        <v>2</v>
      </c>
      <c r="I16" s="48">
        <f t="shared" si="1"/>
        <v>300</v>
      </c>
      <c r="J16" s="35">
        <v>2</v>
      </c>
      <c r="K16" s="47"/>
    </row>
    <row r="17" spans="1:11">
      <c r="A17" s="66" t="str">
        <f>'1. 소켓인수검사'!A18</f>
        <v>10</v>
      </c>
      <c r="B17" s="49" t="s">
        <v>43</v>
      </c>
      <c r="C17" s="35">
        <f>'1. 소켓인수검사'!C18</f>
        <v>500</v>
      </c>
      <c r="D17" s="35">
        <f>'1. 소켓인수검사'!D18</f>
        <v>500</v>
      </c>
      <c r="E17" s="36"/>
      <c r="F17" s="35">
        <v>1</v>
      </c>
      <c r="G17" s="48">
        <f t="shared" si="0"/>
        <v>560</v>
      </c>
      <c r="H17" s="35">
        <v>2</v>
      </c>
      <c r="I17" s="48">
        <f t="shared" si="1"/>
        <v>500</v>
      </c>
      <c r="J17" s="35">
        <v>2</v>
      </c>
      <c r="K17" s="47"/>
    </row>
    <row r="18" spans="1:11">
      <c r="A18" s="66" t="str">
        <f>'1. 소켓인수검사'!A19</f>
        <v>11</v>
      </c>
      <c r="B18" s="49" t="s">
        <v>43</v>
      </c>
      <c r="C18" s="35">
        <f>'1. 소켓인수검사'!C19</f>
        <v>550</v>
      </c>
      <c r="D18" s="35">
        <f>'1. 소켓인수검사'!D19</f>
        <v>500</v>
      </c>
      <c r="E18" s="36"/>
      <c r="F18" s="35">
        <v>1</v>
      </c>
      <c r="G18" s="48">
        <f t="shared" si="0"/>
        <v>610</v>
      </c>
      <c r="H18" s="35">
        <v>2</v>
      </c>
      <c r="I18" s="48">
        <f t="shared" si="1"/>
        <v>500</v>
      </c>
      <c r="J18" s="35">
        <v>2</v>
      </c>
      <c r="K18" s="47"/>
    </row>
    <row r="19" spans="1:11">
      <c r="A19" s="66" t="str">
        <f>'1. 소켓인수검사'!A20</f>
        <v>12</v>
      </c>
      <c r="B19" s="49" t="s">
        <v>43</v>
      </c>
      <c r="C19" s="35">
        <f>'1. 소켓인수검사'!C20</f>
        <v>600</v>
      </c>
      <c r="D19" s="35">
        <f>'1. 소켓인수검사'!D20</f>
        <v>250</v>
      </c>
      <c r="E19" s="36"/>
      <c r="F19" s="35">
        <v>1</v>
      </c>
      <c r="G19" s="48">
        <f t="shared" si="0"/>
        <v>660</v>
      </c>
      <c r="H19" s="35">
        <v>2</v>
      </c>
      <c r="I19" s="48">
        <f t="shared" si="1"/>
        <v>250</v>
      </c>
      <c r="J19" s="35">
        <v>2</v>
      </c>
      <c r="K19" s="47"/>
    </row>
    <row r="20" spans="1:11">
      <c r="A20" s="66" t="str">
        <f>'1. 소켓인수검사'!A21</f>
        <v>13</v>
      </c>
      <c r="B20" s="49" t="s">
        <v>43</v>
      </c>
      <c r="C20" s="35">
        <f>'1. 소켓인수검사'!C21</f>
        <v>600</v>
      </c>
      <c r="D20" s="35">
        <f>'1. 소켓인수검사'!D21</f>
        <v>300</v>
      </c>
      <c r="E20" s="36"/>
      <c r="F20" s="35">
        <v>1</v>
      </c>
      <c r="G20" s="48">
        <f t="shared" si="0"/>
        <v>660</v>
      </c>
      <c r="H20" s="35">
        <v>2</v>
      </c>
      <c r="I20" s="48">
        <f t="shared" si="1"/>
        <v>300</v>
      </c>
      <c r="J20" s="35">
        <v>2</v>
      </c>
      <c r="K20" s="47"/>
    </row>
    <row r="21" spans="1:11">
      <c r="A21" s="66" t="str">
        <f>'1. 소켓인수검사'!A22</f>
        <v>14</v>
      </c>
      <c r="B21" s="49" t="s">
        <v>43</v>
      </c>
      <c r="C21" s="35">
        <f>'1. 소켓인수검사'!C22</f>
        <v>600</v>
      </c>
      <c r="D21" s="35">
        <f>'1. 소켓인수검사'!D22</f>
        <v>300</v>
      </c>
      <c r="E21" s="36"/>
      <c r="F21" s="35">
        <v>1</v>
      </c>
      <c r="G21" s="48">
        <f t="shared" si="0"/>
        <v>660</v>
      </c>
      <c r="H21" s="35">
        <v>2</v>
      </c>
      <c r="I21" s="48">
        <f t="shared" si="1"/>
        <v>300</v>
      </c>
      <c r="J21" s="35">
        <v>2</v>
      </c>
      <c r="K21" s="47"/>
    </row>
    <row r="22" spans="1:11">
      <c r="A22" s="66" t="str">
        <f>'1. 소켓인수검사'!A23</f>
        <v>15</v>
      </c>
      <c r="B22" s="49" t="s">
        <v>43</v>
      </c>
      <c r="C22" s="35">
        <f>'1. 소켓인수검사'!C23</f>
        <v>600</v>
      </c>
      <c r="D22" s="35">
        <f>'1. 소켓인수검사'!D23</f>
        <v>300</v>
      </c>
      <c r="E22" s="36"/>
      <c r="F22" s="35">
        <v>1</v>
      </c>
      <c r="G22" s="48">
        <f t="shared" si="0"/>
        <v>660</v>
      </c>
      <c r="H22" s="35">
        <v>2</v>
      </c>
      <c r="I22" s="48">
        <f t="shared" si="1"/>
        <v>300</v>
      </c>
      <c r="J22" s="35">
        <v>2</v>
      </c>
      <c r="K22" s="47"/>
    </row>
    <row r="23" spans="1:11">
      <c r="A23" s="66" t="str">
        <f>'1. 소켓인수검사'!A24</f>
        <v>16</v>
      </c>
      <c r="B23" s="49" t="s">
        <v>43</v>
      </c>
      <c r="C23" s="35">
        <f>'1. 소켓인수검사'!C24</f>
        <v>600</v>
      </c>
      <c r="D23" s="35">
        <f>'1. 소켓인수검사'!D24</f>
        <v>300</v>
      </c>
      <c r="E23" s="36"/>
      <c r="F23" s="35">
        <v>1</v>
      </c>
      <c r="G23" s="48">
        <f t="shared" si="0"/>
        <v>660</v>
      </c>
      <c r="H23" s="35">
        <v>2</v>
      </c>
      <c r="I23" s="48">
        <f t="shared" si="1"/>
        <v>300</v>
      </c>
      <c r="J23" s="35">
        <v>2</v>
      </c>
      <c r="K23" s="47"/>
    </row>
    <row r="24" spans="1:11">
      <c r="A24" s="66" t="str">
        <f>'1. 소켓인수검사'!A25</f>
        <v>17</v>
      </c>
      <c r="B24" s="49" t="s">
        <v>43</v>
      </c>
      <c r="C24" s="35">
        <f>'1. 소켓인수검사'!C25</f>
        <v>600</v>
      </c>
      <c r="D24" s="35">
        <f>'1. 소켓인수검사'!D25</f>
        <v>300</v>
      </c>
      <c r="E24" s="36"/>
      <c r="F24" s="35">
        <v>1</v>
      </c>
      <c r="G24" s="48">
        <f t="shared" si="0"/>
        <v>660</v>
      </c>
      <c r="H24" s="35">
        <v>2</v>
      </c>
      <c r="I24" s="48">
        <f t="shared" si="1"/>
        <v>300</v>
      </c>
      <c r="J24" s="35">
        <v>2</v>
      </c>
      <c r="K24" s="47"/>
    </row>
    <row r="25" spans="1:11">
      <c r="A25" s="66" t="str">
        <f>'1. 소켓인수검사'!A26</f>
        <v>18</v>
      </c>
      <c r="B25" s="49" t="s">
        <v>43</v>
      </c>
      <c r="C25" s="35">
        <f>'1. 소켓인수검사'!C26</f>
        <v>600</v>
      </c>
      <c r="D25" s="35">
        <f>'1. 소켓인수검사'!D26</f>
        <v>300</v>
      </c>
      <c r="E25" s="36"/>
      <c r="F25" s="35">
        <v>1</v>
      </c>
      <c r="G25" s="48">
        <f t="shared" si="0"/>
        <v>660</v>
      </c>
      <c r="H25" s="35">
        <v>2</v>
      </c>
      <c r="I25" s="48">
        <f t="shared" si="1"/>
        <v>300</v>
      </c>
      <c r="J25" s="35">
        <v>2</v>
      </c>
      <c r="K25" s="47"/>
    </row>
    <row r="26" spans="1:11">
      <c r="A26" s="66" t="str">
        <f>'1. 소켓인수검사'!A27</f>
        <v>19</v>
      </c>
      <c r="B26" s="49" t="s">
        <v>43</v>
      </c>
      <c r="C26" s="35">
        <f>'1. 소켓인수검사'!C27</f>
        <v>600</v>
      </c>
      <c r="D26" s="35">
        <f>'1. 소켓인수검사'!D27</f>
        <v>400</v>
      </c>
      <c r="E26" s="36"/>
      <c r="F26" s="35">
        <v>1</v>
      </c>
      <c r="G26" s="48">
        <f t="shared" si="0"/>
        <v>660</v>
      </c>
      <c r="H26" s="35">
        <v>2</v>
      </c>
      <c r="I26" s="48">
        <f t="shared" si="1"/>
        <v>400</v>
      </c>
      <c r="J26" s="35">
        <v>2</v>
      </c>
      <c r="K26" s="47"/>
    </row>
    <row r="27" spans="1:11">
      <c r="A27" s="66" t="str">
        <f>'1. 소켓인수검사'!A28</f>
        <v>20</v>
      </c>
      <c r="B27" s="49" t="s">
        <v>43</v>
      </c>
      <c r="C27" s="35">
        <f>'1. 소켓인수검사'!C28</f>
        <v>650</v>
      </c>
      <c r="D27" s="35">
        <f>'1. 소켓인수검사'!D28</f>
        <v>250</v>
      </c>
      <c r="E27" s="36"/>
      <c r="F27" s="35">
        <v>1</v>
      </c>
      <c r="G27" s="48">
        <f t="shared" si="0"/>
        <v>710</v>
      </c>
      <c r="H27" s="35">
        <v>2</v>
      </c>
      <c r="I27" s="48">
        <f t="shared" si="1"/>
        <v>250</v>
      </c>
      <c r="J27" s="35">
        <v>2</v>
      </c>
      <c r="K27" s="47"/>
    </row>
    <row r="28" spans="1:11">
      <c r="A28" s="66" t="str">
        <f>'1. 소켓인수검사'!A29</f>
        <v>21</v>
      </c>
      <c r="B28" s="49" t="s">
        <v>43</v>
      </c>
      <c r="C28" s="35">
        <f>'1. 소켓인수검사'!C29</f>
        <v>750</v>
      </c>
      <c r="D28" s="35">
        <f>'1. 소켓인수검사'!D29</f>
        <v>400</v>
      </c>
      <c r="E28" s="36"/>
      <c r="F28" s="35">
        <v>1</v>
      </c>
      <c r="G28" s="48">
        <f t="shared" si="0"/>
        <v>810</v>
      </c>
      <c r="H28" s="35">
        <v>2</v>
      </c>
      <c r="I28" s="48">
        <f t="shared" si="1"/>
        <v>400</v>
      </c>
      <c r="J28" s="35">
        <v>2</v>
      </c>
      <c r="K28" s="47"/>
    </row>
    <row r="29" spans="1:11">
      <c r="A29" s="66" t="str">
        <f>'1. 소켓인수검사'!A30</f>
        <v>22</v>
      </c>
      <c r="B29" s="49" t="s">
        <v>43</v>
      </c>
      <c r="C29" s="35">
        <f>'1. 소켓인수검사'!C30</f>
        <v>750</v>
      </c>
      <c r="D29" s="35">
        <f>'1. 소켓인수검사'!D30</f>
        <v>400</v>
      </c>
      <c r="E29" s="36"/>
      <c r="F29" s="35">
        <v>1</v>
      </c>
      <c r="G29" s="48">
        <f t="shared" si="0"/>
        <v>810</v>
      </c>
      <c r="H29" s="35">
        <v>2</v>
      </c>
      <c r="I29" s="48">
        <f t="shared" si="1"/>
        <v>400</v>
      </c>
      <c r="J29" s="35">
        <v>2</v>
      </c>
      <c r="K29" s="47"/>
    </row>
    <row r="30" spans="1:11">
      <c r="A30" s="66" t="str">
        <f>'1. 소켓인수검사'!A31</f>
        <v>23</v>
      </c>
      <c r="B30" s="49" t="s">
        <v>43</v>
      </c>
      <c r="C30" s="35">
        <f>'1. 소켓인수검사'!C31</f>
        <v>750</v>
      </c>
      <c r="D30" s="35">
        <f>'1. 소켓인수검사'!D31</f>
        <v>400</v>
      </c>
      <c r="E30" s="36"/>
      <c r="F30" s="35">
        <v>1</v>
      </c>
      <c r="G30" s="48">
        <f t="shared" si="0"/>
        <v>810</v>
      </c>
      <c r="H30" s="35">
        <v>2</v>
      </c>
      <c r="I30" s="48">
        <f t="shared" si="1"/>
        <v>400</v>
      </c>
      <c r="J30" s="35">
        <v>2</v>
      </c>
      <c r="K30" s="47"/>
    </row>
    <row r="31" spans="1:11">
      <c r="A31" s="66" t="str">
        <f>'1. 소켓인수검사'!A32</f>
        <v>24</v>
      </c>
      <c r="B31" s="49" t="s">
        <v>43</v>
      </c>
      <c r="C31" s="35">
        <f>'1. 소켓인수검사'!C32</f>
        <v>1000</v>
      </c>
      <c r="D31" s="35">
        <f>'1. 소켓인수검사'!D32</f>
        <v>550</v>
      </c>
      <c r="E31" s="36"/>
      <c r="F31" s="35">
        <v>1</v>
      </c>
      <c r="G31" s="48">
        <f t="shared" si="0"/>
        <v>1060</v>
      </c>
      <c r="H31" s="35">
        <v>2</v>
      </c>
      <c r="I31" s="48">
        <f t="shared" si="1"/>
        <v>550</v>
      </c>
      <c r="J31" s="35">
        <v>2</v>
      </c>
      <c r="K31" s="47"/>
    </row>
    <row r="32" spans="1:11">
      <c r="A32" s="66" t="str">
        <f>'1. 소켓인수검사'!A33</f>
        <v>25</v>
      </c>
      <c r="B32" s="49" t="s">
        <v>43</v>
      </c>
      <c r="C32" s="35">
        <f>'1. 소켓인수검사'!C33</f>
        <v>1150</v>
      </c>
      <c r="D32" s="35">
        <f>'1. 소켓인수검사'!D33</f>
        <v>250</v>
      </c>
      <c r="E32" s="36"/>
      <c r="F32" s="35">
        <v>1</v>
      </c>
      <c r="G32" s="48">
        <f t="shared" si="0"/>
        <v>1210</v>
      </c>
      <c r="H32" s="35">
        <v>2</v>
      </c>
      <c r="I32" s="48">
        <f t="shared" si="1"/>
        <v>250</v>
      </c>
      <c r="J32" s="35">
        <v>2</v>
      </c>
      <c r="K32" s="47"/>
    </row>
    <row r="33" spans="1:11">
      <c r="A33" s="83" t="s">
        <v>41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</row>
    <row r="34" spans="1:1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</row>
    <row r="35" spans="1:1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</row>
  </sheetData>
  <mergeCells count="17">
    <mergeCell ref="D6:D7"/>
    <mergeCell ref="G6:H6"/>
    <mergeCell ref="I6:J6"/>
    <mergeCell ref="E1:F3"/>
    <mergeCell ref="G1:K3"/>
    <mergeCell ref="A33:C35"/>
    <mergeCell ref="D33:K35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40"/>
  <sheetViews>
    <sheetView zoomScaleNormal="100" zoomScaleSheetLayoutView="100" workbookViewId="0">
      <selection activeCell="A36" sqref="A36:XFD80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83"/>
      <c r="B1" s="83"/>
      <c r="C1" s="83"/>
      <c r="D1" s="83"/>
      <c r="E1" s="175" t="s">
        <v>63</v>
      </c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7"/>
    </row>
    <row r="2" spans="1:16" ht="16.5" customHeight="1">
      <c r="A2" s="83"/>
      <c r="B2" s="83"/>
      <c r="C2" s="83"/>
      <c r="D2" s="83"/>
      <c r="E2" s="178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80"/>
    </row>
    <row r="3" spans="1:16" ht="16.5" customHeight="1">
      <c r="A3" s="83"/>
      <c r="B3" s="83"/>
      <c r="C3" s="83"/>
      <c r="D3" s="83"/>
      <c r="E3" s="178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80"/>
    </row>
    <row r="4" spans="1:16" ht="16.5" customHeight="1">
      <c r="A4" s="83" t="s">
        <v>14</v>
      </c>
      <c r="B4" s="83"/>
      <c r="C4" s="184"/>
      <c r="D4" s="185"/>
      <c r="E4" s="181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3"/>
    </row>
    <row r="5" spans="1:16">
      <c r="A5" s="83" t="s">
        <v>23</v>
      </c>
      <c r="B5" s="83"/>
      <c r="C5" s="83"/>
      <c r="D5" s="83"/>
      <c r="E5" s="6" t="s">
        <v>29</v>
      </c>
      <c r="F5" s="83"/>
      <c r="G5" s="83"/>
      <c r="H5" s="83" t="s">
        <v>53</v>
      </c>
      <c r="I5" s="83"/>
      <c r="J5" s="83"/>
      <c r="K5" s="83" t="s">
        <v>49</v>
      </c>
      <c r="L5" s="83"/>
      <c r="M5" s="83"/>
      <c r="N5" s="186" t="str">
        <f>'1. 소켓인수검사'!R2</f>
        <v>26.07.10 하나로엔지니어링_엠이씨이엔지_디엘이엔씨_화성동탄C-14BL 공공주택</v>
      </c>
      <c r="O5" s="186"/>
      <c r="P5" s="186"/>
    </row>
    <row r="6" spans="1:16">
      <c r="A6" s="83"/>
      <c r="B6" s="83"/>
      <c r="C6" s="83"/>
      <c r="D6" s="83"/>
      <c r="E6" s="6" t="s">
        <v>26</v>
      </c>
      <c r="F6" s="83"/>
      <c r="G6" s="83"/>
      <c r="H6" s="83"/>
      <c r="I6" s="83"/>
      <c r="J6" s="83"/>
      <c r="K6" s="83"/>
      <c r="L6" s="83"/>
      <c r="M6" s="83"/>
      <c r="N6" s="186"/>
      <c r="O6" s="186"/>
      <c r="P6" s="186"/>
    </row>
    <row r="7" spans="1:16" ht="8.1" customHeight="1">
      <c r="A7" s="139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</row>
    <row r="8" spans="1:16">
      <c r="A8" s="169" t="s">
        <v>50</v>
      </c>
      <c r="B8" s="171" t="s">
        <v>4</v>
      </c>
      <c r="C8" s="171"/>
      <c r="D8" s="171" t="s">
        <v>25</v>
      </c>
      <c r="E8" s="171" t="s">
        <v>21</v>
      </c>
      <c r="F8" s="171" t="s">
        <v>54</v>
      </c>
      <c r="G8" s="171" t="s">
        <v>24</v>
      </c>
      <c r="H8" s="171"/>
      <c r="I8" s="171"/>
      <c r="J8" s="171"/>
      <c r="K8" s="171"/>
      <c r="L8" s="171"/>
      <c r="M8" s="171"/>
      <c r="N8" s="171"/>
      <c r="O8" s="171"/>
      <c r="P8" s="173" t="s">
        <v>2</v>
      </c>
    </row>
    <row r="9" spans="1:16" ht="16.5" customHeight="1">
      <c r="A9" s="170"/>
      <c r="B9" s="172" t="s">
        <v>57</v>
      </c>
      <c r="C9" s="172" t="s">
        <v>55</v>
      </c>
      <c r="D9" s="172"/>
      <c r="E9" s="172"/>
      <c r="F9" s="172"/>
      <c r="G9" s="172" t="s">
        <v>51</v>
      </c>
      <c r="H9" s="172" t="s">
        <v>57</v>
      </c>
      <c r="I9" s="172"/>
      <c r="J9" s="172" t="s">
        <v>10</v>
      </c>
      <c r="K9" s="172" t="s">
        <v>55</v>
      </c>
      <c r="L9" s="172"/>
      <c r="M9" s="172"/>
      <c r="N9" s="172"/>
      <c r="O9" s="172" t="s">
        <v>10</v>
      </c>
      <c r="P9" s="174"/>
    </row>
    <row r="10" spans="1:16">
      <c r="A10" s="170"/>
      <c r="B10" s="172"/>
      <c r="C10" s="172"/>
      <c r="D10" s="172"/>
      <c r="E10" s="172"/>
      <c r="F10" s="172"/>
      <c r="G10" s="172"/>
      <c r="H10" s="25" t="s">
        <v>4</v>
      </c>
      <c r="I10" s="25" t="s">
        <v>28</v>
      </c>
      <c r="J10" s="172"/>
      <c r="K10" s="172" t="s">
        <v>4</v>
      </c>
      <c r="L10" s="172"/>
      <c r="M10" s="172"/>
      <c r="N10" s="25" t="s">
        <v>28</v>
      </c>
      <c r="O10" s="172"/>
      <c r="P10" s="174"/>
    </row>
    <row r="11" spans="1:16">
      <c r="A11" s="24" t="str">
        <f>'1. 소켓인수검사'!A9</f>
        <v>01</v>
      </c>
      <c r="B11" s="26">
        <f>'1. 소켓인수검사'!C9</f>
        <v>400</v>
      </c>
      <c r="C11" s="26">
        <f>'1. 소켓인수검사'!D9</f>
        <v>300</v>
      </c>
      <c r="D11" s="27">
        <v>1</v>
      </c>
      <c r="E11" s="28"/>
      <c r="F11" s="27">
        <v>1.6</v>
      </c>
      <c r="G11" s="27"/>
      <c r="H11" s="27">
        <f t="shared" ref="H11:H35" si="0">B11-1</f>
        <v>399</v>
      </c>
      <c r="I11" s="27">
        <f t="shared" ref="I11:I35" si="1">D11*4</f>
        <v>4</v>
      </c>
      <c r="J11" s="27"/>
      <c r="K11" s="168">
        <f t="shared" ref="K11:K35" si="2">C11-30</f>
        <v>270</v>
      </c>
      <c r="L11" s="168"/>
      <c r="M11" s="168"/>
      <c r="N11" s="27">
        <f t="shared" ref="N11:N35" si="3">D11*4</f>
        <v>4</v>
      </c>
      <c r="O11" s="27"/>
      <c r="P11" s="32"/>
    </row>
    <row r="12" spans="1:16">
      <c r="A12" s="24" t="str">
        <f>'1. 소켓인수검사'!A10</f>
        <v>02</v>
      </c>
      <c r="B12" s="26">
        <f>'1. 소켓인수검사'!C10</f>
        <v>400</v>
      </c>
      <c r="C12" s="26">
        <f>'1. 소켓인수검사'!D10</f>
        <v>350</v>
      </c>
      <c r="D12" s="27">
        <v>1</v>
      </c>
      <c r="E12" s="28"/>
      <c r="F12" s="27">
        <v>1.6</v>
      </c>
      <c r="G12" s="27"/>
      <c r="H12" s="27">
        <f t="shared" si="0"/>
        <v>399</v>
      </c>
      <c r="I12" s="27">
        <f t="shared" si="1"/>
        <v>4</v>
      </c>
      <c r="J12" s="27"/>
      <c r="K12" s="168">
        <f t="shared" si="2"/>
        <v>320</v>
      </c>
      <c r="L12" s="168"/>
      <c r="M12" s="168"/>
      <c r="N12" s="27">
        <f t="shared" si="3"/>
        <v>4</v>
      </c>
      <c r="O12" s="27"/>
      <c r="P12" s="32"/>
    </row>
    <row r="13" spans="1:16">
      <c r="A13" s="24" t="str">
        <f>'1. 소켓인수검사'!A11</f>
        <v>03</v>
      </c>
      <c r="B13" s="26">
        <f>'1. 소켓인수검사'!C11</f>
        <v>450</v>
      </c>
      <c r="C13" s="26">
        <f>'1. 소켓인수검사'!D11</f>
        <v>400</v>
      </c>
      <c r="D13" s="27">
        <v>1</v>
      </c>
      <c r="E13" s="28"/>
      <c r="F13" s="27">
        <v>1.6</v>
      </c>
      <c r="G13" s="27"/>
      <c r="H13" s="27">
        <f t="shared" si="0"/>
        <v>449</v>
      </c>
      <c r="I13" s="27">
        <f t="shared" si="1"/>
        <v>4</v>
      </c>
      <c r="J13" s="27"/>
      <c r="K13" s="168">
        <f t="shared" si="2"/>
        <v>370</v>
      </c>
      <c r="L13" s="168"/>
      <c r="M13" s="168"/>
      <c r="N13" s="27">
        <f t="shared" si="3"/>
        <v>4</v>
      </c>
      <c r="O13" s="27"/>
      <c r="P13" s="32"/>
    </row>
    <row r="14" spans="1:16">
      <c r="A14" s="24" t="str">
        <f>'1. 소켓인수검사'!A12</f>
        <v>04</v>
      </c>
      <c r="B14" s="26">
        <f>'1. 소켓인수검사'!C12</f>
        <v>450</v>
      </c>
      <c r="C14" s="26">
        <f>'1. 소켓인수검사'!D12</f>
        <v>500</v>
      </c>
      <c r="D14" s="27">
        <v>1</v>
      </c>
      <c r="E14" s="28"/>
      <c r="F14" s="27">
        <v>1.6</v>
      </c>
      <c r="G14" s="27"/>
      <c r="H14" s="27">
        <f t="shared" si="0"/>
        <v>449</v>
      </c>
      <c r="I14" s="27">
        <f t="shared" si="1"/>
        <v>4</v>
      </c>
      <c r="J14" s="27"/>
      <c r="K14" s="168">
        <f t="shared" si="2"/>
        <v>470</v>
      </c>
      <c r="L14" s="168"/>
      <c r="M14" s="168"/>
      <c r="N14" s="27">
        <f t="shared" si="3"/>
        <v>4</v>
      </c>
      <c r="O14" s="27"/>
      <c r="P14" s="32"/>
    </row>
    <row r="15" spans="1:16">
      <c r="A15" s="24" t="str">
        <f>'1. 소켓인수검사'!A13</f>
        <v>05</v>
      </c>
      <c r="B15" s="26">
        <f>'1. 소켓인수검사'!C13</f>
        <v>500</v>
      </c>
      <c r="C15" s="26">
        <f>'1. 소켓인수검사'!D13</f>
        <v>300</v>
      </c>
      <c r="D15" s="27">
        <v>1</v>
      </c>
      <c r="E15" s="28"/>
      <c r="F15" s="27">
        <v>1.6</v>
      </c>
      <c r="G15" s="27"/>
      <c r="H15" s="27">
        <f t="shared" si="0"/>
        <v>499</v>
      </c>
      <c r="I15" s="27">
        <f t="shared" si="1"/>
        <v>4</v>
      </c>
      <c r="J15" s="27"/>
      <c r="K15" s="168">
        <f t="shared" si="2"/>
        <v>270</v>
      </c>
      <c r="L15" s="168"/>
      <c r="M15" s="168"/>
      <c r="N15" s="27">
        <f t="shared" si="3"/>
        <v>4</v>
      </c>
      <c r="O15" s="27"/>
      <c r="P15" s="32"/>
    </row>
    <row r="16" spans="1:16">
      <c r="A16" s="24" t="str">
        <f>'1. 소켓인수검사'!A14</f>
        <v>06</v>
      </c>
      <c r="B16" s="26">
        <f>'1. 소켓인수검사'!C14</f>
        <v>500</v>
      </c>
      <c r="C16" s="26">
        <f>'1. 소켓인수검사'!D14</f>
        <v>300</v>
      </c>
      <c r="D16" s="27">
        <v>1</v>
      </c>
      <c r="E16" s="28"/>
      <c r="F16" s="27">
        <v>1.6</v>
      </c>
      <c r="G16" s="27"/>
      <c r="H16" s="27">
        <f t="shared" si="0"/>
        <v>499</v>
      </c>
      <c r="I16" s="27">
        <f t="shared" si="1"/>
        <v>4</v>
      </c>
      <c r="J16" s="27"/>
      <c r="K16" s="168">
        <f t="shared" si="2"/>
        <v>270</v>
      </c>
      <c r="L16" s="168"/>
      <c r="M16" s="168"/>
      <c r="N16" s="27">
        <f t="shared" si="3"/>
        <v>4</v>
      </c>
      <c r="O16" s="27"/>
      <c r="P16" s="32"/>
    </row>
    <row r="17" spans="1:16">
      <c r="A17" s="24" t="str">
        <f>'1. 소켓인수검사'!A15</f>
        <v>07</v>
      </c>
      <c r="B17" s="26">
        <f>'1. 소켓인수검사'!C15</f>
        <v>500</v>
      </c>
      <c r="C17" s="26">
        <f>'1. 소켓인수검사'!D15</f>
        <v>300</v>
      </c>
      <c r="D17" s="27">
        <v>1</v>
      </c>
      <c r="E17" s="28"/>
      <c r="F17" s="27">
        <v>1.6</v>
      </c>
      <c r="G17" s="27"/>
      <c r="H17" s="27">
        <f t="shared" si="0"/>
        <v>499</v>
      </c>
      <c r="I17" s="27">
        <f t="shared" si="1"/>
        <v>4</v>
      </c>
      <c r="J17" s="27"/>
      <c r="K17" s="168">
        <f t="shared" si="2"/>
        <v>270</v>
      </c>
      <c r="L17" s="168"/>
      <c r="M17" s="168"/>
      <c r="N17" s="27">
        <f t="shared" si="3"/>
        <v>4</v>
      </c>
      <c r="O17" s="27"/>
      <c r="P17" s="32"/>
    </row>
    <row r="18" spans="1:16">
      <c r="A18" s="24" t="str">
        <f>'1. 소켓인수검사'!A16</f>
        <v>08</v>
      </c>
      <c r="B18" s="26">
        <f>'1. 소켓인수검사'!C16</f>
        <v>500</v>
      </c>
      <c r="C18" s="26">
        <f>'1. 소켓인수검사'!D16</f>
        <v>300</v>
      </c>
      <c r="D18" s="27">
        <v>1</v>
      </c>
      <c r="E18" s="28"/>
      <c r="F18" s="27">
        <v>1.6</v>
      </c>
      <c r="G18" s="27"/>
      <c r="H18" s="27">
        <f t="shared" si="0"/>
        <v>499</v>
      </c>
      <c r="I18" s="27">
        <f t="shared" si="1"/>
        <v>4</v>
      </c>
      <c r="J18" s="27"/>
      <c r="K18" s="168">
        <f t="shared" si="2"/>
        <v>270</v>
      </c>
      <c r="L18" s="168"/>
      <c r="M18" s="168"/>
      <c r="N18" s="27">
        <f t="shared" si="3"/>
        <v>4</v>
      </c>
      <c r="O18" s="27"/>
      <c r="P18" s="32"/>
    </row>
    <row r="19" spans="1:16">
      <c r="A19" s="24" t="str">
        <f>'1. 소켓인수검사'!A17</f>
        <v>09</v>
      </c>
      <c r="B19" s="26">
        <f>'1. 소켓인수검사'!C17</f>
        <v>500</v>
      </c>
      <c r="C19" s="26">
        <f>'1. 소켓인수검사'!D17</f>
        <v>300</v>
      </c>
      <c r="D19" s="27">
        <v>1</v>
      </c>
      <c r="E19" s="28"/>
      <c r="F19" s="27">
        <v>1.6</v>
      </c>
      <c r="G19" s="27"/>
      <c r="H19" s="27">
        <f t="shared" si="0"/>
        <v>499</v>
      </c>
      <c r="I19" s="27">
        <f t="shared" si="1"/>
        <v>4</v>
      </c>
      <c r="J19" s="27"/>
      <c r="K19" s="168">
        <f t="shared" si="2"/>
        <v>270</v>
      </c>
      <c r="L19" s="168"/>
      <c r="M19" s="168"/>
      <c r="N19" s="27">
        <f t="shared" si="3"/>
        <v>4</v>
      </c>
      <c r="O19" s="27"/>
      <c r="P19" s="32"/>
    </row>
    <row r="20" spans="1:16">
      <c r="A20" s="24" t="str">
        <f>'1. 소켓인수검사'!A18</f>
        <v>10</v>
      </c>
      <c r="B20" s="26">
        <f>'1. 소켓인수검사'!C18</f>
        <v>500</v>
      </c>
      <c r="C20" s="26">
        <f>'1. 소켓인수검사'!D18</f>
        <v>500</v>
      </c>
      <c r="D20" s="27">
        <v>1</v>
      </c>
      <c r="E20" s="28"/>
      <c r="F20" s="27">
        <v>1.6</v>
      </c>
      <c r="G20" s="27"/>
      <c r="H20" s="27">
        <f t="shared" si="0"/>
        <v>499</v>
      </c>
      <c r="I20" s="27">
        <f t="shared" si="1"/>
        <v>4</v>
      </c>
      <c r="J20" s="27"/>
      <c r="K20" s="168">
        <f t="shared" si="2"/>
        <v>470</v>
      </c>
      <c r="L20" s="168"/>
      <c r="M20" s="168"/>
      <c r="N20" s="27">
        <f t="shared" si="3"/>
        <v>4</v>
      </c>
      <c r="O20" s="27"/>
      <c r="P20" s="32"/>
    </row>
    <row r="21" spans="1:16">
      <c r="A21" s="24" t="str">
        <f>'1. 소켓인수검사'!A19</f>
        <v>11</v>
      </c>
      <c r="B21" s="26">
        <f>'1. 소켓인수검사'!C19</f>
        <v>550</v>
      </c>
      <c r="C21" s="26">
        <f>'1. 소켓인수검사'!D19</f>
        <v>500</v>
      </c>
      <c r="D21" s="27">
        <v>1</v>
      </c>
      <c r="E21" s="28"/>
      <c r="F21" s="27">
        <v>1.6</v>
      </c>
      <c r="G21" s="27"/>
      <c r="H21" s="27">
        <f t="shared" si="0"/>
        <v>549</v>
      </c>
      <c r="I21" s="27">
        <f t="shared" si="1"/>
        <v>4</v>
      </c>
      <c r="J21" s="27"/>
      <c r="K21" s="168">
        <f t="shared" si="2"/>
        <v>470</v>
      </c>
      <c r="L21" s="168"/>
      <c r="M21" s="168"/>
      <c r="N21" s="27">
        <f t="shared" si="3"/>
        <v>4</v>
      </c>
      <c r="O21" s="27"/>
      <c r="P21" s="32"/>
    </row>
    <row r="22" spans="1:16">
      <c r="A22" s="24" t="str">
        <f>'1. 소켓인수검사'!A20</f>
        <v>12</v>
      </c>
      <c r="B22" s="26">
        <f>'1. 소켓인수검사'!C20</f>
        <v>600</v>
      </c>
      <c r="C22" s="26">
        <f>'1. 소켓인수검사'!D20</f>
        <v>250</v>
      </c>
      <c r="D22" s="27">
        <v>1</v>
      </c>
      <c r="E22" s="28"/>
      <c r="F22" s="27">
        <v>1.6</v>
      </c>
      <c r="G22" s="27"/>
      <c r="H22" s="27">
        <f t="shared" si="0"/>
        <v>599</v>
      </c>
      <c r="I22" s="27">
        <f t="shared" si="1"/>
        <v>4</v>
      </c>
      <c r="J22" s="27"/>
      <c r="K22" s="168">
        <f t="shared" si="2"/>
        <v>220</v>
      </c>
      <c r="L22" s="168"/>
      <c r="M22" s="168"/>
      <c r="N22" s="27">
        <f t="shared" si="3"/>
        <v>4</v>
      </c>
      <c r="O22" s="27"/>
      <c r="P22" s="29"/>
    </row>
    <row r="23" spans="1:16">
      <c r="A23" s="24" t="str">
        <f>'1. 소켓인수검사'!A21</f>
        <v>13</v>
      </c>
      <c r="B23" s="26">
        <f>'1. 소켓인수검사'!C21</f>
        <v>600</v>
      </c>
      <c r="C23" s="26">
        <f>'1. 소켓인수검사'!D21</f>
        <v>300</v>
      </c>
      <c r="D23" s="27">
        <v>1</v>
      </c>
      <c r="E23" s="28"/>
      <c r="F23" s="27">
        <v>1.6</v>
      </c>
      <c r="G23" s="27"/>
      <c r="H23" s="27">
        <f t="shared" si="0"/>
        <v>599</v>
      </c>
      <c r="I23" s="27">
        <f t="shared" si="1"/>
        <v>4</v>
      </c>
      <c r="J23" s="27"/>
      <c r="K23" s="168">
        <f t="shared" si="2"/>
        <v>270</v>
      </c>
      <c r="L23" s="168"/>
      <c r="M23" s="168"/>
      <c r="N23" s="27">
        <f t="shared" si="3"/>
        <v>4</v>
      </c>
      <c r="O23" s="27"/>
      <c r="P23" s="30"/>
    </row>
    <row r="24" spans="1:16">
      <c r="A24" s="24" t="str">
        <f>'1. 소켓인수검사'!A22</f>
        <v>14</v>
      </c>
      <c r="B24" s="26">
        <f>'1. 소켓인수검사'!C22</f>
        <v>600</v>
      </c>
      <c r="C24" s="26">
        <f>'1. 소켓인수검사'!D22</f>
        <v>300</v>
      </c>
      <c r="D24" s="27">
        <v>1</v>
      </c>
      <c r="E24" s="28"/>
      <c r="F24" s="27">
        <v>1.6</v>
      </c>
      <c r="G24" s="27"/>
      <c r="H24" s="27">
        <f t="shared" si="0"/>
        <v>599</v>
      </c>
      <c r="I24" s="27">
        <f t="shared" si="1"/>
        <v>4</v>
      </c>
      <c r="J24" s="27"/>
      <c r="K24" s="168">
        <f t="shared" si="2"/>
        <v>270</v>
      </c>
      <c r="L24" s="168"/>
      <c r="M24" s="168"/>
      <c r="N24" s="27">
        <f t="shared" si="3"/>
        <v>4</v>
      </c>
      <c r="O24" s="27"/>
      <c r="P24" s="30"/>
    </row>
    <row r="25" spans="1:16">
      <c r="A25" s="24" t="str">
        <f>'1. 소켓인수검사'!A23</f>
        <v>15</v>
      </c>
      <c r="B25" s="26">
        <f>'1. 소켓인수검사'!C23</f>
        <v>600</v>
      </c>
      <c r="C25" s="26">
        <f>'1. 소켓인수검사'!D23</f>
        <v>300</v>
      </c>
      <c r="D25" s="27">
        <v>1</v>
      </c>
      <c r="E25" s="28"/>
      <c r="F25" s="27">
        <v>1.6</v>
      </c>
      <c r="G25" s="27"/>
      <c r="H25" s="27">
        <f t="shared" si="0"/>
        <v>599</v>
      </c>
      <c r="I25" s="27">
        <f t="shared" si="1"/>
        <v>4</v>
      </c>
      <c r="J25" s="27"/>
      <c r="K25" s="168">
        <f t="shared" si="2"/>
        <v>270</v>
      </c>
      <c r="L25" s="168"/>
      <c r="M25" s="168"/>
      <c r="N25" s="27">
        <f t="shared" si="3"/>
        <v>4</v>
      </c>
      <c r="O25" s="27"/>
      <c r="P25" s="30"/>
    </row>
    <row r="26" spans="1:16">
      <c r="A26" s="24" t="str">
        <f>'1. 소켓인수검사'!A24</f>
        <v>16</v>
      </c>
      <c r="B26" s="26">
        <f>'1. 소켓인수검사'!C24</f>
        <v>600</v>
      </c>
      <c r="C26" s="26">
        <f>'1. 소켓인수검사'!D24</f>
        <v>300</v>
      </c>
      <c r="D26" s="27">
        <v>1</v>
      </c>
      <c r="E26" s="28"/>
      <c r="F26" s="27">
        <v>1.6</v>
      </c>
      <c r="G26" s="27"/>
      <c r="H26" s="27">
        <f t="shared" si="0"/>
        <v>599</v>
      </c>
      <c r="I26" s="27">
        <f t="shared" si="1"/>
        <v>4</v>
      </c>
      <c r="J26" s="27"/>
      <c r="K26" s="168">
        <f t="shared" si="2"/>
        <v>270</v>
      </c>
      <c r="L26" s="168"/>
      <c r="M26" s="168"/>
      <c r="N26" s="27">
        <f t="shared" si="3"/>
        <v>4</v>
      </c>
      <c r="O26" s="27"/>
      <c r="P26" s="30"/>
    </row>
    <row r="27" spans="1:16">
      <c r="A27" s="24" t="str">
        <f>'1. 소켓인수검사'!A25</f>
        <v>17</v>
      </c>
      <c r="B27" s="26">
        <f>'1. 소켓인수검사'!C25</f>
        <v>600</v>
      </c>
      <c r="C27" s="26">
        <f>'1. 소켓인수검사'!D25</f>
        <v>300</v>
      </c>
      <c r="D27" s="27">
        <v>1</v>
      </c>
      <c r="E27" s="28"/>
      <c r="F27" s="27">
        <v>1.6</v>
      </c>
      <c r="G27" s="27"/>
      <c r="H27" s="27">
        <f t="shared" si="0"/>
        <v>599</v>
      </c>
      <c r="I27" s="27">
        <f t="shared" si="1"/>
        <v>4</v>
      </c>
      <c r="J27" s="27"/>
      <c r="K27" s="168">
        <f t="shared" si="2"/>
        <v>270</v>
      </c>
      <c r="L27" s="168"/>
      <c r="M27" s="168"/>
      <c r="N27" s="27">
        <f t="shared" si="3"/>
        <v>4</v>
      </c>
      <c r="O27" s="27"/>
      <c r="P27" s="30"/>
    </row>
    <row r="28" spans="1:16">
      <c r="A28" s="24" t="str">
        <f>'1. 소켓인수검사'!A26</f>
        <v>18</v>
      </c>
      <c r="B28" s="26">
        <f>'1. 소켓인수검사'!C26</f>
        <v>600</v>
      </c>
      <c r="C28" s="26">
        <f>'1. 소켓인수검사'!D26</f>
        <v>300</v>
      </c>
      <c r="D28" s="27">
        <v>1</v>
      </c>
      <c r="E28" s="28"/>
      <c r="F28" s="27">
        <v>1.6</v>
      </c>
      <c r="G28" s="27"/>
      <c r="H28" s="27">
        <f t="shared" si="0"/>
        <v>599</v>
      </c>
      <c r="I28" s="27">
        <f t="shared" si="1"/>
        <v>4</v>
      </c>
      <c r="J28" s="27"/>
      <c r="K28" s="168">
        <f t="shared" si="2"/>
        <v>270</v>
      </c>
      <c r="L28" s="168"/>
      <c r="M28" s="168"/>
      <c r="N28" s="27">
        <f t="shared" si="3"/>
        <v>4</v>
      </c>
      <c r="O28" s="27"/>
      <c r="P28" s="30"/>
    </row>
    <row r="29" spans="1:16">
      <c r="A29" s="24" t="str">
        <f>'1. 소켓인수검사'!A27</f>
        <v>19</v>
      </c>
      <c r="B29" s="26">
        <f>'1. 소켓인수검사'!C27</f>
        <v>600</v>
      </c>
      <c r="C29" s="26">
        <f>'1. 소켓인수검사'!D27</f>
        <v>400</v>
      </c>
      <c r="D29" s="27">
        <v>1</v>
      </c>
      <c r="E29" s="28"/>
      <c r="F29" s="27">
        <v>1.6</v>
      </c>
      <c r="G29" s="27"/>
      <c r="H29" s="27">
        <f t="shared" si="0"/>
        <v>599</v>
      </c>
      <c r="I29" s="27">
        <f t="shared" si="1"/>
        <v>4</v>
      </c>
      <c r="J29" s="27"/>
      <c r="K29" s="168">
        <f t="shared" si="2"/>
        <v>370</v>
      </c>
      <c r="L29" s="168"/>
      <c r="M29" s="168"/>
      <c r="N29" s="27">
        <f t="shared" si="3"/>
        <v>4</v>
      </c>
      <c r="O29" s="27"/>
      <c r="P29" s="31"/>
    </row>
    <row r="30" spans="1:16">
      <c r="A30" s="24" t="str">
        <f>'1. 소켓인수검사'!A28</f>
        <v>20</v>
      </c>
      <c r="B30" s="26">
        <f>'1. 소켓인수검사'!C28</f>
        <v>650</v>
      </c>
      <c r="C30" s="26">
        <f>'1. 소켓인수검사'!D28</f>
        <v>250</v>
      </c>
      <c r="D30" s="27">
        <v>1</v>
      </c>
      <c r="E30" s="28"/>
      <c r="F30" s="27">
        <v>1.6</v>
      </c>
      <c r="G30" s="27"/>
      <c r="H30" s="27">
        <f t="shared" si="0"/>
        <v>649</v>
      </c>
      <c r="I30" s="27">
        <f t="shared" si="1"/>
        <v>4</v>
      </c>
      <c r="J30" s="27"/>
      <c r="K30" s="168">
        <f t="shared" si="2"/>
        <v>220</v>
      </c>
      <c r="L30" s="168"/>
      <c r="M30" s="168"/>
      <c r="N30" s="27">
        <f t="shared" si="3"/>
        <v>4</v>
      </c>
      <c r="O30" s="27"/>
      <c r="P30" s="31"/>
    </row>
    <row r="31" spans="1:16">
      <c r="A31" s="24" t="str">
        <f>'1. 소켓인수검사'!A29</f>
        <v>21</v>
      </c>
      <c r="B31" s="26">
        <f>'1. 소켓인수검사'!C29</f>
        <v>750</v>
      </c>
      <c r="C31" s="26">
        <f>'1. 소켓인수검사'!D29</f>
        <v>400</v>
      </c>
      <c r="D31" s="27">
        <v>1</v>
      </c>
      <c r="E31" s="28"/>
      <c r="F31" s="27">
        <v>1.6</v>
      </c>
      <c r="G31" s="27"/>
      <c r="H31" s="27">
        <f t="shared" si="0"/>
        <v>749</v>
      </c>
      <c r="I31" s="27">
        <f t="shared" si="1"/>
        <v>4</v>
      </c>
      <c r="J31" s="27"/>
      <c r="K31" s="168">
        <f t="shared" si="2"/>
        <v>370</v>
      </c>
      <c r="L31" s="168"/>
      <c r="M31" s="168"/>
      <c r="N31" s="27">
        <f t="shared" si="3"/>
        <v>4</v>
      </c>
      <c r="O31" s="27"/>
      <c r="P31" s="31"/>
    </row>
    <row r="32" spans="1:16">
      <c r="A32" s="24" t="str">
        <f>'1. 소켓인수검사'!A30</f>
        <v>22</v>
      </c>
      <c r="B32" s="26">
        <f>'1. 소켓인수검사'!C30</f>
        <v>750</v>
      </c>
      <c r="C32" s="26">
        <f>'1. 소켓인수검사'!D30</f>
        <v>400</v>
      </c>
      <c r="D32" s="27">
        <v>1</v>
      </c>
      <c r="E32" s="28"/>
      <c r="F32" s="27">
        <v>1.6</v>
      </c>
      <c r="G32" s="27"/>
      <c r="H32" s="27">
        <f t="shared" si="0"/>
        <v>749</v>
      </c>
      <c r="I32" s="27">
        <f t="shared" si="1"/>
        <v>4</v>
      </c>
      <c r="J32" s="27"/>
      <c r="K32" s="168">
        <f t="shared" si="2"/>
        <v>370</v>
      </c>
      <c r="L32" s="168"/>
      <c r="M32" s="168"/>
      <c r="N32" s="27">
        <f t="shared" si="3"/>
        <v>4</v>
      </c>
      <c r="O32" s="27"/>
      <c r="P32" s="31"/>
    </row>
    <row r="33" spans="1:16">
      <c r="A33" s="24" t="str">
        <f>'1. 소켓인수검사'!A31</f>
        <v>23</v>
      </c>
      <c r="B33" s="26">
        <f>'1. 소켓인수검사'!C31</f>
        <v>750</v>
      </c>
      <c r="C33" s="26">
        <f>'1. 소켓인수검사'!D31</f>
        <v>400</v>
      </c>
      <c r="D33" s="27">
        <v>1</v>
      </c>
      <c r="E33" s="28"/>
      <c r="F33" s="27">
        <v>1.6</v>
      </c>
      <c r="G33" s="27"/>
      <c r="H33" s="27">
        <f t="shared" si="0"/>
        <v>749</v>
      </c>
      <c r="I33" s="27">
        <f t="shared" si="1"/>
        <v>4</v>
      </c>
      <c r="J33" s="27"/>
      <c r="K33" s="168">
        <f t="shared" si="2"/>
        <v>370</v>
      </c>
      <c r="L33" s="168"/>
      <c r="M33" s="168"/>
      <c r="N33" s="27">
        <f t="shared" si="3"/>
        <v>4</v>
      </c>
      <c r="O33" s="27"/>
      <c r="P33" s="31"/>
    </row>
    <row r="34" spans="1:16">
      <c r="A34" s="24" t="str">
        <f>'1. 소켓인수검사'!A32</f>
        <v>24</v>
      </c>
      <c r="B34" s="26">
        <f>'1. 소켓인수검사'!C32</f>
        <v>1000</v>
      </c>
      <c r="C34" s="26">
        <f>'1. 소켓인수검사'!D32</f>
        <v>550</v>
      </c>
      <c r="D34" s="27">
        <v>1</v>
      </c>
      <c r="E34" s="28"/>
      <c r="F34" s="27">
        <v>1.6</v>
      </c>
      <c r="G34" s="27"/>
      <c r="H34" s="27">
        <f t="shared" si="0"/>
        <v>999</v>
      </c>
      <c r="I34" s="27">
        <f t="shared" si="1"/>
        <v>4</v>
      </c>
      <c r="J34" s="27"/>
      <c r="K34" s="168">
        <f t="shared" si="2"/>
        <v>520</v>
      </c>
      <c r="L34" s="168"/>
      <c r="M34" s="168"/>
      <c r="N34" s="27">
        <f t="shared" si="3"/>
        <v>4</v>
      </c>
      <c r="O34" s="27"/>
      <c r="P34" s="31"/>
    </row>
    <row r="35" spans="1:16">
      <c r="A35" s="24" t="str">
        <f>'1. 소켓인수검사'!A33</f>
        <v>25</v>
      </c>
      <c r="B35" s="26">
        <f>'1. 소켓인수검사'!C33</f>
        <v>1150</v>
      </c>
      <c r="C35" s="26">
        <f>'1. 소켓인수검사'!D33</f>
        <v>250</v>
      </c>
      <c r="D35" s="27">
        <v>1</v>
      </c>
      <c r="E35" s="28"/>
      <c r="F35" s="27">
        <v>1.6</v>
      </c>
      <c r="G35" s="27"/>
      <c r="H35" s="27">
        <f t="shared" si="0"/>
        <v>1149</v>
      </c>
      <c r="I35" s="27">
        <f t="shared" si="1"/>
        <v>4</v>
      </c>
      <c r="J35" s="27"/>
      <c r="K35" s="168">
        <f t="shared" si="2"/>
        <v>220</v>
      </c>
      <c r="L35" s="168"/>
      <c r="M35" s="168"/>
      <c r="N35" s="27">
        <f t="shared" si="3"/>
        <v>4</v>
      </c>
      <c r="O35" s="27"/>
      <c r="P35" s="31"/>
    </row>
    <row r="36" spans="1:16" ht="8.1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</row>
    <row r="37" spans="1:16">
      <c r="A37" s="166" t="s">
        <v>42</v>
      </c>
      <c r="B37" s="166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</row>
    <row r="38" spans="1:16">
      <c r="A38" s="166"/>
      <c r="B38" s="166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</row>
    <row r="39" spans="1:16">
      <c r="A39" s="166"/>
      <c r="B39" s="166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</row>
    <row r="40" spans="1:16">
      <c r="A40" s="166"/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</row>
  </sheetData>
  <mergeCells count="56">
    <mergeCell ref="J9:J10"/>
    <mergeCell ref="K9:N9"/>
    <mergeCell ref="O9:O10"/>
    <mergeCell ref="K10:M10"/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K11:M11"/>
    <mergeCell ref="K12:M12"/>
    <mergeCell ref="K13:M13"/>
    <mergeCell ref="K14:M1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K29:M29"/>
    <mergeCell ref="K30:M30"/>
    <mergeCell ref="K31:M31"/>
    <mergeCell ref="K32:M32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A36:P36"/>
    <mergeCell ref="A37:B40"/>
    <mergeCell ref="C37:P40"/>
    <mergeCell ref="K33:M33"/>
    <mergeCell ref="K34:M34"/>
    <mergeCell ref="K35:M35"/>
  </mergeCells>
  <phoneticPr fontId="25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44"/>
  <sheetViews>
    <sheetView zoomScaleNormal="100" zoomScaleSheetLayoutView="100" workbookViewId="0">
      <pane ySplit="9" topLeftCell="A10" activePane="bottomLeft" state="frozen"/>
      <selection pane="bottomLeft" activeCell="V36" sqref="V36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83"/>
      <c r="B1" s="83"/>
      <c r="C1" s="83"/>
      <c r="D1" s="205" t="s">
        <v>40</v>
      </c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6"/>
      <c r="R1" s="207"/>
      <c r="S1" s="14"/>
    </row>
    <row r="2" spans="1:19">
      <c r="A2" s="83"/>
      <c r="B2" s="83"/>
      <c r="C2" s="83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6"/>
      <c r="R2" s="208"/>
      <c r="S2" s="209"/>
    </row>
    <row r="3" spans="1:19" ht="24" customHeight="1">
      <c r="A3" s="83"/>
      <c r="B3" s="83"/>
      <c r="C3" s="83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6"/>
      <c r="R3" s="208"/>
      <c r="S3" s="209"/>
    </row>
    <row r="4" spans="1:19">
      <c r="A4" s="83" t="s">
        <v>14</v>
      </c>
      <c r="B4" s="83"/>
      <c r="C4" s="1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6"/>
      <c r="R4" s="208"/>
      <c r="S4" s="209"/>
    </row>
    <row r="5" spans="1:19">
      <c r="A5" s="83" t="s">
        <v>23</v>
      </c>
      <c r="B5" s="83"/>
      <c r="C5" s="83"/>
      <c r="D5" s="2" t="s">
        <v>29</v>
      </c>
      <c r="E5" s="210"/>
      <c r="F5" s="211"/>
      <c r="G5" s="212" t="s">
        <v>53</v>
      </c>
      <c r="H5" s="100"/>
      <c r="I5" s="101"/>
      <c r="J5" s="101"/>
      <c r="K5" s="102"/>
      <c r="L5" s="212" t="s">
        <v>18</v>
      </c>
      <c r="M5" s="53"/>
      <c r="N5" s="53"/>
      <c r="O5" s="212" t="s">
        <v>18</v>
      </c>
      <c r="P5" s="214" t="str">
        <f>'1. 소켓인수검사'!R2</f>
        <v>26.07.10 하나로엔지니어링_엠이씨이엔지_디엘이엔씨_화성동탄C-14BL 공공주택</v>
      </c>
      <c r="Q5" s="215"/>
      <c r="R5" s="215"/>
      <c r="S5" s="216"/>
    </row>
    <row r="6" spans="1:19">
      <c r="A6" s="83"/>
      <c r="B6" s="83"/>
      <c r="C6" s="83"/>
      <c r="D6" s="2" t="s">
        <v>26</v>
      </c>
      <c r="E6" s="210"/>
      <c r="F6" s="211"/>
      <c r="G6" s="213"/>
      <c r="H6" s="105"/>
      <c r="I6" s="106"/>
      <c r="J6" s="106"/>
      <c r="K6" s="107"/>
      <c r="L6" s="213"/>
      <c r="M6" s="54"/>
      <c r="N6" s="54"/>
      <c r="O6" s="213"/>
      <c r="P6" s="217"/>
      <c r="Q6" s="218"/>
      <c r="R6" s="218"/>
      <c r="S6" s="219"/>
    </row>
    <row r="7" spans="1:19" ht="8.1" customHeight="1">
      <c r="A7" s="105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7"/>
    </row>
    <row r="8" spans="1:19" ht="16.5" customHeight="1">
      <c r="A8" s="108" t="s">
        <v>50</v>
      </c>
      <c r="B8" s="87" t="s">
        <v>57</v>
      </c>
      <c r="C8" s="87" t="s">
        <v>55</v>
      </c>
      <c r="D8" s="87" t="s">
        <v>60</v>
      </c>
      <c r="E8" s="87" t="s">
        <v>45</v>
      </c>
      <c r="F8" s="87" t="s">
        <v>52</v>
      </c>
      <c r="G8" s="87" t="s">
        <v>20</v>
      </c>
      <c r="H8" s="87"/>
      <c r="I8" s="87"/>
      <c r="J8" s="87" t="s">
        <v>0</v>
      </c>
      <c r="K8" s="87"/>
      <c r="L8" s="87"/>
      <c r="M8" s="87" t="s">
        <v>0</v>
      </c>
      <c r="N8" s="87"/>
      <c r="O8" s="87"/>
      <c r="P8" s="87" t="s">
        <v>0</v>
      </c>
      <c r="Q8" s="87"/>
      <c r="R8" s="87"/>
      <c r="S8" s="203"/>
    </row>
    <row r="9" spans="1:19" ht="33" customHeight="1">
      <c r="A9" s="109"/>
      <c r="B9" s="112"/>
      <c r="C9" s="112"/>
      <c r="D9" s="112"/>
      <c r="E9" s="112"/>
      <c r="F9" s="112"/>
      <c r="G9" s="56" t="s">
        <v>30</v>
      </c>
      <c r="H9" s="56" t="s">
        <v>48</v>
      </c>
      <c r="I9" s="56" t="s">
        <v>47</v>
      </c>
      <c r="J9" s="56" t="s">
        <v>16</v>
      </c>
      <c r="K9" s="56" t="s">
        <v>48</v>
      </c>
      <c r="L9" s="56" t="s">
        <v>47</v>
      </c>
      <c r="M9" s="56" t="s">
        <v>22</v>
      </c>
      <c r="N9" s="56" t="s">
        <v>48</v>
      </c>
      <c r="O9" s="56" t="s">
        <v>47</v>
      </c>
      <c r="P9" s="56" t="s">
        <v>19</v>
      </c>
      <c r="Q9" s="56" t="s">
        <v>48</v>
      </c>
      <c r="R9" s="112" t="s">
        <v>47</v>
      </c>
      <c r="S9" s="204"/>
    </row>
    <row r="10" spans="1:19">
      <c r="A10" s="46" t="str">
        <f>'1. 소켓인수검사'!A9</f>
        <v>01</v>
      </c>
      <c r="B10" s="35">
        <f>'1. 소켓인수검사'!C9</f>
        <v>400</v>
      </c>
      <c r="C10" s="35">
        <f>'1. 소켓인수검사'!D9</f>
        <v>300</v>
      </c>
      <c r="D10" s="49" t="s">
        <v>43</v>
      </c>
      <c r="E10" s="52">
        <f>B10*C10/1000000</f>
        <v>0.12</v>
      </c>
      <c r="F10" s="52">
        <f>(B10+C10)*2/1000</f>
        <v>1.4</v>
      </c>
      <c r="G10" s="26"/>
      <c r="H10" s="35"/>
      <c r="I10" s="26"/>
      <c r="J10" s="26"/>
      <c r="K10" s="35"/>
      <c r="L10" s="26"/>
      <c r="M10" s="26">
        <f>F10+0.5</f>
        <v>1.9</v>
      </c>
      <c r="N10" s="35">
        <v>4</v>
      </c>
      <c r="O10" s="26">
        <f>+N10*M10</f>
        <v>7.6</v>
      </c>
      <c r="P10" s="26"/>
      <c r="Q10" s="35"/>
      <c r="R10" s="201"/>
      <c r="S10" s="202"/>
    </row>
    <row r="11" spans="1:19">
      <c r="A11" s="46" t="str">
        <f>'1. 소켓인수검사'!A10</f>
        <v>02</v>
      </c>
      <c r="B11" s="35">
        <f>'1. 소켓인수검사'!C10</f>
        <v>400</v>
      </c>
      <c r="C11" s="35">
        <f>'1. 소켓인수검사'!D10</f>
        <v>350</v>
      </c>
      <c r="D11" s="49" t="s">
        <v>43</v>
      </c>
      <c r="E11" s="52">
        <f>B11*C11/1000000</f>
        <v>0.14000000000000001</v>
      </c>
      <c r="F11" s="52">
        <f>(B11+C11)*2/1000</f>
        <v>1.5</v>
      </c>
      <c r="G11" s="26"/>
      <c r="H11" s="35"/>
      <c r="I11" s="26"/>
      <c r="J11" s="26"/>
      <c r="K11" s="35"/>
      <c r="L11" s="26"/>
      <c r="M11" s="26">
        <f t="shared" ref="M11:M34" si="0">F11+0.5</f>
        <v>2</v>
      </c>
      <c r="N11" s="35">
        <v>4</v>
      </c>
      <c r="O11" s="26">
        <f t="shared" ref="O11:O34" si="1">+N11*M11</f>
        <v>8</v>
      </c>
      <c r="P11" s="26"/>
      <c r="Q11" s="35"/>
      <c r="R11" s="201"/>
      <c r="S11" s="202"/>
    </row>
    <row r="12" spans="1:19">
      <c r="A12" s="46" t="str">
        <f>'1. 소켓인수검사'!A11</f>
        <v>03</v>
      </c>
      <c r="B12" s="35">
        <f>'1. 소켓인수검사'!C11</f>
        <v>450</v>
      </c>
      <c r="C12" s="35">
        <f>'1. 소켓인수검사'!D11</f>
        <v>400</v>
      </c>
      <c r="D12" s="49" t="s">
        <v>43</v>
      </c>
      <c r="E12" s="52">
        <f t="shared" ref="E12:E22" si="2">B12*C12/1000000</f>
        <v>0.18</v>
      </c>
      <c r="F12" s="52">
        <f t="shared" ref="F12:F22" si="3">(B12+C12)*2/1000</f>
        <v>1.7</v>
      </c>
      <c r="G12" s="26"/>
      <c r="H12" s="35"/>
      <c r="I12" s="26"/>
      <c r="J12" s="26"/>
      <c r="K12" s="35"/>
      <c r="L12" s="26"/>
      <c r="M12" s="26">
        <f t="shared" si="0"/>
        <v>2.2000000000000002</v>
      </c>
      <c r="N12" s="35">
        <v>4</v>
      </c>
      <c r="O12" s="26">
        <f t="shared" si="1"/>
        <v>8.8000000000000007</v>
      </c>
      <c r="P12" s="26"/>
      <c r="Q12" s="35"/>
      <c r="R12" s="201"/>
      <c r="S12" s="202"/>
    </row>
    <row r="13" spans="1:19">
      <c r="A13" s="46" t="str">
        <f>'1. 소켓인수검사'!A12</f>
        <v>04</v>
      </c>
      <c r="B13" s="35">
        <f>'1. 소켓인수검사'!C12</f>
        <v>450</v>
      </c>
      <c r="C13" s="35">
        <f>'1. 소켓인수검사'!D12</f>
        <v>500</v>
      </c>
      <c r="D13" s="49" t="s">
        <v>43</v>
      </c>
      <c r="E13" s="52">
        <f t="shared" si="2"/>
        <v>0.22500000000000001</v>
      </c>
      <c r="F13" s="52">
        <f t="shared" si="3"/>
        <v>1.9</v>
      </c>
      <c r="G13" s="26"/>
      <c r="H13" s="35"/>
      <c r="I13" s="26"/>
      <c r="J13" s="26"/>
      <c r="K13" s="35"/>
      <c r="L13" s="26"/>
      <c r="M13" s="26">
        <f t="shared" si="0"/>
        <v>2.4</v>
      </c>
      <c r="N13" s="35">
        <v>4</v>
      </c>
      <c r="O13" s="26">
        <f t="shared" si="1"/>
        <v>9.6</v>
      </c>
      <c r="P13" s="26"/>
      <c r="Q13" s="35"/>
      <c r="R13" s="201"/>
      <c r="S13" s="202"/>
    </row>
    <row r="14" spans="1:19">
      <c r="A14" s="46" t="str">
        <f>'1. 소켓인수검사'!A13</f>
        <v>05</v>
      </c>
      <c r="B14" s="35">
        <f>'1. 소켓인수검사'!C13</f>
        <v>500</v>
      </c>
      <c r="C14" s="35">
        <f>'1. 소켓인수검사'!D13</f>
        <v>300</v>
      </c>
      <c r="D14" s="49" t="s">
        <v>43</v>
      </c>
      <c r="E14" s="52">
        <f t="shared" si="2"/>
        <v>0.15</v>
      </c>
      <c r="F14" s="52">
        <f t="shared" si="3"/>
        <v>1.6</v>
      </c>
      <c r="G14" s="26"/>
      <c r="H14" s="35"/>
      <c r="I14" s="26"/>
      <c r="J14" s="26"/>
      <c r="K14" s="35"/>
      <c r="L14" s="26"/>
      <c r="M14" s="26">
        <f t="shared" si="0"/>
        <v>2.1</v>
      </c>
      <c r="N14" s="35">
        <v>4</v>
      </c>
      <c r="O14" s="26">
        <f t="shared" si="1"/>
        <v>8.4</v>
      </c>
      <c r="P14" s="26"/>
      <c r="Q14" s="35"/>
      <c r="R14" s="201"/>
      <c r="S14" s="202"/>
    </row>
    <row r="15" spans="1:19">
      <c r="A15" s="46" t="str">
        <f>'1. 소켓인수검사'!A14</f>
        <v>06</v>
      </c>
      <c r="B15" s="35">
        <f>'1. 소켓인수검사'!C14</f>
        <v>500</v>
      </c>
      <c r="C15" s="35">
        <f>'1. 소켓인수검사'!D14</f>
        <v>300</v>
      </c>
      <c r="D15" s="49" t="s">
        <v>43</v>
      </c>
      <c r="E15" s="52">
        <f t="shared" si="2"/>
        <v>0.15</v>
      </c>
      <c r="F15" s="52">
        <f t="shared" si="3"/>
        <v>1.6</v>
      </c>
      <c r="G15" s="26"/>
      <c r="H15" s="35"/>
      <c r="I15" s="26"/>
      <c r="J15" s="26"/>
      <c r="K15" s="35"/>
      <c r="L15" s="26"/>
      <c r="M15" s="26">
        <f t="shared" si="0"/>
        <v>2.1</v>
      </c>
      <c r="N15" s="35">
        <v>4</v>
      </c>
      <c r="O15" s="26">
        <f t="shared" si="1"/>
        <v>8.4</v>
      </c>
      <c r="P15" s="26"/>
      <c r="Q15" s="26"/>
      <c r="R15" s="201"/>
      <c r="S15" s="202"/>
    </row>
    <row r="16" spans="1:19">
      <c r="A16" s="46" t="str">
        <f>'1. 소켓인수검사'!A15</f>
        <v>07</v>
      </c>
      <c r="B16" s="35">
        <f>'1. 소켓인수검사'!C15</f>
        <v>500</v>
      </c>
      <c r="C16" s="35">
        <f>'1. 소켓인수검사'!D15</f>
        <v>300</v>
      </c>
      <c r="D16" s="49" t="s">
        <v>43</v>
      </c>
      <c r="E16" s="52">
        <f t="shared" si="2"/>
        <v>0.15</v>
      </c>
      <c r="F16" s="52">
        <f t="shared" si="3"/>
        <v>1.6</v>
      </c>
      <c r="G16" s="26"/>
      <c r="H16" s="35"/>
      <c r="I16" s="26"/>
      <c r="J16" s="26"/>
      <c r="K16" s="35"/>
      <c r="L16" s="26"/>
      <c r="M16" s="26">
        <f t="shared" si="0"/>
        <v>2.1</v>
      </c>
      <c r="N16" s="35">
        <v>4</v>
      </c>
      <c r="O16" s="26">
        <f t="shared" si="1"/>
        <v>8.4</v>
      </c>
      <c r="P16" s="26"/>
      <c r="Q16" s="26"/>
      <c r="R16" s="201"/>
      <c r="S16" s="202"/>
    </row>
    <row r="17" spans="1:19">
      <c r="A17" s="46" t="str">
        <f>'1. 소켓인수검사'!A16</f>
        <v>08</v>
      </c>
      <c r="B17" s="35">
        <f>'1. 소켓인수검사'!C16</f>
        <v>500</v>
      </c>
      <c r="C17" s="35">
        <f>'1. 소켓인수검사'!D16</f>
        <v>300</v>
      </c>
      <c r="D17" s="49" t="s">
        <v>43</v>
      </c>
      <c r="E17" s="52">
        <f t="shared" si="2"/>
        <v>0.15</v>
      </c>
      <c r="F17" s="52">
        <f t="shared" si="3"/>
        <v>1.6</v>
      </c>
      <c r="G17" s="26"/>
      <c r="H17" s="35"/>
      <c r="I17" s="26"/>
      <c r="J17" s="26"/>
      <c r="K17" s="35"/>
      <c r="L17" s="26"/>
      <c r="M17" s="26">
        <f t="shared" si="0"/>
        <v>2.1</v>
      </c>
      <c r="N17" s="35">
        <v>4</v>
      </c>
      <c r="O17" s="26">
        <f t="shared" si="1"/>
        <v>8.4</v>
      </c>
      <c r="P17" s="26"/>
      <c r="Q17" s="26"/>
      <c r="R17" s="201"/>
      <c r="S17" s="202"/>
    </row>
    <row r="18" spans="1:19" ht="16.5" customHeight="1">
      <c r="A18" s="46" t="str">
        <f>'1. 소켓인수검사'!A17</f>
        <v>09</v>
      </c>
      <c r="B18" s="35">
        <f>'1. 소켓인수검사'!C17</f>
        <v>500</v>
      </c>
      <c r="C18" s="35">
        <f>'1. 소켓인수검사'!D17</f>
        <v>300</v>
      </c>
      <c r="D18" s="49" t="s">
        <v>43</v>
      </c>
      <c r="E18" s="52">
        <f t="shared" si="2"/>
        <v>0.15</v>
      </c>
      <c r="F18" s="52">
        <f t="shared" si="3"/>
        <v>1.6</v>
      </c>
      <c r="G18" s="26"/>
      <c r="H18" s="35"/>
      <c r="I18" s="26"/>
      <c r="J18" s="26"/>
      <c r="K18" s="35"/>
      <c r="L18" s="26"/>
      <c r="M18" s="26">
        <f t="shared" si="0"/>
        <v>2.1</v>
      </c>
      <c r="N18" s="35">
        <v>4</v>
      </c>
      <c r="O18" s="26">
        <f t="shared" si="1"/>
        <v>8.4</v>
      </c>
      <c r="P18" s="26"/>
      <c r="Q18" s="26"/>
      <c r="R18" s="201"/>
      <c r="S18" s="202"/>
    </row>
    <row r="19" spans="1:19">
      <c r="A19" s="46" t="str">
        <f>'1. 소켓인수검사'!A18</f>
        <v>10</v>
      </c>
      <c r="B19" s="35">
        <f>'1. 소켓인수검사'!C18</f>
        <v>500</v>
      </c>
      <c r="C19" s="35">
        <f>'1. 소켓인수검사'!D18</f>
        <v>500</v>
      </c>
      <c r="D19" s="49" t="s">
        <v>43</v>
      </c>
      <c r="E19" s="52">
        <f t="shared" si="2"/>
        <v>0.25</v>
      </c>
      <c r="F19" s="52">
        <f t="shared" si="3"/>
        <v>2</v>
      </c>
      <c r="G19" s="26"/>
      <c r="H19" s="35"/>
      <c r="I19" s="26"/>
      <c r="J19" s="26"/>
      <c r="K19" s="35"/>
      <c r="L19" s="26"/>
      <c r="M19" s="26">
        <f t="shared" si="0"/>
        <v>2.5</v>
      </c>
      <c r="N19" s="35">
        <v>4</v>
      </c>
      <c r="O19" s="26">
        <f t="shared" si="1"/>
        <v>10</v>
      </c>
      <c r="P19" s="26"/>
      <c r="Q19" s="26"/>
      <c r="R19" s="201"/>
      <c r="S19" s="202"/>
    </row>
    <row r="20" spans="1:19">
      <c r="A20" s="46" t="str">
        <f>'1. 소켓인수검사'!A19</f>
        <v>11</v>
      </c>
      <c r="B20" s="35">
        <f>'1. 소켓인수검사'!C19</f>
        <v>550</v>
      </c>
      <c r="C20" s="35">
        <f>'1. 소켓인수검사'!D19</f>
        <v>500</v>
      </c>
      <c r="D20" s="49" t="s">
        <v>43</v>
      </c>
      <c r="E20" s="52">
        <f t="shared" si="2"/>
        <v>0.27500000000000002</v>
      </c>
      <c r="F20" s="52">
        <f t="shared" si="3"/>
        <v>2.1</v>
      </c>
      <c r="G20" s="26"/>
      <c r="H20" s="35"/>
      <c r="I20" s="26"/>
      <c r="J20" s="26"/>
      <c r="K20" s="35"/>
      <c r="L20" s="26"/>
      <c r="M20" s="26">
        <f t="shared" si="0"/>
        <v>2.6</v>
      </c>
      <c r="N20" s="35">
        <v>4</v>
      </c>
      <c r="O20" s="26">
        <f t="shared" si="1"/>
        <v>10.4</v>
      </c>
      <c r="P20" s="26"/>
      <c r="Q20" s="26"/>
      <c r="R20" s="201"/>
      <c r="S20" s="202"/>
    </row>
    <row r="21" spans="1:19">
      <c r="A21" s="46" t="str">
        <f>'1. 소켓인수검사'!A20</f>
        <v>12</v>
      </c>
      <c r="B21" s="35">
        <f>'1. 소켓인수검사'!C20</f>
        <v>600</v>
      </c>
      <c r="C21" s="35">
        <f>'1. 소켓인수검사'!D20</f>
        <v>250</v>
      </c>
      <c r="D21" s="49" t="s">
        <v>43</v>
      </c>
      <c r="E21" s="52">
        <f t="shared" si="2"/>
        <v>0.15</v>
      </c>
      <c r="F21" s="52">
        <f t="shared" si="3"/>
        <v>1.7</v>
      </c>
      <c r="G21" s="26"/>
      <c r="H21" s="26"/>
      <c r="I21" s="26"/>
      <c r="J21" s="26"/>
      <c r="K21" s="35"/>
      <c r="L21" s="26"/>
      <c r="M21" s="26">
        <f t="shared" si="0"/>
        <v>2.2000000000000002</v>
      </c>
      <c r="N21" s="35">
        <v>4</v>
      </c>
      <c r="O21" s="26">
        <f t="shared" si="1"/>
        <v>8.8000000000000007</v>
      </c>
      <c r="P21" s="26"/>
      <c r="Q21" s="26"/>
      <c r="R21" s="201"/>
      <c r="S21" s="202"/>
    </row>
    <row r="22" spans="1:19">
      <c r="A22" s="46" t="str">
        <f>'1. 소켓인수검사'!A21</f>
        <v>13</v>
      </c>
      <c r="B22" s="35">
        <f>'1. 소켓인수검사'!C21</f>
        <v>600</v>
      </c>
      <c r="C22" s="35">
        <f>'1. 소켓인수검사'!D21</f>
        <v>300</v>
      </c>
      <c r="D22" s="49" t="s">
        <v>43</v>
      </c>
      <c r="E22" s="52">
        <f t="shared" si="2"/>
        <v>0.18</v>
      </c>
      <c r="F22" s="52">
        <f t="shared" si="3"/>
        <v>1.8</v>
      </c>
      <c r="G22" s="26"/>
      <c r="H22" s="26"/>
      <c r="I22" s="26"/>
      <c r="J22" s="26"/>
      <c r="K22" s="35"/>
      <c r="L22" s="26"/>
      <c r="M22" s="26">
        <f t="shared" si="0"/>
        <v>2.2999999999999998</v>
      </c>
      <c r="N22" s="35">
        <v>4</v>
      </c>
      <c r="O22" s="26">
        <f t="shared" si="1"/>
        <v>9.1999999999999993</v>
      </c>
      <c r="P22" s="26"/>
      <c r="Q22" s="26"/>
      <c r="R22" s="201"/>
      <c r="S22" s="202"/>
    </row>
    <row r="23" spans="1:19">
      <c r="A23" s="46" t="str">
        <f>'1. 소켓인수검사'!A22</f>
        <v>14</v>
      </c>
      <c r="B23" s="35">
        <f>'1. 소켓인수검사'!C22</f>
        <v>600</v>
      </c>
      <c r="C23" s="35">
        <f>'1. 소켓인수검사'!D22</f>
        <v>300</v>
      </c>
      <c r="D23" s="49" t="s">
        <v>43</v>
      </c>
      <c r="E23" s="52">
        <f t="shared" ref="E23:E34" si="4">B23*C23/1000000</f>
        <v>0.18</v>
      </c>
      <c r="F23" s="52">
        <f t="shared" ref="F23:F34" si="5">(B23+C23)*2/1000</f>
        <v>1.8</v>
      </c>
      <c r="G23" s="26"/>
      <c r="H23" s="26"/>
      <c r="I23" s="26"/>
      <c r="J23" s="26"/>
      <c r="K23" s="35"/>
      <c r="L23" s="26"/>
      <c r="M23" s="26">
        <f t="shared" si="0"/>
        <v>2.2999999999999998</v>
      </c>
      <c r="N23" s="35">
        <v>4</v>
      </c>
      <c r="O23" s="26">
        <f t="shared" si="1"/>
        <v>9.1999999999999993</v>
      </c>
      <c r="P23" s="26"/>
      <c r="Q23" s="26"/>
      <c r="R23" s="201"/>
      <c r="S23" s="202"/>
    </row>
    <row r="24" spans="1:19">
      <c r="A24" s="46" t="str">
        <f>'1. 소켓인수검사'!A23</f>
        <v>15</v>
      </c>
      <c r="B24" s="35">
        <f>'1. 소켓인수검사'!C23</f>
        <v>600</v>
      </c>
      <c r="C24" s="35">
        <f>'1. 소켓인수검사'!D23</f>
        <v>300</v>
      </c>
      <c r="D24" s="49" t="s">
        <v>43</v>
      </c>
      <c r="E24" s="52">
        <f t="shared" si="4"/>
        <v>0.18</v>
      </c>
      <c r="F24" s="52">
        <f t="shared" si="5"/>
        <v>1.8</v>
      </c>
      <c r="G24" s="26"/>
      <c r="H24" s="26"/>
      <c r="I24" s="26"/>
      <c r="J24" s="26"/>
      <c r="K24" s="35"/>
      <c r="L24" s="26"/>
      <c r="M24" s="26">
        <f t="shared" si="0"/>
        <v>2.2999999999999998</v>
      </c>
      <c r="N24" s="35">
        <v>4</v>
      </c>
      <c r="O24" s="26">
        <f t="shared" si="1"/>
        <v>9.1999999999999993</v>
      </c>
      <c r="P24" s="26"/>
      <c r="Q24" s="26"/>
      <c r="R24" s="201"/>
      <c r="S24" s="202"/>
    </row>
    <row r="25" spans="1:19">
      <c r="A25" s="46" t="str">
        <f>'1. 소켓인수검사'!A24</f>
        <v>16</v>
      </c>
      <c r="B25" s="35">
        <f>'1. 소켓인수검사'!C24</f>
        <v>600</v>
      </c>
      <c r="C25" s="35">
        <f>'1. 소켓인수검사'!D24</f>
        <v>300</v>
      </c>
      <c r="D25" s="49" t="s">
        <v>43</v>
      </c>
      <c r="E25" s="52">
        <f t="shared" si="4"/>
        <v>0.18</v>
      </c>
      <c r="F25" s="52">
        <f t="shared" si="5"/>
        <v>1.8</v>
      </c>
      <c r="G25" s="26"/>
      <c r="H25" s="26"/>
      <c r="I25" s="26"/>
      <c r="J25" s="26"/>
      <c r="K25" s="35"/>
      <c r="L25" s="26"/>
      <c r="M25" s="26">
        <f t="shared" si="0"/>
        <v>2.2999999999999998</v>
      </c>
      <c r="N25" s="35">
        <v>4</v>
      </c>
      <c r="O25" s="26">
        <f t="shared" si="1"/>
        <v>9.1999999999999993</v>
      </c>
      <c r="P25" s="26"/>
      <c r="Q25" s="26"/>
      <c r="R25" s="201"/>
      <c r="S25" s="202"/>
    </row>
    <row r="26" spans="1:19">
      <c r="A26" s="46" t="str">
        <f>'1. 소켓인수검사'!A25</f>
        <v>17</v>
      </c>
      <c r="B26" s="35">
        <f>'1. 소켓인수검사'!C25</f>
        <v>600</v>
      </c>
      <c r="C26" s="35">
        <f>'1. 소켓인수검사'!D25</f>
        <v>300</v>
      </c>
      <c r="D26" s="49" t="s">
        <v>43</v>
      </c>
      <c r="E26" s="52">
        <f t="shared" si="4"/>
        <v>0.18</v>
      </c>
      <c r="F26" s="52">
        <f t="shared" si="5"/>
        <v>1.8</v>
      </c>
      <c r="G26" s="26"/>
      <c r="H26" s="26"/>
      <c r="I26" s="26"/>
      <c r="J26" s="26"/>
      <c r="K26" s="35"/>
      <c r="L26" s="26"/>
      <c r="M26" s="26">
        <f t="shared" si="0"/>
        <v>2.2999999999999998</v>
      </c>
      <c r="N26" s="35">
        <v>4</v>
      </c>
      <c r="O26" s="26">
        <f t="shared" si="1"/>
        <v>9.1999999999999993</v>
      </c>
      <c r="P26" s="26"/>
      <c r="Q26" s="26"/>
      <c r="R26" s="201"/>
      <c r="S26" s="202"/>
    </row>
    <row r="27" spans="1:19">
      <c r="A27" s="46" t="str">
        <f>'1. 소켓인수검사'!A26</f>
        <v>18</v>
      </c>
      <c r="B27" s="35">
        <f>'1. 소켓인수검사'!C26</f>
        <v>600</v>
      </c>
      <c r="C27" s="35">
        <f>'1. 소켓인수검사'!D26</f>
        <v>300</v>
      </c>
      <c r="D27" s="49" t="s">
        <v>43</v>
      </c>
      <c r="E27" s="52">
        <f t="shared" si="4"/>
        <v>0.18</v>
      </c>
      <c r="F27" s="52">
        <f t="shared" si="5"/>
        <v>1.8</v>
      </c>
      <c r="G27" s="26"/>
      <c r="H27" s="26"/>
      <c r="I27" s="26"/>
      <c r="J27" s="26"/>
      <c r="K27" s="35"/>
      <c r="L27" s="26"/>
      <c r="M27" s="26">
        <f t="shared" si="0"/>
        <v>2.2999999999999998</v>
      </c>
      <c r="N27" s="35">
        <v>4</v>
      </c>
      <c r="O27" s="26">
        <f t="shared" si="1"/>
        <v>9.1999999999999993</v>
      </c>
      <c r="P27" s="26"/>
      <c r="Q27" s="26"/>
      <c r="R27" s="201"/>
      <c r="S27" s="202"/>
    </row>
    <row r="28" spans="1:19">
      <c r="A28" s="46" t="str">
        <f>'1. 소켓인수검사'!A27</f>
        <v>19</v>
      </c>
      <c r="B28" s="35">
        <f>'1. 소켓인수검사'!C27</f>
        <v>600</v>
      </c>
      <c r="C28" s="35">
        <f>'1. 소켓인수검사'!D27</f>
        <v>400</v>
      </c>
      <c r="D28" s="49" t="s">
        <v>43</v>
      </c>
      <c r="E28" s="52">
        <f t="shared" si="4"/>
        <v>0.24</v>
      </c>
      <c r="F28" s="52">
        <f t="shared" si="5"/>
        <v>2</v>
      </c>
      <c r="G28" s="26"/>
      <c r="H28" s="26"/>
      <c r="I28" s="26"/>
      <c r="J28" s="26"/>
      <c r="K28" s="35"/>
      <c r="L28" s="26"/>
      <c r="M28" s="26">
        <f t="shared" si="0"/>
        <v>2.5</v>
      </c>
      <c r="N28" s="35">
        <v>4</v>
      </c>
      <c r="O28" s="26">
        <f t="shared" si="1"/>
        <v>10</v>
      </c>
      <c r="P28" s="26"/>
      <c r="Q28" s="26"/>
      <c r="R28" s="201"/>
      <c r="S28" s="202"/>
    </row>
    <row r="29" spans="1:19">
      <c r="A29" s="46" t="str">
        <f>'1. 소켓인수검사'!A28</f>
        <v>20</v>
      </c>
      <c r="B29" s="35">
        <f>'1. 소켓인수검사'!C28</f>
        <v>650</v>
      </c>
      <c r="C29" s="35">
        <f>'1. 소켓인수검사'!D28</f>
        <v>250</v>
      </c>
      <c r="D29" s="49" t="s">
        <v>43</v>
      </c>
      <c r="E29" s="52">
        <f t="shared" si="4"/>
        <v>0.16250000000000001</v>
      </c>
      <c r="F29" s="52">
        <f t="shared" si="5"/>
        <v>1.8</v>
      </c>
      <c r="G29" s="26"/>
      <c r="H29" s="26"/>
      <c r="I29" s="26"/>
      <c r="J29" s="26"/>
      <c r="K29" s="35"/>
      <c r="L29" s="26"/>
      <c r="M29" s="26">
        <f t="shared" si="0"/>
        <v>2.2999999999999998</v>
      </c>
      <c r="N29" s="35">
        <v>4</v>
      </c>
      <c r="O29" s="26">
        <f t="shared" si="1"/>
        <v>9.1999999999999993</v>
      </c>
      <c r="P29" s="26"/>
      <c r="Q29" s="26"/>
      <c r="R29" s="201"/>
      <c r="S29" s="202"/>
    </row>
    <row r="30" spans="1:19">
      <c r="A30" s="46" t="str">
        <f>'1. 소켓인수검사'!A29</f>
        <v>21</v>
      </c>
      <c r="B30" s="35">
        <f>'1. 소켓인수검사'!C29</f>
        <v>750</v>
      </c>
      <c r="C30" s="35">
        <f>'1. 소켓인수검사'!D29</f>
        <v>400</v>
      </c>
      <c r="D30" s="49" t="s">
        <v>43</v>
      </c>
      <c r="E30" s="52">
        <f t="shared" si="4"/>
        <v>0.3</v>
      </c>
      <c r="F30" s="52">
        <f t="shared" si="5"/>
        <v>2.2999999999999998</v>
      </c>
      <c r="G30" s="26"/>
      <c r="H30" s="26"/>
      <c r="I30" s="26"/>
      <c r="J30" s="26"/>
      <c r="K30" s="35"/>
      <c r="L30" s="26"/>
      <c r="M30" s="26">
        <f t="shared" si="0"/>
        <v>2.8</v>
      </c>
      <c r="N30" s="35">
        <v>4</v>
      </c>
      <c r="O30" s="26">
        <f t="shared" si="1"/>
        <v>11.2</v>
      </c>
      <c r="P30" s="26"/>
      <c r="Q30" s="26"/>
      <c r="R30" s="201"/>
      <c r="S30" s="202"/>
    </row>
    <row r="31" spans="1:19">
      <c r="A31" s="46" t="str">
        <f>'1. 소켓인수검사'!A30</f>
        <v>22</v>
      </c>
      <c r="B31" s="35">
        <f>'1. 소켓인수검사'!C30</f>
        <v>750</v>
      </c>
      <c r="C31" s="35">
        <f>'1. 소켓인수검사'!D30</f>
        <v>400</v>
      </c>
      <c r="D31" s="49" t="s">
        <v>43</v>
      </c>
      <c r="E31" s="52">
        <f t="shared" si="4"/>
        <v>0.3</v>
      </c>
      <c r="F31" s="52">
        <f t="shared" si="5"/>
        <v>2.2999999999999998</v>
      </c>
      <c r="G31" s="26"/>
      <c r="H31" s="26"/>
      <c r="I31" s="26"/>
      <c r="J31" s="26"/>
      <c r="K31" s="35"/>
      <c r="L31" s="26"/>
      <c r="M31" s="26">
        <f t="shared" si="0"/>
        <v>2.8</v>
      </c>
      <c r="N31" s="35">
        <v>4</v>
      </c>
      <c r="O31" s="26">
        <f t="shared" si="1"/>
        <v>11.2</v>
      </c>
      <c r="P31" s="26"/>
      <c r="Q31" s="26"/>
      <c r="R31" s="201"/>
      <c r="S31" s="202"/>
    </row>
    <row r="32" spans="1:19">
      <c r="A32" s="46" t="str">
        <f>'1. 소켓인수검사'!A31</f>
        <v>23</v>
      </c>
      <c r="B32" s="35">
        <f>'1. 소켓인수검사'!C31</f>
        <v>750</v>
      </c>
      <c r="C32" s="35">
        <f>'1. 소켓인수검사'!D31</f>
        <v>400</v>
      </c>
      <c r="D32" s="49" t="s">
        <v>43</v>
      </c>
      <c r="E32" s="52">
        <f t="shared" si="4"/>
        <v>0.3</v>
      </c>
      <c r="F32" s="52">
        <f t="shared" si="5"/>
        <v>2.2999999999999998</v>
      </c>
      <c r="G32" s="26"/>
      <c r="H32" s="26"/>
      <c r="I32" s="26"/>
      <c r="J32" s="26"/>
      <c r="K32" s="35"/>
      <c r="L32" s="26"/>
      <c r="M32" s="26">
        <f t="shared" si="0"/>
        <v>2.8</v>
      </c>
      <c r="N32" s="35">
        <v>4</v>
      </c>
      <c r="O32" s="26">
        <f t="shared" si="1"/>
        <v>11.2</v>
      </c>
      <c r="P32" s="26"/>
      <c r="Q32" s="26"/>
      <c r="R32" s="201"/>
      <c r="S32" s="202"/>
    </row>
    <row r="33" spans="1:19">
      <c r="A33" s="46" t="str">
        <f>'1. 소켓인수검사'!A32</f>
        <v>24</v>
      </c>
      <c r="B33" s="35">
        <f>'1. 소켓인수검사'!C32</f>
        <v>1000</v>
      </c>
      <c r="C33" s="35">
        <f>'1. 소켓인수검사'!D32</f>
        <v>550</v>
      </c>
      <c r="D33" s="49" t="s">
        <v>43</v>
      </c>
      <c r="E33" s="52">
        <f t="shared" si="4"/>
        <v>0.55000000000000004</v>
      </c>
      <c r="F33" s="52">
        <f t="shared" si="5"/>
        <v>3.1</v>
      </c>
      <c r="G33" s="26"/>
      <c r="H33" s="26"/>
      <c r="I33" s="26"/>
      <c r="J33" s="26"/>
      <c r="K33" s="35"/>
      <c r="L33" s="26"/>
      <c r="M33" s="26">
        <f t="shared" si="0"/>
        <v>3.6</v>
      </c>
      <c r="N33" s="35">
        <v>4</v>
      </c>
      <c r="O33" s="26">
        <f t="shared" si="1"/>
        <v>14.4</v>
      </c>
      <c r="P33" s="26"/>
      <c r="Q33" s="26"/>
      <c r="R33" s="201"/>
      <c r="S33" s="202"/>
    </row>
    <row r="34" spans="1:19">
      <c r="A34" s="46" t="str">
        <f>'1. 소켓인수검사'!A33</f>
        <v>25</v>
      </c>
      <c r="B34" s="35">
        <f>'1. 소켓인수검사'!C33</f>
        <v>1150</v>
      </c>
      <c r="C34" s="35">
        <f>'1. 소켓인수검사'!D33</f>
        <v>250</v>
      </c>
      <c r="D34" s="49" t="s">
        <v>43</v>
      </c>
      <c r="E34" s="52">
        <f t="shared" si="4"/>
        <v>0.28749999999999998</v>
      </c>
      <c r="F34" s="52">
        <f t="shared" si="5"/>
        <v>2.8</v>
      </c>
      <c r="G34" s="26"/>
      <c r="H34" s="26"/>
      <c r="I34" s="26"/>
      <c r="J34" s="26"/>
      <c r="K34" s="35"/>
      <c r="L34" s="26"/>
      <c r="M34" s="26">
        <f t="shared" si="0"/>
        <v>3.3</v>
      </c>
      <c r="N34" s="35">
        <v>4</v>
      </c>
      <c r="O34" s="26">
        <f t="shared" si="1"/>
        <v>13.2</v>
      </c>
      <c r="P34" s="26"/>
      <c r="Q34" s="26"/>
      <c r="R34" s="201"/>
      <c r="S34" s="202"/>
    </row>
    <row r="35" spans="1:19">
      <c r="A35" s="196" t="s">
        <v>3</v>
      </c>
      <c r="B35" s="197"/>
      <c r="C35" s="197"/>
      <c r="D35" s="197"/>
      <c r="E35" s="197"/>
      <c r="F35" s="198"/>
      <c r="G35" s="33"/>
      <c r="H35" s="43"/>
      <c r="I35" s="60">
        <f>SUM(I10:I34)</f>
        <v>0</v>
      </c>
      <c r="J35" s="33"/>
      <c r="K35" s="33"/>
      <c r="L35" s="60">
        <f>SUM(L10:L34)</f>
        <v>0</v>
      </c>
      <c r="M35" s="33"/>
      <c r="N35" s="33"/>
      <c r="O35" s="60">
        <f>SUM(O10:O34)</f>
        <v>240.79999999999993</v>
      </c>
      <c r="P35" s="33"/>
      <c r="Q35" s="33"/>
      <c r="R35" s="199">
        <f>SUM(R10:S34)</f>
        <v>0</v>
      </c>
      <c r="S35" s="200"/>
    </row>
    <row r="36" spans="1:19" ht="17.25" customHeight="1">
      <c r="A36" s="189" t="s">
        <v>12</v>
      </c>
      <c r="B36" s="190"/>
      <c r="C36" s="190"/>
      <c r="D36" s="190"/>
      <c r="E36" s="190"/>
      <c r="F36" s="191"/>
      <c r="G36" s="192">
        <f>I35/20</f>
        <v>0</v>
      </c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4"/>
    </row>
    <row r="37" spans="1:19">
      <c r="A37" s="189" t="s">
        <v>11</v>
      </c>
      <c r="B37" s="190"/>
      <c r="C37" s="190"/>
      <c r="D37" s="190"/>
      <c r="E37" s="190"/>
      <c r="F37" s="191"/>
      <c r="G37" s="192">
        <f>L35/3.6</f>
        <v>0</v>
      </c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4"/>
    </row>
    <row r="38" spans="1:19">
      <c r="A38" s="195" t="s">
        <v>67</v>
      </c>
      <c r="B38" s="190"/>
      <c r="C38" s="190"/>
      <c r="D38" s="190"/>
      <c r="E38" s="190"/>
      <c r="F38" s="191"/>
      <c r="G38" s="192">
        <f>O35/7.4</f>
        <v>32.540540540540526</v>
      </c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4"/>
    </row>
    <row r="39" spans="1:19">
      <c r="A39" s="189" t="s">
        <v>13</v>
      </c>
      <c r="B39" s="190"/>
      <c r="C39" s="190"/>
      <c r="D39" s="190"/>
      <c r="E39" s="190"/>
      <c r="F39" s="191"/>
      <c r="G39" s="192">
        <f>R35/3.6</f>
        <v>0</v>
      </c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4"/>
    </row>
    <row r="40" spans="1:19" ht="8.1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</row>
    <row r="41" spans="1:19">
      <c r="A41" s="83" t="s">
        <v>42</v>
      </c>
      <c r="B41" s="83"/>
      <c r="C41" s="187"/>
      <c r="D41" s="188"/>
      <c r="E41" s="188"/>
      <c r="F41" s="188"/>
      <c r="G41" s="188"/>
      <c r="H41" s="188"/>
      <c r="I41" s="188"/>
      <c r="J41" s="188"/>
      <c r="K41" s="188"/>
      <c r="L41" s="188"/>
      <c r="M41" s="188"/>
      <c r="N41" s="188"/>
      <c r="O41" s="188"/>
      <c r="P41" s="188"/>
      <c r="Q41" s="188"/>
      <c r="R41" s="188"/>
      <c r="S41" s="188"/>
    </row>
    <row r="42" spans="1:19">
      <c r="A42" s="83"/>
      <c r="B42" s="83"/>
      <c r="C42" s="188"/>
      <c r="D42" s="188"/>
      <c r="E42" s="188"/>
      <c r="F42" s="188"/>
      <c r="G42" s="188"/>
      <c r="H42" s="188"/>
      <c r="I42" s="188"/>
      <c r="J42" s="188"/>
      <c r="K42" s="188"/>
      <c r="L42" s="188"/>
      <c r="M42" s="188"/>
      <c r="N42" s="188"/>
      <c r="O42" s="188"/>
      <c r="P42" s="188"/>
      <c r="Q42" s="188"/>
      <c r="R42" s="188"/>
      <c r="S42" s="188"/>
    </row>
    <row r="43" spans="1:19">
      <c r="A43" s="83"/>
      <c r="B43" s="83"/>
      <c r="C43" s="188"/>
      <c r="D43" s="188"/>
      <c r="E43" s="188"/>
      <c r="F43" s="188"/>
      <c r="G43" s="188"/>
      <c r="H43" s="188"/>
      <c r="I43" s="188"/>
      <c r="J43" s="188"/>
      <c r="K43" s="188"/>
      <c r="L43" s="188"/>
      <c r="M43" s="188"/>
      <c r="N43" s="188"/>
      <c r="O43" s="188"/>
      <c r="P43" s="188"/>
      <c r="Q43" s="188"/>
      <c r="R43" s="188"/>
      <c r="S43" s="188"/>
    </row>
    <row r="44" spans="1:19">
      <c r="A44" s="83"/>
      <c r="B44" s="83"/>
      <c r="C44" s="188"/>
      <c r="D44" s="188"/>
      <c r="E44" s="188"/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</row>
  </sheetData>
  <mergeCells count="64">
    <mergeCell ref="L5:L6"/>
    <mergeCell ref="O5:O6"/>
    <mergeCell ref="P5:S6"/>
    <mergeCell ref="E6:F6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  <mergeCell ref="R10:S10"/>
    <mergeCell ref="R11:S11"/>
    <mergeCell ref="R12:S12"/>
    <mergeCell ref="R13:S13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28:S28"/>
    <mergeCell ref="R29:S29"/>
    <mergeCell ref="R30:S30"/>
    <mergeCell ref="R31:S31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A35:F35"/>
    <mergeCell ref="R35:S35"/>
    <mergeCell ref="R32:S32"/>
    <mergeCell ref="R33:S33"/>
    <mergeCell ref="R34:S34"/>
    <mergeCell ref="A41:B44"/>
    <mergeCell ref="C41:S44"/>
    <mergeCell ref="A36:F36"/>
    <mergeCell ref="G36:S36"/>
    <mergeCell ref="A37:F37"/>
    <mergeCell ref="G37:S37"/>
    <mergeCell ref="A38:F38"/>
    <mergeCell ref="G38:S38"/>
    <mergeCell ref="A39:F39"/>
    <mergeCell ref="G39:S39"/>
    <mergeCell ref="A40:S40"/>
  </mergeCells>
  <phoneticPr fontId="25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39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R7" sqref="R7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83"/>
      <c r="B1" s="83"/>
      <c r="C1" s="83"/>
      <c r="D1" s="83"/>
      <c r="E1" s="68" t="s">
        <v>7</v>
      </c>
      <c r="F1" s="91" t="s">
        <v>64</v>
      </c>
      <c r="G1" s="91"/>
      <c r="H1" s="91"/>
      <c r="I1" s="91"/>
      <c r="J1" s="91"/>
      <c r="K1" s="94" t="str">
        <f>'1. 소켓인수검사'!R2</f>
        <v>26.07.10 하나로엔지니어링_엠이씨이엔지_디엘이엔씨_화성동탄C-14BL 공공주택</v>
      </c>
      <c r="L1" s="94"/>
      <c r="M1" s="94"/>
      <c r="N1" s="94"/>
      <c r="O1" s="94"/>
      <c r="P1" s="94"/>
      <c r="Q1" s="94"/>
      <c r="R1" s="94"/>
      <c r="S1" s="94"/>
      <c r="T1" s="94"/>
      <c r="U1" s="95"/>
    </row>
    <row r="2" spans="1:21" ht="16.5" customHeight="1">
      <c r="A2" s="83"/>
      <c r="B2" s="83"/>
      <c r="C2" s="83"/>
      <c r="D2" s="83"/>
      <c r="E2" s="67"/>
      <c r="F2" s="92"/>
      <c r="G2" s="92"/>
      <c r="H2" s="92"/>
      <c r="I2" s="92"/>
      <c r="J2" s="92"/>
      <c r="K2" s="96"/>
      <c r="L2" s="96"/>
      <c r="M2" s="96"/>
      <c r="N2" s="96"/>
      <c r="O2" s="96"/>
      <c r="P2" s="96"/>
      <c r="Q2" s="96"/>
      <c r="R2" s="96"/>
      <c r="S2" s="96"/>
      <c r="T2" s="96"/>
      <c r="U2" s="97"/>
    </row>
    <row r="3" spans="1:21" ht="24" customHeight="1">
      <c r="A3" s="83"/>
      <c r="B3" s="83"/>
      <c r="C3" s="83"/>
      <c r="D3" s="83"/>
      <c r="E3" s="69"/>
      <c r="F3" s="93"/>
      <c r="G3" s="93"/>
      <c r="H3" s="93"/>
      <c r="I3" s="93"/>
      <c r="J3" s="93"/>
      <c r="K3" s="98"/>
      <c r="L3" s="98"/>
      <c r="M3" s="98"/>
      <c r="N3" s="98"/>
      <c r="O3" s="98"/>
      <c r="P3" s="98"/>
      <c r="Q3" s="98"/>
      <c r="R3" s="98"/>
      <c r="S3" s="98"/>
      <c r="T3" s="98"/>
      <c r="U3" s="99"/>
    </row>
    <row r="4" spans="1:21" ht="8.1" customHeight="1">
      <c r="A4" s="105"/>
      <c r="B4" s="106"/>
      <c r="C4" s="106"/>
      <c r="D4" s="106"/>
      <c r="E4" s="106"/>
      <c r="F4" s="106"/>
      <c r="G4" s="106"/>
      <c r="H4" s="105"/>
      <c r="I4" s="106"/>
      <c r="J4" s="106"/>
      <c r="K4" s="106"/>
      <c r="L4" s="106"/>
      <c r="M4" s="106"/>
      <c r="N4" s="106"/>
      <c r="O4" s="106"/>
      <c r="P4" s="106"/>
      <c r="Q4" s="3"/>
      <c r="S4" s="3"/>
      <c r="T4" s="3"/>
      <c r="U4" s="3"/>
    </row>
    <row r="5" spans="1:21" ht="16.5" customHeight="1">
      <c r="A5" s="108" t="s">
        <v>50</v>
      </c>
      <c r="B5" s="110" t="s">
        <v>33</v>
      </c>
      <c r="C5" s="87" t="s">
        <v>57</v>
      </c>
      <c r="D5" s="87" t="s">
        <v>55</v>
      </c>
      <c r="E5" s="87" t="s">
        <v>21</v>
      </c>
      <c r="F5" s="87" t="s">
        <v>45</v>
      </c>
      <c r="G5" s="87" t="s">
        <v>52</v>
      </c>
      <c r="H5" s="87" t="s">
        <v>37</v>
      </c>
      <c r="I5" s="87" t="s">
        <v>20</v>
      </c>
      <c r="J5" s="87"/>
      <c r="K5" s="87" t="s">
        <v>0</v>
      </c>
      <c r="L5" s="87"/>
      <c r="M5" s="87" t="s">
        <v>0</v>
      </c>
      <c r="N5" s="87"/>
      <c r="O5" s="87" t="s">
        <v>0</v>
      </c>
      <c r="P5" s="87"/>
      <c r="Q5" s="84" t="s">
        <v>44</v>
      </c>
      <c r="R5" s="84"/>
      <c r="S5" s="85" t="s">
        <v>27</v>
      </c>
      <c r="T5" s="85" t="s">
        <v>49</v>
      </c>
      <c r="U5" s="83" t="s">
        <v>15</v>
      </c>
    </row>
    <row r="6" spans="1:21" ht="26.45" customHeight="1">
      <c r="A6" s="109"/>
      <c r="B6" s="111"/>
      <c r="C6" s="112"/>
      <c r="D6" s="112"/>
      <c r="E6" s="112"/>
      <c r="F6" s="112"/>
      <c r="G6" s="112"/>
      <c r="H6" s="112"/>
      <c r="I6" s="56" t="s">
        <v>8</v>
      </c>
      <c r="J6" s="34" t="s">
        <v>48</v>
      </c>
      <c r="K6" s="56" t="s">
        <v>65</v>
      </c>
      <c r="L6" s="34" t="s">
        <v>48</v>
      </c>
      <c r="M6" s="56" t="s">
        <v>32</v>
      </c>
      <c r="N6" s="34" t="s">
        <v>48</v>
      </c>
      <c r="O6" s="56" t="s">
        <v>34</v>
      </c>
      <c r="P6" s="34" t="s">
        <v>48</v>
      </c>
      <c r="Q6" s="56" t="s">
        <v>46</v>
      </c>
      <c r="R6" s="34" t="s">
        <v>58</v>
      </c>
      <c r="S6" s="86"/>
      <c r="T6" s="86"/>
      <c r="U6" s="88"/>
    </row>
    <row r="7" spans="1:21">
      <c r="A7" s="46" t="str">
        <f>'1. 소켓인수검사'!A9</f>
        <v>01</v>
      </c>
      <c r="B7" s="57" t="s">
        <v>36</v>
      </c>
      <c r="C7" s="35">
        <f>'1. 소켓인수검사'!C9</f>
        <v>400</v>
      </c>
      <c r="D7" s="35">
        <f>'1. 소켓인수검사'!D9</f>
        <v>300</v>
      </c>
      <c r="E7" s="36"/>
      <c r="F7" s="37">
        <f t="shared" ref="F7:F31" si="0">C7*D7/1000000</f>
        <v>0.12</v>
      </c>
      <c r="G7" s="37">
        <f t="shared" ref="G7:G31" si="1">(C7+D7)*2/1000</f>
        <v>1.4</v>
      </c>
      <c r="H7" s="42">
        <v>3</v>
      </c>
      <c r="I7" s="56"/>
      <c r="J7" s="34"/>
      <c r="K7" s="26">
        <f t="shared" ref="K7:K31" si="2">G7+0.5</f>
        <v>1.9</v>
      </c>
      <c r="L7" s="34">
        <v>4</v>
      </c>
      <c r="M7" s="26"/>
      <c r="N7" s="34"/>
      <c r="O7" s="26"/>
      <c r="P7" s="34"/>
      <c r="Q7" s="38">
        <f t="shared" ref="Q7:Q31" si="3">(((C7+60)+250+(D7+60))*2/1000)*2</f>
        <v>4.28</v>
      </c>
      <c r="R7" s="81">
        <f t="shared" ref="R7:R31" si="4">Q7</f>
        <v>4.28</v>
      </c>
      <c r="S7" s="39" t="s">
        <v>39</v>
      </c>
      <c r="T7" s="40" t="s">
        <v>6</v>
      </c>
      <c r="U7" s="41" t="str">
        <f>'1. 소켓인수검사'!G9</f>
        <v>판매시설A 지상1층 2번</v>
      </c>
    </row>
    <row r="8" spans="1:21">
      <c r="A8" s="46" t="str">
        <f>'1. 소켓인수검사'!A10</f>
        <v>02</v>
      </c>
      <c r="B8" s="57" t="s">
        <v>36</v>
      </c>
      <c r="C8" s="35">
        <f>'1. 소켓인수검사'!C10</f>
        <v>400</v>
      </c>
      <c r="D8" s="35">
        <f>'1. 소켓인수검사'!D10</f>
        <v>350</v>
      </c>
      <c r="E8" s="36"/>
      <c r="F8" s="37">
        <f t="shared" si="0"/>
        <v>0.14000000000000001</v>
      </c>
      <c r="G8" s="37">
        <f t="shared" si="1"/>
        <v>1.5</v>
      </c>
      <c r="H8" s="42">
        <v>3</v>
      </c>
      <c r="I8" s="56"/>
      <c r="J8" s="34"/>
      <c r="K8" s="26">
        <f t="shared" si="2"/>
        <v>2</v>
      </c>
      <c r="L8" s="34">
        <v>4</v>
      </c>
      <c r="M8" s="26"/>
      <c r="N8" s="34"/>
      <c r="O8" s="26"/>
      <c r="P8" s="34"/>
      <c r="Q8" s="38">
        <f t="shared" si="3"/>
        <v>4.4800000000000004</v>
      </c>
      <c r="R8" s="81">
        <f t="shared" si="4"/>
        <v>4.4800000000000004</v>
      </c>
      <c r="S8" s="39" t="s">
        <v>39</v>
      </c>
      <c r="T8" s="40" t="s">
        <v>6</v>
      </c>
      <c r="U8" s="41" t="str">
        <f>'1. 소켓인수검사'!G10</f>
        <v>판매시설A 지상2층 2번</v>
      </c>
    </row>
    <row r="9" spans="1:21">
      <c r="A9" s="46" t="str">
        <f>'1. 소켓인수검사'!A11</f>
        <v>03</v>
      </c>
      <c r="B9" s="57" t="s">
        <v>36</v>
      </c>
      <c r="C9" s="35">
        <f>'1. 소켓인수검사'!C11</f>
        <v>450</v>
      </c>
      <c r="D9" s="35">
        <f>'1. 소켓인수검사'!D11</f>
        <v>400</v>
      </c>
      <c r="E9" s="36"/>
      <c r="F9" s="37">
        <f t="shared" si="0"/>
        <v>0.18</v>
      </c>
      <c r="G9" s="37">
        <f t="shared" si="1"/>
        <v>1.7</v>
      </c>
      <c r="H9" s="42">
        <v>3</v>
      </c>
      <c r="I9" s="56"/>
      <c r="J9" s="34"/>
      <c r="K9" s="26">
        <f t="shared" si="2"/>
        <v>2.2000000000000002</v>
      </c>
      <c r="L9" s="34">
        <v>4</v>
      </c>
      <c r="M9" s="26"/>
      <c r="N9" s="34"/>
      <c r="O9" s="26"/>
      <c r="P9" s="34"/>
      <c r="Q9" s="38">
        <f t="shared" si="3"/>
        <v>4.88</v>
      </c>
      <c r="R9" s="81">
        <f t="shared" si="4"/>
        <v>4.88</v>
      </c>
      <c r="S9" s="39" t="s">
        <v>39</v>
      </c>
      <c r="T9" s="40" t="s">
        <v>6</v>
      </c>
      <c r="U9" s="41" t="str">
        <f>'1. 소켓인수검사'!G11</f>
        <v>판매시설A 201동 지상1층 4번</v>
      </c>
    </row>
    <row r="10" spans="1:21">
      <c r="A10" s="46" t="str">
        <f>'1. 소켓인수검사'!A12</f>
        <v>04</v>
      </c>
      <c r="B10" s="57" t="s">
        <v>36</v>
      </c>
      <c r="C10" s="35">
        <f>'1. 소켓인수검사'!C12</f>
        <v>450</v>
      </c>
      <c r="D10" s="35">
        <f>'1. 소켓인수검사'!D12</f>
        <v>500</v>
      </c>
      <c r="E10" s="36"/>
      <c r="F10" s="37">
        <f t="shared" si="0"/>
        <v>0.22500000000000001</v>
      </c>
      <c r="G10" s="37">
        <f t="shared" si="1"/>
        <v>1.9</v>
      </c>
      <c r="H10" s="42">
        <v>3</v>
      </c>
      <c r="I10" s="56"/>
      <c r="J10" s="34"/>
      <c r="K10" s="26">
        <f t="shared" si="2"/>
        <v>2.4</v>
      </c>
      <c r="L10" s="34">
        <v>4</v>
      </c>
      <c r="M10" s="26"/>
      <c r="N10" s="34"/>
      <c r="O10" s="26"/>
      <c r="P10" s="34"/>
      <c r="Q10" s="38">
        <f t="shared" si="3"/>
        <v>5.28</v>
      </c>
      <c r="R10" s="81">
        <f t="shared" si="4"/>
        <v>5.28</v>
      </c>
      <c r="S10" s="39" t="s">
        <v>39</v>
      </c>
      <c r="T10" s="40" t="s">
        <v>6</v>
      </c>
      <c r="U10" s="41" t="str">
        <f>'1. 소켓인수검사'!G12</f>
        <v>판매시설A 201동 지하1층 2번</v>
      </c>
    </row>
    <row r="11" spans="1:21">
      <c r="A11" s="46" t="str">
        <f>'1. 소켓인수검사'!A13</f>
        <v>05</v>
      </c>
      <c r="B11" s="57" t="s">
        <v>36</v>
      </c>
      <c r="C11" s="35">
        <f>'1. 소켓인수검사'!C13</f>
        <v>500</v>
      </c>
      <c r="D11" s="35">
        <f>'1. 소켓인수검사'!D13</f>
        <v>300</v>
      </c>
      <c r="E11" s="36"/>
      <c r="F11" s="37">
        <f t="shared" si="0"/>
        <v>0.15</v>
      </c>
      <c r="G11" s="37">
        <f t="shared" si="1"/>
        <v>1.6</v>
      </c>
      <c r="H11" s="42">
        <v>3</v>
      </c>
      <c r="I11" s="56"/>
      <c r="J11" s="34"/>
      <c r="K11" s="26">
        <f t="shared" si="2"/>
        <v>2.1</v>
      </c>
      <c r="L11" s="34">
        <v>4</v>
      </c>
      <c r="M11" s="26"/>
      <c r="N11" s="34"/>
      <c r="O11" s="26"/>
      <c r="P11" s="34"/>
      <c r="Q11" s="38">
        <f t="shared" si="3"/>
        <v>4.68</v>
      </c>
      <c r="R11" s="81">
        <f t="shared" si="4"/>
        <v>4.68</v>
      </c>
      <c r="S11" s="39" t="s">
        <v>39</v>
      </c>
      <c r="T11" s="40" t="s">
        <v>6</v>
      </c>
      <c r="U11" s="41" t="str">
        <f>'1. 소켓인수검사'!G13</f>
        <v>판매시설B 지상1층 6번</v>
      </c>
    </row>
    <row r="12" spans="1:21">
      <c r="A12" s="46" t="str">
        <f>'1. 소켓인수검사'!A14</f>
        <v>06</v>
      </c>
      <c r="B12" s="57" t="s">
        <v>36</v>
      </c>
      <c r="C12" s="35">
        <f>'1. 소켓인수검사'!C14</f>
        <v>500</v>
      </c>
      <c r="D12" s="35">
        <f>'1. 소켓인수검사'!D14</f>
        <v>300</v>
      </c>
      <c r="E12" s="36"/>
      <c r="F12" s="37">
        <f t="shared" si="0"/>
        <v>0.15</v>
      </c>
      <c r="G12" s="37">
        <f t="shared" si="1"/>
        <v>1.6</v>
      </c>
      <c r="H12" s="42">
        <v>3</v>
      </c>
      <c r="I12" s="56"/>
      <c r="J12" s="34"/>
      <c r="K12" s="26">
        <f t="shared" si="2"/>
        <v>2.1</v>
      </c>
      <c r="L12" s="34">
        <v>4</v>
      </c>
      <c r="M12" s="26"/>
      <c r="N12" s="34"/>
      <c r="O12" s="26"/>
      <c r="P12" s="34"/>
      <c r="Q12" s="38">
        <f t="shared" si="3"/>
        <v>4.68</v>
      </c>
      <c r="R12" s="81">
        <f t="shared" si="4"/>
        <v>4.68</v>
      </c>
      <c r="S12" s="39" t="s">
        <v>39</v>
      </c>
      <c r="T12" s="40" t="s">
        <v>6</v>
      </c>
      <c r="U12" s="41" t="str">
        <f>'1. 소켓인수검사'!G14</f>
        <v>판매시설B 지상2층 6번</v>
      </c>
    </row>
    <row r="13" spans="1:21">
      <c r="A13" s="46" t="str">
        <f>'1. 소켓인수검사'!A15</f>
        <v>07</v>
      </c>
      <c r="B13" s="57" t="s">
        <v>36</v>
      </c>
      <c r="C13" s="35">
        <f>'1. 소켓인수검사'!C15</f>
        <v>500</v>
      </c>
      <c r="D13" s="35">
        <f>'1. 소켓인수검사'!D15</f>
        <v>300</v>
      </c>
      <c r="E13" s="36"/>
      <c r="F13" s="37">
        <f t="shared" si="0"/>
        <v>0.15</v>
      </c>
      <c r="G13" s="37">
        <f t="shared" si="1"/>
        <v>1.6</v>
      </c>
      <c r="H13" s="42">
        <v>3</v>
      </c>
      <c r="I13" s="56"/>
      <c r="J13" s="34"/>
      <c r="K13" s="26">
        <f t="shared" si="2"/>
        <v>2.1</v>
      </c>
      <c r="L13" s="34">
        <v>4</v>
      </c>
      <c r="M13" s="26"/>
      <c r="N13" s="34"/>
      <c r="O13" s="26"/>
      <c r="P13" s="34"/>
      <c r="Q13" s="38">
        <f t="shared" si="3"/>
        <v>4.68</v>
      </c>
      <c r="R13" s="81">
        <f t="shared" si="4"/>
        <v>4.68</v>
      </c>
      <c r="S13" s="39" t="s">
        <v>39</v>
      </c>
      <c r="T13" s="40" t="s">
        <v>6</v>
      </c>
      <c r="U13" s="41" t="str">
        <f>'1. 소켓인수검사'!G15</f>
        <v>판매시설A 201동 지하1층 5번</v>
      </c>
    </row>
    <row r="14" spans="1:21">
      <c r="A14" s="46" t="str">
        <f>'1. 소켓인수검사'!A16</f>
        <v>08</v>
      </c>
      <c r="B14" s="57" t="s">
        <v>36</v>
      </c>
      <c r="C14" s="35">
        <f>'1. 소켓인수검사'!C16</f>
        <v>500</v>
      </c>
      <c r="D14" s="35">
        <f>'1. 소켓인수검사'!D16</f>
        <v>300</v>
      </c>
      <c r="E14" s="36"/>
      <c r="F14" s="37">
        <f t="shared" si="0"/>
        <v>0.15</v>
      </c>
      <c r="G14" s="37">
        <f t="shared" si="1"/>
        <v>1.6</v>
      </c>
      <c r="H14" s="42">
        <v>3</v>
      </c>
      <c r="I14" s="56"/>
      <c r="J14" s="34"/>
      <c r="K14" s="26">
        <f t="shared" si="2"/>
        <v>2.1</v>
      </c>
      <c r="L14" s="34">
        <v>4</v>
      </c>
      <c r="M14" s="26"/>
      <c r="N14" s="34"/>
      <c r="O14" s="26"/>
      <c r="P14" s="34"/>
      <c r="Q14" s="38">
        <f t="shared" si="3"/>
        <v>4.68</v>
      </c>
      <c r="R14" s="81">
        <f t="shared" si="4"/>
        <v>4.68</v>
      </c>
      <c r="S14" s="39" t="s">
        <v>39</v>
      </c>
      <c r="T14" s="40" t="s">
        <v>6</v>
      </c>
      <c r="U14" s="41" t="str">
        <f>'1. 소켓인수검사'!G16</f>
        <v>판매시설A 201동 지상1층 5번</v>
      </c>
    </row>
    <row r="15" spans="1:21">
      <c r="A15" s="46" t="str">
        <f>'1. 소켓인수검사'!A17</f>
        <v>09</v>
      </c>
      <c r="B15" s="57" t="s">
        <v>36</v>
      </c>
      <c r="C15" s="35">
        <f>'1. 소켓인수검사'!C17</f>
        <v>500</v>
      </c>
      <c r="D15" s="35">
        <f>'1. 소켓인수검사'!D17</f>
        <v>300</v>
      </c>
      <c r="E15" s="36"/>
      <c r="F15" s="37">
        <f t="shared" si="0"/>
        <v>0.15</v>
      </c>
      <c r="G15" s="37">
        <f t="shared" si="1"/>
        <v>1.6</v>
      </c>
      <c r="H15" s="42">
        <v>3</v>
      </c>
      <c r="I15" s="56"/>
      <c r="J15" s="34"/>
      <c r="K15" s="26">
        <f t="shared" si="2"/>
        <v>2.1</v>
      </c>
      <c r="L15" s="34">
        <v>4</v>
      </c>
      <c r="M15" s="26"/>
      <c r="N15" s="34"/>
      <c r="O15" s="26"/>
      <c r="P15" s="34"/>
      <c r="Q15" s="38">
        <f t="shared" si="3"/>
        <v>4.68</v>
      </c>
      <c r="R15" s="81">
        <f t="shared" si="4"/>
        <v>4.68</v>
      </c>
      <c r="S15" s="39" t="s">
        <v>39</v>
      </c>
      <c r="T15" s="40" t="s">
        <v>6</v>
      </c>
      <c r="U15" s="41" t="str">
        <f>'1. 소켓인수검사'!G17</f>
        <v>판매시설A 201동 지상2층 7번</v>
      </c>
    </row>
    <row r="16" spans="1:21">
      <c r="A16" s="46" t="str">
        <f>'1. 소켓인수검사'!A18</f>
        <v>10</v>
      </c>
      <c r="B16" s="57" t="s">
        <v>36</v>
      </c>
      <c r="C16" s="35">
        <f>'1. 소켓인수검사'!C18</f>
        <v>500</v>
      </c>
      <c r="D16" s="35">
        <f>'1. 소켓인수검사'!D18</f>
        <v>500</v>
      </c>
      <c r="E16" s="36"/>
      <c r="F16" s="37">
        <f t="shared" si="0"/>
        <v>0.25</v>
      </c>
      <c r="G16" s="37">
        <f t="shared" si="1"/>
        <v>2</v>
      </c>
      <c r="H16" s="42">
        <v>3</v>
      </c>
      <c r="I16" s="56"/>
      <c r="J16" s="34"/>
      <c r="K16" s="26">
        <f t="shared" si="2"/>
        <v>2.5</v>
      </c>
      <c r="L16" s="34">
        <v>4</v>
      </c>
      <c r="M16" s="26"/>
      <c r="N16" s="34"/>
      <c r="O16" s="26"/>
      <c r="P16" s="34"/>
      <c r="Q16" s="38">
        <f t="shared" si="3"/>
        <v>5.48</v>
      </c>
      <c r="R16" s="81">
        <f t="shared" si="4"/>
        <v>5.48</v>
      </c>
      <c r="S16" s="39" t="s">
        <v>39</v>
      </c>
      <c r="T16" s="40" t="s">
        <v>6</v>
      </c>
      <c r="U16" s="41" t="str">
        <f>'1. 소켓인수검사'!G18</f>
        <v>판매시설A 201동 지하1층 7번</v>
      </c>
    </row>
    <row r="17" spans="1:21">
      <c r="A17" s="46" t="str">
        <f>'1. 소켓인수검사'!A19</f>
        <v>11</v>
      </c>
      <c r="B17" s="57" t="s">
        <v>36</v>
      </c>
      <c r="C17" s="35">
        <f>'1. 소켓인수검사'!C19</f>
        <v>550</v>
      </c>
      <c r="D17" s="35">
        <f>'1. 소켓인수검사'!D19</f>
        <v>500</v>
      </c>
      <c r="E17" s="36"/>
      <c r="F17" s="37">
        <f t="shared" si="0"/>
        <v>0.27500000000000002</v>
      </c>
      <c r="G17" s="37">
        <f t="shared" si="1"/>
        <v>2.1</v>
      </c>
      <c r="H17" s="42">
        <v>3</v>
      </c>
      <c r="I17" s="56"/>
      <c r="J17" s="34"/>
      <c r="K17" s="26">
        <f t="shared" si="2"/>
        <v>2.6</v>
      </c>
      <c r="L17" s="34">
        <v>4</v>
      </c>
      <c r="M17" s="26"/>
      <c r="N17" s="34"/>
      <c r="O17" s="26"/>
      <c r="P17" s="34"/>
      <c r="Q17" s="38">
        <f t="shared" si="3"/>
        <v>5.68</v>
      </c>
      <c r="R17" s="81">
        <f t="shared" si="4"/>
        <v>5.68</v>
      </c>
      <c r="S17" s="39" t="s">
        <v>39</v>
      </c>
      <c r="T17" s="40" t="s">
        <v>6</v>
      </c>
      <c r="U17" s="41" t="str">
        <f>'1. 소켓인수검사'!G19</f>
        <v>판매시설A 201동 지하1층 4번</v>
      </c>
    </row>
    <row r="18" spans="1:21">
      <c r="A18" s="46" t="str">
        <f>'1. 소켓인수검사'!A20</f>
        <v>12</v>
      </c>
      <c r="B18" s="57" t="s">
        <v>36</v>
      </c>
      <c r="C18" s="35">
        <f>'1. 소켓인수검사'!C20</f>
        <v>600</v>
      </c>
      <c r="D18" s="35">
        <f>'1. 소켓인수검사'!D20</f>
        <v>250</v>
      </c>
      <c r="E18" s="36"/>
      <c r="F18" s="37">
        <f t="shared" si="0"/>
        <v>0.15</v>
      </c>
      <c r="G18" s="37">
        <f t="shared" si="1"/>
        <v>1.7</v>
      </c>
      <c r="H18" s="42">
        <v>3</v>
      </c>
      <c r="I18" s="56"/>
      <c r="J18" s="34"/>
      <c r="K18" s="26">
        <f t="shared" si="2"/>
        <v>2.2000000000000002</v>
      </c>
      <c r="L18" s="34">
        <v>4</v>
      </c>
      <c r="M18" s="26"/>
      <c r="N18" s="34"/>
      <c r="O18" s="26"/>
      <c r="P18" s="34"/>
      <c r="Q18" s="38">
        <f t="shared" si="3"/>
        <v>4.88</v>
      </c>
      <c r="R18" s="81">
        <f t="shared" si="4"/>
        <v>4.88</v>
      </c>
      <c r="S18" s="39" t="s">
        <v>39</v>
      </c>
      <c r="T18" s="40" t="s">
        <v>6</v>
      </c>
      <c r="U18" s="41" t="str">
        <f>'1. 소켓인수검사'!G20</f>
        <v>판매시설B 옥탑층 6번</v>
      </c>
    </row>
    <row r="19" spans="1:21">
      <c r="A19" s="46" t="str">
        <f>'1. 소켓인수검사'!A21</f>
        <v>13</v>
      </c>
      <c r="B19" s="57" t="s">
        <v>36</v>
      </c>
      <c r="C19" s="35">
        <f>'1. 소켓인수검사'!C21</f>
        <v>600</v>
      </c>
      <c r="D19" s="35">
        <f>'1. 소켓인수검사'!D21</f>
        <v>300</v>
      </c>
      <c r="E19" s="36"/>
      <c r="F19" s="37">
        <f t="shared" si="0"/>
        <v>0.18</v>
      </c>
      <c r="G19" s="37">
        <f t="shared" si="1"/>
        <v>1.8</v>
      </c>
      <c r="H19" s="42">
        <v>3</v>
      </c>
      <c r="I19" s="56"/>
      <c r="J19" s="34"/>
      <c r="K19" s="26">
        <f t="shared" si="2"/>
        <v>2.2999999999999998</v>
      </c>
      <c r="L19" s="34">
        <v>4</v>
      </c>
      <c r="M19" s="26"/>
      <c r="N19" s="34"/>
      <c r="O19" s="26"/>
      <c r="P19" s="34"/>
      <c r="Q19" s="38">
        <f t="shared" si="3"/>
        <v>5.08</v>
      </c>
      <c r="R19" s="81">
        <f t="shared" si="4"/>
        <v>5.08</v>
      </c>
      <c r="S19" s="39" t="s">
        <v>39</v>
      </c>
      <c r="T19" s="40" t="s">
        <v>6</v>
      </c>
      <c r="U19" s="41" t="str">
        <f>'1. 소켓인수검사'!G21</f>
        <v>시그니처 지하2층</v>
      </c>
    </row>
    <row r="20" spans="1:21">
      <c r="A20" s="46" t="str">
        <f>'1. 소켓인수검사'!A22</f>
        <v>14</v>
      </c>
      <c r="B20" s="57" t="s">
        <v>36</v>
      </c>
      <c r="C20" s="35">
        <f>'1. 소켓인수검사'!C22</f>
        <v>600</v>
      </c>
      <c r="D20" s="35">
        <f>'1. 소켓인수검사'!D22</f>
        <v>300</v>
      </c>
      <c r="E20" s="36"/>
      <c r="F20" s="37">
        <f t="shared" si="0"/>
        <v>0.18</v>
      </c>
      <c r="G20" s="37">
        <f t="shared" si="1"/>
        <v>1.8</v>
      </c>
      <c r="H20" s="42">
        <v>3</v>
      </c>
      <c r="I20" s="56"/>
      <c r="J20" s="34"/>
      <c r="K20" s="26">
        <f t="shared" si="2"/>
        <v>2.2999999999999998</v>
      </c>
      <c r="L20" s="34">
        <v>4</v>
      </c>
      <c r="M20" s="26"/>
      <c r="N20" s="34"/>
      <c r="O20" s="26"/>
      <c r="P20" s="34"/>
      <c r="Q20" s="38">
        <f t="shared" si="3"/>
        <v>5.08</v>
      </c>
      <c r="R20" s="81">
        <f t="shared" si="4"/>
        <v>5.08</v>
      </c>
      <c r="S20" s="39" t="s">
        <v>39</v>
      </c>
      <c r="T20" s="40" t="s">
        <v>6</v>
      </c>
      <c r="U20" s="41" t="str">
        <f>'1. 소켓인수검사'!G22</f>
        <v>판매시설A 201동 지하1층 3번</v>
      </c>
    </row>
    <row r="21" spans="1:21">
      <c r="A21" s="46" t="str">
        <f>'1. 소켓인수검사'!A23</f>
        <v>15</v>
      </c>
      <c r="B21" s="57" t="s">
        <v>36</v>
      </c>
      <c r="C21" s="35">
        <f>'1. 소켓인수검사'!C23</f>
        <v>600</v>
      </c>
      <c r="D21" s="35">
        <f>'1. 소켓인수검사'!D23</f>
        <v>300</v>
      </c>
      <c r="E21" s="36"/>
      <c r="F21" s="37">
        <f t="shared" si="0"/>
        <v>0.18</v>
      </c>
      <c r="G21" s="37">
        <f t="shared" si="1"/>
        <v>1.8</v>
      </c>
      <c r="H21" s="42">
        <v>3</v>
      </c>
      <c r="I21" s="56"/>
      <c r="J21" s="34"/>
      <c r="K21" s="26">
        <f t="shared" si="2"/>
        <v>2.2999999999999998</v>
      </c>
      <c r="L21" s="34">
        <v>4</v>
      </c>
      <c r="M21" s="26"/>
      <c r="N21" s="34"/>
      <c r="O21" s="26"/>
      <c r="P21" s="34"/>
      <c r="Q21" s="38">
        <f t="shared" si="3"/>
        <v>5.08</v>
      </c>
      <c r="R21" s="81">
        <f t="shared" si="4"/>
        <v>5.08</v>
      </c>
      <c r="S21" s="39" t="s">
        <v>39</v>
      </c>
      <c r="T21" s="40" t="s">
        <v>6</v>
      </c>
      <c r="U21" s="41" t="str">
        <f>'1. 소켓인수검사'!G23</f>
        <v>판매시설A 201동 지상1층 3번</v>
      </c>
    </row>
    <row r="22" spans="1:21">
      <c r="A22" s="46" t="str">
        <f>'1. 소켓인수검사'!A24</f>
        <v>16</v>
      </c>
      <c r="B22" s="57" t="s">
        <v>36</v>
      </c>
      <c r="C22" s="35">
        <f>'1. 소켓인수검사'!C24</f>
        <v>600</v>
      </c>
      <c r="D22" s="35">
        <f>'1. 소켓인수검사'!D24</f>
        <v>300</v>
      </c>
      <c r="E22" s="36"/>
      <c r="F22" s="37">
        <f t="shared" si="0"/>
        <v>0.18</v>
      </c>
      <c r="G22" s="37">
        <f t="shared" si="1"/>
        <v>1.8</v>
      </c>
      <c r="H22" s="42">
        <v>3</v>
      </c>
      <c r="I22" s="56"/>
      <c r="J22" s="34"/>
      <c r="K22" s="26">
        <f t="shared" si="2"/>
        <v>2.2999999999999998</v>
      </c>
      <c r="L22" s="34">
        <v>4</v>
      </c>
      <c r="M22" s="26"/>
      <c r="N22" s="34"/>
      <c r="O22" s="26"/>
      <c r="P22" s="34"/>
      <c r="Q22" s="38">
        <f t="shared" si="3"/>
        <v>5.08</v>
      </c>
      <c r="R22" s="81">
        <f t="shared" si="4"/>
        <v>5.08</v>
      </c>
      <c r="S22" s="39" t="s">
        <v>39</v>
      </c>
      <c r="T22" s="40" t="s">
        <v>6</v>
      </c>
      <c r="U22" s="41" t="str">
        <f>'1. 소켓인수검사'!G24</f>
        <v>판매시설A 201동 지상1층 7번</v>
      </c>
    </row>
    <row r="23" spans="1:21">
      <c r="A23" s="46" t="str">
        <f>'1. 소켓인수검사'!A25</f>
        <v>17</v>
      </c>
      <c r="B23" s="57" t="s">
        <v>36</v>
      </c>
      <c r="C23" s="35">
        <f>'1. 소켓인수검사'!C25</f>
        <v>600</v>
      </c>
      <c r="D23" s="35">
        <f>'1. 소켓인수검사'!D25</f>
        <v>300</v>
      </c>
      <c r="E23" s="36"/>
      <c r="F23" s="37">
        <f t="shared" si="0"/>
        <v>0.18</v>
      </c>
      <c r="G23" s="37">
        <f t="shared" si="1"/>
        <v>1.8</v>
      </c>
      <c r="H23" s="42">
        <v>3</v>
      </c>
      <c r="I23" s="56"/>
      <c r="J23" s="34"/>
      <c r="K23" s="26">
        <f t="shared" si="2"/>
        <v>2.2999999999999998</v>
      </c>
      <c r="L23" s="34">
        <v>4</v>
      </c>
      <c r="M23" s="26"/>
      <c r="N23" s="34"/>
      <c r="O23" s="26"/>
      <c r="P23" s="34"/>
      <c r="Q23" s="38">
        <f t="shared" si="3"/>
        <v>5.08</v>
      </c>
      <c r="R23" s="81">
        <f t="shared" si="4"/>
        <v>5.08</v>
      </c>
      <c r="S23" s="39" t="s">
        <v>39</v>
      </c>
      <c r="T23" s="40" t="s">
        <v>6</v>
      </c>
      <c r="U23" s="41" t="str">
        <f>'1. 소켓인수검사'!G25</f>
        <v>판매시설A 201동 지상2층 3번</v>
      </c>
    </row>
    <row r="24" spans="1:21">
      <c r="A24" s="46" t="str">
        <f>'1. 소켓인수검사'!A26</f>
        <v>18</v>
      </c>
      <c r="B24" s="57" t="s">
        <v>36</v>
      </c>
      <c r="C24" s="35">
        <f>'1. 소켓인수검사'!C26</f>
        <v>600</v>
      </c>
      <c r="D24" s="35">
        <f>'1. 소켓인수검사'!D26</f>
        <v>300</v>
      </c>
      <c r="E24" s="36"/>
      <c r="F24" s="37">
        <f t="shared" si="0"/>
        <v>0.18</v>
      </c>
      <c r="G24" s="37">
        <f t="shared" si="1"/>
        <v>1.8</v>
      </c>
      <c r="H24" s="42">
        <v>3</v>
      </c>
      <c r="I24" s="56"/>
      <c r="J24" s="34"/>
      <c r="K24" s="26">
        <f t="shared" si="2"/>
        <v>2.2999999999999998</v>
      </c>
      <c r="L24" s="34">
        <v>4</v>
      </c>
      <c r="M24" s="26"/>
      <c r="N24" s="34"/>
      <c r="O24" s="26"/>
      <c r="P24" s="34"/>
      <c r="Q24" s="38">
        <f t="shared" si="3"/>
        <v>5.08</v>
      </c>
      <c r="R24" s="81">
        <f t="shared" si="4"/>
        <v>5.08</v>
      </c>
      <c r="S24" s="39" t="s">
        <v>39</v>
      </c>
      <c r="T24" s="40" t="s">
        <v>6</v>
      </c>
      <c r="U24" s="41" t="str">
        <f>'1. 소켓인수검사'!G26</f>
        <v>판매시설A 201동 지상2층 5번</v>
      </c>
    </row>
    <row r="25" spans="1:21">
      <c r="A25" s="46" t="str">
        <f>'1. 소켓인수검사'!A27</f>
        <v>19</v>
      </c>
      <c r="B25" s="57" t="s">
        <v>36</v>
      </c>
      <c r="C25" s="35">
        <f>'1. 소켓인수검사'!C27</f>
        <v>600</v>
      </c>
      <c r="D25" s="35">
        <f>'1. 소켓인수검사'!D27</f>
        <v>400</v>
      </c>
      <c r="E25" s="36"/>
      <c r="F25" s="37">
        <f t="shared" si="0"/>
        <v>0.24</v>
      </c>
      <c r="G25" s="37">
        <f t="shared" si="1"/>
        <v>2</v>
      </c>
      <c r="H25" s="42">
        <v>3</v>
      </c>
      <c r="I25" s="56"/>
      <c r="J25" s="34"/>
      <c r="K25" s="26">
        <f t="shared" si="2"/>
        <v>2.5</v>
      </c>
      <c r="L25" s="34">
        <v>4</v>
      </c>
      <c r="M25" s="26"/>
      <c r="N25" s="34"/>
      <c r="O25" s="26"/>
      <c r="P25" s="34"/>
      <c r="Q25" s="38">
        <f t="shared" si="3"/>
        <v>5.48</v>
      </c>
      <c r="R25" s="81">
        <f t="shared" si="4"/>
        <v>5.48</v>
      </c>
      <c r="S25" s="39" t="s">
        <v>39</v>
      </c>
      <c r="T25" s="40" t="s">
        <v>6</v>
      </c>
      <c r="U25" s="41" t="str">
        <f>'1. 소켓인수검사'!G27</f>
        <v>판매시설A 201동 지상2층 4번</v>
      </c>
    </row>
    <row r="26" spans="1:21">
      <c r="A26" s="46" t="str">
        <f>'1. 소켓인수검사'!A28</f>
        <v>20</v>
      </c>
      <c r="B26" s="57" t="s">
        <v>36</v>
      </c>
      <c r="C26" s="35">
        <f>'1. 소켓인수검사'!C28</f>
        <v>650</v>
      </c>
      <c r="D26" s="35">
        <f>'1. 소켓인수검사'!D28</f>
        <v>250</v>
      </c>
      <c r="E26" s="36"/>
      <c r="F26" s="37">
        <f t="shared" si="0"/>
        <v>0.16250000000000001</v>
      </c>
      <c r="G26" s="37">
        <f t="shared" si="1"/>
        <v>1.8</v>
      </c>
      <c r="H26" s="42">
        <v>3</v>
      </c>
      <c r="I26" s="56"/>
      <c r="J26" s="34"/>
      <c r="K26" s="26">
        <f t="shared" si="2"/>
        <v>2.2999999999999998</v>
      </c>
      <c r="L26" s="34">
        <v>4</v>
      </c>
      <c r="M26" s="26"/>
      <c r="N26" s="34"/>
      <c r="O26" s="26"/>
      <c r="P26" s="34"/>
      <c r="Q26" s="38">
        <f t="shared" si="3"/>
        <v>5.08</v>
      </c>
      <c r="R26" s="81">
        <f t="shared" si="4"/>
        <v>5.08</v>
      </c>
      <c r="S26" s="39" t="s">
        <v>39</v>
      </c>
      <c r="T26" s="40" t="s">
        <v>6</v>
      </c>
      <c r="U26" s="41" t="str">
        <f>'1. 소켓인수검사'!G28</f>
        <v>시그니처 옥탑층</v>
      </c>
    </row>
    <row r="27" spans="1:21">
      <c r="A27" s="46" t="str">
        <f>'1. 소켓인수검사'!A29</f>
        <v>21</v>
      </c>
      <c r="B27" s="57" t="s">
        <v>36</v>
      </c>
      <c r="C27" s="35">
        <f>'1. 소켓인수검사'!C29</f>
        <v>750</v>
      </c>
      <c r="D27" s="35">
        <f>'1. 소켓인수검사'!D29</f>
        <v>400</v>
      </c>
      <c r="E27" s="36"/>
      <c r="F27" s="37">
        <f t="shared" si="0"/>
        <v>0.3</v>
      </c>
      <c r="G27" s="37">
        <f t="shared" si="1"/>
        <v>2.2999999999999998</v>
      </c>
      <c r="H27" s="42">
        <v>3</v>
      </c>
      <c r="I27" s="56"/>
      <c r="J27" s="34"/>
      <c r="K27" s="26">
        <f t="shared" si="2"/>
        <v>2.8</v>
      </c>
      <c r="L27" s="34">
        <v>4</v>
      </c>
      <c r="M27" s="26"/>
      <c r="N27" s="34"/>
      <c r="O27" s="26"/>
      <c r="P27" s="34"/>
      <c r="Q27" s="38">
        <f t="shared" si="3"/>
        <v>6.08</v>
      </c>
      <c r="R27" s="81">
        <f t="shared" si="4"/>
        <v>6.08</v>
      </c>
      <c r="S27" s="39" t="s">
        <v>39</v>
      </c>
      <c r="T27" s="40" t="s">
        <v>6</v>
      </c>
      <c r="U27" s="41" t="str">
        <f>'1. 소켓인수검사'!G29</f>
        <v>판매시설B 지하1층 제연휀룸#8</v>
      </c>
    </row>
    <row r="28" spans="1:21">
      <c r="A28" s="46" t="str">
        <f>'1. 소켓인수검사'!A30</f>
        <v>22</v>
      </c>
      <c r="B28" s="57" t="s">
        <v>36</v>
      </c>
      <c r="C28" s="35">
        <f>'1. 소켓인수검사'!C30</f>
        <v>750</v>
      </c>
      <c r="D28" s="35">
        <f>'1. 소켓인수검사'!D30</f>
        <v>400</v>
      </c>
      <c r="E28" s="36"/>
      <c r="F28" s="37">
        <f t="shared" si="0"/>
        <v>0.3</v>
      </c>
      <c r="G28" s="37">
        <f t="shared" si="1"/>
        <v>2.2999999999999998</v>
      </c>
      <c r="H28" s="42">
        <v>3</v>
      </c>
      <c r="I28" s="56"/>
      <c r="J28" s="34"/>
      <c r="K28" s="26">
        <f t="shared" si="2"/>
        <v>2.8</v>
      </c>
      <c r="L28" s="34">
        <v>4</v>
      </c>
      <c r="M28" s="26"/>
      <c r="N28" s="34"/>
      <c r="O28" s="26"/>
      <c r="P28" s="34"/>
      <c r="Q28" s="38">
        <f t="shared" si="3"/>
        <v>6.08</v>
      </c>
      <c r="R28" s="81">
        <f t="shared" si="4"/>
        <v>6.08</v>
      </c>
      <c r="S28" s="39" t="s">
        <v>39</v>
      </c>
      <c r="T28" s="40" t="s">
        <v>6</v>
      </c>
      <c r="U28" s="41" t="str">
        <f>'1. 소켓인수검사'!G30</f>
        <v>판매시설B 지하1층 제연휀룸#8</v>
      </c>
    </row>
    <row r="29" spans="1:21">
      <c r="A29" s="46" t="str">
        <f>'1. 소켓인수검사'!A31</f>
        <v>23</v>
      </c>
      <c r="B29" s="57" t="s">
        <v>36</v>
      </c>
      <c r="C29" s="35">
        <f>'1. 소켓인수검사'!C31</f>
        <v>750</v>
      </c>
      <c r="D29" s="35">
        <f>'1. 소켓인수검사'!D31</f>
        <v>400</v>
      </c>
      <c r="E29" s="36"/>
      <c r="F29" s="37">
        <f t="shared" si="0"/>
        <v>0.3</v>
      </c>
      <c r="G29" s="37">
        <f t="shared" si="1"/>
        <v>2.2999999999999998</v>
      </c>
      <c r="H29" s="42">
        <v>3</v>
      </c>
      <c r="I29" s="56"/>
      <c r="J29" s="34"/>
      <c r="K29" s="26">
        <f t="shared" si="2"/>
        <v>2.8</v>
      </c>
      <c r="L29" s="34">
        <v>4</v>
      </c>
      <c r="M29" s="26"/>
      <c r="N29" s="34"/>
      <c r="O29" s="26"/>
      <c r="P29" s="34"/>
      <c r="Q29" s="38">
        <f t="shared" si="3"/>
        <v>6.08</v>
      </c>
      <c r="R29" s="81">
        <f t="shared" si="4"/>
        <v>6.08</v>
      </c>
      <c r="S29" s="39" t="s">
        <v>39</v>
      </c>
      <c r="T29" s="40" t="s">
        <v>6</v>
      </c>
      <c r="U29" s="41" t="str">
        <f>'1. 소켓인수검사'!G31</f>
        <v>판매시설B 지하1층 제연휀룸#8</v>
      </c>
    </row>
    <row r="30" spans="1:21">
      <c r="A30" s="46" t="str">
        <f>'1. 소켓인수검사'!A32</f>
        <v>24</v>
      </c>
      <c r="B30" s="57" t="s">
        <v>36</v>
      </c>
      <c r="C30" s="35">
        <f>'1. 소켓인수검사'!C32</f>
        <v>1000</v>
      </c>
      <c r="D30" s="35">
        <f>'1. 소켓인수검사'!D32</f>
        <v>550</v>
      </c>
      <c r="E30" s="36"/>
      <c r="F30" s="37">
        <f t="shared" si="0"/>
        <v>0.55000000000000004</v>
      </c>
      <c r="G30" s="37">
        <f t="shared" si="1"/>
        <v>3.1</v>
      </c>
      <c r="H30" s="42">
        <v>3</v>
      </c>
      <c r="I30" s="56"/>
      <c r="J30" s="34"/>
      <c r="K30" s="26">
        <f t="shared" si="2"/>
        <v>3.6</v>
      </c>
      <c r="L30" s="34">
        <v>4</v>
      </c>
      <c r="M30" s="26"/>
      <c r="N30" s="34"/>
      <c r="O30" s="26"/>
      <c r="P30" s="34"/>
      <c r="Q30" s="38">
        <f t="shared" si="3"/>
        <v>7.68</v>
      </c>
      <c r="R30" s="81">
        <f t="shared" si="4"/>
        <v>7.68</v>
      </c>
      <c r="S30" s="39" t="s">
        <v>39</v>
      </c>
      <c r="T30" s="40" t="s">
        <v>6</v>
      </c>
      <c r="U30" s="41" t="str">
        <f>'1. 소켓인수검사'!G32</f>
        <v>판매시설A 201동 지하1층 3번</v>
      </c>
    </row>
    <row r="31" spans="1:21">
      <c r="A31" s="46" t="str">
        <f>'1. 소켓인수검사'!A33</f>
        <v>25</v>
      </c>
      <c r="B31" s="57" t="s">
        <v>36</v>
      </c>
      <c r="C31" s="35">
        <f>'1. 소켓인수검사'!C33</f>
        <v>1150</v>
      </c>
      <c r="D31" s="35">
        <f>'1. 소켓인수검사'!D33</f>
        <v>250</v>
      </c>
      <c r="E31" s="36"/>
      <c r="F31" s="37">
        <f t="shared" si="0"/>
        <v>0.28749999999999998</v>
      </c>
      <c r="G31" s="37">
        <f t="shared" si="1"/>
        <v>2.8</v>
      </c>
      <c r="H31" s="42">
        <v>3</v>
      </c>
      <c r="I31" s="56"/>
      <c r="J31" s="34"/>
      <c r="K31" s="26">
        <f t="shared" si="2"/>
        <v>3.3</v>
      </c>
      <c r="L31" s="34">
        <v>4</v>
      </c>
      <c r="M31" s="26"/>
      <c r="N31" s="34"/>
      <c r="O31" s="26"/>
      <c r="P31" s="34"/>
      <c r="Q31" s="38">
        <f t="shared" si="3"/>
        <v>7.08</v>
      </c>
      <c r="R31" s="81">
        <f t="shared" si="4"/>
        <v>7.08</v>
      </c>
      <c r="S31" s="39" t="s">
        <v>39</v>
      </c>
      <c r="T31" s="40" t="s">
        <v>6</v>
      </c>
      <c r="U31" s="41" t="str">
        <f>'1. 소켓인수검사'!G33</f>
        <v>시그니처 지하1층</v>
      </c>
    </row>
    <row r="32" spans="1:21">
      <c r="A32" s="89" t="s">
        <v>5</v>
      </c>
      <c r="B32" s="90"/>
      <c r="C32" s="90"/>
      <c r="D32" s="55"/>
      <c r="E32" s="45"/>
      <c r="F32" s="45"/>
      <c r="G32" s="45"/>
      <c r="H32" s="44">
        <f>SUM(H7:H31)</f>
        <v>75</v>
      </c>
      <c r="I32" s="61"/>
      <c r="J32" s="44">
        <f>SUM(J7:J31)</f>
        <v>0</v>
      </c>
      <c r="K32" s="61"/>
      <c r="L32" s="44">
        <f>SUM(L7:L31)</f>
        <v>100</v>
      </c>
      <c r="M32" s="61"/>
      <c r="N32" s="44">
        <f>SUM(N7:N31)</f>
        <v>0</v>
      </c>
      <c r="O32" s="61"/>
      <c r="P32" s="44">
        <f>SUM(P7:P31)</f>
        <v>0</v>
      </c>
      <c r="Q32" s="61">
        <f>SUM(Q7:Q31)</f>
        <v>132.4</v>
      </c>
      <c r="R32" s="44">
        <f>SUM(R7:R31)</f>
        <v>132.4</v>
      </c>
      <c r="S32" s="58"/>
      <c r="T32" s="58"/>
      <c r="U32" s="59"/>
    </row>
    <row r="33" spans="1:21" ht="8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4"/>
    </row>
    <row r="34" spans="1:21">
      <c r="A34" s="83" t="s">
        <v>42</v>
      </c>
      <c r="B34" s="83"/>
      <c r="C34" s="83"/>
      <c r="D34" s="100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2"/>
    </row>
    <row r="35" spans="1:21">
      <c r="A35" s="83"/>
      <c r="B35" s="83"/>
      <c r="C35" s="83"/>
      <c r="D35" s="10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04"/>
    </row>
    <row r="36" spans="1:21">
      <c r="A36" s="83"/>
      <c r="B36" s="83"/>
      <c r="C36" s="83"/>
      <c r="D36" s="10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04"/>
    </row>
    <row r="37" spans="1:21">
      <c r="A37" s="83"/>
      <c r="B37" s="83"/>
      <c r="C37" s="83"/>
      <c r="D37" s="10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04"/>
    </row>
    <row r="38" spans="1:21">
      <c r="A38" s="83"/>
      <c r="B38" s="83"/>
      <c r="C38" s="83"/>
      <c r="D38" s="10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04"/>
    </row>
    <row r="39" spans="1:21">
      <c r="A39" s="83"/>
      <c r="B39" s="83"/>
      <c r="C39" s="83"/>
      <c r="D39" s="105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7"/>
    </row>
  </sheetData>
  <mergeCells count="24">
    <mergeCell ref="U5:U6"/>
    <mergeCell ref="A32:C32"/>
    <mergeCell ref="F1:J3"/>
    <mergeCell ref="K1:U3"/>
    <mergeCell ref="D34:U39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33:P33"/>
    <mergeCell ref="A34:C39"/>
    <mergeCell ref="Q5:R5"/>
    <mergeCell ref="S5:S6"/>
    <mergeCell ref="T5:T6"/>
    <mergeCell ref="K5:L5"/>
    <mergeCell ref="O5:P5"/>
    <mergeCell ref="M5:N5"/>
  </mergeCells>
  <phoneticPr fontId="25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2"/>
  </cols>
  <sheetData/>
  <phoneticPr fontId="25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2026-07-13T05:57:27Z</dcterms:modified>
  <cp:version>1200.0100.01</cp:version>
</cp:coreProperties>
</file>