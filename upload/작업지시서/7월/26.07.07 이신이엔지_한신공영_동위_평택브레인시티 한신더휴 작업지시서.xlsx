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8F8A410A-D2B6-44FB-B43B-C67AD7E7D8B6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3.3 절곡(VT-보강대)" sheetId="7" r:id="rId7"/>
    <sheet name="5. 차열재 출하용(VM,VT,VAG)" sheetId="9" r:id="rId8"/>
    <sheet name="6. 라벨소요량" sheetId="10" r:id="rId9"/>
    <sheet name="발주서정리" sheetId="11" r:id="rId10"/>
  </sheets>
  <definedNames>
    <definedName name="_xlnm.Print_Area" localSheetId="0">'1. 소켓인수검사'!$A$1:$P$28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'3.3 절곡(VT-보강대)'!$1:$6</definedName>
    <definedName name="_xlnm.Print_Titles" localSheetId="7">'5. 차열재 출하용(VM,VT,VAG)'!$8:$9</definedName>
    <definedName name="_xlnm.Print_Titles" localSheetId="8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2" l="1"/>
  <c r="D16" i="12"/>
  <c r="I16" i="12" s="1"/>
  <c r="C16" i="12"/>
  <c r="G16" i="12" s="1"/>
  <c r="D15" i="12"/>
  <c r="I15" i="12" s="1"/>
  <c r="C15" i="12"/>
  <c r="D14" i="12"/>
  <c r="C14" i="12"/>
  <c r="G14" i="12" s="1"/>
  <c r="D13" i="12"/>
  <c r="C13" i="12"/>
  <c r="K13" i="12" s="1"/>
  <c r="D12" i="12"/>
  <c r="I12" i="12" s="1"/>
  <c r="C12" i="12"/>
  <c r="K12" i="12" s="1"/>
  <c r="D11" i="12"/>
  <c r="I11" i="12" s="1"/>
  <c r="C11" i="12"/>
  <c r="D10" i="12"/>
  <c r="I10" i="12" s="1"/>
  <c r="C10" i="12"/>
  <c r="K10" i="12" s="1"/>
  <c r="D9" i="12"/>
  <c r="C9" i="12"/>
  <c r="D8" i="12"/>
  <c r="I8" i="12" s="1"/>
  <c r="C8" i="12"/>
  <c r="G8" i="12" s="1"/>
  <c r="A16" i="12"/>
  <c r="A15" i="12"/>
  <c r="A14" i="12"/>
  <c r="A13" i="12"/>
  <c r="A12" i="12"/>
  <c r="A11" i="12"/>
  <c r="A10" i="12"/>
  <c r="A9" i="12"/>
  <c r="A8" i="12"/>
  <c r="J16" i="12"/>
  <c r="H16" i="12"/>
  <c r="J15" i="12"/>
  <c r="H15" i="12"/>
  <c r="K14" i="12"/>
  <c r="J14" i="12"/>
  <c r="H14" i="12"/>
  <c r="J13" i="12"/>
  <c r="H13" i="12"/>
  <c r="J12" i="12"/>
  <c r="H12" i="12"/>
  <c r="J11" i="12"/>
  <c r="H11" i="12"/>
  <c r="J10" i="12"/>
  <c r="H10" i="12"/>
  <c r="J9" i="12"/>
  <c r="H9" i="12"/>
  <c r="J8" i="12"/>
  <c r="H8" i="12"/>
  <c r="G1" i="2"/>
  <c r="D27" i="2"/>
  <c r="I27" i="2" s="1"/>
  <c r="C27" i="2"/>
  <c r="G27" i="2" s="1"/>
  <c r="D26" i="2"/>
  <c r="C26" i="2"/>
  <c r="G26" i="2" s="1"/>
  <c r="D25" i="2"/>
  <c r="I25" i="2" s="1"/>
  <c r="C25" i="2"/>
  <c r="G25" i="2" s="1"/>
  <c r="D24" i="2"/>
  <c r="I24" i="2" s="1"/>
  <c r="C24" i="2"/>
  <c r="G24" i="2" s="1"/>
  <c r="D23" i="2"/>
  <c r="I23" i="2" s="1"/>
  <c r="C23" i="2"/>
  <c r="G23" i="2" s="1"/>
  <c r="D22" i="2"/>
  <c r="I22" i="2" s="1"/>
  <c r="C22" i="2"/>
  <c r="G22" i="2" s="1"/>
  <c r="D21" i="2"/>
  <c r="I21" i="2" s="1"/>
  <c r="C21" i="2"/>
  <c r="G21" i="2" s="1"/>
  <c r="D20" i="2"/>
  <c r="C20" i="2"/>
  <c r="G20" i="2" s="1"/>
  <c r="D19" i="2"/>
  <c r="I19" i="2" s="1"/>
  <c r="C19" i="2"/>
  <c r="G19" i="2" s="1"/>
  <c r="D18" i="2"/>
  <c r="I18" i="2" s="1"/>
  <c r="C18" i="2"/>
  <c r="G18" i="2" s="1"/>
  <c r="D17" i="2"/>
  <c r="I17" i="2" s="1"/>
  <c r="C17" i="2"/>
  <c r="G17" i="2" s="1"/>
  <c r="D16" i="2"/>
  <c r="C16" i="2"/>
  <c r="D15" i="2"/>
  <c r="C15" i="2"/>
  <c r="G15" i="2" s="1"/>
  <c r="D14" i="2"/>
  <c r="C14" i="2"/>
  <c r="D13" i="2"/>
  <c r="C13" i="2"/>
  <c r="D12" i="2"/>
  <c r="C12" i="2"/>
  <c r="D11" i="2"/>
  <c r="C11" i="2"/>
  <c r="D10" i="2"/>
  <c r="C10" i="2"/>
  <c r="D9" i="2"/>
  <c r="I9" i="2" s="1"/>
  <c r="C9" i="2"/>
  <c r="D8" i="2"/>
  <c r="C8" i="2"/>
  <c r="A27" i="2"/>
  <c r="I26" i="2"/>
  <c r="A26" i="2"/>
  <c r="A25" i="2"/>
  <c r="A24" i="2"/>
  <c r="A23" i="2"/>
  <c r="A22" i="2"/>
  <c r="A21" i="2"/>
  <c r="I20" i="2"/>
  <c r="A20" i="2"/>
  <c r="A19" i="2"/>
  <c r="A18" i="2"/>
  <c r="A17" i="2"/>
  <c r="C8" i="3"/>
  <c r="G8" i="3" s="1"/>
  <c r="K1" i="10"/>
  <c r="P5" i="9"/>
  <c r="O5" i="7"/>
  <c r="N5" i="6"/>
  <c r="N5" i="5"/>
  <c r="H1" i="3"/>
  <c r="D1" i="1"/>
  <c r="P27" i="10"/>
  <c r="H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21" i="7"/>
  <c r="K21" i="7"/>
  <c r="I21" i="7"/>
  <c r="G21" i="7"/>
  <c r="C21" i="7"/>
  <c r="L21" i="7" s="1"/>
  <c r="B21" i="7"/>
  <c r="H21" i="7" s="1"/>
  <c r="A21" i="7"/>
  <c r="O20" i="7"/>
  <c r="K20" i="7"/>
  <c r="I20" i="7"/>
  <c r="G20" i="7"/>
  <c r="C20" i="7"/>
  <c r="L20" i="7" s="1"/>
  <c r="B20" i="7"/>
  <c r="H20" i="7" s="1"/>
  <c r="A20" i="7"/>
  <c r="O19" i="7"/>
  <c r="K19" i="7"/>
  <c r="I19" i="7"/>
  <c r="G19" i="7"/>
  <c r="C19" i="7"/>
  <c r="L19" i="7" s="1"/>
  <c r="B19" i="7"/>
  <c r="H19" i="7" s="1"/>
  <c r="A19" i="7"/>
  <c r="O18" i="7"/>
  <c r="K18" i="7"/>
  <c r="I18" i="7"/>
  <c r="G18" i="7"/>
  <c r="C18" i="7"/>
  <c r="L18" i="7" s="1"/>
  <c r="B18" i="7"/>
  <c r="H18" i="7" s="1"/>
  <c r="A18" i="7"/>
  <c r="O17" i="7"/>
  <c r="K17" i="7"/>
  <c r="I17" i="7"/>
  <c r="G17" i="7"/>
  <c r="C17" i="7"/>
  <c r="L17" i="7" s="1"/>
  <c r="B17" i="7"/>
  <c r="H17" i="7" s="1"/>
  <c r="A17" i="7"/>
  <c r="O16" i="7"/>
  <c r="K16" i="7"/>
  <c r="I16" i="7"/>
  <c r="G16" i="7"/>
  <c r="C16" i="7"/>
  <c r="L16" i="7" s="1"/>
  <c r="B16" i="7"/>
  <c r="H16" i="7" s="1"/>
  <c r="A16" i="7"/>
  <c r="O15" i="7"/>
  <c r="K15" i="7"/>
  <c r="I15" i="7"/>
  <c r="G15" i="7"/>
  <c r="C15" i="7"/>
  <c r="L15" i="7" s="1"/>
  <c r="B15" i="7"/>
  <c r="H15" i="7" s="1"/>
  <c r="A15" i="7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21" i="6"/>
  <c r="I21" i="6"/>
  <c r="C21" i="6"/>
  <c r="K21" i="6" s="1"/>
  <c r="B21" i="6"/>
  <c r="H21" i="6" s="1"/>
  <c r="A21" i="6"/>
  <c r="N20" i="6"/>
  <c r="I20" i="6"/>
  <c r="C20" i="6"/>
  <c r="K20" i="6" s="1"/>
  <c r="B20" i="6"/>
  <c r="H20" i="6" s="1"/>
  <c r="A20" i="6"/>
  <c r="N19" i="6"/>
  <c r="I19" i="6"/>
  <c r="C19" i="6"/>
  <c r="K19" i="6" s="1"/>
  <c r="B19" i="6"/>
  <c r="H19" i="6" s="1"/>
  <c r="A19" i="6"/>
  <c r="N18" i="6"/>
  <c r="I18" i="6"/>
  <c r="C18" i="6"/>
  <c r="K18" i="6" s="1"/>
  <c r="B18" i="6"/>
  <c r="H18" i="6" s="1"/>
  <c r="A18" i="6"/>
  <c r="N17" i="6"/>
  <c r="I17" i="6"/>
  <c r="C17" i="6"/>
  <c r="K17" i="6" s="1"/>
  <c r="B17" i="6"/>
  <c r="H17" i="6" s="1"/>
  <c r="A17" i="6"/>
  <c r="N16" i="6"/>
  <c r="I16" i="6"/>
  <c r="C16" i="6"/>
  <c r="K16" i="6" s="1"/>
  <c r="B16" i="6"/>
  <c r="H16" i="6" s="1"/>
  <c r="A16" i="6"/>
  <c r="N15" i="6"/>
  <c r="I15" i="6"/>
  <c r="C15" i="6"/>
  <c r="K15" i="6" s="1"/>
  <c r="B15" i="6"/>
  <c r="H15" i="6" s="1"/>
  <c r="A15" i="6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N19" i="3"/>
  <c r="L19" i="3"/>
  <c r="J18" i="3"/>
  <c r="H18" i="3"/>
  <c r="D18" i="3"/>
  <c r="C18" i="3"/>
  <c r="G18" i="3" s="1"/>
  <c r="A18" i="3"/>
  <c r="J17" i="3"/>
  <c r="H17" i="3"/>
  <c r="D17" i="3"/>
  <c r="M17" i="3" s="1"/>
  <c r="C17" i="3"/>
  <c r="A17" i="3"/>
  <c r="J16" i="3"/>
  <c r="H16" i="3"/>
  <c r="D16" i="3"/>
  <c r="C16" i="3"/>
  <c r="A16" i="3"/>
  <c r="J15" i="3"/>
  <c r="H15" i="3"/>
  <c r="D15" i="3"/>
  <c r="M15" i="3" s="1"/>
  <c r="C15" i="3"/>
  <c r="A15" i="3"/>
  <c r="J14" i="3"/>
  <c r="H14" i="3"/>
  <c r="D14" i="3"/>
  <c r="C14" i="3"/>
  <c r="A14" i="3"/>
  <c r="J13" i="3"/>
  <c r="H13" i="3"/>
  <c r="D13" i="3"/>
  <c r="M13" i="3" s="1"/>
  <c r="C13" i="3"/>
  <c r="A13" i="3"/>
  <c r="J12" i="3"/>
  <c r="H12" i="3"/>
  <c r="D12" i="3"/>
  <c r="C12" i="3"/>
  <c r="A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A16" i="2"/>
  <c r="A15" i="2"/>
  <c r="A14" i="2"/>
  <c r="I13" i="2"/>
  <c r="A13" i="2"/>
  <c r="A12" i="2"/>
  <c r="A11" i="2"/>
  <c r="A10" i="2"/>
  <c r="A9" i="2"/>
  <c r="A8" i="2"/>
  <c r="M11" i="12" l="1"/>
  <c r="M15" i="12"/>
  <c r="G12" i="12"/>
  <c r="G9" i="12"/>
  <c r="K9" i="12"/>
  <c r="F23" i="10"/>
  <c r="I14" i="12"/>
  <c r="M14" i="12"/>
  <c r="M10" i="12"/>
  <c r="G15" i="10"/>
  <c r="K15" i="10" s="1"/>
  <c r="Q22" i="10"/>
  <c r="R22" i="10" s="1"/>
  <c r="G10" i="12"/>
  <c r="K8" i="12"/>
  <c r="K16" i="12"/>
  <c r="F14" i="9"/>
  <c r="M14" i="9" s="1"/>
  <c r="O14" i="9" s="1"/>
  <c r="G13" i="12"/>
  <c r="K11" i="12"/>
  <c r="G11" i="12"/>
  <c r="M13" i="12"/>
  <c r="I13" i="12"/>
  <c r="K15" i="12"/>
  <c r="G15" i="12"/>
  <c r="M9" i="12"/>
  <c r="I9" i="12"/>
  <c r="M8" i="12"/>
  <c r="M12" i="12"/>
  <c r="M16" i="12"/>
  <c r="J19" i="3"/>
  <c r="H19" i="3"/>
  <c r="I15" i="3"/>
  <c r="M11" i="3"/>
  <c r="I9" i="3"/>
  <c r="K8" i="3"/>
  <c r="G22" i="10"/>
  <c r="O22" i="10" s="1"/>
  <c r="Q14" i="10"/>
  <c r="R14" i="10" s="1"/>
  <c r="G7" i="10"/>
  <c r="K7" i="10" s="1"/>
  <c r="F14" i="10"/>
  <c r="G14" i="10"/>
  <c r="K14" i="10" s="1"/>
  <c r="E10" i="9"/>
  <c r="E18" i="9"/>
  <c r="G13" i="2"/>
  <c r="G9" i="2"/>
  <c r="K12" i="3"/>
  <c r="G12" i="3"/>
  <c r="G14" i="3"/>
  <c r="K16" i="3"/>
  <c r="G16" i="3"/>
  <c r="I8" i="3"/>
  <c r="M8" i="3"/>
  <c r="M10" i="3"/>
  <c r="I12" i="3"/>
  <c r="M12" i="3"/>
  <c r="M14" i="3"/>
  <c r="I15" i="2"/>
  <c r="I11" i="2"/>
  <c r="G13" i="3"/>
  <c r="K15" i="3"/>
  <c r="G15" i="3"/>
  <c r="I16" i="2"/>
  <c r="G16" i="2"/>
  <c r="I10" i="2"/>
  <c r="G12" i="2"/>
  <c r="G14" i="2"/>
  <c r="I13" i="3"/>
  <c r="I17" i="3"/>
  <c r="I8" i="2"/>
  <c r="I14" i="2"/>
  <c r="I12" i="2"/>
  <c r="G8" i="2"/>
  <c r="G10" i="2"/>
  <c r="I16" i="3"/>
  <c r="M16" i="3"/>
  <c r="G9" i="3"/>
  <c r="M18" i="3"/>
  <c r="G11" i="2"/>
  <c r="G17" i="3"/>
  <c r="F10" i="10"/>
  <c r="Q13" i="10"/>
  <c r="R13" i="10" s="1"/>
  <c r="F15" i="10"/>
  <c r="Q11" i="10"/>
  <c r="R11" i="10" s="1"/>
  <c r="E29" i="9"/>
  <c r="Q24" i="10"/>
  <c r="R24" i="10" s="1"/>
  <c r="E12" i="9"/>
  <c r="F16" i="9"/>
  <c r="M16" i="9" s="1"/>
  <c r="O16" i="9" s="1"/>
  <c r="G19" i="10"/>
  <c r="O19" i="10" s="1"/>
  <c r="E19" i="9"/>
  <c r="F19" i="9"/>
  <c r="P19" i="9" s="1"/>
  <c r="R19" i="9" s="1"/>
  <c r="Q21" i="10"/>
  <c r="R21" i="10" s="1"/>
  <c r="G21" i="10"/>
  <c r="O21" i="10" s="1"/>
  <c r="F24" i="10"/>
  <c r="Q10" i="10"/>
  <c r="R10" i="10" s="1"/>
  <c r="G10" i="10"/>
  <c r="K10" i="10" s="1"/>
  <c r="Q15" i="10"/>
  <c r="R15" i="10" s="1"/>
  <c r="Q17" i="10"/>
  <c r="R17" i="10" s="1"/>
  <c r="G17" i="10"/>
  <c r="O17" i="10" s="1"/>
  <c r="F7" i="10"/>
  <c r="Q7" i="10"/>
  <c r="R7" i="10" s="1"/>
  <c r="Q9" i="10"/>
  <c r="R9" i="10" s="1"/>
  <c r="F11" i="10"/>
  <c r="G11" i="10"/>
  <c r="K11" i="10" s="1"/>
  <c r="F22" i="10"/>
  <c r="G24" i="10"/>
  <c r="O24" i="10" s="1"/>
  <c r="N27" i="10"/>
  <c r="Q19" i="10"/>
  <c r="R19" i="10" s="1"/>
  <c r="F12" i="9"/>
  <c r="M12" i="9" s="1"/>
  <c r="O12" i="9" s="1"/>
  <c r="F18" i="9"/>
  <c r="M18" i="9" s="1"/>
  <c r="O18" i="9" s="1"/>
  <c r="F23" i="9"/>
  <c r="G23" i="9" s="1"/>
  <c r="I23" i="9" s="1"/>
  <c r="E23" i="9"/>
  <c r="F27" i="9"/>
  <c r="P27" i="9" s="1"/>
  <c r="R27" i="9" s="1"/>
  <c r="E27" i="9"/>
  <c r="E16" i="9"/>
  <c r="F21" i="9"/>
  <c r="E21" i="9"/>
  <c r="F25" i="9"/>
  <c r="E25" i="9"/>
  <c r="F10" i="9"/>
  <c r="M10" i="9" s="1"/>
  <c r="O10" i="9" s="1"/>
  <c r="E14" i="9"/>
  <c r="F29" i="9"/>
  <c r="K11" i="3"/>
  <c r="I10" i="3"/>
  <c r="K10" i="3"/>
  <c r="I14" i="3"/>
  <c r="K14" i="3"/>
  <c r="I18" i="3"/>
  <c r="K18" i="3"/>
  <c r="E15" i="9"/>
  <c r="F15" i="9"/>
  <c r="M15" i="9" s="1"/>
  <c r="O15" i="9" s="1"/>
  <c r="E17" i="9"/>
  <c r="F17" i="9"/>
  <c r="M17" i="9" s="1"/>
  <c r="O17" i="9" s="1"/>
  <c r="K9" i="3"/>
  <c r="K13" i="3"/>
  <c r="K17" i="3"/>
  <c r="E13" i="9"/>
  <c r="F13" i="9"/>
  <c r="M13" i="9" s="1"/>
  <c r="O13" i="9" s="1"/>
  <c r="E11" i="9"/>
  <c r="F11" i="9"/>
  <c r="M11" i="9" s="1"/>
  <c r="O11" i="9" s="1"/>
  <c r="P23" i="9"/>
  <c r="R23" i="9" s="1"/>
  <c r="F20" i="9"/>
  <c r="E20" i="9"/>
  <c r="F24" i="9"/>
  <c r="E24" i="9"/>
  <c r="F28" i="9"/>
  <c r="E28" i="9"/>
  <c r="F22" i="9"/>
  <c r="E22" i="9"/>
  <c r="F26" i="9"/>
  <c r="E26" i="9"/>
  <c r="J27" i="10"/>
  <c r="L27" i="10"/>
  <c r="G20" i="10"/>
  <c r="Q20" i="10"/>
  <c r="R20" i="10" s="1"/>
  <c r="F20" i="10"/>
  <c r="G25" i="10"/>
  <c r="F25" i="10"/>
  <c r="Q25" i="10"/>
  <c r="R25" i="10" s="1"/>
  <c r="G18" i="10"/>
  <c r="Q18" i="10"/>
  <c r="R18" i="10" s="1"/>
  <c r="F18" i="10"/>
  <c r="G26" i="10"/>
  <c r="F26" i="10"/>
  <c r="Q26" i="10"/>
  <c r="R26" i="10" s="1"/>
  <c r="Q8" i="10"/>
  <c r="R8" i="10" s="1"/>
  <c r="G8" i="10"/>
  <c r="F8" i="10"/>
  <c r="G9" i="10"/>
  <c r="F9" i="10"/>
  <c r="Q12" i="10"/>
  <c r="R12" i="10" s="1"/>
  <c r="G12" i="10"/>
  <c r="F12" i="10"/>
  <c r="G13" i="10"/>
  <c r="F13" i="10"/>
  <c r="G16" i="10"/>
  <c r="Q16" i="10"/>
  <c r="R16" i="10" s="1"/>
  <c r="F16" i="10"/>
  <c r="Q23" i="10"/>
  <c r="R23" i="10" s="1"/>
  <c r="F17" i="10"/>
  <c r="F19" i="10"/>
  <c r="F21" i="10"/>
  <c r="G23" i="10"/>
  <c r="I24" i="10"/>
  <c r="I19" i="10" l="1"/>
  <c r="I17" i="10"/>
  <c r="G27" i="9"/>
  <c r="I27" i="9" s="1"/>
  <c r="G19" i="9"/>
  <c r="I19" i="9" s="1"/>
  <c r="I21" i="10"/>
  <c r="I22" i="10"/>
  <c r="O30" i="9"/>
  <c r="G33" i="9" s="1"/>
  <c r="G29" i="9"/>
  <c r="I29" i="9" s="1"/>
  <c r="P29" i="9"/>
  <c r="R29" i="9" s="1"/>
  <c r="G25" i="9"/>
  <c r="I25" i="9" s="1"/>
  <c r="P25" i="9"/>
  <c r="R25" i="9" s="1"/>
  <c r="G21" i="9"/>
  <c r="I21" i="9" s="1"/>
  <c r="P21" i="9"/>
  <c r="R21" i="9" s="1"/>
  <c r="O23" i="10"/>
  <c r="I23" i="10"/>
  <c r="I16" i="10"/>
  <c r="O16" i="10"/>
  <c r="K9" i="10"/>
  <c r="R27" i="10"/>
  <c r="P22" i="9"/>
  <c r="R22" i="9" s="1"/>
  <c r="G22" i="9"/>
  <c r="I22" i="9" s="1"/>
  <c r="P24" i="9"/>
  <c r="R24" i="9" s="1"/>
  <c r="G24" i="9"/>
  <c r="I24" i="9" s="1"/>
  <c r="K13" i="10"/>
  <c r="K12" i="10"/>
  <c r="I20" i="10"/>
  <c r="O20" i="10"/>
  <c r="Q27" i="10"/>
  <c r="O26" i="10"/>
  <c r="I26" i="10"/>
  <c r="K8" i="10"/>
  <c r="I18" i="10"/>
  <c r="O18" i="10"/>
  <c r="I25" i="10"/>
  <c r="O25" i="10"/>
  <c r="P26" i="9"/>
  <c r="R26" i="9" s="1"/>
  <c r="G26" i="9"/>
  <c r="I26" i="9" s="1"/>
  <c r="P28" i="9"/>
  <c r="R28" i="9" s="1"/>
  <c r="G28" i="9"/>
  <c r="I28" i="9" s="1"/>
  <c r="P20" i="9"/>
  <c r="R20" i="9" s="1"/>
  <c r="G20" i="9"/>
  <c r="I20" i="9" s="1"/>
  <c r="I30" i="9" l="1"/>
  <c r="G31" i="9" s="1"/>
  <c r="R30" i="9"/>
  <c r="G34" i="9" s="1"/>
  <c r="L30" i="9"/>
  <c r="G32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1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1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<sst xmlns="http://schemas.openxmlformats.org/spreadsheetml/2006/main" count="425" uniqueCount="128">
  <si>
    <t>차열재</t>
  </si>
  <si>
    <t>No</t>
  </si>
  <si>
    <t>비고</t>
  </si>
  <si>
    <t>합계</t>
  </si>
  <si>
    <t>규격</t>
  </si>
  <si>
    <t>TTL</t>
  </si>
  <si>
    <t>EZ F.B POSMAC Duct-VA-064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</si>
  <si>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</si>
  <si>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</si>
  <si>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</si>
  <si>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</si>
  <si>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</si>
  <si>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</si>
  <si>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</si>
  <si>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</si>
  <si>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</si>
  <si>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</si>
  <si>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</si>
  <si>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</si>
  <si>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</si>
  <si>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</si>
  <si>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</si>
  <si>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</si>
  <si>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</si>
  <si>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</si>
  <si>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</si>
  <si>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</si>
  <si>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</si>
  <si>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</si>
  <si>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</si>
  <si>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</si>
  <si>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</si>
  <si>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</si>
  <si>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</si>
  <si>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</si>
  <si>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</si>
  <si>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</si>
  <si>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</si>
  <si>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</si>
  <si>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</si>
  <si>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</si>
  <si>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</si>
  <si>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</si>
  <si>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</si>
  <si>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FS-MP25-0310-4</t>
  </si>
  <si>
    <t>차열재생산일지(출하용)</t>
  </si>
  <si>
    <t>특이사항 및
 조치사항</t>
  </si>
  <si>
    <t>특이사항 및   조치사항</t>
  </si>
  <si>
    <t>VT-01</t>
  </si>
  <si>
    <t>VA-064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</si>
  <si>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</si>
  <si>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</si>
  <si>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</si>
  <si>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</si>
  <si>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</si>
  <si>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</si>
  <si>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</si>
  <si>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</si>
  <si>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</si>
  <si>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</si>
  <si>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</si>
  <si>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</si>
  <si>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</si>
  <si>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</si>
  <si>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</si>
  <si>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</si>
  <si>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</si>
  <si>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</si>
  <si>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</si>
  <si>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</si>
  <si>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30" type="noConversion"/>
  </si>
  <si>
    <t>재단작업지시서
(VT)</t>
    <phoneticPr fontId="30" type="noConversion"/>
  </si>
  <si>
    <t>재단작업지시서(VM)</t>
    <phoneticPr fontId="30" type="noConversion"/>
  </si>
  <si>
    <t>절 곡 생 산 일 지(VM)</t>
    <phoneticPr fontId="30" type="noConversion"/>
  </si>
  <si>
    <t>절 곡 생 산 일 지(VT_브라켓)</t>
    <phoneticPr fontId="30" type="noConversion"/>
  </si>
  <si>
    <t>라벨소요량</t>
    <phoneticPr fontId="30" type="noConversion"/>
  </si>
  <si>
    <t>25*
200</t>
    <phoneticPr fontId="30" type="noConversion"/>
  </si>
  <si>
    <t>구조체작업지시서</t>
    <phoneticPr fontId="30" type="noConversion"/>
  </si>
  <si>
    <t>차열재 25T*200*7.4M</t>
    <phoneticPr fontId="30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</si>
  <si>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</si>
  <si>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</si>
  <si>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</si>
  <si>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</si>
  <si>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</si>
  <si>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</si>
  <si>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</si>
  <si>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</si>
  <si>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</si>
  <si>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</si>
  <si>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</si>
  <si>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</si>
  <si>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</si>
  <si>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</si>
  <si>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</si>
  <si>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</si>
  <si>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</si>
  <si>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재단작업지시서차열재</t>
    <phoneticPr fontId="30" type="noConversion"/>
  </si>
  <si>
    <t>01</t>
    <phoneticPr fontId="30" type="noConversion"/>
  </si>
  <si>
    <t>02</t>
    <phoneticPr fontId="30" type="noConversion"/>
  </si>
  <si>
    <t>03</t>
    <phoneticPr fontId="30" type="noConversion"/>
  </si>
  <si>
    <t>6동 지하1층</t>
  </si>
  <si>
    <t>3동 지하1층</t>
  </si>
  <si>
    <t>1동 지하1층</t>
  </si>
  <si>
    <t>5동 지하1층</t>
  </si>
  <si>
    <t>7동 지하1층</t>
  </si>
  <si>
    <t>2동 지하1층</t>
  </si>
  <si>
    <t>4동 지하1층</t>
  </si>
  <si>
    <r>
      <t xml:space="preserve">26.07.07 </t>
    </r>
    <r>
      <rPr>
        <sz val="10"/>
        <color rgb="FF000000"/>
        <rFont val="맑은 고딕"/>
        <family val="3"/>
        <charset val="129"/>
      </rPr>
      <t>이신이엔지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한신공영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동위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평택브레인시티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한신더휴</t>
    </r>
    <phoneticPr fontId="30" type="noConversion"/>
  </si>
  <si>
    <t>BI054</t>
    <phoneticPr fontId="30" type="noConversion"/>
  </si>
  <si>
    <t>BI055</t>
  </si>
  <si>
    <t>BI056</t>
  </si>
  <si>
    <t>BI057</t>
  </si>
  <si>
    <t>BI058</t>
  </si>
  <si>
    <t>BI059</t>
  </si>
  <si>
    <t>BI060</t>
  </si>
  <si>
    <t>BI061</t>
  </si>
  <si>
    <t>BI062</t>
  </si>
  <si>
    <t>BI063</t>
  </si>
  <si>
    <t>BI064</t>
  </si>
  <si>
    <t>BI065</t>
  </si>
  <si>
    <t>BI066</t>
  </si>
  <si>
    <t>BI067</t>
  </si>
  <si>
    <t>BI068</t>
  </si>
  <si>
    <t>BI069</t>
  </si>
  <si>
    <t>BI070</t>
  </si>
  <si>
    <t>BI071</t>
  </si>
  <si>
    <t>BI072</t>
  </si>
  <si>
    <t>BI073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</si>
</sst>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8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6" fillId="9" borderId="16" xfId="0" applyFont="1" applyFill="1" applyBorder="1" applyAlignment="1">
      <alignment horizontal="center" vertical="center" wrapText="1"/>
    </xf>
    <xf numFmtId="0" fontId="29" fillId="0" borderId="0">
      <alignment vertical="center"/>
    </xf>
    <xf numFmtId="176" fontId="29" fillId="0" borderId="0">
      <alignment vertical="center"/>
    </xf>
    <xf numFmtId="0" fontId="1" fillId="0" borderId="0">
      <alignment vertical="center"/>
    </xf>
  </cellStyleXfs>
  <cellXfs count="3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2">
      <alignment vertical="center"/>
    </xf>
    <xf numFmtId="0" fontId="29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9" fillId="0" borderId="5" xfId="3" applyBorder="1" applyAlignment="1">
      <alignment horizontal="center" vertical="center"/>
    </xf>
    <xf numFmtId="176" fontId="29" fillId="0" borderId="6" xfId="3" applyBorder="1" applyAlignment="1">
      <alignment horizontal="center" vertical="center"/>
    </xf>
    <xf numFmtId="176" fontId="29" fillId="0" borderId="7" xfId="3" applyBorder="1" applyAlignment="1">
      <alignment horizontal="center" vertical="center"/>
    </xf>
    <xf numFmtId="176" fontId="29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76" fontId="29" fillId="0" borderId="12" xfId="3" applyBorder="1" applyAlignment="1">
      <alignment horizontal="center" vertical="center"/>
    </xf>
    <xf numFmtId="176" fontId="29" fillId="0" borderId="10" xfId="3" applyBorder="1" applyAlignment="1">
      <alignment horizontal="center" vertical="center"/>
    </xf>
    <xf numFmtId="176" fontId="29" fillId="0" borderId="13" xfId="3" applyBorder="1" applyAlignment="1">
      <alignment horizontal="center" vertical="center"/>
    </xf>
    <xf numFmtId="176" fontId="29" fillId="0" borderId="14" xfId="3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29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9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29" fillId="0" borderId="19" xfId="2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0" fontId="12" fillId="0" borderId="19" xfId="0" applyFont="1" applyBorder="1" applyAlignment="1">
      <alignment horizontal="center" vertical="center" shrinkToFit="1"/>
    </xf>
    <xf numFmtId="0" fontId="9" fillId="5" borderId="18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wrapText="1"/>
    </xf>
    <xf numFmtId="0" fontId="8" fillId="0" borderId="20" xfId="4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8" fillId="0" borderId="15" xfId="4" applyFont="1" applyBorder="1" applyAlignment="1">
      <alignment horizontal="center" vertical="center" wrapText="1"/>
    </xf>
    <xf numFmtId="0" fontId="29" fillId="0" borderId="15" xfId="2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6" fillId="6" borderId="18" xfId="4" applyFont="1" applyFill="1" applyBorder="1" applyAlignment="1">
      <alignment horizontal="center" vertical="center" wrapText="1"/>
    </xf>
    <xf numFmtId="0" fontId="16" fillId="7" borderId="18" xfId="4" applyFont="1" applyFill="1" applyBorder="1" applyAlignment="1">
      <alignment horizontal="center" vertical="center" wrapText="1"/>
    </xf>
    <xf numFmtId="0" fontId="19" fillId="0" borderId="18" xfId="2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 wrapText="1"/>
    </xf>
    <xf numFmtId="0" fontId="29" fillId="0" borderId="16" xfId="2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29" fillId="0" borderId="15" xfId="2" applyBorder="1" applyAlignment="1">
      <alignment vertical="center" wrapText="1"/>
    </xf>
    <xf numFmtId="0" fontId="29" fillId="0" borderId="18" xfId="2" applyBorder="1" applyAlignment="1">
      <alignment vertical="center" wrapText="1"/>
    </xf>
    <xf numFmtId="0" fontId="20" fillId="0" borderId="15" xfId="4" applyFont="1" applyBorder="1" applyAlignment="1">
      <alignment horizontal="center" vertical="center" wrapText="1"/>
    </xf>
    <xf numFmtId="0" fontId="20" fillId="0" borderId="18" xfId="4" applyFont="1" applyBorder="1" applyAlignment="1">
      <alignment horizontal="center" vertical="center" wrapText="1"/>
    </xf>
    <xf numFmtId="0" fontId="21" fillId="0" borderId="19" xfId="2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10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33" fillId="7" borderId="18" xfId="4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0" borderId="20" xfId="2" applyFont="1" applyBorder="1">
      <alignment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178" fontId="19" fillId="0" borderId="18" xfId="2" applyNumberFormat="1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 wrapText="1"/>
    </xf>
    <xf numFmtId="178" fontId="17" fillId="0" borderId="18" xfId="2" applyNumberFormat="1" applyFont="1" applyBorder="1" applyAlignment="1">
      <alignment horizontal="center" vertical="center" wrapText="1"/>
    </xf>
    <xf numFmtId="0" fontId="18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33" fillId="6" borderId="18" xfId="4" applyFont="1" applyFill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16" fillId="7" borderId="20" xfId="4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31" fillId="0" borderId="35" xfId="4" applyFont="1" applyBorder="1" applyAlignment="1">
      <alignment horizontal="center" vertical="center" wrapText="1"/>
    </xf>
    <xf numFmtId="0" fontId="31" fillId="0" borderId="37" xfId="4" applyFont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0" fontId="31" fillId="0" borderId="39" xfId="4" applyFont="1" applyBorder="1" applyAlignment="1">
      <alignment horizontal="center" vertical="center" wrapText="1"/>
    </xf>
    <xf numFmtId="0" fontId="31" fillId="0" borderId="34" xfId="4" applyFont="1" applyBorder="1" applyAlignment="1">
      <alignment horizontal="center" vertical="center" wrapText="1"/>
    </xf>
    <xf numFmtId="0" fontId="32" fillId="0" borderId="35" xfId="4" applyFont="1" applyBorder="1" applyAlignment="1">
      <alignment horizontal="center" vertical="center" shrinkToFit="1"/>
    </xf>
    <xf numFmtId="0" fontId="32" fillId="0" borderId="36" xfId="4" applyFont="1" applyBorder="1" applyAlignment="1">
      <alignment horizontal="center" vertical="center" shrinkToFit="1"/>
    </xf>
    <xf numFmtId="0" fontId="32" fillId="0" borderId="0" xfId="4" applyFont="1" applyAlignment="1">
      <alignment horizontal="center" vertical="center" shrinkToFit="1"/>
    </xf>
    <xf numFmtId="0" fontId="32" fillId="0" borderId="38" xfId="4" applyFont="1" applyBorder="1" applyAlignment="1">
      <alignment horizontal="center" vertical="center" shrinkToFit="1"/>
    </xf>
    <xf numFmtId="0" fontId="32" fillId="0" borderId="34" xfId="4" applyFont="1" applyBorder="1" applyAlignment="1">
      <alignment horizontal="center" vertical="center" shrinkToFit="1"/>
    </xf>
    <xf numFmtId="0" fontId="32" fillId="0" borderId="40" xfId="4" applyFont="1" applyBorder="1" applyAlignment="1">
      <alignment horizontal="center" vertical="center" shrinkToFit="1"/>
    </xf>
    <xf numFmtId="0" fontId="1" fillId="8" borderId="17" xfId="4" applyFill="1" applyBorder="1" applyAlignment="1">
      <alignment horizontal="center" vertical="center" wrapText="1"/>
    </xf>
    <xf numFmtId="0" fontId="2" fillId="8" borderId="15" xfId="4" applyFont="1" applyFill="1" applyBorder="1" applyAlignment="1">
      <alignment horizontal="center" vertical="center" wrapText="1"/>
    </xf>
    <xf numFmtId="0" fontId="2" fillId="8" borderId="18" xfId="4" applyFont="1" applyFill="1" applyBorder="1" applyAlignment="1">
      <alignment horizontal="center" vertical="center" wrapText="1"/>
    </xf>
    <xf numFmtId="0" fontId="2" fillId="8" borderId="16" xfId="4" applyFont="1" applyFill="1" applyBorder="1" applyAlignment="1">
      <alignment horizontal="center" vertical="center" wrapText="1"/>
    </xf>
    <xf numFmtId="0" fontId="2" fillId="8" borderId="19" xfId="4" applyFont="1" applyFill="1" applyBorder="1" applyAlignment="1">
      <alignment horizontal="center" vertical="center" wrapText="1"/>
    </xf>
    <xf numFmtId="0" fontId="3" fillId="0" borderId="26" xfId="4" applyFont="1" applyBorder="1" applyAlignment="1">
      <alignment horizontal="left" vertical="center"/>
    </xf>
    <xf numFmtId="0" fontId="0" fillId="0" borderId="27" xfId="4" applyFont="1" applyBorder="1" applyAlignment="1">
      <alignment horizontal="center" vertical="center"/>
    </xf>
    <xf numFmtId="0" fontId="0" fillId="0" borderId="28" xfId="4" applyFont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9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8" xfId="2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31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5" fillId="4" borderId="2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 shrinkToFit="1"/>
    </xf>
    <xf numFmtId="0" fontId="36" fillId="0" borderId="30" xfId="0" applyFont="1" applyBorder="1" applyAlignment="1">
      <alignment horizontal="center" vertical="center" wrapText="1" shrinkToFit="1"/>
    </xf>
    <xf numFmtId="0" fontId="36" fillId="0" borderId="0" xfId="0" applyFont="1" applyAlignment="1">
      <alignment horizontal="center" vertical="center" wrapText="1" shrinkToFit="1"/>
    </xf>
    <xf numFmtId="0" fontId="36" fillId="0" borderId="25" xfId="0" applyFont="1" applyBorder="1" applyAlignment="1">
      <alignment horizontal="center" vertical="center" wrapText="1" shrinkToFit="1"/>
    </xf>
    <xf numFmtId="0" fontId="36" fillId="0" borderId="2" xfId="0" applyFont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5" fillId="0" borderId="24" xfId="2" applyFont="1" applyBorder="1" applyAlignment="1">
      <alignment horizontal="center" vertical="center" shrinkToFit="1"/>
    </xf>
    <xf numFmtId="0" fontId="25" fillId="0" borderId="11" xfId="2" applyFont="1" applyBorder="1" applyAlignment="1">
      <alignment horizontal="center" vertical="center" shrinkToFit="1"/>
    </xf>
    <xf numFmtId="0" fontId="25" fillId="0" borderId="3" xfId="2" applyFont="1" applyBorder="1" applyAlignment="1">
      <alignment horizontal="center" vertical="center" shrinkToFit="1"/>
    </xf>
    <xf numFmtId="0" fontId="25" fillId="0" borderId="30" xfId="2" applyFont="1" applyBorder="1" applyAlignment="1">
      <alignment horizontal="center" vertical="center" shrinkToFit="1"/>
    </xf>
    <xf numFmtId="0" fontId="25" fillId="0" borderId="0" xfId="2" applyFont="1" applyAlignment="1">
      <alignment horizontal="center" vertical="center" shrinkToFit="1"/>
    </xf>
    <xf numFmtId="0" fontId="25" fillId="0" borderId="31" xfId="2" applyFont="1" applyBorder="1" applyAlignment="1">
      <alignment horizontal="center" vertical="center" shrinkToFit="1"/>
    </xf>
    <xf numFmtId="0" fontId="25" fillId="0" borderId="25" xfId="2" applyFont="1" applyBorder="1" applyAlignment="1">
      <alignment horizontal="center" vertical="center" shrinkToFit="1"/>
    </xf>
    <xf numFmtId="0" fontId="25" fillId="0" borderId="2" xfId="2" applyFont="1" applyBorder="1" applyAlignment="1">
      <alignment horizontal="center" vertical="center" shrinkToFit="1"/>
    </xf>
    <xf numFmtId="0" fontId="25" fillId="0" borderId="29" xfId="2" applyFont="1" applyBorder="1" applyAlignment="1">
      <alignment horizontal="center" vertical="center" shrinkToFit="1"/>
    </xf>
    <xf numFmtId="0" fontId="29" fillId="0" borderId="4" xfId="2" applyBorder="1" applyAlignment="1">
      <alignment horizontal="center" vertical="center"/>
    </xf>
    <xf numFmtId="0" fontId="29" fillId="0" borderId="28" xfId="2" applyBorder="1" applyAlignment="1">
      <alignment horizontal="center" vertical="center"/>
    </xf>
    <xf numFmtId="0" fontId="35" fillId="0" borderId="1" xfId="2" applyFont="1" applyBorder="1" applyAlignment="1">
      <alignment horizontal="center" vertical="center" wrapText="1"/>
    </xf>
    <xf numFmtId="0" fontId="29" fillId="0" borderId="21" xfId="2" applyBorder="1" applyAlignment="1">
      <alignment horizontal="center" vertical="center"/>
    </xf>
    <xf numFmtId="0" fontId="29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178" fontId="29" fillId="0" borderId="18" xfId="2" applyNumberFormat="1" applyBorder="1" applyAlignment="1">
      <alignment horizontal="center" vertical="center" wrapText="1"/>
    </xf>
    <xf numFmtId="0" fontId="29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35" fillId="0" borderId="1" xfId="2" applyFont="1" applyBorder="1" applyAlignment="1">
      <alignment horizontal="center" vertical="center" wrapText="1" shrinkToFit="1"/>
    </xf>
    <xf numFmtId="0" fontId="25" fillId="0" borderId="24" xfId="2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0" fontId="25" fillId="0" borderId="30" xfId="2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5" fillId="0" borderId="31" xfId="2" applyFont="1" applyBorder="1" applyAlignment="1">
      <alignment horizontal="center" vertical="center"/>
    </xf>
    <xf numFmtId="0" fontId="25" fillId="0" borderId="25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25" fillId="0" borderId="29" xfId="2" applyFont="1" applyBorder="1" applyAlignment="1">
      <alignment horizontal="center" vertical="center"/>
    </xf>
    <xf numFmtId="0" fontId="29" fillId="0" borderId="25" xfId="2" applyBorder="1" applyAlignment="1">
      <alignment horizontal="center" vertical="center"/>
    </xf>
    <xf numFmtId="0" fontId="29" fillId="0" borderId="29" xfId="2" applyBorder="1" applyAlignment="1">
      <alignment horizontal="center" vertical="center"/>
    </xf>
    <xf numFmtId="0" fontId="29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30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31" xfId="2" applyFont="1" applyBorder="1" applyAlignment="1">
      <alignment horizontal="center" vertical="center" wrapText="1"/>
    </xf>
    <xf numFmtId="178" fontId="5" fillId="0" borderId="15" xfId="2" applyNumberFormat="1" applyFont="1" applyBorder="1" applyAlignment="1">
      <alignment horizontal="center" vertical="center" wrapText="1"/>
    </xf>
    <xf numFmtId="178" fontId="5" fillId="0" borderId="18" xfId="2" applyNumberFormat="1" applyFont="1" applyBorder="1" applyAlignment="1">
      <alignment horizontal="center" vertical="center" wrapText="1"/>
    </xf>
    <xf numFmtId="0" fontId="29" fillId="0" borderId="24" xfId="2" applyBorder="1" applyAlignment="1">
      <alignment horizontal="center" vertical="center"/>
    </xf>
    <xf numFmtId="0" fontId="29" fillId="0" borderId="3" xfId="2" applyBorder="1" applyAlignment="1">
      <alignment horizontal="center" vertical="center"/>
    </xf>
    <xf numFmtId="41" fontId="29" fillId="0" borderId="18" xfId="2" applyNumberFormat="1" applyBorder="1" applyAlignment="1">
      <alignment horizontal="left" vertical="center" wrapText="1"/>
    </xf>
    <xf numFmtId="0" fontId="29" fillId="0" borderId="18" xfId="2" applyBorder="1" applyAlignment="1">
      <alignment horizontal="left" vertical="center" wrapText="1"/>
    </xf>
    <xf numFmtId="41" fontId="29" fillId="0" borderId="15" xfId="2" applyNumberFormat="1" applyBorder="1" applyAlignment="1">
      <alignment horizontal="left" vertical="center" wrapText="1"/>
    </xf>
    <xf numFmtId="0" fontId="29" fillId="0" borderId="15" xfId="2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5" fillId="0" borderId="24" xfId="0" applyFont="1" applyBorder="1" applyAlignment="1">
      <alignment horizontal="center" vertical="center" wrapText="1" shrinkToFit="1"/>
    </xf>
    <xf numFmtId="0" fontId="35" fillId="0" borderId="11" xfId="0" applyFont="1" applyBorder="1" applyAlignment="1">
      <alignment horizontal="center" vertical="center" wrapText="1" shrinkToFit="1"/>
    </xf>
    <xf numFmtId="0" fontId="35" fillId="0" borderId="3" xfId="0" applyFont="1" applyBorder="1" applyAlignment="1">
      <alignment horizontal="center" vertical="center" wrapText="1" shrinkToFit="1"/>
    </xf>
    <xf numFmtId="0" fontId="35" fillId="0" borderId="25" xfId="0" applyFont="1" applyBorder="1" applyAlignment="1">
      <alignment horizontal="center" vertical="center" wrapText="1" shrinkToFit="1"/>
    </xf>
    <xf numFmtId="0" fontId="35" fillId="0" borderId="2" xfId="0" applyFont="1" applyBorder="1" applyAlignment="1">
      <alignment horizontal="center" vertical="center" wrapText="1" shrinkToFit="1"/>
    </xf>
    <xf numFmtId="0" fontId="35" fillId="0" borderId="29" xfId="0" applyFont="1" applyBorder="1" applyAlignment="1">
      <alignment horizontal="center" vertical="center" wrapText="1" shrinkToFi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28"/>
  <sheetViews>
    <sheetView view="pageBreakPreview" zoomScale="120" zoomScaleNormal="120" zoomScaleSheetLayoutView="120" workbookViewId="0">
      <pane ySplit="8" topLeftCell="A9" activePane="bottomLeft" state="frozen"/>
      <selection pane="bottomLeft" activeCell="D43" sqref="D43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40" t="s">
        <v>77</v>
      </c>
      <c r="B1" s="150"/>
      <c r="C1" s="150"/>
      <c r="D1" s="155" t="str">
        <f>R2</f>
        <v>26.07.07 이신이엔지_한신공영_동위_평택브레인시티 한신더휴</v>
      </c>
      <c r="E1" s="155"/>
      <c r="F1" s="155"/>
      <c r="G1" s="156"/>
      <c r="R1" s="8" t="s">
        <v>70</v>
      </c>
    </row>
    <row r="2" spans="1:18" ht="16.5" customHeight="1">
      <c r="A2" s="151"/>
      <c r="B2" s="152"/>
      <c r="C2" s="152"/>
      <c r="D2" s="157"/>
      <c r="E2" s="157"/>
      <c r="F2" s="157"/>
      <c r="G2" s="158"/>
      <c r="R2" s="87" t="s">
        <v>107</v>
      </c>
    </row>
    <row r="3" spans="1:18" ht="16.5" customHeight="1">
      <c r="A3" s="151"/>
      <c r="B3" s="152"/>
      <c r="C3" s="152"/>
      <c r="D3" s="157"/>
      <c r="E3" s="157"/>
      <c r="F3" s="157"/>
      <c r="G3" s="158"/>
    </row>
    <row r="4" spans="1:18" ht="17.25" customHeight="1" thickBot="1">
      <c r="A4" s="153"/>
      <c r="B4" s="154"/>
      <c r="C4" s="154"/>
      <c r="D4" s="159"/>
      <c r="E4" s="159"/>
      <c r="F4" s="159"/>
      <c r="G4" s="160"/>
    </row>
    <row r="5" spans="1:18" ht="6.75" customHeight="1" thickTop="1">
      <c r="A5" s="88"/>
      <c r="B5" s="88"/>
      <c r="C5" s="88"/>
      <c r="D5" s="88"/>
      <c r="E5" s="88"/>
      <c r="F5" s="88"/>
      <c r="G5" s="88"/>
    </row>
    <row r="6" spans="1:18" s="10" customFormat="1" ht="18" customHeight="1" thickBot="1">
      <c r="A6" s="141" t="s">
        <v>1</v>
      </c>
      <c r="B6" s="162" t="s">
        <v>69</v>
      </c>
      <c r="C6" s="162" t="s">
        <v>4</v>
      </c>
      <c r="D6" s="162"/>
      <c r="E6" s="162" t="s">
        <v>42</v>
      </c>
      <c r="F6" s="162" t="s">
        <v>39</v>
      </c>
      <c r="G6" s="164" t="s">
        <v>18</v>
      </c>
      <c r="H6" s="9"/>
      <c r="I6" s="166" t="s">
        <v>10</v>
      </c>
      <c r="J6" s="166"/>
      <c r="K6" s="166"/>
      <c r="L6" s="166"/>
      <c r="M6" s="166"/>
      <c r="N6" s="166"/>
      <c r="O6" s="8"/>
    </row>
    <row r="7" spans="1:18" s="10" customFormat="1" ht="18" customHeight="1">
      <c r="A7" s="161"/>
      <c r="B7" s="163"/>
      <c r="C7" s="163" t="s">
        <v>66</v>
      </c>
      <c r="D7" s="163" t="s">
        <v>64</v>
      </c>
      <c r="E7" s="163"/>
      <c r="F7" s="163"/>
      <c r="G7" s="16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61"/>
      <c r="B8" s="163"/>
      <c r="C8" s="163"/>
      <c r="D8" s="163"/>
      <c r="E8" s="163"/>
      <c r="F8" s="163"/>
      <c r="G8" s="165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5" t="s">
        <v>97</v>
      </c>
      <c r="B9" s="62" t="s">
        <v>49</v>
      </c>
      <c r="C9" s="34">
        <v>600</v>
      </c>
      <c r="D9" s="34">
        <v>900</v>
      </c>
      <c r="E9" s="89"/>
      <c r="F9" s="89"/>
      <c r="G9" s="90" t="s">
        <v>100</v>
      </c>
      <c r="H9" s="13"/>
      <c r="I9" s="28"/>
      <c r="J9" s="26"/>
      <c r="K9" s="20"/>
      <c r="L9" s="21"/>
      <c r="M9" s="22"/>
      <c r="N9" s="26"/>
      <c r="O9" s="8"/>
      <c r="Q9" s="10" t="s">
        <v>108</v>
      </c>
    </row>
    <row r="10" spans="1:18" s="10" customFormat="1" ht="18" customHeight="1" thickBot="1">
      <c r="A10" s="105" t="s">
        <v>98</v>
      </c>
      <c r="B10" s="62" t="s">
        <v>49</v>
      </c>
      <c r="C10" s="34">
        <v>700</v>
      </c>
      <c r="D10" s="34">
        <v>550</v>
      </c>
      <c r="E10" s="74"/>
      <c r="F10" s="89"/>
      <c r="G10" s="90" t="s">
        <v>101</v>
      </c>
      <c r="H10" s="13"/>
      <c r="I10" s="28"/>
      <c r="J10" s="26"/>
      <c r="K10" s="20"/>
      <c r="L10" s="21"/>
      <c r="M10" s="22"/>
      <c r="N10" s="26"/>
      <c r="O10" s="8"/>
      <c r="Q10" s="10" t="s">
        <v>109</v>
      </c>
    </row>
    <row r="11" spans="1:18" s="10" customFormat="1" ht="18" customHeight="1" thickBot="1">
      <c r="A11" s="105" t="s">
        <v>99</v>
      </c>
      <c r="B11" s="62" t="s">
        <v>49</v>
      </c>
      <c r="C11" s="34">
        <v>750</v>
      </c>
      <c r="D11" s="34">
        <v>700</v>
      </c>
      <c r="E11" s="74"/>
      <c r="F11" s="89"/>
      <c r="G11" s="90" t="s">
        <v>102</v>
      </c>
      <c r="H11" s="13"/>
      <c r="I11" s="28"/>
      <c r="J11" s="26"/>
      <c r="K11" s="20"/>
      <c r="L11" s="21"/>
      <c r="M11" s="22"/>
      <c r="N11" s="26"/>
      <c r="O11" s="8"/>
      <c r="Q11" s="10" t="s">
        <v>110</v>
      </c>
    </row>
    <row r="12" spans="1:18" s="10" customFormat="1" ht="18" customHeight="1" thickBot="1">
      <c r="A12" s="105" t="s">
        <v>79</v>
      </c>
      <c r="B12" s="62" t="s">
        <v>49</v>
      </c>
      <c r="C12" s="34">
        <v>800</v>
      </c>
      <c r="D12" s="34">
        <v>650</v>
      </c>
      <c r="E12" s="74"/>
      <c r="F12" s="89"/>
      <c r="G12" s="90" t="s">
        <v>103</v>
      </c>
      <c r="H12" s="13"/>
      <c r="I12" s="28"/>
      <c r="J12" s="26"/>
      <c r="K12" s="20"/>
      <c r="L12" s="21"/>
      <c r="M12" s="22"/>
      <c r="N12" s="26"/>
      <c r="O12" s="8"/>
      <c r="Q12" s="10" t="s">
        <v>111</v>
      </c>
    </row>
    <row r="13" spans="1:18" s="10" customFormat="1" ht="18" customHeight="1" thickBot="1">
      <c r="A13" s="105" t="s">
        <v>80</v>
      </c>
      <c r="B13" s="62" t="s">
        <v>49</v>
      </c>
      <c r="C13" s="34">
        <v>800</v>
      </c>
      <c r="D13" s="34">
        <v>650</v>
      </c>
      <c r="E13" s="74"/>
      <c r="F13" s="89"/>
      <c r="G13" s="90" t="s">
        <v>104</v>
      </c>
      <c r="H13" s="13"/>
      <c r="I13" s="12"/>
      <c r="J13" s="12"/>
      <c r="K13" s="20"/>
      <c r="L13" s="21"/>
      <c r="M13" s="22"/>
      <c r="N13" s="12"/>
      <c r="O13" s="8"/>
      <c r="Q13" s="10" t="s">
        <v>112</v>
      </c>
    </row>
    <row r="14" spans="1:18" s="10" customFormat="1" ht="18" customHeight="1" thickBot="1">
      <c r="A14" s="105" t="s">
        <v>81</v>
      </c>
      <c r="B14" s="62" t="s">
        <v>49</v>
      </c>
      <c r="C14" s="34">
        <v>900</v>
      </c>
      <c r="D14" s="34">
        <v>600</v>
      </c>
      <c r="E14" s="74"/>
      <c r="F14" s="89"/>
      <c r="G14" s="90" t="s">
        <v>105</v>
      </c>
      <c r="H14" s="13"/>
      <c r="I14" s="28"/>
      <c r="J14" s="26"/>
      <c r="K14" s="20"/>
      <c r="L14" s="21"/>
      <c r="M14" s="22"/>
      <c r="N14" s="26"/>
      <c r="O14" s="8"/>
      <c r="Q14" s="10" t="s">
        <v>113</v>
      </c>
    </row>
    <row r="15" spans="1:18" s="10" customFormat="1" ht="18" customHeight="1" thickBot="1">
      <c r="A15" s="105" t="s">
        <v>82</v>
      </c>
      <c r="B15" s="62" t="s">
        <v>49</v>
      </c>
      <c r="C15" s="34">
        <v>900</v>
      </c>
      <c r="D15" s="34">
        <v>600</v>
      </c>
      <c r="E15" s="74"/>
      <c r="F15" s="89"/>
      <c r="G15" s="90" t="s">
        <v>101</v>
      </c>
      <c r="H15" s="13"/>
      <c r="I15" s="27"/>
      <c r="J15" s="25"/>
      <c r="K15" s="20"/>
      <c r="L15" s="21"/>
      <c r="M15" s="22"/>
      <c r="N15" s="25"/>
      <c r="O15" s="8"/>
      <c r="Q15" s="10" t="s">
        <v>114</v>
      </c>
    </row>
    <row r="16" spans="1:18" s="10" customFormat="1" ht="18" customHeight="1" thickBot="1">
      <c r="A16" s="105" t="s">
        <v>83</v>
      </c>
      <c r="B16" s="62" t="s">
        <v>49</v>
      </c>
      <c r="C16" s="34">
        <v>900</v>
      </c>
      <c r="D16" s="34">
        <v>600</v>
      </c>
      <c r="E16" s="74"/>
      <c r="F16" s="89"/>
      <c r="G16" s="90" t="s">
        <v>101</v>
      </c>
      <c r="H16" s="13"/>
      <c r="I16" s="28"/>
      <c r="J16" s="26"/>
      <c r="K16" s="20"/>
      <c r="L16" s="21"/>
      <c r="M16" s="22"/>
      <c r="N16" s="26"/>
      <c r="O16" s="8"/>
      <c r="Q16" s="10" t="s">
        <v>115</v>
      </c>
    </row>
    <row r="17" spans="1:17" s="10" customFormat="1" ht="18" customHeight="1" thickBot="1">
      <c r="A17" s="105" t="s">
        <v>84</v>
      </c>
      <c r="B17" s="62" t="s">
        <v>49</v>
      </c>
      <c r="C17" s="34">
        <v>900</v>
      </c>
      <c r="D17" s="34">
        <v>600</v>
      </c>
      <c r="E17" s="74"/>
      <c r="F17" s="89"/>
      <c r="G17" s="90" t="s">
        <v>106</v>
      </c>
      <c r="H17" s="13"/>
      <c r="I17" s="28"/>
      <c r="J17" s="26"/>
      <c r="K17" s="20"/>
      <c r="L17" s="21"/>
      <c r="M17" s="22"/>
      <c r="N17" s="26"/>
      <c r="O17" s="8"/>
      <c r="Q17" s="10" t="s">
        <v>116</v>
      </c>
    </row>
    <row r="18" spans="1:17" s="10" customFormat="1" ht="16.5">
      <c r="A18" s="105" t="s">
        <v>85</v>
      </c>
      <c r="B18" s="63" t="s">
        <v>48</v>
      </c>
      <c r="C18" s="34">
        <v>750</v>
      </c>
      <c r="D18" s="34">
        <v>1550</v>
      </c>
      <c r="E18" s="74"/>
      <c r="F18" s="89"/>
      <c r="G18" s="90" t="s">
        <v>100</v>
      </c>
      <c r="H18" s="13"/>
      <c r="I18" s="7"/>
      <c r="J18" s="7"/>
      <c r="K18" s="20"/>
      <c r="L18" s="21"/>
      <c r="M18" s="22"/>
      <c r="N18" s="7"/>
      <c r="O18" s="8"/>
      <c r="Q18" s="10" t="s">
        <v>117</v>
      </c>
    </row>
    <row r="19" spans="1:17" s="10" customFormat="1" ht="16.5">
      <c r="A19" s="105" t="s">
        <v>86</v>
      </c>
      <c r="B19" s="63" t="s">
        <v>48</v>
      </c>
      <c r="C19" s="34">
        <v>900</v>
      </c>
      <c r="D19" s="34">
        <v>1100</v>
      </c>
      <c r="E19" s="74"/>
      <c r="F19" s="89"/>
      <c r="G19" s="90" t="s">
        <v>105</v>
      </c>
      <c r="H19" s="13"/>
      <c r="I19" s="7"/>
      <c r="J19" s="7"/>
      <c r="K19" s="19"/>
      <c r="L19" s="19"/>
      <c r="M19" s="19"/>
      <c r="N19" s="7"/>
      <c r="O19" s="8"/>
      <c r="Q19" s="10" t="s">
        <v>118</v>
      </c>
    </row>
    <row r="20" spans="1:17" s="10" customFormat="1" ht="17.25" thickBot="1">
      <c r="A20" s="105" t="s">
        <v>87</v>
      </c>
      <c r="B20" s="63" t="s">
        <v>48</v>
      </c>
      <c r="C20" s="34">
        <v>900</v>
      </c>
      <c r="D20" s="34">
        <v>1100</v>
      </c>
      <c r="E20" s="89"/>
      <c r="F20" s="89"/>
      <c r="G20" s="90" t="s">
        <v>101</v>
      </c>
      <c r="H20" s="13"/>
      <c r="I20" s="140"/>
      <c r="J20" s="167"/>
      <c r="K20" s="168"/>
      <c r="L20" s="8"/>
      <c r="M20" s="140"/>
      <c r="N20" s="167"/>
      <c r="O20" s="168"/>
      <c r="Q20" s="10" t="s">
        <v>119</v>
      </c>
    </row>
    <row r="21" spans="1:17" s="10" customFormat="1" ht="16.5">
      <c r="A21" s="105" t="s">
        <v>88</v>
      </c>
      <c r="B21" s="63" t="s">
        <v>48</v>
      </c>
      <c r="C21" s="34">
        <v>900</v>
      </c>
      <c r="D21" s="34">
        <v>1100</v>
      </c>
      <c r="E21" s="74"/>
      <c r="F21" s="89"/>
      <c r="G21" s="90" t="s">
        <v>106</v>
      </c>
      <c r="H21" s="13"/>
      <c r="I21" s="7"/>
      <c r="J21" s="7"/>
      <c r="K21" s="20"/>
      <c r="L21" s="21"/>
      <c r="M21" s="22"/>
      <c r="N21" s="7"/>
      <c r="O21" s="8"/>
      <c r="Q21" s="10" t="s">
        <v>120</v>
      </c>
    </row>
    <row r="22" spans="1:17" s="10" customFormat="1" ht="16.5">
      <c r="A22" s="105" t="s">
        <v>89</v>
      </c>
      <c r="B22" s="63" t="s">
        <v>48</v>
      </c>
      <c r="C22" s="34">
        <v>900</v>
      </c>
      <c r="D22" s="34">
        <v>1350</v>
      </c>
      <c r="E22" s="74"/>
      <c r="F22" s="89"/>
      <c r="G22" s="90" t="s">
        <v>104</v>
      </c>
      <c r="H22" s="13"/>
      <c r="I22" s="7"/>
      <c r="J22" s="7"/>
      <c r="K22" s="19"/>
      <c r="L22" s="19"/>
      <c r="M22" s="19"/>
      <c r="N22" s="7"/>
      <c r="O22" s="8"/>
      <c r="Q22" s="10" t="s">
        <v>121</v>
      </c>
    </row>
    <row r="23" spans="1:17" s="10" customFormat="1" ht="17.25" thickBot="1">
      <c r="A23" s="105" t="s">
        <v>90</v>
      </c>
      <c r="B23" s="63" t="s">
        <v>48</v>
      </c>
      <c r="C23" s="34">
        <v>950</v>
      </c>
      <c r="D23" s="34">
        <v>1300</v>
      </c>
      <c r="E23" s="89"/>
      <c r="F23" s="89"/>
      <c r="G23" s="90" t="s">
        <v>103</v>
      </c>
      <c r="H23" s="13"/>
      <c r="I23" s="140"/>
      <c r="J23" s="167"/>
      <c r="K23" s="168"/>
      <c r="L23" s="8"/>
      <c r="M23" s="140"/>
      <c r="N23" s="167"/>
      <c r="O23" s="168"/>
      <c r="Q23" s="10" t="s">
        <v>122</v>
      </c>
    </row>
    <row r="24" spans="1:17" s="10" customFormat="1" ht="16.5">
      <c r="A24" s="105" t="s">
        <v>91</v>
      </c>
      <c r="B24" s="63" t="s">
        <v>48</v>
      </c>
      <c r="C24" s="34">
        <v>1000</v>
      </c>
      <c r="D24" s="34">
        <v>1000</v>
      </c>
      <c r="E24" s="74"/>
      <c r="F24" s="89"/>
      <c r="G24" s="90" t="s">
        <v>102</v>
      </c>
      <c r="H24" s="13"/>
      <c r="I24" s="7"/>
      <c r="J24" s="7"/>
      <c r="K24" s="20"/>
      <c r="L24" s="21"/>
      <c r="M24" s="22"/>
      <c r="N24" s="7"/>
      <c r="O24" s="8"/>
      <c r="Q24" s="10" t="s">
        <v>123</v>
      </c>
    </row>
    <row r="25" spans="1:17" s="10" customFormat="1" ht="16.5">
      <c r="A25" s="105" t="s">
        <v>92</v>
      </c>
      <c r="B25" s="63" t="s">
        <v>48</v>
      </c>
      <c r="C25" s="34">
        <v>1100</v>
      </c>
      <c r="D25" s="34">
        <v>850</v>
      </c>
      <c r="E25" s="74"/>
      <c r="F25" s="89"/>
      <c r="G25" s="90" t="s">
        <v>101</v>
      </c>
      <c r="H25" s="13"/>
      <c r="I25" s="7"/>
      <c r="J25" s="7"/>
      <c r="K25" s="19"/>
      <c r="L25" s="19"/>
      <c r="M25" s="19"/>
      <c r="N25" s="7"/>
      <c r="O25" s="8"/>
      <c r="Q25" s="10" t="s">
        <v>124</v>
      </c>
    </row>
    <row r="26" spans="1:17" s="10" customFormat="1" ht="17.25" thickBot="1">
      <c r="A26" s="105" t="s">
        <v>93</v>
      </c>
      <c r="B26" s="63" t="s">
        <v>48</v>
      </c>
      <c r="C26" s="34">
        <v>1100</v>
      </c>
      <c r="D26" s="34">
        <v>900</v>
      </c>
      <c r="E26" s="89"/>
      <c r="F26" s="89"/>
      <c r="G26" s="90" t="s">
        <v>103</v>
      </c>
      <c r="H26" s="13"/>
      <c r="I26" s="140"/>
      <c r="J26" s="167"/>
      <c r="K26" s="168"/>
      <c r="L26" s="8"/>
      <c r="M26" s="140"/>
      <c r="N26" s="167"/>
      <c r="O26" s="168"/>
      <c r="Q26" s="10" t="s">
        <v>125</v>
      </c>
    </row>
    <row r="27" spans="1:17" s="10" customFormat="1" ht="16.5">
      <c r="A27" s="105" t="s">
        <v>94</v>
      </c>
      <c r="B27" s="63" t="s">
        <v>48</v>
      </c>
      <c r="C27" s="34">
        <v>1100</v>
      </c>
      <c r="D27" s="34">
        <v>900</v>
      </c>
      <c r="E27" s="74"/>
      <c r="F27" s="89"/>
      <c r="G27" s="90" t="s">
        <v>100</v>
      </c>
      <c r="H27" s="13"/>
      <c r="I27" s="7"/>
      <c r="J27" s="7"/>
      <c r="K27" s="20"/>
      <c r="L27" s="21"/>
      <c r="M27" s="22"/>
      <c r="N27" s="7"/>
      <c r="O27" s="8"/>
      <c r="Q27" s="10" t="s">
        <v>126</v>
      </c>
    </row>
    <row r="28" spans="1:17" s="10" customFormat="1" ht="16.5">
      <c r="A28" s="105" t="s">
        <v>95</v>
      </c>
      <c r="B28" s="63" t="s">
        <v>48</v>
      </c>
      <c r="C28" s="34">
        <v>1200</v>
      </c>
      <c r="D28" s="34">
        <v>1000</v>
      </c>
      <c r="E28" s="74"/>
      <c r="F28" s="89"/>
      <c r="G28" s="90" t="s">
        <v>104</v>
      </c>
      <c r="H28" s="13"/>
      <c r="I28" s="7"/>
      <c r="J28" s="7"/>
      <c r="K28" s="19"/>
      <c r="L28" s="19"/>
      <c r="M28" s="19"/>
      <c r="N28" s="7"/>
      <c r="O28" s="8"/>
      <c r="Q28" s="10" t="s">
        <v>127</v>
      </c>
    </row>
  </sheetData>
  <mergeCells count="17">
    <mergeCell ref="I23:K23"/>
    <mergeCell ref="M23:O23"/>
    <mergeCell ref="I26:K26"/>
    <mergeCell ref="M26:O26"/>
    <mergeCell ref="I6:N6"/>
    <mergeCell ref="C7:C8"/>
    <mergeCell ref="D7:D8"/>
    <mergeCell ref="I20:K20"/>
    <mergeCell ref="M20:O20"/>
    <mergeCell ref="A1:C4"/>
    <mergeCell ref="D1:G4"/>
    <mergeCell ref="A6:A8"/>
    <mergeCell ref="B6:B8"/>
    <mergeCell ref="C6:D6"/>
    <mergeCell ref="E6:E8"/>
    <mergeCell ref="F6:F8"/>
    <mergeCell ref="G6:G8"/>
  </mergeCells>
  <phoneticPr fontId="30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0"/>
  <sheetViews>
    <sheetView zoomScaleNormal="100" zoomScaleSheetLayoutView="100" workbookViewId="0">
      <selection activeCell="E32" sqref="E32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40"/>
      <c r="B1" s="140"/>
      <c r="C1" s="140"/>
      <c r="D1" s="140"/>
      <c r="E1" s="175" t="s">
        <v>72</v>
      </c>
      <c r="F1" s="176"/>
      <c r="G1" s="176"/>
      <c r="H1" s="176" t="str">
        <f>'1. 소켓인수검사'!R2</f>
        <v>26.07.07 이신이엔지_한신공영_동위_평택브레인시티 한신더휴</v>
      </c>
      <c r="I1" s="176"/>
      <c r="J1" s="176"/>
      <c r="K1" s="176"/>
      <c r="L1" s="176"/>
      <c r="M1" s="176"/>
      <c r="N1" s="176"/>
      <c r="O1" s="181"/>
    </row>
    <row r="2" spans="1:15" ht="16.5" customHeight="1">
      <c r="A2" s="140"/>
      <c r="B2" s="140"/>
      <c r="C2" s="140"/>
      <c r="D2" s="140"/>
      <c r="E2" s="177"/>
      <c r="F2" s="178"/>
      <c r="G2" s="178"/>
      <c r="H2" s="178"/>
      <c r="I2" s="178"/>
      <c r="J2" s="178"/>
      <c r="K2" s="178"/>
      <c r="L2" s="178"/>
      <c r="M2" s="178"/>
      <c r="N2" s="178"/>
      <c r="O2" s="182"/>
    </row>
    <row r="3" spans="1:15" ht="16.5" customHeight="1">
      <c r="A3" s="140"/>
      <c r="B3" s="140"/>
      <c r="C3" s="140"/>
      <c r="D3" s="140"/>
      <c r="E3" s="179"/>
      <c r="F3" s="180"/>
      <c r="G3" s="180"/>
      <c r="H3" s="180"/>
      <c r="I3" s="180"/>
      <c r="J3" s="180"/>
      <c r="K3" s="180"/>
      <c r="L3" s="180"/>
      <c r="M3" s="180"/>
      <c r="N3" s="180"/>
      <c r="O3" s="183"/>
    </row>
    <row r="4" spans="1:15" ht="8.1" customHeight="1">
      <c r="A4" s="184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</row>
    <row r="5" spans="1:15" ht="26.45" customHeight="1">
      <c r="A5" s="185" t="s">
        <v>59</v>
      </c>
      <c r="B5" s="186" t="s">
        <v>69</v>
      </c>
      <c r="C5" s="174" t="s">
        <v>4</v>
      </c>
      <c r="D5" s="174"/>
      <c r="E5" s="174" t="s">
        <v>25</v>
      </c>
      <c r="F5" s="171" t="s">
        <v>57</v>
      </c>
      <c r="G5" s="169" t="s">
        <v>21</v>
      </c>
      <c r="H5" s="170"/>
      <c r="I5" s="170"/>
      <c r="J5" s="189"/>
      <c r="K5" s="169" t="s">
        <v>35</v>
      </c>
      <c r="L5" s="170"/>
      <c r="M5" s="170"/>
      <c r="N5" s="170"/>
      <c r="O5" s="171" t="s">
        <v>2</v>
      </c>
    </row>
    <row r="6" spans="1:15" ht="16.5" customHeight="1">
      <c r="A6" s="185"/>
      <c r="B6" s="187"/>
      <c r="C6" s="174" t="s">
        <v>66</v>
      </c>
      <c r="D6" s="174" t="s">
        <v>64</v>
      </c>
      <c r="E6" s="174"/>
      <c r="F6" s="172"/>
      <c r="G6" s="174" t="s">
        <v>66</v>
      </c>
      <c r="H6" s="174"/>
      <c r="I6" s="174" t="s">
        <v>64</v>
      </c>
      <c r="J6" s="174"/>
      <c r="K6" s="174" t="s">
        <v>68</v>
      </c>
      <c r="L6" s="174"/>
      <c r="M6" s="169" t="s">
        <v>65</v>
      </c>
      <c r="N6" s="170"/>
      <c r="O6" s="172"/>
    </row>
    <row r="7" spans="1:15">
      <c r="A7" s="185"/>
      <c r="B7" s="188"/>
      <c r="C7" s="174"/>
      <c r="D7" s="174"/>
      <c r="E7" s="174"/>
      <c r="F7" s="173"/>
      <c r="G7" s="107" t="s">
        <v>4</v>
      </c>
      <c r="H7" s="107" t="s">
        <v>32</v>
      </c>
      <c r="I7" s="110" t="s">
        <v>4</v>
      </c>
      <c r="J7" s="109" t="s">
        <v>32</v>
      </c>
      <c r="K7" s="107" t="s">
        <v>4</v>
      </c>
      <c r="L7" s="107" t="s">
        <v>57</v>
      </c>
      <c r="M7" s="107" t="s">
        <v>4</v>
      </c>
      <c r="N7" s="108" t="s">
        <v>57</v>
      </c>
      <c r="O7" s="173"/>
    </row>
    <row r="8" spans="1:15">
      <c r="A8" s="111" t="str">
        <f>'1. 소켓인수검사'!A9</f>
        <v>01</v>
      </c>
      <c r="B8" s="116" t="s">
        <v>49</v>
      </c>
      <c r="C8" s="70">
        <f>'1. 소켓인수검사'!C9</f>
        <v>600</v>
      </c>
      <c r="D8" s="70">
        <f>'1. 소켓인수검사'!D9</f>
        <v>900</v>
      </c>
      <c r="E8" s="41"/>
      <c r="F8" s="70">
        <v>1</v>
      </c>
      <c r="G8" s="112">
        <f t="shared" ref="G8:G16" si="0">C8-5</f>
        <v>595</v>
      </c>
      <c r="H8" s="70">
        <f t="shared" ref="H8:H16" si="1">F8*4</f>
        <v>4</v>
      </c>
      <c r="I8" s="113">
        <f t="shared" ref="I8:I16" si="2">D8-30</f>
        <v>870</v>
      </c>
      <c r="J8" s="70">
        <f t="shared" ref="J8:J16" si="3">F8*4</f>
        <v>4</v>
      </c>
      <c r="K8" s="114">
        <f t="shared" ref="K8:K16" si="4">C8+60</f>
        <v>660</v>
      </c>
      <c r="L8" s="70">
        <v>2</v>
      </c>
      <c r="M8" s="114">
        <f t="shared" ref="M8:M16" si="5">D8</f>
        <v>900</v>
      </c>
      <c r="N8" s="70">
        <v>2</v>
      </c>
      <c r="O8" s="115"/>
    </row>
    <row r="9" spans="1:15">
      <c r="A9" s="111" t="str">
        <f>'1. 소켓인수검사'!A10</f>
        <v>02</v>
      </c>
      <c r="B9" s="116" t="s">
        <v>49</v>
      </c>
      <c r="C9" s="70">
        <f>'1. 소켓인수검사'!C10</f>
        <v>700</v>
      </c>
      <c r="D9" s="70">
        <f>'1. 소켓인수검사'!D10</f>
        <v>550</v>
      </c>
      <c r="E9" s="41"/>
      <c r="F9" s="70">
        <v>1</v>
      </c>
      <c r="G9" s="112">
        <f t="shared" si="0"/>
        <v>695</v>
      </c>
      <c r="H9" s="70">
        <f t="shared" si="1"/>
        <v>4</v>
      </c>
      <c r="I9" s="113">
        <f t="shared" si="2"/>
        <v>520</v>
      </c>
      <c r="J9" s="70">
        <f t="shared" si="3"/>
        <v>4</v>
      </c>
      <c r="K9" s="114">
        <f t="shared" si="4"/>
        <v>760</v>
      </c>
      <c r="L9" s="70">
        <v>2</v>
      </c>
      <c r="M9" s="114">
        <f t="shared" si="5"/>
        <v>550</v>
      </c>
      <c r="N9" s="70">
        <v>2</v>
      </c>
      <c r="O9" s="115"/>
    </row>
    <row r="10" spans="1:15">
      <c r="A10" s="111" t="str">
        <f>'1. 소켓인수검사'!A11</f>
        <v>03</v>
      </c>
      <c r="B10" s="116" t="s">
        <v>49</v>
      </c>
      <c r="C10" s="70">
        <f>'1. 소켓인수검사'!C11</f>
        <v>750</v>
      </c>
      <c r="D10" s="70">
        <f>'1. 소켓인수검사'!D11</f>
        <v>700</v>
      </c>
      <c r="E10" s="41"/>
      <c r="F10" s="70">
        <v>1</v>
      </c>
      <c r="G10" s="112">
        <f t="shared" si="0"/>
        <v>745</v>
      </c>
      <c r="H10" s="70">
        <f t="shared" si="1"/>
        <v>4</v>
      </c>
      <c r="I10" s="113">
        <f t="shared" si="2"/>
        <v>670</v>
      </c>
      <c r="J10" s="70">
        <f t="shared" si="3"/>
        <v>4</v>
      </c>
      <c r="K10" s="114">
        <f t="shared" si="4"/>
        <v>810</v>
      </c>
      <c r="L10" s="70">
        <v>2</v>
      </c>
      <c r="M10" s="114">
        <f t="shared" si="5"/>
        <v>700</v>
      </c>
      <c r="N10" s="70">
        <v>2</v>
      </c>
      <c r="O10" s="115"/>
    </row>
    <row r="11" spans="1:15">
      <c r="A11" s="111" t="str">
        <f>'1. 소켓인수검사'!A12</f>
        <v>04</v>
      </c>
      <c r="B11" s="116" t="s">
        <v>49</v>
      </c>
      <c r="C11" s="70">
        <f>'1. 소켓인수검사'!C12</f>
        <v>800</v>
      </c>
      <c r="D11" s="70">
        <f>'1. 소켓인수검사'!D12</f>
        <v>650</v>
      </c>
      <c r="E11" s="41"/>
      <c r="F11" s="70">
        <v>1</v>
      </c>
      <c r="G11" s="112">
        <f t="shared" si="0"/>
        <v>795</v>
      </c>
      <c r="H11" s="70">
        <f t="shared" si="1"/>
        <v>4</v>
      </c>
      <c r="I11" s="113">
        <f t="shared" si="2"/>
        <v>620</v>
      </c>
      <c r="J11" s="70">
        <f t="shared" si="3"/>
        <v>4</v>
      </c>
      <c r="K11" s="114">
        <f t="shared" si="4"/>
        <v>860</v>
      </c>
      <c r="L11" s="70">
        <v>2</v>
      </c>
      <c r="M11" s="114">
        <f t="shared" si="5"/>
        <v>650</v>
      </c>
      <c r="N11" s="70">
        <v>2</v>
      </c>
      <c r="O11" s="115"/>
    </row>
    <row r="12" spans="1:15">
      <c r="A12" s="111" t="str">
        <f>'1. 소켓인수검사'!A13</f>
        <v>05</v>
      </c>
      <c r="B12" s="116" t="s">
        <v>49</v>
      </c>
      <c r="C12" s="70">
        <f>'1. 소켓인수검사'!C13</f>
        <v>800</v>
      </c>
      <c r="D12" s="70">
        <f>'1. 소켓인수검사'!D13</f>
        <v>650</v>
      </c>
      <c r="E12" s="41"/>
      <c r="F12" s="70">
        <v>1</v>
      </c>
      <c r="G12" s="112">
        <f t="shared" si="0"/>
        <v>795</v>
      </c>
      <c r="H12" s="70">
        <f t="shared" si="1"/>
        <v>4</v>
      </c>
      <c r="I12" s="113">
        <f t="shared" si="2"/>
        <v>620</v>
      </c>
      <c r="J12" s="70">
        <f t="shared" si="3"/>
        <v>4</v>
      </c>
      <c r="K12" s="114">
        <f t="shared" si="4"/>
        <v>860</v>
      </c>
      <c r="L12" s="70">
        <v>2</v>
      </c>
      <c r="M12" s="114">
        <f t="shared" si="5"/>
        <v>650</v>
      </c>
      <c r="N12" s="70">
        <v>2</v>
      </c>
      <c r="O12" s="115"/>
    </row>
    <row r="13" spans="1:15">
      <c r="A13" s="111" t="str">
        <f>'1. 소켓인수검사'!A14</f>
        <v>06</v>
      </c>
      <c r="B13" s="116" t="s">
        <v>49</v>
      </c>
      <c r="C13" s="70">
        <f>'1. 소켓인수검사'!C14</f>
        <v>900</v>
      </c>
      <c r="D13" s="70">
        <f>'1. 소켓인수검사'!D14</f>
        <v>600</v>
      </c>
      <c r="E13" s="41"/>
      <c r="F13" s="70">
        <v>1</v>
      </c>
      <c r="G13" s="112">
        <f t="shared" si="0"/>
        <v>895</v>
      </c>
      <c r="H13" s="70">
        <f t="shared" si="1"/>
        <v>4</v>
      </c>
      <c r="I13" s="113">
        <f t="shared" si="2"/>
        <v>570</v>
      </c>
      <c r="J13" s="70">
        <f t="shared" si="3"/>
        <v>4</v>
      </c>
      <c r="K13" s="114">
        <f t="shared" si="4"/>
        <v>960</v>
      </c>
      <c r="L13" s="70">
        <v>2</v>
      </c>
      <c r="M13" s="114">
        <f t="shared" si="5"/>
        <v>600</v>
      </c>
      <c r="N13" s="70">
        <v>2</v>
      </c>
      <c r="O13" s="115"/>
    </row>
    <row r="14" spans="1:15">
      <c r="A14" s="111" t="str">
        <f>'1. 소켓인수검사'!A15</f>
        <v>07</v>
      </c>
      <c r="B14" s="116" t="s">
        <v>49</v>
      </c>
      <c r="C14" s="70">
        <f>'1. 소켓인수검사'!C15</f>
        <v>900</v>
      </c>
      <c r="D14" s="70">
        <f>'1. 소켓인수검사'!D15</f>
        <v>600</v>
      </c>
      <c r="E14" s="41"/>
      <c r="F14" s="70">
        <v>1</v>
      </c>
      <c r="G14" s="112">
        <f t="shared" si="0"/>
        <v>895</v>
      </c>
      <c r="H14" s="70">
        <f t="shared" si="1"/>
        <v>4</v>
      </c>
      <c r="I14" s="113">
        <f t="shared" si="2"/>
        <v>570</v>
      </c>
      <c r="J14" s="70">
        <f t="shared" si="3"/>
        <v>4</v>
      </c>
      <c r="K14" s="114">
        <f t="shared" si="4"/>
        <v>960</v>
      </c>
      <c r="L14" s="70">
        <v>2</v>
      </c>
      <c r="M14" s="114">
        <f t="shared" si="5"/>
        <v>600</v>
      </c>
      <c r="N14" s="70">
        <v>2</v>
      </c>
      <c r="O14" s="115"/>
    </row>
    <row r="15" spans="1:15">
      <c r="A15" s="111" t="str">
        <f>'1. 소켓인수검사'!A16</f>
        <v>08</v>
      </c>
      <c r="B15" s="116" t="s">
        <v>49</v>
      </c>
      <c r="C15" s="70">
        <f>'1. 소켓인수검사'!C16</f>
        <v>900</v>
      </c>
      <c r="D15" s="70">
        <f>'1. 소켓인수검사'!D16</f>
        <v>600</v>
      </c>
      <c r="E15" s="41"/>
      <c r="F15" s="70">
        <v>1</v>
      </c>
      <c r="G15" s="112">
        <f t="shared" si="0"/>
        <v>895</v>
      </c>
      <c r="H15" s="70">
        <f t="shared" si="1"/>
        <v>4</v>
      </c>
      <c r="I15" s="113">
        <f t="shared" si="2"/>
        <v>570</v>
      </c>
      <c r="J15" s="70">
        <f t="shared" si="3"/>
        <v>4</v>
      </c>
      <c r="K15" s="114">
        <f t="shared" si="4"/>
        <v>960</v>
      </c>
      <c r="L15" s="70">
        <v>2</v>
      </c>
      <c r="M15" s="114">
        <f t="shared" si="5"/>
        <v>600</v>
      </c>
      <c r="N15" s="70">
        <v>2</v>
      </c>
      <c r="O15" s="115"/>
    </row>
    <row r="16" spans="1:15">
      <c r="A16" s="111" t="str">
        <f>'1. 소켓인수검사'!A17</f>
        <v>09</v>
      </c>
      <c r="B16" s="116" t="s">
        <v>49</v>
      </c>
      <c r="C16" s="70">
        <f>'1. 소켓인수검사'!C17</f>
        <v>900</v>
      </c>
      <c r="D16" s="70">
        <f>'1. 소켓인수검사'!D17</f>
        <v>600</v>
      </c>
      <c r="E16" s="41"/>
      <c r="F16" s="70">
        <v>1</v>
      </c>
      <c r="G16" s="112">
        <f t="shared" si="0"/>
        <v>895</v>
      </c>
      <c r="H16" s="70">
        <f t="shared" si="1"/>
        <v>4</v>
      </c>
      <c r="I16" s="113">
        <f t="shared" si="2"/>
        <v>570</v>
      </c>
      <c r="J16" s="70">
        <f t="shared" si="3"/>
        <v>4</v>
      </c>
      <c r="K16" s="114">
        <f t="shared" si="4"/>
        <v>960</v>
      </c>
      <c r="L16" s="70">
        <v>2</v>
      </c>
      <c r="M16" s="114">
        <f t="shared" si="5"/>
        <v>600</v>
      </c>
      <c r="N16" s="70">
        <v>2</v>
      </c>
      <c r="O16" s="115"/>
    </row>
    <row r="17" spans="1:15" ht="8.1" customHeight="1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</row>
    <row r="18" spans="1:15">
      <c r="A18" s="140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</row>
    <row r="19" spans="1:15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</row>
    <row r="20" spans="1:15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17:O17"/>
    <mergeCell ref="A18:C20"/>
    <mergeCell ref="D18:O20"/>
    <mergeCell ref="K5:N5"/>
    <mergeCell ref="O5:O7"/>
    <mergeCell ref="C6:C7"/>
    <mergeCell ref="D6:D7"/>
    <mergeCell ref="G6:H6"/>
    <mergeCell ref="I6:J6"/>
    <mergeCell ref="K6:L6"/>
    <mergeCell ref="M6:N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26"/>
  <sheetViews>
    <sheetView tabSelected="1" zoomScaleNormal="100" zoomScaleSheetLayoutView="100" workbookViewId="0">
      <selection activeCell="A19" sqref="A19:XFD77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40"/>
      <c r="B1" s="140"/>
      <c r="C1" s="140"/>
      <c r="D1" s="140"/>
      <c r="E1" s="190" t="s">
        <v>71</v>
      </c>
      <c r="F1" s="191"/>
      <c r="G1" s="191"/>
      <c r="H1" s="196" t="str">
        <f>'1. 소켓인수검사'!R2</f>
        <v>26.07.07 이신이엔지_한신공영_동위_평택브레인시티 한신더휴</v>
      </c>
      <c r="I1" s="196"/>
      <c r="J1" s="196"/>
      <c r="K1" s="196"/>
      <c r="L1" s="196"/>
      <c r="M1" s="196"/>
      <c r="N1" s="196"/>
      <c r="O1" s="197"/>
    </row>
    <row r="2" spans="1:15" ht="38.25" customHeight="1">
      <c r="A2" s="140"/>
      <c r="B2" s="140"/>
      <c r="C2" s="140"/>
      <c r="D2" s="140"/>
      <c r="E2" s="192"/>
      <c r="F2" s="193"/>
      <c r="G2" s="193"/>
      <c r="H2" s="198"/>
      <c r="I2" s="198"/>
      <c r="J2" s="198"/>
      <c r="K2" s="198"/>
      <c r="L2" s="198"/>
      <c r="M2" s="198"/>
      <c r="N2" s="198"/>
      <c r="O2" s="199"/>
    </row>
    <row r="3" spans="1:15" ht="38.25" customHeight="1">
      <c r="A3" s="140"/>
      <c r="B3" s="140"/>
      <c r="C3" s="140"/>
      <c r="D3" s="140"/>
      <c r="E3" s="194"/>
      <c r="F3" s="195"/>
      <c r="G3" s="195"/>
      <c r="H3" s="200"/>
      <c r="I3" s="200"/>
      <c r="J3" s="200"/>
      <c r="K3" s="200"/>
      <c r="L3" s="200"/>
      <c r="M3" s="200"/>
      <c r="N3" s="200"/>
      <c r="O3" s="201"/>
    </row>
    <row r="4" spans="1:15" ht="8.1" customHeight="1">
      <c r="A4" s="134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6"/>
      <c r="O4" s="15"/>
    </row>
    <row r="5" spans="1:15" s="18" customFormat="1" ht="26.45" customHeight="1">
      <c r="A5" s="202" t="s">
        <v>59</v>
      </c>
      <c r="B5" s="204" t="s">
        <v>69</v>
      </c>
      <c r="C5" s="206" t="s">
        <v>4</v>
      </c>
      <c r="D5" s="206"/>
      <c r="E5" s="206" t="s">
        <v>25</v>
      </c>
      <c r="F5" s="206" t="s">
        <v>57</v>
      </c>
      <c r="G5" s="206" t="s">
        <v>21</v>
      </c>
      <c r="H5" s="206"/>
      <c r="I5" s="206"/>
      <c r="J5" s="206"/>
      <c r="K5" s="206" t="s">
        <v>35</v>
      </c>
      <c r="L5" s="206"/>
      <c r="M5" s="206"/>
      <c r="N5" s="206"/>
      <c r="O5" s="208" t="s">
        <v>2</v>
      </c>
    </row>
    <row r="6" spans="1:15" s="18" customFormat="1" ht="16.5" customHeight="1">
      <c r="A6" s="203"/>
      <c r="B6" s="205"/>
      <c r="C6" s="207" t="s">
        <v>66</v>
      </c>
      <c r="D6" s="207" t="s">
        <v>64</v>
      </c>
      <c r="E6" s="207"/>
      <c r="F6" s="207"/>
      <c r="G6" s="210" t="s">
        <v>66</v>
      </c>
      <c r="H6" s="210"/>
      <c r="I6" s="210" t="s">
        <v>64</v>
      </c>
      <c r="J6" s="210"/>
      <c r="K6" s="207" t="s">
        <v>68</v>
      </c>
      <c r="L6" s="207"/>
      <c r="M6" s="207" t="s">
        <v>65</v>
      </c>
      <c r="N6" s="207"/>
      <c r="O6" s="209"/>
    </row>
    <row r="7" spans="1:15" s="18" customFormat="1" ht="16.5" customHeight="1">
      <c r="A7" s="203"/>
      <c r="B7" s="205"/>
      <c r="C7" s="207"/>
      <c r="D7" s="207"/>
      <c r="E7" s="207"/>
      <c r="F7" s="207"/>
      <c r="G7" s="95" t="s">
        <v>4</v>
      </c>
      <c r="H7" s="95" t="s">
        <v>32</v>
      </c>
      <c r="I7" s="95" t="s">
        <v>4</v>
      </c>
      <c r="J7" s="95" t="s">
        <v>32</v>
      </c>
      <c r="K7" s="96" t="s">
        <v>4</v>
      </c>
      <c r="L7" s="96" t="s">
        <v>57</v>
      </c>
      <c r="M7" s="96" t="s">
        <v>4</v>
      </c>
      <c r="N7" s="96" t="s">
        <v>57</v>
      </c>
      <c r="O7" s="209"/>
    </row>
    <row r="8" spans="1:15">
      <c r="A8" s="91" t="str">
        <f>'1. 소켓인수검사'!A18</f>
        <v>10</v>
      </c>
      <c r="B8" s="97" t="s">
        <v>48</v>
      </c>
      <c r="C8" s="40">
        <f>'1. 소켓인수검사'!C18</f>
        <v>750</v>
      </c>
      <c r="D8" s="40">
        <f>'1. 소켓인수검사'!D18</f>
        <v>1550</v>
      </c>
      <c r="E8" s="41"/>
      <c r="F8" s="40">
        <v>1</v>
      </c>
      <c r="G8" s="64">
        <f>(C8-30)/2-5</f>
        <v>355</v>
      </c>
      <c r="H8" s="70">
        <f>F8*8*2</f>
        <v>16</v>
      </c>
      <c r="I8" s="106">
        <f>(D8-20)/2-10</f>
        <v>755</v>
      </c>
      <c r="J8" s="70">
        <f>F8*16</f>
        <v>16</v>
      </c>
      <c r="K8" s="65">
        <f t="shared" ref="K8:K11" si="0">C8+60</f>
        <v>810</v>
      </c>
      <c r="L8" s="98">
        <v>4</v>
      </c>
      <c r="M8" s="65">
        <f>D8</f>
        <v>1550</v>
      </c>
      <c r="N8" s="98">
        <v>4</v>
      </c>
      <c r="O8" s="60"/>
    </row>
    <row r="9" spans="1:15">
      <c r="A9" s="91" t="str">
        <f>'1. 소켓인수검사'!A19</f>
        <v>11</v>
      </c>
      <c r="B9" s="97" t="s">
        <v>48</v>
      </c>
      <c r="C9" s="40">
        <f>'1. 소켓인수검사'!C19</f>
        <v>900</v>
      </c>
      <c r="D9" s="40">
        <f>'1. 소켓인수검사'!D19</f>
        <v>1100</v>
      </c>
      <c r="E9" s="41"/>
      <c r="F9" s="40">
        <v>1</v>
      </c>
      <c r="G9" s="64">
        <f t="shared" ref="G9:G18" si="1">(C9-30)/2-5</f>
        <v>430</v>
      </c>
      <c r="H9" s="70">
        <f>F9*8*2</f>
        <v>16</v>
      </c>
      <c r="I9" s="106">
        <f>(D9-20)/2-10</f>
        <v>530</v>
      </c>
      <c r="J9" s="70">
        <f>F9*16</f>
        <v>16</v>
      </c>
      <c r="K9" s="65">
        <f t="shared" si="0"/>
        <v>960</v>
      </c>
      <c r="L9" s="98">
        <v>4</v>
      </c>
      <c r="M9" s="65">
        <f t="shared" ref="M9:M18" si="2">D9</f>
        <v>1100</v>
      </c>
      <c r="N9" s="98">
        <v>4</v>
      </c>
      <c r="O9" s="60"/>
    </row>
    <row r="10" spans="1:15">
      <c r="A10" s="91" t="str">
        <f>'1. 소켓인수검사'!A20</f>
        <v>12</v>
      </c>
      <c r="B10" s="97" t="s">
        <v>48</v>
      </c>
      <c r="C10" s="40">
        <f>'1. 소켓인수검사'!C20</f>
        <v>900</v>
      </c>
      <c r="D10" s="40">
        <f>'1. 소켓인수검사'!D20</f>
        <v>1100</v>
      </c>
      <c r="E10" s="41"/>
      <c r="F10" s="40">
        <v>1</v>
      </c>
      <c r="G10" s="64">
        <f t="shared" si="1"/>
        <v>430</v>
      </c>
      <c r="H10" s="70">
        <f t="shared" ref="H10:H11" si="3">F10*8*2</f>
        <v>16</v>
      </c>
      <c r="I10" s="106">
        <f>(D10-20)/2-10</f>
        <v>530</v>
      </c>
      <c r="J10" s="70">
        <f t="shared" ref="J10:J11" si="4">F10*16</f>
        <v>16</v>
      </c>
      <c r="K10" s="65">
        <f t="shared" si="0"/>
        <v>960</v>
      </c>
      <c r="L10" s="98">
        <v>4</v>
      </c>
      <c r="M10" s="65">
        <f t="shared" si="2"/>
        <v>1100</v>
      </c>
      <c r="N10" s="98">
        <v>4</v>
      </c>
      <c r="O10" s="60"/>
    </row>
    <row r="11" spans="1:15">
      <c r="A11" s="91" t="str">
        <f>'1. 소켓인수검사'!A21</f>
        <v>13</v>
      </c>
      <c r="B11" s="97" t="s">
        <v>48</v>
      </c>
      <c r="C11" s="40">
        <f>'1. 소켓인수검사'!C21</f>
        <v>900</v>
      </c>
      <c r="D11" s="40">
        <f>'1. 소켓인수검사'!D21</f>
        <v>1100</v>
      </c>
      <c r="E11" s="41"/>
      <c r="F11" s="40">
        <v>1</v>
      </c>
      <c r="G11" s="64">
        <f t="shared" si="1"/>
        <v>430</v>
      </c>
      <c r="H11" s="70">
        <f t="shared" si="3"/>
        <v>16</v>
      </c>
      <c r="I11" s="106">
        <f t="shared" ref="I11" si="5">(D11-20)/2-10</f>
        <v>530</v>
      </c>
      <c r="J11" s="70">
        <f t="shared" si="4"/>
        <v>16</v>
      </c>
      <c r="K11" s="65">
        <f t="shared" si="0"/>
        <v>960</v>
      </c>
      <c r="L11" s="98">
        <v>4</v>
      </c>
      <c r="M11" s="65">
        <f t="shared" si="2"/>
        <v>1100</v>
      </c>
      <c r="N11" s="98">
        <v>4</v>
      </c>
      <c r="O11" s="60"/>
    </row>
    <row r="12" spans="1:15">
      <c r="A12" s="91" t="str">
        <f>'1. 소켓인수검사'!A22</f>
        <v>14</v>
      </c>
      <c r="B12" s="97" t="s">
        <v>48</v>
      </c>
      <c r="C12" s="40">
        <f>'1. 소켓인수검사'!C22</f>
        <v>900</v>
      </c>
      <c r="D12" s="40">
        <f>'1. 소켓인수검사'!D22</f>
        <v>1350</v>
      </c>
      <c r="E12" s="41"/>
      <c r="F12" s="40">
        <v>1</v>
      </c>
      <c r="G12" s="64">
        <f t="shared" si="1"/>
        <v>430</v>
      </c>
      <c r="H12" s="70">
        <f t="shared" ref="H12:H15" si="6">F12*8*2</f>
        <v>16</v>
      </c>
      <c r="I12" s="106">
        <f t="shared" ref="I12:I15" si="7">(D12-20)/2-10</f>
        <v>655</v>
      </c>
      <c r="J12" s="70">
        <f t="shared" ref="J12:J15" si="8">F12*16</f>
        <v>16</v>
      </c>
      <c r="K12" s="65">
        <f t="shared" ref="K12:K18" si="9">C12+60</f>
        <v>960</v>
      </c>
      <c r="L12" s="98">
        <v>4</v>
      </c>
      <c r="M12" s="65">
        <f t="shared" si="2"/>
        <v>1350</v>
      </c>
      <c r="N12" s="98">
        <v>4</v>
      </c>
      <c r="O12" s="60"/>
    </row>
    <row r="13" spans="1:15">
      <c r="A13" s="91" t="str">
        <f>'1. 소켓인수검사'!A23</f>
        <v>15</v>
      </c>
      <c r="B13" s="97" t="s">
        <v>48</v>
      </c>
      <c r="C13" s="40">
        <f>'1. 소켓인수검사'!C23</f>
        <v>950</v>
      </c>
      <c r="D13" s="40">
        <f>'1. 소켓인수검사'!D23</f>
        <v>1300</v>
      </c>
      <c r="E13" s="41"/>
      <c r="F13" s="40">
        <v>1</v>
      </c>
      <c r="G13" s="64">
        <f t="shared" si="1"/>
        <v>455</v>
      </c>
      <c r="H13" s="70">
        <f t="shared" si="6"/>
        <v>16</v>
      </c>
      <c r="I13" s="106">
        <f t="shared" si="7"/>
        <v>630</v>
      </c>
      <c r="J13" s="70">
        <f t="shared" si="8"/>
        <v>16</v>
      </c>
      <c r="K13" s="65">
        <f t="shared" si="9"/>
        <v>1010</v>
      </c>
      <c r="L13" s="98">
        <v>4</v>
      </c>
      <c r="M13" s="65">
        <f t="shared" si="2"/>
        <v>1300</v>
      </c>
      <c r="N13" s="98">
        <v>4</v>
      </c>
      <c r="O13" s="60"/>
    </row>
    <row r="14" spans="1:15">
      <c r="A14" s="91" t="str">
        <f>'1. 소켓인수검사'!A24</f>
        <v>16</v>
      </c>
      <c r="B14" s="97" t="s">
        <v>48</v>
      </c>
      <c r="C14" s="40">
        <f>'1. 소켓인수검사'!C24</f>
        <v>1000</v>
      </c>
      <c r="D14" s="40">
        <f>'1. 소켓인수검사'!D24</f>
        <v>1000</v>
      </c>
      <c r="E14" s="41"/>
      <c r="F14" s="40">
        <v>1</v>
      </c>
      <c r="G14" s="64">
        <f t="shared" si="1"/>
        <v>480</v>
      </c>
      <c r="H14" s="70">
        <f t="shared" si="6"/>
        <v>16</v>
      </c>
      <c r="I14" s="106">
        <f t="shared" si="7"/>
        <v>480</v>
      </c>
      <c r="J14" s="70">
        <f t="shared" si="8"/>
        <v>16</v>
      </c>
      <c r="K14" s="65">
        <f t="shared" si="9"/>
        <v>1060</v>
      </c>
      <c r="L14" s="98">
        <v>4</v>
      </c>
      <c r="M14" s="65">
        <f t="shared" si="2"/>
        <v>1000</v>
      </c>
      <c r="N14" s="98">
        <v>4</v>
      </c>
      <c r="O14" s="60"/>
    </row>
    <row r="15" spans="1:15">
      <c r="A15" s="91" t="str">
        <f>'1. 소켓인수검사'!A25</f>
        <v>17</v>
      </c>
      <c r="B15" s="97" t="s">
        <v>48</v>
      </c>
      <c r="C15" s="40">
        <f>'1. 소켓인수검사'!C25</f>
        <v>1100</v>
      </c>
      <c r="D15" s="40">
        <f>'1. 소켓인수검사'!D25</f>
        <v>850</v>
      </c>
      <c r="E15" s="41"/>
      <c r="F15" s="40">
        <v>1</v>
      </c>
      <c r="G15" s="64">
        <f t="shared" si="1"/>
        <v>530</v>
      </c>
      <c r="H15" s="70">
        <f t="shared" si="6"/>
        <v>16</v>
      </c>
      <c r="I15" s="106">
        <f t="shared" si="7"/>
        <v>405</v>
      </c>
      <c r="J15" s="70">
        <f t="shared" si="8"/>
        <v>16</v>
      </c>
      <c r="K15" s="65">
        <f t="shared" si="9"/>
        <v>1160</v>
      </c>
      <c r="L15" s="98">
        <v>4</v>
      </c>
      <c r="M15" s="65">
        <f t="shared" si="2"/>
        <v>850</v>
      </c>
      <c r="N15" s="98">
        <v>4</v>
      </c>
      <c r="O15" s="60"/>
    </row>
    <row r="16" spans="1:15">
      <c r="A16" s="91" t="str">
        <f>'1. 소켓인수검사'!A26</f>
        <v>18</v>
      </c>
      <c r="B16" s="97" t="s">
        <v>48</v>
      </c>
      <c r="C16" s="40">
        <f>'1. 소켓인수검사'!C26</f>
        <v>1100</v>
      </c>
      <c r="D16" s="40">
        <f>'1. 소켓인수검사'!D26</f>
        <v>900</v>
      </c>
      <c r="E16" s="41"/>
      <c r="F16" s="40">
        <v>1</v>
      </c>
      <c r="G16" s="64">
        <f t="shared" si="1"/>
        <v>530</v>
      </c>
      <c r="H16" s="70">
        <f>F16*8*2</f>
        <v>16</v>
      </c>
      <c r="I16" s="106">
        <f>(D16-20)/2-10</f>
        <v>430</v>
      </c>
      <c r="J16" s="70">
        <f>F16*16</f>
        <v>16</v>
      </c>
      <c r="K16" s="65">
        <f t="shared" si="9"/>
        <v>1160</v>
      </c>
      <c r="L16" s="98">
        <v>4</v>
      </c>
      <c r="M16" s="65">
        <f t="shared" si="2"/>
        <v>900</v>
      </c>
      <c r="N16" s="98">
        <v>4</v>
      </c>
      <c r="O16" s="60"/>
    </row>
    <row r="17" spans="1:15">
      <c r="A17" s="91" t="str">
        <f>'1. 소켓인수검사'!A27</f>
        <v>19</v>
      </c>
      <c r="B17" s="97" t="s">
        <v>48</v>
      </c>
      <c r="C17" s="40">
        <f>'1. 소켓인수검사'!C27</f>
        <v>1100</v>
      </c>
      <c r="D17" s="40">
        <f>'1. 소켓인수검사'!D27</f>
        <v>900</v>
      </c>
      <c r="E17" s="41"/>
      <c r="F17" s="40">
        <v>1</v>
      </c>
      <c r="G17" s="64">
        <f t="shared" si="1"/>
        <v>530</v>
      </c>
      <c r="H17" s="70">
        <f>F17*8*2</f>
        <v>16</v>
      </c>
      <c r="I17" s="106">
        <f>(D17-20)/2-10</f>
        <v>430</v>
      </c>
      <c r="J17" s="70">
        <f>F17*16</f>
        <v>16</v>
      </c>
      <c r="K17" s="65">
        <f t="shared" si="9"/>
        <v>1160</v>
      </c>
      <c r="L17" s="98">
        <v>4</v>
      </c>
      <c r="M17" s="65">
        <f t="shared" si="2"/>
        <v>900</v>
      </c>
      <c r="N17" s="98">
        <v>4</v>
      </c>
      <c r="O17" s="60"/>
    </row>
    <row r="18" spans="1:15">
      <c r="A18" s="91" t="str">
        <f>'1. 소켓인수검사'!A28</f>
        <v>20</v>
      </c>
      <c r="B18" s="97" t="s">
        <v>48</v>
      </c>
      <c r="C18" s="40">
        <f>'1. 소켓인수검사'!C28</f>
        <v>1200</v>
      </c>
      <c r="D18" s="40">
        <f>'1. 소켓인수검사'!D28</f>
        <v>1000</v>
      </c>
      <c r="E18" s="41"/>
      <c r="F18" s="40">
        <v>1</v>
      </c>
      <c r="G18" s="64">
        <f t="shared" si="1"/>
        <v>580</v>
      </c>
      <c r="H18" s="70">
        <f t="shared" ref="H18" si="10">F18*8*2</f>
        <v>16</v>
      </c>
      <c r="I18" s="106">
        <f>(D18-20)/2-10</f>
        <v>480</v>
      </c>
      <c r="J18" s="70">
        <f t="shared" ref="J18" si="11">F18*16</f>
        <v>16</v>
      </c>
      <c r="K18" s="65">
        <f t="shared" si="9"/>
        <v>1260</v>
      </c>
      <c r="L18" s="98">
        <v>4</v>
      </c>
      <c r="M18" s="65">
        <f t="shared" si="2"/>
        <v>1000</v>
      </c>
      <c r="N18" s="98">
        <v>4</v>
      </c>
      <c r="O18" s="60"/>
    </row>
    <row r="19" spans="1:15">
      <c r="A19" s="211"/>
      <c r="B19" s="212"/>
      <c r="C19" s="212"/>
      <c r="D19" s="99"/>
      <c r="E19" s="100"/>
      <c r="F19" s="100"/>
      <c r="G19" s="101"/>
      <c r="H19" s="66">
        <f>SUM(H8:H18)</f>
        <v>176</v>
      </c>
      <c r="I19" s="101"/>
      <c r="J19" s="66">
        <f>SUM(J8:J18)</f>
        <v>176</v>
      </c>
      <c r="K19" s="99"/>
      <c r="L19" s="66">
        <f>SUM(L8:L18)</f>
        <v>44</v>
      </c>
      <c r="M19" s="99"/>
      <c r="N19" s="66">
        <f>SUM(N8:N18)</f>
        <v>44</v>
      </c>
      <c r="O19" s="67"/>
    </row>
    <row r="20" spans="1:15" ht="8.1" customHeight="1">
      <c r="A20" s="131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3"/>
      <c r="O20" s="4"/>
    </row>
    <row r="21" spans="1:15">
      <c r="A21" s="140" t="s">
        <v>16</v>
      </c>
      <c r="B21" s="140"/>
      <c r="C21" s="140"/>
      <c r="D21" s="131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3"/>
    </row>
    <row r="22" spans="1:15">
      <c r="A22" s="140"/>
      <c r="B22" s="140"/>
      <c r="C22" s="140"/>
      <c r="D22" s="134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6"/>
    </row>
    <row r="23" spans="1:15">
      <c r="A23" s="140"/>
      <c r="B23" s="140"/>
      <c r="C23" s="140"/>
      <c r="D23" s="134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6"/>
    </row>
    <row r="24" spans="1:15">
      <c r="A24" s="140"/>
      <c r="B24" s="140"/>
      <c r="C24" s="140"/>
      <c r="D24" s="134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6"/>
    </row>
    <row r="25" spans="1:15">
      <c r="A25" s="140"/>
      <c r="B25" s="140"/>
      <c r="C25" s="140"/>
      <c r="D25" s="134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6"/>
    </row>
    <row r="26" spans="1:15">
      <c r="A26" s="140"/>
      <c r="B26" s="140"/>
      <c r="C26" s="140"/>
      <c r="D26" s="137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9"/>
    </row>
  </sheetData>
  <mergeCells count="22">
    <mergeCell ref="K6:L6"/>
    <mergeCell ref="M6:N6"/>
    <mergeCell ref="A21:C26"/>
    <mergeCell ref="D21:O26"/>
    <mergeCell ref="A19:C19"/>
    <mergeCell ref="A20:N20"/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30"/>
  <sheetViews>
    <sheetView zoomScaleNormal="100" zoomScaleSheetLayoutView="100" workbookViewId="0">
      <selection activeCell="O42" sqref="O42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40"/>
      <c r="B1" s="140"/>
      <c r="C1" s="140"/>
      <c r="D1" s="140"/>
      <c r="E1" s="140" t="s">
        <v>96</v>
      </c>
      <c r="F1" s="215"/>
      <c r="G1" s="125" t="str">
        <f>'1. 소켓인수검사'!R2</f>
        <v>26.07.07 이신이엔지_한신공영_동위_평택브레인시티 한신더휴</v>
      </c>
      <c r="H1" s="125"/>
      <c r="I1" s="125"/>
      <c r="J1" s="125"/>
      <c r="K1" s="126"/>
    </row>
    <row r="2" spans="1:11" ht="16.5" customHeight="1">
      <c r="A2" s="140"/>
      <c r="B2" s="140"/>
      <c r="C2" s="140"/>
      <c r="D2" s="140"/>
      <c r="E2" s="216"/>
      <c r="F2" s="217"/>
      <c r="G2" s="127"/>
      <c r="H2" s="127"/>
      <c r="I2" s="127"/>
      <c r="J2" s="127"/>
      <c r="K2" s="128"/>
    </row>
    <row r="3" spans="1:11" ht="16.5" customHeight="1">
      <c r="A3" s="140"/>
      <c r="B3" s="140"/>
      <c r="C3" s="140"/>
      <c r="D3" s="140"/>
      <c r="E3" s="218"/>
      <c r="F3" s="219"/>
      <c r="G3" s="129"/>
      <c r="H3" s="129"/>
      <c r="I3" s="129"/>
      <c r="J3" s="129"/>
      <c r="K3" s="130"/>
    </row>
    <row r="4" spans="1:11" ht="8.1" customHeight="1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</row>
    <row r="5" spans="1:11" ht="26.45" customHeight="1">
      <c r="A5" s="220" t="s">
        <v>59</v>
      </c>
      <c r="B5" s="221" t="s">
        <v>69</v>
      </c>
      <c r="C5" s="224" t="s">
        <v>4</v>
      </c>
      <c r="D5" s="224"/>
      <c r="E5" s="224" t="s">
        <v>25</v>
      </c>
      <c r="F5" s="225" t="s">
        <v>57</v>
      </c>
      <c r="G5" s="213" t="s">
        <v>35</v>
      </c>
      <c r="H5" s="214"/>
      <c r="I5" s="214"/>
      <c r="J5" s="214"/>
      <c r="K5" s="225" t="s">
        <v>2</v>
      </c>
    </row>
    <row r="6" spans="1:11" ht="16.5" customHeight="1">
      <c r="A6" s="220"/>
      <c r="B6" s="222"/>
      <c r="C6" s="224" t="s">
        <v>66</v>
      </c>
      <c r="D6" s="224" t="s">
        <v>64</v>
      </c>
      <c r="E6" s="224"/>
      <c r="F6" s="226"/>
      <c r="G6" s="224" t="s">
        <v>68</v>
      </c>
      <c r="H6" s="224"/>
      <c r="I6" s="213" t="s">
        <v>65</v>
      </c>
      <c r="J6" s="214"/>
      <c r="K6" s="226"/>
    </row>
    <row r="7" spans="1:11">
      <c r="A7" s="220"/>
      <c r="B7" s="223"/>
      <c r="C7" s="224"/>
      <c r="D7" s="224"/>
      <c r="E7" s="224"/>
      <c r="F7" s="227"/>
      <c r="G7" s="16" t="s">
        <v>4</v>
      </c>
      <c r="H7" s="16" t="s">
        <v>57</v>
      </c>
      <c r="I7" s="16" t="s">
        <v>4</v>
      </c>
      <c r="J7" s="17" t="s">
        <v>57</v>
      </c>
      <c r="K7" s="227"/>
    </row>
    <row r="8" spans="1:11">
      <c r="A8" s="91" t="str">
        <f>'1. 소켓인수검사'!A9</f>
        <v>01</v>
      </c>
      <c r="B8" s="62" t="s">
        <v>49</v>
      </c>
      <c r="C8" s="40">
        <f>'1. 소켓인수검사'!C9</f>
        <v>600</v>
      </c>
      <c r="D8" s="40">
        <f>'1. 소켓인수검사'!D9</f>
        <v>900</v>
      </c>
      <c r="E8" s="41"/>
      <c r="F8" s="40">
        <v>1</v>
      </c>
      <c r="G8" s="61">
        <f t="shared" ref="G8:G16" si="0">C8+60</f>
        <v>660</v>
      </c>
      <c r="H8" s="40">
        <v>2</v>
      </c>
      <c r="I8" s="61">
        <f t="shared" ref="I8:I16" si="1">D8</f>
        <v>900</v>
      </c>
      <c r="J8" s="40">
        <v>2</v>
      </c>
      <c r="K8" s="60"/>
    </row>
    <row r="9" spans="1:11">
      <c r="A9" s="91" t="str">
        <f>'1. 소켓인수검사'!A10</f>
        <v>02</v>
      </c>
      <c r="B9" s="62" t="s">
        <v>49</v>
      </c>
      <c r="C9" s="40">
        <f>'1. 소켓인수검사'!C10</f>
        <v>700</v>
      </c>
      <c r="D9" s="40">
        <f>'1. 소켓인수검사'!D10</f>
        <v>550</v>
      </c>
      <c r="E9" s="41"/>
      <c r="F9" s="40">
        <v>1</v>
      </c>
      <c r="G9" s="61">
        <f t="shared" si="0"/>
        <v>760</v>
      </c>
      <c r="H9" s="40">
        <v>2</v>
      </c>
      <c r="I9" s="61">
        <f t="shared" si="1"/>
        <v>550</v>
      </c>
      <c r="J9" s="40">
        <v>2</v>
      </c>
      <c r="K9" s="60"/>
    </row>
    <row r="10" spans="1:11">
      <c r="A10" s="91" t="str">
        <f>'1. 소켓인수검사'!A11</f>
        <v>03</v>
      </c>
      <c r="B10" s="62" t="s">
        <v>49</v>
      </c>
      <c r="C10" s="40">
        <f>'1. 소켓인수검사'!C11</f>
        <v>750</v>
      </c>
      <c r="D10" s="40">
        <f>'1. 소켓인수검사'!D11</f>
        <v>700</v>
      </c>
      <c r="E10" s="41"/>
      <c r="F10" s="40">
        <v>1</v>
      </c>
      <c r="G10" s="61">
        <f t="shared" si="0"/>
        <v>810</v>
      </c>
      <c r="H10" s="40">
        <v>2</v>
      </c>
      <c r="I10" s="61">
        <f t="shared" si="1"/>
        <v>700</v>
      </c>
      <c r="J10" s="40">
        <v>2</v>
      </c>
      <c r="K10" s="60"/>
    </row>
    <row r="11" spans="1:11">
      <c r="A11" s="91" t="str">
        <f>'1. 소켓인수검사'!A12</f>
        <v>04</v>
      </c>
      <c r="B11" s="62" t="s">
        <v>49</v>
      </c>
      <c r="C11" s="40">
        <f>'1. 소켓인수검사'!C12</f>
        <v>800</v>
      </c>
      <c r="D11" s="40">
        <f>'1. 소켓인수검사'!D12</f>
        <v>650</v>
      </c>
      <c r="E11" s="41"/>
      <c r="F11" s="40">
        <v>1</v>
      </c>
      <c r="G11" s="61">
        <f t="shared" si="0"/>
        <v>860</v>
      </c>
      <c r="H11" s="40">
        <v>2</v>
      </c>
      <c r="I11" s="61">
        <f t="shared" si="1"/>
        <v>650</v>
      </c>
      <c r="J11" s="40">
        <v>2</v>
      </c>
      <c r="K11" s="60"/>
    </row>
    <row r="12" spans="1:11">
      <c r="A12" s="91" t="str">
        <f>'1. 소켓인수검사'!A13</f>
        <v>05</v>
      </c>
      <c r="B12" s="62" t="s">
        <v>49</v>
      </c>
      <c r="C12" s="40">
        <f>'1. 소켓인수검사'!C13</f>
        <v>800</v>
      </c>
      <c r="D12" s="40">
        <f>'1. 소켓인수검사'!D13</f>
        <v>650</v>
      </c>
      <c r="E12" s="41"/>
      <c r="F12" s="40">
        <v>1</v>
      </c>
      <c r="G12" s="61">
        <f t="shared" si="0"/>
        <v>860</v>
      </c>
      <c r="H12" s="40">
        <v>2</v>
      </c>
      <c r="I12" s="61">
        <f t="shared" si="1"/>
        <v>650</v>
      </c>
      <c r="J12" s="40">
        <v>2</v>
      </c>
      <c r="K12" s="60"/>
    </row>
    <row r="13" spans="1:11">
      <c r="A13" s="91" t="str">
        <f>'1. 소켓인수검사'!A14</f>
        <v>06</v>
      </c>
      <c r="B13" s="62" t="s">
        <v>49</v>
      </c>
      <c r="C13" s="40">
        <f>'1. 소켓인수검사'!C14</f>
        <v>900</v>
      </c>
      <c r="D13" s="40">
        <f>'1. 소켓인수검사'!D14</f>
        <v>600</v>
      </c>
      <c r="E13" s="41"/>
      <c r="F13" s="40">
        <v>1</v>
      </c>
      <c r="G13" s="61">
        <f t="shared" si="0"/>
        <v>960</v>
      </c>
      <c r="H13" s="40">
        <v>2</v>
      </c>
      <c r="I13" s="61">
        <f t="shared" si="1"/>
        <v>600</v>
      </c>
      <c r="J13" s="40">
        <v>2</v>
      </c>
      <c r="K13" s="60"/>
    </row>
    <row r="14" spans="1:11">
      <c r="A14" s="91" t="str">
        <f>'1. 소켓인수검사'!A15</f>
        <v>07</v>
      </c>
      <c r="B14" s="62" t="s">
        <v>49</v>
      </c>
      <c r="C14" s="40">
        <f>'1. 소켓인수검사'!C15</f>
        <v>900</v>
      </c>
      <c r="D14" s="40">
        <f>'1. 소켓인수검사'!D15</f>
        <v>600</v>
      </c>
      <c r="E14" s="41"/>
      <c r="F14" s="40">
        <v>1</v>
      </c>
      <c r="G14" s="61">
        <f t="shared" si="0"/>
        <v>960</v>
      </c>
      <c r="H14" s="40">
        <v>2</v>
      </c>
      <c r="I14" s="61">
        <f t="shared" si="1"/>
        <v>600</v>
      </c>
      <c r="J14" s="40">
        <v>2</v>
      </c>
      <c r="K14" s="60"/>
    </row>
    <row r="15" spans="1:11">
      <c r="A15" s="91" t="str">
        <f>'1. 소켓인수검사'!A16</f>
        <v>08</v>
      </c>
      <c r="B15" s="62" t="s">
        <v>49</v>
      </c>
      <c r="C15" s="40">
        <f>'1. 소켓인수검사'!C16</f>
        <v>900</v>
      </c>
      <c r="D15" s="40">
        <f>'1. 소켓인수검사'!D16</f>
        <v>600</v>
      </c>
      <c r="E15" s="41"/>
      <c r="F15" s="40">
        <v>1</v>
      </c>
      <c r="G15" s="61">
        <f t="shared" si="0"/>
        <v>960</v>
      </c>
      <c r="H15" s="40">
        <v>2</v>
      </c>
      <c r="I15" s="61">
        <f t="shared" si="1"/>
        <v>600</v>
      </c>
      <c r="J15" s="40">
        <v>2</v>
      </c>
      <c r="K15" s="60"/>
    </row>
    <row r="16" spans="1:11">
      <c r="A16" s="91" t="str">
        <f>'1. 소켓인수검사'!A17</f>
        <v>09</v>
      </c>
      <c r="B16" s="62" t="s">
        <v>49</v>
      </c>
      <c r="C16" s="40">
        <f>'1. 소켓인수검사'!C17</f>
        <v>900</v>
      </c>
      <c r="D16" s="40">
        <f>'1. 소켓인수검사'!D17</f>
        <v>600</v>
      </c>
      <c r="E16" s="41"/>
      <c r="F16" s="40">
        <v>1</v>
      </c>
      <c r="G16" s="61">
        <f t="shared" si="0"/>
        <v>960</v>
      </c>
      <c r="H16" s="40">
        <v>2</v>
      </c>
      <c r="I16" s="61">
        <f t="shared" si="1"/>
        <v>600</v>
      </c>
      <c r="J16" s="40">
        <v>2</v>
      </c>
      <c r="K16" s="60"/>
    </row>
    <row r="17" spans="1:11">
      <c r="A17" s="91" t="str">
        <f>'1. 소켓인수검사'!A18</f>
        <v>10</v>
      </c>
      <c r="B17" s="63" t="s">
        <v>48</v>
      </c>
      <c r="C17" s="40">
        <f>'1. 소켓인수검사'!C18</f>
        <v>750</v>
      </c>
      <c r="D17" s="40">
        <f>'1. 소켓인수검사'!D18</f>
        <v>1550</v>
      </c>
      <c r="E17" s="41"/>
      <c r="F17" s="40">
        <v>1</v>
      </c>
      <c r="G17" s="61">
        <f t="shared" ref="G17:G27" si="2">C17+60</f>
        <v>810</v>
      </c>
      <c r="H17" s="40">
        <v>2</v>
      </c>
      <c r="I17" s="61">
        <f t="shared" ref="I17:I27" si="3">D17</f>
        <v>1550</v>
      </c>
      <c r="J17" s="40">
        <v>2</v>
      </c>
      <c r="K17" s="60"/>
    </row>
    <row r="18" spans="1:11">
      <c r="A18" s="91" t="str">
        <f>'1. 소켓인수검사'!A19</f>
        <v>11</v>
      </c>
      <c r="B18" s="63" t="s">
        <v>48</v>
      </c>
      <c r="C18" s="40">
        <f>'1. 소켓인수검사'!C19</f>
        <v>900</v>
      </c>
      <c r="D18" s="40">
        <f>'1. 소켓인수검사'!D19</f>
        <v>1100</v>
      </c>
      <c r="E18" s="41"/>
      <c r="F18" s="40">
        <v>1</v>
      </c>
      <c r="G18" s="61">
        <f t="shared" si="2"/>
        <v>960</v>
      </c>
      <c r="H18" s="40">
        <v>2</v>
      </c>
      <c r="I18" s="61">
        <f t="shared" si="3"/>
        <v>1100</v>
      </c>
      <c r="J18" s="40">
        <v>2</v>
      </c>
      <c r="K18" s="60"/>
    </row>
    <row r="19" spans="1:11">
      <c r="A19" s="91" t="str">
        <f>'1. 소켓인수검사'!A20</f>
        <v>12</v>
      </c>
      <c r="B19" s="63" t="s">
        <v>48</v>
      </c>
      <c r="C19" s="40">
        <f>'1. 소켓인수검사'!C20</f>
        <v>900</v>
      </c>
      <c r="D19" s="40">
        <f>'1. 소켓인수검사'!D20</f>
        <v>1100</v>
      </c>
      <c r="E19" s="41"/>
      <c r="F19" s="40">
        <v>1</v>
      </c>
      <c r="G19" s="61">
        <f t="shared" si="2"/>
        <v>960</v>
      </c>
      <c r="H19" s="40">
        <v>2</v>
      </c>
      <c r="I19" s="61">
        <f t="shared" si="3"/>
        <v>1100</v>
      </c>
      <c r="J19" s="40">
        <v>2</v>
      </c>
      <c r="K19" s="60"/>
    </row>
    <row r="20" spans="1:11">
      <c r="A20" s="91" t="str">
        <f>'1. 소켓인수검사'!A21</f>
        <v>13</v>
      </c>
      <c r="B20" s="63" t="s">
        <v>48</v>
      </c>
      <c r="C20" s="40">
        <f>'1. 소켓인수검사'!C21</f>
        <v>900</v>
      </c>
      <c r="D20" s="40">
        <f>'1. 소켓인수검사'!D21</f>
        <v>1100</v>
      </c>
      <c r="E20" s="41"/>
      <c r="F20" s="40">
        <v>1</v>
      </c>
      <c r="G20" s="61">
        <f t="shared" si="2"/>
        <v>960</v>
      </c>
      <c r="H20" s="40">
        <v>2</v>
      </c>
      <c r="I20" s="61">
        <f t="shared" si="3"/>
        <v>1100</v>
      </c>
      <c r="J20" s="40">
        <v>2</v>
      </c>
      <c r="K20" s="60"/>
    </row>
    <row r="21" spans="1:11">
      <c r="A21" s="91" t="str">
        <f>'1. 소켓인수검사'!A22</f>
        <v>14</v>
      </c>
      <c r="B21" s="63" t="s">
        <v>48</v>
      </c>
      <c r="C21" s="40">
        <f>'1. 소켓인수검사'!C22</f>
        <v>900</v>
      </c>
      <c r="D21" s="40">
        <f>'1. 소켓인수검사'!D22</f>
        <v>1350</v>
      </c>
      <c r="E21" s="41"/>
      <c r="F21" s="40">
        <v>1</v>
      </c>
      <c r="G21" s="61">
        <f t="shared" si="2"/>
        <v>960</v>
      </c>
      <c r="H21" s="40">
        <v>2</v>
      </c>
      <c r="I21" s="61">
        <f t="shared" si="3"/>
        <v>1350</v>
      </c>
      <c r="J21" s="40">
        <v>2</v>
      </c>
      <c r="K21" s="60"/>
    </row>
    <row r="22" spans="1:11">
      <c r="A22" s="91" t="str">
        <f>'1. 소켓인수검사'!A23</f>
        <v>15</v>
      </c>
      <c r="B22" s="63" t="s">
        <v>48</v>
      </c>
      <c r="C22" s="40">
        <f>'1. 소켓인수검사'!C23</f>
        <v>950</v>
      </c>
      <c r="D22" s="40">
        <f>'1. 소켓인수검사'!D23</f>
        <v>1300</v>
      </c>
      <c r="E22" s="41"/>
      <c r="F22" s="40">
        <v>1</v>
      </c>
      <c r="G22" s="61">
        <f t="shared" si="2"/>
        <v>1010</v>
      </c>
      <c r="H22" s="40">
        <v>2</v>
      </c>
      <c r="I22" s="61">
        <f t="shared" si="3"/>
        <v>1300</v>
      </c>
      <c r="J22" s="40">
        <v>2</v>
      </c>
      <c r="K22" s="60"/>
    </row>
    <row r="23" spans="1:11">
      <c r="A23" s="91" t="str">
        <f>'1. 소켓인수검사'!A24</f>
        <v>16</v>
      </c>
      <c r="B23" s="63" t="s">
        <v>48</v>
      </c>
      <c r="C23" s="40">
        <f>'1. 소켓인수검사'!C24</f>
        <v>1000</v>
      </c>
      <c r="D23" s="40">
        <f>'1. 소켓인수검사'!D24</f>
        <v>1000</v>
      </c>
      <c r="E23" s="41"/>
      <c r="F23" s="40">
        <v>1</v>
      </c>
      <c r="G23" s="61">
        <f t="shared" si="2"/>
        <v>1060</v>
      </c>
      <c r="H23" s="40">
        <v>2</v>
      </c>
      <c r="I23" s="61">
        <f t="shared" si="3"/>
        <v>1000</v>
      </c>
      <c r="J23" s="40">
        <v>2</v>
      </c>
      <c r="K23" s="60"/>
    </row>
    <row r="24" spans="1:11">
      <c r="A24" s="91" t="str">
        <f>'1. 소켓인수검사'!A25</f>
        <v>17</v>
      </c>
      <c r="B24" s="63" t="s">
        <v>48</v>
      </c>
      <c r="C24" s="40">
        <f>'1. 소켓인수검사'!C25</f>
        <v>1100</v>
      </c>
      <c r="D24" s="40">
        <f>'1. 소켓인수검사'!D25</f>
        <v>850</v>
      </c>
      <c r="E24" s="41"/>
      <c r="F24" s="40">
        <v>1</v>
      </c>
      <c r="G24" s="61">
        <f t="shared" si="2"/>
        <v>1160</v>
      </c>
      <c r="H24" s="40">
        <v>2</v>
      </c>
      <c r="I24" s="61">
        <f t="shared" si="3"/>
        <v>850</v>
      </c>
      <c r="J24" s="40">
        <v>2</v>
      </c>
      <c r="K24" s="60"/>
    </row>
    <row r="25" spans="1:11">
      <c r="A25" s="91" t="str">
        <f>'1. 소켓인수검사'!A26</f>
        <v>18</v>
      </c>
      <c r="B25" s="63" t="s">
        <v>48</v>
      </c>
      <c r="C25" s="40">
        <f>'1. 소켓인수검사'!C26</f>
        <v>1100</v>
      </c>
      <c r="D25" s="40">
        <f>'1. 소켓인수검사'!D26</f>
        <v>900</v>
      </c>
      <c r="E25" s="41"/>
      <c r="F25" s="40">
        <v>1</v>
      </c>
      <c r="G25" s="61">
        <f t="shared" si="2"/>
        <v>1160</v>
      </c>
      <c r="H25" s="40">
        <v>2</v>
      </c>
      <c r="I25" s="61">
        <f t="shared" si="3"/>
        <v>900</v>
      </c>
      <c r="J25" s="40">
        <v>2</v>
      </c>
      <c r="K25" s="60"/>
    </row>
    <row r="26" spans="1:11">
      <c r="A26" s="91" t="str">
        <f>'1. 소켓인수검사'!A27</f>
        <v>19</v>
      </c>
      <c r="B26" s="63" t="s">
        <v>48</v>
      </c>
      <c r="C26" s="40">
        <f>'1. 소켓인수검사'!C27</f>
        <v>1100</v>
      </c>
      <c r="D26" s="40">
        <f>'1. 소켓인수검사'!D27</f>
        <v>900</v>
      </c>
      <c r="E26" s="41"/>
      <c r="F26" s="40">
        <v>1</v>
      </c>
      <c r="G26" s="61">
        <f t="shared" si="2"/>
        <v>1160</v>
      </c>
      <c r="H26" s="40">
        <v>2</v>
      </c>
      <c r="I26" s="61">
        <f t="shared" si="3"/>
        <v>900</v>
      </c>
      <c r="J26" s="40">
        <v>2</v>
      </c>
      <c r="K26" s="60"/>
    </row>
    <row r="27" spans="1:11">
      <c r="A27" s="92" t="str">
        <f>'1. 소켓인수검사'!A28</f>
        <v>20</v>
      </c>
      <c r="B27" s="118" t="s">
        <v>48</v>
      </c>
      <c r="C27" s="51">
        <f>'1. 소켓인수검사'!C28</f>
        <v>1200</v>
      </c>
      <c r="D27" s="51">
        <f>'1. 소켓인수검사'!D28</f>
        <v>1000</v>
      </c>
      <c r="E27" s="52"/>
      <c r="F27" s="51">
        <v>1</v>
      </c>
      <c r="G27" s="93">
        <f t="shared" si="2"/>
        <v>1260</v>
      </c>
      <c r="H27" s="51">
        <v>2</v>
      </c>
      <c r="I27" s="93">
        <f t="shared" si="3"/>
        <v>1000</v>
      </c>
      <c r="J27" s="51">
        <v>2</v>
      </c>
      <c r="K27" s="94"/>
    </row>
    <row r="28" spans="1:11">
      <c r="A28" s="140" t="s">
        <v>46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</row>
    <row r="29" spans="1:1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</row>
    <row r="30" spans="1:1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</row>
  </sheetData>
  <mergeCells count="17">
    <mergeCell ref="G6:H6"/>
    <mergeCell ref="I6:J6"/>
    <mergeCell ref="E1:F3"/>
    <mergeCell ref="G1:K3"/>
    <mergeCell ref="A28:C30"/>
    <mergeCell ref="D28:K30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4"/>
  <sheetViews>
    <sheetView zoomScaleNormal="100" zoomScaleSheetLayoutView="100" workbookViewId="0">
      <selection activeCell="F29" sqref="F29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40"/>
      <c r="B1" s="140"/>
      <c r="C1" s="140"/>
      <c r="D1" s="140"/>
      <c r="E1" s="228" t="s">
        <v>73</v>
      </c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30"/>
    </row>
    <row r="2" spans="1:16" ht="16.5" customHeight="1">
      <c r="A2" s="140"/>
      <c r="B2" s="140"/>
      <c r="C2" s="140"/>
      <c r="D2" s="140"/>
      <c r="E2" s="231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3"/>
    </row>
    <row r="3" spans="1:16" ht="16.5" customHeight="1">
      <c r="A3" s="140"/>
      <c r="B3" s="140"/>
      <c r="C3" s="140"/>
      <c r="D3" s="140"/>
      <c r="E3" s="231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</row>
    <row r="4" spans="1:16" ht="16.5" customHeight="1">
      <c r="A4" s="140" t="s">
        <v>17</v>
      </c>
      <c r="B4" s="140"/>
      <c r="C4" s="237"/>
      <c r="D4" s="238"/>
      <c r="E4" s="234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6"/>
    </row>
    <row r="5" spans="1:16">
      <c r="A5" s="140" t="s">
        <v>27</v>
      </c>
      <c r="B5" s="140"/>
      <c r="C5" s="140"/>
      <c r="D5" s="140"/>
      <c r="E5" s="6" t="s">
        <v>33</v>
      </c>
      <c r="F5" s="140"/>
      <c r="G5" s="140"/>
      <c r="H5" s="140" t="s">
        <v>62</v>
      </c>
      <c r="I5" s="140"/>
      <c r="J5" s="140"/>
      <c r="K5" s="140" t="s">
        <v>58</v>
      </c>
      <c r="L5" s="140"/>
      <c r="M5" s="140"/>
      <c r="N5" s="239" t="str">
        <f>'1. 소켓인수검사'!R2</f>
        <v>26.07.07 이신이엔지_한신공영_동위_평택브레인시티 한신더휴</v>
      </c>
      <c r="O5" s="239"/>
      <c r="P5" s="239"/>
    </row>
    <row r="6" spans="1:16">
      <c r="A6" s="140"/>
      <c r="B6" s="140"/>
      <c r="C6" s="140"/>
      <c r="D6" s="140"/>
      <c r="E6" s="6" t="s">
        <v>30</v>
      </c>
      <c r="F6" s="140"/>
      <c r="G6" s="140"/>
      <c r="H6" s="140"/>
      <c r="I6" s="140"/>
      <c r="J6" s="140"/>
      <c r="K6" s="140"/>
      <c r="L6" s="140"/>
      <c r="M6" s="140"/>
      <c r="N6" s="239"/>
      <c r="O6" s="239"/>
      <c r="P6" s="239"/>
    </row>
    <row r="7" spans="1:16" ht="8.1" customHeight="1">
      <c r="A7" s="184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</row>
    <row r="8" spans="1:16">
      <c r="A8" s="240" t="s">
        <v>59</v>
      </c>
      <c r="B8" s="242" t="s">
        <v>4</v>
      </c>
      <c r="C8" s="242"/>
      <c r="D8" s="242" t="s">
        <v>29</v>
      </c>
      <c r="E8" s="242" t="s">
        <v>25</v>
      </c>
      <c r="F8" s="242" t="s">
        <v>63</v>
      </c>
      <c r="G8" s="242" t="s">
        <v>28</v>
      </c>
      <c r="H8" s="242"/>
      <c r="I8" s="242"/>
      <c r="J8" s="242"/>
      <c r="K8" s="242"/>
      <c r="L8" s="242"/>
      <c r="M8" s="242"/>
      <c r="N8" s="242"/>
      <c r="O8" s="242"/>
      <c r="P8" s="244" t="s">
        <v>2</v>
      </c>
    </row>
    <row r="9" spans="1:16" ht="16.5" customHeight="1">
      <c r="A9" s="241"/>
      <c r="B9" s="243" t="s">
        <v>66</v>
      </c>
      <c r="C9" s="243" t="s">
        <v>64</v>
      </c>
      <c r="D9" s="243"/>
      <c r="E9" s="243"/>
      <c r="F9" s="243"/>
      <c r="G9" s="243" t="s">
        <v>60</v>
      </c>
      <c r="H9" s="243" t="s">
        <v>66</v>
      </c>
      <c r="I9" s="243"/>
      <c r="J9" s="243" t="s">
        <v>11</v>
      </c>
      <c r="K9" s="243" t="s">
        <v>64</v>
      </c>
      <c r="L9" s="243"/>
      <c r="M9" s="243"/>
      <c r="N9" s="243"/>
      <c r="O9" s="243" t="s">
        <v>11</v>
      </c>
      <c r="P9" s="245"/>
    </row>
    <row r="10" spans="1:16">
      <c r="A10" s="241"/>
      <c r="B10" s="243"/>
      <c r="C10" s="243"/>
      <c r="D10" s="243"/>
      <c r="E10" s="243"/>
      <c r="F10" s="243"/>
      <c r="G10" s="243"/>
      <c r="H10" s="32" t="s">
        <v>4</v>
      </c>
      <c r="I10" s="32" t="s">
        <v>32</v>
      </c>
      <c r="J10" s="243"/>
      <c r="K10" s="243" t="s">
        <v>4</v>
      </c>
      <c r="L10" s="243"/>
      <c r="M10" s="243"/>
      <c r="N10" s="32" t="s">
        <v>32</v>
      </c>
      <c r="O10" s="243"/>
      <c r="P10" s="245"/>
    </row>
    <row r="11" spans="1:16">
      <c r="A11" s="31" t="str">
        <f>'1. 소켓인수검사'!A9</f>
        <v>01</v>
      </c>
      <c r="B11" s="34">
        <f>'1. 소켓인수검사'!C9</f>
        <v>600</v>
      </c>
      <c r="C11" s="34">
        <f>'1. 소켓인수검사'!D9</f>
        <v>900</v>
      </c>
      <c r="D11" s="35">
        <v>1</v>
      </c>
      <c r="E11" s="36"/>
      <c r="F11" s="35">
        <v>1.6</v>
      </c>
      <c r="G11" s="35"/>
      <c r="H11" s="35">
        <f t="shared" ref="H11:H19" si="0">B11-1</f>
        <v>599</v>
      </c>
      <c r="I11" s="35">
        <f t="shared" ref="I11:I19" si="1">D11*4</f>
        <v>4</v>
      </c>
      <c r="J11" s="35"/>
      <c r="K11" s="246">
        <f t="shared" ref="K11:K19" si="2">C11-30</f>
        <v>870</v>
      </c>
      <c r="L11" s="246"/>
      <c r="M11" s="246"/>
      <c r="N11" s="35">
        <f t="shared" ref="N11:N19" si="3">D11*4</f>
        <v>4</v>
      </c>
      <c r="O11" s="35"/>
      <c r="P11" s="37"/>
    </row>
    <row r="12" spans="1:16">
      <c r="A12" s="31" t="str">
        <f>'1. 소켓인수검사'!A10</f>
        <v>02</v>
      </c>
      <c r="B12" s="34">
        <f>'1. 소켓인수검사'!C10</f>
        <v>700</v>
      </c>
      <c r="C12" s="34">
        <f>'1. 소켓인수검사'!D10</f>
        <v>550</v>
      </c>
      <c r="D12" s="35">
        <v>1</v>
      </c>
      <c r="E12" s="36"/>
      <c r="F12" s="35">
        <v>1.6</v>
      </c>
      <c r="G12" s="35"/>
      <c r="H12" s="35">
        <f t="shared" si="0"/>
        <v>699</v>
      </c>
      <c r="I12" s="35">
        <f t="shared" si="1"/>
        <v>4</v>
      </c>
      <c r="J12" s="35"/>
      <c r="K12" s="246">
        <f t="shared" si="2"/>
        <v>520</v>
      </c>
      <c r="L12" s="246"/>
      <c r="M12" s="246"/>
      <c r="N12" s="35">
        <f t="shared" si="3"/>
        <v>4</v>
      </c>
      <c r="O12" s="35"/>
      <c r="P12" s="37"/>
    </row>
    <row r="13" spans="1:16">
      <c r="A13" s="31" t="str">
        <f>'1. 소켓인수검사'!A11</f>
        <v>03</v>
      </c>
      <c r="B13" s="34">
        <f>'1. 소켓인수검사'!C11</f>
        <v>750</v>
      </c>
      <c r="C13" s="34">
        <f>'1. 소켓인수검사'!D11</f>
        <v>700</v>
      </c>
      <c r="D13" s="35">
        <v>1</v>
      </c>
      <c r="E13" s="36"/>
      <c r="F13" s="35">
        <v>1.6</v>
      </c>
      <c r="G13" s="35"/>
      <c r="H13" s="35">
        <f t="shared" si="0"/>
        <v>749</v>
      </c>
      <c r="I13" s="35">
        <f t="shared" si="1"/>
        <v>4</v>
      </c>
      <c r="J13" s="35"/>
      <c r="K13" s="246">
        <f t="shared" si="2"/>
        <v>670</v>
      </c>
      <c r="L13" s="246"/>
      <c r="M13" s="246"/>
      <c r="N13" s="35">
        <f t="shared" si="3"/>
        <v>4</v>
      </c>
      <c r="O13" s="35"/>
      <c r="P13" s="37"/>
    </row>
    <row r="14" spans="1:16">
      <c r="A14" s="31" t="str">
        <f>'1. 소켓인수검사'!A12</f>
        <v>04</v>
      </c>
      <c r="B14" s="34">
        <f>'1. 소켓인수검사'!C12</f>
        <v>800</v>
      </c>
      <c r="C14" s="34">
        <f>'1. 소켓인수검사'!D12</f>
        <v>650</v>
      </c>
      <c r="D14" s="35">
        <v>1</v>
      </c>
      <c r="E14" s="36"/>
      <c r="F14" s="35">
        <v>1.6</v>
      </c>
      <c r="G14" s="35"/>
      <c r="H14" s="35">
        <f t="shared" si="0"/>
        <v>799</v>
      </c>
      <c r="I14" s="35">
        <f t="shared" si="1"/>
        <v>4</v>
      </c>
      <c r="J14" s="35"/>
      <c r="K14" s="246">
        <f t="shared" si="2"/>
        <v>620</v>
      </c>
      <c r="L14" s="246"/>
      <c r="M14" s="246"/>
      <c r="N14" s="35">
        <f t="shared" si="3"/>
        <v>4</v>
      </c>
      <c r="O14" s="35"/>
      <c r="P14" s="37"/>
    </row>
    <row r="15" spans="1:16">
      <c r="A15" s="31" t="str">
        <f>'1. 소켓인수검사'!A13</f>
        <v>05</v>
      </c>
      <c r="B15" s="34">
        <f>'1. 소켓인수검사'!C13</f>
        <v>800</v>
      </c>
      <c r="C15" s="34">
        <f>'1. 소켓인수검사'!D13</f>
        <v>650</v>
      </c>
      <c r="D15" s="35">
        <v>1</v>
      </c>
      <c r="E15" s="36"/>
      <c r="F15" s="35">
        <v>1.6</v>
      </c>
      <c r="G15" s="35"/>
      <c r="H15" s="35">
        <f t="shared" si="0"/>
        <v>799</v>
      </c>
      <c r="I15" s="35">
        <f t="shared" si="1"/>
        <v>4</v>
      </c>
      <c r="J15" s="35"/>
      <c r="K15" s="246">
        <f t="shared" si="2"/>
        <v>620</v>
      </c>
      <c r="L15" s="246"/>
      <c r="M15" s="246"/>
      <c r="N15" s="35">
        <f t="shared" si="3"/>
        <v>4</v>
      </c>
      <c r="O15" s="35"/>
      <c r="P15" s="37"/>
    </row>
    <row r="16" spans="1:16">
      <c r="A16" s="31" t="str">
        <f>'1. 소켓인수검사'!A14</f>
        <v>06</v>
      </c>
      <c r="B16" s="34">
        <f>'1. 소켓인수검사'!C14</f>
        <v>900</v>
      </c>
      <c r="C16" s="34">
        <f>'1. 소켓인수검사'!D14</f>
        <v>600</v>
      </c>
      <c r="D16" s="35">
        <v>1</v>
      </c>
      <c r="E16" s="36"/>
      <c r="F16" s="35">
        <v>1.6</v>
      </c>
      <c r="G16" s="35"/>
      <c r="H16" s="35">
        <f t="shared" si="0"/>
        <v>899</v>
      </c>
      <c r="I16" s="35">
        <f t="shared" si="1"/>
        <v>4</v>
      </c>
      <c r="J16" s="35"/>
      <c r="K16" s="246">
        <f t="shared" si="2"/>
        <v>570</v>
      </c>
      <c r="L16" s="246"/>
      <c r="M16" s="246"/>
      <c r="N16" s="35">
        <f t="shared" si="3"/>
        <v>4</v>
      </c>
      <c r="O16" s="35"/>
      <c r="P16" s="37"/>
    </row>
    <row r="17" spans="1:16">
      <c r="A17" s="31" t="str">
        <f>'1. 소켓인수검사'!A15</f>
        <v>07</v>
      </c>
      <c r="B17" s="34">
        <f>'1. 소켓인수검사'!C15</f>
        <v>900</v>
      </c>
      <c r="C17" s="34">
        <f>'1. 소켓인수검사'!D15</f>
        <v>600</v>
      </c>
      <c r="D17" s="35">
        <v>1</v>
      </c>
      <c r="E17" s="36"/>
      <c r="F17" s="35">
        <v>1.6</v>
      </c>
      <c r="G17" s="35"/>
      <c r="H17" s="35">
        <f t="shared" si="0"/>
        <v>899</v>
      </c>
      <c r="I17" s="35">
        <f t="shared" si="1"/>
        <v>4</v>
      </c>
      <c r="J17" s="35"/>
      <c r="K17" s="246">
        <f t="shared" si="2"/>
        <v>570</v>
      </c>
      <c r="L17" s="246"/>
      <c r="M17" s="246"/>
      <c r="N17" s="35">
        <f t="shared" si="3"/>
        <v>4</v>
      </c>
      <c r="O17" s="35"/>
      <c r="P17" s="37"/>
    </row>
    <row r="18" spans="1:16">
      <c r="A18" s="31" t="str">
        <f>'1. 소켓인수검사'!A16</f>
        <v>08</v>
      </c>
      <c r="B18" s="34">
        <f>'1. 소켓인수검사'!C16</f>
        <v>900</v>
      </c>
      <c r="C18" s="34">
        <f>'1. 소켓인수검사'!D16</f>
        <v>600</v>
      </c>
      <c r="D18" s="35">
        <v>1</v>
      </c>
      <c r="E18" s="36"/>
      <c r="F18" s="35">
        <v>1.6</v>
      </c>
      <c r="G18" s="35"/>
      <c r="H18" s="35">
        <f t="shared" si="0"/>
        <v>899</v>
      </c>
      <c r="I18" s="35">
        <f t="shared" si="1"/>
        <v>4</v>
      </c>
      <c r="J18" s="35"/>
      <c r="K18" s="246">
        <f t="shared" si="2"/>
        <v>570</v>
      </c>
      <c r="L18" s="246"/>
      <c r="M18" s="246"/>
      <c r="N18" s="35">
        <f t="shared" si="3"/>
        <v>4</v>
      </c>
      <c r="O18" s="35"/>
      <c r="P18" s="37"/>
    </row>
    <row r="19" spans="1:16">
      <c r="A19" s="31" t="str">
        <f>'1. 소켓인수검사'!A17</f>
        <v>09</v>
      </c>
      <c r="B19" s="34">
        <f>'1. 소켓인수검사'!C17</f>
        <v>900</v>
      </c>
      <c r="C19" s="34">
        <f>'1. 소켓인수검사'!D17</f>
        <v>600</v>
      </c>
      <c r="D19" s="35">
        <v>1</v>
      </c>
      <c r="E19" s="36"/>
      <c r="F19" s="35">
        <v>1.6</v>
      </c>
      <c r="G19" s="35"/>
      <c r="H19" s="35">
        <f t="shared" si="0"/>
        <v>899</v>
      </c>
      <c r="I19" s="35">
        <f t="shared" si="1"/>
        <v>4</v>
      </c>
      <c r="J19" s="35"/>
      <c r="K19" s="246">
        <f t="shared" si="2"/>
        <v>570</v>
      </c>
      <c r="L19" s="246"/>
      <c r="M19" s="246"/>
      <c r="N19" s="35">
        <f t="shared" si="3"/>
        <v>4</v>
      </c>
      <c r="O19" s="35"/>
      <c r="P19" s="37"/>
    </row>
    <row r="20" spans="1:16" ht="8.1" customHeight="1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</row>
    <row r="21" spans="1:16">
      <c r="A21" s="247" t="s">
        <v>47</v>
      </c>
      <c r="B21" s="247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</row>
    <row r="22" spans="1:16">
      <c r="A22" s="247"/>
      <c r="B22" s="247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</row>
    <row r="23" spans="1:16">
      <c r="A23" s="247"/>
      <c r="B23" s="247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</row>
    <row r="24" spans="1:16">
      <c r="A24" s="247"/>
      <c r="B24" s="247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</row>
  </sheetData>
  <mergeCells count="40">
    <mergeCell ref="A21:B24"/>
    <mergeCell ref="C21:P24"/>
    <mergeCell ref="K16:M16"/>
    <mergeCell ref="K17:M17"/>
    <mergeCell ref="K18:M18"/>
    <mergeCell ref="K19:M19"/>
    <mergeCell ref="A20:P20"/>
    <mergeCell ref="K11:M11"/>
    <mergeCell ref="K12:M12"/>
    <mergeCell ref="K13:M13"/>
    <mergeCell ref="K14:M14"/>
    <mergeCell ref="K15:M15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28"/>
  <sheetViews>
    <sheetView showGridLines="0" zoomScaleNormal="100" zoomScaleSheetLayoutView="100" workbookViewId="0">
      <selection activeCell="J34" sqref="J34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40"/>
      <c r="B1" s="140"/>
      <c r="C1" s="140"/>
      <c r="D1" s="140"/>
      <c r="E1" s="250" t="s">
        <v>74</v>
      </c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2"/>
    </row>
    <row r="2" spans="1:16" ht="16.5" customHeight="1">
      <c r="A2" s="140"/>
      <c r="B2" s="140"/>
      <c r="C2" s="140"/>
      <c r="D2" s="140"/>
      <c r="E2" s="253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5"/>
    </row>
    <row r="3" spans="1:16" ht="16.5" customHeight="1">
      <c r="A3" s="140"/>
      <c r="B3" s="140"/>
      <c r="C3" s="140"/>
      <c r="D3" s="140"/>
      <c r="E3" s="253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5"/>
    </row>
    <row r="4" spans="1:16" ht="16.5" customHeight="1">
      <c r="A4" s="140" t="s">
        <v>17</v>
      </c>
      <c r="B4" s="140"/>
      <c r="C4" s="140"/>
      <c r="D4" s="140"/>
      <c r="E4" s="256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8"/>
    </row>
    <row r="5" spans="1:16" ht="16.5" customHeight="1">
      <c r="A5" s="140" t="s">
        <v>27</v>
      </c>
      <c r="B5" s="140"/>
      <c r="C5" s="140"/>
      <c r="D5" s="140"/>
      <c r="E5" s="6" t="s">
        <v>33</v>
      </c>
      <c r="F5" s="140"/>
      <c r="G5" s="140"/>
      <c r="H5" s="140" t="s">
        <v>62</v>
      </c>
      <c r="I5" s="140"/>
      <c r="J5" s="140"/>
      <c r="K5" s="140" t="s">
        <v>58</v>
      </c>
      <c r="L5" s="140"/>
      <c r="M5" s="140"/>
      <c r="N5" s="249" t="str">
        <f>'1. 소켓인수검사'!R2</f>
        <v>26.07.07 이신이엔지_한신공영_동위_평택브레인시티 한신더휴</v>
      </c>
      <c r="O5" s="249"/>
      <c r="P5" s="249"/>
    </row>
    <row r="6" spans="1:16">
      <c r="A6" s="140"/>
      <c r="B6" s="140"/>
      <c r="C6" s="140"/>
      <c r="D6" s="140"/>
      <c r="E6" s="6" t="s">
        <v>30</v>
      </c>
      <c r="F6" s="140"/>
      <c r="G6" s="140"/>
      <c r="H6" s="140"/>
      <c r="I6" s="140"/>
      <c r="J6" s="140"/>
      <c r="K6" s="140"/>
      <c r="L6" s="140"/>
      <c r="M6" s="140"/>
      <c r="N6" s="249"/>
      <c r="O6" s="249"/>
      <c r="P6" s="249"/>
    </row>
    <row r="7" spans="1:16" ht="8.1" customHeight="1">
      <c r="A7" s="259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260"/>
    </row>
    <row r="8" spans="1:16" ht="21" customHeight="1">
      <c r="A8" s="140" t="s">
        <v>59</v>
      </c>
      <c r="B8" s="262" t="s">
        <v>4</v>
      </c>
      <c r="C8" s="262"/>
      <c r="D8" s="262" t="s">
        <v>29</v>
      </c>
      <c r="E8" s="262" t="s">
        <v>25</v>
      </c>
      <c r="F8" s="262" t="s">
        <v>63</v>
      </c>
      <c r="G8" s="264" t="s">
        <v>28</v>
      </c>
      <c r="H8" s="265"/>
      <c r="I8" s="265"/>
      <c r="J8" s="265"/>
      <c r="K8" s="265"/>
      <c r="L8" s="265"/>
      <c r="M8" s="265"/>
      <c r="N8" s="265"/>
      <c r="O8" s="266"/>
      <c r="P8" s="262" t="s">
        <v>2</v>
      </c>
    </row>
    <row r="9" spans="1:16" ht="21" customHeight="1">
      <c r="A9" s="140"/>
      <c r="B9" s="264" t="s">
        <v>66</v>
      </c>
      <c r="C9" s="262" t="s">
        <v>64</v>
      </c>
      <c r="D9" s="262"/>
      <c r="E9" s="262"/>
      <c r="F9" s="262"/>
      <c r="G9" s="262" t="s">
        <v>60</v>
      </c>
      <c r="H9" s="262" t="s">
        <v>66</v>
      </c>
      <c r="I9" s="262"/>
      <c r="J9" s="263" t="s">
        <v>11</v>
      </c>
      <c r="K9" s="262" t="s">
        <v>64</v>
      </c>
      <c r="L9" s="262"/>
      <c r="M9" s="262"/>
      <c r="N9" s="262"/>
      <c r="O9" s="263" t="s">
        <v>11</v>
      </c>
      <c r="P9" s="262"/>
    </row>
    <row r="10" spans="1:16" ht="21" customHeight="1">
      <c r="A10" s="261"/>
      <c r="B10" s="267"/>
      <c r="C10" s="263"/>
      <c r="D10" s="263"/>
      <c r="E10" s="263"/>
      <c r="F10" s="263"/>
      <c r="G10" s="263"/>
      <c r="H10" s="23" t="s">
        <v>4</v>
      </c>
      <c r="I10" s="23" t="s">
        <v>32</v>
      </c>
      <c r="J10" s="268"/>
      <c r="K10" s="269" t="s">
        <v>4</v>
      </c>
      <c r="L10" s="270"/>
      <c r="M10" s="271"/>
      <c r="N10" s="24" t="s">
        <v>32</v>
      </c>
      <c r="O10" s="268"/>
      <c r="P10" s="263"/>
    </row>
    <row r="11" spans="1:16" ht="16.5" customHeight="1">
      <c r="A11" s="55" t="str">
        <f>'1. 소켓인수검사'!A18</f>
        <v>10</v>
      </c>
      <c r="B11" s="56">
        <f>'1. 소켓인수검사'!C18</f>
        <v>750</v>
      </c>
      <c r="C11" s="56">
        <f>'1. 소켓인수검사'!D18</f>
        <v>1550</v>
      </c>
      <c r="D11" s="58">
        <v>1</v>
      </c>
      <c r="E11" s="57"/>
      <c r="F11" s="71" t="s">
        <v>51</v>
      </c>
      <c r="G11" s="58" t="s">
        <v>50</v>
      </c>
      <c r="H11" s="68">
        <f>(B11-30)/2-1</f>
        <v>359</v>
      </c>
      <c r="I11" s="58">
        <f>D11*8*2</f>
        <v>16</v>
      </c>
      <c r="J11" s="58"/>
      <c r="K11" s="272">
        <f>(C11-20)/2-10-1</f>
        <v>754</v>
      </c>
      <c r="L11" s="272"/>
      <c r="M11" s="272"/>
      <c r="N11" s="58">
        <f>D11*16*2</f>
        <v>32</v>
      </c>
      <c r="O11" s="58"/>
      <c r="P11" s="69"/>
    </row>
    <row r="12" spans="1:16">
      <c r="A12" s="59" t="str">
        <f>'1. 소켓인수검사'!A19</f>
        <v>11</v>
      </c>
      <c r="B12" s="40">
        <f>'1. 소켓인수검사'!C19</f>
        <v>900</v>
      </c>
      <c r="C12" s="40">
        <f>'1. 소켓인수검사'!D19</f>
        <v>1100</v>
      </c>
      <c r="D12" s="35">
        <v>1</v>
      </c>
      <c r="E12" s="41"/>
      <c r="F12" s="72"/>
      <c r="G12" s="35"/>
      <c r="H12" s="70">
        <f t="shared" ref="H12" si="0">(B12-30)/2-1</f>
        <v>434</v>
      </c>
      <c r="I12" s="35">
        <f>D12*8*2</f>
        <v>16</v>
      </c>
      <c r="J12" s="35"/>
      <c r="K12" s="273">
        <f>(C12-20)/2-10-1</f>
        <v>529</v>
      </c>
      <c r="L12" s="273"/>
      <c r="M12" s="273"/>
      <c r="N12" s="35">
        <f>D12*16*2</f>
        <v>32</v>
      </c>
      <c r="O12" s="35"/>
      <c r="P12" s="37"/>
    </row>
    <row r="13" spans="1:16">
      <c r="A13" s="59" t="str">
        <f>'1. 소켓인수검사'!A20</f>
        <v>12</v>
      </c>
      <c r="B13" s="40">
        <f>'1. 소켓인수검사'!C20</f>
        <v>900</v>
      </c>
      <c r="C13" s="40">
        <f>'1. 소켓인수검사'!D20</f>
        <v>1100</v>
      </c>
      <c r="D13" s="35">
        <v>1</v>
      </c>
      <c r="E13" s="41"/>
      <c r="F13" s="72"/>
      <c r="G13" s="35"/>
      <c r="H13" s="70">
        <f t="shared" ref="H13:H21" si="1">(B13-30)/2-1</f>
        <v>434</v>
      </c>
      <c r="I13" s="35">
        <f>D13*8*2</f>
        <v>16</v>
      </c>
      <c r="J13" s="35"/>
      <c r="K13" s="273">
        <f t="shared" ref="K13:K21" si="2">(C13-20)/2-10-1</f>
        <v>529</v>
      </c>
      <c r="L13" s="273"/>
      <c r="M13" s="273"/>
      <c r="N13" s="35">
        <f>D13*16*2</f>
        <v>32</v>
      </c>
      <c r="O13" s="35"/>
      <c r="P13" s="37"/>
    </row>
    <row r="14" spans="1:16">
      <c r="A14" s="59" t="str">
        <f>'1. 소켓인수검사'!A21</f>
        <v>13</v>
      </c>
      <c r="B14" s="40">
        <f>'1. 소켓인수검사'!C21</f>
        <v>900</v>
      </c>
      <c r="C14" s="40">
        <f>'1. 소켓인수검사'!D21</f>
        <v>1100</v>
      </c>
      <c r="D14" s="35">
        <v>1</v>
      </c>
      <c r="E14" s="41"/>
      <c r="F14" s="72"/>
      <c r="G14" s="35"/>
      <c r="H14" s="70">
        <f t="shared" si="1"/>
        <v>434</v>
      </c>
      <c r="I14" s="35">
        <f t="shared" ref="I14:I20" si="3">D14*8*2</f>
        <v>16</v>
      </c>
      <c r="J14" s="35"/>
      <c r="K14" s="273">
        <f t="shared" si="2"/>
        <v>529</v>
      </c>
      <c r="L14" s="273"/>
      <c r="M14" s="273"/>
      <c r="N14" s="35">
        <f t="shared" ref="N14:N20" si="4">D14*16*2</f>
        <v>32</v>
      </c>
      <c r="O14" s="35"/>
      <c r="P14" s="37"/>
    </row>
    <row r="15" spans="1:16">
      <c r="A15" s="59" t="str">
        <f>'1. 소켓인수검사'!A22</f>
        <v>14</v>
      </c>
      <c r="B15" s="40">
        <f>'1. 소켓인수검사'!C22</f>
        <v>900</v>
      </c>
      <c r="C15" s="40">
        <f>'1. 소켓인수검사'!D22</f>
        <v>1350</v>
      </c>
      <c r="D15" s="35">
        <v>1</v>
      </c>
      <c r="E15" s="41"/>
      <c r="F15" s="72"/>
      <c r="G15" s="35"/>
      <c r="H15" s="70">
        <f t="shared" si="1"/>
        <v>434</v>
      </c>
      <c r="I15" s="35">
        <f t="shared" si="3"/>
        <v>16</v>
      </c>
      <c r="J15" s="35"/>
      <c r="K15" s="273">
        <f t="shared" si="2"/>
        <v>654</v>
      </c>
      <c r="L15" s="273"/>
      <c r="M15" s="273"/>
      <c r="N15" s="35">
        <f t="shared" si="4"/>
        <v>32</v>
      </c>
      <c r="O15" s="35"/>
      <c r="P15" s="37"/>
    </row>
    <row r="16" spans="1:16">
      <c r="A16" s="59" t="str">
        <f>'1. 소켓인수검사'!A23</f>
        <v>15</v>
      </c>
      <c r="B16" s="40">
        <f>'1. 소켓인수검사'!C23</f>
        <v>950</v>
      </c>
      <c r="C16" s="40">
        <f>'1. 소켓인수검사'!D23</f>
        <v>1300</v>
      </c>
      <c r="D16" s="35">
        <v>1</v>
      </c>
      <c r="E16" s="41"/>
      <c r="F16" s="72"/>
      <c r="G16" s="35"/>
      <c r="H16" s="70">
        <f t="shared" si="1"/>
        <v>459</v>
      </c>
      <c r="I16" s="35">
        <f t="shared" si="3"/>
        <v>16</v>
      </c>
      <c r="J16" s="35"/>
      <c r="K16" s="273">
        <f t="shared" si="2"/>
        <v>629</v>
      </c>
      <c r="L16" s="273"/>
      <c r="M16" s="273"/>
      <c r="N16" s="35">
        <f t="shared" si="4"/>
        <v>32</v>
      </c>
      <c r="O16" s="35"/>
      <c r="P16" s="37"/>
    </row>
    <row r="17" spans="1:16">
      <c r="A17" s="59" t="str">
        <f>'1. 소켓인수검사'!A24</f>
        <v>16</v>
      </c>
      <c r="B17" s="40">
        <f>'1. 소켓인수검사'!C24</f>
        <v>1000</v>
      </c>
      <c r="C17" s="40">
        <f>'1. 소켓인수검사'!D24</f>
        <v>1000</v>
      </c>
      <c r="D17" s="35">
        <v>1</v>
      </c>
      <c r="E17" s="41"/>
      <c r="F17" s="72"/>
      <c r="G17" s="35"/>
      <c r="H17" s="70">
        <f t="shared" si="1"/>
        <v>484</v>
      </c>
      <c r="I17" s="35">
        <f t="shared" si="3"/>
        <v>16</v>
      </c>
      <c r="J17" s="35"/>
      <c r="K17" s="273">
        <f t="shared" si="2"/>
        <v>479</v>
      </c>
      <c r="L17" s="273"/>
      <c r="M17" s="273"/>
      <c r="N17" s="35">
        <f t="shared" si="4"/>
        <v>32</v>
      </c>
      <c r="O17" s="35"/>
      <c r="P17" s="37"/>
    </row>
    <row r="18" spans="1:16">
      <c r="A18" s="59" t="str">
        <f>'1. 소켓인수검사'!A25</f>
        <v>17</v>
      </c>
      <c r="B18" s="40">
        <f>'1. 소켓인수검사'!C25</f>
        <v>1100</v>
      </c>
      <c r="C18" s="40">
        <f>'1. 소켓인수검사'!D25</f>
        <v>850</v>
      </c>
      <c r="D18" s="35">
        <v>1</v>
      </c>
      <c r="E18" s="41"/>
      <c r="F18" s="72"/>
      <c r="G18" s="35"/>
      <c r="H18" s="70">
        <f t="shared" si="1"/>
        <v>534</v>
      </c>
      <c r="I18" s="35">
        <f t="shared" si="3"/>
        <v>16</v>
      </c>
      <c r="J18" s="35"/>
      <c r="K18" s="273">
        <f t="shared" si="2"/>
        <v>404</v>
      </c>
      <c r="L18" s="273"/>
      <c r="M18" s="273"/>
      <c r="N18" s="35">
        <f t="shared" si="4"/>
        <v>32</v>
      </c>
      <c r="O18" s="35"/>
      <c r="P18" s="37"/>
    </row>
    <row r="19" spans="1:16">
      <c r="A19" s="59" t="str">
        <f>'1. 소켓인수검사'!A26</f>
        <v>18</v>
      </c>
      <c r="B19" s="40">
        <f>'1. 소켓인수검사'!C26</f>
        <v>1100</v>
      </c>
      <c r="C19" s="40">
        <f>'1. 소켓인수검사'!D26</f>
        <v>900</v>
      </c>
      <c r="D19" s="35">
        <v>1</v>
      </c>
      <c r="E19" s="41"/>
      <c r="F19" s="72"/>
      <c r="G19" s="35"/>
      <c r="H19" s="70">
        <f t="shared" si="1"/>
        <v>534</v>
      </c>
      <c r="I19" s="35">
        <f t="shared" si="3"/>
        <v>16</v>
      </c>
      <c r="J19" s="35"/>
      <c r="K19" s="273">
        <f t="shared" si="2"/>
        <v>429</v>
      </c>
      <c r="L19" s="273"/>
      <c r="M19" s="273"/>
      <c r="N19" s="35">
        <f t="shared" si="4"/>
        <v>32</v>
      </c>
      <c r="O19" s="35"/>
      <c r="P19" s="37"/>
    </row>
    <row r="20" spans="1:16">
      <c r="A20" s="59" t="str">
        <f>'1. 소켓인수검사'!A27</f>
        <v>19</v>
      </c>
      <c r="B20" s="40">
        <f>'1. 소켓인수검사'!C27</f>
        <v>1100</v>
      </c>
      <c r="C20" s="40">
        <f>'1. 소켓인수검사'!D27</f>
        <v>900</v>
      </c>
      <c r="D20" s="35">
        <v>1</v>
      </c>
      <c r="E20" s="41"/>
      <c r="F20" s="72"/>
      <c r="G20" s="35"/>
      <c r="H20" s="70">
        <f t="shared" si="1"/>
        <v>534</v>
      </c>
      <c r="I20" s="35">
        <f t="shared" si="3"/>
        <v>16</v>
      </c>
      <c r="J20" s="35"/>
      <c r="K20" s="273">
        <f t="shared" si="2"/>
        <v>429</v>
      </c>
      <c r="L20" s="273"/>
      <c r="M20" s="273"/>
      <c r="N20" s="35">
        <f t="shared" si="4"/>
        <v>32</v>
      </c>
      <c r="O20" s="35"/>
      <c r="P20" s="37"/>
    </row>
    <row r="21" spans="1:16">
      <c r="A21" s="59" t="str">
        <f>'1. 소켓인수검사'!A28</f>
        <v>20</v>
      </c>
      <c r="B21" s="40">
        <f>'1. 소켓인수검사'!C28</f>
        <v>1200</v>
      </c>
      <c r="C21" s="40">
        <f>'1. 소켓인수검사'!D28</f>
        <v>1000</v>
      </c>
      <c r="D21" s="35">
        <v>1</v>
      </c>
      <c r="E21" s="41"/>
      <c r="F21" s="72"/>
      <c r="G21" s="35"/>
      <c r="H21" s="70">
        <f t="shared" si="1"/>
        <v>584</v>
      </c>
      <c r="I21" s="35">
        <f>D21*8*2</f>
        <v>16</v>
      </c>
      <c r="J21" s="35"/>
      <c r="K21" s="273">
        <f t="shared" si="2"/>
        <v>479</v>
      </c>
      <c r="L21" s="273"/>
      <c r="M21" s="273"/>
      <c r="N21" s="35">
        <f>D21*16*2</f>
        <v>32</v>
      </c>
      <c r="O21" s="35"/>
      <c r="P21" s="37"/>
    </row>
    <row r="22" spans="1:16" ht="8.1" customHeight="1">
      <c r="A22" s="274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275"/>
    </row>
    <row r="23" spans="1:16">
      <c r="A23" s="247" t="s">
        <v>47</v>
      </c>
      <c r="B23" s="247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  <row r="24" spans="1:16">
      <c r="A24" s="247"/>
      <c r="B24" s="247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>
      <c r="A25" s="247"/>
      <c r="B25" s="247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>
      <c r="A26" s="247"/>
      <c r="B26" s="247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>
      <c r="A27" s="247"/>
      <c r="B27" s="247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>
      <c r="A28" s="247"/>
      <c r="B28" s="247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</sheetData>
  <mergeCells count="42">
    <mergeCell ref="K21:M21"/>
    <mergeCell ref="A22:P22"/>
    <mergeCell ref="A23:B28"/>
    <mergeCell ref="C23:P28"/>
    <mergeCell ref="K16:M16"/>
    <mergeCell ref="K17:M17"/>
    <mergeCell ref="K18:M18"/>
    <mergeCell ref="K19:M19"/>
    <mergeCell ref="K20:M20"/>
    <mergeCell ref="K11:M11"/>
    <mergeCell ref="K12:M12"/>
    <mergeCell ref="K13:M13"/>
    <mergeCell ref="K14:M14"/>
    <mergeCell ref="K15:M15"/>
    <mergeCell ref="K9:N9"/>
    <mergeCell ref="O9:O10"/>
    <mergeCell ref="K10:M10"/>
    <mergeCell ref="A1:D3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28"/>
  <sheetViews>
    <sheetView showGridLines="0" zoomScaleNormal="100" zoomScaleSheetLayoutView="100" workbookViewId="0">
      <selection activeCell="I35" sqref="I35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40"/>
      <c r="B1" s="140"/>
      <c r="C1" s="140"/>
      <c r="D1" s="140"/>
      <c r="E1" s="250" t="s">
        <v>15</v>
      </c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2"/>
    </row>
    <row r="2" spans="1:17" ht="16.5" customHeight="1">
      <c r="A2" s="140"/>
      <c r="B2" s="140"/>
      <c r="C2" s="140"/>
      <c r="D2" s="140"/>
      <c r="E2" s="253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5"/>
    </row>
    <row r="3" spans="1:17" ht="16.5" customHeight="1">
      <c r="A3" s="140"/>
      <c r="B3" s="140"/>
      <c r="C3" s="140"/>
      <c r="D3" s="140"/>
      <c r="E3" s="253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5"/>
    </row>
    <row r="4" spans="1:17" ht="16.5" customHeight="1">
      <c r="A4" s="140" t="s">
        <v>17</v>
      </c>
      <c r="B4" s="140"/>
      <c r="C4" s="140"/>
      <c r="D4" s="140"/>
      <c r="E4" s="256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8"/>
    </row>
    <row r="5" spans="1:17" ht="16.5" customHeight="1">
      <c r="A5" s="140" t="s">
        <v>27</v>
      </c>
      <c r="B5" s="140"/>
      <c r="C5" s="140"/>
      <c r="D5" s="140"/>
      <c r="E5" s="6" t="s">
        <v>33</v>
      </c>
      <c r="F5" s="140"/>
      <c r="G5" s="140"/>
      <c r="H5" s="140" t="s">
        <v>62</v>
      </c>
      <c r="I5" s="140"/>
      <c r="J5" s="140"/>
      <c r="K5" s="274" t="s">
        <v>58</v>
      </c>
      <c r="L5" s="140"/>
      <c r="M5" s="140"/>
      <c r="N5" s="275"/>
      <c r="O5" s="249" t="str">
        <f>'1. 소켓인수검사'!R2</f>
        <v>26.07.07 이신이엔지_한신공영_동위_평택브레인시티 한신더휴</v>
      </c>
      <c r="P5" s="249"/>
      <c r="Q5" s="249"/>
    </row>
    <row r="6" spans="1:17">
      <c r="A6" s="140"/>
      <c r="B6" s="140"/>
      <c r="C6" s="140"/>
      <c r="D6" s="140"/>
      <c r="E6" s="6" t="s">
        <v>30</v>
      </c>
      <c r="F6" s="140"/>
      <c r="G6" s="140"/>
      <c r="H6" s="140"/>
      <c r="I6" s="140"/>
      <c r="J6" s="140"/>
      <c r="K6" s="259"/>
      <c r="L6" s="184"/>
      <c r="M6" s="184"/>
      <c r="N6" s="260"/>
      <c r="O6" s="249"/>
      <c r="P6" s="249"/>
      <c r="Q6" s="249"/>
    </row>
    <row r="7" spans="1:17" ht="8.1" customHeight="1">
      <c r="A7" s="259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260"/>
    </row>
    <row r="8" spans="1:17">
      <c r="A8" s="140" t="s">
        <v>59</v>
      </c>
      <c r="B8" s="262" t="s">
        <v>4</v>
      </c>
      <c r="C8" s="262"/>
      <c r="D8" s="262" t="s">
        <v>29</v>
      </c>
      <c r="E8" s="262" t="s">
        <v>25</v>
      </c>
      <c r="F8" s="262" t="s">
        <v>63</v>
      </c>
      <c r="G8" s="264" t="s">
        <v>28</v>
      </c>
      <c r="H8" s="265"/>
      <c r="I8" s="265"/>
      <c r="J8" s="265"/>
      <c r="K8" s="264"/>
      <c r="L8" s="265"/>
      <c r="M8" s="265"/>
      <c r="N8" s="265"/>
      <c r="O8" s="265"/>
      <c r="P8" s="266"/>
      <c r="Q8" s="262" t="s">
        <v>2</v>
      </c>
    </row>
    <row r="9" spans="1:17" ht="16.5" customHeight="1">
      <c r="A9" s="140"/>
      <c r="B9" s="264" t="s">
        <v>66</v>
      </c>
      <c r="C9" s="262" t="s">
        <v>64</v>
      </c>
      <c r="D9" s="262"/>
      <c r="E9" s="262"/>
      <c r="F9" s="262"/>
      <c r="G9" s="262" t="s">
        <v>60</v>
      </c>
      <c r="H9" s="262" t="s">
        <v>52</v>
      </c>
      <c r="I9" s="262"/>
      <c r="J9" s="263" t="s">
        <v>11</v>
      </c>
      <c r="K9" s="263" t="s">
        <v>60</v>
      </c>
      <c r="L9" s="262" t="s">
        <v>19</v>
      </c>
      <c r="M9" s="262"/>
      <c r="N9" s="262"/>
      <c r="O9" s="262"/>
      <c r="P9" s="263" t="s">
        <v>11</v>
      </c>
      <c r="Q9" s="262"/>
    </row>
    <row r="10" spans="1:17">
      <c r="A10" s="261"/>
      <c r="B10" s="267"/>
      <c r="C10" s="263"/>
      <c r="D10" s="263"/>
      <c r="E10" s="263"/>
      <c r="F10" s="263"/>
      <c r="G10" s="263"/>
      <c r="H10" s="23" t="s">
        <v>4</v>
      </c>
      <c r="I10" s="23" t="s">
        <v>32</v>
      </c>
      <c r="J10" s="268"/>
      <c r="K10" s="268"/>
      <c r="L10" s="269" t="s">
        <v>4</v>
      </c>
      <c r="M10" s="270"/>
      <c r="N10" s="271"/>
      <c r="O10" s="24" t="s">
        <v>32</v>
      </c>
      <c r="P10" s="268"/>
      <c r="Q10" s="263"/>
    </row>
    <row r="11" spans="1:17" ht="20.100000000000001" customHeight="1">
      <c r="A11" s="55" t="str">
        <f>'1. 소켓인수검사'!A18</f>
        <v>10</v>
      </c>
      <c r="B11" s="56">
        <f>'1. 소켓인수검사'!C18</f>
        <v>750</v>
      </c>
      <c r="C11" s="56">
        <f>'1. 소켓인수검사'!D18</f>
        <v>1550</v>
      </c>
      <c r="D11" s="58">
        <v>1</v>
      </c>
      <c r="E11" s="73"/>
      <c r="F11" s="242" t="s">
        <v>51</v>
      </c>
      <c r="G11" s="68">
        <f>228-3</f>
        <v>225</v>
      </c>
      <c r="H11" s="58">
        <f>((B11-30)/2)-1</f>
        <v>359</v>
      </c>
      <c r="I11" s="58">
        <f t="shared" ref="I11:I21" si="0">D11*4*2</f>
        <v>8</v>
      </c>
      <c r="J11" s="58"/>
      <c r="K11" s="68">
        <f>240-3</f>
        <v>237</v>
      </c>
      <c r="L11" s="278">
        <f t="shared" ref="L11:L21" si="1">C11</f>
        <v>1550</v>
      </c>
      <c r="M11" s="279"/>
      <c r="N11" s="279"/>
      <c r="O11" s="58">
        <f t="shared" ref="O11:O21" si="2">D11*2*2</f>
        <v>4</v>
      </c>
      <c r="P11" s="29"/>
      <c r="Q11" s="30"/>
    </row>
    <row r="12" spans="1:17" ht="19.5" customHeight="1">
      <c r="A12" s="59" t="str">
        <f>'1. 소켓인수검사'!A19</f>
        <v>11</v>
      </c>
      <c r="B12" s="40">
        <f>'1. 소켓인수검사'!C19</f>
        <v>900</v>
      </c>
      <c r="C12" s="40">
        <f>'1. 소켓인수검사'!D19</f>
        <v>1100</v>
      </c>
      <c r="D12" s="35">
        <v>1</v>
      </c>
      <c r="E12" s="74"/>
      <c r="F12" s="243"/>
      <c r="G12" s="70">
        <f t="shared" ref="G12:G21" si="3">228-3</f>
        <v>225</v>
      </c>
      <c r="H12" s="35">
        <f>((B12-30)/2)-1</f>
        <v>434</v>
      </c>
      <c r="I12" s="35">
        <f t="shared" si="0"/>
        <v>8</v>
      </c>
      <c r="J12" s="35"/>
      <c r="K12" s="70">
        <f t="shared" ref="K12:K21" si="4">240-3</f>
        <v>237</v>
      </c>
      <c r="L12" s="276">
        <f t="shared" si="1"/>
        <v>1100</v>
      </c>
      <c r="M12" s="277"/>
      <c r="N12" s="277"/>
      <c r="O12" s="35">
        <f t="shared" si="2"/>
        <v>4</v>
      </c>
      <c r="P12" s="32"/>
      <c r="Q12" s="33"/>
    </row>
    <row r="13" spans="1:17" ht="20.100000000000001" customHeight="1">
      <c r="A13" s="59" t="str">
        <f>'1. 소켓인수검사'!A20</f>
        <v>12</v>
      </c>
      <c r="B13" s="40">
        <f>'1. 소켓인수검사'!C20</f>
        <v>900</v>
      </c>
      <c r="C13" s="40">
        <f>'1. 소켓인수검사'!D20</f>
        <v>1100</v>
      </c>
      <c r="D13" s="35">
        <v>1</v>
      </c>
      <c r="E13" s="74"/>
      <c r="F13" s="243"/>
      <c r="G13" s="70">
        <f t="shared" si="3"/>
        <v>225</v>
      </c>
      <c r="H13" s="35">
        <f t="shared" ref="H13:H21" si="5">((B13-30)/2)-1</f>
        <v>434</v>
      </c>
      <c r="I13" s="35">
        <f t="shared" si="0"/>
        <v>8</v>
      </c>
      <c r="J13" s="35"/>
      <c r="K13" s="70">
        <f t="shared" si="4"/>
        <v>237</v>
      </c>
      <c r="L13" s="276">
        <f t="shared" si="1"/>
        <v>1100</v>
      </c>
      <c r="M13" s="277"/>
      <c r="N13" s="277"/>
      <c r="O13" s="35">
        <f t="shared" si="2"/>
        <v>4</v>
      </c>
      <c r="P13" s="32"/>
      <c r="Q13" s="33"/>
    </row>
    <row r="14" spans="1:17" ht="20.100000000000001" customHeight="1">
      <c r="A14" s="59" t="str">
        <f>'1. 소켓인수검사'!A21</f>
        <v>13</v>
      </c>
      <c r="B14" s="40">
        <f>'1. 소켓인수검사'!C21</f>
        <v>900</v>
      </c>
      <c r="C14" s="40">
        <f>'1. 소켓인수검사'!D21</f>
        <v>1100</v>
      </c>
      <c r="D14" s="35">
        <v>1</v>
      </c>
      <c r="E14" s="74"/>
      <c r="F14" s="243"/>
      <c r="G14" s="70">
        <f t="shared" si="3"/>
        <v>225</v>
      </c>
      <c r="H14" s="35">
        <f t="shared" si="5"/>
        <v>434</v>
      </c>
      <c r="I14" s="35">
        <f t="shared" si="0"/>
        <v>8</v>
      </c>
      <c r="J14" s="35"/>
      <c r="K14" s="70">
        <f t="shared" si="4"/>
        <v>237</v>
      </c>
      <c r="L14" s="276">
        <f t="shared" si="1"/>
        <v>1100</v>
      </c>
      <c r="M14" s="277"/>
      <c r="N14" s="277"/>
      <c r="O14" s="35">
        <f t="shared" si="2"/>
        <v>4</v>
      </c>
      <c r="P14" s="32"/>
      <c r="Q14" s="33"/>
    </row>
    <row r="15" spans="1:17" ht="20.100000000000001" customHeight="1">
      <c r="A15" s="59" t="str">
        <f>'1. 소켓인수검사'!A22</f>
        <v>14</v>
      </c>
      <c r="B15" s="40">
        <f>'1. 소켓인수검사'!C22</f>
        <v>900</v>
      </c>
      <c r="C15" s="40">
        <f>'1. 소켓인수검사'!D22</f>
        <v>1350</v>
      </c>
      <c r="D15" s="35">
        <v>1</v>
      </c>
      <c r="E15" s="74"/>
      <c r="F15" s="243"/>
      <c r="G15" s="70">
        <f t="shared" si="3"/>
        <v>225</v>
      </c>
      <c r="H15" s="35">
        <f t="shared" si="5"/>
        <v>434</v>
      </c>
      <c r="I15" s="35">
        <f t="shared" si="0"/>
        <v>8</v>
      </c>
      <c r="J15" s="35"/>
      <c r="K15" s="70">
        <f t="shared" si="4"/>
        <v>237</v>
      </c>
      <c r="L15" s="276">
        <f t="shared" si="1"/>
        <v>1350</v>
      </c>
      <c r="M15" s="277"/>
      <c r="N15" s="277"/>
      <c r="O15" s="35">
        <f t="shared" si="2"/>
        <v>4</v>
      </c>
      <c r="P15" s="32"/>
      <c r="Q15" s="75"/>
    </row>
    <row r="16" spans="1:17" ht="20.100000000000001" customHeight="1">
      <c r="A16" s="59" t="str">
        <f>'1. 소켓인수검사'!A23</f>
        <v>15</v>
      </c>
      <c r="B16" s="40">
        <f>'1. 소켓인수검사'!C23</f>
        <v>950</v>
      </c>
      <c r="C16" s="40">
        <f>'1. 소켓인수검사'!D23</f>
        <v>1300</v>
      </c>
      <c r="D16" s="35">
        <v>1</v>
      </c>
      <c r="E16" s="74"/>
      <c r="F16" s="243"/>
      <c r="G16" s="70">
        <f t="shared" si="3"/>
        <v>225</v>
      </c>
      <c r="H16" s="35">
        <f t="shared" si="5"/>
        <v>459</v>
      </c>
      <c r="I16" s="35">
        <f t="shared" si="0"/>
        <v>8</v>
      </c>
      <c r="J16" s="35"/>
      <c r="K16" s="70">
        <f t="shared" si="4"/>
        <v>237</v>
      </c>
      <c r="L16" s="276">
        <f t="shared" si="1"/>
        <v>1300</v>
      </c>
      <c r="M16" s="277"/>
      <c r="N16" s="277"/>
      <c r="O16" s="35">
        <f t="shared" si="2"/>
        <v>4</v>
      </c>
      <c r="P16" s="32"/>
      <c r="Q16" s="75"/>
    </row>
    <row r="17" spans="1:17" ht="20.100000000000001" customHeight="1">
      <c r="A17" s="59" t="str">
        <f>'1. 소켓인수검사'!A24</f>
        <v>16</v>
      </c>
      <c r="B17" s="40">
        <f>'1. 소켓인수검사'!C24</f>
        <v>1000</v>
      </c>
      <c r="C17" s="40">
        <f>'1. 소켓인수검사'!D24</f>
        <v>1000</v>
      </c>
      <c r="D17" s="35">
        <v>1</v>
      </c>
      <c r="E17" s="74"/>
      <c r="F17" s="243"/>
      <c r="G17" s="70">
        <f t="shared" si="3"/>
        <v>225</v>
      </c>
      <c r="H17" s="35">
        <f t="shared" si="5"/>
        <v>484</v>
      </c>
      <c r="I17" s="35">
        <f t="shared" si="0"/>
        <v>8</v>
      </c>
      <c r="J17" s="35"/>
      <c r="K17" s="70">
        <f t="shared" si="4"/>
        <v>237</v>
      </c>
      <c r="L17" s="276">
        <f t="shared" si="1"/>
        <v>1000</v>
      </c>
      <c r="M17" s="277"/>
      <c r="N17" s="277"/>
      <c r="O17" s="35">
        <f t="shared" si="2"/>
        <v>4</v>
      </c>
      <c r="P17" s="32"/>
      <c r="Q17" s="33"/>
    </row>
    <row r="18" spans="1:17" ht="20.100000000000001" customHeight="1">
      <c r="A18" s="59" t="str">
        <f>'1. 소켓인수검사'!A25</f>
        <v>17</v>
      </c>
      <c r="B18" s="40">
        <f>'1. 소켓인수검사'!C25</f>
        <v>1100</v>
      </c>
      <c r="C18" s="40">
        <f>'1. 소켓인수검사'!D25</f>
        <v>850</v>
      </c>
      <c r="D18" s="35">
        <v>1</v>
      </c>
      <c r="E18" s="74"/>
      <c r="F18" s="243"/>
      <c r="G18" s="70">
        <f t="shared" si="3"/>
        <v>225</v>
      </c>
      <c r="H18" s="35">
        <f t="shared" si="5"/>
        <v>534</v>
      </c>
      <c r="I18" s="35">
        <f t="shared" si="0"/>
        <v>8</v>
      </c>
      <c r="J18" s="35"/>
      <c r="K18" s="70">
        <f t="shared" si="4"/>
        <v>237</v>
      </c>
      <c r="L18" s="276">
        <f t="shared" si="1"/>
        <v>850</v>
      </c>
      <c r="M18" s="277"/>
      <c r="N18" s="277"/>
      <c r="O18" s="35">
        <f t="shared" si="2"/>
        <v>4</v>
      </c>
      <c r="P18" s="32"/>
      <c r="Q18" s="33"/>
    </row>
    <row r="19" spans="1:17" ht="20.100000000000001" customHeight="1">
      <c r="A19" s="59" t="str">
        <f>'1. 소켓인수검사'!A26</f>
        <v>18</v>
      </c>
      <c r="B19" s="40">
        <f>'1. 소켓인수검사'!C26</f>
        <v>1100</v>
      </c>
      <c r="C19" s="40">
        <f>'1. 소켓인수검사'!D26</f>
        <v>900</v>
      </c>
      <c r="D19" s="35">
        <v>1</v>
      </c>
      <c r="E19" s="74"/>
      <c r="F19" s="243"/>
      <c r="G19" s="70">
        <f t="shared" si="3"/>
        <v>225</v>
      </c>
      <c r="H19" s="35">
        <f t="shared" si="5"/>
        <v>534</v>
      </c>
      <c r="I19" s="35">
        <f t="shared" si="0"/>
        <v>8</v>
      </c>
      <c r="J19" s="35"/>
      <c r="K19" s="70">
        <f t="shared" si="4"/>
        <v>237</v>
      </c>
      <c r="L19" s="276">
        <f t="shared" si="1"/>
        <v>900</v>
      </c>
      <c r="M19" s="277"/>
      <c r="N19" s="277"/>
      <c r="O19" s="35">
        <f t="shared" si="2"/>
        <v>4</v>
      </c>
      <c r="P19" s="32"/>
      <c r="Q19" s="33"/>
    </row>
    <row r="20" spans="1:17" ht="20.100000000000001" customHeight="1">
      <c r="A20" s="59" t="str">
        <f>'1. 소켓인수검사'!A27</f>
        <v>19</v>
      </c>
      <c r="B20" s="40">
        <f>'1. 소켓인수검사'!C27</f>
        <v>1100</v>
      </c>
      <c r="C20" s="40">
        <f>'1. 소켓인수검사'!D27</f>
        <v>900</v>
      </c>
      <c r="D20" s="35">
        <v>1</v>
      </c>
      <c r="E20" s="74"/>
      <c r="F20" s="243"/>
      <c r="G20" s="70">
        <f t="shared" si="3"/>
        <v>225</v>
      </c>
      <c r="H20" s="35">
        <f t="shared" si="5"/>
        <v>534</v>
      </c>
      <c r="I20" s="35">
        <f t="shared" si="0"/>
        <v>8</v>
      </c>
      <c r="J20" s="35"/>
      <c r="K20" s="70">
        <f t="shared" si="4"/>
        <v>237</v>
      </c>
      <c r="L20" s="276">
        <f t="shared" si="1"/>
        <v>900</v>
      </c>
      <c r="M20" s="277"/>
      <c r="N20" s="277"/>
      <c r="O20" s="35">
        <f t="shared" si="2"/>
        <v>4</v>
      </c>
      <c r="P20" s="32"/>
      <c r="Q20" s="33"/>
    </row>
    <row r="21" spans="1:17" ht="20.100000000000001" customHeight="1">
      <c r="A21" s="59" t="str">
        <f>'1. 소켓인수검사'!A28</f>
        <v>20</v>
      </c>
      <c r="B21" s="40">
        <f>'1. 소켓인수검사'!C28</f>
        <v>1200</v>
      </c>
      <c r="C21" s="40">
        <f>'1. 소켓인수검사'!D28</f>
        <v>1000</v>
      </c>
      <c r="D21" s="35">
        <v>1</v>
      </c>
      <c r="E21" s="74"/>
      <c r="F21" s="243"/>
      <c r="G21" s="70">
        <f t="shared" si="3"/>
        <v>225</v>
      </c>
      <c r="H21" s="35">
        <f t="shared" si="5"/>
        <v>584</v>
      </c>
      <c r="I21" s="35">
        <f t="shared" si="0"/>
        <v>8</v>
      </c>
      <c r="J21" s="35"/>
      <c r="K21" s="70">
        <f t="shared" si="4"/>
        <v>237</v>
      </c>
      <c r="L21" s="276">
        <f t="shared" si="1"/>
        <v>1000</v>
      </c>
      <c r="M21" s="277"/>
      <c r="N21" s="277"/>
      <c r="O21" s="35">
        <f t="shared" si="2"/>
        <v>4</v>
      </c>
      <c r="P21" s="32"/>
      <c r="Q21" s="33"/>
    </row>
    <row r="22" spans="1:17" ht="8.1" customHeight="1">
      <c r="A22" s="274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275"/>
    </row>
    <row r="23" spans="1:17">
      <c r="A23" s="247" t="s">
        <v>47</v>
      </c>
      <c r="B23" s="247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</row>
    <row r="24" spans="1:17">
      <c r="A24" s="247"/>
      <c r="B24" s="247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</row>
    <row r="25" spans="1:17">
      <c r="A25" s="247"/>
      <c r="B25" s="247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7">
      <c r="A26" s="247"/>
      <c r="B26" s="247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</row>
    <row r="27" spans="1:17">
      <c r="A27" s="247"/>
      <c r="B27" s="247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</row>
    <row r="28" spans="1:17">
      <c r="A28" s="247"/>
      <c r="B28" s="247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</row>
  </sheetData>
  <mergeCells count="44">
    <mergeCell ref="A22:Q22"/>
    <mergeCell ref="A23:B28"/>
    <mergeCell ref="C23:Q28"/>
    <mergeCell ref="F11:F21"/>
    <mergeCell ref="L11:N11"/>
    <mergeCell ref="L12:N12"/>
    <mergeCell ref="L13:N13"/>
    <mergeCell ref="L14:N14"/>
    <mergeCell ref="L15:N15"/>
    <mergeCell ref="L16:N16"/>
    <mergeCell ref="L17:N17"/>
    <mergeCell ref="L18:N18"/>
    <mergeCell ref="P9:P10"/>
    <mergeCell ref="L10:N10"/>
    <mergeCell ref="L20:N20"/>
    <mergeCell ref="L21:N21"/>
    <mergeCell ref="L19:N19"/>
    <mergeCell ref="E1:Q4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F5:G5"/>
    <mergeCell ref="H5:H6"/>
    <mergeCell ref="I5:J6"/>
    <mergeCell ref="K5:N6"/>
    <mergeCell ref="O5:Q6"/>
    <mergeCell ref="F6:G6"/>
    <mergeCell ref="A1:D3"/>
    <mergeCell ref="A4:B4"/>
    <mergeCell ref="C4:D4"/>
    <mergeCell ref="A5:B6"/>
    <mergeCell ref="C5:D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39"/>
  <sheetViews>
    <sheetView zoomScaleNormal="100" zoomScaleSheetLayoutView="100" workbookViewId="0">
      <pane ySplit="9" topLeftCell="A10" activePane="bottomLeft" state="frozen"/>
      <selection pane="bottomLeft" activeCell="J41" sqref="J41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40"/>
      <c r="B1" s="140"/>
      <c r="C1" s="140"/>
      <c r="D1" s="280" t="s">
        <v>45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1"/>
      <c r="R1" s="282"/>
      <c r="S1" s="14"/>
    </row>
    <row r="2" spans="1:19">
      <c r="A2" s="140"/>
      <c r="B2" s="140"/>
      <c r="C2" s="14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1"/>
      <c r="R2" s="283"/>
      <c r="S2" s="284"/>
    </row>
    <row r="3" spans="1:19" ht="24" customHeight="1">
      <c r="A3" s="140"/>
      <c r="B3" s="140"/>
      <c r="C3" s="14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1"/>
      <c r="R3" s="283"/>
      <c r="S3" s="284"/>
    </row>
    <row r="4" spans="1:19">
      <c r="A4" s="140" t="s">
        <v>17</v>
      </c>
      <c r="B4" s="140"/>
      <c r="C4" s="1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1"/>
      <c r="R4" s="283"/>
      <c r="S4" s="284"/>
    </row>
    <row r="5" spans="1:19">
      <c r="A5" s="140" t="s">
        <v>27</v>
      </c>
      <c r="B5" s="140"/>
      <c r="C5" s="140"/>
      <c r="D5" s="2" t="s">
        <v>33</v>
      </c>
      <c r="E5" s="285"/>
      <c r="F5" s="286"/>
      <c r="G5" s="287" t="s">
        <v>62</v>
      </c>
      <c r="H5" s="131"/>
      <c r="I5" s="132"/>
      <c r="J5" s="132"/>
      <c r="K5" s="133"/>
      <c r="L5" s="287" t="s">
        <v>22</v>
      </c>
      <c r="M5" s="77"/>
      <c r="N5" s="77"/>
      <c r="O5" s="287" t="s">
        <v>22</v>
      </c>
      <c r="P5" s="289" t="str">
        <f>'1. 소켓인수검사'!R2</f>
        <v>26.07.07 이신이엔지_한신공영_동위_평택브레인시티 한신더휴</v>
      </c>
      <c r="Q5" s="290"/>
      <c r="R5" s="290"/>
      <c r="S5" s="291"/>
    </row>
    <row r="6" spans="1:19">
      <c r="A6" s="140"/>
      <c r="B6" s="140"/>
      <c r="C6" s="140"/>
      <c r="D6" s="2" t="s">
        <v>30</v>
      </c>
      <c r="E6" s="285"/>
      <c r="F6" s="286"/>
      <c r="G6" s="288"/>
      <c r="H6" s="137"/>
      <c r="I6" s="138"/>
      <c r="J6" s="138"/>
      <c r="K6" s="139"/>
      <c r="L6" s="288"/>
      <c r="M6" s="78"/>
      <c r="N6" s="78"/>
      <c r="O6" s="288"/>
      <c r="P6" s="292"/>
      <c r="Q6" s="293"/>
      <c r="R6" s="293"/>
      <c r="S6" s="294"/>
    </row>
    <row r="7" spans="1:19" ht="8.1" customHeight="1">
      <c r="A7" s="137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9"/>
    </row>
    <row r="8" spans="1:19" ht="16.5" customHeight="1">
      <c r="A8" s="141" t="s">
        <v>59</v>
      </c>
      <c r="B8" s="145" t="s">
        <v>66</v>
      </c>
      <c r="C8" s="145" t="s">
        <v>64</v>
      </c>
      <c r="D8" s="145" t="s">
        <v>69</v>
      </c>
      <c r="E8" s="145" t="s">
        <v>54</v>
      </c>
      <c r="F8" s="145" t="s">
        <v>61</v>
      </c>
      <c r="G8" s="145" t="s">
        <v>24</v>
      </c>
      <c r="H8" s="145"/>
      <c r="I8" s="145"/>
      <c r="J8" s="145" t="s">
        <v>0</v>
      </c>
      <c r="K8" s="145"/>
      <c r="L8" s="145"/>
      <c r="M8" s="145" t="s">
        <v>0</v>
      </c>
      <c r="N8" s="145"/>
      <c r="O8" s="145"/>
      <c r="P8" s="145" t="s">
        <v>0</v>
      </c>
      <c r="Q8" s="145"/>
      <c r="R8" s="145"/>
      <c r="S8" s="295"/>
    </row>
    <row r="9" spans="1:19" ht="33" customHeight="1">
      <c r="A9" s="142"/>
      <c r="B9" s="146"/>
      <c r="C9" s="146"/>
      <c r="D9" s="146"/>
      <c r="E9" s="146"/>
      <c r="F9" s="146"/>
      <c r="G9" s="80" t="s">
        <v>34</v>
      </c>
      <c r="H9" s="80" t="s">
        <v>57</v>
      </c>
      <c r="I9" s="80" t="s">
        <v>56</v>
      </c>
      <c r="J9" s="80" t="s">
        <v>20</v>
      </c>
      <c r="K9" s="80" t="s">
        <v>57</v>
      </c>
      <c r="L9" s="80" t="s">
        <v>56</v>
      </c>
      <c r="M9" s="80" t="s">
        <v>26</v>
      </c>
      <c r="N9" s="80" t="s">
        <v>57</v>
      </c>
      <c r="O9" s="80" t="s">
        <v>56</v>
      </c>
      <c r="P9" s="80" t="s">
        <v>23</v>
      </c>
      <c r="Q9" s="80" t="s">
        <v>57</v>
      </c>
      <c r="R9" s="146" t="s">
        <v>56</v>
      </c>
      <c r="S9" s="296"/>
    </row>
    <row r="10" spans="1:19">
      <c r="A10" s="59" t="str">
        <f>'1. 소켓인수검사'!A9</f>
        <v>01</v>
      </c>
      <c r="B10" s="40">
        <f>'1. 소켓인수검사'!C9</f>
        <v>600</v>
      </c>
      <c r="C10" s="40">
        <f>'1. 소켓인수검사'!D9</f>
        <v>900</v>
      </c>
      <c r="D10" s="62" t="s">
        <v>49</v>
      </c>
      <c r="E10" s="76">
        <f>B10*C10/1000000</f>
        <v>0.54</v>
      </c>
      <c r="F10" s="76">
        <f>(B10+C10)*2/1000</f>
        <v>3</v>
      </c>
      <c r="G10" s="34"/>
      <c r="H10" s="40"/>
      <c r="I10" s="34"/>
      <c r="J10" s="34"/>
      <c r="K10" s="40"/>
      <c r="L10" s="34"/>
      <c r="M10" s="34">
        <f>F10+0.5</f>
        <v>3.5</v>
      </c>
      <c r="N10" s="40">
        <v>4</v>
      </c>
      <c r="O10" s="34">
        <f>+N10*M10</f>
        <v>14</v>
      </c>
      <c r="P10" s="34"/>
      <c r="Q10" s="40"/>
      <c r="R10" s="297"/>
      <c r="S10" s="298"/>
    </row>
    <row r="11" spans="1:19">
      <c r="A11" s="59" t="str">
        <f>'1. 소켓인수검사'!A10</f>
        <v>02</v>
      </c>
      <c r="B11" s="40">
        <f>'1. 소켓인수검사'!C10</f>
        <v>700</v>
      </c>
      <c r="C11" s="40">
        <f>'1. 소켓인수검사'!D10</f>
        <v>550</v>
      </c>
      <c r="D11" s="62" t="s">
        <v>49</v>
      </c>
      <c r="E11" s="76">
        <f>B11*C11/1000000</f>
        <v>0.38500000000000001</v>
      </c>
      <c r="F11" s="76">
        <f>(B11+C11)*2/1000</f>
        <v>2.5</v>
      </c>
      <c r="G11" s="34"/>
      <c r="H11" s="40"/>
      <c r="I11" s="34"/>
      <c r="J11" s="34"/>
      <c r="K11" s="40"/>
      <c r="L11" s="34"/>
      <c r="M11" s="34">
        <f t="shared" ref="M11:M18" si="0">F11+0.5</f>
        <v>3</v>
      </c>
      <c r="N11" s="40">
        <v>4</v>
      </c>
      <c r="O11" s="34">
        <f t="shared" ref="O11:O18" si="1">+N11*M11</f>
        <v>12</v>
      </c>
      <c r="P11" s="34"/>
      <c r="Q11" s="40"/>
      <c r="R11" s="297"/>
      <c r="S11" s="298"/>
    </row>
    <row r="12" spans="1:19">
      <c r="A12" s="59" t="str">
        <f>'1. 소켓인수검사'!A11</f>
        <v>03</v>
      </c>
      <c r="B12" s="40">
        <f>'1. 소켓인수검사'!C11</f>
        <v>750</v>
      </c>
      <c r="C12" s="40">
        <f>'1. 소켓인수검사'!D11</f>
        <v>700</v>
      </c>
      <c r="D12" s="62" t="s">
        <v>49</v>
      </c>
      <c r="E12" s="76">
        <f t="shared" ref="E12:E18" si="2">B12*C12/1000000</f>
        <v>0.52500000000000002</v>
      </c>
      <c r="F12" s="76">
        <f t="shared" ref="F12:F18" si="3">(B12+C12)*2/1000</f>
        <v>2.9</v>
      </c>
      <c r="G12" s="34"/>
      <c r="H12" s="40"/>
      <c r="I12" s="34"/>
      <c r="J12" s="34"/>
      <c r="K12" s="40"/>
      <c r="L12" s="34"/>
      <c r="M12" s="34">
        <f t="shared" si="0"/>
        <v>3.4</v>
      </c>
      <c r="N12" s="40">
        <v>4</v>
      </c>
      <c r="O12" s="34">
        <f t="shared" si="1"/>
        <v>13.6</v>
      </c>
      <c r="P12" s="34"/>
      <c r="Q12" s="40"/>
      <c r="R12" s="297"/>
      <c r="S12" s="298"/>
    </row>
    <row r="13" spans="1:19">
      <c r="A13" s="59" t="str">
        <f>'1. 소켓인수검사'!A12</f>
        <v>04</v>
      </c>
      <c r="B13" s="40">
        <f>'1. 소켓인수검사'!C12</f>
        <v>800</v>
      </c>
      <c r="C13" s="40">
        <f>'1. 소켓인수검사'!D12</f>
        <v>650</v>
      </c>
      <c r="D13" s="62" t="s">
        <v>49</v>
      </c>
      <c r="E13" s="76">
        <f t="shared" si="2"/>
        <v>0.52</v>
      </c>
      <c r="F13" s="76">
        <f t="shared" si="3"/>
        <v>2.9</v>
      </c>
      <c r="G13" s="34"/>
      <c r="H13" s="40"/>
      <c r="I13" s="34"/>
      <c r="J13" s="34"/>
      <c r="K13" s="40"/>
      <c r="L13" s="34"/>
      <c r="M13" s="34">
        <f t="shared" si="0"/>
        <v>3.4</v>
      </c>
      <c r="N13" s="40">
        <v>4</v>
      </c>
      <c r="O13" s="34">
        <f t="shared" si="1"/>
        <v>13.6</v>
      </c>
      <c r="P13" s="34"/>
      <c r="Q13" s="40"/>
      <c r="R13" s="297"/>
      <c r="S13" s="298"/>
    </row>
    <row r="14" spans="1:19">
      <c r="A14" s="59" t="str">
        <f>'1. 소켓인수검사'!A13</f>
        <v>05</v>
      </c>
      <c r="B14" s="40">
        <f>'1. 소켓인수검사'!C13</f>
        <v>800</v>
      </c>
      <c r="C14" s="40">
        <f>'1. 소켓인수검사'!D13</f>
        <v>650</v>
      </c>
      <c r="D14" s="62" t="s">
        <v>49</v>
      </c>
      <c r="E14" s="76">
        <f t="shared" si="2"/>
        <v>0.52</v>
      </c>
      <c r="F14" s="76">
        <f t="shared" si="3"/>
        <v>2.9</v>
      </c>
      <c r="G14" s="34"/>
      <c r="H14" s="40"/>
      <c r="I14" s="34"/>
      <c r="J14" s="34"/>
      <c r="K14" s="40"/>
      <c r="L14" s="34"/>
      <c r="M14" s="34">
        <f t="shared" si="0"/>
        <v>3.4</v>
      </c>
      <c r="N14" s="40">
        <v>4</v>
      </c>
      <c r="O14" s="34">
        <f t="shared" si="1"/>
        <v>13.6</v>
      </c>
      <c r="P14" s="34"/>
      <c r="Q14" s="40"/>
      <c r="R14" s="297"/>
      <c r="S14" s="298"/>
    </row>
    <row r="15" spans="1:19">
      <c r="A15" s="59" t="str">
        <f>'1. 소켓인수검사'!A14</f>
        <v>06</v>
      </c>
      <c r="B15" s="40">
        <f>'1. 소켓인수검사'!C14</f>
        <v>900</v>
      </c>
      <c r="C15" s="40">
        <f>'1. 소켓인수검사'!D14</f>
        <v>600</v>
      </c>
      <c r="D15" s="62" t="s">
        <v>49</v>
      </c>
      <c r="E15" s="76">
        <f t="shared" si="2"/>
        <v>0.54</v>
      </c>
      <c r="F15" s="76">
        <f t="shared" si="3"/>
        <v>3</v>
      </c>
      <c r="G15" s="34"/>
      <c r="H15" s="40"/>
      <c r="I15" s="34"/>
      <c r="J15" s="34"/>
      <c r="K15" s="40"/>
      <c r="L15" s="34"/>
      <c r="M15" s="34">
        <f t="shared" si="0"/>
        <v>3.5</v>
      </c>
      <c r="N15" s="40">
        <v>4</v>
      </c>
      <c r="O15" s="34">
        <f t="shared" si="1"/>
        <v>14</v>
      </c>
      <c r="P15" s="34"/>
      <c r="Q15" s="34"/>
      <c r="R15" s="297"/>
      <c r="S15" s="298"/>
    </row>
    <row r="16" spans="1:19">
      <c r="A16" s="59" t="str">
        <f>'1. 소켓인수검사'!A15</f>
        <v>07</v>
      </c>
      <c r="B16" s="40">
        <f>'1. 소켓인수검사'!C15</f>
        <v>900</v>
      </c>
      <c r="C16" s="40">
        <f>'1. 소켓인수검사'!D15</f>
        <v>600</v>
      </c>
      <c r="D16" s="62" t="s">
        <v>49</v>
      </c>
      <c r="E16" s="76">
        <f t="shared" si="2"/>
        <v>0.54</v>
      </c>
      <c r="F16" s="76">
        <f t="shared" si="3"/>
        <v>3</v>
      </c>
      <c r="G16" s="34"/>
      <c r="H16" s="40"/>
      <c r="I16" s="34"/>
      <c r="J16" s="34"/>
      <c r="K16" s="40"/>
      <c r="L16" s="34"/>
      <c r="M16" s="34">
        <f t="shared" si="0"/>
        <v>3.5</v>
      </c>
      <c r="N16" s="40">
        <v>4</v>
      </c>
      <c r="O16" s="34">
        <f t="shared" si="1"/>
        <v>14</v>
      </c>
      <c r="P16" s="34"/>
      <c r="Q16" s="34"/>
      <c r="R16" s="297"/>
      <c r="S16" s="298"/>
    </row>
    <row r="17" spans="1:19">
      <c r="A17" s="59" t="str">
        <f>'1. 소켓인수검사'!A16</f>
        <v>08</v>
      </c>
      <c r="B17" s="40">
        <f>'1. 소켓인수검사'!C16</f>
        <v>900</v>
      </c>
      <c r="C17" s="40">
        <f>'1. 소켓인수검사'!D16</f>
        <v>600</v>
      </c>
      <c r="D17" s="62" t="s">
        <v>49</v>
      </c>
      <c r="E17" s="76">
        <f t="shared" si="2"/>
        <v>0.54</v>
      </c>
      <c r="F17" s="76">
        <f t="shared" si="3"/>
        <v>3</v>
      </c>
      <c r="G17" s="34"/>
      <c r="H17" s="40"/>
      <c r="I17" s="34"/>
      <c r="J17" s="34"/>
      <c r="K17" s="40"/>
      <c r="L17" s="34"/>
      <c r="M17" s="34">
        <f t="shared" si="0"/>
        <v>3.5</v>
      </c>
      <c r="N17" s="40">
        <v>4</v>
      </c>
      <c r="O17" s="34">
        <f t="shared" si="1"/>
        <v>14</v>
      </c>
      <c r="P17" s="34"/>
      <c r="Q17" s="34"/>
      <c r="R17" s="297"/>
      <c r="S17" s="298"/>
    </row>
    <row r="18" spans="1:19" ht="16.5" customHeight="1">
      <c r="A18" s="59" t="str">
        <f>'1. 소켓인수검사'!A17</f>
        <v>09</v>
      </c>
      <c r="B18" s="40">
        <f>'1. 소켓인수검사'!C17</f>
        <v>900</v>
      </c>
      <c r="C18" s="40">
        <f>'1. 소켓인수검사'!D17</f>
        <v>600</v>
      </c>
      <c r="D18" s="62" t="s">
        <v>49</v>
      </c>
      <c r="E18" s="76">
        <f t="shared" si="2"/>
        <v>0.54</v>
      </c>
      <c r="F18" s="76">
        <f t="shared" si="3"/>
        <v>3</v>
      </c>
      <c r="G18" s="34"/>
      <c r="H18" s="40"/>
      <c r="I18" s="34"/>
      <c r="J18" s="34"/>
      <c r="K18" s="40"/>
      <c r="L18" s="34"/>
      <c r="M18" s="34">
        <f t="shared" si="0"/>
        <v>3.5</v>
      </c>
      <c r="N18" s="40">
        <v>4</v>
      </c>
      <c r="O18" s="34">
        <f t="shared" si="1"/>
        <v>14</v>
      </c>
      <c r="P18" s="34"/>
      <c r="Q18" s="34"/>
      <c r="R18" s="297"/>
      <c r="S18" s="298"/>
    </row>
    <row r="19" spans="1:19">
      <c r="A19" s="59" t="str">
        <f>'1. 소켓인수검사'!A18</f>
        <v>10</v>
      </c>
      <c r="B19" s="40">
        <f>'1. 소켓인수검사'!C18</f>
        <v>750</v>
      </c>
      <c r="C19" s="40">
        <f>'1. 소켓인수검사'!D18</f>
        <v>1550</v>
      </c>
      <c r="D19" s="63" t="s">
        <v>48</v>
      </c>
      <c r="E19" s="76">
        <f t="shared" ref="E19:E25" si="4">B19*C19/1000000</f>
        <v>1.1625000000000001</v>
      </c>
      <c r="F19" s="76">
        <f t="shared" ref="F19:F25" si="5">(B19+C19)*2/1000</f>
        <v>4.5999999999999996</v>
      </c>
      <c r="G19" s="34">
        <f t="shared" ref="G19:G29" si="6">(F19+0.4)</f>
        <v>5</v>
      </c>
      <c r="H19" s="40">
        <v>2</v>
      </c>
      <c r="I19" s="34">
        <f>G19*H19</f>
        <v>10</v>
      </c>
      <c r="J19" s="34"/>
      <c r="K19" s="34"/>
      <c r="L19" s="34"/>
      <c r="M19" s="34"/>
      <c r="N19" s="34"/>
      <c r="O19" s="34"/>
      <c r="P19" s="34">
        <f t="shared" ref="P19:P29" si="7">F19+0.5</f>
        <v>5.0999999999999996</v>
      </c>
      <c r="Q19" s="34">
        <v>2</v>
      </c>
      <c r="R19" s="297">
        <f>P19*Q19</f>
        <v>10.199999999999999</v>
      </c>
      <c r="S19" s="298"/>
    </row>
    <row r="20" spans="1:19">
      <c r="A20" s="59" t="str">
        <f>'1. 소켓인수검사'!A19</f>
        <v>11</v>
      </c>
      <c r="B20" s="40">
        <f>'1. 소켓인수검사'!C19</f>
        <v>900</v>
      </c>
      <c r="C20" s="40">
        <f>'1. 소켓인수검사'!D19</f>
        <v>1100</v>
      </c>
      <c r="D20" s="63" t="s">
        <v>48</v>
      </c>
      <c r="E20" s="76">
        <f t="shared" si="4"/>
        <v>0.99</v>
      </c>
      <c r="F20" s="76">
        <f t="shared" si="5"/>
        <v>4</v>
      </c>
      <c r="G20" s="34">
        <f t="shared" si="6"/>
        <v>4.4000000000000004</v>
      </c>
      <c r="H20" s="40">
        <v>2</v>
      </c>
      <c r="I20" s="34">
        <f>G20*H20</f>
        <v>8.8000000000000007</v>
      </c>
      <c r="J20" s="34"/>
      <c r="K20" s="34"/>
      <c r="L20" s="34"/>
      <c r="M20" s="34"/>
      <c r="N20" s="34"/>
      <c r="O20" s="34"/>
      <c r="P20" s="34">
        <f t="shared" si="7"/>
        <v>4.5</v>
      </c>
      <c r="Q20" s="34">
        <v>2</v>
      </c>
      <c r="R20" s="297">
        <f t="shared" ref="R20:R29" si="8">P20*Q20</f>
        <v>9</v>
      </c>
      <c r="S20" s="298"/>
    </row>
    <row r="21" spans="1:19">
      <c r="A21" s="59" t="str">
        <f>'1. 소켓인수검사'!A20</f>
        <v>12</v>
      </c>
      <c r="B21" s="40">
        <f>'1. 소켓인수검사'!C20</f>
        <v>900</v>
      </c>
      <c r="C21" s="40">
        <f>'1. 소켓인수검사'!D20</f>
        <v>1100</v>
      </c>
      <c r="D21" s="63" t="s">
        <v>48</v>
      </c>
      <c r="E21" s="76">
        <f t="shared" si="4"/>
        <v>0.99</v>
      </c>
      <c r="F21" s="76">
        <f t="shared" si="5"/>
        <v>4</v>
      </c>
      <c r="G21" s="34">
        <f t="shared" si="6"/>
        <v>4.4000000000000004</v>
      </c>
      <c r="H21" s="40">
        <v>2</v>
      </c>
      <c r="I21" s="34">
        <f t="shared" ref="I21:I29" si="9">G21*H21</f>
        <v>8.8000000000000007</v>
      </c>
      <c r="J21" s="34"/>
      <c r="K21" s="34"/>
      <c r="L21" s="34"/>
      <c r="M21" s="34"/>
      <c r="N21" s="34"/>
      <c r="O21" s="34"/>
      <c r="P21" s="34">
        <f t="shared" si="7"/>
        <v>4.5</v>
      </c>
      <c r="Q21" s="34">
        <v>2</v>
      </c>
      <c r="R21" s="297">
        <f t="shared" si="8"/>
        <v>9</v>
      </c>
      <c r="S21" s="298"/>
    </row>
    <row r="22" spans="1:19">
      <c r="A22" s="59" t="str">
        <f>'1. 소켓인수검사'!A21</f>
        <v>13</v>
      </c>
      <c r="B22" s="40">
        <f>'1. 소켓인수검사'!C21</f>
        <v>900</v>
      </c>
      <c r="C22" s="40">
        <f>'1. 소켓인수검사'!D21</f>
        <v>1100</v>
      </c>
      <c r="D22" s="63" t="s">
        <v>48</v>
      </c>
      <c r="E22" s="76">
        <f t="shared" si="4"/>
        <v>0.99</v>
      </c>
      <c r="F22" s="76">
        <f t="shared" si="5"/>
        <v>4</v>
      </c>
      <c r="G22" s="34">
        <f t="shared" si="6"/>
        <v>4.4000000000000004</v>
      </c>
      <c r="H22" s="40">
        <v>2</v>
      </c>
      <c r="I22" s="34">
        <f t="shared" si="9"/>
        <v>8.8000000000000007</v>
      </c>
      <c r="J22" s="34"/>
      <c r="K22" s="34"/>
      <c r="L22" s="34"/>
      <c r="M22" s="34"/>
      <c r="N22" s="34"/>
      <c r="O22" s="34"/>
      <c r="P22" s="34">
        <f t="shared" si="7"/>
        <v>4.5</v>
      </c>
      <c r="Q22" s="34">
        <v>2</v>
      </c>
      <c r="R22" s="297">
        <f t="shared" si="8"/>
        <v>9</v>
      </c>
      <c r="S22" s="298"/>
    </row>
    <row r="23" spans="1:19">
      <c r="A23" s="59" t="str">
        <f>'1. 소켓인수검사'!A22</f>
        <v>14</v>
      </c>
      <c r="B23" s="40">
        <f>'1. 소켓인수검사'!C22</f>
        <v>900</v>
      </c>
      <c r="C23" s="40">
        <f>'1. 소켓인수검사'!D22</f>
        <v>1350</v>
      </c>
      <c r="D23" s="63" t="s">
        <v>48</v>
      </c>
      <c r="E23" s="76">
        <f t="shared" si="4"/>
        <v>1.2150000000000001</v>
      </c>
      <c r="F23" s="76">
        <f t="shared" si="5"/>
        <v>4.5</v>
      </c>
      <c r="G23" s="34">
        <f t="shared" si="6"/>
        <v>4.9000000000000004</v>
      </c>
      <c r="H23" s="40">
        <v>2</v>
      </c>
      <c r="I23" s="34">
        <f t="shared" si="9"/>
        <v>9.8000000000000007</v>
      </c>
      <c r="J23" s="34"/>
      <c r="K23" s="34"/>
      <c r="L23" s="34"/>
      <c r="M23" s="34"/>
      <c r="N23" s="34"/>
      <c r="O23" s="34"/>
      <c r="P23" s="34">
        <f t="shared" si="7"/>
        <v>5</v>
      </c>
      <c r="Q23" s="34">
        <v>2</v>
      </c>
      <c r="R23" s="297">
        <f t="shared" si="8"/>
        <v>10</v>
      </c>
      <c r="S23" s="298"/>
    </row>
    <row r="24" spans="1:19">
      <c r="A24" s="59" t="str">
        <f>'1. 소켓인수검사'!A23</f>
        <v>15</v>
      </c>
      <c r="B24" s="40">
        <f>'1. 소켓인수검사'!C23</f>
        <v>950</v>
      </c>
      <c r="C24" s="40">
        <f>'1. 소켓인수검사'!D23</f>
        <v>1300</v>
      </c>
      <c r="D24" s="63" t="s">
        <v>48</v>
      </c>
      <c r="E24" s="76">
        <f t="shared" si="4"/>
        <v>1.2350000000000001</v>
      </c>
      <c r="F24" s="76">
        <f t="shared" si="5"/>
        <v>4.5</v>
      </c>
      <c r="G24" s="34">
        <f t="shared" si="6"/>
        <v>4.9000000000000004</v>
      </c>
      <c r="H24" s="40">
        <v>2</v>
      </c>
      <c r="I24" s="34">
        <f t="shared" si="9"/>
        <v>9.8000000000000007</v>
      </c>
      <c r="J24" s="34"/>
      <c r="K24" s="34"/>
      <c r="L24" s="34"/>
      <c r="M24" s="34"/>
      <c r="N24" s="34"/>
      <c r="O24" s="34"/>
      <c r="P24" s="34">
        <f t="shared" si="7"/>
        <v>5</v>
      </c>
      <c r="Q24" s="34">
        <v>2</v>
      </c>
      <c r="R24" s="297">
        <f t="shared" si="8"/>
        <v>10</v>
      </c>
      <c r="S24" s="298"/>
    </row>
    <row r="25" spans="1:19">
      <c r="A25" s="59" t="str">
        <f>'1. 소켓인수검사'!A24</f>
        <v>16</v>
      </c>
      <c r="B25" s="40">
        <f>'1. 소켓인수검사'!C24</f>
        <v>1000</v>
      </c>
      <c r="C25" s="40">
        <f>'1. 소켓인수검사'!D24</f>
        <v>1000</v>
      </c>
      <c r="D25" s="63" t="s">
        <v>48</v>
      </c>
      <c r="E25" s="76">
        <f t="shared" si="4"/>
        <v>1</v>
      </c>
      <c r="F25" s="76">
        <f t="shared" si="5"/>
        <v>4</v>
      </c>
      <c r="G25" s="34">
        <f t="shared" si="6"/>
        <v>4.4000000000000004</v>
      </c>
      <c r="H25" s="40">
        <v>2</v>
      </c>
      <c r="I25" s="34">
        <f t="shared" si="9"/>
        <v>8.8000000000000007</v>
      </c>
      <c r="J25" s="34"/>
      <c r="K25" s="34"/>
      <c r="L25" s="34"/>
      <c r="M25" s="34"/>
      <c r="N25" s="34"/>
      <c r="O25" s="34"/>
      <c r="P25" s="34">
        <f t="shared" si="7"/>
        <v>4.5</v>
      </c>
      <c r="Q25" s="34">
        <v>2</v>
      </c>
      <c r="R25" s="297">
        <f t="shared" si="8"/>
        <v>9</v>
      </c>
      <c r="S25" s="298"/>
    </row>
    <row r="26" spans="1:19">
      <c r="A26" s="59" t="str">
        <f>'1. 소켓인수검사'!A25</f>
        <v>17</v>
      </c>
      <c r="B26" s="40">
        <f>'1. 소켓인수검사'!C25</f>
        <v>1100</v>
      </c>
      <c r="C26" s="40">
        <f>'1. 소켓인수검사'!D25</f>
        <v>850</v>
      </c>
      <c r="D26" s="63" t="s">
        <v>48</v>
      </c>
      <c r="E26" s="76">
        <f t="shared" ref="E26" si="10">B26*C26/1000000</f>
        <v>0.93500000000000005</v>
      </c>
      <c r="F26" s="76">
        <f t="shared" ref="F26" si="11">(B26+C26)*2/1000</f>
        <v>3.9</v>
      </c>
      <c r="G26" s="34">
        <f t="shared" si="6"/>
        <v>4.3</v>
      </c>
      <c r="H26" s="40">
        <v>2</v>
      </c>
      <c r="I26" s="34">
        <f t="shared" si="9"/>
        <v>8.6</v>
      </c>
      <c r="J26" s="34"/>
      <c r="K26" s="34"/>
      <c r="L26" s="34"/>
      <c r="M26" s="34"/>
      <c r="N26" s="34"/>
      <c r="O26" s="34"/>
      <c r="P26" s="34">
        <f t="shared" si="7"/>
        <v>4.4000000000000004</v>
      </c>
      <c r="Q26" s="34">
        <v>2</v>
      </c>
      <c r="R26" s="297">
        <f t="shared" si="8"/>
        <v>8.8000000000000007</v>
      </c>
      <c r="S26" s="298"/>
    </row>
    <row r="27" spans="1:19">
      <c r="A27" s="59" t="str">
        <f>'1. 소켓인수검사'!A26</f>
        <v>18</v>
      </c>
      <c r="B27" s="40">
        <f>'1. 소켓인수검사'!C26</f>
        <v>1100</v>
      </c>
      <c r="C27" s="40">
        <f>'1. 소켓인수검사'!D26</f>
        <v>900</v>
      </c>
      <c r="D27" s="63" t="s">
        <v>48</v>
      </c>
      <c r="E27" s="76">
        <f t="shared" ref="E27:E29" si="12">B27*C27/1000000</f>
        <v>0.99</v>
      </c>
      <c r="F27" s="76">
        <f t="shared" ref="F27:F29" si="13">(B27+C27)*2/1000</f>
        <v>4</v>
      </c>
      <c r="G27" s="34">
        <f t="shared" si="6"/>
        <v>4.4000000000000004</v>
      </c>
      <c r="H27" s="40">
        <v>2</v>
      </c>
      <c r="I27" s="34">
        <f t="shared" si="9"/>
        <v>8.8000000000000007</v>
      </c>
      <c r="J27" s="34"/>
      <c r="K27" s="34"/>
      <c r="L27" s="34"/>
      <c r="M27" s="34"/>
      <c r="N27" s="34"/>
      <c r="O27" s="34"/>
      <c r="P27" s="34">
        <f t="shared" si="7"/>
        <v>4.5</v>
      </c>
      <c r="Q27" s="34">
        <v>2</v>
      </c>
      <c r="R27" s="297">
        <f t="shared" si="8"/>
        <v>9</v>
      </c>
      <c r="S27" s="298"/>
    </row>
    <row r="28" spans="1:19">
      <c r="A28" s="59" t="str">
        <f>'1. 소켓인수검사'!A27</f>
        <v>19</v>
      </c>
      <c r="B28" s="40">
        <f>'1. 소켓인수검사'!C27</f>
        <v>1100</v>
      </c>
      <c r="C28" s="40">
        <f>'1. 소켓인수검사'!D27</f>
        <v>900</v>
      </c>
      <c r="D28" s="63" t="s">
        <v>48</v>
      </c>
      <c r="E28" s="76">
        <f t="shared" si="12"/>
        <v>0.99</v>
      </c>
      <c r="F28" s="76">
        <f t="shared" si="13"/>
        <v>4</v>
      </c>
      <c r="G28" s="34">
        <f t="shared" si="6"/>
        <v>4.4000000000000004</v>
      </c>
      <c r="H28" s="40">
        <v>2</v>
      </c>
      <c r="I28" s="34">
        <f t="shared" si="9"/>
        <v>8.8000000000000007</v>
      </c>
      <c r="J28" s="34"/>
      <c r="K28" s="34"/>
      <c r="L28" s="34"/>
      <c r="M28" s="34"/>
      <c r="N28" s="34"/>
      <c r="O28" s="34"/>
      <c r="P28" s="34">
        <f t="shared" si="7"/>
        <v>4.5</v>
      </c>
      <c r="Q28" s="34">
        <v>2</v>
      </c>
      <c r="R28" s="297">
        <f t="shared" si="8"/>
        <v>9</v>
      </c>
      <c r="S28" s="298"/>
    </row>
    <row r="29" spans="1:19">
      <c r="A29" s="59" t="str">
        <f>'1. 소켓인수검사'!A28</f>
        <v>20</v>
      </c>
      <c r="B29" s="40">
        <f>'1. 소켓인수검사'!C28</f>
        <v>1200</v>
      </c>
      <c r="C29" s="40">
        <f>'1. 소켓인수검사'!D28</f>
        <v>1000</v>
      </c>
      <c r="D29" s="63" t="s">
        <v>48</v>
      </c>
      <c r="E29" s="76">
        <f t="shared" si="12"/>
        <v>1.2</v>
      </c>
      <c r="F29" s="76">
        <f t="shared" si="13"/>
        <v>4.4000000000000004</v>
      </c>
      <c r="G29" s="34">
        <f t="shared" si="6"/>
        <v>4.8000000000000007</v>
      </c>
      <c r="H29" s="40">
        <v>2</v>
      </c>
      <c r="I29" s="34">
        <f t="shared" si="9"/>
        <v>9.6000000000000014</v>
      </c>
      <c r="J29" s="34"/>
      <c r="K29" s="34"/>
      <c r="L29" s="34"/>
      <c r="M29" s="34"/>
      <c r="N29" s="34"/>
      <c r="O29" s="34"/>
      <c r="P29" s="34">
        <f t="shared" si="7"/>
        <v>4.9000000000000004</v>
      </c>
      <c r="Q29" s="34">
        <v>2</v>
      </c>
      <c r="R29" s="297">
        <f t="shared" si="8"/>
        <v>9.8000000000000007</v>
      </c>
      <c r="S29" s="298"/>
    </row>
    <row r="30" spans="1:19">
      <c r="A30" s="299" t="s">
        <v>3</v>
      </c>
      <c r="B30" s="300"/>
      <c r="C30" s="300"/>
      <c r="D30" s="300"/>
      <c r="E30" s="300"/>
      <c r="F30" s="301"/>
      <c r="G30" s="38"/>
      <c r="H30" s="51"/>
      <c r="I30" s="84">
        <f>SUM(I10:I29)</f>
        <v>100.6</v>
      </c>
      <c r="J30" s="38"/>
      <c r="K30" s="38"/>
      <c r="L30" s="84">
        <f>SUM(L10:L29)</f>
        <v>0</v>
      </c>
      <c r="M30" s="38"/>
      <c r="N30" s="38"/>
      <c r="O30" s="84">
        <f>SUM(O10:O29)</f>
        <v>122.8</v>
      </c>
      <c r="P30" s="38"/>
      <c r="Q30" s="38"/>
      <c r="R30" s="302">
        <f>SUM(R10:S29)</f>
        <v>102.8</v>
      </c>
      <c r="S30" s="303"/>
    </row>
    <row r="31" spans="1:19" ht="17.25" customHeight="1">
      <c r="A31" s="306" t="s">
        <v>13</v>
      </c>
      <c r="B31" s="307"/>
      <c r="C31" s="307"/>
      <c r="D31" s="307"/>
      <c r="E31" s="307"/>
      <c r="F31" s="308"/>
      <c r="G31" s="309">
        <f>I30/20</f>
        <v>5.0299999999999994</v>
      </c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1"/>
    </row>
    <row r="32" spans="1:19">
      <c r="A32" s="306" t="s">
        <v>12</v>
      </c>
      <c r="B32" s="307"/>
      <c r="C32" s="307"/>
      <c r="D32" s="307"/>
      <c r="E32" s="307"/>
      <c r="F32" s="308"/>
      <c r="G32" s="309">
        <f>L30/3.6</f>
        <v>0</v>
      </c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1"/>
    </row>
    <row r="33" spans="1:19">
      <c r="A33" s="312" t="s">
        <v>78</v>
      </c>
      <c r="B33" s="307"/>
      <c r="C33" s="307"/>
      <c r="D33" s="307"/>
      <c r="E33" s="307"/>
      <c r="F33" s="308"/>
      <c r="G33" s="309">
        <f>O30/7.4</f>
        <v>16.594594594594593</v>
      </c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1"/>
    </row>
    <row r="34" spans="1:19">
      <c r="A34" s="306" t="s">
        <v>14</v>
      </c>
      <c r="B34" s="307"/>
      <c r="C34" s="307"/>
      <c r="D34" s="307"/>
      <c r="E34" s="307"/>
      <c r="F34" s="308"/>
      <c r="G34" s="309">
        <f>R30/3.6</f>
        <v>28.555555555555554</v>
      </c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1"/>
    </row>
    <row r="35" spans="1:19" ht="8.1" customHeight="1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</row>
    <row r="36" spans="1:19">
      <c r="A36" s="140" t="s">
        <v>47</v>
      </c>
      <c r="B36" s="140"/>
      <c r="C36" s="304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5"/>
      <c r="S36" s="305"/>
    </row>
    <row r="37" spans="1:19">
      <c r="A37" s="140"/>
      <c r="B37" s="140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  <c r="O37" s="305"/>
      <c r="P37" s="305"/>
      <c r="Q37" s="305"/>
      <c r="R37" s="305"/>
      <c r="S37" s="305"/>
    </row>
    <row r="38" spans="1:19">
      <c r="A38" s="140"/>
      <c r="B38" s="140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5"/>
      <c r="S38" s="305"/>
    </row>
    <row r="39" spans="1:19">
      <c r="A39" s="140"/>
      <c r="B39" s="140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</row>
  </sheetData>
  <mergeCells count="59">
    <mergeCell ref="A30:F30"/>
    <mergeCell ref="R30:S30"/>
    <mergeCell ref="A36:B39"/>
    <mergeCell ref="C36:S39"/>
    <mergeCell ref="A31:F31"/>
    <mergeCell ref="G31:S31"/>
    <mergeCell ref="A32:F32"/>
    <mergeCell ref="G32:S32"/>
    <mergeCell ref="A33:F33"/>
    <mergeCell ref="G33:S33"/>
    <mergeCell ref="A34:F34"/>
    <mergeCell ref="G34:S34"/>
    <mergeCell ref="A35:S35"/>
    <mergeCell ref="R25:S25"/>
    <mergeCell ref="R26:S26"/>
    <mergeCell ref="R27:S27"/>
    <mergeCell ref="R28:S28"/>
    <mergeCell ref="R29:S29"/>
    <mergeCell ref="R20:S20"/>
    <mergeCell ref="R21:S21"/>
    <mergeCell ref="R22:S22"/>
    <mergeCell ref="R23:S23"/>
    <mergeCell ref="R24:S24"/>
    <mergeCell ref="R15:S15"/>
    <mergeCell ref="R16:S16"/>
    <mergeCell ref="R17:S17"/>
    <mergeCell ref="R18:S18"/>
    <mergeCell ref="R19:S19"/>
    <mergeCell ref="R10:S10"/>
    <mergeCell ref="R11:S11"/>
    <mergeCell ref="R12:S12"/>
    <mergeCell ref="R13:S13"/>
    <mergeCell ref="R14:S14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30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32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AC25" sqref="AC25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40"/>
      <c r="B1" s="140"/>
      <c r="C1" s="140"/>
      <c r="D1" s="140"/>
      <c r="E1" s="103" t="s">
        <v>8</v>
      </c>
      <c r="F1" s="122" t="s">
        <v>75</v>
      </c>
      <c r="G1" s="122"/>
      <c r="H1" s="122"/>
      <c r="I1" s="122"/>
      <c r="J1" s="122"/>
      <c r="K1" s="125" t="str">
        <f>'1. 소켓인수검사'!R2</f>
        <v>26.07.07 이신이엔지_한신공영_동위_평택브레인시티 한신더휴</v>
      </c>
      <c r="L1" s="125"/>
      <c r="M1" s="125"/>
      <c r="N1" s="125"/>
      <c r="O1" s="125"/>
      <c r="P1" s="125"/>
      <c r="Q1" s="125"/>
      <c r="R1" s="125"/>
      <c r="S1" s="125"/>
      <c r="T1" s="125"/>
      <c r="U1" s="126"/>
    </row>
    <row r="2" spans="1:21" ht="16.5" customHeight="1">
      <c r="A2" s="140"/>
      <c r="B2" s="140"/>
      <c r="C2" s="140"/>
      <c r="D2" s="140"/>
      <c r="E2" s="102"/>
      <c r="F2" s="123"/>
      <c r="G2" s="123"/>
      <c r="H2" s="123"/>
      <c r="I2" s="123"/>
      <c r="J2" s="123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8"/>
    </row>
    <row r="3" spans="1:21" ht="24" customHeight="1">
      <c r="A3" s="140"/>
      <c r="B3" s="140"/>
      <c r="C3" s="140"/>
      <c r="D3" s="140"/>
      <c r="E3" s="104"/>
      <c r="F3" s="124"/>
      <c r="G3" s="124"/>
      <c r="H3" s="124"/>
      <c r="I3" s="124"/>
      <c r="J3" s="124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30"/>
    </row>
    <row r="4" spans="1:21" ht="8.1" customHeight="1">
      <c r="A4" s="137"/>
      <c r="B4" s="138"/>
      <c r="C4" s="138"/>
      <c r="D4" s="138"/>
      <c r="E4" s="138"/>
      <c r="F4" s="138"/>
      <c r="G4" s="138"/>
      <c r="H4" s="137"/>
      <c r="I4" s="138"/>
      <c r="J4" s="138"/>
      <c r="K4" s="138"/>
      <c r="L4" s="138"/>
      <c r="M4" s="138"/>
      <c r="N4" s="138"/>
      <c r="O4" s="138"/>
      <c r="P4" s="138"/>
      <c r="Q4" s="3"/>
      <c r="S4" s="3"/>
      <c r="T4" s="3"/>
      <c r="U4" s="3"/>
    </row>
    <row r="5" spans="1:21" ht="16.5" customHeight="1">
      <c r="A5" s="141" t="s">
        <v>59</v>
      </c>
      <c r="B5" s="143" t="s">
        <v>37</v>
      </c>
      <c r="C5" s="145" t="s">
        <v>66</v>
      </c>
      <c r="D5" s="145" t="s">
        <v>64</v>
      </c>
      <c r="E5" s="145" t="s">
        <v>25</v>
      </c>
      <c r="F5" s="145" t="s">
        <v>54</v>
      </c>
      <c r="G5" s="145" t="s">
        <v>61</v>
      </c>
      <c r="H5" s="145" t="s">
        <v>41</v>
      </c>
      <c r="I5" s="145" t="s">
        <v>24</v>
      </c>
      <c r="J5" s="145"/>
      <c r="K5" s="145" t="s">
        <v>0</v>
      </c>
      <c r="L5" s="145"/>
      <c r="M5" s="145" t="s">
        <v>0</v>
      </c>
      <c r="N5" s="145"/>
      <c r="O5" s="145" t="s">
        <v>0</v>
      </c>
      <c r="P5" s="145"/>
      <c r="Q5" s="147" t="s">
        <v>53</v>
      </c>
      <c r="R5" s="147"/>
      <c r="S5" s="148" t="s">
        <v>31</v>
      </c>
      <c r="T5" s="148" t="s">
        <v>58</v>
      </c>
      <c r="U5" s="1" t="s">
        <v>18</v>
      </c>
    </row>
    <row r="6" spans="1:21" ht="26.45" customHeight="1">
      <c r="A6" s="142"/>
      <c r="B6" s="144"/>
      <c r="C6" s="146"/>
      <c r="D6" s="146"/>
      <c r="E6" s="146"/>
      <c r="F6" s="146"/>
      <c r="G6" s="146"/>
      <c r="H6" s="146"/>
      <c r="I6" s="80" t="s">
        <v>9</v>
      </c>
      <c r="J6" s="39" t="s">
        <v>57</v>
      </c>
      <c r="K6" s="80" t="s">
        <v>76</v>
      </c>
      <c r="L6" s="39" t="s">
        <v>57</v>
      </c>
      <c r="M6" s="80" t="s">
        <v>36</v>
      </c>
      <c r="N6" s="39" t="s">
        <v>57</v>
      </c>
      <c r="O6" s="80" t="s">
        <v>38</v>
      </c>
      <c r="P6" s="39" t="s">
        <v>57</v>
      </c>
      <c r="Q6" s="80" t="s">
        <v>55</v>
      </c>
      <c r="R6" s="39" t="s">
        <v>67</v>
      </c>
      <c r="S6" s="149"/>
      <c r="T6" s="149"/>
      <c r="U6" s="119"/>
    </row>
    <row r="7" spans="1:21">
      <c r="A7" s="59" t="str">
        <f>'1. 소켓인수검사'!A9</f>
        <v>01</v>
      </c>
      <c r="B7" s="81" t="s">
        <v>40</v>
      </c>
      <c r="C7" s="40">
        <f>'1. 소켓인수검사'!C9</f>
        <v>600</v>
      </c>
      <c r="D7" s="40">
        <f>'1. 소켓인수검사'!D9</f>
        <v>900</v>
      </c>
      <c r="E7" s="41"/>
      <c r="F7" s="42">
        <f t="shared" ref="F7:F15" si="0">C7*D7/1000000</f>
        <v>0.54</v>
      </c>
      <c r="G7" s="42">
        <f t="shared" ref="G7:G15" si="1">(C7+D7)*2/1000</f>
        <v>3</v>
      </c>
      <c r="H7" s="47">
        <v>2</v>
      </c>
      <c r="I7" s="80"/>
      <c r="J7" s="39"/>
      <c r="K7" s="34">
        <f t="shared" ref="K7:K15" si="2">G7+0.5</f>
        <v>3.5</v>
      </c>
      <c r="L7" s="39">
        <v>8</v>
      </c>
      <c r="M7" s="34"/>
      <c r="N7" s="39"/>
      <c r="O7" s="34"/>
      <c r="P7" s="39"/>
      <c r="Q7" s="43">
        <f t="shared" ref="Q7:Q15" si="3">(((C7+60)+250+(D7+60))*2/1000)*2</f>
        <v>7.48</v>
      </c>
      <c r="R7" s="117">
        <f>Q7*2</f>
        <v>14.96</v>
      </c>
      <c r="S7" s="44" t="s">
        <v>44</v>
      </c>
      <c r="T7" s="45" t="s">
        <v>6</v>
      </c>
      <c r="U7" s="46" t="str">
        <f>'1. 소켓인수검사'!G9</f>
        <v>6동 지하1층</v>
      </c>
    </row>
    <row r="8" spans="1:21">
      <c r="A8" s="59" t="str">
        <f>'1. 소켓인수검사'!A10</f>
        <v>02</v>
      </c>
      <c r="B8" s="81" t="s">
        <v>40</v>
      </c>
      <c r="C8" s="40">
        <f>'1. 소켓인수검사'!C10</f>
        <v>700</v>
      </c>
      <c r="D8" s="40">
        <f>'1. 소켓인수검사'!D10</f>
        <v>550</v>
      </c>
      <c r="E8" s="41"/>
      <c r="F8" s="42">
        <f t="shared" si="0"/>
        <v>0.38500000000000001</v>
      </c>
      <c r="G8" s="42">
        <f t="shared" si="1"/>
        <v>2.5</v>
      </c>
      <c r="H8" s="47">
        <v>2</v>
      </c>
      <c r="I8" s="80"/>
      <c r="J8" s="39"/>
      <c r="K8" s="34">
        <f t="shared" si="2"/>
        <v>3</v>
      </c>
      <c r="L8" s="39">
        <v>8</v>
      </c>
      <c r="M8" s="34"/>
      <c r="N8" s="39"/>
      <c r="O8" s="34"/>
      <c r="P8" s="39"/>
      <c r="Q8" s="43">
        <f t="shared" si="3"/>
        <v>6.48</v>
      </c>
      <c r="R8" s="117">
        <f>Q8*2</f>
        <v>12.96</v>
      </c>
      <c r="S8" s="44" t="s">
        <v>44</v>
      </c>
      <c r="T8" s="45" t="s">
        <v>6</v>
      </c>
      <c r="U8" s="46" t="str">
        <f>'1. 소켓인수검사'!G10</f>
        <v>3동 지하1층</v>
      </c>
    </row>
    <row r="9" spans="1:21">
      <c r="A9" s="59" t="str">
        <f>'1. 소켓인수검사'!A11</f>
        <v>03</v>
      </c>
      <c r="B9" s="81" t="s">
        <v>40</v>
      </c>
      <c r="C9" s="40">
        <f>'1. 소켓인수검사'!C11</f>
        <v>750</v>
      </c>
      <c r="D9" s="40">
        <f>'1. 소켓인수검사'!D11</f>
        <v>700</v>
      </c>
      <c r="E9" s="41"/>
      <c r="F9" s="42">
        <f t="shared" si="0"/>
        <v>0.52500000000000002</v>
      </c>
      <c r="G9" s="42">
        <f t="shared" si="1"/>
        <v>2.9</v>
      </c>
      <c r="H9" s="47">
        <v>2</v>
      </c>
      <c r="I9" s="80"/>
      <c r="J9" s="39"/>
      <c r="K9" s="34">
        <f t="shared" si="2"/>
        <v>3.4</v>
      </c>
      <c r="L9" s="39">
        <v>8</v>
      </c>
      <c r="M9" s="34"/>
      <c r="N9" s="39"/>
      <c r="O9" s="34"/>
      <c r="P9" s="39"/>
      <c r="Q9" s="43">
        <f t="shared" si="3"/>
        <v>7.28</v>
      </c>
      <c r="R9" s="117">
        <f t="shared" ref="R9:R26" si="4">Q9*2</f>
        <v>14.56</v>
      </c>
      <c r="S9" s="44" t="s">
        <v>44</v>
      </c>
      <c r="T9" s="45" t="s">
        <v>6</v>
      </c>
      <c r="U9" s="46" t="str">
        <f>'1. 소켓인수검사'!G11</f>
        <v>1동 지하1층</v>
      </c>
    </row>
    <row r="10" spans="1:21">
      <c r="A10" s="59" t="str">
        <f>'1. 소켓인수검사'!A12</f>
        <v>04</v>
      </c>
      <c r="B10" s="81" t="s">
        <v>40</v>
      </c>
      <c r="C10" s="40">
        <f>'1. 소켓인수검사'!C12</f>
        <v>800</v>
      </c>
      <c r="D10" s="40">
        <f>'1. 소켓인수검사'!D12</f>
        <v>650</v>
      </c>
      <c r="E10" s="41"/>
      <c r="F10" s="42">
        <f t="shared" si="0"/>
        <v>0.52</v>
      </c>
      <c r="G10" s="42">
        <f t="shared" si="1"/>
        <v>2.9</v>
      </c>
      <c r="H10" s="47">
        <v>2</v>
      </c>
      <c r="I10" s="80"/>
      <c r="J10" s="39"/>
      <c r="K10" s="34">
        <f t="shared" si="2"/>
        <v>3.4</v>
      </c>
      <c r="L10" s="39">
        <v>8</v>
      </c>
      <c r="M10" s="34"/>
      <c r="N10" s="39"/>
      <c r="O10" s="34"/>
      <c r="P10" s="39"/>
      <c r="Q10" s="43">
        <f t="shared" si="3"/>
        <v>7.28</v>
      </c>
      <c r="R10" s="117">
        <f t="shared" si="4"/>
        <v>14.56</v>
      </c>
      <c r="S10" s="44" t="s">
        <v>44</v>
      </c>
      <c r="T10" s="45" t="s">
        <v>6</v>
      </c>
      <c r="U10" s="46" t="str">
        <f>'1. 소켓인수검사'!G12</f>
        <v>5동 지하1층</v>
      </c>
    </row>
    <row r="11" spans="1:21">
      <c r="A11" s="59" t="str">
        <f>'1. 소켓인수검사'!A13</f>
        <v>05</v>
      </c>
      <c r="B11" s="81" t="s">
        <v>40</v>
      </c>
      <c r="C11" s="40">
        <f>'1. 소켓인수검사'!C13</f>
        <v>800</v>
      </c>
      <c r="D11" s="40">
        <f>'1. 소켓인수검사'!D13</f>
        <v>650</v>
      </c>
      <c r="E11" s="41"/>
      <c r="F11" s="42">
        <f t="shared" si="0"/>
        <v>0.52</v>
      </c>
      <c r="G11" s="42">
        <f t="shared" si="1"/>
        <v>2.9</v>
      </c>
      <c r="H11" s="47">
        <v>2</v>
      </c>
      <c r="I11" s="80"/>
      <c r="J11" s="39"/>
      <c r="K11" s="34">
        <f t="shared" si="2"/>
        <v>3.4</v>
      </c>
      <c r="L11" s="39">
        <v>8</v>
      </c>
      <c r="M11" s="34"/>
      <c r="N11" s="39"/>
      <c r="O11" s="34"/>
      <c r="P11" s="39"/>
      <c r="Q11" s="43">
        <f t="shared" si="3"/>
        <v>7.28</v>
      </c>
      <c r="R11" s="117">
        <f t="shared" si="4"/>
        <v>14.56</v>
      </c>
      <c r="S11" s="44" t="s">
        <v>44</v>
      </c>
      <c r="T11" s="45" t="s">
        <v>6</v>
      </c>
      <c r="U11" s="46" t="str">
        <f>'1. 소켓인수검사'!G13</f>
        <v>7동 지하1층</v>
      </c>
    </row>
    <row r="12" spans="1:21">
      <c r="A12" s="59" t="str">
        <f>'1. 소켓인수검사'!A14</f>
        <v>06</v>
      </c>
      <c r="B12" s="81" t="s">
        <v>40</v>
      </c>
      <c r="C12" s="40">
        <f>'1. 소켓인수검사'!C14</f>
        <v>900</v>
      </c>
      <c r="D12" s="40">
        <f>'1. 소켓인수검사'!D14</f>
        <v>600</v>
      </c>
      <c r="E12" s="41"/>
      <c r="F12" s="42">
        <f t="shared" si="0"/>
        <v>0.54</v>
      </c>
      <c r="G12" s="42">
        <f t="shared" si="1"/>
        <v>3</v>
      </c>
      <c r="H12" s="47">
        <v>2</v>
      </c>
      <c r="I12" s="80"/>
      <c r="J12" s="39"/>
      <c r="K12" s="34">
        <f t="shared" si="2"/>
        <v>3.5</v>
      </c>
      <c r="L12" s="39">
        <v>8</v>
      </c>
      <c r="M12" s="34"/>
      <c r="N12" s="39"/>
      <c r="O12" s="34"/>
      <c r="P12" s="39"/>
      <c r="Q12" s="43">
        <f t="shared" si="3"/>
        <v>7.48</v>
      </c>
      <c r="R12" s="117">
        <f t="shared" si="4"/>
        <v>14.96</v>
      </c>
      <c r="S12" s="44" t="s">
        <v>44</v>
      </c>
      <c r="T12" s="45" t="s">
        <v>6</v>
      </c>
      <c r="U12" s="46" t="str">
        <f>'1. 소켓인수검사'!G14</f>
        <v>2동 지하1층</v>
      </c>
    </row>
    <row r="13" spans="1:21">
      <c r="A13" s="59" t="str">
        <f>'1. 소켓인수검사'!A15</f>
        <v>07</v>
      </c>
      <c r="B13" s="81" t="s">
        <v>40</v>
      </c>
      <c r="C13" s="40">
        <f>'1. 소켓인수검사'!C15</f>
        <v>900</v>
      </c>
      <c r="D13" s="40">
        <f>'1. 소켓인수검사'!D15</f>
        <v>600</v>
      </c>
      <c r="E13" s="41"/>
      <c r="F13" s="42">
        <f t="shared" si="0"/>
        <v>0.54</v>
      </c>
      <c r="G13" s="42">
        <f t="shared" si="1"/>
        <v>3</v>
      </c>
      <c r="H13" s="47">
        <v>2</v>
      </c>
      <c r="I13" s="80"/>
      <c r="J13" s="39"/>
      <c r="K13" s="34">
        <f t="shared" si="2"/>
        <v>3.5</v>
      </c>
      <c r="L13" s="39">
        <v>8</v>
      </c>
      <c r="M13" s="34"/>
      <c r="N13" s="39"/>
      <c r="O13" s="34"/>
      <c r="P13" s="39"/>
      <c r="Q13" s="43">
        <f t="shared" si="3"/>
        <v>7.48</v>
      </c>
      <c r="R13" s="117">
        <f t="shared" si="4"/>
        <v>14.96</v>
      </c>
      <c r="S13" s="44" t="s">
        <v>44</v>
      </c>
      <c r="T13" s="45" t="s">
        <v>6</v>
      </c>
      <c r="U13" s="46" t="str">
        <f>'1. 소켓인수검사'!G15</f>
        <v>3동 지하1층</v>
      </c>
    </row>
    <row r="14" spans="1:21">
      <c r="A14" s="59" t="str">
        <f>'1. 소켓인수검사'!A16</f>
        <v>08</v>
      </c>
      <c r="B14" s="81" t="s">
        <v>40</v>
      </c>
      <c r="C14" s="40">
        <f>'1. 소켓인수검사'!C16</f>
        <v>900</v>
      </c>
      <c r="D14" s="40">
        <f>'1. 소켓인수검사'!D16</f>
        <v>600</v>
      </c>
      <c r="E14" s="41"/>
      <c r="F14" s="42">
        <f t="shared" si="0"/>
        <v>0.54</v>
      </c>
      <c r="G14" s="42">
        <f t="shared" si="1"/>
        <v>3</v>
      </c>
      <c r="H14" s="47">
        <v>2</v>
      </c>
      <c r="I14" s="80"/>
      <c r="J14" s="39"/>
      <c r="K14" s="34">
        <f t="shared" si="2"/>
        <v>3.5</v>
      </c>
      <c r="L14" s="39">
        <v>8</v>
      </c>
      <c r="M14" s="34"/>
      <c r="N14" s="39"/>
      <c r="O14" s="34"/>
      <c r="P14" s="39"/>
      <c r="Q14" s="43">
        <f t="shared" si="3"/>
        <v>7.48</v>
      </c>
      <c r="R14" s="117">
        <f t="shared" si="4"/>
        <v>14.96</v>
      </c>
      <c r="S14" s="44" t="s">
        <v>44</v>
      </c>
      <c r="T14" s="45" t="s">
        <v>6</v>
      </c>
      <c r="U14" s="46" t="str">
        <f>'1. 소켓인수검사'!G16</f>
        <v>3동 지하1층</v>
      </c>
    </row>
    <row r="15" spans="1:21">
      <c r="A15" s="59" t="str">
        <f>'1. 소켓인수검사'!A17</f>
        <v>09</v>
      </c>
      <c r="B15" s="81" t="s">
        <v>40</v>
      </c>
      <c r="C15" s="40">
        <f>'1. 소켓인수검사'!C17</f>
        <v>900</v>
      </c>
      <c r="D15" s="40">
        <f>'1. 소켓인수검사'!D17</f>
        <v>600</v>
      </c>
      <c r="E15" s="41"/>
      <c r="F15" s="42">
        <f t="shared" si="0"/>
        <v>0.54</v>
      </c>
      <c r="G15" s="42">
        <f t="shared" si="1"/>
        <v>3</v>
      </c>
      <c r="H15" s="47">
        <v>2</v>
      </c>
      <c r="I15" s="80"/>
      <c r="J15" s="39"/>
      <c r="K15" s="34">
        <f t="shared" si="2"/>
        <v>3.5</v>
      </c>
      <c r="L15" s="39">
        <v>8</v>
      </c>
      <c r="M15" s="34"/>
      <c r="N15" s="39"/>
      <c r="O15" s="34"/>
      <c r="P15" s="39"/>
      <c r="Q15" s="43">
        <f t="shared" si="3"/>
        <v>7.48</v>
      </c>
      <c r="R15" s="117">
        <f t="shared" si="4"/>
        <v>14.96</v>
      </c>
      <c r="S15" s="44" t="s">
        <v>44</v>
      </c>
      <c r="T15" s="45" t="s">
        <v>6</v>
      </c>
      <c r="U15" s="46" t="str">
        <f>'1. 소켓인수검사'!G17</f>
        <v>4동 지하1층</v>
      </c>
    </row>
    <row r="16" spans="1:21">
      <c r="A16" s="59" t="str">
        <f>'1. 소켓인수검사'!A18</f>
        <v>10</v>
      </c>
      <c r="B16" s="81" t="s">
        <v>40</v>
      </c>
      <c r="C16" s="40">
        <f>'1. 소켓인수검사'!C18</f>
        <v>750</v>
      </c>
      <c r="D16" s="40">
        <f>'1. 소켓인수검사'!D18</f>
        <v>1550</v>
      </c>
      <c r="E16" s="41"/>
      <c r="F16" s="42">
        <f t="shared" ref="F16:F26" si="5">C16*D16/1000000</f>
        <v>1.1625000000000001</v>
      </c>
      <c r="G16" s="42">
        <f t="shared" ref="G16:G26" si="6">(C16+D16)*2/1000</f>
        <v>4.5999999999999996</v>
      </c>
      <c r="H16" s="47">
        <v>4</v>
      </c>
      <c r="I16" s="80">
        <f t="shared" ref="I16:I26" si="7">(G16+0.4)</f>
        <v>5</v>
      </c>
      <c r="J16" s="48">
        <v>4</v>
      </c>
      <c r="K16" s="34"/>
      <c r="L16" s="39"/>
      <c r="M16" s="34"/>
      <c r="N16" s="39"/>
      <c r="O16" s="80">
        <f t="shared" ref="O16:O26" si="8">(G16+0.5)</f>
        <v>5.0999999999999996</v>
      </c>
      <c r="P16" s="48">
        <v>4</v>
      </c>
      <c r="Q16" s="43">
        <f t="shared" ref="Q16:Q26" si="9">(((C16+60)+250+(D16+60))*2/1000)*2</f>
        <v>10.68</v>
      </c>
      <c r="R16" s="117">
        <f t="shared" si="4"/>
        <v>21.36</v>
      </c>
      <c r="S16" s="49" t="s">
        <v>43</v>
      </c>
      <c r="T16" s="50" t="s">
        <v>7</v>
      </c>
      <c r="U16" s="46" t="str">
        <f>'1. 소켓인수검사'!G18</f>
        <v>6동 지하1층</v>
      </c>
    </row>
    <row r="17" spans="1:21">
      <c r="A17" s="59" t="str">
        <f>'1. 소켓인수검사'!A19</f>
        <v>11</v>
      </c>
      <c r="B17" s="81" t="s">
        <v>40</v>
      </c>
      <c r="C17" s="40">
        <f>'1. 소켓인수검사'!C19</f>
        <v>900</v>
      </c>
      <c r="D17" s="40">
        <f>'1. 소켓인수검사'!D19</f>
        <v>1100</v>
      </c>
      <c r="E17" s="41"/>
      <c r="F17" s="42">
        <f t="shared" si="5"/>
        <v>0.99</v>
      </c>
      <c r="G17" s="42">
        <f t="shared" si="6"/>
        <v>4</v>
      </c>
      <c r="H17" s="47">
        <v>4</v>
      </c>
      <c r="I17" s="80">
        <f t="shared" si="7"/>
        <v>4.4000000000000004</v>
      </c>
      <c r="J17" s="48">
        <v>4</v>
      </c>
      <c r="K17" s="34"/>
      <c r="L17" s="39"/>
      <c r="M17" s="34"/>
      <c r="N17" s="39"/>
      <c r="O17" s="80">
        <f t="shared" si="8"/>
        <v>4.5</v>
      </c>
      <c r="P17" s="48">
        <v>4</v>
      </c>
      <c r="Q17" s="43">
        <f t="shared" si="9"/>
        <v>9.48</v>
      </c>
      <c r="R17" s="117">
        <f t="shared" si="4"/>
        <v>18.96</v>
      </c>
      <c r="S17" s="49" t="s">
        <v>43</v>
      </c>
      <c r="T17" s="50" t="s">
        <v>7</v>
      </c>
      <c r="U17" s="46" t="str">
        <f>'1. 소켓인수검사'!G19</f>
        <v>2동 지하1층</v>
      </c>
    </row>
    <row r="18" spans="1:21">
      <c r="A18" s="59" t="str">
        <f>'1. 소켓인수검사'!A20</f>
        <v>12</v>
      </c>
      <c r="B18" s="81" t="s">
        <v>40</v>
      </c>
      <c r="C18" s="40">
        <f>'1. 소켓인수검사'!C20</f>
        <v>900</v>
      </c>
      <c r="D18" s="40">
        <f>'1. 소켓인수검사'!D20</f>
        <v>1100</v>
      </c>
      <c r="E18" s="41"/>
      <c r="F18" s="42">
        <f t="shared" si="5"/>
        <v>0.99</v>
      </c>
      <c r="G18" s="42">
        <f t="shared" si="6"/>
        <v>4</v>
      </c>
      <c r="H18" s="47">
        <v>4</v>
      </c>
      <c r="I18" s="80">
        <f t="shared" si="7"/>
        <v>4.4000000000000004</v>
      </c>
      <c r="J18" s="48">
        <v>4</v>
      </c>
      <c r="K18" s="34"/>
      <c r="L18" s="39"/>
      <c r="M18" s="34"/>
      <c r="N18" s="39"/>
      <c r="O18" s="80">
        <f t="shared" si="8"/>
        <v>4.5</v>
      </c>
      <c r="P18" s="48">
        <v>4</v>
      </c>
      <c r="Q18" s="43">
        <f t="shared" si="9"/>
        <v>9.48</v>
      </c>
      <c r="R18" s="117">
        <f t="shared" si="4"/>
        <v>18.96</v>
      </c>
      <c r="S18" s="49" t="s">
        <v>43</v>
      </c>
      <c r="T18" s="50" t="s">
        <v>7</v>
      </c>
      <c r="U18" s="46" t="str">
        <f>'1. 소켓인수검사'!G20</f>
        <v>3동 지하1층</v>
      </c>
    </row>
    <row r="19" spans="1:21">
      <c r="A19" s="59" t="str">
        <f>'1. 소켓인수검사'!A21</f>
        <v>13</v>
      </c>
      <c r="B19" s="81" t="s">
        <v>40</v>
      </c>
      <c r="C19" s="40">
        <f>'1. 소켓인수검사'!C21</f>
        <v>900</v>
      </c>
      <c r="D19" s="40">
        <f>'1. 소켓인수검사'!D21</f>
        <v>1100</v>
      </c>
      <c r="E19" s="41"/>
      <c r="F19" s="42">
        <f t="shared" si="5"/>
        <v>0.99</v>
      </c>
      <c r="G19" s="42">
        <f t="shared" si="6"/>
        <v>4</v>
      </c>
      <c r="H19" s="47">
        <v>4</v>
      </c>
      <c r="I19" s="80">
        <f t="shared" si="7"/>
        <v>4.4000000000000004</v>
      </c>
      <c r="J19" s="48">
        <v>4</v>
      </c>
      <c r="K19" s="34"/>
      <c r="L19" s="39"/>
      <c r="M19" s="34"/>
      <c r="N19" s="39"/>
      <c r="O19" s="80">
        <f t="shared" si="8"/>
        <v>4.5</v>
      </c>
      <c r="P19" s="48">
        <v>4</v>
      </c>
      <c r="Q19" s="43">
        <f t="shared" si="9"/>
        <v>9.48</v>
      </c>
      <c r="R19" s="117">
        <f t="shared" si="4"/>
        <v>18.96</v>
      </c>
      <c r="S19" s="49" t="s">
        <v>43</v>
      </c>
      <c r="T19" s="50" t="s">
        <v>7</v>
      </c>
      <c r="U19" s="46" t="str">
        <f>'1. 소켓인수검사'!G21</f>
        <v>4동 지하1층</v>
      </c>
    </row>
    <row r="20" spans="1:21">
      <c r="A20" s="59" t="str">
        <f>'1. 소켓인수검사'!A22</f>
        <v>14</v>
      </c>
      <c r="B20" s="81" t="s">
        <v>40</v>
      </c>
      <c r="C20" s="40">
        <f>'1. 소켓인수검사'!C22</f>
        <v>900</v>
      </c>
      <c r="D20" s="40">
        <f>'1. 소켓인수검사'!D22</f>
        <v>1350</v>
      </c>
      <c r="E20" s="41"/>
      <c r="F20" s="42">
        <f t="shared" si="5"/>
        <v>1.2150000000000001</v>
      </c>
      <c r="G20" s="42">
        <f t="shared" si="6"/>
        <v>4.5</v>
      </c>
      <c r="H20" s="47">
        <v>4</v>
      </c>
      <c r="I20" s="80">
        <f t="shared" si="7"/>
        <v>4.9000000000000004</v>
      </c>
      <c r="J20" s="48">
        <v>4</v>
      </c>
      <c r="K20" s="34"/>
      <c r="L20" s="39"/>
      <c r="M20" s="34"/>
      <c r="N20" s="39"/>
      <c r="O20" s="80">
        <f t="shared" si="8"/>
        <v>5</v>
      </c>
      <c r="P20" s="48">
        <v>4</v>
      </c>
      <c r="Q20" s="43">
        <f t="shared" si="9"/>
        <v>10.48</v>
      </c>
      <c r="R20" s="117">
        <f t="shared" si="4"/>
        <v>20.96</v>
      </c>
      <c r="S20" s="49" t="s">
        <v>43</v>
      </c>
      <c r="T20" s="50" t="s">
        <v>7</v>
      </c>
      <c r="U20" s="46" t="str">
        <f>'1. 소켓인수검사'!G22</f>
        <v>7동 지하1층</v>
      </c>
    </row>
    <row r="21" spans="1:21">
      <c r="A21" s="59" t="str">
        <f>'1. 소켓인수검사'!A23</f>
        <v>15</v>
      </c>
      <c r="B21" s="81" t="s">
        <v>40</v>
      </c>
      <c r="C21" s="40">
        <f>'1. 소켓인수검사'!C23</f>
        <v>950</v>
      </c>
      <c r="D21" s="40">
        <f>'1. 소켓인수검사'!D23</f>
        <v>1300</v>
      </c>
      <c r="E21" s="41"/>
      <c r="F21" s="42">
        <f t="shared" si="5"/>
        <v>1.2350000000000001</v>
      </c>
      <c r="G21" s="42">
        <f t="shared" si="6"/>
        <v>4.5</v>
      </c>
      <c r="H21" s="47">
        <v>4</v>
      </c>
      <c r="I21" s="80">
        <f t="shared" si="7"/>
        <v>4.9000000000000004</v>
      </c>
      <c r="J21" s="48">
        <v>4</v>
      </c>
      <c r="K21" s="34"/>
      <c r="L21" s="39"/>
      <c r="M21" s="34"/>
      <c r="N21" s="39"/>
      <c r="O21" s="80">
        <f t="shared" si="8"/>
        <v>5</v>
      </c>
      <c r="P21" s="48">
        <v>4</v>
      </c>
      <c r="Q21" s="43">
        <f t="shared" si="9"/>
        <v>10.48</v>
      </c>
      <c r="R21" s="117">
        <f t="shared" si="4"/>
        <v>20.96</v>
      </c>
      <c r="S21" s="49" t="s">
        <v>43</v>
      </c>
      <c r="T21" s="50" t="s">
        <v>7</v>
      </c>
      <c r="U21" s="46" t="str">
        <f>'1. 소켓인수검사'!G23</f>
        <v>5동 지하1층</v>
      </c>
    </row>
    <row r="22" spans="1:21">
      <c r="A22" s="59" t="str">
        <f>'1. 소켓인수검사'!A24</f>
        <v>16</v>
      </c>
      <c r="B22" s="81" t="s">
        <v>40</v>
      </c>
      <c r="C22" s="40">
        <f>'1. 소켓인수검사'!C24</f>
        <v>1000</v>
      </c>
      <c r="D22" s="40">
        <f>'1. 소켓인수검사'!D24</f>
        <v>1000</v>
      </c>
      <c r="E22" s="41"/>
      <c r="F22" s="42">
        <f t="shared" si="5"/>
        <v>1</v>
      </c>
      <c r="G22" s="42">
        <f t="shared" si="6"/>
        <v>4</v>
      </c>
      <c r="H22" s="47">
        <v>4</v>
      </c>
      <c r="I22" s="80">
        <f t="shared" si="7"/>
        <v>4.4000000000000004</v>
      </c>
      <c r="J22" s="48">
        <v>4</v>
      </c>
      <c r="K22" s="34"/>
      <c r="L22" s="39"/>
      <c r="M22" s="34"/>
      <c r="N22" s="39"/>
      <c r="O22" s="80">
        <f t="shared" si="8"/>
        <v>4.5</v>
      </c>
      <c r="P22" s="48">
        <v>4</v>
      </c>
      <c r="Q22" s="43">
        <f t="shared" si="9"/>
        <v>9.48</v>
      </c>
      <c r="R22" s="117">
        <f t="shared" si="4"/>
        <v>18.96</v>
      </c>
      <c r="S22" s="49" t="s">
        <v>43</v>
      </c>
      <c r="T22" s="50" t="s">
        <v>7</v>
      </c>
      <c r="U22" s="46" t="str">
        <f>'1. 소켓인수검사'!G24</f>
        <v>1동 지하1층</v>
      </c>
    </row>
    <row r="23" spans="1:21">
      <c r="A23" s="59" t="str">
        <f>'1. 소켓인수검사'!A25</f>
        <v>17</v>
      </c>
      <c r="B23" s="81" t="s">
        <v>40</v>
      </c>
      <c r="C23" s="40">
        <f>'1. 소켓인수검사'!C25</f>
        <v>1100</v>
      </c>
      <c r="D23" s="40">
        <f>'1. 소켓인수검사'!D25</f>
        <v>850</v>
      </c>
      <c r="E23" s="41"/>
      <c r="F23" s="42">
        <f t="shared" si="5"/>
        <v>0.93500000000000005</v>
      </c>
      <c r="G23" s="42">
        <f t="shared" si="6"/>
        <v>3.9</v>
      </c>
      <c r="H23" s="47">
        <v>4</v>
      </c>
      <c r="I23" s="80">
        <f t="shared" si="7"/>
        <v>4.3</v>
      </c>
      <c r="J23" s="48">
        <v>4</v>
      </c>
      <c r="K23" s="34"/>
      <c r="L23" s="39"/>
      <c r="M23" s="34"/>
      <c r="N23" s="39"/>
      <c r="O23" s="80">
        <f t="shared" si="8"/>
        <v>4.4000000000000004</v>
      </c>
      <c r="P23" s="48">
        <v>4</v>
      </c>
      <c r="Q23" s="43">
        <f t="shared" si="9"/>
        <v>9.2799999999999994</v>
      </c>
      <c r="R23" s="117">
        <f t="shared" si="4"/>
        <v>18.559999999999999</v>
      </c>
      <c r="S23" s="49" t="s">
        <v>43</v>
      </c>
      <c r="T23" s="50" t="s">
        <v>7</v>
      </c>
      <c r="U23" s="46" t="str">
        <f>'1. 소켓인수검사'!G25</f>
        <v>3동 지하1층</v>
      </c>
    </row>
    <row r="24" spans="1:21">
      <c r="A24" s="59" t="str">
        <f>'1. 소켓인수검사'!A26</f>
        <v>18</v>
      </c>
      <c r="B24" s="81" t="s">
        <v>40</v>
      </c>
      <c r="C24" s="40">
        <f>'1. 소켓인수검사'!C26</f>
        <v>1100</v>
      </c>
      <c r="D24" s="40">
        <f>'1. 소켓인수검사'!D26</f>
        <v>900</v>
      </c>
      <c r="E24" s="41"/>
      <c r="F24" s="42">
        <f t="shared" si="5"/>
        <v>0.99</v>
      </c>
      <c r="G24" s="42">
        <f t="shared" si="6"/>
        <v>4</v>
      </c>
      <c r="H24" s="47">
        <v>4</v>
      </c>
      <c r="I24" s="80">
        <f t="shared" si="7"/>
        <v>4.4000000000000004</v>
      </c>
      <c r="J24" s="48">
        <v>4</v>
      </c>
      <c r="K24" s="34"/>
      <c r="L24" s="39"/>
      <c r="M24" s="34"/>
      <c r="N24" s="39"/>
      <c r="O24" s="80">
        <f t="shared" si="8"/>
        <v>4.5</v>
      </c>
      <c r="P24" s="48">
        <v>4</v>
      </c>
      <c r="Q24" s="43">
        <f t="shared" si="9"/>
        <v>9.48</v>
      </c>
      <c r="R24" s="117">
        <f t="shared" si="4"/>
        <v>18.96</v>
      </c>
      <c r="S24" s="49" t="s">
        <v>43</v>
      </c>
      <c r="T24" s="50" t="s">
        <v>7</v>
      </c>
      <c r="U24" s="46" t="str">
        <f>'1. 소켓인수검사'!G26</f>
        <v>5동 지하1층</v>
      </c>
    </row>
    <row r="25" spans="1:21">
      <c r="A25" s="59" t="str">
        <f>'1. 소켓인수검사'!A27</f>
        <v>19</v>
      </c>
      <c r="B25" s="81" t="s">
        <v>40</v>
      </c>
      <c r="C25" s="40">
        <f>'1. 소켓인수검사'!C27</f>
        <v>1100</v>
      </c>
      <c r="D25" s="40">
        <f>'1. 소켓인수검사'!D27</f>
        <v>900</v>
      </c>
      <c r="E25" s="41"/>
      <c r="F25" s="42">
        <f t="shared" si="5"/>
        <v>0.99</v>
      </c>
      <c r="G25" s="42">
        <f t="shared" si="6"/>
        <v>4</v>
      </c>
      <c r="H25" s="47">
        <v>4</v>
      </c>
      <c r="I25" s="80">
        <f t="shared" si="7"/>
        <v>4.4000000000000004</v>
      </c>
      <c r="J25" s="48">
        <v>4</v>
      </c>
      <c r="K25" s="34"/>
      <c r="L25" s="39"/>
      <c r="M25" s="34"/>
      <c r="N25" s="39"/>
      <c r="O25" s="80">
        <f t="shared" si="8"/>
        <v>4.5</v>
      </c>
      <c r="P25" s="48">
        <v>4</v>
      </c>
      <c r="Q25" s="43">
        <f t="shared" si="9"/>
        <v>9.48</v>
      </c>
      <c r="R25" s="117">
        <f t="shared" si="4"/>
        <v>18.96</v>
      </c>
      <c r="S25" s="49" t="s">
        <v>43</v>
      </c>
      <c r="T25" s="50" t="s">
        <v>7</v>
      </c>
      <c r="U25" s="46" t="str">
        <f>'1. 소켓인수검사'!G27</f>
        <v>6동 지하1층</v>
      </c>
    </row>
    <row r="26" spans="1:21">
      <c r="A26" s="59" t="str">
        <f>'1. 소켓인수검사'!A28</f>
        <v>20</v>
      </c>
      <c r="B26" s="81" t="s">
        <v>40</v>
      </c>
      <c r="C26" s="40">
        <f>'1. 소켓인수검사'!C28</f>
        <v>1200</v>
      </c>
      <c r="D26" s="40">
        <f>'1. 소켓인수검사'!D28</f>
        <v>1000</v>
      </c>
      <c r="E26" s="41"/>
      <c r="F26" s="42">
        <f t="shared" si="5"/>
        <v>1.2</v>
      </c>
      <c r="G26" s="42">
        <f t="shared" si="6"/>
        <v>4.4000000000000004</v>
      </c>
      <c r="H26" s="47">
        <v>4</v>
      </c>
      <c r="I26" s="80">
        <f t="shared" si="7"/>
        <v>4.8000000000000007</v>
      </c>
      <c r="J26" s="48">
        <v>4</v>
      </c>
      <c r="K26" s="34"/>
      <c r="L26" s="39"/>
      <c r="M26" s="34"/>
      <c r="N26" s="39"/>
      <c r="O26" s="80">
        <f t="shared" si="8"/>
        <v>4.9000000000000004</v>
      </c>
      <c r="P26" s="48">
        <v>4</v>
      </c>
      <c r="Q26" s="43">
        <f t="shared" si="9"/>
        <v>10.28</v>
      </c>
      <c r="R26" s="117">
        <f t="shared" si="4"/>
        <v>20.56</v>
      </c>
      <c r="S26" s="49" t="s">
        <v>43</v>
      </c>
      <c r="T26" s="50" t="s">
        <v>7</v>
      </c>
      <c r="U26" s="46" t="str">
        <f>'1. 소켓인수검사'!G28</f>
        <v>7동 지하1층</v>
      </c>
    </row>
    <row r="27" spans="1:21">
      <c r="A27" s="120" t="s">
        <v>5</v>
      </c>
      <c r="B27" s="121"/>
      <c r="C27" s="121"/>
      <c r="D27" s="79"/>
      <c r="E27" s="54"/>
      <c r="F27" s="54"/>
      <c r="G27" s="54"/>
      <c r="H27" s="53">
        <f>SUM(H7:H26)</f>
        <v>62</v>
      </c>
      <c r="I27" s="85"/>
      <c r="J27" s="53">
        <f>SUM(J7:J26)</f>
        <v>44</v>
      </c>
      <c r="K27" s="85"/>
      <c r="L27" s="53">
        <f>SUM(L7:L26)</f>
        <v>72</v>
      </c>
      <c r="M27" s="85"/>
      <c r="N27" s="53">
        <f>SUM(N7:N26)</f>
        <v>0</v>
      </c>
      <c r="O27" s="85"/>
      <c r="P27" s="53">
        <f>SUM(P7:P26)</f>
        <v>44</v>
      </c>
      <c r="Q27" s="85">
        <f>SUM(Q7:Q26)</f>
        <v>173.8</v>
      </c>
      <c r="R27" s="53">
        <f>SUM(R7:R26)</f>
        <v>347.6</v>
      </c>
      <c r="S27" s="82"/>
      <c r="T27" s="82"/>
      <c r="U27" s="83"/>
    </row>
    <row r="28" spans="1:21" ht="8.1" customHeight="1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4"/>
    </row>
    <row r="29" spans="1:21">
      <c r="A29" s="313" t="s">
        <v>47</v>
      </c>
      <c r="B29" s="313"/>
      <c r="C29" s="313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</row>
    <row r="30" spans="1:21">
      <c r="A30" s="313"/>
      <c r="B30" s="313"/>
      <c r="C30" s="313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</row>
    <row r="31" spans="1:21">
      <c r="A31" s="313"/>
      <c r="B31" s="313"/>
      <c r="C31" s="313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</row>
    <row r="32" spans="1:21">
      <c r="A32" s="313"/>
      <c r="B32" s="313"/>
      <c r="C32" s="313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</row>
  </sheetData>
  <mergeCells count="24">
    <mergeCell ref="A28:P28"/>
    <mergeCell ref="A29:C32"/>
    <mergeCell ref="Q5:R5"/>
    <mergeCell ref="S5:S6"/>
    <mergeCell ref="T5:T6"/>
    <mergeCell ref="K5:L5"/>
    <mergeCell ref="O5:P5"/>
    <mergeCell ref="M5:N5"/>
    <mergeCell ref="U5:U6"/>
    <mergeCell ref="A27:C27"/>
    <mergeCell ref="F1:J3"/>
    <mergeCell ref="K1:U3"/>
    <mergeCell ref="D29:U32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30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86"/>
  </cols>
  <sheetData/>
  <phoneticPr fontId="30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2026-07-07T07:24:42Z</cp:lastPrinted>
  <dcterms:created xsi:type="dcterms:W3CDTF">2025-03-13T00:09:10Z</dcterms:created>
  <dcterms:modified xsi:type="dcterms:W3CDTF">2026-07-07T07:25:48Z</dcterms:modified>
  <cp:version>1200.0100.01</cp:version>
</cp:coreProperties>
</file>