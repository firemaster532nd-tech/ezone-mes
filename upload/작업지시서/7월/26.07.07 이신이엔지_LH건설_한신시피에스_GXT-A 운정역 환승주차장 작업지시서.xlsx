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7월\"/>
    </mc:Choice>
  </mc:AlternateContent>
  <xr:revisionPtr revIDLastSave="0" documentId="13_ncr:1_{2067AEA2-C351-4E85-A30C-0BCAD0083FB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소켓인수검사'!$A$1:$P$20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18" i="10"/>
  <c r="R8" i="10"/>
  <c r="R7" i="10"/>
  <c r="H1" i="12"/>
  <c r="D19" i="12"/>
  <c r="I19" i="12" s="1"/>
  <c r="C19" i="12"/>
  <c r="D18" i="12"/>
  <c r="M18" i="12" s="1"/>
  <c r="C18" i="12"/>
  <c r="K18" i="12" s="1"/>
  <c r="D17" i="12"/>
  <c r="C17" i="12"/>
  <c r="K17" i="12" s="1"/>
  <c r="D16" i="12"/>
  <c r="I16" i="12" s="1"/>
  <c r="C16" i="12"/>
  <c r="G16" i="12" s="1"/>
  <c r="D15" i="12"/>
  <c r="M15" i="12" s="1"/>
  <c r="C15" i="12"/>
  <c r="D14" i="12"/>
  <c r="I14" i="12" s="1"/>
  <c r="C14" i="12"/>
  <c r="G14" i="12" s="1"/>
  <c r="D13" i="12"/>
  <c r="C13" i="12"/>
  <c r="K13" i="12" s="1"/>
  <c r="D12" i="12"/>
  <c r="I12" i="12" s="1"/>
  <c r="C12" i="12"/>
  <c r="K12" i="12" s="1"/>
  <c r="D11" i="12"/>
  <c r="I11" i="12" s="1"/>
  <c r="C11" i="12"/>
  <c r="D10" i="12"/>
  <c r="I10" i="12" s="1"/>
  <c r="C10" i="12"/>
  <c r="K10" i="12" s="1"/>
  <c r="D9" i="12"/>
  <c r="C9" i="12"/>
  <c r="D8" i="12"/>
  <c r="I8" i="12" s="1"/>
  <c r="C8" i="12"/>
  <c r="G8" i="12" s="1"/>
  <c r="A19" i="12"/>
  <c r="A18" i="12"/>
  <c r="A17" i="12"/>
  <c r="A16" i="12"/>
  <c r="A15" i="12"/>
  <c r="A14" i="12"/>
  <c r="A13" i="12"/>
  <c r="A12" i="12"/>
  <c r="A11" i="12"/>
  <c r="A10" i="12"/>
  <c r="A9" i="12"/>
  <c r="A8" i="12"/>
  <c r="M19" i="12"/>
  <c r="J19" i="12"/>
  <c r="H19" i="12"/>
  <c r="J18" i="12"/>
  <c r="H18" i="12"/>
  <c r="J17" i="12"/>
  <c r="H17" i="12"/>
  <c r="J16" i="12"/>
  <c r="H16" i="12"/>
  <c r="J15" i="12"/>
  <c r="H15" i="12"/>
  <c r="I15" i="12"/>
  <c r="K14" i="12"/>
  <c r="J14" i="12"/>
  <c r="H14" i="12"/>
  <c r="J13" i="12"/>
  <c r="H13" i="12"/>
  <c r="J12" i="12"/>
  <c r="H12" i="12"/>
  <c r="G12" i="12"/>
  <c r="M11" i="12"/>
  <c r="J11" i="12"/>
  <c r="H11" i="12"/>
  <c r="J10" i="12"/>
  <c r="H10" i="12"/>
  <c r="J9" i="12"/>
  <c r="H9" i="12"/>
  <c r="J8" i="12"/>
  <c r="H8" i="12"/>
  <c r="G1" i="2"/>
  <c r="D19" i="2"/>
  <c r="C19" i="2"/>
  <c r="D18" i="2"/>
  <c r="C18" i="2"/>
  <c r="D17" i="2"/>
  <c r="I17" i="2" s="1"/>
  <c r="C17" i="2"/>
  <c r="D16" i="2"/>
  <c r="C16" i="2"/>
  <c r="D15" i="2"/>
  <c r="C15" i="2"/>
  <c r="D14" i="2"/>
  <c r="C14" i="2"/>
  <c r="D13" i="2"/>
  <c r="I13" i="2" s="1"/>
  <c r="C13" i="2"/>
  <c r="D12" i="2"/>
  <c r="C12" i="2"/>
  <c r="D11" i="2"/>
  <c r="C11" i="2"/>
  <c r="D10" i="2"/>
  <c r="C10" i="2"/>
  <c r="D9" i="2"/>
  <c r="I9" i="2" s="1"/>
  <c r="C9" i="2"/>
  <c r="D8" i="2"/>
  <c r="C8" i="2"/>
  <c r="K1" i="10"/>
  <c r="P5" i="9"/>
  <c r="N5" i="5"/>
  <c r="D1" i="1"/>
  <c r="P19" i="10"/>
  <c r="H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9" i="2"/>
  <c r="A18" i="2"/>
  <c r="A17" i="2"/>
  <c r="A16" i="2"/>
  <c r="G15" i="2"/>
  <c r="A15" i="2"/>
  <c r="A14" i="2"/>
  <c r="A13" i="2"/>
  <c r="A12" i="2"/>
  <c r="A11" i="2"/>
  <c r="A10" i="2"/>
  <c r="A9" i="2"/>
  <c r="A8" i="2"/>
  <c r="M14" i="12" l="1"/>
  <c r="G17" i="12"/>
  <c r="G9" i="12"/>
  <c r="K9" i="12"/>
  <c r="G15" i="10"/>
  <c r="Q17" i="10"/>
  <c r="G10" i="12"/>
  <c r="K8" i="12"/>
  <c r="M10" i="12"/>
  <c r="K16" i="12"/>
  <c r="F14" i="9"/>
  <c r="M14" i="9" s="1"/>
  <c r="O14" i="9" s="1"/>
  <c r="G18" i="12"/>
  <c r="G13" i="12"/>
  <c r="I18" i="12"/>
  <c r="K11" i="12"/>
  <c r="G11" i="12"/>
  <c r="M13" i="12"/>
  <c r="I13" i="12"/>
  <c r="K15" i="12"/>
  <c r="G15" i="12"/>
  <c r="M17" i="12"/>
  <c r="I17" i="12"/>
  <c r="K19" i="12"/>
  <c r="G19" i="12"/>
  <c r="M9" i="12"/>
  <c r="I9" i="12"/>
  <c r="M8" i="12"/>
  <c r="M12" i="12"/>
  <c r="M16" i="12"/>
  <c r="Q14" i="10"/>
  <c r="G7" i="10"/>
  <c r="F14" i="10"/>
  <c r="G14" i="10"/>
  <c r="K14" i="10" s="1"/>
  <c r="E10" i="9"/>
  <c r="E18" i="9"/>
  <c r="G17" i="2"/>
  <c r="G13" i="2"/>
  <c r="G9" i="2"/>
  <c r="I19" i="2"/>
  <c r="I15" i="2"/>
  <c r="I11" i="2"/>
  <c r="I16" i="2"/>
  <c r="G16" i="2"/>
  <c r="G18" i="2"/>
  <c r="I18" i="2"/>
  <c r="I10" i="2"/>
  <c r="G12" i="2"/>
  <c r="G14" i="2"/>
  <c r="I8" i="2"/>
  <c r="I14" i="2"/>
  <c r="I12" i="2"/>
  <c r="G8" i="2"/>
  <c r="G10" i="2"/>
  <c r="E20" i="9"/>
  <c r="F20" i="9"/>
  <c r="M20" i="9" s="1"/>
  <c r="O20" i="9" s="1"/>
  <c r="G11" i="2"/>
  <c r="G19" i="2"/>
  <c r="F10" i="10"/>
  <c r="Q13" i="10"/>
  <c r="F15" i="10"/>
  <c r="Q11" i="10"/>
  <c r="E12" i="9"/>
  <c r="F16" i="9"/>
  <c r="M16" i="9" s="1"/>
  <c r="O16" i="9" s="1"/>
  <c r="G18" i="10"/>
  <c r="K18" i="10" s="1"/>
  <c r="F18" i="10"/>
  <c r="Q18" i="10"/>
  <c r="Q10" i="10"/>
  <c r="G10" i="10"/>
  <c r="K10" i="10" s="1"/>
  <c r="Q15" i="10"/>
  <c r="F7" i="10"/>
  <c r="Q7" i="10"/>
  <c r="Q9" i="10"/>
  <c r="F11" i="10"/>
  <c r="G11" i="10"/>
  <c r="K11" i="10" s="1"/>
  <c r="N19" i="10"/>
  <c r="F17" i="10"/>
  <c r="F12" i="9"/>
  <c r="M12" i="9" s="1"/>
  <c r="O12" i="9" s="1"/>
  <c r="F18" i="9"/>
  <c r="M18" i="9" s="1"/>
  <c r="O18" i="9" s="1"/>
  <c r="E16" i="9"/>
  <c r="F10" i="9"/>
  <c r="M10" i="9" s="1"/>
  <c r="O10" i="9" s="1"/>
  <c r="E14" i="9"/>
  <c r="E15" i="9"/>
  <c r="F15" i="9"/>
  <c r="M15" i="9" s="1"/>
  <c r="O15" i="9" s="1"/>
  <c r="E17" i="9"/>
  <c r="F17" i="9"/>
  <c r="M17" i="9" s="1"/>
  <c r="O17" i="9" s="1"/>
  <c r="E13" i="9"/>
  <c r="F13" i="9"/>
  <c r="M13" i="9" s="1"/>
  <c r="O13" i="9" s="1"/>
  <c r="E21" i="9"/>
  <c r="F21" i="9"/>
  <c r="M21" i="9" s="1"/>
  <c r="O21" i="9" s="1"/>
  <c r="E11" i="9"/>
  <c r="F11" i="9"/>
  <c r="M11" i="9" s="1"/>
  <c r="O11" i="9" s="1"/>
  <c r="E19" i="9"/>
  <c r="F19" i="9"/>
  <c r="M19" i="9" s="1"/>
  <c r="O19" i="9" s="1"/>
  <c r="J19" i="10"/>
  <c r="L19" i="10"/>
  <c r="K7" i="10"/>
  <c r="K15" i="10"/>
  <c r="Q8" i="10"/>
  <c r="G8" i="10"/>
  <c r="F8" i="10"/>
  <c r="G9" i="10"/>
  <c r="F9" i="10"/>
  <c r="Q12" i="10"/>
  <c r="G12" i="10"/>
  <c r="F12" i="10"/>
  <c r="G13" i="10"/>
  <c r="F13" i="10"/>
  <c r="Q16" i="10"/>
  <c r="G16" i="10"/>
  <c r="F16" i="10"/>
  <c r="G17" i="10"/>
  <c r="O22" i="9" l="1"/>
  <c r="G25" i="9" s="1"/>
  <c r="K16" i="10"/>
  <c r="K9" i="10"/>
  <c r="R19" i="10"/>
  <c r="K13" i="10"/>
  <c r="K12" i="10"/>
  <c r="Q19" i="10"/>
  <c r="K17" i="10"/>
  <c r="K8" i="10"/>
  <c r="I22" i="9" l="1"/>
  <c r="G23" i="9" s="1"/>
  <c r="R22" i="9"/>
  <c r="G26" i="9" s="1"/>
  <c r="L22" i="9"/>
  <c r="G2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<sst xmlns="http://schemas.openxmlformats.org/spreadsheetml/2006/main" count="265" uniqueCount="96">
  <si>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</si>
  <si>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</si>
  <si>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</si>
  <si>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</si>
  <si>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</si>
  <si>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</si>
  <si>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</si>
  <si>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</si>
  <si>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</si>
  <si>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</si>
  <si>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</si>
  <si>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</si>
  <si>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</si>
  <si>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</si>
  <si>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</si>
  <si>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</si>
  <si>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</si>
  <si>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</si>
  <si>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</si>
  <si>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</si>
  <si>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</si>
  <si>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</si>
  <si>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</si>
  <si>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</si>
  <si>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</si>
  <si>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</si>
  <si>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</si>
  <si>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</si>
  <si>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</si>
  <si>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</si>
  <si>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</si>
  <si>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</si>
  <si>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</si>
  <si>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</si>
  <si>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</si>
  <si>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</si>
  <si>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</si>
  <si>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</si>
  <si>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</si>
  <si>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</si>
  <si>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</si>
  <si>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</si>
  <si>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</si>
  <si>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</si>
  <si>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</si>
  <si>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</si>
  <si>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</si>
  <si>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</si>
  <si>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</si>
  <si>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</si>
  <si>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</si>
  <si>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</si>
  <si>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</si>
  <si>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</si>
  <si>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</si>
  <si>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</si>
  <si>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</si>
  <si>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</si>
  <si>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</si>
  <si>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</si>
  <si>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</si>
  <si>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4" type="noConversion"/>
  </si>
  <si>
    <t>재단작업지시서(VM)</t>
    <phoneticPr fontId="24" type="noConversion"/>
  </si>
  <si>
    <t>절 곡 생 산 일 지(VM)</t>
    <phoneticPr fontId="24" type="noConversion"/>
  </si>
  <si>
    <t>라벨소요량</t>
    <phoneticPr fontId="24" type="noConversion"/>
  </si>
  <si>
    <t>25*
200</t>
    <phoneticPr fontId="24" type="noConversion"/>
  </si>
  <si>
    <t>구조체작업지시서</t>
    <phoneticPr fontId="24" type="noConversion"/>
  </si>
  <si>
    <t>차열재 25T*200*7.4M</t>
    <phoneticPr fontId="24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</si>
  <si>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</si>
  <si>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</si>
  <si>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</si>
  <si>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</si>
  <si>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</si>
  <si>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</si>
  <si>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</si>
  <si>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</si>
  <si>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</si>
  <si>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재단작업지시서차열재</t>
    <phoneticPr fontId="24" type="noConversion"/>
  </si>
  <si>
    <t>E.A 벽체</t>
  </si>
  <si>
    <t>S.A 벽체</t>
  </si>
  <si>
    <t>01</t>
    <phoneticPr fontId="24" type="noConversion"/>
  </si>
  <si>
    <t>02</t>
    <phoneticPr fontId="24" type="noConversion"/>
  </si>
  <si>
    <t>03</t>
    <phoneticPr fontId="24" type="noConversion"/>
  </si>
  <si>
    <t>BT009</t>
    <phoneticPr fontId="24" type="noConversion"/>
  </si>
  <si>
    <t>BT010</t>
  </si>
  <si>
    <t>BT011</t>
  </si>
  <si>
    <t>BT012</t>
  </si>
  <si>
    <t>BT013</t>
  </si>
  <si>
    <t>BT014</t>
  </si>
  <si>
    <t>BT015</t>
  </si>
  <si>
    <t>BT016</t>
  </si>
  <si>
    <t>BT017</t>
  </si>
  <si>
    <t>BT018</t>
  </si>
  <si>
    <t>BT019</t>
  </si>
  <si>
    <t>BT020</t>
  </si>
  <si>
    <r>
      <t xml:space="preserve">26.07.07 </t>
    </r>
    <r>
      <rPr>
        <sz val="10"/>
        <color rgb="FF000000"/>
        <rFont val="맑은 고딕"/>
        <family val="3"/>
        <charset val="129"/>
      </rPr>
      <t>이신이엔지</t>
    </r>
    <r>
      <rPr>
        <sz val="10"/>
        <color rgb="FF000000"/>
        <rFont val="Arial"/>
        <family val="2"/>
      </rPr>
      <t>_LH</t>
    </r>
    <r>
      <rPr>
        <sz val="10"/>
        <color rgb="FF000000"/>
        <rFont val="맑은 고딕"/>
        <family val="3"/>
        <charset val="129"/>
      </rPr>
      <t>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한신시피에스</t>
    </r>
    <r>
      <rPr>
        <sz val="10"/>
        <color rgb="FF000000"/>
        <rFont val="Arial"/>
        <family val="2"/>
      </rPr>
      <t xml:space="preserve">_GXT-A </t>
    </r>
    <r>
      <rPr>
        <sz val="10"/>
        <color rgb="FF000000"/>
        <rFont val="맑은 고딕"/>
        <family val="3"/>
        <charset val="129"/>
      </rPr>
      <t>운정역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환승주차장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</si>
</sst>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1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6" xfId="0" applyFont="1" applyBorder="1" applyAlignment="1">
      <alignment horizontal="left" vertical="center"/>
    </xf>
    <xf numFmtId="0" fontId="23" fillId="0" borderId="0">
      <alignment vertical="center"/>
    </xf>
    <xf numFmtId="176" fontId="23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2">
      <alignment vertical="center"/>
    </xf>
    <xf numFmtId="0" fontId="23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3" fillId="0" borderId="6" xfId="3" applyBorder="1" applyAlignment="1">
      <alignment horizontal="center" vertical="center"/>
    </xf>
    <xf numFmtId="176" fontId="23" fillId="0" borderId="7" xfId="3" applyBorder="1" applyAlignment="1">
      <alignment horizontal="center" vertical="center"/>
    </xf>
    <xf numFmtId="176" fontId="23" fillId="0" borderId="8" xfId="3" applyBorder="1" applyAlignment="1">
      <alignment horizontal="center" vertical="center"/>
    </xf>
    <xf numFmtId="176" fontId="23" fillId="0" borderId="12" xfId="3" applyBorder="1" applyAlignment="1">
      <alignment horizontal="center" vertical="center"/>
    </xf>
    <xf numFmtId="176" fontId="23" fillId="0" borderId="10" xfId="3" applyBorder="1" applyAlignment="1">
      <alignment horizontal="center" vertical="center"/>
    </xf>
    <xf numFmtId="176" fontId="23" fillId="0" borderId="13" xfId="3" applyBorder="1" applyAlignment="1">
      <alignment horizontal="center" vertical="center"/>
    </xf>
    <xf numFmtId="176" fontId="23" fillId="0" borderId="14" xfId="3" applyBorder="1" applyAlignment="1">
      <alignment horizontal="center" vertical="center"/>
    </xf>
    <xf numFmtId="0" fontId="23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3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3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9" fillId="4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5" borderId="18" xfId="4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4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8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 wrapText="1"/>
    </xf>
    <xf numFmtId="178" fontId="14" fillId="0" borderId="18" xfId="2" applyNumberFormat="1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27" fillId="5" borderId="18" xfId="4" applyFont="1" applyFill="1" applyBorder="1" applyAlignment="1">
      <alignment horizontal="center" vertical="center" wrapText="1"/>
    </xf>
    <xf numFmtId="177" fontId="6" fillId="4" borderId="18" xfId="0" applyNumberFormat="1" applyFont="1" applyFill="1" applyBorder="1" applyAlignment="1">
      <alignment horizontal="center" vertical="center" wrapText="1"/>
    </xf>
    <xf numFmtId="0" fontId="2" fillId="6" borderId="18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35" xfId="4" applyFont="1" applyBorder="1" applyAlignment="1">
      <alignment horizontal="center" vertical="center" wrapText="1"/>
    </xf>
    <xf numFmtId="0" fontId="25" fillId="0" borderId="37" xfId="4" applyFont="1" applyBorder="1" applyAlignment="1">
      <alignment horizontal="center" vertical="center" wrapText="1"/>
    </xf>
    <xf numFmtId="0" fontId="25" fillId="0" borderId="0" xfId="4" applyFont="1" applyAlignment="1">
      <alignment horizontal="center" vertical="center" wrapText="1"/>
    </xf>
    <xf numFmtId="0" fontId="25" fillId="0" borderId="39" xfId="4" applyFont="1" applyBorder="1" applyAlignment="1">
      <alignment horizontal="center" vertical="center" wrapText="1"/>
    </xf>
    <xf numFmtId="0" fontId="25" fillId="0" borderId="34" xfId="4" applyFont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shrinkToFit="1"/>
    </xf>
    <xf numFmtId="0" fontId="26" fillId="0" borderId="36" xfId="4" applyFont="1" applyBorder="1" applyAlignment="1">
      <alignment horizontal="center" vertical="center" shrinkToFit="1"/>
    </xf>
    <xf numFmtId="0" fontId="26" fillId="0" borderId="0" xfId="4" applyFont="1" applyAlignment="1">
      <alignment horizontal="center" vertical="center" shrinkToFit="1"/>
    </xf>
    <xf numFmtId="0" fontId="26" fillId="0" borderId="38" xfId="4" applyFont="1" applyBorder="1" applyAlignment="1">
      <alignment horizontal="center" vertical="center" shrinkToFit="1"/>
    </xf>
    <xf numFmtId="0" fontId="26" fillId="0" borderId="34" xfId="4" applyFont="1" applyBorder="1" applyAlignment="1">
      <alignment horizontal="center" vertical="center" shrinkToFit="1"/>
    </xf>
    <xf numFmtId="0" fontId="26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6" borderId="17" xfId="4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0" fontId="2" fillId="6" borderId="16" xfId="4" applyFont="1" applyFill="1" applyBorder="1" applyAlignment="1">
      <alignment horizontal="center" vertical="center" wrapText="1"/>
    </xf>
    <xf numFmtId="0" fontId="2" fillId="6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3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0" xfId="0" applyFont="1" applyBorder="1" applyAlignment="1">
      <alignment horizontal="center" vertical="center" wrapText="1" shrinkToFit="1"/>
    </xf>
    <xf numFmtId="0" fontId="29" fillId="0" borderId="0" xfId="0" applyFont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23" fillId="0" borderId="18" xfId="2" applyNumberFormat="1" applyBorder="1" applyAlignment="1">
      <alignment horizontal="center" vertical="center" wrapText="1"/>
    </xf>
    <xf numFmtId="0" fontId="23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3" fillId="0" borderId="21" xfId="2" applyBorder="1" applyAlignment="1">
      <alignment horizontal="center" vertical="center"/>
    </xf>
    <xf numFmtId="0" fontId="23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19" fillId="0" borderId="24" xfId="2" applyFont="1" applyBorder="1" applyAlignment="1">
      <alignment horizontal="center" vertical="center" shrinkToFit="1"/>
    </xf>
    <xf numFmtId="0" fontId="19" fillId="0" borderId="11" xfId="2" applyFont="1" applyBorder="1" applyAlignment="1">
      <alignment horizontal="center" vertical="center" shrinkToFit="1"/>
    </xf>
    <xf numFmtId="0" fontId="19" fillId="0" borderId="3" xfId="2" applyFont="1" applyBorder="1" applyAlignment="1">
      <alignment horizontal="center" vertical="center" shrinkToFit="1"/>
    </xf>
    <xf numFmtId="0" fontId="19" fillId="0" borderId="30" xfId="2" applyFont="1" applyBorder="1" applyAlignment="1">
      <alignment horizontal="center" vertical="center" shrinkToFit="1"/>
    </xf>
    <xf numFmtId="0" fontId="19" fillId="0" borderId="0" xfId="2" applyFont="1" applyAlignment="1">
      <alignment horizontal="center" vertical="center" shrinkToFit="1"/>
    </xf>
    <xf numFmtId="0" fontId="19" fillId="0" borderId="31" xfId="2" applyFont="1" applyBorder="1" applyAlignment="1">
      <alignment horizontal="center" vertical="center" shrinkToFit="1"/>
    </xf>
    <xf numFmtId="0" fontId="19" fillId="0" borderId="25" xfId="2" applyFont="1" applyBorder="1" applyAlignment="1">
      <alignment horizontal="center" vertical="center" shrinkToFit="1"/>
    </xf>
    <xf numFmtId="0" fontId="19" fillId="0" borderId="2" xfId="2" applyFont="1" applyBorder="1" applyAlignment="1">
      <alignment horizontal="center" vertical="center" shrinkToFit="1"/>
    </xf>
    <xf numFmtId="0" fontId="19" fillId="0" borderId="29" xfId="2" applyFont="1" applyBorder="1" applyAlignment="1">
      <alignment horizontal="center" vertical="center" shrinkToFit="1"/>
    </xf>
    <xf numFmtId="0" fontId="23" fillId="0" borderId="4" xfId="2" applyBorder="1" applyAlignment="1">
      <alignment horizontal="center" vertical="center"/>
    </xf>
    <xf numFmtId="0" fontId="23" fillId="0" borderId="28" xfId="2" applyBorder="1" applyAlignment="1">
      <alignment horizontal="center" vertical="center"/>
    </xf>
    <xf numFmtId="0" fontId="28" fillId="0" borderId="1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 shrinkToFit="1"/>
    </xf>
    <xf numFmtId="0" fontId="28" fillId="0" borderId="11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8" fillId="0" borderId="25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9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0"/>
  <sheetViews>
    <sheetView view="pageBreakPreview" zoomScale="120" zoomScaleNormal="120" zoomScaleSheetLayoutView="120" workbookViewId="0">
      <pane ySplit="8" topLeftCell="A9" activePane="bottomLeft" state="frozen"/>
      <selection pane="bottomLeft" activeCell="R11" sqref="R1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2" t="s">
        <v>66</v>
      </c>
      <c r="B1" s="83"/>
      <c r="C1" s="83"/>
      <c r="D1" s="88" t="str">
        <f>R2</f>
        <v>26.07.07 이신이엔지_LH건설_한신시피에스_GXT-A 운정역 환승주차장</v>
      </c>
      <c r="E1" s="88"/>
      <c r="F1" s="88"/>
      <c r="G1" s="89"/>
      <c r="R1" s="8" t="s">
        <v>61</v>
      </c>
    </row>
    <row r="2" spans="1:18" ht="16.5" customHeight="1">
      <c r="A2" s="84"/>
      <c r="B2" s="85"/>
      <c r="C2" s="85"/>
      <c r="D2" s="90"/>
      <c r="E2" s="90"/>
      <c r="F2" s="90"/>
      <c r="G2" s="91"/>
      <c r="R2" s="61" t="s">
        <v>95</v>
      </c>
    </row>
    <row r="3" spans="1:18" ht="16.5" customHeight="1">
      <c r="A3" s="84"/>
      <c r="B3" s="85"/>
      <c r="C3" s="85"/>
      <c r="D3" s="90"/>
      <c r="E3" s="90"/>
      <c r="F3" s="90"/>
      <c r="G3" s="91"/>
    </row>
    <row r="4" spans="1:18" ht="17.25" customHeight="1" thickBot="1">
      <c r="A4" s="86"/>
      <c r="B4" s="87"/>
      <c r="C4" s="87"/>
      <c r="D4" s="92"/>
      <c r="E4" s="92"/>
      <c r="F4" s="92"/>
      <c r="G4" s="93"/>
    </row>
    <row r="5" spans="1:18" ht="6.75" customHeight="1" thickTop="1">
      <c r="A5" s="62"/>
      <c r="B5" s="62"/>
      <c r="C5" s="62"/>
      <c r="D5" s="62"/>
      <c r="E5" s="62"/>
      <c r="F5" s="62"/>
      <c r="G5" s="62"/>
    </row>
    <row r="6" spans="1:18" s="10" customFormat="1" ht="18" customHeight="1" thickBot="1">
      <c r="A6" s="94" t="s">
        <v>1</v>
      </c>
      <c r="B6" s="96" t="s">
        <v>60</v>
      </c>
      <c r="C6" s="96" t="s">
        <v>4</v>
      </c>
      <c r="D6" s="96"/>
      <c r="E6" s="96" t="s">
        <v>38</v>
      </c>
      <c r="F6" s="96" t="s">
        <v>35</v>
      </c>
      <c r="G6" s="97" t="s">
        <v>15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95"/>
      <c r="B7" s="81"/>
      <c r="C7" s="81" t="s">
        <v>57</v>
      </c>
      <c r="D7" s="81" t="s">
        <v>55</v>
      </c>
      <c r="E7" s="81"/>
      <c r="F7" s="81"/>
      <c r="G7" s="9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95"/>
      <c r="B8" s="81"/>
      <c r="C8" s="81"/>
      <c r="D8" s="81"/>
      <c r="E8" s="81"/>
      <c r="F8" s="81"/>
      <c r="G8" s="98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69" t="s">
        <v>80</v>
      </c>
      <c r="B9" s="47" t="s">
        <v>43</v>
      </c>
      <c r="C9" s="26">
        <v>450</v>
      </c>
      <c r="D9" s="26">
        <v>400</v>
      </c>
      <c r="E9" s="63"/>
      <c r="F9" s="63"/>
      <c r="G9" s="64" t="s">
        <v>78</v>
      </c>
      <c r="H9" s="13"/>
      <c r="I9" s="23"/>
      <c r="J9" s="21"/>
      <c r="K9" s="17"/>
      <c r="L9" s="18"/>
      <c r="M9" s="19"/>
      <c r="N9" s="21"/>
      <c r="O9" s="8"/>
      <c r="Q9" s="10" t="s">
        <v>83</v>
      </c>
    </row>
    <row r="10" spans="1:18" s="10" customFormat="1" ht="18" customHeight="1" thickBot="1">
      <c r="A10" s="69" t="s">
        <v>81</v>
      </c>
      <c r="B10" s="47" t="s">
        <v>43</v>
      </c>
      <c r="C10" s="26">
        <v>450</v>
      </c>
      <c r="D10" s="26">
        <v>400</v>
      </c>
      <c r="E10" s="49"/>
      <c r="F10" s="63"/>
      <c r="G10" s="64" t="s">
        <v>78</v>
      </c>
      <c r="H10" s="13"/>
      <c r="I10" s="23"/>
      <c r="J10" s="21"/>
      <c r="K10" s="17"/>
      <c r="L10" s="18"/>
      <c r="M10" s="19"/>
      <c r="N10" s="21"/>
      <c r="O10" s="8"/>
      <c r="Q10" s="10" t="s">
        <v>84</v>
      </c>
    </row>
    <row r="11" spans="1:18" s="10" customFormat="1" ht="18" customHeight="1" thickBot="1">
      <c r="A11" s="69" t="s">
        <v>82</v>
      </c>
      <c r="B11" s="47" t="s">
        <v>43</v>
      </c>
      <c r="C11" s="26">
        <v>450</v>
      </c>
      <c r="D11" s="26">
        <v>400</v>
      </c>
      <c r="E11" s="49"/>
      <c r="F11" s="63"/>
      <c r="G11" s="64" t="s">
        <v>78</v>
      </c>
      <c r="H11" s="13"/>
      <c r="I11" s="23"/>
      <c r="J11" s="21"/>
      <c r="K11" s="17"/>
      <c r="L11" s="18"/>
      <c r="M11" s="19"/>
      <c r="N11" s="21"/>
      <c r="O11" s="8"/>
      <c r="Q11" s="10" t="s">
        <v>85</v>
      </c>
    </row>
    <row r="12" spans="1:18" s="10" customFormat="1" ht="18" customHeight="1" thickBot="1">
      <c r="A12" s="69" t="s">
        <v>68</v>
      </c>
      <c r="B12" s="47" t="s">
        <v>43</v>
      </c>
      <c r="C12" s="26">
        <v>450</v>
      </c>
      <c r="D12" s="26">
        <v>400</v>
      </c>
      <c r="E12" s="49"/>
      <c r="F12" s="63"/>
      <c r="G12" s="64" t="s">
        <v>78</v>
      </c>
      <c r="H12" s="13"/>
      <c r="I12" s="23"/>
      <c r="J12" s="21"/>
      <c r="K12" s="17"/>
      <c r="L12" s="18"/>
      <c r="M12" s="19"/>
      <c r="N12" s="21"/>
      <c r="O12" s="8"/>
      <c r="Q12" s="10" t="s">
        <v>86</v>
      </c>
    </row>
    <row r="13" spans="1:18" s="10" customFormat="1" ht="18" customHeight="1" thickBot="1">
      <c r="A13" s="69" t="s">
        <v>69</v>
      </c>
      <c r="B13" s="47" t="s">
        <v>43</v>
      </c>
      <c r="C13" s="26">
        <v>450</v>
      </c>
      <c r="D13" s="26">
        <v>400</v>
      </c>
      <c r="E13" s="49"/>
      <c r="F13" s="63"/>
      <c r="G13" s="64" t="s">
        <v>78</v>
      </c>
      <c r="H13" s="13"/>
      <c r="I13" s="12"/>
      <c r="J13" s="12"/>
      <c r="K13" s="17"/>
      <c r="L13" s="18"/>
      <c r="M13" s="19"/>
      <c r="N13" s="12"/>
      <c r="O13" s="8"/>
      <c r="Q13" s="10" t="s">
        <v>87</v>
      </c>
    </row>
    <row r="14" spans="1:18" s="10" customFormat="1" ht="18" customHeight="1" thickBot="1">
      <c r="A14" s="69" t="s">
        <v>70</v>
      </c>
      <c r="B14" s="47" t="s">
        <v>43</v>
      </c>
      <c r="C14" s="26">
        <v>450</v>
      </c>
      <c r="D14" s="26">
        <v>400</v>
      </c>
      <c r="E14" s="49"/>
      <c r="F14" s="63"/>
      <c r="G14" s="64" t="s">
        <v>78</v>
      </c>
      <c r="H14" s="13"/>
      <c r="I14" s="23"/>
      <c r="J14" s="21"/>
      <c r="K14" s="17"/>
      <c r="L14" s="18"/>
      <c r="M14" s="19"/>
      <c r="N14" s="21"/>
      <c r="O14" s="8"/>
      <c r="Q14" s="10" t="s">
        <v>88</v>
      </c>
    </row>
    <row r="15" spans="1:18" s="10" customFormat="1" ht="18" customHeight="1" thickBot="1">
      <c r="A15" s="69" t="s">
        <v>71</v>
      </c>
      <c r="B15" s="47" t="s">
        <v>43</v>
      </c>
      <c r="C15" s="26">
        <v>450</v>
      </c>
      <c r="D15" s="26">
        <v>400</v>
      </c>
      <c r="E15" s="49"/>
      <c r="F15" s="63"/>
      <c r="G15" s="64" t="s">
        <v>78</v>
      </c>
      <c r="H15" s="13"/>
      <c r="I15" s="22"/>
      <c r="J15" s="20"/>
      <c r="K15" s="17"/>
      <c r="L15" s="18"/>
      <c r="M15" s="19"/>
      <c r="N15" s="20"/>
      <c r="O15" s="8"/>
      <c r="Q15" s="10" t="s">
        <v>89</v>
      </c>
    </row>
    <row r="16" spans="1:18" s="10" customFormat="1" ht="18" customHeight="1" thickBot="1">
      <c r="A16" s="69" t="s">
        <v>72</v>
      </c>
      <c r="B16" s="47" t="s">
        <v>43</v>
      </c>
      <c r="C16" s="26">
        <v>450</v>
      </c>
      <c r="D16" s="26">
        <v>400</v>
      </c>
      <c r="E16" s="49"/>
      <c r="F16" s="63"/>
      <c r="G16" s="64" t="s">
        <v>78</v>
      </c>
      <c r="H16" s="13"/>
      <c r="I16" s="23"/>
      <c r="J16" s="21"/>
      <c r="K16" s="17"/>
      <c r="L16" s="18"/>
      <c r="M16" s="19"/>
      <c r="N16" s="21"/>
      <c r="O16" s="8"/>
      <c r="Q16" s="10" t="s">
        <v>90</v>
      </c>
    </row>
    <row r="17" spans="1:17" s="10" customFormat="1" ht="18" customHeight="1" thickBot="1">
      <c r="A17" s="69" t="s">
        <v>73</v>
      </c>
      <c r="B17" s="47" t="s">
        <v>43</v>
      </c>
      <c r="C17" s="26">
        <v>550</v>
      </c>
      <c r="D17" s="26">
        <v>400</v>
      </c>
      <c r="E17" s="49"/>
      <c r="F17" s="63"/>
      <c r="G17" s="64" t="s">
        <v>79</v>
      </c>
      <c r="H17" s="13"/>
      <c r="I17" s="23"/>
      <c r="J17" s="21"/>
      <c r="K17" s="17"/>
      <c r="L17" s="18"/>
      <c r="M17" s="19"/>
      <c r="N17" s="21"/>
      <c r="O17" s="8"/>
      <c r="Q17" s="10" t="s">
        <v>91</v>
      </c>
    </row>
    <row r="18" spans="1:17" s="10" customFormat="1" ht="18" customHeight="1" thickBot="1">
      <c r="A18" s="69" t="s">
        <v>74</v>
      </c>
      <c r="B18" s="47" t="s">
        <v>43</v>
      </c>
      <c r="C18" s="26">
        <v>550</v>
      </c>
      <c r="D18" s="26">
        <v>400</v>
      </c>
      <c r="E18" s="49"/>
      <c r="F18" s="63"/>
      <c r="G18" s="64" t="s">
        <v>79</v>
      </c>
      <c r="H18" s="13"/>
      <c r="I18" s="23"/>
      <c r="J18" s="21"/>
      <c r="K18" s="17"/>
      <c r="L18" s="18"/>
      <c r="M18" s="19"/>
      <c r="N18" s="21"/>
      <c r="O18" s="8"/>
      <c r="Q18" s="10" t="s">
        <v>92</v>
      </c>
    </row>
    <row r="19" spans="1:17" s="10" customFormat="1" ht="18" customHeight="1" thickBot="1">
      <c r="A19" s="69" t="s">
        <v>75</v>
      </c>
      <c r="B19" s="47" t="s">
        <v>43</v>
      </c>
      <c r="C19" s="26">
        <v>550</v>
      </c>
      <c r="D19" s="26">
        <v>400</v>
      </c>
      <c r="E19" s="49"/>
      <c r="F19" s="63"/>
      <c r="G19" s="64" t="s">
        <v>79</v>
      </c>
      <c r="H19" s="13"/>
      <c r="I19" s="23"/>
      <c r="J19" s="21"/>
      <c r="K19" s="17"/>
      <c r="L19" s="18"/>
      <c r="M19" s="19"/>
      <c r="N19" s="21"/>
      <c r="O19" s="8"/>
      <c r="Q19" s="10" t="s">
        <v>93</v>
      </c>
    </row>
    <row r="20" spans="1:17" s="10" customFormat="1" ht="18" customHeight="1">
      <c r="A20" s="69" t="s">
        <v>76</v>
      </c>
      <c r="B20" s="47" t="s">
        <v>43</v>
      </c>
      <c r="C20" s="26">
        <v>550</v>
      </c>
      <c r="D20" s="26">
        <v>400</v>
      </c>
      <c r="E20" s="63"/>
      <c r="F20" s="63"/>
      <c r="G20" s="64" t="s">
        <v>79</v>
      </c>
      <c r="H20" s="13"/>
      <c r="I20" s="23"/>
      <c r="J20" s="21"/>
      <c r="K20" s="17"/>
      <c r="L20" s="18"/>
      <c r="M20" s="19"/>
      <c r="N20" s="21"/>
      <c r="O20" s="8"/>
      <c r="Q20" s="10" t="s">
        <v>94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3"/>
  <sheetViews>
    <sheetView zoomScaleNormal="100" zoomScaleSheetLayoutView="100" workbookViewId="0">
      <selection activeCell="I34" sqref="I34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2"/>
      <c r="B1" s="82"/>
      <c r="C1" s="82"/>
      <c r="D1" s="82"/>
      <c r="E1" s="99" t="s">
        <v>62</v>
      </c>
      <c r="F1" s="100"/>
      <c r="G1" s="100"/>
      <c r="H1" s="100" t="str">
        <f>'1. 소켓인수검사'!R2</f>
        <v>26.07.07 이신이엔지_LH건설_한신시피에스_GXT-A 운정역 환승주차장</v>
      </c>
      <c r="I1" s="100"/>
      <c r="J1" s="100"/>
      <c r="K1" s="100"/>
      <c r="L1" s="100"/>
      <c r="M1" s="100"/>
      <c r="N1" s="100"/>
      <c r="O1" s="105"/>
    </row>
    <row r="2" spans="1:15" ht="16.5" customHeight="1">
      <c r="A2" s="82"/>
      <c r="B2" s="82"/>
      <c r="C2" s="82"/>
      <c r="D2" s="82"/>
      <c r="E2" s="101"/>
      <c r="F2" s="102"/>
      <c r="G2" s="102"/>
      <c r="H2" s="102"/>
      <c r="I2" s="102"/>
      <c r="J2" s="102"/>
      <c r="K2" s="102"/>
      <c r="L2" s="102"/>
      <c r="M2" s="102"/>
      <c r="N2" s="102"/>
      <c r="O2" s="106"/>
    </row>
    <row r="3" spans="1:15" ht="16.5" customHeight="1">
      <c r="A3" s="82"/>
      <c r="B3" s="82"/>
      <c r="C3" s="82"/>
      <c r="D3" s="82"/>
      <c r="E3" s="103"/>
      <c r="F3" s="104"/>
      <c r="G3" s="104"/>
      <c r="H3" s="104"/>
      <c r="I3" s="104"/>
      <c r="J3" s="104"/>
      <c r="K3" s="104"/>
      <c r="L3" s="104"/>
      <c r="M3" s="104"/>
      <c r="N3" s="104"/>
      <c r="O3" s="107"/>
    </row>
    <row r="4" spans="1:15" ht="8.1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</row>
    <row r="5" spans="1:15" ht="26.45" customHeight="1">
      <c r="A5" s="109" t="s">
        <v>50</v>
      </c>
      <c r="B5" s="110" t="s">
        <v>60</v>
      </c>
      <c r="C5" s="113" t="s">
        <v>4</v>
      </c>
      <c r="D5" s="113"/>
      <c r="E5" s="113" t="s">
        <v>21</v>
      </c>
      <c r="F5" s="114" t="s">
        <v>48</v>
      </c>
      <c r="G5" s="117" t="s">
        <v>17</v>
      </c>
      <c r="H5" s="118"/>
      <c r="I5" s="118"/>
      <c r="J5" s="119"/>
      <c r="K5" s="117" t="s">
        <v>31</v>
      </c>
      <c r="L5" s="118"/>
      <c r="M5" s="118"/>
      <c r="N5" s="118"/>
      <c r="O5" s="114" t="s">
        <v>2</v>
      </c>
    </row>
    <row r="6" spans="1:15" ht="16.5" customHeight="1">
      <c r="A6" s="109"/>
      <c r="B6" s="111"/>
      <c r="C6" s="113" t="s">
        <v>57</v>
      </c>
      <c r="D6" s="113" t="s">
        <v>55</v>
      </c>
      <c r="E6" s="113"/>
      <c r="F6" s="115"/>
      <c r="G6" s="113" t="s">
        <v>57</v>
      </c>
      <c r="H6" s="113"/>
      <c r="I6" s="113" t="s">
        <v>55</v>
      </c>
      <c r="J6" s="113"/>
      <c r="K6" s="113" t="s">
        <v>59</v>
      </c>
      <c r="L6" s="113"/>
      <c r="M6" s="117" t="s">
        <v>56</v>
      </c>
      <c r="N6" s="118"/>
      <c r="O6" s="115"/>
    </row>
    <row r="7" spans="1:15">
      <c r="A7" s="109"/>
      <c r="B7" s="112"/>
      <c r="C7" s="113"/>
      <c r="D7" s="113"/>
      <c r="E7" s="113"/>
      <c r="F7" s="116"/>
      <c r="G7" s="70" t="s">
        <v>4</v>
      </c>
      <c r="H7" s="70" t="s">
        <v>28</v>
      </c>
      <c r="I7" s="73" t="s">
        <v>4</v>
      </c>
      <c r="J7" s="72" t="s">
        <v>28</v>
      </c>
      <c r="K7" s="70" t="s">
        <v>4</v>
      </c>
      <c r="L7" s="70" t="s">
        <v>48</v>
      </c>
      <c r="M7" s="70" t="s">
        <v>4</v>
      </c>
      <c r="N7" s="71" t="s">
        <v>48</v>
      </c>
      <c r="O7" s="116"/>
    </row>
    <row r="8" spans="1:15">
      <c r="A8" s="74" t="str">
        <f>'1. 소켓인수검사'!A9</f>
        <v>01</v>
      </c>
      <c r="B8" s="79" t="s">
        <v>43</v>
      </c>
      <c r="C8" s="48">
        <f>'1. 소켓인수검사'!C9</f>
        <v>450</v>
      </c>
      <c r="D8" s="48">
        <f>'1. 소켓인수검사'!D9</f>
        <v>400</v>
      </c>
      <c r="E8" s="34"/>
      <c r="F8" s="48">
        <v>1</v>
      </c>
      <c r="G8" s="75">
        <f t="shared" ref="G8:G19" si="0">C8-5</f>
        <v>445</v>
      </c>
      <c r="H8" s="48">
        <f t="shared" ref="H8:H19" si="1">F8*4</f>
        <v>4</v>
      </c>
      <c r="I8" s="76">
        <f t="shared" ref="I8:I19" si="2">D8-30</f>
        <v>370</v>
      </c>
      <c r="J8" s="48">
        <f t="shared" ref="J8:J19" si="3">F8*4</f>
        <v>4</v>
      </c>
      <c r="K8" s="77">
        <f t="shared" ref="K8:K19" si="4">C8+60</f>
        <v>510</v>
      </c>
      <c r="L8" s="48">
        <v>2</v>
      </c>
      <c r="M8" s="77">
        <f t="shared" ref="M8:M19" si="5">D8</f>
        <v>400</v>
      </c>
      <c r="N8" s="48">
        <v>2</v>
      </c>
      <c r="O8" s="78"/>
    </row>
    <row r="9" spans="1:15">
      <c r="A9" s="74" t="str">
        <f>'1. 소켓인수검사'!A10</f>
        <v>02</v>
      </c>
      <c r="B9" s="79" t="s">
        <v>43</v>
      </c>
      <c r="C9" s="48">
        <f>'1. 소켓인수검사'!C10</f>
        <v>450</v>
      </c>
      <c r="D9" s="48">
        <f>'1. 소켓인수검사'!D10</f>
        <v>400</v>
      </c>
      <c r="E9" s="34"/>
      <c r="F9" s="48">
        <v>1</v>
      </c>
      <c r="G9" s="75">
        <f t="shared" si="0"/>
        <v>445</v>
      </c>
      <c r="H9" s="48">
        <f t="shared" si="1"/>
        <v>4</v>
      </c>
      <c r="I9" s="76">
        <f t="shared" si="2"/>
        <v>370</v>
      </c>
      <c r="J9" s="48">
        <f t="shared" si="3"/>
        <v>4</v>
      </c>
      <c r="K9" s="77">
        <f t="shared" si="4"/>
        <v>510</v>
      </c>
      <c r="L9" s="48">
        <v>2</v>
      </c>
      <c r="M9" s="77">
        <f t="shared" si="5"/>
        <v>400</v>
      </c>
      <c r="N9" s="48">
        <v>2</v>
      </c>
      <c r="O9" s="78"/>
    </row>
    <row r="10" spans="1:15">
      <c r="A10" s="74" t="str">
        <f>'1. 소켓인수검사'!A11</f>
        <v>03</v>
      </c>
      <c r="B10" s="79" t="s">
        <v>43</v>
      </c>
      <c r="C10" s="48">
        <f>'1. 소켓인수검사'!C11</f>
        <v>450</v>
      </c>
      <c r="D10" s="48">
        <f>'1. 소켓인수검사'!D11</f>
        <v>400</v>
      </c>
      <c r="E10" s="34"/>
      <c r="F10" s="48">
        <v>1</v>
      </c>
      <c r="G10" s="75">
        <f t="shared" si="0"/>
        <v>445</v>
      </c>
      <c r="H10" s="48">
        <f t="shared" si="1"/>
        <v>4</v>
      </c>
      <c r="I10" s="76">
        <f t="shared" si="2"/>
        <v>370</v>
      </c>
      <c r="J10" s="48">
        <f t="shared" si="3"/>
        <v>4</v>
      </c>
      <c r="K10" s="77">
        <f t="shared" si="4"/>
        <v>510</v>
      </c>
      <c r="L10" s="48">
        <v>2</v>
      </c>
      <c r="M10" s="77">
        <f t="shared" si="5"/>
        <v>400</v>
      </c>
      <c r="N10" s="48">
        <v>2</v>
      </c>
      <c r="O10" s="78"/>
    </row>
    <row r="11" spans="1:15">
      <c r="A11" s="74" t="str">
        <f>'1. 소켓인수검사'!A12</f>
        <v>04</v>
      </c>
      <c r="B11" s="79" t="s">
        <v>43</v>
      </c>
      <c r="C11" s="48">
        <f>'1. 소켓인수검사'!C12</f>
        <v>450</v>
      </c>
      <c r="D11" s="48">
        <f>'1. 소켓인수검사'!D12</f>
        <v>400</v>
      </c>
      <c r="E11" s="34"/>
      <c r="F11" s="48">
        <v>1</v>
      </c>
      <c r="G11" s="75">
        <f t="shared" si="0"/>
        <v>445</v>
      </c>
      <c r="H11" s="48">
        <f t="shared" si="1"/>
        <v>4</v>
      </c>
      <c r="I11" s="76">
        <f t="shared" si="2"/>
        <v>370</v>
      </c>
      <c r="J11" s="48">
        <f t="shared" si="3"/>
        <v>4</v>
      </c>
      <c r="K11" s="77">
        <f t="shared" si="4"/>
        <v>510</v>
      </c>
      <c r="L11" s="48">
        <v>2</v>
      </c>
      <c r="M11" s="77">
        <f t="shared" si="5"/>
        <v>400</v>
      </c>
      <c r="N11" s="48">
        <v>2</v>
      </c>
      <c r="O11" s="78"/>
    </row>
    <row r="12" spans="1:15">
      <c r="A12" s="74" t="str">
        <f>'1. 소켓인수검사'!A13</f>
        <v>05</v>
      </c>
      <c r="B12" s="79" t="s">
        <v>43</v>
      </c>
      <c r="C12" s="48">
        <f>'1. 소켓인수검사'!C13</f>
        <v>450</v>
      </c>
      <c r="D12" s="48">
        <f>'1. 소켓인수검사'!D13</f>
        <v>400</v>
      </c>
      <c r="E12" s="34"/>
      <c r="F12" s="48">
        <v>1</v>
      </c>
      <c r="G12" s="75">
        <f t="shared" si="0"/>
        <v>445</v>
      </c>
      <c r="H12" s="48">
        <f t="shared" si="1"/>
        <v>4</v>
      </c>
      <c r="I12" s="76">
        <f t="shared" si="2"/>
        <v>370</v>
      </c>
      <c r="J12" s="48">
        <f t="shared" si="3"/>
        <v>4</v>
      </c>
      <c r="K12" s="77">
        <f t="shared" si="4"/>
        <v>510</v>
      </c>
      <c r="L12" s="48">
        <v>2</v>
      </c>
      <c r="M12" s="77">
        <f t="shared" si="5"/>
        <v>400</v>
      </c>
      <c r="N12" s="48">
        <v>2</v>
      </c>
      <c r="O12" s="78"/>
    </row>
    <row r="13" spans="1:15">
      <c r="A13" s="74" t="str">
        <f>'1. 소켓인수검사'!A14</f>
        <v>06</v>
      </c>
      <c r="B13" s="79" t="s">
        <v>43</v>
      </c>
      <c r="C13" s="48">
        <f>'1. 소켓인수검사'!C14</f>
        <v>450</v>
      </c>
      <c r="D13" s="48">
        <f>'1. 소켓인수검사'!D14</f>
        <v>400</v>
      </c>
      <c r="E13" s="34"/>
      <c r="F13" s="48">
        <v>1</v>
      </c>
      <c r="G13" s="75">
        <f t="shared" si="0"/>
        <v>445</v>
      </c>
      <c r="H13" s="48">
        <f t="shared" si="1"/>
        <v>4</v>
      </c>
      <c r="I13" s="76">
        <f t="shared" si="2"/>
        <v>370</v>
      </c>
      <c r="J13" s="48">
        <f t="shared" si="3"/>
        <v>4</v>
      </c>
      <c r="K13" s="77">
        <f t="shared" si="4"/>
        <v>510</v>
      </c>
      <c r="L13" s="48">
        <v>2</v>
      </c>
      <c r="M13" s="77">
        <f t="shared" si="5"/>
        <v>400</v>
      </c>
      <c r="N13" s="48">
        <v>2</v>
      </c>
      <c r="O13" s="78"/>
    </row>
    <row r="14" spans="1:15">
      <c r="A14" s="74" t="str">
        <f>'1. 소켓인수검사'!A15</f>
        <v>07</v>
      </c>
      <c r="B14" s="79" t="s">
        <v>43</v>
      </c>
      <c r="C14" s="48">
        <f>'1. 소켓인수검사'!C15</f>
        <v>450</v>
      </c>
      <c r="D14" s="48">
        <f>'1. 소켓인수검사'!D15</f>
        <v>400</v>
      </c>
      <c r="E14" s="34"/>
      <c r="F14" s="48">
        <v>1</v>
      </c>
      <c r="G14" s="75">
        <f t="shared" si="0"/>
        <v>445</v>
      </c>
      <c r="H14" s="48">
        <f t="shared" si="1"/>
        <v>4</v>
      </c>
      <c r="I14" s="76">
        <f t="shared" si="2"/>
        <v>370</v>
      </c>
      <c r="J14" s="48">
        <f t="shared" si="3"/>
        <v>4</v>
      </c>
      <c r="K14" s="77">
        <f t="shared" si="4"/>
        <v>510</v>
      </c>
      <c r="L14" s="48">
        <v>2</v>
      </c>
      <c r="M14" s="77">
        <f t="shared" si="5"/>
        <v>400</v>
      </c>
      <c r="N14" s="48">
        <v>2</v>
      </c>
      <c r="O14" s="78"/>
    </row>
    <row r="15" spans="1:15">
      <c r="A15" s="74" t="str">
        <f>'1. 소켓인수검사'!A16</f>
        <v>08</v>
      </c>
      <c r="B15" s="79" t="s">
        <v>43</v>
      </c>
      <c r="C15" s="48">
        <f>'1. 소켓인수검사'!C16</f>
        <v>450</v>
      </c>
      <c r="D15" s="48">
        <f>'1. 소켓인수검사'!D16</f>
        <v>400</v>
      </c>
      <c r="E15" s="34"/>
      <c r="F15" s="48">
        <v>1</v>
      </c>
      <c r="G15" s="75">
        <f t="shared" si="0"/>
        <v>445</v>
      </c>
      <c r="H15" s="48">
        <f t="shared" si="1"/>
        <v>4</v>
      </c>
      <c r="I15" s="76">
        <f t="shared" si="2"/>
        <v>370</v>
      </c>
      <c r="J15" s="48">
        <f t="shared" si="3"/>
        <v>4</v>
      </c>
      <c r="K15" s="77">
        <f t="shared" si="4"/>
        <v>510</v>
      </c>
      <c r="L15" s="48">
        <v>2</v>
      </c>
      <c r="M15" s="77">
        <f t="shared" si="5"/>
        <v>400</v>
      </c>
      <c r="N15" s="48">
        <v>2</v>
      </c>
      <c r="O15" s="78"/>
    </row>
    <row r="16" spans="1:15">
      <c r="A16" s="74" t="str">
        <f>'1. 소켓인수검사'!A17</f>
        <v>09</v>
      </c>
      <c r="B16" s="79" t="s">
        <v>43</v>
      </c>
      <c r="C16" s="48">
        <f>'1. 소켓인수검사'!C17</f>
        <v>550</v>
      </c>
      <c r="D16" s="48">
        <f>'1. 소켓인수검사'!D17</f>
        <v>400</v>
      </c>
      <c r="E16" s="34"/>
      <c r="F16" s="48">
        <v>1</v>
      </c>
      <c r="G16" s="75">
        <f t="shared" si="0"/>
        <v>545</v>
      </c>
      <c r="H16" s="48">
        <f t="shared" si="1"/>
        <v>4</v>
      </c>
      <c r="I16" s="76">
        <f t="shared" si="2"/>
        <v>370</v>
      </c>
      <c r="J16" s="48">
        <f t="shared" si="3"/>
        <v>4</v>
      </c>
      <c r="K16" s="77">
        <f t="shared" si="4"/>
        <v>610</v>
      </c>
      <c r="L16" s="48">
        <v>2</v>
      </c>
      <c r="M16" s="77">
        <f t="shared" si="5"/>
        <v>400</v>
      </c>
      <c r="N16" s="48">
        <v>2</v>
      </c>
      <c r="O16" s="78"/>
    </row>
    <row r="17" spans="1:15">
      <c r="A17" s="74" t="str">
        <f>'1. 소켓인수검사'!A18</f>
        <v>10</v>
      </c>
      <c r="B17" s="79" t="s">
        <v>43</v>
      </c>
      <c r="C17" s="48">
        <f>'1. 소켓인수검사'!C18</f>
        <v>550</v>
      </c>
      <c r="D17" s="48">
        <f>'1. 소켓인수검사'!D18</f>
        <v>400</v>
      </c>
      <c r="E17" s="34"/>
      <c r="F17" s="48">
        <v>1</v>
      </c>
      <c r="G17" s="75">
        <f t="shared" si="0"/>
        <v>545</v>
      </c>
      <c r="H17" s="48">
        <f t="shared" si="1"/>
        <v>4</v>
      </c>
      <c r="I17" s="76">
        <f t="shared" si="2"/>
        <v>370</v>
      </c>
      <c r="J17" s="48">
        <f t="shared" si="3"/>
        <v>4</v>
      </c>
      <c r="K17" s="77">
        <f t="shared" si="4"/>
        <v>610</v>
      </c>
      <c r="L17" s="48">
        <v>2</v>
      </c>
      <c r="M17" s="77">
        <f t="shared" si="5"/>
        <v>400</v>
      </c>
      <c r="N17" s="48">
        <v>2</v>
      </c>
      <c r="O17" s="78"/>
    </row>
    <row r="18" spans="1:15">
      <c r="A18" s="74" t="str">
        <f>'1. 소켓인수검사'!A19</f>
        <v>11</v>
      </c>
      <c r="B18" s="79" t="s">
        <v>43</v>
      </c>
      <c r="C18" s="48">
        <f>'1. 소켓인수검사'!C19</f>
        <v>550</v>
      </c>
      <c r="D18" s="48">
        <f>'1. 소켓인수검사'!D19</f>
        <v>400</v>
      </c>
      <c r="E18" s="34"/>
      <c r="F18" s="48">
        <v>1</v>
      </c>
      <c r="G18" s="75">
        <f t="shared" si="0"/>
        <v>545</v>
      </c>
      <c r="H18" s="48">
        <f t="shared" si="1"/>
        <v>4</v>
      </c>
      <c r="I18" s="76">
        <f t="shared" si="2"/>
        <v>370</v>
      </c>
      <c r="J18" s="48">
        <f t="shared" si="3"/>
        <v>4</v>
      </c>
      <c r="K18" s="77">
        <f t="shared" si="4"/>
        <v>610</v>
      </c>
      <c r="L18" s="48">
        <v>2</v>
      </c>
      <c r="M18" s="77">
        <f t="shared" si="5"/>
        <v>400</v>
      </c>
      <c r="N18" s="48">
        <v>2</v>
      </c>
      <c r="O18" s="78"/>
    </row>
    <row r="19" spans="1:15">
      <c r="A19" s="74" t="str">
        <f>'1. 소켓인수검사'!A20</f>
        <v>12</v>
      </c>
      <c r="B19" s="79" t="s">
        <v>43</v>
      </c>
      <c r="C19" s="48">
        <f>'1. 소켓인수검사'!C20</f>
        <v>550</v>
      </c>
      <c r="D19" s="48">
        <f>'1. 소켓인수검사'!D20</f>
        <v>400</v>
      </c>
      <c r="E19" s="34"/>
      <c r="F19" s="48">
        <v>1</v>
      </c>
      <c r="G19" s="75">
        <f t="shared" si="0"/>
        <v>545</v>
      </c>
      <c r="H19" s="48">
        <f t="shared" si="1"/>
        <v>4</v>
      </c>
      <c r="I19" s="76">
        <f t="shared" si="2"/>
        <v>370</v>
      </c>
      <c r="J19" s="48">
        <f t="shared" si="3"/>
        <v>4</v>
      </c>
      <c r="K19" s="77">
        <f t="shared" si="4"/>
        <v>610</v>
      </c>
      <c r="L19" s="48">
        <v>2</v>
      </c>
      <c r="M19" s="77">
        <f t="shared" si="5"/>
        <v>400</v>
      </c>
      <c r="N19" s="48">
        <v>2</v>
      </c>
      <c r="O19" s="78"/>
    </row>
    <row r="20" spans="1:15" ht="8.1" customHeight="1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</row>
    <row r="21" spans="1:15">
      <c r="A21" s="82" t="s">
        <v>41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</row>
    <row r="22" spans="1:15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</row>
    <row r="23" spans="1: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</row>
  </sheetData>
  <mergeCells count="21">
    <mergeCell ref="A20:O20"/>
    <mergeCell ref="A21:C23"/>
    <mergeCell ref="D21:O23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2"/>
  <sheetViews>
    <sheetView zoomScaleNormal="100" zoomScaleSheetLayoutView="100" workbookViewId="0">
      <selection activeCell="E30" sqref="E3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2"/>
      <c r="B1" s="82"/>
      <c r="C1" s="82"/>
      <c r="D1" s="82"/>
      <c r="E1" s="82" t="s">
        <v>77</v>
      </c>
      <c r="F1" s="123"/>
      <c r="G1" s="128" t="str">
        <f>'1. 소켓인수검사'!R2</f>
        <v>26.07.07 이신이엔지_LH건설_한신시피에스_GXT-A 운정역 환승주차장</v>
      </c>
      <c r="H1" s="128"/>
      <c r="I1" s="128"/>
      <c r="J1" s="128"/>
      <c r="K1" s="129"/>
    </row>
    <row r="2" spans="1:11" ht="16.5" customHeight="1">
      <c r="A2" s="82"/>
      <c r="B2" s="82"/>
      <c r="C2" s="82"/>
      <c r="D2" s="82"/>
      <c r="E2" s="124"/>
      <c r="F2" s="125"/>
      <c r="G2" s="130"/>
      <c r="H2" s="130"/>
      <c r="I2" s="130"/>
      <c r="J2" s="130"/>
      <c r="K2" s="131"/>
    </row>
    <row r="3" spans="1:11" ht="16.5" customHeight="1">
      <c r="A3" s="82"/>
      <c r="B3" s="82"/>
      <c r="C3" s="82"/>
      <c r="D3" s="82"/>
      <c r="E3" s="126"/>
      <c r="F3" s="127"/>
      <c r="G3" s="132"/>
      <c r="H3" s="132"/>
      <c r="I3" s="132"/>
      <c r="J3" s="132"/>
      <c r="K3" s="133"/>
    </row>
    <row r="4" spans="1:11" ht="8.1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spans="1:11" ht="26.45" customHeight="1">
      <c r="A5" s="135" t="s">
        <v>50</v>
      </c>
      <c r="B5" s="136" t="s">
        <v>60</v>
      </c>
      <c r="C5" s="120" t="s">
        <v>4</v>
      </c>
      <c r="D5" s="120"/>
      <c r="E5" s="120" t="s">
        <v>21</v>
      </c>
      <c r="F5" s="139" t="s">
        <v>48</v>
      </c>
      <c r="G5" s="121" t="s">
        <v>31</v>
      </c>
      <c r="H5" s="122"/>
      <c r="I5" s="122"/>
      <c r="J5" s="122"/>
      <c r="K5" s="139" t="s">
        <v>2</v>
      </c>
    </row>
    <row r="6" spans="1:11" ht="16.5" customHeight="1">
      <c r="A6" s="135"/>
      <c r="B6" s="137"/>
      <c r="C6" s="120" t="s">
        <v>57</v>
      </c>
      <c r="D6" s="120" t="s">
        <v>55</v>
      </c>
      <c r="E6" s="120"/>
      <c r="F6" s="140"/>
      <c r="G6" s="120" t="s">
        <v>59</v>
      </c>
      <c r="H6" s="120"/>
      <c r="I6" s="121" t="s">
        <v>56</v>
      </c>
      <c r="J6" s="122"/>
      <c r="K6" s="140"/>
    </row>
    <row r="7" spans="1:11">
      <c r="A7" s="135"/>
      <c r="B7" s="138"/>
      <c r="C7" s="120"/>
      <c r="D7" s="120"/>
      <c r="E7" s="120"/>
      <c r="F7" s="141"/>
      <c r="G7" s="15" t="s">
        <v>4</v>
      </c>
      <c r="H7" s="15" t="s">
        <v>48</v>
      </c>
      <c r="I7" s="15" t="s">
        <v>4</v>
      </c>
      <c r="J7" s="16" t="s">
        <v>48</v>
      </c>
      <c r="K7" s="141"/>
    </row>
    <row r="8" spans="1:11">
      <c r="A8" s="65" t="str">
        <f>'1. 소켓인수검사'!A9</f>
        <v>01</v>
      </c>
      <c r="B8" s="47" t="s">
        <v>43</v>
      </c>
      <c r="C8" s="33">
        <f>'1. 소켓인수검사'!C9</f>
        <v>450</v>
      </c>
      <c r="D8" s="33">
        <f>'1. 소켓인수검사'!D9</f>
        <v>400</v>
      </c>
      <c r="E8" s="34"/>
      <c r="F8" s="33">
        <v>1</v>
      </c>
      <c r="G8" s="46">
        <f t="shared" ref="G8:G19" si="0">C8+60</f>
        <v>510</v>
      </c>
      <c r="H8" s="33">
        <v>2</v>
      </c>
      <c r="I8" s="46">
        <f t="shared" ref="I8:I19" si="1">D8</f>
        <v>400</v>
      </c>
      <c r="J8" s="33">
        <v>2</v>
      </c>
      <c r="K8" s="45"/>
    </row>
    <row r="9" spans="1:11">
      <c r="A9" s="65" t="str">
        <f>'1. 소켓인수검사'!A10</f>
        <v>02</v>
      </c>
      <c r="B9" s="47" t="s">
        <v>43</v>
      </c>
      <c r="C9" s="33">
        <f>'1. 소켓인수검사'!C10</f>
        <v>450</v>
      </c>
      <c r="D9" s="33">
        <f>'1. 소켓인수검사'!D10</f>
        <v>400</v>
      </c>
      <c r="E9" s="34"/>
      <c r="F9" s="33">
        <v>1</v>
      </c>
      <c r="G9" s="46">
        <f t="shared" si="0"/>
        <v>510</v>
      </c>
      <c r="H9" s="33">
        <v>2</v>
      </c>
      <c r="I9" s="46">
        <f t="shared" si="1"/>
        <v>400</v>
      </c>
      <c r="J9" s="33">
        <v>2</v>
      </c>
      <c r="K9" s="45"/>
    </row>
    <row r="10" spans="1:11">
      <c r="A10" s="65" t="str">
        <f>'1. 소켓인수검사'!A11</f>
        <v>03</v>
      </c>
      <c r="B10" s="47" t="s">
        <v>43</v>
      </c>
      <c r="C10" s="33">
        <f>'1. 소켓인수검사'!C11</f>
        <v>450</v>
      </c>
      <c r="D10" s="33">
        <f>'1. 소켓인수검사'!D11</f>
        <v>400</v>
      </c>
      <c r="E10" s="34"/>
      <c r="F10" s="33">
        <v>1</v>
      </c>
      <c r="G10" s="46">
        <f t="shared" si="0"/>
        <v>510</v>
      </c>
      <c r="H10" s="33">
        <v>2</v>
      </c>
      <c r="I10" s="46">
        <f t="shared" si="1"/>
        <v>400</v>
      </c>
      <c r="J10" s="33">
        <v>2</v>
      </c>
      <c r="K10" s="45"/>
    </row>
    <row r="11" spans="1:11">
      <c r="A11" s="65" t="str">
        <f>'1. 소켓인수검사'!A12</f>
        <v>04</v>
      </c>
      <c r="B11" s="47" t="s">
        <v>43</v>
      </c>
      <c r="C11" s="33">
        <f>'1. 소켓인수검사'!C12</f>
        <v>450</v>
      </c>
      <c r="D11" s="33">
        <f>'1. 소켓인수검사'!D12</f>
        <v>400</v>
      </c>
      <c r="E11" s="34"/>
      <c r="F11" s="33">
        <v>1</v>
      </c>
      <c r="G11" s="46">
        <f t="shared" si="0"/>
        <v>510</v>
      </c>
      <c r="H11" s="33">
        <v>2</v>
      </c>
      <c r="I11" s="46">
        <f t="shared" si="1"/>
        <v>400</v>
      </c>
      <c r="J11" s="33">
        <v>2</v>
      </c>
      <c r="K11" s="45"/>
    </row>
    <row r="12" spans="1:11">
      <c r="A12" s="65" t="str">
        <f>'1. 소켓인수검사'!A13</f>
        <v>05</v>
      </c>
      <c r="B12" s="47" t="s">
        <v>43</v>
      </c>
      <c r="C12" s="33">
        <f>'1. 소켓인수검사'!C13</f>
        <v>450</v>
      </c>
      <c r="D12" s="33">
        <f>'1. 소켓인수검사'!D13</f>
        <v>400</v>
      </c>
      <c r="E12" s="34"/>
      <c r="F12" s="33">
        <v>1</v>
      </c>
      <c r="G12" s="46">
        <f t="shared" si="0"/>
        <v>510</v>
      </c>
      <c r="H12" s="33">
        <v>2</v>
      </c>
      <c r="I12" s="46">
        <f t="shared" si="1"/>
        <v>400</v>
      </c>
      <c r="J12" s="33">
        <v>2</v>
      </c>
      <c r="K12" s="45"/>
    </row>
    <row r="13" spans="1:11">
      <c r="A13" s="65" t="str">
        <f>'1. 소켓인수검사'!A14</f>
        <v>06</v>
      </c>
      <c r="B13" s="47" t="s">
        <v>43</v>
      </c>
      <c r="C13" s="33">
        <f>'1. 소켓인수검사'!C14</f>
        <v>450</v>
      </c>
      <c r="D13" s="33">
        <f>'1. 소켓인수검사'!D14</f>
        <v>400</v>
      </c>
      <c r="E13" s="34"/>
      <c r="F13" s="33">
        <v>1</v>
      </c>
      <c r="G13" s="46">
        <f t="shared" si="0"/>
        <v>510</v>
      </c>
      <c r="H13" s="33">
        <v>2</v>
      </c>
      <c r="I13" s="46">
        <f t="shared" si="1"/>
        <v>400</v>
      </c>
      <c r="J13" s="33">
        <v>2</v>
      </c>
      <c r="K13" s="45"/>
    </row>
    <row r="14" spans="1:11">
      <c r="A14" s="65" t="str">
        <f>'1. 소켓인수검사'!A15</f>
        <v>07</v>
      </c>
      <c r="B14" s="47" t="s">
        <v>43</v>
      </c>
      <c r="C14" s="33">
        <f>'1. 소켓인수검사'!C15</f>
        <v>450</v>
      </c>
      <c r="D14" s="33">
        <f>'1. 소켓인수검사'!D15</f>
        <v>400</v>
      </c>
      <c r="E14" s="34"/>
      <c r="F14" s="33">
        <v>1</v>
      </c>
      <c r="G14" s="46">
        <f t="shared" si="0"/>
        <v>510</v>
      </c>
      <c r="H14" s="33">
        <v>2</v>
      </c>
      <c r="I14" s="46">
        <f t="shared" si="1"/>
        <v>400</v>
      </c>
      <c r="J14" s="33">
        <v>2</v>
      </c>
      <c r="K14" s="45"/>
    </row>
    <row r="15" spans="1:11">
      <c r="A15" s="65" t="str">
        <f>'1. 소켓인수검사'!A16</f>
        <v>08</v>
      </c>
      <c r="B15" s="47" t="s">
        <v>43</v>
      </c>
      <c r="C15" s="33">
        <f>'1. 소켓인수검사'!C16</f>
        <v>450</v>
      </c>
      <c r="D15" s="33">
        <f>'1. 소켓인수검사'!D16</f>
        <v>400</v>
      </c>
      <c r="E15" s="34"/>
      <c r="F15" s="33">
        <v>1</v>
      </c>
      <c r="G15" s="46">
        <f t="shared" si="0"/>
        <v>510</v>
      </c>
      <c r="H15" s="33">
        <v>2</v>
      </c>
      <c r="I15" s="46">
        <f t="shared" si="1"/>
        <v>400</v>
      </c>
      <c r="J15" s="33">
        <v>2</v>
      </c>
      <c r="K15" s="45"/>
    </row>
    <row r="16" spans="1:11">
      <c r="A16" s="65" t="str">
        <f>'1. 소켓인수검사'!A17</f>
        <v>09</v>
      </c>
      <c r="B16" s="47" t="s">
        <v>43</v>
      </c>
      <c r="C16" s="33">
        <f>'1. 소켓인수검사'!C17</f>
        <v>550</v>
      </c>
      <c r="D16" s="33">
        <f>'1. 소켓인수검사'!D17</f>
        <v>400</v>
      </c>
      <c r="E16" s="34"/>
      <c r="F16" s="33">
        <v>1</v>
      </c>
      <c r="G16" s="46">
        <f t="shared" si="0"/>
        <v>610</v>
      </c>
      <c r="H16" s="33">
        <v>2</v>
      </c>
      <c r="I16" s="46">
        <f t="shared" si="1"/>
        <v>400</v>
      </c>
      <c r="J16" s="33">
        <v>2</v>
      </c>
      <c r="K16" s="45"/>
    </row>
    <row r="17" spans="1:11">
      <c r="A17" s="65" t="str">
        <f>'1. 소켓인수검사'!A18</f>
        <v>10</v>
      </c>
      <c r="B17" s="47" t="s">
        <v>43</v>
      </c>
      <c r="C17" s="33">
        <f>'1. 소켓인수검사'!C18</f>
        <v>550</v>
      </c>
      <c r="D17" s="33">
        <f>'1. 소켓인수검사'!D18</f>
        <v>400</v>
      </c>
      <c r="E17" s="34"/>
      <c r="F17" s="33">
        <v>1</v>
      </c>
      <c r="G17" s="46">
        <f t="shared" si="0"/>
        <v>610</v>
      </c>
      <c r="H17" s="33">
        <v>2</v>
      </c>
      <c r="I17" s="46">
        <f t="shared" si="1"/>
        <v>400</v>
      </c>
      <c r="J17" s="33">
        <v>2</v>
      </c>
      <c r="K17" s="45"/>
    </row>
    <row r="18" spans="1:11">
      <c r="A18" s="65" t="str">
        <f>'1. 소켓인수검사'!A19</f>
        <v>11</v>
      </c>
      <c r="B18" s="47" t="s">
        <v>43</v>
      </c>
      <c r="C18" s="33">
        <f>'1. 소켓인수검사'!C19</f>
        <v>550</v>
      </c>
      <c r="D18" s="33">
        <f>'1. 소켓인수검사'!D19</f>
        <v>400</v>
      </c>
      <c r="E18" s="34"/>
      <c r="F18" s="33">
        <v>1</v>
      </c>
      <c r="G18" s="46">
        <f t="shared" si="0"/>
        <v>610</v>
      </c>
      <c r="H18" s="33">
        <v>2</v>
      </c>
      <c r="I18" s="46">
        <f t="shared" si="1"/>
        <v>400</v>
      </c>
      <c r="J18" s="33">
        <v>2</v>
      </c>
      <c r="K18" s="45"/>
    </row>
    <row r="19" spans="1:11">
      <c r="A19" s="65" t="str">
        <f>'1. 소켓인수검사'!A20</f>
        <v>12</v>
      </c>
      <c r="B19" s="47" t="s">
        <v>43</v>
      </c>
      <c r="C19" s="33">
        <f>'1. 소켓인수검사'!C20</f>
        <v>550</v>
      </c>
      <c r="D19" s="33">
        <f>'1. 소켓인수검사'!D20</f>
        <v>400</v>
      </c>
      <c r="E19" s="34"/>
      <c r="F19" s="33">
        <v>1</v>
      </c>
      <c r="G19" s="46">
        <f t="shared" si="0"/>
        <v>610</v>
      </c>
      <c r="H19" s="33">
        <v>2</v>
      </c>
      <c r="I19" s="46">
        <f t="shared" si="1"/>
        <v>400</v>
      </c>
      <c r="J19" s="33">
        <v>2</v>
      </c>
      <c r="K19" s="45"/>
    </row>
    <row r="20" spans="1:11">
      <c r="A20" s="82" t="s">
        <v>41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</row>
    <row r="21" spans="1:1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</row>
    <row r="22" spans="1:1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</row>
  </sheetData>
  <mergeCells count="17">
    <mergeCell ref="D6:D7"/>
    <mergeCell ref="G6:H6"/>
    <mergeCell ref="I6:J6"/>
    <mergeCell ref="E1:F3"/>
    <mergeCell ref="G1:K3"/>
    <mergeCell ref="A20:C22"/>
    <mergeCell ref="D20:K2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7"/>
  <sheetViews>
    <sheetView zoomScaleNormal="100" zoomScaleSheetLayoutView="100" workbookViewId="0">
      <selection activeCell="F36" sqref="F36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2"/>
      <c r="B1" s="82"/>
      <c r="C1" s="82"/>
      <c r="D1" s="82"/>
      <c r="E1" s="151" t="s">
        <v>63</v>
      </c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3"/>
    </row>
    <row r="2" spans="1:16" ht="16.5" customHeight="1">
      <c r="A2" s="82"/>
      <c r="B2" s="82"/>
      <c r="C2" s="82"/>
      <c r="D2" s="82"/>
      <c r="E2" s="154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6"/>
    </row>
    <row r="3" spans="1:16" ht="16.5" customHeight="1">
      <c r="A3" s="82"/>
      <c r="B3" s="82"/>
      <c r="C3" s="82"/>
      <c r="D3" s="82"/>
      <c r="E3" s="154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6"/>
    </row>
    <row r="4" spans="1:16" ht="16.5" customHeight="1">
      <c r="A4" s="82" t="s">
        <v>14</v>
      </c>
      <c r="B4" s="82"/>
      <c r="C4" s="160"/>
      <c r="D4" s="161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>
      <c r="A5" s="82" t="s">
        <v>23</v>
      </c>
      <c r="B5" s="82"/>
      <c r="C5" s="82"/>
      <c r="D5" s="82"/>
      <c r="E5" s="6" t="s">
        <v>29</v>
      </c>
      <c r="F5" s="82"/>
      <c r="G5" s="82"/>
      <c r="H5" s="82" t="s">
        <v>53</v>
      </c>
      <c r="I5" s="82"/>
      <c r="J5" s="82"/>
      <c r="K5" s="82" t="s">
        <v>49</v>
      </c>
      <c r="L5" s="82"/>
      <c r="M5" s="82"/>
      <c r="N5" s="162" t="str">
        <f>'1. 소켓인수검사'!R2</f>
        <v>26.07.07 이신이엔지_LH건설_한신시피에스_GXT-A 운정역 환승주차장</v>
      </c>
      <c r="O5" s="162"/>
      <c r="P5" s="162"/>
    </row>
    <row r="6" spans="1:16">
      <c r="A6" s="82"/>
      <c r="B6" s="82"/>
      <c r="C6" s="82"/>
      <c r="D6" s="82"/>
      <c r="E6" s="6" t="s">
        <v>26</v>
      </c>
      <c r="F6" s="82"/>
      <c r="G6" s="82"/>
      <c r="H6" s="82"/>
      <c r="I6" s="82"/>
      <c r="J6" s="82"/>
      <c r="K6" s="82"/>
      <c r="L6" s="82"/>
      <c r="M6" s="82"/>
      <c r="N6" s="162"/>
      <c r="O6" s="162"/>
      <c r="P6" s="162"/>
    </row>
    <row r="7" spans="1:16" ht="8.1" customHeight="1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</row>
    <row r="8" spans="1:16">
      <c r="A8" s="145" t="s">
        <v>50</v>
      </c>
      <c r="B8" s="147" t="s">
        <v>4</v>
      </c>
      <c r="C8" s="147"/>
      <c r="D8" s="147" t="s">
        <v>25</v>
      </c>
      <c r="E8" s="147" t="s">
        <v>21</v>
      </c>
      <c r="F8" s="147" t="s">
        <v>54</v>
      </c>
      <c r="G8" s="147" t="s">
        <v>24</v>
      </c>
      <c r="H8" s="147"/>
      <c r="I8" s="147"/>
      <c r="J8" s="147"/>
      <c r="K8" s="147"/>
      <c r="L8" s="147"/>
      <c r="M8" s="147"/>
      <c r="N8" s="147"/>
      <c r="O8" s="147"/>
      <c r="P8" s="149" t="s">
        <v>2</v>
      </c>
    </row>
    <row r="9" spans="1:16" ht="16.5" customHeight="1">
      <c r="A9" s="146"/>
      <c r="B9" s="148" t="s">
        <v>57</v>
      </c>
      <c r="C9" s="148" t="s">
        <v>55</v>
      </c>
      <c r="D9" s="148"/>
      <c r="E9" s="148"/>
      <c r="F9" s="148"/>
      <c r="G9" s="148" t="s">
        <v>51</v>
      </c>
      <c r="H9" s="148" t="s">
        <v>57</v>
      </c>
      <c r="I9" s="148"/>
      <c r="J9" s="148" t="s">
        <v>10</v>
      </c>
      <c r="K9" s="148" t="s">
        <v>55</v>
      </c>
      <c r="L9" s="148"/>
      <c r="M9" s="148"/>
      <c r="N9" s="148"/>
      <c r="O9" s="148" t="s">
        <v>10</v>
      </c>
      <c r="P9" s="150"/>
    </row>
    <row r="10" spans="1:16">
      <c r="A10" s="146"/>
      <c r="B10" s="148"/>
      <c r="C10" s="148"/>
      <c r="D10" s="148"/>
      <c r="E10" s="148"/>
      <c r="F10" s="148"/>
      <c r="G10" s="148"/>
      <c r="H10" s="25" t="s">
        <v>4</v>
      </c>
      <c r="I10" s="25" t="s">
        <v>28</v>
      </c>
      <c r="J10" s="148"/>
      <c r="K10" s="148" t="s">
        <v>4</v>
      </c>
      <c r="L10" s="148"/>
      <c r="M10" s="148"/>
      <c r="N10" s="25" t="s">
        <v>28</v>
      </c>
      <c r="O10" s="148"/>
      <c r="P10" s="150"/>
    </row>
    <row r="11" spans="1:16">
      <c r="A11" s="24" t="str">
        <f>'1. 소켓인수검사'!A9</f>
        <v>01</v>
      </c>
      <c r="B11" s="26">
        <f>'1. 소켓인수검사'!C9</f>
        <v>450</v>
      </c>
      <c r="C11" s="26">
        <f>'1. 소켓인수검사'!D9</f>
        <v>400</v>
      </c>
      <c r="D11" s="27">
        <v>1</v>
      </c>
      <c r="E11" s="28"/>
      <c r="F11" s="27">
        <v>1.6</v>
      </c>
      <c r="G11" s="27"/>
      <c r="H11" s="27">
        <f t="shared" ref="H11:H22" si="0">B11-1</f>
        <v>449</v>
      </c>
      <c r="I11" s="27">
        <f t="shared" ref="I11:I22" si="1">D11*4</f>
        <v>4</v>
      </c>
      <c r="J11" s="27"/>
      <c r="K11" s="142">
        <f t="shared" ref="K11:K22" si="2">C11-30</f>
        <v>370</v>
      </c>
      <c r="L11" s="142"/>
      <c r="M11" s="142"/>
      <c r="N11" s="27">
        <f t="shared" ref="N11:N22" si="3">D11*4</f>
        <v>4</v>
      </c>
      <c r="O11" s="27"/>
      <c r="P11" s="30"/>
    </row>
    <row r="12" spans="1:16">
      <c r="A12" s="24" t="str">
        <f>'1. 소켓인수검사'!A10</f>
        <v>02</v>
      </c>
      <c r="B12" s="26">
        <f>'1. 소켓인수검사'!C10</f>
        <v>450</v>
      </c>
      <c r="C12" s="26">
        <f>'1. 소켓인수검사'!D10</f>
        <v>400</v>
      </c>
      <c r="D12" s="27">
        <v>1</v>
      </c>
      <c r="E12" s="28"/>
      <c r="F12" s="27">
        <v>1.6</v>
      </c>
      <c r="G12" s="27"/>
      <c r="H12" s="27">
        <f t="shared" si="0"/>
        <v>449</v>
      </c>
      <c r="I12" s="27">
        <f t="shared" si="1"/>
        <v>4</v>
      </c>
      <c r="J12" s="27"/>
      <c r="K12" s="142">
        <f t="shared" si="2"/>
        <v>370</v>
      </c>
      <c r="L12" s="142"/>
      <c r="M12" s="142"/>
      <c r="N12" s="27">
        <f t="shared" si="3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450</v>
      </c>
      <c r="C13" s="26">
        <f>'1. 소켓인수검사'!D11</f>
        <v>400</v>
      </c>
      <c r="D13" s="27">
        <v>1</v>
      </c>
      <c r="E13" s="28"/>
      <c r="F13" s="27">
        <v>1.6</v>
      </c>
      <c r="G13" s="27"/>
      <c r="H13" s="27">
        <f t="shared" si="0"/>
        <v>449</v>
      </c>
      <c r="I13" s="27">
        <f t="shared" si="1"/>
        <v>4</v>
      </c>
      <c r="J13" s="27"/>
      <c r="K13" s="142">
        <f t="shared" si="2"/>
        <v>370</v>
      </c>
      <c r="L13" s="142"/>
      <c r="M13" s="142"/>
      <c r="N13" s="27">
        <f t="shared" si="3"/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450</v>
      </c>
      <c r="C14" s="26">
        <f>'1. 소켓인수검사'!D12</f>
        <v>400</v>
      </c>
      <c r="D14" s="27">
        <v>1</v>
      </c>
      <c r="E14" s="28"/>
      <c r="F14" s="27">
        <v>1.6</v>
      </c>
      <c r="G14" s="27"/>
      <c r="H14" s="27">
        <f t="shared" si="0"/>
        <v>449</v>
      </c>
      <c r="I14" s="27">
        <f t="shared" si="1"/>
        <v>4</v>
      </c>
      <c r="J14" s="27"/>
      <c r="K14" s="142">
        <f t="shared" si="2"/>
        <v>370</v>
      </c>
      <c r="L14" s="142"/>
      <c r="M14" s="142"/>
      <c r="N14" s="27">
        <f t="shared" si="3"/>
        <v>4</v>
      </c>
      <c r="O14" s="27"/>
      <c r="P14" s="30"/>
    </row>
    <row r="15" spans="1:16">
      <c r="A15" s="24" t="str">
        <f>'1. 소켓인수검사'!A13</f>
        <v>05</v>
      </c>
      <c r="B15" s="26">
        <f>'1. 소켓인수검사'!C13</f>
        <v>450</v>
      </c>
      <c r="C15" s="26">
        <f>'1. 소켓인수검사'!D13</f>
        <v>400</v>
      </c>
      <c r="D15" s="27">
        <v>1</v>
      </c>
      <c r="E15" s="28"/>
      <c r="F15" s="27">
        <v>1.6</v>
      </c>
      <c r="G15" s="27"/>
      <c r="H15" s="27">
        <f t="shared" si="0"/>
        <v>449</v>
      </c>
      <c r="I15" s="27">
        <f t="shared" si="1"/>
        <v>4</v>
      </c>
      <c r="J15" s="27"/>
      <c r="K15" s="142">
        <f t="shared" si="2"/>
        <v>370</v>
      </c>
      <c r="L15" s="142"/>
      <c r="M15" s="142"/>
      <c r="N15" s="27">
        <f t="shared" si="3"/>
        <v>4</v>
      </c>
      <c r="O15" s="27"/>
      <c r="P15" s="30"/>
    </row>
    <row r="16" spans="1:16">
      <c r="A16" s="24" t="str">
        <f>'1. 소켓인수검사'!A14</f>
        <v>06</v>
      </c>
      <c r="B16" s="26">
        <f>'1. 소켓인수검사'!C14</f>
        <v>450</v>
      </c>
      <c r="C16" s="26">
        <f>'1. 소켓인수검사'!D14</f>
        <v>400</v>
      </c>
      <c r="D16" s="27">
        <v>1</v>
      </c>
      <c r="E16" s="28"/>
      <c r="F16" s="27">
        <v>1.6</v>
      </c>
      <c r="G16" s="27"/>
      <c r="H16" s="27">
        <f t="shared" si="0"/>
        <v>449</v>
      </c>
      <c r="I16" s="27">
        <f t="shared" si="1"/>
        <v>4</v>
      </c>
      <c r="J16" s="27"/>
      <c r="K16" s="142">
        <f t="shared" si="2"/>
        <v>370</v>
      </c>
      <c r="L16" s="142"/>
      <c r="M16" s="142"/>
      <c r="N16" s="27">
        <f t="shared" si="3"/>
        <v>4</v>
      </c>
      <c r="O16" s="27"/>
      <c r="P16" s="30"/>
    </row>
    <row r="17" spans="1:16">
      <c r="A17" s="24" t="str">
        <f>'1. 소켓인수검사'!A15</f>
        <v>07</v>
      </c>
      <c r="B17" s="26">
        <f>'1. 소켓인수검사'!C15</f>
        <v>450</v>
      </c>
      <c r="C17" s="26">
        <f>'1. 소켓인수검사'!D15</f>
        <v>400</v>
      </c>
      <c r="D17" s="27">
        <v>1</v>
      </c>
      <c r="E17" s="28"/>
      <c r="F17" s="27">
        <v>1.6</v>
      </c>
      <c r="G17" s="27"/>
      <c r="H17" s="27">
        <f t="shared" si="0"/>
        <v>449</v>
      </c>
      <c r="I17" s="27">
        <f t="shared" si="1"/>
        <v>4</v>
      </c>
      <c r="J17" s="27"/>
      <c r="K17" s="142">
        <f t="shared" si="2"/>
        <v>370</v>
      </c>
      <c r="L17" s="142"/>
      <c r="M17" s="142"/>
      <c r="N17" s="27">
        <f t="shared" si="3"/>
        <v>4</v>
      </c>
      <c r="O17" s="27"/>
      <c r="P17" s="30"/>
    </row>
    <row r="18" spans="1:16">
      <c r="A18" s="24" t="str">
        <f>'1. 소켓인수검사'!A16</f>
        <v>08</v>
      </c>
      <c r="B18" s="26">
        <f>'1. 소켓인수검사'!C16</f>
        <v>450</v>
      </c>
      <c r="C18" s="26">
        <f>'1. 소켓인수검사'!D16</f>
        <v>400</v>
      </c>
      <c r="D18" s="27">
        <v>1</v>
      </c>
      <c r="E18" s="28"/>
      <c r="F18" s="27">
        <v>1.6</v>
      </c>
      <c r="G18" s="27"/>
      <c r="H18" s="27">
        <f t="shared" si="0"/>
        <v>449</v>
      </c>
      <c r="I18" s="27">
        <f t="shared" si="1"/>
        <v>4</v>
      </c>
      <c r="J18" s="27"/>
      <c r="K18" s="142">
        <f t="shared" si="2"/>
        <v>370</v>
      </c>
      <c r="L18" s="142"/>
      <c r="M18" s="142"/>
      <c r="N18" s="27">
        <f t="shared" si="3"/>
        <v>4</v>
      </c>
      <c r="O18" s="27"/>
      <c r="P18" s="30"/>
    </row>
    <row r="19" spans="1:16">
      <c r="A19" s="24" t="str">
        <f>'1. 소켓인수검사'!A17</f>
        <v>09</v>
      </c>
      <c r="B19" s="26">
        <f>'1. 소켓인수검사'!C17</f>
        <v>550</v>
      </c>
      <c r="C19" s="26">
        <f>'1. 소켓인수검사'!D17</f>
        <v>400</v>
      </c>
      <c r="D19" s="27">
        <v>1</v>
      </c>
      <c r="E19" s="28"/>
      <c r="F19" s="27">
        <v>1.6</v>
      </c>
      <c r="G19" s="27"/>
      <c r="H19" s="27">
        <f t="shared" si="0"/>
        <v>549</v>
      </c>
      <c r="I19" s="27">
        <f t="shared" si="1"/>
        <v>4</v>
      </c>
      <c r="J19" s="27"/>
      <c r="K19" s="142">
        <f t="shared" si="2"/>
        <v>370</v>
      </c>
      <c r="L19" s="142"/>
      <c r="M19" s="142"/>
      <c r="N19" s="27">
        <f t="shared" si="3"/>
        <v>4</v>
      </c>
      <c r="O19" s="27"/>
      <c r="P19" s="30"/>
    </row>
    <row r="20" spans="1:16">
      <c r="A20" s="24" t="str">
        <f>'1. 소켓인수검사'!A18</f>
        <v>10</v>
      </c>
      <c r="B20" s="26">
        <f>'1. 소켓인수검사'!C18</f>
        <v>550</v>
      </c>
      <c r="C20" s="26">
        <f>'1. 소켓인수검사'!D18</f>
        <v>400</v>
      </c>
      <c r="D20" s="27">
        <v>1</v>
      </c>
      <c r="E20" s="28"/>
      <c r="F20" s="27">
        <v>1.6</v>
      </c>
      <c r="G20" s="27"/>
      <c r="H20" s="27">
        <f t="shared" si="0"/>
        <v>549</v>
      </c>
      <c r="I20" s="27">
        <f t="shared" si="1"/>
        <v>4</v>
      </c>
      <c r="J20" s="27"/>
      <c r="K20" s="142">
        <f t="shared" si="2"/>
        <v>370</v>
      </c>
      <c r="L20" s="142"/>
      <c r="M20" s="142"/>
      <c r="N20" s="27">
        <f t="shared" si="3"/>
        <v>4</v>
      </c>
      <c r="O20" s="27"/>
      <c r="P20" s="30"/>
    </row>
    <row r="21" spans="1:16">
      <c r="A21" s="24" t="str">
        <f>'1. 소켓인수검사'!A19</f>
        <v>11</v>
      </c>
      <c r="B21" s="26">
        <f>'1. 소켓인수검사'!C19</f>
        <v>550</v>
      </c>
      <c r="C21" s="26">
        <f>'1. 소켓인수검사'!D19</f>
        <v>400</v>
      </c>
      <c r="D21" s="27">
        <v>1</v>
      </c>
      <c r="E21" s="28"/>
      <c r="F21" s="27">
        <v>1.6</v>
      </c>
      <c r="G21" s="27"/>
      <c r="H21" s="27">
        <f t="shared" si="0"/>
        <v>549</v>
      </c>
      <c r="I21" s="27">
        <f t="shared" si="1"/>
        <v>4</v>
      </c>
      <c r="J21" s="27"/>
      <c r="K21" s="142">
        <f t="shared" si="2"/>
        <v>370</v>
      </c>
      <c r="L21" s="142"/>
      <c r="M21" s="142"/>
      <c r="N21" s="27">
        <f t="shared" si="3"/>
        <v>4</v>
      </c>
      <c r="O21" s="27"/>
      <c r="P21" s="30"/>
    </row>
    <row r="22" spans="1:16">
      <c r="A22" s="24" t="str">
        <f>'1. 소켓인수검사'!A20</f>
        <v>12</v>
      </c>
      <c r="B22" s="26">
        <f>'1. 소켓인수검사'!C20</f>
        <v>550</v>
      </c>
      <c r="C22" s="26">
        <f>'1. 소켓인수검사'!D20</f>
        <v>400</v>
      </c>
      <c r="D22" s="27">
        <v>1</v>
      </c>
      <c r="E22" s="28"/>
      <c r="F22" s="27">
        <v>1.6</v>
      </c>
      <c r="G22" s="27"/>
      <c r="H22" s="27">
        <f t="shared" si="0"/>
        <v>549</v>
      </c>
      <c r="I22" s="27">
        <f t="shared" si="1"/>
        <v>4</v>
      </c>
      <c r="J22" s="27"/>
      <c r="K22" s="142">
        <f t="shared" si="2"/>
        <v>370</v>
      </c>
      <c r="L22" s="142"/>
      <c r="M22" s="142"/>
      <c r="N22" s="27">
        <f t="shared" si="3"/>
        <v>4</v>
      </c>
      <c r="O22" s="27"/>
      <c r="P22" s="29"/>
    </row>
    <row r="23" spans="1:16" ht="8.1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</row>
    <row r="24" spans="1:16">
      <c r="A24" s="143" t="s">
        <v>42</v>
      </c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6">
      <c r="A25" s="143"/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</row>
    <row r="26" spans="1:16">
      <c r="A26" s="143"/>
      <c r="B26" s="14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</row>
    <row r="27" spans="1:16">
      <c r="A27" s="143"/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</row>
  </sheetData>
  <mergeCells count="43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A23:P23"/>
    <mergeCell ref="A24:B27"/>
    <mergeCell ref="C24:P2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0" activePane="bottomLeft" state="frozen"/>
      <selection pane="bottomLeft" activeCell="M36" sqref="M3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2"/>
      <c r="B1" s="82"/>
      <c r="C1" s="82"/>
      <c r="D1" s="200" t="s">
        <v>40</v>
      </c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1"/>
      <c r="R1" s="202"/>
      <c r="S1" s="14"/>
    </row>
    <row r="2" spans="1:19">
      <c r="A2" s="82"/>
      <c r="B2" s="82"/>
      <c r="C2" s="82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203"/>
      <c r="S2" s="204"/>
    </row>
    <row r="3" spans="1:19" ht="24" customHeight="1">
      <c r="A3" s="82"/>
      <c r="B3" s="82"/>
      <c r="C3" s="82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1"/>
      <c r="R3" s="203"/>
      <c r="S3" s="204"/>
    </row>
    <row r="4" spans="1:19">
      <c r="A4" s="82" t="s">
        <v>14</v>
      </c>
      <c r="B4" s="82"/>
      <c r="C4" s="1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1"/>
      <c r="R4" s="203"/>
      <c r="S4" s="204"/>
    </row>
    <row r="5" spans="1:19">
      <c r="A5" s="82" t="s">
        <v>23</v>
      </c>
      <c r="B5" s="82"/>
      <c r="C5" s="82"/>
      <c r="D5" s="2" t="s">
        <v>29</v>
      </c>
      <c r="E5" s="194"/>
      <c r="F5" s="195"/>
      <c r="G5" s="186" t="s">
        <v>53</v>
      </c>
      <c r="H5" s="198"/>
      <c r="I5" s="180"/>
      <c r="J5" s="180"/>
      <c r="K5" s="199"/>
      <c r="L5" s="186" t="s">
        <v>18</v>
      </c>
      <c r="M5" s="51"/>
      <c r="N5" s="51"/>
      <c r="O5" s="186" t="s">
        <v>18</v>
      </c>
      <c r="P5" s="188" t="str">
        <f>'1. 소켓인수검사'!R2</f>
        <v>26.07.07 이신이엔지_LH건설_한신시피에스_GXT-A 운정역 환승주차장</v>
      </c>
      <c r="Q5" s="189"/>
      <c r="R5" s="189"/>
      <c r="S5" s="190"/>
    </row>
    <row r="6" spans="1:19">
      <c r="A6" s="82"/>
      <c r="B6" s="82"/>
      <c r="C6" s="82"/>
      <c r="D6" s="2" t="s">
        <v>26</v>
      </c>
      <c r="E6" s="194"/>
      <c r="F6" s="195"/>
      <c r="G6" s="187"/>
      <c r="H6" s="196"/>
      <c r="I6" s="134"/>
      <c r="J6" s="134"/>
      <c r="K6" s="197"/>
      <c r="L6" s="187"/>
      <c r="M6" s="52"/>
      <c r="N6" s="52"/>
      <c r="O6" s="187"/>
      <c r="P6" s="191"/>
      <c r="Q6" s="192"/>
      <c r="R6" s="192"/>
      <c r="S6" s="193"/>
    </row>
    <row r="7" spans="1:19" ht="8.1" customHeight="1">
      <c r="A7" s="196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97"/>
    </row>
    <row r="8" spans="1:19" ht="16.5" customHeight="1">
      <c r="A8" s="94" t="s">
        <v>50</v>
      </c>
      <c r="B8" s="181" t="s">
        <v>57</v>
      </c>
      <c r="C8" s="181" t="s">
        <v>55</v>
      </c>
      <c r="D8" s="181" t="s">
        <v>60</v>
      </c>
      <c r="E8" s="181" t="s">
        <v>45</v>
      </c>
      <c r="F8" s="181" t="s">
        <v>52</v>
      </c>
      <c r="G8" s="181" t="s">
        <v>20</v>
      </c>
      <c r="H8" s="181"/>
      <c r="I8" s="181"/>
      <c r="J8" s="181" t="s">
        <v>0</v>
      </c>
      <c r="K8" s="181"/>
      <c r="L8" s="181"/>
      <c r="M8" s="181" t="s">
        <v>0</v>
      </c>
      <c r="N8" s="181"/>
      <c r="O8" s="181"/>
      <c r="P8" s="181" t="s">
        <v>0</v>
      </c>
      <c r="Q8" s="181"/>
      <c r="R8" s="181"/>
      <c r="S8" s="183"/>
    </row>
    <row r="9" spans="1:19" ht="33" customHeight="1">
      <c r="A9" s="185"/>
      <c r="B9" s="182"/>
      <c r="C9" s="182"/>
      <c r="D9" s="182"/>
      <c r="E9" s="182"/>
      <c r="F9" s="182"/>
      <c r="G9" s="54" t="s">
        <v>30</v>
      </c>
      <c r="H9" s="54" t="s">
        <v>48</v>
      </c>
      <c r="I9" s="54" t="s">
        <v>47</v>
      </c>
      <c r="J9" s="54" t="s">
        <v>16</v>
      </c>
      <c r="K9" s="54" t="s">
        <v>48</v>
      </c>
      <c r="L9" s="54" t="s">
        <v>47</v>
      </c>
      <c r="M9" s="54" t="s">
        <v>22</v>
      </c>
      <c r="N9" s="54" t="s">
        <v>48</v>
      </c>
      <c r="O9" s="54" t="s">
        <v>47</v>
      </c>
      <c r="P9" s="54" t="s">
        <v>19</v>
      </c>
      <c r="Q9" s="54" t="s">
        <v>48</v>
      </c>
      <c r="R9" s="182" t="s">
        <v>47</v>
      </c>
      <c r="S9" s="184"/>
    </row>
    <row r="10" spans="1:19">
      <c r="A10" s="44" t="str">
        <f>'1. 소켓인수검사'!A9</f>
        <v>01</v>
      </c>
      <c r="B10" s="33">
        <f>'1. 소켓인수검사'!C9</f>
        <v>450</v>
      </c>
      <c r="C10" s="33">
        <f>'1. 소켓인수검사'!D9</f>
        <v>400</v>
      </c>
      <c r="D10" s="47" t="s">
        <v>43</v>
      </c>
      <c r="E10" s="50">
        <f>B10*C10/1000000</f>
        <v>0.18</v>
      </c>
      <c r="F10" s="50">
        <f>(B10+C10)*2/1000</f>
        <v>1.7</v>
      </c>
      <c r="G10" s="26"/>
      <c r="H10" s="33"/>
      <c r="I10" s="26"/>
      <c r="J10" s="26"/>
      <c r="K10" s="33"/>
      <c r="L10" s="26"/>
      <c r="M10" s="26">
        <f>F10+0.5</f>
        <v>2.2000000000000002</v>
      </c>
      <c r="N10" s="33">
        <v>4</v>
      </c>
      <c r="O10" s="26">
        <f>+N10*M10</f>
        <v>8.8000000000000007</v>
      </c>
      <c r="P10" s="26"/>
      <c r="Q10" s="33"/>
      <c r="R10" s="163"/>
      <c r="S10" s="164"/>
    </row>
    <row r="11" spans="1:19">
      <c r="A11" s="44" t="str">
        <f>'1. 소켓인수검사'!A10</f>
        <v>02</v>
      </c>
      <c r="B11" s="33">
        <f>'1. 소켓인수검사'!C10</f>
        <v>450</v>
      </c>
      <c r="C11" s="33">
        <f>'1. 소켓인수검사'!D10</f>
        <v>400</v>
      </c>
      <c r="D11" s="47" t="s">
        <v>43</v>
      </c>
      <c r="E11" s="50">
        <f>B11*C11/1000000</f>
        <v>0.18</v>
      </c>
      <c r="F11" s="50">
        <f>(B11+C11)*2/1000</f>
        <v>1.7</v>
      </c>
      <c r="G11" s="26"/>
      <c r="H11" s="33"/>
      <c r="I11" s="26"/>
      <c r="J11" s="26"/>
      <c r="K11" s="33"/>
      <c r="L11" s="26"/>
      <c r="M11" s="26">
        <f t="shared" ref="M11:M21" si="0">F11+0.5</f>
        <v>2.2000000000000002</v>
      </c>
      <c r="N11" s="33">
        <v>4</v>
      </c>
      <c r="O11" s="26">
        <f t="shared" ref="O11:O21" si="1">+N11*M11</f>
        <v>8.8000000000000007</v>
      </c>
      <c r="P11" s="26"/>
      <c r="Q11" s="33"/>
      <c r="R11" s="163"/>
      <c r="S11" s="164"/>
    </row>
    <row r="12" spans="1:19">
      <c r="A12" s="44" t="str">
        <f>'1. 소켓인수검사'!A11</f>
        <v>03</v>
      </c>
      <c r="B12" s="33">
        <f>'1. 소켓인수검사'!C11</f>
        <v>450</v>
      </c>
      <c r="C12" s="33">
        <f>'1. 소켓인수검사'!D11</f>
        <v>400</v>
      </c>
      <c r="D12" s="47" t="s">
        <v>43</v>
      </c>
      <c r="E12" s="50">
        <f t="shared" ref="E12:E21" si="2">B12*C12/1000000</f>
        <v>0.18</v>
      </c>
      <c r="F12" s="50">
        <f t="shared" ref="F12:F21" si="3">(B12+C12)*2/1000</f>
        <v>1.7</v>
      </c>
      <c r="G12" s="26"/>
      <c r="H12" s="33"/>
      <c r="I12" s="26"/>
      <c r="J12" s="26"/>
      <c r="K12" s="33"/>
      <c r="L12" s="26"/>
      <c r="M12" s="26">
        <f t="shared" si="0"/>
        <v>2.2000000000000002</v>
      </c>
      <c r="N12" s="33">
        <v>4</v>
      </c>
      <c r="O12" s="26">
        <f t="shared" si="1"/>
        <v>8.8000000000000007</v>
      </c>
      <c r="P12" s="26"/>
      <c r="Q12" s="33"/>
      <c r="R12" s="163"/>
      <c r="S12" s="164"/>
    </row>
    <row r="13" spans="1:19">
      <c r="A13" s="44" t="str">
        <f>'1. 소켓인수검사'!A12</f>
        <v>04</v>
      </c>
      <c r="B13" s="33">
        <f>'1. 소켓인수검사'!C12</f>
        <v>450</v>
      </c>
      <c r="C13" s="33">
        <f>'1. 소켓인수검사'!D12</f>
        <v>400</v>
      </c>
      <c r="D13" s="47" t="s">
        <v>43</v>
      </c>
      <c r="E13" s="50">
        <f t="shared" si="2"/>
        <v>0.18</v>
      </c>
      <c r="F13" s="50">
        <f t="shared" si="3"/>
        <v>1.7</v>
      </c>
      <c r="G13" s="26"/>
      <c r="H13" s="33"/>
      <c r="I13" s="26"/>
      <c r="J13" s="26"/>
      <c r="K13" s="33"/>
      <c r="L13" s="26"/>
      <c r="M13" s="26">
        <f t="shared" si="0"/>
        <v>2.2000000000000002</v>
      </c>
      <c r="N13" s="33">
        <v>4</v>
      </c>
      <c r="O13" s="26">
        <f t="shared" si="1"/>
        <v>8.8000000000000007</v>
      </c>
      <c r="P13" s="26"/>
      <c r="Q13" s="33"/>
      <c r="R13" s="163"/>
      <c r="S13" s="164"/>
    </row>
    <row r="14" spans="1:19">
      <c r="A14" s="44" t="str">
        <f>'1. 소켓인수검사'!A13</f>
        <v>05</v>
      </c>
      <c r="B14" s="33">
        <f>'1. 소켓인수검사'!C13</f>
        <v>450</v>
      </c>
      <c r="C14" s="33">
        <f>'1. 소켓인수검사'!D13</f>
        <v>400</v>
      </c>
      <c r="D14" s="47" t="s">
        <v>43</v>
      </c>
      <c r="E14" s="50">
        <f t="shared" si="2"/>
        <v>0.18</v>
      </c>
      <c r="F14" s="50">
        <f t="shared" si="3"/>
        <v>1.7</v>
      </c>
      <c r="G14" s="26"/>
      <c r="H14" s="33"/>
      <c r="I14" s="26"/>
      <c r="J14" s="26"/>
      <c r="K14" s="33"/>
      <c r="L14" s="26"/>
      <c r="M14" s="26">
        <f t="shared" si="0"/>
        <v>2.2000000000000002</v>
      </c>
      <c r="N14" s="33">
        <v>4</v>
      </c>
      <c r="O14" s="26">
        <f t="shared" si="1"/>
        <v>8.8000000000000007</v>
      </c>
      <c r="P14" s="26"/>
      <c r="Q14" s="33"/>
      <c r="R14" s="163"/>
      <c r="S14" s="164"/>
    </row>
    <row r="15" spans="1:19">
      <c r="A15" s="44" t="str">
        <f>'1. 소켓인수검사'!A14</f>
        <v>06</v>
      </c>
      <c r="B15" s="33">
        <f>'1. 소켓인수검사'!C14</f>
        <v>450</v>
      </c>
      <c r="C15" s="33">
        <f>'1. 소켓인수검사'!D14</f>
        <v>400</v>
      </c>
      <c r="D15" s="47" t="s">
        <v>43</v>
      </c>
      <c r="E15" s="50">
        <f t="shared" si="2"/>
        <v>0.18</v>
      </c>
      <c r="F15" s="50">
        <f t="shared" si="3"/>
        <v>1.7</v>
      </c>
      <c r="G15" s="26"/>
      <c r="H15" s="33"/>
      <c r="I15" s="26"/>
      <c r="J15" s="26"/>
      <c r="K15" s="33"/>
      <c r="L15" s="26"/>
      <c r="M15" s="26">
        <f t="shared" si="0"/>
        <v>2.2000000000000002</v>
      </c>
      <c r="N15" s="33">
        <v>4</v>
      </c>
      <c r="O15" s="26">
        <f t="shared" si="1"/>
        <v>8.8000000000000007</v>
      </c>
      <c r="P15" s="26"/>
      <c r="Q15" s="26"/>
      <c r="R15" s="163"/>
      <c r="S15" s="164"/>
    </row>
    <row r="16" spans="1:19">
      <c r="A16" s="44" t="str">
        <f>'1. 소켓인수검사'!A15</f>
        <v>07</v>
      </c>
      <c r="B16" s="33">
        <f>'1. 소켓인수검사'!C15</f>
        <v>450</v>
      </c>
      <c r="C16" s="33">
        <f>'1. 소켓인수검사'!D15</f>
        <v>400</v>
      </c>
      <c r="D16" s="47" t="s">
        <v>43</v>
      </c>
      <c r="E16" s="50">
        <f t="shared" si="2"/>
        <v>0.18</v>
      </c>
      <c r="F16" s="50">
        <f t="shared" si="3"/>
        <v>1.7</v>
      </c>
      <c r="G16" s="26"/>
      <c r="H16" s="33"/>
      <c r="I16" s="26"/>
      <c r="J16" s="26"/>
      <c r="K16" s="33"/>
      <c r="L16" s="26"/>
      <c r="M16" s="26">
        <f t="shared" si="0"/>
        <v>2.2000000000000002</v>
      </c>
      <c r="N16" s="33">
        <v>4</v>
      </c>
      <c r="O16" s="26">
        <f t="shared" si="1"/>
        <v>8.8000000000000007</v>
      </c>
      <c r="P16" s="26"/>
      <c r="Q16" s="26"/>
      <c r="R16" s="163"/>
      <c r="S16" s="164"/>
    </row>
    <row r="17" spans="1:19">
      <c r="A17" s="44" t="str">
        <f>'1. 소켓인수검사'!A16</f>
        <v>08</v>
      </c>
      <c r="B17" s="33">
        <f>'1. 소켓인수검사'!C16</f>
        <v>450</v>
      </c>
      <c r="C17" s="33">
        <f>'1. 소켓인수검사'!D16</f>
        <v>400</v>
      </c>
      <c r="D17" s="47" t="s">
        <v>43</v>
      </c>
      <c r="E17" s="50">
        <f t="shared" si="2"/>
        <v>0.18</v>
      </c>
      <c r="F17" s="50">
        <f t="shared" si="3"/>
        <v>1.7</v>
      </c>
      <c r="G17" s="26"/>
      <c r="H17" s="33"/>
      <c r="I17" s="26"/>
      <c r="J17" s="26"/>
      <c r="K17" s="33"/>
      <c r="L17" s="26"/>
      <c r="M17" s="26">
        <f t="shared" si="0"/>
        <v>2.2000000000000002</v>
      </c>
      <c r="N17" s="33">
        <v>4</v>
      </c>
      <c r="O17" s="26">
        <f t="shared" si="1"/>
        <v>8.8000000000000007</v>
      </c>
      <c r="P17" s="26"/>
      <c r="Q17" s="26"/>
      <c r="R17" s="163"/>
      <c r="S17" s="164"/>
    </row>
    <row r="18" spans="1:19" ht="16.5" customHeight="1">
      <c r="A18" s="44" t="str">
        <f>'1. 소켓인수검사'!A17</f>
        <v>09</v>
      </c>
      <c r="B18" s="33">
        <f>'1. 소켓인수검사'!C17</f>
        <v>550</v>
      </c>
      <c r="C18" s="33">
        <f>'1. 소켓인수검사'!D17</f>
        <v>400</v>
      </c>
      <c r="D18" s="47" t="s">
        <v>43</v>
      </c>
      <c r="E18" s="50">
        <f t="shared" si="2"/>
        <v>0.22</v>
      </c>
      <c r="F18" s="50">
        <f t="shared" si="3"/>
        <v>1.9</v>
      </c>
      <c r="G18" s="26"/>
      <c r="H18" s="33"/>
      <c r="I18" s="26"/>
      <c r="J18" s="26"/>
      <c r="K18" s="33"/>
      <c r="L18" s="26"/>
      <c r="M18" s="26">
        <f t="shared" si="0"/>
        <v>2.4</v>
      </c>
      <c r="N18" s="33">
        <v>4</v>
      </c>
      <c r="O18" s="26">
        <f t="shared" si="1"/>
        <v>9.6</v>
      </c>
      <c r="P18" s="26"/>
      <c r="Q18" s="26"/>
      <c r="R18" s="163"/>
      <c r="S18" s="164"/>
    </row>
    <row r="19" spans="1:19">
      <c r="A19" s="44" t="str">
        <f>'1. 소켓인수검사'!A18</f>
        <v>10</v>
      </c>
      <c r="B19" s="33">
        <f>'1. 소켓인수검사'!C18</f>
        <v>550</v>
      </c>
      <c r="C19" s="33">
        <f>'1. 소켓인수검사'!D18</f>
        <v>400</v>
      </c>
      <c r="D19" s="47" t="s">
        <v>43</v>
      </c>
      <c r="E19" s="50">
        <f t="shared" si="2"/>
        <v>0.22</v>
      </c>
      <c r="F19" s="50">
        <f t="shared" si="3"/>
        <v>1.9</v>
      </c>
      <c r="G19" s="26"/>
      <c r="H19" s="33"/>
      <c r="I19" s="26"/>
      <c r="J19" s="26"/>
      <c r="K19" s="33"/>
      <c r="L19" s="26"/>
      <c r="M19" s="26">
        <f t="shared" si="0"/>
        <v>2.4</v>
      </c>
      <c r="N19" s="33">
        <v>4</v>
      </c>
      <c r="O19" s="26">
        <f t="shared" si="1"/>
        <v>9.6</v>
      </c>
      <c r="P19" s="26"/>
      <c r="Q19" s="26"/>
      <c r="R19" s="163"/>
      <c r="S19" s="164"/>
    </row>
    <row r="20" spans="1:19">
      <c r="A20" s="44" t="str">
        <f>'1. 소켓인수검사'!A19</f>
        <v>11</v>
      </c>
      <c r="B20" s="33">
        <f>'1. 소켓인수검사'!C19</f>
        <v>550</v>
      </c>
      <c r="C20" s="33">
        <f>'1. 소켓인수검사'!D19</f>
        <v>400</v>
      </c>
      <c r="D20" s="47" t="s">
        <v>43</v>
      </c>
      <c r="E20" s="50">
        <f t="shared" si="2"/>
        <v>0.22</v>
      </c>
      <c r="F20" s="50">
        <f t="shared" si="3"/>
        <v>1.9</v>
      </c>
      <c r="G20" s="26"/>
      <c r="H20" s="33"/>
      <c r="I20" s="26"/>
      <c r="J20" s="26"/>
      <c r="K20" s="33"/>
      <c r="L20" s="26"/>
      <c r="M20" s="26">
        <f t="shared" si="0"/>
        <v>2.4</v>
      </c>
      <c r="N20" s="33">
        <v>4</v>
      </c>
      <c r="O20" s="26">
        <f t="shared" si="1"/>
        <v>9.6</v>
      </c>
      <c r="P20" s="26"/>
      <c r="Q20" s="26"/>
      <c r="R20" s="163"/>
      <c r="S20" s="164"/>
    </row>
    <row r="21" spans="1:19">
      <c r="A21" s="44" t="str">
        <f>'1. 소켓인수검사'!A20</f>
        <v>12</v>
      </c>
      <c r="B21" s="33">
        <f>'1. 소켓인수검사'!C20</f>
        <v>550</v>
      </c>
      <c r="C21" s="33">
        <f>'1. 소켓인수검사'!D20</f>
        <v>400</v>
      </c>
      <c r="D21" s="47" t="s">
        <v>43</v>
      </c>
      <c r="E21" s="50">
        <f t="shared" si="2"/>
        <v>0.22</v>
      </c>
      <c r="F21" s="50">
        <f t="shared" si="3"/>
        <v>1.9</v>
      </c>
      <c r="G21" s="26"/>
      <c r="H21" s="26"/>
      <c r="I21" s="26"/>
      <c r="J21" s="26"/>
      <c r="K21" s="33"/>
      <c r="L21" s="26"/>
      <c r="M21" s="26">
        <f t="shared" si="0"/>
        <v>2.4</v>
      </c>
      <c r="N21" s="33">
        <v>4</v>
      </c>
      <c r="O21" s="26">
        <f t="shared" si="1"/>
        <v>9.6</v>
      </c>
      <c r="P21" s="26"/>
      <c r="Q21" s="26"/>
      <c r="R21" s="163"/>
      <c r="S21" s="164"/>
    </row>
    <row r="22" spans="1:19">
      <c r="A22" s="165" t="s">
        <v>3</v>
      </c>
      <c r="B22" s="166"/>
      <c r="C22" s="166"/>
      <c r="D22" s="166"/>
      <c r="E22" s="166"/>
      <c r="F22" s="167"/>
      <c r="G22" s="31"/>
      <c r="H22" s="41"/>
      <c r="I22" s="58">
        <f>SUM(I10:I21)</f>
        <v>0</v>
      </c>
      <c r="J22" s="31"/>
      <c r="K22" s="31"/>
      <c r="L22" s="58">
        <f>SUM(L10:L21)</f>
        <v>0</v>
      </c>
      <c r="M22" s="31"/>
      <c r="N22" s="31"/>
      <c r="O22" s="58">
        <f>SUM(O10:O21)</f>
        <v>108.79999999999997</v>
      </c>
      <c r="P22" s="31"/>
      <c r="Q22" s="31"/>
      <c r="R22" s="168">
        <f>SUM(R10:S21)</f>
        <v>0</v>
      </c>
      <c r="S22" s="169"/>
    </row>
    <row r="23" spans="1:19" ht="17.25" customHeight="1">
      <c r="A23" s="173" t="s">
        <v>12</v>
      </c>
      <c r="B23" s="174"/>
      <c r="C23" s="174"/>
      <c r="D23" s="174"/>
      <c r="E23" s="174"/>
      <c r="F23" s="175"/>
      <c r="G23" s="176">
        <f>I22/20</f>
        <v>0</v>
      </c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8"/>
    </row>
    <row r="24" spans="1:19">
      <c r="A24" s="173" t="s">
        <v>11</v>
      </c>
      <c r="B24" s="174"/>
      <c r="C24" s="174"/>
      <c r="D24" s="174"/>
      <c r="E24" s="174"/>
      <c r="F24" s="175"/>
      <c r="G24" s="176">
        <f>L22/3.6</f>
        <v>0</v>
      </c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8"/>
    </row>
    <row r="25" spans="1:19">
      <c r="A25" s="179" t="s">
        <v>67</v>
      </c>
      <c r="B25" s="174"/>
      <c r="C25" s="174"/>
      <c r="D25" s="174"/>
      <c r="E25" s="174"/>
      <c r="F25" s="175"/>
      <c r="G25" s="176">
        <f>O22/7.4</f>
        <v>14.702702702702698</v>
      </c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8"/>
    </row>
    <row r="26" spans="1:19">
      <c r="A26" s="173" t="s">
        <v>13</v>
      </c>
      <c r="B26" s="174"/>
      <c r="C26" s="174"/>
      <c r="D26" s="174"/>
      <c r="E26" s="174"/>
      <c r="F26" s="175"/>
      <c r="G26" s="176">
        <f>R22/3.6</f>
        <v>0</v>
      </c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8"/>
    </row>
    <row r="27" spans="1:19" ht="8.1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</row>
    <row r="28" spans="1:19">
      <c r="A28" s="170" t="s">
        <v>42</v>
      </c>
      <c r="B28" s="170"/>
      <c r="C28" s="171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</row>
    <row r="29" spans="1:19">
      <c r="A29" s="170"/>
      <c r="B29" s="170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</row>
    <row r="30" spans="1:19">
      <c r="A30" s="170"/>
      <c r="B30" s="170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</row>
  </sheetData>
  <mergeCells count="51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A22:F22"/>
    <mergeCell ref="R22:S22"/>
    <mergeCell ref="A28:B30"/>
    <mergeCell ref="C28:S30"/>
    <mergeCell ref="A23:F23"/>
    <mergeCell ref="G23:S23"/>
    <mergeCell ref="A24:F24"/>
    <mergeCell ref="G24:S24"/>
    <mergeCell ref="A25:F25"/>
    <mergeCell ref="G25:S25"/>
    <mergeCell ref="A26:F26"/>
    <mergeCell ref="G26:S26"/>
    <mergeCell ref="A27:S27"/>
  </mergeCells>
  <phoneticPr fontId="24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6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X19" sqref="X19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2"/>
      <c r="B1" s="82"/>
      <c r="C1" s="82"/>
      <c r="D1" s="82"/>
      <c r="E1" s="67" t="s">
        <v>7</v>
      </c>
      <c r="F1" s="213" t="s">
        <v>64</v>
      </c>
      <c r="G1" s="213"/>
      <c r="H1" s="213"/>
      <c r="I1" s="213"/>
      <c r="J1" s="213"/>
      <c r="K1" s="128" t="str">
        <f>'1. 소켓인수검사'!R2</f>
        <v>26.07.07 이신이엔지_LH건설_한신시피에스_GXT-A 운정역 환승주차장</v>
      </c>
      <c r="L1" s="128"/>
      <c r="M1" s="128"/>
      <c r="N1" s="128"/>
      <c r="O1" s="128"/>
      <c r="P1" s="128"/>
      <c r="Q1" s="128"/>
      <c r="R1" s="128"/>
      <c r="S1" s="128"/>
      <c r="T1" s="128"/>
      <c r="U1" s="129"/>
    </row>
    <row r="2" spans="1:21" ht="16.5" customHeight="1">
      <c r="A2" s="82"/>
      <c r="B2" s="82"/>
      <c r="C2" s="82"/>
      <c r="D2" s="82"/>
      <c r="E2" s="66"/>
      <c r="F2" s="214"/>
      <c r="G2" s="214"/>
      <c r="H2" s="214"/>
      <c r="I2" s="214"/>
      <c r="J2" s="214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1"/>
    </row>
    <row r="3" spans="1:21" ht="24" customHeight="1">
      <c r="A3" s="82"/>
      <c r="B3" s="82"/>
      <c r="C3" s="82"/>
      <c r="D3" s="82"/>
      <c r="E3" s="68"/>
      <c r="F3" s="215"/>
      <c r="G3" s="215"/>
      <c r="H3" s="215"/>
      <c r="I3" s="215"/>
      <c r="J3" s="215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3"/>
    </row>
    <row r="4" spans="1:21" ht="8.1" customHeight="1">
      <c r="A4" s="196"/>
      <c r="B4" s="134"/>
      <c r="C4" s="134"/>
      <c r="D4" s="134"/>
      <c r="E4" s="134"/>
      <c r="F4" s="134"/>
      <c r="G4" s="134"/>
      <c r="H4" s="196"/>
      <c r="I4" s="134"/>
      <c r="J4" s="134"/>
      <c r="K4" s="134"/>
      <c r="L4" s="134"/>
      <c r="M4" s="134"/>
      <c r="N4" s="134"/>
      <c r="O4" s="134"/>
      <c r="P4" s="134"/>
      <c r="Q4" s="3"/>
      <c r="S4" s="3"/>
      <c r="T4" s="3"/>
      <c r="U4" s="3"/>
    </row>
    <row r="5" spans="1:21" ht="16.5" customHeight="1">
      <c r="A5" s="94" t="s">
        <v>50</v>
      </c>
      <c r="B5" s="218" t="s">
        <v>33</v>
      </c>
      <c r="C5" s="181" t="s">
        <v>57</v>
      </c>
      <c r="D5" s="181" t="s">
        <v>55</v>
      </c>
      <c r="E5" s="181" t="s">
        <v>21</v>
      </c>
      <c r="F5" s="181" t="s">
        <v>45</v>
      </c>
      <c r="G5" s="181" t="s">
        <v>52</v>
      </c>
      <c r="H5" s="181" t="s">
        <v>37</v>
      </c>
      <c r="I5" s="181" t="s">
        <v>20</v>
      </c>
      <c r="J5" s="181"/>
      <c r="K5" s="181" t="s">
        <v>0</v>
      </c>
      <c r="L5" s="181"/>
      <c r="M5" s="181" t="s">
        <v>0</v>
      </c>
      <c r="N5" s="181"/>
      <c r="O5" s="181" t="s">
        <v>0</v>
      </c>
      <c r="P5" s="181"/>
      <c r="Q5" s="206" t="s">
        <v>44</v>
      </c>
      <c r="R5" s="206"/>
      <c r="S5" s="207" t="s">
        <v>27</v>
      </c>
      <c r="T5" s="207" t="s">
        <v>49</v>
      </c>
      <c r="U5" s="209" t="s">
        <v>15</v>
      </c>
    </row>
    <row r="6" spans="1:21" ht="26.45" customHeight="1">
      <c r="A6" s="185"/>
      <c r="B6" s="219"/>
      <c r="C6" s="182"/>
      <c r="D6" s="182"/>
      <c r="E6" s="182"/>
      <c r="F6" s="182"/>
      <c r="G6" s="182"/>
      <c r="H6" s="182"/>
      <c r="I6" s="54" t="s">
        <v>8</v>
      </c>
      <c r="J6" s="32" t="s">
        <v>48</v>
      </c>
      <c r="K6" s="54" t="s">
        <v>65</v>
      </c>
      <c r="L6" s="32" t="s">
        <v>48</v>
      </c>
      <c r="M6" s="54" t="s">
        <v>32</v>
      </c>
      <c r="N6" s="32" t="s">
        <v>48</v>
      </c>
      <c r="O6" s="54" t="s">
        <v>34</v>
      </c>
      <c r="P6" s="32" t="s">
        <v>48</v>
      </c>
      <c r="Q6" s="54" t="s">
        <v>46</v>
      </c>
      <c r="R6" s="32" t="s">
        <v>58</v>
      </c>
      <c r="S6" s="208"/>
      <c r="T6" s="208"/>
      <c r="U6" s="210"/>
    </row>
    <row r="7" spans="1:21">
      <c r="A7" s="44" t="str">
        <f>'1. 소켓인수검사'!A9</f>
        <v>01</v>
      </c>
      <c r="B7" s="55" t="s">
        <v>36</v>
      </c>
      <c r="C7" s="33">
        <f>'1. 소켓인수검사'!C9</f>
        <v>450</v>
      </c>
      <c r="D7" s="33">
        <f>'1. 소켓인수검사'!D9</f>
        <v>400</v>
      </c>
      <c r="E7" s="34"/>
      <c r="F7" s="35">
        <f t="shared" ref="F7:F18" si="0">C7*D7/1000000</f>
        <v>0.18</v>
      </c>
      <c r="G7" s="35">
        <f t="shared" ref="G7:G18" si="1">(C7+D7)*2/1000</f>
        <v>1.7</v>
      </c>
      <c r="H7" s="40">
        <v>2</v>
      </c>
      <c r="I7" s="54"/>
      <c r="J7" s="32"/>
      <c r="K7" s="26">
        <f t="shared" ref="K7:K18" si="2">G7+0.5</f>
        <v>2.2000000000000002</v>
      </c>
      <c r="L7" s="32">
        <v>8</v>
      </c>
      <c r="M7" s="26"/>
      <c r="N7" s="32"/>
      <c r="O7" s="26"/>
      <c r="P7" s="32"/>
      <c r="Q7" s="36">
        <f t="shared" ref="Q7:Q18" si="3">(((C7+60)+250+(D7+60))*2/1000)*2</f>
        <v>4.88</v>
      </c>
      <c r="R7" s="80">
        <f>Q7*2</f>
        <v>9.76</v>
      </c>
      <c r="S7" s="37" t="s">
        <v>39</v>
      </c>
      <c r="T7" s="38" t="s">
        <v>6</v>
      </c>
      <c r="U7" s="39" t="str">
        <f>'1. 소켓인수검사'!G9</f>
        <v>E.A 벽체</v>
      </c>
    </row>
    <row r="8" spans="1:21">
      <c r="A8" s="44" t="str">
        <f>'1. 소켓인수검사'!A10</f>
        <v>02</v>
      </c>
      <c r="B8" s="55" t="s">
        <v>36</v>
      </c>
      <c r="C8" s="33">
        <f>'1. 소켓인수검사'!C10</f>
        <v>450</v>
      </c>
      <c r="D8" s="33">
        <f>'1. 소켓인수검사'!D10</f>
        <v>400</v>
      </c>
      <c r="E8" s="34"/>
      <c r="F8" s="35">
        <f t="shared" si="0"/>
        <v>0.18</v>
      </c>
      <c r="G8" s="35">
        <f t="shared" si="1"/>
        <v>1.7</v>
      </c>
      <c r="H8" s="40">
        <v>2</v>
      </c>
      <c r="I8" s="54"/>
      <c r="J8" s="32"/>
      <c r="K8" s="26">
        <f t="shared" si="2"/>
        <v>2.2000000000000002</v>
      </c>
      <c r="L8" s="32">
        <v>8</v>
      </c>
      <c r="M8" s="26"/>
      <c r="N8" s="32"/>
      <c r="O8" s="26"/>
      <c r="P8" s="32"/>
      <c r="Q8" s="36">
        <f t="shared" si="3"/>
        <v>4.88</v>
      </c>
      <c r="R8" s="80">
        <f>Q8*2</f>
        <v>9.76</v>
      </c>
      <c r="S8" s="37" t="s">
        <v>39</v>
      </c>
      <c r="T8" s="38" t="s">
        <v>6</v>
      </c>
      <c r="U8" s="39" t="str">
        <f>'1. 소켓인수검사'!G10</f>
        <v>E.A 벽체</v>
      </c>
    </row>
    <row r="9" spans="1:21">
      <c r="A9" s="44" t="str">
        <f>'1. 소켓인수검사'!A11</f>
        <v>03</v>
      </c>
      <c r="B9" s="55" t="s">
        <v>36</v>
      </c>
      <c r="C9" s="33">
        <f>'1. 소켓인수검사'!C11</f>
        <v>450</v>
      </c>
      <c r="D9" s="33">
        <f>'1. 소켓인수검사'!D11</f>
        <v>400</v>
      </c>
      <c r="E9" s="34"/>
      <c r="F9" s="35">
        <f t="shared" si="0"/>
        <v>0.18</v>
      </c>
      <c r="G9" s="35">
        <f t="shared" si="1"/>
        <v>1.7</v>
      </c>
      <c r="H9" s="40">
        <v>2</v>
      </c>
      <c r="I9" s="54"/>
      <c r="J9" s="32"/>
      <c r="K9" s="26">
        <f t="shared" si="2"/>
        <v>2.2000000000000002</v>
      </c>
      <c r="L9" s="32">
        <v>8</v>
      </c>
      <c r="M9" s="26"/>
      <c r="N9" s="32"/>
      <c r="O9" s="26"/>
      <c r="P9" s="32"/>
      <c r="Q9" s="36">
        <f t="shared" si="3"/>
        <v>4.88</v>
      </c>
      <c r="R9" s="80">
        <f t="shared" ref="R9:R18" si="4">Q9*2</f>
        <v>9.76</v>
      </c>
      <c r="S9" s="37" t="s">
        <v>39</v>
      </c>
      <c r="T9" s="38" t="s">
        <v>6</v>
      </c>
      <c r="U9" s="39" t="str">
        <f>'1. 소켓인수검사'!G11</f>
        <v>E.A 벽체</v>
      </c>
    </row>
    <row r="10" spans="1:21">
      <c r="A10" s="44" t="str">
        <f>'1. 소켓인수검사'!A12</f>
        <v>04</v>
      </c>
      <c r="B10" s="55" t="s">
        <v>36</v>
      </c>
      <c r="C10" s="33">
        <f>'1. 소켓인수검사'!C12</f>
        <v>450</v>
      </c>
      <c r="D10" s="33">
        <f>'1. 소켓인수검사'!D12</f>
        <v>400</v>
      </c>
      <c r="E10" s="34"/>
      <c r="F10" s="35">
        <f t="shared" si="0"/>
        <v>0.18</v>
      </c>
      <c r="G10" s="35">
        <f t="shared" si="1"/>
        <v>1.7</v>
      </c>
      <c r="H10" s="40">
        <v>2</v>
      </c>
      <c r="I10" s="54"/>
      <c r="J10" s="32"/>
      <c r="K10" s="26">
        <f t="shared" si="2"/>
        <v>2.2000000000000002</v>
      </c>
      <c r="L10" s="32">
        <v>8</v>
      </c>
      <c r="M10" s="26"/>
      <c r="N10" s="32"/>
      <c r="O10" s="26"/>
      <c r="P10" s="32"/>
      <c r="Q10" s="36">
        <f t="shared" si="3"/>
        <v>4.88</v>
      </c>
      <c r="R10" s="80">
        <f t="shared" si="4"/>
        <v>9.76</v>
      </c>
      <c r="S10" s="37" t="s">
        <v>39</v>
      </c>
      <c r="T10" s="38" t="s">
        <v>6</v>
      </c>
      <c r="U10" s="39" t="str">
        <f>'1. 소켓인수검사'!G12</f>
        <v>E.A 벽체</v>
      </c>
    </row>
    <row r="11" spans="1:21">
      <c r="A11" s="44" t="str">
        <f>'1. 소켓인수검사'!A13</f>
        <v>05</v>
      </c>
      <c r="B11" s="55" t="s">
        <v>36</v>
      </c>
      <c r="C11" s="33">
        <f>'1. 소켓인수검사'!C13</f>
        <v>450</v>
      </c>
      <c r="D11" s="33">
        <f>'1. 소켓인수검사'!D13</f>
        <v>400</v>
      </c>
      <c r="E11" s="34"/>
      <c r="F11" s="35">
        <f t="shared" si="0"/>
        <v>0.18</v>
      </c>
      <c r="G11" s="35">
        <f t="shared" si="1"/>
        <v>1.7</v>
      </c>
      <c r="H11" s="40">
        <v>2</v>
      </c>
      <c r="I11" s="54"/>
      <c r="J11" s="32"/>
      <c r="K11" s="26">
        <f t="shared" si="2"/>
        <v>2.2000000000000002</v>
      </c>
      <c r="L11" s="32">
        <v>8</v>
      </c>
      <c r="M11" s="26"/>
      <c r="N11" s="32"/>
      <c r="O11" s="26"/>
      <c r="P11" s="32"/>
      <c r="Q11" s="36">
        <f t="shared" si="3"/>
        <v>4.88</v>
      </c>
      <c r="R11" s="80">
        <f t="shared" si="4"/>
        <v>9.76</v>
      </c>
      <c r="S11" s="37" t="s">
        <v>39</v>
      </c>
      <c r="T11" s="38" t="s">
        <v>6</v>
      </c>
      <c r="U11" s="39" t="str">
        <f>'1. 소켓인수검사'!G13</f>
        <v>E.A 벽체</v>
      </c>
    </row>
    <row r="12" spans="1:21">
      <c r="A12" s="44" t="str">
        <f>'1. 소켓인수검사'!A14</f>
        <v>06</v>
      </c>
      <c r="B12" s="55" t="s">
        <v>36</v>
      </c>
      <c r="C12" s="33">
        <f>'1. 소켓인수검사'!C14</f>
        <v>450</v>
      </c>
      <c r="D12" s="33">
        <f>'1. 소켓인수검사'!D14</f>
        <v>400</v>
      </c>
      <c r="E12" s="34"/>
      <c r="F12" s="35">
        <f t="shared" si="0"/>
        <v>0.18</v>
      </c>
      <c r="G12" s="35">
        <f t="shared" si="1"/>
        <v>1.7</v>
      </c>
      <c r="H12" s="40">
        <v>2</v>
      </c>
      <c r="I12" s="54"/>
      <c r="J12" s="32"/>
      <c r="K12" s="26">
        <f t="shared" si="2"/>
        <v>2.2000000000000002</v>
      </c>
      <c r="L12" s="32">
        <v>8</v>
      </c>
      <c r="M12" s="26"/>
      <c r="N12" s="32"/>
      <c r="O12" s="26"/>
      <c r="P12" s="32"/>
      <c r="Q12" s="36">
        <f t="shared" si="3"/>
        <v>4.88</v>
      </c>
      <c r="R12" s="80">
        <f t="shared" si="4"/>
        <v>9.76</v>
      </c>
      <c r="S12" s="37" t="s">
        <v>39</v>
      </c>
      <c r="T12" s="38" t="s">
        <v>6</v>
      </c>
      <c r="U12" s="39" t="str">
        <f>'1. 소켓인수검사'!G14</f>
        <v>E.A 벽체</v>
      </c>
    </row>
    <row r="13" spans="1:21">
      <c r="A13" s="44" t="str">
        <f>'1. 소켓인수검사'!A15</f>
        <v>07</v>
      </c>
      <c r="B13" s="55" t="s">
        <v>36</v>
      </c>
      <c r="C13" s="33">
        <f>'1. 소켓인수검사'!C15</f>
        <v>450</v>
      </c>
      <c r="D13" s="33">
        <f>'1. 소켓인수검사'!D15</f>
        <v>400</v>
      </c>
      <c r="E13" s="34"/>
      <c r="F13" s="35">
        <f t="shared" si="0"/>
        <v>0.18</v>
      </c>
      <c r="G13" s="35">
        <f t="shared" si="1"/>
        <v>1.7</v>
      </c>
      <c r="H13" s="40">
        <v>2</v>
      </c>
      <c r="I13" s="54"/>
      <c r="J13" s="32"/>
      <c r="K13" s="26">
        <f t="shared" si="2"/>
        <v>2.2000000000000002</v>
      </c>
      <c r="L13" s="32">
        <v>8</v>
      </c>
      <c r="M13" s="26"/>
      <c r="N13" s="32"/>
      <c r="O13" s="26"/>
      <c r="P13" s="32"/>
      <c r="Q13" s="36">
        <f t="shared" si="3"/>
        <v>4.88</v>
      </c>
      <c r="R13" s="80">
        <f t="shared" si="4"/>
        <v>9.76</v>
      </c>
      <c r="S13" s="37" t="s">
        <v>39</v>
      </c>
      <c r="T13" s="38" t="s">
        <v>6</v>
      </c>
      <c r="U13" s="39" t="str">
        <f>'1. 소켓인수검사'!G15</f>
        <v>E.A 벽체</v>
      </c>
    </row>
    <row r="14" spans="1:21">
      <c r="A14" s="44" t="str">
        <f>'1. 소켓인수검사'!A16</f>
        <v>08</v>
      </c>
      <c r="B14" s="55" t="s">
        <v>36</v>
      </c>
      <c r="C14" s="33">
        <f>'1. 소켓인수검사'!C16</f>
        <v>450</v>
      </c>
      <c r="D14" s="33">
        <f>'1. 소켓인수검사'!D16</f>
        <v>400</v>
      </c>
      <c r="E14" s="34"/>
      <c r="F14" s="35">
        <f t="shared" si="0"/>
        <v>0.18</v>
      </c>
      <c r="G14" s="35">
        <f t="shared" si="1"/>
        <v>1.7</v>
      </c>
      <c r="H14" s="40">
        <v>2</v>
      </c>
      <c r="I14" s="54"/>
      <c r="J14" s="32"/>
      <c r="K14" s="26">
        <f t="shared" si="2"/>
        <v>2.2000000000000002</v>
      </c>
      <c r="L14" s="32">
        <v>8</v>
      </c>
      <c r="M14" s="26"/>
      <c r="N14" s="32"/>
      <c r="O14" s="26"/>
      <c r="P14" s="32"/>
      <c r="Q14" s="36">
        <f t="shared" si="3"/>
        <v>4.88</v>
      </c>
      <c r="R14" s="80">
        <f t="shared" si="4"/>
        <v>9.76</v>
      </c>
      <c r="S14" s="37" t="s">
        <v>39</v>
      </c>
      <c r="T14" s="38" t="s">
        <v>6</v>
      </c>
      <c r="U14" s="39" t="str">
        <f>'1. 소켓인수검사'!G16</f>
        <v>E.A 벽체</v>
      </c>
    </row>
    <row r="15" spans="1:21">
      <c r="A15" s="44" t="str">
        <f>'1. 소켓인수검사'!A17</f>
        <v>09</v>
      </c>
      <c r="B15" s="55" t="s">
        <v>36</v>
      </c>
      <c r="C15" s="33">
        <f>'1. 소켓인수검사'!C17</f>
        <v>550</v>
      </c>
      <c r="D15" s="33">
        <f>'1. 소켓인수검사'!D17</f>
        <v>400</v>
      </c>
      <c r="E15" s="34"/>
      <c r="F15" s="35">
        <f t="shared" si="0"/>
        <v>0.22</v>
      </c>
      <c r="G15" s="35">
        <f t="shared" si="1"/>
        <v>1.9</v>
      </c>
      <c r="H15" s="40">
        <v>2</v>
      </c>
      <c r="I15" s="54"/>
      <c r="J15" s="32"/>
      <c r="K15" s="26">
        <f t="shared" si="2"/>
        <v>2.4</v>
      </c>
      <c r="L15" s="32">
        <v>8</v>
      </c>
      <c r="M15" s="26"/>
      <c r="N15" s="32"/>
      <c r="O15" s="26"/>
      <c r="P15" s="32"/>
      <c r="Q15" s="36">
        <f t="shared" si="3"/>
        <v>5.28</v>
      </c>
      <c r="R15" s="80">
        <f t="shared" si="4"/>
        <v>10.56</v>
      </c>
      <c r="S15" s="37" t="s">
        <v>39</v>
      </c>
      <c r="T15" s="38" t="s">
        <v>6</v>
      </c>
      <c r="U15" s="39" t="str">
        <f>'1. 소켓인수검사'!G17</f>
        <v>S.A 벽체</v>
      </c>
    </row>
    <row r="16" spans="1:21">
      <c r="A16" s="44" t="str">
        <f>'1. 소켓인수검사'!A18</f>
        <v>10</v>
      </c>
      <c r="B16" s="55" t="s">
        <v>36</v>
      </c>
      <c r="C16" s="33">
        <f>'1. 소켓인수검사'!C18</f>
        <v>550</v>
      </c>
      <c r="D16" s="33">
        <f>'1. 소켓인수검사'!D18</f>
        <v>400</v>
      </c>
      <c r="E16" s="34"/>
      <c r="F16" s="35">
        <f t="shared" si="0"/>
        <v>0.22</v>
      </c>
      <c r="G16" s="35">
        <f t="shared" si="1"/>
        <v>1.9</v>
      </c>
      <c r="H16" s="40">
        <v>2</v>
      </c>
      <c r="I16" s="54"/>
      <c r="J16" s="32"/>
      <c r="K16" s="26">
        <f t="shared" si="2"/>
        <v>2.4</v>
      </c>
      <c r="L16" s="32">
        <v>8</v>
      </c>
      <c r="M16" s="26"/>
      <c r="N16" s="32"/>
      <c r="O16" s="26"/>
      <c r="P16" s="32"/>
      <c r="Q16" s="36">
        <f t="shared" si="3"/>
        <v>5.28</v>
      </c>
      <c r="R16" s="80">
        <f t="shared" si="4"/>
        <v>10.56</v>
      </c>
      <c r="S16" s="37" t="s">
        <v>39</v>
      </c>
      <c r="T16" s="38" t="s">
        <v>6</v>
      </c>
      <c r="U16" s="39" t="str">
        <f>'1. 소켓인수검사'!G18</f>
        <v>S.A 벽체</v>
      </c>
    </row>
    <row r="17" spans="1:21">
      <c r="A17" s="44" t="str">
        <f>'1. 소켓인수검사'!A19</f>
        <v>11</v>
      </c>
      <c r="B17" s="55" t="s">
        <v>36</v>
      </c>
      <c r="C17" s="33">
        <f>'1. 소켓인수검사'!C19</f>
        <v>550</v>
      </c>
      <c r="D17" s="33">
        <f>'1. 소켓인수검사'!D19</f>
        <v>400</v>
      </c>
      <c r="E17" s="34"/>
      <c r="F17" s="35">
        <f t="shared" si="0"/>
        <v>0.22</v>
      </c>
      <c r="G17" s="35">
        <f t="shared" si="1"/>
        <v>1.9</v>
      </c>
      <c r="H17" s="40">
        <v>2</v>
      </c>
      <c r="I17" s="54"/>
      <c r="J17" s="32"/>
      <c r="K17" s="26">
        <f t="shared" si="2"/>
        <v>2.4</v>
      </c>
      <c r="L17" s="32">
        <v>8</v>
      </c>
      <c r="M17" s="26"/>
      <c r="N17" s="32"/>
      <c r="O17" s="26"/>
      <c r="P17" s="32"/>
      <c r="Q17" s="36">
        <f t="shared" si="3"/>
        <v>5.28</v>
      </c>
      <c r="R17" s="80">
        <f t="shared" si="4"/>
        <v>10.56</v>
      </c>
      <c r="S17" s="37" t="s">
        <v>39</v>
      </c>
      <c r="T17" s="38" t="s">
        <v>6</v>
      </c>
      <c r="U17" s="39" t="str">
        <f>'1. 소켓인수검사'!G19</f>
        <v>S.A 벽체</v>
      </c>
    </row>
    <row r="18" spans="1:21">
      <c r="A18" s="44" t="str">
        <f>'1. 소켓인수검사'!A20</f>
        <v>12</v>
      </c>
      <c r="B18" s="55" t="s">
        <v>36</v>
      </c>
      <c r="C18" s="33">
        <f>'1. 소켓인수검사'!C20</f>
        <v>550</v>
      </c>
      <c r="D18" s="33">
        <f>'1. 소켓인수검사'!D20</f>
        <v>400</v>
      </c>
      <c r="E18" s="34"/>
      <c r="F18" s="35">
        <f t="shared" si="0"/>
        <v>0.22</v>
      </c>
      <c r="G18" s="35">
        <f t="shared" si="1"/>
        <v>1.9</v>
      </c>
      <c r="H18" s="40">
        <v>2</v>
      </c>
      <c r="I18" s="54"/>
      <c r="J18" s="32"/>
      <c r="K18" s="26">
        <f t="shared" si="2"/>
        <v>2.4</v>
      </c>
      <c r="L18" s="32">
        <v>8</v>
      </c>
      <c r="M18" s="26"/>
      <c r="N18" s="32"/>
      <c r="O18" s="26"/>
      <c r="P18" s="32"/>
      <c r="Q18" s="36">
        <f t="shared" si="3"/>
        <v>5.28</v>
      </c>
      <c r="R18" s="80">
        <f t="shared" si="4"/>
        <v>10.56</v>
      </c>
      <c r="S18" s="37" t="s">
        <v>39</v>
      </c>
      <c r="T18" s="38" t="s">
        <v>6</v>
      </c>
      <c r="U18" s="39" t="str">
        <f>'1. 소켓인수검사'!G20</f>
        <v>S.A 벽체</v>
      </c>
    </row>
    <row r="19" spans="1:21">
      <c r="A19" s="211" t="s">
        <v>5</v>
      </c>
      <c r="B19" s="212"/>
      <c r="C19" s="212"/>
      <c r="D19" s="53"/>
      <c r="E19" s="43"/>
      <c r="F19" s="43"/>
      <c r="G19" s="43"/>
      <c r="H19" s="42">
        <f>SUM(H7:H18)</f>
        <v>24</v>
      </c>
      <c r="I19" s="59"/>
      <c r="J19" s="42">
        <f>SUM(J7:J18)</f>
        <v>0</v>
      </c>
      <c r="K19" s="59"/>
      <c r="L19" s="42">
        <f>SUM(L7:L18)</f>
        <v>96</v>
      </c>
      <c r="M19" s="59"/>
      <c r="N19" s="42">
        <f>SUM(N7:N18)</f>
        <v>0</v>
      </c>
      <c r="O19" s="59"/>
      <c r="P19" s="42">
        <f>SUM(P7:P18)</f>
        <v>0</v>
      </c>
      <c r="Q19" s="59">
        <f>SUM(Q7:Q18)</f>
        <v>60.160000000000004</v>
      </c>
      <c r="R19" s="42">
        <f>SUM(R7:R18)</f>
        <v>120.32000000000001</v>
      </c>
      <c r="S19" s="56"/>
      <c r="T19" s="56"/>
      <c r="U19" s="57"/>
    </row>
    <row r="20" spans="1:21" ht="8.1" customHeight="1">
      <c r="A20" s="205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4"/>
    </row>
    <row r="21" spans="1:21">
      <c r="A21" s="170" t="s">
        <v>42</v>
      </c>
      <c r="B21" s="170"/>
      <c r="C21" s="170"/>
      <c r="D21" s="198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99"/>
    </row>
    <row r="22" spans="1:21">
      <c r="A22" s="170"/>
      <c r="B22" s="170"/>
      <c r="C22" s="170"/>
      <c r="D22" s="216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17"/>
    </row>
    <row r="23" spans="1:21">
      <c r="A23" s="170"/>
      <c r="B23" s="170"/>
      <c r="C23" s="170"/>
      <c r="D23" s="216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17"/>
    </row>
    <row r="24" spans="1:21">
      <c r="A24" s="170"/>
      <c r="B24" s="170"/>
      <c r="C24" s="170"/>
      <c r="D24" s="216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17"/>
    </row>
    <row r="25" spans="1:21">
      <c r="A25" s="170"/>
      <c r="B25" s="170"/>
      <c r="C25" s="170"/>
      <c r="D25" s="216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17"/>
    </row>
    <row r="26" spans="1:21">
      <c r="A26" s="170"/>
      <c r="B26" s="170"/>
      <c r="C26" s="170"/>
      <c r="D26" s="196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97"/>
    </row>
  </sheetData>
  <mergeCells count="24">
    <mergeCell ref="U5:U6"/>
    <mergeCell ref="A19:C19"/>
    <mergeCell ref="F1:J3"/>
    <mergeCell ref="K1:U3"/>
    <mergeCell ref="D21:U2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20:P20"/>
    <mergeCell ref="A21:C26"/>
    <mergeCell ref="Q5:R5"/>
    <mergeCell ref="S5:S6"/>
    <mergeCell ref="T5:T6"/>
    <mergeCell ref="K5:L5"/>
    <mergeCell ref="O5:P5"/>
    <mergeCell ref="M5:N5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0"/>
  </cols>
  <sheetData/>
  <phoneticPr fontId="24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2026-07-07T08:30:17Z</cp:lastPrinted>
  <dcterms:created xsi:type="dcterms:W3CDTF">2025-03-13T00:09:10Z</dcterms:created>
  <dcterms:modified xsi:type="dcterms:W3CDTF">2026-07-09T04:12:32Z</dcterms:modified>
  <cp:version>1200.0100.01</cp:version>
</cp:coreProperties>
</file>