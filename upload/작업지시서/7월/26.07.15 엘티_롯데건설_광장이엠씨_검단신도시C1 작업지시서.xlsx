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01. 2026년\7월\"/>
    </mc:Choice>
  </mc:AlternateContent>
  <xr:revisionPtr revIDLastSave="0" documentId="13_ncr:1_{6FC89A4F-4B9B-4084-BCA6-05BF2552A0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소켓인수검사'!$A$1:$P$69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0" l="1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8" i="10"/>
  <c r="R7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46" i="10"/>
  <c r="R45" i="10"/>
  <c r="H1" i="12"/>
  <c r="D68" i="12"/>
  <c r="M68" i="12" s="1"/>
  <c r="C68" i="12"/>
  <c r="D67" i="12"/>
  <c r="M67" i="12" s="1"/>
  <c r="C67" i="12"/>
  <c r="G67" i="12" s="1"/>
  <c r="D66" i="12"/>
  <c r="M66" i="12" s="1"/>
  <c r="C66" i="12"/>
  <c r="G66" i="12" s="1"/>
  <c r="D65" i="12"/>
  <c r="C65" i="12"/>
  <c r="G65" i="12" s="1"/>
  <c r="D64" i="12"/>
  <c r="I64" i="12" s="1"/>
  <c r="C64" i="12"/>
  <c r="D63" i="12"/>
  <c r="I63" i="12" s="1"/>
  <c r="C63" i="12"/>
  <c r="G63" i="12" s="1"/>
  <c r="D62" i="12"/>
  <c r="C62" i="12"/>
  <c r="K62" i="12" s="1"/>
  <c r="D61" i="12"/>
  <c r="C61" i="12"/>
  <c r="G61" i="12" s="1"/>
  <c r="D60" i="12"/>
  <c r="C60" i="12"/>
  <c r="D59" i="12"/>
  <c r="C59" i="12"/>
  <c r="K59" i="12" s="1"/>
  <c r="D58" i="12"/>
  <c r="M58" i="12" s="1"/>
  <c r="C58" i="12"/>
  <c r="K58" i="12" s="1"/>
  <c r="D57" i="12"/>
  <c r="C57" i="12"/>
  <c r="G57" i="12" s="1"/>
  <c r="D56" i="12"/>
  <c r="C56" i="12"/>
  <c r="D55" i="12"/>
  <c r="M55" i="12" s="1"/>
  <c r="C55" i="12"/>
  <c r="K55" i="12" s="1"/>
  <c r="D54" i="12"/>
  <c r="C54" i="12"/>
  <c r="G54" i="12" s="1"/>
  <c r="D53" i="12"/>
  <c r="C53" i="12"/>
  <c r="G53" i="12" s="1"/>
  <c r="D52" i="12"/>
  <c r="C52" i="12"/>
  <c r="D51" i="12"/>
  <c r="I51" i="12" s="1"/>
  <c r="C51" i="12"/>
  <c r="G51" i="12" s="1"/>
  <c r="D50" i="12"/>
  <c r="M50" i="12" s="1"/>
  <c r="C50" i="12"/>
  <c r="K50" i="12" s="1"/>
  <c r="D49" i="12"/>
  <c r="M49" i="12" s="1"/>
  <c r="C49" i="12"/>
  <c r="K49" i="12" s="1"/>
  <c r="D48" i="12"/>
  <c r="I48" i="12" s="1"/>
  <c r="C48" i="12"/>
  <c r="D47" i="12"/>
  <c r="C47" i="12"/>
  <c r="G47" i="12" s="1"/>
  <c r="D46" i="12"/>
  <c r="C46" i="12"/>
  <c r="K46" i="12" s="1"/>
  <c r="D45" i="12"/>
  <c r="C45" i="12"/>
  <c r="G45" i="12" s="1"/>
  <c r="D44" i="12"/>
  <c r="I44" i="12" s="1"/>
  <c r="C44" i="12"/>
  <c r="D43" i="12"/>
  <c r="M43" i="12" s="1"/>
  <c r="C43" i="12"/>
  <c r="K43" i="12" s="1"/>
  <c r="D42" i="12"/>
  <c r="I42" i="12" s="1"/>
  <c r="C42" i="12"/>
  <c r="G42" i="12" s="1"/>
  <c r="D41" i="12"/>
  <c r="C41" i="12"/>
  <c r="K41" i="12" s="1"/>
  <c r="D40" i="12"/>
  <c r="M40" i="12" s="1"/>
  <c r="C40" i="12"/>
  <c r="D39" i="12"/>
  <c r="I39" i="12" s="1"/>
  <c r="C39" i="12"/>
  <c r="K39" i="12" s="1"/>
  <c r="D38" i="12"/>
  <c r="M38" i="12" s="1"/>
  <c r="C38" i="12"/>
  <c r="K38" i="12" s="1"/>
  <c r="D37" i="12"/>
  <c r="M37" i="12" s="1"/>
  <c r="C37" i="12"/>
  <c r="G37" i="12" s="1"/>
  <c r="D36" i="12"/>
  <c r="I36" i="12" s="1"/>
  <c r="C36" i="12"/>
  <c r="D35" i="12"/>
  <c r="C35" i="12"/>
  <c r="K35" i="12" s="1"/>
  <c r="D34" i="12"/>
  <c r="M34" i="12" s="1"/>
  <c r="C34" i="12"/>
  <c r="K34" i="12" s="1"/>
  <c r="D33" i="12"/>
  <c r="C33" i="12"/>
  <c r="K33" i="12" s="1"/>
  <c r="D32" i="12"/>
  <c r="C32" i="12"/>
  <c r="D31" i="12"/>
  <c r="C31" i="12"/>
  <c r="K31" i="12" s="1"/>
  <c r="D30" i="12"/>
  <c r="C30" i="12"/>
  <c r="G30" i="12" s="1"/>
  <c r="D29" i="12"/>
  <c r="C29" i="12"/>
  <c r="G29" i="12" s="1"/>
  <c r="D28" i="12"/>
  <c r="M28" i="12" s="1"/>
  <c r="C28" i="12"/>
  <c r="D27" i="12"/>
  <c r="M27" i="12" s="1"/>
  <c r="C27" i="12"/>
  <c r="K27" i="12" s="1"/>
  <c r="D26" i="12"/>
  <c r="C26" i="12"/>
  <c r="G26" i="12" s="1"/>
  <c r="D25" i="12"/>
  <c r="M25" i="12" s="1"/>
  <c r="C25" i="12"/>
  <c r="G25" i="12" s="1"/>
  <c r="D24" i="12"/>
  <c r="M24" i="12" s="1"/>
  <c r="C24" i="12"/>
  <c r="D23" i="12"/>
  <c r="C23" i="12"/>
  <c r="D22" i="12"/>
  <c r="I22" i="12" s="1"/>
  <c r="C22" i="12"/>
  <c r="K22" i="12" s="1"/>
  <c r="D21" i="12"/>
  <c r="M21" i="12" s="1"/>
  <c r="C21" i="12"/>
  <c r="K21" i="12" s="1"/>
  <c r="D20" i="12"/>
  <c r="C20" i="12"/>
  <c r="D19" i="12"/>
  <c r="M19" i="12" s="1"/>
  <c r="C19" i="12"/>
  <c r="K19" i="12" s="1"/>
  <c r="D18" i="12"/>
  <c r="M18" i="12" s="1"/>
  <c r="C18" i="12"/>
  <c r="G18" i="12" s="1"/>
  <c r="D17" i="12"/>
  <c r="C17" i="12"/>
  <c r="K17" i="12" s="1"/>
  <c r="D16" i="12"/>
  <c r="M16" i="12" s="1"/>
  <c r="C16" i="12"/>
  <c r="D15" i="12"/>
  <c r="C15" i="12"/>
  <c r="K15" i="12" s="1"/>
  <c r="D14" i="12"/>
  <c r="I14" i="12" s="1"/>
  <c r="C14" i="12"/>
  <c r="G14" i="12" s="1"/>
  <c r="D13" i="12"/>
  <c r="I13" i="12" s="1"/>
  <c r="C13" i="12"/>
  <c r="G13" i="12" s="1"/>
  <c r="D12" i="12"/>
  <c r="M12" i="12" s="1"/>
  <c r="C12" i="12"/>
  <c r="D11" i="12"/>
  <c r="C11" i="12"/>
  <c r="G11" i="12" s="1"/>
  <c r="D10" i="12"/>
  <c r="C10" i="12"/>
  <c r="G10" i="12" s="1"/>
  <c r="D9" i="12"/>
  <c r="M9" i="12" s="1"/>
  <c r="C9" i="12"/>
  <c r="G9" i="12" s="1"/>
  <c r="D8" i="12"/>
  <c r="M8" i="12" s="1"/>
  <c r="C8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68" i="12"/>
  <c r="H68" i="12"/>
  <c r="J67" i="12"/>
  <c r="H67" i="12"/>
  <c r="J66" i="12"/>
  <c r="H66" i="12"/>
  <c r="J65" i="12"/>
  <c r="H65" i="12"/>
  <c r="J64" i="12"/>
  <c r="H64" i="12"/>
  <c r="M63" i="12"/>
  <c r="K63" i="12"/>
  <c r="J63" i="12"/>
  <c r="H63" i="12"/>
  <c r="J62" i="12"/>
  <c r="H62" i="12"/>
  <c r="G62" i="12"/>
  <c r="J61" i="12"/>
  <c r="H61" i="12"/>
  <c r="J60" i="12"/>
  <c r="H60" i="12"/>
  <c r="M59" i="12"/>
  <c r="J59" i="12"/>
  <c r="I59" i="12"/>
  <c r="H59" i="12"/>
  <c r="J58" i="12"/>
  <c r="H58" i="12"/>
  <c r="J57" i="12"/>
  <c r="H57" i="12"/>
  <c r="K57" i="12"/>
  <c r="J56" i="12"/>
  <c r="H56" i="12"/>
  <c r="J55" i="12"/>
  <c r="H55" i="12"/>
  <c r="J54" i="12"/>
  <c r="H54" i="12"/>
  <c r="J53" i="12"/>
  <c r="H53" i="12"/>
  <c r="J52" i="12"/>
  <c r="H52" i="12"/>
  <c r="M51" i="12"/>
  <c r="K51" i="12"/>
  <c r="J51" i="12"/>
  <c r="H51" i="12"/>
  <c r="J50" i="12"/>
  <c r="H50" i="12"/>
  <c r="J49" i="12"/>
  <c r="I49" i="12"/>
  <c r="H49" i="12"/>
  <c r="J48" i="12"/>
  <c r="H48" i="12"/>
  <c r="K47" i="12"/>
  <c r="J47" i="12"/>
  <c r="H47" i="12"/>
  <c r="M47" i="12"/>
  <c r="J46" i="12"/>
  <c r="H46" i="12"/>
  <c r="M45" i="12"/>
  <c r="J45" i="12"/>
  <c r="I45" i="12"/>
  <c r="H45" i="12"/>
  <c r="J44" i="12"/>
  <c r="H44" i="12"/>
  <c r="J43" i="12"/>
  <c r="H43" i="12"/>
  <c r="G43" i="12"/>
  <c r="K42" i="12"/>
  <c r="J42" i="12"/>
  <c r="H42" i="12"/>
  <c r="J41" i="12"/>
  <c r="H41" i="12"/>
  <c r="G41" i="12"/>
  <c r="M41" i="12"/>
  <c r="J40" i="12"/>
  <c r="H40" i="12"/>
  <c r="M39" i="12"/>
  <c r="J39" i="12"/>
  <c r="H39" i="12"/>
  <c r="J38" i="12"/>
  <c r="H38" i="12"/>
  <c r="J37" i="12"/>
  <c r="H37" i="12"/>
  <c r="J36" i="12"/>
  <c r="H36" i="12"/>
  <c r="J35" i="12"/>
  <c r="I35" i="12"/>
  <c r="H35" i="12"/>
  <c r="M35" i="12"/>
  <c r="J34" i="12"/>
  <c r="H34" i="12"/>
  <c r="M33" i="12"/>
  <c r="J33" i="12"/>
  <c r="I33" i="12"/>
  <c r="H33" i="12"/>
  <c r="G33" i="12"/>
  <c r="J32" i="12"/>
  <c r="H32" i="12"/>
  <c r="J31" i="12"/>
  <c r="H31" i="12"/>
  <c r="M31" i="12"/>
  <c r="K30" i="12"/>
  <c r="J30" i="12"/>
  <c r="H30" i="12"/>
  <c r="M29" i="12"/>
  <c r="J29" i="12"/>
  <c r="I29" i="12"/>
  <c r="H29" i="12"/>
  <c r="J28" i="12"/>
  <c r="H28" i="12"/>
  <c r="J27" i="12"/>
  <c r="H27" i="12"/>
  <c r="G27" i="12"/>
  <c r="I27" i="12"/>
  <c r="J26" i="12"/>
  <c r="H26" i="12"/>
  <c r="J25" i="12"/>
  <c r="H25" i="12"/>
  <c r="J24" i="12"/>
  <c r="H24" i="12"/>
  <c r="M23" i="12"/>
  <c r="K23" i="12"/>
  <c r="J23" i="12"/>
  <c r="I23" i="12"/>
  <c r="H23" i="12"/>
  <c r="G23" i="12"/>
  <c r="J22" i="12"/>
  <c r="H22" i="12"/>
  <c r="J21" i="12"/>
  <c r="H21" i="12"/>
  <c r="G21" i="12"/>
  <c r="J20" i="12"/>
  <c r="H20" i="12"/>
  <c r="J19" i="12"/>
  <c r="H19" i="12"/>
  <c r="J18" i="12"/>
  <c r="H18" i="12"/>
  <c r="M17" i="12"/>
  <c r="J17" i="12"/>
  <c r="I17" i="12"/>
  <c r="H17" i="12"/>
  <c r="G17" i="12"/>
  <c r="J16" i="12"/>
  <c r="H16" i="12"/>
  <c r="J15" i="12"/>
  <c r="H15" i="12"/>
  <c r="G15" i="12"/>
  <c r="M15" i="12"/>
  <c r="J14" i="12"/>
  <c r="H14" i="12"/>
  <c r="J13" i="12"/>
  <c r="H13" i="12"/>
  <c r="K13" i="12"/>
  <c r="J12" i="12"/>
  <c r="H12" i="12"/>
  <c r="M11" i="12"/>
  <c r="J11" i="12"/>
  <c r="H11" i="12"/>
  <c r="I11" i="12"/>
  <c r="J10" i="12"/>
  <c r="H10" i="12"/>
  <c r="J9" i="12"/>
  <c r="H9" i="12"/>
  <c r="J8" i="12"/>
  <c r="H8" i="12"/>
  <c r="G1" i="2"/>
  <c r="D68" i="2"/>
  <c r="C68" i="2"/>
  <c r="D67" i="2"/>
  <c r="I67" i="2" s="1"/>
  <c r="C67" i="2"/>
  <c r="D66" i="2"/>
  <c r="C66" i="2"/>
  <c r="G66" i="2" s="1"/>
  <c r="D65" i="2"/>
  <c r="I65" i="2" s="1"/>
  <c r="C65" i="2"/>
  <c r="D64" i="2"/>
  <c r="C64" i="2"/>
  <c r="D63" i="2"/>
  <c r="C63" i="2"/>
  <c r="D62" i="2"/>
  <c r="C62" i="2"/>
  <c r="D61" i="2"/>
  <c r="I61" i="2" s="1"/>
  <c r="C61" i="2"/>
  <c r="D60" i="2"/>
  <c r="C60" i="2"/>
  <c r="D59" i="2"/>
  <c r="I59" i="2" s="1"/>
  <c r="C59" i="2"/>
  <c r="D58" i="2"/>
  <c r="C58" i="2"/>
  <c r="D57" i="2"/>
  <c r="C57" i="2"/>
  <c r="D56" i="2"/>
  <c r="C56" i="2"/>
  <c r="D55" i="2"/>
  <c r="I55" i="2" s="1"/>
  <c r="C55" i="2"/>
  <c r="D54" i="2"/>
  <c r="C54" i="2"/>
  <c r="D53" i="2"/>
  <c r="I53" i="2" s="1"/>
  <c r="C53" i="2"/>
  <c r="G53" i="2" s="1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I43" i="2" s="1"/>
  <c r="C43" i="2"/>
  <c r="D42" i="2"/>
  <c r="C42" i="2"/>
  <c r="D41" i="2"/>
  <c r="C41" i="2"/>
  <c r="D40" i="2"/>
  <c r="C40" i="2"/>
  <c r="D39" i="2"/>
  <c r="C39" i="2"/>
  <c r="D38" i="2"/>
  <c r="C38" i="2"/>
  <c r="G38" i="2" s="1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I29" i="2" s="1"/>
  <c r="C29" i="2"/>
  <c r="D28" i="2"/>
  <c r="C28" i="2"/>
  <c r="D27" i="2"/>
  <c r="C27" i="2"/>
  <c r="D26" i="2"/>
  <c r="C26" i="2"/>
  <c r="D25" i="2"/>
  <c r="I25" i="2" s="1"/>
  <c r="C25" i="2"/>
  <c r="D24" i="2"/>
  <c r="C24" i="2"/>
  <c r="D23" i="2"/>
  <c r="C23" i="2"/>
  <c r="D22" i="2"/>
  <c r="C22" i="2"/>
  <c r="D21" i="2"/>
  <c r="C21" i="2"/>
  <c r="D20" i="2"/>
  <c r="C20" i="2"/>
  <c r="G20" i="2" s="1"/>
  <c r="D19" i="2"/>
  <c r="I19" i="2" s="1"/>
  <c r="C19" i="2"/>
  <c r="D18" i="2"/>
  <c r="C18" i="2"/>
  <c r="D17" i="2"/>
  <c r="I17" i="2" s="1"/>
  <c r="C17" i="2"/>
  <c r="D16" i="2"/>
  <c r="C16" i="2"/>
  <c r="D15" i="2"/>
  <c r="C15" i="2"/>
  <c r="D14" i="2"/>
  <c r="C14" i="2"/>
  <c r="G14" i="2" s="1"/>
  <c r="D13" i="2"/>
  <c r="I13" i="2" s="1"/>
  <c r="C13" i="2"/>
  <c r="D12" i="2"/>
  <c r="C12" i="2"/>
  <c r="D11" i="2"/>
  <c r="I11" i="2" s="1"/>
  <c r="C11" i="2"/>
  <c r="D10" i="2"/>
  <c r="C10" i="2"/>
  <c r="K1" i="10"/>
  <c r="P5" i="9"/>
  <c r="N5" i="5"/>
  <c r="D1" i="1"/>
  <c r="P68" i="10"/>
  <c r="H68" i="10"/>
  <c r="U67" i="10"/>
  <c r="D67" i="10"/>
  <c r="C67" i="10"/>
  <c r="A67" i="10"/>
  <c r="U66" i="10"/>
  <c r="D66" i="10"/>
  <c r="C66" i="10"/>
  <c r="A66" i="10"/>
  <c r="U65" i="10"/>
  <c r="D65" i="10"/>
  <c r="C65" i="10"/>
  <c r="Q65" i="10" s="1"/>
  <c r="A65" i="10"/>
  <c r="U64" i="10"/>
  <c r="D64" i="10"/>
  <c r="C64" i="10"/>
  <c r="A64" i="10"/>
  <c r="U63" i="10"/>
  <c r="D63" i="10"/>
  <c r="C63" i="10"/>
  <c r="A63" i="10"/>
  <c r="U62" i="10"/>
  <c r="D62" i="10"/>
  <c r="C62" i="10"/>
  <c r="A62" i="10"/>
  <c r="U61" i="10"/>
  <c r="D61" i="10"/>
  <c r="C61" i="10"/>
  <c r="A61" i="10"/>
  <c r="U60" i="10"/>
  <c r="D60" i="10"/>
  <c r="C60" i="10"/>
  <c r="A60" i="10"/>
  <c r="U59" i="10"/>
  <c r="D59" i="10"/>
  <c r="C59" i="10"/>
  <c r="A59" i="10"/>
  <c r="U58" i="10"/>
  <c r="D58" i="10"/>
  <c r="C58" i="10"/>
  <c r="A58" i="10"/>
  <c r="U57" i="10"/>
  <c r="D57" i="10"/>
  <c r="C57" i="10"/>
  <c r="A57" i="10"/>
  <c r="U56" i="10"/>
  <c r="D56" i="10"/>
  <c r="C56" i="10"/>
  <c r="A56" i="10"/>
  <c r="U55" i="10"/>
  <c r="D55" i="10"/>
  <c r="C55" i="10"/>
  <c r="A55" i="10"/>
  <c r="U54" i="10"/>
  <c r="D54" i="10"/>
  <c r="C54" i="10"/>
  <c r="A54" i="10"/>
  <c r="U53" i="10"/>
  <c r="D53" i="10"/>
  <c r="C53" i="10"/>
  <c r="A53" i="10"/>
  <c r="U52" i="10"/>
  <c r="D52" i="10"/>
  <c r="C52" i="10"/>
  <c r="A52" i="10"/>
  <c r="U51" i="10"/>
  <c r="D51" i="10"/>
  <c r="C51" i="10"/>
  <c r="A51" i="10"/>
  <c r="U50" i="10"/>
  <c r="D50" i="10"/>
  <c r="C50" i="10"/>
  <c r="A50" i="10"/>
  <c r="U49" i="10"/>
  <c r="D49" i="10"/>
  <c r="C49" i="10"/>
  <c r="A49" i="10"/>
  <c r="U48" i="10"/>
  <c r="D48" i="10"/>
  <c r="C48" i="10"/>
  <c r="A48" i="10"/>
  <c r="U47" i="10"/>
  <c r="D47" i="10"/>
  <c r="C47" i="10"/>
  <c r="A47" i="10"/>
  <c r="U46" i="10"/>
  <c r="D46" i="10"/>
  <c r="C46" i="10"/>
  <c r="A46" i="10"/>
  <c r="U45" i="10"/>
  <c r="D45" i="10"/>
  <c r="C45" i="10"/>
  <c r="A45" i="10"/>
  <c r="U44" i="10"/>
  <c r="D44" i="10"/>
  <c r="C44" i="10"/>
  <c r="A44" i="10"/>
  <c r="U43" i="10"/>
  <c r="D43" i="10"/>
  <c r="C43" i="10"/>
  <c r="A43" i="10"/>
  <c r="U42" i="10"/>
  <c r="D42" i="10"/>
  <c r="C42" i="10"/>
  <c r="A42" i="10"/>
  <c r="U41" i="10"/>
  <c r="D41" i="10"/>
  <c r="C41" i="10"/>
  <c r="Q41" i="10" s="1"/>
  <c r="A41" i="10"/>
  <c r="U40" i="10"/>
  <c r="D40" i="10"/>
  <c r="C40" i="10"/>
  <c r="A40" i="10"/>
  <c r="U39" i="10"/>
  <c r="D39" i="10"/>
  <c r="C39" i="10"/>
  <c r="Q39" i="10" s="1"/>
  <c r="A39" i="10"/>
  <c r="U38" i="10"/>
  <c r="D38" i="10"/>
  <c r="C38" i="10"/>
  <c r="A38" i="10"/>
  <c r="U37" i="10"/>
  <c r="D37" i="10"/>
  <c r="C37" i="10"/>
  <c r="A37" i="10"/>
  <c r="U36" i="10"/>
  <c r="D36" i="10"/>
  <c r="C36" i="10"/>
  <c r="A36" i="10"/>
  <c r="U35" i="10"/>
  <c r="D35" i="10"/>
  <c r="C35" i="10"/>
  <c r="A35" i="10"/>
  <c r="U34" i="10"/>
  <c r="D34" i="10"/>
  <c r="C34" i="10"/>
  <c r="A34" i="10"/>
  <c r="U33" i="10"/>
  <c r="D33" i="10"/>
  <c r="C33" i="10"/>
  <c r="A33" i="10"/>
  <c r="U32" i="10"/>
  <c r="D32" i="10"/>
  <c r="C32" i="10"/>
  <c r="A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Q15" i="10" s="1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Q9" i="10" s="1"/>
  <c r="A9" i="10"/>
  <c r="U8" i="10"/>
  <c r="D8" i="10"/>
  <c r="C8" i="10"/>
  <c r="A8" i="10"/>
  <c r="U7" i="10"/>
  <c r="D7" i="10"/>
  <c r="C7" i="10"/>
  <c r="A7" i="10"/>
  <c r="H70" i="9"/>
  <c r="C70" i="9"/>
  <c r="B70" i="9"/>
  <c r="A70" i="9"/>
  <c r="H69" i="9"/>
  <c r="C69" i="9"/>
  <c r="B69" i="9"/>
  <c r="A69" i="9"/>
  <c r="H68" i="9"/>
  <c r="C68" i="9"/>
  <c r="B68" i="9"/>
  <c r="A68" i="9"/>
  <c r="H67" i="9"/>
  <c r="C67" i="9"/>
  <c r="B67" i="9"/>
  <c r="A67" i="9"/>
  <c r="H66" i="9"/>
  <c r="C66" i="9"/>
  <c r="B66" i="9"/>
  <c r="A66" i="9"/>
  <c r="H65" i="9"/>
  <c r="C65" i="9"/>
  <c r="B65" i="9"/>
  <c r="A65" i="9"/>
  <c r="H64" i="9"/>
  <c r="C64" i="9"/>
  <c r="B64" i="9"/>
  <c r="A64" i="9"/>
  <c r="H63" i="9"/>
  <c r="C63" i="9"/>
  <c r="B63" i="9"/>
  <c r="A63" i="9"/>
  <c r="H62" i="9"/>
  <c r="C62" i="9"/>
  <c r="B62" i="9"/>
  <c r="A62" i="9"/>
  <c r="H61" i="9"/>
  <c r="C61" i="9"/>
  <c r="B61" i="9"/>
  <c r="A61" i="9"/>
  <c r="H60" i="9"/>
  <c r="C60" i="9"/>
  <c r="B60" i="9"/>
  <c r="A60" i="9"/>
  <c r="H59" i="9"/>
  <c r="C59" i="9"/>
  <c r="B59" i="9"/>
  <c r="A59" i="9"/>
  <c r="H58" i="9"/>
  <c r="C58" i="9"/>
  <c r="B58" i="9"/>
  <c r="A58" i="9"/>
  <c r="H57" i="9"/>
  <c r="C57" i="9"/>
  <c r="B57" i="9"/>
  <c r="A57" i="9"/>
  <c r="H56" i="9"/>
  <c r="C56" i="9"/>
  <c r="B56" i="9"/>
  <c r="A56" i="9"/>
  <c r="C55" i="9"/>
  <c r="B55" i="9"/>
  <c r="A55" i="9"/>
  <c r="C54" i="9"/>
  <c r="B54" i="9"/>
  <c r="A54" i="9"/>
  <c r="C53" i="9"/>
  <c r="B53" i="9"/>
  <c r="A53" i="9"/>
  <c r="C52" i="9"/>
  <c r="B52" i="9"/>
  <c r="A52" i="9"/>
  <c r="C51" i="9"/>
  <c r="B51" i="9"/>
  <c r="F51" i="9" s="1"/>
  <c r="G51" i="9" s="1"/>
  <c r="I51" i="9" s="1"/>
  <c r="A51" i="9"/>
  <c r="C50" i="9"/>
  <c r="B50" i="9"/>
  <c r="A50" i="9"/>
  <c r="C49" i="9"/>
  <c r="B49" i="9"/>
  <c r="A49" i="9"/>
  <c r="C48" i="9"/>
  <c r="B48" i="9"/>
  <c r="A48" i="9"/>
  <c r="C47" i="9"/>
  <c r="B47" i="9"/>
  <c r="F47" i="9" s="1"/>
  <c r="G47" i="9" s="1"/>
  <c r="I47" i="9" s="1"/>
  <c r="A47" i="9"/>
  <c r="C46" i="9"/>
  <c r="E46" i="9" s="1"/>
  <c r="B46" i="9"/>
  <c r="A46" i="9"/>
  <c r="C45" i="9"/>
  <c r="B45" i="9"/>
  <c r="A45" i="9"/>
  <c r="C44" i="9"/>
  <c r="B44" i="9"/>
  <c r="A44" i="9"/>
  <c r="C43" i="9"/>
  <c r="B43" i="9"/>
  <c r="A43" i="9"/>
  <c r="H42" i="9"/>
  <c r="C42" i="9"/>
  <c r="B42" i="9"/>
  <c r="A42" i="9"/>
  <c r="H41" i="9"/>
  <c r="C41" i="9"/>
  <c r="B41" i="9"/>
  <c r="A41" i="9"/>
  <c r="H40" i="9"/>
  <c r="C40" i="9"/>
  <c r="B40" i="9"/>
  <c r="F40" i="9" s="1"/>
  <c r="G40" i="9" s="1"/>
  <c r="A40" i="9"/>
  <c r="H39" i="9"/>
  <c r="C39" i="9"/>
  <c r="B39" i="9"/>
  <c r="A39" i="9"/>
  <c r="H38" i="9"/>
  <c r="C38" i="9"/>
  <c r="B38" i="9"/>
  <c r="A38" i="9"/>
  <c r="H37" i="9"/>
  <c r="C37" i="9"/>
  <c r="B37" i="9"/>
  <c r="A37" i="9"/>
  <c r="H36" i="9"/>
  <c r="C36" i="9"/>
  <c r="B36" i="9"/>
  <c r="A36" i="9"/>
  <c r="H35" i="9"/>
  <c r="C35" i="9"/>
  <c r="B35" i="9"/>
  <c r="F35" i="9" s="1"/>
  <c r="G35" i="9" s="1"/>
  <c r="A35" i="9"/>
  <c r="H34" i="9"/>
  <c r="C34" i="9"/>
  <c r="B34" i="9"/>
  <c r="A34" i="9"/>
  <c r="H33" i="9"/>
  <c r="C33" i="9"/>
  <c r="B33" i="9"/>
  <c r="A33" i="9"/>
  <c r="H32" i="9"/>
  <c r="C32" i="9"/>
  <c r="B32" i="9"/>
  <c r="F32" i="9" s="1"/>
  <c r="G32" i="9" s="1"/>
  <c r="A32" i="9"/>
  <c r="H31" i="9"/>
  <c r="C31" i="9"/>
  <c r="B31" i="9"/>
  <c r="A31" i="9"/>
  <c r="H30" i="9"/>
  <c r="C30" i="9"/>
  <c r="B30" i="9"/>
  <c r="A30" i="9"/>
  <c r="H29" i="9"/>
  <c r="C29" i="9"/>
  <c r="B29" i="9"/>
  <c r="F29" i="9" s="1"/>
  <c r="G29" i="9" s="1"/>
  <c r="A29" i="9"/>
  <c r="H28" i="9"/>
  <c r="C28" i="9"/>
  <c r="B28" i="9"/>
  <c r="A28" i="9"/>
  <c r="H27" i="9"/>
  <c r="C27" i="9"/>
  <c r="B27" i="9"/>
  <c r="A27" i="9"/>
  <c r="H26" i="9"/>
  <c r="C26" i="9"/>
  <c r="B26" i="9"/>
  <c r="A26" i="9"/>
  <c r="H25" i="9"/>
  <c r="C25" i="9"/>
  <c r="B25" i="9"/>
  <c r="A25" i="9"/>
  <c r="H24" i="9"/>
  <c r="C24" i="9"/>
  <c r="B24" i="9"/>
  <c r="F24" i="9" s="1"/>
  <c r="G24" i="9" s="1"/>
  <c r="A24" i="9"/>
  <c r="H23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71" i="5"/>
  <c r="I71" i="5"/>
  <c r="C71" i="5"/>
  <c r="K71" i="5" s="1"/>
  <c r="B71" i="5"/>
  <c r="H71" i="5" s="1"/>
  <c r="A71" i="5"/>
  <c r="N70" i="5"/>
  <c r="I70" i="5"/>
  <c r="C70" i="5"/>
  <c r="K70" i="5" s="1"/>
  <c r="B70" i="5"/>
  <c r="H70" i="5" s="1"/>
  <c r="A70" i="5"/>
  <c r="N69" i="5"/>
  <c r="I69" i="5"/>
  <c r="C69" i="5"/>
  <c r="K69" i="5" s="1"/>
  <c r="B69" i="5"/>
  <c r="H69" i="5" s="1"/>
  <c r="A69" i="5"/>
  <c r="N68" i="5"/>
  <c r="I68" i="5"/>
  <c r="C68" i="5"/>
  <c r="K68" i="5" s="1"/>
  <c r="B68" i="5"/>
  <c r="H68" i="5" s="1"/>
  <c r="A68" i="5"/>
  <c r="N67" i="5"/>
  <c r="I67" i="5"/>
  <c r="C67" i="5"/>
  <c r="K67" i="5" s="1"/>
  <c r="B67" i="5"/>
  <c r="H67" i="5" s="1"/>
  <c r="A67" i="5"/>
  <c r="N66" i="5"/>
  <c r="I66" i="5"/>
  <c r="C66" i="5"/>
  <c r="K66" i="5" s="1"/>
  <c r="B66" i="5"/>
  <c r="H66" i="5" s="1"/>
  <c r="A66" i="5"/>
  <c r="N65" i="5"/>
  <c r="I65" i="5"/>
  <c r="C65" i="5"/>
  <c r="K65" i="5" s="1"/>
  <c r="B65" i="5"/>
  <c r="H65" i="5" s="1"/>
  <c r="A65" i="5"/>
  <c r="N64" i="5"/>
  <c r="I64" i="5"/>
  <c r="C64" i="5"/>
  <c r="K64" i="5" s="1"/>
  <c r="B64" i="5"/>
  <c r="H64" i="5" s="1"/>
  <c r="A64" i="5"/>
  <c r="N63" i="5"/>
  <c r="I63" i="5"/>
  <c r="C63" i="5"/>
  <c r="K63" i="5" s="1"/>
  <c r="B63" i="5"/>
  <c r="H63" i="5" s="1"/>
  <c r="A63" i="5"/>
  <c r="N62" i="5"/>
  <c r="I62" i="5"/>
  <c r="C62" i="5"/>
  <c r="K62" i="5" s="1"/>
  <c r="B62" i="5"/>
  <c r="H62" i="5" s="1"/>
  <c r="A62" i="5"/>
  <c r="N61" i="5"/>
  <c r="I61" i="5"/>
  <c r="C61" i="5"/>
  <c r="K61" i="5" s="1"/>
  <c r="B61" i="5"/>
  <c r="H61" i="5" s="1"/>
  <c r="A61" i="5"/>
  <c r="N60" i="5"/>
  <c r="I60" i="5"/>
  <c r="C60" i="5"/>
  <c r="K60" i="5" s="1"/>
  <c r="B60" i="5"/>
  <c r="H60" i="5" s="1"/>
  <c r="A60" i="5"/>
  <c r="N59" i="5"/>
  <c r="I59" i="5"/>
  <c r="C59" i="5"/>
  <c r="K59" i="5" s="1"/>
  <c r="B59" i="5"/>
  <c r="H59" i="5" s="1"/>
  <c r="A59" i="5"/>
  <c r="N58" i="5"/>
  <c r="I58" i="5"/>
  <c r="C58" i="5"/>
  <c r="K58" i="5" s="1"/>
  <c r="B58" i="5"/>
  <c r="H58" i="5" s="1"/>
  <c r="A58" i="5"/>
  <c r="N57" i="5"/>
  <c r="I57" i="5"/>
  <c r="C57" i="5"/>
  <c r="K57" i="5" s="1"/>
  <c r="B57" i="5"/>
  <c r="H57" i="5" s="1"/>
  <c r="A57" i="5"/>
  <c r="N56" i="5"/>
  <c r="I56" i="5"/>
  <c r="C56" i="5"/>
  <c r="K56" i="5" s="1"/>
  <c r="B56" i="5"/>
  <c r="H56" i="5" s="1"/>
  <c r="A56" i="5"/>
  <c r="N55" i="5"/>
  <c r="I55" i="5"/>
  <c r="C55" i="5"/>
  <c r="K55" i="5" s="1"/>
  <c r="B55" i="5"/>
  <c r="H55" i="5" s="1"/>
  <c r="A55" i="5"/>
  <c r="N54" i="5"/>
  <c r="I54" i="5"/>
  <c r="C54" i="5"/>
  <c r="K54" i="5" s="1"/>
  <c r="B54" i="5"/>
  <c r="H54" i="5" s="1"/>
  <c r="A54" i="5"/>
  <c r="N53" i="5"/>
  <c r="I53" i="5"/>
  <c r="C53" i="5"/>
  <c r="K53" i="5" s="1"/>
  <c r="B53" i="5"/>
  <c r="H53" i="5" s="1"/>
  <c r="A53" i="5"/>
  <c r="N52" i="5"/>
  <c r="I52" i="5"/>
  <c r="C52" i="5"/>
  <c r="K52" i="5" s="1"/>
  <c r="B52" i="5"/>
  <c r="H52" i="5" s="1"/>
  <c r="A52" i="5"/>
  <c r="N51" i="5"/>
  <c r="I51" i="5"/>
  <c r="C51" i="5"/>
  <c r="K51" i="5" s="1"/>
  <c r="B51" i="5"/>
  <c r="H51" i="5" s="1"/>
  <c r="A51" i="5"/>
  <c r="N50" i="5"/>
  <c r="I50" i="5"/>
  <c r="C50" i="5"/>
  <c r="K50" i="5" s="1"/>
  <c r="B50" i="5"/>
  <c r="H50" i="5" s="1"/>
  <c r="A50" i="5"/>
  <c r="N49" i="5"/>
  <c r="I49" i="5"/>
  <c r="C49" i="5"/>
  <c r="K49" i="5" s="1"/>
  <c r="B49" i="5"/>
  <c r="H49" i="5" s="1"/>
  <c r="A49" i="5"/>
  <c r="N48" i="5"/>
  <c r="I48" i="5"/>
  <c r="C48" i="5"/>
  <c r="K48" i="5" s="1"/>
  <c r="B48" i="5"/>
  <c r="H48" i="5" s="1"/>
  <c r="A48" i="5"/>
  <c r="N47" i="5"/>
  <c r="I47" i="5"/>
  <c r="C47" i="5"/>
  <c r="K47" i="5" s="1"/>
  <c r="B47" i="5"/>
  <c r="H47" i="5" s="1"/>
  <c r="A47" i="5"/>
  <c r="N46" i="5"/>
  <c r="I46" i="5"/>
  <c r="C46" i="5"/>
  <c r="K46" i="5" s="1"/>
  <c r="B46" i="5"/>
  <c r="H46" i="5" s="1"/>
  <c r="A46" i="5"/>
  <c r="N45" i="5"/>
  <c r="I45" i="5"/>
  <c r="C45" i="5"/>
  <c r="K45" i="5" s="1"/>
  <c r="B45" i="5"/>
  <c r="H45" i="5" s="1"/>
  <c r="A45" i="5"/>
  <c r="N44" i="5"/>
  <c r="I44" i="5"/>
  <c r="C44" i="5"/>
  <c r="K44" i="5" s="1"/>
  <c r="B44" i="5"/>
  <c r="H44" i="5" s="1"/>
  <c r="A44" i="5"/>
  <c r="N43" i="5"/>
  <c r="I43" i="5"/>
  <c r="C43" i="5"/>
  <c r="K43" i="5" s="1"/>
  <c r="B43" i="5"/>
  <c r="H43" i="5" s="1"/>
  <c r="A43" i="5"/>
  <c r="N42" i="5"/>
  <c r="I42" i="5"/>
  <c r="C42" i="5"/>
  <c r="K42" i="5" s="1"/>
  <c r="B42" i="5"/>
  <c r="H42" i="5" s="1"/>
  <c r="A42" i="5"/>
  <c r="N41" i="5"/>
  <c r="I41" i="5"/>
  <c r="C41" i="5"/>
  <c r="K41" i="5" s="1"/>
  <c r="B41" i="5"/>
  <c r="H41" i="5" s="1"/>
  <c r="A41" i="5"/>
  <c r="N40" i="5"/>
  <c r="I40" i="5"/>
  <c r="C40" i="5"/>
  <c r="K40" i="5" s="1"/>
  <c r="B40" i="5"/>
  <c r="H40" i="5" s="1"/>
  <c r="A40" i="5"/>
  <c r="N39" i="5"/>
  <c r="I39" i="5"/>
  <c r="C39" i="5"/>
  <c r="K39" i="5" s="1"/>
  <c r="B39" i="5"/>
  <c r="H39" i="5" s="1"/>
  <c r="A39" i="5"/>
  <c r="N38" i="5"/>
  <c r="I38" i="5"/>
  <c r="C38" i="5"/>
  <c r="K38" i="5" s="1"/>
  <c r="B38" i="5"/>
  <c r="H38" i="5" s="1"/>
  <c r="A38" i="5"/>
  <c r="N37" i="5"/>
  <c r="I37" i="5"/>
  <c r="C37" i="5"/>
  <c r="K37" i="5" s="1"/>
  <c r="B37" i="5"/>
  <c r="H37" i="5" s="1"/>
  <c r="A37" i="5"/>
  <c r="N36" i="5"/>
  <c r="I36" i="5"/>
  <c r="C36" i="5"/>
  <c r="K36" i="5" s="1"/>
  <c r="B36" i="5"/>
  <c r="H36" i="5" s="1"/>
  <c r="A36" i="5"/>
  <c r="N35" i="5"/>
  <c r="I35" i="5"/>
  <c r="C35" i="5"/>
  <c r="K35" i="5" s="1"/>
  <c r="B35" i="5"/>
  <c r="H35" i="5" s="1"/>
  <c r="A35" i="5"/>
  <c r="N34" i="5"/>
  <c r="I34" i="5"/>
  <c r="C34" i="5"/>
  <c r="K34" i="5" s="1"/>
  <c r="B34" i="5"/>
  <c r="H34" i="5" s="1"/>
  <c r="A34" i="5"/>
  <c r="N33" i="5"/>
  <c r="I33" i="5"/>
  <c r="C33" i="5"/>
  <c r="K33" i="5" s="1"/>
  <c r="B33" i="5"/>
  <c r="H33" i="5" s="1"/>
  <c r="A33" i="5"/>
  <c r="N32" i="5"/>
  <c r="I32" i="5"/>
  <c r="C32" i="5"/>
  <c r="K32" i="5" s="1"/>
  <c r="B32" i="5"/>
  <c r="H32" i="5" s="1"/>
  <c r="A32" i="5"/>
  <c r="N31" i="5"/>
  <c r="I31" i="5"/>
  <c r="C31" i="5"/>
  <c r="K31" i="5" s="1"/>
  <c r="B31" i="5"/>
  <c r="H31" i="5" s="1"/>
  <c r="A31" i="5"/>
  <c r="N30" i="5"/>
  <c r="I30" i="5"/>
  <c r="C30" i="5"/>
  <c r="K30" i="5" s="1"/>
  <c r="B30" i="5"/>
  <c r="H30" i="5" s="1"/>
  <c r="A30" i="5"/>
  <c r="N29" i="5"/>
  <c r="I29" i="5"/>
  <c r="C29" i="5"/>
  <c r="K29" i="5" s="1"/>
  <c r="B29" i="5"/>
  <c r="H29" i="5" s="1"/>
  <c r="A29" i="5"/>
  <c r="N28" i="5"/>
  <c r="I28" i="5"/>
  <c r="C28" i="5"/>
  <c r="K28" i="5" s="1"/>
  <c r="B28" i="5"/>
  <c r="H28" i="5" s="1"/>
  <c r="A28" i="5"/>
  <c r="N27" i="5"/>
  <c r="I27" i="5"/>
  <c r="C27" i="5"/>
  <c r="K27" i="5" s="1"/>
  <c r="B27" i="5"/>
  <c r="H27" i="5" s="1"/>
  <c r="A27" i="5"/>
  <c r="N26" i="5"/>
  <c r="I26" i="5"/>
  <c r="C26" i="5"/>
  <c r="K26" i="5" s="1"/>
  <c r="B26" i="5"/>
  <c r="H26" i="5" s="1"/>
  <c r="A26" i="5"/>
  <c r="N25" i="5"/>
  <c r="I25" i="5"/>
  <c r="C25" i="5"/>
  <c r="K25" i="5" s="1"/>
  <c r="B25" i="5"/>
  <c r="H25" i="5" s="1"/>
  <c r="A25" i="5"/>
  <c r="N24" i="5"/>
  <c r="I24" i="5"/>
  <c r="C24" i="5"/>
  <c r="K24" i="5" s="1"/>
  <c r="B24" i="5"/>
  <c r="H24" i="5" s="1"/>
  <c r="A24" i="5"/>
  <c r="N23" i="5"/>
  <c r="I23" i="5"/>
  <c r="C23" i="5"/>
  <c r="K23" i="5" s="1"/>
  <c r="B23" i="5"/>
  <c r="H23" i="5" s="1"/>
  <c r="A23" i="5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I68" i="2"/>
  <c r="A68" i="2"/>
  <c r="A67" i="2"/>
  <c r="A66" i="2"/>
  <c r="A65" i="2"/>
  <c r="I64" i="2"/>
  <c r="A64" i="2"/>
  <c r="I63" i="2"/>
  <c r="A63" i="2"/>
  <c r="A62" i="2"/>
  <c r="A61" i="2"/>
  <c r="I60" i="2"/>
  <c r="A60" i="2"/>
  <c r="A59" i="2"/>
  <c r="A58" i="2"/>
  <c r="I57" i="2"/>
  <c r="A57" i="2"/>
  <c r="I56" i="2"/>
  <c r="A56" i="2"/>
  <c r="A55" i="2"/>
  <c r="A54" i="2"/>
  <c r="A53" i="2"/>
  <c r="I52" i="2"/>
  <c r="A52" i="2"/>
  <c r="I51" i="2"/>
  <c r="A51" i="2"/>
  <c r="A50" i="2"/>
  <c r="A49" i="2"/>
  <c r="I48" i="2"/>
  <c r="A48" i="2"/>
  <c r="A47" i="2"/>
  <c r="A46" i="2"/>
  <c r="I45" i="2"/>
  <c r="A45" i="2"/>
  <c r="I44" i="2"/>
  <c r="A44" i="2"/>
  <c r="A43" i="2"/>
  <c r="A42" i="2"/>
  <c r="I41" i="2"/>
  <c r="A41" i="2"/>
  <c r="I40" i="2"/>
  <c r="A40" i="2"/>
  <c r="I39" i="2"/>
  <c r="A39" i="2"/>
  <c r="A38" i="2"/>
  <c r="I37" i="2"/>
  <c r="A37" i="2"/>
  <c r="I36" i="2"/>
  <c r="A36" i="2"/>
  <c r="I35" i="2"/>
  <c r="A35" i="2"/>
  <c r="A34" i="2"/>
  <c r="I33" i="2"/>
  <c r="A33" i="2"/>
  <c r="I32" i="2"/>
  <c r="A32" i="2"/>
  <c r="I31" i="2"/>
  <c r="A31" i="2"/>
  <c r="A30" i="2"/>
  <c r="A29" i="2"/>
  <c r="A28" i="2"/>
  <c r="I27" i="2"/>
  <c r="A27" i="2"/>
  <c r="A26" i="2"/>
  <c r="A25" i="2"/>
  <c r="I24" i="2"/>
  <c r="A24" i="2"/>
  <c r="I23" i="2"/>
  <c r="A23" i="2"/>
  <c r="A22" i="2"/>
  <c r="I21" i="2"/>
  <c r="A21" i="2"/>
  <c r="I20" i="2"/>
  <c r="A20" i="2"/>
  <c r="A19" i="2"/>
  <c r="A18" i="2"/>
  <c r="A17" i="2"/>
  <c r="I16" i="2"/>
  <c r="A16" i="2"/>
  <c r="I15" i="2"/>
  <c r="A15" i="2"/>
  <c r="A14" i="2"/>
  <c r="A13" i="2"/>
  <c r="I12" i="2"/>
  <c r="A12" i="2"/>
  <c r="A11" i="2"/>
  <c r="A10" i="2"/>
  <c r="D9" i="2"/>
  <c r="I9" i="2" s="1"/>
  <c r="C9" i="2"/>
  <c r="A9" i="2"/>
  <c r="D8" i="2"/>
  <c r="I8" i="2" s="1"/>
  <c r="C8" i="2"/>
  <c r="G8" i="2" s="1"/>
  <c r="A8" i="2"/>
  <c r="I24" i="9" l="1"/>
  <c r="I29" i="9"/>
  <c r="I32" i="9"/>
  <c r="I40" i="9"/>
  <c r="K26" i="12"/>
  <c r="G38" i="12"/>
  <c r="K18" i="12"/>
  <c r="G22" i="12"/>
  <c r="K54" i="12"/>
  <c r="K66" i="12"/>
  <c r="K10" i="12"/>
  <c r="K14" i="12"/>
  <c r="I32" i="12"/>
  <c r="M32" i="12"/>
  <c r="M54" i="12"/>
  <c r="I54" i="12"/>
  <c r="I56" i="12"/>
  <c r="M56" i="12"/>
  <c r="M60" i="12"/>
  <c r="I60" i="12"/>
  <c r="I16" i="12"/>
  <c r="M36" i="12"/>
  <c r="M42" i="12"/>
  <c r="I10" i="12"/>
  <c r="M10" i="12"/>
  <c r="M20" i="12"/>
  <c r="I20" i="12"/>
  <c r="I26" i="12"/>
  <c r="M26" i="12"/>
  <c r="I30" i="12"/>
  <c r="M30" i="12"/>
  <c r="I46" i="12"/>
  <c r="M46" i="12"/>
  <c r="I52" i="12"/>
  <c r="M52" i="12"/>
  <c r="I62" i="12"/>
  <c r="M62" i="12"/>
  <c r="I38" i="12"/>
  <c r="I12" i="12"/>
  <c r="M14" i="12"/>
  <c r="M22" i="12"/>
  <c r="M64" i="12"/>
  <c r="G35" i="12"/>
  <c r="K67" i="12"/>
  <c r="K9" i="12"/>
  <c r="K11" i="12"/>
  <c r="G19" i="12"/>
  <c r="K29" i="12"/>
  <c r="G31" i="12"/>
  <c r="K45" i="12"/>
  <c r="K53" i="12"/>
  <c r="K65" i="12"/>
  <c r="F18" i="9"/>
  <c r="G18" i="9" s="1"/>
  <c r="I18" i="9" s="1"/>
  <c r="F22" i="9"/>
  <c r="G22" i="9" s="1"/>
  <c r="I22" i="9" s="1"/>
  <c r="G19" i="10"/>
  <c r="I19" i="10" s="1"/>
  <c r="G59" i="10"/>
  <c r="I59" i="10" s="1"/>
  <c r="G39" i="12"/>
  <c r="G49" i="12"/>
  <c r="G59" i="12"/>
  <c r="G50" i="12"/>
  <c r="G55" i="12"/>
  <c r="I67" i="12"/>
  <c r="K25" i="12"/>
  <c r="G34" i="12"/>
  <c r="M48" i="12"/>
  <c r="I43" i="12"/>
  <c r="I55" i="12"/>
  <c r="K37" i="12"/>
  <c r="G46" i="12"/>
  <c r="G58" i="12"/>
  <c r="M13" i="12"/>
  <c r="M44" i="12"/>
  <c r="K61" i="12"/>
  <c r="I68" i="12"/>
  <c r="I19" i="12"/>
  <c r="K16" i="12"/>
  <c r="G16" i="12"/>
  <c r="K32" i="12"/>
  <c r="G32" i="12"/>
  <c r="K48" i="12"/>
  <c r="G48" i="12"/>
  <c r="K56" i="12"/>
  <c r="G56" i="12"/>
  <c r="K64" i="12"/>
  <c r="G64" i="12"/>
  <c r="I9" i="12"/>
  <c r="I25" i="12"/>
  <c r="I41" i="12"/>
  <c r="K28" i="12"/>
  <c r="G28" i="12"/>
  <c r="K8" i="12"/>
  <c r="G8" i="12"/>
  <c r="K24" i="12"/>
  <c r="G24" i="12"/>
  <c r="I28" i="12"/>
  <c r="K40" i="12"/>
  <c r="G40" i="12"/>
  <c r="I50" i="12"/>
  <c r="I66" i="12"/>
  <c r="I15" i="12"/>
  <c r="I18" i="12"/>
  <c r="I31" i="12"/>
  <c r="I34" i="12"/>
  <c r="I47" i="12"/>
  <c r="K60" i="12"/>
  <c r="G60" i="12"/>
  <c r="K68" i="12"/>
  <c r="G68" i="12"/>
  <c r="K12" i="12"/>
  <c r="G12" i="12"/>
  <c r="I21" i="12"/>
  <c r="I37" i="12"/>
  <c r="K52" i="12"/>
  <c r="G52" i="12"/>
  <c r="K44" i="12"/>
  <c r="G44" i="12"/>
  <c r="I53" i="12"/>
  <c r="M53" i="12"/>
  <c r="I61" i="12"/>
  <c r="M61" i="12"/>
  <c r="I8" i="12"/>
  <c r="K20" i="12"/>
  <c r="G20" i="12"/>
  <c r="I24" i="12"/>
  <c r="K36" i="12"/>
  <c r="G36" i="12"/>
  <c r="I40" i="12"/>
  <c r="I57" i="12"/>
  <c r="M57" i="12"/>
  <c r="I65" i="12"/>
  <c r="M65" i="12"/>
  <c r="I58" i="12"/>
  <c r="G42" i="2"/>
  <c r="G61" i="2"/>
  <c r="F42" i="9"/>
  <c r="G42" i="9" s="1"/>
  <c r="I42" i="9" s="1"/>
  <c r="Q55" i="10"/>
  <c r="I14" i="2"/>
  <c r="E61" i="9"/>
  <c r="E64" i="9"/>
  <c r="G34" i="2"/>
  <c r="G13" i="2"/>
  <c r="G13" i="10"/>
  <c r="I13" i="10" s="1"/>
  <c r="Q25" i="10"/>
  <c r="Q37" i="10"/>
  <c r="G9" i="2"/>
  <c r="Q17" i="10"/>
  <c r="G67" i="10"/>
  <c r="I67" i="10" s="1"/>
  <c r="Q49" i="10"/>
  <c r="G53" i="10"/>
  <c r="I53" i="10" s="1"/>
  <c r="G37" i="10"/>
  <c r="I37" i="10" s="1"/>
  <c r="G35" i="10"/>
  <c r="I35" i="10" s="1"/>
  <c r="Q7" i="10"/>
  <c r="Q57" i="10"/>
  <c r="G27" i="10"/>
  <c r="I27" i="10" s="1"/>
  <c r="Q31" i="10"/>
  <c r="E43" i="9"/>
  <c r="F14" i="9"/>
  <c r="G14" i="9" s="1"/>
  <c r="I14" i="9" s="1"/>
  <c r="F52" i="9"/>
  <c r="G52" i="9" s="1"/>
  <c r="I52" i="9" s="1"/>
  <c r="E62" i="9"/>
  <c r="F69" i="9"/>
  <c r="G69" i="9" s="1"/>
  <c r="I69" i="9" s="1"/>
  <c r="E27" i="9"/>
  <c r="F33" i="9"/>
  <c r="G33" i="9" s="1"/>
  <c r="I33" i="9" s="1"/>
  <c r="E21" i="9"/>
  <c r="G30" i="2"/>
  <c r="G17" i="2"/>
  <c r="I28" i="2"/>
  <c r="G26" i="2"/>
  <c r="G45" i="2"/>
  <c r="G50" i="2"/>
  <c r="G65" i="2"/>
  <c r="I42" i="2"/>
  <c r="G23" i="2"/>
  <c r="I46" i="2"/>
  <c r="I54" i="2"/>
  <c r="G60" i="2"/>
  <c r="I58" i="2"/>
  <c r="G64" i="2"/>
  <c r="G68" i="2"/>
  <c r="F36" i="9"/>
  <c r="G36" i="9" s="1"/>
  <c r="I36" i="9" s="1"/>
  <c r="E36" i="9"/>
  <c r="I38" i="2"/>
  <c r="Q21" i="10"/>
  <c r="G21" i="10"/>
  <c r="I21" i="10" s="1"/>
  <c r="I10" i="2"/>
  <c r="G16" i="2"/>
  <c r="G21" i="2"/>
  <c r="G39" i="2"/>
  <c r="G41" i="2"/>
  <c r="G58" i="2"/>
  <c r="G25" i="2"/>
  <c r="I49" i="2"/>
  <c r="G62" i="2"/>
  <c r="I62" i="2"/>
  <c r="G46" i="2"/>
  <c r="I47" i="2"/>
  <c r="I50" i="2"/>
  <c r="I66" i="2"/>
  <c r="G56" i="2"/>
  <c r="I18" i="2"/>
  <c r="G29" i="2"/>
  <c r="I22" i="2"/>
  <c r="G33" i="2"/>
  <c r="I26" i="2"/>
  <c r="G32" i="2"/>
  <c r="G37" i="2"/>
  <c r="G49" i="2"/>
  <c r="G19" i="2"/>
  <c r="G54" i="2"/>
  <c r="G24" i="2"/>
  <c r="G28" i="2"/>
  <c r="G11" i="2"/>
  <c r="G18" i="2"/>
  <c r="I30" i="2"/>
  <c r="G36" i="2"/>
  <c r="G12" i="2"/>
  <c r="G35" i="2"/>
  <c r="G10" i="2"/>
  <c r="G63" i="2"/>
  <c r="G22" i="2"/>
  <c r="I34" i="2"/>
  <c r="G40" i="2"/>
  <c r="G44" i="2"/>
  <c r="G48" i="2"/>
  <c r="G52" i="2"/>
  <c r="G57" i="2"/>
  <c r="Q23" i="10"/>
  <c r="Q61" i="10"/>
  <c r="G61" i="10"/>
  <c r="I61" i="10" s="1"/>
  <c r="F17" i="9"/>
  <c r="G17" i="9" s="1"/>
  <c r="I17" i="9" s="1"/>
  <c r="F63" i="9"/>
  <c r="G63" i="9" s="1"/>
  <c r="I63" i="9" s="1"/>
  <c r="E63" i="9"/>
  <c r="F28" i="9"/>
  <c r="G28" i="9" s="1"/>
  <c r="I28" i="9" s="1"/>
  <c r="G67" i="2"/>
  <c r="Q63" i="10"/>
  <c r="F13" i="9"/>
  <c r="G13" i="9" s="1"/>
  <c r="I13" i="9" s="1"/>
  <c r="E48" i="9"/>
  <c r="F56" i="9"/>
  <c r="G56" i="9" s="1"/>
  <c r="I56" i="9" s="1"/>
  <c r="F59" i="9"/>
  <c r="G59" i="9" s="1"/>
  <c r="I59" i="9" s="1"/>
  <c r="F70" i="9"/>
  <c r="G70" i="9" s="1"/>
  <c r="I70" i="9" s="1"/>
  <c r="E25" i="9"/>
  <c r="G11" i="10"/>
  <c r="I11" i="10" s="1"/>
  <c r="G51" i="10"/>
  <c r="I51" i="10" s="1"/>
  <c r="E34" i="9"/>
  <c r="E60" i="9"/>
  <c r="Q33" i="10"/>
  <c r="Q47" i="10"/>
  <c r="F26" i="9"/>
  <c r="G26" i="9" s="1"/>
  <c r="I26" i="9" s="1"/>
  <c r="F37" i="9"/>
  <c r="G37" i="9" s="1"/>
  <c r="I37" i="9" s="1"/>
  <c r="Q45" i="10"/>
  <c r="F55" i="9"/>
  <c r="G55" i="9" s="1"/>
  <c r="I55" i="9" s="1"/>
  <c r="G45" i="10"/>
  <c r="I45" i="10" s="1"/>
  <c r="E41" i="9"/>
  <c r="F44" i="9"/>
  <c r="G44" i="9" s="1"/>
  <c r="I44" i="9" s="1"/>
  <c r="F67" i="9"/>
  <c r="G67" i="9" s="1"/>
  <c r="I67" i="9" s="1"/>
  <c r="Q29" i="10"/>
  <c r="G29" i="10"/>
  <c r="I29" i="10" s="1"/>
  <c r="G43" i="10"/>
  <c r="I43" i="10" s="1"/>
  <c r="G64" i="10"/>
  <c r="I64" i="10" s="1"/>
  <c r="Q13" i="10"/>
  <c r="Q53" i="10"/>
  <c r="F65" i="10"/>
  <c r="G17" i="10"/>
  <c r="I17" i="10" s="1"/>
  <c r="G33" i="10"/>
  <c r="I33" i="10" s="1"/>
  <c r="G41" i="10"/>
  <c r="I41" i="10" s="1"/>
  <c r="G65" i="10"/>
  <c r="I65" i="10" s="1"/>
  <c r="G62" i="10"/>
  <c r="I62" i="10" s="1"/>
  <c r="G9" i="10"/>
  <c r="I9" i="10" s="1"/>
  <c r="G25" i="10"/>
  <c r="I25" i="10" s="1"/>
  <c r="G49" i="10"/>
  <c r="I49" i="10" s="1"/>
  <c r="G57" i="10"/>
  <c r="I57" i="10" s="1"/>
  <c r="G7" i="10"/>
  <c r="I7" i="10" s="1"/>
  <c r="Q11" i="10"/>
  <c r="G15" i="10"/>
  <c r="I15" i="10" s="1"/>
  <c r="Q19" i="10"/>
  <c r="G23" i="10"/>
  <c r="I23" i="10" s="1"/>
  <c r="Q27" i="10"/>
  <c r="G31" i="10"/>
  <c r="I31" i="10" s="1"/>
  <c r="Q35" i="10"/>
  <c r="G39" i="10"/>
  <c r="I39" i="10" s="1"/>
  <c r="Q43" i="10"/>
  <c r="G47" i="10"/>
  <c r="I47" i="10" s="1"/>
  <c r="Q51" i="10"/>
  <c r="G55" i="10"/>
  <c r="I55" i="10" s="1"/>
  <c r="Q59" i="10"/>
  <c r="F61" i="10"/>
  <c r="G63" i="10"/>
  <c r="I63" i="10" s="1"/>
  <c r="G66" i="10"/>
  <c r="I66" i="10" s="1"/>
  <c r="N68" i="10"/>
  <c r="E17" i="9"/>
  <c r="E20" i="9"/>
  <c r="F21" i="9"/>
  <c r="G21" i="9" s="1"/>
  <c r="I21" i="9" s="1"/>
  <c r="E22" i="9"/>
  <c r="F27" i="9"/>
  <c r="G27" i="9" s="1"/>
  <c r="I27" i="9" s="1"/>
  <c r="F43" i="9"/>
  <c r="G43" i="9" s="1"/>
  <c r="I43" i="9" s="1"/>
  <c r="E44" i="9"/>
  <c r="F48" i="9"/>
  <c r="G48" i="9" s="1"/>
  <c r="I48" i="9" s="1"/>
  <c r="E55" i="9"/>
  <c r="F64" i="9"/>
  <c r="G64" i="9" s="1"/>
  <c r="I64" i="9" s="1"/>
  <c r="F66" i="9"/>
  <c r="G66" i="9" s="1"/>
  <c r="I66" i="9" s="1"/>
  <c r="E13" i="9"/>
  <c r="E16" i="9"/>
  <c r="E18" i="9"/>
  <c r="F25" i="9"/>
  <c r="G25" i="9" s="1"/>
  <c r="I25" i="9" s="1"/>
  <c r="E28" i="9"/>
  <c r="E35" i="9"/>
  <c r="F41" i="9"/>
  <c r="G41" i="9" s="1"/>
  <c r="I41" i="9" s="1"/>
  <c r="E51" i="9"/>
  <c r="E54" i="9"/>
  <c r="E56" i="9"/>
  <c r="E68" i="9"/>
  <c r="F10" i="9"/>
  <c r="G10" i="9" s="1"/>
  <c r="I10" i="9" s="1"/>
  <c r="E12" i="9"/>
  <c r="E14" i="9"/>
  <c r="E26" i="9"/>
  <c r="E33" i="9"/>
  <c r="F34" i="9"/>
  <c r="G34" i="9" s="1"/>
  <c r="I34" i="9" s="1"/>
  <c r="E42" i="9"/>
  <c r="E47" i="9"/>
  <c r="E50" i="9"/>
  <c r="E52" i="9"/>
  <c r="F58" i="9"/>
  <c r="G58" i="9" s="1"/>
  <c r="I58" i="9" s="1"/>
  <c r="F61" i="9"/>
  <c r="G61" i="9" s="1"/>
  <c r="I61" i="9" s="1"/>
  <c r="F62" i="9"/>
  <c r="G62" i="9" s="1"/>
  <c r="I62" i="9" s="1"/>
  <c r="E69" i="9"/>
  <c r="E70" i="9"/>
  <c r="E15" i="9"/>
  <c r="F15" i="9"/>
  <c r="G15" i="9" s="1"/>
  <c r="I15" i="9" s="1"/>
  <c r="F57" i="9"/>
  <c r="G57" i="9" s="1"/>
  <c r="I57" i="9" s="1"/>
  <c r="E57" i="9"/>
  <c r="F65" i="9"/>
  <c r="G65" i="9" s="1"/>
  <c r="I65" i="9" s="1"/>
  <c r="E65" i="9"/>
  <c r="E11" i="9"/>
  <c r="F11" i="9"/>
  <c r="G11" i="9" s="1"/>
  <c r="I11" i="9" s="1"/>
  <c r="F30" i="9"/>
  <c r="G30" i="9" s="1"/>
  <c r="I30" i="9" s="1"/>
  <c r="E30" i="9"/>
  <c r="F38" i="9"/>
  <c r="G38" i="9" s="1"/>
  <c r="I38" i="9" s="1"/>
  <c r="E38" i="9"/>
  <c r="E53" i="9"/>
  <c r="F53" i="9"/>
  <c r="G53" i="9" s="1"/>
  <c r="I53" i="9" s="1"/>
  <c r="G15" i="2"/>
  <c r="G27" i="2"/>
  <c r="G31" i="2"/>
  <c r="G43" i="2"/>
  <c r="G47" i="2"/>
  <c r="G51" i="2"/>
  <c r="G55" i="2"/>
  <c r="G59" i="2"/>
  <c r="E23" i="9"/>
  <c r="F23" i="9"/>
  <c r="G23" i="9" s="1"/>
  <c r="I23" i="9" s="1"/>
  <c r="E31" i="9"/>
  <c r="F31" i="9"/>
  <c r="G31" i="9" s="1"/>
  <c r="I31" i="9" s="1"/>
  <c r="E39" i="9"/>
  <c r="F39" i="9"/>
  <c r="G39" i="9" s="1"/>
  <c r="I39" i="9" s="1"/>
  <c r="E49" i="9"/>
  <c r="F49" i="9"/>
  <c r="G49" i="9" s="1"/>
  <c r="I49" i="9" s="1"/>
  <c r="E19" i="9"/>
  <c r="F19" i="9"/>
  <c r="G19" i="9" s="1"/>
  <c r="I19" i="9" s="1"/>
  <c r="E45" i="9"/>
  <c r="F45" i="9"/>
  <c r="G45" i="9" s="1"/>
  <c r="I45" i="9" s="1"/>
  <c r="F12" i="9"/>
  <c r="G12" i="9" s="1"/>
  <c r="I12" i="9" s="1"/>
  <c r="F16" i="9"/>
  <c r="G16" i="9" s="1"/>
  <c r="I16" i="9" s="1"/>
  <c r="F20" i="9"/>
  <c r="G20" i="9" s="1"/>
  <c r="I20" i="9" s="1"/>
  <c r="E29" i="9"/>
  <c r="E37" i="9"/>
  <c r="F46" i="9"/>
  <c r="G46" i="9" s="1"/>
  <c r="I46" i="9" s="1"/>
  <c r="F50" i="9"/>
  <c r="G50" i="9" s="1"/>
  <c r="I50" i="9" s="1"/>
  <c r="F54" i="9"/>
  <c r="G54" i="9" s="1"/>
  <c r="I54" i="9" s="1"/>
  <c r="F60" i="9"/>
  <c r="G60" i="9" s="1"/>
  <c r="I60" i="9" s="1"/>
  <c r="F68" i="9"/>
  <c r="G68" i="9" s="1"/>
  <c r="I68" i="9" s="1"/>
  <c r="E10" i="9"/>
  <c r="E24" i="9"/>
  <c r="E32" i="9"/>
  <c r="I35" i="9"/>
  <c r="E40" i="9"/>
  <c r="E58" i="9"/>
  <c r="E59" i="9"/>
  <c r="E66" i="9"/>
  <c r="E67" i="9"/>
  <c r="G8" i="10"/>
  <c r="I8" i="10" s="1"/>
  <c r="Q8" i="10"/>
  <c r="F8" i="10"/>
  <c r="G10" i="10"/>
  <c r="I10" i="10" s="1"/>
  <c r="Q10" i="10"/>
  <c r="F10" i="10"/>
  <c r="G12" i="10"/>
  <c r="I12" i="10" s="1"/>
  <c r="Q12" i="10"/>
  <c r="F12" i="10"/>
  <c r="G14" i="10"/>
  <c r="I14" i="10" s="1"/>
  <c r="Q14" i="10"/>
  <c r="F14" i="10"/>
  <c r="G16" i="10"/>
  <c r="I16" i="10" s="1"/>
  <c r="Q16" i="10"/>
  <c r="F16" i="10"/>
  <c r="G18" i="10"/>
  <c r="I18" i="10" s="1"/>
  <c r="Q18" i="10"/>
  <c r="F18" i="10"/>
  <c r="G20" i="10"/>
  <c r="I20" i="10" s="1"/>
  <c r="Q20" i="10"/>
  <c r="F20" i="10"/>
  <c r="G22" i="10"/>
  <c r="I22" i="10" s="1"/>
  <c r="Q22" i="10"/>
  <c r="F22" i="10"/>
  <c r="G24" i="10"/>
  <c r="I24" i="10" s="1"/>
  <c r="Q24" i="10"/>
  <c r="F24" i="10"/>
  <c r="G26" i="10"/>
  <c r="I26" i="10" s="1"/>
  <c r="Q26" i="10"/>
  <c r="F26" i="10"/>
  <c r="G28" i="10"/>
  <c r="I28" i="10" s="1"/>
  <c r="Q28" i="10"/>
  <c r="F28" i="10"/>
  <c r="G30" i="10"/>
  <c r="I30" i="10" s="1"/>
  <c r="Q30" i="10"/>
  <c r="F30" i="10"/>
  <c r="G32" i="10"/>
  <c r="I32" i="10" s="1"/>
  <c r="Q32" i="10"/>
  <c r="F32" i="10"/>
  <c r="G34" i="10"/>
  <c r="I34" i="10" s="1"/>
  <c r="Q34" i="10"/>
  <c r="F34" i="10"/>
  <c r="G36" i="10"/>
  <c r="I36" i="10" s="1"/>
  <c r="Q36" i="10"/>
  <c r="F36" i="10"/>
  <c r="G38" i="10"/>
  <c r="I38" i="10" s="1"/>
  <c r="Q38" i="10"/>
  <c r="F38" i="10"/>
  <c r="G40" i="10"/>
  <c r="I40" i="10" s="1"/>
  <c r="Q40" i="10"/>
  <c r="F40" i="10"/>
  <c r="G42" i="10"/>
  <c r="I42" i="10" s="1"/>
  <c r="Q42" i="10"/>
  <c r="F42" i="10"/>
  <c r="G44" i="10"/>
  <c r="I44" i="10" s="1"/>
  <c r="Q44" i="10"/>
  <c r="F44" i="10"/>
  <c r="G46" i="10"/>
  <c r="I46" i="10" s="1"/>
  <c r="Q46" i="10"/>
  <c r="F46" i="10"/>
  <c r="G48" i="10"/>
  <c r="I48" i="10" s="1"/>
  <c r="Q48" i="10"/>
  <c r="F48" i="10"/>
  <c r="G50" i="10"/>
  <c r="I50" i="10" s="1"/>
  <c r="Q50" i="10"/>
  <c r="F50" i="10"/>
  <c r="G52" i="10"/>
  <c r="I52" i="10" s="1"/>
  <c r="Q52" i="10"/>
  <c r="F52" i="10"/>
  <c r="G54" i="10"/>
  <c r="I54" i="10" s="1"/>
  <c r="Q54" i="10"/>
  <c r="F54" i="10"/>
  <c r="G56" i="10"/>
  <c r="I56" i="10" s="1"/>
  <c r="Q56" i="10"/>
  <c r="F56" i="10"/>
  <c r="G58" i="10"/>
  <c r="I58" i="10" s="1"/>
  <c r="Q58" i="10"/>
  <c r="F58" i="10"/>
  <c r="G60" i="10"/>
  <c r="I60" i="10" s="1"/>
  <c r="F60" i="10"/>
  <c r="Q64" i="10"/>
  <c r="J68" i="10"/>
  <c r="L68" i="10"/>
  <c r="F7" i="10"/>
  <c r="F9" i="10"/>
  <c r="F11" i="10"/>
  <c r="F13" i="10"/>
  <c r="F15" i="10"/>
  <c r="F17" i="10"/>
  <c r="F19" i="10"/>
  <c r="F21" i="10"/>
  <c r="F23" i="10"/>
  <c r="F25" i="10"/>
  <c r="F27" i="10"/>
  <c r="F29" i="10"/>
  <c r="F31" i="10"/>
  <c r="F33" i="10"/>
  <c r="F35" i="10"/>
  <c r="F37" i="10"/>
  <c r="F39" i="10"/>
  <c r="F41" i="10"/>
  <c r="F43" i="10"/>
  <c r="F45" i="10"/>
  <c r="F47" i="10"/>
  <c r="F49" i="10"/>
  <c r="F51" i="10"/>
  <c r="F53" i="10"/>
  <c r="F55" i="10"/>
  <c r="F57" i="10"/>
  <c r="F59" i="10"/>
  <c r="Q60" i="10"/>
  <c r="Q62" i="10"/>
  <c r="Q66" i="10"/>
  <c r="Q67" i="10"/>
  <c r="F67" i="10"/>
  <c r="F62" i="10"/>
  <c r="F64" i="10"/>
  <c r="F66" i="10"/>
  <c r="F63" i="10"/>
  <c r="O71" i="9" l="1"/>
  <c r="G74" i="9" s="1"/>
  <c r="R68" i="10"/>
  <c r="Q68" i="10"/>
  <c r="I71" i="9" l="1"/>
  <c r="G72" i="9" s="1"/>
  <c r="R71" i="9"/>
  <c r="L71" i="9"/>
  <c r="G73" i="9" s="1"/>
  <c r="G7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24" authorId="0" shapeId="0" xr:uid="{00000000-0006-0000-0000-000007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26" authorId="0" shapeId="0" xr:uid="{00000000-0006-0000-0000-000008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38" authorId="0" shapeId="0" xr:uid="{00000000-0006-0000-0000-00000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40" authorId="0" shapeId="0" xr:uid="{00000000-0006-0000-0000-00000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49" authorId="0" shapeId="0" xr:uid="{00000000-0006-0000-0000-00000B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51" authorId="0" shapeId="0" xr:uid="{00000000-0006-0000-0000-00000C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60" authorId="0" shapeId="0" xr:uid="{00000000-0006-0000-0000-000003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62" authorId="0" shapeId="0" xr:uid="{00000000-0006-0000-0000-000004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<sst xmlns="http://schemas.openxmlformats.org/spreadsheetml/2006/main" count="755" uniqueCount="215">
  <si>
    <t>차열재</t>
  </si>
  <si>
    <t>No</t>
  </si>
  <si>
    <t>비고</t>
  </si>
  <si>
    <t>합계</t>
  </si>
  <si>
    <t>규격</t>
  </si>
  <si>
    <t>TTL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</si>
  <si>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</si>
  <si>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</si>
  <si>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</si>
  <si>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</si>
  <si>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</si>
  <si>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</si>
  <si>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</si>
  <si>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</si>
  <si>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</si>
  <si>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</si>
  <si>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</si>
  <si>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</si>
  <si>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</si>
  <si>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</si>
  <si>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</si>
  <si>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</si>
  <si>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</si>
  <si>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</si>
  <si>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</si>
  <si>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</si>
  <si>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</si>
  <si>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</si>
  <si>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</si>
  <si>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</si>
  <si>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</si>
  <si>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</si>
  <si>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</si>
  <si>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</si>
  <si>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</si>
  <si>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</si>
  <si>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</si>
  <si>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</si>
  <si>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</si>
  <si>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</si>
  <si>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</si>
  <si>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</si>
  <si>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</si>
  <si>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</si>
  <si>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</si>
  <si>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</si>
  <si>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</si>
  <si>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</si>
  <si>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</si>
  <si>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</si>
  <si>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</si>
  <si>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</si>
  <si>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</si>
  <si>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</si>
  <si>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</si>
  <si>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</si>
  <si>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</si>
  <si>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</si>
  <si>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</si>
  <si>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</si>
  <si>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</si>
  <si>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</si>
  <si>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</si>
  <si>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</si>
  <si>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재단작업지시서(VM)</t>
    <phoneticPr fontId="25" type="noConversion"/>
  </si>
  <si>
    <t>절 곡 생 산 일 지(VM)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</si>
  <si>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</si>
  <si>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</si>
  <si>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</si>
  <si>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</si>
  <si>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01</t>
    <phoneticPr fontId="25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</si>
  <si>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</si>
  <si>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</si>
  <si>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</si>
  <si>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</si>
  <si>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</si>
  <si>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</si>
  <si>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</si>
  <si>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</si>
  <si>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</si>
  <si>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</si>
  <si>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</si>
  <si>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</si>
  <si>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</si>
  <si>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</si>
  <si>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</si>
  <si>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</si>
  <si>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</si>
  <si>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</si>
  <si>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</si>
  <si>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</si>
  <si>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</si>
  <si>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</si>
  <si>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</si>
  <si>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</si>
  <si>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</si>
  <si>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</si>
  <si>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</si>
  <si>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</si>
  <si>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</si>
  <si>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</si>
  <si>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</si>
  <si>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</si>
  <si>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</si>
  <si>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</si>
  <si>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</si>
  <si>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</si>
  <si>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</si>
  <si>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</si>
  <si>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</si>
  <si>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</si>
  <si>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</si>
  <si>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</si>
  <si>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</si>
  <si>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</si>
  <si>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</si>
  <si>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</si>
  <si>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</si>
  <si>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</si>
  <si>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</si>
  <si>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</si>
  <si>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</si>
  <si>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</si>
  <si>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</si>
  <si>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</si>
  <si>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</si>
  <si>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</si>
  <si>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</si>
  <si>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</si>
  <si>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</si>
  <si>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</si>
  <si>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재단작업지시서차열재</t>
    <phoneticPr fontId="25" type="noConversion"/>
  </si>
  <si>
    <t>26.07.15 엘티_롯데건설_광장이엠씨_검단신도시C1</t>
    <phoneticPr fontId="25" type="noConversion"/>
  </si>
  <si>
    <t>지상1층 202동</t>
  </si>
  <si>
    <t>지하3층 재활용보관소(오피스텔)</t>
  </si>
  <si>
    <t>지상1층 201동</t>
  </si>
  <si>
    <t>지하4층 소화펌프실</t>
  </si>
  <si>
    <t>지하3층 재활용보관소, 배수펌프실</t>
  </si>
  <si>
    <t>지하4층 배수펌프실</t>
  </si>
  <si>
    <t>지하2층 공조실(근생)</t>
  </si>
  <si>
    <t>지하5층 소화가스실</t>
  </si>
  <si>
    <t>지하5층 창고</t>
  </si>
  <si>
    <t>지상2층 202동</t>
  </si>
  <si>
    <t>지상1층 202동, C 존</t>
  </si>
  <si>
    <t>지상1층 203동</t>
  </si>
  <si>
    <t>지하3층 기계실(오피스텔)</t>
  </si>
  <si>
    <t>지하2층 공조실</t>
  </si>
  <si>
    <t>지하1층 재활용보관소(판매,근생)</t>
  </si>
  <si>
    <t>지하1층 공조실(근생)</t>
  </si>
  <si>
    <t>지하4층 연료전지실</t>
  </si>
  <si>
    <t>지하1층 화장실(램프하부)</t>
  </si>
  <si>
    <t>지하6층 우수조</t>
  </si>
  <si>
    <t>지하1,2층 공조실(근생)</t>
  </si>
  <si>
    <t>지하6층 급수펌프,중수조</t>
  </si>
  <si>
    <t>AO069</t>
  </si>
  <si>
    <t>AO070</t>
  </si>
  <si>
    <t>AO071</t>
  </si>
  <si>
    <t>AO072</t>
  </si>
  <si>
    <t>AO073</t>
  </si>
  <si>
    <t>AO074</t>
  </si>
  <si>
    <t>AO075</t>
  </si>
  <si>
    <t>AO076</t>
  </si>
  <si>
    <t>AO077</t>
  </si>
  <si>
    <t>AO078</t>
  </si>
  <si>
    <t>AO079</t>
  </si>
  <si>
    <t>AO080</t>
  </si>
  <si>
    <t>AO081</t>
  </si>
  <si>
    <t>AO082</t>
  </si>
  <si>
    <t>AO083</t>
  </si>
  <si>
    <t>AO084</t>
  </si>
  <si>
    <t>AO085</t>
  </si>
  <si>
    <t>AO086</t>
  </si>
  <si>
    <t>AO087</t>
  </si>
  <si>
    <t>AO088</t>
  </si>
  <si>
    <t>AO089</t>
  </si>
  <si>
    <t>AO090</t>
  </si>
  <si>
    <t>AO091</t>
  </si>
  <si>
    <t>AO092</t>
  </si>
  <si>
    <t>AO093</t>
  </si>
  <si>
    <t>AO094</t>
  </si>
  <si>
    <t>AO095</t>
  </si>
  <si>
    <t>AO096</t>
  </si>
  <si>
    <t>AO097</t>
  </si>
  <si>
    <t>AO098</t>
  </si>
  <si>
    <t>AO099</t>
  </si>
  <si>
    <t>AO100</t>
  </si>
  <si>
    <t>AO101</t>
  </si>
  <si>
    <t>AO102</t>
  </si>
  <si>
    <t>AO103</t>
  </si>
  <si>
    <t>AO104</t>
  </si>
  <si>
    <t>AO105</t>
  </si>
  <si>
    <t>AO106</t>
  </si>
  <si>
    <t>AO107</t>
  </si>
  <si>
    <t>AO108</t>
  </si>
  <si>
    <t>AO109</t>
  </si>
  <si>
    <t>AO110</t>
  </si>
  <si>
    <t>AO111</t>
  </si>
  <si>
    <t>AO112</t>
  </si>
  <si>
    <t>AO113</t>
  </si>
  <si>
    <t>AO114</t>
  </si>
  <si>
    <t>AO115</t>
  </si>
  <si>
    <t>AO116</t>
  </si>
  <si>
    <t>AO117</t>
  </si>
  <si>
    <t>AO118</t>
  </si>
  <si>
    <t>AO119</t>
  </si>
  <si>
    <t>AO120</t>
  </si>
  <si>
    <t>AO121</t>
  </si>
  <si>
    <t>AO122</t>
  </si>
  <si>
    <t>AO123</t>
  </si>
  <si>
    <t>AO124</t>
  </si>
  <si>
    <t>AO125</t>
  </si>
  <si>
    <t>AO126</t>
  </si>
  <si>
    <t>AO127</t>
  </si>
  <si>
    <t>AO128</t>
  </si>
  <si>
    <t>AO129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</si>
</sst>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1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3" fillId="0" borderId="26" xfId="0" applyFont="1" applyBorder="1" applyAlignment="1">
      <alignment horizontal="left"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176" fontId="24" fillId="0" borderId="12" xfId="3" applyBorder="1" applyAlignment="1">
      <alignment horizontal="center" vertical="center"/>
    </xf>
    <xf numFmtId="176" fontId="24" fillId="0" borderId="10" xfId="3" applyBorder="1" applyAlignment="1">
      <alignment horizontal="center" vertical="center"/>
    </xf>
    <xf numFmtId="176" fontId="24" fillId="0" borderId="13" xfId="3" applyBorder="1" applyAlignment="1">
      <alignment horizontal="center" vertical="center"/>
    </xf>
    <xf numFmtId="176" fontId="24" fillId="0" borderId="14" xfId="3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4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1" fillId="0" borderId="19" xfId="4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4" applyFont="1" applyBorder="1" applyAlignment="1">
      <alignment horizontal="center" vertical="center" shrinkToFit="1"/>
    </xf>
    <xf numFmtId="0" fontId="1" fillId="0" borderId="19" xfId="4" applyBorder="1" applyAlignment="1">
      <alignment horizontal="center" vertical="center" shrinkToFit="1"/>
    </xf>
    <xf numFmtId="0" fontId="24" fillId="0" borderId="19" xfId="2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2" fillId="2" borderId="16" xfId="4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4" fillId="4" borderId="18" xfId="4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2" fillId="2" borderId="19" xfId="4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177" fontId="0" fillId="0" borderId="18" xfId="0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1" fillId="9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/>
    </xf>
    <xf numFmtId="0" fontId="28" fillId="4" borderId="15" xfId="4" applyFont="1" applyFill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178" fontId="15" fillId="0" borderId="15" xfId="2" applyNumberFormat="1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28" fillId="4" borderId="18" xfId="4" applyFont="1" applyFill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 wrapText="1"/>
    </xf>
    <xf numFmtId="178" fontId="15" fillId="0" borderId="18" xfId="2" applyNumberFormat="1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2" fillId="7" borderId="18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35" xfId="4" applyFont="1" applyBorder="1" applyAlignment="1">
      <alignment horizontal="center" vertical="center" wrapText="1"/>
    </xf>
    <xf numFmtId="0" fontId="26" fillId="0" borderId="37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9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7" fillId="0" borderId="35" xfId="4" applyFont="1" applyBorder="1" applyAlignment="1">
      <alignment horizontal="center" vertical="center" shrinkToFit="1"/>
    </xf>
    <xf numFmtId="0" fontId="27" fillId="0" borderId="36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8" xfId="4" applyFont="1" applyBorder="1" applyAlignment="1">
      <alignment horizontal="center" vertical="center" shrinkToFit="1"/>
    </xf>
    <xf numFmtId="0" fontId="27" fillId="0" borderId="34" xfId="4" applyFont="1" applyBorder="1" applyAlignment="1">
      <alignment horizontal="center" vertical="center" shrinkToFit="1"/>
    </xf>
    <xf numFmtId="0" fontId="27" fillId="0" borderId="40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7" borderId="17" xfId="4" applyFill="1" applyBorder="1" applyAlignment="1">
      <alignment horizontal="center" vertical="center" wrapText="1"/>
    </xf>
    <xf numFmtId="0" fontId="2" fillId="7" borderId="15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2" fillId="7" borderId="19" xfId="4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4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8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0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0" fillId="0" borderId="24" xfId="2" applyFont="1" applyBorder="1" applyAlignment="1">
      <alignment horizontal="center" vertical="center" shrinkToFit="1"/>
    </xf>
    <xf numFmtId="0" fontId="20" fillId="0" borderId="11" xfId="2" applyFont="1" applyBorder="1" applyAlignment="1">
      <alignment horizontal="center" vertical="center" shrinkToFit="1"/>
    </xf>
    <xf numFmtId="0" fontId="20" fillId="0" borderId="3" xfId="2" applyFont="1" applyBorder="1" applyAlignment="1">
      <alignment horizontal="center" vertical="center" shrinkToFit="1"/>
    </xf>
    <xf numFmtId="0" fontId="20" fillId="0" borderId="30" xfId="2" applyFont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0" fontId="20" fillId="0" borderId="31" xfId="2" applyFont="1" applyBorder="1" applyAlignment="1">
      <alignment horizontal="center" vertical="center" shrinkToFit="1"/>
    </xf>
    <xf numFmtId="0" fontId="20" fillId="0" borderId="25" xfId="2" applyFont="1" applyBorder="1" applyAlignment="1">
      <alignment horizontal="center" vertical="center" shrinkToFit="1"/>
    </xf>
    <xf numFmtId="0" fontId="20" fillId="0" borderId="2" xfId="2" applyFont="1" applyBorder="1" applyAlignment="1">
      <alignment horizontal="center" vertical="center" shrinkToFit="1"/>
    </xf>
    <xf numFmtId="0" fontId="20" fillId="0" borderId="29" xfId="2" applyFont="1" applyBorder="1" applyAlignment="1">
      <alignment horizontal="center" vertical="center" shrinkToFit="1"/>
    </xf>
    <xf numFmtId="0" fontId="24" fillId="0" borderId="4" xfId="2" applyBorder="1" applyAlignment="1">
      <alignment horizontal="center" vertical="center"/>
    </xf>
    <xf numFmtId="0" fontId="24" fillId="0" borderId="28" xfId="2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24" fillId="0" borderId="21" xfId="2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178" fontId="24" fillId="0" borderId="18" xfId="2" applyNumberFormat="1" applyBorder="1" applyAlignment="1">
      <alignment horizontal="center" vertical="center" wrapText="1"/>
    </xf>
    <xf numFmtId="0" fontId="24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9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42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69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U13" sqref="U13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99" t="s">
        <v>68</v>
      </c>
      <c r="B1" s="100"/>
      <c r="C1" s="100"/>
      <c r="D1" s="105" t="str">
        <f>R2</f>
        <v>26.07.15 엘티_롯데건설_광장이엠씨_검단신도시C1</v>
      </c>
      <c r="E1" s="105"/>
      <c r="F1" s="105"/>
      <c r="G1" s="106"/>
      <c r="R1" s="8" t="s">
        <v>63</v>
      </c>
    </row>
    <row r="2" spans="1:18" ht="16.5" customHeight="1">
      <c r="A2" s="101"/>
      <c r="B2" s="102"/>
      <c r="C2" s="102"/>
      <c r="D2" s="107"/>
      <c r="E2" s="107"/>
      <c r="F2" s="107"/>
      <c r="G2" s="108"/>
      <c r="R2" s="71" t="s">
        <v>132</v>
      </c>
    </row>
    <row r="3" spans="1:18" ht="16.5" customHeight="1">
      <c r="A3" s="101"/>
      <c r="B3" s="102"/>
      <c r="C3" s="102"/>
      <c r="D3" s="107"/>
      <c r="E3" s="107"/>
      <c r="F3" s="107"/>
      <c r="G3" s="108"/>
    </row>
    <row r="4" spans="1:18" ht="17.25" customHeight="1" thickBot="1">
      <c r="A4" s="103"/>
      <c r="B4" s="104"/>
      <c r="C4" s="104"/>
      <c r="D4" s="109"/>
      <c r="E4" s="109"/>
      <c r="F4" s="109"/>
      <c r="G4" s="110"/>
    </row>
    <row r="5" spans="1:18" ht="6.75" customHeight="1" thickTop="1">
      <c r="A5" s="72"/>
      <c r="B5" s="72"/>
      <c r="C5" s="72"/>
      <c r="D5" s="72"/>
      <c r="E5" s="72"/>
      <c r="F5" s="72"/>
      <c r="G5" s="72"/>
    </row>
    <row r="6" spans="1:18" s="10" customFormat="1" ht="18" customHeight="1" thickBot="1">
      <c r="A6" s="111" t="s">
        <v>1</v>
      </c>
      <c r="B6" s="113" t="s">
        <v>62</v>
      </c>
      <c r="C6" s="113" t="s">
        <v>4</v>
      </c>
      <c r="D6" s="113"/>
      <c r="E6" s="113" t="s">
        <v>42</v>
      </c>
      <c r="F6" s="113" t="s">
        <v>37</v>
      </c>
      <c r="G6" s="114" t="s">
        <v>17</v>
      </c>
      <c r="H6" s="9"/>
      <c r="I6" s="1" t="s">
        <v>9</v>
      </c>
      <c r="J6" s="1"/>
      <c r="K6" s="1"/>
      <c r="L6" s="1"/>
      <c r="M6" s="1"/>
      <c r="N6" s="1"/>
      <c r="O6" s="8"/>
    </row>
    <row r="7" spans="1:18" s="10" customFormat="1" ht="18" customHeight="1">
      <c r="A7" s="112"/>
      <c r="B7" s="98"/>
      <c r="C7" s="98" t="s">
        <v>59</v>
      </c>
      <c r="D7" s="98" t="s">
        <v>57</v>
      </c>
      <c r="E7" s="98"/>
      <c r="F7" s="98"/>
      <c r="G7" s="11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12"/>
      <c r="B8" s="98"/>
      <c r="C8" s="98"/>
      <c r="D8" s="98"/>
      <c r="E8" s="98"/>
      <c r="F8" s="98"/>
      <c r="G8" s="115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81" t="s">
        <v>70</v>
      </c>
      <c r="B9" s="51" t="s">
        <v>15</v>
      </c>
      <c r="C9" s="26">
        <v>200</v>
      </c>
      <c r="D9" s="26">
        <v>150</v>
      </c>
      <c r="E9" s="73"/>
      <c r="F9" s="73"/>
      <c r="G9" s="74" t="s">
        <v>133</v>
      </c>
      <c r="H9" s="13"/>
      <c r="I9" s="23"/>
      <c r="J9" s="21"/>
      <c r="K9" s="17"/>
      <c r="L9" s="18"/>
      <c r="M9" s="19"/>
      <c r="N9" s="21"/>
      <c r="O9" s="8"/>
      <c r="Q9" s="10" t="s">
        <v>154</v>
      </c>
    </row>
    <row r="10" spans="1:18" s="10" customFormat="1" ht="18" customHeight="1" thickBot="1">
      <c r="A10" s="81" t="s">
        <v>71</v>
      </c>
      <c r="B10" s="51" t="s">
        <v>15</v>
      </c>
      <c r="C10" s="26">
        <v>200</v>
      </c>
      <c r="D10" s="26">
        <v>200</v>
      </c>
      <c r="E10" s="57"/>
      <c r="F10" s="73"/>
      <c r="G10" s="74" t="s">
        <v>134</v>
      </c>
      <c r="H10" s="13"/>
      <c r="I10" s="23"/>
      <c r="J10" s="21"/>
      <c r="K10" s="17"/>
      <c r="L10" s="18"/>
      <c r="M10" s="19"/>
      <c r="N10" s="21"/>
      <c r="O10" s="8"/>
      <c r="Q10" s="10" t="s">
        <v>155</v>
      </c>
    </row>
    <row r="11" spans="1:18" s="10" customFormat="1" ht="18" customHeight="1" thickBot="1">
      <c r="A11" s="81" t="s">
        <v>72</v>
      </c>
      <c r="B11" s="51" t="s">
        <v>15</v>
      </c>
      <c r="C11" s="26">
        <v>200</v>
      </c>
      <c r="D11" s="26">
        <v>200</v>
      </c>
      <c r="E11" s="57"/>
      <c r="F11" s="73"/>
      <c r="G11" s="74" t="s">
        <v>134</v>
      </c>
      <c r="H11" s="13"/>
      <c r="I11" s="23"/>
      <c r="J11" s="21"/>
      <c r="K11" s="17"/>
      <c r="L11" s="18"/>
      <c r="M11" s="19"/>
      <c r="N11" s="21"/>
      <c r="O11" s="8"/>
      <c r="Q11" s="10" t="s">
        <v>156</v>
      </c>
    </row>
    <row r="12" spans="1:18" s="10" customFormat="1" ht="18" customHeight="1" thickBot="1">
      <c r="A12" s="81" t="s">
        <v>73</v>
      </c>
      <c r="B12" s="51" t="s">
        <v>15</v>
      </c>
      <c r="C12" s="26">
        <v>200</v>
      </c>
      <c r="D12" s="26">
        <v>200</v>
      </c>
      <c r="E12" s="57"/>
      <c r="F12" s="73"/>
      <c r="G12" s="74" t="s">
        <v>134</v>
      </c>
      <c r="H12" s="13"/>
      <c r="I12" s="23"/>
      <c r="J12" s="21"/>
      <c r="K12" s="17"/>
      <c r="L12" s="18"/>
      <c r="M12" s="19"/>
      <c r="N12" s="21"/>
      <c r="O12" s="8"/>
      <c r="Q12" s="10" t="s">
        <v>157</v>
      </c>
    </row>
    <row r="13" spans="1:18" s="10" customFormat="1" ht="18" customHeight="1" thickBot="1">
      <c r="A13" s="81" t="s">
        <v>74</v>
      </c>
      <c r="B13" s="51" t="s">
        <v>15</v>
      </c>
      <c r="C13" s="26">
        <v>200</v>
      </c>
      <c r="D13" s="26">
        <v>200</v>
      </c>
      <c r="E13" s="57"/>
      <c r="F13" s="73"/>
      <c r="G13" s="74" t="s">
        <v>135</v>
      </c>
      <c r="H13" s="13"/>
      <c r="I13" s="12"/>
      <c r="J13" s="12"/>
      <c r="K13" s="17"/>
      <c r="L13" s="18"/>
      <c r="M13" s="19"/>
      <c r="N13" s="12"/>
      <c r="O13" s="8"/>
      <c r="Q13" s="10" t="s">
        <v>158</v>
      </c>
    </row>
    <row r="14" spans="1:18" s="10" customFormat="1" ht="18" customHeight="1" thickBot="1">
      <c r="A14" s="81" t="s">
        <v>75</v>
      </c>
      <c r="B14" s="51" t="s">
        <v>15</v>
      </c>
      <c r="C14" s="26">
        <v>200</v>
      </c>
      <c r="D14" s="26">
        <v>200</v>
      </c>
      <c r="E14" s="57"/>
      <c r="F14" s="73"/>
      <c r="G14" s="74" t="s">
        <v>135</v>
      </c>
      <c r="H14" s="13"/>
      <c r="I14" s="23"/>
      <c r="J14" s="21"/>
      <c r="K14" s="17"/>
      <c r="L14" s="18"/>
      <c r="M14" s="19"/>
      <c r="N14" s="21"/>
      <c r="O14" s="8"/>
      <c r="Q14" s="10" t="s">
        <v>159</v>
      </c>
    </row>
    <row r="15" spans="1:18" s="10" customFormat="1" ht="18" customHeight="1" thickBot="1">
      <c r="A15" s="81" t="s">
        <v>76</v>
      </c>
      <c r="B15" s="51" t="s">
        <v>15</v>
      </c>
      <c r="C15" s="26">
        <v>200</v>
      </c>
      <c r="D15" s="26">
        <v>200</v>
      </c>
      <c r="E15" s="57"/>
      <c r="F15" s="73"/>
      <c r="G15" s="74" t="s">
        <v>135</v>
      </c>
      <c r="H15" s="13"/>
      <c r="I15" s="22"/>
      <c r="J15" s="20"/>
      <c r="K15" s="17"/>
      <c r="L15" s="18"/>
      <c r="M15" s="19"/>
      <c r="N15" s="20"/>
      <c r="O15" s="8"/>
      <c r="Q15" s="10" t="s">
        <v>160</v>
      </c>
    </row>
    <row r="16" spans="1:18" s="10" customFormat="1" ht="18" customHeight="1" thickBot="1">
      <c r="A16" s="81" t="s">
        <v>77</v>
      </c>
      <c r="B16" s="51" t="s">
        <v>15</v>
      </c>
      <c r="C16" s="26">
        <v>250</v>
      </c>
      <c r="D16" s="26">
        <v>200</v>
      </c>
      <c r="E16" s="57"/>
      <c r="F16" s="73"/>
      <c r="G16" s="74" t="s">
        <v>136</v>
      </c>
      <c r="H16" s="13"/>
      <c r="I16" s="23"/>
      <c r="J16" s="21"/>
      <c r="K16" s="17"/>
      <c r="L16" s="18"/>
      <c r="M16" s="19"/>
      <c r="N16" s="21"/>
      <c r="O16" s="8"/>
      <c r="Q16" s="10" t="s">
        <v>161</v>
      </c>
    </row>
    <row r="17" spans="1:17" s="10" customFormat="1" ht="18" customHeight="1" thickBot="1">
      <c r="A17" s="81" t="s">
        <v>78</v>
      </c>
      <c r="B17" s="51" t="s">
        <v>15</v>
      </c>
      <c r="C17" s="26">
        <v>250</v>
      </c>
      <c r="D17" s="26">
        <v>200</v>
      </c>
      <c r="E17" s="57"/>
      <c r="F17" s="73"/>
      <c r="G17" s="74" t="s">
        <v>136</v>
      </c>
      <c r="H17" s="13"/>
      <c r="I17" s="23"/>
      <c r="J17" s="21"/>
      <c r="K17" s="17"/>
      <c r="L17" s="18"/>
      <c r="M17" s="19"/>
      <c r="N17" s="21"/>
      <c r="O17" s="8"/>
      <c r="Q17" s="10" t="s">
        <v>162</v>
      </c>
    </row>
    <row r="18" spans="1:17" s="10" customFormat="1" ht="18" customHeight="1" thickBot="1">
      <c r="A18" s="81" t="s">
        <v>79</v>
      </c>
      <c r="B18" s="51" t="s">
        <v>15</v>
      </c>
      <c r="C18" s="26">
        <v>250</v>
      </c>
      <c r="D18" s="26">
        <v>200</v>
      </c>
      <c r="E18" s="57"/>
      <c r="F18" s="73"/>
      <c r="G18" s="74" t="s">
        <v>137</v>
      </c>
      <c r="H18" s="13"/>
      <c r="I18" s="23"/>
      <c r="J18" s="21"/>
      <c r="K18" s="17"/>
      <c r="L18" s="18"/>
      <c r="M18" s="19"/>
      <c r="N18" s="21"/>
      <c r="O18" s="8"/>
      <c r="Q18" s="10" t="s">
        <v>163</v>
      </c>
    </row>
    <row r="19" spans="1:17" s="10" customFormat="1" ht="18" customHeight="1" thickBot="1">
      <c r="A19" s="81" t="s">
        <v>80</v>
      </c>
      <c r="B19" s="51" t="s">
        <v>15</v>
      </c>
      <c r="C19" s="26">
        <v>250</v>
      </c>
      <c r="D19" s="26">
        <v>200</v>
      </c>
      <c r="E19" s="57"/>
      <c r="F19" s="73"/>
      <c r="G19" s="74" t="s">
        <v>137</v>
      </c>
      <c r="H19" s="13"/>
      <c r="I19" s="23"/>
      <c r="J19" s="21"/>
      <c r="K19" s="17"/>
      <c r="L19" s="18"/>
      <c r="M19" s="19"/>
      <c r="N19" s="21"/>
      <c r="O19" s="8"/>
      <c r="Q19" s="10" t="s">
        <v>164</v>
      </c>
    </row>
    <row r="20" spans="1:17" s="10" customFormat="1" ht="18" customHeight="1" thickBot="1">
      <c r="A20" s="81" t="s">
        <v>81</v>
      </c>
      <c r="B20" s="51" t="s">
        <v>15</v>
      </c>
      <c r="C20" s="26">
        <v>250</v>
      </c>
      <c r="D20" s="26">
        <v>200</v>
      </c>
      <c r="E20" s="73"/>
      <c r="F20" s="73"/>
      <c r="G20" s="74" t="s">
        <v>137</v>
      </c>
      <c r="H20" s="13"/>
      <c r="I20" s="23"/>
      <c r="J20" s="21"/>
      <c r="K20" s="17"/>
      <c r="L20" s="18"/>
      <c r="M20" s="19"/>
      <c r="N20" s="21"/>
      <c r="O20" s="8"/>
      <c r="Q20" s="10" t="s">
        <v>165</v>
      </c>
    </row>
    <row r="21" spans="1:17" s="10" customFormat="1" ht="18" customHeight="1" thickBot="1">
      <c r="A21" s="81" t="s">
        <v>82</v>
      </c>
      <c r="B21" s="51" t="s">
        <v>15</v>
      </c>
      <c r="C21" s="26">
        <v>250</v>
      </c>
      <c r="D21" s="26">
        <v>200</v>
      </c>
      <c r="E21" s="73"/>
      <c r="F21" s="73"/>
      <c r="G21" s="74" t="s">
        <v>137</v>
      </c>
      <c r="H21" s="13"/>
      <c r="I21" s="23"/>
      <c r="J21" s="21"/>
      <c r="K21" s="17"/>
      <c r="L21" s="18"/>
      <c r="M21" s="19"/>
      <c r="N21" s="21"/>
      <c r="O21" s="8"/>
      <c r="Q21" s="10" t="s">
        <v>166</v>
      </c>
    </row>
    <row r="22" spans="1:17" s="10" customFormat="1" ht="18" customHeight="1" thickBot="1">
      <c r="A22" s="81" t="s">
        <v>83</v>
      </c>
      <c r="B22" s="51" t="s">
        <v>15</v>
      </c>
      <c r="C22" s="26">
        <v>250</v>
      </c>
      <c r="D22" s="26">
        <v>200</v>
      </c>
      <c r="E22" s="73"/>
      <c r="F22" s="73"/>
      <c r="G22" s="74" t="s">
        <v>137</v>
      </c>
      <c r="H22" s="13"/>
      <c r="I22" s="23"/>
      <c r="J22" s="21"/>
      <c r="K22" s="17"/>
      <c r="L22" s="18"/>
      <c r="M22" s="19"/>
      <c r="N22" s="21"/>
      <c r="O22" s="8"/>
      <c r="Q22" s="10" t="s">
        <v>167</v>
      </c>
    </row>
    <row r="23" spans="1:17" s="10" customFormat="1" ht="18" customHeight="1" thickBot="1">
      <c r="A23" s="81" t="s">
        <v>84</v>
      </c>
      <c r="B23" s="51" t="s">
        <v>15</v>
      </c>
      <c r="C23" s="26">
        <v>250</v>
      </c>
      <c r="D23" s="26">
        <v>200</v>
      </c>
      <c r="E23" s="57"/>
      <c r="F23" s="73"/>
      <c r="G23" s="74" t="s">
        <v>135</v>
      </c>
      <c r="H23" s="13"/>
      <c r="I23" s="23"/>
      <c r="J23" s="21"/>
      <c r="K23" s="17"/>
      <c r="L23" s="18"/>
      <c r="M23" s="19"/>
      <c r="N23" s="21"/>
      <c r="O23" s="8"/>
      <c r="Q23" s="10" t="s">
        <v>168</v>
      </c>
    </row>
    <row r="24" spans="1:17" s="10" customFormat="1" ht="18" customHeight="1" thickBot="1">
      <c r="A24" s="81" t="s">
        <v>85</v>
      </c>
      <c r="B24" s="51" t="s">
        <v>15</v>
      </c>
      <c r="C24" s="26">
        <v>250</v>
      </c>
      <c r="D24" s="26">
        <v>200</v>
      </c>
      <c r="E24" s="57"/>
      <c r="F24" s="73"/>
      <c r="G24" s="74" t="s">
        <v>138</v>
      </c>
      <c r="H24" s="13"/>
      <c r="I24" s="12"/>
      <c r="J24" s="12"/>
      <c r="K24" s="17"/>
      <c r="L24" s="18"/>
      <c r="M24" s="19"/>
      <c r="N24" s="12"/>
      <c r="O24" s="8"/>
      <c r="Q24" s="10" t="s">
        <v>169</v>
      </c>
    </row>
    <row r="25" spans="1:17" s="10" customFormat="1" ht="18" customHeight="1" thickBot="1">
      <c r="A25" s="81" t="s">
        <v>86</v>
      </c>
      <c r="B25" s="51" t="s">
        <v>15</v>
      </c>
      <c r="C25" s="26">
        <v>250</v>
      </c>
      <c r="D25" s="26">
        <v>200</v>
      </c>
      <c r="E25" s="57"/>
      <c r="F25" s="73"/>
      <c r="G25" s="74" t="s">
        <v>138</v>
      </c>
      <c r="H25" s="13"/>
      <c r="I25" s="23"/>
      <c r="J25" s="21"/>
      <c r="K25" s="17"/>
      <c r="L25" s="18"/>
      <c r="M25" s="19"/>
      <c r="N25" s="21"/>
      <c r="O25" s="8"/>
      <c r="Q25" s="10" t="s">
        <v>170</v>
      </c>
    </row>
    <row r="26" spans="1:17" s="10" customFormat="1" ht="18" customHeight="1" thickBot="1">
      <c r="A26" s="81" t="s">
        <v>87</v>
      </c>
      <c r="B26" s="51" t="s">
        <v>15</v>
      </c>
      <c r="C26" s="26">
        <v>250</v>
      </c>
      <c r="D26" s="26">
        <v>200</v>
      </c>
      <c r="E26" s="57"/>
      <c r="F26" s="73"/>
      <c r="G26" s="74" t="s">
        <v>138</v>
      </c>
      <c r="H26" s="13"/>
      <c r="I26" s="22"/>
      <c r="J26" s="20"/>
      <c r="K26" s="17"/>
      <c r="L26" s="18"/>
      <c r="M26" s="19"/>
      <c r="N26" s="20"/>
      <c r="O26" s="8"/>
      <c r="Q26" s="10" t="s">
        <v>171</v>
      </c>
    </row>
    <row r="27" spans="1:17" s="10" customFormat="1" ht="18" customHeight="1" thickBot="1">
      <c r="A27" s="81" t="s">
        <v>88</v>
      </c>
      <c r="B27" s="51" t="s">
        <v>15</v>
      </c>
      <c r="C27" s="26">
        <v>250</v>
      </c>
      <c r="D27" s="26">
        <v>200</v>
      </c>
      <c r="E27" s="57"/>
      <c r="F27" s="73"/>
      <c r="G27" s="74" t="s">
        <v>138</v>
      </c>
      <c r="H27" s="13"/>
      <c r="I27" s="23"/>
      <c r="J27" s="21"/>
      <c r="K27" s="17"/>
      <c r="L27" s="18"/>
      <c r="M27" s="19"/>
      <c r="N27" s="21"/>
      <c r="O27" s="8"/>
      <c r="Q27" s="10" t="s">
        <v>172</v>
      </c>
    </row>
    <row r="28" spans="1:17" s="10" customFormat="1" ht="18" customHeight="1" thickBot="1">
      <c r="A28" s="81" t="s">
        <v>89</v>
      </c>
      <c r="B28" s="51" t="s">
        <v>15</v>
      </c>
      <c r="C28" s="26">
        <v>250</v>
      </c>
      <c r="D28" s="26">
        <v>200</v>
      </c>
      <c r="E28" s="57"/>
      <c r="F28" s="73"/>
      <c r="G28" s="74" t="s">
        <v>138</v>
      </c>
      <c r="H28" s="13"/>
      <c r="I28" s="23"/>
      <c r="J28" s="21"/>
      <c r="K28" s="17"/>
      <c r="L28" s="18"/>
      <c r="M28" s="19"/>
      <c r="N28" s="21"/>
      <c r="O28" s="8"/>
      <c r="Q28" s="10" t="s">
        <v>173</v>
      </c>
    </row>
    <row r="29" spans="1:17" s="10" customFormat="1" ht="18" customHeight="1" thickBot="1">
      <c r="A29" s="81" t="s">
        <v>90</v>
      </c>
      <c r="B29" s="51" t="s">
        <v>15</v>
      </c>
      <c r="C29" s="26">
        <v>250</v>
      </c>
      <c r="D29" s="26">
        <v>200</v>
      </c>
      <c r="E29" s="57"/>
      <c r="F29" s="73"/>
      <c r="G29" s="74" t="s">
        <v>138</v>
      </c>
      <c r="H29" s="13"/>
      <c r="I29" s="23"/>
      <c r="J29" s="21"/>
      <c r="K29" s="17"/>
      <c r="L29" s="18"/>
      <c r="M29" s="19"/>
      <c r="N29" s="21"/>
      <c r="O29" s="8"/>
      <c r="Q29" s="10" t="s">
        <v>174</v>
      </c>
    </row>
    <row r="30" spans="1:17" s="10" customFormat="1" ht="18" customHeight="1" thickBot="1">
      <c r="A30" s="81" t="s">
        <v>91</v>
      </c>
      <c r="B30" s="51" t="s">
        <v>15</v>
      </c>
      <c r="C30" s="26">
        <v>250</v>
      </c>
      <c r="D30" s="26">
        <v>200</v>
      </c>
      <c r="E30" s="57"/>
      <c r="F30" s="73"/>
      <c r="G30" s="74" t="s">
        <v>138</v>
      </c>
      <c r="H30" s="13"/>
      <c r="I30" s="23"/>
      <c r="J30" s="21"/>
      <c r="K30" s="17"/>
      <c r="L30" s="18"/>
      <c r="M30" s="19"/>
      <c r="N30" s="21"/>
      <c r="O30" s="8"/>
      <c r="Q30" s="10" t="s">
        <v>175</v>
      </c>
    </row>
    <row r="31" spans="1:17" s="10" customFormat="1" ht="18" customHeight="1" thickBot="1">
      <c r="A31" s="81" t="s">
        <v>92</v>
      </c>
      <c r="B31" s="51" t="s">
        <v>15</v>
      </c>
      <c r="C31" s="26">
        <v>250</v>
      </c>
      <c r="D31" s="26">
        <v>200</v>
      </c>
      <c r="E31" s="73"/>
      <c r="F31" s="73"/>
      <c r="G31" s="74" t="s">
        <v>139</v>
      </c>
      <c r="H31" s="13"/>
      <c r="I31" s="23"/>
      <c r="J31" s="21"/>
      <c r="K31" s="17"/>
      <c r="L31" s="18"/>
      <c r="M31" s="19"/>
      <c r="N31" s="21"/>
      <c r="O31" s="8"/>
      <c r="Q31" s="10" t="s">
        <v>176</v>
      </c>
    </row>
    <row r="32" spans="1:17" s="10" customFormat="1" ht="18" customHeight="1" thickBot="1">
      <c r="A32" s="81" t="s">
        <v>93</v>
      </c>
      <c r="B32" s="51" t="s">
        <v>15</v>
      </c>
      <c r="C32" s="26">
        <v>300</v>
      </c>
      <c r="D32" s="26">
        <v>250</v>
      </c>
      <c r="E32" s="73"/>
      <c r="F32" s="73"/>
      <c r="G32" s="74" t="s">
        <v>140</v>
      </c>
      <c r="H32" s="13"/>
      <c r="I32" s="23"/>
      <c r="J32" s="21"/>
      <c r="K32" s="17"/>
      <c r="L32" s="18"/>
      <c r="M32" s="19"/>
      <c r="N32" s="21"/>
      <c r="O32" s="8"/>
      <c r="Q32" s="10" t="s">
        <v>177</v>
      </c>
    </row>
    <row r="33" spans="1:17" s="10" customFormat="1" ht="18" customHeight="1" thickBot="1">
      <c r="A33" s="81" t="s">
        <v>94</v>
      </c>
      <c r="B33" s="51" t="s">
        <v>15</v>
      </c>
      <c r="C33" s="26">
        <v>350</v>
      </c>
      <c r="D33" s="26">
        <v>200</v>
      </c>
      <c r="E33" s="73"/>
      <c r="F33" s="73"/>
      <c r="G33" s="74" t="s">
        <v>141</v>
      </c>
      <c r="H33" s="13"/>
      <c r="I33" s="23"/>
      <c r="J33" s="21"/>
      <c r="K33" s="17"/>
      <c r="L33" s="18"/>
      <c r="M33" s="19"/>
      <c r="N33" s="21"/>
      <c r="O33" s="8"/>
      <c r="Q33" s="10" t="s">
        <v>178</v>
      </c>
    </row>
    <row r="34" spans="1:17" s="10" customFormat="1" ht="18" customHeight="1" thickBot="1">
      <c r="A34" s="81" t="s">
        <v>95</v>
      </c>
      <c r="B34" s="51" t="s">
        <v>15</v>
      </c>
      <c r="C34" s="26">
        <v>350</v>
      </c>
      <c r="D34" s="26">
        <v>200</v>
      </c>
      <c r="E34" s="73"/>
      <c r="F34" s="73"/>
      <c r="G34" s="74" t="s">
        <v>141</v>
      </c>
      <c r="H34" s="13"/>
      <c r="I34" s="23"/>
      <c r="J34" s="21"/>
      <c r="K34" s="17"/>
      <c r="L34" s="18"/>
      <c r="M34" s="19"/>
      <c r="N34" s="21"/>
      <c r="O34" s="8"/>
      <c r="Q34" s="10" t="s">
        <v>179</v>
      </c>
    </row>
    <row r="35" spans="1:17" s="10" customFormat="1" ht="18" customHeight="1" thickBot="1">
      <c r="A35" s="81" t="s">
        <v>96</v>
      </c>
      <c r="B35" s="51" t="s">
        <v>15</v>
      </c>
      <c r="C35" s="26">
        <v>350</v>
      </c>
      <c r="D35" s="26">
        <v>250</v>
      </c>
      <c r="E35" s="57"/>
      <c r="F35" s="73"/>
      <c r="G35" s="74" t="s">
        <v>140</v>
      </c>
      <c r="H35" s="13"/>
      <c r="I35" s="23"/>
      <c r="J35" s="21"/>
      <c r="K35" s="17"/>
      <c r="L35" s="18"/>
      <c r="M35" s="19"/>
      <c r="N35" s="21"/>
      <c r="O35" s="8"/>
      <c r="Q35" s="10" t="s">
        <v>180</v>
      </c>
    </row>
    <row r="36" spans="1:17" s="10" customFormat="1" ht="18" customHeight="1" thickBot="1">
      <c r="A36" s="81" t="s">
        <v>97</v>
      </c>
      <c r="B36" s="51" t="s">
        <v>15</v>
      </c>
      <c r="C36" s="26">
        <v>400</v>
      </c>
      <c r="D36" s="26">
        <v>300</v>
      </c>
      <c r="E36" s="57"/>
      <c r="F36" s="73"/>
      <c r="G36" s="74" t="s">
        <v>139</v>
      </c>
      <c r="H36" s="13"/>
      <c r="I36" s="23"/>
      <c r="J36" s="21"/>
      <c r="K36" s="17"/>
      <c r="L36" s="18"/>
      <c r="M36" s="19"/>
      <c r="N36" s="21"/>
      <c r="O36" s="8"/>
      <c r="Q36" s="10" t="s">
        <v>181</v>
      </c>
    </row>
    <row r="37" spans="1:17" s="10" customFormat="1" ht="18" customHeight="1" thickBot="1">
      <c r="A37" s="81" t="s">
        <v>98</v>
      </c>
      <c r="B37" s="51" t="s">
        <v>15</v>
      </c>
      <c r="C37" s="26">
        <v>400</v>
      </c>
      <c r="D37" s="26">
        <v>300</v>
      </c>
      <c r="E37" s="57"/>
      <c r="F37" s="73"/>
      <c r="G37" s="74" t="s">
        <v>139</v>
      </c>
      <c r="H37" s="13"/>
      <c r="I37" s="23"/>
      <c r="J37" s="21"/>
      <c r="K37" s="17"/>
      <c r="L37" s="18"/>
      <c r="M37" s="19"/>
      <c r="N37" s="21"/>
      <c r="O37" s="8"/>
      <c r="Q37" s="10" t="s">
        <v>182</v>
      </c>
    </row>
    <row r="38" spans="1:17" s="10" customFormat="1" ht="18" customHeight="1" thickBot="1">
      <c r="A38" s="81" t="s">
        <v>99</v>
      </c>
      <c r="B38" s="51" t="s">
        <v>15</v>
      </c>
      <c r="C38" s="26">
        <v>400</v>
      </c>
      <c r="D38" s="26">
        <v>300</v>
      </c>
      <c r="E38" s="57"/>
      <c r="F38" s="73"/>
      <c r="G38" s="74" t="s">
        <v>142</v>
      </c>
      <c r="H38" s="13"/>
      <c r="I38" s="12"/>
      <c r="J38" s="12"/>
      <c r="K38" s="17"/>
      <c r="L38" s="18"/>
      <c r="M38" s="19"/>
      <c r="N38" s="12"/>
      <c r="O38" s="8"/>
      <c r="Q38" s="10" t="s">
        <v>183</v>
      </c>
    </row>
    <row r="39" spans="1:17" s="10" customFormat="1" ht="18" customHeight="1" thickBot="1">
      <c r="A39" s="81" t="s">
        <v>100</v>
      </c>
      <c r="B39" s="51" t="s">
        <v>15</v>
      </c>
      <c r="C39" s="26">
        <v>400</v>
      </c>
      <c r="D39" s="26">
        <v>300</v>
      </c>
      <c r="E39" s="57"/>
      <c r="F39" s="73"/>
      <c r="G39" s="74" t="s">
        <v>143</v>
      </c>
      <c r="H39" s="13"/>
      <c r="I39" s="23"/>
      <c r="J39" s="21"/>
      <c r="K39" s="17"/>
      <c r="L39" s="18"/>
      <c r="M39" s="19"/>
      <c r="N39" s="21"/>
      <c r="O39" s="8"/>
      <c r="Q39" s="10" t="s">
        <v>184</v>
      </c>
    </row>
    <row r="40" spans="1:17" s="10" customFormat="1" ht="18" customHeight="1" thickBot="1">
      <c r="A40" s="81" t="s">
        <v>101</v>
      </c>
      <c r="B40" s="51" t="s">
        <v>15</v>
      </c>
      <c r="C40" s="26">
        <v>400</v>
      </c>
      <c r="D40" s="26">
        <v>300</v>
      </c>
      <c r="E40" s="57"/>
      <c r="F40" s="73"/>
      <c r="G40" s="74" t="s">
        <v>143</v>
      </c>
      <c r="H40" s="13"/>
      <c r="I40" s="22"/>
      <c r="J40" s="20"/>
      <c r="K40" s="17"/>
      <c r="L40" s="18"/>
      <c r="M40" s="19"/>
      <c r="N40" s="20"/>
      <c r="O40" s="8"/>
      <c r="Q40" s="10" t="s">
        <v>185</v>
      </c>
    </row>
    <row r="41" spans="1:17" s="10" customFormat="1" ht="18" customHeight="1" thickBot="1">
      <c r="A41" s="81" t="s">
        <v>102</v>
      </c>
      <c r="B41" s="51" t="s">
        <v>15</v>
      </c>
      <c r="C41" s="26">
        <v>500</v>
      </c>
      <c r="D41" s="26">
        <v>300</v>
      </c>
      <c r="E41" s="57"/>
      <c r="F41" s="73"/>
      <c r="G41" s="74" t="s">
        <v>144</v>
      </c>
      <c r="H41" s="13"/>
      <c r="I41" s="23"/>
      <c r="J41" s="21"/>
      <c r="K41" s="17"/>
      <c r="L41" s="18"/>
      <c r="M41" s="19"/>
      <c r="N41" s="21"/>
      <c r="O41" s="8"/>
      <c r="Q41" s="10" t="s">
        <v>186</v>
      </c>
    </row>
    <row r="42" spans="1:17" s="10" customFormat="1" ht="18" customHeight="1" thickBot="1">
      <c r="A42" s="81" t="s">
        <v>103</v>
      </c>
      <c r="B42" s="51" t="s">
        <v>15</v>
      </c>
      <c r="C42" s="26">
        <v>500</v>
      </c>
      <c r="D42" s="26">
        <v>300</v>
      </c>
      <c r="E42" s="57"/>
      <c r="F42" s="73"/>
      <c r="G42" s="74" t="s">
        <v>144</v>
      </c>
      <c r="H42" s="13"/>
      <c r="I42" s="23"/>
      <c r="J42" s="21"/>
      <c r="K42" s="17"/>
      <c r="L42" s="18"/>
      <c r="M42" s="19"/>
      <c r="N42" s="21"/>
      <c r="O42" s="8"/>
      <c r="Q42" s="10" t="s">
        <v>187</v>
      </c>
    </row>
    <row r="43" spans="1:17" s="10" customFormat="1" ht="18" customHeight="1" thickBot="1">
      <c r="A43" s="81" t="s">
        <v>104</v>
      </c>
      <c r="B43" s="51" t="s">
        <v>15</v>
      </c>
      <c r="C43" s="26">
        <v>500</v>
      </c>
      <c r="D43" s="26">
        <v>300</v>
      </c>
      <c r="E43" s="57"/>
      <c r="F43" s="73"/>
      <c r="G43" s="74" t="s">
        <v>145</v>
      </c>
      <c r="H43" s="13"/>
      <c r="I43" s="23"/>
      <c r="J43" s="21"/>
      <c r="K43" s="17"/>
      <c r="L43" s="18"/>
      <c r="M43" s="19"/>
      <c r="N43" s="21"/>
      <c r="O43" s="8"/>
      <c r="Q43" s="10" t="s">
        <v>188</v>
      </c>
    </row>
    <row r="44" spans="1:17" s="10" customFormat="1" ht="18" customHeight="1" thickBot="1">
      <c r="A44" s="81" t="s">
        <v>105</v>
      </c>
      <c r="B44" s="51" t="s">
        <v>15</v>
      </c>
      <c r="C44" s="26">
        <v>500</v>
      </c>
      <c r="D44" s="26">
        <v>300</v>
      </c>
      <c r="E44" s="57"/>
      <c r="F44" s="73"/>
      <c r="G44" s="74" t="s">
        <v>145</v>
      </c>
      <c r="H44" s="13"/>
      <c r="I44" s="23"/>
      <c r="J44" s="21"/>
      <c r="K44" s="17"/>
      <c r="L44" s="18"/>
      <c r="M44" s="19"/>
      <c r="N44" s="21"/>
      <c r="O44" s="8"/>
      <c r="Q44" s="10" t="s">
        <v>189</v>
      </c>
    </row>
    <row r="45" spans="1:17" s="10" customFormat="1" ht="18" customHeight="1" thickBot="1">
      <c r="A45" s="81" t="s">
        <v>106</v>
      </c>
      <c r="B45" s="51" t="s">
        <v>15</v>
      </c>
      <c r="C45" s="26">
        <v>500</v>
      </c>
      <c r="D45" s="26">
        <v>400</v>
      </c>
      <c r="E45" s="73"/>
      <c r="F45" s="73"/>
      <c r="G45" s="74" t="s">
        <v>133</v>
      </c>
      <c r="H45" s="13"/>
      <c r="I45" s="23"/>
      <c r="J45" s="21"/>
      <c r="K45" s="17"/>
      <c r="L45" s="18"/>
      <c r="M45" s="19"/>
      <c r="N45" s="21"/>
      <c r="O45" s="8"/>
      <c r="Q45" s="10" t="s">
        <v>190</v>
      </c>
    </row>
    <row r="46" spans="1:17" s="10" customFormat="1" ht="18" customHeight="1" thickBot="1">
      <c r="A46" s="81" t="s">
        <v>107</v>
      </c>
      <c r="B46" s="51" t="s">
        <v>15</v>
      </c>
      <c r="C46" s="26">
        <v>500</v>
      </c>
      <c r="D46" s="26">
        <v>400</v>
      </c>
      <c r="E46" s="73"/>
      <c r="F46" s="73"/>
      <c r="G46" s="74" t="s">
        <v>133</v>
      </c>
      <c r="H46" s="13"/>
      <c r="I46" s="23"/>
      <c r="J46" s="21"/>
      <c r="K46" s="17"/>
      <c r="L46" s="18"/>
      <c r="M46" s="19"/>
      <c r="N46" s="21"/>
      <c r="O46" s="8"/>
      <c r="Q46" s="10" t="s">
        <v>191</v>
      </c>
    </row>
    <row r="47" spans="1:17" s="10" customFormat="1" ht="18" customHeight="1" thickBot="1">
      <c r="A47" s="81" t="s">
        <v>108</v>
      </c>
      <c r="B47" s="51" t="s">
        <v>15</v>
      </c>
      <c r="C47" s="26">
        <v>500</v>
      </c>
      <c r="D47" s="26">
        <v>400</v>
      </c>
      <c r="E47" s="73"/>
      <c r="F47" s="73"/>
      <c r="G47" s="74" t="s">
        <v>146</v>
      </c>
      <c r="H47" s="13"/>
      <c r="I47" s="23"/>
      <c r="J47" s="21"/>
      <c r="K47" s="17"/>
      <c r="L47" s="18"/>
      <c r="M47" s="19"/>
      <c r="N47" s="21"/>
      <c r="O47" s="8"/>
      <c r="Q47" s="10" t="s">
        <v>192</v>
      </c>
    </row>
    <row r="48" spans="1:17" s="10" customFormat="1" ht="18" customHeight="1" thickBot="1">
      <c r="A48" s="81" t="s">
        <v>109</v>
      </c>
      <c r="B48" s="51" t="s">
        <v>15</v>
      </c>
      <c r="C48" s="26">
        <v>500</v>
      </c>
      <c r="D48" s="26">
        <v>500</v>
      </c>
      <c r="E48" s="57"/>
      <c r="F48" s="73"/>
      <c r="G48" s="74" t="s">
        <v>146</v>
      </c>
      <c r="H48" s="13"/>
      <c r="I48" s="23"/>
      <c r="J48" s="21"/>
      <c r="K48" s="17"/>
      <c r="L48" s="18"/>
      <c r="M48" s="19"/>
      <c r="N48" s="21"/>
      <c r="O48" s="8"/>
      <c r="Q48" s="10" t="s">
        <v>193</v>
      </c>
    </row>
    <row r="49" spans="1:17" s="10" customFormat="1" ht="18" customHeight="1" thickBot="1">
      <c r="A49" s="81" t="s">
        <v>110</v>
      </c>
      <c r="B49" s="51" t="s">
        <v>15</v>
      </c>
      <c r="C49" s="26">
        <v>500</v>
      </c>
      <c r="D49" s="26">
        <v>500</v>
      </c>
      <c r="E49" s="57"/>
      <c r="F49" s="73"/>
      <c r="G49" s="74" t="s">
        <v>145</v>
      </c>
      <c r="H49" s="13"/>
      <c r="I49" s="12"/>
      <c r="J49" s="12"/>
      <c r="K49" s="17"/>
      <c r="L49" s="18"/>
      <c r="M49" s="19"/>
      <c r="N49" s="12"/>
      <c r="O49" s="8"/>
      <c r="Q49" s="10" t="s">
        <v>194</v>
      </c>
    </row>
    <row r="50" spans="1:17" s="10" customFormat="1" ht="18" customHeight="1" thickBot="1">
      <c r="A50" s="81" t="s">
        <v>111</v>
      </c>
      <c r="B50" s="51" t="s">
        <v>15</v>
      </c>
      <c r="C50" s="26">
        <v>500</v>
      </c>
      <c r="D50" s="26">
        <v>500</v>
      </c>
      <c r="E50" s="57"/>
      <c r="F50" s="73"/>
      <c r="G50" s="74" t="s">
        <v>145</v>
      </c>
      <c r="H50" s="13"/>
      <c r="I50" s="23"/>
      <c r="J50" s="21"/>
      <c r="K50" s="17"/>
      <c r="L50" s="18"/>
      <c r="M50" s="19"/>
      <c r="N50" s="21"/>
      <c r="O50" s="8"/>
      <c r="Q50" s="10" t="s">
        <v>195</v>
      </c>
    </row>
    <row r="51" spans="1:17" s="10" customFormat="1" ht="18" customHeight="1" thickBot="1">
      <c r="A51" s="81" t="s">
        <v>112</v>
      </c>
      <c r="B51" s="51" t="s">
        <v>15</v>
      </c>
      <c r="C51" s="26">
        <v>500</v>
      </c>
      <c r="D51" s="26">
        <v>500</v>
      </c>
      <c r="E51" s="57"/>
      <c r="F51" s="73"/>
      <c r="G51" s="74" t="s">
        <v>145</v>
      </c>
      <c r="H51" s="13"/>
      <c r="I51" s="22"/>
      <c r="J51" s="20"/>
      <c r="K51" s="17"/>
      <c r="L51" s="18"/>
      <c r="M51" s="19"/>
      <c r="N51" s="20"/>
      <c r="O51" s="8"/>
      <c r="Q51" s="10" t="s">
        <v>196</v>
      </c>
    </row>
    <row r="52" spans="1:17" s="10" customFormat="1" ht="18" customHeight="1" thickBot="1">
      <c r="A52" s="81" t="s">
        <v>113</v>
      </c>
      <c r="B52" s="51" t="s">
        <v>15</v>
      </c>
      <c r="C52" s="26">
        <v>600</v>
      </c>
      <c r="D52" s="26">
        <v>300</v>
      </c>
      <c r="E52" s="57"/>
      <c r="F52" s="73"/>
      <c r="G52" s="74" t="s">
        <v>134</v>
      </c>
      <c r="H52" s="13"/>
      <c r="I52" s="23"/>
      <c r="J52" s="21"/>
      <c r="K52" s="17"/>
      <c r="L52" s="18"/>
      <c r="M52" s="19"/>
      <c r="N52" s="21"/>
      <c r="O52" s="8"/>
      <c r="Q52" s="10" t="s">
        <v>197</v>
      </c>
    </row>
    <row r="53" spans="1:17" s="10" customFormat="1" ht="18" customHeight="1" thickBot="1">
      <c r="A53" s="81" t="s">
        <v>114</v>
      </c>
      <c r="B53" s="51" t="s">
        <v>15</v>
      </c>
      <c r="C53" s="26">
        <v>600</v>
      </c>
      <c r="D53" s="26">
        <v>350</v>
      </c>
      <c r="E53" s="57"/>
      <c r="F53" s="73"/>
      <c r="G53" s="74" t="s">
        <v>147</v>
      </c>
      <c r="H53" s="13"/>
      <c r="I53" s="23"/>
      <c r="J53" s="21"/>
      <c r="K53" s="17"/>
      <c r="L53" s="18"/>
      <c r="M53" s="19"/>
      <c r="N53" s="21"/>
      <c r="O53" s="8"/>
      <c r="Q53" s="10" t="s">
        <v>198</v>
      </c>
    </row>
    <row r="54" spans="1:17" s="10" customFormat="1" ht="18" customHeight="1" thickBot="1">
      <c r="A54" s="81" t="s">
        <v>115</v>
      </c>
      <c r="B54" s="51" t="s">
        <v>15</v>
      </c>
      <c r="C54" s="26">
        <v>600</v>
      </c>
      <c r="D54" s="26">
        <v>350</v>
      </c>
      <c r="E54" s="57"/>
      <c r="F54" s="73"/>
      <c r="G54" s="74" t="s">
        <v>147</v>
      </c>
      <c r="H54" s="13"/>
      <c r="I54" s="23"/>
      <c r="J54" s="21"/>
      <c r="K54" s="17"/>
      <c r="L54" s="18"/>
      <c r="M54" s="19"/>
      <c r="N54" s="21"/>
      <c r="O54" s="8"/>
      <c r="Q54" s="10" t="s">
        <v>199</v>
      </c>
    </row>
    <row r="55" spans="1:17" s="10" customFormat="1" ht="18" customHeight="1" thickBot="1">
      <c r="A55" s="81" t="s">
        <v>116</v>
      </c>
      <c r="B55" s="51" t="s">
        <v>15</v>
      </c>
      <c r="C55" s="26">
        <v>600</v>
      </c>
      <c r="D55" s="26">
        <v>400</v>
      </c>
      <c r="E55" s="57"/>
      <c r="F55" s="73"/>
      <c r="G55" s="74" t="s">
        <v>147</v>
      </c>
      <c r="H55" s="13"/>
      <c r="I55" s="23"/>
      <c r="J55" s="21"/>
      <c r="K55" s="17"/>
      <c r="L55" s="18"/>
      <c r="M55" s="19"/>
      <c r="N55" s="21"/>
      <c r="O55" s="8"/>
      <c r="Q55" s="10" t="s">
        <v>200</v>
      </c>
    </row>
    <row r="56" spans="1:17" s="10" customFormat="1" ht="18" customHeight="1" thickBot="1">
      <c r="A56" s="81" t="s">
        <v>117</v>
      </c>
      <c r="B56" s="51" t="s">
        <v>15</v>
      </c>
      <c r="C56" s="26">
        <v>600</v>
      </c>
      <c r="D56" s="26">
        <v>400</v>
      </c>
      <c r="E56" s="73"/>
      <c r="F56" s="73"/>
      <c r="G56" s="74" t="s">
        <v>139</v>
      </c>
      <c r="H56" s="13"/>
      <c r="I56" s="23"/>
      <c r="J56" s="21"/>
      <c r="K56" s="17"/>
      <c r="L56" s="18"/>
      <c r="M56" s="19"/>
      <c r="N56" s="21"/>
      <c r="O56" s="8"/>
      <c r="Q56" s="10" t="s">
        <v>201</v>
      </c>
    </row>
    <row r="57" spans="1:17" s="10" customFormat="1" ht="18" customHeight="1" thickBot="1">
      <c r="A57" s="81" t="s">
        <v>118</v>
      </c>
      <c r="B57" s="51" t="s">
        <v>15</v>
      </c>
      <c r="C57" s="26">
        <v>600</v>
      </c>
      <c r="D57" s="26">
        <v>500</v>
      </c>
      <c r="E57" s="73"/>
      <c r="F57" s="73"/>
      <c r="G57" s="74" t="s">
        <v>148</v>
      </c>
      <c r="H57" s="13"/>
      <c r="I57" s="23"/>
      <c r="J57" s="21"/>
      <c r="K57" s="17"/>
      <c r="L57" s="18"/>
      <c r="M57" s="19"/>
      <c r="N57" s="21"/>
      <c r="O57" s="8"/>
      <c r="Q57" s="10" t="s">
        <v>202</v>
      </c>
    </row>
    <row r="58" spans="1:17" s="10" customFormat="1" ht="18" customHeight="1" thickBot="1">
      <c r="A58" s="81" t="s">
        <v>119</v>
      </c>
      <c r="B58" s="51" t="s">
        <v>15</v>
      </c>
      <c r="C58" s="26">
        <v>600</v>
      </c>
      <c r="D58" s="26">
        <v>500</v>
      </c>
      <c r="E58" s="73"/>
      <c r="F58" s="73"/>
      <c r="G58" s="74" t="s">
        <v>148</v>
      </c>
      <c r="H58" s="13"/>
      <c r="I58" s="23"/>
      <c r="J58" s="21"/>
      <c r="K58" s="17"/>
      <c r="L58" s="18"/>
      <c r="M58" s="19"/>
      <c r="N58" s="21"/>
      <c r="O58" s="8"/>
      <c r="Q58" s="10" t="s">
        <v>203</v>
      </c>
    </row>
    <row r="59" spans="1:17" s="10" customFormat="1" ht="18" customHeight="1" thickBot="1">
      <c r="A59" s="81" t="s">
        <v>120</v>
      </c>
      <c r="B59" s="51" t="s">
        <v>15</v>
      </c>
      <c r="C59" s="26">
        <v>600</v>
      </c>
      <c r="D59" s="26">
        <v>500</v>
      </c>
      <c r="E59" s="57"/>
      <c r="F59" s="73"/>
      <c r="G59" s="74" t="s">
        <v>134</v>
      </c>
      <c r="H59" s="13"/>
      <c r="I59" s="23"/>
      <c r="J59" s="21"/>
      <c r="K59" s="17"/>
      <c r="L59" s="18"/>
      <c r="M59" s="19"/>
      <c r="N59" s="21"/>
      <c r="O59" s="8"/>
      <c r="Q59" s="10" t="s">
        <v>204</v>
      </c>
    </row>
    <row r="60" spans="1:17" s="10" customFormat="1" ht="18" customHeight="1" thickBot="1">
      <c r="A60" s="81" t="s">
        <v>121</v>
      </c>
      <c r="B60" s="51" t="s">
        <v>15</v>
      </c>
      <c r="C60" s="26">
        <v>700</v>
      </c>
      <c r="D60" s="26">
        <v>300</v>
      </c>
      <c r="E60" s="57"/>
      <c r="F60" s="73"/>
      <c r="G60" s="74" t="s">
        <v>149</v>
      </c>
      <c r="H60" s="13"/>
      <c r="I60" s="12"/>
      <c r="J60" s="12"/>
      <c r="K60" s="17"/>
      <c r="L60" s="18"/>
      <c r="M60" s="19"/>
      <c r="N60" s="12"/>
      <c r="O60" s="8"/>
      <c r="Q60" s="10" t="s">
        <v>205</v>
      </c>
    </row>
    <row r="61" spans="1:17" s="10" customFormat="1" ht="18" customHeight="1" thickBot="1">
      <c r="A61" s="81" t="s">
        <v>122</v>
      </c>
      <c r="B61" s="51" t="s">
        <v>15</v>
      </c>
      <c r="C61" s="26">
        <v>700</v>
      </c>
      <c r="D61" s="26">
        <v>400</v>
      </c>
      <c r="E61" s="57"/>
      <c r="F61" s="73"/>
      <c r="G61" s="74" t="s">
        <v>150</v>
      </c>
      <c r="H61" s="13"/>
      <c r="I61" s="23"/>
      <c r="J61" s="21"/>
      <c r="K61" s="17"/>
      <c r="L61" s="18"/>
      <c r="M61" s="19"/>
      <c r="N61" s="21"/>
      <c r="O61" s="8"/>
      <c r="Q61" s="10" t="s">
        <v>206</v>
      </c>
    </row>
    <row r="62" spans="1:17" s="10" customFormat="1" ht="18" customHeight="1" thickBot="1">
      <c r="A62" s="81" t="s">
        <v>123</v>
      </c>
      <c r="B62" s="51" t="s">
        <v>15</v>
      </c>
      <c r="C62" s="26">
        <v>750</v>
      </c>
      <c r="D62" s="26">
        <v>400</v>
      </c>
      <c r="E62" s="57"/>
      <c r="F62" s="73"/>
      <c r="G62" s="74" t="s">
        <v>151</v>
      </c>
      <c r="H62" s="13"/>
      <c r="I62" s="22"/>
      <c r="J62" s="20"/>
      <c r="K62" s="17"/>
      <c r="L62" s="18"/>
      <c r="M62" s="19"/>
      <c r="N62" s="20"/>
      <c r="O62" s="8"/>
      <c r="Q62" s="10" t="s">
        <v>207</v>
      </c>
    </row>
    <row r="63" spans="1:17" s="10" customFormat="1" ht="18" customHeight="1" thickBot="1">
      <c r="A63" s="81" t="s">
        <v>124</v>
      </c>
      <c r="B63" s="51" t="s">
        <v>15</v>
      </c>
      <c r="C63" s="26">
        <v>750</v>
      </c>
      <c r="D63" s="26">
        <v>400</v>
      </c>
      <c r="E63" s="57"/>
      <c r="F63" s="73"/>
      <c r="G63" s="74" t="s">
        <v>151</v>
      </c>
      <c r="H63" s="13"/>
      <c r="I63" s="23"/>
      <c r="J63" s="21"/>
      <c r="K63" s="17"/>
      <c r="L63" s="18"/>
      <c r="M63" s="19"/>
      <c r="N63" s="21"/>
      <c r="O63" s="8"/>
      <c r="Q63" s="10" t="s">
        <v>208</v>
      </c>
    </row>
    <row r="64" spans="1:17" s="10" customFormat="1" ht="18" customHeight="1" thickBot="1">
      <c r="A64" s="81" t="s">
        <v>125</v>
      </c>
      <c r="B64" s="51" t="s">
        <v>15</v>
      </c>
      <c r="C64" s="26">
        <v>750</v>
      </c>
      <c r="D64" s="26">
        <v>550</v>
      </c>
      <c r="E64" s="57"/>
      <c r="F64" s="73"/>
      <c r="G64" s="74" t="s">
        <v>148</v>
      </c>
      <c r="H64" s="13"/>
      <c r="I64" s="23"/>
      <c r="J64" s="21"/>
      <c r="K64" s="17"/>
      <c r="L64" s="18"/>
      <c r="M64" s="19"/>
      <c r="N64" s="21"/>
      <c r="O64" s="8"/>
      <c r="Q64" s="10" t="s">
        <v>209</v>
      </c>
    </row>
    <row r="65" spans="1:17" s="10" customFormat="1" ht="18" customHeight="1" thickBot="1">
      <c r="A65" s="81" t="s">
        <v>126</v>
      </c>
      <c r="B65" s="51" t="s">
        <v>15</v>
      </c>
      <c r="C65" s="26">
        <v>800</v>
      </c>
      <c r="D65" s="26">
        <v>400</v>
      </c>
      <c r="E65" s="57"/>
      <c r="F65" s="73"/>
      <c r="G65" s="74" t="s">
        <v>139</v>
      </c>
      <c r="H65" s="13"/>
      <c r="I65" s="23"/>
      <c r="J65" s="21"/>
      <c r="K65" s="17"/>
      <c r="L65" s="18"/>
      <c r="M65" s="19"/>
      <c r="N65" s="21"/>
      <c r="O65" s="8"/>
      <c r="Q65" s="10" t="s">
        <v>210</v>
      </c>
    </row>
    <row r="66" spans="1:17" s="10" customFormat="1" ht="18" customHeight="1" thickBot="1">
      <c r="A66" s="81" t="s">
        <v>127</v>
      </c>
      <c r="B66" s="51" t="s">
        <v>15</v>
      </c>
      <c r="C66" s="26">
        <v>800</v>
      </c>
      <c r="D66" s="26">
        <v>450</v>
      </c>
      <c r="E66" s="57"/>
      <c r="F66" s="73"/>
      <c r="G66" s="74" t="s">
        <v>139</v>
      </c>
      <c r="H66" s="13"/>
      <c r="I66" s="23"/>
      <c r="J66" s="21"/>
      <c r="K66" s="17"/>
      <c r="L66" s="18"/>
      <c r="M66" s="19"/>
      <c r="N66" s="21"/>
      <c r="O66" s="8"/>
      <c r="Q66" s="10" t="s">
        <v>211</v>
      </c>
    </row>
    <row r="67" spans="1:17" s="10" customFormat="1" ht="18" customHeight="1" thickBot="1">
      <c r="A67" s="81" t="s">
        <v>128</v>
      </c>
      <c r="B67" s="51" t="s">
        <v>15</v>
      </c>
      <c r="C67" s="26">
        <v>950</v>
      </c>
      <c r="D67" s="26">
        <v>400</v>
      </c>
      <c r="E67" s="73"/>
      <c r="F67" s="73"/>
      <c r="G67" s="74" t="s">
        <v>152</v>
      </c>
      <c r="H67" s="13"/>
      <c r="I67" s="23"/>
      <c r="J67" s="21"/>
      <c r="K67" s="17"/>
      <c r="L67" s="18"/>
      <c r="M67" s="19"/>
      <c r="N67" s="21"/>
      <c r="O67" s="8"/>
      <c r="Q67" s="10" t="s">
        <v>212</v>
      </c>
    </row>
    <row r="68" spans="1:17" s="10" customFormat="1" ht="18" customHeight="1" thickBot="1">
      <c r="A68" s="81" t="s">
        <v>129</v>
      </c>
      <c r="B68" s="51" t="s">
        <v>15</v>
      </c>
      <c r="C68" s="26">
        <v>1050</v>
      </c>
      <c r="D68" s="26">
        <v>400</v>
      </c>
      <c r="E68" s="73"/>
      <c r="F68" s="73"/>
      <c r="G68" s="74" t="s">
        <v>153</v>
      </c>
      <c r="H68" s="13"/>
      <c r="I68" s="23"/>
      <c r="J68" s="21"/>
      <c r="K68" s="17"/>
      <c r="L68" s="18"/>
      <c r="M68" s="19"/>
      <c r="N68" s="21"/>
      <c r="O68" s="8"/>
      <c r="Q68" s="10" t="s">
        <v>213</v>
      </c>
    </row>
    <row r="69" spans="1:17" s="10" customFormat="1" ht="18" customHeight="1">
      <c r="A69" s="81" t="s">
        <v>130</v>
      </c>
      <c r="B69" s="51" t="s">
        <v>15</v>
      </c>
      <c r="C69" s="26">
        <v>1050</v>
      </c>
      <c r="D69" s="26">
        <v>400</v>
      </c>
      <c r="E69" s="73"/>
      <c r="F69" s="73"/>
      <c r="G69" s="74" t="s">
        <v>153</v>
      </c>
      <c r="H69" s="13"/>
      <c r="I69" s="23"/>
      <c r="J69" s="21"/>
      <c r="K69" s="17"/>
      <c r="L69" s="18"/>
      <c r="M69" s="19"/>
      <c r="N69" s="21"/>
      <c r="O69" s="8"/>
      <c r="Q69" s="10" t="s">
        <v>214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72"/>
  <sheetViews>
    <sheetView zoomScaleNormal="100" zoomScaleSheetLayoutView="100" workbookViewId="0">
      <selection activeCell="A69" sqref="A69:XFD222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99"/>
      <c r="B1" s="99"/>
      <c r="C1" s="99"/>
      <c r="D1" s="99"/>
      <c r="E1" s="122" t="s">
        <v>64</v>
      </c>
      <c r="F1" s="123"/>
      <c r="G1" s="123"/>
      <c r="H1" s="123" t="str">
        <f>'1. 소켓인수검사'!R2</f>
        <v>26.07.15 엘티_롯데건설_광장이엠씨_검단신도시C1</v>
      </c>
      <c r="I1" s="123"/>
      <c r="J1" s="123"/>
      <c r="K1" s="123"/>
      <c r="L1" s="123"/>
      <c r="M1" s="123"/>
      <c r="N1" s="123"/>
      <c r="O1" s="128"/>
    </row>
    <row r="2" spans="1:15" ht="16.5" customHeight="1">
      <c r="A2" s="99"/>
      <c r="B2" s="99"/>
      <c r="C2" s="99"/>
      <c r="D2" s="99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9"/>
    </row>
    <row r="3" spans="1:15" ht="16.5" customHeight="1">
      <c r="A3" s="99"/>
      <c r="B3" s="99"/>
      <c r="C3" s="99"/>
      <c r="D3" s="99"/>
      <c r="E3" s="126"/>
      <c r="F3" s="127"/>
      <c r="G3" s="127"/>
      <c r="H3" s="127"/>
      <c r="I3" s="127"/>
      <c r="J3" s="127"/>
      <c r="K3" s="127"/>
      <c r="L3" s="127"/>
      <c r="M3" s="127"/>
      <c r="N3" s="127"/>
      <c r="O3" s="130"/>
    </row>
    <row r="4" spans="1:15" ht="8.1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</row>
    <row r="5" spans="1:15" ht="26.45" customHeight="1">
      <c r="A5" s="132" t="s">
        <v>52</v>
      </c>
      <c r="B5" s="133" t="s">
        <v>62</v>
      </c>
      <c r="C5" s="121" t="s">
        <v>4</v>
      </c>
      <c r="D5" s="121"/>
      <c r="E5" s="121" t="s">
        <v>23</v>
      </c>
      <c r="F5" s="118" t="s">
        <v>50</v>
      </c>
      <c r="G5" s="116" t="s">
        <v>19</v>
      </c>
      <c r="H5" s="117"/>
      <c r="I5" s="117"/>
      <c r="J5" s="136"/>
      <c r="K5" s="116" t="s">
        <v>33</v>
      </c>
      <c r="L5" s="117"/>
      <c r="M5" s="117"/>
      <c r="N5" s="117"/>
      <c r="O5" s="118" t="s">
        <v>2</v>
      </c>
    </row>
    <row r="6" spans="1:15" ht="16.5" customHeight="1">
      <c r="A6" s="132"/>
      <c r="B6" s="134"/>
      <c r="C6" s="121" t="s">
        <v>59</v>
      </c>
      <c r="D6" s="121" t="s">
        <v>57</v>
      </c>
      <c r="E6" s="121"/>
      <c r="F6" s="119"/>
      <c r="G6" s="121" t="s">
        <v>59</v>
      </c>
      <c r="H6" s="121"/>
      <c r="I6" s="121" t="s">
        <v>57</v>
      </c>
      <c r="J6" s="121"/>
      <c r="K6" s="121" t="s">
        <v>61</v>
      </c>
      <c r="L6" s="121"/>
      <c r="M6" s="116" t="s">
        <v>58</v>
      </c>
      <c r="N6" s="117"/>
      <c r="O6" s="119"/>
    </row>
    <row r="7" spans="1:15">
      <c r="A7" s="132"/>
      <c r="B7" s="135"/>
      <c r="C7" s="121"/>
      <c r="D7" s="121"/>
      <c r="E7" s="121"/>
      <c r="F7" s="120"/>
      <c r="G7" s="82" t="s">
        <v>4</v>
      </c>
      <c r="H7" s="82" t="s">
        <v>30</v>
      </c>
      <c r="I7" s="85" t="s">
        <v>4</v>
      </c>
      <c r="J7" s="84" t="s">
        <v>30</v>
      </c>
      <c r="K7" s="82" t="s">
        <v>4</v>
      </c>
      <c r="L7" s="82" t="s">
        <v>50</v>
      </c>
      <c r="M7" s="82" t="s">
        <v>4</v>
      </c>
      <c r="N7" s="83" t="s">
        <v>50</v>
      </c>
      <c r="O7" s="120"/>
    </row>
    <row r="8" spans="1:15">
      <c r="A8" s="86" t="str">
        <f>'1. 소켓인수검사'!A9</f>
        <v>01</v>
      </c>
      <c r="B8" s="87" t="s">
        <v>15</v>
      </c>
      <c r="C8" s="55">
        <f>'1. 소켓인수검사'!C9</f>
        <v>200</v>
      </c>
      <c r="D8" s="55">
        <f>'1. 소켓인수검사'!D9</f>
        <v>150</v>
      </c>
      <c r="E8" s="48"/>
      <c r="F8" s="55">
        <v>1</v>
      </c>
      <c r="G8" s="88">
        <f>C8-5</f>
        <v>195</v>
      </c>
      <c r="H8" s="55">
        <f t="shared" ref="H8:H68" si="0">F8*4</f>
        <v>4</v>
      </c>
      <c r="I8" s="89">
        <f t="shared" ref="I8:I68" si="1">D8-30</f>
        <v>120</v>
      </c>
      <c r="J8" s="55">
        <f t="shared" ref="J8:J68" si="2">F8*4</f>
        <v>4</v>
      </c>
      <c r="K8" s="90">
        <f t="shared" ref="K8:K68" si="3">C8+60</f>
        <v>260</v>
      </c>
      <c r="L8" s="55">
        <v>2</v>
      </c>
      <c r="M8" s="90">
        <f>D8</f>
        <v>150</v>
      </c>
      <c r="N8" s="55">
        <v>2</v>
      </c>
      <c r="O8" s="49"/>
    </row>
    <row r="9" spans="1:15">
      <c r="A9" s="91" t="str">
        <f>'1. 소켓인수검사'!A10</f>
        <v>02</v>
      </c>
      <c r="B9" s="92" t="s">
        <v>15</v>
      </c>
      <c r="C9" s="56">
        <f>'1. 소켓인수검사'!C10</f>
        <v>200</v>
      </c>
      <c r="D9" s="56">
        <f>'1. 소켓인수검사'!D10</f>
        <v>200</v>
      </c>
      <c r="E9" s="37"/>
      <c r="F9" s="56">
        <v>1</v>
      </c>
      <c r="G9" s="93">
        <f t="shared" ref="G9:G68" si="4">C9-5</f>
        <v>195</v>
      </c>
      <c r="H9" s="56">
        <f t="shared" si="0"/>
        <v>4</v>
      </c>
      <c r="I9" s="94">
        <f t="shared" si="1"/>
        <v>170</v>
      </c>
      <c r="J9" s="56">
        <f t="shared" si="2"/>
        <v>4</v>
      </c>
      <c r="K9" s="95">
        <f t="shared" si="3"/>
        <v>260</v>
      </c>
      <c r="L9" s="56">
        <v>2</v>
      </c>
      <c r="M9" s="95">
        <f t="shared" ref="M9:M68" si="5">D9</f>
        <v>200</v>
      </c>
      <c r="N9" s="56">
        <v>2</v>
      </c>
      <c r="O9" s="96"/>
    </row>
    <row r="10" spans="1:15">
      <c r="A10" s="91" t="str">
        <f>'1. 소켓인수검사'!A11</f>
        <v>03</v>
      </c>
      <c r="B10" s="92" t="s">
        <v>15</v>
      </c>
      <c r="C10" s="56">
        <f>'1. 소켓인수검사'!C11</f>
        <v>200</v>
      </c>
      <c r="D10" s="56">
        <f>'1. 소켓인수검사'!D11</f>
        <v>200</v>
      </c>
      <c r="E10" s="37"/>
      <c r="F10" s="56">
        <v>1</v>
      </c>
      <c r="G10" s="93">
        <f t="shared" si="4"/>
        <v>195</v>
      </c>
      <c r="H10" s="56">
        <f t="shared" si="0"/>
        <v>4</v>
      </c>
      <c r="I10" s="94">
        <f t="shared" si="1"/>
        <v>170</v>
      </c>
      <c r="J10" s="56">
        <f t="shared" si="2"/>
        <v>4</v>
      </c>
      <c r="K10" s="95">
        <f t="shared" si="3"/>
        <v>260</v>
      </c>
      <c r="L10" s="56">
        <v>2</v>
      </c>
      <c r="M10" s="95">
        <f t="shared" si="5"/>
        <v>200</v>
      </c>
      <c r="N10" s="56">
        <v>2</v>
      </c>
      <c r="O10" s="96"/>
    </row>
    <row r="11" spans="1:15">
      <c r="A11" s="91" t="str">
        <f>'1. 소켓인수검사'!A12</f>
        <v>04</v>
      </c>
      <c r="B11" s="92" t="s">
        <v>15</v>
      </c>
      <c r="C11" s="56">
        <f>'1. 소켓인수검사'!C12</f>
        <v>200</v>
      </c>
      <c r="D11" s="56">
        <f>'1. 소켓인수검사'!D12</f>
        <v>200</v>
      </c>
      <c r="E11" s="37"/>
      <c r="F11" s="56">
        <v>1</v>
      </c>
      <c r="G11" s="93">
        <f t="shared" si="4"/>
        <v>195</v>
      </c>
      <c r="H11" s="56">
        <f t="shared" si="0"/>
        <v>4</v>
      </c>
      <c r="I11" s="94">
        <f t="shared" si="1"/>
        <v>170</v>
      </c>
      <c r="J11" s="56">
        <f t="shared" si="2"/>
        <v>4</v>
      </c>
      <c r="K11" s="95">
        <f t="shared" si="3"/>
        <v>260</v>
      </c>
      <c r="L11" s="56">
        <v>2</v>
      </c>
      <c r="M11" s="95">
        <f t="shared" si="5"/>
        <v>200</v>
      </c>
      <c r="N11" s="56">
        <v>2</v>
      </c>
      <c r="O11" s="96"/>
    </row>
    <row r="12" spans="1:15">
      <c r="A12" s="91" t="str">
        <f>'1. 소켓인수검사'!A13</f>
        <v>05</v>
      </c>
      <c r="B12" s="92" t="s">
        <v>15</v>
      </c>
      <c r="C12" s="56">
        <f>'1. 소켓인수검사'!C13</f>
        <v>200</v>
      </c>
      <c r="D12" s="56">
        <f>'1. 소켓인수검사'!D13</f>
        <v>200</v>
      </c>
      <c r="E12" s="37"/>
      <c r="F12" s="56">
        <v>1</v>
      </c>
      <c r="G12" s="93">
        <f t="shared" si="4"/>
        <v>195</v>
      </c>
      <c r="H12" s="56">
        <f t="shared" si="0"/>
        <v>4</v>
      </c>
      <c r="I12" s="94">
        <f t="shared" si="1"/>
        <v>170</v>
      </c>
      <c r="J12" s="56">
        <f t="shared" si="2"/>
        <v>4</v>
      </c>
      <c r="K12" s="95">
        <f t="shared" si="3"/>
        <v>260</v>
      </c>
      <c r="L12" s="56">
        <v>2</v>
      </c>
      <c r="M12" s="95">
        <f t="shared" si="5"/>
        <v>200</v>
      </c>
      <c r="N12" s="56">
        <v>2</v>
      </c>
      <c r="O12" s="96"/>
    </row>
    <row r="13" spans="1:15">
      <c r="A13" s="91" t="str">
        <f>'1. 소켓인수검사'!A14</f>
        <v>06</v>
      </c>
      <c r="B13" s="92" t="s">
        <v>15</v>
      </c>
      <c r="C13" s="56">
        <f>'1. 소켓인수검사'!C14</f>
        <v>200</v>
      </c>
      <c r="D13" s="56">
        <f>'1. 소켓인수검사'!D14</f>
        <v>200</v>
      </c>
      <c r="E13" s="37"/>
      <c r="F13" s="56">
        <v>1</v>
      </c>
      <c r="G13" s="93">
        <f t="shared" si="4"/>
        <v>195</v>
      </c>
      <c r="H13" s="56">
        <f t="shared" si="0"/>
        <v>4</v>
      </c>
      <c r="I13" s="94">
        <f t="shared" si="1"/>
        <v>170</v>
      </c>
      <c r="J13" s="56">
        <f t="shared" si="2"/>
        <v>4</v>
      </c>
      <c r="K13" s="95">
        <f t="shared" si="3"/>
        <v>260</v>
      </c>
      <c r="L13" s="56">
        <v>2</v>
      </c>
      <c r="M13" s="95">
        <f t="shared" si="5"/>
        <v>200</v>
      </c>
      <c r="N13" s="56">
        <v>2</v>
      </c>
      <c r="O13" s="96"/>
    </row>
    <row r="14" spans="1:15">
      <c r="A14" s="91" t="str">
        <f>'1. 소켓인수검사'!A15</f>
        <v>07</v>
      </c>
      <c r="B14" s="92" t="s">
        <v>15</v>
      </c>
      <c r="C14" s="56">
        <f>'1. 소켓인수검사'!C15</f>
        <v>200</v>
      </c>
      <c r="D14" s="56">
        <f>'1. 소켓인수검사'!D15</f>
        <v>200</v>
      </c>
      <c r="E14" s="37"/>
      <c r="F14" s="56">
        <v>1</v>
      </c>
      <c r="G14" s="93">
        <f t="shared" si="4"/>
        <v>195</v>
      </c>
      <c r="H14" s="56">
        <f t="shared" si="0"/>
        <v>4</v>
      </c>
      <c r="I14" s="94">
        <f t="shared" si="1"/>
        <v>170</v>
      </c>
      <c r="J14" s="56">
        <f t="shared" si="2"/>
        <v>4</v>
      </c>
      <c r="K14" s="95">
        <f t="shared" si="3"/>
        <v>260</v>
      </c>
      <c r="L14" s="56">
        <v>2</v>
      </c>
      <c r="M14" s="95">
        <f t="shared" si="5"/>
        <v>200</v>
      </c>
      <c r="N14" s="56">
        <v>2</v>
      </c>
      <c r="O14" s="96"/>
    </row>
    <row r="15" spans="1:15">
      <c r="A15" s="91" t="str">
        <f>'1. 소켓인수검사'!A16</f>
        <v>08</v>
      </c>
      <c r="B15" s="92" t="s">
        <v>15</v>
      </c>
      <c r="C15" s="56">
        <f>'1. 소켓인수검사'!C16</f>
        <v>250</v>
      </c>
      <c r="D15" s="56">
        <f>'1. 소켓인수검사'!D16</f>
        <v>200</v>
      </c>
      <c r="E15" s="37"/>
      <c r="F15" s="56">
        <v>1</v>
      </c>
      <c r="G15" s="93">
        <f t="shared" si="4"/>
        <v>245</v>
      </c>
      <c r="H15" s="56">
        <f t="shared" si="0"/>
        <v>4</v>
      </c>
      <c r="I15" s="94">
        <f t="shared" si="1"/>
        <v>170</v>
      </c>
      <c r="J15" s="56">
        <f t="shared" si="2"/>
        <v>4</v>
      </c>
      <c r="K15" s="95">
        <f t="shared" si="3"/>
        <v>310</v>
      </c>
      <c r="L15" s="56">
        <v>2</v>
      </c>
      <c r="M15" s="95">
        <f t="shared" si="5"/>
        <v>200</v>
      </c>
      <c r="N15" s="56">
        <v>2</v>
      </c>
      <c r="O15" s="96"/>
    </row>
    <row r="16" spans="1:15">
      <c r="A16" s="91" t="str">
        <f>'1. 소켓인수검사'!A17</f>
        <v>09</v>
      </c>
      <c r="B16" s="92" t="s">
        <v>15</v>
      </c>
      <c r="C16" s="56">
        <f>'1. 소켓인수검사'!C17</f>
        <v>250</v>
      </c>
      <c r="D16" s="56">
        <f>'1. 소켓인수검사'!D17</f>
        <v>200</v>
      </c>
      <c r="E16" s="37"/>
      <c r="F16" s="56">
        <v>1</v>
      </c>
      <c r="G16" s="93">
        <f t="shared" si="4"/>
        <v>245</v>
      </c>
      <c r="H16" s="56">
        <f t="shared" si="0"/>
        <v>4</v>
      </c>
      <c r="I16" s="94">
        <f t="shared" si="1"/>
        <v>170</v>
      </c>
      <c r="J16" s="56">
        <f t="shared" si="2"/>
        <v>4</v>
      </c>
      <c r="K16" s="95">
        <f t="shared" si="3"/>
        <v>310</v>
      </c>
      <c r="L16" s="56">
        <v>2</v>
      </c>
      <c r="M16" s="95">
        <f t="shared" si="5"/>
        <v>200</v>
      </c>
      <c r="N16" s="56">
        <v>2</v>
      </c>
      <c r="O16" s="96"/>
    </row>
    <row r="17" spans="1:15">
      <c r="A17" s="91" t="str">
        <f>'1. 소켓인수검사'!A18</f>
        <v>10</v>
      </c>
      <c r="B17" s="92" t="s">
        <v>15</v>
      </c>
      <c r="C17" s="56">
        <f>'1. 소켓인수검사'!C18</f>
        <v>250</v>
      </c>
      <c r="D17" s="56">
        <f>'1. 소켓인수검사'!D18</f>
        <v>200</v>
      </c>
      <c r="E17" s="37"/>
      <c r="F17" s="56">
        <v>1</v>
      </c>
      <c r="G17" s="93">
        <f t="shared" si="4"/>
        <v>245</v>
      </c>
      <c r="H17" s="56">
        <f t="shared" si="0"/>
        <v>4</v>
      </c>
      <c r="I17" s="94">
        <f t="shared" si="1"/>
        <v>170</v>
      </c>
      <c r="J17" s="56">
        <f t="shared" si="2"/>
        <v>4</v>
      </c>
      <c r="K17" s="95">
        <f t="shared" si="3"/>
        <v>310</v>
      </c>
      <c r="L17" s="56">
        <v>2</v>
      </c>
      <c r="M17" s="95">
        <f t="shared" si="5"/>
        <v>200</v>
      </c>
      <c r="N17" s="56">
        <v>2</v>
      </c>
      <c r="O17" s="96"/>
    </row>
    <row r="18" spans="1:15">
      <c r="A18" s="91" t="str">
        <f>'1. 소켓인수검사'!A19</f>
        <v>11</v>
      </c>
      <c r="B18" s="92" t="s">
        <v>15</v>
      </c>
      <c r="C18" s="56">
        <f>'1. 소켓인수검사'!C19</f>
        <v>250</v>
      </c>
      <c r="D18" s="56">
        <f>'1. 소켓인수검사'!D19</f>
        <v>200</v>
      </c>
      <c r="E18" s="37"/>
      <c r="F18" s="56">
        <v>1</v>
      </c>
      <c r="G18" s="93">
        <f t="shared" si="4"/>
        <v>245</v>
      </c>
      <c r="H18" s="56">
        <f t="shared" si="0"/>
        <v>4</v>
      </c>
      <c r="I18" s="94">
        <f t="shared" si="1"/>
        <v>170</v>
      </c>
      <c r="J18" s="56">
        <f t="shared" si="2"/>
        <v>4</v>
      </c>
      <c r="K18" s="95">
        <f t="shared" si="3"/>
        <v>310</v>
      </c>
      <c r="L18" s="56">
        <v>2</v>
      </c>
      <c r="M18" s="95">
        <f t="shared" si="5"/>
        <v>200</v>
      </c>
      <c r="N18" s="56">
        <v>2</v>
      </c>
      <c r="O18" s="96"/>
    </row>
    <row r="19" spans="1:15">
      <c r="A19" s="91" t="str">
        <f>'1. 소켓인수검사'!A20</f>
        <v>12</v>
      </c>
      <c r="B19" s="92" t="s">
        <v>15</v>
      </c>
      <c r="C19" s="56">
        <f>'1. 소켓인수검사'!C20</f>
        <v>250</v>
      </c>
      <c r="D19" s="56">
        <f>'1. 소켓인수검사'!D20</f>
        <v>200</v>
      </c>
      <c r="E19" s="37"/>
      <c r="F19" s="56">
        <v>1</v>
      </c>
      <c r="G19" s="93">
        <f t="shared" si="4"/>
        <v>245</v>
      </c>
      <c r="H19" s="56">
        <f t="shared" si="0"/>
        <v>4</v>
      </c>
      <c r="I19" s="94">
        <f t="shared" si="1"/>
        <v>170</v>
      </c>
      <c r="J19" s="56">
        <f t="shared" si="2"/>
        <v>4</v>
      </c>
      <c r="K19" s="95">
        <f t="shared" si="3"/>
        <v>310</v>
      </c>
      <c r="L19" s="56">
        <v>2</v>
      </c>
      <c r="M19" s="95">
        <f t="shared" si="5"/>
        <v>200</v>
      </c>
      <c r="N19" s="56">
        <v>2</v>
      </c>
      <c r="O19" s="96"/>
    </row>
    <row r="20" spans="1:15">
      <c r="A20" s="91" t="str">
        <f>'1. 소켓인수검사'!A21</f>
        <v>13</v>
      </c>
      <c r="B20" s="92" t="s">
        <v>15</v>
      </c>
      <c r="C20" s="56">
        <f>'1. 소켓인수검사'!C21</f>
        <v>250</v>
      </c>
      <c r="D20" s="56">
        <f>'1. 소켓인수검사'!D21</f>
        <v>200</v>
      </c>
      <c r="E20" s="37"/>
      <c r="F20" s="56">
        <v>1</v>
      </c>
      <c r="G20" s="93">
        <f t="shared" si="4"/>
        <v>245</v>
      </c>
      <c r="H20" s="56">
        <f t="shared" si="0"/>
        <v>4</v>
      </c>
      <c r="I20" s="94">
        <f t="shared" si="1"/>
        <v>170</v>
      </c>
      <c r="J20" s="56">
        <f t="shared" si="2"/>
        <v>4</v>
      </c>
      <c r="K20" s="95">
        <f t="shared" si="3"/>
        <v>310</v>
      </c>
      <c r="L20" s="56">
        <v>2</v>
      </c>
      <c r="M20" s="95">
        <f t="shared" si="5"/>
        <v>200</v>
      </c>
      <c r="N20" s="56">
        <v>2</v>
      </c>
      <c r="O20" s="96"/>
    </row>
    <row r="21" spans="1:15">
      <c r="A21" s="91" t="str">
        <f>'1. 소켓인수검사'!A22</f>
        <v>14</v>
      </c>
      <c r="B21" s="92" t="s">
        <v>15</v>
      </c>
      <c r="C21" s="56">
        <f>'1. 소켓인수검사'!C22</f>
        <v>250</v>
      </c>
      <c r="D21" s="56">
        <f>'1. 소켓인수검사'!D22</f>
        <v>200</v>
      </c>
      <c r="E21" s="37"/>
      <c r="F21" s="56">
        <v>1</v>
      </c>
      <c r="G21" s="93">
        <f t="shared" si="4"/>
        <v>245</v>
      </c>
      <c r="H21" s="56">
        <f t="shared" si="0"/>
        <v>4</v>
      </c>
      <c r="I21" s="94">
        <f t="shared" si="1"/>
        <v>170</v>
      </c>
      <c r="J21" s="56">
        <f t="shared" si="2"/>
        <v>4</v>
      </c>
      <c r="K21" s="95">
        <f t="shared" si="3"/>
        <v>310</v>
      </c>
      <c r="L21" s="56">
        <v>2</v>
      </c>
      <c r="M21" s="95">
        <f t="shared" si="5"/>
        <v>200</v>
      </c>
      <c r="N21" s="56">
        <v>2</v>
      </c>
      <c r="O21" s="96"/>
    </row>
    <row r="22" spans="1:15">
      <c r="A22" s="91" t="str">
        <f>'1. 소켓인수검사'!A23</f>
        <v>15</v>
      </c>
      <c r="B22" s="92" t="s">
        <v>15</v>
      </c>
      <c r="C22" s="56">
        <f>'1. 소켓인수검사'!C23</f>
        <v>250</v>
      </c>
      <c r="D22" s="56">
        <f>'1. 소켓인수검사'!D23</f>
        <v>200</v>
      </c>
      <c r="E22" s="37"/>
      <c r="F22" s="56">
        <v>1</v>
      </c>
      <c r="G22" s="93">
        <f t="shared" si="4"/>
        <v>245</v>
      </c>
      <c r="H22" s="56">
        <f t="shared" si="0"/>
        <v>4</v>
      </c>
      <c r="I22" s="94">
        <f t="shared" si="1"/>
        <v>170</v>
      </c>
      <c r="J22" s="56">
        <f t="shared" si="2"/>
        <v>4</v>
      </c>
      <c r="K22" s="95">
        <f t="shared" si="3"/>
        <v>310</v>
      </c>
      <c r="L22" s="56">
        <v>2</v>
      </c>
      <c r="M22" s="95">
        <f t="shared" si="5"/>
        <v>200</v>
      </c>
      <c r="N22" s="56">
        <v>2</v>
      </c>
      <c r="O22" s="96"/>
    </row>
    <row r="23" spans="1:15">
      <c r="A23" s="91" t="str">
        <f>'1. 소켓인수검사'!A24</f>
        <v>16</v>
      </c>
      <c r="B23" s="92" t="s">
        <v>15</v>
      </c>
      <c r="C23" s="56">
        <f>'1. 소켓인수검사'!C24</f>
        <v>250</v>
      </c>
      <c r="D23" s="56">
        <f>'1. 소켓인수검사'!D24</f>
        <v>200</v>
      </c>
      <c r="E23" s="37"/>
      <c r="F23" s="56">
        <v>1</v>
      </c>
      <c r="G23" s="93">
        <f t="shared" si="4"/>
        <v>245</v>
      </c>
      <c r="H23" s="56">
        <f t="shared" si="0"/>
        <v>4</v>
      </c>
      <c r="I23" s="94">
        <f t="shared" si="1"/>
        <v>170</v>
      </c>
      <c r="J23" s="56">
        <f t="shared" si="2"/>
        <v>4</v>
      </c>
      <c r="K23" s="95">
        <f t="shared" si="3"/>
        <v>310</v>
      </c>
      <c r="L23" s="56">
        <v>2</v>
      </c>
      <c r="M23" s="95">
        <f t="shared" si="5"/>
        <v>200</v>
      </c>
      <c r="N23" s="56">
        <v>2</v>
      </c>
      <c r="O23" s="96"/>
    </row>
    <row r="24" spans="1:15">
      <c r="A24" s="91" t="str">
        <f>'1. 소켓인수검사'!A25</f>
        <v>17</v>
      </c>
      <c r="B24" s="92" t="s">
        <v>15</v>
      </c>
      <c r="C24" s="56">
        <f>'1. 소켓인수검사'!C25</f>
        <v>250</v>
      </c>
      <c r="D24" s="56">
        <f>'1. 소켓인수검사'!D25</f>
        <v>200</v>
      </c>
      <c r="E24" s="37"/>
      <c r="F24" s="56">
        <v>1</v>
      </c>
      <c r="G24" s="93">
        <f t="shared" si="4"/>
        <v>245</v>
      </c>
      <c r="H24" s="56">
        <f t="shared" si="0"/>
        <v>4</v>
      </c>
      <c r="I24" s="94">
        <f t="shared" si="1"/>
        <v>170</v>
      </c>
      <c r="J24" s="56">
        <f t="shared" si="2"/>
        <v>4</v>
      </c>
      <c r="K24" s="95">
        <f t="shared" si="3"/>
        <v>310</v>
      </c>
      <c r="L24" s="56">
        <v>2</v>
      </c>
      <c r="M24" s="95">
        <f t="shared" si="5"/>
        <v>200</v>
      </c>
      <c r="N24" s="56">
        <v>2</v>
      </c>
      <c r="O24" s="96"/>
    </row>
    <row r="25" spans="1:15">
      <c r="A25" s="91" t="str">
        <f>'1. 소켓인수검사'!A26</f>
        <v>18</v>
      </c>
      <c r="B25" s="92" t="s">
        <v>15</v>
      </c>
      <c r="C25" s="56">
        <f>'1. 소켓인수검사'!C26</f>
        <v>250</v>
      </c>
      <c r="D25" s="56">
        <f>'1. 소켓인수검사'!D26</f>
        <v>200</v>
      </c>
      <c r="E25" s="37"/>
      <c r="F25" s="56">
        <v>1</v>
      </c>
      <c r="G25" s="93">
        <f t="shared" si="4"/>
        <v>245</v>
      </c>
      <c r="H25" s="56">
        <f t="shared" si="0"/>
        <v>4</v>
      </c>
      <c r="I25" s="94">
        <f t="shared" si="1"/>
        <v>170</v>
      </c>
      <c r="J25" s="56">
        <f t="shared" si="2"/>
        <v>4</v>
      </c>
      <c r="K25" s="95">
        <f t="shared" si="3"/>
        <v>310</v>
      </c>
      <c r="L25" s="56">
        <v>2</v>
      </c>
      <c r="M25" s="95">
        <f t="shared" si="5"/>
        <v>200</v>
      </c>
      <c r="N25" s="56">
        <v>2</v>
      </c>
      <c r="O25" s="96"/>
    </row>
    <row r="26" spans="1:15">
      <c r="A26" s="91" t="str">
        <f>'1. 소켓인수검사'!A27</f>
        <v>19</v>
      </c>
      <c r="B26" s="92" t="s">
        <v>15</v>
      </c>
      <c r="C26" s="56">
        <f>'1. 소켓인수검사'!C27</f>
        <v>250</v>
      </c>
      <c r="D26" s="56">
        <f>'1. 소켓인수검사'!D27</f>
        <v>200</v>
      </c>
      <c r="E26" s="37"/>
      <c r="F26" s="56">
        <v>1</v>
      </c>
      <c r="G26" s="93">
        <f t="shared" si="4"/>
        <v>245</v>
      </c>
      <c r="H26" s="56">
        <f t="shared" si="0"/>
        <v>4</v>
      </c>
      <c r="I26" s="94">
        <f t="shared" si="1"/>
        <v>170</v>
      </c>
      <c r="J26" s="56">
        <f t="shared" si="2"/>
        <v>4</v>
      </c>
      <c r="K26" s="95">
        <f t="shared" si="3"/>
        <v>310</v>
      </c>
      <c r="L26" s="56">
        <v>2</v>
      </c>
      <c r="M26" s="95">
        <f t="shared" si="5"/>
        <v>200</v>
      </c>
      <c r="N26" s="56">
        <v>2</v>
      </c>
      <c r="O26" s="96"/>
    </row>
    <row r="27" spans="1:15">
      <c r="A27" s="91" t="str">
        <f>'1. 소켓인수검사'!A28</f>
        <v>20</v>
      </c>
      <c r="B27" s="92" t="s">
        <v>15</v>
      </c>
      <c r="C27" s="56">
        <f>'1. 소켓인수검사'!C28</f>
        <v>250</v>
      </c>
      <c r="D27" s="56">
        <f>'1. 소켓인수검사'!D28</f>
        <v>200</v>
      </c>
      <c r="E27" s="37"/>
      <c r="F27" s="56">
        <v>1</v>
      </c>
      <c r="G27" s="93">
        <f t="shared" si="4"/>
        <v>245</v>
      </c>
      <c r="H27" s="56">
        <f t="shared" si="0"/>
        <v>4</v>
      </c>
      <c r="I27" s="94">
        <f t="shared" si="1"/>
        <v>170</v>
      </c>
      <c r="J27" s="56">
        <f t="shared" si="2"/>
        <v>4</v>
      </c>
      <c r="K27" s="95">
        <f t="shared" si="3"/>
        <v>310</v>
      </c>
      <c r="L27" s="56">
        <v>2</v>
      </c>
      <c r="M27" s="95">
        <f t="shared" si="5"/>
        <v>200</v>
      </c>
      <c r="N27" s="56">
        <v>2</v>
      </c>
      <c r="O27" s="96"/>
    </row>
    <row r="28" spans="1:15">
      <c r="A28" s="91" t="str">
        <f>'1. 소켓인수검사'!A29</f>
        <v>21</v>
      </c>
      <c r="B28" s="92" t="s">
        <v>15</v>
      </c>
      <c r="C28" s="56">
        <f>'1. 소켓인수검사'!C29</f>
        <v>250</v>
      </c>
      <c r="D28" s="56">
        <f>'1. 소켓인수검사'!D29</f>
        <v>200</v>
      </c>
      <c r="E28" s="37"/>
      <c r="F28" s="56">
        <v>1</v>
      </c>
      <c r="G28" s="93">
        <f t="shared" si="4"/>
        <v>245</v>
      </c>
      <c r="H28" s="56">
        <f t="shared" si="0"/>
        <v>4</v>
      </c>
      <c r="I28" s="94">
        <f t="shared" si="1"/>
        <v>170</v>
      </c>
      <c r="J28" s="56">
        <f t="shared" si="2"/>
        <v>4</v>
      </c>
      <c r="K28" s="95">
        <f t="shared" si="3"/>
        <v>310</v>
      </c>
      <c r="L28" s="56">
        <v>2</v>
      </c>
      <c r="M28" s="95">
        <f t="shared" si="5"/>
        <v>200</v>
      </c>
      <c r="N28" s="56">
        <v>2</v>
      </c>
      <c r="O28" s="54"/>
    </row>
    <row r="29" spans="1:15">
      <c r="A29" s="91" t="str">
        <f>'1. 소켓인수검사'!A30</f>
        <v>22</v>
      </c>
      <c r="B29" s="92" t="s">
        <v>15</v>
      </c>
      <c r="C29" s="56">
        <f>'1. 소켓인수검사'!C30</f>
        <v>250</v>
      </c>
      <c r="D29" s="56">
        <f>'1. 소켓인수검사'!D30</f>
        <v>200</v>
      </c>
      <c r="E29" s="37"/>
      <c r="F29" s="56">
        <v>1</v>
      </c>
      <c r="G29" s="93">
        <f t="shared" si="4"/>
        <v>245</v>
      </c>
      <c r="H29" s="56">
        <f t="shared" si="0"/>
        <v>4</v>
      </c>
      <c r="I29" s="94">
        <f t="shared" si="1"/>
        <v>170</v>
      </c>
      <c r="J29" s="56">
        <f t="shared" si="2"/>
        <v>4</v>
      </c>
      <c r="K29" s="95">
        <f t="shared" si="3"/>
        <v>310</v>
      </c>
      <c r="L29" s="56">
        <v>2</v>
      </c>
      <c r="M29" s="95">
        <f t="shared" si="5"/>
        <v>200</v>
      </c>
      <c r="N29" s="56">
        <v>2</v>
      </c>
      <c r="O29" s="96"/>
    </row>
    <row r="30" spans="1:15">
      <c r="A30" s="91" t="str">
        <f>'1. 소켓인수검사'!A31</f>
        <v>23</v>
      </c>
      <c r="B30" s="92" t="s">
        <v>15</v>
      </c>
      <c r="C30" s="56">
        <f>'1. 소켓인수검사'!C31</f>
        <v>250</v>
      </c>
      <c r="D30" s="56">
        <f>'1. 소켓인수검사'!D31</f>
        <v>200</v>
      </c>
      <c r="E30" s="37"/>
      <c r="F30" s="56">
        <v>1</v>
      </c>
      <c r="G30" s="93">
        <f t="shared" si="4"/>
        <v>245</v>
      </c>
      <c r="H30" s="56">
        <f t="shared" si="0"/>
        <v>4</v>
      </c>
      <c r="I30" s="94">
        <f t="shared" si="1"/>
        <v>170</v>
      </c>
      <c r="J30" s="56">
        <f t="shared" si="2"/>
        <v>4</v>
      </c>
      <c r="K30" s="95">
        <f t="shared" si="3"/>
        <v>310</v>
      </c>
      <c r="L30" s="56">
        <v>2</v>
      </c>
      <c r="M30" s="95">
        <f t="shared" si="5"/>
        <v>200</v>
      </c>
      <c r="N30" s="56">
        <v>2</v>
      </c>
      <c r="O30" s="96"/>
    </row>
    <row r="31" spans="1:15">
      <c r="A31" s="91" t="str">
        <f>'1. 소켓인수검사'!A32</f>
        <v>24</v>
      </c>
      <c r="B31" s="92" t="s">
        <v>15</v>
      </c>
      <c r="C31" s="56">
        <f>'1. 소켓인수검사'!C32</f>
        <v>300</v>
      </c>
      <c r="D31" s="56">
        <f>'1. 소켓인수검사'!D32</f>
        <v>250</v>
      </c>
      <c r="E31" s="37"/>
      <c r="F31" s="56">
        <v>1</v>
      </c>
      <c r="G31" s="93">
        <f t="shared" si="4"/>
        <v>295</v>
      </c>
      <c r="H31" s="56">
        <f t="shared" si="0"/>
        <v>4</v>
      </c>
      <c r="I31" s="94">
        <f t="shared" si="1"/>
        <v>220</v>
      </c>
      <c r="J31" s="56">
        <f t="shared" si="2"/>
        <v>4</v>
      </c>
      <c r="K31" s="95">
        <f t="shared" si="3"/>
        <v>360</v>
      </c>
      <c r="L31" s="56">
        <v>2</v>
      </c>
      <c r="M31" s="95">
        <f t="shared" si="5"/>
        <v>250</v>
      </c>
      <c r="N31" s="56">
        <v>2</v>
      </c>
      <c r="O31" s="96"/>
    </row>
    <row r="32" spans="1:15">
      <c r="A32" s="91" t="str">
        <f>'1. 소켓인수검사'!A33</f>
        <v>25</v>
      </c>
      <c r="B32" s="92" t="s">
        <v>15</v>
      </c>
      <c r="C32" s="56">
        <f>'1. 소켓인수검사'!C33</f>
        <v>350</v>
      </c>
      <c r="D32" s="56">
        <f>'1. 소켓인수검사'!D33</f>
        <v>200</v>
      </c>
      <c r="E32" s="37"/>
      <c r="F32" s="56">
        <v>1</v>
      </c>
      <c r="G32" s="93">
        <f t="shared" si="4"/>
        <v>345</v>
      </c>
      <c r="H32" s="56">
        <f t="shared" si="0"/>
        <v>4</v>
      </c>
      <c r="I32" s="94">
        <f t="shared" si="1"/>
        <v>170</v>
      </c>
      <c r="J32" s="56">
        <f t="shared" si="2"/>
        <v>4</v>
      </c>
      <c r="K32" s="95">
        <f t="shared" si="3"/>
        <v>410</v>
      </c>
      <c r="L32" s="56">
        <v>2</v>
      </c>
      <c r="M32" s="95">
        <f t="shared" si="5"/>
        <v>200</v>
      </c>
      <c r="N32" s="56">
        <v>2</v>
      </c>
      <c r="O32" s="96"/>
    </row>
    <row r="33" spans="1:15">
      <c r="A33" s="91" t="str">
        <f>'1. 소켓인수검사'!A34</f>
        <v>26</v>
      </c>
      <c r="B33" s="92" t="s">
        <v>15</v>
      </c>
      <c r="C33" s="56">
        <f>'1. 소켓인수검사'!C34</f>
        <v>350</v>
      </c>
      <c r="D33" s="56">
        <f>'1. 소켓인수검사'!D34</f>
        <v>200</v>
      </c>
      <c r="E33" s="37"/>
      <c r="F33" s="56">
        <v>1</v>
      </c>
      <c r="G33" s="93">
        <f t="shared" si="4"/>
        <v>345</v>
      </c>
      <c r="H33" s="56">
        <f t="shared" si="0"/>
        <v>4</v>
      </c>
      <c r="I33" s="94">
        <f t="shared" si="1"/>
        <v>170</v>
      </c>
      <c r="J33" s="56">
        <f t="shared" si="2"/>
        <v>4</v>
      </c>
      <c r="K33" s="95">
        <f t="shared" si="3"/>
        <v>410</v>
      </c>
      <c r="L33" s="56">
        <v>2</v>
      </c>
      <c r="M33" s="95">
        <f t="shared" si="5"/>
        <v>200</v>
      </c>
      <c r="N33" s="56">
        <v>2</v>
      </c>
      <c r="O33" s="96"/>
    </row>
    <row r="34" spans="1:15">
      <c r="A34" s="91" t="str">
        <f>'1. 소켓인수검사'!A35</f>
        <v>27</v>
      </c>
      <c r="B34" s="92" t="s">
        <v>15</v>
      </c>
      <c r="C34" s="56">
        <f>'1. 소켓인수검사'!C35</f>
        <v>350</v>
      </c>
      <c r="D34" s="56">
        <f>'1. 소켓인수검사'!D35</f>
        <v>250</v>
      </c>
      <c r="E34" s="37"/>
      <c r="F34" s="56">
        <v>1</v>
      </c>
      <c r="G34" s="93">
        <f t="shared" si="4"/>
        <v>345</v>
      </c>
      <c r="H34" s="56">
        <f t="shared" si="0"/>
        <v>4</v>
      </c>
      <c r="I34" s="94">
        <f t="shared" si="1"/>
        <v>220</v>
      </c>
      <c r="J34" s="56">
        <f t="shared" si="2"/>
        <v>4</v>
      </c>
      <c r="K34" s="95">
        <f t="shared" si="3"/>
        <v>410</v>
      </c>
      <c r="L34" s="56">
        <v>2</v>
      </c>
      <c r="M34" s="95">
        <f t="shared" si="5"/>
        <v>250</v>
      </c>
      <c r="N34" s="56">
        <v>2</v>
      </c>
      <c r="O34" s="96"/>
    </row>
    <row r="35" spans="1:15">
      <c r="A35" s="91" t="str">
        <f>'1. 소켓인수검사'!A36</f>
        <v>28</v>
      </c>
      <c r="B35" s="92" t="s">
        <v>15</v>
      </c>
      <c r="C35" s="56">
        <f>'1. 소켓인수검사'!C36</f>
        <v>400</v>
      </c>
      <c r="D35" s="56">
        <f>'1. 소켓인수검사'!D36</f>
        <v>300</v>
      </c>
      <c r="E35" s="37"/>
      <c r="F35" s="56">
        <v>1</v>
      </c>
      <c r="G35" s="93">
        <f t="shared" si="4"/>
        <v>395</v>
      </c>
      <c r="H35" s="56">
        <f t="shared" si="0"/>
        <v>4</v>
      </c>
      <c r="I35" s="94">
        <f t="shared" si="1"/>
        <v>270</v>
      </c>
      <c r="J35" s="56">
        <f t="shared" si="2"/>
        <v>4</v>
      </c>
      <c r="K35" s="95">
        <f t="shared" si="3"/>
        <v>460</v>
      </c>
      <c r="L35" s="56">
        <v>2</v>
      </c>
      <c r="M35" s="95">
        <f t="shared" si="5"/>
        <v>300</v>
      </c>
      <c r="N35" s="56">
        <v>2</v>
      </c>
      <c r="O35" s="96"/>
    </row>
    <row r="36" spans="1:15">
      <c r="A36" s="91" t="str">
        <f>'1. 소켓인수검사'!A37</f>
        <v>29</v>
      </c>
      <c r="B36" s="92" t="s">
        <v>15</v>
      </c>
      <c r="C36" s="56">
        <f>'1. 소켓인수검사'!C37</f>
        <v>400</v>
      </c>
      <c r="D36" s="56">
        <f>'1. 소켓인수검사'!D37</f>
        <v>300</v>
      </c>
      <c r="E36" s="37"/>
      <c r="F36" s="56">
        <v>1</v>
      </c>
      <c r="G36" s="93">
        <f t="shared" si="4"/>
        <v>395</v>
      </c>
      <c r="H36" s="56">
        <f t="shared" si="0"/>
        <v>4</v>
      </c>
      <c r="I36" s="94">
        <f t="shared" si="1"/>
        <v>270</v>
      </c>
      <c r="J36" s="56">
        <f t="shared" si="2"/>
        <v>4</v>
      </c>
      <c r="K36" s="95">
        <f t="shared" si="3"/>
        <v>460</v>
      </c>
      <c r="L36" s="56">
        <v>2</v>
      </c>
      <c r="M36" s="95">
        <f t="shared" si="5"/>
        <v>300</v>
      </c>
      <c r="N36" s="56">
        <v>2</v>
      </c>
      <c r="O36" s="96"/>
    </row>
    <row r="37" spans="1:15">
      <c r="A37" s="91" t="str">
        <f>'1. 소켓인수검사'!A38</f>
        <v>30</v>
      </c>
      <c r="B37" s="92" t="s">
        <v>15</v>
      </c>
      <c r="C37" s="56">
        <f>'1. 소켓인수검사'!C38</f>
        <v>400</v>
      </c>
      <c r="D37" s="56">
        <f>'1. 소켓인수검사'!D38</f>
        <v>300</v>
      </c>
      <c r="E37" s="37"/>
      <c r="F37" s="56">
        <v>1</v>
      </c>
      <c r="G37" s="93">
        <f t="shared" si="4"/>
        <v>395</v>
      </c>
      <c r="H37" s="56">
        <f t="shared" si="0"/>
        <v>4</v>
      </c>
      <c r="I37" s="94">
        <f t="shared" si="1"/>
        <v>270</v>
      </c>
      <c r="J37" s="56">
        <f t="shared" si="2"/>
        <v>4</v>
      </c>
      <c r="K37" s="95">
        <f t="shared" si="3"/>
        <v>460</v>
      </c>
      <c r="L37" s="56">
        <v>2</v>
      </c>
      <c r="M37" s="95">
        <f t="shared" si="5"/>
        <v>300</v>
      </c>
      <c r="N37" s="56">
        <v>2</v>
      </c>
      <c r="O37" s="96"/>
    </row>
    <row r="38" spans="1:15">
      <c r="A38" s="91" t="str">
        <f>'1. 소켓인수검사'!A39</f>
        <v>31</v>
      </c>
      <c r="B38" s="92" t="s">
        <v>15</v>
      </c>
      <c r="C38" s="56">
        <f>'1. 소켓인수검사'!C39</f>
        <v>400</v>
      </c>
      <c r="D38" s="56">
        <f>'1. 소켓인수검사'!D39</f>
        <v>300</v>
      </c>
      <c r="E38" s="37"/>
      <c r="F38" s="56">
        <v>1</v>
      </c>
      <c r="G38" s="93">
        <f t="shared" si="4"/>
        <v>395</v>
      </c>
      <c r="H38" s="56">
        <f t="shared" si="0"/>
        <v>4</v>
      </c>
      <c r="I38" s="94">
        <f t="shared" si="1"/>
        <v>270</v>
      </c>
      <c r="J38" s="56">
        <f t="shared" si="2"/>
        <v>4</v>
      </c>
      <c r="K38" s="95">
        <f t="shared" si="3"/>
        <v>460</v>
      </c>
      <c r="L38" s="56">
        <v>2</v>
      </c>
      <c r="M38" s="95">
        <f t="shared" si="5"/>
        <v>300</v>
      </c>
      <c r="N38" s="56">
        <v>2</v>
      </c>
      <c r="O38" s="96"/>
    </row>
    <row r="39" spans="1:15">
      <c r="A39" s="91" t="str">
        <f>'1. 소켓인수검사'!A40</f>
        <v>32</v>
      </c>
      <c r="B39" s="92" t="s">
        <v>15</v>
      </c>
      <c r="C39" s="56">
        <f>'1. 소켓인수검사'!C40</f>
        <v>400</v>
      </c>
      <c r="D39" s="56">
        <f>'1. 소켓인수검사'!D40</f>
        <v>300</v>
      </c>
      <c r="E39" s="37"/>
      <c r="F39" s="56">
        <v>1</v>
      </c>
      <c r="G39" s="93">
        <f t="shared" si="4"/>
        <v>395</v>
      </c>
      <c r="H39" s="56">
        <f t="shared" si="0"/>
        <v>4</v>
      </c>
      <c r="I39" s="94">
        <f t="shared" si="1"/>
        <v>270</v>
      </c>
      <c r="J39" s="56">
        <f t="shared" si="2"/>
        <v>4</v>
      </c>
      <c r="K39" s="95">
        <f t="shared" si="3"/>
        <v>460</v>
      </c>
      <c r="L39" s="56">
        <v>2</v>
      </c>
      <c r="M39" s="95">
        <f t="shared" si="5"/>
        <v>300</v>
      </c>
      <c r="N39" s="56">
        <v>2</v>
      </c>
      <c r="O39" s="96"/>
    </row>
    <row r="40" spans="1:15">
      <c r="A40" s="91" t="str">
        <f>'1. 소켓인수검사'!A41</f>
        <v>33</v>
      </c>
      <c r="B40" s="92" t="s">
        <v>15</v>
      </c>
      <c r="C40" s="56">
        <f>'1. 소켓인수검사'!C41</f>
        <v>500</v>
      </c>
      <c r="D40" s="56">
        <f>'1. 소켓인수검사'!D41</f>
        <v>300</v>
      </c>
      <c r="E40" s="37"/>
      <c r="F40" s="56">
        <v>1</v>
      </c>
      <c r="G40" s="93">
        <f t="shared" si="4"/>
        <v>495</v>
      </c>
      <c r="H40" s="56">
        <f t="shared" si="0"/>
        <v>4</v>
      </c>
      <c r="I40" s="94">
        <f t="shared" si="1"/>
        <v>270</v>
      </c>
      <c r="J40" s="56">
        <f t="shared" si="2"/>
        <v>4</v>
      </c>
      <c r="K40" s="95">
        <f t="shared" si="3"/>
        <v>560</v>
      </c>
      <c r="L40" s="56">
        <v>2</v>
      </c>
      <c r="M40" s="95">
        <f t="shared" si="5"/>
        <v>300</v>
      </c>
      <c r="N40" s="56">
        <v>2</v>
      </c>
      <c r="O40" s="96"/>
    </row>
    <row r="41" spans="1:15">
      <c r="A41" s="91" t="str">
        <f>'1. 소켓인수검사'!A42</f>
        <v>34</v>
      </c>
      <c r="B41" s="92" t="s">
        <v>15</v>
      </c>
      <c r="C41" s="56">
        <f>'1. 소켓인수검사'!C42</f>
        <v>500</v>
      </c>
      <c r="D41" s="56">
        <f>'1. 소켓인수검사'!D42</f>
        <v>300</v>
      </c>
      <c r="E41" s="37"/>
      <c r="F41" s="56">
        <v>1</v>
      </c>
      <c r="G41" s="93">
        <f t="shared" si="4"/>
        <v>495</v>
      </c>
      <c r="H41" s="56">
        <f t="shared" si="0"/>
        <v>4</v>
      </c>
      <c r="I41" s="94">
        <f t="shared" si="1"/>
        <v>270</v>
      </c>
      <c r="J41" s="56">
        <f t="shared" si="2"/>
        <v>4</v>
      </c>
      <c r="K41" s="95">
        <f t="shared" si="3"/>
        <v>560</v>
      </c>
      <c r="L41" s="56">
        <v>2</v>
      </c>
      <c r="M41" s="95">
        <f t="shared" si="5"/>
        <v>300</v>
      </c>
      <c r="N41" s="56">
        <v>2</v>
      </c>
      <c r="O41" s="96"/>
    </row>
    <row r="42" spans="1:15">
      <c r="A42" s="91" t="str">
        <f>'1. 소켓인수검사'!A43</f>
        <v>35</v>
      </c>
      <c r="B42" s="92" t="s">
        <v>15</v>
      </c>
      <c r="C42" s="56">
        <f>'1. 소켓인수검사'!C43</f>
        <v>500</v>
      </c>
      <c r="D42" s="56">
        <f>'1. 소켓인수검사'!D43</f>
        <v>300</v>
      </c>
      <c r="E42" s="37"/>
      <c r="F42" s="56">
        <v>1</v>
      </c>
      <c r="G42" s="93">
        <f t="shared" si="4"/>
        <v>495</v>
      </c>
      <c r="H42" s="56">
        <f t="shared" si="0"/>
        <v>4</v>
      </c>
      <c r="I42" s="94">
        <f t="shared" si="1"/>
        <v>270</v>
      </c>
      <c r="J42" s="56">
        <f t="shared" si="2"/>
        <v>4</v>
      </c>
      <c r="K42" s="95">
        <f t="shared" si="3"/>
        <v>560</v>
      </c>
      <c r="L42" s="56">
        <v>2</v>
      </c>
      <c r="M42" s="95">
        <f t="shared" si="5"/>
        <v>300</v>
      </c>
      <c r="N42" s="56">
        <v>2</v>
      </c>
      <c r="O42" s="96"/>
    </row>
    <row r="43" spans="1:15">
      <c r="A43" s="91" t="str">
        <f>'1. 소켓인수검사'!A44</f>
        <v>36</v>
      </c>
      <c r="B43" s="92" t="s">
        <v>15</v>
      </c>
      <c r="C43" s="56">
        <f>'1. 소켓인수검사'!C44</f>
        <v>500</v>
      </c>
      <c r="D43" s="56">
        <f>'1. 소켓인수검사'!D44</f>
        <v>300</v>
      </c>
      <c r="E43" s="37"/>
      <c r="F43" s="56">
        <v>1</v>
      </c>
      <c r="G43" s="93">
        <f t="shared" si="4"/>
        <v>495</v>
      </c>
      <c r="H43" s="56">
        <f t="shared" si="0"/>
        <v>4</v>
      </c>
      <c r="I43" s="94">
        <f t="shared" si="1"/>
        <v>270</v>
      </c>
      <c r="J43" s="56">
        <f t="shared" si="2"/>
        <v>4</v>
      </c>
      <c r="K43" s="95">
        <f t="shared" si="3"/>
        <v>560</v>
      </c>
      <c r="L43" s="56">
        <v>2</v>
      </c>
      <c r="M43" s="95">
        <f t="shared" si="5"/>
        <v>300</v>
      </c>
      <c r="N43" s="56">
        <v>2</v>
      </c>
      <c r="O43" s="96"/>
    </row>
    <row r="44" spans="1:15">
      <c r="A44" s="91" t="str">
        <f>'1. 소켓인수검사'!A45</f>
        <v>37</v>
      </c>
      <c r="B44" s="92" t="s">
        <v>15</v>
      </c>
      <c r="C44" s="56">
        <f>'1. 소켓인수검사'!C45</f>
        <v>500</v>
      </c>
      <c r="D44" s="56">
        <f>'1. 소켓인수검사'!D45</f>
        <v>400</v>
      </c>
      <c r="E44" s="37"/>
      <c r="F44" s="56">
        <v>1</v>
      </c>
      <c r="G44" s="93">
        <f t="shared" si="4"/>
        <v>495</v>
      </c>
      <c r="H44" s="56">
        <f t="shared" si="0"/>
        <v>4</v>
      </c>
      <c r="I44" s="94">
        <f t="shared" si="1"/>
        <v>370</v>
      </c>
      <c r="J44" s="56">
        <f t="shared" si="2"/>
        <v>4</v>
      </c>
      <c r="K44" s="95">
        <f t="shared" si="3"/>
        <v>560</v>
      </c>
      <c r="L44" s="56">
        <v>2</v>
      </c>
      <c r="M44" s="95">
        <f t="shared" si="5"/>
        <v>400</v>
      </c>
      <c r="N44" s="56">
        <v>2</v>
      </c>
      <c r="O44" s="96"/>
    </row>
    <row r="45" spans="1:15">
      <c r="A45" s="91" t="str">
        <f>'1. 소켓인수검사'!A46</f>
        <v>38</v>
      </c>
      <c r="B45" s="92" t="s">
        <v>15</v>
      </c>
      <c r="C45" s="56">
        <f>'1. 소켓인수검사'!C46</f>
        <v>500</v>
      </c>
      <c r="D45" s="56">
        <f>'1. 소켓인수검사'!D46</f>
        <v>400</v>
      </c>
      <c r="E45" s="37"/>
      <c r="F45" s="56">
        <v>1</v>
      </c>
      <c r="G45" s="93">
        <f t="shared" si="4"/>
        <v>495</v>
      </c>
      <c r="H45" s="56">
        <f t="shared" si="0"/>
        <v>4</v>
      </c>
      <c r="I45" s="94">
        <f t="shared" si="1"/>
        <v>370</v>
      </c>
      <c r="J45" s="56">
        <f t="shared" si="2"/>
        <v>4</v>
      </c>
      <c r="K45" s="95">
        <f t="shared" si="3"/>
        <v>560</v>
      </c>
      <c r="L45" s="56">
        <v>2</v>
      </c>
      <c r="M45" s="95">
        <f t="shared" si="5"/>
        <v>400</v>
      </c>
      <c r="N45" s="56">
        <v>2</v>
      </c>
      <c r="O45" s="96"/>
    </row>
    <row r="46" spans="1:15">
      <c r="A46" s="91" t="str">
        <f>'1. 소켓인수검사'!A47</f>
        <v>39</v>
      </c>
      <c r="B46" s="92" t="s">
        <v>15</v>
      </c>
      <c r="C46" s="56">
        <f>'1. 소켓인수검사'!C47</f>
        <v>500</v>
      </c>
      <c r="D46" s="56">
        <f>'1. 소켓인수검사'!D47</f>
        <v>400</v>
      </c>
      <c r="E46" s="37"/>
      <c r="F46" s="56">
        <v>1</v>
      </c>
      <c r="G46" s="93">
        <f t="shared" si="4"/>
        <v>495</v>
      </c>
      <c r="H46" s="56">
        <f t="shared" si="0"/>
        <v>4</v>
      </c>
      <c r="I46" s="94">
        <f t="shared" si="1"/>
        <v>370</v>
      </c>
      <c r="J46" s="56">
        <f t="shared" si="2"/>
        <v>4</v>
      </c>
      <c r="K46" s="95">
        <f t="shared" si="3"/>
        <v>560</v>
      </c>
      <c r="L46" s="56">
        <v>2</v>
      </c>
      <c r="M46" s="95">
        <f t="shared" si="5"/>
        <v>400</v>
      </c>
      <c r="N46" s="56">
        <v>2</v>
      </c>
      <c r="O46" s="96"/>
    </row>
    <row r="47" spans="1:15">
      <c r="A47" s="91" t="str">
        <f>'1. 소켓인수검사'!A48</f>
        <v>40</v>
      </c>
      <c r="B47" s="92" t="s">
        <v>15</v>
      </c>
      <c r="C47" s="56">
        <f>'1. 소켓인수검사'!C48</f>
        <v>500</v>
      </c>
      <c r="D47" s="56">
        <f>'1. 소켓인수검사'!D48</f>
        <v>500</v>
      </c>
      <c r="E47" s="37"/>
      <c r="F47" s="56">
        <v>1</v>
      </c>
      <c r="G47" s="93">
        <f t="shared" si="4"/>
        <v>495</v>
      </c>
      <c r="H47" s="56">
        <f t="shared" si="0"/>
        <v>4</v>
      </c>
      <c r="I47" s="94">
        <f t="shared" si="1"/>
        <v>470</v>
      </c>
      <c r="J47" s="56">
        <f t="shared" si="2"/>
        <v>4</v>
      </c>
      <c r="K47" s="95">
        <f t="shared" si="3"/>
        <v>560</v>
      </c>
      <c r="L47" s="56">
        <v>2</v>
      </c>
      <c r="M47" s="95">
        <f t="shared" si="5"/>
        <v>500</v>
      </c>
      <c r="N47" s="56">
        <v>2</v>
      </c>
      <c r="O47" s="96"/>
    </row>
    <row r="48" spans="1:15">
      <c r="A48" s="91" t="str">
        <f>'1. 소켓인수검사'!A49</f>
        <v>41</v>
      </c>
      <c r="B48" s="92" t="s">
        <v>15</v>
      </c>
      <c r="C48" s="56">
        <f>'1. 소켓인수검사'!C49</f>
        <v>500</v>
      </c>
      <c r="D48" s="56">
        <f>'1. 소켓인수검사'!D49</f>
        <v>500</v>
      </c>
      <c r="E48" s="37"/>
      <c r="F48" s="56">
        <v>1</v>
      </c>
      <c r="G48" s="93">
        <f t="shared" si="4"/>
        <v>495</v>
      </c>
      <c r="H48" s="56">
        <f t="shared" si="0"/>
        <v>4</v>
      </c>
      <c r="I48" s="94">
        <f t="shared" si="1"/>
        <v>470</v>
      </c>
      <c r="J48" s="56">
        <f t="shared" si="2"/>
        <v>4</v>
      </c>
      <c r="K48" s="95">
        <f t="shared" si="3"/>
        <v>560</v>
      </c>
      <c r="L48" s="56">
        <v>2</v>
      </c>
      <c r="M48" s="95">
        <f t="shared" si="5"/>
        <v>500</v>
      </c>
      <c r="N48" s="56">
        <v>2</v>
      </c>
      <c r="O48" s="54"/>
    </row>
    <row r="49" spans="1:15">
      <c r="A49" s="91" t="str">
        <f>'1. 소켓인수검사'!A50</f>
        <v>42</v>
      </c>
      <c r="B49" s="92" t="s">
        <v>15</v>
      </c>
      <c r="C49" s="56">
        <f>'1. 소켓인수검사'!C50</f>
        <v>500</v>
      </c>
      <c r="D49" s="56">
        <f>'1. 소켓인수검사'!D50</f>
        <v>500</v>
      </c>
      <c r="E49" s="37"/>
      <c r="F49" s="56">
        <v>1</v>
      </c>
      <c r="G49" s="93">
        <f t="shared" si="4"/>
        <v>495</v>
      </c>
      <c r="H49" s="56">
        <f t="shared" si="0"/>
        <v>4</v>
      </c>
      <c r="I49" s="94">
        <f t="shared" si="1"/>
        <v>470</v>
      </c>
      <c r="J49" s="56">
        <f t="shared" si="2"/>
        <v>4</v>
      </c>
      <c r="K49" s="95">
        <f t="shared" si="3"/>
        <v>560</v>
      </c>
      <c r="L49" s="56">
        <v>2</v>
      </c>
      <c r="M49" s="95">
        <f t="shared" si="5"/>
        <v>500</v>
      </c>
      <c r="N49" s="56">
        <v>2</v>
      </c>
      <c r="O49" s="96"/>
    </row>
    <row r="50" spans="1:15">
      <c r="A50" s="91" t="str">
        <f>'1. 소켓인수검사'!A51</f>
        <v>43</v>
      </c>
      <c r="B50" s="92" t="s">
        <v>15</v>
      </c>
      <c r="C50" s="56">
        <f>'1. 소켓인수검사'!C51</f>
        <v>500</v>
      </c>
      <c r="D50" s="56">
        <f>'1. 소켓인수검사'!D51</f>
        <v>500</v>
      </c>
      <c r="E50" s="37"/>
      <c r="F50" s="56">
        <v>1</v>
      </c>
      <c r="G50" s="93">
        <f t="shared" si="4"/>
        <v>495</v>
      </c>
      <c r="H50" s="56">
        <f t="shared" si="0"/>
        <v>4</v>
      </c>
      <c r="I50" s="94">
        <f t="shared" si="1"/>
        <v>470</v>
      </c>
      <c r="J50" s="56">
        <f t="shared" si="2"/>
        <v>4</v>
      </c>
      <c r="K50" s="95">
        <f t="shared" si="3"/>
        <v>560</v>
      </c>
      <c r="L50" s="56">
        <v>2</v>
      </c>
      <c r="M50" s="95">
        <f t="shared" si="5"/>
        <v>500</v>
      </c>
      <c r="N50" s="56">
        <v>2</v>
      </c>
      <c r="O50" s="96"/>
    </row>
    <row r="51" spans="1:15">
      <c r="A51" s="91" t="str">
        <f>'1. 소켓인수검사'!A52</f>
        <v>44</v>
      </c>
      <c r="B51" s="92" t="s">
        <v>15</v>
      </c>
      <c r="C51" s="56">
        <f>'1. 소켓인수검사'!C52</f>
        <v>600</v>
      </c>
      <c r="D51" s="56">
        <f>'1. 소켓인수검사'!D52</f>
        <v>300</v>
      </c>
      <c r="E51" s="37"/>
      <c r="F51" s="56">
        <v>1</v>
      </c>
      <c r="G51" s="93">
        <f t="shared" si="4"/>
        <v>595</v>
      </c>
      <c r="H51" s="56">
        <f t="shared" si="0"/>
        <v>4</v>
      </c>
      <c r="I51" s="94">
        <f t="shared" si="1"/>
        <v>270</v>
      </c>
      <c r="J51" s="56">
        <f t="shared" si="2"/>
        <v>4</v>
      </c>
      <c r="K51" s="95">
        <f t="shared" si="3"/>
        <v>660</v>
      </c>
      <c r="L51" s="56">
        <v>2</v>
      </c>
      <c r="M51" s="95">
        <f t="shared" si="5"/>
        <v>300</v>
      </c>
      <c r="N51" s="56">
        <v>2</v>
      </c>
      <c r="O51" s="96"/>
    </row>
    <row r="52" spans="1:15">
      <c r="A52" s="91" t="str">
        <f>'1. 소켓인수검사'!A53</f>
        <v>45</v>
      </c>
      <c r="B52" s="92" t="s">
        <v>15</v>
      </c>
      <c r="C52" s="56">
        <f>'1. 소켓인수검사'!C53</f>
        <v>600</v>
      </c>
      <c r="D52" s="56">
        <f>'1. 소켓인수검사'!D53</f>
        <v>350</v>
      </c>
      <c r="E52" s="37"/>
      <c r="F52" s="56">
        <v>1</v>
      </c>
      <c r="G52" s="93">
        <f t="shared" si="4"/>
        <v>595</v>
      </c>
      <c r="H52" s="56">
        <f t="shared" si="0"/>
        <v>4</v>
      </c>
      <c r="I52" s="94">
        <f t="shared" si="1"/>
        <v>320</v>
      </c>
      <c r="J52" s="56">
        <f t="shared" si="2"/>
        <v>4</v>
      </c>
      <c r="K52" s="95">
        <f t="shared" si="3"/>
        <v>660</v>
      </c>
      <c r="L52" s="56">
        <v>2</v>
      </c>
      <c r="M52" s="95">
        <f t="shared" si="5"/>
        <v>350</v>
      </c>
      <c r="N52" s="56">
        <v>2</v>
      </c>
      <c r="O52" s="96"/>
    </row>
    <row r="53" spans="1:15">
      <c r="A53" s="91" t="str">
        <f>'1. 소켓인수검사'!A54</f>
        <v>46</v>
      </c>
      <c r="B53" s="92" t="s">
        <v>15</v>
      </c>
      <c r="C53" s="56">
        <f>'1. 소켓인수검사'!C54</f>
        <v>600</v>
      </c>
      <c r="D53" s="56">
        <f>'1. 소켓인수검사'!D54</f>
        <v>350</v>
      </c>
      <c r="E53" s="37"/>
      <c r="F53" s="56">
        <v>1</v>
      </c>
      <c r="G53" s="93">
        <f t="shared" si="4"/>
        <v>595</v>
      </c>
      <c r="H53" s="56">
        <f t="shared" si="0"/>
        <v>4</v>
      </c>
      <c r="I53" s="94">
        <f t="shared" si="1"/>
        <v>320</v>
      </c>
      <c r="J53" s="56">
        <f t="shared" si="2"/>
        <v>4</v>
      </c>
      <c r="K53" s="95">
        <f t="shared" si="3"/>
        <v>660</v>
      </c>
      <c r="L53" s="56">
        <v>2</v>
      </c>
      <c r="M53" s="95">
        <f t="shared" si="5"/>
        <v>350</v>
      </c>
      <c r="N53" s="56">
        <v>2</v>
      </c>
      <c r="O53" s="96"/>
    </row>
    <row r="54" spans="1:15">
      <c r="A54" s="91" t="str">
        <f>'1. 소켓인수검사'!A55</f>
        <v>47</v>
      </c>
      <c r="B54" s="92" t="s">
        <v>15</v>
      </c>
      <c r="C54" s="56">
        <f>'1. 소켓인수검사'!C55</f>
        <v>600</v>
      </c>
      <c r="D54" s="56">
        <f>'1. 소켓인수검사'!D55</f>
        <v>400</v>
      </c>
      <c r="E54" s="37"/>
      <c r="F54" s="56">
        <v>1</v>
      </c>
      <c r="G54" s="93">
        <f t="shared" si="4"/>
        <v>595</v>
      </c>
      <c r="H54" s="56">
        <f t="shared" si="0"/>
        <v>4</v>
      </c>
      <c r="I54" s="94">
        <f t="shared" si="1"/>
        <v>370</v>
      </c>
      <c r="J54" s="56">
        <f t="shared" si="2"/>
        <v>4</v>
      </c>
      <c r="K54" s="95">
        <f t="shared" si="3"/>
        <v>660</v>
      </c>
      <c r="L54" s="56">
        <v>2</v>
      </c>
      <c r="M54" s="95">
        <f t="shared" si="5"/>
        <v>400</v>
      </c>
      <c r="N54" s="56">
        <v>2</v>
      </c>
      <c r="O54" s="96"/>
    </row>
    <row r="55" spans="1:15">
      <c r="A55" s="91" t="str">
        <f>'1. 소켓인수검사'!A56</f>
        <v>48</v>
      </c>
      <c r="B55" s="92" t="s">
        <v>15</v>
      </c>
      <c r="C55" s="56">
        <f>'1. 소켓인수검사'!C56</f>
        <v>600</v>
      </c>
      <c r="D55" s="56">
        <f>'1. 소켓인수검사'!D56</f>
        <v>400</v>
      </c>
      <c r="E55" s="37"/>
      <c r="F55" s="56">
        <v>1</v>
      </c>
      <c r="G55" s="93">
        <f t="shared" si="4"/>
        <v>595</v>
      </c>
      <c r="H55" s="56">
        <f t="shared" si="0"/>
        <v>4</v>
      </c>
      <c r="I55" s="94">
        <f t="shared" si="1"/>
        <v>370</v>
      </c>
      <c r="J55" s="56">
        <f t="shared" si="2"/>
        <v>4</v>
      </c>
      <c r="K55" s="95">
        <f t="shared" si="3"/>
        <v>660</v>
      </c>
      <c r="L55" s="56">
        <v>2</v>
      </c>
      <c r="M55" s="95">
        <f t="shared" si="5"/>
        <v>400</v>
      </c>
      <c r="N55" s="56">
        <v>2</v>
      </c>
      <c r="O55" s="96"/>
    </row>
    <row r="56" spans="1:15">
      <c r="A56" s="91" t="str">
        <f>'1. 소켓인수검사'!A57</f>
        <v>49</v>
      </c>
      <c r="B56" s="92" t="s">
        <v>15</v>
      </c>
      <c r="C56" s="56">
        <f>'1. 소켓인수검사'!C57</f>
        <v>600</v>
      </c>
      <c r="D56" s="56">
        <f>'1. 소켓인수검사'!D57</f>
        <v>500</v>
      </c>
      <c r="E56" s="37"/>
      <c r="F56" s="56">
        <v>1</v>
      </c>
      <c r="G56" s="93">
        <f t="shared" si="4"/>
        <v>595</v>
      </c>
      <c r="H56" s="56">
        <f t="shared" si="0"/>
        <v>4</v>
      </c>
      <c r="I56" s="94">
        <f t="shared" si="1"/>
        <v>470</v>
      </c>
      <c r="J56" s="56">
        <f t="shared" si="2"/>
        <v>4</v>
      </c>
      <c r="K56" s="95">
        <f t="shared" si="3"/>
        <v>660</v>
      </c>
      <c r="L56" s="56">
        <v>2</v>
      </c>
      <c r="M56" s="95">
        <f t="shared" si="5"/>
        <v>500</v>
      </c>
      <c r="N56" s="56">
        <v>2</v>
      </c>
      <c r="O56" s="96"/>
    </row>
    <row r="57" spans="1:15">
      <c r="A57" s="91" t="str">
        <f>'1. 소켓인수검사'!A58</f>
        <v>50</v>
      </c>
      <c r="B57" s="92" t="s">
        <v>15</v>
      </c>
      <c r="C57" s="56">
        <f>'1. 소켓인수검사'!C58</f>
        <v>600</v>
      </c>
      <c r="D57" s="56">
        <f>'1. 소켓인수검사'!D58</f>
        <v>500</v>
      </c>
      <c r="E57" s="37"/>
      <c r="F57" s="56">
        <v>1</v>
      </c>
      <c r="G57" s="93">
        <f t="shared" si="4"/>
        <v>595</v>
      </c>
      <c r="H57" s="56">
        <f t="shared" si="0"/>
        <v>4</v>
      </c>
      <c r="I57" s="94">
        <f t="shared" si="1"/>
        <v>470</v>
      </c>
      <c r="J57" s="56">
        <f t="shared" si="2"/>
        <v>4</v>
      </c>
      <c r="K57" s="95">
        <f t="shared" si="3"/>
        <v>660</v>
      </c>
      <c r="L57" s="56">
        <v>2</v>
      </c>
      <c r="M57" s="95">
        <f t="shared" si="5"/>
        <v>500</v>
      </c>
      <c r="N57" s="56">
        <v>2</v>
      </c>
      <c r="O57" s="96"/>
    </row>
    <row r="58" spans="1:15">
      <c r="A58" s="91" t="str">
        <f>'1. 소켓인수검사'!A59</f>
        <v>51</v>
      </c>
      <c r="B58" s="92" t="s">
        <v>15</v>
      </c>
      <c r="C58" s="56">
        <f>'1. 소켓인수검사'!C59</f>
        <v>600</v>
      </c>
      <c r="D58" s="56">
        <f>'1. 소켓인수검사'!D59</f>
        <v>500</v>
      </c>
      <c r="E58" s="37"/>
      <c r="F58" s="56">
        <v>1</v>
      </c>
      <c r="G58" s="93">
        <f t="shared" si="4"/>
        <v>595</v>
      </c>
      <c r="H58" s="56">
        <f t="shared" si="0"/>
        <v>4</v>
      </c>
      <c r="I58" s="94">
        <f t="shared" si="1"/>
        <v>470</v>
      </c>
      <c r="J58" s="56">
        <f t="shared" si="2"/>
        <v>4</v>
      </c>
      <c r="K58" s="95">
        <f t="shared" si="3"/>
        <v>660</v>
      </c>
      <c r="L58" s="56">
        <v>2</v>
      </c>
      <c r="M58" s="95">
        <f t="shared" si="5"/>
        <v>500</v>
      </c>
      <c r="N58" s="56">
        <v>2</v>
      </c>
      <c r="O58" s="96"/>
    </row>
    <row r="59" spans="1:15">
      <c r="A59" s="91" t="str">
        <f>'1. 소켓인수검사'!A60</f>
        <v>52</v>
      </c>
      <c r="B59" s="92" t="s">
        <v>15</v>
      </c>
      <c r="C59" s="56">
        <f>'1. 소켓인수검사'!C60</f>
        <v>700</v>
      </c>
      <c r="D59" s="56">
        <f>'1. 소켓인수검사'!D60</f>
        <v>300</v>
      </c>
      <c r="E59" s="37"/>
      <c r="F59" s="56">
        <v>1</v>
      </c>
      <c r="G59" s="93">
        <f t="shared" si="4"/>
        <v>695</v>
      </c>
      <c r="H59" s="56">
        <f t="shared" si="0"/>
        <v>4</v>
      </c>
      <c r="I59" s="94">
        <f t="shared" si="1"/>
        <v>270</v>
      </c>
      <c r="J59" s="56">
        <f t="shared" si="2"/>
        <v>4</v>
      </c>
      <c r="K59" s="95">
        <f t="shared" si="3"/>
        <v>760</v>
      </c>
      <c r="L59" s="56">
        <v>2</v>
      </c>
      <c r="M59" s="95">
        <f t="shared" si="5"/>
        <v>300</v>
      </c>
      <c r="N59" s="56">
        <v>2</v>
      </c>
      <c r="O59" s="96"/>
    </row>
    <row r="60" spans="1:15">
      <c r="A60" s="91" t="str">
        <f>'1. 소켓인수검사'!A61</f>
        <v>53</v>
      </c>
      <c r="B60" s="92" t="s">
        <v>15</v>
      </c>
      <c r="C60" s="56">
        <f>'1. 소켓인수검사'!C61</f>
        <v>700</v>
      </c>
      <c r="D60" s="56">
        <f>'1. 소켓인수검사'!D61</f>
        <v>400</v>
      </c>
      <c r="E60" s="37"/>
      <c r="F60" s="56">
        <v>1</v>
      </c>
      <c r="G60" s="93">
        <f t="shared" si="4"/>
        <v>695</v>
      </c>
      <c r="H60" s="56">
        <f t="shared" si="0"/>
        <v>4</v>
      </c>
      <c r="I60" s="94">
        <f t="shared" si="1"/>
        <v>370</v>
      </c>
      <c r="J60" s="56">
        <f t="shared" si="2"/>
        <v>4</v>
      </c>
      <c r="K60" s="95">
        <f t="shared" si="3"/>
        <v>760</v>
      </c>
      <c r="L60" s="56">
        <v>2</v>
      </c>
      <c r="M60" s="95">
        <f t="shared" si="5"/>
        <v>400</v>
      </c>
      <c r="N60" s="56">
        <v>2</v>
      </c>
      <c r="O60" s="96"/>
    </row>
    <row r="61" spans="1:15">
      <c r="A61" s="91" t="str">
        <f>'1. 소켓인수검사'!A62</f>
        <v>54</v>
      </c>
      <c r="B61" s="92" t="s">
        <v>15</v>
      </c>
      <c r="C61" s="56">
        <f>'1. 소켓인수검사'!C62</f>
        <v>750</v>
      </c>
      <c r="D61" s="56">
        <f>'1. 소켓인수검사'!D62</f>
        <v>400</v>
      </c>
      <c r="E61" s="37"/>
      <c r="F61" s="56">
        <v>1</v>
      </c>
      <c r="G61" s="93">
        <f t="shared" si="4"/>
        <v>745</v>
      </c>
      <c r="H61" s="56">
        <f t="shared" si="0"/>
        <v>4</v>
      </c>
      <c r="I61" s="94">
        <f t="shared" si="1"/>
        <v>370</v>
      </c>
      <c r="J61" s="56">
        <f t="shared" si="2"/>
        <v>4</v>
      </c>
      <c r="K61" s="95">
        <f t="shared" si="3"/>
        <v>810</v>
      </c>
      <c r="L61" s="56">
        <v>2</v>
      </c>
      <c r="M61" s="95">
        <f t="shared" si="5"/>
        <v>400</v>
      </c>
      <c r="N61" s="56">
        <v>2</v>
      </c>
      <c r="O61" s="96"/>
    </row>
    <row r="62" spans="1:15">
      <c r="A62" s="91" t="str">
        <f>'1. 소켓인수검사'!A63</f>
        <v>55</v>
      </c>
      <c r="B62" s="92" t="s">
        <v>15</v>
      </c>
      <c r="C62" s="56">
        <f>'1. 소켓인수검사'!C63</f>
        <v>750</v>
      </c>
      <c r="D62" s="56">
        <f>'1. 소켓인수검사'!D63</f>
        <v>400</v>
      </c>
      <c r="E62" s="37"/>
      <c r="F62" s="56">
        <v>1</v>
      </c>
      <c r="G62" s="93">
        <f t="shared" si="4"/>
        <v>745</v>
      </c>
      <c r="H62" s="56">
        <f t="shared" si="0"/>
        <v>4</v>
      </c>
      <c r="I62" s="94">
        <f t="shared" si="1"/>
        <v>370</v>
      </c>
      <c r="J62" s="56">
        <f t="shared" si="2"/>
        <v>4</v>
      </c>
      <c r="K62" s="95">
        <f t="shared" si="3"/>
        <v>810</v>
      </c>
      <c r="L62" s="56">
        <v>2</v>
      </c>
      <c r="M62" s="95">
        <f t="shared" si="5"/>
        <v>400</v>
      </c>
      <c r="N62" s="56">
        <v>2</v>
      </c>
      <c r="O62" s="96"/>
    </row>
    <row r="63" spans="1:15">
      <c r="A63" s="91" t="str">
        <f>'1. 소켓인수검사'!A64</f>
        <v>56</v>
      </c>
      <c r="B63" s="92" t="s">
        <v>15</v>
      </c>
      <c r="C63" s="56">
        <f>'1. 소켓인수검사'!C64</f>
        <v>750</v>
      </c>
      <c r="D63" s="56">
        <f>'1. 소켓인수검사'!D64</f>
        <v>550</v>
      </c>
      <c r="E63" s="37"/>
      <c r="F63" s="56">
        <v>1</v>
      </c>
      <c r="G63" s="93">
        <f t="shared" si="4"/>
        <v>745</v>
      </c>
      <c r="H63" s="56">
        <f t="shared" si="0"/>
        <v>4</v>
      </c>
      <c r="I63" s="94">
        <f t="shared" si="1"/>
        <v>520</v>
      </c>
      <c r="J63" s="56">
        <f t="shared" si="2"/>
        <v>4</v>
      </c>
      <c r="K63" s="95">
        <f t="shared" si="3"/>
        <v>810</v>
      </c>
      <c r="L63" s="56">
        <v>2</v>
      </c>
      <c r="M63" s="95">
        <f t="shared" si="5"/>
        <v>550</v>
      </c>
      <c r="N63" s="56">
        <v>2</v>
      </c>
      <c r="O63" s="96"/>
    </row>
    <row r="64" spans="1:15">
      <c r="A64" s="91" t="str">
        <f>'1. 소켓인수검사'!A65</f>
        <v>57</v>
      </c>
      <c r="B64" s="92" t="s">
        <v>15</v>
      </c>
      <c r="C64" s="56">
        <f>'1. 소켓인수검사'!C65</f>
        <v>800</v>
      </c>
      <c r="D64" s="56">
        <f>'1. 소켓인수검사'!D65</f>
        <v>400</v>
      </c>
      <c r="E64" s="37"/>
      <c r="F64" s="56">
        <v>1</v>
      </c>
      <c r="G64" s="93">
        <f t="shared" si="4"/>
        <v>795</v>
      </c>
      <c r="H64" s="56">
        <f t="shared" si="0"/>
        <v>4</v>
      </c>
      <c r="I64" s="94">
        <f t="shared" si="1"/>
        <v>370</v>
      </c>
      <c r="J64" s="56">
        <f t="shared" si="2"/>
        <v>4</v>
      </c>
      <c r="K64" s="95">
        <f t="shared" si="3"/>
        <v>860</v>
      </c>
      <c r="L64" s="56">
        <v>2</v>
      </c>
      <c r="M64" s="95">
        <f t="shared" si="5"/>
        <v>400</v>
      </c>
      <c r="N64" s="56">
        <v>2</v>
      </c>
      <c r="O64" s="96"/>
    </row>
    <row r="65" spans="1:15">
      <c r="A65" s="91" t="str">
        <f>'1. 소켓인수검사'!A66</f>
        <v>58</v>
      </c>
      <c r="B65" s="92" t="s">
        <v>15</v>
      </c>
      <c r="C65" s="56">
        <f>'1. 소켓인수검사'!C66</f>
        <v>800</v>
      </c>
      <c r="D65" s="56">
        <f>'1. 소켓인수검사'!D66</f>
        <v>450</v>
      </c>
      <c r="E65" s="37"/>
      <c r="F65" s="56">
        <v>1</v>
      </c>
      <c r="G65" s="93">
        <f t="shared" si="4"/>
        <v>795</v>
      </c>
      <c r="H65" s="56">
        <f t="shared" si="0"/>
        <v>4</v>
      </c>
      <c r="I65" s="94">
        <f t="shared" si="1"/>
        <v>420</v>
      </c>
      <c r="J65" s="56">
        <f t="shared" si="2"/>
        <v>4</v>
      </c>
      <c r="K65" s="95">
        <f t="shared" si="3"/>
        <v>860</v>
      </c>
      <c r="L65" s="56">
        <v>2</v>
      </c>
      <c r="M65" s="95">
        <f t="shared" si="5"/>
        <v>450</v>
      </c>
      <c r="N65" s="56">
        <v>2</v>
      </c>
      <c r="O65" s="96"/>
    </row>
    <row r="66" spans="1:15">
      <c r="A66" s="91" t="str">
        <f>'1. 소켓인수검사'!A67</f>
        <v>59</v>
      </c>
      <c r="B66" s="92" t="s">
        <v>15</v>
      </c>
      <c r="C66" s="56">
        <f>'1. 소켓인수검사'!C67</f>
        <v>950</v>
      </c>
      <c r="D66" s="56">
        <f>'1. 소켓인수검사'!D67</f>
        <v>400</v>
      </c>
      <c r="E66" s="37"/>
      <c r="F66" s="56">
        <v>1</v>
      </c>
      <c r="G66" s="93">
        <f t="shared" si="4"/>
        <v>945</v>
      </c>
      <c r="H66" s="56">
        <f t="shared" si="0"/>
        <v>4</v>
      </c>
      <c r="I66" s="94">
        <f t="shared" si="1"/>
        <v>370</v>
      </c>
      <c r="J66" s="56">
        <f t="shared" si="2"/>
        <v>4</v>
      </c>
      <c r="K66" s="95">
        <f t="shared" si="3"/>
        <v>1010</v>
      </c>
      <c r="L66" s="56">
        <v>2</v>
      </c>
      <c r="M66" s="95">
        <f t="shared" si="5"/>
        <v>400</v>
      </c>
      <c r="N66" s="56">
        <v>2</v>
      </c>
      <c r="O66" s="96"/>
    </row>
    <row r="67" spans="1:15">
      <c r="A67" s="91" t="str">
        <f>'1. 소켓인수검사'!A68</f>
        <v>60</v>
      </c>
      <c r="B67" s="92" t="s">
        <v>15</v>
      </c>
      <c r="C67" s="56">
        <f>'1. 소켓인수검사'!C68</f>
        <v>1050</v>
      </c>
      <c r="D67" s="56">
        <f>'1. 소켓인수검사'!D68</f>
        <v>400</v>
      </c>
      <c r="E67" s="37"/>
      <c r="F67" s="56">
        <v>1</v>
      </c>
      <c r="G67" s="93">
        <f t="shared" si="4"/>
        <v>1045</v>
      </c>
      <c r="H67" s="56">
        <f t="shared" si="0"/>
        <v>4</v>
      </c>
      <c r="I67" s="94">
        <f t="shared" si="1"/>
        <v>370</v>
      </c>
      <c r="J67" s="56">
        <f t="shared" si="2"/>
        <v>4</v>
      </c>
      <c r="K67" s="95">
        <f t="shared" si="3"/>
        <v>1110</v>
      </c>
      <c r="L67" s="56">
        <v>2</v>
      </c>
      <c r="M67" s="95">
        <f t="shared" si="5"/>
        <v>400</v>
      </c>
      <c r="N67" s="56">
        <v>2</v>
      </c>
      <c r="O67" s="96"/>
    </row>
    <row r="68" spans="1:15">
      <c r="A68" s="91" t="str">
        <f>'1. 소켓인수검사'!A69</f>
        <v>61</v>
      </c>
      <c r="B68" s="92" t="s">
        <v>15</v>
      </c>
      <c r="C68" s="56">
        <f>'1. 소켓인수검사'!C69</f>
        <v>1050</v>
      </c>
      <c r="D68" s="56">
        <f>'1. 소켓인수검사'!D69</f>
        <v>400</v>
      </c>
      <c r="E68" s="37"/>
      <c r="F68" s="56">
        <v>1</v>
      </c>
      <c r="G68" s="93">
        <f t="shared" si="4"/>
        <v>1045</v>
      </c>
      <c r="H68" s="56">
        <f t="shared" si="0"/>
        <v>4</v>
      </c>
      <c r="I68" s="94">
        <f t="shared" si="1"/>
        <v>370</v>
      </c>
      <c r="J68" s="56">
        <f t="shared" si="2"/>
        <v>4</v>
      </c>
      <c r="K68" s="95">
        <f t="shared" si="3"/>
        <v>1110</v>
      </c>
      <c r="L68" s="56">
        <v>2</v>
      </c>
      <c r="M68" s="95">
        <f t="shared" si="5"/>
        <v>400</v>
      </c>
      <c r="N68" s="56">
        <v>2</v>
      </c>
      <c r="O68" s="96"/>
    </row>
    <row r="69" spans="1:15" ht="8.1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</row>
    <row r="70" spans="1:15">
      <c r="A70" s="99" t="s">
        <v>44</v>
      </c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</row>
    <row r="71" spans="1:15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</row>
    <row r="72" spans="1:15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69:O69"/>
    <mergeCell ref="A70:C72"/>
    <mergeCell ref="D70:O72"/>
    <mergeCell ref="K5:N5"/>
    <mergeCell ref="O5:O7"/>
    <mergeCell ref="C6:C7"/>
    <mergeCell ref="D6:D7"/>
    <mergeCell ref="G6:H6"/>
    <mergeCell ref="I6:J6"/>
    <mergeCell ref="K6:L6"/>
    <mergeCell ref="M6:N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71"/>
  <sheetViews>
    <sheetView zoomScaleNormal="100" zoomScaleSheetLayoutView="100" workbookViewId="0">
      <selection activeCell="F77" sqref="F77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99"/>
      <c r="B1" s="99"/>
      <c r="C1" s="99"/>
      <c r="D1" s="99"/>
      <c r="E1" s="99" t="s">
        <v>131</v>
      </c>
      <c r="F1" s="140"/>
      <c r="G1" s="145" t="str">
        <f>'1. 소켓인수검사'!R2</f>
        <v>26.07.15 엘티_롯데건설_광장이엠씨_검단신도시C1</v>
      </c>
      <c r="H1" s="145"/>
      <c r="I1" s="145"/>
      <c r="J1" s="145"/>
      <c r="K1" s="146"/>
    </row>
    <row r="2" spans="1:11" ht="16.5" customHeight="1">
      <c r="A2" s="99"/>
      <c r="B2" s="99"/>
      <c r="C2" s="99"/>
      <c r="D2" s="99"/>
      <c r="E2" s="141"/>
      <c r="F2" s="142"/>
      <c r="G2" s="147"/>
      <c r="H2" s="147"/>
      <c r="I2" s="147"/>
      <c r="J2" s="147"/>
      <c r="K2" s="148"/>
    </row>
    <row r="3" spans="1:11" ht="16.5" customHeight="1">
      <c r="A3" s="99"/>
      <c r="B3" s="99"/>
      <c r="C3" s="99"/>
      <c r="D3" s="99"/>
      <c r="E3" s="143"/>
      <c r="F3" s="144"/>
      <c r="G3" s="149"/>
      <c r="H3" s="149"/>
      <c r="I3" s="149"/>
      <c r="J3" s="149"/>
      <c r="K3" s="150"/>
    </row>
    <row r="4" spans="1:11" ht="8.1" customHeight="1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</row>
    <row r="5" spans="1:11" ht="26.45" customHeight="1">
      <c r="A5" s="152" t="s">
        <v>52</v>
      </c>
      <c r="B5" s="153" t="s">
        <v>62</v>
      </c>
      <c r="C5" s="137" t="s">
        <v>4</v>
      </c>
      <c r="D5" s="137"/>
      <c r="E5" s="137" t="s">
        <v>23</v>
      </c>
      <c r="F5" s="156" t="s">
        <v>50</v>
      </c>
      <c r="G5" s="138" t="s">
        <v>33</v>
      </c>
      <c r="H5" s="139"/>
      <c r="I5" s="139"/>
      <c r="J5" s="139"/>
      <c r="K5" s="156" t="s">
        <v>2</v>
      </c>
    </row>
    <row r="6" spans="1:11" ht="16.5" customHeight="1">
      <c r="A6" s="152"/>
      <c r="B6" s="154"/>
      <c r="C6" s="137" t="s">
        <v>59</v>
      </c>
      <c r="D6" s="137" t="s">
        <v>57</v>
      </c>
      <c r="E6" s="137"/>
      <c r="F6" s="157"/>
      <c r="G6" s="137" t="s">
        <v>61</v>
      </c>
      <c r="H6" s="137"/>
      <c r="I6" s="138" t="s">
        <v>58</v>
      </c>
      <c r="J6" s="139"/>
      <c r="K6" s="157"/>
    </row>
    <row r="7" spans="1:11">
      <c r="A7" s="152"/>
      <c r="B7" s="155"/>
      <c r="C7" s="137"/>
      <c r="D7" s="137"/>
      <c r="E7" s="137"/>
      <c r="F7" s="158"/>
      <c r="G7" s="15" t="s">
        <v>4</v>
      </c>
      <c r="H7" s="15" t="s">
        <v>50</v>
      </c>
      <c r="I7" s="15" t="s">
        <v>4</v>
      </c>
      <c r="J7" s="16" t="s">
        <v>50</v>
      </c>
      <c r="K7" s="158"/>
    </row>
    <row r="8" spans="1:11">
      <c r="A8" s="75" t="str">
        <f>'1. 소켓인수검사'!A9</f>
        <v>01</v>
      </c>
      <c r="B8" s="51" t="s">
        <v>15</v>
      </c>
      <c r="C8" s="47">
        <f>'1. 소켓인수검사'!C9</f>
        <v>200</v>
      </c>
      <c r="D8" s="47">
        <f>'1. 소켓인수검사'!D9</f>
        <v>150</v>
      </c>
      <c r="E8" s="48"/>
      <c r="F8" s="47">
        <v>1</v>
      </c>
      <c r="G8" s="76">
        <f t="shared" ref="G8:G11" si="0">C8+60</f>
        <v>260</v>
      </c>
      <c r="H8" s="47">
        <v>2</v>
      </c>
      <c r="I8" s="76">
        <f>D8</f>
        <v>150</v>
      </c>
      <c r="J8" s="47">
        <v>2</v>
      </c>
      <c r="K8" s="49"/>
    </row>
    <row r="9" spans="1:11">
      <c r="A9" s="77" t="str">
        <f>'1. 소켓인수검사'!A10</f>
        <v>02</v>
      </c>
      <c r="B9" s="51" t="s">
        <v>15</v>
      </c>
      <c r="C9" s="36">
        <f>'1. 소켓인수검사'!C10</f>
        <v>200</v>
      </c>
      <c r="D9" s="36">
        <f>'1. 소켓인수검사'!D10</f>
        <v>200</v>
      </c>
      <c r="E9" s="37"/>
      <c r="F9" s="36">
        <v>1</v>
      </c>
      <c r="G9" s="53">
        <f t="shared" si="0"/>
        <v>260</v>
      </c>
      <c r="H9" s="36">
        <v>2</v>
      </c>
      <c r="I9" s="53">
        <f t="shared" ref="I9:I68" si="1">D9</f>
        <v>200</v>
      </c>
      <c r="J9" s="36">
        <v>2</v>
      </c>
      <c r="K9" s="52"/>
    </row>
    <row r="10" spans="1:11">
      <c r="A10" s="77" t="str">
        <f>'1. 소켓인수검사'!A11</f>
        <v>03</v>
      </c>
      <c r="B10" s="51" t="s">
        <v>15</v>
      </c>
      <c r="C10" s="36">
        <f>'1. 소켓인수검사'!C11</f>
        <v>200</v>
      </c>
      <c r="D10" s="36">
        <f>'1. 소켓인수검사'!D11</f>
        <v>200</v>
      </c>
      <c r="E10" s="37"/>
      <c r="F10" s="36">
        <v>1</v>
      </c>
      <c r="G10" s="53">
        <f t="shared" si="0"/>
        <v>260</v>
      </c>
      <c r="H10" s="36">
        <v>2</v>
      </c>
      <c r="I10" s="53">
        <f t="shared" si="1"/>
        <v>200</v>
      </c>
      <c r="J10" s="36">
        <v>2</v>
      </c>
      <c r="K10" s="52"/>
    </row>
    <row r="11" spans="1:11">
      <c r="A11" s="77" t="str">
        <f>'1. 소켓인수검사'!A12</f>
        <v>04</v>
      </c>
      <c r="B11" s="51" t="s">
        <v>15</v>
      </c>
      <c r="C11" s="36">
        <f>'1. 소켓인수검사'!C12</f>
        <v>200</v>
      </c>
      <c r="D11" s="36">
        <f>'1. 소켓인수검사'!D12</f>
        <v>200</v>
      </c>
      <c r="E11" s="37"/>
      <c r="F11" s="36">
        <v>1</v>
      </c>
      <c r="G11" s="53">
        <f t="shared" si="0"/>
        <v>260</v>
      </c>
      <c r="H11" s="36">
        <v>2</v>
      </c>
      <c r="I11" s="53">
        <f t="shared" si="1"/>
        <v>200</v>
      </c>
      <c r="J11" s="36">
        <v>2</v>
      </c>
      <c r="K11" s="52"/>
    </row>
    <row r="12" spans="1:11">
      <c r="A12" s="77" t="str">
        <f>'1. 소켓인수검사'!A13</f>
        <v>05</v>
      </c>
      <c r="B12" s="51" t="s">
        <v>15</v>
      </c>
      <c r="C12" s="36">
        <f>'1. 소켓인수검사'!C13</f>
        <v>200</v>
      </c>
      <c r="D12" s="36">
        <f>'1. 소켓인수검사'!D13</f>
        <v>200</v>
      </c>
      <c r="E12" s="37"/>
      <c r="F12" s="36">
        <v>1</v>
      </c>
      <c r="G12" s="53">
        <f t="shared" ref="G12:G19" si="2">C12+60</f>
        <v>260</v>
      </c>
      <c r="H12" s="36">
        <v>2</v>
      </c>
      <c r="I12" s="53">
        <f t="shared" si="1"/>
        <v>200</v>
      </c>
      <c r="J12" s="36">
        <v>2</v>
      </c>
      <c r="K12" s="52"/>
    </row>
    <row r="13" spans="1:11">
      <c r="A13" s="77" t="str">
        <f>'1. 소켓인수검사'!A14</f>
        <v>06</v>
      </c>
      <c r="B13" s="51" t="s">
        <v>15</v>
      </c>
      <c r="C13" s="36">
        <f>'1. 소켓인수검사'!C14</f>
        <v>200</v>
      </c>
      <c r="D13" s="36">
        <f>'1. 소켓인수검사'!D14</f>
        <v>200</v>
      </c>
      <c r="E13" s="37"/>
      <c r="F13" s="36">
        <v>1</v>
      </c>
      <c r="G13" s="53">
        <f t="shared" si="2"/>
        <v>260</v>
      </c>
      <c r="H13" s="36">
        <v>2</v>
      </c>
      <c r="I13" s="53">
        <f t="shared" si="1"/>
        <v>200</v>
      </c>
      <c r="J13" s="36">
        <v>2</v>
      </c>
      <c r="K13" s="52"/>
    </row>
    <row r="14" spans="1:11">
      <c r="A14" s="77" t="str">
        <f>'1. 소켓인수검사'!A15</f>
        <v>07</v>
      </c>
      <c r="B14" s="51" t="s">
        <v>15</v>
      </c>
      <c r="C14" s="36">
        <f>'1. 소켓인수검사'!C15</f>
        <v>200</v>
      </c>
      <c r="D14" s="36">
        <f>'1. 소켓인수검사'!D15</f>
        <v>200</v>
      </c>
      <c r="E14" s="37"/>
      <c r="F14" s="36">
        <v>1</v>
      </c>
      <c r="G14" s="53">
        <f t="shared" si="2"/>
        <v>260</v>
      </c>
      <c r="H14" s="36">
        <v>2</v>
      </c>
      <c r="I14" s="53">
        <f t="shared" si="1"/>
        <v>200</v>
      </c>
      <c r="J14" s="36">
        <v>2</v>
      </c>
      <c r="K14" s="52"/>
    </row>
    <row r="15" spans="1:11">
      <c r="A15" s="77" t="str">
        <f>'1. 소켓인수검사'!A16</f>
        <v>08</v>
      </c>
      <c r="B15" s="51" t="s">
        <v>15</v>
      </c>
      <c r="C15" s="36">
        <f>'1. 소켓인수검사'!C16</f>
        <v>250</v>
      </c>
      <c r="D15" s="36">
        <f>'1. 소켓인수검사'!D16</f>
        <v>200</v>
      </c>
      <c r="E15" s="37"/>
      <c r="F15" s="36">
        <v>1</v>
      </c>
      <c r="G15" s="53">
        <f t="shared" si="2"/>
        <v>310</v>
      </c>
      <c r="H15" s="36">
        <v>2</v>
      </c>
      <c r="I15" s="53">
        <f t="shared" si="1"/>
        <v>200</v>
      </c>
      <c r="J15" s="36">
        <v>2</v>
      </c>
      <c r="K15" s="52"/>
    </row>
    <row r="16" spans="1:11">
      <c r="A16" s="77" t="str">
        <f>'1. 소켓인수검사'!A17</f>
        <v>09</v>
      </c>
      <c r="B16" s="51" t="s">
        <v>15</v>
      </c>
      <c r="C16" s="36">
        <f>'1. 소켓인수검사'!C17</f>
        <v>250</v>
      </c>
      <c r="D16" s="36">
        <f>'1. 소켓인수검사'!D17</f>
        <v>200</v>
      </c>
      <c r="E16" s="37"/>
      <c r="F16" s="36">
        <v>1</v>
      </c>
      <c r="G16" s="53">
        <f t="shared" si="2"/>
        <v>310</v>
      </c>
      <c r="H16" s="36">
        <v>2</v>
      </c>
      <c r="I16" s="53">
        <f t="shared" si="1"/>
        <v>200</v>
      </c>
      <c r="J16" s="36">
        <v>2</v>
      </c>
      <c r="K16" s="52"/>
    </row>
    <row r="17" spans="1:11">
      <c r="A17" s="77" t="str">
        <f>'1. 소켓인수검사'!A18</f>
        <v>10</v>
      </c>
      <c r="B17" s="51" t="s">
        <v>15</v>
      </c>
      <c r="C17" s="36">
        <f>'1. 소켓인수검사'!C18</f>
        <v>250</v>
      </c>
      <c r="D17" s="36">
        <f>'1. 소켓인수검사'!D18</f>
        <v>200</v>
      </c>
      <c r="E17" s="37"/>
      <c r="F17" s="36">
        <v>1</v>
      </c>
      <c r="G17" s="53">
        <f t="shared" si="2"/>
        <v>310</v>
      </c>
      <c r="H17" s="36">
        <v>2</v>
      </c>
      <c r="I17" s="53">
        <f t="shared" si="1"/>
        <v>200</v>
      </c>
      <c r="J17" s="36">
        <v>2</v>
      </c>
      <c r="K17" s="52"/>
    </row>
    <row r="18" spans="1:11">
      <c r="A18" s="77" t="str">
        <f>'1. 소켓인수검사'!A19</f>
        <v>11</v>
      </c>
      <c r="B18" s="51" t="s">
        <v>15</v>
      </c>
      <c r="C18" s="36">
        <f>'1. 소켓인수검사'!C19</f>
        <v>250</v>
      </c>
      <c r="D18" s="36">
        <f>'1. 소켓인수검사'!D19</f>
        <v>200</v>
      </c>
      <c r="E18" s="37"/>
      <c r="F18" s="36">
        <v>1</v>
      </c>
      <c r="G18" s="53">
        <f t="shared" si="2"/>
        <v>310</v>
      </c>
      <c r="H18" s="36">
        <v>2</v>
      </c>
      <c r="I18" s="53">
        <f t="shared" si="1"/>
        <v>200</v>
      </c>
      <c r="J18" s="36">
        <v>2</v>
      </c>
      <c r="K18" s="52"/>
    </row>
    <row r="19" spans="1:11">
      <c r="A19" s="77" t="str">
        <f>'1. 소켓인수검사'!A20</f>
        <v>12</v>
      </c>
      <c r="B19" s="51" t="s">
        <v>15</v>
      </c>
      <c r="C19" s="36">
        <f>'1. 소켓인수검사'!C20</f>
        <v>250</v>
      </c>
      <c r="D19" s="36">
        <f>'1. 소켓인수검사'!D20</f>
        <v>200</v>
      </c>
      <c r="E19" s="37"/>
      <c r="F19" s="36">
        <v>1</v>
      </c>
      <c r="G19" s="53">
        <f t="shared" si="2"/>
        <v>310</v>
      </c>
      <c r="H19" s="36">
        <v>2</v>
      </c>
      <c r="I19" s="53">
        <f t="shared" si="1"/>
        <v>200</v>
      </c>
      <c r="J19" s="36">
        <v>2</v>
      </c>
      <c r="K19" s="52"/>
    </row>
    <row r="20" spans="1:11">
      <c r="A20" s="77" t="str">
        <f>'1. 소켓인수검사'!A21</f>
        <v>13</v>
      </c>
      <c r="B20" s="51" t="s">
        <v>15</v>
      </c>
      <c r="C20" s="36">
        <f>'1. 소켓인수검사'!C21</f>
        <v>250</v>
      </c>
      <c r="D20" s="36">
        <f>'1. 소켓인수검사'!D21</f>
        <v>200</v>
      </c>
      <c r="E20" s="37"/>
      <c r="F20" s="36">
        <v>1</v>
      </c>
      <c r="G20" s="53">
        <f t="shared" ref="G20:G39" si="3">C20+60</f>
        <v>310</v>
      </c>
      <c r="H20" s="36">
        <v>2</v>
      </c>
      <c r="I20" s="53">
        <f t="shared" si="1"/>
        <v>200</v>
      </c>
      <c r="J20" s="36">
        <v>2</v>
      </c>
      <c r="K20" s="52"/>
    </row>
    <row r="21" spans="1:11">
      <c r="A21" s="77" t="str">
        <f>'1. 소켓인수검사'!A22</f>
        <v>14</v>
      </c>
      <c r="B21" s="51" t="s">
        <v>15</v>
      </c>
      <c r="C21" s="36">
        <f>'1. 소켓인수검사'!C22</f>
        <v>250</v>
      </c>
      <c r="D21" s="36">
        <f>'1. 소켓인수검사'!D22</f>
        <v>200</v>
      </c>
      <c r="E21" s="37"/>
      <c r="F21" s="36">
        <v>1</v>
      </c>
      <c r="G21" s="53">
        <f t="shared" si="3"/>
        <v>310</v>
      </c>
      <c r="H21" s="36">
        <v>2</v>
      </c>
      <c r="I21" s="53">
        <f t="shared" si="1"/>
        <v>200</v>
      </c>
      <c r="J21" s="36">
        <v>2</v>
      </c>
      <c r="K21" s="52"/>
    </row>
    <row r="22" spans="1:11">
      <c r="A22" s="77" t="str">
        <f>'1. 소켓인수검사'!A23</f>
        <v>15</v>
      </c>
      <c r="B22" s="51" t="s">
        <v>15</v>
      </c>
      <c r="C22" s="36">
        <f>'1. 소켓인수검사'!C23</f>
        <v>250</v>
      </c>
      <c r="D22" s="36">
        <f>'1. 소켓인수검사'!D23</f>
        <v>200</v>
      </c>
      <c r="E22" s="37"/>
      <c r="F22" s="36">
        <v>1</v>
      </c>
      <c r="G22" s="53">
        <f t="shared" si="3"/>
        <v>310</v>
      </c>
      <c r="H22" s="36">
        <v>2</v>
      </c>
      <c r="I22" s="53">
        <f t="shared" si="1"/>
        <v>200</v>
      </c>
      <c r="J22" s="36">
        <v>2</v>
      </c>
      <c r="K22" s="52"/>
    </row>
    <row r="23" spans="1:11">
      <c r="A23" s="77" t="str">
        <f>'1. 소켓인수검사'!A24</f>
        <v>16</v>
      </c>
      <c r="B23" s="51" t="s">
        <v>15</v>
      </c>
      <c r="C23" s="36">
        <f>'1. 소켓인수검사'!C24</f>
        <v>250</v>
      </c>
      <c r="D23" s="36">
        <f>'1. 소켓인수검사'!D24</f>
        <v>200</v>
      </c>
      <c r="E23" s="37"/>
      <c r="F23" s="36">
        <v>1</v>
      </c>
      <c r="G23" s="53">
        <f t="shared" si="3"/>
        <v>310</v>
      </c>
      <c r="H23" s="36">
        <v>2</v>
      </c>
      <c r="I23" s="53">
        <f t="shared" si="1"/>
        <v>200</v>
      </c>
      <c r="J23" s="36">
        <v>2</v>
      </c>
      <c r="K23" s="52"/>
    </row>
    <row r="24" spans="1:11">
      <c r="A24" s="77" t="str">
        <f>'1. 소켓인수검사'!A25</f>
        <v>17</v>
      </c>
      <c r="B24" s="51" t="s">
        <v>15</v>
      </c>
      <c r="C24" s="36">
        <f>'1. 소켓인수검사'!C25</f>
        <v>250</v>
      </c>
      <c r="D24" s="36">
        <f>'1. 소켓인수검사'!D25</f>
        <v>200</v>
      </c>
      <c r="E24" s="37"/>
      <c r="F24" s="36">
        <v>1</v>
      </c>
      <c r="G24" s="53">
        <f t="shared" si="3"/>
        <v>310</v>
      </c>
      <c r="H24" s="36">
        <v>2</v>
      </c>
      <c r="I24" s="53">
        <f t="shared" si="1"/>
        <v>200</v>
      </c>
      <c r="J24" s="36">
        <v>2</v>
      </c>
      <c r="K24" s="52"/>
    </row>
    <row r="25" spans="1:11">
      <c r="A25" s="77" t="str">
        <f>'1. 소켓인수검사'!A26</f>
        <v>18</v>
      </c>
      <c r="B25" s="51" t="s">
        <v>15</v>
      </c>
      <c r="C25" s="36">
        <f>'1. 소켓인수검사'!C26</f>
        <v>250</v>
      </c>
      <c r="D25" s="36">
        <f>'1. 소켓인수검사'!D26</f>
        <v>200</v>
      </c>
      <c r="E25" s="37"/>
      <c r="F25" s="36">
        <v>1</v>
      </c>
      <c r="G25" s="53">
        <f t="shared" si="3"/>
        <v>310</v>
      </c>
      <c r="H25" s="36">
        <v>2</v>
      </c>
      <c r="I25" s="53">
        <f t="shared" si="1"/>
        <v>200</v>
      </c>
      <c r="J25" s="36">
        <v>2</v>
      </c>
      <c r="K25" s="52"/>
    </row>
    <row r="26" spans="1:11">
      <c r="A26" s="77" t="str">
        <f>'1. 소켓인수검사'!A27</f>
        <v>19</v>
      </c>
      <c r="B26" s="51" t="s">
        <v>15</v>
      </c>
      <c r="C26" s="36">
        <f>'1. 소켓인수검사'!C27</f>
        <v>250</v>
      </c>
      <c r="D26" s="36">
        <f>'1. 소켓인수검사'!D27</f>
        <v>200</v>
      </c>
      <c r="E26" s="37"/>
      <c r="F26" s="36">
        <v>1</v>
      </c>
      <c r="G26" s="53">
        <f t="shared" si="3"/>
        <v>310</v>
      </c>
      <c r="H26" s="36">
        <v>2</v>
      </c>
      <c r="I26" s="53">
        <f t="shared" si="1"/>
        <v>200</v>
      </c>
      <c r="J26" s="36">
        <v>2</v>
      </c>
      <c r="K26" s="52"/>
    </row>
    <row r="27" spans="1:11">
      <c r="A27" s="77" t="str">
        <f>'1. 소켓인수검사'!A28</f>
        <v>20</v>
      </c>
      <c r="B27" s="51" t="s">
        <v>15</v>
      </c>
      <c r="C27" s="36">
        <f>'1. 소켓인수검사'!C28</f>
        <v>250</v>
      </c>
      <c r="D27" s="36">
        <f>'1. 소켓인수검사'!D28</f>
        <v>200</v>
      </c>
      <c r="E27" s="37"/>
      <c r="F27" s="36">
        <v>1</v>
      </c>
      <c r="G27" s="53">
        <f t="shared" si="3"/>
        <v>310</v>
      </c>
      <c r="H27" s="36">
        <v>2</v>
      </c>
      <c r="I27" s="53">
        <f t="shared" si="1"/>
        <v>200</v>
      </c>
      <c r="J27" s="36">
        <v>2</v>
      </c>
      <c r="K27" s="52"/>
    </row>
    <row r="28" spans="1:11">
      <c r="A28" s="77" t="str">
        <f>'1. 소켓인수검사'!A29</f>
        <v>21</v>
      </c>
      <c r="B28" s="51" t="s">
        <v>15</v>
      </c>
      <c r="C28" s="36">
        <f>'1. 소켓인수검사'!C29</f>
        <v>250</v>
      </c>
      <c r="D28" s="36">
        <f>'1. 소켓인수검사'!D29</f>
        <v>200</v>
      </c>
      <c r="E28" s="37"/>
      <c r="F28" s="36">
        <v>1</v>
      </c>
      <c r="G28" s="53">
        <f t="shared" si="3"/>
        <v>310</v>
      </c>
      <c r="H28" s="36">
        <v>2</v>
      </c>
      <c r="I28" s="53">
        <f t="shared" si="1"/>
        <v>200</v>
      </c>
      <c r="J28" s="36">
        <v>2</v>
      </c>
      <c r="K28" s="54"/>
    </row>
    <row r="29" spans="1:11">
      <c r="A29" s="77" t="str">
        <f>'1. 소켓인수검사'!A30</f>
        <v>22</v>
      </c>
      <c r="B29" s="51" t="s">
        <v>15</v>
      </c>
      <c r="C29" s="36">
        <f>'1. 소켓인수검사'!C30</f>
        <v>250</v>
      </c>
      <c r="D29" s="36">
        <f>'1. 소켓인수검사'!D30</f>
        <v>200</v>
      </c>
      <c r="E29" s="37"/>
      <c r="F29" s="36">
        <v>1</v>
      </c>
      <c r="G29" s="53">
        <f t="shared" si="3"/>
        <v>310</v>
      </c>
      <c r="H29" s="36">
        <v>2</v>
      </c>
      <c r="I29" s="53">
        <f t="shared" si="1"/>
        <v>200</v>
      </c>
      <c r="J29" s="36">
        <v>2</v>
      </c>
      <c r="K29" s="52"/>
    </row>
    <row r="30" spans="1:11">
      <c r="A30" s="77" t="str">
        <f>'1. 소켓인수검사'!A31</f>
        <v>23</v>
      </c>
      <c r="B30" s="51" t="s">
        <v>15</v>
      </c>
      <c r="C30" s="36">
        <f>'1. 소켓인수검사'!C31</f>
        <v>250</v>
      </c>
      <c r="D30" s="36">
        <f>'1. 소켓인수검사'!D31</f>
        <v>200</v>
      </c>
      <c r="E30" s="37"/>
      <c r="F30" s="36">
        <v>1</v>
      </c>
      <c r="G30" s="53">
        <f t="shared" si="3"/>
        <v>310</v>
      </c>
      <c r="H30" s="36">
        <v>2</v>
      </c>
      <c r="I30" s="53">
        <f t="shared" si="1"/>
        <v>200</v>
      </c>
      <c r="J30" s="36">
        <v>2</v>
      </c>
      <c r="K30" s="52"/>
    </row>
    <row r="31" spans="1:11">
      <c r="A31" s="77" t="str">
        <f>'1. 소켓인수검사'!A32</f>
        <v>24</v>
      </c>
      <c r="B31" s="51" t="s">
        <v>15</v>
      </c>
      <c r="C31" s="36">
        <f>'1. 소켓인수검사'!C32</f>
        <v>300</v>
      </c>
      <c r="D31" s="36">
        <f>'1. 소켓인수검사'!D32</f>
        <v>250</v>
      </c>
      <c r="E31" s="37"/>
      <c r="F31" s="36">
        <v>1</v>
      </c>
      <c r="G31" s="53">
        <f t="shared" si="3"/>
        <v>360</v>
      </c>
      <c r="H31" s="36">
        <v>2</v>
      </c>
      <c r="I31" s="53">
        <f t="shared" si="1"/>
        <v>250</v>
      </c>
      <c r="J31" s="36">
        <v>2</v>
      </c>
      <c r="K31" s="52"/>
    </row>
    <row r="32" spans="1:11">
      <c r="A32" s="77" t="str">
        <f>'1. 소켓인수검사'!A33</f>
        <v>25</v>
      </c>
      <c r="B32" s="51" t="s">
        <v>15</v>
      </c>
      <c r="C32" s="36">
        <f>'1. 소켓인수검사'!C33</f>
        <v>350</v>
      </c>
      <c r="D32" s="36">
        <f>'1. 소켓인수검사'!D33</f>
        <v>200</v>
      </c>
      <c r="E32" s="37"/>
      <c r="F32" s="36">
        <v>1</v>
      </c>
      <c r="G32" s="53">
        <f t="shared" si="3"/>
        <v>410</v>
      </c>
      <c r="H32" s="36">
        <v>2</v>
      </c>
      <c r="I32" s="53">
        <f t="shared" si="1"/>
        <v>200</v>
      </c>
      <c r="J32" s="36">
        <v>2</v>
      </c>
      <c r="K32" s="52"/>
    </row>
    <row r="33" spans="1:11">
      <c r="A33" s="77" t="str">
        <f>'1. 소켓인수검사'!A34</f>
        <v>26</v>
      </c>
      <c r="B33" s="51" t="s">
        <v>15</v>
      </c>
      <c r="C33" s="36">
        <f>'1. 소켓인수검사'!C34</f>
        <v>350</v>
      </c>
      <c r="D33" s="36">
        <f>'1. 소켓인수검사'!D34</f>
        <v>200</v>
      </c>
      <c r="E33" s="37"/>
      <c r="F33" s="36">
        <v>1</v>
      </c>
      <c r="G33" s="53">
        <f t="shared" si="3"/>
        <v>410</v>
      </c>
      <c r="H33" s="36">
        <v>2</v>
      </c>
      <c r="I33" s="53">
        <f t="shared" si="1"/>
        <v>200</v>
      </c>
      <c r="J33" s="36">
        <v>2</v>
      </c>
      <c r="K33" s="52"/>
    </row>
    <row r="34" spans="1:11">
      <c r="A34" s="77" t="str">
        <f>'1. 소켓인수검사'!A35</f>
        <v>27</v>
      </c>
      <c r="B34" s="51" t="s">
        <v>15</v>
      </c>
      <c r="C34" s="36">
        <f>'1. 소켓인수검사'!C35</f>
        <v>350</v>
      </c>
      <c r="D34" s="36">
        <f>'1. 소켓인수검사'!D35</f>
        <v>250</v>
      </c>
      <c r="E34" s="37"/>
      <c r="F34" s="36">
        <v>1</v>
      </c>
      <c r="G34" s="53">
        <f t="shared" si="3"/>
        <v>410</v>
      </c>
      <c r="H34" s="36">
        <v>2</v>
      </c>
      <c r="I34" s="53">
        <f t="shared" si="1"/>
        <v>250</v>
      </c>
      <c r="J34" s="36">
        <v>2</v>
      </c>
      <c r="K34" s="52"/>
    </row>
    <row r="35" spans="1:11">
      <c r="A35" s="77" t="str">
        <f>'1. 소켓인수검사'!A36</f>
        <v>28</v>
      </c>
      <c r="B35" s="51" t="s">
        <v>15</v>
      </c>
      <c r="C35" s="36">
        <f>'1. 소켓인수검사'!C36</f>
        <v>400</v>
      </c>
      <c r="D35" s="36">
        <f>'1. 소켓인수검사'!D36</f>
        <v>300</v>
      </c>
      <c r="E35" s="37"/>
      <c r="F35" s="36">
        <v>1</v>
      </c>
      <c r="G35" s="53">
        <f t="shared" si="3"/>
        <v>460</v>
      </c>
      <c r="H35" s="36">
        <v>2</v>
      </c>
      <c r="I35" s="53">
        <f t="shared" si="1"/>
        <v>300</v>
      </c>
      <c r="J35" s="36">
        <v>2</v>
      </c>
      <c r="K35" s="52"/>
    </row>
    <row r="36" spans="1:11">
      <c r="A36" s="77" t="str">
        <f>'1. 소켓인수검사'!A37</f>
        <v>29</v>
      </c>
      <c r="B36" s="51" t="s">
        <v>15</v>
      </c>
      <c r="C36" s="36">
        <f>'1. 소켓인수검사'!C37</f>
        <v>400</v>
      </c>
      <c r="D36" s="36">
        <f>'1. 소켓인수검사'!D37</f>
        <v>300</v>
      </c>
      <c r="E36" s="37"/>
      <c r="F36" s="36">
        <v>1</v>
      </c>
      <c r="G36" s="53">
        <f t="shared" si="3"/>
        <v>460</v>
      </c>
      <c r="H36" s="36">
        <v>2</v>
      </c>
      <c r="I36" s="53">
        <f t="shared" si="1"/>
        <v>300</v>
      </c>
      <c r="J36" s="36">
        <v>2</v>
      </c>
      <c r="K36" s="52"/>
    </row>
    <row r="37" spans="1:11">
      <c r="A37" s="77" t="str">
        <f>'1. 소켓인수검사'!A38</f>
        <v>30</v>
      </c>
      <c r="B37" s="51" t="s">
        <v>15</v>
      </c>
      <c r="C37" s="36">
        <f>'1. 소켓인수검사'!C38</f>
        <v>400</v>
      </c>
      <c r="D37" s="36">
        <f>'1. 소켓인수검사'!D38</f>
        <v>300</v>
      </c>
      <c r="E37" s="37"/>
      <c r="F37" s="36">
        <v>1</v>
      </c>
      <c r="G37" s="53">
        <f t="shared" si="3"/>
        <v>460</v>
      </c>
      <c r="H37" s="36">
        <v>2</v>
      </c>
      <c r="I37" s="53">
        <f t="shared" si="1"/>
        <v>300</v>
      </c>
      <c r="J37" s="36">
        <v>2</v>
      </c>
      <c r="K37" s="52"/>
    </row>
    <row r="38" spans="1:11">
      <c r="A38" s="77" t="str">
        <f>'1. 소켓인수검사'!A39</f>
        <v>31</v>
      </c>
      <c r="B38" s="51" t="s">
        <v>15</v>
      </c>
      <c r="C38" s="36">
        <f>'1. 소켓인수검사'!C39</f>
        <v>400</v>
      </c>
      <c r="D38" s="36">
        <f>'1. 소켓인수검사'!D39</f>
        <v>300</v>
      </c>
      <c r="E38" s="37"/>
      <c r="F38" s="36">
        <v>1</v>
      </c>
      <c r="G38" s="53">
        <f t="shared" si="3"/>
        <v>460</v>
      </c>
      <c r="H38" s="36">
        <v>2</v>
      </c>
      <c r="I38" s="53">
        <f t="shared" si="1"/>
        <v>300</v>
      </c>
      <c r="J38" s="36">
        <v>2</v>
      </c>
      <c r="K38" s="52"/>
    </row>
    <row r="39" spans="1:11">
      <c r="A39" s="77" t="str">
        <f>'1. 소켓인수검사'!A40</f>
        <v>32</v>
      </c>
      <c r="B39" s="51" t="s">
        <v>15</v>
      </c>
      <c r="C39" s="36">
        <f>'1. 소켓인수검사'!C40</f>
        <v>400</v>
      </c>
      <c r="D39" s="36">
        <f>'1. 소켓인수검사'!D40</f>
        <v>300</v>
      </c>
      <c r="E39" s="37"/>
      <c r="F39" s="36">
        <v>1</v>
      </c>
      <c r="G39" s="53">
        <f t="shared" si="3"/>
        <v>460</v>
      </c>
      <c r="H39" s="36">
        <v>2</v>
      </c>
      <c r="I39" s="53">
        <f t="shared" si="1"/>
        <v>300</v>
      </c>
      <c r="J39" s="36">
        <v>2</v>
      </c>
      <c r="K39" s="52"/>
    </row>
    <row r="40" spans="1:11">
      <c r="A40" s="77" t="str">
        <f>'1. 소켓인수검사'!A41</f>
        <v>33</v>
      </c>
      <c r="B40" s="51" t="s">
        <v>15</v>
      </c>
      <c r="C40" s="36">
        <f>'1. 소켓인수검사'!C41</f>
        <v>500</v>
      </c>
      <c r="D40" s="36">
        <f>'1. 소켓인수검사'!D41</f>
        <v>300</v>
      </c>
      <c r="E40" s="37"/>
      <c r="F40" s="36">
        <v>1</v>
      </c>
      <c r="G40" s="53">
        <f t="shared" ref="G40:G68" si="4">C40+60</f>
        <v>560</v>
      </c>
      <c r="H40" s="36">
        <v>2</v>
      </c>
      <c r="I40" s="53">
        <f t="shared" si="1"/>
        <v>300</v>
      </c>
      <c r="J40" s="36">
        <v>2</v>
      </c>
      <c r="K40" s="52"/>
    </row>
    <row r="41" spans="1:11">
      <c r="A41" s="77" t="str">
        <f>'1. 소켓인수검사'!A42</f>
        <v>34</v>
      </c>
      <c r="B41" s="51" t="s">
        <v>15</v>
      </c>
      <c r="C41" s="36">
        <f>'1. 소켓인수검사'!C42</f>
        <v>500</v>
      </c>
      <c r="D41" s="36">
        <f>'1. 소켓인수검사'!D42</f>
        <v>300</v>
      </c>
      <c r="E41" s="37"/>
      <c r="F41" s="36">
        <v>1</v>
      </c>
      <c r="G41" s="53">
        <f t="shared" si="4"/>
        <v>560</v>
      </c>
      <c r="H41" s="36">
        <v>2</v>
      </c>
      <c r="I41" s="53">
        <f t="shared" si="1"/>
        <v>300</v>
      </c>
      <c r="J41" s="36">
        <v>2</v>
      </c>
      <c r="K41" s="52"/>
    </row>
    <row r="42" spans="1:11">
      <c r="A42" s="77" t="str">
        <f>'1. 소켓인수검사'!A43</f>
        <v>35</v>
      </c>
      <c r="B42" s="51" t="s">
        <v>15</v>
      </c>
      <c r="C42" s="36">
        <f>'1. 소켓인수검사'!C43</f>
        <v>500</v>
      </c>
      <c r="D42" s="36">
        <f>'1. 소켓인수검사'!D43</f>
        <v>300</v>
      </c>
      <c r="E42" s="37"/>
      <c r="F42" s="36">
        <v>1</v>
      </c>
      <c r="G42" s="53">
        <f t="shared" si="4"/>
        <v>560</v>
      </c>
      <c r="H42" s="36">
        <v>2</v>
      </c>
      <c r="I42" s="53">
        <f t="shared" si="1"/>
        <v>300</v>
      </c>
      <c r="J42" s="36">
        <v>2</v>
      </c>
      <c r="K42" s="52"/>
    </row>
    <row r="43" spans="1:11">
      <c r="A43" s="77" t="str">
        <f>'1. 소켓인수검사'!A44</f>
        <v>36</v>
      </c>
      <c r="B43" s="51" t="s">
        <v>15</v>
      </c>
      <c r="C43" s="36">
        <f>'1. 소켓인수검사'!C44</f>
        <v>500</v>
      </c>
      <c r="D43" s="36">
        <f>'1. 소켓인수검사'!D44</f>
        <v>300</v>
      </c>
      <c r="E43" s="37"/>
      <c r="F43" s="36">
        <v>1</v>
      </c>
      <c r="G43" s="53">
        <f t="shared" si="4"/>
        <v>560</v>
      </c>
      <c r="H43" s="36">
        <v>2</v>
      </c>
      <c r="I43" s="53">
        <f t="shared" si="1"/>
        <v>300</v>
      </c>
      <c r="J43" s="36">
        <v>2</v>
      </c>
      <c r="K43" s="52"/>
    </row>
    <row r="44" spans="1:11">
      <c r="A44" s="77" t="str">
        <f>'1. 소켓인수검사'!A45</f>
        <v>37</v>
      </c>
      <c r="B44" s="51" t="s">
        <v>15</v>
      </c>
      <c r="C44" s="36">
        <f>'1. 소켓인수검사'!C45</f>
        <v>500</v>
      </c>
      <c r="D44" s="36">
        <f>'1. 소켓인수검사'!D45</f>
        <v>400</v>
      </c>
      <c r="E44" s="37"/>
      <c r="F44" s="36">
        <v>1</v>
      </c>
      <c r="G44" s="53">
        <f t="shared" si="4"/>
        <v>560</v>
      </c>
      <c r="H44" s="36">
        <v>2</v>
      </c>
      <c r="I44" s="53">
        <f t="shared" si="1"/>
        <v>400</v>
      </c>
      <c r="J44" s="36">
        <v>2</v>
      </c>
      <c r="K44" s="52"/>
    </row>
    <row r="45" spans="1:11">
      <c r="A45" s="77" t="str">
        <f>'1. 소켓인수검사'!A46</f>
        <v>38</v>
      </c>
      <c r="B45" s="51" t="s">
        <v>15</v>
      </c>
      <c r="C45" s="36">
        <f>'1. 소켓인수검사'!C46</f>
        <v>500</v>
      </c>
      <c r="D45" s="36">
        <f>'1. 소켓인수검사'!D46</f>
        <v>400</v>
      </c>
      <c r="E45" s="37"/>
      <c r="F45" s="36">
        <v>1</v>
      </c>
      <c r="G45" s="53">
        <f t="shared" si="4"/>
        <v>560</v>
      </c>
      <c r="H45" s="36">
        <v>2</v>
      </c>
      <c r="I45" s="53">
        <f t="shared" si="1"/>
        <v>400</v>
      </c>
      <c r="J45" s="36">
        <v>2</v>
      </c>
      <c r="K45" s="52"/>
    </row>
    <row r="46" spans="1:11">
      <c r="A46" s="77" t="str">
        <f>'1. 소켓인수검사'!A47</f>
        <v>39</v>
      </c>
      <c r="B46" s="51" t="s">
        <v>15</v>
      </c>
      <c r="C46" s="36">
        <f>'1. 소켓인수검사'!C47</f>
        <v>500</v>
      </c>
      <c r="D46" s="36">
        <f>'1. 소켓인수검사'!D47</f>
        <v>400</v>
      </c>
      <c r="E46" s="37"/>
      <c r="F46" s="36">
        <v>1</v>
      </c>
      <c r="G46" s="53">
        <f t="shared" si="4"/>
        <v>560</v>
      </c>
      <c r="H46" s="36">
        <v>2</v>
      </c>
      <c r="I46" s="53">
        <f t="shared" si="1"/>
        <v>400</v>
      </c>
      <c r="J46" s="36">
        <v>2</v>
      </c>
      <c r="K46" s="52"/>
    </row>
    <row r="47" spans="1:11">
      <c r="A47" s="77" t="str">
        <f>'1. 소켓인수검사'!A48</f>
        <v>40</v>
      </c>
      <c r="B47" s="51" t="s">
        <v>15</v>
      </c>
      <c r="C47" s="36">
        <f>'1. 소켓인수검사'!C48</f>
        <v>500</v>
      </c>
      <c r="D47" s="36">
        <f>'1. 소켓인수검사'!D48</f>
        <v>500</v>
      </c>
      <c r="E47" s="37"/>
      <c r="F47" s="36">
        <v>1</v>
      </c>
      <c r="G47" s="53">
        <f t="shared" si="4"/>
        <v>560</v>
      </c>
      <c r="H47" s="36">
        <v>2</v>
      </c>
      <c r="I47" s="53">
        <f t="shared" si="1"/>
        <v>500</v>
      </c>
      <c r="J47" s="36">
        <v>2</v>
      </c>
      <c r="K47" s="52"/>
    </row>
    <row r="48" spans="1:11">
      <c r="A48" s="77" t="str">
        <f>'1. 소켓인수검사'!A49</f>
        <v>41</v>
      </c>
      <c r="B48" s="51" t="s">
        <v>15</v>
      </c>
      <c r="C48" s="36">
        <f>'1. 소켓인수검사'!C49</f>
        <v>500</v>
      </c>
      <c r="D48" s="36">
        <f>'1. 소켓인수검사'!D49</f>
        <v>500</v>
      </c>
      <c r="E48" s="37"/>
      <c r="F48" s="36">
        <v>1</v>
      </c>
      <c r="G48" s="53">
        <f t="shared" si="4"/>
        <v>560</v>
      </c>
      <c r="H48" s="36">
        <v>2</v>
      </c>
      <c r="I48" s="53">
        <f t="shared" si="1"/>
        <v>500</v>
      </c>
      <c r="J48" s="36">
        <v>2</v>
      </c>
      <c r="K48" s="54"/>
    </row>
    <row r="49" spans="1:11">
      <c r="A49" s="77" t="str">
        <f>'1. 소켓인수검사'!A50</f>
        <v>42</v>
      </c>
      <c r="B49" s="51" t="s">
        <v>15</v>
      </c>
      <c r="C49" s="36">
        <f>'1. 소켓인수검사'!C50</f>
        <v>500</v>
      </c>
      <c r="D49" s="36">
        <f>'1. 소켓인수검사'!D50</f>
        <v>500</v>
      </c>
      <c r="E49" s="37"/>
      <c r="F49" s="36">
        <v>1</v>
      </c>
      <c r="G49" s="53">
        <f t="shared" si="4"/>
        <v>560</v>
      </c>
      <c r="H49" s="36">
        <v>2</v>
      </c>
      <c r="I49" s="53">
        <f t="shared" si="1"/>
        <v>500</v>
      </c>
      <c r="J49" s="36">
        <v>2</v>
      </c>
      <c r="K49" s="52"/>
    </row>
    <row r="50" spans="1:11">
      <c r="A50" s="77" t="str">
        <f>'1. 소켓인수검사'!A51</f>
        <v>43</v>
      </c>
      <c r="B50" s="51" t="s">
        <v>15</v>
      </c>
      <c r="C50" s="36">
        <f>'1. 소켓인수검사'!C51</f>
        <v>500</v>
      </c>
      <c r="D50" s="36">
        <f>'1. 소켓인수검사'!D51</f>
        <v>500</v>
      </c>
      <c r="E50" s="37"/>
      <c r="F50" s="36">
        <v>1</v>
      </c>
      <c r="G50" s="53">
        <f t="shared" si="4"/>
        <v>560</v>
      </c>
      <c r="H50" s="36">
        <v>2</v>
      </c>
      <c r="I50" s="53">
        <f t="shared" si="1"/>
        <v>500</v>
      </c>
      <c r="J50" s="36">
        <v>2</v>
      </c>
      <c r="K50" s="52"/>
    </row>
    <row r="51" spans="1:11">
      <c r="A51" s="77" t="str">
        <f>'1. 소켓인수검사'!A52</f>
        <v>44</v>
      </c>
      <c r="B51" s="51" t="s">
        <v>15</v>
      </c>
      <c r="C51" s="36">
        <f>'1. 소켓인수검사'!C52</f>
        <v>600</v>
      </c>
      <c r="D51" s="36">
        <f>'1. 소켓인수검사'!D52</f>
        <v>300</v>
      </c>
      <c r="E51" s="37"/>
      <c r="F51" s="36">
        <v>1</v>
      </c>
      <c r="G51" s="53">
        <f t="shared" si="4"/>
        <v>660</v>
      </c>
      <c r="H51" s="36">
        <v>2</v>
      </c>
      <c r="I51" s="53">
        <f t="shared" si="1"/>
        <v>300</v>
      </c>
      <c r="J51" s="36">
        <v>2</v>
      </c>
      <c r="K51" s="52"/>
    </row>
    <row r="52" spans="1:11">
      <c r="A52" s="77" t="str">
        <f>'1. 소켓인수검사'!A53</f>
        <v>45</v>
      </c>
      <c r="B52" s="51" t="s">
        <v>15</v>
      </c>
      <c r="C52" s="36">
        <f>'1. 소켓인수검사'!C53</f>
        <v>600</v>
      </c>
      <c r="D52" s="36">
        <f>'1. 소켓인수검사'!D53</f>
        <v>350</v>
      </c>
      <c r="E52" s="37"/>
      <c r="F52" s="36">
        <v>1</v>
      </c>
      <c r="G52" s="53">
        <f t="shared" si="4"/>
        <v>660</v>
      </c>
      <c r="H52" s="36">
        <v>2</v>
      </c>
      <c r="I52" s="53">
        <f t="shared" si="1"/>
        <v>350</v>
      </c>
      <c r="J52" s="36">
        <v>2</v>
      </c>
      <c r="K52" s="52"/>
    </row>
    <row r="53" spans="1:11">
      <c r="A53" s="77" t="str">
        <f>'1. 소켓인수검사'!A54</f>
        <v>46</v>
      </c>
      <c r="B53" s="51" t="s">
        <v>15</v>
      </c>
      <c r="C53" s="36">
        <f>'1. 소켓인수검사'!C54</f>
        <v>600</v>
      </c>
      <c r="D53" s="36">
        <f>'1. 소켓인수검사'!D54</f>
        <v>350</v>
      </c>
      <c r="E53" s="37"/>
      <c r="F53" s="36">
        <v>1</v>
      </c>
      <c r="G53" s="53">
        <f t="shared" si="4"/>
        <v>660</v>
      </c>
      <c r="H53" s="36">
        <v>2</v>
      </c>
      <c r="I53" s="53">
        <f t="shared" si="1"/>
        <v>350</v>
      </c>
      <c r="J53" s="36">
        <v>2</v>
      </c>
      <c r="K53" s="52"/>
    </row>
    <row r="54" spans="1:11">
      <c r="A54" s="77" t="str">
        <f>'1. 소켓인수검사'!A55</f>
        <v>47</v>
      </c>
      <c r="B54" s="51" t="s">
        <v>15</v>
      </c>
      <c r="C54" s="36">
        <f>'1. 소켓인수검사'!C55</f>
        <v>600</v>
      </c>
      <c r="D54" s="36">
        <f>'1. 소켓인수검사'!D55</f>
        <v>400</v>
      </c>
      <c r="E54" s="37"/>
      <c r="F54" s="36">
        <v>1</v>
      </c>
      <c r="G54" s="53">
        <f t="shared" si="4"/>
        <v>660</v>
      </c>
      <c r="H54" s="36">
        <v>2</v>
      </c>
      <c r="I54" s="53">
        <f t="shared" si="1"/>
        <v>400</v>
      </c>
      <c r="J54" s="36">
        <v>2</v>
      </c>
      <c r="K54" s="52"/>
    </row>
    <row r="55" spans="1:11">
      <c r="A55" s="77" t="str">
        <f>'1. 소켓인수검사'!A56</f>
        <v>48</v>
      </c>
      <c r="B55" s="51" t="s">
        <v>15</v>
      </c>
      <c r="C55" s="36">
        <f>'1. 소켓인수검사'!C56</f>
        <v>600</v>
      </c>
      <c r="D55" s="36">
        <f>'1. 소켓인수검사'!D56</f>
        <v>400</v>
      </c>
      <c r="E55" s="37"/>
      <c r="F55" s="36">
        <v>1</v>
      </c>
      <c r="G55" s="53">
        <f t="shared" si="4"/>
        <v>660</v>
      </c>
      <c r="H55" s="36">
        <v>2</v>
      </c>
      <c r="I55" s="53">
        <f t="shared" si="1"/>
        <v>400</v>
      </c>
      <c r="J55" s="36">
        <v>2</v>
      </c>
      <c r="K55" s="52"/>
    </row>
    <row r="56" spans="1:11">
      <c r="A56" s="77" t="str">
        <f>'1. 소켓인수검사'!A57</f>
        <v>49</v>
      </c>
      <c r="B56" s="51" t="s">
        <v>15</v>
      </c>
      <c r="C56" s="36">
        <f>'1. 소켓인수검사'!C57</f>
        <v>600</v>
      </c>
      <c r="D56" s="36">
        <f>'1. 소켓인수검사'!D57</f>
        <v>500</v>
      </c>
      <c r="E56" s="37"/>
      <c r="F56" s="36">
        <v>1</v>
      </c>
      <c r="G56" s="53">
        <f t="shared" si="4"/>
        <v>660</v>
      </c>
      <c r="H56" s="36">
        <v>2</v>
      </c>
      <c r="I56" s="53">
        <f t="shared" si="1"/>
        <v>500</v>
      </c>
      <c r="J56" s="36">
        <v>2</v>
      </c>
      <c r="K56" s="52"/>
    </row>
    <row r="57" spans="1:11">
      <c r="A57" s="77" t="str">
        <f>'1. 소켓인수검사'!A58</f>
        <v>50</v>
      </c>
      <c r="B57" s="51" t="s">
        <v>15</v>
      </c>
      <c r="C57" s="36">
        <f>'1. 소켓인수검사'!C58</f>
        <v>600</v>
      </c>
      <c r="D57" s="36">
        <f>'1. 소켓인수검사'!D58</f>
        <v>500</v>
      </c>
      <c r="E57" s="37"/>
      <c r="F57" s="36">
        <v>1</v>
      </c>
      <c r="G57" s="53">
        <f t="shared" ref="G57:G67" si="5">C57+60</f>
        <v>660</v>
      </c>
      <c r="H57" s="36">
        <v>2</v>
      </c>
      <c r="I57" s="53">
        <f t="shared" si="1"/>
        <v>500</v>
      </c>
      <c r="J57" s="36">
        <v>2</v>
      </c>
      <c r="K57" s="52"/>
    </row>
    <row r="58" spans="1:11">
      <c r="A58" s="77" t="str">
        <f>'1. 소켓인수검사'!A59</f>
        <v>51</v>
      </c>
      <c r="B58" s="51" t="s">
        <v>15</v>
      </c>
      <c r="C58" s="36">
        <f>'1. 소켓인수검사'!C59</f>
        <v>600</v>
      </c>
      <c r="D58" s="36">
        <f>'1. 소켓인수검사'!D59</f>
        <v>500</v>
      </c>
      <c r="E58" s="37"/>
      <c r="F58" s="36">
        <v>1</v>
      </c>
      <c r="G58" s="53">
        <f t="shared" si="5"/>
        <v>660</v>
      </c>
      <c r="H58" s="36">
        <v>2</v>
      </c>
      <c r="I58" s="53">
        <f t="shared" si="1"/>
        <v>500</v>
      </c>
      <c r="J58" s="36">
        <v>2</v>
      </c>
      <c r="K58" s="52"/>
    </row>
    <row r="59" spans="1:11">
      <c r="A59" s="77" t="str">
        <f>'1. 소켓인수검사'!A60</f>
        <v>52</v>
      </c>
      <c r="B59" s="51" t="s">
        <v>15</v>
      </c>
      <c r="C59" s="36">
        <f>'1. 소켓인수검사'!C60</f>
        <v>700</v>
      </c>
      <c r="D59" s="36">
        <f>'1. 소켓인수검사'!D60</f>
        <v>300</v>
      </c>
      <c r="E59" s="37"/>
      <c r="F59" s="36">
        <v>1</v>
      </c>
      <c r="G59" s="53">
        <f t="shared" si="5"/>
        <v>760</v>
      </c>
      <c r="H59" s="36">
        <v>2</v>
      </c>
      <c r="I59" s="53">
        <f t="shared" si="1"/>
        <v>300</v>
      </c>
      <c r="J59" s="36">
        <v>2</v>
      </c>
      <c r="K59" s="52"/>
    </row>
    <row r="60" spans="1:11">
      <c r="A60" s="77" t="str">
        <f>'1. 소켓인수검사'!A61</f>
        <v>53</v>
      </c>
      <c r="B60" s="51" t="s">
        <v>15</v>
      </c>
      <c r="C60" s="36">
        <f>'1. 소켓인수검사'!C61</f>
        <v>700</v>
      </c>
      <c r="D60" s="36">
        <f>'1. 소켓인수검사'!D61</f>
        <v>400</v>
      </c>
      <c r="E60" s="37"/>
      <c r="F60" s="36">
        <v>1</v>
      </c>
      <c r="G60" s="53">
        <f t="shared" si="5"/>
        <v>760</v>
      </c>
      <c r="H60" s="36">
        <v>2</v>
      </c>
      <c r="I60" s="53">
        <f t="shared" si="1"/>
        <v>400</v>
      </c>
      <c r="J60" s="36">
        <v>2</v>
      </c>
      <c r="K60" s="52"/>
    </row>
    <row r="61" spans="1:11">
      <c r="A61" s="77" t="str">
        <f>'1. 소켓인수검사'!A62</f>
        <v>54</v>
      </c>
      <c r="B61" s="51" t="s">
        <v>15</v>
      </c>
      <c r="C61" s="36">
        <f>'1. 소켓인수검사'!C62</f>
        <v>750</v>
      </c>
      <c r="D61" s="36">
        <f>'1. 소켓인수검사'!D62</f>
        <v>400</v>
      </c>
      <c r="E61" s="37"/>
      <c r="F61" s="36">
        <v>1</v>
      </c>
      <c r="G61" s="53">
        <f t="shared" si="5"/>
        <v>810</v>
      </c>
      <c r="H61" s="36">
        <v>2</v>
      </c>
      <c r="I61" s="53">
        <f t="shared" si="1"/>
        <v>400</v>
      </c>
      <c r="J61" s="36">
        <v>2</v>
      </c>
      <c r="K61" s="52"/>
    </row>
    <row r="62" spans="1:11">
      <c r="A62" s="77" t="str">
        <f>'1. 소켓인수검사'!A63</f>
        <v>55</v>
      </c>
      <c r="B62" s="51" t="s">
        <v>15</v>
      </c>
      <c r="C62" s="36">
        <f>'1. 소켓인수검사'!C63</f>
        <v>750</v>
      </c>
      <c r="D62" s="36">
        <f>'1. 소켓인수검사'!D63</f>
        <v>400</v>
      </c>
      <c r="E62" s="37"/>
      <c r="F62" s="36">
        <v>1</v>
      </c>
      <c r="G62" s="53">
        <f t="shared" si="5"/>
        <v>810</v>
      </c>
      <c r="H62" s="36">
        <v>2</v>
      </c>
      <c r="I62" s="53">
        <f t="shared" si="1"/>
        <v>400</v>
      </c>
      <c r="J62" s="36">
        <v>2</v>
      </c>
      <c r="K62" s="52"/>
    </row>
    <row r="63" spans="1:11">
      <c r="A63" s="77" t="str">
        <f>'1. 소켓인수검사'!A64</f>
        <v>56</v>
      </c>
      <c r="B63" s="51" t="s">
        <v>15</v>
      </c>
      <c r="C63" s="36">
        <f>'1. 소켓인수검사'!C64</f>
        <v>750</v>
      </c>
      <c r="D63" s="36">
        <f>'1. 소켓인수검사'!D64</f>
        <v>550</v>
      </c>
      <c r="E63" s="37"/>
      <c r="F63" s="36">
        <v>1</v>
      </c>
      <c r="G63" s="53">
        <f t="shared" si="5"/>
        <v>810</v>
      </c>
      <c r="H63" s="36">
        <v>2</v>
      </c>
      <c r="I63" s="53">
        <f t="shared" si="1"/>
        <v>550</v>
      </c>
      <c r="J63" s="36">
        <v>2</v>
      </c>
      <c r="K63" s="52"/>
    </row>
    <row r="64" spans="1:11">
      <c r="A64" s="77" t="str">
        <f>'1. 소켓인수검사'!A65</f>
        <v>57</v>
      </c>
      <c r="B64" s="51" t="s">
        <v>15</v>
      </c>
      <c r="C64" s="36">
        <f>'1. 소켓인수검사'!C65</f>
        <v>800</v>
      </c>
      <c r="D64" s="36">
        <f>'1. 소켓인수검사'!D65</f>
        <v>400</v>
      </c>
      <c r="E64" s="37"/>
      <c r="F64" s="36">
        <v>1</v>
      </c>
      <c r="G64" s="53">
        <f t="shared" si="5"/>
        <v>860</v>
      </c>
      <c r="H64" s="36">
        <v>2</v>
      </c>
      <c r="I64" s="53">
        <f t="shared" si="1"/>
        <v>400</v>
      </c>
      <c r="J64" s="36">
        <v>2</v>
      </c>
      <c r="K64" s="52"/>
    </row>
    <row r="65" spans="1:11">
      <c r="A65" s="77" t="str">
        <f>'1. 소켓인수검사'!A66</f>
        <v>58</v>
      </c>
      <c r="B65" s="51" t="s">
        <v>15</v>
      </c>
      <c r="C65" s="36">
        <f>'1. 소켓인수검사'!C66</f>
        <v>800</v>
      </c>
      <c r="D65" s="36">
        <f>'1. 소켓인수검사'!D66</f>
        <v>450</v>
      </c>
      <c r="E65" s="37"/>
      <c r="F65" s="36">
        <v>1</v>
      </c>
      <c r="G65" s="53">
        <f t="shared" si="5"/>
        <v>860</v>
      </c>
      <c r="H65" s="36">
        <v>2</v>
      </c>
      <c r="I65" s="53">
        <f t="shared" si="1"/>
        <v>450</v>
      </c>
      <c r="J65" s="36">
        <v>2</v>
      </c>
      <c r="K65" s="52"/>
    </row>
    <row r="66" spans="1:11">
      <c r="A66" s="77" t="str">
        <f>'1. 소켓인수검사'!A67</f>
        <v>59</v>
      </c>
      <c r="B66" s="51" t="s">
        <v>15</v>
      </c>
      <c r="C66" s="36">
        <f>'1. 소켓인수검사'!C67</f>
        <v>950</v>
      </c>
      <c r="D66" s="36">
        <f>'1. 소켓인수검사'!D67</f>
        <v>400</v>
      </c>
      <c r="E66" s="37"/>
      <c r="F66" s="36">
        <v>1</v>
      </c>
      <c r="G66" s="53">
        <f t="shared" si="5"/>
        <v>1010</v>
      </c>
      <c r="H66" s="36">
        <v>2</v>
      </c>
      <c r="I66" s="53">
        <f t="shared" si="1"/>
        <v>400</v>
      </c>
      <c r="J66" s="36">
        <v>2</v>
      </c>
      <c r="K66" s="52"/>
    </row>
    <row r="67" spans="1:11">
      <c r="A67" s="77" t="str">
        <f>'1. 소켓인수검사'!A68</f>
        <v>60</v>
      </c>
      <c r="B67" s="51" t="s">
        <v>15</v>
      </c>
      <c r="C67" s="36">
        <f>'1. 소켓인수검사'!C68</f>
        <v>1050</v>
      </c>
      <c r="D67" s="36">
        <f>'1. 소켓인수검사'!D68</f>
        <v>400</v>
      </c>
      <c r="E67" s="37"/>
      <c r="F67" s="36">
        <v>1</v>
      </c>
      <c r="G67" s="53">
        <f t="shared" si="5"/>
        <v>1110</v>
      </c>
      <c r="H67" s="36">
        <v>2</v>
      </c>
      <c r="I67" s="53">
        <f t="shared" si="1"/>
        <v>400</v>
      </c>
      <c r="J67" s="36">
        <v>2</v>
      </c>
      <c r="K67" s="52"/>
    </row>
    <row r="68" spans="1:11">
      <c r="A68" s="77" t="str">
        <f>'1. 소켓인수검사'!A69</f>
        <v>61</v>
      </c>
      <c r="B68" s="51" t="s">
        <v>15</v>
      </c>
      <c r="C68" s="36">
        <f>'1. 소켓인수검사'!C69</f>
        <v>1050</v>
      </c>
      <c r="D68" s="36">
        <f>'1. 소켓인수검사'!D69</f>
        <v>400</v>
      </c>
      <c r="E68" s="37"/>
      <c r="F68" s="36">
        <v>1</v>
      </c>
      <c r="G68" s="53">
        <f t="shared" si="4"/>
        <v>1110</v>
      </c>
      <c r="H68" s="36">
        <v>2</v>
      </c>
      <c r="I68" s="53">
        <f t="shared" si="1"/>
        <v>400</v>
      </c>
      <c r="J68" s="36">
        <v>2</v>
      </c>
      <c r="K68" s="52"/>
    </row>
    <row r="69" spans="1:11">
      <c r="A69" s="99" t="s">
        <v>44</v>
      </c>
      <c r="B69" s="99"/>
      <c r="C69" s="99"/>
      <c r="D69" s="99"/>
      <c r="E69" s="99"/>
      <c r="F69" s="99"/>
      <c r="G69" s="99"/>
      <c r="H69" s="99"/>
      <c r="I69" s="99"/>
      <c r="J69" s="99"/>
      <c r="K69" s="99"/>
    </row>
    <row r="70" spans="1:11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</row>
    <row r="71" spans="1:1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</row>
  </sheetData>
  <mergeCells count="17">
    <mergeCell ref="A69:C71"/>
    <mergeCell ref="D69:K71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  <mergeCell ref="I6:J6"/>
    <mergeCell ref="E1:F3"/>
    <mergeCell ref="G1:K3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76"/>
  <sheetViews>
    <sheetView zoomScaleNormal="100" zoomScaleSheetLayoutView="100" workbookViewId="0">
      <selection activeCell="H82" sqref="H82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99"/>
      <c r="B1" s="99"/>
      <c r="C1" s="99"/>
      <c r="D1" s="99"/>
      <c r="E1" s="159" t="s">
        <v>65</v>
      </c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1"/>
    </row>
    <row r="2" spans="1:16" ht="16.5" customHeight="1">
      <c r="A2" s="99"/>
      <c r="B2" s="99"/>
      <c r="C2" s="99"/>
      <c r="D2" s="99"/>
      <c r="E2" s="162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4"/>
    </row>
    <row r="3" spans="1:16" ht="16.5" customHeight="1">
      <c r="A3" s="99"/>
      <c r="B3" s="99"/>
      <c r="C3" s="99"/>
      <c r="D3" s="99"/>
      <c r="E3" s="162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4"/>
    </row>
    <row r="4" spans="1:16" ht="16.5" customHeight="1">
      <c r="A4" s="99" t="s">
        <v>16</v>
      </c>
      <c r="B4" s="99"/>
      <c r="C4" s="168"/>
      <c r="D4" s="169"/>
      <c r="E4" s="165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7"/>
    </row>
    <row r="5" spans="1:16">
      <c r="A5" s="99" t="s">
        <v>25</v>
      </c>
      <c r="B5" s="99"/>
      <c r="C5" s="99"/>
      <c r="D5" s="99"/>
      <c r="E5" s="6" t="s">
        <v>31</v>
      </c>
      <c r="F5" s="99"/>
      <c r="G5" s="99"/>
      <c r="H5" s="99" t="s">
        <v>55</v>
      </c>
      <c r="I5" s="99"/>
      <c r="J5" s="99"/>
      <c r="K5" s="99" t="s">
        <v>51</v>
      </c>
      <c r="L5" s="99"/>
      <c r="M5" s="99"/>
      <c r="N5" s="170" t="str">
        <f>'1. 소켓인수검사'!R2</f>
        <v>26.07.15 엘티_롯데건설_광장이엠씨_검단신도시C1</v>
      </c>
      <c r="O5" s="170"/>
      <c r="P5" s="170"/>
    </row>
    <row r="6" spans="1:16">
      <c r="A6" s="99"/>
      <c r="B6" s="99"/>
      <c r="C6" s="99"/>
      <c r="D6" s="99"/>
      <c r="E6" s="6" t="s">
        <v>28</v>
      </c>
      <c r="F6" s="99"/>
      <c r="G6" s="99"/>
      <c r="H6" s="99"/>
      <c r="I6" s="99"/>
      <c r="J6" s="99"/>
      <c r="K6" s="99"/>
      <c r="L6" s="99"/>
      <c r="M6" s="99"/>
      <c r="N6" s="170"/>
      <c r="O6" s="170"/>
      <c r="P6" s="170"/>
    </row>
    <row r="7" spans="1:16" ht="8.1" customHeight="1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</row>
    <row r="8" spans="1:16">
      <c r="A8" s="171" t="s">
        <v>52</v>
      </c>
      <c r="B8" s="173" t="s">
        <v>4</v>
      </c>
      <c r="C8" s="173"/>
      <c r="D8" s="173" t="s">
        <v>27</v>
      </c>
      <c r="E8" s="173" t="s">
        <v>23</v>
      </c>
      <c r="F8" s="173" t="s">
        <v>56</v>
      </c>
      <c r="G8" s="173" t="s">
        <v>26</v>
      </c>
      <c r="H8" s="173"/>
      <c r="I8" s="173"/>
      <c r="J8" s="173"/>
      <c r="K8" s="173"/>
      <c r="L8" s="173"/>
      <c r="M8" s="173"/>
      <c r="N8" s="173"/>
      <c r="O8" s="173"/>
      <c r="P8" s="175" t="s">
        <v>2</v>
      </c>
    </row>
    <row r="9" spans="1:16" ht="16.5" customHeight="1">
      <c r="A9" s="172"/>
      <c r="B9" s="174" t="s">
        <v>59</v>
      </c>
      <c r="C9" s="174" t="s">
        <v>57</v>
      </c>
      <c r="D9" s="174"/>
      <c r="E9" s="174"/>
      <c r="F9" s="174"/>
      <c r="G9" s="174" t="s">
        <v>53</v>
      </c>
      <c r="H9" s="174" t="s">
        <v>59</v>
      </c>
      <c r="I9" s="174"/>
      <c r="J9" s="174" t="s">
        <v>10</v>
      </c>
      <c r="K9" s="174" t="s">
        <v>57</v>
      </c>
      <c r="L9" s="174"/>
      <c r="M9" s="174"/>
      <c r="N9" s="174"/>
      <c r="O9" s="174" t="s">
        <v>10</v>
      </c>
      <c r="P9" s="176"/>
    </row>
    <row r="10" spans="1:16">
      <c r="A10" s="172"/>
      <c r="B10" s="174"/>
      <c r="C10" s="174"/>
      <c r="D10" s="174"/>
      <c r="E10" s="174"/>
      <c r="F10" s="174"/>
      <c r="G10" s="174"/>
      <c r="H10" s="25" t="s">
        <v>4</v>
      </c>
      <c r="I10" s="25" t="s">
        <v>30</v>
      </c>
      <c r="J10" s="174"/>
      <c r="K10" s="174" t="s">
        <v>4</v>
      </c>
      <c r="L10" s="174"/>
      <c r="M10" s="174"/>
      <c r="N10" s="25" t="s">
        <v>30</v>
      </c>
      <c r="O10" s="174"/>
      <c r="P10" s="176"/>
    </row>
    <row r="11" spans="1:16">
      <c r="A11" s="24" t="str">
        <f>'1. 소켓인수검사'!A9</f>
        <v>01</v>
      </c>
      <c r="B11" s="26">
        <f>'1. 소켓인수검사'!C9</f>
        <v>200</v>
      </c>
      <c r="C11" s="26">
        <f>'1. 소켓인수검사'!D9</f>
        <v>150</v>
      </c>
      <c r="D11" s="27">
        <v>1</v>
      </c>
      <c r="E11" s="28"/>
      <c r="F11" s="27">
        <v>1.6</v>
      </c>
      <c r="G11" s="27"/>
      <c r="H11" s="27">
        <f>B11-1</f>
        <v>199</v>
      </c>
      <c r="I11" s="27">
        <f t="shared" ref="I11:I12" si="0">D11*4</f>
        <v>4</v>
      </c>
      <c r="J11" s="27"/>
      <c r="K11" s="177">
        <f t="shared" ref="K11:K12" si="1">C11-30</f>
        <v>120</v>
      </c>
      <c r="L11" s="177"/>
      <c r="M11" s="177"/>
      <c r="N11" s="27">
        <f t="shared" ref="N11:N12" si="2">D11*4</f>
        <v>4</v>
      </c>
      <c r="O11" s="27"/>
      <c r="P11" s="29"/>
    </row>
    <row r="12" spans="1:16">
      <c r="A12" s="24" t="str">
        <f>'1. 소켓인수검사'!A10</f>
        <v>02</v>
      </c>
      <c r="B12" s="26">
        <f>'1. 소켓인수검사'!C10</f>
        <v>200</v>
      </c>
      <c r="C12" s="26">
        <f>'1. 소켓인수검사'!D10</f>
        <v>200</v>
      </c>
      <c r="D12" s="27">
        <v>1</v>
      </c>
      <c r="E12" s="28"/>
      <c r="F12" s="27">
        <v>1.6</v>
      </c>
      <c r="G12" s="27"/>
      <c r="H12" s="27">
        <f t="shared" ref="H12" si="3">B12-1</f>
        <v>199</v>
      </c>
      <c r="I12" s="27">
        <f t="shared" si="0"/>
        <v>4</v>
      </c>
      <c r="J12" s="27"/>
      <c r="K12" s="177">
        <f t="shared" si="1"/>
        <v>170</v>
      </c>
      <c r="L12" s="177"/>
      <c r="M12" s="177"/>
      <c r="N12" s="27">
        <f t="shared" si="2"/>
        <v>4</v>
      </c>
      <c r="O12" s="27"/>
      <c r="P12" s="30"/>
    </row>
    <row r="13" spans="1:16">
      <c r="A13" s="24" t="str">
        <f>'1. 소켓인수검사'!A11</f>
        <v>03</v>
      </c>
      <c r="B13" s="26">
        <f>'1. 소켓인수검사'!C11</f>
        <v>200</v>
      </c>
      <c r="C13" s="26">
        <f>'1. 소켓인수검사'!D11</f>
        <v>200</v>
      </c>
      <c r="D13" s="27">
        <v>1</v>
      </c>
      <c r="E13" s="28"/>
      <c r="F13" s="27">
        <v>1.6</v>
      </c>
      <c r="G13" s="27"/>
      <c r="H13" s="27">
        <f t="shared" ref="H13:H71" si="4">B13-1</f>
        <v>199</v>
      </c>
      <c r="I13" s="27">
        <f t="shared" ref="I13:I71" si="5">D13*4</f>
        <v>4</v>
      </c>
      <c r="J13" s="27"/>
      <c r="K13" s="177">
        <f t="shared" ref="K13:K71" si="6">C13-30</f>
        <v>170</v>
      </c>
      <c r="L13" s="177"/>
      <c r="M13" s="177"/>
      <c r="N13" s="27">
        <f t="shared" ref="N13:N71" si="7">D13*4</f>
        <v>4</v>
      </c>
      <c r="O13" s="27"/>
      <c r="P13" s="30"/>
    </row>
    <row r="14" spans="1:16">
      <c r="A14" s="24" t="str">
        <f>'1. 소켓인수검사'!A12</f>
        <v>04</v>
      </c>
      <c r="B14" s="26">
        <f>'1. 소켓인수검사'!C12</f>
        <v>200</v>
      </c>
      <c r="C14" s="26">
        <f>'1. 소켓인수검사'!D12</f>
        <v>200</v>
      </c>
      <c r="D14" s="27">
        <v>1</v>
      </c>
      <c r="E14" s="28"/>
      <c r="F14" s="27">
        <v>1.6</v>
      </c>
      <c r="G14" s="27"/>
      <c r="H14" s="27">
        <f t="shared" si="4"/>
        <v>199</v>
      </c>
      <c r="I14" s="27">
        <f t="shared" si="5"/>
        <v>4</v>
      </c>
      <c r="J14" s="27"/>
      <c r="K14" s="177">
        <f t="shared" si="6"/>
        <v>170</v>
      </c>
      <c r="L14" s="177"/>
      <c r="M14" s="177"/>
      <c r="N14" s="27">
        <f t="shared" si="7"/>
        <v>4</v>
      </c>
      <c r="O14" s="27"/>
      <c r="P14" s="31"/>
    </row>
    <row r="15" spans="1:16">
      <c r="A15" s="24" t="str">
        <f>'1. 소켓인수검사'!A13</f>
        <v>05</v>
      </c>
      <c r="B15" s="26">
        <f>'1. 소켓인수검사'!C13</f>
        <v>200</v>
      </c>
      <c r="C15" s="26">
        <f>'1. 소켓인수검사'!D13</f>
        <v>200</v>
      </c>
      <c r="D15" s="27">
        <v>1</v>
      </c>
      <c r="E15" s="28"/>
      <c r="F15" s="27">
        <v>1.6</v>
      </c>
      <c r="G15" s="27"/>
      <c r="H15" s="27">
        <f t="shared" si="4"/>
        <v>199</v>
      </c>
      <c r="I15" s="27">
        <f t="shared" si="5"/>
        <v>4</v>
      </c>
      <c r="J15" s="27"/>
      <c r="K15" s="177">
        <f t="shared" si="6"/>
        <v>170</v>
      </c>
      <c r="L15" s="177"/>
      <c r="M15" s="177"/>
      <c r="N15" s="27">
        <f t="shared" si="7"/>
        <v>4</v>
      </c>
      <c r="O15" s="27"/>
      <c r="P15" s="31"/>
    </row>
    <row r="16" spans="1:16">
      <c r="A16" s="24" t="str">
        <f>'1. 소켓인수검사'!A14</f>
        <v>06</v>
      </c>
      <c r="B16" s="26">
        <f>'1. 소켓인수검사'!C14</f>
        <v>200</v>
      </c>
      <c r="C16" s="26">
        <f>'1. 소켓인수검사'!D14</f>
        <v>200</v>
      </c>
      <c r="D16" s="27">
        <v>1</v>
      </c>
      <c r="E16" s="28"/>
      <c r="F16" s="27">
        <v>1.6</v>
      </c>
      <c r="G16" s="27"/>
      <c r="H16" s="27">
        <f t="shared" si="4"/>
        <v>199</v>
      </c>
      <c r="I16" s="27">
        <f t="shared" si="5"/>
        <v>4</v>
      </c>
      <c r="J16" s="27"/>
      <c r="K16" s="177">
        <f t="shared" si="6"/>
        <v>170</v>
      </c>
      <c r="L16" s="177"/>
      <c r="M16" s="177"/>
      <c r="N16" s="27">
        <f t="shared" si="7"/>
        <v>4</v>
      </c>
      <c r="O16" s="27"/>
      <c r="P16" s="31"/>
    </row>
    <row r="17" spans="1:16">
      <c r="A17" s="24" t="str">
        <f>'1. 소켓인수검사'!A15</f>
        <v>07</v>
      </c>
      <c r="B17" s="26">
        <f>'1. 소켓인수검사'!C15</f>
        <v>200</v>
      </c>
      <c r="C17" s="26">
        <f>'1. 소켓인수검사'!D15</f>
        <v>200</v>
      </c>
      <c r="D17" s="27">
        <v>1</v>
      </c>
      <c r="E17" s="28"/>
      <c r="F17" s="27">
        <v>1.6</v>
      </c>
      <c r="G17" s="27"/>
      <c r="H17" s="27">
        <f t="shared" si="4"/>
        <v>199</v>
      </c>
      <c r="I17" s="27">
        <f t="shared" si="5"/>
        <v>4</v>
      </c>
      <c r="J17" s="27"/>
      <c r="K17" s="177">
        <f t="shared" si="6"/>
        <v>170</v>
      </c>
      <c r="L17" s="177"/>
      <c r="M17" s="177"/>
      <c r="N17" s="27">
        <f t="shared" si="7"/>
        <v>4</v>
      </c>
      <c r="O17" s="27"/>
      <c r="P17" s="31"/>
    </row>
    <row r="18" spans="1:16">
      <c r="A18" s="24" t="str">
        <f>'1. 소켓인수검사'!A16</f>
        <v>08</v>
      </c>
      <c r="B18" s="26">
        <f>'1. 소켓인수검사'!C16</f>
        <v>250</v>
      </c>
      <c r="C18" s="26">
        <f>'1. 소켓인수검사'!D16</f>
        <v>200</v>
      </c>
      <c r="D18" s="27">
        <v>1</v>
      </c>
      <c r="E18" s="28"/>
      <c r="F18" s="27">
        <v>1.6</v>
      </c>
      <c r="G18" s="27"/>
      <c r="H18" s="27">
        <f t="shared" si="4"/>
        <v>249</v>
      </c>
      <c r="I18" s="27">
        <f t="shared" si="5"/>
        <v>4</v>
      </c>
      <c r="J18" s="27"/>
      <c r="K18" s="177">
        <f t="shared" si="6"/>
        <v>170</v>
      </c>
      <c r="L18" s="177"/>
      <c r="M18" s="177"/>
      <c r="N18" s="27">
        <f t="shared" si="7"/>
        <v>4</v>
      </c>
      <c r="O18" s="27"/>
      <c r="P18" s="31"/>
    </row>
    <row r="19" spans="1:16">
      <c r="A19" s="24" t="str">
        <f>'1. 소켓인수검사'!A17</f>
        <v>09</v>
      </c>
      <c r="B19" s="26">
        <f>'1. 소켓인수검사'!C17</f>
        <v>250</v>
      </c>
      <c r="C19" s="26">
        <f>'1. 소켓인수검사'!D17</f>
        <v>200</v>
      </c>
      <c r="D19" s="27">
        <v>1</v>
      </c>
      <c r="E19" s="28"/>
      <c r="F19" s="27">
        <v>1.6</v>
      </c>
      <c r="G19" s="27"/>
      <c r="H19" s="27">
        <f t="shared" si="4"/>
        <v>249</v>
      </c>
      <c r="I19" s="27">
        <f t="shared" si="5"/>
        <v>4</v>
      </c>
      <c r="J19" s="27"/>
      <c r="K19" s="177">
        <f t="shared" si="6"/>
        <v>170</v>
      </c>
      <c r="L19" s="177"/>
      <c r="M19" s="177"/>
      <c r="N19" s="27">
        <f t="shared" si="7"/>
        <v>4</v>
      </c>
      <c r="O19" s="27"/>
      <c r="P19" s="31"/>
    </row>
    <row r="20" spans="1:16">
      <c r="A20" s="24" t="str">
        <f>'1. 소켓인수검사'!A18</f>
        <v>10</v>
      </c>
      <c r="B20" s="26">
        <f>'1. 소켓인수검사'!C18</f>
        <v>250</v>
      </c>
      <c r="C20" s="26">
        <f>'1. 소켓인수검사'!D18</f>
        <v>200</v>
      </c>
      <c r="D20" s="27">
        <v>1</v>
      </c>
      <c r="E20" s="28"/>
      <c r="F20" s="27">
        <v>1.6</v>
      </c>
      <c r="G20" s="27"/>
      <c r="H20" s="27">
        <f t="shared" si="4"/>
        <v>249</v>
      </c>
      <c r="I20" s="27">
        <f t="shared" si="5"/>
        <v>4</v>
      </c>
      <c r="J20" s="27"/>
      <c r="K20" s="177">
        <f t="shared" si="6"/>
        <v>170</v>
      </c>
      <c r="L20" s="177"/>
      <c r="M20" s="177"/>
      <c r="N20" s="27">
        <f t="shared" si="7"/>
        <v>4</v>
      </c>
      <c r="O20" s="27"/>
      <c r="P20" s="32"/>
    </row>
    <row r="21" spans="1:16">
      <c r="A21" s="24" t="str">
        <f>'1. 소켓인수검사'!A19</f>
        <v>11</v>
      </c>
      <c r="B21" s="26">
        <f>'1. 소켓인수검사'!C19</f>
        <v>250</v>
      </c>
      <c r="C21" s="26">
        <f>'1. 소켓인수검사'!D19</f>
        <v>200</v>
      </c>
      <c r="D21" s="27">
        <v>1</v>
      </c>
      <c r="E21" s="28"/>
      <c r="F21" s="27">
        <v>1.6</v>
      </c>
      <c r="G21" s="27"/>
      <c r="H21" s="27">
        <f t="shared" si="4"/>
        <v>249</v>
      </c>
      <c r="I21" s="27">
        <f t="shared" si="5"/>
        <v>4</v>
      </c>
      <c r="J21" s="27"/>
      <c r="K21" s="177">
        <f t="shared" si="6"/>
        <v>170</v>
      </c>
      <c r="L21" s="177"/>
      <c r="M21" s="177"/>
      <c r="N21" s="27">
        <f t="shared" si="7"/>
        <v>4</v>
      </c>
      <c r="O21" s="27"/>
      <c r="P21" s="32"/>
    </row>
    <row r="22" spans="1:16">
      <c r="A22" s="24" t="str">
        <f>'1. 소켓인수검사'!A20</f>
        <v>12</v>
      </c>
      <c r="B22" s="26">
        <f>'1. 소켓인수검사'!C20</f>
        <v>250</v>
      </c>
      <c r="C22" s="26">
        <f>'1. 소켓인수검사'!D20</f>
        <v>200</v>
      </c>
      <c r="D22" s="27">
        <v>1</v>
      </c>
      <c r="E22" s="28"/>
      <c r="F22" s="27">
        <v>1.6</v>
      </c>
      <c r="G22" s="27"/>
      <c r="H22" s="27">
        <f t="shared" si="4"/>
        <v>249</v>
      </c>
      <c r="I22" s="27">
        <f t="shared" si="5"/>
        <v>4</v>
      </c>
      <c r="J22" s="27"/>
      <c r="K22" s="177">
        <f t="shared" si="6"/>
        <v>170</v>
      </c>
      <c r="L22" s="177"/>
      <c r="M22" s="177"/>
      <c r="N22" s="27">
        <f t="shared" si="7"/>
        <v>4</v>
      </c>
      <c r="O22" s="27"/>
      <c r="P22" s="32"/>
    </row>
    <row r="23" spans="1:16">
      <c r="A23" s="24" t="str">
        <f>'1. 소켓인수검사'!A21</f>
        <v>13</v>
      </c>
      <c r="B23" s="26">
        <f>'1. 소켓인수검사'!C21</f>
        <v>250</v>
      </c>
      <c r="C23" s="26">
        <f>'1. 소켓인수검사'!D21</f>
        <v>200</v>
      </c>
      <c r="D23" s="27">
        <v>1</v>
      </c>
      <c r="E23" s="28"/>
      <c r="F23" s="27">
        <v>1.6</v>
      </c>
      <c r="G23" s="27"/>
      <c r="H23" s="27">
        <f t="shared" si="4"/>
        <v>249</v>
      </c>
      <c r="I23" s="27">
        <f t="shared" si="5"/>
        <v>4</v>
      </c>
      <c r="J23" s="27"/>
      <c r="K23" s="177">
        <f t="shared" si="6"/>
        <v>170</v>
      </c>
      <c r="L23" s="177"/>
      <c r="M23" s="177"/>
      <c r="N23" s="27">
        <f t="shared" si="7"/>
        <v>4</v>
      </c>
      <c r="O23" s="27"/>
      <c r="P23" s="32"/>
    </row>
    <row r="24" spans="1:16">
      <c r="A24" s="24" t="str">
        <f>'1. 소켓인수검사'!A22</f>
        <v>14</v>
      </c>
      <c r="B24" s="26">
        <f>'1. 소켓인수검사'!C22</f>
        <v>250</v>
      </c>
      <c r="C24" s="26">
        <f>'1. 소켓인수검사'!D22</f>
        <v>200</v>
      </c>
      <c r="D24" s="27">
        <v>1</v>
      </c>
      <c r="E24" s="28"/>
      <c r="F24" s="27">
        <v>1.6</v>
      </c>
      <c r="G24" s="27"/>
      <c r="H24" s="27">
        <f t="shared" si="4"/>
        <v>249</v>
      </c>
      <c r="I24" s="27">
        <f t="shared" si="5"/>
        <v>4</v>
      </c>
      <c r="J24" s="27"/>
      <c r="K24" s="177">
        <f t="shared" si="6"/>
        <v>170</v>
      </c>
      <c r="L24" s="177"/>
      <c r="M24" s="177"/>
      <c r="N24" s="27">
        <f t="shared" si="7"/>
        <v>4</v>
      </c>
      <c r="O24" s="27"/>
      <c r="P24" s="32"/>
    </row>
    <row r="25" spans="1:16">
      <c r="A25" s="24" t="str">
        <f>'1. 소켓인수검사'!A23</f>
        <v>15</v>
      </c>
      <c r="B25" s="26">
        <f>'1. 소켓인수검사'!C23</f>
        <v>250</v>
      </c>
      <c r="C25" s="26">
        <f>'1. 소켓인수검사'!D23</f>
        <v>200</v>
      </c>
      <c r="D25" s="27">
        <v>1</v>
      </c>
      <c r="E25" s="28"/>
      <c r="F25" s="27">
        <v>1.6</v>
      </c>
      <c r="G25" s="27"/>
      <c r="H25" s="27">
        <f t="shared" si="4"/>
        <v>249</v>
      </c>
      <c r="I25" s="27">
        <f t="shared" si="5"/>
        <v>4</v>
      </c>
      <c r="J25" s="27"/>
      <c r="K25" s="177">
        <f t="shared" si="6"/>
        <v>170</v>
      </c>
      <c r="L25" s="177"/>
      <c r="M25" s="177"/>
      <c r="N25" s="27">
        <f t="shared" si="7"/>
        <v>4</v>
      </c>
      <c r="O25" s="27"/>
      <c r="P25" s="32"/>
    </row>
    <row r="26" spans="1:16">
      <c r="A26" s="24" t="str">
        <f>'1. 소켓인수검사'!A24</f>
        <v>16</v>
      </c>
      <c r="B26" s="26">
        <f>'1. 소켓인수검사'!C24</f>
        <v>250</v>
      </c>
      <c r="C26" s="26">
        <f>'1. 소켓인수검사'!D24</f>
        <v>200</v>
      </c>
      <c r="D26" s="27">
        <v>1</v>
      </c>
      <c r="E26" s="28"/>
      <c r="F26" s="27">
        <v>1.6</v>
      </c>
      <c r="G26" s="27"/>
      <c r="H26" s="27">
        <f t="shared" si="4"/>
        <v>249</v>
      </c>
      <c r="I26" s="27">
        <f t="shared" si="5"/>
        <v>4</v>
      </c>
      <c r="J26" s="27"/>
      <c r="K26" s="177">
        <f t="shared" si="6"/>
        <v>170</v>
      </c>
      <c r="L26" s="177"/>
      <c r="M26" s="177"/>
      <c r="N26" s="27">
        <f t="shared" si="7"/>
        <v>4</v>
      </c>
      <c r="O26" s="27"/>
      <c r="P26" s="32"/>
    </row>
    <row r="27" spans="1:16">
      <c r="A27" s="24" t="str">
        <f>'1. 소켓인수검사'!A25</f>
        <v>17</v>
      </c>
      <c r="B27" s="26">
        <f>'1. 소켓인수검사'!C25</f>
        <v>250</v>
      </c>
      <c r="C27" s="26">
        <f>'1. 소켓인수검사'!D25</f>
        <v>200</v>
      </c>
      <c r="D27" s="27">
        <v>1</v>
      </c>
      <c r="E27" s="28"/>
      <c r="F27" s="27">
        <v>1.6</v>
      </c>
      <c r="G27" s="27"/>
      <c r="H27" s="27">
        <f t="shared" si="4"/>
        <v>249</v>
      </c>
      <c r="I27" s="27">
        <f t="shared" si="5"/>
        <v>4</v>
      </c>
      <c r="J27" s="27"/>
      <c r="K27" s="177">
        <f t="shared" si="6"/>
        <v>170</v>
      </c>
      <c r="L27" s="177"/>
      <c r="M27" s="177"/>
      <c r="N27" s="27">
        <f t="shared" si="7"/>
        <v>4</v>
      </c>
      <c r="O27" s="27"/>
      <c r="P27" s="31"/>
    </row>
    <row r="28" spans="1:16">
      <c r="A28" s="24" t="str">
        <f>'1. 소켓인수검사'!A26</f>
        <v>18</v>
      </c>
      <c r="B28" s="26">
        <f>'1. 소켓인수검사'!C26</f>
        <v>250</v>
      </c>
      <c r="C28" s="26">
        <f>'1. 소켓인수검사'!D26</f>
        <v>200</v>
      </c>
      <c r="D28" s="27">
        <v>1</v>
      </c>
      <c r="E28" s="28"/>
      <c r="F28" s="27">
        <v>1.6</v>
      </c>
      <c r="G28" s="27"/>
      <c r="H28" s="27">
        <f t="shared" si="4"/>
        <v>249</v>
      </c>
      <c r="I28" s="27">
        <f t="shared" si="5"/>
        <v>4</v>
      </c>
      <c r="J28" s="27"/>
      <c r="K28" s="177">
        <f t="shared" si="6"/>
        <v>170</v>
      </c>
      <c r="L28" s="177"/>
      <c r="M28" s="177"/>
      <c r="N28" s="27">
        <f t="shared" si="7"/>
        <v>4</v>
      </c>
      <c r="O28" s="27"/>
      <c r="P28" s="31"/>
    </row>
    <row r="29" spans="1:16">
      <c r="A29" s="24" t="str">
        <f>'1. 소켓인수검사'!A27</f>
        <v>19</v>
      </c>
      <c r="B29" s="26">
        <f>'1. 소켓인수검사'!C27</f>
        <v>250</v>
      </c>
      <c r="C29" s="26">
        <f>'1. 소켓인수검사'!D27</f>
        <v>200</v>
      </c>
      <c r="D29" s="27">
        <v>1</v>
      </c>
      <c r="E29" s="28"/>
      <c r="F29" s="27">
        <v>1.6</v>
      </c>
      <c r="G29" s="27"/>
      <c r="H29" s="27">
        <f t="shared" si="4"/>
        <v>249</v>
      </c>
      <c r="I29" s="27">
        <f t="shared" si="5"/>
        <v>4</v>
      </c>
      <c r="J29" s="27"/>
      <c r="K29" s="177">
        <f t="shared" si="6"/>
        <v>170</v>
      </c>
      <c r="L29" s="177"/>
      <c r="M29" s="177"/>
      <c r="N29" s="27">
        <f t="shared" si="7"/>
        <v>4</v>
      </c>
      <c r="O29" s="27"/>
      <c r="P29" s="31"/>
    </row>
    <row r="30" spans="1:16">
      <c r="A30" s="24" t="str">
        <f>'1. 소켓인수검사'!A28</f>
        <v>20</v>
      </c>
      <c r="B30" s="26">
        <f>'1. 소켓인수검사'!C28</f>
        <v>250</v>
      </c>
      <c r="C30" s="26">
        <f>'1. 소켓인수검사'!D28</f>
        <v>200</v>
      </c>
      <c r="D30" s="27">
        <v>1</v>
      </c>
      <c r="E30" s="28"/>
      <c r="F30" s="27">
        <v>1.6</v>
      </c>
      <c r="G30" s="27"/>
      <c r="H30" s="27">
        <f t="shared" si="4"/>
        <v>249</v>
      </c>
      <c r="I30" s="27">
        <f t="shared" si="5"/>
        <v>4</v>
      </c>
      <c r="J30" s="27"/>
      <c r="K30" s="177">
        <f t="shared" si="6"/>
        <v>170</v>
      </c>
      <c r="L30" s="177"/>
      <c r="M30" s="177"/>
      <c r="N30" s="27">
        <f t="shared" si="7"/>
        <v>4</v>
      </c>
      <c r="O30" s="27"/>
      <c r="P30" s="31"/>
    </row>
    <row r="31" spans="1:16">
      <c r="A31" s="24" t="str">
        <f>'1. 소켓인수검사'!A29</f>
        <v>21</v>
      </c>
      <c r="B31" s="26">
        <f>'1. 소켓인수검사'!C29</f>
        <v>250</v>
      </c>
      <c r="C31" s="26">
        <f>'1. 소켓인수검사'!D29</f>
        <v>200</v>
      </c>
      <c r="D31" s="27">
        <v>1</v>
      </c>
      <c r="E31" s="28"/>
      <c r="F31" s="27">
        <v>1.6</v>
      </c>
      <c r="G31" s="27"/>
      <c r="H31" s="27">
        <f t="shared" si="4"/>
        <v>249</v>
      </c>
      <c r="I31" s="27">
        <f t="shared" si="5"/>
        <v>4</v>
      </c>
      <c r="J31" s="27"/>
      <c r="K31" s="177">
        <f t="shared" si="6"/>
        <v>170</v>
      </c>
      <c r="L31" s="177"/>
      <c r="M31" s="177"/>
      <c r="N31" s="27">
        <f t="shared" si="7"/>
        <v>4</v>
      </c>
      <c r="O31" s="27"/>
      <c r="P31" s="33"/>
    </row>
    <row r="32" spans="1:16">
      <c r="A32" s="24" t="str">
        <f>'1. 소켓인수검사'!A30</f>
        <v>22</v>
      </c>
      <c r="B32" s="26">
        <f>'1. 소켓인수검사'!C30</f>
        <v>250</v>
      </c>
      <c r="C32" s="26">
        <f>'1. 소켓인수검사'!D30</f>
        <v>200</v>
      </c>
      <c r="D32" s="27">
        <v>1</v>
      </c>
      <c r="E32" s="28"/>
      <c r="F32" s="27">
        <v>1.6</v>
      </c>
      <c r="G32" s="27"/>
      <c r="H32" s="27">
        <f t="shared" si="4"/>
        <v>249</v>
      </c>
      <c r="I32" s="27">
        <f t="shared" si="5"/>
        <v>4</v>
      </c>
      <c r="J32" s="27"/>
      <c r="K32" s="177">
        <f t="shared" si="6"/>
        <v>170</v>
      </c>
      <c r="L32" s="177"/>
      <c r="M32" s="177"/>
      <c r="N32" s="27">
        <f t="shared" si="7"/>
        <v>4</v>
      </c>
      <c r="O32" s="27"/>
      <c r="P32" s="33"/>
    </row>
    <row r="33" spans="1:16">
      <c r="A33" s="24" t="str">
        <f>'1. 소켓인수검사'!A31</f>
        <v>23</v>
      </c>
      <c r="B33" s="26">
        <f>'1. 소켓인수검사'!C31</f>
        <v>250</v>
      </c>
      <c r="C33" s="26">
        <f>'1. 소켓인수검사'!D31</f>
        <v>200</v>
      </c>
      <c r="D33" s="27">
        <v>1</v>
      </c>
      <c r="E33" s="28"/>
      <c r="F33" s="27">
        <v>1.6</v>
      </c>
      <c r="G33" s="27"/>
      <c r="H33" s="27">
        <f t="shared" si="4"/>
        <v>249</v>
      </c>
      <c r="I33" s="27">
        <f t="shared" si="5"/>
        <v>4</v>
      </c>
      <c r="J33" s="27"/>
      <c r="K33" s="177">
        <f t="shared" si="6"/>
        <v>170</v>
      </c>
      <c r="L33" s="177"/>
      <c r="M33" s="177"/>
      <c r="N33" s="27">
        <f t="shared" si="7"/>
        <v>4</v>
      </c>
      <c r="O33" s="27"/>
      <c r="P33" s="33"/>
    </row>
    <row r="34" spans="1:16">
      <c r="A34" s="24" t="str">
        <f>'1. 소켓인수검사'!A32</f>
        <v>24</v>
      </c>
      <c r="B34" s="26">
        <f>'1. 소켓인수검사'!C32</f>
        <v>300</v>
      </c>
      <c r="C34" s="26">
        <f>'1. 소켓인수검사'!D32</f>
        <v>250</v>
      </c>
      <c r="D34" s="27">
        <v>1</v>
      </c>
      <c r="E34" s="28"/>
      <c r="F34" s="27">
        <v>1.6</v>
      </c>
      <c r="G34" s="27"/>
      <c r="H34" s="27">
        <f t="shared" si="4"/>
        <v>299</v>
      </c>
      <c r="I34" s="27">
        <f t="shared" si="5"/>
        <v>4</v>
      </c>
      <c r="J34" s="27"/>
      <c r="K34" s="177">
        <f t="shared" si="6"/>
        <v>220</v>
      </c>
      <c r="L34" s="177"/>
      <c r="M34" s="177"/>
      <c r="N34" s="27">
        <f t="shared" si="7"/>
        <v>4</v>
      </c>
      <c r="O34" s="27"/>
      <c r="P34" s="33"/>
    </row>
    <row r="35" spans="1:16">
      <c r="A35" s="24" t="str">
        <f>'1. 소켓인수검사'!A33</f>
        <v>25</v>
      </c>
      <c r="B35" s="26">
        <f>'1. 소켓인수검사'!C33</f>
        <v>350</v>
      </c>
      <c r="C35" s="26">
        <f>'1. 소켓인수검사'!D33</f>
        <v>200</v>
      </c>
      <c r="D35" s="27">
        <v>1</v>
      </c>
      <c r="E35" s="28"/>
      <c r="F35" s="27">
        <v>1.6</v>
      </c>
      <c r="G35" s="27"/>
      <c r="H35" s="27">
        <f t="shared" si="4"/>
        <v>349</v>
      </c>
      <c r="I35" s="27">
        <f t="shared" si="5"/>
        <v>4</v>
      </c>
      <c r="J35" s="27"/>
      <c r="K35" s="177">
        <f t="shared" si="6"/>
        <v>170</v>
      </c>
      <c r="L35" s="177"/>
      <c r="M35" s="177"/>
      <c r="N35" s="27">
        <f t="shared" si="7"/>
        <v>4</v>
      </c>
      <c r="O35" s="27"/>
      <c r="P35" s="33"/>
    </row>
    <row r="36" spans="1:16" ht="16.5" customHeight="1">
      <c r="A36" s="24" t="str">
        <f>'1. 소켓인수검사'!A34</f>
        <v>26</v>
      </c>
      <c r="B36" s="26">
        <f>'1. 소켓인수검사'!C34</f>
        <v>350</v>
      </c>
      <c r="C36" s="26">
        <f>'1. 소켓인수검사'!D34</f>
        <v>200</v>
      </c>
      <c r="D36" s="27">
        <v>1</v>
      </c>
      <c r="E36" s="28"/>
      <c r="F36" s="27">
        <v>1.6</v>
      </c>
      <c r="G36" s="27"/>
      <c r="H36" s="27">
        <f t="shared" si="4"/>
        <v>349</v>
      </c>
      <c r="I36" s="27">
        <f t="shared" si="5"/>
        <v>4</v>
      </c>
      <c r="J36" s="27"/>
      <c r="K36" s="177">
        <f t="shared" si="6"/>
        <v>170</v>
      </c>
      <c r="L36" s="177"/>
      <c r="M36" s="177"/>
      <c r="N36" s="27">
        <f t="shared" si="7"/>
        <v>4</v>
      </c>
      <c r="O36" s="27"/>
      <c r="P36" s="33"/>
    </row>
    <row r="37" spans="1:16">
      <c r="A37" s="24" t="str">
        <f>'1. 소켓인수검사'!A35</f>
        <v>27</v>
      </c>
      <c r="B37" s="26">
        <f>'1. 소켓인수검사'!C35</f>
        <v>350</v>
      </c>
      <c r="C37" s="26">
        <f>'1. 소켓인수검사'!D35</f>
        <v>250</v>
      </c>
      <c r="D37" s="27">
        <v>1</v>
      </c>
      <c r="E37" s="28"/>
      <c r="F37" s="27">
        <v>1.6</v>
      </c>
      <c r="G37" s="27"/>
      <c r="H37" s="27">
        <f t="shared" si="4"/>
        <v>349</v>
      </c>
      <c r="I37" s="27">
        <f t="shared" si="5"/>
        <v>4</v>
      </c>
      <c r="J37" s="27"/>
      <c r="K37" s="177">
        <f t="shared" si="6"/>
        <v>220</v>
      </c>
      <c r="L37" s="177"/>
      <c r="M37" s="177"/>
      <c r="N37" s="27">
        <f t="shared" si="7"/>
        <v>4</v>
      </c>
      <c r="O37" s="27"/>
      <c r="P37" s="33"/>
    </row>
    <row r="38" spans="1:16">
      <c r="A38" s="24" t="str">
        <f>'1. 소켓인수검사'!A36</f>
        <v>28</v>
      </c>
      <c r="B38" s="26">
        <f>'1. 소켓인수검사'!C36</f>
        <v>400</v>
      </c>
      <c r="C38" s="26">
        <f>'1. 소켓인수검사'!D36</f>
        <v>300</v>
      </c>
      <c r="D38" s="27">
        <v>1</v>
      </c>
      <c r="E38" s="28"/>
      <c r="F38" s="27">
        <v>1.6</v>
      </c>
      <c r="G38" s="27"/>
      <c r="H38" s="27">
        <f t="shared" si="4"/>
        <v>399</v>
      </c>
      <c r="I38" s="27">
        <f t="shared" si="5"/>
        <v>4</v>
      </c>
      <c r="J38" s="27"/>
      <c r="K38" s="177">
        <f t="shared" si="6"/>
        <v>270</v>
      </c>
      <c r="L38" s="177"/>
      <c r="M38" s="177"/>
      <c r="N38" s="27">
        <f t="shared" si="7"/>
        <v>4</v>
      </c>
      <c r="O38" s="27"/>
      <c r="P38" s="33"/>
    </row>
    <row r="39" spans="1:16">
      <c r="A39" s="24" t="str">
        <f>'1. 소켓인수검사'!A37</f>
        <v>29</v>
      </c>
      <c r="B39" s="26">
        <f>'1. 소켓인수검사'!C37</f>
        <v>400</v>
      </c>
      <c r="C39" s="26">
        <f>'1. 소켓인수검사'!D37</f>
        <v>300</v>
      </c>
      <c r="D39" s="27">
        <v>1</v>
      </c>
      <c r="E39" s="28"/>
      <c r="F39" s="27">
        <v>1.6</v>
      </c>
      <c r="G39" s="27"/>
      <c r="H39" s="27">
        <f t="shared" si="4"/>
        <v>399</v>
      </c>
      <c r="I39" s="27">
        <f t="shared" si="5"/>
        <v>4</v>
      </c>
      <c r="J39" s="27"/>
      <c r="K39" s="177">
        <f t="shared" si="6"/>
        <v>270</v>
      </c>
      <c r="L39" s="177"/>
      <c r="M39" s="177"/>
      <c r="N39" s="27">
        <f t="shared" si="7"/>
        <v>4</v>
      </c>
      <c r="O39" s="27"/>
      <c r="P39" s="33"/>
    </row>
    <row r="40" spans="1:16">
      <c r="A40" s="24" t="str">
        <f>'1. 소켓인수검사'!A38</f>
        <v>30</v>
      </c>
      <c r="B40" s="26">
        <f>'1. 소켓인수검사'!C38</f>
        <v>400</v>
      </c>
      <c r="C40" s="26">
        <f>'1. 소켓인수검사'!D38</f>
        <v>300</v>
      </c>
      <c r="D40" s="27">
        <v>1</v>
      </c>
      <c r="E40" s="28"/>
      <c r="F40" s="27">
        <v>1.6</v>
      </c>
      <c r="G40" s="27"/>
      <c r="H40" s="27">
        <f t="shared" si="4"/>
        <v>399</v>
      </c>
      <c r="I40" s="27">
        <f t="shared" si="5"/>
        <v>4</v>
      </c>
      <c r="J40" s="27"/>
      <c r="K40" s="177">
        <f t="shared" si="6"/>
        <v>270</v>
      </c>
      <c r="L40" s="177"/>
      <c r="M40" s="177"/>
      <c r="N40" s="27">
        <f t="shared" si="7"/>
        <v>4</v>
      </c>
      <c r="O40" s="27"/>
      <c r="P40" s="33"/>
    </row>
    <row r="41" spans="1:16">
      <c r="A41" s="24" t="str">
        <f>'1. 소켓인수검사'!A39</f>
        <v>31</v>
      </c>
      <c r="B41" s="26">
        <f>'1. 소켓인수검사'!C39</f>
        <v>400</v>
      </c>
      <c r="C41" s="26">
        <f>'1. 소켓인수검사'!D39</f>
        <v>300</v>
      </c>
      <c r="D41" s="27">
        <v>1</v>
      </c>
      <c r="E41" s="28"/>
      <c r="F41" s="27">
        <v>1.6</v>
      </c>
      <c r="G41" s="27"/>
      <c r="H41" s="27">
        <f t="shared" si="4"/>
        <v>399</v>
      </c>
      <c r="I41" s="27">
        <f t="shared" si="5"/>
        <v>4</v>
      </c>
      <c r="J41" s="27"/>
      <c r="K41" s="177">
        <f t="shared" si="6"/>
        <v>270</v>
      </c>
      <c r="L41" s="177"/>
      <c r="M41" s="177"/>
      <c r="N41" s="27">
        <f t="shared" si="7"/>
        <v>4</v>
      </c>
      <c r="O41" s="27"/>
      <c r="P41" s="33"/>
    </row>
    <row r="42" spans="1:16">
      <c r="A42" s="24" t="str">
        <f>'1. 소켓인수검사'!A40</f>
        <v>32</v>
      </c>
      <c r="B42" s="26">
        <f>'1. 소켓인수검사'!C40</f>
        <v>400</v>
      </c>
      <c r="C42" s="26">
        <f>'1. 소켓인수검사'!D40</f>
        <v>300</v>
      </c>
      <c r="D42" s="27">
        <v>1</v>
      </c>
      <c r="E42" s="28"/>
      <c r="F42" s="27">
        <v>1.6</v>
      </c>
      <c r="G42" s="27"/>
      <c r="H42" s="27">
        <f t="shared" si="4"/>
        <v>399</v>
      </c>
      <c r="I42" s="27">
        <f t="shared" si="5"/>
        <v>4</v>
      </c>
      <c r="J42" s="27"/>
      <c r="K42" s="177">
        <f t="shared" si="6"/>
        <v>270</v>
      </c>
      <c r="L42" s="177"/>
      <c r="M42" s="177"/>
      <c r="N42" s="27">
        <f t="shared" si="7"/>
        <v>4</v>
      </c>
      <c r="O42" s="27"/>
      <c r="P42" s="33"/>
    </row>
    <row r="43" spans="1:16">
      <c r="A43" s="24" t="str">
        <f>'1. 소켓인수검사'!A41</f>
        <v>33</v>
      </c>
      <c r="B43" s="26">
        <f>'1. 소켓인수검사'!C41</f>
        <v>500</v>
      </c>
      <c r="C43" s="26">
        <f>'1. 소켓인수검사'!D41</f>
        <v>300</v>
      </c>
      <c r="D43" s="27">
        <v>1</v>
      </c>
      <c r="E43" s="28"/>
      <c r="F43" s="27">
        <v>1.6</v>
      </c>
      <c r="G43" s="27"/>
      <c r="H43" s="27">
        <f t="shared" si="4"/>
        <v>499</v>
      </c>
      <c r="I43" s="27">
        <f t="shared" si="5"/>
        <v>4</v>
      </c>
      <c r="J43" s="27"/>
      <c r="K43" s="177">
        <f t="shared" si="6"/>
        <v>270</v>
      </c>
      <c r="L43" s="177"/>
      <c r="M43" s="177"/>
      <c r="N43" s="27">
        <f t="shared" si="7"/>
        <v>4</v>
      </c>
      <c r="O43" s="27"/>
      <c r="P43" s="33"/>
    </row>
    <row r="44" spans="1:16">
      <c r="A44" s="24" t="str">
        <f>'1. 소켓인수검사'!A42</f>
        <v>34</v>
      </c>
      <c r="B44" s="26">
        <f>'1. 소켓인수검사'!C42</f>
        <v>500</v>
      </c>
      <c r="C44" s="26">
        <f>'1. 소켓인수검사'!D42</f>
        <v>300</v>
      </c>
      <c r="D44" s="27">
        <v>1</v>
      </c>
      <c r="E44" s="28"/>
      <c r="F44" s="27">
        <v>1.6</v>
      </c>
      <c r="G44" s="27"/>
      <c r="H44" s="27">
        <f t="shared" si="4"/>
        <v>499</v>
      </c>
      <c r="I44" s="27">
        <f t="shared" si="5"/>
        <v>4</v>
      </c>
      <c r="J44" s="27"/>
      <c r="K44" s="177">
        <f t="shared" si="6"/>
        <v>270</v>
      </c>
      <c r="L44" s="177"/>
      <c r="M44" s="177"/>
      <c r="N44" s="27">
        <f t="shared" si="7"/>
        <v>4</v>
      </c>
      <c r="O44" s="27"/>
      <c r="P44" s="33"/>
    </row>
    <row r="45" spans="1:16">
      <c r="A45" s="24" t="str">
        <f>'1. 소켓인수검사'!A43</f>
        <v>35</v>
      </c>
      <c r="B45" s="26">
        <f>'1. 소켓인수검사'!C43</f>
        <v>500</v>
      </c>
      <c r="C45" s="26">
        <f>'1. 소켓인수검사'!D43</f>
        <v>300</v>
      </c>
      <c r="D45" s="27">
        <v>1</v>
      </c>
      <c r="E45" s="28"/>
      <c r="F45" s="27">
        <v>1.6</v>
      </c>
      <c r="G45" s="27"/>
      <c r="H45" s="27">
        <f t="shared" si="4"/>
        <v>499</v>
      </c>
      <c r="I45" s="27">
        <f t="shared" si="5"/>
        <v>4</v>
      </c>
      <c r="J45" s="27"/>
      <c r="K45" s="177">
        <f t="shared" si="6"/>
        <v>270</v>
      </c>
      <c r="L45" s="177"/>
      <c r="M45" s="177"/>
      <c r="N45" s="27">
        <f t="shared" si="7"/>
        <v>4</v>
      </c>
      <c r="O45" s="27"/>
      <c r="P45" s="33"/>
    </row>
    <row r="46" spans="1:16">
      <c r="A46" s="24" t="str">
        <f>'1. 소켓인수검사'!A44</f>
        <v>36</v>
      </c>
      <c r="B46" s="26">
        <f>'1. 소켓인수검사'!C44</f>
        <v>500</v>
      </c>
      <c r="C46" s="26">
        <f>'1. 소켓인수검사'!D44</f>
        <v>300</v>
      </c>
      <c r="D46" s="27">
        <v>1</v>
      </c>
      <c r="E46" s="28"/>
      <c r="F46" s="27">
        <v>1.6</v>
      </c>
      <c r="G46" s="27"/>
      <c r="H46" s="27">
        <f t="shared" si="4"/>
        <v>499</v>
      </c>
      <c r="I46" s="27">
        <f t="shared" si="5"/>
        <v>4</v>
      </c>
      <c r="J46" s="27"/>
      <c r="K46" s="177">
        <f t="shared" si="6"/>
        <v>270</v>
      </c>
      <c r="L46" s="177"/>
      <c r="M46" s="177"/>
      <c r="N46" s="27">
        <f t="shared" si="7"/>
        <v>4</v>
      </c>
      <c r="O46" s="27"/>
      <c r="P46" s="33"/>
    </row>
    <row r="47" spans="1:16">
      <c r="A47" s="24" t="str">
        <f>'1. 소켓인수검사'!A45</f>
        <v>37</v>
      </c>
      <c r="B47" s="26">
        <f>'1. 소켓인수검사'!C45</f>
        <v>500</v>
      </c>
      <c r="C47" s="26">
        <f>'1. 소켓인수검사'!D45</f>
        <v>400</v>
      </c>
      <c r="D47" s="27">
        <v>1</v>
      </c>
      <c r="E47" s="28"/>
      <c r="F47" s="27">
        <v>1.6</v>
      </c>
      <c r="G47" s="27"/>
      <c r="H47" s="27">
        <f t="shared" si="4"/>
        <v>499</v>
      </c>
      <c r="I47" s="27">
        <f t="shared" si="5"/>
        <v>4</v>
      </c>
      <c r="J47" s="27"/>
      <c r="K47" s="177">
        <f t="shared" si="6"/>
        <v>370</v>
      </c>
      <c r="L47" s="177"/>
      <c r="M47" s="177"/>
      <c r="N47" s="27">
        <f t="shared" si="7"/>
        <v>4</v>
      </c>
      <c r="O47" s="27"/>
      <c r="P47" s="33"/>
    </row>
    <row r="48" spans="1:16">
      <c r="A48" s="24" t="str">
        <f>'1. 소켓인수검사'!A46</f>
        <v>38</v>
      </c>
      <c r="B48" s="26">
        <f>'1. 소켓인수검사'!C46</f>
        <v>500</v>
      </c>
      <c r="C48" s="26">
        <f>'1. 소켓인수검사'!D46</f>
        <v>400</v>
      </c>
      <c r="D48" s="27">
        <v>1</v>
      </c>
      <c r="E48" s="28"/>
      <c r="F48" s="27">
        <v>1.6</v>
      </c>
      <c r="G48" s="27"/>
      <c r="H48" s="27">
        <f t="shared" si="4"/>
        <v>499</v>
      </c>
      <c r="I48" s="27">
        <f t="shared" si="5"/>
        <v>4</v>
      </c>
      <c r="J48" s="27"/>
      <c r="K48" s="177">
        <f t="shared" si="6"/>
        <v>370</v>
      </c>
      <c r="L48" s="177"/>
      <c r="M48" s="177"/>
      <c r="N48" s="27">
        <f t="shared" si="7"/>
        <v>4</v>
      </c>
      <c r="O48" s="27"/>
      <c r="P48" s="33"/>
    </row>
    <row r="49" spans="1:16">
      <c r="A49" s="24" t="str">
        <f>'1. 소켓인수검사'!A47</f>
        <v>39</v>
      </c>
      <c r="B49" s="26">
        <f>'1. 소켓인수검사'!C47</f>
        <v>500</v>
      </c>
      <c r="C49" s="26">
        <f>'1. 소켓인수검사'!D47</f>
        <v>400</v>
      </c>
      <c r="D49" s="27">
        <v>1</v>
      </c>
      <c r="E49" s="28"/>
      <c r="F49" s="27">
        <v>1.6</v>
      </c>
      <c r="G49" s="27"/>
      <c r="H49" s="27">
        <f t="shared" si="4"/>
        <v>499</v>
      </c>
      <c r="I49" s="27">
        <f t="shared" si="5"/>
        <v>4</v>
      </c>
      <c r="J49" s="27"/>
      <c r="K49" s="177">
        <f t="shared" si="6"/>
        <v>370</v>
      </c>
      <c r="L49" s="177"/>
      <c r="M49" s="177"/>
      <c r="N49" s="27">
        <f t="shared" si="7"/>
        <v>4</v>
      </c>
      <c r="O49" s="27"/>
      <c r="P49" s="33"/>
    </row>
    <row r="50" spans="1:16">
      <c r="A50" s="24" t="str">
        <f>'1. 소켓인수검사'!A48</f>
        <v>40</v>
      </c>
      <c r="B50" s="26">
        <f>'1. 소켓인수검사'!C48</f>
        <v>500</v>
      </c>
      <c r="C50" s="26">
        <f>'1. 소켓인수검사'!D48</f>
        <v>500</v>
      </c>
      <c r="D50" s="27">
        <v>1</v>
      </c>
      <c r="E50" s="28"/>
      <c r="F50" s="27">
        <v>1.6</v>
      </c>
      <c r="G50" s="27"/>
      <c r="H50" s="27">
        <f t="shared" si="4"/>
        <v>499</v>
      </c>
      <c r="I50" s="27">
        <f t="shared" si="5"/>
        <v>4</v>
      </c>
      <c r="J50" s="27"/>
      <c r="K50" s="177">
        <f t="shared" si="6"/>
        <v>470</v>
      </c>
      <c r="L50" s="177"/>
      <c r="M50" s="177"/>
      <c r="N50" s="27">
        <f t="shared" si="7"/>
        <v>4</v>
      </c>
      <c r="O50" s="27"/>
      <c r="P50" s="33"/>
    </row>
    <row r="51" spans="1:16">
      <c r="A51" s="24" t="str">
        <f>'1. 소켓인수검사'!A49</f>
        <v>41</v>
      </c>
      <c r="B51" s="26">
        <f>'1. 소켓인수검사'!C49</f>
        <v>500</v>
      </c>
      <c r="C51" s="26">
        <f>'1. 소켓인수검사'!D49</f>
        <v>500</v>
      </c>
      <c r="D51" s="27">
        <v>1</v>
      </c>
      <c r="E51" s="28"/>
      <c r="F51" s="27">
        <v>1.6</v>
      </c>
      <c r="G51" s="27"/>
      <c r="H51" s="27">
        <f t="shared" si="4"/>
        <v>499</v>
      </c>
      <c r="I51" s="27">
        <f t="shared" si="5"/>
        <v>4</v>
      </c>
      <c r="J51" s="27"/>
      <c r="K51" s="177">
        <f t="shared" si="6"/>
        <v>470</v>
      </c>
      <c r="L51" s="177"/>
      <c r="M51" s="177"/>
      <c r="N51" s="27">
        <f t="shared" si="7"/>
        <v>4</v>
      </c>
      <c r="O51" s="27"/>
      <c r="P51" s="33"/>
    </row>
    <row r="52" spans="1:16">
      <c r="A52" s="24" t="str">
        <f>'1. 소켓인수검사'!A50</f>
        <v>42</v>
      </c>
      <c r="B52" s="26">
        <f>'1. 소켓인수검사'!C50</f>
        <v>500</v>
      </c>
      <c r="C52" s="26">
        <f>'1. 소켓인수검사'!D50</f>
        <v>500</v>
      </c>
      <c r="D52" s="27">
        <v>1</v>
      </c>
      <c r="E52" s="28"/>
      <c r="F52" s="27">
        <v>1.6</v>
      </c>
      <c r="G52" s="27"/>
      <c r="H52" s="27">
        <f t="shared" si="4"/>
        <v>499</v>
      </c>
      <c r="I52" s="27">
        <f t="shared" si="5"/>
        <v>4</v>
      </c>
      <c r="J52" s="27"/>
      <c r="K52" s="177">
        <f t="shared" si="6"/>
        <v>470</v>
      </c>
      <c r="L52" s="177"/>
      <c r="M52" s="177"/>
      <c r="N52" s="27">
        <f t="shared" si="7"/>
        <v>4</v>
      </c>
      <c r="O52" s="27"/>
      <c r="P52" s="30"/>
    </row>
    <row r="53" spans="1:16">
      <c r="A53" s="24" t="str">
        <f>'1. 소켓인수검사'!A51</f>
        <v>43</v>
      </c>
      <c r="B53" s="26">
        <f>'1. 소켓인수검사'!C51</f>
        <v>500</v>
      </c>
      <c r="C53" s="26">
        <f>'1. 소켓인수검사'!D51</f>
        <v>500</v>
      </c>
      <c r="D53" s="27">
        <v>1</v>
      </c>
      <c r="E53" s="28"/>
      <c r="F53" s="27">
        <v>1.6</v>
      </c>
      <c r="G53" s="27"/>
      <c r="H53" s="27">
        <f t="shared" si="4"/>
        <v>499</v>
      </c>
      <c r="I53" s="27">
        <f t="shared" si="5"/>
        <v>4</v>
      </c>
      <c r="J53" s="27"/>
      <c r="K53" s="177">
        <f t="shared" si="6"/>
        <v>470</v>
      </c>
      <c r="L53" s="177"/>
      <c r="M53" s="177"/>
      <c r="N53" s="27">
        <f t="shared" si="7"/>
        <v>4</v>
      </c>
      <c r="O53" s="27"/>
      <c r="P53" s="31"/>
    </row>
    <row r="54" spans="1:16">
      <c r="A54" s="24" t="str">
        <f>'1. 소켓인수검사'!A52</f>
        <v>44</v>
      </c>
      <c r="B54" s="26">
        <f>'1. 소켓인수검사'!C52</f>
        <v>600</v>
      </c>
      <c r="C54" s="26">
        <f>'1. 소켓인수검사'!D52</f>
        <v>300</v>
      </c>
      <c r="D54" s="27">
        <v>1</v>
      </c>
      <c r="E54" s="28"/>
      <c r="F54" s="27">
        <v>1.6</v>
      </c>
      <c r="G54" s="27"/>
      <c r="H54" s="27">
        <f t="shared" si="4"/>
        <v>599</v>
      </c>
      <c r="I54" s="27">
        <f t="shared" si="5"/>
        <v>4</v>
      </c>
      <c r="J54" s="27"/>
      <c r="K54" s="177">
        <f t="shared" si="6"/>
        <v>270</v>
      </c>
      <c r="L54" s="177"/>
      <c r="M54" s="177"/>
      <c r="N54" s="27">
        <f t="shared" si="7"/>
        <v>4</v>
      </c>
      <c r="O54" s="27"/>
      <c r="P54" s="31"/>
    </row>
    <row r="55" spans="1:16">
      <c r="A55" s="24" t="str">
        <f>'1. 소켓인수검사'!A53</f>
        <v>45</v>
      </c>
      <c r="B55" s="26">
        <f>'1. 소켓인수검사'!C53</f>
        <v>600</v>
      </c>
      <c r="C55" s="26">
        <f>'1. 소켓인수검사'!D53</f>
        <v>350</v>
      </c>
      <c r="D55" s="27">
        <v>1</v>
      </c>
      <c r="E55" s="28"/>
      <c r="F55" s="27">
        <v>1.6</v>
      </c>
      <c r="G55" s="27"/>
      <c r="H55" s="27">
        <f t="shared" si="4"/>
        <v>599</v>
      </c>
      <c r="I55" s="27">
        <f t="shared" si="5"/>
        <v>4</v>
      </c>
      <c r="J55" s="27"/>
      <c r="K55" s="177">
        <f t="shared" si="6"/>
        <v>320</v>
      </c>
      <c r="L55" s="177"/>
      <c r="M55" s="177"/>
      <c r="N55" s="27">
        <f t="shared" si="7"/>
        <v>4</v>
      </c>
      <c r="O55" s="27"/>
      <c r="P55" s="31"/>
    </row>
    <row r="56" spans="1:16">
      <c r="A56" s="24" t="str">
        <f>'1. 소켓인수검사'!A54</f>
        <v>46</v>
      </c>
      <c r="B56" s="26">
        <f>'1. 소켓인수검사'!C54</f>
        <v>600</v>
      </c>
      <c r="C56" s="26">
        <f>'1. 소켓인수검사'!D54</f>
        <v>350</v>
      </c>
      <c r="D56" s="27">
        <v>1</v>
      </c>
      <c r="E56" s="28"/>
      <c r="F56" s="27">
        <v>1.6</v>
      </c>
      <c r="G56" s="27"/>
      <c r="H56" s="27">
        <f t="shared" si="4"/>
        <v>599</v>
      </c>
      <c r="I56" s="27">
        <f t="shared" si="5"/>
        <v>4</v>
      </c>
      <c r="J56" s="27"/>
      <c r="K56" s="177">
        <f t="shared" si="6"/>
        <v>320</v>
      </c>
      <c r="L56" s="177"/>
      <c r="M56" s="177"/>
      <c r="N56" s="27">
        <f t="shared" si="7"/>
        <v>4</v>
      </c>
      <c r="O56" s="27"/>
      <c r="P56" s="31"/>
    </row>
    <row r="57" spans="1:16">
      <c r="A57" s="24" t="str">
        <f>'1. 소켓인수검사'!A55</f>
        <v>47</v>
      </c>
      <c r="B57" s="26">
        <f>'1. 소켓인수검사'!C55</f>
        <v>600</v>
      </c>
      <c r="C57" s="26">
        <f>'1. 소켓인수검사'!D55</f>
        <v>400</v>
      </c>
      <c r="D57" s="27">
        <v>1</v>
      </c>
      <c r="E57" s="28"/>
      <c r="F57" s="27">
        <v>1.6</v>
      </c>
      <c r="G57" s="27"/>
      <c r="H57" s="27">
        <f t="shared" si="4"/>
        <v>599</v>
      </c>
      <c r="I57" s="27">
        <f t="shared" si="5"/>
        <v>4</v>
      </c>
      <c r="J57" s="27"/>
      <c r="K57" s="177">
        <f t="shared" si="6"/>
        <v>370</v>
      </c>
      <c r="L57" s="177"/>
      <c r="M57" s="177"/>
      <c r="N57" s="27">
        <f t="shared" si="7"/>
        <v>4</v>
      </c>
      <c r="O57" s="27"/>
      <c r="P57" s="31"/>
    </row>
    <row r="58" spans="1:16">
      <c r="A58" s="24" t="str">
        <f>'1. 소켓인수검사'!A56</f>
        <v>48</v>
      </c>
      <c r="B58" s="26">
        <f>'1. 소켓인수검사'!C56</f>
        <v>600</v>
      </c>
      <c r="C58" s="26">
        <f>'1. 소켓인수검사'!D56</f>
        <v>400</v>
      </c>
      <c r="D58" s="27">
        <v>1</v>
      </c>
      <c r="E58" s="28"/>
      <c r="F58" s="27">
        <v>1.6</v>
      </c>
      <c r="G58" s="27"/>
      <c r="H58" s="27">
        <f t="shared" si="4"/>
        <v>599</v>
      </c>
      <c r="I58" s="27">
        <f t="shared" si="5"/>
        <v>4</v>
      </c>
      <c r="J58" s="27"/>
      <c r="K58" s="177">
        <f t="shared" si="6"/>
        <v>370</v>
      </c>
      <c r="L58" s="177"/>
      <c r="M58" s="177"/>
      <c r="N58" s="27">
        <f t="shared" si="7"/>
        <v>4</v>
      </c>
      <c r="O58" s="27"/>
      <c r="P58" s="31"/>
    </row>
    <row r="59" spans="1:16">
      <c r="A59" s="24" t="str">
        <f>'1. 소켓인수검사'!A57</f>
        <v>49</v>
      </c>
      <c r="B59" s="26">
        <f>'1. 소켓인수검사'!C57</f>
        <v>600</v>
      </c>
      <c r="C59" s="26">
        <f>'1. 소켓인수검사'!D57</f>
        <v>500</v>
      </c>
      <c r="D59" s="27">
        <v>1</v>
      </c>
      <c r="E59" s="28"/>
      <c r="F59" s="27">
        <v>1.6</v>
      </c>
      <c r="G59" s="27"/>
      <c r="H59" s="27">
        <f t="shared" si="4"/>
        <v>599</v>
      </c>
      <c r="I59" s="27">
        <f t="shared" si="5"/>
        <v>4</v>
      </c>
      <c r="J59" s="27"/>
      <c r="K59" s="177">
        <f t="shared" si="6"/>
        <v>470</v>
      </c>
      <c r="L59" s="177"/>
      <c r="M59" s="177"/>
      <c r="N59" s="27">
        <f t="shared" si="7"/>
        <v>4</v>
      </c>
      <c r="O59" s="27"/>
      <c r="P59" s="32"/>
    </row>
    <row r="60" spans="1:16">
      <c r="A60" s="24" t="str">
        <f>'1. 소켓인수검사'!A58</f>
        <v>50</v>
      </c>
      <c r="B60" s="26">
        <f>'1. 소켓인수검사'!C58</f>
        <v>600</v>
      </c>
      <c r="C60" s="26">
        <f>'1. 소켓인수검사'!D58</f>
        <v>500</v>
      </c>
      <c r="D60" s="27">
        <v>1</v>
      </c>
      <c r="E60" s="28"/>
      <c r="F60" s="27">
        <v>1.6</v>
      </c>
      <c r="G60" s="27"/>
      <c r="H60" s="27">
        <f t="shared" si="4"/>
        <v>599</v>
      </c>
      <c r="I60" s="27">
        <f t="shared" si="5"/>
        <v>4</v>
      </c>
      <c r="J60" s="27"/>
      <c r="K60" s="177">
        <f t="shared" si="6"/>
        <v>470</v>
      </c>
      <c r="L60" s="177"/>
      <c r="M60" s="177"/>
      <c r="N60" s="27">
        <f t="shared" si="7"/>
        <v>4</v>
      </c>
      <c r="O60" s="27"/>
      <c r="P60" s="32"/>
    </row>
    <row r="61" spans="1:16">
      <c r="A61" s="24" t="str">
        <f>'1. 소켓인수검사'!A59</f>
        <v>51</v>
      </c>
      <c r="B61" s="26">
        <f>'1. 소켓인수검사'!C59</f>
        <v>600</v>
      </c>
      <c r="C61" s="26">
        <f>'1. 소켓인수검사'!D59</f>
        <v>500</v>
      </c>
      <c r="D61" s="27">
        <v>1</v>
      </c>
      <c r="E61" s="28"/>
      <c r="F61" s="27">
        <v>1.6</v>
      </c>
      <c r="G61" s="27"/>
      <c r="H61" s="27">
        <f t="shared" si="4"/>
        <v>599</v>
      </c>
      <c r="I61" s="27">
        <f t="shared" si="5"/>
        <v>4</v>
      </c>
      <c r="J61" s="27"/>
      <c r="K61" s="177">
        <f t="shared" si="6"/>
        <v>470</v>
      </c>
      <c r="L61" s="177"/>
      <c r="M61" s="177"/>
      <c r="N61" s="27">
        <f t="shared" si="7"/>
        <v>4</v>
      </c>
      <c r="O61" s="27"/>
      <c r="P61" s="32"/>
    </row>
    <row r="62" spans="1:16">
      <c r="A62" s="24" t="str">
        <f>'1. 소켓인수검사'!A60</f>
        <v>52</v>
      </c>
      <c r="B62" s="26">
        <f>'1. 소켓인수검사'!C60</f>
        <v>700</v>
      </c>
      <c r="C62" s="26">
        <f>'1. 소켓인수검사'!D60</f>
        <v>300</v>
      </c>
      <c r="D62" s="27">
        <v>1</v>
      </c>
      <c r="E62" s="28"/>
      <c r="F62" s="27">
        <v>1.6</v>
      </c>
      <c r="G62" s="27"/>
      <c r="H62" s="27">
        <f t="shared" si="4"/>
        <v>699</v>
      </c>
      <c r="I62" s="27">
        <f t="shared" si="5"/>
        <v>4</v>
      </c>
      <c r="J62" s="27"/>
      <c r="K62" s="177">
        <f t="shared" si="6"/>
        <v>270</v>
      </c>
      <c r="L62" s="177"/>
      <c r="M62" s="177"/>
      <c r="N62" s="27">
        <f t="shared" si="7"/>
        <v>4</v>
      </c>
      <c r="O62" s="27"/>
      <c r="P62" s="32"/>
    </row>
    <row r="63" spans="1:16">
      <c r="A63" s="24" t="str">
        <f>'1. 소켓인수검사'!A61</f>
        <v>53</v>
      </c>
      <c r="B63" s="26">
        <f>'1. 소켓인수검사'!C61</f>
        <v>700</v>
      </c>
      <c r="C63" s="26">
        <f>'1. 소켓인수검사'!D61</f>
        <v>400</v>
      </c>
      <c r="D63" s="27">
        <v>1</v>
      </c>
      <c r="E63" s="28"/>
      <c r="F63" s="27">
        <v>1.6</v>
      </c>
      <c r="G63" s="27"/>
      <c r="H63" s="27">
        <f t="shared" si="4"/>
        <v>699</v>
      </c>
      <c r="I63" s="27">
        <f t="shared" si="5"/>
        <v>4</v>
      </c>
      <c r="J63" s="27"/>
      <c r="K63" s="177">
        <f t="shared" si="6"/>
        <v>370</v>
      </c>
      <c r="L63" s="177"/>
      <c r="M63" s="177"/>
      <c r="N63" s="27">
        <f t="shared" si="7"/>
        <v>4</v>
      </c>
      <c r="O63" s="27"/>
      <c r="P63" s="32"/>
    </row>
    <row r="64" spans="1:16">
      <c r="A64" s="24" t="str">
        <f>'1. 소켓인수검사'!A62</f>
        <v>54</v>
      </c>
      <c r="B64" s="26">
        <f>'1. 소켓인수검사'!C62</f>
        <v>750</v>
      </c>
      <c r="C64" s="26">
        <f>'1. 소켓인수검사'!D62</f>
        <v>400</v>
      </c>
      <c r="D64" s="27">
        <v>1</v>
      </c>
      <c r="E64" s="28"/>
      <c r="F64" s="27">
        <v>1.6</v>
      </c>
      <c r="G64" s="27"/>
      <c r="H64" s="27">
        <f t="shared" si="4"/>
        <v>749</v>
      </c>
      <c r="I64" s="27">
        <f t="shared" si="5"/>
        <v>4</v>
      </c>
      <c r="J64" s="27"/>
      <c r="K64" s="177">
        <f t="shared" si="6"/>
        <v>370</v>
      </c>
      <c r="L64" s="177"/>
      <c r="M64" s="177"/>
      <c r="N64" s="27">
        <f t="shared" si="7"/>
        <v>4</v>
      </c>
      <c r="O64" s="27"/>
      <c r="P64" s="32"/>
    </row>
    <row r="65" spans="1:16">
      <c r="A65" s="24" t="str">
        <f>'1. 소켓인수검사'!A63</f>
        <v>55</v>
      </c>
      <c r="B65" s="26">
        <f>'1. 소켓인수검사'!C63</f>
        <v>750</v>
      </c>
      <c r="C65" s="26">
        <f>'1. 소켓인수검사'!D63</f>
        <v>400</v>
      </c>
      <c r="D65" s="27">
        <v>1</v>
      </c>
      <c r="E65" s="28"/>
      <c r="F65" s="27">
        <v>1.6</v>
      </c>
      <c r="G65" s="27"/>
      <c r="H65" s="27">
        <f t="shared" si="4"/>
        <v>749</v>
      </c>
      <c r="I65" s="27">
        <f t="shared" si="5"/>
        <v>4</v>
      </c>
      <c r="J65" s="27"/>
      <c r="K65" s="177">
        <f t="shared" si="6"/>
        <v>370</v>
      </c>
      <c r="L65" s="177"/>
      <c r="M65" s="177"/>
      <c r="N65" s="27">
        <f t="shared" si="7"/>
        <v>4</v>
      </c>
      <c r="O65" s="27"/>
      <c r="P65" s="32"/>
    </row>
    <row r="66" spans="1:16">
      <c r="A66" s="24" t="str">
        <f>'1. 소켓인수검사'!A64</f>
        <v>56</v>
      </c>
      <c r="B66" s="26">
        <f>'1. 소켓인수검사'!C64</f>
        <v>750</v>
      </c>
      <c r="C66" s="26">
        <f>'1. 소켓인수검사'!D64</f>
        <v>550</v>
      </c>
      <c r="D66" s="27">
        <v>1</v>
      </c>
      <c r="E66" s="28"/>
      <c r="F66" s="27">
        <v>1.6</v>
      </c>
      <c r="G66" s="27"/>
      <c r="H66" s="27">
        <f t="shared" si="4"/>
        <v>749</v>
      </c>
      <c r="I66" s="27">
        <f t="shared" si="5"/>
        <v>4</v>
      </c>
      <c r="J66" s="27"/>
      <c r="K66" s="177">
        <f t="shared" si="6"/>
        <v>520</v>
      </c>
      <c r="L66" s="177"/>
      <c r="M66" s="177"/>
      <c r="N66" s="27">
        <f t="shared" si="7"/>
        <v>4</v>
      </c>
      <c r="O66" s="27"/>
      <c r="P66" s="31"/>
    </row>
    <row r="67" spans="1:16">
      <c r="A67" s="24" t="str">
        <f>'1. 소켓인수검사'!A65</f>
        <v>57</v>
      </c>
      <c r="B67" s="26">
        <f>'1. 소켓인수검사'!C65</f>
        <v>800</v>
      </c>
      <c r="C67" s="26">
        <f>'1. 소켓인수검사'!D65</f>
        <v>400</v>
      </c>
      <c r="D67" s="27">
        <v>1</v>
      </c>
      <c r="E67" s="28"/>
      <c r="F67" s="27">
        <v>1.6</v>
      </c>
      <c r="G67" s="27"/>
      <c r="H67" s="27">
        <f t="shared" si="4"/>
        <v>799</v>
      </c>
      <c r="I67" s="27">
        <f t="shared" si="5"/>
        <v>4</v>
      </c>
      <c r="J67" s="27"/>
      <c r="K67" s="177">
        <f t="shared" si="6"/>
        <v>370</v>
      </c>
      <c r="L67" s="177"/>
      <c r="M67" s="177"/>
      <c r="N67" s="27">
        <f t="shared" si="7"/>
        <v>4</v>
      </c>
      <c r="O67" s="27"/>
      <c r="P67" s="31"/>
    </row>
    <row r="68" spans="1:16">
      <c r="A68" s="24" t="str">
        <f>'1. 소켓인수검사'!A66</f>
        <v>58</v>
      </c>
      <c r="B68" s="26">
        <f>'1. 소켓인수검사'!C66</f>
        <v>800</v>
      </c>
      <c r="C68" s="26">
        <f>'1. 소켓인수검사'!D66</f>
        <v>450</v>
      </c>
      <c r="D68" s="27">
        <v>1</v>
      </c>
      <c r="E68" s="28"/>
      <c r="F68" s="27">
        <v>1.6</v>
      </c>
      <c r="G68" s="27"/>
      <c r="H68" s="27">
        <f t="shared" si="4"/>
        <v>799</v>
      </c>
      <c r="I68" s="27">
        <f t="shared" si="5"/>
        <v>4</v>
      </c>
      <c r="J68" s="27"/>
      <c r="K68" s="177">
        <f t="shared" si="6"/>
        <v>420</v>
      </c>
      <c r="L68" s="177"/>
      <c r="M68" s="177"/>
      <c r="N68" s="27">
        <f t="shared" si="7"/>
        <v>4</v>
      </c>
      <c r="O68" s="27"/>
      <c r="P68" s="31"/>
    </row>
    <row r="69" spans="1:16">
      <c r="A69" s="24" t="str">
        <f>'1. 소켓인수검사'!A67</f>
        <v>59</v>
      </c>
      <c r="B69" s="26">
        <f>'1. 소켓인수검사'!C67</f>
        <v>950</v>
      </c>
      <c r="C69" s="26">
        <f>'1. 소켓인수검사'!D67</f>
        <v>400</v>
      </c>
      <c r="D69" s="27">
        <v>1</v>
      </c>
      <c r="E69" s="28"/>
      <c r="F69" s="27">
        <v>1.6</v>
      </c>
      <c r="G69" s="27"/>
      <c r="H69" s="27">
        <f t="shared" si="4"/>
        <v>949</v>
      </c>
      <c r="I69" s="27">
        <f t="shared" si="5"/>
        <v>4</v>
      </c>
      <c r="J69" s="27"/>
      <c r="K69" s="177">
        <f t="shared" si="6"/>
        <v>370</v>
      </c>
      <c r="L69" s="177"/>
      <c r="M69" s="177"/>
      <c r="N69" s="27">
        <f t="shared" si="7"/>
        <v>4</v>
      </c>
      <c r="O69" s="27"/>
      <c r="P69" s="31"/>
    </row>
    <row r="70" spans="1:16">
      <c r="A70" s="24" t="str">
        <f>'1. 소켓인수검사'!A68</f>
        <v>60</v>
      </c>
      <c r="B70" s="26">
        <f>'1. 소켓인수검사'!C68</f>
        <v>1050</v>
      </c>
      <c r="C70" s="26">
        <f>'1. 소켓인수검사'!D68</f>
        <v>400</v>
      </c>
      <c r="D70" s="27">
        <v>1</v>
      </c>
      <c r="E70" s="28"/>
      <c r="F70" s="27">
        <v>1.6</v>
      </c>
      <c r="G70" s="27"/>
      <c r="H70" s="27">
        <f t="shared" si="4"/>
        <v>1049</v>
      </c>
      <c r="I70" s="27">
        <f t="shared" si="5"/>
        <v>4</v>
      </c>
      <c r="J70" s="27"/>
      <c r="K70" s="177">
        <f t="shared" si="6"/>
        <v>370</v>
      </c>
      <c r="L70" s="177"/>
      <c r="M70" s="177"/>
      <c r="N70" s="27">
        <f t="shared" si="7"/>
        <v>4</v>
      </c>
      <c r="O70" s="27"/>
      <c r="P70" s="33"/>
    </row>
    <row r="71" spans="1:16">
      <c r="A71" s="24" t="str">
        <f>'1. 소켓인수검사'!A69</f>
        <v>61</v>
      </c>
      <c r="B71" s="26">
        <f>'1. 소켓인수검사'!C69</f>
        <v>1050</v>
      </c>
      <c r="C71" s="26">
        <f>'1. 소켓인수검사'!D69</f>
        <v>400</v>
      </c>
      <c r="D71" s="27">
        <v>1</v>
      </c>
      <c r="E71" s="28"/>
      <c r="F71" s="27">
        <v>1.6</v>
      </c>
      <c r="G71" s="27"/>
      <c r="H71" s="27">
        <f t="shared" si="4"/>
        <v>1049</v>
      </c>
      <c r="I71" s="27">
        <f t="shared" si="5"/>
        <v>4</v>
      </c>
      <c r="J71" s="27"/>
      <c r="K71" s="177">
        <f t="shared" si="6"/>
        <v>370</v>
      </c>
      <c r="L71" s="177"/>
      <c r="M71" s="177"/>
      <c r="N71" s="27">
        <f t="shared" si="7"/>
        <v>4</v>
      </c>
      <c r="O71" s="27"/>
      <c r="P71" s="33"/>
    </row>
    <row r="72" spans="1:16" ht="8.1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</row>
    <row r="73" spans="1:16">
      <c r="A73" s="178" t="s">
        <v>45</v>
      </c>
      <c r="B73" s="178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</row>
    <row r="74" spans="1:16">
      <c r="A74" s="178"/>
      <c r="B74" s="178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</row>
    <row r="75" spans="1:16">
      <c r="A75" s="178"/>
      <c r="B75" s="178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</row>
    <row r="76" spans="1:16">
      <c r="A76" s="178"/>
      <c r="B76" s="178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</row>
  </sheetData>
  <mergeCells count="92">
    <mergeCell ref="K59:M59"/>
    <mergeCell ref="K60:M60"/>
    <mergeCell ref="A72:P72"/>
    <mergeCell ref="A73:B76"/>
    <mergeCell ref="C73:P76"/>
    <mergeCell ref="K65:M65"/>
    <mergeCell ref="K66:M66"/>
    <mergeCell ref="K67:M67"/>
    <mergeCell ref="K68:M68"/>
    <mergeCell ref="K69:M69"/>
    <mergeCell ref="K70:M70"/>
    <mergeCell ref="K71:M71"/>
    <mergeCell ref="K61:M61"/>
    <mergeCell ref="K62:M62"/>
    <mergeCell ref="K63:M63"/>
    <mergeCell ref="K64:M64"/>
    <mergeCell ref="K47:M4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46:M46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23:M23"/>
    <mergeCell ref="K24:M24"/>
    <mergeCell ref="K43:M43"/>
    <mergeCell ref="K44:M44"/>
    <mergeCell ref="K45:M45"/>
    <mergeCell ref="K25:M25"/>
    <mergeCell ref="K26:M26"/>
    <mergeCell ref="K27:M27"/>
    <mergeCell ref="K28:M28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80"/>
  <sheetViews>
    <sheetView zoomScaleNormal="100" zoomScaleSheetLayoutView="100" workbookViewId="0">
      <pane ySplit="9" topLeftCell="A10" activePane="bottomLeft" state="frozen"/>
      <selection pane="bottomLeft" activeCell="M81" sqref="M81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99"/>
      <c r="B1" s="99"/>
      <c r="C1" s="99"/>
      <c r="D1" s="195" t="s">
        <v>43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6"/>
      <c r="R1" s="197"/>
      <c r="S1" s="14"/>
    </row>
    <row r="2" spans="1:19">
      <c r="A2" s="99"/>
      <c r="B2" s="99"/>
      <c r="C2" s="99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6"/>
      <c r="R2" s="198"/>
      <c r="S2" s="199"/>
    </row>
    <row r="3" spans="1:19" ht="24" customHeight="1">
      <c r="A3" s="99"/>
      <c r="B3" s="99"/>
      <c r="C3" s="99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6"/>
      <c r="R3" s="198"/>
      <c r="S3" s="199"/>
    </row>
    <row r="4" spans="1:19">
      <c r="A4" s="99" t="s">
        <v>16</v>
      </c>
      <c r="B4" s="99"/>
      <c r="C4" s="1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6"/>
      <c r="R4" s="198"/>
      <c r="S4" s="199"/>
    </row>
    <row r="5" spans="1:19">
      <c r="A5" s="99" t="s">
        <v>25</v>
      </c>
      <c r="B5" s="99"/>
      <c r="C5" s="99"/>
      <c r="D5" s="2" t="s">
        <v>31</v>
      </c>
      <c r="E5" s="188"/>
      <c r="F5" s="189"/>
      <c r="G5" s="180" t="s">
        <v>55</v>
      </c>
      <c r="H5" s="190"/>
      <c r="I5" s="191"/>
      <c r="J5" s="191"/>
      <c r="K5" s="192"/>
      <c r="L5" s="180" t="s">
        <v>20</v>
      </c>
      <c r="M5" s="61"/>
      <c r="N5" s="61"/>
      <c r="O5" s="180" t="s">
        <v>20</v>
      </c>
      <c r="P5" s="182" t="str">
        <f>'1. 소켓인수검사'!R2</f>
        <v>26.07.15 엘티_롯데건설_광장이엠씨_검단신도시C1</v>
      </c>
      <c r="Q5" s="183"/>
      <c r="R5" s="183"/>
      <c r="S5" s="184"/>
    </row>
    <row r="6" spans="1:19">
      <c r="A6" s="99"/>
      <c r="B6" s="99"/>
      <c r="C6" s="99"/>
      <c r="D6" s="2" t="s">
        <v>28</v>
      </c>
      <c r="E6" s="188"/>
      <c r="F6" s="189"/>
      <c r="G6" s="181"/>
      <c r="H6" s="193"/>
      <c r="I6" s="151"/>
      <c r="J6" s="151"/>
      <c r="K6" s="194"/>
      <c r="L6" s="181"/>
      <c r="M6" s="62"/>
      <c r="N6" s="62"/>
      <c r="O6" s="181"/>
      <c r="P6" s="185"/>
      <c r="Q6" s="186"/>
      <c r="R6" s="186"/>
      <c r="S6" s="187"/>
    </row>
    <row r="7" spans="1:19" ht="8.1" customHeight="1">
      <c r="A7" s="193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94"/>
    </row>
    <row r="8" spans="1:19" ht="16.5" customHeight="1">
      <c r="A8" s="111" t="s">
        <v>52</v>
      </c>
      <c r="B8" s="201" t="s">
        <v>59</v>
      </c>
      <c r="C8" s="201" t="s">
        <v>57</v>
      </c>
      <c r="D8" s="201" t="s">
        <v>62</v>
      </c>
      <c r="E8" s="201" t="s">
        <v>47</v>
      </c>
      <c r="F8" s="201" t="s">
        <v>54</v>
      </c>
      <c r="G8" s="201" t="s">
        <v>22</v>
      </c>
      <c r="H8" s="201"/>
      <c r="I8" s="201"/>
      <c r="J8" s="201" t="s">
        <v>0</v>
      </c>
      <c r="K8" s="201"/>
      <c r="L8" s="201"/>
      <c r="M8" s="201" t="s">
        <v>0</v>
      </c>
      <c r="N8" s="201"/>
      <c r="O8" s="201"/>
      <c r="P8" s="201" t="s">
        <v>0</v>
      </c>
      <c r="Q8" s="201"/>
      <c r="R8" s="201"/>
      <c r="S8" s="203"/>
    </row>
    <row r="9" spans="1:19" ht="33" customHeight="1">
      <c r="A9" s="200"/>
      <c r="B9" s="202"/>
      <c r="C9" s="202"/>
      <c r="D9" s="202"/>
      <c r="E9" s="202"/>
      <c r="F9" s="202"/>
      <c r="G9" s="64" t="s">
        <v>32</v>
      </c>
      <c r="H9" s="64" t="s">
        <v>50</v>
      </c>
      <c r="I9" s="64" t="s">
        <v>49</v>
      </c>
      <c r="J9" s="64" t="s">
        <v>18</v>
      </c>
      <c r="K9" s="64" t="s">
        <v>50</v>
      </c>
      <c r="L9" s="64" t="s">
        <v>49</v>
      </c>
      <c r="M9" s="64" t="s">
        <v>24</v>
      </c>
      <c r="N9" s="64" t="s">
        <v>50</v>
      </c>
      <c r="O9" s="64" t="s">
        <v>49</v>
      </c>
      <c r="P9" s="64" t="s">
        <v>21</v>
      </c>
      <c r="Q9" s="64" t="s">
        <v>50</v>
      </c>
      <c r="R9" s="202" t="s">
        <v>49</v>
      </c>
      <c r="S9" s="204"/>
    </row>
    <row r="10" spans="1:19">
      <c r="A10" s="50" t="str">
        <f>'1. 소켓인수검사'!A9</f>
        <v>01</v>
      </c>
      <c r="B10" s="36">
        <f>'1. 소켓인수검사'!C9</f>
        <v>200</v>
      </c>
      <c r="C10" s="36">
        <f>'1. 소켓인수검사'!D9</f>
        <v>150</v>
      </c>
      <c r="D10" s="51" t="s">
        <v>15</v>
      </c>
      <c r="E10" s="58">
        <f>B10*C10/1000000</f>
        <v>0.03</v>
      </c>
      <c r="F10" s="58">
        <f>(B10+C10)*2/1000</f>
        <v>0.7</v>
      </c>
      <c r="G10" s="26">
        <f>(F10+0.4)</f>
        <v>1.1000000000000001</v>
      </c>
      <c r="H10" s="26">
        <v>4</v>
      </c>
      <c r="I10" s="59">
        <f>G10*H10</f>
        <v>4.4000000000000004</v>
      </c>
      <c r="J10" s="26"/>
      <c r="K10" s="26"/>
      <c r="L10" s="26"/>
      <c r="M10" s="26"/>
      <c r="N10" s="26"/>
      <c r="O10" s="26"/>
      <c r="P10" s="26"/>
      <c r="Q10" s="26"/>
      <c r="R10" s="205"/>
      <c r="S10" s="206"/>
    </row>
    <row r="11" spans="1:19">
      <c r="A11" s="50" t="str">
        <f>'1. 소켓인수검사'!A10</f>
        <v>02</v>
      </c>
      <c r="B11" s="36">
        <f>'1. 소켓인수검사'!C10</f>
        <v>200</v>
      </c>
      <c r="C11" s="36">
        <f>'1. 소켓인수검사'!D10</f>
        <v>200</v>
      </c>
      <c r="D11" s="51" t="s">
        <v>15</v>
      </c>
      <c r="E11" s="58">
        <f t="shared" ref="E11:E39" si="0">B11*C11/1000000</f>
        <v>0.04</v>
      </c>
      <c r="F11" s="58">
        <f t="shared" ref="F11:F39" si="1">(B11+C11)*2/1000</f>
        <v>0.8</v>
      </c>
      <c r="G11" s="26">
        <f>(F11+0.4)</f>
        <v>1.2000000000000002</v>
      </c>
      <c r="H11" s="26">
        <v>4</v>
      </c>
      <c r="I11" s="59">
        <f>G11*H11</f>
        <v>4.8000000000000007</v>
      </c>
      <c r="J11" s="26"/>
      <c r="K11" s="26"/>
      <c r="L11" s="26"/>
      <c r="M11" s="26"/>
      <c r="N11" s="26"/>
      <c r="O11" s="26"/>
      <c r="P11" s="26"/>
      <c r="Q11" s="26"/>
      <c r="R11" s="205"/>
      <c r="S11" s="206"/>
    </row>
    <row r="12" spans="1:19">
      <c r="A12" s="50" t="str">
        <f>'1. 소켓인수검사'!A11</f>
        <v>03</v>
      </c>
      <c r="B12" s="36">
        <f>'1. 소켓인수검사'!C11</f>
        <v>200</v>
      </c>
      <c r="C12" s="36">
        <f>'1. 소켓인수검사'!D11</f>
        <v>200</v>
      </c>
      <c r="D12" s="51" t="s">
        <v>15</v>
      </c>
      <c r="E12" s="58">
        <f t="shared" si="0"/>
        <v>0.04</v>
      </c>
      <c r="F12" s="58">
        <f t="shared" si="1"/>
        <v>0.8</v>
      </c>
      <c r="G12" s="26">
        <f t="shared" ref="G12:G42" si="2">(F12+0.4)</f>
        <v>1.2000000000000002</v>
      </c>
      <c r="H12" s="26">
        <v>4</v>
      </c>
      <c r="I12" s="59">
        <f t="shared" ref="I12:I22" si="3">G12*H12</f>
        <v>4.8000000000000007</v>
      </c>
      <c r="J12" s="26"/>
      <c r="K12" s="26"/>
      <c r="L12" s="26"/>
      <c r="M12" s="26"/>
      <c r="N12" s="26"/>
      <c r="O12" s="26"/>
      <c r="P12" s="26"/>
      <c r="Q12" s="26"/>
      <c r="R12" s="205"/>
      <c r="S12" s="206"/>
    </row>
    <row r="13" spans="1:19">
      <c r="A13" s="50" t="str">
        <f>'1. 소켓인수검사'!A12</f>
        <v>04</v>
      </c>
      <c r="B13" s="36">
        <f>'1. 소켓인수검사'!C12</f>
        <v>200</v>
      </c>
      <c r="C13" s="36">
        <f>'1. 소켓인수검사'!D12</f>
        <v>200</v>
      </c>
      <c r="D13" s="51" t="s">
        <v>15</v>
      </c>
      <c r="E13" s="58">
        <f t="shared" si="0"/>
        <v>0.04</v>
      </c>
      <c r="F13" s="58">
        <f t="shared" si="1"/>
        <v>0.8</v>
      </c>
      <c r="G13" s="26">
        <f t="shared" si="2"/>
        <v>1.2000000000000002</v>
      </c>
      <c r="H13" s="26">
        <v>4</v>
      </c>
      <c r="I13" s="59">
        <f t="shared" si="3"/>
        <v>4.8000000000000007</v>
      </c>
      <c r="J13" s="26"/>
      <c r="K13" s="26"/>
      <c r="L13" s="26"/>
      <c r="M13" s="26"/>
      <c r="N13" s="26"/>
      <c r="O13" s="26"/>
      <c r="P13" s="26"/>
      <c r="Q13" s="26"/>
      <c r="R13" s="205"/>
      <c r="S13" s="206"/>
    </row>
    <row r="14" spans="1:19">
      <c r="A14" s="50" t="str">
        <f>'1. 소켓인수검사'!A13</f>
        <v>05</v>
      </c>
      <c r="B14" s="36">
        <f>'1. 소켓인수검사'!C13</f>
        <v>200</v>
      </c>
      <c r="C14" s="36">
        <f>'1. 소켓인수검사'!D13</f>
        <v>200</v>
      </c>
      <c r="D14" s="51" t="s">
        <v>15</v>
      </c>
      <c r="E14" s="58">
        <f t="shared" si="0"/>
        <v>0.04</v>
      </c>
      <c r="F14" s="58">
        <f t="shared" si="1"/>
        <v>0.8</v>
      </c>
      <c r="G14" s="26">
        <f t="shared" si="2"/>
        <v>1.2000000000000002</v>
      </c>
      <c r="H14" s="26">
        <v>4</v>
      </c>
      <c r="I14" s="59">
        <f t="shared" si="3"/>
        <v>4.8000000000000007</v>
      </c>
      <c r="J14" s="26"/>
      <c r="K14" s="26"/>
      <c r="L14" s="26"/>
      <c r="M14" s="26"/>
      <c r="N14" s="26"/>
      <c r="O14" s="26"/>
      <c r="P14" s="26"/>
      <c r="Q14" s="26"/>
      <c r="R14" s="205"/>
      <c r="S14" s="206"/>
    </row>
    <row r="15" spans="1:19">
      <c r="A15" s="50" t="str">
        <f>'1. 소켓인수검사'!A14</f>
        <v>06</v>
      </c>
      <c r="B15" s="36">
        <f>'1. 소켓인수검사'!C14</f>
        <v>200</v>
      </c>
      <c r="C15" s="36">
        <f>'1. 소켓인수검사'!D14</f>
        <v>200</v>
      </c>
      <c r="D15" s="51" t="s">
        <v>15</v>
      </c>
      <c r="E15" s="58">
        <f t="shared" si="0"/>
        <v>0.04</v>
      </c>
      <c r="F15" s="58">
        <f t="shared" si="1"/>
        <v>0.8</v>
      </c>
      <c r="G15" s="26">
        <f t="shared" si="2"/>
        <v>1.2000000000000002</v>
      </c>
      <c r="H15" s="26">
        <v>4</v>
      </c>
      <c r="I15" s="59">
        <f t="shared" si="3"/>
        <v>4.8000000000000007</v>
      </c>
      <c r="J15" s="26"/>
      <c r="K15" s="26"/>
      <c r="L15" s="26"/>
      <c r="M15" s="26"/>
      <c r="N15" s="26"/>
      <c r="O15" s="26"/>
      <c r="P15" s="26"/>
      <c r="Q15" s="26"/>
      <c r="R15" s="205"/>
      <c r="S15" s="206"/>
    </row>
    <row r="16" spans="1:19">
      <c r="A16" s="50" t="str">
        <f>'1. 소켓인수검사'!A15</f>
        <v>07</v>
      </c>
      <c r="B16" s="36">
        <f>'1. 소켓인수검사'!C15</f>
        <v>200</v>
      </c>
      <c r="C16" s="36">
        <f>'1. 소켓인수검사'!D15</f>
        <v>200</v>
      </c>
      <c r="D16" s="51" t="s">
        <v>15</v>
      </c>
      <c r="E16" s="58">
        <f t="shared" si="0"/>
        <v>0.04</v>
      </c>
      <c r="F16" s="58">
        <f t="shared" si="1"/>
        <v>0.8</v>
      </c>
      <c r="G16" s="26">
        <f t="shared" si="2"/>
        <v>1.2000000000000002</v>
      </c>
      <c r="H16" s="26">
        <v>4</v>
      </c>
      <c r="I16" s="59">
        <f t="shared" si="3"/>
        <v>4.8000000000000007</v>
      </c>
      <c r="J16" s="26"/>
      <c r="K16" s="26"/>
      <c r="L16" s="26"/>
      <c r="M16" s="26"/>
      <c r="N16" s="26"/>
      <c r="O16" s="26"/>
      <c r="P16" s="26"/>
      <c r="Q16" s="26"/>
      <c r="R16" s="205"/>
      <c r="S16" s="206"/>
    </row>
    <row r="17" spans="1:19">
      <c r="A17" s="50" t="str">
        <f>'1. 소켓인수검사'!A16</f>
        <v>08</v>
      </c>
      <c r="B17" s="36">
        <f>'1. 소켓인수검사'!C16</f>
        <v>250</v>
      </c>
      <c r="C17" s="36">
        <f>'1. 소켓인수검사'!D16</f>
        <v>200</v>
      </c>
      <c r="D17" s="51" t="s">
        <v>15</v>
      </c>
      <c r="E17" s="58">
        <f t="shared" si="0"/>
        <v>0.05</v>
      </c>
      <c r="F17" s="58">
        <f t="shared" si="1"/>
        <v>0.9</v>
      </c>
      <c r="G17" s="26">
        <f t="shared" si="2"/>
        <v>1.3</v>
      </c>
      <c r="H17" s="26">
        <v>4</v>
      </c>
      <c r="I17" s="59">
        <f t="shared" si="3"/>
        <v>5.2</v>
      </c>
      <c r="J17" s="26"/>
      <c r="K17" s="26"/>
      <c r="L17" s="26"/>
      <c r="M17" s="26"/>
      <c r="N17" s="26"/>
      <c r="O17" s="26"/>
      <c r="P17" s="26"/>
      <c r="Q17" s="26"/>
      <c r="R17" s="205"/>
      <c r="S17" s="206"/>
    </row>
    <row r="18" spans="1:19">
      <c r="A18" s="50" t="str">
        <f>'1. 소켓인수검사'!A17</f>
        <v>09</v>
      </c>
      <c r="B18" s="36">
        <f>'1. 소켓인수검사'!C17</f>
        <v>250</v>
      </c>
      <c r="C18" s="36">
        <f>'1. 소켓인수검사'!D17</f>
        <v>200</v>
      </c>
      <c r="D18" s="51" t="s">
        <v>15</v>
      </c>
      <c r="E18" s="58">
        <f t="shared" si="0"/>
        <v>0.05</v>
      </c>
      <c r="F18" s="58">
        <f t="shared" si="1"/>
        <v>0.9</v>
      </c>
      <c r="G18" s="26">
        <f t="shared" si="2"/>
        <v>1.3</v>
      </c>
      <c r="H18" s="26">
        <v>4</v>
      </c>
      <c r="I18" s="59">
        <f t="shared" si="3"/>
        <v>5.2</v>
      </c>
      <c r="J18" s="26"/>
      <c r="K18" s="26"/>
      <c r="L18" s="26"/>
      <c r="M18" s="26"/>
      <c r="N18" s="26"/>
      <c r="O18" s="26"/>
      <c r="P18" s="26"/>
      <c r="Q18" s="26"/>
      <c r="R18" s="205"/>
      <c r="S18" s="206"/>
    </row>
    <row r="19" spans="1:19">
      <c r="A19" s="50" t="str">
        <f>'1. 소켓인수검사'!A18</f>
        <v>10</v>
      </c>
      <c r="B19" s="36">
        <f>'1. 소켓인수검사'!C18</f>
        <v>250</v>
      </c>
      <c r="C19" s="36">
        <f>'1. 소켓인수검사'!D18</f>
        <v>200</v>
      </c>
      <c r="D19" s="51" t="s">
        <v>15</v>
      </c>
      <c r="E19" s="58">
        <f t="shared" si="0"/>
        <v>0.05</v>
      </c>
      <c r="F19" s="58">
        <f t="shared" si="1"/>
        <v>0.9</v>
      </c>
      <c r="G19" s="26">
        <f t="shared" si="2"/>
        <v>1.3</v>
      </c>
      <c r="H19" s="26">
        <v>4</v>
      </c>
      <c r="I19" s="59">
        <f t="shared" si="3"/>
        <v>5.2</v>
      </c>
      <c r="J19" s="26"/>
      <c r="K19" s="26"/>
      <c r="L19" s="26"/>
      <c r="M19" s="26"/>
      <c r="N19" s="26"/>
      <c r="O19" s="26"/>
      <c r="P19" s="26"/>
      <c r="Q19" s="26"/>
      <c r="R19" s="205"/>
      <c r="S19" s="206"/>
    </row>
    <row r="20" spans="1:19">
      <c r="A20" s="50" t="str">
        <f>'1. 소켓인수검사'!A19</f>
        <v>11</v>
      </c>
      <c r="B20" s="36">
        <f>'1. 소켓인수검사'!C19</f>
        <v>250</v>
      </c>
      <c r="C20" s="36">
        <f>'1. 소켓인수검사'!D19</f>
        <v>200</v>
      </c>
      <c r="D20" s="51" t="s">
        <v>15</v>
      </c>
      <c r="E20" s="58">
        <f t="shared" si="0"/>
        <v>0.05</v>
      </c>
      <c r="F20" s="58">
        <f t="shared" si="1"/>
        <v>0.9</v>
      </c>
      <c r="G20" s="26">
        <f t="shared" si="2"/>
        <v>1.3</v>
      </c>
      <c r="H20" s="26">
        <v>4</v>
      </c>
      <c r="I20" s="59">
        <f t="shared" si="3"/>
        <v>5.2</v>
      </c>
      <c r="J20" s="26"/>
      <c r="K20" s="26"/>
      <c r="L20" s="26"/>
      <c r="M20" s="26"/>
      <c r="N20" s="26"/>
      <c r="O20" s="26"/>
      <c r="P20" s="26"/>
      <c r="Q20" s="26"/>
      <c r="R20" s="205"/>
      <c r="S20" s="206"/>
    </row>
    <row r="21" spans="1:19">
      <c r="A21" s="50" t="str">
        <f>'1. 소켓인수검사'!A20</f>
        <v>12</v>
      </c>
      <c r="B21" s="36">
        <f>'1. 소켓인수검사'!C20</f>
        <v>250</v>
      </c>
      <c r="C21" s="36">
        <f>'1. 소켓인수검사'!D20</f>
        <v>200</v>
      </c>
      <c r="D21" s="51" t="s">
        <v>15</v>
      </c>
      <c r="E21" s="58">
        <f t="shared" si="0"/>
        <v>0.05</v>
      </c>
      <c r="F21" s="58">
        <f t="shared" si="1"/>
        <v>0.9</v>
      </c>
      <c r="G21" s="26">
        <f t="shared" si="2"/>
        <v>1.3</v>
      </c>
      <c r="H21" s="26">
        <v>4</v>
      </c>
      <c r="I21" s="59">
        <f t="shared" si="3"/>
        <v>5.2</v>
      </c>
      <c r="J21" s="26"/>
      <c r="K21" s="26"/>
      <c r="L21" s="26"/>
      <c r="M21" s="26"/>
      <c r="N21" s="26"/>
      <c r="O21" s="26"/>
      <c r="P21" s="26"/>
      <c r="Q21" s="26"/>
      <c r="R21" s="205"/>
      <c r="S21" s="206"/>
    </row>
    <row r="22" spans="1:19">
      <c r="A22" s="50" t="str">
        <f>'1. 소켓인수검사'!A21</f>
        <v>13</v>
      </c>
      <c r="B22" s="36">
        <f>'1. 소켓인수검사'!C21</f>
        <v>250</v>
      </c>
      <c r="C22" s="36">
        <f>'1. 소켓인수검사'!D21</f>
        <v>200</v>
      </c>
      <c r="D22" s="51" t="s">
        <v>15</v>
      </c>
      <c r="E22" s="58">
        <f t="shared" si="0"/>
        <v>0.05</v>
      </c>
      <c r="F22" s="58">
        <f t="shared" si="1"/>
        <v>0.9</v>
      </c>
      <c r="G22" s="26">
        <f t="shared" si="2"/>
        <v>1.3</v>
      </c>
      <c r="H22" s="26">
        <v>4</v>
      </c>
      <c r="I22" s="59">
        <f t="shared" si="3"/>
        <v>5.2</v>
      </c>
      <c r="J22" s="26"/>
      <c r="K22" s="26"/>
      <c r="L22" s="26"/>
      <c r="M22" s="26"/>
      <c r="N22" s="26"/>
      <c r="O22" s="26"/>
      <c r="P22" s="26"/>
      <c r="Q22" s="26"/>
      <c r="R22" s="205"/>
      <c r="S22" s="206"/>
    </row>
    <row r="23" spans="1:19">
      <c r="A23" s="50" t="str">
        <f>'1. 소켓인수검사'!A22</f>
        <v>14</v>
      </c>
      <c r="B23" s="36">
        <f>'1. 소켓인수검사'!C22</f>
        <v>250</v>
      </c>
      <c r="C23" s="36">
        <f>'1. 소켓인수검사'!D22</f>
        <v>200</v>
      </c>
      <c r="D23" s="51" t="s">
        <v>15</v>
      </c>
      <c r="E23" s="58">
        <f t="shared" si="0"/>
        <v>0.05</v>
      </c>
      <c r="F23" s="58">
        <f t="shared" si="1"/>
        <v>0.9</v>
      </c>
      <c r="G23" s="26">
        <f t="shared" si="2"/>
        <v>1.3</v>
      </c>
      <c r="H23" s="26">
        <f>2*2</f>
        <v>4</v>
      </c>
      <c r="I23" s="59">
        <f>G23*H23</f>
        <v>5.2</v>
      </c>
      <c r="J23" s="26"/>
      <c r="K23" s="26"/>
      <c r="L23" s="26"/>
      <c r="M23" s="26"/>
      <c r="N23" s="26"/>
      <c r="O23" s="26"/>
      <c r="P23" s="26"/>
      <c r="Q23" s="26"/>
      <c r="R23" s="205"/>
      <c r="S23" s="206"/>
    </row>
    <row r="24" spans="1:19">
      <c r="A24" s="50" t="str">
        <f>'1. 소켓인수검사'!A23</f>
        <v>15</v>
      </c>
      <c r="B24" s="36">
        <f>'1. 소켓인수검사'!C23</f>
        <v>250</v>
      </c>
      <c r="C24" s="36">
        <f>'1. 소켓인수검사'!D23</f>
        <v>200</v>
      </c>
      <c r="D24" s="51" t="s">
        <v>15</v>
      </c>
      <c r="E24" s="58">
        <f t="shared" si="0"/>
        <v>0.05</v>
      </c>
      <c r="F24" s="58">
        <f t="shared" si="1"/>
        <v>0.9</v>
      </c>
      <c r="G24" s="26">
        <f t="shared" si="2"/>
        <v>1.3</v>
      </c>
      <c r="H24" s="26">
        <f t="shared" ref="H24:H42" si="4">2*2</f>
        <v>4</v>
      </c>
      <c r="I24" s="59">
        <f t="shared" ref="I24:I42" si="5">G24*H24</f>
        <v>5.2</v>
      </c>
      <c r="J24" s="26"/>
      <c r="K24" s="26"/>
      <c r="L24" s="26"/>
      <c r="M24" s="26"/>
      <c r="N24" s="26"/>
      <c r="O24" s="26"/>
      <c r="P24" s="26"/>
      <c r="Q24" s="26"/>
      <c r="R24" s="205"/>
      <c r="S24" s="206"/>
    </row>
    <row r="25" spans="1:19">
      <c r="A25" s="50" t="str">
        <f>'1. 소켓인수검사'!A24</f>
        <v>16</v>
      </c>
      <c r="B25" s="36">
        <f>'1. 소켓인수검사'!C24</f>
        <v>250</v>
      </c>
      <c r="C25" s="36">
        <f>'1. 소켓인수검사'!D24</f>
        <v>200</v>
      </c>
      <c r="D25" s="51" t="s">
        <v>15</v>
      </c>
      <c r="E25" s="58">
        <f t="shared" si="0"/>
        <v>0.05</v>
      </c>
      <c r="F25" s="58">
        <f t="shared" si="1"/>
        <v>0.9</v>
      </c>
      <c r="G25" s="26">
        <f t="shared" si="2"/>
        <v>1.3</v>
      </c>
      <c r="H25" s="26">
        <f t="shared" si="4"/>
        <v>4</v>
      </c>
      <c r="I25" s="59">
        <f t="shared" si="5"/>
        <v>5.2</v>
      </c>
      <c r="J25" s="26"/>
      <c r="K25" s="26"/>
      <c r="L25" s="26"/>
      <c r="M25" s="26"/>
      <c r="N25" s="26"/>
      <c r="O25" s="26"/>
      <c r="P25" s="26"/>
      <c r="Q25" s="26"/>
      <c r="R25" s="205"/>
      <c r="S25" s="206"/>
    </row>
    <row r="26" spans="1:19">
      <c r="A26" s="50" t="str">
        <f>'1. 소켓인수검사'!A25</f>
        <v>17</v>
      </c>
      <c r="B26" s="36">
        <f>'1. 소켓인수검사'!C25</f>
        <v>250</v>
      </c>
      <c r="C26" s="36">
        <f>'1. 소켓인수검사'!D25</f>
        <v>200</v>
      </c>
      <c r="D26" s="51" t="s">
        <v>15</v>
      </c>
      <c r="E26" s="58">
        <f t="shared" si="0"/>
        <v>0.05</v>
      </c>
      <c r="F26" s="58">
        <f t="shared" si="1"/>
        <v>0.9</v>
      </c>
      <c r="G26" s="26">
        <f t="shared" si="2"/>
        <v>1.3</v>
      </c>
      <c r="H26" s="26">
        <f t="shared" si="4"/>
        <v>4</v>
      </c>
      <c r="I26" s="59">
        <f t="shared" si="5"/>
        <v>5.2</v>
      </c>
      <c r="J26" s="26"/>
      <c r="K26" s="26"/>
      <c r="L26" s="26"/>
      <c r="M26" s="26"/>
      <c r="N26" s="26"/>
      <c r="O26" s="26"/>
      <c r="P26" s="26"/>
      <c r="Q26" s="26"/>
      <c r="R26" s="205"/>
      <c r="S26" s="206"/>
    </row>
    <row r="27" spans="1:19">
      <c r="A27" s="50" t="str">
        <f>'1. 소켓인수검사'!A26</f>
        <v>18</v>
      </c>
      <c r="B27" s="36">
        <f>'1. 소켓인수검사'!C26</f>
        <v>250</v>
      </c>
      <c r="C27" s="36">
        <f>'1. 소켓인수검사'!D26</f>
        <v>200</v>
      </c>
      <c r="D27" s="51" t="s">
        <v>15</v>
      </c>
      <c r="E27" s="58">
        <f t="shared" si="0"/>
        <v>0.05</v>
      </c>
      <c r="F27" s="58">
        <f t="shared" si="1"/>
        <v>0.9</v>
      </c>
      <c r="G27" s="26">
        <f t="shared" si="2"/>
        <v>1.3</v>
      </c>
      <c r="H27" s="26">
        <f t="shared" si="4"/>
        <v>4</v>
      </c>
      <c r="I27" s="59">
        <f t="shared" si="5"/>
        <v>5.2</v>
      </c>
      <c r="J27" s="26"/>
      <c r="K27" s="26"/>
      <c r="L27" s="26"/>
      <c r="M27" s="26"/>
      <c r="N27" s="26"/>
      <c r="O27" s="26"/>
      <c r="P27" s="26"/>
      <c r="Q27" s="26"/>
      <c r="R27" s="205"/>
      <c r="S27" s="206"/>
    </row>
    <row r="28" spans="1:19">
      <c r="A28" s="50" t="str">
        <f>'1. 소켓인수검사'!A27</f>
        <v>19</v>
      </c>
      <c r="B28" s="36">
        <f>'1. 소켓인수검사'!C27</f>
        <v>250</v>
      </c>
      <c r="C28" s="36">
        <f>'1. 소켓인수검사'!D27</f>
        <v>200</v>
      </c>
      <c r="D28" s="51" t="s">
        <v>15</v>
      </c>
      <c r="E28" s="58">
        <f t="shared" si="0"/>
        <v>0.05</v>
      </c>
      <c r="F28" s="58">
        <f t="shared" si="1"/>
        <v>0.9</v>
      </c>
      <c r="G28" s="26">
        <f t="shared" si="2"/>
        <v>1.3</v>
      </c>
      <c r="H28" s="26">
        <f t="shared" si="4"/>
        <v>4</v>
      </c>
      <c r="I28" s="59">
        <f t="shared" si="5"/>
        <v>5.2</v>
      </c>
      <c r="J28" s="26"/>
      <c r="K28" s="26"/>
      <c r="L28" s="26"/>
      <c r="M28" s="26"/>
      <c r="N28" s="26"/>
      <c r="O28" s="26"/>
      <c r="P28" s="26"/>
      <c r="Q28" s="26"/>
      <c r="R28" s="205"/>
      <c r="S28" s="206"/>
    </row>
    <row r="29" spans="1:19">
      <c r="A29" s="50" t="str">
        <f>'1. 소켓인수검사'!A28</f>
        <v>20</v>
      </c>
      <c r="B29" s="36">
        <f>'1. 소켓인수검사'!C28</f>
        <v>250</v>
      </c>
      <c r="C29" s="36">
        <f>'1. 소켓인수검사'!D28</f>
        <v>200</v>
      </c>
      <c r="D29" s="51" t="s">
        <v>15</v>
      </c>
      <c r="E29" s="58">
        <f t="shared" si="0"/>
        <v>0.05</v>
      </c>
      <c r="F29" s="58">
        <f t="shared" si="1"/>
        <v>0.9</v>
      </c>
      <c r="G29" s="26">
        <f t="shared" si="2"/>
        <v>1.3</v>
      </c>
      <c r="H29" s="26">
        <f t="shared" si="4"/>
        <v>4</v>
      </c>
      <c r="I29" s="59">
        <f t="shared" si="5"/>
        <v>5.2</v>
      </c>
      <c r="J29" s="26"/>
      <c r="K29" s="26"/>
      <c r="L29" s="26"/>
      <c r="M29" s="26"/>
      <c r="N29" s="26"/>
      <c r="O29" s="26"/>
      <c r="P29" s="26"/>
      <c r="Q29" s="26"/>
      <c r="R29" s="205"/>
      <c r="S29" s="206"/>
    </row>
    <row r="30" spans="1:19">
      <c r="A30" s="50" t="str">
        <f>'1. 소켓인수검사'!A29</f>
        <v>21</v>
      </c>
      <c r="B30" s="36">
        <f>'1. 소켓인수검사'!C29</f>
        <v>250</v>
      </c>
      <c r="C30" s="36">
        <f>'1. 소켓인수검사'!D29</f>
        <v>200</v>
      </c>
      <c r="D30" s="51" t="s">
        <v>15</v>
      </c>
      <c r="E30" s="58">
        <f t="shared" si="0"/>
        <v>0.05</v>
      </c>
      <c r="F30" s="58">
        <f t="shared" si="1"/>
        <v>0.9</v>
      </c>
      <c r="G30" s="26">
        <f t="shared" si="2"/>
        <v>1.3</v>
      </c>
      <c r="H30" s="26">
        <f t="shared" si="4"/>
        <v>4</v>
      </c>
      <c r="I30" s="59">
        <f t="shared" si="5"/>
        <v>5.2</v>
      </c>
      <c r="J30" s="26"/>
      <c r="K30" s="26"/>
      <c r="L30" s="26"/>
      <c r="M30" s="26"/>
      <c r="N30" s="26"/>
      <c r="O30" s="26"/>
      <c r="P30" s="26"/>
      <c r="Q30" s="26"/>
      <c r="R30" s="205"/>
      <c r="S30" s="206"/>
    </row>
    <row r="31" spans="1:19">
      <c r="A31" s="50" t="str">
        <f>'1. 소켓인수검사'!A30</f>
        <v>22</v>
      </c>
      <c r="B31" s="36">
        <f>'1. 소켓인수검사'!C30</f>
        <v>250</v>
      </c>
      <c r="C31" s="36">
        <f>'1. 소켓인수검사'!D30</f>
        <v>200</v>
      </c>
      <c r="D31" s="51" t="s">
        <v>15</v>
      </c>
      <c r="E31" s="58">
        <f t="shared" si="0"/>
        <v>0.05</v>
      </c>
      <c r="F31" s="58">
        <f t="shared" si="1"/>
        <v>0.9</v>
      </c>
      <c r="G31" s="26">
        <f t="shared" si="2"/>
        <v>1.3</v>
      </c>
      <c r="H31" s="26">
        <f t="shared" si="4"/>
        <v>4</v>
      </c>
      <c r="I31" s="59">
        <f t="shared" si="5"/>
        <v>5.2</v>
      </c>
      <c r="J31" s="26"/>
      <c r="K31" s="26"/>
      <c r="L31" s="26"/>
      <c r="M31" s="26"/>
      <c r="N31" s="26"/>
      <c r="O31" s="26"/>
      <c r="P31" s="26"/>
      <c r="Q31" s="26"/>
      <c r="R31" s="205"/>
      <c r="S31" s="206"/>
    </row>
    <row r="32" spans="1:19">
      <c r="A32" s="50" t="str">
        <f>'1. 소켓인수검사'!A31</f>
        <v>23</v>
      </c>
      <c r="B32" s="36">
        <f>'1. 소켓인수검사'!C31</f>
        <v>250</v>
      </c>
      <c r="C32" s="36">
        <f>'1. 소켓인수검사'!D31</f>
        <v>200</v>
      </c>
      <c r="D32" s="51" t="s">
        <v>15</v>
      </c>
      <c r="E32" s="58">
        <f t="shared" si="0"/>
        <v>0.05</v>
      </c>
      <c r="F32" s="58">
        <f t="shared" si="1"/>
        <v>0.9</v>
      </c>
      <c r="G32" s="26">
        <f t="shared" si="2"/>
        <v>1.3</v>
      </c>
      <c r="H32" s="26">
        <f t="shared" si="4"/>
        <v>4</v>
      </c>
      <c r="I32" s="59">
        <f t="shared" si="5"/>
        <v>5.2</v>
      </c>
      <c r="J32" s="26"/>
      <c r="K32" s="26"/>
      <c r="L32" s="26"/>
      <c r="M32" s="26"/>
      <c r="N32" s="26"/>
      <c r="O32" s="26"/>
      <c r="P32" s="26"/>
      <c r="Q32" s="26"/>
      <c r="R32" s="205"/>
      <c r="S32" s="206"/>
    </row>
    <row r="33" spans="1:19">
      <c r="A33" s="50" t="str">
        <f>'1. 소켓인수검사'!A32</f>
        <v>24</v>
      </c>
      <c r="B33" s="36">
        <f>'1. 소켓인수검사'!C32</f>
        <v>300</v>
      </c>
      <c r="C33" s="36">
        <f>'1. 소켓인수검사'!D32</f>
        <v>250</v>
      </c>
      <c r="D33" s="51" t="s">
        <v>15</v>
      </c>
      <c r="E33" s="58">
        <f t="shared" si="0"/>
        <v>7.4999999999999997E-2</v>
      </c>
      <c r="F33" s="58">
        <f t="shared" si="1"/>
        <v>1.1000000000000001</v>
      </c>
      <c r="G33" s="26">
        <f t="shared" si="2"/>
        <v>1.5</v>
      </c>
      <c r="H33" s="26">
        <f t="shared" si="4"/>
        <v>4</v>
      </c>
      <c r="I33" s="59">
        <f t="shared" si="5"/>
        <v>6</v>
      </c>
      <c r="J33" s="60"/>
      <c r="K33" s="26"/>
      <c r="L33" s="26"/>
      <c r="M33" s="60"/>
      <c r="N33" s="26"/>
      <c r="O33" s="26"/>
      <c r="P33" s="60"/>
      <c r="Q33" s="26"/>
      <c r="R33" s="205"/>
      <c r="S33" s="206"/>
    </row>
    <row r="34" spans="1:19">
      <c r="A34" s="50" t="str">
        <f>'1. 소켓인수검사'!A33</f>
        <v>25</v>
      </c>
      <c r="B34" s="36">
        <f>'1. 소켓인수검사'!C33</f>
        <v>350</v>
      </c>
      <c r="C34" s="36">
        <f>'1. 소켓인수검사'!D33</f>
        <v>200</v>
      </c>
      <c r="D34" s="51" t="s">
        <v>15</v>
      </c>
      <c r="E34" s="58">
        <f t="shared" si="0"/>
        <v>7.0000000000000007E-2</v>
      </c>
      <c r="F34" s="58">
        <f t="shared" si="1"/>
        <v>1.1000000000000001</v>
      </c>
      <c r="G34" s="26">
        <f t="shared" si="2"/>
        <v>1.5</v>
      </c>
      <c r="H34" s="26">
        <f t="shared" si="4"/>
        <v>4</v>
      </c>
      <c r="I34" s="59">
        <f t="shared" si="5"/>
        <v>6</v>
      </c>
      <c r="J34" s="60"/>
      <c r="K34" s="26"/>
      <c r="L34" s="26"/>
      <c r="M34" s="60"/>
      <c r="N34" s="26"/>
      <c r="O34" s="26"/>
      <c r="P34" s="60"/>
      <c r="Q34" s="26"/>
      <c r="R34" s="205"/>
      <c r="S34" s="206"/>
    </row>
    <row r="35" spans="1:19">
      <c r="A35" s="50" t="str">
        <f>'1. 소켓인수검사'!A34</f>
        <v>26</v>
      </c>
      <c r="B35" s="36">
        <f>'1. 소켓인수검사'!C34</f>
        <v>350</v>
      </c>
      <c r="C35" s="36">
        <f>'1. 소켓인수검사'!D34</f>
        <v>200</v>
      </c>
      <c r="D35" s="51" t="s">
        <v>15</v>
      </c>
      <c r="E35" s="58">
        <f t="shared" si="0"/>
        <v>7.0000000000000007E-2</v>
      </c>
      <c r="F35" s="58">
        <f t="shared" si="1"/>
        <v>1.1000000000000001</v>
      </c>
      <c r="G35" s="26">
        <f t="shared" si="2"/>
        <v>1.5</v>
      </c>
      <c r="H35" s="26">
        <f t="shared" si="4"/>
        <v>4</v>
      </c>
      <c r="I35" s="59">
        <f t="shared" si="5"/>
        <v>6</v>
      </c>
      <c r="J35" s="60"/>
      <c r="K35" s="26"/>
      <c r="L35" s="26"/>
      <c r="M35" s="60"/>
      <c r="N35" s="26"/>
      <c r="O35" s="26"/>
      <c r="P35" s="60"/>
      <c r="Q35" s="26"/>
      <c r="R35" s="205"/>
      <c r="S35" s="206"/>
    </row>
    <row r="36" spans="1:19">
      <c r="A36" s="50" t="str">
        <f>'1. 소켓인수검사'!A35</f>
        <v>27</v>
      </c>
      <c r="B36" s="36">
        <f>'1. 소켓인수검사'!C35</f>
        <v>350</v>
      </c>
      <c r="C36" s="36">
        <f>'1. 소켓인수검사'!D35</f>
        <v>250</v>
      </c>
      <c r="D36" s="51" t="s">
        <v>15</v>
      </c>
      <c r="E36" s="58">
        <f t="shared" si="0"/>
        <v>8.7499999999999994E-2</v>
      </c>
      <c r="F36" s="58">
        <f t="shared" si="1"/>
        <v>1.2</v>
      </c>
      <c r="G36" s="26">
        <f t="shared" si="2"/>
        <v>1.6</v>
      </c>
      <c r="H36" s="26">
        <f t="shared" si="4"/>
        <v>4</v>
      </c>
      <c r="I36" s="59">
        <f t="shared" si="5"/>
        <v>6.4</v>
      </c>
      <c r="J36" s="60"/>
      <c r="K36" s="26"/>
      <c r="L36" s="26"/>
      <c r="M36" s="60"/>
      <c r="N36" s="26"/>
      <c r="O36" s="26"/>
      <c r="P36" s="60"/>
      <c r="Q36" s="26"/>
      <c r="R36" s="205"/>
      <c r="S36" s="206"/>
    </row>
    <row r="37" spans="1:19">
      <c r="A37" s="50" t="str">
        <f>'1. 소켓인수검사'!A36</f>
        <v>28</v>
      </c>
      <c r="B37" s="36">
        <f>'1. 소켓인수검사'!C36</f>
        <v>400</v>
      </c>
      <c r="C37" s="36">
        <f>'1. 소켓인수검사'!D36</f>
        <v>300</v>
      </c>
      <c r="D37" s="51" t="s">
        <v>15</v>
      </c>
      <c r="E37" s="58">
        <f t="shared" si="0"/>
        <v>0.12</v>
      </c>
      <c r="F37" s="58">
        <f t="shared" si="1"/>
        <v>1.4</v>
      </c>
      <c r="G37" s="26">
        <f t="shared" si="2"/>
        <v>1.7999999999999998</v>
      </c>
      <c r="H37" s="26">
        <f t="shared" si="4"/>
        <v>4</v>
      </c>
      <c r="I37" s="59">
        <f t="shared" si="5"/>
        <v>7.1999999999999993</v>
      </c>
      <c r="J37" s="26"/>
      <c r="K37" s="26"/>
      <c r="L37" s="26"/>
      <c r="M37" s="26"/>
      <c r="N37" s="26"/>
      <c r="O37" s="26"/>
      <c r="P37" s="26"/>
      <c r="Q37" s="26"/>
      <c r="R37" s="205"/>
      <c r="S37" s="206"/>
    </row>
    <row r="38" spans="1:19">
      <c r="A38" s="50" t="str">
        <f>'1. 소켓인수검사'!A37</f>
        <v>29</v>
      </c>
      <c r="B38" s="36">
        <f>'1. 소켓인수검사'!C37</f>
        <v>400</v>
      </c>
      <c r="C38" s="36">
        <f>'1. 소켓인수검사'!D37</f>
        <v>300</v>
      </c>
      <c r="D38" s="51" t="s">
        <v>15</v>
      </c>
      <c r="E38" s="58">
        <f t="shared" si="0"/>
        <v>0.12</v>
      </c>
      <c r="F38" s="58">
        <f t="shared" si="1"/>
        <v>1.4</v>
      </c>
      <c r="G38" s="26">
        <f t="shared" si="2"/>
        <v>1.7999999999999998</v>
      </c>
      <c r="H38" s="26">
        <f t="shared" si="4"/>
        <v>4</v>
      </c>
      <c r="I38" s="59">
        <f t="shared" si="5"/>
        <v>7.1999999999999993</v>
      </c>
      <c r="J38" s="26"/>
      <c r="K38" s="26"/>
      <c r="L38" s="26"/>
      <c r="M38" s="26"/>
      <c r="N38" s="26"/>
      <c r="O38" s="26"/>
      <c r="P38" s="26"/>
      <c r="Q38" s="26"/>
      <c r="R38" s="205"/>
      <c r="S38" s="206"/>
    </row>
    <row r="39" spans="1:19">
      <c r="A39" s="50" t="str">
        <f>'1. 소켓인수검사'!A38</f>
        <v>30</v>
      </c>
      <c r="B39" s="36">
        <f>'1. 소켓인수검사'!C38</f>
        <v>400</v>
      </c>
      <c r="C39" s="36">
        <f>'1. 소켓인수검사'!D38</f>
        <v>300</v>
      </c>
      <c r="D39" s="51" t="s">
        <v>15</v>
      </c>
      <c r="E39" s="58">
        <f t="shared" si="0"/>
        <v>0.12</v>
      </c>
      <c r="F39" s="58">
        <f t="shared" si="1"/>
        <v>1.4</v>
      </c>
      <c r="G39" s="26">
        <f t="shared" si="2"/>
        <v>1.7999999999999998</v>
      </c>
      <c r="H39" s="26">
        <f t="shared" si="4"/>
        <v>4</v>
      </c>
      <c r="I39" s="59">
        <f t="shared" si="5"/>
        <v>7.1999999999999993</v>
      </c>
      <c r="J39" s="26"/>
      <c r="K39" s="26"/>
      <c r="L39" s="26"/>
      <c r="M39" s="26"/>
      <c r="N39" s="26"/>
      <c r="O39" s="26"/>
      <c r="P39" s="26"/>
      <c r="Q39" s="26"/>
      <c r="R39" s="205"/>
      <c r="S39" s="206"/>
    </row>
    <row r="40" spans="1:19">
      <c r="A40" s="50" t="str">
        <f>'1. 소켓인수검사'!A39</f>
        <v>31</v>
      </c>
      <c r="B40" s="36">
        <f>'1. 소켓인수검사'!C39</f>
        <v>400</v>
      </c>
      <c r="C40" s="36">
        <f>'1. 소켓인수검사'!D39</f>
        <v>300</v>
      </c>
      <c r="D40" s="51" t="s">
        <v>15</v>
      </c>
      <c r="E40" s="58">
        <f t="shared" ref="E40:E42" si="6">B40*C40/1000000</f>
        <v>0.12</v>
      </c>
      <c r="F40" s="58">
        <f t="shared" ref="F40:F42" si="7">(B40+C40)*2/1000</f>
        <v>1.4</v>
      </c>
      <c r="G40" s="26">
        <f t="shared" si="2"/>
        <v>1.7999999999999998</v>
      </c>
      <c r="H40" s="26">
        <f t="shared" si="4"/>
        <v>4</v>
      </c>
      <c r="I40" s="59">
        <f t="shared" si="5"/>
        <v>7.1999999999999993</v>
      </c>
      <c r="J40" s="26"/>
      <c r="K40" s="26"/>
      <c r="L40" s="26"/>
      <c r="M40" s="26"/>
      <c r="N40" s="26"/>
      <c r="O40" s="26"/>
      <c r="P40" s="26"/>
      <c r="Q40" s="26"/>
      <c r="R40" s="205"/>
      <c r="S40" s="206"/>
    </row>
    <row r="41" spans="1:19">
      <c r="A41" s="50" t="str">
        <f>'1. 소켓인수검사'!A40</f>
        <v>32</v>
      </c>
      <c r="B41" s="36">
        <f>'1. 소켓인수검사'!C40</f>
        <v>400</v>
      </c>
      <c r="C41" s="36">
        <f>'1. 소켓인수검사'!D40</f>
        <v>300</v>
      </c>
      <c r="D41" s="51" t="s">
        <v>15</v>
      </c>
      <c r="E41" s="58">
        <f t="shared" si="6"/>
        <v>0.12</v>
      </c>
      <c r="F41" s="58">
        <f t="shared" si="7"/>
        <v>1.4</v>
      </c>
      <c r="G41" s="26">
        <f t="shared" si="2"/>
        <v>1.7999999999999998</v>
      </c>
      <c r="H41" s="26">
        <f t="shared" si="4"/>
        <v>4</v>
      </c>
      <c r="I41" s="59">
        <f t="shared" si="5"/>
        <v>7.1999999999999993</v>
      </c>
      <c r="J41" s="26"/>
      <c r="K41" s="26"/>
      <c r="L41" s="26"/>
      <c r="M41" s="26"/>
      <c r="N41" s="26"/>
      <c r="O41" s="26"/>
      <c r="P41" s="26"/>
      <c r="Q41" s="26"/>
      <c r="R41" s="205"/>
      <c r="S41" s="206"/>
    </row>
    <row r="42" spans="1:19">
      <c r="A42" s="50" t="str">
        <f>'1. 소켓인수검사'!A41</f>
        <v>33</v>
      </c>
      <c r="B42" s="36">
        <f>'1. 소켓인수검사'!C41</f>
        <v>500</v>
      </c>
      <c r="C42" s="36">
        <f>'1. 소켓인수검사'!D41</f>
        <v>300</v>
      </c>
      <c r="D42" s="51" t="s">
        <v>15</v>
      </c>
      <c r="E42" s="58">
        <f t="shared" si="6"/>
        <v>0.15</v>
      </c>
      <c r="F42" s="58">
        <f t="shared" si="7"/>
        <v>1.6</v>
      </c>
      <c r="G42" s="26">
        <f t="shared" si="2"/>
        <v>2</v>
      </c>
      <c r="H42" s="26">
        <f t="shared" si="4"/>
        <v>4</v>
      </c>
      <c r="I42" s="59">
        <f t="shared" si="5"/>
        <v>8</v>
      </c>
      <c r="J42" s="26"/>
      <c r="K42" s="26"/>
      <c r="L42" s="26"/>
      <c r="M42" s="26"/>
      <c r="N42" s="26"/>
      <c r="O42" s="26"/>
      <c r="P42" s="26"/>
      <c r="Q42" s="26"/>
      <c r="R42" s="205"/>
      <c r="S42" s="206"/>
    </row>
    <row r="43" spans="1:19">
      <c r="A43" s="50" t="str">
        <f>'1. 소켓인수검사'!A42</f>
        <v>34</v>
      </c>
      <c r="B43" s="36">
        <f>'1. 소켓인수검사'!C42</f>
        <v>500</v>
      </c>
      <c r="C43" s="36">
        <f>'1. 소켓인수검사'!D42</f>
        <v>300</v>
      </c>
      <c r="D43" s="51" t="s">
        <v>15</v>
      </c>
      <c r="E43" s="58">
        <f>B43*C43/1000000</f>
        <v>0.15</v>
      </c>
      <c r="F43" s="58">
        <f>(B43+C43)*2/1000</f>
        <v>1.6</v>
      </c>
      <c r="G43" s="26">
        <f>(F43+0.4)</f>
        <v>2</v>
      </c>
      <c r="H43" s="26">
        <v>4</v>
      </c>
      <c r="I43" s="59">
        <f>G43*H43</f>
        <v>8</v>
      </c>
      <c r="J43" s="26"/>
      <c r="K43" s="26"/>
      <c r="L43" s="26"/>
      <c r="M43" s="26"/>
      <c r="N43" s="26"/>
      <c r="O43" s="26"/>
      <c r="P43" s="26"/>
      <c r="Q43" s="26"/>
      <c r="R43" s="205"/>
      <c r="S43" s="206"/>
    </row>
    <row r="44" spans="1:19">
      <c r="A44" s="50" t="str">
        <f>'1. 소켓인수검사'!A43</f>
        <v>35</v>
      </c>
      <c r="B44" s="36">
        <f>'1. 소켓인수검사'!C43</f>
        <v>500</v>
      </c>
      <c r="C44" s="36">
        <f>'1. 소켓인수검사'!D43</f>
        <v>300</v>
      </c>
      <c r="D44" s="51" t="s">
        <v>15</v>
      </c>
      <c r="E44" s="58">
        <f t="shared" ref="E44:E70" si="8">B44*C44/1000000</f>
        <v>0.15</v>
      </c>
      <c r="F44" s="58">
        <f t="shared" ref="F44:F70" si="9">(B44+C44)*2/1000</f>
        <v>1.6</v>
      </c>
      <c r="G44" s="26">
        <f>(F44+0.4)</f>
        <v>2</v>
      </c>
      <c r="H44" s="26">
        <v>4</v>
      </c>
      <c r="I44" s="59">
        <f>G44*H44</f>
        <v>8</v>
      </c>
      <c r="J44" s="26"/>
      <c r="K44" s="26"/>
      <c r="L44" s="26"/>
      <c r="M44" s="26"/>
      <c r="N44" s="26"/>
      <c r="O44" s="26"/>
      <c r="P44" s="26"/>
      <c r="Q44" s="26"/>
      <c r="R44" s="205"/>
      <c r="S44" s="206"/>
    </row>
    <row r="45" spans="1:19">
      <c r="A45" s="50" t="str">
        <f>'1. 소켓인수검사'!A44</f>
        <v>36</v>
      </c>
      <c r="B45" s="36">
        <f>'1. 소켓인수검사'!C44</f>
        <v>500</v>
      </c>
      <c r="C45" s="36">
        <f>'1. 소켓인수검사'!D44</f>
        <v>300</v>
      </c>
      <c r="D45" s="51" t="s">
        <v>15</v>
      </c>
      <c r="E45" s="58">
        <f t="shared" si="8"/>
        <v>0.15</v>
      </c>
      <c r="F45" s="58">
        <f t="shared" si="9"/>
        <v>1.6</v>
      </c>
      <c r="G45" s="26">
        <f t="shared" ref="G45:G70" si="10">(F45+0.4)</f>
        <v>2</v>
      </c>
      <c r="H45" s="26">
        <v>4</v>
      </c>
      <c r="I45" s="59">
        <f t="shared" ref="I45:I55" si="11">G45*H45</f>
        <v>8</v>
      </c>
      <c r="J45" s="26"/>
      <c r="K45" s="26"/>
      <c r="L45" s="26"/>
      <c r="M45" s="26"/>
      <c r="N45" s="26"/>
      <c r="O45" s="26"/>
      <c r="P45" s="26"/>
      <c r="Q45" s="26"/>
      <c r="R45" s="205"/>
      <c r="S45" s="206"/>
    </row>
    <row r="46" spans="1:19">
      <c r="A46" s="50" t="str">
        <f>'1. 소켓인수검사'!A45</f>
        <v>37</v>
      </c>
      <c r="B46" s="36">
        <f>'1. 소켓인수검사'!C45</f>
        <v>500</v>
      </c>
      <c r="C46" s="36">
        <f>'1. 소켓인수검사'!D45</f>
        <v>400</v>
      </c>
      <c r="D46" s="51" t="s">
        <v>15</v>
      </c>
      <c r="E46" s="58">
        <f t="shared" si="8"/>
        <v>0.2</v>
      </c>
      <c r="F46" s="58">
        <f t="shared" si="9"/>
        <v>1.8</v>
      </c>
      <c r="G46" s="26">
        <f t="shared" si="10"/>
        <v>2.2000000000000002</v>
      </c>
      <c r="H46" s="26">
        <v>4</v>
      </c>
      <c r="I46" s="59">
        <f t="shared" si="11"/>
        <v>8.8000000000000007</v>
      </c>
      <c r="J46" s="26"/>
      <c r="K46" s="26"/>
      <c r="L46" s="26"/>
      <c r="M46" s="26"/>
      <c r="N46" s="26"/>
      <c r="O46" s="26"/>
      <c r="P46" s="26"/>
      <c r="Q46" s="26"/>
      <c r="R46" s="205"/>
      <c r="S46" s="206"/>
    </row>
    <row r="47" spans="1:19">
      <c r="A47" s="50" t="str">
        <f>'1. 소켓인수검사'!A46</f>
        <v>38</v>
      </c>
      <c r="B47" s="36">
        <f>'1. 소켓인수검사'!C46</f>
        <v>500</v>
      </c>
      <c r="C47" s="36">
        <f>'1. 소켓인수검사'!D46</f>
        <v>400</v>
      </c>
      <c r="D47" s="51" t="s">
        <v>15</v>
      </c>
      <c r="E47" s="58">
        <f t="shared" si="8"/>
        <v>0.2</v>
      </c>
      <c r="F47" s="58">
        <f t="shared" si="9"/>
        <v>1.8</v>
      </c>
      <c r="G47" s="26">
        <f t="shared" si="10"/>
        <v>2.2000000000000002</v>
      </c>
      <c r="H47" s="26">
        <v>4</v>
      </c>
      <c r="I47" s="59">
        <f t="shared" si="11"/>
        <v>8.8000000000000007</v>
      </c>
      <c r="J47" s="26"/>
      <c r="K47" s="26"/>
      <c r="L47" s="26"/>
      <c r="M47" s="26"/>
      <c r="N47" s="26"/>
      <c r="O47" s="26"/>
      <c r="P47" s="26"/>
      <c r="Q47" s="26"/>
      <c r="R47" s="205"/>
      <c r="S47" s="206"/>
    </row>
    <row r="48" spans="1:19">
      <c r="A48" s="50" t="str">
        <f>'1. 소켓인수검사'!A47</f>
        <v>39</v>
      </c>
      <c r="B48" s="36">
        <f>'1. 소켓인수검사'!C47</f>
        <v>500</v>
      </c>
      <c r="C48" s="36">
        <f>'1. 소켓인수검사'!D47</f>
        <v>400</v>
      </c>
      <c r="D48" s="51" t="s">
        <v>15</v>
      </c>
      <c r="E48" s="58">
        <f t="shared" si="8"/>
        <v>0.2</v>
      </c>
      <c r="F48" s="58">
        <f t="shared" si="9"/>
        <v>1.8</v>
      </c>
      <c r="G48" s="26">
        <f t="shared" si="10"/>
        <v>2.2000000000000002</v>
      </c>
      <c r="H48" s="26">
        <v>4</v>
      </c>
      <c r="I48" s="59">
        <f t="shared" si="11"/>
        <v>8.8000000000000007</v>
      </c>
      <c r="J48" s="26"/>
      <c r="K48" s="26"/>
      <c r="L48" s="26"/>
      <c r="M48" s="26"/>
      <c r="N48" s="26"/>
      <c r="O48" s="26"/>
      <c r="P48" s="26"/>
      <c r="Q48" s="26"/>
      <c r="R48" s="205"/>
      <c r="S48" s="206"/>
    </row>
    <row r="49" spans="1:19">
      <c r="A49" s="50" t="str">
        <f>'1. 소켓인수검사'!A48</f>
        <v>40</v>
      </c>
      <c r="B49" s="36">
        <f>'1. 소켓인수검사'!C48</f>
        <v>500</v>
      </c>
      <c r="C49" s="36">
        <f>'1. 소켓인수검사'!D48</f>
        <v>500</v>
      </c>
      <c r="D49" s="51" t="s">
        <v>15</v>
      </c>
      <c r="E49" s="58">
        <f t="shared" si="8"/>
        <v>0.25</v>
      </c>
      <c r="F49" s="58">
        <f t="shared" si="9"/>
        <v>2</v>
      </c>
      <c r="G49" s="26">
        <f t="shared" si="10"/>
        <v>2.4</v>
      </c>
      <c r="H49" s="26">
        <v>4</v>
      </c>
      <c r="I49" s="59">
        <f t="shared" si="11"/>
        <v>9.6</v>
      </c>
      <c r="J49" s="26"/>
      <c r="K49" s="26"/>
      <c r="L49" s="26"/>
      <c r="M49" s="26"/>
      <c r="N49" s="26"/>
      <c r="O49" s="26"/>
      <c r="P49" s="26"/>
      <c r="Q49" s="26"/>
      <c r="R49" s="205"/>
      <c r="S49" s="206"/>
    </row>
    <row r="50" spans="1:19">
      <c r="A50" s="50" t="str">
        <f>'1. 소켓인수검사'!A49</f>
        <v>41</v>
      </c>
      <c r="B50" s="36">
        <f>'1. 소켓인수검사'!C49</f>
        <v>500</v>
      </c>
      <c r="C50" s="36">
        <f>'1. 소켓인수검사'!D49</f>
        <v>500</v>
      </c>
      <c r="D50" s="51" t="s">
        <v>15</v>
      </c>
      <c r="E50" s="58">
        <f t="shared" si="8"/>
        <v>0.25</v>
      </c>
      <c r="F50" s="58">
        <f t="shared" si="9"/>
        <v>2</v>
      </c>
      <c r="G50" s="26">
        <f t="shared" si="10"/>
        <v>2.4</v>
      </c>
      <c r="H50" s="26">
        <v>4</v>
      </c>
      <c r="I50" s="59">
        <f t="shared" si="11"/>
        <v>9.6</v>
      </c>
      <c r="J50" s="26"/>
      <c r="K50" s="26"/>
      <c r="L50" s="26"/>
      <c r="M50" s="26"/>
      <c r="N50" s="26"/>
      <c r="O50" s="26"/>
      <c r="P50" s="26"/>
      <c r="Q50" s="26"/>
      <c r="R50" s="205"/>
      <c r="S50" s="206"/>
    </row>
    <row r="51" spans="1:19">
      <c r="A51" s="50" t="str">
        <f>'1. 소켓인수검사'!A50</f>
        <v>42</v>
      </c>
      <c r="B51" s="36">
        <f>'1. 소켓인수검사'!C50</f>
        <v>500</v>
      </c>
      <c r="C51" s="36">
        <f>'1. 소켓인수검사'!D50</f>
        <v>500</v>
      </c>
      <c r="D51" s="51" t="s">
        <v>15</v>
      </c>
      <c r="E51" s="58">
        <f t="shared" si="8"/>
        <v>0.25</v>
      </c>
      <c r="F51" s="58">
        <f t="shared" si="9"/>
        <v>2</v>
      </c>
      <c r="G51" s="26">
        <f t="shared" si="10"/>
        <v>2.4</v>
      </c>
      <c r="H51" s="26">
        <v>4</v>
      </c>
      <c r="I51" s="59">
        <f t="shared" si="11"/>
        <v>9.6</v>
      </c>
      <c r="J51" s="26"/>
      <c r="K51" s="26"/>
      <c r="L51" s="26"/>
      <c r="M51" s="26"/>
      <c r="N51" s="26"/>
      <c r="O51" s="26"/>
      <c r="P51" s="26"/>
      <c r="Q51" s="26"/>
      <c r="R51" s="205"/>
      <c r="S51" s="206"/>
    </row>
    <row r="52" spans="1:19">
      <c r="A52" s="50" t="str">
        <f>'1. 소켓인수검사'!A51</f>
        <v>43</v>
      </c>
      <c r="B52" s="36">
        <f>'1. 소켓인수검사'!C51</f>
        <v>500</v>
      </c>
      <c r="C52" s="36">
        <f>'1. 소켓인수검사'!D51</f>
        <v>500</v>
      </c>
      <c r="D52" s="51" t="s">
        <v>15</v>
      </c>
      <c r="E52" s="58">
        <f t="shared" si="8"/>
        <v>0.25</v>
      </c>
      <c r="F52" s="58">
        <f t="shared" si="9"/>
        <v>2</v>
      </c>
      <c r="G52" s="26">
        <f t="shared" si="10"/>
        <v>2.4</v>
      </c>
      <c r="H52" s="26">
        <v>4</v>
      </c>
      <c r="I52" s="59">
        <f t="shared" si="11"/>
        <v>9.6</v>
      </c>
      <c r="J52" s="26"/>
      <c r="K52" s="26"/>
      <c r="L52" s="26"/>
      <c r="M52" s="26"/>
      <c r="N52" s="26"/>
      <c r="O52" s="26"/>
      <c r="P52" s="26"/>
      <c r="Q52" s="26"/>
      <c r="R52" s="205"/>
      <c r="S52" s="206"/>
    </row>
    <row r="53" spans="1:19">
      <c r="A53" s="50" t="str">
        <f>'1. 소켓인수검사'!A52</f>
        <v>44</v>
      </c>
      <c r="B53" s="36">
        <f>'1. 소켓인수검사'!C52</f>
        <v>600</v>
      </c>
      <c r="C53" s="36">
        <f>'1. 소켓인수검사'!D52</f>
        <v>300</v>
      </c>
      <c r="D53" s="51" t="s">
        <v>15</v>
      </c>
      <c r="E53" s="58">
        <f t="shared" si="8"/>
        <v>0.18</v>
      </c>
      <c r="F53" s="58">
        <f t="shared" si="9"/>
        <v>1.8</v>
      </c>
      <c r="G53" s="26">
        <f t="shared" si="10"/>
        <v>2.2000000000000002</v>
      </c>
      <c r="H53" s="26">
        <v>4</v>
      </c>
      <c r="I53" s="59">
        <f t="shared" si="11"/>
        <v>8.8000000000000007</v>
      </c>
      <c r="J53" s="26"/>
      <c r="K53" s="26"/>
      <c r="L53" s="26"/>
      <c r="M53" s="26"/>
      <c r="N53" s="26"/>
      <c r="O53" s="26"/>
      <c r="P53" s="26"/>
      <c r="Q53" s="26"/>
      <c r="R53" s="205"/>
      <c r="S53" s="206"/>
    </row>
    <row r="54" spans="1:19">
      <c r="A54" s="50" t="str">
        <f>'1. 소켓인수검사'!A53</f>
        <v>45</v>
      </c>
      <c r="B54" s="36">
        <f>'1. 소켓인수검사'!C53</f>
        <v>600</v>
      </c>
      <c r="C54" s="36">
        <f>'1. 소켓인수검사'!D53</f>
        <v>350</v>
      </c>
      <c r="D54" s="51" t="s">
        <v>15</v>
      </c>
      <c r="E54" s="58">
        <f t="shared" si="8"/>
        <v>0.21</v>
      </c>
      <c r="F54" s="58">
        <f t="shared" si="9"/>
        <v>1.9</v>
      </c>
      <c r="G54" s="26">
        <f t="shared" si="10"/>
        <v>2.2999999999999998</v>
      </c>
      <c r="H54" s="26">
        <v>4</v>
      </c>
      <c r="I54" s="59">
        <f t="shared" si="11"/>
        <v>9.1999999999999993</v>
      </c>
      <c r="J54" s="26"/>
      <c r="K54" s="26"/>
      <c r="L54" s="26"/>
      <c r="M54" s="26"/>
      <c r="N54" s="26"/>
      <c r="O54" s="26"/>
      <c r="P54" s="26"/>
      <c r="Q54" s="26"/>
      <c r="R54" s="205"/>
      <c r="S54" s="206"/>
    </row>
    <row r="55" spans="1:19">
      <c r="A55" s="50" t="str">
        <f>'1. 소켓인수검사'!A54</f>
        <v>46</v>
      </c>
      <c r="B55" s="36">
        <f>'1. 소켓인수검사'!C54</f>
        <v>600</v>
      </c>
      <c r="C55" s="36">
        <f>'1. 소켓인수검사'!D54</f>
        <v>350</v>
      </c>
      <c r="D55" s="51" t="s">
        <v>15</v>
      </c>
      <c r="E55" s="58">
        <f t="shared" si="8"/>
        <v>0.21</v>
      </c>
      <c r="F55" s="58">
        <f t="shared" si="9"/>
        <v>1.9</v>
      </c>
      <c r="G55" s="26">
        <f t="shared" si="10"/>
        <v>2.2999999999999998</v>
      </c>
      <c r="H55" s="26">
        <v>4</v>
      </c>
      <c r="I55" s="59">
        <f t="shared" si="11"/>
        <v>9.1999999999999993</v>
      </c>
      <c r="J55" s="26"/>
      <c r="K55" s="26"/>
      <c r="L55" s="26"/>
      <c r="M55" s="26"/>
      <c r="N55" s="26"/>
      <c r="O55" s="26"/>
      <c r="P55" s="26"/>
      <c r="Q55" s="26"/>
      <c r="R55" s="205"/>
      <c r="S55" s="206"/>
    </row>
    <row r="56" spans="1:19">
      <c r="A56" s="50" t="str">
        <f>'1. 소켓인수검사'!A55</f>
        <v>47</v>
      </c>
      <c r="B56" s="36">
        <f>'1. 소켓인수검사'!C55</f>
        <v>600</v>
      </c>
      <c r="C56" s="36">
        <f>'1. 소켓인수검사'!D55</f>
        <v>400</v>
      </c>
      <c r="D56" s="51" t="s">
        <v>15</v>
      </c>
      <c r="E56" s="58">
        <f t="shared" si="8"/>
        <v>0.24</v>
      </c>
      <c r="F56" s="58">
        <f t="shared" si="9"/>
        <v>2</v>
      </c>
      <c r="G56" s="26">
        <f t="shared" si="10"/>
        <v>2.4</v>
      </c>
      <c r="H56" s="26">
        <f>2*2</f>
        <v>4</v>
      </c>
      <c r="I56" s="59">
        <f>G56*H56</f>
        <v>9.6</v>
      </c>
      <c r="J56" s="26"/>
      <c r="K56" s="26"/>
      <c r="L56" s="26"/>
      <c r="M56" s="26"/>
      <c r="N56" s="26"/>
      <c r="O56" s="26"/>
      <c r="P56" s="26"/>
      <c r="Q56" s="26"/>
      <c r="R56" s="205"/>
      <c r="S56" s="206"/>
    </row>
    <row r="57" spans="1:19">
      <c r="A57" s="50" t="str">
        <f>'1. 소켓인수검사'!A56</f>
        <v>48</v>
      </c>
      <c r="B57" s="36">
        <f>'1. 소켓인수검사'!C56</f>
        <v>600</v>
      </c>
      <c r="C57" s="36">
        <f>'1. 소켓인수검사'!D56</f>
        <v>400</v>
      </c>
      <c r="D57" s="51" t="s">
        <v>15</v>
      </c>
      <c r="E57" s="58">
        <f t="shared" si="8"/>
        <v>0.24</v>
      </c>
      <c r="F57" s="58">
        <f t="shared" si="9"/>
        <v>2</v>
      </c>
      <c r="G57" s="26">
        <f t="shared" si="10"/>
        <v>2.4</v>
      </c>
      <c r="H57" s="26">
        <f t="shared" ref="H57:H70" si="12">2*2</f>
        <v>4</v>
      </c>
      <c r="I57" s="59">
        <f t="shared" ref="I57:I70" si="13">G57*H57</f>
        <v>9.6</v>
      </c>
      <c r="J57" s="26"/>
      <c r="K57" s="26"/>
      <c r="L57" s="26"/>
      <c r="M57" s="26"/>
      <c r="N57" s="26"/>
      <c r="O57" s="26"/>
      <c r="P57" s="26"/>
      <c r="Q57" s="26"/>
      <c r="R57" s="205"/>
      <c r="S57" s="206"/>
    </row>
    <row r="58" spans="1:19">
      <c r="A58" s="50" t="str">
        <f>'1. 소켓인수검사'!A57</f>
        <v>49</v>
      </c>
      <c r="B58" s="36">
        <f>'1. 소켓인수검사'!C57</f>
        <v>600</v>
      </c>
      <c r="C58" s="36">
        <f>'1. 소켓인수검사'!D57</f>
        <v>500</v>
      </c>
      <c r="D58" s="51" t="s">
        <v>15</v>
      </c>
      <c r="E58" s="58">
        <f t="shared" si="8"/>
        <v>0.3</v>
      </c>
      <c r="F58" s="58">
        <f t="shared" si="9"/>
        <v>2.2000000000000002</v>
      </c>
      <c r="G58" s="26">
        <f t="shared" si="10"/>
        <v>2.6</v>
      </c>
      <c r="H58" s="26">
        <f t="shared" si="12"/>
        <v>4</v>
      </c>
      <c r="I58" s="59">
        <f t="shared" si="13"/>
        <v>10.4</v>
      </c>
      <c r="J58" s="26"/>
      <c r="K58" s="26"/>
      <c r="L58" s="26"/>
      <c r="M58" s="26"/>
      <c r="N58" s="26"/>
      <c r="O58" s="26"/>
      <c r="P58" s="26"/>
      <c r="Q58" s="26"/>
      <c r="R58" s="205"/>
      <c r="S58" s="206"/>
    </row>
    <row r="59" spans="1:19">
      <c r="A59" s="50" t="str">
        <f>'1. 소켓인수검사'!A58</f>
        <v>50</v>
      </c>
      <c r="B59" s="36">
        <f>'1. 소켓인수검사'!C58</f>
        <v>600</v>
      </c>
      <c r="C59" s="36">
        <f>'1. 소켓인수검사'!D58</f>
        <v>500</v>
      </c>
      <c r="D59" s="51" t="s">
        <v>15</v>
      </c>
      <c r="E59" s="58">
        <f t="shared" si="8"/>
        <v>0.3</v>
      </c>
      <c r="F59" s="58">
        <f t="shared" si="9"/>
        <v>2.2000000000000002</v>
      </c>
      <c r="G59" s="26">
        <f t="shared" si="10"/>
        <v>2.6</v>
      </c>
      <c r="H59" s="26">
        <f t="shared" si="12"/>
        <v>4</v>
      </c>
      <c r="I59" s="59">
        <f t="shared" si="13"/>
        <v>10.4</v>
      </c>
      <c r="J59" s="26"/>
      <c r="K59" s="26"/>
      <c r="L59" s="26"/>
      <c r="M59" s="26"/>
      <c r="N59" s="26"/>
      <c r="O59" s="26"/>
      <c r="P59" s="26"/>
      <c r="Q59" s="26"/>
      <c r="R59" s="205"/>
      <c r="S59" s="206"/>
    </row>
    <row r="60" spans="1:19">
      <c r="A60" s="50" t="str">
        <f>'1. 소켓인수검사'!A59</f>
        <v>51</v>
      </c>
      <c r="B60" s="36">
        <f>'1. 소켓인수검사'!C59</f>
        <v>600</v>
      </c>
      <c r="C60" s="36">
        <f>'1. 소켓인수검사'!D59</f>
        <v>500</v>
      </c>
      <c r="D60" s="51" t="s">
        <v>15</v>
      </c>
      <c r="E60" s="58">
        <f t="shared" si="8"/>
        <v>0.3</v>
      </c>
      <c r="F60" s="58">
        <f t="shared" si="9"/>
        <v>2.2000000000000002</v>
      </c>
      <c r="G60" s="26">
        <f t="shared" si="10"/>
        <v>2.6</v>
      </c>
      <c r="H60" s="26">
        <f t="shared" si="12"/>
        <v>4</v>
      </c>
      <c r="I60" s="59">
        <f t="shared" si="13"/>
        <v>10.4</v>
      </c>
      <c r="J60" s="26"/>
      <c r="K60" s="26"/>
      <c r="L60" s="26"/>
      <c r="M60" s="26"/>
      <c r="N60" s="26"/>
      <c r="O60" s="26"/>
      <c r="P60" s="26"/>
      <c r="Q60" s="26"/>
      <c r="R60" s="205"/>
      <c r="S60" s="206"/>
    </row>
    <row r="61" spans="1:19">
      <c r="A61" s="50" t="str">
        <f>'1. 소켓인수검사'!A60</f>
        <v>52</v>
      </c>
      <c r="B61" s="36">
        <f>'1. 소켓인수검사'!C60</f>
        <v>700</v>
      </c>
      <c r="C61" s="36">
        <f>'1. 소켓인수검사'!D60</f>
        <v>300</v>
      </c>
      <c r="D61" s="51" t="s">
        <v>15</v>
      </c>
      <c r="E61" s="58">
        <f t="shared" si="8"/>
        <v>0.21</v>
      </c>
      <c r="F61" s="58">
        <f t="shared" si="9"/>
        <v>2</v>
      </c>
      <c r="G61" s="26">
        <f t="shared" si="10"/>
        <v>2.4</v>
      </c>
      <c r="H61" s="26">
        <f t="shared" si="12"/>
        <v>4</v>
      </c>
      <c r="I61" s="59">
        <f t="shared" si="13"/>
        <v>9.6</v>
      </c>
      <c r="J61" s="26"/>
      <c r="K61" s="26"/>
      <c r="L61" s="26"/>
      <c r="M61" s="26"/>
      <c r="N61" s="26"/>
      <c r="O61" s="26"/>
      <c r="P61" s="26"/>
      <c r="Q61" s="26"/>
      <c r="R61" s="205"/>
      <c r="S61" s="206"/>
    </row>
    <row r="62" spans="1:19">
      <c r="A62" s="50" t="str">
        <f>'1. 소켓인수검사'!A61</f>
        <v>53</v>
      </c>
      <c r="B62" s="36">
        <f>'1. 소켓인수검사'!C61</f>
        <v>700</v>
      </c>
      <c r="C62" s="36">
        <f>'1. 소켓인수검사'!D61</f>
        <v>400</v>
      </c>
      <c r="D62" s="51" t="s">
        <v>15</v>
      </c>
      <c r="E62" s="58">
        <f t="shared" si="8"/>
        <v>0.28000000000000003</v>
      </c>
      <c r="F62" s="58">
        <f t="shared" si="9"/>
        <v>2.2000000000000002</v>
      </c>
      <c r="G62" s="26">
        <f t="shared" si="10"/>
        <v>2.6</v>
      </c>
      <c r="H62" s="26">
        <f t="shared" si="12"/>
        <v>4</v>
      </c>
      <c r="I62" s="59">
        <f t="shared" si="13"/>
        <v>10.4</v>
      </c>
      <c r="J62" s="26"/>
      <c r="K62" s="26"/>
      <c r="L62" s="26"/>
      <c r="M62" s="26"/>
      <c r="N62" s="26"/>
      <c r="O62" s="26"/>
      <c r="P62" s="26"/>
      <c r="Q62" s="26"/>
      <c r="R62" s="205"/>
      <c r="S62" s="206"/>
    </row>
    <row r="63" spans="1:19">
      <c r="A63" s="50" t="str">
        <f>'1. 소켓인수검사'!A62</f>
        <v>54</v>
      </c>
      <c r="B63" s="36">
        <f>'1. 소켓인수검사'!C62</f>
        <v>750</v>
      </c>
      <c r="C63" s="36">
        <f>'1. 소켓인수검사'!D62</f>
        <v>400</v>
      </c>
      <c r="D63" s="51" t="s">
        <v>15</v>
      </c>
      <c r="E63" s="58">
        <f t="shared" si="8"/>
        <v>0.3</v>
      </c>
      <c r="F63" s="58">
        <f t="shared" si="9"/>
        <v>2.2999999999999998</v>
      </c>
      <c r="G63" s="26">
        <f t="shared" si="10"/>
        <v>2.6999999999999997</v>
      </c>
      <c r="H63" s="26">
        <f t="shared" si="12"/>
        <v>4</v>
      </c>
      <c r="I63" s="59">
        <f t="shared" si="13"/>
        <v>10.799999999999999</v>
      </c>
      <c r="J63" s="26"/>
      <c r="K63" s="26"/>
      <c r="L63" s="26"/>
      <c r="M63" s="26"/>
      <c r="N63" s="26"/>
      <c r="O63" s="26"/>
      <c r="P63" s="26"/>
      <c r="Q63" s="26"/>
      <c r="R63" s="205"/>
      <c r="S63" s="206"/>
    </row>
    <row r="64" spans="1:19">
      <c r="A64" s="50" t="str">
        <f>'1. 소켓인수검사'!A63</f>
        <v>55</v>
      </c>
      <c r="B64" s="36">
        <f>'1. 소켓인수검사'!C63</f>
        <v>750</v>
      </c>
      <c r="C64" s="36">
        <f>'1. 소켓인수검사'!D63</f>
        <v>400</v>
      </c>
      <c r="D64" s="51" t="s">
        <v>15</v>
      </c>
      <c r="E64" s="58">
        <f t="shared" si="8"/>
        <v>0.3</v>
      </c>
      <c r="F64" s="58">
        <f t="shared" si="9"/>
        <v>2.2999999999999998</v>
      </c>
      <c r="G64" s="26">
        <f t="shared" si="10"/>
        <v>2.6999999999999997</v>
      </c>
      <c r="H64" s="26">
        <f t="shared" si="12"/>
        <v>4</v>
      </c>
      <c r="I64" s="59">
        <f t="shared" si="13"/>
        <v>10.799999999999999</v>
      </c>
      <c r="J64" s="26"/>
      <c r="K64" s="26"/>
      <c r="L64" s="26"/>
      <c r="M64" s="26"/>
      <c r="N64" s="26"/>
      <c r="O64" s="26"/>
      <c r="P64" s="26"/>
      <c r="Q64" s="26"/>
      <c r="R64" s="205"/>
      <c r="S64" s="206"/>
    </row>
    <row r="65" spans="1:19">
      <c r="A65" s="50" t="str">
        <f>'1. 소켓인수검사'!A64</f>
        <v>56</v>
      </c>
      <c r="B65" s="36">
        <f>'1. 소켓인수검사'!C64</f>
        <v>750</v>
      </c>
      <c r="C65" s="36">
        <f>'1. 소켓인수검사'!D64</f>
        <v>550</v>
      </c>
      <c r="D65" s="51" t="s">
        <v>15</v>
      </c>
      <c r="E65" s="58">
        <f t="shared" si="8"/>
        <v>0.41249999999999998</v>
      </c>
      <c r="F65" s="58">
        <f t="shared" si="9"/>
        <v>2.6</v>
      </c>
      <c r="G65" s="26">
        <f t="shared" si="10"/>
        <v>3</v>
      </c>
      <c r="H65" s="26">
        <f t="shared" si="12"/>
        <v>4</v>
      </c>
      <c r="I65" s="59">
        <f t="shared" si="13"/>
        <v>12</v>
      </c>
      <c r="J65" s="26"/>
      <c r="K65" s="26"/>
      <c r="L65" s="26"/>
      <c r="M65" s="26"/>
      <c r="N65" s="26"/>
      <c r="O65" s="26"/>
      <c r="P65" s="26"/>
      <c r="Q65" s="26"/>
      <c r="R65" s="205"/>
      <c r="S65" s="206"/>
    </row>
    <row r="66" spans="1:19">
      <c r="A66" s="50" t="str">
        <f>'1. 소켓인수검사'!A65</f>
        <v>57</v>
      </c>
      <c r="B66" s="36">
        <f>'1. 소켓인수검사'!C65</f>
        <v>800</v>
      </c>
      <c r="C66" s="36">
        <f>'1. 소켓인수검사'!D65</f>
        <v>400</v>
      </c>
      <c r="D66" s="51" t="s">
        <v>15</v>
      </c>
      <c r="E66" s="58">
        <f t="shared" si="8"/>
        <v>0.32</v>
      </c>
      <c r="F66" s="58">
        <f t="shared" si="9"/>
        <v>2.4</v>
      </c>
      <c r="G66" s="26">
        <f t="shared" si="10"/>
        <v>2.8</v>
      </c>
      <c r="H66" s="26">
        <f t="shared" si="12"/>
        <v>4</v>
      </c>
      <c r="I66" s="59">
        <f t="shared" si="13"/>
        <v>11.2</v>
      </c>
      <c r="J66" s="60"/>
      <c r="K66" s="26"/>
      <c r="L66" s="26"/>
      <c r="M66" s="60"/>
      <c r="N66" s="26"/>
      <c r="O66" s="26"/>
      <c r="P66" s="60"/>
      <c r="Q66" s="26"/>
      <c r="R66" s="205"/>
      <c r="S66" s="206"/>
    </row>
    <row r="67" spans="1:19">
      <c r="A67" s="50" t="str">
        <f>'1. 소켓인수검사'!A66</f>
        <v>58</v>
      </c>
      <c r="B67" s="36">
        <f>'1. 소켓인수검사'!C66</f>
        <v>800</v>
      </c>
      <c r="C67" s="36">
        <f>'1. 소켓인수검사'!D66</f>
        <v>450</v>
      </c>
      <c r="D67" s="51" t="s">
        <v>15</v>
      </c>
      <c r="E67" s="58">
        <f t="shared" si="8"/>
        <v>0.36</v>
      </c>
      <c r="F67" s="58">
        <f t="shared" si="9"/>
        <v>2.5</v>
      </c>
      <c r="G67" s="26">
        <f t="shared" si="10"/>
        <v>2.9</v>
      </c>
      <c r="H67" s="26">
        <f t="shared" si="12"/>
        <v>4</v>
      </c>
      <c r="I67" s="59">
        <f t="shared" si="13"/>
        <v>11.6</v>
      </c>
      <c r="J67" s="60"/>
      <c r="K67" s="26"/>
      <c r="L67" s="26"/>
      <c r="M67" s="60"/>
      <c r="N67" s="26"/>
      <c r="O67" s="26"/>
      <c r="P67" s="60"/>
      <c r="Q67" s="26"/>
      <c r="R67" s="205"/>
      <c r="S67" s="206"/>
    </row>
    <row r="68" spans="1:19">
      <c r="A68" s="50" t="str">
        <f>'1. 소켓인수검사'!A67</f>
        <v>59</v>
      </c>
      <c r="B68" s="36">
        <f>'1. 소켓인수검사'!C67</f>
        <v>950</v>
      </c>
      <c r="C68" s="36">
        <f>'1. 소켓인수검사'!D67</f>
        <v>400</v>
      </c>
      <c r="D68" s="51" t="s">
        <v>15</v>
      </c>
      <c r="E68" s="58">
        <f t="shared" si="8"/>
        <v>0.38</v>
      </c>
      <c r="F68" s="58">
        <f t="shared" si="9"/>
        <v>2.7</v>
      </c>
      <c r="G68" s="26">
        <f t="shared" si="10"/>
        <v>3.1</v>
      </c>
      <c r="H68" s="26">
        <f t="shared" si="12"/>
        <v>4</v>
      </c>
      <c r="I68" s="59">
        <f t="shared" si="13"/>
        <v>12.4</v>
      </c>
      <c r="J68" s="60"/>
      <c r="K68" s="26"/>
      <c r="L68" s="26"/>
      <c r="M68" s="60"/>
      <c r="N68" s="26"/>
      <c r="O68" s="26"/>
      <c r="P68" s="60"/>
      <c r="Q68" s="26"/>
      <c r="R68" s="205"/>
      <c r="S68" s="206"/>
    </row>
    <row r="69" spans="1:19">
      <c r="A69" s="50" t="str">
        <f>'1. 소켓인수검사'!A68</f>
        <v>60</v>
      </c>
      <c r="B69" s="36">
        <f>'1. 소켓인수검사'!C68</f>
        <v>1050</v>
      </c>
      <c r="C69" s="36">
        <f>'1. 소켓인수검사'!D68</f>
        <v>400</v>
      </c>
      <c r="D69" s="51" t="s">
        <v>15</v>
      </c>
      <c r="E69" s="58">
        <f t="shared" si="8"/>
        <v>0.42</v>
      </c>
      <c r="F69" s="58">
        <f t="shared" si="9"/>
        <v>2.9</v>
      </c>
      <c r="G69" s="26">
        <f t="shared" si="10"/>
        <v>3.3</v>
      </c>
      <c r="H69" s="26">
        <f t="shared" si="12"/>
        <v>4</v>
      </c>
      <c r="I69" s="59">
        <f t="shared" si="13"/>
        <v>13.2</v>
      </c>
      <c r="J69" s="60"/>
      <c r="K69" s="26"/>
      <c r="L69" s="26"/>
      <c r="M69" s="60"/>
      <c r="N69" s="26"/>
      <c r="O69" s="26"/>
      <c r="P69" s="60"/>
      <c r="Q69" s="26"/>
      <c r="R69" s="205"/>
      <c r="S69" s="206"/>
    </row>
    <row r="70" spans="1:19">
      <c r="A70" s="50" t="str">
        <f>'1. 소켓인수검사'!A69</f>
        <v>61</v>
      </c>
      <c r="B70" s="36">
        <f>'1. 소켓인수검사'!C69</f>
        <v>1050</v>
      </c>
      <c r="C70" s="36">
        <f>'1. 소켓인수검사'!D69</f>
        <v>400</v>
      </c>
      <c r="D70" s="51" t="s">
        <v>15</v>
      </c>
      <c r="E70" s="58">
        <f t="shared" si="8"/>
        <v>0.42</v>
      </c>
      <c r="F70" s="58">
        <f t="shared" si="9"/>
        <v>2.9</v>
      </c>
      <c r="G70" s="26">
        <f t="shared" si="10"/>
        <v>3.3</v>
      </c>
      <c r="H70" s="26">
        <f t="shared" si="12"/>
        <v>4</v>
      </c>
      <c r="I70" s="59">
        <f t="shared" si="13"/>
        <v>13.2</v>
      </c>
      <c r="J70" s="26"/>
      <c r="K70" s="26"/>
      <c r="L70" s="26"/>
      <c r="M70" s="26"/>
      <c r="N70" s="26"/>
      <c r="O70" s="26"/>
      <c r="P70" s="26"/>
      <c r="Q70" s="26"/>
      <c r="R70" s="205"/>
      <c r="S70" s="206"/>
    </row>
    <row r="71" spans="1:19">
      <c r="A71" s="207" t="s">
        <v>3</v>
      </c>
      <c r="B71" s="208"/>
      <c r="C71" s="208"/>
      <c r="D71" s="208"/>
      <c r="E71" s="208"/>
      <c r="F71" s="209"/>
      <c r="G71" s="34"/>
      <c r="H71" s="44"/>
      <c r="I71" s="68">
        <f>SUM(I10:I70)</f>
        <v>466.4</v>
      </c>
      <c r="J71" s="34"/>
      <c r="K71" s="34"/>
      <c r="L71" s="68">
        <f>SUM(L10:L70)</f>
        <v>0</v>
      </c>
      <c r="M71" s="34"/>
      <c r="N71" s="34"/>
      <c r="O71" s="68">
        <f>SUM(O10:O70)</f>
        <v>0</v>
      </c>
      <c r="P71" s="34"/>
      <c r="Q71" s="34"/>
      <c r="R71" s="210">
        <f>SUM(R10:S70)</f>
        <v>0</v>
      </c>
      <c r="S71" s="211"/>
    </row>
    <row r="72" spans="1:19" ht="17.25" customHeight="1">
      <c r="A72" s="214" t="s">
        <v>13</v>
      </c>
      <c r="B72" s="215"/>
      <c r="C72" s="215"/>
      <c r="D72" s="215"/>
      <c r="E72" s="215"/>
      <c r="F72" s="216"/>
      <c r="G72" s="217">
        <f>I71/20</f>
        <v>23.32</v>
      </c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9"/>
    </row>
    <row r="73" spans="1:19">
      <c r="A73" s="214" t="s">
        <v>12</v>
      </c>
      <c r="B73" s="215"/>
      <c r="C73" s="215"/>
      <c r="D73" s="215"/>
      <c r="E73" s="215"/>
      <c r="F73" s="216"/>
      <c r="G73" s="217">
        <f>L71/3.6</f>
        <v>0</v>
      </c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9"/>
    </row>
    <row r="74" spans="1:19">
      <c r="A74" s="220" t="s">
        <v>69</v>
      </c>
      <c r="B74" s="215"/>
      <c r="C74" s="215"/>
      <c r="D74" s="215"/>
      <c r="E74" s="215"/>
      <c r="F74" s="216"/>
      <c r="G74" s="217">
        <f>O71/7.4</f>
        <v>0</v>
      </c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9"/>
    </row>
    <row r="75" spans="1:19">
      <c r="A75" s="214" t="s">
        <v>14</v>
      </c>
      <c r="B75" s="215"/>
      <c r="C75" s="215"/>
      <c r="D75" s="215"/>
      <c r="E75" s="215"/>
      <c r="F75" s="216"/>
      <c r="G75" s="217">
        <f>R71/3.6</f>
        <v>0</v>
      </c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9"/>
    </row>
    <row r="76" spans="1:19" ht="8.1" customHeight="1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</row>
    <row r="77" spans="1:19">
      <c r="A77" s="99" t="s">
        <v>45</v>
      </c>
      <c r="B77" s="99"/>
      <c r="C77" s="212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</row>
    <row r="78" spans="1:19">
      <c r="A78" s="99"/>
      <c r="B78" s="99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</row>
    <row r="79" spans="1:19">
      <c r="A79" s="99"/>
      <c r="B79" s="99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</row>
    <row r="80" spans="1:19">
      <c r="A80" s="99"/>
      <c r="B80" s="99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</row>
  </sheetData>
  <mergeCells count="100">
    <mergeCell ref="A77:B80"/>
    <mergeCell ref="C77:S80"/>
    <mergeCell ref="A72:F72"/>
    <mergeCell ref="G72:S72"/>
    <mergeCell ref="A73:F73"/>
    <mergeCell ref="G73:S73"/>
    <mergeCell ref="A74:F74"/>
    <mergeCell ref="G74:S74"/>
    <mergeCell ref="A75:F75"/>
    <mergeCell ref="G75:S75"/>
    <mergeCell ref="A76:S76"/>
    <mergeCell ref="R58:S58"/>
    <mergeCell ref="R59:S59"/>
    <mergeCell ref="A71:F71"/>
    <mergeCell ref="R71:S71"/>
    <mergeCell ref="R64:S64"/>
    <mergeCell ref="R65:S65"/>
    <mergeCell ref="R66:S66"/>
    <mergeCell ref="R67:S67"/>
    <mergeCell ref="R68:S68"/>
    <mergeCell ref="R69:S69"/>
    <mergeCell ref="R70:S70"/>
    <mergeCell ref="R60:S60"/>
    <mergeCell ref="R61:S61"/>
    <mergeCell ref="R62:S62"/>
    <mergeCell ref="R63:S63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45:S45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22:S22"/>
    <mergeCell ref="R23:S23"/>
    <mergeCell ref="R42:S42"/>
    <mergeCell ref="R43:S43"/>
    <mergeCell ref="R44:S44"/>
    <mergeCell ref="R24:S24"/>
    <mergeCell ref="R25:S25"/>
    <mergeCell ref="R26:S26"/>
    <mergeCell ref="R27:S27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5:B6"/>
    <mergeCell ref="C5:C6"/>
    <mergeCell ref="E5:F5"/>
    <mergeCell ref="G5:G6"/>
    <mergeCell ref="H5:K6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75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U86" sqref="U86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99"/>
      <c r="B1" s="99"/>
      <c r="C1" s="99"/>
      <c r="D1" s="99"/>
      <c r="E1" s="79" t="s">
        <v>6</v>
      </c>
      <c r="F1" s="224" t="s">
        <v>66</v>
      </c>
      <c r="G1" s="224"/>
      <c r="H1" s="224"/>
      <c r="I1" s="224"/>
      <c r="J1" s="224"/>
      <c r="K1" s="145" t="str">
        <f>'1. 소켓인수검사'!R2</f>
        <v>26.07.15 엘티_롯데건설_광장이엠씨_검단신도시C1</v>
      </c>
      <c r="L1" s="145"/>
      <c r="M1" s="145"/>
      <c r="N1" s="145"/>
      <c r="O1" s="145"/>
      <c r="P1" s="145"/>
      <c r="Q1" s="145"/>
      <c r="R1" s="145"/>
      <c r="S1" s="145"/>
      <c r="T1" s="145"/>
      <c r="U1" s="146"/>
    </row>
    <row r="2" spans="1:21" ht="16.5" customHeight="1">
      <c r="A2" s="99"/>
      <c r="B2" s="99"/>
      <c r="C2" s="99"/>
      <c r="D2" s="99"/>
      <c r="E2" s="78"/>
      <c r="F2" s="225"/>
      <c r="G2" s="225"/>
      <c r="H2" s="225"/>
      <c r="I2" s="225"/>
      <c r="J2" s="225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</row>
    <row r="3" spans="1:21" ht="24" customHeight="1">
      <c r="A3" s="99"/>
      <c r="B3" s="99"/>
      <c r="C3" s="99"/>
      <c r="D3" s="99"/>
      <c r="E3" s="80"/>
      <c r="F3" s="226"/>
      <c r="G3" s="226"/>
      <c r="H3" s="226"/>
      <c r="I3" s="226"/>
      <c r="J3" s="226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50"/>
    </row>
    <row r="4" spans="1:21" ht="8.1" customHeight="1">
      <c r="A4" s="193"/>
      <c r="B4" s="151"/>
      <c r="C4" s="151"/>
      <c r="D4" s="151"/>
      <c r="E4" s="151"/>
      <c r="F4" s="151"/>
      <c r="G4" s="151"/>
      <c r="H4" s="193"/>
      <c r="I4" s="151"/>
      <c r="J4" s="151"/>
      <c r="K4" s="151"/>
      <c r="L4" s="151"/>
      <c r="M4" s="151"/>
      <c r="N4" s="151"/>
      <c r="O4" s="151"/>
      <c r="P4" s="151"/>
      <c r="Q4" s="3"/>
      <c r="S4" s="3"/>
      <c r="T4" s="3"/>
      <c r="U4" s="3"/>
    </row>
    <row r="5" spans="1:21" ht="16.5" customHeight="1">
      <c r="A5" s="111" t="s">
        <v>52</v>
      </c>
      <c r="B5" s="229" t="s">
        <v>35</v>
      </c>
      <c r="C5" s="201" t="s">
        <v>59</v>
      </c>
      <c r="D5" s="201" t="s">
        <v>57</v>
      </c>
      <c r="E5" s="201" t="s">
        <v>23</v>
      </c>
      <c r="F5" s="201" t="s">
        <v>47</v>
      </c>
      <c r="G5" s="201" t="s">
        <v>54</v>
      </c>
      <c r="H5" s="201" t="s">
        <v>39</v>
      </c>
      <c r="I5" s="201" t="s">
        <v>22</v>
      </c>
      <c r="J5" s="201"/>
      <c r="K5" s="201" t="s">
        <v>0</v>
      </c>
      <c r="L5" s="201"/>
      <c r="M5" s="201" t="s">
        <v>0</v>
      </c>
      <c r="N5" s="201"/>
      <c r="O5" s="201" t="s">
        <v>0</v>
      </c>
      <c r="P5" s="201"/>
      <c r="Q5" s="231" t="s">
        <v>46</v>
      </c>
      <c r="R5" s="231"/>
      <c r="S5" s="232" t="s">
        <v>29</v>
      </c>
      <c r="T5" s="232" t="s">
        <v>51</v>
      </c>
      <c r="U5" s="99" t="s">
        <v>17</v>
      </c>
    </row>
    <row r="6" spans="1:21" ht="26.45" customHeight="1">
      <c r="A6" s="200"/>
      <c r="B6" s="230"/>
      <c r="C6" s="202"/>
      <c r="D6" s="202"/>
      <c r="E6" s="202"/>
      <c r="F6" s="202"/>
      <c r="G6" s="202"/>
      <c r="H6" s="202"/>
      <c r="I6" s="64" t="s">
        <v>7</v>
      </c>
      <c r="J6" s="35" t="s">
        <v>50</v>
      </c>
      <c r="K6" s="64" t="s">
        <v>67</v>
      </c>
      <c r="L6" s="35" t="s">
        <v>50</v>
      </c>
      <c r="M6" s="64" t="s">
        <v>34</v>
      </c>
      <c r="N6" s="35" t="s">
        <v>50</v>
      </c>
      <c r="O6" s="64" t="s">
        <v>36</v>
      </c>
      <c r="P6" s="35" t="s">
        <v>50</v>
      </c>
      <c r="Q6" s="64" t="s">
        <v>48</v>
      </c>
      <c r="R6" s="35" t="s">
        <v>60</v>
      </c>
      <c r="S6" s="233"/>
      <c r="T6" s="233"/>
      <c r="U6" s="221"/>
    </row>
    <row r="7" spans="1:21">
      <c r="A7" s="50" t="str">
        <f>'1. 소켓인수검사'!A9</f>
        <v>01</v>
      </c>
      <c r="B7" s="65" t="s">
        <v>41</v>
      </c>
      <c r="C7" s="36">
        <f>'1. 소켓인수검사'!C9</f>
        <v>200</v>
      </c>
      <c r="D7" s="36">
        <f>'1. 소켓인수검사'!D9</f>
        <v>150</v>
      </c>
      <c r="E7" s="37"/>
      <c r="F7" s="38">
        <f>C7*D7/1000000</f>
        <v>0.03</v>
      </c>
      <c r="G7" s="38">
        <f>(C7+D7)*2/1000</f>
        <v>0.7</v>
      </c>
      <c r="H7" s="43">
        <v>3</v>
      </c>
      <c r="I7" s="64">
        <f>(G7+0.4)</f>
        <v>1.1000000000000001</v>
      </c>
      <c r="J7" s="35">
        <v>8</v>
      </c>
      <c r="K7" s="26"/>
      <c r="L7" s="35"/>
      <c r="M7" s="26"/>
      <c r="N7" s="35"/>
      <c r="O7" s="26"/>
      <c r="P7" s="35"/>
      <c r="Q7" s="39">
        <f>(((C7+60)+250+(D7+60))*2/1000)*2</f>
        <v>2.88</v>
      </c>
      <c r="R7" s="97">
        <f>Q7*2</f>
        <v>5.76</v>
      </c>
      <c r="S7" s="40" t="s">
        <v>8</v>
      </c>
      <c r="T7" s="41" t="s">
        <v>11</v>
      </c>
      <c r="U7" s="42" t="str">
        <f>'1. 소켓인수검사'!G9</f>
        <v>지상1층 202동</v>
      </c>
    </row>
    <row r="8" spans="1:21">
      <c r="A8" s="50" t="str">
        <f>'1. 소켓인수검사'!A10</f>
        <v>02</v>
      </c>
      <c r="B8" s="65" t="s">
        <v>40</v>
      </c>
      <c r="C8" s="36">
        <f>'1. 소켓인수검사'!C10</f>
        <v>200</v>
      </c>
      <c r="D8" s="36">
        <f>'1. 소켓인수검사'!D10</f>
        <v>200</v>
      </c>
      <c r="E8" s="37"/>
      <c r="F8" s="38">
        <f t="shared" ref="F8:F9" si="0">C8*D8/1000000</f>
        <v>0.04</v>
      </c>
      <c r="G8" s="38">
        <f t="shared" ref="G8:G9" si="1">(C8+D8)*2/1000</f>
        <v>0.8</v>
      </c>
      <c r="H8" s="43">
        <v>3</v>
      </c>
      <c r="I8" s="64">
        <f>(G8+0.4)</f>
        <v>1.2000000000000002</v>
      </c>
      <c r="J8" s="35">
        <v>8</v>
      </c>
      <c r="K8" s="26"/>
      <c r="L8" s="35"/>
      <c r="M8" s="26"/>
      <c r="N8" s="35"/>
      <c r="O8" s="26"/>
      <c r="P8" s="35"/>
      <c r="Q8" s="39">
        <f t="shared" ref="Q8:Q67" si="2">(((C8+60)+250+(D8+60))*2/1000)*2</f>
        <v>3.08</v>
      </c>
      <c r="R8" s="97">
        <f>Q8*2</f>
        <v>6.16</v>
      </c>
      <c r="S8" s="40" t="s">
        <v>8</v>
      </c>
      <c r="T8" s="41" t="s">
        <v>11</v>
      </c>
      <c r="U8" s="42" t="str">
        <f>'1. 소켓인수검사'!G10</f>
        <v>지하3층 재활용보관소(오피스텔)</v>
      </c>
    </row>
    <row r="9" spans="1:21">
      <c r="A9" s="50" t="str">
        <f>'1. 소켓인수검사'!A11</f>
        <v>03</v>
      </c>
      <c r="B9" s="65" t="s">
        <v>38</v>
      </c>
      <c r="C9" s="36">
        <f>'1. 소켓인수검사'!C11</f>
        <v>200</v>
      </c>
      <c r="D9" s="36">
        <f>'1. 소켓인수검사'!D11</f>
        <v>200</v>
      </c>
      <c r="E9" s="37"/>
      <c r="F9" s="38">
        <f t="shared" si="0"/>
        <v>0.04</v>
      </c>
      <c r="G9" s="38">
        <f t="shared" si="1"/>
        <v>0.8</v>
      </c>
      <c r="H9" s="43">
        <v>3</v>
      </c>
      <c r="I9" s="64">
        <f>(G9+0.4)</f>
        <v>1.2000000000000002</v>
      </c>
      <c r="J9" s="35">
        <v>8</v>
      </c>
      <c r="K9" s="26"/>
      <c r="L9" s="35"/>
      <c r="M9" s="26"/>
      <c r="N9" s="35"/>
      <c r="O9" s="26"/>
      <c r="P9" s="35"/>
      <c r="Q9" s="39">
        <f t="shared" si="2"/>
        <v>3.08</v>
      </c>
      <c r="R9" s="97">
        <f t="shared" ref="R9:R44" si="3">Q9*2</f>
        <v>6.16</v>
      </c>
      <c r="S9" s="40" t="s">
        <v>8</v>
      </c>
      <c r="T9" s="41" t="s">
        <v>11</v>
      </c>
      <c r="U9" s="42" t="str">
        <f>'1. 소켓인수검사'!G11</f>
        <v>지하3층 재활용보관소(오피스텔)</v>
      </c>
    </row>
    <row r="10" spans="1:21">
      <c r="A10" s="50" t="str">
        <f>'1. 소켓인수검사'!A12</f>
        <v>04</v>
      </c>
      <c r="B10" s="65" t="s">
        <v>38</v>
      </c>
      <c r="C10" s="36">
        <f>'1. 소켓인수검사'!C12</f>
        <v>200</v>
      </c>
      <c r="D10" s="36">
        <f>'1. 소켓인수검사'!D12</f>
        <v>200</v>
      </c>
      <c r="E10" s="37"/>
      <c r="F10" s="38">
        <f t="shared" ref="F10:F67" si="4">C10*D10/1000000</f>
        <v>0.04</v>
      </c>
      <c r="G10" s="38">
        <f t="shared" ref="G10:G67" si="5">(C10+D10)*2/1000</f>
        <v>0.8</v>
      </c>
      <c r="H10" s="43">
        <v>3</v>
      </c>
      <c r="I10" s="64">
        <f t="shared" ref="I10:I67" si="6">(G10+0.4)</f>
        <v>1.2000000000000002</v>
      </c>
      <c r="J10" s="35">
        <v>8</v>
      </c>
      <c r="K10" s="26"/>
      <c r="L10" s="35"/>
      <c r="M10" s="26"/>
      <c r="N10" s="35"/>
      <c r="O10" s="26"/>
      <c r="P10" s="35"/>
      <c r="Q10" s="39">
        <f t="shared" si="2"/>
        <v>3.08</v>
      </c>
      <c r="R10" s="97">
        <f t="shared" si="3"/>
        <v>6.16</v>
      </c>
      <c r="S10" s="40" t="s">
        <v>8</v>
      </c>
      <c r="T10" s="41" t="s">
        <v>11</v>
      </c>
      <c r="U10" s="42" t="str">
        <f>'1. 소켓인수검사'!G12</f>
        <v>지하3층 재활용보관소(오피스텔)</v>
      </c>
    </row>
    <row r="11" spans="1:21">
      <c r="A11" s="50" t="str">
        <f>'1. 소켓인수검사'!A13</f>
        <v>05</v>
      </c>
      <c r="B11" s="65" t="s">
        <v>38</v>
      </c>
      <c r="C11" s="36">
        <f>'1. 소켓인수검사'!C13</f>
        <v>200</v>
      </c>
      <c r="D11" s="36">
        <f>'1. 소켓인수검사'!D13</f>
        <v>200</v>
      </c>
      <c r="E11" s="37"/>
      <c r="F11" s="38">
        <f t="shared" si="4"/>
        <v>0.04</v>
      </c>
      <c r="G11" s="38">
        <f t="shared" si="5"/>
        <v>0.8</v>
      </c>
      <c r="H11" s="43">
        <v>3</v>
      </c>
      <c r="I11" s="64">
        <f t="shared" si="6"/>
        <v>1.2000000000000002</v>
      </c>
      <c r="J11" s="35">
        <v>8</v>
      </c>
      <c r="K11" s="26"/>
      <c r="L11" s="35"/>
      <c r="M11" s="26"/>
      <c r="N11" s="35"/>
      <c r="O11" s="26"/>
      <c r="P11" s="35"/>
      <c r="Q11" s="39">
        <f t="shared" si="2"/>
        <v>3.08</v>
      </c>
      <c r="R11" s="97">
        <f t="shared" si="3"/>
        <v>6.16</v>
      </c>
      <c r="S11" s="40" t="s">
        <v>8</v>
      </c>
      <c r="T11" s="41" t="s">
        <v>11</v>
      </c>
      <c r="U11" s="42" t="str">
        <f>'1. 소켓인수검사'!G13</f>
        <v>지상1층 201동</v>
      </c>
    </row>
    <row r="12" spans="1:21">
      <c r="A12" s="50" t="str">
        <f>'1. 소켓인수검사'!A14</f>
        <v>06</v>
      </c>
      <c r="B12" s="65" t="s">
        <v>38</v>
      </c>
      <c r="C12" s="36">
        <f>'1. 소켓인수검사'!C14</f>
        <v>200</v>
      </c>
      <c r="D12" s="36">
        <f>'1. 소켓인수검사'!D14</f>
        <v>200</v>
      </c>
      <c r="E12" s="37"/>
      <c r="F12" s="38">
        <f t="shared" si="4"/>
        <v>0.04</v>
      </c>
      <c r="G12" s="38">
        <f t="shared" si="5"/>
        <v>0.8</v>
      </c>
      <c r="H12" s="43">
        <v>3</v>
      </c>
      <c r="I12" s="64">
        <f t="shared" si="6"/>
        <v>1.2000000000000002</v>
      </c>
      <c r="J12" s="35">
        <v>8</v>
      </c>
      <c r="K12" s="26"/>
      <c r="L12" s="35"/>
      <c r="M12" s="26"/>
      <c r="N12" s="35"/>
      <c r="O12" s="26"/>
      <c r="P12" s="35"/>
      <c r="Q12" s="39">
        <f t="shared" si="2"/>
        <v>3.08</v>
      </c>
      <c r="R12" s="97">
        <f t="shared" si="3"/>
        <v>6.16</v>
      </c>
      <c r="S12" s="40" t="s">
        <v>8</v>
      </c>
      <c r="T12" s="41" t="s">
        <v>11</v>
      </c>
      <c r="U12" s="42" t="str">
        <f>'1. 소켓인수검사'!G14</f>
        <v>지상1층 201동</v>
      </c>
    </row>
    <row r="13" spans="1:21">
      <c r="A13" s="50" t="str">
        <f>'1. 소켓인수검사'!A15</f>
        <v>07</v>
      </c>
      <c r="B13" s="65" t="s">
        <v>38</v>
      </c>
      <c r="C13" s="36">
        <f>'1. 소켓인수검사'!C15</f>
        <v>200</v>
      </c>
      <c r="D13" s="36">
        <f>'1. 소켓인수검사'!D15</f>
        <v>200</v>
      </c>
      <c r="E13" s="37"/>
      <c r="F13" s="38">
        <f t="shared" si="4"/>
        <v>0.04</v>
      </c>
      <c r="G13" s="38">
        <f t="shared" si="5"/>
        <v>0.8</v>
      </c>
      <c r="H13" s="43">
        <v>3</v>
      </c>
      <c r="I13" s="64">
        <f t="shared" si="6"/>
        <v>1.2000000000000002</v>
      </c>
      <c r="J13" s="35">
        <v>8</v>
      </c>
      <c r="K13" s="26"/>
      <c r="L13" s="35"/>
      <c r="M13" s="26"/>
      <c r="N13" s="35"/>
      <c r="O13" s="26"/>
      <c r="P13" s="35"/>
      <c r="Q13" s="39">
        <f t="shared" si="2"/>
        <v>3.08</v>
      </c>
      <c r="R13" s="97">
        <f t="shared" si="3"/>
        <v>6.16</v>
      </c>
      <c r="S13" s="40" t="s">
        <v>8</v>
      </c>
      <c r="T13" s="41" t="s">
        <v>11</v>
      </c>
      <c r="U13" s="42" t="str">
        <f>'1. 소켓인수검사'!G15</f>
        <v>지상1층 201동</v>
      </c>
    </row>
    <row r="14" spans="1:21">
      <c r="A14" s="50" t="str">
        <f>'1. 소켓인수검사'!A16</f>
        <v>08</v>
      </c>
      <c r="B14" s="65" t="s">
        <v>38</v>
      </c>
      <c r="C14" s="36">
        <f>'1. 소켓인수검사'!C16</f>
        <v>250</v>
      </c>
      <c r="D14" s="36">
        <f>'1. 소켓인수검사'!D16</f>
        <v>200</v>
      </c>
      <c r="E14" s="37"/>
      <c r="F14" s="38">
        <f t="shared" si="4"/>
        <v>0.05</v>
      </c>
      <c r="G14" s="38">
        <f t="shared" si="5"/>
        <v>0.9</v>
      </c>
      <c r="H14" s="43">
        <v>3</v>
      </c>
      <c r="I14" s="64">
        <f t="shared" si="6"/>
        <v>1.3</v>
      </c>
      <c r="J14" s="35">
        <v>8</v>
      </c>
      <c r="K14" s="26"/>
      <c r="L14" s="35"/>
      <c r="M14" s="26"/>
      <c r="N14" s="35"/>
      <c r="O14" s="26"/>
      <c r="P14" s="35"/>
      <c r="Q14" s="39">
        <f t="shared" si="2"/>
        <v>3.28</v>
      </c>
      <c r="R14" s="97">
        <f t="shared" si="3"/>
        <v>6.56</v>
      </c>
      <c r="S14" s="40" t="s">
        <v>8</v>
      </c>
      <c r="T14" s="41" t="s">
        <v>11</v>
      </c>
      <c r="U14" s="42" t="str">
        <f>'1. 소켓인수검사'!G16</f>
        <v>지하4층 소화펌프실</v>
      </c>
    </row>
    <row r="15" spans="1:21">
      <c r="A15" s="50" t="str">
        <f>'1. 소켓인수검사'!A17</f>
        <v>09</v>
      </c>
      <c r="B15" s="65" t="s">
        <v>38</v>
      </c>
      <c r="C15" s="36">
        <f>'1. 소켓인수검사'!C17</f>
        <v>250</v>
      </c>
      <c r="D15" s="36">
        <f>'1. 소켓인수검사'!D17</f>
        <v>200</v>
      </c>
      <c r="E15" s="37"/>
      <c r="F15" s="38">
        <f t="shared" si="4"/>
        <v>0.05</v>
      </c>
      <c r="G15" s="38">
        <f t="shared" si="5"/>
        <v>0.9</v>
      </c>
      <c r="H15" s="43">
        <v>3</v>
      </c>
      <c r="I15" s="64">
        <f t="shared" si="6"/>
        <v>1.3</v>
      </c>
      <c r="J15" s="35">
        <v>8</v>
      </c>
      <c r="K15" s="26"/>
      <c r="L15" s="35"/>
      <c r="M15" s="26"/>
      <c r="N15" s="35"/>
      <c r="O15" s="26"/>
      <c r="P15" s="35"/>
      <c r="Q15" s="39">
        <f t="shared" si="2"/>
        <v>3.28</v>
      </c>
      <c r="R15" s="97">
        <f t="shared" si="3"/>
        <v>6.56</v>
      </c>
      <c r="S15" s="40" t="s">
        <v>8</v>
      </c>
      <c r="T15" s="41" t="s">
        <v>11</v>
      </c>
      <c r="U15" s="42" t="str">
        <f>'1. 소켓인수검사'!G17</f>
        <v>지하4층 소화펌프실</v>
      </c>
    </row>
    <row r="16" spans="1:21">
      <c r="A16" s="50" t="str">
        <f>'1. 소켓인수검사'!A18</f>
        <v>10</v>
      </c>
      <c r="B16" s="65" t="s">
        <v>38</v>
      </c>
      <c r="C16" s="36">
        <f>'1. 소켓인수검사'!C18</f>
        <v>250</v>
      </c>
      <c r="D16" s="36">
        <f>'1. 소켓인수검사'!D18</f>
        <v>200</v>
      </c>
      <c r="E16" s="37"/>
      <c r="F16" s="38">
        <f t="shared" si="4"/>
        <v>0.05</v>
      </c>
      <c r="G16" s="38">
        <f t="shared" si="5"/>
        <v>0.9</v>
      </c>
      <c r="H16" s="43">
        <v>3</v>
      </c>
      <c r="I16" s="64">
        <f t="shared" si="6"/>
        <v>1.3</v>
      </c>
      <c r="J16" s="35">
        <v>8</v>
      </c>
      <c r="K16" s="26"/>
      <c r="L16" s="35"/>
      <c r="M16" s="26"/>
      <c r="N16" s="35"/>
      <c r="O16" s="26"/>
      <c r="P16" s="35"/>
      <c r="Q16" s="39">
        <f t="shared" si="2"/>
        <v>3.28</v>
      </c>
      <c r="R16" s="97">
        <f t="shared" si="3"/>
        <v>6.56</v>
      </c>
      <c r="S16" s="40" t="s">
        <v>8</v>
      </c>
      <c r="T16" s="41" t="s">
        <v>11</v>
      </c>
      <c r="U16" s="42" t="str">
        <f>'1. 소켓인수검사'!G18</f>
        <v>지하3층 재활용보관소, 배수펌프실</v>
      </c>
    </row>
    <row r="17" spans="1:21">
      <c r="A17" s="50" t="str">
        <f>'1. 소켓인수검사'!A19</f>
        <v>11</v>
      </c>
      <c r="B17" s="65" t="s">
        <v>38</v>
      </c>
      <c r="C17" s="36">
        <f>'1. 소켓인수검사'!C19</f>
        <v>250</v>
      </c>
      <c r="D17" s="36">
        <f>'1. 소켓인수검사'!D19</f>
        <v>200</v>
      </c>
      <c r="E17" s="37"/>
      <c r="F17" s="38">
        <f t="shared" si="4"/>
        <v>0.05</v>
      </c>
      <c r="G17" s="38">
        <f t="shared" si="5"/>
        <v>0.9</v>
      </c>
      <c r="H17" s="43">
        <v>3</v>
      </c>
      <c r="I17" s="64">
        <f t="shared" si="6"/>
        <v>1.3</v>
      </c>
      <c r="J17" s="35">
        <v>8</v>
      </c>
      <c r="K17" s="26"/>
      <c r="L17" s="35"/>
      <c r="M17" s="26"/>
      <c r="N17" s="35"/>
      <c r="O17" s="26"/>
      <c r="P17" s="35"/>
      <c r="Q17" s="39">
        <f t="shared" si="2"/>
        <v>3.28</v>
      </c>
      <c r="R17" s="97">
        <f t="shared" si="3"/>
        <v>6.56</v>
      </c>
      <c r="S17" s="40" t="s">
        <v>8</v>
      </c>
      <c r="T17" s="41" t="s">
        <v>11</v>
      </c>
      <c r="U17" s="42" t="str">
        <f>'1. 소켓인수검사'!G19</f>
        <v>지하3층 재활용보관소, 배수펌프실</v>
      </c>
    </row>
    <row r="18" spans="1:21">
      <c r="A18" s="50" t="str">
        <f>'1. 소켓인수검사'!A20</f>
        <v>12</v>
      </c>
      <c r="B18" s="65" t="s">
        <v>38</v>
      </c>
      <c r="C18" s="36">
        <f>'1. 소켓인수검사'!C20</f>
        <v>250</v>
      </c>
      <c r="D18" s="36">
        <f>'1. 소켓인수검사'!D20</f>
        <v>200</v>
      </c>
      <c r="E18" s="37"/>
      <c r="F18" s="38">
        <f t="shared" si="4"/>
        <v>0.05</v>
      </c>
      <c r="G18" s="38">
        <f t="shared" si="5"/>
        <v>0.9</v>
      </c>
      <c r="H18" s="43">
        <v>3</v>
      </c>
      <c r="I18" s="64">
        <f t="shared" si="6"/>
        <v>1.3</v>
      </c>
      <c r="J18" s="35">
        <v>8</v>
      </c>
      <c r="K18" s="26"/>
      <c r="L18" s="35"/>
      <c r="M18" s="26"/>
      <c r="N18" s="35"/>
      <c r="O18" s="26"/>
      <c r="P18" s="35"/>
      <c r="Q18" s="39">
        <f t="shared" si="2"/>
        <v>3.28</v>
      </c>
      <c r="R18" s="97">
        <f t="shared" si="3"/>
        <v>6.56</v>
      </c>
      <c r="S18" s="40" t="s">
        <v>8</v>
      </c>
      <c r="T18" s="41" t="s">
        <v>11</v>
      </c>
      <c r="U18" s="42" t="str">
        <f>'1. 소켓인수검사'!G20</f>
        <v>지하3층 재활용보관소, 배수펌프실</v>
      </c>
    </row>
    <row r="19" spans="1:21">
      <c r="A19" s="50" t="str">
        <f>'1. 소켓인수검사'!A21</f>
        <v>13</v>
      </c>
      <c r="B19" s="65" t="s">
        <v>38</v>
      </c>
      <c r="C19" s="36">
        <f>'1. 소켓인수검사'!C21</f>
        <v>250</v>
      </c>
      <c r="D19" s="36">
        <f>'1. 소켓인수검사'!D21</f>
        <v>200</v>
      </c>
      <c r="E19" s="37"/>
      <c r="F19" s="38">
        <f t="shared" si="4"/>
        <v>0.05</v>
      </c>
      <c r="G19" s="38">
        <f t="shared" si="5"/>
        <v>0.9</v>
      </c>
      <c r="H19" s="43">
        <v>3</v>
      </c>
      <c r="I19" s="64">
        <f t="shared" si="6"/>
        <v>1.3</v>
      </c>
      <c r="J19" s="35">
        <v>8</v>
      </c>
      <c r="K19" s="26"/>
      <c r="L19" s="35"/>
      <c r="M19" s="26"/>
      <c r="N19" s="35"/>
      <c r="O19" s="26"/>
      <c r="P19" s="35"/>
      <c r="Q19" s="39">
        <f t="shared" si="2"/>
        <v>3.28</v>
      </c>
      <c r="R19" s="97">
        <f t="shared" si="3"/>
        <v>6.56</v>
      </c>
      <c r="S19" s="40" t="s">
        <v>8</v>
      </c>
      <c r="T19" s="41" t="s">
        <v>11</v>
      </c>
      <c r="U19" s="42" t="str">
        <f>'1. 소켓인수검사'!G21</f>
        <v>지하3층 재활용보관소, 배수펌프실</v>
      </c>
    </row>
    <row r="20" spans="1:21">
      <c r="A20" s="50" t="str">
        <f>'1. 소켓인수검사'!A22</f>
        <v>14</v>
      </c>
      <c r="B20" s="65" t="s">
        <v>38</v>
      </c>
      <c r="C20" s="36">
        <f>'1. 소켓인수검사'!C22</f>
        <v>250</v>
      </c>
      <c r="D20" s="36">
        <f>'1. 소켓인수검사'!D22</f>
        <v>200</v>
      </c>
      <c r="E20" s="37"/>
      <c r="F20" s="38">
        <f t="shared" si="4"/>
        <v>0.05</v>
      </c>
      <c r="G20" s="38">
        <f t="shared" si="5"/>
        <v>0.9</v>
      </c>
      <c r="H20" s="43">
        <v>3</v>
      </c>
      <c r="I20" s="64">
        <f t="shared" si="6"/>
        <v>1.3</v>
      </c>
      <c r="J20" s="35">
        <v>8</v>
      </c>
      <c r="K20" s="26"/>
      <c r="L20" s="35"/>
      <c r="M20" s="26"/>
      <c r="N20" s="35"/>
      <c r="O20" s="26"/>
      <c r="P20" s="35"/>
      <c r="Q20" s="39">
        <f t="shared" si="2"/>
        <v>3.28</v>
      </c>
      <c r="R20" s="97">
        <f t="shared" si="3"/>
        <v>6.56</v>
      </c>
      <c r="S20" s="40" t="s">
        <v>8</v>
      </c>
      <c r="T20" s="41" t="s">
        <v>11</v>
      </c>
      <c r="U20" s="42" t="str">
        <f>'1. 소켓인수검사'!G22</f>
        <v>지하3층 재활용보관소, 배수펌프실</v>
      </c>
    </row>
    <row r="21" spans="1:21">
      <c r="A21" s="50" t="str">
        <f>'1. 소켓인수검사'!A23</f>
        <v>15</v>
      </c>
      <c r="B21" s="65" t="s">
        <v>38</v>
      </c>
      <c r="C21" s="36">
        <f>'1. 소켓인수검사'!C23</f>
        <v>250</v>
      </c>
      <c r="D21" s="36">
        <f>'1. 소켓인수검사'!D23</f>
        <v>200</v>
      </c>
      <c r="E21" s="37"/>
      <c r="F21" s="38">
        <f t="shared" si="4"/>
        <v>0.05</v>
      </c>
      <c r="G21" s="38">
        <f t="shared" si="5"/>
        <v>0.9</v>
      </c>
      <c r="H21" s="43">
        <v>3</v>
      </c>
      <c r="I21" s="64">
        <f t="shared" si="6"/>
        <v>1.3</v>
      </c>
      <c r="J21" s="35">
        <v>8</v>
      </c>
      <c r="K21" s="26"/>
      <c r="L21" s="35"/>
      <c r="M21" s="26"/>
      <c r="N21" s="35"/>
      <c r="O21" s="26"/>
      <c r="P21" s="35"/>
      <c r="Q21" s="39">
        <f t="shared" si="2"/>
        <v>3.28</v>
      </c>
      <c r="R21" s="97">
        <f t="shared" si="3"/>
        <v>6.56</v>
      </c>
      <c r="S21" s="40" t="s">
        <v>8</v>
      </c>
      <c r="T21" s="41" t="s">
        <v>11</v>
      </c>
      <c r="U21" s="42" t="str">
        <f>'1. 소켓인수검사'!G23</f>
        <v>지상1층 201동</v>
      </c>
    </row>
    <row r="22" spans="1:21">
      <c r="A22" s="50" t="str">
        <f>'1. 소켓인수검사'!A24</f>
        <v>16</v>
      </c>
      <c r="B22" s="65" t="s">
        <v>38</v>
      </c>
      <c r="C22" s="36">
        <f>'1. 소켓인수검사'!C24</f>
        <v>250</v>
      </c>
      <c r="D22" s="36">
        <f>'1. 소켓인수검사'!D24</f>
        <v>200</v>
      </c>
      <c r="E22" s="37"/>
      <c r="F22" s="38">
        <f t="shared" si="4"/>
        <v>0.05</v>
      </c>
      <c r="G22" s="38">
        <f t="shared" si="5"/>
        <v>0.9</v>
      </c>
      <c r="H22" s="43">
        <v>3</v>
      </c>
      <c r="I22" s="64">
        <f t="shared" si="6"/>
        <v>1.3</v>
      </c>
      <c r="J22" s="35">
        <v>8</v>
      </c>
      <c r="K22" s="26"/>
      <c r="L22" s="35"/>
      <c r="M22" s="26"/>
      <c r="N22" s="35"/>
      <c r="O22" s="26"/>
      <c r="P22" s="35"/>
      <c r="Q22" s="39">
        <f t="shared" si="2"/>
        <v>3.28</v>
      </c>
      <c r="R22" s="97">
        <f t="shared" si="3"/>
        <v>6.56</v>
      </c>
      <c r="S22" s="40" t="s">
        <v>8</v>
      </c>
      <c r="T22" s="41" t="s">
        <v>11</v>
      </c>
      <c r="U22" s="42" t="str">
        <f>'1. 소켓인수검사'!G24</f>
        <v>지하4층 배수펌프실</v>
      </c>
    </row>
    <row r="23" spans="1:21">
      <c r="A23" s="50" t="str">
        <f>'1. 소켓인수검사'!A25</f>
        <v>17</v>
      </c>
      <c r="B23" s="65" t="s">
        <v>38</v>
      </c>
      <c r="C23" s="36">
        <f>'1. 소켓인수검사'!C25</f>
        <v>250</v>
      </c>
      <c r="D23" s="36">
        <f>'1. 소켓인수검사'!D25</f>
        <v>200</v>
      </c>
      <c r="E23" s="37"/>
      <c r="F23" s="38">
        <f t="shared" si="4"/>
        <v>0.05</v>
      </c>
      <c r="G23" s="38">
        <f t="shared" si="5"/>
        <v>0.9</v>
      </c>
      <c r="H23" s="43">
        <v>3</v>
      </c>
      <c r="I23" s="64">
        <f t="shared" si="6"/>
        <v>1.3</v>
      </c>
      <c r="J23" s="35">
        <v>8</v>
      </c>
      <c r="K23" s="26"/>
      <c r="L23" s="35"/>
      <c r="M23" s="26"/>
      <c r="N23" s="35"/>
      <c r="O23" s="26"/>
      <c r="P23" s="35"/>
      <c r="Q23" s="39">
        <f t="shared" si="2"/>
        <v>3.28</v>
      </c>
      <c r="R23" s="97">
        <f t="shared" si="3"/>
        <v>6.56</v>
      </c>
      <c r="S23" s="40" t="s">
        <v>8</v>
      </c>
      <c r="T23" s="41" t="s">
        <v>11</v>
      </c>
      <c r="U23" s="42" t="str">
        <f>'1. 소켓인수검사'!G25</f>
        <v>지하4층 배수펌프실</v>
      </c>
    </row>
    <row r="24" spans="1:21">
      <c r="A24" s="50" t="str">
        <f>'1. 소켓인수검사'!A26</f>
        <v>18</v>
      </c>
      <c r="B24" s="65" t="s">
        <v>38</v>
      </c>
      <c r="C24" s="36">
        <f>'1. 소켓인수검사'!C26</f>
        <v>250</v>
      </c>
      <c r="D24" s="36">
        <f>'1. 소켓인수검사'!D26</f>
        <v>200</v>
      </c>
      <c r="E24" s="37"/>
      <c r="F24" s="38">
        <f t="shared" si="4"/>
        <v>0.05</v>
      </c>
      <c r="G24" s="38">
        <f t="shared" si="5"/>
        <v>0.9</v>
      </c>
      <c r="H24" s="43">
        <v>3</v>
      </c>
      <c r="I24" s="64">
        <f t="shared" si="6"/>
        <v>1.3</v>
      </c>
      <c r="J24" s="35">
        <v>8</v>
      </c>
      <c r="K24" s="26"/>
      <c r="L24" s="35"/>
      <c r="M24" s="26"/>
      <c r="N24" s="35"/>
      <c r="O24" s="26"/>
      <c r="P24" s="35"/>
      <c r="Q24" s="39">
        <f t="shared" si="2"/>
        <v>3.28</v>
      </c>
      <c r="R24" s="97">
        <f t="shared" si="3"/>
        <v>6.56</v>
      </c>
      <c r="S24" s="40" t="s">
        <v>8</v>
      </c>
      <c r="T24" s="41" t="s">
        <v>11</v>
      </c>
      <c r="U24" s="42" t="str">
        <f>'1. 소켓인수검사'!G26</f>
        <v>지하4층 배수펌프실</v>
      </c>
    </row>
    <row r="25" spans="1:21">
      <c r="A25" s="50" t="str">
        <f>'1. 소켓인수검사'!A27</f>
        <v>19</v>
      </c>
      <c r="B25" s="65" t="s">
        <v>38</v>
      </c>
      <c r="C25" s="36">
        <f>'1. 소켓인수검사'!C27</f>
        <v>250</v>
      </c>
      <c r="D25" s="36">
        <f>'1. 소켓인수검사'!D27</f>
        <v>200</v>
      </c>
      <c r="E25" s="37"/>
      <c r="F25" s="38">
        <f t="shared" si="4"/>
        <v>0.05</v>
      </c>
      <c r="G25" s="38">
        <f t="shared" si="5"/>
        <v>0.9</v>
      </c>
      <c r="H25" s="43">
        <v>3</v>
      </c>
      <c r="I25" s="64">
        <f t="shared" si="6"/>
        <v>1.3</v>
      </c>
      <c r="J25" s="35">
        <v>8</v>
      </c>
      <c r="K25" s="26"/>
      <c r="L25" s="35"/>
      <c r="M25" s="26"/>
      <c r="N25" s="35"/>
      <c r="O25" s="26"/>
      <c r="P25" s="35"/>
      <c r="Q25" s="39">
        <f t="shared" si="2"/>
        <v>3.28</v>
      </c>
      <c r="R25" s="97">
        <f t="shared" si="3"/>
        <v>6.56</v>
      </c>
      <c r="S25" s="40" t="s">
        <v>8</v>
      </c>
      <c r="T25" s="41" t="s">
        <v>11</v>
      </c>
      <c r="U25" s="42" t="str">
        <f>'1. 소켓인수검사'!G27</f>
        <v>지하4층 배수펌프실</v>
      </c>
    </row>
    <row r="26" spans="1:21">
      <c r="A26" s="50" t="str">
        <f>'1. 소켓인수검사'!A28</f>
        <v>20</v>
      </c>
      <c r="B26" s="65" t="s">
        <v>38</v>
      </c>
      <c r="C26" s="36">
        <f>'1. 소켓인수검사'!C28</f>
        <v>250</v>
      </c>
      <c r="D26" s="36">
        <f>'1. 소켓인수검사'!D28</f>
        <v>200</v>
      </c>
      <c r="E26" s="37"/>
      <c r="F26" s="38">
        <f t="shared" si="4"/>
        <v>0.05</v>
      </c>
      <c r="G26" s="38">
        <f t="shared" si="5"/>
        <v>0.9</v>
      </c>
      <c r="H26" s="43">
        <v>3</v>
      </c>
      <c r="I26" s="64">
        <f t="shared" si="6"/>
        <v>1.3</v>
      </c>
      <c r="J26" s="35">
        <v>8</v>
      </c>
      <c r="K26" s="26"/>
      <c r="L26" s="35"/>
      <c r="M26" s="26"/>
      <c r="N26" s="35"/>
      <c r="O26" s="26"/>
      <c r="P26" s="35"/>
      <c r="Q26" s="39">
        <f t="shared" si="2"/>
        <v>3.28</v>
      </c>
      <c r="R26" s="97">
        <f t="shared" si="3"/>
        <v>6.56</v>
      </c>
      <c r="S26" s="40" t="s">
        <v>8</v>
      </c>
      <c r="T26" s="41" t="s">
        <v>11</v>
      </c>
      <c r="U26" s="42" t="str">
        <f>'1. 소켓인수검사'!G28</f>
        <v>지하4층 배수펌프실</v>
      </c>
    </row>
    <row r="27" spans="1:21">
      <c r="A27" s="50" t="str">
        <f>'1. 소켓인수검사'!A29</f>
        <v>21</v>
      </c>
      <c r="B27" s="65" t="s">
        <v>38</v>
      </c>
      <c r="C27" s="36">
        <f>'1. 소켓인수검사'!C29</f>
        <v>250</v>
      </c>
      <c r="D27" s="36">
        <f>'1. 소켓인수검사'!D29</f>
        <v>200</v>
      </c>
      <c r="E27" s="37"/>
      <c r="F27" s="38">
        <f t="shared" si="4"/>
        <v>0.05</v>
      </c>
      <c r="G27" s="38">
        <f t="shared" si="5"/>
        <v>0.9</v>
      </c>
      <c r="H27" s="43">
        <v>3</v>
      </c>
      <c r="I27" s="64">
        <f t="shared" si="6"/>
        <v>1.3</v>
      </c>
      <c r="J27" s="35">
        <v>8</v>
      </c>
      <c r="K27" s="26"/>
      <c r="L27" s="35"/>
      <c r="M27" s="26"/>
      <c r="N27" s="35"/>
      <c r="O27" s="26"/>
      <c r="P27" s="35"/>
      <c r="Q27" s="39">
        <f t="shared" si="2"/>
        <v>3.28</v>
      </c>
      <c r="R27" s="97">
        <f t="shared" si="3"/>
        <v>6.56</v>
      </c>
      <c r="S27" s="40" t="s">
        <v>8</v>
      </c>
      <c r="T27" s="41" t="s">
        <v>11</v>
      </c>
      <c r="U27" s="42" t="str">
        <f>'1. 소켓인수검사'!G29</f>
        <v>지하4층 배수펌프실</v>
      </c>
    </row>
    <row r="28" spans="1:21">
      <c r="A28" s="50" t="str">
        <f>'1. 소켓인수검사'!A30</f>
        <v>22</v>
      </c>
      <c r="B28" s="65" t="s">
        <v>38</v>
      </c>
      <c r="C28" s="36">
        <f>'1. 소켓인수검사'!C30</f>
        <v>250</v>
      </c>
      <c r="D28" s="36">
        <f>'1. 소켓인수검사'!D30</f>
        <v>200</v>
      </c>
      <c r="E28" s="37"/>
      <c r="F28" s="38">
        <f t="shared" si="4"/>
        <v>0.05</v>
      </c>
      <c r="G28" s="38">
        <f t="shared" si="5"/>
        <v>0.9</v>
      </c>
      <c r="H28" s="43">
        <v>3</v>
      </c>
      <c r="I28" s="64">
        <f t="shared" si="6"/>
        <v>1.3</v>
      </c>
      <c r="J28" s="35">
        <v>8</v>
      </c>
      <c r="K28" s="26"/>
      <c r="L28" s="35"/>
      <c r="M28" s="26"/>
      <c r="N28" s="35"/>
      <c r="O28" s="26"/>
      <c r="P28" s="35"/>
      <c r="Q28" s="39">
        <f t="shared" si="2"/>
        <v>3.28</v>
      </c>
      <c r="R28" s="97">
        <f t="shared" si="3"/>
        <v>6.56</v>
      </c>
      <c r="S28" s="40" t="s">
        <v>8</v>
      </c>
      <c r="T28" s="41" t="s">
        <v>11</v>
      </c>
      <c r="U28" s="42" t="str">
        <f>'1. 소켓인수검사'!G30</f>
        <v>지하4층 배수펌프실</v>
      </c>
    </row>
    <row r="29" spans="1:21">
      <c r="A29" s="50" t="str">
        <f>'1. 소켓인수검사'!A31</f>
        <v>23</v>
      </c>
      <c r="B29" s="65" t="s">
        <v>38</v>
      </c>
      <c r="C29" s="36">
        <f>'1. 소켓인수검사'!C31</f>
        <v>250</v>
      </c>
      <c r="D29" s="36">
        <f>'1. 소켓인수검사'!D31</f>
        <v>200</v>
      </c>
      <c r="E29" s="37"/>
      <c r="F29" s="38">
        <f t="shared" si="4"/>
        <v>0.05</v>
      </c>
      <c r="G29" s="38">
        <f t="shared" si="5"/>
        <v>0.9</v>
      </c>
      <c r="H29" s="43">
        <v>3</v>
      </c>
      <c r="I29" s="64">
        <f t="shared" si="6"/>
        <v>1.3</v>
      </c>
      <c r="J29" s="35">
        <v>8</v>
      </c>
      <c r="K29" s="26"/>
      <c r="L29" s="35"/>
      <c r="M29" s="26"/>
      <c r="N29" s="35"/>
      <c r="O29" s="26"/>
      <c r="P29" s="35"/>
      <c r="Q29" s="39">
        <f t="shared" si="2"/>
        <v>3.28</v>
      </c>
      <c r="R29" s="97">
        <f t="shared" si="3"/>
        <v>6.56</v>
      </c>
      <c r="S29" s="40" t="s">
        <v>8</v>
      </c>
      <c r="T29" s="41" t="s">
        <v>11</v>
      </c>
      <c r="U29" s="42" t="str">
        <f>'1. 소켓인수검사'!G31</f>
        <v>지하2층 공조실(근생)</v>
      </c>
    </row>
    <row r="30" spans="1:21">
      <c r="A30" s="50" t="str">
        <f>'1. 소켓인수검사'!A32</f>
        <v>24</v>
      </c>
      <c r="B30" s="65" t="s">
        <v>38</v>
      </c>
      <c r="C30" s="36">
        <f>'1. 소켓인수검사'!C32</f>
        <v>300</v>
      </c>
      <c r="D30" s="36">
        <f>'1. 소켓인수검사'!D32</f>
        <v>250</v>
      </c>
      <c r="E30" s="37"/>
      <c r="F30" s="38">
        <f t="shared" si="4"/>
        <v>7.4999999999999997E-2</v>
      </c>
      <c r="G30" s="38">
        <f t="shared" si="5"/>
        <v>1.1000000000000001</v>
      </c>
      <c r="H30" s="43">
        <v>3</v>
      </c>
      <c r="I30" s="64">
        <f t="shared" si="6"/>
        <v>1.5</v>
      </c>
      <c r="J30" s="35">
        <v>8</v>
      </c>
      <c r="K30" s="26"/>
      <c r="L30" s="35"/>
      <c r="M30" s="26"/>
      <c r="N30" s="35"/>
      <c r="O30" s="26"/>
      <c r="P30" s="35"/>
      <c r="Q30" s="39">
        <f t="shared" si="2"/>
        <v>3.68</v>
      </c>
      <c r="R30" s="97">
        <f t="shared" si="3"/>
        <v>7.36</v>
      </c>
      <c r="S30" s="40" t="s">
        <v>8</v>
      </c>
      <c r="T30" s="41" t="s">
        <v>11</v>
      </c>
      <c r="U30" s="42" t="str">
        <f>'1. 소켓인수검사'!G32</f>
        <v>지하5층 소화가스실</v>
      </c>
    </row>
    <row r="31" spans="1:21">
      <c r="A31" s="50" t="str">
        <f>'1. 소켓인수검사'!A33</f>
        <v>25</v>
      </c>
      <c r="B31" s="65" t="s">
        <v>38</v>
      </c>
      <c r="C31" s="36">
        <f>'1. 소켓인수검사'!C33</f>
        <v>350</v>
      </c>
      <c r="D31" s="36">
        <f>'1. 소켓인수검사'!D33</f>
        <v>200</v>
      </c>
      <c r="E31" s="37"/>
      <c r="F31" s="38">
        <f t="shared" si="4"/>
        <v>7.0000000000000007E-2</v>
      </c>
      <c r="G31" s="38">
        <f t="shared" si="5"/>
        <v>1.1000000000000001</v>
      </c>
      <c r="H31" s="43">
        <v>3</v>
      </c>
      <c r="I31" s="64">
        <f t="shared" si="6"/>
        <v>1.5</v>
      </c>
      <c r="J31" s="35">
        <v>8</v>
      </c>
      <c r="K31" s="26"/>
      <c r="L31" s="35"/>
      <c r="M31" s="26"/>
      <c r="N31" s="35"/>
      <c r="O31" s="26"/>
      <c r="P31" s="35"/>
      <c r="Q31" s="39">
        <f t="shared" si="2"/>
        <v>3.68</v>
      </c>
      <c r="R31" s="97">
        <f t="shared" si="3"/>
        <v>7.36</v>
      </c>
      <c r="S31" s="40" t="s">
        <v>8</v>
      </c>
      <c r="T31" s="41" t="s">
        <v>11</v>
      </c>
      <c r="U31" s="42" t="str">
        <f>'1. 소켓인수검사'!G33</f>
        <v>지하5층 창고</v>
      </c>
    </row>
    <row r="32" spans="1:21">
      <c r="A32" s="50" t="str">
        <f>'1. 소켓인수검사'!A34</f>
        <v>26</v>
      </c>
      <c r="B32" s="65" t="s">
        <v>38</v>
      </c>
      <c r="C32" s="36">
        <f>'1. 소켓인수검사'!C34</f>
        <v>350</v>
      </c>
      <c r="D32" s="36">
        <f>'1. 소켓인수검사'!D34</f>
        <v>200</v>
      </c>
      <c r="E32" s="37"/>
      <c r="F32" s="38">
        <f t="shared" si="4"/>
        <v>7.0000000000000007E-2</v>
      </c>
      <c r="G32" s="38">
        <f t="shared" si="5"/>
        <v>1.1000000000000001</v>
      </c>
      <c r="H32" s="43">
        <v>3</v>
      </c>
      <c r="I32" s="64">
        <f t="shared" si="6"/>
        <v>1.5</v>
      </c>
      <c r="J32" s="35">
        <v>8</v>
      </c>
      <c r="K32" s="26"/>
      <c r="L32" s="35"/>
      <c r="M32" s="26"/>
      <c r="N32" s="35"/>
      <c r="O32" s="26"/>
      <c r="P32" s="35"/>
      <c r="Q32" s="39">
        <f t="shared" si="2"/>
        <v>3.68</v>
      </c>
      <c r="R32" s="97">
        <f t="shared" si="3"/>
        <v>7.36</v>
      </c>
      <c r="S32" s="40" t="s">
        <v>8</v>
      </c>
      <c r="T32" s="41" t="s">
        <v>11</v>
      </c>
      <c r="U32" s="42" t="str">
        <f>'1. 소켓인수검사'!G34</f>
        <v>지하5층 창고</v>
      </c>
    </row>
    <row r="33" spans="1:21">
      <c r="A33" s="50" t="str">
        <f>'1. 소켓인수검사'!A35</f>
        <v>27</v>
      </c>
      <c r="B33" s="65" t="s">
        <v>38</v>
      </c>
      <c r="C33" s="36">
        <f>'1. 소켓인수검사'!C35</f>
        <v>350</v>
      </c>
      <c r="D33" s="36">
        <f>'1. 소켓인수검사'!D35</f>
        <v>250</v>
      </c>
      <c r="E33" s="37"/>
      <c r="F33" s="38">
        <f t="shared" si="4"/>
        <v>8.7499999999999994E-2</v>
      </c>
      <c r="G33" s="38">
        <f t="shared" si="5"/>
        <v>1.2</v>
      </c>
      <c r="H33" s="43">
        <v>3</v>
      </c>
      <c r="I33" s="64">
        <f t="shared" si="6"/>
        <v>1.6</v>
      </c>
      <c r="J33" s="35">
        <v>8</v>
      </c>
      <c r="K33" s="26"/>
      <c r="L33" s="35"/>
      <c r="M33" s="26"/>
      <c r="N33" s="35"/>
      <c r="O33" s="26"/>
      <c r="P33" s="35"/>
      <c r="Q33" s="39">
        <f t="shared" si="2"/>
        <v>3.88</v>
      </c>
      <c r="R33" s="97">
        <f t="shared" si="3"/>
        <v>7.76</v>
      </c>
      <c r="S33" s="40" t="s">
        <v>8</v>
      </c>
      <c r="T33" s="41" t="s">
        <v>11</v>
      </c>
      <c r="U33" s="42" t="str">
        <f>'1. 소켓인수검사'!G35</f>
        <v>지하5층 소화가스실</v>
      </c>
    </row>
    <row r="34" spans="1:21">
      <c r="A34" s="50" t="str">
        <f>'1. 소켓인수검사'!A36</f>
        <v>28</v>
      </c>
      <c r="B34" s="65" t="s">
        <v>38</v>
      </c>
      <c r="C34" s="36">
        <f>'1. 소켓인수검사'!C36</f>
        <v>400</v>
      </c>
      <c r="D34" s="36">
        <f>'1. 소켓인수검사'!D36</f>
        <v>300</v>
      </c>
      <c r="E34" s="37"/>
      <c r="F34" s="38">
        <f t="shared" si="4"/>
        <v>0.12</v>
      </c>
      <c r="G34" s="38">
        <f t="shared" si="5"/>
        <v>1.4</v>
      </c>
      <c r="H34" s="43">
        <v>3</v>
      </c>
      <c r="I34" s="64">
        <f t="shared" si="6"/>
        <v>1.7999999999999998</v>
      </c>
      <c r="J34" s="35">
        <v>8</v>
      </c>
      <c r="K34" s="26"/>
      <c r="L34" s="35"/>
      <c r="M34" s="26"/>
      <c r="N34" s="35"/>
      <c r="O34" s="26"/>
      <c r="P34" s="35"/>
      <c r="Q34" s="39">
        <f t="shared" si="2"/>
        <v>4.28</v>
      </c>
      <c r="R34" s="97">
        <f t="shared" si="3"/>
        <v>8.56</v>
      </c>
      <c r="S34" s="40" t="s">
        <v>8</v>
      </c>
      <c r="T34" s="41" t="s">
        <v>11</v>
      </c>
      <c r="U34" s="42" t="str">
        <f>'1. 소켓인수검사'!G36</f>
        <v>지하2층 공조실(근생)</v>
      </c>
    </row>
    <row r="35" spans="1:21">
      <c r="A35" s="50" t="str">
        <f>'1. 소켓인수검사'!A37</f>
        <v>29</v>
      </c>
      <c r="B35" s="65" t="s">
        <v>38</v>
      </c>
      <c r="C35" s="36">
        <f>'1. 소켓인수검사'!C37</f>
        <v>400</v>
      </c>
      <c r="D35" s="36">
        <f>'1. 소켓인수검사'!D37</f>
        <v>300</v>
      </c>
      <c r="E35" s="37"/>
      <c r="F35" s="38">
        <f t="shared" si="4"/>
        <v>0.12</v>
      </c>
      <c r="G35" s="38">
        <f t="shared" si="5"/>
        <v>1.4</v>
      </c>
      <c r="H35" s="43">
        <v>3</v>
      </c>
      <c r="I35" s="64">
        <f t="shared" si="6"/>
        <v>1.7999999999999998</v>
      </c>
      <c r="J35" s="35">
        <v>8</v>
      </c>
      <c r="K35" s="26"/>
      <c r="L35" s="35"/>
      <c r="M35" s="26"/>
      <c r="N35" s="35"/>
      <c r="O35" s="26"/>
      <c r="P35" s="35"/>
      <c r="Q35" s="39">
        <f t="shared" si="2"/>
        <v>4.28</v>
      </c>
      <c r="R35" s="97">
        <f t="shared" si="3"/>
        <v>8.56</v>
      </c>
      <c r="S35" s="40" t="s">
        <v>8</v>
      </c>
      <c r="T35" s="41" t="s">
        <v>11</v>
      </c>
      <c r="U35" s="42" t="str">
        <f>'1. 소켓인수검사'!G37</f>
        <v>지하2층 공조실(근생)</v>
      </c>
    </row>
    <row r="36" spans="1:21">
      <c r="A36" s="50" t="str">
        <f>'1. 소켓인수검사'!A38</f>
        <v>30</v>
      </c>
      <c r="B36" s="65" t="s">
        <v>38</v>
      </c>
      <c r="C36" s="36">
        <f>'1. 소켓인수검사'!C38</f>
        <v>400</v>
      </c>
      <c r="D36" s="36">
        <f>'1. 소켓인수검사'!D38</f>
        <v>300</v>
      </c>
      <c r="E36" s="37"/>
      <c r="F36" s="38">
        <f t="shared" si="4"/>
        <v>0.12</v>
      </c>
      <c r="G36" s="38">
        <f t="shared" si="5"/>
        <v>1.4</v>
      </c>
      <c r="H36" s="43">
        <v>3</v>
      </c>
      <c r="I36" s="64">
        <f t="shared" si="6"/>
        <v>1.7999999999999998</v>
      </c>
      <c r="J36" s="35">
        <v>8</v>
      </c>
      <c r="K36" s="26"/>
      <c r="L36" s="35"/>
      <c r="M36" s="26"/>
      <c r="N36" s="35"/>
      <c r="O36" s="26"/>
      <c r="P36" s="35"/>
      <c r="Q36" s="39">
        <f t="shared" si="2"/>
        <v>4.28</v>
      </c>
      <c r="R36" s="97">
        <f t="shared" si="3"/>
        <v>8.56</v>
      </c>
      <c r="S36" s="40" t="s">
        <v>8</v>
      </c>
      <c r="T36" s="41" t="s">
        <v>11</v>
      </c>
      <c r="U36" s="42" t="str">
        <f>'1. 소켓인수검사'!G38</f>
        <v>지상2층 202동</v>
      </c>
    </row>
    <row r="37" spans="1:21">
      <c r="A37" s="50" t="str">
        <f>'1. 소켓인수검사'!A39</f>
        <v>31</v>
      </c>
      <c r="B37" s="65" t="s">
        <v>38</v>
      </c>
      <c r="C37" s="36">
        <f>'1. 소켓인수검사'!C39</f>
        <v>400</v>
      </c>
      <c r="D37" s="36">
        <f>'1. 소켓인수검사'!D39</f>
        <v>300</v>
      </c>
      <c r="E37" s="37"/>
      <c r="F37" s="38">
        <f t="shared" si="4"/>
        <v>0.12</v>
      </c>
      <c r="G37" s="38">
        <f t="shared" si="5"/>
        <v>1.4</v>
      </c>
      <c r="H37" s="43">
        <v>3</v>
      </c>
      <c r="I37" s="64">
        <f t="shared" si="6"/>
        <v>1.7999999999999998</v>
      </c>
      <c r="J37" s="35">
        <v>8</v>
      </c>
      <c r="K37" s="26"/>
      <c r="L37" s="35"/>
      <c r="M37" s="26"/>
      <c r="N37" s="35"/>
      <c r="O37" s="26"/>
      <c r="P37" s="35"/>
      <c r="Q37" s="39">
        <f t="shared" si="2"/>
        <v>4.28</v>
      </c>
      <c r="R37" s="97">
        <f t="shared" si="3"/>
        <v>8.56</v>
      </c>
      <c r="S37" s="40" t="s">
        <v>8</v>
      </c>
      <c r="T37" s="41" t="s">
        <v>11</v>
      </c>
      <c r="U37" s="42" t="str">
        <f>'1. 소켓인수검사'!G39</f>
        <v>지상1층 202동, C 존</v>
      </c>
    </row>
    <row r="38" spans="1:21">
      <c r="A38" s="50" t="str">
        <f>'1. 소켓인수검사'!A40</f>
        <v>32</v>
      </c>
      <c r="B38" s="65" t="s">
        <v>38</v>
      </c>
      <c r="C38" s="36">
        <f>'1. 소켓인수검사'!C40</f>
        <v>400</v>
      </c>
      <c r="D38" s="36">
        <f>'1. 소켓인수검사'!D40</f>
        <v>300</v>
      </c>
      <c r="E38" s="37"/>
      <c r="F38" s="38">
        <f t="shared" si="4"/>
        <v>0.12</v>
      </c>
      <c r="G38" s="38">
        <f t="shared" si="5"/>
        <v>1.4</v>
      </c>
      <c r="H38" s="43">
        <v>3</v>
      </c>
      <c r="I38" s="64">
        <f t="shared" si="6"/>
        <v>1.7999999999999998</v>
      </c>
      <c r="J38" s="35">
        <v>8</v>
      </c>
      <c r="K38" s="26"/>
      <c r="L38" s="35"/>
      <c r="M38" s="26"/>
      <c r="N38" s="35"/>
      <c r="O38" s="26"/>
      <c r="P38" s="35"/>
      <c r="Q38" s="39">
        <f t="shared" si="2"/>
        <v>4.28</v>
      </c>
      <c r="R38" s="97">
        <f t="shared" si="3"/>
        <v>8.56</v>
      </c>
      <c r="S38" s="40" t="s">
        <v>8</v>
      </c>
      <c r="T38" s="41" t="s">
        <v>11</v>
      </c>
      <c r="U38" s="42" t="str">
        <f>'1. 소켓인수검사'!G40</f>
        <v>지상1층 202동, C 존</v>
      </c>
    </row>
    <row r="39" spans="1:21">
      <c r="A39" s="50" t="str">
        <f>'1. 소켓인수검사'!A41</f>
        <v>33</v>
      </c>
      <c r="B39" s="65" t="s">
        <v>38</v>
      </c>
      <c r="C39" s="36">
        <f>'1. 소켓인수검사'!C41</f>
        <v>500</v>
      </c>
      <c r="D39" s="36">
        <f>'1. 소켓인수검사'!D41</f>
        <v>300</v>
      </c>
      <c r="E39" s="37"/>
      <c r="F39" s="38">
        <f t="shared" si="4"/>
        <v>0.15</v>
      </c>
      <c r="G39" s="38">
        <f t="shared" si="5"/>
        <v>1.6</v>
      </c>
      <c r="H39" s="43">
        <v>3</v>
      </c>
      <c r="I39" s="64">
        <f t="shared" si="6"/>
        <v>2</v>
      </c>
      <c r="J39" s="35">
        <v>8</v>
      </c>
      <c r="K39" s="26"/>
      <c r="L39" s="35"/>
      <c r="M39" s="26"/>
      <c r="N39" s="35"/>
      <c r="O39" s="26"/>
      <c r="P39" s="35"/>
      <c r="Q39" s="39">
        <f t="shared" si="2"/>
        <v>4.68</v>
      </c>
      <c r="R39" s="97">
        <f t="shared" si="3"/>
        <v>9.36</v>
      </c>
      <c r="S39" s="40" t="s">
        <v>8</v>
      </c>
      <c r="T39" s="41" t="s">
        <v>11</v>
      </c>
      <c r="U39" s="42" t="str">
        <f>'1. 소켓인수검사'!G41</f>
        <v>지상1층 203동</v>
      </c>
    </row>
    <row r="40" spans="1:21">
      <c r="A40" s="50" t="str">
        <f>'1. 소켓인수검사'!A42</f>
        <v>34</v>
      </c>
      <c r="B40" s="65" t="s">
        <v>38</v>
      </c>
      <c r="C40" s="36">
        <f>'1. 소켓인수검사'!C42</f>
        <v>500</v>
      </c>
      <c r="D40" s="36">
        <f>'1. 소켓인수검사'!D42</f>
        <v>300</v>
      </c>
      <c r="E40" s="37"/>
      <c r="F40" s="38">
        <f t="shared" si="4"/>
        <v>0.15</v>
      </c>
      <c r="G40" s="38">
        <f t="shared" si="5"/>
        <v>1.6</v>
      </c>
      <c r="H40" s="43">
        <v>3</v>
      </c>
      <c r="I40" s="64">
        <f t="shared" si="6"/>
        <v>2</v>
      </c>
      <c r="J40" s="35">
        <v>8</v>
      </c>
      <c r="K40" s="26"/>
      <c r="L40" s="35"/>
      <c r="M40" s="26"/>
      <c r="N40" s="35"/>
      <c r="O40" s="26"/>
      <c r="P40" s="35"/>
      <c r="Q40" s="39">
        <f t="shared" si="2"/>
        <v>4.68</v>
      </c>
      <c r="R40" s="97">
        <f t="shared" si="3"/>
        <v>9.36</v>
      </c>
      <c r="S40" s="40" t="s">
        <v>8</v>
      </c>
      <c r="T40" s="41" t="s">
        <v>11</v>
      </c>
      <c r="U40" s="42" t="str">
        <f>'1. 소켓인수검사'!G42</f>
        <v>지상1층 203동</v>
      </c>
    </row>
    <row r="41" spans="1:21">
      <c r="A41" s="50" t="str">
        <f>'1. 소켓인수검사'!A43</f>
        <v>35</v>
      </c>
      <c r="B41" s="65" t="s">
        <v>38</v>
      </c>
      <c r="C41" s="36">
        <f>'1. 소켓인수검사'!C43</f>
        <v>500</v>
      </c>
      <c r="D41" s="36">
        <f>'1. 소켓인수검사'!D43</f>
        <v>300</v>
      </c>
      <c r="E41" s="37"/>
      <c r="F41" s="38">
        <f t="shared" si="4"/>
        <v>0.15</v>
      </c>
      <c r="G41" s="38">
        <f t="shared" si="5"/>
        <v>1.6</v>
      </c>
      <c r="H41" s="43">
        <v>3</v>
      </c>
      <c r="I41" s="64">
        <f t="shared" si="6"/>
        <v>2</v>
      </c>
      <c r="J41" s="35">
        <v>8</v>
      </c>
      <c r="K41" s="26"/>
      <c r="L41" s="35"/>
      <c r="M41" s="26"/>
      <c r="N41" s="35"/>
      <c r="O41" s="26"/>
      <c r="P41" s="35"/>
      <c r="Q41" s="39">
        <f t="shared" si="2"/>
        <v>4.68</v>
      </c>
      <c r="R41" s="97">
        <f t="shared" si="3"/>
        <v>9.36</v>
      </c>
      <c r="S41" s="40" t="s">
        <v>8</v>
      </c>
      <c r="T41" s="41" t="s">
        <v>11</v>
      </c>
      <c r="U41" s="42" t="str">
        <f>'1. 소켓인수검사'!G43</f>
        <v>지하3층 기계실(오피스텔)</v>
      </c>
    </row>
    <row r="42" spans="1:21">
      <c r="A42" s="50" t="str">
        <f>'1. 소켓인수검사'!A44</f>
        <v>36</v>
      </c>
      <c r="B42" s="65" t="s">
        <v>38</v>
      </c>
      <c r="C42" s="36">
        <f>'1. 소켓인수검사'!C44</f>
        <v>500</v>
      </c>
      <c r="D42" s="36">
        <f>'1. 소켓인수검사'!D44</f>
        <v>300</v>
      </c>
      <c r="E42" s="37"/>
      <c r="F42" s="38">
        <f t="shared" si="4"/>
        <v>0.15</v>
      </c>
      <c r="G42" s="38">
        <f t="shared" si="5"/>
        <v>1.6</v>
      </c>
      <c r="H42" s="43">
        <v>3</v>
      </c>
      <c r="I42" s="64">
        <f t="shared" si="6"/>
        <v>2</v>
      </c>
      <c r="J42" s="35">
        <v>8</v>
      </c>
      <c r="K42" s="26"/>
      <c r="L42" s="35"/>
      <c r="M42" s="26"/>
      <c r="N42" s="35"/>
      <c r="O42" s="26"/>
      <c r="P42" s="35"/>
      <c r="Q42" s="39">
        <f t="shared" si="2"/>
        <v>4.68</v>
      </c>
      <c r="R42" s="97">
        <f t="shared" si="3"/>
        <v>9.36</v>
      </c>
      <c r="S42" s="40" t="s">
        <v>8</v>
      </c>
      <c r="T42" s="41" t="s">
        <v>11</v>
      </c>
      <c r="U42" s="42" t="str">
        <f>'1. 소켓인수검사'!G44</f>
        <v>지하3층 기계실(오피스텔)</v>
      </c>
    </row>
    <row r="43" spans="1:21">
      <c r="A43" s="50" t="str">
        <f>'1. 소켓인수검사'!A45</f>
        <v>37</v>
      </c>
      <c r="B43" s="65" t="s">
        <v>38</v>
      </c>
      <c r="C43" s="36">
        <f>'1. 소켓인수검사'!C45</f>
        <v>500</v>
      </c>
      <c r="D43" s="36">
        <f>'1. 소켓인수검사'!D45</f>
        <v>400</v>
      </c>
      <c r="E43" s="37"/>
      <c r="F43" s="38">
        <f t="shared" si="4"/>
        <v>0.2</v>
      </c>
      <c r="G43" s="38">
        <f t="shared" si="5"/>
        <v>1.8</v>
      </c>
      <c r="H43" s="43">
        <v>3</v>
      </c>
      <c r="I43" s="64">
        <f t="shared" si="6"/>
        <v>2.2000000000000002</v>
      </c>
      <c r="J43" s="35">
        <v>8</v>
      </c>
      <c r="K43" s="26"/>
      <c r="L43" s="35"/>
      <c r="M43" s="26"/>
      <c r="N43" s="35"/>
      <c r="O43" s="26"/>
      <c r="P43" s="35"/>
      <c r="Q43" s="39">
        <f t="shared" si="2"/>
        <v>5.08</v>
      </c>
      <c r="R43" s="97">
        <f t="shared" si="3"/>
        <v>10.16</v>
      </c>
      <c r="S43" s="40" t="s">
        <v>8</v>
      </c>
      <c r="T43" s="41" t="s">
        <v>11</v>
      </c>
      <c r="U43" s="42" t="str">
        <f>'1. 소켓인수검사'!G45</f>
        <v>지상1층 202동</v>
      </c>
    </row>
    <row r="44" spans="1:21">
      <c r="A44" s="50" t="str">
        <f>'1. 소켓인수검사'!A46</f>
        <v>38</v>
      </c>
      <c r="B44" s="65" t="s">
        <v>38</v>
      </c>
      <c r="C44" s="36">
        <f>'1. 소켓인수검사'!C46</f>
        <v>500</v>
      </c>
      <c r="D44" s="36">
        <f>'1. 소켓인수검사'!D46</f>
        <v>400</v>
      </c>
      <c r="E44" s="37"/>
      <c r="F44" s="38">
        <f t="shared" si="4"/>
        <v>0.2</v>
      </c>
      <c r="G44" s="38">
        <f t="shared" si="5"/>
        <v>1.8</v>
      </c>
      <c r="H44" s="43">
        <v>3</v>
      </c>
      <c r="I44" s="64">
        <f t="shared" si="6"/>
        <v>2.2000000000000002</v>
      </c>
      <c r="J44" s="35">
        <v>8</v>
      </c>
      <c r="K44" s="26"/>
      <c r="L44" s="35"/>
      <c r="M44" s="26"/>
      <c r="N44" s="35"/>
      <c r="O44" s="26"/>
      <c r="P44" s="35"/>
      <c r="Q44" s="39">
        <f t="shared" si="2"/>
        <v>5.08</v>
      </c>
      <c r="R44" s="97">
        <f t="shared" si="3"/>
        <v>10.16</v>
      </c>
      <c r="S44" s="40" t="s">
        <v>8</v>
      </c>
      <c r="T44" s="41" t="s">
        <v>11</v>
      </c>
      <c r="U44" s="42" t="str">
        <f>'1. 소켓인수검사'!G46</f>
        <v>지상1층 202동</v>
      </c>
    </row>
    <row r="45" spans="1:21">
      <c r="A45" s="50" t="str">
        <f>'1. 소켓인수검사'!A47</f>
        <v>39</v>
      </c>
      <c r="B45" s="65" t="s">
        <v>38</v>
      </c>
      <c r="C45" s="36">
        <f>'1. 소켓인수검사'!C47</f>
        <v>500</v>
      </c>
      <c r="D45" s="36">
        <f>'1. 소켓인수검사'!D47</f>
        <v>400</v>
      </c>
      <c r="E45" s="37"/>
      <c r="F45" s="38">
        <f t="shared" si="4"/>
        <v>0.2</v>
      </c>
      <c r="G45" s="38">
        <f t="shared" si="5"/>
        <v>1.8</v>
      </c>
      <c r="H45" s="43">
        <v>3</v>
      </c>
      <c r="I45" s="64">
        <f t="shared" si="6"/>
        <v>2.2000000000000002</v>
      </c>
      <c r="J45" s="35">
        <v>8</v>
      </c>
      <c r="K45" s="26"/>
      <c r="L45" s="35"/>
      <c r="M45" s="26"/>
      <c r="N45" s="35"/>
      <c r="O45" s="26"/>
      <c r="P45" s="35"/>
      <c r="Q45" s="39">
        <f t="shared" si="2"/>
        <v>5.08</v>
      </c>
      <c r="R45" s="97">
        <f>Q45*2</f>
        <v>10.16</v>
      </c>
      <c r="S45" s="40" t="s">
        <v>8</v>
      </c>
      <c r="T45" s="41" t="s">
        <v>11</v>
      </c>
      <c r="U45" s="42" t="str">
        <f>'1. 소켓인수검사'!G47</f>
        <v>지하2층 공조실</v>
      </c>
    </row>
    <row r="46" spans="1:21">
      <c r="A46" s="50" t="str">
        <f>'1. 소켓인수검사'!A48</f>
        <v>40</v>
      </c>
      <c r="B46" s="65" t="s">
        <v>38</v>
      </c>
      <c r="C46" s="36">
        <f>'1. 소켓인수검사'!C48</f>
        <v>500</v>
      </c>
      <c r="D46" s="36">
        <f>'1. 소켓인수검사'!D48</f>
        <v>500</v>
      </c>
      <c r="E46" s="37"/>
      <c r="F46" s="38">
        <f t="shared" si="4"/>
        <v>0.25</v>
      </c>
      <c r="G46" s="38">
        <f t="shared" si="5"/>
        <v>2</v>
      </c>
      <c r="H46" s="43">
        <v>3</v>
      </c>
      <c r="I46" s="64">
        <f t="shared" si="6"/>
        <v>2.4</v>
      </c>
      <c r="J46" s="35">
        <v>8</v>
      </c>
      <c r="K46" s="26"/>
      <c r="L46" s="35"/>
      <c r="M46" s="26"/>
      <c r="N46" s="35"/>
      <c r="O46" s="26"/>
      <c r="P46" s="35"/>
      <c r="Q46" s="39">
        <f t="shared" si="2"/>
        <v>5.48</v>
      </c>
      <c r="R46" s="97">
        <f>Q46*2</f>
        <v>10.96</v>
      </c>
      <c r="S46" s="40" t="s">
        <v>8</v>
      </c>
      <c r="T46" s="41" t="s">
        <v>11</v>
      </c>
      <c r="U46" s="42" t="str">
        <f>'1. 소켓인수검사'!G48</f>
        <v>지하2층 공조실</v>
      </c>
    </row>
    <row r="47" spans="1:21">
      <c r="A47" s="50" t="str">
        <f>'1. 소켓인수검사'!A49</f>
        <v>41</v>
      </c>
      <c r="B47" s="65" t="s">
        <v>38</v>
      </c>
      <c r="C47" s="36">
        <f>'1. 소켓인수검사'!C49</f>
        <v>500</v>
      </c>
      <c r="D47" s="36">
        <f>'1. 소켓인수검사'!D49</f>
        <v>500</v>
      </c>
      <c r="E47" s="37"/>
      <c r="F47" s="38">
        <f t="shared" si="4"/>
        <v>0.25</v>
      </c>
      <c r="G47" s="38">
        <f t="shared" si="5"/>
        <v>2</v>
      </c>
      <c r="H47" s="43">
        <v>3</v>
      </c>
      <c r="I47" s="64">
        <f t="shared" si="6"/>
        <v>2.4</v>
      </c>
      <c r="J47" s="35">
        <v>8</v>
      </c>
      <c r="K47" s="26"/>
      <c r="L47" s="35"/>
      <c r="M47" s="26"/>
      <c r="N47" s="35"/>
      <c r="O47" s="26"/>
      <c r="P47" s="35"/>
      <c r="Q47" s="39">
        <f t="shared" si="2"/>
        <v>5.48</v>
      </c>
      <c r="R47" s="97">
        <f t="shared" ref="R47:R67" si="7">Q47*2</f>
        <v>10.96</v>
      </c>
      <c r="S47" s="40" t="s">
        <v>8</v>
      </c>
      <c r="T47" s="41" t="s">
        <v>11</v>
      </c>
      <c r="U47" s="42" t="str">
        <f>'1. 소켓인수검사'!G49</f>
        <v>지하3층 기계실(오피스텔)</v>
      </c>
    </row>
    <row r="48" spans="1:21">
      <c r="A48" s="50" t="str">
        <f>'1. 소켓인수검사'!A50</f>
        <v>42</v>
      </c>
      <c r="B48" s="65" t="s">
        <v>38</v>
      </c>
      <c r="C48" s="36">
        <f>'1. 소켓인수검사'!C50</f>
        <v>500</v>
      </c>
      <c r="D48" s="36">
        <f>'1. 소켓인수검사'!D50</f>
        <v>500</v>
      </c>
      <c r="E48" s="37"/>
      <c r="F48" s="38">
        <f t="shared" si="4"/>
        <v>0.25</v>
      </c>
      <c r="G48" s="38">
        <f t="shared" si="5"/>
        <v>2</v>
      </c>
      <c r="H48" s="43">
        <v>3</v>
      </c>
      <c r="I48" s="64">
        <f t="shared" si="6"/>
        <v>2.4</v>
      </c>
      <c r="J48" s="35">
        <v>8</v>
      </c>
      <c r="K48" s="26"/>
      <c r="L48" s="35"/>
      <c r="M48" s="26"/>
      <c r="N48" s="35"/>
      <c r="O48" s="26"/>
      <c r="P48" s="35"/>
      <c r="Q48" s="39">
        <f t="shared" si="2"/>
        <v>5.48</v>
      </c>
      <c r="R48" s="97">
        <f t="shared" si="7"/>
        <v>10.96</v>
      </c>
      <c r="S48" s="40" t="s">
        <v>8</v>
      </c>
      <c r="T48" s="41" t="s">
        <v>11</v>
      </c>
      <c r="U48" s="42" t="str">
        <f>'1. 소켓인수검사'!G50</f>
        <v>지하3층 기계실(오피스텔)</v>
      </c>
    </row>
    <row r="49" spans="1:21">
      <c r="A49" s="50" t="str">
        <f>'1. 소켓인수검사'!A51</f>
        <v>43</v>
      </c>
      <c r="B49" s="65" t="s">
        <v>38</v>
      </c>
      <c r="C49" s="36">
        <f>'1. 소켓인수검사'!C51</f>
        <v>500</v>
      </c>
      <c r="D49" s="36">
        <f>'1. 소켓인수검사'!D51</f>
        <v>500</v>
      </c>
      <c r="E49" s="37"/>
      <c r="F49" s="38">
        <f t="shared" si="4"/>
        <v>0.25</v>
      </c>
      <c r="G49" s="38">
        <f t="shared" si="5"/>
        <v>2</v>
      </c>
      <c r="H49" s="43">
        <v>3</v>
      </c>
      <c r="I49" s="64">
        <f t="shared" si="6"/>
        <v>2.4</v>
      </c>
      <c r="J49" s="35">
        <v>8</v>
      </c>
      <c r="K49" s="26"/>
      <c r="L49" s="35"/>
      <c r="M49" s="26"/>
      <c r="N49" s="35"/>
      <c r="O49" s="26"/>
      <c r="P49" s="35"/>
      <c r="Q49" s="39">
        <f t="shared" si="2"/>
        <v>5.48</v>
      </c>
      <c r="R49" s="97">
        <f t="shared" si="7"/>
        <v>10.96</v>
      </c>
      <c r="S49" s="40" t="s">
        <v>8</v>
      </c>
      <c r="T49" s="41" t="s">
        <v>11</v>
      </c>
      <c r="U49" s="42" t="str">
        <f>'1. 소켓인수검사'!G51</f>
        <v>지하3층 기계실(오피스텔)</v>
      </c>
    </row>
    <row r="50" spans="1:21">
      <c r="A50" s="50" t="str">
        <f>'1. 소켓인수검사'!A52</f>
        <v>44</v>
      </c>
      <c r="B50" s="65" t="s">
        <v>38</v>
      </c>
      <c r="C50" s="36">
        <f>'1. 소켓인수검사'!C52</f>
        <v>600</v>
      </c>
      <c r="D50" s="36">
        <f>'1. 소켓인수검사'!D52</f>
        <v>300</v>
      </c>
      <c r="E50" s="37"/>
      <c r="F50" s="38">
        <f t="shared" si="4"/>
        <v>0.18</v>
      </c>
      <c r="G50" s="38">
        <f t="shared" si="5"/>
        <v>1.8</v>
      </c>
      <c r="H50" s="43">
        <v>3</v>
      </c>
      <c r="I50" s="64">
        <f t="shared" si="6"/>
        <v>2.2000000000000002</v>
      </c>
      <c r="J50" s="35">
        <v>8</v>
      </c>
      <c r="K50" s="26"/>
      <c r="L50" s="35"/>
      <c r="M50" s="26"/>
      <c r="N50" s="35"/>
      <c r="O50" s="26"/>
      <c r="P50" s="35"/>
      <c r="Q50" s="39">
        <f t="shared" si="2"/>
        <v>5.08</v>
      </c>
      <c r="R50" s="97">
        <f t="shared" si="7"/>
        <v>10.16</v>
      </c>
      <c r="S50" s="40" t="s">
        <v>8</v>
      </c>
      <c r="T50" s="41" t="s">
        <v>11</v>
      </c>
      <c r="U50" s="42" t="str">
        <f>'1. 소켓인수검사'!G52</f>
        <v>지하3층 재활용보관소(오피스텔)</v>
      </c>
    </row>
    <row r="51" spans="1:21">
      <c r="A51" s="50" t="str">
        <f>'1. 소켓인수검사'!A53</f>
        <v>45</v>
      </c>
      <c r="B51" s="65" t="s">
        <v>38</v>
      </c>
      <c r="C51" s="36">
        <f>'1. 소켓인수검사'!C53</f>
        <v>600</v>
      </c>
      <c r="D51" s="36">
        <f>'1. 소켓인수검사'!D53</f>
        <v>350</v>
      </c>
      <c r="E51" s="37"/>
      <c r="F51" s="38">
        <f t="shared" si="4"/>
        <v>0.21</v>
      </c>
      <c r="G51" s="38">
        <f t="shared" si="5"/>
        <v>1.9</v>
      </c>
      <c r="H51" s="43">
        <v>3</v>
      </c>
      <c r="I51" s="64">
        <f t="shared" si="6"/>
        <v>2.2999999999999998</v>
      </c>
      <c r="J51" s="35">
        <v>8</v>
      </c>
      <c r="K51" s="26"/>
      <c r="L51" s="35"/>
      <c r="M51" s="26"/>
      <c r="N51" s="35"/>
      <c r="O51" s="26"/>
      <c r="P51" s="35"/>
      <c r="Q51" s="39">
        <f t="shared" si="2"/>
        <v>5.28</v>
      </c>
      <c r="R51" s="97">
        <f t="shared" si="7"/>
        <v>10.56</v>
      </c>
      <c r="S51" s="40" t="s">
        <v>8</v>
      </c>
      <c r="T51" s="41" t="s">
        <v>11</v>
      </c>
      <c r="U51" s="42" t="str">
        <f>'1. 소켓인수검사'!G53</f>
        <v>지하1층 재활용보관소(판매,근생)</v>
      </c>
    </row>
    <row r="52" spans="1:21">
      <c r="A52" s="50" t="str">
        <f>'1. 소켓인수검사'!A54</f>
        <v>46</v>
      </c>
      <c r="B52" s="65" t="s">
        <v>38</v>
      </c>
      <c r="C52" s="36">
        <f>'1. 소켓인수검사'!C54</f>
        <v>600</v>
      </c>
      <c r="D52" s="36">
        <f>'1. 소켓인수검사'!D54</f>
        <v>350</v>
      </c>
      <c r="E52" s="37"/>
      <c r="F52" s="38">
        <f t="shared" si="4"/>
        <v>0.21</v>
      </c>
      <c r="G52" s="38">
        <f t="shared" si="5"/>
        <v>1.9</v>
      </c>
      <c r="H52" s="43">
        <v>3</v>
      </c>
      <c r="I52" s="64">
        <f t="shared" si="6"/>
        <v>2.2999999999999998</v>
      </c>
      <c r="J52" s="35">
        <v>8</v>
      </c>
      <c r="K52" s="26"/>
      <c r="L52" s="35"/>
      <c r="M52" s="26"/>
      <c r="N52" s="35"/>
      <c r="O52" s="26"/>
      <c r="P52" s="35"/>
      <c r="Q52" s="39">
        <f t="shared" si="2"/>
        <v>5.28</v>
      </c>
      <c r="R52" s="97">
        <f t="shared" si="7"/>
        <v>10.56</v>
      </c>
      <c r="S52" s="40" t="s">
        <v>8</v>
      </c>
      <c r="T52" s="41" t="s">
        <v>11</v>
      </c>
      <c r="U52" s="42" t="str">
        <f>'1. 소켓인수검사'!G54</f>
        <v>지하1층 재활용보관소(판매,근생)</v>
      </c>
    </row>
    <row r="53" spans="1:21">
      <c r="A53" s="50" t="str">
        <f>'1. 소켓인수검사'!A55</f>
        <v>47</v>
      </c>
      <c r="B53" s="65" t="s">
        <v>38</v>
      </c>
      <c r="C53" s="36">
        <f>'1. 소켓인수검사'!C55</f>
        <v>600</v>
      </c>
      <c r="D53" s="36">
        <f>'1. 소켓인수검사'!D55</f>
        <v>400</v>
      </c>
      <c r="E53" s="37"/>
      <c r="F53" s="38">
        <f t="shared" si="4"/>
        <v>0.24</v>
      </c>
      <c r="G53" s="38">
        <f t="shared" si="5"/>
        <v>2</v>
      </c>
      <c r="H53" s="43">
        <v>3</v>
      </c>
      <c r="I53" s="64">
        <f t="shared" si="6"/>
        <v>2.4</v>
      </c>
      <c r="J53" s="35">
        <v>8</v>
      </c>
      <c r="K53" s="26"/>
      <c r="L53" s="35"/>
      <c r="M53" s="26"/>
      <c r="N53" s="35"/>
      <c r="O53" s="26"/>
      <c r="P53" s="35"/>
      <c r="Q53" s="39">
        <f t="shared" si="2"/>
        <v>5.48</v>
      </c>
      <c r="R53" s="97">
        <f t="shared" si="7"/>
        <v>10.96</v>
      </c>
      <c r="S53" s="40" t="s">
        <v>8</v>
      </c>
      <c r="T53" s="41" t="s">
        <v>11</v>
      </c>
      <c r="U53" s="42" t="str">
        <f>'1. 소켓인수검사'!G55</f>
        <v>지하1층 재활용보관소(판매,근생)</v>
      </c>
    </row>
    <row r="54" spans="1:21">
      <c r="A54" s="50" t="str">
        <f>'1. 소켓인수검사'!A56</f>
        <v>48</v>
      </c>
      <c r="B54" s="65" t="s">
        <v>38</v>
      </c>
      <c r="C54" s="36">
        <f>'1. 소켓인수검사'!C56</f>
        <v>600</v>
      </c>
      <c r="D54" s="36">
        <f>'1. 소켓인수검사'!D56</f>
        <v>400</v>
      </c>
      <c r="E54" s="37"/>
      <c r="F54" s="38">
        <f t="shared" si="4"/>
        <v>0.24</v>
      </c>
      <c r="G54" s="38">
        <f t="shared" si="5"/>
        <v>2</v>
      </c>
      <c r="H54" s="43">
        <v>3</v>
      </c>
      <c r="I54" s="64">
        <f t="shared" si="6"/>
        <v>2.4</v>
      </c>
      <c r="J54" s="35">
        <v>8</v>
      </c>
      <c r="K54" s="26"/>
      <c r="L54" s="35"/>
      <c r="M54" s="26"/>
      <c r="N54" s="35"/>
      <c r="O54" s="26"/>
      <c r="P54" s="35"/>
      <c r="Q54" s="39">
        <f t="shared" si="2"/>
        <v>5.48</v>
      </c>
      <c r="R54" s="97">
        <f t="shared" si="7"/>
        <v>10.96</v>
      </c>
      <c r="S54" s="40" t="s">
        <v>8</v>
      </c>
      <c r="T54" s="41" t="s">
        <v>11</v>
      </c>
      <c r="U54" s="42" t="str">
        <f>'1. 소켓인수검사'!G56</f>
        <v>지하2층 공조실(근생)</v>
      </c>
    </row>
    <row r="55" spans="1:21">
      <c r="A55" s="50" t="str">
        <f>'1. 소켓인수검사'!A57</f>
        <v>49</v>
      </c>
      <c r="B55" s="65" t="s">
        <v>38</v>
      </c>
      <c r="C55" s="36">
        <f>'1. 소켓인수검사'!C57</f>
        <v>600</v>
      </c>
      <c r="D55" s="36">
        <f>'1. 소켓인수검사'!D57</f>
        <v>500</v>
      </c>
      <c r="E55" s="37"/>
      <c r="F55" s="38">
        <f t="shared" si="4"/>
        <v>0.3</v>
      </c>
      <c r="G55" s="38">
        <f t="shared" si="5"/>
        <v>2.2000000000000002</v>
      </c>
      <c r="H55" s="43">
        <v>3</v>
      </c>
      <c r="I55" s="64">
        <f t="shared" si="6"/>
        <v>2.6</v>
      </c>
      <c r="J55" s="35">
        <v>8</v>
      </c>
      <c r="K55" s="26"/>
      <c r="L55" s="35"/>
      <c r="M55" s="26"/>
      <c r="N55" s="35"/>
      <c r="O55" s="26"/>
      <c r="P55" s="35"/>
      <c r="Q55" s="39">
        <f t="shared" si="2"/>
        <v>5.88</v>
      </c>
      <c r="R55" s="97">
        <f t="shared" si="7"/>
        <v>11.76</v>
      </c>
      <c r="S55" s="40" t="s">
        <v>8</v>
      </c>
      <c r="T55" s="41" t="s">
        <v>11</v>
      </c>
      <c r="U55" s="42" t="str">
        <f>'1. 소켓인수검사'!G57</f>
        <v>지하1층 공조실(근생)</v>
      </c>
    </row>
    <row r="56" spans="1:21">
      <c r="A56" s="50" t="str">
        <f>'1. 소켓인수검사'!A58</f>
        <v>50</v>
      </c>
      <c r="B56" s="65" t="s">
        <v>38</v>
      </c>
      <c r="C56" s="36">
        <f>'1. 소켓인수검사'!C58</f>
        <v>600</v>
      </c>
      <c r="D56" s="36">
        <f>'1. 소켓인수검사'!D58</f>
        <v>500</v>
      </c>
      <c r="E56" s="37"/>
      <c r="F56" s="38">
        <f t="shared" si="4"/>
        <v>0.3</v>
      </c>
      <c r="G56" s="38">
        <f t="shared" si="5"/>
        <v>2.2000000000000002</v>
      </c>
      <c r="H56" s="43">
        <v>3</v>
      </c>
      <c r="I56" s="64">
        <f t="shared" si="6"/>
        <v>2.6</v>
      </c>
      <c r="J56" s="35">
        <v>8</v>
      </c>
      <c r="K56" s="26"/>
      <c r="L56" s="35"/>
      <c r="M56" s="26"/>
      <c r="N56" s="35"/>
      <c r="O56" s="26"/>
      <c r="P56" s="35"/>
      <c r="Q56" s="39">
        <f t="shared" si="2"/>
        <v>5.88</v>
      </c>
      <c r="R56" s="97">
        <f t="shared" si="7"/>
        <v>11.76</v>
      </c>
      <c r="S56" s="40" t="s">
        <v>8</v>
      </c>
      <c r="T56" s="41" t="s">
        <v>11</v>
      </c>
      <c r="U56" s="42" t="str">
        <f>'1. 소켓인수검사'!G58</f>
        <v>지하1층 공조실(근생)</v>
      </c>
    </row>
    <row r="57" spans="1:21">
      <c r="A57" s="50" t="str">
        <f>'1. 소켓인수검사'!A59</f>
        <v>51</v>
      </c>
      <c r="B57" s="65" t="s">
        <v>38</v>
      </c>
      <c r="C57" s="36">
        <f>'1. 소켓인수검사'!C59</f>
        <v>600</v>
      </c>
      <c r="D57" s="36">
        <f>'1. 소켓인수검사'!D59</f>
        <v>500</v>
      </c>
      <c r="E57" s="37"/>
      <c r="F57" s="38">
        <f t="shared" si="4"/>
        <v>0.3</v>
      </c>
      <c r="G57" s="38">
        <f t="shared" si="5"/>
        <v>2.2000000000000002</v>
      </c>
      <c r="H57" s="43">
        <v>3</v>
      </c>
      <c r="I57" s="64">
        <f t="shared" si="6"/>
        <v>2.6</v>
      </c>
      <c r="J57" s="35">
        <v>8</v>
      </c>
      <c r="K57" s="26"/>
      <c r="L57" s="35"/>
      <c r="M57" s="26"/>
      <c r="N57" s="35"/>
      <c r="O57" s="26"/>
      <c r="P57" s="35"/>
      <c r="Q57" s="39">
        <f t="shared" si="2"/>
        <v>5.88</v>
      </c>
      <c r="R57" s="97">
        <f t="shared" si="7"/>
        <v>11.76</v>
      </c>
      <c r="S57" s="40" t="s">
        <v>8</v>
      </c>
      <c r="T57" s="41" t="s">
        <v>11</v>
      </c>
      <c r="U57" s="42" t="str">
        <f>'1. 소켓인수검사'!G59</f>
        <v>지하3층 재활용보관소(오피스텔)</v>
      </c>
    </row>
    <row r="58" spans="1:21">
      <c r="A58" s="50" t="str">
        <f>'1. 소켓인수검사'!A60</f>
        <v>52</v>
      </c>
      <c r="B58" s="65" t="s">
        <v>38</v>
      </c>
      <c r="C58" s="36">
        <f>'1. 소켓인수검사'!C60</f>
        <v>700</v>
      </c>
      <c r="D58" s="36">
        <f>'1. 소켓인수검사'!D60</f>
        <v>300</v>
      </c>
      <c r="E58" s="37"/>
      <c r="F58" s="38">
        <f t="shared" si="4"/>
        <v>0.21</v>
      </c>
      <c r="G58" s="38">
        <f t="shared" si="5"/>
        <v>2</v>
      </c>
      <c r="H58" s="43">
        <v>3</v>
      </c>
      <c r="I58" s="64">
        <f t="shared" si="6"/>
        <v>2.4</v>
      </c>
      <c r="J58" s="35">
        <v>8</v>
      </c>
      <c r="K58" s="26"/>
      <c r="L58" s="35"/>
      <c r="M58" s="26"/>
      <c r="N58" s="35"/>
      <c r="O58" s="26"/>
      <c r="P58" s="35"/>
      <c r="Q58" s="39">
        <f t="shared" si="2"/>
        <v>5.48</v>
      </c>
      <c r="R58" s="97">
        <f t="shared" si="7"/>
        <v>10.96</v>
      </c>
      <c r="S58" s="40" t="s">
        <v>8</v>
      </c>
      <c r="T58" s="41" t="s">
        <v>11</v>
      </c>
      <c r="U58" s="42" t="str">
        <f>'1. 소켓인수검사'!G60</f>
        <v>지하4층 연료전지실</v>
      </c>
    </row>
    <row r="59" spans="1:21">
      <c r="A59" s="50" t="str">
        <f>'1. 소켓인수검사'!A61</f>
        <v>53</v>
      </c>
      <c r="B59" s="65" t="s">
        <v>38</v>
      </c>
      <c r="C59" s="36">
        <f>'1. 소켓인수검사'!C61</f>
        <v>700</v>
      </c>
      <c r="D59" s="36">
        <f>'1. 소켓인수검사'!D61</f>
        <v>400</v>
      </c>
      <c r="E59" s="37"/>
      <c r="F59" s="38">
        <f t="shared" si="4"/>
        <v>0.28000000000000003</v>
      </c>
      <c r="G59" s="38">
        <f t="shared" si="5"/>
        <v>2.2000000000000002</v>
      </c>
      <c r="H59" s="43">
        <v>3</v>
      </c>
      <c r="I59" s="64">
        <f t="shared" si="6"/>
        <v>2.6</v>
      </c>
      <c r="J59" s="35">
        <v>8</v>
      </c>
      <c r="K59" s="26"/>
      <c r="L59" s="35"/>
      <c r="M59" s="26"/>
      <c r="N59" s="35"/>
      <c r="O59" s="26"/>
      <c r="P59" s="35"/>
      <c r="Q59" s="39">
        <f t="shared" si="2"/>
        <v>5.88</v>
      </c>
      <c r="R59" s="97">
        <f t="shared" si="7"/>
        <v>11.76</v>
      </c>
      <c r="S59" s="40" t="s">
        <v>8</v>
      </c>
      <c r="T59" s="41" t="s">
        <v>11</v>
      </c>
      <c r="U59" s="42" t="str">
        <f>'1. 소켓인수검사'!G61</f>
        <v>지하1층 화장실(램프하부)</v>
      </c>
    </row>
    <row r="60" spans="1:21">
      <c r="A60" s="50" t="str">
        <f>'1. 소켓인수검사'!A62</f>
        <v>54</v>
      </c>
      <c r="B60" s="65" t="s">
        <v>38</v>
      </c>
      <c r="C60" s="36">
        <f>'1. 소켓인수검사'!C62</f>
        <v>750</v>
      </c>
      <c r="D60" s="36">
        <f>'1. 소켓인수검사'!D62</f>
        <v>400</v>
      </c>
      <c r="E60" s="37"/>
      <c r="F60" s="38">
        <f t="shared" si="4"/>
        <v>0.3</v>
      </c>
      <c r="G60" s="38">
        <f t="shared" si="5"/>
        <v>2.2999999999999998</v>
      </c>
      <c r="H60" s="43">
        <v>3</v>
      </c>
      <c r="I60" s="64">
        <f t="shared" si="6"/>
        <v>2.6999999999999997</v>
      </c>
      <c r="J60" s="35">
        <v>8</v>
      </c>
      <c r="K60" s="26"/>
      <c r="L60" s="35"/>
      <c r="M60" s="26"/>
      <c r="N60" s="35"/>
      <c r="O60" s="26"/>
      <c r="P60" s="35"/>
      <c r="Q60" s="39">
        <f t="shared" si="2"/>
        <v>6.08</v>
      </c>
      <c r="R60" s="97">
        <f t="shared" si="7"/>
        <v>12.16</v>
      </c>
      <c r="S60" s="40" t="s">
        <v>8</v>
      </c>
      <c r="T60" s="41" t="s">
        <v>11</v>
      </c>
      <c r="U60" s="42" t="str">
        <f>'1. 소켓인수검사'!G62</f>
        <v>지하6층 우수조</v>
      </c>
    </row>
    <row r="61" spans="1:21">
      <c r="A61" s="50" t="str">
        <f>'1. 소켓인수검사'!A63</f>
        <v>55</v>
      </c>
      <c r="B61" s="65" t="s">
        <v>38</v>
      </c>
      <c r="C61" s="36">
        <f>'1. 소켓인수검사'!C63</f>
        <v>750</v>
      </c>
      <c r="D61" s="36">
        <f>'1. 소켓인수검사'!D63</f>
        <v>400</v>
      </c>
      <c r="E61" s="37"/>
      <c r="F61" s="38">
        <f t="shared" si="4"/>
        <v>0.3</v>
      </c>
      <c r="G61" s="38">
        <f t="shared" si="5"/>
        <v>2.2999999999999998</v>
      </c>
      <c r="H61" s="43">
        <v>3</v>
      </c>
      <c r="I61" s="64">
        <f t="shared" si="6"/>
        <v>2.6999999999999997</v>
      </c>
      <c r="J61" s="35">
        <v>8</v>
      </c>
      <c r="K61" s="26"/>
      <c r="L61" s="35"/>
      <c r="M61" s="26"/>
      <c r="N61" s="35"/>
      <c r="O61" s="26"/>
      <c r="P61" s="35"/>
      <c r="Q61" s="39">
        <f t="shared" si="2"/>
        <v>6.08</v>
      </c>
      <c r="R61" s="97">
        <f t="shared" si="7"/>
        <v>12.16</v>
      </c>
      <c r="S61" s="40" t="s">
        <v>8</v>
      </c>
      <c r="T61" s="41" t="s">
        <v>11</v>
      </c>
      <c r="U61" s="42" t="str">
        <f>'1. 소켓인수검사'!G63</f>
        <v>지하6층 우수조</v>
      </c>
    </row>
    <row r="62" spans="1:21">
      <c r="A62" s="50" t="str">
        <f>'1. 소켓인수검사'!A64</f>
        <v>56</v>
      </c>
      <c r="B62" s="65" t="s">
        <v>38</v>
      </c>
      <c r="C62" s="36">
        <f>'1. 소켓인수검사'!C64</f>
        <v>750</v>
      </c>
      <c r="D62" s="36">
        <f>'1. 소켓인수검사'!D64</f>
        <v>550</v>
      </c>
      <c r="E62" s="37"/>
      <c r="F62" s="38">
        <f t="shared" si="4"/>
        <v>0.41249999999999998</v>
      </c>
      <c r="G62" s="38">
        <f t="shared" si="5"/>
        <v>2.6</v>
      </c>
      <c r="H62" s="43">
        <v>3</v>
      </c>
      <c r="I62" s="64">
        <f t="shared" si="6"/>
        <v>3</v>
      </c>
      <c r="J62" s="35">
        <v>8</v>
      </c>
      <c r="K62" s="26"/>
      <c r="L62" s="35"/>
      <c r="M62" s="26"/>
      <c r="N62" s="35"/>
      <c r="O62" s="26"/>
      <c r="P62" s="35"/>
      <c r="Q62" s="39">
        <f t="shared" si="2"/>
        <v>6.68</v>
      </c>
      <c r="R62" s="97">
        <f t="shared" si="7"/>
        <v>13.36</v>
      </c>
      <c r="S62" s="40" t="s">
        <v>8</v>
      </c>
      <c r="T62" s="41" t="s">
        <v>11</v>
      </c>
      <c r="U62" s="42" t="str">
        <f>'1. 소켓인수검사'!G64</f>
        <v>지하1층 공조실(근생)</v>
      </c>
    </row>
    <row r="63" spans="1:21">
      <c r="A63" s="50" t="str">
        <f>'1. 소켓인수검사'!A65</f>
        <v>57</v>
      </c>
      <c r="B63" s="65" t="s">
        <v>38</v>
      </c>
      <c r="C63" s="36">
        <f>'1. 소켓인수검사'!C65</f>
        <v>800</v>
      </c>
      <c r="D63" s="36">
        <f>'1. 소켓인수검사'!D65</f>
        <v>400</v>
      </c>
      <c r="E63" s="37"/>
      <c r="F63" s="38">
        <f t="shared" si="4"/>
        <v>0.32</v>
      </c>
      <c r="G63" s="38">
        <f t="shared" si="5"/>
        <v>2.4</v>
      </c>
      <c r="H63" s="43">
        <v>3</v>
      </c>
      <c r="I63" s="64">
        <f t="shared" si="6"/>
        <v>2.8</v>
      </c>
      <c r="J63" s="35">
        <v>8</v>
      </c>
      <c r="K63" s="26"/>
      <c r="L63" s="35"/>
      <c r="M63" s="26"/>
      <c r="N63" s="35"/>
      <c r="O63" s="26"/>
      <c r="P63" s="35"/>
      <c r="Q63" s="39">
        <f t="shared" si="2"/>
        <v>6.28</v>
      </c>
      <c r="R63" s="97">
        <f t="shared" si="7"/>
        <v>12.56</v>
      </c>
      <c r="S63" s="40" t="s">
        <v>8</v>
      </c>
      <c r="T63" s="41" t="s">
        <v>11</v>
      </c>
      <c r="U63" s="42" t="str">
        <f>'1. 소켓인수검사'!G65</f>
        <v>지하2층 공조실(근생)</v>
      </c>
    </row>
    <row r="64" spans="1:21">
      <c r="A64" s="50" t="str">
        <f>'1. 소켓인수검사'!A66</f>
        <v>58</v>
      </c>
      <c r="B64" s="65" t="s">
        <v>38</v>
      </c>
      <c r="C64" s="36">
        <f>'1. 소켓인수검사'!C66</f>
        <v>800</v>
      </c>
      <c r="D64" s="36">
        <f>'1. 소켓인수검사'!D66</f>
        <v>450</v>
      </c>
      <c r="E64" s="37"/>
      <c r="F64" s="38">
        <f t="shared" si="4"/>
        <v>0.36</v>
      </c>
      <c r="G64" s="38">
        <f t="shared" si="5"/>
        <v>2.5</v>
      </c>
      <c r="H64" s="43">
        <v>3</v>
      </c>
      <c r="I64" s="64">
        <f t="shared" si="6"/>
        <v>2.9</v>
      </c>
      <c r="J64" s="35">
        <v>8</v>
      </c>
      <c r="K64" s="26"/>
      <c r="L64" s="35"/>
      <c r="M64" s="26"/>
      <c r="N64" s="35"/>
      <c r="O64" s="26"/>
      <c r="P64" s="35"/>
      <c r="Q64" s="39">
        <f t="shared" si="2"/>
        <v>6.48</v>
      </c>
      <c r="R64" s="97">
        <f t="shared" si="7"/>
        <v>12.96</v>
      </c>
      <c r="S64" s="40" t="s">
        <v>8</v>
      </c>
      <c r="T64" s="41" t="s">
        <v>11</v>
      </c>
      <c r="U64" s="42" t="str">
        <f>'1. 소켓인수검사'!G66</f>
        <v>지하2층 공조실(근생)</v>
      </c>
    </row>
    <row r="65" spans="1:21">
      <c r="A65" s="50" t="str">
        <f>'1. 소켓인수검사'!A67</f>
        <v>59</v>
      </c>
      <c r="B65" s="65" t="s">
        <v>38</v>
      </c>
      <c r="C65" s="36">
        <f>'1. 소켓인수검사'!C67</f>
        <v>950</v>
      </c>
      <c r="D65" s="36">
        <f>'1. 소켓인수검사'!D67</f>
        <v>400</v>
      </c>
      <c r="E65" s="37"/>
      <c r="F65" s="38">
        <f t="shared" si="4"/>
        <v>0.38</v>
      </c>
      <c r="G65" s="38">
        <f t="shared" si="5"/>
        <v>2.7</v>
      </c>
      <c r="H65" s="43">
        <v>3</v>
      </c>
      <c r="I65" s="64">
        <f t="shared" si="6"/>
        <v>3.1</v>
      </c>
      <c r="J65" s="35">
        <v>8</v>
      </c>
      <c r="K65" s="26"/>
      <c r="L65" s="35"/>
      <c r="M65" s="26"/>
      <c r="N65" s="35"/>
      <c r="O65" s="26"/>
      <c r="P65" s="35"/>
      <c r="Q65" s="39">
        <f t="shared" si="2"/>
        <v>6.88</v>
      </c>
      <c r="R65" s="97">
        <f t="shared" si="7"/>
        <v>13.76</v>
      </c>
      <c r="S65" s="40" t="s">
        <v>8</v>
      </c>
      <c r="T65" s="41" t="s">
        <v>11</v>
      </c>
      <c r="U65" s="42" t="str">
        <f>'1. 소켓인수검사'!G67</f>
        <v>지하1,2층 공조실(근생)</v>
      </c>
    </row>
    <row r="66" spans="1:21">
      <c r="A66" s="50" t="str">
        <f>'1. 소켓인수검사'!A68</f>
        <v>60</v>
      </c>
      <c r="B66" s="65" t="s">
        <v>38</v>
      </c>
      <c r="C66" s="36">
        <f>'1. 소켓인수검사'!C68</f>
        <v>1050</v>
      </c>
      <c r="D66" s="36">
        <f>'1. 소켓인수검사'!D68</f>
        <v>400</v>
      </c>
      <c r="E66" s="37"/>
      <c r="F66" s="38">
        <f t="shared" si="4"/>
        <v>0.42</v>
      </c>
      <c r="G66" s="38">
        <f t="shared" si="5"/>
        <v>2.9</v>
      </c>
      <c r="H66" s="43">
        <v>3</v>
      </c>
      <c r="I66" s="64">
        <f t="shared" si="6"/>
        <v>3.3</v>
      </c>
      <c r="J66" s="35">
        <v>8</v>
      </c>
      <c r="K66" s="26"/>
      <c r="L66" s="35"/>
      <c r="M66" s="26"/>
      <c r="N66" s="35"/>
      <c r="O66" s="26"/>
      <c r="P66" s="35"/>
      <c r="Q66" s="39">
        <f t="shared" si="2"/>
        <v>7.28</v>
      </c>
      <c r="R66" s="97">
        <f t="shared" si="7"/>
        <v>14.56</v>
      </c>
      <c r="S66" s="40" t="s">
        <v>8</v>
      </c>
      <c r="T66" s="41" t="s">
        <v>11</v>
      </c>
      <c r="U66" s="42" t="str">
        <f>'1. 소켓인수검사'!G68</f>
        <v>지하6층 급수펌프,중수조</v>
      </c>
    </row>
    <row r="67" spans="1:21">
      <c r="A67" s="50" t="str">
        <f>'1. 소켓인수검사'!A69</f>
        <v>61</v>
      </c>
      <c r="B67" s="65" t="s">
        <v>38</v>
      </c>
      <c r="C67" s="36">
        <f>'1. 소켓인수검사'!C69</f>
        <v>1050</v>
      </c>
      <c r="D67" s="36">
        <f>'1. 소켓인수검사'!D69</f>
        <v>400</v>
      </c>
      <c r="E67" s="37"/>
      <c r="F67" s="38">
        <f t="shared" si="4"/>
        <v>0.42</v>
      </c>
      <c r="G67" s="38">
        <f t="shared" si="5"/>
        <v>2.9</v>
      </c>
      <c r="H67" s="43">
        <v>3</v>
      </c>
      <c r="I67" s="64">
        <f t="shared" si="6"/>
        <v>3.3</v>
      </c>
      <c r="J67" s="35">
        <v>8</v>
      </c>
      <c r="K67" s="26"/>
      <c r="L67" s="35"/>
      <c r="M67" s="26"/>
      <c r="N67" s="35"/>
      <c r="O67" s="26"/>
      <c r="P67" s="35"/>
      <c r="Q67" s="39">
        <f t="shared" si="2"/>
        <v>7.28</v>
      </c>
      <c r="R67" s="97">
        <f t="shared" si="7"/>
        <v>14.56</v>
      </c>
      <c r="S67" s="40" t="s">
        <v>8</v>
      </c>
      <c r="T67" s="41" t="s">
        <v>11</v>
      </c>
      <c r="U67" s="42" t="str">
        <f>'1. 소켓인수검사'!G69</f>
        <v>지하6층 급수펌프,중수조</v>
      </c>
    </row>
    <row r="68" spans="1:21">
      <c r="A68" s="222" t="s">
        <v>5</v>
      </c>
      <c r="B68" s="223"/>
      <c r="C68" s="223"/>
      <c r="D68" s="63"/>
      <c r="E68" s="46"/>
      <c r="F68" s="46"/>
      <c r="G68" s="46"/>
      <c r="H68" s="45">
        <f>SUM(H7:H67)</f>
        <v>183</v>
      </c>
      <c r="I68" s="69"/>
      <c r="J68" s="45">
        <f>SUM(J7:J67)</f>
        <v>488</v>
      </c>
      <c r="K68" s="69"/>
      <c r="L68" s="45">
        <f>SUM(L7:L67)</f>
        <v>0</v>
      </c>
      <c r="M68" s="69"/>
      <c r="N68" s="45">
        <f>SUM(N7:N67)</f>
        <v>0</v>
      </c>
      <c r="O68" s="69"/>
      <c r="P68" s="45">
        <f>SUM(P7:P67)</f>
        <v>0</v>
      </c>
      <c r="Q68" s="69">
        <f>SUM(Q7:Q67)</f>
        <v>274.68</v>
      </c>
      <c r="R68" s="45">
        <f>SUM(R7:R67)</f>
        <v>549.36</v>
      </c>
      <c r="S68" s="66"/>
      <c r="T68" s="66"/>
      <c r="U68" s="67"/>
    </row>
    <row r="69" spans="1:21" ht="8.1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4"/>
    </row>
    <row r="70" spans="1:21">
      <c r="A70" s="99" t="s">
        <v>45</v>
      </c>
      <c r="B70" s="99"/>
      <c r="C70" s="99"/>
      <c r="D70" s="190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2"/>
    </row>
    <row r="71" spans="1:21">
      <c r="A71" s="99"/>
      <c r="B71" s="99"/>
      <c r="C71" s="99"/>
      <c r="D71" s="227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228"/>
    </row>
    <row r="72" spans="1:21">
      <c r="A72" s="99"/>
      <c r="B72" s="99"/>
      <c r="C72" s="99"/>
      <c r="D72" s="227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228"/>
    </row>
    <row r="73" spans="1:21">
      <c r="A73" s="99"/>
      <c r="B73" s="99"/>
      <c r="C73" s="99"/>
      <c r="D73" s="227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228"/>
    </row>
    <row r="74" spans="1:21">
      <c r="A74" s="99"/>
      <c r="B74" s="99"/>
      <c r="C74" s="99"/>
      <c r="D74" s="227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228"/>
    </row>
    <row r="75" spans="1:21">
      <c r="A75" s="99"/>
      <c r="B75" s="99"/>
      <c r="C75" s="99"/>
      <c r="D75" s="193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94"/>
    </row>
  </sheetData>
  <mergeCells count="24">
    <mergeCell ref="A69:P69"/>
    <mergeCell ref="A70:C75"/>
    <mergeCell ref="Q5:R5"/>
    <mergeCell ref="S5:S6"/>
    <mergeCell ref="T5:T6"/>
    <mergeCell ref="K5:L5"/>
    <mergeCell ref="O5:P5"/>
    <mergeCell ref="M5:N5"/>
    <mergeCell ref="U5:U6"/>
    <mergeCell ref="A68:C68"/>
    <mergeCell ref="F1:J3"/>
    <mergeCell ref="K1:U3"/>
    <mergeCell ref="D70:U75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70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2026-01-07T23:38:07Z</cp:lastPrinted>
  <dcterms:created xsi:type="dcterms:W3CDTF">2025-03-13T00:09:10Z</dcterms:created>
  <dcterms:modified xsi:type="dcterms:W3CDTF">2026-07-15T05:21:09Z</dcterms:modified>
  <cp:version>1200.0100.01</cp:version>
</cp:coreProperties>
</file>