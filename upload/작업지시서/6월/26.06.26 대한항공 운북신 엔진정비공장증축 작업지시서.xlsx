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92032708-B1DD-457B-837B-824CB771712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소켓인수검사'!$A$1:$P$20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18" i="10"/>
  <c r="R8" i="10"/>
  <c r="R7" i="10"/>
  <c r="H1" i="12"/>
  <c r="D19" i="12"/>
  <c r="M19" i="12" s="1"/>
  <c r="C19" i="12"/>
  <c r="K19" i="12" s="1"/>
  <c r="D18" i="12"/>
  <c r="C18" i="12"/>
  <c r="D17" i="12"/>
  <c r="C17" i="12"/>
  <c r="K17" i="12" s="1"/>
  <c r="D16" i="12"/>
  <c r="M16" i="12" s="1"/>
  <c r="C16" i="12"/>
  <c r="D15" i="12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I12" i="12" s="1"/>
  <c r="C12" i="12"/>
  <c r="D11" i="12"/>
  <c r="C11" i="12"/>
  <c r="G11" i="12" s="1"/>
  <c r="D10" i="12"/>
  <c r="M10" i="12" s="1"/>
  <c r="C10" i="12"/>
  <c r="G10" i="12" s="1"/>
  <c r="D9" i="12"/>
  <c r="M9" i="12" s="1"/>
  <c r="C9" i="12"/>
  <c r="G9" i="12" s="1"/>
  <c r="D8" i="12"/>
  <c r="M8" i="12" s="1"/>
  <c r="C8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19" i="12"/>
  <c r="H19" i="12"/>
  <c r="K18" i="12"/>
  <c r="J18" i="12"/>
  <c r="H18" i="12"/>
  <c r="G18" i="12"/>
  <c r="M18" i="12"/>
  <c r="M17" i="12"/>
  <c r="J17" i="12"/>
  <c r="I17" i="12"/>
  <c r="H17" i="12"/>
  <c r="G17" i="12"/>
  <c r="J16" i="12"/>
  <c r="H16" i="12"/>
  <c r="J15" i="12"/>
  <c r="H15" i="12"/>
  <c r="G15" i="12"/>
  <c r="M15" i="12"/>
  <c r="K14" i="12"/>
  <c r="J14" i="12"/>
  <c r="H14" i="12"/>
  <c r="J13" i="12"/>
  <c r="H13" i="12"/>
  <c r="K13" i="12"/>
  <c r="J12" i="12"/>
  <c r="H12" i="12"/>
  <c r="M12" i="12"/>
  <c r="M11" i="12"/>
  <c r="J11" i="12"/>
  <c r="H11" i="12"/>
  <c r="I11" i="12"/>
  <c r="K10" i="12"/>
  <c r="J10" i="12"/>
  <c r="I10" i="12"/>
  <c r="H10" i="12"/>
  <c r="J9" i="12"/>
  <c r="H9" i="12"/>
  <c r="J8" i="12"/>
  <c r="H8" i="12"/>
  <c r="G1" i="2"/>
  <c r="D19" i="2"/>
  <c r="I19" i="2" s="1"/>
  <c r="C19" i="2"/>
  <c r="D18" i="2"/>
  <c r="C18" i="2"/>
  <c r="D17" i="2"/>
  <c r="I17" i="2" s="1"/>
  <c r="C17" i="2"/>
  <c r="D16" i="2"/>
  <c r="C16" i="2"/>
  <c r="D15" i="2"/>
  <c r="C15" i="2"/>
  <c r="D14" i="2"/>
  <c r="C14" i="2"/>
  <c r="G14" i="2" s="1"/>
  <c r="D13" i="2"/>
  <c r="I13" i="2" s="1"/>
  <c r="C13" i="2"/>
  <c r="D12" i="2"/>
  <c r="C12" i="2"/>
  <c r="D11" i="2"/>
  <c r="I11" i="2" s="1"/>
  <c r="C11" i="2"/>
  <c r="D10" i="2"/>
  <c r="C10" i="2"/>
  <c r="K1" i="10"/>
  <c r="P5" i="9"/>
  <c r="N5" i="5"/>
  <c r="D1" i="1"/>
  <c r="P19" i="10"/>
  <c r="H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9" i="2"/>
  <c r="A18" i="2"/>
  <c r="A17" i="2"/>
  <c r="I16" i="2"/>
  <c r="A16" i="2"/>
  <c r="I15" i="2"/>
  <c r="A15" i="2"/>
  <c r="A14" i="2"/>
  <c r="A13" i="2"/>
  <c r="I12" i="2"/>
  <c r="A12" i="2"/>
  <c r="A11" i="2"/>
  <c r="A10" i="2"/>
  <c r="D9" i="2"/>
  <c r="I9" i="2" s="1"/>
  <c r="C9" i="2"/>
  <c r="A9" i="2"/>
  <c r="D8" i="2"/>
  <c r="I8" i="2" s="1"/>
  <c r="C8" i="2"/>
  <c r="G8" i="2" s="1"/>
  <c r="A8" i="2"/>
  <c r="I16" i="12" l="1"/>
  <c r="M14" i="12"/>
  <c r="Q9" i="10"/>
  <c r="Q15" i="10"/>
  <c r="K9" i="12"/>
  <c r="K11" i="12"/>
  <c r="G19" i="12"/>
  <c r="F18" i="9"/>
  <c r="G18" i="9" s="1"/>
  <c r="I18" i="9" s="1"/>
  <c r="M13" i="12"/>
  <c r="I19" i="12"/>
  <c r="K16" i="12"/>
  <c r="G16" i="12"/>
  <c r="I9" i="12"/>
  <c r="K8" i="12"/>
  <c r="G8" i="12"/>
  <c r="I15" i="12"/>
  <c r="I18" i="12"/>
  <c r="K12" i="12"/>
  <c r="G12" i="12"/>
  <c r="I8" i="12"/>
  <c r="I14" i="2"/>
  <c r="G13" i="2"/>
  <c r="G13" i="10"/>
  <c r="I13" i="10" s="1"/>
  <c r="G9" i="2"/>
  <c r="Q17" i="10"/>
  <c r="Q7" i="10"/>
  <c r="F14" i="9"/>
  <c r="G14" i="9" s="1"/>
  <c r="I14" i="9" s="1"/>
  <c r="E21" i="9"/>
  <c r="G17" i="2"/>
  <c r="I10" i="2"/>
  <c r="G16" i="2"/>
  <c r="I18" i="2"/>
  <c r="G19" i="2"/>
  <c r="G11" i="2"/>
  <c r="G18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G17" i="10"/>
  <c r="I17" i="10" s="1"/>
  <c r="G9" i="10"/>
  <c r="I9" i="10" s="1"/>
  <c r="G7" i="10"/>
  <c r="I7" i="10" s="1"/>
  <c r="Q11" i="10"/>
  <c r="G15" i="10"/>
  <c r="I15" i="10" s="1"/>
  <c r="N19" i="10"/>
  <c r="E17" i="9"/>
  <c r="E20" i="9"/>
  <c r="F21" i="9"/>
  <c r="G21" i="9" s="1"/>
  <c r="I21" i="9" s="1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10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G14" i="10"/>
  <c r="I14" i="10" s="1"/>
  <c r="Q14" i="10"/>
  <c r="F14" i="10"/>
  <c r="G16" i="10"/>
  <c r="I16" i="10" s="1"/>
  <c r="Q16" i="10"/>
  <c r="F16" i="10"/>
  <c r="G18" i="10"/>
  <c r="I18" i="10" s="1"/>
  <c r="Q18" i="10"/>
  <c r="F18" i="10"/>
  <c r="J19" i="10"/>
  <c r="L19" i="10"/>
  <c r="F7" i="10"/>
  <c r="F9" i="10"/>
  <c r="F11" i="10"/>
  <c r="F13" i="10"/>
  <c r="F15" i="10"/>
  <c r="F17" i="10"/>
  <c r="O22" i="9" l="1"/>
  <c r="G25" i="9" s="1"/>
  <c r="R19" i="10"/>
  <c r="Q19" i="10"/>
  <c r="I22" i="9" l="1"/>
  <c r="G23" i="9" s="1"/>
  <c r="R22" i="9"/>
  <c r="G26" i="9" s="1"/>
  <c r="L22" i="9"/>
  <c r="G2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<sst xmlns="http://schemas.openxmlformats.org/spreadsheetml/2006/main" count="265" uniqueCount="106">
  <si>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</si>
  <si>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</si>
  <si>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</si>
  <si>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</si>
  <si>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</si>
  <si>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</si>
  <si>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</si>
  <si>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</si>
  <si>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</si>
  <si>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</si>
  <si>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</si>
  <si>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</si>
  <si>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</si>
  <si>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</si>
  <si>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</si>
  <si>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</si>
  <si>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</si>
  <si>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</si>
  <si>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</si>
  <si>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</si>
  <si>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</si>
  <si>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</si>
  <si>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</si>
  <si>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</si>
  <si>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</si>
  <si>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</si>
  <si>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</si>
  <si>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</si>
  <si>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</si>
  <si>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</si>
  <si>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</si>
  <si>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</si>
  <si>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</si>
  <si>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</si>
  <si>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</si>
  <si>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</si>
  <si>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</si>
  <si>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</si>
  <si>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</si>
  <si>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</si>
  <si>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</si>
  <si>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</si>
  <si>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</si>
  <si>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</si>
  <si>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</si>
  <si>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</si>
  <si>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</si>
  <si>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</si>
  <si>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</si>
  <si>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</si>
  <si>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</si>
  <si>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</si>
  <si>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</si>
  <si>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</si>
  <si>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</si>
  <si>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</si>
  <si>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</si>
  <si>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</si>
  <si>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</si>
  <si>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</si>
  <si>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</si>
  <si>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</si>
  <si>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</si>
  <si>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</si>
  <si>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</si>
  <si>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</si>
  <si>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</si>
  <si>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</si>
  <si>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</si>
  <si>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</si>
  <si>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</si>
  <si>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</si>
  <si>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</si>
  <si>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</si>
  <si>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</si>
  <si>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</si>
  <si>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</si>
  <si>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</si>
  <si>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</si>
  <si>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</si>
  <si>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</si>
  <si>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</si>
  <si>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재단작업지시서차열재</t>
    <phoneticPr fontId="25" type="noConversion"/>
  </si>
  <si>
    <t>B1F PS-1</t>
  </si>
  <si>
    <t>B1F PS-2</t>
  </si>
  <si>
    <t>B1F PS-13</t>
  </si>
  <si>
    <r>
      <t>B2F 여자화장실</t>
    </r>
    <r>
      <rPr>
        <b/>
        <sz val="10"/>
        <color rgb="FF000000"/>
        <rFont val="Helvetica Neue"/>
        <family val="2"/>
      </rPr>
      <t>(B288)</t>
    </r>
  </si>
  <si>
    <r>
      <t xml:space="preserve">B2F </t>
    </r>
    <r>
      <rPr>
        <b/>
        <sz val="10"/>
        <color rgb="FF000000"/>
        <rFont val="Helvetica Neue"/>
      </rPr>
      <t>남자화장실</t>
    </r>
    <r>
      <rPr>
        <b/>
        <sz val="10"/>
        <color rgb="FF000000"/>
        <rFont val="Helvetica Neue"/>
        <family val="2"/>
      </rPr>
      <t>(B287)</t>
    </r>
  </si>
  <si>
    <r>
      <t xml:space="preserve">B1F </t>
    </r>
    <r>
      <rPr>
        <b/>
        <sz val="10"/>
        <color rgb="FF000000"/>
        <rFont val="Helvetica Neue"/>
      </rPr>
      <t>복도</t>
    </r>
    <r>
      <rPr>
        <b/>
        <sz val="10"/>
        <color rgb="FF000000"/>
        <rFont val="Helvetica Neue"/>
        <family val="2"/>
      </rPr>
      <t>-1(B182)</t>
    </r>
  </si>
  <si>
    <r>
      <t xml:space="preserve">B1F </t>
    </r>
    <r>
      <rPr>
        <b/>
        <sz val="10"/>
        <color rgb="FF000000"/>
        <rFont val="Helvetica Neue"/>
      </rPr>
      <t>재활용폐기물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Helvetica Neue"/>
      </rPr>
      <t>창고</t>
    </r>
  </si>
  <si>
    <r>
      <t xml:space="preserve">B1F </t>
    </r>
    <r>
      <rPr>
        <b/>
        <sz val="10"/>
        <color rgb="FF000000"/>
        <rFont val="Helvetica Neue"/>
      </rPr>
      <t>락커룸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Helvetica Neue"/>
      </rPr>
      <t>남</t>
    </r>
    <r>
      <rPr>
        <b/>
        <sz val="10"/>
        <color rgb="FF000000"/>
        <rFont val="Helvetica Neue"/>
        <family val="2"/>
      </rPr>
      <t>)</t>
    </r>
  </si>
  <si>
    <r>
      <t xml:space="preserve">B1F </t>
    </r>
    <r>
      <rPr>
        <b/>
        <sz val="10"/>
        <color rgb="FF000000"/>
        <rFont val="Helvetica Neue"/>
      </rPr>
      <t>우수조실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Helvetica Neue"/>
      </rPr>
      <t>관리층</t>
    </r>
  </si>
  <si>
    <r>
      <t xml:space="preserve">B1F </t>
    </r>
    <r>
      <rPr>
        <b/>
        <sz val="10"/>
        <color rgb="FF000000"/>
        <rFont val="Helvetica Neue"/>
      </rPr>
      <t>소화수조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Helvetica Neue"/>
      </rPr>
      <t>루버</t>
    </r>
  </si>
  <si>
    <r>
      <t xml:space="preserve">260626 </t>
    </r>
    <r>
      <rPr>
        <sz val="10"/>
        <color rgb="FF000000"/>
        <rFont val="맑은 고딕"/>
        <family val="3"/>
        <charset val="129"/>
      </rPr>
      <t>대한항공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운북신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엔진정비공장증축</t>
    </r>
    <phoneticPr fontId="25" type="noConversion"/>
  </si>
  <si>
    <t>AJ067</t>
    <phoneticPr fontId="25" type="noConversion"/>
  </si>
  <si>
    <t>AJ068</t>
  </si>
  <si>
    <t>AJ069</t>
  </si>
  <si>
    <t>AJ070</t>
  </si>
  <si>
    <t>AJ071</t>
  </si>
  <si>
    <t>AJ072</t>
  </si>
  <si>
    <t>AJ073</t>
  </si>
  <si>
    <t>AJ074</t>
  </si>
  <si>
    <t>AJ075</t>
  </si>
  <si>
    <t>AJ076</t>
  </si>
  <si>
    <t>AJ077</t>
  </si>
  <si>
    <t>AJ078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</si>
</sst>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0"/>
      <color rgb="FF000000"/>
      <name val="Helvetica Neue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4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6" fillId="0" borderId="0" xfId="4" applyFont="1">
      <alignment vertical="center"/>
    </xf>
    <xf numFmtId="0" fontId="31" fillId="0" borderId="19" xfId="4" applyFont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7" xfId="2" applyFont="1" applyFill="1" applyBorder="1" applyAlignment="1">
      <alignment horizontal="center" vertical="center" wrapText="1"/>
    </xf>
    <xf numFmtId="0" fontId="2" fillId="7" borderId="18" xfId="4" applyFont="1" applyFill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6" fillId="0" borderId="36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8" xfId="4" applyFont="1" applyBorder="1" applyAlignment="1">
      <alignment horizontal="center" vertical="center" wrapText="1"/>
    </xf>
    <xf numFmtId="0" fontId="26" fillId="0" borderId="33" xfId="4" applyFont="1" applyBorder="1" applyAlignment="1">
      <alignment horizontal="center" vertical="center" wrapText="1"/>
    </xf>
    <xf numFmtId="0" fontId="27" fillId="0" borderId="34" xfId="4" applyFont="1" applyBorder="1" applyAlignment="1">
      <alignment horizontal="center" vertical="center" shrinkToFit="1"/>
    </xf>
    <xf numFmtId="0" fontId="27" fillId="0" borderId="35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7" xfId="4" applyFont="1" applyBorder="1" applyAlignment="1">
      <alignment horizontal="center" vertical="center" shrinkToFit="1"/>
    </xf>
    <xf numFmtId="0" fontId="27" fillId="0" borderId="33" xfId="4" applyFont="1" applyBorder="1" applyAlignment="1">
      <alignment horizontal="center" vertical="center" shrinkToFit="1"/>
    </xf>
    <xf numFmtId="0" fontId="27" fillId="0" borderId="39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29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8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7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8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77" fontId="0" fillId="2" borderId="32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21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0"/>
  <sheetViews>
    <sheetView view="pageBreakPreview" zoomScale="120" zoomScaleNormal="120" zoomScaleSheetLayoutView="120" workbookViewId="0">
      <pane ySplit="8" topLeftCell="A9" activePane="bottomLeft" state="frozen"/>
      <selection pane="bottomLeft" activeCell="B9" sqref="B9:B20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68</v>
      </c>
      <c r="B1" s="119"/>
      <c r="C1" s="119"/>
      <c r="D1" s="124" t="str">
        <f>R2</f>
        <v>260626 대한항공 운북신 엔진정비공장증축</v>
      </c>
      <c r="E1" s="124"/>
      <c r="F1" s="124"/>
      <c r="G1" s="125"/>
      <c r="R1" s="95" t="s">
        <v>63</v>
      </c>
    </row>
    <row r="2" spans="1:18" ht="16.5" customHeight="1">
      <c r="A2" s="120"/>
      <c r="B2" s="121"/>
      <c r="C2" s="121"/>
      <c r="D2" s="126"/>
      <c r="E2" s="126"/>
      <c r="F2" s="126"/>
      <c r="G2" s="127"/>
      <c r="R2" s="68" t="s">
        <v>93</v>
      </c>
    </row>
    <row r="3" spans="1:18" ht="16.5" customHeight="1">
      <c r="A3" s="120"/>
      <c r="B3" s="121"/>
      <c r="C3" s="121"/>
      <c r="D3" s="126"/>
      <c r="E3" s="126"/>
      <c r="F3" s="126"/>
      <c r="G3" s="127"/>
    </row>
    <row r="4" spans="1:18" ht="17.25" customHeight="1" thickBot="1">
      <c r="A4" s="122"/>
      <c r="B4" s="123"/>
      <c r="C4" s="123"/>
      <c r="D4" s="128"/>
      <c r="E4" s="128"/>
      <c r="F4" s="128"/>
      <c r="G4" s="129"/>
    </row>
    <row r="5" spans="1:18" ht="6.75" customHeight="1" thickTop="1">
      <c r="A5" s="69"/>
      <c r="B5" s="69"/>
      <c r="C5" s="69"/>
      <c r="D5" s="69"/>
      <c r="E5" s="69"/>
      <c r="F5" s="69"/>
      <c r="G5" s="69"/>
    </row>
    <row r="6" spans="1:18" s="10" customFormat="1" ht="18" customHeight="1" thickBot="1">
      <c r="A6" s="130" t="s">
        <v>1</v>
      </c>
      <c r="B6" s="132" t="s">
        <v>62</v>
      </c>
      <c r="C6" s="132" t="s">
        <v>4</v>
      </c>
      <c r="D6" s="132"/>
      <c r="E6" s="132" t="s">
        <v>42</v>
      </c>
      <c r="F6" s="132" t="s">
        <v>37</v>
      </c>
      <c r="G6" s="133" t="s">
        <v>17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131"/>
      <c r="B7" s="118"/>
      <c r="C7" s="118" t="s">
        <v>59</v>
      </c>
      <c r="D7" s="118" t="s">
        <v>57</v>
      </c>
      <c r="E7" s="118"/>
      <c r="F7" s="118"/>
      <c r="G7" s="13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1"/>
      <c r="B8" s="118"/>
      <c r="C8" s="118"/>
      <c r="D8" s="118"/>
      <c r="E8" s="118"/>
      <c r="F8" s="118"/>
      <c r="G8" s="134"/>
      <c r="H8" s="11"/>
      <c r="I8" s="12"/>
      <c r="J8" s="12"/>
      <c r="K8" s="12"/>
      <c r="L8" s="12"/>
      <c r="M8" s="12"/>
      <c r="N8" s="12"/>
      <c r="O8" s="8"/>
    </row>
    <row r="9" spans="1:18" s="10" customFormat="1" ht="26.25" thickBot="1">
      <c r="A9" s="78" t="s">
        <v>70</v>
      </c>
      <c r="B9" s="50" t="s">
        <v>15</v>
      </c>
      <c r="C9" s="26">
        <v>200</v>
      </c>
      <c r="D9" s="26">
        <v>200</v>
      </c>
      <c r="E9" s="70"/>
      <c r="F9" s="70"/>
      <c r="G9" s="71" t="s">
        <v>86</v>
      </c>
      <c r="H9" s="13"/>
      <c r="I9" s="23"/>
      <c r="J9" s="21"/>
      <c r="K9" s="17"/>
      <c r="L9" s="18"/>
      <c r="M9" s="19"/>
      <c r="N9" s="21"/>
      <c r="O9" s="8"/>
      <c r="Q9" s="10" t="s">
        <v>94</v>
      </c>
    </row>
    <row r="10" spans="1:18" s="10" customFormat="1" ht="26.25" thickBot="1">
      <c r="A10" s="78" t="s">
        <v>71</v>
      </c>
      <c r="B10" s="50" t="s">
        <v>15</v>
      </c>
      <c r="C10" s="26">
        <v>250</v>
      </c>
      <c r="D10" s="26">
        <v>200</v>
      </c>
      <c r="E10" s="55"/>
      <c r="F10" s="70"/>
      <c r="G10" s="96" t="s">
        <v>87</v>
      </c>
      <c r="H10" s="13"/>
      <c r="I10" s="23"/>
      <c r="J10" s="21"/>
      <c r="K10" s="17"/>
      <c r="L10" s="18"/>
      <c r="M10" s="19"/>
      <c r="N10" s="21"/>
      <c r="O10" s="8"/>
      <c r="Q10" s="10" t="s">
        <v>95</v>
      </c>
    </row>
    <row r="11" spans="1:18" s="10" customFormat="1" ht="26.25" thickBot="1">
      <c r="A11" s="78" t="s">
        <v>72</v>
      </c>
      <c r="B11" s="50" t="s">
        <v>15</v>
      </c>
      <c r="C11" s="26">
        <v>500</v>
      </c>
      <c r="D11" s="26">
        <v>400</v>
      </c>
      <c r="E11" s="55"/>
      <c r="F11" s="70"/>
      <c r="G11" s="96" t="s">
        <v>88</v>
      </c>
      <c r="H11" s="13"/>
      <c r="I11" s="23"/>
      <c r="J11" s="21"/>
      <c r="K11" s="17"/>
      <c r="L11" s="18"/>
      <c r="M11" s="19"/>
      <c r="N11" s="21"/>
      <c r="O11" s="8"/>
      <c r="Q11" s="10" t="s">
        <v>96</v>
      </c>
    </row>
    <row r="12" spans="1:18" s="10" customFormat="1" ht="17.25" thickBot="1">
      <c r="A12" s="78" t="s">
        <v>73</v>
      </c>
      <c r="B12" s="50" t="s">
        <v>15</v>
      </c>
      <c r="C12" s="26">
        <v>500</v>
      </c>
      <c r="D12" s="26">
        <v>400</v>
      </c>
      <c r="E12" s="55"/>
      <c r="F12" s="70"/>
      <c r="G12" s="96" t="s">
        <v>83</v>
      </c>
      <c r="H12" s="13"/>
      <c r="I12" s="23"/>
      <c r="J12" s="21"/>
      <c r="K12" s="17"/>
      <c r="L12" s="18"/>
      <c r="M12" s="19"/>
      <c r="N12" s="21"/>
      <c r="O12" s="8"/>
      <c r="Q12" s="10" t="s">
        <v>97</v>
      </c>
    </row>
    <row r="13" spans="1:18" s="10" customFormat="1" ht="27" thickBot="1">
      <c r="A13" s="78" t="s">
        <v>74</v>
      </c>
      <c r="B13" s="50" t="s">
        <v>15</v>
      </c>
      <c r="C13" s="26">
        <v>500</v>
      </c>
      <c r="D13" s="26">
        <v>450</v>
      </c>
      <c r="E13" s="55"/>
      <c r="F13" s="70"/>
      <c r="G13" s="96" t="s">
        <v>84</v>
      </c>
      <c r="H13" s="13"/>
      <c r="I13" s="12"/>
      <c r="J13" s="12"/>
      <c r="K13" s="17"/>
      <c r="L13" s="18"/>
      <c r="M13" s="19"/>
      <c r="N13" s="12"/>
      <c r="O13" s="8"/>
      <c r="Q13" s="10" t="s">
        <v>98</v>
      </c>
    </row>
    <row r="14" spans="1:18" s="10" customFormat="1" ht="17.25" thickBot="1">
      <c r="A14" s="78" t="s">
        <v>75</v>
      </c>
      <c r="B14" s="50" t="s">
        <v>15</v>
      </c>
      <c r="C14" s="26">
        <v>700</v>
      </c>
      <c r="D14" s="26">
        <v>400</v>
      </c>
      <c r="E14" s="55"/>
      <c r="F14" s="70"/>
      <c r="G14" s="96" t="s">
        <v>84</v>
      </c>
      <c r="H14" s="13"/>
      <c r="I14" s="23"/>
      <c r="J14" s="21"/>
      <c r="K14" s="17"/>
      <c r="L14" s="18"/>
      <c r="M14" s="19"/>
      <c r="N14" s="21"/>
      <c r="O14" s="8"/>
      <c r="Q14" s="10" t="s">
        <v>99</v>
      </c>
    </row>
    <row r="15" spans="1:18" s="10" customFormat="1" ht="26.25" thickBot="1">
      <c r="A15" s="78" t="s">
        <v>76</v>
      </c>
      <c r="B15" s="50" t="s">
        <v>15</v>
      </c>
      <c r="C15" s="26">
        <v>700</v>
      </c>
      <c r="D15" s="26">
        <v>500</v>
      </c>
      <c r="E15" s="55"/>
      <c r="F15" s="70"/>
      <c r="G15" s="96" t="s">
        <v>89</v>
      </c>
      <c r="H15" s="13"/>
      <c r="I15" s="22"/>
      <c r="J15" s="20"/>
      <c r="K15" s="17"/>
      <c r="L15" s="18"/>
      <c r="M15" s="19"/>
      <c r="N15" s="20"/>
      <c r="O15" s="8"/>
      <c r="Q15" s="10" t="s">
        <v>100</v>
      </c>
    </row>
    <row r="16" spans="1:18" s="10" customFormat="1" ht="17.25" thickBot="1">
      <c r="A16" s="78" t="s">
        <v>77</v>
      </c>
      <c r="B16" s="50" t="s">
        <v>15</v>
      </c>
      <c r="C16" s="26">
        <v>700</v>
      </c>
      <c r="D16" s="26">
        <v>500</v>
      </c>
      <c r="E16" s="55"/>
      <c r="F16" s="70"/>
      <c r="G16" s="96" t="s">
        <v>90</v>
      </c>
      <c r="H16" s="13"/>
      <c r="I16" s="23"/>
      <c r="J16" s="21"/>
      <c r="K16" s="17"/>
      <c r="L16" s="18"/>
      <c r="M16" s="19"/>
      <c r="N16" s="21"/>
      <c r="O16" s="8"/>
      <c r="Q16" s="10" t="s">
        <v>101</v>
      </c>
    </row>
    <row r="17" spans="1:17" s="10" customFormat="1" ht="17.25" thickBot="1">
      <c r="A17" s="78" t="s">
        <v>78</v>
      </c>
      <c r="B17" s="50" t="s">
        <v>15</v>
      </c>
      <c r="C17" s="26">
        <v>700</v>
      </c>
      <c r="D17" s="26">
        <v>500</v>
      </c>
      <c r="E17" s="55"/>
      <c r="F17" s="70"/>
      <c r="G17" s="96" t="s">
        <v>85</v>
      </c>
      <c r="H17" s="13"/>
      <c r="I17" s="23"/>
      <c r="J17" s="21"/>
      <c r="K17" s="17"/>
      <c r="L17" s="18"/>
      <c r="M17" s="19"/>
      <c r="N17" s="21"/>
      <c r="O17" s="8"/>
      <c r="Q17" s="10" t="s">
        <v>102</v>
      </c>
    </row>
    <row r="18" spans="1:17" s="10" customFormat="1" ht="17.25" thickBot="1">
      <c r="A18" s="78" t="s">
        <v>79</v>
      </c>
      <c r="B18" s="50" t="s">
        <v>15</v>
      </c>
      <c r="C18" s="26">
        <v>700</v>
      </c>
      <c r="D18" s="26">
        <v>500</v>
      </c>
      <c r="E18" s="55"/>
      <c r="F18" s="70"/>
      <c r="G18" s="96" t="s">
        <v>85</v>
      </c>
      <c r="H18" s="13"/>
      <c r="I18" s="23"/>
      <c r="J18" s="21"/>
      <c r="K18" s="17"/>
      <c r="L18" s="18"/>
      <c r="M18" s="19"/>
      <c r="N18" s="21"/>
      <c r="O18" s="8"/>
      <c r="Q18" s="10" t="s">
        <v>103</v>
      </c>
    </row>
    <row r="19" spans="1:17" s="10" customFormat="1" ht="26.25" thickBot="1">
      <c r="A19" s="78" t="s">
        <v>80</v>
      </c>
      <c r="B19" s="50" t="s">
        <v>15</v>
      </c>
      <c r="C19" s="26">
        <v>800</v>
      </c>
      <c r="D19" s="26">
        <v>450</v>
      </c>
      <c r="E19" s="55"/>
      <c r="F19" s="70"/>
      <c r="G19" s="96" t="s">
        <v>91</v>
      </c>
      <c r="H19" s="13"/>
      <c r="I19" s="23"/>
      <c r="J19" s="21"/>
      <c r="K19" s="17"/>
      <c r="L19" s="18"/>
      <c r="M19" s="19"/>
      <c r="N19" s="21"/>
      <c r="O19" s="8"/>
      <c r="Q19" s="10" t="s">
        <v>104</v>
      </c>
    </row>
    <row r="20" spans="1:17" s="10" customFormat="1" ht="25.5">
      <c r="A20" s="78" t="s">
        <v>81</v>
      </c>
      <c r="B20" s="50" t="s">
        <v>15</v>
      </c>
      <c r="C20" s="26">
        <v>800</v>
      </c>
      <c r="D20" s="26">
        <v>500</v>
      </c>
      <c r="E20" s="70"/>
      <c r="F20" s="70"/>
      <c r="G20" s="96" t="s">
        <v>92</v>
      </c>
      <c r="H20" s="13"/>
      <c r="I20" s="23"/>
      <c r="J20" s="21"/>
      <c r="K20" s="17"/>
      <c r="L20" s="18"/>
      <c r="M20" s="19"/>
      <c r="N20" s="21"/>
      <c r="O20" s="8"/>
      <c r="Q20" s="10" t="s">
        <v>105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3"/>
  <sheetViews>
    <sheetView zoomScaleNormal="100" zoomScaleSheetLayoutView="100" workbookViewId="0">
      <selection activeCell="G31" sqref="G3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03" t="s">
        <v>64</v>
      </c>
      <c r="F1" s="104"/>
      <c r="G1" s="104"/>
      <c r="H1" s="104" t="str">
        <f>'1. 소켓인수검사'!R2</f>
        <v>260626 대한항공 운북신 엔진정비공장증축</v>
      </c>
      <c r="I1" s="104"/>
      <c r="J1" s="104"/>
      <c r="K1" s="104"/>
      <c r="L1" s="104"/>
      <c r="M1" s="104"/>
      <c r="N1" s="104"/>
      <c r="O1" s="109"/>
    </row>
    <row r="2" spans="1:15" ht="16.5" customHeight="1">
      <c r="A2" s="1"/>
      <c r="B2" s="1"/>
      <c r="C2" s="1"/>
      <c r="D2" s="1"/>
      <c r="E2" s="105"/>
      <c r="F2" s="106"/>
      <c r="G2" s="106"/>
      <c r="H2" s="106"/>
      <c r="I2" s="106"/>
      <c r="J2" s="106"/>
      <c r="K2" s="106"/>
      <c r="L2" s="106"/>
      <c r="M2" s="106"/>
      <c r="N2" s="106"/>
      <c r="O2" s="110"/>
    </row>
    <row r="3" spans="1:15" ht="16.5" customHeight="1">
      <c r="A3" s="1"/>
      <c r="B3" s="1"/>
      <c r="C3" s="1"/>
      <c r="D3" s="1"/>
      <c r="E3" s="107"/>
      <c r="F3" s="108"/>
      <c r="G3" s="108"/>
      <c r="H3" s="108"/>
      <c r="I3" s="108"/>
      <c r="J3" s="108"/>
      <c r="K3" s="108"/>
      <c r="L3" s="108"/>
      <c r="M3" s="108"/>
      <c r="N3" s="108"/>
      <c r="O3" s="111"/>
    </row>
    <row r="4" spans="1:15" ht="8.1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</row>
    <row r="5" spans="1:15" ht="26.45" customHeight="1">
      <c r="A5" s="113" t="s">
        <v>52</v>
      </c>
      <c r="B5" s="114" t="s">
        <v>62</v>
      </c>
      <c r="C5" s="102" t="s">
        <v>4</v>
      </c>
      <c r="D5" s="102"/>
      <c r="E5" s="102" t="s">
        <v>23</v>
      </c>
      <c r="F5" s="99" t="s">
        <v>50</v>
      </c>
      <c r="G5" s="97" t="s">
        <v>19</v>
      </c>
      <c r="H5" s="98"/>
      <c r="I5" s="98"/>
      <c r="J5" s="117"/>
      <c r="K5" s="97" t="s">
        <v>33</v>
      </c>
      <c r="L5" s="98"/>
      <c r="M5" s="98"/>
      <c r="N5" s="98"/>
      <c r="O5" s="99" t="s">
        <v>2</v>
      </c>
    </row>
    <row r="6" spans="1:15" ht="16.5" customHeight="1">
      <c r="A6" s="113"/>
      <c r="B6" s="115"/>
      <c r="C6" s="102" t="s">
        <v>59</v>
      </c>
      <c r="D6" s="102" t="s">
        <v>57</v>
      </c>
      <c r="E6" s="102"/>
      <c r="F6" s="100"/>
      <c r="G6" s="102" t="s">
        <v>59</v>
      </c>
      <c r="H6" s="102"/>
      <c r="I6" s="102" t="s">
        <v>57</v>
      </c>
      <c r="J6" s="102"/>
      <c r="K6" s="102" t="s">
        <v>61</v>
      </c>
      <c r="L6" s="102"/>
      <c r="M6" s="97" t="s">
        <v>58</v>
      </c>
      <c r="N6" s="98"/>
      <c r="O6" s="100"/>
    </row>
    <row r="7" spans="1:15">
      <c r="A7" s="113"/>
      <c r="B7" s="116"/>
      <c r="C7" s="102"/>
      <c r="D7" s="102"/>
      <c r="E7" s="102"/>
      <c r="F7" s="101"/>
      <c r="G7" s="79" t="s">
        <v>4</v>
      </c>
      <c r="H7" s="79" t="s">
        <v>30</v>
      </c>
      <c r="I7" s="82" t="s">
        <v>4</v>
      </c>
      <c r="J7" s="81" t="s">
        <v>30</v>
      </c>
      <c r="K7" s="79" t="s">
        <v>4</v>
      </c>
      <c r="L7" s="79" t="s">
        <v>50</v>
      </c>
      <c r="M7" s="79" t="s">
        <v>4</v>
      </c>
      <c r="N7" s="80" t="s">
        <v>50</v>
      </c>
      <c r="O7" s="101"/>
    </row>
    <row r="8" spans="1:15">
      <c r="A8" s="83" t="str">
        <f>'1. 소켓인수검사'!A9</f>
        <v>01</v>
      </c>
      <c r="B8" s="84" t="s">
        <v>15</v>
      </c>
      <c r="C8" s="53">
        <f>'1. 소켓인수검사'!C9</f>
        <v>200</v>
      </c>
      <c r="D8" s="53">
        <f>'1. 소켓인수검사'!D9</f>
        <v>200</v>
      </c>
      <c r="E8" s="47"/>
      <c r="F8" s="53">
        <v>1</v>
      </c>
      <c r="G8" s="85">
        <f>C8-5</f>
        <v>195</v>
      </c>
      <c r="H8" s="53">
        <f t="shared" ref="H8:H19" si="0">F8*4</f>
        <v>4</v>
      </c>
      <c r="I8" s="86">
        <f t="shared" ref="I8:I19" si="1">D8-30</f>
        <v>170</v>
      </c>
      <c r="J8" s="53">
        <f t="shared" ref="J8:J19" si="2">F8*4</f>
        <v>4</v>
      </c>
      <c r="K8" s="87">
        <f t="shared" ref="K8:K19" si="3">C8+60</f>
        <v>260</v>
      </c>
      <c r="L8" s="53">
        <v>2</v>
      </c>
      <c r="M8" s="87">
        <f>D8</f>
        <v>200</v>
      </c>
      <c r="N8" s="53">
        <v>2</v>
      </c>
      <c r="O8" s="48"/>
    </row>
    <row r="9" spans="1:15">
      <c r="A9" s="88" t="str">
        <f>'1. 소켓인수검사'!A10</f>
        <v>02</v>
      </c>
      <c r="B9" s="89" t="s">
        <v>15</v>
      </c>
      <c r="C9" s="54">
        <f>'1. 소켓인수검사'!C10</f>
        <v>250</v>
      </c>
      <c r="D9" s="54">
        <f>'1. 소켓인수검사'!D10</f>
        <v>200</v>
      </c>
      <c r="E9" s="36"/>
      <c r="F9" s="54">
        <v>1</v>
      </c>
      <c r="G9" s="90">
        <f t="shared" ref="G9:G19" si="4">C9-5</f>
        <v>245</v>
      </c>
      <c r="H9" s="54">
        <f t="shared" si="0"/>
        <v>4</v>
      </c>
      <c r="I9" s="91">
        <f t="shared" si="1"/>
        <v>170</v>
      </c>
      <c r="J9" s="54">
        <f t="shared" si="2"/>
        <v>4</v>
      </c>
      <c r="K9" s="92">
        <f t="shared" si="3"/>
        <v>310</v>
      </c>
      <c r="L9" s="54">
        <v>2</v>
      </c>
      <c r="M9" s="92">
        <f t="shared" ref="M9:M19" si="5">D9</f>
        <v>200</v>
      </c>
      <c r="N9" s="54">
        <v>2</v>
      </c>
      <c r="O9" s="93"/>
    </row>
    <row r="10" spans="1:15">
      <c r="A10" s="88" t="str">
        <f>'1. 소켓인수검사'!A11</f>
        <v>03</v>
      </c>
      <c r="B10" s="89" t="s">
        <v>15</v>
      </c>
      <c r="C10" s="54">
        <f>'1. 소켓인수검사'!C11</f>
        <v>500</v>
      </c>
      <c r="D10" s="54">
        <f>'1. 소켓인수검사'!D11</f>
        <v>400</v>
      </c>
      <c r="E10" s="36"/>
      <c r="F10" s="54">
        <v>1</v>
      </c>
      <c r="G10" s="90">
        <f t="shared" si="4"/>
        <v>495</v>
      </c>
      <c r="H10" s="54">
        <f t="shared" si="0"/>
        <v>4</v>
      </c>
      <c r="I10" s="91">
        <f t="shared" si="1"/>
        <v>370</v>
      </c>
      <c r="J10" s="54">
        <f t="shared" si="2"/>
        <v>4</v>
      </c>
      <c r="K10" s="92">
        <f t="shared" si="3"/>
        <v>560</v>
      </c>
      <c r="L10" s="54">
        <v>2</v>
      </c>
      <c r="M10" s="92">
        <f t="shared" si="5"/>
        <v>400</v>
      </c>
      <c r="N10" s="54">
        <v>2</v>
      </c>
      <c r="O10" s="93"/>
    </row>
    <row r="11" spans="1:15">
      <c r="A11" s="88" t="str">
        <f>'1. 소켓인수검사'!A12</f>
        <v>04</v>
      </c>
      <c r="B11" s="89" t="s">
        <v>15</v>
      </c>
      <c r="C11" s="54">
        <f>'1. 소켓인수검사'!C12</f>
        <v>500</v>
      </c>
      <c r="D11" s="54">
        <f>'1. 소켓인수검사'!D12</f>
        <v>400</v>
      </c>
      <c r="E11" s="36"/>
      <c r="F11" s="54">
        <v>1</v>
      </c>
      <c r="G11" s="90">
        <f t="shared" si="4"/>
        <v>495</v>
      </c>
      <c r="H11" s="54">
        <f t="shared" si="0"/>
        <v>4</v>
      </c>
      <c r="I11" s="91">
        <f t="shared" si="1"/>
        <v>370</v>
      </c>
      <c r="J11" s="54">
        <f t="shared" si="2"/>
        <v>4</v>
      </c>
      <c r="K11" s="92">
        <f t="shared" si="3"/>
        <v>560</v>
      </c>
      <c r="L11" s="54">
        <v>2</v>
      </c>
      <c r="M11" s="92">
        <f t="shared" si="5"/>
        <v>400</v>
      </c>
      <c r="N11" s="54">
        <v>2</v>
      </c>
      <c r="O11" s="93"/>
    </row>
    <row r="12" spans="1:15">
      <c r="A12" s="88" t="str">
        <f>'1. 소켓인수검사'!A13</f>
        <v>05</v>
      </c>
      <c r="B12" s="89" t="s">
        <v>15</v>
      </c>
      <c r="C12" s="54">
        <f>'1. 소켓인수검사'!C13</f>
        <v>500</v>
      </c>
      <c r="D12" s="54">
        <f>'1. 소켓인수검사'!D13</f>
        <v>450</v>
      </c>
      <c r="E12" s="36"/>
      <c r="F12" s="54">
        <v>1</v>
      </c>
      <c r="G12" s="90">
        <f t="shared" si="4"/>
        <v>495</v>
      </c>
      <c r="H12" s="54">
        <f t="shared" si="0"/>
        <v>4</v>
      </c>
      <c r="I12" s="91">
        <f t="shared" si="1"/>
        <v>420</v>
      </c>
      <c r="J12" s="54">
        <f t="shared" si="2"/>
        <v>4</v>
      </c>
      <c r="K12" s="92">
        <f t="shared" si="3"/>
        <v>560</v>
      </c>
      <c r="L12" s="54">
        <v>2</v>
      </c>
      <c r="M12" s="92">
        <f t="shared" si="5"/>
        <v>450</v>
      </c>
      <c r="N12" s="54">
        <v>2</v>
      </c>
      <c r="O12" s="93"/>
    </row>
    <row r="13" spans="1:15">
      <c r="A13" s="88" t="str">
        <f>'1. 소켓인수검사'!A14</f>
        <v>06</v>
      </c>
      <c r="B13" s="89" t="s">
        <v>15</v>
      </c>
      <c r="C13" s="54">
        <f>'1. 소켓인수검사'!C14</f>
        <v>700</v>
      </c>
      <c r="D13" s="54">
        <f>'1. 소켓인수검사'!D14</f>
        <v>400</v>
      </c>
      <c r="E13" s="36"/>
      <c r="F13" s="54">
        <v>1</v>
      </c>
      <c r="G13" s="90">
        <f t="shared" si="4"/>
        <v>695</v>
      </c>
      <c r="H13" s="54">
        <f t="shared" si="0"/>
        <v>4</v>
      </c>
      <c r="I13" s="91">
        <f t="shared" si="1"/>
        <v>370</v>
      </c>
      <c r="J13" s="54">
        <f t="shared" si="2"/>
        <v>4</v>
      </c>
      <c r="K13" s="92">
        <f t="shared" si="3"/>
        <v>760</v>
      </c>
      <c r="L13" s="54">
        <v>2</v>
      </c>
      <c r="M13" s="92">
        <f t="shared" si="5"/>
        <v>400</v>
      </c>
      <c r="N13" s="54">
        <v>2</v>
      </c>
      <c r="O13" s="93"/>
    </row>
    <row r="14" spans="1:15">
      <c r="A14" s="88" t="str">
        <f>'1. 소켓인수검사'!A15</f>
        <v>07</v>
      </c>
      <c r="B14" s="89" t="s">
        <v>15</v>
      </c>
      <c r="C14" s="54">
        <f>'1. 소켓인수검사'!C15</f>
        <v>700</v>
      </c>
      <c r="D14" s="54">
        <f>'1. 소켓인수검사'!D15</f>
        <v>500</v>
      </c>
      <c r="E14" s="36"/>
      <c r="F14" s="54">
        <v>1</v>
      </c>
      <c r="G14" s="90">
        <f t="shared" si="4"/>
        <v>695</v>
      </c>
      <c r="H14" s="54">
        <f t="shared" si="0"/>
        <v>4</v>
      </c>
      <c r="I14" s="91">
        <f t="shared" si="1"/>
        <v>470</v>
      </c>
      <c r="J14" s="54">
        <f t="shared" si="2"/>
        <v>4</v>
      </c>
      <c r="K14" s="92">
        <f t="shared" si="3"/>
        <v>760</v>
      </c>
      <c r="L14" s="54">
        <v>2</v>
      </c>
      <c r="M14" s="92">
        <f t="shared" si="5"/>
        <v>500</v>
      </c>
      <c r="N14" s="54">
        <v>2</v>
      </c>
      <c r="O14" s="93"/>
    </row>
    <row r="15" spans="1:15">
      <c r="A15" s="88" t="str">
        <f>'1. 소켓인수검사'!A16</f>
        <v>08</v>
      </c>
      <c r="B15" s="89" t="s">
        <v>15</v>
      </c>
      <c r="C15" s="54">
        <f>'1. 소켓인수검사'!C16</f>
        <v>700</v>
      </c>
      <c r="D15" s="54">
        <f>'1. 소켓인수검사'!D16</f>
        <v>500</v>
      </c>
      <c r="E15" s="36"/>
      <c r="F15" s="54">
        <v>1</v>
      </c>
      <c r="G15" s="90">
        <f t="shared" si="4"/>
        <v>695</v>
      </c>
      <c r="H15" s="54">
        <f t="shared" si="0"/>
        <v>4</v>
      </c>
      <c r="I15" s="91">
        <f t="shared" si="1"/>
        <v>470</v>
      </c>
      <c r="J15" s="54">
        <f t="shared" si="2"/>
        <v>4</v>
      </c>
      <c r="K15" s="92">
        <f t="shared" si="3"/>
        <v>760</v>
      </c>
      <c r="L15" s="54">
        <v>2</v>
      </c>
      <c r="M15" s="92">
        <f t="shared" si="5"/>
        <v>500</v>
      </c>
      <c r="N15" s="54">
        <v>2</v>
      </c>
      <c r="O15" s="93"/>
    </row>
    <row r="16" spans="1:15">
      <c r="A16" s="88" t="str">
        <f>'1. 소켓인수검사'!A17</f>
        <v>09</v>
      </c>
      <c r="B16" s="89" t="s">
        <v>15</v>
      </c>
      <c r="C16" s="54">
        <f>'1. 소켓인수검사'!C17</f>
        <v>700</v>
      </c>
      <c r="D16" s="54">
        <f>'1. 소켓인수검사'!D17</f>
        <v>500</v>
      </c>
      <c r="E16" s="36"/>
      <c r="F16" s="54">
        <v>1</v>
      </c>
      <c r="G16" s="90">
        <f t="shared" si="4"/>
        <v>695</v>
      </c>
      <c r="H16" s="54">
        <f t="shared" si="0"/>
        <v>4</v>
      </c>
      <c r="I16" s="91">
        <f t="shared" si="1"/>
        <v>470</v>
      </c>
      <c r="J16" s="54">
        <f t="shared" si="2"/>
        <v>4</v>
      </c>
      <c r="K16" s="92">
        <f t="shared" si="3"/>
        <v>760</v>
      </c>
      <c r="L16" s="54">
        <v>2</v>
      </c>
      <c r="M16" s="92">
        <f t="shared" si="5"/>
        <v>500</v>
      </c>
      <c r="N16" s="54">
        <v>2</v>
      </c>
      <c r="O16" s="93"/>
    </row>
    <row r="17" spans="1:15">
      <c r="A17" s="88" t="str">
        <f>'1. 소켓인수검사'!A18</f>
        <v>10</v>
      </c>
      <c r="B17" s="89" t="s">
        <v>15</v>
      </c>
      <c r="C17" s="54">
        <f>'1. 소켓인수검사'!C18</f>
        <v>700</v>
      </c>
      <c r="D17" s="54">
        <f>'1. 소켓인수검사'!D18</f>
        <v>500</v>
      </c>
      <c r="E17" s="36"/>
      <c r="F17" s="54">
        <v>1</v>
      </c>
      <c r="G17" s="90">
        <f t="shared" si="4"/>
        <v>695</v>
      </c>
      <c r="H17" s="54">
        <f t="shared" si="0"/>
        <v>4</v>
      </c>
      <c r="I17" s="91">
        <f t="shared" si="1"/>
        <v>470</v>
      </c>
      <c r="J17" s="54">
        <f t="shared" si="2"/>
        <v>4</v>
      </c>
      <c r="K17" s="92">
        <f t="shared" si="3"/>
        <v>760</v>
      </c>
      <c r="L17" s="54">
        <v>2</v>
      </c>
      <c r="M17" s="92">
        <f t="shared" si="5"/>
        <v>500</v>
      </c>
      <c r="N17" s="54">
        <v>2</v>
      </c>
      <c r="O17" s="93"/>
    </row>
    <row r="18" spans="1:15">
      <c r="A18" s="88" t="str">
        <f>'1. 소켓인수검사'!A19</f>
        <v>11</v>
      </c>
      <c r="B18" s="89" t="s">
        <v>15</v>
      </c>
      <c r="C18" s="54">
        <f>'1. 소켓인수검사'!C19</f>
        <v>800</v>
      </c>
      <c r="D18" s="54">
        <f>'1. 소켓인수검사'!D19</f>
        <v>450</v>
      </c>
      <c r="E18" s="36"/>
      <c r="F18" s="54">
        <v>1</v>
      </c>
      <c r="G18" s="90">
        <f t="shared" si="4"/>
        <v>795</v>
      </c>
      <c r="H18" s="54">
        <f t="shared" si="0"/>
        <v>4</v>
      </c>
      <c r="I18" s="91">
        <f t="shared" si="1"/>
        <v>420</v>
      </c>
      <c r="J18" s="54">
        <f t="shared" si="2"/>
        <v>4</v>
      </c>
      <c r="K18" s="92">
        <f t="shared" si="3"/>
        <v>860</v>
      </c>
      <c r="L18" s="54">
        <v>2</v>
      </c>
      <c r="M18" s="92">
        <f t="shared" si="5"/>
        <v>450</v>
      </c>
      <c r="N18" s="54">
        <v>2</v>
      </c>
      <c r="O18" s="93"/>
    </row>
    <row r="19" spans="1:15">
      <c r="A19" s="88" t="str">
        <f>'1. 소켓인수검사'!A20</f>
        <v>12</v>
      </c>
      <c r="B19" s="89" t="s">
        <v>15</v>
      </c>
      <c r="C19" s="54">
        <f>'1. 소켓인수검사'!C20</f>
        <v>800</v>
      </c>
      <c r="D19" s="54">
        <f>'1. 소켓인수검사'!D20</f>
        <v>500</v>
      </c>
      <c r="E19" s="36"/>
      <c r="F19" s="54">
        <v>1</v>
      </c>
      <c r="G19" s="90">
        <f t="shared" si="4"/>
        <v>795</v>
      </c>
      <c r="H19" s="54">
        <f t="shared" si="0"/>
        <v>4</v>
      </c>
      <c r="I19" s="91">
        <f t="shared" si="1"/>
        <v>470</v>
      </c>
      <c r="J19" s="54">
        <f t="shared" si="2"/>
        <v>4</v>
      </c>
      <c r="K19" s="92">
        <f t="shared" si="3"/>
        <v>860</v>
      </c>
      <c r="L19" s="54">
        <v>2</v>
      </c>
      <c r="M19" s="92">
        <f t="shared" si="5"/>
        <v>500</v>
      </c>
      <c r="N19" s="54">
        <v>2</v>
      </c>
      <c r="O19" s="93"/>
    </row>
    <row r="20" spans="1:15" ht="8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44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20:O20"/>
    <mergeCell ref="A21:C23"/>
    <mergeCell ref="D21:O23"/>
    <mergeCell ref="K5:N5"/>
    <mergeCell ref="O5:O7"/>
    <mergeCell ref="C6:C7"/>
    <mergeCell ref="D6:D7"/>
    <mergeCell ref="G6:H6"/>
    <mergeCell ref="I6:J6"/>
    <mergeCell ref="K6:L6"/>
    <mergeCell ref="M6:N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2"/>
  <sheetViews>
    <sheetView zoomScaleNormal="100" zoomScaleSheetLayoutView="100" workbookViewId="0">
      <selection activeCell="G32" sqref="G32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" t="s">
        <v>82</v>
      </c>
      <c r="F1" s="138"/>
      <c r="G1" s="143" t="str">
        <f>'1. 소켓인수검사'!R2</f>
        <v>260626 대한항공 운북신 엔진정비공장증축</v>
      </c>
      <c r="H1" s="143"/>
      <c r="I1" s="143"/>
      <c r="J1" s="143"/>
      <c r="K1" s="144"/>
    </row>
    <row r="2" spans="1:11" ht="16.5" customHeight="1">
      <c r="A2" s="1"/>
      <c r="B2" s="1"/>
      <c r="C2" s="1"/>
      <c r="D2" s="1"/>
      <c r="E2" s="139"/>
      <c r="F2" s="140"/>
      <c r="G2" s="145"/>
      <c r="H2" s="145"/>
      <c r="I2" s="145"/>
      <c r="J2" s="145"/>
      <c r="K2" s="146"/>
    </row>
    <row r="3" spans="1:11" ht="16.5" customHeight="1">
      <c r="A3" s="1"/>
      <c r="B3" s="1"/>
      <c r="C3" s="1"/>
      <c r="D3" s="1"/>
      <c r="E3" s="141"/>
      <c r="F3" s="142"/>
      <c r="G3" s="147"/>
      <c r="H3" s="147"/>
      <c r="I3" s="147"/>
      <c r="J3" s="147"/>
      <c r="K3" s="148"/>
    </row>
    <row r="4" spans="1:11" ht="8.1" customHeight="1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</row>
    <row r="5" spans="1:11" ht="26.45" customHeight="1">
      <c r="A5" s="150" t="s">
        <v>52</v>
      </c>
      <c r="B5" s="151" t="s">
        <v>62</v>
      </c>
      <c r="C5" s="135" t="s">
        <v>4</v>
      </c>
      <c r="D5" s="135"/>
      <c r="E5" s="135" t="s">
        <v>23</v>
      </c>
      <c r="F5" s="154" t="s">
        <v>50</v>
      </c>
      <c r="G5" s="136" t="s">
        <v>33</v>
      </c>
      <c r="H5" s="137"/>
      <c r="I5" s="137"/>
      <c r="J5" s="137"/>
      <c r="K5" s="154" t="s">
        <v>2</v>
      </c>
    </row>
    <row r="6" spans="1:11" ht="16.5" customHeight="1">
      <c r="A6" s="150"/>
      <c r="B6" s="152"/>
      <c r="C6" s="135" t="s">
        <v>59</v>
      </c>
      <c r="D6" s="135" t="s">
        <v>57</v>
      </c>
      <c r="E6" s="135"/>
      <c r="F6" s="155"/>
      <c r="G6" s="135" t="s">
        <v>61</v>
      </c>
      <c r="H6" s="135"/>
      <c r="I6" s="136" t="s">
        <v>58</v>
      </c>
      <c r="J6" s="137"/>
      <c r="K6" s="155"/>
    </row>
    <row r="7" spans="1:11">
      <c r="A7" s="150"/>
      <c r="B7" s="153"/>
      <c r="C7" s="135"/>
      <c r="D7" s="135"/>
      <c r="E7" s="135"/>
      <c r="F7" s="156"/>
      <c r="G7" s="15" t="s">
        <v>4</v>
      </c>
      <c r="H7" s="15" t="s">
        <v>50</v>
      </c>
      <c r="I7" s="15" t="s">
        <v>4</v>
      </c>
      <c r="J7" s="16" t="s">
        <v>50</v>
      </c>
      <c r="K7" s="156"/>
    </row>
    <row r="8" spans="1:11">
      <c r="A8" s="72" t="str">
        <f>'1. 소켓인수검사'!A9</f>
        <v>01</v>
      </c>
      <c r="B8" s="50" t="s">
        <v>15</v>
      </c>
      <c r="C8" s="46">
        <f>'1. 소켓인수검사'!C9</f>
        <v>200</v>
      </c>
      <c r="D8" s="46">
        <f>'1. 소켓인수검사'!D9</f>
        <v>200</v>
      </c>
      <c r="E8" s="47"/>
      <c r="F8" s="46">
        <v>1</v>
      </c>
      <c r="G8" s="73">
        <f t="shared" ref="G8:G11" si="0">C8+60</f>
        <v>260</v>
      </c>
      <c r="H8" s="46">
        <v>2</v>
      </c>
      <c r="I8" s="73">
        <f>D8</f>
        <v>200</v>
      </c>
      <c r="J8" s="46">
        <v>2</v>
      </c>
      <c r="K8" s="48"/>
    </row>
    <row r="9" spans="1:11">
      <c r="A9" s="74" t="str">
        <f>'1. 소켓인수검사'!A10</f>
        <v>02</v>
      </c>
      <c r="B9" s="50" t="s">
        <v>15</v>
      </c>
      <c r="C9" s="35">
        <f>'1. 소켓인수검사'!C10</f>
        <v>250</v>
      </c>
      <c r="D9" s="35">
        <f>'1. 소켓인수검사'!D10</f>
        <v>200</v>
      </c>
      <c r="E9" s="36"/>
      <c r="F9" s="35">
        <v>1</v>
      </c>
      <c r="G9" s="52">
        <f t="shared" si="0"/>
        <v>310</v>
      </c>
      <c r="H9" s="35">
        <v>2</v>
      </c>
      <c r="I9" s="52">
        <f t="shared" ref="I9:I19" si="1">D9</f>
        <v>200</v>
      </c>
      <c r="J9" s="35">
        <v>2</v>
      </c>
      <c r="K9" s="51"/>
    </row>
    <row r="10" spans="1:11">
      <c r="A10" s="74" t="str">
        <f>'1. 소켓인수검사'!A11</f>
        <v>03</v>
      </c>
      <c r="B10" s="50" t="s">
        <v>15</v>
      </c>
      <c r="C10" s="35">
        <f>'1. 소켓인수검사'!C11</f>
        <v>500</v>
      </c>
      <c r="D10" s="35">
        <f>'1. 소켓인수검사'!D11</f>
        <v>400</v>
      </c>
      <c r="E10" s="36"/>
      <c r="F10" s="35">
        <v>1</v>
      </c>
      <c r="G10" s="52">
        <f t="shared" si="0"/>
        <v>560</v>
      </c>
      <c r="H10" s="35">
        <v>2</v>
      </c>
      <c r="I10" s="52">
        <f t="shared" si="1"/>
        <v>400</v>
      </c>
      <c r="J10" s="35">
        <v>2</v>
      </c>
      <c r="K10" s="51"/>
    </row>
    <row r="11" spans="1:11">
      <c r="A11" s="74" t="str">
        <f>'1. 소켓인수검사'!A12</f>
        <v>04</v>
      </c>
      <c r="B11" s="50" t="s">
        <v>15</v>
      </c>
      <c r="C11" s="35">
        <f>'1. 소켓인수검사'!C12</f>
        <v>500</v>
      </c>
      <c r="D11" s="35">
        <f>'1. 소켓인수검사'!D12</f>
        <v>400</v>
      </c>
      <c r="E11" s="36"/>
      <c r="F11" s="35">
        <v>1</v>
      </c>
      <c r="G11" s="52">
        <f t="shared" si="0"/>
        <v>560</v>
      </c>
      <c r="H11" s="35">
        <v>2</v>
      </c>
      <c r="I11" s="52">
        <f t="shared" si="1"/>
        <v>400</v>
      </c>
      <c r="J11" s="35">
        <v>2</v>
      </c>
      <c r="K11" s="51"/>
    </row>
    <row r="12" spans="1:11">
      <c r="A12" s="74" t="str">
        <f>'1. 소켓인수검사'!A13</f>
        <v>05</v>
      </c>
      <c r="B12" s="50" t="s">
        <v>15</v>
      </c>
      <c r="C12" s="35">
        <f>'1. 소켓인수검사'!C13</f>
        <v>500</v>
      </c>
      <c r="D12" s="35">
        <f>'1. 소켓인수검사'!D13</f>
        <v>450</v>
      </c>
      <c r="E12" s="36"/>
      <c r="F12" s="35">
        <v>1</v>
      </c>
      <c r="G12" s="52">
        <f t="shared" ref="G12:G19" si="2">C12+60</f>
        <v>560</v>
      </c>
      <c r="H12" s="35">
        <v>2</v>
      </c>
      <c r="I12" s="52">
        <f t="shared" si="1"/>
        <v>450</v>
      </c>
      <c r="J12" s="35">
        <v>2</v>
      </c>
      <c r="K12" s="51"/>
    </row>
    <row r="13" spans="1:11">
      <c r="A13" s="74" t="str">
        <f>'1. 소켓인수검사'!A14</f>
        <v>06</v>
      </c>
      <c r="B13" s="50" t="s">
        <v>15</v>
      </c>
      <c r="C13" s="35">
        <f>'1. 소켓인수검사'!C14</f>
        <v>700</v>
      </c>
      <c r="D13" s="35">
        <f>'1. 소켓인수검사'!D14</f>
        <v>400</v>
      </c>
      <c r="E13" s="36"/>
      <c r="F13" s="35">
        <v>1</v>
      </c>
      <c r="G13" s="52">
        <f t="shared" si="2"/>
        <v>760</v>
      </c>
      <c r="H13" s="35">
        <v>2</v>
      </c>
      <c r="I13" s="52">
        <f t="shared" si="1"/>
        <v>400</v>
      </c>
      <c r="J13" s="35">
        <v>2</v>
      </c>
      <c r="K13" s="51"/>
    </row>
    <row r="14" spans="1:11">
      <c r="A14" s="74" t="str">
        <f>'1. 소켓인수검사'!A15</f>
        <v>07</v>
      </c>
      <c r="B14" s="50" t="s">
        <v>15</v>
      </c>
      <c r="C14" s="35">
        <f>'1. 소켓인수검사'!C15</f>
        <v>700</v>
      </c>
      <c r="D14" s="35">
        <f>'1. 소켓인수검사'!D15</f>
        <v>500</v>
      </c>
      <c r="E14" s="36"/>
      <c r="F14" s="35">
        <v>1</v>
      </c>
      <c r="G14" s="52">
        <f t="shared" si="2"/>
        <v>760</v>
      </c>
      <c r="H14" s="35">
        <v>2</v>
      </c>
      <c r="I14" s="52">
        <f t="shared" si="1"/>
        <v>500</v>
      </c>
      <c r="J14" s="35">
        <v>2</v>
      </c>
      <c r="K14" s="51"/>
    </row>
    <row r="15" spans="1:11">
      <c r="A15" s="74" t="str">
        <f>'1. 소켓인수검사'!A16</f>
        <v>08</v>
      </c>
      <c r="B15" s="50" t="s">
        <v>15</v>
      </c>
      <c r="C15" s="35">
        <f>'1. 소켓인수검사'!C16</f>
        <v>700</v>
      </c>
      <c r="D15" s="35">
        <f>'1. 소켓인수검사'!D16</f>
        <v>500</v>
      </c>
      <c r="E15" s="36"/>
      <c r="F15" s="35">
        <v>1</v>
      </c>
      <c r="G15" s="52">
        <f t="shared" si="2"/>
        <v>760</v>
      </c>
      <c r="H15" s="35">
        <v>2</v>
      </c>
      <c r="I15" s="52">
        <f t="shared" si="1"/>
        <v>500</v>
      </c>
      <c r="J15" s="35">
        <v>2</v>
      </c>
      <c r="K15" s="51"/>
    </row>
    <row r="16" spans="1:11">
      <c r="A16" s="74" t="str">
        <f>'1. 소켓인수검사'!A17</f>
        <v>09</v>
      </c>
      <c r="B16" s="50" t="s">
        <v>15</v>
      </c>
      <c r="C16" s="35">
        <f>'1. 소켓인수검사'!C17</f>
        <v>700</v>
      </c>
      <c r="D16" s="35">
        <f>'1. 소켓인수검사'!D17</f>
        <v>500</v>
      </c>
      <c r="E16" s="36"/>
      <c r="F16" s="35">
        <v>1</v>
      </c>
      <c r="G16" s="52">
        <f t="shared" si="2"/>
        <v>760</v>
      </c>
      <c r="H16" s="35">
        <v>2</v>
      </c>
      <c r="I16" s="52">
        <f t="shared" si="1"/>
        <v>500</v>
      </c>
      <c r="J16" s="35">
        <v>2</v>
      </c>
      <c r="K16" s="51"/>
    </row>
    <row r="17" spans="1:11">
      <c r="A17" s="74" t="str">
        <f>'1. 소켓인수검사'!A18</f>
        <v>10</v>
      </c>
      <c r="B17" s="50" t="s">
        <v>15</v>
      </c>
      <c r="C17" s="35">
        <f>'1. 소켓인수검사'!C18</f>
        <v>700</v>
      </c>
      <c r="D17" s="35">
        <f>'1. 소켓인수검사'!D18</f>
        <v>500</v>
      </c>
      <c r="E17" s="36"/>
      <c r="F17" s="35">
        <v>1</v>
      </c>
      <c r="G17" s="52">
        <f t="shared" si="2"/>
        <v>760</v>
      </c>
      <c r="H17" s="35">
        <v>2</v>
      </c>
      <c r="I17" s="52">
        <f t="shared" si="1"/>
        <v>500</v>
      </c>
      <c r="J17" s="35">
        <v>2</v>
      </c>
      <c r="K17" s="51"/>
    </row>
    <row r="18" spans="1:11">
      <c r="A18" s="74" t="str">
        <f>'1. 소켓인수검사'!A19</f>
        <v>11</v>
      </c>
      <c r="B18" s="50" t="s">
        <v>15</v>
      </c>
      <c r="C18" s="35">
        <f>'1. 소켓인수검사'!C19</f>
        <v>800</v>
      </c>
      <c r="D18" s="35">
        <f>'1. 소켓인수검사'!D19</f>
        <v>450</v>
      </c>
      <c r="E18" s="36"/>
      <c r="F18" s="35">
        <v>1</v>
      </c>
      <c r="G18" s="52">
        <f t="shared" si="2"/>
        <v>860</v>
      </c>
      <c r="H18" s="35">
        <v>2</v>
      </c>
      <c r="I18" s="52">
        <f t="shared" si="1"/>
        <v>450</v>
      </c>
      <c r="J18" s="35">
        <v>2</v>
      </c>
      <c r="K18" s="51"/>
    </row>
    <row r="19" spans="1:11">
      <c r="A19" s="74" t="str">
        <f>'1. 소켓인수검사'!A20</f>
        <v>12</v>
      </c>
      <c r="B19" s="50" t="s">
        <v>15</v>
      </c>
      <c r="C19" s="35">
        <f>'1. 소켓인수검사'!C20</f>
        <v>800</v>
      </c>
      <c r="D19" s="35">
        <f>'1. 소켓인수검사'!D20</f>
        <v>500</v>
      </c>
      <c r="E19" s="36"/>
      <c r="F19" s="35">
        <v>1</v>
      </c>
      <c r="G19" s="52">
        <f t="shared" si="2"/>
        <v>860</v>
      </c>
      <c r="H19" s="35">
        <v>2</v>
      </c>
      <c r="I19" s="52">
        <f t="shared" si="1"/>
        <v>500</v>
      </c>
      <c r="J19" s="35">
        <v>2</v>
      </c>
      <c r="K19" s="51"/>
    </row>
    <row r="20" spans="1:11">
      <c r="A20" s="1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mergeCells count="17">
    <mergeCell ref="A20:C22"/>
    <mergeCell ref="D20:K2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  <mergeCell ref="G1:K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7"/>
  <sheetViews>
    <sheetView zoomScaleNormal="100" zoomScaleSheetLayoutView="100" workbookViewId="0">
      <selection activeCell="H35" sqref="H35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57" t="s">
        <v>65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1:16" ht="16.5" customHeight="1">
      <c r="A2" s="1"/>
      <c r="B2" s="1"/>
      <c r="C2" s="1"/>
      <c r="D2" s="1"/>
      <c r="E2" s="160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2"/>
    </row>
    <row r="3" spans="1:16" ht="16.5" customHeight="1">
      <c r="A3" s="1"/>
      <c r="B3" s="1"/>
      <c r="C3" s="1"/>
      <c r="D3" s="1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</row>
    <row r="4" spans="1:16" ht="16.5" customHeight="1">
      <c r="A4" s="1" t="s">
        <v>16</v>
      </c>
      <c r="B4" s="1"/>
      <c r="C4" s="166"/>
      <c r="D4" s="167"/>
      <c r="E4" s="163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5"/>
    </row>
    <row r="5" spans="1:16">
      <c r="A5" s="1" t="s">
        <v>25</v>
      </c>
      <c r="B5" s="1"/>
      <c r="C5" s="1"/>
      <c r="D5" s="1"/>
      <c r="E5" s="6" t="s">
        <v>31</v>
      </c>
      <c r="F5" s="1"/>
      <c r="G5" s="1"/>
      <c r="H5" s="1" t="s">
        <v>55</v>
      </c>
      <c r="I5" s="1"/>
      <c r="J5" s="1"/>
      <c r="K5" s="1" t="s">
        <v>51</v>
      </c>
      <c r="L5" s="1"/>
      <c r="M5" s="1"/>
      <c r="N5" s="168" t="str">
        <f>'1. 소켓인수검사'!R2</f>
        <v>260626 대한항공 운북신 엔진정비공장증축</v>
      </c>
      <c r="O5" s="168"/>
      <c r="P5" s="168"/>
    </row>
    <row r="6" spans="1:16">
      <c r="A6" s="1"/>
      <c r="B6" s="1"/>
      <c r="C6" s="1"/>
      <c r="D6" s="1"/>
      <c r="E6" s="6" t="s">
        <v>28</v>
      </c>
      <c r="F6" s="1"/>
      <c r="G6" s="1"/>
      <c r="H6" s="1"/>
      <c r="I6" s="1"/>
      <c r="J6" s="1"/>
      <c r="K6" s="1"/>
      <c r="L6" s="1"/>
      <c r="M6" s="1"/>
      <c r="N6" s="168"/>
      <c r="O6" s="168"/>
      <c r="P6" s="168"/>
    </row>
    <row r="7" spans="1:16" ht="8.1" customHeight="1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1:16">
      <c r="A8" s="169" t="s">
        <v>52</v>
      </c>
      <c r="B8" s="171" t="s">
        <v>4</v>
      </c>
      <c r="C8" s="171"/>
      <c r="D8" s="171" t="s">
        <v>27</v>
      </c>
      <c r="E8" s="171" t="s">
        <v>23</v>
      </c>
      <c r="F8" s="171" t="s">
        <v>56</v>
      </c>
      <c r="G8" s="171" t="s">
        <v>26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59</v>
      </c>
      <c r="C9" s="172" t="s">
        <v>57</v>
      </c>
      <c r="D9" s="172"/>
      <c r="E9" s="172"/>
      <c r="F9" s="172"/>
      <c r="G9" s="172" t="s">
        <v>53</v>
      </c>
      <c r="H9" s="172" t="s">
        <v>59</v>
      </c>
      <c r="I9" s="172"/>
      <c r="J9" s="172" t="s">
        <v>10</v>
      </c>
      <c r="K9" s="172" t="s">
        <v>57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30</v>
      </c>
      <c r="J10" s="172"/>
      <c r="K10" s="172" t="s">
        <v>4</v>
      </c>
      <c r="L10" s="172"/>
      <c r="M10" s="172"/>
      <c r="N10" s="25" t="s">
        <v>30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200</v>
      </c>
      <c r="C11" s="26">
        <f>'1. 소켓인수검사'!D9</f>
        <v>200</v>
      </c>
      <c r="D11" s="27">
        <v>1</v>
      </c>
      <c r="E11" s="28"/>
      <c r="F11" s="27">
        <v>1.6</v>
      </c>
      <c r="G11" s="27"/>
      <c r="H11" s="27">
        <f>B11-1</f>
        <v>199</v>
      </c>
      <c r="I11" s="27">
        <f t="shared" ref="I11:I12" si="0">D11*4</f>
        <v>4</v>
      </c>
      <c r="J11" s="27"/>
      <c r="K11" s="175">
        <f t="shared" ref="K11:K12" si="1">C11-30</f>
        <v>170</v>
      </c>
      <c r="L11" s="175"/>
      <c r="M11" s="175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250</v>
      </c>
      <c r="C12" s="26">
        <f>'1. 소켓인수검사'!D10</f>
        <v>200</v>
      </c>
      <c r="D12" s="27">
        <v>1</v>
      </c>
      <c r="E12" s="28"/>
      <c r="F12" s="27">
        <v>1.6</v>
      </c>
      <c r="G12" s="27"/>
      <c r="H12" s="27">
        <f t="shared" ref="H12" si="3">B12-1</f>
        <v>249</v>
      </c>
      <c r="I12" s="27">
        <f t="shared" si="0"/>
        <v>4</v>
      </c>
      <c r="J12" s="27"/>
      <c r="K12" s="175">
        <f t="shared" si="1"/>
        <v>170</v>
      </c>
      <c r="L12" s="175"/>
      <c r="M12" s="175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500</v>
      </c>
      <c r="C13" s="26">
        <f>'1. 소켓인수검사'!D11</f>
        <v>400</v>
      </c>
      <c r="D13" s="27">
        <v>1</v>
      </c>
      <c r="E13" s="28"/>
      <c r="F13" s="27">
        <v>1.6</v>
      </c>
      <c r="G13" s="27"/>
      <c r="H13" s="27">
        <f t="shared" ref="H13:H22" si="4">B13-1</f>
        <v>499</v>
      </c>
      <c r="I13" s="27">
        <f t="shared" ref="I13:I22" si="5">D13*4</f>
        <v>4</v>
      </c>
      <c r="J13" s="27"/>
      <c r="K13" s="175">
        <f t="shared" ref="K13:K22" si="6">C13-30</f>
        <v>370</v>
      </c>
      <c r="L13" s="175"/>
      <c r="M13" s="175"/>
      <c r="N13" s="27">
        <f t="shared" ref="N13:N22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500</v>
      </c>
      <c r="C14" s="26">
        <f>'1. 소켓인수검사'!D12</f>
        <v>400</v>
      </c>
      <c r="D14" s="27">
        <v>1</v>
      </c>
      <c r="E14" s="28"/>
      <c r="F14" s="27">
        <v>1.6</v>
      </c>
      <c r="G14" s="27"/>
      <c r="H14" s="27">
        <f t="shared" si="4"/>
        <v>499</v>
      </c>
      <c r="I14" s="27">
        <f t="shared" si="5"/>
        <v>4</v>
      </c>
      <c r="J14" s="27"/>
      <c r="K14" s="175">
        <f t="shared" si="6"/>
        <v>370</v>
      </c>
      <c r="L14" s="175"/>
      <c r="M14" s="175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500</v>
      </c>
      <c r="C15" s="26">
        <f>'1. 소켓인수검사'!D13</f>
        <v>450</v>
      </c>
      <c r="D15" s="27">
        <v>1</v>
      </c>
      <c r="E15" s="28"/>
      <c r="F15" s="27">
        <v>1.6</v>
      </c>
      <c r="G15" s="27"/>
      <c r="H15" s="27">
        <f t="shared" si="4"/>
        <v>499</v>
      </c>
      <c r="I15" s="27">
        <f t="shared" si="5"/>
        <v>4</v>
      </c>
      <c r="J15" s="27"/>
      <c r="K15" s="175">
        <f t="shared" si="6"/>
        <v>420</v>
      </c>
      <c r="L15" s="175"/>
      <c r="M15" s="175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700</v>
      </c>
      <c r="C16" s="26">
        <f>'1. 소켓인수검사'!D14</f>
        <v>400</v>
      </c>
      <c r="D16" s="27">
        <v>1</v>
      </c>
      <c r="E16" s="28"/>
      <c r="F16" s="27">
        <v>1.6</v>
      </c>
      <c r="G16" s="27"/>
      <c r="H16" s="27">
        <f t="shared" si="4"/>
        <v>699</v>
      </c>
      <c r="I16" s="27">
        <f t="shared" si="5"/>
        <v>4</v>
      </c>
      <c r="J16" s="27"/>
      <c r="K16" s="175">
        <f t="shared" si="6"/>
        <v>370</v>
      </c>
      <c r="L16" s="175"/>
      <c r="M16" s="175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700</v>
      </c>
      <c r="C17" s="26">
        <f>'1. 소켓인수검사'!D15</f>
        <v>500</v>
      </c>
      <c r="D17" s="27">
        <v>1</v>
      </c>
      <c r="E17" s="28"/>
      <c r="F17" s="27">
        <v>1.6</v>
      </c>
      <c r="G17" s="27"/>
      <c r="H17" s="27">
        <f t="shared" si="4"/>
        <v>699</v>
      </c>
      <c r="I17" s="27">
        <f t="shared" si="5"/>
        <v>4</v>
      </c>
      <c r="J17" s="27"/>
      <c r="K17" s="175">
        <f t="shared" si="6"/>
        <v>470</v>
      </c>
      <c r="L17" s="175"/>
      <c r="M17" s="175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700</v>
      </c>
      <c r="C18" s="26">
        <f>'1. 소켓인수검사'!D16</f>
        <v>500</v>
      </c>
      <c r="D18" s="27">
        <v>1</v>
      </c>
      <c r="E18" s="28"/>
      <c r="F18" s="27">
        <v>1.6</v>
      </c>
      <c r="G18" s="27"/>
      <c r="H18" s="27">
        <f t="shared" si="4"/>
        <v>699</v>
      </c>
      <c r="I18" s="27">
        <f t="shared" si="5"/>
        <v>4</v>
      </c>
      <c r="J18" s="27"/>
      <c r="K18" s="175">
        <f t="shared" si="6"/>
        <v>470</v>
      </c>
      <c r="L18" s="175"/>
      <c r="M18" s="175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700</v>
      </c>
      <c r="C19" s="26">
        <f>'1. 소켓인수검사'!D17</f>
        <v>500</v>
      </c>
      <c r="D19" s="27">
        <v>1</v>
      </c>
      <c r="E19" s="28"/>
      <c r="F19" s="27">
        <v>1.6</v>
      </c>
      <c r="G19" s="27"/>
      <c r="H19" s="27">
        <f t="shared" si="4"/>
        <v>699</v>
      </c>
      <c r="I19" s="27">
        <f t="shared" si="5"/>
        <v>4</v>
      </c>
      <c r="J19" s="27"/>
      <c r="K19" s="175">
        <f t="shared" si="6"/>
        <v>470</v>
      </c>
      <c r="L19" s="175"/>
      <c r="M19" s="175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700</v>
      </c>
      <c r="C20" s="26">
        <f>'1. 소켓인수검사'!D18</f>
        <v>500</v>
      </c>
      <c r="D20" s="27">
        <v>1</v>
      </c>
      <c r="E20" s="28"/>
      <c r="F20" s="27">
        <v>1.6</v>
      </c>
      <c r="G20" s="27"/>
      <c r="H20" s="27">
        <f t="shared" si="4"/>
        <v>699</v>
      </c>
      <c r="I20" s="27">
        <f t="shared" si="5"/>
        <v>4</v>
      </c>
      <c r="J20" s="27"/>
      <c r="K20" s="175">
        <f t="shared" si="6"/>
        <v>470</v>
      </c>
      <c r="L20" s="175"/>
      <c r="M20" s="175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800</v>
      </c>
      <c r="C21" s="26">
        <f>'1. 소켓인수검사'!D19</f>
        <v>450</v>
      </c>
      <c r="D21" s="27">
        <v>1</v>
      </c>
      <c r="E21" s="28"/>
      <c r="F21" s="27">
        <v>1.6</v>
      </c>
      <c r="G21" s="27"/>
      <c r="H21" s="27">
        <f t="shared" si="4"/>
        <v>799</v>
      </c>
      <c r="I21" s="27">
        <f t="shared" si="5"/>
        <v>4</v>
      </c>
      <c r="J21" s="27"/>
      <c r="K21" s="175">
        <f t="shared" si="6"/>
        <v>420</v>
      </c>
      <c r="L21" s="175"/>
      <c r="M21" s="175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800</v>
      </c>
      <c r="C22" s="26">
        <f>'1. 소켓인수검사'!D20</f>
        <v>500</v>
      </c>
      <c r="D22" s="27">
        <v>1</v>
      </c>
      <c r="E22" s="28"/>
      <c r="F22" s="27">
        <v>1.6</v>
      </c>
      <c r="G22" s="27"/>
      <c r="H22" s="27">
        <f t="shared" si="4"/>
        <v>799</v>
      </c>
      <c r="I22" s="27">
        <f t="shared" si="5"/>
        <v>4</v>
      </c>
      <c r="J22" s="27"/>
      <c r="K22" s="175">
        <f t="shared" si="6"/>
        <v>470</v>
      </c>
      <c r="L22" s="175"/>
      <c r="M22" s="175"/>
      <c r="N22" s="27">
        <f t="shared" si="7"/>
        <v>4</v>
      </c>
      <c r="O22" s="27"/>
      <c r="P22" s="32"/>
    </row>
    <row r="23" spans="1:16" ht="8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76" t="s">
        <v>45</v>
      </c>
      <c r="B24" s="176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</row>
    <row r="25" spans="1:16">
      <c r="A25" s="176"/>
      <c r="B25" s="176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</row>
    <row r="26" spans="1:16">
      <c r="A26" s="176"/>
      <c r="B26" s="176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</row>
    <row r="27" spans="1:16">
      <c r="A27" s="176"/>
      <c r="B27" s="176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</sheetData>
  <mergeCells count="43">
    <mergeCell ref="K21:M21"/>
    <mergeCell ref="K22:M22"/>
    <mergeCell ref="A23:P23"/>
    <mergeCell ref="A24:B27"/>
    <mergeCell ref="C24:P27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0" activePane="bottomLeft" state="frozen"/>
      <selection pane="bottomLeft" activeCell="F38" sqref="F38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178" t="s">
        <v>43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  <c r="R1" s="180"/>
      <c r="S1" s="14"/>
    </row>
    <row r="2" spans="1:19">
      <c r="A2" s="1"/>
      <c r="B2" s="1"/>
      <c r="C2" s="1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81"/>
      <c r="S2" s="182"/>
    </row>
    <row r="3" spans="1:19" ht="24" customHeight="1">
      <c r="A3" s="1"/>
      <c r="B3" s="1"/>
      <c r="C3" s="1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9"/>
      <c r="R3" s="181"/>
      <c r="S3" s="182"/>
    </row>
    <row r="4" spans="1:19">
      <c r="A4" s="1" t="s">
        <v>16</v>
      </c>
      <c r="B4" s="1"/>
      <c r="C4" s="1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9"/>
      <c r="R4" s="181"/>
      <c r="S4" s="182"/>
    </row>
    <row r="5" spans="1:19">
      <c r="A5" s="1" t="s">
        <v>25</v>
      </c>
      <c r="B5" s="1"/>
      <c r="C5" s="1"/>
      <c r="D5" s="2" t="s">
        <v>31</v>
      </c>
      <c r="E5" s="191"/>
      <c r="F5" s="192"/>
      <c r="G5" s="183" t="s">
        <v>55</v>
      </c>
      <c r="H5" s="195"/>
      <c r="I5" s="196"/>
      <c r="J5" s="196"/>
      <c r="K5" s="197"/>
      <c r="L5" s="183" t="s">
        <v>20</v>
      </c>
      <c r="M5" s="58"/>
      <c r="N5" s="58"/>
      <c r="O5" s="183" t="s">
        <v>20</v>
      </c>
      <c r="P5" s="185" t="str">
        <f>'1. 소켓인수검사'!R2</f>
        <v>260626 대한항공 운북신 엔진정비공장증축</v>
      </c>
      <c r="Q5" s="186"/>
      <c r="R5" s="186"/>
      <c r="S5" s="187"/>
    </row>
    <row r="6" spans="1:19">
      <c r="A6" s="1"/>
      <c r="B6" s="1"/>
      <c r="C6" s="1"/>
      <c r="D6" s="2" t="s">
        <v>28</v>
      </c>
      <c r="E6" s="191"/>
      <c r="F6" s="192"/>
      <c r="G6" s="184"/>
      <c r="H6" s="193"/>
      <c r="I6" s="149"/>
      <c r="J6" s="149"/>
      <c r="K6" s="194"/>
      <c r="L6" s="184"/>
      <c r="M6" s="59"/>
      <c r="N6" s="59"/>
      <c r="O6" s="184"/>
      <c r="P6" s="188"/>
      <c r="Q6" s="189"/>
      <c r="R6" s="189"/>
      <c r="S6" s="190"/>
    </row>
    <row r="7" spans="1:19" ht="8.1" customHeight="1">
      <c r="A7" s="193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94"/>
    </row>
    <row r="8" spans="1:19" ht="16.5" customHeight="1">
      <c r="A8" s="130" t="s">
        <v>52</v>
      </c>
      <c r="B8" s="199" t="s">
        <v>59</v>
      </c>
      <c r="C8" s="199" t="s">
        <v>57</v>
      </c>
      <c r="D8" s="199" t="s">
        <v>62</v>
      </c>
      <c r="E8" s="199" t="s">
        <v>47</v>
      </c>
      <c r="F8" s="199" t="s">
        <v>54</v>
      </c>
      <c r="G8" s="199" t="s">
        <v>22</v>
      </c>
      <c r="H8" s="199"/>
      <c r="I8" s="199"/>
      <c r="J8" s="199" t="s">
        <v>0</v>
      </c>
      <c r="K8" s="199"/>
      <c r="L8" s="199"/>
      <c r="M8" s="199" t="s">
        <v>0</v>
      </c>
      <c r="N8" s="199"/>
      <c r="O8" s="199"/>
      <c r="P8" s="199" t="s">
        <v>0</v>
      </c>
      <c r="Q8" s="199"/>
      <c r="R8" s="199"/>
      <c r="S8" s="201"/>
    </row>
    <row r="9" spans="1:19" ht="33" customHeight="1">
      <c r="A9" s="198"/>
      <c r="B9" s="200"/>
      <c r="C9" s="200"/>
      <c r="D9" s="200"/>
      <c r="E9" s="200"/>
      <c r="F9" s="200"/>
      <c r="G9" s="61" t="s">
        <v>32</v>
      </c>
      <c r="H9" s="61" t="s">
        <v>50</v>
      </c>
      <c r="I9" s="61" t="s">
        <v>49</v>
      </c>
      <c r="J9" s="61" t="s">
        <v>18</v>
      </c>
      <c r="K9" s="61" t="s">
        <v>50</v>
      </c>
      <c r="L9" s="61" t="s">
        <v>49</v>
      </c>
      <c r="M9" s="61" t="s">
        <v>24</v>
      </c>
      <c r="N9" s="61" t="s">
        <v>50</v>
      </c>
      <c r="O9" s="61" t="s">
        <v>49</v>
      </c>
      <c r="P9" s="61" t="s">
        <v>21</v>
      </c>
      <c r="Q9" s="61" t="s">
        <v>50</v>
      </c>
      <c r="R9" s="200" t="s">
        <v>49</v>
      </c>
      <c r="S9" s="202"/>
    </row>
    <row r="10" spans="1:19">
      <c r="A10" s="49" t="str">
        <f>'1. 소켓인수검사'!A9</f>
        <v>01</v>
      </c>
      <c r="B10" s="35">
        <f>'1. 소켓인수검사'!C9</f>
        <v>200</v>
      </c>
      <c r="C10" s="35">
        <f>'1. 소켓인수검사'!D9</f>
        <v>200</v>
      </c>
      <c r="D10" s="50" t="s">
        <v>15</v>
      </c>
      <c r="E10" s="56">
        <f>B10*C10/1000000</f>
        <v>0.04</v>
      </c>
      <c r="F10" s="56">
        <f>(B10+C10)*2/1000</f>
        <v>0.8</v>
      </c>
      <c r="G10" s="26">
        <f>(F10+0.4)</f>
        <v>1.2000000000000002</v>
      </c>
      <c r="H10" s="26">
        <v>4</v>
      </c>
      <c r="I10" s="57">
        <f>G10*H10</f>
        <v>4.8000000000000007</v>
      </c>
      <c r="J10" s="26"/>
      <c r="K10" s="26"/>
      <c r="L10" s="26"/>
      <c r="M10" s="26"/>
      <c r="N10" s="26"/>
      <c r="O10" s="26"/>
      <c r="P10" s="26"/>
      <c r="Q10" s="26"/>
      <c r="R10" s="203"/>
      <c r="S10" s="204"/>
    </row>
    <row r="11" spans="1:19">
      <c r="A11" s="49" t="str">
        <f>'1. 소켓인수검사'!A10</f>
        <v>02</v>
      </c>
      <c r="B11" s="35">
        <f>'1. 소켓인수검사'!C10</f>
        <v>250</v>
      </c>
      <c r="C11" s="35">
        <f>'1. 소켓인수검사'!D10</f>
        <v>200</v>
      </c>
      <c r="D11" s="50" t="s">
        <v>15</v>
      </c>
      <c r="E11" s="56">
        <f t="shared" ref="E11:E21" si="0">B11*C11/1000000</f>
        <v>0.05</v>
      </c>
      <c r="F11" s="56">
        <f t="shared" ref="F11:F21" si="1">(B11+C11)*2/1000</f>
        <v>0.9</v>
      </c>
      <c r="G11" s="26">
        <f>(F11+0.4)</f>
        <v>1.3</v>
      </c>
      <c r="H11" s="26">
        <v>4</v>
      </c>
      <c r="I11" s="57">
        <f>G11*H11</f>
        <v>5.2</v>
      </c>
      <c r="J11" s="26"/>
      <c r="K11" s="26"/>
      <c r="L11" s="26"/>
      <c r="M11" s="26"/>
      <c r="N11" s="26"/>
      <c r="O11" s="26"/>
      <c r="P11" s="26"/>
      <c r="Q11" s="26"/>
      <c r="R11" s="203"/>
      <c r="S11" s="204"/>
    </row>
    <row r="12" spans="1:19">
      <c r="A12" s="49" t="str">
        <f>'1. 소켓인수검사'!A11</f>
        <v>03</v>
      </c>
      <c r="B12" s="35">
        <f>'1. 소켓인수검사'!C11</f>
        <v>500</v>
      </c>
      <c r="C12" s="35">
        <f>'1. 소켓인수검사'!D11</f>
        <v>400</v>
      </c>
      <c r="D12" s="50" t="s">
        <v>15</v>
      </c>
      <c r="E12" s="56">
        <f t="shared" si="0"/>
        <v>0.2</v>
      </c>
      <c r="F12" s="56">
        <f t="shared" si="1"/>
        <v>1.8</v>
      </c>
      <c r="G12" s="26">
        <f t="shared" ref="G12:G21" si="2">(F12+0.4)</f>
        <v>2.2000000000000002</v>
      </c>
      <c r="H12" s="26">
        <v>4</v>
      </c>
      <c r="I12" s="57">
        <f t="shared" ref="I12:I21" si="3">G12*H12</f>
        <v>8.8000000000000007</v>
      </c>
      <c r="J12" s="26"/>
      <c r="K12" s="26"/>
      <c r="L12" s="26"/>
      <c r="M12" s="26"/>
      <c r="N12" s="26"/>
      <c r="O12" s="26"/>
      <c r="P12" s="26"/>
      <c r="Q12" s="26"/>
      <c r="R12" s="203"/>
      <c r="S12" s="204"/>
    </row>
    <row r="13" spans="1:19">
      <c r="A13" s="49" t="str">
        <f>'1. 소켓인수검사'!A12</f>
        <v>04</v>
      </c>
      <c r="B13" s="35">
        <f>'1. 소켓인수검사'!C12</f>
        <v>500</v>
      </c>
      <c r="C13" s="35">
        <f>'1. 소켓인수검사'!D12</f>
        <v>400</v>
      </c>
      <c r="D13" s="50" t="s">
        <v>15</v>
      </c>
      <c r="E13" s="56">
        <f t="shared" si="0"/>
        <v>0.2</v>
      </c>
      <c r="F13" s="56">
        <f t="shared" si="1"/>
        <v>1.8</v>
      </c>
      <c r="G13" s="26">
        <f t="shared" si="2"/>
        <v>2.2000000000000002</v>
      </c>
      <c r="H13" s="26">
        <v>4</v>
      </c>
      <c r="I13" s="57">
        <f t="shared" si="3"/>
        <v>8.8000000000000007</v>
      </c>
      <c r="J13" s="26"/>
      <c r="K13" s="26"/>
      <c r="L13" s="26"/>
      <c r="M13" s="26"/>
      <c r="N13" s="26"/>
      <c r="O13" s="26"/>
      <c r="P13" s="26"/>
      <c r="Q13" s="26"/>
      <c r="R13" s="203"/>
      <c r="S13" s="204"/>
    </row>
    <row r="14" spans="1:19">
      <c r="A14" s="49" t="str">
        <f>'1. 소켓인수검사'!A13</f>
        <v>05</v>
      </c>
      <c r="B14" s="35">
        <f>'1. 소켓인수검사'!C13</f>
        <v>500</v>
      </c>
      <c r="C14" s="35">
        <f>'1. 소켓인수검사'!D13</f>
        <v>450</v>
      </c>
      <c r="D14" s="50" t="s">
        <v>15</v>
      </c>
      <c r="E14" s="56">
        <f t="shared" si="0"/>
        <v>0.22500000000000001</v>
      </c>
      <c r="F14" s="56">
        <f t="shared" si="1"/>
        <v>1.9</v>
      </c>
      <c r="G14" s="26">
        <f t="shared" si="2"/>
        <v>2.2999999999999998</v>
      </c>
      <c r="H14" s="26">
        <v>4</v>
      </c>
      <c r="I14" s="57">
        <f t="shared" si="3"/>
        <v>9.1999999999999993</v>
      </c>
      <c r="J14" s="26"/>
      <c r="K14" s="26"/>
      <c r="L14" s="26"/>
      <c r="M14" s="26"/>
      <c r="N14" s="26"/>
      <c r="O14" s="26"/>
      <c r="P14" s="26"/>
      <c r="Q14" s="26"/>
      <c r="R14" s="203"/>
      <c r="S14" s="204"/>
    </row>
    <row r="15" spans="1:19">
      <c r="A15" s="49" t="str">
        <f>'1. 소켓인수검사'!A14</f>
        <v>06</v>
      </c>
      <c r="B15" s="35">
        <f>'1. 소켓인수검사'!C14</f>
        <v>700</v>
      </c>
      <c r="C15" s="35">
        <f>'1. 소켓인수검사'!D14</f>
        <v>400</v>
      </c>
      <c r="D15" s="50" t="s">
        <v>15</v>
      </c>
      <c r="E15" s="56">
        <f t="shared" si="0"/>
        <v>0.28000000000000003</v>
      </c>
      <c r="F15" s="56">
        <f t="shared" si="1"/>
        <v>2.2000000000000002</v>
      </c>
      <c r="G15" s="26">
        <f t="shared" si="2"/>
        <v>2.6</v>
      </c>
      <c r="H15" s="26">
        <v>4</v>
      </c>
      <c r="I15" s="57">
        <f t="shared" si="3"/>
        <v>10.4</v>
      </c>
      <c r="J15" s="26"/>
      <c r="K15" s="26"/>
      <c r="L15" s="26"/>
      <c r="M15" s="26"/>
      <c r="N15" s="26"/>
      <c r="O15" s="26"/>
      <c r="P15" s="26"/>
      <c r="Q15" s="26"/>
      <c r="R15" s="203"/>
      <c r="S15" s="204"/>
    </row>
    <row r="16" spans="1:19">
      <c r="A16" s="49" t="str">
        <f>'1. 소켓인수검사'!A15</f>
        <v>07</v>
      </c>
      <c r="B16" s="35">
        <f>'1. 소켓인수검사'!C15</f>
        <v>700</v>
      </c>
      <c r="C16" s="35">
        <f>'1. 소켓인수검사'!D15</f>
        <v>500</v>
      </c>
      <c r="D16" s="50" t="s">
        <v>15</v>
      </c>
      <c r="E16" s="56">
        <f t="shared" si="0"/>
        <v>0.35</v>
      </c>
      <c r="F16" s="56">
        <f t="shared" si="1"/>
        <v>2.4</v>
      </c>
      <c r="G16" s="26">
        <f t="shared" si="2"/>
        <v>2.8</v>
      </c>
      <c r="H16" s="26">
        <v>4</v>
      </c>
      <c r="I16" s="57">
        <f t="shared" si="3"/>
        <v>11.2</v>
      </c>
      <c r="J16" s="26"/>
      <c r="K16" s="26"/>
      <c r="L16" s="26"/>
      <c r="M16" s="26"/>
      <c r="N16" s="26"/>
      <c r="O16" s="26"/>
      <c r="P16" s="26"/>
      <c r="Q16" s="26"/>
      <c r="R16" s="203"/>
      <c r="S16" s="204"/>
    </row>
    <row r="17" spans="1:19">
      <c r="A17" s="49" t="str">
        <f>'1. 소켓인수검사'!A16</f>
        <v>08</v>
      </c>
      <c r="B17" s="35">
        <f>'1. 소켓인수검사'!C16</f>
        <v>700</v>
      </c>
      <c r="C17" s="35">
        <f>'1. 소켓인수검사'!D16</f>
        <v>500</v>
      </c>
      <c r="D17" s="50" t="s">
        <v>15</v>
      </c>
      <c r="E17" s="56">
        <f t="shared" si="0"/>
        <v>0.35</v>
      </c>
      <c r="F17" s="56">
        <f t="shared" si="1"/>
        <v>2.4</v>
      </c>
      <c r="G17" s="26">
        <f t="shared" si="2"/>
        <v>2.8</v>
      </c>
      <c r="H17" s="26">
        <v>4</v>
      </c>
      <c r="I17" s="57">
        <f t="shared" si="3"/>
        <v>11.2</v>
      </c>
      <c r="J17" s="26"/>
      <c r="K17" s="26"/>
      <c r="L17" s="26"/>
      <c r="M17" s="26"/>
      <c r="N17" s="26"/>
      <c r="O17" s="26"/>
      <c r="P17" s="26"/>
      <c r="Q17" s="26"/>
      <c r="R17" s="203"/>
      <c r="S17" s="204"/>
    </row>
    <row r="18" spans="1:19">
      <c r="A18" s="49" t="str">
        <f>'1. 소켓인수검사'!A17</f>
        <v>09</v>
      </c>
      <c r="B18" s="35">
        <f>'1. 소켓인수검사'!C17</f>
        <v>700</v>
      </c>
      <c r="C18" s="35">
        <f>'1. 소켓인수검사'!D17</f>
        <v>500</v>
      </c>
      <c r="D18" s="50" t="s">
        <v>15</v>
      </c>
      <c r="E18" s="56">
        <f t="shared" si="0"/>
        <v>0.35</v>
      </c>
      <c r="F18" s="56">
        <f t="shared" si="1"/>
        <v>2.4</v>
      </c>
      <c r="G18" s="26">
        <f t="shared" si="2"/>
        <v>2.8</v>
      </c>
      <c r="H18" s="26">
        <v>4</v>
      </c>
      <c r="I18" s="57">
        <f t="shared" si="3"/>
        <v>11.2</v>
      </c>
      <c r="J18" s="26"/>
      <c r="K18" s="26"/>
      <c r="L18" s="26"/>
      <c r="M18" s="26"/>
      <c r="N18" s="26"/>
      <c r="O18" s="26"/>
      <c r="P18" s="26"/>
      <c r="Q18" s="26"/>
      <c r="R18" s="203"/>
      <c r="S18" s="204"/>
    </row>
    <row r="19" spans="1:19">
      <c r="A19" s="49" t="str">
        <f>'1. 소켓인수검사'!A18</f>
        <v>10</v>
      </c>
      <c r="B19" s="35">
        <f>'1. 소켓인수검사'!C18</f>
        <v>700</v>
      </c>
      <c r="C19" s="35">
        <f>'1. 소켓인수검사'!D18</f>
        <v>500</v>
      </c>
      <c r="D19" s="50" t="s">
        <v>15</v>
      </c>
      <c r="E19" s="56">
        <f t="shared" si="0"/>
        <v>0.35</v>
      </c>
      <c r="F19" s="56">
        <f t="shared" si="1"/>
        <v>2.4</v>
      </c>
      <c r="G19" s="26">
        <f t="shared" si="2"/>
        <v>2.8</v>
      </c>
      <c r="H19" s="26">
        <v>4</v>
      </c>
      <c r="I19" s="57">
        <f t="shared" si="3"/>
        <v>11.2</v>
      </c>
      <c r="J19" s="26"/>
      <c r="K19" s="26"/>
      <c r="L19" s="26"/>
      <c r="M19" s="26"/>
      <c r="N19" s="26"/>
      <c r="O19" s="26"/>
      <c r="P19" s="26"/>
      <c r="Q19" s="26"/>
      <c r="R19" s="203"/>
      <c r="S19" s="204"/>
    </row>
    <row r="20" spans="1:19">
      <c r="A20" s="49" t="str">
        <f>'1. 소켓인수검사'!A19</f>
        <v>11</v>
      </c>
      <c r="B20" s="35">
        <f>'1. 소켓인수검사'!C19</f>
        <v>800</v>
      </c>
      <c r="C20" s="35">
        <f>'1. 소켓인수검사'!D19</f>
        <v>450</v>
      </c>
      <c r="D20" s="50" t="s">
        <v>15</v>
      </c>
      <c r="E20" s="56">
        <f t="shared" si="0"/>
        <v>0.36</v>
      </c>
      <c r="F20" s="56">
        <f t="shared" si="1"/>
        <v>2.5</v>
      </c>
      <c r="G20" s="26">
        <f t="shared" si="2"/>
        <v>2.9</v>
      </c>
      <c r="H20" s="26">
        <v>4</v>
      </c>
      <c r="I20" s="57">
        <f t="shared" si="3"/>
        <v>11.6</v>
      </c>
      <c r="J20" s="26"/>
      <c r="K20" s="26"/>
      <c r="L20" s="26"/>
      <c r="M20" s="26"/>
      <c r="N20" s="26"/>
      <c r="O20" s="26"/>
      <c r="P20" s="26"/>
      <c r="Q20" s="26"/>
      <c r="R20" s="203"/>
      <c r="S20" s="204"/>
    </row>
    <row r="21" spans="1:19">
      <c r="A21" s="49" t="str">
        <f>'1. 소켓인수검사'!A20</f>
        <v>12</v>
      </c>
      <c r="B21" s="35">
        <f>'1. 소켓인수검사'!C20</f>
        <v>800</v>
      </c>
      <c r="C21" s="35">
        <f>'1. 소켓인수검사'!D20</f>
        <v>500</v>
      </c>
      <c r="D21" s="50" t="s">
        <v>15</v>
      </c>
      <c r="E21" s="56">
        <f t="shared" si="0"/>
        <v>0.4</v>
      </c>
      <c r="F21" s="56">
        <f t="shared" si="1"/>
        <v>2.6</v>
      </c>
      <c r="G21" s="26">
        <f t="shared" si="2"/>
        <v>3</v>
      </c>
      <c r="H21" s="26">
        <v>4</v>
      </c>
      <c r="I21" s="57">
        <f t="shared" si="3"/>
        <v>12</v>
      </c>
      <c r="J21" s="26"/>
      <c r="K21" s="26"/>
      <c r="L21" s="26"/>
      <c r="M21" s="26"/>
      <c r="N21" s="26"/>
      <c r="O21" s="26"/>
      <c r="P21" s="26"/>
      <c r="Q21" s="26"/>
      <c r="R21" s="203"/>
      <c r="S21" s="204"/>
    </row>
    <row r="22" spans="1:19">
      <c r="A22" s="205" t="s">
        <v>3</v>
      </c>
      <c r="B22" s="206"/>
      <c r="C22" s="206"/>
      <c r="D22" s="206"/>
      <c r="E22" s="206"/>
      <c r="F22" s="207"/>
      <c r="G22" s="33"/>
      <c r="H22" s="43"/>
      <c r="I22" s="65">
        <f>SUM(I10:I21)</f>
        <v>115.6</v>
      </c>
      <c r="J22" s="33"/>
      <c r="K22" s="33"/>
      <c r="L22" s="65">
        <f>SUM(L10:L21)</f>
        <v>0</v>
      </c>
      <c r="M22" s="33"/>
      <c r="N22" s="33"/>
      <c r="O22" s="65">
        <f>SUM(O10:O21)</f>
        <v>0</v>
      </c>
      <c r="P22" s="33"/>
      <c r="Q22" s="33"/>
      <c r="R22" s="208">
        <f>SUM(R10:S21)</f>
        <v>0</v>
      </c>
      <c r="S22" s="209"/>
    </row>
    <row r="23" spans="1:19" ht="17.25" customHeight="1">
      <c r="A23" s="212" t="s">
        <v>13</v>
      </c>
      <c r="B23" s="213"/>
      <c r="C23" s="213"/>
      <c r="D23" s="213"/>
      <c r="E23" s="213"/>
      <c r="F23" s="214"/>
      <c r="G23" s="215">
        <f>I22/20</f>
        <v>5.7799999999999994</v>
      </c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7"/>
    </row>
    <row r="24" spans="1:19">
      <c r="A24" s="212" t="s">
        <v>12</v>
      </c>
      <c r="B24" s="213"/>
      <c r="C24" s="213"/>
      <c r="D24" s="213"/>
      <c r="E24" s="213"/>
      <c r="F24" s="214"/>
      <c r="G24" s="215">
        <f>L22/3.6</f>
        <v>0</v>
      </c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7"/>
    </row>
    <row r="25" spans="1:19">
      <c r="A25" s="218" t="s">
        <v>69</v>
      </c>
      <c r="B25" s="213"/>
      <c r="C25" s="213"/>
      <c r="D25" s="213"/>
      <c r="E25" s="213"/>
      <c r="F25" s="214"/>
      <c r="G25" s="215">
        <f>O22/7.4</f>
        <v>0</v>
      </c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7"/>
    </row>
    <row r="26" spans="1:19">
      <c r="A26" s="212" t="s">
        <v>14</v>
      </c>
      <c r="B26" s="213"/>
      <c r="C26" s="213"/>
      <c r="D26" s="213"/>
      <c r="E26" s="213"/>
      <c r="F26" s="214"/>
      <c r="G26" s="215">
        <f>R22/3.6</f>
        <v>0</v>
      </c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7"/>
    </row>
    <row r="27" spans="1:19" ht="8.1" customHeight="1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</row>
    <row r="28" spans="1:19">
      <c r="A28" s="1" t="s">
        <v>45</v>
      </c>
      <c r="B28" s="1"/>
      <c r="C28" s="210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</row>
    <row r="29" spans="1:19">
      <c r="A29" s="1"/>
      <c r="B29" s="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</row>
    <row r="30" spans="1:19">
      <c r="A30" s="1"/>
      <c r="B30" s="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</row>
  </sheetData>
  <mergeCells count="51">
    <mergeCell ref="R20:S20"/>
    <mergeCell ref="R21:S21"/>
    <mergeCell ref="A22:F22"/>
    <mergeCell ref="R22:S22"/>
    <mergeCell ref="A28:B30"/>
    <mergeCell ref="C28:S30"/>
    <mergeCell ref="A23:F23"/>
    <mergeCell ref="G23:S23"/>
    <mergeCell ref="A24:F24"/>
    <mergeCell ref="G24:S24"/>
    <mergeCell ref="A25:F25"/>
    <mergeCell ref="G25:S25"/>
    <mergeCell ref="A26:F26"/>
    <mergeCell ref="G26:S26"/>
    <mergeCell ref="A27:S27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6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R19" sqref="R19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76" t="s">
        <v>6</v>
      </c>
      <c r="F1" s="222" t="s">
        <v>66</v>
      </c>
      <c r="G1" s="222"/>
      <c r="H1" s="222"/>
      <c r="I1" s="222"/>
      <c r="J1" s="222"/>
      <c r="K1" s="143" t="str">
        <f>'1. 소켓인수검사'!R2</f>
        <v>260626 대한항공 운북신 엔진정비공장증축</v>
      </c>
      <c r="L1" s="143"/>
      <c r="M1" s="143"/>
      <c r="N1" s="143"/>
      <c r="O1" s="143"/>
      <c r="P1" s="143"/>
      <c r="Q1" s="143"/>
      <c r="R1" s="143"/>
      <c r="S1" s="143"/>
      <c r="T1" s="143"/>
      <c r="U1" s="144"/>
    </row>
    <row r="2" spans="1:21" ht="16.5" customHeight="1">
      <c r="A2" s="1"/>
      <c r="B2" s="1"/>
      <c r="C2" s="1"/>
      <c r="D2" s="1"/>
      <c r="E2" s="75"/>
      <c r="F2" s="223"/>
      <c r="G2" s="223"/>
      <c r="H2" s="223"/>
      <c r="I2" s="223"/>
      <c r="J2" s="223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6"/>
    </row>
    <row r="3" spans="1:21" ht="24" customHeight="1">
      <c r="A3" s="1"/>
      <c r="B3" s="1"/>
      <c r="C3" s="1"/>
      <c r="D3" s="1"/>
      <c r="E3" s="77"/>
      <c r="F3" s="224"/>
      <c r="G3" s="224"/>
      <c r="H3" s="224"/>
      <c r="I3" s="224"/>
      <c r="J3" s="224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8"/>
    </row>
    <row r="4" spans="1:21" ht="8.1" customHeight="1">
      <c r="A4" s="193"/>
      <c r="B4" s="149"/>
      <c r="C4" s="149"/>
      <c r="D4" s="149"/>
      <c r="E4" s="149"/>
      <c r="F4" s="149"/>
      <c r="G4" s="149"/>
      <c r="H4" s="193"/>
      <c r="I4" s="149"/>
      <c r="J4" s="149"/>
      <c r="K4" s="149"/>
      <c r="L4" s="149"/>
      <c r="M4" s="149"/>
      <c r="N4" s="149"/>
      <c r="O4" s="149"/>
      <c r="P4" s="149"/>
      <c r="Q4" s="3"/>
      <c r="S4" s="3"/>
      <c r="T4" s="3"/>
      <c r="U4" s="3"/>
    </row>
    <row r="5" spans="1:21" ht="16.5" customHeight="1">
      <c r="A5" s="130" t="s">
        <v>52</v>
      </c>
      <c r="B5" s="228" t="s">
        <v>35</v>
      </c>
      <c r="C5" s="199" t="s">
        <v>59</v>
      </c>
      <c r="D5" s="199" t="s">
        <v>57</v>
      </c>
      <c r="E5" s="199" t="s">
        <v>23</v>
      </c>
      <c r="F5" s="199" t="s">
        <v>47</v>
      </c>
      <c r="G5" s="199" t="s">
        <v>54</v>
      </c>
      <c r="H5" s="199" t="s">
        <v>39</v>
      </c>
      <c r="I5" s="199" t="s">
        <v>22</v>
      </c>
      <c r="J5" s="199"/>
      <c r="K5" s="199" t="s">
        <v>0</v>
      </c>
      <c r="L5" s="199"/>
      <c r="M5" s="199" t="s">
        <v>0</v>
      </c>
      <c r="N5" s="199"/>
      <c r="O5" s="199" t="s">
        <v>0</v>
      </c>
      <c r="P5" s="199"/>
      <c r="Q5" s="230" t="s">
        <v>46</v>
      </c>
      <c r="R5" s="230"/>
      <c r="S5" s="231" t="s">
        <v>29</v>
      </c>
      <c r="T5" s="231" t="s">
        <v>51</v>
      </c>
      <c r="U5" s="1" t="s">
        <v>17</v>
      </c>
    </row>
    <row r="6" spans="1:21" ht="26.45" customHeight="1">
      <c r="A6" s="198"/>
      <c r="B6" s="229"/>
      <c r="C6" s="200"/>
      <c r="D6" s="200"/>
      <c r="E6" s="200"/>
      <c r="F6" s="200"/>
      <c r="G6" s="200"/>
      <c r="H6" s="200"/>
      <c r="I6" s="61" t="s">
        <v>7</v>
      </c>
      <c r="J6" s="34" t="s">
        <v>50</v>
      </c>
      <c r="K6" s="61" t="s">
        <v>67</v>
      </c>
      <c r="L6" s="34" t="s">
        <v>50</v>
      </c>
      <c r="M6" s="61" t="s">
        <v>34</v>
      </c>
      <c r="N6" s="34" t="s">
        <v>50</v>
      </c>
      <c r="O6" s="61" t="s">
        <v>36</v>
      </c>
      <c r="P6" s="34" t="s">
        <v>50</v>
      </c>
      <c r="Q6" s="61" t="s">
        <v>48</v>
      </c>
      <c r="R6" s="34" t="s">
        <v>60</v>
      </c>
      <c r="S6" s="232"/>
      <c r="T6" s="232"/>
      <c r="U6" s="219"/>
    </row>
    <row r="7" spans="1:21">
      <c r="A7" s="49" t="str">
        <f>'1. 소켓인수검사'!A9</f>
        <v>01</v>
      </c>
      <c r="B7" s="62" t="s">
        <v>41</v>
      </c>
      <c r="C7" s="35">
        <f>'1. 소켓인수검사'!C9</f>
        <v>200</v>
      </c>
      <c r="D7" s="35">
        <f>'1. 소켓인수검사'!D9</f>
        <v>200</v>
      </c>
      <c r="E7" s="36"/>
      <c r="F7" s="37">
        <f>C7*D7/1000000</f>
        <v>0.04</v>
      </c>
      <c r="G7" s="37">
        <f>(C7+D7)*2/1000</f>
        <v>0.8</v>
      </c>
      <c r="H7" s="42">
        <v>2</v>
      </c>
      <c r="I7" s="61">
        <f>(G7+0.4)</f>
        <v>1.2000000000000002</v>
      </c>
      <c r="J7" s="34">
        <v>8</v>
      </c>
      <c r="K7" s="26"/>
      <c r="L7" s="34"/>
      <c r="M7" s="26"/>
      <c r="N7" s="34"/>
      <c r="O7" s="26"/>
      <c r="P7" s="34"/>
      <c r="Q7" s="38">
        <f>(((C7+60)+250+(D7+60))*2/1000)*2</f>
        <v>3.08</v>
      </c>
      <c r="R7" s="94">
        <f>Q7*2</f>
        <v>6.16</v>
      </c>
      <c r="S7" s="39" t="s">
        <v>8</v>
      </c>
      <c r="T7" s="40" t="s">
        <v>11</v>
      </c>
      <c r="U7" s="41" t="str">
        <f>'1. 소켓인수검사'!G9</f>
        <v>B2F 여자화장실(B288)</v>
      </c>
    </row>
    <row r="8" spans="1:21">
      <c r="A8" s="49" t="str">
        <f>'1. 소켓인수검사'!A10</f>
        <v>02</v>
      </c>
      <c r="B8" s="62" t="s">
        <v>40</v>
      </c>
      <c r="C8" s="35">
        <f>'1. 소켓인수검사'!C10</f>
        <v>250</v>
      </c>
      <c r="D8" s="35">
        <f>'1. 소켓인수검사'!D10</f>
        <v>200</v>
      </c>
      <c r="E8" s="36"/>
      <c r="F8" s="37">
        <f t="shared" ref="F8:F9" si="0">C8*D8/1000000</f>
        <v>0.05</v>
      </c>
      <c r="G8" s="37">
        <f t="shared" ref="G8:G9" si="1">(C8+D8)*2/1000</f>
        <v>0.9</v>
      </c>
      <c r="H8" s="42">
        <v>2</v>
      </c>
      <c r="I8" s="61">
        <f>(G8+0.4)</f>
        <v>1.3</v>
      </c>
      <c r="J8" s="34">
        <v>8</v>
      </c>
      <c r="K8" s="26"/>
      <c r="L8" s="34"/>
      <c r="M8" s="26"/>
      <c r="N8" s="34"/>
      <c r="O8" s="26"/>
      <c r="P8" s="34"/>
      <c r="Q8" s="38">
        <f t="shared" ref="Q8:Q18" si="2">(((C8+60)+250+(D8+60))*2/1000)*2</f>
        <v>3.28</v>
      </c>
      <c r="R8" s="94">
        <f>Q8*2</f>
        <v>6.56</v>
      </c>
      <c r="S8" s="39" t="s">
        <v>8</v>
      </c>
      <c r="T8" s="40" t="s">
        <v>11</v>
      </c>
      <c r="U8" s="41" t="str">
        <f>'1. 소켓인수검사'!G10</f>
        <v>B2F 남자화장실(B287)</v>
      </c>
    </row>
    <row r="9" spans="1:21">
      <c r="A9" s="49" t="str">
        <f>'1. 소켓인수검사'!A11</f>
        <v>03</v>
      </c>
      <c r="B9" s="62" t="s">
        <v>38</v>
      </c>
      <c r="C9" s="35">
        <f>'1. 소켓인수검사'!C11</f>
        <v>500</v>
      </c>
      <c r="D9" s="35">
        <f>'1. 소켓인수검사'!D11</f>
        <v>400</v>
      </c>
      <c r="E9" s="36"/>
      <c r="F9" s="37">
        <f t="shared" si="0"/>
        <v>0.2</v>
      </c>
      <c r="G9" s="37">
        <f t="shared" si="1"/>
        <v>1.8</v>
      </c>
      <c r="H9" s="42">
        <v>2</v>
      </c>
      <c r="I9" s="61">
        <f>(G9+0.4)</f>
        <v>2.2000000000000002</v>
      </c>
      <c r="J9" s="34">
        <v>8</v>
      </c>
      <c r="K9" s="26"/>
      <c r="L9" s="34"/>
      <c r="M9" s="26"/>
      <c r="N9" s="34"/>
      <c r="O9" s="26"/>
      <c r="P9" s="34"/>
      <c r="Q9" s="38">
        <f t="shared" si="2"/>
        <v>5.08</v>
      </c>
      <c r="R9" s="94">
        <f t="shared" ref="R9:R18" si="3">Q9*2</f>
        <v>10.16</v>
      </c>
      <c r="S9" s="39" t="s">
        <v>8</v>
      </c>
      <c r="T9" s="40" t="s">
        <v>11</v>
      </c>
      <c r="U9" s="41" t="str">
        <f>'1. 소켓인수검사'!G11</f>
        <v>B1F 복도-1(B182)</v>
      </c>
    </row>
    <row r="10" spans="1:21">
      <c r="A10" s="49" t="str">
        <f>'1. 소켓인수검사'!A12</f>
        <v>04</v>
      </c>
      <c r="B10" s="62" t="s">
        <v>38</v>
      </c>
      <c r="C10" s="35">
        <f>'1. 소켓인수검사'!C12</f>
        <v>500</v>
      </c>
      <c r="D10" s="35">
        <f>'1. 소켓인수검사'!D12</f>
        <v>400</v>
      </c>
      <c r="E10" s="36"/>
      <c r="F10" s="37">
        <f t="shared" ref="F10:F18" si="4">C10*D10/1000000</f>
        <v>0.2</v>
      </c>
      <c r="G10" s="37">
        <f t="shared" ref="G10:G18" si="5">(C10+D10)*2/1000</f>
        <v>1.8</v>
      </c>
      <c r="H10" s="42">
        <v>2</v>
      </c>
      <c r="I10" s="61">
        <f t="shared" ref="I10:I18" si="6">(G10+0.4)</f>
        <v>2.2000000000000002</v>
      </c>
      <c r="J10" s="34">
        <v>8</v>
      </c>
      <c r="K10" s="26"/>
      <c r="L10" s="34"/>
      <c r="M10" s="26"/>
      <c r="N10" s="34"/>
      <c r="O10" s="26"/>
      <c r="P10" s="34"/>
      <c r="Q10" s="38">
        <f t="shared" si="2"/>
        <v>5.08</v>
      </c>
      <c r="R10" s="94">
        <f t="shared" si="3"/>
        <v>10.16</v>
      </c>
      <c r="S10" s="39" t="s">
        <v>8</v>
      </c>
      <c r="T10" s="40" t="s">
        <v>11</v>
      </c>
      <c r="U10" s="41" t="str">
        <f>'1. 소켓인수검사'!G12</f>
        <v>B1F PS-1</v>
      </c>
    </row>
    <row r="11" spans="1:21">
      <c r="A11" s="49" t="str">
        <f>'1. 소켓인수검사'!A13</f>
        <v>05</v>
      </c>
      <c r="B11" s="62" t="s">
        <v>38</v>
      </c>
      <c r="C11" s="35">
        <f>'1. 소켓인수검사'!C13</f>
        <v>500</v>
      </c>
      <c r="D11" s="35">
        <f>'1. 소켓인수검사'!D13</f>
        <v>450</v>
      </c>
      <c r="E11" s="36"/>
      <c r="F11" s="37">
        <f t="shared" si="4"/>
        <v>0.22500000000000001</v>
      </c>
      <c r="G11" s="37">
        <f t="shared" si="5"/>
        <v>1.9</v>
      </c>
      <c r="H11" s="42">
        <v>2</v>
      </c>
      <c r="I11" s="61">
        <f t="shared" si="6"/>
        <v>2.2999999999999998</v>
      </c>
      <c r="J11" s="34">
        <v>8</v>
      </c>
      <c r="K11" s="26"/>
      <c r="L11" s="34"/>
      <c r="M11" s="26"/>
      <c r="N11" s="34"/>
      <c r="O11" s="26"/>
      <c r="P11" s="34"/>
      <c r="Q11" s="38">
        <f t="shared" si="2"/>
        <v>5.28</v>
      </c>
      <c r="R11" s="94">
        <f t="shared" si="3"/>
        <v>10.56</v>
      </c>
      <c r="S11" s="39" t="s">
        <v>8</v>
      </c>
      <c r="T11" s="40" t="s">
        <v>11</v>
      </c>
      <c r="U11" s="41" t="str">
        <f>'1. 소켓인수검사'!G13</f>
        <v>B1F PS-2</v>
      </c>
    </row>
    <row r="12" spans="1:21">
      <c r="A12" s="49" t="str">
        <f>'1. 소켓인수검사'!A14</f>
        <v>06</v>
      </c>
      <c r="B12" s="62" t="s">
        <v>38</v>
      </c>
      <c r="C12" s="35">
        <f>'1. 소켓인수검사'!C14</f>
        <v>700</v>
      </c>
      <c r="D12" s="35">
        <f>'1. 소켓인수검사'!D14</f>
        <v>400</v>
      </c>
      <c r="E12" s="36"/>
      <c r="F12" s="37">
        <f t="shared" si="4"/>
        <v>0.28000000000000003</v>
      </c>
      <c r="G12" s="37">
        <f t="shared" si="5"/>
        <v>2.2000000000000002</v>
      </c>
      <c r="H12" s="42">
        <v>2</v>
      </c>
      <c r="I12" s="61">
        <f t="shared" si="6"/>
        <v>2.6</v>
      </c>
      <c r="J12" s="34">
        <v>8</v>
      </c>
      <c r="K12" s="26"/>
      <c r="L12" s="34"/>
      <c r="M12" s="26"/>
      <c r="N12" s="34"/>
      <c r="O12" s="26"/>
      <c r="P12" s="34"/>
      <c r="Q12" s="38">
        <f t="shared" si="2"/>
        <v>5.88</v>
      </c>
      <c r="R12" s="94">
        <f t="shared" si="3"/>
        <v>11.76</v>
      </c>
      <c r="S12" s="39" t="s">
        <v>8</v>
      </c>
      <c r="T12" s="40" t="s">
        <v>11</v>
      </c>
      <c r="U12" s="41" t="str">
        <f>'1. 소켓인수검사'!G14</f>
        <v>B1F PS-2</v>
      </c>
    </row>
    <row r="13" spans="1:21">
      <c r="A13" s="49" t="str">
        <f>'1. 소켓인수검사'!A15</f>
        <v>07</v>
      </c>
      <c r="B13" s="62" t="s">
        <v>38</v>
      </c>
      <c r="C13" s="35">
        <f>'1. 소켓인수검사'!C15</f>
        <v>700</v>
      </c>
      <c r="D13" s="35">
        <f>'1. 소켓인수검사'!D15</f>
        <v>500</v>
      </c>
      <c r="E13" s="36"/>
      <c r="F13" s="37">
        <f t="shared" si="4"/>
        <v>0.35</v>
      </c>
      <c r="G13" s="37">
        <f t="shared" si="5"/>
        <v>2.4</v>
      </c>
      <c r="H13" s="42">
        <v>2</v>
      </c>
      <c r="I13" s="61">
        <f t="shared" si="6"/>
        <v>2.8</v>
      </c>
      <c r="J13" s="34">
        <v>8</v>
      </c>
      <c r="K13" s="26"/>
      <c r="L13" s="34"/>
      <c r="M13" s="26"/>
      <c r="N13" s="34"/>
      <c r="O13" s="26"/>
      <c r="P13" s="34"/>
      <c r="Q13" s="38">
        <f t="shared" si="2"/>
        <v>6.28</v>
      </c>
      <c r="R13" s="94">
        <f t="shared" si="3"/>
        <v>12.56</v>
      </c>
      <c r="S13" s="39" t="s">
        <v>8</v>
      </c>
      <c r="T13" s="40" t="s">
        <v>11</v>
      </c>
      <c r="U13" s="41" t="str">
        <f>'1. 소켓인수검사'!G15</f>
        <v>B1F 재활용폐기물 창고</v>
      </c>
    </row>
    <row r="14" spans="1:21">
      <c r="A14" s="49" t="str">
        <f>'1. 소켓인수검사'!A16</f>
        <v>08</v>
      </c>
      <c r="B14" s="62" t="s">
        <v>38</v>
      </c>
      <c r="C14" s="35">
        <f>'1. 소켓인수검사'!C16</f>
        <v>700</v>
      </c>
      <c r="D14" s="35">
        <f>'1. 소켓인수검사'!D16</f>
        <v>500</v>
      </c>
      <c r="E14" s="36"/>
      <c r="F14" s="37">
        <f t="shared" si="4"/>
        <v>0.35</v>
      </c>
      <c r="G14" s="37">
        <f t="shared" si="5"/>
        <v>2.4</v>
      </c>
      <c r="H14" s="42">
        <v>2</v>
      </c>
      <c r="I14" s="61">
        <f t="shared" si="6"/>
        <v>2.8</v>
      </c>
      <c r="J14" s="34">
        <v>8</v>
      </c>
      <c r="K14" s="26"/>
      <c r="L14" s="34"/>
      <c r="M14" s="26"/>
      <c r="N14" s="34"/>
      <c r="O14" s="26"/>
      <c r="P14" s="34"/>
      <c r="Q14" s="38">
        <f t="shared" si="2"/>
        <v>6.28</v>
      </c>
      <c r="R14" s="94">
        <f t="shared" si="3"/>
        <v>12.56</v>
      </c>
      <c r="S14" s="39" t="s">
        <v>8</v>
      </c>
      <c r="T14" s="40" t="s">
        <v>11</v>
      </c>
      <c r="U14" s="41" t="str">
        <f>'1. 소켓인수검사'!G16</f>
        <v>B1F 락커룸(남)</v>
      </c>
    </row>
    <row r="15" spans="1:21">
      <c r="A15" s="49" t="str">
        <f>'1. 소켓인수검사'!A17</f>
        <v>09</v>
      </c>
      <c r="B15" s="62" t="s">
        <v>38</v>
      </c>
      <c r="C15" s="35">
        <f>'1. 소켓인수검사'!C17</f>
        <v>700</v>
      </c>
      <c r="D15" s="35">
        <f>'1. 소켓인수검사'!D17</f>
        <v>500</v>
      </c>
      <c r="E15" s="36"/>
      <c r="F15" s="37">
        <f t="shared" si="4"/>
        <v>0.35</v>
      </c>
      <c r="G15" s="37">
        <f t="shared" si="5"/>
        <v>2.4</v>
      </c>
      <c r="H15" s="42">
        <v>2</v>
      </c>
      <c r="I15" s="61">
        <f t="shared" si="6"/>
        <v>2.8</v>
      </c>
      <c r="J15" s="34">
        <v>8</v>
      </c>
      <c r="K15" s="26"/>
      <c r="L15" s="34"/>
      <c r="M15" s="26"/>
      <c r="N15" s="34"/>
      <c r="O15" s="26"/>
      <c r="P15" s="34"/>
      <c r="Q15" s="38">
        <f t="shared" si="2"/>
        <v>6.28</v>
      </c>
      <c r="R15" s="94">
        <f t="shared" si="3"/>
        <v>12.56</v>
      </c>
      <c r="S15" s="39" t="s">
        <v>8</v>
      </c>
      <c r="T15" s="40" t="s">
        <v>11</v>
      </c>
      <c r="U15" s="41" t="str">
        <f>'1. 소켓인수검사'!G17</f>
        <v>B1F PS-13</v>
      </c>
    </row>
    <row r="16" spans="1:21">
      <c r="A16" s="49" t="str">
        <f>'1. 소켓인수검사'!A18</f>
        <v>10</v>
      </c>
      <c r="B16" s="62" t="s">
        <v>38</v>
      </c>
      <c r="C16" s="35">
        <f>'1. 소켓인수검사'!C18</f>
        <v>700</v>
      </c>
      <c r="D16" s="35">
        <f>'1. 소켓인수검사'!D18</f>
        <v>500</v>
      </c>
      <c r="E16" s="36"/>
      <c r="F16" s="37">
        <f t="shared" si="4"/>
        <v>0.35</v>
      </c>
      <c r="G16" s="37">
        <f t="shared" si="5"/>
        <v>2.4</v>
      </c>
      <c r="H16" s="42">
        <v>2</v>
      </c>
      <c r="I16" s="61">
        <f t="shared" si="6"/>
        <v>2.8</v>
      </c>
      <c r="J16" s="34">
        <v>8</v>
      </c>
      <c r="K16" s="26"/>
      <c r="L16" s="34"/>
      <c r="M16" s="26"/>
      <c r="N16" s="34"/>
      <c r="O16" s="26"/>
      <c r="P16" s="34"/>
      <c r="Q16" s="38">
        <f t="shared" si="2"/>
        <v>6.28</v>
      </c>
      <c r="R16" s="94">
        <f t="shared" si="3"/>
        <v>12.56</v>
      </c>
      <c r="S16" s="39" t="s">
        <v>8</v>
      </c>
      <c r="T16" s="40" t="s">
        <v>11</v>
      </c>
      <c r="U16" s="41" t="str">
        <f>'1. 소켓인수검사'!G18</f>
        <v>B1F PS-13</v>
      </c>
    </row>
    <row r="17" spans="1:21">
      <c r="A17" s="49" t="str">
        <f>'1. 소켓인수검사'!A19</f>
        <v>11</v>
      </c>
      <c r="B17" s="62" t="s">
        <v>38</v>
      </c>
      <c r="C17" s="35">
        <f>'1. 소켓인수검사'!C19</f>
        <v>800</v>
      </c>
      <c r="D17" s="35">
        <f>'1. 소켓인수검사'!D19</f>
        <v>450</v>
      </c>
      <c r="E17" s="36"/>
      <c r="F17" s="37">
        <f t="shared" si="4"/>
        <v>0.36</v>
      </c>
      <c r="G17" s="37">
        <f t="shared" si="5"/>
        <v>2.5</v>
      </c>
      <c r="H17" s="42">
        <v>2</v>
      </c>
      <c r="I17" s="61">
        <f t="shared" si="6"/>
        <v>2.9</v>
      </c>
      <c r="J17" s="34">
        <v>8</v>
      </c>
      <c r="K17" s="26"/>
      <c r="L17" s="34"/>
      <c r="M17" s="26"/>
      <c r="N17" s="34"/>
      <c r="O17" s="26"/>
      <c r="P17" s="34"/>
      <c r="Q17" s="38">
        <f t="shared" si="2"/>
        <v>6.48</v>
      </c>
      <c r="R17" s="94">
        <f t="shared" si="3"/>
        <v>12.96</v>
      </c>
      <c r="S17" s="39" t="s">
        <v>8</v>
      </c>
      <c r="T17" s="40" t="s">
        <v>11</v>
      </c>
      <c r="U17" s="41" t="str">
        <f>'1. 소켓인수검사'!G19</f>
        <v>B1F 우수조실 관리층</v>
      </c>
    </row>
    <row r="18" spans="1:21">
      <c r="A18" s="49" t="str">
        <f>'1. 소켓인수검사'!A20</f>
        <v>12</v>
      </c>
      <c r="B18" s="62" t="s">
        <v>38</v>
      </c>
      <c r="C18" s="35">
        <f>'1. 소켓인수검사'!C20</f>
        <v>800</v>
      </c>
      <c r="D18" s="35">
        <f>'1. 소켓인수검사'!D20</f>
        <v>500</v>
      </c>
      <c r="E18" s="36"/>
      <c r="F18" s="37">
        <f t="shared" si="4"/>
        <v>0.4</v>
      </c>
      <c r="G18" s="37">
        <f t="shared" si="5"/>
        <v>2.6</v>
      </c>
      <c r="H18" s="42">
        <v>2</v>
      </c>
      <c r="I18" s="61">
        <f t="shared" si="6"/>
        <v>3</v>
      </c>
      <c r="J18" s="34">
        <v>8</v>
      </c>
      <c r="K18" s="26"/>
      <c r="L18" s="34"/>
      <c r="M18" s="26"/>
      <c r="N18" s="34"/>
      <c r="O18" s="26"/>
      <c r="P18" s="34"/>
      <c r="Q18" s="38">
        <f t="shared" si="2"/>
        <v>6.68</v>
      </c>
      <c r="R18" s="94">
        <f t="shared" si="3"/>
        <v>13.36</v>
      </c>
      <c r="S18" s="39" t="s">
        <v>8</v>
      </c>
      <c r="T18" s="40" t="s">
        <v>11</v>
      </c>
      <c r="U18" s="41" t="str">
        <f>'1. 소켓인수검사'!G20</f>
        <v>B1F 소화수조 루버</v>
      </c>
    </row>
    <row r="19" spans="1:21">
      <c r="A19" s="220" t="s">
        <v>5</v>
      </c>
      <c r="B19" s="221"/>
      <c r="C19" s="221"/>
      <c r="D19" s="60"/>
      <c r="E19" s="45"/>
      <c r="F19" s="45"/>
      <c r="G19" s="45"/>
      <c r="H19" s="44">
        <f>SUM(H7:H18)</f>
        <v>24</v>
      </c>
      <c r="I19" s="66"/>
      <c r="J19" s="44">
        <f>SUM(J7:J18)</f>
        <v>96</v>
      </c>
      <c r="K19" s="66"/>
      <c r="L19" s="44">
        <f>SUM(L7:L18)</f>
        <v>0</v>
      </c>
      <c r="M19" s="66"/>
      <c r="N19" s="44">
        <f>SUM(N7:N18)</f>
        <v>0</v>
      </c>
      <c r="O19" s="66"/>
      <c r="P19" s="44">
        <f>SUM(P7:P18)</f>
        <v>0</v>
      </c>
      <c r="Q19" s="66">
        <f>SUM(Q7:Q18)</f>
        <v>65.960000000000008</v>
      </c>
      <c r="R19" s="44">
        <f>SUM(R7:R18)</f>
        <v>131.92000000000002</v>
      </c>
      <c r="S19" s="63"/>
      <c r="T19" s="63"/>
      <c r="U19" s="64"/>
    </row>
    <row r="20" spans="1:21" ht="8.1" customHeight="1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4"/>
    </row>
    <row r="21" spans="1:21">
      <c r="A21" s="1" t="s">
        <v>45</v>
      </c>
      <c r="B21" s="1"/>
      <c r="C21" s="1"/>
      <c r="D21" s="195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7"/>
    </row>
    <row r="22" spans="1:21">
      <c r="A22" s="1"/>
      <c r="B22" s="1"/>
      <c r="C22" s="1"/>
      <c r="D22" s="225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7"/>
    </row>
    <row r="23" spans="1:21">
      <c r="A23" s="1"/>
      <c r="B23" s="1"/>
      <c r="C23" s="1"/>
      <c r="D23" s="225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7"/>
    </row>
    <row r="24" spans="1:21">
      <c r="A24" s="1"/>
      <c r="B24" s="1"/>
      <c r="C24" s="1"/>
      <c r="D24" s="225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7"/>
    </row>
    <row r="25" spans="1:21">
      <c r="A25" s="1"/>
      <c r="B25" s="1"/>
      <c r="C25" s="1"/>
      <c r="D25" s="225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7"/>
    </row>
    <row r="26" spans="1:21">
      <c r="A26" s="1"/>
      <c r="B26" s="1"/>
      <c r="C26" s="1"/>
      <c r="D26" s="193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94"/>
    </row>
  </sheetData>
  <mergeCells count="24">
    <mergeCell ref="A20:P20"/>
    <mergeCell ref="A21:C26"/>
    <mergeCell ref="Q5:R5"/>
    <mergeCell ref="S5:S6"/>
    <mergeCell ref="T5:T6"/>
    <mergeCell ref="K5:L5"/>
    <mergeCell ref="O5:P5"/>
    <mergeCell ref="M5:N5"/>
    <mergeCell ref="U5:U6"/>
    <mergeCell ref="A19:C19"/>
    <mergeCell ref="F1:J3"/>
    <mergeCell ref="K1:U3"/>
    <mergeCell ref="D21:U2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7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2026-06-28T21:21:05Z</cp:lastPrinted>
  <dcterms:created xsi:type="dcterms:W3CDTF">2025-03-13T00:09:10Z</dcterms:created>
  <dcterms:modified xsi:type="dcterms:W3CDTF">2026-06-30T22:17:36Z</dcterms:modified>
  <cp:version>1200.0100.01</cp:version>
</cp:coreProperties>
</file>