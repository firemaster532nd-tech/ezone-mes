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BE5577BA-415F-4067-A2EF-3813D3B1C2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소켓인수검사'!$A$1:$P$34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19" i="12"/>
  <c r="I19" i="12" s="1"/>
  <c r="C19" i="12"/>
  <c r="D18" i="12"/>
  <c r="M18" i="12" s="1"/>
  <c r="C18" i="12"/>
  <c r="K18" i="12" s="1"/>
  <c r="D17" i="12"/>
  <c r="C17" i="12"/>
  <c r="G17" i="12" s="1"/>
  <c r="D16" i="12"/>
  <c r="I16" i="12" s="1"/>
  <c r="C16" i="12"/>
  <c r="D15" i="12"/>
  <c r="M15" i="12" s="1"/>
  <c r="C15" i="12"/>
  <c r="D14" i="12"/>
  <c r="I14" i="12" s="1"/>
  <c r="C14" i="12"/>
  <c r="G14" i="12" s="1"/>
  <c r="D13" i="12"/>
  <c r="C13" i="12"/>
  <c r="K13" i="12" s="1"/>
  <c r="D12" i="12"/>
  <c r="I12" i="12" s="1"/>
  <c r="C12" i="12"/>
  <c r="D11" i="12"/>
  <c r="I11" i="12" s="1"/>
  <c r="C11" i="12"/>
  <c r="D10" i="12"/>
  <c r="I10" i="12" s="1"/>
  <c r="C10" i="12"/>
  <c r="D9" i="12"/>
  <c r="C9" i="12"/>
  <c r="D8" i="12"/>
  <c r="I8" i="12" s="1"/>
  <c r="C8" i="12"/>
  <c r="G8" i="12" s="1"/>
  <c r="A19" i="12"/>
  <c r="A18" i="12"/>
  <c r="A17" i="12"/>
  <c r="A16" i="12"/>
  <c r="A15" i="12"/>
  <c r="A14" i="12"/>
  <c r="A13" i="12"/>
  <c r="A12" i="12"/>
  <c r="A11" i="12"/>
  <c r="A10" i="12"/>
  <c r="A9" i="12"/>
  <c r="A8" i="12"/>
  <c r="J19" i="12"/>
  <c r="H19" i="12"/>
  <c r="J18" i="12"/>
  <c r="H18" i="12"/>
  <c r="J17" i="12"/>
  <c r="H17" i="12"/>
  <c r="J16" i="12"/>
  <c r="H16" i="12"/>
  <c r="G16" i="12"/>
  <c r="K16" i="12"/>
  <c r="J15" i="12"/>
  <c r="H15" i="12"/>
  <c r="I15" i="12"/>
  <c r="K14" i="12"/>
  <c r="J14" i="12"/>
  <c r="H14" i="12"/>
  <c r="J13" i="12"/>
  <c r="H13" i="12"/>
  <c r="J12" i="12"/>
  <c r="H12" i="12"/>
  <c r="G12" i="12"/>
  <c r="K12" i="12"/>
  <c r="M11" i="12"/>
  <c r="J11" i="12"/>
  <c r="H11" i="12"/>
  <c r="K10" i="12"/>
  <c r="J10" i="12"/>
  <c r="H10" i="12"/>
  <c r="G10" i="12"/>
  <c r="J9" i="12"/>
  <c r="H9" i="12"/>
  <c r="J8" i="12"/>
  <c r="H8" i="12"/>
  <c r="K8" i="12"/>
  <c r="G1" i="2"/>
  <c r="D33" i="2"/>
  <c r="C33" i="2"/>
  <c r="G33" i="2" s="1"/>
  <c r="D32" i="2"/>
  <c r="I32" i="2" s="1"/>
  <c r="C32" i="2"/>
  <c r="G32" i="2" s="1"/>
  <c r="D31" i="2"/>
  <c r="C31" i="2"/>
  <c r="D30" i="2"/>
  <c r="I30" i="2" s="1"/>
  <c r="C30" i="2"/>
  <c r="G30" i="2" s="1"/>
  <c r="D29" i="2"/>
  <c r="C29" i="2"/>
  <c r="G29" i="2" s="1"/>
  <c r="D28" i="2"/>
  <c r="I28" i="2" s="1"/>
  <c r="C28" i="2"/>
  <c r="G28" i="2" s="1"/>
  <c r="D27" i="2"/>
  <c r="I27" i="2" s="1"/>
  <c r="C27" i="2"/>
  <c r="G27" i="2" s="1"/>
  <c r="D26" i="2"/>
  <c r="I26" i="2" s="1"/>
  <c r="C26" i="2"/>
  <c r="G26" i="2" s="1"/>
  <c r="D25" i="2"/>
  <c r="I25" i="2" s="1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D20" i="2"/>
  <c r="I20" i="2" s="1"/>
  <c r="C20" i="2"/>
  <c r="G20" i="2" s="1"/>
  <c r="D19" i="2"/>
  <c r="C19" i="2"/>
  <c r="D18" i="2"/>
  <c r="C18" i="2"/>
  <c r="D17" i="2"/>
  <c r="C17" i="2"/>
  <c r="D16" i="2"/>
  <c r="C16" i="2"/>
  <c r="D15" i="2"/>
  <c r="C15" i="2"/>
  <c r="G15" i="2" s="1"/>
  <c r="D14" i="2"/>
  <c r="C14" i="2"/>
  <c r="D13" i="2"/>
  <c r="I13" i="2" s="1"/>
  <c r="C13" i="2"/>
  <c r="D12" i="2"/>
  <c r="C12" i="2"/>
  <c r="D11" i="2"/>
  <c r="C11" i="2"/>
  <c r="D10" i="2"/>
  <c r="C10" i="2"/>
  <c r="D9" i="2"/>
  <c r="I9" i="2" s="1"/>
  <c r="C9" i="2"/>
  <c r="D8" i="2"/>
  <c r="C8" i="2"/>
  <c r="I33" i="2"/>
  <c r="A33" i="2"/>
  <c r="A32" i="2"/>
  <c r="I31" i="2"/>
  <c r="G31" i="2"/>
  <c r="A31" i="2"/>
  <c r="A30" i="2"/>
  <c r="I29" i="2"/>
  <c r="A29" i="2"/>
  <c r="A28" i="2"/>
  <c r="A27" i="2"/>
  <c r="A26" i="2"/>
  <c r="A25" i="2"/>
  <c r="A24" i="2"/>
  <c r="A23" i="2"/>
  <c r="A22" i="2"/>
  <c r="G21" i="2"/>
  <c r="A21" i="2"/>
  <c r="A20" i="2"/>
  <c r="C8" i="3"/>
  <c r="G8" i="3" s="1"/>
  <c r="K1" i="10"/>
  <c r="P5" i="9"/>
  <c r="O5" i="7"/>
  <c r="N5" i="6"/>
  <c r="N5" i="5"/>
  <c r="H1" i="3"/>
  <c r="D1" i="1"/>
  <c r="P33" i="10"/>
  <c r="H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22" i="3"/>
  <c r="L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19" i="2"/>
  <c r="A18" i="2"/>
  <c r="I17" i="2"/>
  <c r="A17" i="2"/>
  <c r="A16" i="2"/>
  <c r="A15" i="2"/>
  <c r="A14" i="2"/>
  <c r="A13" i="2"/>
  <c r="A12" i="2"/>
  <c r="A11" i="2"/>
  <c r="A10" i="2"/>
  <c r="A9" i="2"/>
  <c r="A8" i="2"/>
  <c r="K17" i="12" l="1"/>
  <c r="M19" i="12"/>
  <c r="F26" i="10"/>
  <c r="G31" i="10"/>
  <c r="O31" i="10" s="1"/>
  <c r="G9" i="12"/>
  <c r="K9" i="12"/>
  <c r="M14" i="12"/>
  <c r="M10" i="12"/>
  <c r="G15" i="10"/>
  <c r="Q17" i="10"/>
  <c r="R17" i="10" s="1"/>
  <c r="Q25" i="10"/>
  <c r="R25" i="10" s="1"/>
  <c r="F14" i="9"/>
  <c r="M14" i="9" s="1"/>
  <c r="O14" i="9" s="1"/>
  <c r="G18" i="12"/>
  <c r="G13" i="12"/>
  <c r="I18" i="12"/>
  <c r="K11" i="12"/>
  <c r="G11" i="12"/>
  <c r="M13" i="12"/>
  <c r="I13" i="12"/>
  <c r="K15" i="12"/>
  <c r="G15" i="12"/>
  <c r="M17" i="12"/>
  <c r="I17" i="12"/>
  <c r="K19" i="12"/>
  <c r="G19" i="12"/>
  <c r="M9" i="12"/>
  <c r="I9" i="12"/>
  <c r="M8" i="12"/>
  <c r="M12" i="12"/>
  <c r="M16" i="12"/>
  <c r="J22" i="3"/>
  <c r="H22" i="3"/>
  <c r="I15" i="3"/>
  <c r="M11" i="3"/>
  <c r="I9" i="3"/>
  <c r="K8" i="3"/>
  <c r="G25" i="10"/>
  <c r="O25" i="10" s="1"/>
  <c r="Q14" i="10"/>
  <c r="R14" i="10" s="1"/>
  <c r="G7" i="10"/>
  <c r="K7" i="10" s="1"/>
  <c r="F14" i="10"/>
  <c r="G14" i="10"/>
  <c r="K14" i="10" s="1"/>
  <c r="E10" i="9"/>
  <c r="E18" i="9"/>
  <c r="E34" i="9"/>
  <c r="G17" i="2"/>
  <c r="G13" i="2"/>
  <c r="G9" i="2"/>
  <c r="I19" i="2"/>
  <c r="K12" i="3"/>
  <c r="G12" i="3"/>
  <c r="G14" i="3"/>
  <c r="K16" i="3"/>
  <c r="G16" i="3"/>
  <c r="I8" i="3"/>
  <c r="M8" i="3"/>
  <c r="M10" i="3"/>
  <c r="I12" i="3"/>
  <c r="M12" i="3"/>
  <c r="M14" i="3"/>
  <c r="I15" i="2"/>
  <c r="I11" i="2"/>
  <c r="G13" i="3"/>
  <c r="K15" i="3"/>
  <c r="G15" i="3"/>
  <c r="I16" i="2"/>
  <c r="G21" i="3"/>
  <c r="G16" i="2"/>
  <c r="G18" i="2"/>
  <c r="I18" i="2"/>
  <c r="I10" i="2"/>
  <c r="G12" i="2"/>
  <c r="G14" i="2"/>
  <c r="I13" i="3"/>
  <c r="I17" i="3"/>
  <c r="I8" i="2"/>
  <c r="I14" i="2"/>
  <c r="I19" i="3"/>
  <c r="I12" i="2"/>
  <c r="G8" i="2"/>
  <c r="G10" i="2"/>
  <c r="I21" i="3"/>
  <c r="E20" i="9"/>
  <c r="F20" i="9"/>
  <c r="M20" i="9" s="1"/>
  <c r="O20" i="9" s="1"/>
  <c r="I16" i="3"/>
  <c r="M16" i="3"/>
  <c r="M20" i="3"/>
  <c r="G9" i="3"/>
  <c r="M18" i="3"/>
  <c r="K20" i="3"/>
  <c r="G20" i="3"/>
  <c r="G11" i="2"/>
  <c r="G19" i="2"/>
  <c r="G17" i="3"/>
  <c r="F10" i="10"/>
  <c r="Q13" i="10"/>
  <c r="R13" i="10" s="1"/>
  <c r="F15" i="10"/>
  <c r="Q11" i="10"/>
  <c r="R11" i="10" s="1"/>
  <c r="E32" i="9"/>
  <c r="Q27" i="10"/>
  <c r="R27" i="10" s="1"/>
  <c r="E12" i="9"/>
  <c r="F16" i="9"/>
  <c r="M16" i="9" s="1"/>
  <c r="O16" i="9" s="1"/>
  <c r="G22" i="10"/>
  <c r="O22" i="10" s="1"/>
  <c r="F31" i="10"/>
  <c r="G18" i="10"/>
  <c r="K18" i="10" s="1"/>
  <c r="E22" i="9"/>
  <c r="F22" i="9"/>
  <c r="P22" i="9" s="1"/>
  <c r="R22" i="9" s="1"/>
  <c r="F18" i="10"/>
  <c r="Q24" i="10"/>
  <c r="R24" i="10" s="1"/>
  <c r="G24" i="10"/>
  <c r="O24" i="10" s="1"/>
  <c r="F27" i="10"/>
  <c r="Q18" i="10"/>
  <c r="R18" i="10" s="1"/>
  <c r="Q10" i="10"/>
  <c r="R10" i="10" s="1"/>
  <c r="G10" i="10"/>
  <c r="K10" i="10" s="1"/>
  <c r="Q15" i="10"/>
  <c r="R15" i="10" s="1"/>
  <c r="Q20" i="10"/>
  <c r="R20" i="10" s="1"/>
  <c r="G20" i="10"/>
  <c r="O20" i="10" s="1"/>
  <c r="F7" i="10"/>
  <c r="Q7" i="10"/>
  <c r="R7" i="10" s="1"/>
  <c r="Q9" i="10"/>
  <c r="R9" i="10" s="1"/>
  <c r="F11" i="10"/>
  <c r="G11" i="10"/>
  <c r="K11" i="10" s="1"/>
  <c r="F25" i="10"/>
  <c r="G27" i="10"/>
  <c r="O27" i="10" s="1"/>
  <c r="G32" i="10"/>
  <c r="F32" i="10"/>
  <c r="N33" i="10"/>
  <c r="F17" i="10"/>
  <c r="Q22" i="10"/>
  <c r="R22" i="10" s="1"/>
  <c r="G30" i="10"/>
  <c r="F12" i="9"/>
  <c r="M12" i="9" s="1"/>
  <c r="O12" i="9" s="1"/>
  <c r="F18" i="9"/>
  <c r="M18" i="9" s="1"/>
  <c r="O18" i="9" s="1"/>
  <c r="F26" i="9"/>
  <c r="E26" i="9"/>
  <c r="F30" i="9"/>
  <c r="P30" i="9" s="1"/>
  <c r="R30" i="9" s="1"/>
  <c r="E30" i="9"/>
  <c r="E16" i="9"/>
  <c r="F24" i="9"/>
  <c r="E24" i="9"/>
  <c r="F28" i="9"/>
  <c r="E28" i="9"/>
  <c r="F10" i="9"/>
  <c r="M10" i="9" s="1"/>
  <c r="O10" i="9" s="1"/>
  <c r="E14" i="9"/>
  <c r="F32" i="9"/>
  <c r="F34" i="9"/>
  <c r="G34" i="9" s="1"/>
  <c r="I34" i="9" s="1"/>
  <c r="K11" i="3"/>
  <c r="K19" i="3"/>
  <c r="I10" i="3"/>
  <c r="K10" i="3"/>
  <c r="I14" i="3"/>
  <c r="K14" i="3"/>
  <c r="I18" i="3"/>
  <c r="K18" i="3"/>
  <c r="E15" i="9"/>
  <c r="F15" i="9"/>
  <c r="M15" i="9" s="1"/>
  <c r="O15" i="9" s="1"/>
  <c r="E17" i="9"/>
  <c r="F17" i="9"/>
  <c r="M17" i="9" s="1"/>
  <c r="O17" i="9" s="1"/>
  <c r="K9" i="3"/>
  <c r="K13" i="3"/>
  <c r="K17" i="3"/>
  <c r="K21" i="3"/>
  <c r="E13" i="9"/>
  <c r="F13" i="9"/>
  <c r="M13" i="9" s="1"/>
  <c r="O13" i="9" s="1"/>
  <c r="E21" i="9"/>
  <c r="F21" i="9"/>
  <c r="M21" i="9" s="1"/>
  <c r="O21" i="9" s="1"/>
  <c r="E11" i="9"/>
  <c r="F11" i="9"/>
  <c r="M11" i="9" s="1"/>
  <c r="O11" i="9" s="1"/>
  <c r="E19" i="9"/>
  <c r="F19" i="9"/>
  <c r="M19" i="9" s="1"/>
  <c r="O19" i="9" s="1"/>
  <c r="G26" i="9"/>
  <c r="I26" i="9" s="1"/>
  <c r="P26" i="9"/>
  <c r="R26" i="9" s="1"/>
  <c r="F23" i="9"/>
  <c r="E23" i="9"/>
  <c r="F27" i="9"/>
  <c r="E27" i="9"/>
  <c r="F31" i="9"/>
  <c r="E31" i="9"/>
  <c r="F35" i="9"/>
  <c r="E35" i="9"/>
  <c r="F25" i="9"/>
  <c r="E25" i="9"/>
  <c r="F29" i="9"/>
  <c r="E29" i="9"/>
  <c r="F33" i="9"/>
  <c r="E33" i="9"/>
  <c r="J33" i="10"/>
  <c r="L33" i="10"/>
  <c r="G23" i="10"/>
  <c r="Q23" i="10"/>
  <c r="R23" i="10" s="1"/>
  <c r="F23" i="10"/>
  <c r="G28" i="10"/>
  <c r="F28" i="10"/>
  <c r="Q28" i="10"/>
  <c r="R28" i="10" s="1"/>
  <c r="K15" i="10"/>
  <c r="G21" i="10"/>
  <c r="Q21" i="10"/>
  <c r="R21" i="10" s="1"/>
  <c r="F21" i="10"/>
  <c r="G29" i="10"/>
  <c r="F29" i="10"/>
  <c r="Q29" i="10"/>
  <c r="R29" i="10" s="1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Q16" i="10"/>
  <c r="R16" i="10" s="1"/>
  <c r="G16" i="10"/>
  <c r="F16" i="10"/>
  <c r="G19" i="10"/>
  <c r="Q19" i="10"/>
  <c r="R19" i="10" s="1"/>
  <c r="F19" i="10"/>
  <c r="Q26" i="10"/>
  <c r="R26" i="10" s="1"/>
  <c r="G17" i="10"/>
  <c r="Q30" i="10"/>
  <c r="R30" i="10" s="1"/>
  <c r="Q31" i="10"/>
  <c r="R31" i="10" s="1"/>
  <c r="F20" i="10"/>
  <c r="F22" i="10"/>
  <c r="F24" i="10"/>
  <c r="G26" i="10"/>
  <c r="I27" i="10"/>
  <c r="F30" i="10"/>
  <c r="Q32" i="10"/>
  <c r="R32" i="10" s="1"/>
  <c r="I31" i="10" l="1"/>
  <c r="I20" i="10"/>
  <c r="P34" i="9"/>
  <c r="R34" i="9" s="1"/>
  <c r="I22" i="10"/>
  <c r="G22" i="9"/>
  <c r="I22" i="9" s="1"/>
  <c r="G30" i="9"/>
  <c r="I30" i="9" s="1"/>
  <c r="I24" i="10"/>
  <c r="I25" i="10"/>
  <c r="O36" i="9"/>
  <c r="G39" i="9" s="1"/>
  <c r="O32" i="10"/>
  <c r="I32" i="10"/>
  <c r="O30" i="10"/>
  <c r="I30" i="10"/>
  <c r="G32" i="9"/>
  <c r="I32" i="9" s="1"/>
  <c r="P32" i="9"/>
  <c r="R32" i="9" s="1"/>
  <c r="G28" i="9"/>
  <c r="I28" i="9" s="1"/>
  <c r="P28" i="9"/>
  <c r="R28" i="9" s="1"/>
  <c r="G24" i="9"/>
  <c r="I24" i="9" s="1"/>
  <c r="P24" i="9"/>
  <c r="R24" i="9" s="1"/>
  <c r="O26" i="10"/>
  <c r="I26" i="10"/>
  <c r="I19" i="10"/>
  <c r="O19" i="10"/>
  <c r="K16" i="10"/>
  <c r="K9" i="10"/>
  <c r="R33" i="10"/>
  <c r="P33" i="9"/>
  <c r="R33" i="9" s="1"/>
  <c r="G33" i="9"/>
  <c r="I33" i="9" s="1"/>
  <c r="P25" i="9"/>
  <c r="R25" i="9" s="1"/>
  <c r="G25" i="9"/>
  <c r="I25" i="9" s="1"/>
  <c r="P35" i="9"/>
  <c r="R35" i="9" s="1"/>
  <c r="G35" i="9"/>
  <c r="I35" i="9" s="1"/>
  <c r="P27" i="9"/>
  <c r="R27" i="9" s="1"/>
  <c r="G27" i="9"/>
  <c r="I27" i="9" s="1"/>
  <c r="K13" i="10"/>
  <c r="K12" i="10"/>
  <c r="I23" i="10"/>
  <c r="O23" i="10"/>
  <c r="Q33" i="10"/>
  <c r="O29" i="10"/>
  <c r="I29" i="10"/>
  <c r="K17" i="10"/>
  <c r="K8" i="10"/>
  <c r="I21" i="10"/>
  <c r="O21" i="10"/>
  <c r="I28" i="10"/>
  <c r="O28" i="10"/>
  <c r="P29" i="9"/>
  <c r="R29" i="9" s="1"/>
  <c r="G29" i="9"/>
  <c r="I29" i="9" s="1"/>
  <c r="P31" i="9"/>
  <c r="R31" i="9" s="1"/>
  <c r="G31" i="9"/>
  <c r="I31" i="9" s="1"/>
  <c r="P23" i="9"/>
  <c r="R23" i="9" s="1"/>
  <c r="G23" i="9"/>
  <c r="I23" i="9" s="1"/>
  <c r="I36" i="9" l="1"/>
  <c r="G37" i="9" s="1"/>
  <c r="R36" i="9"/>
  <c r="G40" i="9" s="1"/>
  <c r="L36" i="9"/>
  <c r="G3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<sst xmlns="http://schemas.openxmlformats.org/spreadsheetml/2006/main" count="486" uniqueCount="140">
  <si>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</si>
  <si>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</si>
  <si>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</si>
  <si>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</si>
  <si>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</si>
  <si>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</si>
  <si>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</si>
  <si>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</si>
  <si>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</si>
  <si>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</si>
  <si>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</si>
  <si>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</si>
  <si>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</si>
  <si>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</si>
  <si>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</si>
  <si>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</si>
  <si>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</si>
  <si>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</si>
  <si>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</si>
  <si>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</si>
  <si>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</si>
  <si>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</si>
  <si>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</si>
  <si>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</si>
  <si>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</si>
  <si>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</si>
  <si>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</si>
  <si>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</si>
  <si>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</si>
  <si>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</si>
  <si>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</si>
  <si>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</si>
  <si>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</si>
  <si>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</si>
  <si>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</si>
  <si>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</si>
  <si>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</si>
  <si>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</si>
  <si>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</si>
  <si>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</si>
  <si>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</si>
  <si>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</si>
  <si>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</si>
  <si>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</si>
  <si>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</si>
  <si>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</si>
  <si>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</si>
  <si>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</si>
  <si>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</si>
  <si>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</si>
  <si>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</si>
  <si>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</si>
  <si>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</si>
  <si>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</si>
  <si>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</si>
  <si>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</si>
  <si>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</si>
  <si>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</si>
  <si>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</si>
  <si>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</si>
  <si>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</si>
  <si>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</si>
  <si>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</si>
  <si>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</si>
  <si>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</si>
  <si>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</si>
  <si>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</si>
  <si>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</si>
  <si>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</si>
  <si>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</si>
  <si>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0" type="noConversion"/>
  </si>
  <si>
    <t>재단작업지시서
(VT)</t>
    <phoneticPr fontId="30" type="noConversion"/>
  </si>
  <si>
    <t>재단작업지시서(VM)</t>
    <phoneticPr fontId="30" type="noConversion"/>
  </si>
  <si>
    <t>절 곡 생 산 일 지(VM)</t>
    <phoneticPr fontId="30" type="noConversion"/>
  </si>
  <si>
    <t>절 곡 생 산 일 지(VT_브라켓)</t>
    <phoneticPr fontId="30" type="noConversion"/>
  </si>
  <si>
    <t>라벨소요량</t>
    <phoneticPr fontId="30" type="noConversion"/>
  </si>
  <si>
    <t>25*
200</t>
    <phoneticPr fontId="30" type="noConversion"/>
  </si>
  <si>
    <t>구조체작업지시서</t>
    <phoneticPr fontId="30" type="noConversion"/>
  </si>
  <si>
    <t>차열재 25T*200*7.4M</t>
    <phoneticPr fontId="30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</si>
  <si>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</si>
  <si>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</si>
  <si>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</si>
  <si>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</si>
  <si>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</si>
  <si>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</si>
  <si>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</si>
  <si>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</si>
  <si>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</si>
  <si>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</si>
  <si>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</si>
  <si>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</si>
  <si>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</si>
  <si>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</si>
  <si>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</si>
  <si>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</si>
  <si>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</si>
  <si>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</si>
  <si>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</si>
  <si>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</si>
  <si>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</si>
  <si>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</si>
  <si>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</si>
  <si>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재단작업지시서차열재</t>
    <phoneticPr fontId="30" type="noConversion"/>
  </si>
  <si>
    <t>8동 1번</t>
  </si>
  <si>
    <t>5동 1번</t>
  </si>
  <si>
    <t>5동 2번</t>
  </si>
  <si>
    <t>8동 2번</t>
  </si>
  <si>
    <t>6동 2번</t>
  </si>
  <si>
    <t>6동 1번</t>
  </si>
  <si>
    <t>01</t>
    <phoneticPr fontId="30" type="noConversion"/>
  </si>
  <si>
    <t>02</t>
    <phoneticPr fontId="30" type="noConversion"/>
  </si>
  <si>
    <t>03</t>
    <phoneticPr fontId="30" type="noConversion"/>
  </si>
  <si>
    <t>CN025</t>
    <phoneticPr fontId="30" type="noConversion"/>
  </si>
  <si>
    <t>CN026</t>
  </si>
  <si>
    <t>CN027</t>
  </si>
  <si>
    <t>CN028</t>
  </si>
  <si>
    <t>CN029</t>
  </si>
  <si>
    <t>CN030</t>
  </si>
  <si>
    <t>CN031</t>
  </si>
  <si>
    <t>CN032</t>
  </si>
  <si>
    <t>CN033</t>
  </si>
  <si>
    <t>CN034</t>
  </si>
  <si>
    <t>CN035</t>
  </si>
  <si>
    <t>CN036</t>
  </si>
  <si>
    <t>CN037</t>
  </si>
  <si>
    <t>CN038</t>
  </si>
  <si>
    <t>CN039</t>
  </si>
  <si>
    <t>CN040</t>
  </si>
  <si>
    <t>CN041</t>
  </si>
  <si>
    <t>CN042</t>
  </si>
  <si>
    <t>CN043</t>
  </si>
  <si>
    <t>CN044</t>
  </si>
  <si>
    <t>CN045</t>
  </si>
  <si>
    <t>CN046</t>
  </si>
  <si>
    <t>CN047</t>
  </si>
  <si>
    <t>CN048</t>
  </si>
  <si>
    <t>CN049</t>
  </si>
  <si>
    <t>CN050</t>
  </si>
  <si>
    <t>- 동별로 나눠서 포장요망</t>
    <phoneticPr fontId="30" type="noConversion"/>
  </si>
  <si>
    <r>
      <t xml:space="preserve">26.06.10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덕신건업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롯데건설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인천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효성구역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도시개발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공동주택</t>
    </r>
    <r>
      <rPr>
        <sz val="10"/>
        <color rgb="FF000000"/>
        <rFont val="Helvetica Neue"/>
        <family val="2"/>
      </rPr>
      <t>(4BL) 2</t>
    </r>
    <r>
      <rPr>
        <sz val="10"/>
        <color rgb="FF000000"/>
        <rFont val="맑은 고딕"/>
        <family val="3"/>
        <charset val="129"/>
      </rPr>
      <t>차분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</si>
</sst>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8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9" fillId="0" borderId="0">
      <alignment vertical="center"/>
    </xf>
    <xf numFmtId="176" fontId="29" fillId="0" borderId="0">
      <alignment vertical="center"/>
    </xf>
    <xf numFmtId="0" fontId="1" fillId="0" borderId="0">
      <alignment vertical="center"/>
    </xf>
  </cellStyleXfs>
  <cellXfs count="3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2">
      <alignment vertical="center"/>
    </xf>
    <xf numFmtId="0" fontId="29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9" fillId="0" borderId="5" xfId="3" applyBorder="1" applyAlignment="1">
      <alignment horizontal="center" vertical="center"/>
    </xf>
    <xf numFmtId="176" fontId="29" fillId="0" borderId="6" xfId="3" applyBorder="1" applyAlignment="1">
      <alignment horizontal="center" vertical="center"/>
    </xf>
    <xf numFmtId="176" fontId="29" fillId="0" borderId="7" xfId="3" applyBorder="1" applyAlignment="1">
      <alignment horizontal="center" vertical="center"/>
    </xf>
    <xf numFmtId="176" fontId="29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9" fillId="0" borderId="12" xfId="3" applyBorder="1" applyAlignment="1">
      <alignment horizontal="center" vertical="center"/>
    </xf>
    <xf numFmtId="176" fontId="29" fillId="0" borderId="10" xfId="3" applyBorder="1" applyAlignment="1">
      <alignment horizontal="center" vertical="center"/>
    </xf>
    <xf numFmtId="176" fontId="29" fillId="0" borderId="13" xfId="3" applyBorder="1" applyAlignment="1">
      <alignment horizontal="center" vertical="center"/>
    </xf>
    <xf numFmtId="176" fontId="29" fillId="0" borderId="14" xfId="3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29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9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9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9" fillId="5" borderId="18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8" fillId="0" borderId="20" xfId="4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5" xfId="4" applyFont="1" applyBorder="1" applyAlignment="1">
      <alignment horizontal="center" vertical="center" wrapText="1"/>
    </xf>
    <xf numFmtId="0" fontId="29" fillId="0" borderId="15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6" fillId="6" borderId="18" xfId="4" applyFont="1" applyFill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 wrapText="1"/>
    </xf>
    <xf numFmtId="0" fontId="29" fillId="0" borderId="16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29" fillId="0" borderId="15" xfId="2" applyBorder="1" applyAlignment="1">
      <alignment vertical="center" wrapText="1"/>
    </xf>
    <xf numFmtId="0" fontId="29" fillId="0" borderId="18" xfId="2" applyBorder="1" applyAlignment="1">
      <alignment vertical="center" wrapText="1"/>
    </xf>
    <xf numFmtId="0" fontId="20" fillId="0" borderId="15" xfId="4" applyFont="1" applyBorder="1" applyAlignment="1">
      <alignment horizontal="center" vertical="center" wrapText="1"/>
    </xf>
    <xf numFmtId="0" fontId="20" fillId="0" borderId="18" xfId="4" applyFont="1" applyBorder="1" applyAlignment="1">
      <alignment horizontal="center" vertical="center" wrapText="1"/>
    </xf>
    <xf numFmtId="0" fontId="21" fillId="0" borderId="19" xfId="2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3" fillId="7" borderId="18" xfId="4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2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178" fontId="19" fillId="0" borderId="18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178" fontId="17" fillId="0" borderId="18" xfId="2" applyNumberFormat="1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33" fillId="6" borderId="18" xfId="4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1" fillId="0" borderId="35" xfId="4" applyFont="1" applyBorder="1" applyAlignment="1">
      <alignment horizontal="center" vertical="center" wrapText="1"/>
    </xf>
    <xf numFmtId="0" fontId="31" fillId="0" borderId="37" xfId="4" applyFont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0" fontId="31" fillId="0" borderId="39" xfId="4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 wrapText="1"/>
    </xf>
    <xf numFmtId="0" fontId="32" fillId="0" borderId="35" xfId="4" applyFont="1" applyBorder="1" applyAlignment="1">
      <alignment horizontal="center" vertical="center" shrinkToFit="1"/>
    </xf>
    <xf numFmtId="0" fontId="32" fillId="0" borderId="36" xfId="4" applyFont="1" applyBorder="1" applyAlignment="1">
      <alignment horizontal="center" vertical="center" shrinkToFit="1"/>
    </xf>
    <xf numFmtId="0" fontId="32" fillId="0" borderId="0" xfId="4" applyFont="1" applyAlignment="1">
      <alignment horizontal="center" vertical="center" shrinkToFit="1"/>
    </xf>
    <xf numFmtId="0" fontId="32" fillId="0" borderId="38" xfId="4" applyFont="1" applyBorder="1" applyAlignment="1">
      <alignment horizontal="center" vertical="center" shrinkToFit="1"/>
    </xf>
    <xf numFmtId="0" fontId="32" fillId="0" borderId="34" xfId="4" applyFont="1" applyBorder="1" applyAlignment="1">
      <alignment horizontal="center" vertical="center" shrinkToFit="1"/>
    </xf>
    <xf numFmtId="0" fontId="32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4" applyFill="1" applyBorder="1" applyAlignment="1">
      <alignment horizontal="center" vertical="center" wrapText="1"/>
    </xf>
    <xf numFmtId="0" fontId="2" fillId="8" borderId="15" xfId="4" applyFont="1" applyFill="1" applyBorder="1" applyAlignment="1">
      <alignment horizontal="center" vertical="center" wrapText="1"/>
    </xf>
    <xf numFmtId="0" fontId="2" fillId="8" borderId="18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0" fillId="0" borderId="27" xfId="4" applyFont="1" applyBorder="1" applyAlignment="1">
      <alignment horizontal="center" vertical="center"/>
    </xf>
    <xf numFmtId="0" fontId="0" fillId="0" borderId="28" xfId="4" applyFont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9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 shrinkToFi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0" xfId="0" applyFont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0" borderId="24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30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31" xfId="2" applyFont="1" applyBorder="1" applyAlignment="1">
      <alignment horizontal="center" vertical="center" shrinkToFit="1"/>
    </xf>
    <xf numFmtId="0" fontId="25" fillId="0" borderId="25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9" fillId="0" borderId="4" xfId="2" applyBorder="1" applyAlignment="1">
      <alignment horizontal="center" vertical="center"/>
    </xf>
    <xf numFmtId="0" fontId="29" fillId="0" borderId="28" xfId="2" applyBorder="1" applyAlignment="1">
      <alignment horizontal="center" vertical="center"/>
    </xf>
    <xf numFmtId="0" fontId="35" fillId="0" borderId="1" xfId="2" applyFont="1" applyBorder="1" applyAlignment="1">
      <alignment horizontal="center" vertical="center" wrapText="1"/>
    </xf>
    <xf numFmtId="0" fontId="29" fillId="0" borderId="21" xfId="2" applyBorder="1" applyAlignment="1">
      <alignment horizontal="center" vertical="center"/>
    </xf>
    <xf numFmtId="0" fontId="29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9" fillId="0" borderId="18" xfId="2" applyNumberFormat="1" applyBorder="1" applyAlignment="1">
      <alignment horizontal="center" vertical="center" wrapText="1"/>
    </xf>
    <xf numFmtId="0" fontId="29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5" fillId="0" borderId="1" xfId="2" applyFont="1" applyBorder="1" applyAlignment="1">
      <alignment horizontal="center" vertical="center" wrapText="1" shrinkToFit="1"/>
    </xf>
    <xf numFmtId="0" fontId="25" fillId="0" borderId="24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30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31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9" fillId="0" borderId="25" xfId="2" applyBorder="1" applyAlignment="1">
      <alignment horizontal="center" vertical="center"/>
    </xf>
    <xf numFmtId="0" fontId="29" fillId="0" borderId="29" xfId="2" applyBorder="1" applyAlignment="1">
      <alignment horizontal="center" vertical="center"/>
    </xf>
    <xf numFmtId="0" fontId="29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31" xfId="2" applyFont="1" applyBorder="1" applyAlignment="1">
      <alignment horizontal="center" vertical="center" wrapText="1"/>
    </xf>
    <xf numFmtId="178" fontId="5" fillId="0" borderId="15" xfId="2" applyNumberFormat="1" applyFont="1" applyBorder="1" applyAlignment="1">
      <alignment horizontal="center" vertical="center" wrapText="1"/>
    </xf>
    <xf numFmtId="178" fontId="5" fillId="0" borderId="18" xfId="2" applyNumberFormat="1" applyFont="1" applyBorder="1" applyAlignment="1">
      <alignment horizontal="center" vertical="center" wrapText="1"/>
    </xf>
    <xf numFmtId="0" fontId="29" fillId="0" borderId="24" xfId="2" applyBorder="1" applyAlignment="1">
      <alignment horizontal="center" vertical="center"/>
    </xf>
    <xf numFmtId="0" fontId="29" fillId="0" borderId="3" xfId="2" applyBorder="1" applyAlignment="1">
      <alignment horizontal="center" vertical="center"/>
    </xf>
    <xf numFmtId="41" fontId="29" fillId="0" borderId="18" xfId="2" applyNumberFormat="1" applyBorder="1" applyAlignment="1">
      <alignment horizontal="left" vertical="center" wrapText="1"/>
    </xf>
    <xf numFmtId="0" fontId="29" fillId="0" borderId="18" xfId="2" applyBorder="1" applyAlignment="1">
      <alignment horizontal="left" vertical="center" wrapText="1"/>
    </xf>
    <xf numFmtId="41" fontId="29" fillId="0" borderId="15" xfId="2" applyNumberFormat="1" applyBorder="1" applyAlignment="1">
      <alignment horizontal="left" vertical="center" wrapText="1"/>
    </xf>
    <xf numFmtId="0" fontId="29" fillId="0" borderId="15" xfId="2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 shrinkToFit="1"/>
    </xf>
    <xf numFmtId="0" fontId="35" fillId="0" borderId="11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5" fillId="0" borderId="25" xfId="0" applyFont="1" applyBorder="1" applyAlignment="1">
      <alignment horizontal="center" vertical="center" wrapText="1" shrinkToFit="1"/>
    </xf>
    <xf numFmtId="0" fontId="35" fillId="0" borderId="2" xfId="0" applyFont="1" applyBorder="1" applyAlignment="1">
      <alignment horizontal="center" vertical="center" wrapText="1" shrinkToFit="1"/>
    </xf>
    <xf numFmtId="0" fontId="35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9" fillId="0" borderId="24" xfId="0" quotePrefix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34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34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77</v>
      </c>
      <c r="B1" s="119"/>
      <c r="C1" s="119"/>
      <c r="D1" s="124" t="str">
        <f>R2</f>
        <v>26.06.10 행복산업_덕신건업_롯데건설_인천 효성구역 도시개발 사업 공동주택(4BL) 2차분</v>
      </c>
      <c r="E1" s="124"/>
      <c r="F1" s="124"/>
      <c r="G1" s="125"/>
      <c r="R1" s="8" t="s">
        <v>70</v>
      </c>
    </row>
    <row r="2" spans="1:18" ht="16.5" customHeight="1">
      <c r="A2" s="120"/>
      <c r="B2" s="121"/>
      <c r="C2" s="121"/>
      <c r="D2" s="126"/>
      <c r="E2" s="126"/>
      <c r="F2" s="126"/>
      <c r="G2" s="127"/>
      <c r="R2" s="88" t="s">
        <v>139</v>
      </c>
    </row>
    <row r="3" spans="1:18" ht="16.5" customHeight="1">
      <c r="A3" s="120"/>
      <c r="B3" s="121"/>
      <c r="C3" s="121"/>
      <c r="D3" s="126"/>
      <c r="E3" s="126"/>
      <c r="F3" s="126"/>
      <c r="G3" s="127"/>
    </row>
    <row r="4" spans="1:18" ht="17.25" customHeight="1" thickBot="1">
      <c r="A4" s="122"/>
      <c r="B4" s="123"/>
      <c r="C4" s="123"/>
      <c r="D4" s="128"/>
      <c r="E4" s="128"/>
      <c r="F4" s="128"/>
      <c r="G4" s="129"/>
    </row>
    <row r="5" spans="1:18" ht="6.75" customHeight="1" thickTop="1">
      <c r="A5" s="89"/>
      <c r="B5" s="89"/>
      <c r="C5" s="89"/>
      <c r="D5" s="89"/>
      <c r="E5" s="89"/>
      <c r="F5" s="89"/>
      <c r="G5" s="89"/>
    </row>
    <row r="6" spans="1:18" s="10" customFormat="1" ht="18" customHeight="1" thickBot="1">
      <c r="A6" s="130" t="s">
        <v>1</v>
      </c>
      <c r="B6" s="132" t="s">
        <v>69</v>
      </c>
      <c r="C6" s="132" t="s">
        <v>4</v>
      </c>
      <c r="D6" s="132"/>
      <c r="E6" s="132" t="s">
        <v>42</v>
      </c>
      <c r="F6" s="132" t="s">
        <v>39</v>
      </c>
      <c r="G6" s="134" t="s">
        <v>18</v>
      </c>
      <c r="H6" s="9"/>
      <c r="I6" s="136" t="s">
        <v>10</v>
      </c>
      <c r="J6" s="136"/>
      <c r="K6" s="136"/>
      <c r="L6" s="136"/>
      <c r="M6" s="136"/>
      <c r="N6" s="136"/>
      <c r="O6" s="8"/>
    </row>
    <row r="7" spans="1:18" s="10" customFormat="1" ht="18" customHeight="1">
      <c r="A7" s="131"/>
      <c r="B7" s="133"/>
      <c r="C7" s="133" t="s">
        <v>66</v>
      </c>
      <c r="D7" s="133" t="s">
        <v>64</v>
      </c>
      <c r="E7" s="133"/>
      <c r="F7" s="133"/>
      <c r="G7" s="13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1"/>
      <c r="B8" s="133"/>
      <c r="C8" s="133"/>
      <c r="D8" s="133"/>
      <c r="E8" s="133"/>
      <c r="F8" s="133"/>
      <c r="G8" s="13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6" t="s">
        <v>109</v>
      </c>
      <c r="B9" s="63" t="s">
        <v>49</v>
      </c>
      <c r="C9" s="34">
        <v>600</v>
      </c>
      <c r="D9" s="34">
        <v>750</v>
      </c>
      <c r="E9" s="90"/>
      <c r="F9" s="90"/>
      <c r="G9" s="91" t="s">
        <v>103</v>
      </c>
      <c r="H9" s="13"/>
      <c r="I9" s="28"/>
      <c r="J9" s="26"/>
      <c r="K9" s="20"/>
      <c r="L9" s="21"/>
      <c r="M9" s="22"/>
      <c r="N9" s="26"/>
      <c r="O9" s="8"/>
      <c r="Q9" s="10" t="s">
        <v>112</v>
      </c>
    </row>
    <row r="10" spans="1:18" s="10" customFormat="1" ht="18" customHeight="1" thickBot="1">
      <c r="A10" s="106" t="s">
        <v>110</v>
      </c>
      <c r="B10" s="63" t="s">
        <v>49</v>
      </c>
      <c r="C10" s="34">
        <v>600</v>
      </c>
      <c r="D10" s="34">
        <v>750</v>
      </c>
      <c r="E10" s="75"/>
      <c r="F10" s="90"/>
      <c r="G10" s="91" t="s">
        <v>103</v>
      </c>
      <c r="H10" s="13"/>
      <c r="I10" s="28"/>
      <c r="J10" s="26"/>
      <c r="K10" s="20"/>
      <c r="L10" s="21"/>
      <c r="M10" s="22"/>
      <c r="N10" s="26"/>
      <c r="O10" s="8"/>
      <c r="Q10" s="10" t="s">
        <v>113</v>
      </c>
    </row>
    <row r="11" spans="1:18" s="10" customFormat="1" ht="18" customHeight="1" thickBot="1">
      <c r="A11" s="106" t="s">
        <v>111</v>
      </c>
      <c r="B11" s="63" t="s">
        <v>49</v>
      </c>
      <c r="C11" s="34">
        <v>600</v>
      </c>
      <c r="D11" s="34">
        <v>750</v>
      </c>
      <c r="E11" s="75"/>
      <c r="F11" s="90"/>
      <c r="G11" s="91" t="s">
        <v>103</v>
      </c>
      <c r="H11" s="13"/>
      <c r="I11" s="28"/>
      <c r="J11" s="26"/>
      <c r="K11" s="20"/>
      <c r="L11" s="21"/>
      <c r="M11" s="22"/>
      <c r="N11" s="26"/>
      <c r="O11" s="8"/>
      <c r="Q11" s="10" t="s">
        <v>114</v>
      </c>
    </row>
    <row r="12" spans="1:18" s="10" customFormat="1" ht="18" customHeight="1" thickBot="1">
      <c r="A12" s="106" t="s">
        <v>79</v>
      </c>
      <c r="B12" s="63" t="s">
        <v>49</v>
      </c>
      <c r="C12" s="34">
        <v>800</v>
      </c>
      <c r="D12" s="34">
        <v>850</v>
      </c>
      <c r="E12" s="75"/>
      <c r="F12" s="90"/>
      <c r="G12" s="91" t="s">
        <v>104</v>
      </c>
      <c r="H12" s="13"/>
      <c r="I12" s="28"/>
      <c r="J12" s="26"/>
      <c r="K12" s="20"/>
      <c r="L12" s="21"/>
      <c r="M12" s="22"/>
      <c r="N12" s="26"/>
      <c r="O12" s="8"/>
      <c r="Q12" s="10" t="s">
        <v>115</v>
      </c>
    </row>
    <row r="13" spans="1:18" s="10" customFormat="1" ht="18" customHeight="1" thickBot="1">
      <c r="A13" s="106" t="s">
        <v>80</v>
      </c>
      <c r="B13" s="63" t="s">
        <v>49</v>
      </c>
      <c r="C13" s="34">
        <v>800</v>
      </c>
      <c r="D13" s="34">
        <v>850</v>
      </c>
      <c r="E13" s="75"/>
      <c r="F13" s="90"/>
      <c r="G13" s="91" t="s">
        <v>104</v>
      </c>
      <c r="H13" s="13"/>
      <c r="I13" s="12"/>
      <c r="J13" s="12"/>
      <c r="K13" s="20"/>
      <c r="L13" s="21"/>
      <c r="M13" s="22"/>
      <c r="N13" s="12"/>
      <c r="O13" s="8"/>
      <c r="Q13" s="10" t="s">
        <v>116</v>
      </c>
    </row>
    <row r="14" spans="1:18" s="10" customFormat="1" ht="18" customHeight="1" thickBot="1">
      <c r="A14" s="106" t="s">
        <v>81</v>
      </c>
      <c r="B14" s="63" t="s">
        <v>49</v>
      </c>
      <c r="C14" s="34">
        <v>800</v>
      </c>
      <c r="D14" s="34">
        <v>850</v>
      </c>
      <c r="E14" s="75"/>
      <c r="F14" s="90"/>
      <c r="G14" s="91" t="s">
        <v>104</v>
      </c>
      <c r="H14" s="13"/>
      <c r="I14" s="28"/>
      <c r="J14" s="26"/>
      <c r="K14" s="20"/>
      <c r="L14" s="21"/>
      <c r="M14" s="22"/>
      <c r="N14" s="26"/>
      <c r="O14" s="8"/>
      <c r="Q14" s="10" t="s">
        <v>117</v>
      </c>
    </row>
    <row r="15" spans="1:18" s="10" customFormat="1" ht="18" customHeight="1" thickBot="1">
      <c r="A15" s="106" t="s">
        <v>82</v>
      </c>
      <c r="B15" s="63" t="s">
        <v>49</v>
      </c>
      <c r="C15" s="34">
        <v>1200</v>
      </c>
      <c r="D15" s="34">
        <v>500</v>
      </c>
      <c r="E15" s="75"/>
      <c r="F15" s="90"/>
      <c r="G15" s="91" t="s">
        <v>103</v>
      </c>
      <c r="H15" s="13"/>
      <c r="I15" s="27"/>
      <c r="J15" s="25"/>
      <c r="K15" s="20"/>
      <c r="L15" s="21"/>
      <c r="M15" s="22"/>
      <c r="N15" s="25"/>
      <c r="O15" s="8"/>
      <c r="Q15" s="10" t="s">
        <v>118</v>
      </c>
    </row>
    <row r="16" spans="1:18" s="10" customFormat="1" ht="18" customHeight="1" thickBot="1">
      <c r="A16" s="106" t="s">
        <v>83</v>
      </c>
      <c r="B16" s="63" t="s">
        <v>49</v>
      </c>
      <c r="C16" s="34">
        <v>1300</v>
      </c>
      <c r="D16" s="34">
        <v>400</v>
      </c>
      <c r="E16" s="75"/>
      <c r="F16" s="90"/>
      <c r="G16" s="91" t="s">
        <v>105</v>
      </c>
      <c r="H16" s="13"/>
      <c r="I16" s="28"/>
      <c r="J16" s="26"/>
      <c r="K16" s="20"/>
      <c r="L16" s="21"/>
      <c r="M16" s="22"/>
      <c r="N16" s="26"/>
      <c r="O16" s="8"/>
      <c r="Q16" s="10" t="s">
        <v>119</v>
      </c>
    </row>
    <row r="17" spans="1:17" s="10" customFormat="1" ht="18" customHeight="1" thickBot="1">
      <c r="A17" s="106" t="s">
        <v>84</v>
      </c>
      <c r="B17" s="63" t="s">
        <v>49</v>
      </c>
      <c r="C17" s="34">
        <v>1300</v>
      </c>
      <c r="D17" s="34">
        <v>400</v>
      </c>
      <c r="E17" s="75"/>
      <c r="F17" s="90"/>
      <c r="G17" s="91" t="s">
        <v>105</v>
      </c>
      <c r="H17" s="13"/>
      <c r="I17" s="28"/>
      <c r="J17" s="26"/>
      <c r="K17" s="20"/>
      <c r="L17" s="21"/>
      <c r="M17" s="22"/>
      <c r="N17" s="26"/>
      <c r="O17" s="8"/>
      <c r="Q17" s="10" t="s">
        <v>120</v>
      </c>
    </row>
    <row r="18" spans="1:17" s="10" customFormat="1" ht="18" customHeight="1" thickBot="1">
      <c r="A18" s="106" t="s">
        <v>85</v>
      </c>
      <c r="B18" s="63" t="s">
        <v>49</v>
      </c>
      <c r="C18" s="34">
        <v>1300</v>
      </c>
      <c r="D18" s="34">
        <v>400</v>
      </c>
      <c r="E18" s="75"/>
      <c r="F18" s="90"/>
      <c r="G18" s="91" t="s">
        <v>105</v>
      </c>
      <c r="H18" s="13"/>
      <c r="I18" s="28"/>
      <c r="J18" s="26"/>
      <c r="K18" s="20"/>
      <c r="L18" s="21"/>
      <c r="M18" s="22"/>
      <c r="N18" s="26"/>
      <c r="O18" s="8"/>
      <c r="Q18" s="10" t="s">
        <v>121</v>
      </c>
    </row>
    <row r="19" spans="1:17" s="10" customFormat="1" ht="18" customHeight="1" thickBot="1">
      <c r="A19" s="106" t="s">
        <v>86</v>
      </c>
      <c r="B19" s="63" t="s">
        <v>49</v>
      </c>
      <c r="C19" s="34">
        <v>1300</v>
      </c>
      <c r="D19" s="34">
        <v>400</v>
      </c>
      <c r="E19" s="75"/>
      <c r="F19" s="90"/>
      <c r="G19" s="91" t="s">
        <v>105</v>
      </c>
      <c r="H19" s="13"/>
      <c r="I19" s="28"/>
      <c r="J19" s="26"/>
      <c r="K19" s="20"/>
      <c r="L19" s="21"/>
      <c r="M19" s="22"/>
      <c r="N19" s="26"/>
      <c r="O19" s="8"/>
      <c r="Q19" s="10" t="s">
        <v>122</v>
      </c>
    </row>
    <row r="20" spans="1:17" s="10" customFormat="1" ht="18" customHeight="1" thickBot="1">
      <c r="A20" s="106" t="s">
        <v>87</v>
      </c>
      <c r="B20" s="63" t="s">
        <v>49</v>
      </c>
      <c r="C20" s="34">
        <v>1300</v>
      </c>
      <c r="D20" s="34">
        <v>450</v>
      </c>
      <c r="E20" s="90"/>
      <c r="F20" s="90"/>
      <c r="G20" s="91" t="s">
        <v>106</v>
      </c>
      <c r="H20" s="13"/>
      <c r="I20" s="28"/>
      <c r="J20" s="26"/>
      <c r="K20" s="20"/>
      <c r="L20" s="21"/>
      <c r="M20" s="22"/>
      <c r="N20" s="26"/>
      <c r="O20" s="8"/>
      <c r="Q20" s="10" t="s">
        <v>123</v>
      </c>
    </row>
    <row r="21" spans="1:17" s="10" customFormat="1" ht="16.5">
      <c r="A21" s="106" t="s">
        <v>88</v>
      </c>
      <c r="B21" s="64" t="s">
        <v>48</v>
      </c>
      <c r="C21" s="34">
        <v>750</v>
      </c>
      <c r="D21" s="34">
        <v>900</v>
      </c>
      <c r="E21" s="75"/>
      <c r="F21" s="90"/>
      <c r="G21" s="91" t="s">
        <v>106</v>
      </c>
      <c r="H21" s="13"/>
      <c r="I21" s="7"/>
      <c r="J21" s="7"/>
      <c r="K21" s="20"/>
      <c r="L21" s="21"/>
      <c r="M21" s="22"/>
      <c r="N21" s="7"/>
      <c r="O21" s="8"/>
      <c r="Q21" s="10" t="s">
        <v>124</v>
      </c>
    </row>
    <row r="22" spans="1:17" s="10" customFormat="1" ht="16.5">
      <c r="A22" s="106" t="s">
        <v>89</v>
      </c>
      <c r="B22" s="64" t="s">
        <v>48</v>
      </c>
      <c r="C22" s="34">
        <v>750</v>
      </c>
      <c r="D22" s="34">
        <v>900</v>
      </c>
      <c r="E22" s="75"/>
      <c r="F22" s="90"/>
      <c r="G22" s="91" t="s">
        <v>106</v>
      </c>
      <c r="H22" s="13"/>
      <c r="I22" s="7"/>
      <c r="J22" s="7"/>
      <c r="K22" s="19"/>
      <c r="L22" s="19"/>
      <c r="M22" s="19"/>
      <c r="N22" s="7"/>
      <c r="O22" s="8"/>
      <c r="Q22" s="10" t="s">
        <v>125</v>
      </c>
    </row>
    <row r="23" spans="1:17" s="10" customFormat="1" ht="17.25" thickBot="1">
      <c r="A23" s="106" t="s">
        <v>90</v>
      </c>
      <c r="B23" s="64" t="s">
        <v>48</v>
      </c>
      <c r="C23" s="34">
        <v>750</v>
      </c>
      <c r="D23" s="34">
        <v>900</v>
      </c>
      <c r="E23" s="90"/>
      <c r="F23" s="90"/>
      <c r="G23" s="91" t="s">
        <v>106</v>
      </c>
      <c r="H23" s="13"/>
      <c r="I23" s="1"/>
      <c r="J23" s="137"/>
      <c r="K23" s="138"/>
      <c r="L23" s="8"/>
      <c r="M23" s="1"/>
      <c r="N23" s="137"/>
      <c r="O23" s="138"/>
      <c r="Q23" s="10" t="s">
        <v>126</v>
      </c>
    </row>
    <row r="24" spans="1:17" s="10" customFormat="1" ht="16.5">
      <c r="A24" s="106" t="s">
        <v>91</v>
      </c>
      <c r="B24" s="64" t="s">
        <v>48</v>
      </c>
      <c r="C24" s="34">
        <v>800</v>
      </c>
      <c r="D24" s="34">
        <v>900</v>
      </c>
      <c r="E24" s="75"/>
      <c r="F24" s="90"/>
      <c r="G24" s="91" t="s">
        <v>107</v>
      </c>
      <c r="H24" s="13"/>
      <c r="I24" s="7"/>
      <c r="J24" s="7"/>
      <c r="K24" s="20"/>
      <c r="L24" s="21"/>
      <c r="M24" s="22"/>
      <c r="N24" s="7"/>
      <c r="O24" s="8"/>
      <c r="Q24" s="10" t="s">
        <v>127</v>
      </c>
    </row>
    <row r="25" spans="1:17" s="10" customFormat="1" ht="16.5">
      <c r="A25" s="106" t="s">
        <v>92</v>
      </c>
      <c r="B25" s="64" t="s">
        <v>48</v>
      </c>
      <c r="C25" s="34">
        <v>800</v>
      </c>
      <c r="D25" s="34">
        <v>900</v>
      </c>
      <c r="E25" s="75"/>
      <c r="F25" s="90"/>
      <c r="G25" s="91" t="s">
        <v>107</v>
      </c>
      <c r="H25" s="13"/>
      <c r="I25" s="7"/>
      <c r="J25" s="7"/>
      <c r="K25" s="19"/>
      <c r="L25" s="19"/>
      <c r="M25" s="19"/>
      <c r="N25" s="7"/>
      <c r="O25" s="8"/>
      <c r="Q25" s="10" t="s">
        <v>128</v>
      </c>
    </row>
    <row r="26" spans="1:17" s="10" customFormat="1" ht="17.25" thickBot="1">
      <c r="A26" s="106" t="s">
        <v>93</v>
      </c>
      <c r="B26" s="64" t="s">
        <v>48</v>
      </c>
      <c r="C26" s="34">
        <v>800</v>
      </c>
      <c r="D26" s="34">
        <v>900</v>
      </c>
      <c r="E26" s="90"/>
      <c r="F26" s="90"/>
      <c r="G26" s="91" t="s">
        <v>107</v>
      </c>
      <c r="H26" s="13"/>
      <c r="I26" s="1"/>
      <c r="J26" s="137"/>
      <c r="K26" s="138"/>
      <c r="L26" s="8"/>
      <c r="M26" s="1"/>
      <c r="N26" s="137"/>
      <c r="O26" s="138"/>
      <c r="Q26" s="10" t="s">
        <v>129</v>
      </c>
    </row>
    <row r="27" spans="1:17" s="10" customFormat="1" ht="16.5">
      <c r="A27" s="106" t="s">
        <v>94</v>
      </c>
      <c r="B27" s="64" t="s">
        <v>48</v>
      </c>
      <c r="C27" s="34">
        <v>900</v>
      </c>
      <c r="D27" s="34">
        <v>950</v>
      </c>
      <c r="E27" s="75"/>
      <c r="F27" s="90"/>
      <c r="G27" s="91" t="s">
        <v>108</v>
      </c>
      <c r="H27" s="13"/>
      <c r="I27" s="7"/>
      <c r="J27" s="7"/>
      <c r="K27" s="20"/>
      <c r="L27" s="21"/>
      <c r="M27" s="22"/>
      <c r="N27" s="7"/>
      <c r="O27" s="8"/>
      <c r="Q27" s="10" t="s">
        <v>130</v>
      </c>
    </row>
    <row r="28" spans="1:17" s="10" customFormat="1" ht="16.5">
      <c r="A28" s="106" t="s">
        <v>95</v>
      </c>
      <c r="B28" s="64" t="s">
        <v>48</v>
      </c>
      <c r="C28" s="34">
        <v>900</v>
      </c>
      <c r="D28" s="34">
        <v>950</v>
      </c>
      <c r="E28" s="75"/>
      <c r="F28" s="90"/>
      <c r="G28" s="91" t="s">
        <v>108</v>
      </c>
      <c r="H28" s="13"/>
      <c r="I28" s="7"/>
      <c r="J28" s="7"/>
      <c r="K28" s="19"/>
      <c r="L28" s="19"/>
      <c r="M28" s="19"/>
      <c r="N28" s="7"/>
      <c r="O28" s="8"/>
      <c r="Q28" s="10" t="s">
        <v>131</v>
      </c>
    </row>
    <row r="29" spans="1:17" s="10" customFormat="1" ht="17.25" thickBot="1">
      <c r="A29" s="106" t="s">
        <v>96</v>
      </c>
      <c r="B29" s="64" t="s">
        <v>48</v>
      </c>
      <c r="C29" s="34">
        <v>900</v>
      </c>
      <c r="D29" s="34">
        <v>950</v>
      </c>
      <c r="E29" s="90"/>
      <c r="F29" s="90"/>
      <c r="G29" s="91" t="s">
        <v>108</v>
      </c>
      <c r="H29" s="13"/>
      <c r="I29" s="1"/>
      <c r="J29" s="137"/>
      <c r="K29" s="138"/>
      <c r="L29" s="8"/>
      <c r="M29" s="1"/>
      <c r="N29" s="137"/>
      <c r="O29" s="138"/>
      <c r="Q29" s="10" t="s">
        <v>132</v>
      </c>
    </row>
    <row r="30" spans="1:17" s="10" customFormat="1" ht="16.5">
      <c r="A30" s="106" t="s">
        <v>97</v>
      </c>
      <c r="B30" s="64" t="s">
        <v>48</v>
      </c>
      <c r="C30" s="34">
        <v>1200</v>
      </c>
      <c r="D30" s="34">
        <v>850</v>
      </c>
      <c r="E30" s="75"/>
      <c r="F30" s="90"/>
      <c r="G30" s="91" t="s">
        <v>104</v>
      </c>
      <c r="H30" s="13"/>
      <c r="I30" s="7"/>
      <c r="J30" s="7"/>
      <c r="K30" s="20"/>
      <c r="L30" s="21"/>
      <c r="M30" s="22"/>
      <c r="N30" s="7"/>
      <c r="O30" s="8"/>
      <c r="Q30" s="10" t="s">
        <v>133</v>
      </c>
    </row>
    <row r="31" spans="1:17" s="10" customFormat="1" ht="16.5">
      <c r="A31" s="106" t="s">
        <v>98</v>
      </c>
      <c r="B31" s="64" t="s">
        <v>48</v>
      </c>
      <c r="C31" s="34">
        <v>1300</v>
      </c>
      <c r="D31" s="34">
        <v>800</v>
      </c>
      <c r="E31" s="75"/>
      <c r="F31" s="90"/>
      <c r="G31" s="91" t="s">
        <v>106</v>
      </c>
      <c r="H31" s="13"/>
      <c r="I31" s="7"/>
      <c r="J31" s="7"/>
      <c r="K31" s="19"/>
      <c r="L31" s="19"/>
      <c r="M31" s="19"/>
      <c r="N31" s="7"/>
      <c r="O31" s="8"/>
      <c r="Q31" s="10" t="s">
        <v>134</v>
      </c>
    </row>
    <row r="32" spans="1:17" s="10" customFormat="1" ht="17.25" thickBot="1">
      <c r="A32" s="106" t="s">
        <v>99</v>
      </c>
      <c r="B32" s="64" t="s">
        <v>48</v>
      </c>
      <c r="C32" s="34">
        <v>1600</v>
      </c>
      <c r="D32" s="34">
        <v>600</v>
      </c>
      <c r="E32" s="90"/>
      <c r="F32" s="90"/>
      <c r="G32" s="91" t="s">
        <v>107</v>
      </c>
      <c r="H32" s="13"/>
      <c r="I32" s="1"/>
      <c r="J32" s="137"/>
      <c r="K32" s="138"/>
      <c r="L32" s="8"/>
      <c r="M32" s="1"/>
      <c r="N32" s="137"/>
      <c r="O32" s="138"/>
      <c r="Q32" s="10" t="s">
        <v>135</v>
      </c>
    </row>
    <row r="33" spans="1:17" s="10" customFormat="1" ht="16.5">
      <c r="A33" s="106" t="s">
        <v>100</v>
      </c>
      <c r="B33" s="64" t="s">
        <v>48</v>
      </c>
      <c r="C33" s="34">
        <v>2000</v>
      </c>
      <c r="D33" s="34">
        <v>500</v>
      </c>
      <c r="E33" s="75"/>
      <c r="F33" s="90"/>
      <c r="G33" s="91" t="s">
        <v>104</v>
      </c>
      <c r="H33" s="13"/>
      <c r="I33" s="7"/>
      <c r="J33" s="7"/>
      <c r="K33" s="20"/>
      <c r="L33" s="21"/>
      <c r="M33" s="22"/>
      <c r="N33" s="7"/>
      <c r="O33" s="8"/>
      <c r="Q33" s="10" t="s">
        <v>136</v>
      </c>
    </row>
    <row r="34" spans="1:17" s="10" customFormat="1" ht="16.5">
      <c r="A34" s="106" t="s">
        <v>101</v>
      </c>
      <c r="B34" s="64" t="s">
        <v>48</v>
      </c>
      <c r="C34" s="34">
        <v>2000</v>
      </c>
      <c r="D34" s="34">
        <v>500</v>
      </c>
      <c r="E34" s="75"/>
      <c r="F34" s="90"/>
      <c r="G34" s="91" t="s">
        <v>105</v>
      </c>
      <c r="H34" s="13"/>
      <c r="I34" s="7"/>
      <c r="J34" s="7"/>
      <c r="K34" s="19"/>
      <c r="L34" s="19"/>
      <c r="M34" s="19"/>
      <c r="N34" s="7"/>
      <c r="O34" s="8"/>
      <c r="Q34" s="10" t="s">
        <v>137</v>
      </c>
    </row>
  </sheetData>
  <mergeCells count="19">
    <mergeCell ref="I26:K26"/>
    <mergeCell ref="M26:O26"/>
    <mergeCell ref="I29:K29"/>
    <mergeCell ref="M29:O29"/>
    <mergeCell ref="I32:K32"/>
    <mergeCell ref="M32:O32"/>
    <mergeCell ref="I6:N6"/>
    <mergeCell ref="C7:C8"/>
    <mergeCell ref="D7:D8"/>
    <mergeCell ref="I23:K23"/>
    <mergeCell ref="M23:O23"/>
    <mergeCell ref="A1:C4"/>
    <mergeCell ref="D1:G4"/>
    <mergeCell ref="A6:A8"/>
    <mergeCell ref="B6:B8"/>
    <mergeCell ref="C6:D6"/>
    <mergeCell ref="E6:E8"/>
    <mergeCell ref="F6:F8"/>
    <mergeCell ref="G6:G8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3"/>
  <sheetViews>
    <sheetView zoomScaleNormal="100" zoomScaleSheetLayoutView="100" workbookViewId="0">
      <selection activeCell="A20" sqref="A20:XFD77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45" t="s">
        <v>72</v>
      </c>
      <c r="F1" s="146"/>
      <c r="G1" s="146"/>
      <c r="H1" s="146" t="str">
        <f>'1. 소켓인수검사'!R2</f>
        <v>26.06.10 행복산업_덕신건업_롯데건설_인천 효성구역 도시개발 사업 공동주택(4BL) 2차분</v>
      </c>
      <c r="I1" s="146"/>
      <c r="J1" s="146"/>
      <c r="K1" s="146"/>
      <c r="L1" s="146"/>
      <c r="M1" s="146"/>
      <c r="N1" s="146"/>
      <c r="O1" s="151"/>
    </row>
    <row r="2" spans="1:15" ht="16.5" customHeight="1">
      <c r="A2" s="1"/>
      <c r="B2" s="1"/>
      <c r="C2" s="1"/>
      <c r="D2" s="1"/>
      <c r="E2" s="147"/>
      <c r="F2" s="148"/>
      <c r="G2" s="148"/>
      <c r="H2" s="148"/>
      <c r="I2" s="148"/>
      <c r="J2" s="148"/>
      <c r="K2" s="148"/>
      <c r="L2" s="148"/>
      <c r="M2" s="148"/>
      <c r="N2" s="148"/>
      <c r="O2" s="152"/>
    </row>
    <row r="3" spans="1:15" ht="16.5" customHeight="1">
      <c r="A3" s="1"/>
      <c r="B3" s="1"/>
      <c r="C3" s="1"/>
      <c r="D3" s="1"/>
      <c r="E3" s="149"/>
      <c r="F3" s="150"/>
      <c r="G3" s="150"/>
      <c r="H3" s="150"/>
      <c r="I3" s="150"/>
      <c r="J3" s="150"/>
      <c r="K3" s="150"/>
      <c r="L3" s="150"/>
      <c r="M3" s="150"/>
      <c r="N3" s="150"/>
      <c r="O3" s="153"/>
    </row>
    <row r="4" spans="1:15" ht="8.1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</row>
    <row r="5" spans="1:15" ht="26.45" customHeight="1">
      <c r="A5" s="155" t="s">
        <v>59</v>
      </c>
      <c r="B5" s="156" t="s">
        <v>69</v>
      </c>
      <c r="C5" s="144" t="s">
        <v>4</v>
      </c>
      <c r="D5" s="144"/>
      <c r="E5" s="144" t="s">
        <v>25</v>
      </c>
      <c r="F5" s="141" t="s">
        <v>57</v>
      </c>
      <c r="G5" s="139" t="s">
        <v>21</v>
      </c>
      <c r="H5" s="140"/>
      <c r="I5" s="140"/>
      <c r="J5" s="159"/>
      <c r="K5" s="139" t="s">
        <v>35</v>
      </c>
      <c r="L5" s="140"/>
      <c r="M5" s="140"/>
      <c r="N5" s="140"/>
      <c r="O5" s="141" t="s">
        <v>2</v>
      </c>
    </row>
    <row r="6" spans="1:15" ht="16.5" customHeight="1">
      <c r="A6" s="155"/>
      <c r="B6" s="157"/>
      <c r="C6" s="144" t="s">
        <v>66</v>
      </c>
      <c r="D6" s="144" t="s">
        <v>64</v>
      </c>
      <c r="E6" s="144"/>
      <c r="F6" s="142"/>
      <c r="G6" s="144" t="s">
        <v>66</v>
      </c>
      <c r="H6" s="144"/>
      <c r="I6" s="144" t="s">
        <v>64</v>
      </c>
      <c r="J6" s="144"/>
      <c r="K6" s="144" t="s">
        <v>68</v>
      </c>
      <c r="L6" s="144"/>
      <c r="M6" s="139" t="s">
        <v>65</v>
      </c>
      <c r="N6" s="140"/>
      <c r="O6" s="142"/>
    </row>
    <row r="7" spans="1:15">
      <c r="A7" s="155"/>
      <c r="B7" s="158"/>
      <c r="C7" s="144"/>
      <c r="D7" s="144"/>
      <c r="E7" s="144"/>
      <c r="F7" s="143"/>
      <c r="G7" s="108" t="s">
        <v>4</v>
      </c>
      <c r="H7" s="108" t="s">
        <v>32</v>
      </c>
      <c r="I7" s="111" t="s">
        <v>4</v>
      </c>
      <c r="J7" s="110" t="s">
        <v>32</v>
      </c>
      <c r="K7" s="108" t="s">
        <v>4</v>
      </c>
      <c r="L7" s="108" t="s">
        <v>57</v>
      </c>
      <c r="M7" s="108" t="s">
        <v>4</v>
      </c>
      <c r="N7" s="109" t="s">
        <v>57</v>
      </c>
      <c r="O7" s="143"/>
    </row>
    <row r="8" spans="1:15">
      <c r="A8" s="112" t="str">
        <f>'1. 소켓인수검사'!A9</f>
        <v>01</v>
      </c>
      <c r="B8" s="117" t="s">
        <v>49</v>
      </c>
      <c r="C8" s="71">
        <f>'1. 소켓인수검사'!C9</f>
        <v>600</v>
      </c>
      <c r="D8" s="71">
        <f>'1. 소켓인수검사'!D9</f>
        <v>750</v>
      </c>
      <c r="E8" s="42"/>
      <c r="F8" s="71">
        <v>1</v>
      </c>
      <c r="G8" s="113">
        <f t="shared" ref="G8:G19" si="0">C8-5</f>
        <v>595</v>
      </c>
      <c r="H8" s="71">
        <f t="shared" ref="H8:H19" si="1">F8*4</f>
        <v>4</v>
      </c>
      <c r="I8" s="114">
        <f t="shared" ref="I8:I19" si="2">D8-30</f>
        <v>720</v>
      </c>
      <c r="J8" s="71">
        <f t="shared" ref="J8:J19" si="3">F8*4</f>
        <v>4</v>
      </c>
      <c r="K8" s="115">
        <f t="shared" ref="K8:K19" si="4">C8+60</f>
        <v>660</v>
      </c>
      <c r="L8" s="71">
        <v>2</v>
      </c>
      <c r="M8" s="115">
        <f t="shared" ref="M8:M19" si="5">D8</f>
        <v>750</v>
      </c>
      <c r="N8" s="71">
        <v>2</v>
      </c>
      <c r="O8" s="116"/>
    </row>
    <row r="9" spans="1:15">
      <c r="A9" s="112" t="str">
        <f>'1. 소켓인수검사'!A10</f>
        <v>02</v>
      </c>
      <c r="B9" s="117" t="s">
        <v>49</v>
      </c>
      <c r="C9" s="71">
        <f>'1. 소켓인수검사'!C10</f>
        <v>600</v>
      </c>
      <c r="D9" s="71">
        <f>'1. 소켓인수검사'!D10</f>
        <v>750</v>
      </c>
      <c r="E9" s="42"/>
      <c r="F9" s="71">
        <v>1</v>
      </c>
      <c r="G9" s="113">
        <f t="shared" si="0"/>
        <v>595</v>
      </c>
      <c r="H9" s="71">
        <f t="shared" si="1"/>
        <v>4</v>
      </c>
      <c r="I9" s="114">
        <f t="shared" si="2"/>
        <v>720</v>
      </c>
      <c r="J9" s="71">
        <f t="shared" si="3"/>
        <v>4</v>
      </c>
      <c r="K9" s="115">
        <f t="shared" si="4"/>
        <v>660</v>
      </c>
      <c r="L9" s="71">
        <v>2</v>
      </c>
      <c r="M9" s="115">
        <f t="shared" si="5"/>
        <v>750</v>
      </c>
      <c r="N9" s="71">
        <v>2</v>
      </c>
      <c r="O9" s="116"/>
    </row>
    <row r="10" spans="1:15">
      <c r="A10" s="112" t="str">
        <f>'1. 소켓인수검사'!A11</f>
        <v>03</v>
      </c>
      <c r="B10" s="117" t="s">
        <v>49</v>
      </c>
      <c r="C10" s="71">
        <f>'1. 소켓인수검사'!C11</f>
        <v>600</v>
      </c>
      <c r="D10" s="71">
        <f>'1. 소켓인수검사'!D11</f>
        <v>750</v>
      </c>
      <c r="E10" s="42"/>
      <c r="F10" s="71">
        <v>1</v>
      </c>
      <c r="G10" s="113">
        <f t="shared" si="0"/>
        <v>595</v>
      </c>
      <c r="H10" s="71">
        <f t="shared" si="1"/>
        <v>4</v>
      </c>
      <c r="I10" s="114">
        <f t="shared" si="2"/>
        <v>720</v>
      </c>
      <c r="J10" s="71">
        <f t="shared" si="3"/>
        <v>4</v>
      </c>
      <c r="K10" s="115">
        <f t="shared" si="4"/>
        <v>660</v>
      </c>
      <c r="L10" s="71">
        <v>2</v>
      </c>
      <c r="M10" s="115">
        <f t="shared" si="5"/>
        <v>750</v>
      </c>
      <c r="N10" s="71">
        <v>2</v>
      </c>
      <c r="O10" s="116"/>
    </row>
    <row r="11" spans="1:15">
      <c r="A11" s="112" t="str">
        <f>'1. 소켓인수검사'!A12</f>
        <v>04</v>
      </c>
      <c r="B11" s="117" t="s">
        <v>49</v>
      </c>
      <c r="C11" s="71">
        <f>'1. 소켓인수검사'!C12</f>
        <v>800</v>
      </c>
      <c r="D11" s="71">
        <f>'1. 소켓인수검사'!D12</f>
        <v>850</v>
      </c>
      <c r="E11" s="42"/>
      <c r="F11" s="71">
        <v>1</v>
      </c>
      <c r="G11" s="113">
        <f t="shared" si="0"/>
        <v>795</v>
      </c>
      <c r="H11" s="71">
        <f t="shared" si="1"/>
        <v>4</v>
      </c>
      <c r="I11" s="114">
        <f t="shared" si="2"/>
        <v>820</v>
      </c>
      <c r="J11" s="71">
        <f t="shared" si="3"/>
        <v>4</v>
      </c>
      <c r="K11" s="115">
        <f t="shared" si="4"/>
        <v>860</v>
      </c>
      <c r="L11" s="71">
        <v>2</v>
      </c>
      <c r="M11" s="115">
        <f t="shared" si="5"/>
        <v>850</v>
      </c>
      <c r="N11" s="71">
        <v>2</v>
      </c>
      <c r="O11" s="116"/>
    </row>
    <row r="12" spans="1:15">
      <c r="A12" s="112" t="str">
        <f>'1. 소켓인수검사'!A13</f>
        <v>05</v>
      </c>
      <c r="B12" s="117" t="s">
        <v>49</v>
      </c>
      <c r="C12" s="71">
        <f>'1. 소켓인수검사'!C13</f>
        <v>800</v>
      </c>
      <c r="D12" s="71">
        <f>'1. 소켓인수검사'!D13</f>
        <v>850</v>
      </c>
      <c r="E12" s="42"/>
      <c r="F12" s="71">
        <v>1</v>
      </c>
      <c r="G12" s="113">
        <f t="shared" si="0"/>
        <v>795</v>
      </c>
      <c r="H12" s="71">
        <f t="shared" si="1"/>
        <v>4</v>
      </c>
      <c r="I12" s="114">
        <f t="shared" si="2"/>
        <v>820</v>
      </c>
      <c r="J12" s="71">
        <f t="shared" si="3"/>
        <v>4</v>
      </c>
      <c r="K12" s="115">
        <f t="shared" si="4"/>
        <v>860</v>
      </c>
      <c r="L12" s="71">
        <v>2</v>
      </c>
      <c r="M12" s="115">
        <f t="shared" si="5"/>
        <v>850</v>
      </c>
      <c r="N12" s="71">
        <v>2</v>
      </c>
      <c r="O12" s="116"/>
    </row>
    <row r="13" spans="1:15">
      <c r="A13" s="112" t="str">
        <f>'1. 소켓인수검사'!A14</f>
        <v>06</v>
      </c>
      <c r="B13" s="117" t="s">
        <v>49</v>
      </c>
      <c r="C13" s="71">
        <f>'1. 소켓인수검사'!C14</f>
        <v>800</v>
      </c>
      <c r="D13" s="71">
        <f>'1. 소켓인수검사'!D14</f>
        <v>850</v>
      </c>
      <c r="E13" s="42"/>
      <c r="F13" s="71">
        <v>1</v>
      </c>
      <c r="G13" s="113">
        <f t="shared" si="0"/>
        <v>795</v>
      </c>
      <c r="H13" s="71">
        <f t="shared" si="1"/>
        <v>4</v>
      </c>
      <c r="I13" s="114">
        <f t="shared" si="2"/>
        <v>820</v>
      </c>
      <c r="J13" s="71">
        <f t="shared" si="3"/>
        <v>4</v>
      </c>
      <c r="K13" s="115">
        <f t="shared" si="4"/>
        <v>860</v>
      </c>
      <c r="L13" s="71">
        <v>2</v>
      </c>
      <c r="M13" s="115">
        <f t="shared" si="5"/>
        <v>850</v>
      </c>
      <c r="N13" s="71">
        <v>2</v>
      </c>
      <c r="O13" s="116"/>
    </row>
    <row r="14" spans="1:15">
      <c r="A14" s="112" t="str">
        <f>'1. 소켓인수검사'!A15</f>
        <v>07</v>
      </c>
      <c r="B14" s="117" t="s">
        <v>49</v>
      </c>
      <c r="C14" s="71">
        <f>'1. 소켓인수검사'!C15</f>
        <v>1200</v>
      </c>
      <c r="D14" s="71">
        <f>'1. 소켓인수검사'!D15</f>
        <v>500</v>
      </c>
      <c r="E14" s="42"/>
      <c r="F14" s="71">
        <v>1</v>
      </c>
      <c r="G14" s="113">
        <f t="shared" si="0"/>
        <v>1195</v>
      </c>
      <c r="H14" s="71">
        <f t="shared" si="1"/>
        <v>4</v>
      </c>
      <c r="I14" s="114">
        <f t="shared" si="2"/>
        <v>470</v>
      </c>
      <c r="J14" s="71">
        <f t="shared" si="3"/>
        <v>4</v>
      </c>
      <c r="K14" s="115">
        <f t="shared" si="4"/>
        <v>1260</v>
      </c>
      <c r="L14" s="71">
        <v>2</v>
      </c>
      <c r="M14" s="115">
        <f t="shared" si="5"/>
        <v>500</v>
      </c>
      <c r="N14" s="71">
        <v>2</v>
      </c>
      <c r="O14" s="116"/>
    </row>
    <row r="15" spans="1:15">
      <c r="A15" s="112" t="str">
        <f>'1. 소켓인수검사'!A16</f>
        <v>08</v>
      </c>
      <c r="B15" s="117" t="s">
        <v>49</v>
      </c>
      <c r="C15" s="71">
        <f>'1. 소켓인수검사'!C16</f>
        <v>1300</v>
      </c>
      <c r="D15" s="71">
        <f>'1. 소켓인수검사'!D16</f>
        <v>400</v>
      </c>
      <c r="E15" s="42"/>
      <c r="F15" s="71">
        <v>1</v>
      </c>
      <c r="G15" s="113">
        <f t="shared" si="0"/>
        <v>1295</v>
      </c>
      <c r="H15" s="71">
        <f t="shared" si="1"/>
        <v>4</v>
      </c>
      <c r="I15" s="114">
        <f t="shared" si="2"/>
        <v>370</v>
      </c>
      <c r="J15" s="71">
        <f t="shared" si="3"/>
        <v>4</v>
      </c>
      <c r="K15" s="115">
        <f t="shared" si="4"/>
        <v>1360</v>
      </c>
      <c r="L15" s="71">
        <v>2</v>
      </c>
      <c r="M15" s="115">
        <f t="shared" si="5"/>
        <v>400</v>
      </c>
      <c r="N15" s="71">
        <v>2</v>
      </c>
      <c r="O15" s="116"/>
    </row>
    <row r="16" spans="1:15">
      <c r="A16" s="112" t="str">
        <f>'1. 소켓인수검사'!A17</f>
        <v>09</v>
      </c>
      <c r="B16" s="117" t="s">
        <v>49</v>
      </c>
      <c r="C16" s="71">
        <f>'1. 소켓인수검사'!C17</f>
        <v>1300</v>
      </c>
      <c r="D16" s="71">
        <f>'1. 소켓인수검사'!D17</f>
        <v>400</v>
      </c>
      <c r="E16" s="42"/>
      <c r="F16" s="71">
        <v>1</v>
      </c>
      <c r="G16" s="113">
        <f t="shared" si="0"/>
        <v>1295</v>
      </c>
      <c r="H16" s="71">
        <f t="shared" si="1"/>
        <v>4</v>
      </c>
      <c r="I16" s="114">
        <f t="shared" si="2"/>
        <v>370</v>
      </c>
      <c r="J16" s="71">
        <f t="shared" si="3"/>
        <v>4</v>
      </c>
      <c r="K16" s="115">
        <f t="shared" si="4"/>
        <v>1360</v>
      </c>
      <c r="L16" s="71">
        <v>2</v>
      </c>
      <c r="M16" s="115">
        <f t="shared" si="5"/>
        <v>400</v>
      </c>
      <c r="N16" s="71">
        <v>2</v>
      </c>
      <c r="O16" s="116"/>
    </row>
    <row r="17" spans="1:15">
      <c r="A17" s="112" t="str">
        <f>'1. 소켓인수검사'!A18</f>
        <v>10</v>
      </c>
      <c r="B17" s="117" t="s">
        <v>49</v>
      </c>
      <c r="C17" s="71">
        <f>'1. 소켓인수검사'!C18</f>
        <v>1300</v>
      </c>
      <c r="D17" s="71">
        <f>'1. 소켓인수검사'!D18</f>
        <v>400</v>
      </c>
      <c r="E17" s="42"/>
      <c r="F17" s="71">
        <v>1</v>
      </c>
      <c r="G17" s="113">
        <f t="shared" si="0"/>
        <v>1295</v>
      </c>
      <c r="H17" s="71">
        <f t="shared" si="1"/>
        <v>4</v>
      </c>
      <c r="I17" s="114">
        <f t="shared" si="2"/>
        <v>370</v>
      </c>
      <c r="J17" s="71">
        <f t="shared" si="3"/>
        <v>4</v>
      </c>
      <c r="K17" s="115">
        <f t="shared" si="4"/>
        <v>1360</v>
      </c>
      <c r="L17" s="71">
        <v>2</v>
      </c>
      <c r="M17" s="115">
        <f t="shared" si="5"/>
        <v>400</v>
      </c>
      <c r="N17" s="71">
        <v>2</v>
      </c>
      <c r="O17" s="116"/>
    </row>
    <row r="18" spans="1:15">
      <c r="A18" s="112" t="str">
        <f>'1. 소켓인수검사'!A19</f>
        <v>11</v>
      </c>
      <c r="B18" s="117" t="s">
        <v>49</v>
      </c>
      <c r="C18" s="71">
        <f>'1. 소켓인수검사'!C19</f>
        <v>1300</v>
      </c>
      <c r="D18" s="71">
        <f>'1. 소켓인수검사'!D19</f>
        <v>400</v>
      </c>
      <c r="E18" s="42"/>
      <c r="F18" s="71">
        <v>1</v>
      </c>
      <c r="G18" s="113">
        <f t="shared" si="0"/>
        <v>1295</v>
      </c>
      <c r="H18" s="71">
        <f t="shared" si="1"/>
        <v>4</v>
      </c>
      <c r="I18" s="114">
        <f t="shared" si="2"/>
        <v>370</v>
      </c>
      <c r="J18" s="71">
        <f t="shared" si="3"/>
        <v>4</v>
      </c>
      <c r="K18" s="115">
        <f t="shared" si="4"/>
        <v>1360</v>
      </c>
      <c r="L18" s="71">
        <v>2</v>
      </c>
      <c r="M18" s="115">
        <f t="shared" si="5"/>
        <v>400</v>
      </c>
      <c r="N18" s="71">
        <v>2</v>
      </c>
      <c r="O18" s="116"/>
    </row>
    <row r="19" spans="1:15">
      <c r="A19" s="112" t="str">
        <f>'1. 소켓인수검사'!A20</f>
        <v>12</v>
      </c>
      <c r="B19" s="117" t="s">
        <v>49</v>
      </c>
      <c r="C19" s="71">
        <f>'1. 소켓인수검사'!C20</f>
        <v>1300</v>
      </c>
      <c r="D19" s="71">
        <f>'1. 소켓인수검사'!D20</f>
        <v>450</v>
      </c>
      <c r="E19" s="42"/>
      <c r="F19" s="71">
        <v>1</v>
      </c>
      <c r="G19" s="113">
        <f t="shared" si="0"/>
        <v>1295</v>
      </c>
      <c r="H19" s="71">
        <f t="shared" si="1"/>
        <v>4</v>
      </c>
      <c r="I19" s="114">
        <f t="shared" si="2"/>
        <v>420</v>
      </c>
      <c r="J19" s="71">
        <f t="shared" si="3"/>
        <v>4</v>
      </c>
      <c r="K19" s="115">
        <f t="shared" si="4"/>
        <v>1360</v>
      </c>
      <c r="L19" s="71">
        <v>2</v>
      </c>
      <c r="M19" s="115">
        <f t="shared" si="5"/>
        <v>450</v>
      </c>
      <c r="N19" s="71">
        <v>2</v>
      </c>
      <c r="O19" s="116"/>
    </row>
    <row r="20" spans="1:15" ht="8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46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20:O20"/>
    <mergeCell ref="A21:C23"/>
    <mergeCell ref="D21:O23"/>
    <mergeCell ref="K5:N5"/>
    <mergeCell ref="O5:O7"/>
    <mergeCell ref="C6:C7"/>
    <mergeCell ref="D6:D7"/>
    <mergeCell ref="G6:H6"/>
    <mergeCell ref="I6:J6"/>
    <mergeCell ref="K6:L6"/>
    <mergeCell ref="M6:N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9"/>
  <sheetViews>
    <sheetView topLeftCell="A2" zoomScaleNormal="100" zoomScaleSheetLayoutView="100" workbookViewId="0">
      <selection activeCell="A22" sqref="A22:XFD77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60" t="s">
        <v>71</v>
      </c>
      <c r="F1" s="161"/>
      <c r="G1" s="161"/>
      <c r="H1" s="166" t="str">
        <f>'1. 소켓인수검사'!R2</f>
        <v>26.06.10 행복산업_덕신건업_롯데건설_인천 효성구역 도시개발 사업 공동주택(4BL) 2차분</v>
      </c>
      <c r="I1" s="166"/>
      <c r="J1" s="166"/>
      <c r="K1" s="166"/>
      <c r="L1" s="166"/>
      <c r="M1" s="166"/>
      <c r="N1" s="166"/>
      <c r="O1" s="167"/>
    </row>
    <row r="2" spans="1:15" ht="38.25" customHeight="1">
      <c r="A2" s="1"/>
      <c r="B2" s="1"/>
      <c r="C2" s="1"/>
      <c r="D2" s="1"/>
      <c r="E2" s="162"/>
      <c r="F2" s="163"/>
      <c r="G2" s="163"/>
      <c r="H2" s="168"/>
      <c r="I2" s="168"/>
      <c r="J2" s="168"/>
      <c r="K2" s="168"/>
      <c r="L2" s="168"/>
      <c r="M2" s="168"/>
      <c r="N2" s="168"/>
      <c r="O2" s="169"/>
    </row>
    <row r="3" spans="1:15" ht="38.25" customHeight="1">
      <c r="A3" s="1"/>
      <c r="B3" s="1"/>
      <c r="C3" s="1"/>
      <c r="D3" s="1"/>
      <c r="E3" s="164"/>
      <c r="F3" s="165"/>
      <c r="G3" s="165"/>
      <c r="H3" s="170"/>
      <c r="I3" s="170"/>
      <c r="J3" s="170"/>
      <c r="K3" s="170"/>
      <c r="L3" s="170"/>
      <c r="M3" s="170"/>
      <c r="N3" s="170"/>
      <c r="O3" s="171"/>
    </row>
    <row r="4" spans="1:15" ht="8.1" customHeight="1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  <c r="O4" s="15"/>
    </row>
    <row r="5" spans="1:15" s="18" customFormat="1" ht="26.45" customHeight="1">
      <c r="A5" s="175" t="s">
        <v>59</v>
      </c>
      <c r="B5" s="177" t="s">
        <v>69</v>
      </c>
      <c r="C5" s="179" t="s">
        <v>4</v>
      </c>
      <c r="D5" s="179"/>
      <c r="E5" s="179" t="s">
        <v>25</v>
      </c>
      <c r="F5" s="179" t="s">
        <v>57</v>
      </c>
      <c r="G5" s="179" t="s">
        <v>21</v>
      </c>
      <c r="H5" s="179"/>
      <c r="I5" s="179"/>
      <c r="J5" s="179"/>
      <c r="K5" s="179" t="s">
        <v>35</v>
      </c>
      <c r="L5" s="179"/>
      <c r="M5" s="179"/>
      <c r="N5" s="179"/>
      <c r="O5" s="181" t="s">
        <v>2</v>
      </c>
    </row>
    <row r="6" spans="1:15" s="18" customFormat="1" ht="16.5" customHeight="1">
      <c r="A6" s="176"/>
      <c r="B6" s="178"/>
      <c r="C6" s="180" t="s">
        <v>66</v>
      </c>
      <c r="D6" s="180" t="s">
        <v>64</v>
      </c>
      <c r="E6" s="180"/>
      <c r="F6" s="180"/>
      <c r="G6" s="183" t="s">
        <v>66</v>
      </c>
      <c r="H6" s="183"/>
      <c r="I6" s="183" t="s">
        <v>64</v>
      </c>
      <c r="J6" s="183"/>
      <c r="K6" s="180" t="s">
        <v>68</v>
      </c>
      <c r="L6" s="180"/>
      <c r="M6" s="180" t="s">
        <v>65</v>
      </c>
      <c r="N6" s="180"/>
      <c r="O6" s="182"/>
    </row>
    <row r="7" spans="1:15" s="18" customFormat="1" ht="16.5" customHeight="1">
      <c r="A7" s="176"/>
      <c r="B7" s="178"/>
      <c r="C7" s="180"/>
      <c r="D7" s="180"/>
      <c r="E7" s="180"/>
      <c r="F7" s="180"/>
      <c r="G7" s="96" t="s">
        <v>4</v>
      </c>
      <c r="H7" s="96" t="s">
        <v>32</v>
      </c>
      <c r="I7" s="96" t="s">
        <v>4</v>
      </c>
      <c r="J7" s="96" t="s">
        <v>32</v>
      </c>
      <c r="K7" s="97" t="s">
        <v>4</v>
      </c>
      <c r="L7" s="97" t="s">
        <v>57</v>
      </c>
      <c r="M7" s="97" t="s">
        <v>4</v>
      </c>
      <c r="N7" s="97" t="s">
        <v>57</v>
      </c>
      <c r="O7" s="182"/>
    </row>
    <row r="8" spans="1:15">
      <c r="A8" s="92" t="str">
        <f>'1. 소켓인수검사'!A21</f>
        <v>13</v>
      </c>
      <c r="B8" s="98" t="s">
        <v>48</v>
      </c>
      <c r="C8" s="41">
        <f>'1. 소켓인수검사'!C21</f>
        <v>750</v>
      </c>
      <c r="D8" s="41">
        <f>'1. 소켓인수검사'!D21</f>
        <v>900</v>
      </c>
      <c r="E8" s="42"/>
      <c r="F8" s="41">
        <v>1</v>
      </c>
      <c r="G8" s="65">
        <f>(C8-30)/2-5</f>
        <v>355</v>
      </c>
      <c r="H8" s="71">
        <f>F8*8*2</f>
        <v>16</v>
      </c>
      <c r="I8" s="107">
        <f>(D8-20)/2-10</f>
        <v>430</v>
      </c>
      <c r="J8" s="71">
        <f>F8*16</f>
        <v>16</v>
      </c>
      <c r="K8" s="66">
        <f t="shared" ref="K8:K11" si="0">C8+60</f>
        <v>810</v>
      </c>
      <c r="L8" s="99">
        <v>4</v>
      </c>
      <c r="M8" s="66">
        <f>D8</f>
        <v>900</v>
      </c>
      <c r="N8" s="99">
        <v>4</v>
      </c>
      <c r="O8" s="61"/>
    </row>
    <row r="9" spans="1:15">
      <c r="A9" s="92" t="str">
        <f>'1. 소켓인수검사'!A22</f>
        <v>14</v>
      </c>
      <c r="B9" s="98" t="s">
        <v>48</v>
      </c>
      <c r="C9" s="41">
        <f>'1. 소켓인수검사'!C22</f>
        <v>750</v>
      </c>
      <c r="D9" s="41">
        <f>'1. 소켓인수검사'!D22</f>
        <v>900</v>
      </c>
      <c r="E9" s="42"/>
      <c r="F9" s="41">
        <v>1</v>
      </c>
      <c r="G9" s="65">
        <f t="shared" ref="G9:G21" si="1">(C9-30)/2-5</f>
        <v>355</v>
      </c>
      <c r="H9" s="71">
        <f>F9*8*2</f>
        <v>16</v>
      </c>
      <c r="I9" s="107">
        <f>(D9-20)/2-10</f>
        <v>430</v>
      </c>
      <c r="J9" s="71">
        <f>F9*16</f>
        <v>16</v>
      </c>
      <c r="K9" s="66">
        <f t="shared" si="0"/>
        <v>810</v>
      </c>
      <c r="L9" s="99">
        <v>4</v>
      </c>
      <c r="M9" s="66">
        <f t="shared" ref="M9:M21" si="2">D9</f>
        <v>900</v>
      </c>
      <c r="N9" s="99">
        <v>4</v>
      </c>
      <c r="O9" s="61"/>
    </row>
    <row r="10" spans="1:15">
      <c r="A10" s="92" t="str">
        <f>'1. 소켓인수검사'!A23</f>
        <v>15</v>
      </c>
      <c r="B10" s="98" t="s">
        <v>48</v>
      </c>
      <c r="C10" s="41">
        <f>'1. 소켓인수검사'!C23</f>
        <v>750</v>
      </c>
      <c r="D10" s="41">
        <f>'1. 소켓인수검사'!D23</f>
        <v>900</v>
      </c>
      <c r="E10" s="42"/>
      <c r="F10" s="41">
        <v>1</v>
      </c>
      <c r="G10" s="65">
        <f t="shared" si="1"/>
        <v>355</v>
      </c>
      <c r="H10" s="71">
        <f t="shared" ref="H10:H11" si="3">F10*8*2</f>
        <v>16</v>
      </c>
      <c r="I10" s="107">
        <f>(D10-20)/2-10</f>
        <v>430</v>
      </c>
      <c r="J10" s="71">
        <f t="shared" ref="J10:J11" si="4">F10*16</f>
        <v>16</v>
      </c>
      <c r="K10" s="66">
        <f t="shared" si="0"/>
        <v>810</v>
      </c>
      <c r="L10" s="99">
        <v>4</v>
      </c>
      <c r="M10" s="66">
        <f t="shared" si="2"/>
        <v>900</v>
      </c>
      <c r="N10" s="99">
        <v>4</v>
      </c>
      <c r="O10" s="61"/>
    </row>
    <row r="11" spans="1:15">
      <c r="A11" s="92" t="str">
        <f>'1. 소켓인수검사'!A24</f>
        <v>16</v>
      </c>
      <c r="B11" s="98" t="s">
        <v>48</v>
      </c>
      <c r="C11" s="41">
        <f>'1. 소켓인수검사'!C24</f>
        <v>800</v>
      </c>
      <c r="D11" s="41">
        <f>'1. 소켓인수검사'!D24</f>
        <v>900</v>
      </c>
      <c r="E11" s="42"/>
      <c r="F11" s="41">
        <v>1</v>
      </c>
      <c r="G11" s="65">
        <f t="shared" si="1"/>
        <v>380</v>
      </c>
      <c r="H11" s="71">
        <f t="shared" si="3"/>
        <v>16</v>
      </c>
      <c r="I11" s="107">
        <f t="shared" ref="I11" si="5">(D11-20)/2-10</f>
        <v>430</v>
      </c>
      <c r="J11" s="71">
        <f t="shared" si="4"/>
        <v>16</v>
      </c>
      <c r="K11" s="66">
        <f t="shared" si="0"/>
        <v>860</v>
      </c>
      <c r="L11" s="99">
        <v>4</v>
      </c>
      <c r="M11" s="66">
        <f t="shared" si="2"/>
        <v>900</v>
      </c>
      <c r="N11" s="99">
        <v>4</v>
      </c>
      <c r="O11" s="61"/>
    </row>
    <row r="12" spans="1:15">
      <c r="A12" s="92" t="str">
        <f>'1. 소켓인수검사'!A25</f>
        <v>17</v>
      </c>
      <c r="B12" s="98" t="s">
        <v>48</v>
      </c>
      <c r="C12" s="41">
        <f>'1. 소켓인수검사'!C25</f>
        <v>800</v>
      </c>
      <c r="D12" s="41">
        <f>'1. 소켓인수검사'!D25</f>
        <v>900</v>
      </c>
      <c r="E12" s="42"/>
      <c r="F12" s="41">
        <v>1</v>
      </c>
      <c r="G12" s="65">
        <f t="shared" si="1"/>
        <v>380</v>
      </c>
      <c r="H12" s="71">
        <f t="shared" ref="H12:H15" si="6">F12*8*2</f>
        <v>16</v>
      </c>
      <c r="I12" s="107">
        <f t="shared" ref="I12:I15" si="7">(D12-20)/2-10</f>
        <v>430</v>
      </c>
      <c r="J12" s="71">
        <f t="shared" ref="J12:J15" si="8">F12*16</f>
        <v>16</v>
      </c>
      <c r="K12" s="66">
        <f t="shared" ref="K12:K21" si="9">C12+60</f>
        <v>860</v>
      </c>
      <c r="L12" s="99">
        <v>4</v>
      </c>
      <c r="M12" s="66">
        <f t="shared" si="2"/>
        <v>900</v>
      </c>
      <c r="N12" s="99">
        <v>4</v>
      </c>
      <c r="O12" s="61"/>
    </row>
    <row r="13" spans="1:15">
      <c r="A13" s="92" t="str">
        <f>'1. 소켓인수검사'!A26</f>
        <v>18</v>
      </c>
      <c r="B13" s="98" t="s">
        <v>48</v>
      </c>
      <c r="C13" s="41">
        <f>'1. 소켓인수검사'!C26</f>
        <v>800</v>
      </c>
      <c r="D13" s="41">
        <f>'1. 소켓인수검사'!D26</f>
        <v>900</v>
      </c>
      <c r="E13" s="42"/>
      <c r="F13" s="41">
        <v>1</v>
      </c>
      <c r="G13" s="65">
        <f t="shared" si="1"/>
        <v>380</v>
      </c>
      <c r="H13" s="71">
        <f t="shared" si="6"/>
        <v>16</v>
      </c>
      <c r="I13" s="107">
        <f t="shared" si="7"/>
        <v>430</v>
      </c>
      <c r="J13" s="71">
        <f t="shared" si="8"/>
        <v>16</v>
      </c>
      <c r="K13" s="66">
        <f t="shared" si="9"/>
        <v>860</v>
      </c>
      <c r="L13" s="99">
        <v>4</v>
      </c>
      <c r="M13" s="66">
        <f t="shared" si="2"/>
        <v>900</v>
      </c>
      <c r="N13" s="99">
        <v>4</v>
      </c>
      <c r="O13" s="61"/>
    </row>
    <row r="14" spans="1:15">
      <c r="A14" s="92" t="str">
        <f>'1. 소켓인수검사'!A27</f>
        <v>19</v>
      </c>
      <c r="B14" s="98" t="s">
        <v>48</v>
      </c>
      <c r="C14" s="41">
        <f>'1. 소켓인수검사'!C27</f>
        <v>900</v>
      </c>
      <c r="D14" s="41">
        <f>'1. 소켓인수검사'!D27</f>
        <v>950</v>
      </c>
      <c r="E14" s="42"/>
      <c r="F14" s="41">
        <v>1</v>
      </c>
      <c r="G14" s="65">
        <f t="shared" si="1"/>
        <v>430</v>
      </c>
      <c r="H14" s="71">
        <f t="shared" si="6"/>
        <v>16</v>
      </c>
      <c r="I14" s="107">
        <f t="shared" si="7"/>
        <v>455</v>
      </c>
      <c r="J14" s="71">
        <f t="shared" si="8"/>
        <v>16</v>
      </c>
      <c r="K14" s="66">
        <f t="shared" si="9"/>
        <v>960</v>
      </c>
      <c r="L14" s="99">
        <v>4</v>
      </c>
      <c r="M14" s="66">
        <f t="shared" si="2"/>
        <v>950</v>
      </c>
      <c r="N14" s="99">
        <v>4</v>
      </c>
      <c r="O14" s="61"/>
    </row>
    <row r="15" spans="1:15">
      <c r="A15" s="92" t="str">
        <f>'1. 소켓인수검사'!A28</f>
        <v>20</v>
      </c>
      <c r="B15" s="98" t="s">
        <v>48</v>
      </c>
      <c r="C15" s="41">
        <f>'1. 소켓인수검사'!C28</f>
        <v>900</v>
      </c>
      <c r="D15" s="41">
        <f>'1. 소켓인수검사'!D28</f>
        <v>950</v>
      </c>
      <c r="E15" s="42"/>
      <c r="F15" s="41">
        <v>1</v>
      </c>
      <c r="G15" s="65">
        <f t="shared" si="1"/>
        <v>430</v>
      </c>
      <c r="H15" s="71">
        <f t="shared" si="6"/>
        <v>16</v>
      </c>
      <c r="I15" s="107">
        <f t="shared" si="7"/>
        <v>455</v>
      </c>
      <c r="J15" s="71">
        <f t="shared" si="8"/>
        <v>16</v>
      </c>
      <c r="K15" s="66">
        <f t="shared" si="9"/>
        <v>960</v>
      </c>
      <c r="L15" s="99">
        <v>4</v>
      </c>
      <c r="M15" s="66">
        <f t="shared" si="2"/>
        <v>950</v>
      </c>
      <c r="N15" s="99">
        <v>4</v>
      </c>
      <c r="O15" s="61"/>
    </row>
    <row r="16" spans="1:15">
      <c r="A16" s="92" t="str">
        <f>'1. 소켓인수검사'!A29</f>
        <v>21</v>
      </c>
      <c r="B16" s="98" t="s">
        <v>48</v>
      </c>
      <c r="C16" s="41">
        <f>'1. 소켓인수검사'!C29</f>
        <v>900</v>
      </c>
      <c r="D16" s="41">
        <f>'1. 소켓인수검사'!D29</f>
        <v>950</v>
      </c>
      <c r="E16" s="42"/>
      <c r="F16" s="41">
        <v>1</v>
      </c>
      <c r="G16" s="65">
        <f t="shared" si="1"/>
        <v>430</v>
      </c>
      <c r="H16" s="71">
        <f>F16*8*2</f>
        <v>16</v>
      </c>
      <c r="I16" s="107">
        <f>(D16-20)/2-10</f>
        <v>455</v>
      </c>
      <c r="J16" s="71">
        <f>F16*16</f>
        <v>16</v>
      </c>
      <c r="K16" s="66">
        <f t="shared" si="9"/>
        <v>960</v>
      </c>
      <c r="L16" s="99">
        <v>4</v>
      </c>
      <c r="M16" s="66">
        <f t="shared" si="2"/>
        <v>950</v>
      </c>
      <c r="N16" s="99">
        <v>4</v>
      </c>
      <c r="O16" s="61"/>
    </row>
    <row r="17" spans="1:15">
      <c r="A17" s="92" t="str">
        <f>'1. 소켓인수검사'!A30</f>
        <v>22</v>
      </c>
      <c r="B17" s="98" t="s">
        <v>48</v>
      </c>
      <c r="C17" s="41">
        <f>'1. 소켓인수검사'!C30</f>
        <v>1200</v>
      </c>
      <c r="D17" s="41">
        <f>'1. 소켓인수검사'!D30</f>
        <v>850</v>
      </c>
      <c r="E17" s="42"/>
      <c r="F17" s="41">
        <v>1</v>
      </c>
      <c r="G17" s="65">
        <f t="shared" si="1"/>
        <v>580</v>
      </c>
      <c r="H17" s="71">
        <f>F17*8*2</f>
        <v>16</v>
      </c>
      <c r="I17" s="107">
        <f>(D17-20)/2-10</f>
        <v>405</v>
      </c>
      <c r="J17" s="71">
        <f>F17*16</f>
        <v>16</v>
      </c>
      <c r="K17" s="66">
        <f t="shared" si="9"/>
        <v>1260</v>
      </c>
      <c r="L17" s="99">
        <v>4</v>
      </c>
      <c r="M17" s="66">
        <f t="shared" si="2"/>
        <v>850</v>
      </c>
      <c r="N17" s="99">
        <v>4</v>
      </c>
      <c r="O17" s="61"/>
    </row>
    <row r="18" spans="1:15">
      <c r="A18" s="92" t="str">
        <f>'1. 소켓인수검사'!A31</f>
        <v>23</v>
      </c>
      <c r="B18" s="98" t="s">
        <v>48</v>
      </c>
      <c r="C18" s="41">
        <f>'1. 소켓인수검사'!C31</f>
        <v>1300</v>
      </c>
      <c r="D18" s="41">
        <f>'1. 소켓인수검사'!D31</f>
        <v>800</v>
      </c>
      <c r="E18" s="42"/>
      <c r="F18" s="41">
        <v>1</v>
      </c>
      <c r="G18" s="65">
        <f t="shared" si="1"/>
        <v>630</v>
      </c>
      <c r="H18" s="71">
        <f t="shared" ref="H18:H21" si="10">F18*8*2</f>
        <v>16</v>
      </c>
      <c r="I18" s="107">
        <f>(D18-20)/2-10</f>
        <v>380</v>
      </c>
      <c r="J18" s="71">
        <f t="shared" ref="J18:J21" si="11">F18*16</f>
        <v>16</v>
      </c>
      <c r="K18" s="66">
        <f t="shared" si="9"/>
        <v>1360</v>
      </c>
      <c r="L18" s="99">
        <v>4</v>
      </c>
      <c r="M18" s="66">
        <f t="shared" si="2"/>
        <v>800</v>
      </c>
      <c r="N18" s="99">
        <v>4</v>
      </c>
      <c r="O18" s="61"/>
    </row>
    <row r="19" spans="1:15">
      <c r="A19" s="92" t="str">
        <f>'1. 소켓인수검사'!A32</f>
        <v>24</v>
      </c>
      <c r="B19" s="98" t="s">
        <v>48</v>
      </c>
      <c r="C19" s="41">
        <f>'1. 소켓인수검사'!C32</f>
        <v>1600</v>
      </c>
      <c r="D19" s="41">
        <f>'1. 소켓인수검사'!D32</f>
        <v>600</v>
      </c>
      <c r="E19" s="42"/>
      <c r="F19" s="41">
        <v>1</v>
      </c>
      <c r="G19" s="65">
        <f t="shared" si="1"/>
        <v>780</v>
      </c>
      <c r="H19" s="71">
        <f t="shared" si="10"/>
        <v>16</v>
      </c>
      <c r="I19" s="107">
        <f t="shared" ref="I19:I21" si="12">(D19-20)/2-10</f>
        <v>280</v>
      </c>
      <c r="J19" s="71">
        <f t="shared" si="11"/>
        <v>16</v>
      </c>
      <c r="K19" s="66">
        <f t="shared" si="9"/>
        <v>1660</v>
      </c>
      <c r="L19" s="99">
        <v>4</v>
      </c>
      <c r="M19" s="66">
        <f t="shared" si="2"/>
        <v>600</v>
      </c>
      <c r="N19" s="99">
        <v>4</v>
      </c>
      <c r="O19" s="61"/>
    </row>
    <row r="20" spans="1:15">
      <c r="A20" s="92" t="str">
        <f>'1. 소켓인수검사'!A33</f>
        <v>25</v>
      </c>
      <c r="B20" s="98" t="s">
        <v>48</v>
      </c>
      <c r="C20" s="41">
        <f>'1. 소켓인수검사'!C33</f>
        <v>2000</v>
      </c>
      <c r="D20" s="41">
        <f>'1. 소켓인수검사'!D33</f>
        <v>500</v>
      </c>
      <c r="E20" s="42"/>
      <c r="F20" s="41">
        <v>1</v>
      </c>
      <c r="G20" s="65">
        <f t="shared" si="1"/>
        <v>980</v>
      </c>
      <c r="H20" s="71">
        <f t="shared" si="10"/>
        <v>16</v>
      </c>
      <c r="I20" s="107">
        <f t="shared" si="12"/>
        <v>230</v>
      </c>
      <c r="J20" s="71">
        <f t="shared" si="11"/>
        <v>16</v>
      </c>
      <c r="K20" s="66">
        <f t="shared" si="9"/>
        <v>2060</v>
      </c>
      <c r="L20" s="99">
        <v>4</v>
      </c>
      <c r="M20" s="66">
        <f t="shared" si="2"/>
        <v>500</v>
      </c>
      <c r="N20" s="99">
        <v>4</v>
      </c>
      <c r="O20" s="61"/>
    </row>
    <row r="21" spans="1:15">
      <c r="A21" s="92" t="str">
        <f>'1. 소켓인수검사'!A34</f>
        <v>26</v>
      </c>
      <c r="B21" s="98" t="s">
        <v>48</v>
      </c>
      <c r="C21" s="41">
        <f>'1. 소켓인수검사'!C34</f>
        <v>2000</v>
      </c>
      <c r="D21" s="41">
        <f>'1. 소켓인수검사'!D34</f>
        <v>500</v>
      </c>
      <c r="E21" s="42"/>
      <c r="F21" s="41">
        <v>1</v>
      </c>
      <c r="G21" s="65">
        <f t="shared" si="1"/>
        <v>980</v>
      </c>
      <c r="H21" s="71">
        <f t="shared" si="10"/>
        <v>16</v>
      </c>
      <c r="I21" s="107">
        <f t="shared" si="12"/>
        <v>230</v>
      </c>
      <c r="J21" s="71">
        <f t="shared" si="11"/>
        <v>16</v>
      </c>
      <c r="K21" s="66">
        <f t="shared" si="9"/>
        <v>2060</v>
      </c>
      <c r="L21" s="99">
        <v>4</v>
      </c>
      <c r="M21" s="66">
        <f t="shared" si="2"/>
        <v>500</v>
      </c>
      <c r="N21" s="99">
        <v>4</v>
      </c>
      <c r="O21" s="61"/>
    </row>
    <row r="22" spans="1:15">
      <c r="A22" s="190"/>
      <c r="B22" s="191"/>
      <c r="C22" s="191"/>
      <c r="D22" s="100"/>
      <c r="E22" s="101"/>
      <c r="F22" s="101"/>
      <c r="G22" s="102"/>
      <c r="H22" s="67">
        <f>SUM(H8:H21)</f>
        <v>224</v>
      </c>
      <c r="I22" s="102"/>
      <c r="J22" s="67">
        <f>SUM(J8:J21)</f>
        <v>224</v>
      </c>
      <c r="K22" s="100"/>
      <c r="L22" s="67">
        <f>SUM(L8:L21)</f>
        <v>56</v>
      </c>
      <c r="M22" s="100"/>
      <c r="N22" s="67">
        <f>SUM(N8:N21)</f>
        <v>56</v>
      </c>
      <c r="O22" s="68"/>
    </row>
    <row r="23" spans="1:15" ht="8.1" customHeight="1">
      <c r="A23" s="184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6"/>
      <c r="O23" s="4"/>
    </row>
    <row r="24" spans="1:15">
      <c r="A24" s="1" t="s">
        <v>16</v>
      </c>
      <c r="B24" s="1"/>
      <c r="C24" s="1"/>
      <c r="D24" s="184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6"/>
    </row>
    <row r="25" spans="1:15">
      <c r="A25" s="1"/>
      <c r="B25" s="1"/>
      <c r="C25" s="1"/>
      <c r="D25" s="172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4"/>
    </row>
    <row r="26" spans="1:15">
      <c r="A26" s="1"/>
      <c r="B26" s="1"/>
      <c r="C26" s="1"/>
      <c r="D26" s="172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4"/>
    </row>
    <row r="27" spans="1:15">
      <c r="A27" s="1"/>
      <c r="B27" s="1"/>
      <c r="C27" s="1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4"/>
    </row>
    <row r="28" spans="1:15">
      <c r="A28" s="1"/>
      <c r="B28" s="1"/>
      <c r="C28" s="1"/>
      <c r="D28" s="172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4"/>
    </row>
    <row r="29" spans="1:15">
      <c r="A29" s="1"/>
      <c r="B29" s="1"/>
      <c r="C29" s="1"/>
      <c r="D29" s="187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/>
    </row>
  </sheetData>
  <mergeCells count="22">
    <mergeCell ref="K6:L6"/>
    <mergeCell ref="M6:N6"/>
    <mergeCell ref="A24:C29"/>
    <mergeCell ref="D24:O29"/>
    <mergeCell ref="A22:C22"/>
    <mergeCell ref="A23:N23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6"/>
  <sheetViews>
    <sheetView zoomScaleNormal="100" zoomScaleSheetLayoutView="100" workbookViewId="0">
      <selection activeCell="M10" sqref="M1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94" t="s">
        <v>102</v>
      </c>
      <c r="F1" s="195"/>
      <c r="G1" s="200" t="str">
        <f>'1. 소켓인수검사'!R2</f>
        <v>26.06.10 행복산업_덕신건업_롯데건설_인천 효성구역 도시개발 사업 공동주택(4BL) 2차분</v>
      </c>
      <c r="H1" s="200"/>
      <c r="I1" s="200"/>
      <c r="J1" s="200"/>
      <c r="K1" s="201"/>
    </row>
    <row r="2" spans="1:11" ht="16.5" customHeight="1">
      <c r="A2" s="1"/>
      <c r="B2" s="1"/>
      <c r="C2" s="1"/>
      <c r="D2" s="1"/>
      <c r="E2" s="196"/>
      <c r="F2" s="197"/>
      <c r="G2" s="202"/>
      <c r="H2" s="202"/>
      <c r="I2" s="202"/>
      <c r="J2" s="202"/>
      <c r="K2" s="203"/>
    </row>
    <row r="3" spans="1:11" ht="16.5" customHeight="1">
      <c r="A3" s="1"/>
      <c r="B3" s="1"/>
      <c r="C3" s="1"/>
      <c r="D3" s="1"/>
      <c r="E3" s="198"/>
      <c r="F3" s="199"/>
      <c r="G3" s="204"/>
      <c r="H3" s="204"/>
      <c r="I3" s="204"/>
      <c r="J3" s="204"/>
      <c r="K3" s="205"/>
    </row>
    <row r="4" spans="1:11" ht="8.1" customHeight="1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</row>
    <row r="5" spans="1:11" ht="26.45" customHeight="1">
      <c r="A5" s="206" t="s">
        <v>59</v>
      </c>
      <c r="B5" s="207" t="s">
        <v>69</v>
      </c>
      <c r="C5" s="210" t="s">
        <v>4</v>
      </c>
      <c r="D5" s="210"/>
      <c r="E5" s="210" t="s">
        <v>25</v>
      </c>
      <c r="F5" s="211" t="s">
        <v>57</v>
      </c>
      <c r="G5" s="192" t="s">
        <v>35</v>
      </c>
      <c r="H5" s="193"/>
      <c r="I5" s="193"/>
      <c r="J5" s="193"/>
      <c r="K5" s="211" t="s">
        <v>2</v>
      </c>
    </row>
    <row r="6" spans="1:11" ht="16.5" customHeight="1">
      <c r="A6" s="206"/>
      <c r="B6" s="208"/>
      <c r="C6" s="210" t="s">
        <v>66</v>
      </c>
      <c r="D6" s="210" t="s">
        <v>64</v>
      </c>
      <c r="E6" s="210"/>
      <c r="F6" s="212"/>
      <c r="G6" s="210" t="s">
        <v>68</v>
      </c>
      <c r="H6" s="210"/>
      <c r="I6" s="192" t="s">
        <v>65</v>
      </c>
      <c r="J6" s="193"/>
      <c r="K6" s="212"/>
    </row>
    <row r="7" spans="1:11">
      <c r="A7" s="206"/>
      <c r="B7" s="209"/>
      <c r="C7" s="210"/>
      <c r="D7" s="210"/>
      <c r="E7" s="210"/>
      <c r="F7" s="213"/>
      <c r="G7" s="16" t="s">
        <v>4</v>
      </c>
      <c r="H7" s="16" t="s">
        <v>57</v>
      </c>
      <c r="I7" s="16" t="s">
        <v>4</v>
      </c>
      <c r="J7" s="17" t="s">
        <v>57</v>
      </c>
      <c r="K7" s="213"/>
    </row>
    <row r="8" spans="1:11">
      <c r="A8" s="92" t="str">
        <f>'1. 소켓인수검사'!A9</f>
        <v>01</v>
      </c>
      <c r="B8" s="63" t="s">
        <v>49</v>
      </c>
      <c r="C8" s="41">
        <f>'1. 소켓인수검사'!C9</f>
        <v>600</v>
      </c>
      <c r="D8" s="41">
        <f>'1. 소켓인수검사'!D9</f>
        <v>750</v>
      </c>
      <c r="E8" s="42"/>
      <c r="F8" s="41">
        <v>1</v>
      </c>
      <c r="G8" s="62">
        <f t="shared" ref="G8:G19" si="0">C8+60</f>
        <v>660</v>
      </c>
      <c r="H8" s="41">
        <v>2</v>
      </c>
      <c r="I8" s="62">
        <f t="shared" ref="I8:I19" si="1">D8</f>
        <v>750</v>
      </c>
      <c r="J8" s="41">
        <v>2</v>
      </c>
      <c r="K8" s="61"/>
    </row>
    <row r="9" spans="1:11">
      <c r="A9" s="92" t="str">
        <f>'1. 소켓인수검사'!A10</f>
        <v>02</v>
      </c>
      <c r="B9" s="63" t="s">
        <v>49</v>
      </c>
      <c r="C9" s="41">
        <f>'1. 소켓인수검사'!C10</f>
        <v>600</v>
      </c>
      <c r="D9" s="41">
        <f>'1. 소켓인수검사'!D10</f>
        <v>750</v>
      </c>
      <c r="E9" s="42"/>
      <c r="F9" s="41">
        <v>1</v>
      </c>
      <c r="G9" s="62">
        <f t="shared" si="0"/>
        <v>660</v>
      </c>
      <c r="H9" s="41">
        <v>2</v>
      </c>
      <c r="I9" s="62">
        <f t="shared" si="1"/>
        <v>750</v>
      </c>
      <c r="J9" s="41">
        <v>2</v>
      </c>
      <c r="K9" s="61"/>
    </row>
    <row r="10" spans="1:11">
      <c r="A10" s="92" t="str">
        <f>'1. 소켓인수검사'!A11</f>
        <v>03</v>
      </c>
      <c r="B10" s="63" t="s">
        <v>49</v>
      </c>
      <c r="C10" s="41">
        <f>'1. 소켓인수검사'!C11</f>
        <v>600</v>
      </c>
      <c r="D10" s="41">
        <f>'1. 소켓인수검사'!D11</f>
        <v>750</v>
      </c>
      <c r="E10" s="42"/>
      <c r="F10" s="41">
        <v>1</v>
      </c>
      <c r="G10" s="62">
        <f t="shared" si="0"/>
        <v>660</v>
      </c>
      <c r="H10" s="41">
        <v>2</v>
      </c>
      <c r="I10" s="62">
        <f t="shared" si="1"/>
        <v>750</v>
      </c>
      <c r="J10" s="41">
        <v>2</v>
      </c>
      <c r="K10" s="61"/>
    </row>
    <row r="11" spans="1:11">
      <c r="A11" s="92" t="str">
        <f>'1. 소켓인수검사'!A12</f>
        <v>04</v>
      </c>
      <c r="B11" s="63" t="s">
        <v>49</v>
      </c>
      <c r="C11" s="41">
        <f>'1. 소켓인수검사'!C12</f>
        <v>800</v>
      </c>
      <c r="D11" s="41">
        <f>'1. 소켓인수검사'!D12</f>
        <v>850</v>
      </c>
      <c r="E11" s="42"/>
      <c r="F11" s="41">
        <v>1</v>
      </c>
      <c r="G11" s="62">
        <f t="shared" si="0"/>
        <v>860</v>
      </c>
      <c r="H11" s="41">
        <v>2</v>
      </c>
      <c r="I11" s="62">
        <f t="shared" si="1"/>
        <v>850</v>
      </c>
      <c r="J11" s="41">
        <v>2</v>
      </c>
      <c r="K11" s="61"/>
    </row>
    <row r="12" spans="1:11">
      <c r="A12" s="92" t="str">
        <f>'1. 소켓인수검사'!A13</f>
        <v>05</v>
      </c>
      <c r="B12" s="63" t="s">
        <v>49</v>
      </c>
      <c r="C12" s="41">
        <f>'1. 소켓인수검사'!C13</f>
        <v>800</v>
      </c>
      <c r="D12" s="41">
        <f>'1. 소켓인수검사'!D13</f>
        <v>850</v>
      </c>
      <c r="E12" s="42"/>
      <c r="F12" s="41">
        <v>1</v>
      </c>
      <c r="G12" s="62">
        <f t="shared" si="0"/>
        <v>860</v>
      </c>
      <c r="H12" s="41">
        <v>2</v>
      </c>
      <c r="I12" s="62">
        <f t="shared" si="1"/>
        <v>850</v>
      </c>
      <c r="J12" s="41">
        <v>2</v>
      </c>
      <c r="K12" s="61"/>
    </row>
    <row r="13" spans="1:11">
      <c r="A13" s="92" t="str">
        <f>'1. 소켓인수검사'!A14</f>
        <v>06</v>
      </c>
      <c r="B13" s="63" t="s">
        <v>49</v>
      </c>
      <c r="C13" s="41">
        <f>'1. 소켓인수검사'!C14</f>
        <v>800</v>
      </c>
      <c r="D13" s="41">
        <f>'1. 소켓인수검사'!D14</f>
        <v>850</v>
      </c>
      <c r="E13" s="42"/>
      <c r="F13" s="41">
        <v>1</v>
      </c>
      <c r="G13" s="62">
        <f t="shared" si="0"/>
        <v>860</v>
      </c>
      <c r="H13" s="41">
        <v>2</v>
      </c>
      <c r="I13" s="62">
        <f t="shared" si="1"/>
        <v>850</v>
      </c>
      <c r="J13" s="41">
        <v>2</v>
      </c>
      <c r="K13" s="61"/>
    </row>
    <row r="14" spans="1:11">
      <c r="A14" s="92" t="str">
        <f>'1. 소켓인수검사'!A15</f>
        <v>07</v>
      </c>
      <c r="B14" s="63" t="s">
        <v>49</v>
      </c>
      <c r="C14" s="41">
        <f>'1. 소켓인수검사'!C15</f>
        <v>1200</v>
      </c>
      <c r="D14" s="41">
        <f>'1. 소켓인수검사'!D15</f>
        <v>500</v>
      </c>
      <c r="E14" s="42"/>
      <c r="F14" s="41">
        <v>1</v>
      </c>
      <c r="G14" s="62">
        <f t="shared" si="0"/>
        <v>1260</v>
      </c>
      <c r="H14" s="41">
        <v>2</v>
      </c>
      <c r="I14" s="62">
        <f t="shared" si="1"/>
        <v>500</v>
      </c>
      <c r="J14" s="41">
        <v>2</v>
      </c>
      <c r="K14" s="61"/>
    </row>
    <row r="15" spans="1:11">
      <c r="A15" s="92" t="str">
        <f>'1. 소켓인수검사'!A16</f>
        <v>08</v>
      </c>
      <c r="B15" s="63" t="s">
        <v>49</v>
      </c>
      <c r="C15" s="41">
        <f>'1. 소켓인수검사'!C16</f>
        <v>1300</v>
      </c>
      <c r="D15" s="41">
        <f>'1. 소켓인수검사'!D16</f>
        <v>400</v>
      </c>
      <c r="E15" s="42"/>
      <c r="F15" s="41">
        <v>1</v>
      </c>
      <c r="G15" s="62">
        <f t="shared" si="0"/>
        <v>1360</v>
      </c>
      <c r="H15" s="41">
        <v>2</v>
      </c>
      <c r="I15" s="62">
        <f t="shared" si="1"/>
        <v>400</v>
      </c>
      <c r="J15" s="41">
        <v>2</v>
      </c>
      <c r="K15" s="61"/>
    </row>
    <row r="16" spans="1:11">
      <c r="A16" s="92" t="str">
        <f>'1. 소켓인수검사'!A17</f>
        <v>09</v>
      </c>
      <c r="B16" s="63" t="s">
        <v>49</v>
      </c>
      <c r="C16" s="41">
        <f>'1. 소켓인수검사'!C17</f>
        <v>1300</v>
      </c>
      <c r="D16" s="41">
        <f>'1. 소켓인수검사'!D17</f>
        <v>400</v>
      </c>
      <c r="E16" s="42"/>
      <c r="F16" s="41">
        <v>1</v>
      </c>
      <c r="G16" s="62">
        <f t="shared" si="0"/>
        <v>1360</v>
      </c>
      <c r="H16" s="41">
        <v>2</v>
      </c>
      <c r="I16" s="62">
        <f t="shared" si="1"/>
        <v>400</v>
      </c>
      <c r="J16" s="41">
        <v>2</v>
      </c>
      <c r="K16" s="61"/>
    </row>
    <row r="17" spans="1:11">
      <c r="A17" s="92" t="str">
        <f>'1. 소켓인수검사'!A18</f>
        <v>10</v>
      </c>
      <c r="B17" s="63" t="s">
        <v>49</v>
      </c>
      <c r="C17" s="41">
        <f>'1. 소켓인수검사'!C18</f>
        <v>1300</v>
      </c>
      <c r="D17" s="41">
        <f>'1. 소켓인수검사'!D18</f>
        <v>400</v>
      </c>
      <c r="E17" s="42"/>
      <c r="F17" s="41">
        <v>1</v>
      </c>
      <c r="G17" s="62">
        <f t="shared" si="0"/>
        <v>1360</v>
      </c>
      <c r="H17" s="41">
        <v>2</v>
      </c>
      <c r="I17" s="62">
        <f t="shared" si="1"/>
        <v>400</v>
      </c>
      <c r="J17" s="41">
        <v>2</v>
      </c>
      <c r="K17" s="61"/>
    </row>
    <row r="18" spans="1:11">
      <c r="A18" s="92" t="str">
        <f>'1. 소켓인수검사'!A19</f>
        <v>11</v>
      </c>
      <c r="B18" s="63" t="s">
        <v>49</v>
      </c>
      <c r="C18" s="41">
        <f>'1. 소켓인수검사'!C19</f>
        <v>1300</v>
      </c>
      <c r="D18" s="41">
        <f>'1. 소켓인수검사'!D19</f>
        <v>400</v>
      </c>
      <c r="E18" s="42"/>
      <c r="F18" s="41">
        <v>1</v>
      </c>
      <c r="G18" s="62">
        <f t="shared" si="0"/>
        <v>1360</v>
      </c>
      <c r="H18" s="41">
        <v>2</v>
      </c>
      <c r="I18" s="62">
        <f t="shared" si="1"/>
        <v>400</v>
      </c>
      <c r="J18" s="41">
        <v>2</v>
      </c>
      <c r="K18" s="61"/>
    </row>
    <row r="19" spans="1:11">
      <c r="A19" s="92" t="str">
        <f>'1. 소켓인수검사'!A20</f>
        <v>12</v>
      </c>
      <c r="B19" s="63" t="s">
        <v>49</v>
      </c>
      <c r="C19" s="41">
        <f>'1. 소켓인수검사'!C20</f>
        <v>1300</v>
      </c>
      <c r="D19" s="41">
        <f>'1. 소켓인수검사'!D20</f>
        <v>450</v>
      </c>
      <c r="E19" s="42"/>
      <c r="F19" s="41">
        <v>1</v>
      </c>
      <c r="G19" s="62">
        <f t="shared" si="0"/>
        <v>1360</v>
      </c>
      <c r="H19" s="41">
        <v>2</v>
      </c>
      <c r="I19" s="62">
        <f t="shared" si="1"/>
        <v>450</v>
      </c>
      <c r="J19" s="41">
        <v>2</v>
      </c>
      <c r="K19" s="61"/>
    </row>
    <row r="20" spans="1:11">
      <c r="A20" s="93" t="str">
        <f>'1. 소켓인수검사'!A21</f>
        <v>13</v>
      </c>
      <c r="B20" s="64" t="s">
        <v>48</v>
      </c>
      <c r="C20" s="41">
        <f>'1. 소켓인수검사'!C21</f>
        <v>750</v>
      </c>
      <c r="D20" s="41">
        <f>'1. 소켓인수검사'!D21</f>
        <v>900</v>
      </c>
      <c r="E20" s="53"/>
      <c r="F20" s="52">
        <v>1</v>
      </c>
      <c r="G20" s="94">
        <f t="shared" ref="G20:G33" si="2">C20+60</f>
        <v>810</v>
      </c>
      <c r="H20" s="52">
        <v>2</v>
      </c>
      <c r="I20" s="94">
        <f t="shared" ref="I20:I33" si="3">D20</f>
        <v>900</v>
      </c>
      <c r="J20" s="52">
        <v>2</v>
      </c>
      <c r="K20" s="95"/>
    </row>
    <row r="21" spans="1:11">
      <c r="A21" s="93" t="str">
        <f>'1. 소켓인수검사'!A22</f>
        <v>14</v>
      </c>
      <c r="B21" s="64" t="s">
        <v>48</v>
      </c>
      <c r="C21" s="41">
        <f>'1. 소켓인수검사'!C22</f>
        <v>750</v>
      </c>
      <c r="D21" s="41">
        <f>'1. 소켓인수검사'!D22</f>
        <v>900</v>
      </c>
      <c r="E21" s="53"/>
      <c r="F21" s="52">
        <v>1</v>
      </c>
      <c r="G21" s="94">
        <f t="shared" si="2"/>
        <v>810</v>
      </c>
      <c r="H21" s="52">
        <v>2</v>
      </c>
      <c r="I21" s="94">
        <f t="shared" si="3"/>
        <v>900</v>
      </c>
      <c r="J21" s="52">
        <v>2</v>
      </c>
      <c r="K21" s="95"/>
    </row>
    <row r="22" spans="1:11">
      <c r="A22" s="93" t="str">
        <f>'1. 소켓인수검사'!A23</f>
        <v>15</v>
      </c>
      <c r="B22" s="64" t="s">
        <v>48</v>
      </c>
      <c r="C22" s="41">
        <f>'1. 소켓인수검사'!C23</f>
        <v>750</v>
      </c>
      <c r="D22" s="41">
        <f>'1. 소켓인수검사'!D23</f>
        <v>900</v>
      </c>
      <c r="E22" s="53"/>
      <c r="F22" s="52">
        <v>1</v>
      </c>
      <c r="G22" s="94">
        <f t="shared" si="2"/>
        <v>810</v>
      </c>
      <c r="H22" s="52">
        <v>2</v>
      </c>
      <c r="I22" s="94">
        <f t="shared" si="3"/>
        <v>900</v>
      </c>
      <c r="J22" s="52">
        <v>2</v>
      </c>
      <c r="K22" s="95"/>
    </row>
    <row r="23" spans="1:11">
      <c r="A23" s="93" t="str">
        <f>'1. 소켓인수검사'!A24</f>
        <v>16</v>
      </c>
      <c r="B23" s="64" t="s">
        <v>48</v>
      </c>
      <c r="C23" s="41">
        <f>'1. 소켓인수검사'!C24</f>
        <v>800</v>
      </c>
      <c r="D23" s="41">
        <f>'1. 소켓인수검사'!D24</f>
        <v>900</v>
      </c>
      <c r="E23" s="53"/>
      <c r="F23" s="52">
        <v>1</v>
      </c>
      <c r="G23" s="94">
        <f t="shared" si="2"/>
        <v>860</v>
      </c>
      <c r="H23" s="52">
        <v>2</v>
      </c>
      <c r="I23" s="94">
        <f t="shared" si="3"/>
        <v>900</v>
      </c>
      <c r="J23" s="52">
        <v>2</v>
      </c>
      <c r="K23" s="95"/>
    </row>
    <row r="24" spans="1:11">
      <c r="A24" s="93" t="str">
        <f>'1. 소켓인수검사'!A25</f>
        <v>17</v>
      </c>
      <c r="B24" s="64" t="s">
        <v>48</v>
      </c>
      <c r="C24" s="41">
        <f>'1. 소켓인수검사'!C25</f>
        <v>800</v>
      </c>
      <c r="D24" s="41">
        <f>'1. 소켓인수검사'!D25</f>
        <v>900</v>
      </c>
      <c r="E24" s="53"/>
      <c r="F24" s="52">
        <v>1</v>
      </c>
      <c r="G24" s="94">
        <f t="shared" si="2"/>
        <v>860</v>
      </c>
      <c r="H24" s="52">
        <v>2</v>
      </c>
      <c r="I24" s="94">
        <f t="shared" si="3"/>
        <v>900</v>
      </c>
      <c r="J24" s="52">
        <v>2</v>
      </c>
      <c r="K24" s="95"/>
    </row>
    <row r="25" spans="1:11">
      <c r="A25" s="93" t="str">
        <f>'1. 소켓인수검사'!A26</f>
        <v>18</v>
      </c>
      <c r="B25" s="64" t="s">
        <v>48</v>
      </c>
      <c r="C25" s="41">
        <f>'1. 소켓인수검사'!C26</f>
        <v>800</v>
      </c>
      <c r="D25" s="41">
        <f>'1. 소켓인수검사'!D26</f>
        <v>900</v>
      </c>
      <c r="E25" s="53"/>
      <c r="F25" s="52">
        <v>1</v>
      </c>
      <c r="G25" s="94">
        <f t="shared" si="2"/>
        <v>860</v>
      </c>
      <c r="H25" s="52">
        <v>2</v>
      </c>
      <c r="I25" s="94">
        <f t="shared" si="3"/>
        <v>900</v>
      </c>
      <c r="J25" s="52">
        <v>2</v>
      </c>
      <c r="K25" s="95"/>
    </row>
    <row r="26" spans="1:11">
      <c r="A26" s="93" t="str">
        <f>'1. 소켓인수검사'!A27</f>
        <v>19</v>
      </c>
      <c r="B26" s="64" t="s">
        <v>48</v>
      </c>
      <c r="C26" s="41">
        <f>'1. 소켓인수검사'!C27</f>
        <v>900</v>
      </c>
      <c r="D26" s="41">
        <f>'1. 소켓인수검사'!D27</f>
        <v>950</v>
      </c>
      <c r="E26" s="53"/>
      <c r="F26" s="52">
        <v>1</v>
      </c>
      <c r="G26" s="94">
        <f t="shared" si="2"/>
        <v>960</v>
      </c>
      <c r="H26" s="52">
        <v>2</v>
      </c>
      <c r="I26" s="94">
        <f t="shared" si="3"/>
        <v>950</v>
      </c>
      <c r="J26" s="52">
        <v>2</v>
      </c>
      <c r="K26" s="95"/>
    </row>
    <row r="27" spans="1:11">
      <c r="A27" s="93" t="str">
        <f>'1. 소켓인수검사'!A28</f>
        <v>20</v>
      </c>
      <c r="B27" s="64" t="s">
        <v>48</v>
      </c>
      <c r="C27" s="41">
        <f>'1. 소켓인수검사'!C28</f>
        <v>900</v>
      </c>
      <c r="D27" s="41">
        <f>'1. 소켓인수검사'!D28</f>
        <v>950</v>
      </c>
      <c r="E27" s="53"/>
      <c r="F27" s="52">
        <v>1</v>
      </c>
      <c r="G27" s="94">
        <f t="shared" si="2"/>
        <v>960</v>
      </c>
      <c r="H27" s="52">
        <v>2</v>
      </c>
      <c r="I27" s="94">
        <f t="shared" si="3"/>
        <v>950</v>
      </c>
      <c r="J27" s="52">
        <v>2</v>
      </c>
      <c r="K27" s="95"/>
    </row>
    <row r="28" spans="1:11">
      <c r="A28" s="93" t="str">
        <f>'1. 소켓인수검사'!A29</f>
        <v>21</v>
      </c>
      <c r="B28" s="64" t="s">
        <v>48</v>
      </c>
      <c r="C28" s="41">
        <f>'1. 소켓인수검사'!C29</f>
        <v>900</v>
      </c>
      <c r="D28" s="41">
        <f>'1. 소켓인수검사'!D29</f>
        <v>950</v>
      </c>
      <c r="E28" s="53"/>
      <c r="F28" s="52">
        <v>1</v>
      </c>
      <c r="G28" s="94">
        <f t="shared" si="2"/>
        <v>960</v>
      </c>
      <c r="H28" s="52">
        <v>2</v>
      </c>
      <c r="I28" s="94">
        <f t="shared" si="3"/>
        <v>950</v>
      </c>
      <c r="J28" s="52">
        <v>2</v>
      </c>
      <c r="K28" s="95"/>
    </row>
    <row r="29" spans="1:11">
      <c r="A29" s="93" t="str">
        <f>'1. 소켓인수검사'!A30</f>
        <v>22</v>
      </c>
      <c r="B29" s="64" t="s">
        <v>48</v>
      </c>
      <c r="C29" s="41">
        <f>'1. 소켓인수검사'!C30</f>
        <v>1200</v>
      </c>
      <c r="D29" s="41">
        <f>'1. 소켓인수검사'!D30</f>
        <v>850</v>
      </c>
      <c r="E29" s="53"/>
      <c r="F29" s="52">
        <v>1</v>
      </c>
      <c r="G29" s="94">
        <f t="shared" si="2"/>
        <v>1260</v>
      </c>
      <c r="H29" s="52">
        <v>2</v>
      </c>
      <c r="I29" s="94">
        <f t="shared" si="3"/>
        <v>850</v>
      </c>
      <c r="J29" s="52">
        <v>2</v>
      </c>
      <c r="K29" s="95"/>
    </row>
    <row r="30" spans="1:11">
      <c r="A30" s="93" t="str">
        <f>'1. 소켓인수검사'!A31</f>
        <v>23</v>
      </c>
      <c r="B30" s="64" t="s">
        <v>48</v>
      </c>
      <c r="C30" s="41">
        <f>'1. 소켓인수검사'!C31</f>
        <v>1300</v>
      </c>
      <c r="D30" s="41">
        <f>'1. 소켓인수검사'!D31</f>
        <v>800</v>
      </c>
      <c r="E30" s="53"/>
      <c r="F30" s="52">
        <v>1</v>
      </c>
      <c r="G30" s="94">
        <f t="shared" si="2"/>
        <v>1360</v>
      </c>
      <c r="H30" s="52">
        <v>2</v>
      </c>
      <c r="I30" s="94">
        <f t="shared" si="3"/>
        <v>800</v>
      </c>
      <c r="J30" s="52">
        <v>2</v>
      </c>
      <c r="K30" s="95"/>
    </row>
    <row r="31" spans="1:11">
      <c r="A31" s="93" t="str">
        <f>'1. 소켓인수검사'!A32</f>
        <v>24</v>
      </c>
      <c r="B31" s="64" t="s">
        <v>48</v>
      </c>
      <c r="C31" s="41">
        <f>'1. 소켓인수검사'!C32</f>
        <v>1600</v>
      </c>
      <c r="D31" s="41">
        <f>'1. 소켓인수검사'!D32</f>
        <v>600</v>
      </c>
      <c r="E31" s="53"/>
      <c r="F31" s="52">
        <v>1</v>
      </c>
      <c r="G31" s="94">
        <f t="shared" si="2"/>
        <v>1660</v>
      </c>
      <c r="H31" s="52">
        <v>2</v>
      </c>
      <c r="I31" s="94">
        <f t="shared" si="3"/>
        <v>600</v>
      </c>
      <c r="J31" s="52">
        <v>2</v>
      </c>
      <c r="K31" s="95"/>
    </row>
    <row r="32" spans="1:11">
      <c r="A32" s="93" t="str">
        <f>'1. 소켓인수검사'!A33</f>
        <v>25</v>
      </c>
      <c r="B32" s="64" t="s">
        <v>48</v>
      </c>
      <c r="C32" s="41">
        <f>'1. 소켓인수검사'!C33</f>
        <v>2000</v>
      </c>
      <c r="D32" s="41">
        <f>'1. 소켓인수검사'!D33</f>
        <v>500</v>
      </c>
      <c r="E32" s="53"/>
      <c r="F32" s="52">
        <v>1</v>
      </c>
      <c r="G32" s="94">
        <f t="shared" si="2"/>
        <v>2060</v>
      </c>
      <c r="H32" s="52">
        <v>2</v>
      </c>
      <c r="I32" s="94">
        <f t="shared" si="3"/>
        <v>500</v>
      </c>
      <c r="J32" s="52">
        <v>2</v>
      </c>
      <c r="K32" s="95"/>
    </row>
    <row r="33" spans="1:11">
      <c r="A33" s="93" t="str">
        <f>'1. 소켓인수검사'!A34</f>
        <v>26</v>
      </c>
      <c r="B33" s="64" t="s">
        <v>48</v>
      </c>
      <c r="C33" s="41">
        <f>'1. 소켓인수검사'!C34</f>
        <v>2000</v>
      </c>
      <c r="D33" s="41">
        <f>'1. 소켓인수검사'!D34</f>
        <v>500</v>
      </c>
      <c r="E33" s="53"/>
      <c r="F33" s="52">
        <v>1</v>
      </c>
      <c r="G33" s="94">
        <f t="shared" si="2"/>
        <v>2060</v>
      </c>
      <c r="H33" s="52">
        <v>2</v>
      </c>
      <c r="I33" s="94">
        <f t="shared" si="3"/>
        <v>500</v>
      </c>
      <c r="J33" s="52">
        <v>2</v>
      </c>
      <c r="K33" s="95"/>
    </row>
    <row r="34" spans="1:11">
      <c r="A34" s="1" t="s">
        <v>46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mergeCells count="17">
    <mergeCell ref="G6:H6"/>
    <mergeCell ref="I6:J6"/>
    <mergeCell ref="E1:F3"/>
    <mergeCell ref="G1:K3"/>
    <mergeCell ref="A34:C36"/>
    <mergeCell ref="D34:K36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7"/>
  <sheetViews>
    <sheetView zoomScaleNormal="100" zoomScaleSheetLayoutView="100" workbookViewId="0">
      <selection activeCell="A23" sqref="A23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14" t="s">
        <v>73</v>
      </c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6"/>
    </row>
    <row r="2" spans="1:16" ht="16.5" customHeight="1">
      <c r="A2" s="1"/>
      <c r="B2" s="1"/>
      <c r="C2" s="1"/>
      <c r="D2" s="1"/>
      <c r="E2" s="217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9"/>
    </row>
    <row r="3" spans="1:16" ht="16.5" customHeight="1">
      <c r="A3" s="1"/>
      <c r="B3" s="1"/>
      <c r="C3" s="1"/>
      <c r="D3" s="1"/>
      <c r="E3" s="217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9"/>
    </row>
    <row r="4" spans="1:16" ht="16.5" customHeight="1">
      <c r="A4" s="1" t="s">
        <v>17</v>
      </c>
      <c r="B4" s="1"/>
      <c r="C4" s="223"/>
      <c r="D4" s="224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25" t="str">
        <f>'1. 소켓인수검사'!R2</f>
        <v>26.06.10 행복산업_덕신건업_롯데건설_인천 효성구역 도시개발 사업 공동주택(4BL) 2차분</v>
      </c>
      <c r="O5" s="225"/>
      <c r="P5" s="225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25"/>
      <c r="O6" s="225"/>
      <c r="P6" s="225"/>
    </row>
    <row r="7" spans="1:16" ht="8.1" customHeight="1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</row>
    <row r="8" spans="1:16">
      <c r="A8" s="226" t="s">
        <v>59</v>
      </c>
      <c r="B8" s="228" t="s">
        <v>4</v>
      </c>
      <c r="C8" s="228"/>
      <c r="D8" s="228" t="s">
        <v>29</v>
      </c>
      <c r="E8" s="228" t="s">
        <v>25</v>
      </c>
      <c r="F8" s="228" t="s">
        <v>63</v>
      </c>
      <c r="G8" s="228" t="s">
        <v>28</v>
      </c>
      <c r="H8" s="228"/>
      <c r="I8" s="228"/>
      <c r="J8" s="228"/>
      <c r="K8" s="228"/>
      <c r="L8" s="228"/>
      <c r="M8" s="228"/>
      <c r="N8" s="228"/>
      <c r="O8" s="228"/>
      <c r="P8" s="230" t="s">
        <v>2</v>
      </c>
    </row>
    <row r="9" spans="1:16" ht="16.5" customHeight="1">
      <c r="A9" s="227"/>
      <c r="B9" s="229" t="s">
        <v>66</v>
      </c>
      <c r="C9" s="229" t="s">
        <v>64</v>
      </c>
      <c r="D9" s="229"/>
      <c r="E9" s="229"/>
      <c r="F9" s="229"/>
      <c r="G9" s="229" t="s">
        <v>60</v>
      </c>
      <c r="H9" s="229" t="s">
        <v>66</v>
      </c>
      <c r="I9" s="229"/>
      <c r="J9" s="229" t="s">
        <v>11</v>
      </c>
      <c r="K9" s="229" t="s">
        <v>64</v>
      </c>
      <c r="L9" s="229"/>
      <c r="M9" s="229"/>
      <c r="N9" s="229"/>
      <c r="O9" s="229" t="s">
        <v>11</v>
      </c>
      <c r="P9" s="231"/>
    </row>
    <row r="10" spans="1:16">
      <c r="A10" s="227"/>
      <c r="B10" s="229"/>
      <c r="C10" s="229"/>
      <c r="D10" s="229"/>
      <c r="E10" s="229"/>
      <c r="F10" s="229"/>
      <c r="G10" s="229"/>
      <c r="H10" s="32" t="s">
        <v>4</v>
      </c>
      <c r="I10" s="32" t="s">
        <v>32</v>
      </c>
      <c r="J10" s="229"/>
      <c r="K10" s="229" t="s">
        <v>4</v>
      </c>
      <c r="L10" s="229"/>
      <c r="M10" s="229"/>
      <c r="N10" s="32" t="s">
        <v>32</v>
      </c>
      <c r="O10" s="229"/>
      <c r="P10" s="231"/>
    </row>
    <row r="11" spans="1:16">
      <c r="A11" s="31" t="str">
        <f>'1. 소켓인수검사'!A9</f>
        <v>01</v>
      </c>
      <c r="B11" s="34">
        <f>'1. 소켓인수검사'!C9</f>
        <v>600</v>
      </c>
      <c r="C11" s="34">
        <f>'1. 소켓인수검사'!D9</f>
        <v>750</v>
      </c>
      <c r="D11" s="35">
        <v>1</v>
      </c>
      <c r="E11" s="36"/>
      <c r="F11" s="35">
        <v>1.6</v>
      </c>
      <c r="G11" s="35"/>
      <c r="H11" s="35">
        <f t="shared" ref="H11:H22" si="0">B11-1</f>
        <v>599</v>
      </c>
      <c r="I11" s="35">
        <f t="shared" ref="I11:I22" si="1">D11*4</f>
        <v>4</v>
      </c>
      <c r="J11" s="35"/>
      <c r="K11" s="232">
        <f t="shared" ref="K11:K22" si="2">C11-30</f>
        <v>720</v>
      </c>
      <c r="L11" s="232"/>
      <c r="M11" s="232"/>
      <c r="N11" s="35">
        <f t="shared" ref="N11:N22" si="3">D11*4</f>
        <v>4</v>
      </c>
      <c r="O11" s="35"/>
      <c r="P11" s="38"/>
    </row>
    <row r="12" spans="1:16">
      <c r="A12" s="31" t="str">
        <f>'1. 소켓인수검사'!A10</f>
        <v>02</v>
      </c>
      <c r="B12" s="34">
        <f>'1. 소켓인수검사'!C10</f>
        <v>600</v>
      </c>
      <c r="C12" s="34">
        <f>'1. 소켓인수검사'!D10</f>
        <v>750</v>
      </c>
      <c r="D12" s="35">
        <v>1</v>
      </c>
      <c r="E12" s="36"/>
      <c r="F12" s="35">
        <v>1.6</v>
      </c>
      <c r="G12" s="35"/>
      <c r="H12" s="35">
        <f t="shared" si="0"/>
        <v>599</v>
      </c>
      <c r="I12" s="35">
        <f t="shared" si="1"/>
        <v>4</v>
      </c>
      <c r="J12" s="35"/>
      <c r="K12" s="232">
        <f t="shared" si="2"/>
        <v>720</v>
      </c>
      <c r="L12" s="232"/>
      <c r="M12" s="232"/>
      <c r="N12" s="35">
        <f t="shared" si="3"/>
        <v>4</v>
      </c>
      <c r="O12" s="35"/>
      <c r="P12" s="38"/>
    </row>
    <row r="13" spans="1:16">
      <c r="A13" s="31" t="str">
        <f>'1. 소켓인수검사'!A11</f>
        <v>03</v>
      </c>
      <c r="B13" s="34">
        <f>'1. 소켓인수검사'!C11</f>
        <v>600</v>
      </c>
      <c r="C13" s="34">
        <f>'1. 소켓인수검사'!D11</f>
        <v>750</v>
      </c>
      <c r="D13" s="35">
        <v>1</v>
      </c>
      <c r="E13" s="36"/>
      <c r="F13" s="35">
        <v>1.6</v>
      </c>
      <c r="G13" s="35"/>
      <c r="H13" s="35">
        <f t="shared" si="0"/>
        <v>599</v>
      </c>
      <c r="I13" s="35">
        <f t="shared" si="1"/>
        <v>4</v>
      </c>
      <c r="J13" s="35"/>
      <c r="K13" s="232">
        <f t="shared" si="2"/>
        <v>720</v>
      </c>
      <c r="L13" s="232"/>
      <c r="M13" s="232"/>
      <c r="N13" s="35">
        <f t="shared" si="3"/>
        <v>4</v>
      </c>
      <c r="O13" s="35"/>
      <c r="P13" s="38"/>
    </row>
    <row r="14" spans="1:16">
      <c r="A14" s="31" t="str">
        <f>'1. 소켓인수검사'!A12</f>
        <v>04</v>
      </c>
      <c r="B14" s="34">
        <f>'1. 소켓인수검사'!C12</f>
        <v>800</v>
      </c>
      <c r="C14" s="34">
        <f>'1. 소켓인수검사'!D12</f>
        <v>850</v>
      </c>
      <c r="D14" s="35">
        <v>1</v>
      </c>
      <c r="E14" s="36"/>
      <c r="F14" s="35">
        <v>1.6</v>
      </c>
      <c r="G14" s="35"/>
      <c r="H14" s="35">
        <f t="shared" si="0"/>
        <v>799</v>
      </c>
      <c r="I14" s="35">
        <f t="shared" si="1"/>
        <v>4</v>
      </c>
      <c r="J14" s="35"/>
      <c r="K14" s="232">
        <f t="shared" si="2"/>
        <v>820</v>
      </c>
      <c r="L14" s="232"/>
      <c r="M14" s="232"/>
      <c r="N14" s="35">
        <f t="shared" si="3"/>
        <v>4</v>
      </c>
      <c r="O14" s="35"/>
      <c r="P14" s="38"/>
    </row>
    <row r="15" spans="1:16">
      <c r="A15" s="31" t="str">
        <f>'1. 소켓인수검사'!A13</f>
        <v>05</v>
      </c>
      <c r="B15" s="34">
        <f>'1. 소켓인수검사'!C13</f>
        <v>800</v>
      </c>
      <c r="C15" s="34">
        <f>'1. 소켓인수검사'!D13</f>
        <v>850</v>
      </c>
      <c r="D15" s="35">
        <v>1</v>
      </c>
      <c r="E15" s="36"/>
      <c r="F15" s="35">
        <v>1.6</v>
      </c>
      <c r="G15" s="35"/>
      <c r="H15" s="35">
        <f t="shared" si="0"/>
        <v>799</v>
      </c>
      <c r="I15" s="35">
        <f t="shared" si="1"/>
        <v>4</v>
      </c>
      <c r="J15" s="35"/>
      <c r="K15" s="232">
        <f t="shared" si="2"/>
        <v>820</v>
      </c>
      <c r="L15" s="232"/>
      <c r="M15" s="232"/>
      <c r="N15" s="35">
        <f t="shared" si="3"/>
        <v>4</v>
      </c>
      <c r="O15" s="35"/>
      <c r="P15" s="38"/>
    </row>
    <row r="16" spans="1:16">
      <c r="A16" s="31" t="str">
        <f>'1. 소켓인수검사'!A14</f>
        <v>06</v>
      </c>
      <c r="B16" s="34">
        <f>'1. 소켓인수검사'!C14</f>
        <v>800</v>
      </c>
      <c r="C16" s="34">
        <f>'1. 소켓인수검사'!D14</f>
        <v>850</v>
      </c>
      <c r="D16" s="35">
        <v>1</v>
      </c>
      <c r="E16" s="36"/>
      <c r="F16" s="35">
        <v>1.6</v>
      </c>
      <c r="G16" s="35"/>
      <c r="H16" s="35">
        <f t="shared" si="0"/>
        <v>799</v>
      </c>
      <c r="I16" s="35">
        <f t="shared" si="1"/>
        <v>4</v>
      </c>
      <c r="J16" s="35"/>
      <c r="K16" s="232">
        <f t="shared" si="2"/>
        <v>820</v>
      </c>
      <c r="L16" s="232"/>
      <c r="M16" s="232"/>
      <c r="N16" s="35">
        <f t="shared" si="3"/>
        <v>4</v>
      </c>
      <c r="O16" s="35"/>
      <c r="P16" s="38"/>
    </row>
    <row r="17" spans="1:16">
      <c r="A17" s="31" t="str">
        <f>'1. 소켓인수검사'!A15</f>
        <v>07</v>
      </c>
      <c r="B17" s="34">
        <f>'1. 소켓인수검사'!C15</f>
        <v>1200</v>
      </c>
      <c r="C17" s="34">
        <f>'1. 소켓인수검사'!D15</f>
        <v>500</v>
      </c>
      <c r="D17" s="35">
        <v>1</v>
      </c>
      <c r="E17" s="36"/>
      <c r="F17" s="35">
        <v>1.6</v>
      </c>
      <c r="G17" s="35"/>
      <c r="H17" s="35">
        <f t="shared" si="0"/>
        <v>1199</v>
      </c>
      <c r="I17" s="35">
        <f t="shared" si="1"/>
        <v>4</v>
      </c>
      <c r="J17" s="35"/>
      <c r="K17" s="232">
        <f t="shared" si="2"/>
        <v>470</v>
      </c>
      <c r="L17" s="232"/>
      <c r="M17" s="232"/>
      <c r="N17" s="35">
        <f t="shared" si="3"/>
        <v>4</v>
      </c>
      <c r="O17" s="35"/>
      <c r="P17" s="38"/>
    </row>
    <row r="18" spans="1:16">
      <c r="A18" s="31" t="str">
        <f>'1. 소켓인수검사'!A16</f>
        <v>08</v>
      </c>
      <c r="B18" s="34">
        <f>'1. 소켓인수검사'!C16</f>
        <v>1300</v>
      </c>
      <c r="C18" s="34">
        <f>'1. 소켓인수검사'!D16</f>
        <v>400</v>
      </c>
      <c r="D18" s="35">
        <v>1</v>
      </c>
      <c r="E18" s="36"/>
      <c r="F18" s="35">
        <v>1.6</v>
      </c>
      <c r="G18" s="35"/>
      <c r="H18" s="35">
        <f t="shared" si="0"/>
        <v>1299</v>
      </c>
      <c r="I18" s="35">
        <f t="shared" si="1"/>
        <v>4</v>
      </c>
      <c r="J18" s="35"/>
      <c r="K18" s="232">
        <f t="shared" si="2"/>
        <v>370</v>
      </c>
      <c r="L18" s="232"/>
      <c r="M18" s="232"/>
      <c r="N18" s="35">
        <f t="shared" si="3"/>
        <v>4</v>
      </c>
      <c r="O18" s="35"/>
      <c r="P18" s="38"/>
    </row>
    <row r="19" spans="1:16">
      <c r="A19" s="31" t="str">
        <f>'1. 소켓인수검사'!A17</f>
        <v>09</v>
      </c>
      <c r="B19" s="34">
        <f>'1. 소켓인수검사'!C17</f>
        <v>1300</v>
      </c>
      <c r="C19" s="34">
        <f>'1. 소켓인수검사'!D17</f>
        <v>400</v>
      </c>
      <c r="D19" s="35">
        <v>1</v>
      </c>
      <c r="E19" s="36"/>
      <c r="F19" s="35">
        <v>1.6</v>
      </c>
      <c r="G19" s="35"/>
      <c r="H19" s="35">
        <f t="shared" si="0"/>
        <v>1299</v>
      </c>
      <c r="I19" s="35">
        <f t="shared" si="1"/>
        <v>4</v>
      </c>
      <c r="J19" s="35"/>
      <c r="K19" s="232">
        <f t="shared" si="2"/>
        <v>370</v>
      </c>
      <c r="L19" s="232"/>
      <c r="M19" s="232"/>
      <c r="N19" s="35">
        <f t="shared" si="3"/>
        <v>4</v>
      </c>
      <c r="O19" s="35"/>
      <c r="P19" s="38"/>
    </row>
    <row r="20" spans="1:16">
      <c r="A20" s="31" t="str">
        <f>'1. 소켓인수검사'!A18</f>
        <v>10</v>
      </c>
      <c r="B20" s="34">
        <f>'1. 소켓인수검사'!C18</f>
        <v>1300</v>
      </c>
      <c r="C20" s="34">
        <f>'1. 소켓인수검사'!D18</f>
        <v>400</v>
      </c>
      <c r="D20" s="35">
        <v>1</v>
      </c>
      <c r="E20" s="36"/>
      <c r="F20" s="35">
        <v>1.6</v>
      </c>
      <c r="G20" s="35"/>
      <c r="H20" s="35">
        <f t="shared" si="0"/>
        <v>1299</v>
      </c>
      <c r="I20" s="35">
        <f t="shared" si="1"/>
        <v>4</v>
      </c>
      <c r="J20" s="35"/>
      <c r="K20" s="232">
        <f t="shared" si="2"/>
        <v>370</v>
      </c>
      <c r="L20" s="232"/>
      <c r="M20" s="232"/>
      <c r="N20" s="35">
        <f t="shared" si="3"/>
        <v>4</v>
      </c>
      <c r="O20" s="35"/>
      <c r="P20" s="38"/>
    </row>
    <row r="21" spans="1:16">
      <c r="A21" s="31" t="str">
        <f>'1. 소켓인수검사'!A19</f>
        <v>11</v>
      </c>
      <c r="B21" s="34">
        <f>'1. 소켓인수검사'!C19</f>
        <v>1300</v>
      </c>
      <c r="C21" s="34">
        <f>'1. 소켓인수검사'!D19</f>
        <v>400</v>
      </c>
      <c r="D21" s="35">
        <v>1</v>
      </c>
      <c r="E21" s="36"/>
      <c r="F21" s="35">
        <v>1.6</v>
      </c>
      <c r="G21" s="35"/>
      <c r="H21" s="35">
        <f t="shared" si="0"/>
        <v>1299</v>
      </c>
      <c r="I21" s="35">
        <f t="shared" si="1"/>
        <v>4</v>
      </c>
      <c r="J21" s="35"/>
      <c r="K21" s="232">
        <f t="shared" si="2"/>
        <v>370</v>
      </c>
      <c r="L21" s="232"/>
      <c r="M21" s="232"/>
      <c r="N21" s="35">
        <f t="shared" si="3"/>
        <v>4</v>
      </c>
      <c r="O21" s="35"/>
      <c r="P21" s="38"/>
    </row>
    <row r="22" spans="1:16">
      <c r="A22" s="31" t="str">
        <f>'1. 소켓인수검사'!A20</f>
        <v>12</v>
      </c>
      <c r="B22" s="34">
        <f>'1. 소켓인수검사'!C20</f>
        <v>1300</v>
      </c>
      <c r="C22" s="34">
        <f>'1. 소켓인수검사'!D20</f>
        <v>450</v>
      </c>
      <c r="D22" s="35">
        <v>1</v>
      </c>
      <c r="E22" s="36"/>
      <c r="F22" s="35">
        <v>1.6</v>
      </c>
      <c r="G22" s="35"/>
      <c r="H22" s="35">
        <f t="shared" si="0"/>
        <v>1299</v>
      </c>
      <c r="I22" s="35">
        <f t="shared" si="1"/>
        <v>4</v>
      </c>
      <c r="J22" s="35"/>
      <c r="K22" s="232">
        <f t="shared" si="2"/>
        <v>420</v>
      </c>
      <c r="L22" s="232"/>
      <c r="M22" s="232"/>
      <c r="N22" s="35">
        <f t="shared" si="3"/>
        <v>4</v>
      </c>
      <c r="O22" s="35"/>
      <c r="P22" s="37"/>
    </row>
    <row r="23" spans="1:16" ht="8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233" t="s">
        <v>47</v>
      </c>
      <c r="B24" s="233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</row>
    <row r="25" spans="1:16">
      <c r="A25" s="233"/>
      <c r="B25" s="233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</row>
    <row r="26" spans="1:16">
      <c r="A26" s="233"/>
      <c r="B26" s="233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</row>
    <row r="27" spans="1:16">
      <c r="A27" s="233"/>
      <c r="B27" s="233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</row>
  </sheetData>
  <mergeCells count="43">
    <mergeCell ref="K21:M21"/>
    <mergeCell ref="K22:M22"/>
    <mergeCell ref="A23:P23"/>
    <mergeCell ref="A24:B27"/>
    <mergeCell ref="C24:P27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31"/>
  <sheetViews>
    <sheetView showGridLines="0" topLeftCell="A3" zoomScaleNormal="100" zoomScaleSheetLayoutView="100" workbookViewId="0">
      <selection activeCell="A25" sqref="A25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36" t="s">
        <v>74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8"/>
    </row>
    <row r="2" spans="1:16" ht="16.5" customHeight="1">
      <c r="A2" s="1"/>
      <c r="B2" s="1"/>
      <c r="C2" s="1"/>
      <c r="D2" s="1"/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1"/>
    </row>
    <row r="3" spans="1:16" ht="16.5" customHeight="1">
      <c r="A3" s="1"/>
      <c r="B3" s="1"/>
      <c r="C3" s="1"/>
      <c r="D3" s="1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1"/>
    </row>
    <row r="4" spans="1:16" ht="16.5" customHeight="1">
      <c r="A4" s="1" t="s">
        <v>17</v>
      </c>
      <c r="B4" s="1"/>
      <c r="C4" s="1"/>
      <c r="D4" s="1"/>
      <c r="E4" s="242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4"/>
    </row>
    <row r="5" spans="1:16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35" t="str">
        <f>'1. 소켓인수검사'!R2</f>
        <v>26.06.10 행복산업_덕신건업_롯데건설_인천 효성구역 도시개발 사업 공동주택(4BL) 2차분</v>
      </c>
      <c r="O5" s="235"/>
      <c r="P5" s="235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35"/>
      <c r="O6" s="235"/>
      <c r="P6" s="235"/>
    </row>
    <row r="7" spans="1:16" ht="8.1" customHeight="1">
      <c r="A7" s="245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246"/>
    </row>
    <row r="8" spans="1:16" ht="21" customHeight="1">
      <c r="A8" s="1" t="s">
        <v>59</v>
      </c>
      <c r="B8" s="248" t="s">
        <v>4</v>
      </c>
      <c r="C8" s="248"/>
      <c r="D8" s="248" t="s">
        <v>29</v>
      </c>
      <c r="E8" s="248" t="s">
        <v>25</v>
      </c>
      <c r="F8" s="248" t="s">
        <v>63</v>
      </c>
      <c r="G8" s="250" t="s">
        <v>28</v>
      </c>
      <c r="H8" s="251"/>
      <c r="I8" s="251"/>
      <c r="J8" s="251"/>
      <c r="K8" s="251"/>
      <c r="L8" s="251"/>
      <c r="M8" s="251"/>
      <c r="N8" s="251"/>
      <c r="O8" s="252"/>
      <c r="P8" s="248" t="s">
        <v>2</v>
      </c>
    </row>
    <row r="9" spans="1:16" ht="21" customHeight="1">
      <c r="A9" s="1"/>
      <c r="B9" s="250" t="s">
        <v>66</v>
      </c>
      <c r="C9" s="248" t="s">
        <v>64</v>
      </c>
      <c r="D9" s="248"/>
      <c r="E9" s="248"/>
      <c r="F9" s="248"/>
      <c r="G9" s="248" t="s">
        <v>60</v>
      </c>
      <c r="H9" s="248" t="s">
        <v>66</v>
      </c>
      <c r="I9" s="248"/>
      <c r="J9" s="249" t="s">
        <v>11</v>
      </c>
      <c r="K9" s="248" t="s">
        <v>64</v>
      </c>
      <c r="L9" s="248"/>
      <c r="M9" s="248"/>
      <c r="N9" s="248"/>
      <c r="O9" s="249" t="s">
        <v>11</v>
      </c>
      <c r="P9" s="248"/>
    </row>
    <row r="10" spans="1:16" ht="21" customHeight="1">
      <c r="A10" s="247"/>
      <c r="B10" s="253"/>
      <c r="C10" s="249"/>
      <c r="D10" s="249"/>
      <c r="E10" s="249"/>
      <c r="F10" s="249"/>
      <c r="G10" s="249"/>
      <c r="H10" s="23" t="s">
        <v>4</v>
      </c>
      <c r="I10" s="23" t="s">
        <v>32</v>
      </c>
      <c r="J10" s="254"/>
      <c r="K10" s="255" t="s">
        <v>4</v>
      </c>
      <c r="L10" s="256"/>
      <c r="M10" s="257"/>
      <c r="N10" s="24" t="s">
        <v>32</v>
      </c>
      <c r="O10" s="254"/>
      <c r="P10" s="249"/>
    </row>
    <row r="11" spans="1:16" ht="16.5" customHeight="1">
      <c r="A11" s="56" t="str">
        <f>'1. 소켓인수검사'!A21</f>
        <v>13</v>
      </c>
      <c r="B11" s="57">
        <f>'1. 소켓인수검사'!C21</f>
        <v>750</v>
      </c>
      <c r="C11" s="57">
        <f>'1. 소켓인수검사'!D21</f>
        <v>900</v>
      </c>
      <c r="D11" s="59">
        <v>1</v>
      </c>
      <c r="E11" s="58"/>
      <c r="F11" s="72" t="s">
        <v>51</v>
      </c>
      <c r="G11" s="59" t="s">
        <v>50</v>
      </c>
      <c r="H11" s="69">
        <f>(B11-30)/2-1</f>
        <v>359</v>
      </c>
      <c r="I11" s="59">
        <f>D11*8*2</f>
        <v>16</v>
      </c>
      <c r="J11" s="59"/>
      <c r="K11" s="258">
        <f>(C11-20)/2-10-1</f>
        <v>429</v>
      </c>
      <c r="L11" s="258"/>
      <c r="M11" s="258"/>
      <c r="N11" s="59">
        <f>D11*16*2</f>
        <v>32</v>
      </c>
      <c r="O11" s="59"/>
      <c r="P11" s="70"/>
    </row>
    <row r="12" spans="1:16">
      <c r="A12" s="60" t="str">
        <f>'1. 소켓인수검사'!A22</f>
        <v>14</v>
      </c>
      <c r="B12" s="41">
        <f>'1. 소켓인수검사'!C22</f>
        <v>750</v>
      </c>
      <c r="C12" s="41">
        <f>'1. 소켓인수검사'!D22</f>
        <v>900</v>
      </c>
      <c r="D12" s="35">
        <v>1</v>
      </c>
      <c r="E12" s="42"/>
      <c r="F12" s="73"/>
      <c r="G12" s="35"/>
      <c r="H12" s="71">
        <f t="shared" ref="H12" si="0">(B12-30)/2-1</f>
        <v>359</v>
      </c>
      <c r="I12" s="35">
        <f>D12*8*2</f>
        <v>16</v>
      </c>
      <c r="J12" s="35"/>
      <c r="K12" s="259">
        <f>(C12-20)/2-10-1</f>
        <v>429</v>
      </c>
      <c r="L12" s="259"/>
      <c r="M12" s="259"/>
      <c r="N12" s="35">
        <f>D12*16*2</f>
        <v>32</v>
      </c>
      <c r="O12" s="35"/>
      <c r="P12" s="38"/>
    </row>
    <row r="13" spans="1:16">
      <c r="A13" s="60" t="str">
        <f>'1. 소켓인수검사'!A23</f>
        <v>15</v>
      </c>
      <c r="B13" s="41">
        <f>'1. 소켓인수검사'!C23</f>
        <v>750</v>
      </c>
      <c r="C13" s="41">
        <f>'1. 소켓인수검사'!D23</f>
        <v>900</v>
      </c>
      <c r="D13" s="35">
        <v>1</v>
      </c>
      <c r="E13" s="42"/>
      <c r="F13" s="73"/>
      <c r="G13" s="35"/>
      <c r="H13" s="71">
        <f t="shared" ref="H13:H24" si="1">(B13-30)/2-1</f>
        <v>359</v>
      </c>
      <c r="I13" s="35">
        <f>D13*8*2</f>
        <v>16</v>
      </c>
      <c r="J13" s="35"/>
      <c r="K13" s="259">
        <f t="shared" ref="K13:K24" si="2">(C13-20)/2-10-1</f>
        <v>429</v>
      </c>
      <c r="L13" s="259"/>
      <c r="M13" s="259"/>
      <c r="N13" s="35">
        <f>D13*16*2</f>
        <v>32</v>
      </c>
      <c r="O13" s="35"/>
      <c r="P13" s="38"/>
    </row>
    <row r="14" spans="1:16">
      <c r="A14" s="60" t="str">
        <f>'1. 소켓인수검사'!A24</f>
        <v>16</v>
      </c>
      <c r="B14" s="41">
        <f>'1. 소켓인수검사'!C24</f>
        <v>800</v>
      </c>
      <c r="C14" s="41">
        <f>'1. 소켓인수검사'!D24</f>
        <v>900</v>
      </c>
      <c r="D14" s="35">
        <v>1</v>
      </c>
      <c r="E14" s="42"/>
      <c r="F14" s="73"/>
      <c r="G14" s="35"/>
      <c r="H14" s="71">
        <f t="shared" si="1"/>
        <v>384</v>
      </c>
      <c r="I14" s="35">
        <f t="shared" ref="I14:I20" si="3">D14*8*2</f>
        <v>16</v>
      </c>
      <c r="J14" s="35"/>
      <c r="K14" s="259">
        <f t="shared" si="2"/>
        <v>429</v>
      </c>
      <c r="L14" s="259"/>
      <c r="M14" s="259"/>
      <c r="N14" s="35">
        <f t="shared" ref="N14:N20" si="4">D14*16*2</f>
        <v>32</v>
      </c>
      <c r="O14" s="35"/>
      <c r="P14" s="38"/>
    </row>
    <row r="15" spans="1:16">
      <c r="A15" s="60" t="str">
        <f>'1. 소켓인수검사'!A25</f>
        <v>17</v>
      </c>
      <c r="B15" s="41">
        <f>'1. 소켓인수검사'!C25</f>
        <v>800</v>
      </c>
      <c r="C15" s="41">
        <f>'1. 소켓인수검사'!D25</f>
        <v>900</v>
      </c>
      <c r="D15" s="35">
        <v>1</v>
      </c>
      <c r="E15" s="42"/>
      <c r="F15" s="73"/>
      <c r="G15" s="35"/>
      <c r="H15" s="71">
        <f t="shared" si="1"/>
        <v>384</v>
      </c>
      <c r="I15" s="35">
        <f t="shared" si="3"/>
        <v>16</v>
      </c>
      <c r="J15" s="35"/>
      <c r="K15" s="259">
        <f t="shared" si="2"/>
        <v>429</v>
      </c>
      <c r="L15" s="259"/>
      <c r="M15" s="259"/>
      <c r="N15" s="35">
        <f t="shared" si="4"/>
        <v>32</v>
      </c>
      <c r="O15" s="35"/>
      <c r="P15" s="38"/>
    </row>
    <row r="16" spans="1:16">
      <c r="A16" s="60" t="str">
        <f>'1. 소켓인수검사'!A26</f>
        <v>18</v>
      </c>
      <c r="B16" s="41">
        <f>'1. 소켓인수검사'!C26</f>
        <v>800</v>
      </c>
      <c r="C16" s="41">
        <f>'1. 소켓인수검사'!D26</f>
        <v>900</v>
      </c>
      <c r="D16" s="35">
        <v>1</v>
      </c>
      <c r="E16" s="42"/>
      <c r="F16" s="73"/>
      <c r="G16" s="35"/>
      <c r="H16" s="71">
        <f t="shared" si="1"/>
        <v>384</v>
      </c>
      <c r="I16" s="35">
        <f t="shared" si="3"/>
        <v>16</v>
      </c>
      <c r="J16" s="35"/>
      <c r="K16" s="259">
        <f t="shared" si="2"/>
        <v>429</v>
      </c>
      <c r="L16" s="259"/>
      <c r="M16" s="259"/>
      <c r="N16" s="35">
        <f t="shared" si="4"/>
        <v>32</v>
      </c>
      <c r="O16" s="35"/>
      <c r="P16" s="38"/>
    </row>
    <row r="17" spans="1:16">
      <c r="A17" s="60" t="str">
        <f>'1. 소켓인수검사'!A27</f>
        <v>19</v>
      </c>
      <c r="B17" s="41">
        <f>'1. 소켓인수검사'!C27</f>
        <v>900</v>
      </c>
      <c r="C17" s="41">
        <f>'1. 소켓인수검사'!D27</f>
        <v>950</v>
      </c>
      <c r="D17" s="35">
        <v>1</v>
      </c>
      <c r="E17" s="42"/>
      <c r="F17" s="73"/>
      <c r="G17" s="35"/>
      <c r="H17" s="71">
        <f t="shared" si="1"/>
        <v>434</v>
      </c>
      <c r="I17" s="35">
        <f t="shared" si="3"/>
        <v>16</v>
      </c>
      <c r="J17" s="35"/>
      <c r="K17" s="259">
        <f t="shared" si="2"/>
        <v>454</v>
      </c>
      <c r="L17" s="259"/>
      <c r="M17" s="259"/>
      <c r="N17" s="35">
        <f t="shared" si="4"/>
        <v>32</v>
      </c>
      <c r="O17" s="35"/>
      <c r="P17" s="38"/>
    </row>
    <row r="18" spans="1:16">
      <c r="A18" s="60" t="str">
        <f>'1. 소켓인수검사'!A28</f>
        <v>20</v>
      </c>
      <c r="B18" s="41">
        <f>'1. 소켓인수검사'!C28</f>
        <v>900</v>
      </c>
      <c r="C18" s="41">
        <f>'1. 소켓인수검사'!D28</f>
        <v>950</v>
      </c>
      <c r="D18" s="35">
        <v>1</v>
      </c>
      <c r="E18" s="42"/>
      <c r="F18" s="73"/>
      <c r="G18" s="35"/>
      <c r="H18" s="71">
        <f t="shared" si="1"/>
        <v>434</v>
      </c>
      <c r="I18" s="35">
        <f t="shared" si="3"/>
        <v>16</v>
      </c>
      <c r="J18" s="35"/>
      <c r="K18" s="259">
        <f t="shared" si="2"/>
        <v>454</v>
      </c>
      <c r="L18" s="259"/>
      <c r="M18" s="259"/>
      <c r="N18" s="35">
        <f t="shared" si="4"/>
        <v>32</v>
      </c>
      <c r="O18" s="35"/>
      <c r="P18" s="38"/>
    </row>
    <row r="19" spans="1:16">
      <c r="A19" s="60" t="str">
        <f>'1. 소켓인수검사'!A29</f>
        <v>21</v>
      </c>
      <c r="B19" s="41">
        <f>'1. 소켓인수검사'!C29</f>
        <v>900</v>
      </c>
      <c r="C19" s="41">
        <f>'1. 소켓인수검사'!D29</f>
        <v>950</v>
      </c>
      <c r="D19" s="35">
        <v>1</v>
      </c>
      <c r="E19" s="42"/>
      <c r="F19" s="73"/>
      <c r="G19" s="35"/>
      <c r="H19" s="71">
        <f t="shared" si="1"/>
        <v>434</v>
      </c>
      <c r="I19" s="35">
        <f t="shared" si="3"/>
        <v>16</v>
      </c>
      <c r="J19" s="35"/>
      <c r="K19" s="259">
        <f t="shared" si="2"/>
        <v>454</v>
      </c>
      <c r="L19" s="259"/>
      <c r="M19" s="259"/>
      <c r="N19" s="35">
        <f t="shared" si="4"/>
        <v>32</v>
      </c>
      <c r="O19" s="35"/>
      <c r="P19" s="38"/>
    </row>
    <row r="20" spans="1:16">
      <c r="A20" s="60" t="str">
        <f>'1. 소켓인수검사'!A30</f>
        <v>22</v>
      </c>
      <c r="B20" s="41">
        <f>'1. 소켓인수검사'!C30</f>
        <v>1200</v>
      </c>
      <c r="C20" s="41">
        <f>'1. 소켓인수검사'!D30</f>
        <v>850</v>
      </c>
      <c r="D20" s="35">
        <v>1</v>
      </c>
      <c r="E20" s="42"/>
      <c r="F20" s="73"/>
      <c r="G20" s="35"/>
      <c r="H20" s="71">
        <f t="shared" si="1"/>
        <v>584</v>
      </c>
      <c r="I20" s="35">
        <f t="shared" si="3"/>
        <v>16</v>
      </c>
      <c r="J20" s="35"/>
      <c r="K20" s="259">
        <f t="shared" si="2"/>
        <v>404</v>
      </c>
      <c r="L20" s="259"/>
      <c r="M20" s="259"/>
      <c r="N20" s="35">
        <f t="shared" si="4"/>
        <v>32</v>
      </c>
      <c r="O20" s="35"/>
      <c r="P20" s="38"/>
    </row>
    <row r="21" spans="1:16">
      <c r="A21" s="60" t="str">
        <f>'1. 소켓인수검사'!A31</f>
        <v>23</v>
      </c>
      <c r="B21" s="41">
        <f>'1. 소켓인수검사'!C31</f>
        <v>1300</v>
      </c>
      <c r="C21" s="41">
        <f>'1. 소켓인수검사'!D31</f>
        <v>800</v>
      </c>
      <c r="D21" s="35">
        <v>1</v>
      </c>
      <c r="E21" s="42"/>
      <c r="F21" s="73"/>
      <c r="G21" s="35"/>
      <c r="H21" s="71">
        <f t="shared" si="1"/>
        <v>634</v>
      </c>
      <c r="I21" s="35">
        <f>D21*8*2</f>
        <v>16</v>
      </c>
      <c r="J21" s="35"/>
      <c r="K21" s="259">
        <f t="shared" si="2"/>
        <v>379</v>
      </c>
      <c r="L21" s="259"/>
      <c r="M21" s="259"/>
      <c r="N21" s="35">
        <f>D21*16*2</f>
        <v>32</v>
      </c>
      <c r="O21" s="35"/>
      <c r="P21" s="38"/>
    </row>
    <row r="22" spans="1:16">
      <c r="A22" s="60" t="str">
        <f>'1. 소켓인수검사'!A32</f>
        <v>24</v>
      </c>
      <c r="B22" s="41">
        <f>'1. 소켓인수검사'!C32</f>
        <v>1600</v>
      </c>
      <c r="C22" s="41">
        <f>'1. 소켓인수검사'!D32</f>
        <v>600</v>
      </c>
      <c r="D22" s="35">
        <v>1</v>
      </c>
      <c r="E22" s="42"/>
      <c r="F22" s="73"/>
      <c r="G22" s="35"/>
      <c r="H22" s="71">
        <f t="shared" si="1"/>
        <v>784</v>
      </c>
      <c r="I22" s="35">
        <f>D22*8*2</f>
        <v>16</v>
      </c>
      <c r="J22" s="35"/>
      <c r="K22" s="259">
        <f t="shared" si="2"/>
        <v>279</v>
      </c>
      <c r="L22" s="259"/>
      <c r="M22" s="259"/>
      <c r="N22" s="35">
        <f>D22*16*2</f>
        <v>32</v>
      </c>
      <c r="O22" s="35"/>
      <c r="P22" s="38"/>
    </row>
    <row r="23" spans="1:16">
      <c r="A23" s="60" t="str">
        <f>'1. 소켓인수검사'!A33</f>
        <v>25</v>
      </c>
      <c r="B23" s="41">
        <f>'1. 소켓인수검사'!C33</f>
        <v>2000</v>
      </c>
      <c r="C23" s="41">
        <f>'1. 소켓인수검사'!D33</f>
        <v>500</v>
      </c>
      <c r="D23" s="35">
        <v>1</v>
      </c>
      <c r="E23" s="42"/>
      <c r="F23" s="73"/>
      <c r="G23" s="35"/>
      <c r="H23" s="71">
        <f t="shared" si="1"/>
        <v>984</v>
      </c>
      <c r="I23" s="35">
        <f t="shared" ref="I23:I24" si="5">D23*8*2</f>
        <v>16</v>
      </c>
      <c r="J23" s="35"/>
      <c r="K23" s="259">
        <f t="shared" si="2"/>
        <v>229</v>
      </c>
      <c r="L23" s="259"/>
      <c r="M23" s="259"/>
      <c r="N23" s="35">
        <f t="shared" ref="N23:N24" si="6">D23*16*2</f>
        <v>32</v>
      </c>
      <c r="O23" s="35"/>
      <c r="P23" s="38"/>
    </row>
    <row r="24" spans="1:16">
      <c r="A24" s="60" t="str">
        <f>'1. 소켓인수검사'!A34</f>
        <v>26</v>
      </c>
      <c r="B24" s="41">
        <f>'1. 소켓인수검사'!C34</f>
        <v>2000</v>
      </c>
      <c r="C24" s="41">
        <f>'1. 소켓인수검사'!D34</f>
        <v>500</v>
      </c>
      <c r="D24" s="35">
        <v>1</v>
      </c>
      <c r="E24" s="42"/>
      <c r="F24" s="73"/>
      <c r="G24" s="35"/>
      <c r="H24" s="71">
        <f t="shared" si="1"/>
        <v>984</v>
      </c>
      <c r="I24" s="35">
        <f t="shared" si="5"/>
        <v>16</v>
      </c>
      <c r="J24" s="35"/>
      <c r="K24" s="259">
        <f t="shared" si="2"/>
        <v>229</v>
      </c>
      <c r="L24" s="259"/>
      <c r="M24" s="259"/>
      <c r="N24" s="35">
        <f t="shared" si="6"/>
        <v>32</v>
      </c>
      <c r="O24" s="35"/>
      <c r="P24" s="38"/>
    </row>
    <row r="25" spans="1:16" ht="8.1" customHeight="1">
      <c r="A25" s="26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61"/>
    </row>
    <row r="26" spans="1:16">
      <c r="A26" s="233" t="s">
        <v>47</v>
      </c>
      <c r="B26" s="23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233"/>
      <c r="B27" s="23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233"/>
      <c r="B28" s="23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233"/>
      <c r="B29" s="23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233"/>
      <c r="B30" s="23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233"/>
      <c r="B31" s="23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mergeCells count="45">
    <mergeCell ref="A26:B31"/>
    <mergeCell ref="C26:P31"/>
    <mergeCell ref="K21:M21"/>
    <mergeCell ref="K22:M22"/>
    <mergeCell ref="K23:M23"/>
    <mergeCell ref="K24:M24"/>
    <mergeCell ref="A25:P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30"/>
  <sheetViews>
    <sheetView showGridLines="0" topLeftCell="A4" zoomScaleNormal="100" zoomScaleSheetLayoutView="100" workbookViewId="0">
      <selection activeCell="E38" sqref="E38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236" t="s">
        <v>15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8"/>
    </row>
    <row r="2" spans="1:17" ht="16.5" customHeight="1">
      <c r="A2" s="1"/>
      <c r="B2" s="1"/>
      <c r="C2" s="1"/>
      <c r="D2" s="1"/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1"/>
    </row>
    <row r="3" spans="1:17" ht="16.5" customHeight="1">
      <c r="A3" s="1"/>
      <c r="B3" s="1"/>
      <c r="C3" s="1"/>
      <c r="D3" s="1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1"/>
    </row>
    <row r="4" spans="1:17" ht="16.5" customHeight="1">
      <c r="A4" s="1" t="s">
        <v>17</v>
      </c>
      <c r="B4" s="1"/>
      <c r="C4" s="1"/>
      <c r="D4" s="1"/>
      <c r="E4" s="242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4"/>
    </row>
    <row r="5" spans="1:17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260" t="s">
        <v>58</v>
      </c>
      <c r="L5" s="1"/>
      <c r="M5" s="1"/>
      <c r="N5" s="261"/>
      <c r="O5" s="235" t="str">
        <f>'1. 소켓인수검사'!R2</f>
        <v>26.06.10 행복산업_덕신건업_롯데건설_인천 효성구역 도시개발 사업 공동주택(4BL) 2차분</v>
      </c>
      <c r="P5" s="235"/>
      <c r="Q5" s="235"/>
    </row>
    <row r="6" spans="1:17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245"/>
      <c r="L6" s="154"/>
      <c r="M6" s="154"/>
      <c r="N6" s="246"/>
      <c r="O6" s="235"/>
      <c r="P6" s="235"/>
      <c r="Q6" s="235"/>
    </row>
    <row r="7" spans="1:17" ht="8.1" customHeight="1">
      <c r="A7" s="245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246"/>
    </row>
    <row r="8" spans="1:17">
      <c r="A8" s="1" t="s">
        <v>59</v>
      </c>
      <c r="B8" s="248" t="s">
        <v>4</v>
      </c>
      <c r="C8" s="248"/>
      <c r="D8" s="248" t="s">
        <v>29</v>
      </c>
      <c r="E8" s="248" t="s">
        <v>25</v>
      </c>
      <c r="F8" s="248" t="s">
        <v>63</v>
      </c>
      <c r="G8" s="250" t="s">
        <v>28</v>
      </c>
      <c r="H8" s="251"/>
      <c r="I8" s="251"/>
      <c r="J8" s="251"/>
      <c r="K8" s="250"/>
      <c r="L8" s="251"/>
      <c r="M8" s="251"/>
      <c r="N8" s="251"/>
      <c r="O8" s="251"/>
      <c r="P8" s="252"/>
      <c r="Q8" s="248" t="s">
        <v>2</v>
      </c>
    </row>
    <row r="9" spans="1:17" ht="16.5" customHeight="1">
      <c r="A9" s="1"/>
      <c r="B9" s="250" t="s">
        <v>66</v>
      </c>
      <c r="C9" s="248" t="s">
        <v>64</v>
      </c>
      <c r="D9" s="248"/>
      <c r="E9" s="248"/>
      <c r="F9" s="248"/>
      <c r="G9" s="248" t="s">
        <v>60</v>
      </c>
      <c r="H9" s="248" t="s">
        <v>52</v>
      </c>
      <c r="I9" s="248"/>
      <c r="J9" s="249" t="s">
        <v>11</v>
      </c>
      <c r="K9" s="249" t="s">
        <v>60</v>
      </c>
      <c r="L9" s="248" t="s">
        <v>19</v>
      </c>
      <c r="M9" s="248"/>
      <c r="N9" s="248"/>
      <c r="O9" s="248"/>
      <c r="P9" s="249" t="s">
        <v>11</v>
      </c>
      <c r="Q9" s="248"/>
    </row>
    <row r="10" spans="1:17">
      <c r="A10" s="247"/>
      <c r="B10" s="253"/>
      <c r="C10" s="249"/>
      <c r="D10" s="249"/>
      <c r="E10" s="249"/>
      <c r="F10" s="249"/>
      <c r="G10" s="249"/>
      <c r="H10" s="23" t="s">
        <v>4</v>
      </c>
      <c r="I10" s="23" t="s">
        <v>32</v>
      </c>
      <c r="J10" s="254"/>
      <c r="K10" s="254"/>
      <c r="L10" s="255" t="s">
        <v>4</v>
      </c>
      <c r="M10" s="256"/>
      <c r="N10" s="257"/>
      <c r="O10" s="24" t="s">
        <v>32</v>
      </c>
      <c r="P10" s="254"/>
      <c r="Q10" s="249"/>
    </row>
    <row r="11" spans="1:17" ht="20.100000000000001" customHeight="1">
      <c r="A11" s="56" t="str">
        <f>'1. 소켓인수검사'!A21</f>
        <v>13</v>
      </c>
      <c r="B11" s="57">
        <f>'1. 소켓인수검사'!C21</f>
        <v>750</v>
      </c>
      <c r="C11" s="57">
        <f>'1. 소켓인수검사'!D21</f>
        <v>900</v>
      </c>
      <c r="D11" s="59">
        <v>1</v>
      </c>
      <c r="E11" s="74"/>
      <c r="F11" s="228" t="s">
        <v>51</v>
      </c>
      <c r="G11" s="69">
        <f>228-3</f>
        <v>225</v>
      </c>
      <c r="H11" s="59">
        <f>((B11-30)/2)-1</f>
        <v>359</v>
      </c>
      <c r="I11" s="59">
        <f t="shared" ref="I11:I24" si="0">D11*4*2</f>
        <v>8</v>
      </c>
      <c r="J11" s="59"/>
      <c r="K11" s="69">
        <f>240-3</f>
        <v>237</v>
      </c>
      <c r="L11" s="264">
        <f t="shared" ref="L11:L21" si="1">C11</f>
        <v>900</v>
      </c>
      <c r="M11" s="265"/>
      <c r="N11" s="265"/>
      <c r="O11" s="59">
        <f t="shared" ref="O11:O21" si="2">D11*2*2</f>
        <v>4</v>
      </c>
      <c r="P11" s="29"/>
      <c r="Q11" s="30"/>
    </row>
    <row r="12" spans="1:17" ht="19.5" customHeight="1">
      <c r="A12" s="60" t="str">
        <f>'1. 소켓인수검사'!A22</f>
        <v>14</v>
      </c>
      <c r="B12" s="41">
        <f>'1. 소켓인수검사'!C22</f>
        <v>750</v>
      </c>
      <c r="C12" s="41">
        <f>'1. 소켓인수검사'!D22</f>
        <v>900</v>
      </c>
      <c r="D12" s="35">
        <v>1</v>
      </c>
      <c r="E12" s="75"/>
      <c r="F12" s="229"/>
      <c r="G12" s="71">
        <f t="shared" ref="G12:G24" si="3">228-3</f>
        <v>225</v>
      </c>
      <c r="H12" s="35">
        <f>((B12-30)/2)-1</f>
        <v>359</v>
      </c>
      <c r="I12" s="35">
        <f t="shared" si="0"/>
        <v>8</v>
      </c>
      <c r="J12" s="35"/>
      <c r="K12" s="71">
        <f t="shared" ref="K12:K24" si="4">240-3</f>
        <v>237</v>
      </c>
      <c r="L12" s="262">
        <f t="shared" si="1"/>
        <v>900</v>
      </c>
      <c r="M12" s="263"/>
      <c r="N12" s="263"/>
      <c r="O12" s="35">
        <f t="shared" si="2"/>
        <v>4</v>
      </c>
      <c r="P12" s="32"/>
      <c r="Q12" s="33"/>
    </row>
    <row r="13" spans="1:17" ht="20.100000000000001" customHeight="1">
      <c r="A13" s="60" t="str">
        <f>'1. 소켓인수검사'!A23</f>
        <v>15</v>
      </c>
      <c r="B13" s="41">
        <f>'1. 소켓인수검사'!C23</f>
        <v>750</v>
      </c>
      <c r="C13" s="41">
        <f>'1. 소켓인수검사'!D23</f>
        <v>900</v>
      </c>
      <c r="D13" s="35">
        <v>1</v>
      </c>
      <c r="E13" s="75"/>
      <c r="F13" s="229"/>
      <c r="G13" s="71">
        <f t="shared" si="3"/>
        <v>225</v>
      </c>
      <c r="H13" s="35">
        <f t="shared" ref="H13:H21" si="5">((B13-30)/2)-1</f>
        <v>359</v>
      </c>
      <c r="I13" s="35">
        <f t="shared" si="0"/>
        <v>8</v>
      </c>
      <c r="J13" s="35"/>
      <c r="K13" s="71">
        <f t="shared" si="4"/>
        <v>237</v>
      </c>
      <c r="L13" s="262">
        <f t="shared" si="1"/>
        <v>900</v>
      </c>
      <c r="M13" s="263"/>
      <c r="N13" s="263"/>
      <c r="O13" s="35">
        <f t="shared" si="2"/>
        <v>4</v>
      </c>
      <c r="P13" s="32"/>
      <c r="Q13" s="33"/>
    </row>
    <row r="14" spans="1:17" ht="20.100000000000001" customHeight="1">
      <c r="A14" s="60" t="str">
        <f>'1. 소켓인수검사'!A24</f>
        <v>16</v>
      </c>
      <c r="B14" s="41">
        <f>'1. 소켓인수검사'!C24</f>
        <v>800</v>
      </c>
      <c r="C14" s="41">
        <f>'1. 소켓인수검사'!D24</f>
        <v>900</v>
      </c>
      <c r="D14" s="35">
        <v>1</v>
      </c>
      <c r="E14" s="75"/>
      <c r="F14" s="229"/>
      <c r="G14" s="71">
        <f t="shared" si="3"/>
        <v>225</v>
      </c>
      <c r="H14" s="35">
        <f t="shared" si="5"/>
        <v>384</v>
      </c>
      <c r="I14" s="35">
        <f t="shared" si="0"/>
        <v>8</v>
      </c>
      <c r="J14" s="35"/>
      <c r="K14" s="71">
        <f t="shared" si="4"/>
        <v>237</v>
      </c>
      <c r="L14" s="262">
        <f t="shared" si="1"/>
        <v>900</v>
      </c>
      <c r="M14" s="263"/>
      <c r="N14" s="263"/>
      <c r="O14" s="35">
        <f t="shared" si="2"/>
        <v>4</v>
      </c>
      <c r="P14" s="32"/>
      <c r="Q14" s="33"/>
    </row>
    <row r="15" spans="1:17" ht="20.100000000000001" customHeight="1">
      <c r="A15" s="60" t="str">
        <f>'1. 소켓인수검사'!A25</f>
        <v>17</v>
      </c>
      <c r="B15" s="41">
        <f>'1. 소켓인수검사'!C25</f>
        <v>800</v>
      </c>
      <c r="C15" s="41">
        <f>'1. 소켓인수검사'!D25</f>
        <v>900</v>
      </c>
      <c r="D15" s="35">
        <v>1</v>
      </c>
      <c r="E15" s="75"/>
      <c r="F15" s="229"/>
      <c r="G15" s="71">
        <f t="shared" si="3"/>
        <v>225</v>
      </c>
      <c r="H15" s="35">
        <f t="shared" si="5"/>
        <v>384</v>
      </c>
      <c r="I15" s="35">
        <f t="shared" si="0"/>
        <v>8</v>
      </c>
      <c r="J15" s="35"/>
      <c r="K15" s="71">
        <f t="shared" si="4"/>
        <v>237</v>
      </c>
      <c r="L15" s="262">
        <f t="shared" si="1"/>
        <v>900</v>
      </c>
      <c r="M15" s="263"/>
      <c r="N15" s="263"/>
      <c r="O15" s="35">
        <f t="shared" si="2"/>
        <v>4</v>
      </c>
      <c r="P15" s="32"/>
      <c r="Q15" s="76"/>
    </row>
    <row r="16" spans="1:17" ht="20.100000000000001" customHeight="1">
      <c r="A16" s="60" t="str">
        <f>'1. 소켓인수검사'!A26</f>
        <v>18</v>
      </c>
      <c r="B16" s="41">
        <f>'1. 소켓인수검사'!C26</f>
        <v>800</v>
      </c>
      <c r="C16" s="41">
        <f>'1. 소켓인수검사'!D26</f>
        <v>900</v>
      </c>
      <c r="D16" s="35">
        <v>1</v>
      </c>
      <c r="E16" s="75"/>
      <c r="F16" s="229"/>
      <c r="G16" s="71">
        <f t="shared" si="3"/>
        <v>225</v>
      </c>
      <c r="H16" s="35">
        <f t="shared" si="5"/>
        <v>384</v>
      </c>
      <c r="I16" s="35">
        <f t="shared" si="0"/>
        <v>8</v>
      </c>
      <c r="J16" s="35"/>
      <c r="K16" s="71">
        <f t="shared" si="4"/>
        <v>237</v>
      </c>
      <c r="L16" s="262">
        <f t="shared" si="1"/>
        <v>900</v>
      </c>
      <c r="M16" s="263"/>
      <c r="N16" s="263"/>
      <c r="O16" s="35">
        <f t="shared" si="2"/>
        <v>4</v>
      </c>
      <c r="P16" s="32"/>
      <c r="Q16" s="76"/>
    </row>
    <row r="17" spans="1:17" ht="20.100000000000001" customHeight="1">
      <c r="A17" s="60" t="str">
        <f>'1. 소켓인수검사'!A27</f>
        <v>19</v>
      </c>
      <c r="B17" s="41">
        <f>'1. 소켓인수검사'!C27</f>
        <v>900</v>
      </c>
      <c r="C17" s="41">
        <f>'1. 소켓인수검사'!D27</f>
        <v>950</v>
      </c>
      <c r="D17" s="35">
        <v>1</v>
      </c>
      <c r="E17" s="75"/>
      <c r="F17" s="229"/>
      <c r="G17" s="71">
        <f t="shared" si="3"/>
        <v>225</v>
      </c>
      <c r="H17" s="35">
        <f t="shared" si="5"/>
        <v>434</v>
      </c>
      <c r="I17" s="35">
        <f t="shared" si="0"/>
        <v>8</v>
      </c>
      <c r="J17" s="35"/>
      <c r="K17" s="71">
        <f t="shared" si="4"/>
        <v>237</v>
      </c>
      <c r="L17" s="262">
        <f t="shared" si="1"/>
        <v>950</v>
      </c>
      <c r="M17" s="263"/>
      <c r="N17" s="263"/>
      <c r="O17" s="35">
        <f t="shared" si="2"/>
        <v>4</v>
      </c>
      <c r="P17" s="32"/>
      <c r="Q17" s="33"/>
    </row>
    <row r="18" spans="1:17" ht="20.100000000000001" customHeight="1">
      <c r="A18" s="60" t="str">
        <f>'1. 소켓인수검사'!A28</f>
        <v>20</v>
      </c>
      <c r="B18" s="41">
        <f>'1. 소켓인수검사'!C28</f>
        <v>900</v>
      </c>
      <c r="C18" s="41">
        <f>'1. 소켓인수검사'!D28</f>
        <v>950</v>
      </c>
      <c r="D18" s="35">
        <v>1</v>
      </c>
      <c r="E18" s="75"/>
      <c r="F18" s="229"/>
      <c r="G18" s="71">
        <f t="shared" si="3"/>
        <v>225</v>
      </c>
      <c r="H18" s="35">
        <f t="shared" si="5"/>
        <v>434</v>
      </c>
      <c r="I18" s="35">
        <f t="shared" si="0"/>
        <v>8</v>
      </c>
      <c r="J18" s="35"/>
      <c r="K18" s="71">
        <f t="shared" si="4"/>
        <v>237</v>
      </c>
      <c r="L18" s="262">
        <f t="shared" si="1"/>
        <v>950</v>
      </c>
      <c r="M18" s="263"/>
      <c r="N18" s="263"/>
      <c r="O18" s="35">
        <f t="shared" si="2"/>
        <v>4</v>
      </c>
      <c r="P18" s="32"/>
      <c r="Q18" s="33"/>
    </row>
    <row r="19" spans="1:17" ht="20.100000000000001" customHeight="1">
      <c r="A19" s="60" t="str">
        <f>'1. 소켓인수검사'!A29</f>
        <v>21</v>
      </c>
      <c r="B19" s="41">
        <f>'1. 소켓인수검사'!C29</f>
        <v>900</v>
      </c>
      <c r="C19" s="41">
        <f>'1. 소켓인수검사'!D29</f>
        <v>950</v>
      </c>
      <c r="D19" s="35">
        <v>1</v>
      </c>
      <c r="E19" s="75"/>
      <c r="F19" s="229"/>
      <c r="G19" s="71">
        <f t="shared" si="3"/>
        <v>225</v>
      </c>
      <c r="H19" s="35">
        <f t="shared" si="5"/>
        <v>434</v>
      </c>
      <c r="I19" s="35">
        <f t="shared" si="0"/>
        <v>8</v>
      </c>
      <c r="J19" s="35"/>
      <c r="K19" s="71">
        <f t="shared" si="4"/>
        <v>237</v>
      </c>
      <c r="L19" s="262">
        <f t="shared" si="1"/>
        <v>950</v>
      </c>
      <c r="M19" s="263"/>
      <c r="N19" s="263"/>
      <c r="O19" s="35">
        <f t="shared" si="2"/>
        <v>4</v>
      </c>
      <c r="P19" s="32"/>
      <c r="Q19" s="33"/>
    </row>
    <row r="20" spans="1:17" ht="20.100000000000001" customHeight="1">
      <c r="A20" s="60" t="str">
        <f>'1. 소켓인수검사'!A30</f>
        <v>22</v>
      </c>
      <c r="B20" s="41">
        <f>'1. 소켓인수검사'!C30</f>
        <v>1200</v>
      </c>
      <c r="C20" s="41">
        <f>'1. 소켓인수검사'!D30</f>
        <v>850</v>
      </c>
      <c r="D20" s="35">
        <v>1</v>
      </c>
      <c r="E20" s="75"/>
      <c r="F20" s="229"/>
      <c r="G20" s="71">
        <f t="shared" si="3"/>
        <v>225</v>
      </c>
      <c r="H20" s="35">
        <f t="shared" si="5"/>
        <v>584</v>
      </c>
      <c r="I20" s="35">
        <f t="shared" si="0"/>
        <v>8</v>
      </c>
      <c r="J20" s="35"/>
      <c r="K20" s="71">
        <f t="shared" si="4"/>
        <v>237</v>
      </c>
      <c r="L20" s="262">
        <f t="shared" si="1"/>
        <v>850</v>
      </c>
      <c r="M20" s="263"/>
      <c r="N20" s="263"/>
      <c r="O20" s="35">
        <f t="shared" si="2"/>
        <v>4</v>
      </c>
      <c r="P20" s="32"/>
      <c r="Q20" s="33"/>
    </row>
    <row r="21" spans="1:17" ht="20.100000000000001" customHeight="1">
      <c r="A21" s="60" t="str">
        <f>'1. 소켓인수검사'!A31</f>
        <v>23</v>
      </c>
      <c r="B21" s="41">
        <f>'1. 소켓인수검사'!C31</f>
        <v>1300</v>
      </c>
      <c r="C21" s="41">
        <f>'1. 소켓인수검사'!D31</f>
        <v>800</v>
      </c>
      <c r="D21" s="35">
        <v>1</v>
      </c>
      <c r="E21" s="75"/>
      <c r="F21" s="229"/>
      <c r="G21" s="71">
        <f t="shared" si="3"/>
        <v>225</v>
      </c>
      <c r="H21" s="35">
        <f t="shared" si="5"/>
        <v>634</v>
      </c>
      <c r="I21" s="35">
        <f t="shared" si="0"/>
        <v>8</v>
      </c>
      <c r="J21" s="35"/>
      <c r="K21" s="71">
        <f t="shared" si="4"/>
        <v>237</v>
      </c>
      <c r="L21" s="262">
        <f t="shared" si="1"/>
        <v>800</v>
      </c>
      <c r="M21" s="263"/>
      <c r="N21" s="263"/>
      <c r="O21" s="35">
        <f t="shared" si="2"/>
        <v>4</v>
      </c>
      <c r="P21" s="32"/>
      <c r="Q21" s="33"/>
    </row>
    <row r="22" spans="1:17" ht="20.100000000000001" customHeight="1">
      <c r="A22" s="60" t="str">
        <f>'1. 소켓인수검사'!A32</f>
        <v>24</v>
      </c>
      <c r="B22" s="41">
        <f>'1. 소켓인수검사'!C32</f>
        <v>1600</v>
      </c>
      <c r="C22" s="41">
        <f>'1. 소켓인수검사'!D32</f>
        <v>600</v>
      </c>
      <c r="D22" s="35">
        <v>1</v>
      </c>
      <c r="E22" s="75"/>
      <c r="F22" s="229"/>
      <c r="G22" s="71">
        <f t="shared" si="3"/>
        <v>225</v>
      </c>
      <c r="H22" s="35">
        <f>((B22-30)/2)-1</f>
        <v>784</v>
      </c>
      <c r="I22" s="35">
        <f t="shared" si="0"/>
        <v>8</v>
      </c>
      <c r="J22" s="35"/>
      <c r="K22" s="71">
        <f t="shared" si="4"/>
        <v>237</v>
      </c>
      <c r="L22" s="262">
        <f t="shared" ref="L22:L24" si="6">C22</f>
        <v>600</v>
      </c>
      <c r="M22" s="263"/>
      <c r="N22" s="263"/>
      <c r="O22" s="35">
        <f t="shared" ref="O22:O24" si="7">D22*2*2</f>
        <v>4</v>
      </c>
      <c r="P22" s="32"/>
      <c r="Q22" s="33"/>
    </row>
    <row r="23" spans="1:17" ht="20.100000000000001" customHeight="1">
      <c r="A23" s="60" t="str">
        <f>'1. 소켓인수검사'!A33</f>
        <v>25</v>
      </c>
      <c r="B23" s="41">
        <f>'1. 소켓인수검사'!C33</f>
        <v>2000</v>
      </c>
      <c r="C23" s="41">
        <f>'1. 소켓인수검사'!D33</f>
        <v>500</v>
      </c>
      <c r="D23" s="35">
        <v>1</v>
      </c>
      <c r="E23" s="75"/>
      <c r="F23" s="229"/>
      <c r="G23" s="71">
        <f t="shared" si="3"/>
        <v>225</v>
      </c>
      <c r="H23" s="35">
        <f t="shared" ref="H23:H24" si="8">((B23-30)/2)-1</f>
        <v>984</v>
      </c>
      <c r="I23" s="35">
        <f t="shared" si="0"/>
        <v>8</v>
      </c>
      <c r="J23" s="35"/>
      <c r="K23" s="71">
        <f t="shared" si="4"/>
        <v>237</v>
      </c>
      <c r="L23" s="262">
        <f t="shared" si="6"/>
        <v>500</v>
      </c>
      <c r="M23" s="263"/>
      <c r="N23" s="263"/>
      <c r="O23" s="35">
        <f t="shared" si="7"/>
        <v>4</v>
      </c>
      <c r="P23" s="32"/>
      <c r="Q23" s="33"/>
    </row>
    <row r="24" spans="1:17" ht="20.100000000000001" customHeight="1">
      <c r="A24" s="60" t="str">
        <f>'1. 소켓인수검사'!A34</f>
        <v>26</v>
      </c>
      <c r="B24" s="41">
        <f>'1. 소켓인수검사'!C34</f>
        <v>2000</v>
      </c>
      <c r="C24" s="41">
        <f>'1. 소켓인수검사'!D34</f>
        <v>500</v>
      </c>
      <c r="D24" s="35">
        <v>1</v>
      </c>
      <c r="E24" s="75"/>
      <c r="F24" s="229"/>
      <c r="G24" s="71">
        <f t="shared" si="3"/>
        <v>225</v>
      </c>
      <c r="H24" s="35">
        <f t="shared" si="8"/>
        <v>984</v>
      </c>
      <c r="I24" s="35">
        <f t="shared" si="0"/>
        <v>8</v>
      </c>
      <c r="J24" s="35"/>
      <c r="K24" s="71">
        <f t="shared" si="4"/>
        <v>237</v>
      </c>
      <c r="L24" s="262">
        <f t="shared" si="6"/>
        <v>500</v>
      </c>
      <c r="M24" s="263"/>
      <c r="N24" s="263"/>
      <c r="O24" s="35">
        <f t="shared" si="7"/>
        <v>4</v>
      </c>
      <c r="P24" s="32"/>
      <c r="Q24" s="33"/>
    </row>
    <row r="25" spans="1:17" ht="8.1" customHeight="1">
      <c r="A25" s="26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61"/>
    </row>
    <row r="26" spans="1:17">
      <c r="A26" s="233" t="s">
        <v>47</v>
      </c>
      <c r="B26" s="23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233"/>
      <c r="B27" s="23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233"/>
      <c r="B28" s="23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233"/>
      <c r="B29" s="23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233"/>
      <c r="B30" s="23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mergeCells count="47">
    <mergeCell ref="L23:N23"/>
    <mergeCell ref="L24:N24"/>
    <mergeCell ref="L19:N19"/>
    <mergeCell ref="A25:Q25"/>
    <mergeCell ref="A26:B30"/>
    <mergeCell ref="C26:Q30"/>
    <mergeCell ref="F11:F24"/>
    <mergeCell ref="L11:N11"/>
    <mergeCell ref="L12:N12"/>
    <mergeCell ref="L13:N13"/>
    <mergeCell ref="L14:N14"/>
    <mergeCell ref="L15:N15"/>
    <mergeCell ref="L16:N16"/>
    <mergeCell ref="L17:N17"/>
    <mergeCell ref="L18:N18"/>
    <mergeCell ref="P9:P10"/>
    <mergeCell ref="L10:N10"/>
    <mergeCell ref="L20:N20"/>
    <mergeCell ref="L21:N21"/>
    <mergeCell ref="L22:N22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5"/>
  <sheetViews>
    <sheetView zoomScaleNormal="100" zoomScaleSheetLayoutView="100" workbookViewId="0">
      <pane ySplit="9" topLeftCell="A10" activePane="bottomLeft" state="frozen"/>
      <selection pane="bottomLeft" activeCell="I48" sqref="I48:J48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66" t="s">
        <v>45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7"/>
      <c r="R1" s="268"/>
      <c r="S1" s="14"/>
    </row>
    <row r="2" spans="1:19">
      <c r="A2" s="1"/>
      <c r="B2" s="1"/>
      <c r="C2" s="1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7"/>
      <c r="R2" s="269"/>
      <c r="S2" s="270"/>
    </row>
    <row r="3" spans="1:19" ht="24" customHeight="1">
      <c r="A3" s="1"/>
      <c r="B3" s="1"/>
      <c r="C3" s="1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7"/>
      <c r="R3" s="269"/>
      <c r="S3" s="270"/>
    </row>
    <row r="4" spans="1:19">
      <c r="A4" s="1" t="s">
        <v>17</v>
      </c>
      <c r="B4" s="1"/>
      <c r="C4" s="1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7"/>
      <c r="R4" s="269"/>
      <c r="S4" s="270"/>
    </row>
    <row r="5" spans="1:19">
      <c r="A5" s="1" t="s">
        <v>27</v>
      </c>
      <c r="B5" s="1"/>
      <c r="C5" s="1"/>
      <c r="D5" s="2" t="s">
        <v>33</v>
      </c>
      <c r="E5" s="271"/>
      <c r="F5" s="272"/>
      <c r="G5" s="273" t="s">
        <v>62</v>
      </c>
      <c r="H5" s="184"/>
      <c r="I5" s="185"/>
      <c r="J5" s="185"/>
      <c r="K5" s="186"/>
      <c r="L5" s="273" t="s">
        <v>22</v>
      </c>
      <c r="M5" s="78"/>
      <c r="N5" s="78"/>
      <c r="O5" s="273" t="s">
        <v>22</v>
      </c>
      <c r="P5" s="275" t="str">
        <f>'1. 소켓인수검사'!R2</f>
        <v>26.06.10 행복산업_덕신건업_롯데건설_인천 효성구역 도시개발 사업 공동주택(4BL) 2차분</v>
      </c>
      <c r="Q5" s="276"/>
      <c r="R5" s="276"/>
      <c r="S5" s="277"/>
    </row>
    <row r="6" spans="1:19">
      <c r="A6" s="1"/>
      <c r="B6" s="1"/>
      <c r="C6" s="1"/>
      <c r="D6" s="2" t="s">
        <v>30</v>
      </c>
      <c r="E6" s="271"/>
      <c r="F6" s="272"/>
      <c r="G6" s="274"/>
      <c r="H6" s="187"/>
      <c r="I6" s="188"/>
      <c r="J6" s="188"/>
      <c r="K6" s="189"/>
      <c r="L6" s="274"/>
      <c r="M6" s="79"/>
      <c r="N6" s="79"/>
      <c r="O6" s="274"/>
      <c r="P6" s="278"/>
      <c r="Q6" s="279"/>
      <c r="R6" s="279"/>
      <c r="S6" s="280"/>
    </row>
    <row r="7" spans="1:19" ht="8.1" customHeight="1">
      <c r="A7" s="187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9"/>
    </row>
    <row r="8" spans="1:19" ht="16.5" customHeight="1">
      <c r="A8" s="130" t="s">
        <v>59</v>
      </c>
      <c r="B8" s="282" t="s">
        <v>66</v>
      </c>
      <c r="C8" s="282" t="s">
        <v>64</v>
      </c>
      <c r="D8" s="282" t="s">
        <v>69</v>
      </c>
      <c r="E8" s="282" t="s">
        <v>54</v>
      </c>
      <c r="F8" s="282" t="s">
        <v>61</v>
      </c>
      <c r="G8" s="282" t="s">
        <v>24</v>
      </c>
      <c r="H8" s="282"/>
      <c r="I8" s="282"/>
      <c r="J8" s="282" t="s">
        <v>0</v>
      </c>
      <c r="K8" s="282"/>
      <c r="L8" s="282"/>
      <c r="M8" s="282" t="s">
        <v>0</v>
      </c>
      <c r="N8" s="282"/>
      <c r="O8" s="282"/>
      <c r="P8" s="282" t="s">
        <v>0</v>
      </c>
      <c r="Q8" s="282"/>
      <c r="R8" s="282"/>
      <c r="S8" s="284"/>
    </row>
    <row r="9" spans="1:19" ht="33" customHeight="1">
      <c r="A9" s="281"/>
      <c r="B9" s="283"/>
      <c r="C9" s="283"/>
      <c r="D9" s="283"/>
      <c r="E9" s="283"/>
      <c r="F9" s="283"/>
      <c r="G9" s="81" t="s">
        <v>34</v>
      </c>
      <c r="H9" s="81" t="s">
        <v>57</v>
      </c>
      <c r="I9" s="81" t="s">
        <v>56</v>
      </c>
      <c r="J9" s="81" t="s">
        <v>20</v>
      </c>
      <c r="K9" s="81" t="s">
        <v>57</v>
      </c>
      <c r="L9" s="81" t="s">
        <v>56</v>
      </c>
      <c r="M9" s="81" t="s">
        <v>26</v>
      </c>
      <c r="N9" s="81" t="s">
        <v>57</v>
      </c>
      <c r="O9" s="81" t="s">
        <v>56</v>
      </c>
      <c r="P9" s="81" t="s">
        <v>23</v>
      </c>
      <c r="Q9" s="81" t="s">
        <v>57</v>
      </c>
      <c r="R9" s="283" t="s">
        <v>56</v>
      </c>
      <c r="S9" s="285"/>
    </row>
    <row r="10" spans="1:19">
      <c r="A10" s="60" t="str">
        <f>'1. 소켓인수검사'!A9</f>
        <v>01</v>
      </c>
      <c r="B10" s="41">
        <f>'1. 소켓인수검사'!C9</f>
        <v>600</v>
      </c>
      <c r="C10" s="41">
        <f>'1. 소켓인수검사'!D9</f>
        <v>750</v>
      </c>
      <c r="D10" s="63" t="s">
        <v>49</v>
      </c>
      <c r="E10" s="77">
        <f>B10*C10/1000000</f>
        <v>0.45</v>
      </c>
      <c r="F10" s="77">
        <f>(B10+C10)*2/1000</f>
        <v>2.7</v>
      </c>
      <c r="G10" s="34"/>
      <c r="H10" s="41"/>
      <c r="I10" s="34"/>
      <c r="J10" s="34"/>
      <c r="K10" s="41"/>
      <c r="L10" s="34"/>
      <c r="M10" s="34">
        <f>F10+0.5</f>
        <v>3.2</v>
      </c>
      <c r="N10" s="41">
        <v>4</v>
      </c>
      <c r="O10" s="34">
        <f>+N10*M10</f>
        <v>12.8</v>
      </c>
      <c r="P10" s="34"/>
      <c r="Q10" s="41"/>
      <c r="R10" s="286"/>
      <c r="S10" s="287"/>
    </row>
    <row r="11" spans="1:19">
      <c r="A11" s="60" t="str">
        <f>'1. 소켓인수검사'!A10</f>
        <v>02</v>
      </c>
      <c r="B11" s="41">
        <f>'1. 소켓인수검사'!C10</f>
        <v>600</v>
      </c>
      <c r="C11" s="41">
        <f>'1. 소켓인수검사'!D10</f>
        <v>750</v>
      </c>
      <c r="D11" s="63" t="s">
        <v>49</v>
      </c>
      <c r="E11" s="77">
        <f>B11*C11/1000000</f>
        <v>0.45</v>
      </c>
      <c r="F11" s="77">
        <f>(B11+C11)*2/1000</f>
        <v>2.7</v>
      </c>
      <c r="G11" s="34"/>
      <c r="H11" s="41"/>
      <c r="I11" s="34"/>
      <c r="J11" s="34"/>
      <c r="K11" s="41"/>
      <c r="L11" s="34"/>
      <c r="M11" s="34">
        <f t="shared" ref="M11:M21" si="0">F11+0.5</f>
        <v>3.2</v>
      </c>
      <c r="N11" s="41">
        <v>4</v>
      </c>
      <c r="O11" s="34">
        <f t="shared" ref="O11:O21" si="1">+N11*M11</f>
        <v>12.8</v>
      </c>
      <c r="P11" s="34"/>
      <c r="Q11" s="41"/>
      <c r="R11" s="286"/>
      <c r="S11" s="287"/>
    </row>
    <row r="12" spans="1:19">
      <c r="A12" s="60" t="str">
        <f>'1. 소켓인수검사'!A11</f>
        <v>03</v>
      </c>
      <c r="B12" s="41">
        <f>'1. 소켓인수검사'!C11</f>
        <v>600</v>
      </c>
      <c r="C12" s="41">
        <f>'1. 소켓인수검사'!D11</f>
        <v>750</v>
      </c>
      <c r="D12" s="63" t="s">
        <v>49</v>
      </c>
      <c r="E12" s="77">
        <f t="shared" ref="E12:E21" si="2">B12*C12/1000000</f>
        <v>0.45</v>
      </c>
      <c r="F12" s="77">
        <f t="shared" ref="F12:F21" si="3">(B12+C12)*2/1000</f>
        <v>2.7</v>
      </c>
      <c r="G12" s="34"/>
      <c r="H12" s="41"/>
      <c r="I12" s="34"/>
      <c r="J12" s="34"/>
      <c r="K12" s="41"/>
      <c r="L12" s="34"/>
      <c r="M12" s="34">
        <f t="shared" si="0"/>
        <v>3.2</v>
      </c>
      <c r="N12" s="41">
        <v>4</v>
      </c>
      <c r="O12" s="34">
        <f t="shared" si="1"/>
        <v>12.8</v>
      </c>
      <c r="P12" s="34"/>
      <c r="Q12" s="41"/>
      <c r="R12" s="286"/>
      <c r="S12" s="287"/>
    </row>
    <row r="13" spans="1:19">
      <c r="A13" s="60" t="str">
        <f>'1. 소켓인수검사'!A12</f>
        <v>04</v>
      </c>
      <c r="B13" s="41">
        <f>'1. 소켓인수검사'!C12</f>
        <v>800</v>
      </c>
      <c r="C13" s="41">
        <f>'1. 소켓인수검사'!D12</f>
        <v>850</v>
      </c>
      <c r="D13" s="63" t="s">
        <v>49</v>
      </c>
      <c r="E13" s="77">
        <f t="shared" si="2"/>
        <v>0.68</v>
      </c>
      <c r="F13" s="77">
        <f t="shared" si="3"/>
        <v>3.3</v>
      </c>
      <c r="G13" s="34"/>
      <c r="H13" s="41"/>
      <c r="I13" s="34"/>
      <c r="J13" s="34"/>
      <c r="K13" s="41"/>
      <c r="L13" s="34"/>
      <c r="M13" s="34">
        <f t="shared" si="0"/>
        <v>3.8</v>
      </c>
      <c r="N13" s="41">
        <v>4</v>
      </c>
      <c r="O13" s="34">
        <f t="shared" si="1"/>
        <v>15.2</v>
      </c>
      <c r="P13" s="34"/>
      <c r="Q13" s="41"/>
      <c r="R13" s="286"/>
      <c r="S13" s="287"/>
    </row>
    <row r="14" spans="1:19">
      <c r="A14" s="60" t="str">
        <f>'1. 소켓인수검사'!A13</f>
        <v>05</v>
      </c>
      <c r="B14" s="41">
        <f>'1. 소켓인수검사'!C13</f>
        <v>800</v>
      </c>
      <c r="C14" s="41">
        <f>'1. 소켓인수검사'!D13</f>
        <v>850</v>
      </c>
      <c r="D14" s="63" t="s">
        <v>49</v>
      </c>
      <c r="E14" s="77">
        <f t="shared" si="2"/>
        <v>0.68</v>
      </c>
      <c r="F14" s="77">
        <f t="shared" si="3"/>
        <v>3.3</v>
      </c>
      <c r="G14" s="34"/>
      <c r="H14" s="41"/>
      <c r="I14" s="34"/>
      <c r="J14" s="34"/>
      <c r="K14" s="41"/>
      <c r="L14" s="34"/>
      <c r="M14" s="34">
        <f t="shared" si="0"/>
        <v>3.8</v>
      </c>
      <c r="N14" s="41">
        <v>4</v>
      </c>
      <c r="O14" s="34">
        <f t="shared" si="1"/>
        <v>15.2</v>
      </c>
      <c r="P14" s="34"/>
      <c r="Q14" s="41"/>
      <c r="R14" s="286"/>
      <c r="S14" s="287"/>
    </row>
    <row r="15" spans="1:19">
      <c r="A15" s="60" t="str">
        <f>'1. 소켓인수검사'!A14</f>
        <v>06</v>
      </c>
      <c r="B15" s="41">
        <f>'1. 소켓인수검사'!C14</f>
        <v>800</v>
      </c>
      <c r="C15" s="41">
        <f>'1. 소켓인수검사'!D14</f>
        <v>850</v>
      </c>
      <c r="D15" s="63" t="s">
        <v>49</v>
      </c>
      <c r="E15" s="77">
        <f t="shared" si="2"/>
        <v>0.68</v>
      </c>
      <c r="F15" s="77">
        <f t="shared" si="3"/>
        <v>3.3</v>
      </c>
      <c r="G15" s="34"/>
      <c r="H15" s="41"/>
      <c r="I15" s="34"/>
      <c r="J15" s="34"/>
      <c r="K15" s="41"/>
      <c r="L15" s="34"/>
      <c r="M15" s="34">
        <f t="shared" si="0"/>
        <v>3.8</v>
      </c>
      <c r="N15" s="41">
        <v>4</v>
      </c>
      <c r="O15" s="34">
        <f t="shared" si="1"/>
        <v>15.2</v>
      </c>
      <c r="P15" s="34"/>
      <c r="Q15" s="34"/>
      <c r="R15" s="286"/>
      <c r="S15" s="287"/>
    </row>
    <row r="16" spans="1:19">
      <c r="A16" s="60" t="str">
        <f>'1. 소켓인수검사'!A15</f>
        <v>07</v>
      </c>
      <c r="B16" s="41">
        <f>'1. 소켓인수검사'!C15</f>
        <v>1200</v>
      </c>
      <c r="C16" s="41">
        <f>'1. 소켓인수검사'!D15</f>
        <v>500</v>
      </c>
      <c r="D16" s="63" t="s">
        <v>49</v>
      </c>
      <c r="E16" s="77">
        <f t="shared" si="2"/>
        <v>0.6</v>
      </c>
      <c r="F16" s="77">
        <f t="shared" si="3"/>
        <v>3.4</v>
      </c>
      <c r="G16" s="34"/>
      <c r="H16" s="41"/>
      <c r="I16" s="34"/>
      <c r="J16" s="34"/>
      <c r="K16" s="41"/>
      <c r="L16" s="34"/>
      <c r="M16" s="34">
        <f t="shared" si="0"/>
        <v>3.9</v>
      </c>
      <c r="N16" s="41">
        <v>4</v>
      </c>
      <c r="O16" s="34">
        <f t="shared" si="1"/>
        <v>15.6</v>
      </c>
      <c r="P16" s="34"/>
      <c r="Q16" s="34"/>
      <c r="R16" s="286"/>
      <c r="S16" s="287"/>
    </row>
    <row r="17" spans="1:19">
      <c r="A17" s="60" t="str">
        <f>'1. 소켓인수검사'!A16</f>
        <v>08</v>
      </c>
      <c r="B17" s="41">
        <f>'1. 소켓인수검사'!C16</f>
        <v>1300</v>
      </c>
      <c r="C17" s="41">
        <f>'1. 소켓인수검사'!D16</f>
        <v>400</v>
      </c>
      <c r="D17" s="63" t="s">
        <v>49</v>
      </c>
      <c r="E17" s="77">
        <f t="shared" si="2"/>
        <v>0.52</v>
      </c>
      <c r="F17" s="77">
        <f t="shared" si="3"/>
        <v>3.4</v>
      </c>
      <c r="G17" s="34"/>
      <c r="H17" s="41"/>
      <c r="I17" s="34"/>
      <c r="J17" s="34"/>
      <c r="K17" s="41"/>
      <c r="L17" s="34"/>
      <c r="M17" s="34">
        <f t="shared" si="0"/>
        <v>3.9</v>
      </c>
      <c r="N17" s="41">
        <v>4</v>
      </c>
      <c r="O17" s="34">
        <f t="shared" si="1"/>
        <v>15.6</v>
      </c>
      <c r="P17" s="34"/>
      <c r="Q17" s="34"/>
      <c r="R17" s="286"/>
      <c r="S17" s="287"/>
    </row>
    <row r="18" spans="1:19" ht="16.5" customHeight="1">
      <c r="A18" s="60" t="str">
        <f>'1. 소켓인수검사'!A17</f>
        <v>09</v>
      </c>
      <c r="B18" s="41">
        <f>'1. 소켓인수검사'!C17</f>
        <v>1300</v>
      </c>
      <c r="C18" s="41">
        <f>'1. 소켓인수검사'!D17</f>
        <v>400</v>
      </c>
      <c r="D18" s="63" t="s">
        <v>49</v>
      </c>
      <c r="E18" s="77">
        <f t="shared" si="2"/>
        <v>0.52</v>
      </c>
      <c r="F18" s="77">
        <f t="shared" si="3"/>
        <v>3.4</v>
      </c>
      <c r="G18" s="34"/>
      <c r="H18" s="41"/>
      <c r="I18" s="34"/>
      <c r="J18" s="34"/>
      <c r="K18" s="41"/>
      <c r="L18" s="34"/>
      <c r="M18" s="34">
        <f t="shared" si="0"/>
        <v>3.9</v>
      </c>
      <c r="N18" s="41">
        <v>4</v>
      </c>
      <c r="O18" s="34">
        <f t="shared" si="1"/>
        <v>15.6</v>
      </c>
      <c r="P18" s="34"/>
      <c r="Q18" s="34"/>
      <c r="R18" s="286"/>
      <c r="S18" s="287"/>
    </row>
    <row r="19" spans="1:19">
      <c r="A19" s="60" t="str">
        <f>'1. 소켓인수검사'!A18</f>
        <v>10</v>
      </c>
      <c r="B19" s="41">
        <f>'1. 소켓인수검사'!C18</f>
        <v>1300</v>
      </c>
      <c r="C19" s="41">
        <f>'1. 소켓인수검사'!D18</f>
        <v>400</v>
      </c>
      <c r="D19" s="63" t="s">
        <v>49</v>
      </c>
      <c r="E19" s="77">
        <f t="shared" si="2"/>
        <v>0.52</v>
      </c>
      <c r="F19" s="77">
        <f t="shared" si="3"/>
        <v>3.4</v>
      </c>
      <c r="G19" s="34"/>
      <c r="H19" s="41"/>
      <c r="I19" s="34"/>
      <c r="J19" s="34"/>
      <c r="K19" s="41"/>
      <c r="L19" s="34"/>
      <c r="M19" s="34">
        <f t="shared" si="0"/>
        <v>3.9</v>
      </c>
      <c r="N19" s="41">
        <v>4</v>
      </c>
      <c r="O19" s="34">
        <f t="shared" si="1"/>
        <v>15.6</v>
      </c>
      <c r="P19" s="34"/>
      <c r="Q19" s="34"/>
      <c r="R19" s="286"/>
      <c r="S19" s="287"/>
    </row>
    <row r="20" spans="1:19">
      <c r="A20" s="60" t="str">
        <f>'1. 소켓인수검사'!A19</f>
        <v>11</v>
      </c>
      <c r="B20" s="41">
        <f>'1. 소켓인수검사'!C19</f>
        <v>1300</v>
      </c>
      <c r="C20" s="41">
        <f>'1. 소켓인수검사'!D19</f>
        <v>400</v>
      </c>
      <c r="D20" s="63" t="s">
        <v>49</v>
      </c>
      <c r="E20" s="77">
        <f t="shared" si="2"/>
        <v>0.52</v>
      </c>
      <c r="F20" s="77">
        <f t="shared" si="3"/>
        <v>3.4</v>
      </c>
      <c r="G20" s="34"/>
      <c r="H20" s="41"/>
      <c r="I20" s="34"/>
      <c r="J20" s="34"/>
      <c r="K20" s="41"/>
      <c r="L20" s="34"/>
      <c r="M20" s="34">
        <f t="shared" si="0"/>
        <v>3.9</v>
      </c>
      <c r="N20" s="41">
        <v>4</v>
      </c>
      <c r="O20" s="34">
        <f t="shared" si="1"/>
        <v>15.6</v>
      </c>
      <c r="P20" s="34"/>
      <c r="Q20" s="34"/>
      <c r="R20" s="286"/>
      <c r="S20" s="287"/>
    </row>
    <row r="21" spans="1:19">
      <c r="A21" s="60" t="str">
        <f>'1. 소켓인수검사'!A20</f>
        <v>12</v>
      </c>
      <c r="B21" s="41">
        <f>'1. 소켓인수검사'!C20</f>
        <v>1300</v>
      </c>
      <c r="C21" s="41">
        <f>'1. 소켓인수검사'!D20</f>
        <v>450</v>
      </c>
      <c r="D21" s="63" t="s">
        <v>49</v>
      </c>
      <c r="E21" s="77">
        <f t="shared" si="2"/>
        <v>0.58499999999999996</v>
      </c>
      <c r="F21" s="77">
        <f t="shared" si="3"/>
        <v>3.5</v>
      </c>
      <c r="G21" s="34"/>
      <c r="H21" s="34"/>
      <c r="I21" s="34"/>
      <c r="J21" s="34"/>
      <c r="K21" s="41"/>
      <c r="L21" s="34"/>
      <c r="M21" s="34">
        <f t="shared" si="0"/>
        <v>4</v>
      </c>
      <c r="N21" s="41">
        <v>4</v>
      </c>
      <c r="O21" s="34">
        <f t="shared" si="1"/>
        <v>16</v>
      </c>
      <c r="P21" s="34"/>
      <c r="Q21" s="34"/>
      <c r="R21" s="286"/>
      <c r="S21" s="287"/>
    </row>
    <row r="22" spans="1:19">
      <c r="A22" s="60" t="str">
        <f>'1. 소켓인수검사'!A21</f>
        <v>13</v>
      </c>
      <c r="B22" s="41">
        <f>'1. 소켓인수검사'!C21</f>
        <v>750</v>
      </c>
      <c r="C22" s="41">
        <f>'1. 소켓인수검사'!D21</f>
        <v>900</v>
      </c>
      <c r="D22" s="64" t="s">
        <v>48</v>
      </c>
      <c r="E22" s="77">
        <f t="shared" ref="E22:E28" si="4">B22*C22/1000000</f>
        <v>0.67500000000000004</v>
      </c>
      <c r="F22" s="77">
        <f t="shared" ref="F22:F28" si="5">(B22+C22)*2/1000</f>
        <v>3.3</v>
      </c>
      <c r="G22" s="34">
        <f t="shared" ref="G22:G35" si="6">(F22+0.4)</f>
        <v>3.6999999999999997</v>
      </c>
      <c r="H22" s="41">
        <v>2</v>
      </c>
      <c r="I22" s="34">
        <f>G22*H22</f>
        <v>7.3999999999999995</v>
      </c>
      <c r="J22" s="34"/>
      <c r="K22" s="34"/>
      <c r="L22" s="34"/>
      <c r="M22" s="34"/>
      <c r="N22" s="34"/>
      <c r="O22" s="34"/>
      <c r="P22" s="34">
        <f t="shared" ref="P22:P35" si="7">F22+0.5</f>
        <v>3.8</v>
      </c>
      <c r="Q22" s="34">
        <v>2</v>
      </c>
      <c r="R22" s="286">
        <f>P22*Q22</f>
        <v>7.6</v>
      </c>
      <c r="S22" s="287"/>
    </row>
    <row r="23" spans="1:19">
      <c r="A23" s="60" t="str">
        <f>'1. 소켓인수검사'!A22</f>
        <v>14</v>
      </c>
      <c r="B23" s="41">
        <f>'1. 소켓인수검사'!C22</f>
        <v>750</v>
      </c>
      <c r="C23" s="41">
        <f>'1. 소켓인수검사'!D22</f>
        <v>900</v>
      </c>
      <c r="D23" s="64" t="s">
        <v>48</v>
      </c>
      <c r="E23" s="77">
        <f t="shared" si="4"/>
        <v>0.67500000000000004</v>
      </c>
      <c r="F23" s="77">
        <f t="shared" si="5"/>
        <v>3.3</v>
      </c>
      <c r="G23" s="34">
        <f t="shared" si="6"/>
        <v>3.6999999999999997</v>
      </c>
      <c r="H23" s="41">
        <v>2</v>
      </c>
      <c r="I23" s="34">
        <f>G23*H23</f>
        <v>7.3999999999999995</v>
      </c>
      <c r="J23" s="34"/>
      <c r="K23" s="34"/>
      <c r="L23" s="34"/>
      <c r="M23" s="34"/>
      <c r="N23" s="34"/>
      <c r="O23" s="34"/>
      <c r="P23" s="34">
        <f t="shared" si="7"/>
        <v>3.8</v>
      </c>
      <c r="Q23" s="34">
        <v>2</v>
      </c>
      <c r="R23" s="286">
        <f t="shared" ref="R23:R35" si="8">P23*Q23</f>
        <v>7.6</v>
      </c>
      <c r="S23" s="287"/>
    </row>
    <row r="24" spans="1:19">
      <c r="A24" s="60" t="str">
        <f>'1. 소켓인수검사'!A23</f>
        <v>15</v>
      </c>
      <c r="B24" s="41">
        <f>'1. 소켓인수검사'!C23</f>
        <v>750</v>
      </c>
      <c r="C24" s="41">
        <f>'1. 소켓인수검사'!D23</f>
        <v>900</v>
      </c>
      <c r="D24" s="64" t="s">
        <v>48</v>
      </c>
      <c r="E24" s="77">
        <f t="shared" si="4"/>
        <v>0.67500000000000004</v>
      </c>
      <c r="F24" s="77">
        <f t="shared" si="5"/>
        <v>3.3</v>
      </c>
      <c r="G24" s="34">
        <f t="shared" si="6"/>
        <v>3.6999999999999997</v>
      </c>
      <c r="H24" s="41">
        <v>2</v>
      </c>
      <c r="I24" s="34">
        <f t="shared" ref="I24:I35" si="9">G24*H24</f>
        <v>7.3999999999999995</v>
      </c>
      <c r="J24" s="34"/>
      <c r="K24" s="34"/>
      <c r="L24" s="34"/>
      <c r="M24" s="34"/>
      <c r="N24" s="34"/>
      <c r="O24" s="34"/>
      <c r="P24" s="34">
        <f t="shared" si="7"/>
        <v>3.8</v>
      </c>
      <c r="Q24" s="34">
        <v>2</v>
      </c>
      <c r="R24" s="286">
        <f t="shared" si="8"/>
        <v>7.6</v>
      </c>
      <c r="S24" s="287"/>
    </row>
    <row r="25" spans="1:19">
      <c r="A25" s="60" t="str">
        <f>'1. 소켓인수검사'!A24</f>
        <v>16</v>
      </c>
      <c r="B25" s="41">
        <f>'1. 소켓인수검사'!C24</f>
        <v>800</v>
      </c>
      <c r="C25" s="41">
        <f>'1. 소켓인수검사'!D24</f>
        <v>900</v>
      </c>
      <c r="D25" s="64" t="s">
        <v>48</v>
      </c>
      <c r="E25" s="77">
        <f t="shared" si="4"/>
        <v>0.72</v>
      </c>
      <c r="F25" s="77">
        <f t="shared" si="5"/>
        <v>3.4</v>
      </c>
      <c r="G25" s="34">
        <f t="shared" si="6"/>
        <v>3.8</v>
      </c>
      <c r="H25" s="41">
        <v>2</v>
      </c>
      <c r="I25" s="34">
        <f t="shared" si="9"/>
        <v>7.6</v>
      </c>
      <c r="J25" s="34"/>
      <c r="K25" s="34"/>
      <c r="L25" s="34"/>
      <c r="M25" s="34"/>
      <c r="N25" s="34"/>
      <c r="O25" s="34"/>
      <c r="P25" s="34">
        <f t="shared" si="7"/>
        <v>3.9</v>
      </c>
      <c r="Q25" s="34">
        <v>2</v>
      </c>
      <c r="R25" s="286">
        <f t="shared" si="8"/>
        <v>7.8</v>
      </c>
      <c r="S25" s="287"/>
    </row>
    <row r="26" spans="1:19">
      <c r="A26" s="60" t="str">
        <f>'1. 소켓인수검사'!A25</f>
        <v>17</v>
      </c>
      <c r="B26" s="41">
        <f>'1. 소켓인수검사'!C25</f>
        <v>800</v>
      </c>
      <c r="C26" s="41">
        <f>'1. 소켓인수검사'!D25</f>
        <v>900</v>
      </c>
      <c r="D26" s="64" t="s">
        <v>48</v>
      </c>
      <c r="E26" s="77">
        <f t="shared" si="4"/>
        <v>0.72</v>
      </c>
      <c r="F26" s="77">
        <f t="shared" si="5"/>
        <v>3.4</v>
      </c>
      <c r="G26" s="34">
        <f t="shared" si="6"/>
        <v>3.8</v>
      </c>
      <c r="H26" s="41">
        <v>2</v>
      </c>
      <c r="I26" s="34">
        <f t="shared" si="9"/>
        <v>7.6</v>
      </c>
      <c r="J26" s="34"/>
      <c r="K26" s="34"/>
      <c r="L26" s="34"/>
      <c r="M26" s="34"/>
      <c r="N26" s="34"/>
      <c r="O26" s="34"/>
      <c r="P26" s="34">
        <f t="shared" si="7"/>
        <v>3.9</v>
      </c>
      <c r="Q26" s="34">
        <v>2</v>
      </c>
      <c r="R26" s="286">
        <f t="shared" si="8"/>
        <v>7.8</v>
      </c>
      <c r="S26" s="287"/>
    </row>
    <row r="27" spans="1:19">
      <c r="A27" s="60" t="str">
        <f>'1. 소켓인수검사'!A26</f>
        <v>18</v>
      </c>
      <c r="B27" s="41">
        <f>'1. 소켓인수검사'!C26</f>
        <v>800</v>
      </c>
      <c r="C27" s="41">
        <f>'1. 소켓인수검사'!D26</f>
        <v>900</v>
      </c>
      <c r="D27" s="64" t="s">
        <v>48</v>
      </c>
      <c r="E27" s="77">
        <f t="shared" si="4"/>
        <v>0.72</v>
      </c>
      <c r="F27" s="77">
        <f t="shared" si="5"/>
        <v>3.4</v>
      </c>
      <c r="G27" s="34">
        <f t="shared" si="6"/>
        <v>3.8</v>
      </c>
      <c r="H27" s="41">
        <v>2</v>
      </c>
      <c r="I27" s="34">
        <f t="shared" si="9"/>
        <v>7.6</v>
      </c>
      <c r="J27" s="34"/>
      <c r="K27" s="34"/>
      <c r="L27" s="34"/>
      <c r="M27" s="34"/>
      <c r="N27" s="34"/>
      <c r="O27" s="34"/>
      <c r="P27" s="34">
        <f t="shared" si="7"/>
        <v>3.9</v>
      </c>
      <c r="Q27" s="34">
        <v>2</v>
      </c>
      <c r="R27" s="286">
        <f t="shared" si="8"/>
        <v>7.8</v>
      </c>
      <c r="S27" s="287"/>
    </row>
    <row r="28" spans="1:19">
      <c r="A28" s="60" t="str">
        <f>'1. 소켓인수검사'!A27</f>
        <v>19</v>
      </c>
      <c r="B28" s="41">
        <f>'1. 소켓인수검사'!C27</f>
        <v>900</v>
      </c>
      <c r="C28" s="41">
        <f>'1. 소켓인수검사'!D27</f>
        <v>950</v>
      </c>
      <c r="D28" s="64" t="s">
        <v>48</v>
      </c>
      <c r="E28" s="77">
        <f t="shared" si="4"/>
        <v>0.85499999999999998</v>
      </c>
      <c r="F28" s="77">
        <f t="shared" si="5"/>
        <v>3.7</v>
      </c>
      <c r="G28" s="34">
        <f t="shared" si="6"/>
        <v>4.1000000000000005</v>
      </c>
      <c r="H28" s="41">
        <v>2</v>
      </c>
      <c r="I28" s="34">
        <f t="shared" si="9"/>
        <v>8.2000000000000011</v>
      </c>
      <c r="J28" s="34"/>
      <c r="K28" s="34"/>
      <c r="L28" s="34"/>
      <c r="M28" s="34"/>
      <c r="N28" s="34"/>
      <c r="O28" s="34"/>
      <c r="P28" s="34">
        <f t="shared" si="7"/>
        <v>4.2</v>
      </c>
      <c r="Q28" s="34">
        <v>2</v>
      </c>
      <c r="R28" s="286">
        <f t="shared" si="8"/>
        <v>8.4</v>
      </c>
      <c r="S28" s="287"/>
    </row>
    <row r="29" spans="1:19">
      <c r="A29" s="60" t="str">
        <f>'1. 소켓인수검사'!A28</f>
        <v>20</v>
      </c>
      <c r="B29" s="41">
        <f>'1. 소켓인수검사'!C28</f>
        <v>900</v>
      </c>
      <c r="C29" s="41">
        <f>'1. 소켓인수검사'!D28</f>
        <v>950</v>
      </c>
      <c r="D29" s="64" t="s">
        <v>48</v>
      </c>
      <c r="E29" s="77">
        <f t="shared" ref="E29" si="10">B29*C29/1000000</f>
        <v>0.85499999999999998</v>
      </c>
      <c r="F29" s="77">
        <f t="shared" ref="F29" si="11">(B29+C29)*2/1000</f>
        <v>3.7</v>
      </c>
      <c r="G29" s="34">
        <f t="shared" si="6"/>
        <v>4.1000000000000005</v>
      </c>
      <c r="H29" s="41">
        <v>2</v>
      </c>
      <c r="I29" s="34">
        <f t="shared" si="9"/>
        <v>8.2000000000000011</v>
      </c>
      <c r="J29" s="34"/>
      <c r="K29" s="34"/>
      <c r="L29" s="34"/>
      <c r="M29" s="34"/>
      <c r="N29" s="34"/>
      <c r="O29" s="34"/>
      <c r="P29" s="34">
        <f t="shared" si="7"/>
        <v>4.2</v>
      </c>
      <c r="Q29" s="34">
        <v>2</v>
      </c>
      <c r="R29" s="286">
        <f t="shared" si="8"/>
        <v>8.4</v>
      </c>
      <c r="S29" s="287"/>
    </row>
    <row r="30" spans="1:19">
      <c r="A30" s="60" t="str">
        <f>'1. 소켓인수검사'!A29</f>
        <v>21</v>
      </c>
      <c r="B30" s="41">
        <f>'1. 소켓인수검사'!C29</f>
        <v>900</v>
      </c>
      <c r="C30" s="41">
        <f>'1. 소켓인수검사'!D29</f>
        <v>950</v>
      </c>
      <c r="D30" s="64" t="s">
        <v>48</v>
      </c>
      <c r="E30" s="77">
        <f t="shared" ref="E30:E35" si="12">B30*C30/1000000</f>
        <v>0.85499999999999998</v>
      </c>
      <c r="F30" s="77">
        <f t="shared" ref="F30:F35" si="13">(B30+C30)*2/1000</f>
        <v>3.7</v>
      </c>
      <c r="G30" s="34">
        <f t="shared" si="6"/>
        <v>4.1000000000000005</v>
      </c>
      <c r="H30" s="41">
        <v>2</v>
      </c>
      <c r="I30" s="34">
        <f t="shared" si="9"/>
        <v>8.2000000000000011</v>
      </c>
      <c r="J30" s="34"/>
      <c r="K30" s="34"/>
      <c r="L30" s="34"/>
      <c r="M30" s="34"/>
      <c r="N30" s="34"/>
      <c r="O30" s="34"/>
      <c r="P30" s="34">
        <f t="shared" si="7"/>
        <v>4.2</v>
      </c>
      <c r="Q30" s="34">
        <v>2</v>
      </c>
      <c r="R30" s="286">
        <f t="shared" si="8"/>
        <v>8.4</v>
      </c>
      <c r="S30" s="287"/>
    </row>
    <row r="31" spans="1:19">
      <c r="A31" s="60" t="str">
        <f>'1. 소켓인수검사'!A30</f>
        <v>22</v>
      </c>
      <c r="B31" s="41">
        <f>'1. 소켓인수검사'!C30</f>
        <v>1200</v>
      </c>
      <c r="C31" s="41">
        <f>'1. 소켓인수검사'!D30</f>
        <v>850</v>
      </c>
      <c r="D31" s="64" t="s">
        <v>48</v>
      </c>
      <c r="E31" s="77">
        <f t="shared" si="12"/>
        <v>1.02</v>
      </c>
      <c r="F31" s="77">
        <f t="shared" si="13"/>
        <v>4.0999999999999996</v>
      </c>
      <c r="G31" s="34">
        <f t="shared" si="6"/>
        <v>4.5</v>
      </c>
      <c r="H31" s="41">
        <v>2</v>
      </c>
      <c r="I31" s="34">
        <f t="shared" si="9"/>
        <v>9</v>
      </c>
      <c r="J31" s="34"/>
      <c r="K31" s="34"/>
      <c r="L31" s="34"/>
      <c r="M31" s="34"/>
      <c r="N31" s="34"/>
      <c r="O31" s="34"/>
      <c r="P31" s="34">
        <f t="shared" si="7"/>
        <v>4.5999999999999996</v>
      </c>
      <c r="Q31" s="34">
        <v>2</v>
      </c>
      <c r="R31" s="286">
        <f t="shared" si="8"/>
        <v>9.1999999999999993</v>
      </c>
      <c r="S31" s="287"/>
    </row>
    <row r="32" spans="1:19">
      <c r="A32" s="60" t="str">
        <f>'1. 소켓인수검사'!A31</f>
        <v>23</v>
      </c>
      <c r="B32" s="41">
        <f>'1. 소켓인수검사'!C31</f>
        <v>1300</v>
      </c>
      <c r="C32" s="41">
        <f>'1. 소켓인수검사'!D31</f>
        <v>800</v>
      </c>
      <c r="D32" s="64" t="s">
        <v>48</v>
      </c>
      <c r="E32" s="77">
        <f t="shared" si="12"/>
        <v>1.04</v>
      </c>
      <c r="F32" s="77">
        <f t="shared" si="13"/>
        <v>4.2</v>
      </c>
      <c r="G32" s="34">
        <f t="shared" si="6"/>
        <v>4.6000000000000005</v>
      </c>
      <c r="H32" s="41">
        <v>2</v>
      </c>
      <c r="I32" s="34">
        <f t="shared" si="9"/>
        <v>9.2000000000000011</v>
      </c>
      <c r="J32" s="34"/>
      <c r="K32" s="34"/>
      <c r="L32" s="34"/>
      <c r="M32" s="34"/>
      <c r="N32" s="34"/>
      <c r="O32" s="34"/>
      <c r="P32" s="34">
        <f t="shared" si="7"/>
        <v>4.7</v>
      </c>
      <c r="Q32" s="34">
        <v>2</v>
      </c>
      <c r="R32" s="286">
        <f t="shared" si="8"/>
        <v>9.4</v>
      </c>
      <c r="S32" s="287"/>
    </row>
    <row r="33" spans="1:19">
      <c r="A33" s="60" t="str">
        <f>'1. 소켓인수검사'!A32</f>
        <v>24</v>
      </c>
      <c r="B33" s="41">
        <f>'1. 소켓인수검사'!C32</f>
        <v>1600</v>
      </c>
      <c r="C33" s="41">
        <f>'1. 소켓인수검사'!D32</f>
        <v>600</v>
      </c>
      <c r="D33" s="64" t="s">
        <v>48</v>
      </c>
      <c r="E33" s="77">
        <f t="shared" si="12"/>
        <v>0.96</v>
      </c>
      <c r="F33" s="77">
        <f t="shared" si="13"/>
        <v>4.4000000000000004</v>
      </c>
      <c r="G33" s="34">
        <f t="shared" si="6"/>
        <v>4.8000000000000007</v>
      </c>
      <c r="H33" s="41">
        <v>2</v>
      </c>
      <c r="I33" s="34">
        <f t="shared" si="9"/>
        <v>9.6000000000000014</v>
      </c>
      <c r="J33" s="34"/>
      <c r="K33" s="34"/>
      <c r="L33" s="34"/>
      <c r="M33" s="34"/>
      <c r="N33" s="34"/>
      <c r="O33" s="34"/>
      <c r="P33" s="34">
        <f t="shared" si="7"/>
        <v>4.9000000000000004</v>
      </c>
      <c r="Q33" s="34">
        <v>2</v>
      </c>
      <c r="R33" s="286">
        <f t="shared" si="8"/>
        <v>9.8000000000000007</v>
      </c>
      <c r="S33" s="287"/>
    </row>
    <row r="34" spans="1:19">
      <c r="A34" s="60" t="str">
        <f>'1. 소켓인수검사'!A33</f>
        <v>25</v>
      </c>
      <c r="B34" s="41">
        <f>'1. 소켓인수검사'!C33</f>
        <v>2000</v>
      </c>
      <c r="C34" s="41">
        <f>'1. 소켓인수검사'!D33</f>
        <v>500</v>
      </c>
      <c r="D34" s="64" t="s">
        <v>48</v>
      </c>
      <c r="E34" s="77">
        <f t="shared" si="12"/>
        <v>1</v>
      </c>
      <c r="F34" s="77">
        <f t="shared" si="13"/>
        <v>5</v>
      </c>
      <c r="G34" s="34">
        <f t="shared" si="6"/>
        <v>5.4</v>
      </c>
      <c r="H34" s="41">
        <v>2</v>
      </c>
      <c r="I34" s="34">
        <f t="shared" si="9"/>
        <v>10.8</v>
      </c>
      <c r="J34" s="34"/>
      <c r="K34" s="34"/>
      <c r="L34" s="34"/>
      <c r="M34" s="34"/>
      <c r="N34" s="34"/>
      <c r="O34" s="34"/>
      <c r="P34" s="34">
        <f t="shared" si="7"/>
        <v>5.5</v>
      </c>
      <c r="Q34" s="34">
        <v>2</v>
      </c>
      <c r="R34" s="286">
        <f t="shared" si="8"/>
        <v>11</v>
      </c>
      <c r="S34" s="287"/>
    </row>
    <row r="35" spans="1:19">
      <c r="A35" s="60" t="str">
        <f>'1. 소켓인수검사'!A34</f>
        <v>26</v>
      </c>
      <c r="B35" s="41">
        <f>'1. 소켓인수검사'!C34</f>
        <v>2000</v>
      </c>
      <c r="C35" s="41">
        <f>'1. 소켓인수검사'!D34</f>
        <v>500</v>
      </c>
      <c r="D35" s="64" t="s">
        <v>48</v>
      </c>
      <c r="E35" s="77">
        <f t="shared" si="12"/>
        <v>1</v>
      </c>
      <c r="F35" s="77">
        <f t="shared" si="13"/>
        <v>5</v>
      </c>
      <c r="G35" s="34">
        <f t="shared" si="6"/>
        <v>5.4</v>
      </c>
      <c r="H35" s="41">
        <v>2</v>
      </c>
      <c r="I35" s="34">
        <f t="shared" si="9"/>
        <v>10.8</v>
      </c>
      <c r="J35" s="34"/>
      <c r="K35" s="34"/>
      <c r="L35" s="34"/>
      <c r="M35" s="34"/>
      <c r="N35" s="34"/>
      <c r="O35" s="34"/>
      <c r="P35" s="34">
        <f t="shared" si="7"/>
        <v>5.5</v>
      </c>
      <c r="Q35" s="34">
        <v>2</v>
      </c>
      <c r="R35" s="286">
        <f t="shared" si="8"/>
        <v>11</v>
      </c>
      <c r="S35" s="287"/>
    </row>
    <row r="36" spans="1:19">
      <c r="A36" s="288" t="s">
        <v>3</v>
      </c>
      <c r="B36" s="289"/>
      <c r="C36" s="289"/>
      <c r="D36" s="289"/>
      <c r="E36" s="289"/>
      <c r="F36" s="290"/>
      <c r="G36" s="39"/>
      <c r="H36" s="52"/>
      <c r="I36" s="85">
        <f>SUM(I10:I35)</f>
        <v>119</v>
      </c>
      <c r="J36" s="39"/>
      <c r="K36" s="39"/>
      <c r="L36" s="85">
        <f>SUM(L10:L35)</f>
        <v>0</v>
      </c>
      <c r="M36" s="39"/>
      <c r="N36" s="39"/>
      <c r="O36" s="85">
        <f>SUM(O10:O35)</f>
        <v>178</v>
      </c>
      <c r="P36" s="39"/>
      <c r="Q36" s="39"/>
      <c r="R36" s="291">
        <f>SUM(R10:S35)</f>
        <v>121.8</v>
      </c>
      <c r="S36" s="292"/>
    </row>
    <row r="37" spans="1:19" ht="17.25" customHeight="1">
      <c r="A37" s="295" t="s">
        <v>13</v>
      </c>
      <c r="B37" s="296"/>
      <c r="C37" s="296"/>
      <c r="D37" s="296"/>
      <c r="E37" s="296"/>
      <c r="F37" s="297"/>
      <c r="G37" s="298">
        <f>I36/20</f>
        <v>5.95</v>
      </c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300"/>
    </row>
    <row r="38" spans="1:19">
      <c r="A38" s="295" t="s">
        <v>12</v>
      </c>
      <c r="B38" s="296"/>
      <c r="C38" s="296"/>
      <c r="D38" s="296"/>
      <c r="E38" s="296"/>
      <c r="F38" s="297"/>
      <c r="G38" s="298">
        <f>L36/3.6</f>
        <v>0</v>
      </c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300"/>
    </row>
    <row r="39" spans="1:19">
      <c r="A39" s="301" t="s">
        <v>78</v>
      </c>
      <c r="B39" s="296"/>
      <c r="C39" s="296"/>
      <c r="D39" s="296"/>
      <c r="E39" s="296"/>
      <c r="F39" s="297"/>
      <c r="G39" s="298">
        <f>O36/7.4</f>
        <v>24.054054054054053</v>
      </c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300"/>
    </row>
    <row r="40" spans="1:19">
      <c r="A40" s="295" t="s">
        <v>14</v>
      </c>
      <c r="B40" s="296"/>
      <c r="C40" s="296"/>
      <c r="D40" s="296"/>
      <c r="E40" s="296"/>
      <c r="F40" s="297"/>
      <c r="G40" s="298">
        <f>R36/3.6</f>
        <v>33.833333333333329</v>
      </c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300"/>
    </row>
    <row r="41" spans="1:19" ht="8.1" customHeight="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</row>
    <row r="42" spans="1:19">
      <c r="A42" s="1" t="s">
        <v>47</v>
      </c>
      <c r="B42" s="1"/>
      <c r="C42" s="293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</row>
    <row r="43" spans="1:19">
      <c r="A43" s="1"/>
      <c r="B43" s="1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</row>
    <row r="44" spans="1:19">
      <c r="A44" s="1"/>
      <c r="B44" s="1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</row>
    <row r="45" spans="1:19">
      <c r="A45" s="1"/>
      <c r="B45" s="1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</row>
  </sheetData>
  <mergeCells count="65">
    <mergeCell ref="R35:S35"/>
    <mergeCell ref="A36:F36"/>
    <mergeCell ref="R36:S36"/>
    <mergeCell ref="A42:B45"/>
    <mergeCell ref="C42:S45"/>
    <mergeCell ref="A37:F37"/>
    <mergeCell ref="G37:S37"/>
    <mergeCell ref="A38:F38"/>
    <mergeCell ref="G38:S38"/>
    <mergeCell ref="A39:F39"/>
    <mergeCell ref="G39:S39"/>
    <mergeCell ref="A40:F40"/>
    <mergeCell ref="G40:S40"/>
    <mergeCell ref="A41:S41"/>
    <mergeCell ref="R30:S30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30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40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R50" sqref="R50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104" t="s">
        <v>8</v>
      </c>
      <c r="F1" s="306" t="s">
        <v>75</v>
      </c>
      <c r="G1" s="306"/>
      <c r="H1" s="306"/>
      <c r="I1" s="306"/>
      <c r="J1" s="306"/>
      <c r="K1" s="200" t="str">
        <f>'1. 소켓인수검사'!R2</f>
        <v>26.06.10 행복산업_덕신건업_롯데건설_인천 효성구역 도시개발 사업 공동주택(4BL) 2차분</v>
      </c>
      <c r="L1" s="200"/>
      <c r="M1" s="200"/>
      <c r="N1" s="200"/>
      <c r="O1" s="200"/>
      <c r="P1" s="200"/>
      <c r="Q1" s="200"/>
      <c r="R1" s="200"/>
      <c r="S1" s="200"/>
      <c r="T1" s="200"/>
      <c r="U1" s="201"/>
    </row>
    <row r="2" spans="1:21" ht="16.5" customHeight="1">
      <c r="A2" s="1"/>
      <c r="B2" s="1"/>
      <c r="C2" s="1"/>
      <c r="D2" s="1"/>
      <c r="E2" s="103"/>
      <c r="F2" s="307"/>
      <c r="G2" s="307"/>
      <c r="H2" s="307"/>
      <c r="I2" s="307"/>
      <c r="J2" s="307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3"/>
    </row>
    <row r="3" spans="1:21" ht="24" customHeight="1">
      <c r="A3" s="1"/>
      <c r="B3" s="1"/>
      <c r="C3" s="1"/>
      <c r="D3" s="1"/>
      <c r="E3" s="105"/>
      <c r="F3" s="308"/>
      <c r="G3" s="308"/>
      <c r="H3" s="308"/>
      <c r="I3" s="308"/>
      <c r="J3" s="308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5"/>
    </row>
    <row r="4" spans="1:21" ht="8.1" customHeight="1">
      <c r="A4" s="187"/>
      <c r="B4" s="188"/>
      <c r="C4" s="188"/>
      <c r="D4" s="188"/>
      <c r="E4" s="188"/>
      <c r="F4" s="188"/>
      <c r="G4" s="188"/>
      <c r="H4" s="187"/>
      <c r="I4" s="188"/>
      <c r="J4" s="188"/>
      <c r="K4" s="188"/>
      <c r="L4" s="188"/>
      <c r="M4" s="188"/>
      <c r="N4" s="188"/>
      <c r="O4" s="188"/>
      <c r="P4" s="188"/>
      <c r="Q4" s="3"/>
      <c r="S4" s="3"/>
      <c r="T4" s="3"/>
      <c r="U4" s="3"/>
    </row>
    <row r="5" spans="1:21" ht="16.5" customHeight="1">
      <c r="A5" s="130" t="s">
        <v>59</v>
      </c>
      <c r="B5" s="318" t="s">
        <v>37</v>
      </c>
      <c r="C5" s="282" t="s">
        <v>66</v>
      </c>
      <c r="D5" s="282" t="s">
        <v>64</v>
      </c>
      <c r="E5" s="282" t="s">
        <v>25</v>
      </c>
      <c r="F5" s="282" t="s">
        <v>54</v>
      </c>
      <c r="G5" s="282" t="s">
        <v>61</v>
      </c>
      <c r="H5" s="282" t="s">
        <v>41</v>
      </c>
      <c r="I5" s="282" t="s">
        <v>24</v>
      </c>
      <c r="J5" s="282"/>
      <c r="K5" s="282" t="s">
        <v>0</v>
      </c>
      <c r="L5" s="282"/>
      <c r="M5" s="282" t="s">
        <v>0</v>
      </c>
      <c r="N5" s="282"/>
      <c r="O5" s="282" t="s">
        <v>0</v>
      </c>
      <c r="P5" s="282"/>
      <c r="Q5" s="320" t="s">
        <v>53</v>
      </c>
      <c r="R5" s="320"/>
      <c r="S5" s="321" t="s">
        <v>31</v>
      </c>
      <c r="T5" s="321" t="s">
        <v>58</v>
      </c>
      <c r="U5" s="302" t="s">
        <v>18</v>
      </c>
    </row>
    <row r="6" spans="1:21" ht="26.45" customHeight="1">
      <c r="A6" s="281"/>
      <c r="B6" s="319"/>
      <c r="C6" s="283"/>
      <c r="D6" s="283"/>
      <c r="E6" s="283"/>
      <c r="F6" s="283"/>
      <c r="G6" s="283"/>
      <c r="H6" s="283"/>
      <c r="I6" s="81" t="s">
        <v>9</v>
      </c>
      <c r="J6" s="40" t="s">
        <v>57</v>
      </c>
      <c r="K6" s="81" t="s">
        <v>76</v>
      </c>
      <c r="L6" s="40" t="s">
        <v>57</v>
      </c>
      <c r="M6" s="81" t="s">
        <v>36</v>
      </c>
      <c r="N6" s="40" t="s">
        <v>57</v>
      </c>
      <c r="O6" s="81" t="s">
        <v>38</v>
      </c>
      <c r="P6" s="40" t="s">
        <v>57</v>
      </c>
      <c r="Q6" s="81" t="s">
        <v>55</v>
      </c>
      <c r="R6" s="40" t="s">
        <v>67</v>
      </c>
      <c r="S6" s="322"/>
      <c r="T6" s="322"/>
      <c r="U6" s="303"/>
    </row>
    <row r="7" spans="1:21">
      <c r="A7" s="60" t="str">
        <f>'1. 소켓인수검사'!A9</f>
        <v>01</v>
      </c>
      <c r="B7" s="82" t="s">
        <v>40</v>
      </c>
      <c r="C7" s="41">
        <f>'1. 소켓인수검사'!C9</f>
        <v>600</v>
      </c>
      <c r="D7" s="41">
        <f>'1. 소켓인수검사'!D9</f>
        <v>750</v>
      </c>
      <c r="E7" s="42"/>
      <c r="F7" s="43">
        <f t="shared" ref="F7:F18" si="0">C7*D7/1000000</f>
        <v>0.45</v>
      </c>
      <c r="G7" s="43">
        <f t="shared" ref="G7:G18" si="1">(C7+D7)*2/1000</f>
        <v>2.7</v>
      </c>
      <c r="H7" s="48">
        <v>1</v>
      </c>
      <c r="I7" s="81"/>
      <c r="J7" s="40"/>
      <c r="K7" s="34">
        <f t="shared" ref="K7:K18" si="2">G7+0.5</f>
        <v>3.2</v>
      </c>
      <c r="L7" s="40">
        <v>4</v>
      </c>
      <c r="M7" s="34"/>
      <c r="N7" s="40"/>
      <c r="O7" s="34"/>
      <c r="P7" s="40"/>
      <c r="Q7" s="44">
        <f t="shared" ref="Q7:Q18" si="3">(((C7+60)+250+(D7+60))*2/1000)*2</f>
        <v>6.88</v>
      </c>
      <c r="R7" s="118">
        <f t="shared" ref="R7:R18" si="4">Q7</f>
        <v>6.88</v>
      </c>
      <c r="S7" s="45" t="s">
        <v>44</v>
      </c>
      <c r="T7" s="46" t="s">
        <v>6</v>
      </c>
      <c r="U7" s="47" t="str">
        <f>'1. 소켓인수검사'!G9</f>
        <v>8동 1번</v>
      </c>
    </row>
    <row r="8" spans="1:21">
      <c r="A8" s="60" t="str">
        <f>'1. 소켓인수검사'!A10</f>
        <v>02</v>
      </c>
      <c r="B8" s="82" t="s">
        <v>40</v>
      </c>
      <c r="C8" s="41">
        <f>'1. 소켓인수검사'!C10</f>
        <v>600</v>
      </c>
      <c r="D8" s="41">
        <f>'1. 소켓인수검사'!D10</f>
        <v>750</v>
      </c>
      <c r="E8" s="42"/>
      <c r="F8" s="43">
        <f t="shared" si="0"/>
        <v>0.45</v>
      </c>
      <c r="G8" s="43">
        <f t="shared" si="1"/>
        <v>2.7</v>
      </c>
      <c r="H8" s="48">
        <v>1</v>
      </c>
      <c r="I8" s="81"/>
      <c r="J8" s="40"/>
      <c r="K8" s="34">
        <f t="shared" si="2"/>
        <v>3.2</v>
      </c>
      <c r="L8" s="40">
        <v>4</v>
      </c>
      <c r="M8" s="34"/>
      <c r="N8" s="40"/>
      <c r="O8" s="34"/>
      <c r="P8" s="40"/>
      <c r="Q8" s="44">
        <f t="shared" si="3"/>
        <v>6.88</v>
      </c>
      <c r="R8" s="118">
        <f t="shared" si="4"/>
        <v>6.88</v>
      </c>
      <c r="S8" s="45" t="s">
        <v>44</v>
      </c>
      <c r="T8" s="46" t="s">
        <v>6</v>
      </c>
      <c r="U8" s="47" t="str">
        <f>'1. 소켓인수검사'!G10</f>
        <v>8동 1번</v>
      </c>
    </row>
    <row r="9" spans="1:21">
      <c r="A9" s="60" t="str">
        <f>'1. 소켓인수검사'!A11</f>
        <v>03</v>
      </c>
      <c r="B9" s="82" t="s">
        <v>40</v>
      </c>
      <c r="C9" s="41">
        <f>'1. 소켓인수검사'!C11</f>
        <v>600</v>
      </c>
      <c r="D9" s="41">
        <f>'1. 소켓인수검사'!D11</f>
        <v>750</v>
      </c>
      <c r="E9" s="42"/>
      <c r="F9" s="43">
        <f t="shared" si="0"/>
        <v>0.45</v>
      </c>
      <c r="G9" s="43">
        <f t="shared" si="1"/>
        <v>2.7</v>
      </c>
      <c r="H9" s="48">
        <v>1</v>
      </c>
      <c r="I9" s="81"/>
      <c r="J9" s="40"/>
      <c r="K9" s="34">
        <f t="shared" si="2"/>
        <v>3.2</v>
      </c>
      <c r="L9" s="40">
        <v>4</v>
      </c>
      <c r="M9" s="34"/>
      <c r="N9" s="40"/>
      <c r="O9" s="34"/>
      <c r="P9" s="40"/>
      <c r="Q9" s="44">
        <f t="shared" si="3"/>
        <v>6.88</v>
      </c>
      <c r="R9" s="118">
        <f t="shared" si="4"/>
        <v>6.88</v>
      </c>
      <c r="S9" s="45" t="s">
        <v>44</v>
      </c>
      <c r="T9" s="46" t="s">
        <v>6</v>
      </c>
      <c r="U9" s="47" t="str">
        <f>'1. 소켓인수검사'!G11</f>
        <v>8동 1번</v>
      </c>
    </row>
    <row r="10" spans="1:21">
      <c r="A10" s="60" t="str">
        <f>'1. 소켓인수검사'!A12</f>
        <v>04</v>
      </c>
      <c r="B10" s="82" t="s">
        <v>40</v>
      </c>
      <c r="C10" s="41">
        <f>'1. 소켓인수검사'!C12</f>
        <v>800</v>
      </c>
      <c r="D10" s="41">
        <f>'1. 소켓인수검사'!D12</f>
        <v>850</v>
      </c>
      <c r="E10" s="42"/>
      <c r="F10" s="43">
        <f t="shared" si="0"/>
        <v>0.68</v>
      </c>
      <c r="G10" s="43">
        <f t="shared" si="1"/>
        <v>3.3</v>
      </c>
      <c r="H10" s="48">
        <v>1</v>
      </c>
      <c r="I10" s="81"/>
      <c r="J10" s="40"/>
      <c r="K10" s="34">
        <f t="shared" si="2"/>
        <v>3.8</v>
      </c>
      <c r="L10" s="40">
        <v>4</v>
      </c>
      <c r="M10" s="34"/>
      <c r="N10" s="40"/>
      <c r="O10" s="34"/>
      <c r="P10" s="40"/>
      <c r="Q10" s="44">
        <f t="shared" si="3"/>
        <v>8.08</v>
      </c>
      <c r="R10" s="118">
        <f t="shared" si="4"/>
        <v>8.08</v>
      </c>
      <c r="S10" s="45" t="s">
        <v>44</v>
      </c>
      <c r="T10" s="46" t="s">
        <v>6</v>
      </c>
      <c r="U10" s="47" t="str">
        <f>'1. 소켓인수검사'!G12</f>
        <v>5동 1번</v>
      </c>
    </row>
    <row r="11" spans="1:21">
      <c r="A11" s="60" t="str">
        <f>'1. 소켓인수검사'!A13</f>
        <v>05</v>
      </c>
      <c r="B11" s="82" t="s">
        <v>40</v>
      </c>
      <c r="C11" s="41">
        <f>'1. 소켓인수검사'!C13</f>
        <v>800</v>
      </c>
      <c r="D11" s="41">
        <f>'1. 소켓인수검사'!D13</f>
        <v>850</v>
      </c>
      <c r="E11" s="42"/>
      <c r="F11" s="43">
        <f t="shared" si="0"/>
        <v>0.68</v>
      </c>
      <c r="G11" s="43">
        <f t="shared" si="1"/>
        <v>3.3</v>
      </c>
      <c r="H11" s="48">
        <v>1</v>
      </c>
      <c r="I11" s="81"/>
      <c r="J11" s="40"/>
      <c r="K11" s="34">
        <f t="shared" si="2"/>
        <v>3.8</v>
      </c>
      <c r="L11" s="40">
        <v>4</v>
      </c>
      <c r="M11" s="34"/>
      <c r="N11" s="40"/>
      <c r="O11" s="34"/>
      <c r="P11" s="40"/>
      <c r="Q11" s="44">
        <f t="shared" si="3"/>
        <v>8.08</v>
      </c>
      <c r="R11" s="118">
        <f t="shared" si="4"/>
        <v>8.08</v>
      </c>
      <c r="S11" s="45" t="s">
        <v>44</v>
      </c>
      <c r="T11" s="46" t="s">
        <v>6</v>
      </c>
      <c r="U11" s="47" t="str">
        <f>'1. 소켓인수검사'!G13</f>
        <v>5동 1번</v>
      </c>
    </row>
    <row r="12" spans="1:21">
      <c r="A12" s="60" t="str">
        <f>'1. 소켓인수검사'!A14</f>
        <v>06</v>
      </c>
      <c r="B12" s="82" t="s">
        <v>40</v>
      </c>
      <c r="C12" s="41">
        <f>'1. 소켓인수검사'!C14</f>
        <v>800</v>
      </c>
      <c r="D12" s="41">
        <f>'1. 소켓인수검사'!D14</f>
        <v>850</v>
      </c>
      <c r="E12" s="42"/>
      <c r="F12" s="43">
        <f t="shared" si="0"/>
        <v>0.68</v>
      </c>
      <c r="G12" s="43">
        <f t="shared" si="1"/>
        <v>3.3</v>
      </c>
      <c r="H12" s="48">
        <v>1</v>
      </c>
      <c r="I12" s="81"/>
      <c r="J12" s="40"/>
      <c r="K12" s="34">
        <f t="shared" si="2"/>
        <v>3.8</v>
      </c>
      <c r="L12" s="40">
        <v>4</v>
      </c>
      <c r="M12" s="34"/>
      <c r="N12" s="40"/>
      <c r="O12" s="34"/>
      <c r="P12" s="40"/>
      <c r="Q12" s="44">
        <f t="shared" si="3"/>
        <v>8.08</v>
      </c>
      <c r="R12" s="118">
        <f t="shared" si="4"/>
        <v>8.08</v>
      </c>
      <c r="S12" s="45" t="s">
        <v>44</v>
      </c>
      <c r="T12" s="46" t="s">
        <v>6</v>
      </c>
      <c r="U12" s="47" t="str">
        <f>'1. 소켓인수검사'!G14</f>
        <v>5동 1번</v>
      </c>
    </row>
    <row r="13" spans="1:21">
      <c r="A13" s="60" t="str">
        <f>'1. 소켓인수검사'!A15</f>
        <v>07</v>
      </c>
      <c r="B13" s="82" t="s">
        <v>40</v>
      </c>
      <c r="C13" s="41">
        <f>'1. 소켓인수검사'!C15</f>
        <v>1200</v>
      </c>
      <c r="D13" s="41">
        <f>'1. 소켓인수검사'!D15</f>
        <v>500</v>
      </c>
      <c r="E13" s="42"/>
      <c r="F13" s="43">
        <f t="shared" si="0"/>
        <v>0.6</v>
      </c>
      <c r="G13" s="43">
        <f t="shared" si="1"/>
        <v>3.4</v>
      </c>
      <c r="H13" s="48">
        <v>1</v>
      </c>
      <c r="I13" s="81"/>
      <c r="J13" s="40"/>
      <c r="K13" s="34">
        <f t="shared" si="2"/>
        <v>3.9</v>
      </c>
      <c r="L13" s="40">
        <v>4</v>
      </c>
      <c r="M13" s="34"/>
      <c r="N13" s="40"/>
      <c r="O13" s="34"/>
      <c r="P13" s="40"/>
      <c r="Q13" s="44">
        <f t="shared" si="3"/>
        <v>8.2799999999999994</v>
      </c>
      <c r="R13" s="118">
        <f t="shared" si="4"/>
        <v>8.2799999999999994</v>
      </c>
      <c r="S13" s="45" t="s">
        <v>44</v>
      </c>
      <c r="T13" s="46" t="s">
        <v>6</v>
      </c>
      <c r="U13" s="47" t="str">
        <f>'1. 소켓인수검사'!G15</f>
        <v>8동 1번</v>
      </c>
    </row>
    <row r="14" spans="1:21">
      <c r="A14" s="60" t="str">
        <f>'1. 소켓인수검사'!A16</f>
        <v>08</v>
      </c>
      <c r="B14" s="82" t="s">
        <v>40</v>
      </c>
      <c r="C14" s="41">
        <f>'1. 소켓인수검사'!C16</f>
        <v>1300</v>
      </c>
      <c r="D14" s="41">
        <f>'1. 소켓인수검사'!D16</f>
        <v>400</v>
      </c>
      <c r="E14" s="42"/>
      <c r="F14" s="43">
        <f t="shared" si="0"/>
        <v>0.52</v>
      </c>
      <c r="G14" s="43">
        <f t="shared" si="1"/>
        <v>3.4</v>
      </c>
      <c r="H14" s="48">
        <v>1</v>
      </c>
      <c r="I14" s="81"/>
      <c r="J14" s="40"/>
      <c r="K14" s="34">
        <f t="shared" si="2"/>
        <v>3.9</v>
      </c>
      <c r="L14" s="40">
        <v>4</v>
      </c>
      <c r="M14" s="34"/>
      <c r="N14" s="40"/>
      <c r="O14" s="34"/>
      <c r="P14" s="40"/>
      <c r="Q14" s="44">
        <f t="shared" si="3"/>
        <v>8.2799999999999994</v>
      </c>
      <c r="R14" s="118">
        <f t="shared" si="4"/>
        <v>8.2799999999999994</v>
      </c>
      <c r="S14" s="45" t="s">
        <v>44</v>
      </c>
      <c r="T14" s="46" t="s">
        <v>6</v>
      </c>
      <c r="U14" s="47" t="str">
        <f>'1. 소켓인수검사'!G16</f>
        <v>5동 2번</v>
      </c>
    </row>
    <row r="15" spans="1:21">
      <c r="A15" s="60" t="str">
        <f>'1. 소켓인수검사'!A17</f>
        <v>09</v>
      </c>
      <c r="B15" s="82" t="s">
        <v>40</v>
      </c>
      <c r="C15" s="41">
        <f>'1. 소켓인수검사'!C17</f>
        <v>1300</v>
      </c>
      <c r="D15" s="41">
        <f>'1. 소켓인수검사'!D17</f>
        <v>400</v>
      </c>
      <c r="E15" s="42"/>
      <c r="F15" s="43">
        <f t="shared" si="0"/>
        <v>0.52</v>
      </c>
      <c r="G15" s="43">
        <f t="shared" si="1"/>
        <v>3.4</v>
      </c>
      <c r="H15" s="48">
        <v>1</v>
      </c>
      <c r="I15" s="81"/>
      <c r="J15" s="40"/>
      <c r="K15" s="34">
        <f t="shared" si="2"/>
        <v>3.9</v>
      </c>
      <c r="L15" s="40">
        <v>4</v>
      </c>
      <c r="M15" s="34"/>
      <c r="N15" s="40"/>
      <c r="O15" s="34"/>
      <c r="P15" s="40"/>
      <c r="Q15" s="44">
        <f t="shared" si="3"/>
        <v>8.2799999999999994</v>
      </c>
      <c r="R15" s="118">
        <f t="shared" si="4"/>
        <v>8.2799999999999994</v>
      </c>
      <c r="S15" s="45" t="s">
        <v>44</v>
      </c>
      <c r="T15" s="46" t="s">
        <v>6</v>
      </c>
      <c r="U15" s="47" t="str">
        <f>'1. 소켓인수검사'!G17</f>
        <v>5동 2번</v>
      </c>
    </row>
    <row r="16" spans="1:21">
      <c r="A16" s="60" t="str">
        <f>'1. 소켓인수검사'!A18</f>
        <v>10</v>
      </c>
      <c r="B16" s="82" t="s">
        <v>40</v>
      </c>
      <c r="C16" s="41">
        <f>'1. 소켓인수검사'!C18</f>
        <v>1300</v>
      </c>
      <c r="D16" s="41">
        <f>'1. 소켓인수검사'!D18</f>
        <v>400</v>
      </c>
      <c r="E16" s="42"/>
      <c r="F16" s="43">
        <f t="shared" si="0"/>
        <v>0.52</v>
      </c>
      <c r="G16" s="43">
        <f t="shared" si="1"/>
        <v>3.4</v>
      </c>
      <c r="H16" s="48">
        <v>1</v>
      </c>
      <c r="I16" s="81"/>
      <c r="J16" s="40"/>
      <c r="K16" s="34">
        <f t="shared" si="2"/>
        <v>3.9</v>
      </c>
      <c r="L16" s="40">
        <v>4</v>
      </c>
      <c r="M16" s="34"/>
      <c r="N16" s="40"/>
      <c r="O16" s="34"/>
      <c r="P16" s="40"/>
      <c r="Q16" s="44">
        <f t="shared" si="3"/>
        <v>8.2799999999999994</v>
      </c>
      <c r="R16" s="118">
        <f t="shared" si="4"/>
        <v>8.2799999999999994</v>
      </c>
      <c r="S16" s="45" t="s">
        <v>44</v>
      </c>
      <c r="T16" s="46" t="s">
        <v>6</v>
      </c>
      <c r="U16" s="47" t="str">
        <f>'1. 소켓인수검사'!G18</f>
        <v>5동 2번</v>
      </c>
    </row>
    <row r="17" spans="1:21">
      <c r="A17" s="60" t="str">
        <f>'1. 소켓인수검사'!A19</f>
        <v>11</v>
      </c>
      <c r="B17" s="82" t="s">
        <v>40</v>
      </c>
      <c r="C17" s="41">
        <f>'1. 소켓인수검사'!C19</f>
        <v>1300</v>
      </c>
      <c r="D17" s="41">
        <f>'1. 소켓인수검사'!D19</f>
        <v>400</v>
      </c>
      <c r="E17" s="42"/>
      <c r="F17" s="43">
        <f t="shared" si="0"/>
        <v>0.52</v>
      </c>
      <c r="G17" s="43">
        <f t="shared" si="1"/>
        <v>3.4</v>
      </c>
      <c r="H17" s="48">
        <v>1</v>
      </c>
      <c r="I17" s="81"/>
      <c r="J17" s="40"/>
      <c r="K17" s="34">
        <f t="shared" si="2"/>
        <v>3.9</v>
      </c>
      <c r="L17" s="40">
        <v>4</v>
      </c>
      <c r="M17" s="34"/>
      <c r="N17" s="40"/>
      <c r="O17" s="34"/>
      <c r="P17" s="40"/>
      <c r="Q17" s="44">
        <f t="shared" si="3"/>
        <v>8.2799999999999994</v>
      </c>
      <c r="R17" s="118">
        <f t="shared" si="4"/>
        <v>8.2799999999999994</v>
      </c>
      <c r="S17" s="45" t="s">
        <v>44</v>
      </c>
      <c r="T17" s="46" t="s">
        <v>6</v>
      </c>
      <c r="U17" s="47" t="str">
        <f>'1. 소켓인수검사'!G19</f>
        <v>5동 2번</v>
      </c>
    </row>
    <row r="18" spans="1:21">
      <c r="A18" s="60" t="str">
        <f>'1. 소켓인수검사'!A20</f>
        <v>12</v>
      </c>
      <c r="B18" s="82" t="s">
        <v>40</v>
      </c>
      <c r="C18" s="41">
        <f>'1. 소켓인수검사'!C20</f>
        <v>1300</v>
      </c>
      <c r="D18" s="41">
        <f>'1. 소켓인수검사'!D20</f>
        <v>450</v>
      </c>
      <c r="E18" s="42"/>
      <c r="F18" s="43">
        <f t="shared" si="0"/>
        <v>0.58499999999999996</v>
      </c>
      <c r="G18" s="43">
        <f t="shared" si="1"/>
        <v>3.5</v>
      </c>
      <c r="H18" s="48">
        <v>1</v>
      </c>
      <c r="I18" s="81"/>
      <c r="J18" s="40"/>
      <c r="K18" s="34">
        <f t="shared" si="2"/>
        <v>4</v>
      </c>
      <c r="L18" s="40">
        <v>4</v>
      </c>
      <c r="M18" s="34"/>
      <c r="N18" s="40"/>
      <c r="O18" s="34"/>
      <c r="P18" s="40"/>
      <c r="Q18" s="44">
        <f t="shared" si="3"/>
        <v>8.48</v>
      </c>
      <c r="R18" s="118">
        <f t="shared" si="4"/>
        <v>8.48</v>
      </c>
      <c r="S18" s="45" t="s">
        <v>44</v>
      </c>
      <c r="T18" s="46" t="s">
        <v>6</v>
      </c>
      <c r="U18" s="47" t="str">
        <f>'1. 소켓인수검사'!G20</f>
        <v>8동 2번</v>
      </c>
    </row>
    <row r="19" spans="1:21">
      <c r="A19" s="60" t="str">
        <f>'1. 소켓인수검사'!A21</f>
        <v>13</v>
      </c>
      <c r="B19" s="82" t="s">
        <v>40</v>
      </c>
      <c r="C19" s="41">
        <f>'1. 소켓인수검사'!C21</f>
        <v>750</v>
      </c>
      <c r="D19" s="41">
        <f>'1. 소켓인수검사'!D21</f>
        <v>900</v>
      </c>
      <c r="E19" s="42"/>
      <c r="F19" s="43">
        <f t="shared" ref="F19:F32" si="5">C19*D19/1000000</f>
        <v>0.67500000000000004</v>
      </c>
      <c r="G19" s="43">
        <f t="shared" ref="G19:G32" si="6">(C19+D19)*2/1000</f>
        <v>3.3</v>
      </c>
      <c r="H19" s="48">
        <v>2</v>
      </c>
      <c r="I19" s="81">
        <f t="shared" ref="I19:I32" si="7">(G19+0.4)</f>
        <v>3.6999999999999997</v>
      </c>
      <c r="J19" s="49">
        <v>2</v>
      </c>
      <c r="K19" s="34"/>
      <c r="L19" s="40"/>
      <c r="M19" s="34"/>
      <c r="N19" s="40"/>
      <c r="O19" s="81">
        <f t="shared" ref="O19:O32" si="8">(G19+0.5)</f>
        <v>3.8</v>
      </c>
      <c r="P19" s="49">
        <v>2</v>
      </c>
      <c r="Q19" s="44">
        <f t="shared" ref="Q19:Q32" si="9">(((C19+60)+250+(D19+60))*2/1000)*2</f>
        <v>8.08</v>
      </c>
      <c r="R19" s="118">
        <f t="shared" ref="R19:R32" si="10">Q19</f>
        <v>8.08</v>
      </c>
      <c r="S19" s="50" t="s">
        <v>43</v>
      </c>
      <c r="T19" s="51" t="s">
        <v>7</v>
      </c>
      <c r="U19" s="47" t="str">
        <f>'1. 소켓인수검사'!G21</f>
        <v>8동 2번</v>
      </c>
    </row>
    <row r="20" spans="1:21">
      <c r="A20" s="60" t="str">
        <f>'1. 소켓인수검사'!A22</f>
        <v>14</v>
      </c>
      <c r="B20" s="82" t="s">
        <v>40</v>
      </c>
      <c r="C20" s="41">
        <f>'1. 소켓인수검사'!C22</f>
        <v>750</v>
      </c>
      <c r="D20" s="41">
        <f>'1. 소켓인수검사'!D22</f>
        <v>900</v>
      </c>
      <c r="E20" s="42"/>
      <c r="F20" s="43">
        <f t="shared" si="5"/>
        <v>0.67500000000000004</v>
      </c>
      <c r="G20" s="43">
        <f t="shared" si="6"/>
        <v>3.3</v>
      </c>
      <c r="H20" s="48">
        <v>2</v>
      </c>
      <c r="I20" s="81">
        <f t="shared" si="7"/>
        <v>3.6999999999999997</v>
      </c>
      <c r="J20" s="49">
        <v>2</v>
      </c>
      <c r="K20" s="34"/>
      <c r="L20" s="40"/>
      <c r="M20" s="34"/>
      <c r="N20" s="40"/>
      <c r="O20" s="81">
        <f t="shared" si="8"/>
        <v>3.8</v>
      </c>
      <c r="P20" s="49">
        <v>2</v>
      </c>
      <c r="Q20" s="44">
        <f t="shared" si="9"/>
        <v>8.08</v>
      </c>
      <c r="R20" s="118">
        <f t="shared" si="10"/>
        <v>8.08</v>
      </c>
      <c r="S20" s="50" t="s">
        <v>43</v>
      </c>
      <c r="T20" s="51" t="s">
        <v>7</v>
      </c>
      <c r="U20" s="47" t="str">
        <f>'1. 소켓인수검사'!G22</f>
        <v>8동 2번</v>
      </c>
    </row>
    <row r="21" spans="1:21">
      <c r="A21" s="60" t="str">
        <f>'1. 소켓인수검사'!A23</f>
        <v>15</v>
      </c>
      <c r="B21" s="82" t="s">
        <v>40</v>
      </c>
      <c r="C21" s="41">
        <f>'1. 소켓인수검사'!C23</f>
        <v>750</v>
      </c>
      <c r="D21" s="41">
        <f>'1. 소켓인수검사'!D23</f>
        <v>900</v>
      </c>
      <c r="E21" s="42"/>
      <c r="F21" s="43">
        <f t="shared" si="5"/>
        <v>0.67500000000000004</v>
      </c>
      <c r="G21" s="43">
        <f t="shared" si="6"/>
        <v>3.3</v>
      </c>
      <c r="H21" s="48">
        <v>2</v>
      </c>
      <c r="I21" s="81">
        <f t="shared" si="7"/>
        <v>3.6999999999999997</v>
      </c>
      <c r="J21" s="49">
        <v>2</v>
      </c>
      <c r="K21" s="34"/>
      <c r="L21" s="40"/>
      <c r="M21" s="34"/>
      <c r="N21" s="40"/>
      <c r="O21" s="81">
        <f t="shared" si="8"/>
        <v>3.8</v>
      </c>
      <c r="P21" s="49">
        <v>2</v>
      </c>
      <c r="Q21" s="44">
        <f t="shared" si="9"/>
        <v>8.08</v>
      </c>
      <c r="R21" s="118">
        <f t="shared" si="10"/>
        <v>8.08</v>
      </c>
      <c r="S21" s="50" t="s">
        <v>43</v>
      </c>
      <c r="T21" s="51" t="s">
        <v>7</v>
      </c>
      <c r="U21" s="47" t="str">
        <f>'1. 소켓인수검사'!G23</f>
        <v>8동 2번</v>
      </c>
    </row>
    <row r="22" spans="1:21">
      <c r="A22" s="60" t="str">
        <f>'1. 소켓인수검사'!A24</f>
        <v>16</v>
      </c>
      <c r="B22" s="82" t="s">
        <v>40</v>
      </c>
      <c r="C22" s="41">
        <f>'1. 소켓인수검사'!C24</f>
        <v>800</v>
      </c>
      <c r="D22" s="41">
        <f>'1. 소켓인수검사'!D24</f>
        <v>900</v>
      </c>
      <c r="E22" s="42"/>
      <c r="F22" s="43">
        <f t="shared" si="5"/>
        <v>0.72</v>
      </c>
      <c r="G22" s="43">
        <f t="shared" si="6"/>
        <v>3.4</v>
      </c>
      <c r="H22" s="48">
        <v>2</v>
      </c>
      <c r="I22" s="81">
        <f t="shared" si="7"/>
        <v>3.8</v>
      </c>
      <c r="J22" s="49">
        <v>2</v>
      </c>
      <c r="K22" s="34"/>
      <c r="L22" s="40"/>
      <c r="M22" s="34"/>
      <c r="N22" s="40"/>
      <c r="O22" s="81">
        <f t="shared" si="8"/>
        <v>3.9</v>
      </c>
      <c r="P22" s="49">
        <v>2</v>
      </c>
      <c r="Q22" s="44">
        <f t="shared" si="9"/>
        <v>8.2799999999999994</v>
      </c>
      <c r="R22" s="118">
        <f t="shared" si="10"/>
        <v>8.2799999999999994</v>
      </c>
      <c r="S22" s="50" t="s">
        <v>43</v>
      </c>
      <c r="T22" s="51" t="s">
        <v>7</v>
      </c>
      <c r="U22" s="47" t="str">
        <f>'1. 소켓인수검사'!G24</f>
        <v>6동 2번</v>
      </c>
    </row>
    <row r="23" spans="1:21">
      <c r="A23" s="60" t="str">
        <f>'1. 소켓인수검사'!A25</f>
        <v>17</v>
      </c>
      <c r="B23" s="82" t="s">
        <v>40</v>
      </c>
      <c r="C23" s="41">
        <f>'1. 소켓인수검사'!C25</f>
        <v>800</v>
      </c>
      <c r="D23" s="41">
        <f>'1. 소켓인수검사'!D25</f>
        <v>900</v>
      </c>
      <c r="E23" s="42"/>
      <c r="F23" s="43">
        <f t="shared" si="5"/>
        <v>0.72</v>
      </c>
      <c r="G23" s="43">
        <f t="shared" si="6"/>
        <v>3.4</v>
      </c>
      <c r="H23" s="48">
        <v>2</v>
      </c>
      <c r="I23" s="81">
        <f t="shared" si="7"/>
        <v>3.8</v>
      </c>
      <c r="J23" s="49">
        <v>2</v>
      </c>
      <c r="K23" s="34"/>
      <c r="L23" s="40"/>
      <c r="M23" s="34"/>
      <c r="N23" s="40"/>
      <c r="O23" s="81">
        <f t="shared" si="8"/>
        <v>3.9</v>
      </c>
      <c r="P23" s="49">
        <v>2</v>
      </c>
      <c r="Q23" s="44">
        <f t="shared" si="9"/>
        <v>8.2799999999999994</v>
      </c>
      <c r="R23" s="118">
        <f t="shared" si="10"/>
        <v>8.2799999999999994</v>
      </c>
      <c r="S23" s="50" t="s">
        <v>43</v>
      </c>
      <c r="T23" s="51" t="s">
        <v>7</v>
      </c>
      <c r="U23" s="47" t="str">
        <f>'1. 소켓인수검사'!G25</f>
        <v>6동 2번</v>
      </c>
    </row>
    <row r="24" spans="1:21">
      <c r="A24" s="60" t="str">
        <f>'1. 소켓인수검사'!A26</f>
        <v>18</v>
      </c>
      <c r="B24" s="82" t="s">
        <v>40</v>
      </c>
      <c r="C24" s="41">
        <f>'1. 소켓인수검사'!C26</f>
        <v>800</v>
      </c>
      <c r="D24" s="41">
        <f>'1. 소켓인수검사'!D26</f>
        <v>900</v>
      </c>
      <c r="E24" s="42"/>
      <c r="F24" s="43">
        <f t="shared" si="5"/>
        <v>0.72</v>
      </c>
      <c r="G24" s="43">
        <f t="shared" si="6"/>
        <v>3.4</v>
      </c>
      <c r="H24" s="48">
        <v>2</v>
      </c>
      <c r="I24" s="81">
        <f t="shared" si="7"/>
        <v>3.8</v>
      </c>
      <c r="J24" s="49">
        <v>2</v>
      </c>
      <c r="K24" s="34"/>
      <c r="L24" s="40"/>
      <c r="M24" s="34"/>
      <c r="N24" s="40"/>
      <c r="O24" s="81">
        <f t="shared" si="8"/>
        <v>3.9</v>
      </c>
      <c r="P24" s="49">
        <v>2</v>
      </c>
      <c r="Q24" s="44">
        <f t="shared" si="9"/>
        <v>8.2799999999999994</v>
      </c>
      <c r="R24" s="118">
        <f t="shared" si="10"/>
        <v>8.2799999999999994</v>
      </c>
      <c r="S24" s="50" t="s">
        <v>43</v>
      </c>
      <c r="T24" s="51" t="s">
        <v>7</v>
      </c>
      <c r="U24" s="47" t="str">
        <f>'1. 소켓인수검사'!G26</f>
        <v>6동 2번</v>
      </c>
    </row>
    <row r="25" spans="1:21">
      <c r="A25" s="60" t="str">
        <f>'1. 소켓인수검사'!A27</f>
        <v>19</v>
      </c>
      <c r="B25" s="82" t="s">
        <v>40</v>
      </c>
      <c r="C25" s="41">
        <f>'1. 소켓인수검사'!C27</f>
        <v>900</v>
      </c>
      <c r="D25" s="41">
        <f>'1. 소켓인수검사'!D27</f>
        <v>950</v>
      </c>
      <c r="E25" s="42"/>
      <c r="F25" s="43">
        <f t="shared" si="5"/>
        <v>0.85499999999999998</v>
      </c>
      <c r="G25" s="43">
        <f t="shared" si="6"/>
        <v>3.7</v>
      </c>
      <c r="H25" s="48">
        <v>2</v>
      </c>
      <c r="I25" s="81">
        <f t="shared" si="7"/>
        <v>4.1000000000000005</v>
      </c>
      <c r="J25" s="49">
        <v>2</v>
      </c>
      <c r="K25" s="34"/>
      <c r="L25" s="40"/>
      <c r="M25" s="34"/>
      <c r="N25" s="40"/>
      <c r="O25" s="81">
        <f t="shared" si="8"/>
        <v>4.2</v>
      </c>
      <c r="P25" s="49">
        <v>2</v>
      </c>
      <c r="Q25" s="44">
        <f t="shared" si="9"/>
        <v>8.8800000000000008</v>
      </c>
      <c r="R25" s="118">
        <f t="shared" si="10"/>
        <v>8.8800000000000008</v>
      </c>
      <c r="S25" s="50" t="s">
        <v>43</v>
      </c>
      <c r="T25" s="51" t="s">
        <v>7</v>
      </c>
      <c r="U25" s="47" t="str">
        <f>'1. 소켓인수검사'!G27</f>
        <v>6동 1번</v>
      </c>
    </row>
    <row r="26" spans="1:21">
      <c r="A26" s="60" t="str">
        <f>'1. 소켓인수검사'!A28</f>
        <v>20</v>
      </c>
      <c r="B26" s="82" t="s">
        <v>40</v>
      </c>
      <c r="C26" s="41">
        <f>'1. 소켓인수검사'!C28</f>
        <v>900</v>
      </c>
      <c r="D26" s="41">
        <f>'1. 소켓인수검사'!D28</f>
        <v>950</v>
      </c>
      <c r="E26" s="42"/>
      <c r="F26" s="43">
        <f t="shared" si="5"/>
        <v>0.85499999999999998</v>
      </c>
      <c r="G26" s="43">
        <f t="shared" si="6"/>
        <v>3.7</v>
      </c>
      <c r="H26" s="48">
        <v>2</v>
      </c>
      <c r="I26" s="81">
        <f t="shared" si="7"/>
        <v>4.1000000000000005</v>
      </c>
      <c r="J26" s="49">
        <v>2</v>
      </c>
      <c r="K26" s="34"/>
      <c r="L26" s="40"/>
      <c r="M26" s="34"/>
      <c r="N26" s="40"/>
      <c r="O26" s="81">
        <f t="shared" si="8"/>
        <v>4.2</v>
      </c>
      <c r="P26" s="49">
        <v>2</v>
      </c>
      <c r="Q26" s="44">
        <f t="shared" si="9"/>
        <v>8.8800000000000008</v>
      </c>
      <c r="R26" s="118">
        <f t="shared" si="10"/>
        <v>8.8800000000000008</v>
      </c>
      <c r="S26" s="50" t="s">
        <v>43</v>
      </c>
      <c r="T26" s="51" t="s">
        <v>7</v>
      </c>
      <c r="U26" s="47" t="str">
        <f>'1. 소켓인수검사'!G28</f>
        <v>6동 1번</v>
      </c>
    </row>
    <row r="27" spans="1:21">
      <c r="A27" s="60" t="str">
        <f>'1. 소켓인수검사'!A29</f>
        <v>21</v>
      </c>
      <c r="B27" s="82" t="s">
        <v>40</v>
      </c>
      <c r="C27" s="41">
        <f>'1. 소켓인수검사'!C29</f>
        <v>900</v>
      </c>
      <c r="D27" s="41">
        <f>'1. 소켓인수검사'!D29</f>
        <v>950</v>
      </c>
      <c r="E27" s="42"/>
      <c r="F27" s="43">
        <f t="shared" si="5"/>
        <v>0.85499999999999998</v>
      </c>
      <c r="G27" s="43">
        <f t="shared" si="6"/>
        <v>3.7</v>
      </c>
      <c r="H27" s="48">
        <v>2</v>
      </c>
      <c r="I27" s="81">
        <f t="shared" si="7"/>
        <v>4.1000000000000005</v>
      </c>
      <c r="J27" s="49">
        <v>2</v>
      </c>
      <c r="K27" s="34"/>
      <c r="L27" s="40"/>
      <c r="M27" s="34"/>
      <c r="N27" s="40"/>
      <c r="O27" s="81">
        <f t="shared" si="8"/>
        <v>4.2</v>
      </c>
      <c r="P27" s="49">
        <v>2</v>
      </c>
      <c r="Q27" s="44">
        <f t="shared" si="9"/>
        <v>8.8800000000000008</v>
      </c>
      <c r="R27" s="118">
        <f t="shared" si="10"/>
        <v>8.8800000000000008</v>
      </c>
      <c r="S27" s="50" t="s">
        <v>43</v>
      </c>
      <c r="T27" s="51" t="s">
        <v>7</v>
      </c>
      <c r="U27" s="47" t="str">
        <f>'1. 소켓인수검사'!G29</f>
        <v>6동 1번</v>
      </c>
    </row>
    <row r="28" spans="1:21">
      <c r="A28" s="60" t="str">
        <f>'1. 소켓인수검사'!A30</f>
        <v>22</v>
      </c>
      <c r="B28" s="82" t="s">
        <v>40</v>
      </c>
      <c r="C28" s="41">
        <f>'1. 소켓인수검사'!C30</f>
        <v>1200</v>
      </c>
      <c r="D28" s="41">
        <f>'1. 소켓인수검사'!D30</f>
        <v>850</v>
      </c>
      <c r="E28" s="42"/>
      <c r="F28" s="43">
        <f t="shared" si="5"/>
        <v>1.02</v>
      </c>
      <c r="G28" s="43">
        <f t="shared" si="6"/>
        <v>4.0999999999999996</v>
      </c>
      <c r="H28" s="48">
        <v>2</v>
      </c>
      <c r="I28" s="81">
        <f t="shared" si="7"/>
        <v>4.5</v>
      </c>
      <c r="J28" s="49">
        <v>2</v>
      </c>
      <c r="K28" s="34"/>
      <c r="L28" s="40"/>
      <c r="M28" s="34"/>
      <c r="N28" s="40"/>
      <c r="O28" s="81">
        <f t="shared" si="8"/>
        <v>4.5999999999999996</v>
      </c>
      <c r="P28" s="49">
        <v>2</v>
      </c>
      <c r="Q28" s="44">
        <f t="shared" si="9"/>
        <v>9.68</v>
      </c>
      <c r="R28" s="118">
        <f t="shared" si="10"/>
        <v>9.68</v>
      </c>
      <c r="S28" s="50" t="s">
        <v>43</v>
      </c>
      <c r="T28" s="51" t="s">
        <v>7</v>
      </c>
      <c r="U28" s="47" t="str">
        <f>'1. 소켓인수검사'!G30</f>
        <v>5동 1번</v>
      </c>
    </row>
    <row r="29" spans="1:21">
      <c r="A29" s="60" t="str">
        <f>'1. 소켓인수검사'!A31</f>
        <v>23</v>
      </c>
      <c r="B29" s="82" t="s">
        <v>40</v>
      </c>
      <c r="C29" s="41">
        <f>'1. 소켓인수검사'!C31</f>
        <v>1300</v>
      </c>
      <c r="D29" s="41">
        <f>'1. 소켓인수검사'!D31</f>
        <v>800</v>
      </c>
      <c r="E29" s="42"/>
      <c r="F29" s="43">
        <f t="shared" si="5"/>
        <v>1.04</v>
      </c>
      <c r="G29" s="43">
        <f t="shared" si="6"/>
        <v>4.2</v>
      </c>
      <c r="H29" s="48">
        <v>2</v>
      </c>
      <c r="I29" s="81">
        <f t="shared" si="7"/>
        <v>4.6000000000000005</v>
      </c>
      <c r="J29" s="49">
        <v>2</v>
      </c>
      <c r="K29" s="34"/>
      <c r="L29" s="40"/>
      <c r="M29" s="34"/>
      <c r="N29" s="40"/>
      <c r="O29" s="81">
        <f t="shared" si="8"/>
        <v>4.7</v>
      </c>
      <c r="P29" s="49">
        <v>2</v>
      </c>
      <c r="Q29" s="44">
        <f t="shared" si="9"/>
        <v>9.8800000000000008</v>
      </c>
      <c r="R29" s="118">
        <f t="shared" si="10"/>
        <v>9.8800000000000008</v>
      </c>
      <c r="S29" s="50" t="s">
        <v>43</v>
      </c>
      <c r="T29" s="51" t="s">
        <v>7</v>
      </c>
      <c r="U29" s="47" t="str">
        <f>'1. 소켓인수검사'!G31</f>
        <v>8동 2번</v>
      </c>
    </row>
    <row r="30" spans="1:21">
      <c r="A30" s="60" t="str">
        <f>'1. 소켓인수검사'!A32</f>
        <v>24</v>
      </c>
      <c r="B30" s="82" t="s">
        <v>40</v>
      </c>
      <c r="C30" s="41">
        <f>'1. 소켓인수검사'!C32</f>
        <v>1600</v>
      </c>
      <c r="D30" s="41">
        <f>'1. 소켓인수검사'!D32</f>
        <v>600</v>
      </c>
      <c r="E30" s="42"/>
      <c r="F30" s="43">
        <f t="shared" si="5"/>
        <v>0.96</v>
      </c>
      <c r="G30" s="43">
        <f t="shared" si="6"/>
        <v>4.4000000000000004</v>
      </c>
      <c r="H30" s="48">
        <v>2</v>
      </c>
      <c r="I30" s="81">
        <f t="shared" si="7"/>
        <v>4.8000000000000007</v>
      </c>
      <c r="J30" s="49">
        <v>2</v>
      </c>
      <c r="K30" s="34"/>
      <c r="L30" s="40"/>
      <c r="M30" s="34"/>
      <c r="N30" s="40"/>
      <c r="O30" s="81">
        <f t="shared" si="8"/>
        <v>4.9000000000000004</v>
      </c>
      <c r="P30" s="49">
        <v>2</v>
      </c>
      <c r="Q30" s="44">
        <f t="shared" si="9"/>
        <v>10.28</v>
      </c>
      <c r="R30" s="118">
        <f t="shared" si="10"/>
        <v>10.28</v>
      </c>
      <c r="S30" s="50" t="s">
        <v>43</v>
      </c>
      <c r="T30" s="51" t="s">
        <v>7</v>
      </c>
      <c r="U30" s="47" t="str">
        <f>'1. 소켓인수검사'!G32</f>
        <v>6동 2번</v>
      </c>
    </row>
    <row r="31" spans="1:21">
      <c r="A31" s="60" t="str">
        <f>'1. 소켓인수검사'!A33</f>
        <v>25</v>
      </c>
      <c r="B31" s="82" t="s">
        <v>40</v>
      </c>
      <c r="C31" s="41">
        <f>'1. 소켓인수검사'!C33</f>
        <v>2000</v>
      </c>
      <c r="D31" s="41">
        <f>'1. 소켓인수검사'!D33</f>
        <v>500</v>
      </c>
      <c r="E31" s="42"/>
      <c r="F31" s="43">
        <f t="shared" si="5"/>
        <v>1</v>
      </c>
      <c r="G31" s="43">
        <f t="shared" si="6"/>
        <v>5</v>
      </c>
      <c r="H31" s="48">
        <v>2</v>
      </c>
      <c r="I31" s="81">
        <f t="shared" si="7"/>
        <v>5.4</v>
      </c>
      <c r="J31" s="49">
        <v>2</v>
      </c>
      <c r="K31" s="34"/>
      <c r="L31" s="40"/>
      <c r="M31" s="34"/>
      <c r="N31" s="40"/>
      <c r="O31" s="81">
        <f t="shared" si="8"/>
        <v>5.5</v>
      </c>
      <c r="P31" s="49">
        <v>2</v>
      </c>
      <c r="Q31" s="44">
        <f t="shared" si="9"/>
        <v>11.48</v>
      </c>
      <c r="R31" s="118">
        <f t="shared" si="10"/>
        <v>11.48</v>
      </c>
      <c r="S31" s="50" t="s">
        <v>43</v>
      </c>
      <c r="T31" s="51" t="s">
        <v>7</v>
      </c>
      <c r="U31" s="47" t="str">
        <f>'1. 소켓인수검사'!G33</f>
        <v>5동 1번</v>
      </c>
    </row>
    <row r="32" spans="1:21">
      <c r="A32" s="60" t="str">
        <f>'1. 소켓인수검사'!A34</f>
        <v>26</v>
      </c>
      <c r="B32" s="82" t="s">
        <v>40</v>
      </c>
      <c r="C32" s="41">
        <f>'1. 소켓인수검사'!C34</f>
        <v>2000</v>
      </c>
      <c r="D32" s="41">
        <f>'1. 소켓인수검사'!D34</f>
        <v>500</v>
      </c>
      <c r="E32" s="42"/>
      <c r="F32" s="43">
        <f t="shared" si="5"/>
        <v>1</v>
      </c>
      <c r="G32" s="43">
        <f t="shared" si="6"/>
        <v>5</v>
      </c>
      <c r="H32" s="48">
        <v>2</v>
      </c>
      <c r="I32" s="81">
        <f t="shared" si="7"/>
        <v>5.4</v>
      </c>
      <c r="J32" s="49">
        <v>2</v>
      </c>
      <c r="K32" s="34"/>
      <c r="L32" s="40"/>
      <c r="M32" s="34"/>
      <c r="N32" s="40"/>
      <c r="O32" s="81">
        <f t="shared" si="8"/>
        <v>5.5</v>
      </c>
      <c r="P32" s="49">
        <v>2</v>
      </c>
      <c r="Q32" s="44">
        <f t="shared" si="9"/>
        <v>11.48</v>
      </c>
      <c r="R32" s="118">
        <f t="shared" si="10"/>
        <v>11.48</v>
      </c>
      <c r="S32" s="50" t="s">
        <v>43</v>
      </c>
      <c r="T32" s="51" t="s">
        <v>7</v>
      </c>
      <c r="U32" s="47" t="str">
        <f>'1. 소켓인수검사'!G34</f>
        <v>5동 2번</v>
      </c>
    </row>
    <row r="33" spans="1:21">
      <c r="A33" s="304" t="s">
        <v>5</v>
      </c>
      <c r="B33" s="305"/>
      <c r="C33" s="305"/>
      <c r="D33" s="80"/>
      <c r="E33" s="55"/>
      <c r="F33" s="55"/>
      <c r="G33" s="55"/>
      <c r="H33" s="54">
        <f>SUM(H7:H32)</f>
        <v>40</v>
      </c>
      <c r="I33" s="86"/>
      <c r="J33" s="54">
        <f>SUM(J7:J32)</f>
        <v>28</v>
      </c>
      <c r="K33" s="86"/>
      <c r="L33" s="54">
        <f>SUM(L7:L32)</f>
        <v>48</v>
      </c>
      <c r="M33" s="86"/>
      <c r="N33" s="54">
        <f>SUM(N7:N32)</f>
        <v>0</v>
      </c>
      <c r="O33" s="86"/>
      <c r="P33" s="54">
        <f>SUM(P7:P32)</f>
        <v>28</v>
      </c>
      <c r="Q33" s="86">
        <f>SUM(Q7:Q32)</f>
        <v>223.27999999999997</v>
      </c>
      <c r="R33" s="54">
        <f>SUM(R7:R32)</f>
        <v>223.27999999999997</v>
      </c>
      <c r="S33" s="83"/>
      <c r="T33" s="83"/>
      <c r="U33" s="84"/>
    </row>
    <row r="34" spans="1:21" ht="8.1" customHeight="1">
      <c r="A34" s="173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4"/>
    </row>
    <row r="35" spans="1:21">
      <c r="A35" s="1" t="s">
        <v>47</v>
      </c>
      <c r="B35" s="1"/>
      <c r="C35" s="1"/>
      <c r="D35" s="309" t="s">
        <v>138</v>
      </c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1"/>
    </row>
    <row r="36" spans="1:21">
      <c r="A36" s="1"/>
      <c r="B36" s="1"/>
      <c r="C36" s="1"/>
      <c r="D36" s="312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4"/>
    </row>
    <row r="37" spans="1:21">
      <c r="A37" s="1"/>
      <c r="B37" s="1"/>
      <c r="C37" s="1"/>
      <c r="D37" s="312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4"/>
    </row>
    <row r="38" spans="1:21">
      <c r="A38" s="1"/>
      <c r="B38" s="1"/>
      <c r="C38" s="1"/>
      <c r="D38" s="312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4"/>
    </row>
    <row r="39" spans="1:21">
      <c r="A39" s="1"/>
      <c r="B39" s="1"/>
      <c r="C39" s="1"/>
      <c r="D39" s="312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4"/>
    </row>
    <row r="40" spans="1:21">
      <c r="A40" s="1"/>
      <c r="B40" s="1"/>
      <c r="C40" s="1"/>
      <c r="D40" s="315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7"/>
    </row>
  </sheetData>
  <mergeCells count="24">
    <mergeCell ref="A34:P34"/>
    <mergeCell ref="A35:C40"/>
    <mergeCell ref="Q5:R5"/>
    <mergeCell ref="S5:S6"/>
    <mergeCell ref="T5:T6"/>
    <mergeCell ref="K5:L5"/>
    <mergeCell ref="O5:P5"/>
    <mergeCell ref="M5:N5"/>
    <mergeCell ref="U5:U6"/>
    <mergeCell ref="A33:C33"/>
    <mergeCell ref="F1:J3"/>
    <mergeCell ref="K1:U3"/>
    <mergeCell ref="D35:U40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7"/>
  </cols>
  <sheetData/>
  <phoneticPr fontId="30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2026-06-11T03:49:38Z</cp:lastPrinted>
  <dcterms:created xsi:type="dcterms:W3CDTF">2025-03-13T00:09:10Z</dcterms:created>
  <dcterms:modified xsi:type="dcterms:W3CDTF">2026-06-11T03:53:21Z</dcterms:modified>
  <cp:version>1200.0100.01</cp:version>
</cp:coreProperties>
</file>