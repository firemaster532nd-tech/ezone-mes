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9A71D0D0-57C3-40F0-9BD6-C8E639BE93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소켓인수검사'!$A$1:$G$57</definedName>
    <definedName name="_xlnm.Print_Area" localSheetId="2">'3.1 절곡(HTG1.69)(브라켓,보강대,받침대)'!$A$1:$AY$57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9" i="6" l="1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8" i="6"/>
  <c r="X7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8" i="6"/>
  <c r="V7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8" i="6"/>
  <c r="T7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8" i="6"/>
  <c r="R7" i="6"/>
  <c r="V57" i="3"/>
  <c r="J2" i="2"/>
  <c r="AA55" i="6" l="1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P56" i="6" l="1"/>
  <c r="N56" i="6"/>
  <c r="L56" i="6"/>
  <c r="J56" i="6"/>
  <c r="H56" i="6"/>
  <c r="K60" i="4"/>
  <c r="I60" i="4"/>
  <c r="AN57" i="3"/>
  <c r="AH57" i="3"/>
  <c r="P57" i="3"/>
  <c r="J57" i="3"/>
  <c r="J1" i="6"/>
  <c r="P5" i="5"/>
  <c r="M5" i="4"/>
  <c r="M1" i="3"/>
  <c r="D1" i="1"/>
  <c r="O56" i="3"/>
  <c r="N56" i="3"/>
  <c r="O55" i="3"/>
  <c r="N55" i="3"/>
  <c r="O54" i="3"/>
  <c r="N54" i="3"/>
  <c r="O53" i="3"/>
  <c r="N53" i="3"/>
  <c r="O52" i="3"/>
  <c r="N52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D55" i="6"/>
  <c r="C55" i="6"/>
  <c r="B55" i="6"/>
  <c r="A55" i="6"/>
  <c r="D54" i="6"/>
  <c r="C54" i="6"/>
  <c r="B54" i="6"/>
  <c r="A54" i="6"/>
  <c r="D53" i="6"/>
  <c r="C53" i="6"/>
  <c r="B53" i="6"/>
  <c r="A53" i="6"/>
  <c r="D52" i="6"/>
  <c r="C52" i="6"/>
  <c r="B52" i="6"/>
  <c r="A52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D47" i="6"/>
  <c r="C47" i="6"/>
  <c r="B47" i="6"/>
  <c r="A47" i="6"/>
  <c r="D46" i="6"/>
  <c r="C46" i="6"/>
  <c r="B46" i="6"/>
  <c r="A46" i="6"/>
  <c r="D45" i="6"/>
  <c r="C45" i="6"/>
  <c r="B45" i="6"/>
  <c r="A45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D40" i="6"/>
  <c r="C40" i="6"/>
  <c r="B40" i="6"/>
  <c r="A40" i="6"/>
  <c r="D39" i="6"/>
  <c r="C39" i="6"/>
  <c r="B39" i="6"/>
  <c r="A39" i="6"/>
  <c r="D38" i="6"/>
  <c r="C38" i="6"/>
  <c r="B38" i="6"/>
  <c r="A38" i="6"/>
  <c r="D37" i="6"/>
  <c r="C37" i="6"/>
  <c r="B37" i="6"/>
  <c r="A37" i="6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59" i="4"/>
  <c r="J59" i="4" s="1"/>
  <c r="C59" i="4"/>
  <c r="H59" i="4" s="1"/>
  <c r="B59" i="4"/>
  <c r="A59" i="4"/>
  <c r="D58" i="4"/>
  <c r="J58" i="4" s="1"/>
  <c r="C58" i="4"/>
  <c r="H58" i="4" s="1"/>
  <c r="B58" i="4"/>
  <c r="A58" i="4"/>
  <c r="D57" i="4"/>
  <c r="J57" i="4" s="1"/>
  <c r="C57" i="4"/>
  <c r="H57" i="4" s="1"/>
  <c r="B57" i="4"/>
  <c r="A57" i="4"/>
  <c r="D56" i="4"/>
  <c r="J56" i="4" s="1"/>
  <c r="C56" i="4"/>
  <c r="H56" i="4" s="1"/>
  <c r="B56" i="4"/>
  <c r="A56" i="4"/>
  <c r="D55" i="4"/>
  <c r="J55" i="4" s="1"/>
  <c r="C55" i="4"/>
  <c r="H55" i="4" s="1"/>
  <c r="B55" i="4"/>
  <c r="A55" i="4"/>
  <c r="D54" i="4"/>
  <c r="J54" i="4" s="1"/>
  <c r="C54" i="4"/>
  <c r="H54" i="4" s="1"/>
  <c r="B54" i="4"/>
  <c r="A54" i="4"/>
  <c r="D53" i="4"/>
  <c r="J53" i="4" s="1"/>
  <c r="C53" i="4"/>
  <c r="H53" i="4" s="1"/>
  <c r="B53" i="4"/>
  <c r="A53" i="4"/>
  <c r="D52" i="4"/>
  <c r="J52" i="4" s="1"/>
  <c r="C52" i="4"/>
  <c r="H52" i="4" s="1"/>
  <c r="B52" i="4"/>
  <c r="A52" i="4"/>
  <c r="D51" i="4"/>
  <c r="J51" i="4" s="1"/>
  <c r="C51" i="4"/>
  <c r="H51" i="4" s="1"/>
  <c r="B51" i="4"/>
  <c r="A51" i="4"/>
  <c r="D50" i="4"/>
  <c r="J50" i="4" s="1"/>
  <c r="C50" i="4"/>
  <c r="H50" i="4" s="1"/>
  <c r="B50" i="4"/>
  <c r="A50" i="4"/>
  <c r="D49" i="4"/>
  <c r="J49" i="4" s="1"/>
  <c r="C49" i="4"/>
  <c r="H49" i="4" s="1"/>
  <c r="B49" i="4"/>
  <c r="A49" i="4"/>
  <c r="D48" i="4"/>
  <c r="J48" i="4" s="1"/>
  <c r="C48" i="4"/>
  <c r="H48" i="4" s="1"/>
  <c r="B48" i="4"/>
  <c r="A48" i="4"/>
  <c r="D47" i="4"/>
  <c r="J47" i="4" s="1"/>
  <c r="C47" i="4"/>
  <c r="H47" i="4" s="1"/>
  <c r="B47" i="4"/>
  <c r="A47" i="4"/>
  <c r="D46" i="4"/>
  <c r="J46" i="4" s="1"/>
  <c r="C46" i="4"/>
  <c r="H46" i="4" s="1"/>
  <c r="B46" i="4"/>
  <c r="A46" i="4"/>
  <c r="D45" i="4"/>
  <c r="J45" i="4" s="1"/>
  <c r="C45" i="4"/>
  <c r="H45" i="4" s="1"/>
  <c r="B45" i="4"/>
  <c r="A45" i="4"/>
  <c r="D44" i="4"/>
  <c r="J44" i="4" s="1"/>
  <c r="C44" i="4"/>
  <c r="H44" i="4" s="1"/>
  <c r="B44" i="4"/>
  <c r="A44" i="4"/>
  <c r="D43" i="4"/>
  <c r="J43" i="4" s="1"/>
  <c r="C43" i="4"/>
  <c r="H43" i="4" s="1"/>
  <c r="B43" i="4"/>
  <c r="A43" i="4"/>
  <c r="D42" i="4"/>
  <c r="J42" i="4" s="1"/>
  <c r="C42" i="4"/>
  <c r="H42" i="4" s="1"/>
  <c r="B42" i="4"/>
  <c r="A42" i="4"/>
  <c r="D41" i="4"/>
  <c r="J41" i="4" s="1"/>
  <c r="C41" i="4"/>
  <c r="H41" i="4" s="1"/>
  <c r="B41" i="4"/>
  <c r="A41" i="4"/>
  <c r="AA56" i="3"/>
  <c r="Z56" i="3"/>
  <c r="D56" i="3"/>
  <c r="C56" i="3"/>
  <c r="I56" i="3" s="1"/>
  <c r="A56" i="3"/>
  <c r="AA55" i="3"/>
  <c r="Z55" i="3"/>
  <c r="D55" i="3"/>
  <c r="C55" i="3"/>
  <c r="M55" i="3" s="1"/>
  <c r="A55" i="3"/>
  <c r="AA54" i="3"/>
  <c r="Z54" i="3"/>
  <c r="D54" i="3"/>
  <c r="C54" i="3"/>
  <c r="M54" i="3" s="1"/>
  <c r="A54" i="3"/>
  <c r="AA53" i="3"/>
  <c r="Z53" i="3"/>
  <c r="D53" i="3"/>
  <c r="C53" i="3"/>
  <c r="M53" i="3" s="1"/>
  <c r="A53" i="3"/>
  <c r="AA52" i="3"/>
  <c r="Z52" i="3"/>
  <c r="D52" i="3"/>
  <c r="C52" i="3"/>
  <c r="I52" i="3" s="1"/>
  <c r="A52" i="3"/>
  <c r="AA51" i="3"/>
  <c r="Z51" i="3"/>
  <c r="D51" i="3"/>
  <c r="C51" i="3"/>
  <c r="M51" i="3" s="1"/>
  <c r="A51" i="3"/>
  <c r="AA50" i="3"/>
  <c r="Z50" i="3"/>
  <c r="D50" i="3"/>
  <c r="C50" i="3"/>
  <c r="M50" i="3" s="1"/>
  <c r="A50" i="3"/>
  <c r="AA49" i="3"/>
  <c r="Z49" i="3"/>
  <c r="D49" i="3"/>
  <c r="C49" i="3"/>
  <c r="M49" i="3" s="1"/>
  <c r="A49" i="3"/>
  <c r="AA48" i="3"/>
  <c r="Z48" i="3"/>
  <c r="D48" i="3"/>
  <c r="C48" i="3"/>
  <c r="I48" i="3" s="1"/>
  <c r="A48" i="3"/>
  <c r="AA47" i="3"/>
  <c r="Z47" i="3"/>
  <c r="D47" i="3"/>
  <c r="C47" i="3"/>
  <c r="M47" i="3" s="1"/>
  <c r="A47" i="3"/>
  <c r="AA46" i="3"/>
  <c r="Z46" i="3"/>
  <c r="D46" i="3"/>
  <c r="C46" i="3"/>
  <c r="M46" i="3" s="1"/>
  <c r="A46" i="3"/>
  <c r="AA45" i="3"/>
  <c r="Z45" i="3"/>
  <c r="D45" i="3"/>
  <c r="C45" i="3"/>
  <c r="M45" i="3" s="1"/>
  <c r="A45" i="3"/>
  <c r="AA44" i="3"/>
  <c r="Z44" i="3"/>
  <c r="D44" i="3"/>
  <c r="C44" i="3"/>
  <c r="I44" i="3" s="1"/>
  <c r="A44" i="3"/>
  <c r="AA43" i="3"/>
  <c r="Z43" i="3"/>
  <c r="D43" i="3"/>
  <c r="C43" i="3"/>
  <c r="M43" i="3" s="1"/>
  <c r="A43" i="3"/>
  <c r="AA42" i="3"/>
  <c r="Z42" i="3"/>
  <c r="D42" i="3"/>
  <c r="C42" i="3"/>
  <c r="M42" i="3" s="1"/>
  <c r="A42" i="3"/>
  <c r="AA41" i="3"/>
  <c r="Z41" i="3"/>
  <c r="D41" i="3"/>
  <c r="C41" i="3"/>
  <c r="M41" i="3" s="1"/>
  <c r="A41" i="3"/>
  <c r="AA40" i="3"/>
  <c r="Z40" i="3"/>
  <c r="D40" i="3"/>
  <c r="C40" i="3"/>
  <c r="I40" i="3" s="1"/>
  <c r="A40" i="3"/>
  <c r="AA39" i="3"/>
  <c r="Z39" i="3"/>
  <c r="D39" i="3"/>
  <c r="C39" i="3"/>
  <c r="M39" i="3" s="1"/>
  <c r="A39" i="3"/>
  <c r="AA38" i="3"/>
  <c r="Z38" i="3"/>
  <c r="D38" i="3"/>
  <c r="C38" i="3"/>
  <c r="M38" i="3" s="1"/>
  <c r="A38" i="3"/>
  <c r="H56" i="2"/>
  <c r="D56" i="2"/>
  <c r="C56" i="2"/>
  <c r="A56" i="2"/>
  <c r="H55" i="2"/>
  <c r="D55" i="2"/>
  <c r="N55" i="2" s="1"/>
  <c r="C55" i="2"/>
  <c r="A55" i="2"/>
  <c r="H54" i="2"/>
  <c r="D54" i="2"/>
  <c r="N54" i="2" s="1"/>
  <c r="C54" i="2"/>
  <c r="A54" i="2"/>
  <c r="H53" i="2"/>
  <c r="D53" i="2"/>
  <c r="C53" i="2"/>
  <c r="A53" i="2"/>
  <c r="H52" i="2"/>
  <c r="D52" i="2"/>
  <c r="C52" i="2"/>
  <c r="A52" i="2"/>
  <c r="H51" i="2"/>
  <c r="D51" i="2"/>
  <c r="C51" i="2"/>
  <c r="A51" i="2"/>
  <c r="H50" i="2"/>
  <c r="D50" i="2"/>
  <c r="N50" i="2" s="1"/>
  <c r="C50" i="2"/>
  <c r="A50" i="2"/>
  <c r="H49" i="2"/>
  <c r="D49" i="2"/>
  <c r="N49" i="2" s="1"/>
  <c r="C49" i="2"/>
  <c r="A49" i="2"/>
  <c r="H48" i="2"/>
  <c r="D48" i="2"/>
  <c r="C48" i="2"/>
  <c r="A48" i="2"/>
  <c r="H47" i="2"/>
  <c r="D47" i="2"/>
  <c r="C47" i="2"/>
  <c r="A47" i="2"/>
  <c r="H46" i="2"/>
  <c r="D46" i="2"/>
  <c r="N46" i="2" s="1"/>
  <c r="C46" i="2"/>
  <c r="A46" i="2"/>
  <c r="H45" i="2"/>
  <c r="D45" i="2"/>
  <c r="N45" i="2" s="1"/>
  <c r="C45" i="2"/>
  <c r="A45" i="2"/>
  <c r="H44" i="2"/>
  <c r="D44" i="2"/>
  <c r="N44" i="2" s="1"/>
  <c r="C44" i="2"/>
  <c r="A44" i="2"/>
  <c r="H43" i="2"/>
  <c r="D43" i="2"/>
  <c r="C43" i="2"/>
  <c r="A43" i="2"/>
  <c r="H42" i="2"/>
  <c r="D42" i="2"/>
  <c r="C42" i="2"/>
  <c r="A42" i="2"/>
  <c r="H41" i="2"/>
  <c r="D41" i="2"/>
  <c r="N41" i="2" s="1"/>
  <c r="C41" i="2"/>
  <c r="A41" i="2"/>
  <c r="H40" i="2"/>
  <c r="D40" i="2"/>
  <c r="C40" i="2"/>
  <c r="A40" i="2"/>
  <c r="H39" i="2"/>
  <c r="D39" i="2"/>
  <c r="C39" i="2"/>
  <c r="A39" i="2"/>
  <c r="H38" i="2"/>
  <c r="D38" i="2"/>
  <c r="C38" i="2"/>
  <c r="A38" i="2"/>
  <c r="Y49" i="3" l="1"/>
  <c r="S49" i="3"/>
  <c r="Y42" i="3"/>
  <c r="S42" i="3"/>
  <c r="Y46" i="3"/>
  <c r="S46" i="3"/>
  <c r="Y50" i="3"/>
  <c r="S50" i="3"/>
  <c r="Y54" i="3"/>
  <c r="S54" i="3"/>
  <c r="Y39" i="3"/>
  <c r="S39" i="3"/>
  <c r="Y43" i="3"/>
  <c r="S43" i="3"/>
  <c r="Y47" i="3"/>
  <c r="S47" i="3"/>
  <c r="Y51" i="3"/>
  <c r="S51" i="3"/>
  <c r="Y55" i="3"/>
  <c r="S55" i="3"/>
  <c r="Y41" i="3"/>
  <c r="S41" i="3"/>
  <c r="Y45" i="3"/>
  <c r="S45" i="3"/>
  <c r="Y53" i="3"/>
  <c r="S53" i="3"/>
  <c r="Y38" i="3"/>
  <c r="S38" i="3"/>
  <c r="AC38" i="2"/>
  <c r="N38" i="2"/>
  <c r="AC39" i="2"/>
  <c r="N39" i="2"/>
  <c r="AC40" i="2"/>
  <c r="N40" i="2"/>
  <c r="AC42" i="2"/>
  <c r="N42" i="2"/>
  <c r="AC43" i="2"/>
  <c r="N43" i="2"/>
  <c r="AC47" i="2"/>
  <c r="N47" i="2"/>
  <c r="AC48" i="2"/>
  <c r="N48" i="2"/>
  <c r="AC51" i="2"/>
  <c r="N51" i="2"/>
  <c r="AC52" i="2"/>
  <c r="N52" i="2"/>
  <c r="AC53" i="2"/>
  <c r="N53" i="2"/>
  <c r="AC56" i="2"/>
  <c r="N56" i="2"/>
  <c r="Y40" i="3"/>
  <c r="S40" i="3"/>
  <c r="Y44" i="3"/>
  <c r="S44" i="3"/>
  <c r="Y48" i="3"/>
  <c r="S48" i="3"/>
  <c r="Y52" i="3"/>
  <c r="S52" i="3"/>
  <c r="Y56" i="3"/>
  <c r="S56" i="3"/>
  <c r="F39" i="6"/>
  <c r="G40" i="6"/>
  <c r="I40" i="6" s="1"/>
  <c r="O40" i="6" s="1"/>
  <c r="G41" i="6"/>
  <c r="I41" i="6" s="1"/>
  <c r="O41" i="6" s="1"/>
  <c r="F43" i="6"/>
  <c r="G47" i="6"/>
  <c r="I47" i="6" s="1"/>
  <c r="O47" i="6" s="1"/>
  <c r="G49" i="6"/>
  <c r="I49" i="6" s="1"/>
  <c r="O49" i="6" s="1"/>
  <c r="G50" i="6"/>
  <c r="I50" i="6" s="1"/>
  <c r="O50" i="6" s="1"/>
  <c r="G51" i="6"/>
  <c r="I51" i="6" s="1"/>
  <c r="O51" i="6" s="1"/>
  <c r="G52" i="6"/>
  <c r="I52" i="6" s="1"/>
  <c r="O52" i="6" s="1"/>
  <c r="G53" i="6"/>
  <c r="I53" i="6" s="1"/>
  <c r="O53" i="6" s="1"/>
  <c r="G54" i="6"/>
  <c r="I54" i="6" s="1"/>
  <c r="O54" i="6" s="1"/>
  <c r="G55" i="6"/>
  <c r="I55" i="6" s="1"/>
  <c r="O55" i="6" s="1"/>
  <c r="AC41" i="2"/>
  <c r="AC44" i="2"/>
  <c r="AC50" i="2"/>
  <c r="G40" i="2"/>
  <c r="AB40" i="2"/>
  <c r="G43" i="2"/>
  <c r="AB43" i="2"/>
  <c r="G46" i="2"/>
  <c r="AB46" i="2"/>
  <c r="G49" i="2"/>
  <c r="AB49" i="2"/>
  <c r="AH49" i="2" s="1"/>
  <c r="AI49" i="2" s="1"/>
  <c r="AJ49" i="2" s="1"/>
  <c r="AK49" i="2" s="1"/>
  <c r="T49" i="2" s="1"/>
  <c r="G52" i="2"/>
  <c r="AB52" i="2"/>
  <c r="G55" i="2"/>
  <c r="AB55" i="2"/>
  <c r="AH55" i="2" s="1"/>
  <c r="AI55" i="2" s="1"/>
  <c r="AJ55" i="2" s="1"/>
  <c r="AK55" i="2" s="1"/>
  <c r="T55" i="2" s="1"/>
  <c r="G39" i="2"/>
  <c r="AB39" i="2"/>
  <c r="G45" i="2"/>
  <c r="AB45" i="2"/>
  <c r="G51" i="2"/>
  <c r="AB51" i="2"/>
  <c r="AC45" i="2"/>
  <c r="AC54" i="2"/>
  <c r="AC46" i="2"/>
  <c r="AC49" i="2"/>
  <c r="AC55" i="2"/>
  <c r="G42" i="2"/>
  <c r="AB42" i="2"/>
  <c r="G48" i="2"/>
  <c r="AB48" i="2"/>
  <c r="G54" i="2"/>
  <c r="AB54" i="2"/>
  <c r="AH54" i="2" s="1"/>
  <c r="AI54" i="2" s="1"/>
  <c r="AJ54" i="2" s="1"/>
  <c r="AK54" i="2" s="1"/>
  <c r="T54" i="2" s="1"/>
  <c r="G38" i="2"/>
  <c r="AB38" i="2"/>
  <c r="G41" i="2"/>
  <c r="AB41" i="2"/>
  <c r="AD41" i="2" s="1"/>
  <c r="AE41" i="2" s="1"/>
  <c r="AF41" i="2" s="1"/>
  <c r="AG41" i="2" s="1"/>
  <c r="Z41" i="2" s="1"/>
  <c r="G44" i="2"/>
  <c r="AB44" i="2"/>
  <c r="AH44" i="2" s="1"/>
  <c r="AI44" i="2" s="1"/>
  <c r="AJ44" i="2" s="1"/>
  <c r="AK44" i="2" s="1"/>
  <c r="T44" i="2" s="1"/>
  <c r="G47" i="2"/>
  <c r="AB47" i="2"/>
  <c r="G50" i="2"/>
  <c r="AB50" i="2"/>
  <c r="AH50" i="2" s="1"/>
  <c r="AI50" i="2" s="1"/>
  <c r="AJ50" i="2" s="1"/>
  <c r="AK50" i="2" s="1"/>
  <c r="T50" i="2" s="1"/>
  <c r="G53" i="2"/>
  <c r="AB53" i="2"/>
  <c r="G56" i="2"/>
  <c r="AB56" i="2"/>
  <c r="E46" i="5"/>
  <c r="E54" i="5"/>
  <c r="F52" i="5"/>
  <c r="G38" i="6"/>
  <c r="I38" i="6" s="1"/>
  <c r="O38" i="6" s="1"/>
  <c r="I41" i="3"/>
  <c r="I45" i="3"/>
  <c r="I49" i="3"/>
  <c r="I53" i="3"/>
  <c r="I38" i="3"/>
  <c r="I42" i="3"/>
  <c r="I46" i="3"/>
  <c r="I50" i="3"/>
  <c r="I54" i="3"/>
  <c r="M40" i="3"/>
  <c r="M44" i="3"/>
  <c r="M48" i="3"/>
  <c r="M52" i="3"/>
  <c r="M56" i="3"/>
  <c r="G37" i="6"/>
  <c r="I37" i="6" s="1"/>
  <c r="O37" i="6" s="1"/>
  <c r="G39" i="6"/>
  <c r="I39" i="6" s="1"/>
  <c r="O39" i="6" s="1"/>
  <c r="I39" i="3"/>
  <c r="I43" i="3"/>
  <c r="I47" i="3"/>
  <c r="I51" i="3"/>
  <c r="I55" i="3"/>
  <c r="F58" i="5"/>
  <c r="S58" i="5" s="1"/>
  <c r="U58" i="5" s="1"/>
  <c r="F51" i="6"/>
  <c r="F41" i="5"/>
  <c r="F42" i="5"/>
  <c r="S42" i="5" s="1"/>
  <c r="U42" i="5" s="1"/>
  <c r="F51" i="5"/>
  <c r="E52" i="5"/>
  <c r="G43" i="6"/>
  <c r="I43" i="6" s="1"/>
  <c r="O43" i="6" s="1"/>
  <c r="F45" i="6"/>
  <c r="F55" i="6"/>
  <c r="G44" i="6"/>
  <c r="I44" i="6" s="1"/>
  <c r="O44" i="6" s="1"/>
  <c r="G46" i="6"/>
  <c r="I46" i="6" s="1"/>
  <c r="O46" i="6" s="1"/>
  <c r="G48" i="6"/>
  <c r="I48" i="6" s="1"/>
  <c r="O48" i="6" s="1"/>
  <c r="F49" i="6"/>
  <c r="F41" i="6"/>
  <c r="F47" i="6"/>
  <c r="F37" i="6"/>
  <c r="G42" i="6"/>
  <c r="I42" i="6" s="1"/>
  <c r="O42" i="6" s="1"/>
  <c r="G45" i="6"/>
  <c r="I45" i="6" s="1"/>
  <c r="O45" i="6" s="1"/>
  <c r="F53" i="6"/>
  <c r="F38" i="6"/>
  <c r="F40" i="6"/>
  <c r="F42" i="6"/>
  <c r="F44" i="6"/>
  <c r="F46" i="6"/>
  <c r="F48" i="6"/>
  <c r="F50" i="6"/>
  <c r="F52" i="6"/>
  <c r="F54" i="6"/>
  <c r="E42" i="5"/>
  <c r="F57" i="5"/>
  <c r="E58" i="5"/>
  <c r="F40" i="5"/>
  <c r="E40" i="5"/>
  <c r="F48" i="5"/>
  <c r="E48" i="5"/>
  <c r="F56" i="5"/>
  <c r="E56" i="5"/>
  <c r="F50" i="5"/>
  <c r="E50" i="5"/>
  <c r="F44" i="5"/>
  <c r="E44" i="5"/>
  <c r="F45" i="5"/>
  <c r="F46" i="5"/>
  <c r="F43" i="5"/>
  <c r="F49" i="5"/>
  <c r="F53" i="5"/>
  <c r="F54" i="5"/>
  <c r="F47" i="5"/>
  <c r="F55" i="5"/>
  <c r="E41" i="5"/>
  <c r="E43" i="5"/>
  <c r="E45" i="5"/>
  <c r="E47" i="5"/>
  <c r="E49" i="5"/>
  <c r="E51" i="5"/>
  <c r="E53" i="5"/>
  <c r="E55" i="5"/>
  <c r="E57" i="5"/>
  <c r="D36" i="6"/>
  <c r="C36" i="6"/>
  <c r="B36" i="6"/>
  <c r="A36" i="6"/>
  <c r="D35" i="6"/>
  <c r="C35" i="6"/>
  <c r="B35" i="6"/>
  <c r="A35" i="6"/>
  <c r="D34" i="6"/>
  <c r="C34" i="6"/>
  <c r="B34" i="6"/>
  <c r="A34" i="6"/>
  <c r="D33" i="6"/>
  <c r="C33" i="6"/>
  <c r="B33" i="6"/>
  <c r="A33" i="6"/>
  <c r="D32" i="6"/>
  <c r="C32" i="6"/>
  <c r="B32" i="6"/>
  <c r="A32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D26" i="6"/>
  <c r="C26" i="6"/>
  <c r="B26" i="6"/>
  <c r="A26" i="6"/>
  <c r="D25" i="6"/>
  <c r="C25" i="6"/>
  <c r="B25" i="6"/>
  <c r="A25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D19" i="6"/>
  <c r="C19" i="6"/>
  <c r="B19" i="6"/>
  <c r="A19" i="6"/>
  <c r="D18" i="6"/>
  <c r="C18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40" i="4"/>
  <c r="J40" i="4" s="1"/>
  <c r="C40" i="4"/>
  <c r="H40" i="4" s="1"/>
  <c r="B40" i="4"/>
  <c r="A40" i="4"/>
  <c r="D39" i="4"/>
  <c r="J39" i="4" s="1"/>
  <c r="C39" i="4"/>
  <c r="H39" i="4" s="1"/>
  <c r="B39" i="4"/>
  <c r="A39" i="4"/>
  <c r="D38" i="4"/>
  <c r="J38" i="4" s="1"/>
  <c r="C38" i="4"/>
  <c r="H38" i="4" s="1"/>
  <c r="B38" i="4"/>
  <c r="A38" i="4"/>
  <c r="D37" i="4"/>
  <c r="J37" i="4" s="1"/>
  <c r="C37" i="4"/>
  <c r="H37" i="4" s="1"/>
  <c r="B37" i="4"/>
  <c r="A37" i="4"/>
  <c r="D36" i="4"/>
  <c r="J36" i="4" s="1"/>
  <c r="C36" i="4"/>
  <c r="H36" i="4" s="1"/>
  <c r="B36" i="4"/>
  <c r="A36" i="4"/>
  <c r="D35" i="4"/>
  <c r="J35" i="4" s="1"/>
  <c r="C35" i="4"/>
  <c r="H35" i="4" s="1"/>
  <c r="B35" i="4"/>
  <c r="A35" i="4"/>
  <c r="D34" i="4"/>
  <c r="J34" i="4" s="1"/>
  <c r="C34" i="4"/>
  <c r="H34" i="4" s="1"/>
  <c r="B34" i="4"/>
  <c r="A34" i="4"/>
  <c r="D33" i="4"/>
  <c r="J33" i="4" s="1"/>
  <c r="C33" i="4"/>
  <c r="H33" i="4" s="1"/>
  <c r="B33" i="4"/>
  <c r="A33" i="4"/>
  <c r="D32" i="4"/>
  <c r="J32" i="4" s="1"/>
  <c r="C32" i="4"/>
  <c r="H32" i="4" s="1"/>
  <c r="B32" i="4"/>
  <c r="A32" i="4"/>
  <c r="D31" i="4"/>
  <c r="J31" i="4" s="1"/>
  <c r="C31" i="4"/>
  <c r="H31" i="4" s="1"/>
  <c r="B31" i="4"/>
  <c r="A31" i="4"/>
  <c r="D30" i="4"/>
  <c r="J30" i="4" s="1"/>
  <c r="C30" i="4"/>
  <c r="H30" i="4" s="1"/>
  <c r="B30" i="4"/>
  <c r="A30" i="4"/>
  <c r="D29" i="4"/>
  <c r="J29" i="4" s="1"/>
  <c r="C29" i="4"/>
  <c r="H29" i="4" s="1"/>
  <c r="B29" i="4"/>
  <c r="A29" i="4"/>
  <c r="D28" i="4"/>
  <c r="J28" i="4" s="1"/>
  <c r="C28" i="4"/>
  <c r="H28" i="4" s="1"/>
  <c r="B28" i="4"/>
  <c r="A28" i="4"/>
  <c r="D27" i="4"/>
  <c r="J27" i="4" s="1"/>
  <c r="C27" i="4"/>
  <c r="H27" i="4" s="1"/>
  <c r="B27" i="4"/>
  <c r="A27" i="4"/>
  <c r="D26" i="4"/>
  <c r="J26" i="4" s="1"/>
  <c r="C26" i="4"/>
  <c r="H26" i="4" s="1"/>
  <c r="B26" i="4"/>
  <c r="A26" i="4"/>
  <c r="D25" i="4"/>
  <c r="J25" i="4" s="1"/>
  <c r="C25" i="4"/>
  <c r="H25" i="4" s="1"/>
  <c r="B25" i="4"/>
  <c r="A25" i="4"/>
  <c r="D24" i="4"/>
  <c r="J24" i="4" s="1"/>
  <c r="C24" i="4"/>
  <c r="H24" i="4" s="1"/>
  <c r="B24" i="4"/>
  <c r="A24" i="4"/>
  <c r="D23" i="4"/>
  <c r="J23" i="4" s="1"/>
  <c r="C23" i="4"/>
  <c r="H23" i="4" s="1"/>
  <c r="B23" i="4"/>
  <c r="A23" i="4"/>
  <c r="D22" i="4"/>
  <c r="J22" i="4" s="1"/>
  <c r="C22" i="4"/>
  <c r="H22" i="4" s="1"/>
  <c r="B22" i="4"/>
  <c r="A22" i="4"/>
  <c r="D21" i="4"/>
  <c r="J21" i="4" s="1"/>
  <c r="C21" i="4"/>
  <c r="H21" i="4" s="1"/>
  <c r="B21" i="4"/>
  <c r="A21" i="4"/>
  <c r="D20" i="4"/>
  <c r="J20" i="4" s="1"/>
  <c r="C20" i="4"/>
  <c r="H20" i="4" s="1"/>
  <c r="B20" i="4"/>
  <c r="A20" i="4"/>
  <c r="D19" i="4"/>
  <c r="J19" i="4" s="1"/>
  <c r="C19" i="4"/>
  <c r="H19" i="4" s="1"/>
  <c r="B19" i="4"/>
  <c r="A19" i="4"/>
  <c r="D18" i="4"/>
  <c r="J18" i="4" s="1"/>
  <c r="C18" i="4"/>
  <c r="H18" i="4" s="1"/>
  <c r="B18" i="4"/>
  <c r="A18" i="4"/>
  <c r="D17" i="4"/>
  <c r="J17" i="4" s="1"/>
  <c r="C17" i="4"/>
  <c r="H17" i="4" s="1"/>
  <c r="B17" i="4"/>
  <c r="A17" i="4"/>
  <c r="D16" i="4"/>
  <c r="J16" i="4" s="1"/>
  <c r="C16" i="4"/>
  <c r="H16" i="4" s="1"/>
  <c r="B16" i="4"/>
  <c r="A16" i="4"/>
  <c r="D15" i="4"/>
  <c r="J15" i="4" s="1"/>
  <c r="C15" i="4"/>
  <c r="H15" i="4" s="1"/>
  <c r="B15" i="4"/>
  <c r="A15" i="4"/>
  <c r="D14" i="4"/>
  <c r="J14" i="4" s="1"/>
  <c r="C14" i="4"/>
  <c r="H14" i="4" s="1"/>
  <c r="B14" i="4"/>
  <c r="A14" i="4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A37" i="3"/>
  <c r="Z37" i="3"/>
  <c r="D37" i="3"/>
  <c r="C37" i="3"/>
  <c r="A37" i="3"/>
  <c r="AA36" i="3"/>
  <c r="Z36" i="3"/>
  <c r="D36" i="3"/>
  <c r="C36" i="3"/>
  <c r="A36" i="3"/>
  <c r="AA35" i="3"/>
  <c r="Z35" i="3"/>
  <c r="D35" i="3"/>
  <c r="C35" i="3"/>
  <c r="A35" i="3"/>
  <c r="AA34" i="3"/>
  <c r="Z34" i="3"/>
  <c r="D34" i="3"/>
  <c r="C34" i="3"/>
  <c r="A34" i="3"/>
  <c r="AA33" i="3"/>
  <c r="Z33" i="3"/>
  <c r="D33" i="3"/>
  <c r="C33" i="3"/>
  <c r="A33" i="3"/>
  <c r="AA32" i="3"/>
  <c r="Z32" i="3"/>
  <c r="D32" i="3"/>
  <c r="C32" i="3"/>
  <c r="A32" i="3"/>
  <c r="AA31" i="3"/>
  <c r="Z31" i="3"/>
  <c r="D31" i="3"/>
  <c r="C31" i="3"/>
  <c r="A31" i="3"/>
  <c r="AA30" i="3"/>
  <c r="Z30" i="3"/>
  <c r="D30" i="3"/>
  <c r="C30" i="3"/>
  <c r="A30" i="3"/>
  <c r="AA29" i="3"/>
  <c r="Z29" i="3"/>
  <c r="D29" i="3"/>
  <c r="C29" i="3"/>
  <c r="A29" i="3"/>
  <c r="AA28" i="3"/>
  <c r="Z28" i="3"/>
  <c r="D28" i="3"/>
  <c r="C28" i="3"/>
  <c r="A28" i="3"/>
  <c r="AA27" i="3"/>
  <c r="Z27" i="3"/>
  <c r="D27" i="3"/>
  <c r="C27" i="3"/>
  <c r="A27" i="3"/>
  <c r="AA26" i="3"/>
  <c r="Z26" i="3"/>
  <c r="D26" i="3"/>
  <c r="C26" i="3"/>
  <c r="A26" i="3"/>
  <c r="AA25" i="3"/>
  <c r="Z25" i="3"/>
  <c r="D25" i="3"/>
  <c r="C25" i="3"/>
  <c r="A25" i="3"/>
  <c r="AA24" i="3"/>
  <c r="Z24" i="3"/>
  <c r="D24" i="3"/>
  <c r="C24" i="3"/>
  <c r="A24" i="3"/>
  <c r="AA23" i="3"/>
  <c r="Z23" i="3"/>
  <c r="D23" i="3"/>
  <c r="C23" i="3"/>
  <c r="A23" i="3"/>
  <c r="AA22" i="3"/>
  <c r="Z22" i="3"/>
  <c r="D22" i="3"/>
  <c r="C22" i="3"/>
  <c r="A22" i="3"/>
  <c r="AA21" i="3"/>
  <c r="Z21" i="3"/>
  <c r="D21" i="3"/>
  <c r="C21" i="3"/>
  <c r="A21" i="3"/>
  <c r="AA20" i="3"/>
  <c r="Z20" i="3"/>
  <c r="D20" i="3"/>
  <c r="C20" i="3"/>
  <c r="A20" i="3"/>
  <c r="AA19" i="3"/>
  <c r="Z19" i="3"/>
  <c r="D19" i="3"/>
  <c r="C19" i="3"/>
  <c r="A19" i="3"/>
  <c r="AA18" i="3"/>
  <c r="Z18" i="3"/>
  <c r="D18" i="3"/>
  <c r="C18" i="3"/>
  <c r="A18" i="3"/>
  <c r="AA17" i="3"/>
  <c r="Z17" i="3"/>
  <c r="D17" i="3"/>
  <c r="C17" i="3"/>
  <c r="A17" i="3"/>
  <c r="AA16" i="3"/>
  <c r="Z16" i="3"/>
  <c r="D16" i="3"/>
  <c r="C16" i="3"/>
  <c r="A16" i="3"/>
  <c r="AA15" i="3"/>
  <c r="Z15" i="3"/>
  <c r="D15" i="3"/>
  <c r="C15" i="3"/>
  <c r="A15" i="3"/>
  <c r="AA14" i="3"/>
  <c r="Z14" i="3"/>
  <c r="D14" i="3"/>
  <c r="C14" i="3"/>
  <c r="A14" i="3"/>
  <c r="AA13" i="3"/>
  <c r="Z13" i="3"/>
  <c r="D13" i="3"/>
  <c r="C13" i="3"/>
  <c r="A13" i="3"/>
  <c r="AA12" i="3"/>
  <c r="Z12" i="3"/>
  <c r="D12" i="3"/>
  <c r="C12" i="3"/>
  <c r="A12" i="3"/>
  <c r="AA11" i="3"/>
  <c r="Z11" i="3"/>
  <c r="D11" i="3"/>
  <c r="C11" i="3"/>
  <c r="A11" i="3"/>
  <c r="AA10" i="3"/>
  <c r="Z10" i="3"/>
  <c r="D10" i="3"/>
  <c r="C10" i="3"/>
  <c r="A10" i="3"/>
  <c r="AA9" i="3"/>
  <c r="Z9" i="3"/>
  <c r="D9" i="3"/>
  <c r="C9" i="3"/>
  <c r="A9" i="3"/>
  <c r="AA8" i="3"/>
  <c r="Z8" i="3"/>
  <c r="O8" i="3"/>
  <c r="N8" i="3"/>
  <c r="D8" i="3"/>
  <c r="C8" i="3"/>
  <c r="A8" i="3"/>
  <c r="H37" i="2"/>
  <c r="D37" i="2"/>
  <c r="N37" i="2" s="1"/>
  <c r="C37" i="2"/>
  <c r="A37" i="2"/>
  <c r="H36" i="2"/>
  <c r="D36" i="2"/>
  <c r="C36" i="2"/>
  <c r="A36" i="2"/>
  <c r="H35" i="2"/>
  <c r="D35" i="2"/>
  <c r="C35" i="2"/>
  <c r="A35" i="2"/>
  <c r="H34" i="2"/>
  <c r="D34" i="2"/>
  <c r="N34" i="2" s="1"/>
  <c r="C34" i="2"/>
  <c r="A34" i="2"/>
  <c r="H33" i="2"/>
  <c r="D33" i="2"/>
  <c r="N33" i="2" s="1"/>
  <c r="C33" i="2"/>
  <c r="A33" i="2"/>
  <c r="H32" i="2"/>
  <c r="D32" i="2"/>
  <c r="N32" i="2" s="1"/>
  <c r="C32" i="2"/>
  <c r="A32" i="2"/>
  <c r="H31" i="2"/>
  <c r="D31" i="2"/>
  <c r="N31" i="2" s="1"/>
  <c r="C31" i="2"/>
  <c r="A31" i="2"/>
  <c r="H30" i="2"/>
  <c r="D30" i="2"/>
  <c r="C30" i="2"/>
  <c r="A30" i="2"/>
  <c r="H29" i="2"/>
  <c r="D29" i="2"/>
  <c r="N29" i="2" s="1"/>
  <c r="C29" i="2"/>
  <c r="A29" i="2"/>
  <c r="H28" i="2"/>
  <c r="D28" i="2"/>
  <c r="N28" i="2" s="1"/>
  <c r="C28" i="2"/>
  <c r="A28" i="2"/>
  <c r="H27" i="2"/>
  <c r="D27" i="2"/>
  <c r="N27" i="2" s="1"/>
  <c r="C27" i="2"/>
  <c r="A27" i="2"/>
  <c r="H26" i="2"/>
  <c r="D26" i="2"/>
  <c r="C26" i="2"/>
  <c r="A26" i="2"/>
  <c r="H25" i="2"/>
  <c r="D25" i="2"/>
  <c r="N25" i="2" s="1"/>
  <c r="C25" i="2"/>
  <c r="A25" i="2"/>
  <c r="H24" i="2"/>
  <c r="D24" i="2"/>
  <c r="N24" i="2" s="1"/>
  <c r="C24" i="2"/>
  <c r="A24" i="2"/>
  <c r="H23" i="2"/>
  <c r="D23" i="2"/>
  <c r="C23" i="2"/>
  <c r="A23" i="2"/>
  <c r="H22" i="2"/>
  <c r="D22" i="2"/>
  <c r="N22" i="2" s="1"/>
  <c r="C22" i="2"/>
  <c r="A22" i="2"/>
  <c r="H21" i="2"/>
  <c r="D21" i="2"/>
  <c r="C21" i="2"/>
  <c r="A21" i="2"/>
  <c r="H20" i="2"/>
  <c r="D20" i="2"/>
  <c r="C20" i="2"/>
  <c r="A20" i="2"/>
  <c r="H19" i="2"/>
  <c r="D19" i="2"/>
  <c r="N19" i="2" s="1"/>
  <c r="C19" i="2"/>
  <c r="A19" i="2"/>
  <c r="H18" i="2"/>
  <c r="D18" i="2"/>
  <c r="N18" i="2" s="1"/>
  <c r="C18" i="2"/>
  <c r="A18" i="2"/>
  <c r="H17" i="2"/>
  <c r="D17" i="2"/>
  <c r="N17" i="2" s="1"/>
  <c r="C17" i="2"/>
  <c r="A17" i="2"/>
  <c r="H16" i="2"/>
  <c r="D16" i="2"/>
  <c r="N16" i="2" s="1"/>
  <c r="C16" i="2"/>
  <c r="A16" i="2"/>
  <c r="H15" i="2"/>
  <c r="D15" i="2"/>
  <c r="N15" i="2" s="1"/>
  <c r="C15" i="2"/>
  <c r="A15" i="2"/>
  <c r="H14" i="2"/>
  <c r="D14" i="2"/>
  <c r="N14" i="2" s="1"/>
  <c r="C14" i="2"/>
  <c r="A14" i="2"/>
  <c r="H13" i="2"/>
  <c r="D13" i="2"/>
  <c r="C13" i="2"/>
  <c r="A13" i="2"/>
  <c r="H12" i="2"/>
  <c r="D12" i="2"/>
  <c r="C12" i="2"/>
  <c r="A12" i="2"/>
  <c r="H11" i="2"/>
  <c r="D11" i="2"/>
  <c r="N11" i="2" s="1"/>
  <c r="C11" i="2"/>
  <c r="A11" i="2"/>
  <c r="H10" i="2"/>
  <c r="D10" i="2"/>
  <c r="N10" i="2" s="1"/>
  <c r="C10" i="2"/>
  <c r="A10" i="2"/>
  <c r="H9" i="2"/>
  <c r="D9" i="2"/>
  <c r="N9" i="2" s="1"/>
  <c r="C9" i="2"/>
  <c r="A9" i="2"/>
  <c r="H8" i="2"/>
  <c r="F8" i="2"/>
  <c r="D8" i="2"/>
  <c r="N8" i="2" s="1"/>
  <c r="C8" i="2"/>
  <c r="AB8" i="2" s="1"/>
  <c r="A8" i="2"/>
  <c r="AD53" i="2" l="1"/>
  <c r="AE53" i="2" s="1"/>
  <c r="AF53" i="2" s="1"/>
  <c r="AG53" i="2" s="1"/>
  <c r="Z53" i="2" s="1"/>
  <c r="AD47" i="2"/>
  <c r="AE47" i="2" s="1"/>
  <c r="AF47" i="2" s="1"/>
  <c r="AG47" i="2" s="1"/>
  <c r="Z47" i="2" s="1"/>
  <c r="AD56" i="2"/>
  <c r="AE56" i="2" s="1"/>
  <c r="AF56" i="2" s="1"/>
  <c r="AG56" i="2" s="1"/>
  <c r="Z56" i="2" s="1"/>
  <c r="AY56" i="3" s="1"/>
  <c r="Y11" i="3"/>
  <c r="S11" i="3"/>
  <c r="Y27" i="3"/>
  <c r="S27" i="3"/>
  <c r="Y35" i="3"/>
  <c r="S35" i="3"/>
  <c r="AC12" i="2"/>
  <c r="N12" i="2"/>
  <c r="AC20" i="2"/>
  <c r="N20" i="2"/>
  <c r="AC21" i="2"/>
  <c r="N21" i="2"/>
  <c r="AC23" i="2"/>
  <c r="N23" i="2"/>
  <c r="AC26" i="2"/>
  <c r="N26" i="2"/>
  <c r="Y16" i="3"/>
  <c r="S16" i="3"/>
  <c r="Y28" i="3"/>
  <c r="S28" i="3"/>
  <c r="AD45" i="2"/>
  <c r="AE45" i="2" s="1"/>
  <c r="AF45" i="2" s="1"/>
  <c r="AG45" i="2" s="1"/>
  <c r="Z45" i="2" s="1"/>
  <c r="S44" i="6" s="1"/>
  <c r="Y9" i="3"/>
  <c r="S9" i="3"/>
  <c r="Y13" i="3"/>
  <c r="S13" i="3"/>
  <c r="Y17" i="3"/>
  <c r="S17" i="3"/>
  <c r="Y21" i="3"/>
  <c r="S21" i="3"/>
  <c r="Y25" i="3"/>
  <c r="S25" i="3"/>
  <c r="Y29" i="3"/>
  <c r="S29" i="3"/>
  <c r="Y33" i="3"/>
  <c r="S33" i="3"/>
  <c r="Y37" i="3"/>
  <c r="S37" i="3"/>
  <c r="AD42" i="2"/>
  <c r="AE42" i="2" s="1"/>
  <c r="AF42" i="2" s="1"/>
  <c r="AG42" i="2" s="1"/>
  <c r="Z42" i="2" s="1"/>
  <c r="Y15" i="3"/>
  <c r="S15" i="3"/>
  <c r="Y19" i="3"/>
  <c r="S19" i="3"/>
  <c r="Y23" i="3"/>
  <c r="S23" i="3"/>
  <c r="Y31" i="3"/>
  <c r="S31" i="3"/>
  <c r="AC13" i="2"/>
  <c r="N13" i="2"/>
  <c r="AC30" i="2"/>
  <c r="N30" i="2"/>
  <c r="AC35" i="2"/>
  <c r="N35" i="2"/>
  <c r="AC36" i="2"/>
  <c r="N36" i="2"/>
  <c r="Y12" i="3"/>
  <c r="S12" i="3"/>
  <c r="Y20" i="3"/>
  <c r="S20" i="3"/>
  <c r="Y24" i="3"/>
  <c r="S24" i="3"/>
  <c r="Y32" i="3"/>
  <c r="S32" i="3"/>
  <c r="Y36" i="3"/>
  <c r="S36" i="3"/>
  <c r="AD49" i="2"/>
  <c r="AE49" i="2" s="1"/>
  <c r="AF49" i="2" s="1"/>
  <c r="AG49" i="2" s="1"/>
  <c r="Z49" i="2" s="1"/>
  <c r="S48" i="6" s="1"/>
  <c r="Y8" i="3"/>
  <c r="S8" i="3"/>
  <c r="Y10" i="3"/>
  <c r="S10" i="3"/>
  <c r="Y14" i="3"/>
  <c r="S14" i="3"/>
  <c r="Y18" i="3"/>
  <c r="S18" i="3"/>
  <c r="Y22" i="3"/>
  <c r="S22" i="3"/>
  <c r="Y26" i="3"/>
  <c r="S26" i="3"/>
  <c r="Y30" i="3"/>
  <c r="S30" i="3"/>
  <c r="Y34" i="3"/>
  <c r="S34" i="3"/>
  <c r="AD51" i="2"/>
  <c r="AE51" i="2" s="1"/>
  <c r="AF51" i="2" s="1"/>
  <c r="AG51" i="2" s="1"/>
  <c r="Z51" i="2" s="1"/>
  <c r="AH42" i="2"/>
  <c r="AI42" i="2" s="1"/>
  <c r="AJ42" i="2" s="1"/>
  <c r="AK42" i="2" s="1"/>
  <c r="T42" i="2" s="1"/>
  <c r="U41" i="6" s="1"/>
  <c r="AB57" i="3"/>
  <c r="U49" i="6"/>
  <c r="W49" i="6"/>
  <c r="N52" i="5"/>
  <c r="AS50" i="3"/>
  <c r="Q52" i="6"/>
  <c r="AY53" i="3"/>
  <c r="S52" i="6"/>
  <c r="Q50" i="6"/>
  <c r="AY51" i="3"/>
  <c r="S50" i="6"/>
  <c r="AY42" i="3"/>
  <c r="S41" i="6"/>
  <c r="Q41" i="6"/>
  <c r="AY49" i="3"/>
  <c r="AH53" i="2"/>
  <c r="AI53" i="2" s="1"/>
  <c r="AJ53" i="2" s="1"/>
  <c r="AK53" i="2" s="1"/>
  <c r="T53" i="2" s="1"/>
  <c r="Q44" i="6"/>
  <c r="AH51" i="2"/>
  <c r="AI51" i="2" s="1"/>
  <c r="AJ51" i="2" s="1"/>
  <c r="AK51" i="2" s="1"/>
  <c r="T51" i="2" s="1"/>
  <c r="AS42" i="3"/>
  <c r="W41" i="6"/>
  <c r="S46" i="6"/>
  <c r="Q46" i="6"/>
  <c r="AY47" i="3"/>
  <c r="AS44" i="3"/>
  <c r="W43" i="6"/>
  <c r="N46" i="5"/>
  <c r="U43" i="6"/>
  <c r="N56" i="5"/>
  <c r="AS54" i="3"/>
  <c r="W53" i="6"/>
  <c r="U53" i="6"/>
  <c r="AD46" i="2"/>
  <c r="AE46" i="2" s="1"/>
  <c r="AF46" i="2" s="1"/>
  <c r="AG46" i="2" s="1"/>
  <c r="Z46" i="2" s="1"/>
  <c r="U54" i="6"/>
  <c r="AS55" i="3"/>
  <c r="N57" i="5"/>
  <c r="W54" i="6"/>
  <c r="N51" i="5"/>
  <c r="W48" i="6"/>
  <c r="U48" i="6"/>
  <c r="AS49" i="3"/>
  <c r="S40" i="6"/>
  <c r="AY41" i="3"/>
  <c r="Q40" i="6"/>
  <c r="G22" i="2"/>
  <c r="AB22" i="2"/>
  <c r="AH22" i="2" s="1"/>
  <c r="AI22" i="2" s="1"/>
  <c r="AJ22" i="2" s="1"/>
  <c r="AK22" i="2" s="1"/>
  <c r="T22" i="2" s="1"/>
  <c r="G31" i="2"/>
  <c r="AB31" i="2"/>
  <c r="AC16" i="2"/>
  <c r="AC19" i="2"/>
  <c r="AC22" i="2"/>
  <c r="AC25" i="2"/>
  <c r="AC28" i="2"/>
  <c r="AC31" i="2"/>
  <c r="AC34" i="2"/>
  <c r="AC37" i="2"/>
  <c r="G28" i="2"/>
  <c r="AB28" i="2"/>
  <c r="AH28" i="2" s="1"/>
  <c r="AI28" i="2" s="1"/>
  <c r="AJ28" i="2" s="1"/>
  <c r="AK28" i="2" s="1"/>
  <c r="T28" i="2" s="1"/>
  <c r="AH43" i="2"/>
  <c r="AI43" i="2" s="1"/>
  <c r="AJ43" i="2" s="1"/>
  <c r="AK43" i="2" s="1"/>
  <c r="T43" i="2" s="1"/>
  <c r="AD43" i="2"/>
  <c r="AE43" i="2" s="1"/>
  <c r="AF43" i="2" s="1"/>
  <c r="AG43" i="2" s="1"/>
  <c r="Z43" i="2" s="1"/>
  <c r="G16" i="2"/>
  <c r="AB16" i="2"/>
  <c r="AD16" i="2" s="1"/>
  <c r="AE16" i="2" s="1"/>
  <c r="AF16" i="2" s="1"/>
  <c r="AG16" i="2" s="1"/>
  <c r="Z16" i="2" s="1"/>
  <c r="G37" i="2"/>
  <c r="AB37" i="2"/>
  <c r="G32" i="2"/>
  <c r="AB32" i="2"/>
  <c r="AH32" i="2" s="1"/>
  <c r="AI32" i="2" s="1"/>
  <c r="AJ32" i="2" s="1"/>
  <c r="AK32" i="2" s="1"/>
  <c r="T32" i="2" s="1"/>
  <c r="G19" i="2"/>
  <c r="AB19" i="2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G17" i="2"/>
  <c r="AB17" i="2"/>
  <c r="AH17" i="2" s="1"/>
  <c r="AI17" i="2" s="1"/>
  <c r="AJ17" i="2" s="1"/>
  <c r="AK17" i="2" s="1"/>
  <c r="T17" i="2" s="1"/>
  <c r="G23" i="2"/>
  <c r="AB23" i="2"/>
  <c r="G35" i="2"/>
  <c r="AB35" i="2"/>
  <c r="AC17" i="2"/>
  <c r="G21" i="2"/>
  <c r="AB21" i="2"/>
  <c r="AH21" i="2" s="1"/>
  <c r="AI21" i="2" s="1"/>
  <c r="AJ21" i="2" s="1"/>
  <c r="AK21" i="2" s="1"/>
  <c r="T21" i="2" s="1"/>
  <c r="G30" i="2"/>
  <c r="AB30" i="2"/>
  <c r="G36" i="2"/>
  <c r="AB36" i="2"/>
  <c r="AD50" i="2"/>
  <c r="AE50" i="2" s="1"/>
  <c r="AF50" i="2" s="1"/>
  <c r="AG50" i="2" s="1"/>
  <c r="Z50" i="2" s="1"/>
  <c r="AD54" i="2"/>
  <c r="AE54" i="2" s="1"/>
  <c r="AF54" i="2" s="1"/>
  <c r="AG54" i="2" s="1"/>
  <c r="Z54" i="2" s="1"/>
  <c r="AH52" i="2"/>
  <c r="AI52" i="2" s="1"/>
  <c r="AJ52" i="2" s="1"/>
  <c r="AK52" i="2" s="1"/>
  <c r="T52" i="2" s="1"/>
  <c r="AD52" i="2"/>
  <c r="AE52" i="2" s="1"/>
  <c r="AF52" i="2" s="1"/>
  <c r="AG52" i="2" s="1"/>
  <c r="Z52" i="2" s="1"/>
  <c r="G25" i="2"/>
  <c r="AB25" i="2"/>
  <c r="AH25" i="2" s="1"/>
  <c r="AI25" i="2" s="1"/>
  <c r="AJ25" i="2" s="1"/>
  <c r="AK25" i="2" s="1"/>
  <c r="T25" i="2" s="1"/>
  <c r="G34" i="2"/>
  <c r="AB34" i="2"/>
  <c r="AD34" i="2" s="1"/>
  <c r="AE34" i="2" s="1"/>
  <c r="AF34" i="2" s="1"/>
  <c r="AG34" i="2" s="1"/>
  <c r="Z34" i="2" s="1"/>
  <c r="G29" i="2"/>
  <c r="AB29" i="2"/>
  <c r="G27" i="2"/>
  <c r="AB27" i="2"/>
  <c r="AH27" i="2" s="1"/>
  <c r="AI27" i="2" s="1"/>
  <c r="AJ27" i="2" s="1"/>
  <c r="AK27" i="2" s="1"/>
  <c r="T27" i="2" s="1"/>
  <c r="AC18" i="2"/>
  <c r="AC27" i="2"/>
  <c r="AC33" i="2"/>
  <c r="AH56" i="2"/>
  <c r="AI56" i="2" s="1"/>
  <c r="AJ56" i="2" s="1"/>
  <c r="AK56" i="2" s="1"/>
  <c r="T56" i="2" s="1"/>
  <c r="AH39" i="2"/>
  <c r="AI39" i="2" s="1"/>
  <c r="AJ39" i="2" s="1"/>
  <c r="AK39" i="2" s="1"/>
  <c r="T39" i="2" s="1"/>
  <c r="AD39" i="2"/>
  <c r="AE39" i="2" s="1"/>
  <c r="AF39" i="2" s="1"/>
  <c r="AG39" i="2" s="1"/>
  <c r="Z39" i="2" s="1"/>
  <c r="G20" i="2"/>
  <c r="AB20" i="2"/>
  <c r="G26" i="2"/>
  <c r="AB26" i="2"/>
  <c r="AH38" i="2"/>
  <c r="AI38" i="2" s="1"/>
  <c r="AJ38" i="2" s="1"/>
  <c r="AK38" i="2" s="1"/>
  <c r="T38" i="2" s="1"/>
  <c r="AD38" i="2"/>
  <c r="AE38" i="2" s="1"/>
  <c r="AF38" i="2" s="1"/>
  <c r="AG38" i="2" s="1"/>
  <c r="Z38" i="2" s="1"/>
  <c r="AH48" i="2"/>
  <c r="AI48" i="2" s="1"/>
  <c r="AJ48" i="2" s="1"/>
  <c r="AK48" i="2" s="1"/>
  <c r="T48" i="2" s="1"/>
  <c r="AD48" i="2"/>
  <c r="AE48" i="2" s="1"/>
  <c r="AF48" i="2" s="1"/>
  <c r="AG48" i="2" s="1"/>
  <c r="Z48" i="2" s="1"/>
  <c r="AH46" i="2"/>
  <c r="AI46" i="2" s="1"/>
  <c r="AJ46" i="2" s="1"/>
  <c r="AK46" i="2" s="1"/>
  <c r="T46" i="2" s="1"/>
  <c r="AH40" i="2"/>
  <c r="AI40" i="2" s="1"/>
  <c r="AJ40" i="2" s="1"/>
  <c r="AK40" i="2" s="1"/>
  <c r="T40" i="2" s="1"/>
  <c r="AD40" i="2"/>
  <c r="AE40" i="2" s="1"/>
  <c r="AF40" i="2" s="1"/>
  <c r="AG40" i="2" s="1"/>
  <c r="Z40" i="2" s="1"/>
  <c r="AC29" i="2"/>
  <c r="AC32" i="2"/>
  <c r="AD55" i="2"/>
  <c r="AE55" i="2" s="1"/>
  <c r="AF55" i="2" s="1"/>
  <c r="AG55" i="2" s="1"/>
  <c r="Z55" i="2" s="1"/>
  <c r="AD44" i="2"/>
  <c r="AE44" i="2" s="1"/>
  <c r="AF44" i="2" s="1"/>
  <c r="AG44" i="2" s="1"/>
  <c r="Z44" i="2" s="1"/>
  <c r="G18" i="2"/>
  <c r="AB18" i="2"/>
  <c r="AH18" i="2" s="1"/>
  <c r="AI18" i="2" s="1"/>
  <c r="AJ18" i="2" s="1"/>
  <c r="AK18" i="2" s="1"/>
  <c r="T18" i="2" s="1"/>
  <c r="G24" i="2"/>
  <c r="AB24" i="2"/>
  <c r="G33" i="2"/>
  <c r="AB33" i="2"/>
  <c r="AD21" i="2"/>
  <c r="AE21" i="2" s="1"/>
  <c r="AF21" i="2" s="1"/>
  <c r="AG21" i="2" s="1"/>
  <c r="Z21" i="2" s="1"/>
  <c r="AC24" i="2"/>
  <c r="AH47" i="2"/>
  <c r="AI47" i="2" s="1"/>
  <c r="AJ47" i="2" s="1"/>
  <c r="AK47" i="2" s="1"/>
  <c r="T47" i="2" s="1"/>
  <c r="AH45" i="2"/>
  <c r="AI45" i="2" s="1"/>
  <c r="AJ45" i="2" s="1"/>
  <c r="AK45" i="2" s="1"/>
  <c r="T45" i="2" s="1"/>
  <c r="AH41" i="2"/>
  <c r="AI41" i="2" s="1"/>
  <c r="AJ41" i="2" s="1"/>
  <c r="AK41" i="2" s="1"/>
  <c r="T41" i="2" s="1"/>
  <c r="AC9" i="2"/>
  <c r="G13" i="2"/>
  <c r="AB13" i="2"/>
  <c r="G11" i="2"/>
  <c r="AB11" i="2"/>
  <c r="G14" i="2"/>
  <c r="AB14" i="2"/>
  <c r="AC15" i="2"/>
  <c r="G10" i="2"/>
  <c r="AB10" i="2"/>
  <c r="AC10" i="2"/>
  <c r="AC14" i="2"/>
  <c r="AC11" i="2"/>
  <c r="G9" i="2"/>
  <c r="AB9" i="2"/>
  <c r="G12" i="2"/>
  <c r="AB12" i="2"/>
  <c r="G15" i="2"/>
  <c r="AB15" i="2"/>
  <c r="G8" i="2"/>
  <c r="G54" i="5"/>
  <c r="I54" i="5" s="1"/>
  <c r="G46" i="5"/>
  <c r="I46" i="5" s="1"/>
  <c r="G40" i="5"/>
  <c r="I40" i="5" s="1"/>
  <c r="S41" i="5"/>
  <c r="U41" i="5" s="1"/>
  <c r="S53" i="5"/>
  <c r="U53" i="5" s="1"/>
  <c r="S45" i="5"/>
  <c r="U45" i="5" s="1"/>
  <c r="G52" i="5"/>
  <c r="I52" i="5" s="1"/>
  <c r="S46" i="5"/>
  <c r="U46" i="5" s="1"/>
  <c r="G50" i="5"/>
  <c r="I50" i="5" s="1"/>
  <c r="G48" i="5"/>
  <c r="I48" i="5" s="1"/>
  <c r="G44" i="5"/>
  <c r="I44" i="5" s="1"/>
  <c r="G56" i="5"/>
  <c r="I56" i="5" s="1"/>
  <c r="G42" i="5"/>
  <c r="I42" i="5" s="1"/>
  <c r="G58" i="5"/>
  <c r="I58" i="5" s="1"/>
  <c r="S52" i="5"/>
  <c r="U52" i="5" s="1"/>
  <c r="M23" i="3"/>
  <c r="I23" i="3"/>
  <c r="M35" i="3"/>
  <c r="I35" i="3"/>
  <c r="I12" i="3"/>
  <c r="M12" i="3"/>
  <c r="I16" i="3"/>
  <c r="M16" i="3"/>
  <c r="I28" i="3"/>
  <c r="M28" i="3"/>
  <c r="M8" i="3"/>
  <c r="I8" i="3"/>
  <c r="M10" i="3"/>
  <c r="I10" i="3"/>
  <c r="M14" i="3"/>
  <c r="I14" i="3"/>
  <c r="M18" i="3"/>
  <c r="I18" i="3"/>
  <c r="M22" i="3"/>
  <c r="I22" i="3"/>
  <c r="M26" i="3"/>
  <c r="I26" i="3"/>
  <c r="M30" i="3"/>
  <c r="I30" i="3"/>
  <c r="M34" i="3"/>
  <c r="I34" i="3"/>
  <c r="E35" i="5"/>
  <c r="G45" i="5"/>
  <c r="I45" i="5" s="1"/>
  <c r="M19" i="3"/>
  <c r="I19" i="3"/>
  <c r="M27" i="3"/>
  <c r="I27" i="3"/>
  <c r="I20" i="3"/>
  <c r="M20" i="3"/>
  <c r="I24" i="3"/>
  <c r="M24" i="3"/>
  <c r="I32" i="3"/>
  <c r="M32" i="3"/>
  <c r="I36" i="3"/>
  <c r="M36" i="3"/>
  <c r="M11" i="3"/>
  <c r="I11" i="3"/>
  <c r="M15" i="3"/>
  <c r="I15" i="3"/>
  <c r="M31" i="3"/>
  <c r="I31" i="3"/>
  <c r="M9" i="3"/>
  <c r="I9" i="3"/>
  <c r="M13" i="3"/>
  <c r="I13" i="3"/>
  <c r="M17" i="3"/>
  <c r="I17" i="3"/>
  <c r="M21" i="3"/>
  <c r="I21" i="3"/>
  <c r="M25" i="3"/>
  <c r="I25" i="3"/>
  <c r="M29" i="3"/>
  <c r="I29" i="3"/>
  <c r="M33" i="3"/>
  <c r="I33" i="3"/>
  <c r="M37" i="3"/>
  <c r="I37" i="3"/>
  <c r="S44" i="5"/>
  <c r="U44" i="5" s="1"/>
  <c r="G41" i="5"/>
  <c r="I41" i="5" s="1"/>
  <c r="S51" i="5"/>
  <c r="U51" i="5" s="1"/>
  <c r="G51" i="5"/>
  <c r="I51" i="5" s="1"/>
  <c r="S48" i="5"/>
  <c r="U48" i="5" s="1"/>
  <c r="G23" i="6"/>
  <c r="I23" i="6" s="1"/>
  <c r="O23" i="6" s="1"/>
  <c r="F8" i="6"/>
  <c r="G24" i="6"/>
  <c r="I24" i="6" s="1"/>
  <c r="O24" i="6" s="1"/>
  <c r="G53" i="5"/>
  <c r="I53" i="5" s="1"/>
  <c r="S54" i="5"/>
  <c r="U54" i="5" s="1"/>
  <c r="F10" i="5"/>
  <c r="G10" i="5" s="1"/>
  <c r="I10" i="5" s="1"/>
  <c r="F14" i="5"/>
  <c r="G14" i="5" s="1"/>
  <c r="I14" i="5" s="1"/>
  <c r="F15" i="5"/>
  <c r="E27" i="5"/>
  <c r="E34" i="5"/>
  <c r="S57" i="5"/>
  <c r="U57" i="5" s="1"/>
  <c r="G57" i="5"/>
  <c r="I57" i="5" s="1"/>
  <c r="S40" i="5"/>
  <c r="U40" i="5" s="1"/>
  <c r="S50" i="5"/>
  <c r="U50" i="5" s="1"/>
  <c r="S49" i="5"/>
  <c r="U49" i="5" s="1"/>
  <c r="G49" i="5"/>
  <c r="I49" i="5" s="1"/>
  <c r="S56" i="5"/>
  <c r="U56" i="5" s="1"/>
  <c r="S43" i="5"/>
  <c r="U43" i="5" s="1"/>
  <c r="G43" i="5"/>
  <c r="I43" i="5" s="1"/>
  <c r="S47" i="5"/>
  <c r="U47" i="5" s="1"/>
  <c r="G47" i="5"/>
  <c r="I47" i="5" s="1"/>
  <c r="S55" i="5"/>
  <c r="U55" i="5" s="1"/>
  <c r="G55" i="5"/>
  <c r="I55" i="5" s="1"/>
  <c r="E16" i="5"/>
  <c r="E17" i="5"/>
  <c r="E19" i="5"/>
  <c r="F35" i="5"/>
  <c r="S35" i="5" s="1"/>
  <c r="U35" i="5" s="1"/>
  <c r="G31" i="6"/>
  <c r="I31" i="6" s="1"/>
  <c r="O31" i="6" s="1"/>
  <c r="G33" i="6"/>
  <c r="I33" i="6" s="1"/>
  <c r="O33" i="6" s="1"/>
  <c r="F16" i="5"/>
  <c r="E20" i="5"/>
  <c r="E21" i="5"/>
  <c r="E22" i="5"/>
  <c r="E24" i="5"/>
  <c r="G9" i="6"/>
  <c r="I9" i="6" s="1"/>
  <c r="O9" i="6" s="1"/>
  <c r="G32" i="6"/>
  <c r="I32" i="6" s="1"/>
  <c r="O32" i="6" s="1"/>
  <c r="E28" i="5"/>
  <c r="E29" i="5"/>
  <c r="E30" i="5"/>
  <c r="E32" i="5"/>
  <c r="G15" i="6"/>
  <c r="I15" i="6" s="1"/>
  <c r="O15" i="6" s="1"/>
  <c r="F19" i="5"/>
  <c r="F37" i="5"/>
  <c r="G8" i="6"/>
  <c r="I8" i="6" s="1"/>
  <c r="O8" i="6" s="1"/>
  <c r="F24" i="6"/>
  <c r="F35" i="6"/>
  <c r="G35" i="6"/>
  <c r="I35" i="6" s="1"/>
  <c r="O35" i="6" s="1"/>
  <c r="F18" i="5"/>
  <c r="E18" i="5"/>
  <c r="F33" i="5"/>
  <c r="E33" i="5"/>
  <c r="G17" i="6"/>
  <c r="I17" i="6" s="1"/>
  <c r="O17" i="6" s="1"/>
  <c r="F23" i="6"/>
  <c r="G25" i="6"/>
  <c r="I25" i="6" s="1"/>
  <c r="O25" i="6" s="1"/>
  <c r="F25" i="6"/>
  <c r="F33" i="6"/>
  <c r="F14" i="6"/>
  <c r="G14" i="6"/>
  <c r="I14" i="6" s="1"/>
  <c r="O14" i="6" s="1"/>
  <c r="E25" i="5"/>
  <c r="F25" i="5"/>
  <c r="F26" i="5"/>
  <c r="E26" i="5"/>
  <c r="G26" i="6"/>
  <c r="I26" i="6" s="1"/>
  <c r="O26" i="6" s="1"/>
  <c r="F31" i="6"/>
  <c r="F11" i="5"/>
  <c r="E11" i="5"/>
  <c r="F16" i="6"/>
  <c r="G16" i="6"/>
  <c r="I16" i="6" s="1"/>
  <c r="O16" i="6" s="1"/>
  <c r="E10" i="5"/>
  <c r="E12" i="5"/>
  <c r="E13" i="5"/>
  <c r="E14" i="5"/>
  <c r="F30" i="5"/>
  <c r="F31" i="5"/>
  <c r="F32" i="5"/>
  <c r="G13" i="6"/>
  <c r="I13" i="6" s="1"/>
  <c r="O13" i="6" s="1"/>
  <c r="F15" i="6"/>
  <c r="F17" i="5"/>
  <c r="F21" i="5"/>
  <c r="F24" i="5"/>
  <c r="F27" i="5"/>
  <c r="F34" i="5"/>
  <c r="E36" i="5"/>
  <c r="E37" i="5"/>
  <c r="E38" i="5"/>
  <c r="F7" i="6"/>
  <c r="G21" i="6"/>
  <c r="I21" i="6" s="1"/>
  <c r="O21" i="6" s="1"/>
  <c r="F21" i="6"/>
  <c r="E23" i="5"/>
  <c r="F23" i="5"/>
  <c r="E39" i="5"/>
  <c r="F39" i="5"/>
  <c r="G11" i="6"/>
  <c r="I11" i="6" s="1"/>
  <c r="O11" i="6" s="1"/>
  <c r="F11" i="6"/>
  <c r="G27" i="6"/>
  <c r="I27" i="6" s="1"/>
  <c r="O27" i="6" s="1"/>
  <c r="F27" i="6"/>
  <c r="F18" i="6"/>
  <c r="G18" i="6"/>
  <c r="I18" i="6" s="1"/>
  <c r="O18" i="6" s="1"/>
  <c r="F10" i="6"/>
  <c r="G10" i="6"/>
  <c r="I10" i="6" s="1"/>
  <c r="O10" i="6" s="1"/>
  <c r="F20" i="6"/>
  <c r="G20" i="6"/>
  <c r="I20" i="6" s="1"/>
  <c r="O20" i="6" s="1"/>
  <c r="F13" i="5"/>
  <c r="E15" i="5"/>
  <c r="F22" i="5"/>
  <c r="F29" i="5"/>
  <c r="E31" i="5"/>
  <c r="F38" i="5"/>
  <c r="F12" i="6"/>
  <c r="G12" i="6"/>
  <c r="I12" i="6" s="1"/>
  <c r="O12" i="6" s="1"/>
  <c r="F13" i="6"/>
  <c r="F30" i="6"/>
  <c r="G30" i="6"/>
  <c r="I30" i="6" s="1"/>
  <c r="O30" i="6" s="1"/>
  <c r="G19" i="6"/>
  <c r="I19" i="6" s="1"/>
  <c r="O19" i="6" s="1"/>
  <c r="F19" i="6"/>
  <c r="G29" i="6"/>
  <c r="I29" i="6" s="1"/>
  <c r="O29" i="6" s="1"/>
  <c r="F29" i="6"/>
  <c r="F12" i="5"/>
  <c r="F20" i="5"/>
  <c r="F28" i="5"/>
  <c r="F36" i="5"/>
  <c r="G7" i="6"/>
  <c r="F9" i="6"/>
  <c r="F17" i="6"/>
  <c r="F22" i="6"/>
  <c r="G22" i="6"/>
  <c r="I22" i="6" s="1"/>
  <c r="O22" i="6" s="1"/>
  <c r="F28" i="6"/>
  <c r="G28" i="6"/>
  <c r="I28" i="6" s="1"/>
  <c r="O28" i="6" s="1"/>
  <c r="F32" i="6"/>
  <c r="F26" i="6"/>
  <c r="G34" i="6"/>
  <c r="I34" i="6" s="1"/>
  <c r="O34" i="6" s="1"/>
  <c r="F34" i="6"/>
  <c r="G36" i="6"/>
  <c r="I36" i="6" s="1"/>
  <c r="O36" i="6" s="1"/>
  <c r="F36" i="6"/>
  <c r="AH34" i="2" l="1"/>
  <c r="AI34" i="2" s="1"/>
  <c r="AJ34" i="2" s="1"/>
  <c r="AK34" i="2" s="1"/>
  <c r="T34" i="2" s="1"/>
  <c r="AY45" i="3"/>
  <c r="Q48" i="6"/>
  <c r="Q55" i="6"/>
  <c r="S55" i="6"/>
  <c r="AD29" i="2"/>
  <c r="AE29" i="2" s="1"/>
  <c r="AF29" i="2" s="1"/>
  <c r="AG29" i="2" s="1"/>
  <c r="Z29" i="2" s="1"/>
  <c r="AD37" i="2"/>
  <c r="AE37" i="2" s="1"/>
  <c r="AF37" i="2" s="1"/>
  <c r="AG37" i="2" s="1"/>
  <c r="Z37" i="2" s="1"/>
  <c r="N44" i="5"/>
  <c r="W21" i="6"/>
  <c r="N24" i="5"/>
  <c r="U21" i="6"/>
  <c r="AS22" i="3"/>
  <c r="U31" i="6"/>
  <c r="N34" i="5"/>
  <c r="W31" i="6"/>
  <c r="AS32" i="3"/>
  <c r="AS17" i="3"/>
  <c r="W16" i="6"/>
  <c r="U16" i="6"/>
  <c r="N19" i="5"/>
  <c r="S51" i="6"/>
  <c r="AY52" i="3"/>
  <c r="Q51" i="6"/>
  <c r="W26" i="6"/>
  <c r="U26" i="6"/>
  <c r="AS27" i="3"/>
  <c r="N29" i="5"/>
  <c r="S15" i="6"/>
  <c r="Q15" i="6"/>
  <c r="AY16" i="3"/>
  <c r="W17" i="6"/>
  <c r="AS18" i="3"/>
  <c r="U17" i="6"/>
  <c r="N20" i="5"/>
  <c r="W47" i="6"/>
  <c r="N50" i="5"/>
  <c r="U47" i="6"/>
  <c r="AS48" i="3"/>
  <c r="W24" i="6"/>
  <c r="AS25" i="3"/>
  <c r="U24" i="6"/>
  <c r="N27" i="5"/>
  <c r="AD31" i="2"/>
  <c r="AE31" i="2" s="1"/>
  <c r="AF31" i="2" s="1"/>
  <c r="AG31" i="2" s="1"/>
  <c r="Z31" i="2" s="1"/>
  <c r="S45" i="6"/>
  <c r="AY46" i="3"/>
  <c r="Q45" i="6"/>
  <c r="Q47" i="6"/>
  <c r="S47" i="6"/>
  <c r="AY48" i="3"/>
  <c r="AY44" i="3"/>
  <c r="Q43" i="6"/>
  <c r="S43" i="6"/>
  <c r="N36" i="5"/>
  <c r="W33" i="6"/>
  <c r="U33" i="6"/>
  <c r="AS34" i="3"/>
  <c r="AS41" i="3"/>
  <c r="W40" i="6"/>
  <c r="U40" i="6"/>
  <c r="N43" i="5"/>
  <c r="Q28" i="6"/>
  <c r="AY29" i="3"/>
  <c r="S28" i="6"/>
  <c r="W44" i="6"/>
  <c r="U44" i="6"/>
  <c r="N47" i="5"/>
  <c r="AS45" i="3"/>
  <c r="U55" i="6"/>
  <c r="AS56" i="3"/>
  <c r="N58" i="5"/>
  <c r="W55" i="6"/>
  <c r="AS28" i="3"/>
  <c r="N30" i="5"/>
  <c r="U27" i="6"/>
  <c r="W27" i="6"/>
  <c r="S53" i="6"/>
  <c r="Q53" i="6"/>
  <c r="AY54" i="3"/>
  <c r="AD32" i="2"/>
  <c r="AE32" i="2" s="1"/>
  <c r="AF32" i="2" s="1"/>
  <c r="AG32" i="2" s="1"/>
  <c r="Z32" i="2" s="1"/>
  <c r="AY34" i="3"/>
  <c r="S33" i="6"/>
  <c r="Q33" i="6"/>
  <c r="S54" i="6"/>
  <c r="AY55" i="3"/>
  <c r="Q54" i="6"/>
  <c r="N10" i="5"/>
  <c r="U7" i="6"/>
  <c r="AS8" i="3"/>
  <c r="W7" i="6"/>
  <c r="U52" i="6"/>
  <c r="W52" i="6"/>
  <c r="N55" i="5"/>
  <c r="AS53" i="3"/>
  <c r="U39" i="6"/>
  <c r="AS40" i="3"/>
  <c r="W39" i="6"/>
  <c r="N42" i="5"/>
  <c r="W45" i="6"/>
  <c r="N48" i="5"/>
  <c r="U45" i="6"/>
  <c r="AS46" i="3"/>
  <c r="W51" i="6"/>
  <c r="N54" i="5"/>
  <c r="AS52" i="3"/>
  <c r="U51" i="6"/>
  <c r="Q37" i="6"/>
  <c r="S37" i="6"/>
  <c r="AY38" i="3"/>
  <c r="U37" i="6"/>
  <c r="N40" i="5"/>
  <c r="W37" i="6"/>
  <c r="AS38" i="3"/>
  <c r="W46" i="6"/>
  <c r="U46" i="6"/>
  <c r="N49" i="5"/>
  <c r="AS47" i="3"/>
  <c r="S42" i="6"/>
  <c r="Q42" i="6"/>
  <c r="AY43" i="3"/>
  <c r="S49" i="6"/>
  <c r="Q49" i="6"/>
  <c r="AY50" i="3"/>
  <c r="S7" i="6"/>
  <c r="Q7" i="6"/>
  <c r="AY8" i="3"/>
  <c r="W42" i="6"/>
  <c r="U42" i="6"/>
  <c r="N45" i="5"/>
  <c r="AS43" i="3"/>
  <c r="AD33" i="2"/>
  <c r="AE33" i="2" s="1"/>
  <c r="AF33" i="2" s="1"/>
  <c r="AG33" i="2" s="1"/>
  <c r="Z33" i="2" s="1"/>
  <c r="AD19" i="2"/>
  <c r="AE19" i="2" s="1"/>
  <c r="AF19" i="2" s="1"/>
  <c r="AG19" i="2" s="1"/>
  <c r="Z19" i="2" s="1"/>
  <c r="AY37" i="3"/>
  <c r="S36" i="6"/>
  <c r="Q36" i="6"/>
  <c r="U50" i="6"/>
  <c r="N53" i="5"/>
  <c r="AS51" i="3"/>
  <c r="W50" i="6"/>
  <c r="W38" i="6"/>
  <c r="U38" i="6"/>
  <c r="AS39" i="3"/>
  <c r="N41" i="5"/>
  <c r="AY21" i="3"/>
  <c r="Q20" i="6"/>
  <c r="S20" i="6"/>
  <c r="AD9" i="2"/>
  <c r="AE9" i="2" s="1"/>
  <c r="AF9" i="2" s="1"/>
  <c r="AG9" i="2" s="1"/>
  <c r="Z9" i="2" s="1"/>
  <c r="S39" i="6"/>
  <c r="AY40" i="3"/>
  <c r="Q39" i="6"/>
  <c r="Q38" i="6"/>
  <c r="S38" i="6"/>
  <c r="AY39" i="3"/>
  <c r="AD18" i="2"/>
  <c r="AE18" i="2" s="1"/>
  <c r="AF18" i="2" s="1"/>
  <c r="AG18" i="2" s="1"/>
  <c r="Z18" i="2" s="1"/>
  <c r="W20" i="6"/>
  <c r="U20" i="6"/>
  <c r="N23" i="5"/>
  <c r="AS21" i="3"/>
  <c r="AD15" i="2"/>
  <c r="AE15" i="2" s="1"/>
  <c r="AF15" i="2" s="1"/>
  <c r="AG15" i="2" s="1"/>
  <c r="Z15" i="2" s="1"/>
  <c r="AD11" i="2"/>
  <c r="AE11" i="2" s="1"/>
  <c r="AF11" i="2" s="1"/>
  <c r="AG11" i="2" s="1"/>
  <c r="Z11" i="2" s="1"/>
  <c r="AH26" i="2"/>
  <c r="AI26" i="2" s="1"/>
  <c r="AJ26" i="2" s="1"/>
  <c r="AK26" i="2" s="1"/>
  <c r="T26" i="2" s="1"/>
  <c r="AD26" i="2"/>
  <c r="AE26" i="2" s="1"/>
  <c r="AF26" i="2" s="1"/>
  <c r="AG26" i="2" s="1"/>
  <c r="Z26" i="2" s="1"/>
  <c r="AH19" i="2"/>
  <c r="AI19" i="2" s="1"/>
  <c r="AJ19" i="2" s="1"/>
  <c r="AK19" i="2" s="1"/>
  <c r="T19" i="2" s="1"/>
  <c r="AD10" i="2"/>
  <c r="AE10" i="2" s="1"/>
  <c r="AF10" i="2" s="1"/>
  <c r="AG10" i="2" s="1"/>
  <c r="Z10" i="2" s="1"/>
  <c r="AD17" i="2"/>
  <c r="AE17" i="2" s="1"/>
  <c r="AF17" i="2" s="1"/>
  <c r="AG17" i="2" s="1"/>
  <c r="Z17" i="2" s="1"/>
  <c r="AD28" i="2"/>
  <c r="AE28" i="2" s="1"/>
  <c r="AF28" i="2" s="1"/>
  <c r="AG28" i="2" s="1"/>
  <c r="Z28" i="2" s="1"/>
  <c r="AH16" i="2"/>
  <c r="AI16" i="2" s="1"/>
  <c r="AJ16" i="2" s="1"/>
  <c r="AK16" i="2" s="1"/>
  <c r="T16" i="2" s="1"/>
  <c r="AH37" i="2"/>
  <c r="AI37" i="2" s="1"/>
  <c r="AJ37" i="2" s="1"/>
  <c r="AK37" i="2" s="1"/>
  <c r="T37" i="2" s="1"/>
  <c r="AH20" i="2"/>
  <c r="AI20" i="2" s="1"/>
  <c r="AJ20" i="2" s="1"/>
  <c r="AK20" i="2" s="1"/>
  <c r="T20" i="2" s="1"/>
  <c r="AD20" i="2"/>
  <c r="AE20" i="2" s="1"/>
  <c r="AF20" i="2" s="1"/>
  <c r="AG20" i="2" s="1"/>
  <c r="Z20" i="2" s="1"/>
  <c r="AH23" i="2"/>
  <c r="AI23" i="2" s="1"/>
  <c r="AJ23" i="2" s="1"/>
  <c r="AK23" i="2" s="1"/>
  <c r="T23" i="2" s="1"/>
  <c r="AD23" i="2"/>
  <c r="AE23" i="2" s="1"/>
  <c r="AF23" i="2" s="1"/>
  <c r="AG23" i="2" s="1"/>
  <c r="Z23" i="2" s="1"/>
  <c r="AD22" i="2"/>
  <c r="AE22" i="2" s="1"/>
  <c r="AF22" i="2" s="1"/>
  <c r="AG22" i="2" s="1"/>
  <c r="Z22" i="2" s="1"/>
  <c r="AH31" i="2"/>
  <c r="AI31" i="2" s="1"/>
  <c r="AJ31" i="2" s="1"/>
  <c r="AK31" i="2" s="1"/>
  <c r="T31" i="2" s="1"/>
  <c r="AH11" i="2"/>
  <c r="AI11" i="2" s="1"/>
  <c r="AJ11" i="2" s="1"/>
  <c r="AK11" i="2" s="1"/>
  <c r="T11" i="2" s="1"/>
  <c r="AH35" i="2"/>
  <c r="AI35" i="2" s="1"/>
  <c r="AJ35" i="2" s="1"/>
  <c r="AK35" i="2" s="1"/>
  <c r="T35" i="2" s="1"/>
  <c r="AD35" i="2"/>
  <c r="AE35" i="2" s="1"/>
  <c r="AF35" i="2" s="1"/>
  <c r="AG35" i="2" s="1"/>
  <c r="Z35" i="2" s="1"/>
  <c r="AH29" i="2"/>
  <c r="AI29" i="2" s="1"/>
  <c r="AJ29" i="2" s="1"/>
  <c r="AK29" i="2" s="1"/>
  <c r="T29" i="2" s="1"/>
  <c r="AD24" i="2"/>
  <c r="AE24" i="2" s="1"/>
  <c r="AF24" i="2" s="1"/>
  <c r="AG24" i="2" s="1"/>
  <c r="Z24" i="2" s="1"/>
  <c r="AH33" i="2"/>
  <c r="AI33" i="2" s="1"/>
  <c r="AJ33" i="2" s="1"/>
  <c r="AK33" i="2" s="1"/>
  <c r="T33" i="2" s="1"/>
  <c r="AH36" i="2"/>
  <c r="AI36" i="2" s="1"/>
  <c r="AJ36" i="2" s="1"/>
  <c r="AK36" i="2" s="1"/>
  <c r="T36" i="2" s="1"/>
  <c r="AD36" i="2"/>
  <c r="AE36" i="2" s="1"/>
  <c r="AF36" i="2" s="1"/>
  <c r="AG36" i="2" s="1"/>
  <c r="Z36" i="2" s="1"/>
  <c r="AD27" i="2"/>
  <c r="AE27" i="2" s="1"/>
  <c r="AF27" i="2" s="1"/>
  <c r="AG27" i="2" s="1"/>
  <c r="Z27" i="2" s="1"/>
  <c r="AH30" i="2"/>
  <c r="AI30" i="2" s="1"/>
  <c r="AJ30" i="2" s="1"/>
  <c r="AK30" i="2" s="1"/>
  <c r="T30" i="2" s="1"/>
  <c r="AD30" i="2"/>
  <c r="AE30" i="2" s="1"/>
  <c r="AF30" i="2" s="1"/>
  <c r="AG30" i="2" s="1"/>
  <c r="Z30" i="2" s="1"/>
  <c r="AD14" i="2"/>
  <c r="AE14" i="2" s="1"/>
  <c r="AF14" i="2" s="1"/>
  <c r="AG14" i="2" s="1"/>
  <c r="Z14" i="2" s="1"/>
  <c r="AH24" i="2"/>
  <c r="AI24" i="2" s="1"/>
  <c r="AJ24" i="2" s="1"/>
  <c r="AK24" i="2" s="1"/>
  <c r="T24" i="2" s="1"/>
  <c r="AD25" i="2"/>
  <c r="AE25" i="2" s="1"/>
  <c r="AF25" i="2" s="1"/>
  <c r="AG25" i="2" s="1"/>
  <c r="Z25" i="2" s="1"/>
  <c r="AH12" i="2"/>
  <c r="AI12" i="2" s="1"/>
  <c r="AJ12" i="2" s="1"/>
  <c r="AK12" i="2" s="1"/>
  <c r="T12" i="2" s="1"/>
  <c r="AD12" i="2"/>
  <c r="AE12" i="2" s="1"/>
  <c r="AF12" i="2" s="1"/>
  <c r="AG12" i="2" s="1"/>
  <c r="Z12" i="2" s="1"/>
  <c r="AH15" i="2"/>
  <c r="AI15" i="2" s="1"/>
  <c r="AJ15" i="2" s="1"/>
  <c r="AK15" i="2" s="1"/>
  <c r="T15" i="2" s="1"/>
  <c r="AH14" i="2"/>
  <c r="AI14" i="2" s="1"/>
  <c r="AJ14" i="2" s="1"/>
  <c r="AK14" i="2" s="1"/>
  <c r="T14" i="2" s="1"/>
  <c r="AH10" i="2"/>
  <c r="AI10" i="2" s="1"/>
  <c r="AJ10" i="2" s="1"/>
  <c r="AK10" i="2" s="1"/>
  <c r="T10" i="2" s="1"/>
  <c r="AH9" i="2"/>
  <c r="AI9" i="2" s="1"/>
  <c r="AJ9" i="2" s="1"/>
  <c r="AK9" i="2" s="1"/>
  <c r="T9" i="2" s="1"/>
  <c r="AH13" i="2"/>
  <c r="AI13" i="2" s="1"/>
  <c r="AJ13" i="2" s="1"/>
  <c r="AK13" i="2" s="1"/>
  <c r="T13" i="2" s="1"/>
  <c r="AD13" i="2"/>
  <c r="AE13" i="2" s="1"/>
  <c r="AF13" i="2" s="1"/>
  <c r="AG13" i="2" s="1"/>
  <c r="Z13" i="2" s="1"/>
  <c r="S24" i="5"/>
  <c r="U24" i="5" s="1"/>
  <c r="S32" i="5"/>
  <c r="U32" i="5" s="1"/>
  <c r="G11" i="5"/>
  <c r="I11" i="5" s="1"/>
  <c r="S25" i="5"/>
  <c r="U25" i="5" s="1"/>
  <c r="L59" i="5"/>
  <c r="S15" i="5"/>
  <c r="U15" i="5" s="1"/>
  <c r="G27" i="5"/>
  <c r="I27" i="5" s="1"/>
  <c r="G21" i="5"/>
  <c r="I21" i="5" s="1"/>
  <c r="S31" i="5"/>
  <c r="U31" i="5" s="1"/>
  <c r="S33" i="5"/>
  <c r="U33" i="5" s="1"/>
  <c r="G37" i="5"/>
  <c r="I37" i="5" s="1"/>
  <c r="G35" i="5"/>
  <c r="I35" i="5" s="1"/>
  <c r="S14" i="5"/>
  <c r="U14" i="5" s="1"/>
  <c r="S17" i="5"/>
  <c r="U17" i="5" s="1"/>
  <c r="G30" i="5"/>
  <c r="I30" i="5" s="1"/>
  <c r="G19" i="5"/>
  <c r="I19" i="5" s="1"/>
  <c r="S16" i="5"/>
  <c r="U16" i="5" s="1"/>
  <c r="S10" i="5"/>
  <c r="U10" i="5" s="1"/>
  <c r="G15" i="5"/>
  <c r="I15" i="5" s="1"/>
  <c r="S30" i="5"/>
  <c r="U30" i="5" s="1"/>
  <c r="G25" i="5"/>
  <c r="I25" i="5" s="1"/>
  <c r="S27" i="5"/>
  <c r="U27" i="5" s="1"/>
  <c r="G16" i="5"/>
  <c r="I16" i="5" s="1"/>
  <c r="S37" i="5"/>
  <c r="U37" i="5" s="1"/>
  <c r="S19" i="5"/>
  <c r="U19" i="5" s="1"/>
  <c r="G33" i="5"/>
  <c r="I33" i="5" s="1"/>
  <c r="G24" i="5"/>
  <c r="I24" i="5" s="1"/>
  <c r="S21" i="5"/>
  <c r="U21" i="5" s="1"/>
  <c r="G17" i="5"/>
  <c r="I17" i="5" s="1"/>
  <c r="G32" i="5"/>
  <c r="I32" i="5" s="1"/>
  <c r="G34" i="5"/>
  <c r="I34" i="5" s="1"/>
  <c r="S34" i="5"/>
  <c r="U34" i="5" s="1"/>
  <c r="G26" i="5"/>
  <c r="I26" i="5" s="1"/>
  <c r="S26" i="5"/>
  <c r="U26" i="5" s="1"/>
  <c r="G18" i="5"/>
  <c r="I18" i="5" s="1"/>
  <c r="S18" i="5"/>
  <c r="U18" i="5" s="1"/>
  <c r="S11" i="5"/>
  <c r="U11" i="5" s="1"/>
  <c r="G31" i="5"/>
  <c r="I31" i="5" s="1"/>
  <c r="S39" i="5"/>
  <c r="U39" i="5" s="1"/>
  <c r="G39" i="5"/>
  <c r="I39" i="5" s="1"/>
  <c r="G36" i="5"/>
  <c r="I36" i="5" s="1"/>
  <c r="S36" i="5"/>
  <c r="U36" i="5" s="1"/>
  <c r="S23" i="5"/>
  <c r="U23" i="5" s="1"/>
  <c r="G23" i="5"/>
  <c r="I23" i="5" s="1"/>
  <c r="G28" i="5"/>
  <c r="I28" i="5" s="1"/>
  <c r="S28" i="5"/>
  <c r="U28" i="5" s="1"/>
  <c r="S29" i="5"/>
  <c r="U29" i="5" s="1"/>
  <c r="G29" i="5"/>
  <c r="I29" i="5" s="1"/>
  <c r="I7" i="6"/>
  <c r="O7" i="6"/>
  <c r="G12" i="5"/>
  <c r="I12" i="5" s="1"/>
  <c r="S12" i="5"/>
  <c r="U12" i="5" s="1"/>
  <c r="S22" i="5"/>
  <c r="U22" i="5" s="1"/>
  <c r="G22" i="5"/>
  <c r="I22" i="5" s="1"/>
  <c r="G20" i="5"/>
  <c r="I20" i="5" s="1"/>
  <c r="S20" i="5"/>
  <c r="U20" i="5" s="1"/>
  <c r="S38" i="5"/>
  <c r="U38" i="5" s="1"/>
  <c r="G38" i="5"/>
  <c r="I38" i="5" s="1"/>
  <c r="S13" i="5"/>
  <c r="U13" i="5" s="1"/>
  <c r="G13" i="5"/>
  <c r="I13" i="5" s="1"/>
  <c r="Z57" i="2" l="1"/>
  <c r="S35" i="6"/>
  <c r="AY36" i="3"/>
  <c r="Q35" i="6"/>
  <c r="T57" i="2"/>
  <c r="U10" i="6"/>
  <c r="N13" i="5"/>
  <c r="W10" i="6"/>
  <c r="AS11" i="3"/>
  <c r="AY10" i="3"/>
  <c r="S9" i="6"/>
  <c r="Q9" i="6"/>
  <c r="S30" i="6"/>
  <c r="Q30" i="6"/>
  <c r="AY31" i="3"/>
  <c r="S14" i="6"/>
  <c r="Q14" i="6"/>
  <c r="AY15" i="3"/>
  <c r="N38" i="5"/>
  <c r="AS36" i="3"/>
  <c r="U35" i="6"/>
  <c r="W35" i="6"/>
  <c r="U32" i="6"/>
  <c r="N35" i="5"/>
  <c r="W32" i="6"/>
  <c r="AS33" i="3"/>
  <c r="S21" i="6"/>
  <c r="AY22" i="3"/>
  <c r="Q21" i="6"/>
  <c r="U8" i="6"/>
  <c r="N11" i="5"/>
  <c r="AS9" i="3"/>
  <c r="W8" i="6"/>
  <c r="S13" i="6"/>
  <c r="AY14" i="3"/>
  <c r="Q13" i="6"/>
  <c r="S22" i="6"/>
  <c r="Q22" i="6"/>
  <c r="AY23" i="3"/>
  <c r="S27" i="6"/>
  <c r="AY28" i="3"/>
  <c r="Q27" i="6"/>
  <c r="U12" i="6"/>
  <c r="AS13" i="3"/>
  <c r="N15" i="5"/>
  <c r="W12" i="6"/>
  <c r="S12" i="6"/>
  <c r="AY13" i="3"/>
  <c r="Q12" i="6"/>
  <c r="AY26" i="3"/>
  <c r="S25" i="6"/>
  <c r="Q25" i="6"/>
  <c r="W15" i="6"/>
  <c r="AS16" i="3"/>
  <c r="U15" i="6"/>
  <c r="N18" i="5"/>
  <c r="W28" i="6"/>
  <c r="U28" i="6"/>
  <c r="AS29" i="3"/>
  <c r="N31" i="5"/>
  <c r="S16" i="6"/>
  <c r="AY17" i="3"/>
  <c r="Q16" i="6"/>
  <c r="W13" i="6"/>
  <c r="U13" i="6"/>
  <c r="AS14" i="3"/>
  <c r="N16" i="5"/>
  <c r="Q18" i="6"/>
  <c r="S18" i="6"/>
  <c r="AY19" i="3"/>
  <c r="Q24" i="6"/>
  <c r="AY25" i="3"/>
  <c r="S24" i="6"/>
  <c r="U30" i="6"/>
  <c r="N33" i="5"/>
  <c r="W30" i="6"/>
  <c r="AS31" i="3"/>
  <c r="W18" i="6"/>
  <c r="U18" i="6"/>
  <c r="N21" i="5"/>
  <c r="AS19" i="3"/>
  <c r="S23" i="6"/>
  <c r="Q23" i="6"/>
  <c r="AY24" i="3"/>
  <c r="N12" i="5"/>
  <c r="U9" i="6"/>
  <c r="W9" i="6"/>
  <c r="AS10" i="3"/>
  <c r="S19" i="6"/>
  <c r="Q19" i="6"/>
  <c r="AY20" i="3"/>
  <c r="AS15" i="3"/>
  <c r="N17" i="5"/>
  <c r="U14" i="6"/>
  <c r="W14" i="6"/>
  <c r="U29" i="6"/>
  <c r="AS30" i="3"/>
  <c r="W29" i="6"/>
  <c r="N32" i="5"/>
  <c r="W34" i="6"/>
  <c r="U34" i="6"/>
  <c r="N37" i="5"/>
  <c r="AS35" i="3"/>
  <c r="N22" i="5"/>
  <c r="U19" i="6"/>
  <c r="AS20" i="3"/>
  <c r="W19" i="6"/>
  <c r="S17" i="6"/>
  <c r="Q17" i="6"/>
  <c r="AY18" i="3"/>
  <c r="S31" i="6"/>
  <c r="Q31" i="6"/>
  <c r="AY32" i="3"/>
  <c r="W25" i="6"/>
  <c r="U25" i="6"/>
  <c r="N28" i="5"/>
  <c r="AS26" i="3"/>
  <c r="S29" i="6"/>
  <c r="AY30" i="3"/>
  <c r="Q29" i="6"/>
  <c r="Q34" i="6"/>
  <c r="S34" i="6"/>
  <c r="AY35" i="3"/>
  <c r="Q8" i="6"/>
  <c r="AY9" i="3"/>
  <c r="S8" i="6"/>
  <c r="Q11" i="6"/>
  <c r="AY12" i="3"/>
  <c r="S11" i="6"/>
  <c r="Q26" i="6"/>
  <c r="S26" i="6"/>
  <c r="AY27" i="3"/>
  <c r="W36" i="6"/>
  <c r="N39" i="5"/>
  <c r="AS37" i="3"/>
  <c r="U36" i="6"/>
  <c r="N26" i="5"/>
  <c r="W23" i="6"/>
  <c r="AS24" i="3"/>
  <c r="U23" i="6"/>
  <c r="U22" i="6"/>
  <c r="N25" i="5"/>
  <c r="W22" i="6"/>
  <c r="AS23" i="3"/>
  <c r="W11" i="6"/>
  <c r="U11" i="6"/>
  <c r="AS12" i="3"/>
  <c r="N14" i="5"/>
  <c r="Q10" i="6"/>
  <c r="AY11" i="3"/>
  <c r="S10" i="6"/>
  <c r="Q32" i="6"/>
  <c r="AY33" i="3"/>
  <c r="S32" i="6"/>
  <c r="I59" i="5"/>
  <c r="G60" i="5" s="1"/>
  <c r="R59" i="5"/>
  <c r="G62" i="5" s="1"/>
  <c r="U59" i="5"/>
  <c r="G63" i="5" s="1"/>
  <c r="G61" i="5"/>
  <c r="N59" i="5" l="1"/>
  <c r="AY57" i="3"/>
  <c r="V56" i="6"/>
  <c r="R56" i="6"/>
  <c r="T56" i="6"/>
  <c r="AS57" i="3"/>
  <c r="X56" i="6"/>
</calcChain>
</file>

<file path=xl/sharedStrings.xml><?xml version="1.0" encoding="utf-8"?>
<sst xmlns="http://schemas.openxmlformats.org/spreadsheetml/2006/main" count="615" uniqueCount="207">
  <si>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</si>
  <si>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</si>
  <si>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</si>
  <si>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</si>
  <si>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</si>
  <si>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</si>
  <si>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</si>
  <si>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</si>
  <si>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</si>
  <si>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</si>
  <si>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</si>
  <si>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</si>
  <si>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</si>
  <si>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</si>
  <si>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</si>
  <si>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</si>
  <si>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</si>
  <si>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</si>
  <si>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</si>
  <si>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</si>
  <si>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</si>
  <si>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</si>
  <si>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</si>
  <si>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</si>
  <si>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</si>
  <si>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</si>
  <si>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</si>
  <si>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</si>
  <si>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</si>
  <si>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</si>
  <si>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</si>
  <si>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</si>
  <si>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</si>
  <si>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</si>
  <si>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</si>
  <si>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</si>
  <si>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</si>
  <si>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</si>
  <si>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</si>
  <si>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</si>
  <si>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</si>
  <si>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</si>
  <si>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</si>
  <si>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</si>
  <si>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</si>
  <si>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</si>
  <si>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</si>
  <si>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</si>
  <si>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</si>
  <si>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</si>
  <si>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</si>
  <si>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</si>
  <si>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</si>
  <si>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</si>
  <si>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</si>
  <si>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</si>
  <si>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</si>
  <si>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</si>
  <si>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</si>
  <si>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</si>
  <si>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</si>
  <si>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</si>
  <si>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</si>
  <si>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</si>
  <si>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</si>
  <si>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</si>
  <si>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</si>
  <si>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</si>
  <si>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</si>
  <si>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</si>
  <si>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</si>
  <si>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</si>
  <si>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</si>
  <si>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</si>
  <si>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</si>
  <si>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</si>
  <si>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</si>
  <si>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</si>
  <si>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</si>
  <si>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</si>
  <si>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</si>
  <si>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</si>
  <si>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</si>
  <si>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</si>
  <si>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</si>
  <si>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</si>
  <si>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</si>
  <si>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</si>
  <si>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</si>
  <si>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</si>
  <si>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</si>
  <si>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</si>
  <si>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</si>
  <si>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</si>
  <si>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</si>
  <si>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</si>
  <si>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</si>
  <si>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</si>
  <si>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</si>
  <si>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</si>
  <si>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42</t>
  </si>
  <si>
    <t>43</t>
  </si>
  <si>
    <t>44</t>
  </si>
  <si>
    <t>45</t>
  </si>
  <si>
    <t>46</t>
  </si>
  <si>
    <t>47</t>
  </si>
  <si>
    <t>48</t>
  </si>
  <si>
    <t>49</t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</si>
  <si>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</si>
  <si>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</si>
  <si>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</si>
  <si>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</si>
  <si>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</si>
  <si>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26.06.11 웰스홈_신승에프엔티_에이치제이종합건설_조선대학교 감염병 전문병원(입상)</t>
    <phoneticPr fontId="33" type="noConversion"/>
  </si>
  <si>
    <t>옥탑층</t>
  </si>
  <si>
    <t>지상7층</t>
  </si>
  <si>
    <t>BR209</t>
  </si>
  <si>
    <t>BR210</t>
  </si>
  <si>
    <t>BR211</t>
  </si>
  <si>
    <t>BR212</t>
  </si>
  <si>
    <t>BR213</t>
  </si>
  <si>
    <t>BR214</t>
  </si>
  <si>
    <t>BR215</t>
  </si>
  <si>
    <t>BR216</t>
  </si>
  <si>
    <t>BR217</t>
  </si>
  <si>
    <t>BR218</t>
  </si>
  <si>
    <t>BR219</t>
  </si>
  <si>
    <t>BR220</t>
  </si>
  <si>
    <t>BR221</t>
  </si>
  <si>
    <t>BR222</t>
  </si>
  <si>
    <t>BR223</t>
  </si>
  <si>
    <t>BR224</t>
  </si>
  <si>
    <t>BR225</t>
  </si>
  <si>
    <t>BR226</t>
  </si>
  <si>
    <t>BR227</t>
  </si>
  <si>
    <t>BR228</t>
  </si>
  <si>
    <t>BR229</t>
  </si>
  <si>
    <t>BR230</t>
  </si>
  <si>
    <t>BR231</t>
  </si>
  <si>
    <t>BR232</t>
  </si>
  <si>
    <t>BR233</t>
  </si>
  <si>
    <t>BR234</t>
  </si>
  <si>
    <t>BR235</t>
  </si>
  <si>
    <t>BR236</t>
  </si>
  <si>
    <t>BR237</t>
  </si>
  <si>
    <t>BR238</t>
  </si>
  <si>
    <t>BR239</t>
  </si>
  <si>
    <t>BR240</t>
  </si>
  <si>
    <t>BR241</t>
  </si>
  <si>
    <t>BR242</t>
  </si>
  <si>
    <t>BR243</t>
  </si>
  <si>
    <t>BR244</t>
  </si>
  <si>
    <t>BR245</t>
  </si>
  <si>
    <t>BR246</t>
  </si>
  <si>
    <t>BR247</t>
  </si>
  <si>
    <t>BR248</t>
  </si>
  <si>
    <t>BR249</t>
  </si>
  <si>
    <t>BR250</t>
  </si>
  <si>
    <t>BR251</t>
  </si>
  <si>
    <t>BR252</t>
  </si>
  <si>
    <t>BR253</t>
  </si>
  <si>
    <t>BR254</t>
  </si>
  <si>
    <t>BR255</t>
  </si>
  <si>
    <t>BR256</t>
  </si>
  <si>
    <t>BR257</t>
  </si>
  <si>
    <t>※ 상하 : [상(3장)+하(3장)] * 소켓(2개) = 12개
※ 받침대 : [2장/대] * 4곳 * 소켓(2개) = 16개
* 4T*255* 55M                                                                                                                                                                                                           265.7m</t>
    <phoneticPr fontId="33" type="noConversion"/>
  </si>
  <si>
    <t>40</t>
    <phoneticPr fontId="33" type="noConversion"/>
  </si>
  <si>
    <t>41</t>
    <phoneticPr fontId="33" type="noConversion"/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</si>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</sst>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39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3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176" fontId="32" fillId="0" borderId="7" xfId="2" applyBorder="1" applyAlignment="1">
      <alignment horizontal="center" vertical="center"/>
    </xf>
    <xf numFmtId="0" fontId="3" fillId="0" borderId="8" xfId="3" applyFont="1" applyBorder="1" applyAlignment="1">
      <alignment horizontal="center" vertical="center" wrapText="1"/>
    </xf>
    <xf numFmtId="176" fontId="32" fillId="0" borderId="9" xfId="2" applyBorder="1" applyAlignment="1">
      <alignment horizontal="center" vertical="center"/>
    </xf>
    <xf numFmtId="0" fontId="1" fillId="0" borderId="8" xfId="3" applyBorder="1">
      <alignment vertical="center"/>
    </xf>
    <xf numFmtId="0" fontId="1" fillId="0" borderId="8" xfId="3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32" fillId="0" borderId="10" xfId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32" fillId="0" borderId="17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9" fillId="0" borderId="19" xfId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2" fillId="0" borderId="21" xfId="1" applyBorder="1" applyAlignment="1">
      <alignment horizontal="center" vertical="center" wrapText="1"/>
    </xf>
    <xf numFmtId="0" fontId="7" fillId="0" borderId="21" xfId="3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32" fillId="0" borderId="22" xfId="1" applyBorder="1">
      <alignment vertical="center"/>
    </xf>
    <xf numFmtId="0" fontId="0" fillId="0" borderId="21" xfId="1" applyFont="1" applyBorder="1" applyAlignment="1">
      <alignment horizontal="center" vertical="center" wrapText="1"/>
    </xf>
    <xf numFmtId="0" fontId="13" fillId="0" borderId="21" xfId="3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1" fontId="12" fillId="0" borderId="21" xfId="1" applyNumberFormat="1" applyFont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center" vertical="center"/>
    </xf>
    <xf numFmtId="0" fontId="14" fillId="5" borderId="19" xfId="3" applyFont="1" applyFill="1" applyBorder="1" applyAlignment="1">
      <alignment horizontal="center" vertical="center" wrapText="1"/>
    </xf>
    <xf numFmtId="0" fontId="14" fillId="5" borderId="21" xfId="3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7" borderId="21" xfId="1" applyFont="1" applyFill="1" applyBorder="1" applyAlignment="1">
      <alignment horizontal="center" vertical="center" wrapText="1"/>
    </xf>
    <xf numFmtId="0" fontId="0" fillId="0" borderId="20" xfId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9" fillId="0" borderId="21" xfId="1" applyFont="1" applyBorder="1" applyAlignment="1">
      <alignment horizontal="center" vertical="center" wrapText="1"/>
    </xf>
    <xf numFmtId="0" fontId="19" fillId="7" borderId="21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0" fillId="0" borderId="21" xfId="1" applyFont="1" applyBorder="1" applyAlignment="1">
      <alignment horizontal="center" vertical="center" shrinkToFit="1"/>
    </xf>
    <xf numFmtId="0" fontId="21" fillId="0" borderId="21" xfId="1" applyFont="1" applyBorder="1" applyAlignment="1">
      <alignment horizontal="center" vertical="center" shrinkToFit="1"/>
    </xf>
    <xf numFmtId="0" fontId="2" fillId="0" borderId="24" xfId="1" applyFont="1" applyBorder="1" applyAlignment="1">
      <alignment horizontal="center" vertical="center" shrinkToFit="1"/>
    </xf>
    <xf numFmtId="0" fontId="18" fillId="0" borderId="21" xfId="1" applyFont="1" applyBorder="1" applyAlignment="1">
      <alignment horizontal="center" vertical="center" wrapText="1"/>
    </xf>
    <xf numFmtId="0" fontId="0" fillId="2" borderId="21" xfId="1" applyFont="1" applyFill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22" xfId="1" applyFont="1" applyBorder="1" applyAlignment="1">
      <alignment vertical="center" wrapText="1"/>
    </xf>
    <xf numFmtId="0" fontId="10" fillId="0" borderId="22" xfId="1" applyFont="1" applyBorder="1" applyAlignment="1">
      <alignment horizontal="center" vertical="center" wrapText="1"/>
    </xf>
    <xf numFmtId="0" fontId="32" fillId="0" borderId="25" xfId="1" applyBorder="1">
      <alignment vertical="center"/>
    </xf>
    <xf numFmtId="176" fontId="32" fillId="0" borderId="36" xfId="2" applyBorder="1" applyAlignment="1">
      <alignment horizontal="center" vertical="center"/>
    </xf>
    <xf numFmtId="176" fontId="32" fillId="0" borderId="14" xfId="2" applyBorder="1" applyAlignment="1">
      <alignment horizontal="center" vertical="center"/>
    </xf>
    <xf numFmtId="0" fontId="7" fillId="11" borderId="21" xfId="3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10" fillId="3" borderId="21" xfId="1" applyFont="1" applyFill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0" fontId="9" fillId="0" borderId="21" xfId="1" applyFont="1" applyBorder="1">
      <alignment vertical="center"/>
    </xf>
    <xf numFmtId="0" fontId="0" fillId="2" borderId="21" xfId="0" applyFill="1" applyBorder="1" applyAlignment="1">
      <alignment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22" fillId="7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6" xfId="0" applyFont="1" applyBorder="1">
      <alignment vertical="center"/>
    </xf>
    <xf numFmtId="0" fontId="23" fillId="0" borderId="69" xfId="0" applyFont="1" applyBorder="1">
      <alignment vertical="center"/>
    </xf>
    <xf numFmtId="0" fontId="23" fillId="0" borderId="61" xfId="0" applyFont="1" applyBorder="1">
      <alignment vertical="center"/>
    </xf>
    <xf numFmtId="0" fontId="23" fillId="0" borderId="62" xfId="0" applyFont="1" applyBorder="1">
      <alignment vertical="center"/>
    </xf>
    <xf numFmtId="0" fontId="23" fillId="0" borderId="73" xfId="0" applyFont="1" applyBorder="1">
      <alignment vertical="center"/>
    </xf>
    <xf numFmtId="0" fontId="11" fillId="0" borderId="76" xfId="1" applyFont="1" applyBorder="1" applyAlignment="1">
      <alignment horizontal="center" vertical="center"/>
    </xf>
    <xf numFmtId="0" fontId="11" fillId="0" borderId="80" xfId="1" applyFont="1" applyBorder="1" applyAlignment="1">
      <alignment horizontal="center" vertical="center"/>
    </xf>
    <xf numFmtId="0" fontId="4" fillId="0" borderId="26" xfId="1" applyFont="1" applyBorder="1">
      <alignment vertical="center"/>
    </xf>
    <xf numFmtId="0" fontId="4" fillId="0" borderId="69" xfId="1" applyFont="1" applyBorder="1">
      <alignment vertical="center"/>
    </xf>
    <xf numFmtId="0" fontId="4" fillId="0" borderId="73" xfId="1" applyFont="1" applyBorder="1">
      <alignment vertical="center"/>
    </xf>
    <xf numFmtId="0" fontId="2" fillId="0" borderId="0" xfId="3" applyFont="1">
      <alignment vertical="center"/>
    </xf>
    <xf numFmtId="0" fontId="10" fillId="8" borderId="22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21" xfId="1" applyFont="1" applyBorder="1" applyAlignment="1">
      <alignment vertical="center" wrapText="1"/>
    </xf>
    <xf numFmtId="0" fontId="32" fillId="4" borderId="21" xfId="1" applyFill="1" applyBorder="1" applyAlignment="1">
      <alignment horizontal="center" vertical="center"/>
    </xf>
    <xf numFmtId="0" fontId="2" fillId="4" borderId="21" xfId="1" applyFont="1" applyFill="1" applyBorder="1" applyAlignment="1">
      <alignment horizontal="center" vertical="center" wrapText="1"/>
    </xf>
    <xf numFmtId="0" fontId="2" fillId="4" borderId="21" xfId="1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32" fillId="0" borderId="21" xfId="1" applyBorder="1" applyAlignment="1">
      <alignment vertical="center" wrapText="1"/>
    </xf>
    <xf numFmtId="0" fontId="34" fillId="0" borderId="21" xfId="1" applyFont="1" applyBorder="1" applyAlignment="1">
      <alignment vertical="center" wrapText="1"/>
    </xf>
    <xf numFmtId="0" fontId="25" fillId="0" borderId="21" xfId="1" applyFont="1" applyBorder="1" applyAlignment="1">
      <alignment vertical="center" wrapText="1"/>
    </xf>
    <xf numFmtId="176" fontId="32" fillId="0" borderId="21" xfId="1" applyNumberFormat="1" applyBorder="1" applyAlignment="1">
      <alignment horizontal="center" vertical="center" wrapText="1"/>
    </xf>
    <xf numFmtId="0" fontId="22" fillId="7" borderId="21" xfId="0" applyFont="1" applyFill="1" applyBorder="1" applyAlignment="1">
      <alignment vertical="center" wrapText="1"/>
    </xf>
    <xf numFmtId="0" fontId="2" fillId="0" borderId="34" xfId="1" applyFont="1" applyBorder="1" applyAlignment="1">
      <alignment vertical="center" wrapText="1"/>
    </xf>
    <xf numFmtId="0" fontId="4" fillId="0" borderId="60" xfId="3" applyFont="1" applyBorder="1" applyAlignment="1">
      <alignment horizontal="center" vertical="center" wrapText="1"/>
    </xf>
    <xf numFmtId="0" fontId="36" fillId="0" borderId="61" xfId="3" applyFont="1" applyBorder="1" applyAlignment="1">
      <alignment horizontal="center" vertical="center" wrapText="1"/>
    </xf>
    <xf numFmtId="0" fontId="36" fillId="0" borderId="63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65" xfId="3" applyFont="1" applyBorder="1" applyAlignment="1">
      <alignment horizontal="center" vertical="center" wrapText="1"/>
    </xf>
    <xf numFmtId="0" fontId="36" fillId="0" borderId="39" xfId="3" applyFont="1" applyBorder="1" applyAlignment="1">
      <alignment horizontal="center" vertical="center" wrapText="1"/>
    </xf>
    <xf numFmtId="0" fontId="37" fillId="0" borderId="61" xfId="3" applyFont="1" applyBorder="1" applyAlignment="1">
      <alignment horizontal="center" vertical="center" wrapText="1"/>
    </xf>
    <xf numFmtId="0" fontId="38" fillId="0" borderId="61" xfId="3" applyFont="1" applyBorder="1" applyAlignment="1">
      <alignment horizontal="center" vertical="center" wrapText="1"/>
    </xf>
    <xf numFmtId="0" fontId="38" fillId="0" borderId="62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4" xfId="3" applyFont="1" applyBorder="1" applyAlignment="1">
      <alignment horizontal="center" vertical="center" wrapText="1"/>
    </xf>
    <xf numFmtId="0" fontId="38" fillId="0" borderId="39" xfId="3" applyFont="1" applyBorder="1" applyAlignment="1">
      <alignment horizontal="center" vertical="center" wrapText="1"/>
    </xf>
    <xf numFmtId="0" fontId="38" fillId="0" borderId="66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7" xfId="3" applyFill="1" applyBorder="1" applyAlignment="1">
      <alignment horizontal="center" vertical="center" wrapText="1"/>
    </xf>
    <xf numFmtId="0" fontId="1" fillId="9" borderId="38" xfId="3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7" xfId="3" applyFont="1" applyFill="1" applyBorder="1" applyAlignment="1">
      <alignment horizontal="center" vertical="center" wrapText="1"/>
    </xf>
    <xf numFmtId="0" fontId="3" fillId="9" borderId="38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4" fillId="0" borderId="39" xfId="3" applyFont="1" applyBorder="1" applyAlignment="1">
      <alignment horizontal="left" vertical="center"/>
    </xf>
    <xf numFmtId="0" fontId="3" fillId="9" borderId="40" xfId="3" applyFont="1" applyFill="1" applyBorder="1" applyAlignment="1">
      <alignment horizontal="center" vertical="center" wrapText="1"/>
    </xf>
    <xf numFmtId="0" fontId="3" fillId="9" borderId="41" xfId="3" applyFont="1" applyFill="1" applyBorder="1" applyAlignment="1">
      <alignment horizontal="center" vertical="center" wrapText="1"/>
    </xf>
    <xf numFmtId="176" fontId="32" fillId="0" borderId="36" xfId="2" applyBorder="1" applyAlignment="1">
      <alignment horizontal="center" vertical="center"/>
    </xf>
    <xf numFmtId="176" fontId="32" fillId="0" borderId="42" xfId="2" applyBorder="1" applyAlignment="1">
      <alignment horizontal="center" vertical="center"/>
    </xf>
    <xf numFmtId="176" fontId="32" fillId="0" borderId="14" xfId="2" applyBorder="1" applyAlignment="1">
      <alignment horizontal="center" vertical="center"/>
    </xf>
    <xf numFmtId="176" fontId="32" fillId="0" borderId="7" xfId="2" applyBorder="1" applyAlignment="1">
      <alignment horizontal="center" vertical="center"/>
    </xf>
    <xf numFmtId="176" fontId="32" fillId="0" borderId="35" xfId="2" applyBorder="1" applyAlignment="1">
      <alignment horizontal="center" vertical="center"/>
    </xf>
    <xf numFmtId="176" fontId="32" fillId="0" borderId="11" xfId="2" applyBorder="1" applyAlignment="1">
      <alignment horizontal="center" vertical="center"/>
    </xf>
    <xf numFmtId="0" fontId="10" fillId="3" borderId="81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 wrapText="1"/>
    </xf>
    <xf numFmtId="0" fontId="10" fillId="3" borderId="84" xfId="0" applyFont="1" applyFill="1" applyBorder="1" applyAlignment="1">
      <alignment horizontal="center" vertical="center" wrapText="1"/>
    </xf>
    <xf numFmtId="177" fontId="17" fillId="0" borderId="82" xfId="1" applyNumberFormat="1" applyFont="1" applyBorder="1" applyAlignment="1">
      <alignment horizontal="center" vertical="center" wrapText="1"/>
    </xf>
    <xf numFmtId="177" fontId="17" fillId="0" borderId="83" xfId="1" applyNumberFormat="1" applyFont="1" applyBorder="1" applyAlignment="1">
      <alignment horizontal="center" vertical="center" wrapText="1"/>
    </xf>
    <xf numFmtId="177" fontId="12" fillId="0" borderId="82" xfId="1" applyNumberFormat="1" applyFont="1" applyBorder="1" applyAlignment="1">
      <alignment horizontal="center" vertical="center" wrapText="1"/>
    </xf>
    <xf numFmtId="177" fontId="12" fillId="0" borderId="83" xfId="1" applyNumberFormat="1" applyFont="1" applyBorder="1" applyAlignment="1">
      <alignment horizontal="center" vertical="center" wrapText="1"/>
    </xf>
    <xf numFmtId="0" fontId="10" fillId="3" borderId="21" xfId="1" applyFont="1" applyFill="1" applyBorder="1" applyAlignment="1">
      <alignment horizontal="center" vertical="center" wrapText="1"/>
    </xf>
    <xf numFmtId="0" fontId="10" fillId="3" borderId="82" xfId="1" applyFont="1" applyFill="1" applyBorder="1" applyAlignment="1">
      <alignment horizontal="center" vertical="center" wrapText="1"/>
    </xf>
    <xf numFmtId="0" fontId="10" fillId="3" borderId="83" xfId="1" applyFont="1" applyFill="1" applyBorder="1" applyAlignment="1">
      <alignment horizontal="center" vertical="center" wrapText="1"/>
    </xf>
    <xf numFmtId="0" fontId="17" fillId="0" borderId="21" xfId="1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5" fillId="0" borderId="66" xfId="0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177" fontId="9" fillId="0" borderId="31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2" xfId="1" applyNumberFormat="1" applyFont="1" applyBorder="1" applyAlignment="1">
      <alignment horizontal="center" vertical="center" wrapText="1"/>
    </xf>
    <xf numFmtId="0" fontId="15" fillId="0" borderId="34" xfId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 wrapText="1"/>
    </xf>
    <xf numFmtId="0" fontId="17" fillId="0" borderId="34" xfId="1" applyFont="1" applyBorder="1" applyAlignment="1">
      <alignment horizontal="center" vertical="center" wrapText="1"/>
    </xf>
    <xf numFmtId="0" fontId="17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2" fillId="0" borderId="43" xfId="0" applyFont="1" applyBorder="1" applyAlignment="1">
      <alignment horizontal="left" vertical="top" wrapText="1"/>
    </xf>
    <xf numFmtId="0" fontId="0" fillId="0" borderId="4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10" borderId="20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177" fontId="9" fillId="0" borderId="21" xfId="1" applyNumberFormat="1" applyFont="1" applyBorder="1" applyAlignment="1">
      <alignment horizontal="center" vertical="center" wrapText="1"/>
    </xf>
    <xf numFmtId="177" fontId="32" fillId="0" borderId="21" xfId="1" applyNumberFormat="1" applyBorder="1" applyAlignment="1">
      <alignment horizontal="center" vertical="center" wrapText="1"/>
    </xf>
    <xf numFmtId="0" fontId="32" fillId="0" borderId="21" xfId="1" applyBorder="1" applyAlignment="1">
      <alignment horizontal="center" vertical="center" wrapText="1"/>
    </xf>
    <xf numFmtId="0" fontId="26" fillId="0" borderId="55" xfId="1" applyFont="1" applyBorder="1" applyAlignment="1">
      <alignment horizontal="center" vertical="center" wrapText="1"/>
    </xf>
    <xf numFmtId="0" fontId="26" fillId="0" borderId="56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57" xfId="1" applyFont="1" applyBorder="1" applyAlignment="1">
      <alignment horizontal="center" vertical="center" wrapText="1"/>
    </xf>
    <xf numFmtId="0" fontId="26" fillId="0" borderId="58" xfId="1" applyFont="1" applyBorder="1" applyAlignment="1">
      <alignment horizontal="center" vertical="center" wrapText="1"/>
    </xf>
    <xf numFmtId="0" fontId="26" fillId="0" borderId="59" xfId="1" applyFont="1" applyBorder="1" applyAlignment="1">
      <alignment horizontal="center" vertical="center" wrapText="1"/>
    </xf>
    <xf numFmtId="0" fontId="24" fillId="0" borderId="21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28" fillId="0" borderId="21" xfId="1" applyFont="1" applyBorder="1" applyAlignment="1">
      <alignment horizontal="center" vertical="center" wrapText="1"/>
    </xf>
    <xf numFmtId="0" fontId="25" fillId="0" borderId="21" xfId="1" applyFont="1" applyBorder="1" applyAlignment="1">
      <alignment horizontal="center" vertical="center" wrapText="1"/>
    </xf>
    <xf numFmtId="0" fontId="17" fillId="2" borderId="21" xfId="1" applyFont="1" applyFill="1" applyBorder="1" applyAlignment="1">
      <alignment horizontal="center" vertical="center" wrapText="1"/>
    </xf>
    <xf numFmtId="0" fontId="27" fillId="0" borderId="21" xfId="1" applyFont="1" applyBorder="1" applyAlignment="1">
      <alignment horizontal="center" vertical="center" wrapText="1"/>
    </xf>
    <xf numFmtId="0" fontId="2" fillId="4" borderId="21" xfId="1" applyFont="1" applyFill="1" applyBorder="1" applyAlignment="1">
      <alignment horizontal="center" vertical="center" wrapText="1"/>
    </xf>
    <xf numFmtId="0" fontId="32" fillId="0" borderId="74" xfId="1" applyBorder="1" applyAlignment="1">
      <alignment horizontal="center" vertical="center"/>
    </xf>
    <xf numFmtId="0" fontId="32" fillId="0" borderId="75" xfId="1" applyBorder="1" applyAlignment="1">
      <alignment horizontal="center" vertical="center"/>
    </xf>
    <xf numFmtId="0" fontId="32" fillId="0" borderId="77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78" xfId="1" applyBorder="1" applyAlignment="1">
      <alignment horizontal="center" vertical="center"/>
    </xf>
    <xf numFmtId="0" fontId="32" fillId="0" borderId="79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21" xfId="1" applyFill="1" applyBorder="1" applyAlignment="1">
      <alignment horizontal="center" vertical="center"/>
    </xf>
    <xf numFmtId="0" fontId="26" fillId="0" borderId="55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58" xfId="1" applyFont="1" applyBorder="1" applyAlignment="1">
      <alignment horizontal="center" vertical="center"/>
    </xf>
    <xf numFmtId="177" fontId="34" fillId="0" borderId="21" xfId="1" applyNumberFormat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2" fillId="0" borderId="1" xfId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 shrinkToFit="1"/>
    </xf>
    <xf numFmtId="0" fontId="0" fillId="0" borderId="44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45" xfId="0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 wrapText="1" shrinkToFit="1"/>
    </xf>
    <xf numFmtId="0" fontId="0" fillId="0" borderId="16" xfId="0" applyBorder="1" applyAlignment="1">
      <alignment horizontal="center" vertical="center" wrapText="1" shrinkToFit="1"/>
    </xf>
    <xf numFmtId="0" fontId="0" fillId="2" borderId="21" xfId="0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81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54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32" fillId="0" borderId="43" xfId="1" applyBorder="1" applyAlignment="1">
      <alignment horizontal="center" vertical="center"/>
    </xf>
    <xf numFmtId="0" fontId="32" fillId="0" borderId="44" xfId="1" applyBorder="1" applyAlignment="1">
      <alignment horizontal="center" vertical="center"/>
    </xf>
    <xf numFmtId="0" fontId="32" fillId="0" borderId="26" xfId="1" applyBorder="1" applyAlignment="1">
      <alignment horizontal="center" vertical="center"/>
    </xf>
    <xf numFmtId="0" fontId="32" fillId="0" borderId="45" xfId="1" applyBorder="1" applyAlignment="1">
      <alignment horizontal="center" vertical="center"/>
    </xf>
    <xf numFmtId="0" fontId="32" fillId="0" borderId="17" xfId="1" applyBorder="1" applyAlignment="1">
      <alignment horizontal="center" vertical="center"/>
    </xf>
    <xf numFmtId="0" fontId="4" fillId="0" borderId="6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4" fillId="0" borderId="64" xfId="1" applyFont="1" applyBorder="1" applyAlignment="1">
      <alignment horizontal="center" vertical="center"/>
    </xf>
    <xf numFmtId="0" fontId="4" fillId="0" borderId="66" xfId="1" applyFont="1" applyBorder="1" applyAlignment="1">
      <alignment horizontal="center" vertical="center"/>
    </xf>
    <xf numFmtId="0" fontId="32" fillId="0" borderId="67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70" xfId="1" applyBorder="1" applyAlignment="1">
      <alignment horizontal="center" vertical="center"/>
    </xf>
    <xf numFmtId="0" fontId="32" fillId="0" borderId="71" xfId="1" applyBorder="1" applyAlignment="1">
      <alignment horizontal="center" vertical="center"/>
    </xf>
    <xf numFmtId="0" fontId="32" fillId="0" borderId="72" xfId="1" applyBorder="1" applyAlignment="1">
      <alignment horizontal="center" vertical="center"/>
    </xf>
    <xf numFmtId="0" fontId="32" fillId="0" borderId="18" xfId="1" applyBorder="1" applyAlignment="1">
      <alignment horizontal="center" vertical="center"/>
    </xf>
    <xf numFmtId="0" fontId="32" fillId="0" borderId="20" xfId="1" applyBorder="1" applyAlignment="1">
      <alignment horizontal="center" vertical="center"/>
    </xf>
    <xf numFmtId="0" fontId="2" fillId="0" borderId="21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7" borderId="21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horizontal="center" vertical="center" wrapText="1"/>
    </xf>
    <xf numFmtId="0" fontId="2" fillId="6" borderId="24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32" fillId="0" borderId="19" xfId="1" applyBorder="1" applyAlignment="1">
      <alignment horizontal="center" vertical="center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58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  <pageSetUpPr fitToPage="1"/>
  </sheetPr>
  <dimension ref="A1:R57"/>
  <sheetViews>
    <sheetView tabSelected="1"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D53" sqref="D53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27" t="s">
        <v>87</v>
      </c>
      <c r="B1" s="128"/>
      <c r="C1" s="128"/>
      <c r="D1" s="133" t="str">
        <f>R1</f>
        <v>26.06.11 웰스홈_신승에프엔티_에이치제이종합건설_조선대학교 감염병 전문병원(입상)</v>
      </c>
      <c r="E1" s="134"/>
      <c r="F1" s="134"/>
      <c r="G1" s="135"/>
      <c r="R1" s="108" t="s">
        <v>113</v>
      </c>
    </row>
    <row r="2" spans="1:18" ht="12.75" customHeight="1">
      <c r="A2" s="129"/>
      <c r="B2" s="130"/>
      <c r="C2" s="130"/>
      <c r="D2" s="136"/>
      <c r="E2" s="136"/>
      <c r="F2" s="136"/>
      <c r="G2" s="137"/>
    </row>
    <row r="3" spans="1:18" ht="13.5" customHeight="1">
      <c r="A3" s="129"/>
      <c r="B3" s="130"/>
      <c r="C3" s="130"/>
      <c r="D3" s="136"/>
      <c r="E3" s="136"/>
      <c r="F3" s="136"/>
      <c r="G3" s="137"/>
    </row>
    <row r="4" spans="1:18" ht="17.25" customHeight="1" thickBot="1">
      <c r="A4" s="131"/>
      <c r="B4" s="132"/>
      <c r="C4" s="132"/>
      <c r="D4" s="138"/>
      <c r="E4" s="138"/>
      <c r="F4" s="138"/>
      <c r="G4" s="139"/>
    </row>
    <row r="5" spans="1:18" ht="6.75" customHeight="1">
      <c r="A5" s="97"/>
      <c r="B5" s="97"/>
      <c r="C5" s="97"/>
      <c r="D5" s="97"/>
      <c r="E5" s="97"/>
      <c r="F5" s="97"/>
      <c r="G5" s="97"/>
    </row>
    <row r="6" spans="1:18" s="10" customFormat="1" ht="18" customHeight="1" thickBot="1">
      <c r="A6" s="140" t="s">
        <v>4</v>
      </c>
      <c r="B6" s="143" t="s">
        <v>32</v>
      </c>
      <c r="C6" s="146" t="s">
        <v>26</v>
      </c>
      <c r="D6" s="146"/>
      <c r="E6" s="146" t="s">
        <v>79</v>
      </c>
      <c r="F6" s="143" t="s">
        <v>45</v>
      </c>
      <c r="G6" s="143" t="s">
        <v>5</v>
      </c>
      <c r="H6" s="9"/>
      <c r="I6" s="147" t="s">
        <v>55</v>
      </c>
      <c r="J6" s="147"/>
      <c r="K6" s="147"/>
      <c r="L6" s="147"/>
      <c r="M6" s="147"/>
      <c r="N6" s="147"/>
      <c r="O6" s="8"/>
    </row>
    <row r="7" spans="1:18" s="10" customFormat="1" ht="18" customHeight="1">
      <c r="A7" s="141"/>
      <c r="B7" s="144"/>
      <c r="C7" s="148" t="s">
        <v>28</v>
      </c>
      <c r="D7" s="143" t="s">
        <v>16</v>
      </c>
      <c r="E7" s="146"/>
      <c r="F7" s="144"/>
      <c r="G7" s="144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42"/>
      <c r="B8" s="145"/>
      <c r="C8" s="149"/>
      <c r="D8" s="145"/>
      <c r="E8" s="146"/>
      <c r="F8" s="145"/>
      <c r="G8" s="145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10" t="s">
        <v>166</v>
      </c>
      <c r="B9" s="39" t="s">
        <v>1</v>
      </c>
      <c r="C9" s="33">
        <v>350</v>
      </c>
      <c r="D9" s="33">
        <v>250</v>
      </c>
      <c r="E9" s="13"/>
      <c r="F9" s="14"/>
      <c r="G9" s="14" t="s">
        <v>114</v>
      </c>
      <c r="H9" s="15"/>
      <c r="I9" s="150"/>
      <c r="J9" s="152"/>
      <c r="K9" s="16"/>
      <c r="L9" s="17"/>
      <c r="M9" s="18"/>
      <c r="N9" s="152"/>
      <c r="O9" s="8"/>
      <c r="Q9" s="10" t="s">
        <v>116</v>
      </c>
    </row>
    <row r="10" spans="1:18" s="10" customFormat="1" ht="18" customHeight="1" thickBot="1">
      <c r="A10" s="110" t="s">
        <v>167</v>
      </c>
      <c r="B10" s="39" t="s">
        <v>1</v>
      </c>
      <c r="C10" s="33">
        <v>450</v>
      </c>
      <c r="D10" s="33">
        <v>300</v>
      </c>
      <c r="E10" s="14"/>
      <c r="F10" s="14"/>
      <c r="G10" s="14" t="s">
        <v>115</v>
      </c>
      <c r="H10" s="15"/>
      <c r="I10" s="150"/>
      <c r="J10" s="152"/>
      <c r="K10" s="16"/>
      <c r="L10" s="17"/>
      <c r="M10" s="18"/>
      <c r="N10" s="152"/>
      <c r="O10" s="8"/>
      <c r="Q10" s="10" t="s">
        <v>117</v>
      </c>
    </row>
    <row r="11" spans="1:18" s="10" customFormat="1" ht="18" customHeight="1" thickBot="1">
      <c r="A11" s="110" t="s">
        <v>100</v>
      </c>
      <c r="B11" s="39" t="s">
        <v>1</v>
      </c>
      <c r="C11" s="33">
        <v>450</v>
      </c>
      <c r="D11" s="33">
        <v>350</v>
      </c>
      <c r="E11" s="13"/>
      <c r="F11" s="14"/>
      <c r="G11" s="14" t="s">
        <v>115</v>
      </c>
      <c r="H11" s="15"/>
      <c r="I11" s="150"/>
      <c r="J11" s="152"/>
      <c r="K11" s="16"/>
      <c r="L11" s="17"/>
      <c r="M11" s="18"/>
      <c r="N11" s="152"/>
      <c r="O11" s="8"/>
      <c r="Q11" s="10" t="s">
        <v>118</v>
      </c>
    </row>
    <row r="12" spans="1:18" s="10" customFormat="1" ht="18" customHeight="1" thickBot="1">
      <c r="A12" s="110" t="s">
        <v>101</v>
      </c>
      <c r="B12" s="39" t="s">
        <v>1</v>
      </c>
      <c r="C12" s="33">
        <v>450</v>
      </c>
      <c r="D12" s="33">
        <v>350</v>
      </c>
      <c r="E12" s="13"/>
      <c r="F12" s="14"/>
      <c r="G12" s="14" t="s">
        <v>114</v>
      </c>
      <c r="H12" s="15"/>
      <c r="I12" s="150"/>
      <c r="J12" s="152"/>
      <c r="K12" s="16"/>
      <c r="L12" s="17"/>
      <c r="M12" s="18"/>
      <c r="N12" s="152"/>
      <c r="O12" s="8"/>
      <c r="Q12" s="10" t="s">
        <v>119</v>
      </c>
    </row>
    <row r="13" spans="1:18" s="10" customFormat="1" ht="18" customHeight="1" thickBot="1">
      <c r="A13" s="110" t="s">
        <v>102</v>
      </c>
      <c r="B13" s="39" t="s">
        <v>1</v>
      </c>
      <c r="C13" s="33">
        <v>500</v>
      </c>
      <c r="D13" s="33">
        <v>500</v>
      </c>
      <c r="E13" s="13"/>
      <c r="F13" s="14"/>
      <c r="G13" s="14" t="s">
        <v>114</v>
      </c>
      <c r="H13" s="15"/>
      <c r="I13" s="150"/>
      <c r="J13" s="152"/>
      <c r="K13" s="16"/>
      <c r="L13" s="17"/>
      <c r="M13" s="18"/>
      <c r="N13" s="152"/>
      <c r="O13" s="8"/>
      <c r="Q13" s="10" t="s">
        <v>120</v>
      </c>
    </row>
    <row r="14" spans="1:18" s="10" customFormat="1" ht="18" customHeight="1">
      <c r="A14" s="110" t="s">
        <v>103</v>
      </c>
      <c r="B14" s="39" t="s">
        <v>1</v>
      </c>
      <c r="C14" s="33">
        <v>550</v>
      </c>
      <c r="D14" s="33">
        <v>350</v>
      </c>
      <c r="E14" s="13"/>
      <c r="F14" s="14"/>
      <c r="G14" s="14" t="s">
        <v>115</v>
      </c>
      <c r="H14" s="15"/>
      <c r="I14" s="151"/>
      <c r="J14" s="153"/>
      <c r="K14" s="16"/>
      <c r="L14" s="17"/>
      <c r="M14" s="18"/>
      <c r="N14" s="153"/>
      <c r="O14" s="8"/>
      <c r="Q14" s="10" t="s">
        <v>121</v>
      </c>
    </row>
    <row r="15" spans="1:18" s="10" customFormat="1" ht="18" customHeight="1">
      <c r="A15" s="110" t="s">
        <v>104</v>
      </c>
      <c r="B15" s="39" t="s">
        <v>1</v>
      </c>
      <c r="C15" s="33">
        <v>550</v>
      </c>
      <c r="D15" s="33">
        <v>350</v>
      </c>
      <c r="E15" s="24"/>
      <c r="F15" s="14"/>
      <c r="G15" s="14" t="s">
        <v>114</v>
      </c>
      <c r="H15" s="20"/>
      <c r="I15" s="21"/>
      <c r="J15" s="21"/>
      <c r="K15" s="21"/>
      <c r="L15" s="22"/>
      <c r="M15" s="21"/>
      <c r="N15" s="21"/>
      <c r="O15" s="21"/>
      <c r="P15" s="23"/>
      <c r="Q15" s="10" t="s">
        <v>122</v>
      </c>
    </row>
    <row r="16" spans="1:18" s="10" customFormat="1" ht="18" customHeight="1" thickBot="1">
      <c r="A16" s="110" t="s">
        <v>105</v>
      </c>
      <c r="B16" s="39" t="s">
        <v>1</v>
      </c>
      <c r="C16" s="33">
        <v>600</v>
      </c>
      <c r="D16" s="33">
        <v>300</v>
      </c>
      <c r="E16" s="13"/>
      <c r="F16" s="14"/>
      <c r="G16" s="14" t="s">
        <v>115</v>
      </c>
      <c r="H16" s="15"/>
      <c r="I16" s="19"/>
      <c r="J16" s="19"/>
      <c r="K16" s="19"/>
      <c r="L16" s="8"/>
      <c r="M16" s="19"/>
      <c r="N16" s="19"/>
      <c r="O16" s="19"/>
      <c r="Q16" s="10" t="s">
        <v>123</v>
      </c>
    </row>
    <row r="17" spans="1:17" s="10" customFormat="1" ht="18" customHeight="1" thickBot="1">
      <c r="A17" s="110" t="s">
        <v>106</v>
      </c>
      <c r="B17" s="39" t="s">
        <v>1</v>
      </c>
      <c r="C17" s="33">
        <v>600</v>
      </c>
      <c r="D17" s="33">
        <v>300</v>
      </c>
      <c r="E17" s="13"/>
      <c r="F17" s="14"/>
      <c r="G17" s="14" t="s">
        <v>114</v>
      </c>
      <c r="H17" s="15"/>
      <c r="I17" s="154"/>
      <c r="J17" s="155"/>
      <c r="K17" s="16"/>
      <c r="L17" s="17"/>
      <c r="M17" s="18"/>
      <c r="N17" s="155"/>
      <c r="O17" s="8"/>
      <c r="Q17" s="10" t="s">
        <v>124</v>
      </c>
    </row>
    <row r="18" spans="1:17" s="10" customFormat="1" ht="18" customHeight="1" thickBot="1">
      <c r="A18" s="110" t="s">
        <v>107</v>
      </c>
      <c r="B18" s="39" t="s">
        <v>1</v>
      </c>
      <c r="C18" s="32">
        <v>600</v>
      </c>
      <c r="D18" s="33">
        <v>450</v>
      </c>
      <c r="E18" s="14"/>
      <c r="F18" s="14"/>
      <c r="G18" s="14" t="s">
        <v>115</v>
      </c>
      <c r="H18" s="15"/>
      <c r="I18" s="150"/>
      <c r="J18" s="152"/>
      <c r="K18" s="16"/>
      <c r="L18" s="17"/>
      <c r="M18" s="18"/>
      <c r="N18" s="152"/>
      <c r="O18" s="8"/>
      <c r="Q18" s="10" t="s">
        <v>125</v>
      </c>
    </row>
    <row r="19" spans="1:17" s="10" customFormat="1" ht="18" customHeight="1">
      <c r="A19" s="110" t="s">
        <v>168</v>
      </c>
      <c r="B19" s="39" t="s">
        <v>1</v>
      </c>
      <c r="C19" s="32">
        <v>600</v>
      </c>
      <c r="D19" s="33">
        <v>600</v>
      </c>
      <c r="E19" s="13"/>
      <c r="F19" s="14"/>
      <c r="G19" s="14" t="s">
        <v>115</v>
      </c>
      <c r="H19" s="15"/>
      <c r="I19" s="150"/>
      <c r="J19" s="152"/>
      <c r="K19" s="16"/>
      <c r="L19" s="17"/>
      <c r="M19" s="18"/>
      <c r="N19" s="152"/>
      <c r="O19" s="8"/>
      <c r="Q19" s="10" t="s">
        <v>126</v>
      </c>
    </row>
    <row r="20" spans="1:17" s="10" customFormat="1" ht="18" customHeight="1">
      <c r="A20" s="110" t="s">
        <v>169</v>
      </c>
      <c r="B20" s="39" t="s">
        <v>1</v>
      </c>
      <c r="C20" s="32">
        <v>700</v>
      </c>
      <c r="D20" s="33">
        <v>600</v>
      </c>
      <c r="E20" s="13"/>
      <c r="F20" s="14"/>
      <c r="G20" s="14" t="s">
        <v>114</v>
      </c>
      <c r="H20" s="15"/>
      <c r="I20" s="150"/>
      <c r="J20" s="152"/>
      <c r="K20" s="16"/>
      <c r="L20" s="17"/>
      <c r="M20" s="18"/>
      <c r="N20" s="152"/>
      <c r="O20" s="8"/>
      <c r="Q20" s="10" t="s">
        <v>127</v>
      </c>
    </row>
    <row r="21" spans="1:17" s="10" customFormat="1" ht="18" customHeight="1">
      <c r="A21" s="110" t="s">
        <v>170</v>
      </c>
      <c r="B21" s="39" t="s">
        <v>1</v>
      </c>
      <c r="C21" s="32">
        <v>700</v>
      </c>
      <c r="D21" s="33">
        <v>600</v>
      </c>
      <c r="E21" s="13"/>
      <c r="F21" s="14"/>
      <c r="G21" s="14" t="s">
        <v>115</v>
      </c>
      <c r="H21" s="15"/>
      <c r="I21" s="150"/>
      <c r="J21" s="152"/>
      <c r="K21" s="16"/>
      <c r="L21" s="17"/>
      <c r="M21" s="18"/>
      <c r="N21" s="152"/>
      <c r="O21" s="8"/>
      <c r="Q21" s="10" t="s">
        <v>128</v>
      </c>
    </row>
    <row r="22" spans="1:17" s="10" customFormat="1" ht="18" customHeight="1">
      <c r="A22" s="110" t="s">
        <v>171</v>
      </c>
      <c r="B22" s="39" t="s">
        <v>1</v>
      </c>
      <c r="C22" s="32">
        <v>700</v>
      </c>
      <c r="D22" s="33">
        <v>650</v>
      </c>
      <c r="E22" s="13"/>
      <c r="F22" s="14"/>
      <c r="G22" s="14" t="s">
        <v>115</v>
      </c>
      <c r="H22" s="15"/>
      <c r="I22" s="151"/>
      <c r="J22" s="153"/>
      <c r="K22" s="16"/>
      <c r="L22" s="17"/>
      <c r="M22" s="18"/>
      <c r="N22" s="153"/>
      <c r="O22" s="8"/>
      <c r="Q22" s="10" t="s">
        <v>129</v>
      </c>
    </row>
    <row r="23" spans="1:17" s="10" customFormat="1" ht="18" customHeight="1">
      <c r="A23" s="110" t="s">
        <v>172</v>
      </c>
      <c r="B23" s="39" t="s">
        <v>1</v>
      </c>
      <c r="C23" s="32">
        <v>700</v>
      </c>
      <c r="D23" s="33">
        <v>650</v>
      </c>
      <c r="E23" s="24"/>
      <c r="F23" s="14"/>
      <c r="G23" s="14" t="s">
        <v>115</v>
      </c>
      <c r="H23" s="20"/>
      <c r="I23" s="21"/>
      <c r="J23" s="21"/>
      <c r="K23" s="21"/>
      <c r="L23" s="22"/>
      <c r="M23" s="21"/>
      <c r="N23" s="21"/>
      <c r="O23" s="21"/>
      <c r="P23" s="23"/>
      <c r="Q23" s="10" t="s">
        <v>130</v>
      </c>
    </row>
    <row r="24" spans="1:17" s="10" customFormat="1" ht="18" customHeight="1">
      <c r="A24" s="110" t="s">
        <v>173</v>
      </c>
      <c r="B24" s="39" t="s">
        <v>1</v>
      </c>
      <c r="C24" s="32">
        <v>700</v>
      </c>
      <c r="D24" s="33">
        <v>650</v>
      </c>
      <c r="E24" s="13"/>
      <c r="F24" s="14"/>
      <c r="G24" s="14" t="s">
        <v>115</v>
      </c>
      <c r="H24" s="15"/>
      <c r="I24" s="19"/>
      <c r="J24" s="19"/>
      <c r="K24" s="19"/>
      <c r="L24" s="8"/>
      <c r="M24" s="19"/>
      <c r="N24" s="19"/>
      <c r="O24" s="19"/>
      <c r="Q24" s="10" t="s">
        <v>131</v>
      </c>
    </row>
    <row r="25" spans="1:17" s="10" customFormat="1" ht="18" customHeight="1">
      <c r="A25" s="110" t="s">
        <v>174</v>
      </c>
      <c r="B25" s="39" t="s">
        <v>1</v>
      </c>
      <c r="C25" s="32">
        <v>700</v>
      </c>
      <c r="D25" s="33">
        <v>650</v>
      </c>
      <c r="E25" s="13"/>
      <c r="F25" s="14"/>
      <c r="G25" s="14" t="s">
        <v>114</v>
      </c>
      <c r="H25" s="15"/>
      <c r="I25" s="154"/>
      <c r="J25" s="155"/>
      <c r="K25" s="16"/>
      <c r="L25" s="17"/>
      <c r="M25" s="18"/>
      <c r="N25" s="155"/>
      <c r="O25" s="8"/>
      <c r="Q25" s="10" t="s">
        <v>132</v>
      </c>
    </row>
    <row r="26" spans="1:17" s="10" customFormat="1" ht="18" customHeight="1">
      <c r="A26" s="110" t="s">
        <v>175</v>
      </c>
      <c r="B26" s="39" t="s">
        <v>1</v>
      </c>
      <c r="C26" s="32">
        <v>700</v>
      </c>
      <c r="D26" s="33">
        <v>650</v>
      </c>
      <c r="E26" s="14"/>
      <c r="F26" s="14"/>
      <c r="G26" s="14" t="s">
        <v>114</v>
      </c>
      <c r="H26" s="15"/>
      <c r="I26" s="150"/>
      <c r="J26" s="152"/>
      <c r="K26" s="16"/>
      <c r="L26" s="17"/>
      <c r="M26" s="18"/>
      <c r="N26" s="152"/>
      <c r="O26" s="8"/>
      <c r="Q26" s="10" t="s">
        <v>133</v>
      </c>
    </row>
    <row r="27" spans="1:17" s="10" customFormat="1" ht="18" customHeight="1">
      <c r="A27" s="110" t="s">
        <v>176</v>
      </c>
      <c r="B27" s="39" t="s">
        <v>1</v>
      </c>
      <c r="C27" s="32">
        <v>700</v>
      </c>
      <c r="D27" s="33">
        <v>650</v>
      </c>
      <c r="E27" s="13"/>
      <c r="F27" s="14"/>
      <c r="G27" s="14" t="s">
        <v>114</v>
      </c>
      <c r="H27" s="15"/>
      <c r="I27" s="150"/>
      <c r="J27" s="152"/>
      <c r="K27" s="16"/>
      <c r="L27" s="17"/>
      <c r="M27" s="18"/>
      <c r="N27" s="152"/>
      <c r="O27" s="8"/>
      <c r="Q27" s="10" t="s">
        <v>134</v>
      </c>
    </row>
    <row r="28" spans="1:17" s="10" customFormat="1" ht="18" customHeight="1">
      <c r="A28" s="110" t="s">
        <v>177</v>
      </c>
      <c r="B28" s="39" t="s">
        <v>1</v>
      </c>
      <c r="C28" s="32">
        <v>700</v>
      </c>
      <c r="D28" s="33">
        <v>650</v>
      </c>
      <c r="E28" s="13"/>
      <c r="F28" s="14"/>
      <c r="G28" s="14" t="s">
        <v>114</v>
      </c>
      <c r="H28" s="15"/>
      <c r="I28" s="150"/>
      <c r="J28" s="152"/>
      <c r="K28" s="16"/>
      <c r="L28" s="17"/>
      <c r="M28" s="18"/>
      <c r="N28" s="152"/>
      <c r="O28" s="8"/>
      <c r="Q28" s="10" t="s">
        <v>135</v>
      </c>
    </row>
    <row r="29" spans="1:17" s="10" customFormat="1" ht="18" customHeight="1">
      <c r="A29" s="110" t="s">
        <v>178</v>
      </c>
      <c r="B29" s="39" t="s">
        <v>1</v>
      </c>
      <c r="C29" s="32">
        <v>750</v>
      </c>
      <c r="D29" s="33">
        <v>450</v>
      </c>
      <c r="E29" s="13"/>
      <c r="F29" s="14"/>
      <c r="G29" s="14" t="s">
        <v>115</v>
      </c>
      <c r="H29" s="15"/>
      <c r="I29" s="150"/>
      <c r="J29" s="152"/>
      <c r="K29" s="16"/>
      <c r="L29" s="17"/>
      <c r="M29" s="18"/>
      <c r="N29" s="152"/>
      <c r="O29" s="8"/>
      <c r="Q29" s="10" t="s">
        <v>136</v>
      </c>
    </row>
    <row r="30" spans="1:17" s="10" customFormat="1" ht="18" customHeight="1">
      <c r="A30" s="110" t="s">
        <v>179</v>
      </c>
      <c r="B30" s="39" t="s">
        <v>1</v>
      </c>
      <c r="C30" s="32">
        <v>750</v>
      </c>
      <c r="D30" s="33">
        <v>450</v>
      </c>
      <c r="E30" s="13"/>
      <c r="F30" s="14"/>
      <c r="G30" s="14" t="s">
        <v>114</v>
      </c>
      <c r="H30" s="15"/>
      <c r="I30" s="151"/>
      <c r="J30" s="153"/>
      <c r="K30" s="16"/>
      <c r="L30" s="17"/>
      <c r="M30" s="18"/>
      <c r="N30" s="153"/>
      <c r="O30" s="8"/>
      <c r="Q30" s="10" t="s">
        <v>137</v>
      </c>
    </row>
    <row r="31" spans="1:17" s="10" customFormat="1" ht="18" customHeight="1">
      <c r="A31" s="110" t="s">
        <v>180</v>
      </c>
      <c r="B31" s="39" t="s">
        <v>1</v>
      </c>
      <c r="C31" s="32">
        <v>750</v>
      </c>
      <c r="D31" s="33">
        <v>550</v>
      </c>
      <c r="E31" s="24"/>
      <c r="F31" s="14"/>
      <c r="G31" s="14" t="s">
        <v>115</v>
      </c>
      <c r="H31" s="20"/>
      <c r="I31" s="21"/>
      <c r="J31" s="21"/>
      <c r="K31" s="21"/>
      <c r="L31" s="22"/>
      <c r="M31" s="21"/>
      <c r="N31" s="21"/>
      <c r="O31" s="21"/>
      <c r="P31" s="23"/>
      <c r="Q31" s="10" t="s">
        <v>138</v>
      </c>
    </row>
    <row r="32" spans="1:17" s="10" customFormat="1" ht="18" customHeight="1">
      <c r="A32" s="110" t="s">
        <v>181</v>
      </c>
      <c r="B32" s="39" t="s">
        <v>1</v>
      </c>
      <c r="C32" s="32">
        <v>750</v>
      </c>
      <c r="D32" s="33">
        <v>550</v>
      </c>
      <c r="E32" s="13"/>
      <c r="F32" s="14"/>
      <c r="G32" s="14" t="s">
        <v>115</v>
      </c>
      <c r="H32" s="15"/>
      <c r="I32" s="19"/>
      <c r="J32" s="19"/>
      <c r="K32" s="19"/>
      <c r="L32" s="8"/>
      <c r="M32" s="19"/>
      <c r="N32" s="19"/>
      <c r="O32" s="19"/>
      <c r="Q32" s="10" t="s">
        <v>139</v>
      </c>
    </row>
    <row r="33" spans="1:17" s="10" customFormat="1" ht="18" customHeight="1">
      <c r="A33" s="110" t="s">
        <v>182</v>
      </c>
      <c r="B33" s="39" t="s">
        <v>1</v>
      </c>
      <c r="C33" s="32">
        <v>750</v>
      </c>
      <c r="D33" s="33">
        <v>550</v>
      </c>
      <c r="E33" s="13"/>
      <c r="F33" s="14"/>
      <c r="G33" s="14" t="s">
        <v>114</v>
      </c>
      <c r="H33" s="15"/>
      <c r="I33" s="154"/>
      <c r="J33" s="155"/>
      <c r="K33" s="16"/>
      <c r="L33" s="17"/>
      <c r="M33" s="18"/>
      <c r="N33" s="155"/>
      <c r="O33" s="8"/>
      <c r="Q33" s="10" t="s">
        <v>140</v>
      </c>
    </row>
    <row r="34" spans="1:17" s="10" customFormat="1" ht="18" customHeight="1">
      <c r="A34" s="110" t="s">
        <v>183</v>
      </c>
      <c r="B34" s="39" t="s">
        <v>1</v>
      </c>
      <c r="C34" s="32">
        <v>750</v>
      </c>
      <c r="D34" s="33">
        <v>550</v>
      </c>
      <c r="E34" s="14"/>
      <c r="F34" s="14"/>
      <c r="G34" s="14" t="s">
        <v>114</v>
      </c>
      <c r="H34" s="15"/>
      <c r="I34" s="150"/>
      <c r="J34" s="152"/>
      <c r="K34" s="16"/>
      <c r="L34" s="17"/>
      <c r="M34" s="18"/>
      <c r="N34" s="152"/>
      <c r="O34" s="8"/>
      <c r="Q34" s="10" t="s">
        <v>141</v>
      </c>
    </row>
    <row r="35" spans="1:17" s="10" customFormat="1" ht="18" customHeight="1">
      <c r="A35" s="110" t="s">
        <v>184</v>
      </c>
      <c r="B35" s="39" t="s">
        <v>1</v>
      </c>
      <c r="C35" s="32">
        <v>750</v>
      </c>
      <c r="D35" s="33">
        <v>600</v>
      </c>
      <c r="E35" s="13"/>
      <c r="F35" s="14"/>
      <c r="G35" s="14" t="s">
        <v>114</v>
      </c>
      <c r="H35" s="15"/>
      <c r="I35" s="150"/>
      <c r="J35" s="152"/>
      <c r="K35" s="16"/>
      <c r="L35" s="17"/>
      <c r="M35" s="18"/>
      <c r="N35" s="152"/>
      <c r="O35" s="8"/>
      <c r="Q35" s="10" t="s">
        <v>142</v>
      </c>
    </row>
    <row r="36" spans="1:17" s="10" customFormat="1" ht="18" customHeight="1">
      <c r="A36" s="110" t="s">
        <v>185</v>
      </c>
      <c r="B36" s="39" t="s">
        <v>1</v>
      </c>
      <c r="C36" s="32">
        <v>750</v>
      </c>
      <c r="D36" s="33">
        <v>600</v>
      </c>
      <c r="E36" s="13"/>
      <c r="F36" s="14"/>
      <c r="G36" s="14" t="s">
        <v>115</v>
      </c>
      <c r="H36" s="15"/>
      <c r="I36" s="150"/>
      <c r="J36" s="152"/>
      <c r="K36" s="16"/>
      <c r="L36" s="17"/>
      <c r="M36" s="18"/>
      <c r="N36" s="152"/>
      <c r="O36" s="8"/>
      <c r="Q36" s="10" t="s">
        <v>143</v>
      </c>
    </row>
    <row r="37" spans="1:17" s="10" customFormat="1" ht="18" customHeight="1">
      <c r="A37" s="110" t="s">
        <v>186</v>
      </c>
      <c r="B37" s="39" t="s">
        <v>1</v>
      </c>
      <c r="C37" s="32">
        <v>750</v>
      </c>
      <c r="D37" s="33">
        <v>650</v>
      </c>
      <c r="E37" s="13"/>
      <c r="F37" s="14"/>
      <c r="G37" s="14" t="s">
        <v>115</v>
      </c>
      <c r="H37" s="15"/>
      <c r="I37" s="150"/>
      <c r="J37" s="152"/>
      <c r="K37" s="16"/>
      <c r="L37" s="17"/>
      <c r="M37" s="18"/>
      <c r="N37" s="152"/>
      <c r="O37" s="8"/>
      <c r="Q37" s="10" t="s">
        <v>144</v>
      </c>
    </row>
    <row r="38" spans="1:17" s="10" customFormat="1" ht="18" customHeight="1" thickBot="1">
      <c r="A38" s="110" t="s">
        <v>187</v>
      </c>
      <c r="B38" s="39" t="s">
        <v>1</v>
      </c>
      <c r="C38" s="32">
        <v>750</v>
      </c>
      <c r="D38" s="33">
        <v>650</v>
      </c>
      <c r="E38" s="13"/>
      <c r="F38" s="14"/>
      <c r="G38" s="14" t="s">
        <v>114</v>
      </c>
      <c r="H38" s="15"/>
      <c r="I38" s="150"/>
      <c r="J38" s="152"/>
      <c r="K38" s="16"/>
      <c r="L38" s="17"/>
      <c r="M38" s="18"/>
      <c r="N38" s="152"/>
      <c r="O38" s="8"/>
      <c r="Q38" s="10" t="s">
        <v>145</v>
      </c>
    </row>
    <row r="39" spans="1:17" s="10" customFormat="1" ht="18" customHeight="1" thickBot="1">
      <c r="A39" s="110" t="s">
        <v>188</v>
      </c>
      <c r="B39" s="39" t="s">
        <v>1</v>
      </c>
      <c r="C39" s="32">
        <v>750</v>
      </c>
      <c r="D39" s="33">
        <v>700</v>
      </c>
      <c r="E39" s="13"/>
      <c r="F39" s="14"/>
      <c r="G39" s="14" t="s">
        <v>115</v>
      </c>
      <c r="H39" s="15"/>
      <c r="I39" s="79"/>
      <c r="J39" s="80"/>
      <c r="K39" s="16"/>
      <c r="L39" s="17"/>
      <c r="M39" s="18"/>
      <c r="N39" s="80"/>
      <c r="O39" s="8"/>
      <c r="Q39" s="10" t="s">
        <v>146</v>
      </c>
    </row>
    <row r="40" spans="1:17" s="10" customFormat="1" ht="18" customHeight="1" thickBot="1">
      <c r="A40" s="110" t="s">
        <v>189</v>
      </c>
      <c r="B40" s="39" t="s">
        <v>1</v>
      </c>
      <c r="C40" s="32">
        <v>750</v>
      </c>
      <c r="D40" s="33">
        <v>700</v>
      </c>
      <c r="E40" s="13"/>
      <c r="F40" s="14"/>
      <c r="G40" s="14" t="s">
        <v>114</v>
      </c>
      <c r="H40" s="15"/>
      <c r="I40" s="79"/>
      <c r="J40" s="80"/>
      <c r="K40" s="16"/>
      <c r="L40" s="17"/>
      <c r="M40" s="18"/>
      <c r="N40" s="80"/>
      <c r="O40" s="8"/>
      <c r="Q40" s="10" t="s">
        <v>147</v>
      </c>
    </row>
    <row r="41" spans="1:17" s="10" customFormat="1" ht="18" customHeight="1" thickBot="1">
      <c r="A41" s="110" t="s">
        <v>190</v>
      </c>
      <c r="B41" s="39" t="s">
        <v>1</v>
      </c>
      <c r="C41" s="32">
        <v>800</v>
      </c>
      <c r="D41" s="33">
        <v>500</v>
      </c>
      <c r="E41" s="13"/>
      <c r="F41" s="14"/>
      <c r="G41" s="14" t="s">
        <v>115</v>
      </c>
      <c r="H41" s="15"/>
      <c r="I41" s="79"/>
      <c r="J41" s="80"/>
      <c r="K41" s="16"/>
      <c r="L41" s="17"/>
      <c r="M41" s="18"/>
      <c r="N41" s="80"/>
      <c r="O41" s="8"/>
      <c r="Q41" s="10" t="s">
        <v>148</v>
      </c>
    </row>
    <row r="42" spans="1:17" s="10" customFormat="1" ht="18" customHeight="1" thickBot="1">
      <c r="A42" s="110" t="s">
        <v>191</v>
      </c>
      <c r="B42" s="39" t="s">
        <v>1</v>
      </c>
      <c r="C42" s="32">
        <v>800</v>
      </c>
      <c r="D42" s="33">
        <v>500</v>
      </c>
      <c r="E42" s="13"/>
      <c r="F42" s="14"/>
      <c r="G42" s="14" t="s">
        <v>114</v>
      </c>
      <c r="H42" s="15"/>
      <c r="I42" s="79"/>
      <c r="J42" s="80"/>
      <c r="K42" s="16"/>
      <c r="L42" s="17"/>
      <c r="M42" s="18"/>
      <c r="N42" s="80"/>
      <c r="O42" s="8"/>
      <c r="Q42" s="10" t="s">
        <v>149</v>
      </c>
    </row>
    <row r="43" spans="1:17" s="10" customFormat="1" ht="18" customHeight="1" thickBot="1">
      <c r="A43" s="110" t="s">
        <v>192</v>
      </c>
      <c r="B43" s="39" t="s">
        <v>1</v>
      </c>
      <c r="C43" s="32">
        <v>800</v>
      </c>
      <c r="D43" s="33">
        <v>550</v>
      </c>
      <c r="E43" s="13"/>
      <c r="F43" s="14"/>
      <c r="G43" s="14" t="s">
        <v>114</v>
      </c>
      <c r="H43" s="15"/>
      <c r="I43" s="79"/>
      <c r="J43" s="80"/>
      <c r="K43" s="16"/>
      <c r="L43" s="17"/>
      <c r="M43" s="18"/>
      <c r="N43" s="80"/>
      <c r="O43" s="8"/>
      <c r="Q43" s="10" t="s">
        <v>150</v>
      </c>
    </row>
    <row r="44" spans="1:17" s="10" customFormat="1" ht="18" customHeight="1" thickBot="1">
      <c r="A44" s="110" t="s">
        <v>193</v>
      </c>
      <c r="B44" s="39" t="s">
        <v>1</v>
      </c>
      <c r="C44" s="32">
        <v>800</v>
      </c>
      <c r="D44" s="33">
        <v>600</v>
      </c>
      <c r="E44" s="13"/>
      <c r="F44" s="14"/>
      <c r="G44" s="14" t="s">
        <v>115</v>
      </c>
      <c r="H44" s="15"/>
      <c r="I44" s="79"/>
      <c r="J44" s="80"/>
      <c r="K44" s="16"/>
      <c r="L44" s="17"/>
      <c r="M44" s="18"/>
      <c r="N44" s="80"/>
      <c r="O44" s="8"/>
      <c r="Q44" s="10" t="s">
        <v>151</v>
      </c>
    </row>
    <row r="45" spans="1:17" s="10" customFormat="1" ht="18" customHeight="1" thickBot="1">
      <c r="A45" s="110" t="s">
        <v>194</v>
      </c>
      <c r="B45" s="39" t="s">
        <v>1</v>
      </c>
      <c r="C45" s="32">
        <v>800</v>
      </c>
      <c r="D45" s="33">
        <v>600</v>
      </c>
      <c r="E45" s="13"/>
      <c r="F45" s="14"/>
      <c r="G45" s="14" t="s">
        <v>114</v>
      </c>
      <c r="H45" s="15"/>
      <c r="I45" s="79"/>
      <c r="J45" s="80"/>
      <c r="K45" s="16"/>
      <c r="L45" s="17"/>
      <c r="M45" s="18"/>
      <c r="N45" s="80"/>
      <c r="O45" s="8"/>
      <c r="Q45" s="10" t="s">
        <v>152</v>
      </c>
    </row>
    <row r="46" spans="1:17" s="10" customFormat="1" ht="18" customHeight="1" thickBot="1">
      <c r="A46" s="110" t="s">
        <v>195</v>
      </c>
      <c r="B46" s="39" t="s">
        <v>1</v>
      </c>
      <c r="C46" s="32">
        <v>800</v>
      </c>
      <c r="D46" s="33">
        <v>600</v>
      </c>
      <c r="E46" s="13"/>
      <c r="F46" s="14"/>
      <c r="G46" s="14" t="s">
        <v>114</v>
      </c>
      <c r="H46" s="15"/>
      <c r="I46" s="79"/>
      <c r="J46" s="80"/>
      <c r="K46" s="16"/>
      <c r="L46" s="17"/>
      <c r="M46" s="18"/>
      <c r="N46" s="80"/>
      <c r="O46" s="8"/>
      <c r="Q46" s="10" t="s">
        <v>153</v>
      </c>
    </row>
    <row r="47" spans="1:17" s="10" customFormat="1" ht="18" customHeight="1" thickBot="1">
      <c r="A47" s="110" t="s">
        <v>196</v>
      </c>
      <c r="B47" s="39" t="s">
        <v>1</v>
      </c>
      <c r="C47" s="32">
        <v>800</v>
      </c>
      <c r="D47" s="33">
        <v>650</v>
      </c>
      <c r="E47" s="13"/>
      <c r="F47" s="14"/>
      <c r="G47" s="14" t="s">
        <v>115</v>
      </c>
      <c r="H47" s="15"/>
      <c r="I47" s="79"/>
      <c r="J47" s="80"/>
      <c r="K47" s="16"/>
      <c r="L47" s="17"/>
      <c r="M47" s="18"/>
      <c r="N47" s="80"/>
      <c r="O47" s="8"/>
      <c r="Q47" s="10" t="s">
        <v>154</v>
      </c>
    </row>
    <row r="48" spans="1:17" s="10" customFormat="1" ht="18" customHeight="1" thickBot="1">
      <c r="A48" s="110" t="s">
        <v>197</v>
      </c>
      <c r="B48" s="39" t="s">
        <v>1</v>
      </c>
      <c r="C48" s="32">
        <v>800</v>
      </c>
      <c r="D48" s="33">
        <v>650</v>
      </c>
      <c r="E48" s="13"/>
      <c r="F48" s="14"/>
      <c r="G48" s="14" t="s">
        <v>114</v>
      </c>
      <c r="H48" s="15"/>
      <c r="I48" s="79"/>
      <c r="J48" s="80"/>
      <c r="K48" s="16"/>
      <c r="L48" s="17"/>
      <c r="M48" s="18"/>
      <c r="N48" s="80"/>
      <c r="O48" s="8"/>
      <c r="Q48" s="10" t="s">
        <v>155</v>
      </c>
    </row>
    <row r="49" spans="1:17" s="10" customFormat="1" ht="18" customHeight="1" thickBot="1">
      <c r="A49" s="110" t="s">
        <v>198</v>
      </c>
      <c r="B49" s="39" t="s">
        <v>1</v>
      </c>
      <c r="C49" s="32">
        <v>900</v>
      </c>
      <c r="D49" s="33">
        <v>650</v>
      </c>
      <c r="E49" s="13"/>
      <c r="F49" s="14"/>
      <c r="G49" s="14" t="s">
        <v>114</v>
      </c>
      <c r="H49" s="15"/>
      <c r="I49" s="79"/>
      <c r="J49" s="80"/>
      <c r="K49" s="16"/>
      <c r="L49" s="17"/>
      <c r="M49" s="18"/>
      <c r="N49" s="80"/>
      <c r="O49" s="8"/>
      <c r="Q49" s="10" t="s">
        <v>156</v>
      </c>
    </row>
    <row r="50" spans="1:17" s="10" customFormat="1" ht="18" customHeight="1" thickBot="1">
      <c r="A50" s="110" t="s">
        <v>199</v>
      </c>
      <c r="B50" s="39" t="s">
        <v>1</v>
      </c>
      <c r="C50" s="32">
        <v>900</v>
      </c>
      <c r="D50" s="33">
        <v>700</v>
      </c>
      <c r="E50" s="13"/>
      <c r="F50" s="14"/>
      <c r="G50" s="14" t="s">
        <v>115</v>
      </c>
      <c r="H50" s="15"/>
      <c r="I50" s="79"/>
      <c r="J50" s="80"/>
      <c r="K50" s="16"/>
      <c r="L50" s="17"/>
      <c r="M50" s="18"/>
      <c r="N50" s="80"/>
      <c r="O50" s="8"/>
      <c r="Q50" s="10" t="s">
        <v>157</v>
      </c>
    </row>
    <row r="51" spans="1:17" s="10" customFormat="1" ht="18" customHeight="1" thickBot="1">
      <c r="A51" s="110" t="s">
        <v>200</v>
      </c>
      <c r="B51" s="39" t="s">
        <v>1</v>
      </c>
      <c r="C51" s="32">
        <v>900</v>
      </c>
      <c r="D51" s="33">
        <v>700</v>
      </c>
      <c r="E51" s="13"/>
      <c r="F51" s="14"/>
      <c r="G51" s="14" t="s">
        <v>114</v>
      </c>
      <c r="H51" s="15"/>
      <c r="I51" s="79"/>
      <c r="J51" s="80"/>
      <c r="K51" s="16"/>
      <c r="L51" s="17"/>
      <c r="M51" s="18"/>
      <c r="N51" s="80"/>
      <c r="O51" s="8"/>
      <c r="Q51" s="10" t="s">
        <v>158</v>
      </c>
    </row>
    <row r="52" spans="1:17" s="10" customFormat="1" ht="18" customHeight="1" thickBot="1">
      <c r="A52" s="110" t="s">
        <v>201</v>
      </c>
      <c r="B52" s="39" t="s">
        <v>1</v>
      </c>
      <c r="C52" s="32">
        <v>1000</v>
      </c>
      <c r="D52" s="33">
        <v>550</v>
      </c>
      <c r="E52" s="13"/>
      <c r="F52" s="14"/>
      <c r="G52" s="14" t="s">
        <v>115</v>
      </c>
      <c r="H52" s="15"/>
      <c r="I52" s="79"/>
      <c r="J52" s="80"/>
      <c r="K52" s="16"/>
      <c r="L52" s="17"/>
      <c r="M52" s="18"/>
      <c r="N52" s="80"/>
      <c r="O52" s="8"/>
      <c r="Q52" s="10" t="s">
        <v>159</v>
      </c>
    </row>
    <row r="53" spans="1:17" s="10" customFormat="1" ht="18" customHeight="1" thickBot="1">
      <c r="A53" s="110" t="s">
        <v>202</v>
      </c>
      <c r="B53" s="39" t="s">
        <v>1</v>
      </c>
      <c r="C53" s="32">
        <v>1000</v>
      </c>
      <c r="D53" s="33">
        <v>550</v>
      </c>
      <c r="E53" s="13"/>
      <c r="F53" s="14"/>
      <c r="G53" s="14" t="s">
        <v>114</v>
      </c>
      <c r="H53" s="15"/>
      <c r="I53" s="79"/>
      <c r="J53" s="80"/>
      <c r="K53" s="16"/>
      <c r="L53" s="17"/>
      <c r="M53" s="18"/>
      <c r="N53" s="80"/>
      <c r="O53" s="8"/>
      <c r="Q53" s="10" t="s">
        <v>160</v>
      </c>
    </row>
    <row r="54" spans="1:17" s="10" customFormat="1" ht="18" customHeight="1" thickBot="1">
      <c r="A54" s="110" t="s">
        <v>203</v>
      </c>
      <c r="B54" s="39" t="s">
        <v>1</v>
      </c>
      <c r="C54" s="32">
        <v>1000</v>
      </c>
      <c r="D54" s="33">
        <v>550</v>
      </c>
      <c r="E54" s="13"/>
      <c r="F54" s="14"/>
      <c r="G54" s="14" t="s">
        <v>114</v>
      </c>
      <c r="H54" s="15"/>
      <c r="I54" s="79"/>
      <c r="J54" s="80"/>
      <c r="K54" s="16"/>
      <c r="L54" s="17"/>
      <c r="M54" s="18"/>
      <c r="N54" s="80"/>
      <c r="O54" s="8"/>
      <c r="Q54" s="10" t="s">
        <v>161</v>
      </c>
    </row>
    <row r="55" spans="1:17" s="10" customFormat="1" ht="18" customHeight="1" thickBot="1">
      <c r="A55" s="110" t="s">
        <v>204</v>
      </c>
      <c r="B55" s="39" t="s">
        <v>1</v>
      </c>
      <c r="C55" s="32">
        <v>1000</v>
      </c>
      <c r="D55" s="33">
        <v>600</v>
      </c>
      <c r="E55" s="13"/>
      <c r="F55" s="14"/>
      <c r="G55" s="14" t="s">
        <v>114</v>
      </c>
      <c r="H55" s="15"/>
      <c r="I55" s="79"/>
      <c r="J55" s="80"/>
      <c r="K55" s="16"/>
      <c r="L55" s="17"/>
      <c r="M55" s="18"/>
      <c r="N55" s="80"/>
      <c r="O55" s="8"/>
      <c r="Q55" s="10" t="s">
        <v>162</v>
      </c>
    </row>
    <row r="56" spans="1:17" s="10" customFormat="1" ht="18" customHeight="1" thickBot="1">
      <c r="A56" s="110" t="s">
        <v>205</v>
      </c>
      <c r="B56" s="39" t="s">
        <v>1</v>
      </c>
      <c r="C56" s="32">
        <v>1000</v>
      </c>
      <c r="D56" s="33">
        <v>600</v>
      </c>
      <c r="E56" s="13"/>
      <c r="F56" s="14"/>
      <c r="G56" s="14" t="s">
        <v>114</v>
      </c>
      <c r="H56" s="15"/>
      <c r="I56" s="79"/>
      <c r="J56" s="80"/>
      <c r="K56" s="16"/>
      <c r="L56" s="17"/>
      <c r="M56" s="18"/>
      <c r="N56" s="80"/>
      <c r="O56" s="8"/>
      <c r="Q56" s="10" t="s">
        <v>163</v>
      </c>
    </row>
    <row r="57" spans="1:17" s="10" customFormat="1" ht="18" customHeight="1">
      <c r="A57" s="110" t="s">
        <v>206</v>
      </c>
      <c r="B57" s="39" t="s">
        <v>1</v>
      </c>
      <c r="C57" s="32">
        <v>1000</v>
      </c>
      <c r="D57" s="33">
        <v>600</v>
      </c>
      <c r="E57" s="13"/>
      <c r="F57" s="14"/>
      <c r="G57" s="14" t="s">
        <v>115</v>
      </c>
      <c r="H57" s="15"/>
      <c r="I57" s="79"/>
      <c r="J57" s="80"/>
      <c r="K57" s="16"/>
      <c r="L57" s="17"/>
      <c r="M57" s="18"/>
      <c r="N57" s="80"/>
      <c r="O57" s="8"/>
      <c r="Q57" s="10" t="s">
        <v>164</v>
      </c>
    </row>
  </sheetData>
  <mergeCells count="23">
    <mergeCell ref="I33:I38"/>
    <mergeCell ref="J33:J38"/>
    <mergeCell ref="N33:N38"/>
    <mergeCell ref="I17:I22"/>
    <mergeCell ref="J17:J22"/>
    <mergeCell ref="N17:N22"/>
    <mergeCell ref="I25:I30"/>
    <mergeCell ref="J25:J30"/>
    <mergeCell ref="N25:N30"/>
    <mergeCell ref="I6:N6"/>
    <mergeCell ref="C7:C8"/>
    <mergeCell ref="D7:D8"/>
    <mergeCell ref="I9:I14"/>
    <mergeCell ref="J9:J14"/>
    <mergeCell ref="N9:N14"/>
    <mergeCell ref="A1:C4"/>
    <mergeCell ref="D1:G4"/>
    <mergeCell ref="A6:A8"/>
    <mergeCell ref="B6:B8"/>
    <mergeCell ref="C6:D6"/>
    <mergeCell ref="E6:E8"/>
    <mergeCell ref="F6:F8"/>
    <mergeCell ref="G6:G8"/>
  </mergeCells>
  <phoneticPr fontId="33" type="noConversion"/>
  <pageMargins left="0.2361111044883728" right="0.2361111044883728" top="0.74791663885116577" bottom="0.74791663885116577" header="0.31486111879348755" footer="0.31486111879348755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64"/>
  <sheetViews>
    <sheetView topLeftCell="A2" zoomScale="115" zoomScaleNormal="115" zoomScaleSheetLayoutView="115" workbookViewId="0">
      <pane ySplit="6" topLeftCell="A8" activePane="bottomLeft" state="frozen"/>
      <selection pane="bottomLeft" activeCell="I68" sqref="I68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67"/>
      <c r="B1" s="168"/>
      <c r="C1" s="168"/>
      <c r="D1" s="168"/>
      <c r="E1" s="99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1"/>
    </row>
    <row r="2" spans="1:37" ht="38.25" customHeight="1">
      <c r="A2" s="169"/>
      <c r="B2" s="170"/>
      <c r="C2" s="170"/>
      <c r="D2" s="170"/>
      <c r="E2" s="98"/>
      <c r="F2" s="181" t="s">
        <v>80</v>
      </c>
      <c r="G2" s="182"/>
      <c r="H2" s="182"/>
      <c r="I2" s="182"/>
      <c r="J2" s="185" t="str">
        <f>'1. 소켓인수검사'!R1</f>
        <v>26.06.11 웰스홈_신승에프엔티_에이치제이종합건설_조선대학교 감염병 전문병원(입상)</v>
      </c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6"/>
    </row>
    <row r="3" spans="1:37" ht="38.25" customHeight="1" thickBot="1">
      <c r="A3" s="171"/>
      <c r="B3" s="172"/>
      <c r="C3" s="172"/>
      <c r="D3" s="172"/>
      <c r="E3" s="102"/>
      <c r="F3" s="183"/>
      <c r="G3" s="184"/>
      <c r="H3" s="184"/>
      <c r="I3" s="184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8"/>
    </row>
    <row r="4" spans="1:37" ht="8.1" customHeight="1">
      <c r="A4" s="173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83"/>
    </row>
    <row r="5" spans="1:37" s="31" customFormat="1" ht="26.45" customHeight="1">
      <c r="A5" s="175" t="s">
        <v>27</v>
      </c>
      <c r="B5" s="177" t="s">
        <v>32</v>
      </c>
      <c r="C5" s="179" t="s">
        <v>26</v>
      </c>
      <c r="D5" s="179"/>
      <c r="E5" s="179" t="s">
        <v>43</v>
      </c>
      <c r="F5" s="156" t="s">
        <v>48</v>
      </c>
      <c r="G5" s="157"/>
      <c r="H5" s="157"/>
      <c r="I5" s="157"/>
      <c r="J5" s="157"/>
      <c r="K5" s="157"/>
      <c r="L5" s="157"/>
      <c r="M5" s="157"/>
      <c r="N5" s="157"/>
      <c r="O5" s="157"/>
      <c r="P5" s="158"/>
      <c r="Q5" s="179" t="s">
        <v>0</v>
      </c>
      <c r="R5" s="179"/>
      <c r="S5" s="179"/>
      <c r="T5" s="179"/>
      <c r="U5" s="179"/>
      <c r="V5" s="179"/>
      <c r="W5" s="179"/>
      <c r="X5" s="179"/>
      <c r="Y5" s="179"/>
      <c r="Z5" s="179"/>
      <c r="AA5" s="201" t="s">
        <v>5</v>
      </c>
      <c r="AB5" s="31">
        <v>15</v>
      </c>
      <c r="AC5" s="31">
        <v>50</v>
      </c>
    </row>
    <row r="6" spans="1:37" s="31" customFormat="1" ht="16.5" customHeight="1">
      <c r="A6" s="176"/>
      <c r="B6" s="178"/>
      <c r="C6" s="180" t="s">
        <v>28</v>
      </c>
      <c r="D6" s="180" t="s">
        <v>16</v>
      </c>
      <c r="E6" s="180"/>
      <c r="F6" s="163" t="s">
        <v>110</v>
      </c>
      <c r="G6" s="163"/>
      <c r="H6" s="163"/>
      <c r="I6" s="163" t="s">
        <v>111</v>
      </c>
      <c r="J6" s="163"/>
      <c r="K6" s="163"/>
      <c r="L6" s="163"/>
      <c r="M6" s="163" t="s">
        <v>112</v>
      </c>
      <c r="N6" s="163"/>
      <c r="O6" s="163"/>
      <c r="P6" s="163"/>
      <c r="Q6" s="163" t="s">
        <v>70</v>
      </c>
      <c r="R6" s="163"/>
      <c r="S6" s="163"/>
      <c r="T6" s="163"/>
      <c r="U6" s="163" t="s">
        <v>71</v>
      </c>
      <c r="V6" s="163"/>
      <c r="W6" s="163"/>
      <c r="X6" s="163"/>
      <c r="Y6" s="163"/>
      <c r="Z6" s="163"/>
      <c r="AA6" s="202"/>
      <c r="AG6" s="113" t="s">
        <v>99</v>
      </c>
      <c r="AK6" s="114" t="s">
        <v>98</v>
      </c>
    </row>
    <row r="7" spans="1:37" s="31" customFormat="1" ht="16.5" customHeight="1">
      <c r="A7" s="176"/>
      <c r="B7" s="178"/>
      <c r="C7" s="180"/>
      <c r="D7" s="180"/>
      <c r="E7" s="180"/>
      <c r="F7" s="87" t="s">
        <v>20</v>
      </c>
      <c r="G7" s="87" t="s">
        <v>26</v>
      </c>
      <c r="H7" s="87" t="s">
        <v>36</v>
      </c>
      <c r="I7" s="87" t="s">
        <v>20</v>
      </c>
      <c r="J7" s="164" t="s">
        <v>26</v>
      </c>
      <c r="K7" s="165"/>
      <c r="L7" s="87" t="s">
        <v>36</v>
      </c>
      <c r="M7" s="87" t="s">
        <v>20</v>
      </c>
      <c r="N7" s="164" t="s">
        <v>109</v>
      </c>
      <c r="O7" s="165"/>
      <c r="P7" s="87" t="s">
        <v>36</v>
      </c>
      <c r="Q7" s="87" t="s">
        <v>31</v>
      </c>
      <c r="R7" s="87" t="s">
        <v>20</v>
      </c>
      <c r="S7" s="87" t="s">
        <v>26</v>
      </c>
      <c r="T7" s="87" t="s">
        <v>36</v>
      </c>
      <c r="U7" s="87" t="s">
        <v>31</v>
      </c>
      <c r="V7" s="87" t="s">
        <v>20</v>
      </c>
      <c r="W7" s="163" t="s">
        <v>26</v>
      </c>
      <c r="X7" s="163"/>
      <c r="Y7" s="163"/>
      <c r="Z7" s="87" t="s">
        <v>36</v>
      </c>
      <c r="AA7" s="202"/>
      <c r="AB7" s="31" t="s">
        <v>88</v>
      </c>
      <c r="AC7" s="31" t="s">
        <v>89</v>
      </c>
      <c r="AD7" s="31" t="s">
        <v>90</v>
      </c>
      <c r="AE7" s="31" t="s">
        <v>91</v>
      </c>
      <c r="AF7" s="31" t="s">
        <v>92</v>
      </c>
      <c r="AG7" s="31" t="s">
        <v>93</v>
      </c>
      <c r="AH7" s="31" t="s">
        <v>94</v>
      </c>
      <c r="AI7" s="31" t="s">
        <v>95</v>
      </c>
      <c r="AJ7" s="31" t="s">
        <v>96</v>
      </c>
      <c r="AK7" s="31" t="s">
        <v>97</v>
      </c>
    </row>
    <row r="8" spans="1:37">
      <c r="A8" s="42" t="str">
        <f>'1. 소켓인수검사'!A9</f>
        <v>40</v>
      </c>
      <c r="B8" s="56" t="s">
        <v>1</v>
      </c>
      <c r="C8" s="46">
        <f>'1. 소켓인수검사'!C9</f>
        <v>350</v>
      </c>
      <c r="D8" s="46">
        <f>'1. 소켓인수검사'!D9</f>
        <v>250</v>
      </c>
      <c r="E8" s="44"/>
      <c r="F8" s="166">
        <f>255</f>
        <v>255</v>
      </c>
      <c r="G8" s="45">
        <f>C8-5</f>
        <v>345</v>
      </c>
      <c r="H8" s="46">
        <f>3*2</f>
        <v>6</v>
      </c>
      <c r="I8" s="166">
        <v>255</v>
      </c>
      <c r="J8" s="161"/>
      <c r="K8" s="162"/>
      <c r="L8" s="46"/>
      <c r="M8" s="166">
        <v>255</v>
      </c>
      <c r="N8" s="161">
        <f>D8-35</f>
        <v>215</v>
      </c>
      <c r="O8" s="162"/>
      <c r="P8" s="46">
        <v>2</v>
      </c>
      <c r="Q8" s="195" t="s">
        <v>10</v>
      </c>
      <c r="R8" s="197">
        <v>185</v>
      </c>
      <c r="S8" s="199">
        <v>1000</v>
      </c>
      <c r="T8" s="46">
        <f>+AK8*2</f>
        <v>4</v>
      </c>
      <c r="U8" s="195" t="s">
        <v>10</v>
      </c>
      <c r="V8" s="197">
        <v>125</v>
      </c>
      <c r="W8" s="189">
        <v>1000</v>
      </c>
      <c r="X8" s="190"/>
      <c r="Y8" s="191"/>
      <c r="Z8" s="46">
        <f>+AG8</f>
        <v>2</v>
      </c>
      <c r="AA8" s="52"/>
      <c r="AB8">
        <f xml:space="preserve"> C8+$AC$5*2</f>
        <v>450</v>
      </c>
      <c r="AC8">
        <f xml:space="preserve"> D8+$AC$5*2</f>
        <v>350</v>
      </c>
      <c r="AD8">
        <f>(AB8+AC8)*2</f>
        <v>1600</v>
      </c>
      <c r="AE8">
        <f>AD8/1000</f>
        <v>1.6</v>
      </c>
      <c r="AF8" s="111">
        <f>AE8*(1+$AB$5/100)</f>
        <v>1.8399999999999999</v>
      </c>
      <c r="AG8" s="112">
        <f>CEILING(AF8,1)</f>
        <v>2</v>
      </c>
      <c r="AH8">
        <f>D8*2+AB8*2</f>
        <v>1400</v>
      </c>
      <c r="AI8">
        <f>AH8/1000</f>
        <v>1.4</v>
      </c>
      <c r="AJ8" s="111">
        <f>AI8*(1+$AB$5/100)</f>
        <v>1.6099999999999999</v>
      </c>
      <c r="AK8" s="115">
        <f>CEILING(AJ8,1)</f>
        <v>2</v>
      </c>
    </row>
    <row r="9" spans="1:37">
      <c r="A9" s="42" t="str">
        <f>'1. 소켓인수검사'!A10</f>
        <v>41</v>
      </c>
      <c r="B9" s="56" t="s">
        <v>1</v>
      </c>
      <c r="C9" s="46">
        <f>'1. 소켓인수검사'!C10</f>
        <v>450</v>
      </c>
      <c r="D9" s="46">
        <f>'1. 소켓인수검사'!D10</f>
        <v>300</v>
      </c>
      <c r="E9" s="44"/>
      <c r="F9" s="166"/>
      <c r="G9" s="45">
        <f t="shared" ref="G9:G56" si="0">C9-5</f>
        <v>445</v>
      </c>
      <c r="H9" s="46">
        <f t="shared" ref="H9:H56" si="1">3*2</f>
        <v>6</v>
      </c>
      <c r="I9" s="166"/>
      <c r="J9" s="161"/>
      <c r="K9" s="162"/>
      <c r="L9" s="46"/>
      <c r="M9" s="166"/>
      <c r="N9" s="161">
        <f t="shared" ref="N9:N56" si="2">D9-35</f>
        <v>265</v>
      </c>
      <c r="O9" s="162"/>
      <c r="P9" s="46">
        <v>2</v>
      </c>
      <c r="Q9" s="196"/>
      <c r="R9" s="198"/>
      <c r="S9" s="200"/>
      <c r="T9" s="46">
        <f t="shared" ref="T9:T56" si="3">+AK9*2</f>
        <v>4</v>
      </c>
      <c r="U9" s="196"/>
      <c r="V9" s="198"/>
      <c r="W9" s="192"/>
      <c r="X9" s="193"/>
      <c r="Y9" s="194"/>
      <c r="Z9" s="46">
        <f t="shared" ref="Z9:Z56" si="4">+AG9</f>
        <v>3</v>
      </c>
      <c r="AA9" s="52"/>
      <c r="AB9">
        <f t="shared" ref="AB9:AB56" si="5" xml:space="preserve"> C9+$AC$5*2</f>
        <v>550</v>
      </c>
      <c r="AC9">
        <f t="shared" ref="AC9:AC56" si="6" xml:space="preserve"> D9+$AC$5*2</f>
        <v>400</v>
      </c>
      <c r="AD9">
        <f t="shared" ref="AD9:AD56" si="7">(AB9+AC9)*2</f>
        <v>1900</v>
      </c>
      <c r="AE9">
        <f t="shared" ref="AE9:AE56" si="8">AD9/1000</f>
        <v>1.9</v>
      </c>
      <c r="AF9" s="111">
        <f t="shared" ref="AF9:AF56" si="9">AE9*(1+$AB$5/100)</f>
        <v>2.1849999999999996</v>
      </c>
      <c r="AG9" s="112">
        <f t="shared" ref="AG9:AG56" si="10">CEILING(AF9,1)</f>
        <v>3</v>
      </c>
      <c r="AH9">
        <f t="shared" ref="AH9:AH56" si="11">D9*2+AB9*2</f>
        <v>1700</v>
      </c>
      <c r="AI9">
        <f t="shared" ref="AI9:AI56" si="12">AH9/1000</f>
        <v>1.7</v>
      </c>
      <c r="AJ9" s="111">
        <f t="shared" ref="AJ9:AJ56" si="13">AI9*(1+$AB$5/100)</f>
        <v>1.9549999999999998</v>
      </c>
      <c r="AK9" s="115">
        <f t="shared" ref="AK9:AK56" si="14">CEILING(AJ9,1)</f>
        <v>2</v>
      </c>
    </row>
    <row r="10" spans="1:37">
      <c r="A10" s="42" t="str">
        <f>'1. 소켓인수검사'!A11</f>
        <v>42</v>
      </c>
      <c r="B10" s="56" t="s">
        <v>1</v>
      </c>
      <c r="C10" s="46">
        <f>'1. 소켓인수검사'!C11</f>
        <v>450</v>
      </c>
      <c r="D10" s="46">
        <f>'1. 소켓인수검사'!D11</f>
        <v>350</v>
      </c>
      <c r="E10" s="44"/>
      <c r="F10" s="166"/>
      <c r="G10" s="45">
        <f t="shared" si="0"/>
        <v>445</v>
      </c>
      <c r="H10" s="46">
        <f t="shared" si="1"/>
        <v>6</v>
      </c>
      <c r="I10" s="166"/>
      <c r="J10" s="161"/>
      <c r="K10" s="162"/>
      <c r="L10" s="46"/>
      <c r="M10" s="166"/>
      <c r="N10" s="161">
        <f t="shared" si="2"/>
        <v>315</v>
      </c>
      <c r="O10" s="162"/>
      <c r="P10" s="46">
        <v>2</v>
      </c>
      <c r="Q10" s="196"/>
      <c r="R10" s="198"/>
      <c r="S10" s="200"/>
      <c r="T10" s="46">
        <f t="shared" si="3"/>
        <v>6</v>
      </c>
      <c r="U10" s="196"/>
      <c r="V10" s="198"/>
      <c r="W10" s="192"/>
      <c r="X10" s="193"/>
      <c r="Y10" s="194"/>
      <c r="Z10" s="46">
        <f t="shared" si="4"/>
        <v>3</v>
      </c>
      <c r="AA10" s="52"/>
      <c r="AB10">
        <f t="shared" si="5"/>
        <v>550</v>
      </c>
      <c r="AC10">
        <f t="shared" si="6"/>
        <v>450</v>
      </c>
      <c r="AD10">
        <f t="shared" si="7"/>
        <v>2000</v>
      </c>
      <c r="AE10">
        <f t="shared" si="8"/>
        <v>2</v>
      </c>
      <c r="AF10" s="111">
        <f t="shared" si="9"/>
        <v>2.2999999999999998</v>
      </c>
      <c r="AG10" s="112">
        <f t="shared" si="10"/>
        <v>3</v>
      </c>
      <c r="AH10">
        <f t="shared" si="11"/>
        <v>1800</v>
      </c>
      <c r="AI10">
        <f t="shared" si="12"/>
        <v>1.8</v>
      </c>
      <c r="AJ10" s="111">
        <f t="shared" si="13"/>
        <v>2.0699999999999998</v>
      </c>
      <c r="AK10" s="115">
        <f t="shared" si="14"/>
        <v>3</v>
      </c>
    </row>
    <row r="11" spans="1:37">
      <c r="A11" s="42" t="str">
        <f>'1. 소켓인수검사'!A12</f>
        <v>43</v>
      </c>
      <c r="B11" s="56" t="s">
        <v>1</v>
      </c>
      <c r="C11" s="46">
        <f>'1. 소켓인수검사'!C12</f>
        <v>450</v>
      </c>
      <c r="D11" s="46">
        <f>'1. 소켓인수검사'!D12</f>
        <v>350</v>
      </c>
      <c r="E11" s="44"/>
      <c r="F11" s="166"/>
      <c r="G11" s="45">
        <f t="shared" si="0"/>
        <v>445</v>
      </c>
      <c r="H11" s="46">
        <f t="shared" si="1"/>
        <v>6</v>
      </c>
      <c r="I11" s="166"/>
      <c r="J11" s="161"/>
      <c r="K11" s="162"/>
      <c r="L11" s="46"/>
      <c r="M11" s="166"/>
      <c r="N11" s="161">
        <f t="shared" si="2"/>
        <v>315</v>
      </c>
      <c r="O11" s="162"/>
      <c r="P11" s="46">
        <v>2</v>
      </c>
      <c r="Q11" s="196"/>
      <c r="R11" s="198"/>
      <c r="S11" s="200"/>
      <c r="T11" s="46">
        <f t="shared" si="3"/>
        <v>6</v>
      </c>
      <c r="U11" s="196"/>
      <c r="V11" s="198"/>
      <c r="W11" s="192"/>
      <c r="X11" s="193"/>
      <c r="Y11" s="194"/>
      <c r="Z11" s="46">
        <f t="shared" si="4"/>
        <v>3</v>
      </c>
      <c r="AA11" s="52"/>
      <c r="AB11">
        <f t="shared" si="5"/>
        <v>550</v>
      </c>
      <c r="AC11">
        <f t="shared" si="6"/>
        <v>450</v>
      </c>
      <c r="AD11">
        <f t="shared" si="7"/>
        <v>2000</v>
      </c>
      <c r="AE11">
        <f t="shared" si="8"/>
        <v>2</v>
      </c>
      <c r="AF11" s="111">
        <f t="shared" si="9"/>
        <v>2.2999999999999998</v>
      </c>
      <c r="AG11" s="112">
        <f t="shared" si="10"/>
        <v>3</v>
      </c>
      <c r="AH11">
        <f t="shared" si="11"/>
        <v>1800</v>
      </c>
      <c r="AI11">
        <f t="shared" si="12"/>
        <v>1.8</v>
      </c>
      <c r="AJ11" s="111">
        <f t="shared" si="13"/>
        <v>2.0699999999999998</v>
      </c>
      <c r="AK11" s="115">
        <f t="shared" si="14"/>
        <v>3</v>
      </c>
    </row>
    <row r="12" spans="1:37">
      <c r="A12" s="42" t="str">
        <f>'1. 소켓인수검사'!A13</f>
        <v>44</v>
      </c>
      <c r="B12" s="56" t="s">
        <v>1</v>
      </c>
      <c r="C12" s="48">
        <f>'1. 소켓인수검사'!C13</f>
        <v>500</v>
      </c>
      <c r="D12" s="48">
        <f>'1. 소켓인수검사'!D13</f>
        <v>500</v>
      </c>
      <c r="E12" s="44"/>
      <c r="F12" s="166"/>
      <c r="G12" s="45">
        <f t="shared" si="0"/>
        <v>495</v>
      </c>
      <c r="H12" s="46">
        <f t="shared" si="1"/>
        <v>6</v>
      </c>
      <c r="I12" s="166"/>
      <c r="J12" s="161"/>
      <c r="K12" s="162"/>
      <c r="L12" s="46"/>
      <c r="M12" s="166"/>
      <c r="N12" s="161">
        <f t="shared" si="2"/>
        <v>465</v>
      </c>
      <c r="O12" s="162"/>
      <c r="P12" s="46">
        <v>2</v>
      </c>
      <c r="Q12" s="196"/>
      <c r="R12" s="198"/>
      <c r="S12" s="200"/>
      <c r="T12" s="46">
        <f t="shared" si="3"/>
        <v>6</v>
      </c>
      <c r="U12" s="196"/>
      <c r="V12" s="198"/>
      <c r="W12" s="192"/>
      <c r="X12" s="193"/>
      <c r="Y12" s="194"/>
      <c r="Z12" s="46">
        <f t="shared" si="4"/>
        <v>3</v>
      </c>
      <c r="AA12" s="52"/>
      <c r="AB12">
        <f t="shared" si="5"/>
        <v>600</v>
      </c>
      <c r="AC12">
        <f t="shared" si="6"/>
        <v>600</v>
      </c>
      <c r="AD12">
        <f t="shared" si="7"/>
        <v>2400</v>
      </c>
      <c r="AE12">
        <f t="shared" si="8"/>
        <v>2.4</v>
      </c>
      <c r="AF12" s="111">
        <f t="shared" si="9"/>
        <v>2.76</v>
      </c>
      <c r="AG12" s="112">
        <f t="shared" si="10"/>
        <v>3</v>
      </c>
      <c r="AH12">
        <f t="shared" si="11"/>
        <v>2200</v>
      </c>
      <c r="AI12">
        <f t="shared" si="12"/>
        <v>2.2000000000000002</v>
      </c>
      <c r="AJ12" s="111">
        <f t="shared" si="13"/>
        <v>2.5299999999999998</v>
      </c>
      <c r="AK12" s="115">
        <f t="shared" si="14"/>
        <v>3</v>
      </c>
    </row>
    <row r="13" spans="1:37">
      <c r="A13" s="42" t="str">
        <f>'1. 소켓인수검사'!A14</f>
        <v>45</v>
      </c>
      <c r="B13" s="56" t="s">
        <v>1</v>
      </c>
      <c r="C13" s="48">
        <f>'1. 소켓인수검사'!C14</f>
        <v>550</v>
      </c>
      <c r="D13" s="48">
        <f>'1. 소켓인수검사'!D14</f>
        <v>350</v>
      </c>
      <c r="E13" s="44"/>
      <c r="F13" s="166"/>
      <c r="G13" s="45">
        <f t="shared" si="0"/>
        <v>545</v>
      </c>
      <c r="H13" s="46">
        <f t="shared" si="1"/>
        <v>6</v>
      </c>
      <c r="I13" s="166"/>
      <c r="J13" s="161"/>
      <c r="K13" s="162"/>
      <c r="L13" s="46"/>
      <c r="M13" s="166"/>
      <c r="N13" s="161">
        <f t="shared" si="2"/>
        <v>315</v>
      </c>
      <c r="O13" s="162"/>
      <c r="P13" s="46">
        <v>2</v>
      </c>
      <c r="Q13" s="196"/>
      <c r="R13" s="198"/>
      <c r="S13" s="200"/>
      <c r="T13" s="46">
        <f t="shared" si="3"/>
        <v>6</v>
      </c>
      <c r="U13" s="196"/>
      <c r="V13" s="198"/>
      <c r="W13" s="192"/>
      <c r="X13" s="193"/>
      <c r="Y13" s="194"/>
      <c r="Z13" s="46">
        <f t="shared" si="4"/>
        <v>3</v>
      </c>
      <c r="AA13" s="52"/>
      <c r="AB13">
        <f t="shared" si="5"/>
        <v>650</v>
      </c>
      <c r="AC13">
        <f t="shared" si="6"/>
        <v>450</v>
      </c>
      <c r="AD13">
        <f t="shared" si="7"/>
        <v>2200</v>
      </c>
      <c r="AE13">
        <f t="shared" si="8"/>
        <v>2.2000000000000002</v>
      </c>
      <c r="AF13" s="111">
        <f t="shared" si="9"/>
        <v>2.5299999999999998</v>
      </c>
      <c r="AG13" s="112">
        <f t="shared" si="10"/>
        <v>3</v>
      </c>
      <c r="AH13">
        <f t="shared" si="11"/>
        <v>2000</v>
      </c>
      <c r="AI13">
        <f t="shared" si="12"/>
        <v>2</v>
      </c>
      <c r="AJ13" s="111">
        <f t="shared" si="13"/>
        <v>2.2999999999999998</v>
      </c>
      <c r="AK13" s="115">
        <f t="shared" si="14"/>
        <v>3</v>
      </c>
    </row>
    <row r="14" spans="1:37">
      <c r="A14" s="42" t="str">
        <f>'1. 소켓인수검사'!A15</f>
        <v>46</v>
      </c>
      <c r="B14" s="56" t="s">
        <v>1</v>
      </c>
      <c r="C14" s="48">
        <f>'1. 소켓인수검사'!C15</f>
        <v>550</v>
      </c>
      <c r="D14" s="48">
        <f>'1. 소켓인수검사'!D15</f>
        <v>350</v>
      </c>
      <c r="E14" s="44"/>
      <c r="F14" s="166"/>
      <c r="G14" s="45">
        <f t="shared" si="0"/>
        <v>545</v>
      </c>
      <c r="H14" s="46">
        <f t="shared" si="1"/>
        <v>6</v>
      </c>
      <c r="I14" s="166"/>
      <c r="J14" s="161"/>
      <c r="K14" s="162"/>
      <c r="L14" s="46"/>
      <c r="M14" s="166"/>
      <c r="N14" s="161">
        <f t="shared" si="2"/>
        <v>315</v>
      </c>
      <c r="O14" s="162"/>
      <c r="P14" s="46">
        <v>2</v>
      </c>
      <c r="Q14" s="196"/>
      <c r="R14" s="198"/>
      <c r="S14" s="200"/>
      <c r="T14" s="46">
        <f t="shared" si="3"/>
        <v>6</v>
      </c>
      <c r="U14" s="196"/>
      <c r="V14" s="198"/>
      <c r="W14" s="192"/>
      <c r="X14" s="193"/>
      <c r="Y14" s="194"/>
      <c r="Z14" s="46">
        <f t="shared" si="4"/>
        <v>3</v>
      </c>
      <c r="AA14" s="52"/>
      <c r="AB14">
        <f t="shared" si="5"/>
        <v>650</v>
      </c>
      <c r="AC14">
        <f t="shared" si="6"/>
        <v>450</v>
      </c>
      <c r="AD14">
        <f t="shared" si="7"/>
        <v>2200</v>
      </c>
      <c r="AE14">
        <f t="shared" si="8"/>
        <v>2.2000000000000002</v>
      </c>
      <c r="AF14" s="111">
        <f t="shared" si="9"/>
        <v>2.5299999999999998</v>
      </c>
      <c r="AG14" s="112">
        <f t="shared" si="10"/>
        <v>3</v>
      </c>
      <c r="AH14">
        <f t="shared" si="11"/>
        <v>2000</v>
      </c>
      <c r="AI14">
        <f t="shared" si="12"/>
        <v>2</v>
      </c>
      <c r="AJ14" s="111">
        <f t="shared" si="13"/>
        <v>2.2999999999999998</v>
      </c>
      <c r="AK14" s="115">
        <f t="shared" si="14"/>
        <v>3</v>
      </c>
    </row>
    <row r="15" spans="1:37">
      <c r="A15" s="42" t="str">
        <f>'1. 소켓인수검사'!A16</f>
        <v>47</v>
      </c>
      <c r="B15" s="56" t="s">
        <v>1</v>
      </c>
      <c r="C15" s="48">
        <f>'1. 소켓인수검사'!C16</f>
        <v>600</v>
      </c>
      <c r="D15" s="48">
        <f>'1. 소켓인수검사'!D16</f>
        <v>300</v>
      </c>
      <c r="E15" s="44"/>
      <c r="F15" s="166"/>
      <c r="G15" s="45">
        <f t="shared" si="0"/>
        <v>595</v>
      </c>
      <c r="H15" s="46">
        <f t="shared" si="1"/>
        <v>6</v>
      </c>
      <c r="I15" s="166"/>
      <c r="J15" s="161"/>
      <c r="K15" s="162"/>
      <c r="L15" s="46"/>
      <c r="M15" s="166"/>
      <c r="N15" s="161">
        <f t="shared" si="2"/>
        <v>265</v>
      </c>
      <c r="O15" s="162"/>
      <c r="P15" s="46">
        <v>2</v>
      </c>
      <c r="Q15" s="196"/>
      <c r="R15" s="198"/>
      <c r="S15" s="200"/>
      <c r="T15" s="46">
        <f t="shared" si="3"/>
        <v>6</v>
      </c>
      <c r="U15" s="196"/>
      <c r="V15" s="198"/>
      <c r="W15" s="192"/>
      <c r="X15" s="193"/>
      <c r="Y15" s="194"/>
      <c r="Z15" s="46">
        <f t="shared" si="4"/>
        <v>3</v>
      </c>
      <c r="AA15" s="52"/>
      <c r="AB15">
        <f t="shared" si="5"/>
        <v>700</v>
      </c>
      <c r="AC15">
        <f t="shared" si="6"/>
        <v>400</v>
      </c>
      <c r="AD15">
        <f t="shared" si="7"/>
        <v>2200</v>
      </c>
      <c r="AE15">
        <f t="shared" si="8"/>
        <v>2.2000000000000002</v>
      </c>
      <c r="AF15" s="111">
        <f t="shared" si="9"/>
        <v>2.5299999999999998</v>
      </c>
      <c r="AG15" s="112">
        <f t="shared" si="10"/>
        <v>3</v>
      </c>
      <c r="AH15">
        <f t="shared" si="11"/>
        <v>2000</v>
      </c>
      <c r="AI15">
        <f t="shared" si="12"/>
        <v>2</v>
      </c>
      <c r="AJ15" s="111">
        <f t="shared" si="13"/>
        <v>2.2999999999999998</v>
      </c>
      <c r="AK15" s="115">
        <f t="shared" si="14"/>
        <v>3</v>
      </c>
    </row>
    <row r="16" spans="1:37">
      <c r="A16" s="42" t="str">
        <f>'1. 소켓인수검사'!A17</f>
        <v>48</v>
      </c>
      <c r="B16" s="56" t="s">
        <v>1</v>
      </c>
      <c r="C16" s="48">
        <f>'1. 소켓인수검사'!C17</f>
        <v>600</v>
      </c>
      <c r="D16" s="48">
        <f>'1. 소켓인수검사'!D17</f>
        <v>300</v>
      </c>
      <c r="E16" s="44"/>
      <c r="F16" s="166"/>
      <c r="G16" s="45">
        <f t="shared" si="0"/>
        <v>595</v>
      </c>
      <c r="H16" s="46">
        <f t="shared" si="1"/>
        <v>6</v>
      </c>
      <c r="I16" s="166"/>
      <c r="J16" s="159"/>
      <c r="K16" s="160"/>
      <c r="L16" s="46"/>
      <c r="M16" s="166"/>
      <c r="N16" s="159">
        <f t="shared" si="2"/>
        <v>265</v>
      </c>
      <c r="O16" s="160"/>
      <c r="P16" s="46">
        <v>2</v>
      </c>
      <c r="Q16" s="196"/>
      <c r="R16" s="198"/>
      <c r="S16" s="200"/>
      <c r="T16" s="46">
        <f t="shared" si="3"/>
        <v>6</v>
      </c>
      <c r="U16" s="196"/>
      <c r="V16" s="198"/>
      <c r="W16" s="192"/>
      <c r="X16" s="193"/>
      <c r="Y16" s="194"/>
      <c r="Z16" s="46">
        <f t="shared" si="4"/>
        <v>3</v>
      </c>
      <c r="AA16" s="52"/>
      <c r="AB16">
        <f t="shared" si="5"/>
        <v>700</v>
      </c>
      <c r="AC16">
        <f t="shared" si="6"/>
        <v>400</v>
      </c>
      <c r="AD16">
        <f t="shared" si="7"/>
        <v>2200</v>
      </c>
      <c r="AE16">
        <f t="shared" si="8"/>
        <v>2.2000000000000002</v>
      </c>
      <c r="AF16" s="111">
        <f t="shared" si="9"/>
        <v>2.5299999999999998</v>
      </c>
      <c r="AG16" s="112">
        <f t="shared" si="10"/>
        <v>3</v>
      </c>
      <c r="AH16">
        <f t="shared" si="11"/>
        <v>2000</v>
      </c>
      <c r="AI16">
        <f t="shared" si="12"/>
        <v>2</v>
      </c>
      <c r="AJ16" s="111">
        <f t="shared" si="13"/>
        <v>2.2999999999999998</v>
      </c>
      <c r="AK16" s="115">
        <f t="shared" si="14"/>
        <v>3</v>
      </c>
    </row>
    <row r="17" spans="1:37">
      <c r="A17" s="42" t="str">
        <f>'1. 소켓인수검사'!A18</f>
        <v>49</v>
      </c>
      <c r="B17" s="56" t="s">
        <v>1</v>
      </c>
      <c r="C17" s="48">
        <f>'1. 소켓인수검사'!C18</f>
        <v>600</v>
      </c>
      <c r="D17" s="48">
        <f>'1. 소켓인수검사'!D18</f>
        <v>450</v>
      </c>
      <c r="E17" s="44"/>
      <c r="F17" s="166"/>
      <c r="G17" s="45">
        <f t="shared" si="0"/>
        <v>595</v>
      </c>
      <c r="H17" s="46">
        <f t="shared" si="1"/>
        <v>6</v>
      </c>
      <c r="I17" s="166"/>
      <c r="J17" s="159"/>
      <c r="K17" s="160"/>
      <c r="L17" s="46"/>
      <c r="M17" s="166"/>
      <c r="N17" s="159">
        <f t="shared" si="2"/>
        <v>415</v>
      </c>
      <c r="O17" s="160"/>
      <c r="P17" s="46">
        <v>2</v>
      </c>
      <c r="Q17" s="196"/>
      <c r="R17" s="198"/>
      <c r="S17" s="200"/>
      <c r="T17" s="46">
        <f t="shared" si="3"/>
        <v>6</v>
      </c>
      <c r="U17" s="196"/>
      <c r="V17" s="198"/>
      <c r="W17" s="192"/>
      <c r="X17" s="193"/>
      <c r="Y17" s="194"/>
      <c r="Z17" s="46">
        <f t="shared" si="4"/>
        <v>3</v>
      </c>
      <c r="AA17" s="52"/>
      <c r="AB17">
        <f t="shared" si="5"/>
        <v>700</v>
      </c>
      <c r="AC17">
        <f t="shared" si="6"/>
        <v>550</v>
      </c>
      <c r="AD17">
        <f t="shared" si="7"/>
        <v>2500</v>
      </c>
      <c r="AE17">
        <f t="shared" si="8"/>
        <v>2.5</v>
      </c>
      <c r="AF17" s="111">
        <f t="shared" si="9"/>
        <v>2.875</v>
      </c>
      <c r="AG17" s="112">
        <f t="shared" si="10"/>
        <v>3</v>
      </c>
      <c r="AH17">
        <f t="shared" si="11"/>
        <v>2300</v>
      </c>
      <c r="AI17">
        <f t="shared" si="12"/>
        <v>2.2999999999999998</v>
      </c>
      <c r="AJ17" s="111">
        <f t="shared" si="13"/>
        <v>2.6449999999999996</v>
      </c>
      <c r="AK17" s="115">
        <f t="shared" si="14"/>
        <v>3</v>
      </c>
    </row>
    <row r="18" spans="1:37">
      <c r="A18" s="42" t="str">
        <f>'1. 소켓인수검사'!A19</f>
        <v>50</v>
      </c>
      <c r="B18" s="56" t="s">
        <v>1</v>
      </c>
      <c r="C18" s="48">
        <f>'1. 소켓인수검사'!C19</f>
        <v>600</v>
      </c>
      <c r="D18" s="48">
        <f>'1. 소켓인수검사'!D19</f>
        <v>600</v>
      </c>
      <c r="E18" s="44"/>
      <c r="F18" s="166"/>
      <c r="G18" s="45">
        <f t="shared" si="0"/>
        <v>595</v>
      </c>
      <c r="H18" s="46">
        <f t="shared" si="1"/>
        <v>6</v>
      </c>
      <c r="I18" s="166"/>
      <c r="J18" s="159"/>
      <c r="K18" s="160"/>
      <c r="L18" s="46"/>
      <c r="M18" s="166"/>
      <c r="N18" s="159">
        <f t="shared" si="2"/>
        <v>565</v>
      </c>
      <c r="O18" s="160"/>
      <c r="P18" s="46">
        <v>2</v>
      </c>
      <c r="Q18" s="196"/>
      <c r="R18" s="198"/>
      <c r="S18" s="200"/>
      <c r="T18" s="46">
        <f t="shared" si="3"/>
        <v>6</v>
      </c>
      <c r="U18" s="196"/>
      <c r="V18" s="198"/>
      <c r="W18" s="192"/>
      <c r="X18" s="193"/>
      <c r="Y18" s="194"/>
      <c r="Z18" s="46">
        <f t="shared" si="4"/>
        <v>4</v>
      </c>
      <c r="AA18" s="52"/>
      <c r="AB18">
        <f t="shared" si="5"/>
        <v>700</v>
      </c>
      <c r="AC18">
        <f t="shared" si="6"/>
        <v>700</v>
      </c>
      <c r="AD18">
        <f t="shared" si="7"/>
        <v>2800</v>
      </c>
      <c r="AE18">
        <f t="shared" si="8"/>
        <v>2.8</v>
      </c>
      <c r="AF18" s="111">
        <f t="shared" si="9"/>
        <v>3.2199999999999998</v>
      </c>
      <c r="AG18" s="112">
        <f t="shared" si="10"/>
        <v>4</v>
      </c>
      <c r="AH18">
        <f t="shared" si="11"/>
        <v>2600</v>
      </c>
      <c r="AI18">
        <f t="shared" si="12"/>
        <v>2.6</v>
      </c>
      <c r="AJ18" s="111">
        <f t="shared" si="13"/>
        <v>2.9899999999999998</v>
      </c>
      <c r="AK18" s="115">
        <f t="shared" si="14"/>
        <v>3</v>
      </c>
    </row>
    <row r="19" spans="1:37">
      <c r="A19" s="42" t="str">
        <f>'1. 소켓인수검사'!A20</f>
        <v>51</v>
      </c>
      <c r="B19" s="56" t="s">
        <v>1</v>
      </c>
      <c r="C19" s="48">
        <f>'1. 소켓인수검사'!C20</f>
        <v>700</v>
      </c>
      <c r="D19" s="48">
        <f>'1. 소켓인수검사'!D20</f>
        <v>600</v>
      </c>
      <c r="E19" s="44"/>
      <c r="F19" s="166"/>
      <c r="G19" s="53">
        <f t="shared" si="0"/>
        <v>695</v>
      </c>
      <c r="H19" s="46">
        <f t="shared" si="1"/>
        <v>6</v>
      </c>
      <c r="I19" s="166"/>
      <c r="J19" s="159"/>
      <c r="K19" s="160"/>
      <c r="L19" s="46"/>
      <c r="M19" s="166"/>
      <c r="N19" s="159">
        <f t="shared" si="2"/>
        <v>565</v>
      </c>
      <c r="O19" s="160"/>
      <c r="P19" s="46">
        <v>2</v>
      </c>
      <c r="Q19" s="196"/>
      <c r="R19" s="198"/>
      <c r="S19" s="200"/>
      <c r="T19" s="46">
        <f t="shared" si="3"/>
        <v>8</v>
      </c>
      <c r="U19" s="196"/>
      <c r="V19" s="198"/>
      <c r="W19" s="192"/>
      <c r="X19" s="193"/>
      <c r="Y19" s="194"/>
      <c r="Z19" s="46">
        <f t="shared" si="4"/>
        <v>4</v>
      </c>
      <c r="AA19" s="52"/>
      <c r="AB19">
        <f t="shared" si="5"/>
        <v>800</v>
      </c>
      <c r="AC19">
        <f t="shared" si="6"/>
        <v>700</v>
      </c>
      <c r="AD19">
        <f t="shared" si="7"/>
        <v>3000</v>
      </c>
      <c r="AE19">
        <f t="shared" si="8"/>
        <v>3</v>
      </c>
      <c r="AF19" s="111">
        <f t="shared" si="9"/>
        <v>3.4499999999999997</v>
      </c>
      <c r="AG19" s="112">
        <f t="shared" si="10"/>
        <v>4</v>
      </c>
      <c r="AH19">
        <f t="shared" si="11"/>
        <v>2800</v>
      </c>
      <c r="AI19">
        <f t="shared" si="12"/>
        <v>2.8</v>
      </c>
      <c r="AJ19" s="111">
        <f t="shared" si="13"/>
        <v>3.2199999999999998</v>
      </c>
      <c r="AK19" s="115">
        <f t="shared" si="14"/>
        <v>4</v>
      </c>
    </row>
    <row r="20" spans="1:37">
      <c r="A20" s="42" t="str">
        <f>'1. 소켓인수검사'!A21</f>
        <v>52</v>
      </c>
      <c r="B20" s="56" t="s">
        <v>1</v>
      </c>
      <c r="C20" s="48">
        <f>'1. 소켓인수검사'!C21</f>
        <v>700</v>
      </c>
      <c r="D20" s="48">
        <f>'1. 소켓인수검사'!D21</f>
        <v>600</v>
      </c>
      <c r="E20" s="44"/>
      <c r="F20" s="166"/>
      <c r="G20" s="53">
        <f t="shared" si="0"/>
        <v>695</v>
      </c>
      <c r="H20" s="46">
        <f t="shared" si="1"/>
        <v>6</v>
      </c>
      <c r="I20" s="166"/>
      <c r="J20" s="159"/>
      <c r="K20" s="160"/>
      <c r="L20" s="46"/>
      <c r="M20" s="166"/>
      <c r="N20" s="159">
        <f t="shared" si="2"/>
        <v>565</v>
      </c>
      <c r="O20" s="160"/>
      <c r="P20" s="46">
        <v>2</v>
      </c>
      <c r="Q20" s="196"/>
      <c r="R20" s="198"/>
      <c r="S20" s="200"/>
      <c r="T20" s="46">
        <f t="shared" si="3"/>
        <v>8</v>
      </c>
      <c r="U20" s="196"/>
      <c r="V20" s="198"/>
      <c r="W20" s="192"/>
      <c r="X20" s="193"/>
      <c r="Y20" s="194"/>
      <c r="Z20" s="46">
        <f t="shared" si="4"/>
        <v>4</v>
      </c>
      <c r="AA20" s="52"/>
      <c r="AB20">
        <f t="shared" si="5"/>
        <v>800</v>
      </c>
      <c r="AC20">
        <f t="shared" si="6"/>
        <v>700</v>
      </c>
      <c r="AD20">
        <f t="shared" si="7"/>
        <v>3000</v>
      </c>
      <c r="AE20">
        <f t="shared" si="8"/>
        <v>3</v>
      </c>
      <c r="AF20" s="111">
        <f t="shared" si="9"/>
        <v>3.4499999999999997</v>
      </c>
      <c r="AG20" s="112">
        <f t="shared" si="10"/>
        <v>4</v>
      </c>
      <c r="AH20">
        <f t="shared" si="11"/>
        <v>2800</v>
      </c>
      <c r="AI20">
        <f t="shared" si="12"/>
        <v>2.8</v>
      </c>
      <c r="AJ20" s="111">
        <f t="shared" si="13"/>
        <v>3.2199999999999998</v>
      </c>
      <c r="AK20" s="115">
        <f t="shared" si="14"/>
        <v>4</v>
      </c>
    </row>
    <row r="21" spans="1:37">
      <c r="A21" s="42" t="str">
        <f>'1. 소켓인수검사'!A22</f>
        <v>53</v>
      </c>
      <c r="B21" s="56" t="s">
        <v>1</v>
      </c>
      <c r="C21" s="48">
        <f>'1. 소켓인수검사'!C22</f>
        <v>700</v>
      </c>
      <c r="D21" s="48">
        <f>'1. 소켓인수검사'!D22</f>
        <v>650</v>
      </c>
      <c r="E21" s="44"/>
      <c r="F21" s="166"/>
      <c r="G21" s="45">
        <f t="shared" si="0"/>
        <v>695</v>
      </c>
      <c r="H21" s="46">
        <f t="shared" si="1"/>
        <v>6</v>
      </c>
      <c r="I21" s="166"/>
      <c r="J21" s="159"/>
      <c r="K21" s="160"/>
      <c r="L21" s="46"/>
      <c r="M21" s="166"/>
      <c r="N21" s="159">
        <f t="shared" si="2"/>
        <v>615</v>
      </c>
      <c r="O21" s="160"/>
      <c r="P21" s="46">
        <v>2</v>
      </c>
      <c r="Q21" s="196"/>
      <c r="R21" s="198"/>
      <c r="S21" s="200"/>
      <c r="T21" s="46">
        <f t="shared" si="3"/>
        <v>8</v>
      </c>
      <c r="U21" s="196"/>
      <c r="V21" s="198"/>
      <c r="W21" s="192"/>
      <c r="X21" s="193"/>
      <c r="Y21" s="194"/>
      <c r="Z21" s="46">
        <f t="shared" si="4"/>
        <v>4</v>
      </c>
      <c r="AA21" s="52"/>
      <c r="AB21">
        <f t="shared" si="5"/>
        <v>800</v>
      </c>
      <c r="AC21">
        <f t="shared" si="6"/>
        <v>750</v>
      </c>
      <c r="AD21">
        <f t="shared" si="7"/>
        <v>3100</v>
      </c>
      <c r="AE21">
        <f t="shared" si="8"/>
        <v>3.1</v>
      </c>
      <c r="AF21" s="111">
        <f t="shared" si="9"/>
        <v>3.5649999999999999</v>
      </c>
      <c r="AG21" s="112">
        <f t="shared" si="10"/>
        <v>4</v>
      </c>
      <c r="AH21">
        <f t="shared" si="11"/>
        <v>2900</v>
      </c>
      <c r="AI21">
        <f t="shared" si="12"/>
        <v>2.9</v>
      </c>
      <c r="AJ21" s="111">
        <f t="shared" si="13"/>
        <v>3.3349999999999995</v>
      </c>
      <c r="AK21" s="115">
        <f t="shared" si="14"/>
        <v>4</v>
      </c>
    </row>
    <row r="22" spans="1:37">
      <c r="A22" s="42" t="str">
        <f>'1. 소켓인수검사'!A23</f>
        <v>54</v>
      </c>
      <c r="B22" s="56" t="s">
        <v>1</v>
      </c>
      <c r="C22" s="48">
        <f>'1. 소켓인수검사'!C23</f>
        <v>700</v>
      </c>
      <c r="D22" s="48">
        <f>'1. 소켓인수검사'!D23</f>
        <v>650</v>
      </c>
      <c r="E22" s="44"/>
      <c r="F22" s="166"/>
      <c r="G22" s="45">
        <f t="shared" si="0"/>
        <v>695</v>
      </c>
      <c r="H22" s="46">
        <f t="shared" si="1"/>
        <v>6</v>
      </c>
      <c r="I22" s="166"/>
      <c r="J22" s="159"/>
      <c r="K22" s="160"/>
      <c r="L22" s="46"/>
      <c r="M22" s="166"/>
      <c r="N22" s="159">
        <f t="shared" si="2"/>
        <v>615</v>
      </c>
      <c r="O22" s="160"/>
      <c r="P22" s="46">
        <v>2</v>
      </c>
      <c r="Q22" s="196"/>
      <c r="R22" s="198"/>
      <c r="S22" s="200"/>
      <c r="T22" s="46">
        <f t="shared" si="3"/>
        <v>8</v>
      </c>
      <c r="U22" s="196"/>
      <c r="V22" s="198"/>
      <c r="W22" s="192"/>
      <c r="X22" s="193"/>
      <c r="Y22" s="194"/>
      <c r="Z22" s="46">
        <f t="shared" si="4"/>
        <v>4</v>
      </c>
      <c r="AA22" s="52"/>
      <c r="AB22">
        <f t="shared" si="5"/>
        <v>800</v>
      </c>
      <c r="AC22">
        <f t="shared" si="6"/>
        <v>750</v>
      </c>
      <c r="AD22">
        <f t="shared" si="7"/>
        <v>3100</v>
      </c>
      <c r="AE22">
        <f t="shared" si="8"/>
        <v>3.1</v>
      </c>
      <c r="AF22" s="111">
        <f t="shared" si="9"/>
        <v>3.5649999999999999</v>
      </c>
      <c r="AG22" s="112">
        <f t="shared" si="10"/>
        <v>4</v>
      </c>
      <c r="AH22">
        <f t="shared" si="11"/>
        <v>2900</v>
      </c>
      <c r="AI22">
        <f t="shared" si="12"/>
        <v>2.9</v>
      </c>
      <c r="AJ22" s="111">
        <f t="shared" si="13"/>
        <v>3.3349999999999995</v>
      </c>
      <c r="AK22" s="115">
        <f t="shared" si="14"/>
        <v>4</v>
      </c>
    </row>
    <row r="23" spans="1:37">
      <c r="A23" s="42" t="str">
        <f>'1. 소켓인수검사'!A24</f>
        <v>55</v>
      </c>
      <c r="B23" s="56" t="s">
        <v>1</v>
      </c>
      <c r="C23" s="48">
        <f>'1. 소켓인수검사'!C24</f>
        <v>700</v>
      </c>
      <c r="D23" s="48">
        <f>'1. 소켓인수검사'!D24</f>
        <v>650</v>
      </c>
      <c r="E23" s="44"/>
      <c r="F23" s="166"/>
      <c r="G23" s="45">
        <f t="shared" si="0"/>
        <v>695</v>
      </c>
      <c r="H23" s="46">
        <f t="shared" si="1"/>
        <v>6</v>
      </c>
      <c r="I23" s="166"/>
      <c r="J23" s="159"/>
      <c r="K23" s="160"/>
      <c r="L23" s="46"/>
      <c r="M23" s="166"/>
      <c r="N23" s="159">
        <f t="shared" si="2"/>
        <v>615</v>
      </c>
      <c r="O23" s="160"/>
      <c r="P23" s="46">
        <v>2</v>
      </c>
      <c r="Q23" s="196"/>
      <c r="R23" s="198"/>
      <c r="S23" s="200"/>
      <c r="T23" s="46">
        <f t="shared" si="3"/>
        <v>8</v>
      </c>
      <c r="U23" s="196"/>
      <c r="V23" s="198"/>
      <c r="W23" s="192"/>
      <c r="X23" s="193"/>
      <c r="Y23" s="194"/>
      <c r="Z23" s="46">
        <f t="shared" si="4"/>
        <v>4</v>
      </c>
      <c r="AA23" s="52"/>
      <c r="AB23">
        <f t="shared" si="5"/>
        <v>800</v>
      </c>
      <c r="AC23">
        <f t="shared" si="6"/>
        <v>750</v>
      </c>
      <c r="AD23">
        <f t="shared" si="7"/>
        <v>3100</v>
      </c>
      <c r="AE23">
        <f t="shared" si="8"/>
        <v>3.1</v>
      </c>
      <c r="AF23" s="111">
        <f t="shared" si="9"/>
        <v>3.5649999999999999</v>
      </c>
      <c r="AG23" s="112">
        <f t="shared" si="10"/>
        <v>4</v>
      </c>
      <c r="AH23">
        <f t="shared" si="11"/>
        <v>2900</v>
      </c>
      <c r="AI23">
        <f t="shared" si="12"/>
        <v>2.9</v>
      </c>
      <c r="AJ23" s="111">
        <f t="shared" si="13"/>
        <v>3.3349999999999995</v>
      </c>
      <c r="AK23" s="115">
        <f t="shared" si="14"/>
        <v>4</v>
      </c>
    </row>
    <row r="24" spans="1:37">
      <c r="A24" s="42" t="str">
        <f>'1. 소켓인수검사'!A25</f>
        <v>56</v>
      </c>
      <c r="B24" s="56" t="s">
        <v>1</v>
      </c>
      <c r="C24" s="48">
        <f>'1. 소켓인수검사'!C25</f>
        <v>700</v>
      </c>
      <c r="D24" s="48">
        <f>'1. 소켓인수검사'!D25</f>
        <v>650</v>
      </c>
      <c r="E24" s="44"/>
      <c r="F24" s="166"/>
      <c r="G24" s="45">
        <f t="shared" si="0"/>
        <v>695</v>
      </c>
      <c r="H24" s="46">
        <f t="shared" si="1"/>
        <v>6</v>
      </c>
      <c r="I24" s="166"/>
      <c r="J24" s="159"/>
      <c r="K24" s="160"/>
      <c r="L24" s="46"/>
      <c r="M24" s="166"/>
      <c r="N24" s="159">
        <f t="shared" si="2"/>
        <v>615</v>
      </c>
      <c r="O24" s="160"/>
      <c r="P24" s="46">
        <v>2</v>
      </c>
      <c r="Q24" s="196"/>
      <c r="R24" s="198"/>
      <c r="S24" s="200"/>
      <c r="T24" s="46">
        <f t="shared" si="3"/>
        <v>8</v>
      </c>
      <c r="U24" s="196"/>
      <c r="V24" s="198"/>
      <c r="W24" s="192"/>
      <c r="X24" s="193"/>
      <c r="Y24" s="194"/>
      <c r="Z24" s="46">
        <f t="shared" si="4"/>
        <v>4</v>
      </c>
      <c r="AA24" s="52"/>
      <c r="AB24">
        <f t="shared" si="5"/>
        <v>800</v>
      </c>
      <c r="AC24">
        <f t="shared" si="6"/>
        <v>750</v>
      </c>
      <c r="AD24">
        <f t="shared" si="7"/>
        <v>3100</v>
      </c>
      <c r="AE24">
        <f t="shared" si="8"/>
        <v>3.1</v>
      </c>
      <c r="AF24" s="111">
        <f t="shared" si="9"/>
        <v>3.5649999999999999</v>
      </c>
      <c r="AG24" s="112">
        <f t="shared" si="10"/>
        <v>4</v>
      </c>
      <c r="AH24">
        <f t="shared" si="11"/>
        <v>2900</v>
      </c>
      <c r="AI24">
        <f t="shared" si="12"/>
        <v>2.9</v>
      </c>
      <c r="AJ24" s="111">
        <f t="shared" si="13"/>
        <v>3.3349999999999995</v>
      </c>
      <c r="AK24" s="115">
        <f t="shared" si="14"/>
        <v>4</v>
      </c>
    </row>
    <row r="25" spans="1:37">
      <c r="A25" s="42" t="str">
        <f>'1. 소켓인수검사'!A26</f>
        <v>57</v>
      </c>
      <c r="B25" s="56" t="s">
        <v>1</v>
      </c>
      <c r="C25" s="48">
        <f>'1. 소켓인수검사'!C26</f>
        <v>700</v>
      </c>
      <c r="D25" s="48">
        <f>'1. 소켓인수검사'!D26</f>
        <v>650</v>
      </c>
      <c r="E25" s="44"/>
      <c r="F25" s="166"/>
      <c r="G25" s="45">
        <f t="shared" si="0"/>
        <v>695</v>
      </c>
      <c r="H25" s="46">
        <f t="shared" si="1"/>
        <v>6</v>
      </c>
      <c r="I25" s="166"/>
      <c r="J25" s="159"/>
      <c r="K25" s="160"/>
      <c r="L25" s="46"/>
      <c r="M25" s="166"/>
      <c r="N25" s="159">
        <f t="shared" si="2"/>
        <v>615</v>
      </c>
      <c r="O25" s="160"/>
      <c r="P25" s="46">
        <v>2</v>
      </c>
      <c r="Q25" s="196"/>
      <c r="R25" s="198"/>
      <c r="S25" s="200"/>
      <c r="T25" s="46">
        <f t="shared" si="3"/>
        <v>8</v>
      </c>
      <c r="U25" s="196"/>
      <c r="V25" s="198"/>
      <c r="W25" s="192"/>
      <c r="X25" s="193"/>
      <c r="Y25" s="194"/>
      <c r="Z25" s="46">
        <f t="shared" si="4"/>
        <v>4</v>
      </c>
      <c r="AA25" s="52"/>
      <c r="AB25">
        <f t="shared" si="5"/>
        <v>800</v>
      </c>
      <c r="AC25">
        <f t="shared" si="6"/>
        <v>750</v>
      </c>
      <c r="AD25">
        <f t="shared" si="7"/>
        <v>3100</v>
      </c>
      <c r="AE25">
        <f t="shared" si="8"/>
        <v>3.1</v>
      </c>
      <c r="AF25" s="111">
        <f t="shared" si="9"/>
        <v>3.5649999999999999</v>
      </c>
      <c r="AG25" s="112">
        <f t="shared" si="10"/>
        <v>4</v>
      </c>
      <c r="AH25">
        <f t="shared" si="11"/>
        <v>2900</v>
      </c>
      <c r="AI25">
        <f t="shared" si="12"/>
        <v>2.9</v>
      </c>
      <c r="AJ25" s="111">
        <f t="shared" si="13"/>
        <v>3.3349999999999995</v>
      </c>
      <c r="AK25" s="115">
        <f t="shared" si="14"/>
        <v>4</v>
      </c>
    </row>
    <row r="26" spans="1:37">
      <c r="A26" s="42" t="str">
        <f>'1. 소켓인수검사'!A27</f>
        <v>58</v>
      </c>
      <c r="B26" s="56" t="s">
        <v>1</v>
      </c>
      <c r="C26" s="48">
        <f>'1. 소켓인수검사'!C27</f>
        <v>700</v>
      </c>
      <c r="D26" s="48">
        <f>'1. 소켓인수검사'!D27</f>
        <v>650</v>
      </c>
      <c r="E26" s="44"/>
      <c r="F26" s="166"/>
      <c r="G26" s="45">
        <f t="shared" si="0"/>
        <v>695</v>
      </c>
      <c r="H26" s="46">
        <f t="shared" si="1"/>
        <v>6</v>
      </c>
      <c r="I26" s="166"/>
      <c r="J26" s="159"/>
      <c r="K26" s="160"/>
      <c r="L26" s="46"/>
      <c r="M26" s="166"/>
      <c r="N26" s="159">
        <f t="shared" si="2"/>
        <v>615</v>
      </c>
      <c r="O26" s="160"/>
      <c r="P26" s="46">
        <v>2</v>
      </c>
      <c r="Q26" s="196"/>
      <c r="R26" s="198"/>
      <c r="S26" s="200"/>
      <c r="T26" s="46">
        <f t="shared" si="3"/>
        <v>8</v>
      </c>
      <c r="U26" s="196"/>
      <c r="V26" s="198"/>
      <c r="W26" s="192"/>
      <c r="X26" s="193"/>
      <c r="Y26" s="194"/>
      <c r="Z26" s="46">
        <f t="shared" si="4"/>
        <v>4</v>
      </c>
      <c r="AA26" s="52"/>
      <c r="AB26">
        <f t="shared" si="5"/>
        <v>800</v>
      </c>
      <c r="AC26">
        <f t="shared" si="6"/>
        <v>750</v>
      </c>
      <c r="AD26">
        <f t="shared" si="7"/>
        <v>3100</v>
      </c>
      <c r="AE26">
        <f t="shared" si="8"/>
        <v>3.1</v>
      </c>
      <c r="AF26" s="111">
        <f t="shared" si="9"/>
        <v>3.5649999999999999</v>
      </c>
      <c r="AG26" s="112">
        <f t="shared" si="10"/>
        <v>4</v>
      </c>
      <c r="AH26">
        <f t="shared" si="11"/>
        <v>2900</v>
      </c>
      <c r="AI26">
        <f t="shared" si="12"/>
        <v>2.9</v>
      </c>
      <c r="AJ26" s="111">
        <f t="shared" si="13"/>
        <v>3.3349999999999995</v>
      </c>
      <c r="AK26" s="115">
        <f t="shared" si="14"/>
        <v>4</v>
      </c>
    </row>
    <row r="27" spans="1:37" ht="16.5" customHeight="1">
      <c r="A27" s="42" t="str">
        <f>'1. 소켓인수검사'!A28</f>
        <v>59</v>
      </c>
      <c r="B27" s="56" t="s">
        <v>1</v>
      </c>
      <c r="C27" s="48">
        <f>'1. 소켓인수검사'!C28</f>
        <v>700</v>
      </c>
      <c r="D27" s="48">
        <f>'1. 소켓인수검사'!D28</f>
        <v>650</v>
      </c>
      <c r="E27" s="44"/>
      <c r="F27" s="166"/>
      <c r="G27" s="45">
        <f t="shared" si="0"/>
        <v>695</v>
      </c>
      <c r="H27" s="46">
        <f t="shared" si="1"/>
        <v>6</v>
      </c>
      <c r="I27" s="166"/>
      <c r="J27" s="159"/>
      <c r="K27" s="160"/>
      <c r="L27" s="46"/>
      <c r="M27" s="166"/>
      <c r="N27" s="159">
        <f t="shared" si="2"/>
        <v>615</v>
      </c>
      <c r="O27" s="160"/>
      <c r="P27" s="46">
        <v>2</v>
      </c>
      <c r="Q27" s="196"/>
      <c r="R27" s="198"/>
      <c r="S27" s="200"/>
      <c r="T27" s="46">
        <f t="shared" si="3"/>
        <v>8</v>
      </c>
      <c r="U27" s="196"/>
      <c r="V27" s="198"/>
      <c r="W27" s="192"/>
      <c r="X27" s="193"/>
      <c r="Y27" s="194"/>
      <c r="Z27" s="46">
        <f t="shared" si="4"/>
        <v>4</v>
      </c>
      <c r="AA27" s="52"/>
      <c r="AB27">
        <f t="shared" si="5"/>
        <v>800</v>
      </c>
      <c r="AC27">
        <f t="shared" si="6"/>
        <v>750</v>
      </c>
      <c r="AD27">
        <f t="shared" si="7"/>
        <v>3100</v>
      </c>
      <c r="AE27">
        <f t="shared" si="8"/>
        <v>3.1</v>
      </c>
      <c r="AF27" s="111">
        <f t="shared" si="9"/>
        <v>3.5649999999999999</v>
      </c>
      <c r="AG27" s="112">
        <f t="shared" si="10"/>
        <v>4</v>
      </c>
      <c r="AH27">
        <f t="shared" si="11"/>
        <v>2900</v>
      </c>
      <c r="AI27">
        <f t="shared" si="12"/>
        <v>2.9</v>
      </c>
      <c r="AJ27" s="111">
        <f t="shared" si="13"/>
        <v>3.3349999999999995</v>
      </c>
      <c r="AK27" s="115">
        <f t="shared" si="14"/>
        <v>4</v>
      </c>
    </row>
    <row r="28" spans="1:37">
      <c r="A28" s="42" t="str">
        <f>'1. 소켓인수검사'!A29</f>
        <v>60</v>
      </c>
      <c r="B28" s="56" t="s">
        <v>1</v>
      </c>
      <c r="C28" s="48">
        <f>'1. 소켓인수검사'!C29</f>
        <v>750</v>
      </c>
      <c r="D28" s="48">
        <f>'1. 소켓인수검사'!D29</f>
        <v>450</v>
      </c>
      <c r="E28" s="44"/>
      <c r="F28" s="166"/>
      <c r="G28" s="45">
        <f t="shared" si="0"/>
        <v>745</v>
      </c>
      <c r="H28" s="46">
        <f t="shared" si="1"/>
        <v>6</v>
      </c>
      <c r="I28" s="166"/>
      <c r="J28" s="159"/>
      <c r="K28" s="160"/>
      <c r="L28" s="46"/>
      <c r="M28" s="166"/>
      <c r="N28" s="159">
        <f t="shared" si="2"/>
        <v>415</v>
      </c>
      <c r="O28" s="160"/>
      <c r="P28" s="46">
        <v>2</v>
      </c>
      <c r="Q28" s="196"/>
      <c r="R28" s="198"/>
      <c r="S28" s="200"/>
      <c r="T28" s="46">
        <f t="shared" si="3"/>
        <v>6</v>
      </c>
      <c r="U28" s="196"/>
      <c r="V28" s="198"/>
      <c r="W28" s="192"/>
      <c r="X28" s="193"/>
      <c r="Y28" s="194"/>
      <c r="Z28" s="46">
        <f t="shared" si="4"/>
        <v>4</v>
      </c>
      <c r="AA28" s="52"/>
      <c r="AB28">
        <f t="shared" si="5"/>
        <v>850</v>
      </c>
      <c r="AC28">
        <f t="shared" si="6"/>
        <v>550</v>
      </c>
      <c r="AD28">
        <f t="shared" si="7"/>
        <v>2800</v>
      </c>
      <c r="AE28">
        <f t="shared" si="8"/>
        <v>2.8</v>
      </c>
      <c r="AF28" s="111">
        <f t="shared" si="9"/>
        <v>3.2199999999999998</v>
      </c>
      <c r="AG28" s="112">
        <f t="shared" si="10"/>
        <v>4</v>
      </c>
      <c r="AH28">
        <f t="shared" si="11"/>
        <v>2600</v>
      </c>
      <c r="AI28">
        <f t="shared" si="12"/>
        <v>2.6</v>
      </c>
      <c r="AJ28" s="111">
        <f t="shared" si="13"/>
        <v>2.9899999999999998</v>
      </c>
      <c r="AK28" s="115">
        <f t="shared" si="14"/>
        <v>3</v>
      </c>
    </row>
    <row r="29" spans="1:37">
      <c r="A29" s="42" t="str">
        <f>'1. 소켓인수검사'!A30</f>
        <v>61</v>
      </c>
      <c r="B29" s="56" t="s">
        <v>1</v>
      </c>
      <c r="C29" s="48">
        <f>'1. 소켓인수검사'!C30</f>
        <v>750</v>
      </c>
      <c r="D29" s="48">
        <f>'1. 소켓인수검사'!D30</f>
        <v>450</v>
      </c>
      <c r="E29" s="44"/>
      <c r="F29" s="166"/>
      <c r="G29" s="45">
        <f t="shared" si="0"/>
        <v>745</v>
      </c>
      <c r="H29" s="46">
        <f t="shared" si="1"/>
        <v>6</v>
      </c>
      <c r="I29" s="166"/>
      <c r="J29" s="159"/>
      <c r="K29" s="160"/>
      <c r="L29" s="46"/>
      <c r="M29" s="166"/>
      <c r="N29" s="159">
        <f t="shared" si="2"/>
        <v>415</v>
      </c>
      <c r="O29" s="160"/>
      <c r="P29" s="46">
        <v>2</v>
      </c>
      <c r="Q29" s="196"/>
      <c r="R29" s="198"/>
      <c r="S29" s="200"/>
      <c r="T29" s="46">
        <f t="shared" si="3"/>
        <v>6</v>
      </c>
      <c r="U29" s="196"/>
      <c r="V29" s="198"/>
      <c r="W29" s="192"/>
      <c r="X29" s="193"/>
      <c r="Y29" s="194"/>
      <c r="Z29" s="46">
        <f t="shared" si="4"/>
        <v>4</v>
      </c>
      <c r="AA29" s="52"/>
      <c r="AB29">
        <f t="shared" si="5"/>
        <v>850</v>
      </c>
      <c r="AC29">
        <f t="shared" si="6"/>
        <v>550</v>
      </c>
      <c r="AD29">
        <f t="shared" si="7"/>
        <v>2800</v>
      </c>
      <c r="AE29">
        <f t="shared" si="8"/>
        <v>2.8</v>
      </c>
      <c r="AF29" s="111">
        <f t="shared" si="9"/>
        <v>3.2199999999999998</v>
      </c>
      <c r="AG29" s="112">
        <f t="shared" si="10"/>
        <v>4</v>
      </c>
      <c r="AH29">
        <f t="shared" si="11"/>
        <v>2600</v>
      </c>
      <c r="AI29">
        <f t="shared" si="12"/>
        <v>2.6</v>
      </c>
      <c r="AJ29" s="111">
        <f t="shared" si="13"/>
        <v>2.9899999999999998</v>
      </c>
      <c r="AK29" s="115">
        <f t="shared" si="14"/>
        <v>3</v>
      </c>
    </row>
    <row r="30" spans="1:37">
      <c r="A30" s="42" t="str">
        <f>'1. 소켓인수검사'!A31</f>
        <v>62</v>
      </c>
      <c r="B30" s="56" t="s">
        <v>1</v>
      </c>
      <c r="C30" s="48">
        <f>'1. 소켓인수검사'!C31</f>
        <v>750</v>
      </c>
      <c r="D30" s="48">
        <f>'1. 소켓인수검사'!D31</f>
        <v>550</v>
      </c>
      <c r="E30" s="44"/>
      <c r="F30" s="166"/>
      <c r="G30" s="45">
        <f t="shared" si="0"/>
        <v>745</v>
      </c>
      <c r="H30" s="46">
        <f t="shared" si="1"/>
        <v>6</v>
      </c>
      <c r="I30" s="166"/>
      <c r="J30" s="159"/>
      <c r="K30" s="160"/>
      <c r="L30" s="46"/>
      <c r="M30" s="166"/>
      <c r="N30" s="159">
        <f t="shared" si="2"/>
        <v>515</v>
      </c>
      <c r="O30" s="160"/>
      <c r="P30" s="46">
        <v>2</v>
      </c>
      <c r="Q30" s="196"/>
      <c r="R30" s="198"/>
      <c r="S30" s="200"/>
      <c r="T30" s="46">
        <f t="shared" si="3"/>
        <v>8</v>
      </c>
      <c r="U30" s="196"/>
      <c r="V30" s="198"/>
      <c r="W30" s="192"/>
      <c r="X30" s="193"/>
      <c r="Y30" s="194"/>
      <c r="Z30" s="46">
        <f t="shared" si="4"/>
        <v>4</v>
      </c>
      <c r="AA30" s="52"/>
      <c r="AB30">
        <f t="shared" si="5"/>
        <v>850</v>
      </c>
      <c r="AC30">
        <f t="shared" si="6"/>
        <v>650</v>
      </c>
      <c r="AD30">
        <f t="shared" si="7"/>
        <v>3000</v>
      </c>
      <c r="AE30">
        <f t="shared" si="8"/>
        <v>3</v>
      </c>
      <c r="AF30" s="111">
        <f t="shared" si="9"/>
        <v>3.4499999999999997</v>
      </c>
      <c r="AG30" s="112">
        <f t="shared" si="10"/>
        <v>4</v>
      </c>
      <c r="AH30">
        <f t="shared" si="11"/>
        <v>2800</v>
      </c>
      <c r="AI30">
        <f t="shared" si="12"/>
        <v>2.8</v>
      </c>
      <c r="AJ30" s="111">
        <f t="shared" si="13"/>
        <v>3.2199999999999998</v>
      </c>
      <c r="AK30" s="115">
        <f t="shared" si="14"/>
        <v>4</v>
      </c>
    </row>
    <row r="31" spans="1:37">
      <c r="A31" s="42" t="str">
        <f>'1. 소켓인수검사'!A32</f>
        <v>63</v>
      </c>
      <c r="B31" s="56" t="s">
        <v>1</v>
      </c>
      <c r="C31" s="48">
        <f>'1. 소켓인수검사'!C32</f>
        <v>750</v>
      </c>
      <c r="D31" s="48">
        <f>'1. 소켓인수검사'!D32</f>
        <v>550</v>
      </c>
      <c r="E31" s="44"/>
      <c r="F31" s="166"/>
      <c r="G31" s="45">
        <f t="shared" si="0"/>
        <v>745</v>
      </c>
      <c r="H31" s="46">
        <f t="shared" si="1"/>
        <v>6</v>
      </c>
      <c r="I31" s="166"/>
      <c r="J31" s="159"/>
      <c r="K31" s="160"/>
      <c r="L31" s="46"/>
      <c r="M31" s="166"/>
      <c r="N31" s="159">
        <f t="shared" si="2"/>
        <v>515</v>
      </c>
      <c r="O31" s="160"/>
      <c r="P31" s="46">
        <v>2</v>
      </c>
      <c r="Q31" s="196"/>
      <c r="R31" s="198"/>
      <c r="S31" s="200"/>
      <c r="T31" s="46">
        <f t="shared" si="3"/>
        <v>8</v>
      </c>
      <c r="U31" s="196"/>
      <c r="V31" s="198"/>
      <c r="W31" s="192"/>
      <c r="X31" s="193"/>
      <c r="Y31" s="194"/>
      <c r="Z31" s="46">
        <f t="shared" si="4"/>
        <v>4</v>
      </c>
      <c r="AA31" s="52"/>
      <c r="AB31">
        <f t="shared" si="5"/>
        <v>850</v>
      </c>
      <c r="AC31">
        <f t="shared" si="6"/>
        <v>650</v>
      </c>
      <c r="AD31">
        <f t="shared" si="7"/>
        <v>3000</v>
      </c>
      <c r="AE31">
        <f t="shared" si="8"/>
        <v>3</v>
      </c>
      <c r="AF31" s="111">
        <f t="shared" si="9"/>
        <v>3.4499999999999997</v>
      </c>
      <c r="AG31" s="112">
        <f t="shared" si="10"/>
        <v>4</v>
      </c>
      <c r="AH31">
        <f t="shared" si="11"/>
        <v>2800</v>
      </c>
      <c r="AI31">
        <f t="shared" si="12"/>
        <v>2.8</v>
      </c>
      <c r="AJ31" s="111">
        <f t="shared" si="13"/>
        <v>3.2199999999999998</v>
      </c>
      <c r="AK31" s="115">
        <f t="shared" si="14"/>
        <v>4</v>
      </c>
    </row>
    <row r="32" spans="1:37">
      <c r="A32" s="42" t="str">
        <f>'1. 소켓인수검사'!A33</f>
        <v>64</v>
      </c>
      <c r="B32" s="56" t="s">
        <v>1</v>
      </c>
      <c r="C32" s="48">
        <f>'1. 소켓인수검사'!C33</f>
        <v>750</v>
      </c>
      <c r="D32" s="48">
        <f>'1. 소켓인수검사'!D33</f>
        <v>550</v>
      </c>
      <c r="E32" s="44"/>
      <c r="F32" s="166"/>
      <c r="G32" s="45">
        <f t="shared" si="0"/>
        <v>745</v>
      </c>
      <c r="H32" s="46">
        <f t="shared" si="1"/>
        <v>6</v>
      </c>
      <c r="I32" s="166"/>
      <c r="J32" s="159"/>
      <c r="K32" s="160"/>
      <c r="L32" s="46"/>
      <c r="M32" s="166"/>
      <c r="N32" s="159">
        <f t="shared" si="2"/>
        <v>515</v>
      </c>
      <c r="O32" s="160"/>
      <c r="P32" s="46">
        <v>2</v>
      </c>
      <c r="Q32" s="196"/>
      <c r="R32" s="198"/>
      <c r="S32" s="200"/>
      <c r="T32" s="46">
        <f t="shared" si="3"/>
        <v>8</v>
      </c>
      <c r="U32" s="196"/>
      <c r="V32" s="198"/>
      <c r="W32" s="192"/>
      <c r="X32" s="193"/>
      <c r="Y32" s="194"/>
      <c r="Z32" s="46">
        <f t="shared" si="4"/>
        <v>4</v>
      </c>
      <c r="AA32" s="52"/>
      <c r="AB32">
        <f t="shared" si="5"/>
        <v>850</v>
      </c>
      <c r="AC32">
        <f t="shared" si="6"/>
        <v>650</v>
      </c>
      <c r="AD32">
        <f t="shared" si="7"/>
        <v>3000</v>
      </c>
      <c r="AE32">
        <f t="shared" si="8"/>
        <v>3</v>
      </c>
      <c r="AF32" s="111">
        <f t="shared" si="9"/>
        <v>3.4499999999999997</v>
      </c>
      <c r="AG32" s="112">
        <f t="shared" si="10"/>
        <v>4</v>
      </c>
      <c r="AH32">
        <f t="shared" si="11"/>
        <v>2800</v>
      </c>
      <c r="AI32">
        <f t="shared" si="12"/>
        <v>2.8</v>
      </c>
      <c r="AJ32" s="111">
        <f t="shared" si="13"/>
        <v>3.2199999999999998</v>
      </c>
      <c r="AK32" s="115">
        <f t="shared" si="14"/>
        <v>4</v>
      </c>
    </row>
    <row r="33" spans="1:37">
      <c r="A33" s="42" t="str">
        <f>'1. 소켓인수검사'!A34</f>
        <v>65</v>
      </c>
      <c r="B33" s="56" t="s">
        <v>1</v>
      </c>
      <c r="C33" s="48">
        <f>'1. 소켓인수검사'!C34</f>
        <v>750</v>
      </c>
      <c r="D33" s="48">
        <f>'1. 소켓인수검사'!D34</f>
        <v>550</v>
      </c>
      <c r="E33" s="44"/>
      <c r="F33" s="166"/>
      <c r="G33" s="45">
        <f t="shared" si="0"/>
        <v>745</v>
      </c>
      <c r="H33" s="46">
        <f t="shared" si="1"/>
        <v>6</v>
      </c>
      <c r="I33" s="166"/>
      <c r="J33" s="159"/>
      <c r="K33" s="160"/>
      <c r="L33" s="46"/>
      <c r="M33" s="166"/>
      <c r="N33" s="159">
        <f t="shared" si="2"/>
        <v>515</v>
      </c>
      <c r="O33" s="160"/>
      <c r="P33" s="46">
        <v>2</v>
      </c>
      <c r="Q33" s="196"/>
      <c r="R33" s="198"/>
      <c r="S33" s="200"/>
      <c r="T33" s="46">
        <f t="shared" si="3"/>
        <v>8</v>
      </c>
      <c r="U33" s="196"/>
      <c r="V33" s="198"/>
      <c r="W33" s="192"/>
      <c r="X33" s="193"/>
      <c r="Y33" s="194"/>
      <c r="Z33" s="46">
        <f t="shared" si="4"/>
        <v>4</v>
      </c>
      <c r="AA33" s="52"/>
      <c r="AB33">
        <f t="shared" si="5"/>
        <v>850</v>
      </c>
      <c r="AC33">
        <f t="shared" si="6"/>
        <v>650</v>
      </c>
      <c r="AD33">
        <f t="shared" si="7"/>
        <v>3000</v>
      </c>
      <c r="AE33">
        <f t="shared" si="8"/>
        <v>3</v>
      </c>
      <c r="AF33" s="111">
        <f t="shared" si="9"/>
        <v>3.4499999999999997</v>
      </c>
      <c r="AG33" s="112">
        <f t="shared" si="10"/>
        <v>4</v>
      </c>
      <c r="AH33">
        <f t="shared" si="11"/>
        <v>2800</v>
      </c>
      <c r="AI33">
        <f t="shared" si="12"/>
        <v>2.8</v>
      </c>
      <c r="AJ33" s="111">
        <f t="shared" si="13"/>
        <v>3.2199999999999998</v>
      </c>
      <c r="AK33" s="115">
        <f t="shared" si="14"/>
        <v>4</v>
      </c>
    </row>
    <row r="34" spans="1:37">
      <c r="A34" s="42" t="str">
        <f>'1. 소켓인수검사'!A35</f>
        <v>66</v>
      </c>
      <c r="B34" s="56" t="s">
        <v>1</v>
      </c>
      <c r="C34" s="48">
        <f>'1. 소켓인수검사'!C35</f>
        <v>750</v>
      </c>
      <c r="D34" s="48">
        <f>'1. 소켓인수검사'!D35</f>
        <v>600</v>
      </c>
      <c r="E34" s="44"/>
      <c r="F34" s="166"/>
      <c r="G34" s="45">
        <f t="shared" si="0"/>
        <v>745</v>
      </c>
      <c r="H34" s="46">
        <f t="shared" si="1"/>
        <v>6</v>
      </c>
      <c r="I34" s="166"/>
      <c r="J34" s="159"/>
      <c r="K34" s="160"/>
      <c r="L34" s="46"/>
      <c r="M34" s="166"/>
      <c r="N34" s="159">
        <f t="shared" si="2"/>
        <v>565</v>
      </c>
      <c r="O34" s="160"/>
      <c r="P34" s="46">
        <v>2</v>
      </c>
      <c r="Q34" s="196"/>
      <c r="R34" s="198"/>
      <c r="S34" s="200"/>
      <c r="T34" s="46">
        <f t="shared" si="3"/>
        <v>8</v>
      </c>
      <c r="U34" s="196"/>
      <c r="V34" s="198"/>
      <c r="W34" s="192"/>
      <c r="X34" s="193"/>
      <c r="Y34" s="194"/>
      <c r="Z34" s="46">
        <f t="shared" si="4"/>
        <v>4</v>
      </c>
      <c r="AA34" s="52"/>
      <c r="AB34">
        <f t="shared" si="5"/>
        <v>850</v>
      </c>
      <c r="AC34">
        <f t="shared" si="6"/>
        <v>700</v>
      </c>
      <c r="AD34">
        <f t="shared" si="7"/>
        <v>3100</v>
      </c>
      <c r="AE34">
        <f t="shared" si="8"/>
        <v>3.1</v>
      </c>
      <c r="AF34" s="111">
        <f t="shared" si="9"/>
        <v>3.5649999999999999</v>
      </c>
      <c r="AG34" s="112">
        <f t="shared" si="10"/>
        <v>4</v>
      </c>
      <c r="AH34">
        <f t="shared" si="11"/>
        <v>2900</v>
      </c>
      <c r="AI34">
        <f t="shared" si="12"/>
        <v>2.9</v>
      </c>
      <c r="AJ34" s="111">
        <f t="shared" si="13"/>
        <v>3.3349999999999995</v>
      </c>
      <c r="AK34" s="115">
        <f t="shared" si="14"/>
        <v>4</v>
      </c>
    </row>
    <row r="35" spans="1:37">
      <c r="A35" s="42" t="str">
        <f>'1. 소켓인수검사'!A36</f>
        <v>67</v>
      </c>
      <c r="B35" s="56" t="s">
        <v>1</v>
      </c>
      <c r="C35" s="48">
        <f>'1. 소켓인수검사'!C36</f>
        <v>750</v>
      </c>
      <c r="D35" s="48">
        <f>'1. 소켓인수검사'!D36</f>
        <v>600</v>
      </c>
      <c r="E35" s="44"/>
      <c r="F35" s="166"/>
      <c r="G35" s="45">
        <f t="shared" si="0"/>
        <v>745</v>
      </c>
      <c r="H35" s="46">
        <f t="shared" si="1"/>
        <v>6</v>
      </c>
      <c r="I35" s="166"/>
      <c r="J35" s="159"/>
      <c r="K35" s="160"/>
      <c r="L35" s="46"/>
      <c r="M35" s="166"/>
      <c r="N35" s="159">
        <f t="shared" si="2"/>
        <v>565</v>
      </c>
      <c r="O35" s="160"/>
      <c r="P35" s="46">
        <v>2</v>
      </c>
      <c r="Q35" s="196"/>
      <c r="R35" s="198"/>
      <c r="S35" s="200"/>
      <c r="T35" s="46">
        <f t="shared" si="3"/>
        <v>8</v>
      </c>
      <c r="U35" s="196"/>
      <c r="V35" s="198"/>
      <c r="W35" s="192"/>
      <c r="X35" s="193"/>
      <c r="Y35" s="194"/>
      <c r="Z35" s="46">
        <f t="shared" si="4"/>
        <v>4</v>
      </c>
      <c r="AA35" s="52"/>
      <c r="AB35">
        <f t="shared" si="5"/>
        <v>850</v>
      </c>
      <c r="AC35">
        <f t="shared" si="6"/>
        <v>700</v>
      </c>
      <c r="AD35">
        <f t="shared" si="7"/>
        <v>3100</v>
      </c>
      <c r="AE35">
        <f t="shared" si="8"/>
        <v>3.1</v>
      </c>
      <c r="AF35" s="111">
        <f t="shared" si="9"/>
        <v>3.5649999999999999</v>
      </c>
      <c r="AG35" s="112">
        <f t="shared" si="10"/>
        <v>4</v>
      </c>
      <c r="AH35">
        <f t="shared" si="11"/>
        <v>2900</v>
      </c>
      <c r="AI35">
        <f t="shared" si="12"/>
        <v>2.9</v>
      </c>
      <c r="AJ35" s="111">
        <f t="shared" si="13"/>
        <v>3.3349999999999995</v>
      </c>
      <c r="AK35" s="115">
        <f t="shared" si="14"/>
        <v>4</v>
      </c>
    </row>
    <row r="36" spans="1:37">
      <c r="A36" s="42" t="str">
        <f>'1. 소켓인수검사'!A37</f>
        <v>68</v>
      </c>
      <c r="B36" s="56" t="s">
        <v>1</v>
      </c>
      <c r="C36" s="48">
        <f>'1. 소켓인수검사'!C37</f>
        <v>750</v>
      </c>
      <c r="D36" s="48">
        <f>'1. 소켓인수검사'!D37</f>
        <v>650</v>
      </c>
      <c r="E36" s="44"/>
      <c r="F36" s="166"/>
      <c r="G36" s="45">
        <f t="shared" si="0"/>
        <v>745</v>
      </c>
      <c r="H36" s="46">
        <f t="shared" si="1"/>
        <v>6</v>
      </c>
      <c r="I36" s="166"/>
      <c r="J36" s="159"/>
      <c r="K36" s="160"/>
      <c r="L36" s="46"/>
      <c r="M36" s="166"/>
      <c r="N36" s="159">
        <f t="shared" si="2"/>
        <v>615</v>
      </c>
      <c r="O36" s="160"/>
      <c r="P36" s="46">
        <v>2</v>
      </c>
      <c r="Q36" s="196"/>
      <c r="R36" s="198"/>
      <c r="S36" s="200"/>
      <c r="T36" s="46">
        <f t="shared" si="3"/>
        <v>8</v>
      </c>
      <c r="U36" s="196"/>
      <c r="V36" s="198"/>
      <c r="W36" s="192"/>
      <c r="X36" s="193"/>
      <c r="Y36" s="194"/>
      <c r="Z36" s="46">
        <f t="shared" si="4"/>
        <v>4</v>
      </c>
      <c r="AA36" s="52"/>
      <c r="AB36">
        <f t="shared" si="5"/>
        <v>850</v>
      </c>
      <c r="AC36">
        <f t="shared" si="6"/>
        <v>750</v>
      </c>
      <c r="AD36">
        <f t="shared" si="7"/>
        <v>3200</v>
      </c>
      <c r="AE36">
        <f t="shared" si="8"/>
        <v>3.2</v>
      </c>
      <c r="AF36" s="111">
        <f t="shared" si="9"/>
        <v>3.6799999999999997</v>
      </c>
      <c r="AG36" s="112">
        <f t="shared" si="10"/>
        <v>4</v>
      </c>
      <c r="AH36">
        <f t="shared" si="11"/>
        <v>3000</v>
      </c>
      <c r="AI36">
        <f t="shared" si="12"/>
        <v>3</v>
      </c>
      <c r="AJ36" s="111">
        <f t="shared" si="13"/>
        <v>3.4499999999999997</v>
      </c>
      <c r="AK36" s="115">
        <f t="shared" si="14"/>
        <v>4</v>
      </c>
    </row>
    <row r="37" spans="1:37">
      <c r="A37" s="42" t="str">
        <f>'1. 소켓인수검사'!A38</f>
        <v>69</v>
      </c>
      <c r="B37" s="56" t="s">
        <v>1</v>
      </c>
      <c r="C37" s="48">
        <f>'1. 소켓인수검사'!C38</f>
        <v>750</v>
      </c>
      <c r="D37" s="48">
        <f>'1. 소켓인수검사'!D38</f>
        <v>650</v>
      </c>
      <c r="E37" s="44"/>
      <c r="F37" s="166"/>
      <c r="G37" s="45">
        <f t="shared" si="0"/>
        <v>745</v>
      </c>
      <c r="H37" s="46">
        <f t="shared" si="1"/>
        <v>6</v>
      </c>
      <c r="I37" s="166"/>
      <c r="J37" s="159"/>
      <c r="K37" s="160"/>
      <c r="L37" s="46"/>
      <c r="M37" s="166"/>
      <c r="N37" s="159">
        <f t="shared" si="2"/>
        <v>615</v>
      </c>
      <c r="O37" s="160"/>
      <c r="P37" s="46">
        <v>2</v>
      </c>
      <c r="Q37" s="196"/>
      <c r="R37" s="198"/>
      <c r="S37" s="200"/>
      <c r="T37" s="46">
        <f t="shared" si="3"/>
        <v>8</v>
      </c>
      <c r="U37" s="196"/>
      <c r="V37" s="198"/>
      <c r="W37" s="192"/>
      <c r="X37" s="193"/>
      <c r="Y37" s="194"/>
      <c r="Z37" s="46">
        <f t="shared" si="4"/>
        <v>4</v>
      </c>
      <c r="AA37" s="52"/>
      <c r="AB37">
        <f t="shared" si="5"/>
        <v>850</v>
      </c>
      <c r="AC37">
        <f t="shared" si="6"/>
        <v>750</v>
      </c>
      <c r="AD37">
        <f t="shared" si="7"/>
        <v>3200</v>
      </c>
      <c r="AE37">
        <f t="shared" si="8"/>
        <v>3.2</v>
      </c>
      <c r="AF37" s="111">
        <f t="shared" si="9"/>
        <v>3.6799999999999997</v>
      </c>
      <c r="AG37" s="112">
        <f t="shared" si="10"/>
        <v>4</v>
      </c>
      <c r="AH37">
        <f t="shared" si="11"/>
        <v>3000</v>
      </c>
      <c r="AI37">
        <f t="shared" si="12"/>
        <v>3</v>
      </c>
      <c r="AJ37" s="111">
        <f t="shared" si="13"/>
        <v>3.4499999999999997</v>
      </c>
      <c r="AK37" s="115">
        <f t="shared" si="14"/>
        <v>4</v>
      </c>
    </row>
    <row r="38" spans="1:37">
      <c r="A38" s="42" t="str">
        <f>'1. 소켓인수검사'!A39</f>
        <v>70</v>
      </c>
      <c r="B38" s="56" t="s">
        <v>1</v>
      </c>
      <c r="C38" s="48">
        <f>'1. 소켓인수검사'!C39</f>
        <v>750</v>
      </c>
      <c r="D38" s="48">
        <f>'1. 소켓인수검사'!D39</f>
        <v>700</v>
      </c>
      <c r="E38" s="44"/>
      <c r="F38" s="166"/>
      <c r="G38" s="45">
        <f t="shared" si="0"/>
        <v>745</v>
      </c>
      <c r="H38" s="46">
        <f t="shared" si="1"/>
        <v>6</v>
      </c>
      <c r="I38" s="166"/>
      <c r="J38" s="159"/>
      <c r="K38" s="160"/>
      <c r="L38" s="46"/>
      <c r="M38" s="166"/>
      <c r="N38" s="159">
        <f t="shared" si="2"/>
        <v>665</v>
      </c>
      <c r="O38" s="160"/>
      <c r="P38" s="46">
        <v>2</v>
      </c>
      <c r="Q38" s="196"/>
      <c r="R38" s="198"/>
      <c r="S38" s="200"/>
      <c r="T38" s="46">
        <f t="shared" si="3"/>
        <v>8</v>
      </c>
      <c r="U38" s="196"/>
      <c r="V38" s="198"/>
      <c r="W38" s="192"/>
      <c r="X38" s="193"/>
      <c r="Y38" s="194"/>
      <c r="Z38" s="46">
        <f t="shared" si="4"/>
        <v>4</v>
      </c>
      <c r="AA38" s="52"/>
      <c r="AB38">
        <f t="shared" si="5"/>
        <v>850</v>
      </c>
      <c r="AC38">
        <f t="shared" si="6"/>
        <v>800</v>
      </c>
      <c r="AD38">
        <f t="shared" si="7"/>
        <v>3300</v>
      </c>
      <c r="AE38">
        <f t="shared" si="8"/>
        <v>3.3</v>
      </c>
      <c r="AF38" s="111">
        <f t="shared" si="9"/>
        <v>3.7949999999999995</v>
      </c>
      <c r="AG38" s="112">
        <f t="shared" si="10"/>
        <v>4</v>
      </c>
      <c r="AH38">
        <f t="shared" si="11"/>
        <v>3100</v>
      </c>
      <c r="AI38">
        <f t="shared" si="12"/>
        <v>3.1</v>
      </c>
      <c r="AJ38" s="111">
        <f t="shared" si="13"/>
        <v>3.5649999999999999</v>
      </c>
      <c r="AK38" s="115">
        <f t="shared" si="14"/>
        <v>4</v>
      </c>
    </row>
    <row r="39" spans="1:37">
      <c r="A39" s="42" t="str">
        <f>'1. 소켓인수검사'!A40</f>
        <v>71</v>
      </c>
      <c r="B39" s="56" t="s">
        <v>1</v>
      </c>
      <c r="C39" s="48">
        <f>'1. 소켓인수검사'!C40</f>
        <v>750</v>
      </c>
      <c r="D39" s="48">
        <f>'1. 소켓인수검사'!D40</f>
        <v>700</v>
      </c>
      <c r="E39" s="44"/>
      <c r="F39" s="166"/>
      <c r="G39" s="45">
        <f t="shared" si="0"/>
        <v>745</v>
      </c>
      <c r="H39" s="46">
        <f t="shared" si="1"/>
        <v>6</v>
      </c>
      <c r="I39" s="166"/>
      <c r="J39" s="159"/>
      <c r="K39" s="160"/>
      <c r="L39" s="46"/>
      <c r="M39" s="166"/>
      <c r="N39" s="159">
        <f t="shared" si="2"/>
        <v>665</v>
      </c>
      <c r="O39" s="160"/>
      <c r="P39" s="46">
        <v>2</v>
      </c>
      <c r="Q39" s="196"/>
      <c r="R39" s="198"/>
      <c r="S39" s="200"/>
      <c r="T39" s="46">
        <f t="shared" si="3"/>
        <v>8</v>
      </c>
      <c r="U39" s="196"/>
      <c r="V39" s="198"/>
      <c r="W39" s="192"/>
      <c r="X39" s="193"/>
      <c r="Y39" s="194"/>
      <c r="Z39" s="46">
        <f t="shared" si="4"/>
        <v>4</v>
      </c>
      <c r="AA39" s="52"/>
      <c r="AB39">
        <f t="shared" si="5"/>
        <v>850</v>
      </c>
      <c r="AC39">
        <f t="shared" si="6"/>
        <v>800</v>
      </c>
      <c r="AD39">
        <f t="shared" si="7"/>
        <v>3300</v>
      </c>
      <c r="AE39">
        <f t="shared" si="8"/>
        <v>3.3</v>
      </c>
      <c r="AF39" s="111">
        <f t="shared" si="9"/>
        <v>3.7949999999999995</v>
      </c>
      <c r="AG39" s="112">
        <f t="shared" si="10"/>
        <v>4</v>
      </c>
      <c r="AH39">
        <f t="shared" si="11"/>
        <v>3100</v>
      </c>
      <c r="AI39">
        <f t="shared" si="12"/>
        <v>3.1</v>
      </c>
      <c r="AJ39" s="111">
        <f t="shared" si="13"/>
        <v>3.5649999999999999</v>
      </c>
      <c r="AK39" s="115">
        <f t="shared" si="14"/>
        <v>4</v>
      </c>
    </row>
    <row r="40" spans="1:37">
      <c r="A40" s="42" t="str">
        <f>'1. 소켓인수검사'!A41</f>
        <v>72</v>
      </c>
      <c r="B40" s="56" t="s">
        <v>1</v>
      </c>
      <c r="C40" s="48">
        <f>'1. 소켓인수검사'!C41</f>
        <v>800</v>
      </c>
      <c r="D40" s="48">
        <f>'1. 소켓인수검사'!D41</f>
        <v>500</v>
      </c>
      <c r="E40" s="44"/>
      <c r="F40" s="166"/>
      <c r="G40" s="45">
        <f t="shared" si="0"/>
        <v>795</v>
      </c>
      <c r="H40" s="46">
        <f t="shared" si="1"/>
        <v>6</v>
      </c>
      <c r="I40" s="166"/>
      <c r="J40" s="159"/>
      <c r="K40" s="160"/>
      <c r="L40" s="46"/>
      <c r="M40" s="166"/>
      <c r="N40" s="159">
        <f t="shared" si="2"/>
        <v>465</v>
      </c>
      <c r="O40" s="160"/>
      <c r="P40" s="46">
        <v>2</v>
      </c>
      <c r="Q40" s="196"/>
      <c r="R40" s="198"/>
      <c r="S40" s="200"/>
      <c r="T40" s="46">
        <f t="shared" si="3"/>
        <v>8</v>
      </c>
      <c r="U40" s="196"/>
      <c r="V40" s="198"/>
      <c r="W40" s="192"/>
      <c r="X40" s="193"/>
      <c r="Y40" s="194"/>
      <c r="Z40" s="46">
        <f t="shared" si="4"/>
        <v>4</v>
      </c>
      <c r="AA40" s="52"/>
      <c r="AB40">
        <f t="shared" si="5"/>
        <v>900</v>
      </c>
      <c r="AC40">
        <f t="shared" si="6"/>
        <v>600</v>
      </c>
      <c r="AD40">
        <f t="shared" si="7"/>
        <v>3000</v>
      </c>
      <c r="AE40">
        <f t="shared" si="8"/>
        <v>3</v>
      </c>
      <c r="AF40" s="111">
        <f t="shared" si="9"/>
        <v>3.4499999999999997</v>
      </c>
      <c r="AG40" s="112">
        <f t="shared" si="10"/>
        <v>4</v>
      </c>
      <c r="AH40">
        <f t="shared" si="11"/>
        <v>2800</v>
      </c>
      <c r="AI40">
        <f t="shared" si="12"/>
        <v>2.8</v>
      </c>
      <c r="AJ40" s="111">
        <f t="shared" si="13"/>
        <v>3.2199999999999998</v>
      </c>
      <c r="AK40" s="115">
        <f t="shared" si="14"/>
        <v>4</v>
      </c>
    </row>
    <row r="41" spans="1:37">
      <c r="A41" s="42" t="str">
        <f>'1. 소켓인수검사'!A42</f>
        <v>73</v>
      </c>
      <c r="B41" s="56" t="s">
        <v>1</v>
      </c>
      <c r="C41" s="48">
        <f>'1. 소켓인수검사'!C42</f>
        <v>800</v>
      </c>
      <c r="D41" s="48">
        <f>'1. 소켓인수검사'!D42</f>
        <v>500</v>
      </c>
      <c r="E41" s="44"/>
      <c r="F41" s="166"/>
      <c r="G41" s="45">
        <f t="shared" si="0"/>
        <v>795</v>
      </c>
      <c r="H41" s="46">
        <f t="shared" si="1"/>
        <v>6</v>
      </c>
      <c r="I41" s="166"/>
      <c r="J41" s="159"/>
      <c r="K41" s="160"/>
      <c r="L41" s="46"/>
      <c r="M41" s="166"/>
      <c r="N41" s="159">
        <f t="shared" si="2"/>
        <v>465</v>
      </c>
      <c r="O41" s="160"/>
      <c r="P41" s="46">
        <v>2</v>
      </c>
      <c r="Q41" s="196"/>
      <c r="R41" s="198"/>
      <c r="S41" s="200"/>
      <c r="T41" s="46">
        <f t="shared" si="3"/>
        <v>8</v>
      </c>
      <c r="U41" s="196"/>
      <c r="V41" s="198"/>
      <c r="W41" s="192"/>
      <c r="X41" s="193"/>
      <c r="Y41" s="194"/>
      <c r="Z41" s="46">
        <f t="shared" si="4"/>
        <v>4</v>
      </c>
      <c r="AA41" s="52"/>
      <c r="AB41">
        <f t="shared" si="5"/>
        <v>900</v>
      </c>
      <c r="AC41">
        <f t="shared" si="6"/>
        <v>600</v>
      </c>
      <c r="AD41">
        <f t="shared" si="7"/>
        <v>3000</v>
      </c>
      <c r="AE41">
        <f t="shared" si="8"/>
        <v>3</v>
      </c>
      <c r="AF41" s="111">
        <f t="shared" si="9"/>
        <v>3.4499999999999997</v>
      </c>
      <c r="AG41" s="112">
        <f t="shared" si="10"/>
        <v>4</v>
      </c>
      <c r="AH41">
        <f t="shared" si="11"/>
        <v>2800</v>
      </c>
      <c r="AI41">
        <f t="shared" si="12"/>
        <v>2.8</v>
      </c>
      <c r="AJ41" s="111">
        <f t="shared" si="13"/>
        <v>3.2199999999999998</v>
      </c>
      <c r="AK41" s="115">
        <f t="shared" si="14"/>
        <v>4</v>
      </c>
    </row>
    <row r="42" spans="1:37">
      <c r="A42" s="42" t="str">
        <f>'1. 소켓인수검사'!A43</f>
        <v>74</v>
      </c>
      <c r="B42" s="56" t="s">
        <v>1</v>
      </c>
      <c r="C42" s="48">
        <f>'1. 소켓인수검사'!C43</f>
        <v>800</v>
      </c>
      <c r="D42" s="48">
        <f>'1. 소켓인수검사'!D43</f>
        <v>550</v>
      </c>
      <c r="E42" s="44"/>
      <c r="F42" s="166"/>
      <c r="G42" s="45">
        <f t="shared" si="0"/>
        <v>795</v>
      </c>
      <c r="H42" s="46">
        <f t="shared" si="1"/>
        <v>6</v>
      </c>
      <c r="I42" s="166"/>
      <c r="J42" s="159"/>
      <c r="K42" s="160"/>
      <c r="L42" s="46"/>
      <c r="M42" s="166"/>
      <c r="N42" s="159">
        <f t="shared" si="2"/>
        <v>515</v>
      </c>
      <c r="O42" s="160"/>
      <c r="P42" s="46">
        <v>2</v>
      </c>
      <c r="Q42" s="196"/>
      <c r="R42" s="198"/>
      <c r="S42" s="200"/>
      <c r="T42" s="46">
        <f t="shared" si="3"/>
        <v>8</v>
      </c>
      <c r="U42" s="196"/>
      <c r="V42" s="198"/>
      <c r="W42" s="192"/>
      <c r="X42" s="193"/>
      <c r="Y42" s="194"/>
      <c r="Z42" s="46">
        <f t="shared" si="4"/>
        <v>4</v>
      </c>
      <c r="AA42" s="52"/>
      <c r="AB42">
        <f t="shared" si="5"/>
        <v>900</v>
      </c>
      <c r="AC42">
        <f t="shared" si="6"/>
        <v>650</v>
      </c>
      <c r="AD42">
        <f t="shared" si="7"/>
        <v>3100</v>
      </c>
      <c r="AE42">
        <f t="shared" si="8"/>
        <v>3.1</v>
      </c>
      <c r="AF42" s="111">
        <f t="shared" si="9"/>
        <v>3.5649999999999999</v>
      </c>
      <c r="AG42" s="112">
        <f t="shared" si="10"/>
        <v>4</v>
      </c>
      <c r="AH42">
        <f t="shared" si="11"/>
        <v>2900</v>
      </c>
      <c r="AI42">
        <f t="shared" si="12"/>
        <v>2.9</v>
      </c>
      <c r="AJ42" s="111">
        <f t="shared" si="13"/>
        <v>3.3349999999999995</v>
      </c>
      <c r="AK42" s="115">
        <f t="shared" si="14"/>
        <v>4</v>
      </c>
    </row>
    <row r="43" spans="1:37">
      <c r="A43" s="42" t="str">
        <f>'1. 소켓인수검사'!A44</f>
        <v>75</v>
      </c>
      <c r="B43" s="56" t="s">
        <v>1</v>
      </c>
      <c r="C43" s="48">
        <f>'1. 소켓인수검사'!C44</f>
        <v>800</v>
      </c>
      <c r="D43" s="48">
        <f>'1. 소켓인수검사'!D44</f>
        <v>600</v>
      </c>
      <c r="E43" s="44"/>
      <c r="F43" s="166"/>
      <c r="G43" s="45">
        <f t="shared" si="0"/>
        <v>795</v>
      </c>
      <c r="H43" s="46">
        <f t="shared" si="1"/>
        <v>6</v>
      </c>
      <c r="I43" s="166"/>
      <c r="J43" s="159"/>
      <c r="K43" s="160"/>
      <c r="L43" s="46"/>
      <c r="M43" s="166"/>
      <c r="N43" s="159">
        <f t="shared" si="2"/>
        <v>565</v>
      </c>
      <c r="O43" s="160"/>
      <c r="P43" s="46">
        <v>2</v>
      </c>
      <c r="Q43" s="196"/>
      <c r="R43" s="198"/>
      <c r="S43" s="200"/>
      <c r="T43" s="46">
        <f t="shared" si="3"/>
        <v>8</v>
      </c>
      <c r="U43" s="196"/>
      <c r="V43" s="198"/>
      <c r="W43" s="192"/>
      <c r="X43" s="193"/>
      <c r="Y43" s="194"/>
      <c r="Z43" s="46">
        <f t="shared" si="4"/>
        <v>4</v>
      </c>
      <c r="AA43" s="52"/>
      <c r="AB43">
        <f t="shared" si="5"/>
        <v>900</v>
      </c>
      <c r="AC43">
        <f t="shared" si="6"/>
        <v>700</v>
      </c>
      <c r="AD43">
        <f t="shared" si="7"/>
        <v>3200</v>
      </c>
      <c r="AE43">
        <f t="shared" si="8"/>
        <v>3.2</v>
      </c>
      <c r="AF43" s="111">
        <f t="shared" si="9"/>
        <v>3.6799999999999997</v>
      </c>
      <c r="AG43" s="112">
        <f t="shared" si="10"/>
        <v>4</v>
      </c>
      <c r="AH43">
        <f t="shared" si="11"/>
        <v>3000</v>
      </c>
      <c r="AI43">
        <f t="shared" si="12"/>
        <v>3</v>
      </c>
      <c r="AJ43" s="111">
        <f t="shared" si="13"/>
        <v>3.4499999999999997</v>
      </c>
      <c r="AK43" s="115">
        <f t="shared" si="14"/>
        <v>4</v>
      </c>
    </row>
    <row r="44" spans="1:37">
      <c r="A44" s="42" t="str">
        <f>'1. 소켓인수검사'!A45</f>
        <v>76</v>
      </c>
      <c r="B44" s="56" t="s">
        <v>1</v>
      </c>
      <c r="C44" s="48">
        <f>'1. 소켓인수검사'!C45</f>
        <v>800</v>
      </c>
      <c r="D44" s="48">
        <f>'1. 소켓인수검사'!D45</f>
        <v>600</v>
      </c>
      <c r="E44" s="44"/>
      <c r="F44" s="166"/>
      <c r="G44" s="45">
        <f t="shared" si="0"/>
        <v>795</v>
      </c>
      <c r="H44" s="46">
        <f t="shared" si="1"/>
        <v>6</v>
      </c>
      <c r="I44" s="166"/>
      <c r="J44" s="159"/>
      <c r="K44" s="160"/>
      <c r="L44" s="46"/>
      <c r="M44" s="166"/>
      <c r="N44" s="159">
        <f t="shared" si="2"/>
        <v>565</v>
      </c>
      <c r="O44" s="160"/>
      <c r="P44" s="46">
        <v>2</v>
      </c>
      <c r="Q44" s="196"/>
      <c r="R44" s="198"/>
      <c r="S44" s="200"/>
      <c r="T44" s="46">
        <f t="shared" si="3"/>
        <v>8</v>
      </c>
      <c r="U44" s="196"/>
      <c r="V44" s="198"/>
      <c r="W44" s="192"/>
      <c r="X44" s="193"/>
      <c r="Y44" s="194"/>
      <c r="Z44" s="46">
        <f t="shared" si="4"/>
        <v>4</v>
      </c>
      <c r="AA44" s="52"/>
      <c r="AB44">
        <f t="shared" si="5"/>
        <v>900</v>
      </c>
      <c r="AC44">
        <f t="shared" si="6"/>
        <v>700</v>
      </c>
      <c r="AD44">
        <f t="shared" si="7"/>
        <v>3200</v>
      </c>
      <c r="AE44">
        <f t="shared" si="8"/>
        <v>3.2</v>
      </c>
      <c r="AF44" s="111">
        <f t="shared" si="9"/>
        <v>3.6799999999999997</v>
      </c>
      <c r="AG44" s="112">
        <f t="shared" si="10"/>
        <v>4</v>
      </c>
      <c r="AH44">
        <f t="shared" si="11"/>
        <v>3000</v>
      </c>
      <c r="AI44">
        <f t="shared" si="12"/>
        <v>3</v>
      </c>
      <c r="AJ44" s="111">
        <f t="shared" si="13"/>
        <v>3.4499999999999997</v>
      </c>
      <c r="AK44" s="115">
        <f t="shared" si="14"/>
        <v>4</v>
      </c>
    </row>
    <row r="45" spans="1:37">
      <c r="A45" s="42" t="str">
        <f>'1. 소켓인수검사'!A46</f>
        <v>77</v>
      </c>
      <c r="B45" s="56" t="s">
        <v>1</v>
      </c>
      <c r="C45" s="48">
        <f>'1. 소켓인수검사'!C46</f>
        <v>800</v>
      </c>
      <c r="D45" s="48">
        <f>'1. 소켓인수검사'!D46</f>
        <v>600</v>
      </c>
      <c r="E45" s="44"/>
      <c r="F45" s="166"/>
      <c r="G45" s="45">
        <f t="shared" si="0"/>
        <v>795</v>
      </c>
      <c r="H45" s="46">
        <f t="shared" si="1"/>
        <v>6</v>
      </c>
      <c r="I45" s="166"/>
      <c r="J45" s="159"/>
      <c r="K45" s="160"/>
      <c r="L45" s="46"/>
      <c r="M45" s="166"/>
      <c r="N45" s="159">
        <f t="shared" si="2"/>
        <v>565</v>
      </c>
      <c r="O45" s="160"/>
      <c r="P45" s="46">
        <v>2</v>
      </c>
      <c r="Q45" s="196"/>
      <c r="R45" s="198"/>
      <c r="S45" s="200"/>
      <c r="T45" s="46">
        <f t="shared" si="3"/>
        <v>8</v>
      </c>
      <c r="U45" s="196"/>
      <c r="V45" s="198"/>
      <c r="W45" s="192"/>
      <c r="X45" s="193"/>
      <c r="Y45" s="194"/>
      <c r="Z45" s="46">
        <f t="shared" si="4"/>
        <v>4</v>
      </c>
      <c r="AA45" s="52"/>
      <c r="AB45">
        <f t="shared" si="5"/>
        <v>900</v>
      </c>
      <c r="AC45">
        <f t="shared" si="6"/>
        <v>700</v>
      </c>
      <c r="AD45">
        <f t="shared" si="7"/>
        <v>3200</v>
      </c>
      <c r="AE45">
        <f t="shared" si="8"/>
        <v>3.2</v>
      </c>
      <c r="AF45" s="111">
        <f t="shared" si="9"/>
        <v>3.6799999999999997</v>
      </c>
      <c r="AG45" s="112">
        <f t="shared" si="10"/>
        <v>4</v>
      </c>
      <c r="AH45">
        <f t="shared" si="11"/>
        <v>3000</v>
      </c>
      <c r="AI45">
        <f t="shared" si="12"/>
        <v>3</v>
      </c>
      <c r="AJ45" s="111">
        <f t="shared" si="13"/>
        <v>3.4499999999999997</v>
      </c>
      <c r="AK45" s="115">
        <f t="shared" si="14"/>
        <v>4</v>
      </c>
    </row>
    <row r="46" spans="1:37">
      <c r="A46" s="42" t="str">
        <f>'1. 소켓인수검사'!A47</f>
        <v>78</v>
      </c>
      <c r="B46" s="56" t="s">
        <v>1</v>
      </c>
      <c r="C46" s="48">
        <f>'1. 소켓인수검사'!C47</f>
        <v>800</v>
      </c>
      <c r="D46" s="48">
        <f>'1. 소켓인수검사'!D47</f>
        <v>650</v>
      </c>
      <c r="E46" s="44"/>
      <c r="F46" s="166"/>
      <c r="G46" s="45">
        <f t="shared" si="0"/>
        <v>795</v>
      </c>
      <c r="H46" s="46">
        <f t="shared" si="1"/>
        <v>6</v>
      </c>
      <c r="I46" s="166"/>
      <c r="J46" s="159"/>
      <c r="K46" s="160"/>
      <c r="L46" s="46"/>
      <c r="M46" s="166"/>
      <c r="N46" s="159">
        <f t="shared" si="2"/>
        <v>615</v>
      </c>
      <c r="O46" s="160"/>
      <c r="P46" s="46">
        <v>2</v>
      </c>
      <c r="Q46" s="196"/>
      <c r="R46" s="198"/>
      <c r="S46" s="200"/>
      <c r="T46" s="46">
        <f t="shared" si="3"/>
        <v>8</v>
      </c>
      <c r="U46" s="196"/>
      <c r="V46" s="198"/>
      <c r="W46" s="192"/>
      <c r="X46" s="193"/>
      <c r="Y46" s="194"/>
      <c r="Z46" s="46">
        <f t="shared" si="4"/>
        <v>4</v>
      </c>
      <c r="AA46" s="52"/>
      <c r="AB46">
        <f t="shared" si="5"/>
        <v>900</v>
      </c>
      <c r="AC46">
        <f t="shared" si="6"/>
        <v>750</v>
      </c>
      <c r="AD46">
        <f t="shared" si="7"/>
        <v>3300</v>
      </c>
      <c r="AE46">
        <f t="shared" si="8"/>
        <v>3.3</v>
      </c>
      <c r="AF46" s="111">
        <f t="shared" si="9"/>
        <v>3.7949999999999995</v>
      </c>
      <c r="AG46" s="112">
        <f t="shared" si="10"/>
        <v>4</v>
      </c>
      <c r="AH46">
        <f t="shared" si="11"/>
        <v>3100</v>
      </c>
      <c r="AI46">
        <f t="shared" si="12"/>
        <v>3.1</v>
      </c>
      <c r="AJ46" s="111">
        <f t="shared" si="13"/>
        <v>3.5649999999999999</v>
      </c>
      <c r="AK46" s="115">
        <f t="shared" si="14"/>
        <v>4</v>
      </c>
    </row>
    <row r="47" spans="1:37">
      <c r="A47" s="42" t="str">
        <f>'1. 소켓인수검사'!A48</f>
        <v>79</v>
      </c>
      <c r="B47" s="56" t="s">
        <v>1</v>
      </c>
      <c r="C47" s="48">
        <f>'1. 소켓인수검사'!C48</f>
        <v>800</v>
      </c>
      <c r="D47" s="48">
        <f>'1. 소켓인수검사'!D48</f>
        <v>650</v>
      </c>
      <c r="E47" s="44"/>
      <c r="F47" s="166"/>
      <c r="G47" s="45">
        <f t="shared" si="0"/>
        <v>795</v>
      </c>
      <c r="H47" s="46">
        <f t="shared" si="1"/>
        <v>6</v>
      </c>
      <c r="I47" s="166"/>
      <c r="J47" s="159"/>
      <c r="K47" s="160"/>
      <c r="L47" s="46"/>
      <c r="M47" s="166"/>
      <c r="N47" s="159">
        <f t="shared" si="2"/>
        <v>615</v>
      </c>
      <c r="O47" s="160"/>
      <c r="P47" s="46">
        <v>2</v>
      </c>
      <c r="Q47" s="196"/>
      <c r="R47" s="198"/>
      <c r="S47" s="200"/>
      <c r="T47" s="46">
        <f t="shared" si="3"/>
        <v>8</v>
      </c>
      <c r="U47" s="196"/>
      <c r="V47" s="198"/>
      <c r="W47" s="192"/>
      <c r="X47" s="193"/>
      <c r="Y47" s="194"/>
      <c r="Z47" s="46">
        <f t="shared" si="4"/>
        <v>4</v>
      </c>
      <c r="AA47" s="52"/>
      <c r="AB47">
        <f t="shared" si="5"/>
        <v>900</v>
      </c>
      <c r="AC47">
        <f t="shared" si="6"/>
        <v>750</v>
      </c>
      <c r="AD47">
        <f t="shared" si="7"/>
        <v>3300</v>
      </c>
      <c r="AE47">
        <f t="shared" si="8"/>
        <v>3.3</v>
      </c>
      <c r="AF47" s="111">
        <f t="shared" si="9"/>
        <v>3.7949999999999995</v>
      </c>
      <c r="AG47" s="112">
        <f t="shared" si="10"/>
        <v>4</v>
      </c>
      <c r="AH47">
        <f t="shared" si="11"/>
        <v>3100</v>
      </c>
      <c r="AI47">
        <f t="shared" si="12"/>
        <v>3.1</v>
      </c>
      <c r="AJ47" s="111">
        <f t="shared" si="13"/>
        <v>3.5649999999999999</v>
      </c>
      <c r="AK47" s="115">
        <f t="shared" si="14"/>
        <v>4</v>
      </c>
    </row>
    <row r="48" spans="1:37">
      <c r="A48" s="42" t="str">
        <f>'1. 소켓인수검사'!A49</f>
        <v>80</v>
      </c>
      <c r="B48" s="56" t="s">
        <v>1</v>
      </c>
      <c r="C48" s="48">
        <f>'1. 소켓인수검사'!C49</f>
        <v>900</v>
      </c>
      <c r="D48" s="48">
        <f>'1. 소켓인수검사'!D49</f>
        <v>650</v>
      </c>
      <c r="E48" s="44"/>
      <c r="F48" s="166"/>
      <c r="G48" s="45">
        <f t="shared" si="0"/>
        <v>895</v>
      </c>
      <c r="H48" s="46">
        <f t="shared" si="1"/>
        <v>6</v>
      </c>
      <c r="I48" s="166"/>
      <c r="J48" s="159"/>
      <c r="K48" s="160"/>
      <c r="L48" s="46"/>
      <c r="M48" s="166"/>
      <c r="N48" s="159">
        <f t="shared" si="2"/>
        <v>615</v>
      </c>
      <c r="O48" s="160"/>
      <c r="P48" s="46">
        <v>2</v>
      </c>
      <c r="Q48" s="196"/>
      <c r="R48" s="198"/>
      <c r="S48" s="200"/>
      <c r="T48" s="46">
        <f t="shared" si="3"/>
        <v>8</v>
      </c>
      <c r="U48" s="196"/>
      <c r="V48" s="198"/>
      <c r="W48" s="192"/>
      <c r="X48" s="193"/>
      <c r="Y48" s="194"/>
      <c r="Z48" s="46">
        <f t="shared" si="4"/>
        <v>5</v>
      </c>
      <c r="AA48" s="52"/>
      <c r="AB48">
        <f t="shared" si="5"/>
        <v>1000</v>
      </c>
      <c r="AC48">
        <f t="shared" si="6"/>
        <v>750</v>
      </c>
      <c r="AD48">
        <f t="shared" si="7"/>
        <v>3500</v>
      </c>
      <c r="AE48">
        <f t="shared" si="8"/>
        <v>3.5</v>
      </c>
      <c r="AF48" s="111">
        <f t="shared" si="9"/>
        <v>4.0249999999999995</v>
      </c>
      <c r="AG48" s="112">
        <f t="shared" si="10"/>
        <v>5</v>
      </c>
      <c r="AH48">
        <f t="shared" si="11"/>
        <v>3300</v>
      </c>
      <c r="AI48">
        <f t="shared" si="12"/>
        <v>3.3</v>
      </c>
      <c r="AJ48" s="111">
        <f t="shared" si="13"/>
        <v>3.7949999999999995</v>
      </c>
      <c r="AK48" s="115">
        <f t="shared" si="14"/>
        <v>4</v>
      </c>
    </row>
    <row r="49" spans="1:37">
      <c r="A49" s="42" t="str">
        <f>'1. 소켓인수검사'!A50</f>
        <v>81</v>
      </c>
      <c r="B49" s="56" t="s">
        <v>1</v>
      </c>
      <c r="C49" s="48">
        <f>'1. 소켓인수검사'!C50</f>
        <v>900</v>
      </c>
      <c r="D49" s="48">
        <f>'1. 소켓인수검사'!D50</f>
        <v>700</v>
      </c>
      <c r="E49" s="44"/>
      <c r="F49" s="166"/>
      <c r="G49" s="45">
        <f t="shared" si="0"/>
        <v>895</v>
      </c>
      <c r="H49" s="46">
        <f t="shared" si="1"/>
        <v>6</v>
      </c>
      <c r="I49" s="166"/>
      <c r="J49" s="159"/>
      <c r="K49" s="160"/>
      <c r="L49" s="46"/>
      <c r="M49" s="166"/>
      <c r="N49" s="159">
        <f t="shared" si="2"/>
        <v>665</v>
      </c>
      <c r="O49" s="160"/>
      <c r="P49" s="46">
        <v>2</v>
      </c>
      <c r="Q49" s="196"/>
      <c r="R49" s="198"/>
      <c r="S49" s="200"/>
      <c r="T49" s="46">
        <f t="shared" si="3"/>
        <v>8</v>
      </c>
      <c r="U49" s="196"/>
      <c r="V49" s="198"/>
      <c r="W49" s="192"/>
      <c r="X49" s="193"/>
      <c r="Y49" s="194"/>
      <c r="Z49" s="46">
        <f t="shared" si="4"/>
        <v>5</v>
      </c>
      <c r="AA49" s="52"/>
      <c r="AB49">
        <f t="shared" si="5"/>
        <v>1000</v>
      </c>
      <c r="AC49">
        <f t="shared" si="6"/>
        <v>800</v>
      </c>
      <c r="AD49">
        <f t="shared" si="7"/>
        <v>3600</v>
      </c>
      <c r="AE49">
        <f t="shared" si="8"/>
        <v>3.6</v>
      </c>
      <c r="AF49" s="111">
        <f t="shared" si="9"/>
        <v>4.1399999999999997</v>
      </c>
      <c r="AG49" s="112">
        <f t="shared" si="10"/>
        <v>5</v>
      </c>
      <c r="AH49">
        <f t="shared" si="11"/>
        <v>3400</v>
      </c>
      <c r="AI49">
        <f t="shared" si="12"/>
        <v>3.4</v>
      </c>
      <c r="AJ49" s="111">
        <f t="shared" si="13"/>
        <v>3.9099999999999997</v>
      </c>
      <c r="AK49" s="115">
        <f t="shared" si="14"/>
        <v>4</v>
      </c>
    </row>
    <row r="50" spans="1:37">
      <c r="A50" s="42" t="str">
        <f>'1. 소켓인수검사'!A51</f>
        <v>82</v>
      </c>
      <c r="B50" s="56" t="s">
        <v>1</v>
      </c>
      <c r="C50" s="48">
        <f>'1. 소켓인수검사'!C51</f>
        <v>900</v>
      </c>
      <c r="D50" s="48">
        <f>'1. 소켓인수검사'!D51</f>
        <v>700</v>
      </c>
      <c r="E50" s="44"/>
      <c r="F50" s="166"/>
      <c r="G50" s="45">
        <f t="shared" si="0"/>
        <v>895</v>
      </c>
      <c r="H50" s="46">
        <f t="shared" si="1"/>
        <v>6</v>
      </c>
      <c r="I50" s="166"/>
      <c r="J50" s="159"/>
      <c r="K50" s="160"/>
      <c r="L50" s="46"/>
      <c r="M50" s="166"/>
      <c r="N50" s="159">
        <f t="shared" si="2"/>
        <v>665</v>
      </c>
      <c r="O50" s="160"/>
      <c r="P50" s="46">
        <v>2</v>
      </c>
      <c r="Q50" s="196"/>
      <c r="R50" s="198"/>
      <c r="S50" s="200"/>
      <c r="T50" s="46">
        <f t="shared" si="3"/>
        <v>8</v>
      </c>
      <c r="U50" s="196"/>
      <c r="V50" s="198"/>
      <c r="W50" s="192"/>
      <c r="X50" s="193"/>
      <c r="Y50" s="194"/>
      <c r="Z50" s="46">
        <f t="shared" si="4"/>
        <v>5</v>
      </c>
      <c r="AA50" s="52"/>
      <c r="AB50">
        <f t="shared" si="5"/>
        <v>1000</v>
      </c>
      <c r="AC50">
        <f t="shared" si="6"/>
        <v>800</v>
      </c>
      <c r="AD50">
        <f t="shared" si="7"/>
        <v>3600</v>
      </c>
      <c r="AE50">
        <f t="shared" si="8"/>
        <v>3.6</v>
      </c>
      <c r="AF50" s="111">
        <f t="shared" si="9"/>
        <v>4.1399999999999997</v>
      </c>
      <c r="AG50" s="112">
        <f t="shared" si="10"/>
        <v>5</v>
      </c>
      <c r="AH50">
        <f t="shared" si="11"/>
        <v>3400</v>
      </c>
      <c r="AI50">
        <f t="shared" si="12"/>
        <v>3.4</v>
      </c>
      <c r="AJ50" s="111">
        <f t="shared" si="13"/>
        <v>3.9099999999999997</v>
      </c>
      <c r="AK50" s="115">
        <f t="shared" si="14"/>
        <v>4</v>
      </c>
    </row>
    <row r="51" spans="1:37">
      <c r="A51" s="42" t="str">
        <f>'1. 소켓인수검사'!A52</f>
        <v>83</v>
      </c>
      <c r="B51" s="56" t="s">
        <v>1</v>
      </c>
      <c r="C51" s="48">
        <f>'1. 소켓인수검사'!C52</f>
        <v>1000</v>
      </c>
      <c r="D51" s="48">
        <f>'1. 소켓인수검사'!D52</f>
        <v>550</v>
      </c>
      <c r="E51" s="44"/>
      <c r="F51" s="166"/>
      <c r="G51" s="45">
        <f t="shared" si="0"/>
        <v>995</v>
      </c>
      <c r="H51" s="46">
        <f t="shared" si="1"/>
        <v>6</v>
      </c>
      <c r="I51" s="166"/>
      <c r="J51" s="159"/>
      <c r="K51" s="160"/>
      <c r="L51" s="46"/>
      <c r="M51" s="166"/>
      <c r="N51" s="159">
        <f t="shared" si="2"/>
        <v>515</v>
      </c>
      <c r="O51" s="160"/>
      <c r="P51" s="46">
        <v>2</v>
      </c>
      <c r="Q51" s="196"/>
      <c r="R51" s="198"/>
      <c r="S51" s="200"/>
      <c r="T51" s="46">
        <f t="shared" si="3"/>
        <v>8</v>
      </c>
      <c r="U51" s="196"/>
      <c r="V51" s="198"/>
      <c r="W51" s="192"/>
      <c r="X51" s="193"/>
      <c r="Y51" s="194"/>
      <c r="Z51" s="46">
        <f t="shared" si="4"/>
        <v>5</v>
      </c>
      <c r="AA51" s="52"/>
      <c r="AB51">
        <f t="shared" si="5"/>
        <v>1100</v>
      </c>
      <c r="AC51">
        <f t="shared" si="6"/>
        <v>650</v>
      </c>
      <c r="AD51">
        <f t="shared" si="7"/>
        <v>3500</v>
      </c>
      <c r="AE51">
        <f t="shared" si="8"/>
        <v>3.5</v>
      </c>
      <c r="AF51" s="111">
        <f t="shared" si="9"/>
        <v>4.0249999999999995</v>
      </c>
      <c r="AG51" s="112">
        <f t="shared" si="10"/>
        <v>5</v>
      </c>
      <c r="AH51">
        <f t="shared" si="11"/>
        <v>3300</v>
      </c>
      <c r="AI51">
        <f t="shared" si="12"/>
        <v>3.3</v>
      </c>
      <c r="AJ51" s="111">
        <f t="shared" si="13"/>
        <v>3.7949999999999995</v>
      </c>
      <c r="AK51" s="115">
        <f t="shared" si="14"/>
        <v>4</v>
      </c>
    </row>
    <row r="52" spans="1:37">
      <c r="A52" s="42" t="str">
        <f>'1. 소켓인수검사'!A53</f>
        <v>84</v>
      </c>
      <c r="B52" s="56" t="s">
        <v>1</v>
      </c>
      <c r="C52" s="48">
        <f>'1. 소켓인수검사'!C53</f>
        <v>1000</v>
      </c>
      <c r="D52" s="48">
        <f>'1. 소켓인수검사'!D53</f>
        <v>550</v>
      </c>
      <c r="E52" s="44"/>
      <c r="F52" s="166"/>
      <c r="G52" s="45">
        <f t="shared" si="0"/>
        <v>995</v>
      </c>
      <c r="H52" s="46">
        <f t="shared" si="1"/>
        <v>6</v>
      </c>
      <c r="I52" s="166"/>
      <c r="J52" s="159"/>
      <c r="K52" s="160"/>
      <c r="L52" s="46"/>
      <c r="M52" s="166"/>
      <c r="N52" s="159">
        <f t="shared" si="2"/>
        <v>515</v>
      </c>
      <c r="O52" s="160"/>
      <c r="P52" s="46">
        <v>2</v>
      </c>
      <c r="Q52" s="196"/>
      <c r="R52" s="198"/>
      <c r="S52" s="200"/>
      <c r="T52" s="46">
        <f t="shared" si="3"/>
        <v>8</v>
      </c>
      <c r="U52" s="196"/>
      <c r="V52" s="198"/>
      <c r="W52" s="192"/>
      <c r="X52" s="193"/>
      <c r="Y52" s="194"/>
      <c r="Z52" s="46">
        <f t="shared" si="4"/>
        <v>5</v>
      </c>
      <c r="AA52" s="52"/>
      <c r="AB52">
        <f t="shared" si="5"/>
        <v>1100</v>
      </c>
      <c r="AC52">
        <f t="shared" si="6"/>
        <v>650</v>
      </c>
      <c r="AD52">
        <f t="shared" si="7"/>
        <v>3500</v>
      </c>
      <c r="AE52">
        <f t="shared" si="8"/>
        <v>3.5</v>
      </c>
      <c r="AF52" s="111">
        <f t="shared" si="9"/>
        <v>4.0249999999999995</v>
      </c>
      <c r="AG52" s="112">
        <f t="shared" si="10"/>
        <v>5</v>
      </c>
      <c r="AH52">
        <f t="shared" si="11"/>
        <v>3300</v>
      </c>
      <c r="AI52">
        <f t="shared" si="12"/>
        <v>3.3</v>
      </c>
      <c r="AJ52" s="111">
        <f t="shared" si="13"/>
        <v>3.7949999999999995</v>
      </c>
      <c r="AK52" s="115">
        <f t="shared" si="14"/>
        <v>4</v>
      </c>
    </row>
    <row r="53" spans="1:37">
      <c r="A53" s="42" t="str">
        <f>'1. 소켓인수검사'!A54</f>
        <v>85</v>
      </c>
      <c r="B53" s="56" t="s">
        <v>1</v>
      </c>
      <c r="C53" s="48">
        <f>'1. 소켓인수검사'!C54</f>
        <v>1000</v>
      </c>
      <c r="D53" s="48">
        <f>'1. 소켓인수검사'!D54</f>
        <v>550</v>
      </c>
      <c r="E53" s="44"/>
      <c r="F53" s="166"/>
      <c r="G53" s="45">
        <f t="shared" si="0"/>
        <v>995</v>
      </c>
      <c r="H53" s="46">
        <f t="shared" si="1"/>
        <v>6</v>
      </c>
      <c r="I53" s="166"/>
      <c r="J53" s="159"/>
      <c r="K53" s="160"/>
      <c r="L53" s="46"/>
      <c r="M53" s="166"/>
      <c r="N53" s="159">
        <f t="shared" si="2"/>
        <v>515</v>
      </c>
      <c r="O53" s="160"/>
      <c r="P53" s="46">
        <v>2</v>
      </c>
      <c r="Q53" s="196"/>
      <c r="R53" s="198"/>
      <c r="S53" s="200"/>
      <c r="T53" s="46">
        <f t="shared" si="3"/>
        <v>8</v>
      </c>
      <c r="U53" s="196"/>
      <c r="V53" s="198"/>
      <c r="W53" s="192"/>
      <c r="X53" s="193"/>
      <c r="Y53" s="194"/>
      <c r="Z53" s="46">
        <f t="shared" si="4"/>
        <v>5</v>
      </c>
      <c r="AA53" s="52"/>
      <c r="AB53">
        <f t="shared" si="5"/>
        <v>1100</v>
      </c>
      <c r="AC53">
        <f t="shared" si="6"/>
        <v>650</v>
      </c>
      <c r="AD53">
        <f t="shared" si="7"/>
        <v>3500</v>
      </c>
      <c r="AE53">
        <f t="shared" si="8"/>
        <v>3.5</v>
      </c>
      <c r="AF53" s="111">
        <f t="shared" si="9"/>
        <v>4.0249999999999995</v>
      </c>
      <c r="AG53" s="112">
        <f t="shared" si="10"/>
        <v>5</v>
      </c>
      <c r="AH53">
        <f t="shared" si="11"/>
        <v>3300</v>
      </c>
      <c r="AI53">
        <f t="shared" si="12"/>
        <v>3.3</v>
      </c>
      <c r="AJ53" s="111">
        <f t="shared" si="13"/>
        <v>3.7949999999999995</v>
      </c>
      <c r="AK53" s="115">
        <f t="shared" si="14"/>
        <v>4</v>
      </c>
    </row>
    <row r="54" spans="1:37">
      <c r="A54" s="42" t="str">
        <f>'1. 소켓인수검사'!A55</f>
        <v>86</v>
      </c>
      <c r="B54" s="56" t="s">
        <v>1</v>
      </c>
      <c r="C54" s="48">
        <f>'1. 소켓인수검사'!C55</f>
        <v>1000</v>
      </c>
      <c r="D54" s="48">
        <f>'1. 소켓인수검사'!D55</f>
        <v>600</v>
      </c>
      <c r="E54" s="44"/>
      <c r="F54" s="166"/>
      <c r="G54" s="45">
        <f t="shared" si="0"/>
        <v>995</v>
      </c>
      <c r="H54" s="46">
        <f t="shared" si="1"/>
        <v>6</v>
      </c>
      <c r="I54" s="166"/>
      <c r="J54" s="159"/>
      <c r="K54" s="160"/>
      <c r="L54" s="46"/>
      <c r="M54" s="166"/>
      <c r="N54" s="159">
        <f t="shared" si="2"/>
        <v>565</v>
      </c>
      <c r="O54" s="160"/>
      <c r="P54" s="46">
        <v>2</v>
      </c>
      <c r="Q54" s="196"/>
      <c r="R54" s="198"/>
      <c r="S54" s="200"/>
      <c r="T54" s="46">
        <f t="shared" si="3"/>
        <v>8</v>
      </c>
      <c r="U54" s="196"/>
      <c r="V54" s="198"/>
      <c r="W54" s="192"/>
      <c r="X54" s="193"/>
      <c r="Y54" s="194"/>
      <c r="Z54" s="46">
        <f t="shared" si="4"/>
        <v>5</v>
      </c>
      <c r="AA54" s="52"/>
      <c r="AB54">
        <f t="shared" si="5"/>
        <v>1100</v>
      </c>
      <c r="AC54">
        <f t="shared" si="6"/>
        <v>700</v>
      </c>
      <c r="AD54">
        <f t="shared" si="7"/>
        <v>3600</v>
      </c>
      <c r="AE54">
        <f t="shared" si="8"/>
        <v>3.6</v>
      </c>
      <c r="AF54" s="111">
        <f t="shared" si="9"/>
        <v>4.1399999999999997</v>
      </c>
      <c r="AG54" s="112">
        <f t="shared" si="10"/>
        <v>5</v>
      </c>
      <c r="AH54">
        <f t="shared" si="11"/>
        <v>3400</v>
      </c>
      <c r="AI54">
        <f t="shared" si="12"/>
        <v>3.4</v>
      </c>
      <c r="AJ54" s="111">
        <f t="shared" si="13"/>
        <v>3.9099999999999997</v>
      </c>
      <c r="AK54" s="115">
        <f t="shared" si="14"/>
        <v>4</v>
      </c>
    </row>
    <row r="55" spans="1:37">
      <c r="A55" s="42" t="str">
        <f>'1. 소켓인수검사'!A56</f>
        <v>87</v>
      </c>
      <c r="B55" s="56" t="s">
        <v>1</v>
      </c>
      <c r="C55" s="48">
        <f>'1. 소켓인수검사'!C56</f>
        <v>1000</v>
      </c>
      <c r="D55" s="48">
        <f>'1. 소켓인수검사'!D56</f>
        <v>600</v>
      </c>
      <c r="E55" s="44"/>
      <c r="F55" s="166"/>
      <c r="G55" s="45">
        <f t="shared" si="0"/>
        <v>995</v>
      </c>
      <c r="H55" s="46">
        <f t="shared" si="1"/>
        <v>6</v>
      </c>
      <c r="I55" s="166"/>
      <c r="J55" s="159"/>
      <c r="K55" s="160"/>
      <c r="L55" s="46"/>
      <c r="M55" s="166"/>
      <c r="N55" s="159">
        <f t="shared" si="2"/>
        <v>565</v>
      </c>
      <c r="O55" s="160"/>
      <c r="P55" s="46">
        <v>2</v>
      </c>
      <c r="Q55" s="196"/>
      <c r="R55" s="198"/>
      <c r="S55" s="200"/>
      <c r="T55" s="46">
        <f t="shared" si="3"/>
        <v>8</v>
      </c>
      <c r="U55" s="196"/>
      <c r="V55" s="198"/>
      <c r="W55" s="192"/>
      <c r="X55" s="193"/>
      <c r="Y55" s="194"/>
      <c r="Z55" s="46">
        <f t="shared" si="4"/>
        <v>5</v>
      </c>
      <c r="AA55" s="52"/>
      <c r="AB55">
        <f t="shared" si="5"/>
        <v>1100</v>
      </c>
      <c r="AC55">
        <f t="shared" si="6"/>
        <v>700</v>
      </c>
      <c r="AD55">
        <f t="shared" si="7"/>
        <v>3600</v>
      </c>
      <c r="AE55">
        <f t="shared" si="8"/>
        <v>3.6</v>
      </c>
      <c r="AF55" s="111">
        <f t="shared" si="9"/>
        <v>4.1399999999999997</v>
      </c>
      <c r="AG55" s="112">
        <f t="shared" si="10"/>
        <v>5</v>
      </c>
      <c r="AH55">
        <f t="shared" si="11"/>
        <v>3400</v>
      </c>
      <c r="AI55">
        <f t="shared" si="12"/>
        <v>3.4</v>
      </c>
      <c r="AJ55" s="111">
        <f t="shared" si="13"/>
        <v>3.9099999999999997</v>
      </c>
      <c r="AK55" s="115">
        <f t="shared" si="14"/>
        <v>4</v>
      </c>
    </row>
    <row r="56" spans="1:37">
      <c r="A56" s="42" t="str">
        <f>'1. 소켓인수검사'!A57</f>
        <v>88</v>
      </c>
      <c r="B56" s="56" t="s">
        <v>1</v>
      </c>
      <c r="C56" s="48">
        <f>'1. 소켓인수검사'!C57</f>
        <v>1000</v>
      </c>
      <c r="D56" s="48">
        <f>'1. 소켓인수검사'!D57</f>
        <v>600</v>
      </c>
      <c r="E56" s="44"/>
      <c r="F56" s="166"/>
      <c r="G56" s="45">
        <f t="shared" si="0"/>
        <v>995</v>
      </c>
      <c r="H56" s="46">
        <f t="shared" si="1"/>
        <v>6</v>
      </c>
      <c r="I56" s="166"/>
      <c r="J56" s="159"/>
      <c r="K56" s="160"/>
      <c r="L56" s="46"/>
      <c r="M56" s="166"/>
      <c r="N56" s="159">
        <f t="shared" si="2"/>
        <v>565</v>
      </c>
      <c r="O56" s="160"/>
      <c r="P56" s="46">
        <v>2</v>
      </c>
      <c r="Q56" s="196"/>
      <c r="R56" s="198"/>
      <c r="S56" s="200"/>
      <c r="T56" s="46">
        <f t="shared" si="3"/>
        <v>8</v>
      </c>
      <c r="U56" s="196"/>
      <c r="V56" s="198"/>
      <c r="W56" s="192"/>
      <c r="X56" s="193"/>
      <c r="Y56" s="194"/>
      <c r="Z56" s="46">
        <f t="shared" si="4"/>
        <v>5</v>
      </c>
      <c r="AA56" s="52"/>
      <c r="AB56">
        <f t="shared" si="5"/>
        <v>1100</v>
      </c>
      <c r="AC56">
        <f t="shared" si="6"/>
        <v>700</v>
      </c>
      <c r="AD56">
        <f t="shared" si="7"/>
        <v>3600</v>
      </c>
      <c r="AE56">
        <f t="shared" si="8"/>
        <v>3.6</v>
      </c>
      <c r="AF56" s="111">
        <f t="shared" si="9"/>
        <v>4.1399999999999997</v>
      </c>
      <c r="AG56" s="112">
        <f t="shared" si="10"/>
        <v>5</v>
      </c>
      <c r="AH56">
        <f t="shared" si="11"/>
        <v>3400</v>
      </c>
      <c r="AI56">
        <f t="shared" si="12"/>
        <v>3.4</v>
      </c>
      <c r="AJ56" s="111">
        <f t="shared" si="13"/>
        <v>3.9099999999999997</v>
      </c>
      <c r="AK56" s="115">
        <f t="shared" si="14"/>
        <v>4</v>
      </c>
    </row>
    <row r="57" spans="1:37">
      <c r="A57" s="213" t="s">
        <v>25</v>
      </c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54">
        <f>SUM(T8:T56)</f>
        <v>362</v>
      </c>
      <c r="U57" s="88"/>
      <c r="V57" s="89"/>
      <c r="W57" s="215"/>
      <c r="X57" s="215"/>
      <c r="Y57" s="215"/>
      <c r="Z57" s="54">
        <f>SUM(Z8:Z56)</f>
        <v>194</v>
      </c>
      <c r="AA57" s="52"/>
    </row>
    <row r="58" spans="1:37" ht="8.1" customHeight="1">
      <c r="A58" s="173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5"/>
      <c r="N58" s="5"/>
      <c r="O58" s="5"/>
      <c r="P58" s="5"/>
      <c r="AA58" s="5"/>
    </row>
    <row r="59" spans="1:37">
      <c r="A59" s="203" t="s">
        <v>6</v>
      </c>
      <c r="B59" s="203"/>
      <c r="C59" s="203"/>
      <c r="D59" s="204" t="s">
        <v>165</v>
      </c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6"/>
    </row>
    <row r="60" spans="1:37">
      <c r="A60" s="203"/>
      <c r="B60" s="203"/>
      <c r="C60" s="203"/>
      <c r="D60" s="207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9"/>
    </row>
    <row r="61" spans="1:37">
      <c r="A61" s="203"/>
      <c r="B61" s="203"/>
      <c r="C61" s="203"/>
      <c r="D61" s="207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9"/>
    </row>
    <row r="62" spans="1:37">
      <c r="A62" s="203"/>
      <c r="B62" s="203"/>
      <c r="C62" s="203"/>
      <c r="D62" s="207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9"/>
    </row>
    <row r="63" spans="1:37">
      <c r="A63" s="203"/>
      <c r="B63" s="203"/>
      <c r="C63" s="203"/>
      <c r="D63" s="207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9"/>
    </row>
    <row r="64" spans="1:37">
      <c r="A64" s="203"/>
      <c r="B64" s="203"/>
      <c r="C64" s="203"/>
      <c r="D64" s="210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2"/>
    </row>
  </sheetData>
  <mergeCells count="133">
    <mergeCell ref="A58:L58"/>
    <mergeCell ref="A59:C64"/>
    <mergeCell ref="D59:AA64"/>
    <mergeCell ref="A57:S57"/>
    <mergeCell ref="W57:Y57"/>
    <mergeCell ref="J49:K49"/>
    <mergeCell ref="J25:K25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50:K50"/>
    <mergeCell ref="J51:K51"/>
    <mergeCell ref="J52:K52"/>
    <mergeCell ref="J53:K53"/>
    <mergeCell ref="J34:K34"/>
    <mergeCell ref="J35:K35"/>
    <mergeCell ref="Q5:Z5"/>
    <mergeCell ref="AA5:AA7"/>
    <mergeCell ref="C6:C7"/>
    <mergeCell ref="D6:D7"/>
    <mergeCell ref="F6:H6"/>
    <mergeCell ref="I6:L6"/>
    <mergeCell ref="Q6:T6"/>
    <mergeCell ref="U6:Z6"/>
    <mergeCell ref="J7:K7"/>
    <mergeCell ref="W7:Y7"/>
    <mergeCell ref="A1:D3"/>
    <mergeCell ref="A4:L4"/>
    <mergeCell ref="A5:A7"/>
    <mergeCell ref="B5:B7"/>
    <mergeCell ref="C5:D5"/>
    <mergeCell ref="E5:E7"/>
    <mergeCell ref="J9:K9"/>
    <mergeCell ref="J10:K10"/>
    <mergeCell ref="I8:I56"/>
    <mergeCell ref="F8:F56"/>
    <mergeCell ref="F2:I3"/>
    <mergeCell ref="J2:AA3"/>
    <mergeCell ref="W8:Y56"/>
    <mergeCell ref="Q8:Q56"/>
    <mergeCell ref="R8:R56"/>
    <mergeCell ref="S8:S56"/>
    <mergeCell ref="U8:U56"/>
    <mergeCell ref="V8:V56"/>
    <mergeCell ref="J36:K36"/>
    <mergeCell ref="J24:K24"/>
    <mergeCell ref="J11:K11"/>
    <mergeCell ref="J12:K12"/>
    <mergeCell ref="J13:K13"/>
    <mergeCell ref="J14:K14"/>
    <mergeCell ref="J55:K55"/>
    <mergeCell ref="J56:K56"/>
    <mergeCell ref="M6:P6"/>
    <mergeCell ref="N7:O7"/>
    <mergeCell ref="M8:M56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J37:K37"/>
    <mergeCell ref="J32:K32"/>
    <mergeCell ref="J33:K33"/>
    <mergeCell ref="J20:K20"/>
    <mergeCell ref="J21:K21"/>
    <mergeCell ref="J8:K8"/>
    <mergeCell ref="N27:O27"/>
    <mergeCell ref="N28:O28"/>
    <mergeCell ref="N29:O29"/>
    <mergeCell ref="J15:K15"/>
    <mergeCell ref="J16:K16"/>
    <mergeCell ref="J17:K17"/>
    <mergeCell ref="J18:K18"/>
    <mergeCell ref="J19:K19"/>
    <mergeCell ref="J54:K54"/>
    <mergeCell ref="J26:K26"/>
    <mergeCell ref="J27:K27"/>
    <mergeCell ref="J28:K28"/>
    <mergeCell ref="J29:K29"/>
    <mergeCell ref="J30:K30"/>
    <mergeCell ref="J31:K31"/>
    <mergeCell ref="J22:K22"/>
    <mergeCell ref="J23:K23"/>
    <mergeCell ref="N56:O56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F5:P5"/>
    <mergeCell ref="N48:O48"/>
    <mergeCell ref="N49:O49"/>
    <mergeCell ref="N50:O50"/>
    <mergeCell ref="N51:O51"/>
    <mergeCell ref="N52:O52"/>
    <mergeCell ref="N53:O53"/>
    <mergeCell ref="N54:O54"/>
    <mergeCell ref="N55:O55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21:O21"/>
    <mergeCell ref="N22:O22"/>
    <mergeCell ref="N23:O23"/>
    <mergeCell ref="N24:O24"/>
    <mergeCell ref="N25:O25"/>
    <mergeCell ref="N26:O26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57"/>
  <sheetViews>
    <sheetView view="pageBreakPreview" zoomScale="85" zoomScaleNormal="85" zoomScaleSheetLayoutView="85" workbookViewId="0">
      <pane ySplit="7" topLeftCell="A8" activePane="bottomLeft" state="frozen"/>
      <selection pane="bottomLeft" activeCell="A57" sqref="A57:XFD127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232"/>
      <c r="B1" s="233"/>
      <c r="C1" s="233"/>
      <c r="D1" s="233"/>
      <c r="E1" s="233"/>
      <c r="F1" s="103"/>
      <c r="G1" s="240" t="s">
        <v>81</v>
      </c>
      <c r="H1" s="240"/>
      <c r="I1" s="240"/>
      <c r="J1" s="240"/>
      <c r="K1" s="240"/>
      <c r="L1" s="240"/>
      <c r="M1" s="218" t="str">
        <f>'1. 소켓인수검사'!R1</f>
        <v>26.06.11 웰스홈_신승에프엔티_에이치제이종합건설_조선대학교 감염병 전문병원(입상)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9"/>
    </row>
    <row r="2" spans="1:51" ht="41.25">
      <c r="A2" s="234"/>
      <c r="B2" s="235"/>
      <c r="C2" s="235"/>
      <c r="D2" s="235"/>
      <c r="E2" s="235"/>
      <c r="F2" s="36"/>
      <c r="G2" s="241"/>
      <c r="H2" s="241"/>
      <c r="I2" s="241"/>
      <c r="J2" s="241"/>
      <c r="K2" s="241"/>
      <c r="L2" s="241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1"/>
    </row>
    <row r="3" spans="1:51" ht="42" thickBot="1">
      <c r="A3" s="236"/>
      <c r="B3" s="237"/>
      <c r="C3" s="237"/>
      <c r="D3" s="237"/>
      <c r="E3" s="237"/>
      <c r="F3" s="104"/>
      <c r="G3" s="242"/>
      <c r="H3" s="242"/>
      <c r="I3" s="242"/>
      <c r="J3" s="242"/>
      <c r="K3" s="242"/>
      <c r="L3" s="24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3"/>
    </row>
    <row r="4" spans="1:51" ht="8.1" customHeight="1" thickTop="1">
      <c r="A4" s="238"/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38"/>
      <c r="AQ4" s="38"/>
      <c r="AR4" s="38"/>
      <c r="AS4" s="38"/>
      <c r="AT4" s="38"/>
      <c r="AU4" s="38"/>
      <c r="AV4" s="38"/>
      <c r="AW4" s="38"/>
      <c r="AX4" s="38"/>
      <c r="AY4" s="38"/>
    </row>
    <row r="5" spans="1:51" ht="21" customHeight="1">
      <c r="A5" s="239" t="s">
        <v>27</v>
      </c>
      <c r="B5" s="117"/>
      <c r="C5" s="231" t="s">
        <v>26</v>
      </c>
      <c r="D5" s="231"/>
      <c r="E5" s="231" t="s">
        <v>39</v>
      </c>
      <c r="F5" s="231" t="s">
        <v>43</v>
      </c>
      <c r="G5" s="231" t="s">
        <v>46</v>
      </c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1"/>
      <c r="AO5" s="119" t="s">
        <v>12</v>
      </c>
      <c r="AP5" s="231" t="s">
        <v>46</v>
      </c>
      <c r="AQ5" s="231"/>
      <c r="AR5" s="231"/>
      <c r="AS5" s="231"/>
      <c r="AT5" s="231"/>
      <c r="AU5" s="231"/>
      <c r="AV5" s="231"/>
      <c r="AW5" s="231"/>
      <c r="AX5" s="231"/>
      <c r="AY5" s="231"/>
    </row>
    <row r="6" spans="1:51" ht="21" customHeight="1">
      <c r="A6" s="239"/>
      <c r="B6" s="231" t="s">
        <v>32</v>
      </c>
      <c r="C6" s="231" t="s">
        <v>28</v>
      </c>
      <c r="D6" s="231" t="s">
        <v>16</v>
      </c>
      <c r="E6" s="231"/>
      <c r="F6" s="231"/>
      <c r="G6" s="231" t="s">
        <v>11</v>
      </c>
      <c r="H6" s="231"/>
      <c r="I6" s="231"/>
      <c r="J6" s="231"/>
      <c r="K6" s="231" t="s">
        <v>14</v>
      </c>
      <c r="L6" s="231"/>
      <c r="M6" s="231"/>
      <c r="N6" s="231"/>
      <c r="O6" s="231"/>
      <c r="P6" s="231"/>
      <c r="Q6" s="231" t="s">
        <v>108</v>
      </c>
      <c r="R6" s="231"/>
      <c r="S6" s="231"/>
      <c r="T6" s="231"/>
      <c r="U6" s="231"/>
      <c r="V6" s="231"/>
      <c r="W6" s="231" t="s">
        <v>13</v>
      </c>
      <c r="X6" s="231"/>
      <c r="Y6" s="231"/>
      <c r="Z6" s="231"/>
      <c r="AA6" s="231"/>
      <c r="AB6" s="231"/>
      <c r="AC6" s="231" t="s">
        <v>66</v>
      </c>
      <c r="AD6" s="231"/>
      <c r="AE6" s="231"/>
      <c r="AF6" s="231"/>
      <c r="AG6" s="231"/>
      <c r="AH6" s="231"/>
      <c r="AI6" s="231" t="s">
        <v>72</v>
      </c>
      <c r="AJ6" s="231"/>
      <c r="AK6" s="231"/>
      <c r="AL6" s="231"/>
      <c r="AM6" s="231"/>
      <c r="AN6" s="231"/>
      <c r="AO6" s="119"/>
      <c r="AP6" s="231" t="s">
        <v>57</v>
      </c>
      <c r="AQ6" s="231"/>
      <c r="AR6" s="231"/>
      <c r="AS6" s="231"/>
      <c r="AT6" s="231" t="s">
        <v>59</v>
      </c>
      <c r="AU6" s="231"/>
      <c r="AV6" s="231"/>
      <c r="AW6" s="231"/>
      <c r="AX6" s="231"/>
      <c r="AY6" s="231"/>
    </row>
    <row r="7" spans="1:51" ht="24.75" customHeight="1">
      <c r="A7" s="239"/>
      <c r="B7" s="231"/>
      <c r="C7" s="231"/>
      <c r="D7" s="231"/>
      <c r="E7" s="231"/>
      <c r="F7" s="231"/>
      <c r="G7" s="118" t="s">
        <v>31</v>
      </c>
      <c r="H7" s="118" t="s">
        <v>20</v>
      </c>
      <c r="I7" s="118" t="s">
        <v>26</v>
      </c>
      <c r="J7" s="118" t="s">
        <v>39</v>
      </c>
      <c r="K7" s="118" t="s">
        <v>31</v>
      </c>
      <c r="L7" s="118" t="s">
        <v>20</v>
      </c>
      <c r="M7" s="231" t="s">
        <v>26</v>
      </c>
      <c r="N7" s="231"/>
      <c r="O7" s="231"/>
      <c r="P7" s="118" t="s">
        <v>36</v>
      </c>
      <c r="Q7" s="118" t="s">
        <v>31</v>
      </c>
      <c r="R7" s="118" t="s">
        <v>20</v>
      </c>
      <c r="S7" s="231" t="s">
        <v>26</v>
      </c>
      <c r="T7" s="231"/>
      <c r="U7" s="231"/>
      <c r="V7" s="118" t="s">
        <v>36</v>
      </c>
      <c r="W7" s="118" t="s">
        <v>31</v>
      </c>
      <c r="X7" s="118" t="s">
        <v>20</v>
      </c>
      <c r="Y7" s="231" t="s">
        <v>26</v>
      </c>
      <c r="Z7" s="231"/>
      <c r="AA7" s="231"/>
      <c r="AB7" s="118" t="s">
        <v>36</v>
      </c>
      <c r="AC7" s="118" t="s">
        <v>31</v>
      </c>
      <c r="AD7" s="118" t="s">
        <v>20</v>
      </c>
      <c r="AE7" s="231" t="s">
        <v>26</v>
      </c>
      <c r="AF7" s="231"/>
      <c r="AG7" s="231"/>
      <c r="AH7" s="118" t="s">
        <v>36</v>
      </c>
      <c r="AI7" s="118" t="s">
        <v>31</v>
      </c>
      <c r="AJ7" s="118" t="s">
        <v>20</v>
      </c>
      <c r="AK7" s="231" t="s">
        <v>26</v>
      </c>
      <c r="AL7" s="231"/>
      <c r="AM7" s="231"/>
      <c r="AN7" s="118" t="s">
        <v>36</v>
      </c>
      <c r="AO7" s="119"/>
      <c r="AP7" s="118" t="s">
        <v>31</v>
      </c>
      <c r="AQ7" s="118" t="s">
        <v>20</v>
      </c>
      <c r="AR7" s="118" t="s">
        <v>26</v>
      </c>
      <c r="AS7" s="118" t="s">
        <v>39</v>
      </c>
      <c r="AT7" s="118" t="s">
        <v>31</v>
      </c>
      <c r="AU7" s="118" t="s">
        <v>20</v>
      </c>
      <c r="AV7" s="231" t="s">
        <v>26</v>
      </c>
      <c r="AW7" s="231"/>
      <c r="AX7" s="231"/>
      <c r="AY7" s="118" t="s">
        <v>36</v>
      </c>
    </row>
    <row r="8" spans="1:51" ht="16.5" customHeight="1">
      <c r="A8" s="120" t="str">
        <f>'1. 소켓인수검사'!A9</f>
        <v>40</v>
      </c>
      <c r="B8" s="56" t="s">
        <v>1</v>
      </c>
      <c r="C8" s="46">
        <f>'1. 소켓인수검사'!C9</f>
        <v>350</v>
      </c>
      <c r="D8" s="46">
        <f>'1. 소켓인수검사'!D9</f>
        <v>250</v>
      </c>
      <c r="E8" s="43">
        <v>1</v>
      </c>
      <c r="F8" s="44"/>
      <c r="G8" s="224" t="s">
        <v>78</v>
      </c>
      <c r="H8" s="225">
        <v>60</v>
      </c>
      <c r="I8" s="43">
        <f>(C8)-5</f>
        <v>345</v>
      </c>
      <c r="J8" s="43">
        <v>2</v>
      </c>
      <c r="K8" s="224" t="s">
        <v>78</v>
      </c>
      <c r="L8" s="226">
        <v>274</v>
      </c>
      <c r="M8" s="216">
        <f>C8-5</f>
        <v>345</v>
      </c>
      <c r="N8" s="216" t="e">
        <f>(#REF!-20)/2-10</f>
        <v>#REF!</v>
      </c>
      <c r="O8" s="216" t="e">
        <f>(#REF!-20)/2-10</f>
        <v>#REF!</v>
      </c>
      <c r="P8" s="43">
        <v>2</v>
      </c>
      <c r="Q8" s="228" t="s">
        <v>68</v>
      </c>
      <c r="R8" s="227">
        <v>60</v>
      </c>
      <c r="S8" s="216">
        <f>D8-35</f>
        <v>215</v>
      </c>
      <c r="T8" s="216" t="e">
        <v>#REF!</v>
      </c>
      <c r="U8" s="216">
        <v>-19.5</v>
      </c>
      <c r="V8" s="43">
        <v>4</v>
      </c>
      <c r="W8" s="228" t="s">
        <v>68</v>
      </c>
      <c r="X8" s="227">
        <v>50</v>
      </c>
      <c r="Y8" s="216">
        <f>D8</f>
        <v>250</v>
      </c>
      <c r="Z8" s="216">
        <f>(F8-20)/2-10</f>
        <v>-20</v>
      </c>
      <c r="AA8" s="216" t="e">
        <f>(G8-20)/2-10</f>
        <v>#VALUE!</v>
      </c>
      <c r="AB8" s="43">
        <v>3</v>
      </c>
      <c r="AC8" s="224" t="s">
        <v>78</v>
      </c>
      <c r="AD8" s="229"/>
      <c r="AE8" s="229"/>
      <c r="AF8" s="229"/>
      <c r="AG8" s="229"/>
      <c r="AH8" s="229"/>
      <c r="AI8" s="224" t="s">
        <v>78</v>
      </c>
      <c r="AJ8" s="230"/>
      <c r="AK8" s="230"/>
      <c r="AL8" s="230"/>
      <c r="AM8" s="230"/>
      <c r="AN8" s="230"/>
      <c r="AO8" s="43"/>
      <c r="AP8" s="224" t="s">
        <v>67</v>
      </c>
      <c r="AQ8" s="121">
        <v>260</v>
      </c>
      <c r="AR8" s="122">
        <v>1000</v>
      </c>
      <c r="AS8" s="116">
        <f>'2.1 재단(1.69,064)'!T8/2</f>
        <v>2</v>
      </c>
      <c r="AT8" s="224" t="s">
        <v>67</v>
      </c>
      <c r="AU8" s="123">
        <v>310</v>
      </c>
      <c r="AV8" s="243">
        <v>1000</v>
      </c>
      <c r="AW8" s="243"/>
      <c r="AX8" s="243"/>
      <c r="AY8" s="116">
        <f>'2.1 재단(1.69,064)'!Z8</f>
        <v>2</v>
      </c>
    </row>
    <row r="9" spans="1:51" ht="16.5" customHeight="1">
      <c r="A9" s="120" t="str">
        <f>'1. 소켓인수검사'!A10</f>
        <v>41</v>
      </c>
      <c r="B9" s="56" t="s">
        <v>1</v>
      </c>
      <c r="C9" s="46">
        <f>'1. 소켓인수검사'!C10</f>
        <v>450</v>
      </c>
      <c r="D9" s="46">
        <f>'1. 소켓인수검사'!D10</f>
        <v>300</v>
      </c>
      <c r="E9" s="43">
        <v>1</v>
      </c>
      <c r="F9" s="44"/>
      <c r="G9" s="224"/>
      <c r="H9" s="225"/>
      <c r="I9" s="43">
        <f t="shared" ref="I9:I56" si="0">(C9)-5</f>
        <v>445</v>
      </c>
      <c r="J9" s="43">
        <v>2</v>
      </c>
      <c r="K9" s="224"/>
      <c r="L9" s="226"/>
      <c r="M9" s="216">
        <f t="shared" ref="M9:M56" si="1">C9-5</f>
        <v>445</v>
      </c>
      <c r="N9" s="216" t="e">
        <f>(#REF!-20)/2-10</f>
        <v>#REF!</v>
      </c>
      <c r="O9" s="216" t="e">
        <f>(#REF!-20)/2-10</f>
        <v>#REF!</v>
      </c>
      <c r="P9" s="43">
        <v>2</v>
      </c>
      <c r="Q9" s="228"/>
      <c r="R9" s="227"/>
      <c r="S9" s="216">
        <f t="shared" ref="S9:S56" si="2">D9-35</f>
        <v>265</v>
      </c>
      <c r="T9" s="216" t="e">
        <v>#REF!</v>
      </c>
      <c r="U9" s="216">
        <v>-19.5</v>
      </c>
      <c r="V9" s="43">
        <v>4</v>
      </c>
      <c r="W9" s="228"/>
      <c r="X9" s="227"/>
      <c r="Y9" s="216">
        <f t="shared" ref="Y9:Y37" si="3">D9</f>
        <v>300</v>
      </c>
      <c r="Z9" s="216">
        <f t="shared" ref="Z9:Z37" si="4">(F9-20)/2-10</f>
        <v>-20</v>
      </c>
      <c r="AA9" s="216">
        <f t="shared" ref="AA9:AA37" si="5">(G9-20)/2-10</f>
        <v>-20</v>
      </c>
      <c r="AB9" s="43">
        <v>3</v>
      </c>
      <c r="AC9" s="224"/>
      <c r="AD9" s="229"/>
      <c r="AE9" s="229"/>
      <c r="AF9" s="229"/>
      <c r="AG9" s="229"/>
      <c r="AH9" s="229"/>
      <c r="AI9" s="224"/>
      <c r="AJ9" s="230"/>
      <c r="AK9" s="230"/>
      <c r="AL9" s="230"/>
      <c r="AM9" s="230"/>
      <c r="AN9" s="230"/>
      <c r="AO9" s="43"/>
      <c r="AP9" s="224"/>
      <c r="AQ9" s="121">
        <v>260</v>
      </c>
      <c r="AR9" s="122">
        <v>1000</v>
      </c>
      <c r="AS9" s="116">
        <f>'2.1 재단(1.69,064)'!T9/2</f>
        <v>2</v>
      </c>
      <c r="AT9" s="224"/>
      <c r="AU9" s="123">
        <v>310</v>
      </c>
      <c r="AV9" s="243">
        <v>1000</v>
      </c>
      <c r="AW9" s="243"/>
      <c r="AX9" s="243"/>
      <c r="AY9" s="116">
        <f>'2.1 재단(1.69,064)'!Z9</f>
        <v>3</v>
      </c>
    </row>
    <row r="10" spans="1:51" ht="16.5" customHeight="1">
      <c r="A10" s="120" t="str">
        <f>'1. 소켓인수검사'!A11</f>
        <v>42</v>
      </c>
      <c r="B10" s="56" t="s">
        <v>1</v>
      </c>
      <c r="C10" s="46">
        <f>'1. 소켓인수검사'!C11</f>
        <v>450</v>
      </c>
      <c r="D10" s="46">
        <f>'1. 소켓인수검사'!D11</f>
        <v>350</v>
      </c>
      <c r="E10" s="43">
        <v>1</v>
      </c>
      <c r="F10" s="44"/>
      <c r="G10" s="224"/>
      <c r="H10" s="225"/>
      <c r="I10" s="43">
        <f t="shared" si="0"/>
        <v>445</v>
      </c>
      <c r="J10" s="43">
        <v>2</v>
      </c>
      <c r="K10" s="224"/>
      <c r="L10" s="226"/>
      <c r="M10" s="216">
        <f t="shared" si="1"/>
        <v>445</v>
      </c>
      <c r="N10" s="216" t="e">
        <f>(#REF!-20)/2-10</f>
        <v>#REF!</v>
      </c>
      <c r="O10" s="216" t="e">
        <f>(#REF!-20)/2-10</f>
        <v>#REF!</v>
      </c>
      <c r="P10" s="43">
        <v>2</v>
      </c>
      <c r="Q10" s="228"/>
      <c r="R10" s="227"/>
      <c r="S10" s="216">
        <f t="shared" si="2"/>
        <v>315</v>
      </c>
      <c r="T10" s="216" t="e">
        <v>#REF!</v>
      </c>
      <c r="U10" s="216">
        <v>-19.5</v>
      </c>
      <c r="V10" s="43">
        <v>4</v>
      </c>
      <c r="W10" s="228"/>
      <c r="X10" s="227"/>
      <c r="Y10" s="216">
        <f t="shared" si="3"/>
        <v>350</v>
      </c>
      <c r="Z10" s="216">
        <f t="shared" si="4"/>
        <v>-20</v>
      </c>
      <c r="AA10" s="216">
        <f t="shared" si="5"/>
        <v>-20</v>
      </c>
      <c r="AB10" s="43">
        <v>3</v>
      </c>
      <c r="AC10" s="224"/>
      <c r="AD10" s="229"/>
      <c r="AE10" s="229"/>
      <c r="AF10" s="229"/>
      <c r="AG10" s="229"/>
      <c r="AH10" s="229"/>
      <c r="AI10" s="224"/>
      <c r="AJ10" s="230"/>
      <c r="AK10" s="230"/>
      <c r="AL10" s="230"/>
      <c r="AM10" s="230"/>
      <c r="AN10" s="230"/>
      <c r="AO10" s="43"/>
      <c r="AP10" s="224"/>
      <c r="AQ10" s="121">
        <v>260</v>
      </c>
      <c r="AR10" s="122">
        <v>1000</v>
      </c>
      <c r="AS10" s="116">
        <f>'2.1 재단(1.69,064)'!T10/2</f>
        <v>3</v>
      </c>
      <c r="AT10" s="224"/>
      <c r="AU10" s="123">
        <v>310</v>
      </c>
      <c r="AV10" s="243">
        <v>1000</v>
      </c>
      <c r="AW10" s="243"/>
      <c r="AX10" s="243"/>
      <c r="AY10" s="116">
        <f>'2.1 재단(1.69,064)'!Z10</f>
        <v>3</v>
      </c>
    </row>
    <row r="11" spans="1:51" ht="16.5" customHeight="1">
      <c r="A11" s="120" t="str">
        <f>'1. 소켓인수검사'!A12</f>
        <v>43</v>
      </c>
      <c r="B11" s="56" t="s">
        <v>1</v>
      </c>
      <c r="C11" s="46">
        <f>'1. 소켓인수검사'!C12</f>
        <v>450</v>
      </c>
      <c r="D11" s="46">
        <f>'1. 소켓인수검사'!D12</f>
        <v>350</v>
      </c>
      <c r="E11" s="43">
        <v>1</v>
      </c>
      <c r="F11" s="44"/>
      <c r="G11" s="224"/>
      <c r="H11" s="225"/>
      <c r="I11" s="43">
        <f t="shared" si="0"/>
        <v>445</v>
      </c>
      <c r="J11" s="43">
        <v>2</v>
      </c>
      <c r="K11" s="224"/>
      <c r="L11" s="226"/>
      <c r="M11" s="216">
        <f t="shared" si="1"/>
        <v>445</v>
      </c>
      <c r="N11" s="216" t="e">
        <f>(#REF!-20)/2-10</f>
        <v>#REF!</v>
      </c>
      <c r="O11" s="216" t="e">
        <f>(#REF!-20)/2-10</f>
        <v>#REF!</v>
      </c>
      <c r="P11" s="43">
        <v>2</v>
      </c>
      <c r="Q11" s="228"/>
      <c r="R11" s="227"/>
      <c r="S11" s="216">
        <f t="shared" si="2"/>
        <v>315</v>
      </c>
      <c r="T11" s="216" t="e">
        <v>#REF!</v>
      </c>
      <c r="U11" s="216">
        <v>-19.5</v>
      </c>
      <c r="V11" s="43">
        <v>4</v>
      </c>
      <c r="W11" s="228"/>
      <c r="X11" s="227"/>
      <c r="Y11" s="216">
        <f t="shared" si="3"/>
        <v>350</v>
      </c>
      <c r="Z11" s="216">
        <f t="shared" si="4"/>
        <v>-20</v>
      </c>
      <c r="AA11" s="216">
        <f t="shared" si="5"/>
        <v>-20</v>
      </c>
      <c r="AB11" s="43">
        <v>3</v>
      </c>
      <c r="AC11" s="224"/>
      <c r="AD11" s="229"/>
      <c r="AE11" s="229"/>
      <c r="AF11" s="229"/>
      <c r="AG11" s="229"/>
      <c r="AH11" s="229"/>
      <c r="AI11" s="224"/>
      <c r="AJ11" s="230"/>
      <c r="AK11" s="230"/>
      <c r="AL11" s="230"/>
      <c r="AM11" s="230"/>
      <c r="AN11" s="230"/>
      <c r="AO11" s="43"/>
      <c r="AP11" s="224"/>
      <c r="AQ11" s="121">
        <v>260</v>
      </c>
      <c r="AR11" s="122">
        <v>1000</v>
      </c>
      <c r="AS11" s="116">
        <f>'2.1 재단(1.69,064)'!T11/2</f>
        <v>3</v>
      </c>
      <c r="AT11" s="224"/>
      <c r="AU11" s="123">
        <v>310</v>
      </c>
      <c r="AV11" s="243">
        <v>1000</v>
      </c>
      <c r="AW11" s="243"/>
      <c r="AX11" s="243"/>
      <c r="AY11" s="116">
        <f>'2.1 재단(1.69,064)'!Z11</f>
        <v>3</v>
      </c>
    </row>
    <row r="12" spans="1:51" ht="16.5" customHeight="1">
      <c r="A12" s="120" t="str">
        <f>'1. 소켓인수검사'!A13</f>
        <v>44</v>
      </c>
      <c r="B12" s="56" t="s">
        <v>1</v>
      </c>
      <c r="C12" s="48">
        <f>'1. 소켓인수검사'!C13</f>
        <v>500</v>
      </c>
      <c r="D12" s="48">
        <f>'1. 소켓인수검사'!D13</f>
        <v>500</v>
      </c>
      <c r="E12" s="43">
        <v>1</v>
      </c>
      <c r="F12" s="44"/>
      <c r="G12" s="224"/>
      <c r="H12" s="225"/>
      <c r="I12" s="43">
        <f t="shared" si="0"/>
        <v>495</v>
      </c>
      <c r="J12" s="43">
        <v>2</v>
      </c>
      <c r="K12" s="224"/>
      <c r="L12" s="226"/>
      <c r="M12" s="216">
        <f t="shared" si="1"/>
        <v>495</v>
      </c>
      <c r="N12" s="216" t="e">
        <f>(#REF!-20)/2-10</f>
        <v>#REF!</v>
      </c>
      <c r="O12" s="216" t="e">
        <f>(#REF!-20)/2-10</f>
        <v>#REF!</v>
      </c>
      <c r="P12" s="43">
        <v>2</v>
      </c>
      <c r="Q12" s="228"/>
      <c r="R12" s="227"/>
      <c r="S12" s="216">
        <f t="shared" si="2"/>
        <v>465</v>
      </c>
      <c r="T12" s="216" t="e">
        <v>#REF!</v>
      </c>
      <c r="U12" s="216">
        <v>-19.5</v>
      </c>
      <c r="V12" s="43">
        <v>4</v>
      </c>
      <c r="W12" s="228"/>
      <c r="X12" s="227"/>
      <c r="Y12" s="216">
        <f t="shared" si="3"/>
        <v>500</v>
      </c>
      <c r="Z12" s="216">
        <f t="shared" si="4"/>
        <v>-20</v>
      </c>
      <c r="AA12" s="216">
        <f t="shared" si="5"/>
        <v>-20</v>
      </c>
      <c r="AB12" s="43">
        <v>3</v>
      </c>
      <c r="AC12" s="224"/>
      <c r="AD12" s="229"/>
      <c r="AE12" s="229"/>
      <c r="AF12" s="229"/>
      <c r="AG12" s="229"/>
      <c r="AH12" s="229"/>
      <c r="AI12" s="224"/>
      <c r="AJ12" s="230"/>
      <c r="AK12" s="230"/>
      <c r="AL12" s="230"/>
      <c r="AM12" s="230"/>
      <c r="AN12" s="230"/>
      <c r="AO12" s="43"/>
      <c r="AP12" s="224"/>
      <c r="AQ12" s="121">
        <v>260</v>
      </c>
      <c r="AR12" s="122">
        <v>1000</v>
      </c>
      <c r="AS12" s="116">
        <f>'2.1 재단(1.69,064)'!T12/2</f>
        <v>3</v>
      </c>
      <c r="AT12" s="224"/>
      <c r="AU12" s="123">
        <v>310</v>
      </c>
      <c r="AV12" s="243">
        <v>1000</v>
      </c>
      <c r="AW12" s="243"/>
      <c r="AX12" s="243"/>
      <c r="AY12" s="116">
        <f>'2.1 재단(1.69,064)'!Z12</f>
        <v>3</v>
      </c>
    </row>
    <row r="13" spans="1:51" ht="16.5" customHeight="1">
      <c r="A13" s="120" t="str">
        <f>'1. 소켓인수검사'!A14</f>
        <v>45</v>
      </c>
      <c r="B13" s="56" t="s">
        <v>1</v>
      </c>
      <c r="C13" s="48">
        <f>'1. 소켓인수검사'!C14</f>
        <v>550</v>
      </c>
      <c r="D13" s="48">
        <f>'1. 소켓인수검사'!D14</f>
        <v>350</v>
      </c>
      <c r="E13" s="43">
        <v>1</v>
      </c>
      <c r="F13" s="44"/>
      <c r="G13" s="224"/>
      <c r="H13" s="225"/>
      <c r="I13" s="43">
        <f t="shared" si="0"/>
        <v>545</v>
      </c>
      <c r="J13" s="43">
        <v>2</v>
      </c>
      <c r="K13" s="224"/>
      <c r="L13" s="226"/>
      <c r="M13" s="216">
        <f t="shared" si="1"/>
        <v>545</v>
      </c>
      <c r="N13" s="216" t="e">
        <f>(#REF!-20)/2-10</f>
        <v>#REF!</v>
      </c>
      <c r="O13" s="216" t="e">
        <f>(#REF!-20)/2-10</f>
        <v>#REF!</v>
      </c>
      <c r="P13" s="43">
        <v>2</v>
      </c>
      <c r="Q13" s="228"/>
      <c r="R13" s="227"/>
      <c r="S13" s="216">
        <f t="shared" si="2"/>
        <v>315</v>
      </c>
      <c r="T13" s="216" t="e">
        <v>#REF!</v>
      </c>
      <c r="U13" s="216">
        <v>-19.5</v>
      </c>
      <c r="V13" s="43">
        <v>4</v>
      </c>
      <c r="W13" s="228"/>
      <c r="X13" s="227"/>
      <c r="Y13" s="216">
        <f t="shared" si="3"/>
        <v>350</v>
      </c>
      <c r="Z13" s="216">
        <f t="shared" si="4"/>
        <v>-20</v>
      </c>
      <c r="AA13" s="216">
        <f t="shared" si="5"/>
        <v>-20</v>
      </c>
      <c r="AB13" s="43">
        <v>3</v>
      </c>
      <c r="AC13" s="224"/>
      <c r="AD13" s="229"/>
      <c r="AE13" s="229"/>
      <c r="AF13" s="229"/>
      <c r="AG13" s="229"/>
      <c r="AH13" s="229"/>
      <c r="AI13" s="224"/>
      <c r="AJ13" s="230"/>
      <c r="AK13" s="230"/>
      <c r="AL13" s="230"/>
      <c r="AM13" s="230"/>
      <c r="AN13" s="230"/>
      <c r="AO13" s="43"/>
      <c r="AP13" s="224"/>
      <c r="AQ13" s="121">
        <v>260</v>
      </c>
      <c r="AR13" s="122">
        <v>1000</v>
      </c>
      <c r="AS13" s="116">
        <f>'2.1 재단(1.69,064)'!T13/2</f>
        <v>3</v>
      </c>
      <c r="AT13" s="224"/>
      <c r="AU13" s="123">
        <v>310</v>
      </c>
      <c r="AV13" s="243">
        <v>1000</v>
      </c>
      <c r="AW13" s="243"/>
      <c r="AX13" s="243"/>
      <c r="AY13" s="116">
        <f>'2.1 재단(1.69,064)'!Z13</f>
        <v>3</v>
      </c>
    </row>
    <row r="14" spans="1:51" ht="16.5" customHeight="1">
      <c r="A14" s="120" t="str">
        <f>'1. 소켓인수검사'!A15</f>
        <v>46</v>
      </c>
      <c r="B14" s="56" t="s">
        <v>1</v>
      </c>
      <c r="C14" s="48">
        <f>'1. 소켓인수검사'!C15</f>
        <v>550</v>
      </c>
      <c r="D14" s="48">
        <f>'1. 소켓인수검사'!D15</f>
        <v>350</v>
      </c>
      <c r="E14" s="43">
        <v>1</v>
      </c>
      <c r="F14" s="44"/>
      <c r="G14" s="224"/>
      <c r="H14" s="225"/>
      <c r="I14" s="43">
        <f t="shared" si="0"/>
        <v>545</v>
      </c>
      <c r="J14" s="43">
        <v>2</v>
      </c>
      <c r="K14" s="224"/>
      <c r="L14" s="226"/>
      <c r="M14" s="216">
        <f t="shared" si="1"/>
        <v>545</v>
      </c>
      <c r="N14" s="216" t="e">
        <f>(#REF!-20)/2-10</f>
        <v>#REF!</v>
      </c>
      <c r="O14" s="216" t="e">
        <f>(#REF!-20)/2-10</f>
        <v>#REF!</v>
      </c>
      <c r="P14" s="43">
        <v>2</v>
      </c>
      <c r="Q14" s="228"/>
      <c r="R14" s="227"/>
      <c r="S14" s="216">
        <f t="shared" si="2"/>
        <v>315</v>
      </c>
      <c r="T14" s="216" t="e">
        <v>#REF!</v>
      </c>
      <c r="U14" s="216">
        <v>-19.5</v>
      </c>
      <c r="V14" s="43">
        <v>4</v>
      </c>
      <c r="W14" s="228"/>
      <c r="X14" s="227"/>
      <c r="Y14" s="216">
        <f t="shared" si="3"/>
        <v>350</v>
      </c>
      <c r="Z14" s="216">
        <f t="shared" si="4"/>
        <v>-20</v>
      </c>
      <c r="AA14" s="216">
        <f t="shared" si="5"/>
        <v>-20</v>
      </c>
      <c r="AB14" s="43">
        <v>3</v>
      </c>
      <c r="AC14" s="224"/>
      <c r="AD14" s="229"/>
      <c r="AE14" s="229"/>
      <c r="AF14" s="229"/>
      <c r="AG14" s="229"/>
      <c r="AH14" s="229"/>
      <c r="AI14" s="224"/>
      <c r="AJ14" s="230"/>
      <c r="AK14" s="230"/>
      <c r="AL14" s="230"/>
      <c r="AM14" s="230"/>
      <c r="AN14" s="230"/>
      <c r="AO14" s="43"/>
      <c r="AP14" s="224"/>
      <c r="AQ14" s="121">
        <v>260</v>
      </c>
      <c r="AR14" s="122">
        <v>1000</v>
      </c>
      <c r="AS14" s="116">
        <f>'2.1 재단(1.69,064)'!T14/2</f>
        <v>3</v>
      </c>
      <c r="AT14" s="224"/>
      <c r="AU14" s="123">
        <v>310</v>
      </c>
      <c r="AV14" s="243">
        <v>1000</v>
      </c>
      <c r="AW14" s="243"/>
      <c r="AX14" s="243"/>
      <c r="AY14" s="116">
        <f>'2.1 재단(1.69,064)'!Z14</f>
        <v>3</v>
      </c>
    </row>
    <row r="15" spans="1:51" ht="16.5" customHeight="1">
      <c r="A15" s="120" t="str">
        <f>'1. 소켓인수검사'!A16</f>
        <v>47</v>
      </c>
      <c r="B15" s="56" t="s">
        <v>1</v>
      </c>
      <c r="C15" s="48">
        <f>'1. 소켓인수검사'!C16</f>
        <v>600</v>
      </c>
      <c r="D15" s="48">
        <f>'1. 소켓인수검사'!D16</f>
        <v>300</v>
      </c>
      <c r="E15" s="43">
        <v>1</v>
      </c>
      <c r="F15" s="44"/>
      <c r="G15" s="224"/>
      <c r="H15" s="225"/>
      <c r="I15" s="43">
        <f t="shared" si="0"/>
        <v>595</v>
      </c>
      <c r="J15" s="43">
        <v>2</v>
      </c>
      <c r="K15" s="224"/>
      <c r="L15" s="226"/>
      <c r="M15" s="216">
        <f t="shared" si="1"/>
        <v>595</v>
      </c>
      <c r="N15" s="216" t="e">
        <f>(#REF!-20)/2-10</f>
        <v>#REF!</v>
      </c>
      <c r="O15" s="216" t="e">
        <f>(#REF!-20)/2-10</f>
        <v>#REF!</v>
      </c>
      <c r="P15" s="43">
        <v>2</v>
      </c>
      <c r="Q15" s="228"/>
      <c r="R15" s="227"/>
      <c r="S15" s="216">
        <f t="shared" si="2"/>
        <v>265</v>
      </c>
      <c r="T15" s="216" t="e">
        <v>#REF!</v>
      </c>
      <c r="U15" s="216">
        <v>-19.5</v>
      </c>
      <c r="V15" s="43">
        <v>4</v>
      </c>
      <c r="W15" s="228"/>
      <c r="X15" s="227"/>
      <c r="Y15" s="216">
        <f t="shared" si="3"/>
        <v>300</v>
      </c>
      <c r="Z15" s="216">
        <f t="shared" si="4"/>
        <v>-20</v>
      </c>
      <c r="AA15" s="216">
        <f t="shared" si="5"/>
        <v>-20</v>
      </c>
      <c r="AB15" s="43">
        <v>3</v>
      </c>
      <c r="AC15" s="224"/>
      <c r="AD15" s="229"/>
      <c r="AE15" s="229"/>
      <c r="AF15" s="229"/>
      <c r="AG15" s="229"/>
      <c r="AH15" s="229"/>
      <c r="AI15" s="224"/>
      <c r="AJ15" s="230"/>
      <c r="AK15" s="230"/>
      <c r="AL15" s="230"/>
      <c r="AM15" s="230"/>
      <c r="AN15" s="230"/>
      <c r="AO15" s="43"/>
      <c r="AP15" s="224"/>
      <c r="AQ15" s="121">
        <v>260</v>
      </c>
      <c r="AR15" s="122">
        <v>1000</v>
      </c>
      <c r="AS15" s="116">
        <f>'2.1 재단(1.69,064)'!T15/2</f>
        <v>3</v>
      </c>
      <c r="AT15" s="224"/>
      <c r="AU15" s="123">
        <v>310</v>
      </c>
      <c r="AV15" s="243">
        <v>1000</v>
      </c>
      <c r="AW15" s="243"/>
      <c r="AX15" s="243"/>
      <c r="AY15" s="116">
        <f>'2.1 재단(1.69,064)'!Z15</f>
        <v>3</v>
      </c>
    </row>
    <row r="16" spans="1:51" ht="16.5" customHeight="1">
      <c r="A16" s="120" t="str">
        <f>'1. 소켓인수검사'!A17</f>
        <v>48</v>
      </c>
      <c r="B16" s="56" t="s">
        <v>1</v>
      </c>
      <c r="C16" s="48">
        <f>'1. 소켓인수검사'!C17</f>
        <v>600</v>
      </c>
      <c r="D16" s="48">
        <f>'1. 소켓인수검사'!D17</f>
        <v>300</v>
      </c>
      <c r="E16" s="43">
        <v>1</v>
      </c>
      <c r="F16" s="44"/>
      <c r="G16" s="224"/>
      <c r="H16" s="225"/>
      <c r="I16" s="43">
        <f t="shared" si="0"/>
        <v>595</v>
      </c>
      <c r="J16" s="43">
        <v>2</v>
      </c>
      <c r="K16" s="224"/>
      <c r="L16" s="226"/>
      <c r="M16" s="216">
        <f t="shared" si="1"/>
        <v>595</v>
      </c>
      <c r="N16" s="216" t="e">
        <f>(#REF!-20)/2-10</f>
        <v>#REF!</v>
      </c>
      <c r="O16" s="216" t="e">
        <f>(#REF!-20)/2-10</f>
        <v>#REF!</v>
      </c>
      <c r="P16" s="43">
        <v>2</v>
      </c>
      <c r="Q16" s="228"/>
      <c r="R16" s="227"/>
      <c r="S16" s="216">
        <f t="shared" si="2"/>
        <v>265</v>
      </c>
      <c r="T16" s="216" t="e">
        <v>#REF!</v>
      </c>
      <c r="U16" s="216">
        <v>-19.5</v>
      </c>
      <c r="V16" s="43">
        <v>4</v>
      </c>
      <c r="W16" s="228"/>
      <c r="X16" s="227"/>
      <c r="Y16" s="216">
        <f t="shared" si="3"/>
        <v>300</v>
      </c>
      <c r="Z16" s="216">
        <f t="shared" si="4"/>
        <v>-20</v>
      </c>
      <c r="AA16" s="216">
        <f t="shared" si="5"/>
        <v>-20</v>
      </c>
      <c r="AB16" s="43">
        <v>3</v>
      </c>
      <c r="AC16" s="224"/>
      <c r="AD16" s="229"/>
      <c r="AE16" s="229"/>
      <c r="AF16" s="229"/>
      <c r="AG16" s="229"/>
      <c r="AH16" s="229"/>
      <c r="AI16" s="224"/>
      <c r="AJ16" s="230"/>
      <c r="AK16" s="230"/>
      <c r="AL16" s="230"/>
      <c r="AM16" s="230"/>
      <c r="AN16" s="230"/>
      <c r="AO16" s="43"/>
      <c r="AP16" s="224"/>
      <c r="AQ16" s="121">
        <v>260</v>
      </c>
      <c r="AR16" s="122">
        <v>1000</v>
      </c>
      <c r="AS16" s="116">
        <f>'2.1 재단(1.69,064)'!T16/2</f>
        <v>3</v>
      </c>
      <c r="AT16" s="224"/>
      <c r="AU16" s="123">
        <v>310</v>
      </c>
      <c r="AV16" s="243">
        <v>1000</v>
      </c>
      <c r="AW16" s="243"/>
      <c r="AX16" s="243"/>
      <c r="AY16" s="116">
        <f>'2.1 재단(1.69,064)'!Z16</f>
        <v>3</v>
      </c>
    </row>
    <row r="17" spans="1:51" ht="16.5" customHeight="1">
      <c r="A17" s="120" t="str">
        <f>'1. 소켓인수검사'!A18</f>
        <v>49</v>
      </c>
      <c r="B17" s="56" t="s">
        <v>1</v>
      </c>
      <c r="C17" s="48">
        <f>'1. 소켓인수검사'!C18</f>
        <v>600</v>
      </c>
      <c r="D17" s="48">
        <f>'1. 소켓인수검사'!D18</f>
        <v>450</v>
      </c>
      <c r="E17" s="43">
        <v>1</v>
      </c>
      <c r="F17" s="44"/>
      <c r="G17" s="224"/>
      <c r="H17" s="225"/>
      <c r="I17" s="43">
        <f t="shared" si="0"/>
        <v>595</v>
      </c>
      <c r="J17" s="43">
        <v>2</v>
      </c>
      <c r="K17" s="224"/>
      <c r="L17" s="226"/>
      <c r="M17" s="216">
        <f t="shared" si="1"/>
        <v>595</v>
      </c>
      <c r="N17" s="216" t="e">
        <f>(#REF!-20)/2-10</f>
        <v>#REF!</v>
      </c>
      <c r="O17" s="216" t="e">
        <f>(#REF!-20)/2-10</f>
        <v>#REF!</v>
      </c>
      <c r="P17" s="43">
        <v>2</v>
      </c>
      <c r="Q17" s="228"/>
      <c r="R17" s="227"/>
      <c r="S17" s="216">
        <f t="shared" si="2"/>
        <v>415</v>
      </c>
      <c r="T17" s="216" t="e">
        <v>#REF!</v>
      </c>
      <c r="U17" s="216">
        <v>-19.5</v>
      </c>
      <c r="V17" s="43">
        <v>4</v>
      </c>
      <c r="W17" s="228"/>
      <c r="X17" s="227"/>
      <c r="Y17" s="216">
        <f t="shared" si="3"/>
        <v>450</v>
      </c>
      <c r="Z17" s="216">
        <f t="shared" si="4"/>
        <v>-20</v>
      </c>
      <c r="AA17" s="216">
        <f t="shared" si="5"/>
        <v>-20</v>
      </c>
      <c r="AB17" s="43">
        <v>3</v>
      </c>
      <c r="AC17" s="224"/>
      <c r="AD17" s="229"/>
      <c r="AE17" s="229"/>
      <c r="AF17" s="229"/>
      <c r="AG17" s="229"/>
      <c r="AH17" s="229"/>
      <c r="AI17" s="224"/>
      <c r="AJ17" s="230"/>
      <c r="AK17" s="230"/>
      <c r="AL17" s="230"/>
      <c r="AM17" s="230"/>
      <c r="AN17" s="230"/>
      <c r="AO17" s="43"/>
      <c r="AP17" s="224"/>
      <c r="AQ17" s="121">
        <v>260</v>
      </c>
      <c r="AR17" s="122">
        <v>1000</v>
      </c>
      <c r="AS17" s="116">
        <f>'2.1 재단(1.69,064)'!T17/2</f>
        <v>3</v>
      </c>
      <c r="AT17" s="224"/>
      <c r="AU17" s="123">
        <v>310</v>
      </c>
      <c r="AV17" s="243">
        <v>1000</v>
      </c>
      <c r="AW17" s="243"/>
      <c r="AX17" s="243"/>
      <c r="AY17" s="116">
        <f>'2.1 재단(1.69,064)'!Z17</f>
        <v>3</v>
      </c>
    </row>
    <row r="18" spans="1:51" ht="16.5" customHeight="1">
      <c r="A18" s="120" t="str">
        <f>'1. 소켓인수검사'!A19</f>
        <v>50</v>
      </c>
      <c r="B18" s="56" t="s">
        <v>1</v>
      </c>
      <c r="C18" s="48">
        <f>'1. 소켓인수검사'!C19</f>
        <v>600</v>
      </c>
      <c r="D18" s="48">
        <f>'1. 소켓인수검사'!D19</f>
        <v>600</v>
      </c>
      <c r="E18" s="43">
        <v>1</v>
      </c>
      <c r="F18" s="44"/>
      <c r="G18" s="224"/>
      <c r="H18" s="225"/>
      <c r="I18" s="43">
        <f t="shared" si="0"/>
        <v>595</v>
      </c>
      <c r="J18" s="43">
        <v>2</v>
      </c>
      <c r="K18" s="224"/>
      <c r="L18" s="226"/>
      <c r="M18" s="216">
        <f t="shared" si="1"/>
        <v>595</v>
      </c>
      <c r="N18" s="216" t="e">
        <f>(#REF!-20)/2-10</f>
        <v>#REF!</v>
      </c>
      <c r="O18" s="216" t="e">
        <f>(#REF!-20)/2-10</f>
        <v>#REF!</v>
      </c>
      <c r="P18" s="43">
        <v>2</v>
      </c>
      <c r="Q18" s="228"/>
      <c r="R18" s="227"/>
      <c r="S18" s="216">
        <f t="shared" si="2"/>
        <v>565</v>
      </c>
      <c r="T18" s="216" t="e">
        <v>#REF!</v>
      </c>
      <c r="U18" s="216">
        <v>-19.5</v>
      </c>
      <c r="V18" s="43">
        <v>4</v>
      </c>
      <c r="W18" s="228"/>
      <c r="X18" s="227"/>
      <c r="Y18" s="216">
        <f t="shared" si="3"/>
        <v>600</v>
      </c>
      <c r="Z18" s="216">
        <f t="shared" si="4"/>
        <v>-20</v>
      </c>
      <c r="AA18" s="216">
        <f t="shared" si="5"/>
        <v>-20</v>
      </c>
      <c r="AB18" s="43">
        <v>3</v>
      </c>
      <c r="AC18" s="224"/>
      <c r="AD18" s="229"/>
      <c r="AE18" s="229"/>
      <c r="AF18" s="229"/>
      <c r="AG18" s="229"/>
      <c r="AH18" s="229"/>
      <c r="AI18" s="224"/>
      <c r="AJ18" s="230"/>
      <c r="AK18" s="230"/>
      <c r="AL18" s="230"/>
      <c r="AM18" s="230"/>
      <c r="AN18" s="230"/>
      <c r="AO18" s="43"/>
      <c r="AP18" s="224"/>
      <c r="AQ18" s="121">
        <v>260</v>
      </c>
      <c r="AR18" s="122">
        <v>1000</v>
      </c>
      <c r="AS18" s="116">
        <f>'2.1 재단(1.69,064)'!T18/2</f>
        <v>3</v>
      </c>
      <c r="AT18" s="224"/>
      <c r="AU18" s="123">
        <v>310</v>
      </c>
      <c r="AV18" s="243">
        <v>1000</v>
      </c>
      <c r="AW18" s="243"/>
      <c r="AX18" s="243"/>
      <c r="AY18" s="116">
        <f>'2.1 재단(1.69,064)'!Z18</f>
        <v>4</v>
      </c>
    </row>
    <row r="19" spans="1:51" ht="16.5" customHeight="1">
      <c r="A19" s="120" t="str">
        <f>'1. 소켓인수검사'!A20</f>
        <v>51</v>
      </c>
      <c r="B19" s="56" t="s">
        <v>1</v>
      </c>
      <c r="C19" s="48">
        <f>'1. 소켓인수검사'!C20</f>
        <v>700</v>
      </c>
      <c r="D19" s="48">
        <f>'1. 소켓인수검사'!D20</f>
        <v>600</v>
      </c>
      <c r="E19" s="43">
        <v>1</v>
      </c>
      <c r="F19" s="44"/>
      <c r="G19" s="224"/>
      <c r="H19" s="225"/>
      <c r="I19" s="43">
        <f t="shared" si="0"/>
        <v>695</v>
      </c>
      <c r="J19" s="43">
        <v>2</v>
      </c>
      <c r="K19" s="224"/>
      <c r="L19" s="226"/>
      <c r="M19" s="216">
        <f t="shared" si="1"/>
        <v>695</v>
      </c>
      <c r="N19" s="216" t="e">
        <f>(#REF!-20)/2-10</f>
        <v>#REF!</v>
      </c>
      <c r="O19" s="216" t="e">
        <f>(#REF!-20)/2-10</f>
        <v>#REF!</v>
      </c>
      <c r="P19" s="43">
        <v>2</v>
      </c>
      <c r="Q19" s="228"/>
      <c r="R19" s="227"/>
      <c r="S19" s="216">
        <f t="shared" si="2"/>
        <v>565</v>
      </c>
      <c r="T19" s="216" t="e">
        <v>#REF!</v>
      </c>
      <c r="U19" s="216">
        <v>-19.5</v>
      </c>
      <c r="V19" s="43">
        <v>4</v>
      </c>
      <c r="W19" s="228"/>
      <c r="X19" s="227"/>
      <c r="Y19" s="216">
        <f t="shared" si="3"/>
        <v>600</v>
      </c>
      <c r="Z19" s="216">
        <f t="shared" si="4"/>
        <v>-20</v>
      </c>
      <c r="AA19" s="216">
        <f t="shared" si="5"/>
        <v>-20</v>
      </c>
      <c r="AB19" s="43">
        <v>3</v>
      </c>
      <c r="AC19" s="224"/>
      <c r="AD19" s="229"/>
      <c r="AE19" s="229"/>
      <c r="AF19" s="229"/>
      <c r="AG19" s="229"/>
      <c r="AH19" s="229"/>
      <c r="AI19" s="224"/>
      <c r="AJ19" s="230"/>
      <c r="AK19" s="230"/>
      <c r="AL19" s="230"/>
      <c r="AM19" s="230"/>
      <c r="AN19" s="230"/>
      <c r="AO19" s="43"/>
      <c r="AP19" s="224"/>
      <c r="AQ19" s="121">
        <v>260</v>
      </c>
      <c r="AR19" s="122">
        <v>1000</v>
      </c>
      <c r="AS19" s="116">
        <f>'2.1 재단(1.69,064)'!T19/2</f>
        <v>4</v>
      </c>
      <c r="AT19" s="224"/>
      <c r="AU19" s="123">
        <v>310</v>
      </c>
      <c r="AV19" s="243">
        <v>1000</v>
      </c>
      <c r="AW19" s="243"/>
      <c r="AX19" s="243"/>
      <c r="AY19" s="116">
        <f>'2.1 재단(1.69,064)'!Z19</f>
        <v>4</v>
      </c>
    </row>
    <row r="20" spans="1:51" ht="16.5" customHeight="1">
      <c r="A20" s="120" t="str">
        <f>'1. 소켓인수검사'!A21</f>
        <v>52</v>
      </c>
      <c r="B20" s="56" t="s">
        <v>1</v>
      </c>
      <c r="C20" s="48">
        <f>'1. 소켓인수검사'!C21</f>
        <v>700</v>
      </c>
      <c r="D20" s="48">
        <f>'1. 소켓인수검사'!D21</f>
        <v>600</v>
      </c>
      <c r="E20" s="43">
        <v>1</v>
      </c>
      <c r="F20" s="44"/>
      <c r="G20" s="224"/>
      <c r="H20" s="225"/>
      <c r="I20" s="43">
        <f t="shared" si="0"/>
        <v>695</v>
      </c>
      <c r="J20" s="43">
        <v>2</v>
      </c>
      <c r="K20" s="224"/>
      <c r="L20" s="226"/>
      <c r="M20" s="216">
        <f t="shared" si="1"/>
        <v>695</v>
      </c>
      <c r="N20" s="216" t="e">
        <f>(#REF!-20)/2-10</f>
        <v>#REF!</v>
      </c>
      <c r="O20" s="216" t="e">
        <f>(#REF!-20)/2-10</f>
        <v>#REF!</v>
      </c>
      <c r="P20" s="43">
        <v>2</v>
      </c>
      <c r="Q20" s="228"/>
      <c r="R20" s="227"/>
      <c r="S20" s="216">
        <f t="shared" si="2"/>
        <v>565</v>
      </c>
      <c r="T20" s="216" t="e">
        <v>#REF!</v>
      </c>
      <c r="U20" s="216">
        <v>-19.5</v>
      </c>
      <c r="V20" s="43">
        <v>4</v>
      </c>
      <c r="W20" s="228"/>
      <c r="X20" s="227"/>
      <c r="Y20" s="216">
        <f t="shared" si="3"/>
        <v>600</v>
      </c>
      <c r="Z20" s="216">
        <f t="shared" si="4"/>
        <v>-20</v>
      </c>
      <c r="AA20" s="216">
        <f t="shared" si="5"/>
        <v>-20</v>
      </c>
      <c r="AB20" s="43">
        <v>3</v>
      </c>
      <c r="AC20" s="224"/>
      <c r="AD20" s="229"/>
      <c r="AE20" s="229"/>
      <c r="AF20" s="229"/>
      <c r="AG20" s="229"/>
      <c r="AH20" s="229"/>
      <c r="AI20" s="224"/>
      <c r="AJ20" s="230"/>
      <c r="AK20" s="230"/>
      <c r="AL20" s="230"/>
      <c r="AM20" s="230"/>
      <c r="AN20" s="230"/>
      <c r="AO20" s="43"/>
      <c r="AP20" s="224"/>
      <c r="AQ20" s="121">
        <v>260</v>
      </c>
      <c r="AR20" s="122">
        <v>1000</v>
      </c>
      <c r="AS20" s="116">
        <f>'2.1 재단(1.69,064)'!T20/2</f>
        <v>4</v>
      </c>
      <c r="AT20" s="224"/>
      <c r="AU20" s="123">
        <v>310</v>
      </c>
      <c r="AV20" s="243">
        <v>1000</v>
      </c>
      <c r="AW20" s="243"/>
      <c r="AX20" s="243"/>
      <c r="AY20" s="116">
        <f>'2.1 재단(1.69,064)'!Z20</f>
        <v>4</v>
      </c>
    </row>
    <row r="21" spans="1:51" ht="16.5" customHeight="1">
      <c r="A21" s="120" t="str">
        <f>'1. 소켓인수검사'!A22</f>
        <v>53</v>
      </c>
      <c r="B21" s="56" t="s">
        <v>1</v>
      </c>
      <c r="C21" s="48">
        <f>'1. 소켓인수검사'!C22</f>
        <v>700</v>
      </c>
      <c r="D21" s="48">
        <f>'1. 소켓인수검사'!D22</f>
        <v>650</v>
      </c>
      <c r="E21" s="43">
        <v>1</v>
      </c>
      <c r="F21" s="44"/>
      <c r="G21" s="224"/>
      <c r="H21" s="225"/>
      <c r="I21" s="43">
        <f t="shared" si="0"/>
        <v>695</v>
      </c>
      <c r="J21" s="43">
        <v>2</v>
      </c>
      <c r="K21" s="224"/>
      <c r="L21" s="226"/>
      <c r="M21" s="216">
        <f t="shared" si="1"/>
        <v>695</v>
      </c>
      <c r="N21" s="216" t="e">
        <f>(#REF!-20)/2-10</f>
        <v>#REF!</v>
      </c>
      <c r="O21" s="216" t="e">
        <f>(#REF!-20)/2-10</f>
        <v>#REF!</v>
      </c>
      <c r="P21" s="43">
        <v>2</v>
      </c>
      <c r="Q21" s="228"/>
      <c r="R21" s="227"/>
      <c r="S21" s="216">
        <f t="shared" si="2"/>
        <v>615</v>
      </c>
      <c r="T21" s="216" t="e">
        <v>#REF!</v>
      </c>
      <c r="U21" s="216">
        <v>-19.5</v>
      </c>
      <c r="V21" s="43">
        <v>4</v>
      </c>
      <c r="W21" s="228"/>
      <c r="X21" s="227"/>
      <c r="Y21" s="216">
        <f t="shared" si="3"/>
        <v>650</v>
      </c>
      <c r="Z21" s="216">
        <f t="shared" si="4"/>
        <v>-20</v>
      </c>
      <c r="AA21" s="216">
        <f t="shared" si="5"/>
        <v>-20</v>
      </c>
      <c r="AB21" s="43">
        <v>3</v>
      </c>
      <c r="AC21" s="224"/>
      <c r="AD21" s="229"/>
      <c r="AE21" s="229"/>
      <c r="AF21" s="229"/>
      <c r="AG21" s="229"/>
      <c r="AH21" s="229"/>
      <c r="AI21" s="224"/>
      <c r="AJ21" s="230"/>
      <c r="AK21" s="230"/>
      <c r="AL21" s="230"/>
      <c r="AM21" s="230"/>
      <c r="AN21" s="230"/>
      <c r="AO21" s="43"/>
      <c r="AP21" s="224"/>
      <c r="AQ21" s="121">
        <v>260</v>
      </c>
      <c r="AR21" s="122">
        <v>1000</v>
      </c>
      <c r="AS21" s="116">
        <f>'2.1 재단(1.69,064)'!T21/2</f>
        <v>4</v>
      </c>
      <c r="AT21" s="224"/>
      <c r="AU21" s="123">
        <v>310</v>
      </c>
      <c r="AV21" s="243">
        <v>1000</v>
      </c>
      <c r="AW21" s="243"/>
      <c r="AX21" s="243"/>
      <c r="AY21" s="116">
        <f>'2.1 재단(1.69,064)'!Z21</f>
        <v>4</v>
      </c>
    </row>
    <row r="22" spans="1:51" ht="16.5" customHeight="1">
      <c r="A22" s="120" t="str">
        <f>'1. 소켓인수검사'!A23</f>
        <v>54</v>
      </c>
      <c r="B22" s="56" t="s">
        <v>1</v>
      </c>
      <c r="C22" s="48">
        <f>'1. 소켓인수검사'!C23</f>
        <v>700</v>
      </c>
      <c r="D22" s="48">
        <f>'1. 소켓인수검사'!D23</f>
        <v>650</v>
      </c>
      <c r="E22" s="43">
        <v>1</v>
      </c>
      <c r="F22" s="44"/>
      <c r="G22" s="224"/>
      <c r="H22" s="225"/>
      <c r="I22" s="43">
        <f t="shared" si="0"/>
        <v>695</v>
      </c>
      <c r="J22" s="43">
        <v>2</v>
      </c>
      <c r="K22" s="224"/>
      <c r="L22" s="226"/>
      <c r="M22" s="216">
        <f t="shared" si="1"/>
        <v>695</v>
      </c>
      <c r="N22" s="216" t="e">
        <f>(#REF!-20)/2-10</f>
        <v>#REF!</v>
      </c>
      <c r="O22" s="216" t="e">
        <f>(#REF!-20)/2-10</f>
        <v>#REF!</v>
      </c>
      <c r="P22" s="43">
        <v>2</v>
      </c>
      <c r="Q22" s="228"/>
      <c r="R22" s="227"/>
      <c r="S22" s="216">
        <f t="shared" si="2"/>
        <v>615</v>
      </c>
      <c r="T22" s="216" t="e">
        <v>#REF!</v>
      </c>
      <c r="U22" s="216">
        <v>-19.5</v>
      </c>
      <c r="V22" s="43">
        <v>4</v>
      </c>
      <c r="W22" s="228"/>
      <c r="X22" s="227"/>
      <c r="Y22" s="216">
        <f t="shared" si="3"/>
        <v>650</v>
      </c>
      <c r="Z22" s="216">
        <f t="shared" si="4"/>
        <v>-20</v>
      </c>
      <c r="AA22" s="216">
        <f t="shared" si="5"/>
        <v>-20</v>
      </c>
      <c r="AB22" s="43">
        <v>3</v>
      </c>
      <c r="AC22" s="224"/>
      <c r="AD22" s="229"/>
      <c r="AE22" s="229"/>
      <c r="AF22" s="229"/>
      <c r="AG22" s="229"/>
      <c r="AH22" s="229"/>
      <c r="AI22" s="224"/>
      <c r="AJ22" s="230"/>
      <c r="AK22" s="230"/>
      <c r="AL22" s="230"/>
      <c r="AM22" s="230"/>
      <c r="AN22" s="230"/>
      <c r="AO22" s="43"/>
      <c r="AP22" s="224"/>
      <c r="AQ22" s="121">
        <v>260</v>
      </c>
      <c r="AR22" s="122">
        <v>1000</v>
      </c>
      <c r="AS22" s="116">
        <f>'2.1 재단(1.69,064)'!T22/2</f>
        <v>4</v>
      </c>
      <c r="AT22" s="224"/>
      <c r="AU22" s="123">
        <v>310</v>
      </c>
      <c r="AV22" s="243">
        <v>1000</v>
      </c>
      <c r="AW22" s="243"/>
      <c r="AX22" s="243"/>
      <c r="AY22" s="116">
        <f>'2.1 재단(1.69,064)'!Z22</f>
        <v>4</v>
      </c>
    </row>
    <row r="23" spans="1:51" ht="16.5" customHeight="1">
      <c r="A23" s="120" t="str">
        <f>'1. 소켓인수검사'!A24</f>
        <v>55</v>
      </c>
      <c r="B23" s="56" t="s">
        <v>1</v>
      </c>
      <c r="C23" s="48">
        <f>'1. 소켓인수검사'!C24</f>
        <v>700</v>
      </c>
      <c r="D23" s="48">
        <f>'1. 소켓인수검사'!D24</f>
        <v>650</v>
      </c>
      <c r="E23" s="43">
        <v>1</v>
      </c>
      <c r="F23" s="44"/>
      <c r="G23" s="224"/>
      <c r="H23" s="225"/>
      <c r="I23" s="43">
        <f t="shared" si="0"/>
        <v>695</v>
      </c>
      <c r="J23" s="43">
        <v>2</v>
      </c>
      <c r="K23" s="224"/>
      <c r="L23" s="226"/>
      <c r="M23" s="216">
        <f t="shared" si="1"/>
        <v>695</v>
      </c>
      <c r="N23" s="216" t="e">
        <f>(#REF!-20)/2-10</f>
        <v>#REF!</v>
      </c>
      <c r="O23" s="216" t="e">
        <f>(#REF!-20)/2-10</f>
        <v>#REF!</v>
      </c>
      <c r="P23" s="43">
        <v>2</v>
      </c>
      <c r="Q23" s="228"/>
      <c r="R23" s="227"/>
      <c r="S23" s="216">
        <f t="shared" si="2"/>
        <v>615</v>
      </c>
      <c r="T23" s="216" t="e">
        <v>#REF!</v>
      </c>
      <c r="U23" s="216">
        <v>-19.5</v>
      </c>
      <c r="V23" s="43">
        <v>4</v>
      </c>
      <c r="W23" s="228"/>
      <c r="X23" s="227"/>
      <c r="Y23" s="216">
        <f t="shared" si="3"/>
        <v>650</v>
      </c>
      <c r="Z23" s="216">
        <f t="shared" si="4"/>
        <v>-20</v>
      </c>
      <c r="AA23" s="216">
        <f t="shared" si="5"/>
        <v>-20</v>
      </c>
      <c r="AB23" s="43">
        <v>3</v>
      </c>
      <c r="AC23" s="224"/>
      <c r="AD23" s="229"/>
      <c r="AE23" s="229"/>
      <c r="AF23" s="229"/>
      <c r="AG23" s="229"/>
      <c r="AH23" s="229"/>
      <c r="AI23" s="224"/>
      <c r="AJ23" s="230"/>
      <c r="AK23" s="230"/>
      <c r="AL23" s="230"/>
      <c r="AM23" s="230"/>
      <c r="AN23" s="230"/>
      <c r="AO23" s="43"/>
      <c r="AP23" s="224"/>
      <c r="AQ23" s="121">
        <v>260</v>
      </c>
      <c r="AR23" s="122">
        <v>1000</v>
      </c>
      <c r="AS23" s="116">
        <f>'2.1 재단(1.69,064)'!T23/2</f>
        <v>4</v>
      </c>
      <c r="AT23" s="224"/>
      <c r="AU23" s="123">
        <v>310</v>
      </c>
      <c r="AV23" s="243">
        <v>1000</v>
      </c>
      <c r="AW23" s="243"/>
      <c r="AX23" s="243"/>
      <c r="AY23" s="116">
        <f>'2.1 재단(1.69,064)'!Z23</f>
        <v>4</v>
      </c>
    </row>
    <row r="24" spans="1:51" ht="16.5" customHeight="1">
      <c r="A24" s="120" t="str">
        <f>'1. 소켓인수검사'!A25</f>
        <v>56</v>
      </c>
      <c r="B24" s="56" t="s">
        <v>1</v>
      </c>
      <c r="C24" s="48">
        <f>'1. 소켓인수검사'!C25</f>
        <v>700</v>
      </c>
      <c r="D24" s="48">
        <f>'1. 소켓인수검사'!D25</f>
        <v>650</v>
      </c>
      <c r="E24" s="43">
        <v>1</v>
      </c>
      <c r="F24" s="44"/>
      <c r="G24" s="224"/>
      <c r="H24" s="225"/>
      <c r="I24" s="43">
        <f t="shared" si="0"/>
        <v>695</v>
      </c>
      <c r="J24" s="43">
        <v>2</v>
      </c>
      <c r="K24" s="224"/>
      <c r="L24" s="226"/>
      <c r="M24" s="216">
        <f t="shared" si="1"/>
        <v>695</v>
      </c>
      <c r="N24" s="216" t="e">
        <f>(#REF!-20)/2-10</f>
        <v>#REF!</v>
      </c>
      <c r="O24" s="216" t="e">
        <f>(#REF!-20)/2-10</f>
        <v>#REF!</v>
      </c>
      <c r="P24" s="43">
        <v>2</v>
      </c>
      <c r="Q24" s="228"/>
      <c r="R24" s="227"/>
      <c r="S24" s="216">
        <f t="shared" si="2"/>
        <v>615</v>
      </c>
      <c r="T24" s="216" t="e">
        <v>#REF!</v>
      </c>
      <c r="U24" s="216">
        <v>-19.5</v>
      </c>
      <c r="V24" s="43">
        <v>4</v>
      </c>
      <c r="W24" s="228"/>
      <c r="X24" s="227"/>
      <c r="Y24" s="216">
        <f t="shared" si="3"/>
        <v>650</v>
      </c>
      <c r="Z24" s="216">
        <f t="shared" si="4"/>
        <v>-20</v>
      </c>
      <c r="AA24" s="216">
        <f t="shared" si="5"/>
        <v>-20</v>
      </c>
      <c r="AB24" s="43">
        <v>3</v>
      </c>
      <c r="AC24" s="224"/>
      <c r="AD24" s="229"/>
      <c r="AE24" s="229"/>
      <c r="AF24" s="229"/>
      <c r="AG24" s="229"/>
      <c r="AH24" s="229"/>
      <c r="AI24" s="224"/>
      <c r="AJ24" s="230"/>
      <c r="AK24" s="230"/>
      <c r="AL24" s="230"/>
      <c r="AM24" s="230"/>
      <c r="AN24" s="230"/>
      <c r="AO24" s="43"/>
      <c r="AP24" s="224"/>
      <c r="AQ24" s="121">
        <v>260</v>
      </c>
      <c r="AR24" s="122">
        <v>1000</v>
      </c>
      <c r="AS24" s="116">
        <f>'2.1 재단(1.69,064)'!T24/2</f>
        <v>4</v>
      </c>
      <c r="AT24" s="224"/>
      <c r="AU24" s="123">
        <v>310</v>
      </c>
      <c r="AV24" s="243">
        <v>1000</v>
      </c>
      <c r="AW24" s="243"/>
      <c r="AX24" s="243"/>
      <c r="AY24" s="116">
        <f>'2.1 재단(1.69,064)'!Z24</f>
        <v>4</v>
      </c>
    </row>
    <row r="25" spans="1:51" ht="16.5" customHeight="1">
      <c r="A25" s="120" t="str">
        <f>'1. 소켓인수검사'!A26</f>
        <v>57</v>
      </c>
      <c r="B25" s="56" t="s">
        <v>1</v>
      </c>
      <c r="C25" s="48">
        <f>'1. 소켓인수검사'!C26</f>
        <v>700</v>
      </c>
      <c r="D25" s="48">
        <f>'1. 소켓인수검사'!D26</f>
        <v>650</v>
      </c>
      <c r="E25" s="43">
        <v>1</v>
      </c>
      <c r="F25" s="44"/>
      <c r="G25" s="224"/>
      <c r="H25" s="225"/>
      <c r="I25" s="43">
        <f t="shared" si="0"/>
        <v>695</v>
      </c>
      <c r="J25" s="43">
        <v>2</v>
      </c>
      <c r="K25" s="224"/>
      <c r="L25" s="226"/>
      <c r="M25" s="216">
        <f t="shared" si="1"/>
        <v>695</v>
      </c>
      <c r="N25" s="216" t="e">
        <f>(#REF!-20)/2-10</f>
        <v>#REF!</v>
      </c>
      <c r="O25" s="216" t="e">
        <f>(#REF!-20)/2-10</f>
        <v>#REF!</v>
      </c>
      <c r="P25" s="43">
        <v>2</v>
      </c>
      <c r="Q25" s="228"/>
      <c r="R25" s="227"/>
      <c r="S25" s="216">
        <f t="shared" si="2"/>
        <v>615</v>
      </c>
      <c r="T25" s="216" t="e">
        <v>#REF!</v>
      </c>
      <c r="U25" s="216">
        <v>-19.5</v>
      </c>
      <c r="V25" s="43">
        <v>4</v>
      </c>
      <c r="W25" s="228"/>
      <c r="X25" s="227"/>
      <c r="Y25" s="216">
        <f t="shared" si="3"/>
        <v>650</v>
      </c>
      <c r="Z25" s="216">
        <f t="shared" si="4"/>
        <v>-20</v>
      </c>
      <c r="AA25" s="216">
        <f t="shared" si="5"/>
        <v>-20</v>
      </c>
      <c r="AB25" s="43">
        <v>3</v>
      </c>
      <c r="AC25" s="224"/>
      <c r="AD25" s="229"/>
      <c r="AE25" s="229"/>
      <c r="AF25" s="229"/>
      <c r="AG25" s="229"/>
      <c r="AH25" s="229"/>
      <c r="AI25" s="224"/>
      <c r="AJ25" s="230"/>
      <c r="AK25" s="230"/>
      <c r="AL25" s="230"/>
      <c r="AM25" s="230"/>
      <c r="AN25" s="230"/>
      <c r="AO25" s="43"/>
      <c r="AP25" s="224"/>
      <c r="AQ25" s="121">
        <v>260</v>
      </c>
      <c r="AR25" s="122">
        <v>1000</v>
      </c>
      <c r="AS25" s="116">
        <f>'2.1 재단(1.69,064)'!T25/2</f>
        <v>4</v>
      </c>
      <c r="AT25" s="224"/>
      <c r="AU25" s="123">
        <v>310</v>
      </c>
      <c r="AV25" s="243">
        <v>1000</v>
      </c>
      <c r="AW25" s="243"/>
      <c r="AX25" s="243"/>
      <c r="AY25" s="116">
        <f>'2.1 재단(1.69,064)'!Z25</f>
        <v>4</v>
      </c>
    </row>
    <row r="26" spans="1:51" ht="16.5" customHeight="1">
      <c r="A26" s="120" t="str">
        <f>'1. 소켓인수검사'!A27</f>
        <v>58</v>
      </c>
      <c r="B26" s="56" t="s">
        <v>1</v>
      </c>
      <c r="C26" s="48">
        <f>'1. 소켓인수검사'!C27</f>
        <v>700</v>
      </c>
      <c r="D26" s="48">
        <f>'1. 소켓인수검사'!D27</f>
        <v>650</v>
      </c>
      <c r="E26" s="43">
        <v>1</v>
      </c>
      <c r="F26" s="44"/>
      <c r="G26" s="224"/>
      <c r="H26" s="225"/>
      <c r="I26" s="43">
        <f t="shared" si="0"/>
        <v>695</v>
      </c>
      <c r="J26" s="43">
        <v>2</v>
      </c>
      <c r="K26" s="224"/>
      <c r="L26" s="226"/>
      <c r="M26" s="216">
        <f t="shared" si="1"/>
        <v>695</v>
      </c>
      <c r="N26" s="216" t="e">
        <f>(#REF!-20)/2-10</f>
        <v>#REF!</v>
      </c>
      <c r="O26" s="216" t="e">
        <f>(#REF!-20)/2-10</f>
        <v>#REF!</v>
      </c>
      <c r="P26" s="43">
        <v>2</v>
      </c>
      <c r="Q26" s="228"/>
      <c r="R26" s="227"/>
      <c r="S26" s="216">
        <f t="shared" si="2"/>
        <v>615</v>
      </c>
      <c r="T26" s="216" t="e">
        <v>#REF!</v>
      </c>
      <c r="U26" s="216">
        <v>-19.5</v>
      </c>
      <c r="V26" s="43">
        <v>4</v>
      </c>
      <c r="W26" s="228"/>
      <c r="X26" s="227"/>
      <c r="Y26" s="216">
        <f t="shared" si="3"/>
        <v>650</v>
      </c>
      <c r="Z26" s="216">
        <f t="shared" si="4"/>
        <v>-20</v>
      </c>
      <c r="AA26" s="216">
        <f t="shared" si="5"/>
        <v>-20</v>
      </c>
      <c r="AB26" s="43">
        <v>3</v>
      </c>
      <c r="AC26" s="224"/>
      <c r="AD26" s="229"/>
      <c r="AE26" s="229"/>
      <c r="AF26" s="229"/>
      <c r="AG26" s="229"/>
      <c r="AH26" s="229"/>
      <c r="AI26" s="224"/>
      <c r="AJ26" s="230"/>
      <c r="AK26" s="230"/>
      <c r="AL26" s="230"/>
      <c r="AM26" s="230"/>
      <c r="AN26" s="230"/>
      <c r="AO26" s="43"/>
      <c r="AP26" s="224"/>
      <c r="AQ26" s="121">
        <v>260</v>
      </c>
      <c r="AR26" s="122">
        <v>1000</v>
      </c>
      <c r="AS26" s="116">
        <f>'2.1 재단(1.69,064)'!T26/2</f>
        <v>4</v>
      </c>
      <c r="AT26" s="224"/>
      <c r="AU26" s="123">
        <v>310</v>
      </c>
      <c r="AV26" s="243">
        <v>1000</v>
      </c>
      <c r="AW26" s="243"/>
      <c r="AX26" s="243"/>
      <c r="AY26" s="116">
        <f>'2.1 재단(1.69,064)'!Z26</f>
        <v>4</v>
      </c>
    </row>
    <row r="27" spans="1:51" ht="16.5" customHeight="1">
      <c r="A27" s="120" t="str">
        <f>'1. 소켓인수검사'!A28</f>
        <v>59</v>
      </c>
      <c r="B27" s="56" t="s">
        <v>1</v>
      </c>
      <c r="C27" s="48">
        <f>'1. 소켓인수검사'!C28</f>
        <v>700</v>
      </c>
      <c r="D27" s="48">
        <f>'1. 소켓인수검사'!D28</f>
        <v>650</v>
      </c>
      <c r="E27" s="43">
        <v>1</v>
      </c>
      <c r="F27" s="44"/>
      <c r="G27" s="224"/>
      <c r="H27" s="225"/>
      <c r="I27" s="43">
        <f t="shared" si="0"/>
        <v>695</v>
      </c>
      <c r="J27" s="43">
        <v>2</v>
      </c>
      <c r="K27" s="224"/>
      <c r="L27" s="226"/>
      <c r="M27" s="216">
        <f t="shared" si="1"/>
        <v>695</v>
      </c>
      <c r="N27" s="216" t="e">
        <f>(#REF!-20)/2-10</f>
        <v>#REF!</v>
      </c>
      <c r="O27" s="216" t="e">
        <f>(#REF!-20)/2-10</f>
        <v>#REF!</v>
      </c>
      <c r="P27" s="43">
        <v>2</v>
      </c>
      <c r="Q27" s="228"/>
      <c r="R27" s="227"/>
      <c r="S27" s="216">
        <f t="shared" si="2"/>
        <v>615</v>
      </c>
      <c r="T27" s="216" t="e">
        <v>#REF!</v>
      </c>
      <c r="U27" s="216">
        <v>-19.5</v>
      </c>
      <c r="V27" s="43">
        <v>4</v>
      </c>
      <c r="W27" s="228"/>
      <c r="X27" s="227"/>
      <c r="Y27" s="216">
        <f t="shared" si="3"/>
        <v>650</v>
      </c>
      <c r="Z27" s="216">
        <f t="shared" si="4"/>
        <v>-20</v>
      </c>
      <c r="AA27" s="216">
        <f t="shared" si="5"/>
        <v>-20</v>
      </c>
      <c r="AB27" s="43">
        <v>3</v>
      </c>
      <c r="AC27" s="224"/>
      <c r="AD27" s="229"/>
      <c r="AE27" s="229"/>
      <c r="AF27" s="229"/>
      <c r="AG27" s="229"/>
      <c r="AH27" s="229"/>
      <c r="AI27" s="224"/>
      <c r="AJ27" s="230"/>
      <c r="AK27" s="230"/>
      <c r="AL27" s="230"/>
      <c r="AM27" s="230"/>
      <c r="AN27" s="230"/>
      <c r="AO27" s="43"/>
      <c r="AP27" s="224"/>
      <c r="AQ27" s="121">
        <v>260</v>
      </c>
      <c r="AR27" s="122">
        <v>1000</v>
      </c>
      <c r="AS27" s="116">
        <f>'2.1 재단(1.69,064)'!T27/2</f>
        <v>4</v>
      </c>
      <c r="AT27" s="224"/>
      <c r="AU27" s="123">
        <v>310</v>
      </c>
      <c r="AV27" s="243">
        <v>1000</v>
      </c>
      <c r="AW27" s="243"/>
      <c r="AX27" s="243"/>
      <c r="AY27" s="116">
        <f>'2.1 재단(1.69,064)'!Z27</f>
        <v>4</v>
      </c>
    </row>
    <row r="28" spans="1:51" ht="16.5" customHeight="1">
      <c r="A28" s="120" t="str">
        <f>'1. 소켓인수검사'!A29</f>
        <v>60</v>
      </c>
      <c r="B28" s="56" t="s">
        <v>1</v>
      </c>
      <c r="C28" s="48">
        <f>'1. 소켓인수검사'!C29</f>
        <v>750</v>
      </c>
      <c r="D28" s="48">
        <f>'1. 소켓인수검사'!D29</f>
        <v>450</v>
      </c>
      <c r="E28" s="43">
        <v>1</v>
      </c>
      <c r="F28" s="44"/>
      <c r="G28" s="224"/>
      <c r="H28" s="225"/>
      <c r="I28" s="43">
        <f t="shared" si="0"/>
        <v>745</v>
      </c>
      <c r="J28" s="43">
        <v>2</v>
      </c>
      <c r="K28" s="224"/>
      <c r="L28" s="226"/>
      <c r="M28" s="216">
        <f t="shared" si="1"/>
        <v>745</v>
      </c>
      <c r="N28" s="216" t="e">
        <f>(#REF!-20)/2-10</f>
        <v>#REF!</v>
      </c>
      <c r="O28" s="216" t="e">
        <f>(#REF!-20)/2-10</f>
        <v>#REF!</v>
      </c>
      <c r="P28" s="43">
        <v>2</v>
      </c>
      <c r="Q28" s="228"/>
      <c r="R28" s="227"/>
      <c r="S28" s="216">
        <f t="shared" si="2"/>
        <v>415</v>
      </c>
      <c r="T28" s="216" t="e">
        <v>#REF!</v>
      </c>
      <c r="U28" s="216">
        <v>-19.5</v>
      </c>
      <c r="V28" s="43">
        <v>4</v>
      </c>
      <c r="W28" s="228"/>
      <c r="X28" s="227"/>
      <c r="Y28" s="216">
        <f t="shared" si="3"/>
        <v>450</v>
      </c>
      <c r="Z28" s="216">
        <f t="shared" si="4"/>
        <v>-20</v>
      </c>
      <c r="AA28" s="216">
        <f t="shared" si="5"/>
        <v>-20</v>
      </c>
      <c r="AB28" s="43">
        <v>3</v>
      </c>
      <c r="AC28" s="224"/>
      <c r="AD28" s="229"/>
      <c r="AE28" s="229"/>
      <c r="AF28" s="229"/>
      <c r="AG28" s="229"/>
      <c r="AH28" s="229"/>
      <c r="AI28" s="224"/>
      <c r="AJ28" s="230"/>
      <c r="AK28" s="230"/>
      <c r="AL28" s="230"/>
      <c r="AM28" s="230"/>
      <c r="AN28" s="230"/>
      <c r="AO28" s="43"/>
      <c r="AP28" s="224"/>
      <c r="AQ28" s="121">
        <v>260</v>
      </c>
      <c r="AR28" s="122">
        <v>1000</v>
      </c>
      <c r="AS28" s="116">
        <f>'2.1 재단(1.69,064)'!T28/2</f>
        <v>3</v>
      </c>
      <c r="AT28" s="224"/>
      <c r="AU28" s="123">
        <v>310</v>
      </c>
      <c r="AV28" s="243">
        <v>1000</v>
      </c>
      <c r="AW28" s="243"/>
      <c r="AX28" s="243"/>
      <c r="AY28" s="116">
        <f>'2.1 재단(1.69,064)'!Z28</f>
        <v>4</v>
      </c>
    </row>
    <row r="29" spans="1:51" ht="16.5" customHeight="1">
      <c r="A29" s="120" t="str">
        <f>'1. 소켓인수검사'!A30</f>
        <v>61</v>
      </c>
      <c r="B29" s="56" t="s">
        <v>1</v>
      </c>
      <c r="C29" s="48">
        <f>'1. 소켓인수검사'!C30</f>
        <v>750</v>
      </c>
      <c r="D29" s="48">
        <f>'1. 소켓인수검사'!D30</f>
        <v>450</v>
      </c>
      <c r="E29" s="43">
        <v>1</v>
      </c>
      <c r="F29" s="44"/>
      <c r="G29" s="224"/>
      <c r="H29" s="225"/>
      <c r="I29" s="43">
        <f t="shared" si="0"/>
        <v>745</v>
      </c>
      <c r="J29" s="43">
        <v>2</v>
      </c>
      <c r="K29" s="224"/>
      <c r="L29" s="226"/>
      <c r="M29" s="216">
        <f t="shared" si="1"/>
        <v>745</v>
      </c>
      <c r="N29" s="216" t="e">
        <f>(#REF!-20)/2-10</f>
        <v>#REF!</v>
      </c>
      <c r="O29" s="216" t="e">
        <f>(#REF!-20)/2-10</f>
        <v>#REF!</v>
      </c>
      <c r="P29" s="43">
        <v>2</v>
      </c>
      <c r="Q29" s="228"/>
      <c r="R29" s="227"/>
      <c r="S29" s="216">
        <f t="shared" si="2"/>
        <v>415</v>
      </c>
      <c r="T29" s="216" t="e">
        <v>#REF!</v>
      </c>
      <c r="U29" s="216">
        <v>-19.5</v>
      </c>
      <c r="V29" s="43">
        <v>4</v>
      </c>
      <c r="W29" s="228"/>
      <c r="X29" s="227"/>
      <c r="Y29" s="216">
        <f t="shared" si="3"/>
        <v>450</v>
      </c>
      <c r="Z29" s="216">
        <f t="shared" si="4"/>
        <v>-20</v>
      </c>
      <c r="AA29" s="216">
        <f t="shared" si="5"/>
        <v>-20</v>
      </c>
      <c r="AB29" s="43">
        <v>3</v>
      </c>
      <c r="AC29" s="224"/>
      <c r="AD29" s="229"/>
      <c r="AE29" s="229"/>
      <c r="AF29" s="229"/>
      <c r="AG29" s="229"/>
      <c r="AH29" s="229"/>
      <c r="AI29" s="224"/>
      <c r="AJ29" s="230"/>
      <c r="AK29" s="230"/>
      <c r="AL29" s="230"/>
      <c r="AM29" s="230"/>
      <c r="AN29" s="230"/>
      <c r="AO29" s="43"/>
      <c r="AP29" s="224"/>
      <c r="AQ29" s="121">
        <v>260</v>
      </c>
      <c r="AR29" s="122">
        <v>1000</v>
      </c>
      <c r="AS29" s="116">
        <f>'2.1 재단(1.69,064)'!T29/2</f>
        <v>3</v>
      </c>
      <c r="AT29" s="224"/>
      <c r="AU29" s="123">
        <v>310</v>
      </c>
      <c r="AV29" s="243">
        <v>1000</v>
      </c>
      <c r="AW29" s="243"/>
      <c r="AX29" s="243"/>
      <c r="AY29" s="116">
        <f>'2.1 재단(1.69,064)'!Z29</f>
        <v>4</v>
      </c>
    </row>
    <row r="30" spans="1:51" ht="16.5" customHeight="1">
      <c r="A30" s="120" t="str">
        <f>'1. 소켓인수검사'!A31</f>
        <v>62</v>
      </c>
      <c r="B30" s="56" t="s">
        <v>1</v>
      </c>
      <c r="C30" s="48">
        <f>'1. 소켓인수검사'!C31</f>
        <v>750</v>
      </c>
      <c r="D30" s="48">
        <f>'1. 소켓인수검사'!D31</f>
        <v>550</v>
      </c>
      <c r="E30" s="43">
        <v>1</v>
      </c>
      <c r="F30" s="44"/>
      <c r="G30" s="224"/>
      <c r="H30" s="225"/>
      <c r="I30" s="43">
        <f t="shared" si="0"/>
        <v>745</v>
      </c>
      <c r="J30" s="43">
        <v>2</v>
      </c>
      <c r="K30" s="224"/>
      <c r="L30" s="226"/>
      <c r="M30" s="216">
        <f t="shared" si="1"/>
        <v>745</v>
      </c>
      <c r="N30" s="216" t="e">
        <f>(#REF!-20)/2-10</f>
        <v>#REF!</v>
      </c>
      <c r="O30" s="216" t="e">
        <f>(#REF!-20)/2-10</f>
        <v>#REF!</v>
      </c>
      <c r="P30" s="43">
        <v>2</v>
      </c>
      <c r="Q30" s="228"/>
      <c r="R30" s="227"/>
      <c r="S30" s="216">
        <f t="shared" si="2"/>
        <v>515</v>
      </c>
      <c r="T30" s="216" t="e">
        <v>#REF!</v>
      </c>
      <c r="U30" s="216">
        <v>-19.5</v>
      </c>
      <c r="V30" s="43">
        <v>4</v>
      </c>
      <c r="W30" s="228"/>
      <c r="X30" s="227"/>
      <c r="Y30" s="216">
        <f t="shared" si="3"/>
        <v>550</v>
      </c>
      <c r="Z30" s="216">
        <f t="shared" si="4"/>
        <v>-20</v>
      </c>
      <c r="AA30" s="216">
        <f t="shared" si="5"/>
        <v>-20</v>
      </c>
      <c r="AB30" s="43">
        <v>3</v>
      </c>
      <c r="AC30" s="224"/>
      <c r="AD30" s="229"/>
      <c r="AE30" s="229"/>
      <c r="AF30" s="229"/>
      <c r="AG30" s="229"/>
      <c r="AH30" s="229"/>
      <c r="AI30" s="224"/>
      <c r="AJ30" s="230"/>
      <c r="AK30" s="230"/>
      <c r="AL30" s="230"/>
      <c r="AM30" s="230"/>
      <c r="AN30" s="230"/>
      <c r="AO30" s="43"/>
      <c r="AP30" s="224"/>
      <c r="AQ30" s="121">
        <v>260</v>
      </c>
      <c r="AR30" s="122">
        <v>1000</v>
      </c>
      <c r="AS30" s="116">
        <f>'2.1 재단(1.69,064)'!T30/2</f>
        <v>4</v>
      </c>
      <c r="AT30" s="224"/>
      <c r="AU30" s="123">
        <v>310</v>
      </c>
      <c r="AV30" s="243">
        <v>1000</v>
      </c>
      <c r="AW30" s="243"/>
      <c r="AX30" s="243"/>
      <c r="AY30" s="116">
        <f>'2.1 재단(1.69,064)'!Z30</f>
        <v>4</v>
      </c>
    </row>
    <row r="31" spans="1:51" ht="16.5" customHeight="1">
      <c r="A31" s="120" t="str">
        <f>'1. 소켓인수검사'!A32</f>
        <v>63</v>
      </c>
      <c r="B31" s="56" t="s">
        <v>1</v>
      </c>
      <c r="C31" s="48">
        <f>'1. 소켓인수검사'!C32</f>
        <v>750</v>
      </c>
      <c r="D31" s="48">
        <f>'1. 소켓인수검사'!D32</f>
        <v>550</v>
      </c>
      <c r="E31" s="43">
        <v>1</v>
      </c>
      <c r="F31" s="44"/>
      <c r="G31" s="224"/>
      <c r="H31" s="225"/>
      <c r="I31" s="43">
        <f t="shared" si="0"/>
        <v>745</v>
      </c>
      <c r="J31" s="43">
        <v>2</v>
      </c>
      <c r="K31" s="224"/>
      <c r="L31" s="226"/>
      <c r="M31" s="216">
        <f t="shared" si="1"/>
        <v>745</v>
      </c>
      <c r="N31" s="216" t="e">
        <f>(#REF!-20)/2-10</f>
        <v>#REF!</v>
      </c>
      <c r="O31" s="216" t="e">
        <f>(#REF!-20)/2-10</f>
        <v>#REF!</v>
      </c>
      <c r="P31" s="43">
        <v>2</v>
      </c>
      <c r="Q31" s="228"/>
      <c r="R31" s="227"/>
      <c r="S31" s="216">
        <f t="shared" si="2"/>
        <v>515</v>
      </c>
      <c r="T31" s="216" t="e">
        <v>#REF!</v>
      </c>
      <c r="U31" s="216">
        <v>-19.5</v>
      </c>
      <c r="V31" s="43">
        <v>4</v>
      </c>
      <c r="W31" s="228"/>
      <c r="X31" s="227"/>
      <c r="Y31" s="216">
        <f t="shared" si="3"/>
        <v>550</v>
      </c>
      <c r="Z31" s="216">
        <f t="shared" si="4"/>
        <v>-20</v>
      </c>
      <c r="AA31" s="216">
        <f t="shared" si="5"/>
        <v>-20</v>
      </c>
      <c r="AB31" s="43">
        <v>3</v>
      </c>
      <c r="AC31" s="224"/>
      <c r="AD31" s="229"/>
      <c r="AE31" s="229"/>
      <c r="AF31" s="229"/>
      <c r="AG31" s="229"/>
      <c r="AH31" s="229"/>
      <c r="AI31" s="224"/>
      <c r="AJ31" s="230"/>
      <c r="AK31" s="230"/>
      <c r="AL31" s="230"/>
      <c r="AM31" s="230"/>
      <c r="AN31" s="230"/>
      <c r="AO31" s="43"/>
      <c r="AP31" s="224"/>
      <c r="AQ31" s="121">
        <v>260</v>
      </c>
      <c r="AR31" s="122">
        <v>1000</v>
      </c>
      <c r="AS31" s="116">
        <f>'2.1 재단(1.69,064)'!T31/2</f>
        <v>4</v>
      </c>
      <c r="AT31" s="224"/>
      <c r="AU31" s="123">
        <v>310</v>
      </c>
      <c r="AV31" s="243">
        <v>1000</v>
      </c>
      <c r="AW31" s="243"/>
      <c r="AX31" s="243"/>
      <c r="AY31" s="116">
        <f>'2.1 재단(1.69,064)'!Z31</f>
        <v>4</v>
      </c>
    </row>
    <row r="32" spans="1:51" ht="16.5" customHeight="1">
      <c r="A32" s="120" t="str">
        <f>'1. 소켓인수검사'!A33</f>
        <v>64</v>
      </c>
      <c r="B32" s="56" t="s">
        <v>1</v>
      </c>
      <c r="C32" s="48">
        <f>'1. 소켓인수검사'!C33</f>
        <v>750</v>
      </c>
      <c r="D32" s="48">
        <f>'1. 소켓인수검사'!D33</f>
        <v>550</v>
      </c>
      <c r="E32" s="43">
        <v>1</v>
      </c>
      <c r="F32" s="44"/>
      <c r="G32" s="224"/>
      <c r="H32" s="225"/>
      <c r="I32" s="43">
        <f t="shared" si="0"/>
        <v>745</v>
      </c>
      <c r="J32" s="43">
        <v>2</v>
      </c>
      <c r="K32" s="224"/>
      <c r="L32" s="226"/>
      <c r="M32" s="216">
        <f t="shared" si="1"/>
        <v>745</v>
      </c>
      <c r="N32" s="216" t="e">
        <f>(#REF!-20)/2-10</f>
        <v>#REF!</v>
      </c>
      <c r="O32" s="216" t="e">
        <f>(#REF!-20)/2-10</f>
        <v>#REF!</v>
      </c>
      <c r="P32" s="43">
        <v>2</v>
      </c>
      <c r="Q32" s="228"/>
      <c r="R32" s="227"/>
      <c r="S32" s="216">
        <f t="shared" si="2"/>
        <v>515</v>
      </c>
      <c r="T32" s="216" t="e">
        <v>#REF!</v>
      </c>
      <c r="U32" s="216">
        <v>-19.5</v>
      </c>
      <c r="V32" s="43">
        <v>4</v>
      </c>
      <c r="W32" s="228"/>
      <c r="X32" s="227"/>
      <c r="Y32" s="216">
        <f t="shared" si="3"/>
        <v>550</v>
      </c>
      <c r="Z32" s="216">
        <f t="shared" si="4"/>
        <v>-20</v>
      </c>
      <c r="AA32" s="216">
        <f t="shared" si="5"/>
        <v>-20</v>
      </c>
      <c r="AB32" s="43">
        <v>3</v>
      </c>
      <c r="AC32" s="224"/>
      <c r="AD32" s="229"/>
      <c r="AE32" s="229"/>
      <c r="AF32" s="229"/>
      <c r="AG32" s="229"/>
      <c r="AH32" s="229"/>
      <c r="AI32" s="224"/>
      <c r="AJ32" s="230"/>
      <c r="AK32" s="230"/>
      <c r="AL32" s="230"/>
      <c r="AM32" s="230"/>
      <c r="AN32" s="230"/>
      <c r="AO32" s="43"/>
      <c r="AP32" s="224"/>
      <c r="AQ32" s="121">
        <v>260</v>
      </c>
      <c r="AR32" s="122">
        <v>1000</v>
      </c>
      <c r="AS32" s="116">
        <f>'2.1 재단(1.69,064)'!T32/2</f>
        <v>4</v>
      </c>
      <c r="AT32" s="224"/>
      <c r="AU32" s="123">
        <v>310</v>
      </c>
      <c r="AV32" s="243">
        <v>1000</v>
      </c>
      <c r="AW32" s="243"/>
      <c r="AX32" s="243"/>
      <c r="AY32" s="116">
        <f>'2.1 재단(1.69,064)'!Z32</f>
        <v>4</v>
      </c>
    </row>
    <row r="33" spans="1:51" ht="16.5" customHeight="1">
      <c r="A33" s="120" t="str">
        <f>'1. 소켓인수검사'!A34</f>
        <v>65</v>
      </c>
      <c r="B33" s="56" t="s">
        <v>1</v>
      </c>
      <c r="C33" s="48">
        <f>'1. 소켓인수검사'!C34</f>
        <v>750</v>
      </c>
      <c r="D33" s="48">
        <f>'1. 소켓인수검사'!D34</f>
        <v>550</v>
      </c>
      <c r="E33" s="43">
        <v>1</v>
      </c>
      <c r="F33" s="44"/>
      <c r="G33" s="224"/>
      <c r="H33" s="225"/>
      <c r="I33" s="43">
        <f t="shared" si="0"/>
        <v>745</v>
      </c>
      <c r="J33" s="43">
        <v>2</v>
      </c>
      <c r="K33" s="224"/>
      <c r="L33" s="226"/>
      <c r="M33" s="216">
        <f t="shared" si="1"/>
        <v>745</v>
      </c>
      <c r="N33" s="216" t="e">
        <f>(#REF!-20)/2-10</f>
        <v>#REF!</v>
      </c>
      <c r="O33" s="216" t="e">
        <f>(#REF!-20)/2-10</f>
        <v>#REF!</v>
      </c>
      <c r="P33" s="43">
        <v>2</v>
      </c>
      <c r="Q33" s="228"/>
      <c r="R33" s="227"/>
      <c r="S33" s="216">
        <f t="shared" si="2"/>
        <v>515</v>
      </c>
      <c r="T33" s="216" t="e">
        <v>#REF!</v>
      </c>
      <c r="U33" s="216">
        <v>-19.5</v>
      </c>
      <c r="V33" s="43">
        <v>4</v>
      </c>
      <c r="W33" s="228"/>
      <c r="X33" s="227"/>
      <c r="Y33" s="216">
        <f t="shared" si="3"/>
        <v>550</v>
      </c>
      <c r="Z33" s="216">
        <f t="shared" si="4"/>
        <v>-20</v>
      </c>
      <c r="AA33" s="216">
        <f t="shared" si="5"/>
        <v>-20</v>
      </c>
      <c r="AB33" s="43">
        <v>3</v>
      </c>
      <c r="AC33" s="224"/>
      <c r="AD33" s="229"/>
      <c r="AE33" s="229"/>
      <c r="AF33" s="229"/>
      <c r="AG33" s="229"/>
      <c r="AH33" s="229"/>
      <c r="AI33" s="224"/>
      <c r="AJ33" s="230"/>
      <c r="AK33" s="230"/>
      <c r="AL33" s="230"/>
      <c r="AM33" s="230"/>
      <c r="AN33" s="230"/>
      <c r="AO33" s="43"/>
      <c r="AP33" s="224"/>
      <c r="AQ33" s="121">
        <v>260</v>
      </c>
      <c r="AR33" s="122">
        <v>1000</v>
      </c>
      <c r="AS33" s="116">
        <f>'2.1 재단(1.69,064)'!T33/2</f>
        <v>4</v>
      </c>
      <c r="AT33" s="224"/>
      <c r="AU33" s="123">
        <v>310</v>
      </c>
      <c r="AV33" s="243">
        <v>1000</v>
      </c>
      <c r="AW33" s="243"/>
      <c r="AX33" s="243"/>
      <c r="AY33" s="116">
        <f>'2.1 재단(1.69,064)'!Z33</f>
        <v>4</v>
      </c>
    </row>
    <row r="34" spans="1:51" ht="16.5" customHeight="1">
      <c r="A34" s="120" t="str">
        <f>'1. 소켓인수검사'!A35</f>
        <v>66</v>
      </c>
      <c r="B34" s="56" t="s">
        <v>1</v>
      </c>
      <c r="C34" s="48">
        <f>'1. 소켓인수검사'!C35</f>
        <v>750</v>
      </c>
      <c r="D34" s="48">
        <f>'1. 소켓인수검사'!D35</f>
        <v>600</v>
      </c>
      <c r="E34" s="43">
        <v>1</v>
      </c>
      <c r="F34" s="44"/>
      <c r="G34" s="224"/>
      <c r="H34" s="225"/>
      <c r="I34" s="43">
        <f t="shared" si="0"/>
        <v>745</v>
      </c>
      <c r="J34" s="43">
        <v>2</v>
      </c>
      <c r="K34" s="224"/>
      <c r="L34" s="226"/>
      <c r="M34" s="216">
        <f t="shared" si="1"/>
        <v>745</v>
      </c>
      <c r="N34" s="216" t="e">
        <f>(#REF!-20)/2-10</f>
        <v>#REF!</v>
      </c>
      <c r="O34" s="216" t="e">
        <f>(#REF!-20)/2-10</f>
        <v>#REF!</v>
      </c>
      <c r="P34" s="43">
        <v>2</v>
      </c>
      <c r="Q34" s="228"/>
      <c r="R34" s="227"/>
      <c r="S34" s="216">
        <f t="shared" si="2"/>
        <v>565</v>
      </c>
      <c r="T34" s="216" t="e">
        <v>#REF!</v>
      </c>
      <c r="U34" s="216">
        <v>-19.5</v>
      </c>
      <c r="V34" s="43">
        <v>4</v>
      </c>
      <c r="W34" s="228"/>
      <c r="X34" s="227"/>
      <c r="Y34" s="216">
        <f t="shared" si="3"/>
        <v>600</v>
      </c>
      <c r="Z34" s="216">
        <f t="shared" si="4"/>
        <v>-20</v>
      </c>
      <c r="AA34" s="216">
        <f t="shared" si="5"/>
        <v>-20</v>
      </c>
      <c r="AB34" s="43">
        <v>3</v>
      </c>
      <c r="AC34" s="224"/>
      <c r="AD34" s="229"/>
      <c r="AE34" s="229"/>
      <c r="AF34" s="229"/>
      <c r="AG34" s="229"/>
      <c r="AH34" s="229"/>
      <c r="AI34" s="224"/>
      <c r="AJ34" s="230"/>
      <c r="AK34" s="230"/>
      <c r="AL34" s="230"/>
      <c r="AM34" s="230"/>
      <c r="AN34" s="230"/>
      <c r="AO34" s="43"/>
      <c r="AP34" s="224"/>
      <c r="AQ34" s="121">
        <v>260</v>
      </c>
      <c r="AR34" s="122">
        <v>1000</v>
      </c>
      <c r="AS34" s="116">
        <f>'2.1 재단(1.69,064)'!T34/2</f>
        <v>4</v>
      </c>
      <c r="AT34" s="224"/>
      <c r="AU34" s="123">
        <v>310</v>
      </c>
      <c r="AV34" s="243">
        <v>1000</v>
      </c>
      <c r="AW34" s="243"/>
      <c r="AX34" s="243"/>
      <c r="AY34" s="116">
        <f>'2.1 재단(1.69,064)'!Z34</f>
        <v>4</v>
      </c>
    </row>
    <row r="35" spans="1:51" ht="16.5" customHeight="1">
      <c r="A35" s="120" t="str">
        <f>'1. 소켓인수검사'!A36</f>
        <v>67</v>
      </c>
      <c r="B35" s="56" t="s">
        <v>1</v>
      </c>
      <c r="C35" s="48">
        <f>'1. 소켓인수검사'!C36</f>
        <v>750</v>
      </c>
      <c r="D35" s="48">
        <f>'1. 소켓인수검사'!D36</f>
        <v>600</v>
      </c>
      <c r="E35" s="43">
        <v>1</v>
      </c>
      <c r="F35" s="44"/>
      <c r="G35" s="224"/>
      <c r="H35" s="225"/>
      <c r="I35" s="43">
        <f t="shared" si="0"/>
        <v>745</v>
      </c>
      <c r="J35" s="43">
        <v>2</v>
      </c>
      <c r="K35" s="224"/>
      <c r="L35" s="226"/>
      <c r="M35" s="216">
        <f t="shared" si="1"/>
        <v>745</v>
      </c>
      <c r="N35" s="216" t="e">
        <f>(#REF!-20)/2-10</f>
        <v>#REF!</v>
      </c>
      <c r="O35" s="216" t="e">
        <f>(#REF!-20)/2-10</f>
        <v>#REF!</v>
      </c>
      <c r="P35" s="43">
        <v>2</v>
      </c>
      <c r="Q35" s="228"/>
      <c r="R35" s="227"/>
      <c r="S35" s="216">
        <f t="shared" si="2"/>
        <v>565</v>
      </c>
      <c r="T35" s="216" t="e">
        <v>#REF!</v>
      </c>
      <c r="U35" s="216">
        <v>-19.5</v>
      </c>
      <c r="V35" s="43">
        <v>4</v>
      </c>
      <c r="W35" s="228"/>
      <c r="X35" s="227"/>
      <c r="Y35" s="216">
        <f t="shared" si="3"/>
        <v>600</v>
      </c>
      <c r="Z35" s="216">
        <f t="shared" si="4"/>
        <v>-20</v>
      </c>
      <c r="AA35" s="216">
        <f t="shared" si="5"/>
        <v>-20</v>
      </c>
      <c r="AB35" s="43">
        <v>3</v>
      </c>
      <c r="AC35" s="224"/>
      <c r="AD35" s="229"/>
      <c r="AE35" s="229"/>
      <c r="AF35" s="229"/>
      <c r="AG35" s="229"/>
      <c r="AH35" s="229"/>
      <c r="AI35" s="224"/>
      <c r="AJ35" s="230"/>
      <c r="AK35" s="230"/>
      <c r="AL35" s="230"/>
      <c r="AM35" s="230"/>
      <c r="AN35" s="230"/>
      <c r="AO35" s="43"/>
      <c r="AP35" s="224"/>
      <c r="AQ35" s="121">
        <v>260</v>
      </c>
      <c r="AR35" s="122">
        <v>1000</v>
      </c>
      <c r="AS35" s="116">
        <f>'2.1 재단(1.69,064)'!T35/2</f>
        <v>4</v>
      </c>
      <c r="AT35" s="224"/>
      <c r="AU35" s="123">
        <v>310</v>
      </c>
      <c r="AV35" s="243">
        <v>1000</v>
      </c>
      <c r="AW35" s="243"/>
      <c r="AX35" s="243"/>
      <c r="AY35" s="116">
        <f>'2.1 재단(1.69,064)'!Z35</f>
        <v>4</v>
      </c>
    </row>
    <row r="36" spans="1:51" ht="16.5" customHeight="1">
      <c r="A36" s="120" t="str">
        <f>'1. 소켓인수검사'!A37</f>
        <v>68</v>
      </c>
      <c r="B36" s="56" t="s">
        <v>1</v>
      </c>
      <c r="C36" s="48">
        <f>'1. 소켓인수검사'!C37</f>
        <v>750</v>
      </c>
      <c r="D36" s="48">
        <f>'1. 소켓인수검사'!D37</f>
        <v>650</v>
      </c>
      <c r="E36" s="43">
        <v>1</v>
      </c>
      <c r="F36" s="44"/>
      <c r="G36" s="224"/>
      <c r="H36" s="225"/>
      <c r="I36" s="43">
        <f t="shared" si="0"/>
        <v>745</v>
      </c>
      <c r="J36" s="43">
        <v>2</v>
      </c>
      <c r="K36" s="224"/>
      <c r="L36" s="226"/>
      <c r="M36" s="216">
        <f t="shared" si="1"/>
        <v>745</v>
      </c>
      <c r="N36" s="216" t="e">
        <f>(#REF!-20)/2-10</f>
        <v>#REF!</v>
      </c>
      <c r="O36" s="216" t="e">
        <f>(#REF!-20)/2-10</f>
        <v>#REF!</v>
      </c>
      <c r="P36" s="43">
        <v>2</v>
      </c>
      <c r="Q36" s="228"/>
      <c r="R36" s="227"/>
      <c r="S36" s="216">
        <f t="shared" si="2"/>
        <v>615</v>
      </c>
      <c r="T36" s="216" t="e">
        <v>#REF!</v>
      </c>
      <c r="U36" s="216">
        <v>-19.5</v>
      </c>
      <c r="V36" s="43">
        <v>4</v>
      </c>
      <c r="W36" s="228"/>
      <c r="X36" s="227"/>
      <c r="Y36" s="216">
        <f t="shared" si="3"/>
        <v>650</v>
      </c>
      <c r="Z36" s="216">
        <f t="shared" si="4"/>
        <v>-20</v>
      </c>
      <c r="AA36" s="216">
        <f t="shared" si="5"/>
        <v>-20</v>
      </c>
      <c r="AB36" s="43">
        <v>3</v>
      </c>
      <c r="AC36" s="224"/>
      <c r="AD36" s="229"/>
      <c r="AE36" s="229"/>
      <c r="AF36" s="229"/>
      <c r="AG36" s="229"/>
      <c r="AH36" s="229"/>
      <c r="AI36" s="224"/>
      <c r="AJ36" s="230"/>
      <c r="AK36" s="230"/>
      <c r="AL36" s="230"/>
      <c r="AM36" s="230"/>
      <c r="AN36" s="230"/>
      <c r="AO36" s="43"/>
      <c r="AP36" s="224"/>
      <c r="AQ36" s="121">
        <v>260</v>
      </c>
      <c r="AR36" s="122">
        <v>1000</v>
      </c>
      <c r="AS36" s="116">
        <f>'2.1 재단(1.69,064)'!T36/2</f>
        <v>4</v>
      </c>
      <c r="AT36" s="224"/>
      <c r="AU36" s="123">
        <v>310</v>
      </c>
      <c r="AV36" s="243">
        <v>1000</v>
      </c>
      <c r="AW36" s="243"/>
      <c r="AX36" s="243"/>
      <c r="AY36" s="116">
        <f>'2.1 재단(1.69,064)'!Z36</f>
        <v>4</v>
      </c>
    </row>
    <row r="37" spans="1:51" ht="16.5" customHeight="1">
      <c r="A37" s="120" t="str">
        <f>'1. 소켓인수검사'!A38</f>
        <v>69</v>
      </c>
      <c r="B37" s="56" t="s">
        <v>1</v>
      </c>
      <c r="C37" s="48">
        <f>'1. 소켓인수검사'!C38</f>
        <v>750</v>
      </c>
      <c r="D37" s="48">
        <f>'1. 소켓인수검사'!D38</f>
        <v>650</v>
      </c>
      <c r="E37" s="43">
        <v>1</v>
      </c>
      <c r="F37" s="44"/>
      <c r="G37" s="224"/>
      <c r="H37" s="225"/>
      <c r="I37" s="43">
        <f t="shared" si="0"/>
        <v>745</v>
      </c>
      <c r="J37" s="43">
        <v>2</v>
      </c>
      <c r="K37" s="224"/>
      <c r="L37" s="226"/>
      <c r="M37" s="216">
        <f t="shared" si="1"/>
        <v>745</v>
      </c>
      <c r="N37" s="216" t="e">
        <f>(#REF!-20)/2-10</f>
        <v>#REF!</v>
      </c>
      <c r="O37" s="216" t="e">
        <f>(#REF!-20)/2-10</f>
        <v>#REF!</v>
      </c>
      <c r="P37" s="43">
        <v>2</v>
      </c>
      <c r="Q37" s="228"/>
      <c r="R37" s="227"/>
      <c r="S37" s="216">
        <f t="shared" si="2"/>
        <v>615</v>
      </c>
      <c r="T37" s="216" t="e">
        <v>#REF!</v>
      </c>
      <c r="U37" s="216">
        <v>-19.5</v>
      </c>
      <c r="V37" s="43">
        <v>4</v>
      </c>
      <c r="W37" s="228"/>
      <c r="X37" s="227"/>
      <c r="Y37" s="216">
        <f t="shared" si="3"/>
        <v>650</v>
      </c>
      <c r="Z37" s="216">
        <f t="shared" si="4"/>
        <v>-20</v>
      </c>
      <c r="AA37" s="216">
        <f t="shared" si="5"/>
        <v>-20</v>
      </c>
      <c r="AB37" s="43">
        <v>3</v>
      </c>
      <c r="AC37" s="224"/>
      <c r="AD37" s="229"/>
      <c r="AE37" s="229"/>
      <c r="AF37" s="229"/>
      <c r="AG37" s="229"/>
      <c r="AH37" s="229"/>
      <c r="AI37" s="224"/>
      <c r="AJ37" s="230"/>
      <c r="AK37" s="230"/>
      <c r="AL37" s="230"/>
      <c r="AM37" s="230"/>
      <c r="AN37" s="230"/>
      <c r="AO37" s="43"/>
      <c r="AP37" s="224"/>
      <c r="AQ37" s="121">
        <v>260</v>
      </c>
      <c r="AR37" s="122">
        <v>1000</v>
      </c>
      <c r="AS37" s="116">
        <f>'2.1 재단(1.69,064)'!T37/2</f>
        <v>4</v>
      </c>
      <c r="AT37" s="224"/>
      <c r="AU37" s="123">
        <v>310</v>
      </c>
      <c r="AV37" s="243">
        <v>1000</v>
      </c>
      <c r="AW37" s="243"/>
      <c r="AX37" s="243"/>
      <c r="AY37" s="116">
        <f>'2.1 재단(1.69,064)'!Z37</f>
        <v>4</v>
      </c>
    </row>
    <row r="38" spans="1:51" ht="16.5" customHeight="1">
      <c r="A38" s="120" t="str">
        <f>'1. 소켓인수검사'!A39</f>
        <v>70</v>
      </c>
      <c r="B38" s="56" t="s">
        <v>1</v>
      </c>
      <c r="C38" s="48">
        <f>'1. 소켓인수검사'!C39</f>
        <v>750</v>
      </c>
      <c r="D38" s="48">
        <f>'1. 소켓인수검사'!D39</f>
        <v>700</v>
      </c>
      <c r="E38" s="43">
        <v>1</v>
      </c>
      <c r="F38" s="44"/>
      <c r="G38" s="224"/>
      <c r="H38" s="225"/>
      <c r="I38" s="43">
        <f t="shared" si="0"/>
        <v>745</v>
      </c>
      <c r="J38" s="43">
        <v>2</v>
      </c>
      <c r="K38" s="224"/>
      <c r="L38" s="226"/>
      <c r="M38" s="216">
        <f t="shared" si="1"/>
        <v>745</v>
      </c>
      <c r="N38" s="216" t="e">
        <f>(#REF!-20)/2-10</f>
        <v>#REF!</v>
      </c>
      <c r="O38" s="216" t="e">
        <f>(#REF!-20)/2-10</f>
        <v>#REF!</v>
      </c>
      <c r="P38" s="43">
        <v>2</v>
      </c>
      <c r="Q38" s="228"/>
      <c r="R38" s="227"/>
      <c r="S38" s="216">
        <f t="shared" si="2"/>
        <v>665</v>
      </c>
      <c r="T38" s="216" t="e">
        <v>#REF!</v>
      </c>
      <c r="U38" s="216">
        <v>-19.5</v>
      </c>
      <c r="V38" s="43">
        <v>4</v>
      </c>
      <c r="W38" s="228"/>
      <c r="X38" s="227"/>
      <c r="Y38" s="216">
        <f t="shared" ref="Y38:Y56" si="6">D38</f>
        <v>700</v>
      </c>
      <c r="Z38" s="216">
        <f t="shared" ref="Z38:Z56" si="7">(F38-20)/2-10</f>
        <v>-20</v>
      </c>
      <c r="AA38" s="216">
        <f t="shared" ref="AA38:AA56" si="8">(G38-20)/2-10</f>
        <v>-20</v>
      </c>
      <c r="AB38" s="43">
        <v>3</v>
      </c>
      <c r="AC38" s="224"/>
      <c r="AD38" s="229"/>
      <c r="AE38" s="229"/>
      <c r="AF38" s="229"/>
      <c r="AG38" s="229"/>
      <c r="AH38" s="229"/>
      <c r="AI38" s="224"/>
      <c r="AJ38" s="230"/>
      <c r="AK38" s="230"/>
      <c r="AL38" s="230"/>
      <c r="AM38" s="230"/>
      <c r="AN38" s="230"/>
      <c r="AO38" s="43"/>
      <c r="AP38" s="224"/>
      <c r="AQ38" s="121">
        <v>260</v>
      </c>
      <c r="AR38" s="122">
        <v>1000</v>
      </c>
      <c r="AS38" s="116">
        <f>'2.1 재단(1.69,064)'!T38/2</f>
        <v>4</v>
      </c>
      <c r="AT38" s="224"/>
      <c r="AU38" s="123">
        <v>310</v>
      </c>
      <c r="AV38" s="243">
        <v>1000</v>
      </c>
      <c r="AW38" s="243"/>
      <c r="AX38" s="243"/>
      <c r="AY38" s="116">
        <f>'2.1 재단(1.69,064)'!Z38</f>
        <v>4</v>
      </c>
    </row>
    <row r="39" spans="1:51" ht="16.5" customHeight="1">
      <c r="A39" s="120" t="str">
        <f>'1. 소켓인수검사'!A40</f>
        <v>71</v>
      </c>
      <c r="B39" s="56" t="s">
        <v>1</v>
      </c>
      <c r="C39" s="48">
        <f>'1. 소켓인수검사'!C40</f>
        <v>750</v>
      </c>
      <c r="D39" s="48">
        <f>'1. 소켓인수검사'!D40</f>
        <v>700</v>
      </c>
      <c r="E39" s="43">
        <v>1</v>
      </c>
      <c r="F39" s="44"/>
      <c r="G39" s="224"/>
      <c r="H39" s="225"/>
      <c r="I39" s="43">
        <f t="shared" si="0"/>
        <v>745</v>
      </c>
      <c r="J39" s="43">
        <v>2</v>
      </c>
      <c r="K39" s="224"/>
      <c r="L39" s="226"/>
      <c r="M39" s="216">
        <f t="shared" si="1"/>
        <v>745</v>
      </c>
      <c r="N39" s="216" t="e">
        <f>(#REF!-20)/2-10</f>
        <v>#REF!</v>
      </c>
      <c r="O39" s="216" t="e">
        <f>(#REF!-20)/2-10</f>
        <v>#REF!</v>
      </c>
      <c r="P39" s="43">
        <v>2</v>
      </c>
      <c r="Q39" s="228"/>
      <c r="R39" s="227"/>
      <c r="S39" s="216">
        <f t="shared" si="2"/>
        <v>665</v>
      </c>
      <c r="T39" s="216" t="e">
        <v>#REF!</v>
      </c>
      <c r="U39" s="216">
        <v>-19.5</v>
      </c>
      <c r="V39" s="43">
        <v>4</v>
      </c>
      <c r="W39" s="228"/>
      <c r="X39" s="227"/>
      <c r="Y39" s="216">
        <f t="shared" si="6"/>
        <v>700</v>
      </c>
      <c r="Z39" s="216">
        <f t="shared" si="7"/>
        <v>-20</v>
      </c>
      <c r="AA39" s="216">
        <f t="shared" si="8"/>
        <v>-20</v>
      </c>
      <c r="AB39" s="43">
        <v>3</v>
      </c>
      <c r="AC39" s="224"/>
      <c r="AD39" s="229"/>
      <c r="AE39" s="229"/>
      <c r="AF39" s="229"/>
      <c r="AG39" s="229"/>
      <c r="AH39" s="229"/>
      <c r="AI39" s="224"/>
      <c r="AJ39" s="230"/>
      <c r="AK39" s="230"/>
      <c r="AL39" s="230"/>
      <c r="AM39" s="230"/>
      <c r="AN39" s="230"/>
      <c r="AO39" s="43"/>
      <c r="AP39" s="224"/>
      <c r="AQ39" s="121">
        <v>260</v>
      </c>
      <c r="AR39" s="122">
        <v>1000</v>
      </c>
      <c r="AS39" s="116">
        <f>'2.1 재단(1.69,064)'!T39/2</f>
        <v>4</v>
      </c>
      <c r="AT39" s="224"/>
      <c r="AU39" s="123">
        <v>310</v>
      </c>
      <c r="AV39" s="243">
        <v>1000</v>
      </c>
      <c r="AW39" s="243"/>
      <c r="AX39" s="243"/>
      <c r="AY39" s="116">
        <f>'2.1 재단(1.69,064)'!Z39</f>
        <v>4</v>
      </c>
    </row>
    <row r="40" spans="1:51" ht="16.5" customHeight="1">
      <c r="A40" s="120" t="str">
        <f>'1. 소켓인수검사'!A41</f>
        <v>72</v>
      </c>
      <c r="B40" s="56" t="s">
        <v>1</v>
      </c>
      <c r="C40" s="48">
        <f>'1. 소켓인수검사'!C41</f>
        <v>800</v>
      </c>
      <c r="D40" s="48">
        <f>'1. 소켓인수검사'!D41</f>
        <v>500</v>
      </c>
      <c r="E40" s="43">
        <v>1</v>
      </c>
      <c r="F40" s="44"/>
      <c r="G40" s="224"/>
      <c r="H40" s="225"/>
      <c r="I40" s="43">
        <f t="shared" si="0"/>
        <v>795</v>
      </c>
      <c r="J40" s="43">
        <v>2</v>
      </c>
      <c r="K40" s="224"/>
      <c r="L40" s="226"/>
      <c r="M40" s="216">
        <f t="shared" si="1"/>
        <v>795</v>
      </c>
      <c r="N40" s="216" t="e">
        <f>(#REF!-20)/2-10</f>
        <v>#REF!</v>
      </c>
      <c r="O40" s="216" t="e">
        <f>(#REF!-20)/2-10</f>
        <v>#REF!</v>
      </c>
      <c r="P40" s="43">
        <v>2</v>
      </c>
      <c r="Q40" s="228"/>
      <c r="R40" s="227"/>
      <c r="S40" s="216">
        <f t="shared" si="2"/>
        <v>465</v>
      </c>
      <c r="T40" s="216" t="e">
        <v>#REF!</v>
      </c>
      <c r="U40" s="216">
        <v>-19.5</v>
      </c>
      <c r="V40" s="43">
        <v>4</v>
      </c>
      <c r="W40" s="228"/>
      <c r="X40" s="227"/>
      <c r="Y40" s="216">
        <f t="shared" si="6"/>
        <v>500</v>
      </c>
      <c r="Z40" s="216">
        <f t="shared" si="7"/>
        <v>-20</v>
      </c>
      <c r="AA40" s="216">
        <f t="shared" si="8"/>
        <v>-20</v>
      </c>
      <c r="AB40" s="43">
        <v>3</v>
      </c>
      <c r="AC40" s="224"/>
      <c r="AD40" s="229"/>
      <c r="AE40" s="229"/>
      <c r="AF40" s="229"/>
      <c r="AG40" s="229"/>
      <c r="AH40" s="229"/>
      <c r="AI40" s="224"/>
      <c r="AJ40" s="230"/>
      <c r="AK40" s="230"/>
      <c r="AL40" s="230"/>
      <c r="AM40" s="230"/>
      <c r="AN40" s="230"/>
      <c r="AO40" s="43"/>
      <c r="AP40" s="224"/>
      <c r="AQ40" s="121">
        <v>260</v>
      </c>
      <c r="AR40" s="122">
        <v>1000</v>
      </c>
      <c r="AS40" s="116">
        <f>'2.1 재단(1.69,064)'!T40/2</f>
        <v>4</v>
      </c>
      <c r="AT40" s="224"/>
      <c r="AU40" s="123">
        <v>310</v>
      </c>
      <c r="AV40" s="243">
        <v>1000</v>
      </c>
      <c r="AW40" s="243"/>
      <c r="AX40" s="243"/>
      <c r="AY40" s="116">
        <f>'2.1 재단(1.69,064)'!Z40</f>
        <v>4</v>
      </c>
    </row>
    <row r="41" spans="1:51" ht="16.5" customHeight="1">
      <c r="A41" s="120" t="str">
        <f>'1. 소켓인수검사'!A42</f>
        <v>73</v>
      </c>
      <c r="B41" s="56" t="s">
        <v>1</v>
      </c>
      <c r="C41" s="48">
        <f>'1. 소켓인수검사'!C42</f>
        <v>800</v>
      </c>
      <c r="D41" s="48">
        <f>'1. 소켓인수검사'!D42</f>
        <v>500</v>
      </c>
      <c r="E41" s="43">
        <v>1</v>
      </c>
      <c r="F41" s="44"/>
      <c r="G41" s="224"/>
      <c r="H41" s="225"/>
      <c r="I41" s="43">
        <f t="shared" si="0"/>
        <v>795</v>
      </c>
      <c r="J41" s="43">
        <v>2</v>
      </c>
      <c r="K41" s="224"/>
      <c r="L41" s="226"/>
      <c r="M41" s="216">
        <f t="shared" si="1"/>
        <v>795</v>
      </c>
      <c r="N41" s="216" t="e">
        <f>(#REF!-20)/2-10</f>
        <v>#REF!</v>
      </c>
      <c r="O41" s="216" t="e">
        <f>(#REF!-20)/2-10</f>
        <v>#REF!</v>
      </c>
      <c r="P41" s="43">
        <v>2</v>
      </c>
      <c r="Q41" s="228"/>
      <c r="R41" s="227"/>
      <c r="S41" s="216">
        <f t="shared" si="2"/>
        <v>465</v>
      </c>
      <c r="T41" s="216" t="e">
        <v>#REF!</v>
      </c>
      <c r="U41" s="216">
        <v>-19.5</v>
      </c>
      <c r="V41" s="43">
        <v>4</v>
      </c>
      <c r="W41" s="228"/>
      <c r="X41" s="227"/>
      <c r="Y41" s="216">
        <f t="shared" si="6"/>
        <v>500</v>
      </c>
      <c r="Z41" s="216">
        <f t="shared" si="7"/>
        <v>-20</v>
      </c>
      <c r="AA41" s="216">
        <f t="shared" si="8"/>
        <v>-20</v>
      </c>
      <c r="AB41" s="43">
        <v>3</v>
      </c>
      <c r="AC41" s="224"/>
      <c r="AD41" s="229"/>
      <c r="AE41" s="229"/>
      <c r="AF41" s="229"/>
      <c r="AG41" s="229"/>
      <c r="AH41" s="229"/>
      <c r="AI41" s="224"/>
      <c r="AJ41" s="230"/>
      <c r="AK41" s="230"/>
      <c r="AL41" s="230"/>
      <c r="AM41" s="230"/>
      <c r="AN41" s="230"/>
      <c r="AO41" s="43"/>
      <c r="AP41" s="224"/>
      <c r="AQ41" s="121">
        <v>260</v>
      </c>
      <c r="AR41" s="122">
        <v>1000</v>
      </c>
      <c r="AS41" s="116">
        <f>'2.1 재단(1.69,064)'!T41/2</f>
        <v>4</v>
      </c>
      <c r="AT41" s="224"/>
      <c r="AU41" s="123">
        <v>310</v>
      </c>
      <c r="AV41" s="243">
        <v>1000</v>
      </c>
      <c r="AW41" s="243"/>
      <c r="AX41" s="243"/>
      <c r="AY41" s="116">
        <f>'2.1 재단(1.69,064)'!Z41</f>
        <v>4</v>
      </c>
    </row>
    <row r="42" spans="1:51" ht="16.5" customHeight="1">
      <c r="A42" s="120" t="str">
        <f>'1. 소켓인수검사'!A43</f>
        <v>74</v>
      </c>
      <c r="B42" s="56" t="s">
        <v>1</v>
      </c>
      <c r="C42" s="48">
        <f>'1. 소켓인수검사'!C43</f>
        <v>800</v>
      </c>
      <c r="D42" s="48">
        <f>'1. 소켓인수검사'!D43</f>
        <v>550</v>
      </c>
      <c r="E42" s="43">
        <v>1</v>
      </c>
      <c r="F42" s="44"/>
      <c r="G42" s="224"/>
      <c r="H42" s="225"/>
      <c r="I42" s="43">
        <f t="shared" si="0"/>
        <v>795</v>
      </c>
      <c r="J42" s="43">
        <v>2</v>
      </c>
      <c r="K42" s="224"/>
      <c r="L42" s="226"/>
      <c r="M42" s="216">
        <f t="shared" si="1"/>
        <v>795</v>
      </c>
      <c r="N42" s="216" t="e">
        <f>(#REF!-20)/2-10</f>
        <v>#REF!</v>
      </c>
      <c r="O42" s="216" t="e">
        <f>(#REF!-20)/2-10</f>
        <v>#REF!</v>
      </c>
      <c r="P42" s="43">
        <v>2</v>
      </c>
      <c r="Q42" s="228"/>
      <c r="R42" s="227"/>
      <c r="S42" s="216">
        <f t="shared" si="2"/>
        <v>515</v>
      </c>
      <c r="T42" s="216" t="e">
        <v>#REF!</v>
      </c>
      <c r="U42" s="216">
        <v>-19.5</v>
      </c>
      <c r="V42" s="43">
        <v>4</v>
      </c>
      <c r="W42" s="228"/>
      <c r="X42" s="227"/>
      <c r="Y42" s="216">
        <f t="shared" si="6"/>
        <v>550</v>
      </c>
      <c r="Z42" s="216">
        <f t="shared" si="7"/>
        <v>-20</v>
      </c>
      <c r="AA42" s="216">
        <f t="shared" si="8"/>
        <v>-20</v>
      </c>
      <c r="AB42" s="43">
        <v>3</v>
      </c>
      <c r="AC42" s="224"/>
      <c r="AD42" s="229"/>
      <c r="AE42" s="229"/>
      <c r="AF42" s="229"/>
      <c r="AG42" s="229"/>
      <c r="AH42" s="229"/>
      <c r="AI42" s="224"/>
      <c r="AJ42" s="230"/>
      <c r="AK42" s="230"/>
      <c r="AL42" s="230"/>
      <c r="AM42" s="230"/>
      <c r="AN42" s="230"/>
      <c r="AO42" s="43"/>
      <c r="AP42" s="224"/>
      <c r="AQ42" s="121">
        <v>260</v>
      </c>
      <c r="AR42" s="122">
        <v>1000</v>
      </c>
      <c r="AS42" s="116">
        <f>'2.1 재단(1.69,064)'!T42/2</f>
        <v>4</v>
      </c>
      <c r="AT42" s="224"/>
      <c r="AU42" s="123">
        <v>310</v>
      </c>
      <c r="AV42" s="243">
        <v>1000</v>
      </c>
      <c r="AW42" s="243"/>
      <c r="AX42" s="243"/>
      <c r="AY42" s="116">
        <f>'2.1 재단(1.69,064)'!Z42</f>
        <v>4</v>
      </c>
    </row>
    <row r="43" spans="1:51" ht="16.5" customHeight="1">
      <c r="A43" s="120" t="str">
        <f>'1. 소켓인수검사'!A44</f>
        <v>75</v>
      </c>
      <c r="B43" s="56" t="s">
        <v>1</v>
      </c>
      <c r="C43" s="48">
        <f>'1. 소켓인수검사'!C44</f>
        <v>800</v>
      </c>
      <c r="D43" s="48">
        <f>'1. 소켓인수검사'!D44</f>
        <v>600</v>
      </c>
      <c r="E43" s="43">
        <v>1</v>
      </c>
      <c r="F43" s="44"/>
      <c r="G43" s="224"/>
      <c r="H43" s="225"/>
      <c r="I43" s="43">
        <f t="shared" si="0"/>
        <v>795</v>
      </c>
      <c r="J43" s="43">
        <v>2</v>
      </c>
      <c r="K43" s="224"/>
      <c r="L43" s="226"/>
      <c r="M43" s="216">
        <f t="shared" si="1"/>
        <v>795</v>
      </c>
      <c r="N43" s="216" t="e">
        <f>(#REF!-20)/2-10</f>
        <v>#REF!</v>
      </c>
      <c r="O43" s="216" t="e">
        <f>(#REF!-20)/2-10</f>
        <v>#REF!</v>
      </c>
      <c r="P43" s="43">
        <v>2</v>
      </c>
      <c r="Q43" s="228"/>
      <c r="R43" s="227"/>
      <c r="S43" s="216">
        <f t="shared" si="2"/>
        <v>565</v>
      </c>
      <c r="T43" s="216" t="e">
        <v>#REF!</v>
      </c>
      <c r="U43" s="216">
        <v>-19.5</v>
      </c>
      <c r="V43" s="43">
        <v>4</v>
      </c>
      <c r="W43" s="228"/>
      <c r="X43" s="227"/>
      <c r="Y43" s="216">
        <f t="shared" si="6"/>
        <v>600</v>
      </c>
      <c r="Z43" s="216">
        <f t="shared" si="7"/>
        <v>-20</v>
      </c>
      <c r="AA43" s="216">
        <f t="shared" si="8"/>
        <v>-20</v>
      </c>
      <c r="AB43" s="43">
        <v>3</v>
      </c>
      <c r="AC43" s="224"/>
      <c r="AD43" s="229"/>
      <c r="AE43" s="229"/>
      <c r="AF43" s="229"/>
      <c r="AG43" s="229"/>
      <c r="AH43" s="229"/>
      <c r="AI43" s="224"/>
      <c r="AJ43" s="230"/>
      <c r="AK43" s="230"/>
      <c r="AL43" s="230"/>
      <c r="AM43" s="230"/>
      <c r="AN43" s="230"/>
      <c r="AO43" s="43"/>
      <c r="AP43" s="224"/>
      <c r="AQ43" s="121">
        <v>260</v>
      </c>
      <c r="AR43" s="122">
        <v>1000</v>
      </c>
      <c r="AS43" s="116">
        <f>'2.1 재단(1.69,064)'!T43/2</f>
        <v>4</v>
      </c>
      <c r="AT43" s="224"/>
      <c r="AU43" s="123">
        <v>310</v>
      </c>
      <c r="AV43" s="243">
        <v>1000</v>
      </c>
      <c r="AW43" s="243"/>
      <c r="AX43" s="243"/>
      <c r="AY43" s="116">
        <f>'2.1 재단(1.69,064)'!Z43</f>
        <v>4</v>
      </c>
    </row>
    <row r="44" spans="1:51" ht="16.5" customHeight="1">
      <c r="A44" s="120" t="str">
        <f>'1. 소켓인수검사'!A45</f>
        <v>76</v>
      </c>
      <c r="B44" s="56" t="s">
        <v>1</v>
      </c>
      <c r="C44" s="48">
        <f>'1. 소켓인수검사'!C45</f>
        <v>800</v>
      </c>
      <c r="D44" s="48">
        <f>'1. 소켓인수검사'!D45</f>
        <v>600</v>
      </c>
      <c r="E44" s="43">
        <v>1</v>
      </c>
      <c r="F44" s="44"/>
      <c r="G44" s="224"/>
      <c r="H44" s="225"/>
      <c r="I44" s="43">
        <f t="shared" si="0"/>
        <v>795</v>
      </c>
      <c r="J44" s="43">
        <v>2</v>
      </c>
      <c r="K44" s="224"/>
      <c r="L44" s="226"/>
      <c r="M44" s="216">
        <f t="shared" si="1"/>
        <v>795</v>
      </c>
      <c r="N44" s="216" t="e">
        <f>(#REF!-20)/2-10</f>
        <v>#REF!</v>
      </c>
      <c r="O44" s="216" t="e">
        <f>(#REF!-20)/2-10</f>
        <v>#REF!</v>
      </c>
      <c r="P44" s="43">
        <v>2</v>
      </c>
      <c r="Q44" s="228"/>
      <c r="R44" s="227"/>
      <c r="S44" s="216">
        <f t="shared" si="2"/>
        <v>565</v>
      </c>
      <c r="T44" s="216" t="e">
        <v>#REF!</v>
      </c>
      <c r="U44" s="216">
        <v>-19.5</v>
      </c>
      <c r="V44" s="43">
        <v>4</v>
      </c>
      <c r="W44" s="228"/>
      <c r="X44" s="227"/>
      <c r="Y44" s="216">
        <f t="shared" si="6"/>
        <v>600</v>
      </c>
      <c r="Z44" s="216">
        <f t="shared" si="7"/>
        <v>-20</v>
      </c>
      <c r="AA44" s="216">
        <f t="shared" si="8"/>
        <v>-20</v>
      </c>
      <c r="AB44" s="43">
        <v>3</v>
      </c>
      <c r="AC44" s="224"/>
      <c r="AD44" s="229"/>
      <c r="AE44" s="229"/>
      <c r="AF44" s="229"/>
      <c r="AG44" s="229"/>
      <c r="AH44" s="229"/>
      <c r="AI44" s="224"/>
      <c r="AJ44" s="230"/>
      <c r="AK44" s="230"/>
      <c r="AL44" s="230"/>
      <c r="AM44" s="230"/>
      <c r="AN44" s="230"/>
      <c r="AO44" s="43"/>
      <c r="AP44" s="224"/>
      <c r="AQ44" s="121">
        <v>260</v>
      </c>
      <c r="AR44" s="122">
        <v>1000</v>
      </c>
      <c r="AS44" s="116">
        <f>'2.1 재단(1.69,064)'!T44/2</f>
        <v>4</v>
      </c>
      <c r="AT44" s="224"/>
      <c r="AU44" s="123">
        <v>310</v>
      </c>
      <c r="AV44" s="243">
        <v>1000</v>
      </c>
      <c r="AW44" s="243"/>
      <c r="AX44" s="243"/>
      <c r="AY44" s="116">
        <f>'2.1 재단(1.69,064)'!Z44</f>
        <v>4</v>
      </c>
    </row>
    <row r="45" spans="1:51" ht="16.5" customHeight="1">
      <c r="A45" s="120" t="str">
        <f>'1. 소켓인수검사'!A46</f>
        <v>77</v>
      </c>
      <c r="B45" s="56" t="s">
        <v>1</v>
      </c>
      <c r="C45" s="48">
        <f>'1. 소켓인수검사'!C46</f>
        <v>800</v>
      </c>
      <c r="D45" s="48">
        <f>'1. 소켓인수검사'!D46</f>
        <v>600</v>
      </c>
      <c r="E45" s="43">
        <v>1</v>
      </c>
      <c r="F45" s="44"/>
      <c r="G45" s="224"/>
      <c r="H45" s="225"/>
      <c r="I45" s="43">
        <f t="shared" si="0"/>
        <v>795</v>
      </c>
      <c r="J45" s="43">
        <v>2</v>
      </c>
      <c r="K45" s="224"/>
      <c r="L45" s="226"/>
      <c r="M45" s="216">
        <f t="shared" si="1"/>
        <v>795</v>
      </c>
      <c r="N45" s="216" t="e">
        <f>(#REF!-20)/2-10</f>
        <v>#REF!</v>
      </c>
      <c r="O45" s="216" t="e">
        <f>(#REF!-20)/2-10</f>
        <v>#REF!</v>
      </c>
      <c r="P45" s="43">
        <v>2</v>
      </c>
      <c r="Q45" s="228"/>
      <c r="R45" s="227"/>
      <c r="S45" s="216">
        <f t="shared" si="2"/>
        <v>565</v>
      </c>
      <c r="T45" s="216" t="e">
        <v>#REF!</v>
      </c>
      <c r="U45" s="216">
        <v>-19.5</v>
      </c>
      <c r="V45" s="43">
        <v>4</v>
      </c>
      <c r="W45" s="228"/>
      <c r="X45" s="227"/>
      <c r="Y45" s="216">
        <f t="shared" si="6"/>
        <v>600</v>
      </c>
      <c r="Z45" s="216">
        <f t="shared" si="7"/>
        <v>-20</v>
      </c>
      <c r="AA45" s="216">
        <f t="shared" si="8"/>
        <v>-20</v>
      </c>
      <c r="AB45" s="43">
        <v>3</v>
      </c>
      <c r="AC45" s="224"/>
      <c r="AD45" s="229"/>
      <c r="AE45" s="229"/>
      <c r="AF45" s="229"/>
      <c r="AG45" s="229"/>
      <c r="AH45" s="229"/>
      <c r="AI45" s="224"/>
      <c r="AJ45" s="230"/>
      <c r="AK45" s="230"/>
      <c r="AL45" s="230"/>
      <c r="AM45" s="230"/>
      <c r="AN45" s="230"/>
      <c r="AO45" s="43"/>
      <c r="AP45" s="224"/>
      <c r="AQ45" s="121">
        <v>260</v>
      </c>
      <c r="AR45" s="122">
        <v>1000</v>
      </c>
      <c r="AS45" s="116">
        <f>'2.1 재단(1.69,064)'!T45/2</f>
        <v>4</v>
      </c>
      <c r="AT45" s="224"/>
      <c r="AU45" s="123">
        <v>310</v>
      </c>
      <c r="AV45" s="243">
        <v>1000</v>
      </c>
      <c r="AW45" s="243"/>
      <c r="AX45" s="243"/>
      <c r="AY45" s="116">
        <f>'2.1 재단(1.69,064)'!Z45</f>
        <v>4</v>
      </c>
    </row>
    <row r="46" spans="1:51" ht="16.5" customHeight="1">
      <c r="A46" s="120" t="str">
        <f>'1. 소켓인수검사'!A47</f>
        <v>78</v>
      </c>
      <c r="B46" s="56" t="s">
        <v>1</v>
      </c>
      <c r="C46" s="48">
        <f>'1. 소켓인수검사'!C47</f>
        <v>800</v>
      </c>
      <c r="D46" s="48">
        <f>'1. 소켓인수검사'!D47</f>
        <v>650</v>
      </c>
      <c r="E46" s="43">
        <v>1</v>
      </c>
      <c r="F46" s="44"/>
      <c r="G46" s="224"/>
      <c r="H46" s="225"/>
      <c r="I46" s="43">
        <f t="shared" si="0"/>
        <v>795</v>
      </c>
      <c r="J46" s="43">
        <v>2</v>
      </c>
      <c r="K46" s="224"/>
      <c r="L46" s="226"/>
      <c r="M46" s="216">
        <f t="shared" si="1"/>
        <v>795</v>
      </c>
      <c r="N46" s="216" t="e">
        <f>(#REF!-20)/2-10</f>
        <v>#REF!</v>
      </c>
      <c r="O46" s="216" t="e">
        <f>(#REF!-20)/2-10</f>
        <v>#REF!</v>
      </c>
      <c r="P46" s="43">
        <v>2</v>
      </c>
      <c r="Q46" s="228"/>
      <c r="R46" s="227"/>
      <c r="S46" s="216">
        <f t="shared" si="2"/>
        <v>615</v>
      </c>
      <c r="T46" s="216" t="e">
        <v>#REF!</v>
      </c>
      <c r="U46" s="216">
        <v>-19.5</v>
      </c>
      <c r="V46" s="43">
        <v>4</v>
      </c>
      <c r="W46" s="228"/>
      <c r="X46" s="227"/>
      <c r="Y46" s="216">
        <f t="shared" si="6"/>
        <v>650</v>
      </c>
      <c r="Z46" s="216">
        <f t="shared" si="7"/>
        <v>-20</v>
      </c>
      <c r="AA46" s="216">
        <f t="shared" si="8"/>
        <v>-20</v>
      </c>
      <c r="AB46" s="43">
        <v>3</v>
      </c>
      <c r="AC46" s="224"/>
      <c r="AD46" s="229"/>
      <c r="AE46" s="229"/>
      <c r="AF46" s="229"/>
      <c r="AG46" s="229"/>
      <c r="AH46" s="229"/>
      <c r="AI46" s="224"/>
      <c r="AJ46" s="230"/>
      <c r="AK46" s="230"/>
      <c r="AL46" s="230"/>
      <c r="AM46" s="230"/>
      <c r="AN46" s="230"/>
      <c r="AO46" s="43"/>
      <c r="AP46" s="224"/>
      <c r="AQ46" s="121">
        <v>260</v>
      </c>
      <c r="AR46" s="122">
        <v>1000</v>
      </c>
      <c r="AS46" s="116">
        <f>'2.1 재단(1.69,064)'!T46/2</f>
        <v>4</v>
      </c>
      <c r="AT46" s="224"/>
      <c r="AU46" s="123">
        <v>310</v>
      </c>
      <c r="AV46" s="243">
        <v>1000</v>
      </c>
      <c r="AW46" s="243"/>
      <c r="AX46" s="243"/>
      <c r="AY46" s="116">
        <f>'2.1 재단(1.69,064)'!Z46</f>
        <v>4</v>
      </c>
    </row>
    <row r="47" spans="1:51" ht="16.5" customHeight="1">
      <c r="A47" s="120" t="str">
        <f>'1. 소켓인수검사'!A48</f>
        <v>79</v>
      </c>
      <c r="B47" s="56" t="s">
        <v>1</v>
      </c>
      <c r="C47" s="48">
        <f>'1. 소켓인수검사'!C48</f>
        <v>800</v>
      </c>
      <c r="D47" s="48">
        <f>'1. 소켓인수검사'!D48</f>
        <v>650</v>
      </c>
      <c r="E47" s="43">
        <v>1</v>
      </c>
      <c r="F47" s="44"/>
      <c r="G47" s="224"/>
      <c r="H47" s="225"/>
      <c r="I47" s="43">
        <f t="shared" si="0"/>
        <v>795</v>
      </c>
      <c r="J47" s="43">
        <v>2</v>
      </c>
      <c r="K47" s="224"/>
      <c r="L47" s="226"/>
      <c r="M47" s="216">
        <f t="shared" si="1"/>
        <v>795</v>
      </c>
      <c r="N47" s="216" t="e">
        <f>(#REF!-20)/2-10</f>
        <v>#REF!</v>
      </c>
      <c r="O47" s="216" t="e">
        <f>(#REF!-20)/2-10</f>
        <v>#REF!</v>
      </c>
      <c r="P47" s="43">
        <v>2</v>
      </c>
      <c r="Q47" s="228"/>
      <c r="R47" s="227"/>
      <c r="S47" s="216">
        <f t="shared" si="2"/>
        <v>615</v>
      </c>
      <c r="T47" s="216" t="e">
        <v>#REF!</v>
      </c>
      <c r="U47" s="216">
        <v>-19.5</v>
      </c>
      <c r="V47" s="43">
        <v>4</v>
      </c>
      <c r="W47" s="228"/>
      <c r="X47" s="227"/>
      <c r="Y47" s="216">
        <f t="shared" si="6"/>
        <v>650</v>
      </c>
      <c r="Z47" s="216">
        <f t="shared" si="7"/>
        <v>-20</v>
      </c>
      <c r="AA47" s="216">
        <f t="shared" si="8"/>
        <v>-20</v>
      </c>
      <c r="AB47" s="43">
        <v>3</v>
      </c>
      <c r="AC47" s="224"/>
      <c r="AD47" s="229"/>
      <c r="AE47" s="229"/>
      <c r="AF47" s="229"/>
      <c r="AG47" s="229"/>
      <c r="AH47" s="229"/>
      <c r="AI47" s="224"/>
      <c r="AJ47" s="230"/>
      <c r="AK47" s="230"/>
      <c r="AL47" s="230"/>
      <c r="AM47" s="230"/>
      <c r="AN47" s="230"/>
      <c r="AO47" s="43"/>
      <c r="AP47" s="224"/>
      <c r="AQ47" s="121">
        <v>260</v>
      </c>
      <c r="AR47" s="122">
        <v>1000</v>
      </c>
      <c r="AS47" s="116">
        <f>'2.1 재단(1.69,064)'!T47/2</f>
        <v>4</v>
      </c>
      <c r="AT47" s="224"/>
      <c r="AU47" s="123">
        <v>310</v>
      </c>
      <c r="AV47" s="243">
        <v>1000</v>
      </c>
      <c r="AW47" s="243"/>
      <c r="AX47" s="243"/>
      <c r="AY47" s="116">
        <f>'2.1 재단(1.69,064)'!Z47</f>
        <v>4</v>
      </c>
    </row>
    <row r="48" spans="1:51" ht="16.5" customHeight="1">
      <c r="A48" s="120" t="str">
        <f>'1. 소켓인수검사'!A49</f>
        <v>80</v>
      </c>
      <c r="B48" s="56" t="s">
        <v>1</v>
      </c>
      <c r="C48" s="48">
        <f>'1. 소켓인수검사'!C49</f>
        <v>900</v>
      </c>
      <c r="D48" s="48">
        <f>'1. 소켓인수검사'!D49</f>
        <v>650</v>
      </c>
      <c r="E48" s="43">
        <v>1</v>
      </c>
      <c r="F48" s="44"/>
      <c r="G48" s="224"/>
      <c r="H48" s="225"/>
      <c r="I48" s="43">
        <f t="shared" si="0"/>
        <v>895</v>
      </c>
      <c r="J48" s="43">
        <v>2</v>
      </c>
      <c r="K48" s="224"/>
      <c r="L48" s="226"/>
      <c r="M48" s="216">
        <f t="shared" si="1"/>
        <v>895</v>
      </c>
      <c r="N48" s="216" t="e">
        <f>(#REF!-20)/2-10</f>
        <v>#REF!</v>
      </c>
      <c r="O48" s="216" t="e">
        <f>(#REF!-20)/2-10</f>
        <v>#REF!</v>
      </c>
      <c r="P48" s="43">
        <v>2</v>
      </c>
      <c r="Q48" s="228"/>
      <c r="R48" s="227"/>
      <c r="S48" s="216">
        <f t="shared" si="2"/>
        <v>615</v>
      </c>
      <c r="T48" s="216" t="e">
        <v>#REF!</v>
      </c>
      <c r="U48" s="216">
        <v>-19.5</v>
      </c>
      <c r="V48" s="43">
        <v>4</v>
      </c>
      <c r="W48" s="228"/>
      <c r="X48" s="227"/>
      <c r="Y48" s="216">
        <f t="shared" si="6"/>
        <v>650</v>
      </c>
      <c r="Z48" s="216">
        <f t="shared" si="7"/>
        <v>-20</v>
      </c>
      <c r="AA48" s="216">
        <f t="shared" si="8"/>
        <v>-20</v>
      </c>
      <c r="AB48" s="43">
        <v>3</v>
      </c>
      <c r="AC48" s="224"/>
      <c r="AD48" s="229"/>
      <c r="AE48" s="229"/>
      <c r="AF48" s="229"/>
      <c r="AG48" s="229"/>
      <c r="AH48" s="229"/>
      <c r="AI48" s="224"/>
      <c r="AJ48" s="230"/>
      <c r="AK48" s="230"/>
      <c r="AL48" s="230"/>
      <c r="AM48" s="230"/>
      <c r="AN48" s="230"/>
      <c r="AO48" s="43"/>
      <c r="AP48" s="224"/>
      <c r="AQ48" s="121">
        <v>260</v>
      </c>
      <c r="AR48" s="122">
        <v>1000</v>
      </c>
      <c r="AS48" s="116">
        <f>'2.1 재단(1.69,064)'!T48/2</f>
        <v>4</v>
      </c>
      <c r="AT48" s="224"/>
      <c r="AU48" s="123">
        <v>310</v>
      </c>
      <c r="AV48" s="243">
        <v>1000</v>
      </c>
      <c r="AW48" s="243"/>
      <c r="AX48" s="243"/>
      <c r="AY48" s="116">
        <f>'2.1 재단(1.69,064)'!Z48</f>
        <v>5</v>
      </c>
    </row>
    <row r="49" spans="1:51" ht="16.5" customHeight="1">
      <c r="A49" s="120" t="str">
        <f>'1. 소켓인수검사'!A50</f>
        <v>81</v>
      </c>
      <c r="B49" s="56" t="s">
        <v>1</v>
      </c>
      <c r="C49" s="48">
        <f>'1. 소켓인수검사'!C50</f>
        <v>900</v>
      </c>
      <c r="D49" s="48">
        <f>'1. 소켓인수검사'!D50</f>
        <v>700</v>
      </c>
      <c r="E49" s="43">
        <v>1</v>
      </c>
      <c r="F49" s="44"/>
      <c r="G49" s="224"/>
      <c r="H49" s="225"/>
      <c r="I49" s="43">
        <f t="shared" si="0"/>
        <v>895</v>
      </c>
      <c r="J49" s="43">
        <v>2</v>
      </c>
      <c r="K49" s="224"/>
      <c r="L49" s="226"/>
      <c r="M49" s="216">
        <f t="shared" si="1"/>
        <v>895</v>
      </c>
      <c r="N49" s="216" t="e">
        <f>(#REF!-20)/2-10</f>
        <v>#REF!</v>
      </c>
      <c r="O49" s="216" t="e">
        <f>(#REF!-20)/2-10</f>
        <v>#REF!</v>
      </c>
      <c r="P49" s="43">
        <v>2</v>
      </c>
      <c r="Q49" s="228"/>
      <c r="R49" s="227"/>
      <c r="S49" s="216">
        <f t="shared" si="2"/>
        <v>665</v>
      </c>
      <c r="T49" s="216" t="e">
        <v>#REF!</v>
      </c>
      <c r="U49" s="216">
        <v>-19.5</v>
      </c>
      <c r="V49" s="43">
        <v>4</v>
      </c>
      <c r="W49" s="228"/>
      <c r="X49" s="227"/>
      <c r="Y49" s="216">
        <f t="shared" si="6"/>
        <v>700</v>
      </c>
      <c r="Z49" s="216">
        <f t="shared" si="7"/>
        <v>-20</v>
      </c>
      <c r="AA49" s="216">
        <f t="shared" si="8"/>
        <v>-20</v>
      </c>
      <c r="AB49" s="43">
        <v>3</v>
      </c>
      <c r="AC49" s="224"/>
      <c r="AD49" s="229"/>
      <c r="AE49" s="229"/>
      <c r="AF49" s="229"/>
      <c r="AG49" s="229"/>
      <c r="AH49" s="229"/>
      <c r="AI49" s="224"/>
      <c r="AJ49" s="230"/>
      <c r="AK49" s="230"/>
      <c r="AL49" s="230"/>
      <c r="AM49" s="230"/>
      <c r="AN49" s="230"/>
      <c r="AO49" s="43"/>
      <c r="AP49" s="224"/>
      <c r="AQ49" s="121">
        <v>260</v>
      </c>
      <c r="AR49" s="122">
        <v>1000</v>
      </c>
      <c r="AS49" s="116">
        <f>'2.1 재단(1.69,064)'!T49/2</f>
        <v>4</v>
      </c>
      <c r="AT49" s="224"/>
      <c r="AU49" s="123">
        <v>310</v>
      </c>
      <c r="AV49" s="243">
        <v>1000</v>
      </c>
      <c r="AW49" s="243"/>
      <c r="AX49" s="243"/>
      <c r="AY49" s="116">
        <f>'2.1 재단(1.69,064)'!Z49</f>
        <v>5</v>
      </c>
    </row>
    <row r="50" spans="1:51" ht="16.5" customHeight="1">
      <c r="A50" s="120" t="str">
        <f>'1. 소켓인수검사'!A51</f>
        <v>82</v>
      </c>
      <c r="B50" s="56" t="s">
        <v>1</v>
      </c>
      <c r="C50" s="48">
        <f>'1. 소켓인수검사'!C51</f>
        <v>900</v>
      </c>
      <c r="D50" s="48">
        <f>'1. 소켓인수검사'!D51</f>
        <v>700</v>
      </c>
      <c r="E50" s="43">
        <v>1</v>
      </c>
      <c r="F50" s="44"/>
      <c r="G50" s="224"/>
      <c r="H50" s="225"/>
      <c r="I50" s="43">
        <f t="shared" si="0"/>
        <v>895</v>
      </c>
      <c r="J50" s="43">
        <v>2</v>
      </c>
      <c r="K50" s="224"/>
      <c r="L50" s="226"/>
      <c r="M50" s="216">
        <f t="shared" si="1"/>
        <v>895</v>
      </c>
      <c r="N50" s="216" t="e">
        <f>(#REF!-20)/2-10</f>
        <v>#REF!</v>
      </c>
      <c r="O50" s="216" t="e">
        <f>(#REF!-20)/2-10</f>
        <v>#REF!</v>
      </c>
      <c r="P50" s="43">
        <v>2</v>
      </c>
      <c r="Q50" s="228"/>
      <c r="R50" s="227"/>
      <c r="S50" s="216">
        <f t="shared" si="2"/>
        <v>665</v>
      </c>
      <c r="T50" s="216" t="e">
        <v>#REF!</v>
      </c>
      <c r="U50" s="216">
        <v>-19.5</v>
      </c>
      <c r="V50" s="43">
        <v>4</v>
      </c>
      <c r="W50" s="228"/>
      <c r="X50" s="227"/>
      <c r="Y50" s="216">
        <f t="shared" si="6"/>
        <v>700</v>
      </c>
      <c r="Z50" s="216">
        <f t="shared" si="7"/>
        <v>-20</v>
      </c>
      <c r="AA50" s="216">
        <f t="shared" si="8"/>
        <v>-20</v>
      </c>
      <c r="AB50" s="43">
        <v>3</v>
      </c>
      <c r="AC50" s="224"/>
      <c r="AD50" s="229"/>
      <c r="AE50" s="229"/>
      <c r="AF50" s="229"/>
      <c r="AG50" s="229"/>
      <c r="AH50" s="229"/>
      <c r="AI50" s="224"/>
      <c r="AJ50" s="230"/>
      <c r="AK50" s="230"/>
      <c r="AL50" s="230"/>
      <c r="AM50" s="230"/>
      <c r="AN50" s="230"/>
      <c r="AO50" s="43"/>
      <c r="AP50" s="224"/>
      <c r="AQ50" s="121">
        <v>260</v>
      </c>
      <c r="AR50" s="122">
        <v>1000</v>
      </c>
      <c r="AS50" s="116">
        <f>'2.1 재단(1.69,064)'!T50/2</f>
        <v>4</v>
      </c>
      <c r="AT50" s="224"/>
      <c r="AU50" s="123">
        <v>310</v>
      </c>
      <c r="AV50" s="243">
        <v>1000</v>
      </c>
      <c r="AW50" s="243"/>
      <c r="AX50" s="243"/>
      <c r="AY50" s="116">
        <f>'2.1 재단(1.69,064)'!Z50</f>
        <v>5</v>
      </c>
    </row>
    <row r="51" spans="1:51" ht="16.5" customHeight="1">
      <c r="A51" s="120" t="str">
        <f>'1. 소켓인수검사'!A52</f>
        <v>83</v>
      </c>
      <c r="B51" s="56" t="s">
        <v>1</v>
      </c>
      <c r="C51" s="48">
        <f>'1. 소켓인수검사'!C52</f>
        <v>1000</v>
      </c>
      <c r="D51" s="48">
        <f>'1. 소켓인수검사'!D52</f>
        <v>550</v>
      </c>
      <c r="E51" s="43">
        <v>1</v>
      </c>
      <c r="F51" s="44"/>
      <c r="G51" s="224"/>
      <c r="H51" s="225"/>
      <c r="I51" s="43">
        <f t="shared" si="0"/>
        <v>995</v>
      </c>
      <c r="J51" s="43">
        <v>2</v>
      </c>
      <c r="K51" s="224"/>
      <c r="L51" s="226"/>
      <c r="M51" s="216">
        <f t="shared" si="1"/>
        <v>995</v>
      </c>
      <c r="N51" s="216" t="e">
        <f>(#REF!-20)/2-10</f>
        <v>#REF!</v>
      </c>
      <c r="O51" s="216" t="e">
        <f>(#REF!-20)/2-10</f>
        <v>#REF!</v>
      </c>
      <c r="P51" s="43">
        <v>2</v>
      </c>
      <c r="Q51" s="228"/>
      <c r="R51" s="227"/>
      <c r="S51" s="216">
        <f t="shared" si="2"/>
        <v>515</v>
      </c>
      <c r="T51" s="216" t="e">
        <v>#REF!</v>
      </c>
      <c r="U51" s="216">
        <v>-19.5</v>
      </c>
      <c r="V51" s="43">
        <v>4</v>
      </c>
      <c r="W51" s="228"/>
      <c r="X51" s="227"/>
      <c r="Y51" s="216">
        <f t="shared" si="6"/>
        <v>550</v>
      </c>
      <c r="Z51" s="216">
        <f t="shared" si="7"/>
        <v>-20</v>
      </c>
      <c r="AA51" s="216">
        <f t="shared" si="8"/>
        <v>-20</v>
      </c>
      <c r="AB51" s="43">
        <v>3</v>
      </c>
      <c r="AC51" s="224"/>
      <c r="AD51" s="229"/>
      <c r="AE51" s="229"/>
      <c r="AF51" s="229"/>
      <c r="AG51" s="229"/>
      <c r="AH51" s="229"/>
      <c r="AI51" s="224"/>
      <c r="AJ51" s="230"/>
      <c r="AK51" s="230"/>
      <c r="AL51" s="230"/>
      <c r="AM51" s="230"/>
      <c r="AN51" s="230"/>
      <c r="AO51" s="43"/>
      <c r="AP51" s="224"/>
      <c r="AQ51" s="121">
        <v>260</v>
      </c>
      <c r="AR51" s="122">
        <v>1000</v>
      </c>
      <c r="AS51" s="116">
        <f>'2.1 재단(1.69,064)'!T51/2</f>
        <v>4</v>
      </c>
      <c r="AT51" s="224"/>
      <c r="AU51" s="123">
        <v>310</v>
      </c>
      <c r="AV51" s="243">
        <v>1000</v>
      </c>
      <c r="AW51" s="243"/>
      <c r="AX51" s="243"/>
      <c r="AY51" s="116">
        <f>'2.1 재단(1.69,064)'!Z51</f>
        <v>5</v>
      </c>
    </row>
    <row r="52" spans="1:51" ht="16.5" customHeight="1">
      <c r="A52" s="120" t="str">
        <f>'1. 소켓인수검사'!A53</f>
        <v>84</v>
      </c>
      <c r="B52" s="56" t="s">
        <v>1</v>
      </c>
      <c r="C52" s="48">
        <f>'1. 소켓인수검사'!C53</f>
        <v>1000</v>
      </c>
      <c r="D52" s="48">
        <f>'1. 소켓인수검사'!D53</f>
        <v>550</v>
      </c>
      <c r="E52" s="43">
        <v>1</v>
      </c>
      <c r="F52" s="44"/>
      <c r="G52" s="224"/>
      <c r="H52" s="225"/>
      <c r="I52" s="43">
        <f t="shared" si="0"/>
        <v>995</v>
      </c>
      <c r="J52" s="43">
        <v>2</v>
      </c>
      <c r="K52" s="224"/>
      <c r="L52" s="226"/>
      <c r="M52" s="216">
        <f t="shared" si="1"/>
        <v>995</v>
      </c>
      <c r="N52" s="216" t="e">
        <f>(#REF!-20)/2-10</f>
        <v>#REF!</v>
      </c>
      <c r="O52" s="216" t="e">
        <f>(#REF!-20)/2-10</f>
        <v>#REF!</v>
      </c>
      <c r="P52" s="43">
        <v>2</v>
      </c>
      <c r="Q52" s="228"/>
      <c r="R52" s="227"/>
      <c r="S52" s="216">
        <f t="shared" si="2"/>
        <v>515</v>
      </c>
      <c r="T52" s="216" t="e">
        <v>#REF!</v>
      </c>
      <c r="U52" s="216">
        <v>-19.5</v>
      </c>
      <c r="V52" s="43">
        <v>4</v>
      </c>
      <c r="W52" s="228"/>
      <c r="X52" s="227"/>
      <c r="Y52" s="216">
        <f t="shared" si="6"/>
        <v>550</v>
      </c>
      <c r="Z52" s="216">
        <f t="shared" si="7"/>
        <v>-20</v>
      </c>
      <c r="AA52" s="216">
        <f t="shared" si="8"/>
        <v>-20</v>
      </c>
      <c r="AB52" s="43">
        <v>3</v>
      </c>
      <c r="AC52" s="224"/>
      <c r="AD52" s="229"/>
      <c r="AE52" s="229"/>
      <c r="AF52" s="229"/>
      <c r="AG52" s="229"/>
      <c r="AH52" s="229"/>
      <c r="AI52" s="224"/>
      <c r="AJ52" s="230"/>
      <c r="AK52" s="230"/>
      <c r="AL52" s="230"/>
      <c r="AM52" s="230"/>
      <c r="AN52" s="230"/>
      <c r="AO52" s="43"/>
      <c r="AP52" s="224"/>
      <c r="AQ52" s="121">
        <v>260</v>
      </c>
      <c r="AR52" s="122">
        <v>1000</v>
      </c>
      <c r="AS52" s="116">
        <f>'2.1 재단(1.69,064)'!T52/2</f>
        <v>4</v>
      </c>
      <c r="AT52" s="224"/>
      <c r="AU52" s="123">
        <v>310</v>
      </c>
      <c r="AV52" s="243">
        <v>1000</v>
      </c>
      <c r="AW52" s="243"/>
      <c r="AX52" s="243"/>
      <c r="AY52" s="116">
        <f>'2.1 재단(1.69,064)'!Z52</f>
        <v>5</v>
      </c>
    </row>
    <row r="53" spans="1:51" ht="16.5" customHeight="1">
      <c r="A53" s="120" t="str">
        <f>'1. 소켓인수검사'!A54</f>
        <v>85</v>
      </c>
      <c r="B53" s="56" t="s">
        <v>1</v>
      </c>
      <c r="C53" s="48">
        <f>'1. 소켓인수검사'!C54</f>
        <v>1000</v>
      </c>
      <c r="D53" s="48">
        <f>'1. 소켓인수검사'!D54</f>
        <v>550</v>
      </c>
      <c r="E53" s="43">
        <v>1</v>
      </c>
      <c r="F53" s="44"/>
      <c r="G53" s="224"/>
      <c r="H53" s="225"/>
      <c r="I53" s="43">
        <f t="shared" si="0"/>
        <v>995</v>
      </c>
      <c r="J53" s="43">
        <v>2</v>
      </c>
      <c r="K53" s="224"/>
      <c r="L53" s="226"/>
      <c r="M53" s="216">
        <f t="shared" si="1"/>
        <v>995</v>
      </c>
      <c r="N53" s="216" t="e">
        <f>(#REF!-20)/2-10</f>
        <v>#REF!</v>
      </c>
      <c r="O53" s="216" t="e">
        <f>(#REF!-20)/2-10</f>
        <v>#REF!</v>
      </c>
      <c r="P53" s="43">
        <v>2</v>
      </c>
      <c r="Q53" s="228"/>
      <c r="R53" s="227"/>
      <c r="S53" s="216">
        <f t="shared" si="2"/>
        <v>515</v>
      </c>
      <c r="T53" s="216" t="e">
        <v>#REF!</v>
      </c>
      <c r="U53" s="216">
        <v>-19.5</v>
      </c>
      <c r="V53" s="43">
        <v>4</v>
      </c>
      <c r="W53" s="228"/>
      <c r="X53" s="227"/>
      <c r="Y53" s="216">
        <f t="shared" si="6"/>
        <v>550</v>
      </c>
      <c r="Z53" s="216">
        <f t="shared" si="7"/>
        <v>-20</v>
      </c>
      <c r="AA53" s="216">
        <f t="shared" si="8"/>
        <v>-20</v>
      </c>
      <c r="AB53" s="43">
        <v>3</v>
      </c>
      <c r="AC53" s="224"/>
      <c r="AD53" s="229"/>
      <c r="AE53" s="229"/>
      <c r="AF53" s="229"/>
      <c r="AG53" s="229"/>
      <c r="AH53" s="229"/>
      <c r="AI53" s="224"/>
      <c r="AJ53" s="230"/>
      <c r="AK53" s="230"/>
      <c r="AL53" s="230"/>
      <c r="AM53" s="230"/>
      <c r="AN53" s="230"/>
      <c r="AO53" s="43"/>
      <c r="AP53" s="224"/>
      <c r="AQ53" s="121">
        <v>260</v>
      </c>
      <c r="AR53" s="122">
        <v>1000</v>
      </c>
      <c r="AS53" s="116">
        <f>'2.1 재단(1.69,064)'!T53/2</f>
        <v>4</v>
      </c>
      <c r="AT53" s="224"/>
      <c r="AU53" s="123">
        <v>310</v>
      </c>
      <c r="AV53" s="243">
        <v>1000</v>
      </c>
      <c r="AW53" s="243"/>
      <c r="AX53" s="243"/>
      <c r="AY53" s="116">
        <f>'2.1 재단(1.69,064)'!Z53</f>
        <v>5</v>
      </c>
    </row>
    <row r="54" spans="1:51" ht="16.5" customHeight="1">
      <c r="A54" s="120" t="str">
        <f>'1. 소켓인수검사'!A55</f>
        <v>86</v>
      </c>
      <c r="B54" s="56" t="s">
        <v>1</v>
      </c>
      <c r="C54" s="48">
        <f>'1. 소켓인수검사'!C55</f>
        <v>1000</v>
      </c>
      <c r="D54" s="48">
        <f>'1. 소켓인수검사'!D55</f>
        <v>600</v>
      </c>
      <c r="E54" s="43">
        <v>1</v>
      </c>
      <c r="F54" s="44"/>
      <c r="G54" s="224"/>
      <c r="H54" s="225"/>
      <c r="I54" s="43">
        <f t="shared" si="0"/>
        <v>995</v>
      </c>
      <c r="J54" s="43">
        <v>2</v>
      </c>
      <c r="K54" s="224"/>
      <c r="L54" s="226"/>
      <c r="M54" s="216">
        <f t="shared" si="1"/>
        <v>995</v>
      </c>
      <c r="N54" s="216" t="e">
        <f>(#REF!-20)/2-10</f>
        <v>#REF!</v>
      </c>
      <c r="O54" s="216" t="e">
        <f>(#REF!-20)/2-10</f>
        <v>#REF!</v>
      </c>
      <c r="P54" s="43">
        <v>2</v>
      </c>
      <c r="Q54" s="228"/>
      <c r="R54" s="227"/>
      <c r="S54" s="216">
        <f t="shared" si="2"/>
        <v>565</v>
      </c>
      <c r="T54" s="216" t="e">
        <v>#REF!</v>
      </c>
      <c r="U54" s="216">
        <v>-19.5</v>
      </c>
      <c r="V54" s="43">
        <v>4</v>
      </c>
      <c r="W54" s="228"/>
      <c r="X54" s="227"/>
      <c r="Y54" s="216">
        <f t="shared" si="6"/>
        <v>600</v>
      </c>
      <c r="Z54" s="216">
        <f t="shared" si="7"/>
        <v>-20</v>
      </c>
      <c r="AA54" s="216">
        <f t="shared" si="8"/>
        <v>-20</v>
      </c>
      <c r="AB54" s="43">
        <v>3</v>
      </c>
      <c r="AC54" s="224"/>
      <c r="AD54" s="229"/>
      <c r="AE54" s="229"/>
      <c r="AF54" s="229"/>
      <c r="AG54" s="229"/>
      <c r="AH54" s="229"/>
      <c r="AI54" s="224"/>
      <c r="AJ54" s="230"/>
      <c r="AK54" s="230"/>
      <c r="AL54" s="230"/>
      <c r="AM54" s="230"/>
      <c r="AN54" s="230"/>
      <c r="AO54" s="43"/>
      <c r="AP54" s="224"/>
      <c r="AQ54" s="121">
        <v>260</v>
      </c>
      <c r="AR54" s="122">
        <v>1000</v>
      </c>
      <c r="AS54" s="116">
        <f>'2.1 재단(1.69,064)'!T54/2</f>
        <v>4</v>
      </c>
      <c r="AT54" s="224"/>
      <c r="AU54" s="123">
        <v>310</v>
      </c>
      <c r="AV54" s="243">
        <v>1000</v>
      </c>
      <c r="AW54" s="243"/>
      <c r="AX54" s="243"/>
      <c r="AY54" s="116">
        <f>'2.1 재단(1.69,064)'!Z54</f>
        <v>5</v>
      </c>
    </row>
    <row r="55" spans="1:51" ht="16.5" customHeight="1">
      <c r="A55" s="120" t="str">
        <f>'1. 소켓인수검사'!A56</f>
        <v>87</v>
      </c>
      <c r="B55" s="56" t="s">
        <v>1</v>
      </c>
      <c r="C55" s="48">
        <f>'1. 소켓인수검사'!C56</f>
        <v>1000</v>
      </c>
      <c r="D55" s="48">
        <f>'1. 소켓인수검사'!D56</f>
        <v>600</v>
      </c>
      <c r="E55" s="43">
        <v>1</v>
      </c>
      <c r="F55" s="44"/>
      <c r="G55" s="224"/>
      <c r="H55" s="225"/>
      <c r="I55" s="43">
        <f t="shared" si="0"/>
        <v>995</v>
      </c>
      <c r="J55" s="43">
        <v>2</v>
      </c>
      <c r="K55" s="224"/>
      <c r="L55" s="226"/>
      <c r="M55" s="216">
        <f t="shared" si="1"/>
        <v>995</v>
      </c>
      <c r="N55" s="216" t="e">
        <f>(#REF!-20)/2-10</f>
        <v>#REF!</v>
      </c>
      <c r="O55" s="216" t="e">
        <f>(#REF!-20)/2-10</f>
        <v>#REF!</v>
      </c>
      <c r="P55" s="43">
        <v>2</v>
      </c>
      <c r="Q55" s="228"/>
      <c r="R55" s="227"/>
      <c r="S55" s="216">
        <f t="shared" si="2"/>
        <v>565</v>
      </c>
      <c r="T55" s="216" t="e">
        <v>#REF!</v>
      </c>
      <c r="U55" s="216">
        <v>-19.5</v>
      </c>
      <c r="V55" s="43">
        <v>4</v>
      </c>
      <c r="W55" s="228"/>
      <c r="X55" s="227"/>
      <c r="Y55" s="216">
        <f t="shared" si="6"/>
        <v>600</v>
      </c>
      <c r="Z55" s="216">
        <f t="shared" si="7"/>
        <v>-20</v>
      </c>
      <c r="AA55" s="216">
        <f t="shared" si="8"/>
        <v>-20</v>
      </c>
      <c r="AB55" s="43">
        <v>3</v>
      </c>
      <c r="AC55" s="224"/>
      <c r="AD55" s="229"/>
      <c r="AE55" s="229"/>
      <c r="AF55" s="229"/>
      <c r="AG55" s="229"/>
      <c r="AH55" s="229"/>
      <c r="AI55" s="224"/>
      <c r="AJ55" s="230"/>
      <c r="AK55" s="230"/>
      <c r="AL55" s="230"/>
      <c r="AM55" s="230"/>
      <c r="AN55" s="230"/>
      <c r="AO55" s="43"/>
      <c r="AP55" s="224"/>
      <c r="AQ55" s="121">
        <v>260</v>
      </c>
      <c r="AR55" s="122">
        <v>1000</v>
      </c>
      <c r="AS55" s="116">
        <f>'2.1 재단(1.69,064)'!T55/2</f>
        <v>4</v>
      </c>
      <c r="AT55" s="224"/>
      <c r="AU55" s="123">
        <v>310</v>
      </c>
      <c r="AV55" s="243">
        <v>1000</v>
      </c>
      <c r="AW55" s="243"/>
      <c r="AX55" s="243"/>
      <c r="AY55" s="116">
        <f>'2.1 재단(1.69,064)'!Z55</f>
        <v>5</v>
      </c>
    </row>
    <row r="56" spans="1:51" ht="16.5" customHeight="1">
      <c r="A56" s="120" t="str">
        <f>'1. 소켓인수검사'!A57</f>
        <v>88</v>
      </c>
      <c r="B56" s="56" t="s">
        <v>1</v>
      </c>
      <c r="C56" s="48">
        <f>'1. 소켓인수검사'!C57</f>
        <v>1000</v>
      </c>
      <c r="D56" s="48">
        <f>'1. 소켓인수검사'!D57</f>
        <v>600</v>
      </c>
      <c r="E56" s="43">
        <v>1</v>
      </c>
      <c r="F56" s="44"/>
      <c r="G56" s="224"/>
      <c r="H56" s="225"/>
      <c r="I56" s="43">
        <f t="shared" si="0"/>
        <v>995</v>
      </c>
      <c r="J56" s="43">
        <v>2</v>
      </c>
      <c r="K56" s="224"/>
      <c r="L56" s="226"/>
      <c r="M56" s="216">
        <f t="shared" si="1"/>
        <v>995</v>
      </c>
      <c r="N56" s="216" t="e">
        <f>(#REF!-20)/2-10</f>
        <v>#REF!</v>
      </c>
      <c r="O56" s="216" t="e">
        <f>(#REF!-20)/2-10</f>
        <v>#REF!</v>
      </c>
      <c r="P56" s="43">
        <v>2</v>
      </c>
      <c r="Q56" s="228"/>
      <c r="R56" s="227"/>
      <c r="S56" s="216">
        <f t="shared" si="2"/>
        <v>565</v>
      </c>
      <c r="T56" s="216" t="e">
        <v>#REF!</v>
      </c>
      <c r="U56" s="216">
        <v>-19.5</v>
      </c>
      <c r="V56" s="43">
        <v>4</v>
      </c>
      <c r="W56" s="228"/>
      <c r="X56" s="227"/>
      <c r="Y56" s="216">
        <f t="shared" si="6"/>
        <v>600</v>
      </c>
      <c r="Z56" s="216">
        <f t="shared" si="7"/>
        <v>-20</v>
      </c>
      <c r="AA56" s="216">
        <f t="shared" si="8"/>
        <v>-20</v>
      </c>
      <c r="AB56" s="43">
        <v>3</v>
      </c>
      <c r="AC56" s="224"/>
      <c r="AD56" s="229"/>
      <c r="AE56" s="229"/>
      <c r="AF56" s="229"/>
      <c r="AG56" s="229"/>
      <c r="AH56" s="229"/>
      <c r="AI56" s="224"/>
      <c r="AJ56" s="230"/>
      <c r="AK56" s="230"/>
      <c r="AL56" s="230"/>
      <c r="AM56" s="230"/>
      <c r="AN56" s="230"/>
      <c r="AO56" s="43"/>
      <c r="AP56" s="224"/>
      <c r="AQ56" s="121">
        <v>260</v>
      </c>
      <c r="AR56" s="122">
        <v>1000</v>
      </c>
      <c r="AS56" s="116">
        <f>'2.1 재단(1.69,064)'!T56/2</f>
        <v>4</v>
      </c>
      <c r="AT56" s="224"/>
      <c r="AU56" s="123">
        <v>310</v>
      </c>
      <c r="AV56" s="243">
        <v>1000</v>
      </c>
      <c r="AW56" s="243"/>
      <c r="AX56" s="243"/>
      <c r="AY56" s="116">
        <f>'2.1 재단(1.69,064)'!Z56</f>
        <v>5</v>
      </c>
    </row>
    <row r="57" spans="1:51">
      <c r="A57" s="217" t="s">
        <v>18</v>
      </c>
      <c r="B57" s="217"/>
      <c r="C57" s="217"/>
      <c r="D57" s="43"/>
      <c r="E57" s="124"/>
      <c r="F57" s="121"/>
      <c r="G57" s="43"/>
      <c r="H57" s="43"/>
      <c r="I57" s="43"/>
      <c r="J57" s="43">
        <f>SUM(J8:J56)</f>
        <v>98</v>
      </c>
      <c r="K57" s="43"/>
      <c r="L57" s="43"/>
      <c r="M57" s="217"/>
      <c r="N57" s="217"/>
      <c r="O57" s="217"/>
      <c r="P57" s="43">
        <f>SUM(P8:P56)</f>
        <v>98</v>
      </c>
      <c r="Q57" s="43"/>
      <c r="R57" s="43"/>
      <c r="S57" s="217"/>
      <c r="T57" s="217"/>
      <c r="U57" s="217"/>
      <c r="V57" s="43">
        <f>SUM(V8:V56)</f>
        <v>196</v>
      </c>
      <c r="W57" s="43"/>
      <c r="X57" s="43"/>
      <c r="Y57" s="217"/>
      <c r="Z57" s="217"/>
      <c r="AA57" s="217"/>
      <c r="AB57" s="43">
        <f>SUM(AB8:AB56)</f>
        <v>147</v>
      </c>
      <c r="AC57" s="43"/>
      <c r="AD57" s="43"/>
      <c r="AE57" s="217"/>
      <c r="AF57" s="217"/>
      <c r="AG57" s="217"/>
      <c r="AH57" s="43">
        <f>SUM(AH8:AH56)</f>
        <v>0</v>
      </c>
      <c r="AI57" s="43"/>
      <c r="AJ57" s="43"/>
      <c r="AK57" s="217"/>
      <c r="AL57" s="217"/>
      <c r="AM57" s="217"/>
      <c r="AN57" s="43">
        <f>SUM(AN8:AN56)</f>
        <v>0</v>
      </c>
      <c r="AO57" s="43"/>
      <c r="AP57" s="224"/>
      <c r="AQ57" s="43"/>
      <c r="AR57" s="46"/>
      <c r="AS57" s="43">
        <f>SUM(AS8:AS56)</f>
        <v>181</v>
      </c>
      <c r="AT57" s="224"/>
      <c r="AU57" s="43"/>
      <c r="AV57" s="215"/>
      <c r="AW57" s="215"/>
      <c r="AX57" s="215"/>
      <c r="AY57" s="43">
        <f>SUM(AY8:AY56)</f>
        <v>194</v>
      </c>
    </row>
  </sheetData>
  <mergeCells count="244">
    <mergeCell ref="AV54:AX54"/>
    <mergeCell ref="AV55:AX55"/>
    <mergeCell ref="AV56:AX56"/>
    <mergeCell ref="AV45:AX45"/>
    <mergeCell ref="AV46:AX46"/>
    <mergeCell ref="AV47:AX47"/>
    <mergeCell ref="AV48:AX48"/>
    <mergeCell ref="AV49:AX49"/>
    <mergeCell ref="AV50:AX50"/>
    <mergeCell ref="AV51:AX51"/>
    <mergeCell ref="AV52:AX52"/>
    <mergeCell ref="AV53:AX53"/>
    <mergeCell ref="AV36:AX36"/>
    <mergeCell ref="AV37:AX37"/>
    <mergeCell ref="AV38:AX38"/>
    <mergeCell ref="AV39:AX39"/>
    <mergeCell ref="AV40:AX40"/>
    <mergeCell ref="AV41:AX41"/>
    <mergeCell ref="AV42:AX42"/>
    <mergeCell ref="AV43:AX43"/>
    <mergeCell ref="AV44:AX44"/>
    <mergeCell ref="AV27:AX27"/>
    <mergeCell ref="AV28:AX28"/>
    <mergeCell ref="AV29:AX29"/>
    <mergeCell ref="AV30:AX30"/>
    <mergeCell ref="AV31:AX31"/>
    <mergeCell ref="AV32:AX32"/>
    <mergeCell ref="AV33:AX33"/>
    <mergeCell ref="AV34:AX34"/>
    <mergeCell ref="AV35:AX35"/>
    <mergeCell ref="AV18:AX18"/>
    <mergeCell ref="AV19:AX19"/>
    <mergeCell ref="AV20:AX20"/>
    <mergeCell ref="AV21:AX21"/>
    <mergeCell ref="AV22:AX22"/>
    <mergeCell ref="AV23:AX23"/>
    <mergeCell ref="AV24:AX24"/>
    <mergeCell ref="AV25:AX25"/>
    <mergeCell ref="AV26:AX26"/>
    <mergeCell ref="AV9:AX9"/>
    <mergeCell ref="AV10:AX10"/>
    <mergeCell ref="AV11:AX11"/>
    <mergeCell ref="AV12:AX12"/>
    <mergeCell ref="AV13:AX13"/>
    <mergeCell ref="AV14:AX14"/>
    <mergeCell ref="AV15:AX15"/>
    <mergeCell ref="AV16:AX16"/>
    <mergeCell ref="AV17:AX17"/>
    <mergeCell ref="AV57:AX57"/>
    <mergeCell ref="A57:C57"/>
    <mergeCell ref="M57:O57"/>
    <mergeCell ref="Y57:AA57"/>
    <mergeCell ref="AE57:AG57"/>
    <mergeCell ref="AK57:AM57"/>
    <mergeCell ref="M43:O43"/>
    <mergeCell ref="Y43:AA43"/>
    <mergeCell ref="M44:O44"/>
    <mergeCell ref="Y44:AA44"/>
    <mergeCell ref="M45:O45"/>
    <mergeCell ref="Y45:AA45"/>
    <mergeCell ref="M46:O46"/>
    <mergeCell ref="Y46:AA46"/>
    <mergeCell ref="M47:O47"/>
    <mergeCell ref="Y47:AA47"/>
    <mergeCell ref="M48:O48"/>
    <mergeCell ref="Y48:AA48"/>
    <mergeCell ref="M49:O49"/>
    <mergeCell ref="Y49:AA49"/>
    <mergeCell ref="M50:O50"/>
    <mergeCell ref="Y50:AA50"/>
    <mergeCell ref="M51:O51"/>
    <mergeCell ref="Y51:AA51"/>
    <mergeCell ref="M38:O38"/>
    <mergeCell ref="Y38:AA38"/>
    <mergeCell ref="M39:O39"/>
    <mergeCell ref="Y39:AA39"/>
    <mergeCell ref="M40:O40"/>
    <mergeCell ref="Y40:AA40"/>
    <mergeCell ref="M41:O41"/>
    <mergeCell ref="Y41:AA41"/>
    <mergeCell ref="M42:O42"/>
    <mergeCell ref="Y42:AA42"/>
    <mergeCell ref="S38:U38"/>
    <mergeCell ref="S39:U39"/>
    <mergeCell ref="S40:U40"/>
    <mergeCell ref="S41:U41"/>
    <mergeCell ref="S42:U42"/>
    <mergeCell ref="M33:O33"/>
    <mergeCell ref="Y33:AA33"/>
    <mergeCell ref="M34:O34"/>
    <mergeCell ref="Y34:AA34"/>
    <mergeCell ref="M35:O35"/>
    <mergeCell ref="Y35:AA35"/>
    <mergeCell ref="M36:O36"/>
    <mergeCell ref="Y36:AA36"/>
    <mergeCell ref="M37:O37"/>
    <mergeCell ref="Y37:AA37"/>
    <mergeCell ref="S33:U33"/>
    <mergeCell ref="S34:U34"/>
    <mergeCell ref="S35:U35"/>
    <mergeCell ref="S36:U36"/>
    <mergeCell ref="S37:U37"/>
    <mergeCell ref="M28:O28"/>
    <mergeCell ref="Y28:AA28"/>
    <mergeCell ref="M29:O29"/>
    <mergeCell ref="Y29:AA29"/>
    <mergeCell ref="M30:O30"/>
    <mergeCell ref="Y30:AA30"/>
    <mergeCell ref="M31:O31"/>
    <mergeCell ref="Y31:AA31"/>
    <mergeCell ref="M32:O32"/>
    <mergeCell ref="Y32:AA32"/>
    <mergeCell ref="S28:U28"/>
    <mergeCell ref="S29:U29"/>
    <mergeCell ref="S30:U30"/>
    <mergeCell ref="S31:U31"/>
    <mergeCell ref="S32:U32"/>
    <mergeCell ref="M23:O23"/>
    <mergeCell ref="Y23:AA23"/>
    <mergeCell ref="M24:O24"/>
    <mergeCell ref="Y24:AA24"/>
    <mergeCell ref="M25:O25"/>
    <mergeCell ref="Y25:AA25"/>
    <mergeCell ref="M26:O26"/>
    <mergeCell ref="Y26:AA26"/>
    <mergeCell ref="M27:O27"/>
    <mergeCell ref="Y27:AA27"/>
    <mergeCell ref="S26:U26"/>
    <mergeCell ref="S27:U27"/>
    <mergeCell ref="Y18:AA18"/>
    <mergeCell ref="M19:O19"/>
    <mergeCell ref="Y19:AA19"/>
    <mergeCell ref="M20:O20"/>
    <mergeCell ref="Y20:AA20"/>
    <mergeCell ref="M21:O21"/>
    <mergeCell ref="Y21:AA21"/>
    <mergeCell ref="M22:O22"/>
    <mergeCell ref="Y22:AA22"/>
    <mergeCell ref="M8:O8"/>
    <mergeCell ref="Y8:AA8"/>
    <mergeCell ref="AP8:AP57"/>
    <mergeCell ref="AT8:AT57"/>
    <mergeCell ref="AV8:AX8"/>
    <mergeCell ref="M9:O9"/>
    <mergeCell ref="Y9:AA9"/>
    <mergeCell ref="M10:O10"/>
    <mergeCell ref="Y10:AA10"/>
    <mergeCell ref="M11:O11"/>
    <mergeCell ref="Y11:AA11"/>
    <mergeCell ref="M12:O12"/>
    <mergeCell ref="Y12:AA12"/>
    <mergeCell ref="M13:O13"/>
    <mergeCell ref="Y13:AA13"/>
    <mergeCell ref="M14:O14"/>
    <mergeCell ref="Y14:AA14"/>
    <mergeCell ref="M15:O15"/>
    <mergeCell ref="Y15:AA15"/>
    <mergeCell ref="M16:O16"/>
    <mergeCell ref="Y16:AA16"/>
    <mergeCell ref="M17:O17"/>
    <mergeCell ref="Y17:AA17"/>
    <mergeCell ref="M18:O18"/>
    <mergeCell ref="A1:E3"/>
    <mergeCell ref="A4:AO4"/>
    <mergeCell ref="A5:A7"/>
    <mergeCell ref="C5:D5"/>
    <mergeCell ref="E5:E7"/>
    <mergeCell ref="F5:F7"/>
    <mergeCell ref="G5:AN5"/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  <mergeCell ref="AV7:AX7"/>
    <mergeCell ref="G1:L3"/>
    <mergeCell ref="M53:O53"/>
    <mergeCell ref="Y53:AA53"/>
    <mergeCell ref="M54:O54"/>
    <mergeCell ref="Y54:AA54"/>
    <mergeCell ref="M55:O55"/>
    <mergeCell ref="Y55:AA55"/>
    <mergeCell ref="M56:O56"/>
    <mergeCell ref="Y56:AA56"/>
    <mergeCell ref="S52:U52"/>
    <mergeCell ref="S53:U53"/>
    <mergeCell ref="S54:U54"/>
    <mergeCell ref="S55:U55"/>
    <mergeCell ref="S56:U56"/>
    <mergeCell ref="M52:O52"/>
    <mergeCell ref="Y52:AA52"/>
    <mergeCell ref="M1:AY3"/>
    <mergeCell ref="G8:G56"/>
    <mergeCell ref="H8:H56"/>
    <mergeCell ref="L8:L56"/>
    <mergeCell ref="X8:X56"/>
    <mergeCell ref="AC8:AC56"/>
    <mergeCell ref="AI8:AI56"/>
    <mergeCell ref="W8:W56"/>
    <mergeCell ref="K8:K56"/>
    <mergeCell ref="AD8:AH56"/>
    <mergeCell ref="AJ8:AN56"/>
    <mergeCell ref="Q6:V6"/>
    <mergeCell ref="S7:U7"/>
    <mergeCell ref="Q8:Q56"/>
    <mergeCell ref="R8:R56"/>
    <mergeCell ref="S8:U8"/>
    <mergeCell ref="S9:U9"/>
    <mergeCell ref="S10:U10"/>
    <mergeCell ref="S11:U11"/>
    <mergeCell ref="S12:U12"/>
    <mergeCell ref="S13:U13"/>
    <mergeCell ref="S14:U14"/>
    <mergeCell ref="S15:U15"/>
    <mergeCell ref="S16:U16"/>
    <mergeCell ref="S50:U50"/>
    <mergeCell ref="S51:U51"/>
    <mergeCell ref="S57:U57"/>
    <mergeCell ref="S17:U17"/>
    <mergeCell ref="S18:U18"/>
    <mergeCell ref="S19:U19"/>
    <mergeCell ref="S20:U20"/>
    <mergeCell ref="S21:U21"/>
    <mergeCell ref="S22:U22"/>
    <mergeCell ref="S23:U23"/>
    <mergeCell ref="S24:U24"/>
    <mergeCell ref="S25:U25"/>
    <mergeCell ref="S43:U43"/>
    <mergeCell ref="S44:U44"/>
    <mergeCell ref="S45:U45"/>
    <mergeCell ref="S46:U46"/>
    <mergeCell ref="S47:U47"/>
    <mergeCell ref="S48:U48"/>
    <mergeCell ref="S49:U49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67"/>
  <sheetViews>
    <sheetView zoomScale="85" zoomScaleNormal="75" zoomScaleSheetLayoutView="85" workbookViewId="0">
      <selection activeCell="L77" sqref="L77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70"/>
      <c r="B1" s="170"/>
      <c r="C1" s="170"/>
      <c r="D1" s="170"/>
      <c r="E1" s="247" t="s">
        <v>82</v>
      </c>
      <c r="F1" s="248"/>
      <c r="G1" s="248"/>
      <c r="H1" s="248"/>
      <c r="I1" s="248"/>
      <c r="J1" s="248"/>
      <c r="K1" s="248"/>
      <c r="L1" s="248"/>
      <c r="M1" s="248"/>
      <c r="N1" s="248"/>
      <c r="O1" s="249"/>
    </row>
    <row r="2" spans="1:15" ht="16.5" customHeight="1">
      <c r="A2" s="170"/>
      <c r="B2" s="170"/>
      <c r="C2" s="170"/>
      <c r="D2" s="170"/>
      <c r="E2" s="250"/>
      <c r="F2" s="251"/>
      <c r="G2" s="251"/>
      <c r="H2" s="251"/>
      <c r="I2" s="251"/>
      <c r="J2" s="251"/>
      <c r="K2" s="251"/>
      <c r="L2" s="251"/>
      <c r="M2" s="251"/>
      <c r="N2" s="251"/>
      <c r="O2" s="252"/>
    </row>
    <row r="3" spans="1:15" ht="16.5" customHeight="1">
      <c r="A3" s="170"/>
      <c r="B3" s="170"/>
      <c r="C3" s="170"/>
      <c r="D3" s="170"/>
      <c r="E3" s="250"/>
      <c r="F3" s="251"/>
      <c r="G3" s="251"/>
      <c r="H3" s="251"/>
      <c r="I3" s="251"/>
      <c r="J3" s="251"/>
      <c r="K3" s="251"/>
      <c r="L3" s="251"/>
      <c r="M3" s="251"/>
      <c r="N3" s="251"/>
      <c r="O3" s="252"/>
    </row>
    <row r="4" spans="1:15" ht="16.5" customHeight="1">
      <c r="A4" s="170" t="s">
        <v>47</v>
      </c>
      <c r="B4" s="170"/>
      <c r="C4" s="170"/>
      <c r="D4" s="1"/>
      <c r="E4" s="253"/>
      <c r="F4" s="254"/>
      <c r="G4" s="254"/>
      <c r="H4" s="254"/>
      <c r="I4" s="254"/>
      <c r="J4" s="254"/>
      <c r="K4" s="254"/>
      <c r="L4" s="254"/>
      <c r="M4" s="254"/>
      <c r="N4" s="254"/>
      <c r="O4" s="255"/>
    </row>
    <row r="5" spans="1:15" ht="16.5" customHeight="1">
      <c r="A5" s="170" t="s">
        <v>41</v>
      </c>
      <c r="B5" s="170"/>
      <c r="C5" s="170"/>
      <c r="D5" s="170"/>
      <c r="E5" s="2" t="s">
        <v>38</v>
      </c>
      <c r="F5" s="256"/>
      <c r="G5" s="257"/>
      <c r="H5" s="258" t="s">
        <v>23</v>
      </c>
      <c r="I5" s="260"/>
      <c r="J5" s="261"/>
      <c r="K5" s="260" t="s">
        <v>9</v>
      </c>
      <c r="L5" s="261"/>
      <c r="M5" s="264" t="str">
        <f>'1. 소켓인수검사'!R1</f>
        <v>26.06.11 웰스홈_신승에프엔티_에이치제이종합건설_조선대학교 감염병 전문병원(입상)</v>
      </c>
      <c r="N5" s="264"/>
      <c r="O5" s="264"/>
    </row>
    <row r="6" spans="1:15">
      <c r="A6" s="170"/>
      <c r="B6" s="170"/>
      <c r="C6" s="170"/>
      <c r="D6" s="170"/>
      <c r="E6" s="2" t="s">
        <v>35</v>
      </c>
      <c r="F6" s="256"/>
      <c r="G6" s="257"/>
      <c r="H6" s="259"/>
      <c r="I6" s="262"/>
      <c r="J6" s="263"/>
      <c r="K6" s="262"/>
      <c r="L6" s="263"/>
      <c r="M6" s="264"/>
      <c r="N6" s="264"/>
      <c r="O6" s="264"/>
    </row>
    <row r="7" spans="1:15" ht="8.1" customHeight="1">
      <c r="A7" s="265"/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</row>
    <row r="8" spans="1:15" ht="26.45" customHeight="1">
      <c r="A8" s="266" t="s">
        <v>27</v>
      </c>
      <c r="B8" s="267" t="s">
        <v>32</v>
      </c>
      <c r="C8" s="270" t="s">
        <v>26</v>
      </c>
      <c r="D8" s="270"/>
      <c r="E8" s="270" t="s">
        <v>43</v>
      </c>
      <c r="F8" s="270" t="s">
        <v>31</v>
      </c>
      <c r="G8" s="270" t="s">
        <v>20</v>
      </c>
      <c r="H8" s="271" t="s">
        <v>63</v>
      </c>
      <c r="I8" s="271"/>
      <c r="J8" s="271"/>
      <c r="K8" s="271"/>
      <c r="L8" s="271"/>
      <c r="M8" s="271"/>
      <c r="N8" s="271"/>
      <c r="O8" s="270" t="s">
        <v>5</v>
      </c>
    </row>
    <row r="9" spans="1:15" ht="16.5" customHeight="1">
      <c r="A9" s="266"/>
      <c r="B9" s="268"/>
      <c r="C9" s="270" t="s">
        <v>28</v>
      </c>
      <c r="D9" s="270" t="s">
        <v>16</v>
      </c>
      <c r="E9" s="270"/>
      <c r="F9" s="270"/>
      <c r="G9" s="270"/>
      <c r="H9" s="270" t="s">
        <v>19</v>
      </c>
      <c r="I9" s="270"/>
      <c r="J9" s="270" t="s">
        <v>24</v>
      </c>
      <c r="K9" s="270"/>
      <c r="L9" s="272" t="s">
        <v>69</v>
      </c>
      <c r="M9" s="273"/>
      <c r="N9" s="274"/>
      <c r="O9" s="270"/>
    </row>
    <row r="10" spans="1:15">
      <c r="A10" s="266"/>
      <c r="B10" s="269"/>
      <c r="C10" s="270"/>
      <c r="D10" s="270"/>
      <c r="E10" s="270"/>
      <c r="F10" s="35">
        <v>25</v>
      </c>
      <c r="G10" s="35">
        <v>300</v>
      </c>
      <c r="H10" s="35" t="s">
        <v>26</v>
      </c>
      <c r="I10" s="35" t="s">
        <v>2</v>
      </c>
      <c r="J10" s="35" t="s">
        <v>26</v>
      </c>
      <c r="K10" s="35" t="s">
        <v>2</v>
      </c>
      <c r="L10" s="275"/>
      <c r="M10" s="276"/>
      <c r="N10" s="277"/>
      <c r="O10" s="270"/>
    </row>
    <row r="11" spans="1:15">
      <c r="A11" s="40" t="str">
        <f>'1. 소켓인수검사'!A9</f>
        <v>40</v>
      </c>
      <c r="B11" s="55" t="str">
        <f>'1. 소켓인수검사'!B9</f>
        <v>HTG-064</v>
      </c>
      <c r="C11" s="41">
        <f>'1. 소켓인수검사'!C9</f>
        <v>350</v>
      </c>
      <c r="D11" s="41">
        <f>'1. 소켓인수검사'!D9</f>
        <v>250</v>
      </c>
      <c r="E11" s="25"/>
      <c r="F11" s="28"/>
      <c r="G11" s="28"/>
      <c r="H11" s="29">
        <f>(C11+60)</f>
        <v>410</v>
      </c>
      <c r="I11" s="29">
        <v>2</v>
      </c>
      <c r="J11" s="29">
        <f>D11</f>
        <v>250</v>
      </c>
      <c r="K11" s="29">
        <v>2</v>
      </c>
      <c r="L11" s="278"/>
      <c r="M11" s="279"/>
      <c r="N11" s="280"/>
      <c r="O11" s="34"/>
    </row>
    <row r="12" spans="1:15">
      <c r="A12" s="42" t="str">
        <f>'1. 소켓인수검사'!A10</f>
        <v>41</v>
      </c>
      <c r="B12" s="56" t="str">
        <f>'1. 소켓인수검사'!B10</f>
        <v>HTG-064</v>
      </c>
      <c r="C12" s="46">
        <f>'1. 소켓인수검사'!C10</f>
        <v>450</v>
      </c>
      <c r="D12" s="46">
        <f>'1. 소켓인수검사'!D10</f>
        <v>300</v>
      </c>
      <c r="E12" s="25"/>
      <c r="F12" s="30"/>
      <c r="G12" s="30"/>
      <c r="H12" s="29">
        <f t="shared" ref="H12:H59" si="0">(C12+60)</f>
        <v>510</v>
      </c>
      <c r="I12" s="29">
        <v>2</v>
      </c>
      <c r="J12" s="29">
        <f t="shared" ref="J12:J59" si="1">D12</f>
        <v>300</v>
      </c>
      <c r="K12" s="29">
        <v>2</v>
      </c>
      <c r="L12" s="244"/>
      <c r="M12" s="245"/>
      <c r="N12" s="246"/>
      <c r="O12" s="27"/>
    </row>
    <row r="13" spans="1:15">
      <c r="A13" s="42" t="str">
        <f>'1. 소켓인수검사'!A11</f>
        <v>42</v>
      </c>
      <c r="B13" s="56" t="str">
        <f>'1. 소켓인수검사'!B11</f>
        <v>HTG-064</v>
      </c>
      <c r="C13" s="46">
        <f>'1. 소켓인수검사'!C11</f>
        <v>450</v>
      </c>
      <c r="D13" s="46">
        <f>'1. 소켓인수검사'!D11</f>
        <v>350</v>
      </c>
      <c r="E13" s="25"/>
      <c r="F13" s="30"/>
      <c r="G13" s="30"/>
      <c r="H13" s="29">
        <f t="shared" si="0"/>
        <v>510</v>
      </c>
      <c r="I13" s="29">
        <v>2</v>
      </c>
      <c r="J13" s="29">
        <f t="shared" si="1"/>
        <v>350</v>
      </c>
      <c r="K13" s="29">
        <v>2</v>
      </c>
      <c r="L13" s="244"/>
      <c r="M13" s="245"/>
      <c r="N13" s="246"/>
      <c r="O13" s="27"/>
    </row>
    <row r="14" spans="1:15">
      <c r="A14" s="42" t="str">
        <f>'1. 소켓인수검사'!A12</f>
        <v>43</v>
      </c>
      <c r="B14" s="56" t="str">
        <f>'1. 소켓인수검사'!B12</f>
        <v>HTG-064</v>
      </c>
      <c r="C14" s="46">
        <f>'1. 소켓인수검사'!C12</f>
        <v>450</v>
      </c>
      <c r="D14" s="46">
        <f>'1. 소켓인수검사'!D12</f>
        <v>350</v>
      </c>
      <c r="E14" s="25"/>
      <c r="F14" s="30"/>
      <c r="G14" s="30"/>
      <c r="H14" s="29">
        <f t="shared" si="0"/>
        <v>510</v>
      </c>
      <c r="I14" s="29">
        <v>2</v>
      </c>
      <c r="J14" s="29">
        <f t="shared" si="1"/>
        <v>350</v>
      </c>
      <c r="K14" s="29">
        <v>2</v>
      </c>
      <c r="L14" s="244"/>
      <c r="M14" s="245"/>
      <c r="N14" s="246"/>
      <c r="O14" s="27"/>
    </row>
    <row r="15" spans="1:15">
      <c r="A15" s="42" t="str">
        <f>'1. 소켓인수검사'!A13</f>
        <v>44</v>
      </c>
      <c r="B15" s="56" t="str">
        <f>'1. 소켓인수검사'!B13</f>
        <v>HTG-064</v>
      </c>
      <c r="C15" s="48">
        <f>'1. 소켓인수검사'!C13</f>
        <v>500</v>
      </c>
      <c r="D15" s="48">
        <f>'1. 소켓인수검사'!D13</f>
        <v>500</v>
      </c>
      <c r="E15" s="25"/>
      <c r="F15" s="30"/>
      <c r="G15" s="30"/>
      <c r="H15" s="29">
        <f t="shared" si="0"/>
        <v>560</v>
      </c>
      <c r="I15" s="29">
        <v>2</v>
      </c>
      <c r="J15" s="29">
        <f t="shared" si="1"/>
        <v>500</v>
      </c>
      <c r="K15" s="29">
        <v>2</v>
      </c>
      <c r="L15" s="244"/>
      <c r="M15" s="245"/>
      <c r="N15" s="246"/>
      <c r="O15" s="27"/>
    </row>
    <row r="16" spans="1:15">
      <c r="A16" s="42" t="str">
        <f>'1. 소켓인수검사'!A14</f>
        <v>45</v>
      </c>
      <c r="B16" s="56" t="str">
        <f>'1. 소켓인수검사'!B14</f>
        <v>HTG-064</v>
      </c>
      <c r="C16" s="48">
        <f>'1. 소켓인수검사'!C14</f>
        <v>550</v>
      </c>
      <c r="D16" s="48">
        <f>'1. 소켓인수검사'!D14</f>
        <v>350</v>
      </c>
      <c r="E16" s="25"/>
      <c r="F16" s="30"/>
      <c r="G16" s="30"/>
      <c r="H16" s="29">
        <f t="shared" si="0"/>
        <v>610</v>
      </c>
      <c r="I16" s="29">
        <v>2</v>
      </c>
      <c r="J16" s="29">
        <f t="shared" si="1"/>
        <v>350</v>
      </c>
      <c r="K16" s="29">
        <v>2</v>
      </c>
      <c r="L16" s="244"/>
      <c r="M16" s="245"/>
      <c r="N16" s="246"/>
      <c r="O16" s="27"/>
    </row>
    <row r="17" spans="1:15">
      <c r="A17" s="42" t="str">
        <f>'1. 소켓인수검사'!A15</f>
        <v>46</v>
      </c>
      <c r="B17" s="56" t="str">
        <f>'1. 소켓인수검사'!B15</f>
        <v>HTG-064</v>
      </c>
      <c r="C17" s="48">
        <f>'1. 소켓인수검사'!C15</f>
        <v>550</v>
      </c>
      <c r="D17" s="48">
        <f>'1. 소켓인수검사'!D15</f>
        <v>350</v>
      </c>
      <c r="E17" s="25"/>
      <c r="F17" s="30"/>
      <c r="G17" s="30"/>
      <c r="H17" s="29">
        <f t="shared" si="0"/>
        <v>610</v>
      </c>
      <c r="I17" s="29">
        <v>2</v>
      </c>
      <c r="J17" s="29">
        <f t="shared" si="1"/>
        <v>350</v>
      </c>
      <c r="K17" s="29">
        <v>2</v>
      </c>
      <c r="L17" s="244"/>
      <c r="M17" s="245"/>
      <c r="N17" s="246"/>
      <c r="O17" s="27"/>
    </row>
    <row r="18" spans="1:15">
      <c r="A18" s="42" t="str">
        <f>'1. 소켓인수검사'!A16</f>
        <v>47</v>
      </c>
      <c r="B18" s="56" t="str">
        <f>'1. 소켓인수검사'!B16</f>
        <v>HTG-064</v>
      </c>
      <c r="C18" s="48">
        <f>'1. 소켓인수검사'!C16</f>
        <v>600</v>
      </c>
      <c r="D18" s="48">
        <f>'1. 소켓인수검사'!D16</f>
        <v>300</v>
      </c>
      <c r="E18" s="25"/>
      <c r="F18" s="30"/>
      <c r="G18" s="30"/>
      <c r="H18" s="29">
        <f t="shared" si="0"/>
        <v>660</v>
      </c>
      <c r="I18" s="29">
        <v>2</v>
      </c>
      <c r="J18" s="29">
        <f t="shared" si="1"/>
        <v>300</v>
      </c>
      <c r="K18" s="29">
        <v>2</v>
      </c>
      <c r="L18" s="244"/>
      <c r="M18" s="245"/>
      <c r="N18" s="246"/>
      <c r="O18" s="27"/>
    </row>
    <row r="19" spans="1:15">
      <c r="A19" s="42" t="str">
        <f>'1. 소켓인수검사'!A17</f>
        <v>48</v>
      </c>
      <c r="B19" s="56" t="str">
        <f>'1. 소켓인수검사'!B17</f>
        <v>HTG-064</v>
      </c>
      <c r="C19" s="48">
        <f>'1. 소켓인수검사'!C17</f>
        <v>600</v>
      </c>
      <c r="D19" s="48">
        <f>'1. 소켓인수검사'!D17</f>
        <v>300</v>
      </c>
      <c r="E19" s="25"/>
      <c r="F19" s="30"/>
      <c r="G19" s="30"/>
      <c r="H19" s="29">
        <f t="shared" si="0"/>
        <v>660</v>
      </c>
      <c r="I19" s="29">
        <v>2</v>
      </c>
      <c r="J19" s="29">
        <f t="shared" si="1"/>
        <v>300</v>
      </c>
      <c r="K19" s="29">
        <v>2</v>
      </c>
      <c r="L19" s="244"/>
      <c r="M19" s="245"/>
      <c r="N19" s="246"/>
      <c r="O19" s="27"/>
    </row>
    <row r="20" spans="1:15">
      <c r="A20" s="42" t="str">
        <f>'1. 소켓인수검사'!A18</f>
        <v>49</v>
      </c>
      <c r="B20" s="56" t="str">
        <f>'1. 소켓인수검사'!B18</f>
        <v>HTG-064</v>
      </c>
      <c r="C20" s="48">
        <f>'1. 소켓인수검사'!C18</f>
        <v>600</v>
      </c>
      <c r="D20" s="48">
        <f>'1. 소켓인수검사'!D18</f>
        <v>450</v>
      </c>
      <c r="E20" s="25"/>
      <c r="F20" s="30"/>
      <c r="G20" s="30"/>
      <c r="H20" s="29">
        <f t="shared" si="0"/>
        <v>660</v>
      </c>
      <c r="I20" s="29">
        <v>2</v>
      </c>
      <c r="J20" s="29">
        <f t="shared" si="1"/>
        <v>450</v>
      </c>
      <c r="K20" s="29">
        <v>2</v>
      </c>
      <c r="L20" s="244"/>
      <c r="M20" s="245"/>
      <c r="N20" s="246"/>
      <c r="O20" s="27"/>
    </row>
    <row r="21" spans="1:15">
      <c r="A21" s="42" t="str">
        <f>'1. 소켓인수검사'!A19</f>
        <v>50</v>
      </c>
      <c r="B21" s="56" t="str">
        <f>'1. 소켓인수검사'!B19</f>
        <v>HTG-064</v>
      </c>
      <c r="C21" s="48">
        <f>'1. 소켓인수검사'!C19</f>
        <v>600</v>
      </c>
      <c r="D21" s="48">
        <f>'1. 소켓인수검사'!D19</f>
        <v>600</v>
      </c>
      <c r="E21" s="25"/>
      <c r="F21" s="30"/>
      <c r="G21" s="30"/>
      <c r="H21" s="29">
        <f t="shared" si="0"/>
        <v>660</v>
      </c>
      <c r="I21" s="29">
        <v>2</v>
      </c>
      <c r="J21" s="29">
        <f t="shared" si="1"/>
        <v>600</v>
      </c>
      <c r="K21" s="29">
        <v>2</v>
      </c>
      <c r="L21" s="244"/>
      <c r="M21" s="245"/>
      <c r="N21" s="246"/>
      <c r="O21" s="27"/>
    </row>
    <row r="22" spans="1:15">
      <c r="A22" s="42" t="str">
        <f>'1. 소켓인수검사'!A20</f>
        <v>51</v>
      </c>
      <c r="B22" s="56" t="str">
        <f>'1. 소켓인수검사'!B20</f>
        <v>HTG-064</v>
      </c>
      <c r="C22" s="48">
        <f>'1. 소켓인수검사'!C20</f>
        <v>700</v>
      </c>
      <c r="D22" s="48">
        <f>'1. 소켓인수검사'!D20</f>
        <v>600</v>
      </c>
      <c r="E22" s="25"/>
      <c r="F22" s="30"/>
      <c r="G22" s="30"/>
      <c r="H22" s="29">
        <f t="shared" si="0"/>
        <v>760</v>
      </c>
      <c r="I22" s="29">
        <v>2</v>
      </c>
      <c r="J22" s="29">
        <f t="shared" si="1"/>
        <v>600</v>
      </c>
      <c r="K22" s="29">
        <v>2</v>
      </c>
      <c r="L22" s="244"/>
      <c r="M22" s="245"/>
      <c r="N22" s="246"/>
      <c r="O22" s="27"/>
    </row>
    <row r="23" spans="1:15">
      <c r="A23" s="42" t="str">
        <f>'1. 소켓인수검사'!A21</f>
        <v>52</v>
      </c>
      <c r="B23" s="56" t="str">
        <f>'1. 소켓인수검사'!B21</f>
        <v>HTG-064</v>
      </c>
      <c r="C23" s="48">
        <f>'1. 소켓인수검사'!C21</f>
        <v>700</v>
      </c>
      <c r="D23" s="48">
        <f>'1. 소켓인수검사'!D21</f>
        <v>600</v>
      </c>
      <c r="E23" s="26"/>
      <c r="F23" s="30"/>
      <c r="G23" s="30"/>
      <c r="H23" s="29">
        <f t="shared" si="0"/>
        <v>760</v>
      </c>
      <c r="I23" s="29">
        <v>2</v>
      </c>
      <c r="J23" s="29">
        <f t="shared" si="1"/>
        <v>600</v>
      </c>
      <c r="K23" s="29">
        <v>2</v>
      </c>
      <c r="L23" s="244"/>
      <c r="M23" s="245"/>
      <c r="N23" s="246"/>
      <c r="O23" s="27"/>
    </row>
    <row r="24" spans="1:15">
      <c r="A24" s="42" t="str">
        <f>'1. 소켓인수검사'!A22</f>
        <v>53</v>
      </c>
      <c r="B24" s="56" t="str">
        <f>'1. 소켓인수검사'!B22</f>
        <v>HTG-064</v>
      </c>
      <c r="C24" s="48">
        <f>'1. 소켓인수검사'!C22</f>
        <v>700</v>
      </c>
      <c r="D24" s="48">
        <f>'1. 소켓인수검사'!D22</f>
        <v>650</v>
      </c>
      <c r="E24" s="26"/>
      <c r="F24" s="30"/>
      <c r="G24" s="30"/>
      <c r="H24" s="29">
        <f t="shared" si="0"/>
        <v>760</v>
      </c>
      <c r="I24" s="29">
        <v>2</v>
      </c>
      <c r="J24" s="29">
        <f t="shared" si="1"/>
        <v>650</v>
      </c>
      <c r="K24" s="29">
        <v>2</v>
      </c>
      <c r="L24" s="244"/>
      <c r="M24" s="245"/>
      <c r="N24" s="246"/>
      <c r="O24" s="27"/>
    </row>
    <row r="25" spans="1:15">
      <c r="A25" s="42" t="str">
        <f>'1. 소켓인수검사'!A23</f>
        <v>54</v>
      </c>
      <c r="B25" s="56" t="str">
        <f>'1. 소켓인수검사'!B23</f>
        <v>HTG-064</v>
      </c>
      <c r="C25" s="48">
        <f>'1. 소켓인수검사'!C23</f>
        <v>700</v>
      </c>
      <c r="D25" s="48">
        <f>'1. 소켓인수검사'!D23</f>
        <v>650</v>
      </c>
      <c r="E25" s="26"/>
      <c r="F25" s="30"/>
      <c r="G25" s="30"/>
      <c r="H25" s="29">
        <f t="shared" si="0"/>
        <v>760</v>
      </c>
      <c r="I25" s="29">
        <v>2</v>
      </c>
      <c r="J25" s="29">
        <f t="shared" si="1"/>
        <v>650</v>
      </c>
      <c r="K25" s="29">
        <v>2</v>
      </c>
      <c r="L25" s="244"/>
      <c r="M25" s="245"/>
      <c r="N25" s="246"/>
      <c r="O25" s="27"/>
    </row>
    <row r="26" spans="1:15">
      <c r="A26" s="42" t="str">
        <f>'1. 소켓인수검사'!A24</f>
        <v>55</v>
      </c>
      <c r="B26" s="56" t="str">
        <f>'1. 소켓인수검사'!B24</f>
        <v>HTG-064</v>
      </c>
      <c r="C26" s="48">
        <f>'1. 소켓인수검사'!C24</f>
        <v>700</v>
      </c>
      <c r="D26" s="48">
        <f>'1. 소켓인수검사'!D24</f>
        <v>650</v>
      </c>
      <c r="E26" s="26"/>
      <c r="F26" s="30"/>
      <c r="G26" s="30"/>
      <c r="H26" s="29">
        <f t="shared" si="0"/>
        <v>760</v>
      </c>
      <c r="I26" s="29">
        <v>2</v>
      </c>
      <c r="J26" s="29">
        <f t="shared" si="1"/>
        <v>650</v>
      </c>
      <c r="K26" s="29">
        <v>2</v>
      </c>
      <c r="L26" s="244"/>
      <c r="M26" s="245"/>
      <c r="N26" s="246"/>
      <c r="O26" s="27"/>
    </row>
    <row r="27" spans="1:15">
      <c r="A27" s="42" t="str">
        <f>'1. 소켓인수검사'!A25</f>
        <v>56</v>
      </c>
      <c r="B27" s="56" t="str">
        <f>'1. 소켓인수검사'!B25</f>
        <v>HTG-064</v>
      </c>
      <c r="C27" s="48">
        <f>'1. 소켓인수검사'!C25</f>
        <v>700</v>
      </c>
      <c r="D27" s="48">
        <f>'1. 소켓인수검사'!D25</f>
        <v>650</v>
      </c>
      <c r="E27" s="26"/>
      <c r="F27" s="30"/>
      <c r="G27" s="30"/>
      <c r="H27" s="29">
        <f t="shared" si="0"/>
        <v>760</v>
      </c>
      <c r="I27" s="29">
        <v>2</v>
      </c>
      <c r="J27" s="29">
        <f t="shared" si="1"/>
        <v>650</v>
      </c>
      <c r="K27" s="29">
        <v>2</v>
      </c>
      <c r="L27" s="244"/>
      <c r="M27" s="245"/>
      <c r="N27" s="246"/>
      <c r="O27" s="27"/>
    </row>
    <row r="28" spans="1:15">
      <c r="A28" s="42" t="str">
        <f>'1. 소켓인수검사'!A26</f>
        <v>57</v>
      </c>
      <c r="B28" s="56" t="str">
        <f>'1. 소켓인수검사'!B26</f>
        <v>HTG-064</v>
      </c>
      <c r="C28" s="48">
        <f>'1. 소켓인수검사'!C26</f>
        <v>700</v>
      </c>
      <c r="D28" s="48">
        <f>'1. 소켓인수검사'!D26</f>
        <v>650</v>
      </c>
      <c r="E28" s="26"/>
      <c r="F28" s="30"/>
      <c r="G28" s="30"/>
      <c r="H28" s="29">
        <f t="shared" si="0"/>
        <v>760</v>
      </c>
      <c r="I28" s="29">
        <v>2</v>
      </c>
      <c r="J28" s="29">
        <f t="shared" si="1"/>
        <v>650</v>
      </c>
      <c r="K28" s="29">
        <v>2</v>
      </c>
      <c r="L28" s="244"/>
      <c r="M28" s="245"/>
      <c r="N28" s="246"/>
      <c r="O28" s="27"/>
    </row>
    <row r="29" spans="1:15">
      <c r="A29" s="42" t="str">
        <f>'1. 소켓인수검사'!A27</f>
        <v>58</v>
      </c>
      <c r="B29" s="56" t="str">
        <f>'1. 소켓인수검사'!B27</f>
        <v>HTG-064</v>
      </c>
      <c r="C29" s="48">
        <f>'1. 소켓인수검사'!C27</f>
        <v>700</v>
      </c>
      <c r="D29" s="48">
        <f>'1. 소켓인수검사'!D27</f>
        <v>650</v>
      </c>
      <c r="E29" s="26"/>
      <c r="F29" s="30"/>
      <c r="G29" s="30"/>
      <c r="H29" s="29">
        <f t="shared" si="0"/>
        <v>760</v>
      </c>
      <c r="I29" s="29">
        <v>2</v>
      </c>
      <c r="J29" s="29">
        <f t="shared" si="1"/>
        <v>650</v>
      </c>
      <c r="K29" s="29">
        <v>2</v>
      </c>
      <c r="L29" s="244"/>
      <c r="M29" s="245"/>
      <c r="N29" s="246"/>
      <c r="O29" s="27"/>
    </row>
    <row r="30" spans="1:15">
      <c r="A30" s="42" t="str">
        <f>'1. 소켓인수검사'!A28</f>
        <v>59</v>
      </c>
      <c r="B30" s="56" t="str">
        <f>'1. 소켓인수검사'!B28</f>
        <v>HTG-064</v>
      </c>
      <c r="C30" s="48">
        <f>'1. 소켓인수검사'!C28</f>
        <v>700</v>
      </c>
      <c r="D30" s="48">
        <f>'1. 소켓인수검사'!D28</f>
        <v>650</v>
      </c>
      <c r="E30" s="26"/>
      <c r="F30" s="30"/>
      <c r="G30" s="30"/>
      <c r="H30" s="29">
        <f t="shared" si="0"/>
        <v>760</v>
      </c>
      <c r="I30" s="29">
        <v>2</v>
      </c>
      <c r="J30" s="29">
        <f t="shared" si="1"/>
        <v>650</v>
      </c>
      <c r="K30" s="29">
        <v>2</v>
      </c>
      <c r="L30" s="244"/>
      <c r="M30" s="245"/>
      <c r="N30" s="246"/>
      <c r="O30" s="27"/>
    </row>
    <row r="31" spans="1:15">
      <c r="A31" s="42" t="str">
        <f>'1. 소켓인수검사'!A29</f>
        <v>60</v>
      </c>
      <c r="B31" s="56" t="str">
        <f>'1. 소켓인수검사'!B29</f>
        <v>HTG-064</v>
      </c>
      <c r="C31" s="48">
        <f>'1. 소켓인수검사'!C29</f>
        <v>750</v>
      </c>
      <c r="D31" s="48">
        <f>'1. 소켓인수검사'!D29</f>
        <v>450</v>
      </c>
      <c r="E31" s="26"/>
      <c r="F31" s="30"/>
      <c r="G31" s="30"/>
      <c r="H31" s="29">
        <f t="shared" si="0"/>
        <v>810</v>
      </c>
      <c r="I31" s="29">
        <v>2</v>
      </c>
      <c r="J31" s="29">
        <f t="shared" si="1"/>
        <v>450</v>
      </c>
      <c r="K31" s="29">
        <v>2</v>
      </c>
      <c r="L31" s="244"/>
      <c r="M31" s="245"/>
      <c r="N31" s="246"/>
      <c r="O31" s="27"/>
    </row>
    <row r="32" spans="1:15">
      <c r="A32" s="42" t="str">
        <f>'1. 소켓인수검사'!A30</f>
        <v>61</v>
      </c>
      <c r="B32" s="56" t="str">
        <f>'1. 소켓인수검사'!B30</f>
        <v>HTG-064</v>
      </c>
      <c r="C32" s="48">
        <f>'1. 소켓인수검사'!C30</f>
        <v>750</v>
      </c>
      <c r="D32" s="48">
        <f>'1. 소켓인수검사'!D30</f>
        <v>450</v>
      </c>
      <c r="E32" s="26"/>
      <c r="F32" s="30"/>
      <c r="G32" s="30"/>
      <c r="H32" s="29">
        <f t="shared" si="0"/>
        <v>810</v>
      </c>
      <c r="I32" s="29">
        <v>2</v>
      </c>
      <c r="J32" s="29">
        <f t="shared" si="1"/>
        <v>450</v>
      </c>
      <c r="K32" s="29">
        <v>2</v>
      </c>
      <c r="L32" s="244"/>
      <c r="M32" s="245"/>
      <c r="N32" s="246"/>
      <c r="O32" s="27"/>
    </row>
    <row r="33" spans="1:15">
      <c r="A33" s="42" t="str">
        <f>'1. 소켓인수검사'!A31</f>
        <v>62</v>
      </c>
      <c r="B33" s="56" t="str">
        <f>'1. 소켓인수검사'!B31</f>
        <v>HTG-064</v>
      </c>
      <c r="C33" s="48">
        <f>'1. 소켓인수검사'!C31</f>
        <v>750</v>
      </c>
      <c r="D33" s="48">
        <f>'1. 소켓인수검사'!D31</f>
        <v>550</v>
      </c>
      <c r="E33" s="26"/>
      <c r="F33" s="30"/>
      <c r="G33" s="30"/>
      <c r="H33" s="29">
        <f t="shared" si="0"/>
        <v>810</v>
      </c>
      <c r="I33" s="29">
        <v>2</v>
      </c>
      <c r="J33" s="29">
        <f t="shared" si="1"/>
        <v>550</v>
      </c>
      <c r="K33" s="29">
        <v>2</v>
      </c>
      <c r="L33" s="244"/>
      <c r="M33" s="245"/>
      <c r="N33" s="246"/>
      <c r="O33" s="27"/>
    </row>
    <row r="34" spans="1:15">
      <c r="A34" s="42" t="str">
        <f>'1. 소켓인수검사'!A32</f>
        <v>63</v>
      </c>
      <c r="B34" s="56" t="str">
        <f>'1. 소켓인수검사'!B32</f>
        <v>HTG-064</v>
      </c>
      <c r="C34" s="48">
        <f>'1. 소켓인수검사'!C32</f>
        <v>750</v>
      </c>
      <c r="D34" s="48">
        <f>'1. 소켓인수검사'!D32</f>
        <v>550</v>
      </c>
      <c r="E34" s="25"/>
      <c r="F34" s="30"/>
      <c r="G34" s="30"/>
      <c r="H34" s="29">
        <f t="shared" si="0"/>
        <v>810</v>
      </c>
      <c r="I34" s="29">
        <v>2</v>
      </c>
      <c r="J34" s="29">
        <f t="shared" si="1"/>
        <v>550</v>
      </c>
      <c r="K34" s="29">
        <v>2</v>
      </c>
      <c r="L34" s="244"/>
      <c r="M34" s="245"/>
      <c r="N34" s="246"/>
      <c r="O34" s="27"/>
    </row>
    <row r="35" spans="1:15">
      <c r="A35" s="42" t="str">
        <f>'1. 소켓인수검사'!A33</f>
        <v>64</v>
      </c>
      <c r="B35" s="56" t="str">
        <f>'1. 소켓인수검사'!B33</f>
        <v>HTG-064</v>
      </c>
      <c r="C35" s="48">
        <f>'1. 소켓인수검사'!C33</f>
        <v>750</v>
      </c>
      <c r="D35" s="48">
        <f>'1. 소켓인수검사'!D33</f>
        <v>550</v>
      </c>
      <c r="E35" s="25"/>
      <c r="F35" s="30"/>
      <c r="G35" s="30"/>
      <c r="H35" s="29">
        <f t="shared" si="0"/>
        <v>810</v>
      </c>
      <c r="I35" s="29">
        <v>2</v>
      </c>
      <c r="J35" s="29">
        <f t="shared" si="1"/>
        <v>550</v>
      </c>
      <c r="K35" s="29">
        <v>2</v>
      </c>
      <c r="L35" s="244"/>
      <c r="M35" s="245"/>
      <c r="N35" s="246"/>
      <c r="O35" s="27"/>
    </row>
    <row r="36" spans="1:15">
      <c r="A36" s="42" t="str">
        <f>'1. 소켓인수검사'!A34</f>
        <v>65</v>
      </c>
      <c r="B36" s="56" t="str">
        <f>'1. 소켓인수검사'!B34</f>
        <v>HTG-064</v>
      </c>
      <c r="C36" s="48">
        <f>'1. 소켓인수검사'!C34</f>
        <v>750</v>
      </c>
      <c r="D36" s="48">
        <f>'1. 소켓인수검사'!D34</f>
        <v>550</v>
      </c>
      <c r="E36" s="25"/>
      <c r="F36" s="30"/>
      <c r="G36" s="30"/>
      <c r="H36" s="29">
        <f t="shared" si="0"/>
        <v>810</v>
      </c>
      <c r="I36" s="29">
        <v>2</v>
      </c>
      <c r="J36" s="29">
        <f t="shared" si="1"/>
        <v>550</v>
      </c>
      <c r="K36" s="29">
        <v>2</v>
      </c>
      <c r="L36" s="244"/>
      <c r="M36" s="245"/>
      <c r="N36" s="246"/>
      <c r="O36" s="27"/>
    </row>
    <row r="37" spans="1:15">
      <c r="A37" s="42" t="str">
        <f>'1. 소켓인수검사'!A35</f>
        <v>66</v>
      </c>
      <c r="B37" s="56" t="str">
        <f>'1. 소켓인수검사'!B35</f>
        <v>HTG-064</v>
      </c>
      <c r="C37" s="48">
        <f>'1. 소켓인수검사'!C35</f>
        <v>750</v>
      </c>
      <c r="D37" s="48">
        <f>'1. 소켓인수검사'!D35</f>
        <v>600</v>
      </c>
      <c r="E37" s="25"/>
      <c r="F37" s="30"/>
      <c r="G37" s="30"/>
      <c r="H37" s="29">
        <f t="shared" si="0"/>
        <v>810</v>
      </c>
      <c r="I37" s="29">
        <v>2</v>
      </c>
      <c r="J37" s="29">
        <f t="shared" si="1"/>
        <v>600</v>
      </c>
      <c r="K37" s="29">
        <v>2</v>
      </c>
      <c r="L37" s="244"/>
      <c r="M37" s="245"/>
      <c r="N37" s="246"/>
      <c r="O37" s="27"/>
    </row>
    <row r="38" spans="1:15">
      <c r="A38" s="42" t="str">
        <f>'1. 소켓인수검사'!A36</f>
        <v>67</v>
      </c>
      <c r="B38" s="56" t="str">
        <f>'1. 소켓인수검사'!B36</f>
        <v>HTG-064</v>
      </c>
      <c r="C38" s="48">
        <f>'1. 소켓인수검사'!C36</f>
        <v>750</v>
      </c>
      <c r="D38" s="48">
        <f>'1. 소켓인수검사'!D36</f>
        <v>600</v>
      </c>
      <c r="E38" s="25"/>
      <c r="F38" s="30"/>
      <c r="G38" s="30"/>
      <c r="H38" s="29">
        <f t="shared" si="0"/>
        <v>810</v>
      </c>
      <c r="I38" s="29">
        <v>2</v>
      </c>
      <c r="J38" s="29">
        <f t="shared" si="1"/>
        <v>600</v>
      </c>
      <c r="K38" s="29">
        <v>2</v>
      </c>
      <c r="L38" s="244"/>
      <c r="M38" s="245"/>
      <c r="N38" s="246"/>
      <c r="O38" s="27"/>
    </row>
    <row r="39" spans="1:15">
      <c r="A39" s="42" t="str">
        <f>'1. 소켓인수검사'!A37</f>
        <v>68</v>
      </c>
      <c r="B39" s="56" t="str">
        <f>'1. 소켓인수검사'!B37</f>
        <v>HTG-064</v>
      </c>
      <c r="C39" s="48">
        <f>'1. 소켓인수검사'!C37</f>
        <v>750</v>
      </c>
      <c r="D39" s="48">
        <f>'1. 소켓인수검사'!D37</f>
        <v>650</v>
      </c>
      <c r="E39" s="25"/>
      <c r="F39" s="30"/>
      <c r="G39" s="30"/>
      <c r="H39" s="29">
        <f t="shared" si="0"/>
        <v>810</v>
      </c>
      <c r="I39" s="29">
        <v>2</v>
      </c>
      <c r="J39" s="29">
        <f t="shared" si="1"/>
        <v>650</v>
      </c>
      <c r="K39" s="29">
        <v>2</v>
      </c>
      <c r="L39" s="244"/>
      <c r="M39" s="245"/>
      <c r="N39" s="246"/>
      <c r="O39" s="27"/>
    </row>
    <row r="40" spans="1:15">
      <c r="A40" s="42" t="str">
        <f>'1. 소켓인수검사'!A38</f>
        <v>69</v>
      </c>
      <c r="B40" s="56" t="str">
        <f>'1. 소켓인수검사'!B38</f>
        <v>HTG-064</v>
      </c>
      <c r="C40" s="48">
        <f>'1. 소켓인수검사'!C38</f>
        <v>750</v>
      </c>
      <c r="D40" s="48">
        <f>'1. 소켓인수검사'!D38</f>
        <v>650</v>
      </c>
      <c r="E40" s="25"/>
      <c r="F40" s="30"/>
      <c r="G40" s="30"/>
      <c r="H40" s="29">
        <f t="shared" si="0"/>
        <v>810</v>
      </c>
      <c r="I40" s="29">
        <v>2</v>
      </c>
      <c r="J40" s="29">
        <f t="shared" si="1"/>
        <v>650</v>
      </c>
      <c r="K40" s="29">
        <v>2</v>
      </c>
      <c r="L40" s="244"/>
      <c r="M40" s="245"/>
      <c r="N40" s="246"/>
      <c r="O40" s="27"/>
    </row>
    <row r="41" spans="1:15">
      <c r="A41" s="42" t="str">
        <f>'1. 소켓인수검사'!A39</f>
        <v>70</v>
      </c>
      <c r="B41" s="56" t="str">
        <f>'1. 소켓인수검사'!B39</f>
        <v>HTG-064</v>
      </c>
      <c r="C41" s="48">
        <f>'1. 소켓인수검사'!C39</f>
        <v>750</v>
      </c>
      <c r="D41" s="48">
        <f>'1. 소켓인수검사'!D39</f>
        <v>700</v>
      </c>
      <c r="E41" s="25"/>
      <c r="F41" s="30"/>
      <c r="G41" s="30"/>
      <c r="H41" s="29">
        <f t="shared" si="0"/>
        <v>810</v>
      </c>
      <c r="I41" s="29">
        <v>2</v>
      </c>
      <c r="J41" s="29">
        <f t="shared" si="1"/>
        <v>700</v>
      </c>
      <c r="K41" s="29">
        <v>2</v>
      </c>
      <c r="L41" s="244"/>
      <c r="M41" s="245"/>
      <c r="N41" s="246"/>
      <c r="O41" s="27"/>
    </row>
    <row r="42" spans="1:15">
      <c r="A42" s="42" t="str">
        <f>'1. 소켓인수검사'!A40</f>
        <v>71</v>
      </c>
      <c r="B42" s="56" t="str">
        <f>'1. 소켓인수검사'!B40</f>
        <v>HTG-064</v>
      </c>
      <c r="C42" s="48">
        <f>'1. 소켓인수검사'!C40</f>
        <v>750</v>
      </c>
      <c r="D42" s="48">
        <f>'1. 소켓인수검사'!D40</f>
        <v>700</v>
      </c>
      <c r="E42" s="25"/>
      <c r="F42" s="30"/>
      <c r="G42" s="30"/>
      <c r="H42" s="29">
        <f t="shared" si="0"/>
        <v>810</v>
      </c>
      <c r="I42" s="29">
        <v>2</v>
      </c>
      <c r="J42" s="29">
        <f t="shared" si="1"/>
        <v>700</v>
      </c>
      <c r="K42" s="29">
        <v>2</v>
      </c>
      <c r="L42" s="244"/>
      <c r="M42" s="245"/>
      <c r="N42" s="246"/>
      <c r="O42" s="27"/>
    </row>
    <row r="43" spans="1:15">
      <c r="A43" s="42" t="str">
        <f>'1. 소켓인수검사'!A41</f>
        <v>72</v>
      </c>
      <c r="B43" s="56" t="str">
        <f>'1. 소켓인수검사'!B41</f>
        <v>HTG-064</v>
      </c>
      <c r="C43" s="48">
        <f>'1. 소켓인수검사'!C41</f>
        <v>800</v>
      </c>
      <c r="D43" s="48">
        <f>'1. 소켓인수검사'!D41</f>
        <v>500</v>
      </c>
      <c r="E43" s="25"/>
      <c r="F43" s="30"/>
      <c r="G43" s="30"/>
      <c r="H43" s="29">
        <f t="shared" si="0"/>
        <v>860</v>
      </c>
      <c r="I43" s="29">
        <v>2</v>
      </c>
      <c r="J43" s="29">
        <f t="shared" si="1"/>
        <v>500</v>
      </c>
      <c r="K43" s="29">
        <v>2</v>
      </c>
      <c r="L43" s="244"/>
      <c r="M43" s="245"/>
      <c r="N43" s="246"/>
      <c r="O43" s="27"/>
    </row>
    <row r="44" spans="1:15">
      <c r="A44" s="42" t="str">
        <f>'1. 소켓인수검사'!A42</f>
        <v>73</v>
      </c>
      <c r="B44" s="56" t="str">
        <f>'1. 소켓인수검사'!B42</f>
        <v>HTG-064</v>
      </c>
      <c r="C44" s="48">
        <f>'1. 소켓인수검사'!C42</f>
        <v>800</v>
      </c>
      <c r="D44" s="48">
        <f>'1. 소켓인수검사'!D42</f>
        <v>500</v>
      </c>
      <c r="E44" s="25"/>
      <c r="F44" s="30"/>
      <c r="G44" s="30"/>
      <c r="H44" s="29">
        <f t="shared" si="0"/>
        <v>860</v>
      </c>
      <c r="I44" s="29">
        <v>2</v>
      </c>
      <c r="J44" s="29">
        <f t="shared" si="1"/>
        <v>500</v>
      </c>
      <c r="K44" s="29">
        <v>2</v>
      </c>
      <c r="L44" s="244"/>
      <c r="M44" s="245"/>
      <c r="N44" s="246"/>
      <c r="O44" s="27"/>
    </row>
    <row r="45" spans="1:15">
      <c r="A45" s="42" t="str">
        <f>'1. 소켓인수검사'!A43</f>
        <v>74</v>
      </c>
      <c r="B45" s="56" t="str">
        <f>'1. 소켓인수검사'!B43</f>
        <v>HTG-064</v>
      </c>
      <c r="C45" s="48">
        <f>'1. 소켓인수검사'!C43</f>
        <v>800</v>
      </c>
      <c r="D45" s="48">
        <f>'1. 소켓인수검사'!D43</f>
        <v>550</v>
      </c>
      <c r="E45" s="25"/>
      <c r="F45" s="30"/>
      <c r="G45" s="30"/>
      <c r="H45" s="29">
        <f t="shared" si="0"/>
        <v>860</v>
      </c>
      <c r="I45" s="29">
        <v>2</v>
      </c>
      <c r="J45" s="29">
        <f t="shared" si="1"/>
        <v>550</v>
      </c>
      <c r="K45" s="29">
        <v>2</v>
      </c>
      <c r="L45" s="244"/>
      <c r="M45" s="245"/>
      <c r="N45" s="246"/>
      <c r="O45" s="27"/>
    </row>
    <row r="46" spans="1:15">
      <c r="A46" s="42" t="str">
        <f>'1. 소켓인수검사'!A44</f>
        <v>75</v>
      </c>
      <c r="B46" s="56" t="str">
        <f>'1. 소켓인수검사'!B44</f>
        <v>HTG-064</v>
      </c>
      <c r="C46" s="48">
        <f>'1. 소켓인수검사'!C44</f>
        <v>800</v>
      </c>
      <c r="D46" s="48">
        <f>'1. 소켓인수검사'!D44</f>
        <v>600</v>
      </c>
      <c r="E46" s="25"/>
      <c r="F46" s="30"/>
      <c r="G46" s="30"/>
      <c r="H46" s="29">
        <f t="shared" si="0"/>
        <v>860</v>
      </c>
      <c r="I46" s="29">
        <v>2</v>
      </c>
      <c r="J46" s="29">
        <f t="shared" si="1"/>
        <v>600</v>
      </c>
      <c r="K46" s="29">
        <v>2</v>
      </c>
      <c r="L46" s="244"/>
      <c r="M46" s="245"/>
      <c r="N46" s="246"/>
      <c r="O46" s="27"/>
    </row>
    <row r="47" spans="1:15">
      <c r="A47" s="42" t="str">
        <f>'1. 소켓인수검사'!A45</f>
        <v>76</v>
      </c>
      <c r="B47" s="56" t="str">
        <f>'1. 소켓인수검사'!B45</f>
        <v>HTG-064</v>
      </c>
      <c r="C47" s="48">
        <f>'1. 소켓인수검사'!C45</f>
        <v>800</v>
      </c>
      <c r="D47" s="48">
        <f>'1. 소켓인수검사'!D45</f>
        <v>600</v>
      </c>
      <c r="E47" s="25"/>
      <c r="F47" s="30"/>
      <c r="G47" s="30"/>
      <c r="H47" s="29">
        <f t="shared" si="0"/>
        <v>860</v>
      </c>
      <c r="I47" s="29">
        <v>2</v>
      </c>
      <c r="J47" s="29">
        <f t="shared" si="1"/>
        <v>600</v>
      </c>
      <c r="K47" s="29">
        <v>2</v>
      </c>
      <c r="L47" s="244"/>
      <c r="M47" s="245"/>
      <c r="N47" s="246"/>
      <c r="O47" s="27"/>
    </row>
    <row r="48" spans="1:15">
      <c r="A48" s="42" t="str">
        <f>'1. 소켓인수검사'!A46</f>
        <v>77</v>
      </c>
      <c r="B48" s="56" t="str">
        <f>'1. 소켓인수검사'!B46</f>
        <v>HTG-064</v>
      </c>
      <c r="C48" s="48">
        <f>'1. 소켓인수검사'!C46</f>
        <v>800</v>
      </c>
      <c r="D48" s="48">
        <f>'1. 소켓인수검사'!D46</f>
        <v>600</v>
      </c>
      <c r="E48" s="25"/>
      <c r="F48" s="30"/>
      <c r="G48" s="30"/>
      <c r="H48" s="29">
        <f t="shared" si="0"/>
        <v>860</v>
      </c>
      <c r="I48" s="29">
        <v>2</v>
      </c>
      <c r="J48" s="29">
        <f t="shared" si="1"/>
        <v>600</v>
      </c>
      <c r="K48" s="29">
        <v>2</v>
      </c>
      <c r="L48" s="244"/>
      <c r="M48" s="245"/>
      <c r="N48" s="246"/>
      <c r="O48" s="27"/>
    </row>
    <row r="49" spans="1:15">
      <c r="A49" s="42" t="str">
        <f>'1. 소켓인수검사'!A47</f>
        <v>78</v>
      </c>
      <c r="B49" s="56" t="str">
        <f>'1. 소켓인수검사'!B47</f>
        <v>HTG-064</v>
      </c>
      <c r="C49" s="48">
        <f>'1. 소켓인수검사'!C47</f>
        <v>800</v>
      </c>
      <c r="D49" s="48">
        <f>'1. 소켓인수검사'!D47</f>
        <v>650</v>
      </c>
      <c r="E49" s="25"/>
      <c r="F49" s="30"/>
      <c r="G49" s="30"/>
      <c r="H49" s="29">
        <f t="shared" si="0"/>
        <v>860</v>
      </c>
      <c r="I49" s="29">
        <v>2</v>
      </c>
      <c r="J49" s="29">
        <f t="shared" si="1"/>
        <v>650</v>
      </c>
      <c r="K49" s="29">
        <v>2</v>
      </c>
      <c r="L49" s="244"/>
      <c r="M49" s="245"/>
      <c r="N49" s="246"/>
      <c r="O49" s="27"/>
    </row>
    <row r="50" spans="1:15">
      <c r="A50" s="42" t="str">
        <f>'1. 소켓인수검사'!A48</f>
        <v>79</v>
      </c>
      <c r="B50" s="56" t="str">
        <f>'1. 소켓인수검사'!B48</f>
        <v>HTG-064</v>
      </c>
      <c r="C50" s="48">
        <f>'1. 소켓인수검사'!C48</f>
        <v>800</v>
      </c>
      <c r="D50" s="48">
        <f>'1. 소켓인수검사'!D48</f>
        <v>650</v>
      </c>
      <c r="E50" s="25"/>
      <c r="F50" s="30"/>
      <c r="G50" s="30"/>
      <c r="H50" s="29">
        <f t="shared" si="0"/>
        <v>860</v>
      </c>
      <c r="I50" s="29">
        <v>2</v>
      </c>
      <c r="J50" s="29">
        <f t="shared" si="1"/>
        <v>650</v>
      </c>
      <c r="K50" s="29">
        <v>2</v>
      </c>
      <c r="L50" s="244"/>
      <c r="M50" s="245"/>
      <c r="N50" s="246"/>
      <c r="O50" s="27"/>
    </row>
    <row r="51" spans="1:15">
      <c r="A51" s="42" t="str">
        <f>'1. 소켓인수검사'!A49</f>
        <v>80</v>
      </c>
      <c r="B51" s="56" t="str">
        <f>'1. 소켓인수검사'!B49</f>
        <v>HTG-064</v>
      </c>
      <c r="C51" s="48">
        <f>'1. 소켓인수검사'!C49</f>
        <v>900</v>
      </c>
      <c r="D51" s="48">
        <f>'1. 소켓인수검사'!D49</f>
        <v>650</v>
      </c>
      <c r="E51" s="25"/>
      <c r="F51" s="30"/>
      <c r="G51" s="30"/>
      <c r="H51" s="29">
        <f t="shared" si="0"/>
        <v>960</v>
      </c>
      <c r="I51" s="29">
        <v>2</v>
      </c>
      <c r="J51" s="29">
        <f t="shared" si="1"/>
        <v>650</v>
      </c>
      <c r="K51" s="29">
        <v>2</v>
      </c>
      <c r="L51" s="244"/>
      <c r="M51" s="245"/>
      <c r="N51" s="246"/>
      <c r="O51" s="27"/>
    </row>
    <row r="52" spans="1:15">
      <c r="A52" s="42" t="str">
        <f>'1. 소켓인수검사'!A50</f>
        <v>81</v>
      </c>
      <c r="B52" s="56" t="str">
        <f>'1. 소켓인수검사'!B50</f>
        <v>HTG-064</v>
      </c>
      <c r="C52" s="48">
        <f>'1. 소켓인수검사'!C50</f>
        <v>900</v>
      </c>
      <c r="D52" s="48">
        <f>'1. 소켓인수검사'!D50</f>
        <v>700</v>
      </c>
      <c r="E52" s="25"/>
      <c r="F52" s="30"/>
      <c r="G52" s="30"/>
      <c r="H52" s="29">
        <f t="shared" si="0"/>
        <v>960</v>
      </c>
      <c r="I52" s="29">
        <v>2</v>
      </c>
      <c r="J52" s="29">
        <f t="shared" si="1"/>
        <v>700</v>
      </c>
      <c r="K52" s="29">
        <v>2</v>
      </c>
      <c r="L52" s="244"/>
      <c r="M52" s="245"/>
      <c r="N52" s="246"/>
      <c r="O52" s="27"/>
    </row>
    <row r="53" spans="1:15">
      <c r="A53" s="42" t="str">
        <f>'1. 소켓인수검사'!A51</f>
        <v>82</v>
      </c>
      <c r="B53" s="56" t="str">
        <f>'1. 소켓인수검사'!B51</f>
        <v>HTG-064</v>
      </c>
      <c r="C53" s="48">
        <f>'1. 소켓인수검사'!C51</f>
        <v>900</v>
      </c>
      <c r="D53" s="48">
        <f>'1. 소켓인수검사'!D51</f>
        <v>700</v>
      </c>
      <c r="E53" s="25"/>
      <c r="F53" s="30"/>
      <c r="G53" s="30"/>
      <c r="H53" s="29">
        <f t="shared" si="0"/>
        <v>960</v>
      </c>
      <c r="I53" s="29">
        <v>2</v>
      </c>
      <c r="J53" s="29">
        <f t="shared" si="1"/>
        <v>700</v>
      </c>
      <c r="K53" s="29">
        <v>2</v>
      </c>
      <c r="L53" s="244"/>
      <c r="M53" s="245"/>
      <c r="N53" s="246"/>
      <c r="O53" s="27"/>
    </row>
    <row r="54" spans="1:15">
      <c r="A54" s="42" t="str">
        <f>'1. 소켓인수검사'!A52</f>
        <v>83</v>
      </c>
      <c r="B54" s="56" t="str">
        <f>'1. 소켓인수검사'!B52</f>
        <v>HTG-064</v>
      </c>
      <c r="C54" s="48">
        <f>'1. 소켓인수검사'!C52</f>
        <v>1000</v>
      </c>
      <c r="D54" s="48">
        <f>'1. 소켓인수검사'!D52</f>
        <v>550</v>
      </c>
      <c r="E54" s="25"/>
      <c r="F54" s="30"/>
      <c r="G54" s="30"/>
      <c r="H54" s="29">
        <f t="shared" si="0"/>
        <v>1060</v>
      </c>
      <c r="I54" s="29">
        <v>2</v>
      </c>
      <c r="J54" s="29">
        <f t="shared" si="1"/>
        <v>550</v>
      </c>
      <c r="K54" s="29">
        <v>2</v>
      </c>
      <c r="L54" s="244"/>
      <c r="M54" s="245"/>
      <c r="N54" s="246"/>
      <c r="O54" s="27"/>
    </row>
    <row r="55" spans="1:15">
      <c r="A55" s="42" t="str">
        <f>'1. 소켓인수검사'!A53</f>
        <v>84</v>
      </c>
      <c r="B55" s="56" t="str">
        <f>'1. 소켓인수검사'!B53</f>
        <v>HTG-064</v>
      </c>
      <c r="C55" s="48">
        <f>'1. 소켓인수검사'!C53</f>
        <v>1000</v>
      </c>
      <c r="D55" s="48">
        <f>'1. 소켓인수검사'!D53</f>
        <v>550</v>
      </c>
      <c r="E55" s="25"/>
      <c r="F55" s="30"/>
      <c r="G55" s="30"/>
      <c r="H55" s="29">
        <f t="shared" si="0"/>
        <v>1060</v>
      </c>
      <c r="I55" s="29">
        <v>2</v>
      </c>
      <c r="J55" s="29">
        <f t="shared" si="1"/>
        <v>550</v>
      </c>
      <c r="K55" s="29">
        <v>2</v>
      </c>
      <c r="L55" s="244"/>
      <c r="M55" s="245"/>
      <c r="N55" s="246"/>
      <c r="O55" s="27"/>
    </row>
    <row r="56" spans="1:15">
      <c r="A56" s="42" t="str">
        <f>'1. 소켓인수검사'!A54</f>
        <v>85</v>
      </c>
      <c r="B56" s="56" t="str">
        <f>'1. 소켓인수검사'!B54</f>
        <v>HTG-064</v>
      </c>
      <c r="C56" s="48">
        <f>'1. 소켓인수검사'!C54</f>
        <v>1000</v>
      </c>
      <c r="D56" s="48">
        <f>'1. 소켓인수검사'!D54</f>
        <v>550</v>
      </c>
      <c r="E56" s="25"/>
      <c r="F56" s="30"/>
      <c r="G56" s="30"/>
      <c r="H56" s="29">
        <f t="shared" si="0"/>
        <v>1060</v>
      </c>
      <c r="I56" s="29">
        <v>2</v>
      </c>
      <c r="J56" s="29">
        <f t="shared" si="1"/>
        <v>550</v>
      </c>
      <c r="K56" s="29">
        <v>2</v>
      </c>
      <c r="L56" s="244"/>
      <c r="M56" s="245"/>
      <c r="N56" s="246"/>
      <c r="O56" s="27"/>
    </row>
    <row r="57" spans="1:15">
      <c r="A57" s="42" t="str">
        <f>'1. 소켓인수검사'!A55</f>
        <v>86</v>
      </c>
      <c r="B57" s="56" t="str">
        <f>'1. 소켓인수검사'!B55</f>
        <v>HTG-064</v>
      </c>
      <c r="C57" s="48">
        <f>'1. 소켓인수검사'!C55</f>
        <v>1000</v>
      </c>
      <c r="D57" s="48">
        <f>'1. 소켓인수검사'!D55</f>
        <v>600</v>
      </c>
      <c r="E57" s="25"/>
      <c r="F57" s="30"/>
      <c r="G57" s="30"/>
      <c r="H57" s="29">
        <f t="shared" si="0"/>
        <v>1060</v>
      </c>
      <c r="I57" s="29">
        <v>2</v>
      </c>
      <c r="J57" s="29">
        <f t="shared" si="1"/>
        <v>600</v>
      </c>
      <c r="K57" s="29">
        <v>2</v>
      </c>
      <c r="L57" s="244"/>
      <c r="M57" s="245"/>
      <c r="N57" s="246"/>
      <c r="O57" s="27"/>
    </row>
    <row r="58" spans="1:15">
      <c r="A58" s="42" t="str">
        <f>'1. 소켓인수검사'!A56</f>
        <v>87</v>
      </c>
      <c r="B58" s="56" t="str">
        <f>'1. 소켓인수검사'!B56</f>
        <v>HTG-064</v>
      </c>
      <c r="C58" s="48">
        <f>'1. 소켓인수검사'!C56</f>
        <v>1000</v>
      </c>
      <c r="D58" s="48">
        <f>'1. 소켓인수검사'!D56</f>
        <v>600</v>
      </c>
      <c r="E58" s="25"/>
      <c r="F58" s="30"/>
      <c r="G58" s="30"/>
      <c r="H58" s="29">
        <f t="shared" si="0"/>
        <v>1060</v>
      </c>
      <c r="I58" s="29">
        <v>2</v>
      </c>
      <c r="J58" s="29">
        <f t="shared" si="1"/>
        <v>600</v>
      </c>
      <c r="K58" s="29">
        <v>2</v>
      </c>
      <c r="L58" s="244"/>
      <c r="M58" s="245"/>
      <c r="N58" s="246"/>
      <c r="O58" s="27"/>
    </row>
    <row r="59" spans="1:15">
      <c r="A59" s="42" t="str">
        <f>'1. 소켓인수검사'!A57</f>
        <v>88</v>
      </c>
      <c r="B59" s="56" t="str">
        <f>'1. 소켓인수검사'!B57</f>
        <v>HTG-064</v>
      </c>
      <c r="C59" s="48">
        <f>'1. 소켓인수검사'!C57</f>
        <v>1000</v>
      </c>
      <c r="D59" s="48">
        <f>'1. 소켓인수검사'!D57</f>
        <v>600</v>
      </c>
      <c r="E59" s="25"/>
      <c r="F59" s="30"/>
      <c r="G59" s="30"/>
      <c r="H59" s="29">
        <f t="shared" si="0"/>
        <v>1060</v>
      </c>
      <c r="I59" s="29">
        <v>2</v>
      </c>
      <c r="J59" s="29">
        <f t="shared" si="1"/>
        <v>600</v>
      </c>
      <c r="K59" s="29">
        <v>2</v>
      </c>
      <c r="L59" s="244"/>
      <c r="M59" s="245"/>
      <c r="N59" s="246"/>
      <c r="O59" s="27"/>
    </row>
    <row r="60" spans="1:15">
      <c r="A60" s="281" t="s">
        <v>18</v>
      </c>
      <c r="B60" s="281"/>
      <c r="C60" s="281"/>
      <c r="D60" s="3"/>
      <c r="E60" s="4"/>
      <c r="F60" s="4"/>
      <c r="G60" s="4"/>
      <c r="H60" s="3"/>
      <c r="I60" s="3">
        <f>SUM(I11:I59)</f>
        <v>98</v>
      </c>
      <c r="J60" s="3"/>
      <c r="K60" s="3">
        <f>SUM(K11:K59)</f>
        <v>98</v>
      </c>
      <c r="L60" s="256"/>
      <c r="M60" s="282"/>
      <c r="N60" s="257"/>
      <c r="O60" s="3"/>
    </row>
    <row r="61" spans="1:15" ht="8.1" customHeight="1">
      <c r="A61" s="283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</row>
    <row r="62" spans="1:15">
      <c r="A62" s="203" t="s">
        <v>7</v>
      </c>
      <c r="B62" s="203"/>
      <c r="C62" s="203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</row>
    <row r="63" spans="1:15">
      <c r="A63" s="203"/>
      <c r="B63" s="203"/>
      <c r="C63" s="203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</row>
    <row r="64" spans="1:15">
      <c r="A64" s="203"/>
      <c r="B64" s="203"/>
      <c r="C64" s="203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</row>
    <row r="65" spans="1:15">
      <c r="A65" s="203"/>
      <c r="B65" s="203"/>
      <c r="C65" s="203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</row>
    <row r="66" spans="1:15">
      <c r="A66" s="203"/>
      <c r="B66" s="203"/>
      <c r="C66" s="203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</row>
    <row r="67" spans="1:15">
      <c r="A67" s="203"/>
      <c r="B67" s="203"/>
      <c r="C67" s="203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</row>
  </sheetData>
  <mergeCells count="79">
    <mergeCell ref="A62:C67"/>
    <mergeCell ref="D62:O67"/>
    <mergeCell ref="A60:C60"/>
    <mergeCell ref="L60:N60"/>
    <mergeCell ref="A61:O61"/>
    <mergeCell ref="L59:N59"/>
    <mergeCell ref="L29:N29"/>
    <mergeCell ref="L30:N30"/>
    <mergeCell ref="L31:N31"/>
    <mergeCell ref="L32:N32"/>
    <mergeCell ref="L33:N33"/>
    <mergeCell ref="L34:N34"/>
    <mergeCell ref="L35:N35"/>
    <mergeCell ref="L36:N36"/>
    <mergeCell ref="L37:N37"/>
    <mergeCell ref="L51:N51"/>
    <mergeCell ref="L52:N52"/>
    <mergeCell ref="L53:N53"/>
    <mergeCell ref="L48:N48"/>
    <mergeCell ref="L49:N49"/>
    <mergeCell ref="L50:N50"/>
    <mergeCell ref="L23:N23"/>
    <mergeCell ref="L24:N24"/>
    <mergeCell ref="L56:N56"/>
    <mergeCell ref="L57:N57"/>
    <mergeCell ref="L58:N58"/>
    <mergeCell ref="L41:N41"/>
    <mergeCell ref="L42:N42"/>
    <mergeCell ref="L43:N43"/>
    <mergeCell ref="L44:N44"/>
    <mergeCell ref="L45:N45"/>
    <mergeCell ref="L38:N38"/>
    <mergeCell ref="L39:N39"/>
    <mergeCell ref="L40:N40"/>
    <mergeCell ref="L46:N46"/>
    <mergeCell ref="L47:N47"/>
    <mergeCell ref="L25:N25"/>
    <mergeCell ref="L26:N26"/>
    <mergeCell ref="L27:N27"/>
    <mergeCell ref="L28:N28"/>
    <mergeCell ref="L11:N11"/>
    <mergeCell ref="L12:N12"/>
    <mergeCell ref="L13:N13"/>
    <mergeCell ref="L14:N14"/>
    <mergeCell ref="L15:N15"/>
    <mergeCell ref="L16:N16"/>
    <mergeCell ref="L17:N17"/>
    <mergeCell ref="L18:N18"/>
    <mergeCell ref="L19:N19"/>
    <mergeCell ref="L20:N20"/>
    <mergeCell ref="L21:N21"/>
    <mergeCell ref="L22:N22"/>
    <mergeCell ref="O8:O10"/>
    <mergeCell ref="C9:C10"/>
    <mergeCell ref="D9:D10"/>
    <mergeCell ref="H9:I9"/>
    <mergeCell ref="J9:K9"/>
    <mergeCell ref="L9:N10"/>
    <mergeCell ref="C8:D8"/>
    <mergeCell ref="E8:E10"/>
    <mergeCell ref="F8:F9"/>
    <mergeCell ref="G8:G9"/>
    <mergeCell ref="H8:N8"/>
    <mergeCell ref="L54:N54"/>
    <mergeCell ref="L55:N55"/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  <mergeCell ref="A7:O7"/>
    <mergeCell ref="A8:A10"/>
    <mergeCell ref="B8:B10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65"/>
  <sheetViews>
    <sheetView view="pageBreakPreview" zoomScale="85" zoomScaleNormal="85" zoomScaleSheetLayoutView="85" workbookViewId="0">
      <pane ySplit="9" topLeftCell="A37" activePane="bottomLeft" state="frozen"/>
      <selection pane="bottomLeft" activeCell="D72" sqref="D72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70"/>
      <c r="B1" s="170"/>
      <c r="C1" s="170"/>
      <c r="D1" s="247" t="s">
        <v>8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</row>
    <row r="2" spans="1:21" ht="16.5" customHeight="1">
      <c r="A2" s="170"/>
      <c r="B2" s="170"/>
      <c r="C2" s="170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</row>
    <row r="3" spans="1:21" ht="24" customHeight="1">
      <c r="A3" s="170"/>
      <c r="B3" s="170"/>
      <c r="C3" s="170"/>
      <c r="D3" s="250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2"/>
    </row>
    <row r="4" spans="1:21" ht="16.5" customHeight="1">
      <c r="A4" s="170" t="s">
        <v>47</v>
      </c>
      <c r="B4" s="170"/>
      <c r="C4" s="1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</row>
    <row r="5" spans="1:21" ht="16.5" customHeight="1">
      <c r="A5" s="170" t="s">
        <v>41</v>
      </c>
      <c r="B5" s="170"/>
      <c r="C5" s="170"/>
      <c r="D5" s="2" t="s">
        <v>38</v>
      </c>
      <c r="E5" s="256"/>
      <c r="F5" s="257"/>
      <c r="G5" s="258" t="s">
        <v>23</v>
      </c>
      <c r="H5" s="82"/>
      <c r="I5" s="82"/>
      <c r="J5" s="258" t="s">
        <v>23</v>
      </c>
      <c r="K5" s="86"/>
      <c r="L5" s="260"/>
      <c r="M5" s="283"/>
      <c r="N5" s="261"/>
      <c r="O5" s="258" t="s">
        <v>34</v>
      </c>
      <c r="P5" s="284" t="str">
        <f>'1. 소켓인수검사'!R1</f>
        <v>26.06.11 웰스홈_신승에프엔티_에이치제이종합건설_조선대학교 감염병 전문병원(입상)</v>
      </c>
      <c r="Q5" s="285"/>
      <c r="R5" s="285"/>
      <c r="S5" s="285"/>
      <c r="T5" s="285"/>
      <c r="U5" s="286"/>
    </row>
    <row r="6" spans="1:21">
      <c r="A6" s="170"/>
      <c r="B6" s="170"/>
      <c r="C6" s="170"/>
      <c r="D6" s="2" t="s">
        <v>35</v>
      </c>
      <c r="E6" s="256"/>
      <c r="F6" s="257"/>
      <c r="G6" s="259"/>
      <c r="H6" s="84"/>
      <c r="I6" s="84"/>
      <c r="J6" s="259"/>
      <c r="K6" s="83"/>
      <c r="L6" s="262"/>
      <c r="M6" s="265"/>
      <c r="N6" s="263"/>
      <c r="O6" s="259"/>
      <c r="P6" s="287"/>
      <c r="Q6" s="288"/>
      <c r="R6" s="288"/>
      <c r="S6" s="288"/>
      <c r="T6" s="288"/>
      <c r="U6" s="289"/>
    </row>
    <row r="7" spans="1:21" ht="8.1" customHeight="1">
      <c r="A7" s="173"/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5"/>
      <c r="T7" s="5"/>
      <c r="U7" s="5"/>
    </row>
    <row r="8" spans="1:21" ht="29.25" customHeight="1">
      <c r="A8" s="295" t="s">
        <v>27</v>
      </c>
      <c r="B8" s="297" t="s">
        <v>28</v>
      </c>
      <c r="C8" s="297" t="s">
        <v>16</v>
      </c>
      <c r="D8" s="297" t="s">
        <v>32</v>
      </c>
      <c r="E8" s="297" t="s">
        <v>29</v>
      </c>
      <c r="F8" s="297" t="s">
        <v>21</v>
      </c>
      <c r="G8" s="297" t="s">
        <v>75</v>
      </c>
      <c r="H8" s="297"/>
      <c r="I8" s="297"/>
      <c r="J8" s="297"/>
      <c r="K8" s="297"/>
      <c r="L8" s="297"/>
      <c r="M8" s="297" t="s">
        <v>54</v>
      </c>
      <c r="N8" s="297"/>
      <c r="O8" s="297"/>
      <c r="P8" s="297" t="s">
        <v>62</v>
      </c>
      <c r="Q8" s="297"/>
      <c r="R8" s="297"/>
      <c r="S8" s="297"/>
      <c r="T8" s="299"/>
      <c r="U8" s="300"/>
    </row>
    <row r="9" spans="1:21" ht="26.45" customHeight="1">
      <c r="A9" s="296"/>
      <c r="B9" s="298"/>
      <c r="C9" s="298"/>
      <c r="D9" s="298"/>
      <c r="E9" s="298"/>
      <c r="F9" s="298"/>
      <c r="G9" s="85" t="s">
        <v>33</v>
      </c>
      <c r="H9" s="85" t="s">
        <v>2</v>
      </c>
      <c r="I9" s="85" t="s">
        <v>85</v>
      </c>
      <c r="J9" s="57" t="s">
        <v>65</v>
      </c>
      <c r="K9" s="85" t="s">
        <v>2</v>
      </c>
      <c r="L9" s="85" t="s">
        <v>85</v>
      </c>
      <c r="M9" s="85" t="s">
        <v>64</v>
      </c>
      <c r="N9" s="85" t="s">
        <v>2</v>
      </c>
      <c r="O9" s="85" t="s">
        <v>56</v>
      </c>
      <c r="P9" s="85" t="s">
        <v>76</v>
      </c>
      <c r="Q9" s="85" t="s">
        <v>2</v>
      </c>
      <c r="R9" s="85" t="s">
        <v>85</v>
      </c>
      <c r="S9" s="85" t="s">
        <v>42</v>
      </c>
      <c r="T9" s="58" t="s">
        <v>2</v>
      </c>
      <c r="U9" s="58" t="s">
        <v>85</v>
      </c>
    </row>
    <row r="10" spans="1:21" ht="16.5" customHeight="1">
      <c r="A10" s="42" t="str">
        <f>+'1. 소켓인수검사'!A9</f>
        <v>40</v>
      </c>
      <c r="B10" s="46">
        <f>+'1. 소켓인수검사'!C9</f>
        <v>350</v>
      </c>
      <c r="C10" s="46">
        <f>+'1. 소켓인수검사'!D9</f>
        <v>250</v>
      </c>
      <c r="D10" s="81" t="str">
        <f>+'1. 소켓인수검사'!B9</f>
        <v>HTG-064</v>
      </c>
      <c r="E10" s="59">
        <f>B10*C10/1000000</f>
        <v>8.7499999999999994E-2</v>
      </c>
      <c r="F10" s="59">
        <f>(B10+C10)*2/1000</f>
        <v>1.2</v>
      </c>
      <c r="G10" s="60">
        <f t="shared" ref="G10:G39" si="0">F10+0.4</f>
        <v>1.6</v>
      </c>
      <c r="H10" s="61">
        <v>1</v>
      </c>
      <c r="I10" s="61">
        <f>H10*G10</f>
        <v>1.6</v>
      </c>
      <c r="J10" s="290"/>
      <c r="K10" s="290"/>
      <c r="L10" s="290"/>
      <c r="M10" s="60">
        <v>1</v>
      </c>
      <c r="N10" s="125">
        <f>'2.1 재단(1.69,064)'!T8/2</f>
        <v>2</v>
      </c>
      <c r="O10" s="47"/>
      <c r="P10" s="90"/>
      <c r="Q10" s="90"/>
      <c r="R10" s="90"/>
      <c r="S10" s="60">
        <f>F10+0.5</f>
        <v>1.7</v>
      </c>
      <c r="T10" s="62">
        <v>1</v>
      </c>
      <c r="U10" s="62">
        <f>T10*S10</f>
        <v>1.7</v>
      </c>
    </row>
    <row r="11" spans="1:21" ht="16.5" customHeight="1">
      <c r="A11" s="42" t="str">
        <f>+'1. 소켓인수검사'!A10</f>
        <v>41</v>
      </c>
      <c r="B11" s="43">
        <f>+'1. 소켓인수검사'!C10</f>
        <v>450</v>
      </c>
      <c r="C11" s="43">
        <f>+'1. 소켓인수검사'!D10</f>
        <v>300</v>
      </c>
      <c r="D11" s="81" t="str">
        <f>+'1. 소켓인수검사'!B10</f>
        <v>HTG-064</v>
      </c>
      <c r="E11" s="59">
        <f t="shared" ref="E11:E12" si="1">B11*C11/1000000</f>
        <v>0.13500000000000001</v>
      </c>
      <c r="F11" s="59">
        <f t="shared" ref="F11:F12" si="2">(B11+C11)*2/1000</f>
        <v>1.5</v>
      </c>
      <c r="G11" s="60">
        <f t="shared" si="0"/>
        <v>1.9</v>
      </c>
      <c r="H11" s="61">
        <v>1</v>
      </c>
      <c r="I11" s="61">
        <f t="shared" ref="I11:I58" si="3">H11*G11</f>
        <v>1.9</v>
      </c>
      <c r="J11" s="290"/>
      <c r="K11" s="290"/>
      <c r="L11" s="290"/>
      <c r="M11" s="60">
        <v>1</v>
      </c>
      <c r="N11" s="125">
        <f>'2.1 재단(1.69,064)'!T9/2</f>
        <v>2</v>
      </c>
      <c r="O11" s="47"/>
      <c r="P11" s="90"/>
      <c r="Q11" s="90"/>
      <c r="R11" s="90"/>
      <c r="S11" s="60">
        <f t="shared" ref="S11:S39" si="4">F11+0.5</f>
        <v>2</v>
      </c>
      <c r="T11" s="62">
        <v>1</v>
      </c>
      <c r="U11" s="62">
        <f t="shared" ref="U11:U58" si="5">T11*S11</f>
        <v>2</v>
      </c>
    </row>
    <row r="12" spans="1:21" ht="16.5" customHeight="1">
      <c r="A12" s="42" t="str">
        <f>+'1. 소켓인수검사'!A11</f>
        <v>42</v>
      </c>
      <c r="B12" s="43">
        <f>+'1. 소켓인수검사'!C11</f>
        <v>450</v>
      </c>
      <c r="C12" s="46">
        <f>+'1. 소켓인수검사'!D11</f>
        <v>350</v>
      </c>
      <c r="D12" s="81" t="str">
        <f>+'1. 소켓인수검사'!B11</f>
        <v>HTG-064</v>
      </c>
      <c r="E12" s="59">
        <f t="shared" si="1"/>
        <v>0.1575</v>
      </c>
      <c r="F12" s="59">
        <f t="shared" si="2"/>
        <v>1.6</v>
      </c>
      <c r="G12" s="60">
        <f t="shared" si="0"/>
        <v>2</v>
      </c>
      <c r="H12" s="61">
        <v>1</v>
      </c>
      <c r="I12" s="61">
        <f t="shared" si="3"/>
        <v>2</v>
      </c>
      <c r="J12" s="290"/>
      <c r="K12" s="290"/>
      <c r="L12" s="290"/>
      <c r="M12" s="60">
        <v>1</v>
      </c>
      <c r="N12" s="125">
        <f>'2.1 재단(1.69,064)'!T10/2</f>
        <v>3</v>
      </c>
      <c r="O12" s="47"/>
      <c r="P12" s="90"/>
      <c r="Q12" s="90"/>
      <c r="R12" s="90"/>
      <c r="S12" s="60">
        <f t="shared" si="4"/>
        <v>2.1</v>
      </c>
      <c r="T12" s="62">
        <v>1</v>
      </c>
      <c r="U12" s="62">
        <f t="shared" si="5"/>
        <v>2.1</v>
      </c>
    </row>
    <row r="13" spans="1:21" ht="16.5" customHeight="1">
      <c r="A13" s="42" t="str">
        <f>+'1. 소켓인수검사'!A12</f>
        <v>43</v>
      </c>
      <c r="B13" s="43">
        <f>+'1. 소켓인수검사'!C12</f>
        <v>450</v>
      </c>
      <c r="C13" s="43">
        <f>+'1. 소켓인수검사'!D12</f>
        <v>350</v>
      </c>
      <c r="D13" s="81" t="str">
        <f>+'1. 소켓인수검사'!B12</f>
        <v>HTG-064</v>
      </c>
      <c r="E13" s="59">
        <f t="shared" ref="E13:E39" si="6">B13*C13/1000000</f>
        <v>0.1575</v>
      </c>
      <c r="F13" s="59">
        <f t="shared" ref="F13:F39" si="7">(B13+C13)*2/1000</f>
        <v>1.6</v>
      </c>
      <c r="G13" s="60">
        <f t="shared" si="0"/>
        <v>2</v>
      </c>
      <c r="H13" s="61">
        <v>1</v>
      </c>
      <c r="I13" s="61">
        <f t="shared" si="3"/>
        <v>2</v>
      </c>
      <c r="J13" s="290"/>
      <c r="K13" s="290"/>
      <c r="L13" s="290"/>
      <c r="M13" s="60">
        <v>1</v>
      </c>
      <c r="N13" s="125">
        <f>'2.1 재단(1.69,064)'!T11/2</f>
        <v>3</v>
      </c>
      <c r="O13" s="47"/>
      <c r="P13" s="90"/>
      <c r="Q13" s="90"/>
      <c r="R13" s="90"/>
      <c r="S13" s="60">
        <f t="shared" si="4"/>
        <v>2.1</v>
      </c>
      <c r="T13" s="62">
        <v>1</v>
      </c>
      <c r="U13" s="62">
        <f t="shared" si="5"/>
        <v>2.1</v>
      </c>
    </row>
    <row r="14" spans="1:21" ht="16.5" customHeight="1">
      <c r="A14" s="42" t="str">
        <f>+'1. 소켓인수검사'!A13</f>
        <v>44</v>
      </c>
      <c r="B14" s="43">
        <f>+'1. 소켓인수검사'!C13</f>
        <v>500</v>
      </c>
      <c r="C14" s="43">
        <f>+'1. 소켓인수검사'!D13</f>
        <v>500</v>
      </c>
      <c r="D14" s="81" t="str">
        <f>+'1. 소켓인수검사'!B13</f>
        <v>HTG-064</v>
      </c>
      <c r="E14" s="59">
        <f t="shared" si="6"/>
        <v>0.25</v>
      </c>
      <c r="F14" s="59">
        <f t="shared" si="7"/>
        <v>2</v>
      </c>
      <c r="G14" s="60">
        <f t="shared" si="0"/>
        <v>2.4</v>
      </c>
      <c r="H14" s="61">
        <v>1</v>
      </c>
      <c r="I14" s="61">
        <f t="shared" si="3"/>
        <v>2.4</v>
      </c>
      <c r="J14" s="290"/>
      <c r="K14" s="290"/>
      <c r="L14" s="290"/>
      <c r="M14" s="60">
        <v>1</v>
      </c>
      <c r="N14" s="125">
        <f>'2.1 재단(1.69,064)'!T12/2</f>
        <v>3</v>
      </c>
      <c r="O14" s="47"/>
      <c r="P14" s="90"/>
      <c r="Q14" s="90"/>
      <c r="R14" s="90"/>
      <c r="S14" s="60">
        <f t="shared" si="4"/>
        <v>2.5</v>
      </c>
      <c r="T14" s="62">
        <v>1</v>
      </c>
      <c r="U14" s="62">
        <f t="shared" si="5"/>
        <v>2.5</v>
      </c>
    </row>
    <row r="15" spans="1:21" ht="16.5" customHeight="1">
      <c r="A15" s="42" t="str">
        <f>+'1. 소켓인수검사'!A14</f>
        <v>45</v>
      </c>
      <c r="B15" s="43">
        <f>+'1. 소켓인수검사'!C14</f>
        <v>550</v>
      </c>
      <c r="C15" s="43">
        <f>+'1. 소켓인수검사'!D14</f>
        <v>350</v>
      </c>
      <c r="D15" s="81" t="str">
        <f>+'1. 소켓인수검사'!B14</f>
        <v>HTG-064</v>
      </c>
      <c r="E15" s="59">
        <f t="shared" si="6"/>
        <v>0.1925</v>
      </c>
      <c r="F15" s="59">
        <f t="shared" si="7"/>
        <v>1.8</v>
      </c>
      <c r="G15" s="60">
        <f t="shared" si="0"/>
        <v>2.2000000000000002</v>
      </c>
      <c r="H15" s="61">
        <v>1</v>
      </c>
      <c r="I15" s="61">
        <f t="shared" si="3"/>
        <v>2.2000000000000002</v>
      </c>
      <c r="J15" s="290"/>
      <c r="K15" s="290"/>
      <c r="L15" s="290"/>
      <c r="M15" s="60">
        <v>1</v>
      </c>
      <c r="N15" s="125">
        <f>'2.1 재단(1.69,064)'!T13/2</f>
        <v>3</v>
      </c>
      <c r="O15" s="47"/>
      <c r="P15" s="90"/>
      <c r="Q15" s="90"/>
      <c r="R15" s="90"/>
      <c r="S15" s="60">
        <f t="shared" si="4"/>
        <v>2.2999999999999998</v>
      </c>
      <c r="T15" s="62">
        <v>1</v>
      </c>
      <c r="U15" s="62">
        <f t="shared" si="5"/>
        <v>2.2999999999999998</v>
      </c>
    </row>
    <row r="16" spans="1:21" ht="16.5" customHeight="1">
      <c r="A16" s="42" t="str">
        <f>+'1. 소켓인수검사'!A15</f>
        <v>46</v>
      </c>
      <c r="B16" s="43">
        <f>+'1. 소켓인수검사'!C15</f>
        <v>550</v>
      </c>
      <c r="C16" s="43">
        <f>+'1. 소켓인수검사'!D15</f>
        <v>350</v>
      </c>
      <c r="D16" s="81" t="str">
        <f>+'1. 소켓인수검사'!B15</f>
        <v>HTG-064</v>
      </c>
      <c r="E16" s="59">
        <f t="shared" si="6"/>
        <v>0.1925</v>
      </c>
      <c r="F16" s="59">
        <f t="shared" si="7"/>
        <v>1.8</v>
      </c>
      <c r="G16" s="60">
        <f t="shared" si="0"/>
        <v>2.2000000000000002</v>
      </c>
      <c r="H16" s="61">
        <v>1</v>
      </c>
      <c r="I16" s="61">
        <f t="shared" si="3"/>
        <v>2.2000000000000002</v>
      </c>
      <c r="J16" s="290"/>
      <c r="K16" s="290"/>
      <c r="L16" s="290"/>
      <c r="M16" s="60">
        <v>1</v>
      </c>
      <c r="N16" s="125">
        <f>'2.1 재단(1.69,064)'!T14/2</f>
        <v>3</v>
      </c>
      <c r="O16" s="47"/>
      <c r="P16" s="90"/>
      <c r="Q16" s="90"/>
      <c r="R16" s="90"/>
      <c r="S16" s="60">
        <f t="shared" si="4"/>
        <v>2.2999999999999998</v>
      </c>
      <c r="T16" s="62">
        <v>1</v>
      </c>
      <c r="U16" s="62">
        <f t="shared" si="5"/>
        <v>2.2999999999999998</v>
      </c>
    </row>
    <row r="17" spans="1:21" ht="16.5" customHeight="1">
      <c r="A17" s="42" t="str">
        <f>+'1. 소켓인수검사'!A16</f>
        <v>47</v>
      </c>
      <c r="B17" s="43">
        <f>+'1. 소켓인수검사'!C16</f>
        <v>600</v>
      </c>
      <c r="C17" s="43">
        <f>+'1. 소켓인수검사'!D16</f>
        <v>300</v>
      </c>
      <c r="D17" s="81" t="str">
        <f>+'1. 소켓인수검사'!B16</f>
        <v>HTG-064</v>
      </c>
      <c r="E17" s="59">
        <f t="shared" si="6"/>
        <v>0.18</v>
      </c>
      <c r="F17" s="59">
        <f t="shared" si="7"/>
        <v>1.8</v>
      </c>
      <c r="G17" s="60">
        <f t="shared" si="0"/>
        <v>2.2000000000000002</v>
      </c>
      <c r="H17" s="61">
        <v>1</v>
      </c>
      <c r="I17" s="61">
        <f t="shared" si="3"/>
        <v>2.2000000000000002</v>
      </c>
      <c r="J17" s="290"/>
      <c r="K17" s="290"/>
      <c r="L17" s="290"/>
      <c r="M17" s="60">
        <v>1</v>
      </c>
      <c r="N17" s="125">
        <f>'2.1 재단(1.69,064)'!T15/2</f>
        <v>3</v>
      </c>
      <c r="O17" s="47"/>
      <c r="P17" s="90"/>
      <c r="Q17" s="90"/>
      <c r="R17" s="90"/>
      <c r="S17" s="60">
        <f t="shared" si="4"/>
        <v>2.2999999999999998</v>
      </c>
      <c r="T17" s="62">
        <v>1</v>
      </c>
      <c r="U17" s="62">
        <f t="shared" si="5"/>
        <v>2.2999999999999998</v>
      </c>
    </row>
    <row r="18" spans="1:21" ht="16.5" customHeight="1">
      <c r="A18" s="42" t="str">
        <f>+'1. 소켓인수검사'!A17</f>
        <v>48</v>
      </c>
      <c r="B18" s="43">
        <f>+'1. 소켓인수검사'!C17</f>
        <v>600</v>
      </c>
      <c r="C18" s="43">
        <f>+'1. 소켓인수검사'!D17</f>
        <v>300</v>
      </c>
      <c r="D18" s="81" t="str">
        <f>+'1. 소켓인수검사'!B17</f>
        <v>HTG-064</v>
      </c>
      <c r="E18" s="59">
        <f t="shared" si="6"/>
        <v>0.18</v>
      </c>
      <c r="F18" s="59">
        <f t="shared" si="7"/>
        <v>1.8</v>
      </c>
      <c r="G18" s="60">
        <f t="shared" si="0"/>
        <v>2.2000000000000002</v>
      </c>
      <c r="H18" s="61">
        <v>1</v>
      </c>
      <c r="I18" s="61">
        <f t="shared" si="3"/>
        <v>2.2000000000000002</v>
      </c>
      <c r="J18" s="290"/>
      <c r="K18" s="290"/>
      <c r="L18" s="290"/>
      <c r="M18" s="60">
        <v>1</v>
      </c>
      <c r="N18" s="125">
        <f>'2.1 재단(1.69,064)'!T16/2</f>
        <v>3</v>
      </c>
      <c r="O18" s="47"/>
      <c r="P18" s="90"/>
      <c r="Q18" s="90"/>
      <c r="R18" s="90"/>
      <c r="S18" s="60">
        <f t="shared" si="4"/>
        <v>2.2999999999999998</v>
      </c>
      <c r="T18" s="62">
        <v>1</v>
      </c>
      <c r="U18" s="62">
        <f t="shared" si="5"/>
        <v>2.2999999999999998</v>
      </c>
    </row>
    <row r="19" spans="1:21" ht="16.5" customHeight="1">
      <c r="A19" s="42" t="str">
        <f>+'1. 소켓인수검사'!A18</f>
        <v>49</v>
      </c>
      <c r="B19" s="43">
        <f>+'1. 소켓인수검사'!C18</f>
        <v>600</v>
      </c>
      <c r="C19" s="43">
        <f>+'1. 소켓인수검사'!D18</f>
        <v>450</v>
      </c>
      <c r="D19" s="81" t="str">
        <f>+'1. 소켓인수검사'!B18</f>
        <v>HTG-064</v>
      </c>
      <c r="E19" s="59">
        <f t="shared" si="6"/>
        <v>0.27</v>
      </c>
      <c r="F19" s="59">
        <f t="shared" si="7"/>
        <v>2.1</v>
      </c>
      <c r="G19" s="60">
        <f t="shared" si="0"/>
        <v>2.5</v>
      </c>
      <c r="H19" s="61">
        <v>1</v>
      </c>
      <c r="I19" s="61">
        <f t="shared" si="3"/>
        <v>2.5</v>
      </c>
      <c r="J19" s="290"/>
      <c r="K19" s="290"/>
      <c r="L19" s="290"/>
      <c r="M19" s="60">
        <v>1</v>
      </c>
      <c r="N19" s="125">
        <f>'2.1 재단(1.69,064)'!T17/2</f>
        <v>3</v>
      </c>
      <c r="O19" s="47"/>
      <c r="P19" s="90"/>
      <c r="Q19" s="90"/>
      <c r="R19" s="90"/>
      <c r="S19" s="60">
        <f t="shared" si="4"/>
        <v>2.6</v>
      </c>
      <c r="T19" s="62">
        <v>1</v>
      </c>
      <c r="U19" s="62">
        <f t="shared" si="5"/>
        <v>2.6</v>
      </c>
    </row>
    <row r="20" spans="1:21" ht="16.5" customHeight="1">
      <c r="A20" s="42" t="str">
        <f>+'1. 소켓인수검사'!A19</f>
        <v>50</v>
      </c>
      <c r="B20" s="43">
        <f>+'1. 소켓인수검사'!C19</f>
        <v>600</v>
      </c>
      <c r="C20" s="43">
        <f>+'1. 소켓인수검사'!D19</f>
        <v>600</v>
      </c>
      <c r="D20" s="81" t="str">
        <f>+'1. 소켓인수검사'!B19</f>
        <v>HTG-064</v>
      </c>
      <c r="E20" s="59">
        <f t="shared" si="6"/>
        <v>0.36</v>
      </c>
      <c r="F20" s="59">
        <f t="shared" si="7"/>
        <v>2.4</v>
      </c>
      <c r="G20" s="60">
        <f t="shared" si="0"/>
        <v>2.8</v>
      </c>
      <c r="H20" s="61">
        <v>1</v>
      </c>
      <c r="I20" s="61">
        <f t="shared" si="3"/>
        <v>2.8</v>
      </c>
      <c r="J20" s="290"/>
      <c r="K20" s="290"/>
      <c r="L20" s="290"/>
      <c r="M20" s="60">
        <v>1</v>
      </c>
      <c r="N20" s="125">
        <f>'2.1 재단(1.69,064)'!T18/2</f>
        <v>3</v>
      </c>
      <c r="O20" s="47"/>
      <c r="P20" s="90"/>
      <c r="Q20" s="90"/>
      <c r="R20" s="90"/>
      <c r="S20" s="60">
        <f t="shared" si="4"/>
        <v>2.9</v>
      </c>
      <c r="T20" s="62">
        <v>1</v>
      </c>
      <c r="U20" s="62">
        <f t="shared" si="5"/>
        <v>2.9</v>
      </c>
    </row>
    <row r="21" spans="1:21" ht="16.5" customHeight="1">
      <c r="A21" s="42" t="str">
        <f>+'1. 소켓인수검사'!A20</f>
        <v>51</v>
      </c>
      <c r="B21" s="43">
        <f>+'1. 소켓인수검사'!C20</f>
        <v>700</v>
      </c>
      <c r="C21" s="43">
        <f>+'1. 소켓인수검사'!D20</f>
        <v>600</v>
      </c>
      <c r="D21" s="81" t="str">
        <f>+'1. 소켓인수검사'!B20</f>
        <v>HTG-064</v>
      </c>
      <c r="E21" s="59">
        <f t="shared" si="6"/>
        <v>0.42</v>
      </c>
      <c r="F21" s="59">
        <f t="shared" si="7"/>
        <v>2.6</v>
      </c>
      <c r="G21" s="60">
        <f t="shared" si="0"/>
        <v>3</v>
      </c>
      <c r="H21" s="61">
        <v>1</v>
      </c>
      <c r="I21" s="61">
        <f t="shared" si="3"/>
        <v>3</v>
      </c>
      <c r="J21" s="290"/>
      <c r="K21" s="290"/>
      <c r="L21" s="290"/>
      <c r="M21" s="60">
        <v>1</v>
      </c>
      <c r="N21" s="125">
        <f>'2.1 재단(1.69,064)'!T19/2</f>
        <v>4</v>
      </c>
      <c r="O21" s="47"/>
      <c r="P21" s="90"/>
      <c r="Q21" s="90"/>
      <c r="R21" s="90"/>
      <c r="S21" s="60">
        <f t="shared" si="4"/>
        <v>3.1</v>
      </c>
      <c r="T21" s="62">
        <v>1</v>
      </c>
      <c r="U21" s="62">
        <f t="shared" si="5"/>
        <v>3.1</v>
      </c>
    </row>
    <row r="22" spans="1:21" ht="16.5" customHeight="1">
      <c r="A22" s="42" t="str">
        <f>+'1. 소켓인수검사'!A21</f>
        <v>52</v>
      </c>
      <c r="B22" s="43">
        <f>+'1. 소켓인수검사'!C21</f>
        <v>700</v>
      </c>
      <c r="C22" s="43">
        <f>+'1. 소켓인수검사'!D21</f>
        <v>600</v>
      </c>
      <c r="D22" s="81" t="str">
        <f>+'1. 소켓인수검사'!B21</f>
        <v>HTG-064</v>
      </c>
      <c r="E22" s="59">
        <f t="shared" si="6"/>
        <v>0.42</v>
      </c>
      <c r="F22" s="59">
        <f t="shared" si="7"/>
        <v>2.6</v>
      </c>
      <c r="G22" s="60">
        <f t="shared" si="0"/>
        <v>3</v>
      </c>
      <c r="H22" s="61">
        <v>1</v>
      </c>
      <c r="I22" s="61">
        <f t="shared" si="3"/>
        <v>3</v>
      </c>
      <c r="J22" s="290"/>
      <c r="K22" s="290"/>
      <c r="L22" s="290"/>
      <c r="M22" s="60">
        <v>1</v>
      </c>
      <c r="N22" s="125">
        <f>'2.1 재단(1.69,064)'!T20/2</f>
        <v>4</v>
      </c>
      <c r="O22" s="47"/>
      <c r="P22" s="90"/>
      <c r="Q22" s="90"/>
      <c r="R22" s="90"/>
      <c r="S22" s="60">
        <f t="shared" si="4"/>
        <v>3.1</v>
      </c>
      <c r="T22" s="62">
        <v>1</v>
      </c>
      <c r="U22" s="62">
        <f t="shared" si="5"/>
        <v>3.1</v>
      </c>
    </row>
    <row r="23" spans="1:21" ht="16.5" customHeight="1">
      <c r="A23" s="42" t="str">
        <f>+'1. 소켓인수검사'!A22</f>
        <v>53</v>
      </c>
      <c r="B23" s="43">
        <f>+'1. 소켓인수검사'!C22</f>
        <v>700</v>
      </c>
      <c r="C23" s="43">
        <f>+'1. 소켓인수검사'!D22</f>
        <v>650</v>
      </c>
      <c r="D23" s="81" t="str">
        <f>+'1. 소켓인수검사'!B22</f>
        <v>HTG-064</v>
      </c>
      <c r="E23" s="59">
        <f t="shared" si="6"/>
        <v>0.45500000000000002</v>
      </c>
      <c r="F23" s="59">
        <f t="shared" si="7"/>
        <v>2.7</v>
      </c>
      <c r="G23" s="60">
        <f t="shared" si="0"/>
        <v>3.1</v>
      </c>
      <c r="H23" s="61">
        <v>1</v>
      </c>
      <c r="I23" s="61">
        <f t="shared" si="3"/>
        <v>3.1</v>
      </c>
      <c r="J23" s="290"/>
      <c r="K23" s="290"/>
      <c r="L23" s="290"/>
      <c r="M23" s="60">
        <v>1</v>
      </c>
      <c r="N23" s="125">
        <f>'2.1 재단(1.69,064)'!T21/2</f>
        <v>4</v>
      </c>
      <c r="O23" s="47"/>
      <c r="P23" s="90"/>
      <c r="Q23" s="90"/>
      <c r="R23" s="90"/>
      <c r="S23" s="60">
        <f t="shared" si="4"/>
        <v>3.2</v>
      </c>
      <c r="T23" s="62">
        <v>1</v>
      </c>
      <c r="U23" s="62">
        <f t="shared" si="5"/>
        <v>3.2</v>
      </c>
    </row>
    <row r="24" spans="1:21" ht="16.5" customHeight="1">
      <c r="A24" s="42" t="str">
        <f>+'1. 소켓인수검사'!A23</f>
        <v>54</v>
      </c>
      <c r="B24" s="43">
        <f>+'1. 소켓인수검사'!C23</f>
        <v>700</v>
      </c>
      <c r="C24" s="43">
        <f>+'1. 소켓인수검사'!D23</f>
        <v>650</v>
      </c>
      <c r="D24" s="81" t="str">
        <f>+'1. 소켓인수검사'!B23</f>
        <v>HTG-064</v>
      </c>
      <c r="E24" s="59">
        <f t="shared" si="6"/>
        <v>0.45500000000000002</v>
      </c>
      <c r="F24" s="59">
        <f t="shared" si="7"/>
        <v>2.7</v>
      </c>
      <c r="G24" s="60">
        <f t="shared" si="0"/>
        <v>3.1</v>
      </c>
      <c r="H24" s="61">
        <v>1</v>
      </c>
      <c r="I24" s="61">
        <f t="shared" si="3"/>
        <v>3.1</v>
      </c>
      <c r="J24" s="290"/>
      <c r="K24" s="290"/>
      <c r="L24" s="290"/>
      <c r="M24" s="60">
        <v>1</v>
      </c>
      <c r="N24" s="125">
        <f>'2.1 재단(1.69,064)'!T22/2</f>
        <v>4</v>
      </c>
      <c r="O24" s="47"/>
      <c r="P24" s="90"/>
      <c r="Q24" s="90"/>
      <c r="R24" s="90"/>
      <c r="S24" s="60">
        <f t="shared" si="4"/>
        <v>3.2</v>
      </c>
      <c r="T24" s="62">
        <v>1</v>
      </c>
      <c r="U24" s="62">
        <f t="shared" si="5"/>
        <v>3.2</v>
      </c>
    </row>
    <row r="25" spans="1:21" ht="16.5" customHeight="1">
      <c r="A25" s="42" t="str">
        <f>+'1. 소켓인수검사'!A24</f>
        <v>55</v>
      </c>
      <c r="B25" s="43">
        <f>+'1. 소켓인수검사'!C24</f>
        <v>700</v>
      </c>
      <c r="C25" s="43">
        <f>+'1. 소켓인수검사'!D24</f>
        <v>650</v>
      </c>
      <c r="D25" s="81" t="str">
        <f>+'1. 소켓인수검사'!B24</f>
        <v>HTG-064</v>
      </c>
      <c r="E25" s="59">
        <f t="shared" si="6"/>
        <v>0.45500000000000002</v>
      </c>
      <c r="F25" s="59">
        <f t="shared" si="7"/>
        <v>2.7</v>
      </c>
      <c r="G25" s="60">
        <f t="shared" si="0"/>
        <v>3.1</v>
      </c>
      <c r="H25" s="61">
        <v>1</v>
      </c>
      <c r="I25" s="61">
        <f t="shared" si="3"/>
        <v>3.1</v>
      </c>
      <c r="J25" s="290"/>
      <c r="K25" s="290"/>
      <c r="L25" s="290"/>
      <c r="M25" s="60">
        <v>1</v>
      </c>
      <c r="N25" s="125">
        <f>'2.1 재단(1.69,064)'!T23/2</f>
        <v>4</v>
      </c>
      <c r="O25" s="47"/>
      <c r="P25" s="90"/>
      <c r="Q25" s="90"/>
      <c r="R25" s="90"/>
      <c r="S25" s="60">
        <f t="shared" si="4"/>
        <v>3.2</v>
      </c>
      <c r="T25" s="62">
        <v>1</v>
      </c>
      <c r="U25" s="62">
        <f t="shared" si="5"/>
        <v>3.2</v>
      </c>
    </row>
    <row r="26" spans="1:21" ht="16.5" customHeight="1">
      <c r="A26" s="42" t="str">
        <f>+'1. 소켓인수검사'!A25</f>
        <v>56</v>
      </c>
      <c r="B26" s="43">
        <f>+'1. 소켓인수검사'!C25</f>
        <v>700</v>
      </c>
      <c r="C26" s="43">
        <f>+'1. 소켓인수검사'!D25</f>
        <v>650</v>
      </c>
      <c r="D26" s="81" t="str">
        <f>+'1. 소켓인수검사'!B25</f>
        <v>HTG-064</v>
      </c>
      <c r="E26" s="59">
        <f t="shared" si="6"/>
        <v>0.45500000000000002</v>
      </c>
      <c r="F26" s="59">
        <f t="shared" si="7"/>
        <v>2.7</v>
      </c>
      <c r="G26" s="60">
        <f t="shared" si="0"/>
        <v>3.1</v>
      </c>
      <c r="H26" s="61">
        <v>1</v>
      </c>
      <c r="I26" s="61">
        <f t="shared" si="3"/>
        <v>3.1</v>
      </c>
      <c r="J26" s="290"/>
      <c r="K26" s="290"/>
      <c r="L26" s="290"/>
      <c r="M26" s="60">
        <v>1</v>
      </c>
      <c r="N26" s="125">
        <f>'2.1 재단(1.69,064)'!T24/2</f>
        <v>4</v>
      </c>
      <c r="O26" s="47"/>
      <c r="P26" s="90"/>
      <c r="Q26" s="90"/>
      <c r="R26" s="90"/>
      <c r="S26" s="60">
        <f t="shared" si="4"/>
        <v>3.2</v>
      </c>
      <c r="T26" s="62">
        <v>1</v>
      </c>
      <c r="U26" s="62">
        <f t="shared" si="5"/>
        <v>3.2</v>
      </c>
    </row>
    <row r="27" spans="1:21" ht="16.5" customHeight="1">
      <c r="A27" s="42" t="str">
        <f>+'1. 소켓인수검사'!A26</f>
        <v>57</v>
      </c>
      <c r="B27" s="43">
        <f>+'1. 소켓인수검사'!C26</f>
        <v>700</v>
      </c>
      <c r="C27" s="43">
        <f>+'1. 소켓인수검사'!D26</f>
        <v>650</v>
      </c>
      <c r="D27" s="81" t="str">
        <f>+'1. 소켓인수검사'!B26</f>
        <v>HTG-064</v>
      </c>
      <c r="E27" s="59">
        <f t="shared" si="6"/>
        <v>0.45500000000000002</v>
      </c>
      <c r="F27" s="59">
        <f t="shared" si="7"/>
        <v>2.7</v>
      </c>
      <c r="G27" s="60">
        <f t="shared" si="0"/>
        <v>3.1</v>
      </c>
      <c r="H27" s="61">
        <v>1</v>
      </c>
      <c r="I27" s="61">
        <f t="shared" si="3"/>
        <v>3.1</v>
      </c>
      <c r="J27" s="290"/>
      <c r="K27" s="290"/>
      <c r="L27" s="290"/>
      <c r="M27" s="60">
        <v>1</v>
      </c>
      <c r="N27" s="125">
        <f>'2.1 재단(1.69,064)'!T25/2</f>
        <v>4</v>
      </c>
      <c r="O27" s="47"/>
      <c r="P27" s="90"/>
      <c r="Q27" s="90"/>
      <c r="R27" s="90"/>
      <c r="S27" s="60">
        <f t="shared" si="4"/>
        <v>3.2</v>
      </c>
      <c r="T27" s="62">
        <v>1</v>
      </c>
      <c r="U27" s="62">
        <f t="shared" si="5"/>
        <v>3.2</v>
      </c>
    </row>
    <row r="28" spans="1:21" ht="16.5" customHeight="1">
      <c r="A28" s="42" t="str">
        <f>+'1. 소켓인수검사'!A27</f>
        <v>58</v>
      </c>
      <c r="B28" s="43">
        <f>+'1. 소켓인수검사'!C27</f>
        <v>700</v>
      </c>
      <c r="C28" s="43">
        <f>+'1. 소켓인수검사'!D27</f>
        <v>650</v>
      </c>
      <c r="D28" s="81" t="str">
        <f>+'1. 소켓인수검사'!B27</f>
        <v>HTG-064</v>
      </c>
      <c r="E28" s="59">
        <f t="shared" si="6"/>
        <v>0.45500000000000002</v>
      </c>
      <c r="F28" s="59">
        <f t="shared" si="7"/>
        <v>2.7</v>
      </c>
      <c r="G28" s="60">
        <f t="shared" si="0"/>
        <v>3.1</v>
      </c>
      <c r="H28" s="61">
        <v>1</v>
      </c>
      <c r="I28" s="61">
        <f t="shared" si="3"/>
        <v>3.1</v>
      </c>
      <c r="J28" s="290"/>
      <c r="K28" s="290"/>
      <c r="L28" s="290"/>
      <c r="M28" s="60">
        <v>1</v>
      </c>
      <c r="N28" s="125">
        <f>'2.1 재단(1.69,064)'!T26/2</f>
        <v>4</v>
      </c>
      <c r="O28" s="47"/>
      <c r="P28" s="90"/>
      <c r="Q28" s="90"/>
      <c r="R28" s="90"/>
      <c r="S28" s="60">
        <f t="shared" si="4"/>
        <v>3.2</v>
      </c>
      <c r="T28" s="62">
        <v>1</v>
      </c>
      <c r="U28" s="62">
        <f t="shared" si="5"/>
        <v>3.2</v>
      </c>
    </row>
    <row r="29" spans="1:21" ht="16.5" customHeight="1">
      <c r="A29" s="42" t="str">
        <f>+'1. 소켓인수검사'!A28</f>
        <v>59</v>
      </c>
      <c r="B29" s="43">
        <f>+'1. 소켓인수검사'!C28</f>
        <v>700</v>
      </c>
      <c r="C29" s="43">
        <f>+'1. 소켓인수검사'!D28</f>
        <v>650</v>
      </c>
      <c r="D29" s="81" t="str">
        <f>+'1. 소켓인수검사'!B28</f>
        <v>HTG-064</v>
      </c>
      <c r="E29" s="59">
        <f t="shared" si="6"/>
        <v>0.45500000000000002</v>
      </c>
      <c r="F29" s="59">
        <f t="shared" si="7"/>
        <v>2.7</v>
      </c>
      <c r="G29" s="60">
        <f t="shared" si="0"/>
        <v>3.1</v>
      </c>
      <c r="H29" s="61">
        <v>1</v>
      </c>
      <c r="I29" s="61">
        <f t="shared" si="3"/>
        <v>3.1</v>
      </c>
      <c r="J29" s="290"/>
      <c r="K29" s="290"/>
      <c r="L29" s="290"/>
      <c r="M29" s="60">
        <v>1</v>
      </c>
      <c r="N29" s="125">
        <f>'2.1 재단(1.69,064)'!T27/2</f>
        <v>4</v>
      </c>
      <c r="O29" s="47"/>
      <c r="P29" s="90"/>
      <c r="Q29" s="90"/>
      <c r="R29" s="90"/>
      <c r="S29" s="60">
        <f t="shared" si="4"/>
        <v>3.2</v>
      </c>
      <c r="T29" s="62">
        <v>1</v>
      </c>
      <c r="U29" s="62">
        <f t="shared" si="5"/>
        <v>3.2</v>
      </c>
    </row>
    <row r="30" spans="1:21" ht="16.5" customHeight="1">
      <c r="A30" s="42" t="str">
        <f>+'1. 소켓인수검사'!A29</f>
        <v>60</v>
      </c>
      <c r="B30" s="43">
        <f>+'1. 소켓인수검사'!C29</f>
        <v>750</v>
      </c>
      <c r="C30" s="43">
        <f>+'1. 소켓인수검사'!D29</f>
        <v>450</v>
      </c>
      <c r="D30" s="81" t="str">
        <f>+'1. 소켓인수검사'!B29</f>
        <v>HTG-064</v>
      </c>
      <c r="E30" s="59">
        <f t="shared" si="6"/>
        <v>0.33750000000000002</v>
      </c>
      <c r="F30" s="59">
        <f t="shared" si="7"/>
        <v>2.4</v>
      </c>
      <c r="G30" s="60">
        <f t="shared" si="0"/>
        <v>2.8</v>
      </c>
      <c r="H30" s="61">
        <v>1</v>
      </c>
      <c r="I30" s="61">
        <f t="shared" si="3"/>
        <v>2.8</v>
      </c>
      <c r="J30" s="290"/>
      <c r="K30" s="290"/>
      <c r="L30" s="290"/>
      <c r="M30" s="60">
        <v>1</v>
      </c>
      <c r="N30" s="125">
        <f>'2.1 재단(1.69,064)'!T28/2</f>
        <v>3</v>
      </c>
      <c r="O30" s="47"/>
      <c r="P30" s="90"/>
      <c r="Q30" s="90"/>
      <c r="R30" s="90"/>
      <c r="S30" s="60">
        <f t="shared" si="4"/>
        <v>2.9</v>
      </c>
      <c r="T30" s="62">
        <v>1</v>
      </c>
      <c r="U30" s="62">
        <f t="shared" si="5"/>
        <v>2.9</v>
      </c>
    </row>
    <row r="31" spans="1:21" ht="16.5" customHeight="1">
      <c r="A31" s="42" t="str">
        <f>+'1. 소켓인수검사'!A30</f>
        <v>61</v>
      </c>
      <c r="B31" s="43">
        <f>+'1. 소켓인수검사'!C30</f>
        <v>750</v>
      </c>
      <c r="C31" s="43">
        <f>+'1. 소켓인수검사'!D30</f>
        <v>450</v>
      </c>
      <c r="D31" s="81" t="str">
        <f>+'1. 소켓인수검사'!B30</f>
        <v>HTG-064</v>
      </c>
      <c r="E31" s="59">
        <f t="shared" si="6"/>
        <v>0.33750000000000002</v>
      </c>
      <c r="F31" s="59">
        <f t="shared" si="7"/>
        <v>2.4</v>
      </c>
      <c r="G31" s="60">
        <f t="shared" si="0"/>
        <v>2.8</v>
      </c>
      <c r="H31" s="61">
        <v>1</v>
      </c>
      <c r="I31" s="61">
        <f t="shared" si="3"/>
        <v>2.8</v>
      </c>
      <c r="J31" s="290"/>
      <c r="K31" s="290"/>
      <c r="L31" s="290"/>
      <c r="M31" s="60">
        <v>1</v>
      </c>
      <c r="N31" s="125">
        <f>'2.1 재단(1.69,064)'!T29/2</f>
        <v>3</v>
      </c>
      <c r="O31" s="47"/>
      <c r="P31" s="90"/>
      <c r="Q31" s="90"/>
      <c r="R31" s="90"/>
      <c r="S31" s="60">
        <f t="shared" si="4"/>
        <v>2.9</v>
      </c>
      <c r="T31" s="62">
        <v>1</v>
      </c>
      <c r="U31" s="62">
        <f t="shared" si="5"/>
        <v>2.9</v>
      </c>
    </row>
    <row r="32" spans="1:21" ht="16.5" customHeight="1">
      <c r="A32" s="42" t="str">
        <f>+'1. 소켓인수검사'!A31</f>
        <v>62</v>
      </c>
      <c r="B32" s="43">
        <f>+'1. 소켓인수검사'!C31</f>
        <v>750</v>
      </c>
      <c r="C32" s="43">
        <f>+'1. 소켓인수검사'!D31</f>
        <v>550</v>
      </c>
      <c r="D32" s="81" t="str">
        <f>+'1. 소켓인수검사'!B31</f>
        <v>HTG-064</v>
      </c>
      <c r="E32" s="59">
        <f t="shared" si="6"/>
        <v>0.41249999999999998</v>
      </c>
      <c r="F32" s="59">
        <f t="shared" si="7"/>
        <v>2.6</v>
      </c>
      <c r="G32" s="60">
        <f t="shared" si="0"/>
        <v>3</v>
      </c>
      <c r="H32" s="61">
        <v>1</v>
      </c>
      <c r="I32" s="61">
        <f t="shared" si="3"/>
        <v>3</v>
      </c>
      <c r="J32" s="290"/>
      <c r="K32" s="290"/>
      <c r="L32" s="290"/>
      <c r="M32" s="60">
        <v>1</v>
      </c>
      <c r="N32" s="125">
        <f>'2.1 재단(1.69,064)'!T30/2</f>
        <v>4</v>
      </c>
      <c r="O32" s="47"/>
      <c r="P32" s="90"/>
      <c r="Q32" s="90"/>
      <c r="R32" s="90"/>
      <c r="S32" s="60">
        <f t="shared" si="4"/>
        <v>3.1</v>
      </c>
      <c r="T32" s="62">
        <v>1</v>
      </c>
      <c r="U32" s="62">
        <f t="shared" si="5"/>
        <v>3.1</v>
      </c>
    </row>
    <row r="33" spans="1:21" ht="16.5" customHeight="1">
      <c r="A33" s="42" t="str">
        <f>+'1. 소켓인수검사'!A32</f>
        <v>63</v>
      </c>
      <c r="B33" s="43">
        <f>+'1. 소켓인수검사'!C32</f>
        <v>750</v>
      </c>
      <c r="C33" s="43">
        <f>+'1. 소켓인수검사'!D32</f>
        <v>550</v>
      </c>
      <c r="D33" s="81" t="str">
        <f>+'1. 소켓인수검사'!B32</f>
        <v>HTG-064</v>
      </c>
      <c r="E33" s="59">
        <f t="shared" si="6"/>
        <v>0.41249999999999998</v>
      </c>
      <c r="F33" s="59">
        <f t="shared" si="7"/>
        <v>2.6</v>
      </c>
      <c r="G33" s="60">
        <f t="shared" si="0"/>
        <v>3</v>
      </c>
      <c r="H33" s="61">
        <v>1</v>
      </c>
      <c r="I33" s="61">
        <f t="shared" si="3"/>
        <v>3</v>
      </c>
      <c r="J33" s="290"/>
      <c r="K33" s="290"/>
      <c r="L33" s="290"/>
      <c r="M33" s="60">
        <v>1</v>
      </c>
      <c r="N33" s="125">
        <f>'2.1 재단(1.69,064)'!T31/2</f>
        <v>4</v>
      </c>
      <c r="O33" s="47"/>
      <c r="P33" s="90"/>
      <c r="Q33" s="90"/>
      <c r="R33" s="90"/>
      <c r="S33" s="60">
        <f t="shared" si="4"/>
        <v>3.1</v>
      </c>
      <c r="T33" s="62">
        <v>1</v>
      </c>
      <c r="U33" s="62">
        <f t="shared" si="5"/>
        <v>3.1</v>
      </c>
    </row>
    <row r="34" spans="1:21" ht="16.5" customHeight="1">
      <c r="A34" s="42" t="str">
        <f>+'1. 소켓인수검사'!A33</f>
        <v>64</v>
      </c>
      <c r="B34" s="43">
        <f>+'1. 소켓인수검사'!C33</f>
        <v>750</v>
      </c>
      <c r="C34" s="43">
        <f>+'1. 소켓인수검사'!D33</f>
        <v>550</v>
      </c>
      <c r="D34" s="81" t="str">
        <f>+'1. 소켓인수검사'!B33</f>
        <v>HTG-064</v>
      </c>
      <c r="E34" s="59">
        <f t="shared" si="6"/>
        <v>0.41249999999999998</v>
      </c>
      <c r="F34" s="59">
        <f t="shared" si="7"/>
        <v>2.6</v>
      </c>
      <c r="G34" s="60">
        <f t="shared" si="0"/>
        <v>3</v>
      </c>
      <c r="H34" s="61">
        <v>1</v>
      </c>
      <c r="I34" s="61">
        <f t="shared" si="3"/>
        <v>3</v>
      </c>
      <c r="J34" s="290"/>
      <c r="K34" s="290"/>
      <c r="L34" s="290"/>
      <c r="M34" s="60">
        <v>1</v>
      </c>
      <c r="N34" s="125">
        <f>'2.1 재단(1.69,064)'!T32/2</f>
        <v>4</v>
      </c>
      <c r="O34" s="47"/>
      <c r="P34" s="90"/>
      <c r="Q34" s="90"/>
      <c r="R34" s="90"/>
      <c r="S34" s="60">
        <f t="shared" si="4"/>
        <v>3.1</v>
      </c>
      <c r="T34" s="62">
        <v>1</v>
      </c>
      <c r="U34" s="62">
        <f t="shared" si="5"/>
        <v>3.1</v>
      </c>
    </row>
    <row r="35" spans="1:21" ht="16.5" customHeight="1">
      <c r="A35" s="42" t="str">
        <f>+'1. 소켓인수검사'!A34</f>
        <v>65</v>
      </c>
      <c r="B35" s="43">
        <f>+'1. 소켓인수검사'!C34</f>
        <v>750</v>
      </c>
      <c r="C35" s="43">
        <f>+'1. 소켓인수검사'!D34</f>
        <v>550</v>
      </c>
      <c r="D35" s="81" t="str">
        <f>+'1. 소켓인수검사'!B34</f>
        <v>HTG-064</v>
      </c>
      <c r="E35" s="59">
        <f t="shared" si="6"/>
        <v>0.41249999999999998</v>
      </c>
      <c r="F35" s="59">
        <f t="shared" si="7"/>
        <v>2.6</v>
      </c>
      <c r="G35" s="60">
        <f t="shared" si="0"/>
        <v>3</v>
      </c>
      <c r="H35" s="61">
        <v>1</v>
      </c>
      <c r="I35" s="61">
        <f t="shared" si="3"/>
        <v>3</v>
      </c>
      <c r="J35" s="290"/>
      <c r="K35" s="290"/>
      <c r="L35" s="290"/>
      <c r="M35" s="60">
        <v>1</v>
      </c>
      <c r="N35" s="125">
        <f>'2.1 재단(1.69,064)'!T33/2</f>
        <v>4</v>
      </c>
      <c r="O35" s="47"/>
      <c r="P35" s="90"/>
      <c r="Q35" s="90"/>
      <c r="R35" s="90"/>
      <c r="S35" s="60">
        <f t="shared" si="4"/>
        <v>3.1</v>
      </c>
      <c r="T35" s="62">
        <v>1</v>
      </c>
      <c r="U35" s="62">
        <f t="shared" si="5"/>
        <v>3.1</v>
      </c>
    </row>
    <row r="36" spans="1:21" ht="16.5" customHeight="1">
      <c r="A36" s="42" t="str">
        <f>+'1. 소켓인수검사'!A35</f>
        <v>66</v>
      </c>
      <c r="B36" s="43">
        <f>+'1. 소켓인수검사'!C35</f>
        <v>750</v>
      </c>
      <c r="C36" s="43">
        <f>+'1. 소켓인수검사'!D35</f>
        <v>600</v>
      </c>
      <c r="D36" s="81" t="str">
        <f>+'1. 소켓인수검사'!B35</f>
        <v>HTG-064</v>
      </c>
      <c r="E36" s="59">
        <f t="shared" si="6"/>
        <v>0.45</v>
      </c>
      <c r="F36" s="59">
        <f t="shared" si="7"/>
        <v>2.7</v>
      </c>
      <c r="G36" s="60">
        <f t="shared" si="0"/>
        <v>3.1</v>
      </c>
      <c r="H36" s="61">
        <v>1</v>
      </c>
      <c r="I36" s="61">
        <f t="shared" si="3"/>
        <v>3.1</v>
      </c>
      <c r="J36" s="290"/>
      <c r="K36" s="290"/>
      <c r="L36" s="290"/>
      <c r="M36" s="60">
        <v>1</v>
      </c>
      <c r="N36" s="125">
        <f>'2.1 재단(1.69,064)'!T34/2</f>
        <v>4</v>
      </c>
      <c r="O36" s="47"/>
      <c r="P36" s="90"/>
      <c r="Q36" s="90"/>
      <c r="R36" s="90"/>
      <c r="S36" s="60">
        <f t="shared" si="4"/>
        <v>3.2</v>
      </c>
      <c r="T36" s="62">
        <v>1</v>
      </c>
      <c r="U36" s="62">
        <f t="shared" si="5"/>
        <v>3.2</v>
      </c>
    </row>
    <row r="37" spans="1:21" ht="16.5" customHeight="1">
      <c r="A37" s="42" t="str">
        <f>+'1. 소켓인수검사'!A36</f>
        <v>67</v>
      </c>
      <c r="B37" s="43">
        <f>+'1. 소켓인수검사'!C36</f>
        <v>750</v>
      </c>
      <c r="C37" s="43">
        <f>+'1. 소켓인수검사'!D36</f>
        <v>600</v>
      </c>
      <c r="D37" s="81" t="str">
        <f>+'1. 소켓인수검사'!B36</f>
        <v>HTG-064</v>
      </c>
      <c r="E37" s="59">
        <f t="shared" si="6"/>
        <v>0.45</v>
      </c>
      <c r="F37" s="59">
        <f t="shared" si="7"/>
        <v>2.7</v>
      </c>
      <c r="G37" s="60">
        <f t="shared" si="0"/>
        <v>3.1</v>
      </c>
      <c r="H37" s="61">
        <v>1</v>
      </c>
      <c r="I37" s="61">
        <f t="shared" si="3"/>
        <v>3.1</v>
      </c>
      <c r="J37" s="290"/>
      <c r="K37" s="290"/>
      <c r="L37" s="290"/>
      <c r="M37" s="60">
        <v>1</v>
      </c>
      <c r="N37" s="125">
        <f>'2.1 재단(1.69,064)'!T35/2</f>
        <v>4</v>
      </c>
      <c r="O37" s="47"/>
      <c r="P37" s="90"/>
      <c r="Q37" s="90"/>
      <c r="R37" s="90"/>
      <c r="S37" s="60">
        <f t="shared" si="4"/>
        <v>3.2</v>
      </c>
      <c r="T37" s="62">
        <v>1</v>
      </c>
      <c r="U37" s="62">
        <f t="shared" si="5"/>
        <v>3.2</v>
      </c>
    </row>
    <row r="38" spans="1:21" ht="16.5" customHeight="1">
      <c r="A38" s="42" t="str">
        <f>+'1. 소켓인수검사'!A37</f>
        <v>68</v>
      </c>
      <c r="B38" s="43">
        <f>+'1. 소켓인수검사'!C37</f>
        <v>750</v>
      </c>
      <c r="C38" s="43">
        <f>+'1. 소켓인수검사'!D37</f>
        <v>650</v>
      </c>
      <c r="D38" s="81" t="str">
        <f>+'1. 소켓인수검사'!B37</f>
        <v>HTG-064</v>
      </c>
      <c r="E38" s="59">
        <f t="shared" si="6"/>
        <v>0.48749999999999999</v>
      </c>
      <c r="F38" s="59">
        <f t="shared" si="7"/>
        <v>2.8</v>
      </c>
      <c r="G38" s="60">
        <f t="shared" si="0"/>
        <v>3.1999999999999997</v>
      </c>
      <c r="H38" s="61">
        <v>1</v>
      </c>
      <c r="I38" s="61">
        <f t="shared" si="3"/>
        <v>3.1999999999999997</v>
      </c>
      <c r="J38" s="290"/>
      <c r="K38" s="290"/>
      <c r="L38" s="290"/>
      <c r="M38" s="60">
        <v>1</v>
      </c>
      <c r="N38" s="125">
        <f>'2.1 재단(1.69,064)'!T36/2</f>
        <v>4</v>
      </c>
      <c r="O38" s="47"/>
      <c r="P38" s="90"/>
      <c r="Q38" s="90"/>
      <c r="R38" s="90"/>
      <c r="S38" s="60">
        <f t="shared" si="4"/>
        <v>3.3</v>
      </c>
      <c r="T38" s="62">
        <v>1</v>
      </c>
      <c r="U38" s="62">
        <f t="shared" si="5"/>
        <v>3.3</v>
      </c>
    </row>
    <row r="39" spans="1:21" ht="16.5" customHeight="1">
      <c r="A39" s="42" t="str">
        <f>+'1. 소켓인수검사'!A38</f>
        <v>69</v>
      </c>
      <c r="B39" s="43">
        <f>+'1. 소켓인수검사'!C38</f>
        <v>750</v>
      </c>
      <c r="C39" s="43">
        <f>+'1. 소켓인수검사'!D38</f>
        <v>650</v>
      </c>
      <c r="D39" s="81" t="str">
        <f>+'1. 소켓인수검사'!B38</f>
        <v>HTG-064</v>
      </c>
      <c r="E39" s="59">
        <f t="shared" si="6"/>
        <v>0.48749999999999999</v>
      </c>
      <c r="F39" s="59">
        <f t="shared" si="7"/>
        <v>2.8</v>
      </c>
      <c r="G39" s="60">
        <f t="shared" si="0"/>
        <v>3.1999999999999997</v>
      </c>
      <c r="H39" s="61">
        <v>1</v>
      </c>
      <c r="I39" s="61">
        <f t="shared" si="3"/>
        <v>3.1999999999999997</v>
      </c>
      <c r="J39" s="290"/>
      <c r="K39" s="290"/>
      <c r="L39" s="290"/>
      <c r="M39" s="60">
        <v>1</v>
      </c>
      <c r="N39" s="125">
        <f>'2.1 재단(1.69,064)'!T37/2</f>
        <v>4</v>
      </c>
      <c r="O39" s="47"/>
      <c r="P39" s="90"/>
      <c r="Q39" s="90"/>
      <c r="R39" s="90"/>
      <c r="S39" s="60">
        <f t="shared" si="4"/>
        <v>3.3</v>
      </c>
      <c r="T39" s="62">
        <v>1</v>
      </c>
      <c r="U39" s="62">
        <f t="shared" si="5"/>
        <v>3.3</v>
      </c>
    </row>
    <row r="40" spans="1:21" ht="16.5" customHeight="1">
      <c r="A40" s="42" t="str">
        <f>+'1. 소켓인수검사'!A39</f>
        <v>70</v>
      </c>
      <c r="B40" s="43">
        <f>+'1. 소켓인수검사'!C39</f>
        <v>750</v>
      </c>
      <c r="C40" s="43">
        <f>+'1. 소켓인수검사'!D39</f>
        <v>700</v>
      </c>
      <c r="D40" s="81" t="str">
        <f>+'1. 소켓인수검사'!B39</f>
        <v>HTG-064</v>
      </c>
      <c r="E40" s="59">
        <f t="shared" ref="E40:E58" si="8">B40*C40/1000000</f>
        <v>0.52500000000000002</v>
      </c>
      <c r="F40" s="59">
        <f t="shared" ref="F40:F58" si="9">(B40+C40)*2/1000</f>
        <v>2.9</v>
      </c>
      <c r="G40" s="60">
        <f t="shared" ref="G40:G58" si="10">F40+0.4</f>
        <v>3.3</v>
      </c>
      <c r="H40" s="61">
        <v>1</v>
      </c>
      <c r="I40" s="61">
        <f t="shared" si="3"/>
        <v>3.3</v>
      </c>
      <c r="J40" s="91"/>
      <c r="K40" s="91"/>
      <c r="L40" s="91"/>
      <c r="M40" s="60">
        <v>1</v>
      </c>
      <c r="N40" s="125">
        <f>'2.1 재단(1.69,064)'!T38/2</f>
        <v>4</v>
      </c>
      <c r="O40" s="47"/>
      <c r="P40" s="90"/>
      <c r="Q40" s="90"/>
      <c r="R40" s="90"/>
      <c r="S40" s="60">
        <f t="shared" ref="S40:S58" si="11">F40+0.5</f>
        <v>3.4</v>
      </c>
      <c r="T40" s="62">
        <v>1</v>
      </c>
      <c r="U40" s="62">
        <f t="shared" si="5"/>
        <v>3.4</v>
      </c>
    </row>
    <row r="41" spans="1:21" ht="16.5" customHeight="1">
      <c r="A41" s="42" t="str">
        <f>+'1. 소켓인수검사'!A40</f>
        <v>71</v>
      </c>
      <c r="B41" s="43">
        <f>+'1. 소켓인수검사'!C40</f>
        <v>750</v>
      </c>
      <c r="C41" s="43">
        <f>+'1. 소켓인수검사'!D40</f>
        <v>700</v>
      </c>
      <c r="D41" s="81" t="str">
        <f>+'1. 소켓인수검사'!B40</f>
        <v>HTG-064</v>
      </c>
      <c r="E41" s="59">
        <f t="shared" si="8"/>
        <v>0.52500000000000002</v>
      </c>
      <c r="F41" s="59">
        <f t="shared" si="9"/>
        <v>2.9</v>
      </c>
      <c r="G41" s="60">
        <f t="shared" si="10"/>
        <v>3.3</v>
      </c>
      <c r="H41" s="61">
        <v>1</v>
      </c>
      <c r="I41" s="61">
        <f t="shared" si="3"/>
        <v>3.3</v>
      </c>
      <c r="J41" s="91"/>
      <c r="K41" s="91"/>
      <c r="L41" s="91"/>
      <c r="M41" s="60">
        <v>1</v>
      </c>
      <c r="N41" s="125">
        <f>'2.1 재단(1.69,064)'!T39/2</f>
        <v>4</v>
      </c>
      <c r="O41" s="47"/>
      <c r="P41" s="90"/>
      <c r="Q41" s="90"/>
      <c r="R41" s="90"/>
      <c r="S41" s="60">
        <f t="shared" si="11"/>
        <v>3.4</v>
      </c>
      <c r="T41" s="62">
        <v>1</v>
      </c>
      <c r="U41" s="62">
        <f t="shared" si="5"/>
        <v>3.4</v>
      </c>
    </row>
    <row r="42" spans="1:21" ht="16.5" customHeight="1">
      <c r="A42" s="42" t="str">
        <f>+'1. 소켓인수검사'!A41</f>
        <v>72</v>
      </c>
      <c r="B42" s="43">
        <f>+'1. 소켓인수검사'!C41</f>
        <v>800</v>
      </c>
      <c r="C42" s="43">
        <f>+'1. 소켓인수검사'!D41</f>
        <v>500</v>
      </c>
      <c r="D42" s="81" t="str">
        <f>+'1. 소켓인수검사'!B41</f>
        <v>HTG-064</v>
      </c>
      <c r="E42" s="59">
        <f t="shared" si="8"/>
        <v>0.4</v>
      </c>
      <c r="F42" s="59">
        <f t="shared" si="9"/>
        <v>2.6</v>
      </c>
      <c r="G42" s="60">
        <f t="shared" si="10"/>
        <v>3</v>
      </c>
      <c r="H42" s="61">
        <v>1</v>
      </c>
      <c r="I42" s="61">
        <f t="shared" si="3"/>
        <v>3</v>
      </c>
      <c r="J42" s="91"/>
      <c r="K42" s="91"/>
      <c r="L42" s="91"/>
      <c r="M42" s="60">
        <v>1</v>
      </c>
      <c r="N42" s="125">
        <f>'2.1 재단(1.69,064)'!T40/2</f>
        <v>4</v>
      </c>
      <c r="O42" s="47"/>
      <c r="P42" s="90"/>
      <c r="Q42" s="90"/>
      <c r="R42" s="90"/>
      <c r="S42" s="60">
        <f t="shared" si="11"/>
        <v>3.1</v>
      </c>
      <c r="T42" s="62">
        <v>1</v>
      </c>
      <c r="U42" s="62">
        <f t="shared" si="5"/>
        <v>3.1</v>
      </c>
    </row>
    <row r="43" spans="1:21" ht="16.5" customHeight="1">
      <c r="A43" s="42" t="str">
        <f>+'1. 소켓인수검사'!A42</f>
        <v>73</v>
      </c>
      <c r="B43" s="43">
        <f>+'1. 소켓인수검사'!C42</f>
        <v>800</v>
      </c>
      <c r="C43" s="43">
        <f>+'1. 소켓인수검사'!D42</f>
        <v>500</v>
      </c>
      <c r="D43" s="81" t="str">
        <f>+'1. 소켓인수검사'!B42</f>
        <v>HTG-064</v>
      </c>
      <c r="E43" s="59">
        <f t="shared" si="8"/>
        <v>0.4</v>
      </c>
      <c r="F43" s="59">
        <f t="shared" si="9"/>
        <v>2.6</v>
      </c>
      <c r="G43" s="60">
        <f t="shared" si="10"/>
        <v>3</v>
      </c>
      <c r="H43" s="61">
        <v>1</v>
      </c>
      <c r="I43" s="61">
        <f t="shared" si="3"/>
        <v>3</v>
      </c>
      <c r="J43" s="91"/>
      <c r="K43" s="91"/>
      <c r="L43" s="91"/>
      <c r="M43" s="60">
        <v>1</v>
      </c>
      <c r="N43" s="125">
        <f>'2.1 재단(1.69,064)'!T41/2</f>
        <v>4</v>
      </c>
      <c r="O43" s="47"/>
      <c r="P43" s="90"/>
      <c r="Q43" s="90"/>
      <c r="R43" s="90"/>
      <c r="S43" s="60">
        <f t="shared" si="11"/>
        <v>3.1</v>
      </c>
      <c r="T43" s="62">
        <v>1</v>
      </c>
      <c r="U43" s="62">
        <f t="shared" si="5"/>
        <v>3.1</v>
      </c>
    </row>
    <row r="44" spans="1:21" ht="16.5" customHeight="1">
      <c r="A44" s="42" t="str">
        <f>+'1. 소켓인수검사'!A43</f>
        <v>74</v>
      </c>
      <c r="B44" s="43">
        <f>+'1. 소켓인수검사'!C43</f>
        <v>800</v>
      </c>
      <c r="C44" s="43">
        <f>+'1. 소켓인수검사'!D43</f>
        <v>550</v>
      </c>
      <c r="D44" s="81" t="str">
        <f>+'1. 소켓인수검사'!B43</f>
        <v>HTG-064</v>
      </c>
      <c r="E44" s="59">
        <f t="shared" si="8"/>
        <v>0.44</v>
      </c>
      <c r="F44" s="59">
        <f t="shared" si="9"/>
        <v>2.7</v>
      </c>
      <c r="G44" s="60">
        <f t="shared" si="10"/>
        <v>3.1</v>
      </c>
      <c r="H44" s="61">
        <v>1</v>
      </c>
      <c r="I44" s="61">
        <f t="shared" si="3"/>
        <v>3.1</v>
      </c>
      <c r="J44" s="91"/>
      <c r="K44" s="91"/>
      <c r="L44" s="91"/>
      <c r="M44" s="60">
        <v>1</v>
      </c>
      <c r="N44" s="125">
        <f>'2.1 재단(1.69,064)'!T42/2</f>
        <v>4</v>
      </c>
      <c r="O44" s="47"/>
      <c r="P44" s="90"/>
      <c r="Q44" s="90"/>
      <c r="R44" s="90"/>
      <c r="S44" s="60">
        <f t="shared" si="11"/>
        <v>3.2</v>
      </c>
      <c r="T44" s="62">
        <v>1</v>
      </c>
      <c r="U44" s="62">
        <f t="shared" si="5"/>
        <v>3.2</v>
      </c>
    </row>
    <row r="45" spans="1:21" ht="16.5" customHeight="1">
      <c r="A45" s="42" t="str">
        <f>+'1. 소켓인수검사'!A44</f>
        <v>75</v>
      </c>
      <c r="B45" s="43">
        <f>+'1. 소켓인수검사'!C44</f>
        <v>800</v>
      </c>
      <c r="C45" s="43">
        <f>+'1. 소켓인수검사'!D44</f>
        <v>600</v>
      </c>
      <c r="D45" s="81" t="str">
        <f>+'1. 소켓인수검사'!B44</f>
        <v>HTG-064</v>
      </c>
      <c r="E45" s="59">
        <f t="shared" si="8"/>
        <v>0.48</v>
      </c>
      <c r="F45" s="59">
        <f t="shared" si="9"/>
        <v>2.8</v>
      </c>
      <c r="G45" s="60">
        <f t="shared" si="10"/>
        <v>3.1999999999999997</v>
      </c>
      <c r="H45" s="61">
        <v>1</v>
      </c>
      <c r="I45" s="61">
        <f t="shared" si="3"/>
        <v>3.1999999999999997</v>
      </c>
      <c r="J45" s="91"/>
      <c r="K45" s="91"/>
      <c r="L45" s="91"/>
      <c r="M45" s="60">
        <v>1</v>
      </c>
      <c r="N45" s="125">
        <f>'2.1 재단(1.69,064)'!T43/2</f>
        <v>4</v>
      </c>
      <c r="O45" s="47"/>
      <c r="P45" s="90"/>
      <c r="Q45" s="90"/>
      <c r="R45" s="90"/>
      <c r="S45" s="60">
        <f t="shared" si="11"/>
        <v>3.3</v>
      </c>
      <c r="T45" s="62">
        <v>1</v>
      </c>
      <c r="U45" s="62">
        <f t="shared" si="5"/>
        <v>3.3</v>
      </c>
    </row>
    <row r="46" spans="1:21" ht="16.5" customHeight="1">
      <c r="A46" s="42" t="str">
        <f>+'1. 소켓인수검사'!A45</f>
        <v>76</v>
      </c>
      <c r="B46" s="43">
        <f>+'1. 소켓인수검사'!C45</f>
        <v>800</v>
      </c>
      <c r="C46" s="43">
        <f>+'1. 소켓인수검사'!D45</f>
        <v>600</v>
      </c>
      <c r="D46" s="81" t="str">
        <f>+'1. 소켓인수검사'!B45</f>
        <v>HTG-064</v>
      </c>
      <c r="E46" s="59">
        <f t="shared" si="8"/>
        <v>0.48</v>
      </c>
      <c r="F46" s="59">
        <f t="shared" si="9"/>
        <v>2.8</v>
      </c>
      <c r="G46" s="60">
        <f t="shared" si="10"/>
        <v>3.1999999999999997</v>
      </c>
      <c r="H46" s="61">
        <v>1</v>
      </c>
      <c r="I46" s="61">
        <f t="shared" si="3"/>
        <v>3.1999999999999997</v>
      </c>
      <c r="J46" s="91"/>
      <c r="K46" s="91"/>
      <c r="L46" s="91"/>
      <c r="M46" s="60">
        <v>1</v>
      </c>
      <c r="N46" s="125">
        <f>'2.1 재단(1.69,064)'!T44/2</f>
        <v>4</v>
      </c>
      <c r="O46" s="47"/>
      <c r="P46" s="90"/>
      <c r="Q46" s="90"/>
      <c r="R46" s="90"/>
      <c r="S46" s="60">
        <f t="shared" si="11"/>
        <v>3.3</v>
      </c>
      <c r="T46" s="62">
        <v>1</v>
      </c>
      <c r="U46" s="62">
        <f t="shared" si="5"/>
        <v>3.3</v>
      </c>
    </row>
    <row r="47" spans="1:21" ht="16.5" customHeight="1">
      <c r="A47" s="42" t="str">
        <f>+'1. 소켓인수검사'!A46</f>
        <v>77</v>
      </c>
      <c r="B47" s="43">
        <f>+'1. 소켓인수검사'!C46</f>
        <v>800</v>
      </c>
      <c r="C47" s="43">
        <f>+'1. 소켓인수검사'!D46</f>
        <v>600</v>
      </c>
      <c r="D47" s="81" t="str">
        <f>+'1. 소켓인수검사'!B46</f>
        <v>HTG-064</v>
      </c>
      <c r="E47" s="59">
        <f t="shared" si="8"/>
        <v>0.48</v>
      </c>
      <c r="F47" s="59">
        <f t="shared" si="9"/>
        <v>2.8</v>
      </c>
      <c r="G47" s="60">
        <f t="shared" si="10"/>
        <v>3.1999999999999997</v>
      </c>
      <c r="H47" s="61">
        <v>1</v>
      </c>
      <c r="I47" s="61">
        <f t="shared" si="3"/>
        <v>3.1999999999999997</v>
      </c>
      <c r="J47" s="91"/>
      <c r="K47" s="91"/>
      <c r="L47" s="91"/>
      <c r="M47" s="60">
        <v>1</v>
      </c>
      <c r="N47" s="125">
        <f>'2.1 재단(1.69,064)'!T45/2</f>
        <v>4</v>
      </c>
      <c r="O47" s="47"/>
      <c r="P47" s="90"/>
      <c r="Q47" s="90"/>
      <c r="R47" s="90"/>
      <c r="S47" s="60">
        <f t="shared" si="11"/>
        <v>3.3</v>
      </c>
      <c r="T47" s="62">
        <v>1</v>
      </c>
      <c r="U47" s="62">
        <f t="shared" si="5"/>
        <v>3.3</v>
      </c>
    </row>
    <row r="48" spans="1:21" ht="16.5" customHeight="1">
      <c r="A48" s="42" t="str">
        <f>+'1. 소켓인수검사'!A47</f>
        <v>78</v>
      </c>
      <c r="B48" s="43">
        <f>+'1. 소켓인수검사'!C47</f>
        <v>800</v>
      </c>
      <c r="C48" s="43">
        <f>+'1. 소켓인수검사'!D47</f>
        <v>650</v>
      </c>
      <c r="D48" s="81" t="str">
        <f>+'1. 소켓인수검사'!B47</f>
        <v>HTG-064</v>
      </c>
      <c r="E48" s="59">
        <f t="shared" si="8"/>
        <v>0.52</v>
      </c>
      <c r="F48" s="59">
        <f t="shared" si="9"/>
        <v>2.9</v>
      </c>
      <c r="G48" s="60">
        <f t="shared" si="10"/>
        <v>3.3</v>
      </c>
      <c r="H48" s="61">
        <v>1</v>
      </c>
      <c r="I48" s="61">
        <f t="shared" si="3"/>
        <v>3.3</v>
      </c>
      <c r="J48" s="91"/>
      <c r="K48" s="91"/>
      <c r="L48" s="91"/>
      <c r="M48" s="60">
        <v>1</v>
      </c>
      <c r="N48" s="125">
        <f>'2.1 재단(1.69,064)'!T46/2</f>
        <v>4</v>
      </c>
      <c r="O48" s="47"/>
      <c r="P48" s="90"/>
      <c r="Q48" s="90"/>
      <c r="R48" s="90"/>
      <c r="S48" s="60">
        <f t="shared" si="11"/>
        <v>3.4</v>
      </c>
      <c r="T48" s="62">
        <v>1</v>
      </c>
      <c r="U48" s="62">
        <f t="shared" si="5"/>
        <v>3.4</v>
      </c>
    </row>
    <row r="49" spans="1:21" ht="16.5" customHeight="1">
      <c r="A49" s="42" t="str">
        <f>+'1. 소켓인수검사'!A48</f>
        <v>79</v>
      </c>
      <c r="B49" s="43">
        <f>+'1. 소켓인수검사'!C48</f>
        <v>800</v>
      </c>
      <c r="C49" s="43">
        <f>+'1. 소켓인수검사'!D48</f>
        <v>650</v>
      </c>
      <c r="D49" s="81" t="str">
        <f>+'1. 소켓인수검사'!B48</f>
        <v>HTG-064</v>
      </c>
      <c r="E49" s="59">
        <f t="shared" si="8"/>
        <v>0.52</v>
      </c>
      <c r="F49" s="59">
        <f t="shared" si="9"/>
        <v>2.9</v>
      </c>
      <c r="G49" s="60">
        <f t="shared" si="10"/>
        <v>3.3</v>
      </c>
      <c r="H49" s="61">
        <v>1</v>
      </c>
      <c r="I49" s="61">
        <f t="shared" si="3"/>
        <v>3.3</v>
      </c>
      <c r="J49" s="91"/>
      <c r="K49" s="91"/>
      <c r="L49" s="91"/>
      <c r="M49" s="60">
        <v>1</v>
      </c>
      <c r="N49" s="125">
        <f>'2.1 재단(1.69,064)'!T47/2</f>
        <v>4</v>
      </c>
      <c r="O49" s="47"/>
      <c r="P49" s="90"/>
      <c r="Q49" s="90"/>
      <c r="R49" s="90"/>
      <c r="S49" s="60">
        <f t="shared" si="11"/>
        <v>3.4</v>
      </c>
      <c r="T49" s="62">
        <v>1</v>
      </c>
      <c r="U49" s="62">
        <f t="shared" si="5"/>
        <v>3.4</v>
      </c>
    </row>
    <row r="50" spans="1:21" ht="16.5" customHeight="1">
      <c r="A50" s="42" t="str">
        <f>+'1. 소켓인수검사'!A49</f>
        <v>80</v>
      </c>
      <c r="B50" s="43">
        <f>+'1. 소켓인수검사'!C49</f>
        <v>900</v>
      </c>
      <c r="C50" s="43">
        <f>+'1. 소켓인수검사'!D49</f>
        <v>650</v>
      </c>
      <c r="D50" s="81" t="str">
        <f>+'1. 소켓인수검사'!B49</f>
        <v>HTG-064</v>
      </c>
      <c r="E50" s="59">
        <f t="shared" si="8"/>
        <v>0.58499999999999996</v>
      </c>
      <c r="F50" s="59">
        <f t="shared" si="9"/>
        <v>3.1</v>
      </c>
      <c r="G50" s="60">
        <f t="shared" si="10"/>
        <v>3.5</v>
      </c>
      <c r="H50" s="61">
        <v>1</v>
      </c>
      <c r="I50" s="61">
        <f t="shared" si="3"/>
        <v>3.5</v>
      </c>
      <c r="J50" s="91"/>
      <c r="K50" s="91"/>
      <c r="L50" s="91"/>
      <c r="M50" s="60">
        <v>1</v>
      </c>
      <c r="N50" s="125">
        <f>'2.1 재단(1.69,064)'!T48/2</f>
        <v>4</v>
      </c>
      <c r="O50" s="47"/>
      <c r="P50" s="90"/>
      <c r="Q50" s="90"/>
      <c r="R50" s="90"/>
      <c r="S50" s="60">
        <f t="shared" si="11"/>
        <v>3.6</v>
      </c>
      <c r="T50" s="62">
        <v>1</v>
      </c>
      <c r="U50" s="62">
        <f t="shared" si="5"/>
        <v>3.6</v>
      </c>
    </row>
    <row r="51" spans="1:21" ht="16.5" customHeight="1">
      <c r="A51" s="42" t="str">
        <f>+'1. 소켓인수검사'!A50</f>
        <v>81</v>
      </c>
      <c r="B51" s="43">
        <f>+'1. 소켓인수검사'!C50</f>
        <v>900</v>
      </c>
      <c r="C51" s="43">
        <f>+'1. 소켓인수검사'!D50</f>
        <v>700</v>
      </c>
      <c r="D51" s="81" t="str">
        <f>+'1. 소켓인수검사'!B50</f>
        <v>HTG-064</v>
      </c>
      <c r="E51" s="59">
        <f t="shared" si="8"/>
        <v>0.63</v>
      </c>
      <c r="F51" s="59">
        <f t="shared" si="9"/>
        <v>3.2</v>
      </c>
      <c r="G51" s="60">
        <f t="shared" si="10"/>
        <v>3.6</v>
      </c>
      <c r="H51" s="61">
        <v>1</v>
      </c>
      <c r="I51" s="61">
        <f t="shared" si="3"/>
        <v>3.6</v>
      </c>
      <c r="J51" s="91"/>
      <c r="K51" s="91"/>
      <c r="L51" s="91"/>
      <c r="M51" s="60">
        <v>1</v>
      </c>
      <c r="N51" s="125">
        <f>'2.1 재단(1.69,064)'!T49/2</f>
        <v>4</v>
      </c>
      <c r="O51" s="47"/>
      <c r="P51" s="90"/>
      <c r="Q51" s="90"/>
      <c r="R51" s="90"/>
      <c r="S51" s="60">
        <f t="shared" si="11"/>
        <v>3.7</v>
      </c>
      <c r="T51" s="62">
        <v>1</v>
      </c>
      <c r="U51" s="62">
        <f t="shared" si="5"/>
        <v>3.7</v>
      </c>
    </row>
    <row r="52" spans="1:21" ht="16.5" customHeight="1">
      <c r="A52" s="42" t="str">
        <f>+'1. 소켓인수검사'!A51</f>
        <v>82</v>
      </c>
      <c r="B52" s="43">
        <f>+'1. 소켓인수검사'!C51</f>
        <v>900</v>
      </c>
      <c r="C52" s="43">
        <f>+'1. 소켓인수검사'!D51</f>
        <v>700</v>
      </c>
      <c r="D52" s="81" t="str">
        <f>+'1. 소켓인수검사'!B51</f>
        <v>HTG-064</v>
      </c>
      <c r="E52" s="59">
        <f t="shared" si="8"/>
        <v>0.63</v>
      </c>
      <c r="F52" s="59">
        <f t="shared" si="9"/>
        <v>3.2</v>
      </c>
      <c r="G52" s="60">
        <f t="shared" si="10"/>
        <v>3.6</v>
      </c>
      <c r="H52" s="61">
        <v>1</v>
      </c>
      <c r="I52" s="61">
        <f t="shared" si="3"/>
        <v>3.6</v>
      </c>
      <c r="J52" s="91"/>
      <c r="K52" s="91"/>
      <c r="L52" s="91"/>
      <c r="M52" s="60">
        <v>1</v>
      </c>
      <c r="N52" s="125">
        <f>'2.1 재단(1.69,064)'!T50/2</f>
        <v>4</v>
      </c>
      <c r="O52" s="47"/>
      <c r="P52" s="90"/>
      <c r="Q52" s="90"/>
      <c r="R52" s="90"/>
      <c r="S52" s="60">
        <f t="shared" si="11"/>
        <v>3.7</v>
      </c>
      <c r="T52" s="62">
        <v>1</v>
      </c>
      <c r="U52" s="62">
        <f t="shared" si="5"/>
        <v>3.7</v>
      </c>
    </row>
    <row r="53" spans="1:21" ht="16.5" customHeight="1">
      <c r="A53" s="42" t="str">
        <f>+'1. 소켓인수검사'!A52</f>
        <v>83</v>
      </c>
      <c r="B53" s="43">
        <f>+'1. 소켓인수검사'!C52</f>
        <v>1000</v>
      </c>
      <c r="C53" s="43">
        <f>+'1. 소켓인수검사'!D52</f>
        <v>550</v>
      </c>
      <c r="D53" s="81" t="str">
        <f>+'1. 소켓인수검사'!B52</f>
        <v>HTG-064</v>
      </c>
      <c r="E53" s="59">
        <f t="shared" si="8"/>
        <v>0.55000000000000004</v>
      </c>
      <c r="F53" s="59">
        <f t="shared" si="9"/>
        <v>3.1</v>
      </c>
      <c r="G53" s="60">
        <f t="shared" si="10"/>
        <v>3.5</v>
      </c>
      <c r="H53" s="61">
        <v>1</v>
      </c>
      <c r="I53" s="61">
        <f t="shared" si="3"/>
        <v>3.5</v>
      </c>
      <c r="J53" s="91"/>
      <c r="K53" s="91"/>
      <c r="L53" s="91"/>
      <c r="M53" s="60">
        <v>1</v>
      </c>
      <c r="N53" s="125">
        <f>'2.1 재단(1.69,064)'!T51/2</f>
        <v>4</v>
      </c>
      <c r="O53" s="47"/>
      <c r="P53" s="90"/>
      <c r="Q53" s="90"/>
      <c r="R53" s="90"/>
      <c r="S53" s="60">
        <f t="shared" si="11"/>
        <v>3.6</v>
      </c>
      <c r="T53" s="62">
        <v>1</v>
      </c>
      <c r="U53" s="62">
        <f t="shared" si="5"/>
        <v>3.6</v>
      </c>
    </row>
    <row r="54" spans="1:21" ht="16.5" customHeight="1">
      <c r="A54" s="42" t="str">
        <f>+'1. 소켓인수검사'!A53</f>
        <v>84</v>
      </c>
      <c r="B54" s="43">
        <f>+'1. 소켓인수검사'!C53</f>
        <v>1000</v>
      </c>
      <c r="C54" s="43">
        <f>+'1. 소켓인수검사'!D53</f>
        <v>550</v>
      </c>
      <c r="D54" s="81" t="str">
        <f>+'1. 소켓인수검사'!B53</f>
        <v>HTG-064</v>
      </c>
      <c r="E54" s="59">
        <f t="shared" si="8"/>
        <v>0.55000000000000004</v>
      </c>
      <c r="F54" s="59">
        <f t="shared" si="9"/>
        <v>3.1</v>
      </c>
      <c r="G54" s="60">
        <f t="shared" si="10"/>
        <v>3.5</v>
      </c>
      <c r="H54" s="61">
        <v>1</v>
      </c>
      <c r="I54" s="61">
        <f t="shared" si="3"/>
        <v>3.5</v>
      </c>
      <c r="J54" s="91"/>
      <c r="K54" s="91"/>
      <c r="L54" s="91"/>
      <c r="M54" s="60">
        <v>1</v>
      </c>
      <c r="N54" s="125">
        <f>'2.1 재단(1.69,064)'!T52/2</f>
        <v>4</v>
      </c>
      <c r="O54" s="47"/>
      <c r="P54" s="90"/>
      <c r="Q54" s="90"/>
      <c r="R54" s="90"/>
      <c r="S54" s="60">
        <f t="shared" si="11"/>
        <v>3.6</v>
      </c>
      <c r="T54" s="62">
        <v>1</v>
      </c>
      <c r="U54" s="62">
        <f t="shared" si="5"/>
        <v>3.6</v>
      </c>
    </row>
    <row r="55" spans="1:21" ht="16.5" customHeight="1">
      <c r="A55" s="42" t="str">
        <f>+'1. 소켓인수검사'!A54</f>
        <v>85</v>
      </c>
      <c r="B55" s="43">
        <f>+'1. 소켓인수검사'!C54</f>
        <v>1000</v>
      </c>
      <c r="C55" s="43">
        <f>+'1. 소켓인수검사'!D54</f>
        <v>550</v>
      </c>
      <c r="D55" s="81" t="str">
        <f>+'1. 소켓인수검사'!B54</f>
        <v>HTG-064</v>
      </c>
      <c r="E55" s="59">
        <f t="shared" si="8"/>
        <v>0.55000000000000004</v>
      </c>
      <c r="F55" s="59">
        <f t="shared" si="9"/>
        <v>3.1</v>
      </c>
      <c r="G55" s="60">
        <f t="shared" si="10"/>
        <v>3.5</v>
      </c>
      <c r="H55" s="61">
        <v>1</v>
      </c>
      <c r="I55" s="61">
        <f t="shared" si="3"/>
        <v>3.5</v>
      </c>
      <c r="J55" s="91"/>
      <c r="K55" s="91"/>
      <c r="L55" s="91"/>
      <c r="M55" s="60">
        <v>1</v>
      </c>
      <c r="N55" s="125">
        <f>'2.1 재단(1.69,064)'!T53/2</f>
        <v>4</v>
      </c>
      <c r="O55" s="47"/>
      <c r="P55" s="90"/>
      <c r="Q55" s="90"/>
      <c r="R55" s="90"/>
      <c r="S55" s="60">
        <f t="shared" si="11"/>
        <v>3.6</v>
      </c>
      <c r="T55" s="62">
        <v>1</v>
      </c>
      <c r="U55" s="62">
        <f t="shared" si="5"/>
        <v>3.6</v>
      </c>
    </row>
    <row r="56" spans="1:21" ht="16.5" customHeight="1">
      <c r="A56" s="42" t="str">
        <f>+'1. 소켓인수검사'!A55</f>
        <v>86</v>
      </c>
      <c r="B56" s="43">
        <f>+'1. 소켓인수검사'!C55</f>
        <v>1000</v>
      </c>
      <c r="C56" s="43">
        <f>+'1. 소켓인수검사'!D55</f>
        <v>600</v>
      </c>
      <c r="D56" s="81" t="str">
        <f>+'1. 소켓인수검사'!B55</f>
        <v>HTG-064</v>
      </c>
      <c r="E56" s="59">
        <f t="shared" si="8"/>
        <v>0.6</v>
      </c>
      <c r="F56" s="59">
        <f t="shared" si="9"/>
        <v>3.2</v>
      </c>
      <c r="G56" s="60">
        <f t="shared" si="10"/>
        <v>3.6</v>
      </c>
      <c r="H56" s="61">
        <v>1</v>
      </c>
      <c r="I56" s="61">
        <f t="shared" si="3"/>
        <v>3.6</v>
      </c>
      <c r="J56" s="91"/>
      <c r="K56" s="91"/>
      <c r="L56" s="91"/>
      <c r="M56" s="60">
        <v>1</v>
      </c>
      <c r="N56" s="125">
        <f>'2.1 재단(1.69,064)'!T54/2</f>
        <v>4</v>
      </c>
      <c r="O56" s="47"/>
      <c r="P56" s="90"/>
      <c r="Q56" s="90"/>
      <c r="R56" s="90"/>
      <c r="S56" s="60">
        <f t="shared" si="11"/>
        <v>3.7</v>
      </c>
      <c r="T56" s="62">
        <v>1</v>
      </c>
      <c r="U56" s="62">
        <f t="shared" si="5"/>
        <v>3.7</v>
      </c>
    </row>
    <row r="57" spans="1:21" ht="16.5" customHeight="1">
      <c r="A57" s="42" t="str">
        <f>+'1. 소켓인수검사'!A56</f>
        <v>87</v>
      </c>
      <c r="B57" s="43">
        <f>+'1. 소켓인수검사'!C56</f>
        <v>1000</v>
      </c>
      <c r="C57" s="43">
        <f>+'1. 소켓인수검사'!D56</f>
        <v>600</v>
      </c>
      <c r="D57" s="81" t="str">
        <f>+'1. 소켓인수검사'!B56</f>
        <v>HTG-064</v>
      </c>
      <c r="E57" s="59">
        <f t="shared" si="8"/>
        <v>0.6</v>
      </c>
      <c r="F57" s="59">
        <f t="shared" si="9"/>
        <v>3.2</v>
      </c>
      <c r="G57" s="60">
        <f t="shared" si="10"/>
        <v>3.6</v>
      </c>
      <c r="H57" s="61">
        <v>1</v>
      </c>
      <c r="I57" s="61">
        <f t="shared" si="3"/>
        <v>3.6</v>
      </c>
      <c r="J57" s="91"/>
      <c r="K57" s="91"/>
      <c r="L57" s="91"/>
      <c r="M57" s="60">
        <v>1</v>
      </c>
      <c r="N57" s="125">
        <f>'2.1 재단(1.69,064)'!T55/2</f>
        <v>4</v>
      </c>
      <c r="O57" s="47"/>
      <c r="P57" s="90"/>
      <c r="Q57" s="90"/>
      <c r="R57" s="90"/>
      <c r="S57" s="60">
        <f t="shared" si="11"/>
        <v>3.7</v>
      </c>
      <c r="T57" s="62">
        <v>1</v>
      </c>
      <c r="U57" s="62">
        <f t="shared" si="5"/>
        <v>3.7</v>
      </c>
    </row>
    <row r="58" spans="1:21" ht="16.5" customHeight="1">
      <c r="A58" s="42" t="str">
        <f>+'1. 소켓인수검사'!A57</f>
        <v>88</v>
      </c>
      <c r="B58" s="43">
        <f>+'1. 소켓인수검사'!C57</f>
        <v>1000</v>
      </c>
      <c r="C58" s="43">
        <f>+'1. 소켓인수검사'!D57</f>
        <v>600</v>
      </c>
      <c r="D58" s="81" t="str">
        <f>+'1. 소켓인수검사'!B57</f>
        <v>HTG-064</v>
      </c>
      <c r="E58" s="59">
        <f t="shared" si="8"/>
        <v>0.6</v>
      </c>
      <c r="F58" s="59">
        <f t="shared" si="9"/>
        <v>3.2</v>
      </c>
      <c r="G58" s="60">
        <f t="shared" si="10"/>
        <v>3.6</v>
      </c>
      <c r="H58" s="61">
        <v>1</v>
      </c>
      <c r="I58" s="61">
        <f t="shared" si="3"/>
        <v>3.6</v>
      </c>
      <c r="J58" s="91"/>
      <c r="K58" s="91"/>
      <c r="L58" s="91"/>
      <c r="M58" s="60">
        <v>1</v>
      </c>
      <c r="N58" s="125">
        <f>'2.1 재단(1.69,064)'!T56/2</f>
        <v>4</v>
      </c>
      <c r="O58" s="47"/>
      <c r="P58" s="90"/>
      <c r="Q58" s="90"/>
      <c r="R58" s="90"/>
      <c r="S58" s="60">
        <f t="shared" si="11"/>
        <v>3.7</v>
      </c>
      <c r="T58" s="62">
        <v>1</v>
      </c>
      <c r="U58" s="62">
        <f t="shared" si="5"/>
        <v>3.7</v>
      </c>
    </row>
    <row r="59" spans="1:21" ht="20.25">
      <c r="A59" s="291" t="s">
        <v>25</v>
      </c>
      <c r="B59" s="292"/>
      <c r="C59" s="292"/>
      <c r="D59" s="292"/>
      <c r="E59" s="292"/>
      <c r="F59" s="292"/>
      <c r="G59" s="92"/>
      <c r="H59" s="92"/>
      <c r="I59" s="93">
        <f>SUM(I10:I58)</f>
        <v>145.79999999999998</v>
      </c>
      <c r="J59" s="92"/>
      <c r="K59" s="92"/>
      <c r="L59" s="93">
        <f>SUM(L10:L58)</f>
        <v>0</v>
      </c>
      <c r="M59" s="92"/>
      <c r="N59" s="94">
        <f>SUM(N10:N58)</f>
        <v>181</v>
      </c>
      <c r="O59" s="95"/>
      <c r="P59" s="92"/>
      <c r="Q59" s="92"/>
      <c r="R59" s="93">
        <f>SUM(R10:R58)</f>
        <v>0</v>
      </c>
      <c r="S59" s="96"/>
      <c r="T59" s="92"/>
      <c r="U59" s="93">
        <f>SUM(U10:U58)</f>
        <v>150.69999999999996</v>
      </c>
    </row>
    <row r="60" spans="1:21" ht="17.25" customHeight="1">
      <c r="A60" s="293" t="s">
        <v>53</v>
      </c>
      <c r="B60" s="293"/>
      <c r="C60" s="293"/>
      <c r="D60" s="293"/>
      <c r="E60" s="293"/>
      <c r="F60" s="293"/>
      <c r="G60" s="294">
        <f>I59/20</f>
        <v>7.2899999999999991</v>
      </c>
      <c r="H60" s="29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</row>
    <row r="61" spans="1:21" ht="17.25" customHeight="1">
      <c r="A61" s="293" t="s">
        <v>52</v>
      </c>
      <c r="B61" s="293"/>
      <c r="C61" s="293"/>
      <c r="D61" s="293"/>
      <c r="E61" s="293"/>
      <c r="F61" s="293"/>
      <c r="G61" s="294">
        <f>L59/20</f>
        <v>0</v>
      </c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</row>
    <row r="62" spans="1:21" ht="17.25" customHeight="1">
      <c r="A62" s="293" t="s">
        <v>51</v>
      </c>
      <c r="B62" s="293"/>
      <c r="C62" s="293"/>
      <c r="D62" s="293"/>
      <c r="E62" s="293"/>
      <c r="F62" s="293"/>
      <c r="G62" s="294">
        <f>R59/4.8</f>
        <v>0</v>
      </c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</row>
    <row r="63" spans="1:21" ht="17.25" customHeight="1">
      <c r="A63" s="293" t="s">
        <v>50</v>
      </c>
      <c r="B63" s="293"/>
      <c r="C63" s="293"/>
      <c r="D63" s="293"/>
      <c r="E63" s="293"/>
      <c r="F63" s="293"/>
      <c r="G63" s="294">
        <f>U59/3.6</f>
        <v>41.8611111111111</v>
      </c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</row>
    <row r="64" spans="1:21" ht="20.25" customHeight="1">
      <c r="A64" s="203" t="s">
        <v>7</v>
      </c>
      <c r="B64" s="203"/>
      <c r="C64" s="301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</row>
    <row r="65" spans="1:21" ht="20.25" customHeight="1">
      <c r="A65" s="203"/>
      <c r="B65" s="203"/>
      <c r="C65" s="301"/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</row>
  </sheetData>
  <mergeCells count="34">
    <mergeCell ref="A64:B65"/>
    <mergeCell ref="C64:U65"/>
    <mergeCell ref="A61:F61"/>
    <mergeCell ref="G61:U61"/>
    <mergeCell ref="A62:F62"/>
    <mergeCell ref="G62:U62"/>
    <mergeCell ref="A63:F63"/>
    <mergeCell ref="G63:U63"/>
    <mergeCell ref="J10:L39"/>
    <mergeCell ref="A59:F59"/>
    <mergeCell ref="A60:F60"/>
    <mergeCell ref="G60:U60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63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X8" sqref="X8:X55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316"/>
      <c r="B1" s="317"/>
      <c r="C1" s="317"/>
      <c r="D1" s="317"/>
      <c r="E1" s="106" t="s">
        <v>83</v>
      </c>
      <c r="F1" s="310" t="s">
        <v>84</v>
      </c>
      <c r="G1" s="310"/>
      <c r="H1" s="310"/>
      <c r="I1" s="310"/>
      <c r="J1" s="310" t="str">
        <f>'1. 소켓인수검사'!R1</f>
        <v>26.06.11 웰스홈_신승에프엔티_에이치제이종합건설_조선대학교 감염병 전문병원(입상)</v>
      </c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3"/>
    </row>
    <row r="2" spans="1:27" ht="16.5" customHeight="1">
      <c r="A2" s="318"/>
      <c r="B2" s="235"/>
      <c r="C2" s="235"/>
      <c r="D2" s="235"/>
      <c r="E2" s="105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4"/>
    </row>
    <row r="3" spans="1:27" ht="24" customHeight="1" thickBot="1">
      <c r="A3" s="319"/>
      <c r="B3" s="320"/>
      <c r="C3" s="320"/>
      <c r="D3" s="320"/>
      <c r="E3" s="107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2"/>
      <c r="Z3" s="312"/>
      <c r="AA3" s="315"/>
    </row>
    <row r="4" spans="1:27" ht="8.1" customHeight="1">
      <c r="A4" s="308"/>
      <c r="B4" s="309"/>
      <c r="C4" s="309"/>
      <c r="D4" s="309"/>
      <c r="E4" s="309"/>
      <c r="F4" s="309"/>
      <c r="G4" s="309"/>
      <c r="H4" s="308"/>
      <c r="I4" s="309"/>
      <c r="J4" s="309"/>
      <c r="K4" s="309"/>
      <c r="L4" s="309"/>
      <c r="M4" s="309"/>
      <c r="N4" s="309"/>
      <c r="O4" s="37"/>
      <c r="P4" s="37"/>
      <c r="Q4" s="37"/>
      <c r="S4" s="37"/>
      <c r="U4" s="37"/>
      <c r="W4" s="37"/>
      <c r="Y4" s="37"/>
      <c r="Z4" s="37"/>
      <c r="AA4" s="37"/>
    </row>
    <row r="5" spans="1:27" ht="16.5" customHeight="1">
      <c r="A5" s="321" t="s">
        <v>27</v>
      </c>
      <c r="B5" s="302" t="s">
        <v>32</v>
      </c>
      <c r="C5" s="302" t="s">
        <v>28</v>
      </c>
      <c r="D5" s="302" t="s">
        <v>16</v>
      </c>
      <c r="E5" s="302" t="s">
        <v>43</v>
      </c>
      <c r="F5" s="302" t="s">
        <v>29</v>
      </c>
      <c r="G5" s="302" t="s">
        <v>21</v>
      </c>
      <c r="H5" s="324" t="s">
        <v>37</v>
      </c>
      <c r="I5" s="302" t="s">
        <v>75</v>
      </c>
      <c r="J5" s="302"/>
      <c r="K5" s="302" t="s">
        <v>75</v>
      </c>
      <c r="L5" s="302"/>
      <c r="M5" s="302" t="s">
        <v>3</v>
      </c>
      <c r="N5" s="302"/>
      <c r="O5" s="302" t="s">
        <v>3</v>
      </c>
      <c r="P5" s="302"/>
      <c r="Q5" s="330" t="s">
        <v>74</v>
      </c>
      <c r="R5" s="330"/>
      <c r="S5" s="330" t="s">
        <v>58</v>
      </c>
      <c r="T5" s="330"/>
      <c r="U5" s="330" t="s">
        <v>57</v>
      </c>
      <c r="V5" s="330"/>
      <c r="W5" s="330" t="s">
        <v>73</v>
      </c>
      <c r="X5" s="330"/>
      <c r="Y5" s="328" t="s">
        <v>40</v>
      </c>
      <c r="Z5" s="328" t="s">
        <v>22</v>
      </c>
      <c r="AA5" s="326" t="s">
        <v>44</v>
      </c>
    </row>
    <row r="6" spans="1:27" ht="26.45" customHeight="1">
      <c r="A6" s="322"/>
      <c r="B6" s="323"/>
      <c r="C6" s="323"/>
      <c r="D6" s="323"/>
      <c r="E6" s="323"/>
      <c r="F6" s="323"/>
      <c r="G6" s="323"/>
      <c r="H6" s="325"/>
      <c r="I6" s="63" t="s">
        <v>15</v>
      </c>
      <c r="J6" s="64" t="s">
        <v>2</v>
      </c>
      <c r="K6" s="63" t="s">
        <v>60</v>
      </c>
      <c r="L6" s="64" t="s">
        <v>2</v>
      </c>
      <c r="M6" s="63" t="s">
        <v>77</v>
      </c>
      <c r="N6" s="64" t="s">
        <v>2</v>
      </c>
      <c r="O6" s="63" t="s">
        <v>49</v>
      </c>
      <c r="P6" s="64" t="s">
        <v>2</v>
      </c>
      <c r="Q6" s="63" t="s">
        <v>17</v>
      </c>
      <c r="R6" s="64" t="s">
        <v>30</v>
      </c>
      <c r="S6" s="63" t="s">
        <v>17</v>
      </c>
      <c r="T6" s="64" t="s">
        <v>30</v>
      </c>
      <c r="U6" s="63" t="s">
        <v>17</v>
      </c>
      <c r="V6" s="64" t="s">
        <v>30</v>
      </c>
      <c r="W6" s="63" t="s">
        <v>17</v>
      </c>
      <c r="X6" s="64" t="s">
        <v>30</v>
      </c>
      <c r="Y6" s="329"/>
      <c r="Z6" s="329"/>
      <c r="AA6" s="327"/>
    </row>
    <row r="7" spans="1:27">
      <c r="A7" s="65" t="str">
        <f>'1. 소켓인수검사'!A9</f>
        <v>40</v>
      </c>
      <c r="B7" s="66" t="str">
        <f>'1. 소켓인수검사'!B9</f>
        <v>HTG-064</v>
      </c>
      <c r="C7" s="47">
        <f>'1. 소켓인수검사'!C9</f>
        <v>350</v>
      </c>
      <c r="D7" s="47">
        <f>'1. 소켓인수검사'!D9</f>
        <v>250</v>
      </c>
      <c r="E7" s="51"/>
      <c r="F7" s="67">
        <f>C7*D7/1000000</f>
        <v>8.7499999999999994E-2</v>
      </c>
      <c r="G7" s="67">
        <f>(C7+D7)*2/1000</f>
        <v>1.2</v>
      </c>
      <c r="H7" s="68">
        <v>2</v>
      </c>
      <c r="I7" s="63">
        <f>(G7+0.4)</f>
        <v>1.6</v>
      </c>
      <c r="J7" s="64">
        <v>2</v>
      </c>
      <c r="K7" s="69"/>
      <c r="L7" s="69"/>
      <c r="M7" s="69"/>
      <c r="N7" s="69"/>
      <c r="O7" s="63">
        <f>G7+0.5</f>
        <v>1.7</v>
      </c>
      <c r="P7" s="64">
        <v>2</v>
      </c>
      <c r="Q7" s="126">
        <f>'2.1 재단(1.69,064)'!Z8</f>
        <v>2</v>
      </c>
      <c r="R7" s="64">
        <f>Q7*2</f>
        <v>4</v>
      </c>
      <c r="S7" s="126">
        <f>'2.1 재단(1.69,064)'!Z8</f>
        <v>2</v>
      </c>
      <c r="T7" s="64">
        <f>S7*2</f>
        <v>4</v>
      </c>
      <c r="U7" s="126">
        <f>'2.1 재단(1.69,064)'!T8/2</f>
        <v>2</v>
      </c>
      <c r="V7" s="64">
        <f>U7*2</f>
        <v>4</v>
      </c>
      <c r="W7" s="126">
        <f>'2.1 재단(1.69,064)'!T8/2</f>
        <v>2</v>
      </c>
      <c r="X7" s="64">
        <f>W7*2</f>
        <v>4</v>
      </c>
      <c r="Y7" s="70" t="s">
        <v>61</v>
      </c>
      <c r="Z7" s="71" t="s">
        <v>86</v>
      </c>
      <c r="AA7" s="72" t="str">
        <f>'1. 소켓인수검사'!G9</f>
        <v>옥탑층</v>
      </c>
    </row>
    <row r="8" spans="1:27">
      <c r="A8" s="65" t="str">
        <f>'1. 소켓인수검사'!A10</f>
        <v>41</v>
      </c>
      <c r="B8" s="66" t="str">
        <f>'1. 소켓인수검사'!B10</f>
        <v>HTG-064</v>
      </c>
      <c r="C8" s="47">
        <f>'1. 소켓인수검사'!C10</f>
        <v>450</v>
      </c>
      <c r="D8" s="47">
        <f>'1. 소켓인수검사'!D10</f>
        <v>300</v>
      </c>
      <c r="E8" s="51"/>
      <c r="F8" s="67">
        <f t="shared" ref="F8:F36" si="0">C8*D8/1000000</f>
        <v>0.13500000000000001</v>
      </c>
      <c r="G8" s="67">
        <f t="shared" ref="G8:G36" si="1">(C8+D8)*2/1000</f>
        <v>1.5</v>
      </c>
      <c r="H8" s="68">
        <v>2</v>
      </c>
      <c r="I8" s="63">
        <f>(G8+0.4)</f>
        <v>1.9</v>
      </c>
      <c r="J8" s="64">
        <v>2</v>
      </c>
      <c r="K8" s="69"/>
      <c r="L8" s="69"/>
      <c r="M8" s="69"/>
      <c r="N8" s="69"/>
      <c r="O8" s="63">
        <f t="shared" ref="O8:O36" si="2">I8+0.5</f>
        <v>2.4</v>
      </c>
      <c r="P8" s="64">
        <v>2</v>
      </c>
      <c r="Q8" s="126">
        <f>'2.1 재단(1.69,064)'!Z9</f>
        <v>3</v>
      </c>
      <c r="R8" s="64">
        <f>Q8*2</f>
        <v>6</v>
      </c>
      <c r="S8" s="126">
        <f>'2.1 재단(1.69,064)'!Z9</f>
        <v>3</v>
      </c>
      <c r="T8" s="64">
        <f>S8*2</f>
        <v>6</v>
      </c>
      <c r="U8" s="126">
        <f>'2.1 재단(1.69,064)'!T9/2</f>
        <v>2</v>
      </c>
      <c r="V8" s="64">
        <f>U8*2</f>
        <v>4</v>
      </c>
      <c r="W8" s="126">
        <f>'2.1 재단(1.69,064)'!T9/2</f>
        <v>2</v>
      </c>
      <c r="X8" s="64">
        <f>W8*2</f>
        <v>4</v>
      </c>
      <c r="Y8" s="70" t="s">
        <v>61</v>
      </c>
      <c r="Z8" s="71" t="s">
        <v>86</v>
      </c>
      <c r="AA8" s="72" t="str">
        <f>'1. 소켓인수검사'!G10</f>
        <v>지상7층</v>
      </c>
    </row>
    <row r="9" spans="1:27">
      <c r="A9" s="65" t="str">
        <f>'1. 소켓인수검사'!A11</f>
        <v>42</v>
      </c>
      <c r="B9" s="66" t="str">
        <f>'1. 소켓인수검사'!B11</f>
        <v>HTG-064</v>
      </c>
      <c r="C9" s="47">
        <f>'1. 소켓인수검사'!C11</f>
        <v>450</v>
      </c>
      <c r="D9" s="47">
        <f>'1. 소켓인수검사'!D11</f>
        <v>350</v>
      </c>
      <c r="E9" s="51"/>
      <c r="F9" s="67">
        <f t="shared" si="0"/>
        <v>0.1575</v>
      </c>
      <c r="G9" s="67">
        <f t="shared" si="1"/>
        <v>1.6</v>
      </c>
      <c r="H9" s="68">
        <v>2</v>
      </c>
      <c r="I9" s="63">
        <f>(G9+0.4)</f>
        <v>2</v>
      </c>
      <c r="J9" s="64">
        <v>2</v>
      </c>
      <c r="K9" s="69"/>
      <c r="L9" s="69"/>
      <c r="M9" s="69"/>
      <c r="N9" s="69"/>
      <c r="O9" s="63">
        <f t="shared" si="2"/>
        <v>2.5</v>
      </c>
      <c r="P9" s="64">
        <v>2</v>
      </c>
      <c r="Q9" s="126">
        <f>'2.1 재단(1.69,064)'!Z10</f>
        <v>3</v>
      </c>
      <c r="R9" s="64">
        <f t="shared" ref="R9:R55" si="3">Q9*2</f>
        <v>6</v>
      </c>
      <c r="S9" s="126">
        <f>'2.1 재단(1.69,064)'!Z10</f>
        <v>3</v>
      </c>
      <c r="T9" s="64">
        <f t="shared" ref="T9:T55" si="4">S9*2</f>
        <v>6</v>
      </c>
      <c r="U9" s="126">
        <f>'2.1 재단(1.69,064)'!T10/2</f>
        <v>3</v>
      </c>
      <c r="V9" s="64">
        <f t="shared" ref="V9:V55" si="5">U9*2</f>
        <v>6</v>
      </c>
      <c r="W9" s="126">
        <f>'2.1 재단(1.69,064)'!T10/2</f>
        <v>3</v>
      </c>
      <c r="X9" s="64">
        <f t="shared" ref="X9:X55" si="6">W9*2</f>
        <v>6</v>
      </c>
      <c r="Y9" s="70" t="s">
        <v>61</v>
      </c>
      <c r="Z9" s="71" t="s">
        <v>86</v>
      </c>
      <c r="AA9" s="72" t="str">
        <f>'1. 소켓인수검사'!G11</f>
        <v>지상7층</v>
      </c>
    </row>
    <row r="10" spans="1:27">
      <c r="A10" s="65" t="str">
        <f>'1. 소켓인수검사'!A12</f>
        <v>43</v>
      </c>
      <c r="B10" s="66" t="str">
        <f>'1. 소켓인수검사'!B12</f>
        <v>HTG-064</v>
      </c>
      <c r="C10" s="47">
        <f>'1. 소켓인수검사'!C12</f>
        <v>450</v>
      </c>
      <c r="D10" s="47">
        <f>'1. 소켓인수검사'!D12</f>
        <v>350</v>
      </c>
      <c r="E10" s="51"/>
      <c r="F10" s="67">
        <f t="shared" si="0"/>
        <v>0.1575</v>
      </c>
      <c r="G10" s="67">
        <f t="shared" si="1"/>
        <v>1.6</v>
      </c>
      <c r="H10" s="68">
        <v>2</v>
      </c>
      <c r="I10" s="63">
        <f t="shared" ref="I10:I36" si="7">(G10+0.4)</f>
        <v>2</v>
      </c>
      <c r="J10" s="64">
        <v>2</v>
      </c>
      <c r="K10" s="69"/>
      <c r="L10" s="69"/>
      <c r="M10" s="69"/>
      <c r="N10" s="69"/>
      <c r="O10" s="63">
        <f t="shared" si="2"/>
        <v>2.5</v>
      </c>
      <c r="P10" s="64">
        <v>2</v>
      </c>
      <c r="Q10" s="126">
        <f>'2.1 재단(1.69,064)'!Z11</f>
        <v>3</v>
      </c>
      <c r="R10" s="64">
        <f t="shared" si="3"/>
        <v>6</v>
      </c>
      <c r="S10" s="126">
        <f>'2.1 재단(1.69,064)'!Z11</f>
        <v>3</v>
      </c>
      <c r="T10" s="64">
        <f t="shared" si="4"/>
        <v>6</v>
      </c>
      <c r="U10" s="126">
        <f>'2.1 재단(1.69,064)'!T11/2</f>
        <v>3</v>
      </c>
      <c r="V10" s="64">
        <f t="shared" si="5"/>
        <v>6</v>
      </c>
      <c r="W10" s="126">
        <f>'2.1 재단(1.69,064)'!T11/2</f>
        <v>3</v>
      </c>
      <c r="X10" s="64">
        <f t="shared" si="6"/>
        <v>6</v>
      </c>
      <c r="Y10" s="70" t="s">
        <v>61</v>
      </c>
      <c r="Z10" s="71" t="s">
        <v>86</v>
      </c>
      <c r="AA10" s="72" t="str">
        <f>'1. 소켓인수검사'!G12</f>
        <v>옥탑층</v>
      </c>
    </row>
    <row r="11" spans="1:27">
      <c r="A11" s="65" t="str">
        <f>'1. 소켓인수검사'!A13</f>
        <v>44</v>
      </c>
      <c r="B11" s="66" t="str">
        <f>'1. 소켓인수검사'!B13</f>
        <v>HTG-064</v>
      </c>
      <c r="C11" s="47">
        <f>'1. 소켓인수검사'!C13</f>
        <v>500</v>
      </c>
      <c r="D11" s="47">
        <f>'1. 소켓인수검사'!D13</f>
        <v>500</v>
      </c>
      <c r="E11" s="51"/>
      <c r="F11" s="67">
        <f t="shared" si="0"/>
        <v>0.25</v>
      </c>
      <c r="G11" s="67">
        <f t="shared" si="1"/>
        <v>2</v>
      </c>
      <c r="H11" s="68">
        <v>2</v>
      </c>
      <c r="I11" s="63">
        <f t="shared" si="7"/>
        <v>2.4</v>
      </c>
      <c r="J11" s="64">
        <v>2</v>
      </c>
      <c r="K11" s="69"/>
      <c r="L11" s="69"/>
      <c r="M11" s="69"/>
      <c r="N11" s="69"/>
      <c r="O11" s="63">
        <f t="shared" si="2"/>
        <v>2.9</v>
      </c>
      <c r="P11" s="64">
        <v>2</v>
      </c>
      <c r="Q11" s="126">
        <f>'2.1 재단(1.69,064)'!Z12</f>
        <v>3</v>
      </c>
      <c r="R11" s="64">
        <f t="shared" si="3"/>
        <v>6</v>
      </c>
      <c r="S11" s="126">
        <f>'2.1 재단(1.69,064)'!Z12</f>
        <v>3</v>
      </c>
      <c r="T11" s="64">
        <f t="shared" si="4"/>
        <v>6</v>
      </c>
      <c r="U11" s="126">
        <f>'2.1 재단(1.69,064)'!T12/2</f>
        <v>3</v>
      </c>
      <c r="V11" s="64">
        <f t="shared" si="5"/>
        <v>6</v>
      </c>
      <c r="W11" s="126">
        <f>'2.1 재단(1.69,064)'!T12/2</f>
        <v>3</v>
      </c>
      <c r="X11" s="64">
        <f t="shared" si="6"/>
        <v>6</v>
      </c>
      <c r="Y11" s="70" t="s">
        <v>61</v>
      </c>
      <c r="Z11" s="71" t="s">
        <v>86</v>
      </c>
      <c r="AA11" s="72" t="str">
        <f>'1. 소켓인수검사'!G13</f>
        <v>옥탑층</v>
      </c>
    </row>
    <row r="12" spans="1:27">
      <c r="A12" s="65" t="str">
        <f>'1. 소켓인수검사'!A14</f>
        <v>45</v>
      </c>
      <c r="B12" s="66" t="str">
        <f>'1. 소켓인수검사'!B14</f>
        <v>HTG-064</v>
      </c>
      <c r="C12" s="47">
        <f>'1. 소켓인수검사'!C14</f>
        <v>550</v>
      </c>
      <c r="D12" s="47">
        <f>'1. 소켓인수검사'!D14</f>
        <v>350</v>
      </c>
      <c r="E12" s="51"/>
      <c r="F12" s="67">
        <f t="shared" si="0"/>
        <v>0.1925</v>
      </c>
      <c r="G12" s="67">
        <f t="shared" si="1"/>
        <v>1.8</v>
      </c>
      <c r="H12" s="68">
        <v>2</v>
      </c>
      <c r="I12" s="63">
        <f t="shared" si="7"/>
        <v>2.2000000000000002</v>
      </c>
      <c r="J12" s="64">
        <v>2</v>
      </c>
      <c r="K12" s="69"/>
      <c r="L12" s="69"/>
      <c r="M12" s="69"/>
      <c r="N12" s="69"/>
      <c r="O12" s="63">
        <f t="shared" si="2"/>
        <v>2.7</v>
      </c>
      <c r="P12" s="64">
        <v>2</v>
      </c>
      <c r="Q12" s="126">
        <f>'2.1 재단(1.69,064)'!Z13</f>
        <v>3</v>
      </c>
      <c r="R12" s="64">
        <f t="shared" si="3"/>
        <v>6</v>
      </c>
      <c r="S12" s="126">
        <f>'2.1 재단(1.69,064)'!Z13</f>
        <v>3</v>
      </c>
      <c r="T12" s="64">
        <f t="shared" si="4"/>
        <v>6</v>
      </c>
      <c r="U12" s="126">
        <f>'2.1 재단(1.69,064)'!T13/2</f>
        <v>3</v>
      </c>
      <c r="V12" s="64">
        <f t="shared" si="5"/>
        <v>6</v>
      </c>
      <c r="W12" s="126">
        <f>'2.1 재단(1.69,064)'!T13/2</f>
        <v>3</v>
      </c>
      <c r="X12" s="64">
        <f t="shared" si="6"/>
        <v>6</v>
      </c>
      <c r="Y12" s="70" t="s">
        <v>61</v>
      </c>
      <c r="Z12" s="71" t="s">
        <v>86</v>
      </c>
      <c r="AA12" s="72" t="str">
        <f>'1. 소켓인수검사'!G14</f>
        <v>지상7층</v>
      </c>
    </row>
    <row r="13" spans="1:27">
      <c r="A13" s="65" t="str">
        <f>'1. 소켓인수검사'!A15</f>
        <v>46</v>
      </c>
      <c r="B13" s="66" t="str">
        <f>'1. 소켓인수검사'!B15</f>
        <v>HTG-064</v>
      </c>
      <c r="C13" s="47">
        <f>'1. 소켓인수검사'!C15</f>
        <v>550</v>
      </c>
      <c r="D13" s="47">
        <f>'1. 소켓인수검사'!D15</f>
        <v>350</v>
      </c>
      <c r="E13" s="51"/>
      <c r="F13" s="67">
        <f t="shared" si="0"/>
        <v>0.1925</v>
      </c>
      <c r="G13" s="67">
        <f t="shared" si="1"/>
        <v>1.8</v>
      </c>
      <c r="H13" s="68">
        <v>2</v>
      </c>
      <c r="I13" s="63">
        <f t="shared" si="7"/>
        <v>2.2000000000000002</v>
      </c>
      <c r="J13" s="64">
        <v>2</v>
      </c>
      <c r="K13" s="69"/>
      <c r="L13" s="69"/>
      <c r="M13" s="69"/>
      <c r="N13" s="69"/>
      <c r="O13" s="63">
        <f t="shared" si="2"/>
        <v>2.7</v>
      </c>
      <c r="P13" s="64">
        <v>2</v>
      </c>
      <c r="Q13" s="126">
        <f>'2.1 재단(1.69,064)'!Z14</f>
        <v>3</v>
      </c>
      <c r="R13" s="64">
        <f t="shared" si="3"/>
        <v>6</v>
      </c>
      <c r="S13" s="126">
        <f>'2.1 재단(1.69,064)'!Z14</f>
        <v>3</v>
      </c>
      <c r="T13" s="64">
        <f t="shared" si="4"/>
        <v>6</v>
      </c>
      <c r="U13" s="126">
        <f>'2.1 재단(1.69,064)'!T14/2</f>
        <v>3</v>
      </c>
      <c r="V13" s="64">
        <f t="shared" si="5"/>
        <v>6</v>
      </c>
      <c r="W13" s="126">
        <f>'2.1 재단(1.69,064)'!T14/2</f>
        <v>3</v>
      </c>
      <c r="X13" s="64">
        <f t="shared" si="6"/>
        <v>6</v>
      </c>
      <c r="Y13" s="70" t="s">
        <v>61</v>
      </c>
      <c r="Z13" s="71" t="s">
        <v>86</v>
      </c>
      <c r="AA13" s="72" t="str">
        <f>'1. 소켓인수검사'!G15</f>
        <v>옥탑층</v>
      </c>
    </row>
    <row r="14" spans="1:27">
      <c r="A14" s="65" t="str">
        <f>'1. 소켓인수검사'!A16</f>
        <v>47</v>
      </c>
      <c r="B14" s="66" t="str">
        <f>'1. 소켓인수검사'!B16</f>
        <v>HTG-064</v>
      </c>
      <c r="C14" s="47">
        <f>'1. 소켓인수검사'!C16</f>
        <v>600</v>
      </c>
      <c r="D14" s="47">
        <f>'1. 소켓인수검사'!D16</f>
        <v>300</v>
      </c>
      <c r="E14" s="51"/>
      <c r="F14" s="67">
        <f t="shared" si="0"/>
        <v>0.18</v>
      </c>
      <c r="G14" s="67">
        <f t="shared" si="1"/>
        <v>1.8</v>
      </c>
      <c r="H14" s="68">
        <v>2</v>
      </c>
      <c r="I14" s="63">
        <f t="shared" si="7"/>
        <v>2.2000000000000002</v>
      </c>
      <c r="J14" s="64">
        <v>2</v>
      </c>
      <c r="K14" s="69"/>
      <c r="L14" s="69"/>
      <c r="M14" s="69"/>
      <c r="N14" s="69"/>
      <c r="O14" s="63">
        <f t="shared" si="2"/>
        <v>2.7</v>
      </c>
      <c r="P14" s="64">
        <v>2</v>
      </c>
      <c r="Q14" s="126">
        <f>'2.1 재단(1.69,064)'!Z15</f>
        <v>3</v>
      </c>
      <c r="R14" s="64">
        <f t="shared" si="3"/>
        <v>6</v>
      </c>
      <c r="S14" s="126">
        <f>'2.1 재단(1.69,064)'!Z15</f>
        <v>3</v>
      </c>
      <c r="T14" s="64">
        <f t="shared" si="4"/>
        <v>6</v>
      </c>
      <c r="U14" s="126">
        <f>'2.1 재단(1.69,064)'!T15/2</f>
        <v>3</v>
      </c>
      <c r="V14" s="64">
        <f t="shared" si="5"/>
        <v>6</v>
      </c>
      <c r="W14" s="126">
        <f>'2.1 재단(1.69,064)'!T15/2</f>
        <v>3</v>
      </c>
      <c r="X14" s="64">
        <f t="shared" si="6"/>
        <v>6</v>
      </c>
      <c r="Y14" s="70" t="s">
        <v>61</v>
      </c>
      <c r="Z14" s="71" t="s">
        <v>86</v>
      </c>
      <c r="AA14" s="72" t="str">
        <f>'1. 소켓인수검사'!G16</f>
        <v>지상7층</v>
      </c>
    </row>
    <row r="15" spans="1:27">
      <c r="A15" s="65" t="str">
        <f>'1. 소켓인수검사'!A17</f>
        <v>48</v>
      </c>
      <c r="B15" s="73" t="str">
        <f>'1. 소켓인수검사'!B17</f>
        <v>HTG-064</v>
      </c>
      <c r="C15" s="50">
        <f>'1. 소켓인수검사'!C17</f>
        <v>600</v>
      </c>
      <c r="D15" s="50">
        <f>'1. 소켓인수검사'!D17</f>
        <v>300</v>
      </c>
      <c r="E15" s="51"/>
      <c r="F15" s="67">
        <f t="shared" si="0"/>
        <v>0.18</v>
      </c>
      <c r="G15" s="67">
        <f t="shared" si="1"/>
        <v>1.8</v>
      </c>
      <c r="H15" s="68">
        <v>2</v>
      </c>
      <c r="I15" s="63">
        <f t="shared" si="7"/>
        <v>2.2000000000000002</v>
      </c>
      <c r="J15" s="64">
        <v>2</v>
      </c>
      <c r="K15" s="69"/>
      <c r="L15" s="69"/>
      <c r="M15" s="74"/>
      <c r="N15" s="69"/>
      <c r="O15" s="63">
        <f t="shared" si="2"/>
        <v>2.7</v>
      </c>
      <c r="P15" s="64">
        <v>2</v>
      </c>
      <c r="Q15" s="126">
        <f>'2.1 재단(1.69,064)'!Z16</f>
        <v>3</v>
      </c>
      <c r="R15" s="64">
        <f t="shared" si="3"/>
        <v>6</v>
      </c>
      <c r="S15" s="126">
        <f>'2.1 재단(1.69,064)'!Z16</f>
        <v>3</v>
      </c>
      <c r="T15" s="64">
        <f t="shared" si="4"/>
        <v>6</v>
      </c>
      <c r="U15" s="126">
        <f>'2.1 재단(1.69,064)'!T16/2</f>
        <v>3</v>
      </c>
      <c r="V15" s="64">
        <f t="shared" si="5"/>
        <v>6</v>
      </c>
      <c r="W15" s="126">
        <f>'2.1 재단(1.69,064)'!T16/2</f>
        <v>3</v>
      </c>
      <c r="X15" s="64">
        <f t="shared" si="6"/>
        <v>6</v>
      </c>
      <c r="Y15" s="70" t="s">
        <v>61</v>
      </c>
      <c r="Z15" s="71" t="s">
        <v>86</v>
      </c>
      <c r="AA15" s="72" t="str">
        <f>'1. 소켓인수검사'!G17</f>
        <v>옥탑층</v>
      </c>
    </row>
    <row r="16" spans="1:27">
      <c r="A16" s="65" t="str">
        <f>'1. 소켓인수검사'!A18</f>
        <v>49</v>
      </c>
      <c r="B16" s="73" t="str">
        <f>'1. 소켓인수검사'!B18</f>
        <v>HTG-064</v>
      </c>
      <c r="C16" s="50">
        <f>'1. 소켓인수검사'!C18</f>
        <v>600</v>
      </c>
      <c r="D16" s="50">
        <f>'1. 소켓인수검사'!D18</f>
        <v>450</v>
      </c>
      <c r="E16" s="51"/>
      <c r="F16" s="67">
        <f t="shared" si="0"/>
        <v>0.27</v>
      </c>
      <c r="G16" s="67">
        <f t="shared" si="1"/>
        <v>2.1</v>
      </c>
      <c r="H16" s="68">
        <v>2</v>
      </c>
      <c r="I16" s="63">
        <f t="shared" si="7"/>
        <v>2.5</v>
      </c>
      <c r="J16" s="64">
        <v>2</v>
      </c>
      <c r="K16" s="69"/>
      <c r="L16" s="69"/>
      <c r="M16" s="74"/>
      <c r="N16" s="69"/>
      <c r="O16" s="63">
        <f t="shared" si="2"/>
        <v>3</v>
      </c>
      <c r="P16" s="64">
        <v>2</v>
      </c>
      <c r="Q16" s="126">
        <f>'2.1 재단(1.69,064)'!Z17</f>
        <v>3</v>
      </c>
      <c r="R16" s="64">
        <f t="shared" si="3"/>
        <v>6</v>
      </c>
      <c r="S16" s="126">
        <f>'2.1 재단(1.69,064)'!Z17</f>
        <v>3</v>
      </c>
      <c r="T16" s="64">
        <f t="shared" si="4"/>
        <v>6</v>
      </c>
      <c r="U16" s="126">
        <f>'2.1 재단(1.69,064)'!T17/2</f>
        <v>3</v>
      </c>
      <c r="V16" s="64">
        <f t="shared" si="5"/>
        <v>6</v>
      </c>
      <c r="W16" s="126">
        <f>'2.1 재단(1.69,064)'!T17/2</f>
        <v>3</v>
      </c>
      <c r="X16" s="64">
        <f t="shared" si="6"/>
        <v>6</v>
      </c>
      <c r="Y16" s="70" t="s">
        <v>61</v>
      </c>
      <c r="Z16" s="71" t="s">
        <v>86</v>
      </c>
      <c r="AA16" s="72" t="str">
        <f>'1. 소켓인수검사'!G18</f>
        <v>지상7층</v>
      </c>
    </row>
    <row r="17" spans="1:27">
      <c r="A17" s="65" t="str">
        <f>'1. 소켓인수검사'!A19</f>
        <v>50</v>
      </c>
      <c r="B17" s="73" t="str">
        <f>'1. 소켓인수검사'!B19</f>
        <v>HTG-064</v>
      </c>
      <c r="C17" s="50">
        <f>'1. 소켓인수검사'!C19</f>
        <v>600</v>
      </c>
      <c r="D17" s="50">
        <f>'1. 소켓인수검사'!D19</f>
        <v>600</v>
      </c>
      <c r="E17" s="51"/>
      <c r="F17" s="67">
        <f t="shared" si="0"/>
        <v>0.36</v>
      </c>
      <c r="G17" s="67">
        <f t="shared" si="1"/>
        <v>2.4</v>
      </c>
      <c r="H17" s="68">
        <v>2</v>
      </c>
      <c r="I17" s="63">
        <f t="shared" si="7"/>
        <v>2.8</v>
      </c>
      <c r="J17" s="64">
        <v>2</v>
      </c>
      <c r="K17" s="69"/>
      <c r="L17" s="69"/>
      <c r="M17" s="74"/>
      <c r="N17" s="69"/>
      <c r="O17" s="63">
        <f t="shared" si="2"/>
        <v>3.3</v>
      </c>
      <c r="P17" s="64">
        <v>2</v>
      </c>
      <c r="Q17" s="126">
        <f>'2.1 재단(1.69,064)'!Z18</f>
        <v>4</v>
      </c>
      <c r="R17" s="64">
        <f t="shared" si="3"/>
        <v>8</v>
      </c>
      <c r="S17" s="126">
        <f>'2.1 재단(1.69,064)'!Z18</f>
        <v>4</v>
      </c>
      <c r="T17" s="64">
        <f t="shared" si="4"/>
        <v>8</v>
      </c>
      <c r="U17" s="126">
        <f>'2.1 재단(1.69,064)'!T18/2</f>
        <v>3</v>
      </c>
      <c r="V17" s="64">
        <f t="shared" si="5"/>
        <v>6</v>
      </c>
      <c r="W17" s="126">
        <f>'2.1 재단(1.69,064)'!T18/2</f>
        <v>3</v>
      </c>
      <c r="X17" s="64">
        <f t="shared" si="6"/>
        <v>6</v>
      </c>
      <c r="Y17" s="70" t="s">
        <v>61</v>
      </c>
      <c r="Z17" s="71" t="s">
        <v>86</v>
      </c>
      <c r="AA17" s="72" t="str">
        <f>'1. 소켓인수검사'!G19</f>
        <v>지상7층</v>
      </c>
    </row>
    <row r="18" spans="1:27">
      <c r="A18" s="65" t="str">
        <f>'1. 소켓인수검사'!A20</f>
        <v>51</v>
      </c>
      <c r="B18" s="73" t="str">
        <f>'1. 소켓인수검사'!B20</f>
        <v>HTG-064</v>
      </c>
      <c r="C18" s="50">
        <f>'1. 소켓인수검사'!C20</f>
        <v>700</v>
      </c>
      <c r="D18" s="50">
        <f>'1. 소켓인수검사'!D20</f>
        <v>600</v>
      </c>
      <c r="E18" s="51"/>
      <c r="F18" s="67">
        <f t="shared" si="0"/>
        <v>0.42</v>
      </c>
      <c r="G18" s="67">
        <f t="shared" si="1"/>
        <v>2.6</v>
      </c>
      <c r="H18" s="68">
        <v>2</v>
      </c>
      <c r="I18" s="63">
        <f t="shared" si="7"/>
        <v>3</v>
      </c>
      <c r="J18" s="64">
        <v>2</v>
      </c>
      <c r="K18" s="69"/>
      <c r="L18" s="69"/>
      <c r="M18" s="74"/>
      <c r="N18" s="69"/>
      <c r="O18" s="63">
        <f t="shared" si="2"/>
        <v>3.5</v>
      </c>
      <c r="P18" s="64">
        <v>2</v>
      </c>
      <c r="Q18" s="126">
        <f>'2.1 재단(1.69,064)'!Z19</f>
        <v>4</v>
      </c>
      <c r="R18" s="64">
        <f t="shared" si="3"/>
        <v>8</v>
      </c>
      <c r="S18" s="126">
        <f>'2.1 재단(1.69,064)'!Z19</f>
        <v>4</v>
      </c>
      <c r="T18" s="64">
        <f t="shared" si="4"/>
        <v>8</v>
      </c>
      <c r="U18" s="126">
        <f>'2.1 재단(1.69,064)'!T19/2</f>
        <v>4</v>
      </c>
      <c r="V18" s="64">
        <f t="shared" si="5"/>
        <v>8</v>
      </c>
      <c r="W18" s="126">
        <f>'2.1 재단(1.69,064)'!T19/2</f>
        <v>4</v>
      </c>
      <c r="X18" s="64">
        <f t="shared" si="6"/>
        <v>8</v>
      </c>
      <c r="Y18" s="70" t="s">
        <v>61</v>
      </c>
      <c r="Z18" s="71" t="s">
        <v>86</v>
      </c>
      <c r="AA18" s="72" t="str">
        <f>'1. 소켓인수검사'!G20</f>
        <v>옥탑층</v>
      </c>
    </row>
    <row r="19" spans="1:27">
      <c r="A19" s="65" t="str">
        <f>'1. 소켓인수검사'!A21</f>
        <v>52</v>
      </c>
      <c r="B19" s="73" t="str">
        <f>'1. 소켓인수검사'!B21</f>
        <v>HTG-064</v>
      </c>
      <c r="C19" s="50">
        <f>'1. 소켓인수검사'!C21</f>
        <v>700</v>
      </c>
      <c r="D19" s="50">
        <f>'1. 소켓인수검사'!D21</f>
        <v>600</v>
      </c>
      <c r="E19" s="51"/>
      <c r="F19" s="67">
        <f t="shared" si="0"/>
        <v>0.42</v>
      </c>
      <c r="G19" s="67">
        <f t="shared" si="1"/>
        <v>2.6</v>
      </c>
      <c r="H19" s="68">
        <v>2</v>
      </c>
      <c r="I19" s="63">
        <f t="shared" si="7"/>
        <v>3</v>
      </c>
      <c r="J19" s="64">
        <v>2</v>
      </c>
      <c r="K19" s="69"/>
      <c r="L19" s="69"/>
      <c r="M19" s="74"/>
      <c r="N19" s="69"/>
      <c r="O19" s="63">
        <f t="shared" si="2"/>
        <v>3.5</v>
      </c>
      <c r="P19" s="64">
        <v>2</v>
      </c>
      <c r="Q19" s="126">
        <f>'2.1 재단(1.69,064)'!Z20</f>
        <v>4</v>
      </c>
      <c r="R19" s="64">
        <f t="shared" si="3"/>
        <v>8</v>
      </c>
      <c r="S19" s="126">
        <f>'2.1 재단(1.69,064)'!Z20</f>
        <v>4</v>
      </c>
      <c r="T19" s="64">
        <f t="shared" si="4"/>
        <v>8</v>
      </c>
      <c r="U19" s="126">
        <f>'2.1 재단(1.69,064)'!T20/2</f>
        <v>4</v>
      </c>
      <c r="V19" s="64">
        <f t="shared" si="5"/>
        <v>8</v>
      </c>
      <c r="W19" s="126">
        <f>'2.1 재단(1.69,064)'!T20/2</f>
        <v>4</v>
      </c>
      <c r="X19" s="64">
        <f t="shared" si="6"/>
        <v>8</v>
      </c>
      <c r="Y19" s="70" t="s">
        <v>61</v>
      </c>
      <c r="Z19" s="71" t="s">
        <v>86</v>
      </c>
      <c r="AA19" s="72" t="str">
        <f>'1. 소켓인수검사'!G21</f>
        <v>지상7층</v>
      </c>
    </row>
    <row r="20" spans="1:27">
      <c r="A20" s="65" t="str">
        <f>'1. 소켓인수검사'!A22</f>
        <v>53</v>
      </c>
      <c r="B20" s="73" t="str">
        <f>'1. 소켓인수검사'!B22</f>
        <v>HTG-064</v>
      </c>
      <c r="C20" s="50">
        <f>'1. 소켓인수검사'!C22</f>
        <v>700</v>
      </c>
      <c r="D20" s="50">
        <f>'1. 소켓인수검사'!D22</f>
        <v>650</v>
      </c>
      <c r="E20" s="51"/>
      <c r="F20" s="67">
        <f t="shared" si="0"/>
        <v>0.45500000000000002</v>
      </c>
      <c r="G20" s="67">
        <f t="shared" si="1"/>
        <v>2.7</v>
      </c>
      <c r="H20" s="68">
        <v>2</v>
      </c>
      <c r="I20" s="63">
        <f t="shared" si="7"/>
        <v>3.1</v>
      </c>
      <c r="J20" s="64">
        <v>2</v>
      </c>
      <c r="K20" s="69"/>
      <c r="L20" s="69"/>
      <c r="M20" s="74"/>
      <c r="N20" s="69"/>
      <c r="O20" s="63">
        <f t="shared" si="2"/>
        <v>3.6</v>
      </c>
      <c r="P20" s="64">
        <v>2</v>
      </c>
      <c r="Q20" s="126">
        <f>'2.1 재단(1.69,064)'!Z21</f>
        <v>4</v>
      </c>
      <c r="R20" s="64">
        <f t="shared" si="3"/>
        <v>8</v>
      </c>
      <c r="S20" s="126">
        <f>'2.1 재단(1.69,064)'!Z21</f>
        <v>4</v>
      </c>
      <c r="T20" s="64">
        <f t="shared" si="4"/>
        <v>8</v>
      </c>
      <c r="U20" s="126">
        <f>'2.1 재단(1.69,064)'!T21/2</f>
        <v>4</v>
      </c>
      <c r="V20" s="64">
        <f t="shared" si="5"/>
        <v>8</v>
      </c>
      <c r="W20" s="126">
        <f>'2.1 재단(1.69,064)'!T21/2</f>
        <v>4</v>
      </c>
      <c r="X20" s="64">
        <f t="shared" si="6"/>
        <v>8</v>
      </c>
      <c r="Y20" s="70" t="s">
        <v>61</v>
      </c>
      <c r="Z20" s="71" t="s">
        <v>86</v>
      </c>
      <c r="AA20" s="72" t="str">
        <f>'1. 소켓인수검사'!G22</f>
        <v>지상7층</v>
      </c>
    </row>
    <row r="21" spans="1:27">
      <c r="A21" s="65" t="str">
        <f>'1. 소켓인수검사'!A23</f>
        <v>54</v>
      </c>
      <c r="B21" s="73" t="str">
        <f>'1. 소켓인수검사'!B23</f>
        <v>HTG-064</v>
      </c>
      <c r="C21" s="50">
        <f>'1. 소켓인수검사'!C23</f>
        <v>700</v>
      </c>
      <c r="D21" s="50">
        <f>'1. 소켓인수검사'!D23</f>
        <v>650</v>
      </c>
      <c r="E21" s="51"/>
      <c r="F21" s="67">
        <f t="shared" si="0"/>
        <v>0.45500000000000002</v>
      </c>
      <c r="G21" s="67">
        <f t="shared" si="1"/>
        <v>2.7</v>
      </c>
      <c r="H21" s="68">
        <v>2</v>
      </c>
      <c r="I21" s="63">
        <f t="shared" si="7"/>
        <v>3.1</v>
      </c>
      <c r="J21" s="64">
        <v>2</v>
      </c>
      <c r="K21" s="69"/>
      <c r="L21" s="69"/>
      <c r="M21" s="74"/>
      <c r="N21" s="69"/>
      <c r="O21" s="63">
        <f t="shared" si="2"/>
        <v>3.6</v>
      </c>
      <c r="P21" s="64">
        <v>2</v>
      </c>
      <c r="Q21" s="126">
        <f>'2.1 재단(1.69,064)'!Z22</f>
        <v>4</v>
      </c>
      <c r="R21" s="64">
        <f t="shared" si="3"/>
        <v>8</v>
      </c>
      <c r="S21" s="126">
        <f>'2.1 재단(1.69,064)'!Z22</f>
        <v>4</v>
      </c>
      <c r="T21" s="64">
        <f t="shared" si="4"/>
        <v>8</v>
      </c>
      <c r="U21" s="126">
        <f>'2.1 재단(1.69,064)'!T22/2</f>
        <v>4</v>
      </c>
      <c r="V21" s="64">
        <f t="shared" si="5"/>
        <v>8</v>
      </c>
      <c r="W21" s="126">
        <f>'2.1 재단(1.69,064)'!T22/2</f>
        <v>4</v>
      </c>
      <c r="X21" s="64">
        <f t="shared" si="6"/>
        <v>8</v>
      </c>
      <c r="Y21" s="70" t="s">
        <v>61</v>
      </c>
      <c r="Z21" s="71" t="s">
        <v>86</v>
      </c>
      <c r="AA21" s="72" t="str">
        <f>'1. 소켓인수검사'!G23</f>
        <v>지상7층</v>
      </c>
    </row>
    <row r="22" spans="1:27">
      <c r="A22" s="65" t="str">
        <f>'1. 소켓인수검사'!A24</f>
        <v>55</v>
      </c>
      <c r="B22" s="73" t="str">
        <f>'1. 소켓인수검사'!B24</f>
        <v>HTG-064</v>
      </c>
      <c r="C22" s="50">
        <f>'1. 소켓인수검사'!C24</f>
        <v>700</v>
      </c>
      <c r="D22" s="50">
        <f>'1. 소켓인수검사'!D24</f>
        <v>650</v>
      </c>
      <c r="E22" s="51"/>
      <c r="F22" s="67">
        <f t="shared" si="0"/>
        <v>0.45500000000000002</v>
      </c>
      <c r="G22" s="67">
        <f t="shared" si="1"/>
        <v>2.7</v>
      </c>
      <c r="H22" s="68">
        <v>2</v>
      </c>
      <c r="I22" s="63">
        <f t="shared" si="7"/>
        <v>3.1</v>
      </c>
      <c r="J22" s="64">
        <v>2</v>
      </c>
      <c r="K22" s="69"/>
      <c r="L22" s="69"/>
      <c r="M22" s="74"/>
      <c r="N22" s="69"/>
      <c r="O22" s="63">
        <f t="shared" si="2"/>
        <v>3.6</v>
      </c>
      <c r="P22" s="64">
        <v>2</v>
      </c>
      <c r="Q22" s="126">
        <f>'2.1 재단(1.69,064)'!Z23</f>
        <v>4</v>
      </c>
      <c r="R22" s="64">
        <f t="shared" si="3"/>
        <v>8</v>
      </c>
      <c r="S22" s="126">
        <f>'2.1 재단(1.69,064)'!Z23</f>
        <v>4</v>
      </c>
      <c r="T22" s="64">
        <f t="shared" si="4"/>
        <v>8</v>
      </c>
      <c r="U22" s="126">
        <f>'2.1 재단(1.69,064)'!T23/2</f>
        <v>4</v>
      </c>
      <c r="V22" s="64">
        <f t="shared" si="5"/>
        <v>8</v>
      </c>
      <c r="W22" s="126">
        <f>'2.1 재단(1.69,064)'!T23/2</f>
        <v>4</v>
      </c>
      <c r="X22" s="64">
        <f t="shared" si="6"/>
        <v>8</v>
      </c>
      <c r="Y22" s="70" t="s">
        <v>61</v>
      </c>
      <c r="Z22" s="71" t="s">
        <v>86</v>
      </c>
      <c r="AA22" s="72" t="str">
        <f>'1. 소켓인수검사'!G24</f>
        <v>지상7층</v>
      </c>
    </row>
    <row r="23" spans="1:27">
      <c r="A23" s="65" t="str">
        <f>'1. 소켓인수검사'!A25</f>
        <v>56</v>
      </c>
      <c r="B23" s="73" t="str">
        <f>'1. 소켓인수검사'!B25</f>
        <v>HTG-064</v>
      </c>
      <c r="C23" s="50">
        <f>'1. 소켓인수검사'!C25</f>
        <v>700</v>
      </c>
      <c r="D23" s="50">
        <f>'1. 소켓인수검사'!D25</f>
        <v>650</v>
      </c>
      <c r="E23" s="51"/>
      <c r="F23" s="67">
        <f t="shared" si="0"/>
        <v>0.45500000000000002</v>
      </c>
      <c r="G23" s="67">
        <f t="shared" si="1"/>
        <v>2.7</v>
      </c>
      <c r="H23" s="68">
        <v>2</v>
      </c>
      <c r="I23" s="63">
        <f t="shared" si="7"/>
        <v>3.1</v>
      </c>
      <c r="J23" s="64">
        <v>2</v>
      </c>
      <c r="K23" s="69"/>
      <c r="L23" s="69"/>
      <c r="M23" s="74"/>
      <c r="N23" s="69"/>
      <c r="O23" s="63">
        <f t="shared" si="2"/>
        <v>3.6</v>
      </c>
      <c r="P23" s="64">
        <v>2</v>
      </c>
      <c r="Q23" s="126">
        <f>'2.1 재단(1.69,064)'!Z24</f>
        <v>4</v>
      </c>
      <c r="R23" s="64">
        <f t="shared" si="3"/>
        <v>8</v>
      </c>
      <c r="S23" s="126">
        <f>'2.1 재단(1.69,064)'!Z24</f>
        <v>4</v>
      </c>
      <c r="T23" s="64">
        <f t="shared" si="4"/>
        <v>8</v>
      </c>
      <c r="U23" s="126">
        <f>'2.1 재단(1.69,064)'!T24/2</f>
        <v>4</v>
      </c>
      <c r="V23" s="64">
        <f t="shared" si="5"/>
        <v>8</v>
      </c>
      <c r="W23" s="126">
        <f>'2.1 재단(1.69,064)'!T24/2</f>
        <v>4</v>
      </c>
      <c r="X23" s="64">
        <f t="shared" si="6"/>
        <v>8</v>
      </c>
      <c r="Y23" s="70" t="s">
        <v>61</v>
      </c>
      <c r="Z23" s="71" t="s">
        <v>86</v>
      </c>
      <c r="AA23" s="72" t="str">
        <f>'1. 소켓인수검사'!G25</f>
        <v>옥탑층</v>
      </c>
    </row>
    <row r="24" spans="1:27">
      <c r="A24" s="65" t="str">
        <f>'1. 소켓인수검사'!A26</f>
        <v>57</v>
      </c>
      <c r="B24" s="73" t="str">
        <f>'1. 소켓인수검사'!B26</f>
        <v>HTG-064</v>
      </c>
      <c r="C24" s="50">
        <f>'1. 소켓인수검사'!C26</f>
        <v>700</v>
      </c>
      <c r="D24" s="50">
        <f>'1. 소켓인수검사'!D26</f>
        <v>650</v>
      </c>
      <c r="E24" s="51"/>
      <c r="F24" s="67">
        <f t="shared" si="0"/>
        <v>0.45500000000000002</v>
      </c>
      <c r="G24" s="67">
        <f t="shared" si="1"/>
        <v>2.7</v>
      </c>
      <c r="H24" s="68">
        <v>2</v>
      </c>
      <c r="I24" s="63">
        <f t="shared" si="7"/>
        <v>3.1</v>
      </c>
      <c r="J24" s="64">
        <v>2</v>
      </c>
      <c r="K24" s="69"/>
      <c r="L24" s="69"/>
      <c r="M24" s="74"/>
      <c r="N24" s="69"/>
      <c r="O24" s="63">
        <f t="shared" si="2"/>
        <v>3.6</v>
      </c>
      <c r="P24" s="64">
        <v>2</v>
      </c>
      <c r="Q24" s="126">
        <f>'2.1 재단(1.69,064)'!Z25</f>
        <v>4</v>
      </c>
      <c r="R24" s="64">
        <f t="shared" si="3"/>
        <v>8</v>
      </c>
      <c r="S24" s="126">
        <f>'2.1 재단(1.69,064)'!Z25</f>
        <v>4</v>
      </c>
      <c r="T24" s="64">
        <f t="shared" si="4"/>
        <v>8</v>
      </c>
      <c r="U24" s="126">
        <f>'2.1 재단(1.69,064)'!T25/2</f>
        <v>4</v>
      </c>
      <c r="V24" s="64">
        <f t="shared" si="5"/>
        <v>8</v>
      </c>
      <c r="W24" s="126">
        <f>'2.1 재단(1.69,064)'!T25/2</f>
        <v>4</v>
      </c>
      <c r="X24" s="64">
        <f t="shared" si="6"/>
        <v>8</v>
      </c>
      <c r="Y24" s="70" t="s">
        <v>61</v>
      </c>
      <c r="Z24" s="71" t="s">
        <v>86</v>
      </c>
      <c r="AA24" s="72" t="str">
        <f>'1. 소켓인수검사'!G26</f>
        <v>옥탑층</v>
      </c>
    </row>
    <row r="25" spans="1:27">
      <c r="A25" s="65" t="str">
        <f>'1. 소켓인수검사'!A27</f>
        <v>58</v>
      </c>
      <c r="B25" s="73" t="str">
        <f>'1. 소켓인수검사'!B27</f>
        <v>HTG-064</v>
      </c>
      <c r="C25" s="50">
        <f>'1. 소켓인수검사'!C27</f>
        <v>700</v>
      </c>
      <c r="D25" s="50">
        <f>'1. 소켓인수검사'!D27</f>
        <v>650</v>
      </c>
      <c r="E25" s="51"/>
      <c r="F25" s="67">
        <f t="shared" si="0"/>
        <v>0.45500000000000002</v>
      </c>
      <c r="G25" s="67">
        <f t="shared" si="1"/>
        <v>2.7</v>
      </c>
      <c r="H25" s="68">
        <v>2</v>
      </c>
      <c r="I25" s="63">
        <f t="shared" si="7"/>
        <v>3.1</v>
      </c>
      <c r="J25" s="64">
        <v>2</v>
      </c>
      <c r="K25" s="69"/>
      <c r="L25" s="69"/>
      <c r="M25" s="74"/>
      <c r="N25" s="69"/>
      <c r="O25" s="63">
        <f t="shared" si="2"/>
        <v>3.6</v>
      </c>
      <c r="P25" s="64">
        <v>2</v>
      </c>
      <c r="Q25" s="126">
        <f>'2.1 재단(1.69,064)'!Z26</f>
        <v>4</v>
      </c>
      <c r="R25" s="64">
        <f t="shared" si="3"/>
        <v>8</v>
      </c>
      <c r="S25" s="126">
        <f>'2.1 재단(1.69,064)'!Z26</f>
        <v>4</v>
      </c>
      <c r="T25" s="64">
        <f t="shared" si="4"/>
        <v>8</v>
      </c>
      <c r="U25" s="126">
        <f>'2.1 재단(1.69,064)'!T26/2</f>
        <v>4</v>
      </c>
      <c r="V25" s="64">
        <f t="shared" si="5"/>
        <v>8</v>
      </c>
      <c r="W25" s="126">
        <f>'2.1 재단(1.69,064)'!T26/2</f>
        <v>4</v>
      </c>
      <c r="X25" s="64">
        <f t="shared" si="6"/>
        <v>8</v>
      </c>
      <c r="Y25" s="70" t="s">
        <v>61</v>
      </c>
      <c r="Z25" s="71" t="s">
        <v>86</v>
      </c>
      <c r="AA25" s="72" t="str">
        <f>'1. 소켓인수검사'!G27</f>
        <v>옥탑층</v>
      </c>
    </row>
    <row r="26" spans="1:27">
      <c r="A26" s="65" t="str">
        <f>'1. 소켓인수검사'!A28</f>
        <v>59</v>
      </c>
      <c r="B26" s="73" t="str">
        <f>'1. 소켓인수검사'!B28</f>
        <v>HTG-064</v>
      </c>
      <c r="C26" s="50">
        <f>'1. 소켓인수검사'!C28</f>
        <v>700</v>
      </c>
      <c r="D26" s="50">
        <f>'1. 소켓인수검사'!D28</f>
        <v>650</v>
      </c>
      <c r="E26" s="51"/>
      <c r="F26" s="67">
        <f t="shared" si="0"/>
        <v>0.45500000000000002</v>
      </c>
      <c r="G26" s="67">
        <f t="shared" si="1"/>
        <v>2.7</v>
      </c>
      <c r="H26" s="68">
        <v>2</v>
      </c>
      <c r="I26" s="63">
        <f t="shared" si="7"/>
        <v>3.1</v>
      </c>
      <c r="J26" s="64">
        <v>2</v>
      </c>
      <c r="K26" s="69"/>
      <c r="L26" s="69"/>
      <c r="M26" s="74"/>
      <c r="N26" s="69"/>
      <c r="O26" s="63">
        <f t="shared" si="2"/>
        <v>3.6</v>
      </c>
      <c r="P26" s="64">
        <v>2</v>
      </c>
      <c r="Q26" s="126">
        <f>'2.1 재단(1.69,064)'!Z27</f>
        <v>4</v>
      </c>
      <c r="R26" s="64">
        <f t="shared" si="3"/>
        <v>8</v>
      </c>
      <c r="S26" s="126">
        <f>'2.1 재단(1.69,064)'!Z27</f>
        <v>4</v>
      </c>
      <c r="T26" s="64">
        <f t="shared" si="4"/>
        <v>8</v>
      </c>
      <c r="U26" s="126">
        <f>'2.1 재단(1.69,064)'!T27/2</f>
        <v>4</v>
      </c>
      <c r="V26" s="64">
        <f t="shared" si="5"/>
        <v>8</v>
      </c>
      <c r="W26" s="126">
        <f>'2.1 재단(1.69,064)'!T27/2</f>
        <v>4</v>
      </c>
      <c r="X26" s="64">
        <f t="shared" si="6"/>
        <v>8</v>
      </c>
      <c r="Y26" s="70" t="s">
        <v>61</v>
      </c>
      <c r="Z26" s="71" t="s">
        <v>86</v>
      </c>
      <c r="AA26" s="72" t="str">
        <f>'1. 소켓인수검사'!G28</f>
        <v>옥탑층</v>
      </c>
    </row>
    <row r="27" spans="1:27">
      <c r="A27" s="65" t="str">
        <f>'1. 소켓인수검사'!A29</f>
        <v>60</v>
      </c>
      <c r="B27" s="73" t="str">
        <f>'1. 소켓인수검사'!B29</f>
        <v>HTG-064</v>
      </c>
      <c r="C27" s="50">
        <f>'1. 소켓인수검사'!C29</f>
        <v>750</v>
      </c>
      <c r="D27" s="50">
        <f>'1. 소켓인수검사'!D29</f>
        <v>450</v>
      </c>
      <c r="E27" s="51"/>
      <c r="F27" s="67">
        <f t="shared" si="0"/>
        <v>0.33750000000000002</v>
      </c>
      <c r="G27" s="67">
        <f t="shared" si="1"/>
        <v>2.4</v>
      </c>
      <c r="H27" s="68">
        <v>2</v>
      </c>
      <c r="I27" s="63">
        <f t="shared" si="7"/>
        <v>2.8</v>
      </c>
      <c r="J27" s="64">
        <v>2</v>
      </c>
      <c r="K27" s="69"/>
      <c r="L27" s="69"/>
      <c r="M27" s="74"/>
      <c r="N27" s="69"/>
      <c r="O27" s="63">
        <f t="shared" si="2"/>
        <v>3.3</v>
      </c>
      <c r="P27" s="64">
        <v>2</v>
      </c>
      <c r="Q27" s="126">
        <f>'2.1 재단(1.69,064)'!Z28</f>
        <v>4</v>
      </c>
      <c r="R27" s="64">
        <f t="shared" si="3"/>
        <v>8</v>
      </c>
      <c r="S27" s="126">
        <f>'2.1 재단(1.69,064)'!Z28</f>
        <v>4</v>
      </c>
      <c r="T27" s="64">
        <f t="shared" si="4"/>
        <v>8</v>
      </c>
      <c r="U27" s="126">
        <f>'2.1 재단(1.69,064)'!T28/2</f>
        <v>3</v>
      </c>
      <c r="V27" s="64">
        <f t="shared" si="5"/>
        <v>6</v>
      </c>
      <c r="W27" s="126">
        <f>'2.1 재단(1.69,064)'!T28/2</f>
        <v>3</v>
      </c>
      <c r="X27" s="64">
        <f t="shared" si="6"/>
        <v>6</v>
      </c>
      <c r="Y27" s="70" t="s">
        <v>61</v>
      </c>
      <c r="Z27" s="71" t="s">
        <v>86</v>
      </c>
      <c r="AA27" s="72" t="str">
        <f>'1. 소켓인수검사'!G29</f>
        <v>지상7층</v>
      </c>
    </row>
    <row r="28" spans="1:27">
      <c r="A28" s="65" t="str">
        <f>'1. 소켓인수검사'!A30</f>
        <v>61</v>
      </c>
      <c r="B28" s="73" t="str">
        <f>'1. 소켓인수검사'!B30</f>
        <v>HTG-064</v>
      </c>
      <c r="C28" s="50">
        <f>'1. 소켓인수검사'!C30</f>
        <v>750</v>
      </c>
      <c r="D28" s="50">
        <f>'1. 소켓인수검사'!D30</f>
        <v>450</v>
      </c>
      <c r="E28" s="51"/>
      <c r="F28" s="67">
        <f t="shared" si="0"/>
        <v>0.33750000000000002</v>
      </c>
      <c r="G28" s="67">
        <f t="shared" si="1"/>
        <v>2.4</v>
      </c>
      <c r="H28" s="68">
        <v>2</v>
      </c>
      <c r="I28" s="63">
        <f t="shared" si="7"/>
        <v>2.8</v>
      </c>
      <c r="J28" s="64">
        <v>2</v>
      </c>
      <c r="K28" s="69"/>
      <c r="L28" s="69"/>
      <c r="M28" s="74"/>
      <c r="N28" s="69"/>
      <c r="O28" s="63">
        <f t="shared" si="2"/>
        <v>3.3</v>
      </c>
      <c r="P28" s="64">
        <v>2</v>
      </c>
      <c r="Q28" s="126">
        <f>'2.1 재단(1.69,064)'!Z29</f>
        <v>4</v>
      </c>
      <c r="R28" s="64">
        <f t="shared" si="3"/>
        <v>8</v>
      </c>
      <c r="S28" s="126">
        <f>'2.1 재단(1.69,064)'!Z29</f>
        <v>4</v>
      </c>
      <c r="T28" s="64">
        <f t="shared" si="4"/>
        <v>8</v>
      </c>
      <c r="U28" s="126">
        <f>'2.1 재단(1.69,064)'!T29/2</f>
        <v>3</v>
      </c>
      <c r="V28" s="64">
        <f t="shared" si="5"/>
        <v>6</v>
      </c>
      <c r="W28" s="126">
        <f>'2.1 재단(1.69,064)'!T29/2</f>
        <v>3</v>
      </c>
      <c r="X28" s="64">
        <f t="shared" si="6"/>
        <v>6</v>
      </c>
      <c r="Y28" s="70" t="s">
        <v>61</v>
      </c>
      <c r="Z28" s="71" t="s">
        <v>86</v>
      </c>
      <c r="AA28" s="72" t="str">
        <f>'1. 소켓인수검사'!G30</f>
        <v>옥탑층</v>
      </c>
    </row>
    <row r="29" spans="1:27">
      <c r="A29" s="65" t="str">
        <f>'1. 소켓인수검사'!A31</f>
        <v>62</v>
      </c>
      <c r="B29" s="73" t="str">
        <f>'1. 소켓인수검사'!B31</f>
        <v>HTG-064</v>
      </c>
      <c r="C29" s="50">
        <f>'1. 소켓인수검사'!C31</f>
        <v>750</v>
      </c>
      <c r="D29" s="50">
        <f>'1. 소켓인수검사'!D31</f>
        <v>550</v>
      </c>
      <c r="E29" s="51"/>
      <c r="F29" s="67">
        <f t="shared" si="0"/>
        <v>0.41249999999999998</v>
      </c>
      <c r="G29" s="67">
        <f t="shared" si="1"/>
        <v>2.6</v>
      </c>
      <c r="H29" s="68">
        <v>2</v>
      </c>
      <c r="I29" s="63">
        <f t="shared" si="7"/>
        <v>3</v>
      </c>
      <c r="J29" s="64">
        <v>2</v>
      </c>
      <c r="K29" s="69"/>
      <c r="L29" s="69"/>
      <c r="M29" s="74"/>
      <c r="N29" s="69"/>
      <c r="O29" s="63">
        <f t="shared" si="2"/>
        <v>3.5</v>
      </c>
      <c r="P29" s="64">
        <v>2</v>
      </c>
      <c r="Q29" s="126">
        <f>'2.1 재단(1.69,064)'!Z30</f>
        <v>4</v>
      </c>
      <c r="R29" s="64">
        <f t="shared" si="3"/>
        <v>8</v>
      </c>
      <c r="S29" s="126">
        <f>'2.1 재단(1.69,064)'!Z30</f>
        <v>4</v>
      </c>
      <c r="T29" s="64">
        <f t="shared" si="4"/>
        <v>8</v>
      </c>
      <c r="U29" s="126">
        <f>'2.1 재단(1.69,064)'!T30/2</f>
        <v>4</v>
      </c>
      <c r="V29" s="64">
        <f t="shared" si="5"/>
        <v>8</v>
      </c>
      <c r="W29" s="126">
        <f>'2.1 재단(1.69,064)'!T30/2</f>
        <v>4</v>
      </c>
      <c r="X29" s="64">
        <f t="shared" si="6"/>
        <v>8</v>
      </c>
      <c r="Y29" s="70" t="s">
        <v>61</v>
      </c>
      <c r="Z29" s="71" t="s">
        <v>86</v>
      </c>
      <c r="AA29" s="72" t="str">
        <f>'1. 소켓인수검사'!G31</f>
        <v>지상7층</v>
      </c>
    </row>
    <row r="30" spans="1:27">
      <c r="A30" s="65" t="str">
        <f>'1. 소켓인수검사'!A32</f>
        <v>63</v>
      </c>
      <c r="B30" s="73" t="str">
        <f>'1. 소켓인수검사'!B32</f>
        <v>HTG-064</v>
      </c>
      <c r="C30" s="50">
        <f>'1. 소켓인수검사'!C32</f>
        <v>750</v>
      </c>
      <c r="D30" s="50">
        <f>'1. 소켓인수검사'!D32</f>
        <v>550</v>
      </c>
      <c r="E30" s="51"/>
      <c r="F30" s="67">
        <f t="shared" si="0"/>
        <v>0.41249999999999998</v>
      </c>
      <c r="G30" s="67">
        <f t="shared" si="1"/>
        <v>2.6</v>
      </c>
      <c r="H30" s="68">
        <v>2</v>
      </c>
      <c r="I30" s="63">
        <f t="shared" si="7"/>
        <v>3</v>
      </c>
      <c r="J30" s="64">
        <v>2</v>
      </c>
      <c r="K30" s="69"/>
      <c r="L30" s="69"/>
      <c r="M30" s="74"/>
      <c r="N30" s="69"/>
      <c r="O30" s="63">
        <f t="shared" si="2"/>
        <v>3.5</v>
      </c>
      <c r="P30" s="64">
        <v>2</v>
      </c>
      <c r="Q30" s="126">
        <f>'2.1 재단(1.69,064)'!Z31</f>
        <v>4</v>
      </c>
      <c r="R30" s="64">
        <f t="shared" si="3"/>
        <v>8</v>
      </c>
      <c r="S30" s="126">
        <f>'2.1 재단(1.69,064)'!Z31</f>
        <v>4</v>
      </c>
      <c r="T30" s="64">
        <f t="shared" si="4"/>
        <v>8</v>
      </c>
      <c r="U30" s="126">
        <f>'2.1 재단(1.69,064)'!T31/2</f>
        <v>4</v>
      </c>
      <c r="V30" s="64">
        <f t="shared" si="5"/>
        <v>8</v>
      </c>
      <c r="W30" s="126">
        <f>'2.1 재단(1.69,064)'!T31/2</f>
        <v>4</v>
      </c>
      <c r="X30" s="64">
        <f t="shared" si="6"/>
        <v>8</v>
      </c>
      <c r="Y30" s="70" t="s">
        <v>61</v>
      </c>
      <c r="Z30" s="71" t="s">
        <v>86</v>
      </c>
      <c r="AA30" s="72" t="str">
        <f>'1. 소켓인수검사'!G32</f>
        <v>지상7층</v>
      </c>
    </row>
    <row r="31" spans="1:27">
      <c r="A31" s="65" t="str">
        <f>'1. 소켓인수검사'!A33</f>
        <v>64</v>
      </c>
      <c r="B31" s="73" t="str">
        <f>'1. 소켓인수검사'!B33</f>
        <v>HTG-064</v>
      </c>
      <c r="C31" s="50">
        <f>'1. 소켓인수검사'!C33</f>
        <v>750</v>
      </c>
      <c r="D31" s="50">
        <f>'1. 소켓인수검사'!D33</f>
        <v>550</v>
      </c>
      <c r="E31" s="51"/>
      <c r="F31" s="67">
        <f t="shared" si="0"/>
        <v>0.41249999999999998</v>
      </c>
      <c r="G31" s="67">
        <f t="shared" si="1"/>
        <v>2.6</v>
      </c>
      <c r="H31" s="68">
        <v>2</v>
      </c>
      <c r="I31" s="63">
        <f t="shared" si="7"/>
        <v>3</v>
      </c>
      <c r="J31" s="64">
        <v>2</v>
      </c>
      <c r="K31" s="69"/>
      <c r="L31" s="69"/>
      <c r="M31" s="74"/>
      <c r="N31" s="69"/>
      <c r="O31" s="63">
        <f t="shared" si="2"/>
        <v>3.5</v>
      </c>
      <c r="P31" s="64">
        <v>2</v>
      </c>
      <c r="Q31" s="126">
        <f>'2.1 재단(1.69,064)'!Z32</f>
        <v>4</v>
      </c>
      <c r="R31" s="64">
        <f t="shared" si="3"/>
        <v>8</v>
      </c>
      <c r="S31" s="126">
        <f>'2.1 재단(1.69,064)'!Z32</f>
        <v>4</v>
      </c>
      <c r="T31" s="64">
        <f t="shared" si="4"/>
        <v>8</v>
      </c>
      <c r="U31" s="126">
        <f>'2.1 재단(1.69,064)'!T32/2</f>
        <v>4</v>
      </c>
      <c r="V31" s="64">
        <f t="shared" si="5"/>
        <v>8</v>
      </c>
      <c r="W31" s="126">
        <f>'2.1 재단(1.69,064)'!T32/2</f>
        <v>4</v>
      </c>
      <c r="X31" s="64">
        <f t="shared" si="6"/>
        <v>8</v>
      </c>
      <c r="Y31" s="70" t="s">
        <v>61</v>
      </c>
      <c r="Z31" s="71" t="s">
        <v>86</v>
      </c>
      <c r="AA31" s="72" t="str">
        <f>'1. 소켓인수검사'!G33</f>
        <v>옥탑층</v>
      </c>
    </row>
    <row r="32" spans="1:27">
      <c r="A32" s="65" t="str">
        <f>'1. 소켓인수검사'!A34</f>
        <v>65</v>
      </c>
      <c r="B32" s="73" t="str">
        <f>'1. 소켓인수검사'!B34</f>
        <v>HTG-064</v>
      </c>
      <c r="C32" s="50">
        <f>'1. 소켓인수검사'!C34</f>
        <v>750</v>
      </c>
      <c r="D32" s="50">
        <f>'1. 소켓인수검사'!D34</f>
        <v>550</v>
      </c>
      <c r="E32" s="51"/>
      <c r="F32" s="67">
        <f t="shared" si="0"/>
        <v>0.41249999999999998</v>
      </c>
      <c r="G32" s="67">
        <f t="shared" si="1"/>
        <v>2.6</v>
      </c>
      <c r="H32" s="68">
        <v>2</v>
      </c>
      <c r="I32" s="63">
        <f t="shared" si="7"/>
        <v>3</v>
      </c>
      <c r="J32" s="64">
        <v>2</v>
      </c>
      <c r="K32" s="69"/>
      <c r="L32" s="69"/>
      <c r="M32" s="74"/>
      <c r="N32" s="69"/>
      <c r="O32" s="63">
        <f t="shared" si="2"/>
        <v>3.5</v>
      </c>
      <c r="P32" s="64">
        <v>2</v>
      </c>
      <c r="Q32" s="126">
        <f>'2.1 재단(1.69,064)'!Z33</f>
        <v>4</v>
      </c>
      <c r="R32" s="64">
        <f t="shared" si="3"/>
        <v>8</v>
      </c>
      <c r="S32" s="126">
        <f>'2.1 재단(1.69,064)'!Z33</f>
        <v>4</v>
      </c>
      <c r="T32" s="64">
        <f t="shared" si="4"/>
        <v>8</v>
      </c>
      <c r="U32" s="126">
        <f>'2.1 재단(1.69,064)'!T33/2</f>
        <v>4</v>
      </c>
      <c r="V32" s="64">
        <f t="shared" si="5"/>
        <v>8</v>
      </c>
      <c r="W32" s="126">
        <f>'2.1 재단(1.69,064)'!T33/2</f>
        <v>4</v>
      </c>
      <c r="X32" s="64">
        <f t="shared" si="6"/>
        <v>8</v>
      </c>
      <c r="Y32" s="70" t="s">
        <v>61</v>
      </c>
      <c r="Z32" s="71" t="s">
        <v>86</v>
      </c>
      <c r="AA32" s="72" t="str">
        <f>'1. 소켓인수검사'!G34</f>
        <v>옥탑층</v>
      </c>
    </row>
    <row r="33" spans="1:27">
      <c r="A33" s="65" t="str">
        <f>'1. 소켓인수검사'!A35</f>
        <v>66</v>
      </c>
      <c r="B33" s="73" t="str">
        <f>'1. 소켓인수검사'!B35</f>
        <v>HTG-064</v>
      </c>
      <c r="C33" s="50">
        <f>'1. 소켓인수검사'!C35</f>
        <v>750</v>
      </c>
      <c r="D33" s="50">
        <f>'1. 소켓인수검사'!D35</f>
        <v>600</v>
      </c>
      <c r="E33" s="51"/>
      <c r="F33" s="67">
        <f t="shared" si="0"/>
        <v>0.45</v>
      </c>
      <c r="G33" s="67">
        <f t="shared" si="1"/>
        <v>2.7</v>
      </c>
      <c r="H33" s="68">
        <v>2</v>
      </c>
      <c r="I33" s="63">
        <f t="shared" si="7"/>
        <v>3.1</v>
      </c>
      <c r="J33" s="64">
        <v>2</v>
      </c>
      <c r="K33" s="69"/>
      <c r="L33" s="69"/>
      <c r="M33" s="74"/>
      <c r="N33" s="69"/>
      <c r="O33" s="63">
        <f t="shared" si="2"/>
        <v>3.6</v>
      </c>
      <c r="P33" s="64">
        <v>2</v>
      </c>
      <c r="Q33" s="126">
        <f>'2.1 재단(1.69,064)'!Z34</f>
        <v>4</v>
      </c>
      <c r="R33" s="64">
        <f t="shared" si="3"/>
        <v>8</v>
      </c>
      <c r="S33" s="126">
        <f>'2.1 재단(1.69,064)'!Z34</f>
        <v>4</v>
      </c>
      <c r="T33" s="64">
        <f t="shared" si="4"/>
        <v>8</v>
      </c>
      <c r="U33" s="126">
        <f>'2.1 재단(1.69,064)'!T34/2</f>
        <v>4</v>
      </c>
      <c r="V33" s="64">
        <f t="shared" si="5"/>
        <v>8</v>
      </c>
      <c r="W33" s="126">
        <f>'2.1 재단(1.69,064)'!T34/2</f>
        <v>4</v>
      </c>
      <c r="X33" s="64">
        <f t="shared" si="6"/>
        <v>8</v>
      </c>
      <c r="Y33" s="70" t="s">
        <v>61</v>
      </c>
      <c r="Z33" s="71" t="s">
        <v>86</v>
      </c>
      <c r="AA33" s="72" t="str">
        <f>'1. 소켓인수검사'!G35</f>
        <v>옥탑층</v>
      </c>
    </row>
    <row r="34" spans="1:27">
      <c r="A34" s="65" t="str">
        <f>'1. 소켓인수검사'!A36</f>
        <v>67</v>
      </c>
      <c r="B34" s="73" t="str">
        <f>'1. 소켓인수검사'!B36</f>
        <v>HTG-064</v>
      </c>
      <c r="C34" s="50">
        <f>'1. 소켓인수검사'!C36</f>
        <v>750</v>
      </c>
      <c r="D34" s="50">
        <f>'1. 소켓인수검사'!D36</f>
        <v>600</v>
      </c>
      <c r="E34" s="51"/>
      <c r="F34" s="67">
        <f t="shared" si="0"/>
        <v>0.45</v>
      </c>
      <c r="G34" s="67">
        <f t="shared" si="1"/>
        <v>2.7</v>
      </c>
      <c r="H34" s="68">
        <v>2</v>
      </c>
      <c r="I34" s="63">
        <f t="shared" si="7"/>
        <v>3.1</v>
      </c>
      <c r="J34" s="64">
        <v>2</v>
      </c>
      <c r="K34" s="69"/>
      <c r="L34" s="69"/>
      <c r="M34" s="74"/>
      <c r="N34" s="69"/>
      <c r="O34" s="63">
        <f t="shared" si="2"/>
        <v>3.6</v>
      </c>
      <c r="P34" s="64">
        <v>2</v>
      </c>
      <c r="Q34" s="126">
        <f>'2.1 재단(1.69,064)'!Z35</f>
        <v>4</v>
      </c>
      <c r="R34" s="64">
        <f t="shared" si="3"/>
        <v>8</v>
      </c>
      <c r="S34" s="126">
        <f>'2.1 재단(1.69,064)'!Z35</f>
        <v>4</v>
      </c>
      <c r="T34" s="64">
        <f t="shared" si="4"/>
        <v>8</v>
      </c>
      <c r="U34" s="126">
        <f>'2.1 재단(1.69,064)'!T35/2</f>
        <v>4</v>
      </c>
      <c r="V34" s="64">
        <f t="shared" si="5"/>
        <v>8</v>
      </c>
      <c r="W34" s="126">
        <f>'2.1 재단(1.69,064)'!T35/2</f>
        <v>4</v>
      </c>
      <c r="X34" s="64">
        <f t="shared" si="6"/>
        <v>8</v>
      </c>
      <c r="Y34" s="70" t="s">
        <v>61</v>
      </c>
      <c r="Z34" s="71" t="s">
        <v>86</v>
      </c>
      <c r="AA34" s="72" t="str">
        <f>'1. 소켓인수검사'!G36</f>
        <v>지상7층</v>
      </c>
    </row>
    <row r="35" spans="1:27">
      <c r="A35" s="65" t="str">
        <f>'1. 소켓인수검사'!A37</f>
        <v>68</v>
      </c>
      <c r="B35" s="73" t="str">
        <f>'1. 소켓인수검사'!B37</f>
        <v>HTG-064</v>
      </c>
      <c r="C35" s="50">
        <f>'1. 소켓인수검사'!C37</f>
        <v>750</v>
      </c>
      <c r="D35" s="50">
        <f>'1. 소켓인수검사'!D37</f>
        <v>650</v>
      </c>
      <c r="E35" s="51"/>
      <c r="F35" s="67">
        <f t="shared" si="0"/>
        <v>0.48749999999999999</v>
      </c>
      <c r="G35" s="67">
        <f t="shared" si="1"/>
        <v>2.8</v>
      </c>
      <c r="H35" s="68">
        <v>2</v>
      </c>
      <c r="I35" s="63">
        <f t="shared" si="7"/>
        <v>3.1999999999999997</v>
      </c>
      <c r="J35" s="64">
        <v>2</v>
      </c>
      <c r="K35" s="69"/>
      <c r="L35" s="69"/>
      <c r="M35" s="74"/>
      <c r="N35" s="69"/>
      <c r="O35" s="63">
        <f t="shared" si="2"/>
        <v>3.6999999999999997</v>
      </c>
      <c r="P35" s="64">
        <v>2</v>
      </c>
      <c r="Q35" s="126">
        <f>'2.1 재단(1.69,064)'!Z36</f>
        <v>4</v>
      </c>
      <c r="R35" s="64">
        <f t="shared" si="3"/>
        <v>8</v>
      </c>
      <c r="S35" s="126">
        <f>'2.1 재단(1.69,064)'!Z36</f>
        <v>4</v>
      </c>
      <c r="T35" s="64">
        <f t="shared" si="4"/>
        <v>8</v>
      </c>
      <c r="U35" s="126">
        <f>'2.1 재단(1.69,064)'!T36/2</f>
        <v>4</v>
      </c>
      <c r="V35" s="64">
        <f t="shared" si="5"/>
        <v>8</v>
      </c>
      <c r="W35" s="126">
        <f>'2.1 재단(1.69,064)'!T36/2</f>
        <v>4</v>
      </c>
      <c r="X35" s="64">
        <f t="shared" si="6"/>
        <v>8</v>
      </c>
      <c r="Y35" s="70" t="s">
        <v>61</v>
      </c>
      <c r="Z35" s="71" t="s">
        <v>86</v>
      </c>
      <c r="AA35" s="72" t="str">
        <f>'1. 소켓인수검사'!G37</f>
        <v>지상7층</v>
      </c>
    </row>
    <row r="36" spans="1:27">
      <c r="A36" s="65" t="str">
        <f>'1. 소켓인수검사'!A38</f>
        <v>69</v>
      </c>
      <c r="B36" s="73" t="str">
        <f>'1. 소켓인수검사'!B38</f>
        <v>HTG-064</v>
      </c>
      <c r="C36" s="50">
        <f>'1. 소켓인수검사'!C38</f>
        <v>750</v>
      </c>
      <c r="D36" s="50">
        <f>'1. 소켓인수검사'!D38</f>
        <v>650</v>
      </c>
      <c r="E36" s="51"/>
      <c r="F36" s="67">
        <f t="shared" si="0"/>
        <v>0.48749999999999999</v>
      </c>
      <c r="G36" s="67">
        <f t="shared" si="1"/>
        <v>2.8</v>
      </c>
      <c r="H36" s="68">
        <v>2</v>
      </c>
      <c r="I36" s="63">
        <f t="shared" si="7"/>
        <v>3.1999999999999997</v>
      </c>
      <c r="J36" s="64">
        <v>2</v>
      </c>
      <c r="K36" s="69"/>
      <c r="L36" s="69"/>
      <c r="M36" s="74"/>
      <c r="N36" s="69"/>
      <c r="O36" s="63">
        <f t="shared" si="2"/>
        <v>3.6999999999999997</v>
      </c>
      <c r="P36" s="64">
        <v>2</v>
      </c>
      <c r="Q36" s="126">
        <f>'2.1 재단(1.69,064)'!Z37</f>
        <v>4</v>
      </c>
      <c r="R36" s="64">
        <f t="shared" si="3"/>
        <v>8</v>
      </c>
      <c r="S36" s="126">
        <f>'2.1 재단(1.69,064)'!Z37</f>
        <v>4</v>
      </c>
      <c r="T36" s="64">
        <f t="shared" si="4"/>
        <v>8</v>
      </c>
      <c r="U36" s="126">
        <f>'2.1 재단(1.69,064)'!T37/2</f>
        <v>4</v>
      </c>
      <c r="V36" s="64">
        <f t="shared" si="5"/>
        <v>8</v>
      </c>
      <c r="W36" s="126">
        <f>'2.1 재단(1.69,064)'!T37/2</f>
        <v>4</v>
      </c>
      <c r="X36" s="64">
        <f t="shared" si="6"/>
        <v>8</v>
      </c>
      <c r="Y36" s="70" t="s">
        <v>61</v>
      </c>
      <c r="Z36" s="71" t="s">
        <v>86</v>
      </c>
      <c r="AA36" s="72" t="str">
        <f>'1. 소켓인수검사'!G38</f>
        <v>옥탑층</v>
      </c>
    </row>
    <row r="37" spans="1:27">
      <c r="A37" s="65" t="str">
        <f>'1. 소켓인수검사'!A39</f>
        <v>70</v>
      </c>
      <c r="B37" s="73" t="str">
        <f>'1. 소켓인수검사'!B39</f>
        <v>HTG-064</v>
      </c>
      <c r="C37" s="50">
        <f>'1. 소켓인수검사'!C39</f>
        <v>750</v>
      </c>
      <c r="D37" s="50">
        <f>'1. 소켓인수검사'!D39</f>
        <v>700</v>
      </c>
      <c r="E37" s="51"/>
      <c r="F37" s="67">
        <f t="shared" ref="F37:F55" si="8">C37*D37/1000000</f>
        <v>0.52500000000000002</v>
      </c>
      <c r="G37" s="67">
        <f t="shared" ref="G37:G55" si="9">(C37+D37)*2/1000</f>
        <v>2.9</v>
      </c>
      <c r="H37" s="68">
        <v>2</v>
      </c>
      <c r="I37" s="63">
        <f t="shared" ref="I37:I55" si="10">(G37+0.4)</f>
        <v>3.3</v>
      </c>
      <c r="J37" s="64">
        <v>2</v>
      </c>
      <c r="K37" s="69"/>
      <c r="L37" s="69"/>
      <c r="M37" s="74"/>
      <c r="N37" s="69"/>
      <c r="O37" s="63">
        <f t="shared" ref="O37:O55" si="11">I37+0.5</f>
        <v>3.8</v>
      </c>
      <c r="P37" s="64">
        <v>2</v>
      </c>
      <c r="Q37" s="126">
        <f>'2.1 재단(1.69,064)'!Z38</f>
        <v>4</v>
      </c>
      <c r="R37" s="64">
        <f t="shared" si="3"/>
        <v>8</v>
      </c>
      <c r="S37" s="126">
        <f>'2.1 재단(1.69,064)'!Z38</f>
        <v>4</v>
      </c>
      <c r="T37" s="64">
        <f t="shared" si="4"/>
        <v>8</v>
      </c>
      <c r="U37" s="126">
        <f>'2.1 재단(1.69,064)'!T38/2</f>
        <v>4</v>
      </c>
      <c r="V37" s="64">
        <f t="shared" si="5"/>
        <v>8</v>
      </c>
      <c r="W37" s="126">
        <f>'2.1 재단(1.69,064)'!T38/2</f>
        <v>4</v>
      </c>
      <c r="X37" s="64">
        <f t="shared" si="6"/>
        <v>8</v>
      </c>
      <c r="Y37" s="70" t="s">
        <v>61</v>
      </c>
      <c r="Z37" s="71" t="s">
        <v>86</v>
      </c>
      <c r="AA37" s="72" t="str">
        <f>'1. 소켓인수검사'!G39</f>
        <v>지상7층</v>
      </c>
    </row>
    <row r="38" spans="1:27">
      <c r="A38" s="65" t="str">
        <f>'1. 소켓인수검사'!A40</f>
        <v>71</v>
      </c>
      <c r="B38" s="73" t="str">
        <f>'1. 소켓인수검사'!B40</f>
        <v>HTG-064</v>
      </c>
      <c r="C38" s="50">
        <f>'1. 소켓인수검사'!C40</f>
        <v>750</v>
      </c>
      <c r="D38" s="50">
        <f>'1. 소켓인수검사'!D40</f>
        <v>700</v>
      </c>
      <c r="E38" s="51"/>
      <c r="F38" s="67">
        <f t="shared" si="8"/>
        <v>0.52500000000000002</v>
      </c>
      <c r="G38" s="67">
        <f t="shared" si="9"/>
        <v>2.9</v>
      </c>
      <c r="H38" s="68">
        <v>2</v>
      </c>
      <c r="I38" s="63">
        <f t="shared" si="10"/>
        <v>3.3</v>
      </c>
      <c r="J38" s="64">
        <v>2</v>
      </c>
      <c r="K38" s="69"/>
      <c r="L38" s="69"/>
      <c r="M38" s="74"/>
      <c r="N38" s="69"/>
      <c r="O38" s="63">
        <f t="shared" si="11"/>
        <v>3.8</v>
      </c>
      <c r="P38" s="64">
        <v>2</v>
      </c>
      <c r="Q38" s="126">
        <f>'2.1 재단(1.69,064)'!Z39</f>
        <v>4</v>
      </c>
      <c r="R38" s="64">
        <f t="shared" si="3"/>
        <v>8</v>
      </c>
      <c r="S38" s="126">
        <f>'2.1 재단(1.69,064)'!Z39</f>
        <v>4</v>
      </c>
      <c r="T38" s="64">
        <f t="shared" si="4"/>
        <v>8</v>
      </c>
      <c r="U38" s="126">
        <f>'2.1 재단(1.69,064)'!T39/2</f>
        <v>4</v>
      </c>
      <c r="V38" s="64">
        <f t="shared" si="5"/>
        <v>8</v>
      </c>
      <c r="W38" s="126">
        <f>'2.1 재단(1.69,064)'!T39/2</f>
        <v>4</v>
      </c>
      <c r="X38" s="64">
        <f t="shared" si="6"/>
        <v>8</v>
      </c>
      <c r="Y38" s="70" t="s">
        <v>61</v>
      </c>
      <c r="Z38" s="71" t="s">
        <v>86</v>
      </c>
      <c r="AA38" s="72" t="str">
        <f>'1. 소켓인수검사'!G40</f>
        <v>옥탑층</v>
      </c>
    </row>
    <row r="39" spans="1:27">
      <c r="A39" s="65" t="str">
        <f>'1. 소켓인수검사'!A41</f>
        <v>72</v>
      </c>
      <c r="B39" s="73" t="str">
        <f>'1. 소켓인수검사'!B41</f>
        <v>HTG-064</v>
      </c>
      <c r="C39" s="50">
        <f>'1. 소켓인수검사'!C41</f>
        <v>800</v>
      </c>
      <c r="D39" s="50">
        <f>'1. 소켓인수검사'!D41</f>
        <v>500</v>
      </c>
      <c r="E39" s="51"/>
      <c r="F39" s="67">
        <f t="shared" si="8"/>
        <v>0.4</v>
      </c>
      <c r="G39" s="67">
        <f t="shared" si="9"/>
        <v>2.6</v>
      </c>
      <c r="H39" s="68">
        <v>2</v>
      </c>
      <c r="I39" s="63">
        <f t="shared" si="10"/>
        <v>3</v>
      </c>
      <c r="J39" s="64">
        <v>2</v>
      </c>
      <c r="K39" s="69"/>
      <c r="L39" s="69"/>
      <c r="M39" s="74"/>
      <c r="N39" s="69"/>
      <c r="O39" s="63">
        <f t="shared" si="11"/>
        <v>3.5</v>
      </c>
      <c r="P39" s="64">
        <v>2</v>
      </c>
      <c r="Q39" s="126">
        <f>'2.1 재단(1.69,064)'!Z40</f>
        <v>4</v>
      </c>
      <c r="R39" s="64">
        <f t="shared" si="3"/>
        <v>8</v>
      </c>
      <c r="S39" s="126">
        <f>'2.1 재단(1.69,064)'!Z40</f>
        <v>4</v>
      </c>
      <c r="T39" s="64">
        <f t="shared" si="4"/>
        <v>8</v>
      </c>
      <c r="U39" s="126">
        <f>'2.1 재단(1.69,064)'!T40/2</f>
        <v>4</v>
      </c>
      <c r="V39" s="64">
        <f t="shared" si="5"/>
        <v>8</v>
      </c>
      <c r="W39" s="126">
        <f>'2.1 재단(1.69,064)'!T40/2</f>
        <v>4</v>
      </c>
      <c r="X39" s="64">
        <f t="shared" si="6"/>
        <v>8</v>
      </c>
      <c r="Y39" s="70" t="s">
        <v>61</v>
      </c>
      <c r="Z39" s="71" t="s">
        <v>86</v>
      </c>
      <c r="AA39" s="72" t="str">
        <f>'1. 소켓인수검사'!G41</f>
        <v>지상7층</v>
      </c>
    </row>
    <row r="40" spans="1:27">
      <c r="A40" s="65" t="str">
        <f>'1. 소켓인수검사'!A42</f>
        <v>73</v>
      </c>
      <c r="B40" s="73" t="str">
        <f>'1. 소켓인수검사'!B42</f>
        <v>HTG-064</v>
      </c>
      <c r="C40" s="50">
        <f>'1. 소켓인수검사'!C42</f>
        <v>800</v>
      </c>
      <c r="D40" s="50">
        <f>'1. 소켓인수검사'!D42</f>
        <v>500</v>
      </c>
      <c r="E40" s="51"/>
      <c r="F40" s="67">
        <f t="shared" si="8"/>
        <v>0.4</v>
      </c>
      <c r="G40" s="67">
        <f t="shared" si="9"/>
        <v>2.6</v>
      </c>
      <c r="H40" s="68">
        <v>2</v>
      </c>
      <c r="I40" s="63">
        <f t="shared" si="10"/>
        <v>3</v>
      </c>
      <c r="J40" s="64">
        <v>2</v>
      </c>
      <c r="K40" s="69"/>
      <c r="L40" s="69"/>
      <c r="M40" s="74"/>
      <c r="N40" s="69"/>
      <c r="O40" s="63">
        <f t="shared" si="11"/>
        <v>3.5</v>
      </c>
      <c r="P40" s="64">
        <v>2</v>
      </c>
      <c r="Q40" s="126">
        <f>'2.1 재단(1.69,064)'!Z41</f>
        <v>4</v>
      </c>
      <c r="R40" s="64">
        <f t="shared" si="3"/>
        <v>8</v>
      </c>
      <c r="S40" s="126">
        <f>'2.1 재단(1.69,064)'!Z41</f>
        <v>4</v>
      </c>
      <c r="T40" s="64">
        <f t="shared" si="4"/>
        <v>8</v>
      </c>
      <c r="U40" s="126">
        <f>'2.1 재단(1.69,064)'!T41/2</f>
        <v>4</v>
      </c>
      <c r="V40" s="64">
        <f t="shared" si="5"/>
        <v>8</v>
      </c>
      <c r="W40" s="126">
        <f>'2.1 재단(1.69,064)'!T41/2</f>
        <v>4</v>
      </c>
      <c r="X40" s="64">
        <f t="shared" si="6"/>
        <v>8</v>
      </c>
      <c r="Y40" s="70" t="s">
        <v>61</v>
      </c>
      <c r="Z40" s="71" t="s">
        <v>86</v>
      </c>
      <c r="AA40" s="72" t="str">
        <f>'1. 소켓인수검사'!G42</f>
        <v>옥탑층</v>
      </c>
    </row>
    <row r="41" spans="1:27">
      <c r="A41" s="65" t="str">
        <f>'1. 소켓인수검사'!A43</f>
        <v>74</v>
      </c>
      <c r="B41" s="73" t="str">
        <f>'1. 소켓인수검사'!B43</f>
        <v>HTG-064</v>
      </c>
      <c r="C41" s="50">
        <f>'1. 소켓인수검사'!C43</f>
        <v>800</v>
      </c>
      <c r="D41" s="50">
        <f>'1. 소켓인수검사'!D43</f>
        <v>550</v>
      </c>
      <c r="E41" s="51"/>
      <c r="F41" s="67">
        <f t="shared" si="8"/>
        <v>0.44</v>
      </c>
      <c r="G41" s="67">
        <f t="shared" si="9"/>
        <v>2.7</v>
      </c>
      <c r="H41" s="68">
        <v>2</v>
      </c>
      <c r="I41" s="63">
        <f t="shared" si="10"/>
        <v>3.1</v>
      </c>
      <c r="J41" s="64">
        <v>2</v>
      </c>
      <c r="K41" s="69"/>
      <c r="L41" s="69"/>
      <c r="M41" s="74"/>
      <c r="N41" s="69"/>
      <c r="O41" s="63">
        <f t="shared" si="11"/>
        <v>3.6</v>
      </c>
      <c r="P41" s="64">
        <v>2</v>
      </c>
      <c r="Q41" s="126">
        <f>'2.1 재단(1.69,064)'!Z42</f>
        <v>4</v>
      </c>
      <c r="R41" s="64">
        <f t="shared" si="3"/>
        <v>8</v>
      </c>
      <c r="S41" s="126">
        <f>'2.1 재단(1.69,064)'!Z42</f>
        <v>4</v>
      </c>
      <c r="T41" s="64">
        <f t="shared" si="4"/>
        <v>8</v>
      </c>
      <c r="U41" s="126">
        <f>'2.1 재단(1.69,064)'!T42/2</f>
        <v>4</v>
      </c>
      <c r="V41" s="64">
        <f t="shared" si="5"/>
        <v>8</v>
      </c>
      <c r="W41" s="126">
        <f>'2.1 재단(1.69,064)'!T42/2</f>
        <v>4</v>
      </c>
      <c r="X41" s="64">
        <f t="shared" si="6"/>
        <v>8</v>
      </c>
      <c r="Y41" s="70" t="s">
        <v>61</v>
      </c>
      <c r="Z41" s="71" t="s">
        <v>86</v>
      </c>
      <c r="AA41" s="72" t="str">
        <f>'1. 소켓인수검사'!G43</f>
        <v>옥탑층</v>
      </c>
    </row>
    <row r="42" spans="1:27">
      <c r="A42" s="65" t="str">
        <f>'1. 소켓인수검사'!A44</f>
        <v>75</v>
      </c>
      <c r="B42" s="73" t="str">
        <f>'1. 소켓인수검사'!B44</f>
        <v>HTG-064</v>
      </c>
      <c r="C42" s="50">
        <f>'1. 소켓인수검사'!C44</f>
        <v>800</v>
      </c>
      <c r="D42" s="50">
        <f>'1. 소켓인수검사'!D44</f>
        <v>600</v>
      </c>
      <c r="E42" s="51"/>
      <c r="F42" s="67">
        <f t="shared" si="8"/>
        <v>0.48</v>
      </c>
      <c r="G42" s="67">
        <f t="shared" si="9"/>
        <v>2.8</v>
      </c>
      <c r="H42" s="68">
        <v>2</v>
      </c>
      <c r="I42" s="63">
        <f t="shared" si="10"/>
        <v>3.1999999999999997</v>
      </c>
      <c r="J42" s="64">
        <v>2</v>
      </c>
      <c r="K42" s="69"/>
      <c r="L42" s="69"/>
      <c r="M42" s="74"/>
      <c r="N42" s="69"/>
      <c r="O42" s="63">
        <f t="shared" si="11"/>
        <v>3.6999999999999997</v>
      </c>
      <c r="P42" s="64">
        <v>2</v>
      </c>
      <c r="Q42" s="126">
        <f>'2.1 재단(1.69,064)'!Z43</f>
        <v>4</v>
      </c>
      <c r="R42" s="64">
        <f t="shared" si="3"/>
        <v>8</v>
      </c>
      <c r="S42" s="126">
        <f>'2.1 재단(1.69,064)'!Z43</f>
        <v>4</v>
      </c>
      <c r="T42" s="64">
        <f t="shared" si="4"/>
        <v>8</v>
      </c>
      <c r="U42" s="126">
        <f>'2.1 재단(1.69,064)'!T43/2</f>
        <v>4</v>
      </c>
      <c r="V42" s="64">
        <f t="shared" si="5"/>
        <v>8</v>
      </c>
      <c r="W42" s="126">
        <f>'2.1 재단(1.69,064)'!T43/2</f>
        <v>4</v>
      </c>
      <c r="X42" s="64">
        <f t="shared" si="6"/>
        <v>8</v>
      </c>
      <c r="Y42" s="70" t="s">
        <v>61</v>
      </c>
      <c r="Z42" s="71" t="s">
        <v>86</v>
      </c>
      <c r="AA42" s="72" t="str">
        <f>'1. 소켓인수검사'!G44</f>
        <v>지상7층</v>
      </c>
    </row>
    <row r="43" spans="1:27">
      <c r="A43" s="65" t="str">
        <f>'1. 소켓인수검사'!A45</f>
        <v>76</v>
      </c>
      <c r="B43" s="73" t="str">
        <f>'1. 소켓인수검사'!B45</f>
        <v>HTG-064</v>
      </c>
      <c r="C43" s="50">
        <f>'1. 소켓인수검사'!C45</f>
        <v>800</v>
      </c>
      <c r="D43" s="50">
        <f>'1. 소켓인수검사'!D45</f>
        <v>600</v>
      </c>
      <c r="E43" s="51"/>
      <c r="F43" s="67">
        <f t="shared" si="8"/>
        <v>0.48</v>
      </c>
      <c r="G43" s="67">
        <f t="shared" si="9"/>
        <v>2.8</v>
      </c>
      <c r="H43" s="68">
        <v>2</v>
      </c>
      <c r="I43" s="63">
        <f t="shared" si="10"/>
        <v>3.1999999999999997</v>
      </c>
      <c r="J43" s="64">
        <v>2</v>
      </c>
      <c r="K43" s="69"/>
      <c r="L43" s="69"/>
      <c r="M43" s="74"/>
      <c r="N43" s="69"/>
      <c r="O43" s="63">
        <f t="shared" si="11"/>
        <v>3.6999999999999997</v>
      </c>
      <c r="P43" s="64">
        <v>2</v>
      </c>
      <c r="Q43" s="126">
        <f>'2.1 재단(1.69,064)'!Z44</f>
        <v>4</v>
      </c>
      <c r="R43" s="64">
        <f t="shared" si="3"/>
        <v>8</v>
      </c>
      <c r="S43" s="126">
        <f>'2.1 재단(1.69,064)'!Z44</f>
        <v>4</v>
      </c>
      <c r="T43" s="64">
        <f t="shared" si="4"/>
        <v>8</v>
      </c>
      <c r="U43" s="126">
        <f>'2.1 재단(1.69,064)'!T44/2</f>
        <v>4</v>
      </c>
      <c r="V43" s="64">
        <f t="shared" si="5"/>
        <v>8</v>
      </c>
      <c r="W43" s="126">
        <f>'2.1 재단(1.69,064)'!T44/2</f>
        <v>4</v>
      </c>
      <c r="X43" s="64">
        <f t="shared" si="6"/>
        <v>8</v>
      </c>
      <c r="Y43" s="70" t="s">
        <v>61</v>
      </c>
      <c r="Z43" s="71" t="s">
        <v>86</v>
      </c>
      <c r="AA43" s="72" t="str">
        <f>'1. 소켓인수검사'!G45</f>
        <v>옥탑층</v>
      </c>
    </row>
    <row r="44" spans="1:27">
      <c r="A44" s="65" t="str">
        <f>'1. 소켓인수검사'!A46</f>
        <v>77</v>
      </c>
      <c r="B44" s="73" t="str">
        <f>'1. 소켓인수검사'!B46</f>
        <v>HTG-064</v>
      </c>
      <c r="C44" s="50">
        <f>'1. 소켓인수검사'!C46</f>
        <v>800</v>
      </c>
      <c r="D44" s="50">
        <f>'1. 소켓인수검사'!D46</f>
        <v>600</v>
      </c>
      <c r="E44" s="51"/>
      <c r="F44" s="67">
        <f t="shared" si="8"/>
        <v>0.48</v>
      </c>
      <c r="G44" s="67">
        <f t="shared" si="9"/>
        <v>2.8</v>
      </c>
      <c r="H44" s="68">
        <v>2</v>
      </c>
      <c r="I44" s="63">
        <f t="shared" si="10"/>
        <v>3.1999999999999997</v>
      </c>
      <c r="J44" s="64">
        <v>2</v>
      </c>
      <c r="K44" s="69"/>
      <c r="L44" s="69"/>
      <c r="M44" s="74"/>
      <c r="N44" s="69"/>
      <c r="O44" s="63">
        <f t="shared" si="11"/>
        <v>3.6999999999999997</v>
      </c>
      <c r="P44" s="64">
        <v>2</v>
      </c>
      <c r="Q44" s="126">
        <f>'2.1 재단(1.69,064)'!Z45</f>
        <v>4</v>
      </c>
      <c r="R44" s="64">
        <f t="shared" si="3"/>
        <v>8</v>
      </c>
      <c r="S44" s="126">
        <f>'2.1 재단(1.69,064)'!Z45</f>
        <v>4</v>
      </c>
      <c r="T44" s="64">
        <f t="shared" si="4"/>
        <v>8</v>
      </c>
      <c r="U44" s="126">
        <f>'2.1 재단(1.69,064)'!T45/2</f>
        <v>4</v>
      </c>
      <c r="V44" s="64">
        <f t="shared" si="5"/>
        <v>8</v>
      </c>
      <c r="W44" s="126">
        <f>'2.1 재단(1.69,064)'!T45/2</f>
        <v>4</v>
      </c>
      <c r="X44" s="64">
        <f t="shared" si="6"/>
        <v>8</v>
      </c>
      <c r="Y44" s="70" t="s">
        <v>61</v>
      </c>
      <c r="Z44" s="71" t="s">
        <v>86</v>
      </c>
      <c r="AA44" s="72" t="str">
        <f>'1. 소켓인수검사'!G46</f>
        <v>옥탑층</v>
      </c>
    </row>
    <row r="45" spans="1:27">
      <c r="A45" s="65" t="str">
        <f>'1. 소켓인수검사'!A47</f>
        <v>78</v>
      </c>
      <c r="B45" s="73" t="str">
        <f>'1. 소켓인수검사'!B47</f>
        <v>HTG-064</v>
      </c>
      <c r="C45" s="50">
        <f>'1. 소켓인수검사'!C47</f>
        <v>800</v>
      </c>
      <c r="D45" s="50">
        <f>'1. 소켓인수검사'!D47</f>
        <v>650</v>
      </c>
      <c r="E45" s="51"/>
      <c r="F45" s="67">
        <f t="shared" si="8"/>
        <v>0.52</v>
      </c>
      <c r="G45" s="67">
        <f t="shared" si="9"/>
        <v>2.9</v>
      </c>
      <c r="H45" s="68">
        <v>2</v>
      </c>
      <c r="I45" s="63">
        <f t="shared" si="10"/>
        <v>3.3</v>
      </c>
      <c r="J45" s="64">
        <v>2</v>
      </c>
      <c r="K45" s="69"/>
      <c r="L45" s="69"/>
      <c r="M45" s="74"/>
      <c r="N45" s="69"/>
      <c r="O45" s="63">
        <f t="shared" si="11"/>
        <v>3.8</v>
      </c>
      <c r="P45" s="64">
        <v>2</v>
      </c>
      <c r="Q45" s="126">
        <f>'2.1 재단(1.69,064)'!Z46</f>
        <v>4</v>
      </c>
      <c r="R45" s="64">
        <f t="shared" si="3"/>
        <v>8</v>
      </c>
      <c r="S45" s="126">
        <f>'2.1 재단(1.69,064)'!Z46</f>
        <v>4</v>
      </c>
      <c r="T45" s="64">
        <f t="shared" si="4"/>
        <v>8</v>
      </c>
      <c r="U45" s="126">
        <f>'2.1 재단(1.69,064)'!T46/2</f>
        <v>4</v>
      </c>
      <c r="V45" s="64">
        <f t="shared" si="5"/>
        <v>8</v>
      </c>
      <c r="W45" s="126">
        <f>'2.1 재단(1.69,064)'!T46/2</f>
        <v>4</v>
      </c>
      <c r="X45" s="64">
        <f t="shared" si="6"/>
        <v>8</v>
      </c>
      <c r="Y45" s="70" t="s">
        <v>61</v>
      </c>
      <c r="Z45" s="71" t="s">
        <v>86</v>
      </c>
      <c r="AA45" s="72" t="str">
        <f>'1. 소켓인수검사'!G47</f>
        <v>지상7층</v>
      </c>
    </row>
    <row r="46" spans="1:27">
      <c r="A46" s="65" t="str">
        <f>'1. 소켓인수검사'!A48</f>
        <v>79</v>
      </c>
      <c r="B46" s="73" t="str">
        <f>'1. 소켓인수검사'!B48</f>
        <v>HTG-064</v>
      </c>
      <c r="C46" s="50">
        <f>'1. 소켓인수검사'!C48</f>
        <v>800</v>
      </c>
      <c r="D46" s="50">
        <f>'1. 소켓인수검사'!D48</f>
        <v>650</v>
      </c>
      <c r="E46" s="51"/>
      <c r="F46" s="67">
        <f t="shared" si="8"/>
        <v>0.52</v>
      </c>
      <c r="G46" s="67">
        <f t="shared" si="9"/>
        <v>2.9</v>
      </c>
      <c r="H46" s="68">
        <v>2</v>
      </c>
      <c r="I46" s="63">
        <f t="shared" si="10"/>
        <v>3.3</v>
      </c>
      <c r="J46" s="64">
        <v>2</v>
      </c>
      <c r="K46" s="69"/>
      <c r="L46" s="69"/>
      <c r="M46" s="74"/>
      <c r="N46" s="69"/>
      <c r="O46" s="63">
        <f t="shared" si="11"/>
        <v>3.8</v>
      </c>
      <c r="P46" s="64">
        <v>2</v>
      </c>
      <c r="Q46" s="126">
        <f>'2.1 재단(1.69,064)'!Z47</f>
        <v>4</v>
      </c>
      <c r="R46" s="64">
        <f t="shared" si="3"/>
        <v>8</v>
      </c>
      <c r="S46" s="126">
        <f>'2.1 재단(1.69,064)'!Z47</f>
        <v>4</v>
      </c>
      <c r="T46" s="64">
        <f t="shared" si="4"/>
        <v>8</v>
      </c>
      <c r="U46" s="126">
        <f>'2.1 재단(1.69,064)'!T47/2</f>
        <v>4</v>
      </c>
      <c r="V46" s="64">
        <f t="shared" si="5"/>
        <v>8</v>
      </c>
      <c r="W46" s="126">
        <f>'2.1 재단(1.69,064)'!T47/2</f>
        <v>4</v>
      </c>
      <c r="X46" s="64">
        <f t="shared" si="6"/>
        <v>8</v>
      </c>
      <c r="Y46" s="70" t="s">
        <v>61</v>
      </c>
      <c r="Z46" s="71" t="s">
        <v>86</v>
      </c>
      <c r="AA46" s="72" t="str">
        <f>'1. 소켓인수검사'!G48</f>
        <v>옥탑층</v>
      </c>
    </row>
    <row r="47" spans="1:27">
      <c r="A47" s="65" t="str">
        <f>'1. 소켓인수검사'!A49</f>
        <v>80</v>
      </c>
      <c r="B47" s="73" t="str">
        <f>'1. 소켓인수검사'!B49</f>
        <v>HTG-064</v>
      </c>
      <c r="C47" s="50">
        <f>'1. 소켓인수검사'!C49</f>
        <v>900</v>
      </c>
      <c r="D47" s="50">
        <f>'1. 소켓인수검사'!D49</f>
        <v>650</v>
      </c>
      <c r="E47" s="51"/>
      <c r="F47" s="67">
        <f t="shared" si="8"/>
        <v>0.58499999999999996</v>
      </c>
      <c r="G47" s="67">
        <f t="shared" si="9"/>
        <v>3.1</v>
      </c>
      <c r="H47" s="68">
        <v>2</v>
      </c>
      <c r="I47" s="63">
        <f t="shared" si="10"/>
        <v>3.5</v>
      </c>
      <c r="J47" s="64">
        <v>2</v>
      </c>
      <c r="K47" s="69"/>
      <c r="L47" s="69"/>
      <c r="M47" s="74"/>
      <c r="N47" s="69"/>
      <c r="O47" s="63">
        <f t="shared" si="11"/>
        <v>4</v>
      </c>
      <c r="P47" s="64">
        <v>2</v>
      </c>
      <c r="Q47" s="126">
        <f>'2.1 재단(1.69,064)'!Z48</f>
        <v>5</v>
      </c>
      <c r="R47" s="64">
        <f t="shared" si="3"/>
        <v>10</v>
      </c>
      <c r="S47" s="126">
        <f>'2.1 재단(1.69,064)'!Z48</f>
        <v>5</v>
      </c>
      <c r="T47" s="64">
        <f t="shared" si="4"/>
        <v>10</v>
      </c>
      <c r="U47" s="126">
        <f>'2.1 재단(1.69,064)'!T48/2</f>
        <v>4</v>
      </c>
      <c r="V47" s="64">
        <f t="shared" si="5"/>
        <v>8</v>
      </c>
      <c r="W47" s="126">
        <f>'2.1 재단(1.69,064)'!T48/2</f>
        <v>4</v>
      </c>
      <c r="X47" s="64">
        <f t="shared" si="6"/>
        <v>8</v>
      </c>
      <c r="Y47" s="70" t="s">
        <v>61</v>
      </c>
      <c r="Z47" s="71" t="s">
        <v>86</v>
      </c>
      <c r="AA47" s="72" t="str">
        <f>'1. 소켓인수검사'!G49</f>
        <v>옥탑층</v>
      </c>
    </row>
    <row r="48" spans="1:27">
      <c r="A48" s="65" t="str">
        <f>'1. 소켓인수검사'!A50</f>
        <v>81</v>
      </c>
      <c r="B48" s="73" t="str">
        <f>'1. 소켓인수검사'!B50</f>
        <v>HTG-064</v>
      </c>
      <c r="C48" s="50">
        <f>'1. 소켓인수검사'!C50</f>
        <v>900</v>
      </c>
      <c r="D48" s="50">
        <f>'1. 소켓인수검사'!D50</f>
        <v>700</v>
      </c>
      <c r="E48" s="51"/>
      <c r="F48" s="67">
        <f t="shared" si="8"/>
        <v>0.63</v>
      </c>
      <c r="G48" s="67">
        <f t="shared" si="9"/>
        <v>3.2</v>
      </c>
      <c r="H48" s="68">
        <v>2</v>
      </c>
      <c r="I48" s="63">
        <f t="shared" si="10"/>
        <v>3.6</v>
      </c>
      <c r="J48" s="64">
        <v>2</v>
      </c>
      <c r="K48" s="69"/>
      <c r="L48" s="69"/>
      <c r="M48" s="74"/>
      <c r="N48" s="69"/>
      <c r="O48" s="63">
        <f t="shared" si="11"/>
        <v>4.0999999999999996</v>
      </c>
      <c r="P48" s="64">
        <v>2</v>
      </c>
      <c r="Q48" s="126">
        <f>'2.1 재단(1.69,064)'!Z49</f>
        <v>5</v>
      </c>
      <c r="R48" s="64">
        <f t="shared" si="3"/>
        <v>10</v>
      </c>
      <c r="S48" s="126">
        <f>'2.1 재단(1.69,064)'!Z49</f>
        <v>5</v>
      </c>
      <c r="T48" s="64">
        <f t="shared" si="4"/>
        <v>10</v>
      </c>
      <c r="U48" s="126">
        <f>'2.1 재단(1.69,064)'!T49/2</f>
        <v>4</v>
      </c>
      <c r="V48" s="64">
        <f t="shared" si="5"/>
        <v>8</v>
      </c>
      <c r="W48" s="126">
        <f>'2.1 재단(1.69,064)'!T49/2</f>
        <v>4</v>
      </c>
      <c r="X48" s="64">
        <f t="shared" si="6"/>
        <v>8</v>
      </c>
      <c r="Y48" s="70" t="s">
        <v>61</v>
      </c>
      <c r="Z48" s="71" t="s">
        <v>86</v>
      </c>
      <c r="AA48" s="72" t="str">
        <f>'1. 소켓인수검사'!G50</f>
        <v>지상7층</v>
      </c>
    </row>
    <row r="49" spans="1:27">
      <c r="A49" s="65" t="str">
        <f>'1. 소켓인수검사'!A51</f>
        <v>82</v>
      </c>
      <c r="B49" s="73" t="str">
        <f>'1. 소켓인수검사'!B51</f>
        <v>HTG-064</v>
      </c>
      <c r="C49" s="50">
        <f>'1. 소켓인수검사'!C51</f>
        <v>900</v>
      </c>
      <c r="D49" s="50">
        <f>'1. 소켓인수검사'!D51</f>
        <v>700</v>
      </c>
      <c r="E49" s="51"/>
      <c r="F49" s="67">
        <f t="shared" si="8"/>
        <v>0.63</v>
      </c>
      <c r="G49" s="67">
        <f t="shared" si="9"/>
        <v>3.2</v>
      </c>
      <c r="H49" s="68">
        <v>2</v>
      </c>
      <c r="I49" s="63">
        <f t="shared" si="10"/>
        <v>3.6</v>
      </c>
      <c r="J49" s="64">
        <v>2</v>
      </c>
      <c r="K49" s="69"/>
      <c r="L49" s="69"/>
      <c r="M49" s="74"/>
      <c r="N49" s="69"/>
      <c r="O49" s="63">
        <f t="shared" si="11"/>
        <v>4.0999999999999996</v>
      </c>
      <c r="P49" s="64">
        <v>2</v>
      </c>
      <c r="Q49" s="126">
        <f>'2.1 재단(1.69,064)'!Z50</f>
        <v>5</v>
      </c>
      <c r="R49" s="64">
        <f t="shared" si="3"/>
        <v>10</v>
      </c>
      <c r="S49" s="126">
        <f>'2.1 재단(1.69,064)'!Z50</f>
        <v>5</v>
      </c>
      <c r="T49" s="64">
        <f t="shared" si="4"/>
        <v>10</v>
      </c>
      <c r="U49" s="126">
        <f>'2.1 재단(1.69,064)'!T50/2</f>
        <v>4</v>
      </c>
      <c r="V49" s="64">
        <f t="shared" si="5"/>
        <v>8</v>
      </c>
      <c r="W49" s="126">
        <f>'2.1 재단(1.69,064)'!T50/2</f>
        <v>4</v>
      </c>
      <c r="X49" s="64">
        <f t="shared" si="6"/>
        <v>8</v>
      </c>
      <c r="Y49" s="70" t="s">
        <v>61</v>
      </c>
      <c r="Z49" s="71" t="s">
        <v>86</v>
      </c>
      <c r="AA49" s="72" t="str">
        <f>'1. 소켓인수검사'!G51</f>
        <v>옥탑층</v>
      </c>
    </row>
    <row r="50" spans="1:27">
      <c r="A50" s="65" t="str">
        <f>'1. 소켓인수검사'!A52</f>
        <v>83</v>
      </c>
      <c r="B50" s="73" t="str">
        <f>'1. 소켓인수검사'!B52</f>
        <v>HTG-064</v>
      </c>
      <c r="C50" s="50">
        <f>'1. 소켓인수검사'!C52</f>
        <v>1000</v>
      </c>
      <c r="D50" s="50">
        <f>'1. 소켓인수검사'!D52</f>
        <v>550</v>
      </c>
      <c r="E50" s="51"/>
      <c r="F50" s="67">
        <f t="shared" si="8"/>
        <v>0.55000000000000004</v>
      </c>
      <c r="G50" s="67">
        <f t="shared" si="9"/>
        <v>3.1</v>
      </c>
      <c r="H50" s="68">
        <v>2</v>
      </c>
      <c r="I50" s="63">
        <f t="shared" si="10"/>
        <v>3.5</v>
      </c>
      <c r="J50" s="64">
        <v>2</v>
      </c>
      <c r="K50" s="69"/>
      <c r="L50" s="69"/>
      <c r="M50" s="74"/>
      <c r="N50" s="69"/>
      <c r="O50" s="63">
        <f t="shared" si="11"/>
        <v>4</v>
      </c>
      <c r="P50" s="64">
        <v>2</v>
      </c>
      <c r="Q50" s="126">
        <f>'2.1 재단(1.69,064)'!Z51</f>
        <v>5</v>
      </c>
      <c r="R50" s="64">
        <f t="shared" si="3"/>
        <v>10</v>
      </c>
      <c r="S50" s="126">
        <f>'2.1 재단(1.69,064)'!Z51</f>
        <v>5</v>
      </c>
      <c r="T50" s="64">
        <f t="shared" si="4"/>
        <v>10</v>
      </c>
      <c r="U50" s="126">
        <f>'2.1 재단(1.69,064)'!T51/2</f>
        <v>4</v>
      </c>
      <c r="V50" s="64">
        <f t="shared" si="5"/>
        <v>8</v>
      </c>
      <c r="W50" s="126">
        <f>'2.1 재단(1.69,064)'!T51/2</f>
        <v>4</v>
      </c>
      <c r="X50" s="64">
        <f t="shared" si="6"/>
        <v>8</v>
      </c>
      <c r="Y50" s="70" t="s">
        <v>61</v>
      </c>
      <c r="Z50" s="71" t="s">
        <v>86</v>
      </c>
      <c r="AA50" s="72" t="str">
        <f>'1. 소켓인수검사'!G52</f>
        <v>지상7층</v>
      </c>
    </row>
    <row r="51" spans="1:27">
      <c r="A51" s="65" t="str">
        <f>'1. 소켓인수검사'!A53</f>
        <v>84</v>
      </c>
      <c r="B51" s="73" t="str">
        <f>'1. 소켓인수검사'!B53</f>
        <v>HTG-064</v>
      </c>
      <c r="C51" s="50">
        <f>'1. 소켓인수검사'!C53</f>
        <v>1000</v>
      </c>
      <c r="D51" s="50">
        <f>'1. 소켓인수검사'!D53</f>
        <v>550</v>
      </c>
      <c r="E51" s="51"/>
      <c r="F51" s="67">
        <f t="shared" si="8"/>
        <v>0.55000000000000004</v>
      </c>
      <c r="G51" s="67">
        <f t="shared" si="9"/>
        <v>3.1</v>
      </c>
      <c r="H51" s="68">
        <v>2</v>
      </c>
      <c r="I51" s="63">
        <f t="shared" si="10"/>
        <v>3.5</v>
      </c>
      <c r="J51" s="64">
        <v>2</v>
      </c>
      <c r="K51" s="69"/>
      <c r="L51" s="69"/>
      <c r="M51" s="74"/>
      <c r="N51" s="69"/>
      <c r="O51" s="63">
        <f t="shared" si="11"/>
        <v>4</v>
      </c>
      <c r="P51" s="64">
        <v>2</v>
      </c>
      <c r="Q51" s="126">
        <f>'2.1 재단(1.69,064)'!Z52</f>
        <v>5</v>
      </c>
      <c r="R51" s="64">
        <f t="shared" si="3"/>
        <v>10</v>
      </c>
      <c r="S51" s="126">
        <f>'2.1 재단(1.69,064)'!Z52</f>
        <v>5</v>
      </c>
      <c r="T51" s="64">
        <f t="shared" si="4"/>
        <v>10</v>
      </c>
      <c r="U51" s="126">
        <f>'2.1 재단(1.69,064)'!T52/2</f>
        <v>4</v>
      </c>
      <c r="V51" s="64">
        <f t="shared" si="5"/>
        <v>8</v>
      </c>
      <c r="W51" s="126">
        <f>'2.1 재단(1.69,064)'!T52/2</f>
        <v>4</v>
      </c>
      <c r="X51" s="64">
        <f t="shared" si="6"/>
        <v>8</v>
      </c>
      <c r="Y51" s="70" t="s">
        <v>61</v>
      </c>
      <c r="Z51" s="71" t="s">
        <v>86</v>
      </c>
      <c r="AA51" s="72" t="str">
        <f>'1. 소켓인수검사'!G53</f>
        <v>옥탑층</v>
      </c>
    </row>
    <row r="52" spans="1:27">
      <c r="A52" s="65" t="str">
        <f>'1. 소켓인수검사'!A54</f>
        <v>85</v>
      </c>
      <c r="B52" s="73" t="str">
        <f>'1. 소켓인수검사'!B54</f>
        <v>HTG-064</v>
      </c>
      <c r="C52" s="50">
        <f>'1. 소켓인수검사'!C54</f>
        <v>1000</v>
      </c>
      <c r="D52" s="50">
        <f>'1. 소켓인수검사'!D54</f>
        <v>550</v>
      </c>
      <c r="E52" s="51"/>
      <c r="F52" s="67">
        <f t="shared" si="8"/>
        <v>0.55000000000000004</v>
      </c>
      <c r="G52" s="67">
        <f t="shared" si="9"/>
        <v>3.1</v>
      </c>
      <c r="H52" s="68">
        <v>2</v>
      </c>
      <c r="I52" s="63">
        <f t="shared" si="10"/>
        <v>3.5</v>
      </c>
      <c r="J52" s="64">
        <v>2</v>
      </c>
      <c r="K52" s="69"/>
      <c r="L52" s="69"/>
      <c r="M52" s="74"/>
      <c r="N52" s="69"/>
      <c r="O52" s="63">
        <f t="shared" si="11"/>
        <v>4</v>
      </c>
      <c r="P52" s="64">
        <v>2</v>
      </c>
      <c r="Q52" s="126">
        <f>'2.1 재단(1.69,064)'!Z53</f>
        <v>5</v>
      </c>
      <c r="R52" s="64">
        <f t="shared" si="3"/>
        <v>10</v>
      </c>
      <c r="S52" s="126">
        <f>'2.1 재단(1.69,064)'!Z53</f>
        <v>5</v>
      </c>
      <c r="T52" s="64">
        <f t="shared" si="4"/>
        <v>10</v>
      </c>
      <c r="U52" s="126">
        <f>'2.1 재단(1.69,064)'!T53/2</f>
        <v>4</v>
      </c>
      <c r="V52" s="64">
        <f t="shared" si="5"/>
        <v>8</v>
      </c>
      <c r="W52" s="126">
        <f>'2.1 재단(1.69,064)'!T53/2</f>
        <v>4</v>
      </c>
      <c r="X52" s="64">
        <f t="shared" si="6"/>
        <v>8</v>
      </c>
      <c r="Y52" s="70" t="s">
        <v>61</v>
      </c>
      <c r="Z52" s="71" t="s">
        <v>86</v>
      </c>
      <c r="AA52" s="72" t="str">
        <f>'1. 소켓인수검사'!G54</f>
        <v>옥탑층</v>
      </c>
    </row>
    <row r="53" spans="1:27">
      <c r="A53" s="65" t="str">
        <f>'1. 소켓인수검사'!A55</f>
        <v>86</v>
      </c>
      <c r="B53" s="73" t="str">
        <f>'1. 소켓인수검사'!B55</f>
        <v>HTG-064</v>
      </c>
      <c r="C53" s="50">
        <f>'1. 소켓인수검사'!C55</f>
        <v>1000</v>
      </c>
      <c r="D53" s="50">
        <f>'1. 소켓인수검사'!D55</f>
        <v>600</v>
      </c>
      <c r="E53" s="51"/>
      <c r="F53" s="67">
        <f t="shared" si="8"/>
        <v>0.6</v>
      </c>
      <c r="G53" s="67">
        <f t="shared" si="9"/>
        <v>3.2</v>
      </c>
      <c r="H53" s="68">
        <v>2</v>
      </c>
      <c r="I53" s="63">
        <f t="shared" si="10"/>
        <v>3.6</v>
      </c>
      <c r="J53" s="64">
        <v>2</v>
      </c>
      <c r="K53" s="69"/>
      <c r="L53" s="69"/>
      <c r="M53" s="74"/>
      <c r="N53" s="69"/>
      <c r="O53" s="63">
        <f t="shared" si="11"/>
        <v>4.0999999999999996</v>
      </c>
      <c r="P53" s="64">
        <v>2</v>
      </c>
      <c r="Q53" s="126">
        <f>'2.1 재단(1.69,064)'!Z54</f>
        <v>5</v>
      </c>
      <c r="R53" s="64">
        <f t="shared" si="3"/>
        <v>10</v>
      </c>
      <c r="S53" s="126">
        <f>'2.1 재단(1.69,064)'!Z54</f>
        <v>5</v>
      </c>
      <c r="T53" s="64">
        <f t="shared" si="4"/>
        <v>10</v>
      </c>
      <c r="U53" s="126">
        <f>'2.1 재단(1.69,064)'!T54/2</f>
        <v>4</v>
      </c>
      <c r="V53" s="64">
        <f t="shared" si="5"/>
        <v>8</v>
      </c>
      <c r="W53" s="126">
        <f>'2.1 재단(1.69,064)'!T54/2</f>
        <v>4</v>
      </c>
      <c r="X53" s="64">
        <f t="shared" si="6"/>
        <v>8</v>
      </c>
      <c r="Y53" s="70" t="s">
        <v>61</v>
      </c>
      <c r="Z53" s="71" t="s">
        <v>86</v>
      </c>
      <c r="AA53" s="72" t="str">
        <f>'1. 소켓인수검사'!G55</f>
        <v>옥탑층</v>
      </c>
    </row>
    <row r="54" spans="1:27">
      <c r="A54" s="65" t="str">
        <f>'1. 소켓인수검사'!A56</f>
        <v>87</v>
      </c>
      <c r="B54" s="73" t="str">
        <f>'1. 소켓인수검사'!B56</f>
        <v>HTG-064</v>
      </c>
      <c r="C54" s="50">
        <f>'1. 소켓인수검사'!C56</f>
        <v>1000</v>
      </c>
      <c r="D54" s="50">
        <f>'1. 소켓인수검사'!D56</f>
        <v>600</v>
      </c>
      <c r="E54" s="51"/>
      <c r="F54" s="67">
        <f t="shared" si="8"/>
        <v>0.6</v>
      </c>
      <c r="G54" s="67">
        <f t="shared" si="9"/>
        <v>3.2</v>
      </c>
      <c r="H54" s="68">
        <v>2</v>
      </c>
      <c r="I54" s="63">
        <f t="shared" si="10"/>
        <v>3.6</v>
      </c>
      <c r="J54" s="64">
        <v>2</v>
      </c>
      <c r="K54" s="69"/>
      <c r="L54" s="69"/>
      <c r="M54" s="74"/>
      <c r="N54" s="69"/>
      <c r="O54" s="63">
        <f t="shared" si="11"/>
        <v>4.0999999999999996</v>
      </c>
      <c r="P54" s="64">
        <v>2</v>
      </c>
      <c r="Q54" s="126">
        <f>'2.1 재단(1.69,064)'!Z55</f>
        <v>5</v>
      </c>
      <c r="R54" s="64">
        <f t="shared" si="3"/>
        <v>10</v>
      </c>
      <c r="S54" s="126">
        <f>'2.1 재단(1.69,064)'!Z55</f>
        <v>5</v>
      </c>
      <c r="T54" s="64">
        <f t="shared" si="4"/>
        <v>10</v>
      </c>
      <c r="U54" s="126">
        <f>'2.1 재단(1.69,064)'!T55/2</f>
        <v>4</v>
      </c>
      <c r="V54" s="64">
        <f t="shared" si="5"/>
        <v>8</v>
      </c>
      <c r="W54" s="126">
        <f>'2.1 재단(1.69,064)'!T55/2</f>
        <v>4</v>
      </c>
      <c r="X54" s="64">
        <f t="shared" si="6"/>
        <v>8</v>
      </c>
      <c r="Y54" s="70" t="s">
        <v>61</v>
      </c>
      <c r="Z54" s="71" t="s">
        <v>86</v>
      </c>
      <c r="AA54" s="72" t="str">
        <f>'1. 소켓인수검사'!G56</f>
        <v>옥탑층</v>
      </c>
    </row>
    <row r="55" spans="1:27">
      <c r="A55" s="65" t="str">
        <f>'1. 소켓인수검사'!A57</f>
        <v>88</v>
      </c>
      <c r="B55" s="73" t="str">
        <f>'1. 소켓인수검사'!B57</f>
        <v>HTG-064</v>
      </c>
      <c r="C55" s="50">
        <f>'1. 소켓인수검사'!C57</f>
        <v>1000</v>
      </c>
      <c r="D55" s="50">
        <f>'1. 소켓인수검사'!D57</f>
        <v>600</v>
      </c>
      <c r="E55" s="51"/>
      <c r="F55" s="67">
        <f t="shared" si="8"/>
        <v>0.6</v>
      </c>
      <c r="G55" s="67">
        <f t="shared" si="9"/>
        <v>3.2</v>
      </c>
      <c r="H55" s="68">
        <v>2</v>
      </c>
      <c r="I55" s="63">
        <f t="shared" si="10"/>
        <v>3.6</v>
      </c>
      <c r="J55" s="64">
        <v>2</v>
      </c>
      <c r="K55" s="69"/>
      <c r="L55" s="69"/>
      <c r="M55" s="74"/>
      <c r="N55" s="69"/>
      <c r="O55" s="63">
        <f t="shared" si="11"/>
        <v>4.0999999999999996</v>
      </c>
      <c r="P55" s="64">
        <v>2</v>
      </c>
      <c r="Q55" s="126">
        <f>'2.1 재단(1.69,064)'!Z56</f>
        <v>5</v>
      </c>
      <c r="R55" s="64">
        <f t="shared" si="3"/>
        <v>10</v>
      </c>
      <c r="S55" s="126">
        <f>'2.1 재단(1.69,064)'!Z56</f>
        <v>5</v>
      </c>
      <c r="T55" s="64">
        <f t="shared" si="4"/>
        <v>10</v>
      </c>
      <c r="U55" s="126">
        <f>'2.1 재단(1.69,064)'!T56/2</f>
        <v>4</v>
      </c>
      <c r="V55" s="64">
        <f t="shared" si="5"/>
        <v>8</v>
      </c>
      <c r="W55" s="126">
        <f>'2.1 재단(1.69,064)'!T56/2</f>
        <v>4</v>
      </c>
      <c r="X55" s="64">
        <f t="shared" si="6"/>
        <v>8</v>
      </c>
      <c r="Y55" s="70" t="s">
        <v>61</v>
      </c>
      <c r="Z55" s="71" t="s">
        <v>86</v>
      </c>
      <c r="AA55" s="72" t="str">
        <f>'1. 소켓인수검사'!G57</f>
        <v>지상7층</v>
      </c>
    </row>
    <row r="56" spans="1:27">
      <c r="A56" s="303" t="s">
        <v>18</v>
      </c>
      <c r="B56" s="304"/>
      <c r="C56" s="304"/>
      <c r="D56" s="75"/>
      <c r="E56" s="76"/>
      <c r="F56" s="76"/>
      <c r="G56" s="76"/>
      <c r="H56" s="109">
        <f>SUM(H7:H55)</f>
        <v>98</v>
      </c>
      <c r="I56" s="75"/>
      <c r="J56" s="109">
        <f>SUM(J7:J55)</f>
        <v>98</v>
      </c>
      <c r="K56" s="75"/>
      <c r="L56" s="109">
        <f>SUM(L7:L55)</f>
        <v>0</v>
      </c>
      <c r="M56" s="77"/>
      <c r="N56" s="109">
        <f>SUM(N7:N55)</f>
        <v>0</v>
      </c>
      <c r="O56" s="77"/>
      <c r="P56" s="109">
        <f>SUM(P7:P55)</f>
        <v>98</v>
      </c>
      <c r="Q56" s="77"/>
      <c r="R56" s="109">
        <f>SUM(R7:R55)</f>
        <v>388</v>
      </c>
      <c r="S56" s="77"/>
      <c r="T56" s="109">
        <f>SUM(T7:T55)</f>
        <v>388</v>
      </c>
      <c r="U56" s="77"/>
      <c r="V56" s="109">
        <f>SUM(V7:V55)</f>
        <v>362</v>
      </c>
      <c r="W56" s="77"/>
      <c r="X56" s="109">
        <f>SUM(X7:X55)</f>
        <v>362</v>
      </c>
      <c r="Y56" s="49"/>
      <c r="Z56" s="49"/>
      <c r="AA56" s="78"/>
    </row>
    <row r="57" spans="1:27" ht="8.1" customHeight="1">
      <c r="A57" s="238"/>
      <c r="B57" s="238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38"/>
      <c r="P57" s="38"/>
      <c r="Q57" s="38"/>
      <c r="S57" s="38"/>
      <c r="U57" s="38"/>
      <c r="W57" s="38"/>
    </row>
    <row r="58" spans="1:27" ht="16.5" hidden="1" customHeight="1">
      <c r="A58" s="264" t="s">
        <v>7</v>
      </c>
      <c r="B58" s="264"/>
      <c r="C58" s="264"/>
      <c r="D58" s="305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6"/>
      <c r="P58" s="306"/>
      <c r="Q58" s="306"/>
      <c r="R58" s="306"/>
      <c r="S58" s="306"/>
      <c r="T58" s="306"/>
      <c r="U58" s="306"/>
      <c r="V58" s="306"/>
      <c r="W58" s="306"/>
      <c r="X58" s="306"/>
    </row>
    <row r="59" spans="1:27" ht="16.5" hidden="1" customHeight="1">
      <c r="A59" s="264"/>
      <c r="B59" s="264"/>
      <c r="C59" s="264"/>
      <c r="D59" s="307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</row>
    <row r="60" spans="1:27" ht="16.5" hidden="1" customHeight="1">
      <c r="A60" s="264"/>
      <c r="B60" s="264"/>
      <c r="C60" s="264"/>
      <c r="D60" s="307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</row>
    <row r="61" spans="1:27" ht="16.5" hidden="1" customHeight="1">
      <c r="A61" s="264"/>
      <c r="B61" s="264"/>
      <c r="C61" s="264"/>
      <c r="D61" s="307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</row>
    <row r="62" spans="1:27" ht="16.5" hidden="1" customHeight="1">
      <c r="A62" s="264"/>
      <c r="B62" s="264"/>
      <c r="C62" s="264"/>
      <c r="D62" s="307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</row>
    <row r="63" spans="1:27" ht="16.5" hidden="1" customHeight="1">
      <c r="A63" s="264"/>
      <c r="B63" s="264"/>
      <c r="C63" s="264"/>
      <c r="D63" s="308"/>
      <c r="E63" s="309"/>
      <c r="F63" s="309"/>
      <c r="G63" s="309"/>
      <c r="H63" s="309"/>
      <c r="I63" s="309"/>
      <c r="J63" s="309"/>
      <c r="K63" s="309"/>
      <c r="L63" s="309"/>
      <c r="M63" s="309"/>
      <c r="N63" s="309"/>
      <c r="O63" s="309"/>
      <c r="P63" s="309"/>
      <c r="Q63" s="309"/>
      <c r="R63" s="309"/>
      <c r="S63" s="309"/>
      <c r="T63" s="309"/>
      <c r="U63" s="309"/>
      <c r="V63" s="309"/>
      <c r="W63" s="309"/>
      <c r="X63" s="309"/>
    </row>
  </sheetData>
  <mergeCells count="27">
    <mergeCell ref="Y5:Y6"/>
    <mergeCell ref="Z5:Z6"/>
    <mergeCell ref="Q5:R5"/>
    <mergeCell ref="S5:T5"/>
    <mergeCell ref="U5:V5"/>
    <mergeCell ref="W5:X5"/>
    <mergeCell ref="A57:N57"/>
    <mergeCell ref="A58:C63"/>
    <mergeCell ref="D58:X63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I5:J5"/>
    <mergeCell ref="K5:L5"/>
    <mergeCell ref="M5:N5"/>
    <mergeCell ref="O5:P5"/>
    <mergeCell ref="A56:C56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35</cp:revision>
  <cp:lastPrinted>2026-06-22T00:52:10Z</cp:lastPrinted>
  <dcterms:created xsi:type="dcterms:W3CDTF">2025-03-13T00:09:10Z</dcterms:created>
  <dcterms:modified xsi:type="dcterms:W3CDTF">2026-06-22T01:08:22Z</dcterms:modified>
  <cp:version>1200.0100.01</cp:version>
</cp:coreProperties>
</file>