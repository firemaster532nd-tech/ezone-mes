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D\Desktop\"/>
    </mc:Choice>
  </mc:AlternateContent>
  <xr:revisionPtr revIDLastSave="0" documentId="13_ncr:1_{1C047753-5E8D-413F-B04C-24C3D8403AFF}" xr6:coauthVersionLast="47" xr6:coauthVersionMax="47" xr10:uidLastSave="{00000000-0000-0000-0000-000000000000}"/>
  <bookViews>
    <workbookView xWindow="-120" yWindow="-120" windowWidth="38640" windowHeight="21120" activeTab="8" xr2:uid="{00000000-000D-0000-FFFF-FFFF00000000}"/>
  </bookViews>
  <sheets>
    <sheet name="1. 소켓인수검사" sheetId="1" r:id="rId1"/>
    <sheet name="2.재단(VM)작업" sheetId="12" r:id="rId2"/>
    <sheet name="2.1 재단작업(VT)" sheetId="3" r:id="rId3"/>
    <sheet name="차열재 재단(VM,VT)" sheetId="2" r:id="rId4"/>
    <sheet name="3. 1절곡(VM)" sheetId="5" r:id="rId5"/>
    <sheet name="3.2 절곡(VT)" sheetId="6" r:id="rId6"/>
    <sheet name="3.3 절곡(VT-보강대)" sheetId="7" r:id="rId7"/>
    <sheet name="5. 차열재 출하용(VM,VT,VAG)" sheetId="9" r:id="rId8"/>
    <sheet name="6. 라벨소요량" sheetId="10" r:id="rId9"/>
  </sheets>
  <definedNames>
    <definedName name="_xlnm.Print_Area" localSheetId="0">'1. 소켓인수검사'!$A$1:$P$29</definedName>
    <definedName name="_xlnm.Print_Titles" localSheetId="0">'1. 소켓인수검사'!$6:$8</definedName>
    <definedName name="_xlnm.Print_Titles" localSheetId="2">'2.1 재단작업(VT)'!$5:$7</definedName>
    <definedName name="_xlnm.Print_Titles" localSheetId="1">'2.재단(VM)작업'!$5:$7</definedName>
    <definedName name="_xlnm.Print_Titles" localSheetId="4">'3. 1절곡(VM)'!$1:$6</definedName>
    <definedName name="_xlnm.Print_Titles" localSheetId="5">'3.2 절곡(VT)'!$1:$6</definedName>
    <definedName name="_xlnm.Print_Titles" localSheetId="6">'3.3 절곡(VT-보강대)'!$1:$6</definedName>
    <definedName name="_xlnm.Print_Titles" localSheetId="7">'5. 차열재 출하용(VM,VT,VAG)'!$8:$9</definedName>
    <definedName name="_xlnm.Print_Titles" localSheetId="8">'6. 라벨소요량'!$5:$6</definedName>
    <definedName name="_xlnm.Print_Titles" localSheetId="3">'차열재 재단(VM,VT)'!$5:$7</definedName>
    <definedName name="_xlnm.Print_Titl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9" i="12" l="1"/>
  <c r="H19" i="12"/>
  <c r="I19" i="12"/>
  <c r="J19" i="12"/>
  <c r="K19" i="12"/>
  <c r="M19" i="12"/>
  <c r="G20" i="12"/>
  <c r="H20" i="12"/>
  <c r="I20" i="12"/>
  <c r="J20" i="12"/>
  <c r="K20" i="12"/>
  <c r="M20" i="12"/>
  <c r="H1" i="12"/>
  <c r="D23" i="12"/>
  <c r="I23" i="12" s="1"/>
  <c r="C23" i="12"/>
  <c r="G23" i="12" s="1"/>
  <c r="D22" i="12"/>
  <c r="I22" i="12" s="1"/>
  <c r="C22" i="12"/>
  <c r="K22" i="12" s="1"/>
  <c r="D21" i="12"/>
  <c r="M21" i="12" s="1"/>
  <c r="C21" i="12"/>
  <c r="K21" i="12" s="1"/>
  <c r="D20" i="12"/>
  <c r="C20" i="12"/>
  <c r="D19" i="12"/>
  <c r="C19" i="12"/>
  <c r="D18" i="12"/>
  <c r="M18" i="12" s="1"/>
  <c r="C18" i="12"/>
  <c r="G18" i="12" s="1"/>
  <c r="D17" i="12"/>
  <c r="I17" i="12" s="1"/>
  <c r="C17" i="12"/>
  <c r="K17" i="12" s="1"/>
  <c r="D16" i="12"/>
  <c r="M16" i="12" s="1"/>
  <c r="C16" i="12"/>
  <c r="D15" i="12"/>
  <c r="M15" i="12" s="1"/>
  <c r="C15" i="12"/>
  <c r="K15" i="12" s="1"/>
  <c r="D14" i="12"/>
  <c r="C14" i="12"/>
  <c r="G14" i="12" s="1"/>
  <c r="D13" i="12"/>
  <c r="I13" i="12" s="1"/>
  <c r="C13" i="12"/>
  <c r="G13" i="12" s="1"/>
  <c r="D12" i="12"/>
  <c r="I12" i="12" s="1"/>
  <c r="C12" i="12"/>
  <c r="D11" i="12"/>
  <c r="I11" i="12" s="1"/>
  <c r="C11" i="12"/>
  <c r="G11" i="12" s="1"/>
  <c r="D10" i="12"/>
  <c r="C10" i="12"/>
  <c r="G10" i="12" s="1"/>
  <c r="D9" i="12"/>
  <c r="M9" i="12" s="1"/>
  <c r="C9" i="12"/>
  <c r="G9" i="12" s="1"/>
  <c r="D8" i="12"/>
  <c r="M8" i="12" s="1"/>
  <c r="C8" i="12"/>
  <c r="A23" i="12"/>
  <c r="A22" i="12"/>
  <c r="A21" i="12"/>
  <c r="A20" i="12"/>
  <c r="A19" i="12"/>
  <c r="A18" i="12"/>
  <c r="A17" i="12"/>
  <c r="A16" i="12"/>
  <c r="A15" i="12"/>
  <c r="A14" i="12"/>
  <c r="A13" i="12"/>
  <c r="A12" i="12"/>
  <c r="A11" i="12"/>
  <c r="A10" i="12"/>
  <c r="A9" i="12"/>
  <c r="A8" i="12"/>
  <c r="J23" i="12"/>
  <c r="H23" i="12"/>
  <c r="J22" i="12"/>
  <c r="H22" i="12"/>
  <c r="G22" i="12"/>
  <c r="J21" i="12"/>
  <c r="H21" i="12"/>
  <c r="G21" i="12"/>
  <c r="K18" i="12"/>
  <c r="J18" i="12"/>
  <c r="H18" i="12"/>
  <c r="J17" i="12"/>
  <c r="H17" i="12"/>
  <c r="J16" i="12"/>
  <c r="H16" i="12"/>
  <c r="J15" i="12"/>
  <c r="H15" i="12"/>
  <c r="J14" i="12"/>
  <c r="H14" i="12"/>
  <c r="J13" i="12"/>
  <c r="H13" i="12"/>
  <c r="J12" i="12"/>
  <c r="H12" i="12"/>
  <c r="J11" i="12"/>
  <c r="H11" i="12"/>
  <c r="J10" i="12"/>
  <c r="H10" i="12"/>
  <c r="J9" i="12"/>
  <c r="H9" i="12"/>
  <c r="J8" i="12"/>
  <c r="H8" i="12"/>
  <c r="G1" i="2"/>
  <c r="D28" i="2"/>
  <c r="I28" i="2" s="1"/>
  <c r="C28" i="2"/>
  <c r="G28" i="2" s="1"/>
  <c r="D27" i="2"/>
  <c r="I27" i="2" s="1"/>
  <c r="C27" i="2"/>
  <c r="G27" i="2" s="1"/>
  <c r="D26" i="2"/>
  <c r="I26" i="2" s="1"/>
  <c r="C26" i="2"/>
  <c r="G26" i="2" s="1"/>
  <c r="D25" i="2"/>
  <c r="I25" i="2" s="1"/>
  <c r="C25" i="2"/>
  <c r="G25" i="2" s="1"/>
  <c r="D24" i="2"/>
  <c r="I24" i="2" s="1"/>
  <c r="C24" i="2"/>
  <c r="G24" i="2" s="1"/>
  <c r="D23" i="2"/>
  <c r="C23" i="2"/>
  <c r="G23" i="2" s="1"/>
  <c r="D22" i="2"/>
  <c r="C22" i="2"/>
  <c r="D21" i="2"/>
  <c r="I21" i="2" s="1"/>
  <c r="C21" i="2"/>
  <c r="D20" i="2"/>
  <c r="I20" i="2" s="1"/>
  <c r="C20" i="2"/>
  <c r="G20" i="2" s="1"/>
  <c r="D19" i="2"/>
  <c r="I19" i="2" s="1"/>
  <c r="C19" i="2"/>
  <c r="D18" i="2"/>
  <c r="C18" i="2"/>
  <c r="D17" i="2"/>
  <c r="I17" i="2" s="1"/>
  <c r="C17" i="2"/>
  <c r="D16" i="2"/>
  <c r="I16" i="2" s="1"/>
  <c r="C16" i="2"/>
  <c r="D15" i="2"/>
  <c r="I15" i="2" s="1"/>
  <c r="C15" i="2"/>
  <c r="D14" i="2"/>
  <c r="C14" i="2"/>
  <c r="G14" i="2" s="1"/>
  <c r="D13" i="2"/>
  <c r="I13" i="2" s="1"/>
  <c r="C13" i="2"/>
  <c r="D12" i="2"/>
  <c r="I12" i="2" s="1"/>
  <c r="C12" i="2"/>
  <c r="D11" i="2"/>
  <c r="I11" i="2" s="1"/>
  <c r="C11" i="2"/>
  <c r="D10" i="2"/>
  <c r="C10" i="2"/>
  <c r="A28" i="2"/>
  <c r="A27" i="2"/>
  <c r="A26" i="2"/>
  <c r="A25" i="2"/>
  <c r="A24" i="2"/>
  <c r="C8" i="3"/>
  <c r="G8" i="3" s="1"/>
  <c r="K1" i="10"/>
  <c r="P5" i="9"/>
  <c r="O5" i="7"/>
  <c r="N5" i="6"/>
  <c r="N5" i="5"/>
  <c r="H1" i="3"/>
  <c r="D1" i="1"/>
  <c r="P28" i="10"/>
  <c r="H28" i="10"/>
  <c r="U27" i="10"/>
  <c r="D27" i="10"/>
  <c r="C27" i="10"/>
  <c r="A27" i="10"/>
  <c r="U26" i="10"/>
  <c r="D26" i="10"/>
  <c r="C26" i="10"/>
  <c r="A26" i="10"/>
  <c r="U25" i="10"/>
  <c r="D25" i="10"/>
  <c r="C25" i="10"/>
  <c r="A25" i="10"/>
  <c r="U24" i="10"/>
  <c r="D24" i="10"/>
  <c r="C24" i="10"/>
  <c r="A24" i="10"/>
  <c r="U23" i="10"/>
  <c r="D23" i="10"/>
  <c r="C23" i="10"/>
  <c r="A23" i="10"/>
  <c r="U22" i="10"/>
  <c r="D22" i="10"/>
  <c r="C22" i="10"/>
  <c r="A22" i="10"/>
  <c r="U21" i="10"/>
  <c r="D21" i="10"/>
  <c r="C21" i="10"/>
  <c r="A21" i="10"/>
  <c r="U20" i="10"/>
  <c r="D20" i="10"/>
  <c r="C20" i="10"/>
  <c r="A20" i="10"/>
  <c r="U19" i="10"/>
  <c r="D19" i="10"/>
  <c r="C19" i="10"/>
  <c r="A19" i="10"/>
  <c r="U18" i="10"/>
  <c r="D18" i="10"/>
  <c r="C18" i="10"/>
  <c r="A18" i="10"/>
  <c r="U17" i="10"/>
  <c r="D17" i="10"/>
  <c r="C17" i="10"/>
  <c r="A17" i="10"/>
  <c r="U16" i="10"/>
  <c r="D16" i="10"/>
  <c r="C16" i="10"/>
  <c r="A16" i="10"/>
  <c r="U15" i="10"/>
  <c r="D15" i="10"/>
  <c r="C15" i="10"/>
  <c r="A15" i="10"/>
  <c r="U14" i="10"/>
  <c r="D14" i="10"/>
  <c r="C14" i="10"/>
  <c r="A14" i="10"/>
  <c r="U13" i="10"/>
  <c r="D13" i="10"/>
  <c r="C13" i="10"/>
  <c r="A13" i="10"/>
  <c r="U12" i="10"/>
  <c r="D12" i="10"/>
  <c r="C12" i="10"/>
  <c r="A12" i="10"/>
  <c r="U11" i="10"/>
  <c r="D11" i="10"/>
  <c r="C11" i="10"/>
  <c r="A11" i="10"/>
  <c r="U10" i="10"/>
  <c r="D10" i="10"/>
  <c r="C10" i="10"/>
  <c r="A10" i="10"/>
  <c r="U9" i="10"/>
  <c r="D9" i="10"/>
  <c r="C9" i="10"/>
  <c r="A9" i="10"/>
  <c r="U8" i="10"/>
  <c r="D8" i="10"/>
  <c r="C8" i="10"/>
  <c r="A8" i="10"/>
  <c r="U7" i="10"/>
  <c r="D7" i="10"/>
  <c r="C7" i="10"/>
  <c r="A7" i="10"/>
  <c r="C30" i="9"/>
  <c r="B30" i="9"/>
  <c r="A30" i="9"/>
  <c r="C29" i="9"/>
  <c r="B29" i="9"/>
  <c r="A29" i="9"/>
  <c r="C28" i="9"/>
  <c r="B28" i="9"/>
  <c r="A28" i="9"/>
  <c r="C27" i="9"/>
  <c r="B27" i="9"/>
  <c r="A27" i="9"/>
  <c r="C26" i="9"/>
  <c r="B26" i="9"/>
  <c r="A26" i="9"/>
  <c r="C25" i="9"/>
  <c r="B25" i="9"/>
  <c r="A25" i="9"/>
  <c r="H24" i="9"/>
  <c r="C24" i="9"/>
  <c r="B24" i="9"/>
  <c r="A24" i="9"/>
  <c r="H23" i="9"/>
  <c r="C23" i="9"/>
  <c r="B23" i="9"/>
  <c r="A23" i="9"/>
  <c r="C22" i="9"/>
  <c r="B22" i="9"/>
  <c r="A22" i="9"/>
  <c r="C21" i="9"/>
  <c r="B21" i="9"/>
  <c r="A21" i="9"/>
  <c r="C20" i="9"/>
  <c r="B20" i="9"/>
  <c r="A20" i="9"/>
  <c r="C19" i="9"/>
  <c r="B19" i="9"/>
  <c r="A19" i="9"/>
  <c r="C18" i="9"/>
  <c r="B18" i="9"/>
  <c r="A18" i="9"/>
  <c r="C17" i="9"/>
  <c r="B17" i="9"/>
  <c r="A17" i="9"/>
  <c r="C16" i="9"/>
  <c r="B16" i="9"/>
  <c r="A16" i="9"/>
  <c r="C15" i="9"/>
  <c r="B15" i="9"/>
  <c r="A15" i="9"/>
  <c r="C14" i="9"/>
  <c r="B14" i="9"/>
  <c r="A14" i="9"/>
  <c r="C13" i="9"/>
  <c r="B13" i="9"/>
  <c r="A13" i="9"/>
  <c r="C12" i="9"/>
  <c r="B12" i="9"/>
  <c r="A12" i="9"/>
  <c r="C11" i="9"/>
  <c r="B11" i="9"/>
  <c r="A11" i="9"/>
  <c r="C10" i="9"/>
  <c r="B10" i="9"/>
  <c r="A10" i="9"/>
  <c r="O15" i="7"/>
  <c r="K15" i="7"/>
  <c r="I15" i="7"/>
  <c r="G15" i="7"/>
  <c r="C15" i="7"/>
  <c r="L15" i="7" s="1"/>
  <c r="B15" i="7"/>
  <c r="H15" i="7" s="1"/>
  <c r="A15" i="7"/>
  <c r="O14" i="7"/>
  <c r="K14" i="7"/>
  <c r="I14" i="7"/>
  <c r="G14" i="7"/>
  <c r="C14" i="7"/>
  <c r="L14" i="7" s="1"/>
  <c r="B14" i="7"/>
  <c r="H14" i="7" s="1"/>
  <c r="A14" i="7"/>
  <c r="O13" i="7"/>
  <c r="K13" i="7"/>
  <c r="I13" i="7"/>
  <c r="G13" i="7"/>
  <c r="C13" i="7"/>
  <c r="L13" i="7" s="1"/>
  <c r="B13" i="7"/>
  <c r="H13" i="7" s="1"/>
  <c r="A13" i="7"/>
  <c r="O12" i="7"/>
  <c r="K12" i="7"/>
  <c r="I12" i="7"/>
  <c r="G12" i="7"/>
  <c r="C12" i="7"/>
  <c r="L12" i="7" s="1"/>
  <c r="B12" i="7"/>
  <c r="H12" i="7" s="1"/>
  <c r="A12" i="7"/>
  <c r="O11" i="7"/>
  <c r="K11" i="7"/>
  <c r="I11" i="7"/>
  <c r="G11" i="7"/>
  <c r="C11" i="7"/>
  <c r="L11" i="7" s="1"/>
  <c r="B11" i="7"/>
  <c r="H11" i="7" s="1"/>
  <c r="A11" i="7"/>
  <c r="N15" i="6"/>
  <c r="I15" i="6"/>
  <c r="C15" i="6"/>
  <c r="K15" i="6" s="1"/>
  <c r="B15" i="6"/>
  <c r="H15" i="6" s="1"/>
  <c r="A15" i="6"/>
  <c r="N14" i="6"/>
  <c r="I14" i="6"/>
  <c r="C14" i="6"/>
  <c r="K14" i="6" s="1"/>
  <c r="B14" i="6"/>
  <c r="H14" i="6" s="1"/>
  <c r="A14" i="6"/>
  <c r="N13" i="6"/>
  <c r="I13" i="6"/>
  <c r="C13" i="6"/>
  <c r="K13" i="6" s="1"/>
  <c r="B13" i="6"/>
  <c r="H13" i="6" s="1"/>
  <c r="A13" i="6"/>
  <c r="N12" i="6"/>
  <c r="I12" i="6"/>
  <c r="C12" i="6"/>
  <c r="K12" i="6" s="1"/>
  <c r="B12" i="6"/>
  <c r="H12" i="6" s="1"/>
  <c r="A12" i="6"/>
  <c r="N11" i="6"/>
  <c r="I11" i="6"/>
  <c r="C11" i="6"/>
  <c r="K11" i="6" s="1"/>
  <c r="B11" i="6"/>
  <c r="H11" i="6" s="1"/>
  <c r="A11" i="6"/>
  <c r="N26" i="5"/>
  <c r="I26" i="5"/>
  <c r="C26" i="5"/>
  <c r="K26" i="5" s="1"/>
  <c r="B26" i="5"/>
  <c r="H26" i="5" s="1"/>
  <c r="A26" i="5"/>
  <c r="N25" i="5"/>
  <c r="I25" i="5"/>
  <c r="C25" i="5"/>
  <c r="K25" i="5" s="1"/>
  <c r="B25" i="5"/>
  <c r="H25" i="5" s="1"/>
  <c r="A25" i="5"/>
  <c r="N24" i="5"/>
  <c r="I24" i="5"/>
  <c r="C24" i="5"/>
  <c r="K24" i="5" s="1"/>
  <c r="B24" i="5"/>
  <c r="H24" i="5" s="1"/>
  <c r="A24" i="5"/>
  <c r="N23" i="5"/>
  <c r="I23" i="5"/>
  <c r="C23" i="5"/>
  <c r="K23" i="5" s="1"/>
  <c r="B23" i="5"/>
  <c r="H23" i="5" s="1"/>
  <c r="A23" i="5"/>
  <c r="N22" i="5"/>
  <c r="I22" i="5"/>
  <c r="C22" i="5"/>
  <c r="K22" i="5" s="1"/>
  <c r="B22" i="5"/>
  <c r="H22" i="5" s="1"/>
  <c r="A22" i="5"/>
  <c r="N21" i="5"/>
  <c r="I21" i="5"/>
  <c r="C21" i="5"/>
  <c r="K21" i="5" s="1"/>
  <c r="B21" i="5"/>
  <c r="H21" i="5" s="1"/>
  <c r="A21" i="5"/>
  <c r="N20" i="5"/>
  <c r="I20" i="5"/>
  <c r="C20" i="5"/>
  <c r="K20" i="5" s="1"/>
  <c r="B20" i="5"/>
  <c r="H20" i="5" s="1"/>
  <c r="A20" i="5"/>
  <c r="N19" i="5"/>
  <c r="I19" i="5"/>
  <c r="C19" i="5"/>
  <c r="K19" i="5" s="1"/>
  <c r="B19" i="5"/>
  <c r="H19" i="5" s="1"/>
  <c r="A19" i="5"/>
  <c r="N18" i="5"/>
  <c r="I18" i="5"/>
  <c r="C18" i="5"/>
  <c r="K18" i="5" s="1"/>
  <c r="B18" i="5"/>
  <c r="H18" i="5" s="1"/>
  <c r="A18" i="5"/>
  <c r="N17" i="5"/>
  <c r="I17" i="5"/>
  <c r="C17" i="5"/>
  <c r="K17" i="5" s="1"/>
  <c r="B17" i="5"/>
  <c r="H17" i="5" s="1"/>
  <c r="A17" i="5"/>
  <c r="N16" i="5"/>
  <c r="I16" i="5"/>
  <c r="C16" i="5"/>
  <c r="K16" i="5" s="1"/>
  <c r="B16" i="5"/>
  <c r="H16" i="5" s="1"/>
  <c r="A16" i="5"/>
  <c r="N15" i="5"/>
  <c r="I15" i="5"/>
  <c r="C15" i="5"/>
  <c r="K15" i="5" s="1"/>
  <c r="B15" i="5"/>
  <c r="H15" i="5" s="1"/>
  <c r="A15" i="5"/>
  <c r="N14" i="5"/>
  <c r="I14" i="5"/>
  <c r="C14" i="5"/>
  <c r="K14" i="5" s="1"/>
  <c r="B14" i="5"/>
  <c r="H14" i="5" s="1"/>
  <c r="A14" i="5"/>
  <c r="N13" i="5"/>
  <c r="I13" i="5"/>
  <c r="C13" i="5"/>
  <c r="K13" i="5" s="1"/>
  <c r="B13" i="5"/>
  <c r="H13" i="5" s="1"/>
  <c r="A13" i="5"/>
  <c r="N12" i="5"/>
  <c r="I12" i="5"/>
  <c r="C12" i="5"/>
  <c r="K12" i="5" s="1"/>
  <c r="B12" i="5"/>
  <c r="H12" i="5" s="1"/>
  <c r="A12" i="5"/>
  <c r="N11" i="5"/>
  <c r="I11" i="5"/>
  <c r="C11" i="5"/>
  <c r="K11" i="5" s="1"/>
  <c r="B11" i="5"/>
  <c r="H11" i="5" s="1"/>
  <c r="A11" i="5"/>
  <c r="N13" i="3"/>
  <c r="L13" i="3"/>
  <c r="J12" i="3"/>
  <c r="H12" i="3"/>
  <c r="D12" i="3"/>
  <c r="C12" i="3"/>
  <c r="A12" i="3"/>
  <c r="J11" i="3"/>
  <c r="H11" i="3"/>
  <c r="D11" i="3"/>
  <c r="I11" i="3" s="1"/>
  <c r="C11" i="3"/>
  <c r="G11" i="3" s="1"/>
  <c r="A11" i="3"/>
  <c r="J10" i="3"/>
  <c r="H10" i="3"/>
  <c r="D10" i="3"/>
  <c r="C10" i="3"/>
  <c r="G10" i="3" s="1"/>
  <c r="A10" i="3"/>
  <c r="J9" i="3"/>
  <c r="H9" i="3"/>
  <c r="D9" i="3"/>
  <c r="M9" i="3" s="1"/>
  <c r="C9" i="3"/>
  <c r="A9" i="3"/>
  <c r="J8" i="3"/>
  <c r="H8" i="3"/>
  <c r="D8" i="3"/>
  <c r="A8" i="3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D9" i="2"/>
  <c r="I9" i="2" s="1"/>
  <c r="C9" i="2"/>
  <c r="A9" i="2"/>
  <c r="D8" i="2"/>
  <c r="I8" i="2" s="1"/>
  <c r="C8" i="2"/>
  <c r="G8" i="2" s="1"/>
  <c r="A8" i="2"/>
  <c r="F24" i="9" l="1"/>
  <c r="G24" i="9" s="1"/>
  <c r="I24" i="9" s="1"/>
  <c r="K13" i="12"/>
  <c r="K23" i="12"/>
  <c r="M12" i="12"/>
  <c r="G15" i="12"/>
  <c r="K14" i="12"/>
  <c r="K10" i="12"/>
  <c r="M23" i="12"/>
  <c r="M17" i="12"/>
  <c r="I16" i="12"/>
  <c r="M22" i="12"/>
  <c r="Q9" i="10"/>
  <c r="R9" i="10" s="1"/>
  <c r="Q15" i="10"/>
  <c r="R15" i="10" s="1"/>
  <c r="I10" i="12"/>
  <c r="M10" i="12"/>
  <c r="I14" i="12"/>
  <c r="M14" i="12"/>
  <c r="G17" i="12"/>
  <c r="M11" i="12"/>
  <c r="K9" i="12"/>
  <c r="K11" i="12"/>
  <c r="F18" i="9"/>
  <c r="G18" i="9" s="1"/>
  <c r="I18" i="9" s="1"/>
  <c r="F22" i="9"/>
  <c r="G22" i="9" s="1"/>
  <c r="I22" i="9" s="1"/>
  <c r="G19" i="10"/>
  <c r="I19" i="10" s="1"/>
  <c r="M13" i="12"/>
  <c r="K16" i="12"/>
  <c r="G16" i="12"/>
  <c r="I9" i="12"/>
  <c r="K8" i="12"/>
  <c r="G8" i="12"/>
  <c r="I15" i="12"/>
  <c r="I18" i="12"/>
  <c r="K12" i="12"/>
  <c r="G12" i="12"/>
  <c r="I21" i="12"/>
  <c r="I8" i="12"/>
  <c r="J13" i="3"/>
  <c r="H13" i="3"/>
  <c r="I14" i="2"/>
  <c r="M11" i="3"/>
  <c r="G13" i="2"/>
  <c r="I9" i="3"/>
  <c r="G13" i="10"/>
  <c r="I13" i="10" s="1"/>
  <c r="G9" i="2"/>
  <c r="K8" i="3"/>
  <c r="Q17" i="10"/>
  <c r="R17" i="10" s="1"/>
  <c r="Q7" i="10"/>
  <c r="R7" i="10" s="1"/>
  <c r="F14" i="9"/>
  <c r="G14" i="9" s="1"/>
  <c r="I14" i="9" s="1"/>
  <c r="E21" i="9"/>
  <c r="G17" i="2"/>
  <c r="K12" i="3"/>
  <c r="G12" i="3"/>
  <c r="I8" i="3"/>
  <c r="M8" i="3"/>
  <c r="M10" i="3"/>
  <c r="I12" i="3"/>
  <c r="M12" i="3"/>
  <c r="Q21" i="10"/>
  <c r="R21" i="10" s="1"/>
  <c r="G21" i="10"/>
  <c r="I21" i="10" s="1"/>
  <c r="I10" i="2"/>
  <c r="G16" i="2"/>
  <c r="G21" i="2"/>
  <c r="I18" i="2"/>
  <c r="I22" i="2"/>
  <c r="G19" i="2"/>
  <c r="G11" i="2"/>
  <c r="G18" i="2"/>
  <c r="F22" i="10"/>
  <c r="G22" i="10"/>
  <c r="M22" i="10" s="1"/>
  <c r="G12" i="2"/>
  <c r="G10" i="2"/>
  <c r="G22" i="2"/>
  <c r="F17" i="9"/>
  <c r="G17" i="9" s="1"/>
  <c r="I17" i="9" s="1"/>
  <c r="I23" i="2"/>
  <c r="G9" i="3"/>
  <c r="F13" i="9"/>
  <c r="G13" i="9" s="1"/>
  <c r="I13" i="9" s="1"/>
  <c r="G11" i="10"/>
  <c r="I11" i="10" s="1"/>
  <c r="G26" i="10"/>
  <c r="I26" i="10" s="1"/>
  <c r="Q13" i="10"/>
  <c r="R13" i="10" s="1"/>
  <c r="E26" i="9"/>
  <c r="F26" i="9"/>
  <c r="P26" i="9" s="1"/>
  <c r="R26" i="9" s="1"/>
  <c r="G17" i="10"/>
  <c r="I17" i="10" s="1"/>
  <c r="G9" i="10"/>
  <c r="I9" i="10" s="1"/>
  <c r="Q24" i="10"/>
  <c r="R24" i="10" s="1"/>
  <c r="G24" i="10"/>
  <c r="O24" i="10" s="1"/>
  <c r="G7" i="10"/>
  <c r="I7" i="10" s="1"/>
  <c r="Q11" i="10"/>
  <c r="R11" i="10" s="1"/>
  <c r="G15" i="10"/>
  <c r="I15" i="10" s="1"/>
  <c r="Q19" i="10"/>
  <c r="R19" i="10" s="1"/>
  <c r="N28" i="10"/>
  <c r="Q26" i="10"/>
  <c r="R26" i="10" s="1"/>
  <c r="E17" i="9"/>
  <c r="E20" i="9"/>
  <c r="F21" i="9"/>
  <c r="G21" i="9" s="1"/>
  <c r="I21" i="9" s="1"/>
  <c r="E22" i="9"/>
  <c r="F25" i="9"/>
  <c r="G25" i="9" s="1"/>
  <c r="I25" i="9" s="1"/>
  <c r="F30" i="9"/>
  <c r="G30" i="9" s="1"/>
  <c r="I30" i="9" s="1"/>
  <c r="E30" i="9"/>
  <c r="E13" i="9"/>
  <c r="E16" i="9"/>
  <c r="E18" i="9"/>
  <c r="F28" i="9"/>
  <c r="E28" i="9"/>
  <c r="F10" i="9"/>
  <c r="G10" i="9" s="1"/>
  <c r="I10" i="9" s="1"/>
  <c r="E12" i="9"/>
  <c r="E14" i="9"/>
  <c r="K11" i="3"/>
  <c r="E15" i="9"/>
  <c r="F15" i="9"/>
  <c r="G15" i="9" s="1"/>
  <c r="I15" i="9" s="1"/>
  <c r="I10" i="3"/>
  <c r="K10" i="3"/>
  <c r="E11" i="9"/>
  <c r="F11" i="9"/>
  <c r="G11" i="9" s="1"/>
  <c r="I11" i="9" s="1"/>
  <c r="G15" i="2"/>
  <c r="K9" i="3"/>
  <c r="E23" i="9"/>
  <c r="F23" i="9"/>
  <c r="G23" i="9" s="1"/>
  <c r="I23" i="9" s="1"/>
  <c r="E19" i="9"/>
  <c r="F19" i="9"/>
  <c r="G19" i="9" s="1"/>
  <c r="I19" i="9" s="1"/>
  <c r="F12" i="9"/>
  <c r="G12" i="9" s="1"/>
  <c r="I12" i="9" s="1"/>
  <c r="F16" i="9"/>
  <c r="G16" i="9" s="1"/>
  <c r="I16" i="9" s="1"/>
  <c r="F20" i="9"/>
  <c r="G20" i="9" s="1"/>
  <c r="I20" i="9" s="1"/>
  <c r="E10" i="9"/>
  <c r="E24" i="9"/>
  <c r="E25" i="9"/>
  <c r="F27" i="9"/>
  <c r="E27" i="9"/>
  <c r="G26" i="9"/>
  <c r="I26" i="9" s="1"/>
  <c r="F29" i="9"/>
  <c r="E29" i="9"/>
  <c r="G8" i="10"/>
  <c r="I8" i="10" s="1"/>
  <c r="Q8" i="10"/>
  <c r="R8" i="10" s="1"/>
  <c r="F8" i="10"/>
  <c r="G10" i="10"/>
  <c r="I10" i="10" s="1"/>
  <c r="Q10" i="10"/>
  <c r="R10" i="10" s="1"/>
  <c r="F10" i="10"/>
  <c r="G12" i="10"/>
  <c r="I12" i="10" s="1"/>
  <c r="Q12" i="10"/>
  <c r="R12" i="10" s="1"/>
  <c r="F12" i="10"/>
  <c r="G14" i="10"/>
  <c r="I14" i="10" s="1"/>
  <c r="Q14" i="10"/>
  <c r="R14" i="10" s="1"/>
  <c r="F14" i="10"/>
  <c r="G16" i="10"/>
  <c r="I16" i="10" s="1"/>
  <c r="Q16" i="10"/>
  <c r="R16" i="10" s="1"/>
  <c r="F16" i="10"/>
  <c r="G18" i="10"/>
  <c r="I18" i="10" s="1"/>
  <c r="Q18" i="10"/>
  <c r="R18" i="10" s="1"/>
  <c r="F18" i="10"/>
  <c r="G20" i="10"/>
  <c r="I20" i="10" s="1"/>
  <c r="Q20" i="10"/>
  <c r="R20" i="10" s="1"/>
  <c r="F20" i="10"/>
  <c r="J28" i="10"/>
  <c r="L28" i="10"/>
  <c r="F7" i="10"/>
  <c r="F9" i="10"/>
  <c r="F11" i="10"/>
  <c r="F13" i="10"/>
  <c r="F15" i="10"/>
  <c r="F17" i="10"/>
  <c r="F19" i="10"/>
  <c r="F21" i="10"/>
  <c r="Q22" i="10"/>
  <c r="R22" i="10" s="1"/>
  <c r="G27" i="10"/>
  <c r="Q27" i="10"/>
  <c r="R27" i="10" s="1"/>
  <c r="F27" i="10"/>
  <c r="G25" i="10"/>
  <c r="Q25" i="10"/>
  <c r="R25" i="10" s="1"/>
  <c r="F25" i="10"/>
  <c r="G23" i="10"/>
  <c r="Q23" i="10"/>
  <c r="R23" i="10" s="1"/>
  <c r="F23" i="10"/>
  <c r="F24" i="10"/>
  <c r="F26" i="10"/>
  <c r="O26" i="10" l="1"/>
  <c r="P30" i="9"/>
  <c r="R30" i="9" s="1"/>
  <c r="I24" i="10"/>
  <c r="I22" i="10"/>
  <c r="O31" i="9"/>
  <c r="G34" i="9" s="1"/>
  <c r="J25" i="9"/>
  <c r="L25" i="9" s="1"/>
  <c r="G28" i="9"/>
  <c r="I28" i="9" s="1"/>
  <c r="P28" i="9"/>
  <c r="R28" i="9" s="1"/>
  <c r="I23" i="10"/>
  <c r="O23" i="10"/>
  <c r="R28" i="10"/>
  <c r="P29" i="9"/>
  <c r="R29" i="9" s="1"/>
  <c r="G29" i="9"/>
  <c r="I29" i="9" s="1"/>
  <c r="I27" i="10"/>
  <c r="O27" i="10"/>
  <c r="Q28" i="10"/>
  <c r="I25" i="10"/>
  <c r="O25" i="10"/>
  <c r="P27" i="9"/>
  <c r="R27" i="9" s="1"/>
  <c r="G27" i="9"/>
  <c r="I27" i="9" s="1"/>
  <c r="I31" i="9" l="1"/>
  <c r="G32" i="9" s="1"/>
  <c r="R31" i="9"/>
  <c r="G35" i="9" s="1"/>
  <c r="L31" i="9"/>
  <c r="G33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kim</author>
  </authors>
  <commentList>
    <comment ref="K13" authorId="0" shapeId="0" xr:uid="{00000000-0006-0000-0000-000005000000}">
      <text>
        <r>
          <rPr>
            <b/>
            <sz val="9"/>
            <color rgb="FF000000"/>
            <rFont val="돋움"/>
            <family val="3"/>
            <charset val="129"/>
          </rPr>
          <t>가로사이즈</t>
        </r>
        <r>
          <rPr>
            <b/>
            <sz val="9"/>
            <color rgb="FF000000"/>
            <rFont val="Tahoma"/>
            <family val="2"/>
          </rPr>
          <t xml:space="preserve"> 1200</t>
        </r>
        <r>
          <rPr>
            <b/>
            <sz val="9"/>
            <color rgb="FF000000"/>
            <rFont val="돋움"/>
            <family val="3"/>
            <charset val="129"/>
          </rPr>
          <t>부터</t>
        </r>
        <r>
          <rPr>
            <b/>
            <sz val="9"/>
            <color rgb="FF000000"/>
            <rFont val="Tahoma"/>
            <family val="2"/>
          </rPr>
          <t xml:space="preserve"> 2</t>
        </r>
        <r>
          <rPr>
            <b/>
            <sz val="9"/>
            <color rgb="FF000000"/>
            <rFont val="돋움"/>
            <family val="3"/>
            <charset val="129"/>
          </rPr>
          <t>등분해야함</t>
        </r>
      </text>
    </comment>
    <comment ref="K15" authorId="0" shapeId="0" xr:uid="{00000000-0006-0000-0000-000006000000}">
      <text>
        <r>
          <rPr>
            <b/>
            <sz val="9"/>
            <color rgb="FF000000"/>
            <rFont val="돋움"/>
            <family val="3"/>
            <charset val="129"/>
          </rPr>
          <t>가로사이즈</t>
        </r>
        <r>
          <rPr>
            <b/>
            <sz val="9"/>
            <color rgb="FF000000"/>
            <rFont val="Tahoma"/>
            <family val="2"/>
          </rPr>
          <t xml:space="preserve"> 1200</t>
        </r>
        <r>
          <rPr>
            <b/>
            <sz val="9"/>
            <color rgb="FF000000"/>
            <rFont val="돋움"/>
            <family val="3"/>
            <charset val="129"/>
          </rPr>
          <t>부터</t>
        </r>
        <r>
          <rPr>
            <b/>
            <sz val="9"/>
            <color rgb="FF000000"/>
            <rFont val="Tahoma"/>
            <family val="2"/>
          </rPr>
          <t xml:space="preserve"> 2</t>
        </r>
        <r>
          <rPr>
            <b/>
            <sz val="9"/>
            <color rgb="FF000000"/>
            <rFont val="돋움"/>
            <family val="3"/>
            <charset val="129"/>
          </rPr>
          <t>등분해야함</t>
        </r>
      </text>
    </comment>
  </commentList>
</comments>
</file>

<file path=xl/sharedStrings.xml><?xml version="1.0" encoding="utf-8"?>
<sst xmlns="http://schemas.openxmlformats.org/spreadsheetml/2006/main" count="443" uniqueCount="143">
  <si>
    <t>차열재</t>
  </si>
  <si>
    <t>No</t>
  </si>
  <si>
    <t>비고</t>
  </si>
  <si>
    <t>합계</t>
  </si>
  <si>
    <t>규격</t>
  </si>
  <si>
    <t>TTL</t>
  </si>
  <si>
    <t>VT-064</t>
  </si>
  <si>
    <t>EZ F.B POSMAC Duct-VT-064</t>
  </si>
  <si>
    <t>EZ F.B POSMAC Duct-VT-01</t>
  </si>
  <si>
    <t>라벨소요량(행복산업_KEC 구미공장_251128)</t>
  </si>
  <si>
    <t>25*
1400</t>
  </si>
  <si>
    <t>FS-MP25-0310-3</t>
  </si>
  <si>
    <t>*VM 200(1000*1000)기준</t>
  </si>
  <si>
    <t>수량                확인</t>
  </si>
  <si>
    <t>EZ F.B POSMAC Duct-VT-049</t>
  </si>
  <si>
    <t>차열재 50T*400*3.6M</t>
  </si>
  <si>
    <t>글라스울 25T*1400*20M</t>
  </si>
  <si>
    <t>차열재 50T*600*3.6M</t>
  </si>
  <si>
    <t>절 곡 생 산 일 지(VT_보강대)</t>
  </si>
  <si>
    <t>VT-049</t>
  </si>
  <si>
    <t>특이사항 및
   조치사항</t>
  </si>
  <si>
    <t>설비번호</t>
  </si>
  <si>
    <t>설치위치</t>
  </si>
  <si>
    <t>세로(보강대)</t>
  </si>
  <si>
    <t>50*400</t>
  </si>
  <si>
    <t>소켓내부용</t>
  </si>
  <si>
    <t xml:space="preserve">업 체 </t>
  </si>
  <si>
    <t>50*600</t>
  </si>
  <si>
    <t>글라스울</t>
  </si>
  <si>
    <t>소켓 Lot</t>
  </si>
  <si>
    <t>25*200</t>
  </si>
  <si>
    <t>생산일자</t>
  </si>
  <si>
    <t>평철(mm)</t>
  </si>
  <si>
    <t>수량
(EA)</t>
  </si>
  <si>
    <t>생산 종료</t>
  </si>
  <si>
    <t>인정번호</t>
  </si>
  <si>
    <t>수량(EA)</t>
  </si>
  <si>
    <t>생산 시작</t>
  </si>
  <si>
    <t>25*1400</t>
  </si>
  <si>
    <t>소켓외부용</t>
  </si>
  <si>
    <t>50*
400</t>
  </si>
  <si>
    <t>제품
번호</t>
  </si>
  <si>
    <t>50*
600</t>
  </si>
  <si>
    <t>재고여부</t>
  </si>
  <si>
    <t>E257</t>
  </si>
  <si>
    <t>방화
소켓</t>
  </si>
  <si>
    <t>E256</t>
  </si>
  <si>
    <t>E255</t>
  </si>
  <si>
    <t>분할구조</t>
  </si>
  <si>
    <t>FS-MP25-0310-1</t>
  </si>
  <si>
    <t>FS-MP25-0310-5</t>
  </si>
  <si>
    <t>차열재생산일지(출하용)</t>
  </si>
  <si>
    <t>특이사항 및
 조치사항</t>
  </si>
  <si>
    <t>특이사항 및   조치사항</t>
  </si>
  <si>
    <t>VT-01</t>
  </si>
  <si>
    <t>60mm</t>
  </si>
  <si>
    <t>1.6
이상</t>
  </si>
  <si>
    <t>가로(받침대)</t>
  </si>
  <si>
    <t>플래싱</t>
  </si>
  <si>
    <t>면적</t>
  </si>
  <si>
    <t>산출량</t>
  </si>
  <si>
    <t>소요량</t>
  </si>
  <si>
    <t>수량</t>
  </si>
  <si>
    <t>품명</t>
  </si>
  <si>
    <t>No.</t>
  </si>
  <si>
    <t>폭</t>
  </si>
  <si>
    <t>둘레</t>
  </si>
  <si>
    <t>작업자</t>
  </si>
  <si>
    <t>두께</t>
  </si>
  <si>
    <t>세로</t>
  </si>
  <si>
    <t>좌우</t>
  </si>
  <si>
    <t>가로</t>
  </si>
  <si>
    <t>총량</t>
  </si>
  <si>
    <t>상하</t>
  </si>
  <si>
    <t>구조</t>
  </si>
  <si>
    <t>현장명</t>
    <phoneticPr fontId="32" type="noConversion"/>
  </si>
  <si>
    <t>재단작업지시서
(VT)</t>
    <phoneticPr fontId="32" type="noConversion"/>
  </si>
  <si>
    <t>재단작업지시서(VM)</t>
    <phoneticPr fontId="32" type="noConversion"/>
  </si>
  <si>
    <t>절 곡 생 산 일 지(VM)</t>
    <phoneticPr fontId="32" type="noConversion"/>
  </si>
  <si>
    <t>절 곡 생 산 일 지(VT_브라켓)</t>
    <phoneticPr fontId="32" type="noConversion"/>
  </si>
  <si>
    <t>라벨소요량</t>
    <phoneticPr fontId="32" type="noConversion"/>
  </si>
  <si>
    <t>25*
200</t>
    <phoneticPr fontId="32" type="noConversion"/>
  </si>
  <si>
    <t>구조체작업지시서</t>
    <phoneticPr fontId="32" type="noConversion"/>
  </si>
  <si>
    <t>차열재 25T*200*7.4M</t>
    <phoneticPr fontId="32" type="noConversion"/>
  </si>
  <si>
    <t>01</t>
    <phoneticPr fontId="32" type="noConversion"/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</si>
  <si>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</si>
  <si>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</si>
  <si>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</si>
  <si>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</si>
  <si>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</si>
  <si>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</si>
  <si>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</si>
  <si>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</si>
  <si>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</si>
  <si>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</si>
  <si>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</si>
  <si>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</si>
  <si>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</si>
  <si>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</si>
  <si>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</si>
  <si>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</si>
  <si>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</si>
  <si>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</si>
  <si>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</si>
  <si>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</si>
  <si>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재단작업지시서차열재</t>
    <phoneticPr fontId="32" type="noConversion"/>
  </si>
  <si>
    <r>
      <t>지하</t>
    </r>
    <r>
      <rPr>
        <b/>
        <sz val="10"/>
        <color rgb="FF000000"/>
        <rFont val="Helvetica Neue"/>
        <family val="2"/>
      </rPr>
      <t>1</t>
    </r>
    <r>
      <rPr>
        <b/>
        <sz val="10"/>
        <color rgb="FF000000"/>
        <rFont val="Helvetica Neue"/>
      </rPr>
      <t>층</t>
    </r>
    <r>
      <rPr>
        <b/>
        <sz val="10"/>
        <color rgb="FF000000"/>
        <rFont val="Helvetica Neue"/>
        <family val="2"/>
      </rPr>
      <t xml:space="preserve"> Compressor</t>
    </r>
  </si>
  <si>
    <r>
      <rPr>
        <b/>
        <sz val="10"/>
        <color rgb="FF000000"/>
        <rFont val="Helvetica Neue"/>
      </rPr>
      <t>지하</t>
    </r>
    <r>
      <rPr>
        <b/>
        <sz val="10"/>
        <color rgb="FF000000"/>
        <rFont val="Helvetica Neue"/>
        <family val="2"/>
      </rPr>
      <t>1</t>
    </r>
    <r>
      <rPr>
        <b/>
        <sz val="10"/>
        <color rgb="FF000000"/>
        <rFont val="Helvetica Neue"/>
      </rPr>
      <t>층</t>
    </r>
    <r>
      <rPr>
        <b/>
        <sz val="10"/>
        <color rgb="FF000000"/>
        <rFont val="Helvetica Neue"/>
        <family val="2"/>
      </rPr>
      <t xml:space="preserve"> Compressor</t>
    </r>
  </si>
  <si>
    <r>
      <rPr>
        <b/>
        <sz val="10"/>
        <color rgb="FF000000"/>
        <rFont val="Helvetica Neue"/>
      </rPr>
      <t>폐수관리층</t>
    </r>
  </si>
  <si>
    <r>
      <t>3</t>
    </r>
    <r>
      <rPr>
        <b/>
        <sz val="10"/>
        <color rgb="FF000000"/>
        <rFont val="Helvetica Neue"/>
      </rPr>
      <t>층화장실</t>
    </r>
    <r>
      <rPr>
        <b/>
        <sz val="10"/>
        <color rgb="FF000000"/>
        <rFont val="Helvetica Neue"/>
        <family val="2"/>
      </rPr>
      <t>(PS-3)</t>
    </r>
  </si>
  <si>
    <r>
      <t>1</t>
    </r>
    <r>
      <rPr>
        <b/>
        <sz val="10"/>
        <color rgb="FF000000"/>
        <rFont val="Helvetica Neue"/>
      </rPr>
      <t>층화장실</t>
    </r>
    <r>
      <rPr>
        <b/>
        <sz val="10"/>
        <color rgb="FF000000"/>
        <rFont val="Helvetica Neue"/>
        <family val="2"/>
      </rPr>
      <t>(PS-8)</t>
    </r>
  </si>
  <si>
    <r>
      <t>2</t>
    </r>
    <r>
      <rPr>
        <b/>
        <sz val="10"/>
        <color rgb="FF000000"/>
        <rFont val="Helvetica Neue"/>
      </rPr>
      <t>층화장실</t>
    </r>
    <r>
      <rPr>
        <b/>
        <sz val="10"/>
        <color rgb="FF000000"/>
        <rFont val="Helvetica Neue"/>
        <family val="2"/>
      </rPr>
      <t>(PS-4)</t>
    </r>
  </si>
  <si>
    <r>
      <rPr>
        <b/>
        <sz val="10"/>
        <color rgb="FF000000"/>
        <rFont val="Helvetica Neue"/>
      </rPr>
      <t>저수조실</t>
    </r>
    <r>
      <rPr>
        <b/>
        <sz val="10"/>
        <color rgb="FF000000"/>
        <rFont val="Helvetica Neue"/>
        <family val="2"/>
      </rPr>
      <t>(SF-02)</t>
    </r>
  </si>
  <si>
    <r>
      <rPr>
        <b/>
        <sz val="10"/>
        <color rgb="FF000000"/>
        <rFont val="Helvetica Neue"/>
      </rPr>
      <t>저수조실</t>
    </r>
    <r>
      <rPr>
        <b/>
        <sz val="10"/>
        <color rgb="FF000000"/>
        <rFont val="Helvetica Neue"/>
        <family val="2"/>
      </rPr>
      <t>(EF-02)</t>
    </r>
  </si>
  <si>
    <t>지하1층공동구</t>
  </si>
  <si>
    <t>TA덕트 샘플</t>
  </si>
  <si>
    <t>지하1층 공조실,Customer Part-2</t>
  </si>
  <si>
    <t>3층소형자동창고</t>
  </si>
  <si>
    <r>
      <t>3</t>
    </r>
    <r>
      <rPr>
        <b/>
        <sz val="9"/>
        <color rgb="FF000000"/>
        <rFont val="Helvetica Neue"/>
      </rPr>
      <t>층소형자동창고</t>
    </r>
  </si>
  <si>
    <r>
      <t xml:space="preserve">26.06.01 </t>
    </r>
    <r>
      <rPr>
        <sz val="10"/>
        <color rgb="FF000000"/>
        <rFont val="맑은 고딕"/>
        <family val="3"/>
        <charset val="129"/>
      </rPr>
      <t>엘티</t>
    </r>
    <r>
      <rPr>
        <sz val="10"/>
        <color rgb="FF000000"/>
        <rFont val="Arial"/>
        <family val="2"/>
      </rPr>
      <t>_</t>
    </r>
    <r>
      <rPr>
        <sz val="10"/>
        <color rgb="FF000000"/>
        <rFont val="맑은 고딕"/>
        <family val="3"/>
        <charset val="129"/>
      </rPr>
      <t>신동양기업</t>
    </r>
    <r>
      <rPr>
        <sz val="10"/>
        <color rgb="FF000000"/>
        <rFont val="Arial"/>
        <family val="2"/>
      </rPr>
      <t>_</t>
    </r>
    <r>
      <rPr>
        <sz val="10"/>
        <color rgb="FF000000"/>
        <rFont val="맑은 고딕"/>
        <family val="3"/>
        <charset val="129"/>
      </rPr>
      <t>코오롱글로벌</t>
    </r>
    <r>
      <rPr>
        <sz val="10"/>
        <color rgb="FF000000"/>
        <rFont val="Arial"/>
        <family val="2"/>
      </rPr>
      <t>_</t>
    </r>
    <r>
      <rPr>
        <sz val="10"/>
        <color rgb="FF000000"/>
        <rFont val="맑은 고딕"/>
        <family val="3"/>
        <charset val="129"/>
      </rPr>
      <t>대한항공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운북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엔진정비공장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건립공사</t>
    </r>
    <phoneticPr fontId="32" type="noConversion"/>
  </si>
  <si>
    <t>AJ043</t>
    <phoneticPr fontId="32" type="noConversion"/>
  </si>
  <si>
    <t>AJ044</t>
  </si>
  <si>
    <t>AJ045</t>
  </si>
  <si>
    <t>AJ046</t>
  </si>
  <si>
    <t>AJ047</t>
  </si>
  <si>
    <t>AJ048</t>
  </si>
  <si>
    <t>AJ049</t>
  </si>
  <si>
    <t>AJ050</t>
  </si>
  <si>
    <t>AJ051</t>
  </si>
  <si>
    <t>AJ052</t>
  </si>
  <si>
    <t>AJ053</t>
  </si>
  <si>
    <t>AJ054</t>
  </si>
  <si>
    <t>AJ055</t>
  </si>
  <si>
    <t>AJ056</t>
  </si>
  <si>
    <t>AJ057</t>
  </si>
  <si>
    <t>AJ058</t>
  </si>
  <si>
    <t>AJ059</t>
  </si>
  <si>
    <t>AJ060</t>
  </si>
  <si>
    <t>AJ061</t>
  </si>
  <si>
    <t>AJ062</t>
  </si>
  <si>
    <t>AJ063</t>
  </si>
  <si>
    <t>재고</t>
    <phoneticPr fontId="32" type="noConversion"/>
  </si>
  <si>
    <r>
      <rPr>
        <sz val="10"/>
        <color rgb="FFFF0000"/>
        <rFont val="Helvetica Neue"/>
      </rPr>
      <t>재고</t>
    </r>
    <phoneticPr fontId="3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</si>
</sst>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1" formatCode="_-* #,##0_-;\-* #,##0_-;_-* &quot;-&quot;_-;_-@_-"/>
    <numFmt numFmtId="176" formatCode="&quot; &quot;* #,##0&quot; &quot;;&quot;-&quot;* #,##0&quot; &quot;;&quot; &quot;* &quot;- &quot;;&quot; &quot;@&quot; &quot;"/>
    <numFmt numFmtId="177" formatCode="0.0"/>
    <numFmt numFmtId="178" formatCode="0_);[Red]\(0\)"/>
  </numFmts>
  <fonts count="49">
    <font>
      <sz val="11"/>
      <color rgb="FF000000"/>
      <name val="맑은 고딕"/>
    </font>
    <font>
      <sz val="10"/>
      <color rgb="FF000000"/>
      <name val="Helvetica Neue"/>
    </font>
    <font>
      <b/>
      <sz val="10"/>
      <color rgb="FF000000"/>
      <name val="Helvetica Neue"/>
    </font>
    <font>
      <sz val="18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2060"/>
      <name val="Helvetica Neue"/>
    </font>
    <font>
      <sz val="10"/>
      <color rgb="FF002060"/>
      <name val="Helvetica Neue"/>
    </font>
    <font>
      <b/>
      <sz val="11"/>
      <color rgb="FF002060"/>
      <name val="Helvetica Neue"/>
    </font>
    <font>
      <b/>
      <sz val="10"/>
      <color rgb="FF002060"/>
      <name val="맑은 고딕"/>
      <family val="3"/>
      <charset val="129"/>
    </font>
    <font>
      <b/>
      <sz val="10"/>
      <color rgb="FF5B9BD5"/>
      <name val="맑은 고딕"/>
      <family val="3"/>
      <charset val="129"/>
    </font>
    <font>
      <b/>
      <sz val="10"/>
      <color rgb="FF44546A"/>
      <name val="맑은 고딕"/>
      <family val="3"/>
      <charset val="129"/>
    </font>
    <font>
      <b/>
      <sz val="10"/>
      <color rgb="FF0070C0"/>
      <name val="맑은 고딕"/>
      <family val="3"/>
      <charset val="129"/>
    </font>
    <font>
      <b/>
      <sz val="10"/>
      <color rgb="FF4472C4"/>
      <name val="맑은 고딕"/>
      <family val="3"/>
      <charset val="129"/>
    </font>
    <font>
      <sz val="10"/>
      <color rgb="FFFF0000"/>
      <name val="맑은 고딕"/>
      <family val="3"/>
      <charset val="129"/>
    </font>
    <font>
      <b/>
      <sz val="10"/>
      <color rgb="FF7C7C7C"/>
      <name val="맑은 고딕"/>
      <family val="3"/>
      <charset val="129"/>
    </font>
    <font>
      <b/>
      <sz val="10"/>
      <color rgb="FFC00000"/>
      <name val="맑은 고딕"/>
      <family val="3"/>
      <charset val="129"/>
    </font>
    <font>
      <sz val="11"/>
      <color rgb="FF000000"/>
      <name val="Helvetica Neue"/>
    </font>
    <font>
      <b/>
      <sz val="11"/>
      <color rgb="FF7030A0"/>
      <name val="맑은 고딕"/>
      <family val="3"/>
      <charset val="129"/>
    </font>
    <font>
      <b/>
      <sz val="11"/>
      <color rgb="FF0070C0"/>
      <name val="맑은 고딕"/>
      <family val="3"/>
      <charset val="129"/>
    </font>
    <font>
      <b/>
      <sz val="11"/>
      <color rgb="FF4472C4"/>
      <name val="맑은 고딕"/>
      <family val="3"/>
      <charset val="129"/>
    </font>
    <font>
      <b/>
      <sz val="10"/>
      <color rgb="FF002060"/>
      <name val="Helvetica Neue"/>
    </font>
    <font>
      <b/>
      <sz val="10"/>
      <color rgb="FFFF0000"/>
      <name val="맑은 고딕"/>
      <family val="3"/>
      <charset val="129"/>
    </font>
    <font>
      <b/>
      <sz val="11"/>
      <color rgb="FF002060"/>
      <name val="맑은 고딕"/>
      <family val="3"/>
      <charset val="129"/>
    </font>
    <font>
      <sz val="11"/>
      <color rgb="FFED7D31"/>
      <name val="맑은 고딕"/>
      <family val="3"/>
      <charset val="129"/>
    </font>
    <font>
      <sz val="19"/>
      <color rgb="FF000000"/>
      <name val="맑은 고딕"/>
      <family val="3"/>
      <charset val="129"/>
    </font>
    <font>
      <sz val="28"/>
      <color rgb="FF000000"/>
      <name val="맑은 고딕"/>
      <family val="3"/>
      <charset val="129"/>
    </font>
    <font>
      <sz val="18"/>
      <color rgb="FF0070C0"/>
      <name val="맑은 고딕"/>
      <family val="3"/>
      <charset val="129"/>
    </font>
    <font>
      <b/>
      <sz val="9"/>
      <color rgb="FF000000"/>
      <name val="돋움"/>
      <family val="3"/>
      <charset val="129"/>
    </font>
    <font>
      <b/>
      <sz val="9"/>
      <color rgb="FF000000"/>
      <name val="Tahoma"/>
      <family val="2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20"/>
      <color rgb="FF000000"/>
      <name val="Helvetica Neue"/>
      <family val="2"/>
    </font>
    <font>
      <sz val="20"/>
      <color rgb="FF000000"/>
      <name val="Helvetica Neue"/>
    </font>
    <font>
      <b/>
      <sz val="11"/>
      <color rgb="FF000000"/>
      <name val="Helvetica Neue"/>
    </font>
    <font>
      <b/>
      <sz val="11"/>
      <color rgb="FFC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16"/>
      <color rgb="FF000000"/>
      <name val="맑은 고딕"/>
      <family val="3"/>
      <charset val="129"/>
    </font>
    <font>
      <b/>
      <sz val="9"/>
      <color rgb="FF000000"/>
      <name val="Helvetica Neue"/>
    </font>
    <font>
      <b/>
      <sz val="9"/>
      <color rgb="FF000000"/>
      <name val="Helvetica Neue"/>
      <family val="2"/>
    </font>
    <font>
      <b/>
      <sz val="10"/>
      <color rgb="FF000000"/>
      <name val="Helvetica Neue"/>
      <family val="2"/>
    </font>
    <font>
      <sz val="10"/>
      <color rgb="FF000000"/>
      <name val="Arial"/>
      <family val="2"/>
    </font>
    <font>
      <sz val="10"/>
      <color rgb="FFFF0000"/>
      <name val="Helvetica Neue"/>
    </font>
    <font>
      <strike/>
      <sz val="10"/>
      <color rgb="FFFF0000"/>
      <name val="맑은 고딕"/>
      <family val="3"/>
      <charset val="129"/>
    </font>
    <font>
      <strike/>
      <sz val="11"/>
      <color rgb="FFFF0000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b/>
      <strike/>
      <sz val="11"/>
      <color rgb="FFFF0000"/>
      <name val="맑은 고딕"/>
      <family val="3"/>
      <charset val="129"/>
    </font>
    <font>
      <sz val="10"/>
      <color rgb="FFFF0000"/>
      <name val="Helvetica Neue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8D6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0000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rgb="FFA5A5A5"/>
      </bottom>
      <diagonal/>
    </border>
    <border>
      <left/>
      <right/>
      <top style="thick">
        <color rgb="FFA5A5A5"/>
      </top>
      <bottom/>
      <diagonal/>
    </border>
    <border>
      <left/>
      <right style="thick">
        <color rgb="FFA5A5A5"/>
      </right>
      <top style="thick">
        <color rgb="FFA5A5A5"/>
      </top>
      <bottom/>
      <diagonal/>
    </border>
    <border>
      <left style="thick">
        <color rgb="FFA5A5A5"/>
      </left>
      <right/>
      <top/>
      <bottom/>
      <diagonal/>
    </border>
    <border>
      <left/>
      <right style="thick">
        <color rgb="FFA5A5A5"/>
      </right>
      <top/>
      <bottom/>
      <diagonal/>
    </border>
    <border>
      <left style="thick">
        <color rgb="FFA5A5A5"/>
      </left>
      <right/>
      <top/>
      <bottom style="thick">
        <color rgb="FFA5A5A5"/>
      </bottom>
      <diagonal/>
    </border>
    <border>
      <left/>
      <right style="thick">
        <color rgb="FFA5A5A5"/>
      </right>
      <top/>
      <bottom style="thick">
        <color rgb="FFA5A5A5"/>
      </bottom>
      <diagonal/>
    </border>
  </borders>
  <cellStyleXfs count="4">
    <xf numFmtId="0" fontId="0" fillId="0" borderId="0">
      <alignment vertical="center"/>
    </xf>
    <xf numFmtId="0" fontId="31" fillId="0" borderId="0">
      <alignment vertical="center"/>
    </xf>
    <xf numFmtId="176" fontId="31" fillId="0" borderId="0">
      <alignment vertical="center"/>
    </xf>
    <xf numFmtId="0" fontId="1" fillId="0" borderId="0">
      <alignment vertical="center"/>
    </xf>
  </cellStyleXfs>
  <cellXfs count="35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1" fillId="0" borderId="0" xfId="1">
      <alignment vertical="center"/>
    </xf>
    <xf numFmtId="0" fontId="31" fillId="0" borderId="1" xfId="1" applyBorder="1">
      <alignment vertical="center"/>
    </xf>
    <xf numFmtId="0" fontId="1" fillId="0" borderId="0" xfId="3" applyAlignment="1">
      <alignment vertical="top" wrapText="1"/>
    </xf>
    <xf numFmtId="0" fontId="1" fillId="0" borderId="0" xfId="3">
      <alignment vertical="center"/>
    </xf>
    <xf numFmtId="0" fontId="2" fillId="2" borderId="0" xfId="3" applyFont="1" applyFill="1" applyAlignment="1">
      <alignment vertical="center" wrapText="1"/>
    </xf>
    <xf numFmtId="0" fontId="1" fillId="0" borderId="0" xfId="3" applyAlignment="1">
      <alignment vertical="center" wrapText="1"/>
    </xf>
    <xf numFmtId="0" fontId="2" fillId="2" borderId="0" xfId="3" applyFont="1" applyFill="1" applyAlignment="1">
      <alignment horizontal="center" vertical="center" wrapText="1"/>
    </xf>
    <xf numFmtId="0" fontId="3" fillId="0" borderId="0" xfId="3" applyFont="1" applyAlignment="1">
      <alignment horizontal="left" vertical="center"/>
    </xf>
    <xf numFmtId="0" fontId="2" fillId="0" borderId="0" xfId="3" applyFont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5" fillId="0" borderId="0" xfId="0" applyFont="1">
      <alignment vertical="center"/>
    </xf>
    <xf numFmtId="176" fontId="31" fillId="0" borderId="5" xfId="2" applyBorder="1" applyAlignment="1">
      <alignment horizontal="center" vertical="center"/>
    </xf>
    <xf numFmtId="176" fontId="31" fillId="0" borderId="6" xfId="2" applyBorder="1" applyAlignment="1">
      <alignment horizontal="center" vertical="center"/>
    </xf>
    <xf numFmtId="176" fontId="31" fillId="0" borderId="7" xfId="2" applyBorder="1" applyAlignment="1">
      <alignment horizontal="center" vertical="center"/>
    </xf>
    <xf numFmtId="176" fontId="31" fillId="0" borderId="8" xfId="2" applyBorder="1" applyAlignment="1">
      <alignment horizontal="center" vertical="center"/>
    </xf>
    <xf numFmtId="0" fontId="6" fillId="0" borderId="9" xfId="1" applyFont="1" applyBorder="1" applyAlignment="1">
      <alignment horizontal="center" vertical="center" wrapText="1"/>
    </xf>
    <xf numFmtId="0" fontId="6" fillId="0" borderId="10" xfId="1" applyFont="1" applyBorder="1" applyAlignment="1">
      <alignment horizontal="center" vertical="center" wrapText="1"/>
    </xf>
    <xf numFmtId="176" fontId="31" fillId="0" borderId="12" xfId="2" applyBorder="1" applyAlignment="1">
      <alignment horizontal="center" vertical="center"/>
    </xf>
    <xf numFmtId="176" fontId="31" fillId="0" borderId="10" xfId="2" applyBorder="1" applyAlignment="1">
      <alignment horizontal="center" vertical="center"/>
    </xf>
    <xf numFmtId="176" fontId="31" fillId="0" borderId="13" xfId="2" applyBorder="1" applyAlignment="1">
      <alignment horizontal="center" vertical="center"/>
    </xf>
    <xf numFmtId="176" fontId="31" fillId="0" borderId="14" xfId="2" applyBorder="1" applyAlignment="1">
      <alignment horizontal="center" vertical="center"/>
    </xf>
    <xf numFmtId="0" fontId="6" fillId="0" borderId="15" xfId="1" applyFont="1" applyBorder="1" applyAlignment="1">
      <alignment horizontal="center" vertical="center" wrapText="1"/>
    </xf>
    <xf numFmtId="0" fontId="6" fillId="0" borderId="16" xfId="1" applyFont="1" applyBorder="1" applyAlignment="1">
      <alignment horizontal="center" vertical="center" wrapText="1"/>
    </xf>
    <xf numFmtId="0" fontId="31" fillId="0" borderId="17" xfId="1" applyBorder="1" applyAlignment="1">
      <alignment horizontal="center" vertical="center"/>
    </xf>
    <xf numFmtId="0" fontId="6" fillId="0" borderId="18" xfId="1" applyFont="1" applyBorder="1" applyAlignment="1">
      <alignment horizontal="center" vertical="center" wrapText="1"/>
    </xf>
    <xf numFmtId="0" fontId="6" fillId="0" borderId="19" xfId="1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31" fillId="0" borderId="18" xfId="1" applyBorder="1" applyAlignment="1">
      <alignment horizontal="center" vertical="center" wrapText="1"/>
    </xf>
    <xf numFmtId="0" fontId="7" fillId="0" borderId="18" xfId="3" applyFont="1" applyBorder="1" applyAlignment="1">
      <alignment horizontal="center" vertical="center" wrapText="1"/>
    </xf>
    <xf numFmtId="0" fontId="1" fillId="0" borderId="19" xfId="3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8" fillId="0" borderId="19" xfId="3" applyFont="1" applyBorder="1" applyAlignment="1">
      <alignment horizontal="center" vertical="center" shrinkToFit="1"/>
    </xf>
    <xf numFmtId="0" fontId="1" fillId="0" borderId="19" xfId="3" applyBorder="1" applyAlignment="1">
      <alignment horizontal="center" vertical="center" shrinkToFit="1"/>
    </xf>
    <xf numFmtId="0" fontId="31" fillId="0" borderId="19" xfId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6" fillId="5" borderId="18" xfId="0" applyFont="1" applyFill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9" fillId="0" borderId="18" xfId="3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177" fontId="6" fillId="0" borderId="18" xfId="0" applyNumberFormat="1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shrinkToFit="1"/>
    </xf>
    <xf numFmtId="0" fontId="12" fillId="0" borderId="18" xfId="0" applyFont="1" applyBorder="1" applyAlignment="1">
      <alignment horizontal="center" vertical="center" shrinkToFit="1"/>
    </xf>
    <xf numFmtId="0" fontId="13" fillId="0" borderId="19" xfId="0" applyFont="1" applyBorder="1" applyAlignment="1">
      <alignment horizontal="center" vertical="center" shrinkToFit="1"/>
    </xf>
    <xf numFmtId="0" fontId="4" fillId="5" borderId="18" xfId="0" applyFont="1" applyFill="1" applyBorder="1" applyAlignment="1">
      <alignment horizontal="center" vertical="center" wrapText="1"/>
    </xf>
    <xf numFmtId="0" fontId="14" fillId="0" borderId="18" xfId="0" applyFont="1" applyBorder="1" applyAlignment="1">
      <alignment horizontal="center" vertical="center" shrinkToFit="1"/>
    </xf>
    <xf numFmtId="0" fontId="10" fillId="5" borderId="18" xfId="0" applyFont="1" applyFill="1" applyBorder="1" applyAlignment="1">
      <alignment horizontal="center" vertical="center" wrapText="1"/>
    </xf>
    <xf numFmtId="0" fontId="15" fillId="5" borderId="18" xfId="0" applyFont="1" applyFill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shrinkToFit="1"/>
    </xf>
    <xf numFmtId="0" fontId="17" fillId="0" borderId="18" xfId="0" applyFont="1" applyBorder="1" applyAlignment="1">
      <alignment horizontal="center" vertical="center" shrinkToFit="1"/>
    </xf>
    <xf numFmtId="0" fontId="5" fillId="0" borderId="20" xfId="0" applyFont="1" applyBorder="1" applyAlignment="1">
      <alignment horizontal="center" vertical="center" wrapText="1"/>
    </xf>
    <xf numFmtId="0" fontId="9" fillId="0" borderId="20" xfId="3" applyFont="1" applyBorder="1" applyAlignment="1">
      <alignment horizontal="center" vertical="center" wrapText="1"/>
    </xf>
    <xf numFmtId="0" fontId="6" fillId="5" borderId="20" xfId="0" applyFont="1" applyFill="1" applyBorder="1" applyAlignment="1">
      <alignment horizontal="center" vertical="center" wrapText="1"/>
    </xf>
    <xf numFmtId="0" fontId="6" fillId="0" borderId="20" xfId="0" applyFont="1" applyBorder="1" applyAlignment="1">
      <alignment vertical="center" wrapText="1"/>
    </xf>
    <xf numFmtId="0" fontId="0" fillId="0" borderId="21" xfId="0" applyBorder="1" applyAlignment="1">
      <alignment horizontal="center" vertical="center"/>
    </xf>
    <xf numFmtId="0" fontId="5" fillId="0" borderId="15" xfId="0" applyFont="1" applyBorder="1" applyAlignment="1">
      <alignment horizontal="center" vertical="center" wrapText="1"/>
    </xf>
    <xf numFmtId="0" fontId="9" fillId="0" borderId="15" xfId="3" applyFont="1" applyBorder="1" applyAlignment="1">
      <alignment horizontal="center" vertical="center" wrapText="1"/>
    </xf>
    <xf numFmtId="0" fontId="31" fillId="0" borderId="15" xfId="1" applyBorder="1" applyAlignment="1">
      <alignment horizontal="center" vertical="center" wrapText="1"/>
    </xf>
    <xf numFmtId="0" fontId="2" fillId="2" borderId="16" xfId="3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18" fillId="4" borderId="18" xfId="3" applyFont="1" applyFill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" fillId="2" borderId="19" xfId="3" applyFont="1" applyFill="1" applyBorder="1" applyAlignment="1">
      <alignment horizontal="center" vertical="center" wrapText="1"/>
    </xf>
    <xf numFmtId="0" fontId="18" fillId="3" borderId="18" xfId="3" applyFont="1" applyFill="1" applyBorder="1" applyAlignment="1">
      <alignment horizontal="center" vertical="center" wrapText="1"/>
    </xf>
    <xf numFmtId="0" fontId="18" fillId="6" borderId="18" xfId="3" applyFont="1" applyFill="1" applyBorder="1" applyAlignment="1">
      <alignment horizontal="center" vertical="center" wrapText="1"/>
    </xf>
    <xf numFmtId="0" fontId="21" fillId="0" borderId="18" xfId="1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5" fillId="0" borderId="20" xfId="1" applyFont="1" applyBorder="1" applyAlignment="1">
      <alignment horizontal="center" vertical="center"/>
    </xf>
    <xf numFmtId="0" fontId="5" fillId="0" borderId="23" xfId="1" applyFont="1" applyBorder="1" applyAlignment="1">
      <alignment horizontal="center" vertical="center"/>
    </xf>
    <xf numFmtId="0" fontId="5" fillId="0" borderId="15" xfId="1" applyFont="1" applyBorder="1" applyAlignment="1">
      <alignment horizontal="center" vertical="center" wrapText="1"/>
    </xf>
    <xf numFmtId="0" fontId="31" fillId="0" borderId="16" xfId="1" applyBorder="1" applyAlignment="1">
      <alignment horizontal="center" vertical="center" wrapText="1"/>
    </xf>
    <xf numFmtId="0" fontId="5" fillId="0" borderId="18" xfId="1" applyFont="1" applyBorder="1" applyAlignment="1">
      <alignment horizontal="center" vertical="center" wrapText="1"/>
    </xf>
    <xf numFmtId="0" fontId="31" fillId="0" borderId="15" xfId="1" applyBorder="1" applyAlignment="1">
      <alignment vertical="center" wrapText="1"/>
    </xf>
    <xf numFmtId="0" fontId="31" fillId="0" borderId="18" xfId="1" applyBorder="1" applyAlignment="1">
      <alignment vertical="center" wrapText="1"/>
    </xf>
    <xf numFmtId="0" fontId="22" fillId="0" borderId="15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3" fillId="0" borderId="19" xfId="1" applyFont="1" applyBorder="1" applyAlignment="1">
      <alignment horizontal="center" vertical="center" wrapText="1"/>
    </xf>
    <xf numFmtId="0" fontId="24" fillId="0" borderId="18" xfId="0" applyFont="1" applyBorder="1" applyAlignment="1">
      <alignment horizontal="center" vertical="center" wrapText="1"/>
    </xf>
    <xf numFmtId="0" fontId="0" fillId="7" borderId="18" xfId="0" applyFill="1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6" fillId="0" borderId="20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25" fillId="0" borderId="18" xfId="0" applyFont="1" applyBorder="1" applyAlignment="1">
      <alignment horizontal="center" vertical="center"/>
    </xf>
    <xf numFmtId="0" fontId="0" fillId="0" borderId="20" xfId="0" applyBorder="1">
      <alignment vertical="center"/>
    </xf>
    <xf numFmtId="0" fontId="0" fillId="0" borderId="23" xfId="0" applyBorder="1">
      <alignment vertical="center"/>
    </xf>
    <xf numFmtId="0" fontId="0" fillId="5" borderId="20" xfId="0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 wrapText="1"/>
    </xf>
    <xf numFmtId="0" fontId="1" fillId="10" borderId="0" xfId="3" applyFill="1">
      <alignment vertical="center"/>
    </xf>
    <xf numFmtId="0" fontId="1" fillId="0" borderId="35" xfId="3" applyBorder="1" applyAlignment="1">
      <alignment vertical="top" wrapText="1"/>
    </xf>
    <xf numFmtId="0" fontId="2" fillId="0" borderId="18" xfId="3" applyFont="1" applyBorder="1" applyAlignment="1">
      <alignment horizontal="center" vertical="center" wrapText="1"/>
    </xf>
    <xf numFmtId="0" fontId="2" fillId="0" borderId="19" xfId="3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4" fillId="4" borderId="18" xfId="1" applyFont="1" applyFill="1" applyBorder="1" applyAlignment="1">
      <alignment horizontal="center" vertical="center" wrapText="1"/>
    </xf>
    <xf numFmtId="0" fontId="4" fillId="4" borderId="18" xfId="0" applyFont="1" applyFill="1" applyBorder="1" applyAlignment="1">
      <alignment horizontal="center" vertical="center" wrapText="1"/>
    </xf>
    <xf numFmtId="0" fontId="35" fillId="6" borderId="18" xfId="3" applyFont="1" applyFill="1" applyBorder="1" applyAlignment="1">
      <alignment horizontal="center" vertical="center" wrapText="1"/>
    </xf>
    <xf numFmtId="0" fontId="36" fillId="0" borderId="18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20" xfId="0" applyFont="1" applyBorder="1" applyAlignment="1">
      <alignment vertical="center" wrapText="1"/>
    </xf>
    <xf numFmtId="0" fontId="5" fillId="0" borderId="20" xfId="1" applyFont="1" applyBorder="1">
      <alignment vertical="center"/>
    </xf>
    <xf numFmtId="0" fontId="3" fillId="0" borderId="30" xfId="0" applyFont="1" applyBorder="1">
      <alignment vertical="center"/>
    </xf>
    <xf numFmtId="0" fontId="3" fillId="0" borderId="24" xfId="0" applyFont="1" applyBorder="1">
      <alignment vertical="center"/>
    </xf>
    <xf numFmtId="0" fontId="3" fillId="0" borderId="25" xfId="0" applyFont="1" applyBorder="1">
      <alignment vertical="center"/>
    </xf>
    <xf numFmtId="0" fontId="1" fillId="0" borderId="17" xfId="3" quotePrefix="1" applyBorder="1" applyAlignment="1">
      <alignment horizontal="center" vertical="center" wrapText="1"/>
    </xf>
    <xf numFmtId="178" fontId="21" fillId="0" borderId="18" xfId="1" applyNumberFormat="1" applyFont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3" borderId="5" xfId="1" applyFont="1" applyFill="1" applyBorder="1" applyAlignment="1">
      <alignment horizontal="center" vertical="center" wrapText="1"/>
    </xf>
    <xf numFmtId="0" fontId="4" fillId="3" borderId="25" xfId="1" applyFont="1" applyFill="1" applyBorder="1" applyAlignment="1">
      <alignment horizontal="center" vertical="center" wrapText="1"/>
    </xf>
    <xf numFmtId="0" fontId="5" fillId="0" borderId="21" xfId="1" applyFont="1" applyBorder="1" applyAlignment="1">
      <alignment horizontal="center" vertical="center"/>
    </xf>
    <xf numFmtId="0" fontId="35" fillId="4" borderId="15" xfId="3" applyFont="1" applyFill="1" applyBorder="1" applyAlignment="1">
      <alignment horizontal="center" vertical="center" wrapText="1"/>
    </xf>
    <xf numFmtId="0" fontId="19" fillId="0" borderId="15" xfId="1" applyFont="1" applyBorder="1" applyAlignment="1">
      <alignment horizontal="center" vertical="center" wrapText="1"/>
    </xf>
    <xf numFmtId="178" fontId="19" fillId="0" borderId="15" xfId="1" applyNumberFormat="1" applyFont="1" applyBorder="1" applyAlignment="1">
      <alignment horizontal="center" vertical="center" wrapText="1"/>
    </xf>
    <xf numFmtId="0" fontId="20" fillId="0" borderId="15" xfId="1" applyFont="1" applyBorder="1" applyAlignment="1">
      <alignment horizontal="center" vertical="center" wrapText="1"/>
    </xf>
    <xf numFmtId="0" fontId="5" fillId="0" borderId="17" xfId="1" applyFont="1" applyBorder="1" applyAlignment="1">
      <alignment horizontal="center" vertical="center"/>
    </xf>
    <xf numFmtId="0" fontId="35" fillId="4" borderId="18" xfId="3" applyFont="1" applyFill="1" applyBorder="1" applyAlignment="1">
      <alignment horizontal="center" vertical="center" wrapText="1"/>
    </xf>
    <xf numFmtId="0" fontId="19" fillId="0" borderId="18" xfId="1" applyFont="1" applyBorder="1" applyAlignment="1">
      <alignment horizontal="center" vertical="center" wrapText="1"/>
    </xf>
    <xf numFmtId="178" fontId="19" fillId="0" borderId="18" xfId="1" applyNumberFormat="1" applyFont="1" applyBorder="1" applyAlignment="1">
      <alignment horizontal="center" vertical="center" wrapText="1"/>
    </xf>
    <xf numFmtId="0" fontId="20" fillId="0" borderId="18" xfId="1" applyFont="1" applyBorder="1" applyAlignment="1">
      <alignment horizontal="center" vertical="center" wrapText="1"/>
    </xf>
    <xf numFmtId="0" fontId="5" fillId="0" borderId="19" xfId="1" applyFont="1" applyBorder="1" applyAlignment="1">
      <alignment horizontal="center" vertical="center" wrapText="1"/>
    </xf>
    <xf numFmtId="0" fontId="35" fillId="3" borderId="18" xfId="3" applyFont="1" applyFill="1" applyBorder="1" applyAlignment="1">
      <alignment horizontal="center" vertical="center" wrapText="1"/>
    </xf>
    <xf numFmtId="177" fontId="6" fillId="5" borderId="18" xfId="0" applyNumberFormat="1" applyFont="1" applyFill="1" applyBorder="1" applyAlignment="1">
      <alignment horizontal="center" vertical="center" wrapText="1"/>
    </xf>
    <xf numFmtId="0" fontId="39" fillId="0" borderId="19" xfId="3" applyFont="1" applyBorder="1" applyAlignment="1">
      <alignment horizontal="center" vertical="center" wrapText="1"/>
    </xf>
    <xf numFmtId="0" fontId="40" fillId="0" borderId="19" xfId="3" applyFont="1" applyBorder="1" applyAlignment="1">
      <alignment horizontal="center" vertical="center" wrapText="1"/>
    </xf>
    <xf numFmtId="0" fontId="41" fillId="0" borderId="19" xfId="3" applyFont="1" applyBorder="1" applyAlignment="1">
      <alignment horizontal="center" vertical="center" wrapText="1"/>
    </xf>
    <xf numFmtId="0" fontId="44" fillId="0" borderId="17" xfId="3" quotePrefix="1" applyFont="1" applyBorder="1" applyAlignment="1">
      <alignment horizontal="center" vertical="center" wrapText="1"/>
    </xf>
    <xf numFmtId="0" fontId="45" fillId="4" borderId="18" xfId="3" applyFont="1" applyFill="1" applyBorder="1" applyAlignment="1">
      <alignment horizontal="center" vertical="center" wrapText="1"/>
    </xf>
    <xf numFmtId="0" fontId="45" fillId="0" borderId="18" xfId="0" applyFont="1" applyBorder="1" applyAlignment="1">
      <alignment horizontal="center" vertical="center" wrapText="1"/>
    </xf>
    <xf numFmtId="0" fontId="23" fillId="0" borderId="18" xfId="3" applyFont="1" applyBorder="1" applyAlignment="1">
      <alignment horizontal="center" vertical="center" wrapText="1"/>
    </xf>
    <xf numFmtId="0" fontId="47" fillId="0" borderId="17" xfId="1" applyFont="1" applyBorder="1" applyAlignment="1">
      <alignment horizontal="center" vertical="center"/>
    </xf>
    <xf numFmtId="0" fontId="47" fillId="4" borderId="18" xfId="3" applyFont="1" applyFill="1" applyBorder="1" applyAlignment="1">
      <alignment horizontal="center" vertical="center" wrapText="1"/>
    </xf>
    <xf numFmtId="0" fontId="47" fillId="0" borderId="18" xfId="1" applyFont="1" applyBorder="1" applyAlignment="1">
      <alignment horizontal="center" vertical="center" wrapText="1"/>
    </xf>
    <xf numFmtId="0" fontId="47" fillId="0" borderId="18" xfId="3" applyFont="1" applyBorder="1" applyAlignment="1">
      <alignment horizontal="center" vertical="center" wrapText="1"/>
    </xf>
    <xf numFmtId="178" fontId="47" fillId="0" borderId="18" xfId="1" applyNumberFormat="1" applyFont="1" applyBorder="1" applyAlignment="1">
      <alignment horizontal="center" vertical="center" wrapText="1"/>
    </xf>
    <xf numFmtId="0" fontId="46" fillId="0" borderId="19" xfId="1" applyFont="1" applyBorder="1" applyAlignment="1">
      <alignment horizontal="center" vertical="center" wrapText="1"/>
    </xf>
    <xf numFmtId="0" fontId="47" fillId="0" borderId="17" xfId="0" applyFont="1" applyBorder="1" applyAlignment="1">
      <alignment horizontal="center" vertical="center"/>
    </xf>
    <xf numFmtId="0" fontId="47" fillId="0" borderId="18" xfId="0" applyFont="1" applyBorder="1" applyAlignment="1">
      <alignment horizontal="center" vertical="center" wrapText="1"/>
    </xf>
    <xf numFmtId="0" fontId="46" fillId="0" borderId="19" xfId="0" applyFont="1" applyBorder="1" applyAlignment="1">
      <alignment horizontal="center" vertical="center" wrapText="1"/>
    </xf>
    <xf numFmtId="0" fontId="45" fillId="0" borderId="17" xfId="1" applyFont="1" applyBorder="1" applyAlignment="1">
      <alignment horizontal="center" vertical="center"/>
    </xf>
    <xf numFmtId="0" fontId="45" fillId="0" borderId="18" xfId="1" applyFont="1" applyBorder="1" applyAlignment="1">
      <alignment horizontal="center" vertical="center" wrapText="1"/>
    </xf>
    <xf numFmtId="0" fontId="45" fillId="0" borderId="18" xfId="3" applyFont="1" applyBorder="1" applyAlignment="1">
      <alignment horizontal="center" vertical="center" wrapText="1"/>
    </xf>
    <xf numFmtId="0" fontId="43" fillId="0" borderId="19" xfId="3" applyFont="1" applyBorder="1" applyAlignment="1">
      <alignment horizontal="center" vertical="center" shrinkToFit="1"/>
    </xf>
    <xf numFmtId="0" fontId="48" fillId="0" borderId="19" xfId="3" applyFont="1" applyBorder="1" applyAlignment="1">
      <alignment horizontal="center" vertical="center" shrinkToFit="1"/>
    </xf>
    <xf numFmtId="0" fontId="3" fillId="0" borderId="26" xfId="3" applyFont="1" applyBorder="1" applyAlignment="1">
      <alignment horizontal="left" vertical="center"/>
    </xf>
    <xf numFmtId="0" fontId="2" fillId="8" borderId="18" xfId="3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7" xfId="3" applyFont="1" applyBorder="1" applyAlignment="1">
      <alignment horizontal="center" vertical="center"/>
    </xf>
    <xf numFmtId="0" fontId="0" fillId="0" borderId="28" xfId="3" applyFont="1" applyBorder="1" applyAlignment="1">
      <alignment horizontal="center" vertical="center"/>
    </xf>
    <xf numFmtId="0" fontId="33" fillId="0" borderId="35" xfId="3" applyFont="1" applyBorder="1" applyAlignment="1">
      <alignment horizontal="center" vertical="center" wrapText="1"/>
    </xf>
    <xf numFmtId="0" fontId="33" fillId="0" borderId="37" xfId="3" applyFont="1" applyBorder="1" applyAlignment="1">
      <alignment horizontal="center" vertical="center" wrapText="1"/>
    </xf>
    <xf numFmtId="0" fontId="33" fillId="0" borderId="0" xfId="3" applyFont="1" applyAlignment="1">
      <alignment horizontal="center" vertical="center" wrapText="1"/>
    </xf>
    <xf numFmtId="0" fontId="33" fillId="0" borderId="39" xfId="3" applyFont="1" applyBorder="1" applyAlignment="1">
      <alignment horizontal="center" vertical="center" wrapText="1"/>
    </xf>
    <xf numFmtId="0" fontId="33" fillId="0" borderId="34" xfId="3" applyFont="1" applyBorder="1" applyAlignment="1">
      <alignment horizontal="center" vertical="center" wrapText="1"/>
    </xf>
    <xf numFmtId="0" fontId="34" fillId="0" borderId="35" xfId="3" applyFont="1" applyBorder="1" applyAlignment="1">
      <alignment horizontal="center" vertical="center" shrinkToFit="1"/>
    </xf>
    <xf numFmtId="0" fontId="34" fillId="0" borderId="36" xfId="3" applyFont="1" applyBorder="1" applyAlignment="1">
      <alignment horizontal="center" vertical="center" shrinkToFit="1"/>
    </xf>
    <xf numFmtId="0" fontId="34" fillId="0" borderId="0" xfId="3" applyFont="1" applyAlignment="1">
      <alignment horizontal="center" vertical="center" shrinkToFit="1"/>
    </xf>
    <xf numFmtId="0" fontId="34" fillId="0" borderId="38" xfId="3" applyFont="1" applyBorder="1" applyAlignment="1">
      <alignment horizontal="center" vertical="center" shrinkToFit="1"/>
    </xf>
    <xf numFmtId="0" fontId="34" fillId="0" borderId="34" xfId="3" applyFont="1" applyBorder="1" applyAlignment="1">
      <alignment horizontal="center" vertical="center" shrinkToFit="1"/>
    </xf>
    <xf numFmtId="0" fontId="34" fillId="0" borderId="40" xfId="3" applyFont="1" applyBorder="1" applyAlignment="1">
      <alignment horizontal="center" vertical="center" shrinkToFit="1"/>
    </xf>
    <xf numFmtId="0" fontId="0" fillId="0" borderId="21" xfId="0" applyBorder="1" applyAlignment="1">
      <alignment horizontal="center" vertical="center"/>
    </xf>
    <xf numFmtId="0" fontId="1" fillId="8" borderId="17" xfId="3" applyFill="1" applyBorder="1" applyAlignment="1">
      <alignment horizontal="center" vertical="center" wrapText="1"/>
    </xf>
    <xf numFmtId="0" fontId="2" fillId="8" borderId="15" xfId="3" applyFont="1" applyFill="1" applyBorder="1" applyAlignment="1">
      <alignment horizontal="center" vertical="center" wrapText="1"/>
    </xf>
    <xf numFmtId="0" fontId="2" fillId="8" borderId="16" xfId="3" applyFont="1" applyFill="1" applyBorder="1" applyAlignment="1">
      <alignment horizontal="center" vertical="center" wrapText="1"/>
    </xf>
    <xf numFmtId="0" fontId="2" fillId="8" borderId="19" xfId="3" applyFont="1" applyFill="1" applyBorder="1" applyAlignment="1">
      <alignment horizontal="center" vertical="center" wrapText="1"/>
    </xf>
    <xf numFmtId="0" fontId="3" fillId="0" borderId="24" xfId="1" applyFont="1" applyBorder="1" applyAlignment="1">
      <alignment horizontal="center" vertical="center" shrinkToFit="1"/>
    </xf>
    <xf numFmtId="0" fontId="3" fillId="0" borderId="11" xfId="1" applyFont="1" applyBorder="1" applyAlignment="1">
      <alignment horizontal="center" vertical="center" shrinkToFit="1"/>
    </xf>
    <xf numFmtId="0" fontId="3" fillId="0" borderId="30" xfId="1" applyFont="1" applyBorder="1" applyAlignment="1">
      <alignment horizontal="center" vertical="center" shrinkToFit="1"/>
    </xf>
    <xf numFmtId="0" fontId="3" fillId="0" borderId="0" xfId="1" applyFont="1" applyAlignment="1">
      <alignment horizontal="center" vertical="center" shrinkToFit="1"/>
    </xf>
    <xf numFmtId="0" fontId="3" fillId="0" borderId="25" xfId="1" applyFont="1" applyBorder="1" applyAlignment="1">
      <alignment horizontal="center" vertical="center" shrinkToFit="1"/>
    </xf>
    <xf numFmtId="0" fontId="3" fillId="0" borderId="2" xfId="1" applyFont="1" applyBorder="1" applyAlignment="1">
      <alignment horizontal="center" vertical="center" shrinkToFit="1"/>
    </xf>
    <xf numFmtId="0" fontId="3" fillId="0" borderId="3" xfId="1" applyFont="1" applyBorder="1" applyAlignment="1">
      <alignment horizontal="center" vertical="center" shrinkToFit="1"/>
    </xf>
    <xf numFmtId="0" fontId="3" fillId="0" borderId="31" xfId="1" applyFont="1" applyBorder="1" applyAlignment="1">
      <alignment horizontal="center" vertical="center" shrinkToFit="1"/>
    </xf>
    <xf numFmtId="0" fontId="3" fillId="0" borderId="29" xfId="1" applyFont="1" applyBorder="1" applyAlignment="1">
      <alignment horizontal="center" vertical="center" shrinkToFit="1"/>
    </xf>
    <xf numFmtId="0" fontId="31" fillId="0" borderId="2" xfId="1" applyBorder="1" applyAlignment="1">
      <alignment horizontal="center" vertical="center"/>
    </xf>
    <xf numFmtId="0" fontId="5" fillId="3" borderId="1" xfId="1" applyFont="1" applyFill="1" applyBorder="1" applyAlignment="1">
      <alignment horizontal="center" vertical="center"/>
    </xf>
    <xf numFmtId="0" fontId="5" fillId="3" borderId="9" xfId="1" applyFont="1" applyFill="1" applyBorder="1" applyAlignment="1">
      <alignment horizontal="center" vertical="center"/>
    </xf>
    <xf numFmtId="0" fontId="5" fillId="3" borderId="10" xfId="1" applyFont="1" applyFill="1" applyBorder="1" applyAlignment="1">
      <alignment horizontal="center" vertical="center"/>
    </xf>
    <xf numFmtId="0" fontId="5" fillId="3" borderId="5" xfId="1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vertical="center" wrapText="1"/>
    </xf>
    <xf numFmtId="0" fontId="4" fillId="3" borderId="9" xfId="1" applyFont="1" applyFill="1" applyBorder="1" applyAlignment="1">
      <alignment horizontal="center" vertical="center" wrapText="1"/>
    </xf>
    <xf numFmtId="0" fontId="4" fillId="3" borderId="10" xfId="1" applyFont="1" applyFill="1" applyBorder="1" applyAlignment="1">
      <alignment horizontal="center" vertical="center" wrapText="1"/>
    </xf>
    <xf numFmtId="0" fontId="4" fillId="3" borderId="5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3" borderId="27" xfId="1" applyFont="1" applyFill="1" applyBorder="1" applyAlignment="1">
      <alignment horizontal="center" vertical="center" wrapText="1"/>
    </xf>
    <xf numFmtId="0" fontId="4" fillId="3" borderId="28" xfId="1" applyFont="1" applyFill="1" applyBorder="1" applyAlignment="1">
      <alignment horizontal="center" vertical="center" wrapText="1"/>
    </xf>
    <xf numFmtId="0" fontId="4" fillId="4" borderId="18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4" fillId="0" borderId="22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26" fillId="0" borderId="24" xfId="0" applyFont="1" applyBorder="1" applyAlignment="1">
      <alignment horizontal="center" vertical="center" wrapText="1"/>
    </xf>
    <xf numFmtId="0" fontId="26" fillId="0" borderId="11" xfId="0" applyFont="1" applyBorder="1" applyAlignment="1">
      <alignment horizontal="center" vertical="center"/>
    </xf>
    <xf numFmtId="0" fontId="26" fillId="0" borderId="30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26" fillId="0" borderId="11" xfId="0" applyFont="1" applyBorder="1" applyAlignment="1">
      <alignment horizontal="center" vertical="center" shrinkToFit="1"/>
    </xf>
    <xf numFmtId="0" fontId="26" fillId="0" borderId="3" xfId="0" applyFont="1" applyBorder="1" applyAlignment="1">
      <alignment horizontal="center" vertical="center" shrinkToFit="1"/>
    </xf>
    <xf numFmtId="0" fontId="26" fillId="0" borderId="0" xfId="0" applyFont="1" applyAlignment="1">
      <alignment horizontal="center" vertical="center" shrinkToFit="1"/>
    </xf>
    <xf numFmtId="0" fontId="26" fillId="0" borderId="31" xfId="0" applyFont="1" applyBorder="1" applyAlignment="1">
      <alignment horizontal="center" vertical="center" shrinkToFit="1"/>
    </xf>
    <xf numFmtId="0" fontId="26" fillId="0" borderId="2" xfId="0" applyFont="1" applyBorder="1" applyAlignment="1">
      <alignment horizontal="center" vertical="center" shrinkToFit="1"/>
    </xf>
    <xf numFmtId="0" fontId="26" fillId="0" borderId="29" xfId="0" applyFont="1" applyBorder="1" applyAlignment="1">
      <alignment horizontal="center" vertical="center" shrinkToFit="1"/>
    </xf>
    <xf numFmtId="0" fontId="5" fillId="4" borderId="21" xfId="0" applyFont="1" applyFill="1" applyBorder="1" applyAlignment="1">
      <alignment horizontal="center" vertical="center"/>
    </xf>
    <xf numFmtId="0" fontId="5" fillId="4" borderId="17" xfId="0" applyFont="1" applyFill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/>
    </xf>
    <xf numFmtId="0" fontId="5" fillId="4" borderId="18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 wrapText="1"/>
    </xf>
    <xf numFmtId="0" fontId="4" fillId="4" borderId="16" xfId="0" applyFont="1" applyFill="1" applyBorder="1" applyAlignment="1">
      <alignment horizontal="center" vertical="center" wrapText="1"/>
    </xf>
    <xf numFmtId="0" fontId="4" fillId="4" borderId="19" xfId="0" applyFont="1" applyFill="1" applyBorder="1" applyAlignment="1">
      <alignment horizontal="center" vertical="center" wrapText="1"/>
    </xf>
    <xf numFmtId="0" fontId="4" fillId="4" borderId="18" xfId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27" xfId="0" applyFont="1" applyFill="1" applyBorder="1" applyAlignment="1">
      <alignment horizontal="center" vertical="center" wrapText="1"/>
    </xf>
    <xf numFmtId="0" fontId="38" fillId="0" borderId="24" xfId="0" applyFont="1" applyBorder="1" applyAlignment="1">
      <alignment horizontal="center" vertical="center" wrapText="1" shrinkToFit="1"/>
    </xf>
    <xf numFmtId="0" fontId="38" fillId="0" borderId="11" xfId="0" applyFont="1" applyBorder="1" applyAlignment="1">
      <alignment horizontal="center" vertical="center" wrapText="1" shrinkToFit="1"/>
    </xf>
    <xf numFmtId="0" fontId="38" fillId="0" borderId="30" xfId="0" applyFont="1" applyBorder="1" applyAlignment="1">
      <alignment horizontal="center" vertical="center" wrapText="1" shrinkToFit="1"/>
    </xf>
    <xf numFmtId="0" fontId="38" fillId="0" borderId="0" xfId="0" applyFont="1" applyAlignment="1">
      <alignment horizontal="center" vertical="center" wrapText="1" shrinkToFit="1"/>
    </xf>
    <xf numFmtId="0" fontId="38" fillId="0" borderId="25" xfId="0" applyFont="1" applyBorder="1" applyAlignment="1">
      <alignment horizontal="center" vertical="center" wrapText="1" shrinkToFit="1"/>
    </xf>
    <xf numFmtId="0" fontId="38" fillId="0" borderId="2" xfId="0" applyFont="1" applyBorder="1" applyAlignment="1">
      <alignment horizontal="center" vertical="center" wrapText="1" shrinkToFit="1"/>
    </xf>
    <xf numFmtId="0" fontId="3" fillId="0" borderId="11" xfId="0" applyFont="1" applyBorder="1" applyAlignment="1">
      <alignment horizontal="center" vertical="center" shrinkToFit="1"/>
    </xf>
    <xf numFmtId="0" fontId="3" fillId="0" borderId="3" xfId="0" applyFont="1" applyBorder="1" applyAlignment="1">
      <alignment horizontal="center" vertical="center" shrinkToFit="1"/>
    </xf>
    <xf numFmtId="0" fontId="3" fillId="0" borderId="0" xfId="0" applyFont="1" applyAlignment="1">
      <alignment horizontal="center" vertical="center" shrinkToFit="1"/>
    </xf>
    <xf numFmtId="0" fontId="3" fillId="0" borderId="31" xfId="0" applyFont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 shrinkToFit="1"/>
    </xf>
    <xf numFmtId="0" fontId="3" fillId="0" borderId="29" xfId="0" applyFont="1" applyBorder="1" applyAlignment="1">
      <alignment horizontal="center" vertical="center" shrinkToFit="1"/>
    </xf>
    <xf numFmtId="0" fontId="5" fillId="3" borderId="1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178" fontId="31" fillId="0" borderId="18" xfId="1" applyNumberFormat="1" applyBorder="1" applyAlignment="1">
      <alignment horizontal="center" vertical="center" wrapText="1"/>
    </xf>
    <xf numFmtId="0" fontId="31" fillId="0" borderId="1" xfId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178" fontId="45" fillId="0" borderId="18" xfId="1" applyNumberFormat="1" applyFont="1" applyBorder="1" applyAlignment="1">
      <alignment horizontal="center" vertical="center" wrapText="1"/>
    </xf>
    <xf numFmtId="0" fontId="31" fillId="0" borderId="21" xfId="1" applyBorder="1" applyAlignment="1">
      <alignment horizontal="center" vertical="center"/>
    </xf>
    <xf numFmtId="0" fontId="31" fillId="0" borderId="17" xfId="1" applyBorder="1" applyAlignment="1">
      <alignment horizontal="center" vertical="center"/>
    </xf>
    <xf numFmtId="0" fontId="6" fillId="0" borderId="15" xfId="1" applyFont="1" applyBorder="1" applyAlignment="1">
      <alignment horizontal="center" vertical="center" wrapText="1"/>
    </xf>
    <xf numFmtId="0" fontId="6" fillId="0" borderId="18" xfId="1" applyFont="1" applyBorder="1" applyAlignment="1">
      <alignment horizontal="center" vertical="center" wrapText="1"/>
    </xf>
    <xf numFmtId="0" fontId="6" fillId="0" borderId="16" xfId="1" applyFont="1" applyBorder="1" applyAlignment="1">
      <alignment horizontal="center" vertical="center" wrapText="1"/>
    </xf>
    <xf numFmtId="0" fontId="6" fillId="0" borderId="19" xfId="1" applyFont="1" applyBorder="1" applyAlignment="1">
      <alignment horizontal="center" vertical="center" wrapText="1"/>
    </xf>
    <xf numFmtId="0" fontId="27" fillId="0" borderId="24" xfId="1" applyFont="1" applyBorder="1" applyAlignment="1">
      <alignment horizontal="center" vertical="center" shrinkToFit="1"/>
    </xf>
    <xf numFmtId="0" fontId="27" fillId="0" borderId="11" xfId="1" applyFont="1" applyBorder="1" applyAlignment="1">
      <alignment horizontal="center" vertical="center" shrinkToFit="1"/>
    </xf>
    <xf numFmtId="0" fontId="27" fillId="0" borderId="3" xfId="1" applyFont="1" applyBorder="1" applyAlignment="1">
      <alignment horizontal="center" vertical="center" shrinkToFit="1"/>
    </xf>
    <xf numFmtId="0" fontId="27" fillId="0" borderId="30" xfId="1" applyFont="1" applyBorder="1" applyAlignment="1">
      <alignment horizontal="center" vertical="center" shrinkToFit="1"/>
    </xf>
    <xf numFmtId="0" fontId="27" fillId="0" borderId="0" xfId="1" applyFont="1" applyAlignment="1">
      <alignment horizontal="center" vertical="center" shrinkToFit="1"/>
    </xf>
    <xf numFmtId="0" fontId="27" fillId="0" borderId="31" xfId="1" applyFont="1" applyBorder="1" applyAlignment="1">
      <alignment horizontal="center" vertical="center" shrinkToFit="1"/>
    </xf>
    <xf numFmtId="0" fontId="27" fillId="0" borderId="25" xfId="1" applyFont="1" applyBorder="1" applyAlignment="1">
      <alignment horizontal="center" vertical="center" shrinkToFit="1"/>
    </xf>
    <xf numFmtId="0" fontId="27" fillId="0" borderId="2" xfId="1" applyFont="1" applyBorder="1" applyAlignment="1">
      <alignment horizontal="center" vertical="center" shrinkToFit="1"/>
    </xf>
    <xf numFmtId="0" fontId="27" fillId="0" borderId="29" xfId="1" applyFont="1" applyBorder="1" applyAlignment="1">
      <alignment horizontal="center" vertical="center" shrinkToFit="1"/>
    </xf>
    <xf numFmtId="0" fontId="31" fillId="0" borderId="4" xfId="1" applyBorder="1" applyAlignment="1">
      <alignment horizontal="center" vertical="center"/>
    </xf>
    <xf numFmtId="0" fontId="31" fillId="0" borderId="28" xfId="1" applyBorder="1" applyAlignment="1">
      <alignment horizontal="center" vertical="center"/>
    </xf>
    <xf numFmtId="0" fontId="37" fillId="0" borderId="1" xfId="1" applyFont="1" applyBorder="1" applyAlignment="1">
      <alignment horizontal="center" vertical="center" wrapText="1"/>
    </xf>
    <xf numFmtId="0" fontId="31" fillId="0" borderId="24" xfId="1" applyBorder="1" applyAlignment="1">
      <alignment horizontal="center" vertical="center"/>
    </xf>
    <xf numFmtId="0" fontId="31" fillId="0" borderId="3" xfId="1" applyBorder="1" applyAlignment="1">
      <alignment horizontal="center" vertical="center"/>
    </xf>
    <xf numFmtId="178" fontId="5" fillId="0" borderId="15" xfId="1" applyNumberFormat="1" applyFont="1" applyBorder="1" applyAlignment="1">
      <alignment horizontal="center" vertical="center" wrapText="1"/>
    </xf>
    <xf numFmtId="178" fontId="5" fillId="0" borderId="18" xfId="1" applyNumberFormat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6" fillId="0" borderId="9" xfId="1" applyFont="1" applyBorder="1" applyAlignment="1">
      <alignment horizontal="center" vertical="center" wrapText="1"/>
    </xf>
    <xf numFmtId="0" fontId="6" fillId="0" borderId="10" xfId="1" applyFont="1" applyBorder="1" applyAlignment="1">
      <alignment horizontal="center" vertical="center" wrapText="1"/>
    </xf>
    <xf numFmtId="0" fontId="6" fillId="0" borderId="30" xfId="1" applyFont="1" applyBorder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6" fillId="0" borderId="31" xfId="1" applyFont="1" applyBorder="1" applyAlignment="1">
      <alignment horizontal="center" vertical="center" wrapText="1"/>
    </xf>
    <xf numFmtId="0" fontId="37" fillId="0" borderId="1" xfId="1" applyFont="1" applyBorder="1" applyAlignment="1">
      <alignment horizontal="center" vertical="center" wrapText="1" shrinkToFit="1"/>
    </xf>
    <xf numFmtId="0" fontId="27" fillId="0" borderId="24" xfId="1" applyFont="1" applyBorder="1" applyAlignment="1">
      <alignment horizontal="center" vertical="center"/>
    </xf>
    <xf numFmtId="0" fontId="27" fillId="0" borderId="11" xfId="1" applyFont="1" applyBorder="1" applyAlignment="1">
      <alignment horizontal="center" vertical="center"/>
    </xf>
    <xf numFmtId="0" fontId="27" fillId="0" borderId="3" xfId="1" applyFont="1" applyBorder="1" applyAlignment="1">
      <alignment horizontal="center" vertical="center"/>
    </xf>
    <xf numFmtId="0" fontId="27" fillId="0" borderId="30" xfId="1" applyFont="1" applyBorder="1" applyAlignment="1">
      <alignment horizontal="center" vertical="center"/>
    </xf>
    <xf numFmtId="0" fontId="27" fillId="0" borderId="0" xfId="1" applyFont="1" applyAlignment="1">
      <alignment horizontal="center" vertical="center"/>
    </xf>
    <xf numFmtId="0" fontId="27" fillId="0" borderId="31" xfId="1" applyFont="1" applyBorder="1" applyAlignment="1">
      <alignment horizontal="center" vertical="center"/>
    </xf>
    <xf numFmtId="0" fontId="27" fillId="0" borderId="25" xfId="1" applyFont="1" applyBorder="1" applyAlignment="1">
      <alignment horizontal="center" vertical="center"/>
    </xf>
    <xf numFmtId="0" fontId="27" fillId="0" borderId="2" xfId="1" applyFont="1" applyBorder="1" applyAlignment="1">
      <alignment horizontal="center" vertical="center"/>
    </xf>
    <xf numFmtId="0" fontId="27" fillId="0" borderId="29" xfId="1" applyFont="1" applyBorder="1" applyAlignment="1">
      <alignment horizontal="center" vertical="center"/>
    </xf>
    <xf numFmtId="0" fontId="31" fillId="0" borderId="25" xfId="1" applyBorder="1" applyAlignment="1">
      <alignment horizontal="center" vertical="center"/>
    </xf>
    <xf numFmtId="0" fontId="31" fillId="0" borderId="29" xfId="1" applyBorder="1" applyAlignment="1">
      <alignment horizontal="center" vertical="center"/>
    </xf>
    <xf numFmtId="0" fontId="31" fillId="0" borderId="9" xfId="1" applyBorder="1" applyAlignment="1">
      <alignment horizontal="center" vertical="center"/>
    </xf>
    <xf numFmtId="0" fontId="6" fillId="0" borderId="4" xfId="1" applyFont="1" applyBorder="1" applyAlignment="1">
      <alignment horizontal="center" vertical="center" wrapText="1"/>
    </xf>
    <xf numFmtId="0" fontId="6" fillId="0" borderId="27" xfId="1" applyFont="1" applyBorder="1" applyAlignment="1">
      <alignment horizontal="center" vertical="center" wrapText="1"/>
    </xf>
    <xf numFmtId="0" fontId="6" fillId="0" borderId="28" xfId="1" applyFont="1" applyBorder="1" applyAlignment="1">
      <alignment horizontal="center" vertical="center" wrapText="1"/>
    </xf>
    <xf numFmtId="0" fontId="6" fillId="0" borderId="24" xfId="1" applyFont="1" applyBorder="1" applyAlignment="1">
      <alignment horizontal="center" vertical="center" wrapText="1"/>
    </xf>
    <xf numFmtId="41" fontId="31" fillId="0" borderId="15" xfId="1" applyNumberFormat="1" applyBorder="1" applyAlignment="1">
      <alignment horizontal="left" vertical="center" wrapText="1"/>
    </xf>
    <xf numFmtId="0" fontId="31" fillId="0" borderId="15" xfId="1" applyBorder="1" applyAlignment="1">
      <alignment horizontal="left" vertical="center" wrapText="1"/>
    </xf>
    <xf numFmtId="41" fontId="31" fillId="0" borderId="18" xfId="1" applyNumberFormat="1" applyBorder="1" applyAlignment="1">
      <alignment horizontal="left" vertical="center" wrapText="1"/>
    </xf>
    <xf numFmtId="0" fontId="31" fillId="0" borderId="18" xfId="1" applyBorder="1" applyAlignment="1">
      <alignment horizontal="left" vertical="center" wrapText="1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27" xfId="0" applyFill="1" applyBorder="1" applyAlignment="1">
      <alignment horizontal="center" vertical="center"/>
    </xf>
    <xf numFmtId="0" fontId="0" fillId="5" borderId="32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0" fontId="0" fillId="5" borderId="23" xfId="0" applyFill="1" applyBorder="1" applyAlignment="1">
      <alignment horizontal="center" vertical="center"/>
    </xf>
    <xf numFmtId="0" fontId="28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2" borderId="4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177" fontId="0" fillId="2" borderId="33" xfId="0" applyNumberFormat="1" applyFill="1" applyBorder="1" applyAlignment="1">
      <alignment horizontal="center" vertical="center" wrapText="1"/>
    </xf>
    <xf numFmtId="177" fontId="0" fillId="2" borderId="27" xfId="0" applyNumberFormat="1" applyFill="1" applyBorder="1" applyAlignment="1">
      <alignment horizontal="center" vertical="center" wrapText="1"/>
    </xf>
    <xf numFmtId="177" fontId="0" fillId="2" borderId="28" xfId="0" applyNumberFormat="1" applyFill="1" applyBorder="1" applyAlignment="1">
      <alignment horizontal="center" vertical="center" wrapText="1"/>
    </xf>
    <xf numFmtId="0" fontId="31" fillId="2" borderId="4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7" fillId="0" borderId="24" xfId="0" applyFont="1" applyBorder="1" applyAlignment="1">
      <alignment horizontal="center" vertical="center" wrapText="1" shrinkToFit="1"/>
    </xf>
    <xf numFmtId="0" fontId="37" fillId="0" borderId="11" xfId="0" applyFont="1" applyBorder="1" applyAlignment="1">
      <alignment horizontal="center" vertical="center" wrapText="1" shrinkToFit="1"/>
    </xf>
    <xf numFmtId="0" fontId="37" fillId="0" borderId="3" xfId="0" applyFont="1" applyBorder="1" applyAlignment="1">
      <alignment horizontal="center" vertical="center" wrapText="1" shrinkToFit="1"/>
    </xf>
    <xf numFmtId="0" fontId="37" fillId="0" borderId="25" xfId="0" applyFont="1" applyBorder="1" applyAlignment="1">
      <alignment horizontal="center" vertical="center" wrapText="1" shrinkToFit="1"/>
    </xf>
    <xf numFmtId="0" fontId="37" fillId="0" borderId="2" xfId="0" applyFont="1" applyBorder="1" applyAlignment="1">
      <alignment horizontal="center" vertical="center" wrapText="1" shrinkToFit="1"/>
    </xf>
    <xf numFmtId="0" fontId="37" fillId="0" borderId="29" xfId="0" applyFont="1" applyBorder="1" applyAlignment="1">
      <alignment horizontal="center" vertical="center" wrapText="1" shrinkToFit="1"/>
    </xf>
    <xf numFmtId="0" fontId="0" fillId="0" borderId="4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6" fillId="9" borderId="15" xfId="0" applyFont="1" applyFill="1" applyBorder="1" applyAlignment="1">
      <alignment horizontal="center" vertical="center" wrapText="1"/>
    </xf>
    <xf numFmtId="0" fontId="6" fillId="9" borderId="18" xfId="0" applyFont="1" applyFill="1" applyBorder="1" applyAlignment="1">
      <alignment horizontal="center" vertical="center" wrapText="1"/>
    </xf>
    <xf numFmtId="0" fontId="6" fillId="9" borderId="16" xfId="0" applyFont="1" applyFill="1" applyBorder="1" applyAlignment="1">
      <alignment horizontal="center" vertical="center" wrapText="1"/>
    </xf>
    <xf numFmtId="0" fontId="6" fillId="9" borderId="19" xfId="0" applyFont="1" applyFill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5" fillId="0" borderId="15" xfId="0" applyFont="1" applyBorder="1" applyAlignment="1">
      <alignment horizontal="center" vertical="center" wrapText="1"/>
    </xf>
    <xf numFmtId="0" fontId="25" fillId="0" borderId="18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4">
    <cellStyle name="쉼표 [0] 2 2" xfId="2" xr:uid="{00000000-0005-0000-0000-000002000000}"/>
    <cellStyle name="표준" xfId="0" builtinId="0"/>
    <cellStyle name="표준 2" xfId="1" xr:uid="{00000000-0005-0000-0000-000001000000}"/>
    <cellStyle name="표준 3" xfId="3" xr:uid="{00000000-0005-0000-0000-00000300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3</xdr:col>
      <xdr:colOff>142875</xdr:colOff>
      <xdr:row>2</xdr:row>
      <xdr:rowOff>152400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EF33AE9F-5E46-41B8-9EC1-F6CF615ECC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1457325" cy="57150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200025</xdr:rowOff>
    </xdr:from>
    <xdr:to>
      <xdr:col>3</xdr:col>
      <xdr:colOff>590549</xdr:colOff>
      <xdr:row>2</xdr:row>
      <xdr:rowOff>171449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19050" y="200025"/>
          <a:ext cx="2038350" cy="66675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3</xdr:col>
      <xdr:colOff>142875</xdr:colOff>
      <xdr:row>2</xdr:row>
      <xdr:rowOff>152400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1457325" cy="57150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4</xdr:col>
      <xdr:colOff>85724</xdr:colOff>
      <xdr:row>3</xdr:row>
      <xdr:rowOff>38100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2038350" cy="66675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3</xdr:col>
      <xdr:colOff>514350</xdr:colOff>
      <xdr:row>3</xdr:row>
      <xdr:rowOff>38100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2038350" cy="66675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4</xdr:col>
      <xdr:colOff>85724</xdr:colOff>
      <xdr:row>3</xdr:row>
      <xdr:rowOff>38100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2038350" cy="66675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247649</xdr:colOff>
      <xdr:row>0</xdr:row>
      <xdr:rowOff>0</xdr:rowOff>
    </xdr:from>
    <xdr:to>
      <xdr:col>3</xdr:col>
      <xdr:colOff>904875</xdr:colOff>
      <xdr:row>2</xdr:row>
      <xdr:rowOff>247649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47650" y="0"/>
          <a:ext cx="2038350" cy="66675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18</xdr:col>
      <xdr:colOff>419100</xdr:colOff>
      <xdr:row>24</xdr:row>
      <xdr:rowOff>0</xdr:rowOff>
    </xdr:to>
    <xdr:sp macro="" textlink="">
      <xdr:nvSpPr>
        <xdr:cNvPr id="2049" name="AutoShape 1" hidden="1">
          <a:extLst>
            <a:ext uri="{FF2B5EF4-FFF2-40B4-BE49-F238E27FC236}">
              <a16:creationId xmlns:a16="http://schemas.microsoft.com/office/drawing/2014/main" id="{00000000-0008-0000-0800-000001080000}"/>
            </a:ext>
          </a:extLst>
        </xdr:cNvPr>
        <xdr:cNvSpPr>
          <a:spLocks noSelect="1" noChangeArrowheads="1"/>
        </xdr:cNvSpPr>
      </xdr:nvSpPr>
      <xdr:spPr>
        <a:xfrm>
          <a:off x="0" y="0"/>
          <a:ext cx="9763125" cy="90011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3</xdr:col>
      <xdr:colOff>485775</xdr:colOff>
      <xdr:row>2</xdr:row>
      <xdr:rowOff>295275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0" y="44823"/>
          <a:ext cx="1344705" cy="672352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tabColor rgb="FFFFFFFF"/>
  </sheetPr>
  <dimension ref="A1:R29"/>
  <sheetViews>
    <sheetView view="pageBreakPreview" zoomScale="120" zoomScaleNormal="120" zoomScaleSheetLayoutView="120" workbookViewId="0">
      <pane ySplit="8" topLeftCell="A9" activePane="bottomLeft" state="frozen"/>
      <selection pane="bottomLeft" activeCell="V15" sqref="V15"/>
    </sheetView>
  </sheetViews>
  <sheetFormatPr defaultColWidth="8" defaultRowHeight="12.75"/>
  <cols>
    <col min="1" max="1" width="4.125" style="7" customWidth="1"/>
    <col min="2" max="2" width="12.75" style="7" customWidth="1"/>
    <col min="3" max="4" width="12.125" style="7" customWidth="1"/>
    <col min="5" max="5" width="13.75" style="7" customWidth="1"/>
    <col min="6" max="6" width="16.375" style="7" customWidth="1"/>
    <col min="7" max="7" width="13.125" style="7" customWidth="1"/>
    <col min="8" max="8" width="2.125" style="7" hidden="1" customWidth="1"/>
    <col min="9" max="16" width="8" style="7" hidden="1" customWidth="1"/>
    <col min="17" max="16384" width="8" style="8"/>
  </cols>
  <sheetData>
    <row r="1" spans="1:18" ht="16.5" customHeight="1" thickTop="1">
      <c r="A1" s="158" t="s">
        <v>82</v>
      </c>
      <c r="B1" s="161"/>
      <c r="C1" s="161"/>
      <c r="D1" s="166" t="str">
        <f>R2</f>
        <v>26.06.01 엘티_신동양기업_코오롱글로벌_대한항공 운북 신 엔진정비공장 건립공사</v>
      </c>
      <c r="E1" s="166"/>
      <c r="F1" s="166"/>
      <c r="G1" s="167"/>
      <c r="R1" s="8" t="s">
        <v>75</v>
      </c>
    </row>
    <row r="2" spans="1:18" ht="16.5" customHeight="1">
      <c r="A2" s="162"/>
      <c r="B2" s="163"/>
      <c r="C2" s="163"/>
      <c r="D2" s="168"/>
      <c r="E2" s="168"/>
      <c r="F2" s="168"/>
      <c r="G2" s="169"/>
      <c r="R2" s="96" t="s">
        <v>119</v>
      </c>
    </row>
    <row r="3" spans="1:18" ht="16.5" customHeight="1">
      <c r="A3" s="162"/>
      <c r="B3" s="163"/>
      <c r="C3" s="163"/>
      <c r="D3" s="168"/>
      <c r="E3" s="168"/>
      <c r="F3" s="168"/>
      <c r="G3" s="169"/>
    </row>
    <row r="4" spans="1:18" ht="17.25" customHeight="1" thickBot="1">
      <c r="A4" s="164"/>
      <c r="B4" s="165"/>
      <c r="C4" s="165"/>
      <c r="D4" s="170"/>
      <c r="E4" s="170"/>
      <c r="F4" s="170"/>
      <c r="G4" s="171"/>
    </row>
    <row r="5" spans="1:18" ht="6.75" customHeight="1" thickTop="1">
      <c r="A5" s="97"/>
      <c r="B5" s="97"/>
      <c r="C5" s="97"/>
      <c r="D5" s="97"/>
      <c r="E5" s="97"/>
      <c r="F5" s="97"/>
      <c r="G5" s="97"/>
    </row>
    <row r="6" spans="1:18" s="10" customFormat="1" ht="18" customHeight="1" thickBot="1">
      <c r="A6" s="172" t="s">
        <v>1</v>
      </c>
      <c r="B6" s="174" t="s">
        <v>74</v>
      </c>
      <c r="C6" s="174" t="s">
        <v>4</v>
      </c>
      <c r="D6" s="174"/>
      <c r="E6" s="174" t="s">
        <v>48</v>
      </c>
      <c r="F6" s="174" t="s">
        <v>43</v>
      </c>
      <c r="G6" s="175" t="s">
        <v>22</v>
      </c>
      <c r="H6" s="9"/>
      <c r="I6" s="156" t="s">
        <v>12</v>
      </c>
      <c r="J6" s="156"/>
      <c r="K6" s="156"/>
      <c r="L6" s="156"/>
      <c r="M6" s="156"/>
      <c r="N6" s="156"/>
      <c r="O6" s="8"/>
    </row>
    <row r="7" spans="1:18" s="10" customFormat="1" ht="18" customHeight="1">
      <c r="A7" s="173"/>
      <c r="B7" s="157"/>
      <c r="C7" s="157" t="s">
        <v>71</v>
      </c>
      <c r="D7" s="157" t="s">
        <v>69</v>
      </c>
      <c r="E7" s="157"/>
      <c r="F7" s="157"/>
      <c r="G7" s="176"/>
      <c r="H7" s="11"/>
      <c r="I7" s="12"/>
      <c r="J7" s="12"/>
      <c r="K7" s="12"/>
      <c r="L7" s="12"/>
      <c r="M7" s="12"/>
      <c r="N7" s="12"/>
      <c r="O7" s="8"/>
    </row>
    <row r="8" spans="1:18" s="10" customFormat="1" ht="18" customHeight="1" thickBot="1">
      <c r="A8" s="173"/>
      <c r="B8" s="157"/>
      <c r="C8" s="157"/>
      <c r="D8" s="157"/>
      <c r="E8" s="157"/>
      <c r="F8" s="157"/>
      <c r="G8" s="176"/>
      <c r="H8" s="11"/>
      <c r="I8" s="12"/>
      <c r="J8" s="12"/>
      <c r="K8" s="12"/>
      <c r="L8" s="12"/>
      <c r="M8" s="12"/>
      <c r="N8" s="12"/>
      <c r="O8" s="8"/>
    </row>
    <row r="9" spans="1:18" s="10" customFormat="1" ht="26.25" thickBot="1">
      <c r="A9" s="116" t="s">
        <v>84</v>
      </c>
      <c r="B9" s="67" t="s">
        <v>19</v>
      </c>
      <c r="C9" s="34">
        <v>300</v>
      </c>
      <c r="D9" s="34">
        <v>300</v>
      </c>
      <c r="E9" s="98"/>
      <c r="F9" s="98"/>
      <c r="G9" s="99" t="s">
        <v>106</v>
      </c>
      <c r="H9" s="13"/>
      <c r="I9" s="28"/>
      <c r="J9" s="26"/>
      <c r="K9" s="20"/>
      <c r="L9" s="21"/>
      <c r="M9" s="22"/>
      <c r="N9" s="26"/>
      <c r="O9" s="8"/>
      <c r="Q9" s="10" t="s">
        <v>120</v>
      </c>
    </row>
    <row r="10" spans="1:18" s="10" customFormat="1" ht="26.25" thickBot="1">
      <c r="A10" s="116" t="s">
        <v>85</v>
      </c>
      <c r="B10" s="67" t="s">
        <v>19</v>
      </c>
      <c r="C10" s="34">
        <v>300</v>
      </c>
      <c r="D10" s="34">
        <v>300</v>
      </c>
      <c r="E10" s="83"/>
      <c r="F10" s="98"/>
      <c r="G10" s="137" t="s">
        <v>107</v>
      </c>
      <c r="H10" s="13"/>
      <c r="I10" s="28"/>
      <c r="J10" s="26"/>
      <c r="K10" s="20"/>
      <c r="L10" s="21"/>
      <c r="M10" s="22"/>
      <c r="N10" s="26"/>
      <c r="O10" s="8"/>
      <c r="Q10" s="10" t="s">
        <v>121</v>
      </c>
    </row>
    <row r="11" spans="1:18" s="10" customFormat="1" ht="17.25" thickBot="1">
      <c r="A11" s="116" t="s">
        <v>86</v>
      </c>
      <c r="B11" s="67" t="s">
        <v>19</v>
      </c>
      <c r="C11" s="34">
        <v>300</v>
      </c>
      <c r="D11" s="34">
        <v>300</v>
      </c>
      <c r="E11" s="83"/>
      <c r="F11" s="98"/>
      <c r="G11" s="137" t="s">
        <v>108</v>
      </c>
      <c r="H11" s="13"/>
      <c r="I11" s="28"/>
      <c r="J11" s="26"/>
      <c r="K11" s="20"/>
      <c r="L11" s="21"/>
      <c r="M11" s="22"/>
      <c r="N11" s="26"/>
      <c r="O11" s="8"/>
      <c r="Q11" s="10" t="s">
        <v>122</v>
      </c>
    </row>
    <row r="12" spans="1:18" s="10" customFormat="1" ht="17.25" thickBot="1">
      <c r="A12" s="116" t="s">
        <v>87</v>
      </c>
      <c r="B12" s="67" t="s">
        <v>19</v>
      </c>
      <c r="C12" s="34">
        <v>300</v>
      </c>
      <c r="D12" s="34">
        <v>300</v>
      </c>
      <c r="E12" s="83"/>
      <c r="F12" s="98"/>
      <c r="G12" s="137" t="s">
        <v>108</v>
      </c>
      <c r="H12" s="13"/>
      <c r="I12" s="28"/>
      <c r="J12" s="26"/>
      <c r="K12" s="20"/>
      <c r="L12" s="21"/>
      <c r="M12" s="22"/>
      <c r="N12" s="26"/>
      <c r="O12" s="8"/>
      <c r="Q12" s="10" t="s">
        <v>123</v>
      </c>
    </row>
    <row r="13" spans="1:18" s="10" customFormat="1" ht="27" thickBot="1">
      <c r="A13" s="116" t="s">
        <v>88</v>
      </c>
      <c r="B13" s="67" t="s">
        <v>19</v>
      </c>
      <c r="C13" s="34">
        <v>300</v>
      </c>
      <c r="D13" s="34">
        <v>300</v>
      </c>
      <c r="E13" s="83"/>
      <c r="F13" s="98"/>
      <c r="G13" s="137" t="s">
        <v>109</v>
      </c>
      <c r="H13" s="13"/>
      <c r="I13" s="12"/>
      <c r="J13" s="12"/>
      <c r="K13" s="20"/>
      <c r="L13" s="21"/>
      <c r="M13" s="22"/>
      <c r="N13" s="12"/>
      <c r="O13" s="8"/>
      <c r="Q13" s="10" t="s">
        <v>124</v>
      </c>
    </row>
    <row r="14" spans="1:18" s="10" customFormat="1" ht="17.25" thickBot="1">
      <c r="A14" s="116" t="s">
        <v>89</v>
      </c>
      <c r="B14" s="67" t="s">
        <v>19</v>
      </c>
      <c r="C14" s="34">
        <v>350</v>
      </c>
      <c r="D14" s="34">
        <v>300</v>
      </c>
      <c r="E14" s="83"/>
      <c r="F14" s="98"/>
      <c r="G14" s="137" t="s">
        <v>110</v>
      </c>
      <c r="H14" s="13"/>
      <c r="I14" s="28"/>
      <c r="J14" s="26"/>
      <c r="K14" s="20"/>
      <c r="L14" s="21"/>
      <c r="M14" s="22"/>
      <c r="N14" s="26"/>
      <c r="O14" s="8"/>
      <c r="Q14" s="10" t="s">
        <v>125</v>
      </c>
    </row>
    <row r="15" spans="1:18" s="10" customFormat="1" ht="17.25" thickBot="1">
      <c r="A15" s="116" t="s">
        <v>90</v>
      </c>
      <c r="B15" s="67" t="s">
        <v>19</v>
      </c>
      <c r="C15" s="34">
        <v>350</v>
      </c>
      <c r="D15" s="34">
        <v>300</v>
      </c>
      <c r="E15" s="83"/>
      <c r="F15" s="98"/>
      <c r="G15" s="137" t="s">
        <v>111</v>
      </c>
      <c r="H15" s="13"/>
      <c r="I15" s="27"/>
      <c r="J15" s="25"/>
      <c r="K15" s="20"/>
      <c r="L15" s="21"/>
      <c r="M15" s="22"/>
      <c r="N15" s="25"/>
      <c r="O15" s="8"/>
      <c r="Q15" s="10" t="s">
        <v>126</v>
      </c>
    </row>
    <row r="16" spans="1:18" s="10" customFormat="1" ht="26.25" thickBot="1">
      <c r="A16" s="116" t="s">
        <v>91</v>
      </c>
      <c r="B16" s="67" t="s">
        <v>19</v>
      </c>
      <c r="C16" s="34">
        <v>350</v>
      </c>
      <c r="D16" s="34">
        <v>350</v>
      </c>
      <c r="E16" s="83"/>
      <c r="F16" s="98"/>
      <c r="G16" s="137" t="s">
        <v>107</v>
      </c>
      <c r="H16" s="13"/>
      <c r="I16" s="28"/>
      <c r="J16" s="26"/>
      <c r="K16" s="20"/>
      <c r="L16" s="21"/>
      <c r="M16" s="22"/>
      <c r="N16" s="26"/>
      <c r="O16" s="8"/>
      <c r="Q16" s="10" t="s">
        <v>127</v>
      </c>
    </row>
    <row r="17" spans="1:17" s="10" customFormat="1" ht="26.25" thickBot="1">
      <c r="A17" s="116" t="s">
        <v>92</v>
      </c>
      <c r="B17" s="67" t="s">
        <v>19</v>
      </c>
      <c r="C17" s="34">
        <v>350</v>
      </c>
      <c r="D17" s="34">
        <v>350</v>
      </c>
      <c r="E17" s="83"/>
      <c r="F17" s="98"/>
      <c r="G17" s="137" t="s">
        <v>107</v>
      </c>
      <c r="H17" s="13"/>
      <c r="I17" s="28"/>
      <c r="J17" s="26"/>
      <c r="K17" s="20"/>
      <c r="L17" s="21"/>
      <c r="M17" s="22"/>
      <c r="N17" s="26"/>
      <c r="O17" s="8"/>
      <c r="Q17" s="10" t="s">
        <v>128</v>
      </c>
    </row>
    <row r="18" spans="1:17" s="10" customFormat="1" ht="17.25" thickBot="1">
      <c r="A18" s="116" t="s">
        <v>93</v>
      </c>
      <c r="B18" s="67" t="s">
        <v>19</v>
      </c>
      <c r="C18" s="34">
        <v>350</v>
      </c>
      <c r="D18" s="34">
        <v>350</v>
      </c>
      <c r="E18" s="83"/>
      <c r="F18" s="98"/>
      <c r="G18" s="137" t="s">
        <v>108</v>
      </c>
      <c r="H18" s="13"/>
      <c r="I18" s="28"/>
      <c r="J18" s="26"/>
      <c r="K18" s="20"/>
      <c r="L18" s="21"/>
      <c r="M18" s="22"/>
      <c r="N18" s="26"/>
      <c r="O18" s="8"/>
      <c r="Q18" s="10" t="s">
        <v>129</v>
      </c>
    </row>
    <row r="19" spans="1:17" s="10" customFormat="1" ht="17.25" thickBot="1">
      <c r="A19" s="116" t="s">
        <v>94</v>
      </c>
      <c r="B19" s="67" t="s">
        <v>19</v>
      </c>
      <c r="C19" s="34">
        <v>350</v>
      </c>
      <c r="D19" s="34">
        <v>350</v>
      </c>
      <c r="E19" s="83"/>
      <c r="F19" s="98"/>
      <c r="G19" s="137" t="s">
        <v>108</v>
      </c>
      <c r="H19" s="13"/>
      <c r="I19" s="28"/>
      <c r="J19" s="26"/>
      <c r="K19" s="20"/>
      <c r="L19" s="21"/>
      <c r="M19" s="22"/>
      <c r="N19" s="26"/>
      <c r="O19" s="8"/>
      <c r="Q19" s="10" t="s">
        <v>130</v>
      </c>
    </row>
    <row r="20" spans="1:17" s="10" customFormat="1" ht="17.25" thickBot="1">
      <c r="A20" s="138" t="s">
        <v>95</v>
      </c>
      <c r="B20" s="139" t="s">
        <v>19</v>
      </c>
      <c r="C20" s="140">
        <v>700</v>
      </c>
      <c r="D20" s="140">
        <v>450</v>
      </c>
      <c r="E20" s="98"/>
      <c r="F20" s="141" t="s">
        <v>141</v>
      </c>
      <c r="G20" s="137" t="s">
        <v>109</v>
      </c>
      <c r="H20" s="13"/>
      <c r="I20" s="28"/>
      <c r="J20" s="26"/>
      <c r="K20" s="20"/>
      <c r="L20" s="21"/>
      <c r="M20" s="22"/>
      <c r="N20" s="26"/>
      <c r="O20" s="8"/>
      <c r="Q20" s="10" t="s">
        <v>131</v>
      </c>
    </row>
    <row r="21" spans="1:17" s="10" customFormat="1" ht="17.25" thickBot="1">
      <c r="A21" s="138" t="s">
        <v>96</v>
      </c>
      <c r="B21" s="139" t="s">
        <v>19</v>
      </c>
      <c r="C21" s="140">
        <v>700</v>
      </c>
      <c r="D21" s="140">
        <v>450</v>
      </c>
      <c r="E21" s="98"/>
      <c r="F21" s="141" t="s">
        <v>141</v>
      </c>
      <c r="G21" s="137" t="s">
        <v>109</v>
      </c>
      <c r="H21" s="13"/>
      <c r="I21" s="28"/>
      <c r="J21" s="26"/>
      <c r="K21" s="20"/>
      <c r="L21" s="21"/>
      <c r="M21" s="22"/>
      <c r="N21" s="26"/>
      <c r="O21" s="8"/>
      <c r="Q21" s="10" t="s">
        <v>132</v>
      </c>
    </row>
    <row r="22" spans="1:17" s="10" customFormat="1" ht="17.25" thickBot="1">
      <c r="A22" s="116" t="s">
        <v>97</v>
      </c>
      <c r="B22" s="67" t="s">
        <v>19</v>
      </c>
      <c r="C22" s="34">
        <v>850</v>
      </c>
      <c r="D22" s="34">
        <v>500</v>
      </c>
      <c r="E22" s="98"/>
      <c r="F22" s="98"/>
      <c r="G22" s="137" t="s">
        <v>112</v>
      </c>
      <c r="H22" s="13"/>
      <c r="I22" s="28"/>
      <c r="J22" s="26"/>
      <c r="K22" s="20"/>
      <c r="L22" s="21"/>
      <c r="M22" s="22"/>
      <c r="N22" s="26"/>
      <c r="O22" s="8"/>
      <c r="Q22" s="10" t="s">
        <v>133</v>
      </c>
    </row>
    <row r="23" spans="1:17" s="10" customFormat="1" ht="17.25" thickBot="1">
      <c r="A23" s="116" t="s">
        <v>98</v>
      </c>
      <c r="B23" s="67" t="s">
        <v>19</v>
      </c>
      <c r="C23" s="34">
        <v>900</v>
      </c>
      <c r="D23" s="34">
        <v>500</v>
      </c>
      <c r="E23" s="83"/>
      <c r="F23" s="98"/>
      <c r="G23" s="137" t="s">
        <v>113</v>
      </c>
      <c r="H23" s="13"/>
      <c r="I23" s="28"/>
      <c r="J23" s="26"/>
      <c r="K23" s="20"/>
      <c r="L23" s="21"/>
      <c r="M23" s="22"/>
      <c r="N23" s="26"/>
      <c r="O23" s="8"/>
      <c r="Q23" s="10" t="s">
        <v>134</v>
      </c>
    </row>
    <row r="24" spans="1:17" s="10" customFormat="1" ht="18" customHeight="1" thickBot="1">
      <c r="A24" s="116" t="s">
        <v>99</v>
      </c>
      <c r="B24" s="71" t="s">
        <v>6</v>
      </c>
      <c r="C24" s="34">
        <v>1000</v>
      </c>
      <c r="D24" s="34">
        <v>500</v>
      </c>
      <c r="E24" s="98"/>
      <c r="F24" s="98"/>
      <c r="G24" s="99" t="s">
        <v>114</v>
      </c>
      <c r="H24" s="13"/>
      <c r="I24" s="28"/>
      <c r="J24" s="26"/>
      <c r="K24" s="20"/>
      <c r="L24" s="21"/>
      <c r="M24" s="22"/>
      <c r="N24" s="26"/>
      <c r="O24" s="8"/>
      <c r="Q24" s="10" t="s">
        <v>135</v>
      </c>
    </row>
    <row r="25" spans="1:17" s="10" customFormat="1" ht="16.5">
      <c r="A25" s="116" t="s">
        <v>100</v>
      </c>
      <c r="B25" s="72" t="s">
        <v>54</v>
      </c>
      <c r="C25" s="34">
        <v>1700</v>
      </c>
      <c r="D25" s="34">
        <v>1300</v>
      </c>
      <c r="E25" s="83"/>
      <c r="F25" s="98"/>
      <c r="G25" s="99" t="s">
        <v>115</v>
      </c>
      <c r="H25" s="13"/>
      <c r="I25" s="7"/>
      <c r="J25" s="7"/>
      <c r="K25" s="20"/>
      <c r="L25" s="21"/>
      <c r="M25" s="22"/>
      <c r="N25" s="7"/>
      <c r="O25" s="8"/>
      <c r="Q25" s="10" t="s">
        <v>136</v>
      </c>
    </row>
    <row r="26" spans="1:17" s="10" customFormat="1" ht="38.25">
      <c r="A26" s="116" t="s">
        <v>101</v>
      </c>
      <c r="B26" s="72" t="s">
        <v>54</v>
      </c>
      <c r="C26" s="34">
        <v>1900</v>
      </c>
      <c r="D26" s="34">
        <v>400</v>
      </c>
      <c r="E26" s="83"/>
      <c r="F26" s="98"/>
      <c r="G26" s="99" t="s">
        <v>116</v>
      </c>
      <c r="H26" s="13"/>
      <c r="I26" s="7"/>
      <c r="J26" s="7"/>
      <c r="K26" s="19"/>
      <c r="L26" s="19"/>
      <c r="M26" s="19"/>
      <c r="N26" s="7"/>
      <c r="O26" s="8"/>
      <c r="Q26" s="10" t="s">
        <v>137</v>
      </c>
    </row>
    <row r="27" spans="1:17" s="10" customFormat="1" ht="39" thickBot="1">
      <c r="A27" s="116" t="s">
        <v>102</v>
      </c>
      <c r="B27" s="72" t="s">
        <v>54</v>
      </c>
      <c r="C27" s="34">
        <v>1900</v>
      </c>
      <c r="D27" s="34">
        <v>400</v>
      </c>
      <c r="E27" s="98"/>
      <c r="F27" s="98"/>
      <c r="G27" s="99" t="s">
        <v>116</v>
      </c>
      <c r="H27" s="13"/>
      <c r="I27" s="158"/>
      <c r="J27" s="159"/>
      <c r="K27" s="160"/>
      <c r="L27" s="8"/>
      <c r="M27" s="158"/>
      <c r="N27" s="159"/>
      <c r="O27" s="160"/>
      <c r="Q27" s="10" t="s">
        <v>138</v>
      </c>
    </row>
    <row r="28" spans="1:17" s="10" customFormat="1" ht="16.5">
      <c r="A28" s="116" t="s">
        <v>103</v>
      </c>
      <c r="B28" s="72" t="s">
        <v>54</v>
      </c>
      <c r="C28" s="34">
        <v>1950</v>
      </c>
      <c r="D28" s="34">
        <v>800</v>
      </c>
      <c r="E28" s="83"/>
      <c r="F28" s="98"/>
      <c r="G28" s="135" t="s">
        <v>117</v>
      </c>
      <c r="H28" s="13"/>
      <c r="I28" s="7"/>
      <c r="J28" s="7"/>
      <c r="K28" s="20"/>
      <c r="L28" s="21"/>
      <c r="M28" s="22"/>
      <c r="N28" s="7"/>
      <c r="O28" s="8"/>
      <c r="Q28" s="10" t="s">
        <v>139</v>
      </c>
    </row>
    <row r="29" spans="1:17" s="10" customFormat="1" ht="16.5">
      <c r="A29" s="116" t="s">
        <v>104</v>
      </c>
      <c r="B29" s="72" t="s">
        <v>54</v>
      </c>
      <c r="C29" s="34">
        <v>3150</v>
      </c>
      <c r="D29" s="34">
        <v>500</v>
      </c>
      <c r="E29" s="83"/>
      <c r="F29" s="98"/>
      <c r="G29" s="136" t="s">
        <v>118</v>
      </c>
      <c r="H29" s="13"/>
      <c r="I29" s="7"/>
      <c r="J29" s="7"/>
      <c r="K29" s="19"/>
      <c r="L29" s="19"/>
      <c r="M29" s="19"/>
      <c r="N29" s="7"/>
      <c r="O29" s="8"/>
      <c r="Q29" s="10" t="s">
        <v>140</v>
      </c>
    </row>
  </sheetData>
  <mergeCells count="13">
    <mergeCell ref="A1:C4"/>
    <mergeCell ref="D1:G4"/>
    <mergeCell ref="A6:A8"/>
    <mergeCell ref="B6:B8"/>
    <mergeCell ref="C6:D6"/>
    <mergeCell ref="E6:E8"/>
    <mergeCell ref="F6:F8"/>
    <mergeCell ref="G6:G8"/>
    <mergeCell ref="I6:N6"/>
    <mergeCell ref="C7:C8"/>
    <mergeCell ref="D7:D8"/>
    <mergeCell ref="I27:K27"/>
    <mergeCell ref="M27:O27"/>
  </mergeCells>
  <phoneticPr fontId="32" type="noConversion"/>
  <pageMargins left="0.23597222566604614" right="0.23597222566604614" top="0.74750000238418579" bottom="0.74750000238418579" header="0.31486111879348755" footer="0.31486111879348755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384E-E625-4433-A311-ACB260D6E4A3}">
  <dimension ref="A1:O27"/>
  <sheetViews>
    <sheetView zoomScaleNormal="100" zoomScaleSheetLayoutView="100" workbookViewId="0">
      <selection activeCell="O19" sqref="O19:O20"/>
    </sheetView>
  </sheetViews>
  <sheetFormatPr defaultColWidth="9" defaultRowHeight="16.5"/>
  <cols>
    <col min="1" max="1" width="5.125" style="5" bestFit="1" customWidth="1"/>
    <col min="2" max="2" width="8.125" style="5" customWidth="1"/>
    <col min="3" max="4" width="6.875" style="5" customWidth="1"/>
    <col min="5" max="5" width="13.875" style="5" customWidth="1"/>
    <col min="6" max="6" width="5.75" style="5" customWidth="1"/>
    <col min="7" max="7" width="7.5" style="5" customWidth="1"/>
    <col min="8" max="8" width="7.125" style="5" customWidth="1"/>
    <col min="9" max="9" width="5.75" style="5" bestFit="1" customWidth="1"/>
    <col min="10" max="10" width="7.875" style="5" customWidth="1"/>
    <col min="11" max="11" width="7.5" style="5" customWidth="1"/>
    <col min="12" max="12" width="5.5" style="5" customWidth="1"/>
    <col min="13" max="13" width="7.5" style="5" customWidth="1"/>
    <col min="14" max="14" width="5.5" style="5" customWidth="1"/>
    <col min="15" max="15" width="26.875" style="5" customWidth="1"/>
    <col min="16" max="16384" width="9" style="5"/>
  </cols>
  <sheetData>
    <row r="1" spans="1:15" ht="16.5" customHeight="1">
      <c r="A1" s="158"/>
      <c r="B1" s="158"/>
      <c r="C1" s="158"/>
      <c r="D1" s="158"/>
      <c r="E1" s="177" t="s">
        <v>77</v>
      </c>
      <c r="F1" s="178"/>
      <c r="G1" s="178"/>
      <c r="H1" s="178" t="str">
        <f>'1. 소켓인수검사'!R2</f>
        <v>26.06.01 엘티_신동양기업_코오롱글로벌_대한항공 운북 신 엔진정비공장 건립공사</v>
      </c>
      <c r="I1" s="178"/>
      <c r="J1" s="178"/>
      <c r="K1" s="178"/>
      <c r="L1" s="178"/>
      <c r="M1" s="178"/>
      <c r="N1" s="178"/>
      <c r="O1" s="183"/>
    </row>
    <row r="2" spans="1:15" ht="16.5" customHeight="1">
      <c r="A2" s="158"/>
      <c r="B2" s="158"/>
      <c r="C2" s="158"/>
      <c r="D2" s="158"/>
      <c r="E2" s="179"/>
      <c r="F2" s="180"/>
      <c r="G2" s="180"/>
      <c r="H2" s="180"/>
      <c r="I2" s="180"/>
      <c r="J2" s="180"/>
      <c r="K2" s="180"/>
      <c r="L2" s="180"/>
      <c r="M2" s="180"/>
      <c r="N2" s="180"/>
      <c r="O2" s="184"/>
    </row>
    <row r="3" spans="1:15" ht="16.5" customHeight="1">
      <c r="A3" s="158"/>
      <c r="B3" s="158"/>
      <c r="C3" s="158"/>
      <c r="D3" s="158"/>
      <c r="E3" s="181"/>
      <c r="F3" s="182"/>
      <c r="G3" s="182"/>
      <c r="H3" s="182"/>
      <c r="I3" s="182"/>
      <c r="J3" s="182"/>
      <c r="K3" s="182"/>
      <c r="L3" s="182"/>
      <c r="M3" s="182"/>
      <c r="N3" s="182"/>
      <c r="O3" s="185"/>
    </row>
    <row r="4" spans="1:15" ht="8.1" customHeight="1">
      <c r="A4" s="186"/>
      <c r="B4" s="186"/>
      <c r="C4" s="186"/>
      <c r="D4" s="186"/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</row>
    <row r="5" spans="1:15" ht="26.45" customHeight="1">
      <c r="A5" s="187" t="s">
        <v>64</v>
      </c>
      <c r="B5" s="188" t="s">
        <v>74</v>
      </c>
      <c r="C5" s="191" t="s">
        <v>4</v>
      </c>
      <c r="D5" s="191"/>
      <c r="E5" s="191" t="s">
        <v>29</v>
      </c>
      <c r="F5" s="192" t="s">
        <v>62</v>
      </c>
      <c r="G5" s="195" t="s">
        <v>25</v>
      </c>
      <c r="H5" s="196"/>
      <c r="I5" s="196"/>
      <c r="J5" s="197"/>
      <c r="K5" s="195" t="s">
        <v>39</v>
      </c>
      <c r="L5" s="196"/>
      <c r="M5" s="196"/>
      <c r="N5" s="196"/>
      <c r="O5" s="192" t="s">
        <v>2</v>
      </c>
    </row>
    <row r="6" spans="1:15" ht="16.5" customHeight="1">
      <c r="A6" s="187"/>
      <c r="B6" s="189"/>
      <c r="C6" s="191" t="s">
        <v>71</v>
      </c>
      <c r="D6" s="191" t="s">
        <v>69</v>
      </c>
      <c r="E6" s="191"/>
      <c r="F6" s="193"/>
      <c r="G6" s="191" t="s">
        <v>71</v>
      </c>
      <c r="H6" s="191"/>
      <c r="I6" s="191" t="s">
        <v>69</v>
      </c>
      <c r="J6" s="191"/>
      <c r="K6" s="191" t="s">
        <v>73</v>
      </c>
      <c r="L6" s="191"/>
      <c r="M6" s="195" t="s">
        <v>70</v>
      </c>
      <c r="N6" s="196"/>
      <c r="O6" s="193"/>
    </row>
    <row r="7" spans="1:15">
      <c r="A7" s="187"/>
      <c r="B7" s="190"/>
      <c r="C7" s="191"/>
      <c r="D7" s="191"/>
      <c r="E7" s="191"/>
      <c r="F7" s="194"/>
      <c r="G7" s="118" t="s">
        <v>4</v>
      </c>
      <c r="H7" s="118" t="s">
        <v>36</v>
      </c>
      <c r="I7" s="121" t="s">
        <v>4</v>
      </c>
      <c r="J7" s="120" t="s">
        <v>36</v>
      </c>
      <c r="K7" s="118" t="s">
        <v>4</v>
      </c>
      <c r="L7" s="118" t="s">
        <v>62</v>
      </c>
      <c r="M7" s="118" t="s">
        <v>4</v>
      </c>
      <c r="N7" s="119" t="s">
        <v>62</v>
      </c>
      <c r="O7" s="194"/>
    </row>
    <row r="8" spans="1:15">
      <c r="A8" s="122" t="str">
        <f>'1. 소켓인수검사'!A9</f>
        <v>01</v>
      </c>
      <c r="B8" s="123" t="s">
        <v>19</v>
      </c>
      <c r="C8" s="77">
        <f>'1. 소켓인수검사'!C9</f>
        <v>300</v>
      </c>
      <c r="D8" s="77">
        <f>'1. 소켓인수검사'!D9</f>
        <v>300</v>
      </c>
      <c r="E8" s="63"/>
      <c r="F8" s="77">
        <v>1</v>
      </c>
      <c r="G8" s="124">
        <f>C8-5</f>
        <v>295</v>
      </c>
      <c r="H8" s="77">
        <f t="shared" ref="H8:H22" si="0">F8*4</f>
        <v>4</v>
      </c>
      <c r="I8" s="125">
        <f t="shared" ref="I8:I22" si="1">D8-30</f>
        <v>270</v>
      </c>
      <c r="J8" s="77">
        <f t="shared" ref="J8:J22" si="2">F8*4</f>
        <v>4</v>
      </c>
      <c r="K8" s="126">
        <f t="shared" ref="K8:K22" si="3">C8+60</f>
        <v>360</v>
      </c>
      <c r="L8" s="77">
        <v>2</v>
      </c>
      <c r="M8" s="126">
        <f>D8</f>
        <v>300</v>
      </c>
      <c r="N8" s="77">
        <v>2</v>
      </c>
      <c r="O8" s="65"/>
    </row>
    <row r="9" spans="1:15">
      <c r="A9" s="127" t="str">
        <f>'1. 소켓인수검사'!A10</f>
        <v>02</v>
      </c>
      <c r="B9" s="128" t="s">
        <v>19</v>
      </c>
      <c r="C9" s="79">
        <f>'1. 소켓인수검사'!C10</f>
        <v>300</v>
      </c>
      <c r="D9" s="79">
        <f>'1. 소켓인수검사'!D10</f>
        <v>300</v>
      </c>
      <c r="E9" s="45"/>
      <c r="F9" s="79">
        <v>1</v>
      </c>
      <c r="G9" s="129">
        <f t="shared" ref="G9:G22" si="4">C9-5</f>
        <v>295</v>
      </c>
      <c r="H9" s="79">
        <f t="shared" si="0"/>
        <v>4</v>
      </c>
      <c r="I9" s="130">
        <f t="shared" si="1"/>
        <v>270</v>
      </c>
      <c r="J9" s="79">
        <f t="shared" si="2"/>
        <v>4</v>
      </c>
      <c r="K9" s="131">
        <f t="shared" si="3"/>
        <v>360</v>
      </c>
      <c r="L9" s="79">
        <v>2</v>
      </c>
      <c r="M9" s="131">
        <f t="shared" ref="M9:M22" si="5">D9</f>
        <v>300</v>
      </c>
      <c r="N9" s="79">
        <v>2</v>
      </c>
      <c r="O9" s="132"/>
    </row>
    <row r="10" spans="1:15">
      <c r="A10" s="127" t="str">
        <f>'1. 소켓인수검사'!A11</f>
        <v>03</v>
      </c>
      <c r="B10" s="128" t="s">
        <v>19</v>
      </c>
      <c r="C10" s="79">
        <f>'1. 소켓인수검사'!C11</f>
        <v>300</v>
      </c>
      <c r="D10" s="79">
        <f>'1. 소켓인수검사'!D11</f>
        <v>300</v>
      </c>
      <c r="E10" s="45"/>
      <c r="F10" s="79">
        <v>1</v>
      </c>
      <c r="G10" s="129">
        <f t="shared" si="4"/>
        <v>295</v>
      </c>
      <c r="H10" s="79">
        <f t="shared" si="0"/>
        <v>4</v>
      </c>
      <c r="I10" s="130">
        <f t="shared" si="1"/>
        <v>270</v>
      </c>
      <c r="J10" s="79">
        <f t="shared" si="2"/>
        <v>4</v>
      </c>
      <c r="K10" s="131">
        <f t="shared" si="3"/>
        <v>360</v>
      </c>
      <c r="L10" s="79">
        <v>2</v>
      </c>
      <c r="M10" s="131">
        <f t="shared" si="5"/>
        <v>300</v>
      </c>
      <c r="N10" s="79">
        <v>2</v>
      </c>
      <c r="O10" s="132"/>
    </row>
    <row r="11" spans="1:15">
      <c r="A11" s="127" t="str">
        <f>'1. 소켓인수검사'!A12</f>
        <v>04</v>
      </c>
      <c r="B11" s="128" t="s">
        <v>19</v>
      </c>
      <c r="C11" s="79">
        <f>'1. 소켓인수검사'!C12</f>
        <v>300</v>
      </c>
      <c r="D11" s="79">
        <f>'1. 소켓인수검사'!D12</f>
        <v>300</v>
      </c>
      <c r="E11" s="45"/>
      <c r="F11" s="79">
        <v>1</v>
      </c>
      <c r="G11" s="129">
        <f t="shared" si="4"/>
        <v>295</v>
      </c>
      <c r="H11" s="79">
        <f t="shared" si="0"/>
        <v>4</v>
      </c>
      <c r="I11" s="130">
        <f t="shared" si="1"/>
        <v>270</v>
      </c>
      <c r="J11" s="79">
        <f t="shared" si="2"/>
        <v>4</v>
      </c>
      <c r="K11" s="131">
        <f t="shared" si="3"/>
        <v>360</v>
      </c>
      <c r="L11" s="79">
        <v>2</v>
      </c>
      <c r="M11" s="131">
        <f t="shared" si="5"/>
        <v>300</v>
      </c>
      <c r="N11" s="79">
        <v>2</v>
      </c>
      <c r="O11" s="132"/>
    </row>
    <row r="12" spans="1:15">
      <c r="A12" s="127" t="str">
        <f>'1. 소켓인수검사'!A13</f>
        <v>05</v>
      </c>
      <c r="B12" s="128" t="s">
        <v>19</v>
      </c>
      <c r="C12" s="79">
        <f>'1. 소켓인수검사'!C13</f>
        <v>300</v>
      </c>
      <c r="D12" s="79">
        <f>'1. 소켓인수검사'!D13</f>
        <v>300</v>
      </c>
      <c r="E12" s="45"/>
      <c r="F12" s="79">
        <v>1</v>
      </c>
      <c r="G12" s="129">
        <f t="shared" si="4"/>
        <v>295</v>
      </c>
      <c r="H12" s="79">
        <f t="shared" si="0"/>
        <v>4</v>
      </c>
      <c r="I12" s="130">
        <f t="shared" si="1"/>
        <v>270</v>
      </c>
      <c r="J12" s="79">
        <f t="shared" si="2"/>
        <v>4</v>
      </c>
      <c r="K12" s="131">
        <f t="shared" si="3"/>
        <v>360</v>
      </c>
      <c r="L12" s="79">
        <v>2</v>
      </c>
      <c r="M12" s="131">
        <f t="shared" si="5"/>
        <v>300</v>
      </c>
      <c r="N12" s="79">
        <v>2</v>
      </c>
      <c r="O12" s="132"/>
    </row>
    <row r="13" spans="1:15">
      <c r="A13" s="127" t="str">
        <f>'1. 소켓인수검사'!A14</f>
        <v>06</v>
      </c>
      <c r="B13" s="128" t="s">
        <v>19</v>
      </c>
      <c r="C13" s="79">
        <f>'1. 소켓인수검사'!C14</f>
        <v>350</v>
      </c>
      <c r="D13" s="79">
        <f>'1. 소켓인수검사'!D14</f>
        <v>300</v>
      </c>
      <c r="E13" s="45"/>
      <c r="F13" s="79">
        <v>1</v>
      </c>
      <c r="G13" s="129">
        <f t="shared" si="4"/>
        <v>345</v>
      </c>
      <c r="H13" s="79">
        <f t="shared" si="0"/>
        <v>4</v>
      </c>
      <c r="I13" s="130">
        <f t="shared" si="1"/>
        <v>270</v>
      </c>
      <c r="J13" s="79">
        <f t="shared" si="2"/>
        <v>4</v>
      </c>
      <c r="K13" s="131">
        <f t="shared" si="3"/>
        <v>410</v>
      </c>
      <c r="L13" s="79">
        <v>2</v>
      </c>
      <c r="M13" s="131">
        <f t="shared" si="5"/>
        <v>300</v>
      </c>
      <c r="N13" s="79">
        <v>2</v>
      </c>
      <c r="O13" s="132"/>
    </row>
    <row r="14" spans="1:15">
      <c r="A14" s="127" t="str">
        <f>'1. 소켓인수검사'!A15</f>
        <v>07</v>
      </c>
      <c r="B14" s="128" t="s">
        <v>19</v>
      </c>
      <c r="C14" s="79">
        <f>'1. 소켓인수검사'!C15</f>
        <v>350</v>
      </c>
      <c r="D14" s="79">
        <f>'1. 소켓인수검사'!D15</f>
        <v>300</v>
      </c>
      <c r="E14" s="45"/>
      <c r="F14" s="79">
        <v>1</v>
      </c>
      <c r="G14" s="129">
        <f t="shared" si="4"/>
        <v>345</v>
      </c>
      <c r="H14" s="79">
        <f t="shared" si="0"/>
        <v>4</v>
      </c>
      <c r="I14" s="130">
        <f t="shared" si="1"/>
        <v>270</v>
      </c>
      <c r="J14" s="79">
        <f t="shared" si="2"/>
        <v>4</v>
      </c>
      <c r="K14" s="131">
        <f t="shared" si="3"/>
        <v>410</v>
      </c>
      <c r="L14" s="79">
        <v>2</v>
      </c>
      <c r="M14" s="131">
        <f t="shared" si="5"/>
        <v>300</v>
      </c>
      <c r="N14" s="79">
        <v>2</v>
      </c>
      <c r="O14" s="132"/>
    </row>
    <row r="15" spans="1:15">
      <c r="A15" s="127" t="str">
        <f>'1. 소켓인수검사'!A16</f>
        <v>08</v>
      </c>
      <c r="B15" s="128" t="s">
        <v>19</v>
      </c>
      <c r="C15" s="79">
        <f>'1. 소켓인수검사'!C16</f>
        <v>350</v>
      </c>
      <c r="D15" s="79">
        <f>'1. 소켓인수검사'!D16</f>
        <v>350</v>
      </c>
      <c r="E15" s="45"/>
      <c r="F15" s="79">
        <v>1</v>
      </c>
      <c r="G15" s="129">
        <f t="shared" si="4"/>
        <v>345</v>
      </c>
      <c r="H15" s="79">
        <f t="shared" si="0"/>
        <v>4</v>
      </c>
      <c r="I15" s="130">
        <f t="shared" si="1"/>
        <v>320</v>
      </c>
      <c r="J15" s="79">
        <f t="shared" si="2"/>
        <v>4</v>
      </c>
      <c r="K15" s="131">
        <f t="shared" si="3"/>
        <v>410</v>
      </c>
      <c r="L15" s="79">
        <v>2</v>
      </c>
      <c r="M15" s="131">
        <f t="shared" si="5"/>
        <v>350</v>
      </c>
      <c r="N15" s="79">
        <v>2</v>
      </c>
      <c r="O15" s="132"/>
    </row>
    <row r="16" spans="1:15">
      <c r="A16" s="127" t="str">
        <f>'1. 소켓인수검사'!A17</f>
        <v>09</v>
      </c>
      <c r="B16" s="128" t="s">
        <v>19</v>
      </c>
      <c r="C16" s="79">
        <f>'1. 소켓인수검사'!C17</f>
        <v>350</v>
      </c>
      <c r="D16" s="79">
        <f>'1. 소켓인수검사'!D17</f>
        <v>350</v>
      </c>
      <c r="E16" s="45"/>
      <c r="F16" s="79">
        <v>1</v>
      </c>
      <c r="G16" s="129">
        <f t="shared" si="4"/>
        <v>345</v>
      </c>
      <c r="H16" s="79">
        <f t="shared" si="0"/>
        <v>4</v>
      </c>
      <c r="I16" s="130">
        <f t="shared" si="1"/>
        <v>320</v>
      </c>
      <c r="J16" s="79">
        <f t="shared" si="2"/>
        <v>4</v>
      </c>
      <c r="K16" s="131">
        <f t="shared" si="3"/>
        <v>410</v>
      </c>
      <c r="L16" s="79">
        <v>2</v>
      </c>
      <c r="M16" s="131">
        <f t="shared" si="5"/>
        <v>350</v>
      </c>
      <c r="N16" s="79">
        <v>2</v>
      </c>
      <c r="O16" s="132"/>
    </row>
    <row r="17" spans="1:15">
      <c r="A17" s="127" t="str">
        <f>'1. 소켓인수검사'!A18</f>
        <v>10</v>
      </c>
      <c r="B17" s="128" t="s">
        <v>19</v>
      </c>
      <c r="C17" s="79">
        <f>'1. 소켓인수검사'!C18</f>
        <v>350</v>
      </c>
      <c r="D17" s="79">
        <f>'1. 소켓인수검사'!D18</f>
        <v>350</v>
      </c>
      <c r="E17" s="45"/>
      <c r="F17" s="79">
        <v>1</v>
      </c>
      <c r="G17" s="129">
        <f t="shared" si="4"/>
        <v>345</v>
      </c>
      <c r="H17" s="79">
        <f t="shared" si="0"/>
        <v>4</v>
      </c>
      <c r="I17" s="130">
        <f t="shared" si="1"/>
        <v>320</v>
      </c>
      <c r="J17" s="79">
        <f t="shared" si="2"/>
        <v>4</v>
      </c>
      <c r="K17" s="131">
        <f t="shared" si="3"/>
        <v>410</v>
      </c>
      <c r="L17" s="79">
        <v>2</v>
      </c>
      <c r="M17" s="131">
        <f t="shared" si="5"/>
        <v>350</v>
      </c>
      <c r="N17" s="79">
        <v>2</v>
      </c>
      <c r="O17" s="132"/>
    </row>
    <row r="18" spans="1:15">
      <c r="A18" s="127" t="str">
        <f>'1. 소켓인수검사'!A19</f>
        <v>11</v>
      </c>
      <c r="B18" s="128" t="s">
        <v>19</v>
      </c>
      <c r="C18" s="79">
        <f>'1. 소켓인수검사'!C19</f>
        <v>350</v>
      </c>
      <c r="D18" s="79">
        <f>'1. 소켓인수검사'!D19</f>
        <v>350</v>
      </c>
      <c r="E18" s="45"/>
      <c r="F18" s="79">
        <v>1</v>
      </c>
      <c r="G18" s="129">
        <f t="shared" si="4"/>
        <v>345</v>
      </c>
      <c r="H18" s="79">
        <f t="shared" si="0"/>
        <v>4</v>
      </c>
      <c r="I18" s="130">
        <f t="shared" si="1"/>
        <v>320</v>
      </c>
      <c r="J18" s="79">
        <f t="shared" si="2"/>
        <v>4</v>
      </c>
      <c r="K18" s="131">
        <f t="shared" si="3"/>
        <v>410</v>
      </c>
      <c r="L18" s="79">
        <v>2</v>
      </c>
      <c r="M18" s="131">
        <f t="shared" si="5"/>
        <v>350</v>
      </c>
      <c r="N18" s="79">
        <v>2</v>
      </c>
      <c r="O18" s="132"/>
    </row>
    <row r="19" spans="1:15">
      <c r="A19" s="142" t="str">
        <f>'1. 소켓인수검사'!A20</f>
        <v>12</v>
      </c>
      <c r="B19" s="143" t="s">
        <v>19</v>
      </c>
      <c r="C19" s="144">
        <f>'1. 소켓인수검사'!C20</f>
        <v>700</v>
      </c>
      <c r="D19" s="144">
        <f>'1. 소켓인수검사'!D20</f>
        <v>450</v>
      </c>
      <c r="E19" s="145"/>
      <c r="F19" s="144">
        <v>1</v>
      </c>
      <c r="G19" s="144">
        <f t="shared" si="4"/>
        <v>695</v>
      </c>
      <c r="H19" s="144">
        <f t="shared" si="0"/>
        <v>4</v>
      </c>
      <c r="I19" s="146">
        <f t="shared" si="1"/>
        <v>420</v>
      </c>
      <c r="J19" s="144">
        <f t="shared" si="2"/>
        <v>4</v>
      </c>
      <c r="K19" s="144">
        <f t="shared" si="3"/>
        <v>760</v>
      </c>
      <c r="L19" s="144">
        <v>2</v>
      </c>
      <c r="M19" s="144">
        <f t="shared" si="5"/>
        <v>450</v>
      </c>
      <c r="N19" s="144">
        <v>2</v>
      </c>
      <c r="O19" s="147" t="s">
        <v>141</v>
      </c>
    </row>
    <row r="20" spans="1:15">
      <c r="A20" s="142" t="str">
        <f>'1. 소켓인수검사'!A21</f>
        <v>13</v>
      </c>
      <c r="B20" s="143" t="s">
        <v>19</v>
      </c>
      <c r="C20" s="144">
        <f>'1. 소켓인수검사'!C21</f>
        <v>700</v>
      </c>
      <c r="D20" s="144">
        <f>'1. 소켓인수검사'!D21</f>
        <v>450</v>
      </c>
      <c r="E20" s="145"/>
      <c r="F20" s="144">
        <v>1</v>
      </c>
      <c r="G20" s="144">
        <f t="shared" si="4"/>
        <v>695</v>
      </c>
      <c r="H20" s="144">
        <f t="shared" si="0"/>
        <v>4</v>
      </c>
      <c r="I20" s="146">
        <f t="shared" si="1"/>
        <v>420</v>
      </c>
      <c r="J20" s="144">
        <f t="shared" si="2"/>
        <v>4</v>
      </c>
      <c r="K20" s="144">
        <f t="shared" si="3"/>
        <v>760</v>
      </c>
      <c r="L20" s="144">
        <v>2</v>
      </c>
      <c r="M20" s="144">
        <f t="shared" si="5"/>
        <v>450</v>
      </c>
      <c r="N20" s="144">
        <v>2</v>
      </c>
      <c r="O20" s="147" t="s">
        <v>141</v>
      </c>
    </row>
    <row r="21" spans="1:15">
      <c r="A21" s="127" t="str">
        <f>'1. 소켓인수검사'!A22</f>
        <v>14</v>
      </c>
      <c r="B21" s="128" t="s">
        <v>19</v>
      </c>
      <c r="C21" s="79">
        <f>'1. 소켓인수검사'!C22</f>
        <v>850</v>
      </c>
      <c r="D21" s="79">
        <f>'1. 소켓인수검사'!D22</f>
        <v>500</v>
      </c>
      <c r="E21" s="45"/>
      <c r="F21" s="79">
        <v>1</v>
      </c>
      <c r="G21" s="129">
        <f t="shared" si="4"/>
        <v>845</v>
      </c>
      <c r="H21" s="79">
        <f t="shared" si="0"/>
        <v>4</v>
      </c>
      <c r="I21" s="130">
        <f t="shared" si="1"/>
        <v>470</v>
      </c>
      <c r="J21" s="79">
        <f t="shared" si="2"/>
        <v>4</v>
      </c>
      <c r="K21" s="131">
        <f t="shared" si="3"/>
        <v>910</v>
      </c>
      <c r="L21" s="79">
        <v>2</v>
      </c>
      <c r="M21" s="131">
        <f t="shared" si="5"/>
        <v>500</v>
      </c>
      <c r="N21" s="79">
        <v>2</v>
      </c>
      <c r="O21" s="132"/>
    </row>
    <row r="22" spans="1:15">
      <c r="A22" s="127" t="str">
        <f>'1. 소켓인수검사'!A23</f>
        <v>15</v>
      </c>
      <c r="B22" s="128" t="s">
        <v>19</v>
      </c>
      <c r="C22" s="79">
        <f>'1. 소켓인수검사'!C23</f>
        <v>900</v>
      </c>
      <c r="D22" s="79">
        <f>'1. 소켓인수검사'!D23</f>
        <v>500</v>
      </c>
      <c r="E22" s="45"/>
      <c r="F22" s="79">
        <v>1</v>
      </c>
      <c r="G22" s="129">
        <f t="shared" si="4"/>
        <v>895</v>
      </c>
      <c r="H22" s="79">
        <f t="shared" si="0"/>
        <v>4</v>
      </c>
      <c r="I22" s="130">
        <f t="shared" si="1"/>
        <v>470</v>
      </c>
      <c r="J22" s="79">
        <f t="shared" si="2"/>
        <v>4</v>
      </c>
      <c r="K22" s="131">
        <f t="shared" si="3"/>
        <v>960</v>
      </c>
      <c r="L22" s="79">
        <v>2</v>
      </c>
      <c r="M22" s="131">
        <f t="shared" si="5"/>
        <v>500</v>
      </c>
      <c r="N22" s="79">
        <v>2</v>
      </c>
      <c r="O22" s="132"/>
    </row>
    <row r="23" spans="1:15">
      <c r="A23" s="127" t="str">
        <f>'1. 소켓인수검사'!A24</f>
        <v>16</v>
      </c>
      <c r="B23" s="133" t="s">
        <v>6</v>
      </c>
      <c r="C23" s="79">
        <f>'1. 소켓인수검사'!C24</f>
        <v>1000</v>
      </c>
      <c r="D23" s="79">
        <f>'1. 소켓인수검사'!D24</f>
        <v>500</v>
      </c>
      <c r="E23" s="45"/>
      <c r="F23" s="79">
        <v>1</v>
      </c>
      <c r="G23" s="129">
        <f t="shared" ref="G23" si="6">C23-5</f>
        <v>995</v>
      </c>
      <c r="H23" s="79">
        <f t="shared" ref="H23" si="7">F23*4</f>
        <v>4</v>
      </c>
      <c r="I23" s="130">
        <f t="shared" ref="I23" si="8">D23-30</f>
        <v>470</v>
      </c>
      <c r="J23" s="79">
        <f t="shared" ref="J23" si="9">F23*4</f>
        <v>4</v>
      </c>
      <c r="K23" s="131">
        <f t="shared" ref="K23" si="10">C23+60</f>
        <v>1060</v>
      </c>
      <c r="L23" s="79">
        <v>2</v>
      </c>
      <c r="M23" s="131">
        <f t="shared" ref="M23" si="11">D23</f>
        <v>500</v>
      </c>
      <c r="N23" s="79">
        <v>2</v>
      </c>
      <c r="O23" s="70"/>
    </row>
    <row r="24" spans="1:15" ht="8.1" customHeight="1">
      <c r="A24" s="158"/>
      <c r="B24" s="158"/>
      <c r="C24" s="158"/>
      <c r="D24" s="158"/>
      <c r="E24" s="158"/>
      <c r="F24" s="158"/>
      <c r="G24" s="158"/>
      <c r="H24" s="158"/>
      <c r="I24" s="158"/>
      <c r="J24" s="158"/>
      <c r="K24" s="158"/>
      <c r="L24" s="158"/>
      <c r="M24" s="158"/>
      <c r="N24" s="158"/>
      <c r="O24" s="158"/>
    </row>
    <row r="25" spans="1:15">
      <c r="A25" s="158" t="s">
        <v>52</v>
      </c>
      <c r="B25" s="158"/>
      <c r="C25" s="158"/>
      <c r="D25" s="158"/>
      <c r="E25" s="158"/>
      <c r="F25" s="158"/>
      <c r="G25" s="158"/>
      <c r="H25" s="158"/>
      <c r="I25" s="158"/>
      <c r="J25" s="158"/>
      <c r="K25" s="158"/>
      <c r="L25" s="158"/>
      <c r="M25" s="158"/>
      <c r="N25" s="158"/>
      <c r="O25" s="158"/>
    </row>
    <row r="26" spans="1:15">
      <c r="A26" s="158"/>
      <c r="B26" s="158"/>
      <c r="C26" s="158"/>
      <c r="D26" s="158"/>
      <c r="E26" s="158"/>
      <c r="F26" s="158"/>
      <c r="G26" s="158"/>
      <c r="H26" s="158"/>
      <c r="I26" s="158"/>
      <c r="J26" s="158"/>
      <c r="K26" s="158"/>
      <c r="L26" s="158"/>
      <c r="M26" s="158"/>
      <c r="N26" s="158"/>
      <c r="O26" s="158"/>
    </row>
    <row r="27" spans="1:15">
      <c r="A27" s="158"/>
      <c r="B27" s="158"/>
      <c r="C27" s="158"/>
      <c r="D27" s="158"/>
      <c r="E27" s="158"/>
      <c r="F27" s="158"/>
      <c r="G27" s="158"/>
      <c r="H27" s="158"/>
      <c r="I27" s="158"/>
      <c r="J27" s="158"/>
      <c r="K27" s="158"/>
      <c r="L27" s="158"/>
      <c r="M27" s="158"/>
      <c r="N27" s="158"/>
      <c r="O27" s="158"/>
    </row>
  </sheetData>
  <mergeCells count="21">
    <mergeCell ref="A24:O24"/>
    <mergeCell ref="A25:C27"/>
    <mergeCell ref="D25:O27"/>
    <mergeCell ref="K5:N5"/>
    <mergeCell ref="O5:O7"/>
    <mergeCell ref="C6:C7"/>
    <mergeCell ref="D6:D7"/>
    <mergeCell ref="G6:H6"/>
    <mergeCell ref="I6:J6"/>
    <mergeCell ref="K6:L6"/>
    <mergeCell ref="M6:N6"/>
    <mergeCell ref="A1:D3"/>
    <mergeCell ref="E1:G3"/>
    <mergeCell ref="H1:O3"/>
    <mergeCell ref="A4:O4"/>
    <mergeCell ref="A5:A7"/>
    <mergeCell ref="B5:B7"/>
    <mergeCell ref="C5:D5"/>
    <mergeCell ref="E5:E7"/>
    <mergeCell ref="F5:F7"/>
    <mergeCell ref="G5:J5"/>
  </mergeCells>
  <phoneticPr fontId="32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O20"/>
  <sheetViews>
    <sheetView zoomScaleNormal="100" zoomScaleSheetLayoutView="100" workbookViewId="0">
      <selection activeCell="K26" sqref="K26"/>
    </sheetView>
  </sheetViews>
  <sheetFormatPr defaultColWidth="9" defaultRowHeight="16.5"/>
  <cols>
    <col min="1" max="1" width="5.125" bestFit="1" customWidth="1"/>
    <col min="2" max="2" width="6" customWidth="1"/>
    <col min="3" max="4" width="8.125" customWidth="1"/>
    <col min="5" max="5" width="13.875" customWidth="1"/>
    <col min="6" max="6" width="5.125" customWidth="1"/>
    <col min="7" max="7" width="7" style="5" customWidth="1"/>
    <col min="8" max="8" width="7.75" style="5" customWidth="1"/>
    <col min="9" max="9" width="5.25" style="5" bestFit="1" customWidth="1"/>
    <col min="10" max="10" width="8" style="5" customWidth="1"/>
    <col min="11" max="11" width="7.375" customWidth="1"/>
    <col min="12" max="12" width="5.875" customWidth="1"/>
    <col min="13" max="13" width="7.125" customWidth="1"/>
    <col min="14" max="14" width="6.25" customWidth="1"/>
    <col min="15" max="15" width="25.5" customWidth="1"/>
  </cols>
  <sheetData>
    <row r="1" spans="1:15" ht="16.5" customHeight="1">
      <c r="A1" s="158"/>
      <c r="B1" s="158"/>
      <c r="C1" s="158"/>
      <c r="D1" s="158"/>
      <c r="E1" s="210" t="s">
        <v>76</v>
      </c>
      <c r="F1" s="211"/>
      <c r="G1" s="211"/>
      <c r="H1" s="216" t="str">
        <f>'1. 소켓인수검사'!R2</f>
        <v>26.06.01 엘티_신동양기업_코오롱글로벌_대한항공 운북 신 엔진정비공장 건립공사</v>
      </c>
      <c r="I1" s="216"/>
      <c r="J1" s="216"/>
      <c r="K1" s="216"/>
      <c r="L1" s="216"/>
      <c r="M1" s="216"/>
      <c r="N1" s="216"/>
      <c r="O1" s="217"/>
    </row>
    <row r="2" spans="1:15" ht="38.25" customHeight="1">
      <c r="A2" s="158"/>
      <c r="B2" s="158"/>
      <c r="C2" s="158"/>
      <c r="D2" s="158"/>
      <c r="E2" s="212"/>
      <c r="F2" s="213"/>
      <c r="G2" s="213"/>
      <c r="H2" s="218"/>
      <c r="I2" s="218"/>
      <c r="J2" s="218"/>
      <c r="K2" s="218"/>
      <c r="L2" s="218"/>
      <c r="M2" s="218"/>
      <c r="N2" s="218"/>
      <c r="O2" s="219"/>
    </row>
    <row r="3" spans="1:15" ht="38.25" customHeight="1">
      <c r="A3" s="158"/>
      <c r="B3" s="158"/>
      <c r="C3" s="158"/>
      <c r="D3" s="158"/>
      <c r="E3" s="214"/>
      <c r="F3" s="215"/>
      <c r="G3" s="215"/>
      <c r="H3" s="220"/>
      <c r="I3" s="220"/>
      <c r="J3" s="220"/>
      <c r="K3" s="220"/>
      <c r="L3" s="220"/>
      <c r="M3" s="220"/>
      <c r="N3" s="220"/>
      <c r="O3" s="221"/>
    </row>
    <row r="4" spans="1:15" ht="8.1" customHeight="1">
      <c r="A4" s="202"/>
      <c r="B4" s="203"/>
      <c r="C4" s="203"/>
      <c r="D4" s="203"/>
      <c r="E4" s="203"/>
      <c r="F4" s="203"/>
      <c r="G4" s="203"/>
      <c r="H4" s="203"/>
      <c r="I4" s="203"/>
      <c r="J4" s="203"/>
      <c r="K4" s="203"/>
      <c r="L4" s="203"/>
      <c r="M4" s="203"/>
      <c r="N4" s="204"/>
      <c r="O4" s="15"/>
    </row>
    <row r="5" spans="1:15" s="18" customFormat="1" ht="26.45" customHeight="1">
      <c r="A5" s="222" t="s">
        <v>64</v>
      </c>
      <c r="B5" s="224" t="s">
        <v>74</v>
      </c>
      <c r="C5" s="226" t="s">
        <v>4</v>
      </c>
      <c r="D5" s="226"/>
      <c r="E5" s="226" t="s">
        <v>29</v>
      </c>
      <c r="F5" s="226" t="s">
        <v>62</v>
      </c>
      <c r="G5" s="226" t="s">
        <v>25</v>
      </c>
      <c r="H5" s="226"/>
      <c r="I5" s="226"/>
      <c r="J5" s="226"/>
      <c r="K5" s="226" t="s">
        <v>39</v>
      </c>
      <c r="L5" s="226"/>
      <c r="M5" s="226"/>
      <c r="N5" s="226"/>
      <c r="O5" s="227" t="s">
        <v>2</v>
      </c>
    </row>
    <row r="6" spans="1:15" s="18" customFormat="1" ht="16.5" customHeight="1">
      <c r="A6" s="223"/>
      <c r="B6" s="225"/>
      <c r="C6" s="198" t="s">
        <v>71</v>
      </c>
      <c r="D6" s="198" t="s">
        <v>69</v>
      </c>
      <c r="E6" s="198"/>
      <c r="F6" s="198"/>
      <c r="G6" s="229" t="s">
        <v>71</v>
      </c>
      <c r="H6" s="229"/>
      <c r="I6" s="229" t="s">
        <v>69</v>
      </c>
      <c r="J6" s="229"/>
      <c r="K6" s="198" t="s">
        <v>73</v>
      </c>
      <c r="L6" s="198"/>
      <c r="M6" s="198" t="s">
        <v>70</v>
      </c>
      <c r="N6" s="198"/>
      <c r="O6" s="228"/>
    </row>
    <row r="7" spans="1:15" s="18" customFormat="1" ht="16.5" customHeight="1">
      <c r="A7" s="223"/>
      <c r="B7" s="225"/>
      <c r="C7" s="198"/>
      <c r="D7" s="198"/>
      <c r="E7" s="198"/>
      <c r="F7" s="198"/>
      <c r="G7" s="106" t="s">
        <v>4</v>
      </c>
      <c r="H7" s="106" t="s">
        <v>36</v>
      </c>
      <c r="I7" s="106" t="s">
        <v>4</v>
      </c>
      <c r="J7" s="106" t="s">
        <v>36</v>
      </c>
      <c r="K7" s="107" t="s">
        <v>4</v>
      </c>
      <c r="L7" s="107" t="s">
        <v>62</v>
      </c>
      <c r="M7" s="107" t="s">
        <v>4</v>
      </c>
      <c r="N7" s="107" t="s">
        <v>62</v>
      </c>
      <c r="O7" s="228"/>
    </row>
    <row r="8" spans="1:15">
      <c r="A8" s="102" t="str">
        <f>'1. 소켓인수검사'!A25</f>
        <v>17</v>
      </c>
      <c r="B8" s="108" t="s">
        <v>54</v>
      </c>
      <c r="C8" s="44">
        <f>'1. 소켓인수검사'!C25</f>
        <v>1700</v>
      </c>
      <c r="D8" s="44">
        <f>'1. 소켓인수검사'!D25</f>
        <v>1300</v>
      </c>
      <c r="E8" s="45"/>
      <c r="F8" s="44">
        <v>1</v>
      </c>
      <c r="G8" s="73">
        <f>(C8-30)/2-5</f>
        <v>830</v>
      </c>
      <c r="H8" s="79">
        <f>F8*8*2</f>
        <v>16</v>
      </c>
      <c r="I8" s="117">
        <f>(D8-20)/2-10</f>
        <v>630</v>
      </c>
      <c r="J8" s="79">
        <f>F8*16</f>
        <v>16</v>
      </c>
      <c r="K8" s="74">
        <f t="shared" ref="K8:K11" si="0">C8+60</f>
        <v>1760</v>
      </c>
      <c r="L8" s="109">
        <v>4</v>
      </c>
      <c r="M8" s="74">
        <f>D8</f>
        <v>1300</v>
      </c>
      <c r="N8" s="109">
        <v>4</v>
      </c>
      <c r="O8" s="68"/>
    </row>
    <row r="9" spans="1:15">
      <c r="A9" s="102" t="str">
        <f>'1. 소켓인수검사'!A26</f>
        <v>18</v>
      </c>
      <c r="B9" s="108" t="s">
        <v>54</v>
      </c>
      <c r="C9" s="44">
        <f>'1. 소켓인수검사'!C26</f>
        <v>1900</v>
      </c>
      <c r="D9" s="44">
        <f>'1. 소켓인수검사'!D26</f>
        <v>400</v>
      </c>
      <c r="E9" s="45"/>
      <c r="F9" s="44">
        <v>1</v>
      </c>
      <c r="G9" s="73">
        <f t="shared" ref="G9:G12" si="1">(C9-30)/2-5</f>
        <v>930</v>
      </c>
      <c r="H9" s="79">
        <f>F9*8*2</f>
        <v>16</v>
      </c>
      <c r="I9" s="117">
        <f>(D9-20)/2-10</f>
        <v>180</v>
      </c>
      <c r="J9" s="79">
        <f>F9*16</f>
        <v>16</v>
      </c>
      <c r="K9" s="74">
        <f t="shared" si="0"/>
        <v>1960</v>
      </c>
      <c r="L9" s="109">
        <v>4</v>
      </c>
      <c r="M9" s="74">
        <f t="shared" ref="M9:M12" si="2">D9</f>
        <v>400</v>
      </c>
      <c r="N9" s="109">
        <v>4</v>
      </c>
      <c r="O9" s="68"/>
    </row>
    <row r="10" spans="1:15">
      <c r="A10" s="102" t="str">
        <f>'1. 소켓인수검사'!A27</f>
        <v>19</v>
      </c>
      <c r="B10" s="108" t="s">
        <v>54</v>
      </c>
      <c r="C10" s="44">
        <f>'1. 소켓인수검사'!C27</f>
        <v>1900</v>
      </c>
      <c r="D10" s="44">
        <f>'1. 소켓인수검사'!D27</f>
        <v>400</v>
      </c>
      <c r="E10" s="45"/>
      <c r="F10" s="44">
        <v>1</v>
      </c>
      <c r="G10" s="73">
        <f t="shared" si="1"/>
        <v>930</v>
      </c>
      <c r="H10" s="79">
        <f t="shared" ref="H10:H11" si="3">F10*8*2</f>
        <v>16</v>
      </c>
      <c r="I10" s="117">
        <f>(D10-20)/2-10</f>
        <v>180</v>
      </c>
      <c r="J10" s="79">
        <f t="shared" ref="J10:J11" si="4">F10*16</f>
        <v>16</v>
      </c>
      <c r="K10" s="74">
        <f t="shared" si="0"/>
        <v>1960</v>
      </c>
      <c r="L10" s="109">
        <v>4</v>
      </c>
      <c r="M10" s="74">
        <f t="shared" si="2"/>
        <v>400</v>
      </c>
      <c r="N10" s="109">
        <v>4</v>
      </c>
      <c r="O10" s="68"/>
    </row>
    <row r="11" spans="1:15">
      <c r="A11" s="102" t="str">
        <f>'1. 소켓인수검사'!A28</f>
        <v>20</v>
      </c>
      <c r="B11" s="108" t="s">
        <v>54</v>
      </c>
      <c r="C11" s="44">
        <f>'1. 소켓인수검사'!C28</f>
        <v>1950</v>
      </c>
      <c r="D11" s="44">
        <f>'1. 소켓인수검사'!D28</f>
        <v>800</v>
      </c>
      <c r="E11" s="45"/>
      <c r="F11" s="44">
        <v>1</v>
      </c>
      <c r="G11" s="73">
        <f t="shared" si="1"/>
        <v>955</v>
      </c>
      <c r="H11" s="79">
        <f t="shared" si="3"/>
        <v>16</v>
      </c>
      <c r="I11" s="117">
        <f t="shared" ref="I11" si="5">(D11-20)/2-10</f>
        <v>380</v>
      </c>
      <c r="J11" s="79">
        <f t="shared" si="4"/>
        <v>16</v>
      </c>
      <c r="K11" s="74">
        <f t="shared" si="0"/>
        <v>2010</v>
      </c>
      <c r="L11" s="109">
        <v>4</v>
      </c>
      <c r="M11" s="74">
        <f t="shared" si="2"/>
        <v>800</v>
      </c>
      <c r="N11" s="109">
        <v>4</v>
      </c>
      <c r="O11" s="68"/>
    </row>
    <row r="12" spans="1:15">
      <c r="A12" s="102" t="str">
        <f>'1. 소켓인수검사'!A29</f>
        <v>21</v>
      </c>
      <c r="B12" s="108" t="s">
        <v>54</v>
      </c>
      <c r="C12" s="44">
        <f>'1. 소켓인수검사'!C29</f>
        <v>3150</v>
      </c>
      <c r="D12" s="44">
        <f>'1. 소켓인수검사'!D29</f>
        <v>500</v>
      </c>
      <c r="E12" s="45"/>
      <c r="F12" s="44">
        <v>1</v>
      </c>
      <c r="G12" s="73">
        <f t="shared" si="1"/>
        <v>1555</v>
      </c>
      <c r="H12" s="79">
        <f t="shared" ref="H12" si="6">F12*8*2</f>
        <v>16</v>
      </c>
      <c r="I12" s="117">
        <f t="shared" ref="I12" si="7">(D12-20)/2-10</f>
        <v>230</v>
      </c>
      <c r="J12" s="79">
        <f t="shared" ref="J12" si="8">F12*16</f>
        <v>16</v>
      </c>
      <c r="K12" s="74">
        <f t="shared" ref="K12" si="9">C12+60</f>
        <v>3210</v>
      </c>
      <c r="L12" s="109">
        <v>4</v>
      </c>
      <c r="M12" s="74">
        <f t="shared" si="2"/>
        <v>500</v>
      </c>
      <c r="N12" s="109">
        <v>4</v>
      </c>
      <c r="O12" s="68"/>
    </row>
    <row r="13" spans="1:15">
      <c r="A13" s="208"/>
      <c r="B13" s="209"/>
      <c r="C13" s="209"/>
      <c r="D13" s="110"/>
      <c r="E13" s="111"/>
      <c r="F13" s="111"/>
      <c r="G13" s="112"/>
      <c r="H13" s="75">
        <f>SUM(H8:H12)</f>
        <v>80</v>
      </c>
      <c r="I13" s="112"/>
      <c r="J13" s="75">
        <f>SUM(J8:J12)</f>
        <v>80</v>
      </c>
      <c r="K13" s="110"/>
      <c r="L13" s="75">
        <f>SUM(L8:L12)</f>
        <v>20</v>
      </c>
      <c r="M13" s="110"/>
      <c r="N13" s="75">
        <f>SUM(N8:N12)</f>
        <v>20</v>
      </c>
      <c r="O13" s="76"/>
    </row>
    <row r="14" spans="1:15" ht="8.1" customHeight="1">
      <c r="A14" s="199"/>
      <c r="B14" s="200"/>
      <c r="C14" s="200"/>
      <c r="D14" s="200"/>
      <c r="E14" s="200"/>
      <c r="F14" s="200"/>
      <c r="G14" s="200"/>
      <c r="H14" s="200"/>
      <c r="I14" s="200"/>
      <c r="J14" s="200"/>
      <c r="K14" s="200"/>
      <c r="L14" s="200"/>
      <c r="M14" s="200"/>
      <c r="N14" s="201"/>
      <c r="O14" s="4"/>
    </row>
    <row r="15" spans="1:15">
      <c r="A15" s="158" t="s">
        <v>20</v>
      </c>
      <c r="B15" s="158"/>
      <c r="C15" s="158"/>
      <c r="D15" s="199"/>
      <c r="E15" s="200"/>
      <c r="F15" s="200"/>
      <c r="G15" s="200"/>
      <c r="H15" s="200"/>
      <c r="I15" s="200"/>
      <c r="J15" s="200"/>
      <c r="K15" s="200"/>
      <c r="L15" s="200"/>
      <c r="M15" s="200"/>
      <c r="N15" s="200"/>
      <c r="O15" s="201"/>
    </row>
    <row r="16" spans="1:15">
      <c r="A16" s="158"/>
      <c r="B16" s="158"/>
      <c r="C16" s="158"/>
      <c r="D16" s="202"/>
      <c r="E16" s="203"/>
      <c r="F16" s="203"/>
      <c r="G16" s="203"/>
      <c r="H16" s="203"/>
      <c r="I16" s="203"/>
      <c r="J16" s="203"/>
      <c r="K16" s="203"/>
      <c r="L16" s="203"/>
      <c r="M16" s="203"/>
      <c r="N16" s="203"/>
      <c r="O16" s="204"/>
    </row>
    <row r="17" spans="1:15">
      <c r="A17" s="158"/>
      <c r="B17" s="158"/>
      <c r="C17" s="158"/>
      <c r="D17" s="202"/>
      <c r="E17" s="203"/>
      <c r="F17" s="203"/>
      <c r="G17" s="203"/>
      <c r="H17" s="203"/>
      <c r="I17" s="203"/>
      <c r="J17" s="203"/>
      <c r="K17" s="203"/>
      <c r="L17" s="203"/>
      <c r="M17" s="203"/>
      <c r="N17" s="203"/>
      <c r="O17" s="204"/>
    </row>
    <row r="18" spans="1:15">
      <c r="A18" s="158"/>
      <c r="B18" s="158"/>
      <c r="C18" s="158"/>
      <c r="D18" s="202"/>
      <c r="E18" s="203"/>
      <c r="F18" s="203"/>
      <c r="G18" s="203"/>
      <c r="H18" s="203"/>
      <c r="I18" s="203"/>
      <c r="J18" s="203"/>
      <c r="K18" s="203"/>
      <c r="L18" s="203"/>
      <c r="M18" s="203"/>
      <c r="N18" s="203"/>
      <c r="O18" s="204"/>
    </row>
    <row r="19" spans="1:15">
      <c r="A19" s="158"/>
      <c r="B19" s="158"/>
      <c r="C19" s="158"/>
      <c r="D19" s="202"/>
      <c r="E19" s="203"/>
      <c r="F19" s="203"/>
      <c r="G19" s="203"/>
      <c r="H19" s="203"/>
      <c r="I19" s="203"/>
      <c r="J19" s="203"/>
      <c r="K19" s="203"/>
      <c r="L19" s="203"/>
      <c r="M19" s="203"/>
      <c r="N19" s="203"/>
      <c r="O19" s="204"/>
    </row>
    <row r="20" spans="1:15">
      <c r="A20" s="158"/>
      <c r="B20" s="158"/>
      <c r="C20" s="158"/>
      <c r="D20" s="205"/>
      <c r="E20" s="206"/>
      <c r="F20" s="206"/>
      <c r="G20" s="206"/>
      <c r="H20" s="206"/>
      <c r="I20" s="206"/>
      <c r="J20" s="206"/>
      <c r="K20" s="206"/>
      <c r="L20" s="206"/>
      <c r="M20" s="206"/>
      <c r="N20" s="206"/>
      <c r="O20" s="207"/>
    </row>
  </sheetData>
  <mergeCells count="22">
    <mergeCell ref="E1:G3"/>
    <mergeCell ref="H1:O3"/>
    <mergeCell ref="A1:D3"/>
    <mergeCell ref="A4:N4"/>
    <mergeCell ref="A5:A7"/>
    <mergeCell ref="B5:B7"/>
    <mergeCell ref="C5:D5"/>
    <mergeCell ref="E5:E7"/>
    <mergeCell ref="F5:F7"/>
    <mergeCell ref="G5:J5"/>
    <mergeCell ref="K5:N5"/>
    <mergeCell ref="O5:O7"/>
    <mergeCell ref="C6:C7"/>
    <mergeCell ref="D6:D7"/>
    <mergeCell ref="G6:H6"/>
    <mergeCell ref="I6:J6"/>
    <mergeCell ref="K6:L6"/>
    <mergeCell ref="M6:N6"/>
    <mergeCell ref="A15:C20"/>
    <mergeCell ref="D15:O20"/>
    <mergeCell ref="A13:C13"/>
    <mergeCell ref="A14:N14"/>
  </mergeCells>
  <phoneticPr fontId="32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A1:K31"/>
  <sheetViews>
    <sheetView zoomScaleNormal="100" zoomScaleSheetLayoutView="100" workbookViewId="0">
      <selection activeCell="N17" sqref="N17"/>
    </sheetView>
  </sheetViews>
  <sheetFormatPr defaultColWidth="9" defaultRowHeight="16.5"/>
  <cols>
    <col min="1" max="1" width="5.125" bestFit="1" customWidth="1"/>
    <col min="2" max="2" width="8.125" customWidth="1"/>
    <col min="3" max="4" width="6.875" customWidth="1"/>
    <col min="5" max="5" width="13.875" customWidth="1"/>
    <col min="6" max="6" width="5.75" customWidth="1"/>
    <col min="7" max="7" width="7.5" customWidth="1"/>
    <col min="8" max="8" width="5.5" customWidth="1"/>
    <col min="9" max="9" width="7.5" customWidth="1"/>
    <col min="10" max="10" width="5.5" customWidth="1"/>
    <col min="11" max="11" width="26.875" customWidth="1"/>
  </cols>
  <sheetData>
    <row r="1" spans="1:11" ht="16.5" customHeight="1">
      <c r="A1" s="158"/>
      <c r="B1" s="158"/>
      <c r="C1" s="158"/>
      <c r="D1" s="158"/>
      <c r="E1" s="233" t="s">
        <v>105</v>
      </c>
      <c r="F1" s="234"/>
      <c r="G1" s="239" t="str">
        <f>'1. 소켓인수검사'!R2</f>
        <v>26.06.01 엘티_신동양기업_코오롱글로벌_대한항공 운북 신 엔진정비공장 건립공사</v>
      </c>
      <c r="H1" s="239"/>
      <c r="I1" s="239"/>
      <c r="J1" s="239"/>
      <c r="K1" s="240"/>
    </row>
    <row r="2" spans="1:11" ht="16.5" customHeight="1">
      <c r="A2" s="158"/>
      <c r="B2" s="158"/>
      <c r="C2" s="158"/>
      <c r="D2" s="158"/>
      <c r="E2" s="235"/>
      <c r="F2" s="236"/>
      <c r="G2" s="241"/>
      <c r="H2" s="241"/>
      <c r="I2" s="241"/>
      <c r="J2" s="241"/>
      <c r="K2" s="242"/>
    </row>
    <row r="3" spans="1:11" ht="16.5" customHeight="1">
      <c r="A3" s="158"/>
      <c r="B3" s="158"/>
      <c r="C3" s="158"/>
      <c r="D3" s="158"/>
      <c r="E3" s="237"/>
      <c r="F3" s="238"/>
      <c r="G3" s="243"/>
      <c r="H3" s="243"/>
      <c r="I3" s="243"/>
      <c r="J3" s="243"/>
      <c r="K3" s="244"/>
    </row>
    <row r="4" spans="1:11" ht="8.1" customHeight="1">
      <c r="A4" s="206"/>
      <c r="B4" s="206"/>
      <c r="C4" s="206"/>
      <c r="D4" s="206"/>
      <c r="E4" s="206"/>
      <c r="F4" s="206"/>
      <c r="G4" s="206"/>
      <c r="H4" s="206"/>
      <c r="I4" s="206"/>
      <c r="J4" s="206"/>
      <c r="K4" s="206"/>
    </row>
    <row r="5" spans="1:11" ht="26.45" customHeight="1">
      <c r="A5" s="245" t="s">
        <v>64</v>
      </c>
      <c r="B5" s="246" t="s">
        <v>74</v>
      </c>
      <c r="C5" s="230" t="s">
        <v>4</v>
      </c>
      <c r="D5" s="230"/>
      <c r="E5" s="230" t="s">
        <v>29</v>
      </c>
      <c r="F5" s="249" t="s">
        <v>62</v>
      </c>
      <c r="G5" s="231" t="s">
        <v>39</v>
      </c>
      <c r="H5" s="232"/>
      <c r="I5" s="232"/>
      <c r="J5" s="232"/>
      <c r="K5" s="249" t="s">
        <v>2</v>
      </c>
    </row>
    <row r="6" spans="1:11" ht="16.5" customHeight="1">
      <c r="A6" s="245"/>
      <c r="B6" s="247"/>
      <c r="C6" s="230" t="s">
        <v>71</v>
      </c>
      <c r="D6" s="230" t="s">
        <v>69</v>
      </c>
      <c r="E6" s="230"/>
      <c r="F6" s="250"/>
      <c r="G6" s="230" t="s">
        <v>73</v>
      </c>
      <c r="H6" s="230"/>
      <c r="I6" s="231" t="s">
        <v>70</v>
      </c>
      <c r="J6" s="232"/>
      <c r="K6" s="250"/>
    </row>
    <row r="7" spans="1:11">
      <c r="A7" s="245"/>
      <c r="B7" s="248"/>
      <c r="C7" s="230"/>
      <c r="D7" s="230"/>
      <c r="E7" s="230"/>
      <c r="F7" s="251"/>
      <c r="G7" s="16" t="s">
        <v>4</v>
      </c>
      <c r="H7" s="16" t="s">
        <v>62</v>
      </c>
      <c r="I7" s="16" t="s">
        <v>4</v>
      </c>
      <c r="J7" s="17" t="s">
        <v>62</v>
      </c>
      <c r="K7" s="251"/>
    </row>
    <row r="8" spans="1:11">
      <c r="A8" s="100" t="str">
        <f>'1. 소켓인수검사'!A9</f>
        <v>01</v>
      </c>
      <c r="B8" s="67" t="s">
        <v>19</v>
      </c>
      <c r="C8" s="62">
        <f>'1. 소켓인수검사'!C9</f>
        <v>300</v>
      </c>
      <c r="D8" s="62">
        <f>'1. 소켓인수검사'!D9</f>
        <v>300</v>
      </c>
      <c r="E8" s="63"/>
      <c r="F8" s="62">
        <v>1</v>
      </c>
      <c r="G8" s="101">
        <f t="shared" ref="G8:G11" si="0">C8+60</f>
        <v>360</v>
      </c>
      <c r="H8" s="62">
        <v>2</v>
      </c>
      <c r="I8" s="101">
        <f>D8</f>
        <v>300</v>
      </c>
      <c r="J8" s="62">
        <v>2</v>
      </c>
      <c r="K8" s="65"/>
    </row>
    <row r="9" spans="1:11">
      <c r="A9" s="102" t="str">
        <f>'1. 소켓인수검사'!A10</f>
        <v>02</v>
      </c>
      <c r="B9" s="67" t="s">
        <v>19</v>
      </c>
      <c r="C9" s="44">
        <f>'1. 소켓인수검사'!C10</f>
        <v>300</v>
      </c>
      <c r="D9" s="44">
        <f>'1. 소켓인수검사'!D10</f>
        <v>300</v>
      </c>
      <c r="E9" s="45"/>
      <c r="F9" s="44">
        <v>1</v>
      </c>
      <c r="G9" s="69">
        <f t="shared" si="0"/>
        <v>360</v>
      </c>
      <c r="H9" s="44">
        <v>2</v>
      </c>
      <c r="I9" s="69">
        <f t="shared" ref="I9:I22" si="1">D9</f>
        <v>300</v>
      </c>
      <c r="J9" s="44">
        <v>2</v>
      </c>
      <c r="K9" s="68"/>
    </row>
    <row r="10" spans="1:11">
      <c r="A10" s="102" t="str">
        <f>'1. 소켓인수검사'!A11</f>
        <v>03</v>
      </c>
      <c r="B10" s="67" t="s">
        <v>19</v>
      </c>
      <c r="C10" s="44">
        <f>'1. 소켓인수검사'!C11</f>
        <v>300</v>
      </c>
      <c r="D10" s="44">
        <f>'1. 소켓인수검사'!D11</f>
        <v>300</v>
      </c>
      <c r="E10" s="45"/>
      <c r="F10" s="44">
        <v>1</v>
      </c>
      <c r="G10" s="69">
        <f t="shared" si="0"/>
        <v>360</v>
      </c>
      <c r="H10" s="44">
        <v>2</v>
      </c>
      <c r="I10" s="69">
        <f t="shared" si="1"/>
        <v>300</v>
      </c>
      <c r="J10" s="44">
        <v>2</v>
      </c>
      <c r="K10" s="68"/>
    </row>
    <row r="11" spans="1:11">
      <c r="A11" s="102" t="str">
        <f>'1. 소켓인수검사'!A12</f>
        <v>04</v>
      </c>
      <c r="B11" s="67" t="s">
        <v>19</v>
      </c>
      <c r="C11" s="44">
        <f>'1. 소켓인수검사'!C12</f>
        <v>300</v>
      </c>
      <c r="D11" s="44">
        <f>'1. 소켓인수검사'!D12</f>
        <v>300</v>
      </c>
      <c r="E11" s="45"/>
      <c r="F11" s="44">
        <v>1</v>
      </c>
      <c r="G11" s="69">
        <f t="shared" si="0"/>
        <v>360</v>
      </c>
      <c r="H11" s="44">
        <v>2</v>
      </c>
      <c r="I11" s="69">
        <f t="shared" si="1"/>
        <v>300</v>
      </c>
      <c r="J11" s="44">
        <v>2</v>
      </c>
      <c r="K11" s="68"/>
    </row>
    <row r="12" spans="1:11">
      <c r="A12" s="102" t="str">
        <f>'1. 소켓인수검사'!A13</f>
        <v>05</v>
      </c>
      <c r="B12" s="67" t="s">
        <v>19</v>
      </c>
      <c r="C12" s="44">
        <f>'1. 소켓인수검사'!C13</f>
        <v>300</v>
      </c>
      <c r="D12" s="44">
        <f>'1. 소켓인수검사'!D13</f>
        <v>300</v>
      </c>
      <c r="E12" s="45"/>
      <c r="F12" s="44">
        <v>1</v>
      </c>
      <c r="G12" s="69">
        <f t="shared" ref="G12:G19" si="2">C12+60</f>
        <v>360</v>
      </c>
      <c r="H12" s="44">
        <v>2</v>
      </c>
      <c r="I12" s="69">
        <f t="shared" si="1"/>
        <v>300</v>
      </c>
      <c r="J12" s="44">
        <v>2</v>
      </c>
      <c r="K12" s="68"/>
    </row>
    <row r="13" spans="1:11">
      <c r="A13" s="102" t="str">
        <f>'1. 소켓인수검사'!A14</f>
        <v>06</v>
      </c>
      <c r="B13" s="67" t="s">
        <v>19</v>
      </c>
      <c r="C13" s="44">
        <f>'1. 소켓인수검사'!C14</f>
        <v>350</v>
      </c>
      <c r="D13" s="44">
        <f>'1. 소켓인수검사'!D14</f>
        <v>300</v>
      </c>
      <c r="E13" s="45"/>
      <c r="F13" s="44">
        <v>1</v>
      </c>
      <c r="G13" s="69">
        <f t="shared" si="2"/>
        <v>410</v>
      </c>
      <c r="H13" s="44">
        <v>2</v>
      </c>
      <c r="I13" s="69">
        <f t="shared" si="1"/>
        <v>300</v>
      </c>
      <c r="J13" s="44">
        <v>2</v>
      </c>
      <c r="K13" s="68"/>
    </row>
    <row r="14" spans="1:11">
      <c r="A14" s="102" t="str">
        <f>'1. 소켓인수검사'!A15</f>
        <v>07</v>
      </c>
      <c r="B14" s="67" t="s">
        <v>19</v>
      </c>
      <c r="C14" s="44">
        <f>'1. 소켓인수검사'!C15</f>
        <v>350</v>
      </c>
      <c r="D14" s="44">
        <f>'1. 소켓인수검사'!D15</f>
        <v>300</v>
      </c>
      <c r="E14" s="45"/>
      <c r="F14" s="44">
        <v>1</v>
      </c>
      <c r="G14" s="69">
        <f t="shared" si="2"/>
        <v>410</v>
      </c>
      <c r="H14" s="44">
        <v>2</v>
      </c>
      <c r="I14" s="69">
        <f t="shared" si="1"/>
        <v>300</v>
      </c>
      <c r="J14" s="44">
        <v>2</v>
      </c>
      <c r="K14" s="68"/>
    </row>
    <row r="15" spans="1:11">
      <c r="A15" s="102" t="str">
        <f>'1. 소켓인수검사'!A16</f>
        <v>08</v>
      </c>
      <c r="B15" s="67" t="s">
        <v>19</v>
      </c>
      <c r="C15" s="44">
        <f>'1. 소켓인수검사'!C16</f>
        <v>350</v>
      </c>
      <c r="D15" s="44">
        <f>'1. 소켓인수검사'!D16</f>
        <v>350</v>
      </c>
      <c r="E15" s="45"/>
      <c r="F15" s="44">
        <v>1</v>
      </c>
      <c r="G15" s="69">
        <f t="shared" si="2"/>
        <v>410</v>
      </c>
      <c r="H15" s="44">
        <v>2</v>
      </c>
      <c r="I15" s="69">
        <f t="shared" si="1"/>
        <v>350</v>
      </c>
      <c r="J15" s="44">
        <v>2</v>
      </c>
      <c r="K15" s="68"/>
    </row>
    <row r="16" spans="1:11">
      <c r="A16" s="102" t="str">
        <f>'1. 소켓인수검사'!A17</f>
        <v>09</v>
      </c>
      <c r="B16" s="67" t="s">
        <v>19</v>
      </c>
      <c r="C16" s="44">
        <f>'1. 소켓인수검사'!C17</f>
        <v>350</v>
      </c>
      <c r="D16" s="44">
        <f>'1. 소켓인수검사'!D17</f>
        <v>350</v>
      </c>
      <c r="E16" s="45"/>
      <c r="F16" s="44">
        <v>1</v>
      </c>
      <c r="G16" s="69">
        <f t="shared" si="2"/>
        <v>410</v>
      </c>
      <c r="H16" s="44">
        <v>2</v>
      </c>
      <c r="I16" s="69">
        <f t="shared" si="1"/>
        <v>350</v>
      </c>
      <c r="J16" s="44">
        <v>2</v>
      </c>
      <c r="K16" s="68"/>
    </row>
    <row r="17" spans="1:11">
      <c r="A17" s="102" t="str">
        <f>'1. 소켓인수검사'!A18</f>
        <v>10</v>
      </c>
      <c r="B17" s="67" t="s">
        <v>19</v>
      </c>
      <c r="C17" s="44">
        <f>'1. 소켓인수검사'!C18</f>
        <v>350</v>
      </c>
      <c r="D17" s="44">
        <f>'1. 소켓인수검사'!D18</f>
        <v>350</v>
      </c>
      <c r="E17" s="45"/>
      <c r="F17" s="44">
        <v>1</v>
      </c>
      <c r="G17" s="69">
        <f t="shared" si="2"/>
        <v>410</v>
      </c>
      <c r="H17" s="44">
        <v>2</v>
      </c>
      <c r="I17" s="69">
        <f t="shared" si="1"/>
        <v>350</v>
      </c>
      <c r="J17" s="44">
        <v>2</v>
      </c>
      <c r="K17" s="68"/>
    </row>
    <row r="18" spans="1:11">
      <c r="A18" s="102" t="str">
        <f>'1. 소켓인수검사'!A19</f>
        <v>11</v>
      </c>
      <c r="B18" s="67" t="s">
        <v>19</v>
      </c>
      <c r="C18" s="44">
        <f>'1. 소켓인수검사'!C19</f>
        <v>350</v>
      </c>
      <c r="D18" s="44">
        <f>'1. 소켓인수검사'!D19</f>
        <v>350</v>
      </c>
      <c r="E18" s="45"/>
      <c r="F18" s="44">
        <v>1</v>
      </c>
      <c r="G18" s="69">
        <f t="shared" si="2"/>
        <v>410</v>
      </c>
      <c r="H18" s="44">
        <v>2</v>
      </c>
      <c r="I18" s="69">
        <f t="shared" si="1"/>
        <v>350</v>
      </c>
      <c r="J18" s="44">
        <v>2</v>
      </c>
      <c r="K18" s="68"/>
    </row>
    <row r="19" spans="1:11">
      <c r="A19" s="148" t="str">
        <f>'1. 소켓인수검사'!A20</f>
        <v>12</v>
      </c>
      <c r="B19" s="139" t="s">
        <v>19</v>
      </c>
      <c r="C19" s="149">
        <f>'1. 소켓인수검사'!C20</f>
        <v>700</v>
      </c>
      <c r="D19" s="149">
        <f>'1. 소켓인수검사'!D20</f>
        <v>450</v>
      </c>
      <c r="E19" s="145"/>
      <c r="F19" s="149">
        <v>1</v>
      </c>
      <c r="G19" s="149">
        <f t="shared" si="2"/>
        <v>760</v>
      </c>
      <c r="H19" s="149">
        <v>2</v>
      </c>
      <c r="I19" s="149">
        <f t="shared" si="1"/>
        <v>450</v>
      </c>
      <c r="J19" s="149">
        <v>2</v>
      </c>
      <c r="K19" s="150" t="s">
        <v>141</v>
      </c>
    </row>
    <row r="20" spans="1:11">
      <c r="A20" s="148" t="str">
        <f>'1. 소켓인수검사'!A21</f>
        <v>13</v>
      </c>
      <c r="B20" s="139" t="s">
        <v>19</v>
      </c>
      <c r="C20" s="149">
        <f>'1. 소켓인수검사'!C21</f>
        <v>700</v>
      </c>
      <c r="D20" s="149">
        <f>'1. 소켓인수검사'!D21</f>
        <v>450</v>
      </c>
      <c r="E20" s="145"/>
      <c r="F20" s="149">
        <v>1</v>
      </c>
      <c r="G20" s="149">
        <f t="shared" ref="G20:G22" si="3">C20+60</f>
        <v>760</v>
      </c>
      <c r="H20" s="149">
        <v>2</v>
      </c>
      <c r="I20" s="149">
        <f t="shared" si="1"/>
        <v>450</v>
      </c>
      <c r="J20" s="149">
        <v>2</v>
      </c>
      <c r="K20" s="150" t="s">
        <v>141</v>
      </c>
    </row>
    <row r="21" spans="1:11">
      <c r="A21" s="102" t="str">
        <f>'1. 소켓인수검사'!A22</f>
        <v>14</v>
      </c>
      <c r="B21" s="67" t="s">
        <v>19</v>
      </c>
      <c r="C21" s="44">
        <f>'1. 소켓인수검사'!C22</f>
        <v>850</v>
      </c>
      <c r="D21" s="44">
        <f>'1. 소켓인수검사'!D22</f>
        <v>500</v>
      </c>
      <c r="E21" s="45"/>
      <c r="F21" s="44">
        <v>1</v>
      </c>
      <c r="G21" s="69">
        <f t="shared" si="3"/>
        <v>910</v>
      </c>
      <c r="H21" s="44">
        <v>2</v>
      </c>
      <c r="I21" s="69">
        <f t="shared" si="1"/>
        <v>500</v>
      </c>
      <c r="J21" s="44">
        <v>2</v>
      </c>
      <c r="K21" s="68"/>
    </row>
    <row r="22" spans="1:11">
      <c r="A22" s="102" t="str">
        <f>'1. 소켓인수검사'!A23</f>
        <v>15</v>
      </c>
      <c r="B22" s="67" t="s">
        <v>19</v>
      </c>
      <c r="C22" s="44">
        <f>'1. 소켓인수검사'!C23</f>
        <v>900</v>
      </c>
      <c r="D22" s="44">
        <f>'1. 소켓인수검사'!D23</f>
        <v>500</v>
      </c>
      <c r="E22" s="45"/>
      <c r="F22" s="44">
        <v>1</v>
      </c>
      <c r="G22" s="69">
        <f t="shared" si="3"/>
        <v>960</v>
      </c>
      <c r="H22" s="44">
        <v>2</v>
      </c>
      <c r="I22" s="69">
        <f t="shared" si="1"/>
        <v>500</v>
      </c>
      <c r="J22" s="44">
        <v>2</v>
      </c>
      <c r="K22" s="68"/>
    </row>
    <row r="23" spans="1:11">
      <c r="A23" s="102" t="str">
        <f>'1. 소켓인수검사'!A24</f>
        <v>16</v>
      </c>
      <c r="B23" s="71" t="s">
        <v>6</v>
      </c>
      <c r="C23" s="44">
        <f>'1. 소켓인수검사'!C24</f>
        <v>1000</v>
      </c>
      <c r="D23" s="44">
        <f>'1. 소켓인수검사'!D24</f>
        <v>500</v>
      </c>
      <c r="E23" s="45"/>
      <c r="F23" s="44">
        <v>1</v>
      </c>
      <c r="G23" s="69">
        <f t="shared" ref="G23" si="4">C23+60</f>
        <v>1060</v>
      </c>
      <c r="H23" s="44">
        <v>2</v>
      </c>
      <c r="I23" s="69">
        <f t="shared" ref="I23" si="5">D23</f>
        <v>500</v>
      </c>
      <c r="J23" s="44">
        <v>2</v>
      </c>
      <c r="K23" s="70"/>
    </row>
    <row r="24" spans="1:11">
      <c r="A24" s="103" t="str">
        <f>'1. 소켓인수검사'!A25</f>
        <v>17</v>
      </c>
      <c r="B24" s="72" t="s">
        <v>54</v>
      </c>
      <c r="C24" s="44">
        <f>'1. 소켓인수검사'!C25</f>
        <v>1700</v>
      </c>
      <c r="D24" s="44">
        <f>'1. 소켓인수검사'!D25</f>
        <v>1300</v>
      </c>
      <c r="E24" s="45"/>
      <c r="F24" s="44">
        <v>1</v>
      </c>
      <c r="G24" s="69">
        <f t="shared" ref="G24:G28" si="6">C24+60</f>
        <v>1760</v>
      </c>
      <c r="H24" s="44">
        <v>2</v>
      </c>
      <c r="I24" s="69">
        <f t="shared" ref="I24:I28" si="7">D24</f>
        <v>1300</v>
      </c>
      <c r="J24" s="44">
        <v>2</v>
      </c>
      <c r="K24" s="68"/>
    </row>
    <row r="25" spans="1:11">
      <c r="A25" s="103" t="str">
        <f>'1. 소켓인수검사'!A26</f>
        <v>18</v>
      </c>
      <c r="B25" s="72" t="s">
        <v>54</v>
      </c>
      <c r="C25" s="44">
        <f>'1. 소켓인수검사'!C26</f>
        <v>1900</v>
      </c>
      <c r="D25" s="44">
        <f>'1. 소켓인수검사'!D26</f>
        <v>400</v>
      </c>
      <c r="E25" s="45"/>
      <c r="F25" s="44">
        <v>1</v>
      </c>
      <c r="G25" s="69">
        <f t="shared" si="6"/>
        <v>1960</v>
      </c>
      <c r="H25" s="44">
        <v>2</v>
      </c>
      <c r="I25" s="69">
        <f t="shared" si="7"/>
        <v>400</v>
      </c>
      <c r="J25" s="44">
        <v>2</v>
      </c>
      <c r="K25" s="68"/>
    </row>
    <row r="26" spans="1:11">
      <c r="A26" s="103" t="str">
        <f>'1. 소켓인수검사'!A27</f>
        <v>19</v>
      </c>
      <c r="B26" s="72" t="s">
        <v>54</v>
      </c>
      <c r="C26" s="44">
        <f>'1. 소켓인수검사'!C27</f>
        <v>1900</v>
      </c>
      <c r="D26" s="44">
        <f>'1. 소켓인수검사'!D27</f>
        <v>400</v>
      </c>
      <c r="E26" s="45"/>
      <c r="F26" s="44">
        <v>1</v>
      </c>
      <c r="G26" s="69">
        <f t="shared" si="6"/>
        <v>1960</v>
      </c>
      <c r="H26" s="44">
        <v>2</v>
      </c>
      <c r="I26" s="69">
        <f t="shared" si="7"/>
        <v>400</v>
      </c>
      <c r="J26" s="44">
        <v>2</v>
      </c>
      <c r="K26" s="68"/>
    </row>
    <row r="27" spans="1:11">
      <c r="A27" s="103" t="str">
        <f>'1. 소켓인수검사'!A28</f>
        <v>20</v>
      </c>
      <c r="B27" s="72" t="s">
        <v>54</v>
      </c>
      <c r="C27" s="44">
        <f>'1. 소켓인수검사'!C28</f>
        <v>1950</v>
      </c>
      <c r="D27" s="44">
        <f>'1. 소켓인수검사'!D28</f>
        <v>800</v>
      </c>
      <c r="E27" s="45"/>
      <c r="F27" s="44">
        <v>1</v>
      </c>
      <c r="G27" s="69">
        <f t="shared" si="6"/>
        <v>2010</v>
      </c>
      <c r="H27" s="44">
        <v>2</v>
      </c>
      <c r="I27" s="69">
        <f t="shared" si="7"/>
        <v>800</v>
      </c>
      <c r="J27" s="44">
        <v>2</v>
      </c>
      <c r="K27" s="68"/>
    </row>
    <row r="28" spans="1:11">
      <c r="A28" s="103" t="str">
        <f>'1. 소켓인수검사'!A29</f>
        <v>21</v>
      </c>
      <c r="B28" s="72" t="s">
        <v>54</v>
      </c>
      <c r="C28" s="44">
        <f>'1. 소켓인수검사'!C29</f>
        <v>3150</v>
      </c>
      <c r="D28" s="44">
        <f>'1. 소켓인수검사'!D29</f>
        <v>500</v>
      </c>
      <c r="E28" s="58"/>
      <c r="F28" s="57">
        <v>1</v>
      </c>
      <c r="G28" s="104">
        <f t="shared" si="6"/>
        <v>3210</v>
      </c>
      <c r="H28" s="57">
        <v>2</v>
      </c>
      <c r="I28" s="104">
        <f t="shared" si="7"/>
        <v>500</v>
      </c>
      <c r="J28" s="57">
        <v>2</v>
      </c>
      <c r="K28" s="105"/>
    </row>
    <row r="29" spans="1:11">
      <c r="A29" s="158" t="s">
        <v>52</v>
      </c>
      <c r="B29" s="158"/>
      <c r="C29" s="158"/>
      <c r="D29" s="158"/>
      <c r="E29" s="158"/>
      <c r="F29" s="158"/>
      <c r="G29" s="158"/>
      <c r="H29" s="158"/>
      <c r="I29" s="158"/>
      <c r="J29" s="158"/>
      <c r="K29" s="158"/>
    </row>
    <row r="30" spans="1:11">
      <c r="A30" s="158"/>
      <c r="B30" s="158"/>
      <c r="C30" s="158"/>
      <c r="D30" s="158"/>
      <c r="E30" s="158"/>
      <c r="F30" s="158"/>
      <c r="G30" s="158"/>
      <c r="H30" s="158"/>
      <c r="I30" s="158"/>
      <c r="J30" s="158"/>
      <c r="K30" s="158"/>
    </row>
    <row r="31" spans="1:11">
      <c r="A31" s="158"/>
      <c r="B31" s="158"/>
      <c r="C31" s="158"/>
      <c r="D31" s="158"/>
      <c r="E31" s="158"/>
      <c r="F31" s="158"/>
      <c r="G31" s="158"/>
      <c r="H31" s="158"/>
      <c r="I31" s="158"/>
      <c r="J31" s="158"/>
      <c r="K31" s="158"/>
    </row>
  </sheetData>
  <mergeCells count="17">
    <mergeCell ref="D6:D7"/>
    <mergeCell ref="G6:H6"/>
    <mergeCell ref="I6:J6"/>
    <mergeCell ref="E1:F3"/>
    <mergeCell ref="G1:K3"/>
    <mergeCell ref="A29:C31"/>
    <mergeCell ref="D29:K31"/>
    <mergeCell ref="A1:D3"/>
    <mergeCell ref="A4:K4"/>
    <mergeCell ref="A5:A7"/>
    <mergeCell ref="B5:B7"/>
    <mergeCell ref="C5:D5"/>
    <mergeCell ref="E5:E7"/>
    <mergeCell ref="F5:F7"/>
    <mergeCell ref="G5:J5"/>
    <mergeCell ref="K5:K7"/>
    <mergeCell ref="C6:C7"/>
  </mergeCells>
  <phoneticPr fontId="32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/>
  <dimension ref="A1:P31"/>
  <sheetViews>
    <sheetView zoomScaleNormal="100" zoomScaleSheetLayoutView="100" workbookViewId="0">
      <selection activeCell="S15" sqref="S15"/>
    </sheetView>
  </sheetViews>
  <sheetFormatPr defaultColWidth="9" defaultRowHeight="16.5"/>
  <cols>
    <col min="1" max="1" width="3.625" style="5" customWidth="1"/>
    <col min="2" max="3" width="9.625" style="5" customWidth="1"/>
    <col min="4" max="4" width="5.625" style="5" customWidth="1"/>
    <col min="5" max="5" width="13.875" style="5" customWidth="1"/>
    <col min="6" max="6" width="5.125" style="5" customWidth="1"/>
    <col min="7" max="10" width="9.625" style="5" customWidth="1"/>
    <col min="11" max="13" width="3.625" style="5" customWidth="1"/>
    <col min="14" max="16" width="9.75" style="5" customWidth="1"/>
    <col min="17" max="16384" width="9" style="5"/>
  </cols>
  <sheetData>
    <row r="1" spans="1:16" ht="16.5" customHeight="1">
      <c r="A1" s="158"/>
      <c r="B1" s="158"/>
      <c r="C1" s="158"/>
      <c r="D1" s="158"/>
      <c r="E1" s="262" t="s">
        <v>78</v>
      </c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4"/>
    </row>
    <row r="2" spans="1:16" ht="16.5" customHeight="1">
      <c r="A2" s="158"/>
      <c r="B2" s="158"/>
      <c r="C2" s="158"/>
      <c r="D2" s="158"/>
      <c r="E2" s="265"/>
      <c r="F2" s="266"/>
      <c r="G2" s="266"/>
      <c r="H2" s="266"/>
      <c r="I2" s="266"/>
      <c r="J2" s="266"/>
      <c r="K2" s="266"/>
      <c r="L2" s="266"/>
      <c r="M2" s="266"/>
      <c r="N2" s="266"/>
      <c r="O2" s="266"/>
      <c r="P2" s="267"/>
    </row>
    <row r="3" spans="1:16" ht="16.5" customHeight="1">
      <c r="A3" s="158"/>
      <c r="B3" s="158"/>
      <c r="C3" s="158"/>
      <c r="D3" s="158"/>
      <c r="E3" s="265"/>
      <c r="F3" s="266"/>
      <c r="G3" s="266"/>
      <c r="H3" s="266"/>
      <c r="I3" s="266"/>
      <c r="J3" s="266"/>
      <c r="K3" s="266"/>
      <c r="L3" s="266"/>
      <c r="M3" s="266"/>
      <c r="N3" s="266"/>
      <c r="O3" s="266"/>
      <c r="P3" s="267"/>
    </row>
    <row r="4" spans="1:16" ht="16.5" customHeight="1">
      <c r="A4" s="158" t="s">
        <v>21</v>
      </c>
      <c r="B4" s="158"/>
      <c r="C4" s="271"/>
      <c r="D4" s="272"/>
      <c r="E4" s="268"/>
      <c r="F4" s="269"/>
      <c r="G4" s="269"/>
      <c r="H4" s="269"/>
      <c r="I4" s="269"/>
      <c r="J4" s="269"/>
      <c r="K4" s="269"/>
      <c r="L4" s="269"/>
      <c r="M4" s="269"/>
      <c r="N4" s="269"/>
      <c r="O4" s="269"/>
      <c r="P4" s="270"/>
    </row>
    <row r="5" spans="1:16">
      <c r="A5" s="158" t="s">
        <v>31</v>
      </c>
      <c r="B5" s="158"/>
      <c r="C5" s="158"/>
      <c r="D5" s="158"/>
      <c r="E5" s="6" t="s">
        <v>37</v>
      </c>
      <c r="F5" s="158"/>
      <c r="G5" s="158"/>
      <c r="H5" s="158" t="s">
        <v>67</v>
      </c>
      <c r="I5" s="158"/>
      <c r="J5" s="158"/>
      <c r="K5" s="158" t="s">
        <v>63</v>
      </c>
      <c r="L5" s="158"/>
      <c r="M5" s="158"/>
      <c r="N5" s="273" t="str">
        <f>'1. 소켓인수검사'!R2</f>
        <v>26.06.01 엘티_신동양기업_코오롱글로벌_대한항공 운북 신 엔진정비공장 건립공사</v>
      </c>
      <c r="O5" s="273"/>
      <c r="P5" s="273"/>
    </row>
    <row r="6" spans="1:16">
      <c r="A6" s="158"/>
      <c r="B6" s="158"/>
      <c r="C6" s="158"/>
      <c r="D6" s="158"/>
      <c r="E6" s="6" t="s">
        <v>34</v>
      </c>
      <c r="F6" s="158"/>
      <c r="G6" s="158"/>
      <c r="H6" s="158"/>
      <c r="I6" s="158"/>
      <c r="J6" s="158"/>
      <c r="K6" s="158"/>
      <c r="L6" s="158"/>
      <c r="M6" s="158"/>
      <c r="N6" s="273"/>
      <c r="O6" s="273"/>
      <c r="P6" s="273"/>
    </row>
    <row r="7" spans="1:16" ht="8.1" customHeight="1">
      <c r="A7" s="186"/>
      <c r="B7" s="186"/>
      <c r="C7" s="186"/>
      <c r="D7" s="186"/>
      <c r="E7" s="186"/>
      <c r="F7" s="186"/>
      <c r="G7" s="186"/>
      <c r="H7" s="186"/>
      <c r="I7" s="186"/>
      <c r="J7" s="186"/>
      <c r="K7" s="186"/>
      <c r="L7" s="186"/>
      <c r="M7" s="186"/>
      <c r="N7" s="186"/>
      <c r="O7" s="186"/>
      <c r="P7" s="186"/>
    </row>
    <row r="8" spans="1:16">
      <c r="A8" s="256" t="s">
        <v>64</v>
      </c>
      <c r="B8" s="258" t="s">
        <v>4</v>
      </c>
      <c r="C8" s="258"/>
      <c r="D8" s="258" t="s">
        <v>33</v>
      </c>
      <c r="E8" s="258" t="s">
        <v>29</v>
      </c>
      <c r="F8" s="258" t="s">
        <v>68</v>
      </c>
      <c r="G8" s="258" t="s">
        <v>32</v>
      </c>
      <c r="H8" s="258"/>
      <c r="I8" s="258"/>
      <c r="J8" s="258"/>
      <c r="K8" s="258"/>
      <c r="L8" s="258"/>
      <c r="M8" s="258"/>
      <c r="N8" s="258"/>
      <c r="O8" s="258"/>
      <c r="P8" s="260" t="s">
        <v>2</v>
      </c>
    </row>
    <row r="9" spans="1:16" ht="16.5" customHeight="1">
      <c r="A9" s="257"/>
      <c r="B9" s="259" t="s">
        <v>71</v>
      </c>
      <c r="C9" s="259" t="s">
        <v>69</v>
      </c>
      <c r="D9" s="259"/>
      <c r="E9" s="259"/>
      <c r="F9" s="259"/>
      <c r="G9" s="259" t="s">
        <v>65</v>
      </c>
      <c r="H9" s="259" t="s">
        <v>71</v>
      </c>
      <c r="I9" s="259"/>
      <c r="J9" s="259" t="s">
        <v>13</v>
      </c>
      <c r="K9" s="259" t="s">
        <v>69</v>
      </c>
      <c r="L9" s="259"/>
      <c r="M9" s="259"/>
      <c r="N9" s="259"/>
      <c r="O9" s="259" t="s">
        <v>13</v>
      </c>
      <c r="P9" s="261"/>
    </row>
    <row r="10" spans="1:16">
      <c r="A10" s="257"/>
      <c r="B10" s="259"/>
      <c r="C10" s="259"/>
      <c r="D10" s="259"/>
      <c r="E10" s="259"/>
      <c r="F10" s="259"/>
      <c r="G10" s="259"/>
      <c r="H10" s="32" t="s">
        <v>4</v>
      </c>
      <c r="I10" s="32" t="s">
        <v>36</v>
      </c>
      <c r="J10" s="259"/>
      <c r="K10" s="259" t="s">
        <v>4</v>
      </c>
      <c r="L10" s="259"/>
      <c r="M10" s="259"/>
      <c r="N10" s="32" t="s">
        <v>36</v>
      </c>
      <c r="O10" s="259"/>
      <c r="P10" s="261"/>
    </row>
    <row r="11" spans="1:16">
      <c r="A11" s="31" t="str">
        <f>'1. 소켓인수검사'!A9</f>
        <v>01</v>
      </c>
      <c r="B11" s="34">
        <f>'1. 소켓인수검사'!C9</f>
        <v>300</v>
      </c>
      <c r="C11" s="34">
        <f>'1. 소켓인수검사'!D9</f>
        <v>300</v>
      </c>
      <c r="D11" s="35">
        <v>1</v>
      </c>
      <c r="E11" s="36"/>
      <c r="F11" s="35">
        <v>1.6</v>
      </c>
      <c r="G11" s="35"/>
      <c r="H11" s="35">
        <f>B11-1</f>
        <v>299</v>
      </c>
      <c r="I11" s="35">
        <f t="shared" ref="I11:I12" si="0">D11*4</f>
        <v>4</v>
      </c>
      <c r="J11" s="35"/>
      <c r="K11" s="252">
        <f t="shared" ref="K11:K12" si="1">C11-30</f>
        <v>270</v>
      </c>
      <c r="L11" s="252"/>
      <c r="M11" s="252"/>
      <c r="N11" s="35">
        <f t="shared" ref="N11:N12" si="2">D11*4</f>
        <v>4</v>
      </c>
      <c r="O11" s="35"/>
      <c r="P11" s="37"/>
    </row>
    <row r="12" spans="1:16">
      <c r="A12" s="31" t="str">
        <f>'1. 소켓인수검사'!A10</f>
        <v>02</v>
      </c>
      <c r="B12" s="34">
        <f>'1. 소켓인수검사'!C10</f>
        <v>300</v>
      </c>
      <c r="C12" s="34">
        <f>'1. 소켓인수검사'!D10</f>
        <v>300</v>
      </c>
      <c r="D12" s="35">
        <v>1</v>
      </c>
      <c r="E12" s="36"/>
      <c r="F12" s="35">
        <v>1.6</v>
      </c>
      <c r="G12" s="35"/>
      <c r="H12" s="35">
        <f t="shared" ref="H12" si="3">B12-1</f>
        <v>299</v>
      </c>
      <c r="I12" s="35">
        <f t="shared" si="0"/>
        <v>4</v>
      </c>
      <c r="J12" s="35"/>
      <c r="K12" s="252">
        <f t="shared" si="1"/>
        <v>270</v>
      </c>
      <c r="L12" s="252"/>
      <c r="M12" s="252"/>
      <c r="N12" s="35">
        <f t="shared" si="2"/>
        <v>4</v>
      </c>
      <c r="O12" s="35"/>
      <c r="P12" s="38"/>
    </row>
    <row r="13" spans="1:16">
      <c r="A13" s="31" t="str">
        <f>'1. 소켓인수검사'!A11</f>
        <v>03</v>
      </c>
      <c r="B13" s="34">
        <f>'1. 소켓인수검사'!C11</f>
        <v>300</v>
      </c>
      <c r="C13" s="34">
        <f>'1. 소켓인수검사'!D11</f>
        <v>300</v>
      </c>
      <c r="D13" s="35">
        <v>1</v>
      </c>
      <c r="E13" s="36"/>
      <c r="F13" s="35">
        <v>1.6</v>
      </c>
      <c r="G13" s="35"/>
      <c r="H13" s="35">
        <f t="shared" ref="H13:H26" si="4">B13-1</f>
        <v>299</v>
      </c>
      <c r="I13" s="35">
        <f t="shared" ref="I13:I26" si="5">D13*4</f>
        <v>4</v>
      </c>
      <c r="J13" s="35"/>
      <c r="K13" s="252">
        <f t="shared" ref="K13:K26" si="6">C13-30</f>
        <v>270</v>
      </c>
      <c r="L13" s="252"/>
      <c r="M13" s="252"/>
      <c r="N13" s="35">
        <f t="shared" ref="N13:N26" si="7">D13*4</f>
        <v>4</v>
      </c>
      <c r="O13" s="35"/>
      <c r="P13" s="38"/>
    </row>
    <row r="14" spans="1:16">
      <c r="A14" s="31" t="str">
        <f>'1. 소켓인수검사'!A12</f>
        <v>04</v>
      </c>
      <c r="B14" s="34">
        <f>'1. 소켓인수검사'!C12</f>
        <v>300</v>
      </c>
      <c r="C14" s="34">
        <f>'1. 소켓인수검사'!D12</f>
        <v>300</v>
      </c>
      <c r="D14" s="35">
        <v>1</v>
      </c>
      <c r="E14" s="36"/>
      <c r="F14" s="35">
        <v>1.6</v>
      </c>
      <c r="G14" s="35"/>
      <c r="H14" s="35">
        <f t="shared" si="4"/>
        <v>299</v>
      </c>
      <c r="I14" s="35">
        <f t="shared" si="5"/>
        <v>4</v>
      </c>
      <c r="J14" s="35"/>
      <c r="K14" s="252">
        <f t="shared" si="6"/>
        <v>270</v>
      </c>
      <c r="L14" s="252"/>
      <c r="M14" s="252"/>
      <c r="N14" s="35">
        <f t="shared" si="7"/>
        <v>4</v>
      </c>
      <c r="O14" s="35"/>
      <c r="P14" s="39"/>
    </row>
    <row r="15" spans="1:16">
      <c r="A15" s="31" t="str">
        <f>'1. 소켓인수검사'!A13</f>
        <v>05</v>
      </c>
      <c r="B15" s="34">
        <f>'1. 소켓인수검사'!C13</f>
        <v>300</v>
      </c>
      <c r="C15" s="34">
        <f>'1. 소켓인수검사'!D13</f>
        <v>300</v>
      </c>
      <c r="D15" s="35">
        <v>1</v>
      </c>
      <c r="E15" s="36"/>
      <c r="F15" s="35">
        <v>1.6</v>
      </c>
      <c r="G15" s="35"/>
      <c r="H15" s="35">
        <f t="shared" si="4"/>
        <v>299</v>
      </c>
      <c r="I15" s="35">
        <f t="shared" si="5"/>
        <v>4</v>
      </c>
      <c r="J15" s="35"/>
      <c r="K15" s="252">
        <f t="shared" si="6"/>
        <v>270</v>
      </c>
      <c r="L15" s="252"/>
      <c r="M15" s="252"/>
      <c r="N15" s="35">
        <f t="shared" si="7"/>
        <v>4</v>
      </c>
      <c r="O15" s="35"/>
      <c r="P15" s="39"/>
    </row>
    <row r="16" spans="1:16">
      <c r="A16" s="31" t="str">
        <f>'1. 소켓인수검사'!A14</f>
        <v>06</v>
      </c>
      <c r="B16" s="34">
        <f>'1. 소켓인수검사'!C14</f>
        <v>350</v>
      </c>
      <c r="C16" s="34">
        <f>'1. 소켓인수검사'!D14</f>
        <v>300</v>
      </c>
      <c r="D16" s="35">
        <v>1</v>
      </c>
      <c r="E16" s="36"/>
      <c r="F16" s="35">
        <v>1.6</v>
      </c>
      <c r="G16" s="35"/>
      <c r="H16" s="35">
        <f t="shared" si="4"/>
        <v>349</v>
      </c>
      <c r="I16" s="35">
        <f t="shared" si="5"/>
        <v>4</v>
      </c>
      <c r="J16" s="35"/>
      <c r="K16" s="252">
        <f t="shared" si="6"/>
        <v>270</v>
      </c>
      <c r="L16" s="252"/>
      <c r="M16" s="252"/>
      <c r="N16" s="35">
        <f t="shared" si="7"/>
        <v>4</v>
      </c>
      <c r="O16" s="35"/>
      <c r="P16" s="39"/>
    </row>
    <row r="17" spans="1:16">
      <c r="A17" s="31" t="str">
        <f>'1. 소켓인수검사'!A15</f>
        <v>07</v>
      </c>
      <c r="B17" s="34">
        <f>'1. 소켓인수검사'!C15</f>
        <v>350</v>
      </c>
      <c r="C17" s="34">
        <f>'1. 소켓인수검사'!D15</f>
        <v>300</v>
      </c>
      <c r="D17" s="35">
        <v>1</v>
      </c>
      <c r="E17" s="36"/>
      <c r="F17" s="35">
        <v>1.6</v>
      </c>
      <c r="G17" s="35"/>
      <c r="H17" s="35">
        <f t="shared" si="4"/>
        <v>349</v>
      </c>
      <c r="I17" s="35">
        <f t="shared" si="5"/>
        <v>4</v>
      </c>
      <c r="J17" s="35"/>
      <c r="K17" s="252">
        <f t="shared" si="6"/>
        <v>270</v>
      </c>
      <c r="L17" s="252"/>
      <c r="M17" s="252"/>
      <c r="N17" s="35">
        <f t="shared" si="7"/>
        <v>4</v>
      </c>
      <c r="O17" s="35"/>
      <c r="P17" s="39"/>
    </row>
    <row r="18" spans="1:16">
      <c r="A18" s="31" t="str">
        <f>'1. 소켓인수검사'!A16</f>
        <v>08</v>
      </c>
      <c r="B18" s="34">
        <f>'1. 소켓인수검사'!C16</f>
        <v>350</v>
      </c>
      <c r="C18" s="34">
        <f>'1. 소켓인수검사'!D16</f>
        <v>350</v>
      </c>
      <c r="D18" s="35">
        <v>1</v>
      </c>
      <c r="E18" s="36"/>
      <c r="F18" s="35">
        <v>1.6</v>
      </c>
      <c r="G18" s="35"/>
      <c r="H18" s="35">
        <f t="shared" si="4"/>
        <v>349</v>
      </c>
      <c r="I18" s="35">
        <f t="shared" si="5"/>
        <v>4</v>
      </c>
      <c r="J18" s="35"/>
      <c r="K18" s="252">
        <f t="shared" si="6"/>
        <v>320</v>
      </c>
      <c r="L18" s="252"/>
      <c r="M18" s="252"/>
      <c r="N18" s="35">
        <f t="shared" si="7"/>
        <v>4</v>
      </c>
      <c r="O18" s="35"/>
      <c r="P18" s="39"/>
    </row>
    <row r="19" spans="1:16">
      <c r="A19" s="31" t="str">
        <f>'1. 소켓인수검사'!A17</f>
        <v>09</v>
      </c>
      <c r="B19" s="34">
        <f>'1. 소켓인수검사'!C17</f>
        <v>350</v>
      </c>
      <c r="C19" s="34">
        <f>'1. 소켓인수검사'!D17</f>
        <v>350</v>
      </c>
      <c r="D19" s="35">
        <v>1</v>
      </c>
      <c r="E19" s="36"/>
      <c r="F19" s="35">
        <v>1.6</v>
      </c>
      <c r="G19" s="35"/>
      <c r="H19" s="35">
        <f t="shared" si="4"/>
        <v>349</v>
      </c>
      <c r="I19" s="35">
        <f t="shared" si="5"/>
        <v>4</v>
      </c>
      <c r="J19" s="35"/>
      <c r="K19" s="252">
        <f t="shared" si="6"/>
        <v>320</v>
      </c>
      <c r="L19" s="252"/>
      <c r="M19" s="252"/>
      <c r="N19" s="35">
        <f t="shared" si="7"/>
        <v>4</v>
      </c>
      <c r="O19" s="35"/>
      <c r="P19" s="39"/>
    </row>
    <row r="20" spans="1:16">
      <c r="A20" s="31" t="str">
        <f>'1. 소켓인수검사'!A18</f>
        <v>10</v>
      </c>
      <c r="B20" s="34">
        <f>'1. 소켓인수검사'!C18</f>
        <v>350</v>
      </c>
      <c r="C20" s="34">
        <f>'1. 소켓인수검사'!D18</f>
        <v>350</v>
      </c>
      <c r="D20" s="35">
        <v>1</v>
      </c>
      <c r="E20" s="36"/>
      <c r="F20" s="35">
        <v>1.6</v>
      </c>
      <c r="G20" s="35"/>
      <c r="H20" s="35">
        <f t="shared" si="4"/>
        <v>349</v>
      </c>
      <c r="I20" s="35">
        <f t="shared" si="5"/>
        <v>4</v>
      </c>
      <c r="J20" s="35"/>
      <c r="K20" s="252">
        <f t="shared" si="6"/>
        <v>320</v>
      </c>
      <c r="L20" s="252"/>
      <c r="M20" s="252"/>
      <c r="N20" s="35">
        <f t="shared" si="7"/>
        <v>4</v>
      </c>
      <c r="O20" s="35"/>
      <c r="P20" s="40"/>
    </row>
    <row r="21" spans="1:16">
      <c r="A21" s="31" t="str">
        <f>'1. 소켓인수검사'!A19</f>
        <v>11</v>
      </c>
      <c r="B21" s="34">
        <f>'1. 소켓인수검사'!C19</f>
        <v>350</v>
      </c>
      <c r="C21" s="34">
        <f>'1. 소켓인수검사'!D19</f>
        <v>350</v>
      </c>
      <c r="D21" s="35">
        <v>1</v>
      </c>
      <c r="E21" s="36"/>
      <c r="F21" s="35">
        <v>1.6</v>
      </c>
      <c r="G21" s="35"/>
      <c r="H21" s="35">
        <f t="shared" si="4"/>
        <v>349</v>
      </c>
      <c r="I21" s="35">
        <f t="shared" si="5"/>
        <v>4</v>
      </c>
      <c r="J21" s="35"/>
      <c r="K21" s="252">
        <f t="shared" si="6"/>
        <v>320</v>
      </c>
      <c r="L21" s="252"/>
      <c r="M21" s="252"/>
      <c r="N21" s="35">
        <f t="shared" si="7"/>
        <v>4</v>
      </c>
      <c r="O21" s="35"/>
      <c r="P21" s="40"/>
    </row>
    <row r="22" spans="1:16">
      <c r="A22" s="151" t="str">
        <f>'1. 소켓인수검사'!A20</f>
        <v>12</v>
      </c>
      <c r="B22" s="140">
        <f>'1. 소켓인수검사'!C20</f>
        <v>700</v>
      </c>
      <c r="C22" s="140">
        <f>'1. 소켓인수검사'!D20</f>
        <v>450</v>
      </c>
      <c r="D22" s="152">
        <v>1</v>
      </c>
      <c r="E22" s="153"/>
      <c r="F22" s="152">
        <v>1.6</v>
      </c>
      <c r="G22" s="152"/>
      <c r="H22" s="152">
        <f t="shared" si="4"/>
        <v>699</v>
      </c>
      <c r="I22" s="152">
        <f t="shared" si="5"/>
        <v>4</v>
      </c>
      <c r="J22" s="152"/>
      <c r="K22" s="255">
        <f t="shared" si="6"/>
        <v>420</v>
      </c>
      <c r="L22" s="255"/>
      <c r="M22" s="255"/>
      <c r="N22" s="152">
        <f t="shared" si="7"/>
        <v>4</v>
      </c>
      <c r="O22" s="35"/>
      <c r="P22" s="154" t="s">
        <v>141</v>
      </c>
    </row>
    <row r="23" spans="1:16">
      <c r="A23" s="151" t="str">
        <f>'1. 소켓인수검사'!A21</f>
        <v>13</v>
      </c>
      <c r="B23" s="140">
        <f>'1. 소켓인수검사'!C21</f>
        <v>700</v>
      </c>
      <c r="C23" s="140">
        <f>'1. 소켓인수검사'!D21</f>
        <v>450</v>
      </c>
      <c r="D23" s="152">
        <v>1</v>
      </c>
      <c r="E23" s="153"/>
      <c r="F23" s="152">
        <v>1.6</v>
      </c>
      <c r="G23" s="152"/>
      <c r="H23" s="152">
        <f t="shared" si="4"/>
        <v>699</v>
      </c>
      <c r="I23" s="152">
        <f t="shared" si="5"/>
        <v>4</v>
      </c>
      <c r="J23" s="152"/>
      <c r="K23" s="255">
        <f t="shared" si="6"/>
        <v>420</v>
      </c>
      <c r="L23" s="255"/>
      <c r="M23" s="255"/>
      <c r="N23" s="152">
        <f t="shared" si="7"/>
        <v>4</v>
      </c>
      <c r="O23" s="35"/>
      <c r="P23" s="155" t="s">
        <v>142</v>
      </c>
    </row>
    <row r="24" spans="1:16">
      <c r="A24" s="31" t="str">
        <f>'1. 소켓인수검사'!A22</f>
        <v>14</v>
      </c>
      <c r="B24" s="34">
        <f>'1. 소켓인수검사'!C22</f>
        <v>850</v>
      </c>
      <c r="C24" s="34">
        <f>'1. 소켓인수검사'!D22</f>
        <v>500</v>
      </c>
      <c r="D24" s="35">
        <v>1</v>
      </c>
      <c r="E24" s="36"/>
      <c r="F24" s="35">
        <v>1.6</v>
      </c>
      <c r="G24" s="35"/>
      <c r="H24" s="35">
        <f t="shared" si="4"/>
        <v>849</v>
      </c>
      <c r="I24" s="35">
        <f t="shared" si="5"/>
        <v>4</v>
      </c>
      <c r="J24" s="35"/>
      <c r="K24" s="252">
        <f t="shared" si="6"/>
        <v>470</v>
      </c>
      <c r="L24" s="252"/>
      <c r="M24" s="252"/>
      <c r="N24" s="35">
        <f t="shared" si="7"/>
        <v>4</v>
      </c>
      <c r="O24" s="35"/>
      <c r="P24" s="40"/>
    </row>
    <row r="25" spans="1:16">
      <c r="A25" s="31" t="str">
        <f>'1. 소켓인수검사'!A23</f>
        <v>15</v>
      </c>
      <c r="B25" s="34">
        <f>'1. 소켓인수검사'!C23</f>
        <v>900</v>
      </c>
      <c r="C25" s="34">
        <f>'1. 소켓인수검사'!D23</f>
        <v>500</v>
      </c>
      <c r="D25" s="35">
        <v>1</v>
      </c>
      <c r="E25" s="36"/>
      <c r="F25" s="35">
        <v>1.6</v>
      </c>
      <c r="G25" s="35"/>
      <c r="H25" s="35">
        <f t="shared" si="4"/>
        <v>899</v>
      </c>
      <c r="I25" s="35">
        <f t="shared" si="5"/>
        <v>4</v>
      </c>
      <c r="J25" s="35"/>
      <c r="K25" s="252">
        <f t="shared" si="6"/>
        <v>470</v>
      </c>
      <c r="L25" s="252"/>
      <c r="M25" s="252"/>
      <c r="N25" s="35">
        <f t="shared" si="7"/>
        <v>4</v>
      </c>
      <c r="O25" s="35"/>
      <c r="P25" s="40"/>
    </row>
    <row r="26" spans="1:16">
      <c r="A26" s="31" t="str">
        <f>'1. 소켓인수검사'!A24</f>
        <v>16</v>
      </c>
      <c r="B26" s="34">
        <f>'1. 소켓인수검사'!C24</f>
        <v>1000</v>
      </c>
      <c r="C26" s="34">
        <f>'1. 소켓인수검사'!D24</f>
        <v>500</v>
      </c>
      <c r="D26" s="35">
        <v>1</v>
      </c>
      <c r="E26" s="36"/>
      <c r="F26" s="35">
        <v>1.6</v>
      </c>
      <c r="G26" s="35"/>
      <c r="H26" s="35">
        <f t="shared" si="4"/>
        <v>999</v>
      </c>
      <c r="I26" s="35">
        <f t="shared" si="5"/>
        <v>4</v>
      </c>
      <c r="J26" s="35"/>
      <c r="K26" s="252">
        <f t="shared" si="6"/>
        <v>470</v>
      </c>
      <c r="L26" s="252"/>
      <c r="M26" s="252"/>
      <c r="N26" s="35">
        <f t="shared" si="7"/>
        <v>4</v>
      </c>
      <c r="O26" s="35"/>
      <c r="P26" s="41"/>
    </row>
    <row r="27" spans="1:16" ht="8.1" customHeight="1">
      <c r="A27" s="158"/>
      <c r="B27" s="158"/>
      <c r="C27" s="158"/>
      <c r="D27" s="158"/>
      <c r="E27" s="158"/>
      <c r="F27" s="158"/>
      <c r="G27" s="158"/>
      <c r="H27" s="158"/>
      <c r="I27" s="158"/>
      <c r="J27" s="158"/>
      <c r="K27" s="158"/>
      <c r="L27" s="158"/>
      <c r="M27" s="158"/>
      <c r="N27" s="158"/>
      <c r="O27" s="158"/>
      <c r="P27" s="158"/>
    </row>
    <row r="28" spans="1:16">
      <c r="A28" s="253" t="s">
        <v>53</v>
      </c>
      <c r="B28" s="253"/>
      <c r="C28" s="254"/>
      <c r="D28" s="254"/>
      <c r="E28" s="254"/>
      <c r="F28" s="254"/>
      <c r="G28" s="254"/>
      <c r="H28" s="254"/>
      <c r="I28" s="254"/>
      <c r="J28" s="254"/>
      <c r="K28" s="254"/>
      <c r="L28" s="254"/>
      <c r="M28" s="254"/>
      <c r="N28" s="254"/>
      <c r="O28" s="254"/>
      <c r="P28" s="254"/>
    </row>
    <row r="29" spans="1:16">
      <c r="A29" s="253"/>
      <c r="B29" s="253"/>
      <c r="C29" s="254"/>
      <c r="D29" s="254"/>
      <c r="E29" s="254"/>
      <c r="F29" s="254"/>
      <c r="G29" s="254"/>
      <c r="H29" s="254"/>
      <c r="I29" s="254"/>
      <c r="J29" s="254"/>
      <c r="K29" s="254"/>
      <c r="L29" s="254"/>
      <c r="M29" s="254"/>
      <c r="N29" s="254"/>
      <c r="O29" s="254"/>
      <c r="P29" s="254"/>
    </row>
    <row r="30" spans="1:16">
      <c r="A30" s="253"/>
      <c r="B30" s="253"/>
      <c r="C30" s="254"/>
      <c r="D30" s="254"/>
      <c r="E30" s="254"/>
      <c r="F30" s="254"/>
      <c r="G30" s="254"/>
      <c r="H30" s="254"/>
      <c r="I30" s="254"/>
      <c r="J30" s="254"/>
      <c r="K30" s="254"/>
      <c r="L30" s="254"/>
      <c r="M30" s="254"/>
      <c r="N30" s="254"/>
      <c r="O30" s="254"/>
      <c r="P30" s="254"/>
    </row>
    <row r="31" spans="1:16">
      <c r="A31" s="253"/>
      <c r="B31" s="253"/>
      <c r="C31" s="254"/>
      <c r="D31" s="254"/>
      <c r="E31" s="254"/>
      <c r="F31" s="254"/>
      <c r="G31" s="254"/>
      <c r="H31" s="254"/>
      <c r="I31" s="254"/>
      <c r="J31" s="254"/>
      <c r="K31" s="254"/>
      <c r="L31" s="254"/>
      <c r="M31" s="254"/>
      <c r="N31" s="254"/>
      <c r="O31" s="254"/>
      <c r="P31" s="254"/>
    </row>
  </sheetData>
  <mergeCells count="47">
    <mergeCell ref="A1:D3"/>
    <mergeCell ref="E1:P4"/>
    <mergeCell ref="A4:B4"/>
    <mergeCell ref="C4:D4"/>
    <mergeCell ref="A5:B6"/>
    <mergeCell ref="C5:D6"/>
    <mergeCell ref="F5:G5"/>
    <mergeCell ref="H5:H6"/>
    <mergeCell ref="I5:J6"/>
    <mergeCell ref="K5:M6"/>
    <mergeCell ref="N5:P6"/>
    <mergeCell ref="F6:G6"/>
    <mergeCell ref="A7:P7"/>
    <mergeCell ref="A8:A10"/>
    <mergeCell ref="B8:C8"/>
    <mergeCell ref="D8:D10"/>
    <mergeCell ref="E8:E10"/>
    <mergeCell ref="F8:F10"/>
    <mergeCell ref="G8:O8"/>
    <mergeCell ref="P8:P10"/>
    <mergeCell ref="B9:B10"/>
    <mergeCell ref="C9:C10"/>
    <mergeCell ref="G9:G10"/>
    <mergeCell ref="H9:I9"/>
    <mergeCell ref="J9:J10"/>
    <mergeCell ref="K9:N9"/>
    <mergeCell ref="O9:O10"/>
    <mergeCell ref="K10:M10"/>
    <mergeCell ref="K11:M11"/>
    <mergeCell ref="K12:M12"/>
    <mergeCell ref="K13:M13"/>
    <mergeCell ref="K14:M14"/>
    <mergeCell ref="K15:M15"/>
    <mergeCell ref="K16:M16"/>
    <mergeCell ref="K17:M17"/>
    <mergeCell ref="K18:M18"/>
    <mergeCell ref="K19:M19"/>
    <mergeCell ref="K20:M20"/>
    <mergeCell ref="K26:M26"/>
    <mergeCell ref="A27:P27"/>
    <mergeCell ref="A28:B31"/>
    <mergeCell ref="C28:P31"/>
    <mergeCell ref="K21:M21"/>
    <mergeCell ref="K22:M22"/>
    <mergeCell ref="K23:M23"/>
    <mergeCell ref="K24:M24"/>
    <mergeCell ref="K25:M25"/>
  </mergeCells>
  <phoneticPr fontId="32" type="noConversion"/>
  <pageMargins left="0.39347222447395325" right="0.19666667282581329" top="0.47236111760139465" bottom="0.31486111879348755" header="0.31486111879348755" footer="0.31486111879348755"/>
  <pageSetup paperSize="9" scale="95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9"/>
  <dimension ref="A1:P22"/>
  <sheetViews>
    <sheetView showGridLines="0" zoomScaleNormal="100" zoomScaleSheetLayoutView="100" workbookViewId="0">
      <selection activeCell="K34" sqref="K34"/>
    </sheetView>
  </sheetViews>
  <sheetFormatPr defaultColWidth="9" defaultRowHeight="16.5"/>
  <cols>
    <col min="1" max="1" width="3.625" style="5" customWidth="1"/>
    <col min="2" max="3" width="9.625" style="5" customWidth="1"/>
    <col min="4" max="4" width="6.875" style="5" customWidth="1"/>
    <col min="5" max="5" width="19" style="5" bestFit="1" customWidth="1"/>
    <col min="6" max="6" width="6.375" style="5" customWidth="1"/>
    <col min="7" max="7" width="6.125" style="5" customWidth="1"/>
    <col min="8" max="9" width="9.625" style="5" customWidth="1"/>
    <col min="10" max="10" width="7.125" style="5" customWidth="1"/>
    <col min="11" max="13" width="3.625" style="5" customWidth="1"/>
    <col min="14" max="16" width="9.75" style="5" customWidth="1"/>
    <col min="17" max="16384" width="9" style="5"/>
  </cols>
  <sheetData>
    <row r="1" spans="1:16" ht="16.5" customHeight="1">
      <c r="A1" s="158"/>
      <c r="B1" s="158"/>
      <c r="C1" s="158"/>
      <c r="D1" s="158"/>
      <c r="E1" s="285" t="s">
        <v>79</v>
      </c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7"/>
    </row>
    <row r="2" spans="1:16" ht="16.5" customHeight="1">
      <c r="A2" s="158"/>
      <c r="B2" s="158"/>
      <c r="C2" s="158"/>
      <c r="D2" s="158"/>
      <c r="E2" s="288"/>
      <c r="F2" s="289"/>
      <c r="G2" s="289"/>
      <c r="H2" s="289"/>
      <c r="I2" s="289"/>
      <c r="J2" s="289"/>
      <c r="K2" s="289"/>
      <c r="L2" s="289"/>
      <c r="M2" s="289"/>
      <c r="N2" s="289"/>
      <c r="O2" s="289"/>
      <c r="P2" s="290"/>
    </row>
    <row r="3" spans="1:16" ht="16.5" customHeight="1">
      <c r="A3" s="158"/>
      <c r="B3" s="158"/>
      <c r="C3" s="158"/>
      <c r="D3" s="158"/>
      <c r="E3" s="288"/>
      <c r="F3" s="289"/>
      <c r="G3" s="289"/>
      <c r="H3" s="289"/>
      <c r="I3" s="289"/>
      <c r="J3" s="289"/>
      <c r="K3" s="289"/>
      <c r="L3" s="289"/>
      <c r="M3" s="289"/>
      <c r="N3" s="289"/>
      <c r="O3" s="289"/>
      <c r="P3" s="290"/>
    </row>
    <row r="4" spans="1:16" ht="16.5" customHeight="1">
      <c r="A4" s="158" t="s">
        <v>21</v>
      </c>
      <c r="B4" s="158"/>
      <c r="C4" s="158"/>
      <c r="D4" s="158"/>
      <c r="E4" s="291"/>
      <c r="F4" s="292"/>
      <c r="G4" s="292"/>
      <c r="H4" s="292"/>
      <c r="I4" s="292"/>
      <c r="J4" s="292"/>
      <c r="K4" s="292"/>
      <c r="L4" s="292"/>
      <c r="M4" s="292"/>
      <c r="N4" s="292"/>
      <c r="O4" s="292"/>
      <c r="P4" s="293"/>
    </row>
    <row r="5" spans="1:16" ht="16.5" customHeight="1">
      <c r="A5" s="158" t="s">
        <v>31</v>
      </c>
      <c r="B5" s="158"/>
      <c r="C5" s="158"/>
      <c r="D5" s="158"/>
      <c r="E5" s="6" t="s">
        <v>37</v>
      </c>
      <c r="F5" s="158"/>
      <c r="G5" s="158"/>
      <c r="H5" s="158" t="s">
        <v>67</v>
      </c>
      <c r="I5" s="158"/>
      <c r="J5" s="158"/>
      <c r="K5" s="158" t="s">
        <v>63</v>
      </c>
      <c r="L5" s="158"/>
      <c r="M5" s="158"/>
      <c r="N5" s="284" t="str">
        <f>'1. 소켓인수검사'!R2</f>
        <v>26.06.01 엘티_신동양기업_코오롱글로벌_대한항공 운북 신 엔진정비공장 건립공사</v>
      </c>
      <c r="O5" s="284"/>
      <c r="P5" s="284"/>
    </row>
    <row r="6" spans="1:16">
      <c r="A6" s="158"/>
      <c r="B6" s="158"/>
      <c r="C6" s="158"/>
      <c r="D6" s="158"/>
      <c r="E6" s="6" t="s">
        <v>34</v>
      </c>
      <c r="F6" s="158"/>
      <c r="G6" s="158"/>
      <c r="H6" s="158"/>
      <c r="I6" s="158"/>
      <c r="J6" s="158"/>
      <c r="K6" s="158"/>
      <c r="L6" s="158"/>
      <c r="M6" s="158"/>
      <c r="N6" s="284"/>
      <c r="O6" s="284"/>
      <c r="P6" s="284"/>
    </row>
    <row r="7" spans="1:16" ht="8.1" customHeight="1">
      <c r="A7" s="294"/>
      <c r="B7" s="186"/>
      <c r="C7" s="186"/>
      <c r="D7" s="186"/>
      <c r="E7" s="186"/>
      <c r="F7" s="186"/>
      <c r="G7" s="186"/>
      <c r="H7" s="186"/>
      <c r="I7" s="186"/>
      <c r="J7" s="186"/>
      <c r="K7" s="186"/>
      <c r="L7" s="186"/>
      <c r="M7" s="186"/>
      <c r="N7" s="186"/>
      <c r="O7" s="186"/>
      <c r="P7" s="295"/>
    </row>
    <row r="8" spans="1:16" ht="21" customHeight="1">
      <c r="A8" s="158" t="s">
        <v>64</v>
      </c>
      <c r="B8" s="278" t="s">
        <v>4</v>
      </c>
      <c r="C8" s="278"/>
      <c r="D8" s="278" t="s">
        <v>33</v>
      </c>
      <c r="E8" s="278" t="s">
        <v>29</v>
      </c>
      <c r="F8" s="278" t="s">
        <v>68</v>
      </c>
      <c r="G8" s="297" t="s">
        <v>32</v>
      </c>
      <c r="H8" s="298"/>
      <c r="I8" s="298"/>
      <c r="J8" s="298"/>
      <c r="K8" s="298"/>
      <c r="L8" s="298"/>
      <c r="M8" s="298"/>
      <c r="N8" s="298"/>
      <c r="O8" s="299"/>
      <c r="P8" s="278" t="s">
        <v>2</v>
      </c>
    </row>
    <row r="9" spans="1:16" ht="21" customHeight="1">
      <c r="A9" s="158"/>
      <c r="B9" s="297" t="s">
        <v>71</v>
      </c>
      <c r="C9" s="278" t="s">
        <v>69</v>
      </c>
      <c r="D9" s="278"/>
      <c r="E9" s="278"/>
      <c r="F9" s="278"/>
      <c r="G9" s="278" t="s">
        <v>65</v>
      </c>
      <c r="H9" s="278" t="s">
        <v>71</v>
      </c>
      <c r="I9" s="278"/>
      <c r="J9" s="279" t="s">
        <v>13</v>
      </c>
      <c r="K9" s="278" t="s">
        <v>69</v>
      </c>
      <c r="L9" s="278"/>
      <c r="M9" s="278"/>
      <c r="N9" s="278"/>
      <c r="O9" s="279" t="s">
        <v>13</v>
      </c>
      <c r="P9" s="278"/>
    </row>
    <row r="10" spans="1:16" ht="21" customHeight="1">
      <c r="A10" s="296"/>
      <c r="B10" s="300"/>
      <c r="C10" s="279"/>
      <c r="D10" s="279"/>
      <c r="E10" s="279"/>
      <c r="F10" s="279"/>
      <c r="G10" s="279"/>
      <c r="H10" s="23" t="s">
        <v>4</v>
      </c>
      <c r="I10" s="23" t="s">
        <v>36</v>
      </c>
      <c r="J10" s="280"/>
      <c r="K10" s="281" t="s">
        <v>4</v>
      </c>
      <c r="L10" s="282"/>
      <c r="M10" s="283"/>
      <c r="N10" s="24" t="s">
        <v>36</v>
      </c>
      <c r="O10" s="280"/>
      <c r="P10" s="279"/>
    </row>
    <row r="11" spans="1:16" ht="16.5" customHeight="1">
      <c r="A11" s="61" t="str">
        <f>'1. 소켓인수검사'!A25</f>
        <v>17</v>
      </c>
      <c r="B11" s="62">
        <f>'1. 소켓인수검사'!C25</f>
        <v>1700</v>
      </c>
      <c r="C11" s="62">
        <f>'1. 소켓인수검사'!D25</f>
        <v>1300</v>
      </c>
      <c r="D11" s="64">
        <v>1</v>
      </c>
      <c r="E11" s="63"/>
      <c r="F11" s="80" t="s">
        <v>56</v>
      </c>
      <c r="G11" s="64" t="s">
        <v>55</v>
      </c>
      <c r="H11" s="77">
        <f>(B11-30)/2-1</f>
        <v>834</v>
      </c>
      <c r="I11" s="64">
        <f>D11*8*2</f>
        <v>16</v>
      </c>
      <c r="J11" s="64"/>
      <c r="K11" s="276">
        <f>(C11-20)/2-10-1</f>
        <v>629</v>
      </c>
      <c r="L11" s="276"/>
      <c r="M11" s="276"/>
      <c r="N11" s="64">
        <f>D11*16*2</f>
        <v>32</v>
      </c>
      <c r="O11" s="64"/>
      <c r="P11" s="78"/>
    </row>
    <row r="12" spans="1:16">
      <c r="A12" s="66" t="str">
        <f>'1. 소켓인수검사'!A26</f>
        <v>18</v>
      </c>
      <c r="B12" s="44">
        <f>'1. 소켓인수검사'!C26</f>
        <v>1900</v>
      </c>
      <c r="C12" s="44">
        <f>'1. 소켓인수검사'!D26</f>
        <v>400</v>
      </c>
      <c r="D12" s="35">
        <v>1</v>
      </c>
      <c r="E12" s="45"/>
      <c r="F12" s="81"/>
      <c r="G12" s="35"/>
      <c r="H12" s="79">
        <f t="shared" ref="H12" si="0">(B12-30)/2-1</f>
        <v>934</v>
      </c>
      <c r="I12" s="35">
        <f>D12*8*2</f>
        <v>16</v>
      </c>
      <c r="J12" s="35"/>
      <c r="K12" s="277">
        <f>(C12-20)/2-10-1</f>
        <v>179</v>
      </c>
      <c r="L12" s="277"/>
      <c r="M12" s="277"/>
      <c r="N12" s="35">
        <f>D12*16*2</f>
        <v>32</v>
      </c>
      <c r="O12" s="35"/>
      <c r="P12" s="41"/>
    </row>
    <row r="13" spans="1:16">
      <c r="A13" s="66" t="str">
        <f>'1. 소켓인수검사'!A27</f>
        <v>19</v>
      </c>
      <c r="B13" s="44">
        <f>'1. 소켓인수검사'!C27</f>
        <v>1900</v>
      </c>
      <c r="C13" s="44">
        <f>'1. 소켓인수검사'!D27</f>
        <v>400</v>
      </c>
      <c r="D13" s="35">
        <v>1</v>
      </c>
      <c r="E13" s="45"/>
      <c r="F13" s="81"/>
      <c r="G13" s="35"/>
      <c r="H13" s="79">
        <f t="shared" ref="H13:H15" si="1">(B13-30)/2-1</f>
        <v>934</v>
      </c>
      <c r="I13" s="35">
        <f>D13*8*2</f>
        <v>16</v>
      </c>
      <c r="J13" s="35"/>
      <c r="K13" s="277">
        <f t="shared" ref="K13:K15" si="2">(C13-20)/2-10-1</f>
        <v>179</v>
      </c>
      <c r="L13" s="277"/>
      <c r="M13" s="277"/>
      <c r="N13" s="35">
        <f>D13*16*2</f>
        <v>32</v>
      </c>
      <c r="O13" s="35"/>
      <c r="P13" s="41"/>
    </row>
    <row r="14" spans="1:16">
      <c r="A14" s="66" t="str">
        <f>'1. 소켓인수검사'!A28</f>
        <v>20</v>
      </c>
      <c r="B14" s="44">
        <f>'1. 소켓인수검사'!C28</f>
        <v>1950</v>
      </c>
      <c r="C14" s="44">
        <f>'1. 소켓인수검사'!D28</f>
        <v>800</v>
      </c>
      <c r="D14" s="35">
        <v>1</v>
      </c>
      <c r="E14" s="45"/>
      <c r="F14" s="81"/>
      <c r="G14" s="35"/>
      <c r="H14" s="79">
        <f t="shared" si="1"/>
        <v>959</v>
      </c>
      <c r="I14" s="35">
        <f t="shared" ref="I14:I15" si="3">D14*8*2</f>
        <v>16</v>
      </c>
      <c r="J14" s="35"/>
      <c r="K14" s="277">
        <f t="shared" si="2"/>
        <v>379</v>
      </c>
      <c r="L14" s="277"/>
      <c r="M14" s="277"/>
      <c r="N14" s="35">
        <f t="shared" ref="N14:N15" si="4">D14*16*2</f>
        <v>32</v>
      </c>
      <c r="O14" s="35"/>
      <c r="P14" s="41"/>
    </row>
    <row r="15" spans="1:16">
      <c r="A15" s="66" t="str">
        <f>'1. 소켓인수검사'!A29</f>
        <v>21</v>
      </c>
      <c r="B15" s="44">
        <f>'1. 소켓인수검사'!C29</f>
        <v>3150</v>
      </c>
      <c r="C15" s="44">
        <f>'1. 소켓인수검사'!D29</f>
        <v>500</v>
      </c>
      <c r="D15" s="35">
        <v>1</v>
      </c>
      <c r="E15" s="45"/>
      <c r="F15" s="81"/>
      <c r="G15" s="35"/>
      <c r="H15" s="79">
        <f t="shared" si="1"/>
        <v>1559</v>
      </c>
      <c r="I15" s="35">
        <f t="shared" si="3"/>
        <v>16</v>
      </c>
      <c r="J15" s="35"/>
      <c r="K15" s="277">
        <f t="shared" si="2"/>
        <v>229</v>
      </c>
      <c r="L15" s="277"/>
      <c r="M15" s="277"/>
      <c r="N15" s="35">
        <f t="shared" si="4"/>
        <v>32</v>
      </c>
      <c r="O15" s="35"/>
      <c r="P15" s="41"/>
    </row>
    <row r="16" spans="1:16" ht="8.1" customHeight="1">
      <c r="A16" s="274"/>
      <c r="B16" s="158"/>
      <c r="C16" s="158"/>
      <c r="D16" s="158"/>
      <c r="E16" s="158"/>
      <c r="F16" s="158"/>
      <c r="G16" s="158"/>
      <c r="H16" s="158"/>
      <c r="I16" s="158"/>
      <c r="J16" s="158"/>
      <c r="K16" s="158"/>
      <c r="L16" s="158"/>
      <c r="M16" s="158"/>
      <c r="N16" s="158"/>
      <c r="O16" s="158"/>
      <c r="P16" s="275"/>
    </row>
    <row r="17" spans="1:16">
      <c r="A17" s="253" t="s">
        <v>53</v>
      </c>
      <c r="B17" s="253"/>
      <c r="C17" s="158"/>
      <c r="D17" s="158"/>
      <c r="E17" s="158"/>
      <c r="F17" s="158"/>
      <c r="G17" s="158"/>
      <c r="H17" s="158"/>
      <c r="I17" s="158"/>
      <c r="J17" s="158"/>
      <c r="K17" s="158"/>
      <c r="L17" s="158"/>
      <c r="M17" s="158"/>
      <c r="N17" s="158"/>
      <c r="O17" s="158"/>
      <c r="P17" s="158"/>
    </row>
    <row r="18" spans="1:16">
      <c r="A18" s="253"/>
      <c r="B18" s="253"/>
      <c r="C18" s="158"/>
      <c r="D18" s="158"/>
      <c r="E18" s="158"/>
      <c r="F18" s="158"/>
      <c r="G18" s="158"/>
      <c r="H18" s="158"/>
      <c r="I18" s="158"/>
      <c r="J18" s="158"/>
      <c r="K18" s="158"/>
      <c r="L18" s="158"/>
      <c r="M18" s="158"/>
      <c r="N18" s="158"/>
      <c r="O18" s="158"/>
      <c r="P18" s="158"/>
    </row>
    <row r="19" spans="1:16">
      <c r="A19" s="253"/>
      <c r="B19" s="253"/>
      <c r="C19" s="158"/>
      <c r="D19" s="158"/>
      <c r="E19" s="158"/>
      <c r="F19" s="158"/>
      <c r="G19" s="158"/>
      <c r="H19" s="158"/>
      <c r="I19" s="158"/>
      <c r="J19" s="158"/>
      <c r="K19" s="158"/>
      <c r="L19" s="158"/>
      <c r="M19" s="158"/>
      <c r="N19" s="158"/>
      <c r="O19" s="158"/>
      <c r="P19" s="158"/>
    </row>
    <row r="20" spans="1:16">
      <c r="A20" s="253"/>
      <c r="B20" s="253"/>
      <c r="C20" s="158"/>
      <c r="D20" s="158"/>
      <c r="E20" s="158"/>
      <c r="F20" s="158"/>
      <c r="G20" s="158"/>
      <c r="H20" s="158"/>
      <c r="I20" s="158"/>
      <c r="J20" s="158"/>
      <c r="K20" s="158"/>
      <c r="L20" s="158"/>
      <c r="M20" s="158"/>
      <c r="N20" s="158"/>
      <c r="O20" s="158"/>
      <c r="P20" s="158"/>
    </row>
    <row r="21" spans="1:16">
      <c r="A21" s="253"/>
      <c r="B21" s="253"/>
      <c r="C21" s="158"/>
      <c r="D21" s="158"/>
      <c r="E21" s="158"/>
      <c r="F21" s="158"/>
      <c r="G21" s="158"/>
      <c r="H21" s="158"/>
      <c r="I21" s="158"/>
      <c r="J21" s="158"/>
      <c r="K21" s="158"/>
      <c r="L21" s="158"/>
      <c r="M21" s="158"/>
      <c r="N21" s="158"/>
      <c r="O21" s="158"/>
      <c r="P21" s="158"/>
    </row>
    <row r="22" spans="1:16">
      <c r="A22" s="253"/>
      <c r="B22" s="253"/>
      <c r="C22" s="158"/>
      <c r="D22" s="158"/>
      <c r="E22" s="158"/>
      <c r="F22" s="158"/>
      <c r="G22" s="158"/>
      <c r="H22" s="158"/>
      <c r="I22" s="158"/>
      <c r="J22" s="158"/>
      <c r="K22" s="158"/>
      <c r="L22" s="158"/>
      <c r="M22" s="158"/>
      <c r="N22" s="158"/>
      <c r="O22" s="158"/>
      <c r="P22" s="158"/>
    </row>
  </sheetData>
  <mergeCells count="36">
    <mergeCell ref="G8:O8"/>
    <mergeCell ref="P8:P10"/>
    <mergeCell ref="B9:B10"/>
    <mergeCell ref="C9:C10"/>
    <mergeCell ref="G9:G10"/>
    <mergeCell ref="H9:I9"/>
    <mergeCell ref="J9:J10"/>
    <mergeCell ref="A8:A10"/>
    <mergeCell ref="B8:C8"/>
    <mergeCell ref="D8:D10"/>
    <mergeCell ref="E8:E10"/>
    <mergeCell ref="F8:F10"/>
    <mergeCell ref="K9:N9"/>
    <mergeCell ref="O9:O10"/>
    <mergeCell ref="K10:M10"/>
    <mergeCell ref="A1:D3"/>
    <mergeCell ref="A4:B4"/>
    <mergeCell ref="C4:D4"/>
    <mergeCell ref="A5:B6"/>
    <mergeCell ref="C5:D6"/>
    <mergeCell ref="F5:G5"/>
    <mergeCell ref="H5:H6"/>
    <mergeCell ref="I5:J6"/>
    <mergeCell ref="K5:M6"/>
    <mergeCell ref="N5:P6"/>
    <mergeCell ref="F6:G6"/>
    <mergeCell ref="E1:P4"/>
    <mergeCell ref="A7:P7"/>
    <mergeCell ref="A16:P16"/>
    <mergeCell ref="A17:B22"/>
    <mergeCell ref="C17:P22"/>
    <mergeCell ref="K11:M11"/>
    <mergeCell ref="K12:M12"/>
    <mergeCell ref="K13:M13"/>
    <mergeCell ref="K14:M14"/>
    <mergeCell ref="K15:M15"/>
  </mergeCells>
  <phoneticPr fontId="32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0"/>
  <dimension ref="A1:Q22"/>
  <sheetViews>
    <sheetView showGridLines="0" zoomScaleNormal="100" zoomScaleSheetLayoutView="100" workbookViewId="0">
      <selection activeCell="I33" sqref="I33"/>
    </sheetView>
  </sheetViews>
  <sheetFormatPr defaultColWidth="9" defaultRowHeight="16.5"/>
  <cols>
    <col min="1" max="1" width="3.625" style="5" customWidth="1"/>
    <col min="2" max="3" width="9.625" style="5" customWidth="1"/>
    <col min="4" max="4" width="5.625" style="5" customWidth="1"/>
    <col min="5" max="5" width="16.625" style="5" customWidth="1"/>
    <col min="6" max="6" width="6.75" style="5" customWidth="1"/>
    <col min="7" max="7" width="6.625" style="5" customWidth="1"/>
    <col min="8" max="9" width="9.625" style="5" customWidth="1"/>
    <col min="10" max="10" width="7.125" style="5" customWidth="1"/>
    <col min="11" max="11" width="6.625" style="5" customWidth="1"/>
    <col min="12" max="14" width="3" style="5" customWidth="1"/>
    <col min="15" max="17" width="9.75" style="5" customWidth="1"/>
    <col min="18" max="16384" width="9" style="5"/>
  </cols>
  <sheetData>
    <row r="1" spans="1:17" ht="16.5" customHeight="1">
      <c r="A1" s="158"/>
      <c r="B1" s="158"/>
      <c r="C1" s="158"/>
      <c r="D1" s="158"/>
      <c r="E1" s="285" t="s">
        <v>18</v>
      </c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7"/>
    </row>
    <row r="2" spans="1:17" ht="16.5" customHeight="1">
      <c r="A2" s="158"/>
      <c r="B2" s="158"/>
      <c r="C2" s="158"/>
      <c r="D2" s="158"/>
      <c r="E2" s="288"/>
      <c r="F2" s="289"/>
      <c r="G2" s="289"/>
      <c r="H2" s="289"/>
      <c r="I2" s="289"/>
      <c r="J2" s="289"/>
      <c r="K2" s="289"/>
      <c r="L2" s="289"/>
      <c r="M2" s="289"/>
      <c r="N2" s="289"/>
      <c r="O2" s="289"/>
      <c r="P2" s="289"/>
      <c r="Q2" s="290"/>
    </row>
    <row r="3" spans="1:17" ht="16.5" customHeight="1">
      <c r="A3" s="158"/>
      <c r="B3" s="158"/>
      <c r="C3" s="158"/>
      <c r="D3" s="158"/>
      <c r="E3" s="288"/>
      <c r="F3" s="289"/>
      <c r="G3" s="289"/>
      <c r="H3" s="289"/>
      <c r="I3" s="289"/>
      <c r="J3" s="289"/>
      <c r="K3" s="289"/>
      <c r="L3" s="289"/>
      <c r="M3" s="289"/>
      <c r="N3" s="289"/>
      <c r="O3" s="289"/>
      <c r="P3" s="289"/>
      <c r="Q3" s="290"/>
    </row>
    <row r="4" spans="1:17" ht="16.5" customHeight="1">
      <c r="A4" s="158" t="s">
        <v>21</v>
      </c>
      <c r="B4" s="158"/>
      <c r="C4" s="158"/>
      <c r="D4" s="158"/>
      <c r="E4" s="291"/>
      <c r="F4" s="292"/>
      <c r="G4" s="292"/>
      <c r="H4" s="292"/>
      <c r="I4" s="292"/>
      <c r="J4" s="292"/>
      <c r="K4" s="292"/>
      <c r="L4" s="292"/>
      <c r="M4" s="292"/>
      <c r="N4" s="292"/>
      <c r="O4" s="292"/>
      <c r="P4" s="292"/>
      <c r="Q4" s="293"/>
    </row>
    <row r="5" spans="1:17" ht="16.5" customHeight="1">
      <c r="A5" s="158" t="s">
        <v>31</v>
      </c>
      <c r="B5" s="158"/>
      <c r="C5" s="158"/>
      <c r="D5" s="158"/>
      <c r="E5" s="6" t="s">
        <v>37</v>
      </c>
      <c r="F5" s="158"/>
      <c r="G5" s="158"/>
      <c r="H5" s="158" t="s">
        <v>67</v>
      </c>
      <c r="I5" s="158"/>
      <c r="J5" s="158"/>
      <c r="K5" s="274" t="s">
        <v>63</v>
      </c>
      <c r="L5" s="158"/>
      <c r="M5" s="158"/>
      <c r="N5" s="275"/>
      <c r="O5" s="284" t="str">
        <f>'1. 소켓인수검사'!R2</f>
        <v>26.06.01 엘티_신동양기업_코오롱글로벌_대한항공 운북 신 엔진정비공장 건립공사</v>
      </c>
      <c r="P5" s="284"/>
      <c r="Q5" s="284"/>
    </row>
    <row r="6" spans="1:17">
      <c r="A6" s="158"/>
      <c r="B6" s="158"/>
      <c r="C6" s="158"/>
      <c r="D6" s="158"/>
      <c r="E6" s="6" t="s">
        <v>34</v>
      </c>
      <c r="F6" s="158"/>
      <c r="G6" s="158"/>
      <c r="H6" s="158"/>
      <c r="I6" s="158"/>
      <c r="J6" s="158"/>
      <c r="K6" s="294"/>
      <c r="L6" s="186"/>
      <c r="M6" s="186"/>
      <c r="N6" s="295"/>
      <c r="O6" s="284"/>
      <c r="P6" s="284"/>
      <c r="Q6" s="284"/>
    </row>
    <row r="7" spans="1:17" ht="8.1" customHeight="1">
      <c r="A7" s="294"/>
      <c r="B7" s="186"/>
      <c r="C7" s="186"/>
      <c r="D7" s="186"/>
      <c r="E7" s="186"/>
      <c r="F7" s="186"/>
      <c r="G7" s="186"/>
      <c r="H7" s="186"/>
      <c r="I7" s="186"/>
      <c r="J7" s="186"/>
      <c r="K7" s="186"/>
      <c r="L7" s="186"/>
      <c r="M7" s="186"/>
      <c r="N7" s="186"/>
      <c r="O7" s="186"/>
      <c r="P7" s="186"/>
      <c r="Q7" s="295"/>
    </row>
    <row r="8" spans="1:17">
      <c r="A8" s="158" t="s">
        <v>64</v>
      </c>
      <c r="B8" s="278" t="s">
        <v>4</v>
      </c>
      <c r="C8" s="278"/>
      <c r="D8" s="278" t="s">
        <v>33</v>
      </c>
      <c r="E8" s="278" t="s">
        <v>29</v>
      </c>
      <c r="F8" s="278" t="s">
        <v>68</v>
      </c>
      <c r="G8" s="297" t="s">
        <v>32</v>
      </c>
      <c r="H8" s="298"/>
      <c r="I8" s="298"/>
      <c r="J8" s="298"/>
      <c r="K8" s="297"/>
      <c r="L8" s="298"/>
      <c r="M8" s="298"/>
      <c r="N8" s="298"/>
      <c r="O8" s="298"/>
      <c r="P8" s="299"/>
      <c r="Q8" s="278" t="s">
        <v>2</v>
      </c>
    </row>
    <row r="9" spans="1:17" ht="16.5" customHeight="1">
      <c r="A9" s="158"/>
      <c r="B9" s="297" t="s">
        <v>71</v>
      </c>
      <c r="C9" s="278" t="s">
        <v>69</v>
      </c>
      <c r="D9" s="278"/>
      <c r="E9" s="278"/>
      <c r="F9" s="278"/>
      <c r="G9" s="278" t="s">
        <v>65</v>
      </c>
      <c r="H9" s="278" t="s">
        <v>57</v>
      </c>
      <c r="I9" s="278"/>
      <c r="J9" s="279" t="s">
        <v>13</v>
      </c>
      <c r="K9" s="279" t="s">
        <v>65</v>
      </c>
      <c r="L9" s="278" t="s">
        <v>23</v>
      </c>
      <c r="M9" s="278"/>
      <c r="N9" s="278"/>
      <c r="O9" s="278"/>
      <c r="P9" s="279" t="s">
        <v>13</v>
      </c>
      <c r="Q9" s="278"/>
    </row>
    <row r="10" spans="1:17">
      <c r="A10" s="296"/>
      <c r="B10" s="300"/>
      <c r="C10" s="279"/>
      <c r="D10" s="279"/>
      <c r="E10" s="279"/>
      <c r="F10" s="279"/>
      <c r="G10" s="279"/>
      <c r="H10" s="23" t="s">
        <v>4</v>
      </c>
      <c r="I10" s="23" t="s">
        <v>36</v>
      </c>
      <c r="J10" s="280"/>
      <c r="K10" s="280"/>
      <c r="L10" s="281" t="s">
        <v>4</v>
      </c>
      <c r="M10" s="282"/>
      <c r="N10" s="283"/>
      <c r="O10" s="24" t="s">
        <v>36</v>
      </c>
      <c r="P10" s="280"/>
      <c r="Q10" s="279"/>
    </row>
    <row r="11" spans="1:17" ht="20.100000000000001" customHeight="1">
      <c r="A11" s="61" t="str">
        <f>'1. 소켓인수검사'!A25</f>
        <v>17</v>
      </c>
      <c r="B11" s="62">
        <f>'1. 소켓인수검사'!C25</f>
        <v>1700</v>
      </c>
      <c r="C11" s="62">
        <f>'1. 소켓인수검사'!D25</f>
        <v>1300</v>
      </c>
      <c r="D11" s="64">
        <v>1</v>
      </c>
      <c r="E11" s="82"/>
      <c r="F11" s="258" t="s">
        <v>56</v>
      </c>
      <c r="G11" s="77">
        <f>228-3</f>
        <v>225</v>
      </c>
      <c r="H11" s="64">
        <f>((B11-30)/2)-1</f>
        <v>834</v>
      </c>
      <c r="I11" s="64">
        <f t="shared" ref="I11:I15" si="0">D11*4*2</f>
        <v>8</v>
      </c>
      <c r="J11" s="64"/>
      <c r="K11" s="77">
        <f>240-3</f>
        <v>237</v>
      </c>
      <c r="L11" s="301">
        <f t="shared" ref="L11:L15" si="1">C11</f>
        <v>1300</v>
      </c>
      <c r="M11" s="302"/>
      <c r="N11" s="302"/>
      <c r="O11" s="64">
        <f t="shared" ref="O11:O15" si="2">D11*2*2</f>
        <v>4</v>
      </c>
      <c r="P11" s="29"/>
      <c r="Q11" s="30"/>
    </row>
    <row r="12" spans="1:17" ht="19.5" customHeight="1">
      <c r="A12" s="66" t="str">
        <f>'1. 소켓인수검사'!A26</f>
        <v>18</v>
      </c>
      <c r="B12" s="44">
        <f>'1. 소켓인수검사'!C26</f>
        <v>1900</v>
      </c>
      <c r="C12" s="44">
        <f>'1. 소켓인수검사'!D26</f>
        <v>400</v>
      </c>
      <c r="D12" s="35">
        <v>1</v>
      </c>
      <c r="E12" s="83"/>
      <c r="F12" s="259"/>
      <c r="G12" s="79">
        <f t="shared" ref="G12:G15" si="3">228-3</f>
        <v>225</v>
      </c>
      <c r="H12" s="35">
        <f>((B12-30)/2)-1</f>
        <v>934</v>
      </c>
      <c r="I12" s="35">
        <f t="shared" si="0"/>
        <v>8</v>
      </c>
      <c r="J12" s="35"/>
      <c r="K12" s="79">
        <f t="shared" ref="K12:K15" si="4">240-3</f>
        <v>237</v>
      </c>
      <c r="L12" s="303">
        <f t="shared" si="1"/>
        <v>400</v>
      </c>
      <c r="M12" s="304"/>
      <c r="N12" s="304"/>
      <c r="O12" s="35">
        <f t="shared" si="2"/>
        <v>4</v>
      </c>
      <c r="P12" s="32"/>
      <c r="Q12" s="33"/>
    </row>
    <row r="13" spans="1:17" ht="20.100000000000001" customHeight="1">
      <c r="A13" s="66" t="str">
        <f>'1. 소켓인수검사'!A27</f>
        <v>19</v>
      </c>
      <c r="B13" s="44">
        <f>'1. 소켓인수검사'!C27</f>
        <v>1900</v>
      </c>
      <c r="C13" s="44">
        <f>'1. 소켓인수검사'!D27</f>
        <v>400</v>
      </c>
      <c r="D13" s="35">
        <v>1</v>
      </c>
      <c r="E13" s="83"/>
      <c r="F13" s="259"/>
      <c r="G13" s="79">
        <f t="shared" si="3"/>
        <v>225</v>
      </c>
      <c r="H13" s="35">
        <f t="shared" ref="H13:H15" si="5">((B13-30)/2)-1</f>
        <v>934</v>
      </c>
      <c r="I13" s="35">
        <f t="shared" si="0"/>
        <v>8</v>
      </c>
      <c r="J13" s="35"/>
      <c r="K13" s="79">
        <f t="shared" si="4"/>
        <v>237</v>
      </c>
      <c r="L13" s="303">
        <f t="shared" si="1"/>
        <v>400</v>
      </c>
      <c r="M13" s="304"/>
      <c r="N13" s="304"/>
      <c r="O13" s="35">
        <f t="shared" si="2"/>
        <v>4</v>
      </c>
      <c r="P13" s="32"/>
      <c r="Q13" s="33"/>
    </row>
    <row r="14" spans="1:17" ht="20.100000000000001" customHeight="1">
      <c r="A14" s="66" t="str">
        <f>'1. 소켓인수검사'!A28</f>
        <v>20</v>
      </c>
      <c r="B14" s="44">
        <f>'1. 소켓인수검사'!C28</f>
        <v>1950</v>
      </c>
      <c r="C14" s="44">
        <f>'1. 소켓인수검사'!D28</f>
        <v>800</v>
      </c>
      <c r="D14" s="35">
        <v>1</v>
      </c>
      <c r="E14" s="83"/>
      <c r="F14" s="259"/>
      <c r="G14" s="79">
        <f t="shared" si="3"/>
        <v>225</v>
      </c>
      <c r="H14" s="35">
        <f t="shared" si="5"/>
        <v>959</v>
      </c>
      <c r="I14" s="35">
        <f t="shared" si="0"/>
        <v>8</v>
      </c>
      <c r="J14" s="35"/>
      <c r="K14" s="79">
        <f t="shared" si="4"/>
        <v>237</v>
      </c>
      <c r="L14" s="303">
        <f t="shared" si="1"/>
        <v>800</v>
      </c>
      <c r="M14" s="304"/>
      <c r="N14" s="304"/>
      <c r="O14" s="35">
        <f t="shared" si="2"/>
        <v>4</v>
      </c>
      <c r="P14" s="32"/>
      <c r="Q14" s="33"/>
    </row>
    <row r="15" spans="1:17" ht="20.100000000000001" customHeight="1">
      <c r="A15" s="66" t="str">
        <f>'1. 소켓인수검사'!A29</f>
        <v>21</v>
      </c>
      <c r="B15" s="44">
        <f>'1. 소켓인수검사'!C29</f>
        <v>3150</v>
      </c>
      <c r="C15" s="44">
        <f>'1. 소켓인수검사'!D29</f>
        <v>500</v>
      </c>
      <c r="D15" s="35">
        <v>1</v>
      </c>
      <c r="E15" s="83"/>
      <c r="F15" s="259"/>
      <c r="G15" s="79">
        <f t="shared" si="3"/>
        <v>225</v>
      </c>
      <c r="H15" s="35">
        <f t="shared" si="5"/>
        <v>1559</v>
      </c>
      <c r="I15" s="35">
        <f t="shared" si="0"/>
        <v>8</v>
      </c>
      <c r="J15" s="35"/>
      <c r="K15" s="79">
        <f t="shared" si="4"/>
        <v>237</v>
      </c>
      <c r="L15" s="303">
        <f t="shared" si="1"/>
        <v>500</v>
      </c>
      <c r="M15" s="304"/>
      <c r="N15" s="304"/>
      <c r="O15" s="35">
        <f t="shared" si="2"/>
        <v>4</v>
      </c>
      <c r="P15" s="32"/>
      <c r="Q15" s="84"/>
    </row>
    <row r="16" spans="1:17" ht="8.1" customHeight="1">
      <c r="A16" s="274"/>
      <c r="B16" s="158"/>
      <c r="C16" s="158"/>
      <c r="D16" s="158"/>
      <c r="E16" s="158"/>
      <c r="F16" s="158"/>
      <c r="G16" s="158"/>
      <c r="H16" s="158"/>
      <c r="I16" s="158"/>
      <c r="J16" s="158"/>
      <c r="K16" s="158"/>
      <c r="L16" s="158"/>
      <c r="M16" s="158"/>
      <c r="N16" s="158"/>
      <c r="O16" s="158"/>
      <c r="P16" s="158"/>
      <c r="Q16" s="275"/>
    </row>
    <row r="17" spans="1:17">
      <c r="A17" s="253" t="s">
        <v>53</v>
      </c>
      <c r="B17" s="253"/>
      <c r="C17" s="158"/>
      <c r="D17" s="158"/>
      <c r="E17" s="158"/>
      <c r="F17" s="158"/>
      <c r="G17" s="158"/>
      <c r="H17" s="158"/>
      <c r="I17" s="158"/>
      <c r="J17" s="158"/>
      <c r="K17" s="158"/>
      <c r="L17" s="158"/>
      <c r="M17" s="158"/>
      <c r="N17" s="158"/>
      <c r="O17" s="158"/>
      <c r="P17" s="158"/>
      <c r="Q17" s="158"/>
    </row>
    <row r="18" spans="1:17">
      <c r="A18" s="253"/>
      <c r="B18" s="253"/>
      <c r="C18" s="158"/>
      <c r="D18" s="158"/>
      <c r="E18" s="158"/>
      <c r="F18" s="158"/>
      <c r="G18" s="158"/>
      <c r="H18" s="158"/>
      <c r="I18" s="158"/>
      <c r="J18" s="158"/>
      <c r="K18" s="158"/>
      <c r="L18" s="158"/>
      <c r="M18" s="158"/>
      <c r="N18" s="158"/>
      <c r="O18" s="158"/>
      <c r="P18" s="158"/>
      <c r="Q18" s="158"/>
    </row>
    <row r="19" spans="1:17">
      <c r="A19" s="253"/>
      <c r="B19" s="253"/>
      <c r="C19" s="158"/>
      <c r="D19" s="158"/>
      <c r="E19" s="158"/>
      <c r="F19" s="158"/>
      <c r="G19" s="158"/>
      <c r="H19" s="158"/>
      <c r="I19" s="158"/>
      <c r="J19" s="158"/>
      <c r="K19" s="158"/>
      <c r="L19" s="158"/>
      <c r="M19" s="158"/>
      <c r="N19" s="158"/>
      <c r="O19" s="158"/>
      <c r="P19" s="158"/>
      <c r="Q19" s="158"/>
    </row>
    <row r="20" spans="1:17">
      <c r="A20" s="253"/>
      <c r="B20" s="253"/>
      <c r="C20" s="158"/>
      <c r="D20" s="158"/>
      <c r="E20" s="158"/>
      <c r="F20" s="158"/>
      <c r="G20" s="158"/>
      <c r="H20" s="158"/>
      <c r="I20" s="158"/>
      <c r="J20" s="158"/>
      <c r="K20" s="158"/>
      <c r="L20" s="158"/>
      <c r="M20" s="158"/>
      <c r="N20" s="158"/>
      <c r="O20" s="158"/>
      <c r="P20" s="158"/>
      <c r="Q20" s="158"/>
    </row>
    <row r="21" spans="1:17">
      <c r="A21" s="253"/>
      <c r="B21" s="253"/>
      <c r="C21" s="158"/>
      <c r="D21" s="158"/>
      <c r="E21" s="158"/>
      <c r="F21" s="158"/>
      <c r="G21" s="158"/>
      <c r="H21" s="158"/>
      <c r="I21" s="158"/>
      <c r="J21" s="158"/>
      <c r="K21" s="158"/>
      <c r="L21" s="158"/>
      <c r="M21" s="158"/>
      <c r="N21" s="158"/>
      <c r="O21" s="158"/>
      <c r="P21" s="158"/>
      <c r="Q21" s="158"/>
    </row>
    <row r="22" spans="1:17">
      <c r="A22" s="253"/>
      <c r="B22" s="253"/>
      <c r="C22" s="158"/>
      <c r="D22" s="158"/>
      <c r="E22" s="158"/>
      <c r="F22" s="158"/>
      <c r="G22" s="158"/>
      <c r="H22" s="158"/>
      <c r="I22" s="158"/>
      <c r="J22" s="158"/>
      <c r="K22" s="158"/>
      <c r="L22" s="158"/>
      <c r="M22" s="158"/>
      <c r="N22" s="158"/>
      <c r="O22" s="158"/>
      <c r="P22" s="158"/>
      <c r="Q22" s="158"/>
    </row>
  </sheetData>
  <mergeCells count="38">
    <mergeCell ref="A1:D3"/>
    <mergeCell ref="A4:B4"/>
    <mergeCell ref="C4:D4"/>
    <mergeCell ref="A5:B6"/>
    <mergeCell ref="C5:D6"/>
    <mergeCell ref="F5:G5"/>
    <mergeCell ref="H5:H6"/>
    <mergeCell ref="I5:J6"/>
    <mergeCell ref="K5:N6"/>
    <mergeCell ref="O5:Q6"/>
    <mergeCell ref="F6:G6"/>
    <mergeCell ref="E1:Q4"/>
    <mergeCell ref="A7:Q7"/>
    <mergeCell ref="A8:A10"/>
    <mergeCell ref="B8:C8"/>
    <mergeCell ref="D8:D10"/>
    <mergeCell ref="E8:E10"/>
    <mergeCell ref="F8:F10"/>
    <mergeCell ref="G8:P8"/>
    <mergeCell ref="Q8:Q10"/>
    <mergeCell ref="B9:B10"/>
    <mergeCell ref="C9:C10"/>
    <mergeCell ref="G9:G10"/>
    <mergeCell ref="H9:I9"/>
    <mergeCell ref="J9:J10"/>
    <mergeCell ref="K9:K10"/>
    <mergeCell ref="L9:O9"/>
    <mergeCell ref="P9:P10"/>
    <mergeCell ref="L10:N10"/>
    <mergeCell ref="A16:Q16"/>
    <mergeCell ref="A17:B22"/>
    <mergeCell ref="C17:Q22"/>
    <mergeCell ref="F11:F15"/>
    <mergeCell ref="L11:N11"/>
    <mergeCell ref="L12:N12"/>
    <mergeCell ref="L13:N13"/>
    <mergeCell ref="L14:N14"/>
    <mergeCell ref="L15:N15"/>
  </mergeCells>
  <phoneticPr fontId="32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"/>
  <dimension ref="A1:S40"/>
  <sheetViews>
    <sheetView zoomScaleNormal="100" zoomScaleSheetLayoutView="100" workbookViewId="0">
      <pane ySplit="9" topLeftCell="A13" activePane="bottomLeft" state="frozen"/>
      <selection pane="bottomLeft" activeCell="I43" sqref="I43"/>
    </sheetView>
  </sheetViews>
  <sheetFormatPr defaultColWidth="9" defaultRowHeight="16.5"/>
  <cols>
    <col min="1" max="1" width="3.625" customWidth="1"/>
    <col min="2" max="3" width="7.25" customWidth="1"/>
    <col min="4" max="4" width="13.875" customWidth="1"/>
    <col min="5" max="5" width="6.125" customWidth="1"/>
    <col min="6" max="6" width="6" customWidth="1"/>
    <col min="7" max="7" width="8" customWidth="1"/>
    <col min="8" max="8" width="5" customWidth="1"/>
    <col min="9" max="9" width="6.625" customWidth="1"/>
    <col min="10" max="10" width="8" customWidth="1"/>
    <col min="11" max="11" width="6" customWidth="1"/>
    <col min="12" max="12" width="6.625" customWidth="1"/>
    <col min="13" max="13" width="8" customWidth="1"/>
    <col min="14" max="14" width="6" customWidth="1"/>
    <col min="15" max="15" width="6.625" customWidth="1"/>
    <col min="16" max="16" width="8" customWidth="1"/>
    <col min="17" max="17" width="6" customWidth="1"/>
    <col min="18" max="18" width="3.625" customWidth="1"/>
    <col min="19" max="19" width="6.625" customWidth="1"/>
  </cols>
  <sheetData>
    <row r="1" spans="1:19" ht="16.5" customHeight="1">
      <c r="A1" s="158"/>
      <c r="B1" s="158"/>
      <c r="C1" s="158"/>
      <c r="D1" s="336" t="s">
        <v>51</v>
      </c>
      <c r="E1" s="336"/>
      <c r="F1" s="336"/>
      <c r="G1" s="336"/>
      <c r="H1" s="336"/>
      <c r="I1" s="336"/>
      <c r="J1" s="336"/>
      <c r="K1" s="336"/>
      <c r="L1" s="336"/>
      <c r="M1" s="336"/>
      <c r="N1" s="336"/>
      <c r="O1" s="336"/>
      <c r="P1" s="336"/>
      <c r="Q1" s="337"/>
      <c r="R1" s="338"/>
      <c r="S1" s="14"/>
    </row>
    <row r="2" spans="1:19">
      <c r="A2" s="158"/>
      <c r="B2" s="158"/>
      <c r="C2" s="158"/>
      <c r="D2" s="336"/>
      <c r="E2" s="336"/>
      <c r="F2" s="336"/>
      <c r="G2" s="336"/>
      <c r="H2" s="336"/>
      <c r="I2" s="336"/>
      <c r="J2" s="336"/>
      <c r="K2" s="336"/>
      <c r="L2" s="336"/>
      <c r="M2" s="336"/>
      <c r="N2" s="336"/>
      <c r="O2" s="336"/>
      <c r="P2" s="336"/>
      <c r="Q2" s="337"/>
      <c r="R2" s="339"/>
      <c r="S2" s="340"/>
    </row>
    <row r="3" spans="1:19" ht="24" customHeight="1">
      <c r="A3" s="158"/>
      <c r="B3" s="158"/>
      <c r="C3" s="158"/>
      <c r="D3" s="336"/>
      <c r="E3" s="336"/>
      <c r="F3" s="336"/>
      <c r="G3" s="336"/>
      <c r="H3" s="336"/>
      <c r="I3" s="336"/>
      <c r="J3" s="336"/>
      <c r="K3" s="336"/>
      <c r="L3" s="336"/>
      <c r="M3" s="336"/>
      <c r="N3" s="336"/>
      <c r="O3" s="336"/>
      <c r="P3" s="336"/>
      <c r="Q3" s="337"/>
      <c r="R3" s="339"/>
      <c r="S3" s="340"/>
    </row>
    <row r="4" spans="1:19">
      <c r="A4" s="158" t="s">
        <v>21</v>
      </c>
      <c r="B4" s="158"/>
      <c r="C4" s="1"/>
      <c r="D4" s="336"/>
      <c r="E4" s="336"/>
      <c r="F4" s="336"/>
      <c r="G4" s="336"/>
      <c r="H4" s="336"/>
      <c r="I4" s="336"/>
      <c r="J4" s="336"/>
      <c r="K4" s="336"/>
      <c r="L4" s="336"/>
      <c r="M4" s="336"/>
      <c r="N4" s="336"/>
      <c r="O4" s="336"/>
      <c r="P4" s="336"/>
      <c r="Q4" s="337"/>
      <c r="R4" s="339"/>
      <c r="S4" s="340"/>
    </row>
    <row r="5" spans="1:19">
      <c r="A5" s="158" t="s">
        <v>31</v>
      </c>
      <c r="B5" s="158"/>
      <c r="C5" s="158"/>
      <c r="D5" s="2" t="s">
        <v>37</v>
      </c>
      <c r="E5" s="334"/>
      <c r="F5" s="335"/>
      <c r="G5" s="326" t="s">
        <v>67</v>
      </c>
      <c r="H5" s="199"/>
      <c r="I5" s="200"/>
      <c r="J5" s="200"/>
      <c r="K5" s="201"/>
      <c r="L5" s="326" t="s">
        <v>26</v>
      </c>
      <c r="M5" s="87"/>
      <c r="N5" s="87"/>
      <c r="O5" s="326" t="s">
        <v>26</v>
      </c>
      <c r="P5" s="328" t="str">
        <f>'1. 소켓인수검사'!R2</f>
        <v>26.06.01 엘티_신동양기업_코오롱글로벌_대한항공 운북 신 엔진정비공장 건립공사</v>
      </c>
      <c r="Q5" s="329"/>
      <c r="R5" s="329"/>
      <c r="S5" s="330"/>
    </row>
    <row r="6" spans="1:19">
      <c r="A6" s="158"/>
      <c r="B6" s="158"/>
      <c r="C6" s="158"/>
      <c r="D6" s="2" t="s">
        <v>34</v>
      </c>
      <c r="E6" s="334"/>
      <c r="F6" s="335"/>
      <c r="G6" s="327"/>
      <c r="H6" s="205"/>
      <c r="I6" s="206"/>
      <c r="J6" s="206"/>
      <c r="K6" s="207"/>
      <c r="L6" s="327"/>
      <c r="M6" s="88"/>
      <c r="N6" s="88"/>
      <c r="O6" s="327"/>
      <c r="P6" s="331"/>
      <c r="Q6" s="332"/>
      <c r="R6" s="332"/>
      <c r="S6" s="333"/>
    </row>
    <row r="7" spans="1:19" ht="8.1" customHeight="1">
      <c r="A7" s="205"/>
      <c r="B7" s="206"/>
      <c r="C7" s="206"/>
      <c r="D7" s="206"/>
      <c r="E7" s="206"/>
      <c r="F7" s="206"/>
      <c r="G7" s="206"/>
      <c r="H7" s="206"/>
      <c r="I7" s="206"/>
      <c r="J7" s="206"/>
      <c r="K7" s="206"/>
      <c r="L7" s="206"/>
      <c r="M7" s="206"/>
      <c r="N7" s="206"/>
      <c r="O7" s="206"/>
      <c r="P7" s="206"/>
      <c r="Q7" s="206"/>
      <c r="R7" s="206"/>
      <c r="S7" s="207"/>
    </row>
    <row r="8" spans="1:19" ht="16.5" customHeight="1">
      <c r="A8" s="172" t="s">
        <v>64</v>
      </c>
      <c r="B8" s="321" t="s">
        <v>71</v>
      </c>
      <c r="C8" s="321" t="s">
        <v>69</v>
      </c>
      <c r="D8" s="321" t="s">
        <v>74</v>
      </c>
      <c r="E8" s="321" t="s">
        <v>59</v>
      </c>
      <c r="F8" s="321" t="s">
        <v>66</v>
      </c>
      <c r="G8" s="321" t="s">
        <v>28</v>
      </c>
      <c r="H8" s="321"/>
      <c r="I8" s="321"/>
      <c r="J8" s="321" t="s">
        <v>0</v>
      </c>
      <c r="K8" s="321"/>
      <c r="L8" s="321"/>
      <c r="M8" s="321" t="s">
        <v>0</v>
      </c>
      <c r="N8" s="321"/>
      <c r="O8" s="321"/>
      <c r="P8" s="321" t="s">
        <v>0</v>
      </c>
      <c r="Q8" s="321"/>
      <c r="R8" s="321"/>
      <c r="S8" s="323"/>
    </row>
    <row r="9" spans="1:19" ht="33" customHeight="1">
      <c r="A9" s="325"/>
      <c r="B9" s="322"/>
      <c r="C9" s="322"/>
      <c r="D9" s="322"/>
      <c r="E9" s="322"/>
      <c r="F9" s="322"/>
      <c r="G9" s="90" t="s">
        <v>38</v>
      </c>
      <c r="H9" s="90" t="s">
        <v>62</v>
      </c>
      <c r="I9" s="90" t="s">
        <v>61</v>
      </c>
      <c r="J9" s="90" t="s">
        <v>24</v>
      </c>
      <c r="K9" s="90" t="s">
        <v>62</v>
      </c>
      <c r="L9" s="90" t="s">
        <v>61</v>
      </c>
      <c r="M9" s="90" t="s">
        <v>30</v>
      </c>
      <c r="N9" s="90" t="s">
        <v>62</v>
      </c>
      <c r="O9" s="90" t="s">
        <v>61</v>
      </c>
      <c r="P9" s="90" t="s">
        <v>27</v>
      </c>
      <c r="Q9" s="90" t="s">
        <v>62</v>
      </c>
      <c r="R9" s="322" t="s">
        <v>61</v>
      </c>
      <c r="S9" s="324"/>
    </row>
    <row r="10" spans="1:19">
      <c r="A10" s="66" t="str">
        <f>'1. 소켓인수검사'!A9</f>
        <v>01</v>
      </c>
      <c r="B10" s="44">
        <f>'1. 소켓인수검사'!C9</f>
        <v>300</v>
      </c>
      <c r="C10" s="44">
        <f>'1. 소켓인수검사'!D9</f>
        <v>300</v>
      </c>
      <c r="D10" s="67" t="s">
        <v>19</v>
      </c>
      <c r="E10" s="85">
        <f>B10*C10/1000000</f>
        <v>0.09</v>
      </c>
      <c r="F10" s="85">
        <f>(B10+C10)*2/1000</f>
        <v>1.2</v>
      </c>
      <c r="G10" s="34">
        <f>(F10+0.4)</f>
        <v>1.6</v>
      </c>
      <c r="H10" s="34">
        <v>4</v>
      </c>
      <c r="I10" s="86">
        <f>G10*H10</f>
        <v>6.4</v>
      </c>
      <c r="J10" s="34"/>
      <c r="K10" s="34"/>
      <c r="L10" s="34"/>
      <c r="M10" s="34"/>
      <c r="N10" s="34"/>
      <c r="O10" s="34"/>
      <c r="P10" s="34"/>
      <c r="Q10" s="34"/>
      <c r="R10" s="305"/>
      <c r="S10" s="306"/>
    </row>
    <row r="11" spans="1:19">
      <c r="A11" s="66" t="str">
        <f>'1. 소켓인수검사'!A10</f>
        <v>02</v>
      </c>
      <c r="B11" s="44">
        <f>'1. 소켓인수검사'!C10</f>
        <v>300</v>
      </c>
      <c r="C11" s="44">
        <f>'1. 소켓인수검사'!D10</f>
        <v>300</v>
      </c>
      <c r="D11" s="67" t="s">
        <v>19</v>
      </c>
      <c r="E11" s="85">
        <f t="shared" ref="E11:E24" si="0">B11*C11/1000000</f>
        <v>0.09</v>
      </c>
      <c r="F11" s="85">
        <f t="shared" ref="F11:F24" si="1">(B11+C11)*2/1000</f>
        <v>1.2</v>
      </c>
      <c r="G11" s="34">
        <f>(F11+0.4)</f>
        <v>1.6</v>
      </c>
      <c r="H11" s="34">
        <v>4</v>
      </c>
      <c r="I11" s="86">
        <f>G11*H11</f>
        <v>6.4</v>
      </c>
      <c r="J11" s="34"/>
      <c r="K11" s="34"/>
      <c r="L11" s="34"/>
      <c r="M11" s="34"/>
      <c r="N11" s="34"/>
      <c r="O11" s="34"/>
      <c r="P11" s="34"/>
      <c r="Q11" s="34"/>
      <c r="R11" s="305"/>
      <c r="S11" s="306"/>
    </row>
    <row r="12" spans="1:19">
      <c r="A12" s="66" t="str">
        <f>'1. 소켓인수검사'!A11</f>
        <v>03</v>
      </c>
      <c r="B12" s="44">
        <f>'1. 소켓인수검사'!C11</f>
        <v>300</v>
      </c>
      <c r="C12" s="44">
        <f>'1. 소켓인수검사'!D11</f>
        <v>300</v>
      </c>
      <c r="D12" s="67" t="s">
        <v>19</v>
      </c>
      <c r="E12" s="85">
        <f t="shared" si="0"/>
        <v>0.09</v>
      </c>
      <c r="F12" s="85">
        <f t="shared" si="1"/>
        <v>1.2</v>
      </c>
      <c r="G12" s="34">
        <f t="shared" ref="G12:G24" si="2">(F12+0.4)</f>
        <v>1.6</v>
      </c>
      <c r="H12" s="34">
        <v>4</v>
      </c>
      <c r="I12" s="86">
        <f t="shared" ref="I12:I22" si="3">G12*H12</f>
        <v>6.4</v>
      </c>
      <c r="J12" s="34"/>
      <c r="K12" s="34"/>
      <c r="L12" s="34"/>
      <c r="M12" s="34"/>
      <c r="N12" s="34"/>
      <c r="O12" s="34"/>
      <c r="P12" s="34"/>
      <c r="Q12" s="34"/>
      <c r="R12" s="305"/>
      <c r="S12" s="306"/>
    </row>
    <row r="13" spans="1:19">
      <c r="A13" s="66" t="str">
        <f>'1. 소켓인수검사'!A12</f>
        <v>04</v>
      </c>
      <c r="B13" s="44">
        <f>'1. 소켓인수검사'!C12</f>
        <v>300</v>
      </c>
      <c r="C13" s="44">
        <f>'1. 소켓인수검사'!D12</f>
        <v>300</v>
      </c>
      <c r="D13" s="67" t="s">
        <v>19</v>
      </c>
      <c r="E13" s="85">
        <f t="shared" si="0"/>
        <v>0.09</v>
      </c>
      <c r="F13" s="85">
        <f t="shared" si="1"/>
        <v>1.2</v>
      </c>
      <c r="G13" s="34">
        <f t="shared" si="2"/>
        <v>1.6</v>
      </c>
      <c r="H13" s="34">
        <v>4</v>
      </c>
      <c r="I13" s="86">
        <f t="shared" si="3"/>
        <v>6.4</v>
      </c>
      <c r="J13" s="34"/>
      <c r="K13" s="34"/>
      <c r="L13" s="34"/>
      <c r="M13" s="34"/>
      <c r="N13" s="34"/>
      <c r="O13" s="34"/>
      <c r="P13" s="34"/>
      <c r="Q13" s="34"/>
      <c r="R13" s="305"/>
      <c r="S13" s="306"/>
    </row>
    <row r="14" spans="1:19">
      <c r="A14" s="66" t="str">
        <f>'1. 소켓인수검사'!A13</f>
        <v>05</v>
      </c>
      <c r="B14" s="44">
        <f>'1. 소켓인수검사'!C13</f>
        <v>300</v>
      </c>
      <c r="C14" s="44">
        <f>'1. 소켓인수검사'!D13</f>
        <v>300</v>
      </c>
      <c r="D14" s="67" t="s">
        <v>19</v>
      </c>
      <c r="E14" s="85">
        <f t="shared" si="0"/>
        <v>0.09</v>
      </c>
      <c r="F14" s="85">
        <f t="shared" si="1"/>
        <v>1.2</v>
      </c>
      <c r="G14" s="34">
        <f t="shared" si="2"/>
        <v>1.6</v>
      </c>
      <c r="H14" s="34">
        <v>4</v>
      </c>
      <c r="I14" s="86">
        <f t="shared" si="3"/>
        <v>6.4</v>
      </c>
      <c r="J14" s="34"/>
      <c r="K14" s="34"/>
      <c r="L14" s="34"/>
      <c r="M14" s="34"/>
      <c r="N14" s="34"/>
      <c r="O14" s="34"/>
      <c r="P14" s="34"/>
      <c r="Q14" s="34"/>
      <c r="R14" s="305"/>
      <c r="S14" s="306"/>
    </row>
    <row r="15" spans="1:19">
      <c r="A15" s="66" t="str">
        <f>'1. 소켓인수검사'!A14</f>
        <v>06</v>
      </c>
      <c r="B15" s="44">
        <f>'1. 소켓인수검사'!C14</f>
        <v>350</v>
      </c>
      <c r="C15" s="44">
        <f>'1. 소켓인수검사'!D14</f>
        <v>300</v>
      </c>
      <c r="D15" s="67" t="s">
        <v>19</v>
      </c>
      <c r="E15" s="85">
        <f t="shared" si="0"/>
        <v>0.105</v>
      </c>
      <c r="F15" s="85">
        <f t="shared" si="1"/>
        <v>1.3</v>
      </c>
      <c r="G15" s="34">
        <f t="shared" si="2"/>
        <v>1.7000000000000002</v>
      </c>
      <c r="H15" s="34">
        <v>4</v>
      </c>
      <c r="I15" s="86">
        <f t="shared" si="3"/>
        <v>6.8000000000000007</v>
      </c>
      <c r="J15" s="34"/>
      <c r="K15" s="34"/>
      <c r="L15" s="34"/>
      <c r="M15" s="34"/>
      <c r="N15" s="34"/>
      <c r="O15" s="34"/>
      <c r="P15" s="34"/>
      <c r="Q15" s="34"/>
      <c r="R15" s="305"/>
      <c r="S15" s="306"/>
    </row>
    <row r="16" spans="1:19">
      <c r="A16" s="66" t="str">
        <f>'1. 소켓인수검사'!A15</f>
        <v>07</v>
      </c>
      <c r="B16" s="44">
        <f>'1. 소켓인수검사'!C15</f>
        <v>350</v>
      </c>
      <c r="C16" s="44">
        <f>'1. 소켓인수검사'!D15</f>
        <v>300</v>
      </c>
      <c r="D16" s="67" t="s">
        <v>19</v>
      </c>
      <c r="E16" s="85">
        <f t="shared" si="0"/>
        <v>0.105</v>
      </c>
      <c r="F16" s="85">
        <f t="shared" si="1"/>
        <v>1.3</v>
      </c>
      <c r="G16" s="34">
        <f t="shared" si="2"/>
        <v>1.7000000000000002</v>
      </c>
      <c r="H16" s="34">
        <v>4</v>
      </c>
      <c r="I16" s="86">
        <f t="shared" si="3"/>
        <v>6.8000000000000007</v>
      </c>
      <c r="J16" s="34"/>
      <c r="K16" s="34"/>
      <c r="L16" s="34"/>
      <c r="M16" s="34"/>
      <c r="N16" s="34"/>
      <c r="O16" s="34"/>
      <c r="P16" s="34"/>
      <c r="Q16" s="34"/>
      <c r="R16" s="305"/>
      <c r="S16" s="306"/>
    </row>
    <row r="17" spans="1:19">
      <c r="A17" s="66" t="str">
        <f>'1. 소켓인수검사'!A16</f>
        <v>08</v>
      </c>
      <c r="B17" s="44">
        <f>'1. 소켓인수검사'!C16</f>
        <v>350</v>
      </c>
      <c r="C17" s="44">
        <f>'1. 소켓인수검사'!D16</f>
        <v>350</v>
      </c>
      <c r="D17" s="67" t="s">
        <v>19</v>
      </c>
      <c r="E17" s="85">
        <f t="shared" si="0"/>
        <v>0.1225</v>
      </c>
      <c r="F17" s="85">
        <f t="shared" si="1"/>
        <v>1.4</v>
      </c>
      <c r="G17" s="34">
        <f t="shared" si="2"/>
        <v>1.7999999999999998</v>
      </c>
      <c r="H17" s="34">
        <v>4</v>
      </c>
      <c r="I17" s="86">
        <f t="shared" si="3"/>
        <v>7.1999999999999993</v>
      </c>
      <c r="J17" s="34"/>
      <c r="K17" s="34"/>
      <c r="L17" s="34"/>
      <c r="M17" s="34"/>
      <c r="N17" s="34"/>
      <c r="O17" s="34"/>
      <c r="P17" s="34"/>
      <c r="Q17" s="34"/>
      <c r="R17" s="305"/>
      <c r="S17" s="306"/>
    </row>
    <row r="18" spans="1:19">
      <c r="A18" s="66" t="str">
        <f>'1. 소켓인수검사'!A17</f>
        <v>09</v>
      </c>
      <c r="B18" s="44">
        <f>'1. 소켓인수검사'!C17</f>
        <v>350</v>
      </c>
      <c r="C18" s="44">
        <f>'1. 소켓인수검사'!D17</f>
        <v>350</v>
      </c>
      <c r="D18" s="67" t="s">
        <v>19</v>
      </c>
      <c r="E18" s="85">
        <f t="shared" si="0"/>
        <v>0.1225</v>
      </c>
      <c r="F18" s="85">
        <f t="shared" si="1"/>
        <v>1.4</v>
      </c>
      <c r="G18" s="34">
        <f t="shared" si="2"/>
        <v>1.7999999999999998</v>
      </c>
      <c r="H18" s="34">
        <v>4</v>
      </c>
      <c r="I18" s="86">
        <f t="shared" si="3"/>
        <v>7.1999999999999993</v>
      </c>
      <c r="J18" s="34"/>
      <c r="K18" s="34"/>
      <c r="L18" s="34"/>
      <c r="M18" s="34"/>
      <c r="N18" s="34"/>
      <c r="O18" s="34"/>
      <c r="P18" s="34"/>
      <c r="Q18" s="34"/>
      <c r="R18" s="305"/>
      <c r="S18" s="306"/>
    </row>
    <row r="19" spans="1:19">
      <c r="A19" s="66" t="str">
        <f>'1. 소켓인수검사'!A18</f>
        <v>10</v>
      </c>
      <c r="B19" s="44">
        <f>'1. 소켓인수검사'!C18</f>
        <v>350</v>
      </c>
      <c r="C19" s="44">
        <f>'1. 소켓인수검사'!D18</f>
        <v>350</v>
      </c>
      <c r="D19" s="67" t="s">
        <v>19</v>
      </c>
      <c r="E19" s="85">
        <f t="shared" si="0"/>
        <v>0.1225</v>
      </c>
      <c r="F19" s="85">
        <f t="shared" si="1"/>
        <v>1.4</v>
      </c>
      <c r="G19" s="34">
        <f t="shared" si="2"/>
        <v>1.7999999999999998</v>
      </c>
      <c r="H19" s="34">
        <v>4</v>
      </c>
      <c r="I19" s="86">
        <f t="shared" si="3"/>
        <v>7.1999999999999993</v>
      </c>
      <c r="J19" s="34"/>
      <c r="K19" s="34"/>
      <c r="L19" s="34"/>
      <c r="M19" s="34"/>
      <c r="N19" s="34"/>
      <c r="O19" s="34"/>
      <c r="P19" s="34"/>
      <c r="Q19" s="34"/>
      <c r="R19" s="305"/>
      <c r="S19" s="306"/>
    </row>
    <row r="20" spans="1:19">
      <c r="A20" s="66" t="str">
        <f>'1. 소켓인수검사'!A19</f>
        <v>11</v>
      </c>
      <c r="B20" s="44">
        <f>'1. 소켓인수검사'!C19</f>
        <v>350</v>
      </c>
      <c r="C20" s="44">
        <f>'1. 소켓인수검사'!D19</f>
        <v>350</v>
      </c>
      <c r="D20" s="67" t="s">
        <v>19</v>
      </c>
      <c r="E20" s="85">
        <f t="shared" si="0"/>
        <v>0.1225</v>
      </c>
      <c r="F20" s="85">
        <f t="shared" si="1"/>
        <v>1.4</v>
      </c>
      <c r="G20" s="34">
        <f t="shared" si="2"/>
        <v>1.7999999999999998</v>
      </c>
      <c r="H20" s="34">
        <v>4</v>
      </c>
      <c r="I20" s="86">
        <f t="shared" si="3"/>
        <v>7.1999999999999993</v>
      </c>
      <c r="J20" s="34"/>
      <c r="K20" s="34"/>
      <c r="L20" s="34"/>
      <c r="M20" s="34"/>
      <c r="N20" s="34"/>
      <c r="O20" s="34"/>
      <c r="P20" s="34"/>
      <c r="Q20" s="34"/>
      <c r="R20" s="305"/>
      <c r="S20" s="306"/>
    </row>
    <row r="21" spans="1:19">
      <c r="A21" s="66" t="str">
        <f>'1. 소켓인수검사'!A20</f>
        <v>12</v>
      </c>
      <c r="B21" s="44">
        <f>'1. 소켓인수검사'!C20</f>
        <v>700</v>
      </c>
      <c r="C21" s="44">
        <f>'1. 소켓인수검사'!D20</f>
        <v>450</v>
      </c>
      <c r="D21" s="67" t="s">
        <v>19</v>
      </c>
      <c r="E21" s="85">
        <f t="shared" si="0"/>
        <v>0.315</v>
      </c>
      <c r="F21" s="85">
        <f t="shared" si="1"/>
        <v>2.2999999999999998</v>
      </c>
      <c r="G21" s="34">
        <f t="shared" si="2"/>
        <v>2.6999999999999997</v>
      </c>
      <c r="H21" s="34">
        <v>4</v>
      </c>
      <c r="I21" s="86">
        <f t="shared" si="3"/>
        <v>10.799999999999999</v>
      </c>
      <c r="J21" s="34"/>
      <c r="K21" s="34"/>
      <c r="L21" s="34"/>
      <c r="M21" s="34"/>
      <c r="N21" s="34"/>
      <c r="O21" s="34"/>
      <c r="P21" s="34"/>
      <c r="Q21" s="34"/>
      <c r="R21" s="305"/>
      <c r="S21" s="306"/>
    </row>
    <row r="22" spans="1:19">
      <c r="A22" s="66" t="str">
        <f>'1. 소켓인수검사'!A21</f>
        <v>13</v>
      </c>
      <c r="B22" s="44">
        <f>'1. 소켓인수검사'!C21</f>
        <v>700</v>
      </c>
      <c r="C22" s="44">
        <f>'1. 소켓인수검사'!D21</f>
        <v>450</v>
      </c>
      <c r="D22" s="67" t="s">
        <v>19</v>
      </c>
      <c r="E22" s="85">
        <f t="shared" si="0"/>
        <v>0.315</v>
      </c>
      <c r="F22" s="85">
        <f t="shared" si="1"/>
        <v>2.2999999999999998</v>
      </c>
      <c r="G22" s="34">
        <f t="shared" si="2"/>
        <v>2.6999999999999997</v>
      </c>
      <c r="H22" s="34">
        <v>4</v>
      </c>
      <c r="I22" s="86">
        <f t="shared" si="3"/>
        <v>10.799999999999999</v>
      </c>
      <c r="J22" s="34"/>
      <c r="K22" s="34"/>
      <c r="L22" s="34"/>
      <c r="M22" s="34"/>
      <c r="N22" s="34"/>
      <c r="O22" s="34"/>
      <c r="P22" s="34"/>
      <c r="Q22" s="34"/>
      <c r="R22" s="305"/>
      <c r="S22" s="306"/>
    </row>
    <row r="23" spans="1:19">
      <c r="A23" s="66" t="str">
        <f>'1. 소켓인수검사'!A22</f>
        <v>14</v>
      </c>
      <c r="B23" s="44">
        <f>'1. 소켓인수검사'!C22</f>
        <v>850</v>
      </c>
      <c r="C23" s="44">
        <f>'1. 소켓인수검사'!D22</f>
        <v>500</v>
      </c>
      <c r="D23" s="67" t="s">
        <v>19</v>
      </c>
      <c r="E23" s="85">
        <f t="shared" si="0"/>
        <v>0.42499999999999999</v>
      </c>
      <c r="F23" s="85">
        <f t="shared" si="1"/>
        <v>2.7</v>
      </c>
      <c r="G23" s="34">
        <f t="shared" si="2"/>
        <v>3.1</v>
      </c>
      <c r="H23" s="34">
        <f>2*2</f>
        <v>4</v>
      </c>
      <c r="I23" s="86">
        <f>G23*H23</f>
        <v>12.4</v>
      </c>
      <c r="J23" s="34"/>
      <c r="K23" s="34"/>
      <c r="L23" s="34"/>
      <c r="M23" s="34"/>
      <c r="N23" s="34"/>
      <c r="O23" s="34"/>
      <c r="P23" s="34"/>
      <c r="Q23" s="34"/>
      <c r="R23" s="305"/>
      <c r="S23" s="306"/>
    </row>
    <row r="24" spans="1:19">
      <c r="A24" s="66" t="str">
        <f>'1. 소켓인수검사'!A23</f>
        <v>15</v>
      </c>
      <c r="B24" s="44">
        <f>'1. 소켓인수검사'!C23</f>
        <v>900</v>
      </c>
      <c r="C24" s="44">
        <f>'1. 소켓인수검사'!D23</f>
        <v>500</v>
      </c>
      <c r="D24" s="67" t="s">
        <v>19</v>
      </c>
      <c r="E24" s="85">
        <f t="shared" si="0"/>
        <v>0.45</v>
      </c>
      <c r="F24" s="85">
        <f t="shared" si="1"/>
        <v>2.8</v>
      </c>
      <c r="G24" s="34">
        <f t="shared" si="2"/>
        <v>3.1999999999999997</v>
      </c>
      <c r="H24" s="34">
        <f t="shared" ref="H24" si="4">2*2</f>
        <v>4</v>
      </c>
      <c r="I24" s="86">
        <f t="shared" ref="I24" si="5">G24*H24</f>
        <v>12.799999999999999</v>
      </c>
      <c r="J24" s="34"/>
      <c r="K24" s="34"/>
      <c r="L24" s="34"/>
      <c r="M24" s="34"/>
      <c r="N24" s="34"/>
      <c r="O24" s="34"/>
      <c r="P24" s="34"/>
      <c r="Q24" s="34"/>
      <c r="R24" s="305"/>
      <c r="S24" s="306"/>
    </row>
    <row r="25" spans="1:19">
      <c r="A25" s="66" t="str">
        <f>'1. 소켓인수검사'!A24</f>
        <v>16</v>
      </c>
      <c r="B25" s="44">
        <f>'1. 소켓인수검사'!C24</f>
        <v>1000</v>
      </c>
      <c r="C25" s="44">
        <f>'1. 소켓인수검사'!D24</f>
        <v>500</v>
      </c>
      <c r="D25" s="71" t="s">
        <v>6</v>
      </c>
      <c r="E25" s="85">
        <f t="shared" ref="E25" si="6">B25*C25/1000000</f>
        <v>0.5</v>
      </c>
      <c r="F25" s="85">
        <f t="shared" ref="F25" si="7">(B25+C25)*2/1000</f>
        <v>3</v>
      </c>
      <c r="G25" s="34">
        <f t="shared" ref="G25" si="8">(F25+0.4)</f>
        <v>3.4</v>
      </c>
      <c r="H25" s="44">
        <v>2</v>
      </c>
      <c r="I25" s="86">
        <f t="shared" ref="I25" si="9">G25*H25</f>
        <v>6.8</v>
      </c>
      <c r="J25" s="34">
        <f t="shared" ref="J25" si="10">(F25+0.5)</f>
        <v>3.5</v>
      </c>
      <c r="K25" s="44">
        <v>2</v>
      </c>
      <c r="L25" s="34">
        <f>K25*J25</f>
        <v>7</v>
      </c>
      <c r="M25" s="34"/>
      <c r="N25" s="44"/>
      <c r="O25" s="34"/>
      <c r="P25" s="34"/>
      <c r="Q25" s="34"/>
      <c r="R25" s="305"/>
      <c r="S25" s="306"/>
    </row>
    <row r="26" spans="1:19">
      <c r="A26" s="66" t="str">
        <f>'1. 소켓인수검사'!A25</f>
        <v>17</v>
      </c>
      <c r="B26" s="44">
        <f>'1. 소켓인수검사'!C25</f>
        <v>1700</v>
      </c>
      <c r="C26" s="44">
        <f>'1. 소켓인수검사'!D25</f>
        <v>1300</v>
      </c>
      <c r="D26" s="72" t="s">
        <v>54</v>
      </c>
      <c r="E26" s="85">
        <f t="shared" ref="E26:E30" si="11">B26*C26/1000000</f>
        <v>2.21</v>
      </c>
      <c r="F26" s="85">
        <f t="shared" ref="F26:F30" si="12">(B26+C26)*2/1000</f>
        <v>6</v>
      </c>
      <c r="G26" s="34">
        <f t="shared" ref="G26:G30" si="13">(F26+0.4)</f>
        <v>6.4</v>
      </c>
      <c r="H26" s="44">
        <v>2</v>
      </c>
      <c r="I26" s="34">
        <f>G26*H26</f>
        <v>12.8</v>
      </c>
      <c r="J26" s="34"/>
      <c r="K26" s="34"/>
      <c r="L26" s="34"/>
      <c r="M26" s="34"/>
      <c r="N26" s="34"/>
      <c r="O26" s="34"/>
      <c r="P26" s="34">
        <f t="shared" ref="P26:P30" si="14">F26+0.5</f>
        <v>6.5</v>
      </c>
      <c r="Q26" s="34">
        <v>2</v>
      </c>
      <c r="R26" s="305">
        <f>P26*Q26</f>
        <v>13</v>
      </c>
      <c r="S26" s="306"/>
    </row>
    <row r="27" spans="1:19">
      <c r="A27" s="66" t="str">
        <f>'1. 소켓인수검사'!A26</f>
        <v>18</v>
      </c>
      <c r="B27" s="44">
        <f>'1. 소켓인수검사'!C26</f>
        <v>1900</v>
      </c>
      <c r="C27" s="44">
        <f>'1. 소켓인수검사'!D26</f>
        <v>400</v>
      </c>
      <c r="D27" s="72" t="s">
        <v>54</v>
      </c>
      <c r="E27" s="85">
        <f t="shared" si="11"/>
        <v>0.76</v>
      </c>
      <c r="F27" s="85">
        <f t="shared" si="12"/>
        <v>4.5999999999999996</v>
      </c>
      <c r="G27" s="34">
        <f t="shared" si="13"/>
        <v>5</v>
      </c>
      <c r="H27" s="44">
        <v>2</v>
      </c>
      <c r="I27" s="34">
        <f>G27*H27</f>
        <v>10</v>
      </c>
      <c r="J27" s="34"/>
      <c r="K27" s="34"/>
      <c r="L27" s="34"/>
      <c r="M27" s="34"/>
      <c r="N27" s="34"/>
      <c r="O27" s="34"/>
      <c r="P27" s="34">
        <f t="shared" si="14"/>
        <v>5.0999999999999996</v>
      </c>
      <c r="Q27" s="34">
        <v>2</v>
      </c>
      <c r="R27" s="305">
        <f t="shared" ref="R27:R30" si="15">P27*Q27</f>
        <v>10.199999999999999</v>
      </c>
      <c r="S27" s="306"/>
    </row>
    <row r="28" spans="1:19">
      <c r="A28" s="66" t="str">
        <f>'1. 소켓인수검사'!A27</f>
        <v>19</v>
      </c>
      <c r="B28" s="44">
        <f>'1. 소켓인수검사'!C27</f>
        <v>1900</v>
      </c>
      <c r="C28" s="44">
        <f>'1. 소켓인수검사'!D27</f>
        <v>400</v>
      </c>
      <c r="D28" s="72" t="s">
        <v>54</v>
      </c>
      <c r="E28" s="85">
        <f t="shared" si="11"/>
        <v>0.76</v>
      </c>
      <c r="F28" s="85">
        <f t="shared" si="12"/>
        <v>4.5999999999999996</v>
      </c>
      <c r="G28" s="34">
        <f t="shared" si="13"/>
        <v>5</v>
      </c>
      <c r="H28" s="44">
        <v>2</v>
      </c>
      <c r="I28" s="34">
        <f t="shared" ref="I28:I30" si="16">G28*H28</f>
        <v>10</v>
      </c>
      <c r="J28" s="34"/>
      <c r="K28" s="34"/>
      <c r="L28" s="34"/>
      <c r="M28" s="34"/>
      <c r="N28" s="34"/>
      <c r="O28" s="34"/>
      <c r="P28" s="34">
        <f t="shared" si="14"/>
        <v>5.0999999999999996</v>
      </c>
      <c r="Q28" s="34">
        <v>2</v>
      </c>
      <c r="R28" s="305">
        <f t="shared" si="15"/>
        <v>10.199999999999999</v>
      </c>
      <c r="S28" s="306"/>
    </row>
    <row r="29" spans="1:19">
      <c r="A29" s="66" t="str">
        <f>'1. 소켓인수검사'!A28</f>
        <v>20</v>
      </c>
      <c r="B29" s="44">
        <f>'1. 소켓인수검사'!C28</f>
        <v>1950</v>
      </c>
      <c r="C29" s="44">
        <f>'1. 소켓인수검사'!D28</f>
        <v>800</v>
      </c>
      <c r="D29" s="72" t="s">
        <v>54</v>
      </c>
      <c r="E29" s="85">
        <f t="shared" si="11"/>
        <v>1.56</v>
      </c>
      <c r="F29" s="85">
        <f t="shared" si="12"/>
        <v>5.5</v>
      </c>
      <c r="G29" s="34">
        <f t="shared" si="13"/>
        <v>5.9</v>
      </c>
      <c r="H29" s="44">
        <v>2</v>
      </c>
      <c r="I29" s="34">
        <f t="shared" si="16"/>
        <v>11.8</v>
      </c>
      <c r="J29" s="34"/>
      <c r="K29" s="34"/>
      <c r="L29" s="34"/>
      <c r="M29" s="34"/>
      <c r="N29" s="34"/>
      <c r="O29" s="34"/>
      <c r="P29" s="34">
        <f t="shared" si="14"/>
        <v>6</v>
      </c>
      <c r="Q29" s="34">
        <v>2</v>
      </c>
      <c r="R29" s="305">
        <f t="shared" si="15"/>
        <v>12</v>
      </c>
      <c r="S29" s="306"/>
    </row>
    <row r="30" spans="1:19">
      <c r="A30" s="66" t="str">
        <f>'1. 소켓인수검사'!A29</f>
        <v>21</v>
      </c>
      <c r="B30" s="44">
        <f>'1. 소켓인수검사'!C29</f>
        <v>3150</v>
      </c>
      <c r="C30" s="44">
        <f>'1. 소켓인수검사'!D29</f>
        <v>500</v>
      </c>
      <c r="D30" s="72" t="s">
        <v>54</v>
      </c>
      <c r="E30" s="85">
        <f t="shared" si="11"/>
        <v>1.575</v>
      </c>
      <c r="F30" s="85">
        <f t="shared" si="12"/>
        <v>7.3</v>
      </c>
      <c r="G30" s="34">
        <f t="shared" si="13"/>
        <v>7.7</v>
      </c>
      <c r="H30" s="44">
        <v>2</v>
      </c>
      <c r="I30" s="34">
        <f t="shared" si="16"/>
        <v>15.4</v>
      </c>
      <c r="J30" s="34"/>
      <c r="K30" s="34"/>
      <c r="L30" s="34"/>
      <c r="M30" s="34"/>
      <c r="N30" s="34"/>
      <c r="O30" s="34"/>
      <c r="P30" s="34">
        <f t="shared" si="14"/>
        <v>7.8</v>
      </c>
      <c r="Q30" s="34">
        <v>2</v>
      </c>
      <c r="R30" s="305">
        <f t="shared" si="15"/>
        <v>15.6</v>
      </c>
      <c r="S30" s="306"/>
    </row>
    <row r="31" spans="1:19">
      <c r="A31" s="307" t="s">
        <v>3</v>
      </c>
      <c r="B31" s="308"/>
      <c r="C31" s="308"/>
      <c r="D31" s="308"/>
      <c r="E31" s="308"/>
      <c r="F31" s="309"/>
      <c r="G31" s="42"/>
      <c r="H31" s="57"/>
      <c r="I31" s="94">
        <f>SUM(I10:I30)</f>
        <v>188.00000000000003</v>
      </c>
      <c r="J31" s="42"/>
      <c r="K31" s="42"/>
      <c r="L31" s="94">
        <f>SUM(L10:L30)</f>
        <v>7</v>
      </c>
      <c r="M31" s="42"/>
      <c r="N31" s="42"/>
      <c r="O31" s="94">
        <f>SUM(O10:O30)</f>
        <v>0</v>
      </c>
      <c r="P31" s="42"/>
      <c r="Q31" s="42"/>
      <c r="R31" s="310">
        <f>SUM(R10:S30)</f>
        <v>61</v>
      </c>
      <c r="S31" s="311"/>
    </row>
    <row r="32" spans="1:19" ht="17.25" customHeight="1">
      <c r="A32" s="314" t="s">
        <v>16</v>
      </c>
      <c r="B32" s="315"/>
      <c r="C32" s="315"/>
      <c r="D32" s="315"/>
      <c r="E32" s="315"/>
      <c r="F32" s="316"/>
      <c r="G32" s="317">
        <f>I31/20</f>
        <v>9.4000000000000021</v>
      </c>
      <c r="H32" s="318"/>
      <c r="I32" s="318"/>
      <c r="J32" s="318"/>
      <c r="K32" s="318"/>
      <c r="L32" s="318"/>
      <c r="M32" s="318"/>
      <c r="N32" s="318"/>
      <c r="O32" s="318"/>
      <c r="P32" s="318"/>
      <c r="Q32" s="318"/>
      <c r="R32" s="318"/>
      <c r="S32" s="319"/>
    </row>
    <row r="33" spans="1:19">
      <c r="A33" s="314" t="s">
        <v>15</v>
      </c>
      <c r="B33" s="315"/>
      <c r="C33" s="315"/>
      <c r="D33" s="315"/>
      <c r="E33" s="315"/>
      <c r="F33" s="316"/>
      <c r="G33" s="317">
        <f>L31/3.6</f>
        <v>1.9444444444444444</v>
      </c>
      <c r="H33" s="318"/>
      <c r="I33" s="318"/>
      <c r="J33" s="318"/>
      <c r="K33" s="318"/>
      <c r="L33" s="318"/>
      <c r="M33" s="318"/>
      <c r="N33" s="318"/>
      <c r="O33" s="318"/>
      <c r="P33" s="318"/>
      <c r="Q33" s="318"/>
      <c r="R33" s="318"/>
      <c r="S33" s="319"/>
    </row>
    <row r="34" spans="1:19">
      <c r="A34" s="320" t="s">
        <v>83</v>
      </c>
      <c r="B34" s="315"/>
      <c r="C34" s="315"/>
      <c r="D34" s="315"/>
      <c r="E34" s="315"/>
      <c r="F34" s="316"/>
      <c r="G34" s="317">
        <f>O31/7.4</f>
        <v>0</v>
      </c>
      <c r="H34" s="318"/>
      <c r="I34" s="318"/>
      <c r="J34" s="318"/>
      <c r="K34" s="318"/>
      <c r="L34" s="318"/>
      <c r="M34" s="318"/>
      <c r="N34" s="318"/>
      <c r="O34" s="318"/>
      <c r="P34" s="318"/>
      <c r="Q34" s="318"/>
      <c r="R34" s="318"/>
      <c r="S34" s="319"/>
    </row>
    <row r="35" spans="1:19">
      <c r="A35" s="314" t="s">
        <v>17</v>
      </c>
      <c r="B35" s="315"/>
      <c r="C35" s="315"/>
      <c r="D35" s="315"/>
      <c r="E35" s="315"/>
      <c r="F35" s="316"/>
      <c r="G35" s="317">
        <f>R31/3.6</f>
        <v>16.944444444444443</v>
      </c>
      <c r="H35" s="318"/>
      <c r="I35" s="318"/>
      <c r="J35" s="318"/>
      <c r="K35" s="318"/>
      <c r="L35" s="318"/>
      <c r="M35" s="318"/>
      <c r="N35" s="318"/>
      <c r="O35" s="318"/>
      <c r="P35" s="318"/>
      <c r="Q35" s="318"/>
      <c r="R35" s="318"/>
      <c r="S35" s="319"/>
    </row>
    <row r="36" spans="1:19" ht="8.1" customHeight="1">
      <c r="A36" s="200"/>
      <c r="B36" s="200"/>
      <c r="C36" s="200"/>
      <c r="D36" s="200"/>
      <c r="E36" s="200"/>
      <c r="F36" s="200"/>
      <c r="G36" s="200"/>
      <c r="H36" s="200"/>
      <c r="I36" s="200"/>
      <c r="J36" s="200"/>
      <c r="K36" s="200"/>
      <c r="L36" s="200"/>
      <c r="M36" s="200"/>
      <c r="N36" s="200"/>
      <c r="O36" s="200"/>
      <c r="P36" s="200"/>
      <c r="Q36" s="200"/>
      <c r="R36" s="200"/>
      <c r="S36" s="200"/>
    </row>
    <row r="37" spans="1:19">
      <c r="A37" s="158" t="s">
        <v>53</v>
      </c>
      <c r="B37" s="158"/>
      <c r="C37" s="312"/>
      <c r="D37" s="313"/>
      <c r="E37" s="313"/>
      <c r="F37" s="313"/>
      <c r="G37" s="313"/>
      <c r="H37" s="313"/>
      <c r="I37" s="313"/>
      <c r="J37" s="313"/>
      <c r="K37" s="313"/>
      <c r="L37" s="313"/>
      <c r="M37" s="313"/>
      <c r="N37" s="313"/>
      <c r="O37" s="313"/>
      <c r="P37" s="313"/>
      <c r="Q37" s="313"/>
      <c r="R37" s="313"/>
      <c r="S37" s="313"/>
    </row>
    <row r="38" spans="1:19">
      <c r="A38" s="158"/>
      <c r="B38" s="158"/>
      <c r="C38" s="313"/>
      <c r="D38" s="313"/>
      <c r="E38" s="313"/>
      <c r="F38" s="313"/>
      <c r="G38" s="313"/>
      <c r="H38" s="313"/>
      <c r="I38" s="313"/>
      <c r="J38" s="313"/>
      <c r="K38" s="313"/>
      <c r="L38" s="313"/>
      <c r="M38" s="313"/>
      <c r="N38" s="313"/>
      <c r="O38" s="313"/>
      <c r="P38" s="313"/>
      <c r="Q38" s="313"/>
      <c r="R38" s="313"/>
      <c r="S38" s="313"/>
    </row>
    <row r="39" spans="1:19">
      <c r="A39" s="158"/>
      <c r="B39" s="158"/>
      <c r="C39" s="313"/>
      <c r="D39" s="313"/>
      <c r="E39" s="313"/>
      <c r="F39" s="313"/>
      <c r="G39" s="313"/>
      <c r="H39" s="313"/>
      <c r="I39" s="313"/>
      <c r="J39" s="313"/>
      <c r="K39" s="313"/>
      <c r="L39" s="313"/>
      <c r="M39" s="313"/>
      <c r="N39" s="313"/>
      <c r="O39" s="313"/>
      <c r="P39" s="313"/>
      <c r="Q39" s="313"/>
      <c r="R39" s="313"/>
      <c r="S39" s="313"/>
    </row>
    <row r="40" spans="1:19">
      <c r="A40" s="158"/>
      <c r="B40" s="158"/>
      <c r="C40" s="313"/>
      <c r="D40" s="313"/>
      <c r="E40" s="313"/>
      <c r="F40" s="313"/>
      <c r="G40" s="313"/>
      <c r="H40" s="313"/>
      <c r="I40" s="313"/>
      <c r="J40" s="313"/>
      <c r="K40" s="313"/>
      <c r="L40" s="313"/>
      <c r="M40" s="313"/>
      <c r="N40" s="313"/>
      <c r="O40" s="313"/>
      <c r="P40" s="313"/>
      <c r="Q40" s="313"/>
      <c r="R40" s="313"/>
      <c r="S40" s="313"/>
    </row>
  </sheetData>
  <mergeCells count="60">
    <mergeCell ref="A1:C3"/>
    <mergeCell ref="D1:Q4"/>
    <mergeCell ref="R1:R4"/>
    <mergeCell ref="S2:S4"/>
    <mergeCell ref="A4:B4"/>
    <mergeCell ref="L5:L6"/>
    <mergeCell ref="O5:O6"/>
    <mergeCell ref="P5:S6"/>
    <mergeCell ref="E6:F6"/>
    <mergeCell ref="A7:S7"/>
    <mergeCell ref="A5:B6"/>
    <mergeCell ref="C5:C6"/>
    <mergeCell ref="E5:F5"/>
    <mergeCell ref="G5:G6"/>
    <mergeCell ref="H5:K6"/>
    <mergeCell ref="A8:A9"/>
    <mergeCell ref="B8:B9"/>
    <mergeCell ref="C8:C9"/>
    <mergeCell ref="D8:D9"/>
    <mergeCell ref="E8:E9"/>
    <mergeCell ref="F8:F9"/>
    <mergeCell ref="G8:I8"/>
    <mergeCell ref="J8:L8"/>
    <mergeCell ref="M8:O8"/>
    <mergeCell ref="P8:S8"/>
    <mergeCell ref="R9:S9"/>
    <mergeCell ref="R10:S10"/>
    <mergeCell ref="R11:S11"/>
    <mergeCell ref="R12:S12"/>
    <mergeCell ref="R13:S13"/>
    <mergeCell ref="R14:S14"/>
    <mergeCell ref="R15:S15"/>
    <mergeCell ref="R16:S16"/>
    <mergeCell ref="R17:S17"/>
    <mergeCell ref="R18:S18"/>
    <mergeCell ref="R19:S19"/>
    <mergeCell ref="R20:S20"/>
    <mergeCell ref="R21:S21"/>
    <mergeCell ref="R22:S22"/>
    <mergeCell ref="R23:S23"/>
    <mergeCell ref="R24:S24"/>
    <mergeCell ref="R25:S25"/>
    <mergeCell ref="R26:S26"/>
    <mergeCell ref="R27:S27"/>
    <mergeCell ref="R28:S28"/>
    <mergeCell ref="R29:S29"/>
    <mergeCell ref="R30:S30"/>
    <mergeCell ref="A31:F31"/>
    <mergeCell ref="R31:S31"/>
    <mergeCell ref="A37:B40"/>
    <mergeCell ref="C37:S40"/>
    <mergeCell ref="A32:F32"/>
    <mergeCell ref="G32:S32"/>
    <mergeCell ref="A33:F33"/>
    <mergeCell ref="G33:S33"/>
    <mergeCell ref="A34:F34"/>
    <mergeCell ref="G34:S34"/>
    <mergeCell ref="A35:F35"/>
    <mergeCell ref="G35:S35"/>
    <mergeCell ref="A36:S36"/>
  </mergeCells>
  <phoneticPr fontId="32" type="noConversion"/>
  <pageMargins left="0.23597222566604614" right="0.23597222566604614" top="0.74750000238418579" bottom="0.35430556535720825" header="0.31486111879348755" footer="0.31486111879348755"/>
  <pageSetup paperSize="9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4"/>
  <dimension ref="A1:U32"/>
  <sheetViews>
    <sheetView tabSelected="1" zoomScale="85" zoomScaleNormal="85" zoomScaleSheetLayoutView="85" workbookViewId="0">
      <pane xSplit="4" ySplit="6" topLeftCell="E7" activePane="bottomRight" state="frozen"/>
      <selection pane="topRight"/>
      <selection pane="bottomLeft"/>
      <selection pane="bottomRight" activeCell="K38" sqref="K38"/>
    </sheetView>
  </sheetViews>
  <sheetFormatPr defaultColWidth="9" defaultRowHeight="16.5"/>
  <cols>
    <col min="1" max="1" width="4.125" bestFit="1" customWidth="1"/>
    <col min="2" max="2" width="6" hidden="1" customWidth="1"/>
    <col min="3" max="4" width="7.25" customWidth="1"/>
    <col min="5" max="5" width="13.875" hidden="1" customWidth="1"/>
    <col min="6" max="6" width="6.125" customWidth="1"/>
    <col min="7" max="7" width="6" customWidth="1"/>
    <col min="8" max="8" width="5" customWidth="1"/>
    <col min="9" max="9" width="4.875" customWidth="1"/>
    <col min="10" max="10" width="5.25" customWidth="1"/>
    <col min="11" max="11" width="4.875" customWidth="1"/>
    <col min="12" max="12" width="5.125" customWidth="1"/>
    <col min="13" max="13" width="4.875" customWidth="1"/>
    <col min="14" max="14" width="5.125" customWidth="1"/>
    <col min="15" max="15" width="4.875" customWidth="1"/>
    <col min="16" max="16" width="5.25" customWidth="1"/>
    <col min="17" max="17" width="6" customWidth="1"/>
    <col min="18" max="18" width="5.25" customWidth="1"/>
    <col min="19" max="19" width="17.875" customWidth="1"/>
    <col min="20" max="20" width="19.25" customWidth="1"/>
    <col min="21" max="21" width="14.75" customWidth="1"/>
  </cols>
  <sheetData>
    <row r="1" spans="1:21" ht="16.5" customHeight="1">
      <c r="A1" s="158"/>
      <c r="B1" s="158"/>
      <c r="C1" s="158"/>
      <c r="D1" s="158"/>
      <c r="E1" s="114" t="s">
        <v>9</v>
      </c>
      <c r="F1" s="348" t="s">
        <v>80</v>
      </c>
      <c r="G1" s="348"/>
      <c r="H1" s="348"/>
      <c r="I1" s="348"/>
      <c r="J1" s="348"/>
      <c r="K1" s="239" t="str">
        <f>'1. 소켓인수검사'!R2</f>
        <v>26.06.01 엘티_신동양기업_코오롱글로벌_대한항공 운북 신 엔진정비공장 건립공사</v>
      </c>
      <c r="L1" s="239"/>
      <c r="M1" s="239"/>
      <c r="N1" s="239"/>
      <c r="O1" s="239"/>
      <c r="P1" s="239"/>
      <c r="Q1" s="239"/>
      <c r="R1" s="239"/>
      <c r="S1" s="239"/>
      <c r="T1" s="239"/>
      <c r="U1" s="240"/>
    </row>
    <row r="2" spans="1:21" ht="16.5" customHeight="1">
      <c r="A2" s="158"/>
      <c r="B2" s="158"/>
      <c r="C2" s="158"/>
      <c r="D2" s="158"/>
      <c r="E2" s="113"/>
      <c r="F2" s="349"/>
      <c r="G2" s="349"/>
      <c r="H2" s="349"/>
      <c r="I2" s="349"/>
      <c r="J2" s="349"/>
      <c r="K2" s="241"/>
      <c r="L2" s="241"/>
      <c r="M2" s="241"/>
      <c r="N2" s="241"/>
      <c r="O2" s="241"/>
      <c r="P2" s="241"/>
      <c r="Q2" s="241"/>
      <c r="R2" s="241"/>
      <c r="S2" s="241"/>
      <c r="T2" s="241"/>
      <c r="U2" s="242"/>
    </row>
    <row r="3" spans="1:21" ht="24" customHeight="1">
      <c r="A3" s="158"/>
      <c r="B3" s="158"/>
      <c r="C3" s="158"/>
      <c r="D3" s="158"/>
      <c r="E3" s="115"/>
      <c r="F3" s="350"/>
      <c r="G3" s="350"/>
      <c r="H3" s="350"/>
      <c r="I3" s="350"/>
      <c r="J3" s="350"/>
      <c r="K3" s="243"/>
      <c r="L3" s="243"/>
      <c r="M3" s="243"/>
      <c r="N3" s="243"/>
      <c r="O3" s="243"/>
      <c r="P3" s="243"/>
      <c r="Q3" s="243"/>
      <c r="R3" s="243"/>
      <c r="S3" s="243"/>
      <c r="T3" s="243"/>
      <c r="U3" s="244"/>
    </row>
    <row r="4" spans="1:21" ht="8.1" customHeight="1">
      <c r="A4" s="205"/>
      <c r="B4" s="206"/>
      <c r="C4" s="206"/>
      <c r="D4" s="206"/>
      <c r="E4" s="206"/>
      <c r="F4" s="206"/>
      <c r="G4" s="206"/>
      <c r="H4" s="205"/>
      <c r="I4" s="206"/>
      <c r="J4" s="206"/>
      <c r="K4" s="206"/>
      <c r="L4" s="206"/>
      <c r="M4" s="206"/>
      <c r="N4" s="206"/>
      <c r="O4" s="206"/>
      <c r="P4" s="206"/>
      <c r="Q4" s="3"/>
      <c r="S4" s="3"/>
      <c r="T4" s="3"/>
      <c r="U4" s="3"/>
    </row>
    <row r="5" spans="1:21" ht="16.5" customHeight="1">
      <c r="A5" s="172" t="s">
        <v>64</v>
      </c>
      <c r="B5" s="351" t="s">
        <v>41</v>
      </c>
      <c r="C5" s="321" t="s">
        <v>71</v>
      </c>
      <c r="D5" s="321" t="s">
        <v>69</v>
      </c>
      <c r="E5" s="321" t="s">
        <v>29</v>
      </c>
      <c r="F5" s="321" t="s">
        <v>59</v>
      </c>
      <c r="G5" s="321" t="s">
        <v>66</v>
      </c>
      <c r="H5" s="321" t="s">
        <v>45</v>
      </c>
      <c r="I5" s="321" t="s">
        <v>28</v>
      </c>
      <c r="J5" s="321"/>
      <c r="K5" s="321" t="s">
        <v>0</v>
      </c>
      <c r="L5" s="321"/>
      <c r="M5" s="321" t="s">
        <v>0</v>
      </c>
      <c r="N5" s="321"/>
      <c r="O5" s="321" t="s">
        <v>0</v>
      </c>
      <c r="P5" s="321"/>
      <c r="Q5" s="341" t="s">
        <v>58</v>
      </c>
      <c r="R5" s="341"/>
      <c r="S5" s="342" t="s">
        <v>35</v>
      </c>
      <c r="T5" s="342" t="s">
        <v>63</v>
      </c>
      <c r="U5" s="344" t="s">
        <v>22</v>
      </c>
    </row>
    <row r="6" spans="1:21" ht="26.45" customHeight="1">
      <c r="A6" s="325"/>
      <c r="B6" s="352"/>
      <c r="C6" s="322"/>
      <c r="D6" s="322"/>
      <c r="E6" s="322"/>
      <c r="F6" s="322"/>
      <c r="G6" s="322"/>
      <c r="H6" s="322"/>
      <c r="I6" s="90" t="s">
        <v>10</v>
      </c>
      <c r="J6" s="43" t="s">
        <v>62</v>
      </c>
      <c r="K6" s="90" t="s">
        <v>81</v>
      </c>
      <c r="L6" s="43" t="s">
        <v>62</v>
      </c>
      <c r="M6" s="90" t="s">
        <v>40</v>
      </c>
      <c r="N6" s="43" t="s">
        <v>62</v>
      </c>
      <c r="O6" s="90" t="s">
        <v>42</v>
      </c>
      <c r="P6" s="43" t="s">
        <v>62</v>
      </c>
      <c r="Q6" s="90" t="s">
        <v>60</v>
      </c>
      <c r="R6" s="43" t="s">
        <v>72</v>
      </c>
      <c r="S6" s="343"/>
      <c r="T6" s="343"/>
      <c r="U6" s="345"/>
    </row>
    <row r="7" spans="1:21">
      <c r="A7" s="66" t="str">
        <f>'1. 소켓인수검사'!A9</f>
        <v>01</v>
      </c>
      <c r="B7" s="91" t="s">
        <v>47</v>
      </c>
      <c r="C7" s="44">
        <f>'1. 소켓인수검사'!C9</f>
        <v>300</v>
      </c>
      <c r="D7" s="44">
        <f>'1. 소켓인수검사'!D9</f>
        <v>300</v>
      </c>
      <c r="E7" s="45"/>
      <c r="F7" s="46">
        <f>C7*D7/1000000</f>
        <v>0.09</v>
      </c>
      <c r="G7" s="46">
        <f>(C7+D7)*2/1000</f>
        <v>1.2</v>
      </c>
      <c r="H7" s="53">
        <v>1</v>
      </c>
      <c r="I7" s="90">
        <f>(G7+0.4)</f>
        <v>1.6</v>
      </c>
      <c r="J7" s="43">
        <v>4</v>
      </c>
      <c r="K7" s="34"/>
      <c r="L7" s="43"/>
      <c r="M7" s="34"/>
      <c r="N7" s="43"/>
      <c r="O7" s="34"/>
      <c r="P7" s="43"/>
      <c r="Q7" s="47">
        <f>(((C7+60)+250+(D7+60))*2/1000)*2</f>
        <v>3.88</v>
      </c>
      <c r="R7" s="134">
        <f>Q7</f>
        <v>3.88</v>
      </c>
      <c r="S7" s="48" t="s">
        <v>11</v>
      </c>
      <c r="T7" s="49" t="s">
        <v>14</v>
      </c>
      <c r="U7" s="50" t="str">
        <f>'1. 소켓인수검사'!G9</f>
        <v>지하1층 Compressor</v>
      </c>
    </row>
    <row r="8" spans="1:21">
      <c r="A8" s="66" t="str">
        <f>'1. 소켓인수검사'!A10</f>
        <v>02</v>
      </c>
      <c r="B8" s="91" t="s">
        <v>46</v>
      </c>
      <c r="C8" s="44">
        <f>'1. 소켓인수검사'!C10</f>
        <v>300</v>
      </c>
      <c r="D8" s="44">
        <f>'1. 소켓인수검사'!D10</f>
        <v>300</v>
      </c>
      <c r="E8" s="45"/>
      <c r="F8" s="46">
        <f t="shared" ref="F8:F9" si="0">C8*D8/1000000</f>
        <v>0.09</v>
      </c>
      <c r="G8" s="46">
        <f t="shared" ref="G8:G9" si="1">(C8+D8)*2/1000</f>
        <v>1.2</v>
      </c>
      <c r="H8" s="53">
        <v>1</v>
      </c>
      <c r="I8" s="90">
        <f>(G8+0.4)</f>
        <v>1.6</v>
      </c>
      <c r="J8" s="43">
        <v>4</v>
      </c>
      <c r="K8" s="34"/>
      <c r="L8" s="43"/>
      <c r="M8" s="34"/>
      <c r="N8" s="43"/>
      <c r="O8" s="34"/>
      <c r="P8" s="43"/>
      <c r="Q8" s="47">
        <f t="shared" ref="Q8:Q21" si="2">(((C8+60)+250+(D8+60))*2/1000)*2</f>
        <v>3.88</v>
      </c>
      <c r="R8" s="134">
        <f>Q8</f>
        <v>3.88</v>
      </c>
      <c r="S8" s="48" t="s">
        <v>11</v>
      </c>
      <c r="T8" s="49" t="s">
        <v>14</v>
      </c>
      <c r="U8" s="50" t="str">
        <f>'1. 소켓인수검사'!G10</f>
        <v>지하1층 Compressor</v>
      </c>
    </row>
    <row r="9" spans="1:21">
      <c r="A9" s="66" t="str">
        <f>'1. 소켓인수검사'!A11</f>
        <v>03</v>
      </c>
      <c r="B9" s="91" t="s">
        <v>44</v>
      </c>
      <c r="C9" s="44">
        <f>'1. 소켓인수검사'!C11</f>
        <v>300</v>
      </c>
      <c r="D9" s="44">
        <f>'1. 소켓인수검사'!D11</f>
        <v>300</v>
      </c>
      <c r="E9" s="45"/>
      <c r="F9" s="46">
        <f t="shared" si="0"/>
        <v>0.09</v>
      </c>
      <c r="G9" s="46">
        <f t="shared" si="1"/>
        <v>1.2</v>
      </c>
      <c r="H9" s="53">
        <v>1</v>
      </c>
      <c r="I9" s="90">
        <f>(G9+0.4)</f>
        <v>1.6</v>
      </c>
      <c r="J9" s="43">
        <v>4</v>
      </c>
      <c r="K9" s="34"/>
      <c r="L9" s="43"/>
      <c r="M9" s="34"/>
      <c r="N9" s="43"/>
      <c r="O9" s="34"/>
      <c r="P9" s="43"/>
      <c r="Q9" s="47">
        <f t="shared" si="2"/>
        <v>3.88</v>
      </c>
      <c r="R9" s="134">
        <f>Q9</f>
        <v>3.88</v>
      </c>
      <c r="S9" s="48" t="s">
        <v>11</v>
      </c>
      <c r="T9" s="49" t="s">
        <v>14</v>
      </c>
      <c r="U9" s="50" t="str">
        <f>'1. 소켓인수검사'!G11</f>
        <v>폐수관리층</v>
      </c>
    </row>
    <row r="10" spans="1:21">
      <c r="A10" s="66" t="str">
        <f>'1. 소켓인수검사'!A12</f>
        <v>04</v>
      </c>
      <c r="B10" s="91" t="s">
        <v>44</v>
      </c>
      <c r="C10" s="44">
        <f>'1. 소켓인수검사'!C12</f>
        <v>300</v>
      </c>
      <c r="D10" s="44">
        <f>'1. 소켓인수검사'!D12</f>
        <v>300</v>
      </c>
      <c r="E10" s="45"/>
      <c r="F10" s="46">
        <f t="shared" ref="F10:F21" si="3">C10*D10/1000000</f>
        <v>0.09</v>
      </c>
      <c r="G10" s="46">
        <f t="shared" ref="G10:G21" si="4">(C10+D10)*2/1000</f>
        <v>1.2</v>
      </c>
      <c r="H10" s="53">
        <v>1</v>
      </c>
      <c r="I10" s="90">
        <f t="shared" ref="I10:I21" si="5">(G10+0.4)</f>
        <v>1.6</v>
      </c>
      <c r="J10" s="43">
        <v>4</v>
      </c>
      <c r="K10" s="34"/>
      <c r="L10" s="43"/>
      <c r="M10" s="34"/>
      <c r="N10" s="43"/>
      <c r="O10" s="34"/>
      <c r="P10" s="43"/>
      <c r="Q10" s="47">
        <f t="shared" si="2"/>
        <v>3.88</v>
      </c>
      <c r="R10" s="134">
        <f t="shared" ref="R10:R21" si="6">Q10</f>
        <v>3.88</v>
      </c>
      <c r="S10" s="48" t="s">
        <v>11</v>
      </c>
      <c r="T10" s="49" t="s">
        <v>14</v>
      </c>
      <c r="U10" s="50" t="str">
        <f>'1. 소켓인수검사'!G12</f>
        <v>폐수관리층</v>
      </c>
    </row>
    <row r="11" spans="1:21">
      <c r="A11" s="66" t="str">
        <f>'1. 소켓인수검사'!A13</f>
        <v>05</v>
      </c>
      <c r="B11" s="91" t="s">
        <v>44</v>
      </c>
      <c r="C11" s="44">
        <f>'1. 소켓인수검사'!C13</f>
        <v>300</v>
      </c>
      <c r="D11" s="44">
        <f>'1. 소켓인수검사'!D13</f>
        <v>300</v>
      </c>
      <c r="E11" s="45"/>
      <c r="F11" s="46">
        <f t="shared" si="3"/>
        <v>0.09</v>
      </c>
      <c r="G11" s="46">
        <f t="shared" si="4"/>
        <v>1.2</v>
      </c>
      <c r="H11" s="53">
        <v>1</v>
      </c>
      <c r="I11" s="90">
        <f t="shared" si="5"/>
        <v>1.6</v>
      </c>
      <c r="J11" s="43">
        <v>4</v>
      </c>
      <c r="K11" s="34"/>
      <c r="L11" s="43"/>
      <c r="M11" s="34"/>
      <c r="N11" s="43"/>
      <c r="O11" s="34"/>
      <c r="P11" s="43"/>
      <c r="Q11" s="47">
        <f t="shared" si="2"/>
        <v>3.88</v>
      </c>
      <c r="R11" s="134">
        <f t="shared" si="6"/>
        <v>3.88</v>
      </c>
      <c r="S11" s="48" t="s">
        <v>11</v>
      </c>
      <c r="T11" s="49" t="s">
        <v>14</v>
      </c>
      <c r="U11" s="50" t="str">
        <f>'1. 소켓인수검사'!G13</f>
        <v>3층화장실(PS-3)</v>
      </c>
    </row>
    <row r="12" spans="1:21">
      <c r="A12" s="66" t="str">
        <f>'1. 소켓인수검사'!A14</f>
        <v>06</v>
      </c>
      <c r="B12" s="91" t="s">
        <v>44</v>
      </c>
      <c r="C12" s="44">
        <f>'1. 소켓인수검사'!C14</f>
        <v>350</v>
      </c>
      <c r="D12" s="44">
        <f>'1. 소켓인수검사'!D14</f>
        <v>300</v>
      </c>
      <c r="E12" s="45"/>
      <c r="F12" s="46">
        <f t="shared" si="3"/>
        <v>0.105</v>
      </c>
      <c r="G12" s="46">
        <f t="shared" si="4"/>
        <v>1.3</v>
      </c>
      <c r="H12" s="53">
        <v>1</v>
      </c>
      <c r="I12" s="90">
        <f t="shared" si="5"/>
        <v>1.7000000000000002</v>
      </c>
      <c r="J12" s="43">
        <v>4</v>
      </c>
      <c r="K12" s="34"/>
      <c r="L12" s="43"/>
      <c r="M12" s="34"/>
      <c r="N12" s="43"/>
      <c r="O12" s="34"/>
      <c r="P12" s="43"/>
      <c r="Q12" s="47">
        <f t="shared" si="2"/>
        <v>4.08</v>
      </c>
      <c r="R12" s="134">
        <f t="shared" si="6"/>
        <v>4.08</v>
      </c>
      <c r="S12" s="48" t="s">
        <v>11</v>
      </c>
      <c r="T12" s="49" t="s">
        <v>14</v>
      </c>
      <c r="U12" s="50" t="str">
        <f>'1. 소켓인수검사'!G14</f>
        <v>1층화장실(PS-8)</v>
      </c>
    </row>
    <row r="13" spans="1:21">
      <c r="A13" s="66" t="str">
        <f>'1. 소켓인수검사'!A15</f>
        <v>07</v>
      </c>
      <c r="B13" s="91" t="s">
        <v>44</v>
      </c>
      <c r="C13" s="44">
        <f>'1. 소켓인수검사'!C15</f>
        <v>350</v>
      </c>
      <c r="D13" s="44">
        <f>'1. 소켓인수검사'!D15</f>
        <v>300</v>
      </c>
      <c r="E13" s="45"/>
      <c r="F13" s="46">
        <f t="shared" si="3"/>
        <v>0.105</v>
      </c>
      <c r="G13" s="46">
        <f t="shared" si="4"/>
        <v>1.3</v>
      </c>
      <c r="H13" s="53">
        <v>1</v>
      </c>
      <c r="I13" s="90">
        <f t="shared" si="5"/>
        <v>1.7000000000000002</v>
      </c>
      <c r="J13" s="43">
        <v>4</v>
      </c>
      <c r="K13" s="34"/>
      <c r="L13" s="43"/>
      <c r="M13" s="34"/>
      <c r="N13" s="43"/>
      <c r="O13" s="34"/>
      <c r="P13" s="43"/>
      <c r="Q13" s="47">
        <f t="shared" si="2"/>
        <v>4.08</v>
      </c>
      <c r="R13" s="134">
        <f t="shared" si="6"/>
        <v>4.08</v>
      </c>
      <c r="S13" s="48" t="s">
        <v>11</v>
      </c>
      <c r="T13" s="49" t="s">
        <v>14</v>
      </c>
      <c r="U13" s="50" t="str">
        <f>'1. 소켓인수검사'!G15</f>
        <v>2층화장실(PS-4)</v>
      </c>
    </row>
    <row r="14" spans="1:21">
      <c r="A14" s="66" t="str">
        <f>'1. 소켓인수검사'!A16</f>
        <v>08</v>
      </c>
      <c r="B14" s="91" t="s">
        <v>44</v>
      </c>
      <c r="C14" s="44">
        <f>'1. 소켓인수검사'!C16</f>
        <v>350</v>
      </c>
      <c r="D14" s="44">
        <f>'1. 소켓인수검사'!D16</f>
        <v>350</v>
      </c>
      <c r="E14" s="45"/>
      <c r="F14" s="46">
        <f t="shared" si="3"/>
        <v>0.1225</v>
      </c>
      <c r="G14" s="46">
        <f t="shared" si="4"/>
        <v>1.4</v>
      </c>
      <c r="H14" s="53">
        <v>1</v>
      </c>
      <c r="I14" s="90">
        <f t="shared" si="5"/>
        <v>1.7999999999999998</v>
      </c>
      <c r="J14" s="43">
        <v>4</v>
      </c>
      <c r="K14" s="34"/>
      <c r="L14" s="43"/>
      <c r="M14" s="34"/>
      <c r="N14" s="43"/>
      <c r="O14" s="34"/>
      <c r="P14" s="43"/>
      <c r="Q14" s="47">
        <f t="shared" si="2"/>
        <v>4.28</v>
      </c>
      <c r="R14" s="134">
        <f t="shared" si="6"/>
        <v>4.28</v>
      </c>
      <c r="S14" s="48" t="s">
        <v>11</v>
      </c>
      <c r="T14" s="49" t="s">
        <v>14</v>
      </c>
      <c r="U14" s="50" t="str">
        <f>'1. 소켓인수검사'!G16</f>
        <v>지하1층 Compressor</v>
      </c>
    </row>
    <row r="15" spans="1:21">
      <c r="A15" s="66" t="str">
        <f>'1. 소켓인수검사'!A17</f>
        <v>09</v>
      </c>
      <c r="B15" s="91" t="s">
        <v>44</v>
      </c>
      <c r="C15" s="44">
        <f>'1. 소켓인수검사'!C17</f>
        <v>350</v>
      </c>
      <c r="D15" s="44">
        <f>'1. 소켓인수검사'!D17</f>
        <v>350</v>
      </c>
      <c r="E15" s="45"/>
      <c r="F15" s="46">
        <f t="shared" si="3"/>
        <v>0.1225</v>
      </c>
      <c r="G15" s="46">
        <f t="shared" si="4"/>
        <v>1.4</v>
      </c>
      <c r="H15" s="53">
        <v>1</v>
      </c>
      <c r="I15" s="90">
        <f t="shared" si="5"/>
        <v>1.7999999999999998</v>
      </c>
      <c r="J15" s="43">
        <v>4</v>
      </c>
      <c r="K15" s="34"/>
      <c r="L15" s="43"/>
      <c r="M15" s="34"/>
      <c r="N15" s="43"/>
      <c r="O15" s="34"/>
      <c r="P15" s="43"/>
      <c r="Q15" s="47">
        <f t="shared" si="2"/>
        <v>4.28</v>
      </c>
      <c r="R15" s="134">
        <f t="shared" si="6"/>
        <v>4.28</v>
      </c>
      <c r="S15" s="48" t="s">
        <v>11</v>
      </c>
      <c r="T15" s="49" t="s">
        <v>14</v>
      </c>
      <c r="U15" s="50" t="str">
        <f>'1. 소켓인수검사'!G17</f>
        <v>지하1층 Compressor</v>
      </c>
    </row>
    <row r="16" spans="1:21">
      <c r="A16" s="66" t="str">
        <f>'1. 소켓인수검사'!A18</f>
        <v>10</v>
      </c>
      <c r="B16" s="91" t="s">
        <v>44</v>
      </c>
      <c r="C16" s="44">
        <f>'1. 소켓인수검사'!C18</f>
        <v>350</v>
      </c>
      <c r="D16" s="44">
        <f>'1. 소켓인수검사'!D18</f>
        <v>350</v>
      </c>
      <c r="E16" s="45"/>
      <c r="F16" s="46">
        <f t="shared" si="3"/>
        <v>0.1225</v>
      </c>
      <c r="G16" s="46">
        <f t="shared" si="4"/>
        <v>1.4</v>
      </c>
      <c r="H16" s="53">
        <v>1</v>
      </c>
      <c r="I16" s="90">
        <f t="shared" si="5"/>
        <v>1.7999999999999998</v>
      </c>
      <c r="J16" s="43">
        <v>4</v>
      </c>
      <c r="K16" s="34"/>
      <c r="L16" s="43"/>
      <c r="M16" s="34"/>
      <c r="N16" s="43"/>
      <c r="O16" s="34"/>
      <c r="P16" s="43"/>
      <c r="Q16" s="47">
        <f t="shared" si="2"/>
        <v>4.28</v>
      </c>
      <c r="R16" s="134">
        <f t="shared" si="6"/>
        <v>4.28</v>
      </c>
      <c r="S16" s="48" t="s">
        <v>11</v>
      </c>
      <c r="T16" s="49" t="s">
        <v>14</v>
      </c>
      <c r="U16" s="50" t="str">
        <f>'1. 소켓인수검사'!G18</f>
        <v>폐수관리층</v>
      </c>
    </row>
    <row r="17" spans="1:21">
      <c r="A17" s="66" t="str">
        <f>'1. 소켓인수검사'!A19</f>
        <v>11</v>
      </c>
      <c r="B17" s="91" t="s">
        <v>44</v>
      </c>
      <c r="C17" s="44">
        <f>'1. 소켓인수검사'!C19</f>
        <v>350</v>
      </c>
      <c r="D17" s="44">
        <f>'1. 소켓인수검사'!D19</f>
        <v>350</v>
      </c>
      <c r="E17" s="45"/>
      <c r="F17" s="46">
        <f t="shared" si="3"/>
        <v>0.1225</v>
      </c>
      <c r="G17" s="46">
        <f t="shared" si="4"/>
        <v>1.4</v>
      </c>
      <c r="H17" s="53">
        <v>1</v>
      </c>
      <c r="I17" s="90">
        <f t="shared" si="5"/>
        <v>1.7999999999999998</v>
      </c>
      <c r="J17" s="43">
        <v>4</v>
      </c>
      <c r="K17" s="34"/>
      <c r="L17" s="43"/>
      <c r="M17" s="34"/>
      <c r="N17" s="43"/>
      <c r="O17" s="34"/>
      <c r="P17" s="43"/>
      <c r="Q17" s="47">
        <f t="shared" si="2"/>
        <v>4.28</v>
      </c>
      <c r="R17" s="134">
        <f t="shared" si="6"/>
        <v>4.28</v>
      </c>
      <c r="S17" s="48" t="s">
        <v>11</v>
      </c>
      <c r="T17" s="49" t="s">
        <v>14</v>
      </c>
      <c r="U17" s="50" t="str">
        <f>'1. 소켓인수검사'!G19</f>
        <v>폐수관리층</v>
      </c>
    </row>
    <row r="18" spans="1:21">
      <c r="A18" s="66" t="str">
        <f>'1. 소켓인수검사'!A20</f>
        <v>12</v>
      </c>
      <c r="B18" s="91" t="s">
        <v>44</v>
      </c>
      <c r="C18" s="44">
        <f>'1. 소켓인수검사'!C20</f>
        <v>700</v>
      </c>
      <c r="D18" s="44">
        <f>'1. 소켓인수검사'!D20</f>
        <v>450</v>
      </c>
      <c r="E18" s="45"/>
      <c r="F18" s="46">
        <f t="shared" si="3"/>
        <v>0.315</v>
      </c>
      <c r="G18" s="46">
        <f t="shared" si="4"/>
        <v>2.2999999999999998</v>
      </c>
      <c r="H18" s="53">
        <v>1</v>
      </c>
      <c r="I18" s="90">
        <f t="shared" si="5"/>
        <v>2.6999999999999997</v>
      </c>
      <c r="J18" s="43">
        <v>4</v>
      </c>
      <c r="K18" s="34"/>
      <c r="L18" s="43"/>
      <c r="M18" s="34"/>
      <c r="N18" s="43"/>
      <c r="O18" s="34"/>
      <c r="P18" s="43"/>
      <c r="Q18" s="47">
        <f t="shared" si="2"/>
        <v>6.08</v>
      </c>
      <c r="R18" s="134">
        <f t="shared" si="6"/>
        <v>6.08</v>
      </c>
      <c r="S18" s="48" t="s">
        <v>11</v>
      </c>
      <c r="T18" s="49" t="s">
        <v>14</v>
      </c>
      <c r="U18" s="50" t="str">
        <f>'1. 소켓인수검사'!G20</f>
        <v>3층화장실(PS-3)</v>
      </c>
    </row>
    <row r="19" spans="1:21">
      <c r="A19" s="66" t="str">
        <f>'1. 소켓인수검사'!A21</f>
        <v>13</v>
      </c>
      <c r="B19" s="91" t="s">
        <v>44</v>
      </c>
      <c r="C19" s="44">
        <f>'1. 소켓인수검사'!C21</f>
        <v>700</v>
      </c>
      <c r="D19" s="44">
        <f>'1. 소켓인수검사'!D21</f>
        <v>450</v>
      </c>
      <c r="E19" s="45"/>
      <c r="F19" s="46">
        <f t="shared" si="3"/>
        <v>0.315</v>
      </c>
      <c r="G19" s="46">
        <f t="shared" si="4"/>
        <v>2.2999999999999998</v>
      </c>
      <c r="H19" s="53">
        <v>1</v>
      </c>
      <c r="I19" s="90">
        <f t="shared" si="5"/>
        <v>2.6999999999999997</v>
      </c>
      <c r="J19" s="43">
        <v>4</v>
      </c>
      <c r="K19" s="34"/>
      <c r="L19" s="43"/>
      <c r="M19" s="34"/>
      <c r="N19" s="43"/>
      <c r="O19" s="34"/>
      <c r="P19" s="43"/>
      <c r="Q19" s="47">
        <f t="shared" si="2"/>
        <v>6.08</v>
      </c>
      <c r="R19" s="134">
        <f t="shared" si="6"/>
        <v>6.08</v>
      </c>
      <c r="S19" s="48" t="s">
        <v>11</v>
      </c>
      <c r="T19" s="49" t="s">
        <v>14</v>
      </c>
      <c r="U19" s="50" t="str">
        <f>'1. 소켓인수검사'!G21</f>
        <v>3층화장실(PS-3)</v>
      </c>
    </row>
    <row r="20" spans="1:21">
      <c r="A20" s="66" t="str">
        <f>'1. 소켓인수검사'!A22</f>
        <v>14</v>
      </c>
      <c r="B20" s="91" t="s">
        <v>44</v>
      </c>
      <c r="C20" s="44">
        <f>'1. 소켓인수검사'!C22</f>
        <v>850</v>
      </c>
      <c r="D20" s="44">
        <f>'1. 소켓인수검사'!D22</f>
        <v>500</v>
      </c>
      <c r="E20" s="45"/>
      <c r="F20" s="46">
        <f t="shared" si="3"/>
        <v>0.42499999999999999</v>
      </c>
      <c r="G20" s="46">
        <f t="shared" si="4"/>
        <v>2.7</v>
      </c>
      <c r="H20" s="53">
        <v>1</v>
      </c>
      <c r="I20" s="90">
        <f t="shared" si="5"/>
        <v>3.1</v>
      </c>
      <c r="J20" s="43">
        <v>4</v>
      </c>
      <c r="K20" s="34"/>
      <c r="L20" s="43"/>
      <c r="M20" s="34"/>
      <c r="N20" s="43"/>
      <c r="O20" s="34"/>
      <c r="P20" s="43"/>
      <c r="Q20" s="47">
        <f t="shared" si="2"/>
        <v>6.88</v>
      </c>
      <c r="R20" s="134">
        <f t="shared" si="6"/>
        <v>6.88</v>
      </c>
      <c r="S20" s="48" t="s">
        <v>11</v>
      </c>
      <c r="T20" s="49" t="s">
        <v>14</v>
      </c>
      <c r="U20" s="50" t="str">
        <f>'1. 소켓인수검사'!G22</f>
        <v>저수조실(SF-02)</v>
      </c>
    </row>
    <row r="21" spans="1:21">
      <c r="A21" s="66" t="str">
        <f>'1. 소켓인수검사'!A23</f>
        <v>15</v>
      </c>
      <c r="B21" s="91" t="s">
        <v>44</v>
      </c>
      <c r="C21" s="44">
        <f>'1. 소켓인수검사'!C23</f>
        <v>900</v>
      </c>
      <c r="D21" s="44">
        <f>'1. 소켓인수검사'!D23</f>
        <v>500</v>
      </c>
      <c r="E21" s="45"/>
      <c r="F21" s="46">
        <f t="shared" si="3"/>
        <v>0.45</v>
      </c>
      <c r="G21" s="46">
        <f t="shared" si="4"/>
        <v>2.8</v>
      </c>
      <c r="H21" s="53">
        <v>1</v>
      </c>
      <c r="I21" s="90">
        <f t="shared" si="5"/>
        <v>3.1999999999999997</v>
      </c>
      <c r="J21" s="43">
        <v>4</v>
      </c>
      <c r="K21" s="34"/>
      <c r="L21" s="43"/>
      <c r="M21" s="34"/>
      <c r="N21" s="43"/>
      <c r="O21" s="34"/>
      <c r="P21" s="43"/>
      <c r="Q21" s="47">
        <f t="shared" si="2"/>
        <v>7.08</v>
      </c>
      <c r="R21" s="134">
        <f t="shared" si="6"/>
        <v>7.08</v>
      </c>
      <c r="S21" s="48" t="s">
        <v>11</v>
      </c>
      <c r="T21" s="49" t="s">
        <v>14</v>
      </c>
      <c r="U21" s="50" t="str">
        <f>'1. 소켓인수검사'!G23</f>
        <v>저수조실(EF-02)</v>
      </c>
    </row>
    <row r="22" spans="1:21">
      <c r="A22" s="66" t="str">
        <f>'1. 소켓인수검사'!A24</f>
        <v>16</v>
      </c>
      <c r="B22" s="91" t="s">
        <v>44</v>
      </c>
      <c r="C22" s="44">
        <f>'1. 소켓인수검사'!C24</f>
        <v>1000</v>
      </c>
      <c r="D22" s="44">
        <f>'1. 소켓인수검사'!D24</f>
        <v>500</v>
      </c>
      <c r="E22" s="45"/>
      <c r="F22" s="46">
        <f t="shared" ref="F22" si="7">C22*D22/1000000</f>
        <v>0.5</v>
      </c>
      <c r="G22" s="46">
        <f t="shared" ref="G22" si="8">(C22+D22)*2/1000</f>
        <v>3</v>
      </c>
      <c r="H22" s="53">
        <v>1</v>
      </c>
      <c r="I22" s="90">
        <f t="shared" ref="I22" si="9">(G22+0.4)</f>
        <v>3.4</v>
      </c>
      <c r="J22" s="51">
        <v>2</v>
      </c>
      <c r="K22" s="90"/>
      <c r="L22" s="51"/>
      <c r="M22" s="90">
        <f>G22+0.5</f>
        <v>3.5</v>
      </c>
      <c r="N22" s="51">
        <v>2</v>
      </c>
      <c r="O22" s="34"/>
      <c r="P22" s="43"/>
      <c r="Q22" s="47">
        <f t="shared" ref="Q22" si="10">(((C22+60)+250+(D22+60))*2/1000)*2</f>
        <v>7.48</v>
      </c>
      <c r="R22" s="134">
        <f t="shared" ref="R22" si="11">Q22</f>
        <v>7.48</v>
      </c>
      <c r="S22" s="49" t="s">
        <v>50</v>
      </c>
      <c r="T22" s="52" t="s">
        <v>7</v>
      </c>
      <c r="U22" s="50" t="str">
        <f>'1. 소켓인수검사'!G24</f>
        <v>지하1층공동구</v>
      </c>
    </row>
    <row r="23" spans="1:21">
      <c r="A23" s="66" t="str">
        <f>'1. 소켓인수검사'!A25</f>
        <v>17</v>
      </c>
      <c r="B23" s="91" t="s">
        <v>44</v>
      </c>
      <c r="C23" s="44">
        <f>'1. 소켓인수검사'!C25</f>
        <v>1700</v>
      </c>
      <c r="D23" s="44">
        <f>'1. 소켓인수검사'!D25</f>
        <v>1300</v>
      </c>
      <c r="E23" s="45"/>
      <c r="F23" s="46">
        <f t="shared" ref="F23:F27" si="12">C23*D23/1000000</f>
        <v>2.21</v>
      </c>
      <c r="G23" s="46">
        <f t="shared" ref="G23:G27" si="13">(C23+D23)*2/1000</f>
        <v>6</v>
      </c>
      <c r="H23" s="53">
        <v>2</v>
      </c>
      <c r="I23" s="90">
        <f t="shared" ref="I23:I27" si="14">(G23+0.4)</f>
        <v>6.4</v>
      </c>
      <c r="J23" s="54">
        <v>2</v>
      </c>
      <c r="K23" s="34"/>
      <c r="L23" s="43"/>
      <c r="M23" s="34"/>
      <c r="N23" s="43"/>
      <c r="O23" s="90">
        <f t="shared" ref="O23:O27" si="15">(G23+0.5)</f>
        <v>6.5</v>
      </c>
      <c r="P23" s="54">
        <v>2</v>
      </c>
      <c r="Q23" s="47">
        <f t="shared" ref="Q23:Q27" si="16">(((C23+60)+250+(D23+60))*2/1000)*2</f>
        <v>13.48</v>
      </c>
      <c r="R23" s="134">
        <f t="shared" ref="R23:R27" si="17">Q23</f>
        <v>13.48</v>
      </c>
      <c r="S23" s="55" t="s">
        <v>49</v>
      </c>
      <c r="T23" s="56" t="s">
        <v>8</v>
      </c>
      <c r="U23" s="50" t="str">
        <f>'1. 소켓인수검사'!G25</f>
        <v>TA덕트 샘플</v>
      </c>
    </row>
    <row r="24" spans="1:21">
      <c r="A24" s="66" t="str">
        <f>'1. 소켓인수검사'!A26</f>
        <v>18</v>
      </c>
      <c r="B24" s="91" t="s">
        <v>44</v>
      </c>
      <c r="C24" s="44">
        <f>'1. 소켓인수검사'!C26</f>
        <v>1900</v>
      </c>
      <c r="D24" s="44">
        <f>'1. 소켓인수검사'!D26</f>
        <v>400</v>
      </c>
      <c r="E24" s="45"/>
      <c r="F24" s="46">
        <f t="shared" si="12"/>
        <v>0.76</v>
      </c>
      <c r="G24" s="46">
        <f t="shared" si="13"/>
        <v>4.5999999999999996</v>
      </c>
      <c r="H24" s="53">
        <v>2</v>
      </c>
      <c r="I24" s="90">
        <f t="shared" si="14"/>
        <v>5</v>
      </c>
      <c r="J24" s="54">
        <v>2</v>
      </c>
      <c r="K24" s="34"/>
      <c r="L24" s="43"/>
      <c r="M24" s="34"/>
      <c r="N24" s="43"/>
      <c r="O24" s="90">
        <f t="shared" si="15"/>
        <v>5.0999999999999996</v>
      </c>
      <c r="P24" s="54">
        <v>2</v>
      </c>
      <c r="Q24" s="47">
        <f t="shared" si="16"/>
        <v>10.68</v>
      </c>
      <c r="R24" s="134">
        <f t="shared" si="17"/>
        <v>10.68</v>
      </c>
      <c r="S24" s="55" t="s">
        <v>49</v>
      </c>
      <c r="T24" s="56" t="s">
        <v>8</v>
      </c>
      <c r="U24" s="50" t="str">
        <f>'1. 소켓인수검사'!G26</f>
        <v>지하1층 공조실,Customer Part-2</v>
      </c>
    </row>
    <row r="25" spans="1:21">
      <c r="A25" s="66" t="str">
        <f>'1. 소켓인수검사'!A27</f>
        <v>19</v>
      </c>
      <c r="B25" s="91" t="s">
        <v>44</v>
      </c>
      <c r="C25" s="44">
        <f>'1. 소켓인수검사'!C27</f>
        <v>1900</v>
      </c>
      <c r="D25" s="44">
        <f>'1. 소켓인수검사'!D27</f>
        <v>400</v>
      </c>
      <c r="E25" s="45"/>
      <c r="F25" s="46">
        <f t="shared" si="12"/>
        <v>0.76</v>
      </c>
      <c r="G25" s="46">
        <f t="shared" si="13"/>
        <v>4.5999999999999996</v>
      </c>
      <c r="H25" s="53">
        <v>2</v>
      </c>
      <c r="I25" s="90">
        <f t="shared" si="14"/>
        <v>5</v>
      </c>
      <c r="J25" s="54">
        <v>2</v>
      </c>
      <c r="K25" s="34"/>
      <c r="L25" s="43"/>
      <c r="M25" s="34"/>
      <c r="N25" s="43"/>
      <c r="O25" s="90">
        <f t="shared" si="15"/>
        <v>5.0999999999999996</v>
      </c>
      <c r="P25" s="54">
        <v>2</v>
      </c>
      <c r="Q25" s="47">
        <f t="shared" si="16"/>
        <v>10.68</v>
      </c>
      <c r="R25" s="134">
        <f t="shared" si="17"/>
        <v>10.68</v>
      </c>
      <c r="S25" s="55" t="s">
        <v>49</v>
      </c>
      <c r="T25" s="56" t="s">
        <v>8</v>
      </c>
      <c r="U25" s="50" t="str">
        <f>'1. 소켓인수검사'!G27</f>
        <v>지하1층 공조실,Customer Part-2</v>
      </c>
    </row>
    <row r="26" spans="1:21">
      <c r="A26" s="66" t="str">
        <f>'1. 소켓인수검사'!A28</f>
        <v>20</v>
      </c>
      <c r="B26" s="91" t="s">
        <v>44</v>
      </c>
      <c r="C26" s="44">
        <f>'1. 소켓인수검사'!C28</f>
        <v>1950</v>
      </c>
      <c r="D26" s="44">
        <f>'1. 소켓인수검사'!D28</f>
        <v>800</v>
      </c>
      <c r="E26" s="45"/>
      <c r="F26" s="46">
        <f t="shared" si="12"/>
        <v>1.56</v>
      </c>
      <c r="G26" s="46">
        <f t="shared" si="13"/>
        <v>5.5</v>
      </c>
      <c r="H26" s="53">
        <v>2</v>
      </c>
      <c r="I26" s="90">
        <f t="shared" si="14"/>
        <v>5.9</v>
      </c>
      <c r="J26" s="54">
        <v>2</v>
      </c>
      <c r="K26" s="34"/>
      <c r="L26" s="43"/>
      <c r="M26" s="34"/>
      <c r="N26" s="43"/>
      <c r="O26" s="90">
        <f t="shared" si="15"/>
        <v>6</v>
      </c>
      <c r="P26" s="54">
        <v>2</v>
      </c>
      <c r="Q26" s="47">
        <f t="shared" si="16"/>
        <v>12.48</v>
      </c>
      <c r="R26" s="134">
        <f t="shared" si="17"/>
        <v>12.48</v>
      </c>
      <c r="S26" s="55" t="s">
        <v>49</v>
      </c>
      <c r="T26" s="56" t="s">
        <v>8</v>
      </c>
      <c r="U26" s="50" t="str">
        <f>'1. 소켓인수검사'!G28</f>
        <v>3층소형자동창고</v>
      </c>
    </row>
    <row r="27" spans="1:21">
      <c r="A27" s="66" t="str">
        <f>'1. 소켓인수검사'!A29</f>
        <v>21</v>
      </c>
      <c r="B27" s="91" t="s">
        <v>44</v>
      </c>
      <c r="C27" s="44">
        <f>'1. 소켓인수검사'!C29</f>
        <v>3150</v>
      </c>
      <c r="D27" s="44">
        <f>'1. 소켓인수검사'!D29</f>
        <v>500</v>
      </c>
      <c r="E27" s="45"/>
      <c r="F27" s="46">
        <f t="shared" si="12"/>
        <v>1.575</v>
      </c>
      <c r="G27" s="46">
        <f t="shared" si="13"/>
        <v>7.3</v>
      </c>
      <c r="H27" s="53">
        <v>2</v>
      </c>
      <c r="I27" s="90">
        <f t="shared" si="14"/>
        <v>7.7</v>
      </c>
      <c r="J27" s="54">
        <v>2</v>
      </c>
      <c r="K27" s="34"/>
      <c r="L27" s="43"/>
      <c r="M27" s="34"/>
      <c r="N27" s="43"/>
      <c r="O27" s="90">
        <f t="shared" si="15"/>
        <v>7.8</v>
      </c>
      <c r="P27" s="54">
        <v>2</v>
      </c>
      <c r="Q27" s="47">
        <f t="shared" si="16"/>
        <v>16.079999999999998</v>
      </c>
      <c r="R27" s="134">
        <f t="shared" si="17"/>
        <v>16.079999999999998</v>
      </c>
      <c r="S27" s="55" t="s">
        <v>49</v>
      </c>
      <c r="T27" s="56" t="s">
        <v>8</v>
      </c>
      <c r="U27" s="50" t="str">
        <f>'1. 소켓인수검사'!G29</f>
        <v>3층소형자동창고</v>
      </c>
    </row>
    <row r="28" spans="1:21">
      <c r="A28" s="346" t="s">
        <v>5</v>
      </c>
      <c r="B28" s="347"/>
      <c r="C28" s="347"/>
      <c r="D28" s="89"/>
      <c r="E28" s="60"/>
      <c r="F28" s="60"/>
      <c r="G28" s="60"/>
      <c r="H28" s="59">
        <f>SUM(H7:H27)</f>
        <v>26</v>
      </c>
      <c r="I28" s="95"/>
      <c r="J28" s="59">
        <f>SUM(J7:J27)</f>
        <v>72</v>
      </c>
      <c r="K28" s="95"/>
      <c r="L28" s="59">
        <f>SUM(L7:L27)</f>
        <v>0</v>
      </c>
      <c r="M28" s="95"/>
      <c r="N28" s="59">
        <f>SUM(N7:N27)</f>
        <v>2</v>
      </c>
      <c r="O28" s="95"/>
      <c r="P28" s="59">
        <f>SUM(P7:P27)</f>
        <v>10</v>
      </c>
      <c r="Q28" s="95">
        <f>SUM(Q7:Q27)</f>
        <v>141.68</v>
      </c>
      <c r="R28" s="59">
        <f>SUM(R7:R27)</f>
        <v>141.68</v>
      </c>
      <c r="S28" s="92"/>
      <c r="T28" s="92"/>
      <c r="U28" s="93"/>
    </row>
    <row r="29" spans="1:21" ht="8.1" customHeight="1">
      <c r="A29" s="203"/>
      <c r="B29" s="203"/>
      <c r="C29" s="203"/>
      <c r="D29" s="203"/>
      <c r="E29" s="203"/>
      <c r="F29" s="203"/>
      <c r="G29" s="203"/>
      <c r="H29" s="203"/>
      <c r="I29" s="203"/>
      <c r="J29" s="203"/>
      <c r="K29" s="203"/>
      <c r="L29" s="203"/>
      <c r="M29" s="203"/>
      <c r="N29" s="203"/>
      <c r="O29" s="203"/>
      <c r="P29" s="203"/>
      <c r="Q29" s="4"/>
    </row>
    <row r="30" spans="1:21">
      <c r="A30" s="354" t="s">
        <v>53</v>
      </c>
      <c r="B30" s="354"/>
      <c r="C30" s="354"/>
      <c r="D30" s="199"/>
      <c r="E30" s="200"/>
      <c r="F30" s="200"/>
      <c r="G30" s="200"/>
      <c r="H30" s="200"/>
      <c r="I30" s="200"/>
      <c r="J30" s="200"/>
      <c r="K30" s="200"/>
      <c r="L30" s="200"/>
      <c r="M30" s="200"/>
      <c r="N30" s="200"/>
      <c r="O30" s="200"/>
      <c r="P30" s="200"/>
      <c r="Q30" s="200"/>
      <c r="R30" s="200"/>
      <c r="S30" s="200"/>
      <c r="T30" s="200"/>
      <c r="U30" s="201"/>
    </row>
    <row r="31" spans="1:21">
      <c r="A31" s="354"/>
      <c r="B31" s="354"/>
      <c r="C31" s="354"/>
      <c r="D31" s="202"/>
      <c r="E31" s="353"/>
      <c r="F31" s="353"/>
      <c r="G31" s="353"/>
      <c r="H31" s="353"/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204"/>
    </row>
    <row r="32" spans="1:21">
      <c r="A32" s="354"/>
      <c r="B32" s="354"/>
      <c r="C32" s="354"/>
      <c r="D32" s="205"/>
      <c r="E32" s="206"/>
      <c r="F32" s="206"/>
      <c r="G32" s="206"/>
      <c r="H32" s="206"/>
      <c r="I32" s="206"/>
      <c r="J32" s="206"/>
      <c r="K32" s="206"/>
      <c r="L32" s="206"/>
      <c r="M32" s="206"/>
      <c r="N32" s="206"/>
      <c r="O32" s="206"/>
      <c r="P32" s="206"/>
      <c r="Q32" s="206"/>
      <c r="R32" s="206"/>
      <c r="S32" s="206"/>
      <c r="T32" s="206"/>
      <c r="U32" s="207"/>
    </row>
  </sheetData>
  <mergeCells count="24">
    <mergeCell ref="U5:U6"/>
    <mergeCell ref="A28:C28"/>
    <mergeCell ref="F1:J3"/>
    <mergeCell ref="K1:U3"/>
    <mergeCell ref="D30:U32"/>
    <mergeCell ref="A1:D3"/>
    <mergeCell ref="A4:P4"/>
    <mergeCell ref="A5:A6"/>
    <mergeCell ref="B5:B6"/>
    <mergeCell ref="C5:C6"/>
    <mergeCell ref="D5:D6"/>
    <mergeCell ref="E5:E6"/>
    <mergeCell ref="F5:F6"/>
    <mergeCell ref="G5:G6"/>
    <mergeCell ref="H5:H6"/>
    <mergeCell ref="I5:J5"/>
    <mergeCell ref="A29:P29"/>
    <mergeCell ref="A30:C32"/>
    <mergeCell ref="Q5:R5"/>
    <mergeCell ref="S5:S6"/>
    <mergeCell ref="T5:T6"/>
    <mergeCell ref="K5:L5"/>
    <mergeCell ref="O5:P5"/>
    <mergeCell ref="M5:N5"/>
  </mergeCells>
  <phoneticPr fontId="32" type="noConversion"/>
  <pageMargins left="0.23597222566604614" right="0.23597222566604614" top="0.74750000238418579" bottom="0.74750000238418579" header="0.31486111879348755" footer="0.31486111879348755"/>
  <pageSetup paperSize="9" scale="9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1817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9</vt:i4>
      </vt:variant>
      <vt:variant>
        <vt:lpstr>이름 지정된 범위</vt:lpstr>
      </vt:variant>
      <vt:variant>
        <vt:i4>10</vt:i4>
      </vt:variant>
    </vt:vector>
  </HeadingPairs>
  <TitlesOfParts>
    <vt:vector size="19" baseType="lpstr">
      <vt:lpstr>1. 소켓인수검사</vt:lpstr>
      <vt:lpstr>2.재단(VM)작업</vt:lpstr>
      <vt:lpstr>2.1 재단작업(VT)</vt:lpstr>
      <vt:lpstr>차열재 재단(VM,VT)</vt:lpstr>
      <vt:lpstr>3. 1절곡(VM)</vt:lpstr>
      <vt:lpstr>3.2 절곡(VT)</vt:lpstr>
      <vt:lpstr>3.3 절곡(VT-보강대)</vt:lpstr>
      <vt:lpstr>5. 차열재 출하용(VM,VT,VAG)</vt:lpstr>
      <vt:lpstr>6. 라벨소요량</vt:lpstr>
      <vt:lpstr>'1. 소켓인수검사'!Print_Area</vt:lpstr>
      <vt:lpstr>'1. 소켓인수검사'!Print_Titles</vt:lpstr>
      <vt:lpstr>'2.1 재단작업(VT)'!Print_Titles</vt:lpstr>
      <vt:lpstr>'2.재단(VM)작업'!Print_Titles</vt:lpstr>
      <vt:lpstr>'3. 1절곡(VM)'!Print_Titles</vt:lpstr>
      <vt:lpstr>'3.2 절곡(VT)'!Print_Titles</vt:lpstr>
      <vt:lpstr>'3.3 절곡(VT-보강대)'!Print_Titles</vt:lpstr>
      <vt:lpstr>'5. 차열재 출하용(VM,VT,VAG)'!Print_Titles</vt:lpstr>
      <vt:lpstr>'6. 라벨소요량'!Print_Titles</vt:lpstr>
      <vt:lpstr>'차열재 재단(VM,VT)'!Print_Titles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declan48@outlook.kr</dc:creator>
  <cp:lastModifiedBy>t35840</cp:lastModifiedBy>
  <cp:revision>53</cp:revision>
  <cp:lastPrinted>2026-06-01T23:58:31Z</cp:lastPrinted>
  <dcterms:created xsi:type="dcterms:W3CDTF">2025-03-13T00:09:10Z</dcterms:created>
  <dcterms:modified xsi:type="dcterms:W3CDTF">2026-06-01T23:58:57Z</dcterms:modified>
  <cp:version>1200.0100.01</cp:version>
</cp:coreProperties>
</file>