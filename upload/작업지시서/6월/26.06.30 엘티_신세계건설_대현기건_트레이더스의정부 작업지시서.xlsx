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7EF4B8F6-AB12-4C80-BF80-4ACA6F548F56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1. 소켓인수검사" sheetId="1" r:id="rId1"/>
    <sheet name="2.재단(VM)작업" sheetId="12" r:id="rId2"/>
    <sheet name="2.1 재단작업(VT)" sheetId="3" r:id="rId3"/>
    <sheet name="차열재 재단(VM,VT)" sheetId="2" r:id="rId4"/>
    <sheet name="3. 1절곡(VM)" sheetId="5" r:id="rId5"/>
    <sheet name="3.2 절곡(VT)" sheetId="6" r:id="rId6"/>
    <sheet name="3.3 절곡(VT-보강대)" sheetId="7" r:id="rId7"/>
    <sheet name="5. 차열재 출하용(VM,VT,VAG)" sheetId="9" r:id="rId8"/>
    <sheet name="6. 라벨소요량" sheetId="10" r:id="rId9"/>
    <sheet name="발주서정리" sheetId="11" r:id="rId10"/>
  </sheets>
  <definedNames>
    <definedName name="_xlnm.Print_Area" localSheetId="0">'1. 소켓인수검사'!$A$1:$P$20</definedName>
    <definedName name="_xlnm.Print_Titles" localSheetId="0">'1. 소켓인수검사'!$6:$8</definedName>
    <definedName name="_xlnm.Print_Titles" localSheetId="2">'2.1 재단작업(VT)'!$5:$7</definedName>
    <definedName name="_xlnm.Print_Titles" localSheetId="1">'2.재단(VM)작업'!$5:$7</definedName>
    <definedName name="_xlnm.Print_Titles" localSheetId="4">'3. 1절곡(VM)'!$1:$6</definedName>
    <definedName name="_xlnm.Print_Titles" localSheetId="5">'3.2 절곡(VT)'!$1:$6</definedName>
    <definedName name="_xlnm.Print_Titles" localSheetId="6">'3.3 절곡(VT-보강대)'!$1:$6</definedName>
    <definedName name="_xlnm.Print_Titles" localSheetId="7">'5. 차열재 출하용(VM,VT,VAG)'!$8:$9</definedName>
    <definedName name="_xlnm.Print_Titles" localSheetId="8">'6. 라벨소요량'!$5:$6</definedName>
    <definedName name="_xlnm.Print_Titles" localSheetId="3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2" l="1"/>
  <c r="D17" i="12"/>
  <c r="C17" i="12"/>
  <c r="G17" i="12" s="1"/>
  <c r="D16" i="12"/>
  <c r="I16" i="12" s="1"/>
  <c r="C16" i="12"/>
  <c r="D15" i="12"/>
  <c r="I15" i="12" s="1"/>
  <c r="C15" i="12"/>
  <c r="D14" i="12"/>
  <c r="I14" i="12" s="1"/>
  <c r="C14" i="12"/>
  <c r="G14" i="12" s="1"/>
  <c r="D13" i="12"/>
  <c r="C13" i="12"/>
  <c r="K13" i="12" s="1"/>
  <c r="D12" i="12"/>
  <c r="I12" i="12" s="1"/>
  <c r="C12" i="12"/>
  <c r="D11" i="12"/>
  <c r="I11" i="12" s="1"/>
  <c r="C11" i="12"/>
  <c r="D10" i="12"/>
  <c r="I10" i="12" s="1"/>
  <c r="C10" i="12"/>
  <c r="D9" i="12"/>
  <c r="C9" i="12"/>
  <c r="G9" i="12" s="1"/>
  <c r="D8" i="12"/>
  <c r="I8" i="12" s="1"/>
  <c r="C8" i="12"/>
  <c r="G8" i="12" s="1"/>
  <c r="A17" i="12"/>
  <c r="A16" i="12"/>
  <c r="A15" i="12"/>
  <c r="A14" i="12"/>
  <c r="A13" i="12"/>
  <c r="A12" i="12"/>
  <c r="A11" i="12"/>
  <c r="A10" i="12"/>
  <c r="A9" i="12"/>
  <c r="A8" i="12"/>
  <c r="J17" i="12"/>
  <c r="H17" i="12"/>
  <c r="J16" i="12"/>
  <c r="H16" i="12"/>
  <c r="G16" i="12"/>
  <c r="K16" i="12"/>
  <c r="M15" i="12"/>
  <c r="J15" i="12"/>
  <c r="H15" i="12"/>
  <c r="K14" i="12"/>
  <c r="J14" i="12"/>
  <c r="H14" i="12"/>
  <c r="J13" i="12"/>
  <c r="H13" i="12"/>
  <c r="J12" i="12"/>
  <c r="H12" i="12"/>
  <c r="G12" i="12"/>
  <c r="K12" i="12"/>
  <c r="M11" i="12"/>
  <c r="J11" i="12"/>
  <c r="H11" i="12"/>
  <c r="K10" i="12"/>
  <c r="J10" i="12"/>
  <c r="H10" i="12"/>
  <c r="G10" i="12"/>
  <c r="J9" i="12"/>
  <c r="H9" i="12"/>
  <c r="J8" i="12"/>
  <c r="H8" i="12"/>
  <c r="K8" i="12"/>
  <c r="G1" i="2"/>
  <c r="D19" i="2"/>
  <c r="I19" i="2" s="1"/>
  <c r="C19" i="2"/>
  <c r="G19" i="2" s="1"/>
  <c r="D18" i="2"/>
  <c r="I18" i="2" s="1"/>
  <c r="C18" i="2"/>
  <c r="G18" i="2" s="1"/>
  <c r="D17" i="2"/>
  <c r="I17" i="2" s="1"/>
  <c r="C17" i="2"/>
  <c r="D16" i="2"/>
  <c r="C16" i="2"/>
  <c r="D15" i="2"/>
  <c r="C15" i="2"/>
  <c r="G15" i="2" s="1"/>
  <c r="D14" i="2"/>
  <c r="C14" i="2"/>
  <c r="D13" i="2"/>
  <c r="I13" i="2" s="1"/>
  <c r="C13" i="2"/>
  <c r="D12" i="2"/>
  <c r="C12" i="2"/>
  <c r="D11" i="2"/>
  <c r="C11" i="2"/>
  <c r="D10" i="2"/>
  <c r="C10" i="2"/>
  <c r="D9" i="2"/>
  <c r="I9" i="2" s="1"/>
  <c r="C9" i="2"/>
  <c r="D8" i="2"/>
  <c r="C8" i="2"/>
  <c r="A19" i="2"/>
  <c r="A18" i="2"/>
  <c r="C8" i="3"/>
  <c r="G8" i="3" s="1"/>
  <c r="K1" i="10"/>
  <c r="P5" i="9"/>
  <c r="O5" i="7"/>
  <c r="N5" i="6"/>
  <c r="N5" i="5"/>
  <c r="H1" i="3"/>
  <c r="D1" i="1"/>
  <c r="P19" i="10"/>
  <c r="H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O12" i="7"/>
  <c r="K12" i="7"/>
  <c r="I12" i="7"/>
  <c r="G12" i="7"/>
  <c r="C12" i="7"/>
  <c r="L12" i="7" s="1"/>
  <c r="B12" i="7"/>
  <c r="H12" i="7" s="1"/>
  <c r="A12" i="7"/>
  <c r="O11" i="7"/>
  <c r="K11" i="7"/>
  <c r="I11" i="7"/>
  <c r="G11" i="7"/>
  <c r="C11" i="7"/>
  <c r="L11" i="7" s="1"/>
  <c r="B11" i="7"/>
  <c r="H11" i="7" s="1"/>
  <c r="A11" i="7"/>
  <c r="N12" i="6"/>
  <c r="I12" i="6"/>
  <c r="C12" i="6"/>
  <c r="K12" i="6" s="1"/>
  <c r="B12" i="6"/>
  <c r="H12" i="6" s="1"/>
  <c r="A12" i="6"/>
  <c r="N11" i="6"/>
  <c r="I11" i="6"/>
  <c r="C11" i="6"/>
  <c r="K11" i="6" s="1"/>
  <c r="B11" i="6"/>
  <c r="H11" i="6" s="1"/>
  <c r="A11" i="6"/>
  <c r="N20" i="5"/>
  <c r="I20" i="5"/>
  <c r="C20" i="5"/>
  <c r="K20" i="5" s="1"/>
  <c r="B20" i="5"/>
  <c r="H20" i="5" s="1"/>
  <c r="A20" i="5"/>
  <c r="N19" i="5"/>
  <c r="I19" i="5"/>
  <c r="C19" i="5"/>
  <c r="K19" i="5" s="1"/>
  <c r="B19" i="5"/>
  <c r="H19" i="5" s="1"/>
  <c r="A19" i="5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N10" i="3"/>
  <c r="L10" i="3"/>
  <c r="J9" i="3"/>
  <c r="H9" i="3"/>
  <c r="D9" i="3"/>
  <c r="M9" i="3" s="1"/>
  <c r="C9" i="3"/>
  <c r="A9" i="3"/>
  <c r="J8" i="3"/>
  <c r="H8" i="3"/>
  <c r="D8" i="3"/>
  <c r="A8" i="3"/>
  <c r="A17" i="2"/>
  <c r="A16" i="2"/>
  <c r="A15" i="2"/>
  <c r="A14" i="2"/>
  <c r="A13" i="2"/>
  <c r="A12" i="2"/>
  <c r="A11" i="2"/>
  <c r="A10" i="2"/>
  <c r="A9" i="2"/>
  <c r="A8" i="2"/>
  <c r="K17" i="12" l="1"/>
  <c r="K9" i="12"/>
  <c r="M14" i="12"/>
  <c r="F14" i="9"/>
  <c r="M14" i="9" s="1"/>
  <c r="O14" i="9" s="1"/>
  <c r="G15" i="10"/>
  <c r="K15" i="10" s="1"/>
  <c r="M10" i="12"/>
  <c r="G13" i="12"/>
  <c r="K11" i="12"/>
  <c r="G11" i="12"/>
  <c r="M13" i="12"/>
  <c r="I13" i="12"/>
  <c r="K15" i="12"/>
  <c r="G15" i="12"/>
  <c r="M17" i="12"/>
  <c r="I17" i="12"/>
  <c r="M9" i="12"/>
  <c r="I9" i="12"/>
  <c r="M8" i="12"/>
  <c r="M12" i="12"/>
  <c r="M16" i="12"/>
  <c r="J10" i="3"/>
  <c r="H10" i="3"/>
  <c r="I9" i="3"/>
  <c r="K8" i="3"/>
  <c r="Q14" i="10"/>
  <c r="R14" i="10" s="1"/>
  <c r="G7" i="10"/>
  <c r="F14" i="10"/>
  <c r="G14" i="10"/>
  <c r="K14" i="10" s="1"/>
  <c r="E10" i="9"/>
  <c r="E18" i="9"/>
  <c r="G17" i="2"/>
  <c r="G13" i="2"/>
  <c r="G9" i="2"/>
  <c r="I8" i="3"/>
  <c r="M8" i="3"/>
  <c r="I15" i="2"/>
  <c r="I11" i="2"/>
  <c r="I16" i="2"/>
  <c r="G16" i="2"/>
  <c r="I10" i="2"/>
  <c r="G12" i="2"/>
  <c r="G14" i="2"/>
  <c r="I8" i="2"/>
  <c r="I14" i="2"/>
  <c r="I12" i="2"/>
  <c r="G8" i="2"/>
  <c r="G10" i="2"/>
  <c r="G9" i="3"/>
  <c r="G11" i="2"/>
  <c r="F10" i="10"/>
  <c r="Q13" i="10"/>
  <c r="R13" i="10" s="1"/>
  <c r="F15" i="10"/>
  <c r="Q11" i="10"/>
  <c r="R11" i="10" s="1"/>
  <c r="E12" i="9"/>
  <c r="F16" i="9"/>
  <c r="M16" i="9" s="1"/>
  <c r="O16" i="9" s="1"/>
  <c r="E20" i="9"/>
  <c r="F20" i="9"/>
  <c r="P20" i="9" s="1"/>
  <c r="R20" i="9" s="1"/>
  <c r="Q10" i="10"/>
  <c r="R10" i="10" s="1"/>
  <c r="G10" i="10"/>
  <c r="K10" i="10" s="1"/>
  <c r="Q15" i="10"/>
  <c r="R15" i="10" s="1"/>
  <c r="Q18" i="10"/>
  <c r="R18" i="10" s="1"/>
  <c r="G18" i="10"/>
  <c r="O18" i="10" s="1"/>
  <c r="F7" i="10"/>
  <c r="Q7" i="10"/>
  <c r="R7" i="10" s="1"/>
  <c r="Q9" i="10"/>
  <c r="R9" i="10" s="1"/>
  <c r="F11" i="10"/>
  <c r="G11" i="10"/>
  <c r="K11" i="10" s="1"/>
  <c r="N19" i="10"/>
  <c r="F12" i="9"/>
  <c r="M12" i="9" s="1"/>
  <c r="O12" i="9" s="1"/>
  <c r="F18" i="9"/>
  <c r="M18" i="9" s="1"/>
  <c r="O18" i="9" s="1"/>
  <c r="E16" i="9"/>
  <c r="F10" i="9"/>
  <c r="M10" i="9" s="1"/>
  <c r="O10" i="9" s="1"/>
  <c r="E14" i="9"/>
  <c r="E15" i="9"/>
  <c r="F15" i="9"/>
  <c r="M15" i="9" s="1"/>
  <c r="O15" i="9" s="1"/>
  <c r="E17" i="9"/>
  <c r="F17" i="9"/>
  <c r="M17" i="9" s="1"/>
  <c r="O17" i="9" s="1"/>
  <c r="K9" i="3"/>
  <c r="E13" i="9"/>
  <c r="F13" i="9"/>
  <c r="M13" i="9" s="1"/>
  <c r="O13" i="9" s="1"/>
  <c r="E11" i="9"/>
  <c r="F11" i="9"/>
  <c r="M11" i="9" s="1"/>
  <c r="O11" i="9" s="1"/>
  <c r="E19" i="9"/>
  <c r="F19" i="9"/>
  <c r="M19" i="9" s="1"/>
  <c r="O19" i="9" s="1"/>
  <c r="F21" i="9"/>
  <c r="E21" i="9"/>
  <c r="J19" i="10"/>
  <c r="L19" i="10"/>
  <c r="K7" i="10"/>
  <c r="Q8" i="10"/>
  <c r="R8" i="10" s="1"/>
  <c r="G8" i="10"/>
  <c r="F8" i="10"/>
  <c r="G9" i="10"/>
  <c r="F9" i="10"/>
  <c r="Q12" i="10"/>
  <c r="R12" i="10" s="1"/>
  <c r="G12" i="10"/>
  <c r="F12" i="10"/>
  <c r="G13" i="10"/>
  <c r="F13" i="10"/>
  <c r="Q16" i="10"/>
  <c r="R16" i="10" s="1"/>
  <c r="G16" i="10"/>
  <c r="F16" i="10"/>
  <c r="G17" i="10"/>
  <c r="Q17" i="10"/>
  <c r="R17" i="10" s="1"/>
  <c r="F17" i="10"/>
  <c r="F18" i="10"/>
  <c r="G20" i="9" l="1"/>
  <c r="I20" i="9" s="1"/>
  <c r="I18" i="10"/>
  <c r="O22" i="9"/>
  <c r="G25" i="9" s="1"/>
  <c r="I17" i="10"/>
  <c r="O17" i="10"/>
  <c r="K16" i="10"/>
  <c r="K9" i="10"/>
  <c r="R19" i="10"/>
  <c r="K13" i="10"/>
  <c r="K12" i="10"/>
  <c r="Q19" i="10"/>
  <c r="K8" i="10"/>
  <c r="P21" i="9"/>
  <c r="R21" i="9" s="1"/>
  <c r="G21" i="9"/>
  <c r="I21" i="9" s="1"/>
  <c r="I22" i="9" l="1"/>
  <c r="G23" i="9" s="1"/>
  <c r="R22" i="9"/>
  <c r="G26" i="9" s="1"/>
  <c r="L22" i="9"/>
  <c r="G24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19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15" authorId="0" shapeId="0" xr:uid="{00000000-0006-0000-0000-00001A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<sst xmlns="http://schemas.openxmlformats.org/spreadsheetml/2006/main" count="350" uniqueCount="120">
  <si>
    <t>차열재</t>
  </si>
  <si>
    <t>No</t>
  </si>
  <si>
    <t>비고</t>
  </si>
  <si>
    <t>합계</t>
  </si>
  <si>
    <t>규격</t>
  </si>
  <si>
    <t>TTL</t>
  </si>
  <si>
    <t>EZ F.B POSMAC Duct-VA-064</t>
  </si>
  <si>
    <t>EZ F.B POSMAC Duct-VT-01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</si>
  <si>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</si>
  <si>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</si>
  <si>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</si>
  <si>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</si>
  <si>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</si>
  <si>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</si>
  <si>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</si>
  <si>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절 곡 생 산 일 지(VT_보강대)</t>
  </si>
  <si>
    <t>특이사항 및
   조치사항</t>
  </si>
  <si>
    <t>설비번호</t>
  </si>
  <si>
    <t>설치위치</t>
  </si>
  <si>
    <t>세로(보강대)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</si>
  <si>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</si>
  <si>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</si>
  <si>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</si>
  <si>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</si>
  <si>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</si>
  <si>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</si>
  <si>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</si>
  <si>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</si>
  <si>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</si>
  <si>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</si>
  <si>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</si>
  <si>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</si>
  <si>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</si>
  <si>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</si>
  <si>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</si>
  <si>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</si>
  <si>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</si>
  <si>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</si>
  <si>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</si>
  <si>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</si>
  <si>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</si>
  <si>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</si>
  <si>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분할구조</t>
  </si>
  <si>
    <t>FS-MP25-0310-1</t>
  </si>
  <si>
    <t>FS-MP25-0310-4</t>
  </si>
  <si>
    <t>차열재생산일지(출하용)</t>
  </si>
  <si>
    <t>특이사항 및
 조치사항</t>
  </si>
  <si>
    <t>특이사항 및   조치사항</t>
  </si>
  <si>
    <t>VT-01</t>
  </si>
  <si>
    <t>VA-064</t>
  </si>
  <si>
    <t>60mm</t>
  </si>
  <si>
    <t>1.6
이상</t>
  </si>
  <si>
    <t>가로(받침대)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</si>
  <si>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</si>
  <si>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</si>
  <si>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</si>
  <si>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</si>
  <si>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</si>
  <si>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</si>
  <si>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</si>
  <si>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</si>
  <si>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</si>
  <si>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</si>
  <si>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</si>
  <si>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</si>
  <si>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</si>
  <si>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</si>
  <si>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</si>
  <si>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</si>
  <si>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</si>
  <si>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30" type="noConversion"/>
  </si>
  <si>
    <t>재단작업지시서
(VT)</t>
    <phoneticPr fontId="30" type="noConversion"/>
  </si>
  <si>
    <t>재단작업지시서(VM)</t>
    <phoneticPr fontId="30" type="noConversion"/>
  </si>
  <si>
    <t>절 곡 생 산 일 지(VM)</t>
    <phoneticPr fontId="30" type="noConversion"/>
  </si>
  <si>
    <t>절 곡 생 산 일 지(VT_브라켓)</t>
    <phoneticPr fontId="30" type="noConversion"/>
  </si>
  <si>
    <t>라벨소요량</t>
    <phoneticPr fontId="30" type="noConversion"/>
  </si>
  <si>
    <t>25*
200</t>
    <phoneticPr fontId="30" type="noConversion"/>
  </si>
  <si>
    <t>구조체작업지시서</t>
    <phoneticPr fontId="30" type="noConversion"/>
  </si>
  <si>
    <t>차열재 25T*200*7.4M</t>
    <phoneticPr fontId="30" type="noConversion"/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</si>
  <si>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</si>
  <si>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</si>
  <si>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</si>
  <si>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</si>
  <si>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</si>
  <si>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</si>
  <si>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</si>
  <si>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</si>
  <si>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</si>
  <si>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재단작업지시서차열재</t>
    <phoneticPr fontId="30" type="noConversion"/>
  </si>
  <si>
    <t>완제품 재고</t>
    <phoneticPr fontId="30" type="noConversion"/>
  </si>
  <si>
    <t>(SA) 좌하보안실</t>
  </si>
  <si>
    <r>
      <t xml:space="preserve">(SA) </t>
    </r>
    <r>
      <rPr>
        <b/>
        <sz val="6"/>
        <color rgb="FF000000"/>
        <rFont val="Helvetica Neue"/>
      </rPr>
      <t>방풍하역장</t>
    </r>
  </si>
  <si>
    <r>
      <t xml:space="preserve">EF-13(EA) </t>
    </r>
    <r>
      <rPr>
        <b/>
        <sz val="6"/>
        <color rgb="FF000000"/>
        <rFont val="Helvetica Neue"/>
      </rPr>
      <t>좌하작업장</t>
    </r>
  </si>
  <si>
    <r>
      <t xml:space="preserve">EF-12(EA) </t>
    </r>
    <r>
      <rPr>
        <b/>
        <sz val="6"/>
        <color rgb="FF000000"/>
        <rFont val="Helvetica Neue"/>
      </rPr>
      <t>우하공조실</t>
    </r>
  </si>
  <si>
    <r>
      <t xml:space="preserve">(SA) </t>
    </r>
    <r>
      <rPr>
        <b/>
        <sz val="6"/>
        <color rgb="FF000000"/>
        <rFont val="Helvetica Neue"/>
      </rPr>
      <t>베이커리</t>
    </r>
  </si>
  <si>
    <r>
      <t xml:space="preserve">EF-5 </t>
    </r>
    <r>
      <rPr>
        <b/>
        <sz val="6"/>
        <color rgb="FF000000"/>
        <rFont val="Helvetica Neue"/>
      </rPr>
      <t>베이커리</t>
    </r>
  </si>
  <si>
    <r>
      <t xml:space="preserve">EF-15 </t>
    </r>
    <r>
      <rPr>
        <b/>
        <sz val="6"/>
        <color rgb="FF000000"/>
        <rFont val="Helvetica Neue"/>
      </rPr>
      <t>좌상부</t>
    </r>
  </si>
  <si>
    <r>
      <t xml:space="preserve">HUV-1(SA) </t>
    </r>
    <r>
      <rPr>
        <b/>
        <sz val="6"/>
        <color rgb="FF000000"/>
        <rFont val="Helvetica Neue"/>
      </rPr>
      <t>좌상부</t>
    </r>
  </si>
  <si>
    <r>
      <t xml:space="preserve">EF-11(EA) </t>
    </r>
    <r>
      <rPr>
        <b/>
        <sz val="6"/>
        <color rgb="FF000000"/>
        <rFont val="Helvetica Neue"/>
      </rPr>
      <t>우하공조실</t>
    </r>
  </si>
  <si>
    <r>
      <t xml:space="preserve">EF-6(EA) </t>
    </r>
    <r>
      <rPr>
        <b/>
        <sz val="6"/>
        <color rgb="FF000000"/>
        <rFont val="Helvetica Neue"/>
      </rPr>
      <t>우상공조실</t>
    </r>
  </si>
  <si>
    <r>
      <t xml:space="preserve">HUV-2(SA) </t>
    </r>
    <r>
      <rPr>
        <b/>
        <sz val="6"/>
        <color rgb="FF000000"/>
        <rFont val="Helvetica Neue"/>
      </rPr>
      <t>우하공조실</t>
    </r>
  </si>
  <si>
    <r>
      <t xml:space="preserve">EF-10(EA) </t>
    </r>
    <r>
      <rPr>
        <b/>
        <sz val="6"/>
        <color rgb="FF000000"/>
        <rFont val="Helvetica Neue"/>
      </rPr>
      <t>좌하작업장</t>
    </r>
  </si>
  <si>
    <t>01</t>
    <phoneticPr fontId="30" type="noConversion"/>
  </si>
  <si>
    <t>02</t>
    <phoneticPr fontId="30" type="noConversion"/>
  </si>
  <si>
    <t>03</t>
    <phoneticPr fontId="30" type="noConversion"/>
  </si>
  <si>
    <r>
      <rPr>
        <b/>
        <sz val="10"/>
        <color rgb="FFFF0000"/>
        <rFont val="맑은 고딕"/>
        <family val="3"/>
        <charset val="129"/>
      </rPr>
      <t>완제품</t>
    </r>
    <r>
      <rPr>
        <b/>
        <sz val="10"/>
        <color rgb="FFFF0000"/>
        <rFont val="Helvetica Neue"/>
        <family val="2"/>
      </rPr>
      <t xml:space="preserve"> </t>
    </r>
    <r>
      <rPr>
        <b/>
        <sz val="10"/>
        <color rgb="FFFF0000"/>
        <rFont val="맑은 고딕"/>
        <family val="3"/>
        <charset val="129"/>
      </rPr>
      <t>재고</t>
    </r>
    <phoneticPr fontId="30" type="noConversion"/>
  </si>
  <si>
    <t xml:space="preserve"> - 600*550 완제품 재고</t>
    <phoneticPr fontId="30" type="noConversion"/>
  </si>
  <si>
    <r>
      <t xml:space="preserve">26.06.30 </t>
    </r>
    <r>
      <rPr>
        <sz val="10"/>
        <color rgb="FF000000"/>
        <rFont val="맑은 고딕"/>
        <family val="3"/>
        <charset val="129"/>
      </rPr>
      <t>엘티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신세계건설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대현기건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트레이더스의정부</t>
    </r>
    <phoneticPr fontId="30" type="noConversion"/>
  </si>
  <si>
    <t>CL040</t>
  </si>
  <si>
    <t>CL041</t>
  </si>
  <si>
    <t>CL042</t>
  </si>
  <si>
    <t>CL043</t>
  </si>
  <si>
    <t>CL044</t>
  </si>
  <si>
    <t>CL045</t>
  </si>
  <si>
    <t>CL046</t>
  </si>
  <si>
    <t>CL047</t>
  </si>
  <si>
    <t>CL048</t>
  </si>
  <si>
    <t>CL049</t>
  </si>
  <si>
    <t>CL050</t>
  </si>
  <si>
    <t>CL051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</si>
</sst>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43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7C7C7C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b/>
      <sz val="10"/>
      <color rgb="FF002060"/>
      <name val="Helvetica Neue"/>
    </font>
    <font>
      <b/>
      <sz val="10"/>
      <color rgb="FFFF0000"/>
      <name val="맑은 고딕"/>
      <family val="3"/>
      <charset val="129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b/>
      <sz val="11"/>
      <color rgb="FFC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6"/>
      <color rgb="FF000000"/>
      <name val="Helvetica Neue"/>
    </font>
    <font>
      <b/>
      <sz val="6"/>
      <color rgb="FF000000"/>
      <name val="Helvetica Neue"/>
      <family val="2"/>
    </font>
    <font>
      <b/>
      <sz val="10"/>
      <color rgb="FFFF0000"/>
      <name val="Helvetica Neue"/>
      <family val="2"/>
    </font>
    <font>
      <b/>
      <sz val="10"/>
      <color rgb="FFFF0000"/>
      <name val="Helvetica Neue"/>
      <family val="3"/>
      <charset val="129"/>
    </font>
    <font>
      <b/>
      <sz val="11"/>
      <color rgb="FFFF0000"/>
      <name val="맑은 고딕"/>
      <family val="3"/>
      <charset val="129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36" fillId="0" borderId="24" xfId="0" applyFont="1" applyBorder="1" applyAlignment="1">
      <alignment horizontal="center" vertical="center" wrapText="1" shrinkToFit="1"/>
    </xf>
    <xf numFmtId="0" fontId="29" fillId="0" borderId="0">
      <alignment vertical="center"/>
    </xf>
    <xf numFmtId="176" fontId="29" fillId="0" borderId="0">
      <alignment vertical="center"/>
    </xf>
    <xf numFmtId="0" fontId="1" fillId="0" borderId="0">
      <alignment vertical="center"/>
    </xf>
  </cellStyleXfs>
  <cellXfs count="32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0" xfId="2">
      <alignment vertical="center"/>
    </xf>
    <xf numFmtId="0" fontId="29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6" fontId="29" fillId="0" borderId="5" xfId="3" applyBorder="1" applyAlignment="1">
      <alignment horizontal="center" vertical="center"/>
    </xf>
    <xf numFmtId="176" fontId="29" fillId="0" borderId="6" xfId="3" applyBorder="1" applyAlignment="1">
      <alignment horizontal="center" vertical="center"/>
    </xf>
    <xf numFmtId="176" fontId="29" fillId="0" borderId="7" xfId="3" applyBorder="1" applyAlignment="1">
      <alignment horizontal="center" vertical="center"/>
    </xf>
    <xf numFmtId="176" fontId="29" fillId="0" borderId="8" xfId="3" applyBorder="1" applyAlignment="1">
      <alignment horizontal="center" vertical="center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176" fontId="29" fillId="0" borderId="12" xfId="3" applyBorder="1" applyAlignment="1">
      <alignment horizontal="center" vertical="center"/>
    </xf>
    <xf numFmtId="176" fontId="29" fillId="0" borderId="10" xfId="3" applyBorder="1" applyAlignment="1">
      <alignment horizontal="center" vertical="center"/>
    </xf>
    <xf numFmtId="176" fontId="29" fillId="0" borderId="13" xfId="3" applyBorder="1" applyAlignment="1">
      <alignment horizontal="center" vertical="center"/>
    </xf>
    <xf numFmtId="176" fontId="29" fillId="0" borderId="14" xfId="3" applyBorder="1" applyAlignment="1">
      <alignment horizontal="center" vertical="center"/>
    </xf>
    <xf numFmtId="0" fontId="6" fillId="0" borderId="15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29" fillId="0" borderId="17" xfId="2" applyBorder="1" applyAlignment="1">
      <alignment horizontal="center" vertical="center"/>
    </xf>
    <xf numFmtId="0" fontId="6" fillId="0" borderId="18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9" fillId="0" borderId="18" xfId="2" applyBorder="1" applyAlignment="1">
      <alignment horizontal="center" vertical="center" wrapText="1"/>
    </xf>
    <xf numFmtId="0" fontId="7" fillId="0" borderId="18" xfId="4" applyFont="1" applyBorder="1" applyAlignment="1">
      <alignment horizontal="center" vertical="center" wrapText="1"/>
    </xf>
    <xf numFmtId="0" fontId="29" fillId="0" borderId="19" xfId="2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77" fontId="6" fillId="0" borderId="18" xfId="0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shrinkToFit="1"/>
    </xf>
    <xf numFmtId="0" fontId="11" fillId="0" borderId="18" xfId="0" applyFont="1" applyBorder="1" applyAlignment="1">
      <alignment horizontal="center" vertical="center" shrinkToFit="1"/>
    </xf>
    <xf numFmtId="0" fontId="12" fillId="0" borderId="19" xfId="0" applyFont="1" applyBorder="1" applyAlignment="1">
      <alignment horizontal="center" vertical="center" shrinkToFit="1"/>
    </xf>
    <xf numFmtId="0" fontId="9" fillId="5" borderId="18" xfId="0" applyFont="1" applyFill="1" applyBorder="1" applyAlignment="1">
      <alignment horizontal="center" vertical="center" wrapText="1"/>
    </xf>
    <xf numFmtId="0" fontId="13" fillId="5" borderId="18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shrinkToFit="1"/>
    </xf>
    <xf numFmtId="0" fontId="15" fillId="0" borderId="18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wrapText="1"/>
    </xf>
    <xf numFmtId="0" fontId="8" fillId="0" borderId="20" xfId="4" applyFont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8" fillId="0" borderId="15" xfId="4" applyFont="1" applyBorder="1" applyAlignment="1">
      <alignment horizontal="center" vertical="center" wrapText="1"/>
    </xf>
    <xf numFmtId="0" fontId="29" fillId="0" borderId="15" xfId="2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6" fillId="6" borderId="18" xfId="4" applyFont="1" applyFill="1" applyBorder="1" applyAlignment="1">
      <alignment horizontal="center" vertical="center" wrapText="1"/>
    </xf>
    <xf numFmtId="0" fontId="16" fillId="7" borderId="18" xfId="4" applyFont="1" applyFill="1" applyBorder="1" applyAlignment="1">
      <alignment horizontal="center" vertical="center" wrapText="1"/>
    </xf>
    <xf numFmtId="0" fontId="19" fillId="0" borderId="18" xfId="2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/>
    </xf>
    <xf numFmtId="0" fontId="5" fillId="0" borderId="23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 wrapText="1"/>
    </xf>
    <xf numFmtId="0" fontId="29" fillId="0" borderId="16" xfId="2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29" fillId="0" borderId="15" xfId="2" applyBorder="1" applyAlignment="1">
      <alignment vertical="center" wrapText="1"/>
    </xf>
    <xf numFmtId="0" fontId="29" fillId="0" borderId="18" xfId="2" applyBorder="1" applyAlignment="1">
      <alignment vertical="center" wrapText="1"/>
    </xf>
    <xf numFmtId="0" fontId="20" fillId="0" borderId="15" xfId="4" applyFont="1" applyBorder="1" applyAlignment="1">
      <alignment horizontal="center" vertical="center" wrapText="1"/>
    </xf>
    <xf numFmtId="0" fontId="20" fillId="0" borderId="18" xfId="4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5" borderId="20" xfId="0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10" borderId="0" xfId="4" applyFill="1">
      <alignment vertical="center"/>
    </xf>
    <xf numFmtId="0" fontId="1" fillId="0" borderId="35" xfId="4" applyBorder="1" applyAlignment="1">
      <alignment vertical="top" wrapText="1"/>
    </xf>
    <xf numFmtId="0" fontId="2" fillId="0" borderId="18" xfId="4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4" fillId="4" borderId="18" xfId="2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33" fillId="7" borderId="18" xfId="4" applyFont="1" applyFill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5" fillId="0" borderId="20" xfId="2" applyFont="1" applyBorder="1">
      <alignment vertical="center"/>
    </xf>
    <xf numFmtId="0" fontId="3" fillId="0" borderId="30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1" fillId="0" borderId="17" xfId="4" quotePrefix="1" applyBorder="1" applyAlignment="1">
      <alignment horizontal="center" vertical="center" wrapText="1"/>
    </xf>
    <xf numFmtId="178" fontId="19" fillId="0" borderId="18" xfId="2" applyNumberFormat="1" applyFont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17" fillId="0" borderId="18" xfId="2" applyFont="1" applyBorder="1" applyAlignment="1">
      <alignment horizontal="center" vertical="center" wrapText="1"/>
    </xf>
    <xf numFmtId="178" fontId="17" fillId="0" borderId="18" xfId="2" applyNumberFormat="1" applyFont="1" applyBorder="1" applyAlignment="1">
      <alignment horizontal="center" vertical="center" wrapText="1"/>
    </xf>
    <xf numFmtId="0" fontId="18" fillId="0" borderId="18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 wrapText="1"/>
    </xf>
    <xf numFmtId="0" fontId="33" fillId="6" borderId="18" xfId="4" applyFont="1" applyFill="1" applyBorder="1" applyAlignment="1">
      <alignment horizontal="center" vertical="center" wrapText="1"/>
    </xf>
    <xf numFmtId="177" fontId="6" fillId="5" borderId="18" xfId="0" applyNumberFormat="1" applyFont="1" applyFill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 shrinkToFit="1"/>
    </xf>
    <xf numFmtId="0" fontId="36" fillId="0" borderId="30" xfId="0" applyFont="1" applyBorder="1" applyAlignment="1">
      <alignment horizontal="center" vertical="center" wrapText="1" shrinkToFit="1"/>
    </xf>
    <xf numFmtId="0" fontId="36" fillId="0" borderId="0" xfId="0" applyFont="1" applyAlignment="1">
      <alignment horizontal="center" vertical="center" wrapText="1" shrinkToFit="1"/>
    </xf>
    <xf numFmtId="0" fontId="36" fillId="0" borderId="25" xfId="0" applyFont="1" applyBorder="1" applyAlignment="1">
      <alignment horizontal="center" vertical="center" wrapText="1" shrinkToFit="1"/>
    </xf>
    <xf numFmtId="0" fontId="36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3" fillId="0" borderId="26" xfId="4" applyFont="1" applyBorder="1" applyAlignment="1">
      <alignment horizontal="left" vertical="center"/>
    </xf>
    <xf numFmtId="0" fontId="2" fillId="8" borderId="18" xfId="4" applyFont="1" applyFill="1" applyBorder="1" applyAlignment="1">
      <alignment horizontal="center" vertical="center" wrapText="1"/>
    </xf>
    <xf numFmtId="0" fontId="31" fillId="0" borderId="35" xfId="4" applyFont="1" applyBorder="1" applyAlignment="1">
      <alignment horizontal="center" vertical="center" wrapText="1"/>
    </xf>
    <xf numFmtId="0" fontId="31" fillId="0" borderId="37" xfId="4" applyFont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0" fontId="31" fillId="0" borderId="39" xfId="4" applyFont="1" applyBorder="1" applyAlignment="1">
      <alignment horizontal="center" vertical="center" wrapText="1"/>
    </xf>
    <xf numFmtId="0" fontId="31" fillId="0" borderId="34" xfId="4" applyFont="1" applyBorder="1" applyAlignment="1">
      <alignment horizontal="center" vertical="center" wrapText="1"/>
    </xf>
    <xf numFmtId="0" fontId="32" fillId="0" borderId="35" xfId="4" applyFont="1" applyBorder="1" applyAlignment="1">
      <alignment horizontal="center" vertical="center" shrinkToFit="1"/>
    </xf>
    <xf numFmtId="0" fontId="32" fillId="0" borderId="36" xfId="4" applyFont="1" applyBorder="1" applyAlignment="1">
      <alignment horizontal="center" vertical="center" shrinkToFit="1"/>
    </xf>
    <xf numFmtId="0" fontId="32" fillId="0" borderId="0" xfId="4" applyFont="1" applyAlignment="1">
      <alignment horizontal="center" vertical="center" shrinkToFit="1"/>
    </xf>
    <xf numFmtId="0" fontId="32" fillId="0" borderId="38" xfId="4" applyFont="1" applyBorder="1" applyAlignment="1">
      <alignment horizontal="center" vertical="center" shrinkToFit="1"/>
    </xf>
    <xf numFmtId="0" fontId="32" fillId="0" borderId="34" xfId="4" applyFont="1" applyBorder="1" applyAlignment="1">
      <alignment horizontal="center" vertical="center" shrinkToFit="1"/>
    </xf>
    <xf numFmtId="0" fontId="32" fillId="0" borderId="40" xfId="4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/>
    </xf>
    <xf numFmtId="0" fontId="1" fillId="8" borderId="17" xfId="4" applyFill="1" applyBorder="1" applyAlignment="1">
      <alignment horizontal="center" vertical="center" wrapText="1"/>
    </xf>
    <xf numFmtId="0" fontId="2" fillId="8" borderId="15" xfId="4" applyFont="1" applyFill="1" applyBorder="1" applyAlignment="1">
      <alignment horizontal="center" vertical="center" wrapText="1"/>
    </xf>
    <xf numFmtId="0" fontId="2" fillId="8" borderId="16" xfId="4" applyFont="1" applyFill="1" applyBorder="1" applyAlignment="1">
      <alignment horizontal="center" vertical="center" wrapText="1"/>
    </xf>
    <xf numFmtId="0" fontId="2" fillId="8" borderId="19" xfId="4" applyFont="1" applyFill="1" applyBorder="1" applyAlignment="1">
      <alignment horizontal="center" vertical="center" wrapText="1"/>
    </xf>
    <xf numFmtId="0" fontId="3" fillId="0" borderId="24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30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5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31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29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27" xfId="2" applyFont="1" applyFill="1" applyBorder="1" applyAlignment="1">
      <alignment horizontal="center" vertical="center" wrapText="1"/>
    </xf>
    <xf numFmtId="0" fontId="4" fillId="3" borderId="28" xfId="2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shrinkToFit="1"/>
    </xf>
    <xf numFmtId="0" fontId="24" fillId="0" borderId="3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0" borderId="31" xfId="0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5" fillId="4" borderId="21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18" xfId="2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178" fontId="29" fillId="0" borderId="18" xfId="2" applyNumberFormat="1" applyBorder="1" applyAlignment="1">
      <alignment horizontal="center" vertical="center" wrapText="1"/>
    </xf>
    <xf numFmtId="0" fontId="29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29" fillId="0" borderId="21" xfId="2" applyBorder="1" applyAlignment="1">
      <alignment horizontal="center" vertical="center"/>
    </xf>
    <xf numFmtId="0" fontId="29" fillId="0" borderId="17" xfId="2" applyBorder="1" applyAlignment="1">
      <alignment horizontal="center" vertical="center"/>
    </xf>
    <xf numFmtId="0" fontId="6" fillId="0" borderId="15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0" fontId="25" fillId="0" borderId="24" xfId="2" applyFont="1" applyBorder="1" applyAlignment="1">
      <alignment horizontal="center" vertical="center" shrinkToFit="1"/>
    </xf>
    <xf numFmtId="0" fontId="25" fillId="0" borderId="11" xfId="2" applyFont="1" applyBorder="1" applyAlignment="1">
      <alignment horizontal="center" vertical="center" shrinkToFit="1"/>
    </xf>
    <xf numFmtId="0" fontId="25" fillId="0" borderId="3" xfId="2" applyFont="1" applyBorder="1" applyAlignment="1">
      <alignment horizontal="center" vertical="center" shrinkToFit="1"/>
    </xf>
    <xf numFmtId="0" fontId="25" fillId="0" borderId="30" xfId="2" applyFont="1" applyBorder="1" applyAlignment="1">
      <alignment horizontal="center" vertical="center" shrinkToFit="1"/>
    </xf>
    <xf numFmtId="0" fontId="25" fillId="0" borderId="0" xfId="2" applyFont="1" applyAlignment="1">
      <alignment horizontal="center" vertical="center" shrinkToFit="1"/>
    </xf>
    <xf numFmtId="0" fontId="25" fillId="0" borderId="31" xfId="2" applyFont="1" applyBorder="1" applyAlignment="1">
      <alignment horizontal="center" vertical="center" shrinkToFit="1"/>
    </xf>
    <xf numFmtId="0" fontId="25" fillId="0" borderId="25" xfId="2" applyFont="1" applyBorder="1" applyAlignment="1">
      <alignment horizontal="center" vertical="center" shrinkToFit="1"/>
    </xf>
    <xf numFmtId="0" fontId="25" fillId="0" borderId="2" xfId="2" applyFont="1" applyBorder="1" applyAlignment="1">
      <alignment horizontal="center" vertical="center" shrinkToFit="1"/>
    </xf>
    <xf numFmtId="0" fontId="25" fillId="0" borderId="29" xfId="2" applyFont="1" applyBorder="1" applyAlignment="1">
      <alignment horizontal="center" vertical="center" shrinkToFit="1"/>
    </xf>
    <xf numFmtId="0" fontId="29" fillId="0" borderId="4" xfId="2" applyBorder="1" applyAlignment="1">
      <alignment horizontal="center" vertical="center"/>
    </xf>
    <xf numFmtId="0" fontId="29" fillId="0" borderId="28" xfId="2" applyBorder="1" applyAlignment="1">
      <alignment horizontal="center" vertical="center"/>
    </xf>
    <xf numFmtId="0" fontId="35" fillId="0" borderId="1" xfId="2" applyFont="1" applyBorder="1" applyAlignment="1">
      <alignment horizontal="center" vertical="center" wrapText="1"/>
    </xf>
    <xf numFmtId="178" fontId="5" fillId="0" borderId="18" xfId="2" applyNumberFormat="1" applyFont="1" applyBorder="1" applyAlignment="1">
      <alignment horizontal="center" vertical="center" wrapText="1"/>
    </xf>
    <xf numFmtId="0" fontId="29" fillId="0" borderId="24" xfId="2" applyBorder="1" applyAlignment="1">
      <alignment horizontal="center" vertical="center"/>
    </xf>
    <xf numFmtId="0" fontId="29" fillId="0" borderId="3" xfId="2" applyBorder="1" applyAlignment="1">
      <alignment horizontal="center" vertical="center"/>
    </xf>
    <xf numFmtId="178" fontId="5" fillId="0" borderId="15" xfId="2" applyNumberFormat="1" applyFont="1" applyBorder="1" applyAlignment="1">
      <alignment horizontal="center" vertical="center" wrapText="1"/>
    </xf>
    <xf numFmtId="0" fontId="35" fillId="0" borderId="1" xfId="2" applyFont="1" applyBorder="1" applyAlignment="1">
      <alignment horizontal="center" vertical="center" wrapText="1" shrinkToFit="1"/>
    </xf>
    <xf numFmtId="0" fontId="25" fillId="0" borderId="24" xfId="2" applyFont="1" applyBorder="1" applyAlignment="1">
      <alignment horizontal="center" vertical="center"/>
    </xf>
    <xf numFmtId="0" fontId="25" fillId="0" borderId="11" xfId="2" applyFont="1" applyBorder="1" applyAlignment="1">
      <alignment horizontal="center" vertical="center"/>
    </xf>
    <xf numFmtId="0" fontId="25" fillId="0" borderId="3" xfId="2" applyFont="1" applyBorder="1" applyAlignment="1">
      <alignment horizontal="center" vertical="center"/>
    </xf>
    <xf numFmtId="0" fontId="25" fillId="0" borderId="30" xfId="2" applyFont="1" applyBorder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25" fillId="0" borderId="31" xfId="2" applyFont="1" applyBorder="1" applyAlignment="1">
      <alignment horizontal="center" vertical="center"/>
    </xf>
    <xf numFmtId="0" fontId="25" fillId="0" borderId="25" xfId="2" applyFont="1" applyBorder="1" applyAlignment="1">
      <alignment horizontal="center" vertical="center"/>
    </xf>
    <xf numFmtId="0" fontId="25" fillId="0" borderId="2" xfId="2" applyFont="1" applyBorder="1" applyAlignment="1">
      <alignment horizontal="center" vertical="center"/>
    </xf>
    <xf numFmtId="0" fontId="25" fillId="0" borderId="29" xfId="2" applyFont="1" applyBorder="1" applyAlignment="1">
      <alignment horizontal="center" vertical="center"/>
    </xf>
    <xf numFmtId="0" fontId="29" fillId="0" borderId="25" xfId="2" applyBorder="1" applyAlignment="1">
      <alignment horizontal="center" vertical="center"/>
    </xf>
    <xf numFmtId="0" fontId="29" fillId="0" borderId="29" xfId="2" applyBorder="1" applyAlignment="1">
      <alignment horizontal="center" vertical="center"/>
    </xf>
    <xf numFmtId="0" fontId="29" fillId="0" borderId="9" xfId="2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27" xfId="2" applyFont="1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30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31" xfId="2" applyFont="1" applyBorder="1" applyAlignment="1">
      <alignment horizontal="center" vertical="center" wrapText="1"/>
    </xf>
    <xf numFmtId="41" fontId="29" fillId="0" borderId="18" xfId="2" applyNumberFormat="1" applyBorder="1" applyAlignment="1">
      <alignment horizontal="left" vertical="center" wrapText="1"/>
    </xf>
    <xf numFmtId="0" fontId="29" fillId="0" borderId="18" xfId="2" applyBorder="1" applyAlignment="1">
      <alignment horizontal="left" vertical="center" wrapText="1"/>
    </xf>
    <xf numFmtId="41" fontId="29" fillId="0" borderId="15" xfId="2" applyNumberFormat="1" applyBorder="1" applyAlignment="1">
      <alignment horizontal="left" vertical="center" wrapText="1"/>
    </xf>
    <xf numFmtId="0" fontId="29" fillId="0" borderId="15" xfId="2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7" fontId="0" fillId="2" borderId="33" xfId="0" applyNumberFormat="1" applyFill="1" applyBorder="1" applyAlignment="1">
      <alignment horizontal="center" vertical="center" wrapText="1"/>
    </xf>
    <xf numFmtId="177" fontId="0" fillId="2" borderId="27" xfId="0" applyNumberFormat="1" applyFill="1" applyBorder="1" applyAlignment="1">
      <alignment horizontal="center" vertical="center" wrapText="1"/>
    </xf>
    <xf numFmtId="177" fontId="0" fillId="2" borderId="28" xfId="0" applyNumberForma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5" fillId="0" borderId="24" xfId="0" applyFont="1" applyBorder="1" applyAlignment="1">
      <alignment horizontal="center" vertical="center" wrapText="1" shrinkToFit="1"/>
    </xf>
    <xf numFmtId="0" fontId="35" fillId="0" borderId="11" xfId="0" applyFont="1" applyBorder="1" applyAlignment="1">
      <alignment horizontal="center" vertical="center" wrapText="1" shrinkToFit="1"/>
    </xf>
    <xf numFmtId="0" fontId="35" fillId="0" borderId="3" xfId="0" applyFont="1" applyBorder="1" applyAlignment="1">
      <alignment horizontal="center" vertical="center" wrapText="1" shrinkToFit="1"/>
    </xf>
    <xf numFmtId="0" fontId="35" fillId="0" borderId="25" xfId="0" applyFont="1" applyBorder="1" applyAlignment="1">
      <alignment horizontal="center" vertical="center" wrapText="1" shrinkToFit="1"/>
    </xf>
    <xf numFmtId="0" fontId="35" fillId="0" borderId="2" xfId="0" applyFont="1" applyBorder="1" applyAlignment="1">
      <alignment horizontal="center" vertical="center" wrapText="1" shrinkToFit="1"/>
    </xf>
    <xf numFmtId="0" fontId="35" fillId="0" borderId="29" xfId="0" applyFont="1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37" fillId="0" borderId="19" xfId="4" applyFont="1" applyBorder="1" applyAlignment="1">
      <alignment horizontal="center" vertical="center" wrapText="1"/>
    </xf>
    <xf numFmtId="0" fontId="38" fillId="0" borderId="19" xfId="4" applyFont="1" applyBorder="1" applyAlignment="1">
      <alignment horizontal="center" vertical="center" wrapText="1"/>
    </xf>
    <xf numFmtId="0" fontId="16" fillId="7" borderId="20" xfId="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0" fillId="0" borderId="18" xfId="4" applyFont="1" applyBorder="1" applyAlignment="1">
      <alignment horizontal="center" vertical="center" wrapText="1"/>
    </xf>
    <xf numFmtId="0" fontId="29" fillId="0" borderId="24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41" fillId="0" borderId="19" xfId="2" applyFont="1" applyBorder="1" applyAlignment="1">
      <alignment horizontal="center" vertical="center" wrapText="1"/>
    </xf>
    <xf numFmtId="0" fontId="41" fillId="0" borderId="19" xfId="0" applyFont="1" applyBorder="1" applyAlignment="1">
      <alignment horizontal="center" vertical="center" wrapText="1"/>
    </xf>
    <xf numFmtId="0" fontId="13" fillId="0" borderId="19" xfId="2" applyFont="1" applyBorder="1" applyAlignment="1">
      <alignment horizontal="center" vertical="center" wrapText="1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590549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200025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514350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20"/>
  <sheetViews>
    <sheetView view="pageBreakPreview" zoomScale="120" zoomScaleNormal="120" zoomScaleSheetLayoutView="120" workbookViewId="0">
      <pane ySplit="8" topLeftCell="A9" activePane="bottomLeft" state="frozen"/>
      <selection pane="bottomLeft" activeCell="S8" sqref="S8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27" t="s">
        <v>77</v>
      </c>
      <c r="B1" s="141"/>
      <c r="C1" s="141"/>
      <c r="D1" s="146" t="str">
        <f>R2</f>
        <v>26.06.30 엘티_신세계건설_대현기건_트레이더스의정부</v>
      </c>
      <c r="E1" s="146"/>
      <c r="F1" s="146"/>
      <c r="G1" s="147"/>
      <c r="R1" s="8" t="s">
        <v>70</v>
      </c>
    </row>
    <row r="2" spans="1:18" ht="16.5" customHeight="1">
      <c r="A2" s="142"/>
      <c r="B2" s="143"/>
      <c r="C2" s="143"/>
      <c r="D2" s="148"/>
      <c r="E2" s="148"/>
      <c r="F2" s="148"/>
      <c r="G2" s="149"/>
      <c r="R2" s="86" t="s">
        <v>107</v>
      </c>
    </row>
    <row r="3" spans="1:18" ht="16.5" customHeight="1">
      <c r="A3" s="142"/>
      <c r="B3" s="143"/>
      <c r="C3" s="143"/>
      <c r="D3" s="148"/>
      <c r="E3" s="148"/>
      <c r="F3" s="148"/>
      <c r="G3" s="149"/>
    </row>
    <row r="4" spans="1:18" ht="17.25" customHeight="1" thickBot="1">
      <c r="A4" s="144"/>
      <c r="B4" s="145"/>
      <c r="C4" s="145"/>
      <c r="D4" s="150"/>
      <c r="E4" s="150"/>
      <c r="F4" s="150"/>
      <c r="G4" s="151"/>
    </row>
    <row r="5" spans="1:18" ht="6.75" customHeight="1" thickTop="1">
      <c r="A5" s="87"/>
      <c r="B5" s="87"/>
      <c r="C5" s="87"/>
      <c r="D5" s="87"/>
      <c r="E5" s="87"/>
      <c r="F5" s="87"/>
      <c r="G5" s="87"/>
    </row>
    <row r="6" spans="1:18" s="10" customFormat="1" ht="18" customHeight="1" thickBot="1">
      <c r="A6" s="152" t="s">
        <v>1</v>
      </c>
      <c r="B6" s="154" t="s">
        <v>69</v>
      </c>
      <c r="C6" s="154" t="s">
        <v>4</v>
      </c>
      <c r="D6" s="154"/>
      <c r="E6" s="154" t="s">
        <v>42</v>
      </c>
      <c r="F6" s="154" t="s">
        <v>39</v>
      </c>
      <c r="G6" s="155" t="s">
        <v>18</v>
      </c>
      <c r="H6" s="9"/>
      <c r="I6" s="139" t="s">
        <v>10</v>
      </c>
      <c r="J6" s="139"/>
      <c r="K6" s="139"/>
      <c r="L6" s="139"/>
      <c r="M6" s="139"/>
      <c r="N6" s="139"/>
      <c r="O6" s="8"/>
    </row>
    <row r="7" spans="1:18" s="10" customFormat="1" ht="18" customHeight="1">
      <c r="A7" s="153"/>
      <c r="B7" s="140"/>
      <c r="C7" s="140" t="s">
        <v>66</v>
      </c>
      <c r="D7" s="140" t="s">
        <v>64</v>
      </c>
      <c r="E7" s="140"/>
      <c r="F7" s="140"/>
      <c r="G7" s="156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53"/>
      <c r="B8" s="140"/>
      <c r="C8" s="140"/>
      <c r="D8" s="140"/>
      <c r="E8" s="140"/>
      <c r="F8" s="140"/>
      <c r="G8" s="156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103" t="s">
        <v>102</v>
      </c>
      <c r="B9" s="62" t="s">
        <v>49</v>
      </c>
      <c r="C9" s="34">
        <v>300</v>
      </c>
      <c r="D9" s="34">
        <v>300</v>
      </c>
      <c r="E9" s="88"/>
      <c r="F9" s="88"/>
      <c r="G9" s="309" t="s">
        <v>90</v>
      </c>
      <c r="H9" s="13"/>
      <c r="I9" s="28"/>
      <c r="J9" s="26"/>
      <c r="K9" s="20"/>
      <c r="L9" s="21"/>
      <c r="M9" s="22"/>
      <c r="N9" s="26"/>
      <c r="O9" s="8"/>
      <c r="Q9" s="10" t="s">
        <v>108</v>
      </c>
    </row>
    <row r="10" spans="1:18" s="10" customFormat="1" ht="18" customHeight="1" thickBot="1">
      <c r="A10" s="103" t="s">
        <v>103</v>
      </c>
      <c r="B10" s="62" t="s">
        <v>49</v>
      </c>
      <c r="C10" s="34">
        <v>350</v>
      </c>
      <c r="D10" s="34">
        <v>300</v>
      </c>
      <c r="E10" s="74"/>
      <c r="F10" s="88"/>
      <c r="G10" s="310" t="s">
        <v>91</v>
      </c>
      <c r="H10" s="13"/>
      <c r="I10" s="28"/>
      <c r="J10" s="26"/>
      <c r="K10" s="20"/>
      <c r="L10" s="21"/>
      <c r="M10" s="22"/>
      <c r="N10" s="26"/>
      <c r="O10" s="8"/>
      <c r="Q10" s="10" t="s">
        <v>109</v>
      </c>
    </row>
    <row r="11" spans="1:18" s="10" customFormat="1" ht="18" customHeight="1" thickBot="1">
      <c r="A11" s="103" t="s">
        <v>104</v>
      </c>
      <c r="B11" s="62" t="s">
        <v>49</v>
      </c>
      <c r="C11" s="34">
        <v>400</v>
      </c>
      <c r="D11" s="34">
        <v>400</v>
      </c>
      <c r="E11" s="74"/>
      <c r="F11" s="88"/>
      <c r="G11" s="310" t="s">
        <v>92</v>
      </c>
      <c r="H11" s="13"/>
      <c r="I11" s="28"/>
      <c r="J11" s="26"/>
      <c r="K11" s="20"/>
      <c r="L11" s="21"/>
      <c r="M11" s="22"/>
      <c r="N11" s="26"/>
      <c r="O11" s="8"/>
      <c r="Q11" s="10" t="s">
        <v>110</v>
      </c>
    </row>
    <row r="12" spans="1:18" s="10" customFormat="1" ht="18" customHeight="1" thickBot="1">
      <c r="A12" s="103" t="s">
        <v>79</v>
      </c>
      <c r="B12" s="62" t="s">
        <v>49</v>
      </c>
      <c r="C12" s="34">
        <v>600</v>
      </c>
      <c r="D12" s="34">
        <v>300</v>
      </c>
      <c r="E12" s="74"/>
      <c r="F12" s="88"/>
      <c r="G12" s="310" t="s">
        <v>93</v>
      </c>
      <c r="H12" s="13"/>
      <c r="I12" s="28"/>
      <c r="J12" s="26"/>
      <c r="K12" s="20"/>
      <c r="L12" s="21"/>
      <c r="M12" s="22"/>
      <c r="N12" s="26"/>
      <c r="O12" s="8"/>
      <c r="Q12" s="10" t="s">
        <v>111</v>
      </c>
    </row>
    <row r="13" spans="1:18" s="10" customFormat="1" ht="18" customHeight="1" thickBot="1">
      <c r="A13" s="103" t="s">
        <v>80</v>
      </c>
      <c r="B13" s="62" t="s">
        <v>49</v>
      </c>
      <c r="C13" s="34">
        <v>600</v>
      </c>
      <c r="D13" s="34">
        <v>400</v>
      </c>
      <c r="E13" s="74"/>
      <c r="F13" s="88"/>
      <c r="G13" s="310" t="s">
        <v>94</v>
      </c>
      <c r="H13" s="13"/>
      <c r="I13" s="12"/>
      <c r="J13" s="12"/>
      <c r="K13" s="20"/>
      <c r="L13" s="21"/>
      <c r="M13" s="22"/>
      <c r="N13" s="12"/>
      <c r="O13" s="8"/>
      <c r="Q13" s="10" t="s">
        <v>112</v>
      </c>
    </row>
    <row r="14" spans="1:18" s="10" customFormat="1" ht="18" customHeight="1" thickBot="1">
      <c r="A14" s="103" t="s">
        <v>81</v>
      </c>
      <c r="B14" s="62" t="s">
        <v>49</v>
      </c>
      <c r="C14" s="34">
        <v>600</v>
      </c>
      <c r="D14" s="34">
        <v>550</v>
      </c>
      <c r="E14" s="74"/>
      <c r="F14" s="313" t="s">
        <v>105</v>
      </c>
      <c r="G14" s="310" t="s">
        <v>95</v>
      </c>
      <c r="H14" s="13"/>
      <c r="I14" s="28"/>
      <c r="J14" s="26"/>
      <c r="K14" s="20"/>
      <c r="L14" s="21"/>
      <c r="M14" s="22"/>
      <c r="N14" s="26"/>
      <c r="O14" s="8"/>
      <c r="Q14" s="10" t="s">
        <v>113</v>
      </c>
    </row>
    <row r="15" spans="1:18" s="10" customFormat="1" ht="18" customHeight="1" thickBot="1">
      <c r="A15" s="103" t="s">
        <v>82</v>
      </c>
      <c r="B15" s="62" t="s">
        <v>49</v>
      </c>
      <c r="C15" s="34">
        <v>700</v>
      </c>
      <c r="D15" s="34">
        <v>550</v>
      </c>
      <c r="E15" s="74"/>
      <c r="F15" s="88"/>
      <c r="G15" s="310" t="s">
        <v>96</v>
      </c>
      <c r="H15" s="13"/>
      <c r="I15" s="27"/>
      <c r="J15" s="25"/>
      <c r="K15" s="20"/>
      <c r="L15" s="21"/>
      <c r="M15" s="22"/>
      <c r="N15" s="25"/>
      <c r="O15" s="8"/>
      <c r="Q15" s="10" t="s">
        <v>114</v>
      </c>
    </row>
    <row r="16" spans="1:18" s="10" customFormat="1" ht="18" customHeight="1" thickBot="1">
      <c r="A16" s="103" t="s">
        <v>83</v>
      </c>
      <c r="B16" s="62" t="s">
        <v>49</v>
      </c>
      <c r="C16" s="34">
        <v>700</v>
      </c>
      <c r="D16" s="34">
        <v>600</v>
      </c>
      <c r="E16" s="74"/>
      <c r="F16" s="88"/>
      <c r="G16" s="310" t="s">
        <v>97</v>
      </c>
      <c r="H16" s="13"/>
      <c r="I16" s="28"/>
      <c r="J16" s="26"/>
      <c r="K16" s="20"/>
      <c r="L16" s="21"/>
      <c r="M16" s="22"/>
      <c r="N16" s="26"/>
      <c r="O16" s="8"/>
      <c r="Q16" s="10" t="s">
        <v>115</v>
      </c>
    </row>
    <row r="17" spans="1:17" s="10" customFormat="1" ht="18" customHeight="1" thickBot="1">
      <c r="A17" s="103" t="s">
        <v>84</v>
      </c>
      <c r="B17" s="62" t="s">
        <v>49</v>
      </c>
      <c r="C17" s="34">
        <v>900</v>
      </c>
      <c r="D17" s="34">
        <v>600</v>
      </c>
      <c r="E17" s="74"/>
      <c r="F17" s="88"/>
      <c r="G17" s="310" t="s">
        <v>98</v>
      </c>
      <c r="H17" s="13"/>
      <c r="I17" s="28"/>
      <c r="J17" s="26"/>
      <c r="K17" s="20"/>
      <c r="L17" s="21"/>
      <c r="M17" s="22"/>
      <c r="N17" s="26"/>
      <c r="O17" s="8"/>
      <c r="Q17" s="10" t="s">
        <v>116</v>
      </c>
    </row>
    <row r="18" spans="1:17" s="10" customFormat="1" ht="18" customHeight="1" thickBot="1">
      <c r="A18" s="103" t="s">
        <v>85</v>
      </c>
      <c r="B18" s="62" t="s">
        <v>49</v>
      </c>
      <c r="C18" s="34">
        <v>900</v>
      </c>
      <c r="D18" s="34">
        <v>650</v>
      </c>
      <c r="E18" s="74"/>
      <c r="F18" s="88"/>
      <c r="G18" s="310" t="s">
        <v>99</v>
      </c>
      <c r="H18" s="13"/>
      <c r="I18" s="28"/>
      <c r="J18" s="26"/>
      <c r="K18" s="20"/>
      <c r="L18" s="21"/>
      <c r="M18" s="22"/>
      <c r="N18" s="26"/>
      <c r="O18" s="8"/>
      <c r="Q18" s="10" t="s">
        <v>117</v>
      </c>
    </row>
    <row r="19" spans="1:17" s="10" customFormat="1" ht="16.5">
      <c r="A19" s="103" t="s">
        <v>86</v>
      </c>
      <c r="B19" s="63" t="s">
        <v>48</v>
      </c>
      <c r="C19" s="34">
        <v>900</v>
      </c>
      <c r="D19" s="34">
        <v>850</v>
      </c>
      <c r="E19" s="74"/>
      <c r="F19" s="88"/>
      <c r="G19" s="310" t="s">
        <v>100</v>
      </c>
      <c r="H19" s="13"/>
      <c r="I19" s="7"/>
      <c r="J19" s="7"/>
      <c r="K19" s="20"/>
      <c r="L19" s="21"/>
      <c r="M19" s="22"/>
      <c r="N19" s="7"/>
      <c r="O19" s="8"/>
      <c r="Q19" s="10" t="s">
        <v>118</v>
      </c>
    </row>
    <row r="20" spans="1:17" s="10" customFormat="1" ht="16.5">
      <c r="A20" s="103" t="s">
        <v>87</v>
      </c>
      <c r="B20" s="63" t="s">
        <v>48</v>
      </c>
      <c r="C20" s="34">
        <v>1200</v>
      </c>
      <c r="D20" s="34">
        <v>700</v>
      </c>
      <c r="E20" s="74"/>
      <c r="F20" s="88"/>
      <c r="G20" s="310" t="s">
        <v>101</v>
      </c>
      <c r="H20" s="13"/>
      <c r="I20" s="7"/>
      <c r="J20" s="7"/>
      <c r="K20" s="19"/>
      <c r="L20" s="19"/>
      <c r="M20" s="19"/>
      <c r="N20" s="7"/>
      <c r="O20" s="8"/>
      <c r="Q20" s="10" t="s">
        <v>119</v>
      </c>
    </row>
  </sheetData>
  <mergeCells count="11">
    <mergeCell ref="A1:C4"/>
    <mergeCell ref="D1:G4"/>
    <mergeCell ref="A6:A8"/>
    <mergeCell ref="B6:B8"/>
    <mergeCell ref="C6:D6"/>
    <mergeCell ref="E6:E8"/>
    <mergeCell ref="F6:F8"/>
    <mergeCell ref="G6:G8"/>
    <mergeCell ref="I6:N6"/>
    <mergeCell ref="C7:C8"/>
    <mergeCell ref="D7:D8"/>
  </mergeCells>
  <phoneticPr fontId="30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21"/>
  <sheetViews>
    <sheetView zoomScaleNormal="100" zoomScaleSheetLayoutView="100" workbookViewId="0">
      <selection activeCell="O13" sqref="O13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27"/>
      <c r="B1" s="127"/>
      <c r="C1" s="127"/>
      <c r="D1" s="127"/>
      <c r="E1" s="157" t="s">
        <v>72</v>
      </c>
      <c r="F1" s="158"/>
      <c r="G1" s="158"/>
      <c r="H1" s="158" t="str">
        <f>'1. 소켓인수검사'!R2</f>
        <v>26.06.30 엘티_신세계건설_대현기건_트레이더스의정부</v>
      </c>
      <c r="I1" s="158"/>
      <c r="J1" s="158"/>
      <c r="K1" s="158"/>
      <c r="L1" s="158"/>
      <c r="M1" s="158"/>
      <c r="N1" s="158"/>
      <c r="O1" s="163"/>
    </row>
    <row r="2" spans="1:15" ht="16.5" customHeight="1">
      <c r="A2" s="127"/>
      <c r="B2" s="127"/>
      <c r="C2" s="127"/>
      <c r="D2" s="127"/>
      <c r="E2" s="159"/>
      <c r="F2" s="160"/>
      <c r="G2" s="160"/>
      <c r="H2" s="160"/>
      <c r="I2" s="160"/>
      <c r="J2" s="160"/>
      <c r="K2" s="160"/>
      <c r="L2" s="160"/>
      <c r="M2" s="160"/>
      <c r="N2" s="160"/>
      <c r="O2" s="164"/>
    </row>
    <row r="3" spans="1:15" ht="16.5" customHeight="1">
      <c r="A3" s="127"/>
      <c r="B3" s="127"/>
      <c r="C3" s="127"/>
      <c r="D3" s="127"/>
      <c r="E3" s="161"/>
      <c r="F3" s="162"/>
      <c r="G3" s="162"/>
      <c r="H3" s="162"/>
      <c r="I3" s="162"/>
      <c r="J3" s="162"/>
      <c r="K3" s="162"/>
      <c r="L3" s="162"/>
      <c r="M3" s="162"/>
      <c r="N3" s="162"/>
      <c r="O3" s="165"/>
    </row>
    <row r="4" spans="1:15" ht="8.1" customHeight="1">
      <c r="A4" s="166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</row>
    <row r="5" spans="1:15" ht="26.45" customHeight="1">
      <c r="A5" s="167" t="s">
        <v>59</v>
      </c>
      <c r="B5" s="168" t="s">
        <v>69</v>
      </c>
      <c r="C5" s="171" t="s">
        <v>4</v>
      </c>
      <c r="D5" s="171"/>
      <c r="E5" s="171" t="s">
        <v>25</v>
      </c>
      <c r="F5" s="172" t="s">
        <v>57</v>
      </c>
      <c r="G5" s="175" t="s">
        <v>21</v>
      </c>
      <c r="H5" s="176"/>
      <c r="I5" s="176"/>
      <c r="J5" s="177"/>
      <c r="K5" s="175" t="s">
        <v>35</v>
      </c>
      <c r="L5" s="176"/>
      <c r="M5" s="176"/>
      <c r="N5" s="176"/>
      <c r="O5" s="172" t="s">
        <v>2</v>
      </c>
    </row>
    <row r="6" spans="1:15" ht="16.5" customHeight="1">
      <c r="A6" s="167"/>
      <c r="B6" s="169"/>
      <c r="C6" s="171" t="s">
        <v>66</v>
      </c>
      <c r="D6" s="171" t="s">
        <v>64</v>
      </c>
      <c r="E6" s="171"/>
      <c r="F6" s="173"/>
      <c r="G6" s="171" t="s">
        <v>66</v>
      </c>
      <c r="H6" s="171"/>
      <c r="I6" s="171" t="s">
        <v>64</v>
      </c>
      <c r="J6" s="171"/>
      <c r="K6" s="171" t="s">
        <v>68</v>
      </c>
      <c r="L6" s="171"/>
      <c r="M6" s="175" t="s">
        <v>65</v>
      </c>
      <c r="N6" s="176"/>
      <c r="O6" s="173"/>
    </row>
    <row r="7" spans="1:15">
      <c r="A7" s="167"/>
      <c r="B7" s="170"/>
      <c r="C7" s="171"/>
      <c r="D7" s="171"/>
      <c r="E7" s="171"/>
      <c r="F7" s="174"/>
      <c r="G7" s="105" t="s">
        <v>4</v>
      </c>
      <c r="H7" s="105" t="s">
        <v>32</v>
      </c>
      <c r="I7" s="108" t="s">
        <v>4</v>
      </c>
      <c r="J7" s="107" t="s">
        <v>32</v>
      </c>
      <c r="K7" s="105" t="s">
        <v>4</v>
      </c>
      <c r="L7" s="105" t="s">
        <v>57</v>
      </c>
      <c r="M7" s="105" t="s">
        <v>4</v>
      </c>
      <c r="N7" s="106" t="s">
        <v>57</v>
      </c>
      <c r="O7" s="174"/>
    </row>
    <row r="8" spans="1:15">
      <c r="A8" s="109" t="str">
        <f>'1. 소켓인수검사'!A9</f>
        <v>01</v>
      </c>
      <c r="B8" s="114" t="s">
        <v>49</v>
      </c>
      <c r="C8" s="70">
        <f>'1. 소켓인수검사'!C9</f>
        <v>300</v>
      </c>
      <c r="D8" s="70">
        <f>'1. 소켓인수검사'!D9</f>
        <v>300</v>
      </c>
      <c r="E8" s="41"/>
      <c r="F8" s="70">
        <v>1</v>
      </c>
      <c r="G8" s="110">
        <f t="shared" ref="G8:G17" si="0">C8-5</f>
        <v>295</v>
      </c>
      <c r="H8" s="70">
        <f t="shared" ref="H8:H17" si="1">F8*4</f>
        <v>4</v>
      </c>
      <c r="I8" s="111">
        <f t="shared" ref="I8:I17" si="2">D8-30</f>
        <v>270</v>
      </c>
      <c r="J8" s="70">
        <f t="shared" ref="J8:J17" si="3">F8*4</f>
        <v>4</v>
      </c>
      <c r="K8" s="112">
        <f t="shared" ref="K8:K17" si="4">C8+60</f>
        <v>360</v>
      </c>
      <c r="L8" s="70">
        <v>2</v>
      </c>
      <c r="M8" s="112">
        <f t="shared" ref="M8:M17" si="5">D8</f>
        <v>300</v>
      </c>
      <c r="N8" s="70">
        <v>2</v>
      </c>
      <c r="O8" s="113"/>
    </row>
    <row r="9" spans="1:15">
      <c r="A9" s="109" t="str">
        <f>'1. 소켓인수검사'!A10</f>
        <v>02</v>
      </c>
      <c r="B9" s="114" t="s">
        <v>49</v>
      </c>
      <c r="C9" s="70">
        <f>'1. 소켓인수검사'!C10</f>
        <v>350</v>
      </c>
      <c r="D9" s="70">
        <f>'1. 소켓인수검사'!D10</f>
        <v>300</v>
      </c>
      <c r="E9" s="41"/>
      <c r="F9" s="70">
        <v>1</v>
      </c>
      <c r="G9" s="110">
        <f t="shared" si="0"/>
        <v>345</v>
      </c>
      <c r="H9" s="70">
        <f t="shared" si="1"/>
        <v>4</v>
      </c>
      <c r="I9" s="111">
        <f t="shared" si="2"/>
        <v>270</v>
      </c>
      <c r="J9" s="70">
        <f t="shared" si="3"/>
        <v>4</v>
      </c>
      <c r="K9" s="112">
        <f t="shared" si="4"/>
        <v>410</v>
      </c>
      <c r="L9" s="70">
        <v>2</v>
      </c>
      <c r="M9" s="112">
        <f t="shared" si="5"/>
        <v>300</v>
      </c>
      <c r="N9" s="70">
        <v>2</v>
      </c>
      <c r="O9" s="113"/>
    </row>
    <row r="10" spans="1:15">
      <c r="A10" s="109" t="str">
        <f>'1. 소켓인수검사'!A11</f>
        <v>03</v>
      </c>
      <c r="B10" s="114" t="s">
        <v>49</v>
      </c>
      <c r="C10" s="70">
        <f>'1. 소켓인수검사'!C11</f>
        <v>400</v>
      </c>
      <c r="D10" s="70">
        <f>'1. 소켓인수검사'!D11</f>
        <v>400</v>
      </c>
      <c r="E10" s="41"/>
      <c r="F10" s="70">
        <v>1</v>
      </c>
      <c r="G10" s="110">
        <f t="shared" si="0"/>
        <v>395</v>
      </c>
      <c r="H10" s="70">
        <f t="shared" si="1"/>
        <v>4</v>
      </c>
      <c r="I10" s="111">
        <f t="shared" si="2"/>
        <v>370</v>
      </c>
      <c r="J10" s="70">
        <f t="shared" si="3"/>
        <v>4</v>
      </c>
      <c r="K10" s="112">
        <f t="shared" si="4"/>
        <v>460</v>
      </c>
      <c r="L10" s="70">
        <v>2</v>
      </c>
      <c r="M10" s="112">
        <f t="shared" si="5"/>
        <v>400</v>
      </c>
      <c r="N10" s="70">
        <v>2</v>
      </c>
      <c r="O10" s="113"/>
    </row>
    <row r="11" spans="1:15">
      <c r="A11" s="109" t="str">
        <f>'1. 소켓인수검사'!A12</f>
        <v>04</v>
      </c>
      <c r="B11" s="114" t="s">
        <v>49</v>
      </c>
      <c r="C11" s="70">
        <f>'1. 소켓인수검사'!C12</f>
        <v>600</v>
      </c>
      <c r="D11" s="70">
        <f>'1. 소켓인수검사'!D12</f>
        <v>300</v>
      </c>
      <c r="E11" s="41"/>
      <c r="F11" s="70">
        <v>1</v>
      </c>
      <c r="G11" s="110">
        <f t="shared" si="0"/>
        <v>595</v>
      </c>
      <c r="H11" s="70">
        <f t="shared" si="1"/>
        <v>4</v>
      </c>
      <c r="I11" s="111">
        <f t="shared" si="2"/>
        <v>270</v>
      </c>
      <c r="J11" s="70">
        <f t="shared" si="3"/>
        <v>4</v>
      </c>
      <c r="K11" s="112">
        <f t="shared" si="4"/>
        <v>660</v>
      </c>
      <c r="L11" s="70">
        <v>2</v>
      </c>
      <c r="M11" s="112">
        <f t="shared" si="5"/>
        <v>300</v>
      </c>
      <c r="N11" s="70">
        <v>2</v>
      </c>
      <c r="O11" s="113"/>
    </row>
    <row r="12" spans="1:15">
      <c r="A12" s="109" t="str">
        <f>'1. 소켓인수검사'!A13</f>
        <v>05</v>
      </c>
      <c r="B12" s="114" t="s">
        <v>49</v>
      </c>
      <c r="C12" s="70">
        <f>'1. 소켓인수검사'!C13</f>
        <v>600</v>
      </c>
      <c r="D12" s="70">
        <f>'1. 소켓인수검사'!D13</f>
        <v>400</v>
      </c>
      <c r="E12" s="41"/>
      <c r="F12" s="70">
        <v>1</v>
      </c>
      <c r="G12" s="110">
        <f t="shared" si="0"/>
        <v>595</v>
      </c>
      <c r="H12" s="70">
        <f t="shared" si="1"/>
        <v>4</v>
      </c>
      <c r="I12" s="111">
        <f t="shared" si="2"/>
        <v>370</v>
      </c>
      <c r="J12" s="70">
        <f t="shared" si="3"/>
        <v>4</v>
      </c>
      <c r="K12" s="112">
        <f t="shared" si="4"/>
        <v>660</v>
      </c>
      <c r="L12" s="70">
        <v>2</v>
      </c>
      <c r="M12" s="112">
        <f t="shared" si="5"/>
        <v>400</v>
      </c>
      <c r="N12" s="70">
        <v>2</v>
      </c>
      <c r="O12" s="113"/>
    </row>
    <row r="13" spans="1:15">
      <c r="A13" s="109" t="str">
        <f>'1. 소켓인수검사'!A14</f>
        <v>06</v>
      </c>
      <c r="B13" s="114" t="s">
        <v>49</v>
      </c>
      <c r="C13" s="70">
        <f>'1. 소켓인수검사'!C14</f>
        <v>600</v>
      </c>
      <c r="D13" s="70">
        <f>'1. 소켓인수검사'!D14</f>
        <v>550</v>
      </c>
      <c r="E13" s="41"/>
      <c r="F13" s="70">
        <v>1</v>
      </c>
      <c r="G13" s="110">
        <f t="shared" si="0"/>
        <v>595</v>
      </c>
      <c r="H13" s="70">
        <f t="shared" si="1"/>
        <v>4</v>
      </c>
      <c r="I13" s="111">
        <f t="shared" si="2"/>
        <v>520</v>
      </c>
      <c r="J13" s="70">
        <f t="shared" si="3"/>
        <v>4</v>
      </c>
      <c r="K13" s="112">
        <f t="shared" si="4"/>
        <v>660</v>
      </c>
      <c r="L13" s="70">
        <v>2</v>
      </c>
      <c r="M13" s="112">
        <f t="shared" si="5"/>
        <v>550</v>
      </c>
      <c r="N13" s="70">
        <v>2</v>
      </c>
      <c r="O13" s="323" t="s">
        <v>89</v>
      </c>
    </row>
    <row r="14" spans="1:15">
      <c r="A14" s="109" t="str">
        <f>'1. 소켓인수검사'!A15</f>
        <v>07</v>
      </c>
      <c r="B14" s="114" t="s">
        <v>49</v>
      </c>
      <c r="C14" s="70">
        <f>'1. 소켓인수검사'!C15</f>
        <v>700</v>
      </c>
      <c r="D14" s="70">
        <f>'1. 소켓인수검사'!D15</f>
        <v>550</v>
      </c>
      <c r="E14" s="41"/>
      <c r="F14" s="70">
        <v>1</v>
      </c>
      <c r="G14" s="110">
        <f t="shared" si="0"/>
        <v>695</v>
      </c>
      <c r="H14" s="70">
        <f t="shared" si="1"/>
        <v>4</v>
      </c>
      <c r="I14" s="111">
        <f t="shared" si="2"/>
        <v>520</v>
      </c>
      <c r="J14" s="70">
        <f t="shared" si="3"/>
        <v>4</v>
      </c>
      <c r="K14" s="112">
        <f t="shared" si="4"/>
        <v>760</v>
      </c>
      <c r="L14" s="70">
        <v>2</v>
      </c>
      <c r="M14" s="112">
        <f t="shared" si="5"/>
        <v>550</v>
      </c>
      <c r="N14" s="70">
        <v>2</v>
      </c>
      <c r="O14" s="113"/>
    </row>
    <row r="15" spans="1:15">
      <c r="A15" s="109" t="str">
        <f>'1. 소켓인수검사'!A16</f>
        <v>08</v>
      </c>
      <c r="B15" s="114" t="s">
        <v>49</v>
      </c>
      <c r="C15" s="70">
        <f>'1. 소켓인수검사'!C16</f>
        <v>700</v>
      </c>
      <c r="D15" s="70">
        <f>'1. 소켓인수검사'!D16</f>
        <v>600</v>
      </c>
      <c r="E15" s="41"/>
      <c r="F15" s="70">
        <v>1</v>
      </c>
      <c r="G15" s="110">
        <f t="shared" si="0"/>
        <v>695</v>
      </c>
      <c r="H15" s="70">
        <f t="shared" si="1"/>
        <v>4</v>
      </c>
      <c r="I15" s="111">
        <f t="shared" si="2"/>
        <v>570</v>
      </c>
      <c r="J15" s="70">
        <f t="shared" si="3"/>
        <v>4</v>
      </c>
      <c r="K15" s="112">
        <f t="shared" si="4"/>
        <v>760</v>
      </c>
      <c r="L15" s="70">
        <v>2</v>
      </c>
      <c r="M15" s="112">
        <f t="shared" si="5"/>
        <v>600</v>
      </c>
      <c r="N15" s="70">
        <v>2</v>
      </c>
      <c r="O15" s="113"/>
    </row>
    <row r="16" spans="1:15">
      <c r="A16" s="109" t="str">
        <f>'1. 소켓인수검사'!A17</f>
        <v>09</v>
      </c>
      <c r="B16" s="114" t="s">
        <v>49</v>
      </c>
      <c r="C16" s="70">
        <f>'1. 소켓인수검사'!C17</f>
        <v>900</v>
      </c>
      <c r="D16" s="70">
        <f>'1. 소켓인수검사'!D17</f>
        <v>600</v>
      </c>
      <c r="E16" s="41"/>
      <c r="F16" s="70">
        <v>1</v>
      </c>
      <c r="G16" s="110">
        <f t="shared" si="0"/>
        <v>895</v>
      </c>
      <c r="H16" s="70">
        <f t="shared" si="1"/>
        <v>4</v>
      </c>
      <c r="I16" s="111">
        <f t="shared" si="2"/>
        <v>570</v>
      </c>
      <c r="J16" s="70">
        <f t="shared" si="3"/>
        <v>4</v>
      </c>
      <c r="K16" s="112">
        <f t="shared" si="4"/>
        <v>960</v>
      </c>
      <c r="L16" s="70">
        <v>2</v>
      </c>
      <c r="M16" s="112">
        <f t="shared" si="5"/>
        <v>600</v>
      </c>
      <c r="N16" s="70">
        <v>2</v>
      </c>
      <c r="O16" s="113"/>
    </row>
    <row r="17" spans="1:15">
      <c r="A17" s="109" t="str">
        <f>'1. 소켓인수검사'!A18</f>
        <v>10</v>
      </c>
      <c r="B17" s="114" t="s">
        <v>49</v>
      </c>
      <c r="C17" s="70">
        <f>'1. 소켓인수검사'!C18</f>
        <v>900</v>
      </c>
      <c r="D17" s="70">
        <f>'1. 소켓인수검사'!D18</f>
        <v>650</v>
      </c>
      <c r="E17" s="41"/>
      <c r="F17" s="70">
        <v>1</v>
      </c>
      <c r="G17" s="110">
        <f t="shared" si="0"/>
        <v>895</v>
      </c>
      <c r="H17" s="70">
        <f t="shared" si="1"/>
        <v>4</v>
      </c>
      <c r="I17" s="111">
        <f t="shared" si="2"/>
        <v>620</v>
      </c>
      <c r="J17" s="70">
        <f t="shared" si="3"/>
        <v>4</v>
      </c>
      <c r="K17" s="112">
        <f t="shared" si="4"/>
        <v>960</v>
      </c>
      <c r="L17" s="70">
        <v>2</v>
      </c>
      <c r="M17" s="112">
        <f t="shared" si="5"/>
        <v>650</v>
      </c>
      <c r="N17" s="70">
        <v>2</v>
      </c>
      <c r="O17" s="113"/>
    </row>
    <row r="18" spans="1:15" ht="8.1" customHeight="1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</row>
    <row r="19" spans="1:15">
      <c r="A19" s="127" t="s">
        <v>46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</row>
    <row r="20" spans="1:15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</row>
    <row r="21" spans="1:15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</row>
  </sheetData>
  <mergeCells count="21">
    <mergeCell ref="A18:O18"/>
    <mergeCell ref="A19:C21"/>
    <mergeCell ref="D19:O21"/>
    <mergeCell ref="K5:N5"/>
    <mergeCell ref="O5:O7"/>
    <mergeCell ref="C6:C7"/>
    <mergeCell ref="D6:D7"/>
    <mergeCell ref="G6:H6"/>
    <mergeCell ref="I6:J6"/>
    <mergeCell ref="K6:L6"/>
    <mergeCell ref="M6:N6"/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17"/>
  <sheetViews>
    <sheetView tabSelected="1" zoomScaleNormal="100" zoomScaleSheetLayoutView="100" workbookViewId="0">
      <selection activeCell="A12" sqref="A12:C17"/>
    </sheetView>
  </sheetViews>
  <sheetFormatPr defaultColWidth="9" defaultRowHeight="16.5"/>
  <cols>
    <col min="1" max="1" width="5.125" bestFit="1" customWidth="1"/>
    <col min="2" max="2" width="6" customWidth="1"/>
    <col min="3" max="4" width="8.125" customWidth="1"/>
    <col min="5" max="5" width="13.875" customWidth="1"/>
    <col min="6" max="6" width="5.125" customWidth="1"/>
    <col min="7" max="7" width="7" style="5" customWidth="1"/>
    <col min="8" max="8" width="7.75" style="5" customWidth="1"/>
    <col min="9" max="9" width="5.25" style="5" bestFit="1" customWidth="1"/>
    <col min="10" max="10" width="8" style="5" customWidth="1"/>
    <col min="11" max="11" width="7.375" customWidth="1"/>
    <col min="12" max="12" width="5.875" customWidth="1"/>
    <col min="13" max="13" width="7.125" customWidth="1"/>
    <col min="14" max="14" width="6.25" customWidth="1"/>
    <col min="15" max="15" width="25.5" customWidth="1"/>
  </cols>
  <sheetData>
    <row r="1" spans="1:15" ht="16.5" customHeight="1">
      <c r="A1" s="127"/>
      <c r="B1" s="127"/>
      <c r="C1" s="127"/>
      <c r="D1" s="127"/>
      <c r="E1" s="189" t="s">
        <v>71</v>
      </c>
      <c r="F1" s="190"/>
      <c r="G1" s="190"/>
      <c r="H1" s="195" t="str">
        <f>'1. 소켓인수검사'!R2</f>
        <v>26.06.30 엘티_신세계건설_대현기건_트레이더스의정부</v>
      </c>
      <c r="I1" s="195"/>
      <c r="J1" s="195"/>
      <c r="K1" s="195"/>
      <c r="L1" s="195"/>
      <c r="M1" s="195"/>
      <c r="N1" s="195"/>
      <c r="O1" s="196"/>
    </row>
    <row r="2" spans="1:15" ht="38.25" customHeight="1">
      <c r="A2" s="127"/>
      <c r="B2" s="127"/>
      <c r="C2" s="127"/>
      <c r="D2" s="127"/>
      <c r="E2" s="191"/>
      <c r="F2" s="192"/>
      <c r="G2" s="192"/>
      <c r="H2" s="197"/>
      <c r="I2" s="197"/>
      <c r="J2" s="197"/>
      <c r="K2" s="197"/>
      <c r="L2" s="197"/>
      <c r="M2" s="197"/>
      <c r="N2" s="197"/>
      <c r="O2" s="198"/>
    </row>
    <row r="3" spans="1:15" ht="38.25" customHeight="1">
      <c r="A3" s="127"/>
      <c r="B3" s="127"/>
      <c r="C3" s="127"/>
      <c r="D3" s="127"/>
      <c r="E3" s="193"/>
      <c r="F3" s="194"/>
      <c r="G3" s="194"/>
      <c r="H3" s="199"/>
      <c r="I3" s="199"/>
      <c r="J3" s="199"/>
      <c r="K3" s="199"/>
      <c r="L3" s="199"/>
      <c r="M3" s="199"/>
      <c r="N3" s="199"/>
      <c r="O3" s="200"/>
    </row>
    <row r="4" spans="1:15" ht="8.1" customHeight="1">
      <c r="A4" s="182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4"/>
      <c r="O4" s="15"/>
    </row>
    <row r="5" spans="1:15" s="18" customFormat="1" ht="26.45" customHeight="1">
      <c r="A5" s="201" t="s">
        <v>59</v>
      </c>
      <c r="B5" s="203" t="s">
        <v>69</v>
      </c>
      <c r="C5" s="205" t="s">
        <v>4</v>
      </c>
      <c r="D5" s="205"/>
      <c r="E5" s="205" t="s">
        <v>25</v>
      </c>
      <c r="F5" s="205" t="s">
        <v>57</v>
      </c>
      <c r="G5" s="205" t="s">
        <v>21</v>
      </c>
      <c r="H5" s="205"/>
      <c r="I5" s="205"/>
      <c r="J5" s="205"/>
      <c r="K5" s="205" t="s">
        <v>35</v>
      </c>
      <c r="L5" s="205"/>
      <c r="M5" s="205"/>
      <c r="N5" s="205"/>
      <c r="O5" s="206" t="s">
        <v>2</v>
      </c>
    </row>
    <row r="6" spans="1:15" s="18" customFormat="1" ht="16.5" customHeight="1">
      <c r="A6" s="202"/>
      <c r="B6" s="204"/>
      <c r="C6" s="178" t="s">
        <v>66</v>
      </c>
      <c r="D6" s="178" t="s">
        <v>64</v>
      </c>
      <c r="E6" s="178"/>
      <c r="F6" s="178"/>
      <c r="G6" s="208" t="s">
        <v>66</v>
      </c>
      <c r="H6" s="208"/>
      <c r="I6" s="208" t="s">
        <v>64</v>
      </c>
      <c r="J6" s="208"/>
      <c r="K6" s="178" t="s">
        <v>68</v>
      </c>
      <c r="L6" s="178"/>
      <c r="M6" s="178" t="s">
        <v>65</v>
      </c>
      <c r="N6" s="178"/>
      <c r="O6" s="207"/>
    </row>
    <row r="7" spans="1:15" s="18" customFormat="1" ht="16.5" customHeight="1">
      <c r="A7" s="202"/>
      <c r="B7" s="204"/>
      <c r="C7" s="178"/>
      <c r="D7" s="178"/>
      <c r="E7" s="178"/>
      <c r="F7" s="178"/>
      <c r="G7" s="93" t="s">
        <v>4</v>
      </c>
      <c r="H7" s="93" t="s">
        <v>32</v>
      </c>
      <c r="I7" s="93" t="s">
        <v>4</v>
      </c>
      <c r="J7" s="93" t="s">
        <v>32</v>
      </c>
      <c r="K7" s="94" t="s">
        <v>4</v>
      </c>
      <c r="L7" s="94" t="s">
        <v>57</v>
      </c>
      <c r="M7" s="94" t="s">
        <v>4</v>
      </c>
      <c r="N7" s="94" t="s">
        <v>57</v>
      </c>
      <c r="O7" s="207"/>
    </row>
    <row r="8" spans="1:15">
      <c r="A8" s="89" t="str">
        <f>'1. 소켓인수검사'!A19</f>
        <v>11</v>
      </c>
      <c r="B8" s="95" t="s">
        <v>48</v>
      </c>
      <c r="C8" s="40">
        <f>'1. 소켓인수검사'!C19</f>
        <v>900</v>
      </c>
      <c r="D8" s="40">
        <f>'1. 소켓인수검사'!D19</f>
        <v>850</v>
      </c>
      <c r="E8" s="41"/>
      <c r="F8" s="40">
        <v>1</v>
      </c>
      <c r="G8" s="64">
        <f>(C8-30)/2-5</f>
        <v>430</v>
      </c>
      <c r="H8" s="70">
        <f>F8*8*2</f>
        <v>16</v>
      </c>
      <c r="I8" s="104">
        <f>(D8-20)/2-10</f>
        <v>405</v>
      </c>
      <c r="J8" s="70">
        <f>F8*16</f>
        <v>16</v>
      </c>
      <c r="K8" s="65">
        <f t="shared" ref="K8:K9" si="0">C8+60</f>
        <v>960</v>
      </c>
      <c r="L8" s="96">
        <v>4</v>
      </c>
      <c r="M8" s="65">
        <f>D8</f>
        <v>850</v>
      </c>
      <c r="N8" s="96">
        <v>4</v>
      </c>
      <c r="O8" s="60"/>
    </row>
    <row r="9" spans="1:15">
      <c r="A9" s="89" t="str">
        <f>'1. 소켓인수검사'!A20</f>
        <v>12</v>
      </c>
      <c r="B9" s="95" t="s">
        <v>48</v>
      </c>
      <c r="C9" s="40">
        <f>'1. 소켓인수검사'!C20</f>
        <v>1200</v>
      </c>
      <c r="D9" s="40">
        <f>'1. 소켓인수검사'!D20</f>
        <v>700</v>
      </c>
      <c r="E9" s="41"/>
      <c r="F9" s="40">
        <v>1</v>
      </c>
      <c r="G9" s="64">
        <f t="shared" ref="G9" si="1">(C9-30)/2-5</f>
        <v>580</v>
      </c>
      <c r="H9" s="70">
        <f>F9*8*2</f>
        <v>16</v>
      </c>
      <c r="I9" s="104">
        <f>(D9-20)/2-10</f>
        <v>330</v>
      </c>
      <c r="J9" s="70">
        <f>F9*16</f>
        <v>16</v>
      </c>
      <c r="K9" s="65">
        <f t="shared" si="0"/>
        <v>1260</v>
      </c>
      <c r="L9" s="96">
        <v>4</v>
      </c>
      <c r="M9" s="65">
        <f t="shared" ref="M9" si="2">D9</f>
        <v>700</v>
      </c>
      <c r="N9" s="96">
        <v>4</v>
      </c>
      <c r="O9" s="60"/>
    </row>
    <row r="10" spans="1:15">
      <c r="A10" s="187"/>
      <c r="B10" s="188"/>
      <c r="C10" s="188"/>
      <c r="D10" s="97"/>
      <c r="E10" s="98"/>
      <c r="F10" s="98"/>
      <c r="G10" s="99"/>
      <c r="H10" s="66">
        <f>SUM(H8:H9)</f>
        <v>32</v>
      </c>
      <c r="I10" s="99"/>
      <c r="J10" s="66">
        <f>SUM(J8:J9)</f>
        <v>32</v>
      </c>
      <c r="K10" s="97"/>
      <c r="L10" s="66">
        <f>SUM(L8:L9)</f>
        <v>8</v>
      </c>
      <c r="M10" s="97"/>
      <c r="N10" s="66">
        <f>SUM(N8:N9)</f>
        <v>8</v>
      </c>
      <c r="O10" s="67"/>
    </row>
    <row r="11" spans="1:15" ht="8.1" customHeight="1">
      <c r="A11" s="179"/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1"/>
      <c r="O11" s="4"/>
    </row>
    <row r="12" spans="1:15">
      <c r="A12" s="312" t="s">
        <v>16</v>
      </c>
      <c r="B12" s="312"/>
      <c r="C12" s="312"/>
      <c r="D12" s="179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1"/>
    </row>
    <row r="13" spans="1:15">
      <c r="A13" s="312"/>
      <c r="B13" s="312"/>
      <c r="C13" s="312"/>
      <c r="D13" s="182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4"/>
    </row>
    <row r="14" spans="1:15">
      <c r="A14" s="312"/>
      <c r="B14" s="312"/>
      <c r="C14" s="312"/>
      <c r="D14" s="182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4"/>
    </row>
    <row r="15" spans="1:15">
      <c r="A15" s="312"/>
      <c r="B15" s="312"/>
      <c r="C15" s="312"/>
      <c r="D15" s="182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4"/>
    </row>
    <row r="16" spans="1:15">
      <c r="A16" s="312"/>
      <c r="B16" s="312"/>
      <c r="C16" s="312"/>
      <c r="D16" s="182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4"/>
    </row>
    <row r="17" spans="1:15">
      <c r="A17" s="312"/>
      <c r="B17" s="312"/>
      <c r="C17" s="312"/>
      <c r="D17" s="185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86"/>
    </row>
  </sheetData>
  <mergeCells count="22">
    <mergeCell ref="E1:G3"/>
    <mergeCell ref="H1:O3"/>
    <mergeCell ref="A1:D3"/>
    <mergeCell ref="A4:N4"/>
    <mergeCell ref="A5:A7"/>
    <mergeCell ref="B5:B7"/>
    <mergeCell ref="C5:D5"/>
    <mergeCell ref="E5:E7"/>
    <mergeCell ref="F5:F7"/>
    <mergeCell ref="G5:J5"/>
    <mergeCell ref="K5:N5"/>
    <mergeCell ref="O5:O7"/>
    <mergeCell ref="C6:C7"/>
    <mergeCell ref="D6:D7"/>
    <mergeCell ref="G6:H6"/>
    <mergeCell ref="I6:J6"/>
    <mergeCell ref="K6:L6"/>
    <mergeCell ref="M6:N6"/>
    <mergeCell ref="A12:C17"/>
    <mergeCell ref="D12:O17"/>
    <mergeCell ref="A10:C10"/>
    <mergeCell ref="A11:N11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22"/>
  <sheetViews>
    <sheetView zoomScaleNormal="100" zoomScaleSheetLayoutView="100" workbookViewId="0">
      <selection activeCell="K13" sqref="K13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27"/>
      <c r="B1" s="127"/>
      <c r="C1" s="127"/>
      <c r="D1" s="127"/>
      <c r="E1" s="1" t="s">
        <v>88</v>
      </c>
      <c r="F1" s="116"/>
      <c r="G1" s="121" t="str">
        <f>'1. 소켓인수검사'!R2</f>
        <v>26.06.30 엘티_신세계건설_대현기건_트레이더스의정부</v>
      </c>
      <c r="H1" s="121"/>
      <c r="I1" s="121"/>
      <c r="J1" s="121"/>
      <c r="K1" s="122"/>
    </row>
    <row r="2" spans="1:11" ht="16.5" customHeight="1">
      <c r="A2" s="127"/>
      <c r="B2" s="127"/>
      <c r="C2" s="127"/>
      <c r="D2" s="127"/>
      <c r="E2" s="117"/>
      <c r="F2" s="118"/>
      <c r="G2" s="123"/>
      <c r="H2" s="123"/>
      <c r="I2" s="123"/>
      <c r="J2" s="123"/>
      <c r="K2" s="124"/>
    </row>
    <row r="3" spans="1:11" ht="16.5" customHeight="1">
      <c r="A3" s="127"/>
      <c r="B3" s="127"/>
      <c r="C3" s="127"/>
      <c r="D3" s="127"/>
      <c r="E3" s="119"/>
      <c r="F3" s="120"/>
      <c r="G3" s="125"/>
      <c r="H3" s="125"/>
      <c r="I3" s="125"/>
      <c r="J3" s="125"/>
      <c r="K3" s="126"/>
    </row>
    <row r="4" spans="1:11" ht="8.1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pans="1:11" ht="26.45" customHeight="1">
      <c r="A5" s="129" t="s">
        <v>59</v>
      </c>
      <c r="B5" s="130" t="s">
        <v>69</v>
      </c>
      <c r="C5" s="133" t="s">
        <v>4</v>
      </c>
      <c r="D5" s="133"/>
      <c r="E5" s="133" t="s">
        <v>25</v>
      </c>
      <c r="F5" s="134" t="s">
        <v>57</v>
      </c>
      <c r="G5" s="137" t="s">
        <v>35</v>
      </c>
      <c r="H5" s="138"/>
      <c r="I5" s="138"/>
      <c r="J5" s="138"/>
      <c r="K5" s="134" t="s">
        <v>2</v>
      </c>
    </row>
    <row r="6" spans="1:11" ht="16.5" customHeight="1">
      <c r="A6" s="129"/>
      <c r="B6" s="131"/>
      <c r="C6" s="133" t="s">
        <v>66</v>
      </c>
      <c r="D6" s="133" t="s">
        <v>64</v>
      </c>
      <c r="E6" s="133"/>
      <c r="F6" s="135"/>
      <c r="G6" s="133" t="s">
        <v>68</v>
      </c>
      <c r="H6" s="133"/>
      <c r="I6" s="137" t="s">
        <v>65</v>
      </c>
      <c r="J6" s="138"/>
      <c r="K6" s="135"/>
    </row>
    <row r="7" spans="1:11">
      <c r="A7" s="129"/>
      <c r="B7" s="132"/>
      <c r="C7" s="133"/>
      <c r="D7" s="133"/>
      <c r="E7" s="133"/>
      <c r="F7" s="136"/>
      <c r="G7" s="16" t="s">
        <v>4</v>
      </c>
      <c r="H7" s="16" t="s">
        <v>57</v>
      </c>
      <c r="I7" s="16" t="s">
        <v>4</v>
      </c>
      <c r="J7" s="17" t="s">
        <v>57</v>
      </c>
      <c r="K7" s="136"/>
    </row>
    <row r="8" spans="1:11">
      <c r="A8" s="89" t="str">
        <f>'1. 소켓인수검사'!A9</f>
        <v>01</v>
      </c>
      <c r="B8" s="62" t="s">
        <v>49</v>
      </c>
      <c r="C8" s="40">
        <f>'1. 소켓인수검사'!C9</f>
        <v>300</v>
      </c>
      <c r="D8" s="40">
        <f>'1. 소켓인수검사'!D9</f>
        <v>300</v>
      </c>
      <c r="E8" s="41"/>
      <c r="F8" s="40">
        <v>1</v>
      </c>
      <c r="G8" s="61">
        <f t="shared" ref="G8:G17" si="0">C8+60</f>
        <v>360</v>
      </c>
      <c r="H8" s="40">
        <v>2</v>
      </c>
      <c r="I8" s="61">
        <f t="shared" ref="I8:I17" si="1">D8</f>
        <v>300</v>
      </c>
      <c r="J8" s="40">
        <v>2</v>
      </c>
      <c r="K8" s="60"/>
    </row>
    <row r="9" spans="1:11">
      <c r="A9" s="89" t="str">
        <f>'1. 소켓인수검사'!A10</f>
        <v>02</v>
      </c>
      <c r="B9" s="62" t="s">
        <v>49</v>
      </c>
      <c r="C9" s="40">
        <f>'1. 소켓인수검사'!C10</f>
        <v>350</v>
      </c>
      <c r="D9" s="40">
        <f>'1. 소켓인수검사'!D10</f>
        <v>300</v>
      </c>
      <c r="E9" s="41"/>
      <c r="F9" s="40">
        <v>1</v>
      </c>
      <c r="G9" s="61">
        <f t="shared" si="0"/>
        <v>410</v>
      </c>
      <c r="H9" s="40">
        <v>2</v>
      </c>
      <c r="I9" s="61">
        <f t="shared" si="1"/>
        <v>300</v>
      </c>
      <c r="J9" s="40">
        <v>2</v>
      </c>
      <c r="K9" s="60"/>
    </row>
    <row r="10" spans="1:11">
      <c r="A10" s="89" t="str">
        <f>'1. 소켓인수검사'!A11</f>
        <v>03</v>
      </c>
      <c r="B10" s="62" t="s">
        <v>49</v>
      </c>
      <c r="C10" s="40">
        <f>'1. 소켓인수검사'!C11</f>
        <v>400</v>
      </c>
      <c r="D10" s="40">
        <f>'1. 소켓인수검사'!D11</f>
        <v>400</v>
      </c>
      <c r="E10" s="41"/>
      <c r="F10" s="40">
        <v>1</v>
      </c>
      <c r="G10" s="61">
        <f t="shared" si="0"/>
        <v>460</v>
      </c>
      <c r="H10" s="40">
        <v>2</v>
      </c>
      <c r="I10" s="61">
        <f t="shared" si="1"/>
        <v>400</v>
      </c>
      <c r="J10" s="40">
        <v>2</v>
      </c>
      <c r="K10" s="60"/>
    </row>
    <row r="11" spans="1:11">
      <c r="A11" s="89" t="str">
        <f>'1. 소켓인수검사'!A12</f>
        <v>04</v>
      </c>
      <c r="B11" s="62" t="s">
        <v>49</v>
      </c>
      <c r="C11" s="40">
        <f>'1. 소켓인수검사'!C12</f>
        <v>600</v>
      </c>
      <c r="D11" s="40">
        <f>'1. 소켓인수검사'!D12</f>
        <v>300</v>
      </c>
      <c r="E11" s="41"/>
      <c r="F11" s="40">
        <v>1</v>
      </c>
      <c r="G11" s="61">
        <f t="shared" si="0"/>
        <v>660</v>
      </c>
      <c r="H11" s="40">
        <v>2</v>
      </c>
      <c r="I11" s="61">
        <f t="shared" si="1"/>
        <v>300</v>
      </c>
      <c r="J11" s="40">
        <v>2</v>
      </c>
      <c r="K11" s="60"/>
    </row>
    <row r="12" spans="1:11">
      <c r="A12" s="89" t="str">
        <f>'1. 소켓인수검사'!A13</f>
        <v>05</v>
      </c>
      <c r="B12" s="62" t="s">
        <v>49</v>
      </c>
      <c r="C12" s="40">
        <f>'1. 소켓인수검사'!C13</f>
        <v>600</v>
      </c>
      <c r="D12" s="40">
        <f>'1. 소켓인수검사'!D13</f>
        <v>400</v>
      </c>
      <c r="E12" s="41"/>
      <c r="F12" s="40">
        <v>1</v>
      </c>
      <c r="G12" s="61">
        <f t="shared" si="0"/>
        <v>660</v>
      </c>
      <c r="H12" s="40">
        <v>2</v>
      </c>
      <c r="I12" s="61">
        <f t="shared" si="1"/>
        <v>400</v>
      </c>
      <c r="J12" s="40">
        <v>2</v>
      </c>
      <c r="K12" s="60"/>
    </row>
    <row r="13" spans="1:11">
      <c r="A13" s="89" t="str">
        <f>'1. 소켓인수검사'!A14</f>
        <v>06</v>
      </c>
      <c r="B13" s="62" t="s">
        <v>49</v>
      </c>
      <c r="C13" s="40">
        <f>'1. 소켓인수검사'!C14</f>
        <v>600</v>
      </c>
      <c r="D13" s="40">
        <f>'1. 소켓인수검사'!D14</f>
        <v>550</v>
      </c>
      <c r="E13" s="41"/>
      <c r="F13" s="40">
        <v>1</v>
      </c>
      <c r="G13" s="61">
        <f t="shared" si="0"/>
        <v>660</v>
      </c>
      <c r="H13" s="40">
        <v>2</v>
      </c>
      <c r="I13" s="61">
        <f t="shared" si="1"/>
        <v>550</v>
      </c>
      <c r="J13" s="40">
        <v>2</v>
      </c>
      <c r="K13" s="324" t="s">
        <v>89</v>
      </c>
    </row>
    <row r="14" spans="1:11">
      <c r="A14" s="89" t="str">
        <f>'1. 소켓인수검사'!A15</f>
        <v>07</v>
      </c>
      <c r="B14" s="62" t="s">
        <v>49</v>
      </c>
      <c r="C14" s="40">
        <f>'1. 소켓인수검사'!C15</f>
        <v>700</v>
      </c>
      <c r="D14" s="40">
        <f>'1. 소켓인수검사'!D15</f>
        <v>550</v>
      </c>
      <c r="E14" s="41"/>
      <c r="F14" s="40">
        <v>1</v>
      </c>
      <c r="G14" s="61">
        <f t="shared" si="0"/>
        <v>760</v>
      </c>
      <c r="H14" s="40">
        <v>2</v>
      </c>
      <c r="I14" s="61">
        <f t="shared" si="1"/>
        <v>550</v>
      </c>
      <c r="J14" s="40">
        <v>2</v>
      </c>
      <c r="K14" s="60"/>
    </row>
    <row r="15" spans="1:11">
      <c r="A15" s="89" t="str">
        <f>'1. 소켓인수검사'!A16</f>
        <v>08</v>
      </c>
      <c r="B15" s="62" t="s">
        <v>49</v>
      </c>
      <c r="C15" s="40">
        <f>'1. 소켓인수검사'!C16</f>
        <v>700</v>
      </c>
      <c r="D15" s="40">
        <f>'1. 소켓인수검사'!D16</f>
        <v>600</v>
      </c>
      <c r="E15" s="41"/>
      <c r="F15" s="40">
        <v>1</v>
      </c>
      <c r="G15" s="61">
        <f t="shared" si="0"/>
        <v>760</v>
      </c>
      <c r="H15" s="40">
        <v>2</v>
      </c>
      <c r="I15" s="61">
        <f t="shared" si="1"/>
        <v>600</v>
      </c>
      <c r="J15" s="40">
        <v>2</v>
      </c>
      <c r="K15" s="60"/>
    </row>
    <row r="16" spans="1:11">
      <c r="A16" s="89" t="str">
        <f>'1. 소켓인수검사'!A17</f>
        <v>09</v>
      </c>
      <c r="B16" s="62" t="s">
        <v>49</v>
      </c>
      <c r="C16" s="40">
        <f>'1. 소켓인수검사'!C17</f>
        <v>900</v>
      </c>
      <c r="D16" s="40">
        <f>'1. 소켓인수검사'!D17</f>
        <v>600</v>
      </c>
      <c r="E16" s="41"/>
      <c r="F16" s="40">
        <v>1</v>
      </c>
      <c r="G16" s="61">
        <f t="shared" si="0"/>
        <v>960</v>
      </c>
      <c r="H16" s="40">
        <v>2</v>
      </c>
      <c r="I16" s="61">
        <f t="shared" si="1"/>
        <v>600</v>
      </c>
      <c r="J16" s="40">
        <v>2</v>
      </c>
      <c r="K16" s="60"/>
    </row>
    <row r="17" spans="1:11">
      <c r="A17" s="89" t="str">
        <f>'1. 소켓인수검사'!A18</f>
        <v>10</v>
      </c>
      <c r="B17" s="62" t="s">
        <v>49</v>
      </c>
      <c r="C17" s="40">
        <f>'1. 소켓인수검사'!C18</f>
        <v>900</v>
      </c>
      <c r="D17" s="40">
        <f>'1. 소켓인수검사'!D18</f>
        <v>650</v>
      </c>
      <c r="E17" s="41"/>
      <c r="F17" s="40">
        <v>1</v>
      </c>
      <c r="G17" s="61">
        <f t="shared" si="0"/>
        <v>960</v>
      </c>
      <c r="H17" s="40">
        <v>2</v>
      </c>
      <c r="I17" s="61">
        <f t="shared" si="1"/>
        <v>650</v>
      </c>
      <c r="J17" s="40">
        <v>2</v>
      </c>
      <c r="K17" s="60"/>
    </row>
    <row r="18" spans="1:11">
      <c r="A18" s="89" t="str">
        <f>'1. 소켓인수검사'!A19</f>
        <v>11</v>
      </c>
      <c r="B18" s="63" t="s">
        <v>48</v>
      </c>
      <c r="C18" s="40">
        <f>'1. 소켓인수검사'!C19</f>
        <v>900</v>
      </c>
      <c r="D18" s="40">
        <f>'1. 소켓인수검사'!D19</f>
        <v>850</v>
      </c>
      <c r="E18" s="41"/>
      <c r="F18" s="40">
        <v>1</v>
      </c>
      <c r="G18" s="61">
        <f t="shared" ref="G18:G19" si="2">C18+60</f>
        <v>960</v>
      </c>
      <c r="H18" s="40">
        <v>2</v>
      </c>
      <c r="I18" s="61">
        <f t="shared" ref="I18:I19" si="3">D18</f>
        <v>850</v>
      </c>
      <c r="J18" s="40">
        <v>2</v>
      </c>
      <c r="K18" s="60"/>
    </row>
    <row r="19" spans="1:11">
      <c r="A19" s="90" t="str">
        <f>'1. 소켓인수검사'!A20</f>
        <v>12</v>
      </c>
      <c r="B19" s="311" t="s">
        <v>48</v>
      </c>
      <c r="C19" s="51">
        <f>'1. 소켓인수검사'!C20</f>
        <v>1200</v>
      </c>
      <c r="D19" s="51">
        <f>'1. 소켓인수검사'!D20</f>
        <v>700</v>
      </c>
      <c r="E19" s="52"/>
      <c r="F19" s="51">
        <v>1</v>
      </c>
      <c r="G19" s="91">
        <f t="shared" si="2"/>
        <v>1260</v>
      </c>
      <c r="H19" s="51">
        <v>2</v>
      </c>
      <c r="I19" s="91">
        <f t="shared" si="3"/>
        <v>700</v>
      </c>
      <c r="J19" s="51">
        <v>2</v>
      </c>
      <c r="K19" s="92"/>
    </row>
    <row r="20" spans="1:11">
      <c r="A20" s="127" t="s">
        <v>46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</row>
    <row r="21" spans="1:11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</row>
    <row r="22" spans="1:11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</row>
  </sheetData>
  <mergeCells count="17">
    <mergeCell ref="I6:J6"/>
    <mergeCell ref="E1:F3"/>
    <mergeCell ref="G1:K3"/>
    <mergeCell ref="A20:C22"/>
    <mergeCell ref="D20:K22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  <mergeCell ref="G6:H6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25"/>
  <sheetViews>
    <sheetView zoomScaleNormal="100" zoomScaleSheetLayoutView="100" workbookViewId="0">
      <selection activeCell="P16" sqref="P16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27"/>
      <c r="B1" s="127"/>
      <c r="C1" s="127"/>
      <c r="D1" s="127"/>
      <c r="E1" s="220" t="s">
        <v>73</v>
      </c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2"/>
    </row>
    <row r="2" spans="1:16" ht="16.5" customHeight="1">
      <c r="A2" s="127"/>
      <c r="B2" s="127"/>
      <c r="C2" s="127"/>
      <c r="D2" s="127"/>
      <c r="E2" s="223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5"/>
    </row>
    <row r="3" spans="1:16" ht="16.5" customHeight="1">
      <c r="A3" s="127"/>
      <c r="B3" s="127"/>
      <c r="C3" s="127"/>
      <c r="D3" s="127"/>
      <c r="E3" s="223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5"/>
    </row>
    <row r="4" spans="1:16" ht="16.5" customHeight="1">
      <c r="A4" s="127" t="s">
        <v>17</v>
      </c>
      <c r="B4" s="127"/>
      <c r="C4" s="229"/>
      <c r="D4" s="230"/>
      <c r="E4" s="226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8"/>
    </row>
    <row r="5" spans="1:16">
      <c r="A5" s="127" t="s">
        <v>27</v>
      </c>
      <c r="B5" s="127"/>
      <c r="C5" s="127"/>
      <c r="D5" s="127"/>
      <c r="E5" s="6" t="s">
        <v>33</v>
      </c>
      <c r="F5" s="127"/>
      <c r="G5" s="127"/>
      <c r="H5" s="127" t="s">
        <v>62</v>
      </c>
      <c r="I5" s="127"/>
      <c r="J5" s="127"/>
      <c r="K5" s="127" t="s">
        <v>58</v>
      </c>
      <c r="L5" s="127"/>
      <c r="M5" s="127"/>
      <c r="N5" s="231" t="str">
        <f>'1. 소켓인수검사'!R2</f>
        <v>26.06.30 엘티_신세계건설_대현기건_트레이더스의정부</v>
      </c>
      <c r="O5" s="231"/>
      <c r="P5" s="231"/>
    </row>
    <row r="6" spans="1:16">
      <c r="A6" s="127"/>
      <c r="B6" s="127"/>
      <c r="C6" s="127"/>
      <c r="D6" s="127"/>
      <c r="E6" s="6" t="s">
        <v>30</v>
      </c>
      <c r="F6" s="127"/>
      <c r="G6" s="127"/>
      <c r="H6" s="127"/>
      <c r="I6" s="127"/>
      <c r="J6" s="127"/>
      <c r="K6" s="127"/>
      <c r="L6" s="127"/>
      <c r="M6" s="127"/>
      <c r="N6" s="231"/>
      <c r="O6" s="231"/>
      <c r="P6" s="231"/>
    </row>
    <row r="7" spans="1:16" ht="8.1" customHeight="1">
      <c r="A7" s="166"/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</row>
    <row r="8" spans="1:16">
      <c r="A8" s="214" t="s">
        <v>59</v>
      </c>
      <c r="B8" s="216" t="s">
        <v>4</v>
      </c>
      <c r="C8" s="216"/>
      <c r="D8" s="216" t="s">
        <v>29</v>
      </c>
      <c r="E8" s="216" t="s">
        <v>25</v>
      </c>
      <c r="F8" s="216" t="s">
        <v>63</v>
      </c>
      <c r="G8" s="216" t="s">
        <v>28</v>
      </c>
      <c r="H8" s="216"/>
      <c r="I8" s="216"/>
      <c r="J8" s="216"/>
      <c r="K8" s="216"/>
      <c r="L8" s="216"/>
      <c r="M8" s="216"/>
      <c r="N8" s="216"/>
      <c r="O8" s="216"/>
      <c r="P8" s="218" t="s">
        <v>2</v>
      </c>
    </row>
    <row r="9" spans="1:16" ht="16.5" customHeight="1">
      <c r="A9" s="215"/>
      <c r="B9" s="217" t="s">
        <v>66</v>
      </c>
      <c r="C9" s="217" t="s">
        <v>64</v>
      </c>
      <c r="D9" s="217"/>
      <c r="E9" s="217"/>
      <c r="F9" s="217"/>
      <c r="G9" s="217" t="s">
        <v>60</v>
      </c>
      <c r="H9" s="217" t="s">
        <v>66</v>
      </c>
      <c r="I9" s="217"/>
      <c r="J9" s="217" t="s">
        <v>11</v>
      </c>
      <c r="K9" s="217" t="s">
        <v>64</v>
      </c>
      <c r="L9" s="217"/>
      <c r="M9" s="217"/>
      <c r="N9" s="217"/>
      <c r="O9" s="217" t="s">
        <v>11</v>
      </c>
      <c r="P9" s="219"/>
    </row>
    <row r="10" spans="1:16">
      <c r="A10" s="215"/>
      <c r="B10" s="217"/>
      <c r="C10" s="217"/>
      <c r="D10" s="217"/>
      <c r="E10" s="217"/>
      <c r="F10" s="217"/>
      <c r="G10" s="217"/>
      <c r="H10" s="32" t="s">
        <v>4</v>
      </c>
      <c r="I10" s="32" t="s">
        <v>32</v>
      </c>
      <c r="J10" s="217"/>
      <c r="K10" s="217" t="s">
        <v>4</v>
      </c>
      <c r="L10" s="217"/>
      <c r="M10" s="217"/>
      <c r="N10" s="32" t="s">
        <v>32</v>
      </c>
      <c r="O10" s="217"/>
      <c r="P10" s="219"/>
    </row>
    <row r="11" spans="1:16">
      <c r="A11" s="31" t="str">
        <f>'1. 소켓인수검사'!A9</f>
        <v>01</v>
      </c>
      <c r="B11" s="34">
        <f>'1. 소켓인수검사'!C9</f>
        <v>300</v>
      </c>
      <c r="C11" s="34">
        <f>'1. 소켓인수검사'!D9</f>
        <v>300</v>
      </c>
      <c r="D11" s="35">
        <v>1</v>
      </c>
      <c r="E11" s="36"/>
      <c r="F11" s="35">
        <v>1.6</v>
      </c>
      <c r="G11" s="35"/>
      <c r="H11" s="35">
        <f t="shared" ref="H11:H20" si="0">B11-1</f>
        <v>299</v>
      </c>
      <c r="I11" s="35">
        <f t="shared" ref="I11:I20" si="1">D11*4</f>
        <v>4</v>
      </c>
      <c r="J11" s="35"/>
      <c r="K11" s="211">
        <f t="shared" ref="K11:K20" si="2">C11-30</f>
        <v>270</v>
      </c>
      <c r="L11" s="211"/>
      <c r="M11" s="211"/>
      <c r="N11" s="35">
        <f t="shared" ref="N11:N20" si="3">D11*4</f>
        <v>4</v>
      </c>
      <c r="O11" s="35"/>
      <c r="P11" s="37"/>
    </row>
    <row r="12" spans="1:16">
      <c r="A12" s="31" t="str">
        <f>'1. 소켓인수검사'!A10</f>
        <v>02</v>
      </c>
      <c r="B12" s="34">
        <f>'1. 소켓인수검사'!C10</f>
        <v>350</v>
      </c>
      <c r="C12" s="34">
        <f>'1. 소켓인수검사'!D10</f>
        <v>300</v>
      </c>
      <c r="D12" s="35">
        <v>1</v>
      </c>
      <c r="E12" s="36"/>
      <c r="F12" s="35">
        <v>1.6</v>
      </c>
      <c r="G12" s="35"/>
      <c r="H12" s="35">
        <f t="shared" si="0"/>
        <v>349</v>
      </c>
      <c r="I12" s="35">
        <f t="shared" si="1"/>
        <v>4</v>
      </c>
      <c r="J12" s="35"/>
      <c r="K12" s="211">
        <f t="shared" si="2"/>
        <v>270</v>
      </c>
      <c r="L12" s="211"/>
      <c r="M12" s="211"/>
      <c r="N12" s="35">
        <f t="shared" si="3"/>
        <v>4</v>
      </c>
      <c r="O12" s="35"/>
      <c r="P12" s="37"/>
    </row>
    <row r="13" spans="1:16">
      <c r="A13" s="31" t="str">
        <f>'1. 소켓인수검사'!A11</f>
        <v>03</v>
      </c>
      <c r="B13" s="34">
        <f>'1. 소켓인수검사'!C11</f>
        <v>400</v>
      </c>
      <c r="C13" s="34">
        <f>'1. 소켓인수검사'!D11</f>
        <v>400</v>
      </c>
      <c r="D13" s="35">
        <v>1</v>
      </c>
      <c r="E13" s="36"/>
      <c r="F13" s="35">
        <v>1.6</v>
      </c>
      <c r="G13" s="35"/>
      <c r="H13" s="35">
        <f t="shared" si="0"/>
        <v>399</v>
      </c>
      <c r="I13" s="35">
        <f t="shared" si="1"/>
        <v>4</v>
      </c>
      <c r="J13" s="35"/>
      <c r="K13" s="211">
        <f t="shared" si="2"/>
        <v>370</v>
      </c>
      <c r="L13" s="211"/>
      <c r="M13" s="211"/>
      <c r="N13" s="35">
        <f t="shared" si="3"/>
        <v>4</v>
      </c>
      <c r="O13" s="35"/>
      <c r="P13" s="37"/>
    </row>
    <row r="14" spans="1:16">
      <c r="A14" s="31" t="str">
        <f>'1. 소켓인수검사'!A12</f>
        <v>04</v>
      </c>
      <c r="B14" s="34">
        <f>'1. 소켓인수검사'!C12</f>
        <v>600</v>
      </c>
      <c r="C14" s="34">
        <f>'1. 소켓인수검사'!D12</f>
        <v>300</v>
      </c>
      <c r="D14" s="35">
        <v>1</v>
      </c>
      <c r="E14" s="36"/>
      <c r="F14" s="35">
        <v>1.6</v>
      </c>
      <c r="G14" s="35"/>
      <c r="H14" s="35">
        <f t="shared" si="0"/>
        <v>599</v>
      </c>
      <c r="I14" s="35">
        <f t="shared" si="1"/>
        <v>4</v>
      </c>
      <c r="J14" s="35"/>
      <c r="K14" s="211">
        <f t="shared" si="2"/>
        <v>270</v>
      </c>
      <c r="L14" s="211"/>
      <c r="M14" s="211"/>
      <c r="N14" s="35">
        <f t="shared" si="3"/>
        <v>4</v>
      </c>
      <c r="O14" s="35"/>
      <c r="P14" s="37"/>
    </row>
    <row r="15" spans="1:16">
      <c r="A15" s="31" t="str">
        <f>'1. 소켓인수검사'!A13</f>
        <v>05</v>
      </c>
      <c r="B15" s="34">
        <f>'1. 소켓인수검사'!C13</f>
        <v>600</v>
      </c>
      <c r="C15" s="34">
        <f>'1. 소켓인수검사'!D13</f>
        <v>400</v>
      </c>
      <c r="D15" s="35">
        <v>1</v>
      </c>
      <c r="E15" s="36"/>
      <c r="F15" s="35">
        <v>1.6</v>
      </c>
      <c r="G15" s="35"/>
      <c r="H15" s="35">
        <f t="shared" si="0"/>
        <v>599</v>
      </c>
      <c r="I15" s="35">
        <f t="shared" si="1"/>
        <v>4</v>
      </c>
      <c r="J15" s="35"/>
      <c r="K15" s="211">
        <f t="shared" si="2"/>
        <v>370</v>
      </c>
      <c r="L15" s="211"/>
      <c r="M15" s="211"/>
      <c r="N15" s="35">
        <f t="shared" si="3"/>
        <v>4</v>
      </c>
      <c r="O15" s="35"/>
      <c r="P15" s="37"/>
    </row>
    <row r="16" spans="1:16">
      <c r="A16" s="31" t="str">
        <f>'1. 소켓인수검사'!A14</f>
        <v>06</v>
      </c>
      <c r="B16" s="34">
        <f>'1. 소켓인수검사'!C14</f>
        <v>600</v>
      </c>
      <c r="C16" s="34">
        <f>'1. 소켓인수검사'!D14</f>
        <v>550</v>
      </c>
      <c r="D16" s="35">
        <v>1</v>
      </c>
      <c r="E16" s="36"/>
      <c r="F16" s="35">
        <v>1.6</v>
      </c>
      <c r="G16" s="35"/>
      <c r="H16" s="35">
        <f t="shared" si="0"/>
        <v>599</v>
      </c>
      <c r="I16" s="35">
        <f t="shared" si="1"/>
        <v>4</v>
      </c>
      <c r="J16" s="35"/>
      <c r="K16" s="211">
        <f t="shared" si="2"/>
        <v>520</v>
      </c>
      <c r="L16" s="211"/>
      <c r="M16" s="211"/>
      <c r="N16" s="35">
        <f t="shared" si="3"/>
        <v>4</v>
      </c>
      <c r="O16" s="35"/>
      <c r="P16" s="325" t="s">
        <v>89</v>
      </c>
    </row>
    <row r="17" spans="1:16">
      <c r="A17" s="31" t="str">
        <f>'1. 소켓인수검사'!A15</f>
        <v>07</v>
      </c>
      <c r="B17" s="34">
        <f>'1. 소켓인수검사'!C15</f>
        <v>700</v>
      </c>
      <c r="C17" s="34">
        <f>'1. 소켓인수검사'!D15</f>
        <v>550</v>
      </c>
      <c r="D17" s="35">
        <v>1</v>
      </c>
      <c r="E17" s="36"/>
      <c r="F17" s="35">
        <v>1.6</v>
      </c>
      <c r="G17" s="35"/>
      <c r="H17" s="35">
        <f t="shared" si="0"/>
        <v>699</v>
      </c>
      <c r="I17" s="35">
        <f t="shared" si="1"/>
        <v>4</v>
      </c>
      <c r="J17" s="35"/>
      <c r="K17" s="211">
        <f t="shared" si="2"/>
        <v>520</v>
      </c>
      <c r="L17" s="211"/>
      <c r="M17" s="211"/>
      <c r="N17" s="35">
        <f t="shared" si="3"/>
        <v>4</v>
      </c>
      <c r="O17" s="35"/>
      <c r="P17" s="37"/>
    </row>
    <row r="18" spans="1:16">
      <c r="A18" s="31" t="str">
        <f>'1. 소켓인수검사'!A16</f>
        <v>08</v>
      </c>
      <c r="B18" s="34">
        <f>'1. 소켓인수검사'!C16</f>
        <v>700</v>
      </c>
      <c r="C18" s="34">
        <f>'1. 소켓인수검사'!D16</f>
        <v>600</v>
      </c>
      <c r="D18" s="35">
        <v>1</v>
      </c>
      <c r="E18" s="36"/>
      <c r="F18" s="35">
        <v>1.6</v>
      </c>
      <c r="G18" s="35"/>
      <c r="H18" s="35">
        <f t="shared" si="0"/>
        <v>699</v>
      </c>
      <c r="I18" s="35">
        <f t="shared" si="1"/>
        <v>4</v>
      </c>
      <c r="J18" s="35"/>
      <c r="K18" s="211">
        <f t="shared" si="2"/>
        <v>570</v>
      </c>
      <c r="L18" s="211"/>
      <c r="M18" s="211"/>
      <c r="N18" s="35">
        <f t="shared" si="3"/>
        <v>4</v>
      </c>
      <c r="O18" s="35"/>
      <c r="P18" s="37"/>
    </row>
    <row r="19" spans="1:16">
      <c r="A19" s="31" t="str">
        <f>'1. 소켓인수검사'!A17</f>
        <v>09</v>
      </c>
      <c r="B19" s="34">
        <f>'1. 소켓인수검사'!C17</f>
        <v>900</v>
      </c>
      <c r="C19" s="34">
        <f>'1. 소켓인수검사'!D17</f>
        <v>600</v>
      </c>
      <c r="D19" s="35">
        <v>1</v>
      </c>
      <c r="E19" s="36"/>
      <c r="F19" s="35">
        <v>1.6</v>
      </c>
      <c r="G19" s="35"/>
      <c r="H19" s="35">
        <f t="shared" si="0"/>
        <v>899</v>
      </c>
      <c r="I19" s="35">
        <f t="shared" si="1"/>
        <v>4</v>
      </c>
      <c r="J19" s="35"/>
      <c r="K19" s="211">
        <f t="shared" si="2"/>
        <v>570</v>
      </c>
      <c r="L19" s="211"/>
      <c r="M19" s="211"/>
      <c r="N19" s="35">
        <f t="shared" si="3"/>
        <v>4</v>
      </c>
      <c r="O19" s="35"/>
      <c r="P19" s="37"/>
    </row>
    <row r="20" spans="1:16">
      <c r="A20" s="31" t="str">
        <f>'1. 소켓인수검사'!A18</f>
        <v>10</v>
      </c>
      <c r="B20" s="34">
        <f>'1. 소켓인수검사'!C18</f>
        <v>900</v>
      </c>
      <c r="C20" s="34">
        <f>'1. 소켓인수검사'!D18</f>
        <v>650</v>
      </c>
      <c r="D20" s="35">
        <v>1</v>
      </c>
      <c r="E20" s="36"/>
      <c r="F20" s="35">
        <v>1.6</v>
      </c>
      <c r="G20" s="35"/>
      <c r="H20" s="35">
        <f t="shared" si="0"/>
        <v>899</v>
      </c>
      <c r="I20" s="35">
        <f t="shared" si="1"/>
        <v>4</v>
      </c>
      <c r="J20" s="35"/>
      <c r="K20" s="211">
        <f t="shared" si="2"/>
        <v>620</v>
      </c>
      <c r="L20" s="211"/>
      <c r="M20" s="211"/>
      <c r="N20" s="35">
        <f t="shared" si="3"/>
        <v>4</v>
      </c>
      <c r="O20" s="35"/>
      <c r="P20" s="37"/>
    </row>
    <row r="21" spans="1:16" ht="8.1" customHeight="1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</row>
    <row r="22" spans="1:16">
      <c r="A22" s="212" t="s">
        <v>47</v>
      </c>
      <c r="B22" s="212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</row>
    <row r="23" spans="1:16">
      <c r="A23" s="212"/>
      <c r="B23" s="212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</row>
    <row r="24" spans="1:16">
      <c r="A24" s="212"/>
      <c r="B24" s="212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</row>
    <row r="25" spans="1:16">
      <c r="A25" s="212"/>
      <c r="B25" s="212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</row>
  </sheetData>
  <mergeCells count="41"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20:M20"/>
    <mergeCell ref="A21:P21"/>
    <mergeCell ref="A22:B25"/>
    <mergeCell ref="C22:P25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P19"/>
  <sheetViews>
    <sheetView showGridLines="0" zoomScaleNormal="100" zoomScaleSheetLayoutView="100" workbookViewId="0">
      <selection activeCell="J28" sqref="J28"/>
    </sheetView>
  </sheetViews>
  <sheetFormatPr defaultColWidth="9" defaultRowHeight="16.5"/>
  <cols>
    <col min="1" max="1" width="3.625" style="5" customWidth="1"/>
    <col min="2" max="3" width="9.625" style="5" customWidth="1"/>
    <col min="4" max="4" width="6.875" style="5" customWidth="1"/>
    <col min="5" max="5" width="19" style="5" bestFit="1" customWidth="1"/>
    <col min="6" max="6" width="6.375" style="5" customWidth="1"/>
    <col min="7" max="7" width="6.125" style="5" customWidth="1"/>
    <col min="8" max="9" width="9.625" style="5" customWidth="1"/>
    <col min="10" max="10" width="7.1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27"/>
      <c r="B1" s="127"/>
      <c r="C1" s="127"/>
      <c r="D1" s="127"/>
      <c r="E1" s="237" t="s">
        <v>74</v>
      </c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9"/>
    </row>
    <row r="2" spans="1:16" ht="16.5" customHeight="1">
      <c r="A2" s="127"/>
      <c r="B2" s="127"/>
      <c r="C2" s="127"/>
      <c r="D2" s="127"/>
      <c r="E2" s="240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2"/>
    </row>
    <row r="3" spans="1:16" ht="16.5" customHeight="1">
      <c r="A3" s="127"/>
      <c r="B3" s="127"/>
      <c r="C3" s="127"/>
      <c r="D3" s="127"/>
      <c r="E3" s="240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2"/>
    </row>
    <row r="4" spans="1:16" ht="16.5" customHeight="1">
      <c r="A4" s="127" t="s">
        <v>17</v>
      </c>
      <c r="B4" s="127"/>
      <c r="C4" s="127"/>
      <c r="D4" s="127"/>
      <c r="E4" s="243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5"/>
    </row>
    <row r="5" spans="1:16" ht="16.5" customHeight="1">
      <c r="A5" s="127" t="s">
        <v>27</v>
      </c>
      <c r="B5" s="127"/>
      <c r="C5" s="127"/>
      <c r="D5" s="127"/>
      <c r="E5" s="6" t="s">
        <v>33</v>
      </c>
      <c r="F5" s="127"/>
      <c r="G5" s="127"/>
      <c r="H5" s="127" t="s">
        <v>62</v>
      </c>
      <c r="I5" s="127"/>
      <c r="J5" s="127"/>
      <c r="K5" s="127" t="s">
        <v>58</v>
      </c>
      <c r="L5" s="127"/>
      <c r="M5" s="127"/>
      <c r="N5" s="236" t="str">
        <f>'1. 소켓인수검사'!R2</f>
        <v>26.06.30 엘티_신세계건설_대현기건_트레이더스의정부</v>
      </c>
      <c r="O5" s="236"/>
      <c r="P5" s="236"/>
    </row>
    <row r="6" spans="1:16">
      <c r="A6" s="127"/>
      <c r="B6" s="127"/>
      <c r="C6" s="127"/>
      <c r="D6" s="127"/>
      <c r="E6" s="6" t="s">
        <v>30</v>
      </c>
      <c r="F6" s="127"/>
      <c r="G6" s="127"/>
      <c r="H6" s="127"/>
      <c r="I6" s="127"/>
      <c r="J6" s="127"/>
      <c r="K6" s="127"/>
      <c r="L6" s="127"/>
      <c r="M6" s="127"/>
      <c r="N6" s="236"/>
      <c r="O6" s="236"/>
      <c r="P6" s="236"/>
    </row>
    <row r="7" spans="1:16" ht="8.1" customHeight="1">
      <c r="A7" s="246"/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247"/>
    </row>
    <row r="8" spans="1:16" ht="21" customHeight="1">
      <c r="A8" s="127" t="s">
        <v>59</v>
      </c>
      <c r="B8" s="249" t="s">
        <v>4</v>
      </c>
      <c r="C8" s="249"/>
      <c r="D8" s="249" t="s">
        <v>29</v>
      </c>
      <c r="E8" s="249" t="s">
        <v>25</v>
      </c>
      <c r="F8" s="249" t="s">
        <v>63</v>
      </c>
      <c r="G8" s="251" t="s">
        <v>28</v>
      </c>
      <c r="H8" s="252"/>
      <c r="I8" s="252"/>
      <c r="J8" s="252"/>
      <c r="K8" s="252"/>
      <c r="L8" s="252"/>
      <c r="M8" s="252"/>
      <c r="N8" s="252"/>
      <c r="O8" s="253"/>
      <c r="P8" s="249" t="s">
        <v>2</v>
      </c>
    </row>
    <row r="9" spans="1:16" ht="21" customHeight="1">
      <c r="A9" s="127"/>
      <c r="B9" s="251" t="s">
        <v>66</v>
      </c>
      <c r="C9" s="249" t="s">
        <v>64</v>
      </c>
      <c r="D9" s="249"/>
      <c r="E9" s="249"/>
      <c r="F9" s="249"/>
      <c r="G9" s="249" t="s">
        <v>60</v>
      </c>
      <c r="H9" s="249" t="s">
        <v>66</v>
      </c>
      <c r="I9" s="249"/>
      <c r="J9" s="250" t="s">
        <v>11</v>
      </c>
      <c r="K9" s="249" t="s">
        <v>64</v>
      </c>
      <c r="L9" s="249"/>
      <c r="M9" s="249"/>
      <c r="N9" s="249"/>
      <c r="O9" s="250" t="s">
        <v>11</v>
      </c>
      <c r="P9" s="249"/>
    </row>
    <row r="10" spans="1:16" ht="21" customHeight="1">
      <c r="A10" s="248"/>
      <c r="B10" s="254"/>
      <c r="C10" s="250"/>
      <c r="D10" s="250"/>
      <c r="E10" s="250"/>
      <c r="F10" s="250"/>
      <c r="G10" s="250"/>
      <c r="H10" s="23" t="s">
        <v>4</v>
      </c>
      <c r="I10" s="23" t="s">
        <v>32</v>
      </c>
      <c r="J10" s="255"/>
      <c r="K10" s="256" t="s">
        <v>4</v>
      </c>
      <c r="L10" s="257"/>
      <c r="M10" s="258"/>
      <c r="N10" s="24" t="s">
        <v>32</v>
      </c>
      <c r="O10" s="255"/>
      <c r="P10" s="250"/>
    </row>
    <row r="11" spans="1:16" ht="16.5" customHeight="1">
      <c r="A11" s="55" t="str">
        <f>'1. 소켓인수검사'!A19</f>
        <v>11</v>
      </c>
      <c r="B11" s="56">
        <f>'1. 소켓인수검사'!C19</f>
        <v>900</v>
      </c>
      <c r="C11" s="56">
        <f>'1. 소켓인수검사'!D19</f>
        <v>850</v>
      </c>
      <c r="D11" s="58">
        <v>1</v>
      </c>
      <c r="E11" s="57"/>
      <c r="F11" s="71" t="s">
        <v>51</v>
      </c>
      <c r="G11" s="58" t="s">
        <v>50</v>
      </c>
      <c r="H11" s="68">
        <f>(B11-30)/2-1</f>
        <v>434</v>
      </c>
      <c r="I11" s="58">
        <f>D11*8*2</f>
        <v>16</v>
      </c>
      <c r="J11" s="58"/>
      <c r="K11" s="235">
        <f>(C11-20)/2-10-1</f>
        <v>404</v>
      </c>
      <c r="L11" s="235"/>
      <c r="M11" s="235"/>
      <c r="N11" s="58">
        <f>D11*16*2</f>
        <v>32</v>
      </c>
      <c r="O11" s="58"/>
      <c r="P11" s="69"/>
    </row>
    <row r="12" spans="1:16">
      <c r="A12" s="59" t="str">
        <f>'1. 소켓인수검사'!A20</f>
        <v>12</v>
      </c>
      <c r="B12" s="40">
        <f>'1. 소켓인수검사'!C20</f>
        <v>1200</v>
      </c>
      <c r="C12" s="40">
        <f>'1. 소켓인수검사'!D20</f>
        <v>700</v>
      </c>
      <c r="D12" s="35">
        <v>1</v>
      </c>
      <c r="E12" s="41"/>
      <c r="F12" s="72"/>
      <c r="G12" s="35"/>
      <c r="H12" s="70">
        <f t="shared" ref="H12" si="0">(B12-30)/2-1</f>
        <v>584</v>
      </c>
      <c r="I12" s="35">
        <f>D12*8*2</f>
        <v>16</v>
      </c>
      <c r="J12" s="35"/>
      <c r="K12" s="232">
        <f>(C12-20)/2-10-1</f>
        <v>329</v>
      </c>
      <c r="L12" s="232"/>
      <c r="M12" s="232"/>
      <c r="N12" s="35">
        <f>D12*16*2</f>
        <v>32</v>
      </c>
      <c r="O12" s="35"/>
      <c r="P12" s="37"/>
    </row>
    <row r="13" spans="1:16" ht="8.1" customHeight="1">
      <c r="A13" s="233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234"/>
    </row>
    <row r="14" spans="1:16">
      <c r="A14" s="212" t="s">
        <v>47</v>
      </c>
      <c r="B14" s="212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</row>
    <row r="15" spans="1:16">
      <c r="A15" s="212"/>
      <c r="B15" s="212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</row>
    <row r="16" spans="1:16">
      <c r="A16" s="212"/>
      <c r="B16" s="212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</row>
    <row r="17" spans="1:16">
      <c r="A17" s="212"/>
      <c r="B17" s="212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</row>
    <row r="18" spans="1:16">
      <c r="A18" s="212"/>
      <c r="B18" s="212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</row>
    <row r="19" spans="1:16">
      <c r="A19" s="212"/>
      <c r="B19" s="212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</row>
  </sheetData>
  <mergeCells count="33">
    <mergeCell ref="N5:P6"/>
    <mergeCell ref="F6:G6"/>
    <mergeCell ref="E1:P4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A1:D3"/>
    <mergeCell ref="A4:B4"/>
    <mergeCell ref="C4:D4"/>
    <mergeCell ref="A5:B6"/>
    <mergeCell ref="C5:D6"/>
    <mergeCell ref="K11:M11"/>
    <mergeCell ref="K12:M12"/>
    <mergeCell ref="F5:G5"/>
    <mergeCell ref="H5:H6"/>
    <mergeCell ref="I5:J6"/>
    <mergeCell ref="K5:M6"/>
    <mergeCell ref="A13:P13"/>
    <mergeCell ref="A14:B19"/>
    <mergeCell ref="C14:P19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Q19"/>
  <sheetViews>
    <sheetView showGridLines="0" zoomScaleNormal="100" zoomScaleSheetLayoutView="100" workbookViewId="0">
      <selection activeCell="H31" sqref="H31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6.625" style="5" customWidth="1"/>
    <col min="6" max="6" width="6.75" style="5" customWidth="1"/>
    <col min="7" max="7" width="6.625" style="5" customWidth="1"/>
    <col min="8" max="9" width="9.625" style="5" customWidth="1"/>
    <col min="10" max="10" width="7.125" style="5" customWidth="1"/>
    <col min="11" max="11" width="6.625" style="5" customWidth="1"/>
    <col min="12" max="14" width="3" style="5" customWidth="1"/>
    <col min="15" max="17" width="9.75" style="5" customWidth="1"/>
    <col min="18" max="16384" width="9" style="5"/>
  </cols>
  <sheetData>
    <row r="1" spans="1:17" ht="16.5" customHeight="1">
      <c r="A1" s="127"/>
      <c r="B1" s="127"/>
      <c r="C1" s="127"/>
      <c r="D1" s="127"/>
      <c r="E1" s="237" t="s">
        <v>15</v>
      </c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9"/>
    </row>
    <row r="2" spans="1:17" ht="16.5" customHeight="1">
      <c r="A2" s="127"/>
      <c r="B2" s="127"/>
      <c r="C2" s="127"/>
      <c r="D2" s="127"/>
      <c r="E2" s="240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2"/>
    </row>
    <row r="3" spans="1:17" ht="16.5" customHeight="1">
      <c r="A3" s="127"/>
      <c r="B3" s="127"/>
      <c r="C3" s="127"/>
      <c r="D3" s="127"/>
      <c r="E3" s="240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2"/>
    </row>
    <row r="4" spans="1:17" ht="16.5" customHeight="1">
      <c r="A4" s="127" t="s">
        <v>17</v>
      </c>
      <c r="B4" s="127"/>
      <c r="C4" s="127"/>
      <c r="D4" s="127"/>
      <c r="E4" s="243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5"/>
    </row>
    <row r="5" spans="1:17" ht="16.5" customHeight="1">
      <c r="A5" s="127" t="s">
        <v>27</v>
      </c>
      <c r="B5" s="127"/>
      <c r="C5" s="127"/>
      <c r="D5" s="127"/>
      <c r="E5" s="6" t="s">
        <v>33</v>
      </c>
      <c r="F5" s="127"/>
      <c r="G5" s="127"/>
      <c r="H5" s="127" t="s">
        <v>62</v>
      </c>
      <c r="I5" s="127"/>
      <c r="J5" s="127"/>
      <c r="K5" s="233" t="s">
        <v>58</v>
      </c>
      <c r="L5" s="127"/>
      <c r="M5" s="127"/>
      <c r="N5" s="234"/>
      <c r="O5" s="236" t="str">
        <f>'1. 소켓인수검사'!R2</f>
        <v>26.06.30 엘티_신세계건설_대현기건_트레이더스의정부</v>
      </c>
      <c r="P5" s="236"/>
      <c r="Q5" s="236"/>
    </row>
    <row r="6" spans="1:17">
      <c r="A6" s="127"/>
      <c r="B6" s="127"/>
      <c r="C6" s="127"/>
      <c r="D6" s="127"/>
      <c r="E6" s="6" t="s">
        <v>30</v>
      </c>
      <c r="F6" s="127"/>
      <c r="G6" s="127"/>
      <c r="H6" s="127"/>
      <c r="I6" s="127"/>
      <c r="J6" s="127"/>
      <c r="K6" s="246"/>
      <c r="L6" s="166"/>
      <c r="M6" s="166"/>
      <c r="N6" s="247"/>
      <c r="O6" s="236"/>
      <c r="P6" s="236"/>
      <c r="Q6" s="236"/>
    </row>
    <row r="7" spans="1:17" ht="8.1" customHeight="1">
      <c r="A7" s="246"/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247"/>
    </row>
    <row r="8" spans="1:17">
      <c r="A8" s="127" t="s">
        <v>59</v>
      </c>
      <c r="B8" s="249" t="s">
        <v>4</v>
      </c>
      <c r="C8" s="249"/>
      <c r="D8" s="249" t="s">
        <v>29</v>
      </c>
      <c r="E8" s="249" t="s">
        <v>25</v>
      </c>
      <c r="F8" s="249" t="s">
        <v>63</v>
      </c>
      <c r="G8" s="251" t="s">
        <v>28</v>
      </c>
      <c r="H8" s="252"/>
      <c r="I8" s="252"/>
      <c r="J8" s="252"/>
      <c r="K8" s="251"/>
      <c r="L8" s="252"/>
      <c r="M8" s="252"/>
      <c r="N8" s="252"/>
      <c r="O8" s="252"/>
      <c r="P8" s="253"/>
      <c r="Q8" s="249" t="s">
        <v>2</v>
      </c>
    </row>
    <row r="9" spans="1:17" ht="16.5" customHeight="1">
      <c r="A9" s="127"/>
      <c r="B9" s="251" t="s">
        <v>66</v>
      </c>
      <c r="C9" s="249" t="s">
        <v>64</v>
      </c>
      <c r="D9" s="249"/>
      <c r="E9" s="249"/>
      <c r="F9" s="249"/>
      <c r="G9" s="249" t="s">
        <v>60</v>
      </c>
      <c r="H9" s="249" t="s">
        <v>52</v>
      </c>
      <c r="I9" s="249"/>
      <c r="J9" s="250" t="s">
        <v>11</v>
      </c>
      <c r="K9" s="250" t="s">
        <v>60</v>
      </c>
      <c r="L9" s="249" t="s">
        <v>19</v>
      </c>
      <c r="M9" s="249"/>
      <c r="N9" s="249"/>
      <c r="O9" s="249"/>
      <c r="P9" s="250" t="s">
        <v>11</v>
      </c>
      <c r="Q9" s="249"/>
    </row>
    <row r="10" spans="1:17">
      <c r="A10" s="248"/>
      <c r="B10" s="254"/>
      <c r="C10" s="250"/>
      <c r="D10" s="250"/>
      <c r="E10" s="250"/>
      <c r="F10" s="250"/>
      <c r="G10" s="250"/>
      <c r="H10" s="23" t="s">
        <v>4</v>
      </c>
      <c r="I10" s="23" t="s">
        <v>32</v>
      </c>
      <c r="J10" s="255"/>
      <c r="K10" s="255"/>
      <c r="L10" s="256" t="s">
        <v>4</v>
      </c>
      <c r="M10" s="257"/>
      <c r="N10" s="258"/>
      <c r="O10" s="24" t="s">
        <v>32</v>
      </c>
      <c r="P10" s="255"/>
      <c r="Q10" s="250"/>
    </row>
    <row r="11" spans="1:17" ht="20.100000000000001" customHeight="1">
      <c r="A11" s="55" t="str">
        <f>'1. 소켓인수검사'!A19</f>
        <v>11</v>
      </c>
      <c r="B11" s="56">
        <f>'1. 소켓인수검사'!C19</f>
        <v>900</v>
      </c>
      <c r="C11" s="56">
        <f>'1. 소켓인수검사'!D19</f>
        <v>850</v>
      </c>
      <c r="D11" s="58">
        <v>1</v>
      </c>
      <c r="E11" s="73"/>
      <c r="F11" s="216" t="s">
        <v>51</v>
      </c>
      <c r="G11" s="68">
        <f>228-3</f>
        <v>225</v>
      </c>
      <c r="H11" s="58">
        <f>((B11-30)/2)-1</f>
        <v>434</v>
      </c>
      <c r="I11" s="58">
        <f t="shared" ref="I11:I12" si="0">D11*4*2</f>
        <v>8</v>
      </c>
      <c r="J11" s="58"/>
      <c r="K11" s="68">
        <f>240-3</f>
        <v>237</v>
      </c>
      <c r="L11" s="261">
        <f t="shared" ref="L11:L12" si="1">C11</f>
        <v>850</v>
      </c>
      <c r="M11" s="262"/>
      <c r="N11" s="262"/>
      <c r="O11" s="58">
        <f t="shared" ref="O11:O12" si="2">D11*2*2</f>
        <v>4</v>
      </c>
      <c r="P11" s="29"/>
      <c r="Q11" s="30"/>
    </row>
    <row r="12" spans="1:17" ht="19.5" customHeight="1">
      <c r="A12" s="59" t="str">
        <f>'1. 소켓인수검사'!A20</f>
        <v>12</v>
      </c>
      <c r="B12" s="40">
        <f>'1. 소켓인수검사'!C20</f>
        <v>1200</v>
      </c>
      <c r="C12" s="40">
        <f>'1. 소켓인수검사'!D20</f>
        <v>700</v>
      </c>
      <c r="D12" s="35">
        <v>1</v>
      </c>
      <c r="E12" s="74"/>
      <c r="F12" s="217"/>
      <c r="G12" s="70">
        <f t="shared" ref="G12" si="3">228-3</f>
        <v>225</v>
      </c>
      <c r="H12" s="35">
        <f>((B12-30)/2)-1</f>
        <v>584</v>
      </c>
      <c r="I12" s="35">
        <f t="shared" si="0"/>
        <v>8</v>
      </c>
      <c r="J12" s="35"/>
      <c r="K12" s="70">
        <f t="shared" ref="K12" si="4">240-3</f>
        <v>237</v>
      </c>
      <c r="L12" s="259">
        <f t="shared" si="1"/>
        <v>700</v>
      </c>
      <c r="M12" s="260"/>
      <c r="N12" s="260"/>
      <c r="O12" s="35">
        <f t="shared" si="2"/>
        <v>4</v>
      </c>
      <c r="P12" s="32"/>
      <c r="Q12" s="33"/>
    </row>
    <row r="13" spans="1:17" ht="8.1" customHeight="1">
      <c r="A13" s="233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234"/>
    </row>
    <row r="14" spans="1:17">
      <c r="A14" s="212" t="s">
        <v>47</v>
      </c>
      <c r="B14" s="212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</row>
    <row r="15" spans="1:17">
      <c r="A15" s="212"/>
      <c r="B15" s="212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</row>
    <row r="16" spans="1:17">
      <c r="A16" s="212"/>
      <c r="B16" s="212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</row>
    <row r="17" spans="1:17">
      <c r="A17" s="212"/>
      <c r="B17" s="212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</row>
    <row r="18" spans="1:17">
      <c r="A18" s="212"/>
      <c r="B18" s="212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>
      <c r="A19" s="212"/>
      <c r="B19" s="212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</sheetData>
  <mergeCells count="35">
    <mergeCell ref="A1:D3"/>
    <mergeCell ref="A4:B4"/>
    <mergeCell ref="C4:D4"/>
    <mergeCell ref="A5:B6"/>
    <mergeCell ref="C5:D6"/>
    <mergeCell ref="F5:G5"/>
    <mergeCell ref="H5:H6"/>
    <mergeCell ref="I5:J6"/>
    <mergeCell ref="K5:N6"/>
    <mergeCell ref="O5:Q6"/>
    <mergeCell ref="F6:G6"/>
    <mergeCell ref="E1:Q4"/>
    <mergeCell ref="A7:Q7"/>
    <mergeCell ref="A8:A10"/>
    <mergeCell ref="B8:C8"/>
    <mergeCell ref="D8:D10"/>
    <mergeCell ref="E8:E10"/>
    <mergeCell ref="F8:F10"/>
    <mergeCell ref="G8:P8"/>
    <mergeCell ref="Q8:Q10"/>
    <mergeCell ref="B9:B10"/>
    <mergeCell ref="C9:C10"/>
    <mergeCell ref="G9:G10"/>
    <mergeCell ref="H9:I9"/>
    <mergeCell ref="J9:J10"/>
    <mergeCell ref="K9:K10"/>
    <mergeCell ref="L9:O9"/>
    <mergeCell ref="P9:P10"/>
    <mergeCell ref="L10:N10"/>
    <mergeCell ref="A13:Q13"/>
    <mergeCell ref="A14:B19"/>
    <mergeCell ref="C14:Q19"/>
    <mergeCell ref="F11:F12"/>
    <mergeCell ref="L11:N11"/>
    <mergeCell ref="L12:N12"/>
  </mergeCells>
  <phoneticPr fontId="30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30"/>
  <sheetViews>
    <sheetView zoomScaleNormal="100" zoomScaleSheetLayoutView="100" workbookViewId="0">
      <pane ySplit="9" topLeftCell="A10" activePane="bottomLeft" state="frozen"/>
      <selection pane="bottomLeft" activeCell="M40" sqref="M40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27"/>
      <c r="B1" s="127"/>
      <c r="C1" s="127"/>
      <c r="D1" s="284" t="s">
        <v>45</v>
      </c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5"/>
      <c r="R1" s="286"/>
      <c r="S1" s="14"/>
    </row>
    <row r="2" spans="1:19">
      <c r="A2" s="127"/>
      <c r="B2" s="127"/>
      <c r="C2" s="127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5"/>
      <c r="R2" s="287"/>
      <c r="S2" s="288"/>
    </row>
    <row r="3" spans="1:19" ht="24" customHeight="1">
      <c r="A3" s="127"/>
      <c r="B3" s="127"/>
      <c r="C3" s="127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5"/>
      <c r="R3" s="287"/>
      <c r="S3" s="288"/>
    </row>
    <row r="4" spans="1:19">
      <c r="A4" s="127" t="s">
        <v>17</v>
      </c>
      <c r="B4" s="127"/>
      <c r="C4" s="1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  <c r="O4" s="284"/>
      <c r="P4" s="284"/>
      <c r="Q4" s="285"/>
      <c r="R4" s="287"/>
      <c r="S4" s="288"/>
    </row>
    <row r="5" spans="1:19">
      <c r="A5" s="127" t="s">
        <v>27</v>
      </c>
      <c r="B5" s="127"/>
      <c r="C5" s="127"/>
      <c r="D5" s="2" t="s">
        <v>33</v>
      </c>
      <c r="E5" s="289"/>
      <c r="F5" s="290"/>
      <c r="G5" s="291" t="s">
        <v>62</v>
      </c>
      <c r="H5" s="179"/>
      <c r="I5" s="180"/>
      <c r="J5" s="180"/>
      <c r="K5" s="181"/>
      <c r="L5" s="291" t="s">
        <v>22</v>
      </c>
      <c r="M5" s="76"/>
      <c r="N5" s="76"/>
      <c r="O5" s="291" t="s">
        <v>22</v>
      </c>
      <c r="P5" s="293" t="str">
        <f>'1. 소켓인수검사'!R2</f>
        <v>26.06.30 엘티_신세계건설_대현기건_트레이더스의정부</v>
      </c>
      <c r="Q5" s="294"/>
      <c r="R5" s="294"/>
      <c r="S5" s="295"/>
    </row>
    <row r="6" spans="1:19">
      <c r="A6" s="127"/>
      <c r="B6" s="127"/>
      <c r="C6" s="127"/>
      <c r="D6" s="2" t="s">
        <v>30</v>
      </c>
      <c r="E6" s="289"/>
      <c r="F6" s="290"/>
      <c r="G6" s="292"/>
      <c r="H6" s="185"/>
      <c r="I6" s="128"/>
      <c r="J6" s="128"/>
      <c r="K6" s="186"/>
      <c r="L6" s="292"/>
      <c r="M6" s="77"/>
      <c r="N6" s="77"/>
      <c r="O6" s="292"/>
      <c r="P6" s="296"/>
      <c r="Q6" s="297"/>
      <c r="R6" s="297"/>
      <c r="S6" s="298"/>
    </row>
    <row r="7" spans="1:19" ht="8.1" customHeight="1">
      <c r="A7" s="185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86"/>
    </row>
    <row r="8" spans="1:19" ht="16.5" customHeight="1">
      <c r="A8" s="152" t="s">
        <v>59</v>
      </c>
      <c r="B8" s="280" t="s">
        <v>66</v>
      </c>
      <c r="C8" s="280" t="s">
        <v>64</v>
      </c>
      <c r="D8" s="280" t="s">
        <v>69</v>
      </c>
      <c r="E8" s="280" t="s">
        <v>54</v>
      </c>
      <c r="F8" s="280" t="s">
        <v>61</v>
      </c>
      <c r="G8" s="280" t="s">
        <v>24</v>
      </c>
      <c r="H8" s="280"/>
      <c r="I8" s="280"/>
      <c r="J8" s="280" t="s">
        <v>0</v>
      </c>
      <c r="K8" s="280"/>
      <c r="L8" s="280"/>
      <c r="M8" s="280" t="s">
        <v>0</v>
      </c>
      <c r="N8" s="280"/>
      <c r="O8" s="280"/>
      <c r="P8" s="280" t="s">
        <v>0</v>
      </c>
      <c r="Q8" s="280"/>
      <c r="R8" s="280"/>
      <c r="S8" s="282"/>
    </row>
    <row r="9" spans="1:19" ht="33" customHeight="1">
      <c r="A9" s="279"/>
      <c r="B9" s="281"/>
      <c r="C9" s="281"/>
      <c r="D9" s="281"/>
      <c r="E9" s="281"/>
      <c r="F9" s="281"/>
      <c r="G9" s="79" t="s">
        <v>34</v>
      </c>
      <c r="H9" s="79" t="s">
        <v>57</v>
      </c>
      <c r="I9" s="79" t="s">
        <v>56</v>
      </c>
      <c r="J9" s="79" t="s">
        <v>20</v>
      </c>
      <c r="K9" s="79" t="s">
        <v>57</v>
      </c>
      <c r="L9" s="79" t="s">
        <v>56</v>
      </c>
      <c r="M9" s="79" t="s">
        <v>26</v>
      </c>
      <c r="N9" s="79" t="s">
        <v>57</v>
      </c>
      <c r="O9" s="79" t="s">
        <v>56</v>
      </c>
      <c r="P9" s="79" t="s">
        <v>23</v>
      </c>
      <c r="Q9" s="79" t="s">
        <v>57</v>
      </c>
      <c r="R9" s="281" t="s">
        <v>56</v>
      </c>
      <c r="S9" s="283"/>
    </row>
    <row r="10" spans="1:19">
      <c r="A10" s="59" t="str">
        <f>'1. 소켓인수검사'!A9</f>
        <v>01</v>
      </c>
      <c r="B10" s="40">
        <f>'1. 소켓인수검사'!C9</f>
        <v>300</v>
      </c>
      <c r="C10" s="40">
        <f>'1. 소켓인수검사'!D9</f>
        <v>300</v>
      </c>
      <c r="D10" s="62" t="s">
        <v>49</v>
      </c>
      <c r="E10" s="75">
        <f>B10*C10/1000000</f>
        <v>0.09</v>
      </c>
      <c r="F10" s="75">
        <f>(B10+C10)*2/1000</f>
        <v>1.2</v>
      </c>
      <c r="G10" s="34"/>
      <c r="H10" s="40"/>
      <c r="I10" s="34"/>
      <c r="J10" s="34"/>
      <c r="K10" s="40"/>
      <c r="L10" s="34"/>
      <c r="M10" s="34">
        <f>F10+0.5</f>
        <v>1.7</v>
      </c>
      <c r="N10" s="40">
        <v>4</v>
      </c>
      <c r="O10" s="34">
        <f>+N10*M10</f>
        <v>6.8</v>
      </c>
      <c r="P10" s="34"/>
      <c r="Q10" s="40"/>
      <c r="R10" s="272"/>
      <c r="S10" s="273"/>
    </row>
    <row r="11" spans="1:19">
      <c r="A11" s="59" t="str">
        <f>'1. 소켓인수검사'!A10</f>
        <v>02</v>
      </c>
      <c r="B11" s="40">
        <f>'1. 소켓인수검사'!C10</f>
        <v>350</v>
      </c>
      <c r="C11" s="40">
        <f>'1. 소켓인수검사'!D10</f>
        <v>300</v>
      </c>
      <c r="D11" s="62" t="s">
        <v>49</v>
      </c>
      <c r="E11" s="75">
        <f>B11*C11/1000000</f>
        <v>0.105</v>
      </c>
      <c r="F11" s="75">
        <f>(B11+C11)*2/1000</f>
        <v>1.3</v>
      </c>
      <c r="G11" s="34"/>
      <c r="H11" s="40"/>
      <c r="I11" s="34"/>
      <c r="J11" s="34"/>
      <c r="K11" s="40"/>
      <c r="L11" s="34"/>
      <c r="M11" s="34">
        <f t="shared" ref="M11:M19" si="0">F11+0.5</f>
        <v>1.8</v>
      </c>
      <c r="N11" s="40">
        <v>4</v>
      </c>
      <c r="O11" s="34">
        <f t="shared" ref="O11:O19" si="1">+N11*M11</f>
        <v>7.2</v>
      </c>
      <c r="P11" s="34"/>
      <c r="Q11" s="40"/>
      <c r="R11" s="272"/>
      <c r="S11" s="273"/>
    </row>
    <row r="12" spans="1:19">
      <c r="A12" s="59" t="str">
        <f>'1. 소켓인수검사'!A11</f>
        <v>03</v>
      </c>
      <c r="B12" s="40">
        <f>'1. 소켓인수검사'!C11</f>
        <v>400</v>
      </c>
      <c r="C12" s="40">
        <f>'1. 소켓인수검사'!D11</f>
        <v>400</v>
      </c>
      <c r="D12" s="62" t="s">
        <v>49</v>
      </c>
      <c r="E12" s="75">
        <f t="shared" ref="E12:E19" si="2">B12*C12/1000000</f>
        <v>0.16</v>
      </c>
      <c r="F12" s="75">
        <f t="shared" ref="F12:F19" si="3">(B12+C12)*2/1000</f>
        <v>1.6</v>
      </c>
      <c r="G12" s="34"/>
      <c r="H12" s="40"/>
      <c r="I12" s="34"/>
      <c r="J12" s="34"/>
      <c r="K12" s="40"/>
      <c r="L12" s="34"/>
      <c r="M12" s="34">
        <f t="shared" si="0"/>
        <v>2.1</v>
      </c>
      <c r="N12" s="40">
        <v>4</v>
      </c>
      <c r="O12" s="34">
        <f t="shared" si="1"/>
        <v>8.4</v>
      </c>
      <c r="P12" s="34"/>
      <c r="Q12" s="40"/>
      <c r="R12" s="272"/>
      <c r="S12" s="273"/>
    </row>
    <row r="13" spans="1:19">
      <c r="A13" s="59" t="str">
        <f>'1. 소켓인수검사'!A12</f>
        <v>04</v>
      </c>
      <c r="B13" s="40">
        <f>'1. 소켓인수검사'!C12</f>
        <v>600</v>
      </c>
      <c r="C13" s="40">
        <f>'1. 소켓인수검사'!D12</f>
        <v>300</v>
      </c>
      <c r="D13" s="62" t="s">
        <v>49</v>
      </c>
      <c r="E13" s="75">
        <f t="shared" si="2"/>
        <v>0.18</v>
      </c>
      <c r="F13" s="75">
        <f t="shared" si="3"/>
        <v>1.8</v>
      </c>
      <c r="G13" s="34"/>
      <c r="H13" s="40"/>
      <c r="I13" s="34"/>
      <c r="J13" s="34"/>
      <c r="K13" s="40"/>
      <c r="L13" s="34"/>
      <c r="M13" s="34">
        <f t="shared" si="0"/>
        <v>2.2999999999999998</v>
      </c>
      <c r="N13" s="40">
        <v>4</v>
      </c>
      <c r="O13" s="34">
        <f t="shared" si="1"/>
        <v>9.1999999999999993</v>
      </c>
      <c r="P13" s="34"/>
      <c r="Q13" s="40"/>
      <c r="R13" s="272"/>
      <c r="S13" s="273"/>
    </row>
    <row r="14" spans="1:19">
      <c r="A14" s="59" t="str">
        <f>'1. 소켓인수검사'!A13</f>
        <v>05</v>
      </c>
      <c r="B14" s="40">
        <f>'1. 소켓인수검사'!C13</f>
        <v>600</v>
      </c>
      <c r="C14" s="40">
        <f>'1. 소켓인수검사'!D13</f>
        <v>400</v>
      </c>
      <c r="D14" s="62" t="s">
        <v>49</v>
      </c>
      <c r="E14" s="75">
        <f t="shared" si="2"/>
        <v>0.24</v>
      </c>
      <c r="F14" s="75">
        <f t="shared" si="3"/>
        <v>2</v>
      </c>
      <c r="G14" s="34"/>
      <c r="H14" s="40"/>
      <c r="I14" s="34"/>
      <c r="J14" s="34"/>
      <c r="K14" s="40"/>
      <c r="L14" s="34"/>
      <c r="M14" s="34">
        <f t="shared" si="0"/>
        <v>2.5</v>
      </c>
      <c r="N14" s="40">
        <v>4</v>
      </c>
      <c r="O14" s="34">
        <f t="shared" si="1"/>
        <v>10</v>
      </c>
      <c r="P14" s="34"/>
      <c r="Q14" s="40"/>
      <c r="R14" s="272"/>
      <c r="S14" s="273"/>
    </row>
    <row r="15" spans="1:19">
      <c r="A15" s="59" t="str">
        <f>'1. 소켓인수검사'!A14</f>
        <v>06</v>
      </c>
      <c r="B15" s="40">
        <f>'1. 소켓인수검사'!C14</f>
        <v>600</v>
      </c>
      <c r="C15" s="40">
        <f>'1. 소켓인수검사'!D14</f>
        <v>550</v>
      </c>
      <c r="D15" s="62" t="s">
        <v>49</v>
      </c>
      <c r="E15" s="75">
        <f t="shared" si="2"/>
        <v>0.33</v>
      </c>
      <c r="F15" s="75">
        <f t="shared" si="3"/>
        <v>2.2999999999999998</v>
      </c>
      <c r="G15" s="34"/>
      <c r="H15" s="40"/>
      <c r="I15" s="34"/>
      <c r="J15" s="34"/>
      <c r="K15" s="40"/>
      <c r="L15" s="34"/>
      <c r="M15" s="34">
        <f t="shared" si="0"/>
        <v>2.8</v>
      </c>
      <c r="N15" s="40">
        <v>4</v>
      </c>
      <c r="O15" s="34">
        <f t="shared" si="1"/>
        <v>11.2</v>
      </c>
      <c r="P15" s="34"/>
      <c r="Q15" s="34"/>
      <c r="R15" s="272"/>
      <c r="S15" s="273"/>
    </row>
    <row r="16" spans="1:19">
      <c r="A16" s="59" t="str">
        <f>'1. 소켓인수검사'!A15</f>
        <v>07</v>
      </c>
      <c r="B16" s="40">
        <f>'1. 소켓인수검사'!C15</f>
        <v>700</v>
      </c>
      <c r="C16" s="40">
        <f>'1. 소켓인수검사'!D15</f>
        <v>550</v>
      </c>
      <c r="D16" s="62" t="s">
        <v>49</v>
      </c>
      <c r="E16" s="75">
        <f t="shared" si="2"/>
        <v>0.38500000000000001</v>
      </c>
      <c r="F16" s="75">
        <f t="shared" si="3"/>
        <v>2.5</v>
      </c>
      <c r="G16" s="34"/>
      <c r="H16" s="40"/>
      <c r="I16" s="34"/>
      <c r="J16" s="34"/>
      <c r="K16" s="40"/>
      <c r="L16" s="34"/>
      <c r="M16" s="34">
        <f t="shared" si="0"/>
        <v>3</v>
      </c>
      <c r="N16" s="40">
        <v>4</v>
      </c>
      <c r="O16" s="34">
        <f t="shared" si="1"/>
        <v>12</v>
      </c>
      <c r="P16" s="34"/>
      <c r="Q16" s="34"/>
      <c r="R16" s="272"/>
      <c r="S16" s="273"/>
    </row>
    <row r="17" spans="1:19">
      <c r="A17" s="59" t="str">
        <f>'1. 소켓인수검사'!A16</f>
        <v>08</v>
      </c>
      <c r="B17" s="40">
        <f>'1. 소켓인수검사'!C16</f>
        <v>700</v>
      </c>
      <c r="C17" s="40">
        <f>'1. 소켓인수검사'!D16</f>
        <v>600</v>
      </c>
      <c r="D17" s="62" t="s">
        <v>49</v>
      </c>
      <c r="E17" s="75">
        <f t="shared" si="2"/>
        <v>0.42</v>
      </c>
      <c r="F17" s="75">
        <f t="shared" si="3"/>
        <v>2.6</v>
      </c>
      <c r="G17" s="34"/>
      <c r="H17" s="40"/>
      <c r="I17" s="34"/>
      <c r="J17" s="34"/>
      <c r="K17" s="40"/>
      <c r="L17" s="34"/>
      <c r="M17" s="34">
        <f t="shared" si="0"/>
        <v>3.1</v>
      </c>
      <c r="N17" s="40">
        <v>4</v>
      </c>
      <c r="O17" s="34">
        <f t="shared" si="1"/>
        <v>12.4</v>
      </c>
      <c r="P17" s="34"/>
      <c r="Q17" s="34"/>
      <c r="R17" s="272"/>
      <c r="S17" s="273"/>
    </row>
    <row r="18" spans="1:19" ht="16.5" customHeight="1">
      <c r="A18" s="59" t="str">
        <f>'1. 소켓인수검사'!A17</f>
        <v>09</v>
      </c>
      <c r="B18" s="40">
        <f>'1. 소켓인수검사'!C17</f>
        <v>900</v>
      </c>
      <c r="C18" s="40">
        <f>'1. 소켓인수검사'!D17</f>
        <v>600</v>
      </c>
      <c r="D18" s="62" t="s">
        <v>49</v>
      </c>
      <c r="E18" s="75">
        <f t="shared" si="2"/>
        <v>0.54</v>
      </c>
      <c r="F18" s="75">
        <f t="shared" si="3"/>
        <v>3</v>
      </c>
      <c r="G18" s="34"/>
      <c r="H18" s="40"/>
      <c r="I18" s="34"/>
      <c r="J18" s="34"/>
      <c r="K18" s="40"/>
      <c r="L18" s="34"/>
      <c r="M18" s="34">
        <f t="shared" si="0"/>
        <v>3.5</v>
      </c>
      <c r="N18" s="40">
        <v>4</v>
      </c>
      <c r="O18" s="34">
        <f t="shared" si="1"/>
        <v>14</v>
      </c>
      <c r="P18" s="34"/>
      <c r="Q18" s="34"/>
      <c r="R18" s="272"/>
      <c r="S18" s="273"/>
    </row>
    <row r="19" spans="1:19">
      <c r="A19" s="59" t="str">
        <f>'1. 소켓인수검사'!A18</f>
        <v>10</v>
      </c>
      <c r="B19" s="40">
        <f>'1. 소켓인수검사'!C18</f>
        <v>900</v>
      </c>
      <c r="C19" s="40">
        <f>'1. 소켓인수검사'!D18</f>
        <v>650</v>
      </c>
      <c r="D19" s="62" t="s">
        <v>49</v>
      </c>
      <c r="E19" s="75">
        <f t="shared" si="2"/>
        <v>0.58499999999999996</v>
      </c>
      <c r="F19" s="75">
        <f t="shared" si="3"/>
        <v>3.1</v>
      </c>
      <c r="G19" s="34"/>
      <c r="H19" s="40"/>
      <c r="I19" s="34"/>
      <c r="J19" s="34"/>
      <c r="K19" s="40"/>
      <c r="L19" s="34"/>
      <c r="M19" s="34">
        <f t="shared" si="0"/>
        <v>3.6</v>
      </c>
      <c r="N19" s="40">
        <v>4</v>
      </c>
      <c r="O19" s="34">
        <f t="shared" si="1"/>
        <v>14.4</v>
      </c>
      <c r="P19" s="34"/>
      <c r="Q19" s="34"/>
      <c r="R19" s="272"/>
      <c r="S19" s="273"/>
    </row>
    <row r="20" spans="1:19">
      <c r="A20" s="59" t="str">
        <f>'1. 소켓인수검사'!A19</f>
        <v>11</v>
      </c>
      <c r="B20" s="40">
        <f>'1. 소켓인수검사'!C19</f>
        <v>900</v>
      </c>
      <c r="C20" s="40">
        <f>'1. 소켓인수검사'!D19</f>
        <v>850</v>
      </c>
      <c r="D20" s="63" t="s">
        <v>48</v>
      </c>
      <c r="E20" s="75">
        <f t="shared" ref="E20:E21" si="4">B20*C20/1000000</f>
        <v>0.76500000000000001</v>
      </c>
      <c r="F20" s="75">
        <f t="shared" ref="F20:F21" si="5">(B20+C20)*2/1000</f>
        <v>3.5</v>
      </c>
      <c r="G20" s="34">
        <f t="shared" ref="G20:G21" si="6">(F20+0.4)</f>
        <v>3.9</v>
      </c>
      <c r="H20" s="40">
        <v>2</v>
      </c>
      <c r="I20" s="34">
        <f>G20*H20</f>
        <v>7.8</v>
      </c>
      <c r="J20" s="34"/>
      <c r="K20" s="34"/>
      <c r="L20" s="34"/>
      <c r="M20" s="34"/>
      <c r="N20" s="34"/>
      <c r="O20" s="34"/>
      <c r="P20" s="34">
        <f t="shared" ref="P20:P21" si="7">F20+0.5</f>
        <v>4</v>
      </c>
      <c r="Q20" s="34">
        <v>2</v>
      </c>
      <c r="R20" s="272">
        <f>P20*Q20</f>
        <v>8</v>
      </c>
      <c r="S20" s="273"/>
    </row>
    <row r="21" spans="1:19">
      <c r="A21" s="59" t="str">
        <f>'1. 소켓인수검사'!A20</f>
        <v>12</v>
      </c>
      <c r="B21" s="40">
        <f>'1. 소켓인수검사'!C20</f>
        <v>1200</v>
      </c>
      <c r="C21" s="40">
        <f>'1. 소켓인수검사'!D20</f>
        <v>700</v>
      </c>
      <c r="D21" s="63" t="s">
        <v>48</v>
      </c>
      <c r="E21" s="75">
        <f t="shared" si="4"/>
        <v>0.84</v>
      </c>
      <c r="F21" s="75">
        <f t="shared" si="5"/>
        <v>3.8</v>
      </c>
      <c r="G21" s="34">
        <f t="shared" si="6"/>
        <v>4.2</v>
      </c>
      <c r="H21" s="40">
        <v>2</v>
      </c>
      <c r="I21" s="34">
        <f>G21*H21</f>
        <v>8.4</v>
      </c>
      <c r="J21" s="34"/>
      <c r="K21" s="34"/>
      <c r="L21" s="34"/>
      <c r="M21" s="34"/>
      <c r="N21" s="34"/>
      <c r="O21" s="34"/>
      <c r="P21" s="34">
        <f t="shared" si="7"/>
        <v>4.3</v>
      </c>
      <c r="Q21" s="34">
        <v>2</v>
      </c>
      <c r="R21" s="272">
        <f t="shared" ref="R21" si="8">P21*Q21</f>
        <v>8.6</v>
      </c>
      <c r="S21" s="273"/>
    </row>
    <row r="22" spans="1:19">
      <c r="A22" s="274" t="s">
        <v>3</v>
      </c>
      <c r="B22" s="275"/>
      <c r="C22" s="275"/>
      <c r="D22" s="275"/>
      <c r="E22" s="275"/>
      <c r="F22" s="276"/>
      <c r="G22" s="38"/>
      <c r="H22" s="51"/>
      <c r="I22" s="83">
        <f>SUM(I10:I21)</f>
        <v>16.2</v>
      </c>
      <c r="J22" s="38"/>
      <c r="K22" s="38"/>
      <c r="L22" s="83">
        <f>SUM(L10:L21)</f>
        <v>0</v>
      </c>
      <c r="M22" s="38"/>
      <c r="N22" s="38"/>
      <c r="O22" s="83">
        <f>SUM(O10:O21)</f>
        <v>105.60000000000001</v>
      </c>
      <c r="P22" s="38"/>
      <c r="Q22" s="38"/>
      <c r="R22" s="277">
        <f>SUM(R10:S21)</f>
        <v>16.600000000000001</v>
      </c>
      <c r="S22" s="278"/>
    </row>
    <row r="23" spans="1:19" ht="17.25" customHeight="1">
      <c r="A23" s="265" t="s">
        <v>13</v>
      </c>
      <c r="B23" s="266"/>
      <c r="C23" s="266"/>
      <c r="D23" s="266"/>
      <c r="E23" s="266"/>
      <c r="F23" s="267"/>
      <c r="G23" s="268">
        <f>I22/20</f>
        <v>0.80999999999999994</v>
      </c>
      <c r="H23" s="269"/>
      <c r="I23" s="269"/>
      <c r="J23" s="269"/>
      <c r="K23" s="269"/>
      <c r="L23" s="269"/>
      <c r="M23" s="269"/>
      <c r="N23" s="269"/>
      <c r="O23" s="269"/>
      <c r="P23" s="269"/>
      <c r="Q23" s="269"/>
      <c r="R23" s="269"/>
      <c r="S23" s="270"/>
    </row>
    <row r="24" spans="1:19">
      <c r="A24" s="265" t="s">
        <v>12</v>
      </c>
      <c r="B24" s="266"/>
      <c r="C24" s="266"/>
      <c r="D24" s="266"/>
      <c r="E24" s="266"/>
      <c r="F24" s="267"/>
      <c r="G24" s="268">
        <f>L22/3.6</f>
        <v>0</v>
      </c>
      <c r="H24" s="269"/>
      <c r="I24" s="269"/>
      <c r="J24" s="269"/>
      <c r="K24" s="269"/>
      <c r="L24" s="269"/>
      <c r="M24" s="269"/>
      <c r="N24" s="269"/>
      <c r="O24" s="269"/>
      <c r="P24" s="269"/>
      <c r="Q24" s="269"/>
      <c r="R24" s="269"/>
      <c r="S24" s="270"/>
    </row>
    <row r="25" spans="1:19">
      <c r="A25" s="271" t="s">
        <v>78</v>
      </c>
      <c r="B25" s="266"/>
      <c r="C25" s="266"/>
      <c r="D25" s="266"/>
      <c r="E25" s="266"/>
      <c r="F25" s="267"/>
      <c r="G25" s="268">
        <f>O22/7.4</f>
        <v>14.27027027027027</v>
      </c>
      <c r="H25" s="269"/>
      <c r="I25" s="269"/>
      <c r="J25" s="269"/>
      <c r="K25" s="269"/>
      <c r="L25" s="269"/>
      <c r="M25" s="269"/>
      <c r="N25" s="269"/>
      <c r="O25" s="269"/>
      <c r="P25" s="269"/>
      <c r="Q25" s="269"/>
      <c r="R25" s="269"/>
      <c r="S25" s="270"/>
    </row>
    <row r="26" spans="1:19">
      <c r="A26" s="265" t="s">
        <v>14</v>
      </c>
      <c r="B26" s="266"/>
      <c r="C26" s="266"/>
      <c r="D26" s="266"/>
      <c r="E26" s="266"/>
      <c r="F26" s="267"/>
      <c r="G26" s="268">
        <f>R22/3.6</f>
        <v>4.6111111111111116</v>
      </c>
      <c r="H26" s="269"/>
      <c r="I26" s="269"/>
      <c r="J26" s="269"/>
      <c r="K26" s="269"/>
      <c r="L26" s="269"/>
      <c r="M26" s="269"/>
      <c r="N26" s="269"/>
      <c r="O26" s="269"/>
      <c r="P26" s="269"/>
      <c r="Q26" s="269"/>
      <c r="R26" s="269"/>
      <c r="S26" s="270"/>
    </row>
    <row r="27" spans="1:19" ht="8.1" customHeight="1">
      <c r="A27" s="180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</row>
    <row r="28" spans="1:19">
      <c r="A28" s="312" t="s">
        <v>47</v>
      </c>
      <c r="B28" s="312"/>
      <c r="C28" s="263"/>
      <c r="D28" s="264"/>
      <c r="E28" s="264"/>
      <c r="F28" s="264"/>
      <c r="G28" s="264"/>
      <c r="H28" s="264"/>
      <c r="I28" s="264"/>
      <c r="J28" s="264"/>
      <c r="K28" s="264"/>
      <c r="L28" s="264"/>
      <c r="M28" s="264"/>
      <c r="N28" s="264"/>
      <c r="O28" s="264"/>
      <c r="P28" s="264"/>
      <c r="Q28" s="264"/>
      <c r="R28" s="264"/>
      <c r="S28" s="264"/>
    </row>
    <row r="29" spans="1:19">
      <c r="A29" s="312"/>
      <c r="B29" s="312"/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4"/>
      <c r="R29" s="264"/>
      <c r="S29" s="264"/>
    </row>
    <row r="30" spans="1:19">
      <c r="A30" s="312"/>
      <c r="B30" s="312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</row>
  </sheetData>
  <mergeCells count="51">
    <mergeCell ref="A1:C3"/>
    <mergeCell ref="D1:Q4"/>
    <mergeCell ref="R1:R4"/>
    <mergeCell ref="S2:S4"/>
    <mergeCell ref="A4:B4"/>
    <mergeCell ref="A5:B6"/>
    <mergeCell ref="C5:C6"/>
    <mergeCell ref="E5:F5"/>
    <mergeCell ref="G5:G6"/>
    <mergeCell ref="H5:K6"/>
    <mergeCell ref="L5:L6"/>
    <mergeCell ref="O5:O6"/>
    <mergeCell ref="P5:S6"/>
    <mergeCell ref="E6:F6"/>
    <mergeCell ref="A7:S7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A22:F22"/>
    <mergeCell ref="R22:S22"/>
    <mergeCell ref="A28:B30"/>
    <mergeCell ref="C28:S30"/>
    <mergeCell ref="A23:F23"/>
    <mergeCell ref="G23:S23"/>
    <mergeCell ref="A24:F24"/>
    <mergeCell ref="G24:S24"/>
    <mergeCell ref="A25:F25"/>
    <mergeCell ref="G25:S25"/>
    <mergeCell ref="A26:F26"/>
    <mergeCell ref="G26:S26"/>
    <mergeCell ref="A27:S27"/>
  </mergeCells>
  <phoneticPr fontId="30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26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Z48" sqref="Z48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27"/>
      <c r="B1" s="127"/>
      <c r="C1" s="127"/>
      <c r="D1" s="127"/>
      <c r="E1" s="101" t="s">
        <v>8</v>
      </c>
      <c r="F1" s="304" t="s">
        <v>75</v>
      </c>
      <c r="G1" s="304"/>
      <c r="H1" s="304"/>
      <c r="I1" s="304"/>
      <c r="J1" s="304"/>
      <c r="K1" s="121" t="str">
        <f>'1. 소켓인수검사'!R2</f>
        <v>26.06.30 엘티_신세계건설_대현기건_트레이더스의정부</v>
      </c>
      <c r="L1" s="121"/>
      <c r="M1" s="121"/>
      <c r="N1" s="121"/>
      <c r="O1" s="121"/>
      <c r="P1" s="121"/>
      <c r="Q1" s="121"/>
      <c r="R1" s="121"/>
      <c r="S1" s="121"/>
      <c r="T1" s="121"/>
      <c r="U1" s="122"/>
    </row>
    <row r="2" spans="1:21" ht="16.5" customHeight="1">
      <c r="A2" s="127"/>
      <c r="B2" s="127"/>
      <c r="C2" s="127"/>
      <c r="D2" s="127"/>
      <c r="E2" s="100"/>
      <c r="F2" s="305"/>
      <c r="G2" s="305"/>
      <c r="H2" s="305"/>
      <c r="I2" s="305"/>
      <c r="J2" s="305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4"/>
    </row>
    <row r="3" spans="1:21" ht="24" customHeight="1">
      <c r="A3" s="127"/>
      <c r="B3" s="127"/>
      <c r="C3" s="127"/>
      <c r="D3" s="127"/>
      <c r="E3" s="102"/>
      <c r="F3" s="306"/>
      <c r="G3" s="306"/>
      <c r="H3" s="306"/>
      <c r="I3" s="306"/>
      <c r="J3" s="306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6"/>
    </row>
    <row r="4" spans="1:21" ht="8.1" customHeight="1">
      <c r="A4" s="185"/>
      <c r="B4" s="128"/>
      <c r="C4" s="128"/>
      <c r="D4" s="128"/>
      <c r="E4" s="128"/>
      <c r="F4" s="128"/>
      <c r="G4" s="128"/>
      <c r="H4" s="185"/>
      <c r="I4" s="128"/>
      <c r="J4" s="128"/>
      <c r="K4" s="128"/>
      <c r="L4" s="128"/>
      <c r="M4" s="128"/>
      <c r="N4" s="128"/>
      <c r="O4" s="128"/>
      <c r="P4" s="128"/>
      <c r="Q4" s="3"/>
      <c r="S4" s="3"/>
      <c r="T4" s="3"/>
      <c r="U4" s="3"/>
    </row>
    <row r="5" spans="1:21" ht="16.5" customHeight="1">
      <c r="A5" s="152" t="s">
        <v>59</v>
      </c>
      <c r="B5" s="307" t="s">
        <v>37</v>
      </c>
      <c r="C5" s="280" t="s">
        <v>66</v>
      </c>
      <c r="D5" s="280" t="s">
        <v>64</v>
      </c>
      <c r="E5" s="280" t="s">
        <v>25</v>
      </c>
      <c r="F5" s="280" t="s">
        <v>54</v>
      </c>
      <c r="G5" s="280" t="s">
        <v>61</v>
      </c>
      <c r="H5" s="280" t="s">
        <v>41</v>
      </c>
      <c r="I5" s="280" t="s">
        <v>24</v>
      </c>
      <c r="J5" s="280"/>
      <c r="K5" s="280" t="s">
        <v>0</v>
      </c>
      <c r="L5" s="280"/>
      <c r="M5" s="280" t="s">
        <v>0</v>
      </c>
      <c r="N5" s="280"/>
      <c r="O5" s="280" t="s">
        <v>0</v>
      </c>
      <c r="P5" s="280"/>
      <c r="Q5" s="299" t="s">
        <v>53</v>
      </c>
      <c r="R5" s="299"/>
      <c r="S5" s="300" t="s">
        <v>31</v>
      </c>
      <c r="T5" s="300" t="s">
        <v>58</v>
      </c>
      <c r="U5" s="302" t="s">
        <v>18</v>
      </c>
    </row>
    <row r="6" spans="1:21" ht="26.45" customHeight="1">
      <c r="A6" s="279"/>
      <c r="B6" s="308"/>
      <c r="C6" s="281"/>
      <c r="D6" s="281"/>
      <c r="E6" s="281"/>
      <c r="F6" s="281"/>
      <c r="G6" s="281"/>
      <c r="H6" s="281"/>
      <c r="I6" s="79" t="s">
        <v>9</v>
      </c>
      <c r="J6" s="39" t="s">
        <v>57</v>
      </c>
      <c r="K6" s="79" t="s">
        <v>76</v>
      </c>
      <c r="L6" s="39" t="s">
        <v>57</v>
      </c>
      <c r="M6" s="79" t="s">
        <v>36</v>
      </c>
      <c r="N6" s="39" t="s">
        <v>57</v>
      </c>
      <c r="O6" s="79" t="s">
        <v>38</v>
      </c>
      <c r="P6" s="39" t="s">
        <v>57</v>
      </c>
      <c r="Q6" s="79" t="s">
        <v>55</v>
      </c>
      <c r="R6" s="39" t="s">
        <v>67</v>
      </c>
      <c r="S6" s="301"/>
      <c r="T6" s="301"/>
      <c r="U6" s="303"/>
    </row>
    <row r="7" spans="1:21">
      <c r="A7" s="59" t="str">
        <f>'1. 소켓인수검사'!A9</f>
        <v>01</v>
      </c>
      <c r="B7" s="80" t="s">
        <v>40</v>
      </c>
      <c r="C7" s="40">
        <f>'1. 소켓인수검사'!C9</f>
        <v>300</v>
      </c>
      <c r="D7" s="40">
        <f>'1. 소켓인수검사'!D9</f>
        <v>300</v>
      </c>
      <c r="E7" s="41"/>
      <c r="F7" s="42">
        <f t="shared" ref="F7:F16" si="0">C7*D7/1000000</f>
        <v>0.09</v>
      </c>
      <c r="G7" s="42">
        <f t="shared" ref="G7:G16" si="1">(C7+D7)*2/1000</f>
        <v>1.2</v>
      </c>
      <c r="H7" s="47">
        <v>1</v>
      </c>
      <c r="I7" s="79"/>
      <c r="J7" s="39"/>
      <c r="K7" s="34">
        <f t="shared" ref="K7:K16" si="2">G7+0.5</f>
        <v>1.7</v>
      </c>
      <c r="L7" s="39">
        <v>4</v>
      </c>
      <c r="M7" s="34"/>
      <c r="N7" s="39"/>
      <c r="O7" s="34"/>
      <c r="P7" s="39"/>
      <c r="Q7" s="43">
        <f t="shared" ref="Q7:Q16" si="3">(((C7+60)+250+(D7+60))*2/1000)*2</f>
        <v>3.88</v>
      </c>
      <c r="R7" s="115">
        <f t="shared" ref="R7:R16" si="4">Q7</f>
        <v>3.88</v>
      </c>
      <c r="S7" s="44" t="s">
        <v>44</v>
      </c>
      <c r="T7" s="45" t="s">
        <v>6</v>
      </c>
      <c r="U7" s="46" t="str">
        <f>'1. 소켓인수검사'!G9</f>
        <v>(SA) 좌하보안실</v>
      </c>
    </row>
    <row r="8" spans="1:21">
      <c r="A8" s="59" t="str">
        <f>'1. 소켓인수검사'!A10</f>
        <v>02</v>
      </c>
      <c r="B8" s="80" t="s">
        <v>40</v>
      </c>
      <c r="C8" s="40">
        <f>'1. 소켓인수검사'!C10</f>
        <v>350</v>
      </c>
      <c r="D8" s="40">
        <f>'1. 소켓인수검사'!D10</f>
        <v>300</v>
      </c>
      <c r="E8" s="41"/>
      <c r="F8" s="42">
        <f t="shared" si="0"/>
        <v>0.105</v>
      </c>
      <c r="G8" s="42">
        <f t="shared" si="1"/>
        <v>1.3</v>
      </c>
      <c r="H8" s="47">
        <v>1</v>
      </c>
      <c r="I8" s="79"/>
      <c r="J8" s="39"/>
      <c r="K8" s="34">
        <f t="shared" si="2"/>
        <v>1.8</v>
      </c>
      <c r="L8" s="39">
        <v>4</v>
      </c>
      <c r="M8" s="34"/>
      <c r="N8" s="39"/>
      <c r="O8" s="34"/>
      <c r="P8" s="39"/>
      <c r="Q8" s="43">
        <f t="shared" si="3"/>
        <v>4.08</v>
      </c>
      <c r="R8" s="115">
        <f t="shared" si="4"/>
        <v>4.08</v>
      </c>
      <c r="S8" s="44" t="s">
        <v>44</v>
      </c>
      <c r="T8" s="45" t="s">
        <v>6</v>
      </c>
      <c r="U8" s="46" t="str">
        <f>'1. 소켓인수검사'!G10</f>
        <v>(SA) 방풍하역장</v>
      </c>
    </row>
    <row r="9" spans="1:21">
      <c r="A9" s="59" t="str">
        <f>'1. 소켓인수검사'!A11</f>
        <v>03</v>
      </c>
      <c r="B9" s="80" t="s">
        <v>40</v>
      </c>
      <c r="C9" s="40">
        <f>'1. 소켓인수검사'!C11</f>
        <v>400</v>
      </c>
      <c r="D9" s="40">
        <f>'1. 소켓인수검사'!D11</f>
        <v>400</v>
      </c>
      <c r="E9" s="41"/>
      <c r="F9" s="42">
        <f t="shared" si="0"/>
        <v>0.16</v>
      </c>
      <c r="G9" s="42">
        <f t="shared" si="1"/>
        <v>1.6</v>
      </c>
      <c r="H9" s="47">
        <v>1</v>
      </c>
      <c r="I9" s="79"/>
      <c r="J9" s="39"/>
      <c r="K9" s="34">
        <f t="shared" si="2"/>
        <v>2.1</v>
      </c>
      <c r="L9" s="39">
        <v>4</v>
      </c>
      <c r="M9" s="34"/>
      <c r="N9" s="39"/>
      <c r="O9" s="34"/>
      <c r="P9" s="39"/>
      <c r="Q9" s="43">
        <f t="shared" si="3"/>
        <v>4.68</v>
      </c>
      <c r="R9" s="115">
        <f t="shared" si="4"/>
        <v>4.68</v>
      </c>
      <c r="S9" s="44" t="s">
        <v>44</v>
      </c>
      <c r="T9" s="45" t="s">
        <v>6</v>
      </c>
      <c r="U9" s="46" t="str">
        <f>'1. 소켓인수검사'!G11</f>
        <v>EF-13(EA) 좌하작업장</v>
      </c>
    </row>
    <row r="10" spans="1:21">
      <c r="A10" s="59" t="str">
        <f>'1. 소켓인수검사'!A12</f>
        <v>04</v>
      </c>
      <c r="B10" s="80" t="s">
        <v>40</v>
      </c>
      <c r="C10" s="40">
        <f>'1. 소켓인수검사'!C12</f>
        <v>600</v>
      </c>
      <c r="D10" s="40">
        <f>'1. 소켓인수검사'!D12</f>
        <v>300</v>
      </c>
      <c r="E10" s="41"/>
      <c r="F10" s="42">
        <f t="shared" si="0"/>
        <v>0.18</v>
      </c>
      <c r="G10" s="42">
        <f t="shared" si="1"/>
        <v>1.8</v>
      </c>
      <c r="H10" s="47">
        <v>1</v>
      </c>
      <c r="I10" s="79"/>
      <c r="J10" s="39"/>
      <c r="K10" s="34">
        <f t="shared" si="2"/>
        <v>2.2999999999999998</v>
      </c>
      <c r="L10" s="39">
        <v>4</v>
      </c>
      <c r="M10" s="34"/>
      <c r="N10" s="39"/>
      <c r="O10" s="34"/>
      <c r="P10" s="39"/>
      <c r="Q10" s="43">
        <f t="shared" si="3"/>
        <v>5.08</v>
      </c>
      <c r="R10" s="115">
        <f t="shared" si="4"/>
        <v>5.08</v>
      </c>
      <c r="S10" s="44" t="s">
        <v>44</v>
      </c>
      <c r="T10" s="45" t="s">
        <v>6</v>
      </c>
      <c r="U10" s="46" t="str">
        <f>'1. 소켓인수검사'!G12</f>
        <v>EF-12(EA) 우하공조실</v>
      </c>
    </row>
    <row r="11" spans="1:21">
      <c r="A11" s="59" t="str">
        <f>'1. 소켓인수검사'!A13</f>
        <v>05</v>
      </c>
      <c r="B11" s="80" t="s">
        <v>40</v>
      </c>
      <c r="C11" s="40">
        <f>'1. 소켓인수검사'!C13</f>
        <v>600</v>
      </c>
      <c r="D11" s="40">
        <f>'1. 소켓인수검사'!D13</f>
        <v>400</v>
      </c>
      <c r="E11" s="41"/>
      <c r="F11" s="42">
        <f t="shared" si="0"/>
        <v>0.24</v>
      </c>
      <c r="G11" s="42">
        <f t="shared" si="1"/>
        <v>2</v>
      </c>
      <c r="H11" s="47">
        <v>1</v>
      </c>
      <c r="I11" s="79"/>
      <c r="J11" s="39"/>
      <c r="K11" s="34">
        <f t="shared" si="2"/>
        <v>2.5</v>
      </c>
      <c r="L11" s="39">
        <v>4</v>
      </c>
      <c r="M11" s="34"/>
      <c r="N11" s="39"/>
      <c r="O11" s="34"/>
      <c r="P11" s="39"/>
      <c r="Q11" s="43">
        <f t="shared" si="3"/>
        <v>5.48</v>
      </c>
      <c r="R11" s="115">
        <f t="shared" si="4"/>
        <v>5.48</v>
      </c>
      <c r="S11" s="44" t="s">
        <v>44</v>
      </c>
      <c r="T11" s="45" t="s">
        <v>6</v>
      </c>
      <c r="U11" s="46" t="str">
        <f>'1. 소켓인수검사'!G13</f>
        <v>(SA) 베이커리</v>
      </c>
    </row>
    <row r="12" spans="1:21">
      <c r="A12" s="59" t="str">
        <f>'1. 소켓인수검사'!A14</f>
        <v>06</v>
      </c>
      <c r="B12" s="80" t="s">
        <v>40</v>
      </c>
      <c r="C12" s="40">
        <f>'1. 소켓인수검사'!C14</f>
        <v>600</v>
      </c>
      <c r="D12" s="40">
        <f>'1. 소켓인수검사'!D14</f>
        <v>550</v>
      </c>
      <c r="E12" s="41"/>
      <c r="F12" s="42">
        <f t="shared" si="0"/>
        <v>0.33</v>
      </c>
      <c r="G12" s="42">
        <f t="shared" si="1"/>
        <v>2.2999999999999998</v>
      </c>
      <c r="H12" s="47">
        <v>1</v>
      </c>
      <c r="I12" s="79"/>
      <c r="J12" s="39"/>
      <c r="K12" s="34">
        <f t="shared" si="2"/>
        <v>2.8</v>
      </c>
      <c r="L12" s="39">
        <v>4</v>
      </c>
      <c r="M12" s="34"/>
      <c r="N12" s="39"/>
      <c r="O12" s="34"/>
      <c r="P12" s="39"/>
      <c r="Q12" s="43">
        <f t="shared" si="3"/>
        <v>6.08</v>
      </c>
      <c r="R12" s="115">
        <f t="shared" si="4"/>
        <v>6.08</v>
      </c>
      <c r="S12" s="44" t="s">
        <v>44</v>
      </c>
      <c r="T12" s="45" t="s">
        <v>6</v>
      </c>
      <c r="U12" s="46" t="str">
        <f>'1. 소켓인수검사'!G14</f>
        <v>EF-5 베이커리</v>
      </c>
    </row>
    <row r="13" spans="1:21">
      <c r="A13" s="59" t="str">
        <f>'1. 소켓인수검사'!A15</f>
        <v>07</v>
      </c>
      <c r="B13" s="80" t="s">
        <v>40</v>
      </c>
      <c r="C13" s="40">
        <f>'1. 소켓인수검사'!C15</f>
        <v>700</v>
      </c>
      <c r="D13" s="40">
        <f>'1. 소켓인수검사'!D15</f>
        <v>550</v>
      </c>
      <c r="E13" s="41"/>
      <c r="F13" s="42">
        <f t="shared" si="0"/>
        <v>0.38500000000000001</v>
      </c>
      <c r="G13" s="42">
        <f t="shared" si="1"/>
        <v>2.5</v>
      </c>
      <c r="H13" s="47">
        <v>1</v>
      </c>
      <c r="I13" s="79"/>
      <c r="J13" s="39"/>
      <c r="K13" s="34">
        <f t="shared" si="2"/>
        <v>3</v>
      </c>
      <c r="L13" s="39">
        <v>4</v>
      </c>
      <c r="M13" s="34"/>
      <c r="N13" s="39"/>
      <c r="O13" s="34"/>
      <c r="P13" s="39"/>
      <c r="Q13" s="43">
        <f t="shared" si="3"/>
        <v>6.48</v>
      </c>
      <c r="R13" s="115">
        <f t="shared" si="4"/>
        <v>6.48</v>
      </c>
      <c r="S13" s="44" t="s">
        <v>44</v>
      </c>
      <c r="T13" s="45" t="s">
        <v>6</v>
      </c>
      <c r="U13" s="46" t="str">
        <f>'1. 소켓인수검사'!G15</f>
        <v>EF-15 좌상부</v>
      </c>
    </row>
    <row r="14" spans="1:21">
      <c r="A14" s="59" t="str">
        <f>'1. 소켓인수검사'!A16</f>
        <v>08</v>
      </c>
      <c r="B14" s="80" t="s">
        <v>40</v>
      </c>
      <c r="C14" s="40">
        <f>'1. 소켓인수검사'!C16</f>
        <v>700</v>
      </c>
      <c r="D14" s="40">
        <f>'1. 소켓인수검사'!D16</f>
        <v>600</v>
      </c>
      <c r="E14" s="41"/>
      <c r="F14" s="42">
        <f t="shared" si="0"/>
        <v>0.42</v>
      </c>
      <c r="G14" s="42">
        <f t="shared" si="1"/>
        <v>2.6</v>
      </c>
      <c r="H14" s="47">
        <v>1</v>
      </c>
      <c r="I14" s="79"/>
      <c r="J14" s="39"/>
      <c r="K14" s="34">
        <f t="shared" si="2"/>
        <v>3.1</v>
      </c>
      <c r="L14" s="39">
        <v>4</v>
      </c>
      <c r="M14" s="34"/>
      <c r="N14" s="39"/>
      <c r="O14" s="34"/>
      <c r="P14" s="39"/>
      <c r="Q14" s="43">
        <f t="shared" si="3"/>
        <v>6.68</v>
      </c>
      <c r="R14" s="115">
        <f t="shared" si="4"/>
        <v>6.68</v>
      </c>
      <c r="S14" s="44" t="s">
        <v>44</v>
      </c>
      <c r="T14" s="45" t="s">
        <v>6</v>
      </c>
      <c r="U14" s="46" t="str">
        <f>'1. 소켓인수검사'!G16</f>
        <v>HUV-1(SA) 좌상부</v>
      </c>
    </row>
    <row r="15" spans="1:21">
      <c r="A15" s="59" t="str">
        <f>'1. 소켓인수검사'!A17</f>
        <v>09</v>
      </c>
      <c r="B15" s="80" t="s">
        <v>40</v>
      </c>
      <c r="C15" s="40">
        <f>'1. 소켓인수검사'!C17</f>
        <v>900</v>
      </c>
      <c r="D15" s="40">
        <f>'1. 소켓인수검사'!D17</f>
        <v>600</v>
      </c>
      <c r="E15" s="41"/>
      <c r="F15" s="42">
        <f t="shared" si="0"/>
        <v>0.54</v>
      </c>
      <c r="G15" s="42">
        <f t="shared" si="1"/>
        <v>3</v>
      </c>
      <c r="H15" s="47">
        <v>1</v>
      </c>
      <c r="I15" s="79"/>
      <c r="J15" s="39"/>
      <c r="K15" s="34">
        <f t="shared" si="2"/>
        <v>3.5</v>
      </c>
      <c r="L15" s="39">
        <v>4</v>
      </c>
      <c r="M15" s="34"/>
      <c r="N15" s="39"/>
      <c r="O15" s="34"/>
      <c r="P15" s="39"/>
      <c r="Q15" s="43">
        <f t="shared" si="3"/>
        <v>7.48</v>
      </c>
      <c r="R15" s="115">
        <f t="shared" si="4"/>
        <v>7.48</v>
      </c>
      <c r="S15" s="44" t="s">
        <v>44</v>
      </c>
      <c r="T15" s="45" t="s">
        <v>6</v>
      </c>
      <c r="U15" s="46" t="str">
        <f>'1. 소켓인수검사'!G17</f>
        <v>EF-11(EA) 우하공조실</v>
      </c>
    </row>
    <row r="16" spans="1:21">
      <c r="A16" s="59" t="str">
        <f>'1. 소켓인수검사'!A18</f>
        <v>10</v>
      </c>
      <c r="B16" s="80" t="s">
        <v>40</v>
      </c>
      <c r="C16" s="40">
        <f>'1. 소켓인수검사'!C18</f>
        <v>900</v>
      </c>
      <c r="D16" s="40">
        <f>'1. 소켓인수검사'!D18</f>
        <v>650</v>
      </c>
      <c r="E16" s="41"/>
      <c r="F16" s="42">
        <f t="shared" si="0"/>
        <v>0.58499999999999996</v>
      </c>
      <c r="G16" s="42">
        <f t="shared" si="1"/>
        <v>3.1</v>
      </c>
      <c r="H16" s="47">
        <v>1</v>
      </c>
      <c r="I16" s="79"/>
      <c r="J16" s="39"/>
      <c r="K16" s="34">
        <f t="shared" si="2"/>
        <v>3.6</v>
      </c>
      <c r="L16" s="39">
        <v>4</v>
      </c>
      <c r="M16" s="34"/>
      <c r="N16" s="39"/>
      <c r="O16" s="34"/>
      <c r="P16" s="39"/>
      <c r="Q16" s="43">
        <f t="shared" si="3"/>
        <v>7.68</v>
      </c>
      <c r="R16" s="115">
        <f t="shared" si="4"/>
        <v>7.68</v>
      </c>
      <c r="S16" s="44" t="s">
        <v>44</v>
      </c>
      <c r="T16" s="45" t="s">
        <v>6</v>
      </c>
      <c r="U16" s="46" t="str">
        <f>'1. 소켓인수검사'!G18</f>
        <v>EF-6(EA) 우상공조실</v>
      </c>
    </row>
    <row r="17" spans="1:21">
      <c r="A17" s="59" t="str">
        <f>'1. 소켓인수검사'!A19</f>
        <v>11</v>
      </c>
      <c r="B17" s="80" t="s">
        <v>40</v>
      </c>
      <c r="C17" s="40">
        <f>'1. 소켓인수검사'!C19</f>
        <v>900</v>
      </c>
      <c r="D17" s="40">
        <f>'1. 소켓인수검사'!D19</f>
        <v>850</v>
      </c>
      <c r="E17" s="41"/>
      <c r="F17" s="42">
        <f t="shared" ref="F17:F18" si="5">C17*D17/1000000</f>
        <v>0.76500000000000001</v>
      </c>
      <c r="G17" s="42">
        <f t="shared" ref="G17:G18" si="6">(C17+D17)*2/1000</f>
        <v>3.5</v>
      </c>
      <c r="H17" s="47">
        <v>2</v>
      </c>
      <c r="I17" s="79">
        <f t="shared" ref="I17:I18" si="7">(G17+0.4)</f>
        <v>3.9</v>
      </c>
      <c r="J17" s="48">
        <v>2</v>
      </c>
      <c r="K17" s="34"/>
      <c r="L17" s="39"/>
      <c r="M17" s="34"/>
      <c r="N17" s="39"/>
      <c r="O17" s="79">
        <f t="shared" ref="O17:O18" si="8">(G17+0.5)</f>
        <v>4</v>
      </c>
      <c r="P17" s="48">
        <v>2</v>
      </c>
      <c r="Q17" s="43">
        <f t="shared" ref="Q17:Q18" si="9">(((C17+60)+250+(D17+60))*2/1000)*2</f>
        <v>8.48</v>
      </c>
      <c r="R17" s="115">
        <f t="shared" ref="R17:R18" si="10">Q17</f>
        <v>8.48</v>
      </c>
      <c r="S17" s="49" t="s">
        <v>43</v>
      </c>
      <c r="T17" s="50" t="s">
        <v>7</v>
      </c>
      <c r="U17" s="46" t="str">
        <f>'1. 소켓인수검사'!G19</f>
        <v>HUV-2(SA) 우하공조실</v>
      </c>
    </row>
    <row r="18" spans="1:21">
      <c r="A18" s="59" t="str">
        <f>'1. 소켓인수검사'!A20</f>
        <v>12</v>
      </c>
      <c r="B18" s="80" t="s">
        <v>40</v>
      </c>
      <c r="C18" s="40">
        <f>'1. 소켓인수검사'!C20</f>
        <v>1200</v>
      </c>
      <c r="D18" s="40">
        <f>'1. 소켓인수검사'!D20</f>
        <v>700</v>
      </c>
      <c r="E18" s="41"/>
      <c r="F18" s="42">
        <f t="shared" si="5"/>
        <v>0.84</v>
      </c>
      <c r="G18" s="42">
        <f t="shared" si="6"/>
        <v>3.8</v>
      </c>
      <c r="H18" s="47">
        <v>2</v>
      </c>
      <c r="I18" s="79">
        <f t="shared" si="7"/>
        <v>4.2</v>
      </c>
      <c r="J18" s="48">
        <v>2</v>
      </c>
      <c r="K18" s="34"/>
      <c r="L18" s="39"/>
      <c r="M18" s="34"/>
      <c r="N18" s="39"/>
      <c r="O18" s="79">
        <f t="shared" si="8"/>
        <v>4.3</v>
      </c>
      <c r="P18" s="48">
        <v>2</v>
      </c>
      <c r="Q18" s="43">
        <f t="shared" si="9"/>
        <v>9.08</v>
      </c>
      <c r="R18" s="115">
        <f t="shared" si="10"/>
        <v>9.08</v>
      </c>
      <c r="S18" s="49" t="s">
        <v>43</v>
      </c>
      <c r="T18" s="50" t="s">
        <v>7</v>
      </c>
      <c r="U18" s="46" t="str">
        <f>'1. 소켓인수검사'!G20</f>
        <v>EF-10(EA) 좌하작업장</v>
      </c>
    </row>
    <row r="19" spans="1:21">
      <c r="A19" s="209" t="s">
        <v>5</v>
      </c>
      <c r="B19" s="210"/>
      <c r="C19" s="210"/>
      <c r="D19" s="78"/>
      <c r="E19" s="54"/>
      <c r="F19" s="54"/>
      <c r="G19" s="54"/>
      <c r="H19" s="53">
        <f>SUM(H7:H18)</f>
        <v>14</v>
      </c>
      <c r="I19" s="84"/>
      <c r="J19" s="53">
        <f>SUM(J7:J18)</f>
        <v>4</v>
      </c>
      <c r="K19" s="84"/>
      <c r="L19" s="53">
        <f>SUM(L7:L18)</f>
        <v>40</v>
      </c>
      <c r="M19" s="84"/>
      <c r="N19" s="53">
        <f>SUM(N7:N18)</f>
        <v>0</v>
      </c>
      <c r="O19" s="84"/>
      <c r="P19" s="53">
        <f>SUM(P7:P18)</f>
        <v>4</v>
      </c>
      <c r="Q19" s="84">
        <f>SUM(Q7:Q18)</f>
        <v>75.16</v>
      </c>
      <c r="R19" s="53">
        <f>SUM(R7:R18)</f>
        <v>75.16</v>
      </c>
      <c r="S19" s="81"/>
      <c r="T19" s="81"/>
      <c r="U19" s="82"/>
    </row>
    <row r="20" spans="1:21" ht="8.1" customHeight="1">
      <c r="A20" s="183"/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4"/>
    </row>
    <row r="21" spans="1:21">
      <c r="A21" s="312" t="s">
        <v>47</v>
      </c>
      <c r="B21" s="312"/>
      <c r="C21" s="312"/>
      <c r="D21" s="314" t="s">
        <v>106</v>
      </c>
      <c r="E21" s="315"/>
      <c r="F21" s="315"/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6"/>
    </row>
    <row r="22" spans="1:21">
      <c r="A22" s="312"/>
      <c r="B22" s="312"/>
      <c r="C22" s="312"/>
      <c r="D22" s="317"/>
      <c r="E22" s="318"/>
      <c r="F22" s="318"/>
      <c r="G22" s="318"/>
      <c r="H22" s="318"/>
      <c r="I22" s="318"/>
      <c r="J22" s="318"/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9"/>
    </row>
    <row r="23" spans="1:21">
      <c r="A23" s="312"/>
      <c r="B23" s="312"/>
      <c r="C23" s="312"/>
      <c r="D23" s="317"/>
      <c r="E23" s="318"/>
      <c r="F23" s="318"/>
      <c r="G23" s="318"/>
      <c r="H23" s="318"/>
      <c r="I23" s="318"/>
      <c r="J23" s="318"/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9"/>
    </row>
    <row r="24" spans="1:21">
      <c r="A24" s="312"/>
      <c r="B24" s="312"/>
      <c r="C24" s="312"/>
      <c r="D24" s="317"/>
      <c r="E24" s="318"/>
      <c r="F24" s="318"/>
      <c r="G24" s="318"/>
      <c r="H24" s="318"/>
      <c r="I24" s="318"/>
      <c r="J24" s="31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9"/>
    </row>
    <row r="25" spans="1:21">
      <c r="A25" s="312"/>
      <c r="B25" s="312"/>
      <c r="C25" s="312"/>
      <c r="D25" s="317"/>
      <c r="E25" s="318"/>
      <c r="F25" s="318"/>
      <c r="G25" s="318"/>
      <c r="H25" s="318"/>
      <c r="I25" s="318"/>
      <c r="J25" s="31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9"/>
    </row>
    <row r="26" spans="1:21">
      <c r="A26" s="312"/>
      <c r="B26" s="312"/>
      <c r="C26" s="312"/>
      <c r="D26" s="320"/>
      <c r="E26" s="321"/>
      <c r="F26" s="321"/>
      <c r="G26" s="321"/>
      <c r="H26" s="321"/>
      <c r="I26" s="321"/>
      <c r="J26" s="321"/>
      <c r="K26" s="321"/>
      <c r="L26" s="321"/>
      <c r="M26" s="321"/>
      <c r="N26" s="321"/>
      <c r="O26" s="321"/>
      <c r="P26" s="321"/>
      <c r="Q26" s="321"/>
      <c r="R26" s="321"/>
      <c r="S26" s="321"/>
      <c r="T26" s="321"/>
      <c r="U26" s="322"/>
    </row>
  </sheetData>
  <mergeCells count="24">
    <mergeCell ref="U5:U6"/>
    <mergeCell ref="A19:C19"/>
    <mergeCell ref="F1:J3"/>
    <mergeCell ref="K1:U3"/>
    <mergeCell ref="D21:U26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A20:P20"/>
    <mergeCell ref="A21:C26"/>
    <mergeCell ref="Q5:R5"/>
    <mergeCell ref="S5:S6"/>
    <mergeCell ref="T5:T6"/>
    <mergeCell ref="K5:L5"/>
    <mergeCell ref="O5:P5"/>
    <mergeCell ref="M5:N5"/>
  </mergeCells>
  <phoneticPr fontId="30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85"/>
  </cols>
  <sheetData/>
  <phoneticPr fontId="30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10</vt:i4>
      </vt:variant>
    </vt:vector>
  </HeadingPairs>
  <TitlesOfParts>
    <vt:vector size="20" baseType="lpstr">
      <vt:lpstr>1. 소켓인수검사</vt:lpstr>
      <vt:lpstr>2.재단(VM)작업</vt:lpstr>
      <vt:lpstr>2.1 재단작업(VT)</vt:lpstr>
      <vt:lpstr>차열재 재단(VM,VT)</vt:lpstr>
      <vt:lpstr>3. 1절곡(VM)</vt:lpstr>
      <vt:lpstr>3.2 절곡(VT)</vt:lpstr>
      <vt:lpstr>3.3 절곡(VT-보강대)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'2.1 재단작업(VT)'!Print_Titles</vt:lpstr>
      <vt:lpstr>'2.재단(VM)작업'!Print_Titles</vt:lpstr>
      <vt:lpstr>'3. 1절곡(VM)'!Print_Titles</vt:lpstr>
      <vt:lpstr>'3.2 절곡(VT)'!Print_Titles</vt:lpstr>
      <vt:lpstr>'3.3 절곡(VT-보강대)'!Print_Titles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2026-07-01T05:56:31Z</cp:lastPrinted>
  <dcterms:created xsi:type="dcterms:W3CDTF">2025-03-13T00:09:10Z</dcterms:created>
  <dcterms:modified xsi:type="dcterms:W3CDTF">2026-07-01T05:56:52Z</dcterms:modified>
  <cp:version>1200.0100.01</cp:version>
</cp:coreProperties>
</file>