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07F10E29-AA95-4AC3-930D-309C01C6F8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</sheets>
  <definedNames>
    <definedName name="_xlnm.Print_Area" localSheetId="0">'1. 소켓인수검사'!$A$1:$G$20</definedName>
    <definedName name="_xlnm.Print_Area" localSheetId="2">'3.1 절곡(HTG1.69)(브라켓,보강대,받침대)'!$A$1:$AY$20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P12" i="6"/>
  <c r="P10" i="6"/>
  <c r="P14" i="6"/>
  <c r="P16" i="6"/>
  <c r="P18" i="6"/>
  <c r="P8" i="6"/>
  <c r="P7" i="6"/>
  <c r="V20" i="3"/>
  <c r="J2" i="2"/>
  <c r="AA18" i="6" l="1"/>
  <c r="AA17" i="6"/>
  <c r="AA16" i="6"/>
  <c r="AA15" i="6"/>
  <c r="AA14" i="6"/>
  <c r="AA13" i="6"/>
  <c r="AA12" i="6"/>
  <c r="AA11" i="6"/>
  <c r="AA10" i="6"/>
  <c r="AA9" i="6"/>
  <c r="AA8" i="6"/>
  <c r="AA7" i="6"/>
  <c r="P19" i="6" l="1"/>
  <c r="N19" i="6"/>
  <c r="L19" i="6"/>
  <c r="J19" i="6"/>
  <c r="H19" i="6"/>
  <c r="K23" i="4"/>
  <c r="I23" i="4"/>
  <c r="AN20" i="3"/>
  <c r="AH20" i="3"/>
  <c r="P20" i="3"/>
  <c r="J20" i="3"/>
  <c r="J1" i="6"/>
  <c r="P5" i="5"/>
  <c r="M5" i="4"/>
  <c r="M1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D18" i="6" l="1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22" i="4"/>
  <c r="J22" i="4" s="1"/>
  <c r="C22" i="4"/>
  <c r="H22" i="4" s="1"/>
  <c r="B22" i="4"/>
  <c r="A22" i="4"/>
  <c r="D21" i="4"/>
  <c r="J21" i="4" s="1"/>
  <c r="C21" i="4"/>
  <c r="H21" i="4" s="1"/>
  <c r="B21" i="4"/>
  <c r="A21" i="4"/>
  <c r="D20" i="4"/>
  <c r="J20" i="4" s="1"/>
  <c r="C20" i="4"/>
  <c r="H20" i="4" s="1"/>
  <c r="B20" i="4"/>
  <c r="A20" i="4"/>
  <c r="D19" i="4"/>
  <c r="J19" i="4" s="1"/>
  <c r="C19" i="4"/>
  <c r="H19" i="4" s="1"/>
  <c r="B19" i="4"/>
  <c r="A19" i="4"/>
  <c r="D18" i="4"/>
  <c r="J18" i="4" s="1"/>
  <c r="C18" i="4"/>
  <c r="H18" i="4" s="1"/>
  <c r="B18" i="4"/>
  <c r="A18" i="4"/>
  <c r="D17" i="4"/>
  <c r="J17" i="4" s="1"/>
  <c r="C17" i="4"/>
  <c r="H17" i="4" s="1"/>
  <c r="B17" i="4"/>
  <c r="A17" i="4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19" i="3"/>
  <c r="Z19" i="3"/>
  <c r="D19" i="3"/>
  <c r="C19" i="3"/>
  <c r="A19" i="3"/>
  <c r="AA18" i="3"/>
  <c r="Z18" i="3"/>
  <c r="D18" i="3"/>
  <c r="C18" i="3"/>
  <c r="A18" i="3"/>
  <c r="AA17" i="3"/>
  <c r="Z17" i="3"/>
  <c r="D17" i="3"/>
  <c r="C17" i="3"/>
  <c r="A17" i="3"/>
  <c r="AA16" i="3"/>
  <c r="Z16" i="3"/>
  <c r="D16" i="3"/>
  <c r="C16" i="3"/>
  <c r="A16" i="3"/>
  <c r="AA15" i="3"/>
  <c r="Z15" i="3"/>
  <c r="D15" i="3"/>
  <c r="C15" i="3"/>
  <c r="A15" i="3"/>
  <c r="AA14" i="3"/>
  <c r="Z14" i="3"/>
  <c r="D14" i="3"/>
  <c r="C14" i="3"/>
  <c r="A14" i="3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19" i="2"/>
  <c r="D19" i="2"/>
  <c r="N19" i="2" s="1"/>
  <c r="C19" i="2"/>
  <c r="A19" i="2"/>
  <c r="H18" i="2"/>
  <c r="D18" i="2"/>
  <c r="N18" i="2" s="1"/>
  <c r="C18" i="2"/>
  <c r="A18" i="2"/>
  <c r="H17" i="2"/>
  <c r="D17" i="2"/>
  <c r="N17" i="2" s="1"/>
  <c r="C17" i="2"/>
  <c r="A17" i="2"/>
  <c r="H16" i="2"/>
  <c r="D16" i="2"/>
  <c r="N16" i="2" s="1"/>
  <c r="C16" i="2"/>
  <c r="A16" i="2"/>
  <c r="H15" i="2"/>
  <c r="D15" i="2"/>
  <c r="N15" i="2" s="1"/>
  <c r="C15" i="2"/>
  <c r="A15" i="2"/>
  <c r="H14" i="2"/>
  <c r="D14" i="2"/>
  <c r="N14" i="2" s="1"/>
  <c r="C14" i="2"/>
  <c r="A14" i="2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11" i="3" l="1"/>
  <c r="S11" i="3"/>
  <c r="Y15" i="3"/>
  <c r="S15" i="3"/>
  <c r="Y19" i="3"/>
  <c r="S19" i="3"/>
  <c r="AC12" i="2"/>
  <c r="N12" i="2"/>
  <c r="AC13" i="2"/>
  <c r="N13" i="2"/>
  <c r="Y12" i="3"/>
  <c r="S12" i="3"/>
  <c r="Y16" i="3"/>
  <c r="S16" i="3"/>
  <c r="Y9" i="3"/>
  <c r="S9" i="3"/>
  <c r="Y13" i="3"/>
  <c r="S13" i="3"/>
  <c r="Y17" i="3"/>
  <c r="S17" i="3"/>
  <c r="Y8" i="3"/>
  <c r="S8" i="3"/>
  <c r="Y10" i="3"/>
  <c r="S10" i="3"/>
  <c r="Y14" i="3"/>
  <c r="S14" i="3"/>
  <c r="Y18" i="3"/>
  <c r="S18" i="3"/>
  <c r="AB20" i="3"/>
  <c r="AC16" i="2"/>
  <c r="AC19" i="2"/>
  <c r="G16" i="2"/>
  <c r="AB16" i="2"/>
  <c r="G19" i="2"/>
  <c r="AB19" i="2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G17" i="2"/>
  <c r="AB17" i="2"/>
  <c r="AC17" i="2"/>
  <c r="AH17" i="2"/>
  <c r="AI17" i="2" s="1"/>
  <c r="AJ17" i="2" s="1"/>
  <c r="AK17" i="2" s="1"/>
  <c r="T17" i="2" s="1"/>
  <c r="AC18" i="2"/>
  <c r="G18" i="2"/>
  <c r="AB18" i="2"/>
  <c r="AH18" i="2" s="1"/>
  <c r="AI18" i="2" s="1"/>
  <c r="AJ18" i="2" s="1"/>
  <c r="AK18" i="2" s="1"/>
  <c r="T18" i="2" s="1"/>
  <c r="AC9" i="2"/>
  <c r="G13" i="2"/>
  <c r="AB13" i="2"/>
  <c r="G11" i="2"/>
  <c r="AB11" i="2"/>
  <c r="G14" i="2"/>
  <c r="AB14" i="2"/>
  <c r="AC15" i="2"/>
  <c r="G10" i="2"/>
  <c r="AB10" i="2"/>
  <c r="AC10" i="2"/>
  <c r="AC14" i="2"/>
  <c r="AC11" i="2"/>
  <c r="G9" i="2"/>
  <c r="AB9" i="2"/>
  <c r="G12" i="2"/>
  <c r="AB12" i="2"/>
  <c r="G15" i="2"/>
  <c r="AB15" i="2"/>
  <c r="G8" i="2"/>
  <c r="I12" i="3"/>
  <c r="M12" i="3"/>
  <c r="I16" i="3"/>
  <c r="M16" i="3"/>
  <c r="M8" i="3"/>
  <c r="I8" i="3"/>
  <c r="M10" i="3"/>
  <c r="I10" i="3"/>
  <c r="M14" i="3"/>
  <c r="I14" i="3"/>
  <c r="M18" i="3"/>
  <c r="I18" i="3"/>
  <c r="M19" i="3"/>
  <c r="I19" i="3"/>
  <c r="M11" i="3"/>
  <c r="I11" i="3"/>
  <c r="M15" i="3"/>
  <c r="I15" i="3"/>
  <c r="M9" i="3"/>
  <c r="I9" i="3"/>
  <c r="M13" i="3"/>
  <c r="I13" i="3"/>
  <c r="M17" i="3"/>
  <c r="I17" i="3"/>
  <c r="F8" i="6"/>
  <c r="F10" i="5"/>
  <c r="G10" i="5" s="1"/>
  <c r="I10" i="5" s="1"/>
  <c r="F14" i="5"/>
  <c r="G14" i="5" s="1"/>
  <c r="I14" i="5" s="1"/>
  <c r="F15" i="5"/>
  <c r="E16" i="5"/>
  <c r="E17" i="5"/>
  <c r="E19" i="5"/>
  <c r="F16" i="5"/>
  <c r="E20" i="5"/>
  <c r="E21" i="5"/>
  <c r="G9" i="6"/>
  <c r="I9" i="6" s="1"/>
  <c r="O9" i="6" s="1"/>
  <c r="G15" i="6"/>
  <c r="I15" i="6" s="1"/>
  <c r="O15" i="6" s="1"/>
  <c r="F19" i="5"/>
  <c r="G8" i="6"/>
  <c r="I8" i="6" s="1"/>
  <c r="O8" i="6" s="1"/>
  <c r="F18" i="5"/>
  <c r="E18" i="5"/>
  <c r="G17" i="6"/>
  <c r="I17" i="6" s="1"/>
  <c r="O17" i="6" s="1"/>
  <c r="F14" i="6"/>
  <c r="G14" i="6"/>
  <c r="I14" i="6" s="1"/>
  <c r="O14" i="6" s="1"/>
  <c r="F11" i="5"/>
  <c r="E11" i="5"/>
  <c r="F16" i="6"/>
  <c r="G16" i="6"/>
  <c r="I16" i="6" s="1"/>
  <c r="O16" i="6" s="1"/>
  <c r="E10" i="5"/>
  <c r="E12" i="5"/>
  <c r="E13" i="5"/>
  <c r="E14" i="5"/>
  <c r="G13" i="6"/>
  <c r="I13" i="6" s="1"/>
  <c r="O13" i="6" s="1"/>
  <c r="F15" i="6"/>
  <c r="F17" i="5"/>
  <c r="F21" i="5"/>
  <c r="F7" i="6"/>
  <c r="G11" i="6"/>
  <c r="I11" i="6" s="1"/>
  <c r="O11" i="6" s="1"/>
  <c r="F11" i="6"/>
  <c r="F18" i="6"/>
  <c r="G18" i="6"/>
  <c r="I18" i="6" s="1"/>
  <c r="O18" i="6" s="1"/>
  <c r="F10" i="6"/>
  <c r="G10" i="6"/>
  <c r="I10" i="6" s="1"/>
  <c r="O10" i="6" s="1"/>
  <c r="F13" i="5"/>
  <c r="E15" i="5"/>
  <c r="F12" i="6"/>
  <c r="G12" i="6"/>
  <c r="I12" i="6" s="1"/>
  <c r="O12" i="6" s="1"/>
  <c r="F13" i="6"/>
  <c r="F12" i="5"/>
  <c r="F20" i="5"/>
  <c r="G7" i="6"/>
  <c r="F9" i="6"/>
  <c r="F17" i="6"/>
  <c r="AD16" i="2" l="1"/>
  <c r="AE16" i="2" s="1"/>
  <c r="AF16" i="2" s="1"/>
  <c r="AG16" i="2" s="1"/>
  <c r="Z16" i="2" s="1"/>
  <c r="S15" i="6" s="1"/>
  <c r="T15" i="6" s="1"/>
  <c r="AS17" i="3"/>
  <c r="W16" i="6"/>
  <c r="X16" i="6" s="1"/>
  <c r="U16" i="6"/>
  <c r="V16" i="6" s="1"/>
  <c r="N19" i="5"/>
  <c r="W17" i="6"/>
  <c r="X17" i="6" s="1"/>
  <c r="AS18" i="3"/>
  <c r="U17" i="6"/>
  <c r="V17" i="6" s="1"/>
  <c r="N20" i="5"/>
  <c r="N10" i="5"/>
  <c r="U7" i="6"/>
  <c r="V7" i="6" s="1"/>
  <c r="AS8" i="3"/>
  <c r="W7" i="6"/>
  <c r="X7" i="6" s="1"/>
  <c r="S7" i="6"/>
  <c r="T7" i="6" s="1"/>
  <c r="Q7" i="6"/>
  <c r="R7" i="6" s="1"/>
  <c r="AY8" i="3"/>
  <c r="AD19" i="2"/>
  <c r="AE19" i="2" s="1"/>
  <c r="AF19" i="2" s="1"/>
  <c r="AG19" i="2" s="1"/>
  <c r="Z19" i="2" s="1"/>
  <c r="AD9" i="2"/>
  <c r="AE9" i="2" s="1"/>
  <c r="AF9" i="2" s="1"/>
  <c r="AG9" i="2" s="1"/>
  <c r="Z9" i="2" s="1"/>
  <c r="AD18" i="2"/>
  <c r="AE18" i="2" s="1"/>
  <c r="AF18" i="2" s="1"/>
  <c r="AG18" i="2" s="1"/>
  <c r="Z18" i="2" s="1"/>
  <c r="AD15" i="2"/>
  <c r="AE15" i="2" s="1"/>
  <c r="AF15" i="2" s="1"/>
  <c r="AG15" i="2" s="1"/>
  <c r="Z15" i="2" s="1"/>
  <c r="AD11" i="2"/>
  <c r="AE11" i="2" s="1"/>
  <c r="AF11" i="2" s="1"/>
  <c r="AG11" i="2" s="1"/>
  <c r="Z11" i="2" s="1"/>
  <c r="AH19" i="2"/>
  <c r="AI19" i="2" s="1"/>
  <c r="AJ19" i="2" s="1"/>
  <c r="AK19" i="2" s="1"/>
  <c r="T19" i="2" s="1"/>
  <c r="AD10" i="2"/>
  <c r="AE10" i="2" s="1"/>
  <c r="AF10" i="2" s="1"/>
  <c r="AG10" i="2" s="1"/>
  <c r="Z10" i="2" s="1"/>
  <c r="AD17" i="2"/>
  <c r="AE17" i="2" s="1"/>
  <c r="AF17" i="2" s="1"/>
  <c r="AG17" i="2" s="1"/>
  <c r="Z17" i="2" s="1"/>
  <c r="AH16" i="2"/>
  <c r="AI16" i="2" s="1"/>
  <c r="AJ16" i="2" s="1"/>
  <c r="AK16" i="2" s="1"/>
  <c r="T16" i="2" s="1"/>
  <c r="AH11" i="2"/>
  <c r="AI11" i="2" s="1"/>
  <c r="AJ11" i="2" s="1"/>
  <c r="AK11" i="2" s="1"/>
  <c r="T11" i="2" s="1"/>
  <c r="AD14" i="2"/>
  <c r="AE14" i="2" s="1"/>
  <c r="AF14" i="2" s="1"/>
  <c r="AG14" i="2" s="1"/>
  <c r="Z14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5" i="2"/>
  <c r="AI15" i="2" s="1"/>
  <c r="AJ15" i="2" s="1"/>
  <c r="AK15" i="2" s="1"/>
  <c r="T15" i="2" s="1"/>
  <c r="AH14" i="2"/>
  <c r="AI14" i="2" s="1"/>
  <c r="AJ14" i="2" s="1"/>
  <c r="AK14" i="2" s="1"/>
  <c r="T14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G11" i="5"/>
  <c r="I11" i="5" s="1"/>
  <c r="L22" i="5"/>
  <c r="S15" i="5"/>
  <c r="U15" i="5" s="1"/>
  <c r="G21" i="5"/>
  <c r="I21" i="5" s="1"/>
  <c r="S14" i="5"/>
  <c r="U14" i="5" s="1"/>
  <c r="S17" i="5"/>
  <c r="U17" i="5" s="1"/>
  <c r="G19" i="5"/>
  <c r="I19" i="5" s="1"/>
  <c r="S16" i="5"/>
  <c r="U16" i="5" s="1"/>
  <c r="S10" i="5"/>
  <c r="U10" i="5" s="1"/>
  <c r="G15" i="5"/>
  <c r="I15" i="5" s="1"/>
  <c r="G16" i="5"/>
  <c r="I16" i="5" s="1"/>
  <c r="S19" i="5"/>
  <c r="U19" i="5" s="1"/>
  <c r="S21" i="5"/>
  <c r="U21" i="5" s="1"/>
  <c r="G17" i="5"/>
  <c r="I17" i="5" s="1"/>
  <c r="G18" i="5"/>
  <c r="I18" i="5" s="1"/>
  <c r="S18" i="5"/>
  <c r="U18" i="5" s="1"/>
  <c r="S11" i="5"/>
  <c r="U11" i="5" s="1"/>
  <c r="I7" i="6"/>
  <c r="O7" i="6"/>
  <c r="G12" i="5"/>
  <c r="I12" i="5" s="1"/>
  <c r="S12" i="5"/>
  <c r="U12" i="5" s="1"/>
  <c r="G20" i="5"/>
  <c r="I20" i="5" s="1"/>
  <c r="S20" i="5"/>
  <c r="U20" i="5" s="1"/>
  <c r="S13" i="5"/>
  <c r="U13" i="5" s="1"/>
  <c r="G13" i="5"/>
  <c r="I13" i="5" s="1"/>
  <c r="AY16" i="3" l="1"/>
  <c r="Q15" i="6"/>
  <c r="R15" i="6" s="1"/>
  <c r="Z20" i="2"/>
  <c r="T20" i="2"/>
  <c r="U10" i="6"/>
  <c r="V10" i="6" s="1"/>
  <c r="N13" i="5"/>
  <c r="W10" i="6"/>
  <c r="X10" i="6" s="1"/>
  <c r="AS11" i="3"/>
  <c r="AY10" i="3"/>
  <c r="S9" i="6"/>
  <c r="T9" i="6" s="1"/>
  <c r="Q9" i="6"/>
  <c r="R9" i="6" s="1"/>
  <c r="S14" i="6"/>
  <c r="T14" i="6" s="1"/>
  <c r="Q14" i="6"/>
  <c r="R14" i="6" s="1"/>
  <c r="AY15" i="3"/>
  <c r="U8" i="6"/>
  <c r="V8" i="6" s="1"/>
  <c r="N11" i="5"/>
  <c r="AS9" i="3"/>
  <c r="W8" i="6"/>
  <c r="X8" i="6" s="1"/>
  <c r="S13" i="6"/>
  <c r="T13" i="6" s="1"/>
  <c r="AY14" i="3"/>
  <c r="Q13" i="6"/>
  <c r="R13" i="6" s="1"/>
  <c r="U12" i="6"/>
  <c r="V12" i="6" s="1"/>
  <c r="AS13" i="3"/>
  <c r="N15" i="5"/>
  <c r="W12" i="6"/>
  <c r="X12" i="6" s="1"/>
  <c r="S12" i="6"/>
  <c r="T12" i="6" s="1"/>
  <c r="AY13" i="3"/>
  <c r="Q12" i="6"/>
  <c r="R12" i="6" s="1"/>
  <c r="W15" i="6"/>
  <c r="X15" i="6" s="1"/>
  <c r="AS16" i="3"/>
  <c r="U15" i="6"/>
  <c r="V15" i="6" s="1"/>
  <c r="N18" i="5"/>
  <c r="S16" i="6"/>
  <c r="T16" i="6" s="1"/>
  <c r="AY17" i="3"/>
  <c r="Q16" i="6"/>
  <c r="R16" i="6" s="1"/>
  <c r="W13" i="6"/>
  <c r="X13" i="6" s="1"/>
  <c r="U13" i="6"/>
  <c r="V13" i="6" s="1"/>
  <c r="AS14" i="3"/>
  <c r="N16" i="5"/>
  <c r="Q18" i="6"/>
  <c r="R18" i="6" s="1"/>
  <c r="S18" i="6"/>
  <c r="T18" i="6" s="1"/>
  <c r="AY19" i="3"/>
  <c r="W18" i="6"/>
  <c r="X18" i="6" s="1"/>
  <c r="U18" i="6"/>
  <c r="V18" i="6" s="1"/>
  <c r="N21" i="5"/>
  <c r="AS19" i="3"/>
  <c r="N12" i="5"/>
  <c r="U9" i="6"/>
  <c r="V9" i="6" s="1"/>
  <c r="W9" i="6"/>
  <c r="X9" i="6" s="1"/>
  <c r="AS10" i="3"/>
  <c r="AS15" i="3"/>
  <c r="N17" i="5"/>
  <c r="U14" i="6"/>
  <c r="V14" i="6" s="1"/>
  <c r="W14" i="6"/>
  <c r="X14" i="6" s="1"/>
  <c r="S17" i="6"/>
  <c r="T17" i="6" s="1"/>
  <c r="Q17" i="6"/>
  <c r="R17" i="6" s="1"/>
  <c r="AY18" i="3"/>
  <c r="Q8" i="6"/>
  <c r="R8" i="6" s="1"/>
  <c r="AY9" i="3"/>
  <c r="S8" i="6"/>
  <c r="T8" i="6" s="1"/>
  <c r="Q11" i="6"/>
  <c r="R11" i="6" s="1"/>
  <c r="AY12" i="3"/>
  <c r="S11" i="6"/>
  <c r="T11" i="6" s="1"/>
  <c r="W11" i="6"/>
  <c r="X11" i="6" s="1"/>
  <c r="U11" i="6"/>
  <c r="V11" i="6" s="1"/>
  <c r="AS12" i="3"/>
  <c r="N14" i="5"/>
  <c r="Q10" i="6"/>
  <c r="R10" i="6" s="1"/>
  <c r="AY11" i="3"/>
  <c r="S10" i="6"/>
  <c r="T10" i="6" s="1"/>
  <c r="I22" i="5"/>
  <c r="G23" i="5" s="1"/>
  <c r="R22" i="5"/>
  <c r="G25" i="5" s="1"/>
  <c r="U22" i="5"/>
  <c r="G26" i="5" s="1"/>
  <c r="G24" i="5"/>
  <c r="N22" i="5" l="1"/>
  <c r="AY20" i="3"/>
  <c r="V19" i="6"/>
  <c r="R19" i="6"/>
  <c r="T19" i="6"/>
  <c r="AS20" i="3"/>
  <c r="X19" i="6"/>
</calcChain>
</file>

<file path=xl/sharedStrings.xml><?xml version="1.0" encoding="utf-8"?>
<sst xmlns="http://schemas.openxmlformats.org/spreadsheetml/2006/main" count="307" uniqueCount="132">
  <si>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</si>
  <si>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</si>
  <si>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</si>
  <si>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</si>
  <si>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</si>
  <si>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</si>
  <si>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</si>
  <si>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</si>
  <si>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</si>
  <si>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</si>
  <si>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</si>
  <si>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</si>
  <si>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</si>
  <si>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</si>
  <si>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</si>
  <si>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</si>
  <si>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</si>
  <si>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</si>
  <si>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</si>
  <si>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</si>
  <si>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</si>
  <si>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</si>
  <si>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</si>
  <si>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</si>
  <si>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</si>
  <si>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</si>
  <si>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</si>
  <si>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</si>
  <si>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</si>
  <si>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</si>
  <si>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</si>
  <si>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</si>
  <si>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</si>
  <si>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</si>
  <si>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</si>
  <si>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</si>
  <si>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</si>
  <si>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</si>
  <si>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</si>
  <si>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</si>
  <si>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</si>
  <si>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</si>
  <si>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</si>
  <si>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</si>
  <si>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</si>
  <si>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</si>
  <si>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</si>
  <si>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</si>
  <si>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</si>
  <si>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</si>
  <si>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</si>
  <si>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</si>
  <si>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</si>
  <si>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</si>
  <si>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</si>
  <si>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</si>
  <si>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</si>
  <si>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</si>
  <si>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</si>
  <si>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</si>
  <si>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</si>
  <si>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</si>
  <si>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</si>
  <si>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</si>
  <si>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</si>
  <si>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</si>
  <si>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</si>
  <si>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</si>
  <si>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</si>
  <si>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</si>
  <si>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</si>
  <si>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</si>
  <si>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</si>
  <si>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</si>
  <si>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</si>
  <si>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</si>
  <si>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</si>
  <si>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</si>
  <si>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</si>
  <si>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</si>
  <si>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</si>
  <si>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</si>
  <si>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</si>
  <si>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</si>
  <si>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</si>
  <si>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</si>
  <si>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</si>
  <si>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</si>
  <si>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</si>
  <si>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</si>
  <si>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</si>
  <si>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</si>
  <si>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</si>
  <si>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</si>
  <si>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</si>
  <si>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</si>
  <si>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</si>
  <si>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</si>
  <si>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</si>
  <si>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</si>
  <si>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</si>
  <si>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01</t>
    <phoneticPr fontId="33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</si>
  <si>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</si>
  <si>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</si>
  <si>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</si>
  <si>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</si>
  <si>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</si>
  <si>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</si>
  <si>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</si>
  <si>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</si>
  <si>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</si>
  <si>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</si>
  <si>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</si>
  <si>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</si>
  <si>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</si>
  <si>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</si>
  <si>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</si>
  <si>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</si>
  <si>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CI001</t>
    <phoneticPr fontId="33" type="noConversion"/>
  </si>
  <si>
    <t>CI002</t>
  </si>
  <si>
    <t>CI003</t>
  </si>
  <si>
    <t>CI004</t>
  </si>
  <si>
    <t>CI005</t>
  </si>
  <si>
    <t>CI006</t>
  </si>
  <si>
    <t>CI007</t>
  </si>
  <si>
    <t>CI008</t>
  </si>
  <si>
    <t>CI009</t>
  </si>
  <si>
    <t>CI010</t>
  </si>
  <si>
    <t>CI011</t>
  </si>
  <si>
    <t>CI012</t>
  </si>
  <si>
    <t>HTG-064</t>
    <phoneticPr fontId="33" type="noConversion"/>
  </si>
  <si>
    <t>26.06.02 씨에스_캐피탈랜드(입상)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</si>
</sst>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0" fontId="3" fillId="0" borderId="8" xfId="3" applyFont="1" applyBorder="1" applyAlignment="1">
      <alignment horizontal="center" vertical="center" wrapText="1"/>
    </xf>
    <xf numFmtId="176" fontId="32" fillId="0" borderId="9" xfId="2" applyBorder="1" applyAlignment="1">
      <alignment horizontal="center" vertical="center"/>
    </xf>
    <xf numFmtId="0" fontId="1" fillId="0" borderId="8" xfId="3" applyBorder="1">
      <alignment vertical="center"/>
    </xf>
    <xf numFmtId="0" fontId="1" fillId="0" borderId="8" xfId="3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32" fillId="0" borderId="10" xfId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32" fillId="0" borderId="17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2" fillId="0" borderId="21" xfId="1" applyBorder="1" applyAlignment="1">
      <alignment horizontal="center" vertical="center" wrapText="1"/>
    </xf>
    <xf numFmtId="0" fontId="7" fillId="0" borderId="21" xfId="3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32" fillId="0" borderId="22" xfId="1" applyBorder="1">
      <alignment vertical="center"/>
    </xf>
    <xf numFmtId="0" fontId="0" fillId="0" borderId="21" xfId="1" applyFont="1" applyBorder="1" applyAlignment="1">
      <alignment horizontal="center" vertical="center" wrapText="1"/>
    </xf>
    <xf numFmtId="0" fontId="13" fillId="0" borderId="21" xfId="3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" fontId="12" fillId="0" borderId="21" xfId="1" applyNumberFormat="1" applyFont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/>
    </xf>
    <xf numFmtId="0" fontId="14" fillId="5" borderId="19" xfId="3" applyFont="1" applyFill="1" applyBorder="1" applyAlignment="1">
      <alignment horizontal="center" vertical="center" wrapText="1"/>
    </xf>
    <xf numFmtId="0" fontId="14" fillId="5" borderId="21" xfId="3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7" borderId="21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shrinkToFit="1"/>
    </xf>
    <xf numFmtId="0" fontId="21" fillId="0" borderId="21" xfId="1" applyFont="1" applyBorder="1" applyAlignment="1">
      <alignment horizontal="center" vertical="center" shrinkToFit="1"/>
    </xf>
    <xf numFmtId="0" fontId="2" fillId="0" borderId="24" xfId="1" applyFont="1" applyBorder="1" applyAlignment="1">
      <alignment horizontal="center" vertical="center" shrinkToFit="1"/>
    </xf>
    <xf numFmtId="0" fontId="18" fillId="0" borderId="21" xfId="1" applyFont="1" applyBorder="1" applyAlignment="1">
      <alignment horizontal="center" vertical="center" wrapText="1"/>
    </xf>
    <xf numFmtId="0" fontId="0" fillId="2" borderId="21" xfId="1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22" xfId="1" applyFont="1" applyBorder="1" applyAlignment="1">
      <alignment vertical="center" wrapText="1"/>
    </xf>
    <xf numFmtId="0" fontId="10" fillId="0" borderId="22" xfId="1" applyFont="1" applyBorder="1" applyAlignment="1">
      <alignment horizontal="center" vertical="center" wrapText="1"/>
    </xf>
    <xf numFmtId="0" fontId="32" fillId="0" borderId="25" xfId="1" applyBorder="1">
      <alignment vertical="center"/>
    </xf>
    <xf numFmtId="0" fontId="7" fillId="11" borderId="21" xfId="3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9" fillId="0" borderId="21" xfId="1" applyFont="1" applyBorder="1">
      <alignment vertical="center"/>
    </xf>
    <xf numFmtId="0" fontId="0" fillId="2" borderId="21" xfId="0" applyFill="1" applyBorder="1" applyAlignment="1">
      <alignment vertical="center" wrapText="1"/>
    </xf>
    <xf numFmtId="0" fontId="0" fillId="6" borderId="22" xfId="0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22" fillId="7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6" xfId="0" applyFont="1" applyBorder="1">
      <alignment vertical="center"/>
    </xf>
    <xf numFmtId="0" fontId="23" fillId="0" borderId="69" xfId="0" applyFont="1" applyBorder="1">
      <alignment vertical="center"/>
    </xf>
    <xf numFmtId="0" fontId="23" fillId="0" borderId="61" xfId="0" applyFont="1" applyBorder="1">
      <alignment vertical="center"/>
    </xf>
    <xf numFmtId="0" fontId="23" fillId="0" borderId="62" xfId="0" applyFont="1" applyBorder="1">
      <alignment vertical="center"/>
    </xf>
    <xf numFmtId="0" fontId="23" fillId="0" borderId="73" xfId="0" applyFont="1" applyBorder="1">
      <alignment vertical="center"/>
    </xf>
    <xf numFmtId="0" fontId="11" fillId="0" borderId="76" xfId="1" applyFont="1" applyBorder="1" applyAlignment="1">
      <alignment horizontal="center" vertical="center"/>
    </xf>
    <xf numFmtId="0" fontId="11" fillId="0" borderId="80" xfId="1" applyFont="1" applyBorder="1" applyAlignment="1">
      <alignment horizontal="center" vertical="center"/>
    </xf>
    <xf numFmtId="0" fontId="4" fillId="0" borderId="26" xfId="1" applyFont="1" applyBorder="1">
      <alignment vertical="center"/>
    </xf>
    <xf numFmtId="0" fontId="4" fillId="0" borderId="69" xfId="1" applyFont="1" applyBorder="1">
      <alignment vertical="center"/>
    </xf>
    <xf numFmtId="0" fontId="4" fillId="0" borderId="73" xfId="1" applyFont="1" applyBorder="1">
      <alignment vertical="center"/>
    </xf>
    <xf numFmtId="0" fontId="2" fillId="0" borderId="0" xfId="3" applyFont="1">
      <alignment vertical="center"/>
    </xf>
    <xf numFmtId="0" fontId="10" fillId="8" borderId="22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21" xfId="1" applyFont="1" applyBorder="1" applyAlignment="1">
      <alignment vertical="center" wrapText="1"/>
    </xf>
    <xf numFmtId="0" fontId="32" fillId="4" borderId="21" xfId="1" applyFill="1" applyBorder="1" applyAlignment="1">
      <alignment horizontal="center" vertical="center"/>
    </xf>
    <xf numFmtId="0" fontId="2" fillId="4" borderId="21" xfId="1" applyFont="1" applyFill="1" applyBorder="1" applyAlignment="1">
      <alignment horizontal="center" vertical="center" wrapText="1"/>
    </xf>
    <xf numFmtId="0" fontId="2" fillId="4" borderId="21" xfId="1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32" fillId="0" borderId="21" xfId="1" applyBorder="1" applyAlignment="1">
      <alignment vertical="center" wrapText="1"/>
    </xf>
    <xf numFmtId="0" fontId="34" fillId="0" borderId="21" xfId="1" applyFont="1" applyBorder="1" applyAlignment="1">
      <alignment vertical="center" wrapText="1"/>
    </xf>
    <xf numFmtId="0" fontId="25" fillId="0" borderId="21" xfId="1" applyFont="1" applyBorder="1" applyAlignment="1">
      <alignment vertical="center" wrapText="1"/>
    </xf>
    <xf numFmtId="176" fontId="32" fillId="0" borderId="21" xfId="1" applyNumberFormat="1" applyBorder="1" applyAlignment="1">
      <alignment horizontal="center" vertical="center" wrapText="1"/>
    </xf>
    <xf numFmtId="0" fontId="22" fillId="7" borderId="21" xfId="0" applyFont="1" applyFill="1" applyBorder="1" applyAlignment="1">
      <alignment vertical="center" wrapText="1"/>
    </xf>
    <xf numFmtId="0" fontId="2" fillId="0" borderId="34" xfId="1" applyFont="1" applyBorder="1" applyAlignment="1">
      <alignment vertical="center" wrapText="1"/>
    </xf>
    <xf numFmtId="0" fontId="4" fillId="0" borderId="60" xfId="3" applyFont="1" applyBorder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63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5" xfId="3" applyFont="1" applyBorder="1" applyAlignment="1">
      <alignment horizontal="center" vertical="center" wrapText="1"/>
    </xf>
    <xf numFmtId="0" fontId="36" fillId="0" borderId="39" xfId="3" applyFont="1" applyBorder="1" applyAlignment="1">
      <alignment horizontal="center" vertical="center" wrapText="1"/>
    </xf>
    <xf numFmtId="0" fontId="37" fillId="0" borderId="61" xfId="3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4" xfId="3" applyFont="1" applyBorder="1" applyAlignment="1">
      <alignment horizontal="center" vertical="center" wrapText="1"/>
    </xf>
    <xf numFmtId="0" fontId="38" fillId="0" borderId="39" xfId="3" applyFont="1" applyBorder="1" applyAlignment="1">
      <alignment horizontal="center" vertical="center" wrapText="1"/>
    </xf>
    <xf numFmtId="0" fontId="38" fillId="0" borderId="66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7" xfId="3" applyFill="1" applyBorder="1" applyAlignment="1">
      <alignment horizontal="center" vertical="center" wrapText="1"/>
    </xf>
    <xf numFmtId="0" fontId="1" fillId="9" borderId="38" xfId="3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7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176" fontId="32" fillId="0" borderId="35" xfId="2" applyBorder="1" applyAlignment="1">
      <alignment horizontal="center" vertical="center"/>
    </xf>
    <xf numFmtId="176" fontId="32" fillId="0" borderId="36" xfId="2" applyBorder="1" applyAlignment="1">
      <alignment horizontal="center" vertical="center"/>
    </xf>
    <xf numFmtId="176" fontId="32" fillId="0" borderId="11" xfId="2" applyBorder="1" applyAlignment="1">
      <alignment horizontal="center" vertical="center"/>
    </xf>
    <xf numFmtId="176" fontId="32" fillId="0" borderId="14" xfId="2" applyBorder="1" applyAlignment="1">
      <alignment horizontal="center" vertical="center"/>
    </xf>
    <xf numFmtId="0" fontId="4" fillId="0" borderId="39" xfId="3" applyFont="1" applyBorder="1" applyAlignment="1">
      <alignment horizontal="left" vertical="center"/>
    </xf>
    <xf numFmtId="0" fontId="3" fillId="9" borderId="40" xfId="3" applyFont="1" applyFill="1" applyBorder="1" applyAlignment="1">
      <alignment horizontal="center" vertical="center" wrapText="1"/>
    </xf>
    <xf numFmtId="0" fontId="3" fillId="9" borderId="41" xfId="3" applyFont="1" applyFill="1" applyBorder="1" applyAlignment="1">
      <alignment horizontal="center" vertical="center" wrapText="1"/>
    </xf>
    <xf numFmtId="176" fontId="32" fillId="0" borderId="42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0" fontId="17" fillId="0" borderId="21" xfId="1" applyFont="1" applyBorder="1" applyAlignment="1">
      <alignment horizontal="center" vertical="center" wrapText="1"/>
    </xf>
    <xf numFmtId="177" fontId="12" fillId="0" borderId="82" xfId="1" applyNumberFormat="1" applyFont="1" applyBorder="1" applyAlignment="1">
      <alignment horizontal="center" vertical="center" wrapText="1"/>
    </xf>
    <xf numFmtId="177" fontId="12" fillId="0" borderId="83" xfId="1" applyNumberFormat="1" applyFont="1" applyBorder="1" applyAlignment="1">
      <alignment horizontal="center" vertical="center" wrapText="1"/>
    </xf>
    <xf numFmtId="177" fontId="17" fillId="0" borderId="82" xfId="1" applyNumberFormat="1" applyFont="1" applyBorder="1" applyAlignment="1">
      <alignment horizontal="center" vertical="center" wrapText="1"/>
    </xf>
    <xf numFmtId="177" fontId="17" fillId="0" borderId="83" xfId="1" applyNumberFormat="1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66" xfId="0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177" fontId="9" fillId="0" borderId="31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2" xfId="1" applyNumberFormat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7" fillId="0" borderId="34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8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8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10" fillId="3" borderId="82" xfId="1" applyFont="1" applyFill="1" applyBorder="1" applyAlignment="1">
      <alignment horizontal="center" vertical="center" wrapText="1"/>
    </xf>
    <xf numFmtId="0" fontId="10" fillId="3" borderId="8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3" xfId="0" applyBorder="1" applyAlignment="1">
      <alignment horizontal="left" vertical="top" wrapText="1"/>
    </xf>
    <xf numFmtId="0" fontId="0" fillId="0" borderId="4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10" borderId="20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177" fontId="9" fillId="0" borderId="21" xfId="1" applyNumberFormat="1" applyFont="1" applyBorder="1" applyAlignment="1">
      <alignment horizontal="center" vertical="center" wrapText="1"/>
    </xf>
    <xf numFmtId="177" fontId="32" fillId="0" borderId="21" xfId="1" applyNumberFormat="1" applyBorder="1" applyAlignment="1">
      <alignment horizontal="center" vertical="center" wrapText="1"/>
    </xf>
    <xf numFmtId="0" fontId="32" fillId="0" borderId="21" xfId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24" fillId="0" borderId="21" xfId="1" applyFont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27" fillId="0" borderId="21" xfId="1" applyFont="1" applyBorder="1" applyAlignment="1">
      <alignment horizontal="center" vertical="center" wrapText="1"/>
    </xf>
    <xf numFmtId="0" fontId="2" fillId="4" borderId="21" xfId="1" applyFont="1" applyFill="1" applyBorder="1" applyAlignment="1">
      <alignment horizontal="center" vertical="center" wrapText="1"/>
    </xf>
    <xf numFmtId="0" fontId="28" fillId="0" borderId="21" xfId="1" applyFont="1" applyBorder="1" applyAlignment="1">
      <alignment horizontal="center" vertical="center" wrapText="1"/>
    </xf>
    <xf numFmtId="0" fontId="32" fillId="0" borderId="74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77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8" xfId="1" applyBorder="1" applyAlignment="1">
      <alignment horizontal="center" vertical="center"/>
    </xf>
    <xf numFmtId="0" fontId="32" fillId="0" borderId="79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21" xfId="1" applyFill="1" applyBorder="1" applyAlignment="1">
      <alignment horizontal="center" vertical="center"/>
    </xf>
    <xf numFmtId="0" fontId="26" fillId="0" borderId="5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8" xfId="1" applyFont="1" applyBorder="1" applyAlignment="1">
      <alignment horizontal="center" vertical="center"/>
    </xf>
    <xf numFmtId="0" fontId="26" fillId="0" borderId="55" xfId="1" applyFont="1" applyBorder="1" applyAlignment="1">
      <alignment horizontal="center" vertical="center" wrapText="1"/>
    </xf>
    <xf numFmtId="0" fontId="26" fillId="0" borderId="56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7" xfId="1" applyFont="1" applyBorder="1" applyAlignment="1">
      <alignment horizontal="center" vertical="center" wrapText="1"/>
    </xf>
    <xf numFmtId="0" fontId="26" fillId="0" borderId="58" xfId="1" applyFont="1" applyBorder="1" applyAlignment="1">
      <alignment horizontal="center" vertical="center" wrapText="1"/>
    </xf>
    <xf numFmtId="0" fontId="26" fillId="0" borderId="59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177" fontId="34" fillId="0" borderId="21" xfId="1" applyNumberFormat="1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 shrinkToFit="1"/>
    </xf>
    <xf numFmtId="0" fontId="0" fillId="0" borderId="44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45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2" borderId="21" xfId="0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54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32" fillId="0" borderId="43" xfId="1" applyBorder="1" applyAlignment="1">
      <alignment horizontal="center" vertical="center"/>
    </xf>
    <xf numFmtId="0" fontId="32" fillId="0" borderId="44" xfId="1" applyBorder="1" applyAlignment="1">
      <alignment horizontal="center" vertical="center"/>
    </xf>
    <xf numFmtId="0" fontId="32" fillId="0" borderId="26" xfId="1" applyBorder="1" applyAlignment="1">
      <alignment horizontal="center" vertical="center"/>
    </xf>
    <xf numFmtId="0" fontId="32" fillId="0" borderId="45" xfId="1" applyBorder="1" applyAlignment="1">
      <alignment horizontal="center" vertical="center"/>
    </xf>
    <xf numFmtId="0" fontId="32" fillId="0" borderId="17" xfId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4" fillId="0" borderId="66" xfId="1" applyFont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70" xfId="1" applyBorder="1" applyAlignment="1">
      <alignment horizontal="center" vertical="center"/>
    </xf>
    <xf numFmtId="0" fontId="32" fillId="0" borderId="71" xfId="1" applyBorder="1" applyAlignment="1">
      <alignment horizontal="center" vertical="center"/>
    </xf>
    <xf numFmtId="0" fontId="32" fillId="0" borderId="72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32" fillId="0" borderId="20" xfId="1" applyBorder="1" applyAlignment="1">
      <alignment horizontal="center" vertical="center"/>
    </xf>
    <xf numFmtId="0" fontId="2" fillId="0" borderId="21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6" borderId="24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32" fillId="0" borderId="19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21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20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S8" sqref="S8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23" t="s">
        <v>88</v>
      </c>
      <c r="B1" s="124"/>
      <c r="C1" s="124"/>
      <c r="D1" s="129" t="str">
        <f>R1</f>
        <v>26.06.02 씨에스_캐피탈랜드(입상)</v>
      </c>
      <c r="E1" s="130"/>
      <c r="F1" s="130"/>
      <c r="G1" s="131"/>
      <c r="R1" s="104" t="s">
        <v>131</v>
      </c>
    </row>
    <row r="2" spans="1:18" ht="12.75" customHeight="1">
      <c r="A2" s="125"/>
      <c r="B2" s="126"/>
      <c r="C2" s="126"/>
      <c r="D2" s="132"/>
      <c r="E2" s="132"/>
      <c r="F2" s="132"/>
      <c r="G2" s="133"/>
    </row>
    <row r="3" spans="1:18" ht="13.5" customHeight="1">
      <c r="A3" s="125"/>
      <c r="B3" s="126"/>
      <c r="C3" s="126"/>
      <c r="D3" s="132"/>
      <c r="E3" s="132"/>
      <c r="F3" s="132"/>
      <c r="G3" s="133"/>
    </row>
    <row r="4" spans="1:18" ht="17.25" customHeight="1" thickBot="1">
      <c r="A4" s="127"/>
      <c r="B4" s="128"/>
      <c r="C4" s="128"/>
      <c r="D4" s="134"/>
      <c r="E4" s="134"/>
      <c r="F4" s="134"/>
      <c r="G4" s="135"/>
    </row>
    <row r="5" spans="1:18" ht="6.75" customHeight="1">
      <c r="A5" s="93"/>
      <c r="B5" s="93"/>
      <c r="C5" s="93"/>
      <c r="D5" s="93"/>
      <c r="E5" s="93"/>
      <c r="F5" s="93"/>
      <c r="G5" s="93"/>
    </row>
    <row r="6" spans="1:18" s="10" customFormat="1" ht="18" customHeight="1" thickBot="1">
      <c r="A6" s="136" t="s">
        <v>4</v>
      </c>
      <c r="B6" s="139" t="s">
        <v>32</v>
      </c>
      <c r="C6" s="142" t="s">
        <v>26</v>
      </c>
      <c r="D6" s="142"/>
      <c r="E6" s="142" t="s">
        <v>80</v>
      </c>
      <c r="F6" s="139" t="s">
        <v>45</v>
      </c>
      <c r="G6" s="139" t="s">
        <v>5</v>
      </c>
      <c r="H6" s="9"/>
      <c r="I6" s="147" t="s">
        <v>55</v>
      </c>
      <c r="J6" s="147"/>
      <c r="K6" s="147"/>
      <c r="L6" s="147"/>
      <c r="M6" s="147"/>
      <c r="N6" s="147"/>
      <c r="O6" s="8"/>
    </row>
    <row r="7" spans="1:18" s="10" customFormat="1" ht="18" customHeight="1">
      <c r="A7" s="137"/>
      <c r="B7" s="140"/>
      <c r="C7" s="148" t="s">
        <v>28</v>
      </c>
      <c r="D7" s="139" t="s">
        <v>16</v>
      </c>
      <c r="E7" s="142"/>
      <c r="F7" s="140"/>
      <c r="G7" s="140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8"/>
      <c r="B8" s="141"/>
      <c r="C8" s="149"/>
      <c r="D8" s="141"/>
      <c r="E8" s="142"/>
      <c r="F8" s="141"/>
      <c r="G8" s="141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6" t="s">
        <v>101</v>
      </c>
      <c r="B9" s="38" t="s">
        <v>130</v>
      </c>
      <c r="C9" s="32">
        <v>550</v>
      </c>
      <c r="D9" s="32">
        <v>400</v>
      </c>
      <c r="E9" s="13"/>
      <c r="F9" s="14"/>
      <c r="G9" s="14"/>
      <c r="H9" s="15"/>
      <c r="I9" s="144"/>
      <c r="J9" s="146"/>
      <c r="K9" s="16"/>
      <c r="L9" s="17"/>
      <c r="M9" s="18"/>
      <c r="N9" s="146"/>
      <c r="O9" s="8"/>
      <c r="Q9" s="10" t="s">
        <v>118</v>
      </c>
    </row>
    <row r="10" spans="1:18" s="10" customFormat="1" ht="18" customHeight="1" thickBot="1">
      <c r="A10" s="106" t="s">
        <v>102</v>
      </c>
      <c r="B10" s="38" t="s">
        <v>1</v>
      </c>
      <c r="C10" s="32">
        <v>550</v>
      </c>
      <c r="D10" s="32">
        <v>400</v>
      </c>
      <c r="E10" s="14"/>
      <c r="F10" s="14"/>
      <c r="G10" s="14"/>
      <c r="H10" s="15"/>
      <c r="I10" s="144"/>
      <c r="J10" s="146"/>
      <c r="K10" s="16"/>
      <c r="L10" s="17"/>
      <c r="M10" s="18"/>
      <c r="N10" s="146"/>
      <c r="O10" s="8"/>
      <c r="Q10" s="10" t="s">
        <v>119</v>
      </c>
    </row>
    <row r="11" spans="1:18" s="10" customFormat="1" ht="18" customHeight="1" thickBot="1">
      <c r="A11" s="106" t="s">
        <v>103</v>
      </c>
      <c r="B11" s="38" t="s">
        <v>1</v>
      </c>
      <c r="C11" s="32">
        <v>550</v>
      </c>
      <c r="D11" s="32">
        <v>400</v>
      </c>
      <c r="E11" s="13"/>
      <c r="F11" s="14"/>
      <c r="G11" s="14"/>
      <c r="H11" s="15"/>
      <c r="I11" s="144"/>
      <c r="J11" s="146"/>
      <c r="K11" s="16"/>
      <c r="L11" s="17"/>
      <c r="M11" s="18"/>
      <c r="N11" s="146"/>
      <c r="O11" s="8"/>
      <c r="Q11" s="10" t="s">
        <v>120</v>
      </c>
    </row>
    <row r="12" spans="1:18" s="10" customFormat="1" ht="18" customHeight="1" thickBot="1">
      <c r="A12" s="106" t="s">
        <v>104</v>
      </c>
      <c r="B12" s="38" t="s">
        <v>1</v>
      </c>
      <c r="C12" s="32">
        <v>550</v>
      </c>
      <c r="D12" s="32">
        <v>400</v>
      </c>
      <c r="E12" s="13"/>
      <c r="F12" s="14"/>
      <c r="G12" s="14"/>
      <c r="H12" s="15"/>
      <c r="I12" s="144"/>
      <c r="J12" s="146"/>
      <c r="K12" s="16"/>
      <c r="L12" s="17"/>
      <c r="M12" s="18"/>
      <c r="N12" s="146"/>
      <c r="O12" s="8"/>
      <c r="Q12" s="10" t="s">
        <v>121</v>
      </c>
    </row>
    <row r="13" spans="1:18" s="10" customFormat="1" ht="18" customHeight="1" thickBot="1">
      <c r="A13" s="106" t="s">
        <v>105</v>
      </c>
      <c r="B13" s="38" t="s">
        <v>1</v>
      </c>
      <c r="C13" s="32">
        <v>550</v>
      </c>
      <c r="D13" s="32">
        <v>400</v>
      </c>
      <c r="E13" s="13"/>
      <c r="F13" s="14"/>
      <c r="G13" s="14"/>
      <c r="H13" s="15"/>
      <c r="I13" s="144"/>
      <c r="J13" s="146"/>
      <c r="K13" s="16"/>
      <c r="L13" s="17"/>
      <c r="M13" s="18"/>
      <c r="N13" s="146"/>
      <c r="O13" s="8"/>
      <c r="Q13" s="10" t="s">
        <v>122</v>
      </c>
    </row>
    <row r="14" spans="1:18" s="10" customFormat="1" ht="18" customHeight="1">
      <c r="A14" s="106" t="s">
        <v>106</v>
      </c>
      <c r="B14" s="38" t="s">
        <v>1</v>
      </c>
      <c r="C14" s="32">
        <v>550</v>
      </c>
      <c r="D14" s="32">
        <v>400</v>
      </c>
      <c r="E14" s="13"/>
      <c r="F14" s="14"/>
      <c r="G14" s="14"/>
      <c r="H14" s="15"/>
      <c r="I14" s="150"/>
      <c r="J14" s="151"/>
      <c r="K14" s="16"/>
      <c r="L14" s="17"/>
      <c r="M14" s="18"/>
      <c r="N14" s="151"/>
      <c r="O14" s="8"/>
      <c r="Q14" s="10" t="s">
        <v>123</v>
      </c>
    </row>
    <row r="15" spans="1:18" s="10" customFormat="1" ht="18" customHeight="1">
      <c r="A15" s="106" t="s">
        <v>107</v>
      </c>
      <c r="B15" s="38" t="s">
        <v>1</v>
      </c>
      <c r="C15" s="32">
        <v>550</v>
      </c>
      <c r="D15" s="32">
        <v>400</v>
      </c>
      <c r="E15" s="24"/>
      <c r="F15" s="14"/>
      <c r="G15" s="14"/>
      <c r="H15" s="20"/>
      <c r="I15" s="21"/>
      <c r="J15" s="21"/>
      <c r="K15" s="21"/>
      <c r="L15" s="22"/>
      <c r="M15" s="21"/>
      <c r="N15" s="21"/>
      <c r="O15" s="21"/>
      <c r="P15" s="23"/>
      <c r="Q15" s="10" t="s">
        <v>124</v>
      </c>
    </row>
    <row r="16" spans="1:18" s="10" customFormat="1" ht="18" customHeight="1" thickBot="1">
      <c r="A16" s="106" t="s">
        <v>108</v>
      </c>
      <c r="B16" s="38" t="s">
        <v>1</v>
      </c>
      <c r="C16" s="32">
        <v>550</v>
      </c>
      <c r="D16" s="32">
        <v>400</v>
      </c>
      <c r="E16" s="13"/>
      <c r="F16" s="14"/>
      <c r="G16" s="14"/>
      <c r="H16" s="15"/>
      <c r="I16" s="19"/>
      <c r="J16" s="19"/>
      <c r="K16" s="19"/>
      <c r="L16" s="8"/>
      <c r="M16" s="19"/>
      <c r="N16" s="19"/>
      <c r="O16" s="19"/>
      <c r="Q16" s="10" t="s">
        <v>125</v>
      </c>
    </row>
    <row r="17" spans="1:17" s="10" customFormat="1" ht="18" customHeight="1" thickBot="1">
      <c r="A17" s="106" t="s">
        <v>109</v>
      </c>
      <c r="B17" s="38" t="s">
        <v>1</v>
      </c>
      <c r="C17" s="32">
        <v>550</v>
      </c>
      <c r="D17" s="32">
        <v>400</v>
      </c>
      <c r="E17" s="13"/>
      <c r="F17" s="14"/>
      <c r="G17" s="14"/>
      <c r="H17" s="15"/>
      <c r="I17" s="143"/>
      <c r="J17" s="145"/>
      <c r="K17" s="16"/>
      <c r="L17" s="17"/>
      <c r="M17" s="18"/>
      <c r="N17" s="145"/>
      <c r="O17" s="8"/>
      <c r="Q17" s="10" t="s">
        <v>126</v>
      </c>
    </row>
    <row r="18" spans="1:17" s="10" customFormat="1" ht="18" customHeight="1" thickBot="1">
      <c r="A18" s="106" t="s">
        <v>110</v>
      </c>
      <c r="B18" s="38" t="s">
        <v>1</v>
      </c>
      <c r="C18" s="31">
        <v>550</v>
      </c>
      <c r="D18" s="32">
        <v>400</v>
      </c>
      <c r="E18" s="14"/>
      <c r="F18" s="14"/>
      <c r="G18" s="14"/>
      <c r="H18" s="15"/>
      <c r="I18" s="144"/>
      <c r="J18" s="146"/>
      <c r="K18" s="16"/>
      <c r="L18" s="17"/>
      <c r="M18" s="18"/>
      <c r="N18" s="146"/>
      <c r="O18" s="8"/>
      <c r="Q18" s="10" t="s">
        <v>127</v>
      </c>
    </row>
    <row r="19" spans="1:17" s="10" customFormat="1" ht="18" customHeight="1">
      <c r="A19" s="106" t="s">
        <v>111</v>
      </c>
      <c r="B19" s="38" t="s">
        <v>1</v>
      </c>
      <c r="C19" s="31">
        <v>550</v>
      </c>
      <c r="D19" s="32">
        <v>400</v>
      </c>
      <c r="E19" s="13"/>
      <c r="F19" s="14"/>
      <c r="G19" s="14"/>
      <c r="H19" s="15"/>
      <c r="I19" s="144"/>
      <c r="J19" s="146"/>
      <c r="K19" s="16"/>
      <c r="L19" s="17"/>
      <c r="M19" s="18"/>
      <c r="N19" s="146"/>
      <c r="O19" s="8"/>
      <c r="Q19" s="10" t="s">
        <v>128</v>
      </c>
    </row>
    <row r="20" spans="1:17" s="10" customFormat="1" ht="18" customHeight="1">
      <c r="A20" s="106" t="s">
        <v>112</v>
      </c>
      <c r="B20" s="38" t="s">
        <v>1</v>
      </c>
      <c r="C20" s="31">
        <v>550</v>
      </c>
      <c r="D20" s="32">
        <v>400</v>
      </c>
      <c r="E20" s="13"/>
      <c r="F20" s="14"/>
      <c r="G20" s="14"/>
      <c r="H20" s="15"/>
      <c r="I20" s="144"/>
      <c r="J20" s="146"/>
      <c r="K20" s="16"/>
      <c r="L20" s="17"/>
      <c r="M20" s="18"/>
      <c r="N20" s="146"/>
      <c r="O20" s="8"/>
      <c r="Q20" s="10" t="s">
        <v>129</v>
      </c>
    </row>
  </sheetData>
  <mergeCells count="17">
    <mergeCell ref="I17:I20"/>
    <mergeCell ref="J17:J20"/>
    <mergeCell ref="N17:N20"/>
    <mergeCell ref="I6:N6"/>
    <mergeCell ref="C7:C8"/>
    <mergeCell ref="D7:D8"/>
    <mergeCell ref="I9:I14"/>
    <mergeCell ref="J9:J14"/>
    <mergeCell ref="N9:N14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27"/>
  <sheetViews>
    <sheetView topLeftCell="A2" zoomScale="115" zoomScaleNormal="115" zoomScaleSheetLayoutView="115" workbookViewId="0">
      <pane ySplit="6" topLeftCell="A8" activePane="bottomLeft" state="frozen"/>
      <selection pane="bottomLeft" activeCell="P16" sqref="P16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77"/>
      <c r="B1" s="178"/>
      <c r="C1" s="178"/>
      <c r="D1" s="178"/>
      <c r="E1" s="95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7"/>
    </row>
    <row r="2" spans="1:37" ht="38.25" customHeight="1">
      <c r="A2" s="179"/>
      <c r="B2" s="180"/>
      <c r="C2" s="180"/>
      <c r="D2" s="180"/>
      <c r="E2" s="94"/>
      <c r="F2" s="157" t="s">
        <v>81</v>
      </c>
      <c r="G2" s="158"/>
      <c r="H2" s="158"/>
      <c r="I2" s="158"/>
      <c r="J2" s="161" t="str">
        <f>'1. 소켓인수검사'!R1</f>
        <v>26.06.02 씨에스_캐피탈랜드(입상)</v>
      </c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2"/>
    </row>
    <row r="3" spans="1:37" ht="38.25" customHeight="1" thickBot="1">
      <c r="A3" s="181"/>
      <c r="B3" s="182"/>
      <c r="C3" s="182"/>
      <c r="D3" s="182"/>
      <c r="E3" s="98"/>
      <c r="F3" s="159"/>
      <c r="G3" s="160"/>
      <c r="H3" s="160"/>
      <c r="I3" s="160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</row>
    <row r="4" spans="1:37" ht="8.1" customHeight="1">
      <c r="A4" s="183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80"/>
    </row>
    <row r="5" spans="1:37" s="30" customFormat="1" ht="26.45" customHeight="1">
      <c r="A5" s="185" t="s">
        <v>27</v>
      </c>
      <c r="B5" s="187" t="s">
        <v>32</v>
      </c>
      <c r="C5" s="189" t="s">
        <v>26</v>
      </c>
      <c r="D5" s="189"/>
      <c r="E5" s="189" t="s">
        <v>43</v>
      </c>
      <c r="F5" s="191" t="s">
        <v>48</v>
      </c>
      <c r="G5" s="192"/>
      <c r="H5" s="192"/>
      <c r="I5" s="192"/>
      <c r="J5" s="192"/>
      <c r="K5" s="192"/>
      <c r="L5" s="192"/>
      <c r="M5" s="192"/>
      <c r="N5" s="192"/>
      <c r="O5" s="192"/>
      <c r="P5" s="193"/>
      <c r="Q5" s="189" t="s">
        <v>0</v>
      </c>
      <c r="R5" s="189"/>
      <c r="S5" s="189"/>
      <c r="T5" s="189"/>
      <c r="U5" s="189"/>
      <c r="V5" s="189"/>
      <c r="W5" s="189"/>
      <c r="X5" s="189"/>
      <c r="Y5" s="189"/>
      <c r="Z5" s="189"/>
      <c r="AA5" s="194" t="s">
        <v>5</v>
      </c>
      <c r="AB5" s="30">
        <v>15</v>
      </c>
      <c r="AC5" s="30">
        <v>50</v>
      </c>
    </row>
    <row r="6" spans="1:37" s="30" customFormat="1" ht="16.5" customHeight="1">
      <c r="A6" s="186"/>
      <c r="B6" s="188"/>
      <c r="C6" s="190" t="s">
        <v>28</v>
      </c>
      <c r="D6" s="190" t="s">
        <v>16</v>
      </c>
      <c r="E6" s="190"/>
      <c r="F6" s="196" t="s">
        <v>115</v>
      </c>
      <c r="G6" s="196"/>
      <c r="H6" s="196"/>
      <c r="I6" s="196" t="s">
        <v>116</v>
      </c>
      <c r="J6" s="196"/>
      <c r="K6" s="196"/>
      <c r="L6" s="196"/>
      <c r="M6" s="196" t="s">
        <v>117</v>
      </c>
      <c r="N6" s="196"/>
      <c r="O6" s="196"/>
      <c r="P6" s="196"/>
      <c r="Q6" s="196" t="s">
        <v>71</v>
      </c>
      <c r="R6" s="196"/>
      <c r="S6" s="196"/>
      <c r="T6" s="196"/>
      <c r="U6" s="196" t="s">
        <v>72</v>
      </c>
      <c r="V6" s="196"/>
      <c r="W6" s="196"/>
      <c r="X6" s="196"/>
      <c r="Y6" s="196"/>
      <c r="Z6" s="196"/>
      <c r="AA6" s="195"/>
      <c r="AG6" s="109" t="s">
        <v>100</v>
      </c>
      <c r="AK6" s="110" t="s">
        <v>99</v>
      </c>
    </row>
    <row r="7" spans="1:37" s="30" customFormat="1" ht="16.5" customHeight="1">
      <c r="A7" s="186"/>
      <c r="B7" s="188"/>
      <c r="C7" s="190"/>
      <c r="D7" s="190"/>
      <c r="E7" s="190"/>
      <c r="F7" s="84" t="s">
        <v>20</v>
      </c>
      <c r="G7" s="84" t="s">
        <v>26</v>
      </c>
      <c r="H7" s="84" t="s">
        <v>36</v>
      </c>
      <c r="I7" s="84" t="s">
        <v>20</v>
      </c>
      <c r="J7" s="197" t="s">
        <v>26</v>
      </c>
      <c r="K7" s="198"/>
      <c r="L7" s="84" t="s">
        <v>36</v>
      </c>
      <c r="M7" s="84" t="s">
        <v>20</v>
      </c>
      <c r="N7" s="197" t="s">
        <v>114</v>
      </c>
      <c r="O7" s="198"/>
      <c r="P7" s="84" t="s">
        <v>36</v>
      </c>
      <c r="Q7" s="84" t="s">
        <v>31</v>
      </c>
      <c r="R7" s="84" t="s">
        <v>20</v>
      </c>
      <c r="S7" s="84" t="s">
        <v>26</v>
      </c>
      <c r="T7" s="84" t="s">
        <v>36</v>
      </c>
      <c r="U7" s="84" t="s">
        <v>31</v>
      </c>
      <c r="V7" s="84" t="s">
        <v>20</v>
      </c>
      <c r="W7" s="196" t="s">
        <v>26</v>
      </c>
      <c r="X7" s="196"/>
      <c r="Y7" s="196"/>
      <c r="Z7" s="84" t="s">
        <v>36</v>
      </c>
      <c r="AA7" s="195"/>
      <c r="AB7" s="30" t="s">
        <v>89</v>
      </c>
      <c r="AC7" s="30" t="s">
        <v>90</v>
      </c>
      <c r="AD7" s="30" t="s">
        <v>91</v>
      </c>
      <c r="AE7" s="30" t="s">
        <v>92</v>
      </c>
      <c r="AF7" s="30" t="s">
        <v>93</v>
      </c>
      <c r="AG7" s="30" t="s">
        <v>94</v>
      </c>
      <c r="AH7" s="30" t="s">
        <v>95</v>
      </c>
      <c r="AI7" s="30" t="s">
        <v>96</v>
      </c>
      <c r="AJ7" s="30" t="s">
        <v>97</v>
      </c>
      <c r="AK7" s="30" t="s">
        <v>98</v>
      </c>
    </row>
    <row r="8" spans="1:37">
      <c r="A8" s="41" t="str">
        <f>'1. 소켓인수검사'!A9</f>
        <v>01</v>
      </c>
      <c r="B8" s="55" t="s">
        <v>1</v>
      </c>
      <c r="C8" s="45">
        <f>'1. 소켓인수검사'!C9</f>
        <v>550</v>
      </c>
      <c r="D8" s="45">
        <f>'1. 소켓인수검사'!D9</f>
        <v>400</v>
      </c>
      <c r="E8" s="43"/>
      <c r="F8" s="152">
        <f>255</f>
        <v>255</v>
      </c>
      <c r="G8" s="44">
        <f>C8-5</f>
        <v>545</v>
      </c>
      <c r="H8" s="45">
        <f>3*2</f>
        <v>6</v>
      </c>
      <c r="I8" s="152">
        <v>255</v>
      </c>
      <c r="J8" s="153"/>
      <c r="K8" s="154"/>
      <c r="L8" s="45"/>
      <c r="M8" s="152">
        <v>255</v>
      </c>
      <c r="N8" s="153">
        <f>D8-35</f>
        <v>365</v>
      </c>
      <c r="O8" s="154"/>
      <c r="P8" s="45">
        <v>2</v>
      </c>
      <c r="Q8" s="171" t="s">
        <v>10</v>
      </c>
      <c r="R8" s="173">
        <v>185</v>
      </c>
      <c r="S8" s="175">
        <v>1000</v>
      </c>
      <c r="T8" s="45">
        <f>+AK8*2</f>
        <v>6</v>
      </c>
      <c r="U8" s="171" t="s">
        <v>10</v>
      </c>
      <c r="V8" s="173">
        <v>125</v>
      </c>
      <c r="W8" s="165">
        <v>1000</v>
      </c>
      <c r="X8" s="166"/>
      <c r="Y8" s="167"/>
      <c r="Z8" s="45">
        <f>+AG8</f>
        <v>3</v>
      </c>
      <c r="AA8" s="51"/>
      <c r="AB8">
        <f xml:space="preserve"> C8+$AC$5*2</f>
        <v>650</v>
      </c>
      <c r="AC8">
        <f xml:space="preserve"> D8+$AC$5*2</f>
        <v>500</v>
      </c>
      <c r="AD8">
        <f>(AB8+AC8)*2</f>
        <v>2300</v>
      </c>
      <c r="AE8">
        <f>AD8/1000</f>
        <v>2.2999999999999998</v>
      </c>
      <c r="AF8" s="107">
        <f>AE8*(1+$AB$5/100)</f>
        <v>2.6449999999999996</v>
      </c>
      <c r="AG8" s="108">
        <f>CEILING(AF8,1)</f>
        <v>3</v>
      </c>
      <c r="AH8">
        <f>D8*2+AB8*2</f>
        <v>2100</v>
      </c>
      <c r="AI8">
        <f>AH8/1000</f>
        <v>2.1</v>
      </c>
      <c r="AJ8" s="107">
        <f>AI8*(1+$AB$5/100)</f>
        <v>2.415</v>
      </c>
      <c r="AK8" s="111">
        <f>CEILING(AJ8,1)</f>
        <v>3</v>
      </c>
    </row>
    <row r="9" spans="1:37">
      <c r="A9" s="41" t="str">
        <f>'1. 소켓인수검사'!A10</f>
        <v>02</v>
      </c>
      <c r="B9" s="55" t="s">
        <v>1</v>
      </c>
      <c r="C9" s="45">
        <f>'1. 소켓인수검사'!C10</f>
        <v>550</v>
      </c>
      <c r="D9" s="45">
        <f>'1. 소켓인수검사'!D10</f>
        <v>400</v>
      </c>
      <c r="E9" s="43"/>
      <c r="F9" s="152"/>
      <c r="G9" s="44">
        <f t="shared" ref="G9:G19" si="0">C9-5</f>
        <v>545</v>
      </c>
      <c r="H9" s="45">
        <f t="shared" ref="H9:H19" si="1">3*2</f>
        <v>6</v>
      </c>
      <c r="I9" s="152"/>
      <c r="J9" s="153"/>
      <c r="K9" s="154"/>
      <c r="L9" s="45"/>
      <c r="M9" s="152"/>
      <c r="N9" s="153">
        <f t="shared" ref="N9:N19" si="2">D9-35</f>
        <v>365</v>
      </c>
      <c r="O9" s="154"/>
      <c r="P9" s="45">
        <v>2</v>
      </c>
      <c r="Q9" s="172"/>
      <c r="R9" s="174"/>
      <c r="S9" s="176"/>
      <c r="T9" s="45">
        <f t="shared" ref="T9:T19" si="3">+AK9*2</f>
        <v>6</v>
      </c>
      <c r="U9" s="172"/>
      <c r="V9" s="174"/>
      <c r="W9" s="168"/>
      <c r="X9" s="169"/>
      <c r="Y9" s="170"/>
      <c r="Z9" s="45">
        <f t="shared" ref="Z9:Z19" si="4">+AG9</f>
        <v>3</v>
      </c>
      <c r="AA9" s="51"/>
      <c r="AB9">
        <f t="shared" ref="AB9:AB19" si="5" xml:space="preserve"> C9+$AC$5*2</f>
        <v>650</v>
      </c>
      <c r="AC9">
        <f t="shared" ref="AC9:AC19" si="6" xml:space="preserve"> D9+$AC$5*2</f>
        <v>500</v>
      </c>
      <c r="AD9">
        <f t="shared" ref="AD9:AD19" si="7">(AB9+AC9)*2</f>
        <v>2300</v>
      </c>
      <c r="AE9">
        <f t="shared" ref="AE9:AE19" si="8">AD9/1000</f>
        <v>2.2999999999999998</v>
      </c>
      <c r="AF9" s="107">
        <f t="shared" ref="AF9:AF19" si="9">AE9*(1+$AB$5/100)</f>
        <v>2.6449999999999996</v>
      </c>
      <c r="AG9" s="108">
        <f t="shared" ref="AG9:AG19" si="10">CEILING(AF9,1)</f>
        <v>3</v>
      </c>
      <c r="AH9">
        <f t="shared" ref="AH9:AH19" si="11">D9*2+AB9*2</f>
        <v>2100</v>
      </c>
      <c r="AI9">
        <f t="shared" ref="AI9:AI19" si="12">AH9/1000</f>
        <v>2.1</v>
      </c>
      <c r="AJ9" s="107">
        <f t="shared" ref="AJ9:AJ19" si="13">AI9*(1+$AB$5/100)</f>
        <v>2.415</v>
      </c>
      <c r="AK9" s="111">
        <f t="shared" ref="AK9:AK19" si="14">CEILING(AJ9,1)</f>
        <v>3</v>
      </c>
    </row>
    <row r="10" spans="1:37">
      <c r="A10" s="41" t="str">
        <f>'1. 소켓인수검사'!A11</f>
        <v>03</v>
      </c>
      <c r="B10" s="55" t="s">
        <v>1</v>
      </c>
      <c r="C10" s="45">
        <f>'1. 소켓인수검사'!C11</f>
        <v>550</v>
      </c>
      <c r="D10" s="45">
        <f>'1. 소켓인수검사'!D11</f>
        <v>400</v>
      </c>
      <c r="E10" s="43"/>
      <c r="F10" s="152"/>
      <c r="G10" s="44">
        <f t="shared" si="0"/>
        <v>545</v>
      </c>
      <c r="H10" s="45">
        <f t="shared" si="1"/>
        <v>6</v>
      </c>
      <c r="I10" s="152"/>
      <c r="J10" s="153"/>
      <c r="K10" s="154"/>
      <c r="L10" s="45"/>
      <c r="M10" s="152"/>
      <c r="N10" s="153">
        <f t="shared" si="2"/>
        <v>365</v>
      </c>
      <c r="O10" s="154"/>
      <c r="P10" s="45">
        <v>2</v>
      </c>
      <c r="Q10" s="172"/>
      <c r="R10" s="174"/>
      <c r="S10" s="176"/>
      <c r="T10" s="45">
        <f t="shared" si="3"/>
        <v>6</v>
      </c>
      <c r="U10" s="172"/>
      <c r="V10" s="174"/>
      <c r="W10" s="168"/>
      <c r="X10" s="169"/>
      <c r="Y10" s="170"/>
      <c r="Z10" s="45">
        <f t="shared" si="4"/>
        <v>3</v>
      </c>
      <c r="AA10" s="51"/>
      <c r="AB10">
        <f t="shared" si="5"/>
        <v>650</v>
      </c>
      <c r="AC10">
        <f t="shared" si="6"/>
        <v>500</v>
      </c>
      <c r="AD10">
        <f t="shared" si="7"/>
        <v>2300</v>
      </c>
      <c r="AE10">
        <f t="shared" si="8"/>
        <v>2.2999999999999998</v>
      </c>
      <c r="AF10" s="107">
        <f t="shared" si="9"/>
        <v>2.6449999999999996</v>
      </c>
      <c r="AG10" s="108">
        <f t="shared" si="10"/>
        <v>3</v>
      </c>
      <c r="AH10">
        <f t="shared" si="11"/>
        <v>2100</v>
      </c>
      <c r="AI10">
        <f t="shared" si="12"/>
        <v>2.1</v>
      </c>
      <c r="AJ10" s="107">
        <f t="shared" si="13"/>
        <v>2.415</v>
      </c>
      <c r="AK10" s="111">
        <f t="shared" si="14"/>
        <v>3</v>
      </c>
    </row>
    <row r="11" spans="1:37">
      <c r="A11" s="41" t="str">
        <f>'1. 소켓인수검사'!A12</f>
        <v>04</v>
      </c>
      <c r="B11" s="55" t="s">
        <v>1</v>
      </c>
      <c r="C11" s="45">
        <f>'1. 소켓인수검사'!C12</f>
        <v>550</v>
      </c>
      <c r="D11" s="45">
        <f>'1. 소켓인수검사'!D12</f>
        <v>400</v>
      </c>
      <c r="E11" s="43"/>
      <c r="F11" s="152"/>
      <c r="G11" s="44">
        <f t="shared" si="0"/>
        <v>545</v>
      </c>
      <c r="H11" s="45">
        <f t="shared" si="1"/>
        <v>6</v>
      </c>
      <c r="I11" s="152"/>
      <c r="J11" s="153"/>
      <c r="K11" s="154"/>
      <c r="L11" s="45"/>
      <c r="M11" s="152"/>
      <c r="N11" s="153">
        <f t="shared" si="2"/>
        <v>365</v>
      </c>
      <c r="O11" s="154"/>
      <c r="P11" s="45">
        <v>2</v>
      </c>
      <c r="Q11" s="172"/>
      <c r="R11" s="174"/>
      <c r="S11" s="176"/>
      <c r="T11" s="45">
        <f t="shared" si="3"/>
        <v>6</v>
      </c>
      <c r="U11" s="172"/>
      <c r="V11" s="174"/>
      <c r="W11" s="168"/>
      <c r="X11" s="169"/>
      <c r="Y11" s="170"/>
      <c r="Z11" s="45">
        <f t="shared" si="4"/>
        <v>3</v>
      </c>
      <c r="AA11" s="51"/>
      <c r="AB11">
        <f t="shared" si="5"/>
        <v>650</v>
      </c>
      <c r="AC11">
        <f t="shared" si="6"/>
        <v>500</v>
      </c>
      <c r="AD11">
        <f t="shared" si="7"/>
        <v>2300</v>
      </c>
      <c r="AE11">
        <f t="shared" si="8"/>
        <v>2.2999999999999998</v>
      </c>
      <c r="AF11" s="107">
        <f t="shared" si="9"/>
        <v>2.6449999999999996</v>
      </c>
      <c r="AG11" s="108">
        <f t="shared" si="10"/>
        <v>3</v>
      </c>
      <c r="AH11">
        <f t="shared" si="11"/>
        <v>2100</v>
      </c>
      <c r="AI11">
        <f t="shared" si="12"/>
        <v>2.1</v>
      </c>
      <c r="AJ11" s="107">
        <f t="shared" si="13"/>
        <v>2.415</v>
      </c>
      <c r="AK11" s="111">
        <f t="shared" si="14"/>
        <v>3</v>
      </c>
    </row>
    <row r="12" spans="1:37">
      <c r="A12" s="41" t="str">
        <f>'1. 소켓인수검사'!A13</f>
        <v>05</v>
      </c>
      <c r="B12" s="55" t="s">
        <v>1</v>
      </c>
      <c r="C12" s="47">
        <f>'1. 소켓인수검사'!C13</f>
        <v>550</v>
      </c>
      <c r="D12" s="47">
        <f>'1. 소켓인수검사'!D13</f>
        <v>400</v>
      </c>
      <c r="E12" s="43"/>
      <c r="F12" s="152"/>
      <c r="G12" s="44">
        <f t="shared" si="0"/>
        <v>545</v>
      </c>
      <c r="H12" s="45">
        <f t="shared" si="1"/>
        <v>6</v>
      </c>
      <c r="I12" s="152"/>
      <c r="J12" s="153"/>
      <c r="K12" s="154"/>
      <c r="L12" s="45"/>
      <c r="M12" s="152"/>
      <c r="N12" s="153">
        <f t="shared" si="2"/>
        <v>365</v>
      </c>
      <c r="O12" s="154"/>
      <c r="P12" s="45">
        <v>2</v>
      </c>
      <c r="Q12" s="172"/>
      <c r="R12" s="174"/>
      <c r="S12" s="176"/>
      <c r="T12" s="45">
        <f t="shared" si="3"/>
        <v>6</v>
      </c>
      <c r="U12" s="172"/>
      <c r="V12" s="174"/>
      <c r="W12" s="168"/>
      <c r="X12" s="169"/>
      <c r="Y12" s="170"/>
      <c r="Z12" s="45">
        <f t="shared" si="4"/>
        <v>3</v>
      </c>
      <c r="AA12" s="51"/>
      <c r="AB12">
        <f t="shared" si="5"/>
        <v>650</v>
      </c>
      <c r="AC12">
        <f t="shared" si="6"/>
        <v>500</v>
      </c>
      <c r="AD12">
        <f t="shared" si="7"/>
        <v>2300</v>
      </c>
      <c r="AE12">
        <f t="shared" si="8"/>
        <v>2.2999999999999998</v>
      </c>
      <c r="AF12" s="107">
        <f t="shared" si="9"/>
        <v>2.6449999999999996</v>
      </c>
      <c r="AG12" s="108">
        <f t="shared" si="10"/>
        <v>3</v>
      </c>
      <c r="AH12">
        <f t="shared" si="11"/>
        <v>2100</v>
      </c>
      <c r="AI12">
        <f t="shared" si="12"/>
        <v>2.1</v>
      </c>
      <c r="AJ12" s="107">
        <f t="shared" si="13"/>
        <v>2.415</v>
      </c>
      <c r="AK12" s="111">
        <f t="shared" si="14"/>
        <v>3</v>
      </c>
    </row>
    <row r="13" spans="1:37">
      <c r="A13" s="41" t="str">
        <f>'1. 소켓인수검사'!A14</f>
        <v>06</v>
      </c>
      <c r="B13" s="55" t="s">
        <v>1</v>
      </c>
      <c r="C13" s="47">
        <f>'1. 소켓인수검사'!C14</f>
        <v>550</v>
      </c>
      <c r="D13" s="47">
        <f>'1. 소켓인수검사'!D14</f>
        <v>400</v>
      </c>
      <c r="E13" s="43"/>
      <c r="F13" s="152"/>
      <c r="G13" s="44">
        <f t="shared" si="0"/>
        <v>545</v>
      </c>
      <c r="H13" s="45">
        <f t="shared" si="1"/>
        <v>6</v>
      </c>
      <c r="I13" s="152"/>
      <c r="J13" s="153"/>
      <c r="K13" s="154"/>
      <c r="L13" s="45"/>
      <c r="M13" s="152"/>
      <c r="N13" s="153">
        <f t="shared" si="2"/>
        <v>365</v>
      </c>
      <c r="O13" s="154"/>
      <c r="P13" s="45">
        <v>2</v>
      </c>
      <c r="Q13" s="172"/>
      <c r="R13" s="174"/>
      <c r="S13" s="176"/>
      <c r="T13" s="45">
        <f t="shared" si="3"/>
        <v>6</v>
      </c>
      <c r="U13" s="172"/>
      <c r="V13" s="174"/>
      <c r="W13" s="168"/>
      <c r="X13" s="169"/>
      <c r="Y13" s="170"/>
      <c r="Z13" s="45">
        <f t="shared" si="4"/>
        <v>3</v>
      </c>
      <c r="AA13" s="51"/>
      <c r="AB13">
        <f t="shared" si="5"/>
        <v>650</v>
      </c>
      <c r="AC13">
        <f t="shared" si="6"/>
        <v>500</v>
      </c>
      <c r="AD13">
        <f t="shared" si="7"/>
        <v>2300</v>
      </c>
      <c r="AE13">
        <f t="shared" si="8"/>
        <v>2.2999999999999998</v>
      </c>
      <c r="AF13" s="107">
        <f t="shared" si="9"/>
        <v>2.6449999999999996</v>
      </c>
      <c r="AG13" s="108">
        <f t="shared" si="10"/>
        <v>3</v>
      </c>
      <c r="AH13">
        <f t="shared" si="11"/>
        <v>2100</v>
      </c>
      <c r="AI13">
        <f t="shared" si="12"/>
        <v>2.1</v>
      </c>
      <c r="AJ13" s="107">
        <f t="shared" si="13"/>
        <v>2.415</v>
      </c>
      <c r="AK13" s="111">
        <f t="shared" si="14"/>
        <v>3</v>
      </c>
    </row>
    <row r="14" spans="1:37">
      <c r="A14" s="41" t="str">
        <f>'1. 소켓인수검사'!A15</f>
        <v>07</v>
      </c>
      <c r="B14" s="55" t="s">
        <v>1</v>
      </c>
      <c r="C14" s="47">
        <f>'1. 소켓인수검사'!C15</f>
        <v>550</v>
      </c>
      <c r="D14" s="47">
        <f>'1. 소켓인수검사'!D15</f>
        <v>400</v>
      </c>
      <c r="E14" s="43"/>
      <c r="F14" s="152"/>
      <c r="G14" s="44">
        <f t="shared" si="0"/>
        <v>545</v>
      </c>
      <c r="H14" s="45">
        <f t="shared" si="1"/>
        <v>6</v>
      </c>
      <c r="I14" s="152"/>
      <c r="J14" s="153"/>
      <c r="K14" s="154"/>
      <c r="L14" s="45"/>
      <c r="M14" s="152"/>
      <c r="N14" s="153">
        <f t="shared" si="2"/>
        <v>365</v>
      </c>
      <c r="O14" s="154"/>
      <c r="P14" s="45">
        <v>2</v>
      </c>
      <c r="Q14" s="172"/>
      <c r="R14" s="174"/>
      <c r="S14" s="176"/>
      <c r="T14" s="45">
        <f t="shared" si="3"/>
        <v>6</v>
      </c>
      <c r="U14" s="172"/>
      <c r="V14" s="174"/>
      <c r="W14" s="168"/>
      <c r="X14" s="169"/>
      <c r="Y14" s="170"/>
      <c r="Z14" s="45">
        <f t="shared" si="4"/>
        <v>3</v>
      </c>
      <c r="AA14" s="51"/>
      <c r="AB14">
        <f t="shared" si="5"/>
        <v>650</v>
      </c>
      <c r="AC14">
        <f t="shared" si="6"/>
        <v>500</v>
      </c>
      <c r="AD14">
        <f t="shared" si="7"/>
        <v>2300</v>
      </c>
      <c r="AE14">
        <f t="shared" si="8"/>
        <v>2.2999999999999998</v>
      </c>
      <c r="AF14" s="107">
        <f t="shared" si="9"/>
        <v>2.6449999999999996</v>
      </c>
      <c r="AG14" s="108">
        <f t="shared" si="10"/>
        <v>3</v>
      </c>
      <c r="AH14">
        <f t="shared" si="11"/>
        <v>2100</v>
      </c>
      <c r="AI14">
        <f t="shared" si="12"/>
        <v>2.1</v>
      </c>
      <c r="AJ14" s="107">
        <f t="shared" si="13"/>
        <v>2.415</v>
      </c>
      <c r="AK14" s="111">
        <f t="shared" si="14"/>
        <v>3</v>
      </c>
    </row>
    <row r="15" spans="1:37">
      <c r="A15" s="41" t="str">
        <f>'1. 소켓인수검사'!A16</f>
        <v>08</v>
      </c>
      <c r="B15" s="55" t="s">
        <v>1</v>
      </c>
      <c r="C15" s="47">
        <f>'1. 소켓인수검사'!C16</f>
        <v>550</v>
      </c>
      <c r="D15" s="47">
        <f>'1. 소켓인수검사'!D16</f>
        <v>400</v>
      </c>
      <c r="E15" s="43"/>
      <c r="F15" s="152"/>
      <c r="G15" s="44">
        <f t="shared" si="0"/>
        <v>545</v>
      </c>
      <c r="H15" s="45">
        <f t="shared" si="1"/>
        <v>6</v>
      </c>
      <c r="I15" s="152"/>
      <c r="J15" s="153"/>
      <c r="K15" s="154"/>
      <c r="L15" s="45"/>
      <c r="M15" s="152"/>
      <c r="N15" s="153">
        <f t="shared" si="2"/>
        <v>365</v>
      </c>
      <c r="O15" s="154"/>
      <c r="P15" s="45">
        <v>2</v>
      </c>
      <c r="Q15" s="172"/>
      <c r="R15" s="174"/>
      <c r="S15" s="176"/>
      <c r="T15" s="45">
        <f t="shared" si="3"/>
        <v>6</v>
      </c>
      <c r="U15" s="172"/>
      <c r="V15" s="174"/>
      <c r="W15" s="168"/>
      <c r="X15" s="169"/>
      <c r="Y15" s="170"/>
      <c r="Z15" s="45">
        <f t="shared" si="4"/>
        <v>3</v>
      </c>
      <c r="AA15" s="51"/>
      <c r="AB15">
        <f t="shared" si="5"/>
        <v>650</v>
      </c>
      <c r="AC15">
        <f t="shared" si="6"/>
        <v>500</v>
      </c>
      <c r="AD15">
        <f t="shared" si="7"/>
        <v>2300</v>
      </c>
      <c r="AE15">
        <f t="shared" si="8"/>
        <v>2.2999999999999998</v>
      </c>
      <c r="AF15" s="107">
        <f t="shared" si="9"/>
        <v>2.6449999999999996</v>
      </c>
      <c r="AG15" s="108">
        <f t="shared" si="10"/>
        <v>3</v>
      </c>
      <c r="AH15">
        <f t="shared" si="11"/>
        <v>2100</v>
      </c>
      <c r="AI15">
        <f t="shared" si="12"/>
        <v>2.1</v>
      </c>
      <c r="AJ15" s="107">
        <f t="shared" si="13"/>
        <v>2.415</v>
      </c>
      <c r="AK15" s="111">
        <f t="shared" si="14"/>
        <v>3</v>
      </c>
    </row>
    <row r="16" spans="1:37">
      <c r="A16" s="41" t="str">
        <f>'1. 소켓인수검사'!A17</f>
        <v>09</v>
      </c>
      <c r="B16" s="55" t="s">
        <v>1</v>
      </c>
      <c r="C16" s="47">
        <f>'1. 소켓인수검사'!C17</f>
        <v>550</v>
      </c>
      <c r="D16" s="47">
        <f>'1. 소켓인수검사'!D17</f>
        <v>400</v>
      </c>
      <c r="E16" s="43"/>
      <c r="F16" s="152"/>
      <c r="G16" s="44">
        <f t="shared" si="0"/>
        <v>545</v>
      </c>
      <c r="H16" s="45">
        <f t="shared" si="1"/>
        <v>6</v>
      </c>
      <c r="I16" s="152"/>
      <c r="J16" s="155"/>
      <c r="K16" s="156"/>
      <c r="L16" s="45"/>
      <c r="M16" s="152"/>
      <c r="N16" s="155">
        <f t="shared" si="2"/>
        <v>365</v>
      </c>
      <c r="O16" s="156"/>
      <c r="P16" s="45">
        <v>2</v>
      </c>
      <c r="Q16" s="172"/>
      <c r="R16" s="174"/>
      <c r="S16" s="176"/>
      <c r="T16" s="45">
        <f t="shared" si="3"/>
        <v>6</v>
      </c>
      <c r="U16" s="172"/>
      <c r="V16" s="174"/>
      <c r="W16" s="168"/>
      <c r="X16" s="169"/>
      <c r="Y16" s="170"/>
      <c r="Z16" s="45">
        <f t="shared" si="4"/>
        <v>3</v>
      </c>
      <c r="AA16" s="51"/>
      <c r="AB16">
        <f t="shared" si="5"/>
        <v>650</v>
      </c>
      <c r="AC16">
        <f t="shared" si="6"/>
        <v>500</v>
      </c>
      <c r="AD16">
        <f t="shared" si="7"/>
        <v>2300</v>
      </c>
      <c r="AE16">
        <f t="shared" si="8"/>
        <v>2.2999999999999998</v>
      </c>
      <c r="AF16" s="107">
        <f t="shared" si="9"/>
        <v>2.6449999999999996</v>
      </c>
      <c r="AG16" s="108">
        <f t="shared" si="10"/>
        <v>3</v>
      </c>
      <c r="AH16">
        <f t="shared" si="11"/>
        <v>2100</v>
      </c>
      <c r="AI16">
        <f t="shared" si="12"/>
        <v>2.1</v>
      </c>
      <c r="AJ16" s="107">
        <f t="shared" si="13"/>
        <v>2.415</v>
      </c>
      <c r="AK16" s="111">
        <f t="shared" si="14"/>
        <v>3</v>
      </c>
    </row>
    <row r="17" spans="1:37">
      <c r="A17" s="41" t="str">
        <f>'1. 소켓인수검사'!A18</f>
        <v>10</v>
      </c>
      <c r="B17" s="55" t="s">
        <v>1</v>
      </c>
      <c r="C17" s="47">
        <f>'1. 소켓인수검사'!C18</f>
        <v>550</v>
      </c>
      <c r="D17" s="47">
        <f>'1. 소켓인수검사'!D18</f>
        <v>400</v>
      </c>
      <c r="E17" s="43"/>
      <c r="F17" s="152"/>
      <c r="G17" s="44">
        <f t="shared" si="0"/>
        <v>545</v>
      </c>
      <c r="H17" s="45">
        <f t="shared" si="1"/>
        <v>6</v>
      </c>
      <c r="I17" s="152"/>
      <c r="J17" s="155"/>
      <c r="K17" s="156"/>
      <c r="L17" s="45"/>
      <c r="M17" s="152"/>
      <c r="N17" s="155">
        <f t="shared" si="2"/>
        <v>365</v>
      </c>
      <c r="O17" s="156"/>
      <c r="P17" s="45">
        <v>2</v>
      </c>
      <c r="Q17" s="172"/>
      <c r="R17" s="174"/>
      <c r="S17" s="176"/>
      <c r="T17" s="45">
        <f t="shared" si="3"/>
        <v>6</v>
      </c>
      <c r="U17" s="172"/>
      <c r="V17" s="174"/>
      <c r="W17" s="168"/>
      <c r="X17" s="169"/>
      <c r="Y17" s="170"/>
      <c r="Z17" s="45">
        <f t="shared" si="4"/>
        <v>3</v>
      </c>
      <c r="AA17" s="51"/>
      <c r="AB17">
        <f t="shared" si="5"/>
        <v>650</v>
      </c>
      <c r="AC17">
        <f t="shared" si="6"/>
        <v>500</v>
      </c>
      <c r="AD17">
        <f t="shared" si="7"/>
        <v>2300</v>
      </c>
      <c r="AE17">
        <f t="shared" si="8"/>
        <v>2.2999999999999998</v>
      </c>
      <c r="AF17" s="107">
        <f t="shared" si="9"/>
        <v>2.6449999999999996</v>
      </c>
      <c r="AG17" s="108">
        <f t="shared" si="10"/>
        <v>3</v>
      </c>
      <c r="AH17">
        <f t="shared" si="11"/>
        <v>2100</v>
      </c>
      <c r="AI17">
        <f t="shared" si="12"/>
        <v>2.1</v>
      </c>
      <c r="AJ17" s="107">
        <f t="shared" si="13"/>
        <v>2.415</v>
      </c>
      <c r="AK17" s="111">
        <f t="shared" si="14"/>
        <v>3</v>
      </c>
    </row>
    <row r="18" spans="1:37">
      <c r="A18" s="41" t="str">
        <f>'1. 소켓인수검사'!A19</f>
        <v>11</v>
      </c>
      <c r="B18" s="55" t="s">
        <v>1</v>
      </c>
      <c r="C18" s="47">
        <f>'1. 소켓인수검사'!C19</f>
        <v>550</v>
      </c>
      <c r="D18" s="47">
        <f>'1. 소켓인수검사'!D19</f>
        <v>400</v>
      </c>
      <c r="E18" s="43"/>
      <c r="F18" s="152"/>
      <c r="G18" s="44">
        <f t="shared" si="0"/>
        <v>545</v>
      </c>
      <c r="H18" s="45">
        <f t="shared" si="1"/>
        <v>6</v>
      </c>
      <c r="I18" s="152"/>
      <c r="J18" s="155"/>
      <c r="K18" s="156"/>
      <c r="L18" s="45"/>
      <c r="M18" s="152"/>
      <c r="N18" s="155">
        <f t="shared" si="2"/>
        <v>365</v>
      </c>
      <c r="O18" s="156"/>
      <c r="P18" s="45">
        <v>2</v>
      </c>
      <c r="Q18" s="172"/>
      <c r="R18" s="174"/>
      <c r="S18" s="176"/>
      <c r="T18" s="45">
        <f t="shared" si="3"/>
        <v>6</v>
      </c>
      <c r="U18" s="172"/>
      <c r="V18" s="174"/>
      <c r="W18" s="168"/>
      <c r="X18" s="169"/>
      <c r="Y18" s="170"/>
      <c r="Z18" s="45">
        <f t="shared" si="4"/>
        <v>3</v>
      </c>
      <c r="AA18" s="51"/>
      <c r="AB18">
        <f t="shared" si="5"/>
        <v>650</v>
      </c>
      <c r="AC18">
        <f t="shared" si="6"/>
        <v>500</v>
      </c>
      <c r="AD18">
        <f t="shared" si="7"/>
        <v>2300</v>
      </c>
      <c r="AE18">
        <f t="shared" si="8"/>
        <v>2.2999999999999998</v>
      </c>
      <c r="AF18" s="107">
        <f t="shared" si="9"/>
        <v>2.6449999999999996</v>
      </c>
      <c r="AG18" s="108">
        <f t="shared" si="10"/>
        <v>3</v>
      </c>
      <c r="AH18">
        <f t="shared" si="11"/>
        <v>2100</v>
      </c>
      <c r="AI18">
        <f t="shared" si="12"/>
        <v>2.1</v>
      </c>
      <c r="AJ18" s="107">
        <f t="shared" si="13"/>
        <v>2.415</v>
      </c>
      <c r="AK18" s="111">
        <f t="shared" si="14"/>
        <v>3</v>
      </c>
    </row>
    <row r="19" spans="1:37">
      <c r="A19" s="41" t="str">
        <f>'1. 소켓인수검사'!A20</f>
        <v>12</v>
      </c>
      <c r="B19" s="55" t="s">
        <v>1</v>
      </c>
      <c r="C19" s="47">
        <f>'1. 소켓인수검사'!C20</f>
        <v>550</v>
      </c>
      <c r="D19" s="47">
        <f>'1. 소켓인수검사'!D20</f>
        <v>400</v>
      </c>
      <c r="E19" s="43"/>
      <c r="F19" s="152"/>
      <c r="G19" s="52">
        <f t="shared" si="0"/>
        <v>545</v>
      </c>
      <c r="H19" s="45">
        <f t="shared" si="1"/>
        <v>6</v>
      </c>
      <c r="I19" s="152"/>
      <c r="J19" s="155"/>
      <c r="K19" s="156"/>
      <c r="L19" s="45"/>
      <c r="M19" s="152"/>
      <c r="N19" s="155">
        <f t="shared" si="2"/>
        <v>365</v>
      </c>
      <c r="O19" s="156"/>
      <c r="P19" s="45">
        <v>2</v>
      </c>
      <c r="Q19" s="172"/>
      <c r="R19" s="174"/>
      <c r="S19" s="176"/>
      <c r="T19" s="45">
        <f t="shared" si="3"/>
        <v>6</v>
      </c>
      <c r="U19" s="172"/>
      <c r="V19" s="174"/>
      <c r="W19" s="168"/>
      <c r="X19" s="169"/>
      <c r="Y19" s="170"/>
      <c r="Z19" s="45">
        <f t="shared" si="4"/>
        <v>3</v>
      </c>
      <c r="AA19" s="51"/>
      <c r="AB19">
        <f t="shared" si="5"/>
        <v>650</v>
      </c>
      <c r="AC19">
        <f t="shared" si="6"/>
        <v>500</v>
      </c>
      <c r="AD19">
        <f t="shared" si="7"/>
        <v>2300</v>
      </c>
      <c r="AE19">
        <f t="shared" si="8"/>
        <v>2.2999999999999998</v>
      </c>
      <c r="AF19" s="107">
        <f t="shared" si="9"/>
        <v>2.6449999999999996</v>
      </c>
      <c r="AG19" s="108">
        <f t="shared" si="10"/>
        <v>3</v>
      </c>
      <c r="AH19">
        <f t="shared" si="11"/>
        <v>2100</v>
      </c>
      <c r="AI19">
        <f t="shared" si="12"/>
        <v>2.1</v>
      </c>
      <c r="AJ19" s="107">
        <f t="shared" si="13"/>
        <v>2.415</v>
      </c>
      <c r="AK19" s="111">
        <f t="shared" si="14"/>
        <v>3</v>
      </c>
    </row>
    <row r="20" spans="1:37">
      <c r="A20" s="209" t="s">
        <v>25</v>
      </c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53">
        <f>SUM(T8:T19)</f>
        <v>72</v>
      </c>
      <c r="U20" s="85"/>
      <c r="V20" s="86"/>
      <c r="W20" s="211"/>
      <c r="X20" s="211"/>
      <c r="Y20" s="211"/>
      <c r="Z20" s="53">
        <f>SUM(Z8:Z19)</f>
        <v>36</v>
      </c>
      <c r="AA20" s="51"/>
    </row>
    <row r="21" spans="1:37" ht="8.1" customHeight="1">
      <c r="A21" s="183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5"/>
      <c r="N21" s="5"/>
      <c r="O21" s="5"/>
      <c r="P21" s="5"/>
      <c r="AA21" s="5"/>
    </row>
    <row r="22" spans="1:37">
      <c r="A22" s="199" t="s">
        <v>6</v>
      </c>
      <c r="B22" s="199"/>
      <c r="C22" s="199"/>
      <c r="D22" s="200" t="s">
        <v>61</v>
      </c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2"/>
    </row>
    <row r="23" spans="1:37">
      <c r="A23" s="199"/>
      <c r="B23" s="199"/>
      <c r="C23" s="199"/>
      <c r="D23" s="203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5"/>
    </row>
    <row r="24" spans="1:37">
      <c r="A24" s="199"/>
      <c r="B24" s="199"/>
      <c r="C24" s="199"/>
      <c r="D24" s="203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5"/>
    </row>
    <row r="25" spans="1:37">
      <c r="A25" s="199"/>
      <c r="B25" s="199"/>
      <c r="C25" s="199"/>
      <c r="D25" s="203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5"/>
    </row>
    <row r="26" spans="1:37">
      <c r="A26" s="199"/>
      <c r="B26" s="199"/>
      <c r="C26" s="199"/>
      <c r="D26" s="203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5"/>
    </row>
    <row r="27" spans="1:37">
      <c r="A27" s="199"/>
      <c r="B27" s="199"/>
      <c r="C27" s="199"/>
      <c r="D27" s="206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8"/>
    </row>
  </sheetData>
  <mergeCells count="59">
    <mergeCell ref="A21:L21"/>
    <mergeCell ref="A22:C27"/>
    <mergeCell ref="D22:AA27"/>
    <mergeCell ref="A20:S20"/>
    <mergeCell ref="W20:Y20"/>
    <mergeCell ref="Q5:Z5"/>
    <mergeCell ref="AA5:AA7"/>
    <mergeCell ref="C6:C7"/>
    <mergeCell ref="D6:D7"/>
    <mergeCell ref="F6:H6"/>
    <mergeCell ref="I6:L6"/>
    <mergeCell ref="Q6:T6"/>
    <mergeCell ref="U6:Z6"/>
    <mergeCell ref="J7:K7"/>
    <mergeCell ref="W7:Y7"/>
    <mergeCell ref="M6:P6"/>
    <mergeCell ref="N7:O7"/>
    <mergeCell ref="J8:K8"/>
    <mergeCell ref="A1:D3"/>
    <mergeCell ref="A4:L4"/>
    <mergeCell ref="A5:A7"/>
    <mergeCell ref="B5:B7"/>
    <mergeCell ref="C5:D5"/>
    <mergeCell ref="E5:E7"/>
    <mergeCell ref="F5:P5"/>
    <mergeCell ref="J9:K9"/>
    <mergeCell ref="J10:K10"/>
    <mergeCell ref="I8:I19"/>
    <mergeCell ref="F8:F19"/>
    <mergeCell ref="F2:I3"/>
    <mergeCell ref="J2:AA3"/>
    <mergeCell ref="W8:Y19"/>
    <mergeCell ref="Q8:Q19"/>
    <mergeCell ref="R8:R19"/>
    <mergeCell ref="S8:S19"/>
    <mergeCell ref="U8:U19"/>
    <mergeCell ref="V8:V19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M8:M19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20"/>
  <sheetViews>
    <sheetView view="pageBreakPreview" zoomScale="85" zoomScaleNormal="85" zoomScaleSheetLayoutView="85" workbookViewId="0">
      <pane ySplit="7" topLeftCell="A8" activePane="bottomLeft" state="frozen"/>
      <selection pane="bottomLeft" activeCell="Z24" sqref="Z24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20"/>
      <c r="B1" s="221"/>
      <c r="C1" s="221"/>
      <c r="D1" s="221"/>
      <c r="E1" s="221"/>
      <c r="F1" s="99"/>
      <c r="G1" s="228" t="s">
        <v>82</v>
      </c>
      <c r="H1" s="228"/>
      <c r="I1" s="228"/>
      <c r="J1" s="228"/>
      <c r="K1" s="228"/>
      <c r="L1" s="228"/>
      <c r="M1" s="231" t="str">
        <f>'1. 소켓인수검사'!R1</f>
        <v>26.06.02 씨에스_캐피탈랜드(입상)</v>
      </c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2"/>
    </row>
    <row r="2" spans="1:51" ht="41.25">
      <c r="A2" s="222"/>
      <c r="B2" s="223"/>
      <c r="C2" s="223"/>
      <c r="D2" s="223"/>
      <c r="E2" s="223"/>
      <c r="F2" s="35"/>
      <c r="G2" s="229"/>
      <c r="H2" s="229"/>
      <c r="I2" s="229"/>
      <c r="J2" s="229"/>
      <c r="K2" s="229"/>
      <c r="L2" s="229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4"/>
    </row>
    <row r="3" spans="1:51" ht="42" thickBot="1">
      <c r="A3" s="224"/>
      <c r="B3" s="225"/>
      <c r="C3" s="225"/>
      <c r="D3" s="225"/>
      <c r="E3" s="225"/>
      <c r="F3" s="100"/>
      <c r="G3" s="230"/>
      <c r="H3" s="230"/>
      <c r="I3" s="230"/>
      <c r="J3" s="230"/>
      <c r="K3" s="230"/>
      <c r="L3" s="230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6"/>
    </row>
    <row r="4" spans="1:51" ht="8.1" customHeight="1" thickTop="1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37"/>
      <c r="AQ4" s="37"/>
      <c r="AR4" s="37"/>
      <c r="AS4" s="37"/>
      <c r="AT4" s="37"/>
      <c r="AU4" s="37"/>
      <c r="AV4" s="37"/>
      <c r="AW4" s="37"/>
      <c r="AX4" s="37"/>
      <c r="AY4" s="37"/>
    </row>
    <row r="5" spans="1:51" ht="21" customHeight="1">
      <c r="A5" s="227" t="s">
        <v>27</v>
      </c>
      <c r="B5" s="113"/>
      <c r="C5" s="218" t="s">
        <v>26</v>
      </c>
      <c r="D5" s="218"/>
      <c r="E5" s="218" t="s">
        <v>39</v>
      </c>
      <c r="F5" s="218" t="s">
        <v>43</v>
      </c>
      <c r="G5" s="218" t="s">
        <v>46</v>
      </c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115" t="s">
        <v>12</v>
      </c>
      <c r="AP5" s="218" t="s">
        <v>46</v>
      </c>
      <c r="AQ5" s="218"/>
      <c r="AR5" s="218"/>
      <c r="AS5" s="218"/>
      <c r="AT5" s="218"/>
      <c r="AU5" s="218"/>
      <c r="AV5" s="218"/>
      <c r="AW5" s="218"/>
      <c r="AX5" s="218"/>
      <c r="AY5" s="218"/>
    </row>
    <row r="6" spans="1:51" ht="21" customHeight="1">
      <c r="A6" s="227"/>
      <c r="B6" s="218" t="s">
        <v>32</v>
      </c>
      <c r="C6" s="218" t="s">
        <v>28</v>
      </c>
      <c r="D6" s="218" t="s">
        <v>16</v>
      </c>
      <c r="E6" s="218"/>
      <c r="F6" s="218"/>
      <c r="G6" s="218" t="s">
        <v>11</v>
      </c>
      <c r="H6" s="218"/>
      <c r="I6" s="218"/>
      <c r="J6" s="218"/>
      <c r="K6" s="218" t="s">
        <v>14</v>
      </c>
      <c r="L6" s="218"/>
      <c r="M6" s="218"/>
      <c r="N6" s="218"/>
      <c r="O6" s="218"/>
      <c r="P6" s="218"/>
      <c r="Q6" s="218" t="s">
        <v>113</v>
      </c>
      <c r="R6" s="218"/>
      <c r="S6" s="218"/>
      <c r="T6" s="218"/>
      <c r="U6" s="218"/>
      <c r="V6" s="218"/>
      <c r="W6" s="218" t="s">
        <v>13</v>
      </c>
      <c r="X6" s="218"/>
      <c r="Y6" s="218"/>
      <c r="Z6" s="218"/>
      <c r="AA6" s="218"/>
      <c r="AB6" s="218"/>
      <c r="AC6" s="218" t="s">
        <v>67</v>
      </c>
      <c r="AD6" s="218"/>
      <c r="AE6" s="218"/>
      <c r="AF6" s="218"/>
      <c r="AG6" s="218"/>
      <c r="AH6" s="218"/>
      <c r="AI6" s="218" t="s">
        <v>73</v>
      </c>
      <c r="AJ6" s="218"/>
      <c r="AK6" s="218"/>
      <c r="AL6" s="218"/>
      <c r="AM6" s="218"/>
      <c r="AN6" s="218"/>
      <c r="AO6" s="115"/>
      <c r="AP6" s="218" t="s">
        <v>57</v>
      </c>
      <c r="AQ6" s="218"/>
      <c r="AR6" s="218"/>
      <c r="AS6" s="218"/>
      <c r="AT6" s="218" t="s">
        <v>59</v>
      </c>
      <c r="AU6" s="218"/>
      <c r="AV6" s="218"/>
      <c r="AW6" s="218"/>
      <c r="AX6" s="218"/>
      <c r="AY6" s="218"/>
    </row>
    <row r="7" spans="1:51" ht="24.75" customHeight="1">
      <c r="A7" s="227"/>
      <c r="B7" s="218"/>
      <c r="C7" s="218"/>
      <c r="D7" s="218"/>
      <c r="E7" s="218"/>
      <c r="F7" s="218"/>
      <c r="G7" s="114" t="s">
        <v>31</v>
      </c>
      <c r="H7" s="114" t="s">
        <v>20</v>
      </c>
      <c r="I7" s="114" t="s">
        <v>26</v>
      </c>
      <c r="J7" s="114" t="s">
        <v>39</v>
      </c>
      <c r="K7" s="114" t="s">
        <v>31</v>
      </c>
      <c r="L7" s="114" t="s">
        <v>20</v>
      </c>
      <c r="M7" s="218" t="s">
        <v>26</v>
      </c>
      <c r="N7" s="218"/>
      <c r="O7" s="218"/>
      <c r="P7" s="114" t="s">
        <v>36</v>
      </c>
      <c r="Q7" s="114" t="s">
        <v>31</v>
      </c>
      <c r="R7" s="114" t="s">
        <v>20</v>
      </c>
      <c r="S7" s="218" t="s">
        <v>26</v>
      </c>
      <c r="T7" s="218"/>
      <c r="U7" s="218"/>
      <c r="V7" s="114" t="s">
        <v>36</v>
      </c>
      <c r="W7" s="114" t="s">
        <v>31</v>
      </c>
      <c r="X7" s="114" t="s">
        <v>20</v>
      </c>
      <c r="Y7" s="218" t="s">
        <v>26</v>
      </c>
      <c r="Z7" s="218"/>
      <c r="AA7" s="218"/>
      <c r="AB7" s="114" t="s">
        <v>36</v>
      </c>
      <c r="AC7" s="114" t="s">
        <v>31</v>
      </c>
      <c r="AD7" s="114" t="s">
        <v>20</v>
      </c>
      <c r="AE7" s="218" t="s">
        <v>26</v>
      </c>
      <c r="AF7" s="218"/>
      <c r="AG7" s="218"/>
      <c r="AH7" s="114" t="s">
        <v>36</v>
      </c>
      <c r="AI7" s="114" t="s">
        <v>31</v>
      </c>
      <c r="AJ7" s="114" t="s">
        <v>20</v>
      </c>
      <c r="AK7" s="218" t="s">
        <v>26</v>
      </c>
      <c r="AL7" s="218"/>
      <c r="AM7" s="218"/>
      <c r="AN7" s="114" t="s">
        <v>36</v>
      </c>
      <c r="AO7" s="115"/>
      <c r="AP7" s="114" t="s">
        <v>31</v>
      </c>
      <c r="AQ7" s="114" t="s">
        <v>20</v>
      </c>
      <c r="AR7" s="114" t="s">
        <v>26</v>
      </c>
      <c r="AS7" s="114" t="s">
        <v>39</v>
      </c>
      <c r="AT7" s="114" t="s">
        <v>31</v>
      </c>
      <c r="AU7" s="114" t="s">
        <v>20</v>
      </c>
      <c r="AV7" s="218" t="s">
        <v>26</v>
      </c>
      <c r="AW7" s="218"/>
      <c r="AX7" s="218"/>
      <c r="AY7" s="114" t="s">
        <v>36</v>
      </c>
    </row>
    <row r="8" spans="1:51" ht="16.5" customHeight="1">
      <c r="A8" s="116" t="str">
        <f>'1. 소켓인수검사'!A9</f>
        <v>01</v>
      </c>
      <c r="B8" s="55" t="s">
        <v>1</v>
      </c>
      <c r="C8" s="45">
        <f>'1. 소켓인수검사'!C9</f>
        <v>550</v>
      </c>
      <c r="D8" s="45">
        <f>'1. 소켓인수검사'!D9</f>
        <v>400</v>
      </c>
      <c r="E8" s="42">
        <v>1</v>
      </c>
      <c r="F8" s="43"/>
      <c r="G8" s="215" t="s">
        <v>79</v>
      </c>
      <c r="H8" s="237">
        <v>60</v>
      </c>
      <c r="I8" s="42">
        <f>(C8)-5</f>
        <v>545</v>
      </c>
      <c r="J8" s="42">
        <v>2</v>
      </c>
      <c r="K8" s="215" t="s">
        <v>79</v>
      </c>
      <c r="L8" s="238">
        <v>274</v>
      </c>
      <c r="M8" s="212">
        <f>C8-5</f>
        <v>545</v>
      </c>
      <c r="N8" s="212" t="e">
        <f>(#REF!-20)/2-10</f>
        <v>#REF!</v>
      </c>
      <c r="O8" s="212" t="e">
        <f>(#REF!-20)/2-10</f>
        <v>#REF!</v>
      </c>
      <c r="P8" s="42">
        <v>2</v>
      </c>
      <c r="Q8" s="214" t="s">
        <v>69</v>
      </c>
      <c r="R8" s="219">
        <v>60</v>
      </c>
      <c r="S8" s="212">
        <f>D8-35</f>
        <v>365</v>
      </c>
      <c r="T8" s="212" t="e">
        <v>#REF!</v>
      </c>
      <c r="U8" s="212">
        <v>-19.5</v>
      </c>
      <c r="V8" s="42">
        <v>4</v>
      </c>
      <c r="W8" s="214" t="s">
        <v>69</v>
      </c>
      <c r="X8" s="219">
        <v>50</v>
      </c>
      <c r="Y8" s="212">
        <f>D8</f>
        <v>400</v>
      </c>
      <c r="Z8" s="212">
        <f>(F8-20)/2-10</f>
        <v>-20</v>
      </c>
      <c r="AA8" s="212" t="e">
        <f>(G8-20)/2-10</f>
        <v>#VALUE!</v>
      </c>
      <c r="AB8" s="42">
        <v>3</v>
      </c>
      <c r="AC8" s="215" t="s">
        <v>79</v>
      </c>
      <c r="AD8" s="216"/>
      <c r="AE8" s="216"/>
      <c r="AF8" s="216"/>
      <c r="AG8" s="216"/>
      <c r="AH8" s="216"/>
      <c r="AI8" s="215" t="s">
        <v>79</v>
      </c>
      <c r="AJ8" s="217"/>
      <c r="AK8" s="217"/>
      <c r="AL8" s="217"/>
      <c r="AM8" s="217"/>
      <c r="AN8" s="217"/>
      <c r="AO8" s="42"/>
      <c r="AP8" s="215" t="s">
        <v>68</v>
      </c>
      <c r="AQ8" s="117">
        <v>260</v>
      </c>
      <c r="AR8" s="118">
        <v>1000</v>
      </c>
      <c r="AS8" s="112">
        <f>'2.1 재단(1.69,064)'!T8/2</f>
        <v>3</v>
      </c>
      <c r="AT8" s="215" t="s">
        <v>68</v>
      </c>
      <c r="AU8" s="119">
        <v>310</v>
      </c>
      <c r="AV8" s="239">
        <v>1000</v>
      </c>
      <c r="AW8" s="239"/>
      <c r="AX8" s="239"/>
      <c r="AY8" s="112">
        <f>'2.1 재단(1.69,064)'!Z8</f>
        <v>3</v>
      </c>
    </row>
    <row r="9" spans="1:51" ht="16.5" customHeight="1">
      <c r="A9" s="116" t="str">
        <f>'1. 소켓인수검사'!A10</f>
        <v>02</v>
      </c>
      <c r="B9" s="55" t="s">
        <v>1</v>
      </c>
      <c r="C9" s="45">
        <f>'1. 소켓인수검사'!C10</f>
        <v>550</v>
      </c>
      <c r="D9" s="45">
        <f>'1. 소켓인수검사'!D10</f>
        <v>400</v>
      </c>
      <c r="E9" s="42">
        <v>1</v>
      </c>
      <c r="F9" s="43"/>
      <c r="G9" s="215"/>
      <c r="H9" s="237"/>
      <c r="I9" s="42">
        <f t="shared" ref="I9:I19" si="0">(C9)-5</f>
        <v>545</v>
      </c>
      <c r="J9" s="42">
        <v>2</v>
      </c>
      <c r="K9" s="215"/>
      <c r="L9" s="238"/>
      <c r="M9" s="212">
        <f t="shared" ref="M9:M19" si="1">C9-5</f>
        <v>545</v>
      </c>
      <c r="N9" s="212" t="e">
        <f>(#REF!-20)/2-10</f>
        <v>#REF!</v>
      </c>
      <c r="O9" s="212" t="e">
        <f>(#REF!-20)/2-10</f>
        <v>#REF!</v>
      </c>
      <c r="P9" s="42">
        <v>2</v>
      </c>
      <c r="Q9" s="214"/>
      <c r="R9" s="219"/>
      <c r="S9" s="212">
        <f t="shared" ref="S9:S19" si="2">D9-35</f>
        <v>365</v>
      </c>
      <c r="T9" s="212" t="e">
        <v>#REF!</v>
      </c>
      <c r="U9" s="212">
        <v>-19.5</v>
      </c>
      <c r="V9" s="42">
        <v>4</v>
      </c>
      <c r="W9" s="214"/>
      <c r="X9" s="219"/>
      <c r="Y9" s="212">
        <f t="shared" ref="Y9:Y19" si="3">D9</f>
        <v>400</v>
      </c>
      <c r="Z9" s="212">
        <f t="shared" ref="Z9:Z19" si="4">(F9-20)/2-10</f>
        <v>-20</v>
      </c>
      <c r="AA9" s="212">
        <f t="shared" ref="AA9:AA19" si="5">(G9-20)/2-10</f>
        <v>-20</v>
      </c>
      <c r="AB9" s="42">
        <v>3</v>
      </c>
      <c r="AC9" s="215"/>
      <c r="AD9" s="216"/>
      <c r="AE9" s="216"/>
      <c r="AF9" s="216"/>
      <c r="AG9" s="216"/>
      <c r="AH9" s="216"/>
      <c r="AI9" s="215"/>
      <c r="AJ9" s="217"/>
      <c r="AK9" s="217"/>
      <c r="AL9" s="217"/>
      <c r="AM9" s="217"/>
      <c r="AN9" s="217"/>
      <c r="AO9" s="42"/>
      <c r="AP9" s="215"/>
      <c r="AQ9" s="117">
        <v>260</v>
      </c>
      <c r="AR9" s="118">
        <v>1000</v>
      </c>
      <c r="AS9" s="112">
        <f>'2.1 재단(1.69,064)'!T9/2</f>
        <v>3</v>
      </c>
      <c r="AT9" s="215"/>
      <c r="AU9" s="119">
        <v>310</v>
      </c>
      <c r="AV9" s="239">
        <v>1000</v>
      </c>
      <c r="AW9" s="239"/>
      <c r="AX9" s="239"/>
      <c r="AY9" s="112">
        <f>'2.1 재단(1.69,064)'!Z9</f>
        <v>3</v>
      </c>
    </row>
    <row r="10" spans="1:51" ht="16.5" customHeight="1">
      <c r="A10" s="116" t="str">
        <f>'1. 소켓인수검사'!A11</f>
        <v>03</v>
      </c>
      <c r="B10" s="55" t="s">
        <v>1</v>
      </c>
      <c r="C10" s="45">
        <f>'1. 소켓인수검사'!C11</f>
        <v>550</v>
      </c>
      <c r="D10" s="45">
        <f>'1. 소켓인수검사'!D11</f>
        <v>400</v>
      </c>
      <c r="E10" s="42">
        <v>1</v>
      </c>
      <c r="F10" s="43"/>
      <c r="G10" s="215"/>
      <c r="H10" s="237"/>
      <c r="I10" s="42">
        <f t="shared" si="0"/>
        <v>545</v>
      </c>
      <c r="J10" s="42">
        <v>2</v>
      </c>
      <c r="K10" s="215"/>
      <c r="L10" s="238"/>
      <c r="M10" s="212">
        <f t="shared" si="1"/>
        <v>545</v>
      </c>
      <c r="N10" s="212" t="e">
        <f>(#REF!-20)/2-10</f>
        <v>#REF!</v>
      </c>
      <c r="O10" s="212" t="e">
        <f>(#REF!-20)/2-10</f>
        <v>#REF!</v>
      </c>
      <c r="P10" s="42">
        <v>2</v>
      </c>
      <c r="Q10" s="214"/>
      <c r="R10" s="219"/>
      <c r="S10" s="212">
        <f t="shared" si="2"/>
        <v>365</v>
      </c>
      <c r="T10" s="212" t="e">
        <v>#REF!</v>
      </c>
      <c r="U10" s="212">
        <v>-19.5</v>
      </c>
      <c r="V10" s="42">
        <v>4</v>
      </c>
      <c r="W10" s="214"/>
      <c r="X10" s="219"/>
      <c r="Y10" s="212">
        <f t="shared" si="3"/>
        <v>400</v>
      </c>
      <c r="Z10" s="212">
        <f t="shared" si="4"/>
        <v>-20</v>
      </c>
      <c r="AA10" s="212">
        <f t="shared" si="5"/>
        <v>-20</v>
      </c>
      <c r="AB10" s="42">
        <v>3</v>
      </c>
      <c r="AC10" s="215"/>
      <c r="AD10" s="216"/>
      <c r="AE10" s="216"/>
      <c r="AF10" s="216"/>
      <c r="AG10" s="216"/>
      <c r="AH10" s="216"/>
      <c r="AI10" s="215"/>
      <c r="AJ10" s="217"/>
      <c r="AK10" s="217"/>
      <c r="AL10" s="217"/>
      <c r="AM10" s="217"/>
      <c r="AN10" s="217"/>
      <c r="AO10" s="42"/>
      <c r="AP10" s="215"/>
      <c r="AQ10" s="117">
        <v>260</v>
      </c>
      <c r="AR10" s="118">
        <v>1000</v>
      </c>
      <c r="AS10" s="112">
        <f>'2.1 재단(1.69,064)'!T10/2</f>
        <v>3</v>
      </c>
      <c r="AT10" s="215"/>
      <c r="AU10" s="119">
        <v>310</v>
      </c>
      <c r="AV10" s="239">
        <v>1000</v>
      </c>
      <c r="AW10" s="239"/>
      <c r="AX10" s="239"/>
      <c r="AY10" s="112">
        <f>'2.1 재단(1.69,064)'!Z10</f>
        <v>3</v>
      </c>
    </row>
    <row r="11" spans="1:51" ht="16.5" customHeight="1">
      <c r="A11" s="116" t="str">
        <f>'1. 소켓인수검사'!A12</f>
        <v>04</v>
      </c>
      <c r="B11" s="55" t="s">
        <v>1</v>
      </c>
      <c r="C11" s="45">
        <f>'1. 소켓인수검사'!C12</f>
        <v>550</v>
      </c>
      <c r="D11" s="45">
        <f>'1. 소켓인수검사'!D12</f>
        <v>400</v>
      </c>
      <c r="E11" s="42">
        <v>1</v>
      </c>
      <c r="F11" s="43"/>
      <c r="G11" s="215"/>
      <c r="H11" s="237"/>
      <c r="I11" s="42">
        <f t="shared" si="0"/>
        <v>545</v>
      </c>
      <c r="J11" s="42">
        <v>2</v>
      </c>
      <c r="K11" s="215"/>
      <c r="L11" s="238"/>
      <c r="M11" s="212">
        <f t="shared" si="1"/>
        <v>545</v>
      </c>
      <c r="N11" s="212" t="e">
        <f>(#REF!-20)/2-10</f>
        <v>#REF!</v>
      </c>
      <c r="O11" s="212" t="e">
        <f>(#REF!-20)/2-10</f>
        <v>#REF!</v>
      </c>
      <c r="P11" s="42">
        <v>2</v>
      </c>
      <c r="Q11" s="214"/>
      <c r="R11" s="219"/>
      <c r="S11" s="212">
        <f t="shared" si="2"/>
        <v>365</v>
      </c>
      <c r="T11" s="212" t="e">
        <v>#REF!</v>
      </c>
      <c r="U11" s="212">
        <v>-19.5</v>
      </c>
      <c r="V11" s="42">
        <v>4</v>
      </c>
      <c r="W11" s="214"/>
      <c r="X11" s="219"/>
      <c r="Y11" s="212">
        <f t="shared" si="3"/>
        <v>400</v>
      </c>
      <c r="Z11" s="212">
        <f t="shared" si="4"/>
        <v>-20</v>
      </c>
      <c r="AA11" s="212">
        <f t="shared" si="5"/>
        <v>-20</v>
      </c>
      <c r="AB11" s="42">
        <v>3</v>
      </c>
      <c r="AC11" s="215"/>
      <c r="AD11" s="216"/>
      <c r="AE11" s="216"/>
      <c r="AF11" s="216"/>
      <c r="AG11" s="216"/>
      <c r="AH11" s="216"/>
      <c r="AI11" s="215"/>
      <c r="AJ11" s="217"/>
      <c r="AK11" s="217"/>
      <c r="AL11" s="217"/>
      <c r="AM11" s="217"/>
      <c r="AN11" s="217"/>
      <c r="AO11" s="42"/>
      <c r="AP11" s="215"/>
      <c r="AQ11" s="117">
        <v>260</v>
      </c>
      <c r="AR11" s="118">
        <v>1000</v>
      </c>
      <c r="AS11" s="112">
        <f>'2.1 재단(1.69,064)'!T11/2</f>
        <v>3</v>
      </c>
      <c r="AT11" s="215"/>
      <c r="AU11" s="119">
        <v>310</v>
      </c>
      <c r="AV11" s="239">
        <v>1000</v>
      </c>
      <c r="AW11" s="239"/>
      <c r="AX11" s="239"/>
      <c r="AY11" s="112">
        <f>'2.1 재단(1.69,064)'!Z11</f>
        <v>3</v>
      </c>
    </row>
    <row r="12" spans="1:51" ht="16.5" customHeight="1">
      <c r="A12" s="116" t="str">
        <f>'1. 소켓인수검사'!A13</f>
        <v>05</v>
      </c>
      <c r="B12" s="55" t="s">
        <v>1</v>
      </c>
      <c r="C12" s="47">
        <f>'1. 소켓인수검사'!C13</f>
        <v>550</v>
      </c>
      <c r="D12" s="47">
        <f>'1. 소켓인수검사'!D13</f>
        <v>400</v>
      </c>
      <c r="E12" s="42">
        <v>1</v>
      </c>
      <c r="F12" s="43"/>
      <c r="G12" s="215"/>
      <c r="H12" s="237"/>
      <c r="I12" s="42">
        <f t="shared" si="0"/>
        <v>545</v>
      </c>
      <c r="J12" s="42">
        <v>2</v>
      </c>
      <c r="K12" s="215"/>
      <c r="L12" s="238"/>
      <c r="M12" s="212">
        <f t="shared" si="1"/>
        <v>545</v>
      </c>
      <c r="N12" s="212" t="e">
        <f>(#REF!-20)/2-10</f>
        <v>#REF!</v>
      </c>
      <c r="O12" s="212" t="e">
        <f>(#REF!-20)/2-10</f>
        <v>#REF!</v>
      </c>
      <c r="P12" s="42">
        <v>2</v>
      </c>
      <c r="Q12" s="214"/>
      <c r="R12" s="219"/>
      <c r="S12" s="212">
        <f t="shared" si="2"/>
        <v>365</v>
      </c>
      <c r="T12" s="212" t="e">
        <v>#REF!</v>
      </c>
      <c r="U12" s="212">
        <v>-19.5</v>
      </c>
      <c r="V12" s="42">
        <v>4</v>
      </c>
      <c r="W12" s="214"/>
      <c r="X12" s="219"/>
      <c r="Y12" s="212">
        <f t="shared" si="3"/>
        <v>400</v>
      </c>
      <c r="Z12" s="212">
        <f t="shared" si="4"/>
        <v>-20</v>
      </c>
      <c r="AA12" s="212">
        <f t="shared" si="5"/>
        <v>-20</v>
      </c>
      <c r="AB12" s="42">
        <v>3</v>
      </c>
      <c r="AC12" s="215"/>
      <c r="AD12" s="216"/>
      <c r="AE12" s="216"/>
      <c r="AF12" s="216"/>
      <c r="AG12" s="216"/>
      <c r="AH12" s="216"/>
      <c r="AI12" s="215"/>
      <c r="AJ12" s="217"/>
      <c r="AK12" s="217"/>
      <c r="AL12" s="217"/>
      <c r="AM12" s="217"/>
      <c r="AN12" s="217"/>
      <c r="AO12" s="42"/>
      <c r="AP12" s="215"/>
      <c r="AQ12" s="117">
        <v>260</v>
      </c>
      <c r="AR12" s="118">
        <v>1000</v>
      </c>
      <c r="AS12" s="112">
        <f>'2.1 재단(1.69,064)'!T12/2</f>
        <v>3</v>
      </c>
      <c r="AT12" s="215"/>
      <c r="AU12" s="119">
        <v>310</v>
      </c>
      <c r="AV12" s="239">
        <v>1000</v>
      </c>
      <c r="AW12" s="239"/>
      <c r="AX12" s="239"/>
      <c r="AY12" s="112">
        <f>'2.1 재단(1.69,064)'!Z12</f>
        <v>3</v>
      </c>
    </row>
    <row r="13" spans="1:51" ht="16.5" customHeight="1">
      <c r="A13" s="116" t="str">
        <f>'1. 소켓인수검사'!A14</f>
        <v>06</v>
      </c>
      <c r="B13" s="55" t="s">
        <v>1</v>
      </c>
      <c r="C13" s="47">
        <f>'1. 소켓인수검사'!C14</f>
        <v>550</v>
      </c>
      <c r="D13" s="47">
        <f>'1. 소켓인수검사'!D14</f>
        <v>400</v>
      </c>
      <c r="E13" s="42">
        <v>1</v>
      </c>
      <c r="F13" s="43"/>
      <c r="G13" s="215"/>
      <c r="H13" s="237"/>
      <c r="I13" s="42">
        <f t="shared" si="0"/>
        <v>545</v>
      </c>
      <c r="J13" s="42">
        <v>2</v>
      </c>
      <c r="K13" s="215"/>
      <c r="L13" s="238"/>
      <c r="M13" s="212">
        <f t="shared" si="1"/>
        <v>545</v>
      </c>
      <c r="N13" s="212" t="e">
        <f>(#REF!-20)/2-10</f>
        <v>#REF!</v>
      </c>
      <c r="O13" s="212" t="e">
        <f>(#REF!-20)/2-10</f>
        <v>#REF!</v>
      </c>
      <c r="P13" s="42">
        <v>2</v>
      </c>
      <c r="Q13" s="214"/>
      <c r="R13" s="219"/>
      <c r="S13" s="212">
        <f t="shared" si="2"/>
        <v>365</v>
      </c>
      <c r="T13" s="212" t="e">
        <v>#REF!</v>
      </c>
      <c r="U13" s="212">
        <v>-19.5</v>
      </c>
      <c r="V13" s="42">
        <v>4</v>
      </c>
      <c r="W13" s="214"/>
      <c r="X13" s="219"/>
      <c r="Y13" s="212">
        <f t="shared" si="3"/>
        <v>400</v>
      </c>
      <c r="Z13" s="212">
        <f t="shared" si="4"/>
        <v>-20</v>
      </c>
      <c r="AA13" s="212">
        <f t="shared" si="5"/>
        <v>-20</v>
      </c>
      <c r="AB13" s="42">
        <v>3</v>
      </c>
      <c r="AC13" s="215"/>
      <c r="AD13" s="216"/>
      <c r="AE13" s="216"/>
      <c r="AF13" s="216"/>
      <c r="AG13" s="216"/>
      <c r="AH13" s="216"/>
      <c r="AI13" s="215"/>
      <c r="AJ13" s="217"/>
      <c r="AK13" s="217"/>
      <c r="AL13" s="217"/>
      <c r="AM13" s="217"/>
      <c r="AN13" s="217"/>
      <c r="AO13" s="42"/>
      <c r="AP13" s="215"/>
      <c r="AQ13" s="117">
        <v>260</v>
      </c>
      <c r="AR13" s="118">
        <v>1000</v>
      </c>
      <c r="AS13" s="112">
        <f>'2.1 재단(1.69,064)'!T13/2</f>
        <v>3</v>
      </c>
      <c r="AT13" s="215"/>
      <c r="AU13" s="119">
        <v>310</v>
      </c>
      <c r="AV13" s="239">
        <v>1000</v>
      </c>
      <c r="AW13" s="239"/>
      <c r="AX13" s="239"/>
      <c r="AY13" s="112">
        <f>'2.1 재단(1.69,064)'!Z13</f>
        <v>3</v>
      </c>
    </row>
    <row r="14" spans="1:51" ht="16.5" customHeight="1">
      <c r="A14" s="116" t="str">
        <f>'1. 소켓인수검사'!A15</f>
        <v>07</v>
      </c>
      <c r="B14" s="55" t="s">
        <v>1</v>
      </c>
      <c r="C14" s="47">
        <f>'1. 소켓인수검사'!C15</f>
        <v>550</v>
      </c>
      <c r="D14" s="47">
        <f>'1. 소켓인수검사'!D15</f>
        <v>400</v>
      </c>
      <c r="E14" s="42">
        <v>1</v>
      </c>
      <c r="F14" s="43"/>
      <c r="G14" s="215"/>
      <c r="H14" s="237"/>
      <c r="I14" s="42">
        <f t="shared" si="0"/>
        <v>545</v>
      </c>
      <c r="J14" s="42">
        <v>2</v>
      </c>
      <c r="K14" s="215"/>
      <c r="L14" s="238"/>
      <c r="M14" s="212">
        <f t="shared" si="1"/>
        <v>545</v>
      </c>
      <c r="N14" s="212" t="e">
        <f>(#REF!-20)/2-10</f>
        <v>#REF!</v>
      </c>
      <c r="O14" s="212" t="e">
        <f>(#REF!-20)/2-10</f>
        <v>#REF!</v>
      </c>
      <c r="P14" s="42">
        <v>2</v>
      </c>
      <c r="Q14" s="214"/>
      <c r="R14" s="219"/>
      <c r="S14" s="212">
        <f t="shared" si="2"/>
        <v>365</v>
      </c>
      <c r="T14" s="212" t="e">
        <v>#REF!</v>
      </c>
      <c r="U14" s="212">
        <v>-19.5</v>
      </c>
      <c r="V14" s="42">
        <v>4</v>
      </c>
      <c r="W14" s="214"/>
      <c r="X14" s="219"/>
      <c r="Y14" s="212">
        <f t="shared" si="3"/>
        <v>400</v>
      </c>
      <c r="Z14" s="212">
        <f t="shared" si="4"/>
        <v>-20</v>
      </c>
      <c r="AA14" s="212">
        <f t="shared" si="5"/>
        <v>-20</v>
      </c>
      <c r="AB14" s="42">
        <v>3</v>
      </c>
      <c r="AC14" s="215"/>
      <c r="AD14" s="216"/>
      <c r="AE14" s="216"/>
      <c r="AF14" s="216"/>
      <c r="AG14" s="216"/>
      <c r="AH14" s="216"/>
      <c r="AI14" s="215"/>
      <c r="AJ14" s="217"/>
      <c r="AK14" s="217"/>
      <c r="AL14" s="217"/>
      <c r="AM14" s="217"/>
      <c r="AN14" s="217"/>
      <c r="AO14" s="42"/>
      <c r="AP14" s="215"/>
      <c r="AQ14" s="117">
        <v>260</v>
      </c>
      <c r="AR14" s="118">
        <v>1000</v>
      </c>
      <c r="AS14" s="112">
        <f>'2.1 재단(1.69,064)'!T14/2</f>
        <v>3</v>
      </c>
      <c r="AT14" s="215"/>
      <c r="AU14" s="119">
        <v>310</v>
      </c>
      <c r="AV14" s="239">
        <v>1000</v>
      </c>
      <c r="AW14" s="239"/>
      <c r="AX14" s="239"/>
      <c r="AY14" s="112">
        <f>'2.1 재단(1.69,064)'!Z14</f>
        <v>3</v>
      </c>
    </row>
    <row r="15" spans="1:51" ht="16.5" customHeight="1">
      <c r="A15" s="116" t="str">
        <f>'1. 소켓인수검사'!A16</f>
        <v>08</v>
      </c>
      <c r="B15" s="55" t="s">
        <v>1</v>
      </c>
      <c r="C15" s="47">
        <f>'1. 소켓인수검사'!C16</f>
        <v>550</v>
      </c>
      <c r="D15" s="47">
        <f>'1. 소켓인수검사'!D16</f>
        <v>400</v>
      </c>
      <c r="E15" s="42">
        <v>1</v>
      </c>
      <c r="F15" s="43"/>
      <c r="G15" s="215"/>
      <c r="H15" s="237"/>
      <c r="I15" s="42">
        <f t="shared" si="0"/>
        <v>545</v>
      </c>
      <c r="J15" s="42">
        <v>2</v>
      </c>
      <c r="K15" s="215"/>
      <c r="L15" s="238"/>
      <c r="M15" s="212">
        <f t="shared" si="1"/>
        <v>545</v>
      </c>
      <c r="N15" s="212" t="e">
        <f>(#REF!-20)/2-10</f>
        <v>#REF!</v>
      </c>
      <c r="O15" s="212" t="e">
        <f>(#REF!-20)/2-10</f>
        <v>#REF!</v>
      </c>
      <c r="P15" s="42">
        <v>2</v>
      </c>
      <c r="Q15" s="214"/>
      <c r="R15" s="219"/>
      <c r="S15" s="212">
        <f t="shared" si="2"/>
        <v>365</v>
      </c>
      <c r="T15" s="212" t="e">
        <v>#REF!</v>
      </c>
      <c r="U15" s="212">
        <v>-19.5</v>
      </c>
      <c r="V15" s="42">
        <v>4</v>
      </c>
      <c r="W15" s="214"/>
      <c r="X15" s="219"/>
      <c r="Y15" s="212">
        <f t="shared" si="3"/>
        <v>400</v>
      </c>
      <c r="Z15" s="212">
        <f t="shared" si="4"/>
        <v>-20</v>
      </c>
      <c r="AA15" s="212">
        <f t="shared" si="5"/>
        <v>-20</v>
      </c>
      <c r="AB15" s="42">
        <v>3</v>
      </c>
      <c r="AC15" s="215"/>
      <c r="AD15" s="216"/>
      <c r="AE15" s="216"/>
      <c r="AF15" s="216"/>
      <c r="AG15" s="216"/>
      <c r="AH15" s="216"/>
      <c r="AI15" s="215"/>
      <c r="AJ15" s="217"/>
      <c r="AK15" s="217"/>
      <c r="AL15" s="217"/>
      <c r="AM15" s="217"/>
      <c r="AN15" s="217"/>
      <c r="AO15" s="42"/>
      <c r="AP15" s="215"/>
      <c r="AQ15" s="117">
        <v>260</v>
      </c>
      <c r="AR15" s="118">
        <v>1000</v>
      </c>
      <c r="AS15" s="112">
        <f>'2.1 재단(1.69,064)'!T15/2</f>
        <v>3</v>
      </c>
      <c r="AT15" s="215"/>
      <c r="AU15" s="119">
        <v>310</v>
      </c>
      <c r="AV15" s="239">
        <v>1000</v>
      </c>
      <c r="AW15" s="239"/>
      <c r="AX15" s="239"/>
      <c r="AY15" s="112">
        <f>'2.1 재단(1.69,064)'!Z15</f>
        <v>3</v>
      </c>
    </row>
    <row r="16" spans="1:51" ht="16.5" customHeight="1">
      <c r="A16" s="116" t="str">
        <f>'1. 소켓인수검사'!A17</f>
        <v>09</v>
      </c>
      <c r="B16" s="55" t="s">
        <v>1</v>
      </c>
      <c r="C16" s="47">
        <f>'1. 소켓인수검사'!C17</f>
        <v>550</v>
      </c>
      <c r="D16" s="47">
        <f>'1. 소켓인수검사'!D17</f>
        <v>400</v>
      </c>
      <c r="E16" s="42">
        <v>1</v>
      </c>
      <c r="F16" s="43"/>
      <c r="G16" s="215"/>
      <c r="H16" s="237"/>
      <c r="I16" s="42">
        <f t="shared" si="0"/>
        <v>545</v>
      </c>
      <c r="J16" s="42">
        <v>2</v>
      </c>
      <c r="K16" s="215"/>
      <c r="L16" s="238"/>
      <c r="M16" s="212">
        <f t="shared" si="1"/>
        <v>545</v>
      </c>
      <c r="N16" s="212" t="e">
        <f>(#REF!-20)/2-10</f>
        <v>#REF!</v>
      </c>
      <c r="O16" s="212" t="e">
        <f>(#REF!-20)/2-10</f>
        <v>#REF!</v>
      </c>
      <c r="P16" s="42">
        <v>2</v>
      </c>
      <c r="Q16" s="214"/>
      <c r="R16" s="219"/>
      <c r="S16" s="212">
        <f t="shared" si="2"/>
        <v>365</v>
      </c>
      <c r="T16" s="212" t="e">
        <v>#REF!</v>
      </c>
      <c r="U16" s="212">
        <v>-19.5</v>
      </c>
      <c r="V16" s="42">
        <v>4</v>
      </c>
      <c r="W16" s="214"/>
      <c r="X16" s="219"/>
      <c r="Y16" s="212">
        <f t="shared" si="3"/>
        <v>400</v>
      </c>
      <c r="Z16" s="212">
        <f t="shared" si="4"/>
        <v>-20</v>
      </c>
      <c r="AA16" s="212">
        <f t="shared" si="5"/>
        <v>-20</v>
      </c>
      <c r="AB16" s="42">
        <v>3</v>
      </c>
      <c r="AC16" s="215"/>
      <c r="AD16" s="216"/>
      <c r="AE16" s="216"/>
      <c r="AF16" s="216"/>
      <c r="AG16" s="216"/>
      <c r="AH16" s="216"/>
      <c r="AI16" s="215"/>
      <c r="AJ16" s="217"/>
      <c r="AK16" s="217"/>
      <c r="AL16" s="217"/>
      <c r="AM16" s="217"/>
      <c r="AN16" s="217"/>
      <c r="AO16" s="42"/>
      <c r="AP16" s="215"/>
      <c r="AQ16" s="117">
        <v>260</v>
      </c>
      <c r="AR16" s="118">
        <v>1000</v>
      </c>
      <c r="AS16" s="112">
        <f>'2.1 재단(1.69,064)'!T16/2</f>
        <v>3</v>
      </c>
      <c r="AT16" s="215"/>
      <c r="AU16" s="119">
        <v>310</v>
      </c>
      <c r="AV16" s="239">
        <v>1000</v>
      </c>
      <c r="AW16" s="239"/>
      <c r="AX16" s="239"/>
      <c r="AY16" s="112">
        <f>'2.1 재단(1.69,064)'!Z16</f>
        <v>3</v>
      </c>
    </row>
    <row r="17" spans="1:51" ht="16.5" customHeight="1">
      <c r="A17" s="116" t="str">
        <f>'1. 소켓인수검사'!A18</f>
        <v>10</v>
      </c>
      <c r="B17" s="55" t="s">
        <v>1</v>
      </c>
      <c r="C17" s="47">
        <f>'1. 소켓인수검사'!C18</f>
        <v>550</v>
      </c>
      <c r="D17" s="47">
        <f>'1. 소켓인수검사'!D18</f>
        <v>400</v>
      </c>
      <c r="E17" s="42">
        <v>1</v>
      </c>
      <c r="F17" s="43"/>
      <c r="G17" s="215"/>
      <c r="H17" s="237"/>
      <c r="I17" s="42">
        <f t="shared" si="0"/>
        <v>545</v>
      </c>
      <c r="J17" s="42">
        <v>2</v>
      </c>
      <c r="K17" s="215"/>
      <c r="L17" s="238"/>
      <c r="M17" s="212">
        <f t="shared" si="1"/>
        <v>545</v>
      </c>
      <c r="N17" s="212" t="e">
        <f>(#REF!-20)/2-10</f>
        <v>#REF!</v>
      </c>
      <c r="O17" s="212" t="e">
        <f>(#REF!-20)/2-10</f>
        <v>#REF!</v>
      </c>
      <c r="P17" s="42">
        <v>2</v>
      </c>
      <c r="Q17" s="214"/>
      <c r="R17" s="219"/>
      <c r="S17" s="212">
        <f t="shared" si="2"/>
        <v>365</v>
      </c>
      <c r="T17" s="212" t="e">
        <v>#REF!</v>
      </c>
      <c r="U17" s="212">
        <v>-19.5</v>
      </c>
      <c r="V17" s="42">
        <v>4</v>
      </c>
      <c r="W17" s="214"/>
      <c r="X17" s="219"/>
      <c r="Y17" s="212">
        <f t="shared" si="3"/>
        <v>400</v>
      </c>
      <c r="Z17" s="212">
        <f t="shared" si="4"/>
        <v>-20</v>
      </c>
      <c r="AA17" s="212">
        <f t="shared" si="5"/>
        <v>-20</v>
      </c>
      <c r="AB17" s="42">
        <v>3</v>
      </c>
      <c r="AC17" s="215"/>
      <c r="AD17" s="216"/>
      <c r="AE17" s="216"/>
      <c r="AF17" s="216"/>
      <c r="AG17" s="216"/>
      <c r="AH17" s="216"/>
      <c r="AI17" s="215"/>
      <c r="AJ17" s="217"/>
      <c r="AK17" s="217"/>
      <c r="AL17" s="217"/>
      <c r="AM17" s="217"/>
      <c r="AN17" s="217"/>
      <c r="AO17" s="42"/>
      <c r="AP17" s="215"/>
      <c r="AQ17" s="117">
        <v>260</v>
      </c>
      <c r="AR17" s="118">
        <v>1000</v>
      </c>
      <c r="AS17" s="112">
        <f>'2.1 재단(1.69,064)'!T17/2</f>
        <v>3</v>
      </c>
      <c r="AT17" s="215"/>
      <c r="AU17" s="119">
        <v>310</v>
      </c>
      <c r="AV17" s="239">
        <v>1000</v>
      </c>
      <c r="AW17" s="239"/>
      <c r="AX17" s="239"/>
      <c r="AY17" s="112">
        <f>'2.1 재단(1.69,064)'!Z17</f>
        <v>3</v>
      </c>
    </row>
    <row r="18" spans="1:51" ht="16.5" customHeight="1">
      <c r="A18" s="116" t="str">
        <f>'1. 소켓인수검사'!A19</f>
        <v>11</v>
      </c>
      <c r="B18" s="55" t="s">
        <v>1</v>
      </c>
      <c r="C18" s="47">
        <f>'1. 소켓인수검사'!C19</f>
        <v>550</v>
      </c>
      <c r="D18" s="47">
        <f>'1. 소켓인수검사'!D19</f>
        <v>400</v>
      </c>
      <c r="E18" s="42">
        <v>1</v>
      </c>
      <c r="F18" s="43"/>
      <c r="G18" s="215"/>
      <c r="H18" s="237"/>
      <c r="I18" s="42">
        <f t="shared" si="0"/>
        <v>545</v>
      </c>
      <c r="J18" s="42">
        <v>2</v>
      </c>
      <c r="K18" s="215"/>
      <c r="L18" s="238"/>
      <c r="M18" s="212">
        <f t="shared" si="1"/>
        <v>545</v>
      </c>
      <c r="N18" s="212" t="e">
        <f>(#REF!-20)/2-10</f>
        <v>#REF!</v>
      </c>
      <c r="O18" s="212" t="e">
        <f>(#REF!-20)/2-10</f>
        <v>#REF!</v>
      </c>
      <c r="P18" s="42">
        <v>2</v>
      </c>
      <c r="Q18" s="214"/>
      <c r="R18" s="219"/>
      <c r="S18" s="212">
        <f t="shared" si="2"/>
        <v>365</v>
      </c>
      <c r="T18" s="212" t="e">
        <v>#REF!</v>
      </c>
      <c r="U18" s="212">
        <v>-19.5</v>
      </c>
      <c r="V18" s="42">
        <v>4</v>
      </c>
      <c r="W18" s="214"/>
      <c r="X18" s="219"/>
      <c r="Y18" s="212">
        <f t="shared" si="3"/>
        <v>400</v>
      </c>
      <c r="Z18" s="212">
        <f t="shared" si="4"/>
        <v>-20</v>
      </c>
      <c r="AA18" s="212">
        <f t="shared" si="5"/>
        <v>-20</v>
      </c>
      <c r="AB18" s="42">
        <v>3</v>
      </c>
      <c r="AC18" s="215"/>
      <c r="AD18" s="216"/>
      <c r="AE18" s="216"/>
      <c r="AF18" s="216"/>
      <c r="AG18" s="216"/>
      <c r="AH18" s="216"/>
      <c r="AI18" s="215"/>
      <c r="AJ18" s="217"/>
      <c r="AK18" s="217"/>
      <c r="AL18" s="217"/>
      <c r="AM18" s="217"/>
      <c r="AN18" s="217"/>
      <c r="AO18" s="42"/>
      <c r="AP18" s="215"/>
      <c r="AQ18" s="117">
        <v>260</v>
      </c>
      <c r="AR18" s="118">
        <v>1000</v>
      </c>
      <c r="AS18" s="112">
        <f>'2.1 재단(1.69,064)'!T18/2</f>
        <v>3</v>
      </c>
      <c r="AT18" s="215"/>
      <c r="AU18" s="119">
        <v>310</v>
      </c>
      <c r="AV18" s="239">
        <v>1000</v>
      </c>
      <c r="AW18" s="239"/>
      <c r="AX18" s="239"/>
      <c r="AY18" s="112">
        <f>'2.1 재단(1.69,064)'!Z18</f>
        <v>3</v>
      </c>
    </row>
    <row r="19" spans="1:51" ht="16.5" customHeight="1">
      <c r="A19" s="116" t="str">
        <f>'1. 소켓인수검사'!A20</f>
        <v>12</v>
      </c>
      <c r="B19" s="55" t="s">
        <v>1</v>
      </c>
      <c r="C19" s="47">
        <f>'1. 소켓인수검사'!C20</f>
        <v>550</v>
      </c>
      <c r="D19" s="47">
        <f>'1. 소켓인수검사'!D20</f>
        <v>400</v>
      </c>
      <c r="E19" s="42">
        <v>1</v>
      </c>
      <c r="F19" s="43"/>
      <c r="G19" s="215"/>
      <c r="H19" s="237"/>
      <c r="I19" s="42">
        <f t="shared" si="0"/>
        <v>545</v>
      </c>
      <c r="J19" s="42">
        <v>2</v>
      </c>
      <c r="K19" s="215"/>
      <c r="L19" s="238"/>
      <c r="M19" s="212">
        <f t="shared" si="1"/>
        <v>545</v>
      </c>
      <c r="N19" s="212" t="e">
        <f>(#REF!-20)/2-10</f>
        <v>#REF!</v>
      </c>
      <c r="O19" s="212" t="e">
        <f>(#REF!-20)/2-10</f>
        <v>#REF!</v>
      </c>
      <c r="P19" s="42">
        <v>2</v>
      </c>
      <c r="Q19" s="214"/>
      <c r="R19" s="219"/>
      <c r="S19" s="212">
        <f t="shared" si="2"/>
        <v>365</v>
      </c>
      <c r="T19" s="212" t="e">
        <v>#REF!</v>
      </c>
      <c r="U19" s="212">
        <v>-19.5</v>
      </c>
      <c r="V19" s="42">
        <v>4</v>
      </c>
      <c r="W19" s="214"/>
      <c r="X19" s="219"/>
      <c r="Y19" s="212">
        <f t="shared" si="3"/>
        <v>400</v>
      </c>
      <c r="Z19" s="212">
        <f t="shared" si="4"/>
        <v>-20</v>
      </c>
      <c r="AA19" s="212">
        <f t="shared" si="5"/>
        <v>-20</v>
      </c>
      <c r="AB19" s="42">
        <v>3</v>
      </c>
      <c r="AC19" s="215"/>
      <c r="AD19" s="216"/>
      <c r="AE19" s="216"/>
      <c r="AF19" s="216"/>
      <c r="AG19" s="216"/>
      <c r="AH19" s="216"/>
      <c r="AI19" s="215"/>
      <c r="AJ19" s="217"/>
      <c r="AK19" s="217"/>
      <c r="AL19" s="217"/>
      <c r="AM19" s="217"/>
      <c r="AN19" s="217"/>
      <c r="AO19" s="42"/>
      <c r="AP19" s="215"/>
      <c r="AQ19" s="117">
        <v>260</v>
      </c>
      <c r="AR19" s="118">
        <v>1000</v>
      </c>
      <c r="AS19" s="112">
        <f>'2.1 재단(1.69,064)'!T19/2</f>
        <v>3</v>
      </c>
      <c r="AT19" s="215"/>
      <c r="AU19" s="119">
        <v>310</v>
      </c>
      <c r="AV19" s="239">
        <v>1000</v>
      </c>
      <c r="AW19" s="239"/>
      <c r="AX19" s="239"/>
      <c r="AY19" s="112">
        <f>'2.1 재단(1.69,064)'!Z19</f>
        <v>3</v>
      </c>
    </row>
    <row r="20" spans="1:51">
      <c r="A20" s="213" t="s">
        <v>18</v>
      </c>
      <c r="B20" s="213"/>
      <c r="C20" s="213"/>
      <c r="D20" s="42"/>
      <c r="E20" s="120"/>
      <c r="F20" s="117"/>
      <c r="G20" s="42"/>
      <c r="H20" s="42"/>
      <c r="I20" s="42"/>
      <c r="J20" s="42">
        <f>SUM(J8:J19)</f>
        <v>24</v>
      </c>
      <c r="K20" s="42"/>
      <c r="L20" s="42"/>
      <c r="M20" s="213"/>
      <c r="N20" s="213"/>
      <c r="O20" s="213"/>
      <c r="P20" s="42">
        <f>SUM(P8:P19)</f>
        <v>24</v>
      </c>
      <c r="Q20" s="42"/>
      <c r="R20" s="42"/>
      <c r="S20" s="213"/>
      <c r="T20" s="213"/>
      <c r="U20" s="213"/>
      <c r="V20" s="42">
        <f>SUM(V8:V19)</f>
        <v>48</v>
      </c>
      <c r="W20" s="42"/>
      <c r="X20" s="42"/>
      <c r="Y20" s="213"/>
      <c r="Z20" s="213"/>
      <c r="AA20" s="213"/>
      <c r="AB20" s="42">
        <f>SUM(AB8:AB19)</f>
        <v>36</v>
      </c>
      <c r="AC20" s="42"/>
      <c r="AD20" s="42"/>
      <c r="AE20" s="213"/>
      <c r="AF20" s="213"/>
      <c r="AG20" s="213"/>
      <c r="AH20" s="42">
        <f>SUM(AH8:AH19)</f>
        <v>0</v>
      </c>
      <c r="AI20" s="42"/>
      <c r="AJ20" s="42"/>
      <c r="AK20" s="213"/>
      <c r="AL20" s="213"/>
      <c r="AM20" s="213"/>
      <c r="AN20" s="42">
        <f>SUM(AN8:AN19)</f>
        <v>0</v>
      </c>
      <c r="AO20" s="42"/>
      <c r="AP20" s="215"/>
      <c r="AQ20" s="42"/>
      <c r="AR20" s="45"/>
      <c r="AS20" s="42">
        <f>SUM(AS8:AS19)</f>
        <v>36</v>
      </c>
      <c r="AT20" s="215"/>
      <c r="AU20" s="42"/>
      <c r="AV20" s="211"/>
      <c r="AW20" s="211"/>
      <c r="AX20" s="211"/>
      <c r="AY20" s="42">
        <f>SUM(AY8:AY19)</f>
        <v>36</v>
      </c>
    </row>
  </sheetData>
  <mergeCells count="96">
    <mergeCell ref="AV18:AX18"/>
    <mergeCell ref="AV19:AX19"/>
    <mergeCell ref="AV9:AX9"/>
    <mergeCell ref="AV10:AX10"/>
    <mergeCell ref="AV11:AX11"/>
    <mergeCell ref="AV12:AX12"/>
    <mergeCell ref="AV13:AX13"/>
    <mergeCell ref="AV14:AX14"/>
    <mergeCell ref="AV15:AX15"/>
    <mergeCell ref="AV16:AX16"/>
    <mergeCell ref="AV17:AX17"/>
    <mergeCell ref="AV20:AX20"/>
    <mergeCell ref="A20:C20"/>
    <mergeCell ref="M20:O20"/>
    <mergeCell ref="Y20:AA20"/>
    <mergeCell ref="AE20:AG20"/>
    <mergeCell ref="AK20:AM20"/>
    <mergeCell ref="AP8:AP20"/>
    <mergeCell ref="AT8:AT20"/>
    <mergeCell ref="AV8:AX8"/>
    <mergeCell ref="Y14:AA14"/>
    <mergeCell ref="M15:O15"/>
    <mergeCell ref="Y15:AA15"/>
    <mergeCell ref="M16:O16"/>
    <mergeCell ref="Y16:AA16"/>
    <mergeCell ref="M17:O17"/>
    <mergeCell ref="Y17:AA17"/>
    <mergeCell ref="Y18:AA18"/>
    <mergeCell ref="M19:O19"/>
    <mergeCell ref="Y19:AA19"/>
    <mergeCell ref="M8:O8"/>
    <mergeCell ref="Y8:AA8"/>
    <mergeCell ref="M9:O9"/>
    <mergeCell ref="Y9:AA9"/>
    <mergeCell ref="M10:O10"/>
    <mergeCell ref="Y10:AA10"/>
    <mergeCell ref="M11:O11"/>
    <mergeCell ref="Y11:AA11"/>
    <mergeCell ref="M12:O12"/>
    <mergeCell ref="Y12:AA12"/>
    <mergeCell ref="M13:O13"/>
    <mergeCell ref="Y13:AA13"/>
    <mergeCell ref="M14:O14"/>
    <mergeCell ref="M18:O18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G8:G19"/>
    <mergeCell ref="H8:H19"/>
    <mergeCell ref="L8:L19"/>
    <mergeCell ref="X8:X19"/>
    <mergeCell ref="AC8:AC19"/>
    <mergeCell ref="AI8:AI19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W8:W19"/>
    <mergeCell ref="K8:K19"/>
    <mergeCell ref="AD8:AH19"/>
    <mergeCell ref="AJ8:AN19"/>
    <mergeCell ref="Q6:V6"/>
    <mergeCell ref="S7:U7"/>
    <mergeCell ref="Q8:Q19"/>
    <mergeCell ref="R8:R19"/>
    <mergeCell ref="S8:U8"/>
    <mergeCell ref="S9:U9"/>
    <mergeCell ref="S10:U1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30"/>
  <sheetViews>
    <sheetView zoomScale="85" zoomScaleNormal="75" zoomScaleSheetLayoutView="85" workbookViewId="0">
      <selection activeCell="I36" sqref="I36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80"/>
      <c r="B1" s="180"/>
      <c r="C1" s="180"/>
      <c r="D1" s="180"/>
      <c r="E1" s="240" t="s">
        <v>83</v>
      </c>
      <c r="F1" s="241"/>
      <c r="G1" s="241"/>
      <c r="H1" s="241"/>
      <c r="I1" s="241"/>
      <c r="J1" s="241"/>
      <c r="K1" s="241"/>
      <c r="L1" s="241"/>
      <c r="M1" s="241"/>
      <c r="N1" s="241"/>
      <c r="O1" s="242"/>
    </row>
    <row r="2" spans="1:15" ht="16.5" customHeight="1">
      <c r="A2" s="180"/>
      <c r="B2" s="180"/>
      <c r="C2" s="180"/>
      <c r="D2" s="180"/>
      <c r="E2" s="243"/>
      <c r="F2" s="244"/>
      <c r="G2" s="244"/>
      <c r="H2" s="244"/>
      <c r="I2" s="244"/>
      <c r="J2" s="244"/>
      <c r="K2" s="244"/>
      <c r="L2" s="244"/>
      <c r="M2" s="244"/>
      <c r="N2" s="244"/>
      <c r="O2" s="245"/>
    </row>
    <row r="3" spans="1:15" ht="16.5" customHeight="1">
      <c r="A3" s="180"/>
      <c r="B3" s="180"/>
      <c r="C3" s="180"/>
      <c r="D3" s="180"/>
      <c r="E3" s="243"/>
      <c r="F3" s="244"/>
      <c r="G3" s="244"/>
      <c r="H3" s="244"/>
      <c r="I3" s="244"/>
      <c r="J3" s="244"/>
      <c r="K3" s="244"/>
      <c r="L3" s="244"/>
      <c r="M3" s="244"/>
      <c r="N3" s="244"/>
      <c r="O3" s="245"/>
    </row>
    <row r="4" spans="1:15" ht="16.5" customHeight="1">
      <c r="A4" s="180" t="s">
        <v>47</v>
      </c>
      <c r="B4" s="180"/>
      <c r="C4" s="180"/>
      <c r="D4" s="1"/>
      <c r="E4" s="246"/>
      <c r="F4" s="247"/>
      <c r="G4" s="247"/>
      <c r="H4" s="247"/>
      <c r="I4" s="247"/>
      <c r="J4" s="247"/>
      <c r="K4" s="247"/>
      <c r="L4" s="247"/>
      <c r="M4" s="247"/>
      <c r="N4" s="247"/>
      <c r="O4" s="248"/>
    </row>
    <row r="5" spans="1:15" ht="16.5" customHeight="1">
      <c r="A5" s="180" t="s">
        <v>41</v>
      </c>
      <c r="B5" s="180"/>
      <c r="C5" s="180"/>
      <c r="D5" s="180"/>
      <c r="E5" s="2" t="s">
        <v>38</v>
      </c>
      <c r="F5" s="249"/>
      <c r="G5" s="250"/>
      <c r="H5" s="251" t="s">
        <v>23</v>
      </c>
      <c r="I5" s="253"/>
      <c r="J5" s="254"/>
      <c r="K5" s="253" t="s">
        <v>9</v>
      </c>
      <c r="L5" s="254"/>
      <c r="M5" s="257" t="str">
        <f>'1. 소켓인수검사'!R1</f>
        <v>26.06.02 씨에스_캐피탈랜드(입상)</v>
      </c>
      <c r="N5" s="257"/>
      <c r="O5" s="257"/>
    </row>
    <row r="6" spans="1:15">
      <c r="A6" s="180"/>
      <c r="B6" s="180"/>
      <c r="C6" s="180"/>
      <c r="D6" s="180"/>
      <c r="E6" s="2" t="s">
        <v>35</v>
      </c>
      <c r="F6" s="249"/>
      <c r="G6" s="250"/>
      <c r="H6" s="252"/>
      <c r="I6" s="255"/>
      <c r="J6" s="256"/>
      <c r="K6" s="255"/>
      <c r="L6" s="256"/>
      <c r="M6" s="257"/>
      <c r="N6" s="257"/>
      <c r="O6" s="257"/>
    </row>
    <row r="7" spans="1:15" ht="8.1" customHeight="1">
      <c r="A7" s="258"/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</row>
    <row r="8" spans="1:15" ht="26.45" customHeight="1">
      <c r="A8" s="259" t="s">
        <v>27</v>
      </c>
      <c r="B8" s="260" t="s">
        <v>32</v>
      </c>
      <c r="C8" s="263" t="s">
        <v>26</v>
      </c>
      <c r="D8" s="263"/>
      <c r="E8" s="263" t="s">
        <v>43</v>
      </c>
      <c r="F8" s="263" t="s">
        <v>31</v>
      </c>
      <c r="G8" s="263" t="s">
        <v>20</v>
      </c>
      <c r="H8" s="264" t="s">
        <v>64</v>
      </c>
      <c r="I8" s="264"/>
      <c r="J8" s="264"/>
      <c r="K8" s="264"/>
      <c r="L8" s="264"/>
      <c r="M8" s="264"/>
      <c r="N8" s="264"/>
      <c r="O8" s="263" t="s">
        <v>5</v>
      </c>
    </row>
    <row r="9" spans="1:15" ht="16.5" customHeight="1">
      <c r="A9" s="259"/>
      <c r="B9" s="261"/>
      <c r="C9" s="263" t="s">
        <v>28</v>
      </c>
      <c r="D9" s="263" t="s">
        <v>16</v>
      </c>
      <c r="E9" s="263"/>
      <c r="F9" s="263"/>
      <c r="G9" s="263"/>
      <c r="H9" s="263" t="s">
        <v>19</v>
      </c>
      <c r="I9" s="263"/>
      <c r="J9" s="263" t="s">
        <v>24</v>
      </c>
      <c r="K9" s="263"/>
      <c r="L9" s="265" t="s">
        <v>70</v>
      </c>
      <c r="M9" s="266"/>
      <c r="N9" s="267"/>
      <c r="O9" s="263"/>
    </row>
    <row r="10" spans="1:15">
      <c r="A10" s="259"/>
      <c r="B10" s="262"/>
      <c r="C10" s="263"/>
      <c r="D10" s="263"/>
      <c r="E10" s="263"/>
      <c r="F10" s="34">
        <v>25</v>
      </c>
      <c r="G10" s="34">
        <v>300</v>
      </c>
      <c r="H10" s="34" t="s">
        <v>26</v>
      </c>
      <c r="I10" s="34" t="s">
        <v>2</v>
      </c>
      <c r="J10" s="34" t="s">
        <v>26</v>
      </c>
      <c r="K10" s="34" t="s">
        <v>2</v>
      </c>
      <c r="L10" s="268"/>
      <c r="M10" s="269"/>
      <c r="N10" s="270"/>
      <c r="O10" s="263"/>
    </row>
    <row r="11" spans="1:15">
      <c r="A11" s="39" t="str">
        <f>'1. 소켓인수검사'!A9</f>
        <v>01</v>
      </c>
      <c r="B11" s="54" t="str">
        <f>'1. 소켓인수검사'!B9</f>
        <v>HTG-064</v>
      </c>
      <c r="C11" s="40">
        <f>'1. 소켓인수검사'!C9</f>
        <v>550</v>
      </c>
      <c r="D11" s="40">
        <f>'1. 소켓인수검사'!D9</f>
        <v>400</v>
      </c>
      <c r="E11" s="25"/>
      <c r="F11" s="27"/>
      <c r="G11" s="27"/>
      <c r="H11" s="28">
        <f>(C11+60)</f>
        <v>610</v>
      </c>
      <c r="I11" s="28">
        <v>2</v>
      </c>
      <c r="J11" s="28">
        <f>D11</f>
        <v>400</v>
      </c>
      <c r="K11" s="28">
        <v>2</v>
      </c>
      <c r="L11" s="274"/>
      <c r="M11" s="275"/>
      <c r="N11" s="276"/>
      <c r="O11" s="33"/>
    </row>
    <row r="12" spans="1:15">
      <c r="A12" s="41" t="str">
        <f>'1. 소켓인수검사'!A10</f>
        <v>02</v>
      </c>
      <c r="B12" s="55" t="str">
        <f>'1. 소켓인수검사'!B10</f>
        <v>HTG-064</v>
      </c>
      <c r="C12" s="45">
        <f>'1. 소켓인수검사'!C10</f>
        <v>550</v>
      </c>
      <c r="D12" s="45">
        <f>'1. 소켓인수검사'!D10</f>
        <v>400</v>
      </c>
      <c r="E12" s="25"/>
      <c r="F12" s="29"/>
      <c r="G12" s="29"/>
      <c r="H12" s="28">
        <f t="shared" ref="H12:H22" si="0">(C12+60)</f>
        <v>610</v>
      </c>
      <c r="I12" s="28">
        <v>2</v>
      </c>
      <c r="J12" s="28">
        <f t="shared" ref="J12:J22" si="1">D12</f>
        <v>400</v>
      </c>
      <c r="K12" s="28">
        <v>2</v>
      </c>
      <c r="L12" s="271"/>
      <c r="M12" s="272"/>
      <c r="N12" s="273"/>
      <c r="O12" s="26"/>
    </row>
    <row r="13" spans="1:15">
      <c r="A13" s="41" t="str">
        <f>'1. 소켓인수검사'!A11</f>
        <v>03</v>
      </c>
      <c r="B13" s="55" t="str">
        <f>'1. 소켓인수검사'!B11</f>
        <v>HTG-064</v>
      </c>
      <c r="C13" s="45">
        <f>'1. 소켓인수검사'!C11</f>
        <v>550</v>
      </c>
      <c r="D13" s="45">
        <f>'1. 소켓인수검사'!D11</f>
        <v>400</v>
      </c>
      <c r="E13" s="25"/>
      <c r="F13" s="29"/>
      <c r="G13" s="29"/>
      <c r="H13" s="28">
        <f t="shared" si="0"/>
        <v>610</v>
      </c>
      <c r="I13" s="28">
        <v>2</v>
      </c>
      <c r="J13" s="28">
        <f t="shared" si="1"/>
        <v>400</v>
      </c>
      <c r="K13" s="28">
        <v>2</v>
      </c>
      <c r="L13" s="271"/>
      <c r="M13" s="272"/>
      <c r="N13" s="273"/>
      <c r="O13" s="26"/>
    </row>
    <row r="14" spans="1:15">
      <c r="A14" s="41" t="str">
        <f>'1. 소켓인수검사'!A12</f>
        <v>04</v>
      </c>
      <c r="B14" s="55" t="str">
        <f>'1. 소켓인수검사'!B12</f>
        <v>HTG-064</v>
      </c>
      <c r="C14" s="45">
        <f>'1. 소켓인수검사'!C12</f>
        <v>550</v>
      </c>
      <c r="D14" s="45">
        <f>'1. 소켓인수검사'!D12</f>
        <v>400</v>
      </c>
      <c r="E14" s="25"/>
      <c r="F14" s="29"/>
      <c r="G14" s="29"/>
      <c r="H14" s="28">
        <f t="shared" si="0"/>
        <v>610</v>
      </c>
      <c r="I14" s="28">
        <v>2</v>
      </c>
      <c r="J14" s="28">
        <f t="shared" si="1"/>
        <v>400</v>
      </c>
      <c r="K14" s="28">
        <v>2</v>
      </c>
      <c r="L14" s="271"/>
      <c r="M14" s="272"/>
      <c r="N14" s="273"/>
      <c r="O14" s="26"/>
    </row>
    <row r="15" spans="1:15">
      <c r="A15" s="41" t="str">
        <f>'1. 소켓인수검사'!A13</f>
        <v>05</v>
      </c>
      <c r="B15" s="55" t="str">
        <f>'1. 소켓인수검사'!B13</f>
        <v>HTG-064</v>
      </c>
      <c r="C15" s="47">
        <f>'1. 소켓인수검사'!C13</f>
        <v>550</v>
      </c>
      <c r="D15" s="47">
        <f>'1. 소켓인수검사'!D13</f>
        <v>400</v>
      </c>
      <c r="E15" s="25"/>
      <c r="F15" s="29"/>
      <c r="G15" s="29"/>
      <c r="H15" s="28">
        <f t="shared" si="0"/>
        <v>610</v>
      </c>
      <c r="I15" s="28">
        <v>2</v>
      </c>
      <c r="J15" s="28">
        <f t="shared" si="1"/>
        <v>400</v>
      </c>
      <c r="K15" s="28">
        <v>2</v>
      </c>
      <c r="L15" s="271"/>
      <c r="M15" s="272"/>
      <c r="N15" s="273"/>
      <c r="O15" s="26"/>
    </row>
    <row r="16" spans="1:15">
      <c r="A16" s="41" t="str">
        <f>'1. 소켓인수검사'!A14</f>
        <v>06</v>
      </c>
      <c r="B16" s="55" t="str">
        <f>'1. 소켓인수검사'!B14</f>
        <v>HTG-064</v>
      </c>
      <c r="C16" s="47">
        <f>'1. 소켓인수검사'!C14</f>
        <v>550</v>
      </c>
      <c r="D16" s="47">
        <f>'1. 소켓인수검사'!D14</f>
        <v>400</v>
      </c>
      <c r="E16" s="25"/>
      <c r="F16" s="29"/>
      <c r="G16" s="29"/>
      <c r="H16" s="28">
        <f t="shared" si="0"/>
        <v>610</v>
      </c>
      <c r="I16" s="28">
        <v>2</v>
      </c>
      <c r="J16" s="28">
        <f t="shared" si="1"/>
        <v>400</v>
      </c>
      <c r="K16" s="28">
        <v>2</v>
      </c>
      <c r="L16" s="271"/>
      <c r="M16" s="272"/>
      <c r="N16" s="273"/>
      <c r="O16" s="26"/>
    </row>
    <row r="17" spans="1:15">
      <c r="A17" s="41" t="str">
        <f>'1. 소켓인수검사'!A15</f>
        <v>07</v>
      </c>
      <c r="B17" s="55" t="str">
        <f>'1. 소켓인수검사'!B15</f>
        <v>HTG-064</v>
      </c>
      <c r="C17" s="47">
        <f>'1. 소켓인수검사'!C15</f>
        <v>550</v>
      </c>
      <c r="D17" s="47">
        <f>'1. 소켓인수검사'!D15</f>
        <v>400</v>
      </c>
      <c r="E17" s="25"/>
      <c r="F17" s="29"/>
      <c r="G17" s="29"/>
      <c r="H17" s="28">
        <f t="shared" si="0"/>
        <v>610</v>
      </c>
      <c r="I17" s="28">
        <v>2</v>
      </c>
      <c r="J17" s="28">
        <f t="shared" si="1"/>
        <v>400</v>
      </c>
      <c r="K17" s="28">
        <v>2</v>
      </c>
      <c r="L17" s="271"/>
      <c r="M17" s="272"/>
      <c r="N17" s="273"/>
      <c r="O17" s="26"/>
    </row>
    <row r="18" spans="1:15">
      <c r="A18" s="41" t="str">
        <f>'1. 소켓인수검사'!A16</f>
        <v>08</v>
      </c>
      <c r="B18" s="55" t="str">
        <f>'1. 소켓인수검사'!B16</f>
        <v>HTG-064</v>
      </c>
      <c r="C18" s="47">
        <f>'1. 소켓인수검사'!C16</f>
        <v>550</v>
      </c>
      <c r="D18" s="47">
        <f>'1. 소켓인수검사'!D16</f>
        <v>400</v>
      </c>
      <c r="E18" s="25"/>
      <c r="F18" s="29"/>
      <c r="G18" s="29"/>
      <c r="H18" s="28">
        <f t="shared" si="0"/>
        <v>610</v>
      </c>
      <c r="I18" s="28">
        <v>2</v>
      </c>
      <c r="J18" s="28">
        <f t="shared" si="1"/>
        <v>400</v>
      </c>
      <c r="K18" s="28">
        <v>2</v>
      </c>
      <c r="L18" s="271"/>
      <c r="M18" s="272"/>
      <c r="N18" s="273"/>
      <c r="O18" s="26"/>
    </row>
    <row r="19" spans="1:15">
      <c r="A19" s="41" t="str">
        <f>'1. 소켓인수검사'!A17</f>
        <v>09</v>
      </c>
      <c r="B19" s="55" t="str">
        <f>'1. 소켓인수검사'!B17</f>
        <v>HTG-064</v>
      </c>
      <c r="C19" s="47">
        <f>'1. 소켓인수검사'!C17</f>
        <v>550</v>
      </c>
      <c r="D19" s="47">
        <f>'1. 소켓인수검사'!D17</f>
        <v>400</v>
      </c>
      <c r="E19" s="25"/>
      <c r="F19" s="29"/>
      <c r="G19" s="29"/>
      <c r="H19" s="28">
        <f t="shared" si="0"/>
        <v>610</v>
      </c>
      <c r="I19" s="28">
        <v>2</v>
      </c>
      <c r="J19" s="28">
        <f t="shared" si="1"/>
        <v>400</v>
      </c>
      <c r="K19" s="28">
        <v>2</v>
      </c>
      <c r="L19" s="271"/>
      <c r="M19" s="272"/>
      <c r="N19" s="273"/>
      <c r="O19" s="26"/>
    </row>
    <row r="20" spans="1:15">
      <c r="A20" s="41" t="str">
        <f>'1. 소켓인수검사'!A18</f>
        <v>10</v>
      </c>
      <c r="B20" s="55" t="str">
        <f>'1. 소켓인수검사'!B18</f>
        <v>HTG-064</v>
      </c>
      <c r="C20" s="47">
        <f>'1. 소켓인수검사'!C18</f>
        <v>550</v>
      </c>
      <c r="D20" s="47">
        <f>'1. 소켓인수검사'!D18</f>
        <v>400</v>
      </c>
      <c r="E20" s="25"/>
      <c r="F20" s="29"/>
      <c r="G20" s="29"/>
      <c r="H20" s="28">
        <f t="shared" si="0"/>
        <v>610</v>
      </c>
      <c r="I20" s="28">
        <v>2</v>
      </c>
      <c r="J20" s="28">
        <f t="shared" si="1"/>
        <v>400</v>
      </c>
      <c r="K20" s="28">
        <v>2</v>
      </c>
      <c r="L20" s="271"/>
      <c r="M20" s="272"/>
      <c r="N20" s="273"/>
      <c r="O20" s="26"/>
    </row>
    <row r="21" spans="1:15">
      <c r="A21" s="41" t="str">
        <f>'1. 소켓인수검사'!A19</f>
        <v>11</v>
      </c>
      <c r="B21" s="55" t="str">
        <f>'1. 소켓인수검사'!B19</f>
        <v>HTG-064</v>
      </c>
      <c r="C21" s="47">
        <f>'1. 소켓인수검사'!C19</f>
        <v>550</v>
      </c>
      <c r="D21" s="47">
        <f>'1. 소켓인수검사'!D19</f>
        <v>400</v>
      </c>
      <c r="E21" s="25"/>
      <c r="F21" s="29"/>
      <c r="G21" s="29"/>
      <c r="H21" s="28">
        <f t="shared" si="0"/>
        <v>610</v>
      </c>
      <c r="I21" s="28">
        <v>2</v>
      </c>
      <c r="J21" s="28">
        <f t="shared" si="1"/>
        <v>400</v>
      </c>
      <c r="K21" s="28">
        <v>2</v>
      </c>
      <c r="L21" s="271"/>
      <c r="M21" s="272"/>
      <c r="N21" s="273"/>
      <c r="O21" s="26"/>
    </row>
    <row r="22" spans="1:15">
      <c r="A22" s="41" t="str">
        <f>'1. 소켓인수검사'!A20</f>
        <v>12</v>
      </c>
      <c r="B22" s="55" t="str">
        <f>'1. 소켓인수검사'!B20</f>
        <v>HTG-064</v>
      </c>
      <c r="C22" s="47">
        <f>'1. 소켓인수검사'!C20</f>
        <v>550</v>
      </c>
      <c r="D22" s="47">
        <f>'1. 소켓인수검사'!D20</f>
        <v>400</v>
      </c>
      <c r="E22" s="25"/>
      <c r="F22" s="29"/>
      <c r="G22" s="29"/>
      <c r="H22" s="28">
        <f t="shared" si="0"/>
        <v>610</v>
      </c>
      <c r="I22" s="28">
        <v>2</v>
      </c>
      <c r="J22" s="28">
        <f t="shared" si="1"/>
        <v>400</v>
      </c>
      <c r="K22" s="28">
        <v>2</v>
      </c>
      <c r="L22" s="271"/>
      <c r="M22" s="272"/>
      <c r="N22" s="273"/>
      <c r="O22" s="26"/>
    </row>
    <row r="23" spans="1:15">
      <c r="A23" s="277" t="s">
        <v>18</v>
      </c>
      <c r="B23" s="277"/>
      <c r="C23" s="277"/>
      <c r="D23" s="3"/>
      <c r="E23" s="4"/>
      <c r="F23" s="4"/>
      <c r="G23" s="4"/>
      <c r="H23" s="3"/>
      <c r="I23" s="3">
        <f>SUM(I11:I22)</f>
        <v>24</v>
      </c>
      <c r="J23" s="3"/>
      <c r="K23" s="3">
        <f>SUM(K11:K22)</f>
        <v>24</v>
      </c>
      <c r="L23" s="249"/>
      <c r="M23" s="278"/>
      <c r="N23" s="250"/>
      <c r="O23" s="3"/>
    </row>
    <row r="24" spans="1:15" ht="8.1" customHeight="1">
      <c r="A24" s="279"/>
      <c r="B24" s="279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</row>
    <row r="25" spans="1:15">
      <c r="A25" s="199" t="s">
        <v>7</v>
      </c>
      <c r="B25" s="199"/>
      <c r="C25" s="199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</row>
    <row r="26" spans="1:15">
      <c r="A26" s="199"/>
      <c r="B26" s="199"/>
      <c r="C26" s="199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</row>
    <row r="27" spans="1:15">
      <c r="A27" s="199"/>
      <c r="B27" s="199"/>
      <c r="C27" s="199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</row>
    <row r="28" spans="1:15">
      <c r="A28" s="199"/>
      <c r="B28" s="199"/>
      <c r="C28" s="199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</row>
    <row r="29" spans="1:15">
      <c r="A29" s="199"/>
      <c r="B29" s="199"/>
      <c r="C29" s="199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</row>
    <row r="30" spans="1:15">
      <c r="A30" s="199"/>
      <c r="B30" s="199"/>
      <c r="C30" s="199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</row>
  </sheetData>
  <mergeCells count="42">
    <mergeCell ref="A25:C30"/>
    <mergeCell ref="D25:O30"/>
    <mergeCell ref="A23:C23"/>
    <mergeCell ref="L23:N23"/>
    <mergeCell ref="A24:O24"/>
    <mergeCell ref="L20:N20"/>
    <mergeCell ref="L21:N21"/>
    <mergeCell ref="L22:N22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30"/>
  <sheetViews>
    <sheetView view="pageBreakPreview" zoomScale="85" zoomScaleNormal="85" zoomScaleSheetLayoutView="85" workbookViewId="0">
      <pane ySplit="9" topLeftCell="A10" activePane="bottomLeft" state="frozen"/>
      <selection pane="bottomLeft" activeCell="E16" sqref="E16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80"/>
      <c r="B1" s="180"/>
      <c r="C1" s="180"/>
      <c r="D1" s="240" t="s">
        <v>8</v>
      </c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2"/>
    </row>
    <row r="2" spans="1:21" ht="16.5" customHeight="1">
      <c r="A2" s="180"/>
      <c r="B2" s="180"/>
      <c r="C2" s="180"/>
      <c r="D2" s="243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5"/>
    </row>
    <row r="3" spans="1:21" ht="24" customHeight="1">
      <c r="A3" s="180"/>
      <c r="B3" s="180"/>
      <c r="C3" s="180"/>
      <c r="D3" s="243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5"/>
    </row>
    <row r="4" spans="1:21" ht="16.5" customHeight="1">
      <c r="A4" s="180" t="s">
        <v>47</v>
      </c>
      <c r="B4" s="180"/>
      <c r="C4" s="1"/>
      <c r="D4" s="243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5"/>
    </row>
    <row r="5" spans="1:21" ht="16.5" customHeight="1">
      <c r="A5" s="180" t="s">
        <v>41</v>
      </c>
      <c r="B5" s="180"/>
      <c r="C5" s="180"/>
      <c r="D5" s="2" t="s">
        <v>38</v>
      </c>
      <c r="E5" s="249"/>
      <c r="F5" s="250"/>
      <c r="G5" s="251" t="s">
        <v>23</v>
      </c>
      <c r="H5" s="79"/>
      <c r="I5" s="79"/>
      <c r="J5" s="251" t="s">
        <v>23</v>
      </c>
      <c r="K5" s="83"/>
      <c r="L5" s="253"/>
      <c r="M5" s="279"/>
      <c r="N5" s="254"/>
      <c r="O5" s="251" t="s">
        <v>34</v>
      </c>
      <c r="P5" s="280" t="str">
        <f>'1. 소켓인수검사'!R1</f>
        <v>26.06.02 씨에스_캐피탈랜드(입상)</v>
      </c>
      <c r="Q5" s="281"/>
      <c r="R5" s="281"/>
      <c r="S5" s="281"/>
      <c r="T5" s="281"/>
      <c r="U5" s="282"/>
    </row>
    <row r="6" spans="1:21">
      <c r="A6" s="180"/>
      <c r="B6" s="180"/>
      <c r="C6" s="180"/>
      <c r="D6" s="2" t="s">
        <v>35</v>
      </c>
      <c r="E6" s="249"/>
      <c r="F6" s="250"/>
      <c r="G6" s="252"/>
      <c r="H6" s="81"/>
      <c r="I6" s="81"/>
      <c r="J6" s="252"/>
      <c r="K6" s="80"/>
      <c r="L6" s="255"/>
      <c r="M6" s="258"/>
      <c r="N6" s="256"/>
      <c r="O6" s="252"/>
      <c r="P6" s="283"/>
      <c r="Q6" s="284"/>
      <c r="R6" s="284"/>
      <c r="S6" s="284"/>
      <c r="T6" s="284"/>
      <c r="U6" s="285"/>
    </row>
    <row r="7" spans="1:21" ht="8.1" customHeight="1">
      <c r="A7" s="183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5"/>
      <c r="T7" s="5"/>
      <c r="U7" s="5"/>
    </row>
    <row r="8" spans="1:21" ht="29.25" customHeight="1">
      <c r="A8" s="291" t="s">
        <v>27</v>
      </c>
      <c r="B8" s="293" t="s">
        <v>28</v>
      </c>
      <c r="C8" s="293" t="s">
        <v>16</v>
      </c>
      <c r="D8" s="293" t="s">
        <v>32</v>
      </c>
      <c r="E8" s="293" t="s">
        <v>29</v>
      </c>
      <c r="F8" s="293" t="s">
        <v>21</v>
      </c>
      <c r="G8" s="293" t="s">
        <v>76</v>
      </c>
      <c r="H8" s="293"/>
      <c r="I8" s="293"/>
      <c r="J8" s="293"/>
      <c r="K8" s="293"/>
      <c r="L8" s="293"/>
      <c r="M8" s="293" t="s">
        <v>54</v>
      </c>
      <c r="N8" s="293"/>
      <c r="O8" s="293"/>
      <c r="P8" s="293" t="s">
        <v>63</v>
      </c>
      <c r="Q8" s="293"/>
      <c r="R8" s="293"/>
      <c r="S8" s="293"/>
      <c r="T8" s="295"/>
      <c r="U8" s="296"/>
    </row>
    <row r="9" spans="1:21" ht="26.45" customHeight="1">
      <c r="A9" s="292"/>
      <c r="B9" s="294"/>
      <c r="C9" s="294"/>
      <c r="D9" s="294"/>
      <c r="E9" s="294"/>
      <c r="F9" s="294"/>
      <c r="G9" s="82" t="s">
        <v>33</v>
      </c>
      <c r="H9" s="82" t="s">
        <v>2</v>
      </c>
      <c r="I9" s="82" t="s">
        <v>86</v>
      </c>
      <c r="J9" s="56" t="s">
        <v>66</v>
      </c>
      <c r="K9" s="82" t="s">
        <v>2</v>
      </c>
      <c r="L9" s="82" t="s">
        <v>86</v>
      </c>
      <c r="M9" s="82" t="s">
        <v>65</v>
      </c>
      <c r="N9" s="82" t="s">
        <v>2</v>
      </c>
      <c r="O9" s="82" t="s">
        <v>56</v>
      </c>
      <c r="P9" s="82" t="s">
        <v>77</v>
      </c>
      <c r="Q9" s="82" t="s">
        <v>2</v>
      </c>
      <c r="R9" s="82" t="s">
        <v>86</v>
      </c>
      <c r="S9" s="82" t="s">
        <v>42</v>
      </c>
      <c r="T9" s="57" t="s">
        <v>2</v>
      </c>
      <c r="U9" s="57" t="s">
        <v>86</v>
      </c>
    </row>
    <row r="10" spans="1:21" ht="16.5" customHeight="1">
      <c r="A10" s="41" t="str">
        <f>+'1. 소켓인수검사'!A9</f>
        <v>01</v>
      </c>
      <c r="B10" s="45">
        <f>+'1. 소켓인수검사'!C9</f>
        <v>550</v>
      </c>
      <c r="C10" s="45">
        <f>+'1. 소켓인수검사'!D9</f>
        <v>400</v>
      </c>
      <c r="D10" s="78" t="str">
        <f>+'1. 소켓인수검사'!B9</f>
        <v>HTG-064</v>
      </c>
      <c r="E10" s="58">
        <f>B10*C10/1000000</f>
        <v>0.22</v>
      </c>
      <c r="F10" s="58">
        <f>(B10+C10)*2/1000</f>
        <v>1.9</v>
      </c>
      <c r="G10" s="59">
        <f t="shared" ref="G10:G21" si="0">F10+0.4</f>
        <v>2.2999999999999998</v>
      </c>
      <c r="H10" s="60">
        <v>1</v>
      </c>
      <c r="I10" s="60">
        <f>H10*G10</f>
        <v>2.2999999999999998</v>
      </c>
      <c r="J10" s="286"/>
      <c r="K10" s="286"/>
      <c r="L10" s="286"/>
      <c r="M10" s="59">
        <v>1</v>
      </c>
      <c r="N10" s="121">
        <f>'2.1 재단(1.69,064)'!T8/2</f>
        <v>3</v>
      </c>
      <c r="O10" s="46"/>
      <c r="P10" s="87"/>
      <c r="Q10" s="87"/>
      <c r="R10" s="87"/>
      <c r="S10" s="59">
        <f>F10+0.5</f>
        <v>2.4</v>
      </c>
      <c r="T10" s="61">
        <v>1</v>
      </c>
      <c r="U10" s="61">
        <f>T10*S10</f>
        <v>2.4</v>
      </c>
    </row>
    <row r="11" spans="1:21" ht="16.5" customHeight="1">
      <c r="A11" s="41" t="str">
        <f>+'1. 소켓인수검사'!A10</f>
        <v>02</v>
      </c>
      <c r="B11" s="42">
        <f>+'1. 소켓인수검사'!C10</f>
        <v>550</v>
      </c>
      <c r="C11" s="42">
        <f>+'1. 소켓인수검사'!D10</f>
        <v>400</v>
      </c>
      <c r="D11" s="78" t="str">
        <f>+'1. 소켓인수검사'!B10</f>
        <v>HTG-064</v>
      </c>
      <c r="E11" s="58">
        <f t="shared" ref="E11:E12" si="1">B11*C11/1000000</f>
        <v>0.22</v>
      </c>
      <c r="F11" s="58">
        <f t="shared" ref="F11:F12" si="2">(B11+C11)*2/1000</f>
        <v>1.9</v>
      </c>
      <c r="G11" s="59">
        <f t="shared" si="0"/>
        <v>2.2999999999999998</v>
      </c>
      <c r="H11" s="60">
        <v>1</v>
      </c>
      <c r="I11" s="60">
        <f t="shared" ref="I11:I21" si="3">H11*G11</f>
        <v>2.2999999999999998</v>
      </c>
      <c r="J11" s="286"/>
      <c r="K11" s="286"/>
      <c r="L11" s="286"/>
      <c r="M11" s="59">
        <v>1</v>
      </c>
      <c r="N11" s="121">
        <f>'2.1 재단(1.69,064)'!T9/2</f>
        <v>3</v>
      </c>
      <c r="O11" s="46"/>
      <c r="P11" s="87"/>
      <c r="Q11" s="87"/>
      <c r="R11" s="87"/>
      <c r="S11" s="59">
        <f t="shared" ref="S11:S21" si="4">F11+0.5</f>
        <v>2.4</v>
      </c>
      <c r="T11" s="61">
        <v>1</v>
      </c>
      <c r="U11" s="61">
        <f t="shared" ref="U11:U21" si="5">T11*S11</f>
        <v>2.4</v>
      </c>
    </row>
    <row r="12" spans="1:21" ht="16.5" customHeight="1">
      <c r="A12" s="41" t="str">
        <f>+'1. 소켓인수검사'!A11</f>
        <v>03</v>
      </c>
      <c r="B12" s="42">
        <f>+'1. 소켓인수검사'!C11</f>
        <v>550</v>
      </c>
      <c r="C12" s="45">
        <f>+'1. 소켓인수검사'!D11</f>
        <v>400</v>
      </c>
      <c r="D12" s="78" t="str">
        <f>+'1. 소켓인수검사'!B11</f>
        <v>HTG-064</v>
      </c>
      <c r="E12" s="58">
        <f t="shared" si="1"/>
        <v>0.22</v>
      </c>
      <c r="F12" s="58">
        <f t="shared" si="2"/>
        <v>1.9</v>
      </c>
      <c r="G12" s="59">
        <f t="shared" si="0"/>
        <v>2.2999999999999998</v>
      </c>
      <c r="H12" s="60">
        <v>1</v>
      </c>
      <c r="I12" s="60">
        <f t="shared" si="3"/>
        <v>2.2999999999999998</v>
      </c>
      <c r="J12" s="286"/>
      <c r="K12" s="286"/>
      <c r="L12" s="286"/>
      <c r="M12" s="59">
        <v>1</v>
      </c>
      <c r="N12" s="121">
        <f>'2.1 재단(1.69,064)'!T10/2</f>
        <v>3</v>
      </c>
      <c r="O12" s="46"/>
      <c r="P12" s="87"/>
      <c r="Q12" s="87"/>
      <c r="R12" s="87"/>
      <c r="S12" s="59">
        <f t="shared" si="4"/>
        <v>2.4</v>
      </c>
      <c r="T12" s="61">
        <v>1</v>
      </c>
      <c r="U12" s="61">
        <f t="shared" si="5"/>
        <v>2.4</v>
      </c>
    </row>
    <row r="13" spans="1:21" ht="16.5" customHeight="1">
      <c r="A13" s="41" t="str">
        <f>+'1. 소켓인수검사'!A12</f>
        <v>04</v>
      </c>
      <c r="B13" s="42">
        <f>+'1. 소켓인수검사'!C12</f>
        <v>550</v>
      </c>
      <c r="C13" s="42">
        <f>+'1. 소켓인수검사'!D12</f>
        <v>400</v>
      </c>
      <c r="D13" s="78" t="str">
        <f>+'1. 소켓인수검사'!B12</f>
        <v>HTG-064</v>
      </c>
      <c r="E13" s="58">
        <f t="shared" ref="E13:E21" si="6">B13*C13/1000000</f>
        <v>0.22</v>
      </c>
      <c r="F13" s="58">
        <f t="shared" ref="F13:F21" si="7">(B13+C13)*2/1000</f>
        <v>1.9</v>
      </c>
      <c r="G13" s="59">
        <f t="shared" si="0"/>
        <v>2.2999999999999998</v>
      </c>
      <c r="H13" s="60">
        <v>1</v>
      </c>
      <c r="I13" s="60">
        <f t="shared" si="3"/>
        <v>2.2999999999999998</v>
      </c>
      <c r="J13" s="286"/>
      <c r="K13" s="286"/>
      <c r="L13" s="286"/>
      <c r="M13" s="59">
        <v>1</v>
      </c>
      <c r="N13" s="121">
        <f>'2.1 재단(1.69,064)'!T11/2</f>
        <v>3</v>
      </c>
      <c r="O13" s="46"/>
      <c r="P13" s="87"/>
      <c r="Q13" s="87"/>
      <c r="R13" s="87"/>
      <c r="S13" s="59">
        <f t="shared" si="4"/>
        <v>2.4</v>
      </c>
      <c r="T13" s="61">
        <v>1</v>
      </c>
      <c r="U13" s="61">
        <f t="shared" si="5"/>
        <v>2.4</v>
      </c>
    </row>
    <row r="14" spans="1:21" ht="16.5" customHeight="1">
      <c r="A14" s="41" t="str">
        <f>+'1. 소켓인수검사'!A13</f>
        <v>05</v>
      </c>
      <c r="B14" s="42">
        <f>+'1. 소켓인수검사'!C13</f>
        <v>550</v>
      </c>
      <c r="C14" s="42">
        <f>+'1. 소켓인수검사'!D13</f>
        <v>400</v>
      </c>
      <c r="D14" s="78" t="str">
        <f>+'1. 소켓인수검사'!B13</f>
        <v>HTG-064</v>
      </c>
      <c r="E14" s="58">
        <f t="shared" si="6"/>
        <v>0.22</v>
      </c>
      <c r="F14" s="58">
        <f t="shared" si="7"/>
        <v>1.9</v>
      </c>
      <c r="G14" s="59">
        <f t="shared" si="0"/>
        <v>2.2999999999999998</v>
      </c>
      <c r="H14" s="60">
        <v>1</v>
      </c>
      <c r="I14" s="60">
        <f t="shared" si="3"/>
        <v>2.2999999999999998</v>
      </c>
      <c r="J14" s="286"/>
      <c r="K14" s="286"/>
      <c r="L14" s="286"/>
      <c r="M14" s="59">
        <v>1</v>
      </c>
      <c r="N14" s="121">
        <f>'2.1 재단(1.69,064)'!T12/2</f>
        <v>3</v>
      </c>
      <c r="O14" s="46"/>
      <c r="P14" s="87"/>
      <c r="Q14" s="87"/>
      <c r="R14" s="87"/>
      <c r="S14" s="59">
        <f t="shared" si="4"/>
        <v>2.4</v>
      </c>
      <c r="T14" s="61">
        <v>1</v>
      </c>
      <c r="U14" s="61">
        <f t="shared" si="5"/>
        <v>2.4</v>
      </c>
    </row>
    <row r="15" spans="1:21" ht="16.5" customHeight="1">
      <c r="A15" s="41" t="str">
        <f>+'1. 소켓인수검사'!A14</f>
        <v>06</v>
      </c>
      <c r="B15" s="42">
        <f>+'1. 소켓인수검사'!C14</f>
        <v>550</v>
      </c>
      <c r="C15" s="42">
        <f>+'1. 소켓인수검사'!D14</f>
        <v>400</v>
      </c>
      <c r="D15" s="78" t="str">
        <f>+'1. 소켓인수검사'!B14</f>
        <v>HTG-064</v>
      </c>
      <c r="E15" s="58">
        <f t="shared" si="6"/>
        <v>0.22</v>
      </c>
      <c r="F15" s="58">
        <f t="shared" si="7"/>
        <v>1.9</v>
      </c>
      <c r="G15" s="59">
        <f t="shared" si="0"/>
        <v>2.2999999999999998</v>
      </c>
      <c r="H15" s="60">
        <v>1</v>
      </c>
      <c r="I15" s="60">
        <f t="shared" si="3"/>
        <v>2.2999999999999998</v>
      </c>
      <c r="J15" s="286"/>
      <c r="K15" s="286"/>
      <c r="L15" s="286"/>
      <c r="M15" s="59">
        <v>1</v>
      </c>
      <c r="N15" s="121">
        <f>'2.1 재단(1.69,064)'!T13/2</f>
        <v>3</v>
      </c>
      <c r="O15" s="46"/>
      <c r="P15" s="87"/>
      <c r="Q15" s="87"/>
      <c r="R15" s="87"/>
      <c r="S15" s="59">
        <f t="shared" si="4"/>
        <v>2.4</v>
      </c>
      <c r="T15" s="61">
        <v>1</v>
      </c>
      <c r="U15" s="61">
        <f t="shared" si="5"/>
        <v>2.4</v>
      </c>
    </row>
    <row r="16" spans="1:21" ht="16.5" customHeight="1">
      <c r="A16" s="41" t="str">
        <f>+'1. 소켓인수검사'!A15</f>
        <v>07</v>
      </c>
      <c r="B16" s="42">
        <f>+'1. 소켓인수검사'!C15</f>
        <v>550</v>
      </c>
      <c r="C16" s="42">
        <f>+'1. 소켓인수검사'!D15</f>
        <v>400</v>
      </c>
      <c r="D16" s="78" t="str">
        <f>+'1. 소켓인수검사'!B15</f>
        <v>HTG-064</v>
      </c>
      <c r="E16" s="58">
        <f t="shared" si="6"/>
        <v>0.22</v>
      </c>
      <c r="F16" s="58">
        <f t="shared" si="7"/>
        <v>1.9</v>
      </c>
      <c r="G16" s="59">
        <f t="shared" si="0"/>
        <v>2.2999999999999998</v>
      </c>
      <c r="H16" s="60">
        <v>1</v>
      </c>
      <c r="I16" s="60">
        <f t="shared" si="3"/>
        <v>2.2999999999999998</v>
      </c>
      <c r="J16" s="286"/>
      <c r="K16" s="286"/>
      <c r="L16" s="286"/>
      <c r="M16" s="59">
        <v>1</v>
      </c>
      <c r="N16" s="121">
        <f>'2.1 재단(1.69,064)'!T14/2</f>
        <v>3</v>
      </c>
      <c r="O16" s="46"/>
      <c r="P16" s="87"/>
      <c r="Q16" s="87"/>
      <c r="R16" s="87"/>
      <c r="S16" s="59">
        <f t="shared" si="4"/>
        <v>2.4</v>
      </c>
      <c r="T16" s="61">
        <v>1</v>
      </c>
      <c r="U16" s="61">
        <f t="shared" si="5"/>
        <v>2.4</v>
      </c>
    </row>
    <row r="17" spans="1:21" ht="16.5" customHeight="1">
      <c r="A17" s="41" t="str">
        <f>+'1. 소켓인수검사'!A16</f>
        <v>08</v>
      </c>
      <c r="B17" s="42">
        <f>+'1. 소켓인수검사'!C16</f>
        <v>550</v>
      </c>
      <c r="C17" s="42">
        <f>+'1. 소켓인수검사'!D16</f>
        <v>400</v>
      </c>
      <c r="D17" s="78" t="str">
        <f>+'1. 소켓인수검사'!B16</f>
        <v>HTG-064</v>
      </c>
      <c r="E17" s="58">
        <f t="shared" si="6"/>
        <v>0.22</v>
      </c>
      <c r="F17" s="58">
        <f t="shared" si="7"/>
        <v>1.9</v>
      </c>
      <c r="G17" s="59">
        <f t="shared" si="0"/>
        <v>2.2999999999999998</v>
      </c>
      <c r="H17" s="60">
        <v>1</v>
      </c>
      <c r="I17" s="60">
        <f t="shared" si="3"/>
        <v>2.2999999999999998</v>
      </c>
      <c r="J17" s="286"/>
      <c r="K17" s="286"/>
      <c r="L17" s="286"/>
      <c r="M17" s="59">
        <v>1</v>
      </c>
      <c r="N17" s="121">
        <f>'2.1 재단(1.69,064)'!T15/2</f>
        <v>3</v>
      </c>
      <c r="O17" s="46"/>
      <c r="P17" s="87"/>
      <c r="Q17" s="87"/>
      <c r="R17" s="87"/>
      <c r="S17" s="59">
        <f t="shared" si="4"/>
        <v>2.4</v>
      </c>
      <c r="T17" s="61">
        <v>1</v>
      </c>
      <c r="U17" s="61">
        <f t="shared" si="5"/>
        <v>2.4</v>
      </c>
    </row>
    <row r="18" spans="1:21" ht="16.5" customHeight="1">
      <c r="A18" s="41" t="str">
        <f>+'1. 소켓인수검사'!A17</f>
        <v>09</v>
      </c>
      <c r="B18" s="42">
        <f>+'1. 소켓인수검사'!C17</f>
        <v>550</v>
      </c>
      <c r="C18" s="42">
        <f>+'1. 소켓인수검사'!D17</f>
        <v>400</v>
      </c>
      <c r="D18" s="78" t="str">
        <f>+'1. 소켓인수검사'!B17</f>
        <v>HTG-064</v>
      </c>
      <c r="E18" s="58">
        <f t="shared" si="6"/>
        <v>0.22</v>
      </c>
      <c r="F18" s="58">
        <f t="shared" si="7"/>
        <v>1.9</v>
      </c>
      <c r="G18" s="59">
        <f t="shared" si="0"/>
        <v>2.2999999999999998</v>
      </c>
      <c r="H18" s="60">
        <v>1</v>
      </c>
      <c r="I18" s="60">
        <f t="shared" si="3"/>
        <v>2.2999999999999998</v>
      </c>
      <c r="J18" s="286"/>
      <c r="K18" s="286"/>
      <c r="L18" s="286"/>
      <c r="M18" s="59">
        <v>1</v>
      </c>
      <c r="N18" s="121">
        <f>'2.1 재단(1.69,064)'!T16/2</f>
        <v>3</v>
      </c>
      <c r="O18" s="46"/>
      <c r="P18" s="87"/>
      <c r="Q18" s="87"/>
      <c r="R18" s="87"/>
      <c r="S18" s="59">
        <f t="shared" si="4"/>
        <v>2.4</v>
      </c>
      <c r="T18" s="61">
        <v>1</v>
      </c>
      <c r="U18" s="61">
        <f t="shared" si="5"/>
        <v>2.4</v>
      </c>
    </row>
    <row r="19" spans="1:21" ht="16.5" customHeight="1">
      <c r="A19" s="41" t="str">
        <f>+'1. 소켓인수검사'!A18</f>
        <v>10</v>
      </c>
      <c r="B19" s="42">
        <f>+'1. 소켓인수검사'!C18</f>
        <v>550</v>
      </c>
      <c r="C19" s="42">
        <f>+'1. 소켓인수검사'!D18</f>
        <v>400</v>
      </c>
      <c r="D19" s="78" t="str">
        <f>+'1. 소켓인수검사'!B18</f>
        <v>HTG-064</v>
      </c>
      <c r="E19" s="58">
        <f t="shared" si="6"/>
        <v>0.22</v>
      </c>
      <c r="F19" s="58">
        <f t="shared" si="7"/>
        <v>1.9</v>
      </c>
      <c r="G19" s="59">
        <f t="shared" si="0"/>
        <v>2.2999999999999998</v>
      </c>
      <c r="H19" s="60">
        <v>1</v>
      </c>
      <c r="I19" s="60">
        <f t="shared" si="3"/>
        <v>2.2999999999999998</v>
      </c>
      <c r="J19" s="286"/>
      <c r="K19" s="286"/>
      <c r="L19" s="286"/>
      <c r="M19" s="59">
        <v>1</v>
      </c>
      <c r="N19" s="121">
        <f>'2.1 재단(1.69,064)'!T17/2</f>
        <v>3</v>
      </c>
      <c r="O19" s="46"/>
      <c r="P19" s="87"/>
      <c r="Q19" s="87"/>
      <c r="R19" s="87"/>
      <c r="S19" s="59">
        <f t="shared" si="4"/>
        <v>2.4</v>
      </c>
      <c r="T19" s="61">
        <v>1</v>
      </c>
      <c r="U19" s="61">
        <f t="shared" si="5"/>
        <v>2.4</v>
      </c>
    </row>
    <row r="20" spans="1:21" ht="16.5" customHeight="1">
      <c r="A20" s="41" t="str">
        <f>+'1. 소켓인수검사'!A19</f>
        <v>11</v>
      </c>
      <c r="B20" s="42">
        <f>+'1. 소켓인수검사'!C19</f>
        <v>550</v>
      </c>
      <c r="C20" s="42">
        <f>+'1. 소켓인수검사'!D19</f>
        <v>400</v>
      </c>
      <c r="D20" s="78" t="str">
        <f>+'1. 소켓인수검사'!B19</f>
        <v>HTG-064</v>
      </c>
      <c r="E20" s="58">
        <f t="shared" si="6"/>
        <v>0.22</v>
      </c>
      <c r="F20" s="58">
        <f t="shared" si="7"/>
        <v>1.9</v>
      </c>
      <c r="G20" s="59">
        <f t="shared" si="0"/>
        <v>2.2999999999999998</v>
      </c>
      <c r="H20" s="60">
        <v>1</v>
      </c>
      <c r="I20" s="60">
        <f t="shared" si="3"/>
        <v>2.2999999999999998</v>
      </c>
      <c r="J20" s="286"/>
      <c r="K20" s="286"/>
      <c r="L20" s="286"/>
      <c r="M20" s="59">
        <v>1</v>
      </c>
      <c r="N20" s="121">
        <f>'2.1 재단(1.69,064)'!T18/2</f>
        <v>3</v>
      </c>
      <c r="O20" s="46"/>
      <c r="P20" s="87"/>
      <c r="Q20" s="87"/>
      <c r="R20" s="87"/>
      <c r="S20" s="59">
        <f t="shared" si="4"/>
        <v>2.4</v>
      </c>
      <c r="T20" s="61">
        <v>1</v>
      </c>
      <c r="U20" s="61">
        <f t="shared" si="5"/>
        <v>2.4</v>
      </c>
    </row>
    <row r="21" spans="1:21" ht="16.5" customHeight="1">
      <c r="A21" s="41" t="str">
        <f>+'1. 소켓인수검사'!A20</f>
        <v>12</v>
      </c>
      <c r="B21" s="42">
        <f>+'1. 소켓인수검사'!C20</f>
        <v>550</v>
      </c>
      <c r="C21" s="42">
        <f>+'1. 소켓인수검사'!D20</f>
        <v>400</v>
      </c>
      <c r="D21" s="78" t="str">
        <f>+'1. 소켓인수검사'!B20</f>
        <v>HTG-064</v>
      </c>
      <c r="E21" s="58">
        <f t="shared" si="6"/>
        <v>0.22</v>
      </c>
      <c r="F21" s="58">
        <f t="shared" si="7"/>
        <v>1.9</v>
      </c>
      <c r="G21" s="59">
        <f t="shared" si="0"/>
        <v>2.2999999999999998</v>
      </c>
      <c r="H21" s="60">
        <v>1</v>
      </c>
      <c r="I21" s="60">
        <f t="shared" si="3"/>
        <v>2.2999999999999998</v>
      </c>
      <c r="J21" s="286"/>
      <c r="K21" s="286"/>
      <c r="L21" s="286"/>
      <c r="M21" s="59">
        <v>1</v>
      </c>
      <c r="N21" s="121">
        <f>'2.1 재단(1.69,064)'!T19/2</f>
        <v>3</v>
      </c>
      <c r="O21" s="46"/>
      <c r="P21" s="87"/>
      <c r="Q21" s="87"/>
      <c r="R21" s="87"/>
      <c r="S21" s="59">
        <f t="shared" si="4"/>
        <v>2.4</v>
      </c>
      <c r="T21" s="61">
        <v>1</v>
      </c>
      <c r="U21" s="61">
        <f t="shared" si="5"/>
        <v>2.4</v>
      </c>
    </row>
    <row r="22" spans="1:21" ht="20.25">
      <c r="A22" s="287" t="s">
        <v>25</v>
      </c>
      <c r="B22" s="288"/>
      <c r="C22" s="288"/>
      <c r="D22" s="288"/>
      <c r="E22" s="288"/>
      <c r="F22" s="288"/>
      <c r="G22" s="88"/>
      <c r="H22" s="88"/>
      <c r="I22" s="89">
        <f>SUM(I10:I21)</f>
        <v>27.600000000000005</v>
      </c>
      <c r="J22" s="88"/>
      <c r="K22" s="88"/>
      <c r="L22" s="89">
        <f>SUM(L10:L21)</f>
        <v>0</v>
      </c>
      <c r="M22" s="88"/>
      <c r="N22" s="90">
        <f>SUM(N10:N21)</f>
        <v>36</v>
      </c>
      <c r="O22" s="91"/>
      <c r="P22" s="88"/>
      <c r="Q22" s="88"/>
      <c r="R22" s="89">
        <f>SUM(R10:R21)</f>
        <v>0</v>
      </c>
      <c r="S22" s="92"/>
      <c r="T22" s="88"/>
      <c r="U22" s="89">
        <f>SUM(U10:U21)</f>
        <v>28.799999999999994</v>
      </c>
    </row>
    <row r="23" spans="1:21" ht="17.25" customHeight="1">
      <c r="A23" s="289" t="s">
        <v>53</v>
      </c>
      <c r="B23" s="289"/>
      <c r="C23" s="289"/>
      <c r="D23" s="289"/>
      <c r="E23" s="289"/>
      <c r="F23" s="289"/>
      <c r="G23" s="290">
        <f>I22/20</f>
        <v>1.3800000000000003</v>
      </c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</row>
    <row r="24" spans="1:21" ht="17.25" customHeight="1">
      <c r="A24" s="289" t="s">
        <v>52</v>
      </c>
      <c r="B24" s="289"/>
      <c r="C24" s="289"/>
      <c r="D24" s="289"/>
      <c r="E24" s="289"/>
      <c r="F24" s="289"/>
      <c r="G24" s="290">
        <f>L22/20</f>
        <v>0</v>
      </c>
      <c r="H24" s="290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</row>
    <row r="25" spans="1:21" ht="17.25" customHeight="1">
      <c r="A25" s="289" t="s">
        <v>51</v>
      </c>
      <c r="B25" s="289"/>
      <c r="C25" s="289"/>
      <c r="D25" s="289"/>
      <c r="E25" s="289"/>
      <c r="F25" s="289"/>
      <c r="G25" s="290">
        <f>R22/4.8</f>
        <v>0</v>
      </c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</row>
    <row r="26" spans="1:21" ht="17.25" customHeight="1">
      <c r="A26" s="289" t="s">
        <v>50</v>
      </c>
      <c r="B26" s="289"/>
      <c r="C26" s="289"/>
      <c r="D26" s="289"/>
      <c r="E26" s="289"/>
      <c r="F26" s="289"/>
      <c r="G26" s="290">
        <f>U22/3.6</f>
        <v>7.9999999999999982</v>
      </c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</row>
    <row r="27" spans="1:21" ht="20.25" customHeight="1">
      <c r="A27" s="199" t="s">
        <v>7</v>
      </c>
      <c r="B27" s="199"/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/>
      <c r="U27" s="297"/>
    </row>
    <row r="28" spans="1:21" ht="20.25" customHeight="1">
      <c r="A28" s="199"/>
      <c r="B28" s="199"/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97"/>
      <c r="U28" s="297"/>
    </row>
    <row r="29" spans="1:21" ht="20.25" customHeight="1">
      <c r="A29" s="199"/>
      <c r="B29" s="199"/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</row>
    <row r="30" spans="1:21" ht="20.25" customHeight="1">
      <c r="A30" s="199"/>
      <c r="B30" s="199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97"/>
      <c r="U30" s="297"/>
    </row>
  </sheetData>
  <mergeCells count="34">
    <mergeCell ref="A27:B30"/>
    <mergeCell ref="C27:U30"/>
    <mergeCell ref="A24:F24"/>
    <mergeCell ref="G24:U24"/>
    <mergeCell ref="A25:F25"/>
    <mergeCell ref="G25:U25"/>
    <mergeCell ref="A26:F26"/>
    <mergeCell ref="G26:U26"/>
    <mergeCell ref="J10:L21"/>
    <mergeCell ref="A22:F22"/>
    <mergeCell ref="A23:F23"/>
    <mergeCell ref="G23:U23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26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A19" sqref="A19:XFD126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12"/>
      <c r="B1" s="313"/>
      <c r="C1" s="313"/>
      <c r="D1" s="313"/>
      <c r="E1" s="102" t="s">
        <v>84</v>
      </c>
      <c r="F1" s="306" t="s">
        <v>85</v>
      </c>
      <c r="G1" s="306"/>
      <c r="H1" s="306"/>
      <c r="I1" s="306"/>
      <c r="J1" s="306" t="str">
        <f>'1. 소켓인수검사'!R1</f>
        <v>26.06.02 씨에스_캐피탈랜드(입상)</v>
      </c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9"/>
    </row>
    <row r="2" spans="1:27" ht="16.5" customHeight="1">
      <c r="A2" s="314"/>
      <c r="B2" s="223"/>
      <c r="C2" s="223"/>
      <c r="D2" s="223"/>
      <c r="E2" s="101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10"/>
    </row>
    <row r="3" spans="1:27" ht="24" customHeight="1" thickBot="1">
      <c r="A3" s="315"/>
      <c r="B3" s="316"/>
      <c r="C3" s="316"/>
      <c r="D3" s="316"/>
      <c r="E3" s="103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11"/>
    </row>
    <row r="4" spans="1:27" ht="8.1" customHeight="1">
      <c r="A4" s="304"/>
      <c r="B4" s="305"/>
      <c r="C4" s="305"/>
      <c r="D4" s="305"/>
      <c r="E4" s="305"/>
      <c r="F4" s="305"/>
      <c r="G4" s="305"/>
      <c r="H4" s="304"/>
      <c r="I4" s="305"/>
      <c r="J4" s="305"/>
      <c r="K4" s="305"/>
      <c r="L4" s="305"/>
      <c r="M4" s="305"/>
      <c r="N4" s="305"/>
      <c r="O4" s="36"/>
      <c r="P4" s="36"/>
      <c r="Q4" s="36"/>
      <c r="S4" s="36"/>
      <c r="U4" s="36"/>
      <c r="W4" s="36"/>
      <c r="Y4" s="36"/>
      <c r="Z4" s="36"/>
      <c r="AA4" s="36"/>
    </row>
    <row r="5" spans="1:27" ht="16.5" customHeight="1">
      <c r="A5" s="317" t="s">
        <v>27</v>
      </c>
      <c r="B5" s="298" t="s">
        <v>32</v>
      </c>
      <c r="C5" s="298" t="s">
        <v>28</v>
      </c>
      <c r="D5" s="298" t="s">
        <v>16</v>
      </c>
      <c r="E5" s="298" t="s">
        <v>43</v>
      </c>
      <c r="F5" s="298" t="s">
        <v>29</v>
      </c>
      <c r="G5" s="298" t="s">
        <v>21</v>
      </c>
      <c r="H5" s="320" t="s">
        <v>37</v>
      </c>
      <c r="I5" s="298" t="s">
        <v>76</v>
      </c>
      <c r="J5" s="298"/>
      <c r="K5" s="298" t="s">
        <v>76</v>
      </c>
      <c r="L5" s="298"/>
      <c r="M5" s="298" t="s">
        <v>3</v>
      </c>
      <c r="N5" s="298"/>
      <c r="O5" s="298" t="s">
        <v>3</v>
      </c>
      <c r="P5" s="298"/>
      <c r="Q5" s="326" t="s">
        <v>75</v>
      </c>
      <c r="R5" s="326"/>
      <c r="S5" s="326" t="s">
        <v>58</v>
      </c>
      <c r="T5" s="326"/>
      <c r="U5" s="326" t="s">
        <v>57</v>
      </c>
      <c r="V5" s="326"/>
      <c r="W5" s="326" t="s">
        <v>74</v>
      </c>
      <c r="X5" s="326"/>
      <c r="Y5" s="324" t="s">
        <v>40</v>
      </c>
      <c r="Z5" s="324" t="s">
        <v>22</v>
      </c>
      <c r="AA5" s="322" t="s">
        <v>44</v>
      </c>
    </row>
    <row r="6" spans="1:27" ht="26.45" customHeight="1">
      <c r="A6" s="318"/>
      <c r="B6" s="319"/>
      <c r="C6" s="319"/>
      <c r="D6" s="319"/>
      <c r="E6" s="319"/>
      <c r="F6" s="319"/>
      <c r="G6" s="319"/>
      <c r="H6" s="321"/>
      <c r="I6" s="62" t="s">
        <v>15</v>
      </c>
      <c r="J6" s="63" t="s">
        <v>2</v>
      </c>
      <c r="K6" s="62" t="s">
        <v>60</v>
      </c>
      <c r="L6" s="63" t="s">
        <v>2</v>
      </c>
      <c r="M6" s="62" t="s">
        <v>78</v>
      </c>
      <c r="N6" s="63" t="s">
        <v>2</v>
      </c>
      <c r="O6" s="62" t="s">
        <v>49</v>
      </c>
      <c r="P6" s="63" t="s">
        <v>2</v>
      </c>
      <c r="Q6" s="62" t="s">
        <v>17</v>
      </c>
      <c r="R6" s="63" t="s">
        <v>30</v>
      </c>
      <c r="S6" s="62" t="s">
        <v>17</v>
      </c>
      <c r="T6" s="63" t="s">
        <v>30</v>
      </c>
      <c r="U6" s="62" t="s">
        <v>17</v>
      </c>
      <c r="V6" s="63" t="s">
        <v>30</v>
      </c>
      <c r="W6" s="62" t="s">
        <v>17</v>
      </c>
      <c r="X6" s="63" t="s">
        <v>30</v>
      </c>
      <c r="Y6" s="325"/>
      <c r="Z6" s="325"/>
      <c r="AA6" s="323"/>
    </row>
    <row r="7" spans="1:27">
      <c r="A7" s="64" t="str">
        <f>'1. 소켓인수검사'!A9</f>
        <v>01</v>
      </c>
      <c r="B7" s="65" t="str">
        <f>'1. 소켓인수검사'!B9</f>
        <v>HTG-064</v>
      </c>
      <c r="C7" s="46">
        <f>'1. 소켓인수검사'!C9</f>
        <v>550</v>
      </c>
      <c r="D7" s="46">
        <f>'1. 소켓인수검사'!D9</f>
        <v>400</v>
      </c>
      <c r="E7" s="50"/>
      <c r="F7" s="66">
        <f>C7*D7/1000000</f>
        <v>0.22</v>
      </c>
      <c r="G7" s="66">
        <f>(C7+D7)*2/1000</f>
        <v>1.9</v>
      </c>
      <c r="H7" s="67">
        <v>1</v>
      </c>
      <c r="I7" s="62">
        <f>(G7+0.4)</f>
        <v>2.2999999999999998</v>
      </c>
      <c r="J7" s="63">
        <v>1</v>
      </c>
      <c r="K7" s="68"/>
      <c r="L7" s="68"/>
      <c r="M7" s="68"/>
      <c r="N7" s="68"/>
      <c r="O7" s="62">
        <f>G7+0.5</f>
        <v>2.4</v>
      </c>
      <c r="P7" s="63">
        <f>1</f>
        <v>1</v>
      </c>
      <c r="Q7" s="122">
        <f>'2.1 재단(1.69,064)'!Z8</f>
        <v>3</v>
      </c>
      <c r="R7" s="63">
        <f>Q7</f>
        <v>3</v>
      </c>
      <c r="S7" s="122">
        <f>'2.1 재단(1.69,064)'!Z8</f>
        <v>3</v>
      </c>
      <c r="T7" s="63">
        <f>S7</f>
        <v>3</v>
      </c>
      <c r="U7" s="122">
        <f>'2.1 재단(1.69,064)'!T8/2</f>
        <v>3</v>
      </c>
      <c r="V7" s="63">
        <f>U7</f>
        <v>3</v>
      </c>
      <c r="W7" s="122">
        <f>'2.1 재단(1.69,064)'!T8/2</f>
        <v>3</v>
      </c>
      <c r="X7" s="63">
        <f>W7</f>
        <v>3</v>
      </c>
      <c r="Y7" s="69" t="s">
        <v>62</v>
      </c>
      <c r="Z7" s="70" t="s">
        <v>87</v>
      </c>
      <c r="AA7" s="71">
        <f>'1. 소켓인수검사'!G9</f>
        <v>0</v>
      </c>
    </row>
    <row r="8" spans="1:27">
      <c r="A8" s="64" t="str">
        <f>'1. 소켓인수검사'!A10</f>
        <v>02</v>
      </c>
      <c r="B8" s="65" t="str">
        <f>'1. 소켓인수검사'!B10</f>
        <v>HTG-064</v>
      </c>
      <c r="C8" s="46">
        <f>'1. 소켓인수검사'!C10</f>
        <v>550</v>
      </c>
      <c r="D8" s="46">
        <f>'1. 소켓인수검사'!D10</f>
        <v>400</v>
      </c>
      <c r="E8" s="50"/>
      <c r="F8" s="66">
        <f t="shared" ref="F8:F18" si="0">C8*D8/1000000</f>
        <v>0.22</v>
      </c>
      <c r="G8" s="66">
        <f t="shared" ref="G8:G18" si="1">(C8+D8)*2/1000</f>
        <v>1.9</v>
      </c>
      <c r="H8" s="67">
        <v>1</v>
      </c>
      <c r="I8" s="62">
        <f>(G8+0.4)</f>
        <v>2.2999999999999998</v>
      </c>
      <c r="J8" s="63">
        <v>1</v>
      </c>
      <c r="K8" s="68"/>
      <c r="L8" s="68"/>
      <c r="M8" s="68"/>
      <c r="N8" s="68"/>
      <c r="O8" s="62">
        <f t="shared" ref="O8:O18" si="2">I8+0.5</f>
        <v>2.8</v>
      </c>
      <c r="P8" s="63">
        <f>1</f>
        <v>1</v>
      </c>
      <c r="Q8" s="122">
        <f>'2.1 재단(1.69,064)'!Z9</f>
        <v>3</v>
      </c>
      <c r="R8" s="63">
        <f>Q8</f>
        <v>3</v>
      </c>
      <c r="S8" s="122">
        <f>'2.1 재단(1.69,064)'!Z9</f>
        <v>3</v>
      </c>
      <c r="T8" s="63">
        <f>S8</f>
        <v>3</v>
      </c>
      <c r="U8" s="122">
        <f>'2.1 재단(1.69,064)'!T9/2</f>
        <v>3</v>
      </c>
      <c r="V8" s="63">
        <f>U8</f>
        <v>3</v>
      </c>
      <c r="W8" s="122">
        <f>'2.1 재단(1.69,064)'!T9/2</f>
        <v>3</v>
      </c>
      <c r="X8" s="63">
        <f>W8</f>
        <v>3</v>
      </c>
      <c r="Y8" s="69" t="s">
        <v>62</v>
      </c>
      <c r="Z8" s="70" t="s">
        <v>87</v>
      </c>
      <c r="AA8" s="71">
        <f>'1. 소켓인수검사'!G10</f>
        <v>0</v>
      </c>
    </row>
    <row r="9" spans="1:27">
      <c r="A9" s="64" t="str">
        <f>'1. 소켓인수검사'!A11</f>
        <v>03</v>
      </c>
      <c r="B9" s="65" t="str">
        <f>'1. 소켓인수검사'!B11</f>
        <v>HTG-064</v>
      </c>
      <c r="C9" s="46">
        <f>'1. 소켓인수검사'!C11</f>
        <v>550</v>
      </c>
      <c r="D9" s="46">
        <f>'1. 소켓인수검사'!D11</f>
        <v>400</v>
      </c>
      <c r="E9" s="50"/>
      <c r="F9" s="66">
        <f t="shared" si="0"/>
        <v>0.22</v>
      </c>
      <c r="G9" s="66">
        <f t="shared" si="1"/>
        <v>1.9</v>
      </c>
      <c r="H9" s="67">
        <v>1</v>
      </c>
      <c r="I9" s="62">
        <f>(G9+0.4)</f>
        <v>2.2999999999999998</v>
      </c>
      <c r="J9" s="63">
        <v>1</v>
      </c>
      <c r="K9" s="68"/>
      <c r="L9" s="68"/>
      <c r="M9" s="68"/>
      <c r="N9" s="68"/>
      <c r="O9" s="62">
        <f t="shared" si="2"/>
        <v>2.8</v>
      </c>
      <c r="P9" s="63">
        <v>1</v>
      </c>
      <c r="Q9" s="122">
        <f>'2.1 재단(1.69,064)'!Z10</f>
        <v>3</v>
      </c>
      <c r="R9" s="63">
        <f t="shared" ref="R9:R18" si="3">Q9</f>
        <v>3</v>
      </c>
      <c r="S9" s="122">
        <f>'2.1 재단(1.69,064)'!Z10</f>
        <v>3</v>
      </c>
      <c r="T9" s="63">
        <f t="shared" ref="T9:T18" si="4">S9</f>
        <v>3</v>
      </c>
      <c r="U9" s="122">
        <f>'2.1 재단(1.69,064)'!T10/2</f>
        <v>3</v>
      </c>
      <c r="V9" s="63">
        <f t="shared" ref="V9:V18" si="5">U9</f>
        <v>3</v>
      </c>
      <c r="W9" s="122">
        <f>'2.1 재단(1.69,064)'!T10/2</f>
        <v>3</v>
      </c>
      <c r="X9" s="63">
        <f t="shared" ref="X9:X18" si="6">W9</f>
        <v>3</v>
      </c>
      <c r="Y9" s="69" t="s">
        <v>62</v>
      </c>
      <c r="Z9" s="70" t="s">
        <v>87</v>
      </c>
      <c r="AA9" s="71">
        <f>'1. 소켓인수검사'!G11</f>
        <v>0</v>
      </c>
    </row>
    <row r="10" spans="1:27">
      <c r="A10" s="64" t="str">
        <f>'1. 소켓인수검사'!A12</f>
        <v>04</v>
      </c>
      <c r="B10" s="65" t="str">
        <f>'1. 소켓인수검사'!B12</f>
        <v>HTG-064</v>
      </c>
      <c r="C10" s="46">
        <f>'1. 소켓인수검사'!C12</f>
        <v>550</v>
      </c>
      <c r="D10" s="46">
        <f>'1. 소켓인수검사'!D12</f>
        <v>400</v>
      </c>
      <c r="E10" s="50"/>
      <c r="F10" s="66">
        <f t="shared" si="0"/>
        <v>0.22</v>
      </c>
      <c r="G10" s="66">
        <f t="shared" si="1"/>
        <v>1.9</v>
      </c>
      <c r="H10" s="67">
        <v>1</v>
      </c>
      <c r="I10" s="62">
        <f t="shared" ref="I10:I18" si="7">(G10+0.4)</f>
        <v>2.2999999999999998</v>
      </c>
      <c r="J10" s="63">
        <v>1</v>
      </c>
      <c r="K10" s="68"/>
      <c r="L10" s="68"/>
      <c r="M10" s="68"/>
      <c r="N10" s="68"/>
      <c r="O10" s="62">
        <f t="shared" si="2"/>
        <v>2.8</v>
      </c>
      <c r="P10" s="63">
        <f>1</f>
        <v>1</v>
      </c>
      <c r="Q10" s="122">
        <f>'2.1 재단(1.69,064)'!Z11</f>
        <v>3</v>
      </c>
      <c r="R10" s="63">
        <f t="shared" si="3"/>
        <v>3</v>
      </c>
      <c r="S10" s="122">
        <f>'2.1 재단(1.69,064)'!Z11</f>
        <v>3</v>
      </c>
      <c r="T10" s="63">
        <f t="shared" si="4"/>
        <v>3</v>
      </c>
      <c r="U10" s="122">
        <f>'2.1 재단(1.69,064)'!T11/2</f>
        <v>3</v>
      </c>
      <c r="V10" s="63">
        <f t="shared" si="5"/>
        <v>3</v>
      </c>
      <c r="W10" s="122">
        <f>'2.1 재단(1.69,064)'!T11/2</f>
        <v>3</v>
      </c>
      <c r="X10" s="63">
        <f t="shared" si="6"/>
        <v>3</v>
      </c>
      <c r="Y10" s="69" t="s">
        <v>62</v>
      </c>
      <c r="Z10" s="70" t="s">
        <v>87</v>
      </c>
      <c r="AA10" s="71">
        <f>'1. 소켓인수검사'!G12</f>
        <v>0</v>
      </c>
    </row>
    <row r="11" spans="1:27">
      <c r="A11" s="64" t="str">
        <f>'1. 소켓인수검사'!A13</f>
        <v>05</v>
      </c>
      <c r="B11" s="65" t="str">
        <f>'1. 소켓인수검사'!B13</f>
        <v>HTG-064</v>
      </c>
      <c r="C11" s="46">
        <f>'1. 소켓인수검사'!C13</f>
        <v>550</v>
      </c>
      <c r="D11" s="46">
        <f>'1. 소켓인수검사'!D13</f>
        <v>400</v>
      </c>
      <c r="E11" s="50"/>
      <c r="F11" s="66">
        <f t="shared" si="0"/>
        <v>0.22</v>
      </c>
      <c r="G11" s="66">
        <f t="shared" si="1"/>
        <v>1.9</v>
      </c>
      <c r="H11" s="67">
        <v>1</v>
      </c>
      <c r="I11" s="62">
        <f t="shared" si="7"/>
        <v>2.2999999999999998</v>
      </c>
      <c r="J11" s="63">
        <v>1</v>
      </c>
      <c r="K11" s="68"/>
      <c r="L11" s="68"/>
      <c r="M11" s="68"/>
      <c r="N11" s="68"/>
      <c r="O11" s="62">
        <f t="shared" si="2"/>
        <v>2.8</v>
      </c>
      <c r="P11" s="63">
        <v>1</v>
      </c>
      <c r="Q11" s="122">
        <f>'2.1 재단(1.69,064)'!Z12</f>
        <v>3</v>
      </c>
      <c r="R11" s="63">
        <f t="shared" si="3"/>
        <v>3</v>
      </c>
      <c r="S11" s="122">
        <f>'2.1 재단(1.69,064)'!Z12</f>
        <v>3</v>
      </c>
      <c r="T11" s="63">
        <f t="shared" si="4"/>
        <v>3</v>
      </c>
      <c r="U11" s="122">
        <f>'2.1 재단(1.69,064)'!T12/2</f>
        <v>3</v>
      </c>
      <c r="V11" s="63">
        <f t="shared" si="5"/>
        <v>3</v>
      </c>
      <c r="W11" s="122">
        <f>'2.1 재단(1.69,064)'!T12/2</f>
        <v>3</v>
      </c>
      <c r="X11" s="63">
        <f t="shared" si="6"/>
        <v>3</v>
      </c>
      <c r="Y11" s="69" t="s">
        <v>62</v>
      </c>
      <c r="Z11" s="70" t="s">
        <v>87</v>
      </c>
      <c r="AA11" s="71">
        <f>'1. 소켓인수검사'!G13</f>
        <v>0</v>
      </c>
    </row>
    <row r="12" spans="1:27">
      <c r="A12" s="64" t="str">
        <f>'1. 소켓인수검사'!A14</f>
        <v>06</v>
      </c>
      <c r="B12" s="65" t="str">
        <f>'1. 소켓인수검사'!B14</f>
        <v>HTG-064</v>
      </c>
      <c r="C12" s="46">
        <f>'1. 소켓인수검사'!C14</f>
        <v>550</v>
      </c>
      <c r="D12" s="46">
        <f>'1. 소켓인수검사'!D14</f>
        <v>400</v>
      </c>
      <c r="E12" s="50"/>
      <c r="F12" s="66">
        <f t="shared" si="0"/>
        <v>0.22</v>
      </c>
      <c r="G12" s="66">
        <f t="shared" si="1"/>
        <v>1.9</v>
      </c>
      <c r="H12" s="67">
        <v>1</v>
      </c>
      <c r="I12" s="62">
        <f t="shared" si="7"/>
        <v>2.2999999999999998</v>
      </c>
      <c r="J12" s="63">
        <v>1</v>
      </c>
      <c r="K12" s="68"/>
      <c r="L12" s="68"/>
      <c r="M12" s="68"/>
      <c r="N12" s="68"/>
      <c r="O12" s="62">
        <f t="shared" si="2"/>
        <v>2.8</v>
      </c>
      <c r="P12" s="63">
        <f>1</f>
        <v>1</v>
      </c>
      <c r="Q12" s="122">
        <f>'2.1 재단(1.69,064)'!Z13</f>
        <v>3</v>
      </c>
      <c r="R12" s="63">
        <f t="shared" si="3"/>
        <v>3</v>
      </c>
      <c r="S12" s="122">
        <f>'2.1 재단(1.69,064)'!Z13</f>
        <v>3</v>
      </c>
      <c r="T12" s="63">
        <f t="shared" si="4"/>
        <v>3</v>
      </c>
      <c r="U12" s="122">
        <f>'2.1 재단(1.69,064)'!T13/2</f>
        <v>3</v>
      </c>
      <c r="V12" s="63">
        <f t="shared" si="5"/>
        <v>3</v>
      </c>
      <c r="W12" s="122">
        <f>'2.1 재단(1.69,064)'!T13/2</f>
        <v>3</v>
      </c>
      <c r="X12" s="63">
        <f t="shared" si="6"/>
        <v>3</v>
      </c>
      <c r="Y12" s="69" t="s">
        <v>62</v>
      </c>
      <c r="Z12" s="70" t="s">
        <v>87</v>
      </c>
      <c r="AA12" s="71">
        <f>'1. 소켓인수검사'!G14</f>
        <v>0</v>
      </c>
    </row>
    <row r="13" spans="1:27">
      <c r="A13" s="64" t="str">
        <f>'1. 소켓인수검사'!A15</f>
        <v>07</v>
      </c>
      <c r="B13" s="65" t="str">
        <f>'1. 소켓인수검사'!B15</f>
        <v>HTG-064</v>
      </c>
      <c r="C13" s="46">
        <f>'1. 소켓인수검사'!C15</f>
        <v>550</v>
      </c>
      <c r="D13" s="46">
        <f>'1. 소켓인수검사'!D15</f>
        <v>400</v>
      </c>
      <c r="E13" s="50"/>
      <c r="F13" s="66">
        <f t="shared" si="0"/>
        <v>0.22</v>
      </c>
      <c r="G13" s="66">
        <f t="shared" si="1"/>
        <v>1.9</v>
      </c>
      <c r="H13" s="67">
        <v>1</v>
      </c>
      <c r="I13" s="62">
        <f t="shared" si="7"/>
        <v>2.2999999999999998</v>
      </c>
      <c r="J13" s="63">
        <v>1</v>
      </c>
      <c r="K13" s="68"/>
      <c r="L13" s="68"/>
      <c r="M13" s="68"/>
      <c r="N13" s="68"/>
      <c r="O13" s="62">
        <f t="shared" si="2"/>
        <v>2.8</v>
      </c>
      <c r="P13" s="63">
        <v>1</v>
      </c>
      <c r="Q13" s="122">
        <f>'2.1 재단(1.69,064)'!Z14</f>
        <v>3</v>
      </c>
      <c r="R13" s="63">
        <f t="shared" si="3"/>
        <v>3</v>
      </c>
      <c r="S13" s="122">
        <f>'2.1 재단(1.69,064)'!Z14</f>
        <v>3</v>
      </c>
      <c r="T13" s="63">
        <f t="shared" si="4"/>
        <v>3</v>
      </c>
      <c r="U13" s="122">
        <f>'2.1 재단(1.69,064)'!T14/2</f>
        <v>3</v>
      </c>
      <c r="V13" s="63">
        <f t="shared" si="5"/>
        <v>3</v>
      </c>
      <c r="W13" s="122">
        <f>'2.1 재단(1.69,064)'!T14/2</f>
        <v>3</v>
      </c>
      <c r="X13" s="63">
        <f t="shared" si="6"/>
        <v>3</v>
      </c>
      <c r="Y13" s="69" t="s">
        <v>62</v>
      </c>
      <c r="Z13" s="70" t="s">
        <v>87</v>
      </c>
      <c r="AA13" s="71">
        <f>'1. 소켓인수검사'!G15</f>
        <v>0</v>
      </c>
    </row>
    <row r="14" spans="1:27">
      <c r="A14" s="64" t="str">
        <f>'1. 소켓인수검사'!A16</f>
        <v>08</v>
      </c>
      <c r="B14" s="65" t="str">
        <f>'1. 소켓인수검사'!B16</f>
        <v>HTG-064</v>
      </c>
      <c r="C14" s="46">
        <f>'1. 소켓인수검사'!C16</f>
        <v>550</v>
      </c>
      <c r="D14" s="46">
        <f>'1. 소켓인수검사'!D16</f>
        <v>400</v>
      </c>
      <c r="E14" s="50"/>
      <c r="F14" s="66">
        <f t="shared" si="0"/>
        <v>0.22</v>
      </c>
      <c r="G14" s="66">
        <f t="shared" si="1"/>
        <v>1.9</v>
      </c>
      <c r="H14" s="67">
        <v>1</v>
      </c>
      <c r="I14" s="62">
        <f t="shared" si="7"/>
        <v>2.2999999999999998</v>
      </c>
      <c r="J14" s="63">
        <v>1</v>
      </c>
      <c r="K14" s="68"/>
      <c r="L14" s="68"/>
      <c r="M14" s="68"/>
      <c r="N14" s="68"/>
      <c r="O14" s="62">
        <f t="shared" si="2"/>
        <v>2.8</v>
      </c>
      <c r="P14" s="63">
        <f>1</f>
        <v>1</v>
      </c>
      <c r="Q14" s="122">
        <f>'2.1 재단(1.69,064)'!Z15</f>
        <v>3</v>
      </c>
      <c r="R14" s="63">
        <f t="shared" si="3"/>
        <v>3</v>
      </c>
      <c r="S14" s="122">
        <f>'2.1 재단(1.69,064)'!Z15</f>
        <v>3</v>
      </c>
      <c r="T14" s="63">
        <f t="shared" si="4"/>
        <v>3</v>
      </c>
      <c r="U14" s="122">
        <f>'2.1 재단(1.69,064)'!T15/2</f>
        <v>3</v>
      </c>
      <c r="V14" s="63">
        <f t="shared" si="5"/>
        <v>3</v>
      </c>
      <c r="W14" s="122">
        <f>'2.1 재단(1.69,064)'!T15/2</f>
        <v>3</v>
      </c>
      <c r="X14" s="63">
        <f t="shared" si="6"/>
        <v>3</v>
      </c>
      <c r="Y14" s="69" t="s">
        <v>62</v>
      </c>
      <c r="Z14" s="70" t="s">
        <v>87</v>
      </c>
      <c r="AA14" s="71">
        <f>'1. 소켓인수검사'!G16</f>
        <v>0</v>
      </c>
    </row>
    <row r="15" spans="1:27">
      <c r="A15" s="64" t="str">
        <f>'1. 소켓인수검사'!A17</f>
        <v>09</v>
      </c>
      <c r="B15" s="72" t="str">
        <f>'1. 소켓인수검사'!B17</f>
        <v>HTG-064</v>
      </c>
      <c r="C15" s="49">
        <f>'1. 소켓인수검사'!C17</f>
        <v>550</v>
      </c>
      <c r="D15" s="49">
        <f>'1. 소켓인수검사'!D17</f>
        <v>400</v>
      </c>
      <c r="E15" s="50"/>
      <c r="F15" s="66">
        <f t="shared" si="0"/>
        <v>0.22</v>
      </c>
      <c r="G15" s="66">
        <f t="shared" si="1"/>
        <v>1.9</v>
      </c>
      <c r="H15" s="67">
        <v>1</v>
      </c>
      <c r="I15" s="62">
        <f t="shared" si="7"/>
        <v>2.2999999999999998</v>
      </c>
      <c r="J15" s="63">
        <v>1</v>
      </c>
      <c r="K15" s="68"/>
      <c r="L15" s="68"/>
      <c r="M15" s="73"/>
      <c r="N15" s="68"/>
      <c r="O15" s="62">
        <f t="shared" si="2"/>
        <v>2.8</v>
      </c>
      <c r="P15" s="63">
        <v>1</v>
      </c>
      <c r="Q15" s="122">
        <f>'2.1 재단(1.69,064)'!Z16</f>
        <v>3</v>
      </c>
      <c r="R15" s="63">
        <f t="shared" si="3"/>
        <v>3</v>
      </c>
      <c r="S15" s="122">
        <f>'2.1 재단(1.69,064)'!Z16</f>
        <v>3</v>
      </c>
      <c r="T15" s="63">
        <f t="shared" si="4"/>
        <v>3</v>
      </c>
      <c r="U15" s="122">
        <f>'2.1 재단(1.69,064)'!T16/2</f>
        <v>3</v>
      </c>
      <c r="V15" s="63">
        <f t="shared" si="5"/>
        <v>3</v>
      </c>
      <c r="W15" s="122">
        <f>'2.1 재단(1.69,064)'!T16/2</f>
        <v>3</v>
      </c>
      <c r="X15" s="63">
        <f t="shared" si="6"/>
        <v>3</v>
      </c>
      <c r="Y15" s="69" t="s">
        <v>62</v>
      </c>
      <c r="Z15" s="70" t="s">
        <v>87</v>
      </c>
      <c r="AA15" s="71">
        <f>'1. 소켓인수검사'!G17</f>
        <v>0</v>
      </c>
    </row>
    <row r="16" spans="1:27">
      <c r="A16" s="64" t="str">
        <f>'1. 소켓인수검사'!A18</f>
        <v>10</v>
      </c>
      <c r="B16" s="72" t="str">
        <f>'1. 소켓인수검사'!B18</f>
        <v>HTG-064</v>
      </c>
      <c r="C16" s="49">
        <f>'1. 소켓인수검사'!C18</f>
        <v>550</v>
      </c>
      <c r="D16" s="49">
        <f>'1. 소켓인수검사'!D18</f>
        <v>400</v>
      </c>
      <c r="E16" s="50"/>
      <c r="F16" s="66">
        <f t="shared" si="0"/>
        <v>0.22</v>
      </c>
      <c r="G16" s="66">
        <f t="shared" si="1"/>
        <v>1.9</v>
      </c>
      <c r="H16" s="67">
        <v>1</v>
      </c>
      <c r="I16" s="62">
        <f t="shared" si="7"/>
        <v>2.2999999999999998</v>
      </c>
      <c r="J16" s="63">
        <v>1</v>
      </c>
      <c r="K16" s="68"/>
      <c r="L16" s="68"/>
      <c r="M16" s="73"/>
      <c r="N16" s="68"/>
      <c r="O16" s="62">
        <f t="shared" si="2"/>
        <v>2.8</v>
      </c>
      <c r="P16" s="63">
        <f>1</f>
        <v>1</v>
      </c>
      <c r="Q16" s="122">
        <f>'2.1 재단(1.69,064)'!Z17</f>
        <v>3</v>
      </c>
      <c r="R16" s="63">
        <f t="shared" si="3"/>
        <v>3</v>
      </c>
      <c r="S16" s="122">
        <f>'2.1 재단(1.69,064)'!Z17</f>
        <v>3</v>
      </c>
      <c r="T16" s="63">
        <f t="shared" si="4"/>
        <v>3</v>
      </c>
      <c r="U16" s="122">
        <f>'2.1 재단(1.69,064)'!T17/2</f>
        <v>3</v>
      </c>
      <c r="V16" s="63">
        <f t="shared" si="5"/>
        <v>3</v>
      </c>
      <c r="W16" s="122">
        <f>'2.1 재단(1.69,064)'!T17/2</f>
        <v>3</v>
      </c>
      <c r="X16" s="63">
        <f t="shared" si="6"/>
        <v>3</v>
      </c>
      <c r="Y16" s="69" t="s">
        <v>62</v>
      </c>
      <c r="Z16" s="70" t="s">
        <v>87</v>
      </c>
      <c r="AA16" s="71">
        <f>'1. 소켓인수검사'!G18</f>
        <v>0</v>
      </c>
    </row>
    <row r="17" spans="1:27">
      <c r="A17" s="64" t="str">
        <f>'1. 소켓인수검사'!A19</f>
        <v>11</v>
      </c>
      <c r="B17" s="72" t="str">
        <f>'1. 소켓인수검사'!B19</f>
        <v>HTG-064</v>
      </c>
      <c r="C17" s="49">
        <f>'1. 소켓인수검사'!C19</f>
        <v>550</v>
      </c>
      <c r="D17" s="49">
        <f>'1. 소켓인수검사'!D19</f>
        <v>400</v>
      </c>
      <c r="E17" s="50"/>
      <c r="F17" s="66">
        <f t="shared" si="0"/>
        <v>0.22</v>
      </c>
      <c r="G17" s="66">
        <f t="shared" si="1"/>
        <v>1.9</v>
      </c>
      <c r="H17" s="67">
        <v>1</v>
      </c>
      <c r="I17" s="62">
        <f t="shared" si="7"/>
        <v>2.2999999999999998</v>
      </c>
      <c r="J17" s="63">
        <v>1</v>
      </c>
      <c r="K17" s="68"/>
      <c r="L17" s="68"/>
      <c r="M17" s="73"/>
      <c r="N17" s="68"/>
      <c r="O17" s="62">
        <f t="shared" si="2"/>
        <v>2.8</v>
      </c>
      <c r="P17" s="63">
        <v>1</v>
      </c>
      <c r="Q17" s="122">
        <f>'2.1 재단(1.69,064)'!Z18</f>
        <v>3</v>
      </c>
      <c r="R17" s="63">
        <f t="shared" si="3"/>
        <v>3</v>
      </c>
      <c r="S17" s="122">
        <f>'2.1 재단(1.69,064)'!Z18</f>
        <v>3</v>
      </c>
      <c r="T17" s="63">
        <f t="shared" si="4"/>
        <v>3</v>
      </c>
      <c r="U17" s="122">
        <f>'2.1 재단(1.69,064)'!T18/2</f>
        <v>3</v>
      </c>
      <c r="V17" s="63">
        <f t="shared" si="5"/>
        <v>3</v>
      </c>
      <c r="W17" s="122">
        <f>'2.1 재단(1.69,064)'!T18/2</f>
        <v>3</v>
      </c>
      <c r="X17" s="63">
        <f t="shared" si="6"/>
        <v>3</v>
      </c>
      <c r="Y17" s="69" t="s">
        <v>62</v>
      </c>
      <c r="Z17" s="70" t="s">
        <v>87</v>
      </c>
      <c r="AA17" s="71">
        <f>'1. 소켓인수검사'!G19</f>
        <v>0</v>
      </c>
    </row>
    <row r="18" spans="1:27">
      <c r="A18" s="64" t="str">
        <f>'1. 소켓인수검사'!A20</f>
        <v>12</v>
      </c>
      <c r="B18" s="72" t="str">
        <f>'1. 소켓인수검사'!B20</f>
        <v>HTG-064</v>
      </c>
      <c r="C18" s="49">
        <f>'1. 소켓인수검사'!C20</f>
        <v>550</v>
      </c>
      <c r="D18" s="49">
        <f>'1. 소켓인수검사'!D20</f>
        <v>400</v>
      </c>
      <c r="E18" s="50"/>
      <c r="F18" s="66">
        <f t="shared" si="0"/>
        <v>0.22</v>
      </c>
      <c r="G18" s="66">
        <f t="shared" si="1"/>
        <v>1.9</v>
      </c>
      <c r="H18" s="67">
        <v>1</v>
      </c>
      <c r="I18" s="62">
        <f t="shared" si="7"/>
        <v>2.2999999999999998</v>
      </c>
      <c r="J18" s="63">
        <v>1</v>
      </c>
      <c r="K18" s="68"/>
      <c r="L18" s="68"/>
      <c r="M18" s="73"/>
      <c r="N18" s="68"/>
      <c r="O18" s="62">
        <f t="shared" si="2"/>
        <v>2.8</v>
      </c>
      <c r="P18" s="63">
        <f>1</f>
        <v>1</v>
      </c>
      <c r="Q18" s="122">
        <f>'2.1 재단(1.69,064)'!Z19</f>
        <v>3</v>
      </c>
      <c r="R18" s="63">
        <f t="shared" si="3"/>
        <v>3</v>
      </c>
      <c r="S18" s="122">
        <f>'2.1 재단(1.69,064)'!Z19</f>
        <v>3</v>
      </c>
      <c r="T18" s="63">
        <f t="shared" si="4"/>
        <v>3</v>
      </c>
      <c r="U18" s="122">
        <f>'2.1 재단(1.69,064)'!T19/2</f>
        <v>3</v>
      </c>
      <c r="V18" s="63">
        <f t="shared" si="5"/>
        <v>3</v>
      </c>
      <c r="W18" s="122">
        <f>'2.1 재단(1.69,064)'!T19/2</f>
        <v>3</v>
      </c>
      <c r="X18" s="63">
        <f t="shared" si="6"/>
        <v>3</v>
      </c>
      <c r="Y18" s="69" t="s">
        <v>62</v>
      </c>
      <c r="Z18" s="70" t="s">
        <v>87</v>
      </c>
      <c r="AA18" s="71">
        <f>'1. 소켓인수검사'!G20</f>
        <v>0</v>
      </c>
    </row>
    <row r="19" spans="1:27">
      <c r="A19" s="299" t="s">
        <v>18</v>
      </c>
      <c r="B19" s="300"/>
      <c r="C19" s="300"/>
      <c r="D19" s="74"/>
      <c r="E19" s="75"/>
      <c r="F19" s="75"/>
      <c r="G19" s="75"/>
      <c r="H19" s="105">
        <f>SUM(H7:H18)</f>
        <v>12</v>
      </c>
      <c r="I19" s="74"/>
      <c r="J19" s="105">
        <f>SUM(J7:J18)</f>
        <v>12</v>
      </c>
      <c r="K19" s="74"/>
      <c r="L19" s="105">
        <f>SUM(L7:L18)</f>
        <v>0</v>
      </c>
      <c r="M19" s="76"/>
      <c r="N19" s="105">
        <f>SUM(N7:N18)</f>
        <v>0</v>
      </c>
      <c r="O19" s="76"/>
      <c r="P19" s="105">
        <f>SUM(P7:P18)</f>
        <v>12</v>
      </c>
      <c r="Q19" s="76"/>
      <c r="R19" s="105">
        <f>SUM(R7:R18)</f>
        <v>36</v>
      </c>
      <c r="S19" s="76"/>
      <c r="T19" s="105">
        <f>SUM(T7:T18)</f>
        <v>36</v>
      </c>
      <c r="U19" s="76"/>
      <c r="V19" s="105">
        <f>SUM(V7:V18)</f>
        <v>36</v>
      </c>
      <c r="W19" s="76"/>
      <c r="X19" s="105">
        <f>SUM(X7:X18)</f>
        <v>36</v>
      </c>
      <c r="Y19" s="48"/>
      <c r="Z19" s="48"/>
      <c r="AA19" s="77"/>
    </row>
    <row r="20" spans="1:27" ht="8.1" customHeight="1">
      <c r="A20" s="226"/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37"/>
      <c r="P20" s="37"/>
      <c r="Q20" s="37"/>
      <c r="S20" s="37"/>
      <c r="U20" s="37"/>
      <c r="W20" s="37"/>
    </row>
    <row r="21" spans="1:27" ht="16.5" hidden="1" customHeight="1">
      <c r="A21" s="257" t="s">
        <v>7</v>
      </c>
      <c r="B21" s="257"/>
      <c r="C21" s="257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</row>
    <row r="22" spans="1:27" ht="16.5" hidden="1" customHeight="1">
      <c r="A22" s="257"/>
      <c r="B22" s="257"/>
      <c r="C22" s="257"/>
      <c r="D22" s="303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</row>
    <row r="23" spans="1:27" ht="16.5" hidden="1" customHeight="1">
      <c r="A23" s="257"/>
      <c r="B23" s="257"/>
      <c r="C23" s="257"/>
      <c r="D23" s="303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</row>
    <row r="24" spans="1:27" ht="16.5" hidden="1" customHeight="1">
      <c r="A24" s="257"/>
      <c r="B24" s="257"/>
      <c r="C24" s="257"/>
      <c r="D24" s="303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</row>
    <row r="25" spans="1:27" ht="16.5" hidden="1" customHeight="1">
      <c r="A25" s="257"/>
      <c r="B25" s="257"/>
      <c r="C25" s="257"/>
      <c r="D25" s="303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</row>
    <row r="26" spans="1:27" ht="16.5" hidden="1" customHeight="1">
      <c r="A26" s="257"/>
      <c r="B26" s="257"/>
      <c r="C26" s="257"/>
      <c r="D26" s="304"/>
      <c r="E26" s="305"/>
      <c r="F26" s="305"/>
      <c r="G26" s="305"/>
      <c r="H26" s="305"/>
      <c r="I26" s="305"/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</row>
  </sheetData>
  <mergeCells count="27">
    <mergeCell ref="Y5:Y6"/>
    <mergeCell ref="Z5:Z6"/>
    <mergeCell ref="Q5:R5"/>
    <mergeCell ref="S5:T5"/>
    <mergeCell ref="U5:V5"/>
    <mergeCell ref="W5:X5"/>
    <mergeCell ref="A20:N20"/>
    <mergeCell ref="A21:C26"/>
    <mergeCell ref="D21:X26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19:C19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35</cp:revision>
  <cp:lastPrinted>2026-06-04T07:02:09Z</cp:lastPrinted>
  <dcterms:created xsi:type="dcterms:W3CDTF">2025-03-13T00:09:10Z</dcterms:created>
  <dcterms:modified xsi:type="dcterms:W3CDTF">2026-06-15T03:41:20Z</dcterms:modified>
  <cp:version>1200.0100.01</cp:version>
</cp:coreProperties>
</file>