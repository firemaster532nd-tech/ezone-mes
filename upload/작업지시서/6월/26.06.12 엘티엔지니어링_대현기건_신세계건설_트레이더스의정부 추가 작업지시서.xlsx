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D269895D-10FC-4CA2-A151-388F868D89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작업(VT)" sheetId="3" r:id="rId2"/>
    <sheet name="차열재 재단(VM,VT)" sheetId="2" r:id="rId3"/>
    <sheet name="3.2 절곡(VT)" sheetId="6" r:id="rId4"/>
    <sheet name="5. 차열재 출하용(VM,VT,VAG)" sheetId="9" r:id="rId5"/>
    <sheet name="6. 라벨소요량" sheetId="10" r:id="rId6"/>
  </sheets>
  <definedNames>
    <definedName name="_xlnm.Print_Area" localSheetId="0">'1. 소켓인수검사'!$A$1:$P$10</definedName>
    <definedName name="_xlnm.Print_Titles" localSheetId="0">'1. 소켓인수검사'!$6:$8</definedName>
    <definedName name="_xlnm.Print_Titles" localSheetId="1">'2.1 재단작업(VT)'!$5:$7</definedName>
    <definedName name="_xlnm.Print_Titles" localSheetId="3">'3.2 절곡(VT)'!$1:$6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2" l="1"/>
  <c r="D9" i="2"/>
  <c r="I9" i="2" s="1"/>
  <c r="C9" i="2"/>
  <c r="G9" i="2" s="1"/>
  <c r="D8" i="2"/>
  <c r="I8" i="2" s="1"/>
  <c r="C8" i="2"/>
  <c r="G8" i="2" s="1"/>
  <c r="A9" i="2"/>
  <c r="A8" i="2"/>
  <c r="C8" i="3"/>
  <c r="G8" i="3" s="1"/>
  <c r="K1" i="10"/>
  <c r="P5" i="9"/>
  <c r="N5" i="6"/>
  <c r="H1" i="3"/>
  <c r="D1" i="1"/>
  <c r="P9" i="10"/>
  <c r="H9" i="10"/>
  <c r="U8" i="10"/>
  <c r="D8" i="10"/>
  <c r="C8" i="10"/>
  <c r="A8" i="10"/>
  <c r="U7" i="10"/>
  <c r="D7" i="10"/>
  <c r="C7" i="10"/>
  <c r="A7" i="10"/>
  <c r="C11" i="9"/>
  <c r="B11" i="9"/>
  <c r="A11" i="9"/>
  <c r="C10" i="9"/>
  <c r="B10" i="9"/>
  <c r="A10" i="9"/>
  <c r="N12" i="6"/>
  <c r="I12" i="6"/>
  <c r="C12" i="6"/>
  <c r="K12" i="6" s="1"/>
  <c r="B12" i="6"/>
  <c r="H12" i="6" s="1"/>
  <c r="A12" i="6"/>
  <c r="N11" i="6"/>
  <c r="I11" i="6"/>
  <c r="C11" i="6"/>
  <c r="K11" i="6" s="1"/>
  <c r="B11" i="6"/>
  <c r="H11" i="6" s="1"/>
  <c r="A11" i="6"/>
  <c r="N10" i="3"/>
  <c r="L10" i="3"/>
  <c r="J9" i="3"/>
  <c r="H9" i="3"/>
  <c r="D9" i="3"/>
  <c r="M9" i="3" s="1"/>
  <c r="C9" i="3"/>
  <c r="A9" i="3"/>
  <c r="J8" i="3"/>
  <c r="H8" i="3"/>
  <c r="D8" i="3"/>
  <c r="A8" i="3"/>
  <c r="J10" i="3" l="1"/>
  <c r="H10" i="3"/>
  <c r="I9" i="3"/>
  <c r="K8" i="3"/>
  <c r="I8" i="3"/>
  <c r="M8" i="3"/>
  <c r="G9" i="3"/>
  <c r="E10" i="9"/>
  <c r="F10" i="9"/>
  <c r="P10" i="9" s="1"/>
  <c r="R10" i="9" s="1"/>
  <c r="Q8" i="10"/>
  <c r="R8" i="10" s="1"/>
  <c r="G8" i="10"/>
  <c r="O8" i="10" s="1"/>
  <c r="N9" i="10"/>
  <c r="K9" i="3"/>
  <c r="F11" i="9"/>
  <c r="E11" i="9"/>
  <c r="J9" i="10"/>
  <c r="L9" i="10"/>
  <c r="G7" i="10"/>
  <c r="Q7" i="10"/>
  <c r="R7" i="10" s="1"/>
  <c r="F7" i="10"/>
  <c r="F8" i="10"/>
  <c r="I8" i="10" l="1"/>
  <c r="G10" i="9"/>
  <c r="I10" i="9" s="1"/>
  <c r="O12" i="9"/>
  <c r="G15" i="9" s="1"/>
  <c r="I7" i="10"/>
  <c r="O7" i="10"/>
  <c r="R9" i="10"/>
  <c r="Q9" i="10"/>
  <c r="P11" i="9"/>
  <c r="R11" i="9" s="1"/>
  <c r="G11" i="9"/>
  <c r="I11" i="9" s="1"/>
  <c r="I12" i="9" l="1"/>
  <c r="G13" i="9" s="1"/>
  <c r="R12" i="9"/>
  <c r="G16" i="9" s="1"/>
  <c r="L12" i="9"/>
  <c r="G14" i="9" s="1"/>
</calcChain>
</file>

<file path=xl/sharedStrings.xml><?xml version="1.0" encoding="utf-8"?>
<sst xmlns="http://schemas.openxmlformats.org/spreadsheetml/2006/main" count="173" uniqueCount="80">
  <si>
    <t>차열재</t>
  </si>
  <si>
    <t>No</t>
  </si>
  <si>
    <t>비고</t>
  </si>
  <si>
    <t>합계</t>
  </si>
  <si>
    <t>규격</t>
  </si>
  <si>
    <t>TTL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</si>
  <si>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</si>
  <si>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</si>
  <si>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</si>
  <si>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</si>
  <si>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</si>
  <si>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</si>
  <si>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</si>
  <si>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</si>
  <si>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특이사항 및
   조치사항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</si>
  <si>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</si>
  <si>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</si>
  <si>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</si>
  <si>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</si>
  <si>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</si>
  <si>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</si>
  <si>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</si>
  <si>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</si>
  <si>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</si>
  <si>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</si>
  <si>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</si>
  <si>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</si>
  <si>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</si>
  <si>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</si>
  <si>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</si>
  <si>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</si>
  <si>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</si>
  <si>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</si>
  <si>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</si>
  <si>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</si>
  <si>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</si>
  <si>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</si>
  <si>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</si>
  <si>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</si>
  <si>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</si>
  <si>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</si>
  <si>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</si>
  <si>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</si>
  <si>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</si>
  <si>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</si>
  <si>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</si>
  <si>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</si>
  <si>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</si>
  <si>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</si>
  <si>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</si>
  <si>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</si>
  <si>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</si>
  <si>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</si>
  <si>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</si>
  <si>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</si>
  <si>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</si>
  <si>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</si>
  <si>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</si>
  <si>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</si>
  <si>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</si>
  <si>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</si>
  <si>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</si>
  <si>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</si>
  <si>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</si>
  <si>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4" type="noConversion"/>
  </si>
  <si>
    <t>재단작업지시서
(VT)</t>
    <phoneticPr fontId="24" type="noConversion"/>
  </si>
  <si>
    <t>절 곡 생 산 일 지(VT_브라켓)</t>
    <phoneticPr fontId="24" type="noConversion"/>
  </si>
  <si>
    <t>라벨소요량</t>
    <phoneticPr fontId="24" type="noConversion"/>
  </si>
  <si>
    <t>25*
200</t>
    <phoneticPr fontId="24" type="noConversion"/>
  </si>
  <si>
    <t>구조체작업지시서</t>
    <phoneticPr fontId="24" type="noConversion"/>
  </si>
  <si>
    <t>차열재 25T*200*7.4M</t>
    <phoneticPr fontId="24" type="noConversion"/>
  </si>
  <si>
    <t>재단작업지시서차열재</t>
    <phoneticPr fontId="24" type="noConversion"/>
  </si>
  <si>
    <t>2분할</t>
    <phoneticPr fontId="24" type="noConversion"/>
  </si>
  <si>
    <t>전기실</t>
    <phoneticPr fontId="24" type="noConversion"/>
  </si>
  <si>
    <t>01</t>
    <phoneticPr fontId="24" type="noConversion"/>
  </si>
  <si>
    <t>02</t>
    <phoneticPr fontId="24" type="noConversion"/>
  </si>
  <si>
    <t>CL036</t>
    <phoneticPr fontId="24" type="noConversion"/>
  </si>
  <si>
    <t>CL037</t>
    <phoneticPr fontId="24" type="noConversion"/>
  </si>
  <si>
    <r>
      <t>2</t>
    </r>
    <r>
      <rPr>
        <b/>
        <sz val="10"/>
        <color rgb="FF002060"/>
        <rFont val="맑은 고딕"/>
        <family val="3"/>
        <charset val="129"/>
      </rPr>
      <t>분할</t>
    </r>
    <phoneticPr fontId="24" type="noConversion"/>
  </si>
  <si>
    <r>
      <t xml:space="preserve">26.06.12 </t>
    </r>
    <r>
      <rPr>
        <sz val="10"/>
        <color rgb="FF000000"/>
        <rFont val="맑은 고딕"/>
        <family val="3"/>
        <charset val="129"/>
      </rPr>
      <t>엘티엔지니어링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대현기건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신세계건설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트레이더스의정부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맑은 고딕"/>
        <family val="3"/>
        <charset val="129"/>
      </rPr>
      <t>추가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</si>
</sst>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2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4">
    <xf numFmtId="0" fontId="0" fillId="0" borderId="0">
      <alignment vertical="center"/>
    </xf>
    <xf numFmtId="0" fontId="23" fillId="0" borderId="0">
      <alignment vertical="center"/>
    </xf>
    <xf numFmtId="176" fontId="23" fillId="0" borderId="0">
      <alignment vertical="center"/>
    </xf>
    <xf numFmtId="0" fontId="1" fillId="0" borderId="0">
      <alignment vertical="center"/>
    </xf>
  </cellStyleXfs>
  <cellXfs count="2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1">
      <alignment vertical="center"/>
    </xf>
    <xf numFmtId="0" fontId="23" fillId="0" borderId="1" xfId="1" applyBorder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2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2" fillId="2" borderId="0" xfId="3" applyFont="1" applyFill="1" applyAlignment="1">
      <alignment horizontal="center" vertical="center" wrapText="1"/>
    </xf>
    <xf numFmtId="0" fontId="3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3" fillId="0" borderId="5" xfId="2" applyBorder="1" applyAlignment="1">
      <alignment horizontal="center" vertical="center"/>
    </xf>
    <xf numFmtId="176" fontId="23" fillId="0" borderId="6" xfId="2" applyBorder="1" applyAlignment="1">
      <alignment horizontal="center" vertical="center"/>
    </xf>
    <xf numFmtId="176" fontId="23" fillId="0" borderId="7" xfId="2" applyBorder="1" applyAlignment="1">
      <alignment horizontal="center" vertical="center"/>
    </xf>
    <xf numFmtId="176" fontId="23" fillId="0" borderId="8" xfId="2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3" fillId="0" borderId="15" xfId="1" applyBorder="1" applyAlignment="1">
      <alignment horizontal="center" vertical="center" wrapText="1"/>
    </xf>
    <xf numFmtId="0" fontId="23" fillId="0" borderId="16" xfId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3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shrinkToFit="1"/>
    </xf>
    <xf numFmtId="0" fontId="8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7" fillId="0" borderId="17" xfId="3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23" fillId="0" borderId="12" xfId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3" fillId="6" borderId="15" xfId="3" applyFont="1" applyFill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23" fillId="0" borderId="13" xfId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23" fillId="0" borderId="12" xfId="1" applyBorder="1" applyAlignment="1">
      <alignment vertical="center" wrapText="1"/>
    </xf>
    <xf numFmtId="0" fontId="23" fillId="0" borderId="15" xfId="1" applyBorder="1" applyAlignment="1">
      <alignment vertical="center" wrapText="1"/>
    </xf>
    <xf numFmtId="0" fontId="17" fillId="0" borderId="15" xfId="3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5" borderId="17" xfId="0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" fillId="9" borderId="0" xfId="3" applyFill="1">
      <alignment vertical="center"/>
    </xf>
    <xf numFmtId="0" fontId="1" fillId="0" borderId="32" xfId="3" applyBorder="1" applyAlignment="1">
      <alignment vertical="top" wrapText="1"/>
    </xf>
    <xf numFmtId="0" fontId="2" fillId="0" borderId="15" xfId="3" applyFont="1" applyBorder="1" applyAlignment="1">
      <alignment horizontal="center" vertical="center" wrapText="1"/>
    </xf>
    <xf numFmtId="0" fontId="2" fillId="0" borderId="16" xfId="3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7" fillId="6" borderId="15" xfId="3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5" fillId="0" borderId="17" xfId="1" applyFont="1" applyBorder="1">
      <alignment vertical="center"/>
    </xf>
    <xf numFmtId="0" fontId="3" fillId="0" borderId="27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1" fillId="0" borderId="14" xfId="3" quotePrefix="1" applyBorder="1" applyAlignment="1">
      <alignment horizontal="center" vertical="center" wrapText="1"/>
    </xf>
    <xf numFmtId="178" fontId="16" fillId="0" borderId="15" xfId="1" applyNumberFormat="1" applyFont="1" applyBorder="1" applyAlignment="1">
      <alignment horizontal="center" vertical="center" wrapText="1"/>
    </xf>
    <xf numFmtId="177" fontId="6" fillId="5" borderId="15" xfId="0" applyNumberFormat="1" applyFont="1" applyFill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3" fillId="0" borderId="23" xfId="3" applyFont="1" applyBorder="1" applyAlignment="1">
      <alignment horizontal="left" vertical="center"/>
    </xf>
    <xf numFmtId="0" fontId="2" fillId="7" borderId="15" xfId="3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5" fillId="0" borderId="32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0" xfId="3" applyFont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6" fillId="0" borderId="32" xfId="3" applyFont="1" applyBorder="1" applyAlignment="1">
      <alignment horizontal="center" vertical="center" shrinkToFit="1"/>
    </xf>
    <xf numFmtId="0" fontId="26" fillId="0" borderId="33" xfId="3" applyFont="1" applyBorder="1" applyAlignment="1">
      <alignment horizontal="center" vertical="center" shrinkToFit="1"/>
    </xf>
    <xf numFmtId="0" fontId="26" fillId="0" borderId="0" xfId="3" applyFont="1" applyAlignment="1">
      <alignment horizontal="center" vertical="center" shrinkToFit="1"/>
    </xf>
    <xf numFmtId="0" fontId="26" fillId="0" borderId="35" xfId="3" applyFont="1" applyBorder="1" applyAlignment="1">
      <alignment horizontal="center" vertical="center" shrinkToFit="1"/>
    </xf>
    <xf numFmtId="0" fontId="26" fillId="0" borderId="31" xfId="3" applyFont="1" applyBorder="1" applyAlignment="1">
      <alignment horizontal="center" vertical="center" shrinkToFit="1"/>
    </xf>
    <xf numFmtId="0" fontId="26" fillId="0" borderId="37" xfId="3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1" fillId="7" borderId="14" xfId="3" applyFill="1" applyBorder="1" applyAlignment="1">
      <alignment horizontal="center" vertical="center" wrapText="1"/>
    </xf>
    <xf numFmtId="0" fontId="2" fillId="7" borderId="12" xfId="3" applyFont="1" applyFill="1" applyBorder="1" applyAlignment="1">
      <alignment horizontal="center" vertical="center" wrapText="1"/>
    </xf>
    <xf numFmtId="0" fontId="2" fillId="7" borderId="13" xfId="3" applyFont="1" applyFill="1" applyBorder="1" applyAlignment="1">
      <alignment horizontal="center" vertical="center" wrapText="1"/>
    </xf>
    <xf numFmtId="0" fontId="2" fillId="7" borderId="16" xfId="3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28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26" xfId="0" applyFont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27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2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3" fillId="0" borderId="21" xfId="1" applyBorder="1" applyAlignment="1">
      <alignment horizontal="center" vertical="center"/>
    </xf>
    <xf numFmtId="0" fontId="23" fillId="0" borderId="3" xfId="1" applyBorder="1" applyAlignment="1">
      <alignment horizontal="center" vertical="center"/>
    </xf>
    <xf numFmtId="0" fontId="23" fillId="0" borderId="1" xfId="1" applyBorder="1" applyAlignment="1">
      <alignment horizontal="center" vertical="center" wrapText="1"/>
    </xf>
    <xf numFmtId="178" fontId="5" fillId="0" borderId="12" xfId="1" applyNumberFormat="1" applyFont="1" applyBorder="1" applyAlignment="1">
      <alignment horizontal="center" vertical="center" wrapText="1"/>
    </xf>
    <xf numFmtId="178" fontId="5" fillId="0" borderId="15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29" fillId="0" borderId="1" xfId="1" applyFont="1" applyBorder="1" applyAlignment="1">
      <alignment horizontal="center" vertical="center" wrapText="1" shrinkToFit="1"/>
    </xf>
    <xf numFmtId="0" fontId="21" fillId="0" borderId="21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21" fillId="0" borderId="27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1" fillId="0" borderId="26" xfId="1" applyFont="1" applyBorder="1" applyAlignment="1">
      <alignment horizontal="center" vertical="center"/>
    </xf>
    <xf numFmtId="0" fontId="23" fillId="0" borderId="22" xfId="1" applyBorder="1" applyAlignment="1">
      <alignment horizontal="center" vertical="center"/>
    </xf>
    <xf numFmtId="0" fontId="23" fillId="0" borderId="2" xfId="1" applyBorder="1" applyAlignment="1">
      <alignment horizontal="center" vertical="center"/>
    </xf>
    <xf numFmtId="0" fontId="23" fillId="0" borderId="26" xfId="1" applyBorder="1" applyAlignment="1">
      <alignment horizontal="center" vertical="center"/>
    </xf>
    <xf numFmtId="0" fontId="23" fillId="0" borderId="9" xfId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77" fontId="0" fillId="2" borderId="30" xfId="0" applyNumberFormat="1" applyFill="1" applyBorder="1" applyAlignment="1">
      <alignment horizontal="center" vertical="center" wrapText="1"/>
    </xf>
    <xf numFmtId="177" fontId="0" fillId="2" borderId="24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2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6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0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Q9" sqref="Q9:Q10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94" t="s">
        <v>69</v>
      </c>
      <c r="B1" s="95"/>
      <c r="C1" s="95"/>
      <c r="D1" s="100" t="str">
        <f>R2</f>
        <v>26.06.12 엘티엔지니어링_대현기건_신세계건설_트레이더스의정부 추가</v>
      </c>
      <c r="E1" s="100"/>
      <c r="F1" s="100"/>
      <c r="G1" s="101"/>
      <c r="R1" s="8" t="s">
        <v>64</v>
      </c>
    </row>
    <row r="2" spans="1:18" ht="16.5" customHeight="1">
      <c r="A2" s="96"/>
      <c r="B2" s="97"/>
      <c r="C2" s="97"/>
      <c r="D2" s="102"/>
      <c r="E2" s="102"/>
      <c r="F2" s="102"/>
      <c r="G2" s="103"/>
      <c r="R2" s="70" t="s">
        <v>79</v>
      </c>
    </row>
    <row r="3" spans="1:18" ht="16.5" customHeight="1">
      <c r="A3" s="96"/>
      <c r="B3" s="97"/>
      <c r="C3" s="97"/>
      <c r="D3" s="102"/>
      <c r="E3" s="102"/>
      <c r="F3" s="102"/>
      <c r="G3" s="103"/>
    </row>
    <row r="4" spans="1:18" ht="17.25" customHeight="1" thickBot="1">
      <c r="A4" s="98"/>
      <c r="B4" s="99"/>
      <c r="C4" s="99"/>
      <c r="D4" s="104"/>
      <c r="E4" s="104"/>
      <c r="F4" s="104"/>
      <c r="G4" s="105"/>
    </row>
    <row r="5" spans="1:18" ht="6.75" customHeight="1" thickTop="1">
      <c r="A5" s="71"/>
      <c r="B5" s="71"/>
      <c r="C5" s="71"/>
      <c r="D5" s="71"/>
      <c r="E5" s="71"/>
      <c r="F5" s="71"/>
      <c r="G5" s="71"/>
    </row>
    <row r="6" spans="1:18" s="10" customFormat="1" ht="18" customHeight="1" thickBot="1">
      <c r="A6" s="106" t="s">
        <v>1</v>
      </c>
      <c r="B6" s="108" t="s">
        <v>63</v>
      </c>
      <c r="C6" s="108" t="s">
        <v>4</v>
      </c>
      <c r="D6" s="108"/>
      <c r="E6" s="108" t="s">
        <v>39</v>
      </c>
      <c r="F6" s="108" t="s">
        <v>36</v>
      </c>
      <c r="G6" s="109" t="s">
        <v>16</v>
      </c>
      <c r="H6" s="9"/>
      <c r="I6" s="92" t="s">
        <v>9</v>
      </c>
      <c r="J6" s="92"/>
      <c r="K6" s="92"/>
      <c r="L6" s="92"/>
      <c r="M6" s="92"/>
      <c r="N6" s="92"/>
      <c r="O6" s="8"/>
    </row>
    <row r="7" spans="1:18" s="10" customFormat="1" ht="18" customHeight="1">
      <c r="A7" s="107"/>
      <c r="B7" s="93"/>
      <c r="C7" s="93" t="s">
        <v>60</v>
      </c>
      <c r="D7" s="93" t="s">
        <v>58</v>
      </c>
      <c r="E7" s="93"/>
      <c r="F7" s="93"/>
      <c r="G7" s="110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07"/>
      <c r="B8" s="93"/>
      <c r="C8" s="93"/>
      <c r="D8" s="93"/>
      <c r="E8" s="93"/>
      <c r="F8" s="93"/>
      <c r="G8" s="110"/>
      <c r="H8" s="11"/>
      <c r="I8" s="12"/>
      <c r="J8" s="12"/>
      <c r="K8" s="12"/>
      <c r="L8" s="12"/>
      <c r="M8" s="12"/>
      <c r="N8" s="12"/>
      <c r="O8" s="8"/>
    </row>
    <row r="9" spans="1:18" s="10" customFormat="1" ht="16.5">
      <c r="A9" s="88" t="s">
        <v>74</v>
      </c>
      <c r="B9" s="49" t="s">
        <v>44</v>
      </c>
      <c r="C9" s="25">
        <v>2300</v>
      </c>
      <c r="D9" s="25">
        <v>1500</v>
      </c>
      <c r="E9" s="59" t="s">
        <v>78</v>
      </c>
      <c r="F9" s="72"/>
      <c r="G9" s="91" t="s">
        <v>73</v>
      </c>
      <c r="H9" s="13"/>
      <c r="I9" s="7"/>
      <c r="J9" s="7"/>
      <c r="K9" s="20"/>
      <c r="L9" s="21"/>
      <c r="M9" s="22"/>
      <c r="N9" s="7"/>
      <c r="O9" s="8"/>
      <c r="Q9" s="10" t="s">
        <v>76</v>
      </c>
    </row>
    <row r="10" spans="1:18" s="10" customFormat="1" ht="16.5">
      <c r="A10" s="88" t="s">
        <v>75</v>
      </c>
      <c r="B10" s="49" t="s">
        <v>44</v>
      </c>
      <c r="C10" s="25">
        <v>2300</v>
      </c>
      <c r="D10" s="25">
        <v>1500</v>
      </c>
      <c r="E10" s="59" t="s">
        <v>72</v>
      </c>
      <c r="F10" s="72"/>
      <c r="G10" s="73" t="s">
        <v>73</v>
      </c>
      <c r="H10" s="13"/>
      <c r="I10" s="7"/>
      <c r="J10" s="7"/>
      <c r="K10" s="19"/>
      <c r="L10" s="19"/>
      <c r="M10" s="19"/>
      <c r="N10" s="7"/>
      <c r="O10" s="8"/>
      <c r="Q10" s="10" t="s">
        <v>77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17"/>
  <sheetViews>
    <sheetView zoomScaleNormal="100" zoomScaleSheetLayoutView="100" workbookViewId="0">
      <selection activeCell="O22" sqref="O22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94"/>
      <c r="B1" s="94"/>
      <c r="C1" s="94"/>
      <c r="D1" s="94"/>
      <c r="E1" s="123" t="s">
        <v>65</v>
      </c>
      <c r="F1" s="124"/>
      <c r="G1" s="124"/>
      <c r="H1" s="129" t="str">
        <f>'1. 소켓인수검사'!R2</f>
        <v>26.06.12 엘티엔지니어링_대현기건_신세계건설_트레이더스의정부 추가</v>
      </c>
      <c r="I1" s="129"/>
      <c r="J1" s="129"/>
      <c r="K1" s="129"/>
      <c r="L1" s="129"/>
      <c r="M1" s="129"/>
      <c r="N1" s="129"/>
      <c r="O1" s="130"/>
    </row>
    <row r="2" spans="1:15" ht="38.25" customHeight="1">
      <c r="A2" s="94"/>
      <c r="B2" s="94"/>
      <c r="C2" s="94"/>
      <c r="D2" s="94"/>
      <c r="E2" s="125"/>
      <c r="F2" s="126"/>
      <c r="G2" s="126"/>
      <c r="H2" s="131"/>
      <c r="I2" s="131"/>
      <c r="J2" s="131"/>
      <c r="K2" s="131"/>
      <c r="L2" s="131"/>
      <c r="M2" s="131"/>
      <c r="N2" s="131"/>
      <c r="O2" s="132"/>
    </row>
    <row r="3" spans="1:15" ht="38.25" customHeight="1">
      <c r="A3" s="94"/>
      <c r="B3" s="94"/>
      <c r="C3" s="94"/>
      <c r="D3" s="94"/>
      <c r="E3" s="127"/>
      <c r="F3" s="128"/>
      <c r="G3" s="128"/>
      <c r="H3" s="133"/>
      <c r="I3" s="133"/>
      <c r="J3" s="133"/>
      <c r="K3" s="133"/>
      <c r="L3" s="133"/>
      <c r="M3" s="133"/>
      <c r="N3" s="133"/>
      <c r="O3" s="134"/>
    </row>
    <row r="4" spans="1:15" ht="8.1" customHeight="1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7"/>
      <c r="O4" s="15"/>
    </row>
    <row r="5" spans="1:15" s="18" customFormat="1" ht="26.45" customHeight="1">
      <c r="A5" s="135" t="s">
        <v>53</v>
      </c>
      <c r="B5" s="137" t="s">
        <v>63</v>
      </c>
      <c r="C5" s="139" t="s">
        <v>4</v>
      </c>
      <c r="D5" s="139"/>
      <c r="E5" s="139" t="s">
        <v>22</v>
      </c>
      <c r="F5" s="139" t="s">
        <v>51</v>
      </c>
      <c r="G5" s="139" t="s">
        <v>18</v>
      </c>
      <c r="H5" s="139"/>
      <c r="I5" s="139"/>
      <c r="J5" s="139"/>
      <c r="K5" s="139" t="s">
        <v>32</v>
      </c>
      <c r="L5" s="139"/>
      <c r="M5" s="139"/>
      <c r="N5" s="139"/>
      <c r="O5" s="140" t="s">
        <v>2</v>
      </c>
    </row>
    <row r="6" spans="1:15" s="18" customFormat="1" ht="16.5" customHeight="1">
      <c r="A6" s="136"/>
      <c r="B6" s="138"/>
      <c r="C6" s="111" t="s">
        <v>60</v>
      </c>
      <c r="D6" s="111" t="s">
        <v>58</v>
      </c>
      <c r="E6" s="111"/>
      <c r="F6" s="111"/>
      <c r="G6" s="142" t="s">
        <v>60</v>
      </c>
      <c r="H6" s="142"/>
      <c r="I6" s="142" t="s">
        <v>58</v>
      </c>
      <c r="J6" s="142"/>
      <c r="K6" s="111" t="s">
        <v>62</v>
      </c>
      <c r="L6" s="111"/>
      <c r="M6" s="111" t="s">
        <v>59</v>
      </c>
      <c r="N6" s="111"/>
      <c r="O6" s="141"/>
    </row>
    <row r="7" spans="1:15" s="18" customFormat="1" ht="16.5" customHeight="1">
      <c r="A7" s="136"/>
      <c r="B7" s="138"/>
      <c r="C7" s="111"/>
      <c r="D7" s="111"/>
      <c r="E7" s="111"/>
      <c r="F7" s="111"/>
      <c r="G7" s="78" t="s">
        <v>4</v>
      </c>
      <c r="H7" s="78" t="s">
        <v>29</v>
      </c>
      <c r="I7" s="78" t="s">
        <v>4</v>
      </c>
      <c r="J7" s="78" t="s">
        <v>29</v>
      </c>
      <c r="K7" s="79" t="s">
        <v>4</v>
      </c>
      <c r="L7" s="79" t="s">
        <v>51</v>
      </c>
      <c r="M7" s="79" t="s">
        <v>4</v>
      </c>
      <c r="N7" s="79" t="s">
        <v>51</v>
      </c>
      <c r="O7" s="141"/>
    </row>
    <row r="8" spans="1:15">
      <c r="A8" s="74" t="str">
        <f>'1. 소켓인수검사'!A9</f>
        <v>01</v>
      </c>
      <c r="B8" s="80" t="s">
        <v>44</v>
      </c>
      <c r="C8" s="30">
        <f>'1. 소켓인수검사'!C9</f>
        <v>2300</v>
      </c>
      <c r="D8" s="30">
        <f>'1. 소켓인수검사'!D9</f>
        <v>1500</v>
      </c>
      <c r="E8" s="31"/>
      <c r="F8" s="30">
        <v>1</v>
      </c>
      <c r="G8" s="50">
        <f>(C8-30)/2-5</f>
        <v>1130</v>
      </c>
      <c r="H8" s="56">
        <f>F8*8*2</f>
        <v>16</v>
      </c>
      <c r="I8" s="89">
        <f>(D8-20)/2-10</f>
        <v>730</v>
      </c>
      <c r="J8" s="56">
        <f>F8*16</f>
        <v>16</v>
      </c>
      <c r="K8" s="51">
        <f t="shared" ref="K8:K9" si="0">C8+60</f>
        <v>2360</v>
      </c>
      <c r="L8" s="81">
        <v>4</v>
      </c>
      <c r="M8" s="51">
        <f>D8</f>
        <v>1500</v>
      </c>
      <c r="N8" s="81">
        <v>4</v>
      </c>
      <c r="O8" s="48" t="s">
        <v>72</v>
      </c>
    </row>
    <row r="9" spans="1:15">
      <c r="A9" s="74" t="str">
        <f>'1. 소켓인수검사'!A10</f>
        <v>02</v>
      </c>
      <c r="B9" s="80" t="s">
        <v>44</v>
      </c>
      <c r="C9" s="30">
        <f>'1. 소켓인수검사'!C10</f>
        <v>2300</v>
      </c>
      <c r="D9" s="30">
        <f>'1. 소켓인수검사'!D10</f>
        <v>1500</v>
      </c>
      <c r="E9" s="31"/>
      <c r="F9" s="30">
        <v>1</v>
      </c>
      <c r="G9" s="50">
        <f t="shared" ref="G9" si="1">(C9-30)/2-5</f>
        <v>1130</v>
      </c>
      <c r="H9" s="56">
        <f>F9*8*2</f>
        <v>16</v>
      </c>
      <c r="I9" s="89">
        <f>(D9-20)/2-10</f>
        <v>730</v>
      </c>
      <c r="J9" s="56">
        <f>F9*16</f>
        <v>16</v>
      </c>
      <c r="K9" s="51">
        <f t="shared" si="0"/>
        <v>2360</v>
      </c>
      <c r="L9" s="81">
        <v>4</v>
      </c>
      <c r="M9" s="51">
        <f t="shared" ref="M9" si="2">D9</f>
        <v>1500</v>
      </c>
      <c r="N9" s="81">
        <v>4</v>
      </c>
      <c r="O9" s="48" t="s">
        <v>72</v>
      </c>
    </row>
    <row r="10" spans="1:15">
      <c r="A10" s="121"/>
      <c r="B10" s="122"/>
      <c r="C10" s="122"/>
      <c r="D10" s="82"/>
      <c r="E10" s="83"/>
      <c r="F10" s="83"/>
      <c r="G10" s="84"/>
      <c r="H10" s="52">
        <f>SUM(H8:H9)</f>
        <v>32</v>
      </c>
      <c r="I10" s="84"/>
      <c r="J10" s="52">
        <f>SUM(J8:J9)</f>
        <v>32</v>
      </c>
      <c r="K10" s="82"/>
      <c r="L10" s="52">
        <f>SUM(L8:L9)</f>
        <v>8</v>
      </c>
      <c r="M10" s="82"/>
      <c r="N10" s="52">
        <f>SUM(N8:N9)</f>
        <v>8</v>
      </c>
      <c r="O10" s="53"/>
    </row>
    <row r="11" spans="1:15" ht="8.1" customHeight="1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4"/>
      <c r="O11" s="4"/>
    </row>
    <row r="12" spans="1:15">
      <c r="A12" s="94" t="s">
        <v>14</v>
      </c>
      <c r="B12" s="94"/>
      <c r="C12" s="94"/>
      <c r="D12" s="112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4"/>
    </row>
    <row r="13" spans="1:15">
      <c r="A13" s="94"/>
      <c r="B13" s="94"/>
      <c r="C13" s="9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/>
    </row>
    <row r="14" spans="1:15">
      <c r="A14" s="94"/>
      <c r="B14" s="94"/>
      <c r="C14" s="9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7"/>
    </row>
    <row r="15" spans="1:15">
      <c r="A15" s="94"/>
      <c r="B15" s="94"/>
      <c r="C15" s="9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7"/>
    </row>
    <row r="16" spans="1:15">
      <c r="A16" s="94"/>
      <c r="B16" s="94"/>
      <c r="C16" s="94"/>
      <c r="D16" s="115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7"/>
    </row>
    <row r="17" spans="1:15">
      <c r="A17" s="94"/>
      <c r="B17" s="94"/>
      <c r="C17" s="94"/>
      <c r="D17" s="118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20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12:C17"/>
    <mergeCell ref="D12:O17"/>
    <mergeCell ref="A10:C10"/>
    <mergeCell ref="A11:N11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2"/>
  <sheetViews>
    <sheetView zoomScaleNormal="100" zoomScaleSheetLayoutView="100" workbookViewId="0">
      <selection activeCell="K8" sqref="K8:K9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94"/>
      <c r="B1" s="94"/>
      <c r="C1" s="94"/>
      <c r="D1" s="94"/>
      <c r="E1" s="146" t="s">
        <v>71</v>
      </c>
      <c r="F1" s="147"/>
      <c r="G1" s="152" t="str">
        <f>'1. 소켓인수검사'!R2</f>
        <v>26.06.12 엘티엔지니어링_대현기건_신세계건설_트레이더스의정부 추가</v>
      </c>
      <c r="H1" s="152"/>
      <c r="I1" s="152"/>
      <c r="J1" s="152"/>
      <c r="K1" s="153"/>
    </row>
    <row r="2" spans="1:11" ht="16.5" customHeight="1">
      <c r="A2" s="94"/>
      <c r="B2" s="94"/>
      <c r="C2" s="94"/>
      <c r="D2" s="94"/>
      <c r="E2" s="148"/>
      <c r="F2" s="149"/>
      <c r="G2" s="154"/>
      <c r="H2" s="154"/>
      <c r="I2" s="154"/>
      <c r="J2" s="154"/>
      <c r="K2" s="155"/>
    </row>
    <row r="3" spans="1:11" ht="16.5" customHeight="1">
      <c r="A3" s="94"/>
      <c r="B3" s="94"/>
      <c r="C3" s="94"/>
      <c r="D3" s="94"/>
      <c r="E3" s="150"/>
      <c r="F3" s="151"/>
      <c r="G3" s="156"/>
      <c r="H3" s="156"/>
      <c r="I3" s="156"/>
      <c r="J3" s="156"/>
      <c r="K3" s="157"/>
    </row>
    <row r="4" spans="1:11" ht="8.1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5" spans="1:11" ht="26.45" customHeight="1">
      <c r="A5" s="158" t="s">
        <v>53</v>
      </c>
      <c r="B5" s="159" t="s">
        <v>63</v>
      </c>
      <c r="C5" s="143" t="s">
        <v>4</v>
      </c>
      <c r="D5" s="143"/>
      <c r="E5" s="143" t="s">
        <v>22</v>
      </c>
      <c r="F5" s="162" t="s">
        <v>51</v>
      </c>
      <c r="G5" s="144" t="s">
        <v>32</v>
      </c>
      <c r="H5" s="145"/>
      <c r="I5" s="145"/>
      <c r="J5" s="145"/>
      <c r="K5" s="162" t="s">
        <v>2</v>
      </c>
    </row>
    <row r="6" spans="1:11" ht="16.5" customHeight="1">
      <c r="A6" s="158"/>
      <c r="B6" s="160"/>
      <c r="C6" s="143" t="s">
        <v>60</v>
      </c>
      <c r="D6" s="143" t="s">
        <v>58</v>
      </c>
      <c r="E6" s="143"/>
      <c r="F6" s="163"/>
      <c r="G6" s="143" t="s">
        <v>62</v>
      </c>
      <c r="H6" s="143"/>
      <c r="I6" s="144" t="s">
        <v>59</v>
      </c>
      <c r="J6" s="145"/>
      <c r="K6" s="163"/>
    </row>
    <row r="7" spans="1:11">
      <c r="A7" s="158"/>
      <c r="B7" s="161"/>
      <c r="C7" s="143"/>
      <c r="D7" s="143"/>
      <c r="E7" s="143"/>
      <c r="F7" s="164"/>
      <c r="G7" s="16" t="s">
        <v>4</v>
      </c>
      <c r="H7" s="16" t="s">
        <v>51</v>
      </c>
      <c r="I7" s="16" t="s">
        <v>4</v>
      </c>
      <c r="J7" s="17" t="s">
        <v>51</v>
      </c>
      <c r="K7" s="164"/>
    </row>
    <row r="8" spans="1:11">
      <c r="A8" s="75" t="str">
        <f>'1. 소켓인수검사'!A9</f>
        <v>01</v>
      </c>
      <c r="B8" s="49" t="s">
        <v>44</v>
      </c>
      <c r="C8" s="30">
        <f>'1. 소켓인수검사'!C9</f>
        <v>2300</v>
      </c>
      <c r="D8" s="30">
        <f>'1. 소켓인수검사'!D9</f>
        <v>1500</v>
      </c>
      <c r="E8" s="40"/>
      <c r="F8" s="39">
        <v>1</v>
      </c>
      <c r="G8" s="76">
        <f t="shared" ref="G8:G9" si="0">C8+60</f>
        <v>2360</v>
      </c>
      <c r="H8" s="39">
        <v>2</v>
      </c>
      <c r="I8" s="76">
        <f t="shared" ref="I8:I9" si="1">D8</f>
        <v>1500</v>
      </c>
      <c r="J8" s="39">
        <v>2</v>
      </c>
      <c r="K8" s="77"/>
    </row>
    <row r="9" spans="1:11">
      <c r="A9" s="75" t="str">
        <f>'1. 소켓인수검사'!A10</f>
        <v>02</v>
      </c>
      <c r="B9" s="49" t="s">
        <v>44</v>
      </c>
      <c r="C9" s="30">
        <f>'1. 소켓인수검사'!C10</f>
        <v>2300</v>
      </c>
      <c r="D9" s="30">
        <f>'1. 소켓인수검사'!D10</f>
        <v>1500</v>
      </c>
      <c r="E9" s="40"/>
      <c r="F9" s="39">
        <v>1</v>
      </c>
      <c r="G9" s="76">
        <f t="shared" si="0"/>
        <v>2360</v>
      </c>
      <c r="H9" s="39">
        <v>2</v>
      </c>
      <c r="I9" s="76">
        <f t="shared" si="1"/>
        <v>1500</v>
      </c>
      <c r="J9" s="39">
        <v>2</v>
      </c>
      <c r="K9" s="77"/>
    </row>
    <row r="10" spans="1:11">
      <c r="A10" s="94" t="s">
        <v>42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</row>
    <row r="11" spans="1:1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</row>
    <row r="12" spans="1:1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</row>
  </sheetData>
  <mergeCells count="17">
    <mergeCell ref="D6:D7"/>
    <mergeCell ref="G6:H6"/>
    <mergeCell ref="I6:J6"/>
    <mergeCell ref="E1:F3"/>
    <mergeCell ref="G1:K3"/>
    <mergeCell ref="A10:C12"/>
    <mergeCell ref="D10:K12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19"/>
  <sheetViews>
    <sheetView showGridLines="0" zoomScaleNormal="100" zoomScaleSheetLayoutView="100" workbookViewId="0">
      <selection activeCell="S20" sqref="S20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94"/>
      <c r="B1" s="94"/>
      <c r="C1" s="94"/>
      <c r="D1" s="94"/>
      <c r="E1" s="177" t="s">
        <v>66</v>
      </c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9"/>
    </row>
    <row r="2" spans="1:16" ht="16.5" customHeight="1">
      <c r="A2" s="94"/>
      <c r="B2" s="94"/>
      <c r="C2" s="94"/>
      <c r="D2" s="94"/>
      <c r="E2" s="180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</row>
    <row r="3" spans="1:16" ht="16.5" customHeight="1">
      <c r="A3" s="94"/>
      <c r="B3" s="94"/>
      <c r="C3" s="94"/>
      <c r="D3" s="94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2"/>
    </row>
    <row r="4" spans="1:16" ht="16.5" customHeight="1">
      <c r="A4" s="94" t="s">
        <v>15</v>
      </c>
      <c r="B4" s="94"/>
      <c r="C4" s="94"/>
      <c r="D4" s="94"/>
      <c r="E4" s="183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/>
    </row>
    <row r="5" spans="1:16" ht="16.5" customHeight="1">
      <c r="A5" s="94" t="s">
        <v>24</v>
      </c>
      <c r="B5" s="94"/>
      <c r="C5" s="94"/>
      <c r="D5" s="94"/>
      <c r="E5" s="6" t="s">
        <v>30</v>
      </c>
      <c r="F5" s="94"/>
      <c r="G5" s="94"/>
      <c r="H5" s="94" t="s">
        <v>56</v>
      </c>
      <c r="I5" s="94"/>
      <c r="J5" s="94"/>
      <c r="K5" s="94" t="s">
        <v>52</v>
      </c>
      <c r="L5" s="94"/>
      <c r="M5" s="94"/>
      <c r="N5" s="176" t="str">
        <f>'1. 소켓인수검사'!R2</f>
        <v>26.06.12 엘티엔지니어링_대현기건_신세계건설_트레이더스의정부 추가</v>
      </c>
      <c r="O5" s="176"/>
      <c r="P5" s="176"/>
    </row>
    <row r="6" spans="1:16">
      <c r="A6" s="94"/>
      <c r="B6" s="94"/>
      <c r="C6" s="94"/>
      <c r="D6" s="94"/>
      <c r="E6" s="6" t="s">
        <v>27</v>
      </c>
      <c r="F6" s="94"/>
      <c r="G6" s="94"/>
      <c r="H6" s="94"/>
      <c r="I6" s="94"/>
      <c r="J6" s="94"/>
      <c r="K6" s="94"/>
      <c r="L6" s="94"/>
      <c r="M6" s="94"/>
      <c r="N6" s="176"/>
      <c r="O6" s="176"/>
      <c r="P6" s="176"/>
    </row>
    <row r="7" spans="1:16" ht="8.1" customHeight="1">
      <c r="A7" s="186"/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8"/>
    </row>
    <row r="8" spans="1:16" ht="21" customHeight="1">
      <c r="A8" s="94" t="s">
        <v>53</v>
      </c>
      <c r="B8" s="170" t="s">
        <v>4</v>
      </c>
      <c r="C8" s="170"/>
      <c r="D8" s="170" t="s">
        <v>26</v>
      </c>
      <c r="E8" s="170" t="s">
        <v>22</v>
      </c>
      <c r="F8" s="170" t="s">
        <v>57</v>
      </c>
      <c r="G8" s="190" t="s">
        <v>25</v>
      </c>
      <c r="H8" s="191"/>
      <c r="I8" s="191"/>
      <c r="J8" s="191"/>
      <c r="K8" s="191"/>
      <c r="L8" s="191"/>
      <c r="M8" s="191"/>
      <c r="N8" s="191"/>
      <c r="O8" s="192"/>
      <c r="P8" s="170" t="s">
        <v>2</v>
      </c>
    </row>
    <row r="9" spans="1:16" ht="21" customHeight="1">
      <c r="A9" s="94"/>
      <c r="B9" s="190" t="s">
        <v>60</v>
      </c>
      <c r="C9" s="170" t="s">
        <v>58</v>
      </c>
      <c r="D9" s="170"/>
      <c r="E9" s="170"/>
      <c r="F9" s="170"/>
      <c r="G9" s="170" t="s">
        <v>54</v>
      </c>
      <c r="H9" s="170" t="s">
        <v>60</v>
      </c>
      <c r="I9" s="170"/>
      <c r="J9" s="171" t="s">
        <v>10</v>
      </c>
      <c r="K9" s="170" t="s">
        <v>58</v>
      </c>
      <c r="L9" s="170"/>
      <c r="M9" s="170"/>
      <c r="N9" s="170"/>
      <c r="O9" s="171" t="s">
        <v>10</v>
      </c>
      <c r="P9" s="170"/>
    </row>
    <row r="10" spans="1:16" ht="21" customHeight="1">
      <c r="A10" s="189"/>
      <c r="B10" s="193"/>
      <c r="C10" s="171"/>
      <c r="D10" s="171"/>
      <c r="E10" s="171"/>
      <c r="F10" s="171"/>
      <c r="G10" s="171"/>
      <c r="H10" s="23" t="s">
        <v>4</v>
      </c>
      <c r="I10" s="23" t="s">
        <v>29</v>
      </c>
      <c r="J10" s="172"/>
      <c r="K10" s="173" t="s">
        <v>4</v>
      </c>
      <c r="L10" s="174"/>
      <c r="M10" s="175"/>
      <c r="N10" s="24" t="s">
        <v>29</v>
      </c>
      <c r="O10" s="172"/>
      <c r="P10" s="171"/>
    </row>
    <row r="11" spans="1:16" ht="16.5" customHeight="1">
      <c r="A11" s="43" t="str">
        <f>'1. 소켓인수검사'!A9</f>
        <v>01</v>
      </c>
      <c r="B11" s="44">
        <f>'1. 소켓인수검사'!C9</f>
        <v>2300</v>
      </c>
      <c r="C11" s="44">
        <f>'1. 소켓인수검사'!D9</f>
        <v>1500</v>
      </c>
      <c r="D11" s="46">
        <v>1</v>
      </c>
      <c r="E11" s="45"/>
      <c r="F11" s="57" t="s">
        <v>46</v>
      </c>
      <c r="G11" s="46" t="s">
        <v>45</v>
      </c>
      <c r="H11" s="54">
        <f>(B11-30)/2-1</f>
        <v>1134</v>
      </c>
      <c r="I11" s="46">
        <f>D11*8*2</f>
        <v>16</v>
      </c>
      <c r="J11" s="46"/>
      <c r="K11" s="168">
        <f>(C11-20)/2-10-1</f>
        <v>729</v>
      </c>
      <c r="L11" s="168"/>
      <c r="M11" s="168"/>
      <c r="N11" s="46">
        <f>D11*16*2</f>
        <v>32</v>
      </c>
      <c r="O11" s="46"/>
      <c r="P11" s="55" t="s">
        <v>72</v>
      </c>
    </row>
    <row r="12" spans="1:16">
      <c r="A12" s="47" t="str">
        <f>'1. 소켓인수검사'!A10</f>
        <v>02</v>
      </c>
      <c r="B12" s="30">
        <f>'1. 소켓인수검사'!C10</f>
        <v>2300</v>
      </c>
      <c r="C12" s="30">
        <f>'1. 소켓인수검사'!D10</f>
        <v>1500</v>
      </c>
      <c r="D12" s="26">
        <v>1</v>
      </c>
      <c r="E12" s="31"/>
      <c r="F12" s="58"/>
      <c r="G12" s="26"/>
      <c r="H12" s="56">
        <f t="shared" ref="H12" si="0">(B12-30)/2-1</f>
        <v>1134</v>
      </c>
      <c r="I12" s="26">
        <f>D12*8*2</f>
        <v>16</v>
      </c>
      <c r="J12" s="26"/>
      <c r="K12" s="169">
        <f>(C12-20)/2-10-1</f>
        <v>729</v>
      </c>
      <c r="L12" s="169"/>
      <c r="M12" s="169"/>
      <c r="N12" s="26">
        <f>D12*16*2</f>
        <v>32</v>
      </c>
      <c r="O12" s="26"/>
      <c r="P12" s="27" t="s">
        <v>72</v>
      </c>
    </row>
    <row r="13" spans="1:16" ht="8.1" customHeight="1">
      <c r="A13" s="165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166"/>
    </row>
    <row r="14" spans="1:16">
      <c r="A14" s="167" t="s">
        <v>43</v>
      </c>
      <c r="B14" s="167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</row>
    <row r="15" spans="1:16">
      <c r="A15" s="167"/>
      <c r="B15" s="167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</row>
    <row r="16" spans="1:16">
      <c r="A16" s="167"/>
      <c r="B16" s="167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</row>
    <row r="17" spans="1:16">
      <c r="A17" s="167"/>
      <c r="B17" s="167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</row>
    <row r="18" spans="1:16">
      <c r="A18" s="167"/>
      <c r="B18" s="167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</row>
    <row r="19" spans="1:16">
      <c r="A19" s="167"/>
      <c r="B19" s="167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</row>
  </sheetData>
  <mergeCells count="33">
    <mergeCell ref="P8:P10"/>
    <mergeCell ref="B9:B10"/>
    <mergeCell ref="C9:C10"/>
    <mergeCell ref="G9:G10"/>
    <mergeCell ref="H9:I9"/>
    <mergeCell ref="J9:J10"/>
    <mergeCell ref="O9:O10"/>
    <mergeCell ref="K10:M10"/>
    <mergeCell ref="A1:D3"/>
    <mergeCell ref="A4:B4"/>
    <mergeCell ref="C4:D4"/>
    <mergeCell ref="A5:B6"/>
    <mergeCell ref="C5:D6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F5:G5"/>
    <mergeCell ref="H5:H6"/>
    <mergeCell ref="I5:J6"/>
    <mergeCell ref="K5:M6"/>
    <mergeCell ref="K9:N9"/>
    <mergeCell ref="G8:O8"/>
    <mergeCell ref="A13:P13"/>
    <mergeCell ref="A14:B19"/>
    <mergeCell ref="C14:P19"/>
    <mergeCell ref="K11:M11"/>
    <mergeCell ref="K12:M12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1"/>
  <sheetViews>
    <sheetView zoomScaleNormal="100" zoomScaleSheetLayoutView="100" workbookViewId="0">
      <pane ySplit="9" topLeftCell="A10" activePane="bottomLeft" state="frozen"/>
      <selection pane="bottomLeft" activeCell="N27" sqref="N27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94"/>
      <c r="B1" s="94"/>
      <c r="C1" s="94"/>
      <c r="D1" s="225" t="s">
        <v>41</v>
      </c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6"/>
      <c r="R1" s="227"/>
      <c r="S1" s="14"/>
    </row>
    <row r="2" spans="1:19">
      <c r="A2" s="94"/>
      <c r="B2" s="94"/>
      <c r="C2" s="94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6"/>
      <c r="R2" s="228"/>
      <c r="S2" s="229"/>
    </row>
    <row r="3" spans="1:19" ht="24" customHeight="1">
      <c r="A3" s="94"/>
      <c r="B3" s="94"/>
      <c r="C3" s="94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6"/>
      <c r="R3" s="228"/>
      <c r="S3" s="229"/>
    </row>
    <row r="4" spans="1:19">
      <c r="A4" s="94" t="s">
        <v>15</v>
      </c>
      <c r="B4" s="94"/>
      <c r="C4" s="1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6"/>
      <c r="R4" s="228"/>
      <c r="S4" s="229"/>
    </row>
    <row r="5" spans="1:19">
      <c r="A5" s="94" t="s">
        <v>24</v>
      </c>
      <c r="B5" s="94"/>
      <c r="C5" s="94"/>
      <c r="D5" s="2" t="s">
        <v>30</v>
      </c>
      <c r="E5" s="223"/>
      <c r="F5" s="224"/>
      <c r="G5" s="215" t="s">
        <v>56</v>
      </c>
      <c r="H5" s="112"/>
      <c r="I5" s="113"/>
      <c r="J5" s="113"/>
      <c r="K5" s="114"/>
      <c r="L5" s="215" t="s">
        <v>19</v>
      </c>
      <c r="M5" s="61"/>
      <c r="N5" s="61"/>
      <c r="O5" s="215" t="s">
        <v>19</v>
      </c>
      <c r="P5" s="217" t="str">
        <f>'1. 소켓인수검사'!R2</f>
        <v>26.06.12 엘티엔지니어링_대현기건_신세계건설_트레이더스의정부 추가</v>
      </c>
      <c r="Q5" s="218"/>
      <c r="R5" s="218"/>
      <c r="S5" s="219"/>
    </row>
    <row r="6" spans="1:19">
      <c r="A6" s="94"/>
      <c r="B6" s="94"/>
      <c r="C6" s="94"/>
      <c r="D6" s="2" t="s">
        <v>27</v>
      </c>
      <c r="E6" s="223"/>
      <c r="F6" s="224"/>
      <c r="G6" s="216"/>
      <c r="H6" s="118"/>
      <c r="I6" s="119"/>
      <c r="J6" s="119"/>
      <c r="K6" s="120"/>
      <c r="L6" s="216"/>
      <c r="M6" s="62"/>
      <c r="N6" s="62"/>
      <c r="O6" s="216"/>
      <c r="P6" s="220"/>
      <c r="Q6" s="221"/>
      <c r="R6" s="221"/>
      <c r="S6" s="222"/>
    </row>
    <row r="7" spans="1:19" ht="8.1" customHeight="1">
      <c r="A7" s="118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20"/>
    </row>
    <row r="8" spans="1:19" ht="16.5" customHeight="1">
      <c r="A8" s="106" t="s">
        <v>53</v>
      </c>
      <c r="B8" s="210" t="s">
        <v>60</v>
      </c>
      <c r="C8" s="210" t="s">
        <v>58</v>
      </c>
      <c r="D8" s="210" t="s">
        <v>63</v>
      </c>
      <c r="E8" s="210" t="s">
        <v>48</v>
      </c>
      <c r="F8" s="210" t="s">
        <v>55</v>
      </c>
      <c r="G8" s="210" t="s">
        <v>21</v>
      </c>
      <c r="H8" s="210"/>
      <c r="I8" s="210"/>
      <c r="J8" s="210" t="s">
        <v>0</v>
      </c>
      <c r="K8" s="210"/>
      <c r="L8" s="210"/>
      <c r="M8" s="210" t="s">
        <v>0</v>
      </c>
      <c r="N8" s="210"/>
      <c r="O8" s="210"/>
      <c r="P8" s="210" t="s">
        <v>0</v>
      </c>
      <c r="Q8" s="210"/>
      <c r="R8" s="210"/>
      <c r="S8" s="212"/>
    </row>
    <row r="9" spans="1:19" ht="33" customHeight="1">
      <c r="A9" s="214"/>
      <c r="B9" s="211"/>
      <c r="C9" s="211"/>
      <c r="D9" s="211"/>
      <c r="E9" s="211"/>
      <c r="F9" s="211"/>
      <c r="G9" s="64" t="s">
        <v>31</v>
      </c>
      <c r="H9" s="64" t="s">
        <v>51</v>
      </c>
      <c r="I9" s="64" t="s">
        <v>50</v>
      </c>
      <c r="J9" s="64" t="s">
        <v>17</v>
      </c>
      <c r="K9" s="64" t="s">
        <v>51</v>
      </c>
      <c r="L9" s="64" t="s">
        <v>50</v>
      </c>
      <c r="M9" s="64" t="s">
        <v>23</v>
      </c>
      <c r="N9" s="64" t="s">
        <v>51</v>
      </c>
      <c r="O9" s="64" t="s">
        <v>50</v>
      </c>
      <c r="P9" s="64" t="s">
        <v>20</v>
      </c>
      <c r="Q9" s="64" t="s">
        <v>51</v>
      </c>
      <c r="R9" s="211" t="s">
        <v>50</v>
      </c>
      <c r="S9" s="213"/>
    </row>
    <row r="10" spans="1:19">
      <c r="A10" s="47" t="str">
        <f>'1. 소켓인수검사'!A9</f>
        <v>01</v>
      </c>
      <c r="B10" s="30">
        <f>'1. 소켓인수검사'!C9</f>
        <v>2300</v>
      </c>
      <c r="C10" s="30">
        <f>'1. 소켓인수검사'!D9</f>
        <v>1500</v>
      </c>
      <c r="D10" s="49" t="s">
        <v>44</v>
      </c>
      <c r="E10" s="60">
        <f t="shared" ref="E10:E11" si="0">B10*C10/1000000</f>
        <v>3.45</v>
      </c>
      <c r="F10" s="60">
        <f t="shared" ref="F10:F11" si="1">(B10+C10)*2/1000</f>
        <v>7.6</v>
      </c>
      <c r="G10" s="25">
        <f t="shared" ref="G10:G11" si="2">(F10+0.4)</f>
        <v>8</v>
      </c>
      <c r="H10" s="30">
        <v>2</v>
      </c>
      <c r="I10" s="25">
        <f>G10*H10</f>
        <v>16</v>
      </c>
      <c r="J10" s="25"/>
      <c r="K10" s="25"/>
      <c r="L10" s="25"/>
      <c r="M10" s="25"/>
      <c r="N10" s="25"/>
      <c r="O10" s="25"/>
      <c r="P10" s="25">
        <f t="shared" ref="P10:P11" si="3">F10+0.5</f>
        <v>8.1</v>
      </c>
      <c r="Q10" s="25">
        <v>2</v>
      </c>
      <c r="R10" s="194">
        <f>P10*Q10</f>
        <v>16.2</v>
      </c>
      <c r="S10" s="195"/>
    </row>
    <row r="11" spans="1:19">
      <c r="A11" s="47" t="str">
        <f>'1. 소켓인수검사'!A10</f>
        <v>02</v>
      </c>
      <c r="B11" s="30">
        <f>'1. 소켓인수검사'!C10</f>
        <v>2300</v>
      </c>
      <c r="C11" s="30">
        <f>'1. 소켓인수검사'!D10</f>
        <v>1500</v>
      </c>
      <c r="D11" s="49" t="s">
        <v>44</v>
      </c>
      <c r="E11" s="60">
        <f t="shared" si="0"/>
        <v>3.45</v>
      </c>
      <c r="F11" s="60">
        <f t="shared" si="1"/>
        <v>7.6</v>
      </c>
      <c r="G11" s="25">
        <f t="shared" si="2"/>
        <v>8</v>
      </c>
      <c r="H11" s="30">
        <v>2</v>
      </c>
      <c r="I11" s="25">
        <f>G11*H11</f>
        <v>16</v>
      </c>
      <c r="J11" s="25"/>
      <c r="K11" s="25"/>
      <c r="L11" s="25"/>
      <c r="M11" s="25"/>
      <c r="N11" s="25"/>
      <c r="O11" s="25"/>
      <c r="P11" s="25">
        <f t="shared" si="3"/>
        <v>8.1</v>
      </c>
      <c r="Q11" s="25">
        <v>2</v>
      </c>
      <c r="R11" s="194">
        <f t="shared" ref="R11" si="4">P11*Q11</f>
        <v>16.2</v>
      </c>
      <c r="S11" s="195"/>
    </row>
    <row r="12" spans="1:19">
      <c r="A12" s="196" t="s">
        <v>3</v>
      </c>
      <c r="B12" s="197"/>
      <c r="C12" s="197"/>
      <c r="D12" s="197"/>
      <c r="E12" s="197"/>
      <c r="F12" s="198"/>
      <c r="G12" s="28"/>
      <c r="H12" s="39"/>
      <c r="I12" s="68">
        <f>SUM(I10:I11)</f>
        <v>32</v>
      </c>
      <c r="J12" s="28"/>
      <c r="K12" s="28"/>
      <c r="L12" s="68">
        <f>SUM(L10:L11)</f>
        <v>0</v>
      </c>
      <c r="M12" s="28"/>
      <c r="N12" s="28"/>
      <c r="O12" s="68">
        <f>SUM(O10:O11)</f>
        <v>0</v>
      </c>
      <c r="P12" s="28"/>
      <c r="Q12" s="28"/>
      <c r="R12" s="199">
        <f>SUM(R10:S11)</f>
        <v>32.4</v>
      </c>
      <c r="S12" s="200"/>
    </row>
    <row r="13" spans="1:19" ht="17.25" customHeight="1">
      <c r="A13" s="203" t="s">
        <v>12</v>
      </c>
      <c r="B13" s="204"/>
      <c r="C13" s="204"/>
      <c r="D13" s="204"/>
      <c r="E13" s="204"/>
      <c r="F13" s="205"/>
      <c r="G13" s="206">
        <f>I12/20</f>
        <v>1.6</v>
      </c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8"/>
    </row>
    <row r="14" spans="1:19">
      <c r="A14" s="203" t="s">
        <v>11</v>
      </c>
      <c r="B14" s="204"/>
      <c r="C14" s="204"/>
      <c r="D14" s="204"/>
      <c r="E14" s="204"/>
      <c r="F14" s="205"/>
      <c r="G14" s="206">
        <f>L12/3.6</f>
        <v>0</v>
      </c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8"/>
    </row>
    <row r="15" spans="1:19">
      <c r="A15" s="209" t="s">
        <v>70</v>
      </c>
      <c r="B15" s="204"/>
      <c r="C15" s="204"/>
      <c r="D15" s="204"/>
      <c r="E15" s="204"/>
      <c r="F15" s="205"/>
      <c r="G15" s="206">
        <f>O12/7.4</f>
        <v>0</v>
      </c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8"/>
    </row>
    <row r="16" spans="1:19">
      <c r="A16" s="203" t="s">
        <v>13</v>
      </c>
      <c r="B16" s="204"/>
      <c r="C16" s="204"/>
      <c r="D16" s="204"/>
      <c r="E16" s="204"/>
      <c r="F16" s="205"/>
      <c r="G16" s="206">
        <f>R12/3.6</f>
        <v>9</v>
      </c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8"/>
    </row>
    <row r="17" spans="1:19" ht="8.1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</row>
    <row r="18" spans="1:19">
      <c r="A18" s="94" t="s">
        <v>43</v>
      </c>
      <c r="B18" s="94"/>
      <c r="C18" s="201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</row>
    <row r="19" spans="1:19">
      <c r="A19" s="94"/>
      <c r="B19" s="94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</row>
    <row r="20" spans="1:19">
      <c r="A20" s="94"/>
      <c r="B20" s="94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</row>
    <row r="21" spans="1:19">
      <c r="A21" s="94"/>
      <c r="B21" s="94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</row>
  </sheetData>
  <mergeCells count="41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A12:F12"/>
    <mergeCell ref="R12:S12"/>
    <mergeCell ref="A18:B21"/>
    <mergeCell ref="C18:S21"/>
    <mergeCell ref="A13:F13"/>
    <mergeCell ref="G13:S13"/>
    <mergeCell ref="A14:F14"/>
    <mergeCell ref="G14:S14"/>
    <mergeCell ref="A15:F15"/>
    <mergeCell ref="G15:S15"/>
    <mergeCell ref="A16:F16"/>
    <mergeCell ref="G16:S16"/>
    <mergeCell ref="A17:S17"/>
  </mergeCells>
  <phoneticPr fontId="24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6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W24" sqref="W24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94"/>
      <c r="B1" s="94"/>
      <c r="C1" s="94"/>
      <c r="D1" s="94"/>
      <c r="E1" s="86" t="s">
        <v>7</v>
      </c>
      <c r="F1" s="237" t="s">
        <v>67</v>
      </c>
      <c r="G1" s="237"/>
      <c r="H1" s="237"/>
      <c r="I1" s="237"/>
      <c r="J1" s="237"/>
      <c r="K1" s="152" t="str">
        <f>'1. 소켓인수검사'!R2</f>
        <v>26.06.12 엘티엔지니어링_대현기건_신세계건설_트레이더스의정부 추가</v>
      </c>
      <c r="L1" s="152"/>
      <c r="M1" s="152"/>
      <c r="N1" s="152"/>
      <c r="O1" s="152"/>
      <c r="P1" s="152"/>
      <c r="Q1" s="152"/>
      <c r="R1" s="152"/>
      <c r="S1" s="152"/>
      <c r="T1" s="152"/>
      <c r="U1" s="153"/>
    </row>
    <row r="2" spans="1:21" ht="16.5" customHeight="1">
      <c r="A2" s="94"/>
      <c r="B2" s="94"/>
      <c r="C2" s="94"/>
      <c r="D2" s="94"/>
      <c r="E2" s="85"/>
      <c r="F2" s="238"/>
      <c r="G2" s="238"/>
      <c r="H2" s="238"/>
      <c r="I2" s="238"/>
      <c r="J2" s="238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5"/>
    </row>
    <row r="3" spans="1:21" ht="24" customHeight="1">
      <c r="A3" s="94"/>
      <c r="B3" s="94"/>
      <c r="C3" s="94"/>
      <c r="D3" s="94"/>
      <c r="E3" s="87"/>
      <c r="F3" s="239"/>
      <c r="G3" s="239"/>
      <c r="H3" s="239"/>
      <c r="I3" s="239"/>
      <c r="J3" s="239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7"/>
    </row>
    <row r="4" spans="1:21" ht="8.1" customHeight="1">
      <c r="A4" s="118"/>
      <c r="B4" s="119"/>
      <c r="C4" s="119"/>
      <c r="D4" s="119"/>
      <c r="E4" s="119"/>
      <c r="F4" s="119"/>
      <c r="G4" s="119"/>
      <c r="H4" s="118"/>
      <c r="I4" s="119"/>
      <c r="J4" s="119"/>
      <c r="K4" s="119"/>
      <c r="L4" s="119"/>
      <c r="M4" s="119"/>
      <c r="N4" s="119"/>
      <c r="O4" s="119"/>
      <c r="P4" s="119"/>
      <c r="Q4" s="3"/>
      <c r="S4" s="3"/>
      <c r="T4" s="3"/>
      <c r="U4" s="3"/>
    </row>
    <row r="5" spans="1:21" ht="16.5" customHeight="1">
      <c r="A5" s="106" t="s">
        <v>53</v>
      </c>
      <c r="B5" s="240" t="s">
        <v>34</v>
      </c>
      <c r="C5" s="210" t="s">
        <v>60</v>
      </c>
      <c r="D5" s="210" t="s">
        <v>58</v>
      </c>
      <c r="E5" s="210" t="s">
        <v>22</v>
      </c>
      <c r="F5" s="210" t="s">
        <v>48</v>
      </c>
      <c r="G5" s="210" t="s">
        <v>55</v>
      </c>
      <c r="H5" s="210" t="s">
        <v>38</v>
      </c>
      <c r="I5" s="210" t="s">
        <v>21</v>
      </c>
      <c r="J5" s="210"/>
      <c r="K5" s="210" t="s">
        <v>0</v>
      </c>
      <c r="L5" s="210"/>
      <c r="M5" s="210" t="s">
        <v>0</v>
      </c>
      <c r="N5" s="210"/>
      <c r="O5" s="210" t="s">
        <v>0</v>
      </c>
      <c r="P5" s="210"/>
      <c r="Q5" s="230" t="s">
        <v>47</v>
      </c>
      <c r="R5" s="230"/>
      <c r="S5" s="231" t="s">
        <v>28</v>
      </c>
      <c r="T5" s="231" t="s">
        <v>52</v>
      </c>
      <c r="U5" s="233" t="s">
        <v>16</v>
      </c>
    </row>
    <row r="6" spans="1:21" ht="26.45" customHeight="1">
      <c r="A6" s="214"/>
      <c r="B6" s="241"/>
      <c r="C6" s="211"/>
      <c r="D6" s="211"/>
      <c r="E6" s="211"/>
      <c r="F6" s="211"/>
      <c r="G6" s="211"/>
      <c r="H6" s="211"/>
      <c r="I6" s="64" t="s">
        <v>8</v>
      </c>
      <c r="J6" s="29" t="s">
        <v>51</v>
      </c>
      <c r="K6" s="64" t="s">
        <v>68</v>
      </c>
      <c r="L6" s="29" t="s">
        <v>51</v>
      </c>
      <c r="M6" s="64" t="s">
        <v>33</v>
      </c>
      <c r="N6" s="29" t="s">
        <v>51</v>
      </c>
      <c r="O6" s="64" t="s">
        <v>35</v>
      </c>
      <c r="P6" s="29" t="s">
        <v>51</v>
      </c>
      <c r="Q6" s="64" t="s">
        <v>49</v>
      </c>
      <c r="R6" s="29" t="s">
        <v>61</v>
      </c>
      <c r="S6" s="232"/>
      <c r="T6" s="232"/>
      <c r="U6" s="234"/>
    </row>
    <row r="7" spans="1:21">
      <c r="A7" s="47" t="str">
        <f>'1. 소켓인수검사'!A9</f>
        <v>01</v>
      </c>
      <c r="B7" s="65" t="s">
        <v>37</v>
      </c>
      <c r="C7" s="30">
        <f>'1. 소켓인수검사'!C9</f>
        <v>2300</v>
      </c>
      <c r="D7" s="30">
        <f>'1. 소켓인수검사'!D9</f>
        <v>1500</v>
      </c>
      <c r="E7" s="31"/>
      <c r="F7" s="32">
        <f t="shared" ref="F7:F8" si="0">C7*D7/1000000</f>
        <v>3.45</v>
      </c>
      <c r="G7" s="32">
        <f t="shared" ref="G7:G8" si="1">(C7+D7)*2/1000</f>
        <v>7.6</v>
      </c>
      <c r="H7" s="35">
        <v>2</v>
      </c>
      <c r="I7" s="64">
        <f t="shared" ref="I7:I8" si="2">(G7+0.4)</f>
        <v>8</v>
      </c>
      <c r="J7" s="36">
        <v>2</v>
      </c>
      <c r="K7" s="25"/>
      <c r="L7" s="29"/>
      <c r="M7" s="25"/>
      <c r="N7" s="29"/>
      <c r="O7" s="64">
        <f t="shared" ref="O7:O8" si="3">(G7+0.5)</f>
        <v>8.1</v>
      </c>
      <c r="P7" s="36">
        <v>2</v>
      </c>
      <c r="Q7" s="33">
        <f t="shared" ref="Q7:Q8" si="4">(((C7+60)+250+(D7+60))*2/1000)*2</f>
        <v>16.68</v>
      </c>
      <c r="R7" s="90">
        <f t="shared" ref="R7:R8" si="5">Q7</f>
        <v>16.68</v>
      </c>
      <c r="S7" s="37" t="s">
        <v>40</v>
      </c>
      <c r="T7" s="38" t="s">
        <v>6</v>
      </c>
      <c r="U7" s="34" t="str">
        <f>'1. 소켓인수검사'!G9</f>
        <v>전기실</v>
      </c>
    </row>
    <row r="8" spans="1:21">
      <c r="A8" s="47" t="str">
        <f>'1. 소켓인수검사'!A10</f>
        <v>02</v>
      </c>
      <c r="B8" s="65" t="s">
        <v>37</v>
      </c>
      <c r="C8" s="30">
        <f>'1. 소켓인수검사'!C10</f>
        <v>2300</v>
      </c>
      <c r="D8" s="30">
        <f>'1. 소켓인수검사'!D10</f>
        <v>1500</v>
      </c>
      <c r="E8" s="31"/>
      <c r="F8" s="32">
        <f t="shared" si="0"/>
        <v>3.45</v>
      </c>
      <c r="G8" s="32">
        <f t="shared" si="1"/>
        <v>7.6</v>
      </c>
      <c r="H8" s="35">
        <v>2</v>
      </c>
      <c r="I8" s="64">
        <f t="shared" si="2"/>
        <v>8</v>
      </c>
      <c r="J8" s="36">
        <v>2</v>
      </c>
      <c r="K8" s="25"/>
      <c r="L8" s="29"/>
      <c r="M8" s="25"/>
      <c r="N8" s="29"/>
      <c r="O8" s="64">
        <f t="shared" si="3"/>
        <v>8.1</v>
      </c>
      <c r="P8" s="36">
        <v>2</v>
      </c>
      <c r="Q8" s="33">
        <f t="shared" si="4"/>
        <v>16.68</v>
      </c>
      <c r="R8" s="90">
        <f t="shared" si="5"/>
        <v>16.68</v>
      </c>
      <c r="S8" s="37" t="s">
        <v>40</v>
      </c>
      <c r="T8" s="38" t="s">
        <v>6</v>
      </c>
      <c r="U8" s="34" t="str">
        <f>'1. 소켓인수검사'!G10</f>
        <v>전기실</v>
      </c>
    </row>
    <row r="9" spans="1:21">
      <c r="A9" s="235" t="s">
        <v>5</v>
      </c>
      <c r="B9" s="236"/>
      <c r="C9" s="236"/>
      <c r="D9" s="63"/>
      <c r="E9" s="42"/>
      <c r="F9" s="42"/>
      <c r="G9" s="42"/>
      <c r="H9" s="41">
        <f>SUM(H7:H8)</f>
        <v>4</v>
      </c>
      <c r="I9" s="69"/>
      <c r="J9" s="41">
        <f>SUM(J7:J8)</f>
        <v>4</v>
      </c>
      <c r="K9" s="69"/>
      <c r="L9" s="41">
        <f>SUM(L7:L8)</f>
        <v>0</v>
      </c>
      <c r="M9" s="69"/>
      <c r="N9" s="41">
        <f>SUM(N7:N8)</f>
        <v>0</v>
      </c>
      <c r="O9" s="69"/>
      <c r="P9" s="41">
        <f>SUM(P7:P8)</f>
        <v>4</v>
      </c>
      <c r="Q9" s="69">
        <f>SUM(Q7:Q8)</f>
        <v>33.36</v>
      </c>
      <c r="R9" s="41">
        <f>SUM(R7:R8)</f>
        <v>33.36</v>
      </c>
      <c r="S9" s="66"/>
      <c r="T9" s="66"/>
      <c r="U9" s="67"/>
    </row>
    <row r="10" spans="1:21" ht="8.1" customHeight="1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4"/>
    </row>
    <row r="11" spans="1:21">
      <c r="A11" s="94" t="s">
        <v>43</v>
      </c>
      <c r="B11" s="94"/>
      <c r="C11" s="94"/>
      <c r="D11" s="112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4"/>
    </row>
    <row r="12" spans="1:21">
      <c r="A12" s="94"/>
      <c r="B12" s="94"/>
      <c r="C12" s="9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7"/>
    </row>
    <row r="13" spans="1:21">
      <c r="A13" s="94"/>
      <c r="B13" s="94"/>
      <c r="C13" s="94"/>
      <c r="D13" s="115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7"/>
    </row>
    <row r="14" spans="1:21">
      <c r="A14" s="94"/>
      <c r="B14" s="94"/>
      <c r="C14" s="94"/>
      <c r="D14" s="115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7"/>
    </row>
    <row r="15" spans="1:21">
      <c r="A15" s="94"/>
      <c r="B15" s="94"/>
      <c r="C15" s="94"/>
      <c r="D15" s="115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7"/>
    </row>
    <row r="16" spans="1:21">
      <c r="A16" s="94"/>
      <c r="B16" s="94"/>
      <c r="C16" s="94"/>
      <c r="D16" s="118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20"/>
    </row>
  </sheetData>
  <mergeCells count="24">
    <mergeCell ref="U5:U6"/>
    <mergeCell ref="A9:C9"/>
    <mergeCell ref="F1:J3"/>
    <mergeCell ref="K1:U3"/>
    <mergeCell ref="D11:U16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0:P10"/>
    <mergeCell ref="A11:C16"/>
    <mergeCell ref="Q5:R5"/>
    <mergeCell ref="S5:S6"/>
    <mergeCell ref="T5:T6"/>
    <mergeCell ref="K5:L5"/>
    <mergeCell ref="O5:P5"/>
    <mergeCell ref="M5:N5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7</vt:i4>
      </vt:variant>
    </vt:vector>
  </HeadingPairs>
  <TitlesOfParts>
    <vt:vector size="13" baseType="lpstr">
      <vt:lpstr>1. 소켓인수검사</vt:lpstr>
      <vt:lpstr>2.1 재단작업(VT)</vt:lpstr>
      <vt:lpstr>차열재 재단(VM,VT)</vt:lpstr>
      <vt:lpstr>3.2 절곡(VT)</vt:lpstr>
      <vt:lpstr>5. 차열재 출하용(VM,VT,VAG)</vt:lpstr>
      <vt:lpstr>6. 라벨소요량</vt:lpstr>
      <vt:lpstr>'1. 소켓인수검사'!Print_Area</vt:lpstr>
      <vt:lpstr>'1. 소켓인수검사'!Print_Titles</vt:lpstr>
      <vt:lpstr>'2.1 재단작업(VT)'!Print_Titles</vt:lpstr>
      <vt:lpstr>'3.2 절곡(VT)'!Print_Titles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2026-06-17T03:06:40Z</cp:lastPrinted>
  <dcterms:created xsi:type="dcterms:W3CDTF">2025-03-13T00:09:10Z</dcterms:created>
  <dcterms:modified xsi:type="dcterms:W3CDTF">2026-06-17T03:13:19Z</dcterms:modified>
  <cp:version>1200.0100.01</cp:version>
</cp:coreProperties>
</file>